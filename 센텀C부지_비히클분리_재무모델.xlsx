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비교요약" sheetId="1" state="visible" r:id="rId3"/>
    <sheet name="①통합_가정" sheetId="2" state="visible" r:id="rId4"/>
    <sheet name="①통합_CF" sheetId="3" state="visible" r:id="rId5"/>
    <sheet name="①통합_연도별" sheetId="4" state="visible" r:id="rId6"/>
    <sheet name="②시니어_가정" sheetId="5" state="visible" r:id="rId7"/>
    <sheet name="②시니어_CF" sheetId="6" state="visible" r:id="rId8"/>
    <sheet name="②시니어_연도별" sheetId="7" state="visible" r:id="rId9"/>
    <sheet name="③기타_가정" sheetId="8" state="visible" r:id="rId10"/>
    <sheet name="③기타_CF" sheetId="9" state="visible" r:id="rId11"/>
    <sheet name="③기타_연도별" sheetId="10" state="visible" r:id="rId12"/>
    <sheet name="Macro_VBA" sheetId="11" state="visible" r:id="rId13"/>
  </sheets>
  <definedNames>
    <definedName function="false" hidden="false" name="Copy_OTH" vbProcedure="false">③기타_가정!$D$560:$D$569</definedName>
    <definedName function="false" hidden="false" name="Copy_SEN" vbProcedure="false">②시니어_가정!$D$560:$D$569</definedName>
    <definedName function="false" hidden="false" name="Copy_TOT" vbProcedure="false">①통합_가정!$D$560:$D$569</definedName>
    <definedName function="false" hidden="false" name="Diff_OTH" vbProcedure="false">③기타_가정!$F$560:$F$569</definedName>
    <definedName function="false" hidden="false" name="Diff_SEN" vbProcedure="false">②시니어_가정!$F$560:$F$569</definedName>
    <definedName function="false" hidden="false" name="Diff_TOT" vbProcedure="false">①통합_가정!$F$560:$F$569</definedName>
    <definedName function="false" hidden="false" name="Paste_OTH" vbProcedure="false">③기타_가정!$E$560:$E$569</definedName>
    <definedName function="false" hidden="false" name="Paste_SEN" vbProcedure="false">②시니어_가정!$E$560:$E$569</definedName>
    <definedName function="false" hidden="false" name="Paste_TOT" vbProcedure="false">①통합_가정!$E$560:$E$569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50" authorId="0">
      <text>
        <r>
          <rPr>
            <sz val="10"/>
            <rFont val="WenQuanYi Zen Hei"/>
            <family val="2"/>
          </rPr>
          <t xml:space="preserve">원본 수치 재현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보증금</t>
        </r>
        <r>
          <rPr>
            <sz val="10"/>
            <rFont val="Arial"/>
            <family val="2"/>
          </rPr>
          <t xml:space="preserve">(100%)×(1+</t>
        </r>
        <r>
          <rPr>
            <sz val="10"/>
            <rFont val="WenQuanYi Zen Hei"/>
            <family val="2"/>
          </rPr>
          <t xml:space="preserve">상승률</t>
        </r>
        <r>
          <rPr>
            <sz val="10"/>
            <rFont val="Arial"/>
            <family val="2"/>
          </rPr>
          <t xml:space="preserve">)</t>
        </r>
      </text>
    </comment>
    <comment ref="D552" authorId="0">
      <text>
        <r>
          <rPr>
            <sz val="10"/>
            <rFont val="WenQuanYi Zen Hei"/>
            <family val="2"/>
          </rPr>
          <t xml:space="preserve">참고용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현금흐름 모델이므로 감가상각 미반영</t>
        </r>
        <r>
          <rPr>
            <sz val="10"/>
            <rFont val="Arial"/>
            <family val="2"/>
          </rPr>
          <t xml:space="preserve">)</t>
        </r>
      </text>
    </comment>
    <comment ref="D554" authorId="0">
      <text>
        <r>
          <rPr>
            <sz val="10"/>
            <rFont val="WenQuanYi Zen Hei"/>
            <family val="2"/>
          </rPr>
          <t xml:space="preserve">추가 가정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토지대금 중 계약일 지급 비율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잔금은 착공일 </t>
        </r>
        <r>
          <rPr>
            <sz val="10"/>
            <rFont val="Arial"/>
            <family val="2"/>
          </rPr>
          <t xml:space="preserve">PF</t>
        </r>
        <r>
          <rPr>
            <sz val="10"/>
            <rFont val="WenQuanYi Zen Hei"/>
            <family val="2"/>
          </rPr>
          <t xml:space="preserve">로 지급</t>
        </r>
        <r>
          <rPr>
            <sz val="10"/>
            <rFont val="Arial"/>
            <family val="2"/>
          </rPr>
          <t xml:space="preserve">)</t>
        </r>
      </text>
    </comment>
    <comment ref="E108" authorId="0">
      <text>
        <r>
          <rPr>
            <sz val="10"/>
            <rFont val="WenQuanYi Zen Hei"/>
            <family val="2"/>
          </rPr>
          <t xml:space="preserve">캡처 원본 값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원본 산식 미확인으로 </t>
        </r>
        <r>
          <rPr>
            <sz val="10"/>
            <rFont val="Arial"/>
            <family val="2"/>
          </rPr>
          <t xml:space="preserve">CF </t>
        </r>
        <r>
          <rPr>
            <sz val="10"/>
            <rFont val="WenQuanYi Zen Hei"/>
            <family val="2"/>
          </rPr>
          <t xml:space="preserve">계산에는 미반영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참고용</t>
        </r>
        <r>
          <rPr>
            <sz val="10"/>
            <rFont val="Arial"/>
            <family val="2"/>
          </rPr>
          <t xml:space="preserve">).</t>
        </r>
      </text>
    </comment>
    <comment ref="E109" authorId="0">
      <text>
        <r>
          <rPr>
            <sz val="10"/>
            <rFont val="WenQuanYi Zen Hei"/>
            <family val="2"/>
          </rPr>
          <t xml:space="preserve">캡처 원본 값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원본 산식 미확인으로 </t>
        </r>
        <r>
          <rPr>
            <sz val="10"/>
            <rFont val="Arial"/>
            <family val="2"/>
          </rPr>
          <t xml:space="preserve">CF </t>
        </r>
        <r>
          <rPr>
            <sz val="10"/>
            <rFont val="WenQuanYi Zen Hei"/>
            <family val="2"/>
          </rPr>
          <t xml:space="preserve">계산에는 미반영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참고용</t>
        </r>
        <r>
          <rPr>
            <sz val="10"/>
            <rFont val="Arial"/>
            <family val="2"/>
          </rPr>
          <t xml:space="preserve">).</t>
        </r>
      </text>
    </comment>
    <comment ref="E270" authorId="0">
      <text>
        <r>
          <rPr>
            <sz val="10"/>
            <rFont val="WenQuanYi Zen Hei"/>
            <family val="2"/>
          </rPr>
          <t xml:space="preserve">추가 가정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공통비용 연간 상승률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원본 화면에 없음</t>
        </r>
        <r>
          <rPr>
            <sz val="10"/>
            <rFont val="Arial"/>
            <family val="2"/>
          </rPr>
          <t xml:space="preserve">)</t>
        </r>
      </text>
    </comment>
    <comment ref="E275" authorId="0">
      <text>
        <r>
          <rPr>
            <sz val="10"/>
            <rFont val="WenQuanYi Zen Hei"/>
            <family val="2"/>
          </rPr>
          <t xml:space="preserve">매각가치 산정 시 </t>
        </r>
        <r>
          <rPr>
            <sz val="10"/>
            <rFont val="Arial"/>
            <family val="2"/>
          </rPr>
          <t xml:space="preserve">NOI</t>
        </r>
        <r>
          <rPr>
            <sz val="10"/>
            <rFont val="WenQuanYi Zen Hei"/>
            <family val="2"/>
          </rPr>
          <t xml:space="preserve">에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WenQuanYi Zen Hei"/>
            <family val="2"/>
          </rPr>
          <t xml:space="preserve">보증금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WenQuanYi Zen Hei"/>
            <family val="2"/>
          </rPr>
          <t xml:space="preserve">운용수익률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WenQuanYi Zen Hei"/>
            <family val="2"/>
          </rPr>
          <t xml:space="preserve">을 가산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보증금이 큰 자산의 실무 평가방식</t>
        </r>
        <r>
          <rPr>
            <sz val="10"/>
            <rFont val="Arial"/>
            <family val="2"/>
          </rPr>
          <t xml:space="preserve">). 0%</t>
        </r>
        <r>
          <rPr>
            <sz val="10"/>
            <rFont val="WenQuanYi Zen Hei"/>
            <family val="2"/>
          </rPr>
          <t xml:space="preserve">면 원본 방식</t>
        </r>
        <r>
          <rPr>
            <sz val="10"/>
            <rFont val="Arial"/>
            <family val="2"/>
          </rPr>
          <t xml:space="preserve">(NOI</t>
        </r>
        <r>
          <rPr>
            <sz val="10"/>
            <rFont val="WenQuanYi Zen Hei"/>
            <family val="2"/>
          </rPr>
          <t xml:space="preserve">만 반영</t>
        </r>
        <r>
          <rPr>
            <sz val="10"/>
            <rFont val="Arial"/>
            <family val="2"/>
          </rPr>
          <t xml:space="preserve">)</t>
        </r>
      </text>
    </comment>
    <comment ref="E433" authorId="0">
      <text>
        <r>
          <rPr>
            <sz val="10"/>
            <rFont val="WenQuanYi Zen Hei"/>
            <family val="2"/>
          </rPr>
          <t xml:space="preserve">직접공사비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공급가액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의 </t>
        </r>
        <r>
          <rPr>
            <sz val="10"/>
            <rFont val="Arial"/>
            <family val="2"/>
          </rPr>
          <t xml:space="preserve">10%</t>
        </r>
        <r>
          <rPr>
            <sz val="10"/>
            <rFont val="WenQuanYi Zen Hei"/>
            <family val="2"/>
          </rPr>
          <t xml:space="preserve">는 준공 후 지급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유보금</t>
        </r>
        <r>
          <rPr>
            <sz val="10"/>
            <rFont val="Arial"/>
            <family val="2"/>
          </rPr>
          <t xml:space="preserve">) → </t>
        </r>
        <r>
          <rPr>
            <sz val="10"/>
            <rFont val="WenQuanYi Zen Hei"/>
            <family val="2"/>
          </rPr>
          <t xml:space="preserve">개발기간 재원조달 대상에서 차감</t>
        </r>
        <r>
          <rPr>
            <sz val="10"/>
            <rFont val="Arial"/>
            <family val="2"/>
          </rPr>
          <t xml:space="preserve">, CF</t>
        </r>
        <r>
          <rPr>
            <sz val="10"/>
            <rFont val="WenQuanYi Zen Hei"/>
            <family val="2"/>
          </rPr>
          <t xml:space="preserve">상 운영개시월 지급</t>
        </r>
      </text>
    </comment>
    <comment ref="I45" authorId="0">
      <text>
        <r>
          <rPr>
            <sz val="10"/>
            <rFont val="Arial"/>
            <family val="2"/>
          </rPr>
          <t xml:space="preserve">AMC </t>
        </r>
        <r>
          <rPr>
            <sz val="10"/>
            <rFont val="WenQuanYi Zen Hei"/>
            <family val="2"/>
          </rPr>
          <t xml:space="preserve">운영보수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자산보관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사무수탁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회계감사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일반관리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실사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예비비 등 리츠 고정비를 이 </t>
        </r>
        <r>
          <rPr>
            <sz val="10"/>
            <rFont val="Arial"/>
            <family val="2"/>
          </rPr>
          <t xml:space="preserve">Vehicle</t>
        </r>
        <r>
          <rPr>
            <sz val="10"/>
            <rFont val="WenQuanYi Zen Hei"/>
            <family val="2"/>
          </rPr>
          <t xml:space="preserve">이 부담하는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별도 리츠면 </t>
        </r>
        <r>
          <rPr>
            <sz val="10"/>
            <rFont val="Arial"/>
            <family val="2"/>
          </rPr>
          <t xml:space="preserve">100%(</t>
        </r>
        <r>
          <rPr>
            <sz val="10"/>
            <rFont val="WenQuanYi Zen Hei"/>
            <family val="2"/>
          </rPr>
          <t xml:space="preserve">비히클마다 중복 발생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50" authorId="0">
      <text>
        <r>
          <rPr>
            <sz val="10"/>
            <rFont val="WenQuanYi Zen Hei"/>
            <family val="2"/>
          </rPr>
          <t xml:space="preserve">원본 수치 재현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보증금</t>
        </r>
        <r>
          <rPr>
            <sz val="10"/>
            <rFont val="Arial"/>
            <family val="2"/>
          </rPr>
          <t xml:space="preserve">(100%)×(1+</t>
        </r>
        <r>
          <rPr>
            <sz val="10"/>
            <rFont val="WenQuanYi Zen Hei"/>
            <family val="2"/>
          </rPr>
          <t xml:space="preserve">상승률</t>
        </r>
        <r>
          <rPr>
            <sz val="10"/>
            <rFont val="Arial"/>
            <family val="2"/>
          </rPr>
          <t xml:space="preserve">)</t>
        </r>
      </text>
    </comment>
    <comment ref="D552" authorId="0">
      <text>
        <r>
          <rPr>
            <sz val="10"/>
            <rFont val="WenQuanYi Zen Hei"/>
            <family val="2"/>
          </rPr>
          <t xml:space="preserve">참고용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현금흐름 모델이므로 감가상각 미반영</t>
        </r>
        <r>
          <rPr>
            <sz val="10"/>
            <rFont val="Arial"/>
            <family val="2"/>
          </rPr>
          <t xml:space="preserve">)</t>
        </r>
      </text>
    </comment>
    <comment ref="D554" authorId="0">
      <text>
        <r>
          <rPr>
            <sz val="10"/>
            <rFont val="WenQuanYi Zen Hei"/>
            <family val="2"/>
          </rPr>
          <t xml:space="preserve">추가 가정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토지대금 중 계약일 지급 비율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잔금은 착공일 </t>
        </r>
        <r>
          <rPr>
            <sz val="10"/>
            <rFont val="Arial"/>
            <family val="2"/>
          </rPr>
          <t xml:space="preserve">PF</t>
        </r>
        <r>
          <rPr>
            <sz val="10"/>
            <rFont val="WenQuanYi Zen Hei"/>
            <family val="2"/>
          </rPr>
          <t xml:space="preserve">로 지급</t>
        </r>
        <r>
          <rPr>
            <sz val="10"/>
            <rFont val="Arial"/>
            <family val="2"/>
          </rPr>
          <t xml:space="preserve">)</t>
        </r>
      </text>
    </comment>
    <comment ref="E108" authorId="0">
      <text>
        <r>
          <rPr>
            <sz val="10"/>
            <rFont val="WenQuanYi Zen Hei"/>
            <family val="2"/>
          </rPr>
          <t xml:space="preserve">캡처 원본 값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원본 산식 미확인으로 </t>
        </r>
        <r>
          <rPr>
            <sz val="10"/>
            <rFont val="Arial"/>
            <family val="2"/>
          </rPr>
          <t xml:space="preserve">CF </t>
        </r>
        <r>
          <rPr>
            <sz val="10"/>
            <rFont val="WenQuanYi Zen Hei"/>
            <family val="2"/>
          </rPr>
          <t xml:space="preserve">계산에는 미반영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참고용</t>
        </r>
        <r>
          <rPr>
            <sz val="10"/>
            <rFont val="Arial"/>
            <family val="2"/>
          </rPr>
          <t xml:space="preserve">).</t>
        </r>
      </text>
    </comment>
    <comment ref="E109" authorId="0">
      <text>
        <r>
          <rPr>
            <sz val="10"/>
            <rFont val="WenQuanYi Zen Hei"/>
            <family val="2"/>
          </rPr>
          <t xml:space="preserve">캡처 원본 값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원본 산식 미확인으로 </t>
        </r>
        <r>
          <rPr>
            <sz val="10"/>
            <rFont val="Arial"/>
            <family val="2"/>
          </rPr>
          <t xml:space="preserve">CF </t>
        </r>
        <r>
          <rPr>
            <sz val="10"/>
            <rFont val="WenQuanYi Zen Hei"/>
            <family val="2"/>
          </rPr>
          <t xml:space="preserve">계산에는 미반영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참고용</t>
        </r>
        <r>
          <rPr>
            <sz val="10"/>
            <rFont val="Arial"/>
            <family val="2"/>
          </rPr>
          <t xml:space="preserve">).</t>
        </r>
      </text>
    </comment>
    <comment ref="E270" authorId="0">
      <text>
        <r>
          <rPr>
            <sz val="10"/>
            <rFont val="WenQuanYi Zen Hei"/>
            <family val="2"/>
          </rPr>
          <t xml:space="preserve">추가 가정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공통비용 연간 상승률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원본 화면에 없음</t>
        </r>
        <r>
          <rPr>
            <sz val="10"/>
            <rFont val="Arial"/>
            <family val="2"/>
          </rPr>
          <t xml:space="preserve">)</t>
        </r>
      </text>
    </comment>
    <comment ref="E275" authorId="0">
      <text>
        <r>
          <rPr>
            <sz val="10"/>
            <rFont val="WenQuanYi Zen Hei"/>
            <family val="2"/>
          </rPr>
          <t xml:space="preserve">매각가치 산정 시 </t>
        </r>
        <r>
          <rPr>
            <sz val="10"/>
            <rFont val="Arial"/>
            <family val="2"/>
          </rPr>
          <t xml:space="preserve">NOI</t>
        </r>
        <r>
          <rPr>
            <sz val="10"/>
            <rFont val="WenQuanYi Zen Hei"/>
            <family val="2"/>
          </rPr>
          <t xml:space="preserve">에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WenQuanYi Zen Hei"/>
            <family val="2"/>
          </rPr>
          <t xml:space="preserve">보증금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WenQuanYi Zen Hei"/>
            <family val="2"/>
          </rPr>
          <t xml:space="preserve">운용수익률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WenQuanYi Zen Hei"/>
            <family val="2"/>
          </rPr>
          <t xml:space="preserve">을 가산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보증금이 큰 자산의 실무 평가방식</t>
        </r>
        <r>
          <rPr>
            <sz val="10"/>
            <rFont val="Arial"/>
            <family val="2"/>
          </rPr>
          <t xml:space="preserve">). 0%</t>
        </r>
        <r>
          <rPr>
            <sz val="10"/>
            <rFont val="WenQuanYi Zen Hei"/>
            <family val="2"/>
          </rPr>
          <t xml:space="preserve">면 원본 방식</t>
        </r>
        <r>
          <rPr>
            <sz val="10"/>
            <rFont val="Arial"/>
            <family val="2"/>
          </rPr>
          <t xml:space="preserve">(NOI</t>
        </r>
        <r>
          <rPr>
            <sz val="10"/>
            <rFont val="WenQuanYi Zen Hei"/>
            <family val="2"/>
          </rPr>
          <t xml:space="preserve">만 반영</t>
        </r>
        <r>
          <rPr>
            <sz val="10"/>
            <rFont val="Arial"/>
            <family val="2"/>
          </rPr>
          <t xml:space="preserve">)</t>
        </r>
      </text>
    </comment>
    <comment ref="E433" authorId="0">
      <text>
        <r>
          <rPr>
            <sz val="10"/>
            <rFont val="WenQuanYi Zen Hei"/>
            <family val="2"/>
          </rPr>
          <t xml:space="preserve">직접공사비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공급가액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의 </t>
        </r>
        <r>
          <rPr>
            <sz val="10"/>
            <rFont val="Arial"/>
            <family val="2"/>
          </rPr>
          <t xml:space="preserve">10%</t>
        </r>
        <r>
          <rPr>
            <sz val="10"/>
            <rFont val="WenQuanYi Zen Hei"/>
            <family val="2"/>
          </rPr>
          <t xml:space="preserve">는 준공 후 지급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유보금</t>
        </r>
        <r>
          <rPr>
            <sz val="10"/>
            <rFont val="Arial"/>
            <family val="2"/>
          </rPr>
          <t xml:space="preserve">) → </t>
        </r>
        <r>
          <rPr>
            <sz val="10"/>
            <rFont val="WenQuanYi Zen Hei"/>
            <family val="2"/>
          </rPr>
          <t xml:space="preserve">개발기간 재원조달 대상에서 차감</t>
        </r>
        <r>
          <rPr>
            <sz val="10"/>
            <rFont val="Arial"/>
            <family val="2"/>
          </rPr>
          <t xml:space="preserve">, CF</t>
        </r>
        <r>
          <rPr>
            <sz val="10"/>
            <rFont val="WenQuanYi Zen Hei"/>
            <family val="2"/>
          </rPr>
          <t xml:space="preserve">상 운영개시월 지급</t>
        </r>
      </text>
    </comment>
    <comment ref="I45" authorId="0">
      <text>
        <r>
          <rPr>
            <sz val="10"/>
            <rFont val="Arial"/>
            <family val="2"/>
          </rPr>
          <t xml:space="preserve">AMC </t>
        </r>
        <r>
          <rPr>
            <sz val="10"/>
            <rFont val="WenQuanYi Zen Hei"/>
            <family val="2"/>
          </rPr>
          <t xml:space="preserve">운영보수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자산보관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사무수탁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회계감사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일반관리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실사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예비비 등 리츠 고정비를 이 </t>
        </r>
        <r>
          <rPr>
            <sz val="10"/>
            <rFont val="Arial"/>
            <family val="2"/>
          </rPr>
          <t xml:space="preserve">Vehicle</t>
        </r>
        <r>
          <rPr>
            <sz val="10"/>
            <rFont val="WenQuanYi Zen Hei"/>
            <family val="2"/>
          </rPr>
          <t xml:space="preserve">이 부담하는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별도 리츠면 </t>
        </r>
        <r>
          <rPr>
            <sz val="10"/>
            <rFont val="Arial"/>
            <family val="2"/>
          </rPr>
          <t xml:space="preserve">100%(</t>
        </r>
        <r>
          <rPr>
            <sz val="10"/>
            <rFont val="WenQuanYi Zen Hei"/>
            <family val="2"/>
          </rPr>
          <t xml:space="preserve">비히클마다 중복 발생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50" authorId="0">
      <text>
        <r>
          <rPr>
            <sz val="10"/>
            <rFont val="WenQuanYi Zen Hei"/>
            <family val="2"/>
          </rPr>
          <t xml:space="preserve">원본 수치 재현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보증금</t>
        </r>
        <r>
          <rPr>
            <sz val="10"/>
            <rFont val="Arial"/>
            <family val="2"/>
          </rPr>
          <t xml:space="preserve">(100%)×(1+</t>
        </r>
        <r>
          <rPr>
            <sz val="10"/>
            <rFont val="WenQuanYi Zen Hei"/>
            <family val="2"/>
          </rPr>
          <t xml:space="preserve">상승률</t>
        </r>
        <r>
          <rPr>
            <sz val="10"/>
            <rFont val="Arial"/>
            <family val="2"/>
          </rPr>
          <t xml:space="preserve">)</t>
        </r>
      </text>
    </comment>
    <comment ref="D552" authorId="0">
      <text>
        <r>
          <rPr>
            <sz val="10"/>
            <rFont val="WenQuanYi Zen Hei"/>
            <family val="2"/>
          </rPr>
          <t xml:space="preserve">참고용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현금흐름 모델이므로 감가상각 미반영</t>
        </r>
        <r>
          <rPr>
            <sz val="10"/>
            <rFont val="Arial"/>
            <family val="2"/>
          </rPr>
          <t xml:space="preserve">)</t>
        </r>
      </text>
    </comment>
    <comment ref="D554" authorId="0">
      <text>
        <r>
          <rPr>
            <sz val="10"/>
            <rFont val="WenQuanYi Zen Hei"/>
            <family val="2"/>
          </rPr>
          <t xml:space="preserve">추가 가정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토지대금 중 계약일 지급 비율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잔금은 착공일 </t>
        </r>
        <r>
          <rPr>
            <sz val="10"/>
            <rFont val="Arial"/>
            <family val="2"/>
          </rPr>
          <t xml:space="preserve">PF</t>
        </r>
        <r>
          <rPr>
            <sz val="10"/>
            <rFont val="WenQuanYi Zen Hei"/>
            <family val="2"/>
          </rPr>
          <t xml:space="preserve">로 지급</t>
        </r>
        <r>
          <rPr>
            <sz val="10"/>
            <rFont val="Arial"/>
            <family val="2"/>
          </rPr>
          <t xml:space="preserve">)</t>
        </r>
      </text>
    </comment>
    <comment ref="E108" authorId="0">
      <text>
        <r>
          <rPr>
            <sz val="10"/>
            <rFont val="WenQuanYi Zen Hei"/>
            <family val="2"/>
          </rPr>
          <t xml:space="preserve">캡처 원본 값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원본 산식 미확인으로 </t>
        </r>
        <r>
          <rPr>
            <sz val="10"/>
            <rFont val="Arial"/>
            <family val="2"/>
          </rPr>
          <t xml:space="preserve">CF </t>
        </r>
        <r>
          <rPr>
            <sz val="10"/>
            <rFont val="WenQuanYi Zen Hei"/>
            <family val="2"/>
          </rPr>
          <t xml:space="preserve">계산에는 미반영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참고용</t>
        </r>
        <r>
          <rPr>
            <sz val="10"/>
            <rFont val="Arial"/>
            <family val="2"/>
          </rPr>
          <t xml:space="preserve">).</t>
        </r>
      </text>
    </comment>
    <comment ref="E109" authorId="0">
      <text>
        <r>
          <rPr>
            <sz val="10"/>
            <rFont val="WenQuanYi Zen Hei"/>
            <family val="2"/>
          </rPr>
          <t xml:space="preserve">캡처 원본 값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원본 산식 미확인으로 </t>
        </r>
        <r>
          <rPr>
            <sz val="10"/>
            <rFont val="Arial"/>
            <family val="2"/>
          </rPr>
          <t xml:space="preserve">CF </t>
        </r>
        <r>
          <rPr>
            <sz val="10"/>
            <rFont val="WenQuanYi Zen Hei"/>
            <family val="2"/>
          </rPr>
          <t xml:space="preserve">계산에는 미반영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참고용</t>
        </r>
        <r>
          <rPr>
            <sz val="10"/>
            <rFont val="Arial"/>
            <family val="2"/>
          </rPr>
          <t xml:space="preserve">).</t>
        </r>
      </text>
    </comment>
    <comment ref="E270" authorId="0">
      <text>
        <r>
          <rPr>
            <sz val="10"/>
            <rFont val="WenQuanYi Zen Hei"/>
            <family val="2"/>
          </rPr>
          <t xml:space="preserve">추가 가정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공통비용 연간 상승률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원본 화면에 없음</t>
        </r>
        <r>
          <rPr>
            <sz val="10"/>
            <rFont val="Arial"/>
            <family val="2"/>
          </rPr>
          <t xml:space="preserve">)</t>
        </r>
      </text>
    </comment>
    <comment ref="E275" authorId="0">
      <text>
        <r>
          <rPr>
            <sz val="10"/>
            <rFont val="WenQuanYi Zen Hei"/>
            <family val="2"/>
          </rPr>
          <t xml:space="preserve">매각가치 산정 시 </t>
        </r>
        <r>
          <rPr>
            <sz val="10"/>
            <rFont val="Arial"/>
            <family val="2"/>
          </rPr>
          <t xml:space="preserve">NOI</t>
        </r>
        <r>
          <rPr>
            <sz val="10"/>
            <rFont val="WenQuanYi Zen Hei"/>
            <family val="2"/>
          </rPr>
          <t xml:space="preserve">에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WenQuanYi Zen Hei"/>
            <family val="2"/>
          </rPr>
          <t xml:space="preserve">보증금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WenQuanYi Zen Hei"/>
            <family val="2"/>
          </rPr>
          <t xml:space="preserve">운용수익률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WenQuanYi Zen Hei"/>
            <family val="2"/>
          </rPr>
          <t xml:space="preserve">을 가산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보증금이 큰 자산의 실무 평가방식</t>
        </r>
        <r>
          <rPr>
            <sz val="10"/>
            <rFont val="Arial"/>
            <family val="2"/>
          </rPr>
          <t xml:space="preserve">). 0%</t>
        </r>
        <r>
          <rPr>
            <sz val="10"/>
            <rFont val="WenQuanYi Zen Hei"/>
            <family val="2"/>
          </rPr>
          <t xml:space="preserve">면 원본 방식</t>
        </r>
        <r>
          <rPr>
            <sz val="10"/>
            <rFont val="Arial"/>
            <family val="2"/>
          </rPr>
          <t xml:space="preserve">(NOI</t>
        </r>
        <r>
          <rPr>
            <sz val="10"/>
            <rFont val="WenQuanYi Zen Hei"/>
            <family val="2"/>
          </rPr>
          <t xml:space="preserve">만 반영</t>
        </r>
        <r>
          <rPr>
            <sz val="10"/>
            <rFont val="Arial"/>
            <family val="2"/>
          </rPr>
          <t xml:space="preserve">)</t>
        </r>
      </text>
    </comment>
    <comment ref="E433" authorId="0">
      <text>
        <r>
          <rPr>
            <sz val="10"/>
            <rFont val="WenQuanYi Zen Hei"/>
            <family val="2"/>
          </rPr>
          <t xml:space="preserve">직접공사비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공급가액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의 </t>
        </r>
        <r>
          <rPr>
            <sz val="10"/>
            <rFont val="Arial"/>
            <family val="2"/>
          </rPr>
          <t xml:space="preserve">10%</t>
        </r>
        <r>
          <rPr>
            <sz val="10"/>
            <rFont val="WenQuanYi Zen Hei"/>
            <family val="2"/>
          </rPr>
          <t xml:space="preserve">는 준공 후 지급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유보금</t>
        </r>
        <r>
          <rPr>
            <sz val="10"/>
            <rFont val="Arial"/>
            <family val="2"/>
          </rPr>
          <t xml:space="preserve">) → </t>
        </r>
        <r>
          <rPr>
            <sz val="10"/>
            <rFont val="WenQuanYi Zen Hei"/>
            <family val="2"/>
          </rPr>
          <t xml:space="preserve">개발기간 재원조달 대상에서 차감</t>
        </r>
        <r>
          <rPr>
            <sz val="10"/>
            <rFont val="Arial"/>
            <family val="2"/>
          </rPr>
          <t xml:space="preserve">, CF</t>
        </r>
        <r>
          <rPr>
            <sz val="10"/>
            <rFont val="WenQuanYi Zen Hei"/>
            <family val="2"/>
          </rPr>
          <t xml:space="preserve">상 운영개시월 지급</t>
        </r>
      </text>
    </comment>
    <comment ref="I45" authorId="0">
      <text>
        <r>
          <rPr>
            <sz val="10"/>
            <rFont val="Arial"/>
            <family val="2"/>
          </rPr>
          <t xml:space="preserve">AMC </t>
        </r>
        <r>
          <rPr>
            <sz val="10"/>
            <rFont val="WenQuanYi Zen Hei"/>
            <family val="2"/>
          </rPr>
          <t xml:space="preserve">운영보수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자산보관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사무수탁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회계감사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일반관리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실사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예비비 등 리츠 고정비를 이 </t>
        </r>
        <r>
          <rPr>
            <sz val="10"/>
            <rFont val="Arial"/>
            <family val="2"/>
          </rPr>
          <t xml:space="preserve">Vehicle</t>
        </r>
        <r>
          <rPr>
            <sz val="10"/>
            <rFont val="WenQuanYi Zen Hei"/>
            <family val="2"/>
          </rPr>
          <t xml:space="preserve">이 부담하는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별도 리츠면 </t>
        </r>
        <r>
          <rPr>
            <sz val="10"/>
            <rFont val="Arial"/>
            <family val="2"/>
          </rPr>
          <t xml:space="preserve">100%(</t>
        </r>
        <r>
          <rPr>
            <sz val="10"/>
            <rFont val="WenQuanYi Zen Hei"/>
            <family val="2"/>
          </rPr>
          <t xml:space="preserve">비히클마다 중복 발생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<sst xmlns="http://schemas.openxmlformats.org/spreadsheetml/2006/main" count="4933" uniqueCount="744">
  <si>
    <r>
      <rPr>
        <b val="true"/>
        <sz val="12"/>
        <color rgb="FFFFFFFF"/>
        <rFont val="WenQuanYi Zen Hei"/>
        <family val="2"/>
      </rPr>
      <t xml:space="preserve">센텀</t>
    </r>
    <r>
      <rPr>
        <b val="true"/>
        <sz val="12"/>
        <color rgb="FFFFFFFF"/>
        <rFont val="Arial"/>
        <family val="0"/>
        <charset val="1"/>
      </rPr>
      <t xml:space="preserve">C</t>
    </r>
    <r>
      <rPr>
        <b val="true"/>
        <sz val="12"/>
        <color rgb="FFFFFFFF"/>
        <rFont val="WenQuanYi Zen Hei"/>
        <family val="2"/>
      </rPr>
      <t xml:space="preserve">부지 복합개발사업 — </t>
    </r>
    <r>
      <rPr>
        <b val="true"/>
        <sz val="12"/>
        <color rgb="FFFFFFFF"/>
        <rFont val="Arial"/>
        <family val="0"/>
        <charset val="1"/>
      </rPr>
      <t xml:space="preserve">Vehicle </t>
    </r>
    <r>
      <rPr>
        <b val="true"/>
        <sz val="12"/>
        <color rgb="FFFFFFFF"/>
        <rFont val="WenQuanYi Zen Hei"/>
        <family val="2"/>
      </rPr>
      <t xml:space="preserve">분리 비교</t>
    </r>
  </si>
  <si>
    <r>
      <rPr>
        <i val="true"/>
        <sz val="9"/>
        <color rgb="FFFFFFFF"/>
        <rFont val="WenQuanYi Zen Hei"/>
        <family val="2"/>
      </rPr>
      <t xml:space="preserve">① 통합</t>
    </r>
    <r>
      <rPr>
        <i val="true"/>
        <sz val="9"/>
        <color rgb="FFFFFFFF"/>
        <rFont val="Arial"/>
        <family val="0"/>
        <charset val="1"/>
      </rPr>
      <t xml:space="preserve">(</t>
    </r>
    <r>
      <rPr>
        <i val="true"/>
        <sz val="9"/>
        <color rgb="FFFFFFFF"/>
        <rFont val="WenQuanYi Zen Hei"/>
        <family val="2"/>
      </rPr>
      <t xml:space="preserve">시니어</t>
    </r>
    <r>
      <rPr>
        <i val="true"/>
        <sz val="9"/>
        <color rgb="FFFFFFFF"/>
        <rFont val="Arial"/>
        <family val="0"/>
        <charset val="1"/>
      </rPr>
      <t xml:space="preserve">+</t>
    </r>
    <r>
      <rPr>
        <i val="true"/>
        <sz val="9"/>
        <color rgb="FFFFFFFF"/>
        <rFont val="WenQuanYi Zen Hei"/>
        <family val="2"/>
      </rPr>
      <t xml:space="preserve">기타 단일 리츠</t>
    </r>
    <r>
      <rPr>
        <i val="true"/>
        <sz val="9"/>
        <color rgb="FFFFFFFF"/>
        <rFont val="Arial"/>
        <family val="0"/>
        <charset val="1"/>
      </rPr>
      <t xml:space="preserve">) vs ② </t>
    </r>
    <r>
      <rPr>
        <i val="true"/>
        <sz val="9"/>
        <color rgb="FFFFFFFF"/>
        <rFont val="WenQuanYi Zen Hei"/>
        <family val="2"/>
      </rPr>
      <t xml:space="preserve">시니어 레지던스 리츠 </t>
    </r>
    <r>
      <rPr>
        <i val="true"/>
        <sz val="9"/>
        <color rgb="FFFFFFFF"/>
        <rFont val="Arial"/>
        <family val="0"/>
        <charset val="1"/>
      </rPr>
      <t xml:space="preserve">+ ③ </t>
    </r>
    <r>
      <rPr>
        <i val="true"/>
        <sz val="9"/>
        <color rgb="FFFFFFFF"/>
        <rFont val="WenQuanYi Zen Hei"/>
        <family val="2"/>
      </rPr>
      <t xml:space="preserve">기타 용도 리츠 </t>
    </r>
    <r>
      <rPr>
        <i val="true"/>
        <sz val="9"/>
        <color rgb="FFFFFFFF"/>
        <rFont val="Arial"/>
        <family val="0"/>
        <charset val="1"/>
      </rPr>
      <t xml:space="preserve">(</t>
    </r>
    <r>
      <rPr>
        <i val="true"/>
        <sz val="9"/>
        <color rgb="FFFFFFFF"/>
        <rFont val="WenQuanYi Zen Hei"/>
        <family val="2"/>
      </rPr>
      <t xml:space="preserve">단위</t>
    </r>
    <r>
      <rPr>
        <i val="true"/>
        <sz val="9"/>
        <color rgb="FFFFFFFF"/>
        <rFont val="Arial"/>
        <family val="0"/>
        <charset val="1"/>
      </rPr>
      <t xml:space="preserve">: </t>
    </r>
    <r>
      <rPr>
        <i val="true"/>
        <sz val="9"/>
        <color rgb="FFFFFFFF"/>
        <rFont val="WenQuanYi Zen Hei"/>
        <family val="2"/>
      </rPr>
      <t xml:space="preserve">백만원</t>
    </r>
    <r>
      <rPr>
        <i val="true"/>
        <sz val="9"/>
        <color rgb="FFFFFFFF"/>
        <rFont val="Arial"/>
        <family val="0"/>
        <charset val="1"/>
      </rPr>
      <t xml:space="preserve">)</t>
    </r>
  </si>
  <si>
    <t xml:space="preserve">항목</t>
  </si>
  <si>
    <t xml:space="preserve">단위</t>
  </si>
  <si>
    <t xml:space="preserve">① 통합</t>
  </si>
  <si>
    <r>
      <rPr>
        <b val="true"/>
        <sz val="9"/>
        <color rgb="FFFFFFFF"/>
        <rFont val="WenQuanYi Zen Hei"/>
        <family val="2"/>
      </rPr>
      <t xml:space="preserve">② 시니어 </t>
    </r>
    <r>
      <rPr>
        <b val="true"/>
        <sz val="9"/>
        <color rgb="FFFFFFFF"/>
        <rFont val="Arial"/>
        <family val="0"/>
        <charset val="1"/>
      </rPr>
      <t xml:space="preserve">Vehicle</t>
    </r>
  </si>
  <si>
    <r>
      <rPr>
        <b val="true"/>
        <sz val="9"/>
        <color rgb="FFFFFFFF"/>
        <rFont val="WenQuanYi Zen Hei"/>
        <family val="2"/>
      </rPr>
      <t xml:space="preserve">③ 기타 </t>
    </r>
    <r>
      <rPr>
        <b val="true"/>
        <sz val="9"/>
        <color rgb="FFFFFFFF"/>
        <rFont val="Arial"/>
        <family val="0"/>
        <charset val="1"/>
      </rPr>
      <t xml:space="preserve">Vehicle</t>
    </r>
  </si>
  <si>
    <r>
      <rPr>
        <b val="true"/>
        <sz val="9"/>
        <color rgb="FFFFFFFF"/>
        <rFont val="Arial"/>
        <family val="0"/>
        <charset val="1"/>
      </rPr>
      <t xml:space="preserve">②+③ </t>
    </r>
    <r>
      <rPr>
        <b val="true"/>
        <sz val="9"/>
        <color rgb="FFFFFFFF"/>
        <rFont val="WenQuanYi Zen Hei"/>
        <family val="2"/>
      </rPr>
      <t xml:space="preserve">합계</t>
    </r>
  </si>
  <si>
    <r>
      <rPr>
        <b val="true"/>
        <sz val="9"/>
        <color rgb="FFFFFFFF"/>
        <rFont val="WenQuanYi Zen Hei"/>
        <family val="2"/>
      </rPr>
      <t xml:space="preserve">차이 </t>
    </r>
    <r>
      <rPr>
        <b val="true"/>
        <sz val="9"/>
        <color rgb="FFFFFFFF"/>
        <rFont val="Arial"/>
        <family val="0"/>
        <charset val="1"/>
      </rPr>
      <t xml:space="preserve">(②+③ − ①)</t>
    </r>
  </si>
  <si>
    <t xml:space="preserve">비고</t>
  </si>
  <si>
    <t xml:space="preserve">검증</t>
  </si>
  <si>
    <t xml:space="preserve">Balance / Macro / Shortage / Cash Check</t>
  </si>
  <si>
    <t xml:space="preserve">개요</t>
  </si>
  <si>
    <r>
      <rPr>
        <sz val="9"/>
        <color rgb="FF000000"/>
        <rFont val="Arial"/>
        <family val="0"/>
        <charset val="1"/>
      </rPr>
      <t xml:space="preserve">Vehicle </t>
    </r>
    <r>
      <rPr>
        <sz val="9"/>
        <color rgb="FF000000"/>
        <rFont val="WenQuanYi Zen Hei"/>
        <family val="2"/>
      </rPr>
      <t xml:space="preserve">연면적</t>
    </r>
  </si>
  <si>
    <t xml:space="preserve">평</t>
  </si>
  <si>
    <t xml:space="preserve">토지 지분</t>
  </si>
  <si>
    <t xml:space="preserve">%</t>
  </si>
  <si>
    <r>
      <rPr>
        <sz val="9"/>
        <color rgb="FF000000"/>
        <rFont val="Arial"/>
        <family val="0"/>
        <charset val="1"/>
      </rPr>
      <t xml:space="preserve">VAT </t>
    </r>
    <r>
      <rPr>
        <sz val="9"/>
        <color rgb="FF000000"/>
        <rFont val="WenQuanYi Zen Hei"/>
        <family val="2"/>
      </rPr>
      <t xml:space="preserve">공통 공제비율</t>
    </r>
  </si>
  <si>
    <r>
      <rPr>
        <i val="true"/>
        <sz val="9"/>
        <color rgb="FF595959"/>
        <rFont val="WenQuanYi Zen Hei"/>
        <family val="2"/>
      </rPr>
      <t xml:space="preserve">면세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시니어</t>
    </r>
    <r>
      <rPr>
        <i val="true"/>
        <sz val="9"/>
        <color rgb="FF595959"/>
        <rFont val="Arial"/>
        <family val="0"/>
        <charset val="1"/>
      </rPr>
      <t xml:space="preserve">)·</t>
    </r>
    <r>
      <rPr>
        <i val="true"/>
        <sz val="9"/>
        <color rgb="FF595959"/>
        <rFont val="WenQuanYi Zen Hei"/>
        <family val="2"/>
      </rPr>
      <t xml:space="preserve">과세 혼재 시 안분 → 분리하면 ②는 </t>
    </r>
    <r>
      <rPr>
        <i val="true"/>
        <sz val="9"/>
        <color rgb="FF595959"/>
        <rFont val="Arial"/>
        <family val="0"/>
        <charset val="1"/>
      </rPr>
      <t xml:space="preserve">0%, ③</t>
    </r>
    <r>
      <rPr>
        <i val="true"/>
        <sz val="9"/>
        <color rgb="FF595959"/>
        <rFont val="WenQuanYi Zen Hei"/>
        <family val="2"/>
      </rPr>
      <t xml:space="preserve">은 </t>
    </r>
    <r>
      <rPr>
        <i val="true"/>
        <sz val="9"/>
        <color rgb="FF595959"/>
        <rFont val="Arial"/>
        <family val="0"/>
        <charset val="1"/>
      </rPr>
      <t xml:space="preserve">100% </t>
    </r>
    <r>
      <rPr>
        <i val="true"/>
        <sz val="9"/>
        <color rgb="FF595959"/>
        <rFont val="WenQuanYi Zen Hei"/>
        <family val="2"/>
      </rPr>
      <t xml:space="preserve">공제</t>
    </r>
  </si>
  <si>
    <r>
      <rPr>
        <b val="true"/>
        <sz val="9"/>
        <color rgb="FFFFFFFF"/>
        <rFont val="WenQuanYi Zen Hei"/>
        <family val="2"/>
      </rPr>
      <t xml:space="preserve">개발사업비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공제후 순액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</si>
  <si>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토지비</t>
  </si>
  <si>
    <t xml:space="preserve">백만원</t>
  </si>
  <si>
    <t xml:space="preserve">직접공사비</t>
  </si>
  <si>
    <r>
      <rPr>
        <i val="true"/>
        <sz val="9"/>
        <color rgb="FF595959"/>
        <rFont val="Arial"/>
        <family val="0"/>
        <charset val="1"/>
      </rPr>
      <t xml:space="preserve">VAT </t>
    </r>
    <r>
      <rPr>
        <i val="true"/>
        <sz val="9"/>
        <color rgb="FF595959"/>
        <rFont val="WenQuanYi Zen Hei"/>
        <family val="2"/>
      </rPr>
      <t xml:space="preserve">공제율 변화 영향</t>
    </r>
  </si>
  <si>
    <t xml:space="preserve">간접공사비</t>
  </si>
  <si>
    <t xml:space="preserve">판매비</t>
  </si>
  <si>
    <t xml:space="preserve">부대비용</t>
  </si>
  <si>
    <r>
      <rPr>
        <sz val="9"/>
        <color rgb="FF000000"/>
        <rFont val="WenQuanYi Zen Hei"/>
        <family val="2"/>
      </rPr>
      <t xml:space="preserve">금융비용</t>
    </r>
    <r>
      <rPr>
        <sz val="9"/>
        <color rgb="FF000000"/>
        <rFont val="Arial"/>
        <family val="0"/>
        <charset val="1"/>
      </rPr>
      <t xml:space="preserve">(PF)</t>
    </r>
  </si>
  <si>
    <r>
      <rPr>
        <i val="true"/>
        <sz val="9"/>
        <color rgb="FF595959"/>
        <rFont val="WenQuanYi Zen Hei"/>
        <family val="2"/>
      </rPr>
      <t xml:space="preserve">보증금 교차보조 소멸 → ③ </t>
    </r>
    <r>
      <rPr>
        <i val="true"/>
        <sz val="9"/>
        <color rgb="FF595959"/>
        <rFont val="Arial"/>
        <family val="0"/>
        <charset val="1"/>
      </rPr>
      <t xml:space="preserve">PF </t>
    </r>
    <r>
      <rPr>
        <i val="true"/>
        <sz val="9"/>
        <color rgb="FF595959"/>
        <rFont val="WenQuanYi Zen Hei"/>
        <family val="2"/>
      </rPr>
      <t xml:space="preserve">인출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이자 증가</t>
    </r>
  </si>
  <si>
    <r>
      <rPr>
        <sz val="9"/>
        <color rgb="FF000000"/>
        <rFont val="WenQuanYi Zen Hei"/>
        <family val="2"/>
      </rPr>
      <t xml:space="preserve">리츠운용비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</si>
  <si>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t xml:space="preserve">리츠 고정비 비히클별 중복</t>
  </si>
  <si>
    <t xml:space="preserve">총사업비</t>
  </si>
  <si>
    <t xml:space="preserve">재원조달</t>
  </si>
  <si>
    <t xml:space="preserve">재원조달요구액</t>
  </si>
  <si>
    <r>
      <rPr>
        <sz val="9"/>
        <color rgb="FF000000"/>
        <rFont val="WenQuanYi Zen Hei"/>
        <family val="2"/>
      </rPr>
      <t xml:space="preserve">자기자본</t>
    </r>
    <r>
      <rPr>
        <sz val="9"/>
        <color rgb="FF000000"/>
        <rFont val="Arial"/>
        <family val="0"/>
        <charset val="1"/>
      </rPr>
      <t xml:space="preserve">(Equity)</t>
    </r>
  </si>
  <si>
    <t xml:space="preserve">  우선주</t>
  </si>
  <si>
    <t xml:space="preserve">  보통주</t>
  </si>
  <si>
    <r>
      <rPr>
        <sz val="9"/>
        <color rgb="FF000000"/>
        <rFont val="Arial"/>
        <family val="0"/>
        <charset val="1"/>
      </rPr>
      <t xml:space="preserve">PF </t>
    </r>
    <r>
      <rPr>
        <sz val="9"/>
        <color rgb="FF000000"/>
        <rFont val="WenQuanYi Zen Hei"/>
        <family val="2"/>
      </rPr>
      <t xml:space="preserve">한도</t>
    </r>
  </si>
  <si>
    <r>
      <rPr>
        <sz val="9"/>
        <color rgb="FF000000"/>
        <rFont val="Arial"/>
        <family val="0"/>
        <charset val="1"/>
      </rPr>
      <t xml:space="preserve">PF </t>
    </r>
    <r>
      <rPr>
        <sz val="9"/>
        <color rgb="FF000000"/>
        <rFont val="WenQuanYi Zen Hei"/>
        <family val="2"/>
      </rPr>
      <t xml:space="preserve">최대 인출액</t>
    </r>
  </si>
  <si>
    <r>
      <rPr>
        <sz val="9"/>
        <color rgb="FF000000"/>
        <rFont val="WenQuanYi Zen Hei"/>
        <family val="2"/>
      </rPr>
      <t xml:space="preserve">준공시점 보증금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시니어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레지던스</t>
    </r>
    <r>
      <rPr>
        <sz val="9"/>
        <color rgb="FF000000"/>
        <rFont val="Arial"/>
        <family val="0"/>
        <charset val="1"/>
      </rPr>
      <t xml:space="preserve">)</t>
    </r>
  </si>
  <si>
    <t xml:space="preserve">준공후 담보대출</t>
  </si>
  <si>
    <r>
      <rPr>
        <sz val="9"/>
        <color rgb="FF000000"/>
        <rFont val="WenQuanYi Zen Hei"/>
        <family val="2"/>
      </rPr>
      <t xml:space="preserve">증자 필요액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현금부족</t>
    </r>
    <r>
      <rPr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</si>
  <si>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0</t>
    </r>
    <r>
      <rPr>
        <i val="true"/>
        <sz val="9"/>
        <color rgb="FF595959"/>
        <rFont val="WenQuanYi Zen Hei"/>
        <family val="2"/>
      </rPr>
      <t xml:space="preserve">이 아니면 해당 </t>
    </r>
    <r>
      <rPr>
        <i val="true"/>
        <sz val="9"/>
        <color rgb="FF595959"/>
        <rFont val="Arial"/>
        <family val="0"/>
        <charset val="1"/>
      </rPr>
      <t xml:space="preserve">Vehicle </t>
    </r>
    <r>
      <rPr>
        <i val="true"/>
        <sz val="9"/>
        <color rgb="FF595959"/>
        <rFont val="WenQuanYi Zen Hei"/>
        <family val="2"/>
      </rPr>
      <t xml:space="preserve">현금부족 발생</t>
    </r>
  </si>
  <si>
    <t xml:space="preserve">운영 및 매각</t>
  </si>
  <si>
    <t xml:space="preserve">운영수입 합계</t>
  </si>
  <si>
    <r>
      <rPr>
        <b val="true"/>
        <sz val="9"/>
        <color rgb="FF000000"/>
        <rFont val="Arial"/>
        <family val="0"/>
        <charset val="1"/>
      </rPr>
      <t xml:space="preserve">NOI </t>
    </r>
    <r>
      <rPr>
        <b val="true"/>
        <sz val="9"/>
        <color rgb="FF000000"/>
        <rFont val="WenQuanYi Zen Hei"/>
        <family val="2"/>
      </rPr>
      <t xml:space="preserve">합계</t>
    </r>
  </si>
  <si>
    <r>
      <rPr>
        <sz val="9"/>
        <color rgb="FF000000"/>
        <rFont val="WenQuanYi Zen Hei"/>
        <family val="2"/>
      </rPr>
      <t xml:space="preserve">공통비용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리츠운용비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운영</t>
    </r>
    <r>
      <rPr>
        <sz val="9"/>
        <color rgb="FF000000"/>
        <rFont val="Arial"/>
        <family val="0"/>
        <charset val="1"/>
      </rPr>
      <t xml:space="preserve">)</t>
    </r>
  </si>
  <si>
    <t xml:space="preserve">리츠 고정비 중복</t>
  </si>
  <si>
    <t xml:space="preserve">담보대출 이자</t>
  </si>
  <si>
    <t xml:space="preserve">보유현금 이자수익</t>
  </si>
  <si>
    <r>
      <rPr>
        <sz val="9"/>
        <color rgb="FF000000"/>
        <rFont val="WenQuanYi Zen Hei"/>
        <family val="2"/>
      </rPr>
      <t xml:space="preserve">최대 유휴현금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기말현금 최대</t>
    </r>
    <r>
      <rPr>
        <sz val="9"/>
        <color rgb="FF000000"/>
        <rFont val="Arial"/>
        <family val="0"/>
        <charset val="1"/>
      </rPr>
      <t xml:space="preserve">)</t>
    </r>
  </si>
  <si>
    <t xml:space="preserve">보증금 잉여가 비히클 안에 묶임</t>
  </si>
  <si>
    <t xml:space="preserve">매각가치</t>
  </si>
  <si>
    <t xml:space="preserve">처분시 보증금 승계액</t>
  </si>
  <si>
    <r>
      <rPr>
        <i val="true"/>
        <sz val="9"/>
        <color rgb="FF595959"/>
        <rFont val="WenQuanYi Zen Hei"/>
        <family val="2"/>
      </rPr>
      <t xml:space="preserve">매각대금에서 차감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매수인 인계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</si>
  <si>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분배 및 수익률</t>
  </si>
  <si>
    <r>
      <rPr>
        <sz val="9"/>
        <color rgb="FF000000"/>
        <rFont val="Arial"/>
        <family val="0"/>
        <charset val="1"/>
      </rPr>
      <t xml:space="preserve">Equity </t>
    </r>
    <r>
      <rPr>
        <sz val="9"/>
        <color rgb="FF000000"/>
        <rFont val="WenQuanYi Zen Hei"/>
        <family val="2"/>
      </rPr>
      <t xml:space="preserve">투입</t>
    </r>
  </si>
  <si>
    <t xml:space="preserve">우선주 배당</t>
  </si>
  <si>
    <t xml:space="preserve">우선주 원금상환</t>
  </si>
  <si>
    <t xml:space="preserve">보통주 분배</t>
  </si>
  <si>
    <r>
      <rPr>
        <sz val="9"/>
        <color rgb="FF000000"/>
        <rFont val="Arial"/>
        <family val="0"/>
        <charset val="1"/>
      </rPr>
      <t xml:space="preserve">Equity </t>
    </r>
    <r>
      <rPr>
        <sz val="9"/>
        <color rgb="FF000000"/>
        <rFont val="WenQuanYi Zen Hei"/>
        <family val="2"/>
      </rPr>
      <t xml:space="preserve">순수익</t>
    </r>
  </si>
  <si>
    <r>
      <rPr>
        <i val="true"/>
        <sz val="9"/>
        <color rgb="FF595959"/>
        <rFont val="WenQuanYi Zen Hei"/>
        <family val="2"/>
      </rPr>
      <t xml:space="preserve">분배 합계 − </t>
    </r>
    <r>
      <rPr>
        <i val="true"/>
        <sz val="9"/>
        <color rgb="FF595959"/>
        <rFont val="Arial"/>
        <family val="0"/>
        <charset val="1"/>
      </rPr>
      <t xml:space="preserve">Equity </t>
    </r>
    <r>
      <rPr>
        <i val="true"/>
        <sz val="9"/>
        <color rgb="FF595959"/>
        <rFont val="WenQuanYi Zen Hei"/>
        <family val="2"/>
      </rPr>
      <t xml:space="preserve">투입</t>
    </r>
  </si>
  <si>
    <t xml:space="preserve">Equity Multiple</t>
  </si>
  <si>
    <t xml:space="preserve">x</t>
  </si>
  <si>
    <r>
      <rPr>
        <sz val="9"/>
        <color rgb="FF000000"/>
        <rFont val="Arial"/>
        <family val="0"/>
        <charset val="1"/>
      </rPr>
      <t xml:space="preserve">IRR (</t>
    </r>
    <r>
      <rPr>
        <sz val="9"/>
        <color rgb="FF000000"/>
        <rFont val="WenQuanYi Zen Hei"/>
        <family val="2"/>
      </rPr>
      <t xml:space="preserve">보통주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</si>
  <si>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IRR (</t>
    </r>
    <r>
      <rPr>
        <sz val="9"/>
        <color rgb="FF000000"/>
        <rFont val="WenQuanYi Zen Hei"/>
        <family val="2"/>
      </rPr>
      <t xml:space="preserve">우선주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</si>
  <si>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IRR (</t>
    </r>
    <r>
      <rPr>
        <b val="true"/>
        <sz val="9"/>
        <color rgb="FF000000"/>
        <rFont val="WenQuanYi Zen Hei"/>
        <family val="2"/>
      </rPr>
      <t xml:space="preserve">전체 </t>
    </r>
    <r>
      <rPr>
        <b val="true"/>
        <sz val="9"/>
        <color rgb="FF000000"/>
        <rFont val="Arial"/>
        <family val="0"/>
        <charset val="1"/>
      </rPr>
      <t xml:space="preserve">Equity)</t>
    </r>
  </si>
  <si>
    <r>
      <rPr>
        <i val="true"/>
        <sz val="9"/>
        <color rgb="FF595959"/>
        <rFont val="Arial"/>
        <family val="0"/>
        <charset val="1"/>
      </rPr>
      <t xml:space="preserve">②+③</t>
    </r>
    <r>
      <rPr>
        <i val="true"/>
        <sz val="9"/>
        <color rgb="FF595959"/>
        <rFont val="WenQuanYi Zen Hei"/>
        <family val="2"/>
      </rPr>
      <t xml:space="preserve">은 두 비히클 월별 </t>
    </r>
    <r>
      <rPr>
        <i val="true"/>
        <sz val="9"/>
        <color rgb="FF595959"/>
        <rFont val="Arial"/>
        <family val="0"/>
        <charset val="1"/>
      </rPr>
      <t xml:space="preserve">CF</t>
    </r>
    <r>
      <rPr>
        <i val="true"/>
        <sz val="9"/>
        <color rgb="FF595959"/>
        <rFont val="WenQuanYi Zen Hei"/>
        <family val="2"/>
      </rPr>
      <t xml:space="preserve">를 합산해 </t>
    </r>
    <r>
      <rPr>
        <i val="true"/>
        <sz val="9"/>
        <color rgb="FF595959"/>
        <rFont val="Arial"/>
        <family val="0"/>
        <charset val="1"/>
      </rPr>
      <t xml:space="preserve">IRR </t>
    </r>
    <r>
      <rPr>
        <i val="true"/>
        <sz val="9"/>
        <color rgb="FF595959"/>
        <rFont val="WenQuanYi Zen Hei"/>
        <family val="2"/>
      </rPr>
      <t xml:space="preserve">재계산</t>
    </r>
  </si>
  <si>
    <t xml:space="preserve">분리 시 값이 달라지는 이유</t>
  </si>
  <si>
    <r>
      <rPr>
        <sz val="9"/>
        <color rgb="FF404040"/>
        <rFont val="Arial"/>
        <family val="0"/>
        <charset val="1"/>
      </rPr>
      <t xml:space="preserve">1) </t>
    </r>
    <r>
      <rPr>
        <sz val="9"/>
        <color rgb="FF404040"/>
        <rFont val="WenQuanYi Zen Hei"/>
        <family val="2"/>
      </rPr>
      <t xml:space="preserve">보증금 교차보조 소멸</t>
    </r>
    <r>
      <rPr>
        <sz val="9"/>
        <color rgb="FF404040"/>
        <rFont val="Arial"/>
        <family val="0"/>
        <charset val="1"/>
      </rPr>
      <t xml:space="preserve">: </t>
    </r>
    <r>
      <rPr>
        <sz val="9"/>
        <color rgb="FF404040"/>
        <rFont val="WenQuanYi Zen Hei"/>
        <family val="2"/>
      </rPr>
      <t xml:space="preserve">통합 시 시니어 입주보증금이 호텔</t>
    </r>
    <r>
      <rPr>
        <sz val="9"/>
        <color rgb="FF404040"/>
        <rFont val="Arial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오피스 공사비까지 충당 → 분리 시 ③은 </t>
    </r>
    <r>
      <rPr>
        <sz val="9"/>
        <color rgb="FF404040"/>
        <rFont val="Arial"/>
        <family val="0"/>
        <charset val="1"/>
      </rPr>
      <t xml:space="preserve">PF </t>
    </r>
    <r>
      <rPr>
        <sz val="9"/>
        <color rgb="FF404040"/>
        <rFont val="WenQuanYi Zen Hei"/>
        <family val="2"/>
      </rPr>
      <t xml:space="preserve">인출</t>
    </r>
    <r>
      <rPr>
        <sz val="9"/>
        <color rgb="FF404040"/>
        <rFont val="Arial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이자↑</t>
    </r>
    <r>
      <rPr>
        <sz val="9"/>
        <color rgb="FF404040"/>
        <rFont val="Arial"/>
        <family val="0"/>
        <charset val="1"/>
      </rPr>
      <t xml:space="preserve">, ②</t>
    </r>
    <r>
      <rPr>
        <sz val="9"/>
        <color rgb="FF404040"/>
        <rFont val="WenQuanYi Zen Hei"/>
        <family val="2"/>
      </rPr>
      <t xml:space="preserve">는 현금이 남아 유휴화</t>
    </r>
  </si>
  <si>
    <r>
      <rPr>
        <sz val="9"/>
        <color rgb="FF404040"/>
        <rFont val="Arial"/>
        <family val="0"/>
        <charset val="1"/>
      </rPr>
      <t xml:space="preserve">2) </t>
    </r>
    <r>
      <rPr>
        <sz val="9"/>
        <color rgb="FF404040"/>
        <rFont val="WenQuanYi Zen Hei"/>
        <family val="2"/>
      </rPr>
      <t xml:space="preserve">리츠 고정비 중복</t>
    </r>
    <r>
      <rPr>
        <sz val="9"/>
        <color rgb="FF404040"/>
        <rFont val="Arial"/>
        <family val="0"/>
        <charset val="1"/>
      </rPr>
      <t xml:space="preserve">: AMC </t>
    </r>
    <r>
      <rPr>
        <sz val="9"/>
        <color rgb="FF404040"/>
        <rFont val="WenQuanYi Zen Hei"/>
        <family val="2"/>
      </rPr>
      <t xml:space="preserve">운영보수</t>
    </r>
    <r>
      <rPr>
        <sz val="9"/>
        <color rgb="FF404040"/>
        <rFont val="Arial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자산보관</t>
    </r>
    <r>
      <rPr>
        <sz val="9"/>
        <color rgb="FF404040"/>
        <rFont val="Arial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사무수탁</t>
    </r>
    <r>
      <rPr>
        <sz val="9"/>
        <color rgb="FF404040"/>
        <rFont val="Arial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회계감사</t>
    </r>
    <r>
      <rPr>
        <sz val="9"/>
        <color rgb="FF404040"/>
        <rFont val="Arial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실사비 등이 비히클마다 발생 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각 가정시트의 </t>
    </r>
    <r>
      <rPr>
        <sz val="9"/>
        <color rgb="FF404040"/>
        <rFont val="Arial"/>
        <family val="0"/>
        <charset val="1"/>
      </rPr>
      <t xml:space="preserve">"</t>
    </r>
    <r>
      <rPr>
        <sz val="9"/>
        <color rgb="FF404040"/>
        <rFont val="WenQuanYi Zen Hei"/>
        <family val="2"/>
      </rPr>
      <t xml:space="preserve">리츠 고정비 적용비율</t>
    </r>
    <r>
      <rPr>
        <sz val="9"/>
        <color rgb="FF404040"/>
        <rFont val="Arial"/>
        <family val="0"/>
        <charset val="1"/>
      </rPr>
      <t xml:space="preserve">"</t>
    </r>
    <r>
      <rPr>
        <sz val="9"/>
        <color rgb="FF404040"/>
        <rFont val="WenQuanYi Zen Hei"/>
        <family val="2"/>
      </rPr>
      <t xml:space="preserve">로 조정 가능</t>
    </r>
    <r>
      <rPr>
        <sz val="9"/>
        <color rgb="FF404040"/>
        <rFont val="Arial"/>
        <family val="0"/>
        <charset val="1"/>
      </rPr>
      <t xml:space="preserve">)</t>
    </r>
  </si>
  <si>
    <r>
      <rPr>
        <sz val="9"/>
        <color rgb="FF404040"/>
        <rFont val="Arial"/>
        <family val="0"/>
        <charset val="1"/>
      </rPr>
      <t xml:space="preserve">3) VAT: </t>
    </r>
    <r>
      <rPr>
        <sz val="9"/>
        <color rgb="FF404040"/>
        <rFont val="WenQuanYi Zen Hei"/>
        <family val="2"/>
      </rPr>
      <t xml:space="preserve">통합 시 공통비용은 과세면적 비율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약 </t>
    </r>
    <r>
      <rPr>
        <sz val="9"/>
        <color rgb="FF404040"/>
        <rFont val="Arial"/>
        <family val="0"/>
        <charset val="1"/>
      </rPr>
      <t xml:space="preserve">71.9%)</t>
    </r>
    <r>
      <rPr>
        <sz val="9"/>
        <color rgb="FF404040"/>
        <rFont val="WenQuanYi Zen Hei"/>
        <family val="2"/>
      </rPr>
      <t xml:space="preserve">만 공제 → 분리 시 ③은 과세사업 </t>
    </r>
    <r>
      <rPr>
        <sz val="9"/>
        <color rgb="FF404040"/>
        <rFont val="Arial"/>
        <family val="0"/>
        <charset val="1"/>
      </rPr>
      <t xml:space="preserve">100% </t>
    </r>
    <r>
      <rPr>
        <sz val="9"/>
        <color rgb="FF404040"/>
        <rFont val="WenQuanYi Zen Hei"/>
        <family val="2"/>
      </rPr>
      <t xml:space="preserve">공제</t>
    </r>
    <r>
      <rPr>
        <sz val="9"/>
        <color rgb="FF404040"/>
        <rFont val="Arial"/>
        <family val="0"/>
        <charset val="1"/>
      </rPr>
      <t xml:space="preserve">, ②</t>
    </r>
    <r>
      <rPr>
        <sz val="9"/>
        <color rgb="FF404040"/>
        <rFont val="WenQuanYi Zen Hei"/>
        <family val="2"/>
      </rPr>
      <t xml:space="preserve">는 면세로 </t>
    </r>
    <r>
      <rPr>
        <sz val="9"/>
        <color rgb="FF404040"/>
        <rFont val="Arial"/>
        <family val="0"/>
        <charset val="1"/>
      </rPr>
      <t xml:space="preserve">0% </t>
    </r>
    <r>
      <rPr>
        <sz val="9"/>
        <color rgb="FF404040"/>
        <rFont val="WenQuanYi Zen Hei"/>
        <family val="2"/>
      </rPr>
      <t xml:space="preserve">공제</t>
    </r>
  </si>
  <si>
    <r>
      <rPr>
        <sz val="9"/>
        <color rgb="FF404040"/>
        <rFont val="Arial"/>
        <family val="0"/>
        <charset val="1"/>
      </rPr>
      <t xml:space="preserve">4) </t>
    </r>
    <r>
      <rPr>
        <sz val="9"/>
        <color rgb="FF404040"/>
        <rFont val="WenQuanYi Zen Hei"/>
        <family val="2"/>
      </rPr>
      <t xml:space="preserve">자본구조</t>
    </r>
    <r>
      <rPr>
        <sz val="9"/>
        <color rgb="FF404040"/>
        <rFont val="Arial"/>
        <family val="0"/>
        <charset val="1"/>
      </rPr>
      <t xml:space="preserve">: </t>
    </r>
    <r>
      <rPr>
        <sz val="9"/>
        <color rgb="FF404040"/>
        <rFont val="WenQuanYi Zen Hei"/>
        <family val="2"/>
      </rPr>
      <t xml:space="preserve">각 비히클이 자기 사업비 기준으로 </t>
    </r>
    <r>
      <rPr>
        <sz val="9"/>
        <color rgb="FF404040"/>
        <rFont val="Arial"/>
        <family val="0"/>
        <charset val="1"/>
      </rPr>
      <t xml:space="preserve">Equity 20% / PF 80% </t>
    </r>
    <r>
      <rPr>
        <sz val="9"/>
        <color rgb="FF404040"/>
        <rFont val="WenQuanYi Zen Hei"/>
        <family val="2"/>
      </rPr>
      <t xml:space="preserve">한도를 따로 잡음</t>
    </r>
    <r>
      <rPr>
        <sz val="9"/>
        <color rgb="FF404040"/>
        <rFont val="Arial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최소보유현금도 비히클별 적용</t>
    </r>
  </si>
  <si>
    <r>
      <rPr>
        <sz val="9"/>
        <color rgb="FF404040"/>
        <rFont val="Arial"/>
        <family val="0"/>
        <charset val="1"/>
      </rPr>
      <t xml:space="preserve">5) </t>
    </r>
    <r>
      <rPr>
        <sz val="9"/>
        <color rgb="FF404040"/>
        <rFont val="WenQuanYi Zen Hei"/>
        <family val="2"/>
      </rPr>
      <t xml:space="preserve">시니어 단독 리츠는 매각가치</t>
    </r>
    <r>
      <rPr>
        <sz val="9"/>
        <color rgb="FF404040"/>
        <rFont val="Arial"/>
        <family val="0"/>
        <charset val="1"/>
      </rPr>
      <t xml:space="preserve">(NOI/Cap)</t>
    </r>
    <r>
      <rPr>
        <sz val="9"/>
        <color rgb="FF404040"/>
        <rFont val="WenQuanYi Zen Hei"/>
        <family val="2"/>
      </rPr>
      <t xml:space="preserve">보다 승계할 입주보증금이 커서 처분시 현금부족 발생 가능 → 가정시트 매각가정의 </t>
    </r>
    <r>
      <rPr>
        <sz val="9"/>
        <color rgb="FF404040"/>
        <rFont val="Arial"/>
        <family val="0"/>
        <charset val="1"/>
      </rPr>
      <t xml:space="preserve">"</t>
    </r>
    <r>
      <rPr>
        <sz val="9"/>
        <color rgb="FF404040"/>
        <rFont val="WenQuanYi Zen Hei"/>
        <family val="2"/>
      </rPr>
      <t xml:space="preserve">보증금 운용수익률</t>
    </r>
    <r>
      <rPr>
        <sz val="9"/>
        <color rgb="FF404040"/>
        <rFont val="Arial"/>
        <family val="0"/>
        <charset val="1"/>
      </rPr>
      <t xml:space="preserve">"</t>
    </r>
    <r>
      <rPr>
        <sz val="9"/>
        <color rgb="FF404040"/>
        <rFont val="WenQuanYi Zen Hei"/>
        <family val="2"/>
      </rPr>
      <t xml:space="preserve">로 평가방식 민감도 확인</t>
    </r>
  </si>
  <si>
    <r>
      <rPr>
        <b val="true"/>
        <sz val="9"/>
        <color rgb="FFFFFFFF"/>
        <rFont val="Arial"/>
        <family val="0"/>
        <charset val="1"/>
      </rPr>
      <t xml:space="preserve">②+③ </t>
    </r>
    <r>
      <rPr>
        <b val="true"/>
        <sz val="9"/>
        <color rgb="FFFFFFFF"/>
        <rFont val="WenQuanYi Zen Hei"/>
        <family val="2"/>
      </rPr>
      <t xml:space="preserve">합산 투자자 월별 현금흐름 </t>
    </r>
    <r>
      <rPr>
        <b val="true"/>
        <sz val="9"/>
        <color rgb="FFFFFFFF"/>
        <rFont val="Arial"/>
        <family val="0"/>
        <charset val="1"/>
      </rPr>
      <t xml:space="preserve">(IRR </t>
    </r>
    <r>
      <rPr>
        <b val="true"/>
        <sz val="9"/>
        <color rgb="FFFFFFFF"/>
        <rFont val="WenQuanYi Zen Hei"/>
        <family val="2"/>
      </rPr>
      <t xml:space="preserve">계산용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</si>
  <si>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월말일자</t>
  </si>
  <si>
    <r>
      <rPr>
        <sz val="9"/>
        <color rgb="FF000000"/>
        <rFont val="WenQuanYi Zen Hei"/>
        <family val="2"/>
      </rPr>
      <t xml:space="preserve">보통주 </t>
    </r>
    <r>
      <rPr>
        <sz val="9"/>
        <color rgb="FF000000"/>
        <rFont val="Arial"/>
        <family val="0"/>
        <charset val="1"/>
      </rPr>
      <t xml:space="preserve">CF (②+③)</t>
    </r>
  </si>
  <si>
    <r>
      <rPr>
        <sz val="9"/>
        <color rgb="FF000000"/>
        <rFont val="WenQuanYi Zen Hei"/>
        <family val="2"/>
      </rPr>
      <t xml:space="preserve">우선주 </t>
    </r>
    <r>
      <rPr>
        <sz val="9"/>
        <color rgb="FF000000"/>
        <rFont val="Arial"/>
        <family val="0"/>
        <charset val="1"/>
      </rPr>
      <t xml:space="preserve">CF (②+③)</t>
    </r>
  </si>
  <si>
    <r>
      <rPr>
        <sz val="9"/>
        <color rgb="FF000000"/>
        <rFont val="WenQuanYi Zen Hei"/>
        <family val="2"/>
      </rPr>
      <t xml:space="preserve">전체 </t>
    </r>
    <r>
      <rPr>
        <sz val="9"/>
        <color rgb="FF000000"/>
        <rFont val="Arial"/>
        <family val="0"/>
        <charset val="1"/>
      </rPr>
      <t xml:space="preserve">Equity CF (②+③)</t>
    </r>
  </si>
  <si>
    <r>
      <rPr>
        <b val="true"/>
        <sz val="12"/>
        <color rgb="FFFFFFFF"/>
        <rFont val="WenQuanYi Zen Hei"/>
        <family val="2"/>
      </rPr>
      <t xml:space="preserve">센텀</t>
    </r>
    <r>
      <rPr>
        <b val="true"/>
        <sz val="12"/>
        <color rgb="FFFFFFFF"/>
        <rFont val="Arial"/>
        <family val="0"/>
        <charset val="1"/>
      </rPr>
      <t xml:space="preserve">C</t>
    </r>
    <r>
      <rPr>
        <b val="true"/>
        <sz val="12"/>
        <color rgb="FFFFFFFF"/>
        <rFont val="WenQuanYi Zen Hei"/>
        <family val="2"/>
      </rPr>
      <t xml:space="preserve">부지 복합개발사업 재무모델</t>
    </r>
  </si>
  <si>
    <t xml:space="preserve">입력값</t>
  </si>
  <si>
    <r>
      <rPr>
        <sz val="9"/>
        <color rgb="FFFFFFFF"/>
        <rFont val="WenQuanYi Zen Hei"/>
        <family val="2"/>
      </rPr>
      <t xml:space="preserve">파란 글씨 </t>
    </r>
    <r>
      <rPr>
        <sz val="9"/>
        <color rgb="FFFFFFFF"/>
        <rFont val="Arial"/>
        <family val="0"/>
        <charset val="1"/>
      </rPr>
      <t xml:space="preserve">= </t>
    </r>
    <r>
      <rPr>
        <sz val="9"/>
        <color rgb="FFFFFFFF"/>
        <rFont val="WenQuanYi Zen Hei"/>
        <family val="2"/>
      </rPr>
      <t xml:space="preserve">입력</t>
    </r>
    <r>
      <rPr>
        <sz val="9"/>
        <color rgb="FFFFFFFF"/>
        <rFont val="Arial"/>
        <family val="0"/>
        <charset val="1"/>
      </rPr>
      <t xml:space="preserve">(</t>
    </r>
    <r>
      <rPr>
        <sz val="9"/>
        <color rgb="FFFFFFFF"/>
        <rFont val="WenQuanYi Zen Hei"/>
        <family val="2"/>
      </rPr>
      <t xml:space="preserve">하드코딩</t>
    </r>
    <r>
      <rPr>
        <sz val="9"/>
        <color rgb="FFFFFFFF"/>
        <rFont val="Arial"/>
        <family val="0"/>
        <charset val="1"/>
      </rPr>
      <t xml:space="preserve">)</t>
    </r>
  </si>
  <si>
    <r>
      <rPr>
        <b val="true"/>
        <i val="true"/>
        <sz val="9"/>
        <color rgb="FFFFFF00"/>
        <rFont val="WenQuanYi Zen Hei"/>
        <family val="2"/>
      </rPr>
      <t xml:space="preserve">① 통합 </t>
    </r>
    <r>
      <rPr>
        <b val="true"/>
        <i val="true"/>
        <sz val="9"/>
        <color rgb="FFFFFF00"/>
        <rFont val="Arial"/>
        <family val="0"/>
        <charset val="1"/>
      </rPr>
      <t xml:space="preserve">(</t>
    </r>
    <r>
      <rPr>
        <b val="true"/>
        <i val="true"/>
        <sz val="9"/>
        <color rgb="FFFFFF00"/>
        <rFont val="WenQuanYi Zen Hei"/>
        <family val="2"/>
      </rPr>
      <t xml:space="preserve">단일 </t>
    </r>
    <r>
      <rPr>
        <b val="true"/>
        <i val="true"/>
        <sz val="9"/>
        <color rgb="FFFFFF00"/>
        <rFont val="Arial"/>
        <family val="0"/>
        <charset val="1"/>
      </rPr>
      <t xml:space="preserve">Vehicle)  —  Assumption  (</t>
    </r>
    <r>
      <rPr>
        <b val="true"/>
        <i val="true"/>
        <sz val="9"/>
        <color rgb="FFFFFF00"/>
        <rFont val="WenQuanYi Zen Hei"/>
        <family val="2"/>
      </rPr>
      <t xml:space="preserve">단위</t>
    </r>
    <r>
      <rPr>
        <b val="true"/>
        <i val="true"/>
        <sz val="9"/>
        <color rgb="FFFFFF00"/>
        <rFont val="Arial"/>
        <family val="0"/>
        <charset val="1"/>
      </rPr>
      <t xml:space="preserve">: </t>
    </r>
    <r>
      <rPr>
        <b val="true"/>
        <i val="true"/>
        <sz val="9"/>
        <color rgb="FFFFFF00"/>
        <rFont val="WenQuanYi Zen Hei"/>
        <family val="2"/>
      </rPr>
      <t xml:space="preserve">백만원</t>
    </r>
    <r>
      <rPr>
        <b val="true"/>
        <i val="true"/>
        <sz val="9"/>
        <color rgb="FFFFFF00"/>
        <rFont val="Arial"/>
        <family val="0"/>
        <charset val="1"/>
      </rPr>
      <t xml:space="preserve">)</t>
    </r>
  </si>
  <si>
    <t xml:space="preserve">수식</t>
  </si>
  <si>
    <r>
      <rPr>
        <sz val="9"/>
        <color rgb="FFFFFFFF"/>
        <rFont val="WenQuanYi Zen Hei"/>
        <family val="2"/>
      </rPr>
      <t xml:space="preserve">검정 </t>
    </r>
    <r>
      <rPr>
        <sz val="9"/>
        <color rgb="FFFFFFFF"/>
        <rFont val="Arial"/>
        <family val="0"/>
        <charset val="1"/>
      </rPr>
      <t xml:space="preserve">= </t>
    </r>
    <r>
      <rPr>
        <sz val="9"/>
        <color rgb="FFFFFFFF"/>
        <rFont val="WenQuanYi Zen Hei"/>
        <family val="2"/>
      </rPr>
      <t xml:space="preserve">계산 수식</t>
    </r>
  </si>
  <si>
    <t xml:space="preserve">연결</t>
  </si>
  <si>
    <r>
      <rPr>
        <sz val="9"/>
        <color rgb="FFFFFFFF"/>
        <rFont val="WenQuanYi Zen Hei"/>
        <family val="2"/>
      </rPr>
      <t xml:space="preserve">초록 </t>
    </r>
    <r>
      <rPr>
        <sz val="9"/>
        <color rgb="FFFFFFFF"/>
        <rFont val="Arial"/>
        <family val="0"/>
        <charset val="1"/>
      </rPr>
      <t xml:space="preserve">= CF </t>
    </r>
    <r>
      <rPr>
        <sz val="9"/>
        <color rgb="FFFFFFFF"/>
        <rFont val="WenQuanYi Zen Hei"/>
        <family val="2"/>
      </rPr>
      <t xml:space="preserve">시트 연결</t>
    </r>
  </si>
  <si>
    <t xml:space="preserve">Balance Check</t>
  </si>
  <si>
    <t xml:space="preserve">Macro Check</t>
  </si>
  <si>
    <t xml:space="preserve">Shortage Check</t>
  </si>
  <si>
    <t xml:space="preserve">Cash Check</t>
  </si>
  <si>
    <t xml:space="preserve">Macro</t>
  </si>
  <si>
    <r>
      <rPr>
        <sz val="9"/>
        <color rgb="FFFFFFFF"/>
        <rFont val="WenQuanYi Zen Hei"/>
        <family val="2"/>
      </rPr>
      <t xml:space="preserve">노랑 </t>
    </r>
    <r>
      <rPr>
        <sz val="9"/>
        <color rgb="FFFFFFFF"/>
        <rFont val="Arial"/>
        <family val="0"/>
        <charset val="1"/>
      </rPr>
      <t xml:space="preserve">= Macro Paste </t>
    </r>
    <r>
      <rPr>
        <sz val="9"/>
        <color rgb="FFFFFFFF"/>
        <rFont val="WenQuanYi Zen Hei"/>
        <family val="2"/>
      </rPr>
      <t xml:space="preserve">값</t>
    </r>
    <r>
      <rPr>
        <sz val="9"/>
        <color rgb="FFFFFFFF"/>
        <rFont val="Arial"/>
        <family val="0"/>
        <charset val="1"/>
      </rPr>
      <t xml:space="preserve">(</t>
    </r>
    <r>
      <rPr>
        <sz val="9"/>
        <color rgb="FFFFFFFF"/>
        <rFont val="WenQuanYi Zen Hei"/>
        <family val="2"/>
      </rPr>
      <t xml:space="preserve">순환참조 차단</t>
    </r>
    <r>
      <rPr>
        <sz val="9"/>
        <color rgb="FFFFFFFF"/>
        <rFont val="Arial"/>
        <family val="0"/>
        <charset val="1"/>
      </rPr>
      <t xml:space="preserve">)</t>
    </r>
  </si>
  <si>
    <r>
      <rPr>
        <b val="true"/>
        <i val="true"/>
        <sz val="9"/>
        <color rgb="FFFFFFFF"/>
        <rFont val="WenQuanYi Zen Hei"/>
        <family val="2"/>
      </rPr>
      <t xml:space="preserve">프로젝트 일정 </t>
    </r>
    <r>
      <rPr>
        <b val="true"/>
        <i val="true"/>
        <sz val="9"/>
        <color rgb="FFFFFFFF"/>
        <rFont val="Arial"/>
        <family val="0"/>
        <charset val="1"/>
      </rPr>
      <t xml:space="preserve">(</t>
    </r>
    <r>
      <rPr>
        <b val="true"/>
        <i val="true"/>
        <sz val="9"/>
        <color rgb="FFFFFFFF"/>
        <rFont val="WenQuanYi Zen Hei"/>
        <family val="2"/>
      </rPr>
      <t xml:space="preserve">계획</t>
    </r>
    <r>
      <rPr>
        <b val="true"/>
        <i val="true"/>
        <sz val="9"/>
        <color rgb="FFFFFFFF"/>
        <rFont val="Arial"/>
        <family val="0"/>
        <charset val="1"/>
      </rPr>
      <t xml:space="preserve">)</t>
    </r>
  </si>
  <si>
    <t xml:space="preserve">리츠설립일</t>
  </si>
  <si>
    <t xml:space="preserve">Date</t>
  </si>
  <si>
    <t xml:space="preserve">매매계약체결 준비기간</t>
  </si>
  <si>
    <t xml:space="preserve">Months</t>
  </si>
  <si>
    <t xml:space="preserve">토지매매계약체결일</t>
  </si>
  <si>
    <t xml:space="preserve">인허가 준비기간</t>
  </si>
  <si>
    <t xml:space="preserve">인허가 완료일</t>
  </si>
  <si>
    <t xml:space="preserve">공사준비기간</t>
  </si>
  <si>
    <t xml:space="preserve">착공일</t>
  </si>
  <si>
    <t xml:space="preserve">공사기간</t>
  </si>
  <si>
    <t xml:space="preserve">준공일</t>
  </si>
  <si>
    <t xml:space="preserve">운영준비기간</t>
  </si>
  <si>
    <t xml:space="preserve">운영개시일</t>
  </si>
  <si>
    <t xml:space="preserve">운영기간</t>
  </si>
  <si>
    <t xml:space="preserve">운영종료일</t>
  </si>
  <si>
    <t xml:space="preserve">처분준비기간</t>
  </si>
  <si>
    <t xml:space="preserve">처분일</t>
  </si>
  <si>
    <t xml:space="preserve">청산준비기간</t>
  </si>
  <si>
    <t xml:space="preserve">리츠청산일</t>
  </si>
  <si>
    <r>
      <rPr>
        <sz val="9"/>
        <color rgb="FF000000"/>
        <rFont val="WenQuanYi Zen Hei"/>
        <family val="2"/>
      </rPr>
      <t xml:space="preserve">개발기간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설립</t>
    </r>
    <r>
      <rPr>
        <sz val="9"/>
        <color rgb="FF000000"/>
        <rFont val="Arial"/>
        <family val="0"/>
        <charset val="1"/>
      </rPr>
      <t xml:space="preserve">~</t>
    </r>
    <r>
      <rPr>
        <sz val="9"/>
        <color rgb="FF000000"/>
        <rFont val="WenQuanYi Zen Hei"/>
        <family val="2"/>
      </rPr>
      <t xml:space="preserve">준공</t>
    </r>
    <r>
      <rPr>
        <sz val="9"/>
        <color rgb="FF000000"/>
        <rFont val="Arial"/>
        <family val="0"/>
        <charset val="1"/>
      </rPr>
      <t xml:space="preserve">)</t>
    </r>
  </si>
  <si>
    <t xml:space="preserve">Years</t>
  </si>
  <si>
    <r>
      <rPr>
        <sz val="9"/>
        <color rgb="FF000000"/>
        <rFont val="WenQuanYi Zen Hei"/>
        <family val="2"/>
      </rPr>
      <t xml:space="preserve">리츠운용기간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운영개시</t>
    </r>
    <r>
      <rPr>
        <sz val="9"/>
        <color rgb="FF000000"/>
        <rFont val="Arial"/>
        <family val="0"/>
        <charset val="1"/>
      </rPr>
      <t xml:space="preserve">~</t>
    </r>
    <r>
      <rPr>
        <sz val="9"/>
        <color rgb="FF000000"/>
        <rFont val="WenQuanYi Zen Hei"/>
        <family val="2"/>
      </rPr>
      <t xml:space="preserve">청산</t>
    </r>
    <r>
      <rPr>
        <sz val="9"/>
        <color rgb="FF000000"/>
        <rFont val="Arial"/>
        <family val="0"/>
        <charset val="1"/>
      </rPr>
      <t xml:space="preserve">)</t>
    </r>
  </si>
  <si>
    <t xml:space="preserve">Results</t>
  </si>
  <si>
    <r>
      <rPr>
        <b val="true"/>
        <sz val="9"/>
        <color rgb="FF000000"/>
        <rFont val="Arial"/>
        <family val="0"/>
        <charset val="1"/>
      </rPr>
      <t xml:space="preserve">IRR On Equity (</t>
    </r>
    <r>
      <rPr>
        <b val="true"/>
        <sz val="9"/>
        <color rgb="FF000000"/>
        <rFont val="WenQuanYi Zen Hei"/>
        <family val="2"/>
      </rPr>
      <t xml:space="preserve">보통주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</si>
  <si>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IRR On Equity (</t>
    </r>
    <r>
      <rPr>
        <b val="true"/>
        <sz val="9"/>
        <color rgb="FF000000"/>
        <rFont val="WenQuanYi Zen Hei"/>
        <family val="2"/>
      </rPr>
      <t xml:space="preserve">우선주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</si>
  <si>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IRR On Equity (</t>
    </r>
    <r>
      <rPr>
        <b val="true"/>
        <sz val="9"/>
        <color rgb="FF000000"/>
        <rFont val="WenQuanYi Zen Hei"/>
        <family val="2"/>
      </rPr>
      <t xml:space="preserve">전체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</si>
  <si>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i val="true"/>
        <sz val="9"/>
        <color rgb="FFFFFFFF"/>
        <rFont val="Arial"/>
        <family val="0"/>
        <charset val="1"/>
      </rPr>
      <t xml:space="preserve">Vehicle </t>
    </r>
    <r>
      <rPr>
        <b val="true"/>
        <i val="true"/>
        <sz val="9"/>
        <color rgb="FFFFFFFF"/>
        <rFont val="WenQuanYi Zen Hei"/>
        <family val="2"/>
      </rPr>
      <t xml:space="preserve">설정 </t>
    </r>
    <r>
      <rPr>
        <b val="true"/>
        <i val="true"/>
        <sz val="9"/>
        <color rgb="FFFFFFFF"/>
        <rFont val="Arial"/>
        <family val="0"/>
        <charset val="1"/>
      </rPr>
      <t xml:space="preserve">(</t>
    </r>
    <r>
      <rPr>
        <b val="true"/>
        <i val="true"/>
        <sz val="9"/>
        <color rgb="FFFFFFFF"/>
        <rFont val="WenQuanYi Zen Hei"/>
        <family val="2"/>
      </rPr>
      <t xml:space="preserve">용도별 포함여부</t>
    </r>
    <r>
      <rPr>
        <b val="true"/>
        <i val="true"/>
        <sz val="9"/>
        <color rgb="FFFFFFFF"/>
        <rFont val="Arial"/>
        <family val="0"/>
        <charset val="1"/>
      </rPr>
      <t xml:space="preserve">: 1=</t>
    </r>
    <r>
      <rPr>
        <b val="true"/>
        <i val="true"/>
        <sz val="9"/>
        <color rgb="FFFFFFFF"/>
        <rFont val="WenQuanYi Zen Hei"/>
        <family val="2"/>
      </rPr>
      <t xml:space="preserve">포함</t>
    </r>
    <r>
      <rPr>
        <b val="true"/>
        <i val="true"/>
        <sz val="9"/>
        <color rgb="FFFFFFFF"/>
        <rFont val="Arial"/>
        <family val="0"/>
        <charset val="1"/>
      </rPr>
      <t xml:space="preserve">, 0=</t>
    </r>
    <r>
      <rPr>
        <b val="true"/>
        <i val="true"/>
        <sz val="9"/>
        <color rgb="FFFFFFFF"/>
        <rFont val="WenQuanYi Zen Hei"/>
        <family val="2"/>
      </rPr>
      <t xml:space="preserve">제외</t>
    </r>
    <r>
      <rPr>
        <b val="true"/>
        <i val="true"/>
        <sz val="9"/>
        <color rgb="FFFFFFFF"/>
        <rFont val="Arial"/>
        <family val="0"/>
        <charset val="1"/>
      </rPr>
      <t xml:space="preserve">)</t>
    </r>
  </si>
  <si>
    <t xml:space="preserve">구분</t>
  </si>
  <si>
    <t xml:space="preserve">시니어 레지던스</t>
  </si>
  <si>
    <t xml:space="preserve">레지던스</t>
  </si>
  <si>
    <t xml:space="preserve">호텔</t>
  </si>
  <si>
    <t xml:space="preserve">오피스</t>
  </si>
  <si>
    <t xml:space="preserve">부대시설</t>
  </si>
  <si>
    <r>
      <rPr>
        <b val="true"/>
        <sz val="9"/>
        <color rgb="FFFFFFFF"/>
        <rFont val="Arial"/>
        <family val="0"/>
        <charset val="1"/>
      </rPr>
      <t xml:space="preserve">Vehicle </t>
    </r>
    <r>
      <rPr>
        <b val="true"/>
        <sz val="9"/>
        <color rgb="FFFFFFFF"/>
        <rFont val="WenQuanYi Zen Hei"/>
        <family val="2"/>
      </rPr>
      <t xml:space="preserve">합계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WenQuanYi Zen Hei"/>
        <family val="2"/>
      </rPr>
      <t xml:space="preserve">비율</t>
    </r>
  </si>
  <si>
    <r>
      <rPr>
        <b val="true"/>
        <sz val="9"/>
        <color rgb="FF000000"/>
        <rFont val="Arial"/>
        <family val="0"/>
        <charset val="1"/>
      </rPr>
      <t xml:space="preserve">Vehicle</t>
    </r>
    <r>
      <rPr>
        <b val="true"/>
        <sz val="9"/>
        <color rgb="FF000000"/>
        <rFont val="WenQuanYi Zen Hei"/>
        <family val="2"/>
      </rPr>
      <t xml:space="preserve">명</t>
    </r>
  </si>
  <si>
    <r>
      <rPr>
        <b val="true"/>
        <sz val="9"/>
        <color rgb="FF0000FF"/>
        <rFont val="WenQuanYi Zen Hei"/>
        <family val="2"/>
      </rPr>
      <t xml:space="preserve">① 통합 </t>
    </r>
    <r>
      <rPr>
        <b val="true"/>
        <sz val="9"/>
        <color rgb="FF0000FF"/>
        <rFont val="Arial"/>
        <family val="0"/>
        <charset val="1"/>
      </rPr>
      <t xml:space="preserve">(</t>
    </r>
    <r>
      <rPr>
        <b val="true"/>
        <sz val="9"/>
        <color rgb="FF0000FF"/>
        <rFont val="WenQuanYi Zen Hei"/>
        <family val="2"/>
      </rPr>
      <t xml:space="preserve">단일 </t>
    </r>
    <r>
      <rPr>
        <b val="true"/>
        <sz val="9"/>
        <color rgb="FF0000FF"/>
        <rFont val="Arial"/>
        <family val="0"/>
        <charset val="1"/>
      </rPr>
      <t xml:space="preserve">Vehicle)</t>
    </r>
  </si>
  <si>
    <t xml:space="preserve">포함여부</t>
  </si>
  <si>
    <t xml:space="preserve">1 / 0</t>
  </si>
  <si>
    <t xml:space="preserve">연면적</t>
  </si>
  <si>
    <t xml:space="preserve">시니어 포함 연면적</t>
  </si>
  <si>
    <r>
      <rPr>
        <sz val="9"/>
        <color rgb="FF000000"/>
        <rFont val="WenQuanYi Zen Hei"/>
        <family val="2"/>
      </rPr>
      <t xml:space="preserve">연면적 비중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전체 대비</t>
    </r>
    <r>
      <rPr>
        <sz val="9"/>
        <color rgb="FF000000"/>
        <rFont val="Arial"/>
        <family val="0"/>
        <charset val="1"/>
      </rPr>
      <t xml:space="preserve">)</t>
    </r>
  </si>
  <si>
    <t xml:space="preserve">Ratio</t>
  </si>
  <si>
    <t xml:space="preserve">분양홍보비 지분</t>
  </si>
  <si>
    <r>
      <rPr>
        <sz val="9"/>
        <color rgb="FF000000"/>
        <rFont val="WenQuanYi Zen Hei"/>
        <family val="2"/>
      </rPr>
      <t xml:space="preserve">보존등기비 지분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건물분 취득세 기준</t>
    </r>
    <r>
      <rPr>
        <sz val="9"/>
        <color rgb="FF000000"/>
        <rFont val="Arial"/>
        <family val="0"/>
        <charset val="1"/>
      </rPr>
      <t xml:space="preserve">)</t>
    </r>
  </si>
  <si>
    <t xml:space="preserve">리츠 고정비 적용비율</t>
  </si>
  <si>
    <r>
      <rPr>
        <i val="true"/>
        <sz val="9"/>
        <color rgb="FF7F7F7F"/>
        <rFont val="WenQuanYi Zen Hei"/>
        <family val="2"/>
      </rPr>
      <t xml:space="preserve">※ 토지비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WenQuanYi Zen Hei"/>
        <family val="2"/>
      </rPr>
      <t xml:space="preserve">공사비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WenQuanYi Zen Hei"/>
        <family val="2"/>
      </rPr>
      <t xml:space="preserve">보증금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WenQuanYi Zen Hei"/>
        <family val="2"/>
      </rPr>
      <t xml:space="preserve">운영수입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WenQuanYi Zen Hei"/>
        <family val="2"/>
      </rPr>
      <t xml:space="preserve">담보대출은 포함 용도만 반영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WenQuanYi Zen Hei"/>
        <family val="2"/>
      </rPr>
      <t xml:space="preserve">리츠 고정비는 </t>
    </r>
    <r>
      <rPr>
        <i val="true"/>
        <sz val="9"/>
        <color rgb="FF7F7F7F"/>
        <rFont val="Arial"/>
        <family val="0"/>
        <charset val="1"/>
      </rPr>
      <t xml:space="preserve">Vehicle</t>
    </r>
    <r>
      <rPr>
        <i val="true"/>
        <sz val="9"/>
        <color rgb="FF7F7F7F"/>
        <rFont val="WenQuanYi Zen Hei"/>
        <family val="2"/>
      </rPr>
      <t xml:space="preserve">별로 별도 발생</t>
    </r>
    <r>
      <rPr>
        <i val="true"/>
        <sz val="9"/>
        <color rgb="FF7F7F7F"/>
        <rFont val="Arial"/>
        <family val="0"/>
        <charset val="1"/>
      </rPr>
      <t xml:space="preserve">, VAT </t>
    </r>
    <r>
      <rPr>
        <i val="true"/>
        <sz val="9"/>
        <color rgb="FF7F7F7F"/>
        <rFont val="WenQuanYi Zen Hei"/>
        <family val="2"/>
      </rPr>
      <t xml:space="preserve">공통공제비율은 </t>
    </r>
    <r>
      <rPr>
        <i val="true"/>
        <sz val="9"/>
        <color rgb="FF7F7F7F"/>
        <rFont val="Arial"/>
        <family val="0"/>
        <charset val="1"/>
      </rPr>
      <t xml:space="preserve">Vehicle </t>
    </r>
    <r>
      <rPr>
        <i val="true"/>
        <sz val="9"/>
        <color rgb="FF7F7F7F"/>
        <rFont val="WenQuanYi Zen Hei"/>
        <family val="2"/>
      </rPr>
      <t xml:space="preserve">내 과세면적 비중으로 재계산</t>
    </r>
  </si>
  <si>
    <t xml:space="preserve">사업개요</t>
  </si>
  <si>
    <r>
      <rPr>
        <b val="true"/>
        <sz val="9"/>
        <color rgb="FF000000"/>
        <rFont val="Arial"/>
        <family val="0"/>
        <charset val="1"/>
      </rPr>
      <t xml:space="preserve">(1) </t>
    </r>
    <r>
      <rPr>
        <b val="true"/>
        <sz val="9"/>
        <color rgb="FF000000"/>
        <rFont val="WenQuanYi Zen Hei"/>
        <family val="2"/>
      </rPr>
      <t xml:space="preserve">사 업 명</t>
    </r>
  </si>
  <si>
    <r>
      <rPr>
        <sz val="9"/>
        <color rgb="FF0000FF"/>
        <rFont val="WenQuanYi Zen Hei"/>
        <family val="2"/>
      </rPr>
      <t xml:space="preserve">센텀</t>
    </r>
    <r>
      <rPr>
        <sz val="9"/>
        <color rgb="FF0000FF"/>
        <rFont val="Arial"/>
        <family val="0"/>
        <charset val="1"/>
      </rPr>
      <t xml:space="preserve">C</t>
    </r>
    <r>
      <rPr>
        <sz val="9"/>
        <color rgb="FF0000FF"/>
        <rFont val="WenQuanYi Zen Hei"/>
        <family val="2"/>
      </rPr>
      <t xml:space="preserve">부지 복합개발사업</t>
    </r>
  </si>
  <si>
    <r>
      <rPr>
        <b val="true"/>
        <sz val="9"/>
        <color rgb="FF000000"/>
        <rFont val="Arial"/>
        <family val="0"/>
        <charset val="1"/>
      </rPr>
      <t xml:space="preserve">(2) </t>
    </r>
    <r>
      <rPr>
        <b val="true"/>
        <sz val="9"/>
        <color rgb="FF000000"/>
        <rFont val="WenQuanYi Zen Hei"/>
        <family val="2"/>
      </rPr>
      <t xml:space="preserve">대 지 위 치</t>
    </r>
  </si>
  <si>
    <r>
      <rPr>
        <sz val="9"/>
        <color rgb="FF0000FF"/>
        <rFont val="WenQuanYi Zen Hei"/>
        <family val="2"/>
      </rPr>
      <t xml:space="preserve">부산광역시 해운대 우동 </t>
    </r>
    <r>
      <rPr>
        <sz val="9"/>
        <color rgb="FF0000FF"/>
        <rFont val="Arial"/>
        <family val="0"/>
        <charset val="1"/>
      </rPr>
      <t xml:space="preserve">1492</t>
    </r>
  </si>
  <si>
    <r>
      <rPr>
        <b val="true"/>
        <sz val="9"/>
        <color rgb="FF000000"/>
        <rFont val="Arial"/>
        <family val="0"/>
        <charset val="1"/>
      </rPr>
      <t xml:space="preserve">(3) </t>
    </r>
    <r>
      <rPr>
        <b val="true"/>
        <sz val="9"/>
        <color rgb="FF000000"/>
        <rFont val="WenQuanYi Zen Hei"/>
        <family val="2"/>
      </rPr>
      <t xml:space="preserve">지 역 지 구</t>
    </r>
  </si>
  <si>
    <r>
      <rPr>
        <sz val="9"/>
        <color rgb="FF0000FF"/>
        <rFont val="WenQuanYi Zen Hei"/>
        <family val="2"/>
      </rPr>
      <t xml:space="preserve">중심상업지역</t>
    </r>
    <r>
      <rPr>
        <sz val="9"/>
        <color rgb="FF0000FF"/>
        <rFont val="Arial"/>
        <family val="0"/>
        <charset val="1"/>
      </rPr>
      <t xml:space="preserve">/</t>
    </r>
    <r>
      <rPr>
        <sz val="9"/>
        <color rgb="FF0000FF"/>
        <rFont val="WenQuanYi Zen Hei"/>
        <family val="2"/>
      </rPr>
      <t xml:space="preserve">지구단위계획구역</t>
    </r>
  </si>
  <si>
    <r>
      <rPr>
        <b val="true"/>
        <sz val="9"/>
        <color rgb="FF000000"/>
        <rFont val="Arial"/>
        <family val="0"/>
        <charset val="1"/>
      </rPr>
      <t xml:space="preserve">(4) </t>
    </r>
    <r>
      <rPr>
        <b val="true"/>
        <sz val="9"/>
        <color rgb="FF000000"/>
        <rFont val="WenQuanYi Zen Hei"/>
        <family val="2"/>
      </rPr>
      <t xml:space="preserve">용      도</t>
    </r>
  </si>
  <si>
    <r>
      <rPr>
        <sz val="9"/>
        <color rgb="FF0000FF"/>
        <rFont val="WenQuanYi Zen Hei"/>
        <family val="2"/>
      </rPr>
      <t xml:space="preserve">관광숙박시설</t>
    </r>
    <r>
      <rPr>
        <sz val="9"/>
        <color rgb="FF0000FF"/>
        <rFont val="Arial"/>
        <family val="0"/>
        <charset val="1"/>
      </rPr>
      <t xml:space="preserve">(</t>
    </r>
    <r>
      <rPr>
        <sz val="9"/>
        <color rgb="FF0000FF"/>
        <rFont val="WenQuanYi Zen Hei"/>
        <family val="2"/>
      </rPr>
      <t xml:space="preserve">호텔</t>
    </r>
    <r>
      <rPr>
        <sz val="9"/>
        <color rgb="FF0000FF"/>
        <rFont val="Arial"/>
        <family val="0"/>
        <charset val="1"/>
      </rPr>
      <t xml:space="preserve">, </t>
    </r>
    <r>
      <rPr>
        <sz val="9"/>
        <color rgb="FF0000FF"/>
        <rFont val="WenQuanYi Zen Hei"/>
        <family val="2"/>
      </rPr>
      <t xml:space="preserve">콘도</t>
    </r>
    <r>
      <rPr>
        <sz val="9"/>
        <color rgb="FF0000FF"/>
        <rFont val="Arial"/>
        <family val="0"/>
        <charset val="1"/>
      </rPr>
      <t xml:space="preserve">), </t>
    </r>
    <r>
      <rPr>
        <sz val="9"/>
        <color rgb="FF0000FF"/>
        <rFont val="WenQuanYi Zen Hei"/>
        <family val="2"/>
      </rPr>
      <t xml:space="preserve">노유자시설</t>
    </r>
    <r>
      <rPr>
        <sz val="9"/>
        <color rgb="FF0000FF"/>
        <rFont val="Arial"/>
        <family val="0"/>
        <charset val="1"/>
      </rPr>
      <t xml:space="preserve">(</t>
    </r>
    <r>
      <rPr>
        <sz val="9"/>
        <color rgb="FF0000FF"/>
        <rFont val="WenQuanYi Zen Hei"/>
        <family val="2"/>
      </rPr>
      <t xml:space="preserve">시니어레지던스</t>
    </r>
    <r>
      <rPr>
        <sz val="9"/>
        <color rgb="FF0000FF"/>
        <rFont val="Arial"/>
        <family val="0"/>
        <charset val="1"/>
      </rPr>
      <t xml:space="preserve">), </t>
    </r>
    <r>
      <rPr>
        <sz val="9"/>
        <color rgb="FF0000FF"/>
        <rFont val="WenQuanYi Zen Hei"/>
        <family val="2"/>
      </rPr>
      <t xml:space="preserve">문화집회시설</t>
    </r>
    <r>
      <rPr>
        <sz val="9"/>
        <color rgb="FF0000FF"/>
        <rFont val="Arial"/>
        <family val="0"/>
        <charset val="1"/>
      </rPr>
      <t xml:space="preserve">(</t>
    </r>
    <r>
      <rPr>
        <sz val="9"/>
        <color rgb="FF0000FF"/>
        <rFont val="WenQuanYi Zen Hei"/>
        <family val="2"/>
      </rPr>
      <t xml:space="preserve">공연장 등</t>
    </r>
    <r>
      <rPr>
        <sz val="9"/>
        <color rgb="FF0000FF"/>
        <rFont val="Arial"/>
        <family val="0"/>
        <charset val="1"/>
      </rPr>
      <t xml:space="preserve">), </t>
    </r>
    <r>
      <rPr>
        <sz val="9"/>
        <color rgb="FF0000FF"/>
        <rFont val="WenQuanYi Zen Hei"/>
        <family val="2"/>
      </rPr>
      <t xml:space="preserve">판매시설</t>
    </r>
  </si>
  <si>
    <r>
      <rPr>
        <b val="true"/>
        <sz val="9"/>
        <color rgb="FF000000"/>
        <rFont val="Arial"/>
        <family val="0"/>
        <charset val="1"/>
      </rPr>
      <t xml:space="preserve">(5) </t>
    </r>
    <r>
      <rPr>
        <b val="true"/>
        <sz val="9"/>
        <color rgb="FF000000"/>
        <rFont val="WenQuanYi Zen Hei"/>
        <family val="2"/>
      </rPr>
      <t xml:space="preserve">건축연면적</t>
    </r>
  </si>
  <si>
    <t xml:space="preserve">평 환산계수</t>
  </si>
  <si>
    <t xml:space="preserve">지상연면적</t>
  </si>
  <si>
    <t xml:space="preserve">지하연면적</t>
  </si>
  <si>
    <t xml:space="preserve">전체연면적</t>
  </si>
  <si>
    <t xml:space="preserve">용도별 연면적</t>
  </si>
  <si>
    <t xml:space="preserve">합계</t>
  </si>
  <si>
    <t xml:space="preserve">총계</t>
  </si>
  <si>
    <t xml:space="preserve">시니어</t>
  </si>
  <si>
    <t xml:space="preserve">시니어 부대</t>
  </si>
  <si>
    <t xml:space="preserve">국제학교</t>
  </si>
  <si>
    <t xml:space="preserve">영어유치원</t>
  </si>
  <si>
    <t xml:space="preserve">SSZ</t>
  </si>
  <si>
    <r>
      <rPr>
        <b val="true"/>
        <sz val="9"/>
        <color rgb="FFFFFFFF"/>
        <rFont val="Arial"/>
        <family val="0"/>
        <charset val="1"/>
      </rPr>
      <t xml:space="preserve">B</t>
    </r>
    <r>
      <rPr>
        <b val="true"/>
        <sz val="9"/>
        <color rgb="FFFFFFFF"/>
        <rFont val="WenQuanYi Zen Hei"/>
        <family val="2"/>
      </rPr>
      <t xml:space="preserve">동 계</t>
    </r>
  </si>
  <si>
    <t xml:space="preserve">가족호텔</t>
  </si>
  <si>
    <t xml:space="preserve">가족호텔 부대 멤버전용</t>
  </si>
  <si>
    <t xml:space="preserve">컨벤션</t>
  </si>
  <si>
    <r>
      <rPr>
        <b val="true"/>
        <sz val="9"/>
        <color rgb="FFFFFFFF"/>
        <rFont val="WenQuanYi Zen Hei"/>
        <family val="2"/>
      </rPr>
      <t xml:space="preserve">호텔부대</t>
    </r>
    <r>
      <rPr>
        <b val="true"/>
        <sz val="9"/>
        <color rgb="FFFFFFFF"/>
        <rFont val="Arial"/>
        <family val="0"/>
        <charset val="1"/>
      </rPr>
      <t xml:space="preserve">_</t>
    </r>
    <r>
      <rPr>
        <b val="true"/>
        <sz val="9"/>
        <color rgb="FFFFFFFF"/>
        <rFont val="WenQuanYi Zen Hei"/>
        <family val="2"/>
      </rPr>
      <t xml:space="preserve">피트니스</t>
    </r>
    <r>
      <rPr>
        <b val="true"/>
        <sz val="9"/>
        <color rgb="FFFFFFFF"/>
        <rFont val="Arial"/>
        <family val="0"/>
        <charset val="1"/>
      </rPr>
      <t xml:space="preserve">&amp;</t>
    </r>
    <r>
      <rPr>
        <b val="true"/>
        <sz val="9"/>
        <color rgb="FFFFFFFF"/>
        <rFont val="WenQuanYi Zen Hei"/>
        <family val="2"/>
      </rPr>
      <t xml:space="preserve">수영장</t>
    </r>
  </si>
  <si>
    <r>
      <rPr>
        <b val="true"/>
        <sz val="9"/>
        <color rgb="FFFFFFFF"/>
        <rFont val="WenQuanYi Zen Hei"/>
        <family val="2"/>
      </rPr>
      <t xml:space="preserve">호텔부대</t>
    </r>
    <r>
      <rPr>
        <b val="true"/>
        <sz val="9"/>
        <color rgb="FFFFFFFF"/>
        <rFont val="Arial"/>
        <family val="0"/>
        <charset val="1"/>
      </rPr>
      <t xml:space="preserve">_</t>
    </r>
    <r>
      <rPr>
        <b val="true"/>
        <sz val="9"/>
        <color rgb="FFFFFFFF"/>
        <rFont val="WenQuanYi Zen Hei"/>
        <family val="2"/>
      </rPr>
      <t xml:space="preserve">파인다이닝</t>
    </r>
  </si>
  <si>
    <r>
      <rPr>
        <b val="true"/>
        <sz val="9"/>
        <color rgb="FFFFFFFF"/>
        <rFont val="WenQuanYi Zen Hei"/>
        <family val="2"/>
      </rPr>
      <t xml:space="preserve">호텔부대</t>
    </r>
    <r>
      <rPr>
        <b val="true"/>
        <sz val="9"/>
        <color rgb="FFFFFFFF"/>
        <rFont val="Arial"/>
        <family val="0"/>
        <charset val="1"/>
      </rPr>
      <t xml:space="preserve">_</t>
    </r>
    <r>
      <rPr>
        <b val="true"/>
        <sz val="9"/>
        <color rgb="FFFFFFFF"/>
        <rFont val="WenQuanYi Zen Hei"/>
        <family val="2"/>
      </rPr>
      <t xml:space="preserve">휴게</t>
    </r>
  </si>
  <si>
    <r>
      <rPr>
        <b val="true"/>
        <sz val="9"/>
        <color rgb="FFFFFFFF"/>
        <rFont val="WenQuanYi Zen Hei"/>
        <family val="2"/>
      </rPr>
      <t xml:space="preserve">호텔 </t>
    </r>
    <r>
      <rPr>
        <b val="true"/>
        <sz val="9"/>
        <color rgb="FFFFFFFF"/>
        <rFont val="Arial"/>
        <family val="0"/>
        <charset val="1"/>
      </rPr>
      <t xml:space="preserve">BOH</t>
    </r>
  </si>
  <si>
    <r>
      <rPr>
        <b val="true"/>
        <sz val="9"/>
        <color rgb="FFFFFFFF"/>
        <rFont val="Arial"/>
        <family val="0"/>
        <charset val="1"/>
      </rPr>
      <t xml:space="preserve">A</t>
    </r>
    <r>
      <rPr>
        <b val="true"/>
        <sz val="9"/>
        <color rgb="FFFFFFFF"/>
        <rFont val="WenQuanYi Zen Hei"/>
        <family val="2"/>
      </rPr>
      <t xml:space="preserve">동 계</t>
    </r>
  </si>
  <si>
    <t xml:space="preserve">메디컬</t>
  </si>
  <si>
    <r>
      <rPr>
        <b val="true"/>
        <sz val="9"/>
        <color rgb="FFFFFFFF"/>
        <rFont val="WenQuanYi Zen Hei"/>
        <family val="2"/>
      </rPr>
      <t xml:space="preserve">스파</t>
    </r>
    <r>
      <rPr>
        <b val="true"/>
        <sz val="9"/>
        <color rgb="FFFFFFFF"/>
        <rFont val="Arial"/>
        <family val="0"/>
        <charset val="1"/>
      </rPr>
      <t xml:space="preserve">2.0</t>
    </r>
  </si>
  <si>
    <t xml:space="preserve">판매시설</t>
  </si>
  <si>
    <t xml:space="preserve">부대시설 계</t>
  </si>
  <si>
    <t xml:space="preserve">MEP</t>
  </si>
  <si>
    <t xml:space="preserve">주차장</t>
  </si>
  <si>
    <r>
      <rPr>
        <b val="true"/>
        <sz val="9"/>
        <color rgb="FF000000"/>
        <rFont val="WenQuanYi Zen Hei"/>
        <family val="2"/>
      </rPr>
      <t xml:space="preserve">연면적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평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</si>
  <si>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연면적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㎡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</si>
  <si>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구성비</t>
  </si>
  <si>
    <t xml:space="preserve">전용면적</t>
  </si>
  <si>
    <t xml:space="preserve">공용면적</t>
  </si>
  <si>
    <t xml:space="preserve">시설면적</t>
  </si>
  <si>
    <t xml:space="preserve">주차장 배분</t>
  </si>
  <si>
    <t xml:space="preserve">기계실 배분</t>
  </si>
  <si>
    <t xml:space="preserve">전체 공용면적</t>
  </si>
  <si>
    <t xml:space="preserve">전용률</t>
  </si>
  <si>
    <r>
      <rPr>
        <sz val="9"/>
        <color rgb="FF0000FF"/>
        <rFont val="Arial"/>
        <family val="0"/>
        <charset val="1"/>
      </rPr>
      <t xml:space="preserve">270</t>
    </r>
    <r>
      <rPr>
        <sz val="9"/>
        <color rgb="FF0000FF"/>
        <rFont val="WenQuanYi Zen Hei"/>
        <family val="2"/>
      </rPr>
      <t xml:space="preserve">세대</t>
    </r>
  </si>
  <si>
    <r>
      <rPr>
        <sz val="9"/>
        <color rgb="FF0000FF"/>
        <rFont val="Arial"/>
        <family val="0"/>
        <charset val="1"/>
      </rPr>
      <t xml:space="preserve">92</t>
    </r>
    <r>
      <rPr>
        <sz val="9"/>
        <color rgb="FF0000FF"/>
        <rFont val="WenQuanYi Zen Hei"/>
        <family val="2"/>
      </rPr>
      <t xml:space="preserve">세대</t>
    </r>
  </si>
  <si>
    <r>
      <rPr>
        <sz val="9"/>
        <color rgb="FF0000FF"/>
        <rFont val="Arial"/>
        <family val="0"/>
        <charset val="1"/>
      </rPr>
      <t xml:space="preserve">257</t>
    </r>
    <r>
      <rPr>
        <sz val="9"/>
        <color rgb="FF0000FF"/>
        <rFont val="WenQuanYi Zen Hei"/>
        <family val="2"/>
      </rPr>
      <t xml:space="preserve">실</t>
    </r>
  </si>
  <si>
    <r>
      <rPr>
        <b val="true"/>
        <sz val="9"/>
        <color rgb="FF000000"/>
        <rFont val="Arial"/>
        <family val="0"/>
        <charset val="1"/>
      </rPr>
      <t xml:space="preserve">(6) </t>
    </r>
    <r>
      <rPr>
        <b val="true"/>
        <sz val="9"/>
        <color rgb="FF000000"/>
        <rFont val="WenQuanYi Zen Hei"/>
        <family val="2"/>
      </rPr>
      <t xml:space="preserve">대지면적</t>
    </r>
  </si>
  <si>
    <r>
      <rPr>
        <b val="true"/>
        <sz val="9"/>
        <color rgb="FFFFFFFF"/>
        <rFont val="WenQuanYi Zen Hei"/>
        <family val="2"/>
      </rPr>
      <t xml:space="preserve">토지면적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㎡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</si>
  <si>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토지면적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</si>
  <si>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서비스드 레지던스</t>
  </si>
  <si>
    <t xml:space="preserve">Operation</t>
  </si>
  <si>
    <r>
      <rPr>
        <i val="true"/>
        <sz val="9"/>
        <color rgb="FF000000"/>
        <rFont val="WenQuanYi Zen Hei"/>
        <family val="2"/>
      </rPr>
      <t xml:space="preserve">※ 운영기간 시계열</t>
    </r>
    <r>
      <rPr>
        <i val="true"/>
        <sz val="9"/>
        <color rgb="FF000000"/>
        <rFont val="Arial"/>
        <family val="0"/>
        <charset val="1"/>
      </rPr>
      <t xml:space="preserve">(Index: </t>
    </r>
    <r>
      <rPr>
        <i val="true"/>
        <sz val="9"/>
        <color rgb="FF000000"/>
        <rFont val="WenQuanYi Zen Hei"/>
        <family val="2"/>
      </rPr>
      <t xml:space="preserve">운영기간 누적</t>
    </r>
    <r>
      <rPr>
        <i val="true"/>
        <sz val="9"/>
        <color rgb="FF000000"/>
        <rFont val="Arial"/>
        <family val="0"/>
        <charset val="1"/>
      </rPr>
      <t xml:space="preserve">, </t>
    </r>
    <r>
      <rPr>
        <i val="true"/>
        <sz val="9"/>
        <color rgb="FF000000"/>
        <rFont val="WenQuanYi Zen Hei"/>
        <family val="2"/>
      </rPr>
      <t xml:space="preserve">입주모집률</t>
    </r>
    <r>
      <rPr>
        <i val="true"/>
        <sz val="9"/>
        <color rgb="FF000000"/>
        <rFont val="Arial"/>
        <family val="0"/>
        <charset val="1"/>
      </rPr>
      <t xml:space="preserve">, OCC, </t>
    </r>
    <r>
      <rPr>
        <i val="true"/>
        <sz val="9"/>
        <color rgb="FF000000"/>
        <rFont val="WenQuanYi Zen Hei"/>
        <family val="2"/>
      </rPr>
      <t xml:space="preserve">공실률</t>
    </r>
    <r>
      <rPr>
        <i val="true"/>
        <sz val="9"/>
        <color rgb="FF000000"/>
        <rFont val="Arial"/>
        <family val="0"/>
        <charset val="1"/>
      </rPr>
      <t xml:space="preserve">, </t>
    </r>
    <r>
      <rPr>
        <i val="true"/>
        <sz val="9"/>
        <color rgb="FF000000"/>
        <rFont val="WenQuanYi Zen Hei"/>
        <family val="2"/>
      </rPr>
      <t xml:space="preserve">리징비용</t>
    </r>
    <r>
      <rPr>
        <i val="true"/>
        <sz val="9"/>
        <color rgb="FF000000"/>
        <rFont val="Arial"/>
        <family val="0"/>
        <charset val="1"/>
      </rPr>
      <t xml:space="preserve">, </t>
    </r>
    <r>
      <rPr>
        <i val="true"/>
        <sz val="9"/>
        <color rgb="FF000000"/>
        <rFont val="WenQuanYi Zen Hei"/>
        <family val="2"/>
      </rPr>
      <t xml:space="preserve">상승률 등</t>
    </r>
    <r>
      <rPr>
        <i val="true"/>
        <sz val="9"/>
        <color rgb="FF000000"/>
        <rFont val="Arial"/>
        <family val="0"/>
        <charset val="1"/>
      </rPr>
      <t xml:space="preserve">)</t>
    </r>
    <r>
      <rPr>
        <i val="true"/>
        <sz val="9"/>
        <color rgb="FF000000"/>
        <rFont val="WenQuanYi Zen Hei"/>
        <family val="2"/>
      </rPr>
      <t xml:space="preserve">은 </t>
    </r>
    <r>
      <rPr>
        <i val="true"/>
        <sz val="9"/>
        <color rgb="FF000000"/>
        <rFont val="Arial"/>
        <family val="0"/>
        <charset val="1"/>
      </rPr>
      <t xml:space="preserve">CF </t>
    </r>
    <r>
      <rPr>
        <i val="true"/>
        <sz val="9"/>
        <color rgb="FF000000"/>
        <rFont val="WenQuanYi Zen Hei"/>
        <family val="2"/>
      </rPr>
      <t xml:space="preserve">시트에서 월별로 계산</t>
    </r>
  </si>
  <si>
    <t xml:space="preserve">운영수입</t>
  </si>
  <si>
    <t xml:space="preserve">세대수</t>
  </si>
  <si>
    <t xml:space="preserve">세대</t>
  </si>
  <si>
    <t xml:space="preserve">보증금</t>
  </si>
  <si>
    <t xml:space="preserve">일자</t>
  </si>
  <si>
    <t xml:space="preserve">비중</t>
  </si>
  <si>
    <r>
      <rPr>
        <b val="true"/>
        <sz val="9"/>
        <color rgb="FFFFFFFF"/>
        <rFont val="WenQuanYi Zen Hei"/>
        <family val="2"/>
      </rPr>
      <t xml:space="preserve">월</t>
    </r>
    <r>
      <rPr>
        <b val="true"/>
        <sz val="9"/>
        <color rgb="FFFFFFFF"/>
        <rFont val="Arial"/>
        <family val="0"/>
        <charset val="1"/>
      </rPr>
      <t xml:space="preserve">Key</t>
    </r>
  </si>
  <si>
    <r>
      <rPr>
        <sz val="9"/>
        <color rgb="FF000000"/>
        <rFont val="WenQuanYi Zen Hei"/>
        <family val="2"/>
      </rPr>
      <t xml:space="preserve">백만원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세대</t>
    </r>
  </si>
  <si>
    <t xml:space="preserve">계약금</t>
  </si>
  <si>
    <r>
      <rPr>
        <sz val="9"/>
        <color rgb="FF000000"/>
        <rFont val="WenQuanYi Zen Hei"/>
        <family val="2"/>
      </rPr>
      <t xml:space="preserve">보증금</t>
    </r>
    <r>
      <rPr>
        <sz val="9"/>
        <color rgb="FF000000"/>
        <rFont val="Arial"/>
        <family val="0"/>
        <charset val="1"/>
      </rPr>
      <t xml:space="preserve">(100% </t>
    </r>
    <r>
      <rPr>
        <sz val="9"/>
        <color rgb="FF000000"/>
        <rFont val="WenQuanYi Zen Hei"/>
        <family val="2"/>
      </rPr>
      <t xml:space="preserve">기준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</si>
  <si>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중도금</t>
    </r>
    <r>
      <rPr>
        <sz val="9"/>
        <color rgb="FF000000"/>
        <rFont val="Arial"/>
        <family val="0"/>
        <charset val="1"/>
      </rPr>
      <t xml:space="preserve">(1</t>
    </r>
    <r>
      <rPr>
        <sz val="9"/>
        <color rgb="FF000000"/>
        <rFont val="WenQuanYi Zen Hei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)</t>
    </r>
  </si>
  <si>
    <t xml:space="preserve">월임대료</t>
  </si>
  <si>
    <r>
      <rPr>
        <sz val="9"/>
        <color rgb="FF000000"/>
        <rFont val="WenQuanYi Zen Hei"/>
        <family val="2"/>
      </rPr>
      <t xml:space="preserve">천원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세대</t>
    </r>
    <r>
      <rPr>
        <sz val="9"/>
        <color rgb="FF000000"/>
        <rFont val="Arial"/>
        <family val="0"/>
        <charset val="1"/>
      </rPr>
      <t xml:space="preserve">,</t>
    </r>
    <r>
      <rPr>
        <sz val="9"/>
        <color rgb="FF000000"/>
        <rFont val="WenQuanYi Zen Hei"/>
        <family val="2"/>
      </rPr>
      <t xml:space="preserve">월</t>
    </r>
  </si>
  <si>
    <r>
      <rPr>
        <sz val="9"/>
        <color rgb="FF000000"/>
        <rFont val="WenQuanYi Zen Hei"/>
        <family val="2"/>
      </rPr>
      <t xml:space="preserve">중도금</t>
    </r>
    <r>
      <rPr>
        <sz val="9"/>
        <color rgb="FF000000"/>
        <rFont val="Arial"/>
        <family val="0"/>
        <charset val="1"/>
      </rPr>
      <t xml:space="preserve">(2</t>
    </r>
    <r>
      <rPr>
        <sz val="9"/>
        <color rgb="FF000000"/>
        <rFont val="WenQuanYi Zen Hei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)</t>
    </r>
  </si>
  <si>
    <t xml:space="preserve">이용료수익</t>
  </si>
  <si>
    <r>
      <rPr>
        <sz val="9"/>
        <color rgb="FF000000"/>
        <rFont val="WenQuanYi Zen Hei"/>
        <family val="2"/>
      </rPr>
      <t xml:space="preserve">중도금</t>
    </r>
    <r>
      <rPr>
        <sz val="9"/>
        <color rgb="FF000000"/>
        <rFont val="Arial"/>
        <family val="0"/>
        <charset val="1"/>
      </rPr>
      <t xml:space="preserve">(3</t>
    </r>
    <r>
      <rPr>
        <sz val="9"/>
        <color rgb="FF000000"/>
        <rFont val="WenQuanYi Zen Hei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)</t>
    </r>
  </si>
  <si>
    <t xml:space="preserve">보증금 및 임대료상승률</t>
  </si>
  <si>
    <t xml:space="preserve">잔금</t>
  </si>
  <si>
    <t xml:space="preserve">보증금 및 임대료상승주기</t>
  </si>
  <si>
    <t xml:space="preserve">개월</t>
  </si>
  <si>
    <t xml:space="preserve">물가상승률</t>
  </si>
  <si>
    <t xml:space="preserve">입주모집률</t>
  </si>
  <si>
    <t xml:space="preserve">Y+1</t>
  </si>
  <si>
    <t xml:space="preserve">Y+2</t>
  </si>
  <si>
    <r>
      <rPr>
        <sz val="9"/>
        <color rgb="FF000000"/>
        <rFont val="Arial"/>
        <family val="0"/>
        <charset val="1"/>
      </rPr>
      <t xml:space="preserve">Y+3 </t>
    </r>
    <r>
      <rPr>
        <sz val="9"/>
        <color rgb="FF000000"/>
        <rFont val="WenQuanYi Zen Hei"/>
        <family val="2"/>
      </rPr>
      <t xml:space="preserve">이후</t>
    </r>
  </si>
  <si>
    <r>
      <rPr>
        <sz val="9"/>
        <color rgb="FF000000"/>
        <rFont val="WenQuanYi Zen Hei"/>
        <family val="2"/>
      </rPr>
      <t xml:space="preserve">추가수입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세대관리비등</t>
    </r>
    <r>
      <rPr>
        <sz val="9"/>
        <color rgb="FF000000"/>
        <rFont val="Arial"/>
        <family val="0"/>
        <charset val="1"/>
      </rPr>
      <t xml:space="preserve">)</t>
    </r>
  </si>
  <si>
    <t xml:space="preserve">매출액 대비</t>
  </si>
  <si>
    <t xml:space="preserve">운영비용</t>
  </si>
  <si>
    <t xml:space="preserve">ADR</t>
  </si>
  <si>
    <r>
      <rPr>
        <sz val="9"/>
        <color rgb="FF000000"/>
        <rFont val="WenQuanYi Zen Hei"/>
        <family val="2"/>
      </rPr>
      <t xml:space="preserve">천원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일</t>
    </r>
  </si>
  <si>
    <t xml:space="preserve">OCC</t>
  </si>
  <si>
    <t xml:space="preserve">일반운영비</t>
  </si>
  <si>
    <r>
      <rPr>
        <sz val="9"/>
        <color rgb="FF000000"/>
        <rFont val="WenQuanYi Zen Hei"/>
        <family val="2"/>
      </rPr>
      <t xml:space="preserve">매출대비 </t>
    </r>
    <r>
      <rPr>
        <sz val="9"/>
        <color rgb="FF000000"/>
        <rFont val="Arial"/>
        <family val="0"/>
        <charset val="1"/>
      </rPr>
      <t xml:space="preserve">%</t>
    </r>
  </si>
  <si>
    <t xml:space="preserve">소모품비</t>
  </si>
  <si>
    <t xml:space="preserve">시니어 부대시설</t>
  </si>
  <si>
    <r>
      <rPr>
        <sz val="9"/>
        <color rgb="FF000000"/>
        <rFont val="WenQuanYi Zen Hei"/>
        <family val="2"/>
      </rPr>
      <t xml:space="preserve">월임대료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전용면적당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</si>
  <si>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천원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평</t>
    </r>
    <r>
      <rPr>
        <sz val="9"/>
        <color rgb="FF000000"/>
        <rFont val="Arial"/>
        <family val="0"/>
        <charset val="1"/>
      </rPr>
      <t xml:space="preserve">,</t>
    </r>
    <r>
      <rPr>
        <sz val="9"/>
        <color rgb="FF000000"/>
        <rFont val="WenQuanYi Zen Hei"/>
        <family val="2"/>
      </rPr>
      <t xml:space="preserve">월</t>
    </r>
  </si>
  <si>
    <r>
      <rPr>
        <sz val="9"/>
        <color rgb="FF000000"/>
        <rFont val="WenQuanYi Zen Hei"/>
        <family val="2"/>
      </rPr>
      <t xml:space="preserve">월임대료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총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</si>
  <si>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백만원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월</t>
    </r>
  </si>
  <si>
    <r>
      <rPr>
        <b val="true"/>
        <i val="true"/>
        <sz val="9"/>
        <color rgb="FFFFFFFF"/>
        <rFont val="WenQuanYi Zen Hei"/>
        <family val="2"/>
      </rPr>
      <t xml:space="preserve">레지던스</t>
    </r>
    <r>
      <rPr>
        <b val="true"/>
        <i val="true"/>
        <sz val="9"/>
        <color rgb="FFFFFFFF"/>
        <rFont val="Arial"/>
        <family val="0"/>
        <charset val="1"/>
      </rPr>
      <t xml:space="preserve">(</t>
    </r>
    <r>
      <rPr>
        <b val="true"/>
        <i val="true"/>
        <sz val="9"/>
        <color rgb="FFFFFFFF"/>
        <rFont val="WenQuanYi Zen Hei"/>
        <family val="2"/>
      </rPr>
      <t xml:space="preserve">휴양콘도미니엄</t>
    </r>
    <r>
      <rPr>
        <b val="true"/>
        <i val="true"/>
        <sz val="9"/>
        <color rgb="FFFFFFFF"/>
        <rFont val="Arial"/>
        <family val="0"/>
        <charset val="1"/>
      </rPr>
      <t xml:space="preserve">)</t>
    </r>
  </si>
  <si>
    <t xml:space="preserve">타입</t>
  </si>
  <si>
    <r>
      <rPr>
        <b val="true"/>
        <sz val="9"/>
        <color rgb="FFFFFFFF"/>
        <rFont val="WenQuanYi Zen Hei"/>
        <family val="2"/>
      </rPr>
      <t xml:space="preserve">전용면적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</si>
  <si>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세대수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세대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</si>
  <si>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백만원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</si>
  <si>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ADR(</t>
    </r>
    <r>
      <rPr>
        <b val="true"/>
        <sz val="9"/>
        <color rgb="FFFFFFFF"/>
        <rFont val="WenQuanYi Zen Hei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</si>
  <si>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ADR×</t>
    </r>
    <r>
      <rPr>
        <b val="true"/>
        <sz val="9"/>
        <color rgb="FFFFFFFF"/>
        <rFont val="WenQuanYi Zen Hei"/>
        <family val="2"/>
      </rPr>
      <t xml:space="preserve">세대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WenQuanYi Zen Hei"/>
        <family val="2"/>
      </rPr>
      <t xml:space="preserve">일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</si>
  <si>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F.H-Suite-1</t>
  </si>
  <si>
    <t xml:space="preserve">F.H-Suite-2</t>
  </si>
  <si>
    <t xml:space="preserve">F.H-E.Suite</t>
  </si>
  <si>
    <t xml:space="preserve">PENT-1</t>
  </si>
  <si>
    <t xml:space="preserve">PENT2</t>
  </si>
  <si>
    <t xml:space="preserve">운영수익</t>
  </si>
  <si>
    <t xml:space="preserve">객실외 매출</t>
  </si>
  <si>
    <t xml:space="preserve">객실매출대비</t>
  </si>
  <si>
    <r>
      <rPr>
        <b val="true"/>
        <i val="true"/>
        <sz val="9"/>
        <color rgb="FFFFFFFF"/>
        <rFont val="WenQuanYi Zen Hei"/>
        <family val="2"/>
      </rPr>
      <t xml:space="preserve">레지던스</t>
    </r>
    <r>
      <rPr>
        <b val="true"/>
        <i val="true"/>
        <sz val="9"/>
        <color rgb="FFFFFFFF"/>
        <rFont val="Arial"/>
        <family val="0"/>
        <charset val="1"/>
      </rPr>
      <t xml:space="preserve">(</t>
    </r>
    <r>
      <rPr>
        <b val="true"/>
        <i val="true"/>
        <sz val="9"/>
        <color rgb="FFFFFFFF"/>
        <rFont val="WenQuanYi Zen Hei"/>
        <family val="2"/>
      </rPr>
      <t xml:space="preserve">휴양콘도미니엄</t>
    </r>
    <r>
      <rPr>
        <b val="true"/>
        <i val="true"/>
        <sz val="9"/>
        <color rgb="FFFFFFFF"/>
        <rFont val="Arial"/>
        <family val="0"/>
        <charset val="1"/>
      </rPr>
      <t xml:space="preserve">-</t>
    </r>
    <r>
      <rPr>
        <b val="true"/>
        <i val="true"/>
        <sz val="9"/>
        <color rgb="FFFFFFFF"/>
        <rFont val="WenQuanYi Zen Hei"/>
        <family val="2"/>
      </rPr>
      <t xml:space="preserve">멤버전용</t>
    </r>
    <r>
      <rPr>
        <b val="true"/>
        <i val="true"/>
        <sz val="9"/>
        <color rgb="FFFFFFFF"/>
        <rFont val="Arial"/>
        <family val="0"/>
        <charset val="1"/>
      </rPr>
      <t xml:space="preserve">)</t>
    </r>
  </si>
  <si>
    <t xml:space="preserve">매출대비</t>
  </si>
  <si>
    <t xml:space="preserve">객실수</t>
  </si>
  <si>
    <t xml:space="preserve">실</t>
  </si>
  <si>
    <r>
      <rPr>
        <sz val="9"/>
        <color rgb="FF000000"/>
        <rFont val="WenQuanYi Zen Hei"/>
        <family val="2"/>
      </rPr>
      <t xml:space="preserve">백만원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회원</t>
    </r>
  </si>
  <si>
    <t xml:space="preserve">회원수</t>
  </si>
  <si>
    <t xml:space="preserve">명</t>
  </si>
  <si>
    <t xml:space="preserve">회원모집률</t>
  </si>
  <si>
    <r>
      <rPr>
        <sz val="9"/>
        <color rgb="FF000000"/>
        <rFont val="WenQuanYi Zen Hei"/>
        <family val="2"/>
      </rPr>
      <t xml:space="preserve">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일</t>
    </r>
  </si>
  <si>
    <r>
      <rPr>
        <sz val="9"/>
        <color rgb="FF000000"/>
        <rFont val="WenQuanYi Zen Hei"/>
        <family val="2"/>
      </rPr>
      <t xml:space="preserve">객실외매출계수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식음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</si>
  <si>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객실외매출계수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기타</t>
    </r>
    <r>
      <rPr>
        <sz val="9"/>
        <color rgb="FF000000"/>
        <rFont val="Arial"/>
        <family val="0"/>
        <charset val="1"/>
      </rPr>
      <t xml:space="preserve">)</t>
    </r>
  </si>
  <si>
    <t xml:space="preserve">호텔부대시설</t>
  </si>
  <si>
    <r>
      <rPr>
        <sz val="9"/>
        <color rgb="FF000000"/>
        <rFont val="WenQuanYi Zen Hei"/>
        <family val="2"/>
      </rPr>
      <t xml:space="preserve">컨벤션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연회장</t>
    </r>
    <r>
      <rPr>
        <sz val="9"/>
        <color rgb="FF000000"/>
        <rFont val="Arial"/>
        <family val="0"/>
        <charset val="1"/>
      </rPr>
      <t xml:space="preserve">)</t>
    </r>
  </si>
  <si>
    <t xml:space="preserve">객실매출 대비</t>
  </si>
  <si>
    <r>
      <rPr>
        <sz val="9"/>
        <color rgb="FF000000"/>
        <rFont val="WenQuanYi Zen Hei"/>
        <family val="2"/>
      </rPr>
      <t xml:space="preserve">스파</t>
    </r>
    <r>
      <rPr>
        <sz val="9"/>
        <color rgb="FF000000"/>
        <rFont val="Arial"/>
        <family val="0"/>
        <charset val="1"/>
      </rPr>
      <t xml:space="preserve">&amp;</t>
    </r>
    <r>
      <rPr>
        <sz val="9"/>
        <color rgb="FF000000"/>
        <rFont val="WenQuanYi Zen Hei"/>
        <family val="2"/>
      </rPr>
      <t xml:space="preserve">수영장</t>
    </r>
    <r>
      <rPr>
        <sz val="9"/>
        <color rgb="FF000000"/>
        <rFont val="Arial"/>
        <family val="0"/>
        <charset val="1"/>
      </rPr>
      <t xml:space="preserve">&amp;</t>
    </r>
    <r>
      <rPr>
        <sz val="9"/>
        <color rgb="FF000000"/>
        <rFont val="WenQuanYi Zen Hei"/>
        <family val="2"/>
      </rPr>
      <t xml:space="preserve">피트니스</t>
    </r>
  </si>
  <si>
    <r>
      <rPr>
        <sz val="9"/>
        <color rgb="FF000000"/>
        <rFont val="WenQuanYi Zen Hei"/>
        <family val="2"/>
      </rPr>
      <t xml:space="preserve">파인다이닝</t>
    </r>
    <r>
      <rPr>
        <sz val="9"/>
        <color rgb="FF000000"/>
        <rFont val="Arial"/>
        <family val="0"/>
        <charset val="1"/>
      </rPr>
      <t xml:space="preserve">/ADD</t>
    </r>
  </si>
  <si>
    <t xml:space="preserve">휴게시설</t>
  </si>
  <si>
    <t xml:space="preserve">BOH</t>
  </si>
  <si>
    <t xml:space="preserve">휴게시설매출 대비</t>
  </si>
  <si>
    <r>
      <rPr>
        <sz val="9"/>
        <color rgb="FF000000"/>
        <rFont val="WenQuanYi Zen Hei"/>
        <family val="2"/>
      </rPr>
      <t xml:space="preserve">월임대료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평당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</si>
  <si>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천원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평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전용</t>
    </r>
    <r>
      <rPr>
        <sz val="9"/>
        <color rgb="FF000000"/>
        <rFont val="Arial"/>
        <family val="0"/>
        <charset val="1"/>
      </rPr>
      <t xml:space="preserve">),</t>
    </r>
    <r>
      <rPr>
        <sz val="9"/>
        <color rgb="FF000000"/>
        <rFont val="WenQuanYi Zen Hei"/>
        <family val="2"/>
      </rPr>
      <t xml:space="preserve">월</t>
    </r>
  </si>
  <si>
    <t xml:space="preserve">공실률</t>
  </si>
  <si>
    <t xml:space="preserve">리징비용</t>
  </si>
  <si>
    <t xml:space="preserve">평당관리비용</t>
  </si>
  <si>
    <t xml:space="preserve">총관리비용</t>
  </si>
  <si>
    <r>
      <rPr>
        <b val="true"/>
        <sz val="9"/>
        <color rgb="FF000000"/>
        <rFont val="WenQuanYi Zen Hei"/>
        <family val="2"/>
      </rPr>
      <t xml:space="preserve">스파</t>
    </r>
    <r>
      <rPr>
        <b val="true"/>
        <sz val="9"/>
        <color rgb="FF000000"/>
        <rFont val="Arial"/>
        <family val="0"/>
        <charset val="1"/>
      </rPr>
      <t xml:space="preserve">2.0</t>
    </r>
  </si>
  <si>
    <t xml:space="preserve">기타공통비용</t>
  </si>
  <si>
    <t xml:space="preserve">평당 수선비</t>
  </si>
  <si>
    <r>
      <rPr>
        <sz val="9"/>
        <color rgb="FF000000"/>
        <rFont val="WenQuanYi Zen Hei"/>
        <family val="2"/>
      </rPr>
      <t xml:space="preserve">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평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연면적</t>
    </r>
    <r>
      <rPr>
        <sz val="9"/>
        <color rgb="FF000000"/>
        <rFont val="Arial"/>
        <family val="0"/>
        <charset val="1"/>
      </rPr>
      <t xml:space="preserve">),</t>
    </r>
    <r>
      <rPr>
        <sz val="9"/>
        <color rgb="FF000000"/>
        <rFont val="WenQuanYi Zen Hei"/>
        <family val="2"/>
      </rPr>
      <t xml:space="preserve">월</t>
    </r>
  </si>
  <si>
    <t xml:space="preserve">평당 보험료</t>
  </si>
  <si>
    <r>
      <rPr>
        <sz val="9"/>
        <color rgb="FF000000"/>
        <rFont val="WenQuanYi Zen Hei"/>
        <family val="2"/>
      </rPr>
      <t xml:space="preserve">평당 </t>
    </r>
    <r>
      <rPr>
        <sz val="9"/>
        <color rgb="FF000000"/>
        <rFont val="Arial"/>
        <family val="0"/>
        <charset val="1"/>
      </rPr>
      <t xml:space="preserve">PM </t>
    </r>
    <r>
      <rPr>
        <sz val="9"/>
        <color rgb="FF000000"/>
        <rFont val="WenQuanYi Zen Hei"/>
        <family val="2"/>
      </rPr>
      <t xml:space="preserve">수수료</t>
    </r>
  </si>
  <si>
    <t xml:space="preserve">교통유발부담금</t>
  </si>
  <si>
    <r>
      <rPr>
        <sz val="9"/>
        <color rgb="FF000000"/>
        <rFont val="WenQuanYi Zen Hei"/>
        <family val="2"/>
      </rPr>
      <t xml:space="preserve">백만원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연</t>
    </r>
  </si>
  <si>
    <t xml:space="preserve">간주임대료 금리</t>
  </si>
  <si>
    <t xml:space="preserve">공통비용 물가상승률</t>
  </si>
  <si>
    <t xml:space="preserve">매각 가정</t>
  </si>
  <si>
    <r>
      <rPr>
        <sz val="9"/>
        <color rgb="FF000000"/>
        <rFont val="Arial"/>
        <family val="0"/>
        <charset val="1"/>
      </rPr>
      <t xml:space="preserve">NOI </t>
    </r>
    <r>
      <rPr>
        <sz val="9"/>
        <color rgb="FF000000"/>
        <rFont val="WenQuanYi Zen Hei"/>
        <family val="2"/>
      </rPr>
      <t xml:space="preserve">기준 운영연차</t>
    </r>
  </si>
  <si>
    <t xml:space="preserve">연차</t>
  </si>
  <si>
    <r>
      <rPr>
        <sz val="9"/>
        <color rgb="FF000000"/>
        <rFont val="WenQuanYi Zen Hei"/>
        <family val="2"/>
      </rPr>
      <t xml:space="preserve">보증금 운용수익률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매각가 반영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</si>
  <si>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NOI(</t>
    </r>
    <r>
      <rPr>
        <b val="true"/>
        <sz val="9"/>
        <color rgb="FFFFFFFF"/>
        <rFont val="WenQuanYi Zen Hei"/>
        <family val="2"/>
      </rPr>
      <t xml:space="preserve">기준연차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</si>
  <si>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처분시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</si>
  <si>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보증금 운용수익</t>
  </si>
  <si>
    <t xml:space="preserve">Cap rate</t>
  </si>
  <si>
    <r>
      <rPr>
        <b val="true"/>
        <i val="true"/>
        <sz val="9"/>
        <color rgb="FFFFFFFF"/>
        <rFont val="WenQuanYi Zen Hei"/>
        <family val="2"/>
      </rPr>
      <t xml:space="preserve">용도별 개발기간 사업비</t>
    </r>
    <r>
      <rPr>
        <b val="true"/>
        <i val="true"/>
        <sz val="9"/>
        <color rgb="FFFFFFFF"/>
        <rFont val="Arial"/>
        <family val="0"/>
        <charset val="1"/>
      </rPr>
      <t xml:space="preserve">(</t>
    </r>
    <r>
      <rPr>
        <b val="true"/>
        <i val="true"/>
        <sz val="9"/>
        <color rgb="FFFFFFFF"/>
        <rFont val="WenQuanYi Zen Hei"/>
        <family val="2"/>
      </rPr>
      <t xml:space="preserve">토지 매입비용 제외</t>
    </r>
    <r>
      <rPr>
        <b val="true"/>
        <i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</si>
  <si>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단위</t>
    </r>
    <r>
      <rPr>
        <b val="true"/>
        <sz val="9"/>
        <color rgb="FFFFFFFF"/>
        <rFont val="Arial"/>
        <family val="0"/>
        <charset val="1"/>
      </rPr>
      <t xml:space="preserve">: </t>
    </r>
    <r>
      <rPr>
        <b val="true"/>
        <sz val="9"/>
        <color rgb="FFFFFFFF"/>
        <rFont val="WenQuanYi Zen Hei"/>
        <family val="2"/>
      </rPr>
      <t xml:space="preserve">백만원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</si>
  <si>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설계 감리 </t>
    </r>
    <r>
      <rPr>
        <b val="true"/>
        <sz val="9"/>
        <color rgb="FF000000"/>
        <rFont val="Arial"/>
        <family val="0"/>
        <charset val="1"/>
      </rPr>
      <t xml:space="preserve">CM</t>
    </r>
  </si>
  <si>
    <t xml:space="preserve">인테리어</t>
  </si>
  <si>
    <t xml:space="preserve">FF&amp;E</t>
  </si>
  <si>
    <r>
      <rPr>
        <b val="true"/>
        <sz val="9"/>
        <color rgb="FF000000"/>
        <rFont val="WenQuanYi Zen Hei"/>
        <family val="2"/>
      </rPr>
      <t xml:space="preserve">인입공사</t>
    </r>
    <r>
      <rPr>
        <b val="true"/>
        <sz val="9"/>
        <color rgb="FF000000"/>
        <rFont val="Arial"/>
        <family val="0"/>
        <charset val="1"/>
      </rPr>
      <t xml:space="preserve">, </t>
    </r>
    <r>
      <rPr>
        <b val="true"/>
        <sz val="9"/>
        <color rgb="FF000000"/>
        <rFont val="WenQuanYi Zen Hei"/>
        <family val="2"/>
      </rPr>
      <t xml:space="preserve">부담금</t>
    </r>
  </si>
  <si>
    <t xml:space="preserve">건물분 취득세</t>
  </si>
  <si>
    <t xml:space="preserve">금융비용</t>
  </si>
  <si>
    <t xml:space="preserve">분양홍보</t>
  </si>
  <si>
    <r>
      <rPr>
        <b val="true"/>
        <sz val="9"/>
        <color rgb="FF000000"/>
        <rFont val="WenQuanYi Zen Hei"/>
        <family val="2"/>
      </rPr>
      <t xml:space="preserve">토지 보유세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개발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</si>
  <si>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예비비</t>
  </si>
  <si>
    <t xml:space="preserve">IBS</t>
  </si>
  <si>
    <r>
      <rPr>
        <i val="true"/>
        <sz val="9"/>
        <color rgb="FF7F7F7F"/>
        <rFont val="WenQuanYi Zen Hei"/>
        <family val="2"/>
      </rPr>
      <t xml:space="preserve">※ 건설기간 단가표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아래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로 시설별 사업비 산정</t>
    </r>
    <r>
      <rPr>
        <i val="true"/>
        <sz val="9"/>
        <color rgb="FF7F7F7F"/>
        <rFont val="Arial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금융비용은 기타 사업비 비중으로 배분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WenQuanYi Zen Hei"/>
        <family val="2"/>
      </rPr>
      <t xml:space="preserve">토지보유세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WenQuanYi Zen Hei"/>
        <family val="2"/>
      </rPr>
      <t xml:space="preserve">예비비</t>
    </r>
    <r>
      <rPr>
        <i val="true"/>
        <sz val="9"/>
        <color rgb="FF7F7F7F"/>
        <rFont val="Arial"/>
        <family val="0"/>
        <charset val="1"/>
      </rPr>
      <t xml:space="preserve">·IBS</t>
    </r>
    <r>
      <rPr>
        <i val="true"/>
        <sz val="9"/>
        <color rgb="FF7F7F7F"/>
        <rFont val="WenQuanYi Zen Hei"/>
        <family val="2"/>
      </rPr>
      <t xml:space="preserve">는 시설면적 비중 배분</t>
    </r>
  </si>
  <si>
    <t xml:space="preserve">일식</t>
  </si>
  <si>
    <r>
      <rPr>
        <b val="true"/>
        <sz val="9"/>
        <color rgb="FF000000"/>
        <rFont val="WenQuanYi Zen Hei"/>
        <family val="2"/>
      </rPr>
      <t xml:space="preserve">사업비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건설기간 중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</si>
  <si>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비율</t>
  </si>
  <si>
    <r>
      <rPr>
        <sz val="9"/>
        <color rgb="FF7F7F7F"/>
        <rFont val="WenQuanYi Zen Hei"/>
        <family val="2"/>
      </rPr>
      <t xml:space="preserve">금융비용 배분가중치</t>
    </r>
    <r>
      <rPr>
        <sz val="9"/>
        <color rgb="FF7F7F7F"/>
        <rFont val="Arial"/>
        <family val="0"/>
        <charset val="1"/>
      </rPr>
      <t xml:space="preserve">(Vehicle </t>
    </r>
    <r>
      <rPr>
        <sz val="9"/>
        <color rgb="FF7F7F7F"/>
        <rFont val="WenQuanYi Zen Hei"/>
        <family val="2"/>
      </rPr>
      <t xml:space="preserve">포함분</t>
    </r>
    <r>
      <rPr>
        <sz val="9"/>
        <color rgb="FF7F7F7F"/>
        <rFont val="Arial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</si>
  <si>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주차장 및 </t>
    </r>
    <r>
      <rPr>
        <b val="true"/>
        <sz val="9"/>
        <color rgb="FF000000"/>
        <rFont val="Arial"/>
        <family val="0"/>
        <charset val="1"/>
      </rPr>
      <t xml:space="preserve">MEP </t>
    </r>
    <r>
      <rPr>
        <b val="true"/>
        <sz val="9"/>
        <color rgb="FF000000"/>
        <rFont val="WenQuanYi Zen Hei"/>
        <family val="2"/>
      </rPr>
      <t xml:space="preserve">사업비 배분 후 용도별 사업비</t>
    </r>
  </si>
  <si>
    <t xml:space="preserve">배분전</t>
  </si>
  <si>
    <t xml:space="preserve">배분</t>
  </si>
  <si>
    <t xml:space="preserve">배분후</t>
  </si>
  <si>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최종</t>
    </r>
    <r>
      <rPr>
        <b val="true"/>
        <sz val="9"/>
        <color rgb="FF000000"/>
        <rFont val="Arial"/>
        <family val="0"/>
        <charset val="1"/>
      </rPr>
      <t xml:space="preserve">) </t>
    </r>
    <r>
      <rPr>
        <b val="true"/>
        <sz val="9"/>
        <color rgb="FF000000"/>
        <rFont val="WenQuanYi Zen Hei"/>
        <family val="2"/>
      </rPr>
      <t xml:space="preserve">용도별 사업비</t>
    </r>
    <r>
      <rPr>
        <b val="true"/>
        <sz val="9"/>
        <color rgb="FF000000"/>
        <rFont val="Arial"/>
        <family val="0"/>
        <charset val="1"/>
      </rPr>
      <t xml:space="preserve">_</t>
    </r>
    <r>
      <rPr>
        <b val="true"/>
        <sz val="9"/>
        <color rgb="FF000000"/>
        <rFont val="WenQuanYi Zen Hei"/>
        <family val="2"/>
      </rPr>
      <t xml:space="preserve">모든 개발기간 사업비 포함</t>
    </r>
  </si>
  <si>
    <t xml:space="preserve">최종 배분 후</t>
  </si>
  <si>
    <r>
      <rPr>
        <b val="true"/>
        <sz val="9"/>
        <color rgb="FFFFFFFF"/>
        <rFont val="WenQuanYi Zen Hei"/>
        <family val="2"/>
      </rPr>
      <t xml:space="preserve">최종 배분 후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보증금 고려한 금융비용 재조정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</si>
  <si>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 설계 감리 </t>
    </r>
    <r>
      <rPr>
        <sz val="9"/>
        <color rgb="FF000000"/>
        <rFont val="Arial"/>
        <family val="0"/>
        <charset val="1"/>
      </rPr>
      <t xml:space="preserve">CM</t>
    </r>
  </si>
  <si>
    <t xml:space="preserve"> 인테리어</t>
  </si>
  <si>
    <t xml:space="preserve"> FF&amp;E</t>
  </si>
  <si>
    <r>
      <rPr>
        <sz val="9"/>
        <color rgb="FF000000"/>
        <rFont val="WenQuanYi Zen Hei"/>
        <family val="2"/>
      </rPr>
      <t xml:space="preserve"> 인입공사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부담금</t>
    </r>
  </si>
  <si>
    <t xml:space="preserve"> IBS</t>
  </si>
  <si>
    <t xml:space="preserve"> 예비비</t>
  </si>
  <si>
    <r>
      <rPr>
        <b val="true"/>
        <sz val="9"/>
        <color rgb="FF000000"/>
        <rFont val="WenQuanYi Zen Hei"/>
        <family val="2"/>
      </rPr>
      <t xml:space="preserve">판매비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광고홍보비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</si>
  <si>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부대비용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보존등기비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</si>
  <si>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리츠운용비</t>
  </si>
  <si>
    <t xml:space="preserve">선입금보증금</t>
  </si>
  <si>
    <t xml:space="preserve">보증금 차감후 사업비</t>
  </si>
  <si>
    <r>
      <rPr>
        <b val="true"/>
        <i val="true"/>
        <sz val="9"/>
        <color rgb="FFFFFFFF"/>
        <rFont val="Arial"/>
        <family val="0"/>
        <charset val="1"/>
      </rPr>
      <t xml:space="preserve">REITs </t>
    </r>
    <r>
      <rPr>
        <b val="true"/>
        <i val="true"/>
        <sz val="9"/>
        <color rgb="FFFFFFFF"/>
        <rFont val="WenQuanYi Zen Hei"/>
        <family val="2"/>
      </rPr>
      <t xml:space="preserve">개발기간 사업비 및 </t>
    </r>
    <r>
      <rPr>
        <b val="true"/>
        <i val="true"/>
        <sz val="9"/>
        <color rgb="FFFFFFFF"/>
        <rFont val="Arial"/>
        <family val="0"/>
        <charset val="1"/>
      </rPr>
      <t xml:space="preserve">S-curve </t>
    </r>
    <r>
      <rPr>
        <b val="true"/>
        <i val="true"/>
        <sz val="9"/>
        <color rgb="FFFFFFFF"/>
        <rFont val="WenQuanYi Zen Hei"/>
        <family val="2"/>
      </rPr>
      <t xml:space="preserve">가정</t>
    </r>
  </si>
  <si>
    <r>
      <rPr>
        <b val="true"/>
        <sz val="9"/>
        <color rgb="FF000000"/>
        <rFont val="Arial"/>
        <family val="0"/>
        <charset val="1"/>
      </rPr>
      <t xml:space="preserve">[0:</t>
    </r>
    <r>
      <rPr>
        <b val="true"/>
        <sz val="9"/>
        <color rgb="FF000000"/>
        <rFont val="WenQuanYi Zen Hei"/>
        <family val="2"/>
      </rPr>
      <t xml:space="preserve">면세</t>
    </r>
    <r>
      <rPr>
        <b val="true"/>
        <sz val="9"/>
        <color rgb="FF000000"/>
        <rFont val="Arial"/>
        <family val="0"/>
        <charset val="1"/>
      </rPr>
      <t xml:space="preserve">, 1:</t>
    </r>
    <r>
      <rPr>
        <b val="true"/>
        <sz val="9"/>
        <color rgb="FF000000"/>
        <rFont val="WenQuanYi Zen Hei"/>
        <family val="2"/>
      </rPr>
      <t xml:space="preserve">과세</t>
    </r>
    <r>
      <rPr>
        <b val="true"/>
        <sz val="9"/>
        <color rgb="FF000000"/>
        <rFont val="Arial"/>
        <family val="0"/>
        <charset val="1"/>
      </rPr>
      <t xml:space="preserve">]</t>
    </r>
  </si>
  <si>
    <r>
      <rPr>
        <b val="true"/>
        <sz val="9"/>
        <color rgb="FF000000"/>
        <rFont val="Arial"/>
        <family val="0"/>
        <charset val="1"/>
      </rPr>
      <t xml:space="preserve">[1:</t>
    </r>
    <r>
      <rPr>
        <b val="true"/>
        <sz val="9"/>
        <color rgb="FF000000"/>
        <rFont val="WenQuanYi Zen Hei"/>
        <family val="2"/>
      </rPr>
      <t xml:space="preserve">면세</t>
    </r>
    <r>
      <rPr>
        <b val="true"/>
        <sz val="9"/>
        <color rgb="FF000000"/>
        <rFont val="Arial"/>
        <family val="0"/>
        <charset val="1"/>
      </rPr>
      <t xml:space="preserve">,2:</t>
    </r>
    <r>
      <rPr>
        <b val="true"/>
        <sz val="9"/>
        <color rgb="FF000000"/>
        <rFont val="WenQuanYi Zen Hei"/>
        <family val="2"/>
      </rPr>
      <t xml:space="preserve">과세</t>
    </r>
    <r>
      <rPr>
        <b val="true"/>
        <sz val="9"/>
        <color rgb="FF000000"/>
        <rFont val="Arial"/>
        <family val="0"/>
        <charset val="1"/>
      </rPr>
      <t xml:space="preserve">,3:</t>
    </r>
    <r>
      <rPr>
        <b val="true"/>
        <sz val="9"/>
        <color rgb="FF000000"/>
        <rFont val="WenQuanYi Zen Hei"/>
        <family val="2"/>
      </rPr>
      <t xml:space="preserve">공통</t>
    </r>
    <r>
      <rPr>
        <b val="true"/>
        <sz val="9"/>
        <color rgb="FF000000"/>
        <rFont val="Arial"/>
        <family val="0"/>
        <charset val="1"/>
      </rPr>
      <t xml:space="preserve">]</t>
    </r>
  </si>
  <si>
    <r>
      <rPr>
        <sz val="9"/>
        <color rgb="FF000000"/>
        <rFont val="Arial"/>
        <family val="0"/>
        <charset val="1"/>
      </rPr>
      <t xml:space="preserve">VAT </t>
    </r>
    <r>
      <rPr>
        <sz val="9"/>
        <color rgb="FF000000"/>
        <rFont val="WenQuanYi Zen Hei"/>
        <family val="2"/>
      </rPr>
      <t xml:space="preserve">공통 공제비율</t>
    </r>
    <r>
      <rPr>
        <sz val="9"/>
        <color rgb="FF000000"/>
        <rFont val="Arial"/>
        <family val="0"/>
        <charset val="1"/>
      </rPr>
      <t xml:space="preserve">(Vehicle </t>
    </r>
    <r>
      <rPr>
        <sz val="9"/>
        <color rgb="FF000000"/>
        <rFont val="WenQuanYi Zen Hei"/>
        <family val="2"/>
      </rPr>
      <t xml:space="preserve">내 과세면적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연면적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</si>
  <si>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VAT</t>
    </r>
    <r>
      <rPr>
        <b val="true"/>
        <sz val="9"/>
        <color rgb="FFFFFFFF"/>
        <rFont val="WenQuanYi Zen Hei"/>
        <family val="2"/>
      </rPr>
      <t xml:space="preserve">과세여부</t>
    </r>
  </si>
  <si>
    <r>
      <rPr>
        <b val="true"/>
        <sz val="9"/>
        <color rgb="FFFFFFFF"/>
        <rFont val="Arial"/>
        <family val="0"/>
        <charset val="1"/>
      </rPr>
      <t xml:space="preserve">VAT</t>
    </r>
    <r>
      <rPr>
        <b val="true"/>
        <sz val="9"/>
        <color rgb="FFFFFFFF"/>
        <rFont val="WenQuanYi Zen Hei"/>
        <family val="2"/>
      </rPr>
      <t xml:space="preserve">공제율 구분</t>
    </r>
  </si>
  <si>
    <t xml:space="preserve">변수</t>
  </si>
  <si>
    <t xml:space="preserve">값</t>
  </si>
  <si>
    <t xml:space="preserve">산출근거</t>
  </si>
  <si>
    <r>
      <rPr>
        <b val="true"/>
        <sz val="9"/>
        <color rgb="FFFFFFFF"/>
        <rFont val="WenQuanYi Zen Hei"/>
        <family val="2"/>
      </rPr>
      <t xml:space="preserve">값</t>
    </r>
    <r>
      <rPr>
        <b val="true"/>
        <sz val="9"/>
        <color rgb="FFFFFFFF"/>
        <rFont val="Arial"/>
        <family val="0"/>
        <charset val="1"/>
      </rPr>
      <t xml:space="preserve">1</t>
    </r>
  </si>
  <si>
    <r>
      <rPr>
        <b val="true"/>
        <sz val="9"/>
        <color rgb="FFFFFFFF"/>
        <rFont val="WenQuanYi Zen Hei"/>
        <family val="2"/>
      </rPr>
      <t xml:space="preserve">값</t>
    </r>
    <r>
      <rPr>
        <b val="true"/>
        <sz val="9"/>
        <color rgb="FFFFFFFF"/>
        <rFont val="Arial"/>
        <family val="0"/>
        <charset val="1"/>
      </rPr>
      <t xml:space="preserve">2</t>
    </r>
  </si>
  <si>
    <t xml:space="preserve">공급가액</t>
  </si>
  <si>
    <t xml:space="preserve">VAT</t>
  </si>
  <si>
    <t xml:space="preserve">공급대가</t>
  </si>
  <si>
    <r>
      <rPr>
        <b val="true"/>
        <sz val="9"/>
        <color rgb="FFFFFFFF"/>
        <rFont val="Arial"/>
        <family val="0"/>
        <charset val="1"/>
      </rPr>
      <t xml:space="preserve">VAT </t>
    </r>
    <r>
      <rPr>
        <b val="true"/>
        <sz val="9"/>
        <color rgb="FFFFFFFF"/>
        <rFont val="WenQuanYi Zen Hei"/>
        <family val="2"/>
      </rPr>
      <t xml:space="preserve">공제율</t>
    </r>
  </si>
  <si>
    <r>
      <rPr>
        <b val="true"/>
        <sz val="9"/>
        <color rgb="FFFFFFFF"/>
        <rFont val="Arial"/>
        <family val="0"/>
        <charset val="1"/>
      </rPr>
      <t xml:space="preserve">VAT </t>
    </r>
    <r>
      <rPr>
        <b val="true"/>
        <sz val="9"/>
        <color rgb="FFFFFFFF"/>
        <rFont val="WenQuanYi Zen Hei"/>
        <family val="2"/>
      </rPr>
      <t xml:space="preserve">공제액</t>
    </r>
  </si>
  <si>
    <t xml:space="preserve">공제후 순액</t>
  </si>
  <si>
    <r>
      <rPr>
        <b val="true"/>
        <sz val="9"/>
        <color rgb="FFFFFFFF"/>
        <rFont val="WenQuanYi Zen Hei"/>
        <family val="2"/>
      </rPr>
      <t xml:space="preserve">집행기준</t>
    </r>
    <r>
      <rPr>
        <b val="true"/>
        <sz val="9"/>
        <color rgb="FFFFFFFF"/>
        <rFont val="Arial"/>
        <family val="0"/>
        <charset val="1"/>
      </rPr>
      <t xml:space="preserve">(CF)</t>
    </r>
  </si>
  <si>
    <t xml:space="preserve">토지 취득원가</t>
  </si>
  <si>
    <t xml:space="preserve">전체 토지가</t>
  </si>
  <si>
    <t xml:space="preserve">대지면적</t>
  </si>
  <si>
    <t xml:space="preserve">평당 매입가</t>
  </si>
  <si>
    <r>
      <rPr>
        <sz val="9"/>
        <color rgb="FF7F7F7F"/>
        <rFont val="WenQuanYi Zen Hei"/>
        <family val="2"/>
      </rPr>
      <t xml:space="preserve">계약금</t>
    </r>
    <r>
      <rPr>
        <sz val="9"/>
        <color rgb="FF7F7F7F"/>
        <rFont val="Arial"/>
        <family val="0"/>
        <charset val="1"/>
      </rPr>
      <t xml:space="preserve">(</t>
    </r>
    <r>
      <rPr>
        <sz val="9"/>
        <color rgb="FF7F7F7F"/>
        <rFont val="WenQuanYi Zen Hei"/>
        <family val="2"/>
      </rPr>
      <t xml:space="preserve">계약일</t>
    </r>
    <r>
      <rPr>
        <sz val="9"/>
        <color rgb="FF7F7F7F"/>
        <rFont val="Arial"/>
        <family val="0"/>
        <charset val="1"/>
      </rPr>
      <t xml:space="preserve">)/</t>
    </r>
    <r>
      <rPr>
        <sz val="9"/>
        <color rgb="FF7F7F7F"/>
        <rFont val="WenQuanYi Zen Hei"/>
        <family val="2"/>
      </rPr>
      <t xml:space="preserve">잔금</t>
    </r>
    <r>
      <rPr>
        <sz val="9"/>
        <color rgb="FF7F7F7F"/>
        <rFont val="Arial"/>
        <family val="0"/>
        <charset val="1"/>
      </rPr>
      <t xml:space="preserve">(</t>
    </r>
    <r>
      <rPr>
        <sz val="9"/>
        <color rgb="FF7F7F7F"/>
        <rFont val="WenQuanYi Zen Hei"/>
        <family val="2"/>
      </rPr>
      <t xml:space="preserve">착공일</t>
    </r>
    <r>
      <rPr>
        <sz val="9"/>
        <color rgb="FF7F7F7F"/>
        <rFont val="Arial"/>
        <family val="0"/>
        <charset val="1"/>
      </rPr>
      <t xml:space="preserve">), ×</t>
    </r>
    <r>
      <rPr>
        <sz val="9"/>
        <color rgb="FF7F7F7F"/>
        <rFont val="WenQuanYi Zen Hei"/>
        <family val="2"/>
      </rPr>
      <t xml:space="preserve">토지지분</t>
    </r>
  </si>
  <si>
    <t xml:space="preserve">취득세</t>
  </si>
  <si>
    <t xml:space="preserve">대지구입비</t>
  </si>
  <si>
    <t xml:space="preserve">요율</t>
  </si>
  <si>
    <t xml:space="preserve">토지 임차료</t>
  </si>
  <si>
    <t xml:space="preserve">토지가액</t>
  </si>
  <si>
    <r>
      <rPr>
        <sz val="9"/>
        <color rgb="FF000000"/>
        <rFont val="Arial"/>
        <family val="0"/>
        <charset val="1"/>
      </rPr>
      <t xml:space="preserve">x </t>
    </r>
    <r>
      <rPr>
        <sz val="9"/>
        <color rgb="FF000000"/>
        <rFont val="WenQuanYi Zen Hei"/>
        <family val="2"/>
      </rPr>
      <t xml:space="preserve">요율</t>
    </r>
  </si>
  <si>
    <t xml:space="preserve">임차기간</t>
  </si>
  <si>
    <r>
      <rPr>
        <sz val="9"/>
        <color rgb="FF000000"/>
        <rFont val="WenQuanYi Zen Hei"/>
        <family val="2"/>
      </rPr>
      <t xml:space="preserve">등기대행료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법무사</t>
    </r>
    <r>
      <rPr>
        <sz val="9"/>
        <color rgb="FF000000"/>
        <rFont val="Arial"/>
        <family val="0"/>
        <charset val="1"/>
      </rPr>
      <t xml:space="preserve">)</t>
    </r>
  </si>
  <si>
    <t xml:space="preserve">건설기간 재산세</t>
  </si>
  <si>
    <r>
      <rPr>
        <sz val="9"/>
        <color rgb="FF000000"/>
        <rFont val="WenQuanYi Zen Hei"/>
        <family val="2"/>
      </rPr>
      <t xml:space="preserve">토지 보유세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전체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</si>
  <si>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7F7F7F"/>
        <rFont val="WenQuanYi Zen Hei"/>
        <family val="2"/>
      </rPr>
      <t xml:space="preserve">공사기간 균등</t>
    </r>
    <r>
      <rPr>
        <sz val="9"/>
        <color rgb="FF7F7F7F"/>
        <rFont val="Arial"/>
        <family val="0"/>
        <charset val="1"/>
      </rPr>
      <t xml:space="preserve">, ×</t>
    </r>
    <r>
      <rPr>
        <sz val="9"/>
        <color rgb="FF7F7F7F"/>
        <rFont val="WenQuanYi Zen Hei"/>
        <family val="2"/>
      </rPr>
      <t xml:space="preserve">토지지분</t>
    </r>
  </si>
  <si>
    <t xml:space="preserve">토지비 합계</t>
  </si>
  <si>
    <t xml:space="preserve">건설원가</t>
  </si>
  <si>
    <r>
      <rPr>
        <sz val="9"/>
        <color rgb="FF000000"/>
        <rFont val="WenQuanYi Zen Hei"/>
        <family val="2"/>
      </rPr>
      <t xml:space="preserve">건축공사비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시니어 레지던스</t>
    </r>
    <r>
      <rPr>
        <sz val="9"/>
        <color rgb="FF000000"/>
        <rFont val="Arial"/>
        <family val="0"/>
        <charset val="1"/>
      </rPr>
      <t xml:space="preserve">)</t>
    </r>
  </si>
  <si>
    <t xml:space="preserve">건축연면적</t>
  </si>
  <si>
    <t xml:space="preserve">평당공사비</t>
  </si>
  <si>
    <r>
      <rPr>
        <sz val="9"/>
        <color rgb="FF7F7F7F"/>
        <rFont val="Arial"/>
        <family val="0"/>
        <charset val="1"/>
      </rPr>
      <t xml:space="preserve">S-curve(</t>
    </r>
    <r>
      <rPr>
        <sz val="9"/>
        <color rgb="FF7F7F7F"/>
        <rFont val="WenQuanYi Zen Hei"/>
        <family val="2"/>
      </rPr>
      <t xml:space="preserve">유보금 제외</t>
    </r>
    <r>
      <rPr>
        <sz val="9"/>
        <color rgb="FF7F7F7F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</si>
  <si>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건축공사비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이외</t>
    </r>
    <r>
      <rPr>
        <sz val="9"/>
        <color rgb="FF000000"/>
        <rFont val="Arial"/>
        <family val="0"/>
        <charset val="1"/>
      </rPr>
      <t xml:space="preserve">)</t>
    </r>
  </si>
  <si>
    <t xml:space="preserve">직접공사비 소계</t>
  </si>
  <si>
    <r>
      <rPr>
        <sz val="9"/>
        <color rgb="FF000000"/>
        <rFont val="WenQuanYi Zen Hei"/>
        <family val="2"/>
      </rPr>
      <t xml:space="preserve">설계 감리 </t>
    </r>
    <r>
      <rPr>
        <sz val="9"/>
        <color rgb="FF000000"/>
        <rFont val="Arial"/>
        <family val="0"/>
        <charset val="1"/>
      </rPr>
      <t xml:space="preserve">CM(</t>
    </r>
    <r>
      <rPr>
        <sz val="9"/>
        <color rgb="FF000000"/>
        <rFont val="WenQuanYi Zen Hei"/>
        <family val="2"/>
      </rPr>
      <t xml:space="preserve">시니어 레지던스</t>
    </r>
    <r>
      <rPr>
        <sz val="9"/>
        <color rgb="FF000000"/>
        <rFont val="Arial"/>
        <family val="0"/>
        <charset val="1"/>
      </rPr>
      <t xml:space="preserve">)</t>
    </r>
  </si>
  <si>
    <t xml:space="preserve">평당비용</t>
  </si>
  <si>
    <t xml:space="preserve">S-curve</t>
  </si>
  <si>
    <r>
      <rPr>
        <sz val="9"/>
        <color rgb="FF000000"/>
        <rFont val="WenQuanYi Zen Hei"/>
        <family val="2"/>
      </rPr>
      <t xml:space="preserve">설계 감리 </t>
    </r>
    <r>
      <rPr>
        <sz val="9"/>
        <color rgb="FF000000"/>
        <rFont val="Arial"/>
        <family val="0"/>
        <charset val="1"/>
      </rPr>
      <t xml:space="preserve">CM(</t>
    </r>
    <r>
      <rPr>
        <sz val="9"/>
        <color rgb="FF000000"/>
        <rFont val="WenQuanYi Zen Hei"/>
        <family val="2"/>
      </rPr>
      <t xml:space="preserve">이외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</si>
  <si>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인테리어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시니어 레지던스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</si>
  <si>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인테리어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이외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</si>
  <si>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FF&amp;E(</t>
    </r>
    <r>
      <rPr>
        <sz val="9"/>
        <color rgb="FF000000"/>
        <rFont val="WenQuanYi Zen Hei"/>
        <family val="2"/>
      </rPr>
      <t xml:space="preserve">시니어 레지던스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</si>
  <si>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FF&amp;E(</t>
    </r>
    <r>
      <rPr>
        <sz val="9"/>
        <color rgb="FF000000"/>
        <rFont val="WenQuanYi Zen Hei"/>
        <family val="2"/>
      </rPr>
      <t xml:space="preserve">이외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</si>
  <si>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인입공사비 및 부담금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시니어 레지던스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</si>
  <si>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인입공사비 및 부담금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이외</t>
    </r>
    <r>
      <rPr>
        <sz val="9"/>
        <color rgb="FF000000"/>
        <rFont val="Arial"/>
        <family val="0"/>
        <charset val="1"/>
      </rPr>
      <t xml:space="preserve">)</t>
    </r>
  </si>
  <si>
    <t xml:space="preserve">철거공사비</t>
  </si>
  <si>
    <t xml:space="preserve">평당철거비</t>
  </si>
  <si>
    <t xml:space="preserve">미술작품설치비</t>
  </si>
  <si>
    <r>
      <rPr>
        <sz val="9"/>
        <color rgb="FF000000"/>
        <rFont val="Arial"/>
        <family val="0"/>
        <charset val="1"/>
      </rPr>
      <t xml:space="preserve">IBS(</t>
    </r>
    <r>
      <rPr>
        <sz val="9"/>
        <color rgb="FF000000"/>
        <rFont val="WenQuanYi Zen Hei"/>
        <family val="2"/>
      </rPr>
      <t xml:space="preserve">시니어 레지던스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</si>
  <si>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IBS(</t>
    </r>
    <r>
      <rPr>
        <sz val="9"/>
        <color rgb="FF000000"/>
        <rFont val="WenQuanYi Zen Hei"/>
        <family val="2"/>
      </rPr>
      <t xml:space="preserve">이외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</si>
  <si>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일식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전체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</si>
  <si>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7F7F7F"/>
        <rFont val="Arial"/>
        <family val="0"/>
        <charset val="1"/>
      </rPr>
      <t xml:space="preserve">S-curve, ×</t>
    </r>
    <r>
      <rPr>
        <sz val="9"/>
        <color rgb="FF7F7F7F"/>
        <rFont val="WenQuanYi Zen Hei"/>
        <family val="2"/>
      </rPr>
      <t xml:space="preserve">연면적비중</t>
    </r>
  </si>
  <si>
    <t xml:space="preserve">간접공사비 소계</t>
  </si>
  <si>
    <r>
      <rPr>
        <sz val="9"/>
        <color rgb="FF000000"/>
        <rFont val="Arial"/>
        <family val="0"/>
        <charset val="1"/>
      </rPr>
      <t xml:space="preserve">M/H </t>
    </r>
    <r>
      <rPr>
        <sz val="9"/>
        <color rgb="FF000000"/>
        <rFont val="WenQuanYi Zen Hei"/>
        <family val="2"/>
      </rPr>
      <t xml:space="preserve">건립</t>
    </r>
  </si>
  <si>
    <t xml:space="preserve">공사기간 균등</t>
  </si>
  <si>
    <r>
      <rPr>
        <sz val="9"/>
        <color rgb="FF000000"/>
        <rFont val="Arial"/>
        <family val="0"/>
        <charset val="1"/>
      </rPr>
      <t xml:space="preserve">M/H</t>
    </r>
    <r>
      <rPr>
        <sz val="9"/>
        <color rgb="FF000000"/>
        <rFont val="WenQuanYi Zen Hei"/>
        <family val="2"/>
      </rPr>
      <t xml:space="preserve">임차료</t>
    </r>
  </si>
  <si>
    <t xml:space="preserve">월 임차료</t>
  </si>
  <si>
    <r>
      <rPr>
        <sz val="9"/>
        <color rgb="FF000000"/>
        <rFont val="Arial"/>
        <family val="0"/>
        <charset val="1"/>
      </rPr>
      <t xml:space="preserve">M/H</t>
    </r>
    <r>
      <rPr>
        <sz val="9"/>
        <color rgb="FF000000"/>
        <rFont val="WenQuanYi Zen Hei"/>
        <family val="2"/>
      </rPr>
      <t xml:space="preserve">운영비</t>
    </r>
  </si>
  <si>
    <t xml:space="preserve">월 운영비</t>
  </si>
  <si>
    <t xml:space="preserve">광고홍보비</t>
  </si>
  <si>
    <r>
      <rPr>
        <sz val="9"/>
        <color rgb="FF7F7F7F"/>
        <rFont val="WenQuanYi Zen Hei"/>
        <family val="2"/>
      </rPr>
      <t xml:space="preserve">공사기간 균등</t>
    </r>
    <r>
      <rPr>
        <sz val="9"/>
        <color rgb="FF7F7F7F"/>
        <rFont val="Arial"/>
        <family val="0"/>
        <charset val="1"/>
      </rPr>
      <t xml:space="preserve">, ×</t>
    </r>
    <r>
      <rPr>
        <sz val="9"/>
        <color rgb="FF7F7F7F"/>
        <rFont val="WenQuanYi Zen Hei"/>
        <family val="2"/>
      </rPr>
      <t xml:space="preserve">분양홍보 지분</t>
    </r>
  </si>
  <si>
    <t xml:space="preserve">판매비용 소계</t>
  </si>
  <si>
    <t xml:space="preserve">보존등기비</t>
  </si>
  <si>
    <r>
      <rPr>
        <sz val="9"/>
        <color rgb="FF000000"/>
        <rFont val="WenQuanYi Zen Hei"/>
        <family val="2"/>
      </rPr>
      <t xml:space="preserve">과세표준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전체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</si>
  <si>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세율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평균</t>
    </r>
    <r>
      <rPr>
        <sz val="9"/>
        <color rgb="FF000000"/>
        <rFont val="Arial"/>
        <family val="0"/>
        <charset val="1"/>
      </rPr>
      <t xml:space="preserve">)</t>
    </r>
  </si>
  <si>
    <t xml:space="preserve">기타부대비용</t>
  </si>
  <si>
    <t xml:space="preserve">부대비용 소계</t>
  </si>
  <si>
    <t xml:space="preserve">건설원가 합계</t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</si>
  <si>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이자비용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</si>
  <si>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t xml:space="preserve">Refer to CF Sheet (Macro)</t>
  </si>
  <si>
    <r>
      <rPr>
        <sz val="9"/>
        <color rgb="FF7F7F7F"/>
        <rFont val="Arial"/>
        <family val="0"/>
        <charset val="1"/>
      </rPr>
      <t xml:space="preserve">CF </t>
    </r>
    <r>
      <rPr>
        <sz val="9"/>
        <color rgb="FF7F7F7F"/>
        <rFont val="WenQuanYi Zen Hei"/>
        <family val="2"/>
      </rPr>
      <t xml:space="preserve">계산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</si>
  <si>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이자비용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</si>
  <si>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이자비용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</si>
  <si>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미인출수수료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</si>
  <si>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미인출수수료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</si>
  <si>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미인출수수료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</si>
  <si>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취급수수료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</si>
  <si>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취급수수료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</si>
  <si>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취급수수료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</t>
    </r>
    <r>
      <rPr>
        <sz val="9"/>
        <color rgb="FF000000"/>
        <rFont val="Arial"/>
        <family val="0"/>
        <charset val="1"/>
      </rPr>
      <t xml:space="preserve">)</t>
    </r>
  </si>
  <si>
    <t xml:space="preserve">금융비용 합계</t>
  </si>
  <si>
    <r>
      <rPr>
        <sz val="9"/>
        <color rgb="FF000000"/>
        <rFont val="WenQuanYi Zen Hei"/>
        <family val="2"/>
      </rPr>
      <t xml:space="preserve">자산관리 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운영보수</t>
    </r>
    <r>
      <rPr>
        <sz val="9"/>
        <color rgb="FF000000"/>
        <rFont val="Arial"/>
        <family val="0"/>
        <charset val="1"/>
      </rPr>
      <t xml:space="preserve">)</t>
    </r>
  </si>
  <si>
    <t xml:space="preserve">연 수수료</t>
  </si>
  <si>
    <t xml:space="preserve">개발기간</t>
  </si>
  <si>
    <t xml:space="preserve">개발기간 균등</t>
  </si>
  <si>
    <r>
      <rPr>
        <sz val="9"/>
        <color rgb="FF000000"/>
        <rFont val="WenQuanYi Zen Hei"/>
        <family val="2"/>
      </rPr>
      <t xml:space="preserve">자산관리 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매입보수</t>
    </r>
    <r>
      <rPr>
        <sz val="9"/>
        <color rgb="FF000000"/>
        <rFont val="Arial"/>
        <family val="0"/>
        <charset val="1"/>
      </rPr>
      <t xml:space="preserve">)</t>
    </r>
  </si>
  <si>
    <t xml:space="preserve">토지매입금액</t>
  </si>
  <si>
    <t xml:space="preserve">자산보관수수료</t>
  </si>
  <si>
    <t xml:space="preserve">사무수탁수수료</t>
  </si>
  <si>
    <t xml:space="preserve">회계감사수수료</t>
  </si>
  <si>
    <r>
      <rPr>
        <sz val="9"/>
        <color rgb="FF000000"/>
        <rFont val="WenQuanYi Zen Hei"/>
        <family val="2"/>
      </rPr>
      <t xml:space="preserve">회계기수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개발기간</t>
    </r>
    <r>
      <rPr>
        <sz val="9"/>
        <color rgb="FF000000"/>
        <rFont val="Arial"/>
        <family val="0"/>
        <charset val="1"/>
      </rPr>
      <t xml:space="preserve">)</t>
    </r>
  </si>
  <si>
    <t xml:space="preserve">리츠일반관리비</t>
  </si>
  <si>
    <t xml:space="preserve">등록면허세 등</t>
  </si>
  <si>
    <t xml:space="preserve">자본금</t>
  </si>
  <si>
    <t xml:space="preserve">설립일</t>
  </si>
  <si>
    <t xml:space="preserve">각종실사수수료</t>
  </si>
  <si>
    <t xml:space="preserve">리츠운용비 합계</t>
  </si>
  <si>
    <t xml:space="preserve">개발기간 사업비 합계</t>
  </si>
  <si>
    <t xml:space="preserve">운영기간 리츠운용비 가정</t>
  </si>
  <si>
    <t xml:space="preserve">비용항목</t>
  </si>
  <si>
    <t xml:space="preserve">주요 변수</t>
  </si>
  <si>
    <r>
      <rPr>
        <sz val="9"/>
        <color rgb="FF000000"/>
        <rFont val="WenQuanYi Zen Hei"/>
        <family val="2"/>
      </rPr>
      <t xml:space="preserve">연 수수료 </t>
    </r>
    <r>
      <rPr>
        <sz val="9"/>
        <color rgb="FF000000"/>
        <rFont val="Arial"/>
        <family val="0"/>
        <charset val="1"/>
      </rPr>
      <t xml:space="preserve">× </t>
    </r>
    <r>
      <rPr>
        <sz val="9"/>
        <color rgb="FF000000"/>
        <rFont val="WenQuanYi Zen Hei"/>
        <family val="2"/>
      </rPr>
      <t xml:space="preserve">리츠운용기간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년</t>
    </r>
    <r>
      <rPr>
        <sz val="9"/>
        <color rgb="FF000000"/>
        <rFont val="Arial"/>
        <family val="0"/>
        <charset val="1"/>
      </rPr>
      <t xml:space="preserve">) × </t>
    </r>
    <r>
      <rPr>
        <sz val="9"/>
        <color rgb="FF000000"/>
        <rFont val="WenQuanYi Zen Hei"/>
        <family val="2"/>
      </rPr>
      <t xml:space="preserve">고정비 적용비율</t>
    </r>
  </si>
  <si>
    <r>
      <rPr>
        <sz val="9"/>
        <color rgb="FF000000"/>
        <rFont val="WenQuanYi Zen Hei"/>
        <family val="2"/>
      </rPr>
      <t xml:space="preserve">자산관리 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매각보수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</si>
  <si>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매각가치 </t>
    </r>
    <r>
      <rPr>
        <sz val="9"/>
        <color rgb="FF000000"/>
        <rFont val="Arial"/>
        <family val="0"/>
        <charset val="1"/>
      </rPr>
      <t xml:space="preserve">× </t>
    </r>
    <r>
      <rPr>
        <sz val="9"/>
        <color rgb="FF000000"/>
        <rFont val="WenQuanYi Zen Hei"/>
        <family val="2"/>
      </rPr>
      <t xml:space="preserve">요율</t>
    </r>
  </si>
  <si>
    <t xml:space="preserve">리츠운용비 소계</t>
  </si>
  <si>
    <r>
      <rPr>
        <sz val="9"/>
        <color rgb="FF000000"/>
        <rFont val="WenQuanYi Zen Hei"/>
        <family val="2"/>
      </rPr>
      <t xml:space="preserve">월 리츠운용비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매각보수 제외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공제후</t>
    </r>
    <r>
      <rPr>
        <sz val="9"/>
        <color rgb="FF000000"/>
        <rFont val="Arial"/>
        <family val="0"/>
        <charset val="1"/>
      </rPr>
      <t xml:space="preserve">)</t>
    </r>
  </si>
  <si>
    <t xml:space="preserve">재원조달 가정</t>
  </si>
  <si>
    <t xml:space="preserve">재원조달 기본구조</t>
  </si>
  <si>
    <r>
      <rPr>
        <sz val="9"/>
        <color rgb="FF000000"/>
        <rFont val="WenQuanYi Zen Hei"/>
        <family val="2"/>
      </rPr>
      <t xml:space="preserve">공사비의 </t>
    </r>
    <r>
      <rPr>
        <sz val="9"/>
        <color rgb="FF000000"/>
        <rFont val="Arial"/>
        <family val="0"/>
        <charset val="1"/>
      </rPr>
      <t xml:space="preserve">10%(</t>
    </r>
    <r>
      <rPr>
        <sz val="9"/>
        <color rgb="FF000000"/>
        <rFont val="WenQuanYi Zen Hei"/>
        <family val="2"/>
      </rPr>
      <t xml:space="preserve">차감</t>
    </r>
    <r>
      <rPr>
        <sz val="9"/>
        <color rgb="FF000000"/>
        <rFont val="Arial"/>
        <family val="0"/>
        <charset val="1"/>
      </rPr>
      <t xml:space="preserve">)</t>
    </r>
  </si>
  <si>
    <t xml:space="preserve">재원조달 금액 및 비율</t>
  </si>
  <si>
    <t xml:space="preserve">종류별 비중</t>
  </si>
  <si>
    <r>
      <rPr>
        <b val="true"/>
        <sz val="9"/>
        <color rgb="FFFFFFFF"/>
        <rFont val="WenQuanYi Zen Hei"/>
        <family val="2"/>
      </rPr>
      <t xml:space="preserve">금액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백만원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</si>
  <si>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비율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사업비 대비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</si>
  <si>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재원조달 요구액</t>
  </si>
  <si>
    <t xml:space="preserve">자기자본</t>
  </si>
  <si>
    <r>
      <rPr>
        <sz val="9"/>
        <color rgb="FF000000"/>
        <rFont val="WenQuanYi Zen Hei"/>
        <family val="2"/>
      </rPr>
      <t xml:space="preserve">우선주</t>
    </r>
    <r>
      <rPr>
        <sz val="9"/>
        <color rgb="FF000000"/>
        <rFont val="Arial"/>
        <family val="0"/>
        <charset val="1"/>
      </rPr>
      <t xml:space="preserve">(1</t>
    </r>
    <r>
      <rPr>
        <sz val="9"/>
        <color rgb="FF000000"/>
        <rFont val="WenQuanYi Zen Hei"/>
        <family val="2"/>
      </rPr>
      <t xml:space="preserve">종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</si>
  <si>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우선주</t>
    </r>
    <r>
      <rPr>
        <sz val="9"/>
        <color rgb="FF000000"/>
        <rFont val="Arial"/>
        <family val="0"/>
        <charset val="1"/>
      </rPr>
      <t xml:space="preserve">(2</t>
    </r>
    <r>
      <rPr>
        <sz val="9"/>
        <color rgb="FF000000"/>
        <rFont val="WenQuanYi Zen Hei"/>
        <family val="2"/>
      </rPr>
      <t xml:space="preserve">종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</si>
  <si>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우선주</t>
    </r>
    <r>
      <rPr>
        <sz val="9"/>
        <color rgb="FF000000"/>
        <rFont val="Arial"/>
        <family val="0"/>
        <charset val="1"/>
      </rPr>
      <t xml:space="preserve">(3</t>
    </r>
    <r>
      <rPr>
        <sz val="9"/>
        <color rgb="FF000000"/>
        <rFont val="WenQuanYi Zen Hei"/>
        <family val="2"/>
      </rPr>
      <t xml:space="preserve">종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</si>
  <si>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우선주</t>
    </r>
    <r>
      <rPr>
        <sz val="9"/>
        <color rgb="FF000000"/>
        <rFont val="Arial"/>
        <family val="0"/>
        <charset val="1"/>
      </rPr>
      <t xml:space="preserve">(4</t>
    </r>
    <r>
      <rPr>
        <sz val="9"/>
        <color rgb="FF000000"/>
        <rFont val="WenQuanYi Zen Hei"/>
        <family val="2"/>
      </rPr>
      <t xml:space="preserve">종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</si>
  <si>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우선주</t>
    </r>
    <r>
      <rPr>
        <sz val="9"/>
        <color rgb="FF000000"/>
        <rFont val="Arial"/>
        <family val="0"/>
        <charset val="1"/>
      </rPr>
      <t xml:space="preserve">(5</t>
    </r>
    <r>
      <rPr>
        <sz val="9"/>
        <color rgb="FF000000"/>
        <rFont val="WenQuanYi Zen Hei"/>
        <family val="2"/>
      </rPr>
      <t xml:space="preserve">종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</si>
  <si>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우선주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소계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</si>
  <si>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보통주</t>
    </r>
    <r>
      <rPr>
        <sz val="9"/>
        <color rgb="FF000000"/>
        <rFont val="Arial"/>
        <family val="0"/>
        <charset val="1"/>
      </rPr>
      <t xml:space="preserve">(1)</t>
    </r>
  </si>
  <si>
    <r>
      <rPr>
        <sz val="9"/>
        <color rgb="FF000000"/>
        <rFont val="WenQuanYi Zen Hei"/>
        <family val="2"/>
      </rPr>
      <t xml:space="preserve">보통주</t>
    </r>
    <r>
      <rPr>
        <sz val="9"/>
        <color rgb="FF000000"/>
        <rFont val="Arial"/>
        <family val="0"/>
        <charset val="1"/>
      </rPr>
      <t xml:space="preserve">(2)</t>
    </r>
  </si>
  <si>
    <r>
      <rPr>
        <sz val="9"/>
        <color rgb="FF000000"/>
        <rFont val="WenQuanYi Zen Hei"/>
        <family val="2"/>
      </rPr>
      <t xml:space="preserve">보통주</t>
    </r>
    <r>
      <rPr>
        <sz val="9"/>
        <color rgb="FF000000"/>
        <rFont val="Arial"/>
        <family val="0"/>
        <charset val="1"/>
      </rPr>
      <t xml:space="preserve">(3)</t>
    </r>
  </si>
  <si>
    <r>
      <rPr>
        <sz val="9"/>
        <color rgb="FF000000"/>
        <rFont val="WenQuanYi Zen Hei"/>
        <family val="2"/>
      </rPr>
      <t xml:space="preserve">보통주</t>
    </r>
    <r>
      <rPr>
        <sz val="9"/>
        <color rgb="FF000000"/>
        <rFont val="Arial"/>
        <family val="0"/>
        <charset val="1"/>
      </rPr>
      <t xml:space="preserve">(4)</t>
    </r>
  </si>
  <si>
    <r>
      <rPr>
        <sz val="9"/>
        <color rgb="FF000000"/>
        <rFont val="WenQuanYi Zen Hei"/>
        <family val="2"/>
      </rPr>
      <t xml:space="preserve">보통주</t>
    </r>
    <r>
      <rPr>
        <sz val="9"/>
        <color rgb="FF000000"/>
        <rFont val="Arial"/>
        <family val="0"/>
        <charset val="1"/>
      </rPr>
      <t xml:space="preserve">(5)</t>
    </r>
  </si>
  <si>
    <r>
      <rPr>
        <b val="true"/>
        <sz val="9"/>
        <color rgb="FF000000"/>
        <rFont val="WenQuanYi Zen Hei"/>
        <family val="2"/>
      </rPr>
      <t xml:space="preserve">보통주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소계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</si>
  <si>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타인자본</t>
  </si>
  <si>
    <r>
      <rPr>
        <sz val="9"/>
        <color rgb="FF000000"/>
        <rFont val="WenQuanYi Zen Hei"/>
        <family val="2"/>
      </rPr>
      <t xml:space="preserve">선순위대출</t>
    </r>
    <r>
      <rPr>
        <sz val="9"/>
        <color rgb="FF000000"/>
        <rFont val="Arial"/>
        <family val="0"/>
        <charset val="1"/>
      </rPr>
      <t xml:space="preserve">(Tr.A)</t>
    </r>
  </si>
  <si>
    <r>
      <rPr>
        <sz val="9"/>
        <color rgb="FF000000"/>
        <rFont val="WenQuanYi Zen Hei"/>
        <family val="2"/>
      </rPr>
      <t xml:space="preserve">후순위대출</t>
    </r>
    <r>
      <rPr>
        <sz val="9"/>
        <color rgb="FF000000"/>
        <rFont val="Arial"/>
        <family val="0"/>
        <charset val="1"/>
      </rPr>
      <t xml:space="preserve">(Tr.B)</t>
    </r>
  </si>
  <si>
    <r>
      <rPr>
        <sz val="9"/>
        <color rgb="FF000000"/>
        <rFont val="WenQuanYi Zen Hei"/>
        <family val="2"/>
      </rPr>
      <t xml:space="preserve">후순위대출</t>
    </r>
    <r>
      <rPr>
        <sz val="9"/>
        <color rgb="FF000000"/>
        <rFont val="Arial"/>
        <family val="0"/>
        <charset val="1"/>
      </rPr>
      <t xml:space="preserve">(Tr.C)</t>
    </r>
  </si>
  <si>
    <r>
      <rPr>
        <sz val="9"/>
        <color rgb="FF000000"/>
        <rFont val="WenQuanYi Zen Hei"/>
        <family val="2"/>
      </rPr>
      <t xml:space="preserve">총사업비 대비 </t>
    </r>
    <r>
      <rPr>
        <sz val="9"/>
        <color rgb="FF000000"/>
        <rFont val="Arial"/>
        <family val="0"/>
        <charset val="1"/>
      </rPr>
      <t xml:space="preserve">Equity </t>
    </r>
    <r>
      <rPr>
        <sz val="9"/>
        <color rgb="FF000000"/>
        <rFont val="WenQuanYi Zen Hei"/>
        <family val="2"/>
      </rPr>
      <t xml:space="preserve">비율</t>
    </r>
  </si>
  <si>
    <t xml:space="preserve">우선주 비중</t>
  </si>
  <si>
    <t xml:space="preserve">보통주 비중</t>
  </si>
  <si>
    <t xml:space="preserve">Equity</t>
  </si>
  <si>
    <t xml:space="preserve">투자자</t>
  </si>
  <si>
    <t xml:space="preserve">금액</t>
  </si>
  <si>
    <t xml:space="preserve">투자자별 투입시기</t>
  </si>
  <si>
    <t xml:space="preserve">배당률</t>
  </si>
  <si>
    <t xml:space="preserve">보통주</t>
  </si>
  <si>
    <r>
      <rPr>
        <b val="true"/>
        <sz val="9"/>
        <color rgb="FF000000"/>
        <rFont val="WenQuanYi Zen Hei"/>
        <family val="2"/>
      </rPr>
      <t xml:space="preserve">소계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보통주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</si>
  <si>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우선주</t>
  </si>
  <si>
    <t xml:space="preserve">준공시점 증자</t>
  </si>
  <si>
    <r>
      <rPr>
        <b val="true"/>
        <sz val="9"/>
        <color rgb="FF000000"/>
        <rFont val="WenQuanYi Zen Hei"/>
        <family val="2"/>
      </rPr>
      <t xml:space="preserve">소계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우선주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</si>
  <si>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합계</t>
    </r>
    <r>
      <rPr>
        <b val="true"/>
        <sz val="9"/>
        <color rgb="FF000000"/>
        <rFont val="Arial"/>
        <family val="0"/>
        <charset val="1"/>
      </rPr>
      <t xml:space="preserve">(Equity)</t>
    </r>
  </si>
  <si>
    <t xml:space="preserve">우선주 가중평균 배당률</t>
  </si>
  <si>
    <r>
      <rPr>
        <sz val="9"/>
        <color rgb="FF000000"/>
        <rFont val="WenQuanYi Zen Hei"/>
        <family val="2"/>
      </rPr>
      <t xml:space="preserve">우선주 월 배당률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복리 환산</t>
    </r>
    <r>
      <rPr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</si>
  <si>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WenQuanYi Zen Hei"/>
        <family val="2"/>
      </rPr>
      <t xml:space="preserve">※ 미지급 배당은 누적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WenQuanYi Zen Hei"/>
        <family val="2"/>
      </rPr>
      <t xml:space="preserve">복리로 이월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WenQuanYi Zen Hei"/>
        <family val="2"/>
      </rPr>
      <t xml:space="preserve">우선주 원금은 청산시 상환</t>
    </r>
  </si>
  <si>
    <t xml:space="preserve">PF</t>
  </si>
  <si>
    <t xml:space="preserve">조달시작시점</t>
  </si>
  <si>
    <t xml:space="preserve">조달시점</t>
  </si>
  <si>
    <t xml:space="preserve">총한도</t>
  </si>
  <si>
    <r>
      <rPr>
        <b val="true"/>
        <sz val="9"/>
        <color rgb="FFFFFFFF"/>
        <rFont val="WenQuanYi Zen Hei"/>
        <family val="2"/>
      </rPr>
      <t xml:space="preserve">차입금액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최대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</si>
  <si>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조달비율</t>
  </si>
  <si>
    <t xml:space="preserve">LTV</t>
  </si>
  <si>
    <t xml:space="preserve">만기</t>
  </si>
  <si>
    <t xml:space="preserve">상환방법</t>
  </si>
  <si>
    <t xml:space="preserve">취급수수료 등</t>
  </si>
  <si>
    <t xml:space="preserve">금리</t>
  </si>
  <si>
    <t xml:space="preserve">All-in</t>
  </si>
  <si>
    <t xml:space="preserve">이자지급주기</t>
  </si>
  <si>
    <t xml:space="preserve">LTC</t>
  </si>
  <si>
    <t xml:space="preserve">미인출수수료</t>
  </si>
  <si>
    <r>
      <rPr>
        <sz val="9"/>
        <color rgb="FF000000"/>
        <rFont val="Arial"/>
        <family val="0"/>
        <charset val="1"/>
      </rPr>
      <t xml:space="preserve">Tr.A(</t>
    </r>
    <r>
      <rPr>
        <sz val="9"/>
        <color rgb="FF000000"/>
        <rFont val="WenQuanYi Zen Hei"/>
        <family val="2"/>
      </rPr>
      <t xml:space="preserve">한도</t>
    </r>
    <r>
      <rPr>
        <sz val="9"/>
        <color rgb="FF000000"/>
        <rFont val="Arial"/>
        <family val="0"/>
        <charset val="1"/>
      </rPr>
      <t xml:space="preserve">)</t>
    </r>
  </si>
  <si>
    <t xml:space="preserve">Capital call</t>
  </si>
  <si>
    <t xml:space="preserve">만기일시상환</t>
  </si>
  <si>
    <r>
      <rPr>
        <sz val="9"/>
        <color rgb="FF0000FF"/>
        <rFont val="Arial"/>
        <family val="0"/>
        <charset val="1"/>
      </rPr>
      <t xml:space="preserve">1</t>
    </r>
    <r>
      <rPr>
        <sz val="9"/>
        <color rgb="FF0000FF"/>
        <rFont val="WenQuanYi Zen Hei"/>
        <family val="2"/>
      </rPr>
      <t xml:space="preserve">개월마다</t>
    </r>
  </si>
  <si>
    <r>
      <rPr>
        <sz val="9"/>
        <color rgb="FF000000"/>
        <rFont val="Arial"/>
        <family val="0"/>
        <charset val="1"/>
      </rPr>
      <t xml:space="preserve">Tr.B(</t>
    </r>
    <r>
      <rPr>
        <sz val="9"/>
        <color rgb="FF000000"/>
        <rFont val="WenQuanYi Zen Hei"/>
        <family val="2"/>
      </rPr>
      <t xml:space="preserve">한도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</si>
  <si>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Tr.C(</t>
    </r>
    <r>
      <rPr>
        <sz val="9"/>
        <color rgb="FF000000"/>
        <rFont val="WenQuanYi Zen Hei"/>
        <family val="2"/>
      </rPr>
      <t xml:space="preserve">한도</t>
    </r>
    <r>
      <rPr>
        <sz val="9"/>
        <color rgb="FF000000"/>
        <rFont val="Arial"/>
        <family val="0"/>
        <charset val="1"/>
      </rPr>
      <t xml:space="preserve">)</t>
    </r>
  </si>
  <si>
    <t xml:space="preserve">시설</t>
  </si>
  <si>
    <t xml:space="preserve">감정가</t>
  </si>
  <si>
    <t xml:space="preserve">차입금액</t>
  </si>
  <si>
    <r>
      <rPr>
        <b val="true"/>
        <sz val="9"/>
        <color rgb="FFFFFFFF"/>
        <rFont val="WenQuanYi Zen Hei"/>
        <family val="2"/>
      </rPr>
      <t xml:space="preserve">준공시점 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차감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</si>
  <si>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최종차입금액</t>
  </si>
  <si>
    <t xml:space="preserve">증자 필요액</t>
  </si>
  <si>
    <r>
      <rPr>
        <sz val="9"/>
        <color rgb="FF000000"/>
        <rFont val="WenQuanYi Zen Hei"/>
        <family val="2"/>
      </rPr>
      <t xml:space="preserve">기존 </t>
    </r>
    <r>
      <rPr>
        <sz val="9"/>
        <color rgb="FF000000"/>
        <rFont val="Arial"/>
        <family val="0"/>
        <charset val="1"/>
      </rPr>
      <t xml:space="preserve">Equity</t>
    </r>
  </si>
  <si>
    <r>
      <rPr>
        <sz val="9"/>
        <color rgb="FF000000"/>
        <rFont val="Arial"/>
        <family val="0"/>
        <charset val="1"/>
      </rPr>
      <t xml:space="preserve">Equity </t>
    </r>
    <r>
      <rPr>
        <sz val="9"/>
        <color rgb="FF000000"/>
        <rFont val="WenQuanYi Zen Hei"/>
        <family val="2"/>
      </rPr>
      <t xml:space="preserve">필요액</t>
    </r>
  </si>
  <si>
    <r>
      <rPr>
        <sz val="9"/>
        <color rgb="FF000000"/>
        <rFont val="Arial"/>
        <family val="0"/>
        <charset val="1"/>
      </rPr>
      <t xml:space="preserve">Tr.A(</t>
    </r>
    <r>
      <rPr>
        <sz val="9"/>
        <color rgb="FF000000"/>
        <rFont val="WenQuanYi Zen Hei"/>
        <family val="2"/>
      </rPr>
      <t xml:space="preserve">일시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</si>
  <si>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Tr.B(</t>
    </r>
    <r>
      <rPr>
        <sz val="9"/>
        <color rgb="FF000000"/>
        <rFont val="WenQuanYi Zen Hei"/>
        <family val="2"/>
      </rPr>
      <t xml:space="preserve">일시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</si>
  <si>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Tr.C(</t>
    </r>
    <r>
      <rPr>
        <sz val="9"/>
        <color rgb="FF000000"/>
        <rFont val="WenQuanYi Zen Hei"/>
        <family val="2"/>
      </rPr>
      <t xml:space="preserve">일시</t>
    </r>
    <r>
      <rPr>
        <sz val="9"/>
        <color rgb="FF000000"/>
        <rFont val="Arial"/>
        <family val="0"/>
        <charset val="1"/>
      </rPr>
      <t xml:space="preserve">)</t>
    </r>
  </si>
  <si>
    <t xml:space="preserve">담보대출 합계</t>
  </si>
  <si>
    <r>
      <rPr>
        <sz val="9"/>
        <color rgb="FF000000"/>
        <rFont val="WenQuanYi Zen Hei"/>
        <family val="2"/>
      </rPr>
      <t xml:space="preserve">연 이자비용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합계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</si>
  <si>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취급수수료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합계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</si>
  <si>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만기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처분일</t>
    </r>
    <r>
      <rPr>
        <sz val="9"/>
        <color rgb="FF000000"/>
        <rFont val="Arial"/>
        <family val="0"/>
        <charset val="1"/>
      </rPr>
      <t xml:space="preserve">)</t>
    </r>
  </si>
  <si>
    <t xml:space="preserve">주주대여금</t>
  </si>
  <si>
    <r>
      <rPr>
        <b val="true"/>
        <sz val="9"/>
        <color rgb="FFFFFFFF"/>
        <rFont val="WenQuanYi Zen Hei"/>
        <family val="2"/>
      </rPr>
      <t xml:space="preserve">조달</t>
    </r>
    <r>
      <rPr>
        <b val="true"/>
        <sz val="9"/>
        <color rgb="FFFFFFFF"/>
        <rFont val="Arial"/>
        <family val="0"/>
        <charset val="1"/>
      </rPr>
      <t xml:space="preserve">Key</t>
    </r>
  </si>
  <si>
    <r>
      <rPr>
        <b val="true"/>
        <sz val="9"/>
        <color rgb="FFFFFFFF"/>
        <rFont val="WenQuanYi Zen Hei"/>
        <family val="2"/>
      </rPr>
      <t xml:space="preserve">만기</t>
    </r>
    <r>
      <rPr>
        <b val="true"/>
        <sz val="9"/>
        <color rgb="FFFFFFFF"/>
        <rFont val="Arial"/>
        <family val="0"/>
        <charset val="1"/>
      </rPr>
      <t xml:space="preserve">Key</t>
    </r>
  </si>
  <si>
    <r>
      <rPr>
        <sz val="9"/>
        <color rgb="FF000000"/>
        <rFont val="WenQuanYi Zen Hei"/>
        <family val="2"/>
      </rPr>
      <t xml:space="preserve">주주대여금</t>
    </r>
    <r>
      <rPr>
        <sz val="9"/>
        <color rgb="FF000000"/>
        <rFont val="Arial"/>
        <family val="0"/>
        <charset val="1"/>
      </rPr>
      <t xml:space="preserve">(1)</t>
    </r>
  </si>
  <si>
    <r>
      <rPr>
        <sz val="9"/>
        <color rgb="FF000000"/>
        <rFont val="WenQuanYi Zen Hei"/>
        <family val="2"/>
      </rPr>
      <t xml:space="preserve">주주대여금</t>
    </r>
    <r>
      <rPr>
        <sz val="9"/>
        <color rgb="FF000000"/>
        <rFont val="Arial"/>
        <family val="0"/>
        <charset val="1"/>
      </rPr>
      <t xml:space="preserve">(2)</t>
    </r>
  </si>
  <si>
    <r>
      <rPr>
        <sz val="9"/>
        <color rgb="FF000000"/>
        <rFont val="WenQuanYi Zen Hei"/>
        <family val="2"/>
      </rPr>
      <t xml:space="preserve">주주대여금</t>
    </r>
    <r>
      <rPr>
        <sz val="9"/>
        <color rgb="FF000000"/>
        <rFont val="Arial"/>
        <family val="0"/>
        <charset val="1"/>
      </rPr>
      <t xml:space="preserve">(3)</t>
    </r>
  </si>
  <si>
    <t xml:space="preserve">※ 만기가 청산일 이후인 대여금은 청산일에 일괄 상환되는 것으로 처리</t>
  </si>
  <si>
    <t xml:space="preserve">기타가정</t>
  </si>
  <si>
    <t xml:space="preserve">최소보유현금</t>
  </si>
  <si>
    <t xml:space="preserve">건물 내용연수</t>
  </si>
  <si>
    <t xml:space="preserve">years</t>
  </si>
  <si>
    <t xml:space="preserve">보유현금 이자율</t>
  </si>
  <si>
    <t xml:space="preserve">토지 계약금 비율</t>
  </si>
  <si>
    <r>
      <rPr>
        <sz val="9"/>
        <color rgb="FF000000"/>
        <rFont val="Arial"/>
        <family val="0"/>
        <charset val="1"/>
      </rPr>
      <t xml:space="preserve">VAT </t>
    </r>
    <r>
      <rPr>
        <sz val="9"/>
        <color rgb="FF000000"/>
        <rFont val="WenQuanYi Zen Hei"/>
        <family val="2"/>
      </rPr>
      <t xml:space="preserve">세율</t>
    </r>
  </si>
  <si>
    <r>
      <rPr>
        <i val="true"/>
        <sz val="9"/>
        <color rgb="FF7F7F7F"/>
        <rFont val="WenQuanYi Zen Hei"/>
        <family val="2"/>
      </rPr>
      <t xml:space="preserve">※ 금융비용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WenQuanYi Zen Hei"/>
        <family val="2"/>
      </rPr>
      <t xml:space="preserve">등록면허세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자본금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는 사업비↔재원조달 순환구조 → </t>
    </r>
    <r>
      <rPr>
        <i val="true"/>
        <sz val="9"/>
        <color rgb="FF7F7F7F"/>
        <rFont val="Arial"/>
        <family val="0"/>
        <charset val="1"/>
      </rPr>
      <t xml:space="preserve">Copy(</t>
    </r>
    <r>
      <rPr>
        <i val="true"/>
        <sz val="9"/>
        <color rgb="FF7F7F7F"/>
        <rFont val="WenQuanYi Zen Hei"/>
        <family val="2"/>
      </rPr>
      <t xml:space="preserve">계산값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를 </t>
    </r>
    <r>
      <rPr>
        <i val="true"/>
        <sz val="9"/>
        <color rgb="FF7F7F7F"/>
        <rFont val="Arial"/>
        <family val="0"/>
        <charset val="1"/>
      </rPr>
      <t xml:space="preserve">Paste(</t>
    </r>
    <r>
      <rPr>
        <i val="true"/>
        <sz val="9"/>
        <color rgb="FF7F7F7F"/>
        <rFont val="WenQuanYi Zen Hei"/>
        <family val="2"/>
      </rPr>
      <t xml:space="preserve">입력값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로 붙여넣어 수렴 </t>
    </r>
    <r>
      <rPr>
        <i val="true"/>
        <sz val="9"/>
        <color rgb="FF7F7F7F"/>
        <rFont val="Arial"/>
        <family val="0"/>
        <charset val="1"/>
      </rPr>
      <t xml:space="preserve">(Macro_VBA </t>
    </r>
    <r>
      <rPr>
        <i val="true"/>
        <sz val="9"/>
        <color rgb="FF7F7F7F"/>
        <rFont val="WenQuanYi Zen Hei"/>
        <family val="2"/>
      </rPr>
      <t xml:space="preserve">시트 참고</t>
    </r>
    <r>
      <rPr>
        <i val="true"/>
        <sz val="9"/>
        <color rgb="FF7F7F7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</si>
  <si>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Copy(</t>
    </r>
    <r>
      <rPr>
        <b val="true"/>
        <sz val="9"/>
        <color rgb="FFFFFFFF"/>
        <rFont val="WenQuanYi Zen Hei"/>
        <family val="2"/>
      </rPr>
      <t xml:space="preserve">계산값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</si>
  <si>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Paste(</t>
    </r>
    <r>
      <rPr>
        <b val="true"/>
        <sz val="9"/>
        <color rgb="FFFFFFFF"/>
        <rFont val="WenQuanYi Zen Hei"/>
        <family val="2"/>
      </rPr>
      <t xml:space="preserve">입력값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</si>
  <si>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Difference</t>
  </si>
  <si>
    <r>
      <rPr>
        <b val="true"/>
        <i val="true"/>
        <sz val="9"/>
        <color rgb="FFFFFFFF"/>
        <rFont val="WenQuanYi Zen Hei"/>
        <family val="2"/>
      </rPr>
      <t xml:space="preserve">용도별 </t>
    </r>
    <r>
      <rPr>
        <b val="true"/>
        <i val="true"/>
        <sz val="9"/>
        <color rgb="FFFFFFFF"/>
        <rFont val="Arial"/>
        <family val="0"/>
        <charset val="1"/>
      </rPr>
      <t xml:space="preserve">Equity </t>
    </r>
    <r>
      <rPr>
        <b val="true"/>
        <i val="true"/>
        <sz val="9"/>
        <color rgb="FFFFFFFF"/>
        <rFont val="WenQuanYi Zen Hei"/>
        <family val="2"/>
      </rPr>
      <t xml:space="preserve">및 </t>
    </r>
    <r>
      <rPr>
        <b val="true"/>
        <i val="true"/>
        <sz val="9"/>
        <color rgb="FFFFFFFF"/>
        <rFont val="Arial"/>
        <family val="0"/>
        <charset val="1"/>
      </rPr>
      <t xml:space="preserve">PF </t>
    </r>
    <r>
      <rPr>
        <b val="true"/>
        <i val="true"/>
        <sz val="9"/>
        <color rgb="FFFFFFFF"/>
        <rFont val="WenQuanYi Zen Hei"/>
        <family val="2"/>
      </rPr>
      <t xml:space="preserve">배분</t>
    </r>
  </si>
  <si>
    <r>
      <rPr>
        <b val="true"/>
        <sz val="9"/>
        <color rgb="FFFFFFFF"/>
        <rFont val="Arial"/>
        <family val="0"/>
        <charset val="1"/>
      </rPr>
      <t xml:space="preserve">Equity: </t>
    </r>
    <r>
      <rPr>
        <b val="true"/>
        <sz val="9"/>
        <color rgb="FFFFFFFF"/>
        <rFont val="WenQuanYi Zen Hei"/>
        <family val="2"/>
      </rPr>
      <t xml:space="preserve">시설별 배분비율 직접 입력 </t>
    </r>
    <r>
      <rPr>
        <b val="true"/>
        <sz val="9"/>
        <color rgb="FFFFFFFF"/>
        <rFont val="Arial"/>
        <family val="0"/>
        <charset val="1"/>
      </rPr>
      <t xml:space="preserve">/ PF: </t>
    </r>
    <r>
      <rPr>
        <b val="true"/>
        <sz val="9"/>
        <color rgb="FFFFFFFF"/>
        <rFont val="WenQuanYi Zen Hei"/>
        <family val="2"/>
      </rPr>
      <t xml:space="preserve">보증금 차감 사업비에서 </t>
    </r>
    <r>
      <rPr>
        <b val="true"/>
        <sz val="9"/>
        <color rgb="FFFFFFFF"/>
        <rFont val="Arial"/>
        <family val="0"/>
        <charset val="1"/>
      </rPr>
      <t xml:space="preserve">Equity</t>
    </r>
    <r>
      <rPr>
        <b val="true"/>
        <sz val="9"/>
        <color rgb="FFFFFFFF"/>
        <rFont val="WenQuanYi Zen Hei"/>
        <family val="2"/>
      </rPr>
      <t xml:space="preserve">를 뺀 잔여액 비중으로 배분</t>
    </r>
  </si>
  <si>
    <t xml:space="preserve">최종 사업비</t>
  </si>
  <si>
    <r>
      <rPr>
        <sz val="9"/>
        <color rgb="FF000000"/>
        <rFont val="WenQuanYi Zen Hei"/>
        <family val="2"/>
      </rPr>
      <t xml:space="preserve">임대보증금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준공</t>
    </r>
    <r>
      <rPr>
        <sz val="9"/>
        <color rgb="FF000000"/>
        <rFont val="Arial"/>
        <family val="0"/>
        <charset val="1"/>
      </rPr>
      <t xml:space="preserve">)</t>
    </r>
  </si>
  <si>
    <t xml:space="preserve">보증금 차감 사업비</t>
  </si>
  <si>
    <t xml:space="preserve">배분비율</t>
  </si>
  <si>
    <r>
      <rPr>
        <sz val="9"/>
        <color rgb="FF000000"/>
        <rFont val="Arial"/>
        <family val="0"/>
        <charset val="1"/>
      </rPr>
      <t xml:space="preserve">Equity </t>
    </r>
    <r>
      <rPr>
        <sz val="9"/>
        <color rgb="FF000000"/>
        <rFont val="WenQuanYi Zen Hei"/>
        <family val="2"/>
      </rPr>
      <t xml:space="preserve">배분비율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입력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전체기준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</si>
  <si>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Equity </t>
    </r>
    <r>
      <rPr>
        <sz val="9"/>
        <color rgb="FF000000"/>
        <rFont val="WenQuanYi Zen Hei"/>
        <family val="2"/>
      </rPr>
      <t xml:space="preserve">배분비율</t>
    </r>
    <r>
      <rPr>
        <sz val="9"/>
        <color rgb="FF000000"/>
        <rFont val="Arial"/>
        <family val="0"/>
        <charset val="1"/>
      </rPr>
      <t xml:space="preserve">(Vehicle </t>
    </r>
    <r>
      <rPr>
        <sz val="9"/>
        <color rgb="FF000000"/>
        <rFont val="WenQuanYi Zen Hei"/>
        <family val="2"/>
      </rPr>
      <t xml:space="preserve">내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</si>
  <si>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Equity </t>
    </r>
    <r>
      <rPr>
        <b val="true"/>
        <sz val="9"/>
        <color rgb="FF000000"/>
        <rFont val="WenQuanYi Zen Hei"/>
        <family val="2"/>
      </rPr>
      <t xml:space="preserve">배분액</t>
    </r>
  </si>
  <si>
    <r>
      <rPr>
        <sz val="9"/>
        <color rgb="FF000000"/>
        <rFont val="Arial"/>
        <family val="0"/>
        <charset val="1"/>
      </rPr>
      <t xml:space="preserve"> Equity </t>
    </r>
    <r>
      <rPr>
        <sz val="9"/>
        <color rgb="FF000000"/>
        <rFont val="WenQuanYi Zen Hei"/>
        <family val="2"/>
      </rPr>
      <t xml:space="preserve">총액</t>
    </r>
  </si>
  <si>
    <r>
      <rPr>
        <sz val="9"/>
        <color rgb="FF000000"/>
        <rFont val="WenQuanYi Zen Hei"/>
        <family val="2"/>
      </rPr>
      <t xml:space="preserve"> 검증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배분액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WenQuanYi Zen Hei"/>
        <family val="2"/>
      </rPr>
      <t xml:space="preserve">총액</t>
    </r>
    <r>
      <rPr>
        <sz val="9"/>
        <color rgb="FF000000"/>
        <rFont val="Arial"/>
        <family val="0"/>
        <charset val="1"/>
      </rPr>
      <t xml:space="preserve">)</t>
    </r>
  </si>
  <si>
    <t xml:space="preserve"> 우선주</t>
  </si>
  <si>
    <t xml:space="preserve"> 보통주</t>
  </si>
  <si>
    <r>
      <rPr>
        <sz val="9"/>
        <color rgb="FF000000"/>
        <rFont val="Arial"/>
        <family val="0"/>
        <charset val="1"/>
      </rPr>
      <t xml:space="preserve">PF </t>
    </r>
    <r>
      <rPr>
        <sz val="9"/>
        <color rgb="FF000000"/>
        <rFont val="WenQuanYi Zen Hei"/>
        <family val="2"/>
      </rPr>
      <t xml:space="preserve">배분기준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잔여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</si>
  <si>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PF </t>
    </r>
    <r>
      <rPr>
        <sz val="9"/>
        <color rgb="FF000000"/>
        <rFont val="WenQuanYi Zen Hei"/>
        <family val="2"/>
      </rPr>
      <t xml:space="preserve">배분비율</t>
    </r>
  </si>
  <si>
    <r>
      <rPr>
        <b val="true"/>
        <sz val="9"/>
        <color rgb="FF000000"/>
        <rFont val="Arial"/>
        <family val="0"/>
        <charset val="1"/>
      </rPr>
      <t xml:space="preserve">PF(</t>
    </r>
    <r>
      <rPr>
        <b val="true"/>
        <sz val="9"/>
        <color rgb="FF000000"/>
        <rFont val="WenQuanYi Zen Hei"/>
        <family val="2"/>
      </rPr>
      <t xml:space="preserve">개발</t>
    </r>
    <r>
      <rPr>
        <b val="true"/>
        <sz val="9"/>
        <color rgb="FF000000"/>
        <rFont val="Arial"/>
        <family val="0"/>
        <charset val="1"/>
      </rPr>
      <t xml:space="preserve">) </t>
    </r>
    <r>
      <rPr>
        <b val="true"/>
        <sz val="9"/>
        <color rgb="FF000000"/>
        <rFont val="WenQuanYi Zen Hei"/>
        <family val="2"/>
      </rPr>
      <t xml:space="preserve">배분액</t>
    </r>
  </si>
  <si>
    <r>
      <rPr>
        <sz val="9"/>
        <color rgb="FF000000"/>
        <rFont val="Arial"/>
        <family val="0"/>
        <charset val="1"/>
      </rPr>
      <t xml:space="preserve"> Tr.A(</t>
    </r>
    <r>
      <rPr>
        <sz val="9"/>
        <color rgb="FF000000"/>
        <rFont val="WenQuanYi Zen Hei"/>
        <family val="2"/>
      </rPr>
      <t xml:space="preserve">선순위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</si>
  <si>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 Tr.B(</t>
    </r>
    <r>
      <rPr>
        <sz val="9"/>
        <color rgb="FF000000"/>
        <rFont val="WenQuanYi Zen Hei"/>
        <family val="2"/>
      </rPr>
      <t xml:space="preserve">후순위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</si>
  <si>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 Tr.C(</t>
    </r>
    <r>
      <rPr>
        <sz val="9"/>
        <color rgb="FF000000"/>
        <rFont val="WenQuanYi Zen Hei"/>
        <family val="2"/>
      </rPr>
      <t xml:space="preserve">후순위</t>
    </r>
    <r>
      <rPr>
        <sz val="9"/>
        <color rgb="FF000000"/>
        <rFont val="Arial"/>
        <family val="0"/>
        <charset val="1"/>
      </rPr>
      <t xml:space="preserve">)</t>
    </r>
  </si>
  <si>
    <t xml:space="preserve">재원 합계</t>
  </si>
  <si>
    <t xml:space="preserve">사업비 대비 차이</t>
  </si>
  <si>
    <r>
      <rPr>
        <sz val="9"/>
        <color rgb="FF000000"/>
        <rFont val="Arial"/>
        <family val="0"/>
        <charset val="1"/>
      </rPr>
      <t xml:space="preserve"> Equity / </t>
    </r>
    <r>
      <rPr>
        <sz val="9"/>
        <color rgb="FF000000"/>
        <rFont val="WenQuanYi Zen Hei"/>
        <family val="2"/>
      </rPr>
      <t xml:space="preserve">사업비</t>
    </r>
  </si>
  <si>
    <r>
      <rPr>
        <sz val="9"/>
        <color rgb="FF000000"/>
        <rFont val="WenQuanYi Zen Hei"/>
        <family val="2"/>
      </rPr>
      <t xml:space="preserve">담보대출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참고</t>
    </r>
    <r>
      <rPr>
        <sz val="9"/>
        <color rgb="FF000000"/>
        <rFont val="Arial"/>
        <family val="0"/>
        <charset val="1"/>
      </rPr>
      <t xml:space="preserve">)</t>
    </r>
  </si>
  <si>
    <t xml:space="preserve">순 리파이낸싱</t>
  </si>
  <si>
    <r>
      <rPr>
        <i val="true"/>
        <sz val="9"/>
        <color rgb="FF7F7F7F"/>
        <rFont val="WenQuanYi Zen Hei"/>
        <family val="2"/>
      </rPr>
      <t xml:space="preserve">※ 사업비 대비 차이</t>
    </r>
    <r>
      <rPr>
        <i val="true"/>
        <sz val="9"/>
        <color rgb="FF7F7F7F"/>
        <rFont val="Arial"/>
        <family val="0"/>
        <charset val="1"/>
      </rPr>
      <t xml:space="preserve">: PF</t>
    </r>
    <r>
      <rPr>
        <i val="true"/>
        <sz val="9"/>
        <color rgb="FF7F7F7F"/>
        <rFont val="WenQuanYi Zen Hei"/>
        <family val="2"/>
      </rPr>
      <t xml:space="preserve">는 </t>
    </r>
    <r>
      <rPr>
        <i val="true"/>
        <sz val="9"/>
        <color rgb="FF7F7F7F"/>
        <rFont val="Arial"/>
        <family val="0"/>
        <charset val="1"/>
      </rPr>
      <t xml:space="preserve">CF</t>
    </r>
    <r>
      <rPr>
        <i val="true"/>
        <sz val="9"/>
        <color rgb="FF7F7F7F"/>
        <rFont val="WenQuanYi Zen Hei"/>
        <family val="2"/>
      </rPr>
      <t xml:space="preserve">상 실제 인출액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보증금 선유입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WenQuanYi Zen Hei"/>
        <family val="2"/>
      </rPr>
      <t xml:space="preserve">공사비 유보금 반영</t>
    </r>
    <r>
      <rPr>
        <i val="true"/>
        <sz val="9"/>
        <color rgb="FF7F7F7F"/>
        <rFont val="Arial"/>
        <family val="0"/>
        <charset val="1"/>
      </rPr>
      <t xml:space="preserve">) </t>
    </r>
    <r>
      <rPr>
        <i val="true"/>
        <sz val="9"/>
        <color rgb="FF7F7F7F"/>
        <rFont val="WenQuanYi Zen Hei"/>
        <family val="2"/>
      </rPr>
      <t xml:space="preserve">기준이라 사업비 잔여액과 차이 발생 가능</t>
    </r>
  </si>
  <si>
    <r>
      <rPr>
        <b val="true"/>
        <sz val="11"/>
        <color rgb="FFFFFFFF"/>
        <rFont val="WenQuanYi Zen Hei"/>
        <family val="2"/>
      </rPr>
      <t xml:space="preserve">월별 현금흐름 </t>
    </r>
    <r>
      <rPr>
        <b val="true"/>
        <sz val="11"/>
        <color rgb="FFFFFFFF"/>
        <rFont val="Arial"/>
        <family val="0"/>
        <charset val="1"/>
      </rPr>
      <t xml:space="preserve">(CF)  —  </t>
    </r>
    <r>
      <rPr>
        <b val="true"/>
        <sz val="11"/>
        <color rgb="FFFFFFFF"/>
        <rFont val="WenQuanYi Zen Hei"/>
        <family val="2"/>
      </rPr>
      <t xml:space="preserve">단위</t>
    </r>
    <r>
      <rPr>
        <b val="true"/>
        <sz val="11"/>
        <color rgb="FFFFFFFF"/>
        <rFont val="Arial"/>
        <family val="0"/>
        <charset val="1"/>
      </rPr>
      <t xml:space="preserve">: </t>
    </r>
    <r>
      <rPr>
        <b val="true"/>
        <sz val="11"/>
        <color rgb="FFFFFFFF"/>
        <rFont val="WenQuanYi Zen Hei"/>
        <family val="2"/>
      </rPr>
      <t xml:space="preserve">백만원</t>
    </r>
  </si>
  <si>
    <r>
      <rPr>
        <i val="true"/>
        <sz val="9"/>
        <color rgb="FF7F7F7F"/>
        <rFont val="WenQuanYi Zen Hei"/>
        <family val="2"/>
      </rPr>
      <t xml:space="preserve">※ 월말 기준</t>
    </r>
    <r>
      <rPr>
        <i val="true"/>
        <sz val="9"/>
        <color rgb="FF7F7F7F"/>
        <rFont val="Arial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모든 입력은 </t>
    </r>
    <r>
      <rPr>
        <i val="true"/>
        <sz val="9"/>
        <color rgb="FF7F7F7F"/>
        <rFont val="Arial"/>
        <family val="0"/>
        <charset val="1"/>
      </rPr>
      <t xml:space="preserve">Assumption </t>
    </r>
    <r>
      <rPr>
        <i val="true"/>
        <sz val="9"/>
        <color rgb="FF7F7F7F"/>
        <rFont val="WenQuanYi Zen Hei"/>
        <family val="2"/>
      </rPr>
      <t xml:space="preserve">시트 연결</t>
    </r>
    <r>
      <rPr>
        <i val="true"/>
        <sz val="9"/>
        <color rgb="FF7F7F7F"/>
        <rFont val="Arial"/>
        <family val="0"/>
        <charset val="1"/>
      </rPr>
      <t xml:space="preserve">. C</t>
    </r>
    <r>
      <rPr>
        <i val="true"/>
        <sz val="9"/>
        <color rgb="FF7F7F7F"/>
        <rFont val="WenQuanYi Zen Hei"/>
        <family val="2"/>
      </rPr>
      <t xml:space="preserve">열 </t>
    </r>
    <r>
      <rPr>
        <i val="true"/>
        <sz val="9"/>
        <color rgb="FF7F7F7F"/>
        <rFont val="Arial"/>
        <family val="0"/>
        <charset val="1"/>
      </rPr>
      <t xml:space="preserve">= </t>
    </r>
    <r>
      <rPr>
        <i val="true"/>
        <sz val="9"/>
        <color rgb="FF7F7F7F"/>
        <rFont val="WenQuanYi Zen Hei"/>
        <family val="2"/>
      </rPr>
      <t xml:space="preserve">기간 합계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잔액행은 최대값</t>
    </r>
    <r>
      <rPr>
        <i val="true"/>
        <sz val="9"/>
        <color rgb="FF7F7F7F"/>
        <rFont val="Arial"/>
        <family val="0"/>
        <charset val="1"/>
      </rPr>
      <t xml:space="preserve">/</t>
    </r>
    <r>
      <rPr>
        <i val="true"/>
        <sz val="9"/>
        <color rgb="FF7F7F7F"/>
        <rFont val="WenQuanYi Zen Hei"/>
        <family val="2"/>
      </rPr>
      <t xml:space="preserve">최종값</t>
    </r>
    <r>
      <rPr>
        <i val="true"/>
        <sz val="9"/>
        <color rgb="FF7F7F7F"/>
        <rFont val="Arial"/>
        <family val="0"/>
        <charset val="1"/>
      </rPr>
      <t xml:space="preserve">, IRR</t>
    </r>
    <r>
      <rPr>
        <i val="true"/>
        <sz val="9"/>
        <color rgb="FF7F7F7F"/>
        <rFont val="WenQuanYi Zen Hei"/>
        <family val="2"/>
      </rPr>
      <t xml:space="preserve">행은 연환산 </t>
    </r>
    <r>
      <rPr>
        <i val="true"/>
        <sz val="9"/>
        <color rgb="FF7F7F7F"/>
        <rFont val="Arial"/>
        <family val="0"/>
        <charset val="1"/>
      </rPr>
      <t xml:space="preserve">IRR)</t>
    </r>
  </si>
  <si>
    <t xml:space="preserve">연도</t>
  </si>
  <si>
    <t xml:space="preserve">월차</t>
  </si>
  <si>
    <r>
      <rPr>
        <sz val="9"/>
        <color rgb="FF000000"/>
        <rFont val="WenQuanYi Zen Hei"/>
        <family val="2"/>
      </rPr>
      <t xml:space="preserve">모델기간 </t>
    </r>
    <r>
      <rPr>
        <sz val="9"/>
        <color rgb="FF000000"/>
        <rFont val="Arial"/>
        <family val="0"/>
        <charset val="1"/>
      </rPr>
      <t xml:space="preserve">Flag</t>
    </r>
  </si>
  <si>
    <r>
      <rPr>
        <sz val="9"/>
        <color rgb="FF000000"/>
        <rFont val="WenQuanYi Zen Hei"/>
        <family val="2"/>
      </rPr>
      <t xml:space="preserve">개발기간 </t>
    </r>
    <r>
      <rPr>
        <sz val="9"/>
        <color rgb="FF000000"/>
        <rFont val="Arial"/>
        <family val="0"/>
        <charset val="1"/>
      </rPr>
      <t xml:space="preserve">Flag(</t>
    </r>
    <r>
      <rPr>
        <sz val="9"/>
        <color rgb="FF000000"/>
        <rFont val="WenQuanYi Zen Hei"/>
        <family val="2"/>
      </rPr>
      <t xml:space="preserve">설립</t>
    </r>
    <r>
      <rPr>
        <sz val="9"/>
        <color rgb="FF000000"/>
        <rFont val="Arial"/>
        <family val="0"/>
        <charset val="1"/>
      </rPr>
      <t xml:space="preserve">~</t>
    </r>
    <r>
      <rPr>
        <sz val="9"/>
        <color rgb="FF000000"/>
        <rFont val="WenQuanYi Zen Hei"/>
        <family val="2"/>
      </rPr>
      <t xml:space="preserve">준공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</si>
  <si>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공사기간 </t>
    </r>
    <r>
      <rPr>
        <sz val="9"/>
        <color rgb="FF000000"/>
        <rFont val="Arial"/>
        <family val="0"/>
        <charset val="1"/>
      </rPr>
      <t xml:space="preserve">Flag</t>
    </r>
  </si>
  <si>
    <t xml:space="preserve">공사 월차</t>
  </si>
  <si>
    <r>
      <rPr>
        <sz val="9"/>
        <color rgb="FF000000"/>
        <rFont val="Arial"/>
        <family val="0"/>
        <charset val="1"/>
      </rPr>
      <t xml:space="preserve">S-curve </t>
    </r>
    <r>
      <rPr>
        <sz val="9"/>
        <color rgb="FF000000"/>
        <rFont val="WenQuanYi Zen Hei"/>
        <family val="2"/>
      </rPr>
      <t xml:space="preserve">집행률</t>
    </r>
  </si>
  <si>
    <r>
      <rPr>
        <sz val="9"/>
        <color rgb="FF000000"/>
        <rFont val="WenQuanYi Zen Hei"/>
        <family val="2"/>
      </rPr>
      <t xml:space="preserve">운영기간 </t>
    </r>
    <r>
      <rPr>
        <sz val="9"/>
        <color rgb="FF000000"/>
        <rFont val="Arial"/>
        <family val="0"/>
        <charset val="1"/>
      </rPr>
      <t xml:space="preserve">Flag</t>
    </r>
  </si>
  <si>
    <t xml:space="preserve">운영 월차</t>
  </si>
  <si>
    <t xml:space="preserve">운영 연차</t>
  </si>
  <si>
    <r>
      <rPr>
        <sz val="9"/>
        <color rgb="FF000000"/>
        <rFont val="WenQuanYi Zen Hei"/>
        <family val="2"/>
      </rPr>
      <t xml:space="preserve">리츠운용기간 </t>
    </r>
    <r>
      <rPr>
        <sz val="9"/>
        <color rgb="FF000000"/>
        <rFont val="Arial"/>
        <family val="0"/>
        <charset val="1"/>
      </rPr>
      <t xml:space="preserve">Flag(</t>
    </r>
    <r>
      <rPr>
        <sz val="9"/>
        <color rgb="FF000000"/>
        <rFont val="WenQuanYi Zen Hei"/>
        <family val="2"/>
      </rPr>
      <t xml:space="preserve">운영개시</t>
    </r>
    <r>
      <rPr>
        <sz val="9"/>
        <color rgb="FF000000"/>
        <rFont val="Arial"/>
        <family val="0"/>
        <charset val="1"/>
      </rPr>
      <t xml:space="preserve">~</t>
    </r>
    <r>
      <rPr>
        <sz val="9"/>
        <color rgb="FF000000"/>
        <rFont val="WenQuanYi Zen Hei"/>
        <family val="2"/>
      </rPr>
      <t xml:space="preserve">청산</t>
    </r>
    <r>
      <rPr>
        <sz val="9"/>
        <color rgb="FF000000"/>
        <rFont val="Arial"/>
        <family val="0"/>
        <charset val="1"/>
      </rPr>
      <t xml:space="preserve">)</t>
    </r>
  </si>
  <si>
    <t xml:space="preserve">일수</t>
  </si>
  <si>
    <t xml:space="preserve">일</t>
  </si>
  <si>
    <r>
      <rPr>
        <sz val="9"/>
        <color rgb="FF000000"/>
        <rFont val="WenQuanYi Zen Hei"/>
        <family val="2"/>
      </rPr>
      <t xml:space="preserve">시니어 레지던스 이용료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임대료</t>
    </r>
  </si>
  <si>
    <r>
      <rPr>
        <sz val="9"/>
        <color rgb="FF000000"/>
        <rFont val="WenQuanYi Zen Hei"/>
        <family val="2"/>
      </rPr>
      <t xml:space="preserve">시니어 추가수입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세대관리비 등</t>
    </r>
    <r>
      <rPr>
        <sz val="9"/>
        <color rgb="FF000000"/>
        <rFont val="Arial"/>
        <family val="0"/>
        <charset val="1"/>
      </rPr>
      <t xml:space="preserve">)</t>
    </r>
  </si>
  <si>
    <t xml:space="preserve">시니어 부대시설 임대료</t>
  </si>
  <si>
    <t xml:space="preserve">레지던스 객실매출</t>
  </si>
  <si>
    <t xml:space="preserve">레지던스 객실외매출</t>
  </si>
  <si>
    <t xml:space="preserve">레지던스 멤버전용 매출</t>
  </si>
  <si>
    <t xml:space="preserve">호텔 객실매출</t>
  </si>
  <si>
    <r>
      <rPr>
        <sz val="9"/>
        <color rgb="FF000000"/>
        <rFont val="WenQuanYi Zen Hei"/>
        <family val="2"/>
      </rPr>
      <t xml:space="preserve">호텔 객실외매출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식음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</si>
  <si>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호텔 객실외매출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기타</t>
    </r>
    <r>
      <rPr>
        <sz val="9"/>
        <color rgb="FF000000"/>
        <rFont val="Arial"/>
        <family val="0"/>
        <charset val="1"/>
      </rPr>
      <t xml:space="preserve">)</t>
    </r>
  </si>
  <si>
    <t xml:space="preserve">오피스 임대료</t>
  </si>
  <si>
    <t xml:space="preserve">메디컬 임대료</t>
  </si>
  <si>
    <r>
      <rPr>
        <sz val="9"/>
        <color rgb="FF000000"/>
        <rFont val="WenQuanYi Zen Hei"/>
        <family val="2"/>
      </rPr>
      <t xml:space="preserve">스파</t>
    </r>
    <r>
      <rPr>
        <sz val="9"/>
        <color rgb="FF000000"/>
        <rFont val="Arial"/>
        <family val="0"/>
        <charset val="1"/>
      </rPr>
      <t xml:space="preserve">2.0 </t>
    </r>
    <r>
      <rPr>
        <sz val="9"/>
        <color rgb="FF000000"/>
        <rFont val="WenQuanYi Zen Hei"/>
        <family val="2"/>
      </rPr>
      <t xml:space="preserve">임대료</t>
    </r>
  </si>
  <si>
    <t xml:space="preserve">판매시설 임대료</t>
  </si>
  <si>
    <t xml:space="preserve">국제학교 임대료</t>
  </si>
  <si>
    <t xml:space="preserve">영어유치원 임대료</t>
  </si>
  <si>
    <t xml:space="preserve">직접운영비용</t>
  </si>
  <si>
    <r>
      <rPr>
        <sz val="9"/>
        <color rgb="FF000000"/>
        <rFont val="WenQuanYi Zen Hei"/>
        <family val="2"/>
      </rPr>
      <t xml:space="preserve">시니어 운영비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일반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소모품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</si>
  <si>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레지던스 운영비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일반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소모품</t>
    </r>
    <r>
      <rPr>
        <sz val="9"/>
        <color rgb="FF000000"/>
        <rFont val="Arial"/>
        <family val="0"/>
        <charset val="1"/>
      </rPr>
      <t xml:space="preserve">)</t>
    </r>
  </si>
  <si>
    <t xml:space="preserve">레지던스 멤버전용 운영비</t>
  </si>
  <si>
    <r>
      <rPr>
        <sz val="9"/>
        <color rgb="FF000000"/>
        <rFont val="WenQuanYi Zen Hei"/>
        <family val="2"/>
      </rPr>
      <t xml:space="preserve">호텔 운영비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일반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소모품</t>
    </r>
    <r>
      <rPr>
        <sz val="9"/>
        <color rgb="FF000000"/>
        <rFont val="Arial"/>
        <family val="0"/>
        <charset val="1"/>
      </rPr>
      <t xml:space="preserve">)</t>
    </r>
  </si>
  <si>
    <t xml:space="preserve">컨벤션 운영비</t>
  </si>
  <si>
    <r>
      <rPr>
        <sz val="9"/>
        <color rgb="FF000000"/>
        <rFont val="WenQuanYi Zen Hei"/>
        <family val="2"/>
      </rPr>
      <t xml:space="preserve">스파</t>
    </r>
    <r>
      <rPr>
        <sz val="9"/>
        <color rgb="FF000000"/>
        <rFont val="Arial"/>
        <family val="0"/>
        <charset val="1"/>
      </rPr>
      <t xml:space="preserve">&amp;</t>
    </r>
    <r>
      <rPr>
        <sz val="9"/>
        <color rgb="FF000000"/>
        <rFont val="WenQuanYi Zen Hei"/>
        <family val="2"/>
      </rPr>
      <t xml:space="preserve">수영장</t>
    </r>
    <r>
      <rPr>
        <sz val="9"/>
        <color rgb="FF000000"/>
        <rFont val="Arial"/>
        <family val="0"/>
        <charset val="1"/>
      </rPr>
      <t xml:space="preserve">&amp;</t>
    </r>
    <r>
      <rPr>
        <sz val="9"/>
        <color rgb="FF000000"/>
        <rFont val="WenQuanYi Zen Hei"/>
        <family val="2"/>
      </rPr>
      <t xml:space="preserve">피트니스 운영비</t>
    </r>
  </si>
  <si>
    <r>
      <rPr>
        <sz val="9"/>
        <color rgb="FF000000"/>
        <rFont val="WenQuanYi Zen Hei"/>
        <family val="2"/>
      </rPr>
      <t xml:space="preserve">파인다이닝</t>
    </r>
    <r>
      <rPr>
        <sz val="9"/>
        <color rgb="FF000000"/>
        <rFont val="Arial"/>
        <family val="0"/>
        <charset val="1"/>
      </rPr>
      <t xml:space="preserve">/ADD </t>
    </r>
    <r>
      <rPr>
        <sz val="9"/>
        <color rgb="FF000000"/>
        <rFont val="WenQuanYi Zen Hei"/>
        <family val="2"/>
      </rPr>
      <t xml:space="preserve">운영비</t>
    </r>
  </si>
  <si>
    <t xml:space="preserve">휴게시설 운영비</t>
  </si>
  <si>
    <r>
      <rPr>
        <sz val="9"/>
        <color rgb="FF000000"/>
        <rFont val="Arial"/>
        <family val="0"/>
        <charset val="1"/>
      </rPr>
      <t xml:space="preserve">BOH </t>
    </r>
    <r>
      <rPr>
        <sz val="9"/>
        <color rgb="FF000000"/>
        <rFont val="WenQuanYi Zen Hei"/>
        <family val="2"/>
      </rPr>
      <t xml:space="preserve">운영비</t>
    </r>
  </si>
  <si>
    <t xml:space="preserve">오피스 리징비용</t>
  </si>
  <si>
    <t xml:space="preserve">오피스 관리비용</t>
  </si>
  <si>
    <t xml:space="preserve">부대시설 운영비</t>
  </si>
  <si>
    <t xml:space="preserve">직접운영비용 합계</t>
  </si>
  <si>
    <r>
      <rPr>
        <b val="true"/>
        <sz val="9"/>
        <color rgb="FFFFFFFF"/>
        <rFont val="WenQuanYi Zen Hei"/>
        <family val="2"/>
      </rPr>
      <t xml:space="preserve">용도별 </t>
    </r>
    <r>
      <rPr>
        <b val="true"/>
        <sz val="9"/>
        <color rgb="FFFFFFFF"/>
        <rFont val="Arial"/>
        <family val="0"/>
        <charset val="1"/>
      </rPr>
      <t xml:space="preserve">NOI</t>
    </r>
  </si>
  <si>
    <r>
      <rPr>
        <sz val="9"/>
        <color rgb="FF000000"/>
        <rFont val="Arial"/>
        <family val="0"/>
        <charset val="1"/>
      </rPr>
      <t xml:space="preserve">NOI - </t>
    </r>
    <r>
      <rPr>
        <sz val="9"/>
        <color rgb="FF000000"/>
        <rFont val="WenQuanYi Zen Hei"/>
        <family val="2"/>
      </rPr>
      <t xml:space="preserve">시니어 레지던스</t>
    </r>
  </si>
  <si>
    <r>
      <rPr>
        <sz val="9"/>
        <color rgb="FF000000"/>
        <rFont val="Arial"/>
        <family val="0"/>
        <charset val="1"/>
      </rPr>
      <t xml:space="preserve">NOI - </t>
    </r>
    <r>
      <rPr>
        <sz val="9"/>
        <color rgb="FF000000"/>
        <rFont val="WenQuanYi Zen Hei"/>
        <family val="2"/>
      </rPr>
      <t xml:space="preserve">레지던스</t>
    </r>
  </si>
  <si>
    <r>
      <rPr>
        <sz val="9"/>
        <color rgb="FF000000"/>
        <rFont val="Arial"/>
        <family val="0"/>
        <charset val="1"/>
      </rPr>
      <t xml:space="preserve">NOI - </t>
    </r>
    <r>
      <rPr>
        <sz val="9"/>
        <color rgb="FF000000"/>
        <rFont val="WenQuanYi Zen Hei"/>
        <family val="2"/>
      </rPr>
      <t xml:space="preserve">호텔</t>
    </r>
  </si>
  <si>
    <r>
      <rPr>
        <sz val="9"/>
        <color rgb="FF000000"/>
        <rFont val="Arial"/>
        <family val="0"/>
        <charset val="1"/>
      </rPr>
      <t xml:space="preserve">NOI - </t>
    </r>
    <r>
      <rPr>
        <sz val="9"/>
        <color rgb="FF000000"/>
        <rFont val="WenQuanYi Zen Hei"/>
        <family val="2"/>
      </rPr>
      <t xml:space="preserve">오피스</t>
    </r>
  </si>
  <si>
    <r>
      <rPr>
        <sz val="9"/>
        <color rgb="FF000000"/>
        <rFont val="Arial"/>
        <family val="0"/>
        <charset val="1"/>
      </rPr>
      <t xml:space="preserve">NOI - </t>
    </r>
    <r>
      <rPr>
        <sz val="9"/>
        <color rgb="FF000000"/>
        <rFont val="WenQuanYi Zen Hei"/>
        <family val="2"/>
      </rPr>
      <t xml:space="preserve">부대시설</t>
    </r>
  </si>
  <si>
    <r>
      <rPr>
        <b val="true"/>
        <sz val="9"/>
        <color rgb="FFFFFFFF"/>
        <rFont val="WenQuanYi Zen Hei"/>
        <family val="2"/>
      </rPr>
      <t xml:space="preserve">기타공통비용 및 리츠운용비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운영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</si>
  <si>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수선비</t>
  </si>
  <si>
    <t xml:space="preserve">보험료</t>
  </si>
  <si>
    <r>
      <rPr>
        <sz val="9"/>
        <color rgb="FF000000"/>
        <rFont val="Arial"/>
        <family val="0"/>
        <charset val="1"/>
      </rPr>
      <t xml:space="preserve">PM </t>
    </r>
    <r>
      <rPr>
        <sz val="9"/>
        <color rgb="FF000000"/>
        <rFont val="WenQuanYi Zen Hei"/>
        <family val="2"/>
      </rPr>
      <t xml:space="preserve">수수료</t>
    </r>
  </si>
  <si>
    <t xml:space="preserve">간주임대료 부가세</t>
  </si>
  <si>
    <r>
      <rPr>
        <sz val="9"/>
        <color rgb="FF000000"/>
        <rFont val="WenQuanYi Zen Hei"/>
        <family val="2"/>
      </rPr>
      <t xml:space="preserve">리츠운용비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운영</t>
    </r>
    <r>
      <rPr>
        <sz val="9"/>
        <color rgb="FF000000"/>
        <rFont val="Arial"/>
        <family val="0"/>
        <charset val="1"/>
      </rPr>
      <t xml:space="preserve">)</t>
    </r>
  </si>
  <si>
    <t xml:space="preserve">공통비용 합계</t>
  </si>
  <si>
    <r>
      <rPr>
        <b val="true"/>
        <sz val="9"/>
        <color rgb="FF000000"/>
        <rFont val="WenQuanYi Zen Hei"/>
        <family val="2"/>
      </rPr>
      <t xml:space="preserve">운영현금흐름</t>
    </r>
    <r>
      <rPr>
        <b val="true"/>
        <sz val="9"/>
        <color rgb="FF000000"/>
        <rFont val="Arial"/>
        <family val="0"/>
        <charset val="1"/>
      </rPr>
      <t xml:space="preserve">(NOI-</t>
    </r>
    <r>
      <rPr>
        <b val="true"/>
        <sz val="9"/>
        <color rgb="FF000000"/>
        <rFont val="WenQuanYi Zen Hei"/>
        <family val="2"/>
      </rPr>
      <t xml:space="preserve">공통비용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</si>
  <si>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임대</t>
    </r>
    <r>
      <rPr>
        <b val="true"/>
        <sz val="9"/>
        <color rgb="FFFFFFFF"/>
        <rFont val="Arial"/>
        <family val="0"/>
        <charset val="1"/>
      </rPr>
      <t xml:space="preserve">·</t>
    </r>
    <r>
      <rPr>
        <b val="true"/>
        <sz val="9"/>
        <color rgb="FFFFFFFF"/>
        <rFont val="WenQuanYi Zen Hei"/>
        <family val="2"/>
      </rPr>
      <t xml:space="preserve">입주 보증금</t>
    </r>
  </si>
  <si>
    <t xml:space="preserve">시니어 레지던스 보증금 유입</t>
  </si>
  <si>
    <t xml:space="preserve">레지던스 보증금 유입</t>
  </si>
  <si>
    <t xml:space="preserve">호텔 회원보증금 유입</t>
  </si>
  <si>
    <t xml:space="preserve">시니어 부대 임대보증금</t>
  </si>
  <si>
    <t xml:space="preserve">오피스 임대보증금</t>
  </si>
  <si>
    <t xml:space="preserve">부대시설 임대보증금</t>
  </si>
  <si>
    <t xml:space="preserve">보증금 유입 합계</t>
  </si>
  <si>
    <r>
      <rPr>
        <sz val="9"/>
        <color rgb="FF000000"/>
        <rFont val="WenQuanYi Zen Hei"/>
        <family val="2"/>
      </rPr>
      <t xml:space="preserve">보증금 승계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처분시 매수인 인계</t>
    </r>
    <r>
      <rPr>
        <sz val="9"/>
        <color rgb="FF000000"/>
        <rFont val="Arial"/>
        <family val="0"/>
        <charset val="1"/>
      </rPr>
      <t xml:space="preserve">)</t>
    </r>
  </si>
  <si>
    <t xml:space="preserve">보증금 잔액</t>
  </si>
  <si>
    <r>
      <rPr>
        <b val="true"/>
        <sz val="9"/>
        <color rgb="FFFFFFFF"/>
        <rFont val="WenQuanYi Zen Hei"/>
        <family val="2"/>
      </rPr>
      <t xml:space="preserve">개발사업비 집행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공제후 순액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</si>
  <si>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토지 계약금</t>
  </si>
  <si>
    <r>
      <rPr>
        <sz val="9"/>
        <color rgb="FF000000"/>
        <rFont val="WenQuanYi Zen Hei"/>
        <family val="2"/>
      </rPr>
      <t xml:space="preserve">토지 잔금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취득세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임차료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등기</t>
    </r>
  </si>
  <si>
    <r>
      <rPr>
        <sz val="9"/>
        <color rgb="FF000000"/>
        <rFont val="WenQuanYi Zen Hei"/>
        <family val="2"/>
      </rPr>
      <t xml:space="preserve">토지보유세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건설기간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</si>
  <si>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직접공사비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유보금 제외</t>
    </r>
    <r>
      <rPr>
        <sz val="9"/>
        <color rgb="FF000000"/>
        <rFont val="Arial"/>
        <family val="0"/>
        <charset val="1"/>
      </rPr>
      <t xml:space="preserve">, S-curve)</t>
    </r>
  </si>
  <si>
    <t xml:space="preserve">공사비 유보금 지급</t>
  </si>
  <si>
    <r>
      <rPr>
        <sz val="9"/>
        <color rgb="FF000000"/>
        <rFont val="WenQuanYi Zen Hei"/>
        <family val="2"/>
      </rPr>
      <t xml:space="preserve">간접공사비</t>
    </r>
    <r>
      <rPr>
        <sz val="9"/>
        <color rgb="FF000000"/>
        <rFont val="Arial"/>
        <family val="0"/>
        <charset val="1"/>
      </rPr>
      <t xml:space="preserve">(S-curve)</t>
    </r>
  </si>
  <si>
    <r>
      <rPr>
        <sz val="9"/>
        <color rgb="FF000000"/>
        <rFont val="WenQuanYi Zen Hei"/>
        <family val="2"/>
      </rPr>
      <t xml:space="preserve">부대비용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보존등기비 등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</si>
  <si>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리츠운용비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일시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WenQuanYi Zen Hei"/>
        <family val="2"/>
      </rPr>
      <t xml:space="preserve">등록면허세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실사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예비비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</si>
  <si>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리츠운용비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매입보수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</si>
  <si>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리츠운용비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개발기간 정기</t>
    </r>
    <r>
      <rPr>
        <sz val="9"/>
        <color rgb="FF000000"/>
        <rFont val="Arial"/>
        <family val="0"/>
        <charset val="1"/>
      </rPr>
      <t xml:space="preserve">)</t>
    </r>
  </si>
  <si>
    <t xml:space="preserve">개발사업비 집행 합계</t>
  </si>
  <si>
    <r>
      <rPr>
        <b val="true"/>
        <sz val="9"/>
        <color rgb="FFFFFFFF"/>
        <rFont val="Arial"/>
        <family val="0"/>
        <charset val="1"/>
      </rPr>
      <t xml:space="preserve">PF (</t>
    </r>
    <r>
      <rPr>
        <b val="true"/>
        <sz val="9"/>
        <color rgb="FFFFFFFF"/>
        <rFont val="WenQuanYi Zen Hei"/>
        <family val="2"/>
      </rPr>
      <t xml:space="preserve">개발기간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</si>
  <si>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취급수수료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</si>
  <si>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취급수수료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</si>
  <si>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취급수수료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</si>
  <si>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이자비용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</si>
  <si>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이자비용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</si>
  <si>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이자비용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</si>
  <si>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미인출수수료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</si>
  <si>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미인출수수료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</si>
  <si>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미인출수수료</t>
    </r>
  </si>
  <si>
    <r>
      <rPr>
        <b val="true"/>
        <sz val="9"/>
        <color rgb="FF000000"/>
        <rFont val="Arial"/>
        <family val="0"/>
        <charset val="1"/>
      </rPr>
      <t xml:space="preserve">PF </t>
    </r>
    <r>
      <rPr>
        <b val="true"/>
        <sz val="9"/>
        <color rgb="FF000000"/>
        <rFont val="WenQuanYi Zen Hei"/>
        <family val="2"/>
      </rPr>
      <t xml:space="preserve">금융비용 합계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</si>
  <si>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인출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후순위 우선 인출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</si>
  <si>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인출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</si>
  <si>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인출</t>
    </r>
  </si>
  <si>
    <r>
      <rPr>
        <b val="true"/>
        <sz val="9"/>
        <color rgb="FF000000"/>
        <rFont val="Arial"/>
        <family val="0"/>
        <charset val="1"/>
      </rPr>
      <t xml:space="preserve">PF </t>
    </r>
    <r>
      <rPr>
        <b val="true"/>
        <sz val="9"/>
        <color rgb="FF000000"/>
        <rFont val="WenQuanYi Zen Hei"/>
        <family val="2"/>
      </rPr>
      <t xml:space="preserve">인출 합계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</si>
  <si>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상환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</si>
  <si>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상환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</si>
  <si>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상환</t>
    </r>
  </si>
  <si>
    <r>
      <rPr>
        <b val="true"/>
        <sz val="9"/>
        <color rgb="FF000000"/>
        <rFont val="Arial"/>
        <family val="0"/>
        <charset val="1"/>
      </rPr>
      <t xml:space="preserve">PF </t>
    </r>
    <r>
      <rPr>
        <b val="true"/>
        <sz val="9"/>
        <color rgb="FF000000"/>
        <rFont val="WenQuanYi Zen Hei"/>
        <family val="2"/>
      </rPr>
      <t xml:space="preserve">상환 합계</t>
    </r>
  </si>
  <si>
    <r>
      <rPr>
        <sz val="9"/>
        <color rgb="FF000000"/>
        <rFont val="Arial"/>
        <family val="0"/>
        <charset val="1"/>
      </rPr>
      <t xml:space="preserve">Tr.A </t>
    </r>
    <r>
      <rPr>
        <sz val="9"/>
        <color rgb="FF000000"/>
        <rFont val="WenQuanYi Zen Hei"/>
        <family val="2"/>
      </rPr>
      <t xml:space="preserve">잔액</t>
    </r>
  </si>
  <si>
    <r>
      <rPr>
        <sz val="9"/>
        <color rgb="FF000000"/>
        <rFont val="Arial"/>
        <family val="0"/>
        <charset val="1"/>
      </rPr>
      <t xml:space="preserve">Tr.B </t>
    </r>
    <r>
      <rPr>
        <sz val="9"/>
        <color rgb="FF000000"/>
        <rFont val="WenQuanYi Zen Hei"/>
        <family val="2"/>
      </rPr>
      <t xml:space="preserve">잔액</t>
    </r>
  </si>
  <si>
    <r>
      <rPr>
        <sz val="9"/>
        <color rgb="FF000000"/>
        <rFont val="Arial"/>
        <family val="0"/>
        <charset val="1"/>
      </rPr>
      <t xml:space="preserve">Tr.C </t>
    </r>
    <r>
      <rPr>
        <sz val="9"/>
        <color rgb="FF000000"/>
        <rFont val="WenQuanYi Zen Hei"/>
        <family val="2"/>
      </rPr>
      <t xml:space="preserve">잔액</t>
    </r>
  </si>
  <si>
    <r>
      <rPr>
        <b val="true"/>
        <sz val="9"/>
        <color rgb="FF000000"/>
        <rFont val="Arial"/>
        <family val="0"/>
        <charset val="1"/>
      </rPr>
      <t xml:space="preserve">PF </t>
    </r>
    <r>
      <rPr>
        <b val="true"/>
        <sz val="9"/>
        <color rgb="FF000000"/>
        <rFont val="WenQuanYi Zen Hei"/>
        <family val="2"/>
      </rPr>
      <t xml:space="preserve">잔액 합계</t>
    </r>
  </si>
  <si>
    <t xml:space="preserve">담보대출 인출</t>
  </si>
  <si>
    <t xml:space="preserve">담보대출 취급수수료</t>
  </si>
  <si>
    <t xml:space="preserve">담보대출 상환</t>
  </si>
  <si>
    <t xml:space="preserve">담보대출 잔액</t>
  </si>
  <si>
    <t xml:space="preserve">주주대여금 인출</t>
  </si>
  <si>
    <t xml:space="preserve">주주대여금 이자</t>
  </si>
  <si>
    <t xml:space="preserve">주주대여금 상환</t>
  </si>
  <si>
    <t xml:space="preserve">주주대여금 잔액</t>
  </si>
  <si>
    <r>
      <rPr>
        <b val="true"/>
        <sz val="9"/>
        <color rgb="FFFFFFFF"/>
        <rFont val="Arial"/>
        <family val="0"/>
        <charset val="1"/>
      </rPr>
      <t xml:space="preserve">Equity </t>
    </r>
    <r>
      <rPr>
        <b val="true"/>
        <sz val="9"/>
        <color rgb="FFFFFFFF"/>
        <rFont val="WenQuanYi Zen Hei"/>
        <family val="2"/>
      </rPr>
      <t xml:space="preserve">납입</t>
    </r>
  </si>
  <si>
    <t xml:space="preserve">보통주 납입</t>
  </si>
  <si>
    <t xml:space="preserve">우선주 납입</t>
  </si>
  <si>
    <r>
      <rPr>
        <b val="true"/>
        <sz val="9"/>
        <color rgb="FF000000"/>
        <rFont val="Arial"/>
        <family val="0"/>
        <charset val="1"/>
      </rPr>
      <t xml:space="preserve">Equity </t>
    </r>
    <r>
      <rPr>
        <b val="true"/>
        <sz val="9"/>
        <color rgb="FF000000"/>
        <rFont val="WenQuanYi Zen Hei"/>
        <family val="2"/>
      </rPr>
      <t xml:space="preserve">납입 합계</t>
    </r>
  </si>
  <si>
    <t xml:space="preserve">자산 매각</t>
  </si>
  <si>
    <t xml:space="preserve">매각대금</t>
  </si>
  <si>
    <r>
      <rPr>
        <b val="true"/>
        <sz val="9"/>
        <color rgb="FFFFFFFF"/>
        <rFont val="WenQuanYi Zen Hei"/>
        <family val="2"/>
      </rPr>
      <t xml:space="preserve">현금흐름 </t>
    </r>
    <r>
      <rPr>
        <b val="true"/>
        <sz val="9"/>
        <color rgb="FFFFFFFF"/>
        <rFont val="Arial"/>
        <family val="0"/>
        <charset val="1"/>
      </rPr>
      <t xml:space="preserve">(Cash Waterfall)</t>
    </r>
  </si>
  <si>
    <t xml:space="preserve">기초현금</t>
  </si>
  <si>
    <r>
      <rPr>
        <sz val="9"/>
        <color rgb="FF000000"/>
        <rFont val="WenQuanYi Zen Hei"/>
        <family val="2"/>
      </rPr>
      <t xml:space="preserve">유입 합계</t>
    </r>
    <r>
      <rPr>
        <sz val="9"/>
        <color rgb="FF000000"/>
        <rFont val="Arial"/>
        <family val="0"/>
        <charset val="1"/>
      </rPr>
      <t xml:space="preserve">(Equity+</t>
    </r>
    <r>
      <rPr>
        <sz val="9"/>
        <color rgb="FF000000"/>
        <rFont val="WenQuanYi Zen Hei"/>
        <family val="2"/>
      </rPr>
      <t xml:space="preserve">보증금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운영수입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대출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매각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이자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</si>
  <si>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유출 합계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운영비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사업비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금융비용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상환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보증금승계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</si>
  <si>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PF </t>
    </r>
    <r>
      <rPr>
        <sz val="9"/>
        <color rgb="FF000000"/>
        <rFont val="WenQuanYi Zen Hei"/>
        <family val="2"/>
      </rPr>
      <t xml:space="preserve">인출 전 현금</t>
    </r>
  </si>
  <si>
    <r>
      <rPr>
        <sz val="9"/>
        <color rgb="FF000000"/>
        <rFont val="Arial"/>
        <family val="0"/>
        <charset val="1"/>
      </rPr>
      <t xml:space="preserve">PF </t>
    </r>
    <r>
      <rPr>
        <sz val="9"/>
        <color rgb="FF000000"/>
        <rFont val="WenQuanYi Zen Hei"/>
        <family val="2"/>
      </rPr>
      <t xml:space="preserve">인출 필요액</t>
    </r>
  </si>
  <si>
    <t xml:space="preserve">배당 전 현금</t>
  </si>
  <si>
    <r>
      <rPr>
        <sz val="9"/>
        <color rgb="FF000000"/>
        <rFont val="WenQuanYi Zen Hei"/>
        <family val="2"/>
      </rPr>
      <t xml:space="preserve">배당구분</t>
    </r>
    <r>
      <rPr>
        <sz val="9"/>
        <color rgb="FF000000"/>
        <rFont val="Arial"/>
        <family val="0"/>
        <charset val="1"/>
      </rPr>
      <t xml:space="preserve">(1:</t>
    </r>
    <r>
      <rPr>
        <sz val="9"/>
        <color rgb="FF000000"/>
        <rFont val="WenQuanYi Zen Hei"/>
        <family val="2"/>
      </rPr>
      <t xml:space="preserve">정기</t>
    </r>
    <r>
      <rPr>
        <sz val="9"/>
        <color rgb="FF000000"/>
        <rFont val="Arial"/>
        <family val="0"/>
        <charset val="1"/>
      </rPr>
      <t xml:space="preserve">, 2:</t>
    </r>
    <r>
      <rPr>
        <sz val="9"/>
        <color rgb="FF000000"/>
        <rFont val="WenQuanYi Zen Hei"/>
        <family val="2"/>
      </rPr>
      <t xml:space="preserve">청산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</si>
  <si>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배당가능이익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운영</t>
    </r>
    <r>
      <rPr>
        <sz val="9"/>
        <color rgb="FF000000"/>
        <rFont val="Arial"/>
        <family val="0"/>
        <charset val="1"/>
      </rPr>
      <t xml:space="preserve">CF+</t>
    </r>
    <r>
      <rPr>
        <sz val="9"/>
        <color rgb="FF000000"/>
        <rFont val="WenQuanYi Zen Hei"/>
        <family val="2"/>
      </rPr>
      <t xml:space="preserve">이자수익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WenQuanYi Zen Hei"/>
        <family val="2"/>
      </rPr>
      <t xml:space="preserve">대출이자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</si>
  <si>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미배당 이익잔액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기말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</si>
  <si>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배당가능액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분배액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</si>
  <si>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기말현금</t>
  </si>
  <si>
    <r>
      <rPr>
        <b val="true"/>
        <sz val="9"/>
        <color rgb="FFFFFFFF"/>
        <rFont val="WenQuanYi Zen Hei"/>
        <family val="2"/>
      </rPr>
      <t xml:space="preserve">분배 </t>
    </r>
    <r>
      <rPr>
        <b val="true"/>
        <sz val="9"/>
        <color rgb="FFFFFFFF"/>
        <rFont val="Arial"/>
        <family val="0"/>
        <charset val="1"/>
      </rPr>
      <t xml:space="preserve">Waterfall</t>
    </r>
  </si>
  <si>
    <r>
      <rPr>
        <sz val="9"/>
        <color rgb="FF000000"/>
        <rFont val="WenQuanYi Zen Hei"/>
        <family val="2"/>
      </rPr>
      <t xml:space="preserve">우선주 원금 잔액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기초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</si>
  <si>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우선주 미지급배당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기초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</si>
  <si>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우선주 배당 발생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누적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복리</t>
    </r>
    <r>
      <rPr>
        <sz val="9"/>
        <color rgb="FF000000"/>
        <rFont val="Arial"/>
        <family val="0"/>
        <charset val="1"/>
      </rPr>
      <t xml:space="preserve">)</t>
    </r>
  </si>
  <si>
    <t xml:space="preserve">우선주 배당 지급</t>
  </si>
  <si>
    <t xml:space="preserve">우선주 원금 상환</t>
  </si>
  <si>
    <r>
      <rPr>
        <sz val="9"/>
        <color rgb="FF000000"/>
        <rFont val="WenQuanYi Zen Hei"/>
        <family val="2"/>
      </rPr>
      <t xml:space="preserve">우선주 미지급배당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기말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</si>
  <si>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보통주 분배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배당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잔여재산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</si>
  <si>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FFFFFF"/>
        <rFont val="WenQuanYi Zen Hei"/>
        <family val="2"/>
      </rPr>
      <t xml:space="preserve">투자자 현금흐름 및 </t>
    </r>
    <r>
      <rPr>
        <b val="true"/>
        <sz val="9"/>
        <color rgb="FFFFFFFF"/>
        <rFont val="Arial"/>
        <family val="0"/>
        <charset val="1"/>
      </rPr>
      <t xml:space="preserve">IRR (C</t>
    </r>
    <r>
      <rPr>
        <b val="true"/>
        <sz val="9"/>
        <color rgb="FFFFFFFF"/>
        <rFont val="WenQuanYi Zen Hei"/>
        <family val="2"/>
      </rPr>
      <t xml:space="preserve">열 </t>
    </r>
    <r>
      <rPr>
        <b val="true"/>
        <sz val="9"/>
        <color rgb="FFFFFFFF"/>
        <rFont val="Arial"/>
        <family val="0"/>
        <charset val="1"/>
      </rPr>
      <t xml:space="preserve">= </t>
    </r>
    <r>
      <rPr>
        <b val="true"/>
        <sz val="9"/>
        <color rgb="FFFFFFFF"/>
        <rFont val="WenQuanYi Zen Hei"/>
        <family val="2"/>
      </rPr>
      <t xml:space="preserve">연환산 </t>
    </r>
    <r>
      <rPr>
        <b val="true"/>
        <sz val="9"/>
        <color rgb="FFFFFFFF"/>
        <rFont val="Arial"/>
        <family val="0"/>
        <charset val="1"/>
      </rPr>
      <t xml:space="preserve">IRR)</t>
    </r>
  </si>
  <si>
    <r>
      <rPr>
        <b val="true"/>
        <sz val="9"/>
        <color rgb="FFFFFFFF"/>
        <rFont val="WenQuanYi Zen Hei"/>
        <family val="2"/>
      </rPr>
      <t xml:space="preserve">연환산 </t>
    </r>
    <r>
      <rPr>
        <b val="true"/>
        <sz val="9"/>
        <color rgb="FFFFFFFF"/>
        <rFont val="Arial"/>
        <family val="0"/>
        <charset val="1"/>
      </rPr>
      <t xml:space="preserve">IRR</t>
    </r>
  </si>
  <si>
    <r>
      <rPr>
        <sz val="9"/>
        <color rgb="FF000000"/>
        <rFont val="WenQuanYi Zen Hei"/>
        <family val="2"/>
      </rPr>
      <t xml:space="preserve">보통주 </t>
    </r>
    <r>
      <rPr>
        <sz val="9"/>
        <color rgb="FF000000"/>
        <rFont val="Arial"/>
        <family val="0"/>
        <charset val="1"/>
      </rPr>
      <t xml:space="preserve">CF</t>
    </r>
  </si>
  <si>
    <r>
      <rPr>
        <sz val="9"/>
        <color rgb="FF000000"/>
        <rFont val="WenQuanYi Zen Hei"/>
        <family val="2"/>
      </rPr>
      <t xml:space="preserve">우선주 </t>
    </r>
    <r>
      <rPr>
        <sz val="9"/>
        <color rgb="FF000000"/>
        <rFont val="Arial"/>
        <family val="0"/>
        <charset val="1"/>
      </rPr>
      <t xml:space="preserve">CF</t>
    </r>
  </si>
  <si>
    <r>
      <rPr>
        <b val="true"/>
        <sz val="9"/>
        <color rgb="FF000000"/>
        <rFont val="WenQuanYi Zen Hei"/>
        <family val="2"/>
      </rPr>
      <t xml:space="preserve">전체 </t>
    </r>
    <r>
      <rPr>
        <b val="true"/>
        <sz val="9"/>
        <color rgb="FF000000"/>
        <rFont val="Arial"/>
        <family val="0"/>
        <charset val="1"/>
      </rPr>
      <t xml:space="preserve">Equity CF</t>
    </r>
  </si>
  <si>
    <r>
      <rPr>
        <b val="true"/>
        <sz val="11"/>
        <color rgb="FFFFFFFF"/>
        <rFont val="WenQuanYi Zen Hei"/>
        <family val="2"/>
      </rPr>
      <t xml:space="preserve">연도별 요약 </t>
    </r>
    <r>
      <rPr>
        <b val="true"/>
        <sz val="11"/>
        <color rgb="FFFFFFFF"/>
        <rFont val="Arial"/>
        <family val="0"/>
        <charset val="1"/>
      </rPr>
      <t xml:space="preserve">(CF </t>
    </r>
    <r>
      <rPr>
        <b val="true"/>
        <sz val="11"/>
        <color rgb="FFFFFFFF"/>
        <rFont val="WenQuanYi Zen Hei"/>
        <family val="2"/>
      </rPr>
      <t xml:space="preserve">시트 집계</t>
    </r>
    <r>
      <rPr>
        <b val="true"/>
        <sz val="11"/>
        <color rgb="FFFFFFFF"/>
        <rFont val="Arial"/>
        <family val="0"/>
        <charset val="1"/>
      </rPr>
      <t xml:space="preserve">)  —  </t>
    </r>
    <r>
      <rPr>
        <b val="true"/>
        <sz val="11"/>
        <color rgb="FFFFFFFF"/>
        <rFont val="WenQuanYi Zen Hei"/>
        <family val="2"/>
      </rPr>
      <t xml:space="preserve">단위</t>
    </r>
    <r>
      <rPr>
        <b val="true"/>
        <sz val="11"/>
        <color rgb="FFFFFFFF"/>
        <rFont val="Arial"/>
        <family val="0"/>
        <charset val="1"/>
      </rPr>
      <t xml:space="preserve">: </t>
    </r>
    <r>
      <rPr>
        <b val="true"/>
        <sz val="11"/>
        <color rgb="FFFFFFFF"/>
        <rFont val="WenQuanYi Zen Hei"/>
        <family val="2"/>
      </rPr>
      <t xml:space="preserve">백만원</t>
    </r>
  </si>
  <si>
    <t xml:space="preserve">운영</t>
  </si>
  <si>
    <r>
      <rPr>
        <b val="true"/>
        <sz val="9"/>
        <color rgb="FF000000"/>
        <rFont val="WenQuanYi Zen Hei"/>
        <family val="2"/>
      </rPr>
      <t xml:space="preserve">공통비용</t>
    </r>
    <r>
      <rPr>
        <b val="true"/>
        <sz val="9"/>
        <color rgb="FF000000"/>
        <rFont val="Arial"/>
        <family val="0"/>
        <charset val="1"/>
      </rPr>
      <t xml:space="preserve">·</t>
    </r>
    <r>
      <rPr>
        <b val="true"/>
        <sz val="9"/>
        <color rgb="FF000000"/>
        <rFont val="WenQuanYi Zen Hei"/>
        <family val="2"/>
      </rPr>
      <t xml:space="preserve">리츠운용비</t>
    </r>
  </si>
  <si>
    <t xml:space="preserve">운영현금흐름</t>
  </si>
  <si>
    <t xml:space="preserve">개발 및 금융</t>
  </si>
  <si>
    <t xml:space="preserve">개발사업비 집행</t>
  </si>
  <si>
    <r>
      <rPr>
        <b val="true"/>
        <sz val="9"/>
        <color rgb="FF000000"/>
        <rFont val="Arial"/>
        <family val="0"/>
        <charset val="1"/>
      </rPr>
      <t xml:space="preserve">PF </t>
    </r>
    <r>
      <rPr>
        <b val="true"/>
        <sz val="9"/>
        <color rgb="FF000000"/>
        <rFont val="WenQuanYi Zen Hei"/>
        <family val="2"/>
      </rPr>
      <t xml:space="preserve">금융비용</t>
    </r>
  </si>
  <si>
    <t xml:space="preserve">자금 유출입</t>
  </si>
  <si>
    <r>
      <rPr>
        <b val="true"/>
        <sz val="9"/>
        <color rgb="FF000000"/>
        <rFont val="Arial"/>
        <family val="0"/>
        <charset val="1"/>
      </rPr>
      <t xml:space="preserve">Equity </t>
    </r>
    <r>
      <rPr>
        <b val="true"/>
        <sz val="9"/>
        <color rgb="FF000000"/>
        <rFont val="WenQuanYi Zen Hei"/>
        <family val="2"/>
      </rPr>
      <t xml:space="preserve">납입</t>
    </r>
  </si>
  <si>
    <t xml:space="preserve">보증금 유입</t>
  </si>
  <si>
    <r>
      <rPr>
        <sz val="9"/>
        <color rgb="FF000000"/>
        <rFont val="WenQuanYi Zen Hei"/>
        <family val="2"/>
      </rPr>
      <t xml:space="preserve">보증금 승계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처분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</si>
  <si>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PF </t>
    </r>
    <r>
      <rPr>
        <b val="true"/>
        <sz val="9"/>
        <color rgb="FF000000"/>
        <rFont val="WenQuanYi Zen Hei"/>
        <family val="2"/>
      </rPr>
      <t xml:space="preserve">인출</t>
    </r>
  </si>
  <si>
    <r>
      <rPr>
        <b val="true"/>
        <sz val="9"/>
        <color rgb="FF000000"/>
        <rFont val="Arial"/>
        <family val="0"/>
        <charset val="1"/>
      </rPr>
      <t xml:space="preserve">PF </t>
    </r>
    <r>
      <rPr>
        <b val="true"/>
        <sz val="9"/>
        <color rgb="FF000000"/>
        <rFont val="WenQuanYi Zen Hei"/>
        <family val="2"/>
      </rPr>
      <t xml:space="preserve">상환</t>
    </r>
  </si>
  <si>
    <t xml:space="preserve">분배</t>
  </si>
  <si>
    <r>
      <rPr>
        <b val="true"/>
        <sz val="9"/>
        <color rgb="FF000000"/>
        <rFont val="Arial"/>
        <family val="0"/>
        <charset val="1"/>
      </rPr>
      <t xml:space="preserve">IRR (</t>
    </r>
    <r>
      <rPr>
        <b val="true"/>
        <sz val="9"/>
        <color rgb="FF000000"/>
        <rFont val="WenQuanYi Zen Hei"/>
        <family val="2"/>
      </rPr>
      <t xml:space="preserve">보통주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</si>
  <si>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IRR (</t>
    </r>
    <r>
      <rPr>
        <b val="true"/>
        <sz val="9"/>
        <color rgb="FF000000"/>
        <rFont val="WenQuanYi Zen Hei"/>
        <family val="2"/>
      </rPr>
      <t xml:space="preserve">우선주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</si>
  <si>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IRR (</t>
    </r>
    <r>
      <rPr>
        <b val="true"/>
        <sz val="9"/>
        <color rgb="FF000000"/>
        <rFont val="WenQuanYi Zen Hei"/>
        <family val="2"/>
      </rPr>
      <t xml:space="preserve">전체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</si>
  <si>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i val="true"/>
        <sz val="9"/>
        <color rgb="FFFFFF00"/>
        <rFont val="WenQuanYi Zen Hei"/>
        <family val="2"/>
      </rPr>
      <t xml:space="preserve">② 시니어 레지던스 </t>
    </r>
    <r>
      <rPr>
        <b val="true"/>
        <i val="true"/>
        <sz val="9"/>
        <color rgb="FFFFFF00"/>
        <rFont val="Arial"/>
        <family val="0"/>
        <charset val="1"/>
      </rPr>
      <t xml:space="preserve">Vehicle  —  Assumption  (</t>
    </r>
    <r>
      <rPr>
        <b val="true"/>
        <i val="true"/>
        <sz val="9"/>
        <color rgb="FFFFFF00"/>
        <rFont val="WenQuanYi Zen Hei"/>
        <family val="2"/>
      </rPr>
      <t xml:space="preserve">단위</t>
    </r>
    <r>
      <rPr>
        <b val="true"/>
        <i val="true"/>
        <sz val="9"/>
        <color rgb="FFFFFF00"/>
        <rFont val="Arial"/>
        <family val="0"/>
        <charset val="1"/>
      </rPr>
      <t xml:space="preserve">: </t>
    </r>
    <r>
      <rPr>
        <b val="true"/>
        <i val="true"/>
        <sz val="9"/>
        <color rgb="FFFFFF00"/>
        <rFont val="WenQuanYi Zen Hei"/>
        <family val="2"/>
      </rPr>
      <t xml:space="preserve">백만원</t>
    </r>
    <r>
      <rPr>
        <b val="true"/>
        <i val="true"/>
        <sz val="9"/>
        <color rgb="FFFFFF00"/>
        <rFont val="Arial"/>
        <family val="0"/>
        <charset val="1"/>
      </rPr>
      <t xml:space="preserve">)</t>
    </r>
  </si>
  <si>
    <r>
      <rPr>
        <b val="true"/>
        <sz val="9"/>
        <color rgb="FF0000FF"/>
        <rFont val="WenQuanYi Zen Hei"/>
        <family val="2"/>
      </rPr>
      <t xml:space="preserve">② 시니어 레지던스 </t>
    </r>
    <r>
      <rPr>
        <b val="true"/>
        <sz val="9"/>
        <color rgb="FF0000FF"/>
        <rFont val="Arial"/>
        <family val="0"/>
        <charset val="1"/>
      </rPr>
      <t xml:space="preserve">Vehicle</t>
    </r>
  </si>
  <si>
    <r>
      <rPr>
        <b val="true"/>
        <i val="true"/>
        <sz val="9"/>
        <color rgb="FFFFFF00"/>
        <rFont val="WenQuanYi Zen Hei"/>
        <family val="2"/>
      </rPr>
      <t xml:space="preserve">③ 레지던스</t>
    </r>
    <r>
      <rPr>
        <b val="true"/>
        <i val="true"/>
        <sz val="9"/>
        <color rgb="FFFFFF00"/>
        <rFont val="Arial"/>
        <family val="0"/>
        <charset val="1"/>
      </rPr>
      <t xml:space="preserve">·</t>
    </r>
    <r>
      <rPr>
        <b val="true"/>
        <i val="true"/>
        <sz val="9"/>
        <color rgb="FFFFFF00"/>
        <rFont val="WenQuanYi Zen Hei"/>
        <family val="2"/>
      </rPr>
      <t xml:space="preserve">호텔</t>
    </r>
    <r>
      <rPr>
        <b val="true"/>
        <i val="true"/>
        <sz val="9"/>
        <color rgb="FFFFFF00"/>
        <rFont val="Arial"/>
        <family val="0"/>
        <charset val="1"/>
      </rPr>
      <t xml:space="preserve">·</t>
    </r>
    <r>
      <rPr>
        <b val="true"/>
        <i val="true"/>
        <sz val="9"/>
        <color rgb="FFFFFF00"/>
        <rFont val="WenQuanYi Zen Hei"/>
        <family val="2"/>
      </rPr>
      <t xml:space="preserve">오피스</t>
    </r>
    <r>
      <rPr>
        <b val="true"/>
        <i val="true"/>
        <sz val="9"/>
        <color rgb="FFFFFF00"/>
        <rFont val="Arial"/>
        <family val="0"/>
        <charset val="1"/>
      </rPr>
      <t xml:space="preserve">·</t>
    </r>
    <r>
      <rPr>
        <b val="true"/>
        <i val="true"/>
        <sz val="9"/>
        <color rgb="FFFFFF00"/>
        <rFont val="WenQuanYi Zen Hei"/>
        <family val="2"/>
      </rPr>
      <t xml:space="preserve">부대시설 </t>
    </r>
    <r>
      <rPr>
        <b val="true"/>
        <i val="true"/>
        <sz val="9"/>
        <color rgb="FFFFFF00"/>
        <rFont val="Arial"/>
        <family val="0"/>
        <charset val="1"/>
      </rPr>
      <t xml:space="preserve">Vehicle  —  Assumption  (</t>
    </r>
    <r>
      <rPr>
        <b val="true"/>
        <i val="true"/>
        <sz val="9"/>
        <color rgb="FFFFFF00"/>
        <rFont val="WenQuanYi Zen Hei"/>
        <family val="2"/>
      </rPr>
      <t xml:space="preserve">단위</t>
    </r>
    <r>
      <rPr>
        <b val="true"/>
        <i val="true"/>
        <sz val="9"/>
        <color rgb="FFFFFF00"/>
        <rFont val="Arial"/>
        <family val="0"/>
        <charset val="1"/>
      </rPr>
      <t xml:space="preserve">: </t>
    </r>
    <r>
      <rPr>
        <b val="true"/>
        <i val="true"/>
        <sz val="9"/>
        <color rgb="FFFFFF00"/>
        <rFont val="WenQuanYi Zen Hei"/>
        <family val="2"/>
      </rPr>
      <t xml:space="preserve">백만원</t>
    </r>
    <r>
      <rPr>
        <b val="true"/>
        <i val="true"/>
        <sz val="9"/>
        <color rgb="FFFFFF00"/>
        <rFont val="Arial"/>
        <family val="0"/>
        <charset val="1"/>
      </rPr>
      <t xml:space="preserve">)</t>
    </r>
  </si>
  <si>
    <r>
      <rPr>
        <b val="true"/>
        <sz val="9"/>
        <color rgb="FF0000FF"/>
        <rFont val="WenQuanYi Zen Hei"/>
        <family val="2"/>
      </rPr>
      <t xml:space="preserve">③ 레지던스</t>
    </r>
    <r>
      <rPr>
        <b val="true"/>
        <sz val="9"/>
        <color rgb="FF0000FF"/>
        <rFont val="Arial"/>
        <family val="0"/>
        <charset val="1"/>
      </rPr>
      <t xml:space="preserve">·</t>
    </r>
    <r>
      <rPr>
        <b val="true"/>
        <sz val="9"/>
        <color rgb="FF0000FF"/>
        <rFont val="WenQuanYi Zen Hei"/>
        <family val="2"/>
      </rPr>
      <t xml:space="preserve">호텔</t>
    </r>
    <r>
      <rPr>
        <b val="true"/>
        <sz val="9"/>
        <color rgb="FF0000FF"/>
        <rFont val="Arial"/>
        <family val="0"/>
        <charset val="1"/>
      </rPr>
      <t xml:space="preserve">·</t>
    </r>
    <r>
      <rPr>
        <b val="true"/>
        <sz val="9"/>
        <color rgb="FF0000FF"/>
        <rFont val="WenQuanYi Zen Hei"/>
        <family val="2"/>
      </rPr>
      <t xml:space="preserve">오피스</t>
    </r>
    <r>
      <rPr>
        <b val="true"/>
        <sz val="9"/>
        <color rgb="FF0000FF"/>
        <rFont val="Arial"/>
        <family val="0"/>
        <charset val="1"/>
      </rPr>
      <t xml:space="preserve">·</t>
    </r>
    <r>
      <rPr>
        <b val="true"/>
        <sz val="9"/>
        <color rgb="FF0000FF"/>
        <rFont val="WenQuanYi Zen Hei"/>
        <family val="2"/>
      </rPr>
      <t xml:space="preserve">부대시설 </t>
    </r>
    <r>
      <rPr>
        <b val="true"/>
        <sz val="9"/>
        <color rgb="FF0000FF"/>
        <rFont val="Arial"/>
        <family val="0"/>
        <charset val="1"/>
      </rPr>
      <t xml:space="preserve">Vehicle</t>
    </r>
  </si>
  <si>
    <r>
      <rPr>
        <b val="true"/>
        <sz val="12"/>
        <color rgb="FF000000"/>
        <rFont val="Arial"/>
        <family val="0"/>
        <charset val="1"/>
      </rPr>
      <t xml:space="preserve">Run all Macro — 3</t>
    </r>
    <r>
      <rPr>
        <b val="true"/>
        <sz val="12"/>
        <color rgb="FF000000"/>
        <rFont val="WenQuanYi Zen Hei"/>
        <family val="2"/>
      </rPr>
      <t xml:space="preserve">개 시나리오</t>
    </r>
    <r>
      <rPr>
        <b val="true"/>
        <sz val="12"/>
        <color rgb="FF000000"/>
        <rFont val="Arial"/>
        <family val="0"/>
        <charset val="1"/>
      </rPr>
      <t xml:space="preserve">(①</t>
    </r>
    <r>
      <rPr>
        <b val="true"/>
        <sz val="12"/>
        <color rgb="FF000000"/>
        <rFont val="WenQuanYi Zen Hei"/>
        <family val="2"/>
      </rPr>
      <t xml:space="preserve">통합</t>
    </r>
    <r>
      <rPr>
        <b val="true"/>
        <sz val="12"/>
        <color rgb="FF000000"/>
        <rFont val="Arial"/>
        <family val="0"/>
        <charset val="1"/>
      </rPr>
      <t xml:space="preserve">/②</t>
    </r>
    <r>
      <rPr>
        <b val="true"/>
        <sz val="12"/>
        <color rgb="FF000000"/>
        <rFont val="WenQuanYi Zen Hei"/>
        <family val="2"/>
      </rPr>
      <t xml:space="preserve">시니어</t>
    </r>
    <r>
      <rPr>
        <b val="true"/>
        <sz val="12"/>
        <color rgb="FF000000"/>
        <rFont val="Arial"/>
        <family val="0"/>
        <charset val="1"/>
      </rPr>
      <t xml:space="preserve">/③</t>
    </r>
    <r>
      <rPr>
        <b val="true"/>
        <sz val="12"/>
        <color rgb="FF000000"/>
        <rFont val="WenQuanYi Zen Hei"/>
        <family val="2"/>
      </rPr>
      <t xml:space="preserve">기타</t>
    </r>
    <r>
      <rPr>
        <b val="true"/>
        <sz val="12"/>
        <color rgb="FF000000"/>
        <rFont val="Arial"/>
        <family val="0"/>
        <charset val="1"/>
      </rPr>
      <t xml:space="preserve">) </t>
    </r>
    <r>
      <rPr>
        <b val="true"/>
        <sz val="12"/>
        <color rgb="FF000000"/>
        <rFont val="WenQuanYi Zen Hei"/>
        <family val="2"/>
      </rPr>
      <t xml:space="preserve">순환참조 수렴용 </t>
    </r>
    <r>
      <rPr>
        <b val="true"/>
        <sz val="12"/>
        <color rgb="FF000000"/>
        <rFont val="Arial"/>
        <family val="0"/>
        <charset val="1"/>
      </rPr>
      <t xml:space="preserve">VBA</t>
    </r>
  </si>
  <si>
    <r>
      <rPr>
        <sz val="10"/>
        <color rgb="FF000000"/>
        <rFont val="WenQuanYi Zen Hei"/>
        <family val="2"/>
      </rPr>
      <t xml:space="preserve">사용법</t>
    </r>
    <r>
      <rPr>
        <sz val="10"/>
        <color rgb="FF000000"/>
        <rFont val="Arial"/>
        <family val="0"/>
        <charset val="1"/>
      </rPr>
      <t xml:space="preserve">: 1) .xlsm</t>
    </r>
    <r>
      <rPr>
        <sz val="10"/>
        <color rgb="FF000000"/>
        <rFont val="WenQuanYi Zen Hei"/>
        <family val="2"/>
      </rPr>
      <t xml:space="preserve">으로 다른 이름 저장  </t>
    </r>
    <r>
      <rPr>
        <sz val="10"/>
        <color rgb="FF000000"/>
        <rFont val="Arial"/>
        <family val="0"/>
        <charset val="1"/>
      </rPr>
      <t xml:space="preserve">2) Alt+F11 → </t>
    </r>
    <r>
      <rPr>
        <sz val="10"/>
        <color rgb="FF000000"/>
        <rFont val="WenQuanYi Zen Hei"/>
        <family val="2"/>
      </rPr>
      <t xml:space="preserve">삽입 → 모듈  </t>
    </r>
    <r>
      <rPr>
        <sz val="10"/>
        <color rgb="FF000000"/>
        <rFont val="Arial"/>
        <family val="0"/>
        <charset val="1"/>
      </rPr>
      <t xml:space="preserve">3) </t>
    </r>
    <r>
      <rPr>
        <sz val="10"/>
        <color rgb="FF000000"/>
        <rFont val="WenQuanYi Zen Hei"/>
        <family val="2"/>
      </rPr>
      <t xml:space="preserve">아래 코드 붙여넣기  </t>
    </r>
    <r>
      <rPr>
        <sz val="10"/>
        <color rgb="FF000000"/>
        <rFont val="Arial"/>
        <family val="0"/>
        <charset val="1"/>
      </rPr>
      <t xml:space="preserve">4) Alt+F8 → RunAllMacro </t>
    </r>
    <r>
      <rPr>
        <sz val="10"/>
        <color rgb="FF000000"/>
        <rFont val="WenQuanYi Zen Hei"/>
        <family val="2"/>
      </rPr>
      <t xml:space="preserve">실행</t>
    </r>
  </si>
  <si>
    <r>
      <rPr>
        <sz val="10"/>
        <color rgb="FF000000"/>
        <rFont val="WenQuanYi Zen Hei"/>
        <family val="2"/>
      </rPr>
      <t xml:space="preserve">        각 가정시트 </t>
    </r>
    <r>
      <rPr>
        <sz val="10"/>
        <color rgb="FF000000"/>
        <rFont val="Arial"/>
        <family val="0"/>
        <charset val="1"/>
      </rPr>
      <t xml:space="preserve">Macro </t>
    </r>
    <r>
      <rPr>
        <sz val="10"/>
        <color rgb="FF000000"/>
        <rFont val="WenQuanYi Zen Hei"/>
        <family val="2"/>
      </rPr>
      <t xml:space="preserve">표의 </t>
    </r>
    <r>
      <rPr>
        <sz val="10"/>
        <color rgb="FF000000"/>
        <rFont val="Arial"/>
        <family val="0"/>
        <charset val="1"/>
      </rPr>
      <t xml:space="preserve">Copy </t>
    </r>
    <r>
      <rPr>
        <sz val="10"/>
        <color rgb="FF000000"/>
        <rFont val="WenQuanYi Zen Hei"/>
        <family val="2"/>
      </rPr>
      <t xml:space="preserve">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계산값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을 </t>
    </r>
    <r>
      <rPr>
        <sz val="10"/>
        <color rgb="FF000000"/>
        <rFont val="Arial"/>
        <family val="0"/>
        <charset val="1"/>
      </rPr>
      <t xml:space="preserve">Paste </t>
    </r>
    <r>
      <rPr>
        <sz val="10"/>
        <color rgb="FF000000"/>
        <rFont val="WenQuanYi Zen Hei"/>
        <family val="2"/>
      </rPr>
      <t xml:space="preserve">열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입력값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로 반복 복사 → </t>
    </r>
    <r>
      <rPr>
        <sz val="10"/>
        <color rgb="FF000000"/>
        <rFont val="Arial"/>
        <family val="0"/>
        <charset val="1"/>
      </rPr>
      <t xml:space="preserve">Difference 0 </t>
    </r>
    <r>
      <rPr>
        <sz val="10"/>
        <color rgb="FF000000"/>
        <rFont val="WenQuanYi Zen Hei"/>
        <family val="2"/>
      </rPr>
      <t xml:space="preserve">수렴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</si>
  <si>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WenQuanYi Zen Hei"/>
        <family val="2"/>
      </rPr>
      <t xml:space="preserve">        가정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포함여부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단가 등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을 바꾼 뒤 가정시트 상단 </t>
    </r>
    <r>
      <rPr>
        <sz val="10"/>
        <color rgb="FF000000"/>
        <rFont val="Arial"/>
        <family val="0"/>
        <charset val="1"/>
      </rPr>
      <t xml:space="preserve">Macro Check</t>
    </r>
    <r>
      <rPr>
        <sz val="10"/>
        <color rgb="FF000000"/>
        <rFont val="WenQuanYi Zen Hei"/>
        <family val="2"/>
      </rPr>
      <t xml:space="preserve">가 </t>
    </r>
    <r>
      <rPr>
        <sz val="10"/>
        <color rgb="FF000000"/>
        <rFont val="Arial"/>
        <family val="0"/>
        <charset val="1"/>
      </rPr>
      <t xml:space="preserve">"Run Macro"</t>
    </r>
    <r>
      <rPr>
        <sz val="10"/>
        <color rgb="FF000000"/>
        <rFont val="WenQuanYi Zen Hei"/>
        <family val="2"/>
      </rPr>
      <t xml:space="preserve">로 바뀌면 실행하세요</t>
    </r>
    <r>
      <rPr>
        <sz val="10"/>
        <color rgb="FF000000"/>
        <rFont val="Arial"/>
        <family val="0"/>
        <charset val="1"/>
      </rPr>
      <t xml:space="preserve">.</t>
    </r>
  </si>
  <si>
    <t xml:space="preserve">Sub RunAllMacro()</t>
  </si>
  <si>
    <t xml:space="preserve">    Dim tags As Variant, t As Variant, i As Integer, d As Double</t>
  </si>
  <si>
    <t xml:space="preserve">    tags = Array("TOT", "SEN", "OTH")</t>
  </si>
  <si>
    <t xml:space="preserve">    Application.ScreenUpdating = False</t>
  </si>
  <si>
    <t xml:space="preserve">    For i = 1 To 50</t>
  </si>
  <si>
    <t xml:space="preserve">        Application.Calculate</t>
  </si>
  <si>
    <t xml:space="preserve">        d = 0</t>
  </si>
  <si>
    <t xml:space="preserve">        For Each t In tags</t>
  </si>
  <si>
    <t xml:space="preserve">            Range("Paste_" &amp; t).Value = Range("Copy_" &amp; t).Value</t>
  </si>
  <si>
    <t xml:space="preserve">        Next t</t>
  </si>
  <si>
    <t xml:space="preserve">            d = d + Application.Evaluate("SUMPRODUCT(ABS(Diff_" &amp; t &amp; "))")</t>
  </si>
  <si>
    <t xml:space="preserve">        If d &lt; 0.001 Then Exit For</t>
  </si>
  <si>
    <t xml:space="preserve">    Next i</t>
  </si>
  <si>
    <t xml:space="preserve">    Application.ScreenUpdating = True</t>
  </si>
  <si>
    <r>
      <rPr>
        <sz val="10"/>
        <color rgb="FF1F3864"/>
        <rFont val="Arial"/>
        <family val="0"/>
        <charset val="1"/>
      </rPr>
      <t xml:space="preserve">    MsgBox "</t>
    </r>
    <r>
      <rPr>
        <sz val="10"/>
        <color rgb="FF1F3864"/>
        <rFont val="WenQuanYi Zen Hei"/>
        <family val="2"/>
      </rPr>
      <t xml:space="preserve">수렴 완료 </t>
    </r>
    <r>
      <rPr>
        <sz val="10"/>
        <color rgb="FF1F3864"/>
        <rFont val="Arial"/>
        <family val="0"/>
        <charset val="1"/>
      </rPr>
      <t xml:space="preserve">(" &amp; i &amp; "</t>
    </r>
    <r>
      <rPr>
        <sz val="10"/>
        <color rgb="FF1F3864"/>
        <rFont val="WenQuanYi Zen Hei"/>
        <family val="2"/>
      </rPr>
      <t xml:space="preserve">회 반복</t>
    </r>
    <r>
      <rPr>
        <sz val="10"/>
        <color rgb="FF1F3864"/>
        <rFont val="Arial"/>
        <family val="0"/>
        <charset val="1"/>
      </rPr>
      <t xml:space="preserve">)"</t>
    </r>
  </si>
  <si>
    <t xml:space="preserve">End Sub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</si>
</sst>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#,##0.00\평;\(#,##0.00&quot;평)&quot;;\-"/>
    <numFmt numFmtId="166" formatCode="0.00%;\(0.00%\);\-"/>
    <numFmt numFmtId="167" formatCode="#,##0;\(#,##0\);\-"/>
    <numFmt numFmtId="168" formatCode="0.00\x"/>
    <numFmt numFmtId="169" formatCode="0.00%\p;\-0.00%\p;\-"/>
    <numFmt numFmtId="170" formatCode="yyyy\-mm"/>
    <numFmt numFmtId="171" formatCode="yyyy&quot;년 &quot;m\월"/>
    <numFmt numFmtId="172" formatCode="0&quot;개월&quot;"/>
    <numFmt numFmtId="173" formatCode="0.00\년"/>
    <numFmt numFmtId="174" formatCode="0"/>
    <numFmt numFmtId="175" formatCode="0.0%;\(0.0%\);\-"/>
    <numFmt numFmtId="176" formatCode="0.0000"/>
    <numFmt numFmtId="177" formatCode="#,##0.00\㎡;\(#,##0.00&quot;㎡)&quot;;\-"/>
    <numFmt numFmtId="178" formatCode="General"/>
    <numFmt numFmtId="179" formatCode="yyyy\-mm\-dd"/>
    <numFmt numFmtId="180" formatCode="0&quot;년차&quot;"/>
    <numFmt numFmtId="181" formatCode="#,##0&quot;천원/평&quot;"/>
    <numFmt numFmtId="182" formatCode="#,##0&quot;백만원/실&quot;"/>
    <numFmt numFmtId="183" formatCode="0;\-0;\-"/>
    <numFmt numFmtId="184" formatCode="#,##0.00&quot;천원/평&quot;"/>
    <numFmt numFmtId="185" formatCode="#,##0.0;\(#,##0.0\);\-"/>
    <numFmt numFmtId="186" formatCode="0%"/>
    <numFmt numFmtId="187" formatCode="#,##0&quot; 백만원&quot;"/>
    <numFmt numFmtId="188" formatCode="0.0000%"/>
    <numFmt numFmtId="189" formatCode="#,##0&quot;백만원&quot;"/>
    <numFmt numFmtId="190" formatCode="0;\-0;&quot;&quot;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WenQuanYi Zen Hei"/>
      <family val="2"/>
    </font>
    <font>
      <b val="true"/>
      <sz val="12"/>
      <color rgb="FFFFFFFF"/>
      <name val="Arial"/>
      <family val="0"/>
      <charset val="1"/>
    </font>
    <font>
      <i val="true"/>
      <sz val="9"/>
      <color rgb="FFFFFFFF"/>
      <name val="WenQuanYi Zen Hei"/>
      <family val="2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WenQuanYi Zen Hei"/>
      <family val="2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7F7F7F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00"/>
      <name val="WenQuanYi Zen Hei"/>
      <family val="2"/>
    </font>
    <font>
      <sz val="9"/>
      <color rgb="FF7F7F7F"/>
      <name val="WenQuanYi Zen Hei"/>
      <family val="2"/>
    </font>
    <font>
      <b val="true"/>
      <sz val="9"/>
      <color rgb="FF000000"/>
      <name val="Arial"/>
      <family val="0"/>
      <charset val="1"/>
    </font>
    <font>
      <i val="true"/>
      <sz val="9"/>
      <color rgb="FF595959"/>
      <name val="WenQuanYi Zen Hei"/>
      <family val="2"/>
    </font>
    <font>
      <i val="true"/>
      <sz val="9"/>
      <color rgb="FF595959"/>
      <name val="Arial"/>
      <family val="0"/>
      <charset val="1"/>
    </font>
    <font>
      <b val="true"/>
      <sz val="9"/>
      <color rgb="FF000000"/>
      <name val="WenQuanYi Zen Hei"/>
      <family val="2"/>
    </font>
    <font>
      <sz val="9"/>
      <color rgb="FF404040"/>
      <name val="Arial"/>
      <family val="0"/>
      <charset val="1"/>
    </font>
    <font>
      <sz val="9"/>
      <color rgb="FF404040"/>
      <name val="WenQuanYi Zen Hei"/>
      <family val="2"/>
    </font>
    <font>
      <sz val="9"/>
      <color rgb="FF0000FF"/>
      <name val="WenQuanYi Zen Hei"/>
      <family val="2"/>
    </font>
    <font>
      <sz val="9"/>
      <color rgb="FFFFFFFF"/>
      <name val="WenQuanYi Zen Hei"/>
      <family val="2"/>
    </font>
    <font>
      <sz val="9"/>
      <color rgb="FFFFFFFF"/>
      <name val="Arial"/>
      <family val="0"/>
      <charset val="1"/>
    </font>
    <font>
      <b val="true"/>
      <i val="true"/>
      <sz val="9"/>
      <color rgb="FFFFFF00"/>
      <name val="WenQuanYi Zen Hei"/>
      <family val="2"/>
    </font>
    <font>
      <b val="true"/>
      <i val="true"/>
      <sz val="9"/>
      <color rgb="FFFFFF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9"/>
      <color rgb="FF008000"/>
      <name val="WenQuanYi Zen Hei"/>
      <family val="2"/>
    </font>
    <font>
      <sz val="9"/>
      <color rgb="FF0000FF"/>
      <name val="Arial"/>
      <family val="0"/>
      <charset val="1"/>
    </font>
    <font>
      <b val="true"/>
      <i val="true"/>
      <sz val="9"/>
      <color rgb="FFFFFFFF"/>
      <name val="WenQuanYi Zen Hei"/>
      <family val="2"/>
    </font>
    <font>
      <b val="true"/>
      <i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0000FF"/>
      <name val="WenQuanYi Zen Hei"/>
      <family val="2"/>
    </font>
    <font>
      <b val="true"/>
      <sz val="9"/>
      <color rgb="FF0000FF"/>
      <name val="Arial"/>
      <family val="0"/>
      <charset val="1"/>
    </font>
    <font>
      <i val="true"/>
      <sz val="9"/>
      <color rgb="FF7F7F7F"/>
      <name val="WenQuanYi Zen Hei"/>
      <family val="2"/>
    </font>
    <font>
      <i val="true"/>
      <sz val="9"/>
      <color rgb="FF7F7F7F"/>
      <name val="Arial"/>
      <family val="0"/>
      <charset val="1"/>
    </font>
    <font>
      <b val="true"/>
      <sz val="9"/>
      <color rgb="FFFF0000"/>
      <name val="Arial"/>
      <family val="0"/>
      <charset val="1"/>
    </font>
    <font>
      <i val="true"/>
      <sz val="9"/>
      <color rgb="FF000000"/>
      <name val="WenQuanYi Zen Hei"/>
      <family val="2"/>
    </font>
    <font>
      <sz val="9"/>
      <color rgb="FFFF0000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000000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sz val="10"/>
      <color rgb="FF1F3864"/>
      <name val="Arial"/>
      <family val="0"/>
      <charset val="1"/>
    </font>
    <font>
      <sz val="10"/>
      <color rgb="FF1F3864"/>
      <name val="WenQuanYi Zen Hei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808080"/>
        <bgColor rgb="FF7F7F7F"/>
      </patternFill>
    </fill>
    <fill>
      <patternFill patternType="solid">
        <fgColor rgb="FFE7E6E6"/>
        <bgColor rgb="FFDCE6F1"/>
      </patternFill>
    </fill>
    <fill>
      <patternFill patternType="solid">
        <fgColor rgb="FFDCE6F1"/>
        <bgColor rgb="FFD9E1F2"/>
      </patternFill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CE6F1"/>
      </patternFill>
    </fill>
    <fill>
      <patternFill patternType="solid">
        <fgColor rgb="FFE2EFDA"/>
        <bgColor rgb="FFE7E6E6"/>
      </patternFill>
    </fill>
    <fill>
      <patternFill patternType="solid">
        <fgColor rgb="FFD9E1F2"/>
        <bgColor rgb="FFDCE6F1"/>
      </patternFill>
    </fill>
    <fill>
      <patternFill patternType="solid">
        <fgColor rgb="FFBFBFBF"/>
        <bgColor rgb="FFA6A6A6"/>
      </patternFill>
    </fill>
    <fill>
      <patternFill patternType="solid">
        <fgColor rgb="FF7F7F7F"/>
        <bgColor rgb="FF808080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A6A6A6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hair">
        <color rgb="FFA6A6A6"/>
      </top>
      <bottom/>
      <diagonal/>
    </border>
    <border diagonalUp="false" diagonalDown="false">
      <left/>
      <right/>
      <top style="hair">
        <color rgb="FFA6A6A6"/>
      </top>
      <bottom/>
      <diagonal/>
    </border>
    <border diagonalUp="false" diagonalDown="false">
      <left/>
      <right style="thin"/>
      <top style="hair">
        <color rgb="FFA6A6A6"/>
      </top>
      <bottom/>
      <diagonal/>
    </border>
    <border diagonalUp="false" diagonalDown="false">
      <left style="thin"/>
      <right/>
      <top style="hair">
        <color rgb="FFA6A6A6"/>
      </top>
      <bottom style="thin"/>
      <diagonal/>
    </border>
    <border diagonalUp="false" diagonalDown="false">
      <left/>
      <right/>
      <top style="hair">
        <color rgb="FFA6A6A6"/>
      </top>
      <bottom style="thin"/>
      <diagonal/>
    </border>
    <border diagonalUp="false" diagonalDown="false">
      <left/>
      <right style="thin"/>
      <top style="hair">
        <color rgb="FFA6A6A6"/>
      </top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8" fillId="5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8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8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8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1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1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8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8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8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8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8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1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8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28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28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0" fillId="1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28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5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1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5" fillId="1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28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28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E7E6E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F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8" min="4" style="0" width="16"/>
    <col collapsed="false" customWidth="true" hidden="false" outlineLevel="0" max="9" min="9" style="0" width="60"/>
    <col collapsed="false" customWidth="true" hidden="false" outlineLevel="0" max="136" min="10" style="0" width="9.51"/>
  </cols>
  <sheetData>
    <row r="1" customFormat="false" ht="16.4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5" t="s">
        <v>7</v>
      </c>
      <c r="H4" s="4" t="s">
        <v>8</v>
      </c>
      <c r="I4" s="4" t="s">
        <v>9</v>
      </c>
    </row>
    <row r="5" customFormat="false" ht="15" hidden="false" customHeight="false" outlineLevel="0" collapsed="false">
      <c r="B5" s="6" t="s">
        <v>10</v>
      </c>
      <c r="C5" s="7"/>
      <c r="D5" s="7"/>
      <c r="E5" s="7"/>
      <c r="F5" s="7"/>
      <c r="G5" s="7"/>
      <c r="H5" s="7"/>
      <c r="I5" s="7"/>
    </row>
    <row r="6" customFormat="false" ht="22.35" hidden="false" customHeight="false" outlineLevel="0" collapsed="false">
      <c r="B6" s="8" t="s">
        <v>11</v>
      </c>
      <c r="C6" s="9"/>
      <c r="D6" s="10" t="str">
        <f aca="false">①통합_가정!C3&amp;" / "&amp;①통합_가정!D3&amp;" / "&amp;①통합_가정!E3&amp;" / "&amp;①통합_가정!F3</f>
        <v>OK / OK / OK / OK</v>
      </c>
      <c r="E6" s="10" t="str">
        <f aca="false">②시니어_가정!C3&amp;" / "&amp;②시니어_가정!D3&amp;" / "&amp;②시니어_가정!E3&amp;" / "&amp;②시니어_가정!F3</f>
        <v>Error / OK / Shortage / OK</v>
      </c>
      <c r="F6" s="10" t="str">
        <f aca="false">③기타_가정!C3&amp;" / "&amp;③기타_가정!D3&amp;" / "&amp;③기타_가정!E3&amp;" / "&amp;③기타_가정!F3</f>
        <v>OK / OK / OK / OK</v>
      </c>
      <c r="G6" s="11"/>
      <c r="H6" s="11"/>
      <c r="I6" s="11"/>
    </row>
    <row r="7" customFormat="false" ht="15" hidden="false" customHeight="false" outlineLevel="0" collapsed="false">
      <c r="B7" s="6" t="s">
        <v>12</v>
      </c>
      <c r="C7" s="7"/>
      <c r="D7" s="7"/>
      <c r="E7" s="7"/>
      <c r="F7" s="7"/>
      <c r="G7" s="7"/>
      <c r="H7" s="7"/>
      <c r="I7" s="7"/>
    </row>
    <row r="8" customFormat="false" ht="15" hidden="false" customHeight="false" outlineLevel="0" collapsed="false">
      <c r="B8" s="8" t="s">
        <v>13</v>
      </c>
      <c r="C8" s="12" t="s">
        <v>14</v>
      </c>
      <c r="D8" s="13" t="n">
        <f aca="false">①통합_가정!$I$39</f>
        <v>81811.424475</v>
      </c>
      <c r="E8" s="13" t="n">
        <f aca="false">②시니어_가정!$I$39</f>
        <v>23008.1742</v>
      </c>
      <c r="F8" s="13" t="n">
        <f aca="false">③기타_가정!$I$39</f>
        <v>58803.250275</v>
      </c>
      <c r="G8" s="14" t="n">
        <f aca="false">E8+F8</f>
        <v>81811.424475</v>
      </c>
      <c r="H8" s="15" t="n">
        <f aca="false">G8-D8</f>
        <v>0</v>
      </c>
      <c r="I8" s="11"/>
    </row>
    <row r="9" customFormat="false" ht="15" hidden="false" customHeight="false" outlineLevel="0" collapsed="false">
      <c r="B9" s="16" t="s">
        <v>15</v>
      </c>
      <c r="C9" s="9" t="s">
        <v>16</v>
      </c>
      <c r="D9" s="17" t="n">
        <f aca="false">①통합_가정!$I$42</f>
        <v>1</v>
      </c>
      <c r="E9" s="17" t="n">
        <f aca="false">②시니어_가정!$I$42</f>
        <v>0.281234245065991</v>
      </c>
      <c r="F9" s="17" t="n">
        <f aca="false">③기타_가정!$I$42</f>
        <v>0.718765754934009</v>
      </c>
      <c r="G9" s="18" t="n">
        <f aca="false">E9+F9</f>
        <v>1</v>
      </c>
      <c r="H9" s="19" t="n">
        <f aca="false">G9-D9</f>
        <v>0</v>
      </c>
      <c r="I9" s="11"/>
    </row>
    <row r="10" customFormat="false" ht="15" hidden="false" customHeight="false" outlineLevel="0" collapsed="false">
      <c r="B10" s="8" t="s">
        <v>17</v>
      </c>
      <c r="C10" s="9" t="s">
        <v>16</v>
      </c>
      <c r="D10" s="17" t="n">
        <f aca="false">①통합_가정!$N$355</f>
        <v>0.718765754934009</v>
      </c>
      <c r="E10" s="17" t="n">
        <f aca="false">②시니어_가정!$N$355</f>
        <v>0</v>
      </c>
      <c r="F10" s="17" t="n">
        <f aca="false">③기타_가정!$N$355</f>
        <v>1</v>
      </c>
      <c r="G10" s="11"/>
      <c r="H10" s="11"/>
      <c r="I10" s="20" t="s">
        <v>18</v>
      </c>
    </row>
    <row r="11" customFormat="false" ht="15" hidden="false" customHeight="false" outlineLevel="0" collapsed="false">
      <c r="B11" s="6" t="s">
        <v>19</v>
      </c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B12" s="16" t="s">
        <v>20</v>
      </c>
      <c r="C12" s="12" t="s">
        <v>21</v>
      </c>
      <c r="D12" s="21" t="n">
        <f aca="false">①통합_가정!$R$363</f>
        <v>237644</v>
      </c>
      <c r="E12" s="21" t="n">
        <f aca="false">②시니어_가정!$R$363</f>
        <v>66833.6309344625</v>
      </c>
      <c r="F12" s="21" t="n">
        <f aca="false">③기타_가정!$R$363</f>
        <v>170810.369065538</v>
      </c>
      <c r="G12" s="22" t="n">
        <f aca="false">E12+F12</f>
        <v>237644</v>
      </c>
      <c r="H12" s="23" t="n">
        <f aca="false">G12-D12</f>
        <v>0</v>
      </c>
      <c r="I12" s="11"/>
    </row>
    <row r="13" customFormat="false" ht="15" hidden="false" customHeight="false" outlineLevel="0" collapsed="false">
      <c r="B13" s="16" t="s">
        <v>22</v>
      </c>
      <c r="C13" s="12" t="s">
        <v>21</v>
      </c>
      <c r="D13" s="21" t="n">
        <f aca="false">①통합_가정!$R$367</f>
        <v>614293.139731204</v>
      </c>
      <c r="E13" s="21" t="n">
        <f aca="false">②시니어_가정!$R$367</f>
        <v>191988.189361247</v>
      </c>
      <c r="F13" s="21" t="n">
        <f aca="false">③기타_가정!$R$367</f>
        <v>422304.950369957</v>
      </c>
      <c r="G13" s="22" t="n">
        <f aca="false">E13+F13</f>
        <v>614293.139731204</v>
      </c>
      <c r="H13" s="23" t="n">
        <f aca="false">G13-D13</f>
        <v>0</v>
      </c>
      <c r="I13" s="24" t="s">
        <v>23</v>
      </c>
    </row>
    <row r="14" customFormat="false" ht="15" hidden="false" customHeight="false" outlineLevel="0" collapsed="false">
      <c r="B14" s="16" t="s">
        <v>24</v>
      </c>
      <c r="C14" s="12" t="s">
        <v>21</v>
      </c>
      <c r="D14" s="21" t="n">
        <f aca="false">①통합_가정!$R$381</f>
        <v>476391.087008823</v>
      </c>
      <c r="E14" s="21" t="n">
        <f aca="false">②시니어_가정!$R$381</f>
        <v>118414.719537528</v>
      </c>
      <c r="F14" s="21" t="n">
        <f aca="false">③기타_가정!$R$381</f>
        <v>357976.367471295</v>
      </c>
      <c r="G14" s="22" t="n">
        <f aca="false">E14+F14</f>
        <v>476391.087008823</v>
      </c>
      <c r="H14" s="23" t="n">
        <f aca="false">G14-D14</f>
        <v>0</v>
      </c>
      <c r="I14" s="24" t="s">
        <v>23</v>
      </c>
    </row>
    <row r="15" customFormat="false" ht="15" hidden="false" customHeight="false" outlineLevel="0" collapsed="false">
      <c r="B15" s="16" t="s">
        <v>25</v>
      </c>
      <c r="C15" s="12" t="s">
        <v>21</v>
      </c>
      <c r="D15" s="21" t="n">
        <f aca="false">①통합_가정!$R$386</f>
        <v>30843.702735198</v>
      </c>
      <c r="E15" s="21" t="n">
        <f aca="false">②시니어_가정!$R$386</f>
        <v>11000</v>
      </c>
      <c r="F15" s="21" t="n">
        <f aca="false">③기타_가정!$R$386</f>
        <v>20000</v>
      </c>
      <c r="G15" s="22" t="n">
        <f aca="false">E15+F15</f>
        <v>31000</v>
      </c>
      <c r="H15" s="23" t="n">
        <f aca="false">G15-D15</f>
        <v>156.297264802026</v>
      </c>
      <c r="I15" s="11"/>
    </row>
    <row r="16" customFormat="false" ht="15" hidden="false" customHeight="false" outlineLevel="0" collapsed="false">
      <c r="B16" s="16" t="s">
        <v>26</v>
      </c>
      <c r="C16" s="12" t="s">
        <v>21</v>
      </c>
      <c r="D16" s="21" t="n">
        <f aca="false">①통합_가정!$R$389</f>
        <v>29598.3136</v>
      </c>
      <c r="E16" s="21" t="n">
        <f aca="false">②시니어_가정!$R$389</f>
        <v>6542.09818376145</v>
      </c>
      <c r="F16" s="21" t="n">
        <f aca="false">③기타_가정!$R$389</f>
        <v>23056.2154162386</v>
      </c>
      <c r="G16" s="22" t="n">
        <f aca="false">E16+F16</f>
        <v>29598.3136</v>
      </c>
      <c r="H16" s="23" t="n">
        <f aca="false">G16-D16</f>
        <v>0</v>
      </c>
      <c r="I16" s="11"/>
    </row>
    <row r="17" customFormat="false" ht="15" hidden="false" customHeight="false" outlineLevel="0" collapsed="false">
      <c r="B17" s="16" t="s">
        <v>27</v>
      </c>
      <c r="C17" s="12" t="s">
        <v>21</v>
      </c>
      <c r="D17" s="21" t="n">
        <f aca="false">①통합_가정!$R$401</f>
        <v>95505.682335</v>
      </c>
      <c r="E17" s="21" t="n">
        <f aca="false">②시니어_가정!$R$401</f>
        <v>11165.567323</v>
      </c>
      <c r="F17" s="21" t="n">
        <f aca="false">③기타_가정!$R$401</f>
        <v>88773.504054</v>
      </c>
      <c r="G17" s="22" t="n">
        <f aca="false">E17+F17</f>
        <v>99939.071377</v>
      </c>
      <c r="H17" s="23" t="n">
        <f aca="false">G17-D17</f>
        <v>4433.38904199998</v>
      </c>
      <c r="I17" s="20" t="s">
        <v>28</v>
      </c>
    </row>
    <row r="18" customFormat="false" ht="15" hidden="false" customHeight="false" outlineLevel="0" collapsed="false">
      <c r="B18" s="16" t="s">
        <v>29</v>
      </c>
      <c r="C18" s="12" t="s">
        <v>21</v>
      </c>
      <c r="D18" s="21" t="n">
        <f aca="false">①통합_가정!$R$412</f>
        <v>12299.9712147577</v>
      </c>
      <c r="E18" s="21" t="n">
        <f aca="false">②시니어_가정!$R$412</f>
        <v>8331.72193142708</v>
      </c>
      <c r="F18" s="21" t="n">
        <f aca="false">③기타_가정!$R$412</f>
        <v>10315.6797948604</v>
      </c>
      <c r="G18" s="22" t="n">
        <f aca="false">E18+F18</f>
        <v>18647.4017262875</v>
      </c>
      <c r="H18" s="23" t="n">
        <f aca="false">G18-D18</f>
        <v>6347.43051152972</v>
      </c>
      <c r="I18" s="20" t="s">
        <v>30</v>
      </c>
    </row>
    <row r="19" customFormat="false" ht="15" hidden="false" customHeight="false" outlineLevel="0" collapsed="false">
      <c r="B19" s="25" t="s">
        <v>31</v>
      </c>
      <c r="C19" s="12" t="s">
        <v>21</v>
      </c>
      <c r="D19" s="21" t="n">
        <f aca="false">①통합_가정!$R$413</f>
        <v>1496575.89662498</v>
      </c>
      <c r="E19" s="21" t="n">
        <f aca="false">②시니어_가정!$R$413</f>
        <v>414275.927271426</v>
      </c>
      <c r="F19" s="21" t="n">
        <f aca="false">③기타_가정!$R$413</f>
        <v>1093237.08617189</v>
      </c>
      <c r="G19" s="22" t="n">
        <f aca="false">E19+F19</f>
        <v>1507513.01344331</v>
      </c>
      <c r="H19" s="23" t="n">
        <f aca="false">G19-D19</f>
        <v>10937.1168183316</v>
      </c>
      <c r="I19" s="11"/>
    </row>
    <row r="20" customFormat="false" ht="15" hidden="false" customHeight="false" outlineLevel="0" collapsed="false">
      <c r="B20" s="6" t="s">
        <v>32</v>
      </c>
      <c r="C20" s="7"/>
      <c r="D20" s="7"/>
      <c r="E20" s="7"/>
      <c r="F20" s="7"/>
      <c r="G20" s="7"/>
      <c r="H20" s="7"/>
      <c r="I20" s="7"/>
    </row>
    <row r="21" customFormat="false" ht="15" hidden="false" customHeight="false" outlineLevel="0" collapsed="false">
      <c r="B21" s="16" t="s">
        <v>33</v>
      </c>
      <c r="C21" s="12" t="s">
        <v>21</v>
      </c>
      <c r="D21" s="21" t="n">
        <f aca="false">①통합_가정!$E$434</f>
        <v>1436891.92982787</v>
      </c>
      <c r="E21" s="21" t="n">
        <f aca="false">②시니어_가정!$E$434</f>
        <v>396822.455511313</v>
      </c>
      <c r="F21" s="21" t="n">
        <f aca="false">③기타_가정!$E$434</f>
        <v>1051006.59113489</v>
      </c>
      <c r="G21" s="22" t="n">
        <f aca="false">E21+F21</f>
        <v>1447829.04664621</v>
      </c>
      <c r="H21" s="23" t="n">
        <f aca="false">G21-D21</f>
        <v>10937.1168183316</v>
      </c>
      <c r="I21" s="11"/>
    </row>
    <row r="22" customFormat="false" ht="15" hidden="false" customHeight="false" outlineLevel="0" collapsed="false">
      <c r="B22" s="16" t="s">
        <v>34</v>
      </c>
      <c r="C22" s="12" t="s">
        <v>21</v>
      </c>
      <c r="D22" s="21" t="n">
        <f aca="false">①통합_가정!$E$438</f>
        <v>287378.385965575</v>
      </c>
      <c r="E22" s="21" t="n">
        <f aca="false">②시니어_가정!$E$438</f>
        <v>79364.4911022626</v>
      </c>
      <c r="F22" s="21" t="n">
        <f aca="false">③기타_가정!$E$438</f>
        <v>210201.318226978</v>
      </c>
      <c r="G22" s="22" t="n">
        <f aca="false">E22+F22</f>
        <v>289565.809329241</v>
      </c>
      <c r="H22" s="23" t="n">
        <f aca="false">G22-D22</f>
        <v>2187.42336366634</v>
      </c>
      <c r="I22" s="11"/>
    </row>
    <row r="23" customFormat="false" ht="15" hidden="false" customHeight="false" outlineLevel="0" collapsed="false">
      <c r="B23" s="16" t="s">
        <v>35</v>
      </c>
      <c r="C23" s="12" t="s">
        <v>21</v>
      </c>
      <c r="D23" s="21" t="n">
        <f aca="false">①통합_가정!$E$444</f>
        <v>201164.870175902</v>
      </c>
      <c r="E23" s="21" t="n">
        <f aca="false">②시니어_가정!$E$444</f>
        <v>55555.1437715838</v>
      </c>
      <c r="F23" s="21" t="n">
        <f aca="false">③기타_가정!$E$444</f>
        <v>147140.922758885</v>
      </c>
      <c r="G23" s="22" t="n">
        <f aca="false">E23+F23</f>
        <v>202696.066530469</v>
      </c>
      <c r="H23" s="23" t="n">
        <f aca="false">G23-D23</f>
        <v>1531.19635456643</v>
      </c>
      <c r="I23" s="11"/>
    </row>
    <row r="24" customFormat="false" ht="15" hidden="false" customHeight="false" outlineLevel="0" collapsed="false">
      <c r="B24" s="16" t="s">
        <v>36</v>
      </c>
      <c r="C24" s="12" t="s">
        <v>21</v>
      </c>
      <c r="D24" s="21" t="n">
        <f aca="false">①통합_가정!$E$450</f>
        <v>86213.5157896724</v>
      </c>
      <c r="E24" s="21" t="n">
        <f aca="false">②시니어_가정!$E$450</f>
        <v>23809.3473306788</v>
      </c>
      <c r="F24" s="21" t="n">
        <f aca="false">③기타_가정!$E$450</f>
        <v>63060.3954680936</v>
      </c>
      <c r="G24" s="22" t="n">
        <f aca="false">E24+F24</f>
        <v>86869.7427987723</v>
      </c>
      <c r="H24" s="23" t="n">
        <f aca="false">G24-D24</f>
        <v>656.227009099894</v>
      </c>
      <c r="I24" s="11"/>
    </row>
    <row r="25" customFormat="false" ht="15" hidden="false" customHeight="false" outlineLevel="0" collapsed="false">
      <c r="B25" s="8" t="s">
        <v>37</v>
      </c>
      <c r="C25" s="12" t="s">
        <v>21</v>
      </c>
      <c r="D25" s="21" t="n">
        <f aca="false">①통합_가정!$E$451</f>
        <v>1149513.5438623</v>
      </c>
      <c r="E25" s="21" t="n">
        <f aca="false">②시니어_가정!$E$451</f>
        <v>317457.96440905</v>
      </c>
      <c r="F25" s="21" t="n">
        <f aca="false">③기타_가정!$E$451</f>
        <v>840805.272907914</v>
      </c>
      <c r="G25" s="22" t="n">
        <f aca="false">E25+F25</f>
        <v>1158263.23731696</v>
      </c>
      <c r="H25" s="23" t="n">
        <f aca="false">G25-D25</f>
        <v>8749.69345466537</v>
      </c>
      <c r="I25" s="11"/>
    </row>
    <row r="26" customFormat="false" ht="15" hidden="false" customHeight="false" outlineLevel="0" collapsed="false">
      <c r="B26" s="8" t="s">
        <v>38</v>
      </c>
      <c r="C26" s="12" t="s">
        <v>21</v>
      </c>
      <c r="D26" s="21" t="n">
        <f aca="false">①통합_가정!$E$486</f>
        <v>632619.287228057</v>
      </c>
      <c r="E26" s="21" t="n">
        <f aca="false">②시니어_가정!$E$486</f>
        <v>27207.3003100127</v>
      </c>
      <c r="F26" s="21" t="n">
        <f aca="false">③기타_가정!$E$486</f>
        <v>637282.274666071</v>
      </c>
      <c r="G26" s="22" t="n">
        <f aca="false">E26+F26</f>
        <v>664489.574976084</v>
      </c>
      <c r="H26" s="23" t="n">
        <f aca="false">G26-D26</f>
        <v>31870.2877480267</v>
      </c>
      <c r="I26" s="11"/>
    </row>
    <row r="27" customFormat="false" ht="15" hidden="false" customHeight="false" outlineLevel="0" collapsed="false">
      <c r="B27" s="16" t="s">
        <v>39</v>
      </c>
      <c r="C27" s="12" t="s">
        <v>21</v>
      </c>
      <c r="D27" s="21" t="n">
        <f aca="false">①통합_가정!$F$490+①통합_가정!$F$491</f>
        <v>476421.12</v>
      </c>
      <c r="E27" s="21" t="n">
        <f aca="false">②시니어_가정!$F$490+②시니어_가정!$F$491</f>
        <v>302400</v>
      </c>
      <c r="F27" s="21" t="n">
        <f aca="false">③기타_가정!$F$490+③기타_가정!$F$491</f>
        <v>174021.12</v>
      </c>
      <c r="G27" s="22" t="n">
        <f aca="false">E27+F27</f>
        <v>476421.12</v>
      </c>
      <c r="H27" s="23" t="n">
        <f aca="false">G27-D27</f>
        <v>0</v>
      </c>
      <c r="I27" s="11"/>
    </row>
    <row r="28" customFormat="false" ht="15" hidden="false" customHeight="false" outlineLevel="0" collapsed="false">
      <c r="B28" s="16" t="s">
        <v>40</v>
      </c>
      <c r="C28" s="12" t="s">
        <v>21</v>
      </c>
      <c r="D28" s="21" t="n">
        <f aca="false">①통합_가정!$E$536</f>
        <v>759668.28</v>
      </c>
      <c r="E28" s="21" t="n">
        <f aca="false">②시니어_가정!$E$536</f>
        <v>47455.0999999999</v>
      </c>
      <c r="F28" s="21" t="n">
        <f aca="false">③기타_가정!$E$536</f>
        <v>712213.18</v>
      </c>
      <c r="G28" s="22" t="n">
        <f aca="false">E28+F28</f>
        <v>759668.28</v>
      </c>
      <c r="H28" s="23" t="n">
        <f aca="false">G28-D28</f>
        <v>0</v>
      </c>
      <c r="I28" s="11"/>
    </row>
    <row r="29" customFormat="false" ht="15" hidden="false" customHeight="false" outlineLevel="0" collapsed="false">
      <c r="B29" s="16" t="s">
        <v>41</v>
      </c>
      <c r="C29" s="12" t="s">
        <v>21</v>
      </c>
      <c r="D29" s="21" t="n">
        <f aca="false">①통합_가정!$C$497</f>
        <v>-0</v>
      </c>
      <c r="E29" s="21" t="n">
        <f aca="false">②시니어_가정!$C$497</f>
        <v>161611.764449341</v>
      </c>
      <c r="F29" s="21" t="n">
        <f aca="false">③기타_가정!$C$497</f>
        <v>-0</v>
      </c>
      <c r="G29" s="22" t="n">
        <f aca="false">E29+F29</f>
        <v>161611.764449341</v>
      </c>
      <c r="H29" s="23" t="n">
        <f aca="false">G29-D29</f>
        <v>161611.764449341</v>
      </c>
      <c r="I29" s="24" t="s">
        <v>42</v>
      </c>
    </row>
    <row r="30" customFormat="false" ht="15" hidden="false" customHeight="false" outlineLevel="0" collapsed="false">
      <c r="B30" s="6" t="s">
        <v>43</v>
      </c>
      <c r="C30" s="7"/>
      <c r="D30" s="7"/>
      <c r="E30" s="7"/>
      <c r="F30" s="7"/>
      <c r="G30" s="7"/>
      <c r="H30" s="7"/>
      <c r="I30" s="7"/>
    </row>
    <row r="31" customFormat="false" ht="15" hidden="false" customHeight="false" outlineLevel="0" collapsed="false">
      <c r="B31" s="16" t="s">
        <v>44</v>
      </c>
      <c r="C31" s="12" t="s">
        <v>21</v>
      </c>
      <c r="D31" s="21" t="n">
        <f aca="false">①통합_CF!$C$41</f>
        <v>1022866.31264512</v>
      </c>
      <c r="E31" s="21" t="n">
        <f aca="false">②시니어_CF!$C$41</f>
        <v>120999.065883418</v>
      </c>
      <c r="F31" s="21" t="n">
        <f aca="false">③기타_CF!$C$41</f>
        <v>901867.246761697</v>
      </c>
      <c r="G31" s="22" t="n">
        <f aca="false">E31+F31</f>
        <v>1022866.31264512</v>
      </c>
      <c r="H31" s="23" t="n">
        <f aca="false">G31-D31</f>
        <v>0</v>
      </c>
      <c r="I31" s="11"/>
    </row>
    <row r="32" customFormat="false" ht="15" hidden="false" customHeight="false" outlineLevel="0" collapsed="false">
      <c r="B32" s="26" t="s">
        <v>45</v>
      </c>
      <c r="C32" s="12" t="s">
        <v>21</v>
      </c>
      <c r="D32" s="21" t="n">
        <f aca="false">①통합_CF!$C$64</f>
        <v>315953.27749201</v>
      </c>
      <c r="E32" s="21" t="n">
        <f aca="false">②시니어_CF!$C$64</f>
        <v>32621.51164802</v>
      </c>
      <c r="F32" s="21" t="n">
        <f aca="false">③기타_CF!$C$64</f>
        <v>283331.76584399</v>
      </c>
      <c r="G32" s="22" t="n">
        <f aca="false">E32+F32</f>
        <v>315953.27749201</v>
      </c>
      <c r="H32" s="23" t="n">
        <f aca="false">G32-D32</f>
        <v>0</v>
      </c>
      <c r="I32" s="11"/>
    </row>
    <row r="33" customFormat="false" ht="15" hidden="false" customHeight="false" outlineLevel="0" collapsed="false">
      <c r="B33" s="16" t="s">
        <v>46</v>
      </c>
      <c r="C33" s="12" t="s">
        <v>21</v>
      </c>
      <c r="D33" s="21" t="n">
        <f aca="false">①통합_CF!$C$74</f>
        <v>63114.7895222759</v>
      </c>
      <c r="E33" s="21" t="n">
        <f aca="false">②시니어_CF!$C$74</f>
        <v>26180.0225040264</v>
      </c>
      <c r="F33" s="21" t="n">
        <f aca="false">③기타_CF!$C$74</f>
        <v>43996.6521110283</v>
      </c>
      <c r="G33" s="22" t="n">
        <f aca="false">E33+F33</f>
        <v>70176.6746150547</v>
      </c>
      <c r="H33" s="23" t="n">
        <f aca="false">G33-D33</f>
        <v>7061.88509277881</v>
      </c>
      <c r="I33" s="20" t="s">
        <v>47</v>
      </c>
    </row>
    <row r="34" customFormat="false" ht="15" hidden="false" customHeight="false" outlineLevel="0" collapsed="false">
      <c r="B34" s="16" t="s">
        <v>48</v>
      </c>
      <c r="C34" s="12" t="s">
        <v>21</v>
      </c>
      <c r="D34" s="21" t="n">
        <f aca="false">①통합_CF!$C$129</f>
        <v>198878.570275</v>
      </c>
      <c r="E34" s="21" t="n">
        <f aca="false">②시니어_CF!$C$129</f>
        <v>12812.877</v>
      </c>
      <c r="F34" s="21" t="n">
        <f aca="false">③기타_CF!$C$129</f>
        <v>186065.693275</v>
      </c>
      <c r="G34" s="22" t="n">
        <f aca="false">E34+F34</f>
        <v>198878.570275</v>
      </c>
      <c r="H34" s="23" t="n">
        <f aca="false">G34-D34</f>
        <v>0</v>
      </c>
      <c r="I34" s="11"/>
    </row>
    <row r="35" customFormat="false" ht="15" hidden="false" customHeight="false" outlineLevel="0" collapsed="false">
      <c r="B35" s="16" t="s">
        <v>49</v>
      </c>
      <c r="C35" s="12" t="s">
        <v>21</v>
      </c>
      <c r="D35" s="21" t="n">
        <f aca="false">①통합_CF!$C$149</f>
        <v>74857.9760791566</v>
      </c>
      <c r="E35" s="21" t="n">
        <f aca="false">②시니어_CF!$C$149</f>
        <v>39980.4403268383</v>
      </c>
      <c r="F35" s="21" t="n">
        <f aca="false">③기타_CF!$C$149</f>
        <v>36938.4617840041</v>
      </c>
      <c r="G35" s="22" t="n">
        <f aca="false">E35+F35</f>
        <v>76918.9021108424</v>
      </c>
      <c r="H35" s="23" t="n">
        <f aca="false">G35-D35</f>
        <v>2060.92603168584</v>
      </c>
      <c r="I35" s="11"/>
    </row>
    <row r="36" customFormat="false" ht="15" hidden="false" customHeight="false" outlineLevel="0" collapsed="false">
      <c r="B36" s="16" t="s">
        <v>50</v>
      </c>
      <c r="C36" s="12" t="s">
        <v>21</v>
      </c>
      <c r="D36" s="21" t="n">
        <f aca="false">MAX(①통합_CF!$E$159:$EF$159)</f>
        <v>603335.50066047</v>
      </c>
      <c r="E36" s="21" t="n">
        <f aca="false">MAX(②시니어_CF!$E$159:$EF$159)</f>
        <v>253569.11283151</v>
      </c>
      <c r="F36" s="21" t="n">
        <f aca="false">MAX(③기타_CF!$E$159:$EF$159)</f>
        <v>756646.495092313</v>
      </c>
      <c r="G36" s="11"/>
      <c r="H36" s="11"/>
      <c r="I36" s="20" t="s">
        <v>51</v>
      </c>
    </row>
    <row r="37" customFormat="false" ht="15" hidden="false" customHeight="false" outlineLevel="0" collapsed="false">
      <c r="B37" s="16" t="s">
        <v>52</v>
      </c>
      <c r="C37" s="12" t="s">
        <v>21</v>
      </c>
      <c r="D37" s="21" t="n">
        <f aca="false">①통합_가정!$G$283</f>
        <v>1824235.87564974</v>
      </c>
      <c r="E37" s="21" t="n">
        <f aca="false">②시니어_가정!$G$283</f>
        <v>174513.090023539</v>
      </c>
      <c r="F37" s="21" t="n">
        <f aca="false">③기타_가정!$G$283</f>
        <v>1649722.78562621</v>
      </c>
      <c r="G37" s="22" t="n">
        <f aca="false">E37+F37</f>
        <v>1824235.87564974</v>
      </c>
      <c r="H37" s="23" t="n">
        <f aca="false">G37-D37</f>
        <v>0</v>
      </c>
      <c r="I37" s="11"/>
    </row>
    <row r="38" customFormat="false" ht="15" hidden="false" customHeight="false" outlineLevel="0" collapsed="false">
      <c r="B38" s="16" t="s">
        <v>53</v>
      </c>
      <c r="C38" s="12" t="s">
        <v>21</v>
      </c>
      <c r="D38" s="21" t="n">
        <f aca="false">①통합_CF!$C$85</f>
        <v>941952</v>
      </c>
      <c r="E38" s="21" t="n">
        <f aca="false">②시니어_CF!$C$85</f>
        <v>541500</v>
      </c>
      <c r="F38" s="21" t="n">
        <f aca="false">③기타_CF!$C$85</f>
        <v>400452</v>
      </c>
      <c r="G38" s="22" t="n">
        <f aca="false">E38+F38</f>
        <v>941952</v>
      </c>
      <c r="H38" s="23" t="n">
        <f aca="false">G38-D38</f>
        <v>0</v>
      </c>
      <c r="I38" s="20" t="s">
        <v>54</v>
      </c>
    </row>
    <row r="39" customFormat="false" ht="15" hidden="false" customHeight="false" outlineLevel="0" collapsed="false">
      <c r="B39" s="6" t="s">
        <v>55</v>
      </c>
      <c r="C39" s="7"/>
      <c r="D39" s="7"/>
      <c r="E39" s="7"/>
      <c r="F39" s="7"/>
      <c r="G39" s="7"/>
      <c r="H39" s="7"/>
      <c r="I39" s="7"/>
    </row>
    <row r="40" customFormat="false" ht="15" hidden="false" customHeight="false" outlineLevel="0" collapsed="false">
      <c r="B40" s="8" t="s">
        <v>56</v>
      </c>
      <c r="C40" s="12" t="s">
        <v>21</v>
      </c>
      <c r="D40" s="21" t="n">
        <f aca="false">①통합_CF!$C$142</f>
        <v>287378.385965575</v>
      </c>
      <c r="E40" s="21" t="n">
        <f aca="false">②시니어_CF!$C$142</f>
        <v>79364.4911022626</v>
      </c>
      <c r="F40" s="21" t="n">
        <f aca="false">③기타_CF!$C$142</f>
        <v>210201.318226978</v>
      </c>
      <c r="G40" s="22" t="n">
        <f aca="false">E40+F40</f>
        <v>289565.809329241</v>
      </c>
      <c r="H40" s="23" t="n">
        <f aca="false">G40-D40</f>
        <v>2187.42336366634</v>
      </c>
      <c r="I40" s="11"/>
    </row>
    <row r="41" customFormat="false" ht="15" hidden="false" customHeight="false" outlineLevel="0" collapsed="false">
      <c r="B41" s="16" t="s">
        <v>57</v>
      </c>
      <c r="C41" s="12" t="s">
        <v>21</v>
      </c>
      <c r="D41" s="21" t="n">
        <f aca="false">①통합_CF!$C$165</f>
        <v>91331.5592559765</v>
      </c>
      <c r="E41" s="21" t="n">
        <f aca="false">②시니어_CF!$C$165</f>
        <v>23865.0399277129</v>
      </c>
      <c r="F41" s="21" t="n">
        <f aca="false">③기타_CF!$C$165</f>
        <v>67367.2336271478</v>
      </c>
      <c r="G41" s="22" t="n">
        <f aca="false">E41+F41</f>
        <v>91232.2735548608</v>
      </c>
      <c r="H41" s="23" t="n">
        <f aca="false">G41-D41</f>
        <v>-99.2857011156884</v>
      </c>
      <c r="I41" s="11"/>
    </row>
    <row r="42" customFormat="false" ht="15" hidden="false" customHeight="false" outlineLevel="0" collapsed="false">
      <c r="B42" s="16" t="s">
        <v>58</v>
      </c>
      <c r="C42" s="12" t="s">
        <v>21</v>
      </c>
      <c r="D42" s="21" t="n">
        <f aca="false">①통합_CF!$C$166</f>
        <v>201164.870175902</v>
      </c>
      <c r="E42" s="21" t="n">
        <f aca="false">②시니어_CF!$C$166</f>
        <v>0</v>
      </c>
      <c r="F42" s="21" t="n">
        <f aca="false">③기타_CF!$C$166</f>
        <v>147140.922758885</v>
      </c>
      <c r="G42" s="22" t="n">
        <f aca="false">E42+F42</f>
        <v>147140.922758885</v>
      </c>
      <c r="H42" s="23" t="n">
        <f aca="false">G42-D42</f>
        <v>-54023.9474170173</v>
      </c>
      <c r="I42" s="11"/>
    </row>
    <row r="43" customFormat="false" ht="15" hidden="false" customHeight="false" outlineLevel="0" collapsed="false">
      <c r="B43" s="16" t="s">
        <v>59</v>
      </c>
      <c r="C43" s="12" t="s">
        <v>21</v>
      </c>
      <c r="D43" s="21" t="n">
        <f aca="false">①통합_CF!$C$168</f>
        <v>443763.146532001</v>
      </c>
      <c r="E43" s="21" t="n">
        <f aca="false">②시니어_CF!$C$168</f>
        <v>10482.8798475092</v>
      </c>
      <c r="F43" s="21" t="n">
        <f aca="false">③기타_CF!$C$168</f>
        <v>635264.611737383</v>
      </c>
      <c r="G43" s="22" t="n">
        <f aca="false">E43+F43</f>
        <v>645747.491584893</v>
      </c>
      <c r="H43" s="23" t="n">
        <f aca="false">G43-D43</f>
        <v>201984.345052891</v>
      </c>
      <c r="I43" s="11"/>
    </row>
    <row r="44" customFormat="false" ht="15" hidden="false" customHeight="false" outlineLevel="0" collapsed="false">
      <c r="B44" s="8" t="s">
        <v>60</v>
      </c>
      <c r="C44" s="12" t="s">
        <v>21</v>
      </c>
      <c r="D44" s="27" t="n">
        <f aca="false">D41+D42+D43-D40</f>
        <v>448881.189998305</v>
      </c>
      <c r="E44" s="27" t="n">
        <f aca="false">E41+E42+E43-E40</f>
        <v>-45016.5713270404</v>
      </c>
      <c r="F44" s="27" t="n">
        <f aca="false">F41+F42+F43-F40</f>
        <v>639571.449896438</v>
      </c>
      <c r="G44" s="22" t="n">
        <f aca="false">E44+F44</f>
        <v>594554.878569397</v>
      </c>
      <c r="H44" s="23" t="n">
        <f aca="false">G44-D44</f>
        <v>145673.688571092</v>
      </c>
      <c r="I44" s="20" t="s">
        <v>61</v>
      </c>
    </row>
    <row r="45" customFormat="false" ht="15" hidden="false" customHeight="false" outlineLevel="0" collapsed="false">
      <c r="B45" s="8" t="s">
        <v>62</v>
      </c>
      <c r="C45" s="9" t="s">
        <v>63</v>
      </c>
      <c r="D45" s="28" t="n">
        <f aca="false">IFERROR((D41+D42+D43)/D40,0)</f>
        <v>2.56198660692623</v>
      </c>
      <c r="E45" s="28" t="n">
        <f aca="false">IFERROR((E41+E42+E43)/E40,0)</f>
        <v>0.432786997033274</v>
      </c>
      <c r="F45" s="28" t="n">
        <f aca="false">IFERROR((F41+F42+F43)/F40,0)</f>
        <v>4.0426614604092</v>
      </c>
      <c r="G45" s="29" t="n">
        <f aca="false">IFERROR((G41+G42+G43)/G40,0)</f>
        <v>3.05326340132021</v>
      </c>
      <c r="H45" s="30" t="n">
        <f aca="false">G45-D45</f>
        <v>0.491276794393979</v>
      </c>
      <c r="I45" s="11"/>
    </row>
    <row r="46" customFormat="false" ht="15" hidden="false" customHeight="false" outlineLevel="0" collapsed="false">
      <c r="B46" s="8" t="s">
        <v>64</v>
      </c>
      <c r="C46" s="9" t="s">
        <v>16</v>
      </c>
      <c r="D46" s="17" t="n">
        <f aca="false">①통합_CF!$C$171</f>
        <v>0.203927870290846</v>
      </c>
      <c r="E46" s="17" t="n">
        <f aca="false">②시니어_CF!$C$171</f>
        <v>-0.10503089550599</v>
      </c>
      <c r="F46" s="17" t="n">
        <f aca="false">③기타_CF!$C$171</f>
        <v>0.295086350863857</v>
      </c>
      <c r="G46" s="18" t="n">
        <f aca="false">IFERROR((1+IRR(E58:EF58,0.01))^12-1,IFERROR((1+IRR(E58:EF58,-0.05))^12-1,-1))</f>
        <v>0.252888879249279</v>
      </c>
      <c r="H46" s="31" t="n">
        <f aca="false">G46-D46</f>
        <v>0.0489610089584336</v>
      </c>
      <c r="I46" s="11"/>
    </row>
    <row r="47" customFormat="false" ht="15" hidden="false" customHeight="false" outlineLevel="0" collapsed="false">
      <c r="B47" s="8" t="s">
        <v>65</v>
      </c>
      <c r="C47" s="9" t="s">
        <v>16</v>
      </c>
      <c r="D47" s="17" t="n">
        <f aca="false">①통합_CF!$C$172</f>
        <v>0.0499999999985936</v>
      </c>
      <c r="E47" s="17" t="n">
        <f aca="false">②시니어_CF!$C$172</f>
        <v>-0.145471194570466</v>
      </c>
      <c r="F47" s="17" t="n">
        <f aca="false">③기타_CF!$C$172</f>
        <v>0.0499999999984933</v>
      </c>
      <c r="G47" s="18" t="n">
        <f aca="false">IFERROR((1+IRR(E59:EF59,0.01))^12-1,IFERROR((1+IRR(E59:EF59,-0.05))^12-1,-1))</f>
        <v>0.0218729149543087</v>
      </c>
      <c r="H47" s="31" t="n">
        <f aca="false">G47-D47</f>
        <v>-0.028127085044285</v>
      </c>
      <c r="I47" s="11"/>
    </row>
    <row r="48" customFormat="false" ht="15" hidden="false" customHeight="false" outlineLevel="0" collapsed="false">
      <c r="B48" s="26" t="s">
        <v>66</v>
      </c>
      <c r="C48" s="9" t="s">
        <v>16</v>
      </c>
      <c r="D48" s="17" t="n">
        <f aca="false">①통합_CF!$C$173</f>
        <v>0.121116349565578</v>
      </c>
      <c r="E48" s="17" t="n">
        <f aca="false">②시니어_CF!$C$173</f>
        <v>-0.12979711034386</v>
      </c>
      <c r="F48" s="17" t="n">
        <f aca="false">③기타_CF!$C$173</f>
        <v>0.180265272460192</v>
      </c>
      <c r="G48" s="18" t="n">
        <f aca="false">IFERROR((1+IRR(E60:EF60,0.01))^12-1,IFERROR((1+IRR(E60:EF60,-0.05))^12-1,-1))</f>
        <v>0.143664600192196</v>
      </c>
      <c r="H48" s="31" t="n">
        <f aca="false">G48-D48</f>
        <v>0.0225482506266179</v>
      </c>
      <c r="I48" s="24" t="s">
        <v>67</v>
      </c>
    </row>
    <row r="50" customFormat="false" ht="15" hidden="false" customHeight="false" outlineLevel="0" collapsed="false">
      <c r="B50" s="32" t="s">
        <v>68</v>
      </c>
    </row>
    <row r="51" customFormat="false" ht="15" hidden="false" customHeight="false" outlineLevel="0" collapsed="false">
      <c r="B51" s="33" t="s">
        <v>69</v>
      </c>
    </row>
    <row r="52" customFormat="false" ht="15" hidden="false" customHeight="false" outlineLevel="0" collapsed="false">
      <c r="B52" s="33" t="s">
        <v>70</v>
      </c>
    </row>
    <row r="53" customFormat="false" ht="15" hidden="false" customHeight="false" outlineLevel="0" collapsed="false">
      <c r="B53" s="33" t="s">
        <v>71</v>
      </c>
    </row>
    <row r="54" customFormat="false" ht="15" hidden="false" customHeight="false" outlineLevel="0" collapsed="false">
      <c r="B54" s="33" t="s">
        <v>72</v>
      </c>
    </row>
    <row r="55" customFormat="false" ht="15" hidden="false" customHeight="false" outlineLevel="0" collapsed="false">
      <c r="B55" s="33" t="s">
        <v>73</v>
      </c>
    </row>
    <row r="56" customFormat="false" ht="15" hidden="false" customHeight="false" outlineLevel="0" collapsed="false">
      <c r="B56" s="34" t="s">
        <v>74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</row>
    <row r="57" customFormat="false" ht="15" hidden="false" customHeight="false" outlineLevel="0" collapsed="false">
      <c r="B57" s="32" t="s">
        <v>75</v>
      </c>
      <c r="E57" s="35" t="n">
        <f aca="false">①통합_CF!E6</f>
        <v>46112</v>
      </c>
      <c r="F57" s="35" t="n">
        <f aca="false">①통합_CF!F6</f>
        <v>46142</v>
      </c>
      <c r="G57" s="35" t="n">
        <f aca="false">①통합_CF!G6</f>
        <v>46173</v>
      </c>
      <c r="H57" s="35" t="n">
        <f aca="false">①통합_CF!H6</f>
        <v>46203</v>
      </c>
      <c r="I57" s="35" t="n">
        <f aca="false">①통합_CF!I6</f>
        <v>46234</v>
      </c>
      <c r="J57" s="35" t="n">
        <f aca="false">①통합_CF!J6</f>
        <v>46265</v>
      </c>
      <c r="K57" s="35" t="n">
        <f aca="false">①통합_CF!K6</f>
        <v>46295</v>
      </c>
      <c r="L57" s="35" t="n">
        <f aca="false">①통합_CF!L6</f>
        <v>46326</v>
      </c>
      <c r="M57" s="35" t="n">
        <f aca="false">①통합_CF!M6</f>
        <v>46356</v>
      </c>
      <c r="N57" s="35" t="n">
        <f aca="false">①통합_CF!N6</f>
        <v>46387</v>
      </c>
      <c r="O57" s="35" t="n">
        <f aca="false">①통합_CF!O6</f>
        <v>46418</v>
      </c>
      <c r="P57" s="35" t="n">
        <f aca="false">①통합_CF!P6</f>
        <v>46446</v>
      </c>
      <c r="Q57" s="35" t="n">
        <f aca="false">①통합_CF!Q6</f>
        <v>46477</v>
      </c>
      <c r="R57" s="35" t="n">
        <f aca="false">①통합_CF!R6</f>
        <v>46507</v>
      </c>
      <c r="S57" s="35" t="n">
        <f aca="false">①통합_CF!S6</f>
        <v>46538</v>
      </c>
      <c r="T57" s="35" t="n">
        <f aca="false">①통합_CF!T6</f>
        <v>46568</v>
      </c>
      <c r="U57" s="35" t="n">
        <f aca="false">①통합_CF!U6</f>
        <v>46599</v>
      </c>
      <c r="V57" s="35" t="n">
        <f aca="false">①통합_CF!V6</f>
        <v>46630</v>
      </c>
      <c r="W57" s="35" t="n">
        <f aca="false">①통합_CF!W6</f>
        <v>46660</v>
      </c>
      <c r="X57" s="35" t="n">
        <f aca="false">①통합_CF!X6</f>
        <v>46691</v>
      </c>
      <c r="Y57" s="35" t="n">
        <f aca="false">①통합_CF!Y6</f>
        <v>46721</v>
      </c>
      <c r="Z57" s="35" t="n">
        <f aca="false">①통합_CF!Z6</f>
        <v>46752</v>
      </c>
      <c r="AA57" s="35" t="n">
        <f aca="false">①통합_CF!AA6</f>
        <v>46783</v>
      </c>
      <c r="AB57" s="35" t="n">
        <f aca="false">①통합_CF!AB6</f>
        <v>46812</v>
      </c>
      <c r="AC57" s="35" t="n">
        <f aca="false">①통합_CF!AC6</f>
        <v>46843</v>
      </c>
      <c r="AD57" s="35" t="n">
        <f aca="false">①통합_CF!AD6</f>
        <v>46873</v>
      </c>
      <c r="AE57" s="35" t="n">
        <f aca="false">①통합_CF!AE6</f>
        <v>46904</v>
      </c>
      <c r="AF57" s="35" t="n">
        <f aca="false">①통합_CF!AF6</f>
        <v>46934</v>
      </c>
      <c r="AG57" s="35" t="n">
        <f aca="false">①통합_CF!AG6</f>
        <v>46965</v>
      </c>
      <c r="AH57" s="35" t="n">
        <f aca="false">①통합_CF!AH6</f>
        <v>46996</v>
      </c>
      <c r="AI57" s="35" t="n">
        <f aca="false">①통합_CF!AI6</f>
        <v>47026</v>
      </c>
      <c r="AJ57" s="35" t="n">
        <f aca="false">①통합_CF!AJ6</f>
        <v>47057</v>
      </c>
      <c r="AK57" s="35" t="n">
        <f aca="false">①통합_CF!AK6</f>
        <v>47087</v>
      </c>
      <c r="AL57" s="35" t="n">
        <f aca="false">①통합_CF!AL6</f>
        <v>47118</v>
      </c>
      <c r="AM57" s="35" t="n">
        <f aca="false">①통합_CF!AM6</f>
        <v>47149</v>
      </c>
      <c r="AN57" s="35" t="n">
        <f aca="false">①통합_CF!AN6</f>
        <v>47177</v>
      </c>
      <c r="AO57" s="35" t="n">
        <f aca="false">①통합_CF!AO6</f>
        <v>47208</v>
      </c>
      <c r="AP57" s="35" t="n">
        <f aca="false">①통합_CF!AP6</f>
        <v>47238</v>
      </c>
      <c r="AQ57" s="35" t="n">
        <f aca="false">①통합_CF!AQ6</f>
        <v>47269</v>
      </c>
      <c r="AR57" s="35" t="n">
        <f aca="false">①통합_CF!AR6</f>
        <v>47299</v>
      </c>
      <c r="AS57" s="35" t="n">
        <f aca="false">①통합_CF!AS6</f>
        <v>47330</v>
      </c>
      <c r="AT57" s="35" t="n">
        <f aca="false">①통합_CF!AT6</f>
        <v>47361</v>
      </c>
      <c r="AU57" s="35" t="n">
        <f aca="false">①통합_CF!AU6</f>
        <v>47391</v>
      </c>
      <c r="AV57" s="35" t="n">
        <f aca="false">①통합_CF!AV6</f>
        <v>47422</v>
      </c>
      <c r="AW57" s="35" t="n">
        <f aca="false">①통합_CF!AW6</f>
        <v>47452</v>
      </c>
      <c r="AX57" s="35" t="n">
        <f aca="false">①통합_CF!AX6</f>
        <v>47483</v>
      </c>
      <c r="AY57" s="35" t="n">
        <f aca="false">①통합_CF!AY6</f>
        <v>47514</v>
      </c>
      <c r="AZ57" s="35" t="n">
        <f aca="false">①통합_CF!AZ6</f>
        <v>47542</v>
      </c>
      <c r="BA57" s="35" t="n">
        <f aca="false">①통합_CF!BA6</f>
        <v>47573</v>
      </c>
      <c r="BB57" s="35" t="n">
        <f aca="false">①통합_CF!BB6</f>
        <v>47603</v>
      </c>
      <c r="BC57" s="35" t="n">
        <f aca="false">①통합_CF!BC6</f>
        <v>47634</v>
      </c>
      <c r="BD57" s="35" t="n">
        <f aca="false">①통합_CF!BD6</f>
        <v>47664</v>
      </c>
      <c r="BE57" s="35" t="n">
        <f aca="false">①통합_CF!BE6</f>
        <v>47695</v>
      </c>
      <c r="BF57" s="35" t="n">
        <f aca="false">①통합_CF!BF6</f>
        <v>47726</v>
      </c>
      <c r="BG57" s="35" t="n">
        <f aca="false">①통합_CF!BG6</f>
        <v>47756</v>
      </c>
      <c r="BH57" s="35" t="n">
        <f aca="false">①통합_CF!BH6</f>
        <v>47787</v>
      </c>
      <c r="BI57" s="35" t="n">
        <f aca="false">①통합_CF!BI6</f>
        <v>47817</v>
      </c>
      <c r="BJ57" s="35" t="n">
        <f aca="false">①통합_CF!BJ6</f>
        <v>47848</v>
      </c>
      <c r="BK57" s="35" t="n">
        <f aca="false">①통합_CF!BK6</f>
        <v>47879</v>
      </c>
      <c r="BL57" s="35" t="n">
        <f aca="false">①통합_CF!BL6</f>
        <v>47907</v>
      </c>
      <c r="BM57" s="35" t="n">
        <f aca="false">①통합_CF!BM6</f>
        <v>47938</v>
      </c>
      <c r="BN57" s="35" t="n">
        <f aca="false">①통합_CF!BN6</f>
        <v>47968</v>
      </c>
      <c r="BO57" s="35" t="n">
        <f aca="false">①통합_CF!BO6</f>
        <v>47999</v>
      </c>
      <c r="BP57" s="35" t="n">
        <f aca="false">①통합_CF!BP6</f>
        <v>48029</v>
      </c>
      <c r="BQ57" s="35" t="n">
        <f aca="false">①통합_CF!BQ6</f>
        <v>48060</v>
      </c>
      <c r="BR57" s="35" t="n">
        <f aca="false">①통합_CF!BR6</f>
        <v>48091</v>
      </c>
      <c r="BS57" s="35" t="n">
        <f aca="false">①통합_CF!BS6</f>
        <v>48121</v>
      </c>
      <c r="BT57" s="35" t="n">
        <f aca="false">①통합_CF!BT6</f>
        <v>48152</v>
      </c>
      <c r="BU57" s="35" t="n">
        <f aca="false">①통합_CF!BU6</f>
        <v>48182</v>
      </c>
      <c r="BV57" s="35" t="n">
        <f aca="false">①통합_CF!BV6</f>
        <v>48213</v>
      </c>
      <c r="BW57" s="35" t="n">
        <f aca="false">①통합_CF!BW6</f>
        <v>48244</v>
      </c>
      <c r="BX57" s="35" t="n">
        <f aca="false">①통합_CF!BX6</f>
        <v>48273</v>
      </c>
      <c r="BY57" s="35" t="n">
        <f aca="false">①통합_CF!BY6</f>
        <v>48304</v>
      </c>
      <c r="BZ57" s="35" t="n">
        <f aca="false">①통합_CF!BZ6</f>
        <v>48334</v>
      </c>
      <c r="CA57" s="35" t="n">
        <f aca="false">①통합_CF!CA6</f>
        <v>48365</v>
      </c>
      <c r="CB57" s="35" t="n">
        <f aca="false">①통합_CF!CB6</f>
        <v>48395</v>
      </c>
      <c r="CC57" s="35" t="n">
        <f aca="false">①통합_CF!CC6</f>
        <v>48426</v>
      </c>
      <c r="CD57" s="35" t="n">
        <f aca="false">①통합_CF!CD6</f>
        <v>48457</v>
      </c>
      <c r="CE57" s="35" t="n">
        <f aca="false">①통합_CF!CE6</f>
        <v>48487</v>
      </c>
      <c r="CF57" s="35" t="n">
        <f aca="false">①통합_CF!CF6</f>
        <v>48518</v>
      </c>
      <c r="CG57" s="35" t="n">
        <f aca="false">①통합_CF!CG6</f>
        <v>48548</v>
      </c>
      <c r="CH57" s="35" t="n">
        <f aca="false">①통합_CF!CH6</f>
        <v>48579</v>
      </c>
      <c r="CI57" s="35" t="n">
        <f aca="false">①통합_CF!CI6</f>
        <v>48610</v>
      </c>
      <c r="CJ57" s="35" t="n">
        <f aca="false">①통합_CF!CJ6</f>
        <v>48638</v>
      </c>
      <c r="CK57" s="35" t="n">
        <f aca="false">①통합_CF!CK6</f>
        <v>48669</v>
      </c>
      <c r="CL57" s="35" t="n">
        <f aca="false">①통합_CF!CL6</f>
        <v>48699</v>
      </c>
      <c r="CM57" s="35" t="n">
        <f aca="false">①통합_CF!CM6</f>
        <v>48730</v>
      </c>
      <c r="CN57" s="35" t="n">
        <f aca="false">①통합_CF!CN6</f>
        <v>48760</v>
      </c>
      <c r="CO57" s="35" t="n">
        <f aca="false">①통합_CF!CO6</f>
        <v>48791</v>
      </c>
      <c r="CP57" s="35" t="n">
        <f aca="false">①통합_CF!CP6</f>
        <v>48822</v>
      </c>
      <c r="CQ57" s="35" t="n">
        <f aca="false">①통합_CF!CQ6</f>
        <v>48852</v>
      </c>
      <c r="CR57" s="35" t="n">
        <f aca="false">①통합_CF!CR6</f>
        <v>48883</v>
      </c>
      <c r="CS57" s="35" t="n">
        <f aca="false">①통합_CF!CS6</f>
        <v>48913</v>
      </c>
      <c r="CT57" s="35" t="n">
        <f aca="false">①통합_CF!CT6</f>
        <v>48944</v>
      </c>
      <c r="CU57" s="35" t="n">
        <f aca="false">①통합_CF!CU6</f>
        <v>48975</v>
      </c>
      <c r="CV57" s="35" t="n">
        <f aca="false">①통합_CF!CV6</f>
        <v>49003</v>
      </c>
      <c r="CW57" s="35" t="n">
        <f aca="false">①통합_CF!CW6</f>
        <v>49034</v>
      </c>
      <c r="CX57" s="35" t="n">
        <f aca="false">①통합_CF!CX6</f>
        <v>49064</v>
      </c>
      <c r="CY57" s="35" t="n">
        <f aca="false">①통합_CF!CY6</f>
        <v>49095</v>
      </c>
      <c r="CZ57" s="35" t="n">
        <f aca="false">①통합_CF!CZ6</f>
        <v>49125</v>
      </c>
      <c r="DA57" s="35" t="n">
        <f aca="false">①통합_CF!DA6</f>
        <v>49156</v>
      </c>
      <c r="DB57" s="35" t="n">
        <f aca="false">①통합_CF!DB6</f>
        <v>49187</v>
      </c>
      <c r="DC57" s="35" t="n">
        <f aca="false">①통합_CF!DC6</f>
        <v>49217</v>
      </c>
      <c r="DD57" s="35" t="n">
        <f aca="false">①통합_CF!DD6</f>
        <v>49248</v>
      </c>
      <c r="DE57" s="35" t="n">
        <f aca="false">①통합_CF!DE6</f>
        <v>49278</v>
      </c>
      <c r="DF57" s="35" t="n">
        <f aca="false">①통합_CF!DF6</f>
        <v>49309</v>
      </c>
      <c r="DG57" s="35" t="n">
        <f aca="false">①통합_CF!DG6</f>
        <v>49340</v>
      </c>
      <c r="DH57" s="35" t="n">
        <f aca="false">①통합_CF!DH6</f>
        <v>49368</v>
      </c>
      <c r="DI57" s="35" t="n">
        <f aca="false">①통합_CF!DI6</f>
        <v>49399</v>
      </c>
      <c r="DJ57" s="35" t="n">
        <f aca="false">①통합_CF!DJ6</f>
        <v>49429</v>
      </c>
      <c r="DK57" s="35" t="n">
        <f aca="false">①통합_CF!DK6</f>
        <v>49460</v>
      </c>
      <c r="DL57" s="35" t="n">
        <f aca="false">①통합_CF!DL6</f>
        <v>49490</v>
      </c>
      <c r="DM57" s="35" t="n">
        <f aca="false">①통합_CF!DM6</f>
        <v>49521</v>
      </c>
      <c r="DN57" s="35" t="n">
        <f aca="false">①통합_CF!DN6</f>
        <v>49552</v>
      </c>
      <c r="DO57" s="35" t="n">
        <f aca="false">①통합_CF!DO6</f>
        <v>49582</v>
      </c>
      <c r="DP57" s="35" t="n">
        <f aca="false">①통합_CF!DP6</f>
        <v>49613</v>
      </c>
      <c r="DQ57" s="35" t="n">
        <f aca="false">①통합_CF!DQ6</f>
        <v>49643</v>
      </c>
      <c r="DR57" s="35" t="n">
        <f aca="false">①통합_CF!DR6</f>
        <v>49674</v>
      </c>
      <c r="DS57" s="35" t="n">
        <f aca="false">①통합_CF!DS6</f>
        <v>49705</v>
      </c>
      <c r="DT57" s="35" t="n">
        <f aca="false">①통합_CF!DT6</f>
        <v>49734</v>
      </c>
      <c r="DU57" s="35" t="n">
        <f aca="false">①통합_CF!DU6</f>
        <v>49765</v>
      </c>
      <c r="DV57" s="35" t="n">
        <f aca="false">①통합_CF!DV6</f>
        <v>49795</v>
      </c>
      <c r="DW57" s="35" t="n">
        <f aca="false">①통합_CF!DW6</f>
        <v>49826</v>
      </c>
      <c r="DX57" s="35" t="n">
        <f aca="false">①통합_CF!DX6</f>
        <v>49856</v>
      </c>
      <c r="DY57" s="35" t="n">
        <f aca="false">①통합_CF!DY6</f>
        <v>49887</v>
      </c>
      <c r="DZ57" s="35" t="n">
        <f aca="false">①통합_CF!DZ6</f>
        <v>49918</v>
      </c>
      <c r="EA57" s="35" t="n">
        <f aca="false">①통합_CF!EA6</f>
        <v>49948</v>
      </c>
      <c r="EB57" s="35" t="n">
        <f aca="false">①통합_CF!EB6</f>
        <v>49979</v>
      </c>
      <c r="EC57" s="35" t="n">
        <f aca="false">①통합_CF!EC6</f>
        <v>50009</v>
      </c>
      <c r="ED57" s="35" t="n">
        <f aca="false">①통합_CF!ED6</f>
        <v>50040</v>
      </c>
      <c r="EE57" s="35" t="n">
        <f aca="false">①통합_CF!EE6</f>
        <v>50071</v>
      </c>
      <c r="EF57" s="35" t="n">
        <f aca="false">①통합_CF!EF6</f>
        <v>50099</v>
      </c>
    </row>
    <row r="58" customFormat="false" ht="15" hidden="false" customHeight="false" outlineLevel="0" collapsed="false">
      <c r="B58" s="36" t="s">
        <v>76</v>
      </c>
      <c r="E58" s="37" t="n">
        <f aca="false">②시니어_CF!E171+③기타_CF!E171</f>
        <v>-15940.5978035747</v>
      </c>
      <c r="F58" s="37" t="n">
        <f aca="false">②시니어_CF!F171+③기타_CF!F171</f>
        <v>0</v>
      </c>
      <c r="G58" s="37" t="n">
        <f aca="false">②시니어_CF!G171+③기타_CF!G171</f>
        <v>0</v>
      </c>
      <c r="H58" s="37" t="n">
        <f aca="false">②시니어_CF!H171+③기타_CF!H171</f>
        <v>0</v>
      </c>
      <c r="I58" s="37" t="n">
        <f aca="false">②시니어_CF!I171+③기타_CF!I171</f>
        <v>0</v>
      </c>
      <c r="J58" s="37" t="n">
        <f aca="false">②시니어_CF!J171+③기타_CF!J171</f>
        <v>0</v>
      </c>
      <c r="K58" s="37" t="n">
        <f aca="false">②시니어_CF!K171+③기타_CF!K171</f>
        <v>0</v>
      </c>
      <c r="L58" s="37" t="n">
        <f aca="false">②시니어_CF!L171+③기타_CF!L171</f>
        <v>0</v>
      </c>
      <c r="M58" s="37" t="n">
        <f aca="false">②시니어_CF!M171+③기타_CF!M171</f>
        <v>0</v>
      </c>
      <c r="N58" s="37" t="n">
        <f aca="false">②시니어_CF!N171+③기타_CF!N171</f>
        <v>0</v>
      </c>
      <c r="O58" s="37" t="n">
        <f aca="false">②시니어_CF!O171+③기타_CF!O171</f>
        <v>0</v>
      </c>
      <c r="P58" s="37" t="n">
        <f aca="false">②시니어_CF!P171+③기타_CF!P171</f>
        <v>0</v>
      </c>
      <c r="Q58" s="37" t="n">
        <f aca="false">②시니어_CF!Q171+③기타_CF!Q171</f>
        <v>0</v>
      </c>
      <c r="R58" s="37" t="n">
        <f aca="false">②시니어_CF!R171+③기타_CF!R171</f>
        <v>0</v>
      </c>
      <c r="S58" s="37" t="n">
        <f aca="false">②시니어_CF!S171+③기타_CF!S171</f>
        <v>0</v>
      </c>
      <c r="T58" s="37" t="n">
        <f aca="false">②시니어_CF!T171+③기타_CF!T171</f>
        <v>0</v>
      </c>
      <c r="U58" s="37" t="n">
        <f aca="false">②시니어_CF!U171+③기타_CF!U171</f>
        <v>0</v>
      </c>
      <c r="V58" s="37" t="n">
        <f aca="false">②시니어_CF!V171+③기타_CF!V171</f>
        <v>0</v>
      </c>
      <c r="W58" s="37" t="n">
        <f aca="false">②시니어_CF!W171+③기타_CF!W171</f>
        <v>-70929.1449951976</v>
      </c>
      <c r="X58" s="37" t="n">
        <f aca="false">②시니어_CF!X171+③기타_CF!X171</f>
        <v>0</v>
      </c>
      <c r="Y58" s="37" t="n">
        <f aca="false">②시니어_CF!Y171+③기타_CF!Y171</f>
        <v>0</v>
      </c>
      <c r="Z58" s="37" t="n">
        <f aca="false">②시니어_CF!Z171+③기타_CF!Z171</f>
        <v>0</v>
      </c>
      <c r="AA58" s="37" t="n">
        <f aca="false">②시니어_CF!AA171+③기타_CF!AA171</f>
        <v>0</v>
      </c>
      <c r="AB58" s="37" t="n">
        <f aca="false">②시니어_CF!AB171+③기타_CF!AB171</f>
        <v>0</v>
      </c>
      <c r="AC58" s="37" t="n">
        <f aca="false">②시니어_CF!AC171+③기타_CF!AC171</f>
        <v>0</v>
      </c>
      <c r="AD58" s="37" t="n">
        <f aca="false">②시니어_CF!AD171+③기타_CF!AD171</f>
        <v>0</v>
      </c>
      <c r="AE58" s="37" t="n">
        <f aca="false">②시니어_CF!AE171+③기타_CF!AE171</f>
        <v>0</v>
      </c>
      <c r="AF58" s="37" t="n">
        <f aca="false">②시니어_CF!AF171+③기타_CF!AF171</f>
        <v>0</v>
      </c>
      <c r="AG58" s="37" t="n">
        <f aca="false">②시니어_CF!AG171+③기타_CF!AG171</f>
        <v>0</v>
      </c>
      <c r="AH58" s="37" t="n">
        <f aca="false">②시니어_CF!AH171+③기타_CF!AH171</f>
        <v>0</v>
      </c>
      <c r="AI58" s="37" t="n">
        <f aca="false">②시니어_CF!AI171+③기타_CF!AI171</f>
        <v>0</v>
      </c>
      <c r="AJ58" s="37" t="n">
        <f aca="false">②시니어_CF!AJ171+③기타_CF!AJ171</f>
        <v>0</v>
      </c>
      <c r="AK58" s="37" t="n">
        <f aca="false">②시니어_CF!AK171+③기타_CF!AK171</f>
        <v>0</v>
      </c>
      <c r="AL58" s="37" t="n">
        <f aca="false">②시니어_CF!AL171+③기타_CF!AL171</f>
        <v>0</v>
      </c>
      <c r="AM58" s="37" t="n">
        <f aca="false">②시니어_CF!AM171+③기타_CF!AM171</f>
        <v>0</v>
      </c>
      <c r="AN58" s="37" t="n">
        <f aca="false">②시니어_CF!AN171+③기타_CF!AN171</f>
        <v>0</v>
      </c>
      <c r="AO58" s="37" t="n">
        <f aca="false">②시니어_CF!AO171+③기타_CF!AO171</f>
        <v>0</v>
      </c>
      <c r="AP58" s="37" t="n">
        <f aca="false">②시니어_CF!AP171+③기타_CF!AP171</f>
        <v>0</v>
      </c>
      <c r="AQ58" s="37" t="n">
        <f aca="false">②시니어_CF!AQ171+③기타_CF!AQ171</f>
        <v>0</v>
      </c>
      <c r="AR58" s="37" t="n">
        <f aca="false">②시니어_CF!AR171+③기타_CF!AR171</f>
        <v>0</v>
      </c>
      <c r="AS58" s="37" t="n">
        <f aca="false">②시니어_CF!AS171+③기타_CF!AS171</f>
        <v>0</v>
      </c>
      <c r="AT58" s="37" t="n">
        <f aca="false">②시니어_CF!AT171+③기타_CF!AT171</f>
        <v>0</v>
      </c>
      <c r="AU58" s="37" t="n">
        <f aca="false">②시니어_CF!AU171+③기타_CF!AU171</f>
        <v>0</v>
      </c>
      <c r="AV58" s="37" t="n">
        <f aca="false">②시니어_CF!AV171+③기타_CF!AV171</f>
        <v>0</v>
      </c>
      <c r="AW58" s="37" t="n">
        <f aca="false">②시니어_CF!AW171+③기타_CF!AW171</f>
        <v>0</v>
      </c>
      <c r="AX58" s="37" t="n">
        <f aca="false">②시니어_CF!AX171+③기타_CF!AX171</f>
        <v>0</v>
      </c>
      <c r="AY58" s="37" t="n">
        <f aca="false">②시니어_CF!AY171+③기타_CF!AY171</f>
        <v>0</v>
      </c>
      <c r="AZ58" s="37" t="n">
        <f aca="false">②시니어_CF!AZ171+③기타_CF!AZ171</f>
        <v>0</v>
      </c>
      <c r="BA58" s="37" t="n">
        <f aca="false">②시니어_CF!BA171+③기타_CF!BA171</f>
        <v>0</v>
      </c>
      <c r="BB58" s="37" t="n">
        <f aca="false">②시니어_CF!BB171+③기타_CF!BB171</f>
        <v>0</v>
      </c>
      <c r="BC58" s="37" t="n">
        <f aca="false">②시니어_CF!BC171+③기타_CF!BC171</f>
        <v>0</v>
      </c>
      <c r="BD58" s="37" t="n">
        <f aca="false">②시니어_CF!BD171+③기타_CF!BD171</f>
        <v>0</v>
      </c>
      <c r="BE58" s="37" t="n">
        <f aca="false">②시니어_CF!BE171+③기타_CF!BE171</f>
        <v>0</v>
      </c>
      <c r="BF58" s="37" t="n">
        <f aca="false">②시니어_CF!BF171+③기타_CF!BF171</f>
        <v>0</v>
      </c>
      <c r="BG58" s="37" t="n">
        <f aca="false">②시니어_CF!BG171+③기타_CF!BG171</f>
        <v>0</v>
      </c>
      <c r="BH58" s="37" t="n">
        <f aca="false">②시니어_CF!BH171+③기타_CF!BH171</f>
        <v>0</v>
      </c>
      <c r="BI58" s="37" t="n">
        <f aca="false">②시니어_CF!BI171+③기타_CF!BI171</f>
        <v>0</v>
      </c>
      <c r="BJ58" s="37" t="n">
        <f aca="false">②시니어_CF!BJ171+③기타_CF!BJ171</f>
        <v>0</v>
      </c>
      <c r="BK58" s="37" t="n">
        <f aca="false">②시니어_CF!BK171+③기타_CF!BK171</f>
        <v>0</v>
      </c>
      <c r="BL58" s="37" t="n">
        <f aca="false">②시니어_CF!BL171+③기타_CF!BL171</f>
        <v>0</v>
      </c>
      <c r="BM58" s="37" t="n">
        <f aca="false">②시니어_CF!BM171+③기타_CF!BM171</f>
        <v>0</v>
      </c>
      <c r="BN58" s="37" t="n">
        <f aca="false">②시니어_CF!BN171+③기타_CF!BN171</f>
        <v>0</v>
      </c>
      <c r="BO58" s="37" t="n">
        <f aca="false">②시니어_CF!BO171+③기타_CF!BO171</f>
        <v>0</v>
      </c>
      <c r="BP58" s="37" t="n">
        <f aca="false">②시니어_CF!BP171+③기타_CF!BP171</f>
        <v>0</v>
      </c>
      <c r="BQ58" s="37" t="n">
        <f aca="false">②시니어_CF!BQ171+③기타_CF!BQ171</f>
        <v>0</v>
      </c>
      <c r="BR58" s="37" t="n">
        <f aca="false">②시니어_CF!BR171+③기타_CF!BR171</f>
        <v>0</v>
      </c>
      <c r="BS58" s="37" t="n">
        <f aca="false">②시니어_CF!BS171+③기타_CF!BS171</f>
        <v>0</v>
      </c>
      <c r="BT58" s="37" t="n">
        <f aca="false">②시니어_CF!BT171+③기타_CF!BT171</f>
        <v>0</v>
      </c>
      <c r="BU58" s="37" t="n">
        <f aca="false">②시니어_CF!BU171+③기타_CF!BU171</f>
        <v>0</v>
      </c>
      <c r="BV58" s="37" t="n">
        <f aca="false">②시니어_CF!BV171+③기타_CF!BV171</f>
        <v>0</v>
      </c>
      <c r="BW58" s="37" t="n">
        <f aca="false">②시니어_CF!BW171+③기타_CF!BW171</f>
        <v>0</v>
      </c>
      <c r="BX58" s="37" t="n">
        <f aca="false">②시니어_CF!BX171+③기타_CF!BX171</f>
        <v>0</v>
      </c>
      <c r="BY58" s="37" t="n">
        <f aca="false">②시니어_CF!BY171+③기타_CF!BY171</f>
        <v>0</v>
      </c>
      <c r="BZ58" s="37" t="n">
        <f aca="false">②시니어_CF!BZ171+③기타_CF!BZ171</f>
        <v>0</v>
      </c>
      <c r="CA58" s="37" t="n">
        <f aca="false">②시니어_CF!CA171+③기타_CF!CA171</f>
        <v>0</v>
      </c>
      <c r="CB58" s="37" t="n">
        <f aca="false">②시니어_CF!CB171+③기타_CF!CB171</f>
        <v>0</v>
      </c>
      <c r="CC58" s="37" t="n">
        <f aca="false">②시니어_CF!CC171+③기타_CF!CC171</f>
        <v>0</v>
      </c>
      <c r="CD58" s="37" t="n">
        <f aca="false">②시니어_CF!CD171+③기타_CF!CD171</f>
        <v>0</v>
      </c>
      <c r="CE58" s="37" t="n">
        <f aca="false">②시니어_CF!CE171+③기타_CF!CE171</f>
        <v>0</v>
      </c>
      <c r="CF58" s="37" t="n">
        <f aca="false">②시니어_CF!CF171+③기타_CF!CF171</f>
        <v>0</v>
      </c>
      <c r="CG58" s="37" t="n">
        <f aca="false">②시니어_CF!CG171+③기타_CF!CG171</f>
        <v>0</v>
      </c>
      <c r="CH58" s="37" t="n">
        <f aca="false">②시니어_CF!CH171+③기타_CF!CH171</f>
        <v>0</v>
      </c>
      <c r="CI58" s="37" t="n">
        <f aca="false">②시니어_CF!CI171+③기타_CF!CI171</f>
        <v>0</v>
      </c>
      <c r="CJ58" s="37" t="n">
        <f aca="false">②시니어_CF!CJ171+③기타_CF!CJ171</f>
        <v>0</v>
      </c>
      <c r="CK58" s="37" t="n">
        <f aca="false">②시니어_CF!CK171+③기타_CF!CK171</f>
        <v>0</v>
      </c>
      <c r="CL58" s="37" t="n">
        <f aca="false">②시니어_CF!CL171+③기타_CF!CL171</f>
        <v>0</v>
      </c>
      <c r="CM58" s="37" t="n">
        <f aca="false">②시니어_CF!CM171+③기타_CF!CM171</f>
        <v>0</v>
      </c>
      <c r="CN58" s="37" t="n">
        <f aca="false">②시니어_CF!CN171+③기타_CF!CN171</f>
        <v>0</v>
      </c>
      <c r="CO58" s="37" t="n">
        <f aca="false">②시니어_CF!CO171+③기타_CF!CO171</f>
        <v>261.043305956303</v>
      </c>
      <c r="CP58" s="37" t="n">
        <f aca="false">②시니어_CF!CP171+③기타_CF!CP171</f>
        <v>331.306003809362</v>
      </c>
      <c r="CQ58" s="37" t="n">
        <f aca="false">②시니어_CF!CQ171+③기타_CF!CQ171</f>
        <v>331.306003809362</v>
      </c>
      <c r="CR58" s="37" t="n">
        <f aca="false">②시니어_CF!CR171+③기타_CF!CR171</f>
        <v>331.306003809362</v>
      </c>
      <c r="CS58" s="37" t="n">
        <f aca="false">②시니어_CF!CS171+③기타_CF!CS171</f>
        <v>331.306003809362</v>
      </c>
      <c r="CT58" s="37" t="n">
        <f aca="false">②시니어_CF!CT171+③기타_CF!CT171</f>
        <v>331.306003809362</v>
      </c>
      <c r="CU58" s="37" t="n">
        <f aca="false">②시니어_CF!CU171+③기타_CF!CU171</f>
        <v>331.306003809362</v>
      </c>
      <c r="CV58" s="37" t="n">
        <f aca="false">②시니어_CF!CV171+③기타_CF!CV171</f>
        <v>331.306003809362</v>
      </c>
      <c r="CW58" s="37" t="n">
        <f aca="false">②시니어_CF!CW171+③기타_CF!CW171</f>
        <v>339.565981228184</v>
      </c>
      <c r="CX58" s="37" t="n">
        <f aca="false">②시니어_CF!CX171+③기타_CF!CX171</f>
        <v>339.565981228184</v>
      </c>
      <c r="CY58" s="37" t="n">
        <f aca="false">②시니어_CF!CY171+③기타_CF!CY171</f>
        <v>970.530661656058</v>
      </c>
      <c r="CZ58" s="37" t="n">
        <f aca="false">②시니어_CF!CZ171+③기타_CF!CZ171</f>
        <v>1526.21256639155</v>
      </c>
      <c r="DA58" s="37" t="n">
        <f aca="false">②시니어_CF!DA171+③기타_CF!DA171</f>
        <v>1626.91509015511</v>
      </c>
      <c r="DB58" s="37" t="n">
        <f aca="false">②시니어_CF!DB171+③기타_CF!DB171</f>
        <v>1626.91509015511</v>
      </c>
      <c r="DC58" s="37" t="n">
        <f aca="false">②시니어_CF!DC171+③기타_CF!DC171</f>
        <v>1526.21256639155</v>
      </c>
      <c r="DD58" s="37" t="n">
        <f aca="false">②시니어_CF!DD171+③기타_CF!DD171</f>
        <v>1626.91509015511</v>
      </c>
      <c r="DE58" s="37" t="n">
        <f aca="false">②시니어_CF!DE171+③기타_CF!DE171</f>
        <v>1526.21256639155</v>
      </c>
      <c r="DF58" s="37" t="n">
        <f aca="false">②시니어_CF!DF171+③기타_CF!DF171</f>
        <v>1626.91509015511</v>
      </c>
      <c r="DG58" s="37" t="n">
        <f aca="false">②시니어_CF!DG171+③기타_CF!DG171</f>
        <v>1626.91509015511</v>
      </c>
      <c r="DH58" s="37" t="n">
        <f aca="false">②시니어_CF!DH171+③기타_CF!DH171</f>
        <v>1324.80751886442</v>
      </c>
      <c r="DI58" s="37" t="n">
        <f aca="false">②시니어_CF!DI171+③기타_CF!DI171</f>
        <v>1728.45082637229</v>
      </c>
      <c r="DJ58" s="37" t="n">
        <f aca="false">②시니어_CF!DJ171+③기타_CF!DJ171</f>
        <v>1625.73425213345</v>
      </c>
      <c r="DK58" s="37" t="n">
        <f aca="false">②시니어_CF!DK171+③기타_CF!DK171</f>
        <v>1728.45082637229</v>
      </c>
      <c r="DL58" s="37" t="n">
        <f aca="false">②시니어_CF!DL171+③기타_CF!DL171</f>
        <v>1625.73425213345</v>
      </c>
      <c r="DM58" s="37" t="n">
        <f aca="false">②시니어_CF!DM171+③기타_CF!DM171</f>
        <v>1728.45082637229</v>
      </c>
      <c r="DN58" s="37" t="n">
        <f aca="false">②시니어_CF!DN171+③기타_CF!DN171</f>
        <v>1728.45082637228</v>
      </c>
      <c r="DO58" s="37" t="n">
        <f aca="false">②시니어_CF!DO171+③기타_CF!DO171</f>
        <v>1625.73425213345</v>
      </c>
      <c r="DP58" s="37" t="n">
        <f aca="false">②시니어_CF!DP171+③기타_CF!DP171</f>
        <v>1728.45082637229</v>
      </c>
      <c r="DQ58" s="37" t="n">
        <f aca="false">②시니어_CF!DQ171+③기타_CF!DQ171</f>
        <v>1625.73425213345</v>
      </c>
      <c r="DR58" s="37" t="n">
        <f aca="false">②시니어_CF!DR171+③기타_CF!DR171</f>
        <v>1728.45082637229</v>
      </c>
      <c r="DS58" s="37" t="n">
        <f aca="false">②시니어_CF!DS171+③기타_CF!DS171</f>
        <v>1728.45082637228</v>
      </c>
      <c r="DT58" s="37" t="n">
        <f aca="false">②시니어_CF!DT171+③기타_CF!DT171</f>
        <v>0</v>
      </c>
      <c r="DU58" s="37" t="n">
        <f aca="false">②시니어_CF!DU171+③기타_CF!DU171</f>
        <v>0</v>
      </c>
      <c r="DV58" s="37" t="n">
        <f aca="false">②시니어_CF!DV171+③기타_CF!DV171</f>
        <v>0</v>
      </c>
      <c r="DW58" s="37" t="n">
        <f aca="false">②시니어_CF!DW171+③기타_CF!DW171</f>
        <v>608877.530166204</v>
      </c>
      <c r="DX58" s="37" t="n">
        <f aca="false">②시니어_CF!DX171+③기타_CF!DX171</f>
        <v>0</v>
      </c>
      <c r="DY58" s="37" t="n">
        <f aca="false">②시니어_CF!DY171+③기타_CF!DY171</f>
        <v>0</v>
      </c>
      <c r="DZ58" s="37" t="n">
        <f aca="false">②시니어_CF!DZ171+③기타_CF!DZ171</f>
        <v>0</v>
      </c>
      <c r="EA58" s="37" t="n">
        <f aca="false">②시니어_CF!EA171+③기타_CF!EA171</f>
        <v>0</v>
      </c>
      <c r="EB58" s="37" t="n">
        <f aca="false">②시니어_CF!EB171+③기타_CF!EB171</f>
        <v>0</v>
      </c>
      <c r="EC58" s="37" t="n">
        <f aca="false">②시니어_CF!EC171+③기타_CF!EC171</f>
        <v>0</v>
      </c>
      <c r="ED58" s="37" t="n">
        <f aca="false">②시니어_CF!ED171+③기타_CF!ED171</f>
        <v>0</v>
      </c>
      <c r="EE58" s="37" t="n">
        <f aca="false">②시니어_CF!EE171+③기타_CF!EE171</f>
        <v>0</v>
      </c>
      <c r="EF58" s="37" t="n">
        <f aca="false">②시니어_CF!EF171+③기타_CF!EF171</f>
        <v>0</v>
      </c>
    </row>
    <row r="59" customFormat="false" ht="15" hidden="false" customHeight="false" outlineLevel="0" collapsed="false">
      <c r="B59" s="36" t="s">
        <v>77</v>
      </c>
      <c r="E59" s="37" t="n">
        <f aca="false">②시니어_CF!E172+③기타_CF!E172</f>
        <v>0</v>
      </c>
      <c r="F59" s="37" t="n">
        <f aca="false">②시니어_CF!F172+③기타_CF!F172</f>
        <v>0</v>
      </c>
      <c r="G59" s="37" t="n">
        <f aca="false">②시니어_CF!G172+③기타_CF!G172</f>
        <v>0</v>
      </c>
      <c r="H59" s="37" t="n">
        <f aca="false">②시니어_CF!H172+③기타_CF!H172</f>
        <v>0</v>
      </c>
      <c r="I59" s="37" t="n">
        <f aca="false">②시니어_CF!I172+③기타_CF!I172</f>
        <v>0</v>
      </c>
      <c r="J59" s="37" t="n">
        <f aca="false">②시니어_CF!J172+③기타_CF!J172</f>
        <v>0</v>
      </c>
      <c r="K59" s="37" t="n">
        <f aca="false">②시니어_CF!K172+③기타_CF!K172</f>
        <v>0</v>
      </c>
      <c r="L59" s="37" t="n">
        <f aca="false">②시니어_CF!L172+③기타_CF!L172</f>
        <v>0</v>
      </c>
      <c r="M59" s="37" t="n">
        <f aca="false">②시니어_CF!M172+③기타_CF!M172</f>
        <v>0</v>
      </c>
      <c r="N59" s="37" t="n">
        <f aca="false">②시니어_CF!N172+③기타_CF!N172</f>
        <v>0</v>
      </c>
      <c r="O59" s="37" t="n">
        <f aca="false">②시니어_CF!O172+③기타_CF!O172</f>
        <v>0</v>
      </c>
      <c r="P59" s="37" t="n">
        <f aca="false">②시니어_CF!P172+③기타_CF!P172</f>
        <v>0</v>
      </c>
      <c r="Q59" s="37" t="n">
        <f aca="false">②시니어_CF!Q172+③기타_CF!Q172</f>
        <v>0</v>
      </c>
      <c r="R59" s="37" t="n">
        <f aca="false">②시니어_CF!R172+③기타_CF!R172</f>
        <v>0</v>
      </c>
      <c r="S59" s="37" t="n">
        <f aca="false">②시니어_CF!S172+③기타_CF!S172</f>
        <v>0</v>
      </c>
      <c r="T59" s="37" t="n">
        <f aca="false">②시니어_CF!T172+③기타_CF!T172</f>
        <v>0</v>
      </c>
      <c r="U59" s="37" t="n">
        <f aca="false">②시니어_CF!U172+③기타_CF!U172</f>
        <v>0</v>
      </c>
      <c r="V59" s="37" t="n">
        <f aca="false">②시니어_CF!V172+③기타_CF!V172</f>
        <v>0</v>
      </c>
      <c r="W59" s="37" t="n">
        <f aca="false">②시니어_CF!W172+③기타_CF!W172</f>
        <v>-202696.066530469</v>
      </c>
      <c r="X59" s="37" t="n">
        <f aca="false">②시니어_CF!X172+③기타_CF!X172</f>
        <v>0</v>
      </c>
      <c r="Y59" s="37" t="n">
        <f aca="false">②시니어_CF!Y172+③기타_CF!Y172</f>
        <v>0</v>
      </c>
      <c r="Z59" s="37" t="n">
        <f aca="false">②시니어_CF!Z172+③기타_CF!Z172</f>
        <v>0</v>
      </c>
      <c r="AA59" s="37" t="n">
        <f aca="false">②시니어_CF!AA172+③기타_CF!AA172</f>
        <v>0</v>
      </c>
      <c r="AB59" s="37" t="n">
        <f aca="false">②시니어_CF!AB172+③기타_CF!AB172</f>
        <v>0</v>
      </c>
      <c r="AC59" s="37" t="n">
        <f aca="false">②시니어_CF!AC172+③기타_CF!AC172</f>
        <v>0</v>
      </c>
      <c r="AD59" s="37" t="n">
        <f aca="false">②시니어_CF!AD172+③기타_CF!AD172</f>
        <v>0</v>
      </c>
      <c r="AE59" s="37" t="n">
        <f aca="false">②시니어_CF!AE172+③기타_CF!AE172</f>
        <v>0</v>
      </c>
      <c r="AF59" s="37" t="n">
        <f aca="false">②시니어_CF!AF172+③기타_CF!AF172</f>
        <v>0</v>
      </c>
      <c r="AG59" s="37" t="n">
        <f aca="false">②시니어_CF!AG172+③기타_CF!AG172</f>
        <v>0</v>
      </c>
      <c r="AH59" s="37" t="n">
        <f aca="false">②시니어_CF!AH172+③기타_CF!AH172</f>
        <v>0</v>
      </c>
      <c r="AI59" s="37" t="n">
        <f aca="false">②시니어_CF!AI172+③기타_CF!AI172</f>
        <v>0</v>
      </c>
      <c r="AJ59" s="37" t="n">
        <f aca="false">②시니어_CF!AJ172+③기타_CF!AJ172</f>
        <v>0</v>
      </c>
      <c r="AK59" s="37" t="n">
        <f aca="false">②시니어_CF!AK172+③기타_CF!AK172</f>
        <v>0</v>
      </c>
      <c r="AL59" s="37" t="n">
        <f aca="false">②시니어_CF!AL172+③기타_CF!AL172</f>
        <v>0</v>
      </c>
      <c r="AM59" s="37" t="n">
        <f aca="false">②시니어_CF!AM172+③기타_CF!AM172</f>
        <v>0</v>
      </c>
      <c r="AN59" s="37" t="n">
        <f aca="false">②시니어_CF!AN172+③기타_CF!AN172</f>
        <v>0</v>
      </c>
      <c r="AO59" s="37" t="n">
        <f aca="false">②시니어_CF!AO172+③기타_CF!AO172</f>
        <v>0</v>
      </c>
      <c r="AP59" s="37" t="n">
        <f aca="false">②시니어_CF!AP172+③기타_CF!AP172</f>
        <v>0</v>
      </c>
      <c r="AQ59" s="37" t="n">
        <f aca="false">②시니어_CF!AQ172+③기타_CF!AQ172</f>
        <v>0</v>
      </c>
      <c r="AR59" s="37" t="n">
        <f aca="false">②시니어_CF!AR172+③기타_CF!AR172</f>
        <v>0</v>
      </c>
      <c r="AS59" s="37" t="n">
        <f aca="false">②시니어_CF!AS172+③기타_CF!AS172</f>
        <v>0</v>
      </c>
      <c r="AT59" s="37" t="n">
        <f aca="false">②시니어_CF!AT172+③기타_CF!AT172</f>
        <v>0</v>
      </c>
      <c r="AU59" s="37" t="n">
        <f aca="false">②시니어_CF!AU172+③기타_CF!AU172</f>
        <v>0</v>
      </c>
      <c r="AV59" s="37" t="n">
        <f aca="false">②시니어_CF!AV172+③기타_CF!AV172</f>
        <v>0</v>
      </c>
      <c r="AW59" s="37" t="n">
        <f aca="false">②시니어_CF!AW172+③기타_CF!AW172</f>
        <v>0</v>
      </c>
      <c r="AX59" s="37" t="n">
        <f aca="false">②시니어_CF!AX172+③기타_CF!AX172</f>
        <v>0</v>
      </c>
      <c r="AY59" s="37" t="n">
        <f aca="false">②시니어_CF!AY172+③기타_CF!AY172</f>
        <v>0</v>
      </c>
      <c r="AZ59" s="37" t="n">
        <f aca="false">②시니어_CF!AZ172+③기타_CF!AZ172</f>
        <v>0</v>
      </c>
      <c r="BA59" s="37" t="n">
        <f aca="false">②시니어_CF!BA172+③기타_CF!BA172</f>
        <v>0</v>
      </c>
      <c r="BB59" s="37" t="n">
        <f aca="false">②시니어_CF!BB172+③기타_CF!BB172</f>
        <v>0</v>
      </c>
      <c r="BC59" s="37" t="n">
        <f aca="false">②시니어_CF!BC172+③기타_CF!BC172</f>
        <v>0</v>
      </c>
      <c r="BD59" s="37" t="n">
        <f aca="false">②시니어_CF!BD172+③기타_CF!BD172</f>
        <v>0</v>
      </c>
      <c r="BE59" s="37" t="n">
        <f aca="false">②시니어_CF!BE172+③기타_CF!BE172</f>
        <v>0</v>
      </c>
      <c r="BF59" s="37" t="n">
        <f aca="false">②시니어_CF!BF172+③기타_CF!BF172</f>
        <v>0</v>
      </c>
      <c r="BG59" s="37" t="n">
        <f aca="false">②시니어_CF!BG172+③기타_CF!BG172</f>
        <v>0</v>
      </c>
      <c r="BH59" s="37" t="n">
        <f aca="false">②시니어_CF!BH172+③기타_CF!BH172</f>
        <v>0</v>
      </c>
      <c r="BI59" s="37" t="n">
        <f aca="false">②시니어_CF!BI172+③기타_CF!BI172</f>
        <v>0</v>
      </c>
      <c r="BJ59" s="37" t="n">
        <f aca="false">②시니어_CF!BJ172+③기타_CF!BJ172</f>
        <v>0</v>
      </c>
      <c r="BK59" s="37" t="n">
        <f aca="false">②시니어_CF!BK172+③기타_CF!BK172</f>
        <v>0</v>
      </c>
      <c r="BL59" s="37" t="n">
        <f aca="false">②시니어_CF!BL172+③기타_CF!BL172</f>
        <v>0</v>
      </c>
      <c r="BM59" s="37" t="n">
        <f aca="false">②시니어_CF!BM172+③기타_CF!BM172</f>
        <v>7533.97306355463</v>
      </c>
      <c r="BN59" s="37" t="n">
        <f aca="false">②시니어_CF!BN172+③기타_CF!BN172</f>
        <v>743.456794141883</v>
      </c>
      <c r="BO59" s="37" t="n">
        <f aca="false">②시니어_CF!BO172+③기타_CF!BO172</f>
        <v>825.698466457854</v>
      </c>
      <c r="BP59" s="37" t="n">
        <f aca="false">②시니어_CF!BP172+③기타_CF!BP172</f>
        <v>743.456794141883</v>
      </c>
      <c r="BQ59" s="37" t="n">
        <f aca="false">②시니어_CF!BQ172+③기타_CF!BQ172</f>
        <v>825.698466457854</v>
      </c>
      <c r="BR59" s="37" t="n">
        <f aca="false">②시니어_CF!BR172+③기타_CF!BR172</f>
        <v>825.698466457853</v>
      </c>
      <c r="BS59" s="37" t="n">
        <f aca="false">②시니어_CF!BS172+③기타_CF!BS172</f>
        <v>743.456794141883</v>
      </c>
      <c r="BT59" s="37" t="n">
        <f aca="false">②시니어_CF!BT172+③기타_CF!BT172</f>
        <v>825.698466457853</v>
      </c>
      <c r="BU59" s="37" t="n">
        <f aca="false">②시니어_CF!BU172+③기타_CF!BU172</f>
        <v>743.456794141882</v>
      </c>
      <c r="BV59" s="37" t="n">
        <f aca="false">②시니어_CF!BV172+③기타_CF!BV172</f>
        <v>825.698466457853</v>
      </c>
      <c r="BW59" s="37" t="n">
        <f aca="false">②시니어_CF!BW172+③기타_CF!BW172</f>
        <v>825.698466457853</v>
      </c>
      <c r="BX59" s="37" t="n">
        <f aca="false">②시니어_CF!BX172+③기타_CF!BX172</f>
        <v>661.21512182591</v>
      </c>
      <c r="BY59" s="37" t="n">
        <f aca="false">②시니어_CF!BY172+③기타_CF!BY172</f>
        <v>1821.5373363983</v>
      </c>
      <c r="BZ59" s="37" t="n">
        <f aca="false">②시니어_CF!BZ172+③기타_CF!BZ172</f>
        <v>2129.64401436489</v>
      </c>
      <c r="CA59" s="37" t="n">
        <f aca="false">②시니어_CF!CA172+③기타_CF!CA172</f>
        <v>2226.4361363983</v>
      </c>
      <c r="CB59" s="37" t="n">
        <f aca="false">②시니어_CF!CB172+③기타_CF!CB172</f>
        <v>2129.64401436489</v>
      </c>
      <c r="CC59" s="37" t="n">
        <f aca="false">②시니어_CF!CC172+③기타_CF!CC172</f>
        <v>2226.4361363983</v>
      </c>
      <c r="CD59" s="37" t="n">
        <f aca="false">②시니어_CF!CD172+③기타_CF!CD172</f>
        <v>2226.4361363983</v>
      </c>
      <c r="CE59" s="37" t="n">
        <f aca="false">②시니어_CF!CE172+③기타_CF!CE172</f>
        <v>2129.64401436489</v>
      </c>
      <c r="CF59" s="37" t="n">
        <f aca="false">②시니어_CF!CF172+③기타_CF!CF172</f>
        <v>2226.4361363983</v>
      </c>
      <c r="CG59" s="37" t="n">
        <f aca="false">②시니어_CF!CG172+③기타_CF!CG172</f>
        <v>2129.64401436489</v>
      </c>
      <c r="CH59" s="37" t="n">
        <f aca="false">②시니어_CF!CH172+③기타_CF!CH172</f>
        <v>2226.4361363983</v>
      </c>
      <c r="CI59" s="37" t="n">
        <f aca="false">②시니어_CF!CI172+③기타_CF!CI172</f>
        <v>2226.4361363983</v>
      </c>
      <c r="CJ59" s="37" t="n">
        <f aca="false">②시니어_CF!CJ172+③기타_CF!CJ172</f>
        <v>1936.05977029806</v>
      </c>
      <c r="CK59" s="37" t="n">
        <f aca="false">②시니어_CF!CK172+③기타_CF!CK172</f>
        <v>2324.02911623026</v>
      </c>
      <c r="CL59" s="37" t="n">
        <f aca="false">②시니어_CF!CL172+③기타_CF!CL172</f>
        <v>2254.45115175618</v>
      </c>
      <c r="CM59" s="37" t="n">
        <f aca="false">②시니어_CF!CM172+③기타_CF!CM172</f>
        <v>2353.17911623026</v>
      </c>
      <c r="CN59" s="37" t="n">
        <f aca="false">②시니어_CF!CN172+③기타_CF!CN172</f>
        <v>2254.45115175618</v>
      </c>
      <c r="CO59" s="37" t="n">
        <f aca="false">②시니어_CF!CO172+③기타_CF!CO172</f>
        <v>2092.13581027396</v>
      </c>
      <c r="CP59" s="37" t="n">
        <f aca="false">②시니어_CF!CP172+③기타_CF!CP172</f>
        <v>2021.8731124209</v>
      </c>
      <c r="CQ59" s="37" t="n">
        <f aca="false">②시니어_CF!CQ172+③기타_CF!CQ172</f>
        <v>1923.14514794682</v>
      </c>
      <c r="CR59" s="37" t="n">
        <f aca="false">②시니어_CF!CR172+③기타_CF!CR172</f>
        <v>2021.8731124209</v>
      </c>
      <c r="CS59" s="37" t="n">
        <f aca="false">②시니어_CF!CS172+③기타_CF!CS172</f>
        <v>1923.14514794682</v>
      </c>
      <c r="CT59" s="37" t="n">
        <f aca="false">②시니어_CF!CT172+③기타_CF!CT172</f>
        <v>2021.8731124209</v>
      </c>
      <c r="CU59" s="37" t="n">
        <f aca="false">②시니어_CF!CU172+③기타_CF!CU172</f>
        <v>2021.8731124209</v>
      </c>
      <c r="CV59" s="37" t="n">
        <f aca="false">②시니어_CF!CV172+③기타_CF!CV172</f>
        <v>1725.68921899866</v>
      </c>
      <c r="CW59" s="37" t="n">
        <f aca="false">②시니어_CF!CW172+③기타_CF!CW172</f>
        <v>2113.15797443068</v>
      </c>
      <c r="CX59" s="37" t="n">
        <f aca="false">②시니어_CF!CX172+③기타_CF!CX172</f>
        <v>2012.45545066712</v>
      </c>
      <c r="CY59" s="37" t="n">
        <f aca="false">②시니어_CF!CY172+③기타_CF!CY172</f>
        <v>1482.19329400281</v>
      </c>
      <c r="CZ59" s="37" t="n">
        <f aca="false">②시니어_CF!CZ172+③기타_CF!CZ172</f>
        <v>825.808865503752</v>
      </c>
      <c r="DA59" s="37" t="n">
        <f aca="false">②시니어_CF!DA172+③기타_CF!DA172</f>
        <v>825.808865503752</v>
      </c>
      <c r="DB59" s="37" t="n">
        <f aca="false">②시니어_CF!DB172+③기타_CF!DB172</f>
        <v>825.808865503752</v>
      </c>
      <c r="DC59" s="37" t="n">
        <f aca="false">②시니어_CF!DC172+③기타_CF!DC172</f>
        <v>825.808865503752</v>
      </c>
      <c r="DD59" s="37" t="n">
        <f aca="false">②시니어_CF!DD172+③기타_CF!DD172</f>
        <v>825.808865503752</v>
      </c>
      <c r="DE59" s="37" t="n">
        <f aca="false">②시니어_CF!DE172+③기타_CF!DE172</f>
        <v>825.808865503752</v>
      </c>
      <c r="DF59" s="37" t="n">
        <f aca="false">②시니어_CF!DF172+③기타_CF!DF172</f>
        <v>825.808865503752</v>
      </c>
      <c r="DG59" s="37" t="n">
        <f aca="false">②시니어_CF!DG172+③기타_CF!DG172</f>
        <v>825.808865503752</v>
      </c>
      <c r="DH59" s="37" t="n">
        <f aca="false">②시니어_CF!DH172+③기타_CF!DH172</f>
        <v>825.808865503752</v>
      </c>
      <c r="DI59" s="37" t="n">
        <f aca="false">②시니어_CF!DI172+③기타_CF!DI172</f>
        <v>825.808865503752</v>
      </c>
      <c r="DJ59" s="37" t="n">
        <f aca="false">②시니어_CF!DJ172+③기타_CF!DJ172</f>
        <v>825.808865503752</v>
      </c>
      <c r="DK59" s="37" t="n">
        <f aca="false">②시니어_CF!DK172+③기타_CF!DK172</f>
        <v>825.808865503752</v>
      </c>
      <c r="DL59" s="37" t="n">
        <f aca="false">②시니어_CF!DL172+③기타_CF!DL172</f>
        <v>825.808865503752</v>
      </c>
      <c r="DM59" s="37" t="n">
        <f aca="false">②시니어_CF!DM172+③기타_CF!DM172</f>
        <v>825.808865503752</v>
      </c>
      <c r="DN59" s="37" t="n">
        <f aca="false">②시니어_CF!DN172+③기타_CF!DN172</f>
        <v>825.808865503752</v>
      </c>
      <c r="DO59" s="37" t="n">
        <f aca="false">②시니어_CF!DO172+③기타_CF!DO172</f>
        <v>825.808865503752</v>
      </c>
      <c r="DP59" s="37" t="n">
        <f aca="false">②시니어_CF!DP172+③기타_CF!DP172</f>
        <v>825.808865503752</v>
      </c>
      <c r="DQ59" s="37" t="n">
        <f aca="false">②시니어_CF!DQ172+③기타_CF!DQ172</f>
        <v>825.808865503752</v>
      </c>
      <c r="DR59" s="37" t="n">
        <f aca="false">②시니어_CF!DR172+③기타_CF!DR172</f>
        <v>825.808865503752</v>
      </c>
      <c r="DS59" s="37" t="n">
        <f aca="false">②시니어_CF!DS172+③기타_CF!DS172</f>
        <v>825.808865503752</v>
      </c>
      <c r="DT59" s="37" t="n">
        <f aca="false">②시니어_CF!DT172+③기타_CF!DT172</f>
        <v>0</v>
      </c>
      <c r="DU59" s="37" t="n">
        <f aca="false">②시니어_CF!DU172+③기타_CF!DU172</f>
        <v>0</v>
      </c>
      <c r="DV59" s="37" t="n">
        <f aca="false">②시니어_CF!DV172+③기타_CF!DV172</f>
        <v>0</v>
      </c>
      <c r="DW59" s="37" t="n">
        <f aca="false">②시니어_CF!DW172+③기타_CF!DW172</f>
        <v>149553.497830506</v>
      </c>
      <c r="DX59" s="37" t="n">
        <f aca="false">②시니어_CF!DX172+③기타_CF!DX172</f>
        <v>0</v>
      </c>
      <c r="DY59" s="37" t="n">
        <f aca="false">②시니어_CF!DY172+③기타_CF!DY172</f>
        <v>0</v>
      </c>
      <c r="DZ59" s="37" t="n">
        <f aca="false">②시니어_CF!DZ172+③기타_CF!DZ172</f>
        <v>0</v>
      </c>
      <c r="EA59" s="37" t="n">
        <f aca="false">②시니어_CF!EA172+③기타_CF!EA172</f>
        <v>0</v>
      </c>
      <c r="EB59" s="37" t="n">
        <f aca="false">②시니어_CF!EB172+③기타_CF!EB172</f>
        <v>0</v>
      </c>
      <c r="EC59" s="37" t="n">
        <f aca="false">②시니어_CF!EC172+③기타_CF!EC172</f>
        <v>0</v>
      </c>
      <c r="ED59" s="37" t="n">
        <f aca="false">②시니어_CF!ED172+③기타_CF!ED172</f>
        <v>0</v>
      </c>
      <c r="EE59" s="37" t="n">
        <f aca="false">②시니어_CF!EE172+③기타_CF!EE172</f>
        <v>0</v>
      </c>
      <c r="EF59" s="37" t="n">
        <f aca="false">②시니어_CF!EF172+③기타_CF!EF172</f>
        <v>0</v>
      </c>
    </row>
    <row r="60" customFormat="false" ht="15" hidden="false" customHeight="false" outlineLevel="0" collapsed="false">
      <c r="B60" s="36" t="s">
        <v>78</v>
      </c>
      <c r="E60" s="37" t="n">
        <f aca="false">②시니어_CF!E173+③기타_CF!E173</f>
        <v>-15940.5978035747</v>
      </c>
      <c r="F60" s="37" t="n">
        <f aca="false">②시니어_CF!F173+③기타_CF!F173</f>
        <v>0</v>
      </c>
      <c r="G60" s="37" t="n">
        <f aca="false">②시니어_CF!G173+③기타_CF!G173</f>
        <v>0</v>
      </c>
      <c r="H60" s="37" t="n">
        <f aca="false">②시니어_CF!H173+③기타_CF!H173</f>
        <v>0</v>
      </c>
      <c r="I60" s="37" t="n">
        <f aca="false">②시니어_CF!I173+③기타_CF!I173</f>
        <v>0</v>
      </c>
      <c r="J60" s="37" t="n">
        <f aca="false">②시니어_CF!J173+③기타_CF!J173</f>
        <v>0</v>
      </c>
      <c r="K60" s="37" t="n">
        <f aca="false">②시니어_CF!K173+③기타_CF!K173</f>
        <v>0</v>
      </c>
      <c r="L60" s="37" t="n">
        <f aca="false">②시니어_CF!L173+③기타_CF!L173</f>
        <v>0</v>
      </c>
      <c r="M60" s="37" t="n">
        <f aca="false">②시니어_CF!M173+③기타_CF!M173</f>
        <v>0</v>
      </c>
      <c r="N60" s="37" t="n">
        <f aca="false">②시니어_CF!N173+③기타_CF!N173</f>
        <v>0</v>
      </c>
      <c r="O60" s="37" t="n">
        <f aca="false">②시니어_CF!O173+③기타_CF!O173</f>
        <v>0</v>
      </c>
      <c r="P60" s="37" t="n">
        <f aca="false">②시니어_CF!P173+③기타_CF!P173</f>
        <v>0</v>
      </c>
      <c r="Q60" s="37" t="n">
        <f aca="false">②시니어_CF!Q173+③기타_CF!Q173</f>
        <v>0</v>
      </c>
      <c r="R60" s="37" t="n">
        <f aca="false">②시니어_CF!R173+③기타_CF!R173</f>
        <v>0</v>
      </c>
      <c r="S60" s="37" t="n">
        <f aca="false">②시니어_CF!S173+③기타_CF!S173</f>
        <v>0</v>
      </c>
      <c r="T60" s="37" t="n">
        <f aca="false">②시니어_CF!T173+③기타_CF!T173</f>
        <v>0</v>
      </c>
      <c r="U60" s="37" t="n">
        <f aca="false">②시니어_CF!U173+③기타_CF!U173</f>
        <v>0</v>
      </c>
      <c r="V60" s="37" t="n">
        <f aca="false">②시니어_CF!V173+③기타_CF!V173</f>
        <v>0</v>
      </c>
      <c r="W60" s="37" t="n">
        <f aca="false">②시니어_CF!W173+③기타_CF!W173</f>
        <v>-273625.211525666</v>
      </c>
      <c r="X60" s="37" t="n">
        <f aca="false">②시니어_CF!X173+③기타_CF!X173</f>
        <v>0</v>
      </c>
      <c r="Y60" s="37" t="n">
        <f aca="false">②시니어_CF!Y173+③기타_CF!Y173</f>
        <v>0</v>
      </c>
      <c r="Z60" s="37" t="n">
        <f aca="false">②시니어_CF!Z173+③기타_CF!Z173</f>
        <v>0</v>
      </c>
      <c r="AA60" s="37" t="n">
        <f aca="false">②시니어_CF!AA173+③기타_CF!AA173</f>
        <v>0</v>
      </c>
      <c r="AB60" s="37" t="n">
        <f aca="false">②시니어_CF!AB173+③기타_CF!AB173</f>
        <v>0</v>
      </c>
      <c r="AC60" s="37" t="n">
        <f aca="false">②시니어_CF!AC173+③기타_CF!AC173</f>
        <v>0</v>
      </c>
      <c r="AD60" s="37" t="n">
        <f aca="false">②시니어_CF!AD173+③기타_CF!AD173</f>
        <v>0</v>
      </c>
      <c r="AE60" s="37" t="n">
        <f aca="false">②시니어_CF!AE173+③기타_CF!AE173</f>
        <v>0</v>
      </c>
      <c r="AF60" s="37" t="n">
        <f aca="false">②시니어_CF!AF173+③기타_CF!AF173</f>
        <v>0</v>
      </c>
      <c r="AG60" s="37" t="n">
        <f aca="false">②시니어_CF!AG173+③기타_CF!AG173</f>
        <v>0</v>
      </c>
      <c r="AH60" s="37" t="n">
        <f aca="false">②시니어_CF!AH173+③기타_CF!AH173</f>
        <v>0</v>
      </c>
      <c r="AI60" s="37" t="n">
        <f aca="false">②시니어_CF!AI173+③기타_CF!AI173</f>
        <v>0</v>
      </c>
      <c r="AJ60" s="37" t="n">
        <f aca="false">②시니어_CF!AJ173+③기타_CF!AJ173</f>
        <v>0</v>
      </c>
      <c r="AK60" s="37" t="n">
        <f aca="false">②시니어_CF!AK173+③기타_CF!AK173</f>
        <v>0</v>
      </c>
      <c r="AL60" s="37" t="n">
        <f aca="false">②시니어_CF!AL173+③기타_CF!AL173</f>
        <v>0</v>
      </c>
      <c r="AM60" s="37" t="n">
        <f aca="false">②시니어_CF!AM173+③기타_CF!AM173</f>
        <v>0</v>
      </c>
      <c r="AN60" s="37" t="n">
        <f aca="false">②시니어_CF!AN173+③기타_CF!AN173</f>
        <v>0</v>
      </c>
      <c r="AO60" s="37" t="n">
        <f aca="false">②시니어_CF!AO173+③기타_CF!AO173</f>
        <v>0</v>
      </c>
      <c r="AP60" s="37" t="n">
        <f aca="false">②시니어_CF!AP173+③기타_CF!AP173</f>
        <v>0</v>
      </c>
      <c r="AQ60" s="37" t="n">
        <f aca="false">②시니어_CF!AQ173+③기타_CF!AQ173</f>
        <v>0</v>
      </c>
      <c r="AR60" s="37" t="n">
        <f aca="false">②시니어_CF!AR173+③기타_CF!AR173</f>
        <v>0</v>
      </c>
      <c r="AS60" s="37" t="n">
        <f aca="false">②시니어_CF!AS173+③기타_CF!AS173</f>
        <v>0</v>
      </c>
      <c r="AT60" s="37" t="n">
        <f aca="false">②시니어_CF!AT173+③기타_CF!AT173</f>
        <v>0</v>
      </c>
      <c r="AU60" s="37" t="n">
        <f aca="false">②시니어_CF!AU173+③기타_CF!AU173</f>
        <v>0</v>
      </c>
      <c r="AV60" s="37" t="n">
        <f aca="false">②시니어_CF!AV173+③기타_CF!AV173</f>
        <v>0</v>
      </c>
      <c r="AW60" s="37" t="n">
        <f aca="false">②시니어_CF!AW173+③기타_CF!AW173</f>
        <v>0</v>
      </c>
      <c r="AX60" s="37" t="n">
        <f aca="false">②시니어_CF!AX173+③기타_CF!AX173</f>
        <v>0</v>
      </c>
      <c r="AY60" s="37" t="n">
        <f aca="false">②시니어_CF!AY173+③기타_CF!AY173</f>
        <v>0</v>
      </c>
      <c r="AZ60" s="37" t="n">
        <f aca="false">②시니어_CF!AZ173+③기타_CF!AZ173</f>
        <v>0</v>
      </c>
      <c r="BA60" s="37" t="n">
        <f aca="false">②시니어_CF!BA173+③기타_CF!BA173</f>
        <v>0</v>
      </c>
      <c r="BB60" s="37" t="n">
        <f aca="false">②시니어_CF!BB173+③기타_CF!BB173</f>
        <v>0</v>
      </c>
      <c r="BC60" s="37" t="n">
        <f aca="false">②시니어_CF!BC173+③기타_CF!BC173</f>
        <v>0</v>
      </c>
      <c r="BD60" s="37" t="n">
        <f aca="false">②시니어_CF!BD173+③기타_CF!BD173</f>
        <v>0</v>
      </c>
      <c r="BE60" s="37" t="n">
        <f aca="false">②시니어_CF!BE173+③기타_CF!BE173</f>
        <v>0</v>
      </c>
      <c r="BF60" s="37" t="n">
        <f aca="false">②시니어_CF!BF173+③기타_CF!BF173</f>
        <v>0</v>
      </c>
      <c r="BG60" s="37" t="n">
        <f aca="false">②시니어_CF!BG173+③기타_CF!BG173</f>
        <v>0</v>
      </c>
      <c r="BH60" s="37" t="n">
        <f aca="false">②시니어_CF!BH173+③기타_CF!BH173</f>
        <v>0</v>
      </c>
      <c r="BI60" s="37" t="n">
        <f aca="false">②시니어_CF!BI173+③기타_CF!BI173</f>
        <v>0</v>
      </c>
      <c r="BJ60" s="37" t="n">
        <f aca="false">②시니어_CF!BJ173+③기타_CF!BJ173</f>
        <v>0</v>
      </c>
      <c r="BK60" s="37" t="n">
        <f aca="false">②시니어_CF!BK173+③기타_CF!BK173</f>
        <v>0</v>
      </c>
      <c r="BL60" s="37" t="n">
        <f aca="false">②시니어_CF!BL173+③기타_CF!BL173</f>
        <v>0</v>
      </c>
      <c r="BM60" s="37" t="n">
        <f aca="false">②시니어_CF!BM173+③기타_CF!BM173</f>
        <v>7533.97306355463</v>
      </c>
      <c r="BN60" s="37" t="n">
        <f aca="false">②시니어_CF!BN173+③기타_CF!BN173</f>
        <v>743.456794141883</v>
      </c>
      <c r="BO60" s="37" t="n">
        <f aca="false">②시니어_CF!BO173+③기타_CF!BO173</f>
        <v>825.698466457854</v>
      </c>
      <c r="BP60" s="37" t="n">
        <f aca="false">②시니어_CF!BP173+③기타_CF!BP173</f>
        <v>743.456794141883</v>
      </c>
      <c r="BQ60" s="37" t="n">
        <f aca="false">②시니어_CF!BQ173+③기타_CF!BQ173</f>
        <v>825.698466457854</v>
      </c>
      <c r="BR60" s="37" t="n">
        <f aca="false">②시니어_CF!BR173+③기타_CF!BR173</f>
        <v>825.698466457853</v>
      </c>
      <c r="BS60" s="37" t="n">
        <f aca="false">②시니어_CF!BS173+③기타_CF!BS173</f>
        <v>743.456794141883</v>
      </c>
      <c r="BT60" s="37" t="n">
        <f aca="false">②시니어_CF!BT173+③기타_CF!BT173</f>
        <v>825.698466457853</v>
      </c>
      <c r="BU60" s="37" t="n">
        <f aca="false">②시니어_CF!BU173+③기타_CF!BU173</f>
        <v>743.456794141882</v>
      </c>
      <c r="BV60" s="37" t="n">
        <f aca="false">②시니어_CF!BV173+③기타_CF!BV173</f>
        <v>825.698466457853</v>
      </c>
      <c r="BW60" s="37" t="n">
        <f aca="false">②시니어_CF!BW173+③기타_CF!BW173</f>
        <v>825.698466457853</v>
      </c>
      <c r="BX60" s="37" t="n">
        <f aca="false">②시니어_CF!BX173+③기타_CF!BX173</f>
        <v>661.21512182591</v>
      </c>
      <c r="BY60" s="37" t="n">
        <f aca="false">②시니어_CF!BY173+③기타_CF!BY173</f>
        <v>1821.5373363983</v>
      </c>
      <c r="BZ60" s="37" t="n">
        <f aca="false">②시니어_CF!BZ173+③기타_CF!BZ173</f>
        <v>2129.64401436489</v>
      </c>
      <c r="CA60" s="37" t="n">
        <f aca="false">②시니어_CF!CA173+③기타_CF!CA173</f>
        <v>2226.4361363983</v>
      </c>
      <c r="CB60" s="37" t="n">
        <f aca="false">②시니어_CF!CB173+③기타_CF!CB173</f>
        <v>2129.64401436489</v>
      </c>
      <c r="CC60" s="37" t="n">
        <f aca="false">②시니어_CF!CC173+③기타_CF!CC173</f>
        <v>2226.4361363983</v>
      </c>
      <c r="CD60" s="37" t="n">
        <f aca="false">②시니어_CF!CD173+③기타_CF!CD173</f>
        <v>2226.4361363983</v>
      </c>
      <c r="CE60" s="37" t="n">
        <f aca="false">②시니어_CF!CE173+③기타_CF!CE173</f>
        <v>2129.64401436489</v>
      </c>
      <c r="CF60" s="37" t="n">
        <f aca="false">②시니어_CF!CF173+③기타_CF!CF173</f>
        <v>2226.4361363983</v>
      </c>
      <c r="CG60" s="37" t="n">
        <f aca="false">②시니어_CF!CG173+③기타_CF!CG173</f>
        <v>2129.64401436489</v>
      </c>
      <c r="CH60" s="37" t="n">
        <f aca="false">②시니어_CF!CH173+③기타_CF!CH173</f>
        <v>2226.4361363983</v>
      </c>
      <c r="CI60" s="37" t="n">
        <f aca="false">②시니어_CF!CI173+③기타_CF!CI173</f>
        <v>2226.4361363983</v>
      </c>
      <c r="CJ60" s="37" t="n">
        <f aca="false">②시니어_CF!CJ173+③기타_CF!CJ173</f>
        <v>1936.05977029806</v>
      </c>
      <c r="CK60" s="37" t="n">
        <f aca="false">②시니어_CF!CK173+③기타_CF!CK173</f>
        <v>2324.02911623026</v>
      </c>
      <c r="CL60" s="37" t="n">
        <f aca="false">②시니어_CF!CL173+③기타_CF!CL173</f>
        <v>2254.45115175618</v>
      </c>
      <c r="CM60" s="37" t="n">
        <f aca="false">②시니어_CF!CM173+③기타_CF!CM173</f>
        <v>2353.17911623026</v>
      </c>
      <c r="CN60" s="37" t="n">
        <f aca="false">②시니어_CF!CN173+③기타_CF!CN173</f>
        <v>2254.45115175618</v>
      </c>
      <c r="CO60" s="37" t="n">
        <f aca="false">②시니어_CF!CO173+③기타_CF!CO173</f>
        <v>2353.17911623026</v>
      </c>
      <c r="CP60" s="37" t="n">
        <f aca="false">②시니어_CF!CP173+③기타_CF!CP173</f>
        <v>2353.17911623026</v>
      </c>
      <c r="CQ60" s="37" t="n">
        <f aca="false">②시니어_CF!CQ173+③기타_CF!CQ173</f>
        <v>2254.45115175618</v>
      </c>
      <c r="CR60" s="37" t="n">
        <f aca="false">②시니어_CF!CR173+③기타_CF!CR173</f>
        <v>2353.17911623026</v>
      </c>
      <c r="CS60" s="37" t="n">
        <f aca="false">②시니어_CF!CS173+③기타_CF!CS173</f>
        <v>2254.45115175618</v>
      </c>
      <c r="CT60" s="37" t="n">
        <f aca="false">②시니어_CF!CT173+③기타_CF!CT173</f>
        <v>2353.17911623026</v>
      </c>
      <c r="CU60" s="37" t="n">
        <f aca="false">②시니어_CF!CU173+③기타_CF!CU173</f>
        <v>2353.17911623026</v>
      </c>
      <c r="CV60" s="37" t="n">
        <f aca="false">②시니어_CF!CV173+③기타_CF!CV173</f>
        <v>2056.99522280802</v>
      </c>
      <c r="CW60" s="37" t="n">
        <f aca="false">②시니어_CF!CW173+③기타_CF!CW173</f>
        <v>2452.72395565886</v>
      </c>
      <c r="CX60" s="37" t="n">
        <f aca="false">②시니어_CF!CX173+③기타_CF!CX173</f>
        <v>2352.0214318953</v>
      </c>
      <c r="CY60" s="37" t="n">
        <f aca="false">②시니어_CF!CY173+③기타_CF!CY173</f>
        <v>2452.72395565886</v>
      </c>
      <c r="CZ60" s="37" t="n">
        <f aca="false">②시니어_CF!CZ173+③기타_CF!CZ173</f>
        <v>2352.0214318953</v>
      </c>
      <c r="DA60" s="37" t="n">
        <f aca="false">②시니어_CF!DA173+③기타_CF!DA173</f>
        <v>2452.72395565886</v>
      </c>
      <c r="DB60" s="37" t="n">
        <f aca="false">②시니어_CF!DB173+③기타_CF!DB173</f>
        <v>2452.72395565886</v>
      </c>
      <c r="DC60" s="37" t="n">
        <f aca="false">②시니어_CF!DC173+③기타_CF!DC173</f>
        <v>2352.0214318953</v>
      </c>
      <c r="DD60" s="37" t="n">
        <f aca="false">②시니어_CF!DD173+③기타_CF!DD173</f>
        <v>2452.72395565886</v>
      </c>
      <c r="DE60" s="37" t="n">
        <f aca="false">②시니어_CF!DE173+③기타_CF!DE173</f>
        <v>2352.0214318953</v>
      </c>
      <c r="DF60" s="37" t="n">
        <f aca="false">②시니어_CF!DF173+③기타_CF!DF173</f>
        <v>2452.72395565886</v>
      </c>
      <c r="DG60" s="37" t="n">
        <f aca="false">②시니어_CF!DG173+③기타_CF!DG173</f>
        <v>2452.72395565886</v>
      </c>
      <c r="DH60" s="37" t="n">
        <f aca="false">②시니어_CF!DH173+③기타_CF!DH173</f>
        <v>2150.61638436817</v>
      </c>
      <c r="DI60" s="37" t="n">
        <f aca="false">②시니어_CF!DI173+③기타_CF!DI173</f>
        <v>2554.25969187604</v>
      </c>
      <c r="DJ60" s="37" t="n">
        <f aca="false">②시니어_CF!DJ173+③기타_CF!DJ173</f>
        <v>2451.5431176372</v>
      </c>
      <c r="DK60" s="37" t="n">
        <f aca="false">②시니어_CF!DK173+③기타_CF!DK173</f>
        <v>2554.25969187604</v>
      </c>
      <c r="DL60" s="37" t="n">
        <f aca="false">②시니어_CF!DL173+③기타_CF!DL173</f>
        <v>2451.5431176372</v>
      </c>
      <c r="DM60" s="37" t="n">
        <f aca="false">②시니어_CF!DM173+③기타_CF!DM173</f>
        <v>2554.25969187604</v>
      </c>
      <c r="DN60" s="37" t="n">
        <f aca="false">②시니어_CF!DN173+③기타_CF!DN173</f>
        <v>2554.25969187604</v>
      </c>
      <c r="DO60" s="37" t="n">
        <f aca="false">②시니어_CF!DO173+③기타_CF!DO173</f>
        <v>2451.5431176372</v>
      </c>
      <c r="DP60" s="37" t="n">
        <f aca="false">②시니어_CF!DP173+③기타_CF!DP173</f>
        <v>2554.25969187604</v>
      </c>
      <c r="DQ60" s="37" t="n">
        <f aca="false">②시니어_CF!DQ173+③기타_CF!DQ173</f>
        <v>2451.5431176372</v>
      </c>
      <c r="DR60" s="37" t="n">
        <f aca="false">②시니어_CF!DR173+③기타_CF!DR173</f>
        <v>2554.25969187604</v>
      </c>
      <c r="DS60" s="37" t="n">
        <f aca="false">②시니어_CF!DS173+③기타_CF!DS173</f>
        <v>2554.25969187604</v>
      </c>
      <c r="DT60" s="37" t="n">
        <f aca="false">②시니어_CF!DT173+③기타_CF!DT173</f>
        <v>0</v>
      </c>
      <c r="DU60" s="37" t="n">
        <f aca="false">②시니어_CF!DU173+③기타_CF!DU173</f>
        <v>0</v>
      </c>
      <c r="DV60" s="37" t="n">
        <f aca="false">②시니어_CF!DV173+③기타_CF!DV173</f>
        <v>0</v>
      </c>
      <c r="DW60" s="37" t="n">
        <f aca="false">②시니어_CF!DW173+③기타_CF!DW173</f>
        <v>758431.02799671</v>
      </c>
      <c r="DX60" s="37" t="n">
        <f aca="false">②시니어_CF!DX173+③기타_CF!DX173</f>
        <v>0</v>
      </c>
      <c r="DY60" s="37" t="n">
        <f aca="false">②시니어_CF!DY173+③기타_CF!DY173</f>
        <v>0</v>
      </c>
      <c r="DZ60" s="37" t="n">
        <f aca="false">②시니어_CF!DZ173+③기타_CF!DZ173</f>
        <v>0</v>
      </c>
      <c r="EA60" s="37" t="n">
        <f aca="false">②시니어_CF!EA173+③기타_CF!EA173</f>
        <v>0</v>
      </c>
      <c r="EB60" s="37" t="n">
        <f aca="false">②시니어_CF!EB173+③기타_CF!EB173</f>
        <v>0</v>
      </c>
      <c r="EC60" s="37" t="n">
        <f aca="false">②시니어_CF!EC173+③기타_CF!EC173</f>
        <v>0</v>
      </c>
      <c r="ED60" s="37" t="n">
        <f aca="false">②시니어_CF!ED173+③기타_CF!ED173</f>
        <v>0</v>
      </c>
      <c r="EE60" s="37" t="n">
        <f aca="false">②시니어_CF!EE173+③기타_CF!EE173</f>
        <v>0</v>
      </c>
      <c r="EF60" s="37" t="n">
        <f aca="false">②시니어_CF!EF173+③기타_CF!EF173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27" min="4" style="0" width="13"/>
  </cols>
  <sheetData>
    <row r="1" customFormat="false" ht="16.4" hidden="false" customHeight="false" outlineLevel="0" collapsed="false">
      <c r="A1" s="1"/>
      <c r="B1" s="2" t="s">
        <v>79</v>
      </c>
      <c r="C1" s="1"/>
      <c r="D1" s="1"/>
      <c r="E1" s="1"/>
      <c r="F1" s="1"/>
      <c r="G1" s="1"/>
      <c r="H1" s="1"/>
      <c r="I1" s="38" t="s">
        <v>80</v>
      </c>
      <c r="J1" s="39" t="s">
        <v>81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1"/>
      <c r="B2" s="40" t="s">
        <v>82</v>
      </c>
      <c r="C2" s="1"/>
      <c r="D2" s="1"/>
      <c r="E2" s="1"/>
      <c r="F2" s="1"/>
      <c r="G2" s="1"/>
      <c r="H2" s="1"/>
      <c r="I2" s="41" t="s">
        <v>83</v>
      </c>
      <c r="J2" s="39" t="s">
        <v>84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customFormat="false" ht="15" hidden="false" customHeight="false" outlineLevel="0" collapsed="false">
      <c r="A3" s="1"/>
      <c r="B3" s="1"/>
      <c r="C3" s="42" t="str">
        <f aca="false">IF(ABS(①통합_CF!$C$159)&lt;1,"OK","Error")</f>
        <v>OK</v>
      </c>
      <c r="D3" s="42" t="str">
        <f aca="false">IF(SUMPRODUCT(ABS($F$560:$F$569))&lt;1,"OK","Run Macro")</f>
        <v>OK</v>
      </c>
      <c r="E3" s="42" t="str">
        <f aca="false">IF(MIN(①통합_CF!$E$159:$EF$159)&gt;-0.5,"OK","Shortage")</f>
        <v>OK</v>
      </c>
      <c r="F3" s="42" t="str">
        <f aca="false">IF(SUM(①통합_CF!$E$153:$EF$153)-SUM(①통합_CF!$E$116:$EF$116)&lt;1,"OK","PF한도부족")</f>
        <v>OK</v>
      </c>
      <c r="G3" s="1"/>
      <c r="H3" s="1"/>
      <c r="I3" s="43" t="s">
        <v>85</v>
      </c>
      <c r="J3" s="39" t="s">
        <v>86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customFormat="false" ht="15" hidden="false" customHeight="false" outlineLevel="0" collapsed="false">
      <c r="A4" s="1"/>
      <c r="B4" s="1"/>
      <c r="C4" s="44" t="s">
        <v>87</v>
      </c>
      <c r="D4" s="44" t="s">
        <v>88</v>
      </c>
      <c r="E4" s="44" t="s">
        <v>89</v>
      </c>
      <c r="F4" s="44" t="s">
        <v>90</v>
      </c>
      <c r="G4" s="1"/>
      <c r="H4" s="1"/>
      <c r="I4" s="45" t="s">
        <v>91</v>
      </c>
      <c r="J4" s="39" t="s">
        <v>92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6" customFormat="false" ht="15" hidden="false" customHeight="false" outlineLevel="0" collapsed="false">
      <c r="A6" s="46" t="s">
        <v>93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8" customFormat="false" ht="15" hidden="false" customHeight="false" outlineLevel="0" collapsed="false">
      <c r="B8" s="47" t="s">
        <v>94</v>
      </c>
      <c r="C8" s="48"/>
      <c r="D8" s="49" t="s">
        <v>95</v>
      </c>
      <c r="E8" s="50" t="n">
        <v>46112</v>
      </c>
    </row>
    <row r="9" customFormat="false" ht="15" hidden="false" customHeight="false" outlineLevel="0" collapsed="false">
      <c r="B9" s="51" t="s">
        <v>96</v>
      </c>
      <c r="C9" s="52"/>
      <c r="D9" s="53" t="s">
        <v>97</v>
      </c>
      <c r="E9" s="54" t="n">
        <v>3</v>
      </c>
    </row>
    <row r="10" customFormat="false" ht="15" hidden="false" customHeight="false" outlineLevel="0" collapsed="false">
      <c r="B10" s="51" t="s">
        <v>98</v>
      </c>
      <c r="C10" s="52"/>
      <c r="D10" s="53" t="s">
        <v>95</v>
      </c>
      <c r="E10" s="55" t="n">
        <f aca="false">EOMONTH($E$8,$E$9)</f>
        <v>46203</v>
      </c>
    </row>
    <row r="11" customFormat="false" ht="15" hidden="false" customHeight="false" outlineLevel="0" collapsed="false">
      <c r="B11" s="51" t="s">
        <v>99</v>
      </c>
      <c r="C11" s="52"/>
      <c r="D11" s="53" t="s">
        <v>97</v>
      </c>
      <c r="E11" s="54" t="n">
        <v>14</v>
      </c>
    </row>
    <row r="12" customFormat="false" ht="15" hidden="false" customHeight="false" outlineLevel="0" collapsed="false">
      <c r="B12" s="51" t="s">
        <v>100</v>
      </c>
      <c r="C12" s="52"/>
      <c r="D12" s="53" t="s">
        <v>95</v>
      </c>
      <c r="E12" s="55" t="n">
        <f aca="false">EOMONTH($E$10,$E$11)</f>
        <v>46630</v>
      </c>
    </row>
    <row r="13" customFormat="false" ht="15" hidden="false" customHeight="false" outlineLevel="0" collapsed="false">
      <c r="B13" s="51" t="s">
        <v>101</v>
      </c>
      <c r="C13" s="52"/>
      <c r="D13" s="53" t="s">
        <v>97</v>
      </c>
      <c r="E13" s="54" t="n">
        <v>1</v>
      </c>
    </row>
    <row r="14" customFormat="false" ht="15" hidden="false" customHeight="false" outlineLevel="0" collapsed="false">
      <c r="B14" s="51" t="s">
        <v>102</v>
      </c>
      <c r="C14" s="52"/>
      <c r="D14" s="53" t="s">
        <v>95</v>
      </c>
      <c r="E14" s="55" t="n">
        <f aca="false">EOMONTH($E$12,$E$13)</f>
        <v>46660</v>
      </c>
    </row>
    <row r="15" customFormat="false" ht="15" hidden="false" customHeight="false" outlineLevel="0" collapsed="false">
      <c r="B15" s="51" t="s">
        <v>103</v>
      </c>
      <c r="C15" s="52"/>
      <c r="D15" s="53" t="s">
        <v>97</v>
      </c>
      <c r="E15" s="54" t="n">
        <v>42</v>
      </c>
    </row>
    <row r="16" customFormat="false" ht="15" hidden="false" customHeight="false" outlineLevel="0" collapsed="false">
      <c r="B16" s="51" t="s">
        <v>104</v>
      </c>
      <c r="C16" s="52"/>
      <c r="D16" s="53" t="s">
        <v>95</v>
      </c>
      <c r="E16" s="55" t="n">
        <f aca="false">EOMONTH($E$14,$E$15-1)</f>
        <v>47907</v>
      </c>
    </row>
    <row r="17" customFormat="false" ht="15" hidden="false" customHeight="false" outlineLevel="0" collapsed="false">
      <c r="B17" s="51" t="s">
        <v>105</v>
      </c>
      <c r="C17" s="52"/>
      <c r="D17" s="53" t="s">
        <v>97</v>
      </c>
      <c r="E17" s="54" t="n">
        <v>1</v>
      </c>
    </row>
    <row r="18" customFormat="false" ht="15" hidden="false" customHeight="false" outlineLevel="0" collapsed="false">
      <c r="B18" s="51" t="s">
        <v>106</v>
      </c>
      <c r="C18" s="52"/>
      <c r="D18" s="53" t="s">
        <v>95</v>
      </c>
      <c r="E18" s="55" t="n">
        <f aca="false">EOMONTH($E$16,$E$17)</f>
        <v>47938</v>
      </c>
    </row>
    <row r="19" customFormat="false" ht="15" hidden="false" customHeight="false" outlineLevel="0" collapsed="false">
      <c r="B19" s="51" t="s">
        <v>107</v>
      </c>
      <c r="C19" s="52"/>
      <c r="D19" s="53" t="s">
        <v>97</v>
      </c>
      <c r="E19" s="54" t="n">
        <v>60</v>
      </c>
    </row>
    <row r="20" customFormat="false" ht="15" hidden="false" customHeight="false" outlineLevel="0" collapsed="false">
      <c r="B20" s="51" t="s">
        <v>108</v>
      </c>
      <c r="C20" s="52"/>
      <c r="D20" s="53" t="s">
        <v>95</v>
      </c>
      <c r="E20" s="55" t="n">
        <f aca="false">EOMONTH($E$18,$E$19-1)</f>
        <v>49734</v>
      </c>
    </row>
    <row r="21" customFormat="false" ht="15" hidden="false" customHeight="false" outlineLevel="0" collapsed="false">
      <c r="B21" s="51" t="s">
        <v>109</v>
      </c>
      <c r="C21" s="52"/>
      <c r="D21" s="53" t="s">
        <v>97</v>
      </c>
      <c r="E21" s="54" t="n">
        <v>0</v>
      </c>
    </row>
    <row r="22" customFormat="false" ht="15" hidden="false" customHeight="false" outlineLevel="0" collapsed="false">
      <c r="B22" s="51" t="s">
        <v>110</v>
      </c>
      <c r="C22" s="52"/>
      <c r="D22" s="53" t="s">
        <v>95</v>
      </c>
      <c r="E22" s="55" t="n">
        <f aca="false">EOMONTH($E$20,$E$21)</f>
        <v>49734</v>
      </c>
    </row>
    <row r="23" customFormat="false" ht="15" hidden="false" customHeight="false" outlineLevel="0" collapsed="false">
      <c r="B23" s="51" t="s">
        <v>111</v>
      </c>
      <c r="C23" s="52"/>
      <c r="D23" s="53" t="s">
        <v>97</v>
      </c>
      <c r="E23" s="54" t="n">
        <v>3</v>
      </c>
    </row>
    <row r="24" customFormat="false" ht="15" hidden="false" customHeight="false" outlineLevel="0" collapsed="false">
      <c r="B24" s="51" t="s">
        <v>112</v>
      </c>
      <c r="C24" s="52"/>
      <c r="D24" s="53" t="s">
        <v>95</v>
      </c>
      <c r="E24" s="55" t="n">
        <f aca="false">EOMONTH($E$22,$E$23)</f>
        <v>49826</v>
      </c>
    </row>
    <row r="25" customFormat="false" ht="15" hidden="false" customHeight="false" outlineLevel="0" collapsed="false">
      <c r="B25" s="51" t="s">
        <v>113</v>
      </c>
      <c r="C25" s="52"/>
      <c r="D25" s="53" t="s">
        <v>114</v>
      </c>
      <c r="E25" s="56" t="n">
        <f aca="false">((YEAR($E$16)-YEAR($E$8))*12+MONTH($E$16)-MONTH($E$8)+1)/12</f>
        <v>5</v>
      </c>
    </row>
    <row r="26" customFormat="false" ht="15" hidden="false" customHeight="false" outlineLevel="0" collapsed="false">
      <c r="B26" s="57" t="s">
        <v>115</v>
      </c>
      <c r="C26" s="58"/>
      <c r="D26" s="59" t="s">
        <v>114</v>
      </c>
      <c r="E26" s="60" t="n">
        <f aca="false">((YEAR($E$24)-YEAR($E$18))*12+MONTH($E$24)-MONTH($E$18)+1)/12</f>
        <v>5.25</v>
      </c>
    </row>
    <row r="28" customFormat="false" ht="15" hidden="false" customHeight="false" outlineLevel="0" collapsed="false">
      <c r="A28" s="61" t="s">
        <v>116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30" customFormat="false" ht="15" hidden="false" customHeight="false" outlineLevel="0" collapsed="false">
      <c r="B30" s="62" t="s">
        <v>117</v>
      </c>
      <c r="C30" s="48"/>
      <c r="D30" s="48"/>
      <c r="E30" s="63" t="n">
        <f aca="false">①통합_CF!$C$171</f>
        <v>0.203927870290846</v>
      </c>
    </row>
    <row r="31" customFormat="false" ht="15" hidden="false" customHeight="false" outlineLevel="0" collapsed="false">
      <c r="B31" s="64" t="s">
        <v>118</v>
      </c>
      <c r="C31" s="52"/>
      <c r="D31" s="52"/>
      <c r="E31" s="65" t="n">
        <f aca="false">①통합_CF!$C$172</f>
        <v>0.0499999999985936</v>
      </c>
    </row>
    <row r="32" customFormat="false" ht="15" hidden="false" customHeight="false" outlineLevel="0" collapsed="false">
      <c r="B32" s="66" t="s">
        <v>119</v>
      </c>
      <c r="C32" s="58"/>
      <c r="D32" s="58"/>
      <c r="E32" s="67" t="n">
        <f aca="false">①통합_CF!$C$173</f>
        <v>0.121116349565578</v>
      </c>
    </row>
    <row r="34" customFormat="false" ht="15" hidden="false" customHeight="false" outlineLevel="0" collapsed="false">
      <c r="A34" s="61" t="s">
        <v>120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6" customFormat="false" ht="15" hidden="false" customHeight="false" outlineLevel="0" collapsed="false">
      <c r="B36" s="68" t="s">
        <v>121</v>
      </c>
      <c r="C36" s="68" t="s">
        <v>2</v>
      </c>
      <c r="D36" s="68" t="s">
        <v>122</v>
      </c>
      <c r="E36" s="68" t="s">
        <v>123</v>
      </c>
      <c r="F36" s="68" t="s">
        <v>124</v>
      </c>
      <c r="G36" s="68" t="s">
        <v>125</v>
      </c>
      <c r="H36" s="68" t="s">
        <v>126</v>
      </c>
      <c r="I36" s="44" t="s">
        <v>127</v>
      </c>
    </row>
    <row r="37" customFormat="false" ht="15" hidden="false" customHeight="false" outlineLevel="0" collapsed="false">
      <c r="B37" s="62" t="s">
        <v>128</v>
      </c>
      <c r="C37" s="69" t="s">
        <v>129</v>
      </c>
      <c r="D37" s="48"/>
      <c r="E37" s="48"/>
      <c r="F37" s="48"/>
      <c r="G37" s="48"/>
      <c r="H37" s="48"/>
      <c r="I37" s="70"/>
    </row>
    <row r="38" customFormat="false" ht="15" hidden="false" customHeight="false" outlineLevel="0" collapsed="false">
      <c r="B38" s="71" t="s">
        <v>130</v>
      </c>
      <c r="C38" s="72" t="s">
        <v>131</v>
      </c>
      <c r="D38" s="73" t="n">
        <v>1</v>
      </c>
      <c r="E38" s="73" t="n">
        <v>1</v>
      </c>
      <c r="F38" s="73" t="n">
        <v>1</v>
      </c>
      <c r="G38" s="73" t="n">
        <v>1</v>
      </c>
      <c r="H38" s="73" t="n">
        <v>1</v>
      </c>
      <c r="I38" s="74"/>
    </row>
    <row r="39" customFormat="false" ht="15" hidden="false" customHeight="false" outlineLevel="0" collapsed="false">
      <c r="B39" s="71" t="s">
        <v>132</v>
      </c>
      <c r="C39" s="75" t="s">
        <v>14</v>
      </c>
      <c r="D39" s="76" t="n">
        <f aca="false">$E$60</f>
        <v>23008.1742</v>
      </c>
      <c r="E39" s="76" t="n">
        <f aca="false">$E$61</f>
        <v>13519.907775</v>
      </c>
      <c r="F39" s="76" t="n">
        <f aca="false">$E$62</f>
        <v>21288.22575</v>
      </c>
      <c r="G39" s="76" t="n">
        <f aca="false">$E$63</f>
        <v>14046.003675</v>
      </c>
      <c r="H39" s="76" t="n">
        <f aca="false">$E$64</f>
        <v>9949.113075</v>
      </c>
      <c r="I39" s="77" t="n">
        <f aca="false">SUMPRODUCT(D38:H38,D39:H39)</f>
        <v>81811.424475</v>
      </c>
    </row>
    <row r="40" customFormat="false" ht="15" hidden="false" customHeight="false" outlineLevel="0" collapsed="false">
      <c r="B40" s="78"/>
      <c r="C40" s="75" t="s">
        <v>133</v>
      </c>
      <c r="D40" s="52"/>
      <c r="E40" s="52"/>
      <c r="F40" s="52"/>
      <c r="G40" s="52"/>
      <c r="H40" s="52"/>
      <c r="I40" s="79" t="n">
        <f aca="false">$D$38*$E$60</f>
        <v>23008.1742</v>
      </c>
    </row>
    <row r="41" customFormat="false" ht="15" hidden="false" customHeight="false" outlineLevel="0" collapsed="false">
      <c r="B41" s="78"/>
      <c r="C41" s="75" t="s">
        <v>134</v>
      </c>
      <c r="D41" s="52"/>
      <c r="E41" s="52"/>
      <c r="F41" s="52"/>
      <c r="G41" s="52"/>
      <c r="H41" s="52"/>
      <c r="I41" s="80" t="n">
        <f aca="false">$I$39/$C$69</f>
        <v>1</v>
      </c>
    </row>
    <row r="42" customFormat="false" ht="15" hidden="false" customHeight="false" outlineLevel="0" collapsed="false">
      <c r="B42" s="71" t="s">
        <v>15</v>
      </c>
      <c r="C42" s="72" t="s">
        <v>135</v>
      </c>
      <c r="D42" s="81" t="n">
        <f aca="false">$C$85</f>
        <v>0.281234245065991</v>
      </c>
      <c r="E42" s="81" t="n">
        <f aca="false">$C$86</f>
        <v>0.16525696578149</v>
      </c>
      <c r="F42" s="81" t="n">
        <f aca="false">$C$87</f>
        <v>0.260210916587882</v>
      </c>
      <c r="G42" s="81" t="n">
        <f aca="false">$C$88</f>
        <v>0.171687557882484</v>
      </c>
      <c r="H42" s="81" t="n">
        <f aca="false">$C$89</f>
        <v>0.121610314682154</v>
      </c>
      <c r="I42" s="80" t="n">
        <f aca="false">SUMPRODUCT(D38:H38,D42:H42)</f>
        <v>1</v>
      </c>
    </row>
    <row r="43" customFormat="false" ht="15" hidden="false" customHeight="false" outlineLevel="0" collapsed="false">
      <c r="B43" s="78"/>
      <c r="C43" s="75" t="s">
        <v>136</v>
      </c>
      <c r="D43" s="52"/>
      <c r="E43" s="52"/>
      <c r="F43" s="52"/>
      <c r="G43" s="52"/>
      <c r="H43" s="52"/>
      <c r="I43" s="82" t="n">
        <f aca="false">IFERROR(SUMPRODUCT($D$38:$H$38,$P$325:$T$325)/SUM($P$325:$T$325),0)</f>
        <v>1</v>
      </c>
    </row>
    <row r="44" customFormat="false" ht="15" hidden="false" customHeight="false" outlineLevel="0" collapsed="false">
      <c r="B44" s="78"/>
      <c r="C44" s="75" t="s">
        <v>137</v>
      </c>
      <c r="D44" s="52"/>
      <c r="E44" s="52"/>
      <c r="F44" s="52"/>
      <c r="G44" s="52"/>
      <c r="H44" s="52"/>
      <c r="I44" s="82" t="n">
        <f aca="false">IFERROR(SUMPRODUCT($D$38:$H$38,$P$323:$T$323)/SUM($P$323:$T$323),0)</f>
        <v>1</v>
      </c>
    </row>
    <row r="45" customFormat="false" ht="15" hidden="false" customHeight="false" outlineLevel="0" collapsed="false">
      <c r="B45" s="83"/>
      <c r="C45" s="84" t="s">
        <v>138</v>
      </c>
      <c r="D45" s="58"/>
      <c r="E45" s="58"/>
      <c r="F45" s="58"/>
      <c r="G45" s="58"/>
      <c r="H45" s="58"/>
      <c r="I45" s="85" t="n">
        <v>1</v>
      </c>
    </row>
    <row r="46" customFormat="false" ht="15" hidden="false" customHeight="false" outlineLevel="0" collapsed="false">
      <c r="B46" s="86" t="s">
        <v>139</v>
      </c>
    </row>
    <row r="48" customFormat="false" ht="15" hidden="false" customHeight="false" outlineLevel="0" collapsed="false">
      <c r="A48" s="46" t="s">
        <v>140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50" customFormat="false" ht="15" hidden="false" customHeight="false" outlineLevel="0" collapsed="false">
      <c r="B50" s="87" t="s">
        <v>141</v>
      </c>
      <c r="D50" s="88" t="s">
        <v>142</v>
      </c>
    </row>
    <row r="51" customFormat="false" ht="15" hidden="false" customHeight="false" outlineLevel="0" collapsed="false">
      <c r="B51" s="87" t="s">
        <v>143</v>
      </c>
      <c r="D51" s="88" t="s">
        <v>144</v>
      </c>
    </row>
    <row r="52" customFormat="false" ht="15" hidden="false" customHeight="false" outlineLevel="0" collapsed="false">
      <c r="B52" s="87" t="s">
        <v>145</v>
      </c>
      <c r="D52" s="88" t="s">
        <v>146</v>
      </c>
    </row>
    <row r="53" customFormat="false" ht="15" hidden="false" customHeight="false" outlineLevel="0" collapsed="false">
      <c r="B53" s="87" t="s">
        <v>147</v>
      </c>
      <c r="D53" s="88" t="s">
        <v>148</v>
      </c>
    </row>
    <row r="54" customFormat="false" ht="15" hidden="false" customHeight="false" outlineLevel="0" collapsed="false">
      <c r="B54" s="87" t="s">
        <v>149</v>
      </c>
      <c r="E54" s="36" t="s">
        <v>150</v>
      </c>
      <c r="F54" s="89" t="n">
        <v>0.3025</v>
      </c>
    </row>
    <row r="56" customFormat="false" ht="15" hidden="false" customHeight="false" outlineLevel="0" collapsed="false">
      <c r="B56" s="90" t="s">
        <v>132</v>
      </c>
      <c r="C56" s="91" t="s">
        <v>151</v>
      </c>
      <c r="D56" s="92" t="n">
        <v>178919.43</v>
      </c>
      <c r="E56" s="93" t="n">
        <f aca="false">$D$56*$F$54</f>
        <v>54123.127575</v>
      </c>
    </row>
    <row r="57" customFormat="false" ht="15" hidden="false" customHeight="false" outlineLevel="0" collapsed="false">
      <c r="B57" s="78"/>
      <c r="C57" s="75" t="s">
        <v>152</v>
      </c>
      <c r="D57" s="94" t="n">
        <v>91531.54</v>
      </c>
      <c r="E57" s="79" t="n">
        <f aca="false">$D$57*$F$54</f>
        <v>27688.29085</v>
      </c>
    </row>
    <row r="58" customFormat="false" ht="15" hidden="false" customHeight="false" outlineLevel="0" collapsed="false">
      <c r="B58" s="83"/>
      <c r="C58" s="95" t="s">
        <v>153</v>
      </c>
      <c r="D58" s="96" t="n">
        <f aca="false">$D$56+$D$57</f>
        <v>270450.97</v>
      </c>
      <c r="E58" s="97" t="n">
        <f aca="false">$D$58*$F$54</f>
        <v>81811.418425</v>
      </c>
      <c r="F58" s="98" t="b">
        <f aca="false">ABS($D$58-$C$70)&lt;1</f>
        <v>1</v>
      </c>
      <c r="G58" s="98" t="b">
        <f aca="false">ABS($D$58*$F$54-$C$69)&lt;1</f>
        <v>1</v>
      </c>
    </row>
    <row r="60" customFormat="false" ht="15" hidden="false" customHeight="false" outlineLevel="0" collapsed="false">
      <c r="B60" s="90" t="s">
        <v>154</v>
      </c>
      <c r="C60" s="99" t="s">
        <v>122</v>
      </c>
      <c r="D60" s="100" t="n">
        <f aca="false">SUMIF($D$67:$W$67,"시니어 레지던스",$D$70:$W$70)</f>
        <v>76060.08</v>
      </c>
      <c r="E60" s="93" t="n">
        <f aca="false">SUMIF($D$67:$W$67,"시니어 레지던스",$D$69:$W$69)</f>
        <v>23008.1742</v>
      </c>
    </row>
    <row r="61" customFormat="false" ht="15" hidden="false" customHeight="false" outlineLevel="0" collapsed="false">
      <c r="B61" s="78"/>
      <c r="C61" s="101" t="s">
        <v>123</v>
      </c>
      <c r="D61" s="102" t="n">
        <f aca="false">SUMIF($D$67:$W$67,"레지던스",$D$70:$W$70)</f>
        <v>44693.91</v>
      </c>
      <c r="E61" s="79" t="n">
        <f aca="false">SUMIF($D$67:$W$67,"레지던스",$D$69:$W$69)</f>
        <v>13519.907775</v>
      </c>
    </row>
    <row r="62" customFormat="false" ht="15" hidden="false" customHeight="false" outlineLevel="0" collapsed="false">
      <c r="B62" s="78"/>
      <c r="C62" s="101" t="s">
        <v>124</v>
      </c>
      <c r="D62" s="102" t="n">
        <f aca="false">SUMIF($D$67:$W$67,"호텔",$D$70:$W$70)</f>
        <v>70374.3</v>
      </c>
      <c r="E62" s="79" t="n">
        <f aca="false">SUMIF($D$67:$W$67,"호텔",$D$69:$W$69)</f>
        <v>21288.22575</v>
      </c>
    </row>
    <row r="63" customFormat="false" ht="15" hidden="false" customHeight="false" outlineLevel="0" collapsed="false">
      <c r="B63" s="78"/>
      <c r="C63" s="101" t="s">
        <v>125</v>
      </c>
      <c r="D63" s="102" t="n">
        <f aca="false">SUMIF($D$67:$W$67,"오피스",$D$70:$W$70)</f>
        <v>46433.07</v>
      </c>
      <c r="E63" s="79" t="n">
        <f aca="false">SUMIF($D$67:$W$67,"오피스",$D$69:$W$69)</f>
        <v>14046.003675</v>
      </c>
    </row>
    <row r="64" customFormat="false" ht="15" hidden="false" customHeight="false" outlineLevel="0" collapsed="false">
      <c r="B64" s="78"/>
      <c r="C64" s="101" t="s">
        <v>126</v>
      </c>
      <c r="D64" s="102" t="n">
        <f aca="false">SUMIF($D$67:$W$67,"부대시설",$D$70:$W$70)</f>
        <v>32889.63</v>
      </c>
      <c r="E64" s="79" t="n">
        <f aca="false">SUMIF($D$67:$W$67,"부대시설",$D$69:$W$69)</f>
        <v>9949.113075</v>
      </c>
    </row>
    <row r="65" customFormat="false" ht="15" hidden="false" customHeight="false" outlineLevel="0" collapsed="false">
      <c r="B65" s="83"/>
      <c r="C65" s="95" t="s">
        <v>155</v>
      </c>
      <c r="D65" s="96" t="n">
        <f aca="false">SUM(D60:D64)</f>
        <v>270450.99</v>
      </c>
      <c r="E65" s="97" t="n">
        <f aca="false">SUM(E60:E64)</f>
        <v>81811.424475</v>
      </c>
      <c r="F65" s="98" t="b">
        <f aca="false">ABS(D65-$D$58)&lt;1</f>
        <v>1</v>
      </c>
      <c r="G65" s="98" t="b">
        <f aca="false">ABS(E65-$C$69)&lt;0.1</f>
        <v>1</v>
      </c>
    </row>
    <row r="67" customFormat="false" ht="15" hidden="false" customHeight="false" outlineLevel="0" collapsed="false">
      <c r="D67" s="103" t="s">
        <v>122</v>
      </c>
      <c r="E67" s="103" t="s">
        <v>122</v>
      </c>
      <c r="F67" s="104" t="s">
        <v>126</v>
      </c>
      <c r="G67" s="104" t="s">
        <v>126</v>
      </c>
      <c r="H67" s="103" t="s">
        <v>122</v>
      </c>
      <c r="J67" s="105" t="s">
        <v>123</v>
      </c>
      <c r="K67" s="105" t="s">
        <v>123</v>
      </c>
      <c r="L67" s="106" t="s">
        <v>124</v>
      </c>
      <c r="M67" s="106" t="s">
        <v>124</v>
      </c>
      <c r="N67" s="106" t="s">
        <v>124</v>
      </c>
      <c r="O67" s="106" t="s">
        <v>124</v>
      </c>
      <c r="P67" s="106" t="s">
        <v>124</v>
      </c>
      <c r="Q67" s="106" t="s">
        <v>124</v>
      </c>
      <c r="R67" s="107" t="s">
        <v>125</v>
      </c>
      <c r="S67" s="106" t="s">
        <v>124</v>
      </c>
      <c r="U67" s="104" t="s">
        <v>126</v>
      </c>
      <c r="V67" s="104" t="s">
        <v>126</v>
      </c>
      <c r="W67" s="104" t="s">
        <v>126</v>
      </c>
    </row>
    <row r="68" customFormat="false" ht="15" hidden="false" customHeight="false" outlineLevel="0" collapsed="false">
      <c r="B68" s="108" t="s">
        <v>121</v>
      </c>
      <c r="C68" s="109" t="s">
        <v>156</v>
      </c>
      <c r="D68" s="109" t="s">
        <v>157</v>
      </c>
      <c r="E68" s="109" t="s">
        <v>158</v>
      </c>
      <c r="F68" s="109" t="s">
        <v>159</v>
      </c>
      <c r="G68" s="109" t="s">
        <v>160</v>
      </c>
      <c r="H68" s="110" t="s">
        <v>161</v>
      </c>
      <c r="I68" s="111" t="s">
        <v>162</v>
      </c>
      <c r="J68" s="109" t="s">
        <v>163</v>
      </c>
      <c r="K68" s="109" t="s">
        <v>164</v>
      </c>
      <c r="L68" s="109" t="s">
        <v>124</v>
      </c>
      <c r="M68" s="109" t="s">
        <v>165</v>
      </c>
      <c r="N68" s="109" t="s">
        <v>166</v>
      </c>
      <c r="O68" s="109" t="s">
        <v>167</v>
      </c>
      <c r="P68" s="109" t="s">
        <v>168</v>
      </c>
      <c r="Q68" s="109" t="s">
        <v>169</v>
      </c>
      <c r="R68" s="109" t="s">
        <v>125</v>
      </c>
      <c r="S68" s="110" t="s">
        <v>161</v>
      </c>
      <c r="T68" s="111" t="s">
        <v>170</v>
      </c>
      <c r="U68" s="109" t="s">
        <v>171</v>
      </c>
      <c r="V68" s="109" t="s">
        <v>172</v>
      </c>
      <c r="W68" s="109" t="s">
        <v>173</v>
      </c>
      <c r="X68" s="112" t="s">
        <v>174</v>
      </c>
      <c r="Y68" s="110" t="s">
        <v>175</v>
      </c>
      <c r="Z68" s="113" t="s">
        <v>176</v>
      </c>
    </row>
    <row r="69" customFormat="false" ht="15" hidden="false" customHeight="false" outlineLevel="0" collapsed="false">
      <c r="B69" s="71" t="s">
        <v>177</v>
      </c>
      <c r="C69" s="114" t="n">
        <f aca="false">I69+T69+X69</f>
        <v>81811.424475</v>
      </c>
      <c r="D69" s="76" t="n">
        <f aca="false">D70*$F$54</f>
        <v>20475.2449</v>
      </c>
      <c r="E69" s="76" t="n">
        <f aca="false">E70*$F$54</f>
        <v>2338.19795</v>
      </c>
      <c r="F69" s="76" t="n">
        <f aca="false">F70*$F$54</f>
        <v>1425.62805</v>
      </c>
      <c r="G69" s="76" t="n">
        <f aca="false">G70*$F$54</f>
        <v>597.16525</v>
      </c>
      <c r="H69" s="76" t="n">
        <f aca="false">H70*$F$54</f>
        <v>194.73135</v>
      </c>
      <c r="I69" s="115" t="n">
        <f aca="false">SUM(D69:H69)</f>
        <v>25030.9675</v>
      </c>
      <c r="J69" s="76" t="n">
        <f aca="false">J70*$F$54</f>
        <v>10714.913</v>
      </c>
      <c r="K69" s="76" t="n">
        <f aca="false">K70*$F$54</f>
        <v>2804.994775</v>
      </c>
      <c r="L69" s="76" t="n">
        <f aca="false">L70*$F$54</f>
        <v>11246.59305</v>
      </c>
      <c r="M69" s="76" t="n">
        <f aca="false">M70*$F$54</f>
        <v>2165.775975</v>
      </c>
      <c r="N69" s="76" t="n">
        <f aca="false">N70*$F$54</f>
        <v>1829.34455</v>
      </c>
      <c r="O69" s="76" t="n">
        <f aca="false">O70*$F$54</f>
        <v>1274.23285</v>
      </c>
      <c r="P69" s="76" t="n">
        <f aca="false">P70*$F$54</f>
        <v>1063.9651</v>
      </c>
      <c r="Q69" s="76" t="n">
        <f aca="false">Q70*$F$54</f>
        <v>3250.76785</v>
      </c>
      <c r="R69" s="76" t="n">
        <f aca="false">R70*$F$54</f>
        <v>14046.003675</v>
      </c>
      <c r="S69" s="76" t="n">
        <f aca="false">S70*$F$54</f>
        <v>457.546375</v>
      </c>
      <c r="T69" s="115" t="n">
        <f aca="false">SUM(J69:S69)</f>
        <v>48854.1372</v>
      </c>
      <c r="U69" s="76" t="n">
        <f aca="false">U70*$F$54</f>
        <v>1673.7446</v>
      </c>
      <c r="V69" s="76" t="n">
        <f aca="false">V70*$F$54</f>
        <v>2443.331825</v>
      </c>
      <c r="W69" s="76" t="n">
        <f aca="false">W70*$F$54</f>
        <v>3809.24335</v>
      </c>
      <c r="X69" s="115" t="n">
        <f aca="false">SUM(U69:W69)</f>
        <v>7926.319775</v>
      </c>
      <c r="Y69" s="52"/>
      <c r="Z69" s="74"/>
    </row>
    <row r="70" customFormat="false" ht="15" hidden="false" customHeight="false" outlineLevel="0" collapsed="false">
      <c r="B70" s="71" t="s">
        <v>178</v>
      </c>
      <c r="C70" s="116" t="n">
        <f aca="false">I70+T70+X70</f>
        <v>270450.99</v>
      </c>
      <c r="D70" s="94" t="n">
        <v>67686.76</v>
      </c>
      <c r="E70" s="94" t="n">
        <v>7729.58</v>
      </c>
      <c r="F70" s="94" t="n">
        <v>4712.82</v>
      </c>
      <c r="G70" s="94" t="n">
        <v>1974.1</v>
      </c>
      <c r="H70" s="94" t="n">
        <v>643.74</v>
      </c>
      <c r="I70" s="117" t="n">
        <f aca="false">SUM(D70:H70)</f>
        <v>82747</v>
      </c>
      <c r="J70" s="94" t="n">
        <v>35421.2</v>
      </c>
      <c r="K70" s="94" t="n">
        <v>9272.71</v>
      </c>
      <c r="L70" s="94" t="n">
        <v>37178.82</v>
      </c>
      <c r="M70" s="94" t="n">
        <v>7159.59</v>
      </c>
      <c r="N70" s="94" t="n">
        <v>6047.42</v>
      </c>
      <c r="O70" s="94" t="n">
        <v>4212.34</v>
      </c>
      <c r="P70" s="94" t="n">
        <v>3517.24</v>
      </c>
      <c r="Q70" s="94" t="n">
        <v>10746.34</v>
      </c>
      <c r="R70" s="94" t="n">
        <v>46433.07</v>
      </c>
      <c r="S70" s="94" t="n">
        <v>1512.55</v>
      </c>
      <c r="T70" s="117" t="n">
        <f aca="false">SUM(J70:S70)</f>
        <v>161501.28</v>
      </c>
      <c r="U70" s="94" t="n">
        <v>5533.04</v>
      </c>
      <c r="V70" s="94" t="n">
        <v>8077.13</v>
      </c>
      <c r="W70" s="94" t="n">
        <v>12592.54</v>
      </c>
      <c r="X70" s="117" t="n">
        <f aca="false">SUM(U70:W70)</f>
        <v>26202.71</v>
      </c>
      <c r="Y70" s="52"/>
      <c r="Z70" s="74"/>
    </row>
    <row r="71" customFormat="false" ht="15" hidden="false" customHeight="false" outlineLevel="0" collapsed="false">
      <c r="B71" s="71" t="s">
        <v>179</v>
      </c>
      <c r="C71" s="118" t="n">
        <f aca="false">C69/$C$69</f>
        <v>1</v>
      </c>
      <c r="D71" s="119" t="n">
        <f aca="false">D69/$C$69</f>
        <v>0.250273663261503</v>
      </c>
      <c r="E71" s="119" t="n">
        <f aca="false">E69/$C$69</f>
        <v>0.028580335387199</v>
      </c>
      <c r="F71" s="119" t="n">
        <f aca="false">F69/$C$69</f>
        <v>0.0174257820243143</v>
      </c>
      <c r="G71" s="119" t="n">
        <f aca="false">G69/$C$69</f>
        <v>0.00729928923536201</v>
      </c>
      <c r="H71" s="119" t="n">
        <f aca="false">H69/$C$69</f>
        <v>0.00238024641728988</v>
      </c>
      <c r="I71" s="120" t="n">
        <f aca="false">I69/$C$69</f>
        <v>0.305959316325668</v>
      </c>
      <c r="J71" s="119" t="n">
        <f aca="false">J69/$C$69</f>
        <v>0.130970864628745</v>
      </c>
      <c r="K71" s="119" t="n">
        <f aca="false">K69/$C$69</f>
        <v>0.0342861011527449</v>
      </c>
      <c r="L71" s="119" t="n">
        <f aca="false">L69/$C$69</f>
        <v>0.137469713089237</v>
      </c>
      <c r="M71" s="119" t="n">
        <f aca="false">M69/$C$69</f>
        <v>0.0264727816304167</v>
      </c>
      <c r="N71" s="119" t="n">
        <f aca="false">N69/$C$69</f>
        <v>0.0223605023594109</v>
      </c>
      <c r="O71" s="119" t="n">
        <f aca="false">O69/$C$69</f>
        <v>0.0155752434110151</v>
      </c>
      <c r="P71" s="119" t="n">
        <f aca="false">P69/$C$69</f>
        <v>0.0130050919761839</v>
      </c>
      <c r="Q71" s="119" t="n">
        <f aca="false">Q69/$C$69</f>
        <v>0.0397348887500837</v>
      </c>
      <c r="R71" s="119" t="n">
        <f aca="false">R69/$C$69</f>
        <v>0.171687557882484</v>
      </c>
      <c r="S71" s="119" t="n">
        <f aca="false">S69/$C$69</f>
        <v>0.00559269537153478</v>
      </c>
      <c r="T71" s="120" t="n">
        <f aca="false">T69/$C$69</f>
        <v>0.597155440251855</v>
      </c>
      <c r="U71" s="119" t="n">
        <f aca="false">U69/$C$69</f>
        <v>0.0204585681124702</v>
      </c>
      <c r="V71" s="119" t="n">
        <f aca="false">V69/$C$69</f>
        <v>0.0298654111046146</v>
      </c>
      <c r="W71" s="119" t="n">
        <f aca="false">W69/$C$69</f>
        <v>0.0465612642053926</v>
      </c>
      <c r="X71" s="120" t="n">
        <f aca="false">X69/$C$69</f>
        <v>0.0968852434224774</v>
      </c>
      <c r="Y71" s="52"/>
      <c r="Z71" s="74"/>
    </row>
    <row r="72" customFormat="false" ht="15" hidden="false" customHeight="false" outlineLevel="0" collapsed="false">
      <c r="B72" s="71" t="s">
        <v>180</v>
      </c>
      <c r="C72" s="114" t="n">
        <f aca="false">I72+T72+X72</f>
        <v>40534.76</v>
      </c>
      <c r="D72" s="121" t="n">
        <v>10848.89</v>
      </c>
      <c r="E72" s="121" t="n">
        <v>1218.17</v>
      </c>
      <c r="F72" s="121" t="n">
        <v>591.99</v>
      </c>
      <c r="G72" s="121" t="n">
        <v>213.87</v>
      </c>
      <c r="H72" s="121" t="n">
        <v>0</v>
      </c>
      <c r="I72" s="115" t="n">
        <f aca="false">SUM(D72:H72)</f>
        <v>12872.92</v>
      </c>
      <c r="J72" s="121" t="n">
        <v>5174.57</v>
      </c>
      <c r="K72" s="121" t="n">
        <v>1462.29</v>
      </c>
      <c r="L72" s="121" t="n">
        <v>5186.06</v>
      </c>
      <c r="M72" s="121" t="n">
        <v>847</v>
      </c>
      <c r="N72" s="121" t="n">
        <v>910.53</v>
      </c>
      <c r="O72" s="121" t="n">
        <v>535.43</v>
      </c>
      <c r="P72" s="121" t="n">
        <v>514.25</v>
      </c>
      <c r="Q72" s="121" t="n">
        <v>1870.66</v>
      </c>
      <c r="R72" s="121" t="n">
        <v>7377.98</v>
      </c>
      <c r="S72" s="121" t="n">
        <v>0</v>
      </c>
      <c r="T72" s="115" t="n">
        <f aca="false">SUM(J72:S72)</f>
        <v>23878.77</v>
      </c>
      <c r="U72" s="121" t="n">
        <v>948.64</v>
      </c>
      <c r="V72" s="121" t="n">
        <v>1270.5</v>
      </c>
      <c r="W72" s="121" t="n">
        <v>1563.93</v>
      </c>
      <c r="X72" s="115" t="n">
        <f aca="false">SUM(U72:W72)</f>
        <v>3783.07</v>
      </c>
      <c r="Y72" s="52"/>
      <c r="Z72" s="74"/>
    </row>
    <row r="73" customFormat="false" ht="15" hidden="false" customHeight="false" outlineLevel="0" collapsed="false">
      <c r="B73" s="71" t="s">
        <v>181</v>
      </c>
      <c r="C73" s="114" t="n">
        <f aca="false">I73+T73+X73</f>
        <v>18313.26</v>
      </c>
      <c r="D73" s="121" t="n">
        <v>3879.26</v>
      </c>
      <c r="E73" s="121" t="n">
        <v>463.73</v>
      </c>
      <c r="F73" s="121" t="n">
        <v>433.48</v>
      </c>
      <c r="G73" s="121" t="n">
        <v>215.68</v>
      </c>
      <c r="H73" s="121" t="n">
        <v>140.07</v>
      </c>
      <c r="I73" s="115" t="n">
        <f aca="false">SUM(D73:H73)</f>
        <v>5132.22</v>
      </c>
      <c r="J73" s="121" t="n">
        <v>2532.63</v>
      </c>
      <c r="K73" s="121" t="n">
        <v>555.39</v>
      </c>
      <c r="L73" s="121" t="n">
        <v>2903.78</v>
      </c>
      <c r="M73" s="121" t="n">
        <v>710.88</v>
      </c>
      <c r="N73" s="121" t="n">
        <v>405.35</v>
      </c>
      <c r="O73" s="121" t="n">
        <v>381.15</v>
      </c>
      <c r="P73" s="121" t="n">
        <v>251.08</v>
      </c>
      <c r="Q73" s="121" t="n">
        <v>467.67</v>
      </c>
      <c r="R73" s="121" t="n">
        <v>2725.53</v>
      </c>
      <c r="S73" s="121" t="n">
        <v>329.12</v>
      </c>
      <c r="T73" s="115" t="n">
        <f aca="false">SUM(J73:S73)</f>
        <v>11262.58</v>
      </c>
      <c r="U73" s="121" t="n">
        <v>255.31</v>
      </c>
      <c r="V73" s="121" t="n">
        <v>487.03</v>
      </c>
      <c r="W73" s="121" t="n">
        <v>1176.12</v>
      </c>
      <c r="X73" s="115" t="n">
        <f aca="false">SUM(U73:W73)</f>
        <v>1918.46</v>
      </c>
      <c r="Y73" s="52"/>
      <c r="Z73" s="74"/>
    </row>
    <row r="74" customFormat="false" ht="15" hidden="false" customHeight="false" outlineLevel="0" collapsed="false">
      <c r="B74" s="71" t="s">
        <v>182</v>
      </c>
      <c r="C74" s="114" t="n">
        <f aca="false">I74+T74+X74+Y74+Z74</f>
        <v>81811.424475</v>
      </c>
      <c r="D74" s="76" t="n">
        <f aca="false">D72+D73</f>
        <v>14728.15</v>
      </c>
      <c r="E74" s="76" t="n">
        <f aca="false">E72+E73</f>
        <v>1681.9</v>
      </c>
      <c r="F74" s="76" t="n">
        <f aca="false">F72+F73</f>
        <v>1025.47</v>
      </c>
      <c r="G74" s="76" t="n">
        <f aca="false">G72+G73</f>
        <v>429.55</v>
      </c>
      <c r="H74" s="76" t="n">
        <f aca="false">H72+H73</f>
        <v>140.07</v>
      </c>
      <c r="I74" s="115" t="n">
        <f aca="false">SUM(D74:H74)</f>
        <v>18005.14</v>
      </c>
      <c r="J74" s="76" t="n">
        <f aca="false">J72+J73</f>
        <v>7707.2</v>
      </c>
      <c r="K74" s="76" t="n">
        <f aca="false">K72+K73</f>
        <v>2017.68</v>
      </c>
      <c r="L74" s="76" t="n">
        <f aca="false">L72+L73</f>
        <v>8089.84</v>
      </c>
      <c r="M74" s="76" t="n">
        <f aca="false">M72+M73</f>
        <v>1557.88</v>
      </c>
      <c r="N74" s="76" t="n">
        <f aca="false">N72+N73</f>
        <v>1315.88</v>
      </c>
      <c r="O74" s="76" t="n">
        <f aca="false">O72+O73</f>
        <v>916.58</v>
      </c>
      <c r="P74" s="76" t="n">
        <f aca="false">P72+P73</f>
        <v>765.33</v>
      </c>
      <c r="Q74" s="76" t="n">
        <f aca="false">Q72+Q73</f>
        <v>2338.33</v>
      </c>
      <c r="R74" s="76" t="n">
        <f aca="false">R72+R73</f>
        <v>10103.51</v>
      </c>
      <c r="S74" s="76" t="n">
        <f aca="false">S72+S73</f>
        <v>329.12</v>
      </c>
      <c r="T74" s="115" t="n">
        <f aca="false">SUM(J74:S74)</f>
        <v>35141.35</v>
      </c>
      <c r="U74" s="76" t="n">
        <f aca="false">U72+U73</f>
        <v>1203.95</v>
      </c>
      <c r="V74" s="76" t="n">
        <f aca="false">V72+V73</f>
        <v>1757.53</v>
      </c>
      <c r="W74" s="76" t="n">
        <f aca="false">W72+W73</f>
        <v>2740.05</v>
      </c>
      <c r="X74" s="115" t="n">
        <f aca="false">SUM(U74:W74)</f>
        <v>5701.53</v>
      </c>
      <c r="Y74" s="121" t="n">
        <v>1585.81</v>
      </c>
      <c r="Z74" s="79" t="n">
        <f aca="false">$C$69-($I$74+$T$74+$X$74)-$Y$74</f>
        <v>21377.594475</v>
      </c>
    </row>
    <row r="75" customFormat="false" ht="15" hidden="false" customHeight="false" outlineLevel="0" collapsed="false">
      <c r="B75" s="71" t="s">
        <v>179</v>
      </c>
      <c r="C75" s="118" t="n">
        <f aca="false">C74/$C$74</f>
        <v>1</v>
      </c>
      <c r="D75" s="119" t="n">
        <f aca="false">D74/$C$74</f>
        <v>0.180025590490734</v>
      </c>
      <c r="E75" s="119" t="n">
        <f aca="false">E74/$C$74</f>
        <v>0.020558253456569</v>
      </c>
      <c r="F75" s="119" t="n">
        <f aca="false">F74/$C$74</f>
        <v>0.0125345574481882</v>
      </c>
      <c r="G75" s="119" t="n">
        <f aca="false">G74/$C$74</f>
        <v>0.00525048919214531</v>
      </c>
      <c r="H75" s="119" t="n">
        <f aca="false">H74/$C$74</f>
        <v>0.00171210806924408</v>
      </c>
      <c r="I75" s="120" t="n">
        <f aca="false">I74/$C$74</f>
        <v>0.220080998656881</v>
      </c>
      <c r="J75" s="119" t="n">
        <f aca="false">J74/$C$74</f>
        <v>0.0942068916347395</v>
      </c>
      <c r="K75" s="119" t="n">
        <f aca="false">K74/$C$74</f>
        <v>0.0246625702088412</v>
      </c>
      <c r="L75" s="119" t="n">
        <f aca="false">L74/$C$74</f>
        <v>0.0988839890261549</v>
      </c>
      <c r="M75" s="119" t="n">
        <f aca="false">M74/$C$74</f>
        <v>0.0190423282566857</v>
      </c>
      <c r="N75" s="119" t="n">
        <f aca="false">N74/$C$74</f>
        <v>0.0160843061766038</v>
      </c>
      <c r="O75" s="119" t="n">
        <f aca="false">O74/$C$74</f>
        <v>0.0112035697444687</v>
      </c>
      <c r="P75" s="119" t="n">
        <f aca="false">P74/$C$74</f>
        <v>0.00935480594441758</v>
      </c>
      <c r="Q75" s="119" t="n">
        <f aca="false">Q74/$C$74</f>
        <v>0.0285819494649497</v>
      </c>
      <c r="R75" s="119" t="n">
        <f aca="false">R74/$C$74</f>
        <v>0.123497544075735</v>
      </c>
      <c r="S75" s="119" t="n">
        <f aca="false">S74/$C$74</f>
        <v>0.00402291002891134</v>
      </c>
      <c r="T75" s="120" t="n">
        <f aca="false">T74/$C$74</f>
        <v>0.429540864561508</v>
      </c>
      <c r="U75" s="119" t="n">
        <f aca="false">U74/$C$74</f>
        <v>0.0147161598484073</v>
      </c>
      <c r="V75" s="119" t="n">
        <f aca="false">V74/$C$74</f>
        <v>0.0214826964727532</v>
      </c>
      <c r="W75" s="119" t="n">
        <f aca="false">W74/$C$74</f>
        <v>0.0334922661178856</v>
      </c>
      <c r="X75" s="120" t="n">
        <f aca="false">X74/$C$74</f>
        <v>0.0696911224390461</v>
      </c>
      <c r="Y75" s="119" t="n">
        <f aca="false">Y74/$C$74</f>
        <v>0.0193837231190687</v>
      </c>
      <c r="Z75" s="122" t="n">
        <f aca="false">Z74/$C$74</f>
        <v>0.261303291223496</v>
      </c>
    </row>
    <row r="76" customFormat="false" ht="15" hidden="false" customHeight="false" outlineLevel="0" collapsed="false">
      <c r="B76" s="71" t="s">
        <v>183</v>
      </c>
      <c r="C76" s="114" t="n">
        <f aca="false">I76+T76+X76</f>
        <v>21377.594475</v>
      </c>
      <c r="D76" s="76" t="n">
        <f aca="false">$Z$74*D74/($I$74+$T$74+$X$74)</f>
        <v>5350.26357840028</v>
      </c>
      <c r="E76" s="76" t="n">
        <f aca="false">$Z$74*E74/($I$74+$T$74+$X$74)</f>
        <v>610.980219003162</v>
      </c>
      <c r="F76" s="76" t="n">
        <f aca="false">$Z$74*F74/($I$74+$T$74+$X$74)</f>
        <v>372.520295606857</v>
      </c>
      <c r="G76" s="76" t="n">
        <f aca="false">$Z$74*G74/($I$74+$T$74+$X$74)</f>
        <v>156.041710608721</v>
      </c>
      <c r="H76" s="76" t="n">
        <f aca="false">$Z$74*H74/($I$74+$T$74+$X$74)</f>
        <v>50.8829295890201</v>
      </c>
      <c r="I76" s="115" t="n">
        <f aca="false">SUM(D76:H76)</f>
        <v>6540.68873320804</v>
      </c>
      <c r="J76" s="76" t="n">
        <f aca="false">$Z$74*J74/($I$74+$T$74+$X$74)</f>
        <v>2799.7780747376</v>
      </c>
      <c r="K76" s="76" t="n">
        <f aca="false">$Z$74*K74/($I$74+$T$74+$X$74)</f>
        <v>732.958302085915</v>
      </c>
      <c r="L76" s="76" t="n">
        <f aca="false">$Z$74*L74/($I$74+$T$74+$X$74)</f>
        <v>2938.77888988676</v>
      </c>
      <c r="M76" s="76" t="n">
        <f aca="false">$Z$74*M74/($I$74+$T$74+$X$74)</f>
        <v>565.927738617425</v>
      </c>
      <c r="N76" s="76" t="n">
        <f aca="false">$Z$74*N74/($I$74+$T$74+$X$74)</f>
        <v>478.016915739272</v>
      </c>
      <c r="O76" s="76" t="n">
        <f aca="false">$Z$74*O74/($I$74+$T$74+$X$74)</f>
        <v>332.96405799032</v>
      </c>
      <c r="P76" s="76" t="n">
        <f aca="false">$Z$74*P74/($I$74+$T$74+$X$74)</f>
        <v>278.019793691474</v>
      </c>
      <c r="Q76" s="76" t="n">
        <f aca="false">$Z$74*Q74/($I$74+$T$74+$X$74)</f>
        <v>849.440142399468</v>
      </c>
      <c r="R76" s="76" t="n">
        <f aca="false">$Z$74*R74/($I$74+$T$74+$X$74)</f>
        <v>3670.28048784151</v>
      </c>
      <c r="S76" s="76" t="n">
        <f aca="false">$Z$74*S74/($I$74+$T$74+$X$74)</f>
        <v>119.558719114288</v>
      </c>
      <c r="T76" s="115" t="n">
        <f aca="false">SUM(J76:S76)</f>
        <v>12765.723122104</v>
      </c>
      <c r="U76" s="76" t="n">
        <f aca="false">$Z$74*U74/($I$74+$T$74+$X$74)</f>
        <v>437.35634381881</v>
      </c>
      <c r="V76" s="76" t="n">
        <f aca="false">$Z$74*V74/($I$74+$T$74+$X$74)</f>
        <v>638.454167491901</v>
      </c>
      <c r="W76" s="76" t="n">
        <f aca="false">$Z$74*W74/($I$74+$T$74+$X$74)</f>
        <v>995.372108377201</v>
      </c>
      <c r="X76" s="115" t="n">
        <f aca="false">SUM(U76:W76)</f>
        <v>2071.18261968791</v>
      </c>
      <c r="Y76" s="52"/>
      <c r="Z76" s="74"/>
    </row>
    <row r="77" customFormat="false" ht="15" hidden="false" customHeight="false" outlineLevel="0" collapsed="false">
      <c r="B77" s="71" t="s">
        <v>184</v>
      </c>
      <c r="C77" s="114" t="n">
        <f aca="false">I77+T77+X77</f>
        <v>1585.81</v>
      </c>
      <c r="D77" s="76" t="n">
        <f aca="false">$Y$74*D74/($I$74+$T$74+$X$74)</f>
        <v>396.887568205353</v>
      </c>
      <c r="E77" s="76" t="n">
        <f aca="false">$Y$74*E74/($I$74+$T$74+$X$74)</f>
        <v>45.3230854496039</v>
      </c>
      <c r="F77" s="76" t="n">
        <f aca="false">$Y$74*F74/($I$74+$T$74+$X$74)</f>
        <v>27.6339047719872</v>
      </c>
      <c r="G77" s="76" t="n">
        <f aca="false">$Y$74*G74/($I$74+$T$74+$X$74)</f>
        <v>11.5753203846111</v>
      </c>
      <c r="H77" s="76" t="n">
        <f aca="false">$Y$74*H74/($I$74+$T$74+$X$74)</f>
        <v>3.77454342049231</v>
      </c>
      <c r="I77" s="115" t="n">
        <f aca="false">SUM(D77:H77)</f>
        <v>485.194422232048</v>
      </c>
      <c r="J77" s="76" t="n">
        <f aca="false">$Y$74*J74/($I$74+$T$74+$X$74)</f>
        <v>207.690162421777</v>
      </c>
      <c r="K77" s="76" t="n">
        <f aca="false">$Y$74*K74/($I$74+$T$74+$X$74)</f>
        <v>54.3715340091306</v>
      </c>
      <c r="L77" s="76" t="n">
        <f aca="false">$Y$74*L74/($I$74+$T$74+$X$74)</f>
        <v>218.00137320508</v>
      </c>
      <c r="M77" s="76" t="n">
        <f aca="false">$Y$74*M74/($I$74+$T$74+$X$74)</f>
        <v>41.9810502171526</v>
      </c>
      <c r="N77" s="76" t="n">
        <f aca="false">$Y$74*N74/($I$74+$T$74+$X$74)</f>
        <v>35.4597429582168</v>
      </c>
      <c r="O77" s="76" t="n">
        <f aca="false">$Y$74*O74/($I$74+$T$74+$X$74)</f>
        <v>24.6995859809727</v>
      </c>
      <c r="P77" s="76" t="n">
        <f aca="false">$Y$74*P74/($I$74+$T$74+$X$74)</f>
        <v>20.6237689441378</v>
      </c>
      <c r="Q77" s="76" t="n">
        <f aca="false">$Y$74*Q74/($I$74+$T$74+$X$74)</f>
        <v>63.0122661272206</v>
      </c>
      <c r="R77" s="76" t="n">
        <f aca="false">$Y$74*R74/($I$74+$T$74+$X$74)</f>
        <v>272.264847536077</v>
      </c>
      <c r="S77" s="76" t="n">
        <f aca="false">$Y$74*S74/($I$74+$T$74+$X$74)</f>
        <v>8.86897787215271</v>
      </c>
      <c r="T77" s="115" t="n">
        <f aca="false">SUM(J77:S77)</f>
        <v>946.973309271918</v>
      </c>
      <c r="U77" s="76" t="n">
        <f aca="false">$Y$74*U74/($I$74+$T$74+$X$74)</f>
        <v>32.4435036132057</v>
      </c>
      <c r="V77" s="76" t="n">
        <f aca="false">$Y$74*V74/($I$74+$T$74+$X$74)</f>
        <v>47.3611287057746</v>
      </c>
      <c r="W77" s="76" t="n">
        <f aca="false">$Y$74*W74/($I$74+$T$74+$X$74)</f>
        <v>73.8376361770541</v>
      </c>
      <c r="X77" s="115" t="n">
        <f aca="false">SUM(U77:W77)</f>
        <v>153.642268496034</v>
      </c>
      <c r="Y77" s="52"/>
      <c r="Z77" s="74"/>
    </row>
    <row r="78" customFormat="false" ht="15" hidden="false" customHeight="false" outlineLevel="0" collapsed="false">
      <c r="B78" s="71" t="s">
        <v>185</v>
      </c>
      <c r="C78" s="114" t="n">
        <f aca="false">I78+T78+X78</f>
        <v>41276.664475</v>
      </c>
      <c r="D78" s="76" t="n">
        <f aca="false">D73+D76+D77</f>
        <v>9626.41114660563</v>
      </c>
      <c r="E78" s="76" t="n">
        <f aca="false">E73+E76+E77</f>
        <v>1120.03330445277</v>
      </c>
      <c r="F78" s="76" t="n">
        <f aca="false">F73+F76+F77</f>
        <v>833.634200378844</v>
      </c>
      <c r="G78" s="76" t="n">
        <f aca="false">G73+G76+G77</f>
        <v>383.297030993332</v>
      </c>
      <c r="H78" s="76" t="n">
        <f aca="false">H73+H76+H77</f>
        <v>194.727473009512</v>
      </c>
      <c r="I78" s="115" t="n">
        <f aca="false">SUM(D78:H78)</f>
        <v>12158.1031554401</v>
      </c>
      <c r="J78" s="76" t="n">
        <f aca="false">J73+J76+J77</f>
        <v>5540.09823715938</v>
      </c>
      <c r="K78" s="76" t="n">
        <f aca="false">K73+K76+K77</f>
        <v>1342.71983609505</v>
      </c>
      <c r="L78" s="76" t="n">
        <f aca="false">L73+L76+L77</f>
        <v>6060.56026309184</v>
      </c>
      <c r="M78" s="76" t="n">
        <f aca="false">M73+M76+M77</f>
        <v>1318.78878883458</v>
      </c>
      <c r="N78" s="76" t="n">
        <f aca="false">N73+N76+N77</f>
        <v>918.826658697489</v>
      </c>
      <c r="O78" s="76" t="n">
        <f aca="false">O73+O76+O77</f>
        <v>738.813643971292</v>
      </c>
      <c r="P78" s="76" t="n">
        <f aca="false">P73+P76+P77</f>
        <v>549.723562635612</v>
      </c>
      <c r="Q78" s="76" t="n">
        <f aca="false">Q73+Q76+Q77</f>
        <v>1380.12240852669</v>
      </c>
      <c r="R78" s="76" t="n">
        <f aca="false">R73+R76+R77</f>
        <v>6668.07533537759</v>
      </c>
      <c r="S78" s="76" t="n">
        <f aca="false">S73+S76+S77</f>
        <v>457.547696986441</v>
      </c>
      <c r="T78" s="115" t="n">
        <f aca="false">SUM(J78:S78)</f>
        <v>24975.276431376</v>
      </c>
      <c r="U78" s="76" t="n">
        <f aca="false">U73+U76+U77</f>
        <v>725.109847432016</v>
      </c>
      <c r="V78" s="76" t="n">
        <f aca="false">V73+V76+V77</f>
        <v>1172.84529619768</v>
      </c>
      <c r="W78" s="76" t="n">
        <f aca="false">W73+W76+W77</f>
        <v>2245.32974455426</v>
      </c>
      <c r="X78" s="115" t="n">
        <f aca="false">SUM(U78:W78)</f>
        <v>4143.28488818395</v>
      </c>
      <c r="Y78" s="52"/>
      <c r="Z78" s="74"/>
    </row>
    <row r="79" customFormat="false" ht="15" hidden="false" customHeight="false" outlineLevel="0" collapsed="false">
      <c r="B79" s="71" t="s">
        <v>186</v>
      </c>
      <c r="C79" s="118" t="n">
        <f aca="false">C72/C69</f>
        <v>0.495465764838096</v>
      </c>
      <c r="D79" s="119" t="n">
        <f aca="false">IF(D69=0,0,D72/D69)</f>
        <v>0.529853979915034</v>
      </c>
      <c r="E79" s="119" t="n">
        <f aca="false">IF(E69=0,0,E72/E69)</f>
        <v>0.520986685494271</v>
      </c>
      <c r="F79" s="119" t="n">
        <f aca="false">IF(F69=0,0,F72/F69)</f>
        <v>0.415248563606756</v>
      </c>
      <c r="G79" s="119" t="n">
        <f aca="false">IF(G69=0,0,G72/G69)</f>
        <v>0.358142072064642</v>
      </c>
      <c r="H79" s="119" t="n">
        <f aca="false">IF(H69=0,0,H72/H69)</f>
        <v>0</v>
      </c>
      <c r="I79" s="120" t="n">
        <f aca="false">IF(I69=0,0,I72/I69)</f>
        <v>0.514279761659233</v>
      </c>
      <c r="J79" s="119" t="n">
        <f aca="false">IF(J69=0,0,J72/J69)</f>
        <v>0.48293159263169</v>
      </c>
      <c r="K79" s="119" t="n">
        <f aca="false">IF(K69=0,0,K72/K69)</f>
        <v>0.521316479101106</v>
      </c>
      <c r="L79" s="119" t="n">
        <f aca="false">IF(L69=0,0,L72/L69)</f>
        <v>0.461122757527001</v>
      </c>
      <c r="M79" s="119" t="n">
        <f aca="false">IF(M69=0,0,M72/M69)</f>
        <v>0.391083846980065</v>
      </c>
      <c r="N79" s="119" t="n">
        <f aca="false">IF(N69=0,0,N72/N69)</f>
        <v>0.497735650728016</v>
      </c>
      <c r="O79" s="119" t="n">
        <f aca="false">IF(O69=0,0,O72/O69)</f>
        <v>0.420197925363484</v>
      </c>
      <c r="P79" s="119" t="n">
        <f aca="false">IF(P69=0,0,P72/P69)</f>
        <v>0.483333522875891</v>
      </c>
      <c r="Q79" s="119" t="n">
        <f aca="false">IF(Q69=0,0,Q72/Q69)</f>
        <v>0.575451735195425</v>
      </c>
      <c r="R79" s="119" t="n">
        <f aca="false">IF(R69=0,0,R72/R69)</f>
        <v>0.525272538062325</v>
      </c>
      <c r="S79" s="119" t="n">
        <f aca="false">IF(S69=0,0,S72/S69)</f>
        <v>0</v>
      </c>
      <c r="T79" s="120" t="n">
        <f aca="false">IF(T69=0,0,T72/T69)</f>
        <v>0.488776823593151</v>
      </c>
      <c r="U79" s="119" t="n">
        <f aca="false">IF(U69=0,0,U72/U69)</f>
        <v>0.566777033963246</v>
      </c>
      <c r="V79" s="119" t="n">
        <f aca="false">IF(V69=0,0,V72/V69)</f>
        <v>0.519986678436524</v>
      </c>
      <c r="W79" s="119" t="n">
        <f aca="false">IF(W69=0,0,W72/W69)</f>
        <v>0.410561850820059</v>
      </c>
      <c r="X79" s="120" t="n">
        <f aca="false">IF(X69=0,0,X72/X69)</f>
        <v>0.477279507689305</v>
      </c>
      <c r="Y79" s="52"/>
      <c r="Z79" s="74"/>
    </row>
    <row r="80" customFormat="false" ht="15" hidden="false" customHeight="false" outlineLevel="0" collapsed="false">
      <c r="B80" s="123" t="s">
        <v>9</v>
      </c>
      <c r="C80" s="58"/>
      <c r="D80" s="124" t="s">
        <v>187</v>
      </c>
      <c r="E80" s="58"/>
      <c r="F80" s="58"/>
      <c r="G80" s="58"/>
      <c r="H80" s="58"/>
      <c r="I80" s="58"/>
      <c r="J80" s="124" t="s">
        <v>188</v>
      </c>
      <c r="K80" s="58"/>
      <c r="L80" s="124" t="s">
        <v>189</v>
      </c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125"/>
    </row>
    <row r="82" customFormat="false" ht="15" hidden="false" customHeight="false" outlineLevel="0" collapsed="false">
      <c r="B82" s="87" t="s">
        <v>190</v>
      </c>
      <c r="D82" s="126" t="n">
        <v>16515</v>
      </c>
      <c r="E82" s="127" t="n">
        <f aca="false">$D$82*$F$54</f>
        <v>4995.7875</v>
      </c>
    </row>
    <row r="84" customFormat="false" ht="15" hidden="false" customHeight="false" outlineLevel="0" collapsed="false">
      <c r="B84" s="108" t="s">
        <v>121</v>
      </c>
      <c r="C84" s="110" t="s">
        <v>135</v>
      </c>
      <c r="D84" s="109" t="s">
        <v>191</v>
      </c>
      <c r="E84" s="113" t="s">
        <v>192</v>
      </c>
    </row>
    <row r="85" customFormat="false" ht="15" hidden="false" customHeight="false" outlineLevel="0" collapsed="false">
      <c r="B85" s="51" t="s">
        <v>122</v>
      </c>
      <c r="C85" s="81" t="n">
        <f aca="false">$E$60/$C$69</f>
        <v>0.281234245065991</v>
      </c>
      <c r="D85" s="102" t="n">
        <f aca="false">C85*$D$82</f>
        <v>4644.58355726485</v>
      </c>
      <c r="E85" s="79" t="n">
        <f aca="false">C85*$E$82</f>
        <v>1404.98652607262</v>
      </c>
    </row>
    <row r="86" customFormat="false" ht="15" hidden="false" customHeight="false" outlineLevel="0" collapsed="false">
      <c r="B86" s="51" t="s">
        <v>193</v>
      </c>
      <c r="C86" s="81" t="n">
        <f aca="false">$E$61/$C$69</f>
        <v>0.16525696578149</v>
      </c>
      <c r="D86" s="102" t="n">
        <f aca="false">C86*$D$82</f>
        <v>2729.2187898813</v>
      </c>
      <c r="E86" s="79" t="n">
        <f aca="false">C86*$E$82</f>
        <v>825.588683939094</v>
      </c>
    </row>
    <row r="87" customFormat="false" ht="15" hidden="false" customHeight="false" outlineLevel="0" collapsed="false">
      <c r="B87" s="51" t="s">
        <v>124</v>
      </c>
      <c r="C87" s="81" t="n">
        <f aca="false">$E$62/$C$69</f>
        <v>0.260210916587882</v>
      </c>
      <c r="D87" s="102" t="n">
        <f aca="false">C87*$D$82</f>
        <v>4297.38328744886</v>
      </c>
      <c r="E87" s="79" t="n">
        <f aca="false">C87*$E$82</f>
        <v>1299.95844445328</v>
      </c>
    </row>
    <row r="88" customFormat="false" ht="15" hidden="false" customHeight="false" outlineLevel="0" collapsed="false">
      <c r="B88" s="51" t="s">
        <v>125</v>
      </c>
      <c r="C88" s="81" t="n">
        <f aca="false">$E$63/$C$69</f>
        <v>0.171687557882484</v>
      </c>
      <c r="D88" s="102" t="n">
        <f aca="false">C88*$D$82</f>
        <v>2835.42001842922</v>
      </c>
      <c r="E88" s="79" t="n">
        <f aca="false">C88*$E$82</f>
        <v>857.714555574838</v>
      </c>
    </row>
    <row r="89" customFormat="false" ht="15" hidden="false" customHeight="false" outlineLevel="0" collapsed="false">
      <c r="B89" s="51" t="s">
        <v>126</v>
      </c>
      <c r="C89" s="81" t="n">
        <f aca="false">$E$64/$C$69</f>
        <v>0.121610314682154</v>
      </c>
      <c r="D89" s="102" t="n">
        <f aca="false">C89*$D$82</f>
        <v>2008.39434697577</v>
      </c>
      <c r="E89" s="79" t="n">
        <f aca="false">C89*$E$82</f>
        <v>607.53928996017</v>
      </c>
    </row>
    <row r="90" customFormat="false" ht="15" hidden="false" customHeight="false" outlineLevel="0" collapsed="false">
      <c r="B90" s="123" t="s">
        <v>155</v>
      </c>
      <c r="C90" s="128" t="n">
        <f aca="false">SUM(C85:C89)</f>
        <v>1</v>
      </c>
      <c r="D90" s="96" t="n">
        <f aca="false">SUM(D85:D89)</f>
        <v>16515</v>
      </c>
      <c r="E90" s="97" t="n">
        <f aca="false">SUM(E85:E89)</f>
        <v>4995.7875</v>
      </c>
    </row>
    <row r="92" customFormat="false" ht="15" hidden="false" customHeight="false" outlineLevel="0" collapsed="false">
      <c r="A92" s="61" t="s">
        <v>194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customFormat="false" ht="15" hidden="false" customHeight="false" outlineLevel="0" collapsed="false">
      <c r="B93" s="129" t="s">
        <v>195</v>
      </c>
    </row>
    <row r="95" customFormat="false" ht="15" hidden="false" customHeight="false" outlineLevel="0" collapsed="false">
      <c r="A95" s="130" t="s">
        <v>122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customFormat="false" ht="15" hidden="false" customHeight="false" outlineLevel="0" collapsed="false">
      <c r="B96" s="131" t="s">
        <v>196</v>
      </c>
      <c r="C96" s="91" t="s">
        <v>197</v>
      </c>
      <c r="D96" s="91" t="s">
        <v>198</v>
      </c>
      <c r="E96" s="132" t="n">
        <v>270</v>
      </c>
      <c r="G96" s="108" t="s">
        <v>199</v>
      </c>
      <c r="H96" s="109" t="s">
        <v>200</v>
      </c>
      <c r="I96" s="109" t="s">
        <v>201</v>
      </c>
      <c r="J96" s="113" t="s">
        <v>202</v>
      </c>
    </row>
    <row r="97" customFormat="false" ht="15" hidden="false" customHeight="false" outlineLevel="0" collapsed="false">
      <c r="B97" s="78"/>
      <c r="C97" s="75" t="s">
        <v>199</v>
      </c>
      <c r="D97" s="75" t="s">
        <v>203</v>
      </c>
      <c r="E97" s="133" t="n">
        <v>2000</v>
      </c>
      <c r="G97" s="51" t="s">
        <v>204</v>
      </c>
      <c r="H97" s="134" t="n">
        <v>46477</v>
      </c>
      <c r="I97" s="135" t="n">
        <v>0.1</v>
      </c>
      <c r="J97" s="136" t="n">
        <f aca="false">EOMONTH(H97,0)</f>
        <v>46477</v>
      </c>
    </row>
    <row r="98" customFormat="false" ht="15" hidden="false" customHeight="false" outlineLevel="0" collapsed="false">
      <c r="B98" s="78"/>
      <c r="C98" s="75" t="s">
        <v>205</v>
      </c>
      <c r="D98" s="75" t="s">
        <v>21</v>
      </c>
      <c r="E98" s="137" t="n">
        <f aca="false">$E$96*$E$97</f>
        <v>540000</v>
      </c>
      <c r="G98" s="51" t="s">
        <v>206</v>
      </c>
      <c r="H98" s="134" t="n">
        <v>46842</v>
      </c>
      <c r="I98" s="135" t="n">
        <v>0.2</v>
      </c>
      <c r="J98" s="136" t="n">
        <f aca="false">EOMONTH(H98,0)</f>
        <v>46843</v>
      </c>
    </row>
    <row r="99" customFormat="false" ht="15" hidden="false" customHeight="false" outlineLevel="0" collapsed="false">
      <c r="B99" s="78"/>
      <c r="C99" s="75" t="s">
        <v>207</v>
      </c>
      <c r="D99" s="75" t="s">
        <v>208</v>
      </c>
      <c r="E99" s="133" t="n">
        <v>0</v>
      </c>
      <c r="G99" s="51" t="s">
        <v>209</v>
      </c>
      <c r="H99" s="134" t="n">
        <v>47208</v>
      </c>
      <c r="I99" s="135" t="n">
        <v>0.2</v>
      </c>
      <c r="J99" s="136" t="n">
        <f aca="false">EOMONTH(H99,0)</f>
        <v>47208</v>
      </c>
    </row>
    <row r="100" customFormat="false" ht="15" hidden="false" customHeight="false" outlineLevel="0" collapsed="false">
      <c r="B100" s="78"/>
      <c r="C100" s="75" t="s">
        <v>210</v>
      </c>
      <c r="D100" s="75" t="s">
        <v>208</v>
      </c>
      <c r="E100" s="133" t="n">
        <v>6000</v>
      </c>
      <c r="G100" s="51" t="s">
        <v>211</v>
      </c>
      <c r="H100" s="134" t="n">
        <v>47573</v>
      </c>
      <c r="I100" s="135" t="n">
        <v>0.2</v>
      </c>
      <c r="J100" s="136" t="n">
        <f aca="false">EOMONTH(H100,0)</f>
        <v>47573</v>
      </c>
    </row>
    <row r="101" customFormat="false" ht="15" hidden="false" customHeight="false" outlineLevel="0" collapsed="false">
      <c r="B101" s="78"/>
      <c r="C101" s="75" t="s">
        <v>212</v>
      </c>
      <c r="D101" s="72" t="s">
        <v>16</v>
      </c>
      <c r="E101" s="138" t="n">
        <v>0.02</v>
      </c>
      <c r="G101" s="51" t="s">
        <v>213</v>
      </c>
      <c r="H101" s="134" t="n">
        <v>47938</v>
      </c>
      <c r="I101" s="135" t="n">
        <v>0.3</v>
      </c>
      <c r="J101" s="136" t="n">
        <f aca="false">EOMONTH(H101,0)</f>
        <v>47938</v>
      </c>
    </row>
    <row r="102" customFormat="false" ht="15" hidden="false" customHeight="false" outlineLevel="0" collapsed="false">
      <c r="B102" s="78"/>
      <c r="C102" s="75" t="s">
        <v>214</v>
      </c>
      <c r="D102" s="75" t="s">
        <v>215</v>
      </c>
      <c r="E102" s="139" t="n">
        <v>12</v>
      </c>
      <c r="G102" s="123" t="s">
        <v>155</v>
      </c>
      <c r="H102" s="58"/>
      <c r="I102" s="140" t="n">
        <f aca="false">SUM(I97:I101)</f>
        <v>1</v>
      </c>
      <c r="J102" s="125"/>
    </row>
    <row r="103" customFormat="false" ht="15" hidden="false" customHeight="false" outlineLevel="0" collapsed="false">
      <c r="B103" s="78"/>
      <c r="C103" s="75" t="s">
        <v>216</v>
      </c>
      <c r="D103" s="72" t="s">
        <v>16</v>
      </c>
      <c r="E103" s="138" t="n">
        <v>0.02</v>
      </c>
    </row>
    <row r="104" customFormat="false" ht="15" hidden="false" customHeight="false" outlineLevel="0" collapsed="false">
      <c r="B104" s="78"/>
      <c r="C104" s="75" t="s">
        <v>217</v>
      </c>
      <c r="D104" s="72" t="s">
        <v>218</v>
      </c>
      <c r="E104" s="138" t="n">
        <v>0.8</v>
      </c>
    </row>
    <row r="105" customFormat="false" ht="15" hidden="false" customHeight="false" outlineLevel="0" collapsed="false">
      <c r="B105" s="78"/>
      <c r="C105" s="52"/>
      <c r="D105" s="72" t="s">
        <v>219</v>
      </c>
      <c r="E105" s="138" t="n">
        <v>1</v>
      </c>
    </row>
    <row r="106" customFormat="false" ht="15" hidden="false" customHeight="false" outlineLevel="0" collapsed="false">
      <c r="B106" s="78"/>
      <c r="C106" s="52"/>
      <c r="D106" s="72" t="s">
        <v>220</v>
      </c>
      <c r="E106" s="138" t="n">
        <v>1</v>
      </c>
    </row>
    <row r="107" customFormat="false" ht="15" hidden="false" customHeight="false" outlineLevel="0" collapsed="false">
      <c r="B107" s="78"/>
      <c r="C107" s="75" t="s">
        <v>221</v>
      </c>
      <c r="D107" s="75" t="s">
        <v>222</v>
      </c>
      <c r="E107" s="138" t="n">
        <v>0.15</v>
      </c>
    </row>
    <row r="108" customFormat="false" ht="15" hidden="false" customHeight="false" outlineLevel="0" collapsed="false">
      <c r="B108" s="71" t="s">
        <v>223</v>
      </c>
      <c r="C108" s="72" t="s">
        <v>224</v>
      </c>
      <c r="D108" s="75" t="s">
        <v>225</v>
      </c>
      <c r="E108" s="133" t="n">
        <v>200</v>
      </c>
    </row>
    <row r="109" customFormat="false" ht="15" hidden="false" customHeight="false" outlineLevel="0" collapsed="false">
      <c r="B109" s="78"/>
      <c r="C109" s="72" t="s">
        <v>226</v>
      </c>
      <c r="D109" s="72" t="s">
        <v>16</v>
      </c>
      <c r="E109" s="138" t="n">
        <v>0.9</v>
      </c>
    </row>
    <row r="110" customFormat="false" ht="15" hidden="false" customHeight="false" outlineLevel="0" collapsed="false">
      <c r="B110" s="78"/>
      <c r="C110" s="75" t="s">
        <v>227</v>
      </c>
      <c r="D110" s="75" t="s">
        <v>228</v>
      </c>
      <c r="E110" s="138" t="n">
        <v>0.75</v>
      </c>
    </row>
    <row r="111" customFormat="false" ht="15" hidden="false" customHeight="false" outlineLevel="0" collapsed="false">
      <c r="B111" s="83"/>
      <c r="C111" s="84" t="s">
        <v>229</v>
      </c>
      <c r="D111" s="84" t="s">
        <v>228</v>
      </c>
      <c r="E111" s="85" t="n">
        <v>0.04</v>
      </c>
    </row>
    <row r="113" customFormat="false" ht="15" hidden="false" customHeight="false" outlineLevel="0" collapsed="false">
      <c r="A113" s="130" t="s">
        <v>230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customFormat="false" ht="15" hidden="false" customHeight="false" outlineLevel="0" collapsed="false">
      <c r="B114" s="131" t="s">
        <v>196</v>
      </c>
      <c r="C114" s="91" t="s">
        <v>199</v>
      </c>
      <c r="D114" s="91" t="s">
        <v>21</v>
      </c>
      <c r="E114" s="132" t="n">
        <v>1500</v>
      </c>
    </row>
    <row r="115" customFormat="false" ht="15" hidden="false" customHeight="false" outlineLevel="0" collapsed="false">
      <c r="B115" s="78"/>
      <c r="C115" s="75" t="s">
        <v>231</v>
      </c>
      <c r="D115" s="75" t="s">
        <v>232</v>
      </c>
      <c r="E115" s="133" t="n">
        <v>120</v>
      </c>
    </row>
    <row r="116" customFormat="false" ht="15" hidden="false" customHeight="false" outlineLevel="0" collapsed="false">
      <c r="B116" s="78"/>
      <c r="C116" s="75" t="s">
        <v>180</v>
      </c>
      <c r="D116" s="75" t="s">
        <v>14</v>
      </c>
      <c r="E116" s="79" t="n">
        <f aca="false">$E$72</f>
        <v>1218.17</v>
      </c>
    </row>
    <row r="117" customFormat="false" ht="15" hidden="false" customHeight="false" outlineLevel="0" collapsed="false">
      <c r="B117" s="78"/>
      <c r="C117" s="75" t="s">
        <v>233</v>
      </c>
      <c r="D117" s="75" t="s">
        <v>234</v>
      </c>
      <c r="E117" s="137" t="n">
        <f aca="false">$E$115*$E$116/1000</f>
        <v>146.1804</v>
      </c>
    </row>
    <row r="118" customFormat="false" ht="15" hidden="false" customHeight="false" outlineLevel="0" collapsed="false">
      <c r="B118" s="78"/>
      <c r="C118" s="75" t="s">
        <v>212</v>
      </c>
      <c r="D118" s="72" t="s">
        <v>16</v>
      </c>
      <c r="E118" s="138" t="n">
        <v>0.02</v>
      </c>
    </row>
    <row r="119" customFormat="false" ht="15" hidden="false" customHeight="false" outlineLevel="0" collapsed="false">
      <c r="B119" s="78"/>
      <c r="C119" s="75" t="s">
        <v>214</v>
      </c>
      <c r="D119" s="75" t="s">
        <v>215</v>
      </c>
      <c r="E119" s="139" t="n">
        <v>12</v>
      </c>
    </row>
    <row r="120" customFormat="false" ht="15" hidden="false" customHeight="false" outlineLevel="0" collapsed="false">
      <c r="B120" s="83"/>
      <c r="C120" s="84" t="s">
        <v>216</v>
      </c>
      <c r="D120" s="141" t="s">
        <v>16</v>
      </c>
      <c r="E120" s="85" t="n">
        <v>0.02</v>
      </c>
    </row>
    <row r="122" customFormat="false" ht="15" hidden="false" customHeight="false" outlineLevel="0" collapsed="false">
      <c r="A122" s="130" t="s">
        <v>235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customFormat="false" ht="15" hidden="false" customHeight="false" outlineLevel="0" collapsed="false">
      <c r="B123" s="108" t="s">
        <v>236</v>
      </c>
      <c r="C123" s="109" t="s">
        <v>237</v>
      </c>
      <c r="D123" s="109" t="s">
        <v>238</v>
      </c>
      <c r="E123" s="109" t="s">
        <v>239</v>
      </c>
      <c r="F123" s="110" t="s">
        <v>240</v>
      </c>
      <c r="G123" s="142" t="s">
        <v>241</v>
      </c>
      <c r="I123" s="108" t="s">
        <v>199</v>
      </c>
      <c r="J123" s="109" t="s">
        <v>200</v>
      </c>
      <c r="K123" s="109" t="s">
        <v>201</v>
      </c>
      <c r="L123" s="113" t="s">
        <v>202</v>
      </c>
    </row>
    <row r="124" customFormat="false" ht="15" hidden="false" customHeight="false" outlineLevel="0" collapsed="false">
      <c r="B124" s="143" t="s">
        <v>242</v>
      </c>
      <c r="C124" s="144" t="n">
        <v>39</v>
      </c>
      <c r="D124" s="144" t="n">
        <v>24</v>
      </c>
      <c r="E124" s="144" t="n">
        <v>2364</v>
      </c>
      <c r="F124" s="144" t="n">
        <v>530888</v>
      </c>
      <c r="G124" s="137" t="n">
        <f aca="false">D124*F124</f>
        <v>12741312</v>
      </c>
      <c r="I124" s="51" t="s">
        <v>204</v>
      </c>
      <c r="J124" s="134" t="n">
        <v>46477</v>
      </c>
      <c r="K124" s="135" t="n">
        <v>0.1</v>
      </c>
      <c r="L124" s="136" t="n">
        <f aca="false">EOMONTH(J124,0)</f>
        <v>46477</v>
      </c>
    </row>
    <row r="125" customFormat="false" ht="15" hidden="false" customHeight="false" outlineLevel="0" collapsed="false">
      <c r="B125" s="143" t="s">
        <v>243</v>
      </c>
      <c r="C125" s="144" t="n">
        <v>43</v>
      </c>
      <c r="D125" s="144" t="n">
        <v>24</v>
      </c>
      <c r="E125" s="144" t="n">
        <v>2592</v>
      </c>
      <c r="F125" s="144" t="n">
        <v>583976</v>
      </c>
      <c r="G125" s="137" t="n">
        <f aca="false">D125*F125</f>
        <v>14015424</v>
      </c>
      <c r="I125" s="51" t="s">
        <v>206</v>
      </c>
      <c r="J125" s="134" t="n">
        <v>46842</v>
      </c>
      <c r="K125" s="135" t="n">
        <v>0.2</v>
      </c>
      <c r="L125" s="136" t="n">
        <f aca="false">EOMONTH(J125,0)</f>
        <v>46843</v>
      </c>
    </row>
    <row r="126" customFormat="false" ht="15" hidden="false" customHeight="false" outlineLevel="0" collapsed="false">
      <c r="B126" s="143" t="s">
        <v>244</v>
      </c>
      <c r="C126" s="144" t="n">
        <v>61</v>
      </c>
      <c r="D126" s="144" t="n">
        <v>40</v>
      </c>
      <c r="E126" s="144" t="n">
        <v>3636</v>
      </c>
      <c r="F126" s="144" t="n">
        <v>816750</v>
      </c>
      <c r="G126" s="137" t="n">
        <f aca="false">D126*F126</f>
        <v>32670000</v>
      </c>
      <c r="I126" s="51" t="s">
        <v>209</v>
      </c>
      <c r="J126" s="134" t="n">
        <v>47208</v>
      </c>
      <c r="K126" s="135" t="n">
        <v>0.2</v>
      </c>
      <c r="L126" s="136" t="n">
        <f aca="false">EOMONTH(J126,0)</f>
        <v>47208</v>
      </c>
    </row>
    <row r="127" customFormat="false" ht="15" hidden="false" customHeight="false" outlineLevel="0" collapsed="false">
      <c r="B127" s="143" t="s">
        <v>245</v>
      </c>
      <c r="C127" s="144" t="n">
        <v>157</v>
      </c>
      <c r="D127" s="144" t="n">
        <v>3</v>
      </c>
      <c r="E127" s="144" t="n">
        <v>9444</v>
      </c>
      <c r="F127" s="144" t="n">
        <v>2123550</v>
      </c>
      <c r="G127" s="137" t="n">
        <f aca="false">D127*F127</f>
        <v>6370650</v>
      </c>
      <c r="I127" s="51" t="s">
        <v>211</v>
      </c>
      <c r="J127" s="134" t="n">
        <v>47573</v>
      </c>
      <c r="K127" s="135" t="n">
        <v>0.2</v>
      </c>
      <c r="L127" s="136" t="n">
        <f aca="false">EOMONTH(J127,0)</f>
        <v>47573</v>
      </c>
    </row>
    <row r="128" customFormat="false" ht="15" hidden="false" customHeight="false" outlineLevel="0" collapsed="false">
      <c r="B128" s="143" t="s">
        <v>246</v>
      </c>
      <c r="C128" s="144" t="n">
        <v>301</v>
      </c>
      <c r="D128" s="144" t="n">
        <v>1</v>
      </c>
      <c r="E128" s="144" t="n">
        <v>18036</v>
      </c>
      <c r="F128" s="144" t="n">
        <v>4059248</v>
      </c>
      <c r="G128" s="137" t="n">
        <f aca="false">D128*F128</f>
        <v>4059248</v>
      </c>
      <c r="I128" s="51" t="s">
        <v>213</v>
      </c>
      <c r="J128" s="134" t="n">
        <v>47938</v>
      </c>
      <c r="K128" s="135" t="n">
        <v>0.3</v>
      </c>
      <c r="L128" s="136" t="n">
        <f aca="false">EOMONTH(J128,0)</f>
        <v>47938</v>
      </c>
    </row>
    <row r="129" customFormat="false" ht="15" hidden="false" customHeight="false" outlineLevel="0" collapsed="false">
      <c r="A129" s="145"/>
      <c r="B129" s="146" t="s">
        <v>155</v>
      </c>
      <c r="C129" s="147" t="n">
        <f aca="false">SUMPRODUCT(C124:C128,D124:D128)</f>
        <v>5180</v>
      </c>
      <c r="D129" s="147" t="n">
        <f aca="false">SUM(D124:D128)</f>
        <v>92</v>
      </c>
      <c r="E129" s="147" t="n">
        <f aca="false">SUMPRODUCT(D124:D128,E124:E128)</f>
        <v>310752</v>
      </c>
      <c r="F129" s="147" t="n">
        <f aca="false">G129/D129</f>
        <v>759311.239130435</v>
      </c>
      <c r="G129" s="147" t="n">
        <f aca="false">SUM(G124:G128)</f>
        <v>69856634</v>
      </c>
      <c r="I129" s="123" t="s">
        <v>155</v>
      </c>
      <c r="J129" s="58"/>
      <c r="K129" s="140" t="n">
        <f aca="false">SUM(K124:K128)</f>
        <v>1</v>
      </c>
      <c r="L129" s="125"/>
    </row>
    <row r="130" customFormat="false" ht="15" hidden="false" customHeight="false" outlineLevel="0" collapsed="false">
      <c r="B130" s="131" t="s">
        <v>247</v>
      </c>
      <c r="C130" s="91" t="s">
        <v>212</v>
      </c>
      <c r="D130" s="148" t="s">
        <v>16</v>
      </c>
      <c r="E130" s="149" t="n">
        <v>0.02</v>
      </c>
    </row>
    <row r="131" customFormat="false" ht="15" hidden="false" customHeight="false" outlineLevel="0" collapsed="false">
      <c r="B131" s="78"/>
      <c r="C131" s="75" t="s">
        <v>214</v>
      </c>
      <c r="D131" s="75" t="s">
        <v>215</v>
      </c>
      <c r="E131" s="139" t="n">
        <v>12</v>
      </c>
    </row>
    <row r="132" customFormat="false" ht="15" hidden="false" customHeight="false" outlineLevel="0" collapsed="false">
      <c r="B132" s="78"/>
      <c r="C132" s="75" t="s">
        <v>216</v>
      </c>
      <c r="D132" s="72" t="s">
        <v>16</v>
      </c>
      <c r="E132" s="138" t="n">
        <v>0.02</v>
      </c>
    </row>
    <row r="133" customFormat="false" ht="15" hidden="false" customHeight="false" outlineLevel="0" collapsed="false">
      <c r="B133" s="78"/>
      <c r="C133" s="75" t="s">
        <v>217</v>
      </c>
      <c r="D133" s="72" t="s">
        <v>218</v>
      </c>
      <c r="E133" s="138" t="n">
        <v>0.8</v>
      </c>
    </row>
    <row r="134" customFormat="false" ht="15" hidden="false" customHeight="false" outlineLevel="0" collapsed="false">
      <c r="B134" s="78"/>
      <c r="C134" s="52"/>
      <c r="D134" s="72" t="s">
        <v>219</v>
      </c>
      <c r="E134" s="138" t="n">
        <v>1</v>
      </c>
    </row>
    <row r="135" customFormat="false" ht="15" hidden="false" customHeight="false" outlineLevel="0" collapsed="false">
      <c r="B135" s="78"/>
      <c r="C135" s="52"/>
      <c r="D135" s="72" t="s">
        <v>220</v>
      </c>
      <c r="E135" s="138" t="n">
        <v>1</v>
      </c>
    </row>
    <row r="136" customFormat="false" ht="15" hidden="false" customHeight="false" outlineLevel="0" collapsed="false">
      <c r="B136" s="78"/>
      <c r="C136" s="72" t="s">
        <v>226</v>
      </c>
      <c r="D136" s="72" t="s">
        <v>218</v>
      </c>
      <c r="E136" s="138" t="n">
        <v>0.65</v>
      </c>
    </row>
    <row r="137" customFormat="false" ht="15" hidden="false" customHeight="false" outlineLevel="0" collapsed="false">
      <c r="B137" s="78"/>
      <c r="C137" s="52"/>
      <c r="D137" s="72" t="s">
        <v>219</v>
      </c>
      <c r="E137" s="138" t="n">
        <v>0.75</v>
      </c>
    </row>
    <row r="138" customFormat="false" ht="15" hidden="false" customHeight="false" outlineLevel="0" collapsed="false">
      <c r="B138" s="78"/>
      <c r="C138" s="52"/>
      <c r="D138" s="72" t="s">
        <v>220</v>
      </c>
      <c r="E138" s="138" t="n">
        <v>0.75</v>
      </c>
    </row>
    <row r="139" customFormat="false" ht="15" hidden="false" customHeight="false" outlineLevel="0" collapsed="false">
      <c r="B139" s="78"/>
      <c r="C139" s="75" t="s">
        <v>248</v>
      </c>
      <c r="D139" s="75" t="s">
        <v>249</v>
      </c>
      <c r="E139" s="138" t="n">
        <v>0.667</v>
      </c>
    </row>
    <row r="140" customFormat="false" ht="15" hidden="false" customHeight="false" outlineLevel="0" collapsed="false">
      <c r="B140" s="71" t="s">
        <v>223</v>
      </c>
      <c r="C140" s="75" t="s">
        <v>227</v>
      </c>
      <c r="D140" s="75" t="s">
        <v>228</v>
      </c>
      <c r="E140" s="138" t="n">
        <v>0.75</v>
      </c>
    </row>
    <row r="141" customFormat="false" ht="15" hidden="false" customHeight="false" outlineLevel="0" collapsed="false">
      <c r="B141" s="83"/>
      <c r="C141" s="84" t="s">
        <v>229</v>
      </c>
      <c r="D141" s="84" t="s">
        <v>228</v>
      </c>
      <c r="E141" s="85" t="n">
        <v>0.04</v>
      </c>
    </row>
    <row r="143" customFormat="false" ht="15" hidden="false" customHeight="false" outlineLevel="0" collapsed="false">
      <c r="A143" s="130" t="s">
        <v>250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customFormat="false" ht="15" hidden="false" customHeight="false" outlineLevel="0" collapsed="false">
      <c r="B144" s="131" t="s">
        <v>247</v>
      </c>
      <c r="C144" s="91" t="s">
        <v>249</v>
      </c>
      <c r="D144" s="148" t="s">
        <v>16</v>
      </c>
      <c r="E144" s="149" t="n">
        <v>0.365</v>
      </c>
    </row>
    <row r="145" customFormat="false" ht="15" hidden="false" customHeight="false" outlineLevel="0" collapsed="false">
      <c r="B145" s="123" t="s">
        <v>223</v>
      </c>
      <c r="C145" s="84" t="s">
        <v>251</v>
      </c>
      <c r="D145" s="141" t="s">
        <v>16</v>
      </c>
      <c r="E145" s="85" t="n">
        <v>0.75</v>
      </c>
    </row>
    <row r="147" customFormat="false" ht="15" hidden="false" customHeight="false" outlineLevel="0" collapsed="false">
      <c r="A147" s="130" t="s">
        <v>124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customFormat="false" ht="15" hidden="false" customHeight="false" outlineLevel="0" collapsed="false">
      <c r="B148" s="131" t="s">
        <v>196</v>
      </c>
      <c r="C148" s="91" t="s">
        <v>252</v>
      </c>
      <c r="D148" s="91" t="s">
        <v>253</v>
      </c>
      <c r="E148" s="132" t="n">
        <v>257</v>
      </c>
    </row>
    <row r="149" customFormat="false" ht="15" hidden="false" customHeight="false" outlineLevel="0" collapsed="false">
      <c r="B149" s="78"/>
      <c r="C149" s="75" t="s">
        <v>199</v>
      </c>
      <c r="D149" s="75" t="s">
        <v>254</v>
      </c>
      <c r="E149" s="133" t="n">
        <v>50</v>
      </c>
    </row>
    <row r="150" customFormat="false" ht="15" hidden="false" customHeight="false" outlineLevel="0" collapsed="false">
      <c r="B150" s="78"/>
      <c r="C150" s="75" t="s">
        <v>255</v>
      </c>
      <c r="D150" s="75" t="s">
        <v>256</v>
      </c>
      <c r="E150" s="133" t="n">
        <v>1320</v>
      </c>
    </row>
    <row r="151" customFormat="false" ht="15" hidden="false" customHeight="false" outlineLevel="0" collapsed="false">
      <c r="B151" s="78"/>
      <c r="C151" s="75" t="s">
        <v>205</v>
      </c>
      <c r="D151" s="75" t="s">
        <v>21</v>
      </c>
      <c r="E151" s="137" t="n">
        <f aca="false">$E$149*$E$150</f>
        <v>66000</v>
      </c>
    </row>
    <row r="152" customFormat="false" ht="15" hidden="false" customHeight="false" outlineLevel="0" collapsed="false">
      <c r="B152" s="78"/>
      <c r="C152" s="75" t="s">
        <v>207</v>
      </c>
      <c r="D152" s="75" t="s">
        <v>208</v>
      </c>
      <c r="E152" s="133" t="n">
        <v>0</v>
      </c>
    </row>
    <row r="153" customFormat="false" ht="15" hidden="false" customHeight="false" outlineLevel="0" collapsed="false">
      <c r="B153" s="78"/>
      <c r="C153" s="75" t="s">
        <v>212</v>
      </c>
      <c r="D153" s="72" t="s">
        <v>16</v>
      </c>
      <c r="E153" s="138" t="n">
        <v>0.02</v>
      </c>
    </row>
    <row r="154" customFormat="false" ht="15" hidden="false" customHeight="false" outlineLevel="0" collapsed="false">
      <c r="B154" s="78"/>
      <c r="C154" s="75" t="s">
        <v>214</v>
      </c>
      <c r="D154" s="75" t="s">
        <v>215</v>
      </c>
      <c r="E154" s="139" t="n">
        <v>12</v>
      </c>
    </row>
    <row r="155" customFormat="false" ht="15" hidden="false" customHeight="false" outlineLevel="0" collapsed="false">
      <c r="B155" s="78"/>
      <c r="C155" s="75" t="s">
        <v>216</v>
      </c>
      <c r="D155" s="72" t="s">
        <v>16</v>
      </c>
      <c r="E155" s="138" t="n">
        <v>0.02</v>
      </c>
    </row>
    <row r="156" customFormat="false" ht="15" hidden="false" customHeight="false" outlineLevel="0" collapsed="false">
      <c r="B156" s="78"/>
      <c r="C156" s="75" t="s">
        <v>257</v>
      </c>
      <c r="D156" s="72" t="s">
        <v>218</v>
      </c>
      <c r="E156" s="138" t="n">
        <v>0.6</v>
      </c>
    </row>
    <row r="157" customFormat="false" ht="15" hidden="false" customHeight="false" outlineLevel="0" collapsed="false">
      <c r="B157" s="78"/>
      <c r="C157" s="52"/>
      <c r="D157" s="72" t="s">
        <v>219</v>
      </c>
      <c r="E157" s="138" t="n">
        <v>0.8</v>
      </c>
    </row>
    <row r="158" customFormat="false" ht="15" hidden="false" customHeight="false" outlineLevel="0" collapsed="false">
      <c r="B158" s="78"/>
      <c r="C158" s="52"/>
      <c r="D158" s="72" t="s">
        <v>220</v>
      </c>
      <c r="E158" s="138" t="n">
        <v>1</v>
      </c>
    </row>
    <row r="159" customFormat="false" ht="15" hidden="false" customHeight="false" outlineLevel="0" collapsed="false">
      <c r="B159" s="78"/>
      <c r="C159" s="72" t="s">
        <v>224</v>
      </c>
      <c r="D159" s="75" t="s">
        <v>258</v>
      </c>
      <c r="E159" s="133" t="n">
        <v>600000</v>
      </c>
    </row>
    <row r="160" customFormat="false" ht="15" hidden="false" customHeight="false" outlineLevel="0" collapsed="false">
      <c r="B160" s="78"/>
      <c r="C160" s="72" t="s">
        <v>226</v>
      </c>
      <c r="D160" s="72" t="s">
        <v>218</v>
      </c>
      <c r="E160" s="138" t="n">
        <v>0.65</v>
      </c>
    </row>
    <row r="161" customFormat="false" ht="15" hidden="false" customHeight="false" outlineLevel="0" collapsed="false">
      <c r="B161" s="78"/>
      <c r="C161" s="52"/>
      <c r="D161" s="72" t="s">
        <v>219</v>
      </c>
      <c r="E161" s="138" t="n">
        <v>0.75</v>
      </c>
    </row>
    <row r="162" customFormat="false" ht="15" hidden="false" customHeight="false" outlineLevel="0" collapsed="false">
      <c r="B162" s="78"/>
      <c r="C162" s="52"/>
      <c r="D162" s="72" t="s">
        <v>220</v>
      </c>
      <c r="E162" s="138" t="n">
        <v>0.75</v>
      </c>
    </row>
    <row r="163" customFormat="false" ht="15" hidden="false" customHeight="false" outlineLevel="0" collapsed="false">
      <c r="B163" s="78"/>
      <c r="C163" s="75" t="s">
        <v>259</v>
      </c>
      <c r="D163" s="72" t="s">
        <v>16</v>
      </c>
      <c r="E163" s="138" t="n">
        <v>0.45</v>
      </c>
    </row>
    <row r="164" customFormat="false" ht="15" hidden="false" customHeight="false" outlineLevel="0" collapsed="false">
      <c r="B164" s="78"/>
      <c r="C164" s="75" t="s">
        <v>260</v>
      </c>
      <c r="D164" s="72" t="s">
        <v>16</v>
      </c>
      <c r="E164" s="138" t="n">
        <v>0.06</v>
      </c>
    </row>
    <row r="165" customFormat="false" ht="15" hidden="false" customHeight="false" outlineLevel="0" collapsed="false">
      <c r="B165" s="71" t="s">
        <v>223</v>
      </c>
      <c r="C165" s="75" t="s">
        <v>227</v>
      </c>
      <c r="D165" s="75" t="s">
        <v>228</v>
      </c>
      <c r="E165" s="138" t="n">
        <v>0.75</v>
      </c>
    </row>
    <row r="166" customFormat="false" ht="15" hidden="false" customHeight="false" outlineLevel="0" collapsed="false">
      <c r="B166" s="83"/>
      <c r="C166" s="84" t="s">
        <v>229</v>
      </c>
      <c r="D166" s="84" t="s">
        <v>228</v>
      </c>
      <c r="E166" s="85" t="n">
        <v>0.04</v>
      </c>
    </row>
    <row r="168" customFormat="false" ht="15" hidden="false" customHeight="false" outlineLevel="0" collapsed="false">
      <c r="A168" s="130" t="s">
        <v>261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customFormat="false" ht="15" hidden="false" customHeight="false" outlineLevel="0" collapsed="false">
      <c r="B169" s="131" t="s">
        <v>196</v>
      </c>
      <c r="C169" s="91" t="s">
        <v>262</v>
      </c>
      <c r="D169" s="91" t="s">
        <v>263</v>
      </c>
      <c r="E169" s="149" t="n">
        <v>0.36</v>
      </c>
    </row>
    <row r="170" customFormat="false" ht="15" hidden="false" customHeight="false" outlineLevel="0" collapsed="false">
      <c r="B170" s="78"/>
      <c r="C170" s="75" t="s">
        <v>264</v>
      </c>
      <c r="D170" s="75" t="s">
        <v>263</v>
      </c>
      <c r="E170" s="138" t="n">
        <v>0.14</v>
      </c>
    </row>
    <row r="171" customFormat="false" ht="15" hidden="false" customHeight="false" outlineLevel="0" collapsed="false">
      <c r="B171" s="78"/>
      <c r="C171" s="75" t="s">
        <v>265</v>
      </c>
      <c r="D171" s="75" t="s">
        <v>263</v>
      </c>
      <c r="E171" s="138" t="n">
        <v>0.45</v>
      </c>
    </row>
    <row r="172" customFormat="false" ht="15" hidden="false" customHeight="false" outlineLevel="0" collapsed="false">
      <c r="B172" s="78"/>
      <c r="C172" s="75" t="s">
        <v>266</v>
      </c>
      <c r="D172" s="75" t="s">
        <v>263</v>
      </c>
      <c r="E172" s="138" t="n">
        <v>0.2</v>
      </c>
    </row>
    <row r="173" customFormat="false" ht="15" hidden="false" customHeight="false" outlineLevel="0" collapsed="false">
      <c r="B173" s="78"/>
      <c r="C173" s="72" t="s">
        <v>267</v>
      </c>
      <c r="D173" s="75" t="s">
        <v>268</v>
      </c>
      <c r="E173" s="138" t="n">
        <v>0.2</v>
      </c>
    </row>
    <row r="174" customFormat="false" ht="15" hidden="false" customHeight="false" outlineLevel="0" collapsed="false">
      <c r="B174" s="78"/>
      <c r="C174" s="75" t="s">
        <v>216</v>
      </c>
      <c r="D174" s="72" t="s">
        <v>16</v>
      </c>
      <c r="E174" s="138" t="n">
        <v>0.02</v>
      </c>
    </row>
    <row r="175" customFormat="false" ht="15" hidden="false" customHeight="false" outlineLevel="0" collapsed="false">
      <c r="B175" s="71" t="s">
        <v>223</v>
      </c>
      <c r="C175" s="75" t="s">
        <v>262</v>
      </c>
      <c r="D175" s="75" t="s">
        <v>251</v>
      </c>
      <c r="E175" s="138" t="n">
        <v>0.75</v>
      </c>
    </row>
    <row r="176" customFormat="false" ht="15" hidden="false" customHeight="false" outlineLevel="0" collapsed="false">
      <c r="B176" s="78"/>
      <c r="C176" s="75" t="s">
        <v>264</v>
      </c>
      <c r="D176" s="75" t="s">
        <v>251</v>
      </c>
      <c r="E176" s="138" t="n">
        <v>0.75</v>
      </c>
    </row>
    <row r="177" customFormat="false" ht="15" hidden="false" customHeight="false" outlineLevel="0" collapsed="false">
      <c r="B177" s="78"/>
      <c r="C177" s="75" t="s">
        <v>265</v>
      </c>
      <c r="D177" s="75" t="s">
        <v>251</v>
      </c>
      <c r="E177" s="138" t="n">
        <v>0.75</v>
      </c>
    </row>
    <row r="178" customFormat="false" ht="15" hidden="false" customHeight="false" outlineLevel="0" collapsed="false">
      <c r="B178" s="78"/>
      <c r="C178" s="75" t="s">
        <v>266</v>
      </c>
      <c r="D178" s="75" t="s">
        <v>251</v>
      </c>
      <c r="E178" s="138" t="n">
        <v>0.7</v>
      </c>
    </row>
    <row r="179" customFormat="false" ht="15" hidden="false" customHeight="false" outlineLevel="0" collapsed="false">
      <c r="B179" s="83"/>
      <c r="C179" s="141" t="s">
        <v>267</v>
      </c>
      <c r="D179" s="84" t="s">
        <v>251</v>
      </c>
      <c r="E179" s="85" t="n">
        <v>0.85</v>
      </c>
    </row>
    <row r="181" customFormat="false" ht="15" hidden="false" customHeight="false" outlineLevel="0" collapsed="false">
      <c r="A181" s="130" t="s">
        <v>125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customFormat="false" ht="15" hidden="false" customHeight="false" outlineLevel="0" collapsed="false">
      <c r="B182" s="131" t="s">
        <v>196</v>
      </c>
      <c r="C182" s="91" t="s">
        <v>199</v>
      </c>
      <c r="D182" s="91" t="s">
        <v>21</v>
      </c>
      <c r="E182" s="132" t="n">
        <v>14400</v>
      </c>
    </row>
    <row r="183" customFormat="false" ht="15" hidden="false" customHeight="false" outlineLevel="0" collapsed="false">
      <c r="B183" s="78"/>
      <c r="C183" s="75" t="s">
        <v>269</v>
      </c>
      <c r="D183" s="75" t="s">
        <v>270</v>
      </c>
      <c r="E183" s="133" t="n">
        <v>195</v>
      </c>
    </row>
    <row r="184" customFormat="false" ht="15" hidden="false" customHeight="false" outlineLevel="0" collapsed="false">
      <c r="B184" s="78"/>
      <c r="C184" s="75" t="s">
        <v>180</v>
      </c>
      <c r="D184" s="75" t="s">
        <v>14</v>
      </c>
      <c r="E184" s="79" t="n">
        <f aca="false">$R$72</f>
        <v>7377.98</v>
      </c>
    </row>
    <row r="185" customFormat="false" ht="15" hidden="false" customHeight="false" outlineLevel="0" collapsed="false">
      <c r="B185" s="78"/>
      <c r="C185" s="75" t="s">
        <v>233</v>
      </c>
      <c r="D185" s="75" t="s">
        <v>234</v>
      </c>
      <c r="E185" s="137" t="n">
        <f aca="false">$E$183*$E$184/1000</f>
        <v>1438.7061</v>
      </c>
    </row>
    <row r="186" customFormat="false" ht="15" hidden="false" customHeight="false" outlineLevel="0" collapsed="false">
      <c r="B186" s="78"/>
      <c r="C186" s="75" t="s">
        <v>212</v>
      </c>
      <c r="D186" s="72" t="s">
        <v>16</v>
      </c>
      <c r="E186" s="138" t="n">
        <v>0.02</v>
      </c>
    </row>
    <row r="187" customFormat="false" ht="15" hidden="false" customHeight="false" outlineLevel="0" collapsed="false">
      <c r="B187" s="78"/>
      <c r="C187" s="75" t="s">
        <v>214</v>
      </c>
      <c r="D187" s="75" t="s">
        <v>215</v>
      </c>
      <c r="E187" s="139" t="n">
        <v>12</v>
      </c>
    </row>
    <row r="188" customFormat="false" ht="15" hidden="false" customHeight="false" outlineLevel="0" collapsed="false">
      <c r="B188" s="78"/>
      <c r="C188" s="75" t="s">
        <v>216</v>
      </c>
      <c r="D188" s="72" t="s">
        <v>16</v>
      </c>
      <c r="E188" s="138" t="n">
        <v>0.02</v>
      </c>
    </row>
    <row r="189" customFormat="false" ht="15" hidden="false" customHeight="false" outlineLevel="0" collapsed="false">
      <c r="B189" s="143"/>
      <c r="C189" s="75" t="s">
        <v>271</v>
      </c>
      <c r="D189" s="72" t="s">
        <v>218</v>
      </c>
      <c r="E189" s="138" t="n">
        <v>0.2</v>
      </c>
    </row>
    <row r="190" customFormat="false" ht="15" hidden="false" customHeight="false" outlineLevel="0" collapsed="false">
      <c r="B190" s="78"/>
      <c r="C190" s="52"/>
      <c r="D190" s="72" t="s">
        <v>219</v>
      </c>
      <c r="E190" s="138" t="n">
        <v>0.02</v>
      </c>
    </row>
    <row r="191" customFormat="false" ht="15" hidden="false" customHeight="false" outlineLevel="0" collapsed="false">
      <c r="B191" s="78"/>
      <c r="C191" s="52"/>
      <c r="D191" s="72" t="s">
        <v>220</v>
      </c>
      <c r="E191" s="138" t="n">
        <v>0.02</v>
      </c>
    </row>
    <row r="192" customFormat="false" ht="15" hidden="false" customHeight="false" outlineLevel="0" collapsed="false">
      <c r="B192" s="131" t="s">
        <v>223</v>
      </c>
      <c r="C192" s="91" t="s">
        <v>272</v>
      </c>
      <c r="D192" s="148" t="s">
        <v>218</v>
      </c>
      <c r="E192" s="149" t="n">
        <v>0.25</v>
      </c>
    </row>
    <row r="193" customFormat="false" ht="15" hidden="false" customHeight="false" outlineLevel="0" collapsed="false">
      <c r="B193" s="78"/>
      <c r="C193" s="52"/>
      <c r="D193" s="72" t="s">
        <v>219</v>
      </c>
      <c r="E193" s="138" t="n">
        <v>0.083</v>
      </c>
    </row>
    <row r="194" customFormat="false" ht="15" hidden="false" customHeight="false" outlineLevel="0" collapsed="false">
      <c r="B194" s="78"/>
      <c r="C194" s="52"/>
      <c r="D194" s="72" t="s">
        <v>220</v>
      </c>
      <c r="E194" s="138" t="n">
        <v>0.083</v>
      </c>
    </row>
    <row r="195" customFormat="false" ht="15" hidden="false" customHeight="false" outlineLevel="0" collapsed="false">
      <c r="B195" s="78"/>
      <c r="C195" s="75" t="s">
        <v>273</v>
      </c>
      <c r="D195" s="75" t="s">
        <v>270</v>
      </c>
      <c r="E195" s="133" t="n">
        <v>20</v>
      </c>
    </row>
    <row r="196" customFormat="false" ht="15" hidden="false" customHeight="false" outlineLevel="0" collapsed="false">
      <c r="B196" s="83"/>
      <c r="C196" s="84" t="s">
        <v>274</v>
      </c>
      <c r="D196" s="84" t="s">
        <v>234</v>
      </c>
      <c r="E196" s="150" t="n">
        <f aca="false">$E$195*$E$184/1000</f>
        <v>147.5596</v>
      </c>
    </row>
    <row r="198" customFormat="false" ht="15" hidden="false" customHeight="false" outlineLevel="0" collapsed="false">
      <c r="A198" s="130" t="s">
        <v>126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customFormat="false" ht="15" hidden="false" customHeight="false" outlineLevel="0" collapsed="false">
      <c r="A199" s="151" t="s">
        <v>171</v>
      </c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</row>
    <row r="200" customFormat="false" ht="15" hidden="false" customHeight="false" outlineLevel="0" collapsed="false">
      <c r="B200" s="131" t="s">
        <v>196</v>
      </c>
      <c r="C200" s="91" t="s">
        <v>199</v>
      </c>
      <c r="D200" s="91" t="s">
        <v>21</v>
      </c>
      <c r="E200" s="132" t="n">
        <v>1500</v>
      </c>
    </row>
    <row r="201" customFormat="false" ht="15" hidden="false" customHeight="false" outlineLevel="0" collapsed="false">
      <c r="B201" s="78"/>
      <c r="C201" s="75" t="s">
        <v>269</v>
      </c>
      <c r="D201" s="75" t="s">
        <v>270</v>
      </c>
      <c r="E201" s="133" t="n">
        <v>150</v>
      </c>
    </row>
    <row r="202" customFormat="false" ht="15" hidden="false" customHeight="false" outlineLevel="0" collapsed="false">
      <c r="B202" s="78"/>
      <c r="C202" s="75" t="s">
        <v>180</v>
      </c>
      <c r="D202" s="75" t="s">
        <v>14</v>
      </c>
      <c r="E202" s="79" t="n">
        <f aca="false">$U$72</f>
        <v>948.64</v>
      </c>
    </row>
    <row r="203" customFormat="false" ht="15" hidden="false" customHeight="false" outlineLevel="0" collapsed="false">
      <c r="B203" s="78"/>
      <c r="C203" s="75" t="s">
        <v>233</v>
      </c>
      <c r="D203" s="75" t="s">
        <v>234</v>
      </c>
      <c r="E203" s="137" t="n">
        <f aca="false">$E$201*$E$202/1000</f>
        <v>142.296</v>
      </c>
    </row>
    <row r="204" customFormat="false" ht="15" hidden="false" customHeight="false" outlineLevel="0" collapsed="false">
      <c r="B204" s="78"/>
      <c r="C204" s="75" t="s">
        <v>212</v>
      </c>
      <c r="D204" s="72" t="s">
        <v>16</v>
      </c>
      <c r="E204" s="138" t="n">
        <v>0.02</v>
      </c>
    </row>
    <row r="205" customFormat="false" ht="15" hidden="false" customHeight="false" outlineLevel="0" collapsed="false">
      <c r="B205" s="78"/>
      <c r="C205" s="75" t="s">
        <v>214</v>
      </c>
      <c r="D205" s="75" t="s">
        <v>215</v>
      </c>
      <c r="E205" s="139" t="n">
        <v>12</v>
      </c>
    </row>
    <row r="206" customFormat="false" ht="15" hidden="false" customHeight="false" outlineLevel="0" collapsed="false">
      <c r="B206" s="78"/>
      <c r="C206" s="75" t="s">
        <v>216</v>
      </c>
      <c r="D206" s="72" t="s">
        <v>16</v>
      </c>
      <c r="E206" s="138" t="n">
        <v>0.02</v>
      </c>
    </row>
    <row r="207" customFormat="false" ht="15" hidden="false" customHeight="false" outlineLevel="0" collapsed="false">
      <c r="B207" s="78"/>
      <c r="C207" s="75" t="s">
        <v>271</v>
      </c>
      <c r="D207" s="72" t="s">
        <v>218</v>
      </c>
      <c r="E207" s="138" t="n">
        <v>0</v>
      </c>
    </row>
    <row r="208" customFormat="false" ht="15" hidden="false" customHeight="false" outlineLevel="0" collapsed="false">
      <c r="B208" s="78"/>
      <c r="C208" s="52"/>
      <c r="D208" s="72" t="s">
        <v>219</v>
      </c>
      <c r="E208" s="138" t="n">
        <v>0</v>
      </c>
    </row>
    <row r="209" customFormat="false" ht="15" hidden="false" customHeight="false" outlineLevel="0" collapsed="false">
      <c r="B209" s="78"/>
      <c r="C209" s="52"/>
      <c r="D209" s="72" t="s">
        <v>220</v>
      </c>
      <c r="E209" s="138" t="n">
        <v>0</v>
      </c>
    </row>
    <row r="210" customFormat="false" ht="15" hidden="false" customHeight="false" outlineLevel="0" collapsed="false">
      <c r="B210" s="123" t="s">
        <v>223</v>
      </c>
      <c r="C210" s="84" t="s">
        <v>227</v>
      </c>
      <c r="D210" s="84" t="s">
        <v>228</v>
      </c>
      <c r="E210" s="85" t="n">
        <v>0</v>
      </c>
    </row>
    <row r="212" customFormat="false" ht="15" hidden="false" customHeight="false" outlineLevel="0" collapsed="false">
      <c r="A212" s="151" t="s">
        <v>275</v>
      </c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</row>
    <row r="213" customFormat="false" ht="15" hidden="false" customHeight="false" outlineLevel="0" collapsed="false">
      <c r="B213" s="131" t="s">
        <v>196</v>
      </c>
      <c r="C213" s="91" t="s">
        <v>199</v>
      </c>
      <c r="D213" s="91" t="s">
        <v>21</v>
      </c>
      <c r="E213" s="132" t="n">
        <v>1600</v>
      </c>
    </row>
    <row r="214" customFormat="false" ht="15" hidden="false" customHeight="false" outlineLevel="0" collapsed="false">
      <c r="B214" s="78"/>
      <c r="C214" s="75" t="s">
        <v>269</v>
      </c>
      <c r="D214" s="75" t="s">
        <v>270</v>
      </c>
      <c r="E214" s="133" t="n">
        <v>120</v>
      </c>
    </row>
    <row r="215" customFormat="false" ht="15" hidden="false" customHeight="false" outlineLevel="0" collapsed="false">
      <c r="B215" s="78"/>
      <c r="C215" s="75" t="s">
        <v>180</v>
      </c>
      <c r="D215" s="75" t="s">
        <v>14</v>
      </c>
      <c r="E215" s="79" t="n">
        <f aca="false">$V$72</f>
        <v>1270.5</v>
      </c>
    </row>
    <row r="216" customFormat="false" ht="15" hidden="false" customHeight="false" outlineLevel="0" collapsed="false">
      <c r="B216" s="78"/>
      <c r="C216" s="75" t="s">
        <v>233</v>
      </c>
      <c r="D216" s="75" t="s">
        <v>234</v>
      </c>
      <c r="E216" s="137" t="n">
        <f aca="false">$E$214*$E$215/1000</f>
        <v>152.46</v>
      </c>
    </row>
    <row r="217" customFormat="false" ht="15" hidden="false" customHeight="false" outlineLevel="0" collapsed="false">
      <c r="B217" s="78"/>
      <c r="C217" s="75" t="s">
        <v>212</v>
      </c>
      <c r="D217" s="72" t="s">
        <v>16</v>
      </c>
      <c r="E217" s="138" t="n">
        <v>0.02</v>
      </c>
    </row>
    <row r="218" customFormat="false" ht="15" hidden="false" customHeight="false" outlineLevel="0" collapsed="false">
      <c r="B218" s="78"/>
      <c r="C218" s="75" t="s">
        <v>214</v>
      </c>
      <c r="D218" s="75" t="s">
        <v>215</v>
      </c>
      <c r="E218" s="139" t="n">
        <v>12</v>
      </c>
    </row>
    <row r="219" customFormat="false" ht="15" hidden="false" customHeight="false" outlineLevel="0" collapsed="false">
      <c r="B219" s="78"/>
      <c r="C219" s="75" t="s">
        <v>216</v>
      </c>
      <c r="D219" s="72" t="s">
        <v>16</v>
      </c>
      <c r="E219" s="138" t="n">
        <v>0.02</v>
      </c>
    </row>
    <row r="220" customFormat="false" ht="15" hidden="false" customHeight="false" outlineLevel="0" collapsed="false">
      <c r="B220" s="78"/>
      <c r="C220" s="75" t="s">
        <v>271</v>
      </c>
      <c r="D220" s="72" t="s">
        <v>218</v>
      </c>
      <c r="E220" s="138" t="n">
        <v>0</v>
      </c>
    </row>
    <row r="221" customFormat="false" ht="15" hidden="false" customHeight="false" outlineLevel="0" collapsed="false">
      <c r="B221" s="78"/>
      <c r="C221" s="52"/>
      <c r="D221" s="72" t="s">
        <v>219</v>
      </c>
      <c r="E221" s="138" t="n">
        <v>0</v>
      </c>
    </row>
    <row r="222" customFormat="false" ht="15" hidden="false" customHeight="false" outlineLevel="0" collapsed="false">
      <c r="B222" s="78"/>
      <c r="C222" s="52"/>
      <c r="D222" s="72" t="s">
        <v>220</v>
      </c>
      <c r="E222" s="138" t="n">
        <v>0</v>
      </c>
    </row>
    <row r="223" customFormat="false" ht="15" hidden="false" customHeight="false" outlineLevel="0" collapsed="false">
      <c r="B223" s="123" t="s">
        <v>223</v>
      </c>
      <c r="C223" s="84" t="s">
        <v>227</v>
      </c>
      <c r="D223" s="84" t="s">
        <v>228</v>
      </c>
      <c r="E223" s="85" t="n">
        <v>0</v>
      </c>
    </row>
    <row r="225" customFormat="false" ht="15" hidden="false" customHeight="false" outlineLevel="0" collapsed="false">
      <c r="A225" s="151" t="s">
        <v>173</v>
      </c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</row>
    <row r="226" customFormat="false" ht="15" hidden="false" customHeight="false" outlineLevel="0" collapsed="false">
      <c r="B226" s="131" t="s">
        <v>196</v>
      </c>
      <c r="C226" s="91" t="s">
        <v>199</v>
      </c>
      <c r="D226" s="91" t="s">
        <v>21</v>
      </c>
      <c r="E226" s="132" t="n">
        <v>2700</v>
      </c>
    </row>
    <row r="227" customFormat="false" ht="15" hidden="false" customHeight="false" outlineLevel="0" collapsed="false">
      <c r="B227" s="78"/>
      <c r="C227" s="75" t="s">
        <v>269</v>
      </c>
      <c r="D227" s="75" t="s">
        <v>270</v>
      </c>
      <c r="E227" s="133" t="n">
        <v>171</v>
      </c>
    </row>
    <row r="228" customFormat="false" ht="15" hidden="false" customHeight="false" outlineLevel="0" collapsed="false">
      <c r="B228" s="78"/>
      <c r="C228" s="75" t="s">
        <v>180</v>
      </c>
      <c r="D228" s="75" t="s">
        <v>14</v>
      </c>
      <c r="E228" s="79" t="n">
        <f aca="false">$W$72</f>
        <v>1563.93</v>
      </c>
    </row>
    <row r="229" customFormat="false" ht="15" hidden="false" customHeight="false" outlineLevel="0" collapsed="false">
      <c r="B229" s="78"/>
      <c r="C229" s="75" t="s">
        <v>233</v>
      </c>
      <c r="D229" s="75" t="s">
        <v>234</v>
      </c>
      <c r="E229" s="137" t="n">
        <f aca="false">$E$227*$E$228/1000</f>
        <v>267.43203</v>
      </c>
    </row>
    <row r="230" customFormat="false" ht="15" hidden="false" customHeight="false" outlineLevel="0" collapsed="false">
      <c r="B230" s="78"/>
      <c r="C230" s="75" t="s">
        <v>212</v>
      </c>
      <c r="D230" s="72" t="s">
        <v>16</v>
      </c>
      <c r="E230" s="138" t="n">
        <v>0.02</v>
      </c>
    </row>
    <row r="231" customFormat="false" ht="15" hidden="false" customHeight="false" outlineLevel="0" collapsed="false">
      <c r="B231" s="78"/>
      <c r="C231" s="75" t="s">
        <v>214</v>
      </c>
      <c r="D231" s="75" t="s">
        <v>215</v>
      </c>
      <c r="E231" s="139" t="n">
        <v>12</v>
      </c>
    </row>
    <row r="232" customFormat="false" ht="15" hidden="false" customHeight="false" outlineLevel="0" collapsed="false">
      <c r="B232" s="78"/>
      <c r="C232" s="75" t="s">
        <v>216</v>
      </c>
      <c r="D232" s="72" t="s">
        <v>16</v>
      </c>
      <c r="E232" s="138" t="n">
        <v>0.02</v>
      </c>
    </row>
    <row r="233" customFormat="false" ht="15" hidden="false" customHeight="false" outlineLevel="0" collapsed="false">
      <c r="B233" s="78"/>
      <c r="C233" s="75" t="s">
        <v>271</v>
      </c>
      <c r="D233" s="72" t="s">
        <v>218</v>
      </c>
      <c r="E233" s="138" t="n">
        <v>0</v>
      </c>
    </row>
    <row r="234" customFormat="false" ht="15" hidden="false" customHeight="false" outlineLevel="0" collapsed="false">
      <c r="B234" s="78"/>
      <c r="C234" s="52"/>
      <c r="D234" s="72" t="s">
        <v>219</v>
      </c>
      <c r="E234" s="138" t="n">
        <v>0</v>
      </c>
    </row>
    <row r="235" customFormat="false" ht="15" hidden="false" customHeight="false" outlineLevel="0" collapsed="false">
      <c r="B235" s="78"/>
      <c r="C235" s="52"/>
      <c r="D235" s="72" t="s">
        <v>220</v>
      </c>
      <c r="E235" s="138" t="n">
        <v>0</v>
      </c>
    </row>
    <row r="236" customFormat="false" ht="15" hidden="false" customHeight="false" outlineLevel="0" collapsed="false">
      <c r="B236" s="123" t="s">
        <v>223</v>
      </c>
      <c r="C236" s="84" t="s">
        <v>227</v>
      </c>
      <c r="D236" s="84" t="s">
        <v>228</v>
      </c>
      <c r="E236" s="85" t="n">
        <v>0</v>
      </c>
    </row>
    <row r="238" customFormat="false" ht="15" hidden="false" customHeight="false" outlineLevel="0" collapsed="false">
      <c r="A238" s="151" t="s">
        <v>159</v>
      </c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</row>
    <row r="239" customFormat="false" ht="15" hidden="false" customHeight="false" outlineLevel="0" collapsed="false">
      <c r="B239" s="131" t="s">
        <v>196</v>
      </c>
      <c r="C239" s="91" t="s">
        <v>199</v>
      </c>
      <c r="D239" s="91" t="s">
        <v>21</v>
      </c>
      <c r="E239" s="132" t="n">
        <v>800</v>
      </c>
    </row>
    <row r="240" customFormat="false" ht="15" hidden="false" customHeight="false" outlineLevel="0" collapsed="false">
      <c r="B240" s="78"/>
      <c r="C240" s="75" t="s">
        <v>269</v>
      </c>
      <c r="D240" s="75" t="s">
        <v>270</v>
      </c>
      <c r="E240" s="133" t="n">
        <v>120</v>
      </c>
    </row>
    <row r="241" customFormat="false" ht="15" hidden="false" customHeight="false" outlineLevel="0" collapsed="false">
      <c r="B241" s="78"/>
      <c r="C241" s="75" t="s">
        <v>180</v>
      </c>
      <c r="D241" s="75" t="s">
        <v>14</v>
      </c>
      <c r="E241" s="79" t="n">
        <f aca="false">$F$72</f>
        <v>591.99</v>
      </c>
    </row>
    <row r="242" customFormat="false" ht="15" hidden="false" customHeight="false" outlineLevel="0" collapsed="false">
      <c r="B242" s="78"/>
      <c r="C242" s="75" t="s">
        <v>233</v>
      </c>
      <c r="D242" s="75" t="s">
        <v>234</v>
      </c>
      <c r="E242" s="137" t="n">
        <f aca="false">$E$240*$E$241/1000</f>
        <v>71.0388</v>
      </c>
    </row>
    <row r="243" customFormat="false" ht="15" hidden="false" customHeight="false" outlineLevel="0" collapsed="false">
      <c r="B243" s="78"/>
      <c r="C243" s="75" t="s">
        <v>212</v>
      </c>
      <c r="D243" s="72" t="s">
        <v>16</v>
      </c>
      <c r="E243" s="138" t="n">
        <v>0.02</v>
      </c>
    </row>
    <row r="244" customFormat="false" ht="15" hidden="false" customHeight="false" outlineLevel="0" collapsed="false">
      <c r="B244" s="78"/>
      <c r="C244" s="75" t="s">
        <v>214</v>
      </c>
      <c r="D244" s="75" t="s">
        <v>215</v>
      </c>
      <c r="E244" s="139" t="n">
        <v>12</v>
      </c>
    </row>
    <row r="245" customFormat="false" ht="15" hidden="false" customHeight="false" outlineLevel="0" collapsed="false">
      <c r="B245" s="78"/>
      <c r="C245" s="75" t="s">
        <v>216</v>
      </c>
      <c r="D245" s="72" t="s">
        <v>16</v>
      </c>
      <c r="E245" s="138" t="n">
        <v>0.02</v>
      </c>
    </row>
    <row r="246" customFormat="false" ht="15" hidden="false" customHeight="false" outlineLevel="0" collapsed="false">
      <c r="B246" s="78"/>
      <c r="C246" s="75" t="s">
        <v>271</v>
      </c>
      <c r="D246" s="72" t="s">
        <v>218</v>
      </c>
      <c r="E246" s="138" t="n">
        <v>0</v>
      </c>
    </row>
    <row r="247" customFormat="false" ht="15" hidden="false" customHeight="false" outlineLevel="0" collapsed="false">
      <c r="B247" s="78"/>
      <c r="C247" s="52"/>
      <c r="D247" s="72" t="s">
        <v>219</v>
      </c>
      <c r="E247" s="138" t="n">
        <v>0</v>
      </c>
    </row>
    <row r="248" customFormat="false" ht="15" hidden="false" customHeight="false" outlineLevel="0" collapsed="false">
      <c r="B248" s="78"/>
      <c r="C248" s="52"/>
      <c r="D248" s="72" t="s">
        <v>220</v>
      </c>
      <c r="E248" s="138" t="n">
        <v>0</v>
      </c>
    </row>
    <row r="249" customFormat="false" ht="15" hidden="false" customHeight="false" outlineLevel="0" collapsed="false">
      <c r="B249" s="123" t="s">
        <v>223</v>
      </c>
      <c r="C249" s="84" t="s">
        <v>227</v>
      </c>
      <c r="D249" s="84" t="s">
        <v>228</v>
      </c>
      <c r="E249" s="85" t="n">
        <v>0</v>
      </c>
    </row>
    <row r="251" customFormat="false" ht="15" hidden="false" customHeight="false" outlineLevel="0" collapsed="false">
      <c r="A251" s="151" t="s">
        <v>160</v>
      </c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</row>
    <row r="252" customFormat="false" ht="15" hidden="false" customHeight="false" outlineLevel="0" collapsed="false">
      <c r="B252" s="131" t="s">
        <v>196</v>
      </c>
      <c r="C252" s="91" t="s">
        <v>199</v>
      </c>
      <c r="D252" s="91" t="s">
        <v>21</v>
      </c>
      <c r="E252" s="132" t="n">
        <v>2700</v>
      </c>
    </row>
    <row r="253" customFormat="false" ht="15" hidden="false" customHeight="false" outlineLevel="0" collapsed="false">
      <c r="B253" s="78"/>
      <c r="C253" s="75" t="s">
        <v>269</v>
      </c>
      <c r="D253" s="75" t="s">
        <v>270</v>
      </c>
      <c r="E253" s="133" t="n">
        <v>120</v>
      </c>
    </row>
    <row r="254" customFormat="false" ht="15" hidden="false" customHeight="false" outlineLevel="0" collapsed="false">
      <c r="B254" s="78"/>
      <c r="C254" s="75" t="s">
        <v>180</v>
      </c>
      <c r="D254" s="75" t="s">
        <v>14</v>
      </c>
      <c r="E254" s="79" t="n">
        <f aca="false">$G$72</f>
        <v>213.87</v>
      </c>
    </row>
    <row r="255" customFormat="false" ht="15" hidden="false" customHeight="false" outlineLevel="0" collapsed="false">
      <c r="B255" s="78"/>
      <c r="C255" s="75" t="s">
        <v>233</v>
      </c>
      <c r="D255" s="75" t="s">
        <v>234</v>
      </c>
      <c r="E255" s="137" t="n">
        <f aca="false">$E$253*$E$254/1000</f>
        <v>25.6644</v>
      </c>
    </row>
    <row r="256" customFormat="false" ht="15" hidden="false" customHeight="false" outlineLevel="0" collapsed="false">
      <c r="B256" s="78"/>
      <c r="C256" s="75" t="s">
        <v>212</v>
      </c>
      <c r="D256" s="72" t="s">
        <v>16</v>
      </c>
      <c r="E256" s="138" t="n">
        <v>0.02</v>
      </c>
    </row>
    <row r="257" customFormat="false" ht="15" hidden="false" customHeight="false" outlineLevel="0" collapsed="false">
      <c r="B257" s="78"/>
      <c r="C257" s="75" t="s">
        <v>214</v>
      </c>
      <c r="D257" s="75" t="s">
        <v>215</v>
      </c>
      <c r="E257" s="139" t="n">
        <v>12</v>
      </c>
    </row>
    <row r="258" customFormat="false" ht="15" hidden="false" customHeight="false" outlineLevel="0" collapsed="false">
      <c r="B258" s="78"/>
      <c r="C258" s="75" t="s">
        <v>216</v>
      </c>
      <c r="D258" s="72" t="s">
        <v>16</v>
      </c>
      <c r="E258" s="138" t="n">
        <v>0.02</v>
      </c>
    </row>
    <row r="259" customFormat="false" ht="15" hidden="false" customHeight="false" outlineLevel="0" collapsed="false">
      <c r="B259" s="78"/>
      <c r="C259" s="75" t="s">
        <v>271</v>
      </c>
      <c r="D259" s="72" t="s">
        <v>218</v>
      </c>
      <c r="E259" s="138" t="n">
        <v>0</v>
      </c>
    </row>
    <row r="260" customFormat="false" ht="15" hidden="false" customHeight="false" outlineLevel="0" collapsed="false">
      <c r="B260" s="78"/>
      <c r="C260" s="52"/>
      <c r="D260" s="72" t="s">
        <v>219</v>
      </c>
      <c r="E260" s="138" t="n">
        <v>0</v>
      </c>
    </row>
    <row r="261" customFormat="false" ht="15" hidden="false" customHeight="false" outlineLevel="0" collapsed="false">
      <c r="B261" s="78"/>
      <c r="C261" s="52"/>
      <c r="D261" s="72" t="s">
        <v>220</v>
      </c>
      <c r="E261" s="138" t="n">
        <v>0</v>
      </c>
    </row>
    <row r="262" customFormat="false" ht="15" hidden="false" customHeight="false" outlineLevel="0" collapsed="false">
      <c r="B262" s="123" t="s">
        <v>223</v>
      </c>
      <c r="C262" s="84" t="s">
        <v>227</v>
      </c>
      <c r="D262" s="84" t="s">
        <v>228</v>
      </c>
      <c r="E262" s="85" t="n">
        <v>0</v>
      </c>
    </row>
    <row r="264" customFormat="false" ht="15" hidden="false" customHeight="false" outlineLevel="0" collapsed="false">
      <c r="A264" s="130" t="s">
        <v>276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customFormat="false" ht="15" hidden="false" customHeight="false" outlineLevel="0" collapsed="false">
      <c r="B265" s="131" t="s">
        <v>223</v>
      </c>
      <c r="C265" s="91" t="s">
        <v>277</v>
      </c>
      <c r="D265" s="91" t="s">
        <v>278</v>
      </c>
      <c r="E265" s="132" t="n">
        <v>1500</v>
      </c>
    </row>
    <row r="266" customFormat="false" ht="15" hidden="false" customHeight="false" outlineLevel="0" collapsed="false">
      <c r="B266" s="78"/>
      <c r="C266" s="75" t="s">
        <v>279</v>
      </c>
      <c r="D266" s="75" t="s">
        <v>278</v>
      </c>
      <c r="E266" s="133" t="n">
        <v>1500</v>
      </c>
    </row>
    <row r="267" customFormat="false" ht="15" hidden="false" customHeight="false" outlineLevel="0" collapsed="false">
      <c r="B267" s="78"/>
      <c r="C267" s="75" t="s">
        <v>280</v>
      </c>
      <c r="D267" s="75" t="s">
        <v>278</v>
      </c>
      <c r="E267" s="133" t="n">
        <v>1500</v>
      </c>
    </row>
    <row r="268" customFormat="false" ht="15" hidden="false" customHeight="false" outlineLevel="0" collapsed="false">
      <c r="B268" s="78"/>
      <c r="C268" s="75" t="s">
        <v>281</v>
      </c>
      <c r="D268" s="75" t="s">
        <v>282</v>
      </c>
      <c r="E268" s="133" t="n">
        <v>1575</v>
      </c>
    </row>
    <row r="269" customFormat="false" ht="15" hidden="false" customHeight="false" outlineLevel="0" collapsed="false">
      <c r="B269" s="78"/>
      <c r="C269" s="75" t="s">
        <v>283</v>
      </c>
      <c r="D269" s="72" t="s">
        <v>16</v>
      </c>
      <c r="E269" s="138" t="n">
        <v>0.035</v>
      </c>
    </row>
    <row r="270" customFormat="false" ht="15" hidden="false" customHeight="false" outlineLevel="0" collapsed="false">
      <c r="B270" s="83"/>
      <c r="C270" s="84" t="s">
        <v>284</v>
      </c>
      <c r="D270" s="141" t="s">
        <v>16</v>
      </c>
      <c r="E270" s="85" t="n">
        <v>0.02</v>
      </c>
    </row>
    <row r="272" customFormat="false" ht="15" hidden="false" customHeight="false" outlineLevel="0" collapsed="false">
      <c r="A272" s="46" t="s">
        <v>285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4" customFormat="false" ht="15" hidden="false" customHeight="false" outlineLevel="0" collapsed="false">
      <c r="B274" s="153" t="s">
        <v>286</v>
      </c>
      <c r="D274" s="36" t="s">
        <v>287</v>
      </c>
      <c r="E274" s="154" t="n">
        <v>5</v>
      </c>
    </row>
    <row r="275" customFormat="false" ht="15" hidden="false" customHeight="false" outlineLevel="0" collapsed="false">
      <c r="B275" s="36" t="s">
        <v>288</v>
      </c>
      <c r="D275" s="153" t="s">
        <v>16</v>
      </c>
      <c r="E275" s="155" t="n">
        <v>0</v>
      </c>
    </row>
    <row r="277" customFormat="false" ht="15" hidden="false" customHeight="false" outlineLevel="0" collapsed="false">
      <c r="B277" s="108" t="s">
        <v>121</v>
      </c>
      <c r="C277" s="110" t="s">
        <v>289</v>
      </c>
      <c r="D277" s="109" t="s">
        <v>290</v>
      </c>
      <c r="E277" s="109" t="s">
        <v>291</v>
      </c>
      <c r="F277" s="110" t="s">
        <v>292</v>
      </c>
      <c r="G277" s="113" t="s">
        <v>52</v>
      </c>
    </row>
    <row r="278" customFormat="false" ht="15" hidden="false" customHeight="false" outlineLevel="0" collapsed="false">
      <c r="B278" s="51" t="s">
        <v>122</v>
      </c>
      <c r="C278" s="156" t="n">
        <f aca="false">SUMIF(①통합_CF!$E$16:$EF$16,$E$274,①통합_CF!$E$59:$EF$59)</f>
        <v>6980.52360094157</v>
      </c>
      <c r="D278" s="157" t="n">
        <f aca="false">($E$98*$E$106+$E$114)*$D$38</f>
        <v>541500</v>
      </c>
      <c r="E278" s="157" t="n">
        <f aca="false">D278*$E$275</f>
        <v>0</v>
      </c>
      <c r="F278" s="158" t="n">
        <v>0.04</v>
      </c>
      <c r="G278" s="137" t="n">
        <f aca="false">IF(F278=0,0,(C278+E278)/F278)</f>
        <v>174513.090023539</v>
      </c>
    </row>
    <row r="279" customFormat="false" ht="15" hidden="false" customHeight="false" outlineLevel="0" collapsed="false">
      <c r="B279" s="51" t="s">
        <v>123</v>
      </c>
      <c r="C279" s="156" t="n">
        <f aca="false">SUMIF(①통합_CF!$E$16:$EF$16,$E$274,①통합_CF!$E$60:$EF$60)</f>
        <v>9160.18618361453</v>
      </c>
      <c r="D279" s="157" t="n">
        <f aca="false">$E$129*$E$135*$E$38</f>
        <v>310752</v>
      </c>
      <c r="E279" s="157" t="n">
        <f aca="false">D279*$E$275</f>
        <v>0</v>
      </c>
      <c r="F279" s="158" t="n">
        <v>0.04</v>
      </c>
      <c r="G279" s="137" t="n">
        <f aca="false">IF(F279=0,0,(C279+E279)/F279)</f>
        <v>229004.654590363</v>
      </c>
    </row>
    <row r="280" customFormat="false" ht="15" hidden="false" customHeight="false" outlineLevel="0" collapsed="false">
      <c r="B280" s="51" t="s">
        <v>124</v>
      </c>
      <c r="C280" s="156" t="n">
        <f aca="false">SUMIF(①통합_CF!$E$16:$EF$16,$E$274,①통합_CF!$E$61:$EF$61)</f>
        <v>28434.0799877989</v>
      </c>
      <c r="D280" s="157" t="n">
        <f aca="false">$E$151*$E$158*$F$38</f>
        <v>66000</v>
      </c>
      <c r="E280" s="157" t="n">
        <f aca="false">D280*$E$275</f>
        <v>0</v>
      </c>
      <c r="F280" s="158" t="n">
        <v>0.04</v>
      </c>
      <c r="G280" s="137" t="n">
        <f aca="false">IF(F280=0,0,(C280+E280)/F280)</f>
        <v>710851.999694971</v>
      </c>
    </row>
    <row r="281" customFormat="false" ht="15" hidden="false" customHeight="false" outlineLevel="0" collapsed="false">
      <c r="B281" s="51" t="s">
        <v>125</v>
      </c>
      <c r="C281" s="156" t="n">
        <f aca="false">SUMIF(①통합_CF!$E$16:$EF$16,$E$274,①통합_CF!$E$62:$EF$62)</f>
        <v>14877.1384245805</v>
      </c>
      <c r="D281" s="157" t="n">
        <f aca="false">$E$182*$G$38</f>
        <v>14400</v>
      </c>
      <c r="E281" s="157" t="n">
        <f aca="false">D281*$E$275</f>
        <v>0</v>
      </c>
      <c r="F281" s="158" t="n">
        <v>0.03</v>
      </c>
      <c r="G281" s="137" t="n">
        <f aca="false">IF(F281=0,0,(C281+E281)/F281)</f>
        <v>495904.614152683</v>
      </c>
    </row>
    <row r="282" customFormat="false" ht="15" hidden="false" customHeight="false" outlineLevel="0" collapsed="false">
      <c r="B282" s="51" t="s">
        <v>126</v>
      </c>
      <c r="C282" s="156" t="n">
        <f aca="false">SUMIF(①통합_CF!$E$16:$EF$16,$E$274,①통합_CF!$E$63:$EF$63)</f>
        <v>8558.46068752748</v>
      </c>
      <c r="D282" s="157" t="n">
        <f aca="false">($E$200+$E$213+$E$226+$E$239+$E$252)*$H$38</f>
        <v>9300</v>
      </c>
      <c r="E282" s="157" t="n">
        <f aca="false">D282*$E$275</f>
        <v>0</v>
      </c>
      <c r="F282" s="158" t="n">
        <v>0.04</v>
      </c>
      <c r="G282" s="137" t="n">
        <f aca="false">IF(F282=0,0,(C282+E282)/F282)</f>
        <v>213961.517188187</v>
      </c>
    </row>
    <row r="283" customFormat="false" ht="15" hidden="false" customHeight="false" outlineLevel="0" collapsed="false">
      <c r="B283" s="123" t="s">
        <v>155</v>
      </c>
      <c r="C283" s="159" t="n">
        <f aca="false">SUM(C278:C282)</f>
        <v>68010.3888844629</v>
      </c>
      <c r="D283" s="159" t="n">
        <f aca="false">SUM(D278:D282)</f>
        <v>941952</v>
      </c>
      <c r="E283" s="159" t="n">
        <f aca="false">SUM(E278:E282)</f>
        <v>0</v>
      </c>
      <c r="F283" s="58"/>
      <c r="G283" s="160" t="n">
        <f aca="false">SUM(G278:G282)</f>
        <v>1824235.87564974</v>
      </c>
    </row>
    <row r="285" customFormat="false" ht="15" hidden="false" customHeight="false" outlineLevel="0" collapsed="false">
      <c r="A285" s="46" t="s">
        <v>293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7" customFormat="false" ht="15" hidden="false" customHeight="false" outlineLevel="0" collapsed="false">
      <c r="D287" s="103" t="s">
        <v>122</v>
      </c>
      <c r="E287" s="103" t="s">
        <v>122</v>
      </c>
      <c r="F287" s="104" t="s">
        <v>126</v>
      </c>
      <c r="G287" s="104" t="s">
        <v>126</v>
      </c>
      <c r="H287" s="103" t="s">
        <v>122</v>
      </c>
      <c r="J287" s="105" t="s">
        <v>123</v>
      </c>
      <c r="K287" s="105" t="s">
        <v>123</v>
      </c>
      <c r="L287" s="106" t="s">
        <v>124</v>
      </c>
      <c r="M287" s="106" t="s">
        <v>124</v>
      </c>
      <c r="N287" s="106" t="s">
        <v>124</v>
      </c>
      <c r="O287" s="106" t="s">
        <v>124</v>
      </c>
      <c r="P287" s="106" t="s">
        <v>124</v>
      </c>
      <c r="Q287" s="106" t="s">
        <v>124</v>
      </c>
      <c r="R287" s="107" t="s">
        <v>125</v>
      </c>
      <c r="S287" s="106" t="s">
        <v>124</v>
      </c>
      <c r="U287" s="104" t="s">
        <v>126</v>
      </c>
      <c r="V287" s="104" t="s">
        <v>126</v>
      </c>
      <c r="W287" s="104" t="s">
        <v>126</v>
      </c>
    </row>
    <row r="288" customFormat="false" ht="15" hidden="false" customHeight="false" outlineLevel="0" collapsed="false">
      <c r="B288" s="161" t="s">
        <v>294</v>
      </c>
      <c r="C288" s="112" t="s">
        <v>156</v>
      </c>
      <c r="D288" s="109" t="s">
        <v>157</v>
      </c>
      <c r="E288" s="109" t="s">
        <v>158</v>
      </c>
      <c r="F288" s="109" t="s">
        <v>159</v>
      </c>
      <c r="G288" s="109" t="s">
        <v>160</v>
      </c>
      <c r="H288" s="110" t="s">
        <v>161</v>
      </c>
      <c r="I288" s="111" t="s">
        <v>162</v>
      </c>
      <c r="J288" s="109" t="s">
        <v>163</v>
      </c>
      <c r="K288" s="109" t="s">
        <v>164</v>
      </c>
      <c r="L288" s="109" t="s">
        <v>124</v>
      </c>
      <c r="M288" s="109" t="s">
        <v>165</v>
      </c>
      <c r="N288" s="109" t="s">
        <v>166</v>
      </c>
      <c r="O288" s="109" t="s">
        <v>167</v>
      </c>
      <c r="P288" s="109" t="s">
        <v>168</v>
      </c>
      <c r="Q288" s="109" t="s">
        <v>169</v>
      </c>
      <c r="R288" s="109" t="s">
        <v>125</v>
      </c>
      <c r="S288" s="110" t="s">
        <v>161</v>
      </c>
      <c r="T288" s="111" t="s">
        <v>170</v>
      </c>
      <c r="U288" s="109" t="s">
        <v>171</v>
      </c>
      <c r="V288" s="109" t="s">
        <v>172</v>
      </c>
      <c r="W288" s="109" t="s">
        <v>173</v>
      </c>
      <c r="X288" s="112" t="s">
        <v>174</v>
      </c>
      <c r="Y288" s="110" t="s">
        <v>175</v>
      </c>
      <c r="Z288" s="113" t="s">
        <v>176</v>
      </c>
    </row>
    <row r="289" customFormat="false" ht="15" hidden="false" customHeight="false" outlineLevel="0" collapsed="false">
      <c r="B289" s="71" t="s">
        <v>22</v>
      </c>
      <c r="C289" s="162" t="n">
        <f aca="false">I289+T289+X289+Y289+Z289</f>
        <v>596838.992808495</v>
      </c>
      <c r="D289" s="157" t="n">
        <f aca="false">D302*D303/1000</f>
        <v>126404.052812</v>
      </c>
      <c r="E289" s="157" t="n">
        <f aca="false">E302*E303/1000</f>
        <v>11982.999292</v>
      </c>
      <c r="F289" s="157" t="n">
        <f aca="false">F302*F303/1000</f>
        <v>6322.0020406</v>
      </c>
      <c r="G289" s="157" t="n">
        <f aca="false">G302*G303/1000</f>
        <v>2647.9996345</v>
      </c>
      <c r="H289" s="157" t="n">
        <f aca="false">H302*H303/1000</f>
        <v>741.9998145</v>
      </c>
      <c r="I289" s="163" t="n">
        <f aca="false">SUM(D289:H289)</f>
        <v>148099.0535936</v>
      </c>
      <c r="J289" s="157" t="n">
        <f aca="false">J302*J303/1000</f>
        <v>68279.009664</v>
      </c>
      <c r="K289" s="157" t="n">
        <f aca="false">K302*K303/1000</f>
        <v>14410.9969248</v>
      </c>
      <c r="L289" s="157" t="n">
        <f aca="false">L302*L303/1000</f>
        <v>78140.978036</v>
      </c>
      <c r="M289" s="157" t="n">
        <f aca="false">M302*M303/1000</f>
        <v>10286.993216</v>
      </c>
      <c r="N289" s="157" t="n">
        <f aca="false">N302*N303/1000</f>
        <v>8633.0018044</v>
      </c>
      <c r="O289" s="157" t="n">
        <f aca="false">O302*O303/1000</f>
        <v>6547.0026188</v>
      </c>
      <c r="P289" s="157" t="n">
        <f aca="false">P302*P303/1000</f>
        <v>5052.9994854</v>
      </c>
      <c r="Q289" s="157" t="n">
        <f aca="false">Q302*Q303/1000</f>
        <v>14928.9977351</v>
      </c>
      <c r="R289" s="157" t="n">
        <f aca="false">R302*R303/1000</f>
        <v>78811.0152636</v>
      </c>
      <c r="S289" s="157" t="n">
        <f aca="false">S302*S303/1000</f>
        <v>1748.9996304</v>
      </c>
      <c r="T289" s="163" t="n">
        <f aca="false">SUM(J289:S289)</f>
        <v>286839.9943785</v>
      </c>
      <c r="U289" s="157" t="n">
        <f aca="false">U302*U303/1000</f>
        <v>8254.0042915</v>
      </c>
      <c r="V289" s="157" t="n">
        <f aca="false">V302*V303/1000</f>
        <v>10257.999598</v>
      </c>
      <c r="W289" s="157" t="n">
        <f aca="false">W302*W303/1000</f>
        <v>17494.013628</v>
      </c>
      <c r="X289" s="163" t="n">
        <f aca="false">SUM(U289:W289)</f>
        <v>36006.0175175</v>
      </c>
      <c r="Y289" s="157" t="n">
        <f aca="false">Y302*Y303/1000</f>
        <v>5148.9982052</v>
      </c>
      <c r="Z289" s="137" t="n">
        <f aca="false">Z302*Z303/1000</f>
        <v>120744.929113695</v>
      </c>
    </row>
    <row r="290" customFormat="false" ht="15" hidden="false" customHeight="false" outlineLevel="0" collapsed="false">
      <c r="B290" s="71" t="s">
        <v>295</v>
      </c>
      <c r="C290" s="162" t="n">
        <f aca="false">I290+T290+X290+Y290+Z290</f>
        <v>34475.334273765</v>
      </c>
      <c r="D290" s="157" t="n">
        <f aca="false">D302*D306/1000</f>
        <v>6206.44241</v>
      </c>
      <c r="E290" s="157" t="n">
        <f aca="false">E302*E306/1000</f>
        <v>708.75266</v>
      </c>
      <c r="F290" s="157" t="n">
        <f aca="false">F302*F306/1000</f>
        <v>432.133058</v>
      </c>
      <c r="G290" s="157" t="n">
        <f aca="false">G302*G306/1000</f>
        <v>181.01237</v>
      </c>
      <c r="H290" s="157" t="n">
        <f aca="false">H302*H306/1000</f>
        <v>59.025498</v>
      </c>
      <c r="I290" s="163" t="n">
        <f aca="false">SUM(D290:H290)</f>
        <v>7587.365996</v>
      </c>
      <c r="J290" s="157" t="n">
        <f aca="false">J302*J306/1000</f>
        <v>3247.81408</v>
      </c>
      <c r="K290" s="157" t="n">
        <f aca="false">K302*K306/1000</f>
        <v>850.250352</v>
      </c>
      <c r="L290" s="157" t="n">
        <f aca="false">L302*L306/1000</f>
        <v>3409.058576</v>
      </c>
      <c r="M290" s="157" t="n">
        <f aca="false">M302*M306/1000</f>
        <v>656.490632</v>
      </c>
      <c r="N290" s="157" t="n">
        <f aca="false">N302*N306/1000</f>
        <v>554.511832</v>
      </c>
      <c r="O290" s="157" t="n">
        <f aca="false">O302*O306/1000</f>
        <v>386.246812</v>
      </c>
      <c r="P290" s="157" t="n">
        <f aca="false">P302*P306/1000</f>
        <v>322.510062</v>
      </c>
      <c r="Q290" s="157" t="n">
        <f aca="false">Q302*Q306/1000</f>
        <v>985.372262</v>
      </c>
      <c r="R290" s="157" t="n">
        <f aca="false">R302*R306/1000</f>
        <v>4257.619114</v>
      </c>
      <c r="S290" s="157" t="n">
        <f aca="false">S302*S306/1000</f>
        <v>138.691168</v>
      </c>
      <c r="T290" s="163" t="n">
        <f aca="false">SUM(J290:S290)</f>
        <v>14808.56489</v>
      </c>
      <c r="U290" s="157" t="n">
        <f aca="false">U302*U306/1000</f>
        <v>507.34453</v>
      </c>
      <c r="V290" s="157" t="n">
        <f aca="false">V302*V306/1000</f>
        <v>740.623142</v>
      </c>
      <c r="W290" s="157" t="n">
        <f aca="false">W302*W306/1000</f>
        <v>1154.65707</v>
      </c>
      <c r="X290" s="163" t="n">
        <f aca="false">SUM(U290:W290)</f>
        <v>2402.624742</v>
      </c>
      <c r="Y290" s="157" t="n">
        <f aca="false">Y302*Y306/1000</f>
        <v>668.260334</v>
      </c>
      <c r="Z290" s="137" t="n">
        <f aca="false">Z302*Z306/1000</f>
        <v>9008.51831176499</v>
      </c>
    </row>
    <row r="291" customFormat="false" ht="15" hidden="false" customHeight="false" outlineLevel="0" collapsed="false">
      <c r="B291" s="71" t="s">
        <v>296</v>
      </c>
      <c r="C291" s="162" t="n">
        <f aca="false">I291+T291+X291+Y291+Z291</f>
        <v>315029.1045658</v>
      </c>
      <c r="D291" s="157" t="n">
        <f aca="false">D302*D304/1000</f>
        <v>66618.073517</v>
      </c>
      <c r="E291" s="157" t="n">
        <f aca="false">E302*E304/1000</f>
        <v>2017.994077</v>
      </c>
      <c r="F291" s="157" t="n">
        <f aca="false">F302*F304/1000</f>
        <v>1231.0049521</v>
      </c>
      <c r="G291" s="157" t="n">
        <f aca="false">G302*G304/1000</f>
        <v>515.0003815</v>
      </c>
      <c r="H291" s="157" t="n">
        <f aca="false">H302*H304/1000</f>
        <v>0</v>
      </c>
      <c r="I291" s="163" t="n">
        <f aca="false">SUM(D291:H291)</f>
        <v>70382.0729276</v>
      </c>
      <c r="J291" s="157" t="n">
        <f aca="false">J302*J304/1000</f>
        <v>78440.028</v>
      </c>
      <c r="K291" s="157" t="n">
        <f aca="false">K302*K304/1000</f>
        <v>17607.0020448</v>
      </c>
      <c r="L291" s="157" t="n">
        <f aca="false">L302*L304/1000</f>
        <v>82332.0005464</v>
      </c>
      <c r="M291" s="157" t="n">
        <f aca="false">M302*M304/1000</f>
        <v>7477.9953668</v>
      </c>
      <c r="N291" s="157" t="n">
        <f aca="false">N302*N304/1000</f>
        <v>11483.0005024</v>
      </c>
      <c r="O291" s="157" t="n">
        <f aca="false">O302*O304/1000</f>
        <v>8249.0000208</v>
      </c>
      <c r="P291" s="157" t="n">
        <f aca="false">P302*P304/1000</f>
        <v>3827.0020518</v>
      </c>
      <c r="Q291" s="157" t="n">
        <f aca="false">Q302*Q304/1000</f>
        <v>0</v>
      </c>
      <c r="R291" s="157" t="n">
        <f aca="false">R302*R304/1000</f>
        <v>12124.0099298</v>
      </c>
      <c r="S291" s="157" t="n">
        <f aca="false">S302*S304/1000</f>
        <v>0</v>
      </c>
      <c r="T291" s="163" t="n">
        <f aca="false">SUM(J291:S291)</f>
        <v>221540.0384628</v>
      </c>
      <c r="U291" s="157" t="n">
        <f aca="false">U302*U304/1000</f>
        <v>1445.004869</v>
      </c>
      <c r="V291" s="157" t="n">
        <f aca="false">V302*V304/1000</f>
        <v>11798.0001099</v>
      </c>
      <c r="W291" s="157" t="n">
        <f aca="false">W302*W304/1000</f>
        <v>9863.9881965</v>
      </c>
      <c r="X291" s="163" t="n">
        <f aca="false">SUM(U291:W291)</f>
        <v>23106.9931754</v>
      </c>
      <c r="Y291" s="157" t="n">
        <f aca="false">Y302*Y304/1000</f>
        <v>0</v>
      </c>
      <c r="Z291" s="137" t="n">
        <f aca="false">Z302*Z304/1000</f>
        <v>0</v>
      </c>
    </row>
    <row r="292" customFormat="false" ht="15" hidden="false" customHeight="false" outlineLevel="0" collapsed="false">
      <c r="B292" s="64" t="s">
        <v>297</v>
      </c>
      <c r="C292" s="162" t="n">
        <f aca="false">I292+T292+X292+Y292+Z292</f>
        <v>39526.035727</v>
      </c>
      <c r="D292" s="157" t="n">
        <f aca="false">D302*D305/1000</f>
        <v>8327.001447</v>
      </c>
      <c r="E292" s="157" t="n">
        <f aca="false">E302*E305/1000</f>
        <v>0</v>
      </c>
      <c r="F292" s="157" t="n">
        <f aca="false">F302*F305/1000</f>
        <v>0</v>
      </c>
      <c r="G292" s="157" t="n">
        <f aca="false">G302*G305/1000</f>
        <v>0</v>
      </c>
      <c r="H292" s="157" t="n">
        <f aca="false">H302*H305/1000</f>
        <v>0</v>
      </c>
      <c r="I292" s="163" t="n">
        <f aca="false">SUM(D292:H292)</f>
        <v>8327.001447</v>
      </c>
      <c r="J292" s="157" t="n">
        <f aca="false">J302*J305/1000</f>
        <v>4358.03624</v>
      </c>
      <c r="K292" s="157" t="n">
        <f aca="false">K302*K305/1000</f>
        <v>1140.99804</v>
      </c>
      <c r="L292" s="157" t="n">
        <f aca="false">$E$148*L305</f>
        <v>25700</v>
      </c>
      <c r="M292" s="157" t="n">
        <f aca="false">M302*M305/1000</f>
        <v>0</v>
      </c>
      <c r="N292" s="157" t="n">
        <f aca="false">N302*N305/1000</f>
        <v>0</v>
      </c>
      <c r="O292" s="157" t="n">
        <f aca="false">O302*O305/1000</f>
        <v>0</v>
      </c>
      <c r="P292" s="157" t="n">
        <f aca="false">P302*P305/1000</f>
        <v>0</v>
      </c>
      <c r="Q292" s="157" t="n">
        <f aca="false">Q302*Q305/1000</f>
        <v>0</v>
      </c>
      <c r="R292" s="157" t="n">
        <f aca="false">R302*R305/1000</f>
        <v>0</v>
      </c>
      <c r="S292" s="157" t="n">
        <f aca="false">S302*S305/1000</f>
        <v>0</v>
      </c>
      <c r="T292" s="163" t="n">
        <f aca="false">SUM(J292:S292)</f>
        <v>31199.03428</v>
      </c>
      <c r="U292" s="157" t="n">
        <f aca="false">U302*U305/1000</f>
        <v>0</v>
      </c>
      <c r="V292" s="157" t="n">
        <f aca="false">V302*V305/1000</f>
        <v>0</v>
      </c>
      <c r="W292" s="157" t="n">
        <f aca="false">W302*W305/1000</f>
        <v>0</v>
      </c>
      <c r="X292" s="163" t="n">
        <f aca="false">SUM(U292:W292)</f>
        <v>0</v>
      </c>
      <c r="Y292" s="157" t="n">
        <f aca="false">Y302*Y305/1000</f>
        <v>0</v>
      </c>
      <c r="Z292" s="137" t="n">
        <f aca="false">Z302*Z305/1000</f>
        <v>0</v>
      </c>
    </row>
    <row r="293" customFormat="false" ht="15" hidden="false" customHeight="false" outlineLevel="0" collapsed="false">
      <c r="B293" s="71" t="s">
        <v>298</v>
      </c>
      <c r="C293" s="162" t="n">
        <f aca="false">I293+T293+X293+Y293+Z293</f>
        <v>7363.02820275</v>
      </c>
      <c r="D293" s="157" t="n">
        <f aca="false">D302*D307/1000</f>
        <v>1325.5335</v>
      </c>
      <c r="E293" s="157" t="n">
        <f aca="false">E302*E307/1000</f>
        <v>151.371</v>
      </c>
      <c r="F293" s="157" t="n">
        <f aca="false">F302*F307/1000</f>
        <v>92.2923</v>
      </c>
      <c r="G293" s="157" t="n">
        <f aca="false">G302*G307/1000</f>
        <v>38.6595</v>
      </c>
      <c r="H293" s="157" t="n">
        <f aca="false">H302*H307/1000</f>
        <v>12.6063</v>
      </c>
      <c r="I293" s="163" t="n">
        <f aca="false">SUM(D293:H293)</f>
        <v>1620.4626</v>
      </c>
      <c r="J293" s="157" t="n">
        <f aca="false">J302*J307/1000</f>
        <v>693.648</v>
      </c>
      <c r="K293" s="157" t="n">
        <f aca="false">K302*K307/1000</f>
        <v>181.5912</v>
      </c>
      <c r="L293" s="157" t="n">
        <f aca="false">L302*L307/1000</f>
        <v>728.0856</v>
      </c>
      <c r="M293" s="157" t="n">
        <f aca="false">M302*M307/1000</f>
        <v>140.2092</v>
      </c>
      <c r="N293" s="157" t="n">
        <f aca="false">N302*N307/1000</f>
        <v>118.4292</v>
      </c>
      <c r="O293" s="157" t="n">
        <f aca="false">O302*O307/1000</f>
        <v>82.4922</v>
      </c>
      <c r="P293" s="157" t="n">
        <f aca="false">P302*P307/1000</f>
        <v>68.8797</v>
      </c>
      <c r="Q293" s="157" t="n">
        <f aca="false">Q302*Q307/1000</f>
        <v>210.4497</v>
      </c>
      <c r="R293" s="157" t="n">
        <f aca="false">R302*R307/1000</f>
        <v>909.3159</v>
      </c>
      <c r="S293" s="157" t="n">
        <f aca="false">S302*S307/1000</f>
        <v>29.6208</v>
      </c>
      <c r="T293" s="163" t="n">
        <f aca="false">SUM(J293:S293)</f>
        <v>3162.7215</v>
      </c>
      <c r="U293" s="157" t="n">
        <f aca="false">U302*U307/1000</f>
        <v>108.3555</v>
      </c>
      <c r="V293" s="157" t="n">
        <f aca="false">V302*V307/1000</f>
        <v>158.1777</v>
      </c>
      <c r="W293" s="157" t="n">
        <f aca="false">W302*W307/1000</f>
        <v>246.6045</v>
      </c>
      <c r="X293" s="163" t="n">
        <f aca="false">SUM(U293:W293)</f>
        <v>513.1377</v>
      </c>
      <c r="Y293" s="157" t="n">
        <f aca="false">Y302*Y307/1000</f>
        <v>142.7229</v>
      </c>
      <c r="Z293" s="137" t="n">
        <f aca="false">Z302*Z307/1000</f>
        <v>1923.98350275</v>
      </c>
    </row>
    <row r="294" customFormat="false" ht="15" hidden="false" customHeight="false" outlineLevel="0" collapsed="false">
      <c r="B294" s="71" t="s">
        <v>299</v>
      </c>
      <c r="C294" s="162" t="n">
        <f aca="false">I294+T294+X294+Y294+Z294</f>
        <v>29612.1556268715</v>
      </c>
      <c r="D294" s="157" t="n">
        <f aca="false">D308*(D289+D290+D291+D292+D293)</f>
        <v>4950.4821573582</v>
      </c>
      <c r="E294" s="157" t="n">
        <f aca="false">E308*(E289+E290+E291+E292+E293)</f>
        <v>352.2084735873</v>
      </c>
      <c r="F294" s="157" t="n">
        <f aca="false">F308*(F289+F290+F291+F292+F293)</f>
        <v>255.24686228212</v>
      </c>
      <c r="G294" s="157" t="n">
        <f aca="false">G308*(G289+G290+G291+G292+G293)</f>
        <v>106.8924315976</v>
      </c>
      <c r="H294" s="157" t="n">
        <f aca="false">H308*(H289+H290+H291+H292+H293)</f>
        <v>19.28306921625</v>
      </c>
      <c r="I294" s="163" t="n">
        <f aca="false">SUM(D294:H294)</f>
        <v>5684.11299404147</v>
      </c>
      <c r="J294" s="157" t="n">
        <f aca="false">J308*(J289+J290+J291+J292+J293)</f>
        <v>4898.5857370944</v>
      </c>
      <c r="K294" s="157" t="n">
        <f aca="false">K308*(K289+K290+K291+K292+K293)</f>
        <v>1080.43049854656</v>
      </c>
      <c r="L294" s="157" t="n">
        <f aca="false">L308*(L289+L290+L291+L292+L293)</f>
        <v>6013.79987916544</v>
      </c>
      <c r="M294" s="157" t="n">
        <f aca="false">M308*(M289+M290+M291+M292+M293)</f>
        <v>586.54935390768</v>
      </c>
      <c r="N294" s="157" t="n">
        <f aca="false">N308*(N289+N290+N291+N292+N293)</f>
        <v>656.93060950608</v>
      </c>
      <c r="O294" s="157" t="n">
        <f aca="false">O308*(O289+O290+O291+O292+O293)</f>
        <v>482.36583619056</v>
      </c>
      <c r="P294" s="157" t="n">
        <f aca="false">P308*(P289+P290+P291+P292+P293)</f>
        <v>292.97596505472</v>
      </c>
      <c r="Q294" s="157" t="n">
        <f aca="false">Q308*(Q289+Q290+Q291+Q292+Q293)</f>
        <v>509.54430242836</v>
      </c>
      <c r="R294" s="157" t="n">
        <f aca="false">R308*(R289+R290+R291+R292+R293)</f>
        <v>3036.82194255384</v>
      </c>
      <c r="S294" s="157" t="n">
        <f aca="false">S308*(S289+S290+S291+S292+S293)</f>
        <v>60.58704650944</v>
      </c>
      <c r="T294" s="163" t="n">
        <f aca="false">SUM(J294:S294)</f>
        <v>17618.5911709571</v>
      </c>
      <c r="U294" s="157" t="n">
        <f aca="false">U308*(U289+U290+U291+U292+U293)</f>
        <v>325.9448104198</v>
      </c>
      <c r="V294" s="157" t="n">
        <f aca="false">V308*(V289+V290+V291+V292+V293)</f>
        <v>725.37169737684</v>
      </c>
      <c r="W294" s="157" t="n">
        <f aca="false">W308*(W289+W290+W291+W292+W293)</f>
        <v>908.7927232662</v>
      </c>
      <c r="X294" s="163" t="n">
        <f aca="false">SUM(U294:W294)</f>
        <v>1960.10923106284</v>
      </c>
      <c r="Y294" s="157" t="n">
        <f aca="false">Y308*(Y289+Y290+Y291+Y292+Y293)</f>
        <v>188.33541347872</v>
      </c>
      <c r="Z294" s="137" t="n">
        <f aca="false">Z308*(Z289+Z290+Z291+Z292+Z293)</f>
        <v>4161.00681733143</v>
      </c>
    </row>
    <row r="295" customFormat="false" ht="15" hidden="false" customHeight="false" outlineLevel="0" collapsed="false">
      <c r="B295" s="71" t="s">
        <v>300</v>
      </c>
      <c r="C295" s="162" t="n">
        <f aca="false">I295+T295+X295+Y295+Z295</f>
        <v>95505.682335</v>
      </c>
      <c r="D295" s="157" t="n">
        <f aca="false">IFERROR($M$401*D312/$C$312,0)</f>
        <v>20096.5244282881</v>
      </c>
      <c r="E295" s="157" t="n">
        <f aca="false">IFERROR($M$401*E312/$C$312,0)</f>
        <v>1418.98329355909</v>
      </c>
      <c r="F295" s="157" t="n">
        <f aca="false">IFERROR($M$401*F312/$C$312,0)</f>
        <v>785.334900569359</v>
      </c>
      <c r="G295" s="157" t="n">
        <f aca="false">IFERROR($M$401*G312/$C$312,0)</f>
        <v>328.891046468342</v>
      </c>
      <c r="H295" s="157" t="n">
        <f aca="false">IFERROR($M$401*H312/$C$312,0)</f>
        <v>81.4282268135686</v>
      </c>
      <c r="I295" s="163" t="n">
        <f aca="false">SUM(D295:H295)</f>
        <v>22711.1618956985</v>
      </c>
      <c r="J295" s="157" t="n">
        <f aca="false">IFERROR($M$401*J312/$C$312,0)</f>
        <v>14985.1375567704</v>
      </c>
      <c r="K295" s="157" t="n">
        <f aca="false">IFERROR($M$401*K312/$C$312,0)</f>
        <v>3143.17003214817</v>
      </c>
      <c r="L295" s="157" t="n">
        <f aca="false">IFERROR($M$401*L312/$C$312,0)</f>
        <v>18096.9973224241</v>
      </c>
      <c r="M295" s="157" t="n">
        <f aca="false">IFERROR($M$401*M312/$C$312,0)</f>
        <v>1742.42880295803</v>
      </c>
      <c r="N295" s="157" t="n">
        <f aca="false">IFERROR($M$401*N312/$C$312,0)</f>
        <v>1918.07422365484</v>
      </c>
      <c r="O295" s="157" t="n">
        <f aca="false">IFERROR($M$401*O312/$C$312,0)</f>
        <v>1404.5198368149</v>
      </c>
      <c r="P295" s="157" t="n">
        <f aca="false">IFERROR($M$401*P312/$C$312,0)</f>
        <v>869.328074361767</v>
      </c>
      <c r="Q295" s="157" t="n">
        <f aca="false">IFERROR($M$401*Q312/$C$312,0)</f>
        <v>1590.44587830207</v>
      </c>
      <c r="R295" s="157" t="n">
        <f aca="false">IFERROR($M$401*R312/$C$312,0)</f>
        <v>9180.13672840829</v>
      </c>
      <c r="S295" s="157" t="n">
        <f aca="false">IFERROR($M$401*S312/$C$312,0)</f>
        <v>193.092462458216</v>
      </c>
      <c r="T295" s="163" t="n">
        <f aca="false">SUM(J295:S295)</f>
        <v>53123.3309183007</v>
      </c>
      <c r="U295" s="157" t="n">
        <f aca="false">IFERROR($M$401*U312/$C$312,0)</f>
        <v>994.628848526473</v>
      </c>
      <c r="V295" s="157" t="n">
        <f aca="false">IFERROR($M$401*V312/$C$312,0)</f>
        <v>2141.64320764843</v>
      </c>
      <c r="W295" s="157" t="n">
        <f aca="false">IFERROR($M$401*W312/$C$312,0)</f>
        <v>2725.13065941176</v>
      </c>
      <c r="X295" s="163" t="n">
        <f aca="false">SUM(U295:W295)</f>
        <v>5861.40271558667</v>
      </c>
      <c r="Y295" s="157" t="n">
        <f aca="false">IFERROR($M$401*Y312/$C$312,0)</f>
        <v>644.090980679224</v>
      </c>
      <c r="Z295" s="137" t="n">
        <f aca="false">IFERROR($M$401*Z312/$C$312,0)</f>
        <v>13165.6958247349</v>
      </c>
    </row>
    <row r="296" customFormat="false" ht="15" hidden="false" customHeight="false" outlineLevel="0" collapsed="false">
      <c r="B296" s="71" t="s">
        <v>301</v>
      </c>
      <c r="C296" s="162" t="n">
        <f aca="false">I296+T296+X296+Y296+Z296</f>
        <v>30000</v>
      </c>
      <c r="D296" s="144" t="n">
        <v>10000</v>
      </c>
      <c r="E296" s="144" t="n">
        <v>0</v>
      </c>
      <c r="F296" s="144" t="n">
        <v>0</v>
      </c>
      <c r="G296" s="144" t="n">
        <v>0</v>
      </c>
      <c r="H296" s="144" t="n">
        <v>0</v>
      </c>
      <c r="I296" s="163" t="n">
        <f aca="false">SUM(D296:H296)</f>
        <v>10000</v>
      </c>
      <c r="J296" s="144" t="n">
        <v>10000</v>
      </c>
      <c r="K296" s="144" t="n">
        <v>0</v>
      </c>
      <c r="L296" s="144" t="n">
        <v>10000</v>
      </c>
      <c r="M296" s="144" t="n">
        <v>0</v>
      </c>
      <c r="N296" s="144" t="n">
        <v>0</v>
      </c>
      <c r="O296" s="144" t="n">
        <v>0</v>
      </c>
      <c r="P296" s="144" t="n">
        <v>0</v>
      </c>
      <c r="Q296" s="144" t="n">
        <v>0</v>
      </c>
      <c r="R296" s="144" t="n">
        <v>0</v>
      </c>
      <c r="S296" s="144" t="n">
        <v>0</v>
      </c>
      <c r="T296" s="163" t="n">
        <f aca="false">SUM(J296:S296)</f>
        <v>20000</v>
      </c>
      <c r="U296" s="144" t="n">
        <v>0</v>
      </c>
      <c r="V296" s="144" t="n">
        <v>0</v>
      </c>
      <c r="W296" s="144" t="n">
        <v>0</v>
      </c>
      <c r="X296" s="163" t="n">
        <f aca="false">SUM(U296:W296)</f>
        <v>0</v>
      </c>
      <c r="Y296" s="144" t="n">
        <v>0</v>
      </c>
      <c r="Z296" s="133" t="n">
        <v>0</v>
      </c>
    </row>
    <row r="297" customFormat="false" ht="15" hidden="false" customHeight="false" outlineLevel="0" collapsed="false">
      <c r="B297" s="71" t="s">
        <v>302</v>
      </c>
      <c r="C297" s="162" t="n">
        <f aca="false">I297+T297+X297+Y297+Z297</f>
        <v>5324</v>
      </c>
      <c r="D297" s="157" t="n">
        <f aca="false">$M$362*D302/$C$69</f>
        <v>958.45624377267</v>
      </c>
      <c r="E297" s="157" t="n">
        <f aca="false">$M$362*E302/$C$69</f>
        <v>109.452141402773</v>
      </c>
      <c r="F297" s="157" t="n">
        <f aca="false">$M$362*F302/$C$69</f>
        <v>66.7339838541541</v>
      </c>
      <c r="G297" s="157" t="n">
        <f aca="false">$M$362*G302/$C$69</f>
        <v>27.9536044589816</v>
      </c>
      <c r="H297" s="157" t="n">
        <f aca="false">$M$362*H302/$C$69</f>
        <v>9.11526336065547</v>
      </c>
      <c r="I297" s="163" t="n">
        <f aca="false">SUM(D297:H297)</f>
        <v>1171.71123684923</v>
      </c>
      <c r="J297" s="157" t="n">
        <f aca="false">$M$362*J302/$C$69</f>
        <v>501.557491063353</v>
      </c>
      <c r="K297" s="157" t="n">
        <f aca="false">$M$362*K302/$C$69</f>
        <v>131.303523791871</v>
      </c>
      <c r="L297" s="157" t="n">
        <f aca="false">$M$362*L302/$C$69</f>
        <v>526.458357575249</v>
      </c>
      <c r="M297" s="157" t="n">
        <f aca="false">$M$362*M302/$C$69</f>
        <v>101.381355638595</v>
      </c>
      <c r="N297" s="157" t="n">
        <f aca="false">$M$362*N302/$C$69</f>
        <v>85.6328460842388</v>
      </c>
      <c r="O297" s="157" t="n">
        <f aca="false">$M$362*O302/$C$69</f>
        <v>59.6478053195516</v>
      </c>
      <c r="P297" s="157" t="n">
        <f aca="false">$M$362*P302/$C$69</f>
        <v>49.8049868480792</v>
      </c>
      <c r="Q297" s="157" t="n">
        <f aca="false">$M$362*Q302/$C$69</f>
        <v>152.170298951392</v>
      </c>
      <c r="R297" s="157" t="n">
        <f aca="false">$M$362*R302/$C$69</f>
        <v>657.500924659215</v>
      </c>
      <c r="S297" s="157" t="n">
        <f aca="false">$M$362*S302/$C$69</f>
        <v>21.417972993924</v>
      </c>
      <c r="T297" s="163" t="n">
        <f aca="false">SUM(J297:S297)</f>
        <v>2286.87556292547</v>
      </c>
      <c r="U297" s="157" t="n">
        <f aca="false">$M$362*U302/$C$69</f>
        <v>78.3488350329204</v>
      </c>
      <c r="V297" s="157" t="n">
        <f aca="false">$M$362*V302/$C$69</f>
        <v>114.373876020938</v>
      </c>
      <c r="W297" s="157" t="n">
        <f aca="false">$M$362*W302/$C$69</f>
        <v>178.312824811623</v>
      </c>
      <c r="X297" s="163" t="n">
        <f aca="false">SUM(U297:W297)</f>
        <v>371.035535865482</v>
      </c>
      <c r="Y297" s="157" t="n">
        <f aca="false">$M$362*Y302/$C$69</f>
        <v>103.198941885922</v>
      </c>
      <c r="Z297" s="137" t="n">
        <f aca="false">$M$362*Z302/$C$69</f>
        <v>1391.17872247389</v>
      </c>
    </row>
    <row r="298" customFormat="false" ht="15" hidden="false" customHeight="false" outlineLevel="0" collapsed="false">
      <c r="B298" s="71" t="s">
        <v>303</v>
      </c>
      <c r="C298" s="162" t="n">
        <f aca="false">I298+T298+X298+Y298+Z298</f>
        <v>30000</v>
      </c>
      <c r="D298" s="157" t="n">
        <f aca="false">$M$380*D302/$C$69</f>
        <v>5400.76771472203</v>
      </c>
      <c r="E298" s="157" t="n">
        <f aca="false">$M$380*E302/$C$69</f>
        <v>616.747603697069</v>
      </c>
      <c r="F298" s="157" t="n">
        <f aca="false">$M$380*F302/$C$69</f>
        <v>376.036723445647</v>
      </c>
      <c r="G298" s="157" t="n">
        <f aca="false">$M$380*G302/$C$69</f>
        <v>157.514675764359</v>
      </c>
      <c r="H298" s="157" t="n">
        <f aca="false">$M$380*H302/$C$69</f>
        <v>51.3632420773224</v>
      </c>
      <c r="I298" s="163" t="n">
        <f aca="false">SUM(D298:H298)</f>
        <v>6602.42995970643</v>
      </c>
      <c r="J298" s="157" t="n">
        <f aca="false">$M$380*J302/$C$69</f>
        <v>2826.20674904219</v>
      </c>
      <c r="K298" s="157" t="n">
        <f aca="false">$M$380*K302/$C$69</f>
        <v>739.877106265237</v>
      </c>
      <c r="L298" s="157" t="n">
        <f aca="false">$M$380*L302/$C$69</f>
        <v>2966.51967078465</v>
      </c>
      <c r="M298" s="157" t="n">
        <f aca="false">$M$380*M302/$C$69</f>
        <v>571.269847700571</v>
      </c>
      <c r="N298" s="157" t="n">
        <f aca="false">$M$380*N302/$C$69</f>
        <v>482.529185298115</v>
      </c>
      <c r="O298" s="157" t="n">
        <f aca="false">$M$380*O302/$C$69</f>
        <v>336.107092334062</v>
      </c>
      <c r="P298" s="157" t="n">
        <f aca="false">$M$380*P302/$C$69</f>
        <v>280.644178332528</v>
      </c>
      <c r="Q298" s="157" t="n">
        <f aca="false">$M$380*Q302/$C$69</f>
        <v>857.458483948491</v>
      </c>
      <c r="R298" s="157" t="n">
        <f aca="false">$M$380*R302/$C$69</f>
        <v>3704.92632227206</v>
      </c>
      <c r="S298" s="157" t="n">
        <f aca="false">$M$380*S302/$C$69</f>
        <v>120.68730086734</v>
      </c>
      <c r="T298" s="163" t="n">
        <f aca="false">SUM(J298:S298)</f>
        <v>12886.2259368452</v>
      </c>
      <c r="U298" s="157" t="n">
        <f aca="false">$M$380*U302/$C$69</f>
        <v>441.484795452219</v>
      </c>
      <c r="V298" s="157" t="n">
        <f aca="false">$M$380*V302/$C$69</f>
        <v>644.480894182597</v>
      </c>
      <c r="W298" s="157" t="n">
        <f aca="false">$M$380*W302/$C$69</f>
        <v>1004.76798353657</v>
      </c>
      <c r="X298" s="163" t="n">
        <f aca="false">SUM(U298:W298)</f>
        <v>2090.73367317138</v>
      </c>
      <c r="Y298" s="157" t="n">
        <f aca="false">$M$380*Y302/$C$69</f>
        <v>581.511693572061</v>
      </c>
      <c r="Z298" s="137" t="n">
        <f aca="false">$M$380*Z302/$C$69</f>
        <v>7839.09873670489</v>
      </c>
    </row>
    <row r="299" customFormat="false" ht="15" hidden="false" customHeight="false" outlineLevel="0" collapsed="false">
      <c r="B299" s="64" t="s">
        <v>304</v>
      </c>
      <c r="C299" s="162" t="n">
        <f aca="false">I299+T299+X299+Y299+Z299</f>
        <v>40000.0597685618</v>
      </c>
      <c r="D299" s="157" t="n">
        <f aca="false">($M$378+$M$379)*D302/$C$69</f>
        <v>7201.0343795</v>
      </c>
      <c r="E299" s="157" t="n">
        <f aca="false">($M$378+$M$379)*E302/$C$69</f>
        <v>822.331367</v>
      </c>
      <c r="F299" s="157" t="n">
        <f aca="false">($M$378+$M$379)*F302/$C$69</f>
        <v>501.3830471</v>
      </c>
      <c r="G299" s="157" t="n">
        <f aca="false">($M$378+$M$379)*G302/$C$69</f>
        <v>210.0198815</v>
      </c>
      <c r="H299" s="157" t="n">
        <f aca="false">($M$378+$M$379)*H302/$C$69</f>
        <v>68.4844251</v>
      </c>
      <c r="I299" s="163" t="n">
        <f aca="false">SUM(D299:H299)</f>
        <v>8803.2531002</v>
      </c>
      <c r="J299" s="157" t="n">
        <f aca="false">($M$378+$M$379)*J302/$C$69</f>
        <v>3768.281296</v>
      </c>
      <c r="K299" s="157" t="n">
        <f aca="false">($M$378+$M$379)*K302/$C$69</f>
        <v>986.5042824</v>
      </c>
      <c r="L299" s="157" t="n">
        <f aca="false">($M$378+$M$379)*L302/$C$69</f>
        <v>3955.3654712</v>
      </c>
      <c r="M299" s="157" t="n">
        <f aca="false">($M$378+$M$379)*M302/$C$69</f>
        <v>761.6942684</v>
      </c>
      <c r="N299" s="157" t="n">
        <f aca="false">($M$378+$M$379)*N302/$C$69</f>
        <v>643.3732084</v>
      </c>
      <c r="O299" s="157" t="n">
        <f aca="false">($M$378+$M$379)*O302/$C$69</f>
        <v>448.1434594</v>
      </c>
      <c r="P299" s="157" t="n">
        <f aca="false">($M$378+$M$379)*P302/$C$69</f>
        <v>374.1927969</v>
      </c>
      <c r="Q299" s="157" t="n">
        <f aca="false">($M$378+$M$379)*Q302/$C$69</f>
        <v>1143.2796869</v>
      </c>
      <c r="R299" s="157" t="n">
        <f aca="false">($M$378+$M$379)*R302/$C$69</f>
        <v>4939.9091443</v>
      </c>
      <c r="S299" s="157" t="n">
        <f aca="false">($M$378+$M$379)*S302/$C$69</f>
        <v>160.9166416</v>
      </c>
      <c r="T299" s="163" t="n">
        <f aca="false">SUM(J299:S299)</f>
        <v>17181.6602555</v>
      </c>
      <c r="U299" s="157" t="n">
        <f aca="false">($M$378+$M$379)*U302/$C$69</f>
        <v>588.6472735</v>
      </c>
      <c r="V299" s="157" t="n">
        <f aca="false">($M$378+$M$379)*V302/$C$69</f>
        <v>859.3091429</v>
      </c>
      <c r="W299" s="157" t="n">
        <f aca="false">($M$378+$M$379)*W302/$C$69</f>
        <v>1339.6926465</v>
      </c>
      <c r="X299" s="163" t="n">
        <f aca="false">SUM(U299:W299)</f>
        <v>2787.6490629</v>
      </c>
      <c r="Y299" s="157" t="n">
        <f aca="false">($M$378+$M$379)*Y302/$C$69</f>
        <v>775.3500833</v>
      </c>
      <c r="Z299" s="137" t="n">
        <f aca="false">($M$378+$M$379)*Z302/$C$69</f>
        <v>10452.1472666617</v>
      </c>
    </row>
    <row r="300" customFormat="false" ht="15" hidden="false" customHeight="false" outlineLevel="0" collapsed="false">
      <c r="B300" s="71" t="s">
        <v>155</v>
      </c>
      <c r="C300" s="162" t="n">
        <f aca="false">I300+T300+X300+Y300+Z300</f>
        <v>1223674.39330824</v>
      </c>
      <c r="D300" s="164" t="n">
        <f aca="false">SUM(D289:D299)</f>
        <v>257488.368609641</v>
      </c>
      <c r="E300" s="164" t="n">
        <f aca="false">SUM(E289:E299)</f>
        <v>18180.8399082462</v>
      </c>
      <c r="F300" s="164" t="n">
        <f aca="false">SUM(F289:F299)</f>
        <v>10062.1678679513</v>
      </c>
      <c r="G300" s="164" t="n">
        <f aca="false">SUM(G289:G299)</f>
        <v>4213.94352578928</v>
      </c>
      <c r="H300" s="164" t="n">
        <f aca="false">SUM(H289:H299)</f>
        <v>1043.3058390678</v>
      </c>
      <c r="I300" s="163" t="n">
        <f aca="false">SUM(D300:H300)</f>
        <v>290988.625750696</v>
      </c>
      <c r="J300" s="164" t="n">
        <f aca="false">SUM(J289:J299)</f>
        <v>191998.30481397</v>
      </c>
      <c r="K300" s="164" t="n">
        <f aca="false">SUM(K289:K299)</f>
        <v>40272.1240047518</v>
      </c>
      <c r="L300" s="164" t="n">
        <f aca="false">SUM(L289:L299)</f>
        <v>231869.263459549</v>
      </c>
      <c r="M300" s="164" t="n">
        <f aca="false">SUM(M289:M299)</f>
        <v>22325.0120434049</v>
      </c>
      <c r="N300" s="164" t="n">
        <f aca="false">SUM(N289:N299)</f>
        <v>24575.4834117433</v>
      </c>
      <c r="O300" s="164" t="n">
        <f aca="false">SUM(O289:O299)</f>
        <v>17995.5256816591</v>
      </c>
      <c r="P300" s="164" t="n">
        <f aca="false">SUM(P289:P299)</f>
        <v>11138.3373006971</v>
      </c>
      <c r="Q300" s="164" t="n">
        <f aca="false">SUM(Q289:Q299)</f>
        <v>20377.7183476303</v>
      </c>
      <c r="R300" s="164" t="n">
        <f aca="false">SUM(R289:R299)</f>
        <v>117621.255269593</v>
      </c>
      <c r="S300" s="164" t="n">
        <f aca="false">SUM(S289:S299)</f>
        <v>2474.01302282892</v>
      </c>
      <c r="T300" s="163" t="n">
        <f aca="false">SUM(J300:S300)</f>
        <v>680647.037355829</v>
      </c>
      <c r="U300" s="164" t="n">
        <f aca="false">SUM(U289:U299)</f>
        <v>12743.7637534314</v>
      </c>
      <c r="V300" s="164" t="n">
        <f aca="false">SUM(V289:V299)</f>
        <v>27439.9793680288</v>
      </c>
      <c r="W300" s="164" t="n">
        <f aca="false">SUM(W289:W299)</f>
        <v>34915.9602320262</v>
      </c>
      <c r="X300" s="163" t="n">
        <f aca="false">SUM(U300:W300)</f>
        <v>75099.7033534864</v>
      </c>
      <c r="Y300" s="164" t="n">
        <f aca="false">SUM(Y289:Y299)</f>
        <v>8252.46855211593</v>
      </c>
      <c r="Z300" s="165" t="n">
        <f aca="false">SUM(Z289:Z299)</f>
        <v>168686.558296117</v>
      </c>
    </row>
    <row r="301" customFormat="false" ht="15" hidden="false" customHeight="false" outlineLevel="0" collapsed="false">
      <c r="B301" s="166" t="s">
        <v>305</v>
      </c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74"/>
    </row>
    <row r="302" customFormat="false" ht="15" hidden="false" customHeight="false" outlineLevel="0" collapsed="false">
      <c r="B302" s="71" t="s">
        <v>182</v>
      </c>
      <c r="C302" s="114" t="n">
        <f aca="false">I302+T302+X302+Y302+Z302</f>
        <v>81811.424475</v>
      </c>
      <c r="D302" s="167" t="n">
        <f aca="false">$D$74</f>
        <v>14728.15</v>
      </c>
      <c r="E302" s="167" t="n">
        <f aca="false">$E$74</f>
        <v>1681.9</v>
      </c>
      <c r="F302" s="167" t="n">
        <f aca="false">$F$74</f>
        <v>1025.47</v>
      </c>
      <c r="G302" s="167" t="n">
        <f aca="false">$G$74</f>
        <v>429.55</v>
      </c>
      <c r="H302" s="167" t="n">
        <f aca="false">$H$74</f>
        <v>140.07</v>
      </c>
      <c r="I302" s="115" t="n">
        <f aca="false">SUM(D302:H302)</f>
        <v>18005.14</v>
      </c>
      <c r="J302" s="167" t="n">
        <f aca="false">$J$74</f>
        <v>7707.2</v>
      </c>
      <c r="K302" s="167" t="n">
        <f aca="false">$K$74</f>
        <v>2017.68</v>
      </c>
      <c r="L302" s="167" t="n">
        <f aca="false">$L$74</f>
        <v>8089.84</v>
      </c>
      <c r="M302" s="167" t="n">
        <f aca="false">$M$74</f>
        <v>1557.88</v>
      </c>
      <c r="N302" s="167" t="n">
        <f aca="false">$N$74</f>
        <v>1315.88</v>
      </c>
      <c r="O302" s="167" t="n">
        <f aca="false">$O$74</f>
        <v>916.58</v>
      </c>
      <c r="P302" s="167" t="n">
        <f aca="false">$P$74</f>
        <v>765.33</v>
      </c>
      <c r="Q302" s="167" t="n">
        <f aca="false">$Q$74</f>
        <v>2338.33</v>
      </c>
      <c r="R302" s="167" t="n">
        <f aca="false">$R$74</f>
        <v>10103.51</v>
      </c>
      <c r="S302" s="167" t="n">
        <f aca="false">$S$74</f>
        <v>329.12</v>
      </c>
      <c r="T302" s="115" t="n">
        <f aca="false">SUM(J302:S302)</f>
        <v>35141.35</v>
      </c>
      <c r="U302" s="167" t="n">
        <f aca="false">$U$74</f>
        <v>1203.95</v>
      </c>
      <c r="V302" s="167" t="n">
        <f aca="false">$V$74</f>
        <v>1757.53</v>
      </c>
      <c r="W302" s="167" t="n">
        <f aca="false">$W$74</f>
        <v>2740.05</v>
      </c>
      <c r="X302" s="115" t="n">
        <f aca="false">SUM(U302:W302)</f>
        <v>5701.53</v>
      </c>
      <c r="Y302" s="167" t="n">
        <f aca="false">$Y$74</f>
        <v>1585.81</v>
      </c>
      <c r="Z302" s="168" t="n">
        <f aca="false">$Z$74</f>
        <v>21377.594475</v>
      </c>
    </row>
    <row r="303" customFormat="false" ht="15" hidden="false" customHeight="false" outlineLevel="0" collapsed="false">
      <c r="B303" s="71" t="s">
        <v>22</v>
      </c>
      <c r="C303" s="52"/>
      <c r="D303" s="169" t="n">
        <v>8582.48</v>
      </c>
      <c r="E303" s="169" t="n">
        <v>7124.68</v>
      </c>
      <c r="F303" s="169" t="n">
        <v>6164.98</v>
      </c>
      <c r="G303" s="169" t="n">
        <v>6164.59</v>
      </c>
      <c r="H303" s="169" t="n">
        <v>5297.35</v>
      </c>
      <c r="I303" s="52"/>
      <c r="J303" s="169" t="n">
        <v>8859.12</v>
      </c>
      <c r="K303" s="169" t="n">
        <v>7142.36</v>
      </c>
      <c r="L303" s="169" t="n">
        <v>9659.15</v>
      </c>
      <c r="M303" s="169" t="n">
        <v>6603.2</v>
      </c>
      <c r="N303" s="169" t="n">
        <v>6560.63</v>
      </c>
      <c r="O303" s="169" t="n">
        <v>7142.86</v>
      </c>
      <c r="P303" s="169" t="n">
        <v>6602.38</v>
      </c>
      <c r="Q303" s="169" t="n">
        <v>6384.47</v>
      </c>
      <c r="R303" s="169" t="n">
        <v>7800.36</v>
      </c>
      <c r="S303" s="169" t="n">
        <v>5314.17</v>
      </c>
      <c r="T303" s="52"/>
      <c r="U303" s="169" t="n">
        <v>6855.77</v>
      </c>
      <c r="V303" s="169" t="n">
        <v>5836.6</v>
      </c>
      <c r="W303" s="169" t="n">
        <v>6384.56</v>
      </c>
      <c r="X303" s="52"/>
      <c r="Y303" s="169" t="n">
        <v>3246.92</v>
      </c>
      <c r="Z303" s="170" t="n">
        <v>5648.2</v>
      </c>
    </row>
    <row r="304" customFormat="false" ht="15" hidden="false" customHeight="false" outlineLevel="0" collapsed="false">
      <c r="B304" s="71" t="s">
        <v>296</v>
      </c>
      <c r="C304" s="52"/>
      <c r="D304" s="169" t="n">
        <v>4523.18</v>
      </c>
      <c r="E304" s="169" t="n">
        <v>1199.83</v>
      </c>
      <c r="F304" s="169" t="n">
        <v>1200.43</v>
      </c>
      <c r="G304" s="169" t="n">
        <v>1198.93</v>
      </c>
      <c r="H304" s="169" t="n">
        <v>0</v>
      </c>
      <c r="I304" s="52"/>
      <c r="J304" s="169" t="n">
        <v>10177.5</v>
      </c>
      <c r="K304" s="169" t="n">
        <v>8726.36</v>
      </c>
      <c r="L304" s="169" t="n">
        <v>10177.21</v>
      </c>
      <c r="M304" s="169" t="n">
        <v>4800.11</v>
      </c>
      <c r="N304" s="169" t="n">
        <v>8726.48</v>
      </c>
      <c r="O304" s="169" t="n">
        <v>8999.76</v>
      </c>
      <c r="P304" s="169" t="n">
        <v>5000.46</v>
      </c>
      <c r="Q304" s="169" t="n">
        <v>0</v>
      </c>
      <c r="R304" s="169" t="n">
        <v>1199.98</v>
      </c>
      <c r="S304" s="169" t="n">
        <v>0</v>
      </c>
      <c r="T304" s="52"/>
      <c r="U304" s="169" t="n">
        <v>1200.22</v>
      </c>
      <c r="V304" s="169" t="n">
        <v>6712.83</v>
      </c>
      <c r="W304" s="169" t="n">
        <v>3599.93</v>
      </c>
      <c r="X304" s="52"/>
      <c r="Y304" s="169" t="n">
        <v>0</v>
      </c>
      <c r="Z304" s="170" t="n">
        <v>0</v>
      </c>
    </row>
    <row r="305" customFormat="false" ht="15" hidden="false" customHeight="false" outlineLevel="0" collapsed="false">
      <c r="B305" s="64" t="s">
        <v>297</v>
      </c>
      <c r="C305" s="52"/>
      <c r="D305" s="169" t="n">
        <v>565.38</v>
      </c>
      <c r="E305" s="169" t="n">
        <v>0</v>
      </c>
      <c r="F305" s="169" t="n">
        <v>0</v>
      </c>
      <c r="G305" s="169" t="n">
        <v>0</v>
      </c>
      <c r="H305" s="169" t="n">
        <v>0</v>
      </c>
      <c r="I305" s="52"/>
      <c r="J305" s="169" t="n">
        <v>565.45</v>
      </c>
      <c r="K305" s="169" t="n">
        <v>565.5</v>
      </c>
      <c r="L305" s="171" t="n">
        <v>100</v>
      </c>
      <c r="M305" s="169" t="n">
        <v>0</v>
      </c>
      <c r="N305" s="169" t="n">
        <v>0</v>
      </c>
      <c r="O305" s="169" t="n">
        <v>0</v>
      </c>
      <c r="P305" s="169" t="n">
        <v>0</v>
      </c>
      <c r="Q305" s="169" t="n">
        <v>0</v>
      </c>
      <c r="R305" s="169" t="n">
        <v>0</v>
      </c>
      <c r="S305" s="169" t="n">
        <v>0</v>
      </c>
      <c r="T305" s="52"/>
      <c r="U305" s="169" t="n">
        <v>0</v>
      </c>
      <c r="V305" s="169" t="n">
        <v>0</v>
      </c>
      <c r="W305" s="169" t="n">
        <v>0</v>
      </c>
      <c r="X305" s="52"/>
      <c r="Y305" s="169" t="n">
        <v>0</v>
      </c>
      <c r="Z305" s="170" t="n">
        <v>0</v>
      </c>
    </row>
    <row r="306" customFormat="false" ht="15" hidden="false" customHeight="false" outlineLevel="0" collapsed="false">
      <c r="B306" s="71" t="s">
        <v>295</v>
      </c>
      <c r="C306" s="52"/>
      <c r="D306" s="172" t="n">
        <f aca="false">$L$368</f>
        <v>421.4</v>
      </c>
      <c r="E306" s="172" t="n">
        <f aca="false">$L$368</f>
        <v>421.4</v>
      </c>
      <c r="F306" s="172" t="n">
        <f aca="false">$L$368</f>
        <v>421.4</v>
      </c>
      <c r="G306" s="172" t="n">
        <f aca="false">$L$368</f>
        <v>421.4</v>
      </c>
      <c r="H306" s="172" t="n">
        <f aca="false">$L$368</f>
        <v>421.4</v>
      </c>
      <c r="I306" s="52"/>
      <c r="J306" s="172" t="n">
        <f aca="false">$L$368</f>
        <v>421.4</v>
      </c>
      <c r="K306" s="172" t="n">
        <f aca="false">$L$368</f>
        <v>421.4</v>
      </c>
      <c r="L306" s="172" t="n">
        <f aca="false">$L$368</f>
        <v>421.4</v>
      </c>
      <c r="M306" s="172" t="n">
        <f aca="false">$L$368</f>
        <v>421.4</v>
      </c>
      <c r="N306" s="172" t="n">
        <f aca="false">$L$368</f>
        <v>421.4</v>
      </c>
      <c r="O306" s="172" t="n">
        <f aca="false">$L$368</f>
        <v>421.4</v>
      </c>
      <c r="P306" s="172" t="n">
        <f aca="false">$L$368</f>
        <v>421.4</v>
      </c>
      <c r="Q306" s="172" t="n">
        <f aca="false">$L$368</f>
        <v>421.4</v>
      </c>
      <c r="R306" s="172" t="n">
        <f aca="false">$L$368</f>
        <v>421.4</v>
      </c>
      <c r="S306" s="172" t="n">
        <f aca="false">$L$368</f>
        <v>421.4</v>
      </c>
      <c r="T306" s="52"/>
      <c r="U306" s="172" t="n">
        <f aca="false">$L$368</f>
        <v>421.4</v>
      </c>
      <c r="V306" s="172" t="n">
        <f aca="false">$L$368</f>
        <v>421.4</v>
      </c>
      <c r="W306" s="172" t="n">
        <f aca="false">$L$368</f>
        <v>421.4</v>
      </c>
      <c r="X306" s="52"/>
      <c r="Y306" s="172" t="n">
        <f aca="false">$L$368</f>
        <v>421.4</v>
      </c>
      <c r="Z306" s="173" t="n">
        <f aca="false">$L$368</f>
        <v>421.4</v>
      </c>
    </row>
    <row r="307" customFormat="false" ht="15" hidden="false" customHeight="false" outlineLevel="0" collapsed="false">
      <c r="B307" s="71" t="s">
        <v>298</v>
      </c>
      <c r="C307" s="52"/>
      <c r="D307" s="172" t="n">
        <f aca="false">$L$374</f>
        <v>90</v>
      </c>
      <c r="E307" s="172" t="n">
        <f aca="false">$L$374</f>
        <v>90</v>
      </c>
      <c r="F307" s="172" t="n">
        <f aca="false">$L$374</f>
        <v>90</v>
      </c>
      <c r="G307" s="172" t="n">
        <f aca="false">$L$374</f>
        <v>90</v>
      </c>
      <c r="H307" s="172" t="n">
        <f aca="false">$L$374</f>
        <v>90</v>
      </c>
      <c r="I307" s="52"/>
      <c r="J307" s="172" t="n">
        <f aca="false">$L$374</f>
        <v>90</v>
      </c>
      <c r="K307" s="172" t="n">
        <f aca="false">$L$374</f>
        <v>90</v>
      </c>
      <c r="L307" s="172" t="n">
        <f aca="false">$L$374</f>
        <v>90</v>
      </c>
      <c r="M307" s="172" t="n">
        <f aca="false">$L$374</f>
        <v>90</v>
      </c>
      <c r="N307" s="172" t="n">
        <f aca="false">$L$374</f>
        <v>90</v>
      </c>
      <c r="O307" s="172" t="n">
        <f aca="false">$L$374</f>
        <v>90</v>
      </c>
      <c r="P307" s="172" t="n">
        <f aca="false">$L$374</f>
        <v>90</v>
      </c>
      <c r="Q307" s="172" t="n">
        <f aca="false">$L$374</f>
        <v>90</v>
      </c>
      <c r="R307" s="172" t="n">
        <f aca="false">$L$374</f>
        <v>90</v>
      </c>
      <c r="S307" s="172" t="n">
        <f aca="false">$L$374</f>
        <v>90</v>
      </c>
      <c r="T307" s="52"/>
      <c r="U307" s="172" t="n">
        <f aca="false">$L$374</f>
        <v>90</v>
      </c>
      <c r="V307" s="172" t="n">
        <f aca="false">$L$374</f>
        <v>90</v>
      </c>
      <c r="W307" s="172" t="n">
        <f aca="false">$L$374</f>
        <v>90</v>
      </c>
      <c r="X307" s="52"/>
      <c r="Y307" s="172" t="n">
        <f aca="false">$L$374</f>
        <v>90</v>
      </c>
      <c r="Z307" s="173" t="n">
        <f aca="false">$L$374</f>
        <v>90</v>
      </c>
    </row>
    <row r="308" customFormat="false" ht="15" hidden="false" customHeight="false" outlineLevel="0" collapsed="false">
      <c r="B308" s="71" t="s">
        <v>299</v>
      </c>
      <c r="C308" s="52"/>
      <c r="D308" s="158" t="n">
        <v>0.0237</v>
      </c>
      <c r="E308" s="158" t="n">
        <v>0.0237</v>
      </c>
      <c r="F308" s="158" t="n">
        <v>0.0316</v>
      </c>
      <c r="G308" s="158" t="n">
        <v>0.0316</v>
      </c>
      <c r="H308" s="158" t="n">
        <v>0.0237</v>
      </c>
      <c r="I308" s="52"/>
      <c r="J308" s="158" t="n">
        <v>0.0316</v>
      </c>
      <c r="K308" s="158" t="n">
        <v>0.0316</v>
      </c>
      <c r="L308" s="158" t="n">
        <v>0.0316</v>
      </c>
      <c r="M308" s="158" t="n">
        <v>0.0316</v>
      </c>
      <c r="N308" s="158" t="n">
        <v>0.0316</v>
      </c>
      <c r="O308" s="158" t="n">
        <v>0.0316</v>
      </c>
      <c r="P308" s="158" t="n">
        <v>0.0316</v>
      </c>
      <c r="Q308" s="158" t="n">
        <v>0.0316</v>
      </c>
      <c r="R308" s="158" t="n">
        <v>0.0316</v>
      </c>
      <c r="S308" s="158" t="n">
        <v>0.0316</v>
      </c>
      <c r="T308" s="52"/>
      <c r="U308" s="158" t="n">
        <v>0.0316</v>
      </c>
      <c r="V308" s="158" t="n">
        <v>0.0316</v>
      </c>
      <c r="W308" s="158" t="n">
        <v>0.0316</v>
      </c>
      <c r="X308" s="52"/>
      <c r="Y308" s="158" t="n">
        <v>0.0316</v>
      </c>
      <c r="Z308" s="174" t="n">
        <v>0.0316</v>
      </c>
    </row>
    <row r="309" customFormat="false" ht="15" hidden="false" customHeight="false" outlineLevel="0" collapsed="false">
      <c r="B309" s="71" t="s">
        <v>301</v>
      </c>
      <c r="C309" s="52"/>
      <c r="D309" s="175" t="s">
        <v>306</v>
      </c>
      <c r="E309" s="175" t="s">
        <v>306</v>
      </c>
      <c r="F309" s="175" t="s">
        <v>306</v>
      </c>
      <c r="G309" s="175" t="s">
        <v>306</v>
      </c>
      <c r="H309" s="175" t="s">
        <v>306</v>
      </c>
      <c r="I309" s="52"/>
      <c r="J309" s="175" t="s">
        <v>306</v>
      </c>
      <c r="K309" s="175" t="s">
        <v>306</v>
      </c>
      <c r="L309" s="175" t="s">
        <v>306</v>
      </c>
      <c r="M309" s="175" t="s">
        <v>306</v>
      </c>
      <c r="N309" s="175" t="s">
        <v>306</v>
      </c>
      <c r="O309" s="175" t="s">
        <v>306</v>
      </c>
      <c r="P309" s="175" t="s">
        <v>306</v>
      </c>
      <c r="Q309" s="175" t="s">
        <v>306</v>
      </c>
      <c r="R309" s="175" t="s">
        <v>306</v>
      </c>
      <c r="S309" s="175" t="s">
        <v>306</v>
      </c>
      <c r="T309" s="52"/>
      <c r="U309" s="175" t="s">
        <v>306</v>
      </c>
      <c r="V309" s="175" t="s">
        <v>306</v>
      </c>
      <c r="W309" s="175" t="s">
        <v>306</v>
      </c>
      <c r="X309" s="52"/>
      <c r="Y309" s="175" t="s">
        <v>306</v>
      </c>
      <c r="Z309" s="176" t="s">
        <v>306</v>
      </c>
    </row>
    <row r="310" customFormat="false" ht="15" hidden="false" customHeight="false" outlineLevel="0" collapsed="false">
      <c r="B310" s="71" t="s">
        <v>307</v>
      </c>
      <c r="C310" s="162" t="n">
        <f aca="false">C300</f>
        <v>1223674.39330824</v>
      </c>
      <c r="D310" s="164" t="n">
        <f aca="false">D300</f>
        <v>257488.368609641</v>
      </c>
      <c r="E310" s="164" t="n">
        <f aca="false">E300</f>
        <v>18180.8399082462</v>
      </c>
      <c r="F310" s="164" t="n">
        <f aca="false">F300</f>
        <v>10062.1678679513</v>
      </c>
      <c r="G310" s="164" t="n">
        <f aca="false">G300</f>
        <v>4213.94352578928</v>
      </c>
      <c r="H310" s="164" t="n">
        <f aca="false">H300</f>
        <v>1043.3058390678</v>
      </c>
      <c r="I310" s="163" t="n">
        <f aca="false">I300</f>
        <v>290988.625750696</v>
      </c>
      <c r="J310" s="164" t="n">
        <f aca="false">J300</f>
        <v>191998.30481397</v>
      </c>
      <c r="K310" s="164" t="n">
        <f aca="false">K300</f>
        <v>40272.1240047518</v>
      </c>
      <c r="L310" s="164" t="n">
        <f aca="false">L300</f>
        <v>231869.263459549</v>
      </c>
      <c r="M310" s="164" t="n">
        <f aca="false">M300</f>
        <v>22325.0120434049</v>
      </c>
      <c r="N310" s="164" t="n">
        <f aca="false">N300</f>
        <v>24575.4834117433</v>
      </c>
      <c r="O310" s="164" t="n">
        <f aca="false">O300</f>
        <v>17995.5256816591</v>
      </c>
      <c r="P310" s="164" t="n">
        <f aca="false">P300</f>
        <v>11138.3373006971</v>
      </c>
      <c r="Q310" s="164" t="n">
        <f aca="false">Q300</f>
        <v>20377.7183476303</v>
      </c>
      <c r="R310" s="164" t="n">
        <f aca="false">R300</f>
        <v>117621.255269593</v>
      </c>
      <c r="S310" s="164" t="n">
        <f aca="false">S300</f>
        <v>2474.01302282892</v>
      </c>
      <c r="T310" s="163" t="n">
        <f aca="false">T300</f>
        <v>680647.037355829</v>
      </c>
      <c r="U310" s="164" t="n">
        <f aca="false">U300</f>
        <v>12743.7637534314</v>
      </c>
      <c r="V310" s="164" t="n">
        <f aca="false">V300</f>
        <v>27439.9793680288</v>
      </c>
      <c r="W310" s="164" t="n">
        <f aca="false">W300</f>
        <v>34915.9602320262</v>
      </c>
      <c r="X310" s="163" t="n">
        <f aca="false">X300</f>
        <v>75099.7033534864</v>
      </c>
      <c r="Y310" s="164" t="n">
        <f aca="false">Y300</f>
        <v>8252.46855211593</v>
      </c>
      <c r="Z310" s="165" t="n">
        <f aca="false">Z300</f>
        <v>168686.558296117</v>
      </c>
    </row>
    <row r="311" customFormat="false" ht="15" hidden="false" customHeight="false" outlineLevel="0" collapsed="false">
      <c r="B311" s="71" t="s">
        <v>308</v>
      </c>
      <c r="C311" s="177" t="n">
        <f aca="false">C310/C310</f>
        <v>1</v>
      </c>
      <c r="D311" s="119" t="n">
        <f aca="false">D310/$C$310</f>
        <v>0.210422290453846</v>
      </c>
      <c r="E311" s="119" t="n">
        <f aca="false">E310/$C$310</f>
        <v>0.0148575797676813</v>
      </c>
      <c r="F311" s="119" t="n">
        <f aca="false">F310/$C$310</f>
        <v>0.00822291282957052</v>
      </c>
      <c r="G311" s="119" t="n">
        <f aca="false">G310/$C$310</f>
        <v>0.00344368040128449</v>
      </c>
      <c r="H311" s="119" t="n">
        <f aca="false">H310/$C$310</f>
        <v>0.000852600859160896</v>
      </c>
      <c r="I311" s="178" t="n">
        <f aca="false">I310/$C$310</f>
        <v>0.237799064311543</v>
      </c>
      <c r="J311" s="119" t="n">
        <f aca="false">J310/$C$310</f>
        <v>0.156903099275369</v>
      </c>
      <c r="K311" s="119" t="n">
        <f aca="false">K310/$C$310</f>
        <v>0.0329108169828371</v>
      </c>
      <c r="L311" s="119" t="n">
        <f aca="false">L310/$C$310</f>
        <v>0.189486079571121</v>
      </c>
      <c r="M311" s="119" t="n">
        <f aca="false">M310/$C$310</f>
        <v>0.0182442422310142</v>
      </c>
      <c r="N311" s="119" t="n">
        <f aca="false">N310/$C$310</f>
        <v>0.020083351867242</v>
      </c>
      <c r="O311" s="119" t="n">
        <f aca="false">O310/$C$310</f>
        <v>0.0147061389697038</v>
      </c>
      <c r="P311" s="119" t="n">
        <f aca="false">P310/$C$310</f>
        <v>0.00910237017429468</v>
      </c>
      <c r="Q311" s="119" t="n">
        <f aca="false">Q310/$C$310</f>
        <v>0.0166528926804936</v>
      </c>
      <c r="R311" s="119" t="n">
        <f aca="false">R310/$C$310</f>
        <v>0.0961213668544624</v>
      </c>
      <c r="S311" s="119" t="n">
        <f aca="false">S310/$C$310</f>
        <v>0.00202179030333416</v>
      </c>
      <c r="T311" s="178" t="n">
        <f aca="false">T310/$C$310</f>
        <v>0.556232148909872</v>
      </c>
      <c r="U311" s="119" t="n">
        <f aca="false">U310/$C$310</f>
        <v>0.0104143421020507</v>
      </c>
      <c r="V311" s="119" t="n">
        <f aca="false">V310/$C$310</f>
        <v>0.0224242490633836</v>
      </c>
      <c r="W311" s="119" t="n">
        <f aca="false">W310/$C$310</f>
        <v>0.028533701794339</v>
      </c>
      <c r="X311" s="178" t="n">
        <f aca="false">X310/$C$310</f>
        <v>0.0613722929597733</v>
      </c>
      <c r="Y311" s="119" t="n">
        <f aca="false">Y310/$C$310</f>
        <v>0.00674400690023848</v>
      </c>
      <c r="Z311" s="122" t="n">
        <f aca="false">Z310/$C$310</f>
        <v>0.137852486918573</v>
      </c>
    </row>
    <row r="312" customFormat="false" ht="15" hidden="false" customHeight="false" outlineLevel="0" collapsed="false">
      <c r="B312" s="179" t="s">
        <v>309</v>
      </c>
      <c r="C312" s="180" t="n">
        <f aca="false">SUM(D312:Z312)</f>
        <v>1128168.71097324</v>
      </c>
      <c r="D312" s="180" t="n">
        <f aca="false">(D289+D290+D291+D292+D293+D294+D296+D297+D298+D299)*IFERROR(INDEX($D$38:$H$38,MATCH(D$287,$D$36:$H$36,0)),0)</f>
        <v>237391.844181353</v>
      </c>
      <c r="E312" s="180" t="n">
        <f aca="false">(E289+E290+E291+E292+E293+E294+E296+E297+E298+E299)*IFERROR(INDEX($D$38:$H$38,MATCH(E$287,$D$36:$H$36,0)),0)</f>
        <v>16761.8566146871</v>
      </c>
      <c r="F312" s="180" t="n">
        <f aca="false">(F289+F290+F291+F292+F293+F294+F296+F297+F298+F299)*IFERROR(INDEX($D$38:$H$38,MATCH(F$287,$D$36:$H$36,0)),0)</f>
        <v>9276.83296738192</v>
      </c>
      <c r="G312" s="180" t="n">
        <f aca="false">(G289+G290+G291+G292+G293+G294+G296+G297+G298+G299)*IFERROR(INDEX($D$38:$H$38,MATCH(G$287,$D$36:$H$36,0)),0)</f>
        <v>3885.05247932094</v>
      </c>
      <c r="H312" s="180" t="n">
        <f aca="false">(H289+H290+H291+H292+H293+H294+H296+H297+H298+H299)*IFERROR(INDEX($D$38:$H$38,MATCH(H$287,$D$36:$H$36,0)),0)</f>
        <v>961.877612254228</v>
      </c>
      <c r="I312" s="58"/>
      <c r="J312" s="180" t="n">
        <f aca="false">(J289+J290+J291+J292+J293+J294+J296+J297+J298+J299)*IFERROR(INDEX($D$38:$H$38,MATCH(J$287,$D$36:$H$36,0)),0)</f>
        <v>177013.1672572</v>
      </c>
      <c r="K312" s="180" t="n">
        <f aca="false">(K289+K290+K291+K292+K293+K294+K296+K297+K298+K299)*IFERROR(INDEX($D$38:$H$38,MATCH(K$287,$D$36:$H$36,0)),0)</f>
        <v>37128.9539726037</v>
      </c>
      <c r="L312" s="180" t="n">
        <f aca="false">(L289+L290+L291+L292+L293+L294+L296+L297+L298+L299)*IFERROR(INDEX($D$38:$H$38,MATCH(L$287,$D$36:$H$36,0)),0)</f>
        <v>213772.266137125</v>
      </c>
      <c r="M312" s="180" t="n">
        <f aca="false">(M289+M290+M291+M292+M293+M294+M296+M297+M298+M299)*IFERROR(INDEX($D$38:$H$38,MATCH(M$287,$D$36:$H$36,0)),0)</f>
        <v>20582.5832404468</v>
      </c>
      <c r="N312" s="180" t="n">
        <f aca="false">(N289+N290+N291+N292+N293+N294+N296+N297+N298+N299)*IFERROR(INDEX($D$38:$H$38,MATCH(N$287,$D$36:$H$36,0)),0)</f>
        <v>22657.4091880884</v>
      </c>
      <c r="O312" s="180" t="n">
        <f aca="false">(O289+O290+O291+O292+O293+O294+O296+O297+O298+O299)*IFERROR(INDEX($D$38:$H$38,MATCH(O$287,$D$36:$H$36,0)),0)</f>
        <v>16591.0058448442</v>
      </c>
      <c r="P312" s="180" t="n">
        <f aca="false">(P289+P290+P291+P292+P293+P294+P296+P297+P298+P299)*IFERROR(INDEX($D$38:$H$38,MATCH(P$287,$D$36:$H$36,0)),0)</f>
        <v>10269.0092263353</v>
      </c>
      <c r="Q312" s="180" t="n">
        <f aca="false">(Q289+Q290+Q291+Q292+Q293+Q294+Q296+Q297+Q298+Q299)*IFERROR(INDEX($D$38:$H$38,MATCH(Q$287,$D$36:$H$36,0)),0)</f>
        <v>18787.2724693282</v>
      </c>
      <c r="R312" s="180" t="n">
        <f aca="false">(R289+R290+R291+R292+R293+R294+R296+R297+R298+R299)*IFERROR(INDEX($D$38:$H$38,MATCH(R$287,$D$36:$H$36,0)),0)</f>
        <v>108441.118541185</v>
      </c>
      <c r="S312" s="180" t="n">
        <f aca="false">(S289+S290+S291+S292+S293+S294+S296+S297+S298+S299)*IFERROR(INDEX($D$38:$H$38,MATCH(S$287,$D$36:$H$36,0)),0)</f>
        <v>2280.9205603707</v>
      </c>
      <c r="T312" s="58"/>
      <c r="U312" s="180" t="n">
        <f aca="false">(U289+U290+U291+U292+U293+U294+U296+U297+U298+U299)*IFERROR(INDEX($D$38:$H$38,MATCH(U$287,$D$36:$H$36,0)),0)</f>
        <v>11749.1349049049</v>
      </c>
      <c r="V312" s="180" t="n">
        <f aca="false">(V289+V290+V291+V292+V293+V294+V296+V297+V298+V299)*IFERROR(INDEX($D$38:$H$38,MATCH(V$287,$D$36:$H$36,0)),0)</f>
        <v>25298.3361603804</v>
      </c>
      <c r="W312" s="180" t="n">
        <f aca="false">(W289+W290+W291+W292+W293+W294+W296+W297+W298+W299)*IFERROR(INDEX($D$38:$H$38,MATCH(W$287,$D$36:$H$36,0)),0)</f>
        <v>32190.8295726144</v>
      </c>
      <c r="X312" s="58"/>
      <c r="Y312" s="180" t="n">
        <f aca="false">(Y289+Y290+Y291+Y292+Y293+Y294+Y296+Y297+Y298+Y299)*1</f>
        <v>7608.3775714367</v>
      </c>
      <c r="Z312" s="181" t="n">
        <f aca="false">(Z289+Z290+Z291+Z292+Z293+Z294+Z296+Z297+Z298+Z299)*1</f>
        <v>155520.862471382</v>
      </c>
    </row>
    <row r="314" customFormat="false" ht="15" hidden="false" customHeight="false" outlineLevel="0" collapsed="false">
      <c r="B314" s="32" t="s">
        <v>310</v>
      </c>
    </row>
    <row r="315" customFormat="false" ht="15" hidden="false" customHeight="false" outlineLevel="0" collapsed="false">
      <c r="C315" s="182" t="s">
        <v>311</v>
      </c>
      <c r="D315" s="182"/>
      <c r="E315" s="182"/>
      <c r="F315" s="182"/>
      <c r="G315" s="182"/>
      <c r="H315" s="182"/>
      <c r="I315" s="182" t="s">
        <v>312</v>
      </c>
      <c r="J315" s="182"/>
      <c r="K315" s="182"/>
      <c r="L315" s="182"/>
      <c r="M315" s="182"/>
      <c r="N315" s="182"/>
      <c r="O315" s="182" t="s">
        <v>313</v>
      </c>
      <c r="P315" s="182"/>
      <c r="Q315" s="182"/>
      <c r="R315" s="182"/>
      <c r="S315" s="182"/>
      <c r="T315" s="182"/>
    </row>
    <row r="316" customFormat="false" ht="15" hidden="false" customHeight="false" outlineLevel="0" collapsed="false">
      <c r="B316" s="161" t="s">
        <v>294</v>
      </c>
      <c r="C316" s="112" t="s">
        <v>156</v>
      </c>
      <c r="D316" s="183" t="s">
        <v>122</v>
      </c>
      <c r="E316" s="184" t="s">
        <v>123</v>
      </c>
      <c r="F316" s="185" t="s">
        <v>124</v>
      </c>
      <c r="G316" s="186" t="s">
        <v>125</v>
      </c>
      <c r="H316" s="187" t="s">
        <v>126</v>
      </c>
      <c r="I316" s="112" t="s">
        <v>156</v>
      </c>
      <c r="J316" s="183" t="s">
        <v>122</v>
      </c>
      <c r="K316" s="184" t="s">
        <v>123</v>
      </c>
      <c r="L316" s="185" t="s">
        <v>124</v>
      </c>
      <c r="M316" s="186" t="s">
        <v>125</v>
      </c>
      <c r="N316" s="187" t="s">
        <v>126</v>
      </c>
      <c r="O316" s="112" t="s">
        <v>156</v>
      </c>
      <c r="P316" s="183" t="s">
        <v>122</v>
      </c>
      <c r="Q316" s="184" t="s">
        <v>123</v>
      </c>
      <c r="R316" s="185" t="s">
        <v>124</v>
      </c>
      <c r="S316" s="186" t="s">
        <v>125</v>
      </c>
      <c r="T316" s="188" t="s">
        <v>126</v>
      </c>
    </row>
    <row r="317" customFormat="false" ht="15" hidden="false" customHeight="false" outlineLevel="0" collapsed="false">
      <c r="B317" s="71" t="s">
        <v>132</v>
      </c>
      <c r="C317" s="189" t="n">
        <f aca="false">SUM(D317:H317)</f>
        <v>81811.424475</v>
      </c>
      <c r="D317" s="76" t="n">
        <f aca="false">$E$60</f>
        <v>23008.1742</v>
      </c>
      <c r="E317" s="76" t="n">
        <f aca="false">$E$61</f>
        <v>13519.907775</v>
      </c>
      <c r="F317" s="76" t="n">
        <f aca="false">$E$62</f>
        <v>21288.22575</v>
      </c>
      <c r="G317" s="76" t="n">
        <f aca="false">$E$63</f>
        <v>14046.003675</v>
      </c>
      <c r="H317" s="76" t="n">
        <f aca="false">$E$64</f>
        <v>9949.113075</v>
      </c>
      <c r="I317" s="189" t="n">
        <f aca="false">SUM(J317:N317)</f>
        <v>81811.424475</v>
      </c>
      <c r="J317" s="76" t="n">
        <f aca="false">$E$60</f>
        <v>23008.1742</v>
      </c>
      <c r="K317" s="76" t="n">
        <f aca="false">$E$61</f>
        <v>13519.907775</v>
      </c>
      <c r="L317" s="76" t="n">
        <f aca="false">$E$62</f>
        <v>21288.22575</v>
      </c>
      <c r="M317" s="76" t="n">
        <f aca="false">$E$63</f>
        <v>14046.003675</v>
      </c>
      <c r="N317" s="76" t="n">
        <f aca="false">$E$64</f>
        <v>9949.113075</v>
      </c>
      <c r="O317" s="189" t="n">
        <f aca="false">SUM(P317:T317)</f>
        <v>81811.424475</v>
      </c>
      <c r="P317" s="76" t="n">
        <f aca="false">$E$60</f>
        <v>23008.1742</v>
      </c>
      <c r="Q317" s="76" t="n">
        <f aca="false">$E$61</f>
        <v>13519.907775</v>
      </c>
      <c r="R317" s="76" t="n">
        <f aca="false">$E$62</f>
        <v>21288.22575</v>
      </c>
      <c r="S317" s="76" t="n">
        <f aca="false">$E$63</f>
        <v>14046.003675</v>
      </c>
      <c r="T317" s="79" t="n">
        <f aca="false">$E$64</f>
        <v>9949.113075</v>
      </c>
    </row>
    <row r="318" customFormat="false" ht="15" hidden="false" customHeight="false" outlineLevel="0" collapsed="false">
      <c r="B318" s="71" t="s">
        <v>22</v>
      </c>
      <c r="C318" s="164" t="n">
        <f aca="false">SUM(D318:H318)</f>
        <v>470945.0654896</v>
      </c>
      <c r="D318" s="157" t="n">
        <f aca="false">SUMIF($D$67:$W$67,"시니어 레지던스",$D$289:$W$289)</f>
        <v>139129.0519185</v>
      </c>
      <c r="E318" s="157" t="n">
        <f aca="false">SUMIF($D$67:$W$67,"레지던스",$D$289:$W$289)</f>
        <v>82690.0065888</v>
      </c>
      <c r="F318" s="157" t="n">
        <f aca="false">SUMIF($D$67:$W$67,"호텔",$D$289:$W$289)</f>
        <v>125338.9725261</v>
      </c>
      <c r="G318" s="157" t="n">
        <f aca="false">SUMIF($D$67:$W$67,"오피스",$D$289:$W$289)</f>
        <v>78811.0152636</v>
      </c>
      <c r="H318" s="157" t="n">
        <f aca="false">SUMIF($D$67:$W$67,"부대시설",$D$289:$W$289)</f>
        <v>44976.0191926</v>
      </c>
      <c r="I318" s="164" t="n">
        <f aca="false">$Y$289+$Z$289</f>
        <v>125893.927318895</v>
      </c>
      <c r="J318" s="157" t="n">
        <f aca="false">$I318*D$317/$C$317</f>
        <v>35405.6836079222</v>
      </c>
      <c r="K318" s="157" t="n">
        <f aca="false">$I318*E$317/$C$317</f>
        <v>20804.848439036</v>
      </c>
      <c r="L318" s="157" t="n">
        <f aca="false">$I318*F$317/$C$317</f>
        <v>32758.9742204978</v>
      </c>
      <c r="M318" s="157" t="n">
        <f aca="false">$I318*G$317/$C$317</f>
        <v>21614.420933616</v>
      </c>
      <c r="N318" s="157" t="n">
        <f aca="false">$I318*H$317/$C$317</f>
        <v>15310.000117823</v>
      </c>
      <c r="O318" s="164" t="n">
        <f aca="false">SUM(P318:T318)</f>
        <v>596838.992808495</v>
      </c>
      <c r="P318" s="157" t="n">
        <f aca="false">D318+J318</f>
        <v>174534.735526422</v>
      </c>
      <c r="Q318" s="157" t="n">
        <f aca="false">E318+K318</f>
        <v>103494.855027836</v>
      </c>
      <c r="R318" s="157" t="n">
        <f aca="false">F318+L318</f>
        <v>158097.946746598</v>
      </c>
      <c r="S318" s="157" t="n">
        <f aca="false">G318+M318</f>
        <v>100425.436197216</v>
      </c>
      <c r="T318" s="137" t="n">
        <f aca="false">H318+N318</f>
        <v>60286.019310423</v>
      </c>
    </row>
    <row r="319" customFormat="false" ht="15" hidden="false" customHeight="false" outlineLevel="0" collapsed="false">
      <c r="B319" s="71" t="s">
        <v>295</v>
      </c>
      <c r="C319" s="164" t="n">
        <f aca="false">SUM(D319:H319)</f>
        <v>24798.555628</v>
      </c>
      <c r="D319" s="157" t="n">
        <f aca="false">SUMIF($D$67:$W$67,"시니어 레지던스",$D$290:$W$290)</f>
        <v>6974.220568</v>
      </c>
      <c r="E319" s="157" t="n">
        <f aca="false">SUMIF($D$67:$W$67,"레지던스",$D$290:$W$290)</f>
        <v>4098.064432</v>
      </c>
      <c r="F319" s="157" t="n">
        <f aca="false">SUMIF($D$67:$W$67,"호텔",$D$290:$W$290)</f>
        <v>6452.881344</v>
      </c>
      <c r="G319" s="157" t="n">
        <f aca="false">SUMIF($D$67:$W$67,"오피스",$D$290:$W$290)</f>
        <v>4257.619114</v>
      </c>
      <c r="H319" s="157" t="n">
        <f aca="false">SUMIF($D$67:$W$67,"부대시설",$D$290:$W$290)</f>
        <v>3015.77017</v>
      </c>
      <c r="I319" s="164" t="n">
        <f aca="false">$Y$290+$Z$290</f>
        <v>9676.778645765</v>
      </c>
      <c r="J319" s="157" t="n">
        <f aca="false">$I319*D$317/$C$317</f>
        <v>2721.44153711243</v>
      </c>
      <c r="K319" s="157" t="n">
        <f aca="false">$I319*E$317/$C$317</f>
        <v>1599.15507753824</v>
      </c>
      <c r="L319" s="157" t="n">
        <f aca="false">$I319*F$317/$C$317</f>
        <v>2518.00344103255</v>
      </c>
      <c r="M319" s="157" t="n">
        <f aca="false">$I319*G$317/$C$317</f>
        <v>1661.38249386076</v>
      </c>
      <c r="N319" s="157" t="n">
        <f aca="false">$I319*H$317/$C$317</f>
        <v>1176.79609622103</v>
      </c>
      <c r="O319" s="164" t="n">
        <f aca="false">SUM(P319:T319)</f>
        <v>34475.334273765</v>
      </c>
      <c r="P319" s="157" t="n">
        <f aca="false">D319+J319</f>
        <v>9695.66210511243</v>
      </c>
      <c r="Q319" s="157" t="n">
        <f aca="false">E319+K319</f>
        <v>5697.21950953824</v>
      </c>
      <c r="R319" s="157" t="n">
        <f aca="false">F319+L319</f>
        <v>8970.88478503255</v>
      </c>
      <c r="S319" s="157" t="n">
        <f aca="false">G319+M319</f>
        <v>5919.00160786076</v>
      </c>
      <c r="T319" s="137" t="n">
        <f aca="false">H319+N319</f>
        <v>4192.56626622103</v>
      </c>
    </row>
    <row r="320" customFormat="false" ht="15" hidden="false" customHeight="false" outlineLevel="0" collapsed="false">
      <c r="B320" s="71" t="s">
        <v>296</v>
      </c>
      <c r="C320" s="164" t="n">
        <f aca="false">SUM(D320:H320)</f>
        <v>315029.1045658</v>
      </c>
      <c r="D320" s="157" t="n">
        <f aca="false">SUMIF($D$67:$W$67,"시니어 레지던스",$D$291:$W$291)</f>
        <v>68636.067594</v>
      </c>
      <c r="E320" s="157" t="n">
        <f aca="false">SUMIF($D$67:$W$67,"레지던스",$D$291:$W$291)</f>
        <v>96047.0300448</v>
      </c>
      <c r="F320" s="157" t="n">
        <f aca="false">SUMIF($D$67:$W$67,"호텔",$D$291:$W$291)</f>
        <v>113368.9984882</v>
      </c>
      <c r="G320" s="157" t="n">
        <f aca="false">SUMIF($D$67:$W$67,"오피스",$D$291:$W$291)</f>
        <v>12124.0099298</v>
      </c>
      <c r="H320" s="157" t="n">
        <f aca="false">SUMIF($D$67:$W$67,"부대시설",$D$291:$W$291)</f>
        <v>24852.998509</v>
      </c>
      <c r="I320" s="164" t="n">
        <f aca="false">$Y$291+$Z$291</f>
        <v>0</v>
      </c>
      <c r="J320" s="157" t="n">
        <f aca="false">$I320*D$317/$C$317</f>
        <v>0</v>
      </c>
      <c r="K320" s="157" t="n">
        <f aca="false">$I320*E$317/$C$317</f>
        <v>0</v>
      </c>
      <c r="L320" s="157" t="n">
        <f aca="false">$I320*F$317/$C$317</f>
        <v>0</v>
      </c>
      <c r="M320" s="157" t="n">
        <f aca="false">$I320*G$317/$C$317</f>
        <v>0</v>
      </c>
      <c r="N320" s="157" t="n">
        <f aca="false">$I320*H$317/$C$317</f>
        <v>0</v>
      </c>
      <c r="O320" s="164" t="n">
        <f aca="false">SUM(P320:T320)</f>
        <v>315029.1045658</v>
      </c>
      <c r="P320" s="157" t="n">
        <f aca="false">D320+J320</f>
        <v>68636.067594</v>
      </c>
      <c r="Q320" s="157" t="n">
        <f aca="false">E320+K320</f>
        <v>96047.0300448</v>
      </c>
      <c r="R320" s="157" t="n">
        <f aca="false">F320+L320</f>
        <v>113368.9984882</v>
      </c>
      <c r="S320" s="157" t="n">
        <f aca="false">G320+M320</f>
        <v>12124.0099298</v>
      </c>
      <c r="T320" s="137" t="n">
        <f aca="false">H320+N320</f>
        <v>24852.998509</v>
      </c>
    </row>
    <row r="321" customFormat="false" ht="15" hidden="false" customHeight="false" outlineLevel="0" collapsed="false">
      <c r="B321" s="64" t="s">
        <v>297</v>
      </c>
      <c r="C321" s="164" t="n">
        <f aca="false">SUM(D321:H321)</f>
        <v>39526.035727</v>
      </c>
      <c r="D321" s="157" t="n">
        <f aca="false">SUMIF($D$67:$W$67,"시니어 레지던스",$D$292:$W$292)</f>
        <v>8327.001447</v>
      </c>
      <c r="E321" s="157" t="n">
        <f aca="false">SUMIF($D$67:$W$67,"레지던스",$D$292:$W$292)</f>
        <v>5499.03428</v>
      </c>
      <c r="F321" s="157" t="n">
        <f aca="false">SUMIF($D$67:$W$67,"호텔",$D$292:$W$292)</f>
        <v>25700</v>
      </c>
      <c r="G321" s="157" t="n">
        <f aca="false">SUMIF($D$67:$W$67,"오피스",$D$292:$W$292)</f>
        <v>0</v>
      </c>
      <c r="H321" s="157" t="n">
        <f aca="false">SUMIF($D$67:$W$67,"부대시설",$D$292:$W$292)</f>
        <v>0</v>
      </c>
      <c r="I321" s="164" t="n">
        <f aca="false">$Y$292+$Z$292</f>
        <v>0</v>
      </c>
      <c r="J321" s="157" t="n">
        <f aca="false">$I321*D$317/$C$317</f>
        <v>0</v>
      </c>
      <c r="K321" s="157" t="n">
        <f aca="false">$I321*E$317/$C$317</f>
        <v>0</v>
      </c>
      <c r="L321" s="157" t="n">
        <f aca="false">$I321*F$317/$C$317</f>
        <v>0</v>
      </c>
      <c r="M321" s="157" t="n">
        <f aca="false">$I321*G$317/$C$317</f>
        <v>0</v>
      </c>
      <c r="N321" s="157" t="n">
        <f aca="false">$I321*H$317/$C$317</f>
        <v>0</v>
      </c>
      <c r="O321" s="164" t="n">
        <f aca="false">SUM(P321:T321)</f>
        <v>39526.035727</v>
      </c>
      <c r="P321" s="157" t="n">
        <f aca="false">D321+J321</f>
        <v>8327.001447</v>
      </c>
      <c r="Q321" s="157" t="n">
        <f aca="false">E321+K321</f>
        <v>5499.03428</v>
      </c>
      <c r="R321" s="157" t="n">
        <f aca="false">F321+L321</f>
        <v>25700</v>
      </c>
      <c r="S321" s="157" t="n">
        <f aca="false">G321+M321</f>
        <v>0</v>
      </c>
      <c r="T321" s="137" t="n">
        <f aca="false">H321+N321</f>
        <v>0</v>
      </c>
    </row>
    <row r="322" customFormat="false" ht="15" hidden="false" customHeight="false" outlineLevel="0" collapsed="false">
      <c r="B322" s="71" t="s">
        <v>298</v>
      </c>
      <c r="C322" s="164" t="n">
        <f aca="false">SUM(D322:H322)</f>
        <v>5296.3218</v>
      </c>
      <c r="D322" s="157" t="n">
        <f aca="false">SUMIF($D$67:$W$67,"시니어 레지던스",$D$293:$W$293)</f>
        <v>1489.5108</v>
      </c>
      <c r="E322" s="157" t="n">
        <f aca="false">SUMIF($D$67:$W$67,"레지던스",$D$293:$W$293)</f>
        <v>875.2392</v>
      </c>
      <c r="F322" s="157" t="n">
        <f aca="false">SUMIF($D$67:$W$67,"호텔",$D$293:$W$293)</f>
        <v>1378.1664</v>
      </c>
      <c r="G322" s="157" t="n">
        <f aca="false">SUMIF($D$67:$W$67,"오피스",$D$293:$W$293)</f>
        <v>909.3159</v>
      </c>
      <c r="H322" s="157" t="n">
        <f aca="false">SUMIF($D$67:$W$67,"부대시설",$D$293:$W$293)</f>
        <v>644.0895</v>
      </c>
      <c r="I322" s="164" t="n">
        <f aca="false">$Y$293+$Z$293</f>
        <v>2066.70640275</v>
      </c>
      <c r="J322" s="157" t="n">
        <f aca="false">$I322*D$317/$C$317</f>
        <v>581.228614950447</v>
      </c>
      <c r="K322" s="157" t="n">
        <f aca="false">$I322*E$317/$C$317</f>
        <v>341.537629279642</v>
      </c>
      <c r="L322" s="157" t="n">
        <f aca="false">$I322*F$317/$C$317</f>
        <v>537.779567377621</v>
      </c>
      <c r="M322" s="157" t="n">
        <f aca="false">$I322*G$317/$C$317</f>
        <v>354.82777514824</v>
      </c>
      <c r="N322" s="157" t="n">
        <f aca="false">$I322*H$317/$C$317</f>
        <v>251.332815994049</v>
      </c>
      <c r="O322" s="164" t="n">
        <f aca="false">SUM(P322:T322)</f>
        <v>7363.02820275</v>
      </c>
      <c r="P322" s="157" t="n">
        <f aca="false">D322+J322</f>
        <v>2070.73941495045</v>
      </c>
      <c r="Q322" s="157" t="n">
        <f aca="false">E322+K322</f>
        <v>1216.77682927964</v>
      </c>
      <c r="R322" s="157" t="n">
        <f aca="false">F322+L322</f>
        <v>1915.94596737762</v>
      </c>
      <c r="S322" s="157" t="n">
        <f aca="false">G322+M322</f>
        <v>1264.14367514824</v>
      </c>
      <c r="T322" s="137" t="n">
        <f aca="false">H322+N322</f>
        <v>895.422315994049</v>
      </c>
    </row>
    <row r="323" customFormat="false" ht="15" hidden="false" customHeight="false" outlineLevel="0" collapsed="false">
      <c r="B323" s="71" t="s">
        <v>299</v>
      </c>
      <c r="C323" s="164" t="n">
        <f aca="false">SUM(D323:H323)</f>
        <v>25262.8133960614</v>
      </c>
      <c r="D323" s="157" t="n">
        <f aca="false">SUMIF($D$67:$W$67,"시니어 레지던스",$D$294:$W$294)</f>
        <v>5321.97370016175</v>
      </c>
      <c r="E323" s="157" t="n">
        <f aca="false">SUMIF($D$67:$W$67,"레지던스",$D$294:$W$294)</f>
        <v>5979.01623564096</v>
      </c>
      <c r="F323" s="157" t="n">
        <f aca="false">SUMIF($D$67:$W$67,"호텔",$D$294:$W$294)</f>
        <v>8602.75299276228</v>
      </c>
      <c r="G323" s="157" t="n">
        <f aca="false">SUMIF($D$67:$W$67,"오피스",$D$294:$W$294)</f>
        <v>3036.82194255384</v>
      </c>
      <c r="H323" s="157" t="n">
        <f aca="false">SUMIF($D$67:$W$67,"부대시설",$D$294:$W$294)</f>
        <v>2322.24852494256</v>
      </c>
      <c r="I323" s="164" t="n">
        <f aca="false">$Y$294+$Z$294</f>
        <v>4349.34223081015</v>
      </c>
      <c r="J323" s="157" t="n">
        <f aca="false">$I323*D$317/$C$317</f>
        <v>1223.18397881553</v>
      </c>
      <c r="K323" s="157" t="n">
        <f aca="false">$I323*E$317/$C$317</f>
        <v>718.759100208981</v>
      </c>
      <c r="L323" s="157" t="n">
        <f aca="false">$I323*F$317/$C$317</f>
        <v>1131.74632843349</v>
      </c>
      <c r="M323" s="157" t="n">
        <f aca="false">$I323*G$317/$C$317</f>
        <v>746.727946002949</v>
      </c>
      <c r="N323" s="157" t="n">
        <f aca="false">$I323*H$317/$C$317</f>
        <v>528.924877349203</v>
      </c>
      <c r="O323" s="164" t="n">
        <f aca="false">SUM(P323:T323)</f>
        <v>29612.1556268715</v>
      </c>
      <c r="P323" s="157" t="n">
        <f aca="false">D323+J323</f>
        <v>6545.15767897728</v>
      </c>
      <c r="Q323" s="157" t="n">
        <f aca="false">E323+K323</f>
        <v>6697.77533584994</v>
      </c>
      <c r="R323" s="157" t="n">
        <f aca="false">F323+L323</f>
        <v>9734.49932119577</v>
      </c>
      <c r="S323" s="157" t="n">
        <f aca="false">G323+M323</f>
        <v>3783.54988855679</v>
      </c>
      <c r="T323" s="137" t="n">
        <f aca="false">H323+N323</f>
        <v>2851.17340229176</v>
      </c>
    </row>
    <row r="324" customFormat="false" ht="15" hidden="false" customHeight="false" outlineLevel="0" collapsed="false">
      <c r="B324" s="71" t="s">
        <v>300</v>
      </c>
      <c r="C324" s="164" t="n">
        <f aca="false">SUM(D324:H324)</f>
        <v>81695.8955295859</v>
      </c>
      <c r="D324" s="157" t="n">
        <f aca="false">SUMIF($D$67:$W$67,"시니어 레지던스",$D$295:$W$295)</f>
        <v>21596.9359486608</v>
      </c>
      <c r="E324" s="157" t="n">
        <f aca="false">SUMIF($D$67:$W$67,"레지던스",$D$295:$W$295)</f>
        <v>18128.3075889185</v>
      </c>
      <c r="F324" s="157" t="n">
        <f aca="false">SUMIF($D$67:$W$67,"호텔",$D$295:$W$295)</f>
        <v>25814.8866009739</v>
      </c>
      <c r="G324" s="157" t="n">
        <f aca="false">SUMIF($D$67:$W$67,"오피스",$D$295:$W$295)</f>
        <v>9180.13672840829</v>
      </c>
      <c r="H324" s="157" t="n">
        <f aca="false">SUMIF($D$67:$W$67,"부대시설",$D$295:$W$295)</f>
        <v>6975.62866262437</v>
      </c>
      <c r="I324" s="164" t="n">
        <f aca="false">$Y$295+$Z$295</f>
        <v>13809.7868054142</v>
      </c>
      <c r="J324" s="157" t="n">
        <f aca="false">IFERROR($I324*D$317*$D$38/$I$39,0)</f>
        <v>3883.78496674294</v>
      </c>
      <c r="K324" s="157" t="n">
        <f aca="false">IFERROR($I324*E$317*$E$38/$I$39,0)</f>
        <v>2282.16346555199</v>
      </c>
      <c r="L324" s="157" t="n">
        <f aca="false">IFERROR($I324*F$317*$F$38/$I$39,0)</f>
        <v>3593.45728252005</v>
      </c>
      <c r="M324" s="157" t="n">
        <f aca="false">IFERROR($I324*G$317*$G$38/$I$39,0)</f>
        <v>2370.9685714993</v>
      </c>
      <c r="N324" s="157" t="n">
        <f aca="false">IFERROR($I324*H$317*$H$38/$I$39,0)</f>
        <v>1679.41251909987</v>
      </c>
      <c r="O324" s="164" t="n">
        <f aca="false">SUM(P324:T324)</f>
        <v>95505.682335</v>
      </c>
      <c r="P324" s="157" t="n">
        <f aca="false">D324+J324</f>
        <v>25480.7209154037</v>
      </c>
      <c r="Q324" s="157" t="n">
        <f aca="false">E324+K324</f>
        <v>20410.4710544705</v>
      </c>
      <c r="R324" s="157" t="n">
        <f aca="false">F324+L324</f>
        <v>29408.3438834939</v>
      </c>
      <c r="S324" s="157" t="n">
        <f aca="false">G324+M324</f>
        <v>11551.1052999076</v>
      </c>
      <c r="T324" s="137" t="n">
        <f aca="false">H324+N324</f>
        <v>8655.04118172424</v>
      </c>
    </row>
    <row r="325" customFormat="false" ht="15" hidden="false" customHeight="false" outlineLevel="0" collapsed="false">
      <c r="B325" s="71" t="s">
        <v>301</v>
      </c>
      <c r="C325" s="164" t="n">
        <f aca="false">SUM(D325:H325)</f>
        <v>30000</v>
      </c>
      <c r="D325" s="157" t="n">
        <f aca="false">SUMIF($D$67:$W$67,"시니어 레지던스",$D$296:$W$296)</f>
        <v>10000</v>
      </c>
      <c r="E325" s="157" t="n">
        <f aca="false">SUMIF($D$67:$W$67,"레지던스",$D$296:$W$296)</f>
        <v>10000</v>
      </c>
      <c r="F325" s="157" t="n">
        <f aca="false">SUMIF($D$67:$W$67,"호텔",$D$296:$W$296)</f>
        <v>10000</v>
      </c>
      <c r="G325" s="157" t="n">
        <f aca="false">SUMIF($D$67:$W$67,"오피스",$D$296:$W$296)</f>
        <v>0</v>
      </c>
      <c r="H325" s="157" t="n">
        <f aca="false">SUMIF($D$67:$W$67,"부대시설",$D$296:$W$296)</f>
        <v>0</v>
      </c>
      <c r="I325" s="164" t="n">
        <f aca="false">$Y$296+$Z$296</f>
        <v>0</v>
      </c>
      <c r="J325" s="157" t="n">
        <f aca="false">$I325*D$317/$C$317</f>
        <v>0</v>
      </c>
      <c r="K325" s="157" t="n">
        <f aca="false">$I325*E$317/$C$317</f>
        <v>0</v>
      </c>
      <c r="L325" s="157" t="n">
        <f aca="false">$I325*F$317/$C$317</f>
        <v>0</v>
      </c>
      <c r="M325" s="157" t="n">
        <f aca="false">$I325*G$317/$C$317</f>
        <v>0</v>
      </c>
      <c r="N325" s="157" t="n">
        <f aca="false">$I325*H$317/$C$317</f>
        <v>0</v>
      </c>
      <c r="O325" s="164" t="n">
        <f aca="false">SUM(P325:T325)</f>
        <v>30000</v>
      </c>
      <c r="P325" s="157" t="n">
        <f aca="false">D325+J325</f>
        <v>10000</v>
      </c>
      <c r="Q325" s="157" t="n">
        <f aca="false">E325+K325</f>
        <v>10000</v>
      </c>
      <c r="R325" s="157" t="n">
        <f aca="false">F325+L325</f>
        <v>10000</v>
      </c>
      <c r="S325" s="157" t="n">
        <f aca="false">G325+M325</f>
        <v>0</v>
      </c>
      <c r="T325" s="137" t="n">
        <f aca="false">H325+N325</f>
        <v>0</v>
      </c>
    </row>
    <row r="326" customFormat="false" ht="15" hidden="false" customHeight="false" outlineLevel="0" collapsed="false">
      <c r="B326" s="71" t="s">
        <v>302</v>
      </c>
      <c r="C326" s="164" t="n">
        <f aca="false">SUM(D326:H326)</f>
        <v>3829.62233564018</v>
      </c>
      <c r="D326" s="157" t="n">
        <f aca="false">SUMIF($D$67:$W$67,"시니어 레지던스",$D$297:$W$297)</f>
        <v>1077.0236485361</v>
      </c>
      <c r="E326" s="157" t="n">
        <f aca="false">SUMIF($D$67:$W$67,"레지던스",$D$297:$W$297)</f>
        <v>632.861014855224</v>
      </c>
      <c r="F326" s="157" t="n">
        <f aca="false">SUMIF($D$67:$W$67,"호텔",$D$297:$W$297)</f>
        <v>996.513623411029</v>
      </c>
      <c r="G326" s="157" t="n">
        <f aca="false">SUMIF($D$67:$W$67,"오피스",$D$297:$W$297)</f>
        <v>657.500924659215</v>
      </c>
      <c r="H326" s="157" t="n">
        <f aca="false">SUMIF($D$67:$W$67,"부대시설",$D$297:$W$297)</f>
        <v>465.723124178617</v>
      </c>
      <c r="I326" s="164" t="n">
        <f aca="false">$Y$297+$Z$297</f>
        <v>1494.37766435982</v>
      </c>
      <c r="J326" s="157" t="n">
        <f aca="false">$I326*D$317/$C$317</f>
        <v>420.270174279712</v>
      </c>
      <c r="K326" s="157" t="n">
        <f aca="false">$I326*E$317/$C$317</f>
        <v>246.956318543733</v>
      </c>
      <c r="L326" s="157" t="n">
        <f aca="false">$I326*F$317/$C$317</f>
        <v>388.853381771525</v>
      </c>
      <c r="M326" s="157" t="n">
        <f aca="false">$I326*G$317/$C$317</f>
        <v>256.566051748067</v>
      </c>
      <c r="N326" s="157" t="n">
        <f aca="false">$I326*H$317/$C$317</f>
        <v>181.731738016779</v>
      </c>
      <c r="O326" s="164" t="n">
        <f aca="false">SUM(P326:T326)</f>
        <v>5324</v>
      </c>
      <c r="P326" s="157" t="n">
        <f aca="false">D326+J326</f>
        <v>1497.29382281581</v>
      </c>
      <c r="Q326" s="157" t="n">
        <f aca="false">E326+K326</f>
        <v>879.817333398956</v>
      </c>
      <c r="R326" s="157" t="n">
        <f aca="false">F326+L326</f>
        <v>1385.36700518255</v>
      </c>
      <c r="S326" s="157" t="n">
        <f aca="false">G326+M326</f>
        <v>914.066976407281</v>
      </c>
      <c r="T326" s="137" t="n">
        <f aca="false">H326+N326</f>
        <v>647.454862195397</v>
      </c>
    </row>
    <row r="327" customFormat="false" ht="15" hidden="false" customHeight="false" outlineLevel="0" collapsed="false">
      <c r="B327" s="71" t="s">
        <v>303</v>
      </c>
      <c r="C327" s="164" t="n">
        <f aca="false">SUM(D327:H327)</f>
        <v>21579.3895697231</v>
      </c>
      <c r="D327" s="157" t="n">
        <f aca="false">SUMIF($D$67:$W$67,"시니어 레지던스",$D$298:$W$298)</f>
        <v>6068.87856049643</v>
      </c>
      <c r="E327" s="157" t="n">
        <f aca="false">SUMIF($D$67:$W$67,"레지던스",$D$298:$W$298)</f>
        <v>3566.08385530742</v>
      </c>
      <c r="F327" s="157" t="n">
        <f aca="false">SUMIF($D$67:$W$67,"호텔",$D$298:$W$298)</f>
        <v>5615.21575926575</v>
      </c>
      <c r="G327" s="157" t="n">
        <f aca="false">SUMIF($D$67:$W$67,"오피스",$D$298:$W$298)</f>
        <v>3704.92632227206</v>
      </c>
      <c r="H327" s="157" t="n">
        <f aca="false">SUMIF($D$67:$W$67,"부대시설",$D$298:$W$298)</f>
        <v>2624.28507238139</v>
      </c>
      <c r="I327" s="164" t="n">
        <f aca="false">$Y$298+$Z$298</f>
        <v>8420.61043027695</v>
      </c>
      <c r="J327" s="157" t="n">
        <f aca="false">$I327*D$317/$C$317</f>
        <v>2368.16401735375</v>
      </c>
      <c r="K327" s="157" t="n">
        <f aca="false">$I327*E$317/$C$317</f>
        <v>1391.56452973553</v>
      </c>
      <c r="L327" s="157" t="n">
        <f aca="false">$I327*F$317/$C$317</f>
        <v>2191.13475829184</v>
      </c>
      <c r="M327" s="157" t="n">
        <f aca="false">$I327*G$317/$C$317</f>
        <v>1445.71404065402</v>
      </c>
      <c r="N327" s="157" t="n">
        <f aca="false">$I327*H$317/$C$317</f>
        <v>1024.03308424181</v>
      </c>
      <c r="O327" s="164" t="n">
        <f aca="false">SUM(P327:T327)</f>
        <v>30000</v>
      </c>
      <c r="P327" s="157" t="n">
        <f aca="false">D327+J327</f>
        <v>8437.04257785018</v>
      </c>
      <c r="Q327" s="157" t="n">
        <f aca="false">E327+K327</f>
        <v>4957.64838504296</v>
      </c>
      <c r="R327" s="157" t="n">
        <f aca="false">F327+L327</f>
        <v>7806.3505175576</v>
      </c>
      <c r="S327" s="157" t="n">
        <f aca="false">G327+M327</f>
        <v>5150.64036292608</v>
      </c>
      <c r="T327" s="137" t="n">
        <f aca="false">H327+N327</f>
        <v>3648.3181566232</v>
      </c>
    </row>
    <row r="328" customFormat="false" ht="15" hidden="false" customHeight="false" outlineLevel="0" collapsed="false">
      <c r="B328" s="64" t="s">
        <v>304</v>
      </c>
      <c r="C328" s="164" t="n">
        <f aca="false">SUM(D328:H328)</f>
        <v>28772.5624186</v>
      </c>
      <c r="D328" s="157" t="n">
        <f aca="false">SUMIF($D$67:$W$67,"시니어 레지던스",$D$299:$W$299)</f>
        <v>8091.8501716</v>
      </c>
      <c r="E328" s="157" t="n">
        <f aca="false">SUMIF($D$67:$W$67,"레지던스",$D$299:$W$299)</f>
        <v>4754.7855784</v>
      </c>
      <c r="F328" s="157" t="n">
        <f aca="false">SUMIF($D$67:$W$67,"호텔",$D$299:$W$299)</f>
        <v>7486.9655328</v>
      </c>
      <c r="G328" s="157" t="n">
        <f aca="false">SUMIF($D$67:$W$67,"오피스",$D$299:$W$299)</f>
        <v>4939.9091443</v>
      </c>
      <c r="H328" s="157" t="n">
        <f aca="false">SUMIF($D$67:$W$67,"부대시설",$D$299:$W$299)</f>
        <v>3499.0519915</v>
      </c>
      <c r="I328" s="164" t="n">
        <f aca="false">$Y$299+$Z$299</f>
        <v>11227.4973499617</v>
      </c>
      <c r="J328" s="157" t="n">
        <f aca="false">$I328*D$317/$C$317</f>
        <v>3157.55674119691</v>
      </c>
      <c r="K328" s="157" t="n">
        <f aca="false">$I328*E$317/$C$317</f>
        <v>1855.42214537439</v>
      </c>
      <c r="L328" s="157" t="n">
        <f aca="false">$I328*F$317/$C$317</f>
        <v>2921.51737642156</v>
      </c>
      <c r="M328" s="157" t="n">
        <f aca="false">$I328*G$317/$C$317</f>
        <v>1927.62160114699</v>
      </c>
      <c r="N328" s="157" t="n">
        <f aca="false">$I328*H$317/$C$317</f>
        <v>1365.37948582189</v>
      </c>
      <c r="O328" s="164" t="n">
        <f aca="false">SUM(P328:T328)</f>
        <v>40000.0597685618</v>
      </c>
      <c r="P328" s="157" t="n">
        <f aca="false">D328+J328</f>
        <v>11249.4069127969</v>
      </c>
      <c r="Q328" s="157" t="n">
        <f aca="false">E328+K328</f>
        <v>6610.20772377439</v>
      </c>
      <c r="R328" s="157" t="n">
        <f aca="false">F328+L328</f>
        <v>10408.4829092216</v>
      </c>
      <c r="S328" s="157" t="n">
        <f aca="false">G328+M328</f>
        <v>6867.53074544699</v>
      </c>
      <c r="T328" s="137" t="n">
        <f aca="false">H328+N328</f>
        <v>4864.43147732189</v>
      </c>
    </row>
    <row r="329" customFormat="false" ht="15" hidden="false" customHeight="false" outlineLevel="0" collapsed="false">
      <c r="B329" s="123" t="s">
        <v>155</v>
      </c>
      <c r="C329" s="159" t="n">
        <f aca="false">SUM(C318:C328)</f>
        <v>1046735.36646001</v>
      </c>
      <c r="D329" s="159" t="n">
        <f aca="false">SUM(D318:D328)</f>
        <v>276712.514356955</v>
      </c>
      <c r="E329" s="159" t="n">
        <f aca="false">SUM(E318:E328)</f>
        <v>232270.428818722</v>
      </c>
      <c r="F329" s="159" t="n">
        <f aca="false">SUM(F318:F328)</f>
        <v>330755.353267513</v>
      </c>
      <c r="G329" s="159" t="n">
        <f aca="false">SUM(G318:G328)</f>
        <v>117621.255269593</v>
      </c>
      <c r="H329" s="159" t="n">
        <f aca="false">SUM(H318:H328)</f>
        <v>89375.814747227</v>
      </c>
      <c r="I329" s="159" t="n">
        <f aca="false">SUM(I318:I328)</f>
        <v>176939.026848233</v>
      </c>
      <c r="J329" s="159" t="n">
        <f aca="false">SUM(J318:J328)</f>
        <v>49761.3136383739</v>
      </c>
      <c r="K329" s="159" t="n">
        <f aca="false">SUM(K318:K328)</f>
        <v>29240.4067052685</v>
      </c>
      <c r="L329" s="159" t="n">
        <f aca="false">SUM(L318:L328)</f>
        <v>46041.4663563464</v>
      </c>
      <c r="M329" s="159" t="n">
        <f aca="false">SUM(M318:M328)</f>
        <v>30378.2294136763</v>
      </c>
      <c r="N329" s="159" t="n">
        <f aca="false">SUM(N318:N328)</f>
        <v>21517.6107345676</v>
      </c>
      <c r="O329" s="159" t="n">
        <f aca="false">SUM(O318:O328)</f>
        <v>1223674.39330824</v>
      </c>
      <c r="P329" s="159" t="n">
        <f aca="false">SUM(P318:P328)</f>
        <v>326473.827995329</v>
      </c>
      <c r="Q329" s="159" t="n">
        <f aca="false">SUM(Q318:Q328)</f>
        <v>261510.835523991</v>
      </c>
      <c r="R329" s="159" t="n">
        <f aca="false">SUM(R318:R328)</f>
        <v>376796.819623859</v>
      </c>
      <c r="S329" s="159" t="n">
        <f aca="false">SUM(S318:S328)</f>
        <v>147999.48468327</v>
      </c>
      <c r="T329" s="160" t="n">
        <f aca="false">SUM(T318:T328)</f>
        <v>110893.425481795</v>
      </c>
    </row>
    <row r="330" customFormat="false" ht="15" hidden="false" customHeight="false" outlineLevel="0" collapsed="false">
      <c r="O330" s="98" t="b">
        <f aca="false">ABS(O329-$C$300)&lt;1</f>
        <v>1</v>
      </c>
    </row>
    <row r="332" customFormat="false" ht="15" hidden="false" customHeight="false" outlineLevel="0" collapsed="false">
      <c r="B332" s="87" t="s">
        <v>314</v>
      </c>
    </row>
    <row r="333" customFormat="false" ht="15" hidden="false" customHeight="false" outlineLevel="0" collapsed="false">
      <c r="C333" s="182" t="s">
        <v>315</v>
      </c>
      <c r="D333" s="182"/>
      <c r="E333" s="182"/>
      <c r="F333" s="182"/>
      <c r="G333" s="182"/>
      <c r="H333" s="182"/>
      <c r="K333" s="182" t="s">
        <v>316</v>
      </c>
      <c r="L333" s="182"/>
      <c r="M333" s="182"/>
      <c r="N333" s="182"/>
      <c r="O333" s="182"/>
      <c r="P333" s="182"/>
    </row>
    <row r="334" customFormat="false" ht="15" hidden="false" customHeight="false" outlineLevel="0" collapsed="false">
      <c r="B334" s="161" t="s">
        <v>294</v>
      </c>
      <c r="C334" s="112" t="s">
        <v>156</v>
      </c>
      <c r="D334" s="183" t="s">
        <v>122</v>
      </c>
      <c r="E334" s="184" t="s">
        <v>123</v>
      </c>
      <c r="F334" s="185" t="s">
        <v>124</v>
      </c>
      <c r="G334" s="186" t="s">
        <v>125</v>
      </c>
      <c r="H334" s="188" t="s">
        <v>126</v>
      </c>
      <c r="J334" s="161" t="s">
        <v>294</v>
      </c>
      <c r="K334" s="112" t="s">
        <v>156</v>
      </c>
      <c r="L334" s="183" t="s">
        <v>122</v>
      </c>
      <c r="M334" s="184" t="s">
        <v>123</v>
      </c>
      <c r="N334" s="185" t="s">
        <v>124</v>
      </c>
      <c r="O334" s="186" t="s">
        <v>125</v>
      </c>
      <c r="P334" s="188" t="s">
        <v>126</v>
      </c>
    </row>
    <row r="335" customFormat="false" ht="15" hidden="false" customHeight="false" outlineLevel="0" collapsed="false">
      <c r="B335" s="71" t="s">
        <v>132</v>
      </c>
      <c r="C335" s="115" t="n">
        <f aca="false">SUM(D335:H335)</f>
        <v>81811.424475</v>
      </c>
      <c r="D335" s="76" t="n">
        <f aca="false">$E$60</f>
        <v>23008.1742</v>
      </c>
      <c r="E335" s="76" t="n">
        <f aca="false">$E$61</f>
        <v>13519.907775</v>
      </c>
      <c r="F335" s="76" t="n">
        <f aca="false">$E$62</f>
        <v>21288.22575</v>
      </c>
      <c r="G335" s="76" t="n">
        <f aca="false">$E$63</f>
        <v>14046.003675</v>
      </c>
      <c r="H335" s="79" t="n">
        <f aca="false">$E$64</f>
        <v>9949.113075</v>
      </c>
      <c r="J335" s="71" t="s">
        <v>132</v>
      </c>
      <c r="K335" s="115" t="n">
        <f aca="false">SUM(L335:P335)</f>
        <v>81811.424475</v>
      </c>
      <c r="L335" s="76" t="n">
        <f aca="false">$E$60</f>
        <v>23008.1742</v>
      </c>
      <c r="M335" s="76" t="n">
        <f aca="false">$E$61</f>
        <v>13519.907775</v>
      </c>
      <c r="N335" s="76" t="n">
        <f aca="false">$E$62</f>
        <v>21288.22575</v>
      </c>
      <c r="O335" s="76" t="n">
        <f aca="false">$E$63</f>
        <v>14046.003675</v>
      </c>
      <c r="P335" s="79" t="n">
        <f aca="false">$E$64</f>
        <v>9949.113075</v>
      </c>
    </row>
    <row r="336" customFormat="false" ht="15" hidden="false" customHeight="false" outlineLevel="0" collapsed="false">
      <c r="B336" s="71" t="s">
        <v>20</v>
      </c>
      <c r="C336" s="163" t="n">
        <f aca="false">SUM(D336:H336)</f>
        <v>237644</v>
      </c>
      <c r="D336" s="157" t="n">
        <f aca="false">IFERROR($R$363*$C$85*$D$38/$I$42,0)</f>
        <v>66833.6309344625</v>
      </c>
      <c r="E336" s="157" t="n">
        <f aca="false">IFERROR($R$363*$C$86*$E$38/$I$42,0)</f>
        <v>39272.3263761763</v>
      </c>
      <c r="F336" s="157" t="n">
        <f aca="false">IFERROR($R$363*$C$87*$F$38/$I$42,0)</f>
        <v>61837.5630616105</v>
      </c>
      <c r="G336" s="157" t="n">
        <f aca="false">IFERROR($R$363*$C$88*$G$38/$I$42,0)</f>
        <v>40800.5180054249</v>
      </c>
      <c r="H336" s="137" t="n">
        <f aca="false">IFERROR($R$363*$C$89*$H$38/$I$42,0)</f>
        <v>28899.9616223257</v>
      </c>
      <c r="J336" s="71" t="s">
        <v>20</v>
      </c>
      <c r="K336" s="163" t="n">
        <f aca="false">SUM(L336:P336)</f>
        <v>237644</v>
      </c>
      <c r="L336" s="157" t="n">
        <f aca="false">IFERROR($R$363*$C$85*$D$38/$I$42,0)</f>
        <v>66833.6309344625</v>
      </c>
      <c r="M336" s="157" t="n">
        <f aca="false">IFERROR($R$363*$C$86*$E$38/$I$42,0)</f>
        <v>39272.3263761763</v>
      </c>
      <c r="N336" s="157" t="n">
        <f aca="false">IFERROR($R$363*$C$87*$F$38/$I$42,0)</f>
        <v>61837.5630616105</v>
      </c>
      <c r="O336" s="157" t="n">
        <f aca="false">IFERROR($R$363*$C$88*$G$38/$I$42,0)</f>
        <v>40800.5180054249</v>
      </c>
      <c r="P336" s="137" t="n">
        <f aca="false">IFERROR($R$363*$C$89*$H$38/$I$42,0)</f>
        <v>28899.9616223257</v>
      </c>
    </row>
    <row r="337" customFormat="false" ht="15" hidden="false" customHeight="false" outlineLevel="0" collapsed="false">
      <c r="B337" s="71" t="s">
        <v>22</v>
      </c>
      <c r="C337" s="163" t="n">
        <f aca="false">SUM(D337:H337)</f>
        <v>614293.139731204</v>
      </c>
      <c r="D337" s="157" t="n">
        <f aca="false">$R$365</f>
        <v>191988.189361247</v>
      </c>
      <c r="E337" s="157" t="n">
        <f aca="false">IFERROR($R$366*$E$61*$E$38/$I$366,0)</f>
        <v>97095.3808714065</v>
      </c>
      <c r="F337" s="157" t="n">
        <f aca="false">IFERROR($R$366*$E$62*$F$38/$I$366,0)</f>
        <v>152884.799339745</v>
      </c>
      <c r="G337" s="157" t="n">
        <f aca="false">IFERROR($R$366*$E$63*$G$38/$I$366,0)</f>
        <v>100873.622752601</v>
      </c>
      <c r="H337" s="137" t="n">
        <f aca="false">IFERROR($R$366*$E$64*$H$38/$I$366,0)</f>
        <v>71451.1474062045</v>
      </c>
      <c r="J337" s="71" t="s">
        <v>22</v>
      </c>
      <c r="K337" s="163" t="n">
        <f aca="false">SUM(L337:P337)</f>
        <v>614293.139731204</v>
      </c>
      <c r="L337" s="157" t="n">
        <f aca="false">$R$365</f>
        <v>191988.189361247</v>
      </c>
      <c r="M337" s="157" t="n">
        <f aca="false">IFERROR($R$366*$E$61*$E$38/$I$366,0)</f>
        <v>97095.3808714065</v>
      </c>
      <c r="N337" s="157" t="n">
        <f aca="false">IFERROR($R$366*$E$62*$F$38/$I$366,0)</f>
        <v>152884.799339745</v>
      </c>
      <c r="O337" s="157" t="n">
        <f aca="false">IFERROR($R$366*$E$63*$G$38/$I$366,0)</f>
        <v>100873.622752601</v>
      </c>
      <c r="P337" s="137" t="n">
        <f aca="false">IFERROR($R$366*$E$64*$H$38/$I$366,0)</f>
        <v>71451.1474062045</v>
      </c>
    </row>
    <row r="338" customFormat="false" ht="15" hidden="false" customHeight="false" outlineLevel="0" collapsed="false">
      <c r="B338" s="71" t="s">
        <v>24</v>
      </c>
      <c r="C338" s="163" t="n">
        <f aca="false">SUM(D338:H338)</f>
        <v>476391.087008823</v>
      </c>
      <c r="D338" s="157" t="n">
        <f aca="false">SUM(D339:D344)</f>
        <v>118414.719537528</v>
      </c>
      <c r="E338" s="157" t="n">
        <f aca="false">SUM(E339:E344)</f>
        <v>82305.1013542197</v>
      </c>
      <c r="F338" s="157" t="n">
        <f aca="false">SUM(F339:F344)</f>
        <v>129596.267013386</v>
      </c>
      <c r="G338" s="157" t="n">
        <f aca="false">SUM(G339:G344)</f>
        <v>85507.8137611495</v>
      </c>
      <c r="H338" s="137" t="n">
        <f aca="false">SUM(H339:H344)</f>
        <v>60567.1853425396</v>
      </c>
      <c r="J338" s="71" t="s">
        <v>24</v>
      </c>
      <c r="K338" s="163" t="n">
        <f aca="false">SUM(L338:P338)</f>
        <v>476391.087008823</v>
      </c>
      <c r="L338" s="157" t="n">
        <f aca="false">SUM(L339:L344)</f>
        <v>118414.719537528</v>
      </c>
      <c r="M338" s="157" t="n">
        <f aca="false">SUM(M339:M344)</f>
        <v>82305.1013542197</v>
      </c>
      <c r="N338" s="157" t="n">
        <f aca="false">SUM(N339:N344)</f>
        <v>129596.267013386</v>
      </c>
      <c r="O338" s="157" t="n">
        <f aca="false">SUM(O339:O344)</f>
        <v>85507.8137611495</v>
      </c>
      <c r="P338" s="137" t="n">
        <f aca="false">SUM(P339:P344)</f>
        <v>60567.1853425396</v>
      </c>
    </row>
    <row r="339" customFormat="false" ht="15" hidden="false" customHeight="false" outlineLevel="0" collapsed="false">
      <c r="B339" s="51" t="s">
        <v>317</v>
      </c>
      <c r="C339" s="163" t="n">
        <f aca="false">SUM(D339:H339)</f>
        <v>35444.898734553</v>
      </c>
      <c r="D339" s="157" t="n">
        <f aca="false">$R$368</f>
        <v>10665.209068668</v>
      </c>
      <c r="E339" s="157" t="n">
        <f aca="false">IFERROR($R$369*$E$61*$E$38/$I$366,0)</f>
        <v>5697.289136385</v>
      </c>
      <c r="F339" s="157" t="n">
        <f aca="false">IFERROR($R$369*$E$62*$F$38/$I$366,0)</f>
        <v>8970.85833105</v>
      </c>
      <c r="G339" s="157" t="n">
        <f aca="false">IFERROR($R$369*$E$63*$G$38/$I$366,0)</f>
        <v>5918.985948645</v>
      </c>
      <c r="H339" s="137" t="n">
        <f aca="false">IFERROR($R$369*$E$64*$H$38/$I$366,0)</f>
        <v>4192.556249805</v>
      </c>
      <c r="J339" s="51" t="s">
        <v>317</v>
      </c>
      <c r="K339" s="163" t="n">
        <f aca="false">SUM(L339:P339)</f>
        <v>35444.898734553</v>
      </c>
      <c r="L339" s="157" t="n">
        <f aca="false">$R$368</f>
        <v>10665.209068668</v>
      </c>
      <c r="M339" s="157" t="n">
        <f aca="false">IFERROR($R$369*$E$61*$E$38/$I$366,0)</f>
        <v>5697.289136385</v>
      </c>
      <c r="N339" s="157" t="n">
        <f aca="false">IFERROR($R$369*$E$62*$F$38/$I$366,0)</f>
        <v>8970.85833105</v>
      </c>
      <c r="O339" s="157" t="n">
        <f aca="false">IFERROR($R$369*$E$63*$G$38/$I$366,0)</f>
        <v>5918.985948645</v>
      </c>
      <c r="P339" s="137" t="n">
        <f aca="false">IFERROR($R$369*$E$64*$H$38/$I$366,0)</f>
        <v>4192.556249805</v>
      </c>
    </row>
    <row r="340" customFormat="false" ht="15" hidden="false" customHeight="false" outlineLevel="0" collapsed="false">
      <c r="B340" s="51" t="s">
        <v>318</v>
      </c>
      <c r="C340" s="163" t="n">
        <f aca="false">SUM(D340:H340)</f>
        <v>321892.352271067</v>
      </c>
      <c r="D340" s="157" t="n">
        <f aca="false">$R$370</f>
        <v>75500.2652612868</v>
      </c>
      <c r="E340" s="157" t="n">
        <f aca="false">IFERROR($R$371*$E$61*$E$38/$I$366,0)</f>
        <v>56649.9007671052</v>
      </c>
      <c r="F340" s="157" t="n">
        <f aca="false">IFERROR($R$371*$E$62*$F$38/$I$366,0)</f>
        <v>89200.0075973325</v>
      </c>
      <c r="G340" s="157" t="n">
        <f aca="false">IFERROR($R$371*$E$63*$G$38/$I$366,0)</f>
        <v>58854.3004586542</v>
      </c>
      <c r="H340" s="137" t="n">
        <f aca="false">IFERROR($R$371*$E$64*$H$38/$I$366,0)</f>
        <v>41687.8781866882</v>
      </c>
      <c r="J340" s="51" t="s">
        <v>318</v>
      </c>
      <c r="K340" s="163" t="n">
        <f aca="false">SUM(L340:P340)</f>
        <v>321892.352271067</v>
      </c>
      <c r="L340" s="157" t="n">
        <f aca="false">$R$370</f>
        <v>75500.2652612868</v>
      </c>
      <c r="M340" s="157" t="n">
        <f aca="false">IFERROR($R$371*$E$61*$E$38/$I$366,0)</f>
        <v>56649.9007671052</v>
      </c>
      <c r="N340" s="157" t="n">
        <f aca="false">IFERROR($R$371*$E$62*$F$38/$I$366,0)</f>
        <v>89200.0075973325</v>
      </c>
      <c r="O340" s="157" t="n">
        <f aca="false">IFERROR($R$371*$E$63*$G$38/$I$366,0)</f>
        <v>58854.3004586542</v>
      </c>
      <c r="P340" s="137" t="n">
        <f aca="false">IFERROR($R$371*$E$64*$H$38/$I$366,0)</f>
        <v>41687.8781866882</v>
      </c>
    </row>
    <row r="341" customFormat="false" ht="15" hidden="false" customHeight="false" outlineLevel="0" collapsed="false">
      <c r="B341" s="143" t="s">
        <v>319</v>
      </c>
      <c r="C341" s="163" t="n">
        <f aca="false">SUM(D341:H341)</f>
        <v>40358.7358029306</v>
      </c>
      <c r="D341" s="157" t="n">
        <f aca="false">$R$372</f>
        <v>9160.0833370266</v>
      </c>
      <c r="E341" s="157" t="n">
        <f aca="false">IFERROR($R$373*$E$61*$E$38/$I$366,0)</f>
        <v>7173.122269104</v>
      </c>
      <c r="F341" s="157" t="n">
        <f aca="false">IFERROR($R$373*$E$62*$F$38/$I$366,0)</f>
        <v>11294.68105392</v>
      </c>
      <c r="G341" s="157" t="n">
        <f aca="false">IFERROR($R$373*$E$63*$G$38/$I$366,0)</f>
        <v>7452.247709808</v>
      </c>
      <c r="H341" s="137" t="n">
        <f aca="false">IFERROR($R$373*$E$64*$H$38/$I$366,0)</f>
        <v>5278.601433072</v>
      </c>
      <c r="J341" s="143" t="s">
        <v>319</v>
      </c>
      <c r="K341" s="163" t="n">
        <f aca="false">SUM(L341:P341)</f>
        <v>40358.7358029306</v>
      </c>
      <c r="L341" s="157" t="n">
        <f aca="false">$R$372</f>
        <v>9160.0833370266</v>
      </c>
      <c r="M341" s="157" t="n">
        <f aca="false">IFERROR($R$373*$E$61*$E$38/$I$366,0)</f>
        <v>7173.122269104</v>
      </c>
      <c r="N341" s="157" t="n">
        <f aca="false">IFERROR($R$373*$E$62*$F$38/$I$366,0)</f>
        <v>11294.68105392</v>
      </c>
      <c r="O341" s="157" t="n">
        <f aca="false">IFERROR($R$373*$E$63*$G$38/$I$366,0)</f>
        <v>7452.247709808</v>
      </c>
      <c r="P341" s="137" t="n">
        <f aca="false">IFERROR($R$373*$E$64*$H$38/$I$366,0)</f>
        <v>5278.601433072</v>
      </c>
    </row>
    <row r="342" customFormat="false" ht="15" hidden="false" customHeight="false" outlineLevel="0" collapsed="false">
      <c r="B342" s="51" t="s">
        <v>320</v>
      </c>
      <c r="C342" s="163" t="n">
        <f aca="false">SUM(D342:H342)</f>
        <v>7570.10177055</v>
      </c>
      <c r="D342" s="157" t="n">
        <f aca="false">$R$374</f>
        <v>2277.8092458</v>
      </c>
      <c r="E342" s="157" t="n">
        <f aca="false">IFERROR($R$375*$E$61*$E$38/$I$366,0)</f>
        <v>1216.79169975</v>
      </c>
      <c r="F342" s="157" t="n">
        <f aca="false">IFERROR($R$375*$E$62*$F$38/$I$366,0)</f>
        <v>1915.9403175</v>
      </c>
      <c r="G342" s="157" t="n">
        <f aca="false">IFERROR($R$375*$E$63*$G$38/$I$366,0)</f>
        <v>1264.14033075</v>
      </c>
      <c r="H342" s="137" t="n">
        <f aca="false">IFERROR($R$375*$E$64*$H$38/$I$366,0)</f>
        <v>895.42017675</v>
      </c>
      <c r="J342" s="51" t="s">
        <v>320</v>
      </c>
      <c r="K342" s="163" t="n">
        <f aca="false">SUM(L342:P342)</f>
        <v>7570.10177055</v>
      </c>
      <c r="L342" s="157" t="n">
        <f aca="false">$R$374</f>
        <v>2277.8092458</v>
      </c>
      <c r="M342" s="157" t="n">
        <f aca="false">IFERROR($R$375*$E$61*$E$38/$I$366,0)</f>
        <v>1216.79169975</v>
      </c>
      <c r="N342" s="157" t="n">
        <f aca="false">IFERROR($R$375*$E$62*$F$38/$I$366,0)</f>
        <v>1915.9403175</v>
      </c>
      <c r="O342" s="157" t="n">
        <f aca="false">IFERROR($R$375*$E$63*$G$38/$I$366,0)</f>
        <v>1264.14033075</v>
      </c>
      <c r="P342" s="137" t="n">
        <f aca="false">IFERROR($R$375*$E$64*$H$38/$I$366,0)</f>
        <v>895.42017675</v>
      </c>
    </row>
    <row r="343" customFormat="false" ht="15" hidden="false" customHeight="false" outlineLevel="0" collapsed="false">
      <c r="B343" s="143" t="s">
        <v>321</v>
      </c>
      <c r="C343" s="163" t="n">
        <f aca="false">SUM(D343:H343)</f>
        <v>41124.9984297223</v>
      </c>
      <c r="D343" s="157" t="n">
        <f aca="false">$R$378</f>
        <v>12374.3252727666</v>
      </c>
      <c r="E343" s="157" t="n">
        <f aca="false">IFERROR($R$379*$E$61*$E$38/$I$366,0)</f>
        <v>6610.28850843075</v>
      </c>
      <c r="F343" s="157" t="n">
        <f aca="false">IFERROR($R$379*$E$62*$F$38/$I$366,0)</f>
        <v>10408.4522159475</v>
      </c>
      <c r="G343" s="157" t="n">
        <f aca="false">IFERROR($R$379*$E$63*$G$38/$I$366,0)</f>
        <v>6867.51257681775</v>
      </c>
      <c r="H343" s="137" t="n">
        <f aca="false">IFERROR($R$379*$E$64*$H$38/$I$366,0)</f>
        <v>4864.41985575975</v>
      </c>
      <c r="J343" s="143" t="s">
        <v>321</v>
      </c>
      <c r="K343" s="163" t="n">
        <f aca="false">SUM(L343:P343)</f>
        <v>41124.9984297223</v>
      </c>
      <c r="L343" s="157" t="n">
        <f aca="false">$R$378</f>
        <v>12374.3252727666</v>
      </c>
      <c r="M343" s="157" t="n">
        <f aca="false">IFERROR($R$379*$E$61*$E$38/$I$366,0)</f>
        <v>6610.28850843075</v>
      </c>
      <c r="N343" s="157" t="n">
        <f aca="false">IFERROR($R$379*$E$62*$F$38/$I$366,0)</f>
        <v>10408.4522159475</v>
      </c>
      <c r="O343" s="157" t="n">
        <f aca="false">IFERROR($R$379*$E$63*$G$38/$I$366,0)</f>
        <v>6867.51257681775</v>
      </c>
      <c r="P343" s="137" t="n">
        <f aca="false">IFERROR($R$379*$E$64*$H$38/$I$366,0)</f>
        <v>4864.41985575975</v>
      </c>
    </row>
    <row r="344" customFormat="false" ht="15" hidden="false" customHeight="false" outlineLevel="0" collapsed="false">
      <c r="B344" s="51" t="s">
        <v>322</v>
      </c>
      <c r="C344" s="163" t="n">
        <f aca="false">SUM(D344:H344)</f>
        <v>30000</v>
      </c>
      <c r="D344" s="157" t="n">
        <f aca="false">IFERROR($R$380*$C$85*$D$38/$I$42,0)</f>
        <v>8437.02735197974</v>
      </c>
      <c r="E344" s="157" t="n">
        <f aca="false">IFERROR($R$380*$C$86*$E$38/$I$42,0)</f>
        <v>4957.70897344469</v>
      </c>
      <c r="F344" s="157" t="n">
        <f aca="false">IFERROR($R$380*$C$87*$F$38/$I$42,0)</f>
        <v>7806.32749763645</v>
      </c>
      <c r="G344" s="157" t="n">
        <f aca="false">IFERROR($R$380*$C$88*$G$38/$I$42,0)</f>
        <v>5150.62673647451</v>
      </c>
      <c r="H344" s="137" t="n">
        <f aca="false">IFERROR($R$380*$C$89*$H$38/$I$42,0)</f>
        <v>3648.30944046461</v>
      </c>
      <c r="J344" s="51" t="s">
        <v>322</v>
      </c>
      <c r="K344" s="163" t="n">
        <f aca="false">SUM(L344:P344)</f>
        <v>30000</v>
      </c>
      <c r="L344" s="157" t="n">
        <f aca="false">IFERROR($R$380*$C$85*$D$38/$I$42,0)</f>
        <v>8437.02735197974</v>
      </c>
      <c r="M344" s="157" t="n">
        <f aca="false">IFERROR($R$380*$C$86*$E$38/$I$42,0)</f>
        <v>4957.70897344469</v>
      </c>
      <c r="N344" s="157" t="n">
        <f aca="false">IFERROR($R$380*$C$87*$F$38/$I$42,0)</f>
        <v>7806.32749763645</v>
      </c>
      <c r="O344" s="157" t="n">
        <f aca="false">IFERROR($R$380*$C$88*$G$38/$I$42,0)</f>
        <v>5150.62673647451</v>
      </c>
      <c r="P344" s="137" t="n">
        <f aca="false">IFERROR($R$380*$C$89*$H$38/$I$42,0)</f>
        <v>3648.30944046461</v>
      </c>
    </row>
    <row r="345" customFormat="false" ht="15" hidden="false" customHeight="false" outlineLevel="0" collapsed="false">
      <c r="B345" s="71" t="s">
        <v>323</v>
      </c>
      <c r="C345" s="163" t="n">
        <f aca="false">SUM(D345:H345)</f>
        <v>30843.702735198</v>
      </c>
      <c r="D345" s="157" t="n">
        <f aca="false">IFERROR($R$386*$C$85*$D$38/$I$42,0)</f>
        <v>8674.30545377326</v>
      </c>
      <c r="E345" s="157" t="n">
        <f aca="false">IFERROR($R$386*$C$86*$E$38/$I$42,0)</f>
        <v>5097.13672748505</v>
      </c>
      <c r="F345" s="157" t="n">
        <f aca="false">IFERROR($R$386*$C$87*$F$38/$I$42,0)</f>
        <v>8025.86815969002</v>
      </c>
      <c r="G345" s="157" t="n">
        <f aca="false">IFERROR($R$386*$C$88*$G$38/$I$42,0)</f>
        <v>5295.47999865942</v>
      </c>
      <c r="H345" s="137" t="n">
        <f aca="false">IFERROR($R$386*$C$89*$H$38/$I$42,0)</f>
        <v>3750.91239559023</v>
      </c>
      <c r="J345" s="71" t="s">
        <v>323</v>
      </c>
      <c r="K345" s="163" t="n">
        <f aca="false">SUM(L345:P345)</f>
        <v>30843.702735198</v>
      </c>
      <c r="L345" s="157" t="n">
        <f aca="false">IFERROR($R$386*$C$85*$D$38/$I$42,0)</f>
        <v>8674.30545377326</v>
      </c>
      <c r="M345" s="157" t="n">
        <f aca="false">IFERROR($R$386*$C$86*$E$38/$I$42,0)</f>
        <v>5097.13672748505</v>
      </c>
      <c r="N345" s="157" t="n">
        <f aca="false">IFERROR($R$386*$C$87*$F$38/$I$42,0)</f>
        <v>8025.86815969002</v>
      </c>
      <c r="O345" s="157" t="n">
        <f aca="false">IFERROR($R$386*$C$88*$G$38/$I$42,0)</f>
        <v>5295.47999865942</v>
      </c>
      <c r="P345" s="137" t="n">
        <f aca="false">IFERROR($R$386*$C$89*$H$38/$I$42,0)</f>
        <v>3750.91239559023</v>
      </c>
    </row>
    <row r="346" customFormat="false" ht="15" hidden="false" customHeight="false" outlineLevel="0" collapsed="false">
      <c r="B346" s="71" t="s">
        <v>324</v>
      </c>
      <c r="C346" s="163" t="n">
        <f aca="false">SUM(D346:H346)</f>
        <v>29598.3136</v>
      </c>
      <c r="D346" s="157" t="n">
        <f aca="false">IFERROR($R$389*$C$85*$D$38/$I$42,0)</f>
        <v>8324.05938052247</v>
      </c>
      <c r="E346" s="157" t="n">
        <f aca="false">IFERROR($R$389*$C$86*$E$38/$I$42,0)</f>
        <v>4891.327497785</v>
      </c>
      <c r="F346" s="157" t="n">
        <f aca="false">IFERROR($R$389*$C$87*$F$38/$I$42,0)</f>
        <v>7701.80431131156</v>
      </c>
      <c r="G346" s="157" t="n">
        <f aca="false">IFERROR($R$389*$C$88*$G$38/$I$42,0)</f>
        <v>5081.6621794239</v>
      </c>
      <c r="H346" s="137" t="n">
        <f aca="false">IFERROR($R$389*$C$89*$H$38/$I$42,0)</f>
        <v>3599.46023095707</v>
      </c>
      <c r="J346" s="71" t="s">
        <v>324</v>
      </c>
      <c r="K346" s="163" t="n">
        <f aca="false">SUM(L346:P346)</f>
        <v>29598.3136</v>
      </c>
      <c r="L346" s="157" t="n">
        <f aca="false">IFERROR($R$389*$C$85*$D$38/$I$42,0)</f>
        <v>8324.05938052247</v>
      </c>
      <c r="M346" s="157" t="n">
        <f aca="false">IFERROR($R$389*$C$86*$E$38/$I$42,0)</f>
        <v>4891.327497785</v>
      </c>
      <c r="N346" s="157" t="n">
        <f aca="false">IFERROR($R$389*$C$87*$F$38/$I$42,0)</f>
        <v>7701.80431131156</v>
      </c>
      <c r="O346" s="157" t="n">
        <f aca="false">IFERROR($R$389*$C$88*$G$38/$I$42,0)</f>
        <v>5081.6621794239</v>
      </c>
      <c r="P346" s="137" t="n">
        <f aca="false">IFERROR($R$389*$C$89*$H$38/$I$42,0)</f>
        <v>3599.46023095707</v>
      </c>
    </row>
    <row r="347" customFormat="false" ht="15" hidden="false" customHeight="false" outlineLevel="0" collapsed="false">
      <c r="B347" s="71" t="s">
        <v>300</v>
      </c>
      <c r="C347" s="163" t="n">
        <f aca="false">SUM(D347:H347)</f>
        <v>95505.682335</v>
      </c>
      <c r="D347" s="157" t="n">
        <f aca="false">$P$324</f>
        <v>25480.7209154037</v>
      </c>
      <c r="E347" s="157" t="n">
        <f aca="false">$Q$324</f>
        <v>20410.4710544705</v>
      </c>
      <c r="F347" s="157" t="n">
        <f aca="false">$R$324</f>
        <v>29408.3438834939</v>
      </c>
      <c r="G347" s="157" t="n">
        <f aca="false">$S$324</f>
        <v>11551.1052999076</v>
      </c>
      <c r="H347" s="137" t="n">
        <f aca="false">$T$324</f>
        <v>8655.04118172424</v>
      </c>
      <c r="J347" s="71" t="s">
        <v>300</v>
      </c>
      <c r="K347" s="163" t="n">
        <f aca="false">SUM(L347:P347)</f>
        <v>95505.682335</v>
      </c>
      <c r="L347" s="157" t="n">
        <f aca="false">$R$401*D352</f>
        <v>0</v>
      </c>
      <c r="M347" s="157" t="n">
        <f aca="false">$R$401*E352</f>
        <v>0</v>
      </c>
      <c r="N347" s="157" t="n">
        <f aca="false">$R$401*F352</f>
        <v>45604.9574236996</v>
      </c>
      <c r="O347" s="157" t="n">
        <f aca="false">$R$401*G352</f>
        <v>29178.183727117</v>
      </c>
      <c r="P347" s="137" t="n">
        <f aca="false">$R$401*H352</f>
        <v>20722.5411841834</v>
      </c>
    </row>
    <row r="348" customFormat="false" ht="15" hidden="false" customHeight="false" outlineLevel="0" collapsed="false">
      <c r="B348" s="71" t="s">
        <v>325</v>
      </c>
      <c r="C348" s="163" t="n">
        <f aca="false">SUM(D348:H348)</f>
        <v>12299.9712147577</v>
      </c>
      <c r="D348" s="157" t="n">
        <f aca="false">IFERROR($R$412*$C$85*$D$38/$I$42,0)</f>
        <v>3459.17311891582</v>
      </c>
      <c r="E348" s="157" t="n">
        <f aca="false">IFERROR($R$412*$C$86*$E$38/$I$42,0)</f>
        <v>2032.65592215053</v>
      </c>
      <c r="F348" s="157" t="n">
        <f aca="false">IFERROR($R$412*$C$87*$F$38/$I$42,0)</f>
        <v>3200.58678379667</v>
      </c>
      <c r="G348" s="157" t="n">
        <f aca="false">IFERROR($R$412*$C$88*$G$38/$I$42,0)</f>
        <v>2111.7520198866</v>
      </c>
      <c r="H348" s="137" t="n">
        <f aca="false">IFERROR($R$412*$C$89*$H$38/$I$42,0)</f>
        <v>1495.80337000812</v>
      </c>
      <c r="J348" s="71" t="s">
        <v>325</v>
      </c>
      <c r="K348" s="163" t="n">
        <f aca="false">SUM(L348:P348)</f>
        <v>12299.9712147577</v>
      </c>
      <c r="L348" s="157" t="n">
        <f aca="false">IFERROR($R$412*$C$85*$D$38/$I$42,0)</f>
        <v>3459.17311891582</v>
      </c>
      <c r="M348" s="157" t="n">
        <f aca="false">IFERROR($R$412*$C$86*$E$38/$I$42,0)</f>
        <v>2032.65592215053</v>
      </c>
      <c r="N348" s="157" t="n">
        <f aca="false">IFERROR($R$412*$C$87*$F$38/$I$42,0)</f>
        <v>3200.58678379667</v>
      </c>
      <c r="O348" s="157" t="n">
        <f aca="false">IFERROR($R$412*$C$88*$G$38/$I$42,0)</f>
        <v>2111.7520198866</v>
      </c>
      <c r="P348" s="137" t="n">
        <f aca="false">IFERROR($R$412*$C$89*$H$38/$I$42,0)</f>
        <v>1495.80337000812</v>
      </c>
    </row>
    <row r="349" customFormat="false" ht="15" hidden="false" customHeight="false" outlineLevel="0" collapsed="false">
      <c r="B349" s="71" t="s">
        <v>155</v>
      </c>
      <c r="C349" s="163" t="n">
        <f aca="false">SUM(D349:H349)</f>
        <v>1496575.89662498</v>
      </c>
      <c r="D349" s="164" t="n">
        <f aca="false">SUM(D336:D338)+SUM(D345:D348)</f>
        <v>423174.798701853</v>
      </c>
      <c r="E349" s="164" t="n">
        <f aca="false">SUM(E336:E338)+SUM(E345:E348)</f>
        <v>251104.399803694</v>
      </c>
      <c r="F349" s="164" t="n">
        <f aca="false">SUM(F336:F338)+SUM(F345:F348)</f>
        <v>392655.232553034</v>
      </c>
      <c r="G349" s="164" t="n">
        <f aca="false">SUM(G336:G338)+SUM(G345:G348)</f>
        <v>251221.954017052</v>
      </c>
      <c r="H349" s="165" t="n">
        <f aca="false">SUM(H336:H338)+SUM(H345:H348)</f>
        <v>178419.511549349</v>
      </c>
      <c r="J349" s="123" t="s">
        <v>155</v>
      </c>
      <c r="K349" s="190" t="n">
        <f aca="false">SUM(L349:P349)</f>
        <v>1496575.89662498</v>
      </c>
      <c r="L349" s="159" t="n">
        <f aca="false">SUM(L336:L338)+SUM(L345:L348)</f>
        <v>397694.077786449</v>
      </c>
      <c r="M349" s="159" t="n">
        <f aca="false">SUM(M336:M338)+SUM(M345:M348)</f>
        <v>230693.928749223</v>
      </c>
      <c r="N349" s="159" t="n">
        <f aca="false">SUM(N336:N338)+SUM(N345:N348)</f>
        <v>408851.84609324</v>
      </c>
      <c r="O349" s="159" t="n">
        <f aca="false">SUM(O336:O338)+SUM(O345:O348)</f>
        <v>268849.032444262</v>
      </c>
      <c r="P349" s="160" t="n">
        <f aca="false">SUM(P336:P338)+SUM(P345:P348)</f>
        <v>190487.011551809</v>
      </c>
    </row>
    <row r="350" customFormat="false" ht="15" hidden="false" customHeight="false" outlineLevel="0" collapsed="false">
      <c r="B350" s="71" t="s">
        <v>326</v>
      </c>
      <c r="C350" s="163" t="n">
        <f aca="false">SUM(D350:H350)</f>
        <v>867767.04</v>
      </c>
      <c r="D350" s="157" t="n">
        <f aca="false">$E$98*(1+$E$101)*$D$38</f>
        <v>550800</v>
      </c>
      <c r="E350" s="157" t="n">
        <f aca="false">$E$129*(1+$E$130)*$E$38</f>
        <v>316967.04</v>
      </c>
      <c r="F350" s="157" t="n">
        <v>0</v>
      </c>
      <c r="G350" s="157" t="n">
        <v>0</v>
      </c>
      <c r="H350" s="137" t="n">
        <v>0</v>
      </c>
    </row>
    <row r="351" customFormat="false" ht="15" hidden="false" customHeight="false" outlineLevel="0" collapsed="false">
      <c r="B351" s="71" t="s">
        <v>327</v>
      </c>
      <c r="C351" s="164" t="n">
        <f aca="false">C349-C350</f>
        <v>628808.856624983</v>
      </c>
      <c r="D351" s="157" t="n">
        <f aca="false">D349-D350</f>
        <v>-127625.201298147</v>
      </c>
      <c r="E351" s="157" t="n">
        <f aca="false">E349-E350</f>
        <v>-65862.6401963064</v>
      </c>
      <c r="F351" s="157" t="n">
        <f aca="false">F349-F350</f>
        <v>392655.232553034</v>
      </c>
      <c r="G351" s="157" t="n">
        <f aca="false">G349-G350</f>
        <v>251221.954017052</v>
      </c>
      <c r="H351" s="137" t="n">
        <f aca="false">H349-H350</f>
        <v>178419.511549349</v>
      </c>
    </row>
    <row r="352" customFormat="false" ht="15" hidden="false" customHeight="false" outlineLevel="0" collapsed="false">
      <c r="B352" s="123" t="s">
        <v>201</v>
      </c>
      <c r="C352" s="140" t="n">
        <f aca="false">SUM(D352:H352)</f>
        <v>1</v>
      </c>
      <c r="D352" s="191" t="n">
        <f aca="false">IF(SUMIF($D$351:$H$351,"&gt;0")=0,IFERROR(D347/$C$347,0),MAX(0,D351)/SUMIF($D$351:$H$351,"&gt;0"))</f>
        <v>0</v>
      </c>
      <c r="E352" s="191" t="n">
        <f aca="false">IF(SUMIF($D$351:$H$351,"&gt;0")=0,IFERROR(E347/$C$347,0),MAX(0,E351)/SUMIF($D$351:$H$351,"&gt;0"))</f>
        <v>0</v>
      </c>
      <c r="F352" s="191" t="n">
        <f aca="false">IF(SUMIF($D$351:$H$351,"&gt;0")=0,IFERROR(F347/$C$347,0),MAX(0,F351)/SUMIF($D$351:$H$351,"&gt;0"))</f>
        <v>0.477510408896233</v>
      </c>
      <c r="G352" s="191" t="n">
        <f aca="false">IF(SUMIF($D$351:$H$351,"&gt;0")=0,IFERROR(G347/$C$347,0),MAX(0,G351)/SUMIF($D$351:$H$351,"&gt;0"))</f>
        <v>0.305512541387541</v>
      </c>
      <c r="H352" s="192" t="n">
        <f aca="false">IF(SUMIF($D$351:$H$351,"&gt;0")=0,IFERROR(H347/$C$347,0),MAX(0,H351)/SUMIF($D$351:$H$351,"&gt;0"))</f>
        <v>0.216977049716226</v>
      </c>
    </row>
    <row r="354" customFormat="false" ht="15" hidden="false" customHeight="false" outlineLevel="0" collapsed="false">
      <c r="A354" s="61" t="s">
        <v>328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customFormat="false" ht="15" hidden="false" customHeight="false" outlineLevel="0" collapsed="false">
      <c r="D355" s="193" t="s">
        <v>329</v>
      </c>
      <c r="E355" s="193" t="s">
        <v>330</v>
      </c>
      <c r="J355" s="153" t="s">
        <v>331</v>
      </c>
      <c r="N355" s="194" t="n">
        <f aca="false">IFERROR($I$366/$I$39,0)</f>
        <v>0.718765754934009</v>
      </c>
    </row>
    <row r="356" customFormat="false" ht="15" hidden="false" customHeight="false" outlineLevel="0" collapsed="false">
      <c r="B356" s="68" t="s">
        <v>121</v>
      </c>
      <c r="C356" s="68" t="s">
        <v>2</v>
      </c>
      <c r="D356" s="44" t="s">
        <v>332</v>
      </c>
      <c r="E356" s="44" t="s">
        <v>333</v>
      </c>
      <c r="F356" s="68" t="s">
        <v>334</v>
      </c>
      <c r="G356" s="68" t="s">
        <v>335</v>
      </c>
      <c r="H356" s="68" t="s">
        <v>336</v>
      </c>
      <c r="I356" s="68" t="s">
        <v>337</v>
      </c>
      <c r="J356" s="68"/>
      <c r="K356" s="68" t="s">
        <v>336</v>
      </c>
      <c r="L356" s="68" t="s">
        <v>338</v>
      </c>
      <c r="M356" s="68" t="s">
        <v>339</v>
      </c>
      <c r="N356" s="44" t="s">
        <v>340</v>
      </c>
      <c r="O356" s="68" t="s">
        <v>341</v>
      </c>
      <c r="P356" s="44" t="s">
        <v>342</v>
      </c>
      <c r="Q356" s="44" t="s">
        <v>343</v>
      </c>
      <c r="R356" s="68" t="s">
        <v>344</v>
      </c>
      <c r="S356" s="68" t="s">
        <v>345</v>
      </c>
    </row>
    <row r="357" customFormat="false" ht="15" hidden="false" customHeight="false" outlineLevel="0" collapsed="false">
      <c r="B357" s="151" t="s">
        <v>20</v>
      </c>
    </row>
    <row r="358" customFormat="false" ht="15" hidden="false" customHeight="false" outlineLevel="0" collapsed="false">
      <c r="B358" s="32" t="s">
        <v>20</v>
      </c>
      <c r="C358" s="36" t="s">
        <v>346</v>
      </c>
      <c r="D358" s="195" t="n">
        <v>0</v>
      </c>
      <c r="E358" s="196" t="n">
        <v>1</v>
      </c>
      <c r="F358" s="36" t="s">
        <v>347</v>
      </c>
      <c r="G358" s="197" t="n">
        <v>220000</v>
      </c>
      <c r="H358" s="198" t="s">
        <v>348</v>
      </c>
      <c r="I358" s="127" t="n">
        <f aca="false">$E$82</f>
        <v>4995.7875</v>
      </c>
      <c r="J358" s="199" t="s">
        <v>63</v>
      </c>
      <c r="K358" s="36" t="s">
        <v>349</v>
      </c>
      <c r="L358" s="200" t="n">
        <f aca="false">G358/I358*1000</f>
        <v>44037.1012578097</v>
      </c>
      <c r="M358" s="37" t="n">
        <f aca="false">G358*$I$42</f>
        <v>220000</v>
      </c>
      <c r="N358" s="37" t="n">
        <f aca="false">IF(D358=1,M358*$D$555,0)</f>
        <v>0</v>
      </c>
      <c r="O358" s="37" t="n">
        <f aca="false">M358+N358</f>
        <v>220000</v>
      </c>
      <c r="P358" s="194" t="n">
        <f aca="false">CHOOSE(E358,0,1,$N$355)</f>
        <v>0</v>
      </c>
      <c r="Q358" s="37" t="n">
        <f aca="false">N358*P358</f>
        <v>0</v>
      </c>
      <c r="R358" s="37" t="n">
        <f aca="false">O358-Q358</f>
        <v>220000</v>
      </c>
      <c r="S358" s="201" t="s">
        <v>350</v>
      </c>
    </row>
    <row r="359" customFormat="false" ht="15" hidden="false" customHeight="false" outlineLevel="0" collapsed="false">
      <c r="C359" s="36" t="s">
        <v>351</v>
      </c>
      <c r="D359" s="195" t="n">
        <v>0</v>
      </c>
      <c r="E359" s="196" t="n">
        <v>1</v>
      </c>
      <c r="H359" s="198" t="s">
        <v>352</v>
      </c>
      <c r="I359" s="37" t="n">
        <f aca="false">$M$358</f>
        <v>220000</v>
      </c>
      <c r="J359" s="199" t="s">
        <v>63</v>
      </c>
      <c r="K359" s="36" t="s">
        <v>353</v>
      </c>
      <c r="L359" s="202" t="n">
        <v>0.056</v>
      </c>
      <c r="M359" s="37" t="n">
        <f aca="false">I359*L359</f>
        <v>12320</v>
      </c>
      <c r="N359" s="37" t="n">
        <f aca="false">IF(D359=1,M359*$D$555,0)</f>
        <v>0</v>
      </c>
      <c r="O359" s="37" t="n">
        <f aca="false">M359+N359</f>
        <v>12320</v>
      </c>
      <c r="P359" s="194" t="n">
        <f aca="false">CHOOSE(E359,0,1,$N$355)</f>
        <v>0</v>
      </c>
      <c r="Q359" s="37" t="n">
        <f aca="false">N359*P359</f>
        <v>0</v>
      </c>
      <c r="R359" s="37" t="n">
        <f aca="false">O359-Q359</f>
        <v>12320</v>
      </c>
      <c r="S359" s="201" t="s">
        <v>102</v>
      </c>
    </row>
    <row r="360" customFormat="false" ht="15" hidden="false" customHeight="false" outlineLevel="0" collapsed="false">
      <c r="C360" s="36" t="s">
        <v>354</v>
      </c>
      <c r="D360" s="195" t="n">
        <v>0</v>
      </c>
      <c r="E360" s="196" t="n">
        <v>1</v>
      </c>
      <c r="F360" s="36" t="s">
        <v>355</v>
      </c>
      <c r="G360" s="197" t="n">
        <v>250000</v>
      </c>
      <c r="H360" s="203" t="s">
        <v>356</v>
      </c>
      <c r="I360" s="202" t="n">
        <v>0</v>
      </c>
      <c r="J360" s="199" t="s">
        <v>63</v>
      </c>
      <c r="K360" s="36" t="s">
        <v>357</v>
      </c>
      <c r="L360" s="204" t="n">
        <v>10.17</v>
      </c>
      <c r="M360" s="37" t="n">
        <f aca="false">G360*I360*L360*$I$42</f>
        <v>0</v>
      </c>
      <c r="N360" s="37" t="n">
        <f aca="false">IF(D360=1,M360*$D$555,0)</f>
        <v>0</v>
      </c>
      <c r="O360" s="37" t="n">
        <f aca="false">M360+N360</f>
        <v>0</v>
      </c>
      <c r="P360" s="194" t="n">
        <f aca="false">CHOOSE(E360,0,1,$N$355)</f>
        <v>0</v>
      </c>
      <c r="Q360" s="37" t="n">
        <f aca="false">N360*P360</f>
        <v>0</v>
      </c>
      <c r="R360" s="37" t="n">
        <f aca="false">O360-Q360</f>
        <v>0</v>
      </c>
      <c r="S360" s="201" t="s">
        <v>102</v>
      </c>
    </row>
    <row r="361" customFormat="false" ht="15" hidden="false" customHeight="false" outlineLevel="0" collapsed="false">
      <c r="C361" s="36" t="s">
        <v>358</v>
      </c>
      <c r="D361" s="195" t="n">
        <v>0</v>
      </c>
      <c r="E361" s="196" t="n">
        <v>1</v>
      </c>
      <c r="H361" s="198" t="s">
        <v>306</v>
      </c>
      <c r="I361" s="197" t="n">
        <v>0</v>
      </c>
      <c r="M361" s="37" t="n">
        <f aca="false">I361*$I$42</f>
        <v>0</v>
      </c>
      <c r="N361" s="37" t="n">
        <f aca="false">IF(D361=1,M361*$D$555,0)</f>
        <v>0</v>
      </c>
      <c r="O361" s="37" t="n">
        <f aca="false">M361+N361</f>
        <v>0</v>
      </c>
      <c r="P361" s="194" t="n">
        <f aca="false">CHOOSE(E361,0,1,$N$355)</f>
        <v>0</v>
      </c>
      <c r="Q361" s="37" t="n">
        <f aca="false">N361*P361</f>
        <v>0</v>
      </c>
      <c r="R361" s="37" t="n">
        <f aca="false">O361-Q361</f>
        <v>0</v>
      </c>
      <c r="S361" s="201" t="s">
        <v>102</v>
      </c>
    </row>
    <row r="362" customFormat="false" ht="15" hidden="false" customHeight="false" outlineLevel="0" collapsed="false">
      <c r="C362" s="36" t="s">
        <v>359</v>
      </c>
      <c r="D362" s="195" t="n">
        <v>0</v>
      </c>
      <c r="E362" s="196" t="n">
        <v>1</v>
      </c>
      <c r="H362" s="198" t="s">
        <v>360</v>
      </c>
      <c r="I362" s="197" t="n">
        <v>5324</v>
      </c>
      <c r="M362" s="37" t="n">
        <f aca="false">I362*$I$42</f>
        <v>5324</v>
      </c>
      <c r="N362" s="37" t="n">
        <f aca="false">IF(D362=1,M362*$D$555,0)</f>
        <v>0</v>
      </c>
      <c r="O362" s="37" t="n">
        <f aca="false">M362+N362</f>
        <v>5324</v>
      </c>
      <c r="P362" s="194" t="n">
        <f aca="false">CHOOSE(E362,0,1,$N$355)</f>
        <v>0</v>
      </c>
      <c r="Q362" s="37" t="n">
        <f aca="false">N362*P362</f>
        <v>0</v>
      </c>
      <c r="R362" s="37" t="n">
        <f aca="false">O362-Q362</f>
        <v>5324</v>
      </c>
      <c r="S362" s="201" t="s">
        <v>361</v>
      </c>
    </row>
    <row r="363" customFormat="false" ht="15" hidden="false" customHeight="false" outlineLevel="0" collapsed="false">
      <c r="B363" s="205" t="s">
        <v>362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06" t="n">
        <f aca="false">SUM(M358:M362)</f>
        <v>237644</v>
      </c>
      <c r="N363" s="206" t="n">
        <f aca="false">SUM(N358:N362)</f>
        <v>0</v>
      </c>
      <c r="O363" s="206" t="n">
        <f aca="false">SUM(O358:O362)</f>
        <v>237644</v>
      </c>
      <c r="P363" s="207" t="n">
        <f aca="false">SUM(P358:P362)</f>
        <v>0</v>
      </c>
      <c r="Q363" s="206" t="n">
        <f aca="false">SUM(Q358:Q362)</f>
        <v>0</v>
      </c>
      <c r="R363" s="206" t="n">
        <f aca="false">SUM(R358:R362)</f>
        <v>237644</v>
      </c>
      <c r="S363" s="1"/>
    </row>
    <row r="364" customFormat="false" ht="15" hidden="false" customHeight="false" outlineLevel="0" collapsed="false">
      <c r="B364" s="151" t="s">
        <v>363</v>
      </c>
    </row>
    <row r="365" customFormat="false" ht="15" hidden="false" customHeight="false" outlineLevel="0" collapsed="false">
      <c r="B365" s="32" t="s">
        <v>22</v>
      </c>
      <c r="C365" s="36" t="s">
        <v>364</v>
      </c>
      <c r="D365" s="195" t="n">
        <v>1</v>
      </c>
      <c r="E365" s="196" t="n">
        <v>1</v>
      </c>
      <c r="H365" s="198" t="s">
        <v>365</v>
      </c>
      <c r="I365" s="127" t="n">
        <f aca="false">$I$40</f>
        <v>23008.1742</v>
      </c>
      <c r="J365" s="199" t="s">
        <v>63</v>
      </c>
      <c r="K365" s="36" t="s">
        <v>366</v>
      </c>
      <c r="L365" s="208" t="n">
        <v>7585.77</v>
      </c>
      <c r="M365" s="37" t="n">
        <f aca="false">I365*L365/1000</f>
        <v>174534.717601134</v>
      </c>
      <c r="N365" s="37" t="n">
        <f aca="false">IF(D365=1,M365*$D$555,0)</f>
        <v>17453.4717601134</v>
      </c>
      <c r="O365" s="37" t="n">
        <f aca="false">M365+N365</f>
        <v>191988.189361247</v>
      </c>
      <c r="P365" s="194" t="n">
        <f aca="false">CHOOSE(E365,0,1,$N$355)</f>
        <v>0</v>
      </c>
      <c r="Q365" s="37" t="n">
        <f aca="false">N365*P365</f>
        <v>0</v>
      </c>
      <c r="R365" s="37" t="n">
        <f aca="false">O365-Q365</f>
        <v>191988.189361247</v>
      </c>
      <c r="S365" s="209" t="s">
        <v>367</v>
      </c>
    </row>
    <row r="366" customFormat="false" ht="15" hidden="false" customHeight="false" outlineLevel="0" collapsed="false">
      <c r="C366" s="36" t="s">
        <v>368</v>
      </c>
      <c r="D366" s="195" t="n">
        <v>1</v>
      </c>
      <c r="E366" s="196" t="n">
        <v>2</v>
      </c>
      <c r="H366" s="198" t="s">
        <v>365</v>
      </c>
      <c r="I366" s="127" t="n">
        <f aca="false">$I$39-$I$40</f>
        <v>58803.250275</v>
      </c>
      <c r="J366" s="199" t="s">
        <v>63</v>
      </c>
      <c r="K366" s="36" t="s">
        <v>366</v>
      </c>
      <c r="L366" s="208" t="n">
        <v>7181.66</v>
      </c>
      <c r="M366" s="37" t="n">
        <f aca="false">I366*L366/1000</f>
        <v>422304.950369957</v>
      </c>
      <c r="N366" s="37" t="n">
        <f aca="false">IF(D366=1,M366*$D$555,0)</f>
        <v>42230.4950369957</v>
      </c>
      <c r="O366" s="37" t="n">
        <f aca="false">M366+N366</f>
        <v>464535.445406952</v>
      </c>
      <c r="P366" s="194" t="n">
        <f aca="false">CHOOSE(E366,0,1,$N$355)</f>
        <v>1</v>
      </c>
      <c r="Q366" s="37" t="n">
        <f aca="false">N366*P366</f>
        <v>42230.4950369957</v>
      </c>
      <c r="R366" s="37" t="n">
        <f aca="false">O366-Q366</f>
        <v>422304.950369957</v>
      </c>
      <c r="S366" s="209" t="s">
        <v>367</v>
      </c>
    </row>
    <row r="367" customFormat="false" ht="15" hidden="false" customHeight="false" outlineLevel="0" collapsed="false">
      <c r="B367" s="210" t="s">
        <v>369</v>
      </c>
      <c r="C367" s="211"/>
      <c r="D367" s="211"/>
      <c r="E367" s="211"/>
      <c r="F367" s="211"/>
      <c r="G367" s="211"/>
      <c r="H367" s="211"/>
      <c r="I367" s="211"/>
      <c r="J367" s="211"/>
      <c r="K367" s="211"/>
      <c r="L367" s="211"/>
      <c r="M367" s="212" t="n">
        <f aca="false">SUM(M365:M366)</f>
        <v>596839.667971091</v>
      </c>
      <c r="N367" s="212" t="n">
        <f aca="false">SUM(N365:N366)</f>
        <v>59683.9667971091</v>
      </c>
      <c r="O367" s="212" t="n">
        <f aca="false">SUM(O365:O366)</f>
        <v>656523.6347682</v>
      </c>
      <c r="P367" s="213" t="n">
        <f aca="false">SUM(P365:P366)</f>
        <v>1</v>
      </c>
      <c r="Q367" s="212" t="n">
        <f aca="false">SUM(Q365:Q366)</f>
        <v>42230.4950369957</v>
      </c>
      <c r="R367" s="212" t="n">
        <f aca="false">SUM(R365:R366)</f>
        <v>614293.139731204</v>
      </c>
      <c r="S367" s="211"/>
    </row>
    <row r="368" customFormat="false" ht="15" hidden="false" customHeight="false" outlineLevel="0" collapsed="false">
      <c r="B368" s="32" t="s">
        <v>24</v>
      </c>
      <c r="C368" s="36" t="s">
        <v>370</v>
      </c>
      <c r="D368" s="195" t="n">
        <v>1</v>
      </c>
      <c r="E368" s="196" t="n">
        <v>1</v>
      </c>
      <c r="H368" s="198" t="s">
        <v>365</v>
      </c>
      <c r="I368" s="127" t="n">
        <f aca="false">$I$40</f>
        <v>23008.1742</v>
      </c>
      <c r="J368" s="199" t="s">
        <v>63</v>
      </c>
      <c r="K368" s="36" t="s">
        <v>371</v>
      </c>
      <c r="L368" s="208" t="n">
        <v>421.4</v>
      </c>
      <c r="M368" s="37" t="n">
        <f aca="false">I368*L368/1000</f>
        <v>9695.64460788</v>
      </c>
      <c r="N368" s="37" t="n">
        <f aca="false">IF(D368=1,M368*$D$555,0)</f>
        <v>969.564460788</v>
      </c>
      <c r="O368" s="37" t="n">
        <f aca="false">M368+N368</f>
        <v>10665.209068668</v>
      </c>
      <c r="P368" s="194" t="n">
        <f aca="false">CHOOSE(E368,0,1,$N$355)</f>
        <v>0</v>
      </c>
      <c r="Q368" s="37" t="n">
        <f aca="false">N368*P368</f>
        <v>0</v>
      </c>
      <c r="R368" s="37" t="n">
        <f aca="false">O368-Q368</f>
        <v>10665.209068668</v>
      </c>
      <c r="S368" s="209" t="s">
        <v>372</v>
      </c>
    </row>
    <row r="369" customFormat="false" ht="15" hidden="false" customHeight="false" outlineLevel="0" collapsed="false">
      <c r="C369" s="36" t="s">
        <v>373</v>
      </c>
      <c r="D369" s="195" t="n">
        <v>1</v>
      </c>
      <c r="E369" s="196" t="n">
        <v>2</v>
      </c>
      <c r="H369" s="198" t="s">
        <v>365</v>
      </c>
      <c r="I369" s="127" t="n">
        <f aca="false">$I$366</f>
        <v>58803.250275</v>
      </c>
      <c r="J369" s="199" t="s">
        <v>63</v>
      </c>
      <c r="K369" s="36" t="s">
        <v>371</v>
      </c>
      <c r="L369" s="208" t="n">
        <v>421.4</v>
      </c>
      <c r="M369" s="37" t="n">
        <f aca="false">I369*L369/1000</f>
        <v>24779.689665885</v>
      </c>
      <c r="N369" s="37" t="n">
        <f aca="false">IF(D369=1,M369*$D$555,0)</f>
        <v>2477.9689665885</v>
      </c>
      <c r="O369" s="37" t="n">
        <f aca="false">M369+N369</f>
        <v>27257.6586324735</v>
      </c>
      <c r="P369" s="194" t="n">
        <f aca="false">CHOOSE(E369,0,1,$N$355)</f>
        <v>1</v>
      </c>
      <c r="Q369" s="37" t="n">
        <f aca="false">N369*P369</f>
        <v>2477.9689665885</v>
      </c>
      <c r="R369" s="37" t="n">
        <f aca="false">O369-Q369</f>
        <v>24779.689665885</v>
      </c>
      <c r="S369" s="209" t="s">
        <v>372</v>
      </c>
    </row>
    <row r="370" customFormat="false" ht="15" hidden="false" customHeight="false" outlineLevel="0" collapsed="false">
      <c r="C370" s="36" t="s">
        <v>374</v>
      </c>
      <c r="D370" s="195" t="n">
        <v>1</v>
      </c>
      <c r="E370" s="196" t="n">
        <v>1</v>
      </c>
      <c r="H370" s="198" t="s">
        <v>365</v>
      </c>
      <c r="I370" s="127" t="n">
        <f aca="false">$I$40</f>
        <v>23008.1742</v>
      </c>
      <c r="J370" s="199" t="s">
        <v>63</v>
      </c>
      <c r="K370" s="36" t="s">
        <v>371</v>
      </c>
      <c r="L370" s="208" t="n">
        <v>2983.14</v>
      </c>
      <c r="M370" s="37" t="n">
        <f aca="false">I370*L370/1000</f>
        <v>68636.604782988</v>
      </c>
      <c r="N370" s="37" t="n">
        <f aca="false">IF(D370=1,M370*$D$555,0)</f>
        <v>6863.6604782988</v>
      </c>
      <c r="O370" s="37" t="n">
        <f aca="false">M370+N370</f>
        <v>75500.2652612868</v>
      </c>
      <c r="P370" s="194" t="n">
        <f aca="false">CHOOSE(E370,0,1,$N$355)</f>
        <v>0</v>
      </c>
      <c r="Q370" s="37" t="n">
        <f aca="false">N370*P370</f>
        <v>0</v>
      </c>
      <c r="R370" s="37" t="n">
        <f aca="false">O370-Q370</f>
        <v>75500.2652612868</v>
      </c>
      <c r="S370" s="209" t="s">
        <v>372</v>
      </c>
    </row>
    <row r="371" customFormat="false" ht="15" hidden="false" customHeight="false" outlineLevel="0" collapsed="false">
      <c r="C371" s="36" t="s">
        <v>375</v>
      </c>
      <c r="D371" s="195" t="n">
        <v>1</v>
      </c>
      <c r="E371" s="196" t="n">
        <v>2</v>
      </c>
      <c r="H371" s="198" t="s">
        <v>365</v>
      </c>
      <c r="I371" s="127" t="n">
        <f aca="false">$I$366</f>
        <v>58803.250275</v>
      </c>
      <c r="J371" s="199" t="s">
        <v>63</v>
      </c>
      <c r="K371" s="36" t="s">
        <v>371</v>
      </c>
      <c r="L371" s="208" t="n">
        <v>4190.11</v>
      </c>
      <c r="M371" s="37" t="n">
        <f aca="false">I371*L371/1000</f>
        <v>246392.08700978</v>
      </c>
      <c r="N371" s="37" t="n">
        <f aca="false">IF(D371=1,M371*$D$555,0)</f>
        <v>24639.208700978</v>
      </c>
      <c r="O371" s="37" t="n">
        <f aca="false">M371+N371</f>
        <v>271031.295710758</v>
      </c>
      <c r="P371" s="194" t="n">
        <f aca="false">CHOOSE(E371,0,1,$N$355)</f>
        <v>1</v>
      </c>
      <c r="Q371" s="37" t="n">
        <f aca="false">N371*P371</f>
        <v>24639.208700978</v>
      </c>
      <c r="R371" s="37" t="n">
        <f aca="false">O371-Q371</f>
        <v>246392.08700978</v>
      </c>
      <c r="S371" s="209" t="s">
        <v>372</v>
      </c>
    </row>
    <row r="372" customFormat="false" ht="15" hidden="false" customHeight="false" outlineLevel="0" collapsed="false">
      <c r="C372" s="153" t="s">
        <v>376</v>
      </c>
      <c r="D372" s="195" t="n">
        <v>1</v>
      </c>
      <c r="E372" s="196" t="n">
        <v>1</v>
      </c>
      <c r="H372" s="198" t="s">
        <v>365</v>
      </c>
      <c r="I372" s="127" t="n">
        <f aca="false">$I$40</f>
        <v>23008.1742</v>
      </c>
      <c r="J372" s="199" t="s">
        <v>63</v>
      </c>
      <c r="K372" s="36" t="s">
        <v>371</v>
      </c>
      <c r="L372" s="208" t="n">
        <v>361.93</v>
      </c>
      <c r="M372" s="37" t="n">
        <f aca="false">I372*L372/1000</f>
        <v>8327.348488206</v>
      </c>
      <c r="N372" s="37" t="n">
        <f aca="false">IF(D372=1,M372*$D$555,0)</f>
        <v>832.7348488206</v>
      </c>
      <c r="O372" s="37" t="n">
        <f aca="false">M372+N372</f>
        <v>9160.0833370266</v>
      </c>
      <c r="P372" s="194" t="n">
        <f aca="false">CHOOSE(E372,0,1,$N$355)</f>
        <v>0</v>
      </c>
      <c r="Q372" s="37" t="n">
        <f aca="false">N372*P372</f>
        <v>0</v>
      </c>
      <c r="R372" s="37" t="n">
        <f aca="false">O372-Q372</f>
        <v>9160.0833370266</v>
      </c>
      <c r="S372" s="209" t="s">
        <v>372</v>
      </c>
    </row>
    <row r="373" customFormat="false" ht="15" hidden="false" customHeight="false" outlineLevel="0" collapsed="false">
      <c r="C373" s="153" t="s">
        <v>377</v>
      </c>
      <c r="D373" s="195" t="n">
        <v>1</v>
      </c>
      <c r="E373" s="196" t="n">
        <v>2</v>
      </c>
      <c r="H373" s="198" t="s">
        <v>365</v>
      </c>
      <c r="I373" s="127" t="n">
        <f aca="false">$I$366</f>
        <v>58803.250275</v>
      </c>
      <c r="J373" s="199" t="s">
        <v>63</v>
      </c>
      <c r="K373" s="36" t="s">
        <v>371</v>
      </c>
      <c r="L373" s="208" t="n">
        <v>530.56</v>
      </c>
      <c r="M373" s="37" t="n">
        <f aca="false">I373*L373/1000</f>
        <v>31198.652465904</v>
      </c>
      <c r="N373" s="37" t="n">
        <f aca="false">IF(D373=1,M373*$D$555,0)</f>
        <v>3119.8652465904</v>
      </c>
      <c r="O373" s="37" t="n">
        <f aca="false">M373+N373</f>
        <v>34318.5177124944</v>
      </c>
      <c r="P373" s="194" t="n">
        <f aca="false">CHOOSE(E373,0,1,$N$355)</f>
        <v>1</v>
      </c>
      <c r="Q373" s="37" t="n">
        <f aca="false">N373*P373</f>
        <v>3119.8652465904</v>
      </c>
      <c r="R373" s="37" t="n">
        <f aca="false">O373-Q373</f>
        <v>31198.652465904</v>
      </c>
      <c r="S373" s="209" t="s">
        <v>372</v>
      </c>
    </row>
    <row r="374" customFormat="false" ht="15" hidden="false" customHeight="false" outlineLevel="0" collapsed="false">
      <c r="C374" s="36" t="s">
        <v>378</v>
      </c>
      <c r="D374" s="195" t="n">
        <v>1</v>
      </c>
      <c r="E374" s="196" t="n">
        <v>1</v>
      </c>
      <c r="H374" s="198" t="s">
        <v>365</v>
      </c>
      <c r="I374" s="127" t="n">
        <f aca="false">$I$40</f>
        <v>23008.1742</v>
      </c>
      <c r="J374" s="199" t="s">
        <v>63</v>
      </c>
      <c r="K374" s="36" t="s">
        <v>371</v>
      </c>
      <c r="L374" s="208" t="n">
        <v>90</v>
      </c>
      <c r="M374" s="37" t="n">
        <f aca="false">I374*L374/1000</f>
        <v>2070.735678</v>
      </c>
      <c r="N374" s="37" t="n">
        <f aca="false">IF(D374=1,M374*$D$555,0)</f>
        <v>207.0735678</v>
      </c>
      <c r="O374" s="37" t="n">
        <f aca="false">M374+N374</f>
        <v>2277.8092458</v>
      </c>
      <c r="P374" s="194" t="n">
        <f aca="false">CHOOSE(E374,0,1,$N$355)</f>
        <v>0</v>
      </c>
      <c r="Q374" s="37" t="n">
        <f aca="false">N374*P374</f>
        <v>0</v>
      </c>
      <c r="R374" s="37" t="n">
        <f aca="false">O374-Q374</f>
        <v>2277.8092458</v>
      </c>
      <c r="S374" s="209" t="s">
        <v>372</v>
      </c>
    </row>
    <row r="375" customFormat="false" ht="15" hidden="false" customHeight="false" outlineLevel="0" collapsed="false">
      <c r="C375" s="36" t="s">
        <v>379</v>
      </c>
      <c r="D375" s="195" t="n">
        <v>1</v>
      </c>
      <c r="E375" s="196" t="n">
        <v>2</v>
      </c>
      <c r="H375" s="198" t="s">
        <v>365</v>
      </c>
      <c r="I375" s="127" t="n">
        <f aca="false">$I$366</f>
        <v>58803.250275</v>
      </c>
      <c r="J375" s="199" t="s">
        <v>63</v>
      </c>
      <c r="K375" s="36" t="s">
        <v>371</v>
      </c>
      <c r="L375" s="208" t="n">
        <v>90</v>
      </c>
      <c r="M375" s="37" t="n">
        <f aca="false">I375*L375/1000</f>
        <v>5292.29252475</v>
      </c>
      <c r="N375" s="37" t="n">
        <f aca="false">IF(D375=1,M375*$D$555,0)</f>
        <v>529.229252475</v>
      </c>
      <c r="O375" s="37" t="n">
        <f aca="false">M375+N375</f>
        <v>5821.521777225</v>
      </c>
      <c r="P375" s="194" t="n">
        <f aca="false">CHOOSE(E375,0,1,$N$355)</f>
        <v>1</v>
      </c>
      <c r="Q375" s="37" t="n">
        <f aca="false">N375*P375</f>
        <v>529.229252475</v>
      </c>
      <c r="R375" s="37" t="n">
        <f aca="false">O375-Q375</f>
        <v>5292.29252475</v>
      </c>
      <c r="S375" s="209" t="s">
        <v>372</v>
      </c>
    </row>
    <row r="376" customFormat="false" ht="15" hidden="false" customHeight="false" outlineLevel="0" collapsed="false">
      <c r="C376" s="36" t="s">
        <v>380</v>
      </c>
      <c r="D376" s="195" t="n">
        <v>1</v>
      </c>
      <c r="E376" s="196" t="n">
        <v>1</v>
      </c>
      <c r="H376" s="198" t="s">
        <v>365</v>
      </c>
      <c r="I376" s="127" t="n">
        <f aca="false">$I$39</f>
        <v>81811.424475</v>
      </c>
      <c r="J376" s="199" t="s">
        <v>63</v>
      </c>
      <c r="K376" s="36" t="s">
        <v>381</v>
      </c>
      <c r="L376" s="208" t="n">
        <v>0</v>
      </c>
      <c r="M376" s="37" t="n">
        <f aca="false">I376*L376/1000</f>
        <v>0</v>
      </c>
      <c r="N376" s="37" t="n">
        <f aca="false">IF(D376=1,M376*$D$555,0)</f>
        <v>0</v>
      </c>
      <c r="O376" s="37" t="n">
        <f aca="false">M376+N376</f>
        <v>0</v>
      </c>
      <c r="P376" s="194" t="n">
        <f aca="false">CHOOSE(E376,0,1,$N$355)</f>
        <v>0</v>
      </c>
      <c r="Q376" s="37" t="n">
        <f aca="false">N376*P376</f>
        <v>0</v>
      </c>
      <c r="R376" s="37" t="n">
        <f aca="false">O376-Q376</f>
        <v>0</v>
      </c>
      <c r="S376" s="209" t="s">
        <v>372</v>
      </c>
    </row>
    <row r="377" customFormat="false" ht="15" hidden="false" customHeight="false" outlineLevel="0" collapsed="false">
      <c r="C377" s="36" t="s">
        <v>382</v>
      </c>
      <c r="D377" s="195" t="n">
        <v>1</v>
      </c>
      <c r="E377" s="196" t="n">
        <v>1</v>
      </c>
      <c r="H377" s="198" t="s">
        <v>306</v>
      </c>
      <c r="I377" s="197" t="n">
        <v>0</v>
      </c>
      <c r="M377" s="37" t="n">
        <f aca="false">I377</f>
        <v>0</v>
      </c>
      <c r="N377" s="37" t="n">
        <f aca="false">IF(D377=1,M377*$D$555,0)</f>
        <v>0</v>
      </c>
      <c r="O377" s="37" t="n">
        <f aca="false">M377+N377</f>
        <v>0</v>
      </c>
      <c r="P377" s="194" t="n">
        <f aca="false">CHOOSE(E377,0,1,$N$355)</f>
        <v>0</v>
      </c>
      <c r="Q377" s="37" t="n">
        <f aca="false">N377*P377</f>
        <v>0</v>
      </c>
      <c r="R377" s="37" t="n">
        <f aca="false">O377-Q377</f>
        <v>0</v>
      </c>
      <c r="S377" s="209" t="s">
        <v>372</v>
      </c>
    </row>
    <row r="378" customFormat="false" ht="15" hidden="false" customHeight="false" outlineLevel="0" collapsed="false">
      <c r="C378" s="153" t="s">
        <v>383</v>
      </c>
      <c r="D378" s="195" t="n">
        <v>1</v>
      </c>
      <c r="E378" s="196" t="n">
        <v>1</v>
      </c>
      <c r="H378" s="198" t="s">
        <v>365</v>
      </c>
      <c r="I378" s="127" t="n">
        <f aca="false">$I$40</f>
        <v>23008.1742</v>
      </c>
      <c r="J378" s="199" t="s">
        <v>63</v>
      </c>
      <c r="K378" s="36" t="s">
        <v>371</v>
      </c>
      <c r="L378" s="208" t="n">
        <v>488.93</v>
      </c>
      <c r="M378" s="37" t="n">
        <f aca="false">I378*L378/1000</f>
        <v>11249.386611606</v>
      </c>
      <c r="N378" s="37" t="n">
        <f aca="false">IF(D378=1,M378*$D$555,0)</f>
        <v>1124.9386611606</v>
      </c>
      <c r="O378" s="37" t="n">
        <f aca="false">M378+N378</f>
        <v>12374.3252727666</v>
      </c>
      <c r="P378" s="194" t="n">
        <f aca="false">CHOOSE(E378,0,1,$N$355)</f>
        <v>0</v>
      </c>
      <c r="Q378" s="37" t="n">
        <f aca="false">N378*P378</f>
        <v>0</v>
      </c>
      <c r="R378" s="37" t="n">
        <f aca="false">O378-Q378</f>
        <v>12374.3252727666</v>
      </c>
      <c r="S378" s="209" t="s">
        <v>372</v>
      </c>
    </row>
    <row r="379" customFormat="false" ht="15" hidden="false" customHeight="false" outlineLevel="0" collapsed="false">
      <c r="C379" s="153" t="s">
        <v>384</v>
      </c>
      <c r="D379" s="195" t="n">
        <v>1</v>
      </c>
      <c r="E379" s="196" t="n">
        <v>2</v>
      </c>
      <c r="H379" s="198" t="s">
        <v>365</v>
      </c>
      <c r="I379" s="127" t="n">
        <f aca="false">$I$366</f>
        <v>58803.250275</v>
      </c>
      <c r="J379" s="199" t="s">
        <v>63</v>
      </c>
      <c r="K379" s="36" t="s">
        <v>371</v>
      </c>
      <c r="L379" s="208" t="n">
        <v>488.93</v>
      </c>
      <c r="M379" s="37" t="n">
        <f aca="false">I379*L379/1000</f>
        <v>28750.6731569558</v>
      </c>
      <c r="N379" s="37" t="n">
        <f aca="false">IF(D379=1,M379*$D$555,0)</f>
        <v>2875.06731569558</v>
      </c>
      <c r="O379" s="37" t="n">
        <f aca="false">M379+N379</f>
        <v>31625.7404726513</v>
      </c>
      <c r="P379" s="194" t="n">
        <f aca="false">CHOOSE(E379,0,1,$N$355)</f>
        <v>1</v>
      </c>
      <c r="Q379" s="37" t="n">
        <f aca="false">N379*P379</f>
        <v>2875.06731569558</v>
      </c>
      <c r="R379" s="37" t="n">
        <f aca="false">O379-Q379</f>
        <v>28750.6731569558</v>
      </c>
      <c r="S379" s="209" t="s">
        <v>372</v>
      </c>
    </row>
    <row r="380" customFormat="false" ht="15" hidden="false" customHeight="false" outlineLevel="0" collapsed="false">
      <c r="C380" s="36" t="s">
        <v>303</v>
      </c>
      <c r="D380" s="195" t="n">
        <v>0</v>
      </c>
      <c r="E380" s="196" t="n">
        <v>1</v>
      </c>
      <c r="H380" s="198" t="s">
        <v>385</v>
      </c>
      <c r="I380" s="197" t="n">
        <v>30000</v>
      </c>
      <c r="M380" s="37" t="n">
        <f aca="false">I380*$I$41</f>
        <v>30000</v>
      </c>
      <c r="N380" s="37" t="n">
        <f aca="false">IF(D380=1,M380*$D$555,0)</f>
        <v>0</v>
      </c>
      <c r="O380" s="37" t="n">
        <f aca="false">M380+N380</f>
        <v>30000</v>
      </c>
      <c r="P380" s="194" t="n">
        <f aca="false">CHOOSE(E380,0,1,$N$355)</f>
        <v>0</v>
      </c>
      <c r="Q380" s="37" t="n">
        <f aca="false">N380*P380</f>
        <v>0</v>
      </c>
      <c r="R380" s="37" t="n">
        <f aca="false">O380-Q380</f>
        <v>30000</v>
      </c>
      <c r="S380" s="209" t="s">
        <v>386</v>
      </c>
    </row>
    <row r="381" customFormat="false" ht="15" hidden="false" customHeight="false" outlineLevel="0" collapsed="false">
      <c r="B381" s="210" t="s">
        <v>387</v>
      </c>
      <c r="C381" s="211"/>
      <c r="D381" s="211"/>
      <c r="E381" s="211"/>
      <c r="F381" s="211"/>
      <c r="G381" s="211"/>
      <c r="H381" s="211"/>
      <c r="I381" s="211"/>
      <c r="J381" s="211"/>
      <c r="K381" s="211"/>
      <c r="L381" s="211"/>
      <c r="M381" s="212" t="n">
        <f aca="false">SUM(M368:M380)</f>
        <v>466393.114991955</v>
      </c>
      <c r="N381" s="212" t="n">
        <f aca="false">SUM(N368:N380)</f>
        <v>43639.3114991955</v>
      </c>
      <c r="O381" s="212" t="n">
        <f aca="false">SUM(O368:O380)</f>
        <v>510032.42649115</v>
      </c>
      <c r="P381" s="213" t="n">
        <f aca="false">SUM(P368:P380)</f>
        <v>5</v>
      </c>
      <c r="Q381" s="212" t="n">
        <f aca="false">SUM(Q368:Q380)</f>
        <v>33641.3394823275</v>
      </c>
      <c r="R381" s="212" t="n">
        <f aca="false">SUM(R368:R380)</f>
        <v>476391.087008823</v>
      </c>
      <c r="S381" s="211"/>
    </row>
    <row r="382" customFormat="false" ht="15" hidden="false" customHeight="false" outlineLevel="0" collapsed="false">
      <c r="B382" s="32" t="s">
        <v>25</v>
      </c>
      <c r="C382" s="153" t="s">
        <v>388</v>
      </c>
      <c r="D382" s="195" t="n">
        <v>1</v>
      </c>
      <c r="E382" s="196" t="n">
        <v>1</v>
      </c>
      <c r="H382" s="198" t="s">
        <v>306</v>
      </c>
      <c r="I382" s="197" t="n">
        <v>0</v>
      </c>
      <c r="M382" s="37" t="n">
        <f aca="false">I382</f>
        <v>0</v>
      </c>
      <c r="N382" s="37" t="n">
        <f aca="false">IF(D382=1,M382*$D$555,0)</f>
        <v>0</v>
      </c>
      <c r="O382" s="37" t="n">
        <f aca="false">M382+N382</f>
        <v>0</v>
      </c>
      <c r="P382" s="194" t="n">
        <f aca="false">CHOOSE(E382,0,1,$N$355)</f>
        <v>0</v>
      </c>
      <c r="Q382" s="37" t="n">
        <f aca="false">N382*P382</f>
        <v>0</v>
      </c>
      <c r="R382" s="37" t="n">
        <f aca="false">O382-Q382</f>
        <v>0</v>
      </c>
      <c r="S382" s="201" t="s">
        <v>389</v>
      </c>
    </row>
    <row r="383" customFormat="false" ht="15" hidden="false" customHeight="false" outlineLevel="0" collapsed="false">
      <c r="C383" s="153" t="s">
        <v>390</v>
      </c>
      <c r="D383" s="195" t="n">
        <v>1</v>
      </c>
      <c r="E383" s="196" t="n">
        <v>1</v>
      </c>
      <c r="H383" s="198" t="s">
        <v>391</v>
      </c>
      <c r="I383" s="197" t="n">
        <v>0</v>
      </c>
      <c r="J383" s="199" t="s">
        <v>63</v>
      </c>
      <c r="K383" s="36" t="s">
        <v>107</v>
      </c>
      <c r="L383" s="197" t="n">
        <v>0</v>
      </c>
      <c r="M383" s="37" t="n">
        <f aca="false">I383*L383</f>
        <v>0</v>
      </c>
      <c r="N383" s="37" t="n">
        <f aca="false">IF(D383=1,M383*$D$555,0)</f>
        <v>0</v>
      </c>
      <c r="O383" s="37" t="n">
        <f aca="false">M383+N383</f>
        <v>0</v>
      </c>
      <c r="P383" s="194" t="n">
        <f aca="false">CHOOSE(E383,0,1,$N$355)</f>
        <v>0</v>
      </c>
      <c r="Q383" s="37" t="n">
        <f aca="false">N383*P383</f>
        <v>0</v>
      </c>
      <c r="R383" s="37" t="n">
        <f aca="false">O383-Q383</f>
        <v>0</v>
      </c>
      <c r="S383" s="201" t="s">
        <v>389</v>
      </c>
    </row>
    <row r="384" customFormat="false" ht="15" hidden="false" customHeight="false" outlineLevel="0" collapsed="false">
      <c r="C384" s="153" t="s">
        <v>392</v>
      </c>
      <c r="D384" s="195" t="n">
        <v>1</v>
      </c>
      <c r="E384" s="196" t="n">
        <v>1</v>
      </c>
      <c r="H384" s="198" t="s">
        <v>393</v>
      </c>
      <c r="I384" s="197" t="n">
        <v>0</v>
      </c>
      <c r="J384" s="199" t="s">
        <v>63</v>
      </c>
      <c r="K384" s="36" t="s">
        <v>107</v>
      </c>
      <c r="L384" s="197" t="n">
        <v>0</v>
      </c>
      <c r="M384" s="37" t="n">
        <f aca="false">I384*L384</f>
        <v>0</v>
      </c>
      <c r="N384" s="37" t="n">
        <f aca="false">IF(D384=1,M384*$D$555,0)</f>
        <v>0</v>
      </c>
      <c r="O384" s="37" t="n">
        <f aca="false">M384+N384</f>
        <v>0</v>
      </c>
      <c r="P384" s="194" t="n">
        <f aca="false">CHOOSE(E384,0,1,$N$355)</f>
        <v>0</v>
      </c>
      <c r="Q384" s="37" t="n">
        <f aca="false">N384*P384</f>
        <v>0</v>
      </c>
      <c r="R384" s="37" t="n">
        <f aca="false">O384-Q384</f>
        <v>0</v>
      </c>
      <c r="S384" s="201" t="s">
        <v>389</v>
      </c>
    </row>
    <row r="385" customFormat="false" ht="15" hidden="false" customHeight="false" outlineLevel="0" collapsed="false">
      <c r="C385" s="36" t="s">
        <v>394</v>
      </c>
      <c r="D385" s="195" t="n">
        <v>1</v>
      </c>
      <c r="E385" s="196" t="n">
        <v>3</v>
      </c>
      <c r="H385" s="198" t="s">
        <v>385</v>
      </c>
      <c r="I385" s="197" t="n">
        <v>30000</v>
      </c>
      <c r="M385" s="37" t="n">
        <f aca="false">I385*$I$43</f>
        <v>30000</v>
      </c>
      <c r="N385" s="37" t="n">
        <f aca="false">IF(D385=1,M385*$D$555,0)</f>
        <v>3000</v>
      </c>
      <c r="O385" s="37" t="n">
        <f aca="false">M385+N385</f>
        <v>33000</v>
      </c>
      <c r="P385" s="194" t="n">
        <f aca="false">CHOOSE(E385,0,1,$N$355)</f>
        <v>0.718765754934009</v>
      </c>
      <c r="Q385" s="37" t="n">
        <f aca="false">N385*P385</f>
        <v>2156.29726480203</v>
      </c>
      <c r="R385" s="37" t="n">
        <f aca="false">O385-Q385</f>
        <v>30843.702735198</v>
      </c>
      <c r="S385" s="201" t="s">
        <v>395</v>
      </c>
    </row>
    <row r="386" customFormat="false" ht="15" hidden="false" customHeight="false" outlineLevel="0" collapsed="false">
      <c r="B386" s="210" t="s">
        <v>396</v>
      </c>
      <c r="C386" s="211"/>
      <c r="D386" s="211"/>
      <c r="E386" s="211"/>
      <c r="F386" s="211"/>
      <c r="G386" s="211"/>
      <c r="H386" s="211"/>
      <c r="I386" s="211"/>
      <c r="J386" s="211"/>
      <c r="K386" s="211"/>
      <c r="L386" s="211"/>
      <c r="M386" s="212" t="n">
        <f aca="false">SUM(M382:M385)</f>
        <v>30000</v>
      </c>
      <c r="N386" s="212" t="n">
        <f aca="false">SUM(N382:N385)</f>
        <v>3000</v>
      </c>
      <c r="O386" s="212" t="n">
        <f aca="false">SUM(O382:O385)</f>
        <v>33000</v>
      </c>
      <c r="P386" s="213" t="n">
        <f aca="false">SUM(P382:P385)</f>
        <v>0.718765754934009</v>
      </c>
      <c r="Q386" s="212" t="n">
        <f aca="false">SUM(Q382:Q385)</f>
        <v>2156.29726480203</v>
      </c>
      <c r="R386" s="212" t="n">
        <f aca="false">SUM(R382:R385)</f>
        <v>30843.702735198</v>
      </c>
      <c r="S386" s="211"/>
    </row>
    <row r="387" customFormat="false" ht="15" hidden="false" customHeight="false" outlineLevel="0" collapsed="false">
      <c r="B387" s="32" t="s">
        <v>26</v>
      </c>
      <c r="C387" s="36" t="s">
        <v>397</v>
      </c>
      <c r="D387" s="195" t="n">
        <v>0</v>
      </c>
      <c r="E387" s="196" t="n">
        <v>1</v>
      </c>
      <c r="H387" s="198" t="s">
        <v>398</v>
      </c>
      <c r="I387" s="197" t="n">
        <v>993232</v>
      </c>
      <c r="J387" s="199" t="s">
        <v>63</v>
      </c>
      <c r="K387" s="36" t="s">
        <v>399</v>
      </c>
      <c r="L387" s="155" t="n">
        <v>0.0298</v>
      </c>
      <c r="M387" s="37" t="n">
        <f aca="false">I387*L387*$I$44</f>
        <v>29598.3136</v>
      </c>
      <c r="N387" s="37" t="n">
        <f aca="false">IF(D387=1,M387*$D$555,0)</f>
        <v>0</v>
      </c>
      <c r="O387" s="37" t="n">
        <f aca="false">M387+N387</f>
        <v>29598.3136</v>
      </c>
      <c r="P387" s="194" t="n">
        <f aca="false">CHOOSE(E387,0,1,$N$355)</f>
        <v>0</v>
      </c>
      <c r="Q387" s="37" t="n">
        <f aca="false">N387*P387</f>
        <v>0</v>
      </c>
      <c r="R387" s="37" t="n">
        <f aca="false">O387-Q387</f>
        <v>29598.3136</v>
      </c>
      <c r="S387" s="201" t="s">
        <v>104</v>
      </c>
    </row>
    <row r="388" customFormat="false" ht="15" hidden="false" customHeight="false" outlineLevel="0" collapsed="false">
      <c r="C388" s="36" t="s">
        <v>400</v>
      </c>
      <c r="D388" s="195" t="n">
        <v>0</v>
      </c>
      <c r="E388" s="196" t="n">
        <v>1</v>
      </c>
      <c r="H388" s="198" t="s">
        <v>306</v>
      </c>
      <c r="I388" s="197" t="n">
        <v>0</v>
      </c>
      <c r="M388" s="37" t="n">
        <f aca="false">I388</f>
        <v>0</v>
      </c>
      <c r="N388" s="37" t="n">
        <f aca="false">IF(D388=1,M388*$D$555,0)</f>
        <v>0</v>
      </c>
      <c r="O388" s="37" t="n">
        <f aca="false">M388+N388</f>
        <v>0</v>
      </c>
      <c r="P388" s="194" t="n">
        <f aca="false">CHOOSE(E388,0,1,$N$355)</f>
        <v>0</v>
      </c>
      <c r="Q388" s="37" t="n">
        <f aca="false">N388*P388</f>
        <v>0</v>
      </c>
      <c r="R388" s="37" t="n">
        <f aca="false">O388-Q388</f>
        <v>0</v>
      </c>
      <c r="S388" s="201" t="s">
        <v>104</v>
      </c>
    </row>
    <row r="389" customFormat="false" ht="15" hidden="false" customHeight="false" outlineLevel="0" collapsed="false">
      <c r="B389" s="210" t="s">
        <v>401</v>
      </c>
      <c r="C389" s="211"/>
      <c r="D389" s="211"/>
      <c r="E389" s="211"/>
      <c r="F389" s="211"/>
      <c r="G389" s="211"/>
      <c r="H389" s="211"/>
      <c r="I389" s="211"/>
      <c r="J389" s="211"/>
      <c r="K389" s="211"/>
      <c r="L389" s="211"/>
      <c r="M389" s="212" t="n">
        <f aca="false">SUM(M387:M388)</f>
        <v>29598.3136</v>
      </c>
      <c r="N389" s="212" t="n">
        <f aca="false">SUM(N387:N388)</f>
        <v>0</v>
      </c>
      <c r="O389" s="212" t="n">
        <f aca="false">SUM(O387:O388)</f>
        <v>29598.3136</v>
      </c>
      <c r="P389" s="213" t="n">
        <f aca="false">SUM(P387:P388)</f>
        <v>0</v>
      </c>
      <c r="Q389" s="212" t="n">
        <f aca="false">SUM(Q387:Q388)</f>
        <v>0</v>
      </c>
      <c r="R389" s="212" t="n">
        <f aca="false">SUM(R387:R388)</f>
        <v>29598.3136</v>
      </c>
      <c r="S389" s="211"/>
    </row>
    <row r="390" customFormat="false" ht="15" hidden="false" customHeight="false" outlineLevel="0" collapsed="false">
      <c r="B390" s="205" t="s">
        <v>402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06" t="n">
        <f aca="false">M363+M367+M381+M386+M389</f>
        <v>1360475.09656305</v>
      </c>
      <c r="N390" s="206" t="n">
        <f aca="false">N363+N367+N381+N386+N389</f>
        <v>106323.278296305</v>
      </c>
      <c r="O390" s="206" t="n">
        <f aca="false">O363+O367+O381+O386+O389</f>
        <v>1466798.37485935</v>
      </c>
      <c r="P390" s="1"/>
      <c r="Q390" s="206" t="n">
        <f aca="false">Q363+Q367+Q381+Q386+Q389</f>
        <v>78028.1317841252</v>
      </c>
      <c r="R390" s="206" t="n">
        <f aca="false">R363+R367+R381+R386+R389</f>
        <v>1388770.24307522</v>
      </c>
      <c r="S390" s="1"/>
    </row>
    <row r="391" customFormat="false" ht="15" hidden="false" customHeight="false" outlineLevel="0" collapsed="false">
      <c r="B391" s="151" t="s">
        <v>300</v>
      </c>
    </row>
    <row r="392" customFormat="false" ht="15" hidden="false" customHeight="false" outlineLevel="0" collapsed="false">
      <c r="B392" s="32" t="s">
        <v>300</v>
      </c>
      <c r="C392" s="153" t="s">
        <v>403</v>
      </c>
      <c r="D392" s="195" t="n">
        <v>0</v>
      </c>
      <c r="E392" s="196" t="n">
        <v>1</v>
      </c>
      <c r="H392" s="198" t="s">
        <v>306</v>
      </c>
      <c r="I392" s="37" t="n">
        <f aca="false">$E$561</f>
        <v>31542.554397</v>
      </c>
      <c r="K392" s="214" t="s">
        <v>404</v>
      </c>
      <c r="M392" s="37" t="n">
        <f aca="false">I392</f>
        <v>31542.554397</v>
      </c>
      <c r="N392" s="37" t="n">
        <f aca="false">IF(D392=1,M392*$D$555,0)</f>
        <v>0</v>
      </c>
      <c r="O392" s="37" t="n">
        <f aca="false">M392+N392</f>
        <v>31542.554397</v>
      </c>
      <c r="P392" s="194" t="n">
        <f aca="false">CHOOSE(E392,0,1,$N$355)</f>
        <v>0</v>
      </c>
      <c r="Q392" s="37" t="n">
        <f aca="false">N392*P392</f>
        <v>0</v>
      </c>
      <c r="R392" s="37" t="n">
        <f aca="false">O392-Q392</f>
        <v>31542.554397</v>
      </c>
      <c r="S392" s="209" t="s">
        <v>405</v>
      </c>
    </row>
    <row r="393" customFormat="false" ht="15" hidden="false" customHeight="false" outlineLevel="0" collapsed="false">
      <c r="C393" s="153" t="s">
        <v>406</v>
      </c>
      <c r="D393" s="195" t="n">
        <v>0</v>
      </c>
      <c r="E393" s="196" t="n">
        <v>1</v>
      </c>
      <c r="H393" s="198" t="s">
        <v>306</v>
      </c>
      <c r="I393" s="37" t="n">
        <f aca="false">$E$562</f>
        <v>19183.889359</v>
      </c>
      <c r="K393" s="214" t="s">
        <v>404</v>
      </c>
      <c r="M393" s="37" t="n">
        <f aca="false">I393</f>
        <v>19183.889359</v>
      </c>
      <c r="N393" s="37" t="n">
        <f aca="false">IF(D393=1,M393*$D$555,0)</f>
        <v>0</v>
      </c>
      <c r="O393" s="37" t="n">
        <f aca="false">M393+N393</f>
        <v>19183.889359</v>
      </c>
      <c r="P393" s="194" t="n">
        <f aca="false">CHOOSE(E393,0,1,$N$355)</f>
        <v>0</v>
      </c>
      <c r="Q393" s="37" t="n">
        <f aca="false">N393*P393</f>
        <v>0</v>
      </c>
      <c r="R393" s="37" t="n">
        <f aca="false">O393-Q393</f>
        <v>19183.889359</v>
      </c>
      <c r="S393" s="209" t="s">
        <v>405</v>
      </c>
    </row>
    <row r="394" customFormat="false" ht="15" hidden="false" customHeight="false" outlineLevel="0" collapsed="false">
      <c r="C394" s="153" t="s">
        <v>407</v>
      </c>
      <c r="D394" s="195" t="n">
        <v>0</v>
      </c>
      <c r="E394" s="196" t="n">
        <v>1</v>
      </c>
      <c r="H394" s="198" t="s">
        <v>306</v>
      </c>
      <c r="I394" s="37" t="n">
        <f aca="false">$E$563</f>
        <v>17629.919383</v>
      </c>
      <c r="K394" s="214" t="s">
        <v>404</v>
      </c>
      <c r="M394" s="37" t="n">
        <f aca="false">I394</f>
        <v>17629.919383</v>
      </c>
      <c r="N394" s="37" t="n">
        <f aca="false">IF(D394=1,M394*$D$555,0)</f>
        <v>0</v>
      </c>
      <c r="O394" s="37" t="n">
        <f aca="false">M394+N394</f>
        <v>17629.919383</v>
      </c>
      <c r="P394" s="194" t="n">
        <f aca="false">CHOOSE(E394,0,1,$N$355)</f>
        <v>0</v>
      </c>
      <c r="Q394" s="37" t="n">
        <f aca="false">N394*P394</f>
        <v>0</v>
      </c>
      <c r="R394" s="37" t="n">
        <f aca="false">O394-Q394</f>
        <v>17629.919383</v>
      </c>
      <c r="S394" s="209" t="s">
        <v>405</v>
      </c>
    </row>
    <row r="395" customFormat="false" ht="15" hidden="false" customHeight="false" outlineLevel="0" collapsed="false">
      <c r="C395" s="153" t="s">
        <v>408</v>
      </c>
      <c r="D395" s="195" t="n">
        <v>0</v>
      </c>
      <c r="E395" s="196" t="n">
        <v>1</v>
      </c>
      <c r="H395" s="198" t="s">
        <v>306</v>
      </c>
      <c r="I395" s="37" t="n">
        <f aca="false">$E$564</f>
        <v>1080.443755</v>
      </c>
      <c r="K395" s="214" t="s">
        <v>404</v>
      </c>
      <c r="M395" s="37" t="n">
        <f aca="false">I395</f>
        <v>1080.443755</v>
      </c>
      <c r="N395" s="37" t="n">
        <f aca="false">IF(D395=1,M395*$D$555,0)</f>
        <v>0</v>
      </c>
      <c r="O395" s="37" t="n">
        <f aca="false">M395+N395</f>
        <v>1080.443755</v>
      </c>
      <c r="P395" s="194" t="n">
        <f aca="false">CHOOSE(E395,0,1,$N$355)</f>
        <v>0</v>
      </c>
      <c r="Q395" s="37" t="n">
        <f aca="false">N395*P395</f>
        <v>0</v>
      </c>
      <c r="R395" s="37" t="n">
        <f aca="false">O395-Q395</f>
        <v>1080.443755</v>
      </c>
      <c r="S395" s="209" t="s">
        <v>405</v>
      </c>
    </row>
    <row r="396" customFormat="false" ht="15" hidden="false" customHeight="false" outlineLevel="0" collapsed="false">
      <c r="C396" s="153" t="s">
        <v>409</v>
      </c>
      <c r="D396" s="195" t="n">
        <v>0</v>
      </c>
      <c r="E396" s="196" t="n">
        <v>1</v>
      </c>
      <c r="H396" s="198" t="s">
        <v>306</v>
      </c>
      <c r="I396" s="37" t="n">
        <f aca="false">$E$565</f>
        <v>1560.68097</v>
      </c>
      <c r="K396" s="214" t="s">
        <v>404</v>
      </c>
      <c r="M396" s="37" t="n">
        <f aca="false">I396</f>
        <v>1560.68097</v>
      </c>
      <c r="N396" s="37" t="n">
        <f aca="false">IF(D396=1,M396*$D$555,0)</f>
        <v>0</v>
      </c>
      <c r="O396" s="37" t="n">
        <f aca="false">M396+N396</f>
        <v>1560.68097</v>
      </c>
      <c r="P396" s="194" t="n">
        <f aca="false">CHOOSE(E396,0,1,$N$355)</f>
        <v>0</v>
      </c>
      <c r="Q396" s="37" t="n">
        <f aca="false">N396*P396</f>
        <v>0</v>
      </c>
      <c r="R396" s="37" t="n">
        <f aca="false">O396-Q396</f>
        <v>1560.68097</v>
      </c>
      <c r="S396" s="209" t="s">
        <v>405</v>
      </c>
    </row>
    <row r="397" customFormat="false" ht="15" hidden="false" customHeight="false" outlineLevel="0" collapsed="false">
      <c r="C397" s="153" t="s">
        <v>410</v>
      </c>
      <c r="D397" s="195" t="n">
        <v>0</v>
      </c>
      <c r="E397" s="196" t="n">
        <v>1</v>
      </c>
      <c r="H397" s="198" t="s">
        <v>306</v>
      </c>
      <c r="I397" s="37" t="n">
        <f aca="false">$E$566</f>
        <v>13013.059032</v>
      </c>
      <c r="K397" s="214" t="s">
        <v>404</v>
      </c>
      <c r="M397" s="37" t="n">
        <f aca="false">I397</f>
        <v>13013.059032</v>
      </c>
      <c r="N397" s="37" t="n">
        <f aca="false">IF(D397=1,M397*$D$555,0)</f>
        <v>0</v>
      </c>
      <c r="O397" s="37" t="n">
        <f aca="false">M397+N397</f>
        <v>13013.059032</v>
      </c>
      <c r="P397" s="194" t="n">
        <f aca="false">CHOOSE(E397,0,1,$N$355)</f>
        <v>0</v>
      </c>
      <c r="Q397" s="37" t="n">
        <f aca="false">N397*P397</f>
        <v>0</v>
      </c>
      <c r="R397" s="37" t="n">
        <f aca="false">O397-Q397</f>
        <v>13013.059032</v>
      </c>
      <c r="S397" s="209" t="s">
        <v>405</v>
      </c>
    </row>
    <row r="398" customFormat="false" ht="15" hidden="false" customHeight="false" outlineLevel="0" collapsed="false">
      <c r="C398" s="153" t="s">
        <v>411</v>
      </c>
      <c r="D398" s="195" t="n">
        <v>0</v>
      </c>
      <c r="E398" s="196" t="n">
        <v>1</v>
      </c>
      <c r="H398" s="198" t="s">
        <v>306</v>
      </c>
      <c r="I398" s="37" t="n">
        <f aca="false">$E$567</f>
        <v>1641.505341</v>
      </c>
      <c r="K398" s="214" t="s">
        <v>404</v>
      </c>
      <c r="M398" s="37" t="n">
        <f aca="false">I398</f>
        <v>1641.505341</v>
      </c>
      <c r="N398" s="37" t="n">
        <f aca="false">IF(D398=1,M398*$D$555,0)</f>
        <v>0</v>
      </c>
      <c r="O398" s="37" t="n">
        <f aca="false">M398+N398</f>
        <v>1641.505341</v>
      </c>
      <c r="P398" s="194" t="n">
        <f aca="false">CHOOSE(E398,0,1,$N$355)</f>
        <v>0</v>
      </c>
      <c r="Q398" s="37" t="n">
        <f aca="false">N398*P398</f>
        <v>0</v>
      </c>
      <c r="R398" s="37" t="n">
        <f aca="false">O398-Q398</f>
        <v>1641.505341</v>
      </c>
      <c r="S398" s="209" t="s">
        <v>405</v>
      </c>
    </row>
    <row r="399" customFormat="false" ht="15" hidden="false" customHeight="false" outlineLevel="0" collapsed="false">
      <c r="C399" s="153" t="s">
        <v>412</v>
      </c>
      <c r="D399" s="195" t="n">
        <v>0</v>
      </c>
      <c r="E399" s="196" t="n">
        <v>1</v>
      </c>
      <c r="H399" s="198" t="s">
        <v>306</v>
      </c>
      <c r="I399" s="37" t="n">
        <f aca="false">$E$568</f>
        <v>1642.654854</v>
      </c>
      <c r="K399" s="214" t="s">
        <v>404</v>
      </c>
      <c r="M399" s="37" t="n">
        <f aca="false">I399</f>
        <v>1642.654854</v>
      </c>
      <c r="N399" s="37" t="n">
        <f aca="false">IF(D399=1,M399*$D$555,0)</f>
        <v>0</v>
      </c>
      <c r="O399" s="37" t="n">
        <f aca="false">M399+N399</f>
        <v>1642.654854</v>
      </c>
      <c r="P399" s="194" t="n">
        <f aca="false">CHOOSE(E399,0,1,$N$355)</f>
        <v>0</v>
      </c>
      <c r="Q399" s="37" t="n">
        <f aca="false">N399*P399</f>
        <v>0</v>
      </c>
      <c r="R399" s="37" t="n">
        <f aca="false">O399-Q399</f>
        <v>1642.654854</v>
      </c>
      <c r="S399" s="209" t="s">
        <v>405</v>
      </c>
    </row>
    <row r="400" customFormat="false" ht="15" hidden="false" customHeight="false" outlineLevel="0" collapsed="false">
      <c r="C400" s="153" t="s">
        <v>413</v>
      </c>
      <c r="D400" s="195" t="n">
        <v>0</v>
      </c>
      <c r="E400" s="196" t="n">
        <v>1</v>
      </c>
      <c r="H400" s="198" t="s">
        <v>306</v>
      </c>
      <c r="I400" s="37" t="n">
        <f aca="false">$E$569</f>
        <v>8210.975244</v>
      </c>
      <c r="K400" s="214" t="s">
        <v>404</v>
      </c>
      <c r="M400" s="37" t="n">
        <f aca="false">I400</f>
        <v>8210.975244</v>
      </c>
      <c r="N400" s="37" t="n">
        <f aca="false">IF(D400=1,M400*$D$555,0)</f>
        <v>0</v>
      </c>
      <c r="O400" s="37" t="n">
        <f aca="false">M400+N400</f>
        <v>8210.975244</v>
      </c>
      <c r="P400" s="194" t="n">
        <f aca="false">CHOOSE(E400,0,1,$N$355)</f>
        <v>0</v>
      </c>
      <c r="Q400" s="37" t="n">
        <f aca="false">N400*P400</f>
        <v>0</v>
      </c>
      <c r="R400" s="37" t="n">
        <f aca="false">O400-Q400</f>
        <v>8210.975244</v>
      </c>
      <c r="S400" s="209" t="s">
        <v>405</v>
      </c>
    </row>
    <row r="401" customFormat="false" ht="15" hidden="false" customHeight="false" outlineLevel="0" collapsed="false">
      <c r="B401" s="205" t="s">
        <v>414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06" t="n">
        <f aca="false">SUM(M392:M400)</f>
        <v>95505.682335</v>
      </c>
      <c r="N401" s="206" t="n">
        <f aca="false">SUM(N392:N400)</f>
        <v>0</v>
      </c>
      <c r="O401" s="206" t="n">
        <f aca="false">SUM(O392:O400)</f>
        <v>95505.682335</v>
      </c>
      <c r="P401" s="207" t="n">
        <f aca="false">SUM(P392:P400)</f>
        <v>0</v>
      </c>
      <c r="Q401" s="206" t="n">
        <f aca="false">SUM(Q392:Q400)</f>
        <v>0</v>
      </c>
      <c r="R401" s="206" t="n">
        <f aca="false">SUM(R392:R400)</f>
        <v>95505.682335</v>
      </c>
      <c r="S401" s="1"/>
    </row>
    <row r="402" customFormat="false" ht="15" hidden="false" customHeight="false" outlineLevel="0" collapsed="false">
      <c r="B402" s="151" t="s">
        <v>325</v>
      </c>
    </row>
    <row r="403" customFormat="false" ht="15" hidden="false" customHeight="false" outlineLevel="0" collapsed="false">
      <c r="B403" s="32" t="s">
        <v>325</v>
      </c>
      <c r="C403" s="36" t="s">
        <v>415</v>
      </c>
      <c r="D403" s="195" t="n">
        <v>1</v>
      </c>
      <c r="E403" s="196" t="n">
        <v>3</v>
      </c>
      <c r="H403" s="198" t="s">
        <v>416</v>
      </c>
      <c r="I403" s="197" t="n">
        <v>1000</v>
      </c>
      <c r="J403" s="199" t="s">
        <v>63</v>
      </c>
      <c r="K403" s="36" t="s">
        <v>417</v>
      </c>
      <c r="L403" s="215" t="n">
        <f aca="false">$E$25</f>
        <v>5</v>
      </c>
      <c r="M403" s="37" t="n">
        <f aca="false">I403*L403*$I$45</f>
        <v>5000</v>
      </c>
      <c r="N403" s="37" t="n">
        <f aca="false">IF(D403=1,M403*$D$555,0)</f>
        <v>500</v>
      </c>
      <c r="O403" s="37" t="n">
        <f aca="false">M403+N403</f>
        <v>5500</v>
      </c>
      <c r="P403" s="194" t="n">
        <f aca="false">CHOOSE(E403,0,1,$N$355)</f>
        <v>0.718765754934009</v>
      </c>
      <c r="Q403" s="37" t="n">
        <f aca="false">N403*P403</f>
        <v>359.382877467004</v>
      </c>
      <c r="R403" s="37" t="n">
        <f aca="false">O403-Q403</f>
        <v>5140.617122533</v>
      </c>
      <c r="S403" s="201" t="s">
        <v>418</v>
      </c>
    </row>
    <row r="404" customFormat="false" ht="15" hidden="false" customHeight="false" outlineLevel="0" collapsed="false">
      <c r="C404" s="36" t="s">
        <v>419</v>
      </c>
      <c r="D404" s="195" t="n">
        <v>1</v>
      </c>
      <c r="E404" s="196" t="n">
        <v>3</v>
      </c>
      <c r="H404" s="198" t="s">
        <v>420</v>
      </c>
      <c r="I404" s="37" t="n">
        <f aca="false">$M$358+$M$359</f>
        <v>232320</v>
      </c>
      <c r="J404" s="199" t="s">
        <v>63</v>
      </c>
      <c r="K404" s="36" t="s">
        <v>353</v>
      </c>
      <c r="L404" s="202" t="n">
        <v>0.02</v>
      </c>
      <c r="M404" s="37" t="n">
        <f aca="false">I404*L404</f>
        <v>4646.4</v>
      </c>
      <c r="N404" s="37" t="n">
        <f aca="false">IF(D404=1,M404*$D$555,0)</f>
        <v>464.64</v>
      </c>
      <c r="O404" s="37" t="n">
        <f aca="false">M404+N404</f>
        <v>5111.04</v>
      </c>
      <c r="P404" s="194" t="n">
        <f aca="false">CHOOSE(E404,0,1,$N$355)</f>
        <v>0.718765754934009</v>
      </c>
      <c r="Q404" s="37" t="n">
        <f aca="false">N404*P404</f>
        <v>333.967320372538</v>
      </c>
      <c r="R404" s="37" t="n">
        <f aca="false">O404-Q404</f>
        <v>4777.07267962746</v>
      </c>
      <c r="S404" s="201" t="s">
        <v>102</v>
      </c>
    </row>
    <row r="405" customFormat="false" ht="15" hidden="false" customHeight="false" outlineLevel="0" collapsed="false">
      <c r="C405" s="36" t="s">
        <v>421</v>
      </c>
      <c r="D405" s="195" t="n">
        <v>1</v>
      </c>
      <c r="E405" s="196" t="n">
        <v>3</v>
      </c>
      <c r="H405" s="198" t="s">
        <v>416</v>
      </c>
      <c r="I405" s="197" t="n">
        <v>20</v>
      </c>
      <c r="J405" s="199" t="s">
        <v>63</v>
      </c>
      <c r="K405" s="36" t="s">
        <v>417</v>
      </c>
      <c r="L405" s="215" t="n">
        <f aca="false">$E$25</f>
        <v>5</v>
      </c>
      <c r="M405" s="37" t="n">
        <f aca="false">I405*L405*$I$45</f>
        <v>100</v>
      </c>
      <c r="N405" s="37" t="n">
        <f aca="false">IF(D405=1,M405*$D$555,0)</f>
        <v>10</v>
      </c>
      <c r="O405" s="37" t="n">
        <f aca="false">M405+N405</f>
        <v>110</v>
      </c>
      <c r="P405" s="194" t="n">
        <f aca="false">CHOOSE(E405,0,1,$N$355)</f>
        <v>0.718765754934009</v>
      </c>
      <c r="Q405" s="37" t="n">
        <f aca="false">N405*P405</f>
        <v>7.18765754934009</v>
      </c>
      <c r="R405" s="37" t="n">
        <f aca="false">O405-Q405</f>
        <v>102.81234245066</v>
      </c>
      <c r="S405" s="201" t="s">
        <v>418</v>
      </c>
    </row>
    <row r="406" customFormat="false" ht="15" hidden="false" customHeight="false" outlineLevel="0" collapsed="false">
      <c r="C406" s="36" t="s">
        <v>422</v>
      </c>
      <c r="D406" s="195" t="n">
        <v>1</v>
      </c>
      <c r="E406" s="196" t="n">
        <v>3</v>
      </c>
      <c r="H406" s="198" t="s">
        <v>416</v>
      </c>
      <c r="I406" s="197" t="n">
        <v>30</v>
      </c>
      <c r="J406" s="199" t="s">
        <v>63</v>
      </c>
      <c r="K406" s="36" t="s">
        <v>417</v>
      </c>
      <c r="L406" s="215" t="n">
        <f aca="false">$E$25</f>
        <v>5</v>
      </c>
      <c r="M406" s="37" t="n">
        <f aca="false">I406*L406*$I$45</f>
        <v>150</v>
      </c>
      <c r="N406" s="37" t="n">
        <f aca="false">IF(D406=1,M406*$D$555,0)</f>
        <v>15</v>
      </c>
      <c r="O406" s="37" t="n">
        <f aca="false">M406+N406</f>
        <v>165</v>
      </c>
      <c r="P406" s="194" t="n">
        <f aca="false">CHOOSE(E406,0,1,$N$355)</f>
        <v>0.718765754934009</v>
      </c>
      <c r="Q406" s="37" t="n">
        <f aca="false">N406*P406</f>
        <v>10.7814863240101</v>
      </c>
      <c r="R406" s="37" t="n">
        <f aca="false">O406-Q406</f>
        <v>154.21851367599</v>
      </c>
      <c r="S406" s="201" t="s">
        <v>418</v>
      </c>
    </row>
    <row r="407" customFormat="false" ht="15" hidden="false" customHeight="false" outlineLevel="0" collapsed="false">
      <c r="C407" s="36" t="s">
        <v>423</v>
      </c>
      <c r="D407" s="195" t="n">
        <v>1</v>
      </c>
      <c r="E407" s="196" t="n">
        <v>3</v>
      </c>
      <c r="H407" s="198" t="s">
        <v>416</v>
      </c>
      <c r="I407" s="197" t="n">
        <v>30</v>
      </c>
      <c r="J407" s="199" t="s">
        <v>63</v>
      </c>
      <c r="K407" s="36" t="s">
        <v>424</v>
      </c>
      <c r="L407" s="215" t="n">
        <f aca="false">$E$25</f>
        <v>5</v>
      </c>
      <c r="M407" s="37" t="n">
        <f aca="false">I407*L407*$I$45</f>
        <v>150</v>
      </c>
      <c r="N407" s="37" t="n">
        <f aca="false">IF(D407=1,M407*$D$555,0)</f>
        <v>15</v>
      </c>
      <c r="O407" s="37" t="n">
        <f aca="false">M407+N407</f>
        <v>165</v>
      </c>
      <c r="P407" s="194" t="n">
        <f aca="false">CHOOSE(E407,0,1,$N$355)</f>
        <v>0.718765754934009</v>
      </c>
      <c r="Q407" s="37" t="n">
        <f aca="false">N407*P407</f>
        <v>10.7814863240101</v>
      </c>
      <c r="R407" s="37" t="n">
        <f aca="false">O407-Q407</f>
        <v>154.21851367599</v>
      </c>
      <c r="S407" s="201" t="s">
        <v>418</v>
      </c>
    </row>
    <row r="408" customFormat="false" ht="15" hidden="false" customHeight="false" outlineLevel="0" collapsed="false">
      <c r="C408" s="36" t="s">
        <v>425</v>
      </c>
      <c r="D408" s="195" t="n">
        <v>1</v>
      </c>
      <c r="E408" s="196" t="n">
        <v>3</v>
      </c>
      <c r="H408" s="198" t="s">
        <v>416</v>
      </c>
      <c r="I408" s="197" t="n">
        <v>5</v>
      </c>
      <c r="J408" s="199" t="s">
        <v>63</v>
      </c>
      <c r="K408" s="36" t="s">
        <v>417</v>
      </c>
      <c r="L408" s="215" t="n">
        <f aca="false">$E$25</f>
        <v>5</v>
      </c>
      <c r="M408" s="37" t="n">
        <f aca="false">I408*L408*$I$45</f>
        <v>25</v>
      </c>
      <c r="N408" s="37" t="n">
        <f aca="false">IF(D408=1,M408*$D$555,0)</f>
        <v>2.5</v>
      </c>
      <c r="O408" s="37" t="n">
        <f aca="false">M408+N408</f>
        <v>27.5</v>
      </c>
      <c r="P408" s="194" t="n">
        <f aca="false">CHOOSE(E408,0,1,$N$355)</f>
        <v>0.718765754934009</v>
      </c>
      <c r="Q408" s="37" t="n">
        <f aca="false">N408*P408</f>
        <v>1.79691438733502</v>
      </c>
      <c r="R408" s="37" t="n">
        <f aca="false">O408-Q408</f>
        <v>25.703085612665</v>
      </c>
      <c r="S408" s="201" t="s">
        <v>418</v>
      </c>
    </row>
    <row r="409" customFormat="false" ht="15" hidden="false" customHeight="false" outlineLevel="0" collapsed="false">
      <c r="C409" s="36" t="s">
        <v>426</v>
      </c>
      <c r="D409" s="195" t="n">
        <v>0</v>
      </c>
      <c r="E409" s="196" t="n">
        <v>1</v>
      </c>
      <c r="H409" s="198" t="s">
        <v>427</v>
      </c>
      <c r="I409" s="37" t="n">
        <f aca="false">$E$560</f>
        <v>287378.385966</v>
      </c>
      <c r="J409" s="199" t="s">
        <v>63</v>
      </c>
      <c r="K409" s="36" t="s">
        <v>353</v>
      </c>
      <c r="L409" s="155" t="n">
        <v>0.005</v>
      </c>
      <c r="M409" s="37" t="n">
        <f aca="false">I409*L409</f>
        <v>1436.89192983</v>
      </c>
      <c r="N409" s="37" t="n">
        <f aca="false">IF(D409=1,M409*$D$555,0)</f>
        <v>0</v>
      </c>
      <c r="O409" s="37" t="n">
        <f aca="false">M409+N409</f>
        <v>1436.89192983</v>
      </c>
      <c r="P409" s="194" t="n">
        <f aca="false">CHOOSE(E409,0,1,$N$355)</f>
        <v>0</v>
      </c>
      <c r="Q409" s="37" t="n">
        <f aca="false">N409*P409</f>
        <v>0</v>
      </c>
      <c r="R409" s="37" t="n">
        <f aca="false">O409-Q409</f>
        <v>1436.89192983</v>
      </c>
      <c r="S409" s="201" t="s">
        <v>428</v>
      </c>
    </row>
    <row r="410" customFormat="false" ht="15" hidden="false" customHeight="false" outlineLevel="0" collapsed="false">
      <c r="C410" s="36" t="s">
        <v>429</v>
      </c>
      <c r="D410" s="195" t="n">
        <v>1</v>
      </c>
      <c r="E410" s="196" t="n">
        <v>3</v>
      </c>
      <c r="H410" s="198" t="s">
        <v>306</v>
      </c>
      <c r="I410" s="197" t="n">
        <v>300</v>
      </c>
      <c r="M410" s="37" t="n">
        <f aca="false">I410*$I$45</f>
        <v>300</v>
      </c>
      <c r="N410" s="37" t="n">
        <f aca="false">IF(D410=1,M410*$D$555,0)</f>
        <v>30</v>
      </c>
      <c r="O410" s="37" t="n">
        <f aca="false">M410+N410</f>
        <v>330</v>
      </c>
      <c r="P410" s="194" t="n">
        <f aca="false">CHOOSE(E410,0,1,$N$355)</f>
        <v>0.718765754934009</v>
      </c>
      <c r="Q410" s="37" t="n">
        <f aca="false">N410*P410</f>
        <v>21.5629726480203</v>
      </c>
      <c r="R410" s="37" t="n">
        <f aca="false">O410-Q410</f>
        <v>308.43702735198</v>
      </c>
      <c r="S410" s="201" t="s">
        <v>428</v>
      </c>
    </row>
    <row r="411" customFormat="false" ht="15" hidden="false" customHeight="false" outlineLevel="0" collapsed="false">
      <c r="C411" s="36" t="s">
        <v>303</v>
      </c>
      <c r="D411" s="195" t="n">
        <v>0</v>
      </c>
      <c r="E411" s="196" t="n">
        <v>1</v>
      </c>
      <c r="H411" s="198" t="s">
        <v>306</v>
      </c>
      <c r="I411" s="197" t="n">
        <v>200</v>
      </c>
      <c r="M411" s="37" t="n">
        <f aca="false">I411*$I$45</f>
        <v>200</v>
      </c>
      <c r="N411" s="37" t="n">
        <f aca="false">IF(D411=1,M411*$D$555,0)</f>
        <v>0</v>
      </c>
      <c r="O411" s="37" t="n">
        <f aca="false">M411+N411</f>
        <v>200</v>
      </c>
      <c r="P411" s="194" t="n">
        <f aca="false">CHOOSE(E411,0,1,$N$355)</f>
        <v>0</v>
      </c>
      <c r="Q411" s="37" t="n">
        <f aca="false">N411*P411</f>
        <v>0</v>
      </c>
      <c r="R411" s="37" t="n">
        <f aca="false">O411-Q411</f>
        <v>200</v>
      </c>
      <c r="S411" s="201" t="s">
        <v>428</v>
      </c>
    </row>
    <row r="412" customFormat="false" ht="15" hidden="false" customHeight="false" outlineLevel="0" collapsed="false">
      <c r="B412" s="205" t="s">
        <v>430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06" t="n">
        <f aca="false">SUM(M403:M411)</f>
        <v>12008.29192983</v>
      </c>
      <c r="N412" s="206" t="n">
        <f aca="false">SUM(N403:N411)</f>
        <v>1037.14</v>
      </c>
      <c r="O412" s="206" t="n">
        <f aca="false">SUM(O403:O411)</f>
        <v>13045.43192983</v>
      </c>
      <c r="P412" s="207" t="n">
        <f aca="false">SUM(P403:P411)</f>
        <v>5.03136028453806</v>
      </c>
      <c r="Q412" s="206" t="n">
        <f aca="false">SUM(Q403:Q411)</f>
        <v>745.460715072258</v>
      </c>
      <c r="R412" s="206" t="n">
        <f aca="false">SUM(R403:R411)</f>
        <v>12299.9712147577</v>
      </c>
      <c r="S412" s="1"/>
    </row>
    <row r="413" customFormat="false" ht="15" hidden="false" customHeight="false" outlineLevel="0" collapsed="false">
      <c r="B413" s="205" t="s">
        <v>431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06" t="n">
        <f aca="false">M390+M401+M412</f>
        <v>1467989.07082788</v>
      </c>
      <c r="N413" s="206" t="n">
        <f aca="false">N390+N401+N412</f>
        <v>107360.418296305</v>
      </c>
      <c r="O413" s="206" t="n">
        <f aca="false">O390+O401+O412</f>
        <v>1575349.48912418</v>
      </c>
      <c r="P413" s="1"/>
      <c r="Q413" s="206" t="n">
        <f aca="false">Q390+Q401+Q412</f>
        <v>78773.5924991974</v>
      </c>
      <c r="R413" s="206" t="n">
        <f aca="false">R390+R401+R412</f>
        <v>1496575.89662498</v>
      </c>
      <c r="S413" s="1"/>
    </row>
    <row r="416" customFormat="false" ht="15" hidden="false" customHeight="false" outlineLevel="0" collapsed="false">
      <c r="A416" s="46" t="s">
        <v>432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customFormat="false" ht="15" hidden="false" customHeight="false" outlineLevel="0" collapsed="false">
      <c r="D417" s="193" t="s">
        <v>329</v>
      </c>
      <c r="E417" s="193" t="s">
        <v>330</v>
      </c>
    </row>
    <row r="418" customFormat="false" ht="15" hidden="false" customHeight="false" outlineLevel="0" collapsed="false">
      <c r="B418" s="68" t="s">
        <v>121</v>
      </c>
      <c r="C418" s="68" t="s">
        <v>433</v>
      </c>
      <c r="D418" s="44" t="s">
        <v>332</v>
      </c>
      <c r="E418" s="44" t="s">
        <v>333</v>
      </c>
      <c r="F418" s="68" t="s">
        <v>434</v>
      </c>
      <c r="G418" s="68" t="s">
        <v>353</v>
      </c>
      <c r="H418" s="68" t="s">
        <v>336</v>
      </c>
      <c r="I418" s="68"/>
      <c r="J418" s="68"/>
      <c r="K418" s="68"/>
      <c r="L418" s="68"/>
      <c r="M418" s="68" t="s">
        <v>339</v>
      </c>
      <c r="N418" s="44" t="s">
        <v>340</v>
      </c>
      <c r="O418" s="68" t="s">
        <v>341</v>
      </c>
      <c r="P418" s="44" t="s">
        <v>342</v>
      </c>
      <c r="Q418" s="44" t="s">
        <v>343</v>
      </c>
      <c r="R418" s="68" t="s">
        <v>344</v>
      </c>
    </row>
    <row r="419" customFormat="false" ht="15" hidden="false" customHeight="false" outlineLevel="0" collapsed="false">
      <c r="B419" s="32" t="s">
        <v>325</v>
      </c>
      <c r="C419" s="36" t="s">
        <v>415</v>
      </c>
      <c r="D419" s="38" t="n">
        <v>1</v>
      </c>
      <c r="E419" s="38" t="n">
        <v>3</v>
      </c>
      <c r="F419" s="197" t="n">
        <v>1200</v>
      </c>
      <c r="H419" s="36" t="s">
        <v>435</v>
      </c>
      <c r="M419" s="37" t="n">
        <f aca="false">F419*$E$26*$I$45</f>
        <v>6300</v>
      </c>
      <c r="N419" s="37" t="n">
        <f aca="false">IF(D419=1,M419*$D$555,0)</f>
        <v>630</v>
      </c>
      <c r="O419" s="37" t="n">
        <f aca="false">M419+N419</f>
        <v>6930</v>
      </c>
      <c r="P419" s="194" t="n">
        <f aca="false">CHOOSE(E419,0,1,$N$355)</f>
        <v>0.718765754934009</v>
      </c>
      <c r="Q419" s="37" t="n">
        <f aca="false">N419*P419</f>
        <v>452.822425608425</v>
      </c>
      <c r="R419" s="37" t="n">
        <f aca="false">O419-Q419</f>
        <v>6477.17757439158</v>
      </c>
    </row>
    <row r="420" customFormat="false" ht="15" hidden="false" customHeight="false" outlineLevel="0" collapsed="false">
      <c r="C420" s="36" t="s">
        <v>436</v>
      </c>
      <c r="D420" s="38" t="n">
        <v>1</v>
      </c>
      <c r="E420" s="38" t="n">
        <v>3</v>
      </c>
      <c r="F420" s="216" t="n">
        <f aca="false">$G$283</f>
        <v>1824235.87564974</v>
      </c>
      <c r="G420" s="202" t="n">
        <v>0.005</v>
      </c>
      <c r="H420" s="36" t="s">
        <v>437</v>
      </c>
      <c r="M420" s="37" t="n">
        <f aca="false">F420*G420</f>
        <v>9121.17937824872</v>
      </c>
      <c r="N420" s="37" t="n">
        <f aca="false">IF(D420=1,M420*$D$555,0)</f>
        <v>912.117937824872</v>
      </c>
      <c r="O420" s="37" t="n">
        <f aca="false">M420+N420</f>
        <v>10033.2973160736</v>
      </c>
      <c r="P420" s="194" t="n">
        <f aca="false">CHOOSE(E420,0,1,$N$355)</f>
        <v>0.718765754934009</v>
      </c>
      <c r="Q420" s="37" t="n">
        <f aca="false">N420*P420</f>
        <v>655.599138169545</v>
      </c>
      <c r="R420" s="37" t="n">
        <f aca="false">O420-Q420</f>
        <v>9377.69817790405</v>
      </c>
    </row>
    <row r="421" customFormat="false" ht="15" hidden="false" customHeight="false" outlineLevel="0" collapsed="false">
      <c r="C421" s="36" t="s">
        <v>421</v>
      </c>
      <c r="D421" s="38" t="n">
        <v>1</v>
      </c>
      <c r="E421" s="38" t="n">
        <v>3</v>
      </c>
      <c r="F421" s="197" t="n">
        <v>20</v>
      </c>
      <c r="H421" s="36" t="s">
        <v>435</v>
      </c>
      <c r="M421" s="37" t="n">
        <f aca="false">F421*$E$26*$I$45</f>
        <v>105</v>
      </c>
      <c r="N421" s="37" t="n">
        <f aca="false">IF(D421=1,M421*$D$555,0)</f>
        <v>10.5</v>
      </c>
      <c r="O421" s="37" t="n">
        <f aca="false">M421+N421</f>
        <v>115.5</v>
      </c>
      <c r="P421" s="194" t="n">
        <f aca="false">CHOOSE(E421,0,1,$N$355)</f>
        <v>0.718765754934009</v>
      </c>
      <c r="Q421" s="37" t="n">
        <f aca="false">N421*P421</f>
        <v>7.54704042680709</v>
      </c>
      <c r="R421" s="37" t="n">
        <f aca="false">O421-Q421</f>
        <v>107.952959573193</v>
      </c>
    </row>
    <row r="422" customFormat="false" ht="15" hidden="false" customHeight="false" outlineLevel="0" collapsed="false">
      <c r="C422" s="36" t="s">
        <v>422</v>
      </c>
      <c r="D422" s="38" t="n">
        <v>1</v>
      </c>
      <c r="E422" s="38" t="n">
        <v>3</v>
      </c>
      <c r="F422" s="197" t="n">
        <v>30</v>
      </c>
      <c r="H422" s="36" t="s">
        <v>435</v>
      </c>
      <c r="M422" s="37" t="n">
        <f aca="false">F422*$E$26*$I$45</f>
        <v>157.5</v>
      </c>
      <c r="N422" s="37" t="n">
        <f aca="false">IF(D422=1,M422*$D$555,0)</f>
        <v>15.75</v>
      </c>
      <c r="O422" s="37" t="n">
        <f aca="false">M422+N422</f>
        <v>173.25</v>
      </c>
      <c r="P422" s="194" t="n">
        <f aca="false">CHOOSE(E422,0,1,$N$355)</f>
        <v>0.718765754934009</v>
      </c>
      <c r="Q422" s="37" t="n">
        <f aca="false">N422*P422</f>
        <v>11.3205606402106</v>
      </c>
      <c r="R422" s="37" t="n">
        <f aca="false">O422-Q422</f>
        <v>161.929439359789</v>
      </c>
    </row>
    <row r="423" customFormat="false" ht="15" hidden="false" customHeight="false" outlineLevel="0" collapsed="false">
      <c r="C423" s="36" t="s">
        <v>423</v>
      </c>
      <c r="D423" s="38" t="n">
        <v>1</v>
      </c>
      <c r="E423" s="38" t="n">
        <v>3</v>
      </c>
      <c r="F423" s="197" t="n">
        <v>30</v>
      </c>
      <c r="H423" s="36" t="s">
        <v>435</v>
      </c>
      <c r="M423" s="37" t="n">
        <f aca="false">F423*$E$26*$I$45</f>
        <v>157.5</v>
      </c>
      <c r="N423" s="37" t="n">
        <f aca="false">IF(D423=1,M423*$D$555,0)</f>
        <v>15.75</v>
      </c>
      <c r="O423" s="37" t="n">
        <f aca="false">M423+N423</f>
        <v>173.25</v>
      </c>
      <c r="P423" s="194" t="n">
        <f aca="false">CHOOSE(E423,0,1,$N$355)</f>
        <v>0.718765754934009</v>
      </c>
      <c r="Q423" s="37" t="n">
        <f aca="false">N423*P423</f>
        <v>11.3205606402106</v>
      </c>
      <c r="R423" s="37" t="n">
        <f aca="false">O423-Q423</f>
        <v>161.929439359789</v>
      </c>
    </row>
    <row r="424" customFormat="false" ht="15" hidden="false" customHeight="false" outlineLevel="0" collapsed="false">
      <c r="C424" s="36" t="s">
        <v>425</v>
      </c>
      <c r="D424" s="38" t="n">
        <v>1</v>
      </c>
      <c r="E424" s="38" t="n">
        <v>3</v>
      </c>
      <c r="F424" s="197" t="n">
        <v>5</v>
      </c>
      <c r="H424" s="36" t="s">
        <v>435</v>
      </c>
      <c r="M424" s="37" t="n">
        <f aca="false">F424*$E$26*$I$45</f>
        <v>26.25</v>
      </c>
      <c r="N424" s="37" t="n">
        <f aca="false">IF(D424=1,M424*$D$555,0)</f>
        <v>2.625</v>
      </c>
      <c r="O424" s="37" t="n">
        <f aca="false">M424+N424</f>
        <v>28.875</v>
      </c>
      <c r="P424" s="194" t="n">
        <f aca="false">CHOOSE(E424,0,1,$N$355)</f>
        <v>0.718765754934009</v>
      </c>
      <c r="Q424" s="37" t="n">
        <f aca="false">N424*P424</f>
        <v>1.88676010670177</v>
      </c>
      <c r="R424" s="37" t="n">
        <f aca="false">O424-Q424</f>
        <v>26.9882398932982</v>
      </c>
    </row>
    <row r="425" customFormat="false" ht="15" hidden="false" customHeight="false" outlineLevel="0" collapsed="false">
      <c r="B425" s="6" t="s">
        <v>438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217" t="n">
        <f aca="false">SUM(M419:M424)</f>
        <v>15867.4293782487</v>
      </c>
      <c r="N425" s="217" t="n">
        <f aca="false">SUM(N419:N424)</f>
        <v>1586.74293782487</v>
      </c>
      <c r="O425" s="217" t="n">
        <f aca="false">SUM(O419:O424)</f>
        <v>17454.1723160736</v>
      </c>
      <c r="P425" s="7"/>
      <c r="Q425" s="217" t="n">
        <f aca="false">SUM(Q419:Q424)</f>
        <v>1140.4964855919</v>
      </c>
      <c r="R425" s="217" t="n">
        <f aca="false">SUM(R419:R424)</f>
        <v>16313.6758304817</v>
      </c>
    </row>
    <row r="426" customFormat="false" ht="15" hidden="false" customHeight="false" outlineLevel="0" collapsed="false">
      <c r="C426" s="36" t="s">
        <v>439</v>
      </c>
      <c r="D426" s="36" t="s">
        <v>234</v>
      </c>
      <c r="E426" s="218" t="n">
        <f aca="false">($R$419+$R$421+$R$422+$R$423+$R$424)/($E$26*12)</f>
        <v>110.094883374248</v>
      </c>
    </row>
    <row r="429" customFormat="false" ht="15" hidden="false" customHeight="false" outlineLevel="0" collapsed="false">
      <c r="A429" s="46" t="s">
        <v>440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1" customFormat="false" ht="15" hidden="false" customHeight="false" outlineLevel="0" collapsed="false">
      <c r="B431" s="151" t="s">
        <v>441</v>
      </c>
    </row>
    <row r="432" customFormat="false" ht="15" hidden="false" customHeight="false" outlineLevel="0" collapsed="false">
      <c r="B432" s="47" t="s">
        <v>31</v>
      </c>
      <c r="C432" s="48"/>
      <c r="D432" s="48"/>
      <c r="E432" s="219" t="n">
        <f aca="false">$R$413</f>
        <v>1496575.89662498</v>
      </c>
    </row>
    <row r="433" customFormat="false" ht="15" hidden="false" customHeight="false" outlineLevel="0" collapsed="false">
      <c r="B433" s="51" t="s">
        <v>442</v>
      </c>
      <c r="C433" s="157" t="n">
        <f aca="false">$M$367</f>
        <v>596839.667971091</v>
      </c>
      <c r="D433" s="220" t="n">
        <v>0.1</v>
      </c>
      <c r="E433" s="137" t="n">
        <f aca="false">C433*D433</f>
        <v>59683.9667971091</v>
      </c>
    </row>
    <row r="434" customFormat="false" ht="15" hidden="false" customHeight="false" outlineLevel="0" collapsed="false">
      <c r="B434" s="123" t="s">
        <v>33</v>
      </c>
      <c r="C434" s="58"/>
      <c r="D434" s="58"/>
      <c r="E434" s="160" t="n">
        <f aca="false">E432-E433</f>
        <v>1436891.92982787</v>
      </c>
    </row>
    <row r="436" customFormat="false" ht="15" hidden="false" customHeight="false" outlineLevel="0" collapsed="false">
      <c r="B436" s="108" t="s">
        <v>443</v>
      </c>
      <c r="C436" s="109"/>
      <c r="D436" s="109" t="s">
        <v>444</v>
      </c>
      <c r="E436" s="109" t="s">
        <v>445</v>
      </c>
      <c r="F436" s="113" t="s">
        <v>446</v>
      </c>
    </row>
    <row r="437" customFormat="false" ht="15" hidden="false" customHeight="false" outlineLevel="0" collapsed="false">
      <c r="B437" s="71" t="s">
        <v>447</v>
      </c>
      <c r="C437" s="52"/>
      <c r="D437" s="52"/>
      <c r="E437" s="164" t="n">
        <f aca="false">$E$434</f>
        <v>1436891.92982787</v>
      </c>
      <c r="F437" s="80" t="n">
        <f aca="false">E437/$E$434</f>
        <v>1</v>
      </c>
    </row>
    <row r="438" customFormat="false" ht="15" hidden="false" customHeight="false" outlineLevel="0" collapsed="false">
      <c r="B438" s="71" t="s">
        <v>448</v>
      </c>
      <c r="C438" s="52"/>
      <c r="D438" s="52"/>
      <c r="E438" s="164" t="n">
        <f aca="false">$E$434*$E$456</f>
        <v>287378.385965575</v>
      </c>
      <c r="F438" s="80" t="n">
        <f aca="false">E438/$E$434</f>
        <v>0.2</v>
      </c>
    </row>
    <row r="439" customFormat="false" ht="15" hidden="false" customHeight="false" outlineLevel="0" collapsed="false">
      <c r="B439" s="78"/>
      <c r="C439" s="101" t="s">
        <v>449</v>
      </c>
      <c r="D439" s="158" t="n">
        <v>0.3</v>
      </c>
      <c r="E439" s="157" t="n">
        <f aca="false">$E$444*D439</f>
        <v>60349.4610527707</v>
      </c>
      <c r="F439" s="82" t="n">
        <f aca="false">E439/$E$434</f>
        <v>0.042</v>
      </c>
    </row>
    <row r="440" customFormat="false" ht="15" hidden="false" customHeight="false" outlineLevel="0" collapsed="false">
      <c r="B440" s="78"/>
      <c r="C440" s="101" t="s">
        <v>450</v>
      </c>
      <c r="D440" s="158" t="n">
        <v>0</v>
      </c>
      <c r="E440" s="157" t="n">
        <f aca="false">$E$444*D440</f>
        <v>0</v>
      </c>
      <c r="F440" s="82" t="n">
        <f aca="false">E440/$E$434</f>
        <v>0</v>
      </c>
    </row>
    <row r="441" customFormat="false" ht="15" hidden="false" customHeight="false" outlineLevel="0" collapsed="false">
      <c r="B441" s="78"/>
      <c r="C441" s="101" t="s">
        <v>451</v>
      </c>
      <c r="D441" s="158" t="n">
        <v>0.7</v>
      </c>
      <c r="E441" s="157" t="n">
        <f aca="false">$E$444*D441</f>
        <v>140815.409123132</v>
      </c>
      <c r="F441" s="82" t="n">
        <f aca="false">E441/$E$434</f>
        <v>0.098</v>
      </c>
    </row>
    <row r="442" customFormat="false" ht="15" hidden="false" customHeight="false" outlineLevel="0" collapsed="false">
      <c r="B442" s="78"/>
      <c r="C442" s="101" t="s">
        <v>452</v>
      </c>
      <c r="D442" s="158" t="n">
        <v>0</v>
      </c>
      <c r="E442" s="157" t="n">
        <f aca="false">$E$444*D442</f>
        <v>0</v>
      </c>
      <c r="F442" s="82" t="n">
        <f aca="false">E442/$E$434</f>
        <v>0</v>
      </c>
    </row>
    <row r="443" customFormat="false" ht="15" hidden="false" customHeight="false" outlineLevel="0" collapsed="false">
      <c r="B443" s="78"/>
      <c r="C443" s="101" t="s">
        <v>453</v>
      </c>
      <c r="D443" s="158" t="n">
        <v>0</v>
      </c>
      <c r="E443" s="157" t="n">
        <f aca="false">$E$444*D443</f>
        <v>0</v>
      </c>
      <c r="F443" s="82" t="n">
        <f aca="false">E443/$E$434</f>
        <v>0</v>
      </c>
    </row>
    <row r="444" customFormat="false" ht="15" hidden="false" customHeight="false" outlineLevel="0" collapsed="false">
      <c r="B444" s="78"/>
      <c r="C444" s="221" t="s">
        <v>454</v>
      </c>
      <c r="D444" s="222" t="n">
        <f aca="false">$E$457</f>
        <v>0.7</v>
      </c>
      <c r="E444" s="164" t="n">
        <f aca="false">$E$438*D444</f>
        <v>201164.870175902</v>
      </c>
      <c r="F444" s="80" t="n">
        <f aca="false">E444/$E$434</f>
        <v>0.14</v>
      </c>
      <c r="G444" s="223" t="b">
        <f aca="false">SUM(D439:D443)=1</f>
        <v>1</v>
      </c>
    </row>
    <row r="445" customFormat="false" ht="15" hidden="false" customHeight="false" outlineLevel="0" collapsed="false">
      <c r="B445" s="78"/>
      <c r="C445" s="101" t="s">
        <v>455</v>
      </c>
      <c r="D445" s="158" t="n">
        <v>0.055</v>
      </c>
      <c r="E445" s="157" t="n">
        <f aca="false">$E$450*D445</f>
        <v>4741.74336843198</v>
      </c>
      <c r="F445" s="82" t="n">
        <f aca="false">E445/$E$434</f>
        <v>0.0033</v>
      </c>
    </row>
    <row r="446" customFormat="false" ht="15" hidden="false" customHeight="false" outlineLevel="0" collapsed="false">
      <c r="B446" s="78"/>
      <c r="C446" s="101" t="s">
        <v>456</v>
      </c>
      <c r="D446" s="158" t="n">
        <v>0.245</v>
      </c>
      <c r="E446" s="157" t="n">
        <f aca="false">$E$450*D446</f>
        <v>21122.3113684697</v>
      </c>
      <c r="F446" s="82" t="n">
        <f aca="false">E446/$E$434</f>
        <v>0.0147</v>
      </c>
    </row>
    <row r="447" customFormat="false" ht="15" hidden="false" customHeight="false" outlineLevel="0" collapsed="false">
      <c r="B447" s="78"/>
      <c r="C447" s="101" t="s">
        <v>457</v>
      </c>
      <c r="D447" s="158" t="n">
        <v>0.1285</v>
      </c>
      <c r="E447" s="157" t="n">
        <f aca="false">$E$450*D447</f>
        <v>11078.4367789729</v>
      </c>
      <c r="F447" s="82" t="n">
        <f aca="false">E447/$E$434</f>
        <v>0.00771</v>
      </c>
    </row>
    <row r="448" customFormat="false" ht="15" hidden="false" customHeight="false" outlineLevel="0" collapsed="false">
      <c r="B448" s="78"/>
      <c r="C448" s="101" t="s">
        <v>458</v>
      </c>
      <c r="D448" s="158" t="n">
        <v>0.5715</v>
      </c>
      <c r="E448" s="157" t="n">
        <f aca="false">$E$450*D448</f>
        <v>49271.0242737978</v>
      </c>
      <c r="F448" s="82" t="n">
        <f aca="false">E448/$E$434</f>
        <v>0.03429</v>
      </c>
    </row>
    <row r="449" customFormat="false" ht="15" hidden="false" customHeight="false" outlineLevel="0" collapsed="false">
      <c r="B449" s="78"/>
      <c r="C449" s="101" t="s">
        <v>459</v>
      </c>
      <c r="D449" s="158" t="n">
        <v>0</v>
      </c>
      <c r="E449" s="157" t="n">
        <f aca="false">$E$450*D449</f>
        <v>0</v>
      </c>
      <c r="F449" s="82" t="n">
        <f aca="false">E449/$E$434</f>
        <v>0</v>
      </c>
    </row>
    <row r="450" customFormat="false" ht="15" hidden="false" customHeight="false" outlineLevel="0" collapsed="false">
      <c r="B450" s="78"/>
      <c r="C450" s="221" t="s">
        <v>460</v>
      </c>
      <c r="D450" s="222" t="n">
        <f aca="false">1-$E$457</f>
        <v>0.3</v>
      </c>
      <c r="E450" s="164" t="n">
        <f aca="false">$E$438*D450</f>
        <v>86213.5157896724</v>
      </c>
      <c r="F450" s="80" t="n">
        <f aca="false">E450/$E$434</f>
        <v>0.06</v>
      </c>
      <c r="G450" s="223" t="b">
        <f aca="false">SUM(D445:D449)=1</f>
        <v>1</v>
      </c>
    </row>
    <row r="451" customFormat="false" ht="15" hidden="false" customHeight="false" outlineLevel="0" collapsed="false">
      <c r="B451" s="71" t="s">
        <v>461</v>
      </c>
      <c r="C451" s="52"/>
      <c r="D451" s="52"/>
      <c r="E451" s="164" t="n">
        <f aca="false">$E$434-$E$438</f>
        <v>1149513.5438623</v>
      </c>
      <c r="F451" s="80" t="n">
        <f aca="false">E451/$E$434</f>
        <v>0.8</v>
      </c>
    </row>
    <row r="452" customFormat="false" ht="15" hidden="false" customHeight="false" outlineLevel="0" collapsed="false">
      <c r="B452" s="78"/>
      <c r="C452" s="101" t="s">
        <v>462</v>
      </c>
      <c r="D452" s="158" t="n">
        <v>0.7143</v>
      </c>
      <c r="E452" s="157" t="n">
        <f aca="false">$E$451*D452</f>
        <v>821097.52438084</v>
      </c>
      <c r="F452" s="82" t="n">
        <f aca="false">E452/$E$434</f>
        <v>0.57144</v>
      </c>
    </row>
    <row r="453" customFormat="false" ht="15" hidden="false" customHeight="false" outlineLevel="0" collapsed="false">
      <c r="B453" s="78"/>
      <c r="C453" s="101" t="s">
        <v>463</v>
      </c>
      <c r="D453" s="158" t="n">
        <v>0.1429</v>
      </c>
      <c r="E453" s="157" t="n">
        <f aca="false">$E$451*D453</f>
        <v>164265.485417923</v>
      </c>
      <c r="F453" s="82" t="n">
        <f aca="false">E453/$E$434</f>
        <v>0.11432</v>
      </c>
    </row>
    <row r="454" customFormat="false" ht="15" hidden="false" customHeight="false" outlineLevel="0" collapsed="false">
      <c r="B454" s="83"/>
      <c r="C454" s="224" t="s">
        <v>464</v>
      </c>
      <c r="D454" s="225" t="n">
        <f aca="false">1-D452-D453</f>
        <v>0.1428</v>
      </c>
      <c r="E454" s="226" t="n">
        <f aca="false">$E$451*D454</f>
        <v>164150.534063536</v>
      </c>
      <c r="F454" s="227" t="n">
        <f aca="false">E454/$E$434</f>
        <v>0.11424</v>
      </c>
    </row>
    <row r="456" customFormat="false" ht="15" hidden="false" customHeight="false" outlineLevel="0" collapsed="false">
      <c r="B456" s="36" t="s">
        <v>465</v>
      </c>
      <c r="E456" s="155" t="n">
        <v>0.2</v>
      </c>
    </row>
    <row r="457" customFormat="false" ht="15" hidden="false" customHeight="false" outlineLevel="0" collapsed="false">
      <c r="B457" s="36" t="s">
        <v>466</v>
      </c>
      <c r="E457" s="155" t="n">
        <v>0.7</v>
      </c>
    </row>
    <row r="458" customFormat="false" ht="15" hidden="false" customHeight="false" outlineLevel="0" collapsed="false">
      <c r="B458" s="36" t="s">
        <v>467</v>
      </c>
      <c r="E458" s="194" t="n">
        <f aca="false">1-$E$457</f>
        <v>0.3</v>
      </c>
    </row>
    <row r="460" customFormat="false" ht="15" hidden="false" customHeight="false" outlineLevel="0" collapsed="false">
      <c r="B460" s="228" t="s">
        <v>468</v>
      </c>
    </row>
    <row r="461" customFormat="false" ht="15" hidden="false" customHeight="false" outlineLevel="0" collapsed="false">
      <c r="B461" s="108" t="s">
        <v>121</v>
      </c>
      <c r="C461" s="109" t="s">
        <v>469</v>
      </c>
      <c r="D461" s="109" t="s">
        <v>201</v>
      </c>
      <c r="E461" s="109" t="s">
        <v>470</v>
      </c>
      <c r="F461" s="109" t="s">
        <v>471</v>
      </c>
      <c r="G461" s="109" t="s">
        <v>472</v>
      </c>
      <c r="H461" s="109" t="s">
        <v>9</v>
      </c>
      <c r="I461" s="113" t="s">
        <v>202</v>
      </c>
    </row>
    <row r="462" customFormat="false" ht="15" hidden="false" customHeight="false" outlineLevel="0" collapsed="false">
      <c r="B462" s="71" t="s">
        <v>473</v>
      </c>
      <c r="C462" s="75" t="s">
        <v>455</v>
      </c>
      <c r="D462" s="119" t="n">
        <f aca="false">E462/$E$438</f>
        <v>0.0165</v>
      </c>
      <c r="E462" s="229" t="n">
        <f aca="false">$E$445</f>
        <v>4741.74336843198</v>
      </c>
      <c r="F462" s="134" t="n">
        <v>46112</v>
      </c>
      <c r="G462" s="230"/>
      <c r="H462" s="52"/>
      <c r="I462" s="136" t="n">
        <f aca="false">EOMONTH(F462,0)</f>
        <v>46112</v>
      </c>
    </row>
    <row r="463" customFormat="false" ht="15" hidden="false" customHeight="false" outlineLevel="0" collapsed="false">
      <c r="B463" s="78"/>
      <c r="C463" s="75" t="s">
        <v>456</v>
      </c>
      <c r="D463" s="119" t="n">
        <f aca="false">E463/$E$438</f>
        <v>0.0735</v>
      </c>
      <c r="E463" s="229" t="n">
        <f aca="false">$E$446</f>
        <v>21122.3113684697</v>
      </c>
      <c r="F463" s="134" t="n">
        <v>46660</v>
      </c>
      <c r="G463" s="230"/>
      <c r="H463" s="52"/>
      <c r="I463" s="136" t="n">
        <f aca="false">EOMONTH(F463,0)</f>
        <v>46660</v>
      </c>
    </row>
    <row r="464" customFormat="false" ht="15" hidden="false" customHeight="false" outlineLevel="0" collapsed="false">
      <c r="B464" s="78"/>
      <c r="C464" s="75" t="s">
        <v>457</v>
      </c>
      <c r="D464" s="119" t="n">
        <f aca="false">E464/$E$438</f>
        <v>0.03855</v>
      </c>
      <c r="E464" s="229" t="n">
        <f aca="false">$E$447</f>
        <v>11078.4367789729</v>
      </c>
      <c r="F464" s="134" t="n">
        <v>46112</v>
      </c>
      <c r="G464" s="230"/>
      <c r="H464" s="52"/>
      <c r="I464" s="136" t="n">
        <f aca="false">EOMONTH(F464,0)</f>
        <v>46112</v>
      </c>
    </row>
    <row r="465" customFormat="false" ht="15" hidden="false" customHeight="false" outlineLevel="0" collapsed="false">
      <c r="B465" s="78"/>
      <c r="C465" s="75" t="s">
        <v>458</v>
      </c>
      <c r="D465" s="119" t="n">
        <f aca="false">E465/$E$438</f>
        <v>0.17145</v>
      </c>
      <c r="E465" s="229" t="n">
        <f aca="false">$E$448</f>
        <v>49271.0242737978</v>
      </c>
      <c r="F465" s="134" t="n">
        <v>46660</v>
      </c>
      <c r="G465" s="230"/>
      <c r="H465" s="52"/>
      <c r="I465" s="136" t="n">
        <f aca="false">EOMONTH(F465,0)</f>
        <v>46660</v>
      </c>
    </row>
    <row r="466" customFormat="false" ht="15" hidden="false" customHeight="false" outlineLevel="0" collapsed="false">
      <c r="B466" s="78"/>
      <c r="C466" s="75" t="s">
        <v>459</v>
      </c>
      <c r="D466" s="119" t="n">
        <f aca="false">E466/$E$438</f>
        <v>0</v>
      </c>
      <c r="E466" s="229" t="n">
        <f aca="false">$E$449</f>
        <v>0</v>
      </c>
      <c r="F466" s="134" t="n">
        <v>47907</v>
      </c>
      <c r="G466" s="230"/>
      <c r="H466" s="52"/>
      <c r="I466" s="136" t="n">
        <f aca="false">EOMONTH(F466,0)</f>
        <v>47907</v>
      </c>
    </row>
    <row r="467" customFormat="false" ht="15" hidden="false" customHeight="false" outlineLevel="0" collapsed="false">
      <c r="B467" s="231" t="s">
        <v>474</v>
      </c>
      <c r="C467" s="52"/>
      <c r="D467" s="120" t="n">
        <f aca="false">SUM(D462:D466)</f>
        <v>0.3</v>
      </c>
      <c r="E467" s="232" t="n">
        <f aca="false">SUM(E462:E466)</f>
        <v>86213.5157896724</v>
      </c>
      <c r="F467" s="52"/>
      <c r="G467" s="52"/>
      <c r="H467" s="52"/>
      <c r="I467" s="74"/>
    </row>
    <row r="468" customFormat="false" ht="15" hidden="false" customHeight="false" outlineLevel="0" collapsed="false">
      <c r="B468" s="71" t="s">
        <v>475</v>
      </c>
      <c r="C468" s="75" t="s">
        <v>449</v>
      </c>
      <c r="D468" s="119" t="n">
        <f aca="false">E468/$E$438</f>
        <v>0.21</v>
      </c>
      <c r="E468" s="229" t="n">
        <f aca="false">$E$439</f>
        <v>60349.4610527707</v>
      </c>
      <c r="F468" s="134" t="n">
        <v>46660</v>
      </c>
      <c r="G468" s="135" t="n">
        <v>0.05</v>
      </c>
      <c r="H468" s="52"/>
      <c r="I468" s="136" t="n">
        <f aca="false">EOMONTH(F468,0)</f>
        <v>46660</v>
      </c>
    </row>
    <row r="469" customFormat="false" ht="15" hidden="false" customHeight="false" outlineLevel="0" collapsed="false">
      <c r="B469" s="78"/>
      <c r="C469" s="75" t="s">
        <v>450</v>
      </c>
      <c r="D469" s="119" t="n">
        <f aca="false">E469/$E$438</f>
        <v>0</v>
      </c>
      <c r="E469" s="229" t="n">
        <f aca="false">$E$440</f>
        <v>0</v>
      </c>
      <c r="F469" s="134" t="n">
        <v>46660</v>
      </c>
      <c r="G469" s="135" t="n">
        <v>0.05</v>
      </c>
      <c r="H469" s="52"/>
      <c r="I469" s="136" t="n">
        <f aca="false">EOMONTH(F469,0)</f>
        <v>46660</v>
      </c>
    </row>
    <row r="470" customFormat="false" ht="15" hidden="false" customHeight="false" outlineLevel="0" collapsed="false">
      <c r="B470" s="78"/>
      <c r="C470" s="75" t="s">
        <v>451</v>
      </c>
      <c r="D470" s="119" t="n">
        <f aca="false">E470/$E$438</f>
        <v>0.49</v>
      </c>
      <c r="E470" s="229" t="n">
        <f aca="false">$E$441</f>
        <v>140815.409123132</v>
      </c>
      <c r="F470" s="134" t="n">
        <v>46660</v>
      </c>
      <c r="G470" s="135" t="n">
        <v>0.05</v>
      </c>
      <c r="H470" s="52"/>
      <c r="I470" s="136" t="n">
        <f aca="false">EOMONTH(F470,0)</f>
        <v>46660</v>
      </c>
    </row>
    <row r="471" customFormat="false" ht="15" hidden="false" customHeight="false" outlineLevel="0" collapsed="false">
      <c r="B471" s="78"/>
      <c r="C471" s="75" t="s">
        <v>452</v>
      </c>
      <c r="D471" s="119" t="n">
        <f aca="false">E471/$E$438</f>
        <v>0</v>
      </c>
      <c r="E471" s="229" t="n">
        <f aca="false">$E$442</f>
        <v>0</v>
      </c>
      <c r="F471" s="134" t="n">
        <v>46660</v>
      </c>
      <c r="G471" s="135" t="n">
        <v>0.05</v>
      </c>
      <c r="H471" s="52"/>
      <c r="I471" s="136" t="n">
        <f aca="false">EOMONTH(F471,0)</f>
        <v>46660</v>
      </c>
    </row>
    <row r="472" customFormat="false" ht="15" hidden="false" customHeight="false" outlineLevel="0" collapsed="false">
      <c r="B472" s="78"/>
      <c r="C472" s="75" t="s">
        <v>453</v>
      </c>
      <c r="D472" s="119" t="n">
        <f aca="false">E472/$E$438</f>
        <v>0</v>
      </c>
      <c r="E472" s="229" t="n">
        <f aca="false">$E$443</f>
        <v>0</v>
      </c>
      <c r="F472" s="134" t="n">
        <v>47907</v>
      </c>
      <c r="G472" s="135" t="n">
        <v>0.05</v>
      </c>
      <c r="H472" s="233" t="s">
        <v>476</v>
      </c>
      <c r="I472" s="136" t="n">
        <f aca="false">EOMONTH(F472,0)</f>
        <v>47907</v>
      </c>
    </row>
    <row r="473" customFormat="false" ht="15" hidden="false" customHeight="false" outlineLevel="0" collapsed="false">
      <c r="B473" s="231" t="s">
        <v>477</v>
      </c>
      <c r="C473" s="52"/>
      <c r="D473" s="120" t="n">
        <f aca="false">SUM(D468:D472)</f>
        <v>0.7</v>
      </c>
      <c r="E473" s="232" t="n">
        <f aca="false">SUM(E468:E472)</f>
        <v>201164.870175902</v>
      </c>
      <c r="F473" s="52"/>
      <c r="G473" s="52"/>
      <c r="H473" s="52"/>
      <c r="I473" s="74"/>
    </row>
    <row r="474" customFormat="false" ht="15" hidden="false" customHeight="false" outlineLevel="0" collapsed="false">
      <c r="B474" s="234" t="s">
        <v>478</v>
      </c>
      <c r="C474" s="58"/>
      <c r="D474" s="235" t="n">
        <f aca="false">D473+D467</f>
        <v>1</v>
      </c>
      <c r="E474" s="236" t="n">
        <f aca="false">E473+E467</f>
        <v>287378.385965575</v>
      </c>
      <c r="F474" s="58"/>
      <c r="G474" s="58"/>
      <c r="H474" s="58"/>
      <c r="I474" s="125"/>
    </row>
    <row r="475" customFormat="false" ht="15" hidden="false" customHeight="false" outlineLevel="0" collapsed="false">
      <c r="C475" s="36" t="s">
        <v>479</v>
      </c>
      <c r="E475" s="194" t="n">
        <f aca="false">IFERROR(SUMPRODUCT($E$468:$E$472,$G$468:$G$472)/SUM($E$468:$E$472),0)</f>
        <v>0.05</v>
      </c>
    </row>
    <row r="476" customFormat="false" ht="15" hidden="false" customHeight="false" outlineLevel="0" collapsed="false">
      <c r="C476" s="36" t="s">
        <v>480</v>
      </c>
      <c r="E476" s="237" t="n">
        <f aca="false">(1+$E$475)^(1/12)-1</f>
        <v>0.00407412378364835</v>
      </c>
      <c r="F476" s="86" t="s">
        <v>481</v>
      </c>
    </row>
    <row r="478" customFormat="false" ht="15" hidden="false" customHeight="false" outlineLevel="0" collapsed="false">
      <c r="B478" s="228" t="s">
        <v>482</v>
      </c>
    </row>
    <row r="479" customFormat="false" ht="15" hidden="false" customHeight="false" outlineLevel="0" collapsed="false">
      <c r="B479" s="36" t="s">
        <v>52</v>
      </c>
      <c r="C479" s="238" t="n">
        <f aca="false">$G$283</f>
        <v>1824235.87564974</v>
      </c>
    </row>
    <row r="480" customFormat="false" ht="15" hidden="false" customHeight="false" outlineLevel="0" collapsed="false">
      <c r="B480" s="36" t="s">
        <v>483</v>
      </c>
      <c r="C480" s="239" t="n">
        <f aca="false">$E$14</f>
        <v>46660</v>
      </c>
    </row>
    <row r="482" customFormat="false" ht="15" hidden="false" customHeight="false" outlineLevel="0" collapsed="false">
      <c r="B482" s="108" t="s">
        <v>121</v>
      </c>
      <c r="C482" s="109" t="s">
        <v>484</v>
      </c>
      <c r="D482" s="109" t="s">
        <v>485</v>
      </c>
      <c r="E482" s="109" t="s">
        <v>486</v>
      </c>
      <c r="F482" s="109" t="s">
        <v>487</v>
      </c>
      <c r="G482" s="110" t="s">
        <v>488</v>
      </c>
      <c r="H482" s="109" t="s">
        <v>489</v>
      </c>
      <c r="I482" s="109" t="s">
        <v>490</v>
      </c>
      <c r="J482" s="109" t="s">
        <v>491</v>
      </c>
      <c r="K482" s="109" t="s">
        <v>492</v>
      </c>
      <c r="L482" s="110" t="s">
        <v>493</v>
      </c>
      <c r="M482" s="109" t="s">
        <v>494</v>
      </c>
      <c r="N482" s="110" t="s">
        <v>495</v>
      </c>
      <c r="O482" s="113" t="s">
        <v>496</v>
      </c>
    </row>
    <row r="483" customFormat="false" ht="15" hidden="false" customHeight="false" outlineLevel="0" collapsed="false">
      <c r="B483" s="143" t="s">
        <v>497</v>
      </c>
      <c r="C483" s="240" t="s">
        <v>498</v>
      </c>
      <c r="D483" s="229" t="n">
        <f aca="false">$E$452</f>
        <v>821097.52438084</v>
      </c>
      <c r="E483" s="241" t="n">
        <f aca="false">MAX(①통합_CF!$E$121:$EF$121)</f>
        <v>304203.267746598</v>
      </c>
      <c r="F483" s="119" t="n">
        <f aca="false">IFERROR(E483/SUM($E$483:$E$485),0)</f>
        <v>0.480863093946319</v>
      </c>
      <c r="G483" s="119" t="n">
        <f aca="false">SUM($E$483:E483)/$G$283</f>
        <v>0.166756542729568</v>
      </c>
      <c r="H483" s="242" t="n">
        <f aca="false">$E$16</f>
        <v>47907</v>
      </c>
      <c r="I483" s="243" t="s">
        <v>499</v>
      </c>
      <c r="J483" s="135" t="n">
        <v>0.01</v>
      </c>
      <c r="K483" s="135" t="n">
        <v>0.065</v>
      </c>
      <c r="L483" s="81" t="n">
        <f aca="false">K483+J483/($E$15/12)</f>
        <v>0.0678571428571429</v>
      </c>
      <c r="M483" s="244" t="s">
        <v>500</v>
      </c>
      <c r="N483" s="119" t="n">
        <f aca="false">SUM($D$483:D483)/$R$413</f>
        <v>0.548650774232397</v>
      </c>
      <c r="O483" s="138" t="n">
        <v>0.005</v>
      </c>
    </row>
    <row r="484" customFormat="false" ht="15" hidden="false" customHeight="false" outlineLevel="0" collapsed="false">
      <c r="B484" s="143" t="s">
        <v>501</v>
      </c>
      <c r="C484" s="240" t="s">
        <v>498</v>
      </c>
      <c r="D484" s="229" t="n">
        <f aca="false">$E$453</f>
        <v>164265.485417923</v>
      </c>
      <c r="E484" s="241" t="n">
        <f aca="false">MAX(①통합_CF!$E$122:$EF$122)</f>
        <v>164265.485417923</v>
      </c>
      <c r="F484" s="119" t="n">
        <f aca="false">IFERROR(E484/SUM($E$483:$E$485),0)</f>
        <v>0.259659306528075</v>
      </c>
      <c r="G484" s="119" t="n">
        <f aca="false">SUM($E$483:E484)/$G$283</f>
        <v>0.256802730073305</v>
      </c>
      <c r="H484" s="242" t="n">
        <f aca="false">$E$16</f>
        <v>47907</v>
      </c>
      <c r="I484" s="243" t="s">
        <v>499</v>
      </c>
      <c r="J484" s="135" t="n">
        <v>0.01</v>
      </c>
      <c r="K484" s="135" t="n">
        <v>0.073</v>
      </c>
      <c r="L484" s="81" t="n">
        <f aca="false">K484+J484/($E$15/12)</f>
        <v>0.0758571428571429</v>
      </c>
      <c r="M484" s="244" t="s">
        <v>500</v>
      </c>
      <c r="N484" s="119" t="n">
        <f aca="false">SUM($D$483:D484)/$R$413</f>
        <v>0.658411652907757</v>
      </c>
      <c r="O484" s="138" t="n">
        <v>0.005</v>
      </c>
    </row>
    <row r="485" customFormat="false" ht="15" hidden="false" customHeight="false" outlineLevel="0" collapsed="false">
      <c r="B485" s="143" t="s">
        <v>502</v>
      </c>
      <c r="C485" s="240" t="s">
        <v>498</v>
      </c>
      <c r="D485" s="229" t="n">
        <f aca="false">$E$454</f>
        <v>164150.534063536</v>
      </c>
      <c r="E485" s="241" t="n">
        <f aca="false">MAX(①통합_CF!$E$123:$EF$123)</f>
        <v>164150.534063536</v>
      </c>
      <c r="F485" s="119" t="n">
        <f aca="false">IFERROR(E485/SUM($E$483:$E$485),0)</f>
        <v>0.259477599525606</v>
      </c>
      <c r="G485" s="119" t="n">
        <f aca="false">SUM($E$483:E485)/$G$283</f>
        <v>0.346785903989929</v>
      </c>
      <c r="H485" s="242" t="n">
        <f aca="false">$E$16</f>
        <v>47907</v>
      </c>
      <c r="I485" s="243" t="s">
        <v>499</v>
      </c>
      <c r="J485" s="135" t="n">
        <v>0.01</v>
      </c>
      <c r="K485" s="135" t="n">
        <v>0.088</v>
      </c>
      <c r="L485" s="81" t="n">
        <f aca="false">K485+J485/($E$15/12)</f>
        <v>0.0908571428571429</v>
      </c>
      <c r="M485" s="244" t="s">
        <v>500</v>
      </c>
      <c r="N485" s="119" t="n">
        <f aca="false">SUM($D$483:D485)/$R$413</f>
        <v>0.768095722010915</v>
      </c>
      <c r="O485" s="138" t="n">
        <v>0.005</v>
      </c>
    </row>
    <row r="486" customFormat="false" ht="15" hidden="false" customHeight="false" outlineLevel="0" collapsed="false">
      <c r="B486" s="123" t="s">
        <v>155</v>
      </c>
      <c r="C486" s="95"/>
      <c r="D486" s="245" t="n">
        <f aca="false">SUM(D483:D485)</f>
        <v>1149513.5438623</v>
      </c>
      <c r="E486" s="245" t="n">
        <f aca="false">SUM(E483:E485)</f>
        <v>632619.287228057</v>
      </c>
      <c r="F486" s="140" t="n">
        <f aca="false">SUM(F483:F485)</f>
        <v>1</v>
      </c>
      <c r="G486" s="140" t="n">
        <f aca="false">G485</f>
        <v>0.346785903989929</v>
      </c>
      <c r="H486" s="95"/>
      <c r="I486" s="95"/>
      <c r="J486" s="95"/>
      <c r="K486" s="140" t="n">
        <f aca="false">SUMPRODUCT(D483:D485,K483:K485)/D486</f>
        <v>0.0694276</v>
      </c>
      <c r="L486" s="140" t="n">
        <f aca="false">SUMPRODUCT(D483:D485,L483:L485)/D486</f>
        <v>0.0722847428571429</v>
      </c>
      <c r="M486" s="95"/>
      <c r="N486" s="140" t="n">
        <f aca="false">N485</f>
        <v>0.768095722010915</v>
      </c>
      <c r="O486" s="246"/>
    </row>
    <row r="488" customFormat="false" ht="15" hidden="false" customHeight="false" outlineLevel="0" collapsed="false">
      <c r="B488" s="151" t="s">
        <v>40</v>
      </c>
    </row>
    <row r="489" customFormat="false" ht="15" hidden="false" customHeight="false" outlineLevel="0" collapsed="false">
      <c r="B489" s="108" t="s">
        <v>503</v>
      </c>
      <c r="C489" s="109" t="s">
        <v>504</v>
      </c>
      <c r="D489" s="110" t="s">
        <v>488</v>
      </c>
      <c r="E489" s="109" t="s">
        <v>505</v>
      </c>
      <c r="F489" s="109" t="s">
        <v>506</v>
      </c>
      <c r="G489" s="113" t="s">
        <v>507</v>
      </c>
    </row>
    <row r="490" customFormat="false" ht="15" hidden="false" customHeight="false" outlineLevel="0" collapsed="false">
      <c r="B490" s="51" t="s">
        <v>122</v>
      </c>
      <c r="C490" s="247" t="n">
        <v>499793</v>
      </c>
      <c r="D490" s="135" t="n">
        <v>0.7</v>
      </c>
      <c r="E490" s="248" t="n">
        <f aca="false">C490*D490*$D$38</f>
        <v>349855.1</v>
      </c>
      <c r="F490" s="249" t="n">
        <f aca="false">SUMIF(①통합_CF!$E$6:$EF$6,"&lt;="&amp;$E$16,①통합_CF!$E$78:$EF$78)</f>
        <v>302400</v>
      </c>
      <c r="G490" s="250" t="n">
        <f aca="false">MAX(0,E490-F490)</f>
        <v>47455.0999999999</v>
      </c>
    </row>
    <row r="491" customFormat="false" ht="15" hidden="false" customHeight="false" outlineLevel="0" collapsed="false">
      <c r="B491" s="51" t="s">
        <v>123</v>
      </c>
      <c r="C491" s="247" t="n">
        <v>294904</v>
      </c>
      <c r="D491" s="135" t="n">
        <v>0.7</v>
      </c>
      <c r="E491" s="248" t="n">
        <f aca="false">C491*D491*$E$38</f>
        <v>206432.8</v>
      </c>
      <c r="F491" s="249" t="n">
        <f aca="false">SUMIF(①통합_CF!$E$6:$EF$6,"&lt;="&amp;$E$16,①통합_CF!$E$79:$EF$79)</f>
        <v>174021.12</v>
      </c>
      <c r="G491" s="250" t="n">
        <f aca="false">MAX(0,E491-F491)</f>
        <v>32411.68</v>
      </c>
    </row>
    <row r="492" customFormat="false" ht="15" hidden="false" customHeight="false" outlineLevel="0" collapsed="false">
      <c r="B492" s="51" t="s">
        <v>124</v>
      </c>
      <c r="C492" s="247" t="n">
        <v>461934</v>
      </c>
      <c r="D492" s="135" t="n">
        <v>0.7</v>
      </c>
      <c r="E492" s="248" t="n">
        <f aca="false">C492*D492*$F$38</f>
        <v>323353.8</v>
      </c>
      <c r="F492" s="248" t="n">
        <v>0</v>
      </c>
      <c r="G492" s="250" t="n">
        <f aca="false">MAX(0,E492-F492)</f>
        <v>323353.8</v>
      </c>
    </row>
    <row r="493" customFormat="false" ht="15" hidden="false" customHeight="false" outlineLevel="0" collapsed="false">
      <c r="B493" s="51" t="s">
        <v>125</v>
      </c>
      <c r="C493" s="247" t="n">
        <v>297831</v>
      </c>
      <c r="D493" s="135" t="n">
        <v>0.7</v>
      </c>
      <c r="E493" s="248" t="n">
        <f aca="false">C493*D493*$G$38</f>
        <v>208481.7</v>
      </c>
      <c r="F493" s="248" t="n">
        <v>0</v>
      </c>
      <c r="G493" s="250" t="n">
        <f aca="false">MAX(0,E493-F493)</f>
        <v>208481.7</v>
      </c>
    </row>
    <row r="494" customFormat="false" ht="15" hidden="false" customHeight="false" outlineLevel="0" collapsed="false">
      <c r="B494" s="51" t="s">
        <v>126</v>
      </c>
      <c r="C494" s="247" t="n">
        <v>211380</v>
      </c>
      <c r="D494" s="135" t="n">
        <v>0.7</v>
      </c>
      <c r="E494" s="248" t="n">
        <f aca="false">C494*D494*$H$38</f>
        <v>147966</v>
      </c>
      <c r="F494" s="248" t="n">
        <v>0</v>
      </c>
      <c r="G494" s="250" t="n">
        <f aca="false">MAX(0,E494-F494)</f>
        <v>147966</v>
      </c>
    </row>
    <row r="495" customFormat="false" ht="15" hidden="false" customHeight="false" outlineLevel="0" collapsed="false">
      <c r="B495" s="123" t="s">
        <v>155</v>
      </c>
      <c r="C495" s="251" t="n">
        <f aca="false">SUM(C490:C494)</f>
        <v>1765842</v>
      </c>
      <c r="D495" s="140" t="n">
        <f aca="false">E495/C495</f>
        <v>0.7</v>
      </c>
      <c r="E495" s="251" t="n">
        <f aca="false">SUM(E490:E494)</f>
        <v>1236089.4</v>
      </c>
      <c r="F495" s="251" t="n">
        <f aca="false">SUM(F490:F494)</f>
        <v>476421.12</v>
      </c>
      <c r="G495" s="252" t="n">
        <f aca="false">SUM(G490:G494)</f>
        <v>759668.28</v>
      </c>
    </row>
    <row r="497" customFormat="false" ht="15" hidden="false" customHeight="false" outlineLevel="0" collapsed="false">
      <c r="B497" s="47" t="s">
        <v>508</v>
      </c>
      <c r="C497" s="253" t="n">
        <f aca="false">MAX(0,-MIN(①통합_CF!$E$159:$EF$159))</f>
        <v>-0</v>
      </c>
    </row>
    <row r="498" customFormat="false" ht="15" hidden="false" customHeight="false" outlineLevel="0" collapsed="false">
      <c r="B498" s="51" t="s">
        <v>509</v>
      </c>
      <c r="C498" s="250" t="n">
        <f aca="false">$E$438</f>
        <v>287378.385965575</v>
      </c>
    </row>
    <row r="499" customFormat="false" ht="15" hidden="false" customHeight="false" outlineLevel="0" collapsed="false">
      <c r="B499" s="254" t="s">
        <v>510</v>
      </c>
      <c r="C499" s="255" t="n">
        <f aca="false">C498+C497</f>
        <v>287378.385965575</v>
      </c>
    </row>
    <row r="501" customFormat="false" ht="15" hidden="false" customHeight="false" outlineLevel="0" collapsed="false">
      <c r="B501" s="32" t="s">
        <v>122</v>
      </c>
    </row>
    <row r="502" customFormat="false" ht="15" hidden="false" customHeight="false" outlineLevel="0" collapsed="false">
      <c r="B502" s="108" t="s">
        <v>121</v>
      </c>
      <c r="C502" s="109" t="s">
        <v>484</v>
      </c>
      <c r="D502" s="109" t="s">
        <v>485</v>
      </c>
      <c r="E502" s="109" t="s">
        <v>505</v>
      </c>
      <c r="F502" s="109" t="s">
        <v>487</v>
      </c>
      <c r="G502" s="110" t="s">
        <v>488</v>
      </c>
      <c r="H502" s="109" t="s">
        <v>489</v>
      </c>
      <c r="I502" s="109" t="s">
        <v>490</v>
      </c>
      <c r="J502" s="109" t="s">
        <v>491</v>
      </c>
      <c r="K502" s="109" t="s">
        <v>492</v>
      </c>
      <c r="L502" s="110" t="s">
        <v>493</v>
      </c>
      <c r="M502" s="113" t="s">
        <v>494</v>
      </c>
    </row>
    <row r="503" customFormat="false" ht="15" hidden="false" customHeight="false" outlineLevel="0" collapsed="false">
      <c r="B503" s="143" t="s">
        <v>511</v>
      </c>
      <c r="C503" s="242" t="n">
        <f aca="false">$E$16</f>
        <v>47907</v>
      </c>
      <c r="D503" s="229" t="n">
        <f aca="false">E503</f>
        <v>26100.305</v>
      </c>
      <c r="E503" s="229" t="n">
        <f aca="false">$G$490*F503</f>
        <v>26100.305</v>
      </c>
      <c r="F503" s="135" t="n">
        <v>0.55</v>
      </c>
      <c r="G503" s="119" t="n">
        <f aca="false">IFERROR((SUM($E$503:E503)+$F$490)/$C$490,0)</f>
        <v>0.657272720906455</v>
      </c>
      <c r="H503" s="242" t="n">
        <f aca="false">$E$22</f>
        <v>49734</v>
      </c>
      <c r="I503" s="243" t="s">
        <v>499</v>
      </c>
      <c r="J503" s="135" t="n">
        <v>0.01</v>
      </c>
      <c r="K503" s="135" t="n">
        <v>0.045</v>
      </c>
      <c r="L503" s="81" t="n">
        <f aca="false">K503+J503/(($E$17+$E$19+$E$21)/12)</f>
        <v>0.0469672131147541</v>
      </c>
      <c r="M503" s="256" t="s">
        <v>500</v>
      </c>
    </row>
    <row r="504" customFormat="false" ht="15" hidden="false" customHeight="false" outlineLevel="0" collapsed="false">
      <c r="B504" s="143" t="s">
        <v>512</v>
      </c>
      <c r="C504" s="242" t="n">
        <f aca="false">$E$16</f>
        <v>47907</v>
      </c>
      <c r="D504" s="229" t="n">
        <f aca="false">E504</f>
        <v>21354.795</v>
      </c>
      <c r="E504" s="229" t="n">
        <f aca="false">$G$490*F504</f>
        <v>21354.795</v>
      </c>
      <c r="F504" s="135" t="n">
        <v>0.45</v>
      </c>
      <c r="G504" s="119" t="n">
        <f aca="false">IFERROR((SUM($E$503:E504)+$F$490)/$C$490,0)</f>
        <v>0.7</v>
      </c>
      <c r="H504" s="242" t="n">
        <f aca="false">$E$22</f>
        <v>49734</v>
      </c>
      <c r="I504" s="243" t="s">
        <v>499</v>
      </c>
      <c r="J504" s="135" t="n">
        <v>0.01</v>
      </c>
      <c r="K504" s="135" t="n">
        <v>0.065</v>
      </c>
      <c r="L504" s="81" t="n">
        <f aca="false">K504+J504/(($E$17+$E$19+$E$21)/12)</f>
        <v>0.0669672131147541</v>
      </c>
      <c r="M504" s="256" t="s">
        <v>500</v>
      </c>
    </row>
    <row r="505" customFormat="false" ht="15" hidden="false" customHeight="false" outlineLevel="0" collapsed="false">
      <c r="B505" s="143" t="s">
        <v>513</v>
      </c>
      <c r="C505" s="242" t="n">
        <f aca="false">$E$16</f>
        <v>47907</v>
      </c>
      <c r="D505" s="229" t="n">
        <f aca="false">E505</f>
        <v>0</v>
      </c>
      <c r="E505" s="229" t="n">
        <f aca="false">$G$490*F505</f>
        <v>0</v>
      </c>
      <c r="F505" s="119" t="n">
        <f aca="false">1-F503-F504</f>
        <v>0</v>
      </c>
      <c r="G505" s="119" t="n">
        <f aca="false">IFERROR((SUM($E$503:E505)+$F$490)/$C$490,0)</f>
        <v>0.7</v>
      </c>
      <c r="H505" s="242" t="n">
        <f aca="false">$E$22</f>
        <v>49734</v>
      </c>
      <c r="I505" s="243" t="s">
        <v>499</v>
      </c>
      <c r="J505" s="135" t="n">
        <v>0.01</v>
      </c>
      <c r="K505" s="135" t="n">
        <v>0.07</v>
      </c>
      <c r="L505" s="81" t="n">
        <f aca="false">K505+J505/(($E$17+$E$19+$E$21)/12)</f>
        <v>0.0719672131147541</v>
      </c>
      <c r="M505" s="256" t="s">
        <v>500</v>
      </c>
    </row>
    <row r="506" customFormat="false" ht="15" hidden="false" customHeight="false" outlineLevel="0" collapsed="false">
      <c r="B506" s="123" t="s">
        <v>155</v>
      </c>
      <c r="C506" s="95"/>
      <c r="D506" s="245" t="n">
        <f aca="false">SUM(D503:D505)</f>
        <v>47455.0999999999</v>
      </c>
      <c r="E506" s="245" t="n">
        <f aca="false">SUM(E503:E505)</f>
        <v>47455.0999999999</v>
      </c>
      <c r="F506" s="140" t="n">
        <f aca="false">SUM(F503:F505)</f>
        <v>1</v>
      </c>
      <c r="G506" s="140" t="n">
        <f aca="false">G505</f>
        <v>0.7</v>
      </c>
      <c r="H506" s="95"/>
      <c r="I506" s="95"/>
      <c r="J506" s="140" t="n">
        <f aca="false">IFERROR(SUMPRODUCT(E503:E505,J503:J505)/E506,0)</f>
        <v>0.01</v>
      </c>
      <c r="K506" s="140" t="n">
        <f aca="false">IFERROR(SUMPRODUCT(E503:E505,K503:K505)/E506,0)</f>
        <v>0.054</v>
      </c>
      <c r="L506" s="140" t="n">
        <f aca="false">IFERROR(SUMPRODUCT(E503:E505,L503:L505)/E506,0)</f>
        <v>0.0559672131147541</v>
      </c>
      <c r="M506" s="246"/>
    </row>
    <row r="508" customFormat="false" ht="15" hidden="false" customHeight="false" outlineLevel="0" collapsed="false">
      <c r="B508" s="32" t="s">
        <v>123</v>
      </c>
    </row>
    <row r="509" customFormat="false" ht="15" hidden="false" customHeight="false" outlineLevel="0" collapsed="false">
      <c r="B509" s="108" t="s">
        <v>121</v>
      </c>
      <c r="C509" s="109" t="s">
        <v>484</v>
      </c>
      <c r="D509" s="109" t="s">
        <v>485</v>
      </c>
      <c r="E509" s="109" t="s">
        <v>505</v>
      </c>
      <c r="F509" s="109" t="s">
        <v>487</v>
      </c>
      <c r="G509" s="110" t="s">
        <v>488</v>
      </c>
      <c r="H509" s="109" t="s">
        <v>489</v>
      </c>
      <c r="I509" s="109" t="s">
        <v>490</v>
      </c>
      <c r="J509" s="109" t="s">
        <v>491</v>
      </c>
      <c r="K509" s="109" t="s">
        <v>492</v>
      </c>
      <c r="L509" s="110" t="s">
        <v>493</v>
      </c>
      <c r="M509" s="113" t="s">
        <v>494</v>
      </c>
    </row>
    <row r="510" customFormat="false" ht="15" hidden="false" customHeight="false" outlineLevel="0" collapsed="false">
      <c r="B510" s="143" t="s">
        <v>511</v>
      </c>
      <c r="C510" s="242" t="n">
        <f aca="false">$E$16</f>
        <v>47907</v>
      </c>
      <c r="D510" s="229" t="n">
        <f aca="false">E510</f>
        <v>27549.928</v>
      </c>
      <c r="E510" s="229" t="n">
        <f aca="false">$G$491*F510</f>
        <v>27549.928</v>
      </c>
      <c r="F510" s="135" t="n">
        <v>0.85</v>
      </c>
      <c r="G510" s="119" t="n">
        <f aca="false">IFERROR((SUM($E$510:E510)+$F$491)/$C$491,0)</f>
        <v>0.683514119849171</v>
      </c>
      <c r="H510" s="242" t="n">
        <f aca="false">$E$22</f>
        <v>49734</v>
      </c>
      <c r="I510" s="243" t="s">
        <v>499</v>
      </c>
      <c r="J510" s="135" t="n">
        <v>0.01</v>
      </c>
      <c r="K510" s="135" t="n">
        <v>0.05</v>
      </c>
      <c r="L510" s="81" t="n">
        <f aca="false">K510+J510/(($E$17+$E$19+$E$21)/12)</f>
        <v>0.0519672131147541</v>
      </c>
      <c r="M510" s="256" t="s">
        <v>500</v>
      </c>
    </row>
    <row r="511" customFormat="false" ht="15" hidden="false" customHeight="false" outlineLevel="0" collapsed="false">
      <c r="B511" s="143" t="s">
        <v>512</v>
      </c>
      <c r="C511" s="242" t="n">
        <f aca="false">$E$16</f>
        <v>47907</v>
      </c>
      <c r="D511" s="229" t="n">
        <f aca="false">E511</f>
        <v>4861.75199999999</v>
      </c>
      <c r="E511" s="229" t="n">
        <f aca="false">$G$491*F511</f>
        <v>4861.75199999999</v>
      </c>
      <c r="F511" s="135" t="n">
        <v>0.15</v>
      </c>
      <c r="G511" s="119" t="n">
        <f aca="false">IFERROR((SUM($E$510:E511)+$F$491)/$C$491,0)</f>
        <v>0.7</v>
      </c>
      <c r="H511" s="242" t="n">
        <f aca="false">$E$22</f>
        <v>49734</v>
      </c>
      <c r="I511" s="243" t="s">
        <v>499</v>
      </c>
      <c r="J511" s="135" t="n">
        <v>0.01</v>
      </c>
      <c r="K511" s="135" t="n">
        <v>0.065</v>
      </c>
      <c r="L511" s="81" t="n">
        <f aca="false">K511+J511/(($E$17+$E$19+$E$21)/12)</f>
        <v>0.0669672131147541</v>
      </c>
      <c r="M511" s="256" t="s">
        <v>500</v>
      </c>
    </row>
    <row r="512" customFormat="false" ht="15" hidden="false" customHeight="false" outlineLevel="0" collapsed="false">
      <c r="B512" s="143" t="s">
        <v>513</v>
      </c>
      <c r="C512" s="242" t="n">
        <f aca="false">$E$16</f>
        <v>47907</v>
      </c>
      <c r="D512" s="229" t="n">
        <f aca="false">E512</f>
        <v>0</v>
      </c>
      <c r="E512" s="229" t="n">
        <f aca="false">$G$491*F512</f>
        <v>0</v>
      </c>
      <c r="F512" s="119" t="n">
        <f aca="false">1-F510-F511</f>
        <v>0</v>
      </c>
      <c r="G512" s="119" t="n">
        <f aca="false">IFERROR((SUM($E$510:E512)+$F$491)/$C$491,0)</f>
        <v>0.7</v>
      </c>
      <c r="H512" s="242" t="n">
        <f aca="false">$E$22</f>
        <v>49734</v>
      </c>
      <c r="I512" s="243" t="s">
        <v>499</v>
      </c>
      <c r="J512" s="135" t="n">
        <v>0.01</v>
      </c>
      <c r="K512" s="135" t="n">
        <v>0.07</v>
      </c>
      <c r="L512" s="81" t="n">
        <f aca="false">K512+J512/(($E$17+$E$19+$E$21)/12)</f>
        <v>0.0719672131147541</v>
      </c>
      <c r="M512" s="256" t="s">
        <v>500</v>
      </c>
    </row>
    <row r="513" customFormat="false" ht="15" hidden="false" customHeight="false" outlineLevel="0" collapsed="false">
      <c r="B513" s="123" t="s">
        <v>155</v>
      </c>
      <c r="C513" s="95"/>
      <c r="D513" s="245" t="n">
        <f aca="false">SUM(D510:D512)</f>
        <v>32411.68</v>
      </c>
      <c r="E513" s="245" t="n">
        <f aca="false">SUM(E510:E512)</f>
        <v>32411.68</v>
      </c>
      <c r="F513" s="140" t="n">
        <f aca="false">SUM(F510:F512)</f>
        <v>1</v>
      </c>
      <c r="G513" s="140" t="n">
        <f aca="false">G512</f>
        <v>0.7</v>
      </c>
      <c r="H513" s="95"/>
      <c r="I513" s="95"/>
      <c r="J513" s="140" t="n">
        <f aca="false">IFERROR(SUMPRODUCT(E510:E512,J510:J512)/E513,0)</f>
        <v>0.01</v>
      </c>
      <c r="K513" s="140" t="n">
        <f aca="false">IFERROR(SUMPRODUCT(E510:E512,K510:K512)/E513,0)</f>
        <v>0.05225</v>
      </c>
      <c r="L513" s="140" t="n">
        <f aca="false">IFERROR(SUMPRODUCT(E510:E512,L510:L512)/E513,0)</f>
        <v>0.0542172131147541</v>
      </c>
      <c r="M513" s="246"/>
    </row>
    <row r="515" customFormat="false" ht="15" hidden="false" customHeight="false" outlineLevel="0" collapsed="false">
      <c r="B515" s="32" t="s">
        <v>124</v>
      </c>
    </row>
    <row r="516" customFormat="false" ht="15" hidden="false" customHeight="false" outlineLevel="0" collapsed="false">
      <c r="B516" s="108" t="s">
        <v>121</v>
      </c>
      <c r="C516" s="109" t="s">
        <v>484</v>
      </c>
      <c r="D516" s="109" t="s">
        <v>485</v>
      </c>
      <c r="E516" s="109" t="s">
        <v>505</v>
      </c>
      <c r="F516" s="109" t="s">
        <v>487</v>
      </c>
      <c r="G516" s="110" t="s">
        <v>488</v>
      </c>
      <c r="H516" s="109" t="s">
        <v>489</v>
      </c>
      <c r="I516" s="109" t="s">
        <v>490</v>
      </c>
      <c r="J516" s="109" t="s">
        <v>491</v>
      </c>
      <c r="K516" s="109" t="s">
        <v>492</v>
      </c>
      <c r="L516" s="110" t="s">
        <v>493</v>
      </c>
      <c r="M516" s="113" t="s">
        <v>494</v>
      </c>
    </row>
    <row r="517" customFormat="false" ht="15" hidden="false" customHeight="false" outlineLevel="0" collapsed="false">
      <c r="B517" s="143" t="s">
        <v>511</v>
      </c>
      <c r="C517" s="242" t="n">
        <f aca="false">$E$16</f>
        <v>47907</v>
      </c>
      <c r="D517" s="229" t="n">
        <f aca="false">E517</f>
        <v>274850.73</v>
      </c>
      <c r="E517" s="229" t="n">
        <f aca="false">$G$492*F517</f>
        <v>274850.73</v>
      </c>
      <c r="F517" s="135" t="n">
        <v>0.85</v>
      </c>
      <c r="G517" s="119" t="n">
        <f aca="false">IFERROR((SUM($E$517:E517)+$F$492)/$C$492,0)</f>
        <v>0.595</v>
      </c>
      <c r="H517" s="242" t="n">
        <f aca="false">$E$22</f>
        <v>49734</v>
      </c>
      <c r="I517" s="243" t="s">
        <v>499</v>
      </c>
      <c r="J517" s="135" t="n">
        <v>0.01</v>
      </c>
      <c r="K517" s="135" t="n">
        <v>0.05</v>
      </c>
      <c r="L517" s="81" t="n">
        <f aca="false">K517+J517/(($E$17+$E$19+$E$21)/12)</f>
        <v>0.0519672131147541</v>
      </c>
      <c r="M517" s="256" t="s">
        <v>500</v>
      </c>
    </row>
    <row r="518" customFormat="false" ht="15" hidden="false" customHeight="false" outlineLevel="0" collapsed="false">
      <c r="B518" s="143" t="s">
        <v>512</v>
      </c>
      <c r="C518" s="242" t="n">
        <f aca="false">$E$16</f>
        <v>47907</v>
      </c>
      <c r="D518" s="229" t="n">
        <f aca="false">E518</f>
        <v>48503.07</v>
      </c>
      <c r="E518" s="229" t="n">
        <f aca="false">$G$492*F518</f>
        <v>48503.07</v>
      </c>
      <c r="F518" s="135" t="n">
        <v>0.15</v>
      </c>
      <c r="G518" s="119" t="n">
        <f aca="false">IFERROR((SUM($E$517:E518)+$F$492)/$C$492,0)</f>
        <v>0.7</v>
      </c>
      <c r="H518" s="242" t="n">
        <f aca="false">$E$22</f>
        <v>49734</v>
      </c>
      <c r="I518" s="243" t="s">
        <v>499</v>
      </c>
      <c r="J518" s="135" t="n">
        <v>0.01</v>
      </c>
      <c r="K518" s="135" t="n">
        <v>0.065</v>
      </c>
      <c r="L518" s="81" t="n">
        <f aca="false">K518+J518/(($E$17+$E$19+$E$21)/12)</f>
        <v>0.0669672131147541</v>
      </c>
      <c r="M518" s="256" t="s">
        <v>500</v>
      </c>
    </row>
    <row r="519" customFormat="false" ht="15" hidden="false" customHeight="false" outlineLevel="0" collapsed="false">
      <c r="B519" s="143" t="s">
        <v>513</v>
      </c>
      <c r="C519" s="242" t="n">
        <f aca="false">$E$16</f>
        <v>47907</v>
      </c>
      <c r="D519" s="229" t="n">
        <f aca="false">E519</f>
        <v>0</v>
      </c>
      <c r="E519" s="229" t="n">
        <f aca="false">$G$492*F519</f>
        <v>0</v>
      </c>
      <c r="F519" s="119" t="n">
        <f aca="false">1-F517-F518</f>
        <v>0</v>
      </c>
      <c r="G519" s="119" t="n">
        <f aca="false">IFERROR((SUM($E$517:E519)+$F$492)/$C$492,0)</f>
        <v>0.7</v>
      </c>
      <c r="H519" s="242" t="n">
        <f aca="false">$E$22</f>
        <v>49734</v>
      </c>
      <c r="I519" s="243" t="s">
        <v>499</v>
      </c>
      <c r="J519" s="135" t="n">
        <v>0.01</v>
      </c>
      <c r="K519" s="135" t="n">
        <v>0.07</v>
      </c>
      <c r="L519" s="81" t="n">
        <f aca="false">K519+J519/(($E$17+$E$19+$E$21)/12)</f>
        <v>0.0719672131147541</v>
      </c>
      <c r="M519" s="256" t="s">
        <v>500</v>
      </c>
    </row>
    <row r="520" customFormat="false" ht="15" hidden="false" customHeight="false" outlineLevel="0" collapsed="false">
      <c r="B520" s="123" t="s">
        <v>155</v>
      </c>
      <c r="C520" s="95"/>
      <c r="D520" s="245" t="n">
        <f aca="false">SUM(D517:D519)</f>
        <v>323353.8</v>
      </c>
      <c r="E520" s="245" t="n">
        <f aca="false">SUM(E517:E519)</f>
        <v>323353.8</v>
      </c>
      <c r="F520" s="140" t="n">
        <f aca="false">SUM(F517:F519)</f>
        <v>1</v>
      </c>
      <c r="G520" s="140" t="n">
        <f aca="false">G519</f>
        <v>0.7</v>
      </c>
      <c r="H520" s="95"/>
      <c r="I520" s="95"/>
      <c r="J520" s="140" t="n">
        <f aca="false">IFERROR(SUMPRODUCT(E517:E519,J517:J519)/E520,0)</f>
        <v>0.01</v>
      </c>
      <c r="K520" s="140" t="n">
        <f aca="false">IFERROR(SUMPRODUCT(E517:E519,K517:K519)/E520,0)</f>
        <v>0.05225</v>
      </c>
      <c r="L520" s="140" t="n">
        <f aca="false">IFERROR(SUMPRODUCT(E517:E519,L517:L519)/E520,0)</f>
        <v>0.0542172131147541</v>
      </c>
      <c r="M520" s="246"/>
    </row>
    <row r="522" customFormat="false" ht="15" hidden="false" customHeight="false" outlineLevel="0" collapsed="false">
      <c r="B522" s="32" t="s">
        <v>125</v>
      </c>
    </row>
    <row r="523" customFormat="false" ht="15" hidden="false" customHeight="false" outlineLevel="0" collapsed="false">
      <c r="B523" s="108" t="s">
        <v>121</v>
      </c>
      <c r="C523" s="109" t="s">
        <v>484</v>
      </c>
      <c r="D523" s="109" t="s">
        <v>485</v>
      </c>
      <c r="E523" s="109" t="s">
        <v>505</v>
      </c>
      <c r="F523" s="109" t="s">
        <v>487</v>
      </c>
      <c r="G523" s="110" t="s">
        <v>488</v>
      </c>
      <c r="H523" s="109" t="s">
        <v>489</v>
      </c>
      <c r="I523" s="109" t="s">
        <v>490</v>
      </c>
      <c r="J523" s="109" t="s">
        <v>491</v>
      </c>
      <c r="K523" s="109" t="s">
        <v>492</v>
      </c>
      <c r="L523" s="110" t="s">
        <v>493</v>
      </c>
      <c r="M523" s="113" t="s">
        <v>494</v>
      </c>
    </row>
    <row r="524" customFormat="false" ht="15" hidden="false" customHeight="false" outlineLevel="0" collapsed="false">
      <c r="B524" s="143" t="s">
        <v>511</v>
      </c>
      <c r="C524" s="242" t="n">
        <f aca="false">$E$16</f>
        <v>47907</v>
      </c>
      <c r="D524" s="229" t="n">
        <f aca="false">E524</f>
        <v>177209.445</v>
      </c>
      <c r="E524" s="229" t="n">
        <f aca="false">$G$493*F524</f>
        <v>177209.445</v>
      </c>
      <c r="F524" s="135" t="n">
        <v>0.85</v>
      </c>
      <c r="G524" s="119" t="n">
        <f aca="false">IFERROR((SUM($E$524:E524)+$F$493)/$C$493,0)</f>
        <v>0.595</v>
      </c>
      <c r="H524" s="242" t="n">
        <f aca="false">$E$22</f>
        <v>49734</v>
      </c>
      <c r="I524" s="243" t="s">
        <v>499</v>
      </c>
      <c r="J524" s="135" t="n">
        <v>0.01</v>
      </c>
      <c r="K524" s="135" t="n">
        <v>0.05</v>
      </c>
      <c r="L524" s="81" t="n">
        <f aca="false">K524+J524/(($E$17+$E$19+$E$21)/12)</f>
        <v>0.0519672131147541</v>
      </c>
      <c r="M524" s="256" t="s">
        <v>500</v>
      </c>
    </row>
    <row r="525" customFormat="false" ht="15" hidden="false" customHeight="false" outlineLevel="0" collapsed="false">
      <c r="B525" s="143" t="s">
        <v>512</v>
      </c>
      <c r="C525" s="242" t="n">
        <f aca="false">$E$16</f>
        <v>47907</v>
      </c>
      <c r="D525" s="229" t="n">
        <f aca="false">E525</f>
        <v>31272.255</v>
      </c>
      <c r="E525" s="229" t="n">
        <f aca="false">$G$493*F525</f>
        <v>31272.255</v>
      </c>
      <c r="F525" s="135" t="n">
        <v>0.15</v>
      </c>
      <c r="G525" s="119" t="n">
        <f aca="false">IFERROR((SUM($E$524:E525)+$F$493)/$C$493,0)</f>
        <v>0.7</v>
      </c>
      <c r="H525" s="242" t="n">
        <f aca="false">$E$22</f>
        <v>49734</v>
      </c>
      <c r="I525" s="243" t="s">
        <v>499</v>
      </c>
      <c r="J525" s="135" t="n">
        <v>0.01</v>
      </c>
      <c r="K525" s="135" t="n">
        <v>0.065</v>
      </c>
      <c r="L525" s="81" t="n">
        <f aca="false">K525+J525/(($E$17+$E$19+$E$21)/12)</f>
        <v>0.0669672131147541</v>
      </c>
      <c r="M525" s="256" t="s">
        <v>500</v>
      </c>
    </row>
    <row r="526" customFormat="false" ht="15" hidden="false" customHeight="false" outlineLevel="0" collapsed="false">
      <c r="B526" s="143" t="s">
        <v>513</v>
      </c>
      <c r="C526" s="242" t="n">
        <f aca="false">$E$16</f>
        <v>47907</v>
      </c>
      <c r="D526" s="229" t="n">
        <f aca="false">E526</f>
        <v>0</v>
      </c>
      <c r="E526" s="229" t="n">
        <f aca="false">$G$493*F526</f>
        <v>0</v>
      </c>
      <c r="F526" s="119" t="n">
        <f aca="false">1-F524-F525</f>
        <v>0</v>
      </c>
      <c r="G526" s="119" t="n">
        <f aca="false">IFERROR((SUM($E$524:E526)+$F$493)/$C$493,0)</f>
        <v>0.7</v>
      </c>
      <c r="H526" s="242" t="n">
        <f aca="false">$E$22</f>
        <v>49734</v>
      </c>
      <c r="I526" s="243" t="s">
        <v>499</v>
      </c>
      <c r="J526" s="135" t="n">
        <v>0.01</v>
      </c>
      <c r="K526" s="135" t="n">
        <v>0.07</v>
      </c>
      <c r="L526" s="81" t="n">
        <f aca="false">K526+J526/(($E$17+$E$19+$E$21)/12)</f>
        <v>0.0719672131147541</v>
      </c>
      <c r="M526" s="256" t="s">
        <v>500</v>
      </c>
    </row>
    <row r="527" customFormat="false" ht="15" hidden="false" customHeight="false" outlineLevel="0" collapsed="false">
      <c r="B527" s="123" t="s">
        <v>155</v>
      </c>
      <c r="C527" s="95"/>
      <c r="D527" s="245" t="n">
        <f aca="false">SUM(D524:D526)</f>
        <v>208481.7</v>
      </c>
      <c r="E527" s="245" t="n">
        <f aca="false">SUM(E524:E526)</f>
        <v>208481.7</v>
      </c>
      <c r="F527" s="140" t="n">
        <f aca="false">SUM(F524:F526)</f>
        <v>1</v>
      </c>
      <c r="G527" s="140" t="n">
        <f aca="false">G526</f>
        <v>0.7</v>
      </c>
      <c r="H527" s="95"/>
      <c r="I527" s="95"/>
      <c r="J527" s="140" t="n">
        <f aca="false">IFERROR(SUMPRODUCT(E524:E526,J524:J526)/E527,0)</f>
        <v>0.01</v>
      </c>
      <c r="K527" s="140" t="n">
        <f aca="false">IFERROR(SUMPRODUCT(E524:E526,K524:K526)/E527,0)</f>
        <v>0.05225</v>
      </c>
      <c r="L527" s="140" t="n">
        <f aca="false">IFERROR(SUMPRODUCT(E524:E526,L524:L526)/E527,0)</f>
        <v>0.0542172131147541</v>
      </c>
      <c r="M527" s="246"/>
    </row>
    <row r="529" customFormat="false" ht="15" hidden="false" customHeight="false" outlineLevel="0" collapsed="false">
      <c r="B529" s="32" t="s">
        <v>126</v>
      </c>
    </row>
    <row r="530" customFormat="false" ht="15" hidden="false" customHeight="false" outlineLevel="0" collapsed="false">
      <c r="B530" s="108" t="s">
        <v>121</v>
      </c>
      <c r="C530" s="109" t="s">
        <v>484</v>
      </c>
      <c r="D530" s="109" t="s">
        <v>485</v>
      </c>
      <c r="E530" s="109" t="s">
        <v>505</v>
      </c>
      <c r="F530" s="109" t="s">
        <v>487</v>
      </c>
      <c r="G530" s="110" t="s">
        <v>488</v>
      </c>
      <c r="H530" s="109" t="s">
        <v>489</v>
      </c>
      <c r="I530" s="109" t="s">
        <v>490</v>
      </c>
      <c r="J530" s="109" t="s">
        <v>491</v>
      </c>
      <c r="K530" s="109" t="s">
        <v>492</v>
      </c>
      <c r="L530" s="110" t="s">
        <v>493</v>
      </c>
      <c r="M530" s="113" t="s">
        <v>494</v>
      </c>
    </row>
    <row r="531" customFormat="false" ht="15" hidden="false" customHeight="false" outlineLevel="0" collapsed="false">
      <c r="B531" s="143" t="s">
        <v>511</v>
      </c>
      <c r="C531" s="242" t="n">
        <f aca="false">$E$16</f>
        <v>47907</v>
      </c>
      <c r="D531" s="229" t="n">
        <f aca="false">E531</f>
        <v>125771.1</v>
      </c>
      <c r="E531" s="229" t="n">
        <f aca="false">$G$494*F531</f>
        <v>125771.1</v>
      </c>
      <c r="F531" s="135" t="n">
        <v>0.85</v>
      </c>
      <c r="G531" s="119" t="n">
        <f aca="false">IFERROR((SUM($E$531:E531)+$F$494)/$C$494,0)</f>
        <v>0.595</v>
      </c>
      <c r="H531" s="242" t="n">
        <f aca="false">$E$22</f>
        <v>49734</v>
      </c>
      <c r="I531" s="243" t="s">
        <v>499</v>
      </c>
      <c r="J531" s="135" t="n">
        <v>0.01</v>
      </c>
      <c r="K531" s="135" t="n">
        <v>0.05</v>
      </c>
      <c r="L531" s="81" t="n">
        <f aca="false">K531+J531/(($E$17+$E$19+$E$21)/12)</f>
        <v>0.0519672131147541</v>
      </c>
      <c r="M531" s="256" t="s">
        <v>500</v>
      </c>
    </row>
    <row r="532" customFormat="false" ht="15" hidden="false" customHeight="false" outlineLevel="0" collapsed="false">
      <c r="B532" s="143" t="s">
        <v>512</v>
      </c>
      <c r="C532" s="242" t="n">
        <f aca="false">$E$16</f>
        <v>47907</v>
      </c>
      <c r="D532" s="229" t="n">
        <f aca="false">E532</f>
        <v>22194.9</v>
      </c>
      <c r="E532" s="229" t="n">
        <f aca="false">$G$494*F532</f>
        <v>22194.9</v>
      </c>
      <c r="F532" s="135" t="n">
        <v>0.15</v>
      </c>
      <c r="G532" s="119" t="n">
        <f aca="false">IFERROR((SUM($E$531:E532)+$F$494)/$C$494,0)</f>
        <v>0.7</v>
      </c>
      <c r="H532" s="242" t="n">
        <f aca="false">$E$22</f>
        <v>49734</v>
      </c>
      <c r="I532" s="243" t="s">
        <v>499</v>
      </c>
      <c r="J532" s="135" t="n">
        <v>0.01</v>
      </c>
      <c r="K532" s="135" t="n">
        <v>0.065</v>
      </c>
      <c r="L532" s="81" t="n">
        <f aca="false">K532+J532/(($E$17+$E$19+$E$21)/12)</f>
        <v>0.0669672131147541</v>
      </c>
      <c r="M532" s="256" t="s">
        <v>500</v>
      </c>
    </row>
    <row r="533" customFormat="false" ht="15" hidden="false" customHeight="false" outlineLevel="0" collapsed="false">
      <c r="B533" s="143" t="s">
        <v>513</v>
      </c>
      <c r="C533" s="242" t="n">
        <f aca="false">$E$16</f>
        <v>47907</v>
      </c>
      <c r="D533" s="229" t="n">
        <f aca="false">E533</f>
        <v>0</v>
      </c>
      <c r="E533" s="229" t="n">
        <f aca="false">$G$494*F533</f>
        <v>0</v>
      </c>
      <c r="F533" s="119" t="n">
        <f aca="false">1-F531-F532</f>
        <v>0</v>
      </c>
      <c r="G533" s="119" t="n">
        <f aca="false">IFERROR((SUM($E$531:E533)+$F$494)/$C$494,0)</f>
        <v>0.7</v>
      </c>
      <c r="H533" s="242" t="n">
        <f aca="false">$E$22</f>
        <v>49734</v>
      </c>
      <c r="I533" s="243" t="s">
        <v>499</v>
      </c>
      <c r="J533" s="135" t="n">
        <v>0.01</v>
      </c>
      <c r="K533" s="135" t="n">
        <v>0.07</v>
      </c>
      <c r="L533" s="81" t="n">
        <f aca="false">K533+J533/(($E$17+$E$19+$E$21)/12)</f>
        <v>0.0719672131147541</v>
      </c>
      <c r="M533" s="256" t="s">
        <v>500</v>
      </c>
    </row>
    <row r="534" customFormat="false" ht="15" hidden="false" customHeight="false" outlineLevel="0" collapsed="false">
      <c r="B534" s="123" t="s">
        <v>155</v>
      </c>
      <c r="C534" s="95"/>
      <c r="D534" s="245" t="n">
        <f aca="false">SUM(D531:D533)</f>
        <v>147966</v>
      </c>
      <c r="E534" s="245" t="n">
        <f aca="false">SUM(E531:E533)</f>
        <v>147966</v>
      </c>
      <c r="F534" s="140" t="n">
        <f aca="false">SUM(F531:F533)</f>
        <v>1</v>
      </c>
      <c r="G534" s="140" t="n">
        <f aca="false">G533</f>
        <v>0.7</v>
      </c>
      <c r="H534" s="95"/>
      <c r="I534" s="95"/>
      <c r="J534" s="140" t="n">
        <f aca="false">IFERROR(SUMPRODUCT(E531:E533,J531:J533)/E534,0)</f>
        <v>0.01</v>
      </c>
      <c r="K534" s="140" t="n">
        <f aca="false">IFERROR(SUMPRODUCT(E531:E533,K531:K533)/E534,0)</f>
        <v>0.05225</v>
      </c>
      <c r="L534" s="140" t="n">
        <f aca="false">IFERROR(SUMPRODUCT(E531:E533,L531:L533)/E534,0)</f>
        <v>0.0542172131147541</v>
      </c>
      <c r="M534" s="246"/>
    </row>
    <row r="536" customFormat="false" ht="15" hidden="false" customHeight="false" outlineLevel="0" collapsed="false">
      <c r="B536" s="131" t="s">
        <v>514</v>
      </c>
      <c r="C536" s="48"/>
      <c r="D536" s="48"/>
      <c r="E536" s="257" t="n">
        <f aca="false">SUM(E503:E505)+SUM(E510:E512)+SUM(E517:E519)+SUM(E524:E526)+SUM(E531:E533)</f>
        <v>759668.28</v>
      </c>
    </row>
    <row r="537" customFormat="false" ht="15" hidden="false" customHeight="false" outlineLevel="0" collapsed="false">
      <c r="B537" s="51" t="s">
        <v>515</v>
      </c>
      <c r="C537" s="52"/>
      <c r="D537" s="52"/>
      <c r="E537" s="137" t="n">
        <f aca="false">SUMPRODUCT(E503:E505,K503:K505)+SUMPRODUCT(E510:E512,K510:K512)+SUMPRODUCT(E517:E519,K517:K519)+SUMPRODUCT(E524:E526,K524:K526)+SUMPRODUCT(E531:E533,K531:K533)</f>
        <v>39775.714055</v>
      </c>
    </row>
    <row r="538" customFormat="false" ht="15" hidden="false" customHeight="false" outlineLevel="0" collapsed="false">
      <c r="B538" s="51" t="s">
        <v>516</v>
      </c>
      <c r="C538" s="52"/>
      <c r="D538" s="52"/>
      <c r="E538" s="137" t="n">
        <f aca="false">SUMPRODUCT(E503:E505,J503:J505)+SUMPRODUCT(E510:E512,J510:J512)+SUMPRODUCT(E517:E519,J517:J519)+SUMPRODUCT(E524:E526,J524:J526)+SUMPRODUCT(E531:E533,J531:J533)</f>
        <v>7596.6828</v>
      </c>
    </row>
    <row r="539" customFormat="false" ht="15" hidden="false" customHeight="false" outlineLevel="0" collapsed="false">
      <c r="B539" s="57" t="s">
        <v>517</v>
      </c>
      <c r="C539" s="58"/>
      <c r="D539" s="58"/>
      <c r="E539" s="258" t="n">
        <f aca="false">$E$22</f>
        <v>49734</v>
      </c>
    </row>
    <row r="541" customFormat="false" ht="15" hidden="false" customHeight="false" outlineLevel="0" collapsed="false">
      <c r="B541" s="151" t="s">
        <v>518</v>
      </c>
    </row>
    <row r="542" customFormat="false" ht="15" hidden="false" customHeight="false" outlineLevel="0" collapsed="false">
      <c r="B542" s="108" t="s">
        <v>121</v>
      </c>
      <c r="C542" s="109" t="s">
        <v>484</v>
      </c>
      <c r="D542" s="109" t="s">
        <v>485</v>
      </c>
      <c r="E542" s="109" t="s">
        <v>505</v>
      </c>
      <c r="F542" s="109" t="s">
        <v>487</v>
      </c>
      <c r="G542" s="110" t="s">
        <v>488</v>
      </c>
      <c r="H542" s="109" t="s">
        <v>489</v>
      </c>
      <c r="I542" s="109" t="s">
        <v>490</v>
      </c>
      <c r="J542" s="109" t="s">
        <v>491</v>
      </c>
      <c r="K542" s="109" t="s">
        <v>492</v>
      </c>
      <c r="L542" s="110" t="s">
        <v>493</v>
      </c>
      <c r="M542" s="109" t="s">
        <v>494</v>
      </c>
      <c r="N542" s="109" t="s">
        <v>519</v>
      </c>
      <c r="O542" s="113" t="s">
        <v>520</v>
      </c>
    </row>
    <row r="543" customFormat="false" ht="15" hidden="false" customHeight="false" outlineLevel="0" collapsed="false">
      <c r="B543" s="51" t="s">
        <v>521</v>
      </c>
      <c r="C543" s="134" t="n">
        <v>47907</v>
      </c>
      <c r="D543" s="259" t="n">
        <v>0</v>
      </c>
      <c r="E543" s="229" t="n">
        <f aca="false">D543</f>
        <v>0</v>
      </c>
      <c r="F543" s="119" t="n">
        <f aca="false">IFERROR(E543/SUM($E$543:$E$545),0)</f>
        <v>0</v>
      </c>
      <c r="G543" s="260"/>
      <c r="H543" s="134" t="n">
        <v>50221</v>
      </c>
      <c r="I543" s="243" t="s">
        <v>499</v>
      </c>
      <c r="J543" s="260"/>
      <c r="K543" s="135" t="n">
        <v>0.046</v>
      </c>
      <c r="L543" s="81" t="n">
        <f aca="false">K543</f>
        <v>0.046</v>
      </c>
      <c r="M543" s="244" t="s">
        <v>500</v>
      </c>
      <c r="N543" s="261" t="n">
        <f aca="false">EOMONTH(C543,0)</f>
        <v>47907</v>
      </c>
      <c r="O543" s="136" t="n">
        <f aca="false">EOMONTH(H543,0)</f>
        <v>50221</v>
      </c>
    </row>
    <row r="544" customFormat="false" ht="15" hidden="false" customHeight="false" outlineLevel="0" collapsed="false">
      <c r="B544" s="51" t="s">
        <v>522</v>
      </c>
      <c r="C544" s="134" t="n">
        <v>47907</v>
      </c>
      <c r="D544" s="259" t="n">
        <v>0</v>
      </c>
      <c r="E544" s="229" t="n">
        <f aca="false">D544</f>
        <v>0</v>
      </c>
      <c r="F544" s="119" t="n">
        <f aca="false">IFERROR(E544/SUM($E$543:$E$545),0)</f>
        <v>0</v>
      </c>
      <c r="G544" s="260"/>
      <c r="H544" s="134" t="n">
        <v>48395</v>
      </c>
      <c r="I544" s="243" t="s">
        <v>499</v>
      </c>
      <c r="J544" s="260"/>
      <c r="K544" s="135" t="n">
        <v>0.046</v>
      </c>
      <c r="L544" s="81" t="n">
        <f aca="false">K544</f>
        <v>0.046</v>
      </c>
      <c r="M544" s="244" t="s">
        <v>500</v>
      </c>
      <c r="N544" s="261" t="n">
        <f aca="false">EOMONTH(C544,0)</f>
        <v>47907</v>
      </c>
      <c r="O544" s="136" t="n">
        <f aca="false">EOMONTH(H544,0)</f>
        <v>48395</v>
      </c>
    </row>
    <row r="545" customFormat="false" ht="15" hidden="false" customHeight="false" outlineLevel="0" collapsed="false">
      <c r="B545" s="51" t="s">
        <v>523</v>
      </c>
      <c r="C545" s="134" t="n">
        <v>47907</v>
      </c>
      <c r="D545" s="259" t="n">
        <v>0</v>
      </c>
      <c r="E545" s="229" t="n">
        <f aca="false">D545</f>
        <v>0</v>
      </c>
      <c r="F545" s="119" t="n">
        <f aca="false">IFERROR(E545/SUM($E$543:$E$545),0)</f>
        <v>0</v>
      </c>
      <c r="G545" s="260"/>
      <c r="H545" s="134" t="n">
        <v>48760</v>
      </c>
      <c r="I545" s="243" t="s">
        <v>499</v>
      </c>
      <c r="J545" s="260"/>
      <c r="K545" s="135" t="n">
        <v>0.046</v>
      </c>
      <c r="L545" s="81" t="n">
        <f aca="false">K545</f>
        <v>0.046</v>
      </c>
      <c r="M545" s="244" t="s">
        <v>500</v>
      </c>
      <c r="N545" s="261" t="n">
        <f aca="false">EOMONTH(C545,0)</f>
        <v>47907</v>
      </c>
      <c r="O545" s="136" t="n">
        <f aca="false">EOMONTH(H545,0)</f>
        <v>48760</v>
      </c>
    </row>
    <row r="546" customFormat="false" ht="15" hidden="false" customHeight="false" outlineLevel="0" collapsed="false">
      <c r="B546" s="123" t="s">
        <v>155</v>
      </c>
      <c r="C546" s="95"/>
      <c r="D546" s="245" t="n">
        <f aca="false">SUM(D543:D545)</f>
        <v>0</v>
      </c>
      <c r="E546" s="245" t="n">
        <f aca="false">SUM(E543:E545)</f>
        <v>0</v>
      </c>
      <c r="F546" s="95"/>
      <c r="G546" s="95"/>
      <c r="H546" s="95"/>
      <c r="I546" s="95"/>
      <c r="J546" s="95"/>
      <c r="K546" s="95"/>
      <c r="L546" s="95"/>
      <c r="M546" s="95"/>
      <c r="N546" s="95"/>
      <c r="O546" s="246"/>
    </row>
    <row r="547" customFormat="false" ht="15" hidden="false" customHeight="false" outlineLevel="0" collapsed="false">
      <c r="B547" s="86" t="s">
        <v>524</v>
      </c>
    </row>
    <row r="549" customFormat="false" ht="15" hidden="false" customHeight="false" outlineLevel="0" collapsed="false">
      <c r="A549" s="46" t="s">
        <v>525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1" customFormat="false" ht="15" hidden="false" customHeight="false" outlineLevel="0" collapsed="false">
      <c r="B551" s="47" t="s">
        <v>526</v>
      </c>
      <c r="C551" s="262" t="s">
        <v>21</v>
      </c>
      <c r="D551" s="132" t="n">
        <v>500</v>
      </c>
    </row>
    <row r="552" customFormat="false" ht="15" hidden="false" customHeight="false" outlineLevel="0" collapsed="false">
      <c r="B552" s="51" t="s">
        <v>527</v>
      </c>
      <c r="C552" s="53" t="s">
        <v>528</v>
      </c>
      <c r="D552" s="133" t="n">
        <v>40</v>
      </c>
    </row>
    <row r="553" customFormat="false" ht="15" hidden="false" customHeight="false" outlineLevel="0" collapsed="false">
      <c r="B553" s="51" t="s">
        <v>529</v>
      </c>
      <c r="C553" s="53" t="s">
        <v>16</v>
      </c>
      <c r="D553" s="138" t="n">
        <v>0.03</v>
      </c>
    </row>
    <row r="554" customFormat="false" ht="15" hidden="false" customHeight="false" outlineLevel="0" collapsed="false">
      <c r="B554" s="51" t="s">
        <v>530</v>
      </c>
      <c r="C554" s="53" t="s">
        <v>16</v>
      </c>
      <c r="D554" s="138" t="n">
        <v>0.05</v>
      </c>
    </row>
    <row r="555" customFormat="false" ht="15" hidden="false" customHeight="false" outlineLevel="0" collapsed="false">
      <c r="B555" s="254" t="s">
        <v>531</v>
      </c>
      <c r="C555" s="59" t="s">
        <v>16</v>
      </c>
      <c r="D555" s="85" t="n">
        <v>0.1</v>
      </c>
    </row>
    <row r="557" customFormat="false" ht="15" hidden="false" customHeight="false" outlineLevel="0" collapsed="false">
      <c r="A557" s="61" t="s">
        <v>91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customFormat="false" ht="15" hidden="false" customHeight="false" outlineLevel="0" collapsed="false">
      <c r="B558" s="86" t="s">
        <v>532</v>
      </c>
    </row>
    <row r="559" customFormat="false" ht="15" hidden="false" customHeight="false" outlineLevel="0" collapsed="false">
      <c r="B559" s="108" t="s">
        <v>2</v>
      </c>
      <c r="C559" s="109"/>
      <c r="D559" s="110" t="s">
        <v>533</v>
      </c>
      <c r="E559" s="110" t="s">
        <v>534</v>
      </c>
      <c r="F559" s="142" t="s">
        <v>535</v>
      </c>
    </row>
    <row r="560" customFormat="false" ht="15" hidden="false" customHeight="false" outlineLevel="0" collapsed="false">
      <c r="B560" s="51" t="s">
        <v>427</v>
      </c>
      <c r="C560" s="52"/>
      <c r="D560" s="157" t="n">
        <f aca="false">$E$438</f>
        <v>287378.385965575</v>
      </c>
      <c r="E560" s="263" t="n">
        <v>287378.385966</v>
      </c>
      <c r="F560" s="137" t="n">
        <f aca="false">D560-E560</f>
        <v>-4.25265170633793E-007</v>
      </c>
    </row>
    <row r="561" customFormat="false" ht="15" hidden="false" customHeight="false" outlineLevel="0" collapsed="false">
      <c r="B561" s="143" t="s">
        <v>403</v>
      </c>
      <c r="C561" s="52"/>
      <c r="D561" s="156" t="n">
        <f aca="false">SUM(①통합_CF!$E$108:$EF$108)</f>
        <v>31542.5543969335</v>
      </c>
      <c r="E561" s="263" t="n">
        <v>31542.554397</v>
      </c>
      <c r="F561" s="137" t="n">
        <f aca="false">D561-E561</f>
        <v>-6.65349944029003E-008</v>
      </c>
    </row>
    <row r="562" customFormat="false" ht="15" hidden="false" customHeight="false" outlineLevel="0" collapsed="false">
      <c r="B562" s="143" t="s">
        <v>406</v>
      </c>
      <c r="C562" s="52"/>
      <c r="D562" s="156" t="n">
        <f aca="false">SUM(①통합_CF!$E$107:$EF$107)</f>
        <v>19183.8893589828</v>
      </c>
      <c r="E562" s="263" t="n">
        <v>19183.889359</v>
      </c>
      <c r="F562" s="137" t="n">
        <f aca="false">D562-E562</f>
        <v>-1.72258296515793E-008</v>
      </c>
    </row>
    <row r="563" customFormat="false" ht="15" hidden="false" customHeight="false" outlineLevel="0" collapsed="false">
      <c r="B563" s="143" t="s">
        <v>407</v>
      </c>
      <c r="C563" s="52"/>
      <c r="D563" s="156" t="n">
        <f aca="false">SUM(①통합_CF!$E$106:$EF$106)</f>
        <v>17629.9193834191</v>
      </c>
      <c r="E563" s="263" t="n">
        <v>17629.919383</v>
      </c>
      <c r="F563" s="137" t="n">
        <f aca="false">D563-E563</f>
        <v>4.1910243453458E-007</v>
      </c>
    </row>
    <row r="564" customFormat="false" ht="15" hidden="false" customHeight="false" outlineLevel="0" collapsed="false">
      <c r="B564" s="143" t="s">
        <v>408</v>
      </c>
      <c r="C564" s="52"/>
      <c r="D564" s="156" t="n">
        <f aca="false">SUM(①통합_CF!$E$111:$EF$111)</f>
        <v>1080.44375537703</v>
      </c>
      <c r="E564" s="263" t="n">
        <v>1080.443755</v>
      </c>
      <c r="F564" s="137" t="n">
        <f aca="false">D564-E564</f>
        <v>3.77027618014836E-007</v>
      </c>
    </row>
    <row r="565" customFormat="false" ht="15" hidden="false" customHeight="false" outlineLevel="0" collapsed="false">
      <c r="B565" s="143" t="s">
        <v>409</v>
      </c>
      <c r="C565" s="52"/>
      <c r="D565" s="156" t="n">
        <f aca="false">SUM(①통합_CF!$E$110:$EF$110)</f>
        <v>1560.68097022578</v>
      </c>
      <c r="E565" s="263" t="n">
        <v>1560.68097</v>
      </c>
      <c r="F565" s="137" t="n">
        <f aca="false">D565-E565</f>
        <v>2.25782287088805E-007</v>
      </c>
    </row>
    <row r="566" customFormat="false" ht="15" hidden="false" customHeight="false" outlineLevel="0" collapsed="false">
      <c r="B566" s="143" t="s">
        <v>410</v>
      </c>
      <c r="C566" s="52"/>
      <c r="D566" s="156" t="n">
        <f aca="false">SUM(①통합_CF!$E$109:$EF$109)</f>
        <v>13013.0590317863</v>
      </c>
      <c r="E566" s="263" t="n">
        <v>13013.059032</v>
      </c>
      <c r="F566" s="137" t="n">
        <f aca="false">D566-E566</f>
        <v>-2.13689418160357E-007</v>
      </c>
    </row>
    <row r="567" customFormat="false" ht="15" hidden="false" customHeight="false" outlineLevel="0" collapsed="false">
      <c r="B567" s="143" t="s">
        <v>411</v>
      </c>
      <c r="C567" s="52"/>
      <c r="D567" s="156" t="n">
        <f aca="false">SUM(①통합_CF!$E$105:$EF$105)</f>
        <v>1641.50534063536</v>
      </c>
      <c r="E567" s="263" t="n">
        <v>1641.505341</v>
      </c>
      <c r="F567" s="137" t="n">
        <f aca="false">D567-E567</f>
        <v>-3.64638026439934E-007</v>
      </c>
    </row>
    <row r="568" customFormat="false" ht="15" hidden="false" customHeight="false" outlineLevel="0" collapsed="false">
      <c r="B568" s="143" t="s">
        <v>412</v>
      </c>
      <c r="C568" s="52"/>
      <c r="D568" s="156" t="n">
        <f aca="false">SUM(①통합_CF!$E$104:$EF$104)</f>
        <v>1642.65485417923</v>
      </c>
      <c r="E568" s="263" t="n">
        <v>1642.654854</v>
      </c>
      <c r="F568" s="137" t="n">
        <f aca="false">D568-E568</f>
        <v>1.79225025931373E-007</v>
      </c>
    </row>
    <row r="569" customFormat="false" ht="15" hidden="false" customHeight="false" outlineLevel="0" collapsed="false">
      <c r="B569" s="254" t="s">
        <v>413</v>
      </c>
      <c r="C569" s="58"/>
      <c r="D569" s="264" t="n">
        <f aca="false">SUM(①통합_CF!$E$103:$EF$103)</f>
        <v>8210.9752438084</v>
      </c>
      <c r="E569" s="265" t="n">
        <v>8210.975244</v>
      </c>
      <c r="F569" s="150" t="n">
        <f aca="false">D569-E569</f>
        <v>-1.91597791854292E-007</v>
      </c>
    </row>
    <row r="572" customFormat="false" ht="15" hidden="false" customHeight="false" outlineLevel="0" collapsed="false">
      <c r="A572" s="46" t="s">
        <v>536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customFormat="false" ht="15" hidden="false" customHeight="false" outlineLevel="0" collapsed="false">
      <c r="C573" s="266" t="s">
        <v>537</v>
      </c>
      <c r="D573" s="266"/>
      <c r="E573" s="266"/>
      <c r="F573" s="266"/>
      <c r="G573" s="266"/>
      <c r="H573" s="266"/>
    </row>
    <row r="574" customFormat="false" ht="15" hidden="false" customHeight="false" outlineLevel="0" collapsed="false">
      <c r="B574" s="161" t="s">
        <v>294</v>
      </c>
      <c r="C574" s="112" t="s">
        <v>156</v>
      </c>
      <c r="D574" s="183" t="s">
        <v>122</v>
      </c>
      <c r="E574" s="184" t="s">
        <v>123</v>
      </c>
      <c r="F574" s="185" t="s">
        <v>124</v>
      </c>
      <c r="G574" s="186" t="s">
        <v>125</v>
      </c>
      <c r="H574" s="188" t="s">
        <v>126</v>
      </c>
    </row>
    <row r="575" customFormat="false" ht="15" hidden="false" customHeight="false" outlineLevel="0" collapsed="false">
      <c r="B575" s="71" t="s">
        <v>538</v>
      </c>
      <c r="C575" s="163" t="n">
        <f aca="false">SUM(D575:H575)</f>
        <v>1496575.89662498</v>
      </c>
      <c r="D575" s="164" t="n">
        <f aca="false">$L$349</f>
        <v>397694.077786449</v>
      </c>
      <c r="E575" s="164" t="n">
        <f aca="false">$M$349</f>
        <v>230693.928749223</v>
      </c>
      <c r="F575" s="164" t="n">
        <f aca="false">$N$349</f>
        <v>408851.84609324</v>
      </c>
      <c r="G575" s="164" t="n">
        <f aca="false">$O$349</f>
        <v>268849.032444262</v>
      </c>
      <c r="H575" s="165" t="n">
        <f aca="false">$P$349</f>
        <v>190487.011551809</v>
      </c>
    </row>
    <row r="576" customFormat="false" ht="15" hidden="false" customHeight="false" outlineLevel="0" collapsed="false">
      <c r="B576" s="51" t="s">
        <v>539</v>
      </c>
      <c r="C576" s="163" t="n">
        <f aca="false">SUM(D576:H576)</f>
        <v>476421.12</v>
      </c>
      <c r="D576" s="156" t="n">
        <f aca="false">$F$490</f>
        <v>302400</v>
      </c>
      <c r="E576" s="156" t="n">
        <f aca="false">$F$491</f>
        <v>174021.12</v>
      </c>
      <c r="F576" s="156" t="n">
        <f aca="false">$F$492</f>
        <v>0</v>
      </c>
      <c r="G576" s="156" t="n">
        <f aca="false">$F$493</f>
        <v>0</v>
      </c>
      <c r="H576" s="267" t="n">
        <f aca="false">$F$494</f>
        <v>0</v>
      </c>
    </row>
    <row r="577" customFormat="false" ht="15" hidden="false" customHeight="false" outlineLevel="0" collapsed="false">
      <c r="B577" s="71" t="s">
        <v>540</v>
      </c>
      <c r="C577" s="163" t="n">
        <f aca="false">SUM(D577:H577)</f>
        <v>1020154.77662498</v>
      </c>
      <c r="D577" s="164" t="n">
        <f aca="false">D575-D576</f>
        <v>95294.0777864491</v>
      </c>
      <c r="E577" s="164" t="n">
        <f aca="false">E575-E576</f>
        <v>56672.8087492231</v>
      </c>
      <c r="F577" s="164" t="n">
        <f aca="false">F575-F576</f>
        <v>408851.84609324</v>
      </c>
      <c r="G577" s="164" t="n">
        <f aca="false">G575-G576</f>
        <v>268849.032444262</v>
      </c>
      <c r="H577" s="165" t="n">
        <f aca="false">H575-H576</f>
        <v>190487.011551809</v>
      </c>
    </row>
    <row r="578" customFormat="false" ht="15" hidden="false" customHeight="false" outlineLevel="0" collapsed="false">
      <c r="B578" s="268" t="s">
        <v>541</v>
      </c>
      <c r="C578" s="269" t="n">
        <f aca="false">SUM(D578:H578)</f>
        <v>1</v>
      </c>
      <c r="D578" s="119" t="n">
        <f aca="false">IFERROR(MAX(0,D577)/SUMIF($D$577:$H$577,"&gt;0"),0)</f>
        <v>0.0934113920455425</v>
      </c>
      <c r="E578" s="119" t="n">
        <f aca="false">IFERROR(MAX(0,E577)/SUMIF($D$577:$H$577,"&gt;0"),0)</f>
        <v>0.0555531474711278</v>
      </c>
      <c r="F578" s="119" t="n">
        <f aca="false">IFERROR(MAX(0,F577)/SUMIF($D$577:$H$577,"&gt;0"),0)</f>
        <v>0.400774329014917</v>
      </c>
      <c r="G578" s="119" t="n">
        <f aca="false">IFERROR(MAX(0,G577)/SUMIF($D$577:$H$577,"&gt;0"),0)</f>
        <v>0.263537493137763</v>
      </c>
      <c r="H578" s="122" t="n">
        <f aca="false">IFERROR(MAX(0,H577)/SUMIF($D$577:$H$577,"&gt;0"),0)</f>
        <v>0.18672363833065</v>
      </c>
    </row>
    <row r="579" customFormat="false" ht="15" hidden="false" customHeight="false" outlineLevel="0" collapsed="false">
      <c r="B579" s="143" t="s">
        <v>542</v>
      </c>
      <c r="C579" s="120" t="n">
        <f aca="false">SUM(D579:H579)</f>
        <v>1</v>
      </c>
      <c r="D579" s="135" t="n">
        <v>0.13007</v>
      </c>
      <c r="E579" s="135" t="n">
        <v>0.19969</v>
      </c>
      <c r="F579" s="135" t="n">
        <v>0.31625</v>
      </c>
      <c r="G579" s="135" t="n">
        <v>0.20717</v>
      </c>
      <c r="H579" s="122" t="n">
        <f aca="false">1-SUM(D579:G579)</f>
        <v>0.14682</v>
      </c>
    </row>
    <row r="580" customFormat="false" ht="15" hidden="false" customHeight="false" outlineLevel="0" collapsed="false">
      <c r="B580" s="143" t="s">
        <v>543</v>
      </c>
      <c r="C580" s="120" t="n">
        <f aca="false">SUM(D580:H580)</f>
        <v>1</v>
      </c>
      <c r="D580" s="119" t="n">
        <f aca="false">IFERROR(D579*$D$38/SUMPRODUCT($D$579:$H$579,$D$38:$H$38),0)</f>
        <v>0.13007</v>
      </c>
      <c r="E580" s="119" t="n">
        <f aca="false">IFERROR(E579*$E$38/SUMPRODUCT($D$579:$H$579,$D$38:$H$38),0)</f>
        <v>0.19969</v>
      </c>
      <c r="F580" s="119" t="n">
        <f aca="false">IFERROR(F579*$F$38/SUMPRODUCT($D$579:$H$579,$D$38:$H$38),0)</f>
        <v>0.31625</v>
      </c>
      <c r="G580" s="119" t="n">
        <f aca="false">IFERROR(G579*$G$38/SUMPRODUCT($D$579:$H$579,$D$38:$H$38),0)</f>
        <v>0.20717</v>
      </c>
      <c r="H580" s="122" t="n">
        <f aca="false">IFERROR(H579*$H$38/SUMPRODUCT($D$579:$H$579,$D$38:$H$38),0)</f>
        <v>0.14682</v>
      </c>
    </row>
    <row r="581" customFormat="false" ht="15" hidden="false" customHeight="false" outlineLevel="0" collapsed="false">
      <c r="B581" s="64" t="s">
        <v>544</v>
      </c>
      <c r="C581" s="163" t="n">
        <f aca="false">SUM(D581:H581)</f>
        <v>287378.385965575</v>
      </c>
      <c r="D581" s="164" t="n">
        <f aca="false">$E$438*D580</f>
        <v>37379.3066625423</v>
      </c>
      <c r="E581" s="164" t="n">
        <f aca="false">$E$438*E580</f>
        <v>57386.5898934656</v>
      </c>
      <c r="F581" s="164" t="n">
        <f aca="false">$E$438*F580</f>
        <v>90883.414561613</v>
      </c>
      <c r="G581" s="164" t="n">
        <f aca="false">$E$438*G580</f>
        <v>59536.1802204881</v>
      </c>
      <c r="H581" s="165" t="n">
        <f aca="false">$E$438*H580</f>
        <v>42192.8946274657</v>
      </c>
    </row>
    <row r="582" customFormat="false" ht="15" hidden="false" customHeight="false" outlineLevel="0" collapsed="false">
      <c r="B582" s="143" t="s">
        <v>545</v>
      </c>
      <c r="C582" s="157" t="n">
        <f aca="false">$E$438</f>
        <v>287378.385965575</v>
      </c>
      <c r="D582" s="52"/>
      <c r="E582" s="52"/>
      <c r="F582" s="52"/>
      <c r="G582" s="52"/>
      <c r="H582" s="74"/>
    </row>
    <row r="583" customFormat="false" ht="15" hidden="false" customHeight="false" outlineLevel="0" collapsed="false">
      <c r="B583" s="51" t="s">
        <v>546</v>
      </c>
      <c r="C583" s="157" t="n">
        <f aca="false">C581-C582</f>
        <v>0</v>
      </c>
      <c r="D583" s="270" t="str">
        <f aca="false">IF(ABS(C583)&lt;1,"OK","Error")</f>
        <v>OK</v>
      </c>
      <c r="E583" s="52"/>
      <c r="F583" s="52"/>
      <c r="G583" s="52"/>
      <c r="H583" s="74"/>
    </row>
    <row r="584" customFormat="false" ht="15" hidden="false" customHeight="false" outlineLevel="0" collapsed="false">
      <c r="B584" s="51" t="s">
        <v>547</v>
      </c>
      <c r="C584" s="163" t="n">
        <f aca="false">SUM(D584:H584)</f>
        <v>201164.870175902</v>
      </c>
      <c r="D584" s="157" t="n">
        <f aca="false">$E$444*D580</f>
        <v>26165.5146637796</v>
      </c>
      <c r="E584" s="157" t="n">
        <f aca="false">$E$444*E580</f>
        <v>40170.6129254259</v>
      </c>
      <c r="F584" s="157" t="n">
        <f aca="false">$E$444*F580</f>
        <v>63618.3901931291</v>
      </c>
      <c r="G584" s="157" t="n">
        <f aca="false">$E$444*G580</f>
        <v>41675.3261543417</v>
      </c>
      <c r="H584" s="137" t="n">
        <f aca="false">$E$444*H580</f>
        <v>29535.026239226</v>
      </c>
    </row>
    <row r="585" customFormat="false" ht="15" hidden="false" customHeight="false" outlineLevel="0" collapsed="false">
      <c r="B585" s="51" t="s">
        <v>548</v>
      </c>
      <c r="C585" s="163" t="n">
        <f aca="false">SUM(D585:H585)</f>
        <v>86213.5157896724</v>
      </c>
      <c r="D585" s="157" t="n">
        <f aca="false">$E$450*D580</f>
        <v>11213.7919987627</v>
      </c>
      <c r="E585" s="157" t="n">
        <f aca="false">$E$450*E580</f>
        <v>17215.9769680397</v>
      </c>
      <c r="F585" s="157" t="n">
        <f aca="false">$E$450*F580</f>
        <v>27265.0243684839</v>
      </c>
      <c r="G585" s="157" t="n">
        <f aca="false">$E$450*G580</f>
        <v>17860.8540661464</v>
      </c>
      <c r="H585" s="137" t="n">
        <f aca="false">$E$450*H580</f>
        <v>12657.8683882397</v>
      </c>
    </row>
    <row r="586" customFormat="false" ht="15" hidden="false" customHeight="false" outlineLevel="0" collapsed="false">
      <c r="B586" s="143" t="s">
        <v>549</v>
      </c>
      <c r="C586" s="163" t="n">
        <f aca="false">SUM(D586:H586)</f>
        <v>732776.390659408</v>
      </c>
      <c r="D586" s="157" t="n">
        <f aca="false">D577-D581</f>
        <v>57914.7711239068</v>
      </c>
      <c r="E586" s="157" t="n">
        <f aca="false">E577-E581</f>
        <v>-713.781144242545</v>
      </c>
      <c r="F586" s="157" t="n">
        <f aca="false">F577-F581</f>
        <v>317968.431531627</v>
      </c>
      <c r="G586" s="157" t="n">
        <f aca="false">G577-G581</f>
        <v>209312.852223774</v>
      </c>
      <c r="H586" s="137" t="n">
        <f aca="false">H577-H581</f>
        <v>148294.116924343</v>
      </c>
    </row>
    <row r="587" customFormat="false" ht="15" hidden="false" customHeight="false" outlineLevel="0" collapsed="false">
      <c r="B587" s="271" t="s">
        <v>550</v>
      </c>
      <c r="C587" s="269" t="n">
        <f aca="false">SUM(D587:H587)</f>
        <v>1</v>
      </c>
      <c r="D587" s="119" t="n">
        <f aca="false">IF(SUMIF($D$586:$H$586,"&gt;0")=0,D580,MAX(0,D586)/SUMIF($D$586:$H$586,"&gt;0"))</f>
        <v>0.0789578011406677</v>
      </c>
      <c r="E587" s="119" t="n">
        <f aca="false">IF(SUMIF($D$586:$H$586,"&gt;0")=0,E580,MAX(0,E586)/SUMIF($D$586:$H$586,"&gt;0"))</f>
        <v>0</v>
      </c>
      <c r="F587" s="119" t="n">
        <f aca="false">IF(SUMIF($D$586:$H$586,"&gt;0")=0,F580,MAX(0,F586)/SUMIF($D$586:$H$586,"&gt;0"))</f>
        <v>0.43350060267303</v>
      </c>
      <c r="G587" s="119" t="n">
        <f aca="false">IF(SUMIF($D$586:$H$586,"&gt;0")=0,G580,MAX(0,G586)/SUMIF($D$586:$H$586,"&gt;0"))</f>
        <v>0.285365585348027</v>
      </c>
      <c r="H587" s="122" t="n">
        <f aca="false">IF(SUMIF($D$586:$H$586,"&gt;0")=0,H580,MAX(0,H586)/SUMIF($D$586:$H$586,"&gt;0"))</f>
        <v>0.202176010838275</v>
      </c>
    </row>
    <row r="588" customFormat="false" ht="15" hidden="false" customHeight="false" outlineLevel="0" collapsed="false">
      <c r="B588" s="64" t="s">
        <v>551</v>
      </c>
      <c r="C588" s="163" t="n">
        <f aca="false">SUM(D588:H588)</f>
        <v>632619.287228057</v>
      </c>
      <c r="D588" s="164" t="n">
        <f aca="false">$E$486*D587</f>
        <v>49950.2278787039</v>
      </c>
      <c r="E588" s="164" t="n">
        <f aca="false">$E$486*E587</f>
        <v>0</v>
      </c>
      <c r="F588" s="164" t="n">
        <f aca="false">$E$486*F587</f>
        <v>274240.842275945</v>
      </c>
      <c r="G588" s="164" t="n">
        <f aca="false">$E$486*G587</f>
        <v>180527.773202286</v>
      </c>
      <c r="H588" s="165" t="n">
        <f aca="false">$E$486*H587</f>
        <v>127900.443871121</v>
      </c>
    </row>
    <row r="589" customFormat="false" ht="15" hidden="false" customHeight="false" outlineLevel="0" collapsed="false">
      <c r="B589" s="143" t="s">
        <v>552</v>
      </c>
      <c r="C589" s="163" t="n">
        <f aca="false">SUM(D589:H589)</f>
        <v>304203.267746598</v>
      </c>
      <c r="D589" s="157" t="n">
        <f aca="false">$E$483*D587</f>
        <v>24019.2211210772</v>
      </c>
      <c r="E589" s="157" t="n">
        <f aca="false">$E$483*E587</f>
        <v>0</v>
      </c>
      <c r="F589" s="157" t="n">
        <f aca="false">$E$483*F587</f>
        <v>131872.299903256</v>
      </c>
      <c r="G589" s="157" t="n">
        <f aca="false">$E$483*G587</f>
        <v>86809.1435652907</v>
      </c>
      <c r="H589" s="137" t="n">
        <f aca="false">$E$483*H587</f>
        <v>61502.6031569749</v>
      </c>
    </row>
    <row r="590" customFormat="false" ht="15" hidden="false" customHeight="false" outlineLevel="0" collapsed="false">
      <c r="B590" s="143" t="s">
        <v>553</v>
      </c>
      <c r="C590" s="163" t="n">
        <f aca="false">SUM(D590:H590)</f>
        <v>164265.485417923</v>
      </c>
      <c r="D590" s="157" t="n">
        <f aca="false">$E$484*D587</f>
        <v>12970.0415319036</v>
      </c>
      <c r="E590" s="157" t="n">
        <f aca="false">$E$484*E587</f>
        <v>0</v>
      </c>
      <c r="F590" s="157" t="n">
        <f aca="false">$E$484*F587</f>
        <v>71209.1869270472</v>
      </c>
      <c r="G590" s="157" t="n">
        <f aca="false">$E$484*G587</f>
        <v>46875.7163987633</v>
      </c>
      <c r="H590" s="137" t="n">
        <f aca="false">$E$484*H587</f>
        <v>33210.5405602084</v>
      </c>
    </row>
    <row r="591" customFormat="false" ht="15" hidden="false" customHeight="false" outlineLevel="0" collapsed="false">
      <c r="B591" s="143" t="s">
        <v>554</v>
      </c>
      <c r="C591" s="163" t="n">
        <f aca="false">SUM(D591:H591)</f>
        <v>164150.534063536</v>
      </c>
      <c r="D591" s="157" t="n">
        <f aca="false">$E$485*D587</f>
        <v>12960.9652257231</v>
      </c>
      <c r="E591" s="157" t="n">
        <f aca="false">$E$485*E587</f>
        <v>0</v>
      </c>
      <c r="F591" s="157" t="n">
        <f aca="false">$E$485*F587</f>
        <v>71159.3554456427</v>
      </c>
      <c r="G591" s="157" t="n">
        <f aca="false">$E$485*G587</f>
        <v>46842.9132382323</v>
      </c>
      <c r="H591" s="137" t="n">
        <f aca="false">$E$485*H587</f>
        <v>33187.3001539381</v>
      </c>
    </row>
    <row r="592" customFormat="false" ht="15" hidden="false" customHeight="false" outlineLevel="0" collapsed="false">
      <c r="B592" s="71" t="s">
        <v>555</v>
      </c>
      <c r="C592" s="163" t="n">
        <f aca="false">SUM(D592:H592)</f>
        <v>1396418.79319363</v>
      </c>
      <c r="D592" s="164" t="n">
        <f aca="false">D576+D581+D588</f>
        <v>389729.534541246</v>
      </c>
      <c r="E592" s="164" t="n">
        <f aca="false">E576+E581+E588</f>
        <v>231407.709893466</v>
      </c>
      <c r="F592" s="164" t="n">
        <f aca="false">F576+F581+F588</f>
        <v>365124.256837558</v>
      </c>
      <c r="G592" s="164" t="n">
        <f aca="false">G576+G581+G588</f>
        <v>240063.953422774</v>
      </c>
      <c r="H592" s="165" t="n">
        <f aca="false">H576+H581+H588</f>
        <v>170093.338498587</v>
      </c>
    </row>
    <row r="593" customFormat="false" ht="15" hidden="false" customHeight="false" outlineLevel="0" collapsed="false">
      <c r="B593" s="51" t="s">
        <v>556</v>
      </c>
      <c r="C593" s="163" t="n">
        <f aca="false">SUM(D593:H593)</f>
        <v>-100157.103431351</v>
      </c>
      <c r="D593" s="157" t="n">
        <f aca="false">D592-D575</f>
        <v>-7964.54324520298</v>
      </c>
      <c r="E593" s="157" t="n">
        <f aca="false">E592-E575</f>
        <v>713.78114424253</v>
      </c>
      <c r="F593" s="157" t="n">
        <f aca="false">F592-F575</f>
        <v>-43727.5892556814</v>
      </c>
      <c r="G593" s="157" t="n">
        <f aca="false">G592-G575</f>
        <v>-28785.0790214875</v>
      </c>
      <c r="H593" s="137" t="n">
        <f aca="false">H592-H575</f>
        <v>-20393.6730532215</v>
      </c>
    </row>
    <row r="594" customFormat="false" ht="15" hidden="false" customHeight="false" outlineLevel="0" collapsed="false">
      <c r="B594" s="271" t="s">
        <v>557</v>
      </c>
      <c r="C594" s="52" t="n">
        <f aca="false">IFERROR(C581/C575,0)</f>
        <v>0.192023930502729</v>
      </c>
      <c r="D594" s="119" t="n">
        <f aca="false">IFERROR(D581/D575,0)</f>
        <v>0.0939901013125319</v>
      </c>
      <c r="E594" s="119" t="n">
        <f aca="false">IFERROR(E581/E575,0)</f>
        <v>0.248756394260587</v>
      </c>
      <c r="F594" s="119" t="n">
        <f aca="false">IFERROR(F581/F575,0)</f>
        <v>0.22228935843153</v>
      </c>
      <c r="G594" s="119" t="n">
        <f aca="false">IFERROR(G581/G575,0)</f>
        <v>0.221448370779728</v>
      </c>
      <c r="H594" s="122" t="n">
        <f aca="false">IFERROR(H581/H575,0)</f>
        <v>0.221500113229453</v>
      </c>
    </row>
    <row r="595" customFormat="false" ht="15" hidden="false" customHeight="false" outlineLevel="0" collapsed="false">
      <c r="B595" s="51" t="s">
        <v>558</v>
      </c>
      <c r="C595" s="163" t="n">
        <f aca="false">SUM(D595:H595)</f>
        <v>759668.28</v>
      </c>
      <c r="D595" s="157" t="n">
        <f aca="false">$G$490</f>
        <v>47455.0999999999</v>
      </c>
      <c r="E595" s="157" t="n">
        <f aca="false">$G$491</f>
        <v>32411.68</v>
      </c>
      <c r="F595" s="157" t="n">
        <f aca="false">$G$492</f>
        <v>323353.8</v>
      </c>
      <c r="G595" s="157" t="n">
        <f aca="false">$G$493</f>
        <v>208481.7</v>
      </c>
      <c r="H595" s="137" t="n">
        <f aca="false">$G$494</f>
        <v>147966</v>
      </c>
    </row>
    <row r="596" customFormat="false" ht="15" hidden="false" customHeight="false" outlineLevel="0" collapsed="false">
      <c r="B596" s="57" t="s">
        <v>559</v>
      </c>
      <c r="C596" s="190" t="n">
        <f aca="false">SUM(D596:H596)</f>
        <v>127048.992771943</v>
      </c>
      <c r="D596" s="226" t="n">
        <f aca="false">D595-D588</f>
        <v>-2495.12787870394</v>
      </c>
      <c r="E596" s="226" t="n">
        <f aca="false">E595-E588</f>
        <v>32411.68</v>
      </c>
      <c r="F596" s="226" t="n">
        <f aca="false">F595-F588</f>
        <v>49112.9577240545</v>
      </c>
      <c r="G596" s="226" t="n">
        <f aca="false">G595-G588</f>
        <v>27953.9267977137</v>
      </c>
      <c r="H596" s="150" t="n">
        <f aca="false">H595-H588</f>
        <v>20065.5561288786</v>
      </c>
    </row>
    <row r="597" customFormat="false" ht="15" hidden="false" customHeight="false" outlineLevel="0" collapsed="false">
      <c r="B597" s="86" t="s">
        <v>560</v>
      </c>
    </row>
  </sheetData>
  <mergeCells count="6">
    <mergeCell ref="C315:H315"/>
    <mergeCell ref="I315:N315"/>
    <mergeCell ref="O315:T315"/>
    <mergeCell ref="C333:H333"/>
    <mergeCell ref="K333:P333"/>
    <mergeCell ref="C573:H5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F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2"/>
    <col collapsed="false" customWidth="true" hidden="false" outlineLevel="0" max="136" min="5" style="0" width="9.51"/>
  </cols>
  <sheetData>
    <row r="1" customFormat="false" ht="15" hidden="false" customHeight="false" outlineLevel="0" collapsed="false">
      <c r="A1" s="272" t="s">
        <v>561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3" customFormat="false" ht="15" hidden="false" customHeight="false" outlineLevel="0" collapsed="false">
      <c r="A3" s="86" t="s">
        <v>562</v>
      </c>
    </row>
    <row r="5" customFormat="false" ht="15" hidden="false" customHeight="false" outlineLevel="0" collapsed="false">
      <c r="A5" s="205" t="s">
        <v>121</v>
      </c>
      <c r="B5" s="68" t="s">
        <v>3</v>
      </c>
      <c r="C5" s="68" t="s">
        <v>155</v>
      </c>
    </row>
    <row r="6" customFormat="false" ht="15" hidden="false" customHeight="false" outlineLevel="0" collapsed="false">
      <c r="A6" s="36" t="s">
        <v>75</v>
      </c>
      <c r="B6" s="273"/>
      <c r="E6" s="274" t="n">
        <f aca="false">EOMONTH(①통합_가정!$E$8,0)</f>
        <v>46112</v>
      </c>
      <c r="F6" s="274" t="n">
        <f aca="false">EOMONTH(E6,1)</f>
        <v>46142</v>
      </c>
      <c r="G6" s="274" t="n">
        <f aca="false">EOMONTH(F6,1)</f>
        <v>46173</v>
      </c>
      <c r="H6" s="274" t="n">
        <f aca="false">EOMONTH(G6,1)</f>
        <v>46203</v>
      </c>
      <c r="I6" s="274" t="n">
        <f aca="false">EOMONTH(H6,1)</f>
        <v>46234</v>
      </c>
      <c r="J6" s="274" t="n">
        <f aca="false">EOMONTH(I6,1)</f>
        <v>46265</v>
      </c>
      <c r="K6" s="274" t="n">
        <f aca="false">EOMONTH(J6,1)</f>
        <v>46295</v>
      </c>
      <c r="L6" s="274" t="n">
        <f aca="false">EOMONTH(K6,1)</f>
        <v>46326</v>
      </c>
      <c r="M6" s="274" t="n">
        <f aca="false">EOMONTH(L6,1)</f>
        <v>46356</v>
      </c>
      <c r="N6" s="274" t="n">
        <f aca="false">EOMONTH(M6,1)</f>
        <v>46387</v>
      </c>
      <c r="O6" s="274" t="n">
        <f aca="false">EOMONTH(N6,1)</f>
        <v>46418</v>
      </c>
      <c r="P6" s="274" t="n">
        <f aca="false">EOMONTH(O6,1)</f>
        <v>46446</v>
      </c>
      <c r="Q6" s="274" t="n">
        <f aca="false">EOMONTH(P6,1)</f>
        <v>46477</v>
      </c>
      <c r="R6" s="274" t="n">
        <f aca="false">EOMONTH(Q6,1)</f>
        <v>46507</v>
      </c>
      <c r="S6" s="274" t="n">
        <f aca="false">EOMONTH(R6,1)</f>
        <v>46538</v>
      </c>
      <c r="T6" s="274" t="n">
        <f aca="false">EOMONTH(S6,1)</f>
        <v>46568</v>
      </c>
      <c r="U6" s="274" t="n">
        <f aca="false">EOMONTH(T6,1)</f>
        <v>46599</v>
      </c>
      <c r="V6" s="274" t="n">
        <f aca="false">EOMONTH(U6,1)</f>
        <v>46630</v>
      </c>
      <c r="W6" s="274" t="n">
        <f aca="false">EOMONTH(V6,1)</f>
        <v>46660</v>
      </c>
      <c r="X6" s="274" t="n">
        <f aca="false">EOMONTH(W6,1)</f>
        <v>46691</v>
      </c>
      <c r="Y6" s="274" t="n">
        <f aca="false">EOMONTH(X6,1)</f>
        <v>46721</v>
      </c>
      <c r="Z6" s="274" t="n">
        <f aca="false">EOMONTH(Y6,1)</f>
        <v>46752</v>
      </c>
      <c r="AA6" s="274" t="n">
        <f aca="false">EOMONTH(Z6,1)</f>
        <v>46783</v>
      </c>
      <c r="AB6" s="274" t="n">
        <f aca="false">EOMONTH(AA6,1)</f>
        <v>46812</v>
      </c>
      <c r="AC6" s="274" t="n">
        <f aca="false">EOMONTH(AB6,1)</f>
        <v>46843</v>
      </c>
      <c r="AD6" s="274" t="n">
        <f aca="false">EOMONTH(AC6,1)</f>
        <v>46873</v>
      </c>
      <c r="AE6" s="274" t="n">
        <f aca="false">EOMONTH(AD6,1)</f>
        <v>46904</v>
      </c>
      <c r="AF6" s="274" t="n">
        <f aca="false">EOMONTH(AE6,1)</f>
        <v>46934</v>
      </c>
      <c r="AG6" s="274" t="n">
        <f aca="false">EOMONTH(AF6,1)</f>
        <v>46965</v>
      </c>
      <c r="AH6" s="274" t="n">
        <f aca="false">EOMONTH(AG6,1)</f>
        <v>46996</v>
      </c>
      <c r="AI6" s="274" t="n">
        <f aca="false">EOMONTH(AH6,1)</f>
        <v>47026</v>
      </c>
      <c r="AJ6" s="274" t="n">
        <f aca="false">EOMONTH(AI6,1)</f>
        <v>47057</v>
      </c>
      <c r="AK6" s="274" t="n">
        <f aca="false">EOMONTH(AJ6,1)</f>
        <v>47087</v>
      </c>
      <c r="AL6" s="274" t="n">
        <f aca="false">EOMONTH(AK6,1)</f>
        <v>47118</v>
      </c>
      <c r="AM6" s="274" t="n">
        <f aca="false">EOMONTH(AL6,1)</f>
        <v>47149</v>
      </c>
      <c r="AN6" s="274" t="n">
        <f aca="false">EOMONTH(AM6,1)</f>
        <v>47177</v>
      </c>
      <c r="AO6" s="274" t="n">
        <f aca="false">EOMONTH(AN6,1)</f>
        <v>47208</v>
      </c>
      <c r="AP6" s="274" t="n">
        <f aca="false">EOMONTH(AO6,1)</f>
        <v>47238</v>
      </c>
      <c r="AQ6" s="274" t="n">
        <f aca="false">EOMONTH(AP6,1)</f>
        <v>47269</v>
      </c>
      <c r="AR6" s="274" t="n">
        <f aca="false">EOMONTH(AQ6,1)</f>
        <v>47299</v>
      </c>
      <c r="AS6" s="274" t="n">
        <f aca="false">EOMONTH(AR6,1)</f>
        <v>47330</v>
      </c>
      <c r="AT6" s="274" t="n">
        <f aca="false">EOMONTH(AS6,1)</f>
        <v>47361</v>
      </c>
      <c r="AU6" s="274" t="n">
        <f aca="false">EOMONTH(AT6,1)</f>
        <v>47391</v>
      </c>
      <c r="AV6" s="274" t="n">
        <f aca="false">EOMONTH(AU6,1)</f>
        <v>47422</v>
      </c>
      <c r="AW6" s="274" t="n">
        <f aca="false">EOMONTH(AV6,1)</f>
        <v>47452</v>
      </c>
      <c r="AX6" s="274" t="n">
        <f aca="false">EOMONTH(AW6,1)</f>
        <v>47483</v>
      </c>
      <c r="AY6" s="274" t="n">
        <f aca="false">EOMONTH(AX6,1)</f>
        <v>47514</v>
      </c>
      <c r="AZ6" s="274" t="n">
        <f aca="false">EOMONTH(AY6,1)</f>
        <v>47542</v>
      </c>
      <c r="BA6" s="274" t="n">
        <f aca="false">EOMONTH(AZ6,1)</f>
        <v>47573</v>
      </c>
      <c r="BB6" s="274" t="n">
        <f aca="false">EOMONTH(BA6,1)</f>
        <v>47603</v>
      </c>
      <c r="BC6" s="274" t="n">
        <f aca="false">EOMONTH(BB6,1)</f>
        <v>47634</v>
      </c>
      <c r="BD6" s="274" t="n">
        <f aca="false">EOMONTH(BC6,1)</f>
        <v>47664</v>
      </c>
      <c r="BE6" s="274" t="n">
        <f aca="false">EOMONTH(BD6,1)</f>
        <v>47695</v>
      </c>
      <c r="BF6" s="274" t="n">
        <f aca="false">EOMONTH(BE6,1)</f>
        <v>47726</v>
      </c>
      <c r="BG6" s="274" t="n">
        <f aca="false">EOMONTH(BF6,1)</f>
        <v>47756</v>
      </c>
      <c r="BH6" s="274" t="n">
        <f aca="false">EOMONTH(BG6,1)</f>
        <v>47787</v>
      </c>
      <c r="BI6" s="274" t="n">
        <f aca="false">EOMONTH(BH6,1)</f>
        <v>47817</v>
      </c>
      <c r="BJ6" s="274" t="n">
        <f aca="false">EOMONTH(BI6,1)</f>
        <v>47848</v>
      </c>
      <c r="BK6" s="274" t="n">
        <f aca="false">EOMONTH(BJ6,1)</f>
        <v>47879</v>
      </c>
      <c r="BL6" s="274" t="n">
        <f aca="false">EOMONTH(BK6,1)</f>
        <v>47907</v>
      </c>
      <c r="BM6" s="274" t="n">
        <f aca="false">EOMONTH(BL6,1)</f>
        <v>47938</v>
      </c>
      <c r="BN6" s="274" t="n">
        <f aca="false">EOMONTH(BM6,1)</f>
        <v>47968</v>
      </c>
      <c r="BO6" s="274" t="n">
        <f aca="false">EOMONTH(BN6,1)</f>
        <v>47999</v>
      </c>
      <c r="BP6" s="274" t="n">
        <f aca="false">EOMONTH(BO6,1)</f>
        <v>48029</v>
      </c>
      <c r="BQ6" s="274" t="n">
        <f aca="false">EOMONTH(BP6,1)</f>
        <v>48060</v>
      </c>
      <c r="BR6" s="274" t="n">
        <f aca="false">EOMONTH(BQ6,1)</f>
        <v>48091</v>
      </c>
      <c r="BS6" s="274" t="n">
        <f aca="false">EOMONTH(BR6,1)</f>
        <v>48121</v>
      </c>
      <c r="BT6" s="274" t="n">
        <f aca="false">EOMONTH(BS6,1)</f>
        <v>48152</v>
      </c>
      <c r="BU6" s="274" t="n">
        <f aca="false">EOMONTH(BT6,1)</f>
        <v>48182</v>
      </c>
      <c r="BV6" s="274" t="n">
        <f aca="false">EOMONTH(BU6,1)</f>
        <v>48213</v>
      </c>
      <c r="BW6" s="274" t="n">
        <f aca="false">EOMONTH(BV6,1)</f>
        <v>48244</v>
      </c>
      <c r="BX6" s="274" t="n">
        <f aca="false">EOMONTH(BW6,1)</f>
        <v>48273</v>
      </c>
      <c r="BY6" s="274" t="n">
        <f aca="false">EOMONTH(BX6,1)</f>
        <v>48304</v>
      </c>
      <c r="BZ6" s="274" t="n">
        <f aca="false">EOMONTH(BY6,1)</f>
        <v>48334</v>
      </c>
      <c r="CA6" s="274" t="n">
        <f aca="false">EOMONTH(BZ6,1)</f>
        <v>48365</v>
      </c>
      <c r="CB6" s="274" t="n">
        <f aca="false">EOMONTH(CA6,1)</f>
        <v>48395</v>
      </c>
      <c r="CC6" s="274" t="n">
        <f aca="false">EOMONTH(CB6,1)</f>
        <v>48426</v>
      </c>
      <c r="CD6" s="274" t="n">
        <f aca="false">EOMONTH(CC6,1)</f>
        <v>48457</v>
      </c>
      <c r="CE6" s="274" t="n">
        <f aca="false">EOMONTH(CD6,1)</f>
        <v>48487</v>
      </c>
      <c r="CF6" s="274" t="n">
        <f aca="false">EOMONTH(CE6,1)</f>
        <v>48518</v>
      </c>
      <c r="CG6" s="274" t="n">
        <f aca="false">EOMONTH(CF6,1)</f>
        <v>48548</v>
      </c>
      <c r="CH6" s="274" t="n">
        <f aca="false">EOMONTH(CG6,1)</f>
        <v>48579</v>
      </c>
      <c r="CI6" s="274" t="n">
        <f aca="false">EOMONTH(CH6,1)</f>
        <v>48610</v>
      </c>
      <c r="CJ6" s="274" t="n">
        <f aca="false">EOMONTH(CI6,1)</f>
        <v>48638</v>
      </c>
      <c r="CK6" s="274" t="n">
        <f aca="false">EOMONTH(CJ6,1)</f>
        <v>48669</v>
      </c>
      <c r="CL6" s="274" t="n">
        <f aca="false">EOMONTH(CK6,1)</f>
        <v>48699</v>
      </c>
      <c r="CM6" s="274" t="n">
        <f aca="false">EOMONTH(CL6,1)</f>
        <v>48730</v>
      </c>
      <c r="CN6" s="274" t="n">
        <f aca="false">EOMONTH(CM6,1)</f>
        <v>48760</v>
      </c>
      <c r="CO6" s="274" t="n">
        <f aca="false">EOMONTH(CN6,1)</f>
        <v>48791</v>
      </c>
      <c r="CP6" s="274" t="n">
        <f aca="false">EOMONTH(CO6,1)</f>
        <v>48822</v>
      </c>
      <c r="CQ6" s="274" t="n">
        <f aca="false">EOMONTH(CP6,1)</f>
        <v>48852</v>
      </c>
      <c r="CR6" s="274" t="n">
        <f aca="false">EOMONTH(CQ6,1)</f>
        <v>48883</v>
      </c>
      <c r="CS6" s="274" t="n">
        <f aca="false">EOMONTH(CR6,1)</f>
        <v>48913</v>
      </c>
      <c r="CT6" s="274" t="n">
        <f aca="false">EOMONTH(CS6,1)</f>
        <v>48944</v>
      </c>
      <c r="CU6" s="274" t="n">
        <f aca="false">EOMONTH(CT6,1)</f>
        <v>48975</v>
      </c>
      <c r="CV6" s="274" t="n">
        <f aca="false">EOMONTH(CU6,1)</f>
        <v>49003</v>
      </c>
      <c r="CW6" s="274" t="n">
        <f aca="false">EOMONTH(CV6,1)</f>
        <v>49034</v>
      </c>
      <c r="CX6" s="274" t="n">
        <f aca="false">EOMONTH(CW6,1)</f>
        <v>49064</v>
      </c>
      <c r="CY6" s="274" t="n">
        <f aca="false">EOMONTH(CX6,1)</f>
        <v>49095</v>
      </c>
      <c r="CZ6" s="274" t="n">
        <f aca="false">EOMONTH(CY6,1)</f>
        <v>49125</v>
      </c>
      <c r="DA6" s="274" t="n">
        <f aca="false">EOMONTH(CZ6,1)</f>
        <v>49156</v>
      </c>
      <c r="DB6" s="274" t="n">
        <f aca="false">EOMONTH(DA6,1)</f>
        <v>49187</v>
      </c>
      <c r="DC6" s="274" t="n">
        <f aca="false">EOMONTH(DB6,1)</f>
        <v>49217</v>
      </c>
      <c r="DD6" s="274" t="n">
        <f aca="false">EOMONTH(DC6,1)</f>
        <v>49248</v>
      </c>
      <c r="DE6" s="274" t="n">
        <f aca="false">EOMONTH(DD6,1)</f>
        <v>49278</v>
      </c>
      <c r="DF6" s="274" t="n">
        <f aca="false">EOMONTH(DE6,1)</f>
        <v>49309</v>
      </c>
      <c r="DG6" s="274" t="n">
        <f aca="false">EOMONTH(DF6,1)</f>
        <v>49340</v>
      </c>
      <c r="DH6" s="274" t="n">
        <f aca="false">EOMONTH(DG6,1)</f>
        <v>49368</v>
      </c>
      <c r="DI6" s="274" t="n">
        <f aca="false">EOMONTH(DH6,1)</f>
        <v>49399</v>
      </c>
      <c r="DJ6" s="274" t="n">
        <f aca="false">EOMONTH(DI6,1)</f>
        <v>49429</v>
      </c>
      <c r="DK6" s="274" t="n">
        <f aca="false">EOMONTH(DJ6,1)</f>
        <v>49460</v>
      </c>
      <c r="DL6" s="274" t="n">
        <f aca="false">EOMONTH(DK6,1)</f>
        <v>49490</v>
      </c>
      <c r="DM6" s="274" t="n">
        <f aca="false">EOMONTH(DL6,1)</f>
        <v>49521</v>
      </c>
      <c r="DN6" s="274" t="n">
        <f aca="false">EOMONTH(DM6,1)</f>
        <v>49552</v>
      </c>
      <c r="DO6" s="274" t="n">
        <f aca="false">EOMONTH(DN6,1)</f>
        <v>49582</v>
      </c>
      <c r="DP6" s="274" t="n">
        <f aca="false">EOMONTH(DO6,1)</f>
        <v>49613</v>
      </c>
      <c r="DQ6" s="274" t="n">
        <f aca="false">EOMONTH(DP6,1)</f>
        <v>49643</v>
      </c>
      <c r="DR6" s="274" t="n">
        <f aca="false">EOMONTH(DQ6,1)</f>
        <v>49674</v>
      </c>
      <c r="DS6" s="274" t="n">
        <f aca="false">EOMONTH(DR6,1)</f>
        <v>49705</v>
      </c>
      <c r="DT6" s="274" t="n">
        <f aca="false">EOMONTH(DS6,1)</f>
        <v>49734</v>
      </c>
      <c r="DU6" s="274" t="n">
        <f aca="false">EOMONTH(DT6,1)</f>
        <v>49765</v>
      </c>
      <c r="DV6" s="274" t="n">
        <f aca="false">EOMONTH(DU6,1)</f>
        <v>49795</v>
      </c>
      <c r="DW6" s="274" t="n">
        <f aca="false">EOMONTH(DV6,1)</f>
        <v>49826</v>
      </c>
      <c r="DX6" s="274" t="n">
        <f aca="false">EOMONTH(DW6,1)</f>
        <v>49856</v>
      </c>
      <c r="DY6" s="274" t="n">
        <f aca="false">EOMONTH(DX6,1)</f>
        <v>49887</v>
      </c>
      <c r="DZ6" s="274" t="n">
        <f aca="false">EOMONTH(DY6,1)</f>
        <v>49918</v>
      </c>
      <c r="EA6" s="274" t="n">
        <f aca="false">EOMONTH(DZ6,1)</f>
        <v>49948</v>
      </c>
      <c r="EB6" s="274" t="n">
        <f aca="false">EOMONTH(EA6,1)</f>
        <v>49979</v>
      </c>
      <c r="EC6" s="274" t="n">
        <f aca="false">EOMONTH(EB6,1)</f>
        <v>50009</v>
      </c>
      <c r="ED6" s="274" t="n">
        <f aca="false">EOMONTH(EC6,1)</f>
        <v>50040</v>
      </c>
      <c r="EE6" s="274" t="n">
        <f aca="false">EOMONTH(ED6,1)</f>
        <v>50071</v>
      </c>
      <c r="EF6" s="274" t="n">
        <f aca="false">EOMONTH(EE6,1)</f>
        <v>50099</v>
      </c>
    </row>
    <row r="7" customFormat="false" ht="15" hidden="false" customHeight="false" outlineLevel="0" collapsed="false">
      <c r="A7" s="36" t="s">
        <v>563</v>
      </c>
      <c r="B7" s="273"/>
      <c r="E7" s="275" t="n">
        <f aca="false">YEAR(E6)</f>
        <v>2026</v>
      </c>
      <c r="F7" s="275" t="n">
        <f aca="false">YEAR(F6)</f>
        <v>2026</v>
      </c>
      <c r="G7" s="275" t="n">
        <f aca="false">YEAR(G6)</f>
        <v>2026</v>
      </c>
      <c r="H7" s="275" t="n">
        <f aca="false">YEAR(H6)</f>
        <v>2026</v>
      </c>
      <c r="I7" s="275" t="n">
        <f aca="false">YEAR(I6)</f>
        <v>2026</v>
      </c>
      <c r="J7" s="275" t="n">
        <f aca="false">YEAR(J6)</f>
        <v>2026</v>
      </c>
      <c r="K7" s="275" t="n">
        <f aca="false">YEAR(K6)</f>
        <v>2026</v>
      </c>
      <c r="L7" s="275" t="n">
        <f aca="false">YEAR(L6)</f>
        <v>2026</v>
      </c>
      <c r="M7" s="275" t="n">
        <f aca="false">YEAR(M6)</f>
        <v>2026</v>
      </c>
      <c r="N7" s="275" t="n">
        <f aca="false">YEAR(N6)</f>
        <v>2026</v>
      </c>
      <c r="O7" s="275" t="n">
        <f aca="false">YEAR(O6)</f>
        <v>2027</v>
      </c>
      <c r="P7" s="275" t="n">
        <f aca="false">YEAR(P6)</f>
        <v>2027</v>
      </c>
      <c r="Q7" s="275" t="n">
        <f aca="false">YEAR(Q6)</f>
        <v>2027</v>
      </c>
      <c r="R7" s="275" t="n">
        <f aca="false">YEAR(R6)</f>
        <v>2027</v>
      </c>
      <c r="S7" s="275" t="n">
        <f aca="false">YEAR(S6)</f>
        <v>2027</v>
      </c>
      <c r="T7" s="275" t="n">
        <f aca="false">YEAR(T6)</f>
        <v>2027</v>
      </c>
      <c r="U7" s="275" t="n">
        <f aca="false">YEAR(U6)</f>
        <v>2027</v>
      </c>
      <c r="V7" s="275" t="n">
        <f aca="false">YEAR(V6)</f>
        <v>2027</v>
      </c>
      <c r="W7" s="275" t="n">
        <f aca="false">YEAR(W6)</f>
        <v>2027</v>
      </c>
      <c r="X7" s="275" t="n">
        <f aca="false">YEAR(X6)</f>
        <v>2027</v>
      </c>
      <c r="Y7" s="275" t="n">
        <f aca="false">YEAR(Y6)</f>
        <v>2027</v>
      </c>
      <c r="Z7" s="275" t="n">
        <f aca="false">YEAR(Z6)</f>
        <v>2027</v>
      </c>
      <c r="AA7" s="275" t="n">
        <f aca="false">YEAR(AA6)</f>
        <v>2028</v>
      </c>
      <c r="AB7" s="275" t="n">
        <f aca="false">YEAR(AB6)</f>
        <v>2028</v>
      </c>
      <c r="AC7" s="275" t="n">
        <f aca="false">YEAR(AC6)</f>
        <v>2028</v>
      </c>
      <c r="AD7" s="275" t="n">
        <f aca="false">YEAR(AD6)</f>
        <v>2028</v>
      </c>
      <c r="AE7" s="275" t="n">
        <f aca="false">YEAR(AE6)</f>
        <v>2028</v>
      </c>
      <c r="AF7" s="275" t="n">
        <f aca="false">YEAR(AF6)</f>
        <v>2028</v>
      </c>
      <c r="AG7" s="275" t="n">
        <f aca="false">YEAR(AG6)</f>
        <v>2028</v>
      </c>
      <c r="AH7" s="275" t="n">
        <f aca="false">YEAR(AH6)</f>
        <v>2028</v>
      </c>
      <c r="AI7" s="275" t="n">
        <f aca="false">YEAR(AI6)</f>
        <v>2028</v>
      </c>
      <c r="AJ7" s="275" t="n">
        <f aca="false">YEAR(AJ6)</f>
        <v>2028</v>
      </c>
      <c r="AK7" s="275" t="n">
        <f aca="false">YEAR(AK6)</f>
        <v>2028</v>
      </c>
      <c r="AL7" s="275" t="n">
        <f aca="false">YEAR(AL6)</f>
        <v>2028</v>
      </c>
      <c r="AM7" s="275" t="n">
        <f aca="false">YEAR(AM6)</f>
        <v>2029</v>
      </c>
      <c r="AN7" s="275" t="n">
        <f aca="false">YEAR(AN6)</f>
        <v>2029</v>
      </c>
      <c r="AO7" s="275" t="n">
        <f aca="false">YEAR(AO6)</f>
        <v>2029</v>
      </c>
      <c r="AP7" s="275" t="n">
        <f aca="false">YEAR(AP6)</f>
        <v>2029</v>
      </c>
      <c r="AQ7" s="275" t="n">
        <f aca="false">YEAR(AQ6)</f>
        <v>2029</v>
      </c>
      <c r="AR7" s="275" t="n">
        <f aca="false">YEAR(AR6)</f>
        <v>2029</v>
      </c>
      <c r="AS7" s="275" t="n">
        <f aca="false">YEAR(AS6)</f>
        <v>2029</v>
      </c>
      <c r="AT7" s="275" t="n">
        <f aca="false">YEAR(AT6)</f>
        <v>2029</v>
      </c>
      <c r="AU7" s="275" t="n">
        <f aca="false">YEAR(AU6)</f>
        <v>2029</v>
      </c>
      <c r="AV7" s="275" t="n">
        <f aca="false">YEAR(AV6)</f>
        <v>2029</v>
      </c>
      <c r="AW7" s="275" t="n">
        <f aca="false">YEAR(AW6)</f>
        <v>2029</v>
      </c>
      <c r="AX7" s="275" t="n">
        <f aca="false">YEAR(AX6)</f>
        <v>2029</v>
      </c>
      <c r="AY7" s="275" t="n">
        <f aca="false">YEAR(AY6)</f>
        <v>2030</v>
      </c>
      <c r="AZ7" s="275" t="n">
        <f aca="false">YEAR(AZ6)</f>
        <v>2030</v>
      </c>
      <c r="BA7" s="275" t="n">
        <f aca="false">YEAR(BA6)</f>
        <v>2030</v>
      </c>
      <c r="BB7" s="275" t="n">
        <f aca="false">YEAR(BB6)</f>
        <v>2030</v>
      </c>
      <c r="BC7" s="275" t="n">
        <f aca="false">YEAR(BC6)</f>
        <v>2030</v>
      </c>
      <c r="BD7" s="275" t="n">
        <f aca="false">YEAR(BD6)</f>
        <v>2030</v>
      </c>
      <c r="BE7" s="275" t="n">
        <f aca="false">YEAR(BE6)</f>
        <v>2030</v>
      </c>
      <c r="BF7" s="275" t="n">
        <f aca="false">YEAR(BF6)</f>
        <v>2030</v>
      </c>
      <c r="BG7" s="275" t="n">
        <f aca="false">YEAR(BG6)</f>
        <v>2030</v>
      </c>
      <c r="BH7" s="275" t="n">
        <f aca="false">YEAR(BH6)</f>
        <v>2030</v>
      </c>
      <c r="BI7" s="275" t="n">
        <f aca="false">YEAR(BI6)</f>
        <v>2030</v>
      </c>
      <c r="BJ7" s="275" t="n">
        <f aca="false">YEAR(BJ6)</f>
        <v>2030</v>
      </c>
      <c r="BK7" s="275" t="n">
        <f aca="false">YEAR(BK6)</f>
        <v>2031</v>
      </c>
      <c r="BL7" s="275" t="n">
        <f aca="false">YEAR(BL6)</f>
        <v>2031</v>
      </c>
      <c r="BM7" s="275" t="n">
        <f aca="false">YEAR(BM6)</f>
        <v>2031</v>
      </c>
      <c r="BN7" s="275" t="n">
        <f aca="false">YEAR(BN6)</f>
        <v>2031</v>
      </c>
      <c r="BO7" s="275" t="n">
        <f aca="false">YEAR(BO6)</f>
        <v>2031</v>
      </c>
      <c r="BP7" s="275" t="n">
        <f aca="false">YEAR(BP6)</f>
        <v>2031</v>
      </c>
      <c r="BQ7" s="275" t="n">
        <f aca="false">YEAR(BQ6)</f>
        <v>2031</v>
      </c>
      <c r="BR7" s="275" t="n">
        <f aca="false">YEAR(BR6)</f>
        <v>2031</v>
      </c>
      <c r="BS7" s="275" t="n">
        <f aca="false">YEAR(BS6)</f>
        <v>2031</v>
      </c>
      <c r="BT7" s="275" t="n">
        <f aca="false">YEAR(BT6)</f>
        <v>2031</v>
      </c>
      <c r="BU7" s="275" t="n">
        <f aca="false">YEAR(BU6)</f>
        <v>2031</v>
      </c>
      <c r="BV7" s="275" t="n">
        <f aca="false">YEAR(BV6)</f>
        <v>2031</v>
      </c>
      <c r="BW7" s="275" t="n">
        <f aca="false">YEAR(BW6)</f>
        <v>2032</v>
      </c>
      <c r="BX7" s="275" t="n">
        <f aca="false">YEAR(BX6)</f>
        <v>2032</v>
      </c>
      <c r="BY7" s="275" t="n">
        <f aca="false">YEAR(BY6)</f>
        <v>2032</v>
      </c>
      <c r="BZ7" s="275" t="n">
        <f aca="false">YEAR(BZ6)</f>
        <v>2032</v>
      </c>
      <c r="CA7" s="275" t="n">
        <f aca="false">YEAR(CA6)</f>
        <v>2032</v>
      </c>
      <c r="CB7" s="275" t="n">
        <f aca="false">YEAR(CB6)</f>
        <v>2032</v>
      </c>
      <c r="CC7" s="275" t="n">
        <f aca="false">YEAR(CC6)</f>
        <v>2032</v>
      </c>
      <c r="CD7" s="275" t="n">
        <f aca="false">YEAR(CD6)</f>
        <v>2032</v>
      </c>
      <c r="CE7" s="275" t="n">
        <f aca="false">YEAR(CE6)</f>
        <v>2032</v>
      </c>
      <c r="CF7" s="275" t="n">
        <f aca="false">YEAR(CF6)</f>
        <v>2032</v>
      </c>
      <c r="CG7" s="275" t="n">
        <f aca="false">YEAR(CG6)</f>
        <v>2032</v>
      </c>
      <c r="CH7" s="275" t="n">
        <f aca="false">YEAR(CH6)</f>
        <v>2032</v>
      </c>
      <c r="CI7" s="275" t="n">
        <f aca="false">YEAR(CI6)</f>
        <v>2033</v>
      </c>
      <c r="CJ7" s="275" t="n">
        <f aca="false">YEAR(CJ6)</f>
        <v>2033</v>
      </c>
      <c r="CK7" s="275" t="n">
        <f aca="false">YEAR(CK6)</f>
        <v>2033</v>
      </c>
      <c r="CL7" s="275" t="n">
        <f aca="false">YEAR(CL6)</f>
        <v>2033</v>
      </c>
      <c r="CM7" s="275" t="n">
        <f aca="false">YEAR(CM6)</f>
        <v>2033</v>
      </c>
      <c r="CN7" s="275" t="n">
        <f aca="false">YEAR(CN6)</f>
        <v>2033</v>
      </c>
      <c r="CO7" s="275" t="n">
        <f aca="false">YEAR(CO6)</f>
        <v>2033</v>
      </c>
      <c r="CP7" s="275" t="n">
        <f aca="false">YEAR(CP6)</f>
        <v>2033</v>
      </c>
      <c r="CQ7" s="275" t="n">
        <f aca="false">YEAR(CQ6)</f>
        <v>2033</v>
      </c>
      <c r="CR7" s="275" t="n">
        <f aca="false">YEAR(CR6)</f>
        <v>2033</v>
      </c>
      <c r="CS7" s="275" t="n">
        <f aca="false">YEAR(CS6)</f>
        <v>2033</v>
      </c>
      <c r="CT7" s="275" t="n">
        <f aca="false">YEAR(CT6)</f>
        <v>2033</v>
      </c>
      <c r="CU7" s="275" t="n">
        <f aca="false">YEAR(CU6)</f>
        <v>2034</v>
      </c>
      <c r="CV7" s="275" t="n">
        <f aca="false">YEAR(CV6)</f>
        <v>2034</v>
      </c>
      <c r="CW7" s="275" t="n">
        <f aca="false">YEAR(CW6)</f>
        <v>2034</v>
      </c>
      <c r="CX7" s="275" t="n">
        <f aca="false">YEAR(CX6)</f>
        <v>2034</v>
      </c>
      <c r="CY7" s="275" t="n">
        <f aca="false">YEAR(CY6)</f>
        <v>2034</v>
      </c>
      <c r="CZ7" s="275" t="n">
        <f aca="false">YEAR(CZ6)</f>
        <v>2034</v>
      </c>
      <c r="DA7" s="275" t="n">
        <f aca="false">YEAR(DA6)</f>
        <v>2034</v>
      </c>
      <c r="DB7" s="275" t="n">
        <f aca="false">YEAR(DB6)</f>
        <v>2034</v>
      </c>
      <c r="DC7" s="275" t="n">
        <f aca="false">YEAR(DC6)</f>
        <v>2034</v>
      </c>
      <c r="DD7" s="275" t="n">
        <f aca="false">YEAR(DD6)</f>
        <v>2034</v>
      </c>
      <c r="DE7" s="275" t="n">
        <f aca="false">YEAR(DE6)</f>
        <v>2034</v>
      </c>
      <c r="DF7" s="275" t="n">
        <f aca="false">YEAR(DF6)</f>
        <v>2034</v>
      </c>
      <c r="DG7" s="275" t="n">
        <f aca="false">YEAR(DG6)</f>
        <v>2035</v>
      </c>
      <c r="DH7" s="275" t="n">
        <f aca="false">YEAR(DH6)</f>
        <v>2035</v>
      </c>
      <c r="DI7" s="275" t="n">
        <f aca="false">YEAR(DI6)</f>
        <v>2035</v>
      </c>
      <c r="DJ7" s="275" t="n">
        <f aca="false">YEAR(DJ6)</f>
        <v>2035</v>
      </c>
      <c r="DK7" s="275" t="n">
        <f aca="false">YEAR(DK6)</f>
        <v>2035</v>
      </c>
      <c r="DL7" s="275" t="n">
        <f aca="false">YEAR(DL6)</f>
        <v>2035</v>
      </c>
      <c r="DM7" s="275" t="n">
        <f aca="false">YEAR(DM6)</f>
        <v>2035</v>
      </c>
      <c r="DN7" s="275" t="n">
        <f aca="false">YEAR(DN6)</f>
        <v>2035</v>
      </c>
      <c r="DO7" s="275" t="n">
        <f aca="false">YEAR(DO6)</f>
        <v>2035</v>
      </c>
      <c r="DP7" s="275" t="n">
        <f aca="false">YEAR(DP6)</f>
        <v>2035</v>
      </c>
      <c r="DQ7" s="275" t="n">
        <f aca="false">YEAR(DQ6)</f>
        <v>2035</v>
      </c>
      <c r="DR7" s="275" t="n">
        <f aca="false">YEAR(DR6)</f>
        <v>2035</v>
      </c>
      <c r="DS7" s="275" t="n">
        <f aca="false">YEAR(DS6)</f>
        <v>2036</v>
      </c>
      <c r="DT7" s="275" t="n">
        <f aca="false">YEAR(DT6)</f>
        <v>2036</v>
      </c>
      <c r="DU7" s="275" t="n">
        <f aca="false">YEAR(DU6)</f>
        <v>2036</v>
      </c>
      <c r="DV7" s="275" t="n">
        <f aca="false">YEAR(DV6)</f>
        <v>2036</v>
      </c>
      <c r="DW7" s="275" t="n">
        <f aca="false">YEAR(DW6)</f>
        <v>2036</v>
      </c>
      <c r="DX7" s="275" t="n">
        <f aca="false">YEAR(DX6)</f>
        <v>2036</v>
      </c>
      <c r="DY7" s="275" t="n">
        <f aca="false">YEAR(DY6)</f>
        <v>2036</v>
      </c>
      <c r="DZ7" s="275" t="n">
        <f aca="false">YEAR(DZ6)</f>
        <v>2036</v>
      </c>
      <c r="EA7" s="275" t="n">
        <f aca="false">YEAR(EA6)</f>
        <v>2036</v>
      </c>
      <c r="EB7" s="275" t="n">
        <f aca="false">YEAR(EB6)</f>
        <v>2036</v>
      </c>
      <c r="EC7" s="275" t="n">
        <f aca="false">YEAR(EC6)</f>
        <v>2036</v>
      </c>
      <c r="ED7" s="275" t="n">
        <f aca="false">YEAR(ED6)</f>
        <v>2036</v>
      </c>
      <c r="EE7" s="275" t="n">
        <f aca="false">YEAR(EE6)</f>
        <v>2037</v>
      </c>
      <c r="EF7" s="275" t="n">
        <f aca="false">YEAR(EF6)</f>
        <v>2037</v>
      </c>
    </row>
    <row r="8" customFormat="false" ht="15" hidden="false" customHeight="false" outlineLevel="0" collapsed="false">
      <c r="A8" s="36" t="s">
        <v>564</v>
      </c>
      <c r="B8" s="273"/>
      <c r="E8" s="275" t="n">
        <f aca="false">1</f>
        <v>1</v>
      </c>
      <c r="F8" s="275" t="n">
        <f aca="false">E8+1</f>
        <v>2</v>
      </c>
      <c r="G8" s="275" t="n">
        <f aca="false">F8+1</f>
        <v>3</v>
      </c>
      <c r="H8" s="275" t="n">
        <f aca="false">G8+1</f>
        <v>4</v>
      </c>
      <c r="I8" s="275" t="n">
        <f aca="false">H8+1</f>
        <v>5</v>
      </c>
      <c r="J8" s="275" t="n">
        <f aca="false">I8+1</f>
        <v>6</v>
      </c>
      <c r="K8" s="275" t="n">
        <f aca="false">J8+1</f>
        <v>7</v>
      </c>
      <c r="L8" s="275" t="n">
        <f aca="false">K8+1</f>
        <v>8</v>
      </c>
      <c r="M8" s="275" t="n">
        <f aca="false">L8+1</f>
        <v>9</v>
      </c>
      <c r="N8" s="275" t="n">
        <f aca="false">M8+1</f>
        <v>10</v>
      </c>
      <c r="O8" s="275" t="n">
        <f aca="false">N8+1</f>
        <v>11</v>
      </c>
      <c r="P8" s="275" t="n">
        <f aca="false">O8+1</f>
        <v>12</v>
      </c>
      <c r="Q8" s="275" t="n">
        <f aca="false">P8+1</f>
        <v>13</v>
      </c>
      <c r="R8" s="275" t="n">
        <f aca="false">Q8+1</f>
        <v>14</v>
      </c>
      <c r="S8" s="275" t="n">
        <f aca="false">R8+1</f>
        <v>15</v>
      </c>
      <c r="T8" s="275" t="n">
        <f aca="false">S8+1</f>
        <v>16</v>
      </c>
      <c r="U8" s="275" t="n">
        <f aca="false">T8+1</f>
        <v>17</v>
      </c>
      <c r="V8" s="275" t="n">
        <f aca="false">U8+1</f>
        <v>18</v>
      </c>
      <c r="W8" s="275" t="n">
        <f aca="false">V8+1</f>
        <v>19</v>
      </c>
      <c r="X8" s="275" t="n">
        <f aca="false">W8+1</f>
        <v>20</v>
      </c>
      <c r="Y8" s="275" t="n">
        <f aca="false">X8+1</f>
        <v>21</v>
      </c>
      <c r="Z8" s="275" t="n">
        <f aca="false">Y8+1</f>
        <v>22</v>
      </c>
      <c r="AA8" s="275" t="n">
        <f aca="false">Z8+1</f>
        <v>23</v>
      </c>
      <c r="AB8" s="275" t="n">
        <f aca="false">AA8+1</f>
        <v>24</v>
      </c>
      <c r="AC8" s="275" t="n">
        <f aca="false">AB8+1</f>
        <v>25</v>
      </c>
      <c r="AD8" s="275" t="n">
        <f aca="false">AC8+1</f>
        <v>26</v>
      </c>
      <c r="AE8" s="275" t="n">
        <f aca="false">AD8+1</f>
        <v>27</v>
      </c>
      <c r="AF8" s="275" t="n">
        <f aca="false">AE8+1</f>
        <v>28</v>
      </c>
      <c r="AG8" s="275" t="n">
        <f aca="false">AF8+1</f>
        <v>29</v>
      </c>
      <c r="AH8" s="275" t="n">
        <f aca="false">AG8+1</f>
        <v>30</v>
      </c>
      <c r="AI8" s="275" t="n">
        <f aca="false">AH8+1</f>
        <v>31</v>
      </c>
      <c r="AJ8" s="275" t="n">
        <f aca="false">AI8+1</f>
        <v>32</v>
      </c>
      <c r="AK8" s="275" t="n">
        <f aca="false">AJ8+1</f>
        <v>33</v>
      </c>
      <c r="AL8" s="275" t="n">
        <f aca="false">AK8+1</f>
        <v>34</v>
      </c>
      <c r="AM8" s="275" t="n">
        <f aca="false">AL8+1</f>
        <v>35</v>
      </c>
      <c r="AN8" s="275" t="n">
        <f aca="false">AM8+1</f>
        <v>36</v>
      </c>
      <c r="AO8" s="275" t="n">
        <f aca="false">AN8+1</f>
        <v>37</v>
      </c>
      <c r="AP8" s="275" t="n">
        <f aca="false">AO8+1</f>
        <v>38</v>
      </c>
      <c r="AQ8" s="275" t="n">
        <f aca="false">AP8+1</f>
        <v>39</v>
      </c>
      <c r="AR8" s="275" t="n">
        <f aca="false">AQ8+1</f>
        <v>40</v>
      </c>
      <c r="AS8" s="275" t="n">
        <f aca="false">AR8+1</f>
        <v>41</v>
      </c>
      <c r="AT8" s="275" t="n">
        <f aca="false">AS8+1</f>
        <v>42</v>
      </c>
      <c r="AU8" s="275" t="n">
        <f aca="false">AT8+1</f>
        <v>43</v>
      </c>
      <c r="AV8" s="275" t="n">
        <f aca="false">AU8+1</f>
        <v>44</v>
      </c>
      <c r="AW8" s="275" t="n">
        <f aca="false">AV8+1</f>
        <v>45</v>
      </c>
      <c r="AX8" s="275" t="n">
        <f aca="false">AW8+1</f>
        <v>46</v>
      </c>
      <c r="AY8" s="275" t="n">
        <f aca="false">AX8+1</f>
        <v>47</v>
      </c>
      <c r="AZ8" s="275" t="n">
        <f aca="false">AY8+1</f>
        <v>48</v>
      </c>
      <c r="BA8" s="275" t="n">
        <f aca="false">AZ8+1</f>
        <v>49</v>
      </c>
      <c r="BB8" s="275" t="n">
        <f aca="false">BA8+1</f>
        <v>50</v>
      </c>
      <c r="BC8" s="275" t="n">
        <f aca="false">BB8+1</f>
        <v>51</v>
      </c>
      <c r="BD8" s="275" t="n">
        <f aca="false">BC8+1</f>
        <v>52</v>
      </c>
      <c r="BE8" s="275" t="n">
        <f aca="false">BD8+1</f>
        <v>53</v>
      </c>
      <c r="BF8" s="275" t="n">
        <f aca="false">BE8+1</f>
        <v>54</v>
      </c>
      <c r="BG8" s="275" t="n">
        <f aca="false">BF8+1</f>
        <v>55</v>
      </c>
      <c r="BH8" s="275" t="n">
        <f aca="false">BG8+1</f>
        <v>56</v>
      </c>
      <c r="BI8" s="275" t="n">
        <f aca="false">BH8+1</f>
        <v>57</v>
      </c>
      <c r="BJ8" s="275" t="n">
        <f aca="false">BI8+1</f>
        <v>58</v>
      </c>
      <c r="BK8" s="275" t="n">
        <f aca="false">BJ8+1</f>
        <v>59</v>
      </c>
      <c r="BL8" s="275" t="n">
        <f aca="false">BK8+1</f>
        <v>60</v>
      </c>
      <c r="BM8" s="275" t="n">
        <f aca="false">BL8+1</f>
        <v>61</v>
      </c>
      <c r="BN8" s="275" t="n">
        <f aca="false">BM8+1</f>
        <v>62</v>
      </c>
      <c r="BO8" s="275" t="n">
        <f aca="false">BN8+1</f>
        <v>63</v>
      </c>
      <c r="BP8" s="275" t="n">
        <f aca="false">BO8+1</f>
        <v>64</v>
      </c>
      <c r="BQ8" s="275" t="n">
        <f aca="false">BP8+1</f>
        <v>65</v>
      </c>
      <c r="BR8" s="275" t="n">
        <f aca="false">BQ8+1</f>
        <v>66</v>
      </c>
      <c r="BS8" s="275" t="n">
        <f aca="false">BR8+1</f>
        <v>67</v>
      </c>
      <c r="BT8" s="275" t="n">
        <f aca="false">BS8+1</f>
        <v>68</v>
      </c>
      <c r="BU8" s="275" t="n">
        <f aca="false">BT8+1</f>
        <v>69</v>
      </c>
      <c r="BV8" s="275" t="n">
        <f aca="false">BU8+1</f>
        <v>70</v>
      </c>
      <c r="BW8" s="275" t="n">
        <f aca="false">BV8+1</f>
        <v>71</v>
      </c>
      <c r="BX8" s="275" t="n">
        <f aca="false">BW8+1</f>
        <v>72</v>
      </c>
      <c r="BY8" s="275" t="n">
        <f aca="false">BX8+1</f>
        <v>73</v>
      </c>
      <c r="BZ8" s="275" t="n">
        <f aca="false">BY8+1</f>
        <v>74</v>
      </c>
      <c r="CA8" s="275" t="n">
        <f aca="false">BZ8+1</f>
        <v>75</v>
      </c>
      <c r="CB8" s="275" t="n">
        <f aca="false">CA8+1</f>
        <v>76</v>
      </c>
      <c r="CC8" s="275" t="n">
        <f aca="false">CB8+1</f>
        <v>77</v>
      </c>
      <c r="CD8" s="275" t="n">
        <f aca="false">CC8+1</f>
        <v>78</v>
      </c>
      <c r="CE8" s="275" t="n">
        <f aca="false">CD8+1</f>
        <v>79</v>
      </c>
      <c r="CF8" s="275" t="n">
        <f aca="false">CE8+1</f>
        <v>80</v>
      </c>
      <c r="CG8" s="275" t="n">
        <f aca="false">CF8+1</f>
        <v>81</v>
      </c>
      <c r="CH8" s="275" t="n">
        <f aca="false">CG8+1</f>
        <v>82</v>
      </c>
      <c r="CI8" s="275" t="n">
        <f aca="false">CH8+1</f>
        <v>83</v>
      </c>
      <c r="CJ8" s="275" t="n">
        <f aca="false">CI8+1</f>
        <v>84</v>
      </c>
      <c r="CK8" s="275" t="n">
        <f aca="false">CJ8+1</f>
        <v>85</v>
      </c>
      <c r="CL8" s="275" t="n">
        <f aca="false">CK8+1</f>
        <v>86</v>
      </c>
      <c r="CM8" s="275" t="n">
        <f aca="false">CL8+1</f>
        <v>87</v>
      </c>
      <c r="CN8" s="275" t="n">
        <f aca="false">CM8+1</f>
        <v>88</v>
      </c>
      <c r="CO8" s="275" t="n">
        <f aca="false">CN8+1</f>
        <v>89</v>
      </c>
      <c r="CP8" s="275" t="n">
        <f aca="false">CO8+1</f>
        <v>90</v>
      </c>
      <c r="CQ8" s="275" t="n">
        <f aca="false">CP8+1</f>
        <v>91</v>
      </c>
      <c r="CR8" s="275" t="n">
        <f aca="false">CQ8+1</f>
        <v>92</v>
      </c>
      <c r="CS8" s="275" t="n">
        <f aca="false">CR8+1</f>
        <v>93</v>
      </c>
      <c r="CT8" s="275" t="n">
        <f aca="false">CS8+1</f>
        <v>94</v>
      </c>
      <c r="CU8" s="275" t="n">
        <f aca="false">CT8+1</f>
        <v>95</v>
      </c>
      <c r="CV8" s="275" t="n">
        <f aca="false">CU8+1</f>
        <v>96</v>
      </c>
      <c r="CW8" s="275" t="n">
        <f aca="false">CV8+1</f>
        <v>97</v>
      </c>
      <c r="CX8" s="275" t="n">
        <f aca="false">CW8+1</f>
        <v>98</v>
      </c>
      <c r="CY8" s="275" t="n">
        <f aca="false">CX8+1</f>
        <v>99</v>
      </c>
      <c r="CZ8" s="275" t="n">
        <f aca="false">CY8+1</f>
        <v>100</v>
      </c>
      <c r="DA8" s="275" t="n">
        <f aca="false">CZ8+1</f>
        <v>101</v>
      </c>
      <c r="DB8" s="275" t="n">
        <f aca="false">DA8+1</f>
        <v>102</v>
      </c>
      <c r="DC8" s="275" t="n">
        <f aca="false">DB8+1</f>
        <v>103</v>
      </c>
      <c r="DD8" s="275" t="n">
        <f aca="false">DC8+1</f>
        <v>104</v>
      </c>
      <c r="DE8" s="275" t="n">
        <f aca="false">DD8+1</f>
        <v>105</v>
      </c>
      <c r="DF8" s="275" t="n">
        <f aca="false">DE8+1</f>
        <v>106</v>
      </c>
      <c r="DG8" s="275" t="n">
        <f aca="false">DF8+1</f>
        <v>107</v>
      </c>
      <c r="DH8" s="275" t="n">
        <f aca="false">DG8+1</f>
        <v>108</v>
      </c>
      <c r="DI8" s="275" t="n">
        <f aca="false">DH8+1</f>
        <v>109</v>
      </c>
      <c r="DJ8" s="275" t="n">
        <f aca="false">DI8+1</f>
        <v>110</v>
      </c>
      <c r="DK8" s="275" t="n">
        <f aca="false">DJ8+1</f>
        <v>111</v>
      </c>
      <c r="DL8" s="275" t="n">
        <f aca="false">DK8+1</f>
        <v>112</v>
      </c>
      <c r="DM8" s="275" t="n">
        <f aca="false">DL8+1</f>
        <v>113</v>
      </c>
      <c r="DN8" s="275" t="n">
        <f aca="false">DM8+1</f>
        <v>114</v>
      </c>
      <c r="DO8" s="275" t="n">
        <f aca="false">DN8+1</f>
        <v>115</v>
      </c>
      <c r="DP8" s="275" t="n">
        <f aca="false">DO8+1</f>
        <v>116</v>
      </c>
      <c r="DQ8" s="275" t="n">
        <f aca="false">DP8+1</f>
        <v>117</v>
      </c>
      <c r="DR8" s="275" t="n">
        <f aca="false">DQ8+1</f>
        <v>118</v>
      </c>
      <c r="DS8" s="275" t="n">
        <f aca="false">DR8+1</f>
        <v>119</v>
      </c>
      <c r="DT8" s="275" t="n">
        <f aca="false">DS8+1</f>
        <v>120</v>
      </c>
      <c r="DU8" s="275" t="n">
        <f aca="false">DT8+1</f>
        <v>121</v>
      </c>
      <c r="DV8" s="275" t="n">
        <f aca="false">DU8+1</f>
        <v>122</v>
      </c>
      <c r="DW8" s="275" t="n">
        <f aca="false">DV8+1</f>
        <v>123</v>
      </c>
      <c r="DX8" s="275" t="n">
        <f aca="false">DW8+1</f>
        <v>124</v>
      </c>
      <c r="DY8" s="275" t="n">
        <f aca="false">DX8+1</f>
        <v>125</v>
      </c>
      <c r="DZ8" s="275" t="n">
        <f aca="false">DY8+1</f>
        <v>126</v>
      </c>
      <c r="EA8" s="275" t="n">
        <f aca="false">DZ8+1</f>
        <v>127</v>
      </c>
      <c r="EB8" s="275" t="n">
        <f aca="false">EA8+1</f>
        <v>128</v>
      </c>
      <c r="EC8" s="275" t="n">
        <f aca="false">EB8+1</f>
        <v>129</v>
      </c>
      <c r="ED8" s="275" t="n">
        <f aca="false">EC8+1</f>
        <v>130</v>
      </c>
      <c r="EE8" s="275" t="n">
        <f aca="false">ED8+1</f>
        <v>131</v>
      </c>
      <c r="EF8" s="275" t="n">
        <f aca="false">EE8+1</f>
        <v>132</v>
      </c>
    </row>
    <row r="9" customFormat="false" ht="15" hidden="false" customHeight="false" outlineLevel="0" collapsed="false">
      <c r="A9" s="36" t="s">
        <v>565</v>
      </c>
      <c r="B9" s="273"/>
      <c r="E9" s="276" t="n">
        <f aca="false">IF(E6&lt;=①통합_가정!$E$24,1,0)</f>
        <v>1</v>
      </c>
      <c r="F9" s="276" t="n">
        <f aca="false">IF(F6&lt;=①통합_가정!$E$24,1,0)</f>
        <v>1</v>
      </c>
      <c r="G9" s="276" t="n">
        <f aca="false">IF(G6&lt;=①통합_가정!$E$24,1,0)</f>
        <v>1</v>
      </c>
      <c r="H9" s="276" t="n">
        <f aca="false">IF(H6&lt;=①통합_가정!$E$24,1,0)</f>
        <v>1</v>
      </c>
      <c r="I9" s="276" t="n">
        <f aca="false">IF(I6&lt;=①통합_가정!$E$24,1,0)</f>
        <v>1</v>
      </c>
      <c r="J9" s="276" t="n">
        <f aca="false">IF(J6&lt;=①통합_가정!$E$24,1,0)</f>
        <v>1</v>
      </c>
      <c r="K9" s="276" t="n">
        <f aca="false">IF(K6&lt;=①통합_가정!$E$24,1,0)</f>
        <v>1</v>
      </c>
      <c r="L9" s="276" t="n">
        <f aca="false">IF(L6&lt;=①통합_가정!$E$24,1,0)</f>
        <v>1</v>
      </c>
      <c r="M9" s="276" t="n">
        <f aca="false">IF(M6&lt;=①통합_가정!$E$24,1,0)</f>
        <v>1</v>
      </c>
      <c r="N9" s="276" t="n">
        <f aca="false">IF(N6&lt;=①통합_가정!$E$24,1,0)</f>
        <v>1</v>
      </c>
      <c r="O9" s="276" t="n">
        <f aca="false">IF(O6&lt;=①통합_가정!$E$24,1,0)</f>
        <v>1</v>
      </c>
      <c r="P9" s="276" t="n">
        <f aca="false">IF(P6&lt;=①통합_가정!$E$24,1,0)</f>
        <v>1</v>
      </c>
      <c r="Q9" s="276" t="n">
        <f aca="false">IF(Q6&lt;=①통합_가정!$E$24,1,0)</f>
        <v>1</v>
      </c>
      <c r="R9" s="276" t="n">
        <f aca="false">IF(R6&lt;=①통합_가정!$E$24,1,0)</f>
        <v>1</v>
      </c>
      <c r="S9" s="276" t="n">
        <f aca="false">IF(S6&lt;=①통합_가정!$E$24,1,0)</f>
        <v>1</v>
      </c>
      <c r="T9" s="276" t="n">
        <f aca="false">IF(T6&lt;=①통합_가정!$E$24,1,0)</f>
        <v>1</v>
      </c>
      <c r="U9" s="276" t="n">
        <f aca="false">IF(U6&lt;=①통합_가정!$E$24,1,0)</f>
        <v>1</v>
      </c>
      <c r="V9" s="276" t="n">
        <f aca="false">IF(V6&lt;=①통합_가정!$E$24,1,0)</f>
        <v>1</v>
      </c>
      <c r="W9" s="276" t="n">
        <f aca="false">IF(W6&lt;=①통합_가정!$E$24,1,0)</f>
        <v>1</v>
      </c>
      <c r="X9" s="276" t="n">
        <f aca="false">IF(X6&lt;=①통합_가정!$E$24,1,0)</f>
        <v>1</v>
      </c>
      <c r="Y9" s="276" t="n">
        <f aca="false">IF(Y6&lt;=①통합_가정!$E$24,1,0)</f>
        <v>1</v>
      </c>
      <c r="Z9" s="276" t="n">
        <f aca="false">IF(Z6&lt;=①통합_가정!$E$24,1,0)</f>
        <v>1</v>
      </c>
      <c r="AA9" s="276" t="n">
        <f aca="false">IF(AA6&lt;=①통합_가정!$E$24,1,0)</f>
        <v>1</v>
      </c>
      <c r="AB9" s="276" t="n">
        <f aca="false">IF(AB6&lt;=①통합_가정!$E$24,1,0)</f>
        <v>1</v>
      </c>
      <c r="AC9" s="276" t="n">
        <f aca="false">IF(AC6&lt;=①통합_가정!$E$24,1,0)</f>
        <v>1</v>
      </c>
      <c r="AD9" s="276" t="n">
        <f aca="false">IF(AD6&lt;=①통합_가정!$E$24,1,0)</f>
        <v>1</v>
      </c>
      <c r="AE9" s="276" t="n">
        <f aca="false">IF(AE6&lt;=①통합_가정!$E$24,1,0)</f>
        <v>1</v>
      </c>
      <c r="AF9" s="276" t="n">
        <f aca="false">IF(AF6&lt;=①통합_가정!$E$24,1,0)</f>
        <v>1</v>
      </c>
      <c r="AG9" s="276" t="n">
        <f aca="false">IF(AG6&lt;=①통합_가정!$E$24,1,0)</f>
        <v>1</v>
      </c>
      <c r="AH9" s="276" t="n">
        <f aca="false">IF(AH6&lt;=①통합_가정!$E$24,1,0)</f>
        <v>1</v>
      </c>
      <c r="AI9" s="276" t="n">
        <f aca="false">IF(AI6&lt;=①통합_가정!$E$24,1,0)</f>
        <v>1</v>
      </c>
      <c r="AJ9" s="276" t="n">
        <f aca="false">IF(AJ6&lt;=①통합_가정!$E$24,1,0)</f>
        <v>1</v>
      </c>
      <c r="AK9" s="276" t="n">
        <f aca="false">IF(AK6&lt;=①통합_가정!$E$24,1,0)</f>
        <v>1</v>
      </c>
      <c r="AL9" s="276" t="n">
        <f aca="false">IF(AL6&lt;=①통합_가정!$E$24,1,0)</f>
        <v>1</v>
      </c>
      <c r="AM9" s="276" t="n">
        <f aca="false">IF(AM6&lt;=①통합_가정!$E$24,1,0)</f>
        <v>1</v>
      </c>
      <c r="AN9" s="276" t="n">
        <f aca="false">IF(AN6&lt;=①통합_가정!$E$24,1,0)</f>
        <v>1</v>
      </c>
      <c r="AO9" s="276" t="n">
        <f aca="false">IF(AO6&lt;=①통합_가정!$E$24,1,0)</f>
        <v>1</v>
      </c>
      <c r="AP9" s="276" t="n">
        <f aca="false">IF(AP6&lt;=①통합_가정!$E$24,1,0)</f>
        <v>1</v>
      </c>
      <c r="AQ9" s="276" t="n">
        <f aca="false">IF(AQ6&lt;=①통합_가정!$E$24,1,0)</f>
        <v>1</v>
      </c>
      <c r="AR9" s="276" t="n">
        <f aca="false">IF(AR6&lt;=①통합_가정!$E$24,1,0)</f>
        <v>1</v>
      </c>
      <c r="AS9" s="276" t="n">
        <f aca="false">IF(AS6&lt;=①통합_가정!$E$24,1,0)</f>
        <v>1</v>
      </c>
      <c r="AT9" s="276" t="n">
        <f aca="false">IF(AT6&lt;=①통합_가정!$E$24,1,0)</f>
        <v>1</v>
      </c>
      <c r="AU9" s="276" t="n">
        <f aca="false">IF(AU6&lt;=①통합_가정!$E$24,1,0)</f>
        <v>1</v>
      </c>
      <c r="AV9" s="276" t="n">
        <f aca="false">IF(AV6&lt;=①통합_가정!$E$24,1,0)</f>
        <v>1</v>
      </c>
      <c r="AW9" s="276" t="n">
        <f aca="false">IF(AW6&lt;=①통합_가정!$E$24,1,0)</f>
        <v>1</v>
      </c>
      <c r="AX9" s="276" t="n">
        <f aca="false">IF(AX6&lt;=①통합_가정!$E$24,1,0)</f>
        <v>1</v>
      </c>
      <c r="AY9" s="276" t="n">
        <f aca="false">IF(AY6&lt;=①통합_가정!$E$24,1,0)</f>
        <v>1</v>
      </c>
      <c r="AZ9" s="276" t="n">
        <f aca="false">IF(AZ6&lt;=①통합_가정!$E$24,1,0)</f>
        <v>1</v>
      </c>
      <c r="BA9" s="276" t="n">
        <f aca="false">IF(BA6&lt;=①통합_가정!$E$24,1,0)</f>
        <v>1</v>
      </c>
      <c r="BB9" s="276" t="n">
        <f aca="false">IF(BB6&lt;=①통합_가정!$E$24,1,0)</f>
        <v>1</v>
      </c>
      <c r="BC9" s="276" t="n">
        <f aca="false">IF(BC6&lt;=①통합_가정!$E$24,1,0)</f>
        <v>1</v>
      </c>
      <c r="BD9" s="276" t="n">
        <f aca="false">IF(BD6&lt;=①통합_가정!$E$24,1,0)</f>
        <v>1</v>
      </c>
      <c r="BE9" s="276" t="n">
        <f aca="false">IF(BE6&lt;=①통합_가정!$E$24,1,0)</f>
        <v>1</v>
      </c>
      <c r="BF9" s="276" t="n">
        <f aca="false">IF(BF6&lt;=①통합_가정!$E$24,1,0)</f>
        <v>1</v>
      </c>
      <c r="BG9" s="276" t="n">
        <f aca="false">IF(BG6&lt;=①통합_가정!$E$24,1,0)</f>
        <v>1</v>
      </c>
      <c r="BH9" s="276" t="n">
        <f aca="false">IF(BH6&lt;=①통합_가정!$E$24,1,0)</f>
        <v>1</v>
      </c>
      <c r="BI9" s="276" t="n">
        <f aca="false">IF(BI6&lt;=①통합_가정!$E$24,1,0)</f>
        <v>1</v>
      </c>
      <c r="BJ9" s="276" t="n">
        <f aca="false">IF(BJ6&lt;=①통합_가정!$E$24,1,0)</f>
        <v>1</v>
      </c>
      <c r="BK9" s="276" t="n">
        <f aca="false">IF(BK6&lt;=①통합_가정!$E$24,1,0)</f>
        <v>1</v>
      </c>
      <c r="BL9" s="276" t="n">
        <f aca="false">IF(BL6&lt;=①통합_가정!$E$24,1,0)</f>
        <v>1</v>
      </c>
      <c r="BM9" s="276" t="n">
        <f aca="false">IF(BM6&lt;=①통합_가정!$E$24,1,0)</f>
        <v>1</v>
      </c>
      <c r="BN9" s="276" t="n">
        <f aca="false">IF(BN6&lt;=①통합_가정!$E$24,1,0)</f>
        <v>1</v>
      </c>
      <c r="BO9" s="276" t="n">
        <f aca="false">IF(BO6&lt;=①통합_가정!$E$24,1,0)</f>
        <v>1</v>
      </c>
      <c r="BP9" s="276" t="n">
        <f aca="false">IF(BP6&lt;=①통합_가정!$E$24,1,0)</f>
        <v>1</v>
      </c>
      <c r="BQ9" s="276" t="n">
        <f aca="false">IF(BQ6&lt;=①통합_가정!$E$24,1,0)</f>
        <v>1</v>
      </c>
      <c r="BR9" s="276" t="n">
        <f aca="false">IF(BR6&lt;=①통합_가정!$E$24,1,0)</f>
        <v>1</v>
      </c>
      <c r="BS9" s="276" t="n">
        <f aca="false">IF(BS6&lt;=①통합_가정!$E$24,1,0)</f>
        <v>1</v>
      </c>
      <c r="BT9" s="276" t="n">
        <f aca="false">IF(BT6&lt;=①통합_가정!$E$24,1,0)</f>
        <v>1</v>
      </c>
      <c r="BU9" s="276" t="n">
        <f aca="false">IF(BU6&lt;=①통합_가정!$E$24,1,0)</f>
        <v>1</v>
      </c>
      <c r="BV9" s="276" t="n">
        <f aca="false">IF(BV6&lt;=①통합_가정!$E$24,1,0)</f>
        <v>1</v>
      </c>
      <c r="BW9" s="276" t="n">
        <f aca="false">IF(BW6&lt;=①통합_가정!$E$24,1,0)</f>
        <v>1</v>
      </c>
      <c r="BX9" s="276" t="n">
        <f aca="false">IF(BX6&lt;=①통합_가정!$E$24,1,0)</f>
        <v>1</v>
      </c>
      <c r="BY9" s="276" t="n">
        <f aca="false">IF(BY6&lt;=①통합_가정!$E$24,1,0)</f>
        <v>1</v>
      </c>
      <c r="BZ9" s="276" t="n">
        <f aca="false">IF(BZ6&lt;=①통합_가정!$E$24,1,0)</f>
        <v>1</v>
      </c>
      <c r="CA9" s="276" t="n">
        <f aca="false">IF(CA6&lt;=①통합_가정!$E$24,1,0)</f>
        <v>1</v>
      </c>
      <c r="CB9" s="276" t="n">
        <f aca="false">IF(CB6&lt;=①통합_가정!$E$24,1,0)</f>
        <v>1</v>
      </c>
      <c r="CC9" s="276" t="n">
        <f aca="false">IF(CC6&lt;=①통합_가정!$E$24,1,0)</f>
        <v>1</v>
      </c>
      <c r="CD9" s="276" t="n">
        <f aca="false">IF(CD6&lt;=①통합_가정!$E$24,1,0)</f>
        <v>1</v>
      </c>
      <c r="CE9" s="276" t="n">
        <f aca="false">IF(CE6&lt;=①통합_가정!$E$24,1,0)</f>
        <v>1</v>
      </c>
      <c r="CF9" s="276" t="n">
        <f aca="false">IF(CF6&lt;=①통합_가정!$E$24,1,0)</f>
        <v>1</v>
      </c>
      <c r="CG9" s="276" t="n">
        <f aca="false">IF(CG6&lt;=①통합_가정!$E$24,1,0)</f>
        <v>1</v>
      </c>
      <c r="CH9" s="276" t="n">
        <f aca="false">IF(CH6&lt;=①통합_가정!$E$24,1,0)</f>
        <v>1</v>
      </c>
      <c r="CI9" s="276" t="n">
        <f aca="false">IF(CI6&lt;=①통합_가정!$E$24,1,0)</f>
        <v>1</v>
      </c>
      <c r="CJ9" s="276" t="n">
        <f aca="false">IF(CJ6&lt;=①통합_가정!$E$24,1,0)</f>
        <v>1</v>
      </c>
      <c r="CK9" s="276" t="n">
        <f aca="false">IF(CK6&lt;=①통합_가정!$E$24,1,0)</f>
        <v>1</v>
      </c>
      <c r="CL9" s="276" t="n">
        <f aca="false">IF(CL6&lt;=①통합_가정!$E$24,1,0)</f>
        <v>1</v>
      </c>
      <c r="CM9" s="276" t="n">
        <f aca="false">IF(CM6&lt;=①통합_가정!$E$24,1,0)</f>
        <v>1</v>
      </c>
      <c r="CN9" s="276" t="n">
        <f aca="false">IF(CN6&lt;=①통합_가정!$E$24,1,0)</f>
        <v>1</v>
      </c>
      <c r="CO9" s="276" t="n">
        <f aca="false">IF(CO6&lt;=①통합_가정!$E$24,1,0)</f>
        <v>1</v>
      </c>
      <c r="CP9" s="276" t="n">
        <f aca="false">IF(CP6&lt;=①통합_가정!$E$24,1,0)</f>
        <v>1</v>
      </c>
      <c r="CQ9" s="276" t="n">
        <f aca="false">IF(CQ6&lt;=①통합_가정!$E$24,1,0)</f>
        <v>1</v>
      </c>
      <c r="CR9" s="276" t="n">
        <f aca="false">IF(CR6&lt;=①통합_가정!$E$24,1,0)</f>
        <v>1</v>
      </c>
      <c r="CS9" s="276" t="n">
        <f aca="false">IF(CS6&lt;=①통합_가정!$E$24,1,0)</f>
        <v>1</v>
      </c>
      <c r="CT9" s="276" t="n">
        <f aca="false">IF(CT6&lt;=①통합_가정!$E$24,1,0)</f>
        <v>1</v>
      </c>
      <c r="CU9" s="276" t="n">
        <f aca="false">IF(CU6&lt;=①통합_가정!$E$24,1,0)</f>
        <v>1</v>
      </c>
      <c r="CV9" s="276" t="n">
        <f aca="false">IF(CV6&lt;=①통합_가정!$E$24,1,0)</f>
        <v>1</v>
      </c>
      <c r="CW9" s="276" t="n">
        <f aca="false">IF(CW6&lt;=①통합_가정!$E$24,1,0)</f>
        <v>1</v>
      </c>
      <c r="CX9" s="276" t="n">
        <f aca="false">IF(CX6&lt;=①통합_가정!$E$24,1,0)</f>
        <v>1</v>
      </c>
      <c r="CY9" s="276" t="n">
        <f aca="false">IF(CY6&lt;=①통합_가정!$E$24,1,0)</f>
        <v>1</v>
      </c>
      <c r="CZ9" s="276" t="n">
        <f aca="false">IF(CZ6&lt;=①통합_가정!$E$24,1,0)</f>
        <v>1</v>
      </c>
      <c r="DA9" s="276" t="n">
        <f aca="false">IF(DA6&lt;=①통합_가정!$E$24,1,0)</f>
        <v>1</v>
      </c>
      <c r="DB9" s="276" t="n">
        <f aca="false">IF(DB6&lt;=①통합_가정!$E$24,1,0)</f>
        <v>1</v>
      </c>
      <c r="DC9" s="276" t="n">
        <f aca="false">IF(DC6&lt;=①통합_가정!$E$24,1,0)</f>
        <v>1</v>
      </c>
      <c r="DD9" s="276" t="n">
        <f aca="false">IF(DD6&lt;=①통합_가정!$E$24,1,0)</f>
        <v>1</v>
      </c>
      <c r="DE9" s="276" t="n">
        <f aca="false">IF(DE6&lt;=①통합_가정!$E$24,1,0)</f>
        <v>1</v>
      </c>
      <c r="DF9" s="276" t="n">
        <f aca="false">IF(DF6&lt;=①통합_가정!$E$24,1,0)</f>
        <v>1</v>
      </c>
      <c r="DG9" s="276" t="n">
        <f aca="false">IF(DG6&lt;=①통합_가정!$E$24,1,0)</f>
        <v>1</v>
      </c>
      <c r="DH9" s="276" t="n">
        <f aca="false">IF(DH6&lt;=①통합_가정!$E$24,1,0)</f>
        <v>1</v>
      </c>
      <c r="DI9" s="276" t="n">
        <f aca="false">IF(DI6&lt;=①통합_가정!$E$24,1,0)</f>
        <v>1</v>
      </c>
      <c r="DJ9" s="276" t="n">
        <f aca="false">IF(DJ6&lt;=①통합_가정!$E$24,1,0)</f>
        <v>1</v>
      </c>
      <c r="DK9" s="276" t="n">
        <f aca="false">IF(DK6&lt;=①통합_가정!$E$24,1,0)</f>
        <v>1</v>
      </c>
      <c r="DL9" s="276" t="n">
        <f aca="false">IF(DL6&lt;=①통합_가정!$E$24,1,0)</f>
        <v>1</v>
      </c>
      <c r="DM9" s="276" t="n">
        <f aca="false">IF(DM6&lt;=①통합_가정!$E$24,1,0)</f>
        <v>1</v>
      </c>
      <c r="DN9" s="276" t="n">
        <f aca="false">IF(DN6&lt;=①통합_가정!$E$24,1,0)</f>
        <v>1</v>
      </c>
      <c r="DO9" s="276" t="n">
        <f aca="false">IF(DO6&lt;=①통합_가정!$E$24,1,0)</f>
        <v>1</v>
      </c>
      <c r="DP9" s="276" t="n">
        <f aca="false">IF(DP6&lt;=①통합_가정!$E$24,1,0)</f>
        <v>1</v>
      </c>
      <c r="DQ9" s="276" t="n">
        <f aca="false">IF(DQ6&lt;=①통합_가정!$E$24,1,0)</f>
        <v>1</v>
      </c>
      <c r="DR9" s="276" t="n">
        <f aca="false">IF(DR6&lt;=①통합_가정!$E$24,1,0)</f>
        <v>1</v>
      </c>
      <c r="DS9" s="276" t="n">
        <f aca="false">IF(DS6&lt;=①통합_가정!$E$24,1,0)</f>
        <v>1</v>
      </c>
      <c r="DT9" s="276" t="n">
        <f aca="false">IF(DT6&lt;=①통합_가정!$E$24,1,0)</f>
        <v>1</v>
      </c>
      <c r="DU9" s="276" t="n">
        <f aca="false">IF(DU6&lt;=①통합_가정!$E$24,1,0)</f>
        <v>1</v>
      </c>
      <c r="DV9" s="276" t="n">
        <f aca="false">IF(DV6&lt;=①통합_가정!$E$24,1,0)</f>
        <v>1</v>
      </c>
      <c r="DW9" s="276" t="n">
        <f aca="false">IF(DW6&lt;=①통합_가정!$E$24,1,0)</f>
        <v>1</v>
      </c>
      <c r="DX9" s="276" t="n">
        <f aca="false">IF(DX6&lt;=①통합_가정!$E$24,1,0)</f>
        <v>0</v>
      </c>
      <c r="DY9" s="276" t="n">
        <f aca="false">IF(DY6&lt;=①통합_가정!$E$24,1,0)</f>
        <v>0</v>
      </c>
      <c r="DZ9" s="276" t="n">
        <f aca="false">IF(DZ6&lt;=①통합_가정!$E$24,1,0)</f>
        <v>0</v>
      </c>
      <c r="EA9" s="276" t="n">
        <f aca="false">IF(EA6&lt;=①통합_가정!$E$24,1,0)</f>
        <v>0</v>
      </c>
      <c r="EB9" s="276" t="n">
        <f aca="false">IF(EB6&lt;=①통합_가정!$E$24,1,0)</f>
        <v>0</v>
      </c>
      <c r="EC9" s="276" t="n">
        <f aca="false">IF(EC6&lt;=①통합_가정!$E$24,1,0)</f>
        <v>0</v>
      </c>
      <c r="ED9" s="276" t="n">
        <f aca="false">IF(ED6&lt;=①통합_가정!$E$24,1,0)</f>
        <v>0</v>
      </c>
      <c r="EE9" s="276" t="n">
        <f aca="false">IF(EE6&lt;=①통합_가정!$E$24,1,0)</f>
        <v>0</v>
      </c>
      <c r="EF9" s="276" t="n">
        <f aca="false">IF(EF6&lt;=①통합_가정!$E$24,1,0)</f>
        <v>0</v>
      </c>
    </row>
    <row r="10" customFormat="false" ht="15" hidden="false" customHeight="false" outlineLevel="0" collapsed="false">
      <c r="A10" s="36" t="s">
        <v>566</v>
      </c>
      <c r="B10" s="273"/>
      <c r="E10" s="276" t="n">
        <f aca="false">IF(E6&lt;=①통합_가정!$E$16,1,0)</f>
        <v>1</v>
      </c>
      <c r="F10" s="276" t="n">
        <f aca="false">IF(F6&lt;=①통합_가정!$E$16,1,0)</f>
        <v>1</v>
      </c>
      <c r="G10" s="276" t="n">
        <f aca="false">IF(G6&lt;=①통합_가정!$E$16,1,0)</f>
        <v>1</v>
      </c>
      <c r="H10" s="276" t="n">
        <f aca="false">IF(H6&lt;=①통합_가정!$E$16,1,0)</f>
        <v>1</v>
      </c>
      <c r="I10" s="276" t="n">
        <f aca="false">IF(I6&lt;=①통합_가정!$E$16,1,0)</f>
        <v>1</v>
      </c>
      <c r="J10" s="276" t="n">
        <f aca="false">IF(J6&lt;=①통합_가정!$E$16,1,0)</f>
        <v>1</v>
      </c>
      <c r="K10" s="276" t="n">
        <f aca="false">IF(K6&lt;=①통합_가정!$E$16,1,0)</f>
        <v>1</v>
      </c>
      <c r="L10" s="276" t="n">
        <f aca="false">IF(L6&lt;=①통합_가정!$E$16,1,0)</f>
        <v>1</v>
      </c>
      <c r="M10" s="276" t="n">
        <f aca="false">IF(M6&lt;=①통합_가정!$E$16,1,0)</f>
        <v>1</v>
      </c>
      <c r="N10" s="276" t="n">
        <f aca="false">IF(N6&lt;=①통합_가정!$E$16,1,0)</f>
        <v>1</v>
      </c>
      <c r="O10" s="276" t="n">
        <f aca="false">IF(O6&lt;=①통합_가정!$E$16,1,0)</f>
        <v>1</v>
      </c>
      <c r="P10" s="276" t="n">
        <f aca="false">IF(P6&lt;=①통합_가정!$E$16,1,0)</f>
        <v>1</v>
      </c>
      <c r="Q10" s="276" t="n">
        <f aca="false">IF(Q6&lt;=①통합_가정!$E$16,1,0)</f>
        <v>1</v>
      </c>
      <c r="R10" s="276" t="n">
        <f aca="false">IF(R6&lt;=①통합_가정!$E$16,1,0)</f>
        <v>1</v>
      </c>
      <c r="S10" s="276" t="n">
        <f aca="false">IF(S6&lt;=①통합_가정!$E$16,1,0)</f>
        <v>1</v>
      </c>
      <c r="T10" s="276" t="n">
        <f aca="false">IF(T6&lt;=①통합_가정!$E$16,1,0)</f>
        <v>1</v>
      </c>
      <c r="U10" s="276" t="n">
        <f aca="false">IF(U6&lt;=①통합_가정!$E$16,1,0)</f>
        <v>1</v>
      </c>
      <c r="V10" s="276" t="n">
        <f aca="false">IF(V6&lt;=①통합_가정!$E$16,1,0)</f>
        <v>1</v>
      </c>
      <c r="W10" s="276" t="n">
        <f aca="false">IF(W6&lt;=①통합_가정!$E$16,1,0)</f>
        <v>1</v>
      </c>
      <c r="X10" s="276" t="n">
        <f aca="false">IF(X6&lt;=①통합_가정!$E$16,1,0)</f>
        <v>1</v>
      </c>
      <c r="Y10" s="276" t="n">
        <f aca="false">IF(Y6&lt;=①통합_가정!$E$16,1,0)</f>
        <v>1</v>
      </c>
      <c r="Z10" s="276" t="n">
        <f aca="false">IF(Z6&lt;=①통합_가정!$E$16,1,0)</f>
        <v>1</v>
      </c>
      <c r="AA10" s="276" t="n">
        <f aca="false">IF(AA6&lt;=①통합_가정!$E$16,1,0)</f>
        <v>1</v>
      </c>
      <c r="AB10" s="276" t="n">
        <f aca="false">IF(AB6&lt;=①통합_가정!$E$16,1,0)</f>
        <v>1</v>
      </c>
      <c r="AC10" s="276" t="n">
        <f aca="false">IF(AC6&lt;=①통합_가정!$E$16,1,0)</f>
        <v>1</v>
      </c>
      <c r="AD10" s="276" t="n">
        <f aca="false">IF(AD6&lt;=①통합_가정!$E$16,1,0)</f>
        <v>1</v>
      </c>
      <c r="AE10" s="276" t="n">
        <f aca="false">IF(AE6&lt;=①통합_가정!$E$16,1,0)</f>
        <v>1</v>
      </c>
      <c r="AF10" s="276" t="n">
        <f aca="false">IF(AF6&lt;=①통합_가정!$E$16,1,0)</f>
        <v>1</v>
      </c>
      <c r="AG10" s="276" t="n">
        <f aca="false">IF(AG6&lt;=①통합_가정!$E$16,1,0)</f>
        <v>1</v>
      </c>
      <c r="AH10" s="276" t="n">
        <f aca="false">IF(AH6&lt;=①통합_가정!$E$16,1,0)</f>
        <v>1</v>
      </c>
      <c r="AI10" s="276" t="n">
        <f aca="false">IF(AI6&lt;=①통합_가정!$E$16,1,0)</f>
        <v>1</v>
      </c>
      <c r="AJ10" s="276" t="n">
        <f aca="false">IF(AJ6&lt;=①통합_가정!$E$16,1,0)</f>
        <v>1</v>
      </c>
      <c r="AK10" s="276" t="n">
        <f aca="false">IF(AK6&lt;=①통합_가정!$E$16,1,0)</f>
        <v>1</v>
      </c>
      <c r="AL10" s="276" t="n">
        <f aca="false">IF(AL6&lt;=①통합_가정!$E$16,1,0)</f>
        <v>1</v>
      </c>
      <c r="AM10" s="276" t="n">
        <f aca="false">IF(AM6&lt;=①통합_가정!$E$16,1,0)</f>
        <v>1</v>
      </c>
      <c r="AN10" s="276" t="n">
        <f aca="false">IF(AN6&lt;=①통합_가정!$E$16,1,0)</f>
        <v>1</v>
      </c>
      <c r="AO10" s="276" t="n">
        <f aca="false">IF(AO6&lt;=①통합_가정!$E$16,1,0)</f>
        <v>1</v>
      </c>
      <c r="AP10" s="276" t="n">
        <f aca="false">IF(AP6&lt;=①통합_가정!$E$16,1,0)</f>
        <v>1</v>
      </c>
      <c r="AQ10" s="276" t="n">
        <f aca="false">IF(AQ6&lt;=①통합_가정!$E$16,1,0)</f>
        <v>1</v>
      </c>
      <c r="AR10" s="276" t="n">
        <f aca="false">IF(AR6&lt;=①통합_가정!$E$16,1,0)</f>
        <v>1</v>
      </c>
      <c r="AS10" s="276" t="n">
        <f aca="false">IF(AS6&lt;=①통합_가정!$E$16,1,0)</f>
        <v>1</v>
      </c>
      <c r="AT10" s="276" t="n">
        <f aca="false">IF(AT6&lt;=①통합_가정!$E$16,1,0)</f>
        <v>1</v>
      </c>
      <c r="AU10" s="276" t="n">
        <f aca="false">IF(AU6&lt;=①통합_가정!$E$16,1,0)</f>
        <v>1</v>
      </c>
      <c r="AV10" s="276" t="n">
        <f aca="false">IF(AV6&lt;=①통합_가정!$E$16,1,0)</f>
        <v>1</v>
      </c>
      <c r="AW10" s="276" t="n">
        <f aca="false">IF(AW6&lt;=①통합_가정!$E$16,1,0)</f>
        <v>1</v>
      </c>
      <c r="AX10" s="276" t="n">
        <f aca="false">IF(AX6&lt;=①통합_가정!$E$16,1,0)</f>
        <v>1</v>
      </c>
      <c r="AY10" s="276" t="n">
        <f aca="false">IF(AY6&lt;=①통합_가정!$E$16,1,0)</f>
        <v>1</v>
      </c>
      <c r="AZ10" s="276" t="n">
        <f aca="false">IF(AZ6&lt;=①통합_가정!$E$16,1,0)</f>
        <v>1</v>
      </c>
      <c r="BA10" s="276" t="n">
        <f aca="false">IF(BA6&lt;=①통합_가정!$E$16,1,0)</f>
        <v>1</v>
      </c>
      <c r="BB10" s="276" t="n">
        <f aca="false">IF(BB6&lt;=①통합_가정!$E$16,1,0)</f>
        <v>1</v>
      </c>
      <c r="BC10" s="276" t="n">
        <f aca="false">IF(BC6&lt;=①통합_가정!$E$16,1,0)</f>
        <v>1</v>
      </c>
      <c r="BD10" s="276" t="n">
        <f aca="false">IF(BD6&lt;=①통합_가정!$E$16,1,0)</f>
        <v>1</v>
      </c>
      <c r="BE10" s="276" t="n">
        <f aca="false">IF(BE6&lt;=①통합_가정!$E$16,1,0)</f>
        <v>1</v>
      </c>
      <c r="BF10" s="276" t="n">
        <f aca="false">IF(BF6&lt;=①통합_가정!$E$16,1,0)</f>
        <v>1</v>
      </c>
      <c r="BG10" s="276" t="n">
        <f aca="false">IF(BG6&lt;=①통합_가정!$E$16,1,0)</f>
        <v>1</v>
      </c>
      <c r="BH10" s="276" t="n">
        <f aca="false">IF(BH6&lt;=①통합_가정!$E$16,1,0)</f>
        <v>1</v>
      </c>
      <c r="BI10" s="276" t="n">
        <f aca="false">IF(BI6&lt;=①통합_가정!$E$16,1,0)</f>
        <v>1</v>
      </c>
      <c r="BJ10" s="276" t="n">
        <f aca="false">IF(BJ6&lt;=①통합_가정!$E$16,1,0)</f>
        <v>1</v>
      </c>
      <c r="BK10" s="276" t="n">
        <f aca="false">IF(BK6&lt;=①통합_가정!$E$16,1,0)</f>
        <v>1</v>
      </c>
      <c r="BL10" s="276" t="n">
        <f aca="false">IF(BL6&lt;=①통합_가정!$E$16,1,0)</f>
        <v>1</v>
      </c>
      <c r="BM10" s="276" t="n">
        <f aca="false">IF(BM6&lt;=①통합_가정!$E$16,1,0)</f>
        <v>0</v>
      </c>
      <c r="BN10" s="276" t="n">
        <f aca="false">IF(BN6&lt;=①통합_가정!$E$16,1,0)</f>
        <v>0</v>
      </c>
      <c r="BO10" s="276" t="n">
        <f aca="false">IF(BO6&lt;=①통합_가정!$E$16,1,0)</f>
        <v>0</v>
      </c>
      <c r="BP10" s="276" t="n">
        <f aca="false">IF(BP6&lt;=①통합_가정!$E$16,1,0)</f>
        <v>0</v>
      </c>
      <c r="BQ10" s="276" t="n">
        <f aca="false">IF(BQ6&lt;=①통합_가정!$E$16,1,0)</f>
        <v>0</v>
      </c>
      <c r="BR10" s="276" t="n">
        <f aca="false">IF(BR6&lt;=①통합_가정!$E$16,1,0)</f>
        <v>0</v>
      </c>
      <c r="BS10" s="276" t="n">
        <f aca="false">IF(BS6&lt;=①통합_가정!$E$16,1,0)</f>
        <v>0</v>
      </c>
      <c r="BT10" s="276" t="n">
        <f aca="false">IF(BT6&lt;=①통합_가정!$E$16,1,0)</f>
        <v>0</v>
      </c>
      <c r="BU10" s="276" t="n">
        <f aca="false">IF(BU6&lt;=①통합_가정!$E$16,1,0)</f>
        <v>0</v>
      </c>
      <c r="BV10" s="276" t="n">
        <f aca="false">IF(BV6&lt;=①통합_가정!$E$16,1,0)</f>
        <v>0</v>
      </c>
      <c r="BW10" s="276" t="n">
        <f aca="false">IF(BW6&lt;=①통합_가정!$E$16,1,0)</f>
        <v>0</v>
      </c>
      <c r="BX10" s="276" t="n">
        <f aca="false">IF(BX6&lt;=①통합_가정!$E$16,1,0)</f>
        <v>0</v>
      </c>
      <c r="BY10" s="276" t="n">
        <f aca="false">IF(BY6&lt;=①통합_가정!$E$16,1,0)</f>
        <v>0</v>
      </c>
      <c r="BZ10" s="276" t="n">
        <f aca="false">IF(BZ6&lt;=①통합_가정!$E$16,1,0)</f>
        <v>0</v>
      </c>
      <c r="CA10" s="276" t="n">
        <f aca="false">IF(CA6&lt;=①통합_가정!$E$16,1,0)</f>
        <v>0</v>
      </c>
      <c r="CB10" s="276" t="n">
        <f aca="false">IF(CB6&lt;=①통합_가정!$E$16,1,0)</f>
        <v>0</v>
      </c>
      <c r="CC10" s="276" t="n">
        <f aca="false">IF(CC6&lt;=①통합_가정!$E$16,1,0)</f>
        <v>0</v>
      </c>
      <c r="CD10" s="276" t="n">
        <f aca="false">IF(CD6&lt;=①통합_가정!$E$16,1,0)</f>
        <v>0</v>
      </c>
      <c r="CE10" s="276" t="n">
        <f aca="false">IF(CE6&lt;=①통합_가정!$E$16,1,0)</f>
        <v>0</v>
      </c>
      <c r="CF10" s="276" t="n">
        <f aca="false">IF(CF6&lt;=①통합_가정!$E$16,1,0)</f>
        <v>0</v>
      </c>
      <c r="CG10" s="276" t="n">
        <f aca="false">IF(CG6&lt;=①통합_가정!$E$16,1,0)</f>
        <v>0</v>
      </c>
      <c r="CH10" s="276" t="n">
        <f aca="false">IF(CH6&lt;=①통합_가정!$E$16,1,0)</f>
        <v>0</v>
      </c>
      <c r="CI10" s="276" t="n">
        <f aca="false">IF(CI6&lt;=①통합_가정!$E$16,1,0)</f>
        <v>0</v>
      </c>
      <c r="CJ10" s="276" t="n">
        <f aca="false">IF(CJ6&lt;=①통합_가정!$E$16,1,0)</f>
        <v>0</v>
      </c>
      <c r="CK10" s="276" t="n">
        <f aca="false">IF(CK6&lt;=①통합_가정!$E$16,1,0)</f>
        <v>0</v>
      </c>
      <c r="CL10" s="276" t="n">
        <f aca="false">IF(CL6&lt;=①통합_가정!$E$16,1,0)</f>
        <v>0</v>
      </c>
      <c r="CM10" s="276" t="n">
        <f aca="false">IF(CM6&lt;=①통합_가정!$E$16,1,0)</f>
        <v>0</v>
      </c>
      <c r="CN10" s="276" t="n">
        <f aca="false">IF(CN6&lt;=①통합_가정!$E$16,1,0)</f>
        <v>0</v>
      </c>
      <c r="CO10" s="276" t="n">
        <f aca="false">IF(CO6&lt;=①통합_가정!$E$16,1,0)</f>
        <v>0</v>
      </c>
      <c r="CP10" s="276" t="n">
        <f aca="false">IF(CP6&lt;=①통합_가정!$E$16,1,0)</f>
        <v>0</v>
      </c>
      <c r="CQ10" s="276" t="n">
        <f aca="false">IF(CQ6&lt;=①통합_가정!$E$16,1,0)</f>
        <v>0</v>
      </c>
      <c r="CR10" s="276" t="n">
        <f aca="false">IF(CR6&lt;=①통합_가정!$E$16,1,0)</f>
        <v>0</v>
      </c>
      <c r="CS10" s="276" t="n">
        <f aca="false">IF(CS6&lt;=①통합_가정!$E$16,1,0)</f>
        <v>0</v>
      </c>
      <c r="CT10" s="276" t="n">
        <f aca="false">IF(CT6&lt;=①통합_가정!$E$16,1,0)</f>
        <v>0</v>
      </c>
      <c r="CU10" s="276" t="n">
        <f aca="false">IF(CU6&lt;=①통합_가정!$E$16,1,0)</f>
        <v>0</v>
      </c>
      <c r="CV10" s="276" t="n">
        <f aca="false">IF(CV6&lt;=①통합_가정!$E$16,1,0)</f>
        <v>0</v>
      </c>
      <c r="CW10" s="276" t="n">
        <f aca="false">IF(CW6&lt;=①통합_가정!$E$16,1,0)</f>
        <v>0</v>
      </c>
      <c r="CX10" s="276" t="n">
        <f aca="false">IF(CX6&lt;=①통합_가정!$E$16,1,0)</f>
        <v>0</v>
      </c>
      <c r="CY10" s="276" t="n">
        <f aca="false">IF(CY6&lt;=①통합_가정!$E$16,1,0)</f>
        <v>0</v>
      </c>
      <c r="CZ10" s="276" t="n">
        <f aca="false">IF(CZ6&lt;=①통합_가정!$E$16,1,0)</f>
        <v>0</v>
      </c>
      <c r="DA10" s="276" t="n">
        <f aca="false">IF(DA6&lt;=①통합_가정!$E$16,1,0)</f>
        <v>0</v>
      </c>
      <c r="DB10" s="276" t="n">
        <f aca="false">IF(DB6&lt;=①통합_가정!$E$16,1,0)</f>
        <v>0</v>
      </c>
      <c r="DC10" s="276" t="n">
        <f aca="false">IF(DC6&lt;=①통합_가정!$E$16,1,0)</f>
        <v>0</v>
      </c>
      <c r="DD10" s="276" t="n">
        <f aca="false">IF(DD6&lt;=①통합_가정!$E$16,1,0)</f>
        <v>0</v>
      </c>
      <c r="DE10" s="276" t="n">
        <f aca="false">IF(DE6&lt;=①통합_가정!$E$16,1,0)</f>
        <v>0</v>
      </c>
      <c r="DF10" s="276" t="n">
        <f aca="false">IF(DF6&lt;=①통합_가정!$E$16,1,0)</f>
        <v>0</v>
      </c>
      <c r="DG10" s="276" t="n">
        <f aca="false">IF(DG6&lt;=①통합_가정!$E$16,1,0)</f>
        <v>0</v>
      </c>
      <c r="DH10" s="276" t="n">
        <f aca="false">IF(DH6&lt;=①통합_가정!$E$16,1,0)</f>
        <v>0</v>
      </c>
      <c r="DI10" s="276" t="n">
        <f aca="false">IF(DI6&lt;=①통합_가정!$E$16,1,0)</f>
        <v>0</v>
      </c>
      <c r="DJ10" s="276" t="n">
        <f aca="false">IF(DJ6&lt;=①통합_가정!$E$16,1,0)</f>
        <v>0</v>
      </c>
      <c r="DK10" s="276" t="n">
        <f aca="false">IF(DK6&lt;=①통합_가정!$E$16,1,0)</f>
        <v>0</v>
      </c>
      <c r="DL10" s="276" t="n">
        <f aca="false">IF(DL6&lt;=①통합_가정!$E$16,1,0)</f>
        <v>0</v>
      </c>
      <c r="DM10" s="276" t="n">
        <f aca="false">IF(DM6&lt;=①통합_가정!$E$16,1,0)</f>
        <v>0</v>
      </c>
      <c r="DN10" s="276" t="n">
        <f aca="false">IF(DN6&lt;=①통합_가정!$E$16,1,0)</f>
        <v>0</v>
      </c>
      <c r="DO10" s="276" t="n">
        <f aca="false">IF(DO6&lt;=①통합_가정!$E$16,1,0)</f>
        <v>0</v>
      </c>
      <c r="DP10" s="276" t="n">
        <f aca="false">IF(DP6&lt;=①통합_가정!$E$16,1,0)</f>
        <v>0</v>
      </c>
      <c r="DQ10" s="276" t="n">
        <f aca="false">IF(DQ6&lt;=①통합_가정!$E$16,1,0)</f>
        <v>0</v>
      </c>
      <c r="DR10" s="276" t="n">
        <f aca="false">IF(DR6&lt;=①통합_가정!$E$16,1,0)</f>
        <v>0</v>
      </c>
      <c r="DS10" s="276" t="n">
        <f aca="false">IF(DS6&lt;=①통합_가정!$E$16,1,0)</f>
        <v>0</v>
      </c>
      <c r="DT10" s="276" t="n">
        <f aca="false">IF(DT6&lt;=①통합_가정!$E$16,1,0)</f>
        <v>0</v>
      </c>
      <c r="DU10" s="276" t="n">
        <f aca="false">IF(DU6&lt;=①통합_가정!$E$16,1,0)</f>
        <v>0</v>
      </c>
      <c r="DV10" s="276" t="n">
        <f aca="false">IF(DV6&lt;=①통합_가정!$E$16,1,0)</f>
        <v>0</v>
      </c>
      <c r="DW10" s="276" t="n">
        <f aca="false">IF(DW6&lt;=①통합_가정!$E$16,1,0)</f>
        <v>0</v>
      </c>
      <c r="DX10" s="276" t="n">
        <f aca="false">IF(DX6&lt;=①통합_가정!$E$16,1,0)</f>
        <v>0</v>
      </c>
      <c r="DY10" s="276" t="n">
        <f aca="false">IF(DY6&lt;=①통합_가정!$E$16,1,0)</f>
        <v>0</v>
      </c>
      <c r="DZ10" s="276" t="n">
        <f aca="false">IF(DZ6&lt;=①통합_가정!$E$16,1,0)</f>
        <v>0</v>
      </c>
      <c r="EA10" s="276" t="n">
        <f aca="false">IF(EA6&lt;=①통합_가정!$E$16,1,0)</f>
        <v>0</v>
      </c>
      <c r="EB10" s="276" t="n">
        <f aca="false">IF(EB6&lt;=①통합_가정!$E$16,1,0)</f>
        <v>0</v>
      </c>
      <c r="EC10" s="276" t="n">
        <f aca="false">IF(EC6&lt;=①통합_가정!$E$16,1,0)</f>
        <v>0</v>
      </c>
      <c r="ED10" s="276" t="n">
        <f aca="false">IF(ED6&lt;=①통합_가정!$E$16,1,0)</f>
        <v>0</v>
      </c>
      <c r="EE10" s="276" t="n">
        <f aca="false">IF(EE6&lt;=①통합_가정!$E$16,1,0)</f>
        <v>0</v>
      </c>
      <c r="EF10" s="276" t="n">
        <f aca="false">IF(EF6&lt;=①통합_가정!$E$16,1,0)</f>
        <v>0</v>
      </c>
    </row>
    <row r="11" customFormat="false" ht="15" hidden="false" customHeight="false" outlineLevel="0" collapsed="false">
      <c r="A11" s="36" t="s">
        <v>567</v>
      </c>
      <c r="B11" s="273"/>
      <c r="E11" s="276" t="n">
        <f aca="false">IF(AND(E6&gt;=①통합_가정!$E$14,E6&lt;=①통합_가정!$E$16),1,0)</f>
        <v>0</v>
      </c>
      <c r="F11" s="276" t="n">
        <f aca="false">IF(AND(F6&gt;=①통합_가정!$E$14,F6&lt;=①통합_가정!$E$16),1,0)</f>
        <v>0</v>
      </c>
      <c r="G11" s="276" t="n">
        <f aca="false">IF(AND(G6&gt;=①통합_가정!$E$14,G6&lt;=①통합_가정!$E$16),1,0)</f>
        <v>0</v>
      </c>
      <c r="H11" s="276" t="n">
        <f aca="false">IF(AND(H6&gt;=①통합_가정!$E$14,H6&lt;=①통합_가정!$E$16),1,0)</f>
        <v>0</v>
      </c>
      <c r="I11" s="276" t="n">
        <f aca="false">IF(AND(I6&gt;=①통합_가정!$E$14,I6&lt;=①통합_가정!$E$16),1,0)</f>
        <v>0</v>
      </c>
      <c r="J11" s="276" t="n">
        <f aca="false">IF(AND(J6&gt;=①통합_가정!$E$14,J6&lt;=①통합_가정!$E$16),1,0)</f>
        <v>0</v>
      </c>
      <c r="K11" s="276" t="n">
        <f aca="false">IF(AND(K6&gt;=①통합_가정!$E$14,K6&lt;=①통합_가정!$E$16),1,0)</f>
        <v>0</v>
      </c>
      <c r="L11" s="276" t="n">
        <f aca="false">IF(AND(L6&gt;=①통합_가정!$E$14,L6&lt;=①통합_가정!$E$16),1,0)</f>
        <v>0</v>
      </c>
      <c r="M11" s="276" t="n">
        <f aca="false">IF(AND(M6&gt;=①통합_가정!$E$14,M6&lt;=①통합_가정!$E$16),1,0)</f>
        <v>0</v>
      </c>
      <c r="N11" s="276" t="n">
        <f aca="false">IF(AND(N6&gt;=①통합_가정!$E$14,N6&lt;=①통합_가정!$E$16),1,0)</f>
        <v>0</v>
      </c>
      <c r="O11" s="276" t="n">
        <f aca="false">IF(AND(O6&gt;=①통합_가정!$E$14,O6&lt;=①통합_가정!$E$16),1,0)</f>
        <v>0</v>
      </c>
      <c r="P11" s="276" t="n">
        <f aca="false">IF(AND(P6&gt;=①통합_가정!$E$14,P6&lt;=①통합_가정!$E$16),1,0)</f>
        <v>0</v>
      </c>
      <c r="Q11" s="276" t="n">
        <f aca="false">IF(AND(Q6&gt;=①통합_가정!$E$14,Q6&lt;=①통합_가정!$E$16),1,0)</f>
        <v>0</v>
      </c>
      <c r="R11" s="276" t="n">
        <f aca="false">IF(AND(R6&gt;=①통합_가정!$E$14,R6&lt;=①통합_가정!$E$16),1,0)</f>
        <v>0</v>
      </c>
      <c r="S11" s="276" t="n">
        <f aca="false">IF(AND(S6&gt;=①통합_가정!$E$14,S6&lt;=①통합_가정!$E$16),1,0)</f>
        <v>0</v>
      </c>
      <c r="T11" s="276" t="n">
        <f aca="false">IF(AND(T6&gt;=①통합_가정!$E$14,T6&lt;=①통합_가정!$E$16),1,0)</f>
        <v>0</v>
      </c>
      <c r="U11" s="276" t="n">
        <f aca="false">IF(AND(U6&gt;=①통합_가정!$E$14,U6&lt;=①통합_가정!$E$16),1,0)</f>
        <v>0</v>
      </c>
      <c r="V11" s="276" t="n">
        <f aca="false">IF(AND(V6&gt;=①통합_가정!$E$14,V6&lt;=①통합_가정!$E$16),1,0)</f>
        <v>0</v>
      </c>
      <c r="W11" s="276" t="n">
        <f aca="false">IF(AND(W6&gt;=①통합_가정!$E$14,W6&lt;=①통합_가정!$E$16),1,0)</f>
        <v>1</v>
      </c>
      <c r="X11" s="276" t="n">
        <f aca="false">IF(AND(X6&gt;=①통합_가정!$E$14,X6&lt;=①통합_가정!$E$16),1,0)</f>
        <v>1</v>
      </c>
      <c r="Y11" s="276" t="n">
        <f aca="false">IF(AND(Y6&gt;=①통합_가정!$E$14,Y6&lt;=①통합_가정!$E$16),1,0)</f>
        <v>1</v>
      </c>
      <c r="Z11" s="276" t="n">
        <f aca="false">IF(AND(Z6&gt;=①통합_가정!$E$14,Z6&lt;=①통합_가정!$E$16),1,0)</f>
        <v>1</v>
      </c>
      <c r="AA11" s="276" t="n">
        <f aca="false">IF(AND(AA6&gt;=①통합_가정!$E$14,AA6&lt;=①통합_가정!$E$16),1,0)</f>
        <v>1</v>
      </c>
      <c r="AB11" s="276" t="n">
        <f aca="false">IF(AND(AB6&gt;=①통합_가정!$E$14,AB6&lt;=①통합_가정!$E$16),1,0)</f>
        <v>1</v>
      </c>
      <c r="AC11" s="276" t="n">
        <f aca="false">IF(AND(AC6&gt;=①통합_가정!$E$14,AC6&lt;=①통합_가정!$E$16),1,0)</f>
        <v>1</v>
      </c>
      <c r="AD11" s="276" t="n">
        <f aca="false">IF(AND(AD6&gt;=①통합_가정!$E$14,AD6&lt;=①통합_가정!$E$16),1,0)</f>
        <v>1</v>
      </c>
      <c r="AE11" s="276" t="n">
        <f aca="false">IF(AND(AE6&gt;=①통합_가정!$E$14,AE6&lt;=①통합_가정!$E$16),1,0)</f>
        <v>1</v>
      </c>
      <c r="AF11" s="276" t="n">
        <f aca="false">IF(AND(AF6&gt;=①통합_가정!$E$14,AF6&lt;=①통합_가정!$E$16),1,0)</f>
        <v>1</v>
      </c>
      <c r="AG11" s="276" t="n">
        <f aca="false">IF(AND(AG6&gt;=①통합_가정!$E$14,AG6&lt;=①통합_가정!$E$16),1,0)</f>
        <v>1</v>
      </c>
      <c r="AH11" s="276" t="n">
        <f aca="false">IF(AND(AH6&gt;=①통합_가정!$E$14,AH6&lt;=①통합_가정!$E$16),1,0)</f>
        <v>1</v>
      </c>
      <c r="AI11" s="276" t="n">
        <f aca="false">IF(AND(AI6&gt;=①통합_가정!$E$14,AI6&lt;=①통합_가정!$E$16),1,0)</f>
        <v>1</v>
      </c>
      <c r="AJ11" s="276" t="n">
        <f aca="false">IF(AND(AJ6&gt;=①통합_가정!$E$14,AJ6&lt;=①통합_가정!$E$16),1,0)</f>
        <v>1</v>
      </c>
      <c r="AK11" s="276" t="n">
        <f aca="false">IF(AND(AK6&gt;=①통합_가정!$E$14,AK6&lt;=①통합_가정!$E$16),1,0)</f>
        <v>1</v>
      </c>
      <c r="AL11" s="276" t="n">
        <f aca="false">IF(AND(AL6&gt;=①통합_가정!$E$14,AL6&lt;=①통합_가정!$E$16),1,0)</f>
        <v>1</v>
      </c>
      <c r="AM11" s="276" t="n">
        <f aca="false">IF(AND(AM6&gt;=①통합_가정!$E$14,AM6&lt;=①통합_가정!$E$16),1,0)</f>
        <v>1</v>
      </c>
      <c r="AN11" s="276" t="n">
        <f aca="false">IF(AND(AN6&gt;=①통합_가정!$E$14,AN6&lt;=①통합_가정!$E$16),1,0)</f>
        <v>1</v>
      </c>
      <c r="AO11" s="276" t="n">
        <f aca="false">IF(AND(AO6&gt;=①통합_가정!$E$14,AO6&lt;=①통합_가정!$E$16),1,0)</f>
        <v>1</v>
      </c>
      <c r="AP11" s="276" t="n">
        <f aca="false">IF(AND(AP6&gt;=①통합_가정!$E$14,AP6&lt;=①통합_가정!$E$16),1,0)</f>
        <v>1</v>
      </c>
      <c r="AQ11" s="276" t="n">
        <f aca="false">IF(AND(AQ6&gt;=①통합_가정!$E$14,AQ6&lt;=①통합_가정!$E$16),1,0)</f>
        <v>1</v>
      </c>
      <c r="AR11" s="276" t="n">
        <f aca="false">IF(AND(AR6&gt;=①통합_가정!$E$14,AR6&lt;=①통합_가정!$E$16),1,0)</f>
        <v>1</v>
      </c>
      <c r="AS11" s="276" t="n">
        <f aca="false">IF(AND(AS6&gt;=①통합_가정!$E$14,AS6&lt;=①통합_가정!$E$16),1,0)</f>
        <v>1</v>
      </c>
      <c r="AT11" s="276" t="n">
        <f aca="false">IF(AND(AT6&gt;=①통합_가정!$E$14,AT6&lt;=①통합_가정!$E$16),1,0)</f>
        <v>1</v>
      </c>
      <c r="AU11" s="276" t="n">
        <f aca="false">IF(AND(AU6&gt;=①통합_가정!$E$14,AU6&lt;=①통합_가정!$E$16),1,0)</f>
        <v>1</v>
      </c>
      <c r="AV11" s="276" t="n">
        <f aca="false">IF(AND(AV6&gt;=①통합_가정!$E$14,AV6&lt;=①통합_가정!$E$16),1,0)</f>
        <v>1</v>
      </c>
      <c r="AW11" s="276" t="n">
        <f aca="false">IF(AND(AW6&gt;=①통합_가정!$E$14,AW6&lt;=①통합_가정!$E$16),1,0)</f>
        <v>1</v>
      </c>
      <c r="AX11" s="276" t="n">
        <f aca="false">IF(AND(AX6&gt;=①통합_가정!$E$14,AX6&lt;=①통합_가정!$E$16),1,0)</f>
        <v>1</v>
      </c>
      <c r="AY11" s="276" t="n">
        <f aca="false">IF(AND(AY6&gt;=①통합_가정!$E$14,AY6&lt;=①통합_가정!$E$16),1,0)</f>
        <v>1</v>
      </c>
      <c r="AZ11" s="276" t="n">
        <f aca="false">IF(AND(AZ6&gt;=①통합_가정!$E$14,AZ6&lt;=①통합_가정!$E$16),1,0)</f>
        <v>1</v>
      </c>
      <c r="BA11" s="276" t="n">
        <f aca="false">IF(AND(BA6&gt;=①통합_가정!$E$14,BA6&lt;=①통합_가정!$E$16),1,0)</f>
        <v>1</v>
      </c>
      <c r="BB11" s="276" t="n">
        <f aca="false">IF(AND(BB6&gt;=①통합_가정!$E$14,BB6&lt;=①통합_가정!$E$16),1,0)</f>
        <v>1</v>
      </c>
      <c r="BC11" s="276" t="n">
        <f aca="false">IF(AND(BC6&gt;=①통합_가정!$E$14,BC6&lt;=①통합_가정!$E$16),1,0)</f>
        <v>1</v>
      </c>
      <c r="BD11" s="276" t="n">
        <f aca="false">IF(AND(BD6&gt;=①통합_가정!$E$14,BD6&lt;=①통합_가정!$E$16),1,0)</f>
        <v>1</v>
      </c>
      <c r="BE11" s="276" t="n">
        <f aca="false">IF(AND(BE6&gt;=①통합_가정!$E$14,BE6&lt;=①통합_가정!$E$16),1,0)</f>
        <v>1</v>
      </c>
      <c r="BF11" s="276" t="n">
        <f aca="false">IF(AND(BF6&gt;=①통합_가정!$E$14,BF6&lt;=①통합_가정!$E$16),1,0)</f>
        <v>1</v>
      </c>
      <c r="BG11" s="276" t="n">
        <f aca="false">IF(AND(BG6&gt;=①통합_가정!$E$14,BG6&lt;=①통합_가정!$E$16),1,0)</f>
        <v>1</v>
      </c>
      <c r="BH11" s="276" t="n">
        <f aca="false">IF(AND(BH6&gt;=①통합_가정!$E$14,BH6&lt;=①통합_가정!$E$16),1,0)</f>
        <v>1</v>
      </c>
      <c r="BI11" s="276" t="n">
        <f aca="false">IF(AND(BI6&gt;=①통합_가정!$E$14,BI6&lt;=①통합_가정!$E$16),1,0)</f>
        <v>1</v>
      </c>
      <c r="BJ11" s="276" t="n">
        <f aca="false">IF(AND(BJ6&gt;=①통합_가정!$E$14,BJ6&lt;=①통합_가정!$E$16),1,0)</f>
        <v>1</v>
      </c>
      <c r="BK11" s="276" t="n">
        <f aca="false">IF(AND(BK6&gt;=①통합_가정!$E$14,BK6&lt;=①통합_가정!$E$16),1,0)</f>
        <v>1</v>
      </c>
      <c r="BL11" s="276" t="n">
        <f aca="false">IF(AND(BL6&gt;=①통합_가정!$E$14,BL6&lt;=①통합_가정!$E$16),1,0)</f>
        <v>1</v>
      </c>
      <c r="BM11" s="276" t="n">
        <f aca="false">IF(AND(BM6&gt;=①통합_가정!$E$14,BM6&lt;=①통합_가정!$E$16),1,0)</f>
        <v>0</v>
      </c>
      <c r="BN11" s="276" t="n">
        <f aca="false">IF(AND(BN6&gt;=①통합_가정!$E$14,BN6&lt;=①통합_가정!$E$16),1,0)</f>
        <v>0</v>
      </c>
      <c r="BO11" s="276" t="n">
        <f aca="false">IF(AND(BO6&gt;=①통합_가정!$E$14,BO6&lt;=①통합_가정!$E$16),1,0)</f>
        <v>0</v>
      </c>
      <c r="BP11" s="276" t="n">
        <f aca="false">IF(AND(BP6&gt;=①통합_가정!$E$14,BP6&lt;=①통합_가정!$E$16),1,0)</f>
        <v>0</v>
      </c>
      <c r="BQ11" s="276" t="n">
        <f aca="false">IF(AND(BQ6&gt;=①통합_가정!$E$14,BQ6&lt;=①통합_가정!$E$16),1,0)</f>
        <v>0</v>
      </c>
      <c r="BR11" s="276" t="n">
        <f aca="false">IF(AND(BR6&gt;=①통합_가정!$E$14,BR6&lt;=①통합_가정!$E$16),1,0)</f>
        <v>0</v>
      </c>
      <c r="BS11" s="276" t="n">
        <f aca="false">IF(AND(BS6&gt;=①통합_가정!$E$14,BS6&lt;=①통합_가정!$E$16),1,0)</f>
        <v>0</v>
      </c>
      <c r="BT11" s="276" t="n">
        <f aca="false">IF(AND(BT6&gt;=①통합_가정!$E$14,BT6&lt;=①통합_가정!$E$16),1,0)</f>
        <v>0</v>
      </c>
      <c r="BU11" s="276" t="n">
        <f aca="false">IF(AND(BU6&gt;=①통합_가정!$E$14,BU6&lt;=①통합_가정!$E$16),1,0)</f>
        <v>0</v>
      </c>
      <c r="BV11" s="276" t="n">
        <f aca="false">IF(AND(BV6&gt;=①통합_가정!$E$14,BV6&lt;=①통합_가정!$E$16),1,0)</f>
        <v>0</v>
      </c>
      <c r="BW11" s="276" t="n">
        <f aca="false">IF(AND(BW6&gt;=①통합_가정!$E$14,BW6&lt;=①통합_가정!$E$16),1,0)</f>
        <v>0</v>
      </c>
      <c r="BX11" s="276" t="n">
        <f aca="false">IF(AND(BX6&gt;=①통합_가정!$E$14,BX6&lt;=①통합_가정!$E$16),1,0)</f>
        <v>0</v>
      </c>
      <c r="BY11" s="276" t="n">
        <f aca="false">IF(AND(BY6&gt;=①통합_가정!$E$14,BY6&lt;=①통합_가정!$E$16),1,0)</f>
        <v>0</v>
      </c>
      <c r="BZ11" s="276" t="n">
        <f aca="false">IF(AND(BZ6&gt;=①통합_가정!$E$14,BZ6&lt;=①통합_가정!$E$16),1,0)</f>
        <v>0</v>
      </c>
      <c r="CA11" s="276" t="n">
        <f aca="false">IF(AND(CA6&gt;=①통합_가정!$E$14,CA6&lt;=①통합_가정!$E$16),1,0)</f>
        <v>0</v>
      </c>
      <c r="CB11" s="276" t="n">
        <f aca="false">IF(AND(CB6&gt;=①통합_가정!$E$14,CB6&lt;=①통합_가정!$E$16),1,0)</f>
        <v>0</v>
      </c>
      <c r="CC11" s="276" t="n">
        <f aca="false">IF(AND(CC6&gt;=①통합_가정!$E$14,CC6&lt;=①통합_가정!$E$16),1,0)</f>
        <v>0</v>
      </c>
      <c r="CD11" s="276" t="n">
        <f aca="false">IF(AND(CD6&gt;=①통합_가정!$E$14,CD6&lt;=①통합_가정!$E$16),1,0)</f>
        <v>0</v>
      </c>
      <c r="CE11" s="276" t="n">
        <f aca="false">IF(AND(CE6&gt;=①통합_가정!$E$14,CE6&lt;=①통합_가정!$E$16),1,0)</f>
        <v>0</v>
      </c>
      <c r="CF11" s="276" t="n">
        <f aca="false">IF(AND(CF6&gt;=①통합_가정!$E$14,CF6&lt;=①통합_가정!$E$16),1,0)</f>
        <v>0</v>
      </c>
      <c r="CG11" s="276" t="n">
        <f aca="false">IF(AND(CG6&gt;=①통합_가정!$E$14,CG6&lt;=①통합_가정!$E$16),1,0)</f>
        <v>0</v>
      </c>
      <c r="CH11" s="276" t="n">
        <f aca="false">IF(AND(CH6&gt;=①통합_가정!$E$14,CH6&lt;=①통합_가정!$E$16),1,0)</f>
        <v>0</v>
      </c>
      <c r="CI11" s="276" t="n">
        <f aca="false">IF(AND(CI6&gt;=①통합_가정!$E$14,CI6&lt;=①통합_가정!$E$16),1,0)</f>
        <v>0</v>
      </c>
      <c r="CJ11" s="276" t="n">
        <f aca="false">IF(AND(CJ6&gt;=①통합_가정!$E$14,CJ6&lt;=①통합_가정!$E$16),1,0)</f>
        <v>0</v>
      </c>
      <c r="CK11" s="276" t="n">
        <f aca="false">IF(AND(CK6&gt;=①통합_가정!$E$14,CK6&lt;=①통합_가정!$E$16),1,0)</f>
        <v>0</v>
      </c>
      <c r="CL11" s="276" t="n">
        <f aca="false">IF(AND(CL6&gt;=①통합_가정!$E$14,CL6&lt;=①통합_가정!$E$16),1,0)</f>
        <v>0</v>
      </c>
      <c r="CM11" s="276" t="n">
        <f aca="false">IF(AND(CM6&gt;=①통합_가정!$E$14,CM6&lt;=①통합_가정!$E$16),1,0)</f>
        <v>0</v>
      </c>
      <c r="CN11" s="276" t="n">
        <f aca="false">IF(AND(CN6&gt;=①통합_가정!$E$14,CN6&lt;=①통합_가정!$E$16),1,0)</f>
        <v>0</v>
      </c>
      <c r="CO11" s="276" t="n">
        <f aca="false">IF(AND(CO6&gt;=①통합_가정!$E$14,CO6&lt;=①통합_가정!$E$16),1,0)</f>
        <v>0</v>
      </c>
      <c r="CP11" s="276" t="n">
        <f aca="false">IF(AND(CP6&gt;=①통합_가정!$E$14,CP6&lt;=①통합_가정!$E$16),1,0)</f>
        <v>0</v>
      </c>
      <c r="CQ11" s="276" t="n">
        <f aca="false">IF(AND(CQ6&gt;=①통합_가정!$E$14,CQ6&lt;=①통합_가정!$E$16),1,0)</f>
        <v>0</v>
      </c>
      <c r="CR11" s="276" t="n">
        <f aca="false">IF(AND(CR6&gt;=①통합_가정!$E$14,CR6&lt;=①통합_가정!$E$16),1,0)</f>
        <v>0</v>
      </c>
      <c r="CS11" s="276" t="n">
        <f aca="false">IF(AND(CS6&gt;=①통합_가정!$E$14,CS6&lt;=①통합_가정!$E$16),1,0)</f>
        <v>0</v>
      </c>
      <c r="CT11" s="276" t="n">
        <f aca="false">IF(AND(CT6&gt;=①통합_가정!$E$14,CT6&lt;=①통합_가정!$E$16),1,0)</f>
        <v>0</v>
      </c>
      <c r="CU11" s="276" t="n">
        <f aca="false">IF(AND(CU6&gt;=①통합_가정!$E$14,CU6&lt;=①통합_가정!$E$16),1,0)</f>
        <v>0</v>
      </c>
      <c r="CV11" s="276" t="n">
        <f aca="false">IF(AND(CV6&gt;=①통합_가정!$E$14,CV6&lt;=①통합_가정!$E$16),1,0)</f>
        <v>0</v>
      </c>
      <c r="CW11" s="276" t="n">
        <f aca="false">IF(AND(CW6&gt;=①통합_가정!$E$14,CW6&lt;=①통합_가정!$E$16),1,0)</f>
        <v>0</v>
      </c>
      <c r="CX11" s="276" t="n">
        <f aca="false">IF(AND(CX6&gt;=①통합_가정!$E$14,CX6&lt;=①통합_가정!$E$16),1,0)</f>
        <v>0</v>
      </c>
      <c r="CY11" s="276" t="n">
        <f aca="false">IF(AND(CY6&gt;=①통합_가정!$E$14,CY6&lt;=①통합_가정!$E$16),1,0)</f>
        <v>0</v>
      </c>
      <c r="CZ11" s="276" t="n">
        <f aca="false">IF(AND(CZ6&gt;=①통합_가정!$E$14,CZ6&lt;=①통합_가정!$E$16),1,0)</f>
        <v>0</v>
      </c>
      <c r="DA11" s="276" t="n">
        <f aca="false">IF(AND(DA6&gt;=①통합_가정!$E$14,DA6&lt;=①통합_가정!$E$16),1,0)</f>
        <v>0</v>
      </c>
      <c r="DB11" s="276" t="n">
        <f aca="false">IF(AND(DB6&gt;=①통합_가정!$E$14,DB6&lt;=①통합_가정!$E$16),1,0)</f>
        <v>0</v>
      </c>
      <c r="DC11" s="276" t="n">
        <f aca="false">IF(AND(DC6&gt;=①통합_가정!$E$14,DC6&lt;=①통합_가정!$E$16),1,0)</f>
        <v>0</v>
      </c>
      <c r="DD11" s="276" t="n">
        <f aca="false">IF(AND(DD6&gt;=①통합_가정!$E$14,DD6&lt;=①통합_가정!$E$16),1,0)</f>
        <v>0</v>
      </c>
      <c r="DE11" s="276" t="n">
        <f aca="false">IF(AND(DE6&gt;=①통합_가정!$E$14,DE6&lt;=①통합_가정!$E$16),1,0)</f>
        <v>0</v>
      </c>
      <c r="DF11" s="276" t="n">
        <f aca="false">IF(AND(DF6&gt;=①통합_가정!$E$14,DF6&lt;=①통합_가정!$E$16),1,0)</f>
        <v>0</v>
      </c>
      <c r="DG11" s="276" t="n">
        <f aca="false">IF(AND(DG6&gt;=①통합_가정!$E$14,DG6&lt;=①통합_가정!$E$16),1,0)</f>
        <v>0</v>
      </c>
      <c r="DH11" s="276" t="n">
        <f aca="false">IF(AND(DH6&gt;=①통합_가정!$E$14,DH6&lt;=①통합_가정!$E$16),1,0)</f>
        <v>0</v>
      </c>
      <c r="DI11" s="276" t="n">
        <f aca="false">IF(AND(DI6&gt;=①통합_가정!$E$14,DI6&lt;=①통합_가정!$E$16),1,0)</f>
        <v>0</v>
      </c>
      <c r="DJ11" s="276" t="n">
        <f aca="false">IF(AND(DJ6&gt;=①통합_가정!$E$14,DJ6&lt;=①통합_가정!$E$16),1,0)</f>
        <v>0</v>
      </c>
      <c r="DK11" s="276" t="n">
        <f aca="false">IF(AND(DK6&gt;=①통합_가정!$E$14,DK6&lt;=①통합_가정!$E$16),1,0)</f>
        <v>0</v>
      </c>
      <c r="DL11" s="276" t="n">
        <f aca="false">IF(AND(DL6&gt;=①통합_가정!$E$14,DL6&lt;=①통합_가정!$E$16),1,0)</f>
        <v>0</v>
      </c>
      <c r="DM11" s="276" t="n">
        <f aca="false">IF(AND(DM6&gt;=①통합_가정!$E$14,DM6&lt;=①통합_가정!$E$16),1,0)</f>
        <v>0</v>
      </c>
      <c r="DN11" s="276" t="n">
        <f aca="false">IF(AND(DN6&gt;=①통합_가정!$E$14,DN6&lt;=①통합_가정!$E$16),1,0)</f>
        <v>0</v>
      </c>
      <c r="DO11" s="276" t="n">
        <f aca="false">IF(AND(DO6&gt;=①통합_가정!$E$14,DO6&lt;=①통합_가정!$E$16),1,0)</f>
        <v>0</v>
      </c>
      <c r="DP11" s="276" t="n">
        <f aca="false">IF(AND(DP6&gt;=①통합_가정!$E$14,DP6&lt;=①통합_가정!$E$16),1,0)</f>
        <v>0</v>
      </c>
      <c r="DQ11" s="276" t="n">
        <f aca="false">IF(AND(DQ6&gt;=①통합_가정!$E$14,DQ6&lt;=①통합_가정!$E$16),1,0)</f>
        <v>0</v>
      </c>
      <c r="DR11" s="276" t="n">
        <f aca="false">IF(AND(DR6&gt;=①통합_가정!$E$14,DR6&lt;=①통합_가정!$E$16),1,0)</f>
        <v>0</v>
      </c>
      <c r="DS11" s="276" t="n">
        <f aca="false">IF(AND(DS6&gt;=①통합_가정!$E$14,DS6&lt;=①통합_가정!$E$16),1,0)</f>
        <v>0</v>
      </c>
      <c r="DT11" s="276" t="n">
        <f aca="false">IF(AND(DT6&gt;=①통합_가정!$E$14,DT6&lt;=①통합_가정!$E$16),1,0)</f>
        <v>0</v>
      </c>
      <c r="DU11" s="276" t="n">
        <f aca="false">IF(AND(DU6&gt;=①통합_가정!$E$14,DU6&lt;=①통합_가정!$E$16),1,0)</f>
        <v>0</v>
      </c>
      <c r="DV11" s="276" t="n">
        <f aca="false">IF(AND(DV6&gt;=①통합_가정!$E$14,DV6&lt;=①통합_가정!$E$16),1,0)</f>
        <v>0</v>
      </c>
      <c r="DW11" s="276" t="n">
        <f aca="false">IF(AND(DW6&gt;=①통합_가정!$E$14,DW6&lt;=①통합_가정!$E$16),1,0)</f>
        <v>0</v>
      </c>
      <c r="DX11" s="276" t="n">
        <f aca="false">IF(AND(DX6&gt;=①통합_가정!$E$14,DX6&lt;=①통합_가정!$E$16),1,0)</f>
        <v>0</v>
      </c>
      <c r="DY11" s="276" t="n">
        <f aca="false">IF(AND(DY6&gt;=①통합_가정!$E$14,DY6&lt;=①통합_가정!$E$16),1,0)</f>
        <v>0</v>
      </c>
      <c r="DZ11" s="276" t="n">
        <f aca="false">IF(AND(DZ6&gt;=①통합_가정!$E$14,DZ6&lt;=①통합_가정!$E$16),1,0)</f>
        <v>0</v>
      </c>
      <c r="EA11" s="276" t="n">
        <f aca="false">IF(AND(EA6&gt;=①통합_가정!$E$14,EA6&lt;=①통합_가정!$E$16),1,0)</f>
        <v>0</v>
      </c>
      <c r="EB11" s="276" t="n">
        <f aca="false">IF(AND(EB6&gt;=①통합_가정!$E$14,EB6&lt;=①통합_가정!$E$16),1,0)</f>
        <v>0</v>
      </c>
      <c r="EC11" s="276" t="n">
        <f aca="false">IF(AND(EC6&gt;=①통합_가정!$E$14,EC6&lt;=①통합_가정!$E$16),1,0)</f>
        <v>0</v>
      </c>
      <c r="ED11" s="276" t="n">
        <f aca="false">IF(AND(ED6&gt;=①통합_가정!$E$14,ED6&lt;=①통합_가정!$E$16),1,0)</f>
        <v>0</v>
      </c>
      <c r="EE11" s="276" t="n">
        <f aca="false">IF(AND(EE6&gt;=①통합_가정!$E$14,EE6&lt;=①통합_가정!$E$16),1,0)</f>
        <v>0</v>
      </c>
      <c r="EF11" s="276" t="n">
        <f aca="false">IF(AND(EF6&gt;=①통합_가정!$E$14,EF6&lt;=①통합_가정!$E$16),1,0)</f>
        <v>0</v>
      </c>
    </row>
    <row r="12" customFormat="false" ht="15" hidden="false" customHeight="false" outlineLevel="0" collapsed="false">
      <c r="A12" s="36" t="s">
        <v>568</v>
      </c>
      <c r="B12" s="273"/>
      <c r="E12" s="275" t="n">
        <f aca="false">IF(E11=1,(YEAR(E6)-YEAR(①통합_가정!$E$14))*12+MONTH(E6)-MONTH(①통합_가정!$E$14)+1,0)</f>
        <v>0</v>
      </c>
      <c r="F12" s="275" t="n">
        <f aca="false">IF(F11=1,(YEAR(F6)-YEAR(①통합_가정!$E$14))*12+MONTH(F6)-MONTH(①통합_가정!$E$14)+1,0)</f>
        <v>0</v>
      </c>
      <c r="G12" s="275" t="n">
        <f aca="false">IF(G11=1,(YEAR(G6)-YEAR(①통합_가정!$E$14))*12+MONTH(G6)-MONTH(①통합_가정!$E$14)+1,0)</f>
        <v>0</v>
      </c>
      <c r="H12" s="275" t="n">
        <f aca="false">IF(H11=1,(YEAR(H6)-YEAR(①통합_가정!$E$14))*12+MONTH(H6)-MONTH(①통합_가정!$E$14)+1,0)</f>
        <v>0</v>
      </c>
      <c r="I12" s="275" t="n">
        <f aca="false">IF(I11=1,(YEAR(I6)-YEAR(①통합_가정!$E$14))*12+MONTH(I6)-MONTH(①통합_가정!$E$14)+1,0)</f>
        <v>0</v>
      </c>
      <c r="J12" s="275" t="n">
        <f aca="false">IF(J11=1,(YEAR(J6)-YEAR(①통합_가정!$E$14))*12+MONTH(J6)-MONTH(①통합_가정!$E$14)+1,0)</f>
        <v>0</v>
      </c>
      <c r="K12" s="275" t="n">
        <f aca="false">IF(K11=1,(YEAR(K6)-YEAR(①통합_가정!$E$14))*12+MONTH(K6)-MONTH(①통합_가정!$E$14)+1,0)</f>
        <v>0</v>
      </c>
      <c r="L12" s="275" t="n">
        <f aca="false">IF(L11=1,(YEAR(L6)-YEAR(①통합_가정!$E$14))*12+MONTH(L6)-MONTH(①통합_가정!$E$14)+1,0)</f>
        <v>0</v>
      </c>
      <c r="M12" s="275" t="n">
        <f aca="false">IF(M11=1,(YEAR(M6)-YEAR(①통합_가정!$E$14))*12+MONTH(M6)-MONTH(①통합_가정!$E$14)+1,0)</f>
        <v>0</v>
      </c>
      <c r="N12" s="275" t="n">
        <f aca="false">IF(N11=1,(YEAR(N6)-YEAR(①통합_가정!$E$14))*12+MONTH(N6)-MONTH(①통합_가정!$E$14)+1,0)</f>
        <v>0</v>
      </c>
      <c r="O12" s="275" t="n">
        <f aca="false">IF(O11=1,(YEAR(O6)-YEAR(①통합_가정!$E$14))*12+MONTH(O6)-MONTH(①통합_가정!$E$14)+1,0)</f>
        <v>0</v>
      </c>
      <c r="P12" s="275" t="n">
        <f aca="false">IF(P11=1,(YEAR(P6)-YEAR(①통합_가정!$E$14))*12+MONTH(P6)-MONTH(①통합_가정!$E$14)+1,0)</f>
        <v>0</v>
      </c>
      <c r="Q12" s="275" t="n">
        <f aca="false">IF(Q11=1,(YEAR(Q6)-YEAR(①통합_가정!$E$14))*12+MONTH(Q6)-MONTH(①통합_가정!$E$14)+1,0)</f>
        <v>0</v>
      </c>
      <c r="R12" s="275" t="n">
        <f aca="false">IF(R11=1,(YEAR(R6)-YEAR(①통합_가정!$E$14))*12+MONTH(R6)-MONTH(①통합_가정!$E$14)+1,0)</f>
        <v>0</v>
      </c>
      <c r="S12" s="275" t="n">
        <f aca="false">IF(S11=1,(YEAR(S6)-YEAR(①통합_가정!$E$14))*12+MONTH(S6)-MONTH(①통합_가정!$E$14)+1,0)</f>
        <v>0</v>
      </c>
      <c r="T12" s="275" t="n">
        <f aca="false">IF(T11=1,(YEAR(T6)-YEAR(①통합_가정!$E$14))*12+MONTH(T6)-MONTH(①통합_가정!$E$14)+1,0)</f>
        <v>0</v>
      </c>
      <c r="U12" s="275" t="n">
        <f aca="false">IF(U11=1,(YEAR(U6)-YEAR(①통합_가정!$E$14))*12+MONTH(U6)-MONTH(①통합_가정!$E$14)+1,0)</f>
        <v>0</v>
      </c>
      <c r="V12" s="275" t="n">
        <f aca="false">IF(V11=1,(YEAR(V6)-YEAR(①통합_가정!$E$14))*12+MONTH(V6)-MONTH(①통합_가정!$E$14)+1,0)</f>
        <v>0</v>
      </c>
      <c r="W12" s="275" t="n">
        <f aca="false">IF(W11=1,(YEAR(W6)-YEAR(①통합_가정!$E$14))*12+MONTH(W6)-MONTH(①통합_가정!$E$14)+1,0)</f>
        <v>1</v>
      </c>
      <c r="X12" s="275" t="n">
        <f aca="false">IF(X11=1,(YEAR(X6)-YEAR(①통합_가정!$E$14))*12+MONTH(X6)-MONTH(①통합_가정!$E$14)+1,0)</f>
        <v>2</v>
      </c>
      <c r="Y12" s="275" t="n">
        <f aca="false">IF(Y11=1,(YEAR(Y6)-YEAR(①통합_가정!$E$14))*12+MONTH(Y6)-MONTH(①통합_가정!$E$14)+1,0)</f>
        <v>3</v>
      </c>
      <c r="Z12" s="275" t="n">
        <f aca="false">IF(Z11=1,(YEAR(Z6)-YEAR(①통합_가정!$E$14))*12+MONTH(Z6)-MONTH(①통합_가정!$E$14)+1,0)</f>
        <v>4</v>
      </c>
      <c r="AA12" s="275" t="n">
        <f aca="false">IF(AA11=1,(YEAR(AA6)-YEAR(①통합_가정!$E$14))*12+MONTH(AA6)-MONTH(①통합_가정!$E$14)+1,0)</f>
        <v>5</v>
      </c>
      <c r="AB12" s="275" t="n">
        <f aca="false">IF(AB11=1,(YEAR(AB6)-YEAR(①통합_가정!$E$14))*12+MONTH(AB6)-MONTH(①통합_가정!$E$14)+1,0)</f>
        <v>6</v>
      </c>
      <c r="AC12" s="275" t="n">
        <f aca="false">IF(AC11=1,(YEAR(AC6)-YEAR(①통합_가정!$E$14))*12+MONTH(AC6)-MONTH(①통합_가정!$E$14)+1,0)</f>
        <v>7</v>
      </c>
      <c r="AD12" s="275" t="n">
        <f aca="false">IF(AD11=1,(YEAR(AD6)-YEAR(①통합_가정!$E$14))*12+MONTH(AD6)-MONTH(①통합_가정!$E$14)+1,0)</f>
        <v>8</v>
      </c>
      <c r="AE12" s="275" t="n">
        <f aca="false">IF(AE11=1,(YEAR(AE6)-YEAR(①통합_가정!$E$14))*12+MONTH(AE6)-MONTH(①통합_가정!$E$14)+1,0)</f>
        <v>9</v>
      </c>
      <c r="AF12" s="275" t="n">
        <f aca="false">IF(AF11=1,(YEAR(AF6)-YEAR(①통합_가정!$E$14))*12+MONTH(AF6)-MONTH(①통합_가정!$E$14)+1,0)</f>
        <v>10</v>
      </c>
      <c r="AG12" s="275" t="n">
        <f aca="false">IF(AG11=1,(YEAR(AG6)-YEAR(①통합_가정!$E$14))*12+MONTH(AG6)-MONTH(①통합_가정!$E$14)+1,0)</f>
        <v>11</v>
      </c>
      <c r="AH12" s="275" t="n">
        <f aca="false">IF(AH11=1,(YEAR(AH6)-YEAR(①통합_가정!$E$14))*12+MONTH(AH6)-MONTH(①통합_가정!$E$14)+1,0)</f>
        <v>12</v>
      </c>
      <c r="AI12" s="275" t="n">
        <f aca="false">IF(AI11=1,(YEAR(AI6)-YEAR(①통합_가정!$E$14))*12+MONTH(AI6)-MONTH(①통합_가정!$E$14)+1,0)</f>
        <v>13</v>
      </c>
      <c r="AJ12" s="275" t="n">
        <f aca="false">IF(AJ11=1,(YEAR(AJ6)-YEAR(①통합_가정!$E$14))*12+MONTH(AJ6)-MONTH(①통합_가정!$E$14)+1,0)</f>
        <v>14</v>
      </c>
      <c r="AK12" s="275" t="n">
        <f aca="false">IF(AK11=1,(YEAR(AK6)-YEAR(①통합_가정!$E$14))*12+MONTH(AK6)-MONTH(①통합_가정!$E$14)+1,0)</f>
        <v>15</v>
      </c>
      <c r="AL12" s="275" t="n">
        <f aca="false">IF(AL11=1,(YEAR(AL6)-YEAR(①통합_가정!$E$14))*12+MONTH(AL6)-MONTH(①통합_가정!$E$14)+1,0)</f>
        <v>16</v>
      </c>
      <c r="AM12" s="275" t="n">
        <f aca="false">IF(AM11=1,(YEAR(AM6)-YEAR(①통합_가정!$E$14))*12+MONTH(AM6)-MONTH(①통합_가정!$E$14)+1,0)</f>
        <v>17</v>
      </c>
      <c r="AN12" s="275" t="n">
        <f aca="false">IF(AN11=1,(YEAR(AN6)-YEAR(①통합_가정!$E$14))*12+MONTH(AN6)-MONTH(①통합_가정!$E$14)+1,0)</f>
        <v>18</v>
      </c>
      <c r="AO12" s="275" t="n">
        <f aca="false">IF(AO11=1,(YEAR(AO6)-YEAR(①통합_가정!$E$14))*12+MONTH(AO6)-MONTH(①통합_가정!$E$14)+1,0)</f>
        <v>19</v>
      </c>
      <c r="AP12" s="275" t="n">
        <f aca="false">IF(AP11=1,(YEAR(AP6)-YEAR(①통합_가정!$E$14))*12+MONTH(AP6)-MONTH(①통합_가정!$E$14)+1,0)</f>
        <v>20</v>
      </c>
      <c r="AQ12" s="275" t="n">
        <f aca="false">IF(AQ11=1,(YEAR(AQ6)-YEAR(①통합_가정!$E$14))*12+MONTH(AQ6)-MONTH(①통합_가정!$E$14)+1,0)</f>
        <v>21</v>
      </c>
      <c r="AR12" s="275" t="n">
        <f aca="false">IF(AR11=1,(YEAR(AR6)-YEAR(①통합_가정!$E$14))*12+MONTH(AR6)-MONTH(①통합_가정!$E$14)+1,0)</f>
        <v>22</v>
      </c>
      <c r="AS12" s="275" t="n">
        <f aca="false">IF(AS11=1,(YEAR(AS6)-YEAR(①통합_가정!$E$14))*12+MONTH(AS6)-MONTH(①통합_가정!$E$14)+1,0)</f>
        <v>23</v>
      </c>
      <c r="AT12" s="275" t="n">
        <f aca="false">IF(AT11=1,(YEAR(AT6)-YEAR(①통합_가정!$E$14))*12+MONTH(AT6)-MONTH(①통합_가정!$E$14)+1,0)</f>
        <v>24</v>
      </c>
      <c r="AU12" s="275" t="n">
        <f aca="false">IF(AU11=1,(YEAR(AU6)-YEAR(①통합_가정!$E$14))*12+MONTH(AU6)-MONTH(①통합_가정!$E$14)+1,0)</f>
        <v>25</v>
      </c>
      <c r="AV12" s="275" t="n">
        <f aca="false">IF(AV11=1,(YEAR(AV6)-YEAR(①통합_가정!$E$14))*12+MONTH(AV6)-MONTH(①통합_가정!$E$14)+1,0)</f>
        <v>26</v>
      </c>
      <c r="AW12" s="275" t="n">
        <f aca="false">IF(AW11=1,(YEAR(AW6)-YEAR(①통합_가정!$E$14))*12+MONTH(AW6)-MONTH(①통합_가정!$E$14)+1,0)</f>
        <v>27</v>
      </c>
      <c r="AX12" s="275" t="n">
        <f aca="false">IF(AX11=1,(YEAR(AX6)-YEAR(①통합_가정!$E$14))*12+MONTH(AX6)-MONTH(①통합_가정!$E$14)+1,0)</f>
        <v>28</v>
      </c>
      <c r="AY12" s="275" t="n">
        <f aca="false">IF(AY11=1,(YEAR(AY6)-YEAR(①통합_가정!$E$14))*12+MONTH(AY6)-MONTH(①통합_가정!$E$14)+1,0)</f>
        <v>29</v>
      </c>
      <c r="AZ12" s="275" t="n">
        <f aca="false">IF(AZ11=1,(YEAR(AZ6)-YEAR(①통합_가정!$E$14))*12+MONTH(AZ6)-MONTH(①통합_가정!$E$14)+1,0)</f>
        <v>30</v>
      </c>
      <c r="BA12" s="275" t="n">
        <f aca="false">IF(BA11=1,(YEAR(BA6)-YEAR(①통합_가정!$E$14))*12+MONTH(BA6)-MONTH(①통합_가정!$E$14)+1,0)</f>
        <v>31</v>
      </c>
      <c r="BB12" s="275" t="n">
        <f aca="false">IF(BB11=1,(YEAR(BB6)-YEAR(①통합_가정!$E$14))*12+MONTH(BB6)-MONTH(①통합_가정!$E$14)+1,0)</f>
        <v>32</v>
      </c>
      <c r="BC12" s="275" t="n">
        <f aca="false">IF(BC11=1,(YEAR(BC6)-YEAR(①통합_가정!$E$14))*12+MONTH(BC6)-MONTH(①통합_가정!$E$14)+1,0)</f>
        <v>33</v>
      </c>
      <c r="BD12" s="275" t="n">
        <f aca="false">IF(BD11=1,(YEAR(BD6)-YEAR(①통합_가정!$E$14))*12+MONTH(BD6)-MONTH(①통합_가정!$E$14)+1,0)</f>
        <v>34</v>
      </c>
      <c r="BE12" s="275" t="n">
        <f aca="false">IF(BE11=1,(YEAR(BE6)-YEAR(①통합_가정!$E$14))*12+MONTH(BE6)-MONTH(①통합_가정!$E$14)+1,0)</f>
        <v>35</v>
      </c>
      <c r="BF12" s="275" t="n">
        <f aca="false">IF(BF11=1,(YEAR(BF6)-YEAR(①통합_가정!$E$14))*12+MONTH(BF6)-MONTH(①통합_가정!$E$14)+1,0)</f>
        <v>36</v>
      </c>
      <c r="BG12" s="275" t="n">
        <f aca="false">IF(BG11=1,(YEAR(BG6)-YEAR(①통합_가정!$E$14))*12+MONTH(BG6)-MONTH(①통합_가정!$E$14)+1,0)</f>
        <v>37</v>
      </c>
      <c r="BH12" s="275" t="n">
        <f aca="false">IF(BH11=1,(YEAR(BH6)-YEAR(①통합_가정!$E$14))*12+MONTH(BH6)-MONTH(①통합_가정!$E$14)+1,0)</f>
        <v>38</v>
      </c>
      <c r="BI12" s="275" t="n">
        <f aca="false">IF(BI11=1,(YEAR(BI6)-YEAR(①통합_가정!$E$14))*12+MONTH(BI6)-MONTH(①통합_가정!$E$14)+1,0)</f>
        <v>39</v>
      </c>
      <c r="BJ12" s="275" t="n">
        <f aca="false">IF(BJ11=1,(YEAR(BJ6)-YEAR(①통합_가정!$E$14))*12+MONTH(BJ6)-MONTH(①통합_가정!$E$14)+1,0)</f>
        <v>40</v>
      </c>
      <c r="BK12" s="275" t="n">
        <f aca="false">IF(BK11=1,(YEAR(BK6)-YEAR(①통합_가정!$E$14))*12+MONTH(BK6)-MONTH(①통합_가정!$E$14)+1,0)</f>
        <v>41</v>
      </c>
      <c r="BL12" s="275" t="n">
        <f aca="false">IF(BL11=1,(YEAR(BL6)-YEAR(①통합_가정!$E$14))*12+MONTH(BL6)-MONTH(①통합_가정!$E$14)+1,0)</f>
        <v>42</v>
      </c>
      <c r="BM12" s="275" t="n">
        <f aca="false">IF(BM11=1,(YEAR(BM6)-YEAR(①통합_가정!$E$14))*12+MONTH(BM6)-MONTH(①통합_가정!$E$14)+1,0)</f>
        <v>0</v>
      </c>
      <c r="BN12" s="275" t="n">
        <f aca="false">IF(BN11=1,(YEAR(BN6)-YEAR(①통합_가정!$E$14))*12+MONTH(BN6)-MONTH(①통합_가정!$E$14)+1,0)</f>
        <v>0</v>
      </c>
      <c r="BO12" s="275" t="n">
        <f aca="false">IF(BO11=1,(YEAR(BO6)-YEAR(①통합_가정!$E$14))*12+MONTH(BO6)-MONTH(①통합_가정!$E$14)+1,0)</f>
        <v>0</v>
      </c>
      <c r="BP12" s="275" t="n">
        <f aca="false">IF(BP11=1,(YEAR(BP6)-YEAR(①통합_가정!$E$14))*12+MONTH(BP6)-MONTH(①통합_가정!$E$14)+1,0)</f>
        <v>0</v>
      </c>
      <c r="BQ12" s="275" t="n">
        <f aca="false">IF(BQ11=1,(YEAR(BQ6)-YEAR(①통합_가정!$E$14))*12+MONTH(BQ6)-MONTH(①통합_가정!$E$14)+1,0)</f>
        <v>0</v>
      </c>
      <c r="BR12" s="275" t="n">
        <f aca="false">IF(BR11=1,(YEAR(BR6)-YEAR(①통합_가정!$E$14))*12+MONTH(BR6)-MONTH(①통합_가정!$E$14)+1,0)</f>
        <v>0</v>
      </c>
      <c r="BS12" s="275" t="n">
        <f aca="false">IF(BS11=1,(YEAR(BS6)-YEAR(①통합_가정!$E$14))*12+MONTH(BS6)-MONTH(①통합_가정!$E$14)+1,0)</f>
        <v>0</v>
      </c>
      <c r="BT12" s="275" t="n">
        <f aca="false">IF(BT11=1,(YEAR(BT6)-YEAR(①통합_가정!$E$14))*12+MONTH(BT6)-MONTH(①통합_가정!$E$14)+1,0)</f>
        <v>0</v>
      </c>
      <c r="BU12" s="275" t="n">
        <f aca="false">IF(BU11=1,(YEAR(BU6)-YEAR(①통합_가정!$E$14))*12+MONTH(BU6)-MONTH(①통합_가정!$E$14)+1,0)</f>
        <v>0</v>
      </c>
      <c r="BV12" s="275" t="n">
        <f aca="false">IF(BV11=1,(YEAR(BV6)-YEAR(①통합_가정!$E$14))*12+MONTH(BV6)-MONTH(①통합_가정!$E$14)+1,0)</f>
        <v>0</v>
      </c>
      <c r="BW12" s="275" t="n">
        <f aca="false">IF(BW11=1,(YEAR(BW6)-YEAR(①통합_가정!$E$14))*12+MONTH(BW6)-MONTH(①통합_가정!$E$14)+1,0)</f>
        <v>0</v>
      </c>
      <c r="BX12" s="275" t="n">
        <f aca="false">IF(BX11=1,(YEAR(BX6)-YEAR(①통합_가정!$E$14))*12+MONTH(BX6)-MONTH(①통합_가정!$E$14)+1,0)</f>
        <v>0</v>
      </c>
      <c r="BY12" s="275" t="n">
        <f aca="false">IF(BY11=1,(YEAR(BY6)-YEAR(①통합_가정!$E$14))*12+MONTH(BY6)-MONTH(①통합_가정!$E$14)+1,0)</f>
        <v>0</v>
      </c>
      <c r="BZ12" s="275" t="n">
        <f aca="false">IF(BZ11=1,(YEAR(BZ6)-YEAR(①통합_가정!$E$14))*12+MONTH(BZ6)-MONTH(①통합_가정!$E$14)+1,0)</f>
        <v>0</v>
      </c>
      <c r="CA12" s="275" t="n">
        <f aca="false">IF(CA11=1,(YEAR(CA6)-YEAR(①통합_가정!$E$14))*12+MONTH(CA6)-MONTH(①통합_가정!$E$14)+1,0)</f>
        <v>0</v>
      </c>
      <c r="CB12" s="275" t="n">
        <f aca="false">IF(CB11=1,(YEAR(CB6)-YEAR(①통합_가정!$E$14))*12+MONTH(CB6)-MONTH(①통합_가정!$E$14)+1,0)</f>
        <v>0</v>
      </c>
      <c r="CC12" s="275" t="n">
        <f aca="false">IF(CC11=1,(YEAR(CC6)-YEAR(①통합_가정!$E$14))*12+MONTH(CC6)-MONTH(①통합_가정!$E$14)+1,0)</f>
        <v>0</v>
      </c>
      <c r="CD12" s="275" t="n">
        <f aca="false">IF(CD11=1,(YEAR(CD6)-YEAR(①통합_가정!$E$14))*12+MONTH(CD6)-MONTH(①통합_가정!$E$14)+1,0)</f>
        <v>0</v>
      </c>
      <c r="CE12" s="275" t="n">
        <f aca="false">IF(CE11=1,(YEAR(CE6)-YEAR(①통합_가정!$E$14))*12+MONTH(CE6)-MONTH(①통합_가정!$E$14)+1,0)</f>
        <v>0</v>
      </c>
      <c r="CF12" s="275" t="n">
        <f aca="false">IF(CF11=1,(YEAR(CF6)-YEAR(①통합_가정!$E$14))*12+MONTH(CF6)-MONTH(①통합_가정!$E$14)+1,0)</f>
        <v>0</v>
      </c>
      <c r="CG12" s="275" t="n">
        <f aca="false">IF(CG11=1,(YEAR(CG6)-YEAR(①통합_가정!$E$14))*12+MONTH(CG6)-MONTH(①통합_가정!$E$14)+1,0)</f>
        <v>0</v>
      </c>
      <c r="CH12" s="275" t="n">
        <f aca="false">IF(CH11=1,(YEAR(CH6)-YEAR(①통합_가정!$E$14))*12+MONTH(CH6)-MONTH(①통합_가정!$E$14)+1,0)</f>
        <v>0</v>
      </c>
      <c r="CI12" s="275" t="n">
        <f aca="false">IF(CI11=1,(YEAR(CI6)-YEAR(①통합_가정!$E$14))*12+MONTH(CI6)-MONTH(①통합_가정!$E$14)+1,0)</f>
        <v>0</v>
      </c>
      <c r="CJ12" s="275" t="n">
        <f aca="false">IF(CJ11=1,(YEAR(CJ6)-YEAR(①통합_가정!$E$14))*12+MONTH(CJ6)-MONTH(①통합_가정!$E$14)+1,0)</f>
        <v>0</v>
      </c>
      <c r="CK12" s="275" t="n">
        <f aca="false">IF(CK11=1,(YEAR(CK6)-YEAR(①통합_가정!$E$14))*12+MONTH(CK6)-MONTH(①통합_가정!$E$14)+1,0)</f>
        <v>0</v>
      </c>
      <c r="CL12" s="275" t="n">
        <f aca="false">IF(CL11=1,(YEAR(CL6)-YEAR(①통합_가정!$E$14))*12+MONTH(CL6)-MONTH(①통합_가정!$E$14)+1,0)</f>
        <v>0</v>
      </c>
      <c r="CM12" s="275" t="n">
        <f aca="false">IF(CM11=1,(YEAR(CM6)-YEAR(①통합_가정!$E$14))*12+MONTH(CM6)-MONTH(①통합_가정!$E$14)+1,0)</f>
        <v>0</v>
      </c>
      <c r="CN12" s="275" t="n">
        <f aca="false">IF(CN11=1,(YEAR(CN6)-YEAR(①통합_가정!$E$14))*12+MONTH(CN6)-MONTH(①통합_가정!$E$14)+1,0)</f>
        <v>0</v>
      </c>
      <c r="CO12" s="275" t="n">
        <f aca="false">IF(CO11=1,(YEAR(CO6)-YEAR(①통합_가정!$E$14))*12+MONTH(CO6)-MONTH(①통합_가정!$E$14)+1,0)</f>
        <v>0</v>
      </c>
      <c r="CP12" s="275" t="n">
        <f aca="false">IF(CP11=1,(YEAR(CP6)-YEAR(①통합_가정!$E$14))*12+MONTH(CP6)-MONTH(①통합_가정!$E$14)+1,0)</f>
        <v>0</v>
      </c>
      <c r="CQ12" s="275" t="n">
        <f aca="false">IF(CQ11=1,(YEAR(CQ6)-YEAR(①통합_가정!$E$14))*12+MONTH(CQ6)-MONTH(①통합_가정!$E$14)+1,0)</f>
        <v>0</v>
      </c>
      <c r="CR12" s="275" t="n">
        <f aca="false">IF(CR11=1,(YEAR(CR6)-YEAR(①통합_가정!$E$14))*12+MONTH(CR6)-MONTH(①통합_가정!$E$14)+1,0)</f>
        <v>0</v>
      </c>
      <c r="CS12" s="275" t="n">
        <f aca="false">IF(CS11=1,(YEAR(CS6)-YEAR(①통합_가정!$E$14))*12+MONTH(CS6)-MONTH(①통합_가정!$E$14)+1,0)</f>
        <v>0</v>
      </c>
      <c r="CT12" s="275" t="n">
        <f aca="false">IF(CT11=1,(YEAR(CT6)-YEAR(①통합_가정!$E$14))*12+MONTH(CT6)-MONTH(①통합_가정!$E$14)+1,0)</f>
        <v>0</v>
      </c>
      <c r="CU12" s="275" t="n">
        <f aca="false">IF(CU11=1,(YEAR(CU6)-YEAR(①통합_가정!$E$14))*12+MONTH(CU6)-MONTH(①통합_가정!$E$14)+1,0)</f>
        <v>0</v>
      </c>
      <c r="CV12" s="275" t="n">
        <f aca="false">IF(CV11=1,(YEAR(CV6)-YEAR(①통합_가정!$E$14))*12+MONTH(CV6)-MONTH(①통합_가정!$E$14)+1,0)</f>
        <v>0</v>
      </c>
      <c r="CW12" s="275" t="n">
        <f aca="false">IF(CW11=1,(YEAR(CW6)-YEAR(①통합_가정!$E$14))*12+MONTH(CW6)-MONTH(①통합_가정!$E$14)+1,0)</f>
        <v>0</v>
      </c>
      <c r="CX12" s="275" t="n">
        <f aca="false">IF(CX11=1,(YEAR(CX6)-YEAR(①통합_가정!$E$14))*12+MONTH(CX6)-MONTH(①통합_가정!$E$14)+1,0)</f>
        <v>0</v>
      </c>
      <c r="CY12" s="275" t="n">
        <f aca="false">IF(CY11=1,(YEAR(CY6)-YEAR(①통합_가정!$E$14))*12+MONTH(CY6)-MONTH(①통합_가정!$E$14)+1,0)</f>
        <v>0</v>
      </c>
      <c r="CZ12" s="275" t="n">
        <f aca="false">IF(CZ11=1,(YEAR(CZ6)-YEAR(①통합_가정!$E$14))*12+MONTH(CZ6)-MONTH(①통합_가정!$E$14)+1,0)</f>
        <v>0</v>
      </c>
      <c r="DA12" s="275" t="n">
        <f aca="false">IF(DA11=1,(YEAR(DA6)-YEAR(①통합_가정!$E$14))*12+MONTH(DA6)-MONTH(①통합_가정!$E$14)+1,0)</f>
        <v>0</v>
      </c>
      <c r="DB12" s="275" t="n">
        <f aca="false">IF(DB11=1,(YEAR(DB6)-YEAR(①통합_가정!$E$14))*12+MONTH(DB6)-MONTH(①통합_가정!$E$14)+1,0)</f>
        <v>0</v>
      </c>
      <c r="DC12" s="275" t="n">
        <f aca="false">IF(DC11=1,(YEAR(DC6)-YEAR(①통합_가정!$E$14))*12+MONTH(DC6)-MONTH(①통합_가정!$E$14)+1,0)</f>
        <v>0</v>
      </c>
      <c r="DD12" s="275" t="n">
        <f aca="false">IF(DD11=1,(YEAR(DD6)-YEAR(①통합_가정!$E$14))*12+MONTH(DD6)-MONTH(①통합_가정!$E$14)+1,0)</f>
        <v>0</v>
      </c>
      <c r="DE12" s="275" t="n">
        <f aca="false">IF(DE11=1,(YEAR(DE6)-YEAR(①통합_가정!$E$14))*12+MONTH(DE6)-MONTH(①통합_가정!$E$14)+1,0)</f>
        <v>0</v>
      </c>
      <c r="DF12" s="275" t="n">
        <f aca="false">IF(DF11=1,(YEAR(DF6)-YEAR(①통합_가정!$E$14))*12+MONTH(DF6)-MONTH(①통합_가정!$E$14)+1,0)</f>
        <v>0</v>
      </c>
      <c r="DG12" s="275" t="n">
        <f aca="false">IF(DG11=1,(YEAR(DG6)-YEAR(①통합_가정!$E$14))*12+MONTH(DG6)-MONTH(①통합_가정!$E$14)+1,0)</f>
        <v>0</v>
      </c>
      <c r="DH12" s="275" t="n">
        <f aca="false">IF(DH11=1,(YEAR(DH6)-YEAR(①통합_가정!$E$14))*12+MONTH(DH6)-MONTH(①통합_가정!$E$14)+1,0)</f>
        <v>0</v>
      </c>
      <c r="DI12" s="275" t="n">
        <f aca="false">IF(DI11=1,(YEAR(DI6)-YEAR(①통합_가정!$E$14))*12+MONTH(DI6)-MONTH(①통합_가정!$E$14)+1,0)</f>
        <v>0</v>
      </c>
      <c r="DJ12" s="275" t="n">
        <f aca="false">IF(DJ11=1,(YEAR(DJ6)-YEAR(①통합_가정!$E$14))*12+MONTH(DJ6)-MONTH(①통합_가정!$E$14)+1,0)</f>
        <v>0</v>
      </c>
      <c r="DK12" s="275" t="n">
        <f aca="false">IF(DK11=1,(YEAR(DK6)-YEAR(①통합_가정!$E$14))*12+MONTH(DK6)-MONTH(①통합_가정!$E$14)+1,0)</f>
        <v>0</v>
      </c>
      <c r="DL12" s="275" t="n">
        <f aca="false">IF(DL11=1,(YEAR(DL6)-YEAR(①통합_가정!$E$14))*12+MONTH(DL6)-MONTH(①통합_가정!$E$14)+1,0)</f>
        <v>0</v>
      </c>
      <c r="DM12" s="275" t="n">
        <f aca="false">IF(DM11=1,(YEAR(DM6)-YEAR(①통합_가정!$E$14))*12+MONTH(DM6)-MONTH(①통합_가정!$E$14)+1,0)</f>
        <v>0</v>
      </c>
      <c r="DN12" s="275" t="n">
        <f aca="false">IF(DN11=1,(YEAR(DN6)-YEAR(①통합_가정!$E$14))*12+MONTH(DN6)-MONTH(①통합_가정!$E$14)+1,0)</f>
        <v>0</v>
      </c>
      <c r="DO12" s="275" t="n">
        <f aca="false">IF(DO11=1,(YEAR(DO6)-YEAR(①통합_가정!$E$14))*12+MONTH(DO6)-MONTH(①통합_가정!$E$14)+1,0)</f>
        <v>0</v>
      </c>
      <c r="DP12" s="275" t="n">
        <f aca="false">IF(DP11=1,(YEAR(DP6)-YEAR(①통합_가정!$E$14))*12+MONTH(DP6)-MONTH(①통합_가정!$E$14)+1,0)</f>
        <v>0</v>
      </c>
      <c r="DQ12" s="275" t="n">
        <f aca="false">IF(DQ11=1,(YEAR(DQ6)-YEAR(①통합_가정!$E$14))*12+MONTH(DQ6)-MONTH(①통합_가정!$E$14)+1,0)</f>
        <v>0</v>
      </c>
      <c r="DR12" s="275" t="n">
        <f aca="false">IF(DR11=1,(YEAR(DR6)-YEAR(①통합_가정!$E$14))*12+MONTH(DR6)-MONTH(①통합_가정!$E$14)+1,0)</f>
        <v>0</v>
      </c>
      <c r="DS12" s="275" t="n">
        <f aca="false">IF(DS11=1,(YEAR(DS6)-YEAR(①통합_가정!$E$14))*12+MONTH(DS6)-MONTH(①통합_가정!$E$14)+1,0)</f>
        <v>0</v>
      </c>
      <c r="DT12" s="275" t="n">
        <f aca="false">IF(DT11=1,(YEAR(DT6)-YEAR(①통합_가정!$E$14))*12+MONTH(DT6)-MONTH(①통합_가정!$E$14)+1,0)</f>
        <v>0</v>
      </c>
      <c r="DU12" s="275" t="n">
        <f aca="false">IF(DU11=1,(YEAR(DU6)-YEAR(①통합_가정!$E$14))*12+MONTH(DU6)-MONTH(①통합_가정!$E$14)+1,0)</f>
        <v>0</v>
      </c>
      <c r="DV12" s="275" t="n">
        <f aca="false">IF(DV11=1,(YEAR(DV6)-YEAR(①통합_가정!$E$14))*12+MONTH(DV6)-MONTH(①통합_가정!$E$14)+1,0)</f>
        <v>0</v>
      </c>
      <c r="DW12" s="275" t="n">
        <f aca="false">IF(DW11=1,(YEAR(DW6)-YEAR(①통합_가정!$E$14))*12+MONTH(DW6)-MONTH(①통합_가정!$E$14)+1,0)</f>
        <v>0</v>
      </c>
      <c r="DX12" s="275" t="n">
        <f aca="false">IF(DX11=1,(YEAR(DX6)-YEAR(①통합_가정!$E$14))*12+MONTH(DX6)-MONTH(①통합_가정!$E$14)+1,0)</f>
        <v>0</v>
      </c>
      <c r="DY12" s="275" t="n">
        <f aca="false">IF(DY11=1,(YEAR(DY6)-YEAR(①통합_가정!$E$14))*12+MONTH(DY6)-MONTH(①통합_가정!$E$14)+1,0)</f>
        <v>0</v>
      </c>
      <c r="DZ12" s="275" t="n">
        <f aca="false">IF(DZ11=1,(YEAR(DZ6)-YEAR(①통합_가정!$E$14))*12+MONTH(DZ6)-MONTH(①통합_가정!$E$14)+1,0)</f>
        <v>0</v>
      </c>
      <c r="EA12" s="275" t="n">
        <f aca="false">IF(EA11=1,(YEAR(EA6)-YEAR(①통합_가정!$E$14))*12+MONTH(EA6)-MONTH(①통합_가정!$E$14)+1,0)</f>
        <v>0</v>
      </c>
      <c r="EB12" s="275" t="n">
        <f aca="false">IF(EB11=1,(YEAR(EB6)-YEAR(①통합_가정!$E$14))*12+MONTH(EB6)-MONTH(①통합_가정!$E$14)+1,0)</f>
        <v>0</v>
      </c>
      <c r="EC12" s="275" t="n">
        <f aca="false">IF(EC11=1,(YEAR(EC6)-YEAR(①통합_가정!$E$14))*12+MONTH(EC6)-MONTH(①통합_가정!$E$14)+1,0)</f>
        <v>0</v>
      </c>
      <c r="ED12" s="275" t="n">
        <f aca="false">IF(ED11=1,(YEAR(ED6)-YEAR(①통합_가정!$E$14))*12+MONTH(ED6)-MONTH(①통합_가정!$E$14)+1,0)</f>
        <v>0</v>
      </c>
      <c r="EE12" s="275" t="n">
        <f aca="false">IF(EE11=1,(YEAR(EE6)-YEAR(①통합_가정!$E$14))*12+MONTH(EE6)-MONTH(①통합_가정!$E$14)+1,0)</f>
        <v>0</v>
      </c>
      <c r="EF12" s="275" t="n">
        <f aca="false">IF(EF11=1,(YEAR(EF6)-YEAR(①통합_가정!$E$14))*12+MONTH(EF6)-MONTH(①통합_가정!$E$14)+1,0)</f>
        <v>0</v>
      </c>
    </row>
    <row r="13" customFormat="false" ht="15" hidden="false" customHeight="false" outlineLevel="0" collapsed="false">
      <c r="A13" s="153" t="s">
        <v>569</v>
      </c>
      <c r="B13" s="273" t="s">
        <v>16</v>
      </c>
      <c r="C13" s="277" t="n">
        <f aca="false">SUM(E13:EF13)</f>
        <v>1</v>
      </c>
      <c r="E13" s="194" t="n">
        <f aca="false">IF(E12&gt;0,(COS(PI()*(E12-1)/①통합_가정!$E$15)-COS(PI()*E12/①통합_가정!$E$15))/2,0)</f>
        <v>0</v>
      </c>
      <c r="F13" s="194" t="n">
        <f aca="false">IF(F12&gt;0,(COS(PI()*(F12-1)/①통합_가정!$E$15)-COS(PI()*F12/①통합_가정!$E$15))/2,0)</f>
        <v>0</v>
      </c>
      <c r="G13" s="194" t="n">
        <f aca="false">IF(G12&gt;0,(COS(PI()*(G12-1)/①통합_가정!$E$15)-COS(PI()*G12/①통합_가정!$E$15))/2,0)</f>
        <v>0</v>
      </c>
      <c r="H13" s="194" t="n">
        <f aca="false">IF(H12&gt;0,(COS(PI()*(H12-1)/①통합_가정!$E$15)-COS(PI()*H12/①통합_가정!$E$15))/2,0)</f>
        <v>0</v>
      </c>
      <c r="I13" s="194" t="n">
        <f aca="false">IF(I12&gt;0,(COS(PI()*(I12-1)/①통합_가정!$E$15)-COS(PI()*I12/①통합_가정!$E$15))/2,0)</f>
        <v>0</v>
      </c>
      <c r="J13" s="194" t="n">
        <f aca="false">IF(J12&gt;0,(COS(PI()*(J12-1)/①통합_가정!$E$15)-COS(PI()*J12/①통합_가정!$E$15))/2,0)</f>
        <v>0</v>
      </c>
      <c r="K13" s="194" t="n">
        <f aca="false">IF(K12&gt;0,(COS(PI()*(K12-1)/①통합_가정!$E$15)-COS(PI()*K12/①통합_가정!$E$15))/2,0)</f>
        <v>0</v>
      </c>
      <c r="L13" s="194" t="n">
        <f aca="false">IF(L12&gt;0,(COS(PI()*(L12-1)/①통합_가정!$E$15)-COS(PI()*L12/①통합_가정!$E$15))/2,0)</f>
        <v>0</v>
      </c>
      <c r="M13" s="194" t="n">
        <f aca="false">IF(M12&gt;0,(COS(PI()*(M12-1)/①통합_가정!$E$15)-COS(PI()*M12/①통합_가정!$E$15))/2,0)</f>
        <v>0</v>
      </c>
      <c r="N13" s="194" t="n">
        <f aca="false">IF(N12&gt;0,(COS(PI()*(N12-1)/①통합_가정!$E$15)-COS(PI()*N12/①통합_가정!$E$15))/2,0)</f>
        <v>0</v>
      </c>
      <c r="O13" s="194" t="n">
        <f aca="false">IF(O12&gt;0,(COS(PI()*(O12-1)/①통합_가정!$E$15)-COS(PI()*O12/①통합_가정!$E$15))/2,0)</f>
        <v>0</v>
      </c>
      <c r="P13" s="194" t="n">
        <f aca="false">IF(P12&gt;0,(COS(PI()*(P12-1)/①통합_가정!$E$15)-COS(PI()*P12/①통합_가정!$E$15))/2,0)</f>
        <v>0</v>
      </c>
      <c r="Q13" s="194" t="n">
        <f aca="false">IF(Q12&gt;0,(COS(PI()*(Q12-1)/①통합_가정!$E$15)-COS(PI()*Q12/①통합_가정!$E$15))/2,0)</f>
        <v>0</v>
      </c>
      <c r="R13" s="194" t="n">
        <f aca="false">IF(R12&gt;0,(COS(PI()*(R12-1)/①통합_가정!$E$15)-COS(PI()*R12/①통합_가정!$E$15))/2,0)</f>
        <v>0</v>
      </c>
      <c r="S13" s="194" t="n">
        <f aca="false">IF(S12&gt;0,(COS(PI()*(S12-1)/①통합_가정!$E$15)-COS(PI()*S12/①통합_가정!$E$15))/2,0)</f>
        <v>0</v>
      </c>
      <c r="T13" s="194" t="n">
        <f aca="false">IF(T12&gt;0,(COS(PI()*(T12-1)/①통합_가정!$E$15)-COS(PI()*T12/①통합_가정!$E$15))/2,0)</f>
        <v>0</v>
      </c>
      <c r="U13" s="194" t="n">
        <f aca="false">IF(U12&gt;0,(COS(PI()*(U12-1)/①통합_가정!$E$15)-COS(PI()*U12/①통합_가정!$E$15))/2,0)</f>
        <v>0</v>
      </c>
      <c r="V13" s="194" t="n">
        <f aca="false">IF(V12&gt;0,(COS(PI()*(V12-1)/①통합_가정!$E$15)-COS(PI()*V12/①통합_가정!$E$15))/2,0)</f>
        <v>0</v>
      </c>
      <c r="W13" s="194" t="n">
        <f aca="false">IF(W12&gt;0,(COS(PI()*(W12-1)/①통합_가정!$E$15)-COS(PI()*W12/①통합_가정!$E$15))/2,0)</f>
        <v>0.00139810140940994</v>
      </c>
      <c r="X13" s="194" t="n">
        <f aca="false">IF(X12&gt;0,(COS(PI()*(X12-1)/①통합_가정!$E$15)-COS(PI()*X12/①통합_가정!$E$15))/2,0)</f>
        <v>0.0041864854780258</v>
      </c>
      <c r="Y13" s="194" t="n">
        <f aca="false">IF(Y12&gt;0,(COS(PI()*(Y12-1)/①통합_가정!$E$15)-COS(PI()*Y12/①통합_가정!$E$15))/2,0)</f>
        <v>0.00695145702165245</v>
      </c>
      <c r="Z13" s="194" t="n">
        <f aca="false">IF(Z12&gt;0,(COS(PI()*(Z12-1)/①통합_가정!$E$15)-COS(PI()*Z12/①통합_가정!$E$15))/2,0)</f>
        <v>0.00967755319784147</v>
      </c>
      <c r="AA13" s="194" t="n">
        <f aca="false">IF(AA12&gt;0,(COS(PI()*(AA12-1)/①통합_가정!$E$15)-COS(PI()*AA12/①통합_가정!$E$15))/2,0)</f>
        <v>0.0123495285709682</v>
      </c>
      <c r="AB13" s="194" t="n">
        <f aca="false">IF(AB12&gt;0,(COS(PI()*(AB12-1)/①통합_가정!$E$15)-COS(PI()*AB12/①통합_가정!$E$15))/2,0)</f>
        <v>0.0149524403708926</v>
      </c>
      <c r="AC13" s="194" t="n">
        <f aca="false">IF(AC12&gt;0,(COS(PI()*(AC12-1)/①통합_가정!$E$15)-COS(PI()*AC12/①통합_가정!$E$15))/2,0)</f>
        <v>0.0174717320589902</v>
      </c>
      <c r="AD13" s="194" t="n">
        <f aca="false">IF(AD12&gt;0,(COS(PI()*(AD12-1)/①통합_가정!$E$15)-COS(PI()*AD12/①통합_가정!$E$15))/2,0)</f>
        <v>0.0198933147342219</v>
      </c>
      <c r="AE13" s="194" t="n">
        <f aca="false">IF(AE12&gt;0,(COS(PI()*(AE12-1)/①통합_가정!$E$15)-COS(PI()*AE12/①통합_가정!$E$15))/2,0)</f>
        <v>0.0222036459239826</v>
      </c>
      <c r="AF13" s="194" t="n">
        <f aca="false">IF(AF12&gt;0,(COS(PI()*(AF12-1)/①통합_가정!$E$15)-COS(PI()*AF12/①통합_가정!$E$15))/2,0)</f>
        <v>0.0243898053191017</v>
      </c>
      <c r="AG13" s="194" t="n">
        <f aca="false">IF(AG12&gt;0,(COS(PI()*(AG12-1)/①통합_가정!$E$15)-COS(PI()*AG12/①통합_가정!$E$15))/2,0)</f>
        <v>0.0264395670294534</v>
      </c>
      <c r="AH13" s="194" t="n">
        <f aca="false">IF(AH12&gt;0,(COS(PI()*(AH12-1)/①통합_가정!$E$15)-COS(PI()*AH12/①통합_가정!$E$15))/2,0)</f>
        <v>0.0283414679560929</v>
      </c>
      <c r="AI13" s="194" t="n">
        <f aca="false">IF(AI12&gt;0,(COS(PI()*(AI12-1)/①통합_가정!$E$15)-COS(PI()*AI12/①통합_가정!$E$15))/2,0)</f>
        <v>0.0300848718975558</v>
      </c>
      <c r="AJ13" s="194" t="n">
        <f aca="false">IF(AJ12&gt;0,(COS(PI()*(AJ12-1)/①통합_가정!$E$15)-COS(PI()*AJ12/①통합_가정!$E$15))/2,0)</f>
        <v>0.0316600290318109</v>
      </c>
      <c r="AK13" s="194" t="n">
        <f aca="false">IF(AK12&gt;0,(COS(PI()*(AK12-1)/①통합_가정!$E$15)-COS(PI()*AK12/①통합_가정!$E$15))/2,0)</f>
        <v>0.033058130441221</v>
      </c>
      <c r="AL13" s="194" t="n">
        <f aca="false">IF(AL12&gt;0,(COS(PI()*(AL12-1)/①통합_가정!$E$15)-COS(PI()*AL12/①통합_가정!$E$15))/2,0)</f>
        <v>0.0342713573755816</v>
      </c>
      <c r="AM13" s="194" t="n">
        <f aca="false">IF(AM12&gt;0,(COS(PI()*(AM12-1)/①통합_가정!$E$15)-COS(PI()*AM12/①통합_가정!$E$15))/2,0)</f>
        <v>0.0352929249777454</v>
      </c>
      <c r="AN13" s="194" t="n">
        <f aca="false">IF(AN12&gt;0,(COS(PI()*(AN12-1)/①통합_가정!$E$15)-COS(PI()*AN12/①통합_가정!$E$15))/2,0)</f>
        <v>0.0361171202272948</v>
      </c>
      <c r="AO13" s="194" t="n">
        <f aca="false">IF(AO12&gt;0,(COS(PI()*(AO12-1)/①통합_가정!$E$15)-COS(PI()*AO12/①통합_가정!$E$15))/2,0)</f>
        <v>0.0367393338900699</v>
      </c>
      <c r="AP13" s="194" t="n">
        <f aca="false">IF(AP12&gt;0,(COS(PI()*(AP12-1)/①통합_가정!$E$15)-COS(PI()*AP12/①통합_가정!$E$15))/2,0)</f>
        <v>0.0371560862948751</v>
      </c>
      <c r="AQ13" s="194" t="n">
        <f aca="false">IF(AQ12&gt;0,(COS(PI()*(AQ12-1)/①통합_가정!$E$15)-COS(PI()*AQ12/①통합_가정!$E$15))/2,0)</f>
        <v>0.0373650467932122</v>
      </c>
      <c r="AR13" s="194" t="n">
        <f aca="false">IF(AR12&gt;0,(COS(PI()*(AR12-1)/①통합_가정!$E$15)-COS(PI()*AR12/①통합_가정!$E$15))/2,0)</f>
        <v>0.0373650467932121</v>
      </c>
      <c r="AS13" s="194" t="n">
        <f aca="false">IF(AS12&gt;0,(COS(PI()*(AS12-1)/①통합_가정!$E$15)-COS(PI()*AS12/①통합_가정!$E$15))/2,0)</f>
        <v>0.0371560862948751</v>
      </c>
      <c r="AT13" s="194" t="n">
        <f aca="false">IF(AT12&gt;0,(COS(PI()*(AT12-1)/①통합_가정!$E$15)-COS(PI()*AT12/①통합_가정!$E$15))/2,0)</f>
        <v>0.03673933389007</v>
      </c>
      <c r="AU13" s="194" t="n">
        <f aca="false">IF(AU12&gt;0,(COS(PI()*(AU12-1)/①통합_가정!$E$15)-COS(PI()*AU12/①통합_가정!$E$15))/2,0)</f>
        <v>0.0361171202272949</v>
      </c>
      <c r="AV13" s="194" t="n">
        <f aca="false">IF(AV12&gt;0,(COS(PI()*(AV12-1)/①통합_가정!$E$15)-COS(PI()*AV12/①통합_가정!$E$15))/2,0)</f>
        <v>0.0352929249777454</v>
      </c>
      <c r="AW13" s="194" t="n">
        <f aca="false">IF(AW12&gt;0,(COS(PI()*(AW12-1)/①통합_가정!$E$15)-COS(PI()*AW12/①통합_가정!$E$15))/2,0)</f>
        <v>0.0342713573755815</v>
      </c>
      <c r="AX13" s="194" t="n">
        <f aca="false">IF(AX12&gt;0,(COS(PI()*(AX12-1)/①통합_가정!$E$15)-COS(PI()*AX12/①통합_가정!$E$15))/2,0)</f>
        <v>0.0330581304412209</v>
      </c>
      <c r="AY13" s="194" t="n">
        <f aca="false">IF(AY12&gt;0,(COS(PI()*(AY12-1)/①통합_가정!$E$15)-COS(PI()*AY12/①통합_가정!$E$15))/2,0)</f>
        <v>0.0316600290318111</v>
      </c>
      <c r="AZ13" s="194" t="n">
        <f aca="false">IF(AZ12&gt;0,(COS(PI()*(AZ12-1)/①통합_가정!$E$15)-COS(PI()*AZ12/①통합_가정!$E$15))/2,0)</f>
        <v>0.0300848718975557</v>
      </c>
      <c r="BA13" s="194" t="n">
        <f aca="false">IF(BA12&gt;0,(COS(PI()*(BA12-1)/①통합_가정!$E$15)-COS(PI()*BA12/①통합_가정!$E$15))/2,0)</f>
        <v>0.0283414679560929</v>
      </c>
      <c r="BB13" s="194" t="n">
        <f aca="false">IF(BB12&gt;0,(COS(PI()*(BB12-1)/①통합_가정!$E$15)-COS(PI()*BB12/①통합_가정!$E$15))/2,0)</f>
        <v>0.0264395670294535</v>
      </c>
      <c r="BC13" s="194" t="n">
        <f aca="false">IF(BC12&gt;0,(COS(PI()*(BC12-1)/①통합_가정!$E$15)-COS(PI()*BC12/①통합_가정!$E$15))/2,0)</f>
        <v>0.0243898053191017</v>
      </c>
      <c r="BD13" s="194" t="n">
        <f aca="false">IF(BD12&gt;0,(COS(PI()*(BD12-1)/①통합_가정!$E$15)-COS(PI()*BD12/①통합_가정!$E$15))/2,0)</f>
        <v>0.0222036459239826</v>
      </c>
      <c r="BE13" s="194" t="n">
        <f aca="false">IF(BE12&gt;0,(COS(PI()*(BE12-1)/①통합_가정!$E$15)-COS(PI()*BE12/①통합_가정!$E$15))/2,0)</f>
        <v>0.0198933147342217</v>
      </c>
      <c r="BF13" s="194" t="n">
        <f aca="false">IF(BF12&gt;0,(COS(PI()*(BF12-1)/①통합_가정!$E$15)-COS(PI()*BF12/①통합_가정!$E$15))/2,0)</f>
        <v>0.0174717320589903</v>
      </c>
      <c r="BG13" s="194" t="n">
        <f aca="false">IF(BG12&gt;0,(COS(PI()*(BG12-1)/①통합_가정!$E$15)-COS(PI()*BG12/①통합_가정!$E$15))/2,0)</f>
        <v>0.0149524403708927</v>
      </c>
      <c r="BH13" s="194" t="n">
        <f aca="false">IF(BH12&gt;0,(COS(PI()*(BH12-1)/①통합_가정!$E$15)-COS(PI()*BH12/①통합_가정!$E$15))/2,0)</f>
        <v>0.0123495285709681</v>
      </c>
      <c r="BI13" s="194" t="n">
        <f aca="false">IF(BI12&gt;0,(COS(PI()*(BI12-1)/①통합_가정!$E$15)-COS(PI()*BI12/①통합_가정!$E$15))/2,0)</f>
        <v>0.00967755319784153</v>
      </c>
      <c r="BJ13" s="194" t="n">
        <f aca="false">IF(BJ12&gt;0,(COS(PI()*(BJ12-1)/①통합_가정!$E$15)-COS(PI()*BJ12/①통합_가정!$E$15))/2,0)</f>
        <v>0.00695145702165245</v>
      </c>
      <c r="BK13" s="194" t="n">
        <f aca="false">IF(BK12&gt;0,(COS(PI()*(BK12-1)/①통합_가정!$E$15)-COS(PI()*BK12/①통합_가정!$E$15))/2,0)</f>
        <v>0.0041864854780258</v>
      </c>
      <c r="BL13" s="194" t="n">
        <f aca="false">IF(BL12&gt;0,(COS(PI()*(BL12-1)/①통합_가정!$E$15)-COS(PI()*BL12/①통합_가정!$E$15))/2,0)</f>
        <v>0.00139810140940994</v>
      </c>
      <c r="BM13" s="194" t="n">
        <f aca="false">IF(BM12&gt;0,(COS(PI()*(BM12-1)/①통합_가정!$E$15)-COS(PI()*BM12/①통합_가정!$E$15))/2,0)</f>
        <v>0</v>
      </c>
      <c r="BN13" s="194" t="n">
        <f aca="false">IF(BN12&gt;0,(COS(PI()*(BN12-1)/①통합_가정!$E$15)-COS(PI()*BN12/①통합_가정!$E$15))/2,0)</f>
        <v>0</v>
      </c>
      <c r="BO13" s="194" t="n">
        <f aca="false">IF(BO12&gt;0,(COS(PI()*(BO12-1)/①통합_가정!$E$15)-COS(PI()*BO12/①통합_가정!$E$15))/2,0)</f>
        <v>0</v>
      </c>
      <c r="BP13" s="194" t="n">
        <f aca="false">IF(BP12&gt;0,(COS(PI()*(BP12-1)/①통합_가정!$E$15)-COS(PI()*BP12/①통합_가정!$E$15))/2,0)</f>
        <v>0</v>
      </c>
      <c r="BQ13" s="194" t="n">
        <f aca="false">IF(BQ12&gt;0,(COS(PI()*(BQ12-1)/①통합_가정!$E$15)-COS(PI()*BQ12/①통합_가정!$E$15))/2,0)</f>
        <v>0</v>
      </c>
      <c r="BR13" s="194" t="n">
        <f aca="false">IF(BR12&gt;0,(COS(PI()*(BR12-1)/①통합_가정!$E$15)-COS(PI()*BR12/①통합_가정!$E$15))/2,0)</f>
        <v>0</v>
      </c>
      <c r="BS13" s="194" t="n">
        <f aca="false">IF(BS12&gt;0,(COS(PI()*(BS12-1)/①통합_가정!$E$15)-COS(PI()*BS12/①통합_가정!$E$15))/2,0)</f>
        <v>0</v>
      </c>
      <c r="BT13" s="194" t="n">
        <f aca="false">IF(BT12&gt;0,(COS(PI()*(BT12-1)/①통합_가정!$E$15)-COS(PI()*BT12/①통합_가정!$E$15))/2,0)</f>
        <v>0</v>
      </c>
      <c r="BU13" s="194" t="n">
        <f aca="false">IF(BU12&gt;0,(COS(PI()*(BU12-1)/①통합_가정!$E$15)-COS(PI()*BU12/①통합_가정!$E$15))/2,0)</f>
        <v>0</v>
      </c>
      <c r="BV13" s="194" t="n">
        <f aca="false">IF(BV12&gt;0,(COS(PI()*(BV12-1)/①통합_가정!$E$15)-COS(PI()*BV12/①통합_가정!$E$15))/2,0)</f>
        <v>0</v>
      </c>
      <c r="BW13" s="194" t="n">
        <f aca="false">IF(BW12&gt;0,(COS(PI()*(BW12-1)/①통합_가정!$E$15)-COS(PI()*BW12/①통합_가정!$E$15))/2,0)</f>
        <v>0</v>
      </c>
      <c r="BX13" s="194" t="n">
        <f aca="false">IF(BX12&gt;0,(COS(PI()*(BX12-1)/①통합_가정!$E$15)-COS(PI()*BX12/①통합_가정!$E$15))/2,0)</f>
        <v>0</v>
      </c>
      <c r="BY13" s="194" t="n">
        <f aca="false">IF(BY12&gt;0,(COS(PI()*(BY12-1)/①통합_가정!$E$15)-COS(PI()*BY12/①통합_가정!$E$15))/2,0)</f>
        <v>0</v>
      </c>
      <c r="BZ13" s="194" t="n">
        <f aca="false">IF(BZ12&gt;0,(COS(PI()*(BZ12-1)/①통합_가정!$E$15)-COS(PI()*BZ12/①통합_가정!$E$15))/2,0)</f>
        <v>0</v>
      </c>
      <c r="CA13" s="194" t="n">
        <f aca="false">IF(CA12&gt;0,(COS(PI()*(CA12-1)/①통합_가정!$E$15)-COS(PI()*CA12/①통합_가정!$E$15))/2,0)</f>
        <v>0</v>
      </c>
      <c r="CB13" s="194" t="n">
        <f aca="false">IF(CB12&gt;0,(COS(PI()*(CB12-1)/①통합_가정!$E$15)-COS(PI()*CB12/①통합_가정!$E$15))/2,0)</f>
        <v>0</v>
      </c>
      <c r="CC13" s="194" t="n">
        <f aca="false">IF(CC12&gt;0,(COS(PI()*(CC12-1)/①통합_가정!$E$15)-COS(PI()*CC12/①통합_가정!$E$15))/2,0)</f>
        <v>0</v>
      </c>
      <c r="CD13" s="194" t="n">
        <f aca="false">IF(CD12&gt;0,(COS(PI()*(CD12-1)/①통합_가정!$E$15)-COS(PI()*CD12/①통합_가정!$E$15))/2,0)</f>
        <v>0</v>
      </c>
      <c r="CE13" s="194" t="n">
        <f aca="false">IF(CE12&gt;0,(COS(PI()*(CE12-1)/①통합_가정!$E$15)-COS(PI()*CE12/①통합_가정!$E$15))/2,0)</f>
        <v>0</v>
      </c>
      <c r="CF13" s="194" t="n">
        <f aca="false">IF(CF12&gt;0,(COS(PI()*(CF12-1)/①통합_가정!$E$15)-COS(PI()*CF12/①통합_가정!$E$15))/2,0)</f>
        <v>0</v>
      </c>
      <c r="CG13" s="194" t="n">
        <f aca="false">IF(CG12&gt;0,(COS(PI()*(CG12-1)/①통합_가정!$E$15)-COS(PI()*CG12/①통합_가정!$E$15))/2,0)</f>
        <v>0</v>
      </c>
      <c r="CH13" s="194" t="n">
        <f aca="false">IF(CH12&gt;0,(COS(PI()*(CH12-1)/①통합_가정!$E$15)-COS(PI()*CH12/①통합_가정!$E$15))/2,0)</f>
        <v>0</v>
      </c>
      <c r="CI13" s="194" t="n">
        <f aca="false">IF(CI12&gt;0,(COS(PI()*(CI12-1)/①통합_가정!$E$15)-COS(PI()*CI12/①통합_가정!$E$15))/2,0)</f>
        <v>0</v>
      </c>
      <c r="CJ13" s="194" t="n">
        <f aca="false">IF(CJ12&gt;0,(COS(PI()*(CJ12-1)/①통합_가정!$E$15)-COS(PI()*CJ12/①통합_가정!$E$15))/2,0)</f>
        <v>0</v>
      </c>
      <c r="CK13" s="194" t="n">
        <f aca="false">IF(CK12&gt;0,(COS(PI()*(CK12-1)/①통합_가정!$E$15)-COS(PI()*CK12/①통합_가정!$E$15))/2,0)</f>
        <v>0</v>
      </c>
      <c r="CL13" s="194" t="n">
        <f aca="false">IF(CL12&gt;0,(COS(PI()*(CL12-1)/①통합_가정!$E$15)-COS(PI()*CL12/①통합_가정!$E$15))/2,0)</f>
        <v>0</v>
      </c>
      <c r="CM13" s="194" t="n">
        <f aca="false">IF(CM12&gt;0,(COS(PI()*(CM12-1)/①통합_가정!$E$15)-COS(PI()*CM12/①통합_가정!$E$15))/2,0)</f>
        <v>0</v>
      </c>
      <c r="CN13" s="194" t="n">
        <f aca="false">IF(CN12&gt;0,(COS(PI()*(CN12-1)/①통합_가정!$E$15)-COS(PI()*CN12/①통합_가정!$E$15))/2,0)</f>
        <v>0</v>
      </c>
      <c r="CO13" s="194" t="n">
        <f aca="false">IF(CO12&gt;0,(COS(PI()*(CO12-1)/①통합_가정!$E$15)-COS(PI()*CO12/①통합_가정!$E$15))/2,0)</f>
        <v>0</v>
      </c>
      <c r="CP13" s="194" t="n">
        <f aca="false">IF(CP12&gt;0,(COS(PI()*(CP12-1)/①통합_가정!$E$15)-COS(PI()*CP12/①통합_가정!$E$15))/2,0)</f>
        <v>0</v>
      </c>
      <c r="CQ13" s="194" t="n">
        <f aca="false">IF(CQ12&gt;0,(COS(PI()*(CQ12-1)/①통합_가정!$E$15)-COS(PI()*CQ12/①통합_가정!$E$15))/2,0)</f>
        <v>0</v>
      </c>
      <c r="CR13" s="194" t="n">
        <f aca="false">IF(CR12&gt;0,(COS(PI()*(CR12-1)/①통합_가정!$E$15)-COS(PI()*CR12/①통합_가정!$E$15))/2,0)</f>
        <v>0</v>
      </c>
      <c r="CS13" s="194" t="n">
        <f aca="false">IF(CS12&gt;0,(COS(PI()*(CS12-1)/①통합_가정!$E$15)-COS(PI()*CS12/①통합_가정!$E$15))/2,0)</f>
        <v>0</v>
      </c>
      <c r="CT13" s="194" t="n">
        <f aca="false">IF(CT12&gt;0,(COS(PI()*(CT12-1)/①통합_가정!$E$15)-COS(PI()*CT12/①통합_가정!$E$15))/2,0)</f>
        <v>0</v>
      </c>
      <c r="CU13" s="194" t="n">
        <f aca="false">IF(CU12&gt;0,(COS(PI()*(CU12-1)/①통합_가정!$E$15)-COS(PI()*CU12/①통합_가정!$E$15))/2,0)</f>
        <v>0</v>
      </c>
      <c r="CV13" s="194" t="n">
        <f aca="false">IF(CV12&gt;0,(COS(PI()*(CV12-1)/①통합_가정!$E$15)-COS(PI()*CV12/①통합_가정!$E$15))/2,0)</f>
        <v>0</v>
      </c>
      <c r="CW13" s="194" t="n">
        <f aca="false">IF(CW12&gt;0,(COS(PI()*(CW12-1)/①통합_가정!$E$15)-COS(PI()*CW12/①통합_가정!$E$15))/2,0)</f>
        <v>0</v>
      </c>
      <c r="CX13" s="194" t="n">
        <f aca="false">IF(CX12&gt;0,(COS(PI()*(CX12-1)/①통합_가정!$E$15)-COS(PI()*CX12/①통합_가정!$E$15))/2,0)</f>
        <v>0</v>
      </c>
      <c r="CY13" s="194" t="n">
        <f aca="false">IF(CY12&gt;0,(COS(PI()*(CY12-1)/①통합_가정!$E$15)-COS(PI()*CY12/①통합_가정!$E$15))/2,0)</f>
        <v>0</v>
      </c>
      <c r="CZ13" s="194" t="n">
        <f aca="false">IF(CZ12&gt;0,(COS(PI()*(CZ12-1)/①통합_가정!$E$15)-COS(PI()*CZ12/①통합_가정!$E$15))/2,0)</f>
        <v>0</v>
      </c>
      <c r="DA13" s="194" t="n">
        <f aca="false">IF(DA12&gt;0,(COS(PI()*(DA12-1)/①통합_가정!$E$15)-COS(PI()*DA12/①통합_가정!$E$15))/2,0)</f>
        <v>0</v>
      </c>
      <c r="DB13" s="194" t="n">
        <f aca="false">IF(DB12&gt;0,(COS(PI()*(DB12-1)/①통합_가정!$E$15)-COS(PI()*DB12/①통합_가정!$E$15))/2,0)</f>
        <v>0</v>
      </c>
      <c r="DC13" s="194" t="n">
        <f aca="false">IF(DC12&gt;0,(COS(PI()*(DC12-1)/①통합_가정!$E$15)-COS(PI()*DC12/①통합_가정!$E$15))/2,0)</f>
        <v>0</v>
      </c>
      <c r="DD13" s="194" t="n">
        <f aca="false">IF(DD12&gt;0,(COS(PI()*(DD12-1)/①통합_가정!$E$15)-COS(PI()*DD12/①통합_가정!$E$15))/2,0)</f>
        <v>0</v>
      </c>
      <c r="DE13" s="194" t="n">
        <f aca="false">IF(DE12&gt;0,(COS(PI()*(DE12-1)/①통합_가정!$E$15)-COS(PI()*DE12/①통합_가정!$E$15))/2,0)</f>
        <v>0</v>
      </c>
      <c r="DF13" s="194" t="n">
        <f aca="false">IF(DF12&gt;0,(COS(PI()*(DF12-1)/①통합_가정!$E$15)-COS(PI()*DF12/①통합_가정!$E$15))/2,0)</f>
        <v>0</v>
      </c>
      <c r="DG13" s="194" t="n">
        <f aca="false">IF(DG12&gt;0,(COS(PI()*(DG12-1)/①통합_가정!$E$15)-COS(PI()*DG12/①통합_가정!$E$15))/2,0)</f>
        <v>0</v>
      </c>
      <c r="DH13" s="194" t="n">
        <f aca="false">IF(DH12&gt;0,(COS(PI()*(DH12-1)/①통합_가정!$E$15)-COS(PI()*DH12/①통합_가정!$E$15))/2,0)</f>
        <v>0</v>
      </c>
      <c r="DI13" s="194" t="n">
        <f aca="false">IF(DI12&gt;0,(COS(PI()*(DI12-1)/①통합_가정!$E$15)-COS(PI()*DI12/①통합_가정!$E$15))/2,0)</f>
        <v>0</v>
      </c>
      <c r="DJ13" s="194" t="n">
        <f aca="false">IF(DJ12&gt;0,(COS(PI()*(DJ12-1)/①통합_가정!$E$15)-COS(PI()*DJ12/①통합_가정!$E$15))/2,0)</f>
        <v>0</v>
      </c>
      <c r="DK13" s="194" t="n">
        <f aca="false">IF(DK12&gt;0,(COS(PI()*(DK12-1)/①통합_가정!$E$15)-COS(PI()*DK12/①통합_가정!$E$15))/2,0)</f>
        <v>0</v>
      </c>
      <c r="DL13" s="194" t="n">
        <f aca="false">IF(DL12&gt;0,(COS(PI()*(DL12-1)/①통합_가정!$E$15)-COS(PI()*DL12/①통합_가정!$E$15))/2,0)</f>
        <v>0</v>
      </c>
      <c r="DM13" s="194" t="n">
        <f aca="false">IF(DM12&gt;0,(COS(PI()*(DM12-1)/①통합_가정!$E$15)-COS(PI()*DM12/①통합_가정!$E$15))/2,0)</f>
        <v>0</v>
      </c>
      <c r="DN13" s="194" t="n">
        <f aca="false">IF(DN12&gt;0,(COS(PI()*(DN12-1)/①통합_가정!$E$15)-COS(PI()*DN12/①통합_가정!$E$15))/2,0)</f>
        <v>0</v>
      </c>
      <c r="DO13" s="194" t="n">
        <f aca="false">IF(DO12&gt;0,(COS(PI()*(DO12-1)/①통합_가정!$E$15)-COS(PI()*DO12/①통합_가정!$E$15))/2,0)</f>
        <v>0</v>
      </c>
      <c r="DP13" s="194" t="n">
        <f aca="false">IF(DP12&gt;0,(COS(PI()*(DP12-1)/①통합_가정!$E$15)-COS(PI()*DP12/①통합_가정!$E$15))/2,0)</f>
        <v>0</v>
      </c>
      <c r="DQ13" s="194" t="n">
        <f aca="false">IF(DQ12&gt;0,(COS(PI()*(DQ12-1)/①통합_가정!$E$15)-COS(PI()*DQ12/①통합_가정!$E$15))/2,0)</f>
        <v>0</v>
      </c>
      <c r="DR13" s="194" t="n">
        <f aca="false">IF(DR12&gt;0,(COS(PI()*(DR12-1)/①통합_가정!$E$15)-COS(PI()*DR12/①통합_가정!$E$15))/2,0)</f>
        <v>0</v>
      </c>
      <c r="DS13" s="194" t="n">
        <f aca="false">IF(DS12&gt;0,(COS(PI()*(DS12-1)/①통합_가정!$E$15)-COS(PI()*DS12/①통합_가정!$E$15))/2,0)</f>
        <v>0</v>
      </c>
      <c r="DT13" s="194" t="n">
        <f aca="false">IF(DT12&gt;0,(COS(PI()*(DT12-1)/①통합_가정!$E$15)-COS(PI()*DT12/①통합_가정!$E$15))/2,0)</f>
        <v>0</v>
      </c>
      <c r="DU13" s="194" t="n">
        <f aca="false">IF(DU12&gt;0,(COS(PI()*(DU12-1)/①통합_가정!$E$15)-COS(PI()*DU12/①통합_가정!$E$15))/2,0)</f>
        <v>0</v>
      </c>
      <c r="DV13" s="194" t="n">
        <f aca="false">IF(DV12&gt;0,(COS(PI()*(DV12-1)/①통합_가정!$E$15)-COS(PI()*DV12/①통합_가정!$E$15))/2,0)</f>
        <v>0</v>
      </c>
      <c r="DW13" s="194" t="n">
        <f aca="false">IF(DW12&gt;0,(COS(PI()*(DW12-1)/①통합_가정!$E$15)-COS(PI()*DW12/①통합_가정!$E$15))/2,0)</f>
        <v>0</v>
      </c>
      <c r="DX13" s="194" t="n">
        <f aca="false">IF(DX12&gt;0,(COS(PI()*(DX12-1)/①통합_가정!$E$15)-COS(PI()*DX12/①통합_가정!$E$15))/2,0)</f>
        <v>0</v>
      </c>
      <c r="DY13" s="194" t="n">
        <f aca="false">IF(DY12&gt;0,(COS(PI()*(DY12-1)/①통합_가정!$E$15)-COS(PI()*DY12/①통합_가정!$E$15))/2,0)</f>
        <v>0</v>
      </c>
      <c r="DZ13" s="194" t="n">
        <f aca="false">IF(DZ12&gt;0,(COS(PI()*(DZ12-1)/①통합_가정!$E$15)-COS(PI()*DZ12/①통합_가정!$E$15))/2,0)</f>
        <v>0</v>
      </c>
      <c r="EA13" s="194" t="n">
        <f aca="false">IF(EA12&gt;0,(COS(PI()*(EA12-1)/①통합_가정!$E$15)-COS(PI()*EA12/①통합_가정!$E$15))/2,0)</f>
        <v>0</v>
      </c>
      <c r="EB13" s="194" t="n">
        <f aca="false">IF(EB12&gt;0,(COS(PI()*(EB12-1)/①통합_가정!$E$15)-COS(PI()*EB12/①통합_가정!$E$15))/2,0)</f>
        <v>0</v>
      </c>
      <c r="EC13" s="194" t="n">
        <f aca="false">IF(EC12&gt;0,(COS(PI()*(EC12-1)/①통합_가정!$E$15)-COS(PI()*EC12/①통합_가정!$E$15))/2,0)</f>
        <v>0</v>
      </c>
      <c r="ED13" s="194" t="n">
        <f aca="false">IF(ED12&gt;0,(COS(PI()*(ED12-1)/①통합_가정!$E$15)-COS(PI()*ED12/①통합_가정!$E$15))/2,0)</f>
        <v>0</v>
      </c>
      <c r="EE13" s="194" t="n">
        <f aca="false">IF(EE12&gt;0,(COS(PI()*(EE12-1)/①통합_가정!$E$15)-COS(PI()*EE12/①통합_가정!$E$15))/2,0)</f>
        <v>0</v>
      </c>
      <c r="EF13" s="194" t="n">
        <f aca="false">IF(EF12&gt;0,(COS(PI()*(EF12-1)/①통합_가정!$E$15)-COS(PI()*EF12/①통합_가정!$E$15))/2,0)</f>
        <v>0</v>
      </c>
    </row>
    <row r="14" customFormat="false" ht="15" hidden="false" customHeight="false" outlineLevel="0" collapsed="false">
      <c r="A14" s="36" t="s">
        <v>570</v>
      </c>
      <c r="B14" s="273"/>
      <c r="E14" s="276" t="n">
        <f aca="false">IF(AND(E6&gt;=①통합_가정!$E$18,E6&lt;=①통합_가정!$E$20),1,0)</f>
        <v>0</v>
      </c>
      <c r="F14" s="276" t="n">
        <f aca="false">IF(AND(F6&gt;=①통합_가정!$E$18,F6&lt;=①통합_가정!$E$20),1,0)</f>
        <v>0</v>
      </c>
      <c r="G14" s="276" t="n">
        <f aca="false">IF(AND(G6&gt;=①통합_가정!$E$18,G6&lt;=①통합_가정!$E$20),1,0)</f>
        <v>0</v>
      </c>
      <c r="H14" s="276" t="n">
        <f aca="false">IF(AND(H6&gt;=①통합_가정!$E$18,H6&lt;=①통합_가정!$E$20),1,0)</f>
        <v>0</v>
      </c>
      <c r="I14" s="276" t="n">
        <f aca="false">IF(AND(I6&gt;=①통합_가정!$E$18,I6&lt;=①통합_가정!$E$20),1,0)</f>
        <v>0</v>
      </c>
      <c r="J14" s="276" t="n">
        <f aca="false">IF(AND(J6&gt;=①통합_가정!$E$18,J6&lt;=①통합_가정!$E$20),1,0)</f>
        <v>0</v>
      </c>
      <c r="K14" s="276" t="n">
        <f aca="false">IF(AND(K6&gt;=①통합_가정!$E$18,K6&lt;=①통합_가정!$E$20),1,0)</f>
        <v>0</v>
      </c>
      <c r="L14" s="276" t="n">
        <f aca="false">IF(AND(L6&gt;=①통합_가정!$E$18,L6&lt;=①통합_가정!$E$20),1,0)</f>
        <v>0</v>
      </c>
      <c r="M14" s="276" t="n">
        <f aca="false">IF(AND(M6&gt;=①통합_가정!$E$18,M6&lt;=①통합_가정!$E$20),1,0)</f>
        <v>0</v>
      </c>
      <c r="N14" s="276" t="n">
        <f aca="false">IF(AND(N6&gt;=①통합_가정!$E$18,N6&lt;=①통합_가정!$E$20),1,0)</f>
        <v>0</v>
      </c>
      <c r="O14" s="276" t="n">
        <f aca="false">IF(AND(O6&gt;=①통합_가정!$E$18,O6&lt;=①통합_가정!$E$20),1,0)</f>
        <v>0</v>
      </c>
      <c r="P14" s="276" t="n">
        <f aca="false">IF(AND(P6&gt;=①통합_가정!$E$18,P6&lt;=①통합_가정!$E$20),1,0)</f>
        <v>0</v>
      </c>
      <c r="Q14" s="276" t="n">
        <f aca="false">IF(AND(Q6&gt;=①통합_가정!$E$18,Q6&lt;=①통합_가정!$E$20),1,0)</f>
        <v>0</v>
      </c>
      <c r="R14" s="276" t="n">
        <f aca="false">IF(AND(R6&gt;=①통합_가정!$E$18,R6&lt;=①통합_가정!$E$20),1,0)</f>
        <v>0</v>
      </c>
      <c r="S14" s="276" t="n">
        <f aca="false">IF(AND(S6&gt;=①통합_가정!$E$18,S6&lt;=①통합_가정!$E$20),1,0)</f>
        <v>0</v>
      </c>
      <c r="T14" s="276" t="n">
        <f aca="false">IF(AND(T6&gt;=①통합_가정!$E$18,T6&lt;=①통합_가정!$E$20),1,0)</f>
        <v>0</v>
      </c>
      <c r="U14" s="276" t="n">
        <f aca="false">IF(AND(U6&gt;=①통합_가정!$E$18,U6&lt;=①통합_가정!$E$20),1,0)</f>
        <v>0</v>
      </c>
      <c r="V14" s="276" t="n">
        <f aca="false">IF(AND(V6&gt;=①통합_가정!$E$18,V6&lt;=①통합_가정!$E$20),1,0)</f>
        <v>0</v>
      </c>
      <c r="W14" s="276" t="n">
        <f aca="false">IF(AND(W6&gt;=①통합_가정!$E$18,W6&lt;=①통합_가정!$E$20),1,0)</f>
        <v>0</v>
      </c>
      <c r="X14" s="276" t="n">
        <f aca="false">IF(AND(X6&gt;=①통합_가정!$E$18,X6&lt;=①통합_가정!$E$20),1,0)</f>
        <v>0</v>
      </c>
      <c r="Y14" s="276" t="n">
        <f aca="false">IF(AND(Y6&gt;=①통합_가정!$E$18,Y6&lt;=①통합_가정!$E$20),1,0)</f>
        <v>0</v>
      </c>
      <c r="Z14" s="276" t="n">
        <f aca="false">IF(AND(Z6&gt;=①통합_가정!$E$18,Z6&lt;=①통합_가정!$E$20),1,0)</f>
        <v>0</v>
      </c>
      <c r="AA14" s="276" t="n">
        <f aca="false">IF(AND(AA6&gt;=①통합_가정!$E$18,AA6&lt;=①통합_가정!$E$20),1,0)</f>
        <v>0</v>
      </c>
      <c r="AB14" s="276" t="n">
        <f aca="false">IF(AND(AB6&gt;=①통합_가정!$E$18,AB6&lt;=①통합_가정!$E$20),1,0)</f>
        <v>0</v>
      </c>
      <c r="AC14" s="276" t="n">
        <f aca="false">IF(AND(AC6&gt;=①통합_가정!$E$18,AC6&lt;=①통합_가정!$E$20),1,0)</f>
        <v>0</v>
      </c>
      <c r="AD14" s="276" t="n">
        <f aca="false">IF(AND(AD6&gt;=①통합_가정!$E$18,AD6&lt;=①통합_가정!$E$20),1,0)</f>
        <v>0</v>
      </c>
      <c r="AE14" s="276" t="n">
        <f aca="false">IF(AND(AE6&gt;=①통합_가정!$E$18,AE6&lt;=①통합_가정!$E$20),1,0)</f>
        <v>0</v>
      </c>
      <c r="AF14" s="276" t="n">
        <f aca="false">IF(AND(AF6&gt;=①통합_가정!$E$18,AF6&lt;=①통합_가정!$E$20),1,0)</f>
        <v>0</v>
      </c>
      <c r="AG14" s="276" t="n">
        <f aca="false">IF(AND(AG6&gt;=①통합_가정!$E$18,AG6&lt;=①통합_가정!$E$20),1,0)</f>
        <v>0</v>
      </c>
      <c r="AH14" s="276" t="n">
        <f aca="false">IF(AND(AH6&gt;=①통합_가정!$E$18,AH6&lt;=①통합_가정!$E$20),1,0)</f>
        <v>0</v>
      </c>
      <c r="AI14" s="276" t="n">
        <f aca="false">IF(AND(AI6&gt;=①통합_가정!$E$18,AI6&lt;=①통합_가정!$E$20),1,0)</f>
        <v>0</v>
      </c>
      <c r="AJ14" s="276" t="n">
        <f aca="false">IF(AND(AJ6&gt;=①통합_가정!$E$18,AJ6&lt;=①통합_가정!$E$20),1,0)</f>
        <v>0</v>
      </c>
      <c r="AK14" s="276" t="n">
        <f aca="false">IF(AND(AK6&gt;=①통합_가정!$E$18,AK6&lt;=①통합_가정!$E$20),1,0)</f>
        <v>0</v>
      </c>
      <c r="AL14" s="276" t="n">
        <f aca="false">IF(AND(AL6&gt;=①통합_가정!$E$18,AL6&lt;=①통합_가정!$E$20),1,0)</f>
        <v>0</v>
      </c>
      <c r="AM14" s="276" t="n">
        <f aca="false">IF(AND(AM6&gt;=①통합_가정!$E$18,AM6&lt;=①통합_가정!$E$20),1,0)</f>
        <v>0</v>
      </c>
      <c r="AN14" s="276" t="n">
        <f aca="false">IF(AND(AN6&gt;=①통합_가정!$E$18,AN6&lt;=①통합_가정!$E$20),1,0)</f>
        <v>0</v>
      </c>
      <c r="AO14" s="276" t="n">
        <f aca="false">IF(AND(AO6&gt;=①통합_가정!$E$18,AO6&lt;=①통합_가정!$E$20),1,0)</f>
        <v>0</v>
      </c>
      <c r="AP14" s="276" t="n">
        <f aca="false">IF(AND(AP6&gt;=①통합_가정!$E$18,AP6&lt;=①통합_가정!$E$20),1,0)</f>
        <v>0</v>
      </c>
      <c r="AQ14" s="276" t="n">
        <f aca="false">IF(AND(AQ6&gt;=①통합_가정!$E$18,AQ6&lt;=①통합_가정!$E$20),1,0)</f>
        <v>0</v>
      </c>
      <c r="AR14" s="276" t="n">
        <f aca="false">IF(AND(AR6&gt;=①통합_가정!$E$18,AR6&lt;=①통합_가정!$E$20),1,0)</f>
        <v>0</v>
      </c>
      <c r="AS14" s="276" t="n">
        <f aca="false">IF(AND(AS6&gt;=①통합_가정!$E$18,AS6&lt;=①통합_가정!$E$20),1,0)</f>
        <v>0</v>
      </c>
      <c r="AT14" s="276" t="n">
        <f aca="false">IF(AND(AT6&gt;=①통합_가정!$E$18,AT6&lt;=①통합_가정!$E$20),1,0)</f>
        <v>0</v>
      </c>
      <c r="AU14" s="276" t="n">
        <f aca="false">IF(AND(AU6&gt;=①통합_가정!$E$18,AU6&lt;=①통합_가정!$E$20),1,0)</f>
        <v>0</v>
      </c>
      <c r="AV14" s="276" t="n">
        <f aca="false">IF(AND(AV6&gt;=①통합_가정!$E$18,AV6&lt;=①통합_가정!$E$20),1,0)</f>
        <v>0</v>
      </c>
      <c r="AW14" s="276" t="n">
        <f aca="false">IF(AND(AW6&gt;=①통합_가정!$E$18,AW6&lt;=①통합_가정!$E$20),1,0)</f>
        <v>0</v>
      </c>
      <c r="AX14" s="276" t="n">
        <f aca="false">IF(AND(AX6&gt;=①통합_가정!$E$18,AX6&lt;=①통합_가정!$E$20),1,0)</f>
        <v>0</v>
      </c>
      <c r="AY14" s="276" t="n">
        <f aca="false">IF(AND(AY6&gt;=①통합_가정!$E$18,AY6&lt;=①통합_가정!$E$20),1,0)</f>
        <v>0</v>
      </c>
      <c r="AZ14" s="276" t="n">
        <f aca="false">IF(AND(AZ6&gt;=①통합_가정!$E$18,AZ6&lt;=①통합_가정!$E$20),1,0)</f>
        <v>0</v>
      </c>
      <c r="BA14" s="276" t="n">
        <f aca="false">IF(AND(BA6&gt;=①통합_가정!$E$18,BA6&lt;=①통합_가정!$E$20),1,0)</f>
        <v>0</v>
      </c>
      <c r="BB14" s="276" t="n">
        <f aca="false">IF(AND(BB6&gt;=①통합_가정!$E$18,BB6&lt;=①통합_가정!$E$20),1,0)</f>
        <v>0</v>
      </c>
      <c r="BC14" s="276" t="n">
        <f aca="false">IF(AND(BC6&gt;=①통합_가정!$E$18,BC6&lt;=①통합_가정!$E$20),1,0)</f>
        <v>0</v>
      </c>
      <c r="BD14" s="276" t="n">
        <f aca="false">IF(AND(BD6&gt;=①통합_가정!$E$18,BD6&lt;=①통합_가정!$E$20),1,0)</f>
        <v>0</v>
      </c>
      <c r="BE14" s="276" t="n">
        <f aca="false">IF(AND(BE6&gt;=①통합_가정!$E$18,BE6&lt;=①통합_가정!$E$20),1,0)</f>
        <v>0</v>
      </c>
      <c r="BF14" s="276" t="n">
        <f aca="false">IF(AND(BF6&gt;=①통합_가정!$E$18,BF6&lt;=①통합_가정!$E$20),1,0)</f>
        <v>0</v>
      </c>
      <c r="BG14" s="276" t="n">
        <f aca="false">IF(AND(BG6&gt;=①통합_가정!$E$18,BG6&lt;=①통합_가정!$E$20),1,0)</f>
        <v>0</v>
      </c>
      <c r="BH14" s="276" t="n">
        <f aca="false">IF(AND(BH6&gt;=①통합_가정!$E$18,BH6&lt;=①통합_가정!$E$20),1,0)</f>
        <v>0</v>
      </c>
      <c r="BI14" s="276" t="n">
        <f aca="false">IF(AND(BI6&gt;=①통합_가정!$E$18,BI6&lt;=①통합_가정!$E$20),1,0)</f>
        <v>0</v>
      </c>
      <c r="BJ14" s="276" t="n">
        <f aca="false">IF(AND(BJ6&gt;=①통합_가정!$E$18,BJ6&lt;=①통합_가정!$E$20),1,0)</f>
        <v>0</v>
      </c>
      <c r="BK14" s="276" t="n">
        <f aca="false">IF(AND(BK6&gt;=①통합_가정!$E$18,BK6&lt;=①통합_가정!$E$20),1,0)</f>
        <v>0</v>
      </c>
      <c r="BL14" s="276" t="n">
        <f aca="false">IF(AND(BL6&gt;=①통합_가정!$E$18,BL6&lt;=①통합_가정!$E$20),1,0)</f>
        <v>0</v>
      </c>
      <c r="BM14" s="276" t="n">
        <f aca="false">IF(AND(BM6&gt;=①통합_가정!$E$18,BM6&lt;=①통합_가정!$E$20),1,0)</f>
        <v>1</v>
      </c>
      <c r="BN14" s="276" t="n">
        <f aca="false">IF(AND(BN6&gt;=①통합_가정!$E$18,BN6&lt;=①통합_가정!$E$20),1,0)</f>
        <v>1</v>
      </c>
      <c r="BO14" s="276" t="n">
        <f aca="false">IF(AND(BO6&gt;=①통합_가정!$E$18,BO6&lt;=①통합_가정!$E$20),1,0)</f>
        <v>1</v>
      </c>
      <c r="BP14" s="276" t="n">
        <f aca="false">IF(AND(BP6&gt;=①통합_가정!$E$18,BP6&lt;=①통합_가정!$E$20),1,0)</f>
        <v>1</v>
      </c>
      <c r="BQ14" s="276" t="n">
        <f aca="false">IF(AND(BQ6&gt;=①통합_가정!$E$18,BQ6&lt;=①통합_가정!$E$20),1,0)</f>
        <v>1</v>
      </c>
      <c r="BR14" s="276" t="n">
        <f aca="false">IF(AND(BR6&gt;=①통합_가정!$E$18,BR6&lt;=①통합_가정!$E$20),1,0)</f>
        <v>1</v>
      </c>
      <c r="BS14" s="276" t="n">
        <f aca="false">IF(AND(BS6&gt;=①통합_가정!$E$18,BS6&lt;=①통합_가정!$E$20),1,0)</f>
        <v>1</v>
      </c>
      <c r="BT14" s="276" t="n">
        <f aca="false">IF(AND(BT6&gt;=①통합_가정!$E$18,BT6&lt;=①통합_가정!$E$20),1,0)</f>
        <v>1</v>
      </c>
      <c r="BU14" s="276" t="n">
        <f aca="false">IF(AND(BU6&gt;=①통합_가정!$E$18,BU6&lt;=①통합_가정!$E$20),1,0)</f>
        <v>1</v>
      </c>
      <c r="BV14" s="276" t="n">
        <f aca="false">IF(AND(BV6&gt;=①통합_가정!$E$18,BV6&lt;=①통합_가정!$E$20),1,0)</f>
        <v>1</v>
      </c>
      <c r="BW14" s="276" t="n">
        <f aca="false">IF(AND(BW6&gt;=①통합_가정!$E$18,BW6&lt;=①통합_가정!$E$20),1,0)</f>
        <v>1</v>
      </c>
      <c r="BX14" s="276" t="n">
        <f aca="false">IF(AND(BX6&gt;=①통합_가정!$E$18,BX6&lt;=①통합_가정!$E$20),1,0)</f>
        <v>1</v>
      </c>
      <c r="BY14" s="276" t="n">
        <f aca="false">IF(AND(BY6&gt;=①통합_가정!$E$18,BY6&lt;=①통합_가정!$E$20),1,0)</f>
        <v>1</v>
      </c>
      <c r="BZ14" s="276" t="n">
        <f aca="false">IF(AND(BZ6&gt;=①통합_가정!$E$18,BZ6&lt;=①통합_가정!$E$20),1,0)</f>
        <v>1</v>
      </c>
      <c r="CA14" s="276" t="n">
        <f aca="false">IF(AND(CA6&gt;=①통합_가정!$E$18,CA6&lt;=①통합_가정!$E$20),1,0)</f>
        <v>1</v>
      </c>
      <c r="CB14" s="276" t="n">
        <f aca="false">IF(AND(CB6&gt;=①통합_가정!$E$18,CB6&lt;=①통합_가정!$E$20),1,0)</f>
        <v>1</v>
      </c>
      <c r="CC14" s="276" t="n">
        <f aca="false">IF(AND(CC6&gt;=①통합_가정!$E$18,CC6&lt;=①통합_가정!$E$20),1,0)</f>
        <v>1</v>
      </c>
      <c r="CD14" s="276" t="n">
        <f aca="false">IF(AND(CD6&gt;=①통합_가정!$E$18,CD6&lt;=①통합_가정!$E$20),1,0)</f>
        <v>1</v>
      </c>
      <c r="CE14" s="276" t="n">
        <f aca="false">IF(AND(CE6&gt;=①통합_가정!$E$18,CE6&lt;=①통합_가정!$E$20),1,0)</f>
        <v>1</v>
      </c>
      <c r="CF14" s="276" t="n">
        <f aca="false">IF(AND(CF6&gt;=①통합_가정!$E$18,CF6&lt;=①통합_가정!$E$20),1,0)</f>
        <v>1</v>
      </c>
      <c r="CG14" s="276" t="n">
        <f aca="false">IF(AND(CG6&gt;=①통합_가정!$E$18,CG6&lt;=①통합_가정!$E$20),1,0)</f>
        <v>1</v>
      </c>
      <c r="CH14" s="276" t="n">
        <f aca="false">IF(AND(CH6&gt;=①통합_가정!$E$18,CH6&lt;=①통합_가정!$E$20),1,0)</f>
        <v>1</v>
      </c>
      <c r="CI14" s="276" t="n">
        <f aca="false">IF(AND(CI6&gt;=①통합_가정!$E$18,CI6&lt;=①통합_가정!$E$20),1,0)</f>
        <v>1</v>
      </c>
      <c r="CJ14" s="276" t="n">
        <f aca="false">IF(AND(CJ6&gt;=①통합_가정!$E$18,CJ6&lt;=①통합_가정!$E$20),1,0)</f>
        <v>1</v>
      </c>
      <c r="CK14" s="276" t="n">
        <f aca="false">IF(AND(CK6&gt;=①통합_가정!$E$18,CK6&lt;=①통합_가정!$E$20),1,0)</f>
        <v>1</v>
      </c>
      <c r="CL14" s="276" t="n">
        <f aca="false">IF(AND(CL6&gt;=①통합_가정!$E$18,CL6&lt;=①통합_가정!$E$20),1,0)</f>
        <v>1</v>
      </c>
      <c r="CM14" s="276" t="n">
        <f aca="false">IF(AND(CM6&gt;=①통합_가정!$E$18,CM6&lt;=①통합_가정!$E$20),1,0)</f>
        <v>1</v>
      </c>
      <c r="CN14" s="276" t="n">
        <f aca="false">IF(AND(CN6&gt;=①통합_가정!$E$18,CN6&lt;=①통합_가정!$E$20),1,0)</f>
        <v>1</v>
      </c>
      <c r="CO14" s="276" t="n">
        <f aca="false">IF(AND(CO6&gt;=①통합_가정!$E$18,CO6&lt;=①통합_가정!$E$20),1,0)</f>
        <v>1</v>
      </c>
      <c r="CP14" s="276" t="n">
        <f aca="false">IF(AND(CP6&gt;=①통합_가정!$E$18,CP6&lt;=①통합_가정!$E$20),1,0)</f>
        <v>1</v>
      </c>
      <c r="CQ14" s="276" t="n">
        <f aca="false">IF(AND(CQ6&gt;=①통합_가정!$E$18,CQ6&lt;=①통합_가정!$E$20),1,0)</f>
        <v>1</v>
      </c>
      <c r="CR14" s="276" t="n">
        <f aca="false">IF(AND(CR6&gt;=①통합_가정!$E$18,CR6&lt;=①통합_가정!$E$20),1,0)</f>
        <v>1</v>
      </c>
      <c r="CS14" s="276" t="n">
        <f aca="false">IF(AND(CS6&gt;=①통합_가정!$E$18,CS6&lt;=①통합_가정!$E$20),1,0)</f>
        <v>1</v>
      </c>
      <c r="CT14" s="276" t="n">
        <f aca="false">IF(AND(CT6&gt;=①통합_가정!$E$18,CT6&lt;=①통합_가정!$E$20),1,0)</f>
        <v>1</v>
      </c>
      <c r="CU14" s="276" t="n">
        <f aca="false">IF(AND(CU6&gt;=①통합_가정!$E$18,CU6&lt;=①통합_가정!$E$20),1,0)</f>
        <v>1</v>
      </c>
      <c r="CV14" s="276" t="n">
        <f aca="false">IF(AND(CV6&gt;=①통합_가정!$E$18,CV6&lt;=①통합_가정!$E$20),1,0)</f>
        <v>1</v>
      </c>
      <c r="CW14" s="276" t="n">
        <f aca="false">IF(AND(CW6&gt;=①통합_가정!$E$18,CW6&lt;=①통합_가정!$E$20),1,0)</f>
        <v>1</v>
      </c>
      <c r="CX14" s="276" t="n">
        <f aca="false">IF(AND(CX6&gt;=①통합_가정!$E$18,CX6&lt;=①통합_가정!$E$20),1,0)</f>
        <v>1</v>
      </c>
      <c r="CY14" s="276" t="n">
        <f aca="false">IF(AND(CY6&gt;=①통합_가정!$E$18,CY6&lt;=①통합_가정!$E$20),1,0)</f>
        <v>1</v>
      </c>
      <c r="CZ14" s="276" t="n">
        <f aca="false">IF(AND(CZ6&gt;=①통합_가정!$E$18,CZ6&lt;=①통합_가정!$E$20),1,0)</f>
        <v>1</v>
      </c>
      <c r="DA14" s="276" t="n">
        <f aca="false">IF(AND(DA6&gt;=①통합_가정!$E$18,DA6&lt;=①통합_가정!$E$20),1,0)</f>
        <v>1</v>
      </c>
      <c r="DB14" s="276" t="n">
        <f aca="false">IF(AND(DB6&gt;=①통합_가정!$E$18,DB6&lt;=①통합_가정!$E$20),1,0)</f>
        <v>1</v>
      </c>
      <c r="DC14" s="276" t="n">
        <f aca="false">IF(AND(DC6&gt;=①통합_가정!$E$18,DC6&lt;=①통합_가정!$E$20),1,0)</f>
        <v>1</v>
      </c>
      <c r="DD14" s="276" t="n">
        <f aca="false">IF(AND(DD6&gt;=①통합_가정!$E$18,DD6&lt;=①통합_가정!$E$20),1,0)</f>
        <v>1</v>
      </c>
      <c r="DE14" s="276" t="n">
        <f aca="false">IF(AND(DE6&gt;=①통합_가정!$E$18,DE6&lt;=①통합_가정!$E$20),1,0)</f>
        <v>1</v>
      </c>
      <c r="DF14" s="276" t="n">
        <f aca="false">IF(AND(DF6&gt;=①통합_가정!$E$18,DF6&lt;=①통합_가정!$E$20),1,0)</f>
        <v>1</v>
      </c>
      <c r="DG14" s="276" t="n">
        <f aca="false">IF(AND(DG6&gt;=①통합_가정!$E$18,DG6&lt;=①통합_가정!$E$20),1,0)</f>
        <v>1</v>
      </c>
      <c r="DH14" s="276" t="n">
        <f aca="false">IF(AND(DH6&gt;=①통합_가정!$E$18,DH6&lt;=①통합_가정!$E$20),1,0)</f>
        <v>1</v>
      </c>
      <c r="DI14" s="276" t="n">
        <f aca="false">IF(AND(DI6&gt;=①통합_가정!$E$18,DI6&lt;=①통합_가정!$E$20),1,0)</f>
        <v>1</v>
      </c>
      <c r="DJ14" s="276" t="n">
        <f aca="false">IF(AND(DJ6&gt;=①통합_가정!$E$18,DJ6&lt;=①통합_가정!$E$20),1,0)</f>
        <v>1</v>
      </c>
      <c r="DK14" s="276" t="n">
        <f aca="false">IF(AND(DK6&gt;=①통합_가정!$E$18,DK6&lt;=①통합_가정!$E$20),1,0)</f>
        <v>1</v>
      </c>
      <c r="DL14" s="276" t="n">
        <f aca="false">IF(AND(DL6&gt;=①통합_가정!$E$18,DL6&lt;=①통합_가정!$E$20),1,0)</f>
        <v>1</v>
      </c>
      <c r="DM14" s="276" t="n">
        <f aca="false">IF(AND(DM6&gt;=①통합_가정!$E$18,DM6&lt;=①통합_가정!$E$20),1,0)</f>
        <v>1</v>
      </c>
      <c r="DN14" s="276" t="n">
        <f aca="false">IF(AND(DN6&gt;=①통합_가정!$E$18,DN6&lt;=①통합_가정!$E$20),1,0)</f>
        <v>1</v>
      </c>
      <c r="DO14" s="276" t="n">
        <f aca="false">IF(AND(DO6&gt;=①통합_가정!$E$18,DO6&lt;=①통합_가정!$E$20),1,0)</f>
        <v>1</v>
      </c>
      <c r="DP14" s="276" t="n">
        <f aca="false">IF(AND(DP6&gt;=①통합_가정!$E$18,DP6&lt;=①통합_가정!$E$20),1,0)</f>
        <v>1</v>
      </c>
      <c r="DQ14" s="276" t="n">
        <f aca="false">IF(AND(DQ6&gt;=①통합_가정!$E$18,DQ6&lt;=①통합_가정!$E$20),1,0)</f>
        <v>1</v>
      </c>
      <c r="DR14" s="276" t="n">
        <f aca="false">IF(AND(DR6&gt;=①통합_가정!$E$18,DR6&lt;=①통합_가정!$E$20),1,0)</f>
        <v>1</v>
      </c>
      <c r="DS14" s="276" t="n">
        <f aca="false">IF(AND(DS6&gt;=①통합_가정!$E$18,DS6&lt;=①통합_가정!$E$20),1,0)</f>
        <v>1</v>
      </c>
      <c r="DT14" s="276" t="n">
        <f aca="false">IF(AND(DT6&gt;=①통합_가정!$E$18,DT6&lt;=①통합_가정!$E$20),1,0)</f>
        <v>1</v>
      </c>
      <c r="DU14" s="276" t="n">
        <f aca="false">IF(AND(DU6&gt;=①통합_가정!$E$18,DU6&lt;=①통합_가정!$E$20),1,0)</f>
        <v>0</v>
      </c>
      <c r="DV14" s="276" t="n">
        <f aca="false">IF(AND(DV6&gt;=①통합_가정!$E$18,DV6&lt;=①통합_가정!$E$20),1,0)</f>
        <v>0</v>
      </c>
      <c r="DW14" s="276" t="n">
        <f aca="false">IF(AND(DW6&gt;=①통합_가정!$E$18,DW6&lt;=①통합_가정!$E$20),1,0)</f>
        <v>0</v>
      </c>
      <c r="DX14" s="276" t="n">
        <f aca="false">IF(AND(DX6&gt;=①통합_가정!$E$18,DX6&lt;=①통합_가정!$E$20),1,0)</f>
        <v>0</v>
      </c>
      <c r="DY14" s="276" t="n">
        <f aca="false">IF(AND(DY6&gt;=①통합_가정!$E$18,DY6&lt;=①통합_가정!$E$20),1,0)</f>
        <v>0</v>
      </c>
      <c r="DZ14" s="276" t="n">
        <f aca="false">IF(AND(DZ6&gt;=①통합_가정!$E$18,DZ6&lt;=①통합_가정!$E$20),1,0)</f>
        <v>0</v>
      </c>
      <c r="EA14" s="276" t="n">
        <f aca="false">IF(AND(EA6&gt;=①통합_가정!$E$18,EA6&lt;=①통합_가정!$E$20),1,0)</f>
        <v>0</v>
      </c>
      <c r="EB14" s="276" t="n">
        <f aca="false">IF(AND(EB6&gt;=①통합_가정!$E$18,EB6&lt;=①통합_가정!$E$20),1,0)</f>
        <v>0</v>
      </c>
      <c r="EC14" s="276" t="n">
        <f aca="false">IF(AND(EC6&gt;=①통합_가정!$E$18,EC6&lt;=①통합_가정!$E$20),1,0)</f>
        <v>0</v>
      </c>
      <c r="ED14" s="276" t="n">
        <f aca="false">IF(AND(ED6&gt;=①통합_가정!$E$18,ED6&lt;=①통합_가정!$E$20),1,0)</f>
        <v>0</v>
      </c>
      <c r="EE14" s="276" t="n">
        <f aca="false">IF(AND(EE6&gt;=①통합_가정!$E$18,EE6&lt;=①통합_가정!$E$20),1,0)</f>
        <v>0</v>
      </c>
      <c r="EF14" s="276" t="n">
        <f aca="false">IF(AND(EF6&gt;=①통합_가정!$E$18,EF6&lt;=①통합_가정!$E$20),1,0)</f>
        <v>0</v>
      </c>
    </row>
    <row r="15" customFormat="false" ht="15" hidden="false" customHeight="false" outlineLevel="0" collapsed="false">
      <c r="A15" s="36" t="s">
        <v>571</v>
      </c>
      <c r="B15" s="273"/>
      <c r="E15" s="275" t="n">
        <f aca="false">IF(E14=1,(YEAR(E6)-YEAR(①통합_가정!$E$18))*12+MONTH(E6)-MONTH(①통합_가정!$E$18)+1,0)</f>
        <v>0</v>
      </c>
      <c r="F15" s="275" t="n">
        <f aca="false">IF(F14=1,(YEAR(F6)-YEAR(①통합_가정!$E$18))*12+MONTH(F6)-MONTH(①통합_가정!$E$18)+1,0)</f>
        <v>0</v>
      </c>
      <c r="G15" s="275" t="n">
        <f aca="false">IF(G14=1,(YEAR(G6)-YEAR(①통합_가정!$E$18))*12+MONTH(G6)-MONTH(①통합_가정!$E$18)+1,0)</f>
        <v>0</v>
      </c>
      <c r="H15" s="275" t="n">
        <f aca="false">IF(H14=1,(YEAR(H6)-YEAR(①통합_가정!$E$18))*12+MONTH(H6)-MONTH(①통합_가정!$E$18)+1,0)</f>
        <v>0</v>
      </c>
      <c r="I15" s="275" t="n">
        <f aca="false">IF(I14=1,(YEAR(I6)-YEAR(①통합_가정!$E$18))*12+MONTH(I6)-MONTH(①통합_가정!$E$18)+1,0)</f>
        <v>0</v>
      </c>
      <c r="J15" s="275" t="n">
        <f aca="false">IF(J14=1,(YEAR(J6)-YEAR(①통합_가정!$E$18))*12+MONTH(J6)-MONTH(①통합_가정!$E$18)+1,0)</f>
        <v>0</v>
      </c>
      <c r="K15" s="275" t="n">
        <f aca="false">IF(K14=1,(YEAR(K6)-YEAR(①통합_가정!$E$18))*12+MONTH(K6)-MONTH(①통합_가정!$E$18)+1,0)</f>
        <v>0</v>
      </c>
      <c r="L15" s="275" t="n">
        <f aca="false">IF(L14=1,(YEAR(L6)-YEAR(①통합_가정!$E$18))*12+MONTH(L6)-MONTH(①통합_가정!$E$18)+1,0)</f>
        <v>0</v>
      </c>
      <c r="M15" s="275" t="n">
        <f aca="false">IF(M14=1,(YEAR(M6)-YEAR(①통합_가정!$E$18))*12+MONTH(M6)-MONTH(①통합_가정!$E$18)+1,0)</f>
        <v>0</v>
      </c>
      <c r="N15" s="275" t="n">
        <f aca="false">IF(N14=1,(YEAR(N6)-YEAR(①통합_가정!$E$18))*12+MONTH(N6)-MONTH(①통합_가정!$E$18)+1,0)</f>
        <v>0</v>
      </c>
      <c r="O15" s="275" t="n">
        <f aca="false">IF(O14=1,(YEAR(O6)-YEAR(①통합_가정!$E$18))*12+MONTH(O6)-MONTH(①통합_가정!$E$18)+1,0)</f>
        <v>0</v>
      </c>
      <c r="P15" s="275" t="n">
        <f aca="false">IF(P14=1,(YEAR(P6)-YEAR(①통합_가정!$E$18))*12+MONTH(P6)-MONTH(①통합_가정!$E$18)+1,0)</f>
        <v>0</v>
      </c>
      <c r="Q15" s="275" t="n">
        <f aca="false">IF(Q14=1,(YEAR(Q6)-YEAR(①통합_가정!$E$18))*12+MONTH(Q6)-MONTH(①통합_가정!$E$18)+1,0)</f>
        <v>0</v>
      </c>
      <c r="R15" s="275" t="n">
        <f aca="false">IF(R14=1,(YEAR(R6)-YEAR(①통합_가정!$E$18))*12+MONTH(R6)-MONTH(①통합_가정!$E$18)+1,0)</f>
        <v>0</v>
      </c>
      <c r="S15" s="275" t="n">
        <f aca="false">IF(S14=1,(YEAR(S6)-YEAR(①통합_가정!$E$18))*12+MONTH(S6)-MONTH(①통합_가정!$E$18)+1,0)</f>
        <v>0</v>
      </c>
      <c r="T15" s="275" t="n">
        <f aca="false">IF(T14=1,(YEAR(T6)-YEAR(①통합_가정!$E$18))*12+MONTH(T6)-MONTH(①통합_가정!$E$18)+1,0)</f>
        <v>0</v>
      </c>
      <c r="U15" s="275" t="n">
        <f aca="false">IF(U14=1,(YEAR(U6)-YEAR(①통합_가정!$E$18))*12+MONTH(U6)-MONTH(①통합_가정!$E$18)+1,0)</f>
        <v>0</v>
      </c>
      <c r="V15" s="275" t="n">
        <f aca="false">IF(V14=1,(YEAR(V6)-YEAR(①통합_가정!$E$18))*12+MONTH(V6)-MONTH(①통합_가정!$E$18)+1,0)</f>
        <v>0</v>
      </c>
      <c r="W15" s="275" t="n">
        <f aca="false">IF(W14=1,(YEAR(W6)-YEAR(①통합_가정!$E$18))*12+MONTH(W6)-MONTH(①통합_가정!$E$18)+1,0)</f>
        <v>0</v>
      </c>
      <c r="X15" s="275" t="n">
        <f aca="false">IF(X14=1,(YEAR(X6)-YEAR(①통합_가정!$E$18))*12+MONTH(X6)-MONTH(①통합_가정!$E$18)+1,0)</f>
        <v>0</v>
      </c>
      <c r="Y15" s="275" t="n">
        <f aca="false">IF(Y14=1,(YEAR(Y6)-YEAR(①통합_가정!$E$18))*12+MONTH(Y6)-MONTH(①통합_가정!$E$18)+1,0)</f>
        <v>0</v>
      </c>
      <c r="Z15" s="275" t="n">
        <f aca="false">IF(Z14=1,(YEAR(Z6)-YEAR(①통합_가정!$E$18))*12+MONTH(Z6)-MONTH(①통합_가정!$E$18)+1,0)</f>
        <v>0</v>
      </c>
      <c r="AA15" s="275" t="n">
        <f aca="false">IF(AA14=1,(YEAR(AA6)-YEAR(①통합_가정!$E$18))*12+MONTH(AA6)-MONTH(①통합_가정!$E$18)+1,0)</f>
        <v>0</v>
      </c>
      <c r="AB15" s="275" t="n">
        <f aca="false">IF(AB14=1,(YEAR(AB6)-YEAR(①통합_가정!$E$18))*12+MONTH(AB6)-MONTH(①통합_가정!$E$18)+1,0)</f>
        <v>0</v>
      </c>
      <c r="AC15" s="275" t="n">
        <f aca="false">IF(AC14=1,(YEAR(AC6)-YEAR(①통합_가정!$E$18))*12+MONTH(AC6)-MONTH(①통합_가정!$E$18)+1,0)</f>
        <v>0</v>
      </c>
      <c r="AD15" s="275" t="n">
        <f aca="false">IF(AD14=1,(YEAR(AD6)-YEAR(①통합_가정!$E$18))*12+MONTH(AD6)-MONTH(①통합_가정!$E$18)+1,0)</f>
        <v>0</v>
      </c>
      <c r="AE15" s="275" t="n">
        <f aca="false">IF(AE14=1,(YEAR(AE6)-YEAR(①통합_가정!$E$18))*12+MONTH(AE6)-MONTH(①통합_가정!$E$18)+1,0)</f>
        <v>0</v>
      </c>
      <c r="AF15" s="275" t="n">
        <f aca="false">IF(AF14=1,(YEAR(AF6)-YEAR(①통합_가정!$E$18))*12+MONTH(AF6)-MONTH(①통합_가정!$E$18)+1,0)</f>
        <v>0</v>
      </c>
      <c r="AG15" s="275" t="n">
        <f aca="false">IF(AG14=1,(YEAR(AG6)-YEAR(①통합_가정!$E$18))*12+MONTH(AG6)-MONTH(①통합_가정!$E$18)+1,0)</f>
        <v>0</v>
      </c>
      <c r="AH15" s="275" t="n">
        <f aca="false">IF(AH14=1,(YEAR(AH6)-YEAR(①통합_가정!$E$18))*12+MONTH(AH6)-MONTH(①통합_가정!$E$18)+1,0)</f>
        <v>0</v>
      </c>
      <c r="AI15" s="275" t="n">
        <f aca="false">IF(AI14=1,(YEAR(AI6)-YEAR(①통합_가정!$E$18))*12+MONTH(AI6)-MONTH(①통합_가정!$E$18)+1,0)</f>
        <v>0</v>
      </c>
      <c r="AJ15" s="275" t="n">
        <f aca="false">IF(AJ14=1,(YEAR(AJ6)-YEAR(①통합_가정!$E$18))*12+MONTH(AJ6)-MONTH(①통합_가정!$E$18)+1,0)</f>
        <v>0</v>
      </c>
      <c r="AK15" s="275" t="n">
        <f aca="false">IF(AK14=1,(YEAR(AK6)-YEAR(①통합_가정!$E$18))*12+MONTH(AK6)-MONTH(①통합_가정!$E$18)+1,0)</f>
        <v>0</v>
      </c>
      <c r="AL15" s="275" t="n">
        <f aca="false">IF(AL14=1,(YEAR(AL6)-YEAR(①통합_가정!$E$18))*12+MONTH(AL6)-MONTH(①통합_가정!$E$18)+1,0)</f>
        <v>0</v>
      </c>
      <c r="AM15" s="275" t="n">
        <f aca="false">IF(AM14=1,(YEAR(AM6)-YEAR(①통합_가정!$E$18))*12+MONTH(AM6)-MONTH(①통합_가정!$E$18)+1,0)</f>
        <v>0</v>
      </c>
      <c r="AN15" s="275" t="n">
        <f aca="false">IF(AN14=1,(YEAR(AN6)-YEAR(①통합_가정!$E$18))*12+MONTH(AN6)-MONTH(①통합_가정!$E$18)+1,0)</f>
        <v>0</v>
      </c>
      <c r="AO15" s="275" t="n">
        <f aca="false">IF(AO14=1,(YEAR(AO6)-YEAR(①통합_가정!$E$18))*12+MONTH(AO6)-MONTH(①통합_가정!$E$18)+1,0)</f>
        <v>0</v>
      </c>
      <c r="AP15" s="275" t="n">
        <f aca="false">IF(AP14=1,(YEAR(AP6)-YEAR(①통합_가정!$E$18))*12+MONTH(AP6)-MONTH(①통합_가정!$E$18)+1,0)</f>
        <v>0</v>
      </c>
      <c r="AQ15" s="275" t="n">
        <f aca="false">IF(AQ14=1,(YEAR(AQ6)-YEAR(①통합_가정!$E$18))*12+MONTH(AQ6)-MONTH(①통합_가정!$E$18)+1,0)</f>
        <v>0</v>
      </c>
      <c r="AR15" s="275" t="n">
        <f aca="false">IF(AR14=1,(YEAR(AR6)-YEAR(①통합_가정!$E$18))*12+MONTH(AR6)-MONTH(①통합_가정!$E$18)+1,0)</f>
        <v>0</v>
      </c>
      <c r="AS15" s="275" t="n">
        <f aca="false">IF(AS14=1,(YEAR(AS6)-YEAR(①통합_가정!$E$18))*12+MONTH(AS6)-MONTH(①통합_가정!$E$18)+1,0)</f>
        <v>0</v>
      </c>
      <c r="AT15" s="275" t="n">
        <f aca="false">IF(AT14=1,(YEAR(AT6)-YEAR(①통합_가정!$E$18))*12+MONTH(AT6)-MONTH(①통합_가정!$E$18)+1,0)</f>
        <v>0</v>
      </c>
      <c r="AU15" s="275" t="n">
        <f aca="false">IF(AU14=1,(YEAR(AU6)-YEAR(①통합_가정!$E$18))*12+MONTH(AU6)-MONTH(①통합_가정!$E$18)+1,0)</f>
        <v>0</v>
      </c>
      <c r="AV15" s="275" t="n">
        <f aca="false">IF(AV14=1,(YEAR(AV6)-YEAR(①통합_가정!$E$18))*12+MONTH(AV6)-MONTH(①통합_가정!$E$18)+1,0)</f>
        <v>0</v>
      </c>
      <c r="AW15" s="275" t="n">
        <f aca="false">IF(AW14=1,(YEAR(AW6)-YEAR(①통합_가정!$E$18))*12+MONTH(AW6)-MONTH(①통합_가정!$E$18)+1,0)</f>
        <v>0</v>
      </c>
      <c r="AX15" s="275" t="n">
        <f aca="false">IF(AX14=1,(YEAR(AX6)-YEAR(①통합_가정!$E$18))*12+MONTH(AX6)-MONTH(①통합_가정!$E$18)+1,0)</f>
        <v>0</v>
      </c>
      <c r="AY15" s="275" t="n">
        <f aca="false">IF(AY14=1,(YEAR(AY6)-YEAR(①통합_가정!$E$18))*12+MONTH(AY6)-MONTH(①통합_가정!$E$18)+1,0)</f>
        <v>0</v>
      </c>
      <c r="AZ15" s="275" t="n">
        <f aca="false">IF(AZ14=1,(YEAR(AZ6)-YEAR(①통합_가정!$E$18))*12+MONTH(AZ6)-MONTH(①통합_가정!$E$18)+1,0)</f>
        <v>0</v>
      </c>
      <c r="BA15" s="275" t="n">
        <f aca="false">IF(BA14=1,(YEAR(BA6)-YEAR(①통합_가정!$E$18))*12+MONTH(BA6)-MONTH(①통합_가정!$E$18)+1,0)</f>
        <v>0</v>
      </c>
      <c r="BB15" s="275" t="n">
        <f aca="false">IF(BB14=1,(YEAR(BB6)-YEAR(①통합_가정!$E$18))*12+MONTH(BB6)-MONTH(①통합_가정!$E$18)+1,0)</f>
        <v>0</v>
      </c>
      <c r="BC15" s="275" t="n">
        <f aca="false">IF(BC14=1,(YEAR(BC6)-YEAR(①통합_가정!$E$18))*12+MONTH(BC6)-MONTH(①통합_가정!$E$18)+1,0)</f>
        <v>0</v>
      </c>
      <c r="BD15" s="275" t="n">
        <f aca="false">IF(BD14=1,(YEAR(BD6)-YEAR(①통합_가정!$E$18))*12+MONTH(BD6)-MONTH(①통합_가정!$E$18)+1,0)</f>
        <v>0</v>
      </c>
      <c r="BE15" s="275" t="n">
        <f aca="false">IF(BE14=1,(YEAR(BE6)-YEAR(①통합_가정!$E$18))*12+MONTH(BE6)-MONTH(①통합_가정!$E$18)+1,0)</f>
        <v>0</v>
      </c>
      <c r="BF15" s="275" t="n">
        <f aca="false">IF(BF14=1,(YEAR(BF6)-YEAR(①통합_가정!$E$18))*12+MONTH(BF6)-MONTH(①통합_가정!$E$18)+1,0)</f>
        <v>0</v>
      </c>
      <c r="BG15" s="275" t="n">
        <f aca="false">IF(BG14=1,(YEAR(BG6)-YEAR(①통합_가정!$E$18))*12+MONTH(BG6)-MONTH(①통합_가정!$E$18)+1,0)</f>
        <v>0</v>
      </c>
      <c r="BH15" s="275" t="n">
        <f aca="false">IF(BH14=1,(YEAR(BH6)-YEAR(①통합_가정!$E$18))*12+MONTH(BH6)-MONTH(①통합_가정!$E$18)+1,0)</f>
        <v>0</v>
      </c>
      <c r="BI15" s="275" t="n">
        <f aca="false">IF(BI14=1,(YEAR(BI6)-YEAR(①통합_가정!$E$18))*12+MONTH(BI6)-MONTH(①통합_가정!$E$18)+1,0)</f>
        <v>0</v>
      </c>
      <c r="BJ15" s="275" t="n">
        <f aca="false">IF(BJ14=1,(YEAR(BJ6)-YEAR(①통합_가정!$E$18))*12+MONTH(BJ6)-MONTH(①통합_가정!$E$18)+1,0)</f>
        <v>0</v>
      </c>
      <c r="BK15" s="275" t="n">
        <f aca="false">IF(BK14=1,(YEAR(BK6)-YEAR(①통합_가정!$E$18))*12+MONTH(BK6)-MONTH(①통합_가정!$E$18)+1,0)</f>
        <v>0</v>
      </c>
      <c r="BL15" s="275" t="n">
        <f aca="false">IF(BL14=1,(YEAR(BL6)-YEAR(①통합_가정!$E$18))*12+MONTH(BL6)-MONTH(①통합_가정!$E$18)+1,0)</f>
        <v>0</v>
      </c>
      <c r="BM15" s="275" t="n">
        <f aca="false">IF(BM14=1,(YEAR(BM6)-YEAR(①통합_가정!$E$18))*12+MONTH(BM6)-MONTH(①통합_가정!$E$18)+1,0)</f>
        <v>1</v>
      </c>
      <c r="BN15" s="275" t="n">
        <f aca="false">IF(BN14=1,(YEAR(BN6)-YEAR(①통합_가정!$E$18))*12+MONTH(BN6)-MONTH(①통합_가정!$E$18)+1,0)</f>
        <v>2</v>
      </c>
      <c r="BO15" s="275" t="n">
        <f aca="false">IF(BO14=1,(YEAR(BO6)-YEAR(①통합_가정!$E$18))*12+MONTH(BO6)-MONTH(①통합_가정!$E$18)+1,0)</f>
        <v>3</v>
      </c>
      <c r="BP15" s="275" t="n">
        <f aca="false">IF(BP14=1,(YEAR(BP6)-YEAR(①통합_가정!$E$18))*12+MONTH(BP6)-MONTH(①통합_가정!$E$18)+1,0)</f>
        <v>4</v>
      </c>
      <c r="BQ15" s="275" t="n">
        <f aca="false">IF(BQ14=1,(YEAR(BQ6)-YEAR(①통합_가정!$E$18))*12+MONTH(BQ6)-MONTH(①통합_가정!$E$18)+1,0)</f>
        <v>5</v>
      </c>
      <c r="BR15" s="275" t="n">
        <f aca="false">IF(BR14=1,(YEAR(BR6)-YEAR(①통합_가정!$E$18))*12+MONTH(BR6)-MONTH(①통합_가정!$E$18)+1,0)</f>
        <v>6</v>
      </c>
      <c r="BS15" s="275" t="n">
        <f aca="false">IF(BS14=1,(YEAR(BS6)-YEAR(①통합_가정!$E$18))*12+MONTH(BS6)-MONTH(①통합_가정!$E$18)+1,0)</f>
        <v>7</v>
      </c>
      <c r="BT15" s="275" t="n">
        <f aca="false">IF(BT14=1,(YEAR(BT6)-YEAR(①통합_가정!$E$18))*12+MONTH(BT6)-MONTH(①통합_가정!$E$18)+1,0)</f>
        <v>8</v>
      </c>
      <c r="BU15" s="275" t="n">
        <f aca="false">IF(BU14=1,(YEAR(BU6)-YEAR(①통합_가정!$E$18))*12+MONTH(BU6)-MONTH(①통합_가정!$E$18)+1,0)</f>
        <v>9</v>
      </c>
      <c r="BV15" s="275" t="n">
        <f aca="false">IF(BV14=1,(YEAR(BV6)-YEAR(①통합_가정!$E$18))*12+MONTH(BV6)-MONTH(①통합_가정!$E$18)+1,0)</f>
        <v>10</v>
      </c>
      <c r="BW15" s="275" t="n">
        <f aca="false">IF(BW14=1,(YEAR(BW6)-YEAR(①통합_가정!$E$18))*12+MONTH(BW6)-MONTH(①통합_가정!$E$18)+1,0)</f>
        <v>11</v>
      </c>
      <c r="BX15" s="275" t="n">
        <f aca="false">IF(BX14=1,(YEAR(BX6)-YEAR(①통합_가정!$E$18))*12+MONTH(BX6)-MONTH(①통합_가정!$E$18)+1,0)</f>
        <v>12</v>
      </c>
      <c r="BY15" s="275" t="n">
        <f aca="false">IF(BY14=1,(YEAR(BY6)-YEAR(①통합_가정!$E$18))*12+MONTH(BY6)-MONTH(①통합_가정!$E$18)+1,0)</f>
        <v>13</v>
      </c>
      <c r="BZ15" s="275" t="n">
        <f aca="false">IF(BZ14=1,(YEAR(BZ6)-YEAR(①통합_가정!$E$18))*12+MONTH(BZ6)-MONTH(①통합_가정!$E$18)+1,0)</f>
        <v>14</v>
      </c>
      <c r="CA15" s="275" t="n">
        <f aca="false">IF(CA14=1,(YEAR(CA6)-YEAR(①통합_가정!$E$18))*12+MONTH(CA6)-MONTH(①통합_가정!$E$18)+1,0)</f>
        <v>15</v>
      </c>
      <c r="CB15" s="275" t="n">
        <f aca="false">IF(CB14=1,(YEAR(CB6)-YEAR(①통합_가정!$E$18))*12+MONTH(CB6)-MONTH(①통합_가정!$E$18)+1,0)</f>
        <v>16</v>
      </c>
      <c r="CC15" s="275" t="n">
        <f aca="false">IF(CC14=1,(YEAR(CC6)-YEAR(①통합_가정!$E$18))*12+MONTH(CC6)-MONTH(①통합_가정!$E$18)+1,0)</f>
        <v>17</v>
      </c>
      <c r="CD15" s="275" t="n">
        <f aca="false">IF(CD14=1,(YEAR(CD6)-YEAR(①통합_가정!$E$18))*12+MONTH(CD6)-MONTH(①통합_가정!$E$18)+1,0)</f>
        <v>18</v>
      </c>
      <c r="CE15" s="275" t="n">
        <f aca="false">IF(CE14=1,(YEAR(CE6)-YEAR(①통합_가정!$E$18))*12+MONTH(CE6)-MONTH(①통합_가정!$E$18)+1,0)</f>
        <v>19</v>
      </c>
      <c r="CF15" s="275" t="n">
        <f aca="false">IF(CF14=1,(YEAR(CF6)-YEAR(①통합_가정!$E$18))*12+MONTH(CF6)-MONTH(①통합_가정!$E$18)+1,0)</f>
        <v>20</v>
      </c>
      <c r="CG15" s="275" t="n">
        <f aca="false">IF(CG14=1,(YEAR(CG6)-YEAR(①통합_가정!$E$18))*12+MONTH(CG6)-MONTH(①통합_가정!$E$18)+1,0)</f>
        <v>21</v>
      </c>
      <c r="CH15" s="275" t="n">
        <f aca="false">IF(CH14=1,(YEAR(CH6)-YEAR(①통합_가정!$E$18))*12+MONTH(CH6)-MONTH(①통합_가정!$E$18)+1,0)</f>
        <v>22</v>
      </c>
      <c r="CI15" s="275" t="n">
        <f aca="false">IF(CI14=1,(YEAR(CI6)-YEAR(①통합_가정!$E$18))*12+MONTH(CI6)-MONTH(①통합_가정!$E$18)+1,0)</f>
        <v>23</v>
      </c>
      <c r="CJ15" s="275" t="n">
        <f aca="false">IF(CJ14=1,(YEAR(CJ6)-YEAR(①통합_가정!$E$18))*12+MONTH(CJ6)-MONTH(①통합_가정!$E$18)+1,0)</f>
        <v>24</v>
      </c>
      <c r="CK15" s="275" t="n">
        <f aca="false">IF(CK14=1,(YEAR(CK6)-YEAR(①통합_가정!$E$18))*12+MONTH(CK6)-MONTH(①통합_가정!$E$18)+1,0)</f>
        <v>25</v>
      </c>
      <c r="CL15" s="275" t="n">
        <f aca="false">IF(CL14=1,(YEAR(CL6)-YEAR(①통합_가정!$E$18))*12+MONTH(CL6)-MONTH(①통합_가정!$E$18)+1,0)</f>
        <v>26</v>
      </c>
      <c r="CM15" s="275" t="n">
        <f aca="false">IF(CM14=1,(YEAR(CM6)-YEAR(①통합_가정!$E$18))*12+MONTH(CM6)-MONTH(①통합_가정!$E$18)+1,0)</f>
        <v>27</v>
      </c>
      <c r="CN15" s="275" t="n">
        <f aca="false">IF(CN14=1,(YEAR(CN6)-YEAR(①통합_가정!$E$18))*12+MONTH(CN6)-MONTH(①통합_가정!$E$18)+1,0)</f>
        <v>28</v>
      </c>
      <c r="CO15" s="275" t="n">
        <f aca="false">IF(CO14=1,(YEAR(CO6)-YEAR(①통합_가정!$E$18))*12+MONTH(CO6)-MONTH(①통합_가정!$E$18)+1,0)</f>
        <v>29</v>
      </c>
      <c r="CP15" s="275" t="n">
        <f aca="false">IF(CP14=1,(YEAR(CP6)-YEAR(①통합_가정!$E$18))*12+MONTH(CP6)-MONTH(①통합_가정!$E$18)+1,0)</f>
        <v>30</v>
      </c>
      <c r="CQ15" s="275" t="n">
        <f aca="false">IF(CQ14=1,(YEAR(CQ6)-YEAR(①통합_가정!$E$18))*12+MONTH(CQ6)-MONTH(①통합_가정!$E$18)+1,0)</f>
        <v>31</v>
      </c>
      <c r="CR15" s="275" t="n">
        <f aca="false">IF(CR14=1,(YEAR(CR6)-YEAR(①통합_가정!$E$18))*12+MONTH(CR6)-MONTH(①통합_가정!$E$18)+1,0)</f>
        <v>32</v>
      </c>
      <c r="CS15" s="275" t="n">
        <f aca="false">IF(CS14=1,(YEAR(CS6)-YEAR(①통합_가정!$E$18))*12+MONTH(CS6)-MONTH(①통합_가정!$E$18)+1,0)</f>
        <v>33</v>
      </c>
      <c r="CT15" s="275" t="n">
        <f aca="false">IF(CT14=1,(YEAR(CT6)-YEAR(①통합_가정!$E$18))*12+MONTH(CT6)-MONTH(①통합_가정!$E$18)+1,0)</f>
        <v>34</v>
      </c>
      <c r="CU15" s="275" t="n">
        <f aca="false">IF(CU14=1,(YEAR(CU6)-YEAR(①통합_가정!$E$18))*12+MONTH(CU6)-MONTH(①통합_가정!$E$18)+1,0)</f>
        <v>35</v>
      </c>
      <c r="CV15" s="275" t="n">
        <f aca="false">IF(CV14=1,(YEAR(CV6)-YEAR(①통합_가정!$E$18))*12+MONTH(CV6)-MONTH(①통합_가정!$E$18)+1,0)</f>
        <v>36</v>
      </c>
      <c r="CW15" s="275" t="n">
        <f aca="false">IF(CW14=1,(YEAR(CW6)-YEAR(①통합_가정!$E$18))*12+MONTH(CW6)-MONTH(①통합_가정!$E$18)+1,0)</f>
        <v>37</v>
      </c>
      <c r="CX15" s="275" t="n">
        <f aca="false">IF(CX14=1,(YEAR(CX6)-YEAR(①통합_가정!$E$18))*12+MONTH(CX6)-MONTH(①통합_가정!$E$18)+1,0)</f>
        <v>38</v>
      </c>
      <c r="CY15" s="275" t="n">
        <f aca="false">IF(CY14=1,(YEAR(CY6)-YEAR(①통합_가정!$E$18))*12+MONTH(CY6)-MONTH(①통합_가정!$E$18)+1,0)</f>
        <v>39</v>
      </c>
      <c r="CZ15" s="275" t="n">
        <f aca="false">IF(CZ14=1,(YEAR(CZ6)-YEAR(①통합_가정!$E$18))*12+MONTH(CZ6)-MONTH(①통합_가정!$E$18)+1,0)</f>
        <v>40</v>
      </c>
      <c r="DA15" s="275" t="n">
        <f aca="false">IF(DA14=1,(YEAR(DA6)-YEAR(①통합_가정!$E$18))*12+MONTH(DA6)-MONTH(①통합_가정!$E$18)+1,0)</f>
        <v>41</v>
      </c>
      <c r="DB15" s="275" t="n">
        <f aca="false">IF(DB14=1,(YEAR(DB6)-YEAR(①통합_가정!$E$18))*12+MONTH(DB6)-MONTH(①통합_가정!$E$18)+1,0)</f>
        <v>42</v>
      </c>
      <c r="DC15" s="275" t="n">
        <f aca="false">IF(DC14=1,(YEAR(DC6)-YEAR(①통합_가정!$E$18))*12+MONTH(DC6)-MONTH(①통합_가정!$E$18)+1,0)</f>
        <v>43</v>
      </c>
      <c r="DD15" s="275" t="n">
        <f aca="false">IF(DD14=1,(YEAR(DD6)-YEAR(①통합_가정!$E$18))*12+MONTH(DD6)-MONTH(①통합_가정!$E$18)+1,0)</f>
        <v>44</v>
      </c>
      <c r="DE15" s="275" t="n">
        <f aca="false">IF(DE14=1,(YEAR(DE6)-YEAR(①통합_가정!$E$18))*12+MONTH(DE6)-MONTH(①통합_가정!$E$18)+1,0)</f>
        <v>45</v>
      </c>
      <c r="DF15" s="275" t="n">
        <f aca="false">IF(DF14=1,(YEAR(DF6)-YEAR(①통합_가정!$E$18))*12+MONTH(DF6)-MONTH(①통합_가정!$E$18)+1,0)</f>
        <v>46</v>
      </c>
      <c r="DG15" s="275" t="n">
        <f aca="false">IF(DG14=1,(YEAR(DG6)-YEAR(①통합_가정!$E$18))*12+MONTH(DG6)-MONTH(①통합_가정!$E$18)+1,0)</f>
        <v>47</v>
      </c>
      <c r="DH15" s="275" t="n">
        <f aca="false">IF(DH14=1,(YEAR(DH6)-YEAR(①통합_가정!$E$18))*12+MONTH(DH6)-MONTH(①통합_가정!$E$18)+1,0)</f>
        <v>48</v>
      </c>
      <c r="DI15" s="275" t="n">
        <f aca="false">IF(DI14=1,(YEAR(DI6)-YEAR(①통합_가정!$E$18))*12+MONTH(DI6)-MONTH(①통합_가정!$E$18)+1,0)</f>
        <v>49</v>
      </c>
      <c r="DJ15" s="275" t="n">
        <f aca="false">IF(DJ14=1,(YEAR(DJ6)-YEAR(①통합_가정!$E$18))*12+MONTH(DJ6)-MONTH(①통합_가정!$E$18)+1,0)</f>
        <v>50</v>
      </c>
      <c r="DK15" s="275" t="n">
        <f aca="false">IF(DK14=1,(YEAR(DK6)-YEAR(①통합_가정!$E$18))*12+MONTH(DK6)-MONTH(①통합_가정!$E$18)+1,0)</f>
        <v>51</v>
      </c>
      <c r="DL15" s="275" t="n">
        <f aca="false">IF(DL14=1,(YEAR(DL6)-YEAR(①통합_가정!$E$18))*12+MONTH(DL6)-MONTH(①통합_가정!$E$18)+1,0)</f>
        <v>52</v>
      </c>
      <c r="DM15" s="275" t="n">
        <f aca="false">IF(DM14=1,(YEAR(DM6)-YEAR(①통합_가정!$E$18))*12+MONTH(DM6)-MONTH(①통합_가정!$E$18)+1,0)</f>
        <v>53</v>
      </c>
      <c r="DN15" s="275" t="n">
        <f aca="false">IF(DN14=1,(YEAR(DN6)-YEAR(①통합_가정!$E$18))*12+MONTH(DN6)-MONTH(①통합_가정!$E$18)+1,0)</f>
        <v>54</v>
      </c>
      <c r="DO15" s="275" t="n">
        <f aca="false">IF(DO14=1,(YEAR(DO6)-YEAR(①통합_가정!$E$18))*12+MONTH(DO6)-MONTH(①통합_가정!$E$18)+1,0)</f>
        <v>55</v>
      </c>
      <c r="DP15" s="275" t="n">
        <f aca="false">IF(DP14=1,(YEAR(DP6)-YEAR(①통합_가정!$E$18))*12+MONTH(DP6)-MONTH(①통합_가정!$E$18)+1,0)</f>
        <v>56</v>
      </c>
      <c r="DQ15" s="275" t="n">
        <f aca="false">IF(DQ14=1,(YEAR(DQ6)-YEAR(①통합_가정!$E$18))*12+MONTH(DQ6)-MONTH(①통합_가정!$E$18)+1,0)</f>
        <v>57</v>
      </c>
      <c r="DR15" s="275" t="n">
        <f aca="false">IF(DR14=1,(YEAR(DR6)-YEAR(①통합_가정!$E$18))*12+MONTH(DR6)-MONTH(①통합_가정!$E$18)+1,0)</f>
        <v>58</v>
      </c>
      <c r="DS15" s="275" t="n">
        <f aca="false">IF(DS14=1,(YEAR(DS6)-YEAR(①통합_가정!$E$18))*12+MONTH(DS6)-MONTH(①통합_가정!$E$18)+1,0)</f>
        <v>59</v>
      </c>
      <c r="DT15" s="275" t="n">
        <f aca="false">IF(DT14=1,(YEAR(DT6)-YEAR(①통합_가정!$E$18))*12+MONTH(DT6)-MONTH(①통합_가정!$E$18)+1,0)</f>
        <v>60</v>
      </c>
      <c r="DU15" s="275" t="n">
        <f aca="false">IF(DU14=1,(YEAR(DU6)-YEAR(①통합_가정!$E$18))*12+MONTH(DU6)-MONTH(①통합_가정!$E$18)+1,0)</f>
        <v>0</v>
      </c>
      <c r="DV15" s="275" t="n">
        <f aca="false">IF(DV14=1,(YEAR(DV6)-YEAR(①통합_가정!$E$18))*12+MONTH(DV6)-MONTH(①통합_가정!$E$18)+1,0)</f>
        <v>0</v>
      </c>
      <c r="DW15" s="275" t="n">
        <f aca="false">IF(DW14=1,(YEAR(DW6)-YEAR(①통합_가정!$E$18))*12+MONTH(DW6)-MONTH(①통합_가정!$E$18)+1,0)</f>
        <v>0</v>
      </c>
      <c r="DX15" s="275" t="n">
        <f aca="false">IF(DX14=1,(YEAR(DX6)-YEAR(①통합_가정!$E$18))*12+MONTH(DX6)-MONTH(①통합_가정!$E$18)+1,0)</f>
        <v>0</v>
      </c>
      <c r="DY15" s="275" t="n">
        <f aca="false">IF(DY14=1,(YEAR(DY6)-YEAR(①통합_가정!$E$18))*12+MONTH(DY6)-MONTH(①통합_가정!$E$18)+1,0)</f>
        <v>0</v>
      </c>
      <c r="DZ15" s="275" t="n">
        <f aca="false">IF(DZ14=1,(YEAR(DZ6)-YEAR(①통합_가정!$E$18))*12+MONTH(DZ6)-MONTH(①통합_가정!$E$18)+1,0)</f>
        <v>0</v>
      </c>
      <c r="EA15" s="275" t="n">
        <f aca="false">IF(EA14=1,(YEAR(EA6)-YEAR(①통합_가정!$E$18))*12+MONTH(EA6)-MONTH(①통합_가정!$E$18)+1,0)</f>
        <v>0</v>
      </c>
      <c r="EB15" s="275" t="n">
        <f aca="false">IF(EB14=1,(YEAR(EB6)-YEAR(①통합_가정!$E$18))*12+MONTH(EB6)-MONTH(①통합_가정!$E$18)+1,0)</f>
        <v>0</v>
      </c>
      <c r="EC15" s="275" t="n">
        <f aca="false">IF(EC14=1,(YEAR(EC6)-YEAR(①통합_가정!$E$18))*12+MONTH(EC6)-MONTH(①통합_가정!$E$18)+1,0)</f>
        <v>0</v>
      </c>
      <c r="ED15" s="275" t="n">
        <f aca="false">IF(ED14=1,(YEAR(ED6)-YEAR(①통합_가정!$E$18))*12+MONTH(ED6)-MONTH(①통합_가정!$E$18)+1,0)</f>
        <v>0</v>
      </c>
      <c r="EE15" s="275" t="n">
        <f aca="false">IF(EE14=1,(YEAR(EE6)-YEAR(①통합_가정!$E$18))*12+MONTH(EE6)-MONTH(①통합_가정!$E$18)+1,0)</f>
        <v>0</v>
      </c>
      <c r="EF15" s="275" t="n">
        <f aca="false">IF(EF14=1,(YEAR(EF6)-YEAR(①통합_가정!$E$18))*12+MONTH(EF6)-MONTH(①통합_가정!$E$18)+1,0)</f>
        <v>0</v>
      </c>
    </row>
    <row r="16" customFormat="false" ht="15" hidden="false" customHeight="false" outlineLevel="0" collapsed="false">
      <c r="A16" s="36" t="s">
        <v>572</v>
      </c>
      <c r="B16" s="273"/>
      <c r="E16" s="275" t="n">
        <f aca="false">IF(E15&gt;0,INT((E15-1)/12)+1,0)</f>
        <v>0</v>
      </c>
      <c r="F16" s="275" t="n">
        <f aca="false">IF(F15&gt;0,INT((F15-1)/12)+1,0)</f>
        <v>0</v>
      </c>
      <c r="G16" s="275" t="n">
        <f aca="false">IF(G15&gt;0,INT((G15-1)/12)+1,0)</f>
        <v>0</v>
      </c>
      <c r="H16" s="275" t="n">
        <f aca="false">IF(H15&gt;0,INT((H15-1)/12)+1,0)</f>
        <v>0</v>
      </c>
      <c r="I16" s="275" t="n">
        <f aca="false">IF(I15&gt;0,INT((I15-1)/12)+1,0)</f>
        <v>0</v>
      </c>
      <c r="J16" s="275" t="n">
        <f aca="false">IF(J15&gt;0,INT((J15-1)/12)+1,0)</f>
        <v>0</v>
      </c>
      <c r="K16" s="275" t="n">
        <f aca="false">IF(K15&gt;0,INT((K15-1)/12)+1,0)</f>
        <v>0</v>
      </c>
      <c r="L16" s="275" t="n">
        <f aca="false">IF(L15&gt;0,INT((L15-1)/12)+1,0)</f>
        <v>0</v>
      </c>
      <c r="M16" s="275" t="n">
        <f aca="false">IF(M15&gt;0,INT((M15-1)/12)+1,0)</f>
        <v>0</v>
      </c>
      <c r="N16" s="275" t="n">
        <f aca="false">IF(N15&gt;0,INT((N15-1)/12)+1,0)</f>
        <v>0</v>
      </c>
      <c r="O16" s="275" t="n">
        <f aca="false">IF(O15&gt;0,INT((O15-1)/12)+1,0)</f>
        <v>0</v>
      </c>
      <c r="P16" s="275" t="n">
        <f aca="false">IF(P15&gt;0,INT((P15-1)/12)+1,0)</f>
        <v>0</v>
      </c>
      <c r="Q16" s="275" t="n">
        <f aca="false">IF(Q15&gt;0,INT((Q15-1)/12)+1,0)</f>
        <v>0</v>
      </c>
      <c r="R16" s="275" t="n">
        <f aca="false">IF(R15&gt;0,INT((R15-1)/12)+1,0)</f>
        <v>0</v>
      </c>
      <c r="S16" s="275" t="n">
        <f aca="false">IF(S15&gt;0,INT((S15-1)/12)+1,0)</f>
        <v>0</v>
      </c>
      <c r="T16" s="275" t="n">
        <f aca="false">IF(T15&gt;0,INT((T15-1)/12)+1,0)</f>
        <v>0</v>
      </c>
      <c r="U16" s="275" t="n">
        <f aca="false">IF(U15&gt;0,INT((U15-1)/12)+1,0)</f>
        <v>0</v>
      </c>
      <c r="V16" s="275" t="n">
        <f aca="false">IF(V15&gt;0,INT((V15-1)/12)+1,0)</f>
        <v>0</v>
      </c>
      <c r="W16" s="275" t="n">
        <f aca="false">IF(W15&gt;0,INT((W15-1)/12)+1,0)</f>
        <v>0</v>
      </c>
      <c r="X16" s="275" t="n">
        <f aca="false">IF(X15&gt;0,INT((X15-1)/12)+1,0)</f>
        <v>0</v>
      </c>
      <c r="Y16" s="275" t="n">
        <f aca="false">IF(Y15&gt;0,INT((Y15-1)/12)+1,0)</f>
        <v>0</v>
      </c>
      <c r="Z16" s="275" t="n">
        <f aca="false">IF(Z15&gt;0,INT((Z15-1)/12)+1,0)</f>
        <v>0</v>
      </c>
      <c r="AA16" s="275" t="n">
        <f aca="false">IF(AA15&gt;0,INT((AA15-1)/12)+1,0)</f>
        <v>0</v>
      </c>
      <c r="AB16" s="275" t="n">
        <f aca="false">IF(AB15&gt;0,INT((AB15-1)/12)+1,0)</f>
        <v>0</v>
      </c>
      <c r="AC16" s="275" t="n">
        <f aca="false">IF(AC15&gt;0,INT((AC15-1)/12)+1,0)</f>
        <v>0</v>
      </c>
      <c r="AD16" s="275" t="n">
        <f aca="false">IF(AD15&gt;0,INT((AD15-1)/12)+1,0)</f>
        <v>0</v>
      </c>
      <c r="AE16" s="275" t="n">
        <f aca="false">IF(AE15&gt;0,INT((AE15-1)/12)+1,0)</f>
        <v>0</v>
      </c>
      <c r="AF16" s="275" t="n">
        <f aca="false">IF(AF15&gt;0,INT((AF15-1)/12)+1,0)</f>
        <v>0</v>
      </c>
      <c r="AG16" s="275" t="n">
        <f aca="false">IF(AG15&gt;0,INT((AG15-1)/12)+1,0)</f>
        <v>0</v>
      </c>
      <c r="AH16" s="275" t="n">
        <f aca="false">IF(AH15&gt;0,INT((AH15-1)/12)+1,0)</f>
        <v>0</v>
      </c>
      <c r="AI16" s="275" t="n">
        <f aca="false">IF(AI15&gt;0,INT((AI15-1)/12)+1,0)</f>
        <v>0</v>
      </c>
      <c r="AJ16" s="275" t="n">
        <f aca="false">IF(AJ15&gt;0,INT((AJ15-1)/12)+1,0)</f>
        <v>0</v>
      </c>
      <c r="AK16" s="275" t="n">
        <f aca="false">IF(AK15&gt;0,INT((AK15-1)/12)+1,0)</f>
        <v>0</v>
      </c>
      <c r="AL16" s="275" t="n">
        <f aca="false">IF(AL15&gt;0,INT((AL15-1)/12)+1,0)</f>
        <v>0</v>
      </c>
      <c r="AM16" s="275" t="n">
        <f aca="false">IF(AM15&gt;0,INT((AM15-1)/12)+1,0)</f>
        <v>0</v>
      </c>
      <c r="AN16" s="275" t="n">
        <f aca="false">IF(AN15&gt;0,INT((AN15-1)/12)+1,0)</f>
        <v>0</v>
      </c>
      <c r="AO16" s="275" t="n">
        <f aca="false">IF(AO15&gt;0,INT((AO15-1)/12)+1,0)</f>
        <v>0</v>
      </c>
      <c r="AP16" s="275" t="n">
        <f aca="false">IF(AP15&gt;0,INT((AP15-1)/12)+1,0)</f>
        <v>0</v>
      </c>
      <c r="AQ16" s="275" t="n">
        <f aca="false">IF(AQ15&gt;0,INT((AQ15-1)/12)+1,0)</f>
        <v>0</v>
      </c>
      <c r="AR16" s="275" t="n">
        <f aca="false">IF(AR15&gt;0,INT((AR15-1)/12)+1,0)</f>
        <v>0</v>
      </c>
      <c r="AS16" s="275" t="n">
        <f aca="false">IF(AS15&gt;0,INT((AS15-1)/12)+1,0)</f>
        <v>0</v>
      </c>
      <c r="AT16" s="275" t="n">
        <f aca="false">IF(AT15&gt;0,INT((AT15-1)/12)+1,0)</f>
        <v>0</v>
      </c>
      <c r="AU16" s="275" t="n">
        <f aca="false">IF(AU15&gt;0,INT((AU15-1)/12)+1,0)</f>
        <v>0</v>
      </c>
      <c r="AV16" s="275" t="n">
        <f aca="false">IF(AV15&gt;0,INT((AV15-1)/12)+1,0)</f>
        <v>0</v>
      </c>
      <c r="AW16" s="275" t="n">
        <f aca="false">IF(AW15&gt;0,INT((AW15-1)/12)+1,0)</f>
        <v>0</v>
      </c>
      <c r="AX16" s="275" t="n">
        <f aca="false">IF(AX15&gt;0,INT((AX15-1)/12)+1,0)</f>
        <v>0</v>
      </c>
      <c r="AY16" s="275" t="n">
        <f aca="false">IF(AY15&gt;0,INT((AY15-1)/12)+1,0)</f>
        <v>0</v>
      </c>
      <c r="AZ16" s="275" t="n">
        <f aca="false">IF(AZ15&gt;0,INT((AZ15-1)/12)+1,0)</f>
        <v>0</v>
      </c>
      <c r="BA16" s="275" t="n">
        <f aca="false">IF(BA15&gt;0,INT((BA15-1)/12)+1,0)</f>
        <v>0</v>
      </c>
      <c r="BB16" s="275" t="n">
        <f aca="false">IF(BB15&gt;0,INT((BB15-1)/12)+1,0)</f>
        <v>0</v>
      </c>
      <c r="BC16" s="275" t="n">
        <f aca="false">IF(BC15&gt;0,INT((BC15-1)/12)+1,0)</f>
        <v>0</v>
      </c>
      <c r="BD16" s="275" t="n">
        <f aca="false">IF(BD15&gt;0,INT((BD15-1)/12)+1,0)</f>
        <v>0</v>
      </c>
      <c r="BE16" s="275" t="n">
        <f aca="false">IF(BE15&gt;0,INT((BE15-1)/12)+1,0)</f>
        <v>0</v>
      </c>
      <c r="BF16" s="275" t="n">
        <f aca="false">IF(BF15&gt;0,INT((BF15-1)/12)+1,0)</f>
        <v>0</v>
      </c>
      <c r="BG16" s="275" t="n">
        <f aca="false">IF(BG15&gt;0,INT((BG15-1)/12)+1,0)</f>
        <v>0</v>
      </c>
      <c r="BH16" s="275" t="n">
        <f aca="false">IF(BH15&gt;0,INT((BH15-1)/12)+1,0)</f>
        <v>0</v>
      </c>
      <c r="BI16" s="275" t="n">
        <f aca="false">IF(BI15&gt;0,INT((BI15-1)/12)+1,0)</f>
        <v>0</v>
      </c>
      <c r="BJ16" s="275" t="n">
        <f aca="false">IF(BJ15&gt;0,INT((BJ15-1)/12)+1,0)</f>
        <v>0</v>
      </c>
      <c r="BK16" s="275" t="n">
        <f aca="false">IF(BK15&gt;0,INT((BK15-1)/12)+1,0)</f>
        <v>0</v>
      </c>
      <c r="BL16" s="275" t="n">
        <f aca="false">IF(BL15&gt;0,INT((BL15-1)/12)+1,0)</f>
        <v>0</v>
      </c>
      <c r="BM16" s="275" t="n">
        <f aca="false">IF(BM15&gt;0,INT((BM15-1)/12)+1,0)</f>
        <v>1</v>
      </c>
      <c r="BN16" s="275" t="n">
        <f aca="false">IF(BN15&gt;0,INT((BN15-1)/12)+1,0)</f>
        <v>1</v>
      </c>
      <c r="BO16" s="275" t="n">
        <f aca="false">IF(BO15&gt;0,INT((BO15-1)/12)+1,0)</f>
        <v>1</v>
      </c>
      <c r="BP16" s="275" t="n">
        <f aca="false">IF(BP15&gt;0,INT((BP15-1)/12)+1,0)</f>
        <v>1</v>
      </c>
      <c r="BQ16" s="275" t="n">
        <f aca="false">IF(BQ15&gt;0,INT((BQ15-1)/12)+1,0)</f>
        <v>1</v>
      </c>
      <c r="BR16" s="275" t="n">
        <f aca="false">IF(BR15&gt;0,INT((BR15-1)/12)+1,0)</f>
        <v>1</v>
      </c>
      <c r="BS16" s="275" t="n">
        <f aca="false">IF(BS15&gt;0,INT((BS15-1)/12)+1,0)</f>
        <v>1</v>
      </c>
      <c r="BT16" s="275" t="n">
        <f aca="false">IF(BT15&gt;0,INT((BT15-1)/12)+1,0)</f>
        <v>1</v>
      </c>
      <c r="BU16" s="275" t="n">
        <f aca="false">IF(BU15&gt;0,INT((BU15-1)/12)+1,0)</f>
        <v>1</v>
      </c>
      <c r="BV16" s="275" t="n">
        <f aca="false">IF(BV15&gt;0,INT((BV15-1)/12)+1,0)</f>
        <v>1</v>
      </c>
      <c r="BW16" s="275" t="n">
        <f aca="false">IF(BW15&gt;0,INT((BW15-1)/12)+1,0)</f>
        <v>1</v>
      </c>
      <c r="BX16" s="275" t="n">
        <f aca="false">IF(BX15&gt;0,INT((BX15-1)/12)+1,0)</f>
        <v>1</v>
      </c>
      <c r="BY16" s="275" t="n">
        <f aca="false">IF(BY15&gt;0,INT((BY15-1)/12)+1,0)</f>
        <v>2</v>
      </c>
      <c r="BZ16" s="275" t="n">
        <f aca="false">IF(BZ15&gt;0,INT((BZ15-1)/12)+1,0)</f>
        <v>2</v>
      </c>
      <c r="CA16" s="275" t="n">
        <f aca="false">IF(CA15&gt;0,INT((CA15-1)/12)+1,0)</f>
        <v>2</v>
      </c>
      <c r="CB16" s="275" t="n">
        <f aca="false">IF(CB15&gt;0,INT((CB15-1)/12)+1,0)</f>
        <v>2</v>
      </c>
      <c r="CC16" s="275" t="n">
        <f aca="false">IF(CC15&gt;0,INT((CC15-1)/12)+1,0)</f>
        <v>2</v>
      </c>
      <c r="CD16" s="275" t="n">
        <f aca="false">IF(CD15&gt;0,INT((CD15-1)/12)+1,0)</f>
        <v>2</v>
      </c>
      <c r="CE16" s="275" t="n">
        <f aca="false">IF(CE15&gt;0,INT((CE15-1)/12)+1,0)</f>
        <v>2</v>
      </c>
      <c r="CF16" s="275" t="n">
        <f aca="false">IF(CF15&gt;0,INT((CF15-1)/12)+1,0)</f>
        <v>2</v>
      </c>
      <c r="CG16" s="275" t="n">
        <f aca="false">IF(CG15&gt;0,INT((CG15-1)/12)+1,0)</f>
        <v>2</v>
      </c>
      <c r="CH16" s="275" t="n">
        <f aca="false">IF(CH15&gt;0,INT((CH15-1)/12)+1,0)</f>
        <v>2</v>
      </c>
      <c r="CI16" s="275" t="n">
        <f aca="false">IF(CI15&gt;0,INT((CI15-1)/12)+1,0)</f>
        <v>2</v>
      </c>
      <c r="CJ16" s="275" t="n">
        <f aca="false">IF(CJ15&gt;0,INT((CJ15-1)/12)+1,0)</f>
        <v>2</v>
      </c>
      <c r="CK16" s="275" t="n">
        <f aca="false">IF(CK15&gt;0,INT((CK15-1)/12)+1,0)</f>
        <v>3</v>
      </c>
      <c r="CL16" s="275" t="n">
        <f aca="false">IF(CL15&gt;0,INT((CL15-1)/12)+1,0)</f>
        <v>3</v>
      </c>
      <c r="CM16" s="275" t="n">
        <f aca="false">IF(CM15&gt;0,INT((CM15-1)/12)+1,0)</f>
        <v>3</v>
      </c>
      <c r="CN16" s="275" t="n">
        <f aca="false">IF(CN15&gt;0,INT((CN15-1)/12)+1,0)</f>
        <v>3</v>
      </c>
      <c r="CO16" s="275" t="n">
        <f aca="false">IF(CO15&gt;0,INT((CO15-1)/12)+1,0)</f>
        <v>3</v>
      </c>
      <c r="CP16" s="275" t="n">
        <f aca="false">IF(CP15&gt;0,INT((CP15-1)/12)+1,0)</f>
        <v>3</v>
      </c>
      <c r="CQ16" s="275" t="n">
        <f aca="false">IF(CQ15&gt;0,INT((CQ15-1)/12)+1,0)</f>
        <v>3</v>
      </c>
      <c r="CR16" s="275" t="n">
        <f aca="false">IF(CR15&gt;0,INT((CR15-1)/12)+1,0)</f>
        <v>3</v>
      </c>
      <c r="CS16" s="275" t="n">
        <f aca="false">IF(CS15&gt;0,INT((CS15-1)/12)+1,0)</f>
        <v>3</v>
      </c>
      <c r="CT16" s="275" t="n">
        <f aca="false">IF(CT15&gt;0,INT((CT15-1)/12)+1,0)</f>
        <v>3</v>
      </c>
      <c r="CU16" s="275" t="n">
        <f aca="false">IF(CU15&gt;0,INT((CU15-1)/12)+1,0)</f>
        <v>3</v>
      </c>
      <c r="CV16" s="275" t="n">
        <f aca="false">IF(CV15&gt;0,INT((CV15-1)/12)+1,0)</f>
        <v>3</v>
      </c>
      <c r="CW16" s="275" t="n">
        <f aca="false">IF(CW15&gt;0,INT((CW15-1)/12)+1,0)</f>
        <v>4</v>
      </c>
      <c r="CX16" s="275" t="n">
        <f aca="false">IF(CX15&gt;0,INT((CX15-1)/12)+1,0)</f>
        <v>4</v>
      </c>
      <c r="CY16" s="275" t="n">
        <f aca="false">IF(CY15&gt;0,INT((CY15-1)/12)+1,0)</f>
        <v>4</v>
      </c>
      <c r="CZ16" s="275" t="n">
        <f aca="false">IF(CZ15&gt;0,INT((CZ15-1)/12)+1,0)</f>
        <v>4</v>
      </c>
      <c r="DA16" s="275" t="n">
        <f aca="false">IF(DA15&gt;0,INT((DA15-1)/12)+1,0)</f>
        <v>4</v>
      </c>
      <c r="DB16" s="275" t="n">
        <f aca="false">IF(DB15&gt;0,INT((DB15-1)/12)+1,0)</f>
        <v>4</v>
      </c>
      <c r="DC16" s="275" t="n">
        <f aca="false">IF(DC15&gt;0,INT((DC15-1)/12)+1,0)</f>
        <v>4</v>
      </c>
      <c r="DD16" s="275" t="n">
        <f aca="false">IF(DD15&gt;0,INT((DD15-1)/12)+1,0)</f>
        <v>4</v>
      </c>
      <c r="DE16" s="275" t="n">
        <f aca="false">IF(DE15&gt;0,INT((DE15-1)/12)+1,0)</f>
        <v>4</v>
      </c>
      <c r="DF16" s="275" t="n">
        <f aca="false">IF(DF15&gt;0,INT((DF15-1)/12)+1,0)</f>
        <v>4</v>
      </c>
      <c r="DG16" s="275" t="n">
        <f aca="false">IF(DG15&gt;0,INT((DG15-1)/12)+1,0)</f>
        <v>4</v>
      </c>
      <c r="DH16" s="275" t="n">
        <f aca="false">IF(DH15&gt;0,INT((DH15-1)/12)+1,0)</f>
        <v>4</v>
      </c>
      <c r="DI16" s="275" t="n">
        <f aca="false">IF(DI15&gt;0,INT((DI15-1)/12)+1,0)</f>
        <v>5</v>
      </c>
      <c r="DJ16" s="275" t="n">
        <f aca="false">IF(DJ15&gt;0,INT((DJ15-1)/12)+1,0)</f>
        <v>5</v>
      </c>
      <c r="DK16" s="275" t="n">
        <f aca="false">IF(DK15&gt;0,INT((DK15-1)/12)+1,0)</f>
        <v>5</v>
      </c>
      <c r="DL16" s="275" t="n">
        <f aca="false">IF(DL15&gt;0,INT((DL15-1)/12)+1,0)</f>
        <v>5</v>
      </c>
      <c r="DM16" s="275" t="n">
        <f aca="false">IF(DM15&gt;0,INT((DM15-1)/12)+1,0)</f>
        <v>5</v>
      </c>
      <c r="DN16" s="275" t="n">
        <f aca="false">IF(DN15&gt;0,INT((DN15-1)/12)+1,0)</f>
        <v>5</v>
      </c>
      <c r="DO16" s="275" t="n">
        <f aca="false">IF(DO15&gt;0,INT((DO15-1)/12)+1,0)</f>
        <v>5</v>
      </c>
      <c r="DP16" s="275" t="n">
        <f aca="false">IF(DP15&gt;0,INT((DP15-1)/12)+1,0)</f>
        <v>5</v>
      </c>
      <c r="DQ16" s="275" t="n">
        <f aca="false">IF(DQ15&gt;0,INT((DQ15-1)/12)+1,0)</f>
        <v>5</v>
      </c>
      <c r="DR16" s="275" t="n">
        <f aca="false">IF(DR15&gt;0,INT((DR15-1)/12)+1,0)</f>
        <v>5</v>
      </c>
      <c r="DS16" s="275" t="n">
        <f aca="false">IF(DS15&gt;0,INT((DS15-1)/12)+1,0)</f>
        <v>5</v>
      </c>
      <c r="DT16" s="275" t="n">
        <f aca="false">IF(DT15&gt;0,INT((DT15-1)/12)+1,0)</f>
        <v>5</v>
      </c>
      <c r="DU16" s="275" t="n">
        <f aca="false">IF(DU15&gt;0,INT((DU15-1)/12)+1,0)</f>
        <v>0</v>
      </c>
      <c r="DV16" s="275" t="n">
        <f aca="false">IF(DV15&gt;0,INT((DV15-1)/12)+1,0)</f>
        <v>0</v>
      </c>
      <c r="DW16" s="275" t="n">
        <f aca="false">IF(DW15&gt;0,INT((DW15-1)/12)+1,0)</f>
        <v>0</v>
      </c>
      <c r="DX16" s="275" t="n">
        <f aca="false">IF(DX15&gt;0,INT((DX15-1)/12)+1,0)</f>
        <v>0</v>
      </c>
      <c r="DY16" s="275" t="n">
        <f aca="false">IF(DY15&gt;0,INT((DY15-1)/12)+1,0)</f>
        <v>0</v>
      </c>
      <c r="DZ16" s="275" t="n">
        <f aca="false">IF(DZ15&gt;0,INT((DZ15-1)/12)+1,0)</f>
        <v>0</v>
      </c>
      <c r="EA16" s="275" t="n">
        <f aca="false">IF(EA15&gt;0,INT((EA15-1)/12)+1,0)</f>
        <v>0</v>
      </c>
      <c r="EB16" s="275" t="n">
        <f aca="false">IF(EB15&gt;0,INT((EB15-1)/12)+1,0)</f>
        <v>0</v>
      </c>
      <c r="EC16" s="275" t="n">
        <f aca="false">IF(EC15&gt;0,INT((EC15-1)/12)+1,0)</f>
        <v>0</v>
      </c>
      <c r="ED16" s="275" t="n">
        <f aca="false">IF(ED15&gt;0,INT((ED15-1)/12)+1,0)</f>
        <v>0</v>
      </c>
      <c r="EE16" s="275" t="n">
        <f aca="false">IF(EE15&gt;0,INT((EE15-1)/12)+1,0)</f>
        <v>0</v>
      </c>
      <c r="EF16" s="275" t="n">
        <f aca="false">IF(EF15&gt;0,INT((EF15-1)/12)+1,0)</f>
        <v>0</v>
      </c>
    </row>
    <row r="17" customFormat="false" ht="15" hidden="false" customHeight="false" outlineLevel="0" collapsed="false">
      <c r="A17" s="36" t="s">
        <v>573</v>
      </c>
      <c r="B17" s="273"/>
      <c r="E17" s="276" t="n">
        <f aca="false">IF(AND(E6&gt;=①통합_가정!$E$18,E6&lt;=①통합_가정!$E$24),1,0)</f>
        <v>0</v>
      </c>
      <c r="F17" s="276" t="n">
        <f aca="false">IF(AND(F6&gt;=①통합_가정!$E$18,F6&lt;=①통합_가정!$E$24),1,0)</f>
        <v>0</v>
      </c>
      <c r="G17" s="276" t="n">
        <f aca="false">IF(AND(G6&gt;=①통합_가정!$E$18,G6&lt;=①통합_가정!$E$24),1,0)</f>
        <v>0</v>
      </c>
      <c r="H17" s="276" t="n">
        <f aca="false">IF(AND(H6&gt;=①통합_가정!$E$18,H6&lt;=①통합_가정!$E$24),1,0)</f>
        <v>0</v>
      </c>
      <c r="I17" s="276" t="n">
        <f aca="false">IF(AND(I6&gt;=①통합_가정!$E$18,I6&lt;=①통합_가정!$E$24),1,0)</f>
        <v>0</v>
      </c>
      <c r="J17" s="276" t="n">
        <f aca="false">IF(AND(J6&gt;=①통합_가정!$E$18,J6&lt;=①통합_가정!$E$24),1,0)</f>
        <v>0</v>
      </c>
      <c r="K17" s="276" t="n">
        <f aca="false">IF(AND(K6&gt;=①통합_가정!$E$18,K6&lt;=①통합_가정!$E$24),1,0)</f>
        <v>0</v>
      </c>
      <c r="L17" s="276" t="n">
        <f aca="false">IF(AND(L6&gt;=①통합_가정!$E$18,L6&lt;=①통합_가정!$E$24),1,0)</f>
        <v>0</v>
      </c>
      <c r="M17" s="276" t="n">
        <f aca="false">IF(AND(M6&gt;=①통합_가정!$E$18,M6&lt;=①통합_가정!$E$24),1,0)</f>
        <v>0</v>
      </c>
      <c r="N17" s="276" t="n">
        <f aca="false">IF(AND(N6&gt;=①통합_가정!$E$18,N6&lt;=①통합_가정!$E$24),1,0)</f>
        <v>0</v>
      </c>
      <c r="O17" s="276" t="n">
        <f aca="false">IF(AND(O6&gt;=①통합_가정!$E$18,O6&lt;=①통합_가정!$E$24),1,0)</f>
        <v>0</v>
      </c>
      <c r="P17" s="276" t="n">
        <f aca="false">IF(AND(P6&gt;=①통합_가정!$E$18,P6&lt;=①통합_가정!$E$24),1,0)</f>
        <v>0</v>
      </c>
      <c r="Q17" s="276" t="n">
        <f aca="false">IF(AND(Q6&gt;=①통합_가정!$E$18,Q6&lt;=①통합_가정!$E$24),1,0)</f>
        <v>0</v>
      </c>
      <c r="R17" s="276" t="n">
        <f aca="false">IF(AND(R6&gt;=①통합_가정!$E$18,R6&lt;=①통합_가정!$E$24),1,0)</f>
        <v>0</v>
      </c>
      <c r="S17" s="276" t="n">
        <f aca="false">IF(AND(S6&gt;=①통합_가정!$E$18,S6&lt;=①통합_가정!$E$24),1,0)</f>
        <v>0</v>
      </c>
      <c r="T17" s="276" t="n">
        <f aca="false">IF(AND(T6&gt;=①통합_가정!$E$18,T6&lt;=①통합_가정!$E$24),1,0)</f>
        <v>0</v>
      </c>
      <c r="U17" s="276" t="n">
        <f aca="false">IF(AND(U6&gt;=①통합_가정!$E$18,U6&lt;=①통합_가정!$E$24),1,0)</f>
        <v>0</v>
      </c>
      <c r="V17" s="276" t="n">
        <f aca="false">IF(AND(V6&gt;=①통합_가정!$E$18,V6&lt;=①통합_가정!$E$24),1,0)</f>
        <v>0</v>
      </c>
      <c r="W17" s="276" t="n">
        <f aca="false">IF(AND(W6&gt;=①통합_가정!$E$18,W6&lt;=①통합_가정!$E$24),1,0)</f>
        <v>0</v>
      </c>
      <c r="X17" s="276" t="n">
        <f aca="false">IF(AND(X6&gt;=①통합_가정!$E$18,X6&lt;=①통합_가정!$E$24),1,0)</f>
        <v>0</v>
      </c>
      <c r="Y17" s="276" t="n">
        <f aca="false">IF(AND(Y6&gt;=①통합_가정!$E$18,Y6&lt;=①통합_가정!$E$24),1,0)</f>
        <v>0</v>
      </c>
      <c r="Z17" s="276" t="n">
        <f aca="false">IF(AND(Z6&gt;=①통합_가정!$E$18,Z6&lt;=①통합_가정!$E$24),1,0)</f>
        <v>0</v>
      </c>
      <c r="AA17" s="276" t="n">
        <f aca="false">IF(AND(AA6&gt;=①통합_가정!$E$18,AA6&lt;=①통합_가정!$E$24),1,0)</f>
        <v>0</v>
      </c>
      <c r="AB17" s="276" t="n">
        <f aca="false">IF(AND(AB6&gt;=①통합_가정!$E$18,AB6&lt;=①통합_가정!$E$24),1,0)</f>
        <v>0</v>
      </c>
      <c r="AC17" s="276" t="n">
        <f aca="false">IF(AND(AC6&gt;=①통합_가정!$E$18,AC6&lt;=①통합_가정!$E$24),1,0)</f>
        <v>0</v>
      </c>
      <c r="AD17" s="276" t="n">
        <f aca="false">IF(AND(AD6&gt;=①통합_가정!$E$18,AD6&lt;=①통합_가정!$E$24),1,0)</f>
        <v>0</v>
      </c>
      <c r="AE17" s="276" t="n">
        <f aca="false">IF(AND(AE6&gt;=①통합_가정!$E$18,AE6&lt;=①통합_가정!$E$24),1,0)</f>
        <v>0</v>
      </c>
      <c r="AF17" s="276" t="n">
        <f aca="false">IF(AND(AF6&gt;=①통합_가정!$E$18,AF6&lt;=①통합_가정!$E$24),1,0)</f>
        <v>0</v>
      </c>
      <c r="AG17" s="276" t="n">
        <f aca="false">IF(AND(AG6&gt;=①통합_가정!$E$18,AG6&lt;=①통합_가정!$E$24),1,0)</f>
        <v>0</v>
      </c>
      <c r="AH17" s="276" t="n">
        <f aca="false">IF(AND(AH6&gt;=①통합_가정!$E$18,AH6&lt;=①통합_가정!$E$24),1,0)</f>
        <v>0</v>
      </c>
      <c r="AI17" s="276" t="n">
        <f aca="false">IF(AND(AI6&gt;=①통합_가정!$E$18,AI6&lt;=①통합_가정!$E$24),1,0)</f>
        <v>0</v>
      </c>
      <c r="AJ17" s="276" t="n">
        <f aca="false">IF(AND(AJ6&gt;=①통합_가정!$E$18,AJ6&lt;=①통합_가정!$E$24),1,0)</f>
        <v>0</v>
      </c>
      <c r="AK17" s="276" t="n">
        <f aca="false">IF(AND(AK6&gt;=①통합_가정!$E$18,AK6&lt;=①통합_가정!$E$24),1,0)</f>
        <v>0</v>
      </c>
      <c r="AL17" s="276" t="n">
        <f aca="false">IF(AND(AL6&gt;=①통합_가정!$E$18,AL6&lt;=①통합_가정!$E$24),1,0)</f>
        <v>0</v>
      </c>
      <c r="AM17" s="276" t="n">
        <f aca="false">IF(AND(AM6&gt;=①통합_가정!$E$18,AM6&lt;=①통합_가정!$E$24),1,0)</f>
        <v>0</v>
      </c>
      <c r="AN17" s="276" t="n">
        <f aca="false">IF(AND(AN6&gt;=①통합_가정!$E$18,AN6&lt;=①통합_가정!$E$24),1,0)</f>
        <v>0</v>
      </c>
      <c r="AO17" s="276" t="n">
        <f aca="false">IF(AND(AO6&gt;=①통합_가정!$E$18,AO6&lt;=①통합_가정!$E$24),1,0)</f>
        <v>0</v>
      </c>
      <c r="AP17" s="276" t="n">
        <f aca="false">IF(AND(AP6&gt;=①통합_가정!$E$18,AP6&lt;=①통합_가정!$E$24),1,0)</f>
        <v>0</v>
      </c>
      <c r="AQ17" s="276" t="n">
        <f aca="false">IF(AND(AQ6&gt;=①통합_가정!$E$18,AQ6&lt;=①통합_가정!$E$24),1,0)</f>
        <v>0</v>
      </c>
      <c r="AR17" s="276" t="n">
        <f aca="false">IF(AND(AR6&gt;=①통합_가정!$E$18,AR6&lt;=①통합_가정!$E$24),1,0)</f>
        <v>0</v>
      </c>
      <c r="AS17" s="276" t="n">
        <f aca="false">IF(AND(AS6&gt;=①통합_가정!$E$18,AS6&lt;=①통합_가정!$E$24),1,0)</f>
        <v>0</v>
      </c>
      <c r="AT17" s="276" t="n">
        <f aca="false">IF(AND(AT6&gt;=①통합_가정!$E$18,AT6&lt;=①통합_가정!$E$24),1,0)</f>
        <v>0</v>
      </c>
      <c r="AU17" s="276" t="n">
        <f aca="false">IF(AND(AU6&gt;=①통합_가정!$E$18,AU6&lt;=①통합_가정!$E$24),1,0)</f>
        <v>0</v>
      </c>
      <c r="AV17" s="276" t="n">
        <f aca="false">IF(AND(AV6&gt;=①통합_가정!$E$18,AV6&lt;=①통합_가정!$E$24),1,0)</f>
        <v>0</v>
      </c>
      <c r="AW17" s="276" t="n">
        <f aca="false">IF(AND(AW6&gt;=①통합_가정!$E$18,AW6&lt;=①통합_가정!$E$24),1,0)</f>
        <v>0</v>
      </c>
      <c r="AX17" s="276" t="n">
        <f aca="false">IF(AND(AX6&gt;=①통합_가정!$E$18,AX6&lt;=①통합_가정!$E$24),1,0)</f>
        <v>0</v>
      </c>
      <c r="AY17" s="276" t="n">
        <f aca="false">IF(AND(AY6&gt;=①통합_가정!$E$18,AY6&lt;=①통합_가정!$E$24),1,0)</f>
        <v>0</v>
      </c>
      <c r="AZ17" s="276" t="n">
        <f aca="false">IF(AND(AZ6&gt;=①통합_가정!$E$18,AZ6&lt;=①통합_가정!$E$24),1,0)</f>
        <v>0</v>
      </c>
      <c r="BA17" s="276" t="n">
        <f aca="false">IF(AND(BA6&gt;=①통합_가정!$E$18,BA6&lt;=①통합_가정!$E$24),1,0)</f>
        <v>0</v>
      </c>
      <c r="BB17" s="276" t="n">
        <f aca="false">IF(AND(BB6&gt;=①통합_가정!$E$18,BB6&lt;=①통합_가정!$E$24),1,0)</f>
        <v>0</v>
      </c>
      <c r="BC17" s="276" t="n">
        <f aca="false">IF(AND(BC6&gt;=①통합_가정!$E$18,BC6&lt;=①통합_가정!$E$24),1,0)</f>
        <v>0</v>
      </c>
      <c r="BD17" s="276" t="n">
        <f aca="false">IF(AND(BD6&gt;=①통합_가정!$E$18,BD6&lt;=①통합_가정!$E$24),1,0)</f>
        <v>0</v>
      </c>
      <c r="BE17" s="276" t="n">
        <f aca="false">IF(AND(BE6&gt;=①통합_가정!$E$18,BE6&lt;=①통합_가정!$E$24),1,0)</f>
        <v>0</v>
      </c>
      <c r="BF17" s="276" t="n">
        <f aca="false">IF(AND(BF6&gt;=①통합_가정!$E$18,BF6&lt;=①통합_가정!$E$24),1,0)</f>
        <v>0</v>
      </c>
      <c r="BG17" s="276" t="n">
        <f aca="false">IF(AND(BG6&gt;=①통합_가정!$E$18,BG6&lt;=①통합_가정!$E$24),1,0)</f>
        <v>0</v>
      </c>
      <c r="BH17" s="276" t="n">
        <f aca="false">IF(AND(BH6&gt;=①통합_가정!$E$18,BH6&lt;=①통합_가정!$E$24),1,0)</f>
        <v>0</v>
      </c>
      <c r="BI17" s="276" t="n">
        <f aca="false">IF(AND(BI6&gt;=①통합_가정!$E$18,BI6&lt;=①통합_가정!$E$24),1,0)</f>
        <v>0</v>
      </c>
      <c r="BJ17" s="276" t="n">
        <f aca="false">IF(AND(BJ6&gt;=①통합_가정!$E$18,BJ6&lt;=①통합_가정!$E$24),1,0)</f>
        <v>0</v>
      </c>
      <c r="BK17" s="276" t="n">
        <f aca="false">IF(AND(BK6&gt;=①통합_가정!$E$18,BK6&lt;=①통합_가정!$E$24),1,0)</f>
        <v>0</v>
      </c>
      <c r="BL17" s="276" t="n">
        <f aca="false">IF(AND(BL6&gt;=①통합_가정!$E$18,BL6&lt;=①통합_가정!$E$24),1,0)</f>
        <v>0</v>
      </c>
      <c r="BM17" s="276" t="n">
        <f aca="false">IF(AND(BM6&gt;=①통합_가정!$E$18,BM6&lt;=①통합_가정!$E$24),1,0)</f>
        <v>1</v>
      </c>
      <c r="BN17" s="276" t="n">
        <f aca="false">IF(AND(BN6&gt;=①통합_가정!$E$18,BN6&lt;=①통합_가정!$E$24),1,0)</f>
        <v>1</v>
      </c>
      <c r="BO17" s="276" t="n">
        <f aca="false">IF(AND(BO6&gt;=①통합_가정!$E$18,BO6&lt;=①통합_가정!$E$24),1,0)</f>
        <v>1</v>
      </c>
      <c r="BP17" s="276" t="n">
        <f aca="false">IF(AND(BP6&gt;=①통합_가정!$E$18,BP6&lt;=①통합_가정!$E$24),1,0)</f>
        <v>1</v>
      </c>
      <c r="BQ17" s="276" t="n">
        <f aca="false">IF(AND(BQ6&gt;=①통합_가정!$E$18,BQ6&lt;=①통합_가정!$E$24),1,0)</f>
        <v>1</v>
      </c>
      <c r="BR17" s="276" t="n">
        <f aca="false">IF(AND(BR6&gt;=①통합_가정!$E$18,BR6&lt;=①통합_가정!$E$24),1,0)</f>
        <v>1</v>
      </c>
      <c r="BS17" s="276" t="n">
        <f aca="false">IF(AND(BS6&gt;=①통합_가정!$E$18,BS6&lt;=①통합_가정!$E$24),1,0)</f>
        <v>1</v>
      </c>
      <c r="BT17" s="276" t="n">
        <f aca="false">IF(AND(BT6&gt;=①통합_가정!$E$18,BT6&lt;=①통합_가정!$E$24),1,0)</f>
        <v>1</v>
      </c>
      <c r="BU17" s="276" t="n">
        <f aca="false">IF(AND(BU6&gt;=①통합_가정!$E$18,BU6&lt;=①통합_가정!$E$24),1,0)</f>
        <v>1</v>
      </c>
      <c r="BV17" s="276" t="n">
        <f aca="false">IF(AND(BV6&gt;=①통합_가정!$E$18,BV6&lt;=①통합_가정!$E$24),1,0)</f>
        <v>1</v>
      </c>
      <c r="BW17" s="276" t="n">
        <f aca="false">IF(AND(BW6&gt;=①통합_가정!$E$18,BW6&lt;=①통합_가정!$E$24),1,0)</f>
        <v>1</v>
      </c>
      <c r="BX17" s="276" t="n">
        <f aca="false">IF(AND(BX6&gt;=①통합_가정!$E$18,BX6&lt;=①통합_가정!$E$24),1,0)</f>
        <v>1</v>
      </c>
      <c r="BY17" s="276" t="n">
        <f aca="false">IF(AND(BY6&gt;=①통합_가정!$E$18,BY6&lt;=①통합_가정!$E$24),1,0)</f>
        <v>1</v>
      </c>
      <c r="BZ17" s="276" t="n">
        <f aca="false">IF(AND(BZ6&gt;=①통합_가정!$E$18,BZ6&lt;=①통합_가정!$E$24),1,0)</f>
        <v>1</v>
      </c>
      <c r="CA17" s="276" t="n">
        <f aca="false">IF(AND(CA6&gt;=①통합_가정!$E$18,CA6&lt;=①통합_가정!$E$24),1,0)</f>
        <v>1</v>
      </c>
      <c r="CB17" s="276" t="n">
        <f aca="false">IF(AND(CB6&gt;=①통합_가정!$E$18,CB6&lt;=①통합_가정!$E$24),1,0)</f>
        <v>1</v>
      </c>
      <c r="CC17" s="276" t="n">
        <f aca="false">IF(AND(CC6&gt;=①통합_가정!$E$18,CC6&lt;=①통합_가정!$E$24),1,0)</f>
        <v>1</v>
      </c>
      <c r="CD17" s="276" t="n">
        <f aca="false">IF(AND(CD6&gt;=①통합_가정!$E$18,CD6&lt;=①통합_가정!$E$24),1,0)</f>
        <v>1</v>
      </c>
      <c r="CE17" s="276" t="n">
        <f aca="false">IF(AND(CE6&gt;=①통합_가정!$E$18,CE6&lt;=①통합_가정!$E$24),1,0)</f>
        <v>1</v>
      </c>
      <c r="CF17" s="276" t="n">
        <f aca="false">IF(AND(CF6&gt;=①통합_가정!$E$18,CF6&lt;=①통합_가정!$E$24),1,0)</f>
        <v>1</v>
      </c>
      <c r="CG17" s="276" t="n">
        <f aca="false">IF(AND(CG6&gt;=①통합_가정!$E$18,CG6&lt;=①통합_가정!$E$24),1,0)</f>
        <v>1</v>
      </c>
      <c r="CH17" s="276" t="n">
        <f aca="false">IF(AND(CH6&gt;=①통합_가정!$E$18,CH6&lt;=①통합_가정!$E$24),1,0)</f>
        <v>1</v>
      </c>
      <c r="CI17" s="276" t="n">
        <f aca="false">IF(AND(CI6&gt;=①통합_가정!$E$18,CI6&lt;=①통합_가정!$E$24),1,0)</f>
        <v>1</v>
      </c>
      <c r="CJ17" s="276" t="n">
        <f aca="false">IF(AND(CJ6&gt;=①통합_가정!$E$18,CJ6&lt;=①통합_가정!$E$24),1,0)</f>
        <v>1</v>
      </c>
      <c r="CK17" s="276" t="n">
        <f aca="false">IF(AND(CK6&gt;=①통합_가정!$E$18,CK6&lt;=①통합_가정!$E$24),1,0)</f>
        <v>1</v>
      </c>
      <c r="CL17" s="276" t="n">
        <f aca="false">IF(AND(CL6&gt;=①통합_가정!$E$18,CL6&lt;=①통합_가정!$E$24),1,0)</f>
        <v>1</v>
      </c>
      <c r="CM17" s="276" t="n">
        <f aca="false">IF(AND(CM6&gt;=①통합_가정!$E$18,CM6&lt;=①통합_가정!$E$24),1,0)</f>
        <v>1</v>
      </c>
      <c r="CN17" s="276" t="n">
        <f aca="false">IF(AND(CN6&gt;=①통합_가정!$E$18,CN6&lt;=①통합_가정!$E$24),1,0)</f>
        <v>1</v>
      </c>
      <c r="CO17" s="276" t="n">
        <f aca="false">IF(AND(CO6&gt;=①통합_가정!$E$18,CO6&lt;=①통합_가정!$E$24),1,0)</f>
        <v>1</v>
      </c>
      <c r="CP17" s="276" t="n">
        <f aca="false">IF(AND(CP6&gt;=①통합_가정!$E$18,CP6&lt;=①통합_가정!$E$24),1,0)</f>
        <v>1</v>
      </c>
      <c r="CQ17" s="276" t="n">
        <f aca="false">IF(AND(CQ6&gt;=①통합_가정!$E$18,CQ6&lt;=①통합_가정!$E$24),1,0)</f>
        <v>1</v>
      </c>
      <c r="CR17" s="276" t="n">
        <f aca="false">IF(AND(CR6&gt;=①통합_가정!$E$18,CR6&lt;=①통합_가정!$E$24),1,0)</f>
        <v>1</v>
      </c>
      <c r="CS17" s="276" t="n">
        <f aca="false">IF(AND(CS6&gt;=①통합_가정!$E$18,CS6&lt;=①통합_가정!$E$24),1,0)</f>
        <v>1</v>
      </c>
      <c r="CT17" s="276" t="n">
        <f aca="false">IF(AND(CT6&gt;=①통합_가정!$E$18,CT6&lt;=①통합_가정!$E$24),1,0)</f>
        <v>1</v>
      </c>
      <c r="CU17" s="276" t="n">
        <f aca="false">IF(AND(CU6&gt;=①통합_가정!$E$18,CU6&lt;=①통합_가정!$E$24),1,0)</f>
        <v>1</v>
      </c>
      <c r="CV17" s="276" t="n">
        <f aca="false">IF(AND(CV6&gt;=①통합_가정!$E$18,CV6&lt;=①통합_가정!$E$24),1,0)</f>
        <v>1</v>
      </c>
      <c r="CW17" s="276" t="n">
        <f aca="false">IF(AND(CW6&gt;=①통합_가정!$E$18,CW6&lt;=①통합_가정!$E$24),1,0)</f>
        <v>1</v>
      </c>
      <c r="CX17" s="276" t="n">
        <f aca="false">IF(AND(CX6&gt;=①통합_가정!$E$18,CX6&lt;=①통합_가정!$E$24),1,0)</f>
        <v>1</v>
      </c>
      <c r="CY17" s="276" t="n">
        <f aca="false">IF(AND(CY6&gt;=①통합_가정!$E$18,CY6&lt;=①통합_가정!$E$24),1,0)</f>
        <v>1</v>
      </c>
      <c r="CZ17" s="276" t="n">
        <f aca="false">IF(AND(CZ6&gt;=①통합_가정!$E$18,CZ6&lt;=①통합_가정!$E$24),1,0)</f>
        <v>1</v>
      </c>
      <c r="DA17" s="276" t="n">
        <f aca="false">IF(AND(DA6&gt;=①통합_가정!$E$18,DA6&lt;=①통합_가정!$E$24),1,0)</f>
        <v>1</v>
      </c>
      <c r="DB17" s="276" t="n">
        <f aca="false">IF(AND(DB6&gt;=①통합_가정!$E$18,DB6&lt;=①통합_가정!$E$24),1,0)</f>
        <v>1</v>
      </c>
      <c r="DC17" s="276" t="n">
        <f aca="false">IF(AND(DC6&gt;=①통합_가정!$E$18,DC6&lt;=①통합_가정!$E$24),1,0)</f>
        <v>1</v>
      </c>
      <c r="DD17" s="276" t="n">
        <f aca="false">IF(AND(DD6&gt;=①통합_가정!$E$18,DD6&lt;=①통합_가정!$E$24),1,0)</f>
        <v>1</v>
      </c>
      <c r="DE17" s="276" t="n">
        <f aca="false">IF(AND(DE6&gt;=①통합_가정!$E$18,DE6&lt;=①통합_가정!$E$24),1,0)</f>
        <v>1</v>
      </c>
      <c r="DF17" s="276" t="n">
        <f aca="false">IF(AND(DF6&gt;=①통합_가정!$E$18,DF6&lt;=①통합_가정!$E$24),1,0)</f>
        <v>1</v>
      </c>
      <c r="DG17" s="276" t="n">
        <f aca="false">IF(AND(DG6&gt;=①통합_가정!$E$18,DG6&lt;=①통합_가정!$E$24),1,0)</f>
        <v>1</v>
      </c>
      <c r="DH17" s="276" t="n">
        <f aca="false">IF(AND(DH6&gt;=①통합_가정!$E$18,DH6&lt;=①통합_가정!$E$24),1,0)</f>
        <v>1</v>
      </c>
      <c r="DI17" s="276" t="n">
        <f aca="false">IF(AND(DI6&gt;=①통합_가정!$E$18,DI6&lt;=①통합_가정!$E$24),1,0)</f>
        <v>1</v>
      </c>
      <c r="DJ17" s="276" t="n">
        <f aca="false">IF(AND(DJ6&gt;=①통합_가정!$E$18,DJ6&lt;=①통합_가정!$E$24),1,0)</f>
        <v>1</v>
      </c>
      <c r="DK17" s="276" t="n">
        <f aca="false">IF(AND(DK6&gt;=①통합_가정!$E$18,DK6&lt;=①통합_가정!$E$24),1,0)</f>
        <v>1</v>
      </c>
      <c r="DL17" s="276" t="n">
        <f aca="false">IF(AND(DL6&gt;=①통합_가정!$E$18,DL6&lt;=①통합_가정!$E$24),1,0)</f>
        <v>1</v>
      </c>
      <c r="DM17" s="276" t="n">
        <f aca="false">IF(AND(DM6&gt;=①통합_가정!$E$18,DM6&lt;=①통합_가정!$E$24),1,0)</f>
        <v>1</v>
      </c>
      <c r="DN17" s="276" t="n">
        <f aca="false">IF(AND(DN6&gt;=①통합_가정!$E$18,DN6&lt;=①통합_가정!$E$24),1,0)</f>
        <v>1</v>
      </c>
      <c r="DO17" s="276" t="n">
        <f aca="false">IF(AND(DO6&gt;=①통합_가정!$E$18,DO6&lt;=①통합_가정!$E$24),1,0)</f>
        <v>1</v>
      </c>
      <c r="DP17" s="276" t="n">
        <f aca="false">IF(AND(DP6&gt;=①통합_가정!$E$18,DP6&lt;=①통합_가정!$E$24),1,0)</f>
        <v>1</v>
      </c>
      <c r="DQ17" s="276" t="n">
        <f aca="false">IF(AND(DQ6&gt;=①통합_가정!$E$18,DQ6&lt;=①통합_가정!$E$24),1,0)</f>
        <v>1</v>
      </c>
      <c r="DR17" s="276" t="n">
        <f aca="false">IF(AND(DR6&gt;=①통합_가정!$E$18,DR6&lt;=①통합_가정!$E$24),1,0)</f>
        <v>1</v>
      </c>
      <c r="DS17" s="276" t="n">
        <f aca="false">IF(AND(DS6&gt;=①통합_가정!$E$18,DS6&lt;=①통합_가정!$E$24),1,0)</f>
        <v>1</v>
      </c>
      <c r="DT17" s="276" t="n">
        <f aca="false">IF(AND(DT6&gt;=①통합_가정!$E$18,DT6&lt;=①통합_가정!$E$24),1,0)</f>
        <v>1</v>
      </c>
      <c r="DU17" s="276" t="n">
        <f aca="false">IF(AND(DU6&gt;=①통합_가정!$E$18,DU6&lt;=①통합_가정!$E$24),1,0)</f>
        <v>1</v>
      </c>
      <c r="DV17" s="276" t="n">
        <f aca="false">IF(AND(DV6&gt;=①통합_가정!$E$18,DV6&lt;=①통합_가정!$E$24),1,0)</f>
        <v>1</v>
      </c>
      <c r="DW17" s="276" t="n">
        <f aca="false">IF(AND(DW6&gt;=①통합_가정!$E$18,DW6&lt;=①통합_가정!$E$24),1,0)</f>
        <v>1</v>
      </c>
      <c r="DX17" s="276" t="n">
        <f aca="false">IF(AND(DX6&gt;=①통합_가정!$E$18,DX6&lt;=①통합_가정!$E$24),1,0)</f>
        <v>0</v>
      </c>
      <c r="DY17" s="276" t="n">
        <f aca="false">IF(AND(DY6&gt;=①통합_가정!$E$18,DY6&lt;=①통합_가정!$E$24),1,0)</f>
        <v>0</v>
      </c>
      <c r="DZ17" s="276" t="n">
        <f aca="false">IF(AND(DZ6&gt;=①통합_가정!$E$18,DZ6&lt;=①통합_가정!$E$24),1,0)</f>
        <v>0</v>
      </c>
      <c r="EA17" s="276" t="n">
        <f aca="false">IF(AND(EA6&gt;=①통합_가정!$E$18,EA6&lt;=①통합_가정!$E$24),1,0)</f>
        <v>0</v>
      </c>
      <c r="EB17" s="276" t="n">
        <f aca="false">IF(AND(EB6&gt;=①통합_가정!$E$18,EB6&lt;=①통합_가정!$E$24),1,0)</f>
        <v>0</v>
      </c>
      <c r="EC17" s="276" t="n">
        <f aca="false">IF(AND(EC6&gt;=①통합_가정!$E$18,EC6&lt;=①통합_가정!$E$24),1,0)</f>
        <v>0</v>
      </c>
      <c r="ED17" s="276" t="n">
        <f aca="false">IF(AND(ED6&gt;=①통합_가정!$E$18,ED6&lt;=①통합_가정!$E$24),1,0)</f>
        <v>0</v>
      </c>
      <c r="EE17" s="276" t="n">
        <f aca="false">IF(AND(EE6&gt;=①통합_가정!$E$18,EE6&lt;=①통합_가정!$E$24),1,0)</f>
        <v>0</v>
      </c>
      <c r="EF17" s="276" t="n">
        <f aca="false">IF(AND(EF6&gt;=①통합_가정!$E$18,EF6&lt;=①통합_가정!$E$24),1,0)</f>
        <v>0</v>
      </c>
    </row>
    <row r="18" customFormat="false" ht="15" hidden="false" customHeight="false" outlineLevel="0" collapsed="false">
      <c r="A18" s="36" t="s">
        <v>574</v>
      </c>
      <c r="B18" s="278" t="s">
        <v>575</v>
      </c>
      <c r="E18" s="275" t="n">
        <f aca="false">DAY(E6)</f>
        <v>31</v>
      </c>
      <c r="F18" s="275" t="n">
        <f aca="false">DAY(F6)</f>
        <v>30</v>
      </c>
      <c r="G18" s="275" t="n">
        <f aca="false">DAY(G6)</f>
        <v>31</v>
      </c>
      <c r="H18" s="275" t="n">
        <f aca="false">DAY(H6)</f>
        <v>30</v>
      </c>
      <c r="I18" s="275" t="n">
        <f aca="false">DAY(I6)</f>
        <v>31</v>
      </c>
      <c r="J18" s="275" t="n">
        <f aca="false">DAY(J6)</f>
        <v>31</v>
      </c>
      <c r="K18" s="275" t="n">
        <f aca="false">DAY(K6)</f>
        <v>30</v>
      </c>
      <c r="L18" s="275" t="n">
        <f aca="false">DAY(L6)</f>
        <v>31</v>
      </c>
      <c r="M18" s="275" t="n">
        <f aca="false">DAY(M6)</f>
        <v>30</v>
      </c>
      <c r="N18" s="275" t="n">
        <f aca="false">DAY(N6)</f>
        <v>31</v>
      </c>
      <c r="O18" s="275" t="n">
        <f aca="false">DAY(O6)</f>
        <v>31</v>
      </c>
      <c r="P18" s="275" t="n">
        <f aca="false">DAY(P6)</f>
        <v>28</v>
      </c>
      <c r="Q18" s="275" t="n">
        <f aca="false">DAY(Q6)</f>
        <v>31</v>
      </c>
      <c r="R18" s="275" t="n">
        <f aca="false">DAY(R6)</f>
        <v>30</v>
      </c>
      <c r="S18" s="275" t="n">
        <f aca="false">DAY(S6)</f>
        <v>31</v>
      </c>
      <c r="T18" s="275" t="n">
        <f aca="false">DAY(T6)</f>
        <v>30</v>
      </c>
      <c r="U18" s="275" t="n">
        <f aca="false">DAY(U6)</f>
        <v>31</v>
      </c>
      <c r="V18" s="275" t="n">
        <f aca="false">DAY(V6)</f>
        <v>31</v>
      </c>
      <c r="W18" s="275" t="n">
        <f aca="false">DAY(W6)</f>
        <v>30</v>
      </c>
      <c r="X18" s="275" t="n">
        <f aca="false">DAY(X6)</f>
        <v>31</v>
      </c>
      <c r="Y18" s="275" t="n">
        <f aca="false">DAY(Y6)</f>
        <v>30</v>
      </c>
      <c r="Z18" s="275" t="n">
        <f aca="false">DAY(Z6)</f>
        <v>31</v>
      </c>
      <c r="AA18" s="275" t="n">
        <f aca="false">DAY(AA6)</f>
        <v>31</v>
      </c>
      <c r="AB18" s="275" t="n">
        <f aca="false">DAY(AB6)</f>
        <v>29</v>
      </c>
      <c r="AC18" s="275" t="n">
        <f aca="false">DAY(AC6)</f>
        <v>31</v>
      </c>
      <c r="AD18" s="275" t="n">
        <f aca="false">DAY(AD6)</f>
        <v>30</v>
      </c>
      <c r="AE18" s="275" t="n">
        <f aca="false">DAY(AE6)</f>
        <v>31</v>
      </c>
      <c r="AF18" s="275" t="n">
        <f aca="false">DAY(AF6)</f>
        <v>30</v>
      </c>
      <c r="AG18" s="275" t="n">
        <f aca="false">DAY(AG6)</f>
        <v>31</v>
      </c>
      <c r="AH18" s="275" t="n">
        <f aca="false">DAY(AH6)</f>
        <v>31</v>
      </c>
      <c r="AI18" s="275" t="n">
        <f aca="false">DAY(AI6)</f>
        <v>30</v>
      </c>
      <c r="AJ18" s="275" t="n">
        <f aca="false">DAY(AJ6)</f>
        <v>31</v>
      </c>
      <c r="AK18" s="275" t="n">
        <f aca="false">DAY(AK6)</f>
        <v>30</v>
      </c>
      <c r="AL18" s="275" t="n">
        <f aca="false">DAY(AL6)</f>
        <v>31</v>
      </c>
      <c r="AM18" s="275" t="n">
        <f aca="false">DAY(AM6)</f>
        <v>31</v>
      </c>
      <c r="AN18" s="275" t="n">
        <f aca="false">DAY(AN6)</f>
        <v>28</v>
      </c>
      <c r="AO18" s="275" t="n">
        <f aca="false">DAY(AO6)</f>
        <v>31</v>
      </c>
      <c r="AP18" s="275" t="n">
        <f aca="false">DAY(AP6)</f>
        <v>30</v>
      </c>
      <c r="AQ18" s="275" t="n">
        <f aca="false">DAY(AQ6)</f>
        <v>31</v>
      </c>
      <c r="AR18" s="275" t="n">
        <f aca="false">DAY(AR6)</f>
        <v>30</v>
      </c>
      <c r="AS18" s="275" t="n">
        <f aca="false">DAY(AS6)</f>
        <v>31</v>
      </c>
      <c r="AT18" s="275" t="n">
        <f aca="false">DAY(AT6)</f>
        <v>31</v>
      </c>
      <c r="AU18" s="275" t="n">
        <f aca="false">DAY(AU6)</f>
        <v>30</v>
      </c>
      <c r="AV18" s="275" t="n">
        <f aca="false">DAY(AV6)</f>
        <v>31</v>
      </c>
      <c r="AW18" s="275" t="n">
        <f aca="false">DAY(AW6)</f>
        <v>30</v>
      </c>
      <c r="AX18" s="275" t="n">
        <f aca="false">DAY(AX6)</f>
        <v>31</v>
      </c>
      <c r="AY18" s="275" t="n">
        <f aca="false">DAY(AY6)</f>
        <v>31</v>
      </c>
      <c r="AZ18" s="275" t="n">
        <f aca="false">DAY(AZ6)</f>
        <v>28</v>
      </c>
      <c r="BA18" s="275" t="n">
        <f aca="false">DAY(BA6)</f>
        <v>31</v>
      </c>
      <c r="BB18" s="275" t="n">
        <f aca="false">DAY(BB6)</f>
        <v>30</v>
      </c>
      <c r="BC18" s="275" t="n">
        <f aca="false">DAY(BC6)</f>
        <v>31</v>
      </c>
      <c r="BD18" s="275" t="n">
        <f aca="false">DAY(BD6)</f>
        <v>30</v>
      </c>
      <c r="BE18" s="275" t="n">
        <f aca="false">DAY(BE6)</f>
        <v>31</v>
      </c>
      <c r="BF18" s="275" t="n">
        <f aca="false">DAY(BF6)</f>
        <v>31</v>
      </c>
      <c r="BG18" s="275" t="n">
        <f aca="false">DAY(BG6)</f>
        <v>30</v>
      </c>
      <c r="BH18" s="275" t="n">
        <f aca="false">DAY(BH6)</f>
        <v>31</v>
      </c>
      <c r="BI18" s="275" t="n">
        <f aca="false">DAY(BI6)</f>
        <v>30</v>
      </c>
      <c r="BJ18" s="275" t="n">
        <f aca="false">DAY(BJ6)</f>
        <v>31</v>
      </c>
      <c r="BK18" s="275" t="n">
        <f aca="false">DAY(BK6)</f>
        <v>31</v>
      </c>
      <c r="BL18" s="275" t="n">
        <f aca="false">DAY(BL6)</f>
        <v>28</v>
      </c>
      <c r="BM18" s="275" t="n">
        <f aca="false">DAY(BM6)</f>
        <v>31</v>
      </c>
      <c r="BN18" s="275" t="n">
        <f aca="false">DAY(BN6)</f>
        <v>30</v>
      </c>
      <c r="BO18" s="275" t="n">
        <f aca="false">DAY(BO6)</f>
        <v>31</v>
      </c>
      <c r="BP18" s="275" t="n">
        <f aca="false">DAY(BP6)</f>
        <v>30</v>
      </c>
      <c r="BQ18" s="275" t="n">
        <f aca="false">DAY(BQ6)</f>
        <v>31</v>
      </c>
      <c r="BR18" s="275" t="n">
        <f aca="false">DAY(BR6)</f>
        <v>31</v>
      </c>
      <c r="BS18" s="275" t="n">
        <f aca="false">DAY(BS6)</f>
        <v>30</v>
      </c>
      <c r="BT18" s="275" t="n">
        <f aca="false">DAY(BT6)</f>
        <v>31</v>
      </c>
      <c r="BU18" s="275" t="n">
        <f aca="false">DAY(BU6)</f>
        <v>30</v>
      </c>
      <c r="BV18" s="275" t="n">
        <f aca="false">DAY(BV6)</f>
        <v>31</v>
      </c>
      <c r="BW18" s="275" t="n">
        <f aca="false">DAY(BW6)</f>
        <v>31</v>
      </c>
      <c r="BX18" s="275" t="n">
        <f aca="false">DAY(BX6)</f>
        <v>29</v>
      </c>
      <c r="BY18" s="275" t="n">
        <f aca="false">DAY(BY6)</f>
        <v>31</v>
      </c>
      <c r="BZ18" s="275" t="n">
        <f aca="false">DAY(BZ6)</f>
        <v>30</v>
      </c>
      <c r="CA18" s="275" t="n">
        <f aca="false">DAY(CA6)</f>
        <v>31</v>
      </c>
      <c r="CB18" s="275" t="n">
        <f aca="false">DAY(CB6)</f>
        <v>30</v>
      </c>
      <c r="CC18" s="275" t="n">
        <f aca="false">DAY(CC6)</f>
        <v>31</v>
      </c>
      <c r="CD18" s="275" t="n">
        <f aca="false">DAY(CD6)</f>
        <v>31</v>
      </c>
      <c r="CE18" s="275" t="n">
        <f aca="false">DAY(CE6)</f>
        <v>30</v>
      </c>
      <c r="CF18" s="275" t="n">
        <f aca="false">DAY(CF6)</f>
        <v>31</v>
      </c>
      <c r="CG18" s="275" t="n">
        <f aca="false">DAY(CG6)</f>
        <v>30</v>
      </c>
      <c r="CH18" s="275" t="n">
        <f aca="false">DAY(CH6)</f>
        <v>31</v>
      </c>
      <c r="CI18" s="275" t="n">
        <f aca="false">DAY(CI6)</f>
        <v>31</v>
      </c>
      <c r="CJ18" s="275" t="n">
        <f aca="false">DAY(CJ6)</f>
        <v>28</v>
      </c>
      <c r="CK18" s="275" t="n">
        <f aca="false">DAY(CK6)</f>
        <v>31</v>
      </c>
      <c r="CL18" s="275" t="n">
        <f aca="false">DAY(CL6)</f>
        <v>30</v>
      </c>
      <c r="CM18" s="275" t="n">
        <f aca="false">DAY(CM6)</f>
        <v>31</v>
      </c>
      <c r="CN18" s="275" t="n">
        <f aca="false">DAY(CN6)</f>
        <v>30</v>
      </c>
      <c r="CO18" s="275" t="n">
        <f aca="false">DAY(CO6)</f>
        <v>31</v>
      </c>
      <c r="CP18" s="275" t="n">
        <f aca="false">DAY(CP6)</f>
        <v>31</v>
      </c>
      <c r="CQ18" s="275" t="n">
        <f aca="false">DAY(CQ6)</f>
        <v>30</v>
      </c>
      <c r="CR18" s="275" t="n">
        <f aca="false">DAY(CR6)</f>
        <v>31</v>
      </c>
      <c r="CS18" s="275" t="n">
        <f aca="false">DAY(CS6)</f>
        <v>30</v>
      </c>
      <c r="CT18" s="275" t="n">
        <f aca="false">DAY(CT6)</f>
        <v>31</v>
      </c>
      <c r="CU18" s="275" t="n">
        <f aca="false">DAY(CU6)</f>
        <v>31</v>
      </c>
      <c r="CV18" s="275" t="n">
        <f aca="false">DAY(CV6)</f>
        <v>28</v>
      </c>
      <c r="CW18" s="275" t="n">
        <f aca="false">DAY(CW6)</f>
        <v>31</v>
      </c>
      <c r="CX18" s="275" t="n">
        <f aca="false">DAY(CX6)</f>
        <v>30</v>
      </c>
      <c r="CY18" s="275" t="n">
        <f aca="false">DAY(CY6)</f>
        <v>31</v>
      </c>
      <c r="CZ18" s="275" t="n">
        <f aca="false">DAY(CZ6)</f>
        <v>30</v>
      </c>
      <c r="DA18" s="275" t="n">
        <f aca="false">DAY(DA6)</f>
        <v>31</v>
      </c>
      <c r="DB18" s="275" t="n">
        <f aca="false">DAY(DB6)</f>
        <v>31</v>
      </c>
      <c r="DC18" s="275" t="n">
        <f aca="false">DAY(DC6)</f>
        <v>30</v>
      </c>
      <c r="DD18" s="275" t="n">
        <f aca="false">DAY(DD6)</f>
        <v>31</v>
      </c>
      <c r="DE18" s="275" t="n">
        <f aca="false">DAY(DE6)</f>
        <v>30</v>
      </c>
      <c r="DF18" s="275" t="n">
        <f aca="false">DAY(DF6)</f>
        <v>31</v>
      </c>
      <c r="DG18" s="275" t="n">
        <f aca="false">DAY(DG6)</f>
        <v>31</v>
      </c>
      <c r="DH18" s="275" t="n">
        <f aca="false">DAY(DH6)</f>
        <v>28</v>
      </c>
      <c r="DI18" s="275" t="n">
        <f aca="false">DAY(DI6)</f>
        <v>31</v>
      </c>
      <c r="DJ18" s="275" t="n">
        <f aca="false">DAY(DJ6)</f>
        <v>30</v>
      </c>
      <c r="DK18" s="275" t="n">
        <f aca="false">DAY(DK6)</f>
        <v>31</v>
      </c>
      <c r="DL18" s="275" t="n">
        <f aca="false">DAY(DL6)</f>
        <v>30</v>
      </c>
      <c r="DM18" s="275" t="n">
        <f aca="false">DAY(DM6)</f>
        <v>31</v>
      </c>
      <c r="DN18" s="275" t="n">
        <f aca="false">DAY(DN6)</f>
        <v>31</v>
      </c>
      <c r="DO18" s="275" t="n">
        <f aca="false">DAY(DO6)</f>
        <v>30</v>
      </c>
      <c r="DP18" s="275" t="n">
        <f aca="false">DAY(DP6)</f>
        <v>31</v>
      </c>
      <c r="DQ18" s="275" t="n">
        <f aca="false">DAY(DQ6)</f>
        <v>30</v>
      </c>
      <c r="DR18" s="275" t="n">
        <f aca="false">DAY(DR6)</f>
        <v>31</v>
      </c>
      <c r="DS18" s="275" t="n">
        <f aca="false">DAY(DS6)</f>
        <v>31</v>
      </c>
      <c r="DT18" s="275" t="n">
        <f aca="false">DAY(DT6)</f>
        <v>29</v>
      </c>
      <c r="DU18" s="275" t="n">
        <f aca="false">DAY(DU6)</f>
        <v>31</v>
      </c>
      <c r="DV18" s="275" t="n">
        <f aca="false">DAY(DV6)</f>
        <v>30</v>
      </c>
      <c r="DW18" s="275" t="n">
        <f aca="false">DAY(DW6)</f>
        <v>31</v>
      </c>
      <c r="DX18" s="275" t="n">
        <f aca="false">DAY(DX6)</f>
        <v>30</v>
      </c>
      <c r="DY18" s="275" t="n">
        <f aca="false">DAY(DY6)</f>
        <v>31</v>
      </c>
      <c r="DZ18" s="275" t="n">
        <f aca="false">DAY(DZ6)</f>
        <v>31</v>
      </c>
      <c r="EA18" s="275" t="n">
        <f aca="false">DAY(EA6)</f>
        <v>30</v>
      </c>
      <c r="EB18" s="275" t="n">
        <f aca="false">DAY(EB6)</f>
        <v>31</v>
      </c>
      <c r="EC18" s="275" t="n">
        <f aca="false">DAY(EC6)</f>
        <v>30</v>
      </c>
      <c r="ED18" s="275" t="n">
        <f aca="false">DAY(ED6)</f>
        <v>31</v>
      </c>
      <c r="EE18" s="275" t="n">
        <f aca="false">DAY(EE6)</f>
        <v>31</v>
      </c>
      <c r="EF18" s="275" t="n">
        <f aca="false">DAY(EF6)</f>
        <v>28</v>
      </c>
    </row>
    <row r="20" customFormat="false" ht="15" hidden="false" customHeight="false" outlineLevel="0" collapsed="false">
      <c r="A20" s="6" t="s">
        <v>196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</row>
    <row r="21" customFormat="false" ht="15" hidden="false" customHeight="false" outlineLevel="0" collapsed="false">
      <c r="A21" s="36" t="s">
        <v>576</v>
      </c>
      <c r="B21" s="278" t="s">
        <v>21</v>
      </c>
      <c r="C21" s="279" t="n">
        <f aca="false">SUM(E21:EF21)</f>
        <v>97278.5407104</v>
      </c>
      <c r="E21" s="37" t="n">
        <f aca="false">(E14=1)*①통합_가정!$D$38*①통합_가정!$E$96*CHOOSE(MIN(MAX(E16,1),3),①통합_가정!$E$104,①통합_가정!$E$105,①통합_가정!$E$106)*(①통합_가정!$E$100+①통합_가정!$E$99)/1000*(1+①통합_가정!$E$101)^INT((E15-1)/①통합_가정!$E$102)</f>
        <v>0</v>
      </c>
      <c r="F21" s="37" t="n">
        <f aca="false">(F14=1)*①통합_가정!$D$38*①통합_가정!$E$96*CHOOSE(MIN(MAX(F16,1),3),①통합_가정!$E$104,①통합_가정!$E$105,①통합_가정!$E$106)*(①통합_가정!$E$100+①통합_가정!$E$99)/1000*(1+①통합_가정!$E$101)^INT((F15-1)/①통합_가정!$E$102)</f>
        <v>0</v>
      </c>
      <c r="G21" s="37" t="n">
        <f aca="false">(G14=1)*①통합_가정!$D$38*①통합_가정!$E$96*CHOOSE(MIN(MAX(G16,1),3),①통합_가정!$E$104,①통합_가정!$E$105,①통합_가정!$E$106)*(①통합_가정!$E$100+①통합_가정!$E$99)/1000*(1+①통합_가정!$E$101)^INT((G15-1)/①통합_가정!$E$102)</f>
        <v>0</v>
      </c>
      <c r="H21" s="37" t="n">
        <f aca="false">(H14=1)*①통합_가정!$D$38*①통합_가정!$E$96*CHOOSE(MIN(MAX(H16,1),3),①통합_가정!$E$104,①통합_가정!$E$105,①통합_가정!$E$106)*(①통합_가정!$E$100+①통합_가정!$E$99)/1000*(1+①통합_가정!$E$101)^INT((H15-1)/①통합_가정!$E$102)</f>
        <v>0</v>
      </c>
      <c r="I21" s="37" t="n">
        <f aca="false">(I14=1)*①통합_가정!$D$38*①통합_가정!$E$96*CHOOSE(MIN(MAX(I16,1),3),①통합_가정!$E$104,①통합_가정!$E$105,①통합_가정!$E$106)*(①통합_가정!$E$100+①통합_가정!$E$99)/1000*(1+①통합_가정!$E$101)^INT((I15-1)/①통합_가정!$E$102)</f>
        <v>0</v>
      </c>
      <c r="J21" s="37" t="n">
        <f aca="false">(J14=1)*①통합_가정!$D$38*①통합_가정!$E$96*CHOOSE(MIN(MAX(J16,1),3),①통합_가정!$E$104,①통합_가정!$E$105,①통합_가정!$E$106)*(①통합_가정!$E$100+①통합_가정!$E$99)/1000*(1+①통합_가정!$E$101)^INT((J15-1)/①통합_가정!$E$102)</f>
        <v>0</v>
      </c>
      <c r="K21" s="37" t="n">
        <f aca="false">(K14=1)*①통합_가정!$D$38*①통합_가정!$E$96*CHOOSE(MIN(MAX(K16,1),3),①통합_가정!$E$104,①통합_가정!$E$105,①통합_가정!$E$106)*(①통합_가정!$E$100+①통합_가정!$E$99)/1000*(1+①통합_가정!$E$101)^INT((K15-1)/①통합_가정!$E$102)</f>
        <v>0</v>
      </c>
      <c r="L21" s="37" t="n">
        <f aca="false">(L14=1)*①통합_가정!$D$38*①통합_가정!$E$96*CHOOSE(MIN(MAX(L16,1),3),①통합_가정!$E$104,①통합_가정!$E$105,①통합_가정!$E$106)*(①통합_가정!$E$100+①통합_가정!$E$99)/1000*(1+①통합_가정!$E$101)^INT((L15-1)/①통합_가정!$E$102)</f>
        <v>0</v>
      </c>
      <c r="M21" s="37" t="n">
        <f aca="false">(M14=1)*①통합_가정!$D$38*①통합_가정!$E$96*CHOOSE(MIN(MAX(M16,1),3),①통합_가정!$E$104,①통합_가정!$E$105,①통합_가정!$E$106)*(①통합_가정!$E$100+①통합_가정!$E$99)/1000*(1+①통합_가정!$E$101)^INT((M15-1)/①통합_가정!$E$102)</f>
        <v>0</v>
      </c>
      <c r="N21" s="37" t="n">
        <f aca="false">(N14=1)*①통합_가정!$D$38*①통합_가정!$E$96*CHOOSE(MIN(MAX(N16,1),3),①통합_가정!$E$104,①통합_가정!$E$105,①통합_가정!$E$106)*(①통합_가정!$E$100+①통합_가정!$E$99)/1000*(1+①통합_가정!$E$101)^INT((N15-1)/①통합_가정!$E$102)</f>
        <v>0</v>
      </c>
      <c r="O21" s="37" t="n">
        <f aca="false">(O14=1)*①통합_가정!$D$38*①통합_가정!$E$96*CHOOSE(MIN(MAX(O16,1),3),①통합_가정!$E$104,①통합_가정!$E$105,①통합_가정!$E$106)*(①통합_가정!$E$100+①통합_가정!$E$99)/1000*(1+①통합_가정!$E$101)^INT((O15-1)/①통합_가정!$E$102)</f>
        <v>0</v>
      </c>
      <c r="P21" s="37" t="n">
        <f aca="false">(P14=1)*①통합_가정!$D$38*①통합_가정!$E$96*CHOOSE(MIN(MAX(P16,1),3),①통합_가정!$E$104,①통합_가정!$E$105,①통합_가정!$E$106)*(①통합_가정!$E$100+①통합_가정!$E$99)/1000*(1+①통합_가정!$E$101)^INT((P15-1)/①통합_가정!$E$102)</f>
        <v>0</v>
      </c>
      <c r="Q21" s="37" t="n">
        <f aca="false">(Q14=1)*①통합_가정!$D$38*①통합_가정!$E$96*CHOOSE(MIN(MAX(Q16,1),3),①통합_가정!$E$104,①통합_가정!$E$105,①통합_가정!$E$106)*(①통합_가정!$E$100+①통합_가정!$E$99)/1000*(1+①통합_가정!$E$101)^INT((Q15-1)/①통합_가정!$E$102)</f>
        <v>0</v>
      </c>
      <c r="R21" s="37" t="n">
        <f aca="false">(R14=1)*①통합_가정!$D$38*①통합_가정!$E$96*CHOOSE(MIN(MAX(R16,1),3),①통합_가정!$E$104,①통합_가정!$E$105,①통합_가정!$E$106)*(①통합_가정!$E$100+①통합_가정!$E$99)/1000*(1+①통합_가정!$E$101)^INT((R15-1)/①통합_가정!$E$102)</f>
        <v>0</v>
      </c>
      <c r="S21" s="37" t="n">
        <f aca="false">(S14=1)*①통합_가정!$D$38*①통합_가정!$E$96*CHOOSE(MIN(MAX(S16,1),3),①통합_가정!$E$104,①통합_가정!$E$105,①통합_가정!$E$106)*(①통합_가정!$E$100+①통합_가정!$E$99)/1000*(1+①통합_가정!$E$101)^INT((S15-1)/①통합_가정!$E$102)</f>
        <v>0</v>
      </c>
      <c r="T21" s="37" t="n">
        <f aca="false">(T14=1)*①통합_가정!$D$38*①통합_가정!$E$96*CHOOSE(MIN(MAX(T16,1),3),①통합_가정!$E$104,①통합_가정!$E$105,①통합_가정!$E$106)*(①통합_가정!$E$100+①통합_가정!$E$99)/1000*(1+①통합_가정!$E$101)^INT((T15-1)/①통합_가정!$E$102)</f>
        <v>0</v>
      </c>
      <c r="U21" s="37" t="n">
        <f aca="false">(U14=1)*①통합_가정!$D$38*①통합_가정!$E$96*CHOOSE(MIN(MAX(U16,1),3),①통합_가정!$E$104,①통합_가정!$E$105,①통합_가정!$E$106)*(①통합_가정!$E$100+①통합_가정!$E$99)/1000*(1+①통합_가정!$E$101)^INT((U15-1)/①통합_가정!$E$102)</f>
        <v>0</v>
      </c>
      <c r="V21" s="37" t="n">
        <f aca="false">(V14=1)*①통합_가정!$D$38*①통합_가정!$E$96*CHOOSE(MIN(MAX(V16,1),3),①통합_가정!$E$104,①통합_가정!$E$105,①통합_가정!$E$106)*(①통합_가정!$E$100+①통합_가정!$E$99)/1000*(1+①통합_가정!$E$101)^INT((V15-1)/①통합_가정!$E$102)</f>
        <v>0</v>
      </c>
      <c r="W21" s="37" t="n">
        <f aca="false">(W14=1)*①통합_가정!$D$38*①통합_가정!$E$96*CHOOSE(MIN(MAX(W16,1),3),①통합_가정!$E$104,①통합_가정!$E$105,①통합_가정!$E$106)*(①통합_가정!$E$100+①통합_가정!$E$99)/1000*(1+①통합_가정!$E$101)^INT((W15-1)/①통합_가정!$E$102)</f>
        <v>0</v>
      </c>
      <c r="X21" s="37" t="n">
        <f aca="false">(X14=1)*①통합_가정!$D$38*①통합_가정!$E$96*CHOOSE(MIN(MAX(X16,1),3),①통합_가정!$E$104,①통합_가정!$E$105,①통합_가정!$E$106)*(①통합_가정!$E$100+①통합_가정!$E$99)/1000*(1+①통합_가정!$E$101)^INT((X15-1)/①통합_가정!$E$102)</f>
        <v>0</v>
      </c>
      <c r="Y21" s="37" t="n">
        <f aca="false">(Y14=1)*①통합_가정!$D$38*①통합_가정!$E$96*CHOOSE(MIN(MAX(Y16,1),3),①통합_가정!$E$104,①통합_가정!$E$105,①통합_가정!$E$106)*(①통합_가정!$E$100+①통합_가정!$E$99)/1000*(1+①통합_가정!$E$101)^INT((Y15-1)/①통합_가정!$E$102)</f>
        <v>0</v>
      </c>
      <c r="Z21" s="37" t="n">
        <f aca="false">(Z14=1)*①통합_가정!$D$38*①통합_가정!$E$96*CHOOSE(MIN(MAX(Z16,1),3),①통합_가정!$E$104,①통합_가정!$E$105,①통합_가정!$E$106)*(①통합_가정!$E$100+①통합_가정!$E$99)/1000*(1+①통합_가정!$E$101)^INT((Z15-1)/①통합_가정!$E$102)</f>
        <v>0</v>
      </c>
      <c r="AA21" s="37" t="n">
        <f aca="false">(AA14=1)*①통합_가정!$D$38*①통합_가정!$E$96*CHOOSE(MIN(MAX(AA16,1),3),①통합_가정!$E$104,①통합_가정!$E$105,①통합_가정!$E$106)*(①통합_가정!$E$100+①통합_가정!$E$99)/1000*(1+①통합_가정!$E$101)^INT((AA15-1)/①통합_가정!$E$102)</f>
        <v>0</v>
      </c>
      <c r="AB21" s="37" t="n">
        <f aca="false">(AB14=1)*①통합_가정!$D$38*①통합_가정!$E$96*CHOOSE(MIN(MAX(AB16,1),3),①통합_가정!$E$104,①통합_가정!$E$105,①통합_가정!$E$106)*(①통합_가정!$E$100+①통합_가정!$E$99)/1000*(1+①통합_가정!$E$101)^INT((AB15-1)/①통합_가정!$E$102)</f>
        <v>0</v>
      </c>
      <c r="AC21" s="37" t="n">
        <f aca="false">(AC14=1)*①통합_가정!$D$38*①통합_가정!$E$96*CHOOSE(MIN(MAX(AC16,1),3),①통합_가정!$E$104,①통합_가정!$E$105,①통합_가정!$E$106)*(①통합_가정!$E$100+①통합_가정!$E$99)/1000*(1+①통합_가정!$E$101)^INT((AC15-1)/①통합_가정!$E$102)</f>
        <v>0</v>
      </c>
      <c r="AD21" s="37" t="n">
        <f aca="false">(AD14=1)*①통합_가정!$D$38*①통합_가정!$E$96*CHOOSE(MIN(MAX(AD16,1),3),①통합_가정!$E$104,①통합_가정!$E$105,①통합_가정!$E$106)*(①통합_가정!$E$100+①통합_가정!$E$99)/1000*(1+①통합_가정!$E$101)^INT((AD15-1)/①통합_가정!$E$102)</f>
        <v>0</v>
      </c>
      <c r="AE21" s="37" t="n">
        <f aca="false">(AE14=1)*①통합_가정!$D$38*①통합_가정!$E$96*CHOOSE(MIN(MAX(AE16,1),3),①통합_가정!$E$104,①통합_가정!$E$105,①통합_가정!$E$106)*(①통합_가정!$E$100+①통합_가정!$E$99)/1000*(1+①통합_가정!$E$101)^INT((AE15-1)/①통합_가정!$E$102)</f>
        <v>0</v>
      </c>
      <c r="AF21" s="37" t="n">
        <f aca="false">(AF14=1)*①통합_가정!$D$38*①통합_가정!$E$96*CHOOSE(MIN(MAX(AF16,1),3),①통합_가정!$E$104,①통합_가정!$E$105,①통합_가정!$E$106)*(①통합_가정!$E$100+①통합_가정!$E$99)/1000*(1+①통합_가정!$E$101)^INT((AF15-1)/①통합_가정!$E$102)</f>
        <v>0</v>
      </c>
      <c r="AG21" s="37" t="n">
        <f aca="false">(AG14=1)*①통합_가정!$D$38*①통합_가정!$E$96*CHOOSE(MIN(MAX(AG16,1),3),①통합_가정!$E$104,①통합_가정!$E$105,①통합_가정!$E$106)*(①통합_가정!$E$100+①통합_가정!$E$99)/1000*(1+①통합_가정!$E$101)^INT((AG15-1)/①통합_가정!$E$102)</f>
        <v>0</v>
      </c>
      <c r="AH21" s="37" t="n">
        <f aca="false">(AH14=1)*①통합_가정!$D$38*①통합_가정!$E$96*CHOOSE(MIN(MAX(AH16,1),3),①통합_가정!$E$104,①통합_가정!$E$105,①통합_가정!$E$106)*(①통합_가정!$E$100+①통합_가정!$E$99)/1000*(1+①통합_가정!$E$101)^INT((AH15-1)/①통합_가정!$E$102)</f>
        <v>0</v>
      </c>
      <c r="AI21" s="37" t="n">
        <f aca="false">(AI14=1)*①통합_가정!$D$38*①통합_가정!$E$96*CHOOSE(MIN(MAX(AI16,1),3),①통합_가정!$E$104,①통합_가정!$E$105,①통합_가정!$E$106)*(①통합_가정!$E$100+①통합_가정!$E$99)/1000*(1+①통합_가정!$E$101)^INT((AI15-1)/①통합_가정!$E$102)</f>
        <v>0</v>
      </c>
      <c r="AJ21" s="37" t="n">
        <f aca="false">(AJ14=1)*①통합_가정!$D$38*①통합_가정!$E$96*CHOOSE(MIN(MAX(AJ16,1),3),①통합_가정!$E$104,①통합_가정!$E$105,①통합_가정!$E$106)*(①통합_가정!$E$100+①통합_가정!$E$99)/1000*(1+①통합_가정!$E$101)^INT((AJ15-1)/①통합_가정!$E$102)</f>
        <v>0</v>
      </c>
      <c r="AK21" s="37" t="n">
        <f aca="false">(AK14=1)*①통합_가정!$D$38*①통합_가정!$E$96*CHOOSE(MIN(MAX(AK16,1),3),①통합_가정!$E$104,①통합_가정!$E$105,①통합_가정!$E$106)*(①통합_가정!$E$100+①통합_가정!$E$99)/1000*(1+①통합_가정!$E$101)^INT((AK15-1)/①통합_가정!$E$102)</f>
        <v>0</v>
      </c>
      <c r="AL21" s="37" t="n">
        <f aca="false">(AL14=1)*①통합_가정!$D$38*①통합_가정!$E$96*CHOOSE(MIN(MAX(AL16,1),3),①통합_가정!$E$104,①통합_가정!$E$105,①통합_가정!$E$106)*(①통합_가정!$E$100+①통합_가정!$E$99)/1000*(1+①통합_가정!$E$101)^INT((AL15-1)/①통합_가정!$E$102)</f>
        <v>0</v>
      </c>
      <c r="AM21" s="37" t="n">
        <f aca="false">(AM14=1)*①통합_가정!$D$38*①통합_가정!$E$96*CHOOSE(MIN(MAX(AM16,1),3),①통합_가정!$E$104,①통합_가정!$E$105,①통합_가정!$E$106)*(①통합_가정!$E$100+①통합_가정!$E$99)/1000*(1+①통합_가정!$E$101)^INT((AM15-1)/①통합_가정!$E$102)</f>
        <v>0</v>
      </c>
      <c r="AN21" s="37" t="n">
        <f aca="false">(AN14=1)*①통합_가정!$D$38*①통합_가정!$E$96*CHOOSE(MIN(MAX(AN16,1),3),①통합_가정!$E$104,①통합_가정!$E$105,①통합_가정!$E$106)*(①통합_가정!$E$100+①통합_가정!$E$99)/1000*(1+①통합_가정!$E$101)^INT((AN15-1)/①통합_가정!$E$102)</f>
        <v>0</v>
      </c>
      <c r="AO21" s="37" t="n">
        <f aca="false">(AO14=1)*①통합_가정!$D$38*①통합_가정!$E$96*CHOOSE(MIN(MAX(AO16,1),3),①통합_가정!$E$104,①통합_가정!$E$105,①통합_가정!$E$106)*(①통합_가정!$E$100+①통합_가정!$E$99)/1000*(1+①통합_가정!$E$101)^INT((AO15-1)/①통합_가정!$E$102)</f>
        <v>0</v>
      </c>
      <c r="AP21" s="37" t="n">
        <f aca="false">(AP14=1)*①통합_가정!$D$38*①통합_가정!$E$96*CHOOSE(MIN(MAX(AP16,1),3),①통합_가정!$E$104,①통합_가정!$E$105,①통합_가정!$E$106)*(①통합_가정!$E$100+①통합_가정!$E$99)/1000*(1+①통합_가정!$E$101)^INT((AP15-1)/①통합_가정!$E$102)</f>
        <v>0</v>
      </c>
      <c r="AQ21" s="37" t="n">
        <f aca="false">(AQ14=1)*①통합_가정!$D$38*①통합_가정!$E$96*CHOOSE(MIN(MAX(AQ16,1),3),①통합_가정!$E$104,①통합_가정!$E$105,①통합_가정!$E$106)*(①통합_가정!$E$100+①통합_가정!$E$99)/1000*(1+①통합_가정!$E$101)^INT((AQ15-1)/①통합_가정!$E$102)</f>
        <v>0</v>
      </c>
      <c r="AR21" s="37" t="n">
        <f aca="false">(AR14=1)*①통합_가정!$D$38*①통합_가정!$E$96*CHOOSE(MIN(MAX(AR16,1),3),①통합_가정!$E$104,①통합_가정!$E$105,①통합_가정!$E$106)*(①통합_가정!$E$100+①통합_가정!$E$99)/1000*(1+①통합_가정!$E$101)^INT((AR15-1)/①통합_가정!$E$102)</f>
        <v>0</v>
      </c>
      <c r="AS21" s="37" t="n">
        <f aca="false">(AS14=1)*①통합_가정!$D$38*①통합_가정!$E$96*CHOOSE(MIN(MAX(AS16,1),3),①통합_가정!$E$104,①통합_가정!$E$105,①통합_가정!$E$106)*(①통합_가정!$E$100+①통합_가정!$E$99)/1000*(1+①통합_가정!$E$101)^INT((AS15-1)/①통합_가정!$E$102)</f>
        <v>0</v>
      </c>
      <c r="AT21" s="37" t="n">
        <f aca="false">(AT14=1)*①통합_가정!$D$38*①통합_가정!$E$96*CHOOSE(MIN(MAX(AT16,1),3),①통합_가정!$E$104,①통합_가정!$E$105,①통합_가정!$E$106)*(①통합_가정!$E$100+①통합_가정!$E$99)/1000*(1+①통합_가정!$E$101)^INT((AT15-1)/①통합_가정!$E$102)</f>
        <v>0</v>
      </c>
      <c r="AU21" s="37" t="n">
        <f aca="false">(AU14=1)*①통합_가정!$D$38*①통합_가정!$E$96*CHOOSE(MIN(MAX(AU16,1),3),①통합_가정!$E$104,①통합_가정!$E$105,①통합_가정!$E$106)*(①통합_가정!$E$100+①통합_가정!$E$99)/1000*(1+①통합_가정!$E$101)^INT((AU15-1)/①통합_가정!$E$102)</f>
        <v>0</v>
      </c>
      <c r="AV21" s="37" t="n">
        <f aca="false">(AV14=1)*①통합_가정!$D$38*①통합_가정!$E$96*CHOOSE(MIN(MAX(AV16,1),3),①통합_가정!$E$104,①통합_가정!$E$105,①통합_가정!$E$106)*(①통합_가정!$E$100+①통합_가정!$E$99)/1000*(1+①통합_가정!$E$101)^INT((AV15-1)/①통합_가정!$E$102)</f>
        <v>0</v>
      </c>
      <c r="AW21" s="37" t="n">
        <f aca="false">(AW14=1)*①통합_가정!$D$38*①통합_가정!$E$96*CHOOSE(MIN(MAX(AW16,1),3),①통합_가정!$E$104,①통합_가정!$E$105,①통합_가정!$E$106)*(①통합_가정!$E$100+①통합_가정!$E$99)/1000*(1+①통합_가정!$E$101)^INT((AW15-1)/①통합_가정!$E$102)</f>
        <v>0</v>
      </c>
      <c r="AX21" s="37" t="n">
        <f aca="false">(AX14=1)*①통합_가정!$D$38*①통합_가정!$E$96*CHOOSE(MIN(MAX(AX16,1),3),①통합_가정!$E$104,①통합_가정!$E$105,①통합_가정!$E$106)*(①통합_가정!$E$100+①통합_가정!$E$99)/1000*(1+①통합_가정!$E$101)^INT((AX15-1)/①통합_가정!$E$102)</f>
        <v>0</v>
      </c>
      <c r="AY21" s="37" t="n">
        <f aca="false">(AY14=1)*①통합_가정!$D$38*①통합_가정!$E$96*CHOOSE(MIN(MAX(AY16,1),3),①통합_가정!$E$104,①통합_가정!$E$105,①통합_가정!$E$106)*(①통합_가정!$E$100+①통합_가정!$E$99)/1000*(1+①통합_가정!$E$101)^INT((AY15-1)/①통합_가정!$E$102)</f>
        <v>0</v>
      </c>
      <c r="AZ21" s="37" t="n">
        <f aca="false">(AZ14=1)*①통합_가정!$D$38*①통합_가정!$E$96*CHOOSE(MIN(MAX(AZ16,1),3),①통합_가정!$E$104,①통합_가정!$E$105,①통합_가정!$E$106)*(①통합_가정!$E$100+①통합_가정!$E$99)/1000*(1+①통합_가정!$E$101)^INT((AZ15-1)/①통합_가정!$E$102)</f>
        <v>0</v>
      </c>
      <c r="BA21" s="37" t="n">
        <f aca="false">(BA14=1)*①통합_가정!$D$38*①통합_가정!$E$96*CHOOSE(MIN(MAX(BA16,1),3),①통합_가정!$E$104,①통합_가정!$E$105,①통합_가정!$E$106)*(①통합_가정!$E$100+①통합_가정!$E$99)/1000*(1+①통합_가정!$E$101)^INT((BA15-1)/①통합_가정!$E$102)</f>
        <v>0</v>
      </c>
      <c r="BB21" s="37" t="n">
        <f aca="false">(BB14=1)*①통합_가정!$D$38*①통합_가정!$E$96*CHOOSE(MIN(MAX(BB16,1),3),①통합_가정!$E$104,①통합_가정!$E$105,①통합_가정!$E$106)*(①통합_가정!$E$100+①통합_가정!$E$99)/1000*(1+①통합_가정!$E$101)^INT((BB15-1)/①통합_가정!$E$102)</f>
        <v>0</v>
      </c>
      <c r="BC21" s="37" t="n">
        <f aca="false">(BC14=1)*①통합_가정!$D$38*①통합_가정!$E$96*CHOOSE(MIN(MAX(BC16,1),3),①통합_가정!$E$104,①통합_가정!$E$105,①통합_가정!$E$106)*(①통합_가정!$E$100+①통합_가정!$E$99)/1000*(1+①통합_가정!$E$101)^INT((BC15-1)/①통합_가정!$E$102)</f>
        <v>0</v>
      </c>
      <c r="BD21" s="37" t="n">
        <f aca="false">(BD14=1)*①통합_가정!$D$38*①통합_가정!$E$96*CHOOSE(MIN(MAX(BD16,1),3),①통합_가정!$E$104,①통합_가정!$E$105,①통합_가정!$E$106)*(①통합_가정!$E$100+①통합_가정!$E$99)/1000*(1+①통합_가정!$E$101)^INT((BD15-1)/①통합_가정!$E$102)</f>
        <v>0</v>
      </c>
      <c r="BE21" s="37" t="n">
        <f aca="false">(BE14=1)*①통합_가정!$D$38*①통합_가정!$E$96*CHOOSE(MIN(MAX(BE16,1),3),①통합_가정!$E$104,①통합_가정!$E$105,①통합_가정!$E$106)*(①통합_가정!$E$100+①통합_가정!$E$99)/1000*(1+①통합_가정!$E$101)^INT((BE15-1)/①통합_가정!$E$102)</f>
        <v>0</v>
      </c>
      <c r="BF21" s="37" t="n">
        <f aca="false">(BF14=1)*①통합_가정!$D$38*①통합_가정!$E$96*CHOOSE(MIN(MAX(BF16,1),3),①통합_가정!$E$104,①통합_가정!$E$105,①통합_가정!$E$106)*(①통합_가정!$E$100+①통합_가정!$E$99)/1000*(1+①통합_가정!$E$101)^INT((BF15-1)/①통합_가정!$E$102)</f>
        <v>0</v>
      </c>
      <c r="BG21" s="37" t="n">
        <f aca="false">(BG14=1)*①통합_가정!$D$38*①통합_가정!$E$96*CHOOSE(MIN(MAX(BG16,1),3),①통합_가정!$E$104,①통합_가정!$E$105,①통합_가정!$E$106)*(①통합_가정!$E$100+①통합_가정!$E$99)/1000*(1+①통합_가정!$E$101)^INT((BG15-1)/①통합_가정!$E$102)</f>
        <v>0</v>
      </c>
      <c r="BH21" s="37" t="n">
        <f aca="false">(BH14=1)*①통합_가정!$D$38*①통합_가정!$E$96*CHOOSE(MIN(MAX(BH16,1),3),①통합_가정!$E$104,①통합_가정!$E$105,①통합_가정!$E$106)*(①통합_가정!$E$100+①통합_가정!$E$99)/1000*(1+①통합_가정!$E$101)^INT((BH15-1)/①통합_가정!$E$102)</f>
        <v>0</v>
      </c>
      <c r="BI21" s="37" t="n">
        <f aca="false">(BI14=1)*①통합_가정!$D$38*①통합_가정!$E$96*CHOOSE(MIN(MAX(BI16,1),3),①통합_가정!$E$104,①통합_가정!$E$105,①통합_가정!$E$106)*(①통합_가정!$E$100+①통합_가정!$E$99)/1000*(1+①통합_가정!$E$101)^INT((BI15-1)/①통합_가정!$E$102)</f>
        <v>0</v>
      </c>
      <c r="BJ21" s="37" t="n">
        <f aca="false">(BJ14=1)*①통합_가정!$D$38*①통합_가정!$E$96*CHOOSE(MIN(MAX(BJ16,1),3),①통합_가정!$E$104,①통합_가정!$E$105,①통합_가정!$E$106)*(①통합_가정!$E$100+①통합_가정!$E$99)/1000*(1+①통합_가정!$E$101)^INT((BJ15-1)/①통합_가정!$E$102)</f>
        <v>0</v>
      </c>
      <c r="BK21" s="37" t="n">
        <f aca="false">(BK14=1)*①통합_가정!$D$38*①통합_가정!$E$96*CHOOSE(MIN(MAX(BK16,1),3),①통합_가정!$E$104,①통합_가정!$E$105,①통합_가정!$E$106)*(①통합_가정!$E$100+①통합_가정!$E$99)/1000*(1+①통합_가정!$E$101)^INT((BK15-1)/①통합_가정!$E$102)</f>
        <v>0</v>
      </c>
      <c r="BL21" s="37" t="n">
        <f aca="false">(BL14=1)*①통합_가정!$D$38*①통합_가정!$E$96*CHOOSE(MIN(MAX(BL16,1),3),①통합_가정!$E$104,①통합_가정!$E$105,①통합_가정!$E$106)*(①통합_가정!$E$100+①통합_가정!$E$99)/1000*(1+①통합_가정!$E$101)^INT((BL15-1)/①통합_가정!$E$102)</f>
        <v>0</v>
      </c>
      <c r="BM21" s="37" t="n">
        <f aca="false">(BM14=1)*①통합_가정!$D$38*①통합_가정!$E$96*CHOOSE(MIN(MAX(BM16,1),3),①통합_가정!$E$104,①통합_가정!$E$105,①통합_가정!$E$106)*(①통합_가정!$E$100+①통합_가정!$E$99)/1000*(1+①통합_가정!$E$101)^INT((BM15-1)/①통합_가정!$E$102)</f>
        <v>1296</v>
      </c>
      <c r="BN21" s="37" t="n">
        <f aca="false">(BN14=1)*①통합_가정!$D$38*①통합_가정!$E$96*CHOOSE(MIN(MAX(BN16,1),3),①통합_가정!$E$104,①통합_가정!$E$105,①통합_가정!$E$106)*(①통합_가정!$E$100+①통합_가정!$E$99)/1000*(1+①통합_가정!$E$101)^INT((BN15-1)/①통합_가정!$E$102)</f>
        <v>1296</v>
      </c>
      <c r="BO21" s="37" t="n">
        <f aca="false">(BO14=1)*①통합_가정!$D$38*①통합_가정!$E$96*CHOOSE(MIN(MAX(BO16,1),3),①통합_가정!$E$104,①통합_가정!$E$105,①통합_가정!$E$106)*(①통합_가정!$E$100+①통합_가정!$E$99)/1000*(1+①통합_가정!$E$101)^INT((BO15-1)/①통합_가정!$E$102)</f>
        <v>1296</v>
      </c>
      <c r="BP21" s="37" t="n">
        <f aca="false">(BP14=1)*①통합_가정!$D$38*①통합_가정!$E$96*CHOOSE(MIN(MAX(BP16,1),3),①통합_가정!$E$104,①통합_가정!$E$105,①통합_가정!$E$106)*(①통합_가정!$E$100+①통합_가정!$E$99)/1000*(1+①통합_가정!$E$101)^INT((BP15-1)/①통합_가정!$E$102)</f>
        <v>1296</v>
      </c>
      <c r="BQ21" s="37" t="n">
        <f aca="false">(BQ14=1)*①통합_가정!$D$38*①통합_가정!$E$96*CHOOSE(MIN(MAX(BQ16,1),3),①통합_가정!$E$104,①통합_가정!$E$105,①통합_가정!$E$106)*(①통합_가정!$E$100+①통합_가정!$E$99)/1000*(1+①통합_가정!$E$101)^INT((BQ15-1)/①통합_가정!$E$102)</f>
        <v>1296</v>
      </c>
      <c r="BR21" s="37" t="n">
        <f aca="false">(BR14=1)*①통합_가정!$D$38*①통합_가정!$E$96*CHOOSE(MIN(MAX(BR16,1),3),①통합_가정!$E$104,①통합_가정!$E$105,①통합_가정!$E$106)*(①통합_가정!$E$100+①통합_가정!$E$99)/1000*(1+①통합_가정!$E$101)^INT((BR15-1)/①통합_가정!$E$102)</f>
        <v>1296</v>
      </c>
      <c r="BS21" s="37" t="n">
        <f aca="false">(BS14=1)*①통합_가정!$D$38*①통합_가정!$E$96*CHOOSE(MIN(MAX(BS16,1),3),①통합_가정!$E$104,①통합_가정!$E$105,①통합_가정!$E$106)*(①통합_가정!$E$100+①통합_가정!$E$99)/1000*(1+①통합_가정!$E$101)^INT((BS15-1)/①통합_가정!$E$102)</f>
        <v>1296</v>
      </c>
      <c r="BT21" s="37" t="n">
        <f aca="false">(BT14=1)*①통합_가정!$D$38*①통합_가정!$E$96*CHOOSE(MIN(MAX(BT16,1),3),①통합_가정!$E$104,①통합_가정!$E$105,①통합_가정!$E$106)*(①통합_가정!$E$100+①통합_가정!$E$99)/1000*(1+①통합_가정!$E$101)^INT((BT15-1)/①통합_가정!$E$102)</f>
        <v>1296</v>
      </c>
      <c r="BU21" s="37" t="n">
        <f aca="false">(BU14=1)*①통합_가정!$D$38*①통합_가정!$E$96*CHOOSE(MIN(MAX(BU16,1),3),①통합_가정!$E$104,①통합_가정!$E$105,①통합_가정!$E$106)*(①통합_가정!$E$100+①통합_가정!$E$99)/1000*(1+①통합_가정!$E$101)^INT((BU15-1)/①통합_가정!$E$102)</f>
        <v>1296</v>
      </c>
      <c r="BV21" s="37" t="n">
        <f aca="false">(BV14=1)*①통합_가정!$D$38*①통합_가정!$E$96*CHOOSE(MIN(MAX(BV16,1),3),①통합_가정!$E$104,①통합_가정!$E$105,①통합_가정!$E$106)*(①통합_가정!$E$100+①통합_가정!$E$99)/1000*(1+①통합_가정!$E$101)^INT((BV15-1)/①통합_가정!$E$102)</f>
        <v>1296</v>
      </c>
      <c r="BW21" s="37" t="n">
        <f aca="false">(BW14=1)*①통합_가정!$D$38*①통합_가정!$E$96*CHOOSE(MIN(MAX(BW16,1),3),①통합_가정!$E$104,①통합_가정!$E$105,①통합_가정!$E$106)*(①통합_가정!$E$100+①통합_가정!$E$99)/1000*(1+①통합_가정!$E$101)^INT((BW15-1)/①통합_가정!$E$102)</f>
        <v>1296</v>
      </c>
      <c r="BX21" s="37" t="n">
        <f aca="false">(BX14=1)*①통합_가정!$D$38*①통합_가정!$E$96*CHOOSE(MIN(MAX(BX16,1),3),①통합_가정!$E$104,①통합_가정!$E$105,①통합_가정!$E$106)*(①통합_가정!$E$100+①통합_가정!$E$99)/1000*(1+①통합_가정!$E$101)^INT((BX15-1)/①통합_가정!$E$102)</f>
        <v>1296</v>
      </c>
      <c r="BY21" s="37" t="n">
        <f aca="false">(BY14=1)*①통합_가정!$D$38*①통합_가정!$E$96*CHOOSE(MIN(MAX(BY16,1),3),①통합_가정!$E$104,①통합_가정!$E$105,①통합_가정!$E$106)*(①통합_가정!$E$100+①통합_가정!$E$99)/1000*(1+①통합_가정!$E$101)^INT((BY15-1)/①통합_가정!$E$102)</f>
        <v>1652.4</v>
      </c>
      <c r="BZ21" s="37" t="n">
        <f aca="false">(BZ14=1)*①통합_가정!$D$38*①통합_가정!$E$96*CHOOSE(MIN(MAX(BZ16,1),3),①통합_가정!$E$104,①통합_가정!$E$105,①통합_가정!$E$106)*(①통합_가정!$E$100+①통합_가정!$E$99)/1000*(1+①통합_가정!$E$101)^INT((BZ15-1)/①통합_가정!$E$102)</f>
        <v>1652.4</v>
      </c>
      <c r="CA21" s="37" t="n">
        <f aca="false">(CA14=1)*①통합_가정!$D$38*①통합_가정!$E$96*CHOOSE(MIN(MAX(CA16,1),3),①통합_가정!$E$104,①통합_가정!$E$105,①통합_가정!$E$106)*(①통합_가정!$E$100+①통합_가정!$E$99)/1000*(1+①통합_가정!$E$101)^INT((CA15-1)/①통합_가정!$E$102)</f>
        <v>1652.4</v>
      </c>
      <c r="CB21" s="37" t="n">
        <f aca="false">(CB14=1)*①통합_가정!$D$38*①통합_가정!$E$96*CHOOSE(MIN(MAX(CB16,1),3),①통합_가정!$E$104,①통합_가정!$E$105,①통합_가정!$E$106)*(①통합_가정!$E$100+①통합_가정!$E$99)/1000*(1+①통합_가정!$E$101)^INT((CB15-1)/①통합_가정!$E$102)</f>
        <v>1652.4</v>
      </c>
      <c r="CC21" s="37" t="n">
        <f aca="false">(CC14=1)*①통합_가정!$D$38*①통합_가정!$E$96*CHOOSE(MIN(MAX(CC16,1),3),①통합_가정!$E$104,①통합_가정!$E$105,①통합_가정!$E$106)*(①통합_가정!$E$100+①통합_가정!$E$99)/1000*(1+①통합_가정!$E$101)^INT((CC15-1)/①통합_가정!$E$102)</f>
        <v>1652.4</v>
      </c>
      <c r="CD21" s="37" t="n">
        <f aca="false">(CD14=1)*①통합_가정!$D$38*①통합_가정!$E$96*CHOOSE(MIN(MAX(CD16,1),3),①통합_가정!$E$104,①통합_가정!$E$105,①통합_가정!$E$106)*(①통합_가정!$E$100+①통합_가정!$E$99)/1000*(1+①통합_가정!$E$101)^INT((CD15-1)/①통합_가정!$E$102)</f>
        <v>1652.4</v>
      </c>
      <c r="CE21" s="37" t="n">
        <f aca="false">(CE14=1)*①통합_가정!$D$38*①통합_가정!$E$96*CHOOSE(MIN(MAX(CE16,1),3),①통합_가정!$E$104,①통합_가정!$E$105,①통합_가정!$E$106)*(①통합_가정!$E$100+①통합_가정!$E$99)/1000*(1+①통합_가정!$E$101)^INT((CE15-1)/①통합_가정!$E$102)</f>
        <v>1652.4</v>
      </c>
      <c r="CF21" s="37" t="n">
        <f aca="false">(CF14=1)*①통합_가정!$D$38*①통합_가정!$E$96*CHOOSE(MIN(MAX(CF16,1),3),①통합_가정!$E$104,①통합_가정!$E$105,①통합_가정!$E$106)*(①통합_가정!$E$100+①통합_가정!$E$99)/1000*(1+①통합_가정!$E$101)^INT((CF15-1)/①통합_가정!$E$102)</f>
        <v>1652.4</v>
      </c>
      <c r="CG21" s="37" t="n">
        <f aca="false">(CG14=1)*①통합_가정!$D$38*①통합_가정!$E$96*CHOOSE(MIN(MAX(CG16,1),3),①통합_가정!$E$104,①통합_가정!$E$105,①통합_가정!$E$106)*(①통합_가정!$E$100+①통합_가정!$E$99)/1000*(1+①통합_가정!$E$101)^INT((CG15-1)/①통합_가정!$E$102)</f>
        <v>1652.4</v>
      </c>
      <c r="CH21" s="37" t="n">
        <f aca="false">(CH14=1)*①통합_가정!$D$38*①통합_가정!$E$96*CHOOSE(MIN(MAX(CH16,1),3),①통합_가정!$E$104,①통합_가정!$E$105,①통합_가정!$E$106)*(①통합_가정!$E$100+①통합_가정!$E$99)/1000*(1+①통합_가정!$E$101)^INT((CH15-1)/①통합_가정!$E$102)</f>
        <v>1652.4</v>
      </c>
      <c r="CI21" s="37" t="n">
        <f aca="false">(CI14=1)*①통합_가정!$D$38*①통합_가정!$E$96*CHOOSE(MIN(MAX(CI16,1),3),①통합_가정!$E$104,①통합_가정!$E$105,①통합_가정!$E$106)*(①통합_가정!$E$100+①통합_가정!$E$99)/1000*(1+①통합_가정!$E$101)^INT((CI15-1)/①통합_가정!$E$102)</f>
        <v>1652.4</v>
      </c>
      <c r="CJ21" s="37" t="n">
        <f aca="false">(CJ14=1)*①통합_가정!$D$38*①통합_가정!$E$96*CHOOSE(MIN(MAX(CJ16,1),3),①통합_가정!$E$104,①통합_가정!$E$105,①통합_가정!$E$106)*(①통합_가정!$E$100+①통합_가정!$E$99)/1000*(1+①통합_가정!$E$101)^INT((CJ15-1)/①통합_가정!$E$102)</f>
        <v>1652.4</v>
      </c>
      <c r="CK21" s="37" t="n">
        <f aca="false">(CK14=1)*①통합_가정!$D$38*①통합_가정!$E$96*CHOOSE(MIN(MAX(CK16,1),3),①통합_가정!$E$104,①통합_가정!$E$105,①통합_가정!$E$106)*(①통합_가정!$E$100+①통합_가정!$E$99)/1000*(1+①통합_가정!$E$101)^INT((CK15-1)/①통합_가정!$E$102)</f>
        <v>1685.448</v>
      </c>
      <c r="CL21" s="37" t="n">
        <f aca="false">(CL14=1)*①통합_가정!$D$38*①통합_가정!$E$96*CHOOSE(MIN(MAX(CL16,1),3),①통합_가정!$E$104,①통합_가정!$E$105,①통합_가정!$E$106)*(①통합_가정!$E$100+①통합_가정!$E$99)/1000*(1+①통합_가정!$E$101)^INT((CL15-1)/①통합_가정!$E$102)</f>
        <v>1685.448</v>
      </c>
      <c r="CM21" s="37" t="n">
        <f aca="false">(CM14=1)*①통합_가정!$D$38*①통합_가정!$E$96*CHOOSE(MIN(MAX(CM16,1),3),①통합_가정!$E$104,①통합_가정!$E$105,①통합_가정!$E$106)*(①통합_가정!$E$100+①통합_가정!$E$99)/1000*(1+①통합_가정!$E$101)^INT((CM15-1)/①통합_가정!$E$102)</f>
        <v>1685.448</v>
      </c>
      <c r="CN21" s="37" t="n">
        <f aca="false">(CN14=1)*①통합_가정!$D$38*①통합_가정!$E$96*CHOOSE(MIN(MAX(CN16,1),3),①통합_가정!$E$104,①통합_가정!$E$105,①통합_가정!$E$106)*(①통합_가정!$E$100+①통합_가정!$E$99)/1000*(1+①통합_가정!$E$101)^INT((CN15-1)/①통합_가정!$E$102)</f>
        <v>1685.448</v>
      </c>
      <c r="CO21" s="37" t="n">
        <f aca="false">(CO14=1)*①통합_가정!$D$38*①통합_가정!$E$96*CHOOSE(MIN(MAX(CO16,1),3),①통합_가정!$E$104,①통합_가정!$E$105,①통합_가정!$E$106)*(①통합_가정!$E$100+①통합_가정!$E$99)/1000*(1+①통합_가정!$E$101)^INT((CO15-1)/①통합_가정!$E$102)</f>
        <v>1685.448</v>
      </c>
      <c r="CP21" s="37" t="n">
        <f aca="false">(CP14=1)*①통합_가정!$D$38*①통합_가정!$E$96*CHOOSE(MIN(MAX(CP16,1),3),①통합_가정!$E$104,①통합_가정!$E$105,①통합_가정!$E$106)*(①통합_가정!$E$100+①통합_가정!$E$99)/1000*(1+①통합_가정!$E$101)^INT((CP15-1)/①통합_가정!$E$102)</f>
        <v>1685.448</v>
      </c>
      <c r="CQ21" s="37" t="n">
        <f aca="false">(CQ14=1)*①통합_가정!$D$38*①통합_가정!$E$96*CHOOSE(MIN(MAX(CQ16,1),3),①통합_가정!$E$104,①통합_가정!$E$105,①통합_가정!$E$106)*(①통합_가정!$E$100+①통합_가정!$E$99)/1000*(1+①통합_가정!$E$101)^INT((CQ15-1)/①통합_가정!$E$102)</f>
        <v>1685.448</v>
      </c>
      <c r="CR21" s="37" t="n">
        <f aca="false">(CR14=1)*①통합_가정!$D$38*①통합_가정!$E$96*CHOOSE(MIN(MAX(CR16,1),3),①통합_가정!$E$104,①통합_가정!$E$105,①통합_가정!$E$106)*(①통합_가정!$E$100+①통합_가정!$E$99)/1000*(1+①통합_가정!$E$101)^INT((CR15-1)/①통합_가정!$E$102)</f>
        <v>1685.448</v>
      </c>
      <c r="CS21" s="37" t="n">
        <f aca="false">(CS14=1)*①통합_가정!$D$38*①통합_가정!$E$96*CHOOSE(MIN(MAX(CS16,1),3),①통합_가정!$E$104,①통합_가정!$E$105,①통합_가정!$E$106)*(①통합_가정!$E$100+①통합_가정!$E$99)/1000*(1+①통합_가정!$E$101)^INT((CS15-1)/①통합_가정!$E$102)</f>
        <v>1685.448</v>
      </c>
      <c r="CT21" s="37" t="n">
        <f aca="false">(CT14=1)*①통합_가정!$D$38*①통합_가정!$E$96*CHOOSE(MIN(MAX(CT16,1),3),①통합_가정!$E$104,①통합_가정!$E$105,①통합_가정!$E$106)*(①통합_가정!$E$100+①통합_가정!$E$99)/1000*(1+①통합_가정!$E$101)^INT((CT15-1)/①통합_가정!$E$102)</f>
        <v>1685.448</v>
      </c>
      <c r="CU21" s="37" t="n">
        <f aca="false">(CU14=1)*①통합_가정!$D$38*①통합_가정!$E$96*CHOOSE(MIN(MAX(CU16,1),3),①통합_가정!$E$104,①통합_가정!$E$105,①통합_가정!$E$106)*(①통합_가정!$E$100+①통합_가정!$E$99)/1000*(1+①통합_가정!$E$101)^INT((CU15-1)/①통합_가정!$E$102)</f>
        <v>1685.448</v>
      </c>
      <c r="CV21" s="37" t="n">
        <f aca="false">(CV14=1)*①통합_가정!$D$38*①통합_가정!$E$96*CHOOSE(MIN(MAX(CV16,1),3),①통합_가정!$E$104,①통합_가정!$E$105,①통합_가정!$E$106)*(①통합_가정!$E$100+①통합_가정!$E$99)/1000*(1+①통합_가정!$E$101)^INT((CV15-1)/①통합_가정!$E$102)</f>
        <v>1685.448</v>
      </c>
      <c r="CW21" s="37" t="n">
        <f aca="false">(CW14=1)*①통합_가정!$D$38*①통합_가정!$E$96*CHOOSE(MIN(MAX(CW16,1),3),①통합_가정!$E$104,①통합_가정!$E$105,①통합_가정!$E$106)*(①통합_가정!$E$100+①통합_가정!$E$99)/1000*(1+①통합_가정!$E$101)^INT((CW15-1)/①통합_가정!$E$102)</f>
        <v>1719.15696</v>
      </c>
      <c r="CX21" s="37" t="n">
        <f aca="false">(CX14=1)*①통합_가정!$D$38*①통합_가정!$E$96*CHOOSE(MIN(MAX(CX16,1),3),①통합_가정!$E$104,①통합_가정!$E$105,①통합_가정!$E$106)*(①통합_가정!$E$100+①통합_가정!$E$99)/1000*(1+①통합_가정!$E$101)^INT((CX15-1)/①통합_가정!$E$102)</f>
        <v>1719.15696</v>
      </c>
      <c r="CY21" s="37" t="n">
        <f aca="false">(CY14=1)*①통합_가정!$D$38*①통합_가정!$E$96*CHOOSE(MIN(MAX(CY16,1),3),①통합_가정!$E$104,①통합_가정!$E$105,①통합_가정!$E$106)*(①통합_가정!$E$100+①통합_가정!$E$99)/1000*(1+①통합_가정!$E$101)^INT((CY15-1)/①통합_가정!$E$102)</f>
        <v>1719.15696</v>
      </c>
      <c r="CZ21" s="37" t="n">
        <f aca="false">(CZ14=1)*①통합_가정!$D$38*①통합_가정!$E$96*CHOOSE(MIN(MAX(CZ16,1),3),①통합_가정!$E$104,①통합_가정!$E$105,①통합_가정!$E$106)*(①통합_가정!$E$100+①통합_가정!$E$99)/1000*(1+①통합_가정!$E$101)^INT((CZ15-1)/①통합_가정!$E$102)</f>
        <v>1719.15696</v>
      </c>
      <c r="DA21" s="37" t="n">
        <f aca="false">(DA14=1)*①통합_가정!$D$38*①통합_가정!$E$96*CHOOSE(MIN(MAX(DA16,1),3),①통합_가정!$E$104,①통합_가정!$E$105,①통합_가정!$E$106)*(①통합_가정!$E$100+①통합_가정!$E$99)/1000*(1+①통합_가정!$E$101)^INT((DA15-1)/①통합_가정!$E$102)</f>
        <v>1719.15696</v>
      </c>
      <c r="DB21" s="37" t="n">
        <f aca="false">(DB14=1)*①통합_가정!$D$38*①통합_가정!$E$96*CHOOSE(MIN(MAX(DB16,1),3),①통합_가정!$E$104,①통합_가정!$E$105,①통합_가정!$E$106)*(①통합_가정!$E$100+①통합_가정!$E$99)/1000*(1+①통합_가정!$E$101)^INT((DB15-1)/①통합_가정!$E$102)</f>
        <v>1719.15696</v>
      </c>
      <c r="DC21" s="37" t="n">
        <f aca="false">(DC14=1)*①통합_가정!$D$38*①통합_가정!$E$96*CHOOSE(MIN(MAX(DC16,1),3),①통합_가정!$E$104,①통합_가정!$E$105,①통합_가정!$E$106)*(①통합_가정!$E$100+①통합_가정!$E$99)/1000*(1+①통합_가정!$E$101)^INT((DC15-1)/①통합_가정!$E$102)</f>
        <v>1719.15696</v>
      </c>
      <c r="DD21" s="37" t="n">
        <f aca="false">(DD14=1)*①통합_가정!$D$38*①통합_가정!$E$96*CHOOSE(MIN(MAX(DD16,1),3),①통합_가정!$E$104,①통합_가정!$E$105,①통합_가정!$E$106)*(①통합_가정!$E$100+①통합_가정!$E$99)/1000*(1+①통합_가정!$E$101)^INT((DD15-1)/①통합_가정!$E$102)</f>
        <v>1719.15696</v>
      </c>
      <c r="DE21" s="37" t="n">
        <f aca="false">(DE14=1)*①통합_가정!$D$38*①통합_가정!$E$96*CHOOSE(MIN(MAX(DE16,1),3),①통합_가정!$E$104,①통합_가정!$E$105,①통합_가정!$E$106)*(①통합_가정!$E$100+①통합_가정!$E$99)/1000*(1+①통합_가정!$E$101)^INT((DE15-1)/①통합_가정!$E$102)</f>
        <v>1719.15696</v>
      </c>
      <c r="DF21" s="37" t="n">
        <f aca="false">(DF14=1)*①통합_가정!$D$38*①통합_가정!$E$96*CHOOSE(MIN(MAX(DF16,1),3),①통합_가정!$E$104,①통합_가정!$E$105,①통합_가정!$E$106)*(①통합_가정!$E$100+①통합_가정!$E$99)/1000*(1+①통합_가정!$E$101)^INT((DF15-1)/①통합_가정!$E$102)</f>
        <v>1719.15696</v>
      </c>
      <c r="DG21" s="37" t="n">
        <f aca="false">(DG14=1)*①통합_가정!$D$38*①통합_가정!$E$96*CHOOSE(MIN(MAX(DG16,1),3),①통합_가정!$E$104,①통합_가정!$E$105,①통합_가정!$E$106)*(①통합_가정!$E$100+①통합_가정!$E$99)/1000*(1+①통합_가정!$E$101)^INT((DG15-1)/①통합_가정!$E$102)</f>
        <v>1719.15696</v>
      </c>
      <c r="DH21" s="37" t="n">
        <f aca="false">(DH14=1)*①통합_가정!$D$38*①통합_가정!$E$96*CHOOSE(MIN(MAX(DH16,1),3),①통합_가정!$E$104,①통합_가정!$E$105,①통합_가정!$E$106)*(①통합_가정!$E$100+①통합_가정!$E$99)/1000*(1+①통합_가정!$E$101)^INT((DH15-1)/①통합_가정!$E$102)</f>
        <v>1719.15696</v>
      </c>
      <c r="DI21" s="37" t="n">
        <f aca="false">(DI14=1)*①통합_가정!$D$38*①통합_가정!$E$96*CHOOSE(MIN(MAX(DI16,1),3),①통합_가정!$E$104,①통합_가정!$E$105,①통합_가정!$E$106)*(①통합_가정!$E$100+①통합_가정!$E$99)/1000*(1+①통합_가정!$E$101)^INT((DI15-1)/①통합_가정!$E$102)</f>
        <v>1753.5400992</v>
      </c>
      <c r="DJ21" s="37" t="n">
        <f aca="false">(DJ14=1)*①통합_가정!$D$38*①통합_가정!$E$96*CHOOSE(MIN(MAX(DJ16,1),3),①통합_가정!$E$104,①통합_가정!$E$105,①통합_가정!$E$106)*(①통합_가정!$E$100+①통합_가정!$E$99)/1000*(1+①통합_가정!$E$101)^INT((DJ15-1)/①통합_가정!$E$102)</f>
        <v>1753.5400992</v>
      </c>
      <c r="DK21" s="37" t="n">
        <f aca="false">(DK14=1)*①통합_가정!$D$38*①통합_가정!$E$96*CHOOSE(MIN(MAX(DK16,1),3),①통합_가정!$E$104,①통합_가정!$E$105,①통합_가정!$E$106)*(①통합_가정!$E$100+①통합_가정!$E$99)/1000*(1+①통합_가정!$E$101)^INT((DK15-1)/①통합_가정!$E$102)</f>
        <v>1753.5400992</v>
      </c>
      <c r="DL21" s="37" t="n">
        <f aca="false">(DL14=1)*①통합_가정!$D$38*①통합_가정!$E$96*CHOOSE(MIN(MAX(DL16,1),3),①통합_가정!$E$104,①통합_가정!$E$105,①통합_가정!$E$106)*(①통합_가정!$E$100+①통합_가정!$E$99)/1000*(1+①통합_가정!$E$101)^INT((DL15-1)/①통합_가정!$E$102)</f>
        <v>1753.5400992</v>
      </c>
      <c r="DM21" s="37" t="n">
        <f aca="false">(DM14=1)*①통합_가정!$D$38*①통합_가정!$E$96*CHOOSE(MIN(MAX(DM16,1),3),①통합_가정!$E$104,①통합_가정!$E$105,①통합_가정!$E$106)*(①통합_가정!$E$100+①통합_가정!$E$99)/1000*(1+①통합_가정!$E$101)^INT((DM15-1)/①통합_가정!$E$102)</f>
        <v>1753.5400992</v>
      </c>
      <c r="DN21" s="37" t="n">
        <f aca="false">(DN14=1)*①통합_가정!$D$38*①통합_가정!$E$96*CHOOSE(MIN(MAX(DN16,1),3),①통합_가정!$E$104,①통합_가정!$E$105,①통합_가정!$E$106)*(①통합_가정!$E$100+①통합_가정!$E$99)/1000*(1+①통합_가정!$E$101)^INT((DN15-1)/①통합_가정!$E$102)</f>
        <v>1753.5400992</v>
      </c>
      <c r="DO21" s="37" t="n">
        <f aca="false">(DO14=1)*①통합_가정!$D$38*①통합_가정!$E$96*CHOOSE(MIN(MAX(DO16,1),3),①통합_가정!$E$104,①통합_가정!$E$105,①통합_가정!$E$106)*(①통합_가정!$E$100+①통합_가정!$E$99)/1000*(1+①통합_가정!$E$101)^INT((DO15-1)/①통합_가정!$E$102)</f>
        <v>1753.5400992</v>
      </c>
      <c r="DP21" s="37" t="n">
        <f aca="false">(DP14=1)*①통합_가정!$D$38*①통합_가정!$E$96*CHOOSE(MIN(MAX(DP16,1),3),①통합_가정!$E$104,①통합_가정!$E$105,①통합_가정!$E$106)*(①통합_가정!$E$100+①통합_가정!$E$99)/1000*(1+①통합_가정!$E$101)^INT((DP15-1)/①통합_가정!$E$102)</f>
        <v>1753.5400992</v>
      </c>
      <c r="DQ21" s="37" t="n">
        <f aca="false">(DQ14=1)*①통합_가정!$D$38*①통합_가정!$E$96*CHOOSE(MIN(MAX(DQ16,1),3),①통합_가정!$E$104,①통합_가정!$E$105,①통합_가정!$E$106)*(①통합_가정!$E$100+①통합_가정!$E$99)/1000*(1+①통합_가정!$E$101)^INT((DQ15-1)/①통합_가정!$E$102)</f>
        <v>1753.5400992</v>
      </c>
      <c r="DR21" s="37" t="n">
        <f aca="false">(DR14=1)*①통합_가정!$D$38*①통합_가정!$E$96*CHOOSE(MIN(MAX(DR16,1),3),①통합_가정!$E$104,①통합_가정!$E$105,①통합_가정!$E$106)*(①통합_가정!$E$100+①통합_가정!$E$99)/1000*(1+①통합_가정!$E$101)^INT((DR15-1)/①통합_가정!$E$102)</f>
        <v>1753.5400992</v>
      </c>
      <c r="DS21" s="37" t="n">
        <f aca="false">(DS14=1)*①통합_가정!$D$38*①통합_가정!$E$96*CHOOSE(MIN(MAX(DS16,1),3),①통합_가정!$E$104,①통합_가정!$E$105,①통합_가정!$E$106)*(①통합_가정!$E$100+①통합_가정!$E$99)/1000*(1+①통합_가정!$E$101)^INT((DS15-1)/①통합_가정!$E$102)</f>
        <v>1753.5400992</v>
      </c>
      <c r="DT21" s="37" t="n">
        <f aca="false">(DT14=1)*①통합_가정!$D$38*①통합_가정!$E$96*CHOOSE(MIN(MAX(DT16,1),3),①통합_가정!$E$104,①통합_가정!$E$105,①통합_가정!$E$106)*(①통합_가정!$E$100+①통합_가정!$E$99)/1000*(1+①통합_가정!$E$101)^INT((DT15-1)/①통합_가정!$E$102)</f>
        <v>1753.5400992</v>
      </c>
      <c r="DU21" s="37" t="n">
        <f aca="false">(DU14=1)*①통합_가정!$D$38*①통합_가정!$E$96*CHOOSE(MIN(MAX(DU16,1),3),①통합_가정!$E$104,①통합_가정!$E$105,①통합_가정!$E$106)*(①통합_가정!$E$100+①통합_가정!$E$99)/1000*(1+①통합_가정!$E$101)^INT((DU15-1)/①통합_가정!$E$102)</f>
        <v>0</v>
      </c>
      <c r="DV21" s="37" t="n">
        <f aca="false">(DV14=1)*①통합_가정!$D$38*①통합_가정!$E$96*CHOOSE(MIN(MAX(DV16,1),3),①통합_가정!$E$104,①통합_가정!$E$105,①통합_가정!$E$106)*(①통합_가정!$E$100+①통합_가정!$E$99)/1000*(1+①통합_가정!$E$101)^INT((DV15-1)/①통합_가정!$E$102)</f>
        <v>0</v>
      </c>
      <c r="DW21" s="37" t="n">
        <f aca="false">(DW14=1)*①통합_가정!$D$38*①통합_가정!$E$96*CHOOSE(MIN(MAX(DW16,1),3),①통합_가정!$E$104,①통합_가정!$E$105,①통합_가정!$E$106)*(①통합_가정!$E$100+①통합_가정!$E$99)/1000*(1+①통합_가정!$E$101)^INT((DW15-1)/①통합_가정!$E$102)</f>
        <v>0</v>
      </c>
      <c r="DX21" s="37" t="n">
        <f aca="false">(DX14=1)*①통합_가정!$D$38*①통합_가정!$E$96*CHOOSE(MIN(MAX(DX16,1),3),①통합_가정!$E$104,①통합_가정!$E$105,①통합_가정!$E$106)*(①통합_가정!$E$100+①통합_가정!$E$99)/1000*(1+①통합_가정!$E$101)^INT((DX15-1)/①통합_가정!$E$102)</f>
        <v>0</v>
      </c>
      <c r="DY21" s="37" t="n">
        <f aca="false">(DY14=1)*①통합_가정!$D$38*①통합_가정!$E$96*CHOOSE(MIN(MAX(DY16,1),3),①통합_가정!$E$104,①통합_가정!$E$105,①통합_가정!$E$106)*(①통합_가정!$E$100+①통합_가정!$E$99)/1000*(1+①통합_가정!$E$101)^INT((DY15-1)/①통합_가정!$E$102)</f>
        <v>0</v>
      </c>
      <c r="DZ21" s="37" t="n">
        <f aca="false">(DZ14=1)*①통합_가정!$D$38*①통합_가정!$E$96*CHOOSE(MIN(MAX(DZ16,1),3),①통합_가정!$E$104,①통합_가정!$E$105,①통합_가정!$E$106)*(①통합_가정!$E$100+①통합_가정!$E$99)/1000*(1+①통합_가정!$E$101)^INT((DZ15-1)/①통합_가정!$E$102)</f>
        <v>0</v>
      </c>
      <c r="EA21" s="37" t="n">
        <f aca="false">(EA14=1)*①통합_가정!$D$38*①통합_가정!$E$96*CHOOSE(MIN(MAX(EA16,1),3),①통합_가정!$E$104,①통합_가정!$E$105,①통합_가정!$E$106)*(①통합_가정!$E$100+①통합_가정!$E$99)/1000*(1+①통합_가정!$E$101)^INT((EA15-1)/①통합_가정!$E$102)</f>
        <v>0</v>
      </c>
      <c r="EB21" s="37" t="n">
        <f aca="false">(EB14=1)*①통합_가정!$D$38*①통합_가정!$E$96*CHOOSE(MIN(MAX(EB16,1),3),①통합_가정!$E$104,①통합_가정!$E$105,①통합_가정!$E$106)*(①통합_가정!$E$100+①통합_가정!$E$99)/1000*(1+①통합_가정!$E$101)^INT((EB15-1)/①통합_가정!$E$102)</f>
        <v>0</v>
      </c>
      <c r="EC21" s="37" t="n">
        <f aca="false">(EC14=1)*①통합_가정!$D$38*①통합_가정!$E$96*CHOOSE(MIN(MAX(EC16,1),3),①통합_가정!$E$104,①통합_가정!$E$105,①통합_가정!$E$106)*(①통합_가정!$E$100+①통합_가정!$E$99)/1000*(1+①통합_가정!$E$101)^INT((EC15-1)/①통합_가정!$E$102)</f>
        <v>0</v>
      </c>
      <c r="ED21" s="37" t="n">
        <f aca="false">(ED14=1)*①통합_가정!$D$38*①통합_가정!$E$96*CHOOSE(MIN(MAX(ED16,1),3),①통합_가정!$E$104,①통합_가정!$E$105,①통합_가정!$E$106)*(①통합_가정!$E$100+①통합_가정!$E$99)/1000*(1+①통합_가정!$E$101)^INT((ED15-1)/①통합_가정!$E$102)</f>
        <v>0</v>
      </c>
      <c r="EE21" s="37" t="n">
        <f aca="false">(EE14=1)*①통합_가정!$D$38*①통합_가정!$E$96*CHOOSE(MIN(MAX(EE16,1),3),①통합_가정!$E$104,①통합_가정!$E$105,①통합_가정!$E$106)*(①통합_가정!$E$100+①통합_가정!$E$99)/1000*(1+①통합_가정!$E$101)^INT((EE15-1)/①통합_가정!$E$102)</f>
        <v>0</v>
      </c>
      <c r="EF21" s="37" t="n">
        <f aca="false">(EF14=1)*①통합_가정!$D$38*①통합_가정!$E$96*CHOOSE(MIN(MAX(EF16,1),3),①통합_가정!$E$104,①통합_가정!$E$105,①통합_가정!$E$106)*(①통합_가정!$E$100+①통합_가정!$E$99)/1000*(1+①통합_가정!$E$101)^INT((EF15-1)/①통합_가정!$E$102)</f>
        <v>0</v>
      </c>
    </row>
    <row r="22" customFormat="false" ht="15" hidden="false" customHeight="false" outlineLevel="0" collapsed="false">
      <c r="A22" s="36" t="s">
        <v>577</v>
      </c>
      <c r="B22" s="278" t="s">
        <v>21</v>
      </c>
      <c r="C22" s="279" t="n">
        <f aca="false">SUM(E22:EF22)</f>
        <v>14591.78110656</v>
      </c>
      <c r="E22" s="37" t="n">
        <f aca="false">E21*①통합_가정!$E$107</f>
        <v>0</v>
      </c>
      <c r="F22" s="37" t="n">
        <f aca="false">F21*①통합_가정!$E$107</f>
        <v>0</v>
      </c>
      <c r="G22" s="37" t="n">
        <f aca="false">G21*①통합_가정!$E$107</f>
        <v>0</v>
      </c>
      <c r="H22" s="37" t="n">
        <f aca="false">H21*①통합_가정!$E$107</f>
        <v>0</v>
      </c>
      <c r="I22" s="37" t="n">
        <f aca="false">I21*①통합_가정!$E$107</f>
        <v>0</v>
      </c>
      <c r="J22" s="37" t="n">
        <f aca="false">J21*①통합_가정!$E$107</f>
        <v>0</v>
      </c>
      <c r="K22" s="37" t="n">
        <f aca="false">K21*①통합_가정!$E$107</f>
        <v>0</v>
      </c>
      <c r="L22" s="37" t="n">
        <f aca="false">L21*①통합_가정!$E$107</f>
        <v>0</v>
      </c>
      <c r="M22" s="37" t="n">
        <f aca="false">M21*①통합_가정!$E$107</f>
        <v>0</v>
      </c>
      <c r="N22" s="37" t="n">
        <f aca="false">N21*①통합_가정!$E$107</f>
        <v>0</v>
      </c>
      <c r="O22" s="37" t="n">
        <f aca="false">O21*①통합_가정!$E$107</f>
        <v>0</v>
      </c>
      <c r="P22" s="37" t="n">
        <f aca="false">P21*①통합_가정!$E$107</f>
        <v>0</v>
      </c>
      <c r="Q22" s="37" t="n">
        <f aca="false">Q21*①통합_가정!$E$107</f>
        <v>0</v>
      </c>
      <c r="R22" s="37" t="n">
        <f aca="false">R21*①통합_가정!$E$107</f>
        <v>0</v>
      </c>
      <c r="S22" s="37" t="n">
        <f aca="false">S21*①통합_가정!$E$107</f>
        <v>0</v>
      </c>
      <c r="T22" s="37" t="n">
        <f aca="false">T21*①통합_가정!$E$107</f>
        <v>0</v>
      </c>
      <c r="U22" s="37" t="n">
        <f aca="false">U21*①통합_가정!$E$107</f>
        <v>0</v>
      </c>
      <c r="V22" s="37" t="n">
        <f aca="false">V21*①통합_가정!$E$107</f>
        <v>0</v>
      </c>
      <c r="W22" s="37" t="n">
        <f aca="false">W21*①통합_가정!$E$107</f>
        <v>0</v>
      </c>
      <c r="X22" s="37" t="n">
        <f aca="false">X21*①통합_가정!$E$107</f>
        <v>0</v>
      </c>
      <c r="Y22" s="37" t="n">
        <f aca="false">Y21*①통합_가정!$E$107</f>
        <v>0</v>
      </c>
      <c r="Z22" s="37" t="n">
        <f aca="false">Z21*①통합_가정!$E$107</f>
        <v>0</v>
      </c>
      <c r="AA22" s="37" t="n">
        <f aca="false">AA21*①통합_가정!$E$107</f>
        <v>0</v>
      </c>
      <c r="AB22" s="37" t="n">
        <f aca="false">AB21*①통합_가정!$E$107</f>
        <v>0</v>
      </c>
      <c r="AC22" s="37" t="n">
        <f aca="false">AC21*①통합_가정!$E$107</f>
        <v>0</v>
      </c>
      <c r="AD22" s="37" t="n">
        <f aca="false">AD21*①통합_가정!$E$107</f>
        <v>0</v>
      </c>
      <c r="AE22" s="37" t="n">
        <f aca="false">AE21*①통합_가정!$E$107</f>
        <v>0</v>
      </c>
      <c r="AF22" s="37" t="n">
        <f aca="false">AF21*①통합_가정!$E$107</f>
        <v>0</v>
      </c>
      <c r="AG22" s="37" t="n">
        <f aca="false">AG21*①통합_가정!$E$107</f>
        <v>0</v>
      </c>
      <c r="AH22" s="37" t="n">
        <f aca="false">AH21*①통합_가정!$E$107</f>
        <v>0</v>
      </c>
      <c r="AI22" s="37" t="n">
        <f aca="false">AI21*①통합_가정!$E$107</f>
        <v>0</v>
      </c>
      <c r="AJ22" s="37" t="n">
        <f aca="false">AJ21*①통합_가정!$E$107</f>
        <v>0</v>
      </c>
      <c r="AK22" s="37" t="n">
        <f aca="false">AK21*①통합_가정!$E$107</f>
        <v>0</v>
      </c>
      <c r="AL22" s="37" t="n">
        <f aca="false">AL21*①통합_가정!$E$107</f>
        <v>0</v>
      </c>
      <c r="AM22" s="37" t="n">
        <f aca="false">AM21*①통합_가정!$E$107</f>
        <v>0</v>
      </c>
      <c r="AN22" s="37" t="n">
        <f aca="false">AN21*①통합_가정!$E$107</f>
        <v>0</v>
      </c>
      <c r="AO22" s="37" t="n">
        <f aca="false">AO21*①통합_가정!$E$107</f>
        <v>0</v>
      </c>
      <c r="AP22" s="37" t="n">
        <f aca="false">AP21*①통합_가정!$E$107</f>
        <v>0</v>
      </c>
      <c r="AQ22" s="37" t="n">
        <f aca="false">AQ21*①통합_가정!$E$107</f>
        <v>0</v>
      </c>
      <c r="AR22" s="37" t="n">
        <f aca="false">AR21*①통합_가정!$E$107</f>
        <v>0</v>
      </c>
      <c r="AS22" s="37" t="n">
        <f aca="false">AS21*①통합_가정!$E$107</f>
        <v>0</v>
      </c>
      <c r="AT22" s="37" t="n">
        <f aca="false">AT21*①통합_가정!$E$107</f>
        <v>0</v>
      </c>
      <c r="AU22" s="37" t="n">
        <f aca="false">AU21*①통합_가정!$E$107</f>
        <v>0</v>
      </c>
      <c r="AV22" s="37" t="n">
        <f aca="false">AV21*①통합_가정!$E$107</f>
        <v>0</v>
      </c>
      <c r="AW22" s="37" t="n">
        <f aca="false">AW21*①통합_가정!$E$107</f>
        <v>0</v>
      </c>
      <c r="AX22" s="37" t="n">
        <f aca="false">AX21*①통합_가정!$E$107</f>
        <v>0</v>
      </c>
      <c r="AY22" s="37" t="n">
        <f aca="false">AY21*①통합_가정!$E$107</f>
        <v>0</v>
      </c>
      <c r="AZ22" s="37" t="n">
        <f aca="false">AZ21*①통합_가정!$E$107</f>
        <v>0</v>
      </c>
      <c r="BA22" s="37" t="n">
        <f aca="false">BA21*①통합_가정!$E$107</f>
        <v>0</v>
      </c>
      <c r="BB22" s="37" t="n">
        <f aca="false">BB21*①통합_가정!$E$107</f>
        <v>0</v>
      </c>
      <c r="BC22" s="37" t="n">
        <f aca="false">BC21*①통합_가정!$E$107</f>
        <v>0</v>
      </c>
      <c r="BD22" s="37" t="n">
        <f aca="false">BD21*①통합_가정!$E$107</f>
        <v>0</v>
      </c>
      <c r="BE22" s="37" t="n">
        <f aca="false">BE21*①통합_가정!$E$107</f>
        <v>0</v>
      </c>
      <c r="BF22" s="37" t="n">
        <f aca="false">BF21*①통합_가정!$E$107</f>
        <v>0</v>
      </c>
      <c r="BG22" s="37" t="n">
        <f aca="false">BG21*①통합_가정!$E$107</f>
        <v>0</v>
      </c>
      <c r="BH22" s="37" t="n">
        <f aca="false">BH21*①통합_가정!$E$107</f>
        <v>0</v>
      </c>
      <c r="BI22" s="37" t="n">
        <f aca="false">BI21*①통합_가정!$E$107</f>
        <v>0</v>
      </c>
      <c r="BJ22" s="37" t="n">
        <f aca="false">BJ21*①통합_가정!$E$107</f>
        <v>0</v>
      </c>
      <c r="BK22" s="37" t="n">
        <f aca="false">BK21*①통합_가정!$E$107</f>
        <v>0</v>
      </c>
      <c r="BL22" s="37" t="n">
        <f aca="false">BL21*①통합_가정!$E$107</f>
        <v>0</v>
      </c>
      <c r="BM22" s="37" t="n">
        <f aca="false">BM21*①통합_가정!$E$107</f>
        <v>194.4</v>
      </c>
      <c r="BN22" s="37" t="n">
        <f aca="false">BN21*①통합_가정!$E$107</f>
        <v>194.4</v>
      </c>
      <c r="BO22" s="37" t="n">
        <f aca="false">BO21*①통합_가정!$E$107</f>
        <v>194.4</v>
      </c>
      <c r="BP22" s="37" t="n">
        <f aca="false">BP21*①통합_가정!$E$107</f>
        <v>194.4</v>
      </c>
      <c r="BQ22" s="37" t="n">
        <f aca="false">BQ21*①통합_가정!$E$107</f>
        <v>194.4</v>
      </c>
      <c r="BR22" s="37" t="n">
        <f aca="false">BR21*①통합_가정!$E$107</f>
        <v>194.4</v>
      </c>
      <c r="BS22" s="37" t="n">
        <f aca="false">BS21*①통합_가정!$E$107</f>
        <v>194.4</v>
      </c>
      <c r="BT22" s="37" t="n">
        <f aca="false">BT21*①통합_가정!$E$107</f>
        <v>194.4</v>
      </c>
      <c r="BU22" s="37" t="n">
        <f aca="false">BU21*①통합_가정!$E$107</f>
        <v>194.4</v>
      </c>
      <c r="BV22" s="37" t="n">
        <f aca="false">BV21*①통합_가정!$E$107</f>
        <v>194.4</v>
      </c>
      <c r="BW22" s="37" t="n">
        <f aca="false">BW21*①통합_가정!$E$107</f>
        <v>194.4</v>
      </c>
      <c r="BX22" s="37" t="n">
        <f aca="false">BX21*①통합_가정!$E$107</f>
        <v>194.4</v>
      </c>
      <c r="BY22" s="37" t="n">
        <f aca="false">BY21*①통합_가정!$E$107</f>
        <v>247.86</v>
      </c>
      <c r="BZ22" s="37" t="n">
        <f aca="false">BZ21*①통합_가정!$E$107</f>
        <v>247.86</v>
      </c>
      <c r="CA22" s="37" t="n">
        <f aca="false">CA21*①통합_가정!$E$107</f>
        <v>247.86</v>
      </c>
      <c r="CB22" s="37" t="n">
        <f aca="false">CB21*①통합_가정!$E$107</f>
        <v>247.86</v>
      </c>
      <c r="CC22" s="37" t="n">
        <f aca="false">CC21*①통합_가정!$E$107</f>
        <v>247.86</v>
      </c>
      <c r="CD22" s="37" t="n">
        <f aca="false">CD21*①통합_가정!$E$107</f>
        <v>247.86</v>
      </c>
      <c r="CE22" s="37" t="n">
        <f aca="false">CE21*①통합_가정!$E$107</f>
        <v>247.86</v>
      </c>
      <c r="CF22" s="37" t="n">
        <f aca="false">CF21*①통합_가정!$E$107</f>
        <v>247.86</v>
      </c>
      <c r="CG22" s="37" t="n">
        <f aca="false">CG21*①통합_가정!$E$107</f>
        <v>247.86</v>
      </c>
      <c r="CH22" s="37" t="n">
        <f aca="false">CH21*①통합_가정!$E$107</f>
        <v>247.86</v>
      </c>
      <c r="CI22" s="37" t="n">
        <f aca="false">CI21*①통합_가정!$E$107</f>
        <v>247.86</v>
      </c>
      <c r="CJ22" s="37" t="n">
        <f aca="false">CJ21*①통합_가정!$E$107</f>
        <v>247.86</v>
      </c>
      <c r="CK22" s="37" t="n">
        <f aca="false">CK21*①통합_가정!$E$107</f>
        <v>252.8172</v>
      </c>
      <c r="CL22" s="37" t="n">
        <f aca="false">CL21*①통합_가정!$E$107</f>
        <v>252.8172</v>
      </c>
      <c r="CM22" s="37" t="n">
        <f aca="false">CM21*①통합_가정!$E$107</f>
        <v>252.8172</v>
      </c>
      <c r="CN22" s="37" t="n">
        <f aca="false">CN21*①통합_가정!$E$107</f>
        <v>252.8172</v>
      </c>
      <c r="CO22" s="37" t="n">
        <f aca="false">CO21*①통합_가정!$E$107</f>
        <v>252.8172</v>
      </c>
      <c r="CP22" s="37" t="n">
        <f aca="false">CP21*①통합_가정!$E$107</f>
        <v>252.8172</v>
      </c>
      <c r="CQ22" s="37" t="n">
        <f aca="false">CQ21*①통합_가정!$E$107</f>
        <v>252.8172</v>
      </c>
      <c r="CR22" s="37" t="n">
        <f aca="false">CR21*①통합_가정!$E$107</f>
        <v>252.8172</v>
      </c>
      <c r="CS22" s="37" t="n">
        <f aca="false">CS21*①통합_가정!$E$107</f>
        <v>252.8172</v>
      </c>
      <c r="CT22" s="37" t="n">
        <f aca="false">CT21*①통합_가정!$E$107</f>
        <v>252.8172</v>
      </c>
      <c r="CU22" s="37" t="n">
        <f aca="false">CU21*①통합_가정!$E$107</f>
        <v>252.8172</v>
      </c>
      <c r="CV22" s="37" t="n">
        <f aca="false">CV21*①통합_가정!$E$107</f>
        <v>252.8172</v>
      </c>
      <c r="CW22" s="37" t="n">
        <f aca="false">CW21*①통합_가정!$E$107</f>
        <v>257.873544</v>
      </c>
      <c r="CX22" s="37" t="n">
        <f aca="false">CX21*①통합_가정!$E$107</f>
        <v>257.873544</v>
      </c>
      <c r="CY22" s="37" t="n">
        <f aca="false">CY21*①통합_가정!$E$107</f>
        <v>257.873544</v>
      </c>
      <c r="CZ22" s="37" t="n">
        <f aca="false">CZ21*①통합_가정!$E$107</f>
        <v>257.873544</v>
      </c>
      <c r="DA22" s="37" t="n">
        <f aca="false">DA21*①통합_가정!$E$107</f>
        <v>257.873544</v>
      </c>
      <c r="DB22" s="37" t="n">
        <f aca="false">DB21*①통합_가정!$E$107</f>
        <v>257.873544</v>
      </c>
      <c r="DC22" s="37" t="n">
        <f aca="false">DC21*①통합_가정!$E$107</f>
        <v>257.873544</v>
      </c>
      <c r="DD22" s="37" t="n">
        <f aca="false">DD21*①통합_가정!$E$107</f>
        <v>257.873544</v>
      </c>
      <c r="DE22" s="37" t="n">
        <f aca="false">DE21*①통합_가정!$E$107</f>
        <v>257.873544</v>
      </c>
      <c r="DF22" s="37" t="n">
        <f aca="false">DF21*①통합_가정!$E$107</f>
        <v>257.873544</v>
      </c>
      <c r="DG22" s="37" t="n">
        <f aca="false">DG21*①통합_가정!$E$107</f>
        <v>257.873544</v>
      </c>
      <c r="DH22" s="37" t="n">
        <f aca="false">DH21*①통합_가정!$E$107</f>
        <v>257.873544</v>
      </c>
      <c r="DI22" s="37" t="n">
        <f aca="false">DI21*①통합_가정!$E$107</f>
        <v>263.03101488</v>
      </c>
      <c r="DJ22" s="37" t="n">
        <f aca="false">DJ21*①통합_가정!$E$107</f>
        <v>263.03101488</v>
      </c>
      <c r="DK22" s="37" t="n">
        <f aca="false">DK21*①통합_가정!$E$107</f>
        <v>263.03101488</v>
      </c>
      <c r="DL22" s="37" t="n">
        <f aca="false">DL21*①통합_가정!$E$107</f>
        <v>263.03101488</v>
      </c>
      <c r="DM22" s="37" t="n">
        <f aca="false">DM21*①통합_가정!$E$107</f>
        <v>263.03101488</v>
      </c>
      <c r="DN22" s="37" t="n">
        <f aca="false">DN21*①통합_가정!$E$107</f>
        <v>263.03101488</v>
      </c>
      <c r="DO22" s="37" t="n">
        <f aca="false">DO21*①통합_가정!$E$107</f>
        <v>263.03101488</v>
      </c>
      <c r="DP22" s="37" t="n">
        <f aca="false">DP21*①통합_가정!$E$107</f>
        <v>263.03101488</v>
      </c>
      <c r="DQ22" s="37" t="n">
        <f aca="false">DQ21*①통합_가정!$E$107</f>
        <v>263.03101488</v>
      </c>
      <c r="DR22" s="37" t="n">
        <f aca="false">DR21*①통합_가정!$E$107</f>
        <v>263.03101488</v>
      </c>
      <c r="DS22" s="37" t="n">
        <f aca="false">DS21*①통합_가정!$E$107</f>
        <v>263.03101488</v>
      </c>
      <c r="DT22" s="37" t="n">
        <f aca="false">DT21*①통합_가정!$E$107</f>
        <v>263.03101488</v>
      </c>
      <c r="DU22" s="37" t="n">
        <f aca="false">DU21*①통합_가정!$E$107</f>
        <v>0</v>
      </c>
      <c r="DV22" s="37" t="n">
        <f aca="false">DV21*①통합_가정!$E$107</f>
        <v>0</v>
      </c>
      <c r="DW22" s="37" t="n">
        <f aca="false">DW21*①통합_가정!$E$107</f>
        <v>0</v>
      </c>
      <c r="DX22" s="37" t="n">
        <f aca="false">DX21*①통합_가정!$E$107</f>
        <v>0</v>
      </c>
      <c r="DY22" s="37" t="n">
        <f aca="false">DY21*①통합_가정!$E$107</f>
        <v>0</v>
      </c>
      <c r="DZ22" s="37" t="n">
        <f aca="false">DZ21*①통합_가정!$E$107</f>
        <v>0</v>
      </c>
      <c r="EA22" s="37" t="n">
        <f aca="false">EA21*①통합_가정!$E$107</f>
        <v>0</v>
      </c>
      <c r="EB22" s="37" t="n">
        <f aca="false">EB21*①통합_가정!$E$107</f>
        <v>0</v>
      </c>
      <c r="EC22" s="37" t="n">
        <f aca="false">EC21*①통합_가정!$E$107</f>
        <v>0</v>
      </c>
      <c r="ED22" s="37" t="n">
        <f aca="false">ED21*①통합_가정!$E$107</f>
        <v>0</v>
      </c>
      <c r="EE22" s="37" t="n">
        <f aca="false">EE21*①통합_가정!$E$107</f>
        <v>0</v>
      </c>
      <c r="EF22" s="37" t="n">
        <f aca="false">EF21*①통합_가정!$E$107</f>
        <v>0</v>
      </c>
    </row>
    <row r="23" customFormat="false" ht="15" hidden="false" customHeight="false" outlineLevel="0" collapsed="false">
      <c r="A23" s="36" t="s">
        <v>578</v>
      </c>
      <c r="B23" s="278" t="s">
        <v>21</v>
      </c>
      <c r="C23" s="279" t="n">
        <f aca="false">SUM(E23:EF23)</f>
        <v>9128.74406645837</v>
      </c>
      <c r="E23" s="37" t="n">
        <f aca="false">(E14=1)*①통합_가정!$D$38*①통합_가정!$E$115*①통합_가정!$E$116/1000*(1+①통합_가정!$E$118)^INT((E15-1)/①통합_가정!$E$119)</f>
        <v>0</v>
      </c>
      <c r="F23" s="37" t="n">
        <f aca="false">(F14=1)*①통합_가정!$D$38*①통합_가정!$E$115*①통합_가정!$E$116/1000*(1+①통합_가정!$E$118)^INT((F15-1)/①통합_가정!$E$119)</f>
        <v>0</v>
      </c>
      <c r="G23" s="37" t="n">
        <f aca="false">(G14=1)*①통합_가정!$D$38*①통합_가정!$E$115*①통합_가정!$E$116/1000*(1+①통합_가정!$E$118)^INT((G15-1)/①통합_가정!$E$119)</f>
        <v>0</v>
      </c>
      <c r="H23" s="37" t="n">
        <f aca="false">(H14=1)*①통합_가정!$D$38*①통합_가정!$E$115*①통합_가정!$E$116/1000*(1+①통합_가정!$E$118)^INT((H15-1)/①통합_가정!$E$119)</f>
        <v>0</v>
      </c>
      <c r="I23" s="37" t="n">
        <f aca="false">(I14=1)*①통합_가정!$D$38*①통합_가정!$E$115*①통합_가정!$E$116/1000*(1+①통합_가정!$E$118)^INT((I15-1)/①통합_가정!$E$119)</f>
        <v>0</v>
      </c>
      <c r="J23" s="37" t="n">
        <f aca="false">(J14=1)*①통합_가정!$D$38*①통합_가정!$E$115*①통합_가정!$E$116/1000*(1+①통합_가정!$E$118)^INT((J15-1)/①통합_가정!$E$119)</f>
        <v>0</v>
      </c>
      <c r="K23" s="37" t="n">
        <f aca="false">(K14=1)*①통합_가정!$D$38*①통합_가정!$E$115*①통합_가정!$E$116/1000*(1+①통합_가정!$E$118)^INT((K15-1)/①통합_가정!$E$119)</f>
        <v>0</v>
      </c>
      <c r="L23" s="37" t="n">
        <f aca="false">(L14=1)*①통합_가정!$D$38*①통합_가정!$E$115*①통합_가정!$E$116/1000*(1+①통합_가정!$E$118)^INT((L15-1)/①통합_가정!$E$119)</f>
        <v>0</v>
      </c>
      <c r="M23" s="37" t="n">
        <f aca="false">(M14=1)*①통합_가정!$D$38*①통합_가정!$E$115*①통합_가정!$E$116/1000*(1+①통합_가정!$E$118)^INT((M15-1)/①통합_가정!$E$119)</f>
        <v>0</v>
      </c>
      <c r="N23" s="37" t="n">
        <f aca="false">(N14=1)*①통합_가정!$D$38*①통합_가정!$E$115*①통합_가정!$E$116/1000*(1+①통합_가정!$E$118)^INT((N15-1)/①통합_가정!$E$119)</f>
        <v>0</v>
      </c>
      <c r="O23" s="37" t="n">
        <f aca="false">(O14=1)*①통합_가정!$D$38*①통합_가정!$E$115*①통합_가정!$E$116/1000*(1+①통합_가정!$E$118)^INT((O15-1)/①통합_가정!$E$119)</f>
        <v>0</v>
      </c>
      <c r="P23" s="37" t="n">
        <f aca="false">(P14=1)*①통합_가정!$D$38*①통합_가정!$E$115*①통합_가정!$E$116/1000*(1+①통합_가정!$E$118)^INT((P15-1)/①통합_가정!$E$119)</f>
        <v>0</v>
      </c>
      <c r="Q23" s="37" t="n">
        <f aca="false">(Q14=1)*①통합_가정!$D$38*①통합_가정!$E$115*①통합_가정!$E$116/1000*(1+①통합_가정!$E$118)^INT((Q15-1)/①통합_가정!$E$119)</f>
        <v>0</v>
      </c>
      <c r="R23" s="37" t="n">
        <f aca="false">(R14=1)*①통합_가정!$D$38*①통합_가정!$E$115*①통합_가정!$E$116/1000*(1+①통합_가정!$E$118)^INT((R15-1)/①통합_가정!$E$119)</f>
        <v>0</v>
      </c>
      <c r="S23" s="37" t="n">
        <f aca="false">(S14=1)*①통합_가정!$D$38*①통합_가정!$E$115*①통합_가정!$E$116/1000*(1+①통합_가정!$E$118)^INT((S15-1)/①통합_가정!$E$119)</f>
        <v>0</v>
      </c>
      <c r="T23" s="37" t="n">
        <f aca="false">(T14=1)*①통합_가정!$D$38*①통합_가정!$E$115*①통합_가정!$E$116/1000*(1+①통합_가정!$E$118)^INT((T15-1)/①통합_가정!$E$119)</f>
        <v>0</v>
      </c>
      <c r="U23" s="37" t="n">
        <f aca="false">(U14=1)*①통합_가정!$D$38*①통합_가정!$E$115*①통합_가정!$E$116/1000*(1+①통합_가정!$E$118)^INT((U15-1)/①통합_가정!$E$119)</f>
        <v>0</v>
      </c>
      <c r="V23" s="37" t="n">
        <f aca="false">(V14=1)*①통합_가정!$D$38*①통합_가정!$E$115*①통합_가정!$E$116/1000*(1+①통합_가정!$E$118)^INT((V15-1)/①통합_가정!$E$119)</f>
        <v>0</v>
      </c>
      <c r="W23" s="37" t="n">
        <f aca="false">(W14=1)*①통합_가정!$D$38*①통합_가정!$E$115*①통합_가정!$E$116/1000*(1+①통합_가정!$E$118)^INT((W15-1)/①통합_가정!$E$119)</f>
        <v>0</v>
      </c>
      <c r="X23" s="37" t="n">
        <f aca="false">(X14=1)*①통합_가정!$D$38*①통합_가정!$E$115*①통합_가정!$E$116/1000*(1+①통합_가정!$E$118)^INT((X15-1)/①통합_가정!$E$119)</f>
        <v>0</v>
      </c>
      <c r="Y23" s="37" t="n">
        <f aca="false">(Y14=1)*①통합_가정!$D$38*①통합_가정!$E$115*①통합_가정!$E$116/1000*(1+①통합_가정!$E$118)^INT((Y15-1)/①통합_가정!$E$119)</f>
        <v>0</v>
      </c>
      <c r="Z23" s="37" t="n">
        <f aca="false">(Z14=1)*①통합_가정!$D$38*①통합_가정!$E$115*①통합_가정!$E$116/1000*(1+①통합_가정!$E$118)^INT((Z15-1)/①통합_가정!$E$119)</f>
        <v>0</v>
      </c>
      <c r="AA23" s="37" t="n">
        <f aca="false">(AA14=1)*①통합_가정!$D$38*①통합_가정!$E$115*①통합_가정!$E$116/1000*(1+①통합_가정!$E$118)^INT((AA15-1)/①통합_가정!$E$119)</f>
        <v>0</v>
      </c>
      <c r="AB23" s="37" t="n">
        <f aca="false">(AB14=1)*①통합_가정!$D$38*①통합_가정!$E$115*①통합_가정!$E$116/1000*(1+①통합_가정!$E$118)^INT((AB15-1)/①통합_가정!$E$119)</f>
        <v>0</v>
      </c>
      <c r="AC23" s="37" t="n">
        <f aca="false">(AC14=1)*①통합_가정!$D$38*①통합_가정!$E$115*①통합_가정!$E$116/1000*(1+①통합_가정!$E$118)^INT((AC15-1)/①통합_가정!$E$119)</f>
        <v>0</v>
      </c>
      <c r="AD23" s="37" t="n">
        <f aca="false">(AD14=1)*①통합_가정!$D$38*①통합_가정!$E$115*①통합_가정!$E$116/1000*(1+①통합_가정!$E$118)^INT((AD15-1)/①통합_가정!$E$119)</f>
        <v>0</v>
      </c>
      <c r="AE23" s="37" t="n">
        <f aca="false">(AE14=1)*①통합_가정!$D$38*①통합_가정!$E$115*①통합_가정!$E$116/1000*(1+①통합_가정!$E$118)^INT((AE15-1)/①통합_가정!$E$119)</f>
        <v>0</v>
      </c>
      <c r="AF23" s="37" t="n">
        <f aca="false">(AF14=1)*①통합_가정!$D$38*①통합_가정!$E$115*①통합_가정!$E$116/1000*(1+①통합_가정!$E$118)^INT((AF15-1)/①통합_가정!$E$119)</f>
        <v>0</v>
      </c>
      <c r="AG23" s="37" t="n">
        <f aca="false">(AG14=1)*①통합_가정!$D$38*①통합_가정!$E$115*①통합_가정!$E$116/1000*(1+①통합_가정!$E$118)^INT((AG15-1)/①통합_가정!$E$119)</f>
        <v>0</v>
      </c>
      <c r="AH23" s="37" t="n">
        <f aca="false">(AH14=1)*①통합_가정!$D$38*①통합_가정!$E$115*①통합_가정!$E$116/1000*(1+①통합_가정!$E$118)^INT((AH15-1)/①통합_가정!$E$119)</f>
        <v>0</v>
      </c>
      <c r="AI23" s="37" t="n">
        <f aca="false">(AI14=1)*①통합_가정!$D$38*①통합_가정!$E$115*①통합_가정!$E$116/1000*(1+①통합_가정!$E$118)^INT((AI15-1)/①통합_가정!$E$119)</f>
        <v>0</v>
      </c>
      <c r="AJ23" s="37" t="n">
        <f aca="false">(AJ14=1)*①통합_가정!$D$38*①통합_가정!$E$115*①통합_가정!$E$116/1000*(1+①통합_가정!$E$118)^INT((AJ15-1)/①통합_가정!$E$119)</f>
        <v>0</v>
      </c>
      <c r="AK23" s="37" t="n">
        <f aca="false">(AK14=1)*①통합_가정!$D$38*①통합_가정!$E$115*①통합_가정!$E$116/1000*(1+①통합_가정!$E$118)^INT((AK15-1)/①통합_가정!$E$119)</f>
        <v>0</v>
      </c>
      <c r="AL23" s="37" t="n">
        <f aca="false">(AL14=1)*①통합_가정!$D$38*①통합_가정!$E$115*①통합_가정!$E$116/1000*(1+①통합_가정!$E$118)^INT((AL15-1)/①통합_가정!$E$119)</f>
        <v>0</v>
      </c>
      <c r="AM23" s="37" t="n">
        <f aca="false">(AM14=1)*①통합_가정!$D$38*①통합_가정!$E$115*①통합_가정!$E$116/1000*(1+①통합_가정!$E$118)^INT((AM15-1)/①통합_가정!$E$119)</f>
        <v>0</v>
      </c>
      <c r="AN23" s="37" t="n">
        <f aca="false">(AN14=1)*①통합_가정!$D$38*①통합_가정!$E$115*①통합_가정!$E$116/1000*(1+①통합_가정!$E$118)^INT((AN15-1)/①통합_가정!$E$119)</f>
        <v>0</v>
      </c>
      <c r="AO23" s="37" t="n">
        <f aca="false">(AO14=1)*①통합_가정!$D$38*①통합_가정!$E$115*①통합_가정!$E$116/1000*(1+①통합_가정!$E$118)^INT((AO15-1)/①통합_가정!$E$119)</f>
        <v>0</v>
      </c>
      <c r="AP23" s="37" t="n">
        <f aca="false">(AP14=1)*①통합_가정!$D$38*①통합_가정!$E$115*①통합_가정!$E$116/1000*(1+①통합_가정!$E$118)^INT((AP15-1)/①통합_가정!$E$119)</f>
        <v>0</v>
      </c>
      <c r="AQ23" s="37" t="n">
        <f aca="false">(AQ14=1)*①통합_가정!$D$38*①통합_가정!$E$115*①통합_가정!$E$116/1000*(1+①통합_가정!$E$118)^INT((AQ15-1)/①통합_가정!$E$119)</f>
        <v>0</v>
      </c>
      <c r="AR23" s="37" t="n">
        <f aca="false">(AR14=1)*①통합_가정!$D$38*①통합_가정!$E$115*①통합_가정!$E$116/1000*(1+①통합_가정!$E$118)^INT((AR15-1)/①통합_가정!$E$119)</f>
        <v>0</v>
      </c>
      <c r="AS23" s="37" t="n">
        <f aca="false">(AS14=1)*①통합_가정!$D$38*①통합_가정!$E$115*①통합_가정!$E$116/1000*(1+①통합_가정!$E$118)^INT((AS15-1)/①통합_가정!$E$119)</f>
        <v>0</v>
      </c>
      <c r="AT23" s="37" t="n">
        <f aca="false">(AT14=1)*①통합_가정!$D$38*①통합_가정!$E$115*①통합_가정!$E$116/1000*(1+①통합_가정!$E$118)^INT((AT15-1)/①통합_가정!$E$119)</f>
        <v>0</v>
      </c>
      <c r="AU23" s="37" t="n">
        <f aca="false">(AU14=1)*①통합_가정!$D$38*①통합_가정!$E$115*①통합_가정!$E$116/1000*(1+①통합_가정!$E$118)^INT((AU15-1)/①통합_가정!$E$119)</f>
        <v>0</v>
      </c>
      <c r="AV23" s="37" t="n">
        <f aca="false">(AV14=1)*①통합_가정!$D$38*①통합_가정!$E$115*①통합_가정!$E$116/1000*(1+①통합_가정!$E$118)^INT((AV15-1)/①통합_가정!$E$119)</f>
        <v>0</v>
      </c>
      <c r="AW23" s="37" t="n">
        <f aca="false">(AW14=1)*①통합_가정!$D$38*①통합_가정!$E$115*①통합_가정!$E$116/1000*(1+①통합_가정!$E$118)^INT((AW15-1)/①통합_가정!$E$119)</f>
        <v>0</v>
      </c>
      <c r="AX23" s="37" t="n">
        <f aca="false">(AX14=1)*①통합_가정!$D$38*①통합_가정!$E$115*①통합_가정!$E$116/1000*(1+①통합_가정!$E$118)^INT((AX15-1)/①통합_가정!$E$119)</f>
        <v>0</v>
      </c>
      <c r="AY23" s="37" t="n">
        <f aca="false">(AY14=1)*①통합_가정!$D$38*①통합_가정!$E$115*①통합_가정!$E$116/1000*(1+①통합_가정!$E$118)^INT((AY15-1)/①통합_가정!$E$119)</f>
        <v>0</v>
      </c>
      <c r="AZ23" s="37" t="n">
        <f aca="false">(AZ14=1)*①통합_가정!$D$38*①통합_가정!$E$115*①통합_가정!$E$116/1000*(1+①통합_가정!$E$118)^INT((AZ15-1)/①통합_가정!$E$119)</f>
        <v>0</v>
      </c>
      <c r="BA23" s="37" t="n">
        <f aca="false">(BA14=1)*①통합_가정!$D$38*①통합_가정!$E$115*①통합_가정!$E$116/1000*(1+①통합_가정!$E$118)^INT((BA15-1)/①통합_가정!$E$119)</f>
        <v>0</v>
      </c>
      <c r="BB23" s="37" t="n">
        <f aca="false">(BB14=1)*①통합_가정!$D$38*①통합_가정!$E$115*①통합_가정!$E$116/1000*(1+①통합_가정!$E$118)^INT((BB15-1)/①통합_가정!$E$119)</f>
        <v>0</v>
      </c>
      <c r="BC23" s="37" t="n">
        <f aca="false">(BC14=1)*①통합_가정!$D$38*①통합_가정!$E$115*①통합_가정!$E$116/1000*(1+①통합_가정!$E$118)^INT((BC15-1)/①통합_가정!$E$119)</f>
        <v>0</v>
      </c>
      <c r="BD23" s="37" t="n">
        <f aca="false">(BD14=1)*①통합_가정!$D$38*①통합_가정!$E$115*①통합_가정!$E$116/1000*(1+①통합_가정!$E$118)^INT((BD15-1)/①통합_가정!$E$119)</f>
        <v>0</v>
      </c>
      <c r="BE23" s="37" t="n">
        <f aca="false">(BE14=1)*①통합_가정!$D$38*①통합_가정!$E$115*①통합_가정!$E$116/1000*(1+①통합_가정!$E$118)^INT((BE15-1)/①통합_가정!$E$119)</f>
        <v>0</v>
      </c>
      <c r="BF23" s="37" t="n">
        <f aca="false">(BF14=1)*①통합_가정!$D$38*①통합_가정!$E$115*①통합_가정!$E$116/1000*(1+①통합_가정!$E$118)^INT((BF15-1)/①통합_가정!$E$119)</f>
        <v>0</v>
      </c>
      <c r="BG23" s="37" t="n">
        <f aca="false">(BG14=1)*①통합_가정!$D$38*①통합_가정!$E$115*①통합_가정!$E$116/1000*(1+①통합_가정!$E$118)^INT((BG15-1)/①통합_가정!$E$119)</f>
        <v>0</v>
      </c>
      <c r="BH23" s="37" t="n">
        <f aca="false">(BH14=1)*①통합_가정!$D$38*①통합_가정!$E$115*①통합_가정!$E$116/1000*(1+①통합_가정!$E$118)^INT((BH15-1)/①통합_가정!$E$119)</f>
        <v>0</v>
      </c>
      <c r="BI23" s="37" t="n">
        <f aca="false">(BI14=1)*①통합_가정!$D$38*①통합_가정!$E$115*①통합_가정!$E$116/1000*(1+①통합_가정!$E$118)^INT((BI15-1)/①통합_가정!$E$119)</f>
        <v>0</v>
      </c>
      <c r="BJ23" s="37" t="n">
        <f aca="false">(BJ14=1)*①통합_가정!$D$38*①통합_가정!$E$115*①통합_가정!$E$116/1000*(1+①통합_가정!$E$118)^INT((BJ15-1)/①통합_가정!$E$119)</f>
        <v>0</v>
      </c>
      <c r="BK23" s="37" t="n">
        <f aca="false">(BK14=1)*①통합_가정!$D$38*①통합_가정!$E$115*①통합_가정!$E$116/1000*(1+①통합_가정!$E$118)^INT((BK15-1)/①통합_가정!$E$119)</f>
        <v>0</v>
      </c>
      <c r="BL23" s="37" t="n">
        <f aca="false">(BL14=1)*①통합_가정!$D$38*①통합_가정!$E$115*①통합_가정!$E$116/1000*(1+①통합_가정!$E$118)^INT((BL15-1)/①통합_가정!$E$119)</f>
        <v>0</v>
      </c>
      <c r="BM23" s="37" t="n">
        <f aca="false">(BM14=1)*①통합_가정!$D$38*①통합_가정!$E$115*①통합_가정!$E$116/1000*(1+①통합_가정!$E$118)^INT((BM15-1)/①통합_가정!$E$119)</f>
        <v>146.1804</v>
      </c>
      <c r="BN23" s="37" t="n">
        <f aca="false">(BN14=1)*①통합_가정!$D$38*①통합_가정!$E$115*①통합_가정!$E$116/1000*(1+①통합_가정!$E$118)^INT((BN15-1)/①통합_가정!$E$119)</f>
        <v>146.1804</v>
      </c>
      <c r="BO23" s="37" t="n">
        <f aca="false">(BO14=1)*①통합_가정!$D$38*①통합_가정!$E$115*①통합_가정!$E$116/1000*(1+①통합_가정!$E$118)^INT((BO15-1)/①통합_가정!$E$119)</f>
        <v>146.1804</v>
      </c>
      <c r="BP23" s="37" t="n">
        <f aca="false">(BP14=1)*①통합_가정!$D$38*①통합_가정!$E$115*①통합_가정!$E$116/1000*(1+①통합_가정!$E$118)^INT((BP15-1)/①통합_가정!$E$119)</f>
        <v>146.1804</v>
      </c>
      <c r="BQ23" s="37" t="n">
        <f aca="false">(BQ14=1)*①통합_가정!$D$38*①통합_가정!$E$115*①통합_가정!$E$116/1000*(1+①통합_가정!$E$118)^INT((BQ15-1)/①통합_가정!$E$119)</f>
        <v>146.1804</v>
      </c>
      <c r="BR23" s="37" t="n">
        <f aca="false">(BR14=1)*①통합_가정!$D$38*①통합_가정!$E$115*①통합_가정!$E$116/1000*(1+①통합_가정!$E$118)^INT((BR15-1)/①통합_가정!$E$119)</f>
        <v>146.1804</v>
      </c>
      <c r="BS23" s="37" t="n">
        <f aca="false">(BS14=1)*①통합_가정!$D$38*①통합_가정!$E$115*①통합_가정!$E$116/1000*(1+①통합_가정!$E$118)^INT((BS15-1)/①통합_가정!$E$119)</f>
        <v>146.1804</v>
      </c>
      <c r="BT23" s="37" t="n">
        <f aca="false">(BT14=1)*①통합_가정!$D$38*①통합_가정!$E$115*①통합_가정!$E$116/1000*(1+①통합_가정!$E$118)^INT((BT15-1)/①통합_가정!$E$119)</f>
        <v>146.1804</v>
      </c>
      <c r="BU23" s="37" t="n">
        <f aca="false">(BU14=1)*①통합_가정!$D$38*①통합_가정!$E$115*①통합_가정!$E$116/1000*(1+①통합_가정!$E$118)^INT((BU15-1)/①통합_가정!$E$119)</f>
        <v>146.1804</v>
      </c>
      <c r="BV23" s="37" t="n">
        <f aca="false">(BV14=1)*①통합_가정!$D$38*①통합_가정!$E$115*①통합_가정!$E$116/1000*(1+①통합_가정!$E$118)^INT((BV15-1)/①통합_가정!$E$119)</f>
        <v>146.1804</v>
      </c>
      <c r="BW23" s="37" t="n">
        <f aca="false">(BW14=1)*①통합_가정!$D$38*①통합_가정!$E$115*①통합_가정!$E$116/1000*(1+①통합_가정!$E$118)^INT((BW15-1)/①통합_가정!$E$119)</f>
        <v>146.1804</v>
      </c>
      <c r="BX23" s="37" t="n">
        <f aca="false">(BX14=1)*①통합_가정!$D$38*①통합_가정!$E$115*①통합_가정!$E$116/1000*(1+①통합_가정!$E$118)^INT((BX15-1)/①통합_가정!$E$119)</f>
        <v>146.1804</v>
      </c>
      <c r="BY23" s="37" t="n">
        <f aca="false">(BY14=1)*①통합_가정!$D$38*①통합_가정!$E$115*①통합_가정!$E$116/1000*(1+①통합_가정!$E$118)^INT((BY15-1)/①통합_가정!$E$119)</f>
        <v>149.104008</v>
      </c>
      <c r="BZ23" s="37" t="n">
        <f aca="false">(BZ14=1)*①통합_가정!$D$38*①통합_가정!$E$115*①통합_가정!$E$116/1000*(1+①통합_가정!$E$118)^INT((BZ15-1)/①통합_가정!$E$119)</f>
        <v>149.104008</v>
      </c>
      <c r="CA23" s="37" t="n">
        <f aca="false">(CA14=1)*①통합_가정!$D$38*①통합_가정!$E$115*①통합_가정!$E$116/1000*(1+①통합_가정!$E$118)^INT((CA15-1)/①통합_가정!$E$119)</f>
        <v>149.104008</v>
      </c>
      <c r="CB23" s="37" t="n">
        <f aca="false">(CB14=1)*①통합_가정!$D$38*①통합_가정!$E$115*①통합_가정!$E$116/1000*(1+①통합_가정!$E$118)^INT((CB15-1)/①통합_가정!$E$119)</f>
        <v>149.104008</v>
      </c>
      <c r="CC23" s="37" t="n">
        <f aca="false">(CC14=1)*①통합_가정!$D$38*①통합_가정!$E$115*①통합_가정!$E$116/1000*(1+①통합_가정!$E$118)^INT((CC15-1)/①통합_가정!$E$119)</f>
        <v>149.104008</v>
      </c>
      <c r="CD23" s="37" t="n">
        <f aca="false">(CD14=1)*①통합_가정!$D$38*①통합_가정!$E$115*①통합_가정!$E$116/1000*(1+①통합_가정!$E$118)^INT((CD15-1)/①통합_가정!$E$119)</f>
        <v>149.104008</v>
      </c>
      <c r="CE23" s="37" t="n">
        <f aca="false">(CE14=1)*①통합_가정!$D$38*①통합_가정!$E$115*①통합_가정!$E$116/1000*(1+①통합_가정!$E$118)^INT((CE15-1)/①통합_가정!$E$119)</f>
        <v>149.104008</v>
      </c>
      <c r="CF23" s="37" t="n">
        <f aca="false">(CF14=1)*①통합_가정!$D$38*①통합_가정!$E$115*①통합_가정!$E$116/1000*(1+①통합_가정!$E$118)^INT((CF15-1)/①통합_가정!$E$119)</f>
        <v>149.104008</v>
      </c>
      <c r="CG23" s="37" t="n">
        <f aca="false">(CG14=1)*①통합_가정!$D$38*①통합_가정!$E$115*①통합_가정!$E$116/1000*(1+①통합_가정!$E$118)^INT((CG15-1)/①통합_가정!$E$119)</f>
        <v>149.104008</v>
      </c>
      <c r="CH23" s="37" t="n">
        <f aca="false">(CH14=1)*①통합_가정!$D$38*①통합_가정!$E$115*①통합_가정!$E$116/1000*(1+①통합_가정!$E$118)^INT((CH15-1)/①통합_가정!$E$119)</f>
        <v>149.104008</v>
      </c>
      <c r="CI23" s="37" t="n">
        <f aca="false">(CI14=1)*①통합_가정!$D$38*①통합_가정!$E$115*①통합_가정!$E$116/1000*(1+①통합_가정!$E$118)^INT((CI15-1)/①통합_가정!$E$119)</f>
        <v>149.104008</v>
      </c>
      <c r="CJ23" s="37" t="n">
        <f aca="false">(CJ14=1)*①통합_가정!$D$38*①통합_가정!$E$115*①통합_가정!$E$116/1000*(1+①통합_가정!$E$118)^INT((CJ15-1)/①통합_가정!$E$119)</f>
        <v>149.104008</v>
      </c>
      <c r="CK23" s="37" t="n">
        <f aca="false">(CK14=1)*①통합_가정!$D$38*①통합_가정!$E$115*①통합_가정!$E$116/1000*(1+①통합_가정!$E$118)^INT((CK15-1)/①통합_가정!$E$119)</f>
        <v>152.08608816</v>
      </c>
      <c r="CL23" s="37" t="n">
        <f aca="false">(CL14=1)*①통합_가정!$D$38*①통합_가정!$E$115*①통합_가정!$E$116/1000*(1+①통합_가정!$E$118)^INT((CL15-1)/①통합_가정!$E$119)</f>
        <v>152.08608816</v>
      </c>
      <c r="CM23" s="37" t="n">
        <f aca="false">(CM14=1)*①통합_가정!$D$38*①통합_가정!$E$115*①통합_가정!$E$116/1000*(1+①통합_가정!$E$118)^INT((CM15-1)/①통합_가정!$E$119)</f>
        <v>152.08608816</v>
      </c>
      <c r="CN23" s="37" t="n">
        <f aca="false">(CN14=1)*①통합_가정!$D$38*①통합_가정!$E$115*①통합_가정!$E$116/1000*(1+①통합_가정!$E$118)^INT((CN15-1)/①통합_가정!$E$119)</f>
        <v>152.08608816</v>
      </c>
      <c r="CO23" s="37" t="n">
        <f aca="false">(CO14=1)*①통합_가정!$D$38*①통합_가정!$E$115*①통합_가정!$E$116/1000*(1+①통합_가정!$E$118)^INT((CO15-1)/①통합_가정!$E$119)</f>
        <v>152.08608816</v>
      </c>
      <c r="CP23" s="37" t="n">
        <f aca="false">(CP14=1)*①통합_가정!$D$38*①통합_가정!$E$115*①통합_가정!$E$116/1000*(1+①통합_가정!$E$118)^INT((CP15-1)/①통합_가정!$E$119)</f>
        <v>152.08608816</v>
      </c>
      <c r="CQ23" s="37" t="n">
        <f aca="false">(CQ14=1)*①통합_가정!$D$38*①통합_가정!$E$115*①통합_가정!$E$116/1000*(1+①통합_가정!$E$118)^INT((CQ15-1)/①통합_가정!$E$119)</f>
        <v>152.08608816</v>
      </c>
      <c r="CR23" s="37" t="n">
        <f aca="false">(CR14=1)*①통합_가정!$D$38*①통합_가정!$E$115*①통합_가정!$E$116/1000*(1+①통합_가정!$E$118)^INT((CR15-1)/①통합_가정!$E$119)</f>
        <v>152.08608816</v>
      </c>
      <c r="CS23" s="37" t="n">
        <f aca="false">(CS14=1)*①통합_가정!$D$38*①통합_가정!$E$115*①통합_가정!$E$116/1000*(1+①통합_가정!$E$118)^INT((CS15-1)/①통합_가정!$E$119)</f>
        <v>152.08608816</v>
      </c>
      <c r="CT23" s="37" t="n">
        <f aca="false">(CT14=1)*①통합_가정!$D$38*①통합_가정!$E$115*①통합_가정!$E$116/1000*(1+①통합_가정!$E$118)^INT((CT15-1)/①통합_가정!$E$119)</f>
        <v>152.08608816</v>
      </c>
      <c r="CU23" s="37" t="n">
        <f aca="false">(CU14=1)*①통합_가정!$D$38*①통합_가정!$E$115*①통합_가정!$E$116/1000*(1+①통합_가정!$E$118)^INT((CU15-1)/①통합_가정!$E$119)</f>
        <v>152.08608816</v>
      </c>
      <c r="CV23" s="37" t="n">
        <f aca="false">(CV14=1)*①통합_가정!$D$38*①통합_가정!$E$115*①통합_가정!$E$116/1000*(1+①통합_가정!$E$118)^INT((CV15-1)/①통합_가정!$E$119)</f>
        <v>152.08608816</v>
      </c>
      <c r="CW23" s="37" t="n">
        <f aca="false">(CW14=1)*①통합_가정!$D$38*①통합_가정!$E$115*①통합_가정!$E$116/1000*(1+①통합_가정!$E$118)^INT((CW15-1)/①통합_가정!$E$119)</f>
        <v>155.1278099232</v>
      </c>
      <c r="CX23" s="37" t="n">
        <f aca="false">(CX14=1)*①통합_가정!$D$38*①통합_가정!$E$115*①통합_가정!$E$116/1000*(1+①통합_가정!$E$118)^INT((CX15-1)/①통합_가정!$E$119)</f>
        <v>155.1278099232</v>
      </c>
      <c r="CY23" s="37" t="n">
        <f aca="false">(CY14=1)*①통합_가정!$D$38*①통합_가정!$E$115*①통합_가정!$E$116/1000*(1+①통합_가정!$E$118)^INT((CY15-1)/①통합_가정!$E$119)</f>
        <v>155.1278099232</v>
      </c>
      <c r="CZ23" s="37" t="n">
        <f aca="false">(CZ14=1)*①통합_가정!$D$38*①통합_가정!$E$115*①통합_가정!$E$116/1000*(1+①통합_가정!$E$118)^INT((CZ15-1)/①통합_가정!$E$119)</f>
        <v>155.1278099232</v>
      </c>
      <c r="DA23" s="37" t="n">
        <f aca="false">(DA14=1)*①통합_가정!$D$38*①통합_가정!$E$115*①통합_가정!$E$116/1000*(1+①통합_가정!$E$118)^INT((DA15-1)/①통합_가정!$E$119)</f>
        <v>155.1278099232</v>
      </c>
      <c r="DB23" s="37" t="n">
        <f aca="false">(DB14=1)*①통합_가정!$D$38*①통합_가정!$E$115*①통합_가정!$E$116/1000*(1+①통합_가정!$E$118)^INT((DB15-1)/①통합_가정!$E$119)</f>
        <v>155.1278099232</v>
      </c>
      <c r="DC23" s="37" t="n">
        <f aca="false">(DC14=1)*①통합_가정!$D$38*①통합_가정!$E$115*①통합_가정!$E$116/1000*(1+①통합_가정!$E$118)^INT((DC15-1)/①통합_가정!$E$119)</f>
        <v>155.1278099232</v>
      </c>
      <c r="DD23" s="37" t="n">
        <f aca="false">(DD14=1)*①통합_가정!$D$38*①통합_가정!$E$115*①통합_가정!$E$116/1000*(1+①통합_가정!$E$118)^INT((DD15-1)/①통합_가정!$E$119)</f>
        <v>155.1278099232</v>
      </c>
      <c r="DE23" s="37" t="n">
        <f aca="false">(DE14=1)*①통합_가정!$D$38*①통합_가정!$E$115*①통합_가정!$E$116/1000*(1+①통합_가정!$E$118)^INT((DE15-1)/①통합_가정!$E$119)</f>
        <v>155.1278099232</v>
      </c>
      <c r="DF23" s="37" t="n">
        <f aca="false">(DF14=1)*①통합_가정!$D$38*①통합_가정!$E$115*①통합_가정!$E$116/1000*(1+①통합_가정!$E$118)^INT((DF15-1)/①통합_가정!$E$119)</f>
        <v>155.1278099232</v>
      </c>
      <c r="DG23" s="37" t="n">
        <f aca="false">(DG14=1)*①통합_가정!$D$38*①통합_가정!$E$115*①통합_가정!$E$116/1000*(1+①통합_가정!$E$118)^INT((DG15-1)/①통합_가정!$E$119)</f>
        <v>155.1278099232</v>
      </c>
      <c r="DH23" s="37" t="n">
        <f aca="false">(DH14=1)*①통합_가정!$D$38*①통합_가정!$E$115*①통합_가정!$E$116/1000*(1+①통합_가정!$E$118)^INT((DH15-1)/①통합_가정!$E$119)</f>
        <v>155.1278099232</v>
      </c>
      <c r="DI23" s="37" t="n">
        <f aca="false">(DI14=1)*①통합_가정!$D$38*①통합_가정!$E$115*①통합_가정!$E$116/1000*(1+①통합_가정!$E$118)^INT((DI15-1)/①통합_가정!$E$119)</f>
        <v>158.230366121664</v>
      </c>
      <c r="DJ23" s="37" t="n">
        <f aca="false">(DJ14=1)*①통합_가정!$D$38*①통합_가정!$E$115*①통합_가정!$E$116/1000*(1+①통합_가정!$E$118)^INT((DJ15-1)/①통합_가정!$E$119)</f>
        <v>158.230366121664</v>
      </c>
      <c r="DK23" s="37" t="n">
        <f aca="false">(DK14=1)*①통합_가정!$D$38*①통합_가정!$E$115*①통합_가정!$E$116/1000*(1+①통합_가정!$E$118)^INT((DK15-1)/①통합_가정!$E$119)</f>
        <v>158.230366121664</v>
      </c>
      <c r="DL23" s="37" t="n">
        <f aca="false">(DL14=1)*①통합_가정!$D$38*①통합_가정!$E$115*①통합_가정!$E$116/1000*(1+①통합_가정!$E$118)^INT((DL15-1)/①통합_가정!$E$119)</f>
        <v>158.230366121664</v>
      </c>
      <c r="DM23" s="37" t="n">
        <f aca="false">(DM14=1)*①통합_가정!$D$38*①통합_가정!$E$115*①통합_가정!$E$116/1000*(1+①통합_가정!$E$118)^INT((DM15-1)/①통합_가정!$E$119)</f>
        <v>158.230366121664</v>
      </c>
      <c r="DN23" s="37" t="n">
        <f aca="false">(DN14=1)*①통합_가정!$D$38*①통합_가정!$E$115*①통합_가정!$E$116/1000*(1+①통합_가정!$E$118)^INT((DN15-1)/①통합_가정!$E$119)</f>
        <v>158.230366121664</v>
      </c>
      <c r="DO23" s="37" t="n">
        <f aca="false">(DO14=1)*①통합_가정!$D$38*①통합_가정!$E$115*①통합_가정!$E$116/1000*(1+①통합_가정!$E$118)^INT((DO15-1)/①통합_가정!$E$119)</f>
        <v>158.230366121664</v>
      </c>
      <c r="DP23" s="37" t="n">
        <f aca="false">(DP14=1)*①통합_가정!$D$38*①통합_가정!$E$115*①통합_가정!$E$116/1000*(1+①통합_가정!$E$118)^INT((DP15-1)/①통합_가정!$E$119)</f>
        <v>158.230366121664</v>
      </c>
      <c r="DQ23" s="37" t="n">
        <f aca="false">(DQ14=1)*①통합_가정!$D$38*①통합_가정!$E$115*①통합_가정!$E$116/1000*(1+①통합_가정!$E$118)^INT((DQ15-1)/①통합_가정!$E$119)</f>
        <v>158.230366121664</v>
      </c>
      <c r="DR23" s="37" t="n">
        <f aca="false">(DR14=1)*①통합_가정!$D$38*①통합_가정!$E$115*①통합_가정!$E$116/1000*(1+①통합_가정!$E$118)^INT((DR15-1)/①통합_가정!$E$119)</f>
        <v>158.230366121664</v>
      </c>
      <c r="DS23" s="37" t="n">
        <f aca="false">(DS14=1)*①통합_가정!$D$38*①통합_가정!$E$115*①통합_가정!$E$116/1000*(1+①통합_가정!$E$118)^INT((DS15-1)/①통합_가정!$E$119)</f>
        <v>158.230366121664</v>
      </c>
      <c r="DT23" s="37" t="n">
        <f aca="false">(DT14=1)*①통합_가정!$D$38*①통합_가정!$E$115*①통합_가정!$E$116/1000*(1+①통합_가정!$E$118)^INT((DT15-1)/①통합_가정!$E$119)</f>
        <v>158.230366121664</v>
      </c>
      <c r="DU23" s="37" t="n">
        <f aca="false">(DU14=1)*①통합_가정!$D$38*①통합_가정!$E$115*①통합_가정!$E$116/1000*(1+①통합_가정!$E$118)^INT((DU15-1)/①통합_가정!$E$119)</f>
        <v>0</v>
      </c>
      <c r="DV23" s="37" t="n">
        <f aca="false">(DV14=1)*①통합_가정!$D$38*①통합_가정!$E$115*①통합_가정!$E$116/1000*(1+①통합_가정!$E$118)^INT((DV15-1)/①통합_가정!$E$119)</f>
        <v>0</v>
      </c>
      <c r="DW23" s="37" t="n">
        <f aca="false">(DW14=1)*①통합_가정!$D$38*①통합_가정!$E$115*①통합_가정!$E$116/1000*(1+①통합_가정!$E$118)^INT((DW15-1)/①통합_가정!$E$119)</f>
        <v>0</v>
      </c>
      <c r="DX23" s="37" t="n">
        <f aca="false">(DX14=1)*①통합_가정!$D$38*①통합_가정!$E$115*①통합_가정!$E$116/1000*(1+①통합_가정!$E$118)^INT((DX15-1)/①통합_가정!$E$119)</f>
        <v>0</v>
      </c>
      <c r="DY23" s="37" t="n">
        <f aca="false">(DY14=1)*①통합_가정!$D$38*①통합_가정!$E$115*①통합_가정!$E$116/1000*(1+①통합_가정!$E$118)^INT((DY15-1)/①통합_가정!$E$119)</f>
        <v>0</v>
      </c>
      <c r="DZ23" s="37" t="n">
        <f aca="false">(DZ14=1)*①통합_가정!$D$38*①통합_가정!$E$115*①통합_가정!$E$116/1000*(1+①통합_가정!$E$118)^INT((DZ15-1)/①통합_가정!$E$119)</f>
        <v>0</v>
      </c>
      <c r="EA23" s="37" t="n">
        <f aca="false">(EA14=1)*①통합_가정!$D$38*①통합_가정!$E$115*①통합_가정!$E$116/1000*(1+①통합_가정!$E$118)^INT((EA15-1)/①통합_가정!$E$119)</f>
        <v>0</v>
      </c>
      <c r="EB23" s="37" t="n">
        <f aca="false">(EB14=1)*①통합_가정!$D$38*①통합_가정!$E$115*①통합_가정!$E$116/1000*(1+①통합_가정!$E$118)^INT((EB15-1)/①통합_가정!$E$119)</f>
        <v>0</v>
      </c>
      <c r="EC23" s="37" t="n">
        <f aca="false">(EC14=1)*①통합_가정!$D$38*①통합_가정!$E$115*①통합_가정!$E$116/1000*(1+①통합_가정!$E$118)^INT((EC15-1)/①통합_가정!$E$119)</f>
        <v>0</v>
      </c>
      <c r="ED23" s="37" t="n">
        <f aca="false">(ED14=1)*①통합_가정!$D$38*①통합_가정!$E$115*①통합_가정!$E$116/1000*(1+①통합_가정!$E$118)^INT((ED15-1)/①통합_가정!$E$119)</f>
        <v>0</v>
      </c>
      <c r="EE23" s="37" t="n">
        <f aca="false">(EE14=1)*①통합_가정!$D$38*①통합_가정!$E$115*①통합_가정!$E$116/1000*(1+①통합_가정!$E$118)^INT((EE15-1)/①통합_가정!$E$119)</f>
        <v>0</v>
      </c>
      <c r="EF23" s="37" t="n">
        <f aca="false">(EF14=1)*①통합_가정!$D$38*①통합_가정!$E$115*①통합_가정!$E$116/1000*(1+①통합_가정!$E$118)^INT((EF15-1)/①통합_가정!$E$119)</f>
        <v>0</v>
      </c>
    </row>
    <row r="24" customFormat="false" ht="15" hidden="false" customHeight="false" outlineLevel="0" collapsed="false">
      <c r="A24" s="36" t="s">
        <v>579</v>
      </c>
      <c r="B24" s="278" t="s">
        <v>21</v>
      </c>
      <c r="C24" s="279" t="n">
        <f aca="false">SUM(E24:EF24)</f>
        <v>97070.5304746161</v>
      </c>
      <c r="E24" s="37" t="n">
        <f aca="false">(E14=1)*①통합_가정!$E$38*①통합_가정!$G$129*CHOOSE(MIN(MAX(E16,1),3),①통합_가정!$E$136,①통합_가정!$E$137,①통합_가정!$E$138)*E18/1000000*(1+①통합_가정!$E$132)^(MAX(E16,1)-1)</f>
        <v>0</v>
      </c>
      <c r="F24" s="37" t="n">
        <f aca="false">(F14=1)*①통합_가정!$E$38*①통합_가정!$G$129*CHOOSE(MIN(MAX(F16,1),3),①통합_가정!$E$136,①통합_가정!$E$137,①통합_가정!$E$138)*F18/1000000*(1+①통합_가정!$E$132)^(MAX(F16,1)-1)</f>
        <v>0</v>
      </c>
      <c r="G24" s="37" t="n">
        <f aca="false">(G14=1)*①통합_가정!$E$38*①통합_가정!$G$129*CHOOSE(MIN(MAX(G16,1),3),①통합_가정!$E$136,①통합_가정!$E$137,①통합_가정!$E$138)*G18/1000000*(1+①통합_가정!$E$132)^(MAX(G16,1)-1)</f>
        <v>0</v>
      </c>
      <c r="H24" s="37" t="n">
        <f aca="false">(H14=1)*①통합_가정!$E$38*①통합_가정!$G$129*CHOOSE(MIN(MAX(H16,1),3),①통합_가정!$E$136,①통합_가정!$E$137,①통합_가정!$E$138)*H18/1000000*(1+①통합_가정!$E$132)^(MAX(H16,1)-1)</f>
        <v>0</v>
      </c>
      <c r="I24" s="37" t="n">
        <f aca="false">(I14=1)*①통합_가정!$E$38*①통합_가정!$G$129*CHOOSE(MIN(MAX(I16,1),3),①통합_가정!$E$136,①통합_가정!$E$137,①통합_가정!$E$138)*I18/1000000*(1+①통합_가정!$E$132)^(MAX(I16,1)-1)</f>
        <v>0</v>
      </c>
      <c r="J24" s="37" t="n">
        <f aca="false">(J14=1)*①통합_가정!$E$38*①통합_가정!$G$129*CHOOSE(MIN(MAX(J16,1),3),①통합_가정!$E$136,①통합_가정!$E$137,①통합_가정!$E$138)*J18/1000000*(1+①통합_가정!$E$132)^(MAX(J16,1)-1)</f>
        <v>0</v>
      </c>
      <c r="K24" s="37" t="n">
        <f aca="false">(K14=1)*①통합_가정!$E$38*①통합_가정!$G$129*CHOOSE(MIN(MAX(K16,1),3),①통합_가정!$E$136,①통합_가정!$E$137,①통합_가정!$E$138)*K18/1000000*(1+①통합_가정!$E$132)^(MAX(K16,1)-1)</f>
        <v>0</v>
      </c>
      <c r="L24" s="37" t="n">
        <f aca="false">(L14=1)*①통합_가정!$E$38*①통합_가정!$G$129*CHOOSE(MIN(MAX(L16,1),3),①통합_가정!$E$136,①통합_가정!$E$137,①통합_가정!$E$138)*L18/1000000*(1+①통합_가정!$E$132)^(MAX(L16,1)-1)</f>
        <v>0</v>
      </c>
      <c r="M24" s="37" t="n">
        <f aca="false">(M14=1)*①통합_가정!$E$38*①통합_가정!$G$129*CHOOSE(MIN(MAX(M16,1),3),①통합_가정!$E$136,①통합_가정!$E$137,①통합_가정!$E$138)*M18/1000000*(1+①통합_가정!$E$132)^(MAX(M16,1)-1)</f>
        <v>0</v>
      </c>
      <c r="N24" s="37" t="n">
        <f aca="false">(N14=1)*①통합_가정!$E$38*①통합_가정!$G$129*CHOOSE(MIN(MAX(N16,1),3),①통합_가정!$E$136,①통합_가정!$E$137,①통합_가정!$E$138)*N18/1000000*(1+①통합_가정!$E$132)^(MAX(N16,1)-1)</f>
        <v>0</v>
      </c>
      <c r="O24" s="37" t="n">
        <f aca="false">(O14=1)*①통합_가정!$E$38*①통합_가정!$G$129*CHOOSE(MIN(MAX(O16,1),3),①통합_가정!$E$136,①통합_가정!$E$137,①통합_가정!$E$138)*O18/1000000*(1+①통합_가정!$E$132)^(MAX(O16,1)-1)</f>
        <v>0</v>
      </c>
      <c r="P24" s="37" t="n">
        <f aca="false">(P14=1)*①통합_가정!$E$38*①통합_가정!$G$129*CHOOSE(MIN(MAX(P16,1),3),①통합_가정!$E$136,①통합_가정!$E$137,①통합_가정!$E$138)*P18/1000000*(1+①통합_가정!$E$132)^(MAX(P16,1)-1)</f>
        <v>0</v>
      </c>
      <c r="Q24" s="37" t="n">
        <f aca="false">(Q14=1)*①통합_가정!$E$38*①통합_가정!$G$129*CHOOSE(MIN(MAX(Q16,1),3),①통합_가정!$E$136,①통합_가정!$E$137,①통합_가정!$E$138)*Q18/1000000*(1+①통합_가정!$E$132)^(MAX(Q16,1)-1)</f>
        <v>0</v>
      </c>
      <c r="R24" s="37" t="n">
        <f aca="false">(R14=1)*①통합_가정!$E$38*①통합_가정!$G$129*CHOOSE(MIN(MAX(R16,1),3),①통합_가정!$E$136,①통합_가정!$E$137,①통합_가정!$E$138)*R18/1000000*(1+①통합_가정!$E$132)^(MAX(R16,1)-1)</f>
        <v>0</v>
      </c>
      <c r="S24" s="37" t="n">
        <f aca="false">(S14=1)*①통합_가정!$E$38*①통합_가정!$G$129*CHOOSE(MIN(MAX(S16,1),3),①통합_가정!$E$136,①통합_가정!$E$137,①통합_가정!$E$138)*S18/1000000*(1+①통합_가정!$E$132)^(MAX(S16,1)-1)</f>
        <v>0</v>
      </c>
      <c r="T24" s="37" t="n">
        <f aca="false">(T14=1)*①통합_가정!$E$38*①통합_가정!$G$129*CHOOSE(MIN(MAX(T16,1),3),①통합_가정!$E$136,①통합_가정!$E$137,①통합_가정!$E$138)*T18/1000000*(1+①통합_가정!$E$132)^(MAX(T16,1)-1)</f>
        <v>0</v>
      </c>
      <c r="U24" s="37" t="n">
        <f aca="false">(U14=1)*①통합_가정!$E$38*①통합_가정!$G$129*CHOOSE(MIN(MAX(U16,1),3),①통합_가정!$E$136,①통합_가정!$E$137,①통합_가정!$E$138)*U18/1000000*(1+①통합_가정!$E$132)^(MAX(U16,1)-1)</f>
        <v>0</v>
      </c>
      <c r="V24" s="37" t="n">
        <f aca="false">(V14=1)*①통합_가정!$E$38*①통합_가정!$G$129*CHOOSE(MIN(MAX(V16,1),3),①통합_가정!$E$136,①통합_가정!$E$137,①통합_가정!$E$138)*V18/1000000*(1+①통합_가정!$E$132)^(MAX(V16,1)-1)</f>
        <v>0</v>
      </c>
      <c r="W24" s="37" t="n">
        <f aca="false">(W14=1)*①통합_가정!$E$38*①통합_가정!$G$129*CHOOSE(MIN(MAX(W16,1),3),①통합_가정!$E$136,①통합_가정!$E$137,①통합_가정!$E$138)*W18/1000000*(1+①통합_가정!$E$132)^(MAX(W16,1)-1)</f>
        <v>0</v>
      </c>
      <c r="X24" s="37" t="n">
        <f aca="false">(X14=1)*①통합_가정!$E$38*①통합_가정!$G$129*CHOOSE(MIN(MAX(X16,1),3),①통합_가정!$E$136,①통합_가정!$E$137,①통합_가정!$E$138)*X18/1000000*(1+①통합_가정!$E$132)^(MAX(X16,1)-1)</f>
        <v>0</v>
      </c>
      <c r="Y24" s="37" t="n">
        <f aca="false">(Y14=1)*①통합_가정!$E$38*①통합_가정!$G$129*CHOOSE(MIN(MAX(Y16,1),3),①통합_가정!$E$136,①통합_가정!$E$137,①통합_가정!$E$138)*Y18/1000000*(1+①통합_가정!$E$132)^(MAX(Y16,1)-1)</f>
        <v>0</v>
      </c>
      <c r="Z24" s="37" t="n">
        <f aca="false">(Z14=1)*①통합_가정!$E$38*①통합_가정!$G$129*CHOOSE(MIN(MAX(Z16,1),3),①통합_가정!$E$136,①통합_가정!$E$137,①통합_가정!$E$138)*Z18/1000000*(1+①통합_가정!$E$132)^(MAX(Z16,1)-1)</f>
        <v>0</v>
      </c>
      <c r="AA24" s="37" t="n">
        <f aca="false">(AA14=1)*①통합_가정!$E$38*①통합_가정!$G$129*CHOOSE(MIN(MAX(AA16,1),3),①통합_가정!$E$136,①통합_가정!$E$137,①통합_가정!$E$138)*AA18/1000000*(1+①통합_가정!$E$132)^(MAX(AA16,1)-1)</f>
        <v>0</v>
      </c>
      <c r="AB24" s="37" t="n">
        <f aca="false">(AB14=1)*①통합_가정!$E$38*①통합_가정!$G$129*CHOOSE(MIN(MAX(AB16,1),3),①통합_가정!$E$136,①통합_가정!$E$137,①통합_가정!$E$138)*AB18/1000000*(1+①통합_가정!$E$132)^(MAX(AB16,1)-1)</f>
        <v>0</v>
      </c>
      <c r="AC24" s="37" t="n">
        <f aca="false">(AC14=1)*①통합_가정!$E$38*①통합_가정!$G$129*CHOOSE(MIN(MAX(AC16,1),3),①통합_가정!$E$136,①통합_가정!$E$137,①통합_가정!$E$138)*AC18/1000000*(1+①통합_가정!$E$132)^(MAX(AC16,1)-1)</f>
        <v>0</v>
      </c>
      <c r="AD24" s="37" t="n">
        <f aca="false">(AD14=1)*①통합_가정!$E$38*①통합_가정!$G$129*CHOOSE(MIN(MAX(AD16,1),3),①통합_가정!$E$136,①통합_가정!$E$137,①통합_가정!$E$138)*AD18/1000000*(1+①통합_가정!$E$132)^(MAX(AD16,1)-1)</f>
        <v>0</v>
      </c>
      <c r="AE24" s="37" t="n">
        <f aca="false">(AE14=1)*①통합_가정!$E$38*①통합_가정!$G$129*CHOOSE(MIN(MAX(AE16,1),3),①통합_가정!$E$136,①통합_가정!$E$137,①통합_가정!$E$138)*AE18/1000000*(1+①통합_가정!$E$132)^(MAX(AE16,1)-1)</f>
        <v>0</v>
      </c>
      <c r="AF24" s="37" t="n">
        <f aca="false">(AF14=1)*①통합_가정!$E$38*①통합_가정!$G$129*CHOOSE(MIN(MAX(AF16,1),3),①통합_가정!$E$136,①통합_가정!$E$137,①통합_가정!$E$138)*AF18/1000000*(1+①통합_가정!$E$132)^(MAX(AF16,1)-1)</f>
        <v>0</v>
      </c>
      <c r="AG24" s="37" t="n">
        <f aca="false">(AG14=1)*①통합_가정!$E$38*①통합_가정!$G$129*CHOOSE(MIN(MAX(AG16,1),3),①통합_가정!$E$136,①통합_가정!$E$137,①통합_가정!$E$138)*AG18/1000000*(1+①통합_가정!$E$132)^(MAX(AG16,1)-1)</f>
        <v>0</v>
      </c>
      <c r="AH24" s="37" t="n">
        <f aca="false">(AH14=1)*①통합_가정!$E$38*①통합_가정!$G$129*CHOOSE(MIN(MAX(AH16,1),3),①통합_가정!$E$136,①통합_가정!$E$137,①통합_가정!$E$138)*AH18/1000000*(1+①통합_가정!$E$132)^(MAX(AH16,1)-1)</f>
        <v>0</v>
      </c>
      <c r="AI24" s="37" t="n">
        <f aca="false">(AI14=1)*①통합_가정!$E$38*①통합_가정!$G$129*CHOOSE(MIN(MAX(AI16,1),3),①통합_가정!$E$136,①통합_가정!$E$137,①통합_가정!$E$138)*AI18/1000000*(1+①통합_가정!$E$132)^(MAX(AI16,1)-1)</f>
        <v>0</v>
      </c>
      <c r="AJ24" s="37" t="n">
        <f aca="false">(AJ14=1)*①통합_가정!$E$38*①통합_가정!$G$129*CHOOSE(MIN(MAX(AJ16,1),3),①통합_가정!$E$136,①통합_가정!$E$137,①통합_가정!$E$138)*AJ18/1000000*(1+①통합_가정!$E$132)^(MAX(AJ16,1)-1)</f>
        <v>0</v>
      </c>
      <c r="AK24" s="37" t="n">
        <f aca="false">(AK14=1)*①통합_가정!$E$38*①통합_가정!$G$129*CHOOSE(MIN(MAX(AK16,1),3),①통합_가정!$E$136,①통합_가정!$E$137,①통합_가정!$E$138)*AK18/1000000*(1+①통합_가정!$E$132)^(MAX(AK16,1)-1)</f>
        <v>0</v>
      </c>
      <c r="AL24" s="37" t="n">
        <f aca="false">(AL14=1)*①통합_가정!$E$38*①통합_가정!$G$129*CHOOSE(MIN(MAX(AL16,1),3),①통합_가정!$E$136,①통합_가정!$E$137,①통합_가정!$E$138)*AL18/1000000*(1+①통합_가정!$E$132)^(MAX(AL16,1)-1)</f>
        <v>0</v>
      </c>
      <c r="AM24" s="37" t="n">
        <f aca="false">(AM14=1)*①통합_가정!$E$38*①통합_가정!$G$129*CHOOSE(MIN(MAX(AM16,1),3),①통합_가정!$E$136,①통합_가정!$E$137,①통합_가정!$E$138)*AM18/1000000*(1+①통합_가정!$E$132)^(MAX(AM16,1)-1)</f>
        <v>0</v>
      </c>
      <c r="AN24" s="37" t="n">
        <f aca="false">(AN14=1)*①통합_가정!$E$38*①통합_가정!$G$129*CHOOSE(MIN(MAX(AN16,1),3),①통합_가정!$E$136,①통합_가정!$E$137,①통합_가정!$E$138)*AN18/1000000*(1+①통합_가정!$E$132)^(MAX(AN16,1)-1)</f>
        <v>0</v>
      </c>
      <c r="AO24" s="37" t="n">
        <f aca="false">(AO14=1)*①통합_가정!$E$38*①통합_가정!$G$129*CHOOSE(MIN(MAX(AO16,1),3),①통합_가정!$E$136,①통합_가정!$E$137,①통합_가정!$E$138)*AO18/1000000*(1+①통합_가정!$E$132)^(MAX(AO16,1)-1)</f>
        <v>0</v>
      </c>
      <c r="AP24" s="37" t="n">
        <f aca="false">(AP14=1)*①통합_가정!$E$38*①통합_가정!$G$129*CHOOSE(MIN(MAX(AP16,1),3),①통합_가정!$E$136,①통합_가정!$E$137,①통합_가정!$E$138)*AP18/1000000*(1+①통합_가정!$E$132)^(MAX(AP16,1)-1)</f>
        <v>0</v>
      </c>
      <c r="AQ24" s="37" t="n">
        <f aca="false">(AQ14=1)*①통합_가정!$E$38*①통합_가정!$G$129*CHOOSE(MIN(MAX(AQ16,1),3),①통합_가정!$E$136,①통합_가정!$E$137,①통합_가정!$E$138)*AQ18/1000000*(1+①통합_가정!$E$132)^(MAX(AQ16,1)-1)</f>
        <v>0</v>
      </c>
      <c r="AR24" s="37" t="n">
        <f aca="false">(AR14=1)*①통합_가정!$E$38*①통합_가정!$G$129*CHOOSE(MIN(MAX(AR16,1),3),①통합_가정!$E$136,①통합_가정!$E$137,①통합_가정!$E$138)*AR18/1000000*(1+①통합_가정!$E$132)^(MAX(AR16,1)-1)</f>
        <v>0</v>
      </c>
      <c r="AS24" s="37" t="n">
        <f aca="false">(AS14=1)*①통합_가정!$E$38*①통합_가정!$G$129*CHOOSE(MIN(MAX(AS16,1),3),①통합_가정!$E$136,①통합_가정!$E$137,①통합_가정!$E$138)*AS18/1000000*(1+①통합_가정!$E$132)^(MAX(AS16,1)-1)</f>
        <v>0</v>
      </c>
      <c r="AT24" s="37" t="n">
        <f aca="false">(AT14=1)*①통합_가정!$E$38*①통합_가정!$G$129*CHOOSE(MIN(MAX(AT16,1),3),①통합_가정!$E$136,①통합_가정!$E$137,①통합_가정!$E$138)*AT18/1000000*(1+①통합_가정!$E$132)^(MAX(AT16,1)-1)</f>
        <v>0</v>
      </c>
      <c r="AU24" s="37" t="n">
        <f aca="false">(AU14=1)*①통합_가정!$E$38*①통합_가정!$G$129*CHOOSE(MIN(MAX(AU16,1),3),①통합_가정!$E$136,①통합_가정!$E$137,①통합_가정!$E$138)*AU18/1000000*(1+①통합_가정!$E$132)^(MAX(AU16,1)-1)</f>
        <v>0</v>
      </c>
      <c r="AV24" s="37" t="n">
        <f aca="false">(AV14=1)*①통합_가정!$E$38*①통합_가정!$G$129*CHOOSE(MIN(MAX(AV16,1),3),①통합_가정!$E$136,①통합_가정!$E$137,①통합_가정!$E$138)*AV18/1000000*(1+①통합_가정!$E$132)^(MAX(AV16,1)-1)</f>
        <v>0</v>
      </c>
      <c r="AW24" s="37" t="n">
        <f aca="false">(AW14=1)*①통합_가정!$E$38*①통합_가정!$G$129*CHOOSE(MIN(MAX(AW16,1),3),①통합_가정!$E$136,①통합_가정!$E$137,①통합_가정!$E$138)*AW18/1000000*(1+①통합_가정!$E$132)^(MAX(AW16,1)-1)</f>
        <v>0</v>
      </c>
      <c r="AX24" s="37" t="n">
        <f aca="false">(AX14=1)*①통합_가정!$E$38*①통합_가정!$G$129*CHOOSE(MIN(MAX(AX16,1),3),①통합_가정!$E$136,①통합_가정!$E$137,①통합_가정!$E$138)*AX18/1000000*(1+①통합_가정!$E$132)^(MAX(AX16,1)-1)</f>
        <v>0</v>
      </c>
      <c r="AY24" s="37" t="n">
        <f aca="false">(AY14=1)*①통합_가정!$E$38*①통합_가정!$G$129*CHOOSE(MIN(MAX(AY16,1),3),①통합_가정!$E$136,①통합_가정!$E$137,①통합_가정!$E$138)*AY18/1000000*(1+①통합_가정!$E$132)^(MAX(AY16,1)-1)</f>
        <v>0</v>
      </c>
      <c r="AZ24" s="37" t="n">
        <f aca="false">(AZ14=1)*①통합_가정!$E$38*①통합_가정!$G$129*CHOOSE(MIN(MAX(AZ16,1),3),①통합_가정!$E$136,①통합_가정!$E$137,①통합_가정!$E$138)*AZ18/1000000*(1+①통합_가정!$E$132)^(MAX(AZ16,1)-1)</f>
        <v>0</v>
      </c>
      <c r="BA24" s="37" t="n">
        <f aca="false">(BA14=1)*①통합_가정!$E$38*①통합_가정!$G$129*CHOOSE(MIN(MAX(BA16,1),3),①통합_가정!$E$136,①통합_가정!$E$137,①통합_가정!$E$138)*BA18/1000000*(1+①통합_가정!$E$132)^(MAX(BA16,1)-1)</f>
        <v>0</v>
      </c>
      <c r="BB24" s="37" t="n">
        <f aca="false">(BB14=1)*①통합_가정!$E$38*①통합_가정!$G$129*CHOOSE(MIN(MAX(BB16,1),3),①통합_가정!$E$136,①통합_가정!$E$137,①통합_가정!$E$138)*BB18/1000000*(1+①통합_가정!$E$132)^(MAX(BB16,1)-1)</f>
        <v>0</v>
      </c>
      <c r="BC24" s="37" t="n">
        <f aca="false">(BC14=1)*①통합_가정!$E$38*①통합_가정!$G$129*CHOOSE(MIN(MAX(BC16,1),3),①통합_가정!$E$136,①통합_가정!$E$137,①통합_가정!$E$138)*BC18/1000000*(1+①통합_가정!$E$132)^(MAX(BC16,1)-1)</f>
        <v>0</v>
      </c>
      <c r="BD24" s="37" t="n">
        <f aca="false">(BD14=1)*①통합_가정!$E$38*①통합_가정!$G$129*CHOOSE(MIN(MAX(BD16,1),3),①통합_가정!$E$136,①통합_가정!$E$137,①통합_가정!$E$138)*BD18/1000000*(1+①통합_가정!$E$132)^(MAX(BD16,1)-1)</f>
        <v>0</v>
      </c>
      <c r="BE24" s="37" t="n">
        <f aca="false">(BE14=1)*①통합_가정!$E$38*①통합_가정!$G$129*CHOOSE(MIN(MAX(BE16,1),3),①통합_가정!$E$136,①통합_가정!$E$137,①통합_가정!$E$138)*BE18/1000000*(1+①통합_가정!$E$132)^(MAX(BE16,1)-1)</f>
        <v>0</v>
      </c>
      <c r="BF24" s="37" t="n">
        <f aca="false">(BF14=1)*①통합_가정!$E$38*①통합_가정!$G$129*CHOOSE(MIN(MAX(BF16,1),3),①통합_가정!$E$136,①통합_가정!$E$137,①통합_가정!$E$138)*BF18/1000000*(1+①통합_가정!$E$132)^(MAX(BF16,1)-1)</f>
        <v>0</v>
      </c>
      <c r="BG24" s="37" t="n">
        <f aca="false">(BG14=1)*①통합_가정!$E$38*①통합_가정!$G$129*CHOOSE(MIN(MAX(BG16,1),3),①통합_가정!$E$136,①통합_가정!$E$137,①통합_가정!$E$138)*BG18/1000000*(1+①통합_가정!$E$132)^(MAX(BG16,1)-1)</f>
        <v>0</v>
      </c>
      <c r="BH24" s="37" t="n">
        <f aca="false">(BH14=1)*①통합_가정!$E$38*①통합_가정!$G$129*CHOOSE(MIN(MAX(BH16,1),3),①통합_가정!$E$136,①통합_가정!$E$137,①통합_가정!$E$138)*BH18/1000000*(1+①통합_가정!$E$132)^(MAX(BH16,1)-1)</f>
        <v>0</v>
      </c>
      <c r="BI24" s="37" t="n">
        <f aca="false">(BI14=1)*①통합_가정!$E$38*①통합_가정!$G$129*CHOOSE(MIN(MAX(BI16,1),3),①통합_가정!$E$136,①통합_가정!$E$137,①통합_가정!$E$138)*BI18/1000000*(1+①통합_가정!$E$132)^(MAX(BI16,1)-1)</f>
        <v>0</v>
      </c>
      <c r="BJ24" s="37" t="n">
        <f aca="false">(BJ14=1)*①통합_가정!$E$38*①통합_가정!$G$129*CHOOSE(MIN(MAX(BJ16,1),3),①통합_가정!$E$136,①통합_가정!$E$137,①통합_가정!$E$138)*BJ18/1000000*(1+①통합_가정!$E$132)^(MAX(BJ16,1)-1)</f>
        <v>0</v>
      </c>
      <c r="BK24" s="37" t="n">
        <f aca="false">(BK14=1)*①통합_가정!$E$38*①통합_가정!$G$129*CHOOSE(MIN(MAX(BK16,1),3),①통합_가정!$E$136,①통합_가정!$E$137,①통합_가정!$E$138)*BK18/1000000*(1+①통합_가정!$E$132)^(MAX(BK16,1)-1)</f>
        <v>0</v>
      </c>
      <c r="BL24" s="37" t="n">
        <f aca="false">(BL14=1)*①통합_가정!$E$38*①통합_가정!$G$129*CHOOSE(MIN(MAX(BL16,1),3),①통합_가정!$E$136,①통합_가정!$E$137,①통합_가정!$E$138)*BL18/1000000*(1+①통합_가정!$E$132)^(MAX(BL16,1)-1)</f>
        <v>0</v>
      </c>
      <c r="BM24" s="37" t="n">
        <f aca="false">(BM14=1)*①통합_가정!$E$38*①통합_가정!$G$129*CHOOSE(MIN(MAX(BM16,1),3),①통합_가정!$E$136,①통합_가정!$E$137,①통합_가정!$E$138)*BM18/1000000*(1+①통합_가정!$E$132)^(MAX(BM16,1)-1)</f>
        <v>1407.6111751</v>
      </c>
      <c r="BN24" s="37" t="n">
        <f aca="false">(BN14=1)*①통합_가정!$E$38*①통합_가정!$G$129*CHOOSE(MIN(MAX(BN16,1),3),①통합_가정!$E$136,①통합_가정!$E$137,①통합_가정!$E$138)*BN18/1000000*(1+①통합_가정!$E$132)^(MAX(BN16,1)-1)</f>
        <v>1362.204363</v>
      </c>
      <c r="BO24" s="37" t="n">
        <f aca="false">(BO14=1)*①통합_가정!$E$38*①통합_가정!$G$129*CHOOSE(MIN(MAX(BO16,1),3),①통합_가정!$E$136,①통합_가정!$E$137,①통합_가정!$E$138)*BO18/1000000*(1+①통합_가정!$E$132)^(MAX(BO16,1)-1)</f>
        <v>1407.6111751</v>
      </c>
      <c r="BP24" s="37" t="n">
        <f aca="false">(BP14=1)*①통합_가정!$E$38*①통합_가정!$G$129*CHOOSE(MIN(MAX(BP16,1),3),①통합_가정!$E$136,①통합_가정!$E$137,①통합_가정!$E$138)*BP18/1000000*(1+①통합_가정!$E$132)^(MAX(BP16,1)-1)</f>
        <v>1362.204363</v>
      </c>
      <c r="BQ24" s="37" t="n">
        <f aca="false">(BQ14=1)*①통합_가정!$E$38*①통합_가정!$G$129*CHOOSE(MIN(MAX(BQ16,1),3),①통합_가정!$E$136,①통합_가정!$E$137,①통합_가정!$E$138)*BQ18/1000000*(1+①통합_가정!$E$132)^(MAX(BQ16,1)-1)</f>
        <v>1407.6111751</v>
      </c>
      <c r="BR24" s="37" t="n">
        <f aca="false">(BR14=1)*①통합_가정!$E$38*①통합_가정!$G$129*CHOOSE(MIN(MAX(BR16,1),3),①통합_가정!$E$136,①통합_가정!$E$137,①통합_가정!$E$138)*BR18/1000000*(1+①통합_가정!$E$132)^(MAX(BR16,1)-1)</f>
        <v>1407.6111751</v>
      </c>
      <c r="BS24" s="37" t="n">
        <f aca="false">(BS14=1)*①통합_가정!$E$38*①통합_가정!$G$129*CHOOSE(MIN(MAX(BS16,1),3),①통합_가정!$E$136,①통합_가정!$E$137,①통합_가정!$E$138)*BS18/1000000*(1+①통합_가정!$E$132)^(MAX(BS16,1)-1)</f>
        <v>1362.204363</v>
      </c>
      <c r="BT24" s="37" t="n">
        <f aca="false">(BT14=1)*①통합_가정!$E$38*①통합_가정!$G$129*CHOOSE(MIN(MAX(BT16,1),3),①통합_가정!$E$136,①통합_가정!$E$137,①통합_가정!$E$138)*BT18/1000000*(1+①통합_가정!$E$132)^(MAX(BT16,1)-1)</f>
        <v>1407.6111751</v>
      </c>
      <c r="BU24" s="37" t="n">
        <f aca="false">(BU14=1)*①통합_가정!$E$38*①통합_가정!$G$129*CHOOSE(MIN(MAX(BU16,1),3),①통합_가정!$E$136,①통합_가정!$E$137,①통합_가정!$E$138)*BU18/1000000*(1+①통합_가정!$E$132)^(MAX(BU16,1)-1)</f>
        <v>1362.204363</v>
      </c>
      <c r="BV24" s="37" t="n">
        <f aca="false">(BV14=1)*①통합_가정!$E$38*①통합_가정!$G$129*CHOOSE(MIN(MAX(BV16,1),3),①통합_가정!$E$136,①통합_가정!$E$137,①통합_가정!$E$138)*BV18/1000000*(1+①통합_가정!$E$132)^(MAX(BV16,1)-1)</f>
        <v>1407.6111751</v>
      </c>
      <c r="BW24" s="37" t="n">
        <f aca="false">(BW14=1)*①통합_가정!$E$38*①통합_가정!$G$129*CHOOSE(MIN(MAX(BW16,1),3),①통합_가정!$E$136,①통합_가정!$E$137,①통합_가정!$E$138)*BW18/1000000*(1+①통합_가정!$E$132)^(MAX(BW16,1)-1)</f>
        <v>1407.6111751</v>
      </c>
      <c r="BX24" s="37" t="n">
        <f aca="false">(BX14=1)*①통합_가정!$E$38*①통합_가정!$G$129*CHOOSE(MIN(MAX(BX16,1),3),①통합_가정!$E$136,①통합_가정!$E$137,①통합_가정!$E$138)*BX18/1000000*(1+①통합_가정!$E$132)^(MAX(BX16,1)-1)</f>
        <v>1316.7975509</v>
      </c>
      <c r="BY24" s="37" t="n">
        <f aca="false">(BY14=1)*①통합_가정!$E$38*①통합_가정!$G$129*CHOOSE(MIN(MAX(BY16,1),3),①통합_가정!$E$136,①통합_가정!$E$137,①통합_가정!$E$138)*BY18/1000000*(1+①통합_가정!$E$132)^(MAX(BY16,1)-1)</f>
        <v>1656.65007531</v>
      </c>
      <c r="BZ24" s="37" t="n">
        <f aca="false">(BZ14=1)*①통합_가정!$E$38*①통합_가정!$G$129*CHOOSE(MIN(MAX(BZ16,1),3),①통합_가정!$E$136,①통합_가정!$E$137,①통합_가정!$E$138)*BZ18/1000000*(1+①통합_가정!$E$132)^(MAX(BZ16,1)-1)</f>
        <v>1603.2097503</v>
      </c>
      <c r="CA24" s="37" t="n">
        <f aca="false">(CA14=1)*①통합_가정!$E$38*①통합_가정!$G$129*CHOOSE(MIN(MAX(CA16,1),3),①통합_가정!$E$136,①통합_가정!$E$137,①통합_가정!$E$138)*CA18/1000000*(1+①통합_가정!$E$132)^(MAX(CA16,1)-1)</f>
        <v>1656.65007531</v>
      </c>
      <c r="CB24" s="37" t="n">
        <f aca="false">(CB14=1)*①통합_가정!$E$38*①통합_가정!$G$129*CHOOSE(MIN(MAX(CB16,1),3),①통합_가정!$E$136,①통합_가정!$E$137,①통합_가정!$E$138)*CB18/1000000*(1+①통합_가정!$E$132)^(MAX(CB16,1)-1)</f>
        <v>1603.2097503</v>
      </c>
      <c r="CC24" s="37" t="n">
        <f aca="false">(CC14=1)*①통합_가정!$E$38*①통합_가정!$G$129*CHOOSE(MIN(MAX(CC16,1),3),①통합_가정!$E$136,①통합_가정!$E$137,①통합_가정!$E$138)*CC18/1000000*(1+①통합_가정!$E$132)^(MAX(CC16,1)-1)</f>
        <v>1656.65007531</v>
      </c>
      <c r="CD24" s="37" t="n">
        <f aca="false">(CD14=1)*①통합_가정!$E$38*①통합_가정!$G$129*CHOOSE(MIN(MAX(CD16,1),3),①통합_가정!$E$136,①통합_가정!$E$137,①통합_가정!$E$138)*CD18/1000000*(1+①통합_가정!$E$132)^(MAX(CD16,1)-1)</f>
        <v>1656.65007531</v>
      </c>
      <c r="CE24" s="37" t="n">
        <f aca="false">(CE14=1)*①통합_가정!$E$38*①통합_가정!$G$129*CHOOSE(MIN(MAX(CE16,1),3),①통합_가정!$E$136,①통합_가정!$E$137,①통합_가정!$E$138)*CE18/1000000*(1+①통합_가정!$E$132)^(MAX(CE16,1)-1)</f>
        <v>1603.2097503</v>
      </c>
      <c r="CF24" s="37" t="n">
        <f aca="false">(CF14=1)*①통합_가정!$E$38*①통합_가정!$G$129*CHOOSE(MIN(MAX(CF16,1),3),①통합_가정!$E$136,①통합_가정!$E$137,①통합_가정!$E$138)*CF18/1000000*(1+①통합_가정!$E$132)^(MAX(CF16,1)-1)</f>
        <v>1656.65007531</v>
      </c>
      <c r="CG24" s="37" t="n">
        <f aca="false">(CG14=1)*①통합_가정!$E$38*①통합_가정!$G$129*CHOOSE(MIN(MAX(CG16,1),3),①통합_가정!$E$136,①통합_가정!$E$137,①통합_가정!$E$138)*CG18/1000000*(1+①통합_가정!$E$132)^(MAX(CG16,1)-1)</f>
        <v>1603.2097503</v>
      </c>
      <c r="CH24" s="37" t="n">
        <f aca="false">(CH14=1)*①통합_가정!$E$38*①통합_가정!$G$129*CHOOSE(MIN(MAX(CH16,1),3),①통합_가정!$E$136,①통합_가정!$E$137,①통합_가정!$E$138)*CH18/1000000*(1+①통합_가정!$E$132)^(MAX(CH16,1)-1)</f>
        <v>1656.65007531</v>
      </c>
      <c r="CI24" s="37" t="n">
        <f aca="false">(CI14=1)*①통합_가정!$E$38*①통합_가정!$G$129*CHOOSE(MIN(MAX(CI16,1),3),①통합_가정!$E$136,①통합_가정!$E$137,①통합_가정!$E$138)*CI18/1000000*(1+①통합_가정!$E$132)^(MAX(CI16,1)-1)</f>
        <v>1656.65007531</v>
      </c>
      <c r="CJ24" s="37" t="n">
        <f aca="false">(CJ14=1)*①통합_가정!$E$38*①통합_가정!$G$129*CHOOSE(MIN(MAX(CJ16,1),3),①통합_가정!$E$136,①통합_가정!$E$137,①통합_가정!$E$138)*CJ18/1000000*(1+①통합_가정!$E$132)^(MAX(CJ16,1)-1)</f>
        <v>1496.32910028</v>
      </c>
      <c r="CK24" s="37" t="n">
        <f aca="false">(CK14=1)*①통합_가정!$E$38*①통합_가정!$G$129*CHOOSE(MIN(MAX(CK16,1),3),①통합_가정!$E$136,①통합_가정!$E$137,①통합_가정!$E$138)*CK18/1000000*(1+①통합_가정!$E$132)^(MAX(CK16,1)-1)</f>
        <v>1689.7830768162</v>
      </c>
      <c r="CL24" s="37" t="n">
        <f aca="false">(CL14=1)*①통합_가정!$E$38*①통합_가정!$G$129*CHOOSE(MIN(MAX(CL16,1),3),①통합_가정!$E$136,①통합_가정!$E$137,①통합_가정!$E$138)*CL18/1000000*(1+①통합_가정!$E$132)^(MAX(CL16,1)-1)</f>
        <v>1635.273945306</v>
      </c>
      <c r="CM24" s="37" t="n">
        <f aca="false">(CM14=1)*①통합_가정!$E$38*①통합_가정!$G$129*CHOOSE(MIN(MAX(CM16,1),3),①통합_가정!$E$136,①통합_가정!$E$137,①통합_가정!$E$138)*CM18/1000000*(1+①통합_가정!$E$132)^(MAX(CM16,1)-1)</f>
        <v>1689.7830768162</v>
      </c>
      <c r="CN24" s="37" t="n">
        <f aca="false">(CN14=1)*①통합_가정!$E$38*①통합_가정!$G$129*CHOOSE(MIN(MAX(CN16,1),3),①통합_가정!$E$136,①통합_가정!$E$137,①통합_가정!$E$138)*CN18/1000000*(1+①통합_가정!$E$132)^(MAX(CN16,1)-1)</f>
        <v>1635.273945306</v>
      </c>
      <c r="CO24" s="37" t="n">
        <f aca="false">(CO14=1)*①통합_가정!$E$38*①통합_가정!$G$129*CHOOSE(MIN(MAX(CO16,1),3),①통합_가정!$E$136,①통합_가정!$E$137,①통합_가정!$E$138)*CO18/1000000*(1+①통합_가정!$E$132)^(MAX(CO16,1)-1)</f>
        <v>1689.7830768162</v>
      </c>
      <c r="CP24" s="37" t="n">
        <f aca="false">(CP14=1)*①통합_가정!$E$38*①통합_가정!$G$129*CHOOSE(MIN(MAX(CP16,1),3),①통합_가정!$E$136,①통합_가정!$E$137,①통합_가정!$E$138)*CP18/1000000*(1+①통합_가정!$E$132)^(MAX(CP16,1)-1)</f>
        <v>1689.7830768162</v>
      </c>
      <c r="CQ24" s="37" t="n">
        <f aca="false">(CQ14=1)*①통합_가정!$E$38*①통합_가정!$G$129*CHOOSE(MIN(MAX(CQ16,1),3),①통합_가정!$E$136,①통합_가정!$E$137,①통합_가정!$E$138)*CQ18/1000000*(1+①통합_가정!$E$132)^(MAX(CQ16,1)-1)</f>
        <v>1635.273945306</v>
      </c>
      <c r="CR24" s="37" t="n">
        <f aca="false">(CR14=1)*①통합_가정!$E$38*①통합_가정!$G$129*CHOOSE(MIN(MAX(CR16,1),3),①통합_가정!$E$136,①통합_가정!$E$137,①통합_가정!$E$138)*CR18/1000000*(1+①통합_가정!$E$132)^(MAX(CR16,1)-1)</f>
        <v>1689.7830768162</v>
      </c>
      <c r="CS24" s="37" t="n">
        <f aca="false">(CS14=1)*①통합_가정!$E$38*①통합_가정!$G$129*CHOOSE(MIN(MAX(CS16,1),3),①통합_가정!$E$136,①통합_가정!$E$137,①통합_가정!$E$138)*CS18/1000000*(1+①통합_가정!$E$132)^(MAX(CS16,1)-1)</f>
        <v>1635.273945306</v>
      </c>
      <c r="CT24" s="37" t="n">
        <f aca="false">(CT14=1)*①통합_가정!$E$38*①통합_가정!$G$129*CHOOSE(MIN(MAX(CT16,1),3),①통합_가정!$E$136,①통합_가정!$E$137,①통합_가정!$E$138)*CT18/1000000*(1+①통합_가정!$E$132)^(MAX(CT16,1)-1)</f>
        <v>1689.7830768162</v>
      </c>
      <c r="CU24" s="37" t="n">
        <f aca="false">(CU14=1)*①통합_가정!$E$38*①통합_가정!$G$129*CHOOSE(MIN(MAX(CU16,1),3),①통합_가정!$E$136,①통합_가정!$E$137,①통합_가정!$E$138)*CU18/1000000*(1+①통합_가정!$E$132)^(MAX(CU16,1)-1)</f>
        <v>1689.7830768162</v>
      </c>
      <c r="CV24" s="37" t="n">
        <f aca="false">(CV14=1)*①통합_가정!$E$38*①통합_가정!$G$129*CHOOSE(MIN(MAX(CV16,1),3),①통합_가정!$E$136,①통합_가정!$E$137,①통합_가정!$E$138)*CV18/1000000*(1+①통합_가정!$E$132)^(MAX(CV16,1)-1)</f>
        <v>1526.2556822856</v>
      </c>
      <c r="CW24" s="37" t="n">
        <f aca="false">(CW14=1)*①통합_가정!$E$38*①통합_가정!$G$129*CHOOSE(MIN(MAX(CW16,1),3),①통합_가정!$E$136,①통합_가정!$E$137,①통합_가정!$E$138)*CW18/1000000*(1+①통합_가정!$E$132)^(MAX(CW16,1)-1)</f>
        <v>1723.57873835252</v>
      </c>
      <c r="CX24" s="37" t="n">
        <f aca="false">(CX14=1)*①통합_가정!$E$38*①통합_가정!$G$129*CHOOSE(MIN(MAX(CX16,1),3),①통합_가정!$E$136,①통합_가정!$E$137,①통합_가정!$E$138)*CX18/1000000*(1+①통합_가정!$E$132)^(MAX(CX16,1)-1)</f>
        <v>1667.97942421212</v>
      </c>
      <c r="CY24" s="37" t="n">
        <f aca="false">(CY14=1)*①통합_가정!$E$38*①통합_가정!$G$129*CHOOSE(MIN(MAX(CY16,1),3),①통합_가정!$E$136,①통합_가정!$E$137,①통합_가정!$E$138)*CY18/1000000*(1+①통합_가정!$E$132)^(MAX(CY16,1)-1)</f>
        <v>1723.57873835252</v>
      </c>
      <c r="CZ24" s="37" t="n">
        <f aca="false">(CZ14=1)*①통합_가정!$E$38*①통합_가정!$G$129*CHOOSE(MIN(MAX(CZ16,1),3),①통합_가정!$E$136,①통합_가정!$E$137,①통합_가정!$E$138)*CZ18/1000000*(1+①통합_가정!$E$132)^(MAX(CZ16,1)-1)</f>
        <v>1667.97942421212</v>
      </c>
      <c r="DA24" s="37" t="n">
        <f aca="false">(DA14=1)*①통합_가정!$E$38*①통합_가정!$G$129*CHOOSE(MIN(MAX(DA16,1),3),①통합_가정!$E$136,①통합_가정!$E$137,①통합_가정!$E$138)*DA18/1000000*(1+①통합_가정!$E$132)^(MAX(DA16,1)-1)</f>
        <v>1723.57873835252</v>
      </c>
      <c r="DB24" s="37" t="n">
        <f aca="false">(DB14=1)*①통합_가정!$E$38*①통합_가정!$G$129*CHOOSE(MIN(MAX(DB16,1),3),①통합_가정!$E$136,①통합_가정!$E$137,①통합_가정!$E$138)*DB18/1000000*(1+①통합_가정!$E$132)^(MAX(DB16,1)-1)</f>
        <v>1723.57873835252</v>
      </c>
      <c r="DC24" s="37" t="n">
        <f aca="false">(DC14=1)*①통합_가정!$E$38*①통합_가정!$G$129*CHOOSE(MIN(MAX(DC16,1),3),①통합_가정!$E$136,①통합_가정!$E$137,①통합_가정!$E$138)*DC18/1000000*(1+①통합_가정!$E$132)^(MAX(DC16,1)-1)</f>
        <v>1667.97942421212</v>
      </c>
      <c r="DD24" s="37" t="n">
        <f aca="false">(DD14=1)*①통합_가정!$E$38*①통합_가정!$G$129*CHOOSE(MIN(MAX(DD16,1),3),①통합_가정!$E$136,①통합_가정!$E$137,①통합_가정!$E$138)*DD18/1000000*(1+①통합_가정!$E$132)^(MAX(DD16,1)-1)</f>
        <v>1723.57873835252</v>
      </c>
      <c r="DE24" s="37" t="n">
        <f aca="false">(DE14=1)*①통합_가정!$E$38*①통합_가정!$G$129*CHOOSE(MIN(MAX(DE16,1),3),①통합_가정!$E$136,①통합_가정!$E$137,①통합_가정!$E$138)*DE18/1000000*(1+①통합_가정!$E$132)^(MAX(DE16,1)-1)</f>
        <v>1667.97942421212</v>
      </c>
      <c r="DF24" s="37" t="n">
        <f aca="false">(DF14=1)*①통합_가정!$E$38*①통합_가정!$G$129*CHOOSE(MIN(MAX(DF16,1),3),①통합_가정!$E$136,①통합_가정!$E$137,①통합_가정!$E$138)*DF18/1000000*(1+①통합_가정!$E$132)^(MAX(DF16,1)-1)</f>
        <v>1723.57873835252</v>
      </c>
      <c r="DG24" s="37" t="n">
        <f aca="false">(DG14=1)*①통합_가정!$E$38*①통합_가정!$G$129*CHOOSE(MIN(MAX(DG16,1),3),①통합_가정!$E$136,①통합_가정!$E$137,①통합_가정!$E$138)*DG18/1000000*(1+①통합_가정!$E$132)^(MAX(DG16,1)-1)</f>
        <v>1723.57873835252</v>
      </c>
      <c r="DH24" s="37" t="n">
        <f aca="false">(DH14=1)*①통합_가정!$E$38*①통합_가정!$G$129*CHOOSE(MIN(MAX(DH16,1),3),①통합_가정!$E$136,①통합_가정!$E$137,①통합_가정!$E$138)*DH18/1000000*(1+①통합_가정!$E$132)^(MAX(DH16,1)-1)</f>
        <v>1556.78079593131</v>
      </c>
      <c r="DI24" s="37" t="n">
        <f aca="false">(DI14=1)*①통합_가정!$E$38*①통합_가정!$G$129*CHOOSE(MIN(MAX(DI16,1),3),①통합_가정!$E$136,①통합_가정!$E$137,①통합_가정!$E$138)*DI18/1000000*(1+①통합_가정!$E$132)^(MAX(DI16,1)-1)</f>
        <v>1758.05031311957</v>
      </c>
      <c r="DJ24" s="37" t="n">
        <f aca="false">(DJ14=1)*①통합_가정!$E$38*①통합_가정!$G$129*CHOOSE(MIN(MAX(DJ16,1),3),①통합_가정!$E$136,①통합_가정!$E$137,①통합_가정!$E$138)*DJ18/1000000*(1+①통합_가정!$E$132)^(MAX(DJ16,1)-1)</f>
        <v>1701.33901269636</v>
      </c>
      <c r="DK24" s="37" t="n">
        <f aca="false">(DK14=1)*①통합_가정!$E$38*①통합_가정!$G$129*CHOOSE(MIN(MAX(DK16,1),3),①통합_가정!$E$136,①통합_가정!$E$137,①통합_가정!$E$138)*DK18/1000000*(1+①통합_가정!$E$132)^(MAX(DK16,1)-1)</f>
        <v>1758.05031311957</v>
      </c>
      <c r="DL24" s="37" t="n">
        <f aca="false">(DL14=1)*①통합_가정!$E$38*①통합_가정!$G$129*CHOOSE(MIN(MAX(DL16,1),3),①통합_가정!$E$136,①통합_가정!$E$137,①통합_가정!$E$138)*DL18/1000000*(1+①통합_가정!$E$132)^(MAX(DL16,1)-1)</f>
        <v>1701.33901269636</v>
      </c>
      <c r="DM24" s="37" t="n">
        <f aca="false">(DM14=1)*①통합_가정!$E$38*①통합_가정!$G$129*CHOOSE(MIN(MAX(DM16,1),3),①통합_가정!$E$136,①통합_가정!$E$137,①통합_가정!$E$138)*DM18/1000000*(1+①통합_가정!$E$132)^(MAX(DM16,1)-1)</f>
        <v>1758.05031311957</v>
      </c>
      <c r="DN24" s="37" t="n">
        <f aca="false">(DN14=1)*①통합_가정!$E$38*①통합_가정!$G$129*CHOOSE(MIN(MAX(DN16,1),3),①통합_가정!$E$136,①통합_가정!$E$137,①통합_가정!$E$138)*DN18/1000000*(1+①통합_가정!$E$132)^(MAX(DN16,1)-1)</f>
        <v>1758.05031311957</v>
      </c>
      <c r="DO24" s="37" t="n">
        <f aca="false">(DO14=1)*①통합_가정!$E$38*①통합_가정!$G$129*CHOOSE(MIN(MAX(DO16,1),3),①통합_가정!$E$136,①통합_가정!$E$137,①통합_가정!$E$138)*DO18/1000000*(1+①통합_가정!$E$132)^(MAX(DO16,1)-1)</f>
        <v>1701.33901269636</v>
      </c>
      <c r="DP24" s="37" t="n">
        <f aca="false">(DP14=1)*①통합_가정!$E$38*①통합_가정!$G$129*CHOOSE(MIN(MAX(DP16,1),3),①통합_가정!$E$136,①통합_가정!$E$137,①통합_가정!$E$138)*DP18/1000000*(1+①통합_가정!$E$132)^(MAX(DP16,1)-1)</f>
        <v>1758.05031311957</v>
      </c>
      <c r="DQ24" s="37" t="n">
        <f aca="false">(DQ14=1)*①통합_가정!$E$38*①통합_가정!$G$129*CHOOSE(MIN(MAX(DQ16,1),3),①통합_가정!$E$136,①통합_가정!$E$137,①통합_가정!$E$138)*DQ18/1000000*(1+①통합_가정!$E$132)^(MAX(DQ16,1)-1)</f>
        <v>1701.33901269636</v>
      </c>
      <c r="DR24" s="37" t="n">
        <f aca="false">(DR14=1)*①통합_가정!$E$38*①통합_가정!$G$129*CHOOSE(MIN(MAX(DR16,1),3),①통합_가정!$E$136,①통합_가정!$E$137,①통합_가정!$E$138)*DR18/1000000*(1+①통합_가정!$E$132)^(MAX(DR16,1)-1)</f>
        <v>1758.05031311957</v>
      </c>
      <c r="DS24" s="37" t="n">
        <f aca="false">(DS14=1)*①통합_가정!$E$38*①통합_가정!$G$129*CHOOSE(MIN(MAX(DS16,1),3),①통합_가정!$E$136,①통합_가정!$E$137,①통합_가정!$E$138)*DS18/1000000*(1+①통합_가정!$E$132)^(MAX(DS16,1)-1)</f>
        <v>1758.05031311957</v>
      </c>
      <c r="DT24" s="37" t="n">
        <f aca="false">(DT14=1)*①통합_가정!$E$38*①통합_가정!$G$129*CHOOSE(MIN(MAX(DT16,1),3),①통합_가정!$E$136,①통합_가정!$E$137,①통합_가정!$E$138)*DT18/1000000*(1+①통합_가정!$E$132)^(MAX(DT16,1)-1)</f>
        <v>1644.62771227315</v>
      </c>
      <c r="DU24" s="37" t="n">
        <f aca="false">(DU14=1)*①통합_가정!$E$38*①통합_가정!$G$129*CHOOSE(MIN(MAX(DU16,1),3),①통합_가정!$E$136,①통합_가정!$E$137,①통합_가정!$E$138)*DU18/1000000*(1+①통합_가정!$E$132)^(MAX(DU16,1)-1)</f>
        <v>0</v>
      </c>
      <c r="DV24" s="37" t="n">
        <f aca="false">(DV14=1)*①통합_가정!$E$38*①통합_가정!$G$129*CHOOSE(MIN(MAX(DV16,1),3),①통합_가정!$E$136,①통합_가정!$E$137,①통합_가정!$E$138)*DV18/1000000*(1+①통합_가정!$E$132)^(MAX(DV16,1)-1)</f>
        <v>0</v>
      </c>
      <c r="DW24" s="37" t="n">
        <f aca="false">(DW14=1)*①통합_가정!$E$38*①통합_가정!$G$129*CHOOSE(MIN(MAX(DW16,1),3),①통합_가정!$E$136,①통합_가정!$E$137,①통합_가정!$E$138)*DW18/1000000*(1+①통합_가정!$E$132)^(MAX(DW16,1)-1)</f>
        <v>0</v>
      </c>
      <c r="DX24" s="37" t="n">
        <f aca="false">(DX14=1)*①통합_가정!$E$38*①통합_가정!$G$129*CHOOSE(MIN(MAX(DX16,1),3),①통합_가정!$E$136,①통합_가정!$E$137,①통합_가정!$E$138)*DX18/1000000*(1+①통합_가정!$E$132)^(MAX(DX16,1)-1)</f>
        <v>0</v>
      </c>
      <c r="DY24" s="37" t="n">
        <f aca="false">(DY14=1)*①통합_가정!$E$38*①통합_가정!$G$129*CHOOSE(MIN(MAX(DY16,1),3),①통합_가정!$E$136,①통합_가정!$E$137,①통합_가정!$E$138)*DY18/1000000*(1+①통합_가정!$E$132)^(MAX(DY16,1)-1)</f>
        <v>0</v>
      </c>
      <c r="DZ24" s="37" t="n">
        <f aca="false">(DZ14=1)*①통합_가정!$E$38*①통합_가정!$G$129*CHOOSE(MIN(MAX(DZ16,1),3),①통합_가정!$E$136,①통합_가정!$E$137,①통합_가정!$E$138)*DZ18/1000000*(1+①통합_가정!$E$132)^(MAX(DZ16,1)-1)</f>
        <v>0</v>
      </c>
      <c r="EA24" s="37" t="n">
        <f aca="false">(EA14=1)*①통합_가정!$E$38*①통합_가정!$G$129*CHOOSE(MIN(MAX(EA16,1),3),①통합_가정!$E$136,①통합_가정!$E$137,①통합_가정!$E$138)*EA18/1000000*(1+①통합_가정!$E$132)^(MAX(EA16,1)-1)</f>
        <v>0</v>
      </c>
      <c r="EB24" s="37" t="n">
        <f aca="false">(EB14=1)*①통합_가정!$E$38*①통합_가정!$G$129*CHOOSE(MIN(MAX(EB16,1),3),①통합_가정!$E$136,①통합_가정!$E$137,①통합_가정!$E$138)*EB18/1000000*(1+①통합_가정!$E$132)^(MAX(EB16,1)-1)</f>
        <v>0</v>
      </c>
      <c r="EC24" s="37" t="n">
        <f aca="false">(EC14=1)*①통합_가정!$E$38*①통합_가정!$G$129*CHOOSE(MIN(MAX(EC16,1),3),①통합_가정!$E$136,①통합_가정!$E$137,①통합_가정!$E$138)*EC18/1000000*(1+①통합_가정!$E$132)^(MAX(EC16,1)-1)</f>
        <v>0</v>
      </c>
      <c r="ED24" s="37" t="n">
        <f aca="false">(ED14=1)*①통합_가정!$E$38*①통합_가정!$G$129*CHOOSE(MIN(MAX(ED16,1),3),①통합_가정!$E$136,①통합_가정!$E$137,①통합_가정!$E$138)*ED18/1000000*(1+①통합_가정!$E$132)^(MAX(ED16,1)-1)</f>
        <v>0</v>
      </c>
      <c r="EE24" s="37" t="n">
        <f aca="false">(EE14=1)*①통합_가정!$E$38*①통합_가정!$G$129*CHOOSE(MIN(MAX(EE16,1),3),①통합_가정!$E$136,①통합_가정!$E$137,①통합_가정!$E$138)*EE18/1000000*(1+①통합_가정!$E$132)^(MAX(EE16,1)-1)</f>
        <v>0</v>
      </c>
      <c r="EF24" s="37" t="n">
        <f aca="false">(EF14=1)*①통합_가정!$E$38*①통합_가정!$G$129*CHOOSE(MIN(MAX(EF16,1),3),①통합_가정!$E$136,①통합_가정!$E$137,①통합_가정!$E$138)*EF18/1000000*(1+①통합_가정!$E$132)^(MAX(EF16,1)-1)</f>
        <v>0</v>
      </c>
    </row>
    <row r="25" customFormat="false" ht="15" hidden="false" customHeight="false" outlineLevel="0" collapsed="false">
      <c r="A25" s="36" t="s">
        <v>580</v>
      </c>
      <c r="B25" s="278" t="s">
        <v>21</v>
      </c>
      <c r="C25" s="279" t="n">
        <f aca="false">SUM(E25:EF25)</f>
        <v>64746.0438265689</v>
      </c>
      <c r="E25" s="37" t="n">
        <f aca="false">E24*①통합_가정!$E$139</f>
        <v>0</v>
      </c>
      <c r="F25" s="37" t="n">
        <f aca="false">F24*①통합_가정!$E$139</f>
        <v>0</v>
      </c>
      <c r="G25" s="37" t="n">
        <f aca="false">G24*①통합_가정!$E$139</f>
        <v>0</v>
      </c>
      <c r="H25" s="37" t="n">
        <f aca="false">H24*①통합_가정!$E$139</f>
        <v>0</v>
      </c>
      <c r="I25" s="37" t="n">
        <f aca="false">I24*①통합_가정!$E$139</f>
        <v>0</v>
      </c>
      <c r="J25" s="37" t="n">
        <f aca="false">J24*①통합_가정!$E$139</f>
        <v>0</v>
      </c>
      <c r="K25" s="37" t="n">
        <f aca="false">K24*①통합_가정!$E$139</f>
        <v>0</v>
      </c>
      <c r="L25" s="37" t="n">
        <f aca="false">L24*①통합_가정!$E$139</f>
        <v>0</v>
      </c>
      <c r="M25" s="37" t="n">
        <f aca="false">M24*①통합_가정!$E$139</f>
        <v>0</v>
      </c>
      <c r="N25" s="37" t="n">
        <f aca="false">N24*①통합_가정!$E$139</f>
        <v>0</v>
      </c>
      <c r="O25" s="37" t="n">
        <f aca="false">O24*①통합_가정!$E$139</f>
        <v>0</v>
      </c>
      <c r="P25" s="37" t="n">
        <f aca="false">P24*①통합_가정!$E$139</f>
        <v>0</v>
      </c>
      <c r="Q25" s="37" t="n">
        <f aca="false">Q24*①통합_가정!$E$139</f>
        <v>0</v>
      </c>
      <c r="R25" s="37" t="n">
        <f aca="false">R24*①통합_가정!$E$139</f>
        <v>0</v>
      </c>
      <c r="S25" s="37" t="n">
        <f aca="false">S24*①통합_가정!$E$139</f>
        <v>0</v>
      </c>
      <c r="T25" s="37" t="n">
        <f aca="false">T24*①통합_가정!$E$139</f>
        <v>0</v>
      </c>
      <c r="U25" s="37" t="n">
        <f aca="false">U24*①통합_가정!$E$139</f>
        <v>0</v>
      </c>
      <c r="V25" s="37" t="n">
        <f aca="false">V24*①통합_가정!$E$139</f>
        <v>0</v>
      </c>
      <c r="W25" s="37" t="n">
        <f aca="false">W24*①통합_가정!$E$139</f>
        <v>0</v>
      </c>
      <c r="X25" s="37" t="n">
        <f aca="false">X24*①통합_가정!$E$139</f>
        <v>0</v>
      </c>
      <c r="Y25" s="37" t="n">
        <f aca="false">Y24*①통합_가정!$E$139</f>
        <v>0</v>
      </c>
      <c r="Z25" s="37" t="n">
        <f aca="false">Z24*①통합_가정!$E$139</f>
        <v>0</v>
      </c>
      <c r="AA25" s="37" t="n">
        <f aca="false">AA24*①통합_가정!$E$139</f>
        <v>0</v>
      </c>
      <c r="AB25" s="37" t="n">
        <f aca="false">AB24*①통합_가정!$E$139</f>
        <v>0</v>
      </c>
      <c r="AC25" s="37" t="n">
        <f aca="false">AC24*①통합_가정!$E$139</f>
        <v>0</v>
      </c>
      <c r="AD25" s="37" t="n">
        <f aca="false">AD24*①통합_가정!$E$139</f>
        <v>0</v>
      </c>
      <c r="AE25" s="37" t="n">
        <f aca="false">AE24*①통합_가정!$E$139</f>
        <v>0</v>
      </c>
      <c r="AF25" s="37" t="n">
        <f aca="false">AF24*①통합_가정!$E$139</f>
        <v>0</v>
      </c>
      <c r="AG25" s="37" t="n">
        <f aca="false">AG24*①통합_가정!$E$139</f>
        <v>0</v>
      </c>
      <c r="AH25" s="37" t="n">
        <f aca="false">AH24*①통합_가정!$E$139</f>
        <v>0</v>
      </c>
      <c r="AI25" s="37" t="n">
        <f aca="false">AI24*①통합_가정!$E$139</f>
        <v>0</v>
      </c>
      <c r="AJ25" s="37" t="n">
        <f aca="false">AJ24*①통합_가정!$E$139</f>
        <v>0</v>
      </c>
      <c r="AK25" s="37" t="n">
        <f aca="false">AK24*①통합_가정!$E$139</f>
        <v>0</v>
      </c>
      <c r="AL25" s="37" t="n">
        <f aca="false">AL24*①통합_가정!$E$139</f>
        <v>0</v>
      </c>
      <c r="AM25" s="37" t="n">
        <f aca="false">AM24*①통합_가정!$E$139</f>
        <v>0</v>
      </c>
      <c r="AN25" s="37" t="n">
        <f aca="false">AN24*①통합_가정!$E$139</f>
        <v>0</v>
      </c>
      <c r="AO25" s="37" t="n">
        <f aca="false">AO24*①통합_가정!$E$139</f>
        <v>0</v>
      </c>
      <c r="AP25" s="37" t="n">
        <f aca="false">AP24*①통합_가정!$E$139</f>
        <v>0</v>
      </c>
      <c r="AQ25" s="37" t="n">
        <f aca="false">AQ24*①통합_가정!$E$139</f>
        <v>0</v>
      </c>
      <c r="AR25" s="37" t="n">
        <f aca="false">AR24*①통합_가정!$E$139</f>
        <v>0</v>
      </c>
      <c r="AS25" s="37" t="n">
        <f aca="false">AS24*①통합_가정!$E$139</f>
        <v>0</v>
      </c>
      <c r="AT25" s="37" t="n">
        <f aca="false">AT24*①통합_가정!$E$139</f>
        <v>0</v>
      </c>
      <c r="AU25" s="37" t="n">
        <f aca="false">AU24*①통합_가정!$E$139</f>
        <v>0</v>
      </c>
      <c r="AV25" s="37" t="n">
        <f aca="false">AV24*①통합_가정!$E$139</f>
        <v>0</v>
      </c>
      <c r="AW25" s="37" t="n">
        <f aca="false">AW24*①통합_가정!$E$139</f>
        <v>0</v>
      </c>
      <c r="AX25" s="37" t="n">
        <f aca="false">AX24*①통합_가정!$E$139</f>
        <v>0</v>
      </c>
      <c r="AY25" s="37" t="n">
        <f aca="false">AY24*①통합_가정!$E$139</f>
        <v>0</v>
      </c>
      <c r="AZ25" s="37" t="n">
        <f aca="false">AZ24*①통합_가정!$E$139</f>
        <v>0</v>
      </c>
      <c r="BA25" s="37" t="n">
        <f aca="false">BA24*①통합_가정!$E$139</f>
        <v>0</v>
      </c>
      <c r="BB25" s="37" t="n">
        <f aca="false">BB24*①통합_가정!$E$139</f>
        <v>0</v>
      </c>
      <c r="BC25" s="37" t="n">
        <f aca="false">BC24*①통합_가정!$E$139</f>
        <v>0</v>
      </c>
      <c r="BD25" s="37" t="n">
        <f aca="false">BD24*①통합_가정!$E$139</f>
        <v>0</v>
      </c>
      <c r="BE25" s="37" t="n">
        <f aca="false">BE24*①통합_가정!$E$139</f>
        <v>0</v>
      </c>
      <c r="BF25" s="37" t="n">
        <f aca="false">BF24*①통합_가정!$E$139</f>
        <v>0</v>
      </c>
      <c r="BG25" s="37" t="n">
        <f aca="false">BG24*①통합_가정!$E$139</f>
        <v>0</v>
      </c>
      <c r="BH25" s="37" t="n">
        <f aca="false">BH24*①통합_가정!$E$139</f>
        <v>0</v>
      </c>
      <c r="BI25" s="37" t="n">
        <f aca="false">BI24*①통합_가정!$E$139</f>
        <v>0</v>
      </c>
      <c r="BJ25" s="37" t="n">
        <f aca="false">BJ24*①통합_가정!$E$139</f>
        <v>0</v>
      </c>
      <c r="BK25" s="37" t="n">
        <f aca="false">BK24*①통합_가정!$E$139</f>
        <v>0</v>
      </c>
      <c r="BL25" s="37" t="n">
        <f aca="false">BL24*①통합_가정!$E$139</f>
        <v>0</v>
      </c>
      <c r="BM25" s="37" t="n">
        <f aca="false">BM24*①통합_가정!$E$139</f>
        <v>938.8766537917</v>
      </c>
      <c r="BN25" s="37" t="n">
        <f aca="false">BN24*①통합_가정!$E$139</f>
        <v>908.590310121</v>
      </c>
      <c r="BO25" s="37" t="n">
        <f aca="false">BO24*①통합_가정!$E$139</f>
        <v>938.8766537917</v>
      </c>
      <c r="BP25" s="37" t="n">
        <f aca="false">BP24*①통합_가정!$E$139</f>
        <v>908.590310121</v>
      </c>
      <c r="BQ25" s="37" t="n">
        <f aca="false">BQ24*①통합_가정!$E$139</f>
        <v>938.8766537917</v>
      </c>
      <c r="BR25" s="37" t="n">
        <f aca="false">BR24*①통합_가정!$E$139</f>
        <v>938.8766537917</v>
      </c>
      <c r="BS25" s="37" t="n">
        <f aca="false">BS24*①통합_가정!$E$139</f>
        <v>908.590310121</v>
      </c>
      <c r="BT25" s="37" t="n">
        <f aca="false">BT24*①통합_가정!$E$139</f>
        <v>938.8766537917</v>
      </c>
      <c r="BU25" s="37" t="n">
        <f aca="false">BU24*①통합_가정!$E$139</f>
        <v>908.590310121</v>
      </c>
      <c r="BV25" s="37" t="n">
        <f aca="false">BV24*①통합_가정!$E$139</f>
        <v>938.8766537917</v>
      </c>
      <c r="BW25" s="37" t="n">
        <f aca="false">BW24*①통합_가정!$E$139</f>
        <v>938.8766537917</v>
      </c>
      <c r="BX25" s="37" t="n">
        <f aca="false">BX24*①통합_가정!$E$139</f>
        <v>878.3039664503</v>
      </c>
      <c r="BY25" s="37" t="n">
        <f aca="false">BY24*①통합_가정!$E$139</f>
        <v>1104.98560023177</v>
      </c>
      <c r="BZ25" s="37" t="n">
        <f aca="false">BZ24*①통합_가정!$E$139</f>
        <v>1069.3409034501</v>
      </c>
      <c r="CA25" s="37" t="n">
        <f aca="false">CA24*①통합_가정!$E$139</f>
        <v>1104.98560023177</v>
      </c>
      <c r="CB25" s="37" t="n">
        <f aca="false">CB24*①통합_가정!$E$139</f>
        <v>1069.3409034501</v>
      </c>
      <c r="CC25" s="37" t="n">
        <f aca="false">CC24*①통합_가정!$E$139</f>
        <v>1104.98560023177</v>
      </c>
      <c r="CD25" s="37" t="n">
        <f aca="false">CD24*①통합_가정!$E$139</f>
        <v>1104.98560023177</v>
      </c>
      <c r="CE25" s="37" t="n">
        <f aca="false">CE24*①통합_가정!$E$139</f>
        <v>1069.3409034501</v>
      </c>
      <c r="CF25" s="37" t="n">
        <f aca="false">CF24*①통합_가정!$E$139</f>
        <v>1104.98560023177</v>
      </c>
      <c r="CG25" s="37" t="n">
        <f aca="false">CG24*①통합_가정!$E$139</f>
        <v>1069.3409034501</v>
      </c>
      <c r="CH25" s="37" t="n">
        <f aca="false">CH24*①통합_가정!$E$139</f>
        <v>1104.98560023177</v>
      </c>
      <c r="CI25" s="37" t="n">
        <f aca="false">CI24*①통합_가정!$E$139</f>
        <v>1104.98560023177</v>
      </c>
      <c r="CJ25" s="37" t="n">
        <f aca="false">CJ24*①통합_가정!$E$139</f>
        <v>998.05150988676</v>
      </c>
      <c r="CK25" s="37" t="n">
        <f aca="false">CK24*①통합_가정!$E$139</f>
        <v>1127.08531223641</v>
      </c>
      <c r="CL25" s="37" t="n">
        <f aca="false">CL24*①통합_가정!$E$139</f>
        <v>1090.7277215191</v>
      </c>
      <c r="CM25" s="37" t="n">
        <f aca="false">CM24*①통합_가정!$E$139</f>
        <v>1127.08531223641</v>
      </c>
      <c r="CN25" s="37" t="n">
        <f aca="false">CN24*①통합_가정!$E$139</f>
        <v>1090.7277215191</v>
      </c>
      <c r="CO25" s="37" t="n">
        <f aca="false">CO24*①통합_가정!$E$139</f>
        <v>1127.08531223641</v>
      </c>
      <c r="CP25" s="37" t="n">
        <f aca="false">CP24*①통합_가정!$E$139</f>
        <v>1127.08531223641</v>
      </c>
      <c r="CQ25" s="37" t="n">
        <f aca="false">CQ24*①통합_가정!$E$139</f>
        <v>1090.7277215191</v>
      </c>
      <c r="CR25" s="37" t="n">
        <f aca="false">CR24*①통합_가정!$E$139</f>
        <v>1127.08531223641</v>
      </c>
      <c r="CS25" s="37" t="n">
        <f aca="false">CS24*①통합_가정!$E$139</f>
        <v>1090.7277215191</v>
      </c>
      <c r="CT25" s="37" t="n">
        <f aca="false">CT24*①통합_가정!$E$139</f>
        <v>1127.08531223641</v>
      </c>
      <c r="CU25" s="37" t="n">
        <f aca="false">CU24*①통합_가정!$E$139</f>
        <v>1127.08531223641</v>
      </c>
      <c r="CV25" s="37" t="n">
        <f aca="false">CV24*①통합_가정!$E$139</f>
        <v>1018.0125400845</v>
      </c>
      <c r="CW25" s="37" t="n">
        <f aca="false">CW24*①통합_가정!$E$139</f>
        <v>1149.62701848113</v>
      </c>
      <c r="CX25" s="37" t="n">
        <f aca="false">CX24*①통합_가정!$E$139</f>
        <v>1112.54227594948</v>
      </c>
      <c r="CY25" s="37" t="n">
        <f aca="false">CY24*①통합_가정!$E$139</f>
        <v>1149.62701848113</v>
      </c>
      <c r="CZ25" s="37" t="n">
        <f aca="false">CZ24*①통합_가정!$E$139</f>
        <v>1112.54227594948</v>
      </c>
      <c r="DA25" s="37" t="n">
        <f aca="false">DA24*①통합_가정!$E$139</f>
        <v>1149.62701848113</v>
      </c>
      <c r="DB25" s="37" t="n">
        <f aca="false">DB24*①통합_가정!$E$139</f>
        <v>1149.62701848113</v>
      </c>
      <c r="DC25" s="37" t="n">
        <f aca="false">DC24*①통합_가정!$E$139</f>
        <v>1112.54227594948</v>
      </c>
      <c r="DD25" s="37" t="n">
        <f aca="false">DD24*①통합_가정!$E$139</f>
        <v>1149.62701848113</v>
      </c>
      <c r="DE25" s="37" t="n">
        <f aca="false">DE24*①통합_가정!$E$139</f>
        <v>1112.54227594948</v>
      </c>
      <c r="DF25" s="37" t="n">
        <f aca="false">DF24*①통합_가정!$E$139</f>
        <v>1149.62701848113</v>
      </c>
      <c r="DG25" s="37" t="n">
        <f aca="false">DG24*①통합_가정!$E$139</f>
        <v>1149.62701848113</v>
      </c>
      <c r="DH25" s="37" t="n">
        <f aca="false">DH24*①통합_가정!$E$139</f>
        <v>1038.37279088619</v>
      </c>
      <c r="DI25" s="37" t="n">
        <f aca="false">DI24*①통합_가정!$E$139</f>
        <v>1172.61955885076</v>
      </c>
      <c r="DJ25" s="37" t="n">
        <f aca="false">DJ24*①통합_가정!$E$139</f>
        <v>1134.79312146847</v>
      </c>
      <c r="DK25" s="37" t="n">
        <f aca="false">DK24*①통합_가정!$E$139</f>
        <v>1172.61955885076</v>
      </c>
      <c r="DL25" s="37" t="n">
        <f aca="false">DL24*①통합_가정!$E$139</f>
        <v>1134.79312146847</v>
      </c>
      <c r="DM25" s="37" t="n">
        <f aca="false">DM24*①통합_가정!$E$139</f>
        <v>1172.61955885076</v>
      </c>
      <c r="DN25" s="37" t="n">
        <f aca="false">DN24*①통합_가정!$E$139</f>
        <v>1172.61955885076</v>
      </c>
      <c r="DO25" s="37" t="n">
        <f aca="false">DO24*①통합_가정!$E$139</f>
        <v>1134.79312146847</v>
      </c>
      <c r="DP25" s="37" t="n">
        <f aca="false">DP24*①통합_가정!$E$139</f>
        <v>1172.61955885076</v>
      </c>
      <c r="DQ25" s="37" t="n">
        <f aca="false">DQ24*①통합_가정!$E$139</f>
        <v>1134.79312146847</v>
      </c>
      <c r="DR25" s="37" t="n">
        <f aca="false">DR24*①통합_가정!$E$139</f>
        <v>1172.61955885076</v>
      </c>
      <c r="DS25" s="37" t="n">
        <f aca="false">DS24*①통합_가정!$E$139</f>
        <v>1172.61955885076</v>
      </c>
      <c r="DT25" s="37" t="n">
        <f aca="false">DT24*①통합_가정!$E$139</f>
        <v>1096.96668408619</v>
      </c>
      <c r="DU25" s="37" t="n">
        <f aca="false">DU24*①통합_가정!$E$139</f>
        <v>0</v>
      </c>
      <c r="DV25" s="37" t="n">
        <f aca="false">DV24*①통합_가정!$E$139</f>
        <v>0</v>
      </c>
      <c r="DW25" s="37" t="n">
        <f aca="false">DW24*①통합_가정!$E$139</f>
        <v>0</v>
      </c>
      <c r="DX25" s="37" t="n">
        <f aca="false">DX24*①통합_가정!$E$139</f>
        <v>0</v>
      </c>
      <c r="DY25" s="37" t="n">
        <f aca="false">DY24*①통합_가정!$E$139</f>
        <v>0</v>
      </c>
      <c r="DZ25" s="37" t="n">
        <f aca="false">DZ24*①통합_가정!$E$139</f>
        <v>0</v>
      </c>
      <c r="EA25" s="37" t="n">
        <f aca="false">EA24*①통합_가정!$E$139</f>
        <v>0</v>
      </c>
      <c r="EB25" s="37" t="n">
        <f aca="false">EB24*①통합_가정!$E$139</f>
        <v>0</v>
      </c>
      <c r="EC25" s="37" t="n">
        <f aca="false">EC24*①통합_가정!$E$139</f>
        <v>0</v>
      </c>
      <c r="ED25" s="37" t="n">
        <f aca="false">ED24*①통합_가정!$E$139</f>
        <v>0</v>
      </c>
      <c r="EE25" s="37" t="n">
        <f aca="false">EE24*①통합_가정!$E$139</f>
        <v>0</v>
      </c>
      <c r="EF25" s="37" t="n">
        <f aca="false">EF24*①통합_가정!$E$139</f>
        <v>0</v>
      </c>
    </row>
    <row r="26" customFormat="false" ht="15" hidden="false" customHeight="false" outlineLevel="0" collapsed="false">
      <c r="A26" s="36" t="s">
        <v>581</v>
      </c>
      <c r="B26" s="278" t="s">
        <v>21</v>
      </c>
      <c r="C26" s="279" t="n">
        <f aca="false">SUM(E26:EF26)</f>
        <v>35430.7436232349</v>
      </c>
      <c r="E26" s="37" t="n">
        <f aca="false">E24*①통합_가정!$E$144</f>
        <v>0</v>
      </c>
      <c r="F26" s="37" t="n">
        <f aca="false">F24*①통합_가정!$E$144</f>
        <v>0</v>
      </c>
      <c r="G26" s="37" t="n">
        <f aca="false">G24*①통합_가정!$E$144</f>
        <v>0</v>
      </c>
      <c r="H26" s="37" t="n">
        <f aca="false">H24*①통합_가정!$E$144</f>
        <v>0</v>
      </c>
      <c r="I26" s="37" t="n">
        <f aca="false">I24*①통합_가정!$E$144</f>
        <v>0</v>
      </c>
      <c r="J26" s="37" t="n">
        <f aca="false">J24*①통합_가정!$E$144</f>
        <v>0</v>
      </c>
      <c r="K26" s="37" t="n">
        <f aca="false">K24*①통합_가정!$E$144</f>
        <v>0</v>
      </c>
      <c r="L26" s="37" t="n">
        <f aca="false">L24*①통합_가정!$E$144</f>
        <v>0</v>
      </c>
      <c r="M26" s="37" t="n">
        <f aca="false">M24*①통합_가정!$E$144</f>
        <v>0</v>
      </c>
      <c r="N26" s="37" t="n">
        <f aca="false">N24*①통합_가정!$E$144</f>
        <v>0</v>
      </c>
      <c r="O26" s="37" t="n">
        <f aca="false">O24*①통합_가정!$E$144</f>
        <v>0</v>
      </c>
      <c r="P26" s="37" t="n">
        <f aca="false">P24*①통합_가정!$E$144</f>
        <v>0</v>
      </c>
      <c r="Q26" s="37" t="n">
        <f aca="false">Q24*①통합_가정!$E$144</f>
        <v>0</v>
      </c>
      <c r="R26" s="37" t="n">
        <f aca="false">R24*①통합_가정!$E$144</f>
        <v>0</v>
      </c>
      <c r="S26" s="37" t="n">
        <f aca="false">S24*①통합_가정!$E$144</f>
        <v>0</v>
      </c>
      <c r="T26" s="37" t="n">
        <f aca="false">T24*①통합_가정!$E$144</f>
        <v>0</v>
      </c>
      <c r="U26" s="37" t="n">
        <f aca="false">U24*①통합_가정!$E$144</f>
        <v>0</v>
      </c>
      <c r="V26" s="37" t="n">
        <f aca="false">V24*①통합_가정!$E$144</f>
        <v>0</v>
      </c>
      <c r="W26" s="37" t="n">
        <f aca="false">W24*①통합_가정!$E$144</f>
        <v>0</v>
      </c>
      <c r="X26" s="37" t="n">
        <f aca="false">X24*①통합_가정!$E$144</f>
        <v>0</v>
      </c>
      <c r="Y26" s="37" t="n">
        <f aca="false">Y24*①통합_가정!$E$144</f>
        <v>0</v>
      </c>
      <c r="Z26" s="37" t="n">
        <f aca="false">Z24*①통합_가정!$E$144</f>
        <v>0</v>
      </c>
      <c r="AA26" s="37" t="n">
        <f aca="false">AA24*①통합_가정!$E$144</f>
        <v>0</v>
      </c>
      <c r="AB26" s="37" t="n">
        <f aca="false">AB24*①통합_가정!$E$144</f>
        <v>0</v>
      </c>
      <c r="AC26" s="37" t="n">
        <f aca="false">AC24*①통합_가정!$E$144</f>
        <v>0</v>
      </c>
      <c r="AD26" s="37" t="n">
        <f aca="false">AD24*①통합_가정!$E$144</f>
        <v>0</v>
      </c>
      <c r="AE26" s="37" t="n">
        <f aca="false">AE24*①통합_가정!$E$144</f>
        <v>0</v>
      </c>
      <c r="AF26" s="37" t="n">
        <f aca="false">AF24*①통합_가정!$E$144</f>
        <v>0</v>
      </c>
      <c r="AG26" s="37" t="n">
        <f aca="false">AG24*①통합_가정!$E$144</f>
        <v>0</v>
      </c>
      <c r="AH26" s="37" t="n">
        <f aca="false">AH24*①통합_가정!$E$144</f>
        <v>0</v>
      </c>
      <c r="AI26" s="37" t="n">
        <f aca="false">AI24*①통합_가정!$E$144</f>
        <v>0</v>
      </c>
      <c r="AJ26" s="37" t="n">
        <f aca="false">AJ24*①통합_가정!$E$144</f>
        <v>0</v>
      </c>
      <c r="AK26" s="37" t="n">
        <f aca="false">AK24*①통합_가정!$E$144</f>
        <v>0</v>
      </c>
      <c r="AL26" s="37" t="n">
        <f aca="false">AL24*①통합_가정!$E$144</f>
        <v>0</v>
      </c>
      <c r="AM26" s="37" t="n">
        <f aca="false">AM24*①통합_가정!$E$144</f>
        <v>0</v>
      </c>
      <c r="AN26" s="37" t="n">
        <f aca="false">AN24*①통합_가정!$E$144</f>
        <v>0</v>
      </c>
      <c r="AO26" s="37" t="n">
        <f aca="false">AO24*①통합_가정!$E$144</f>
        <v>0</v>
      </c>
      <c r="AP26" s="37" t="n">
        <f aca="false">AP24*①통합_가정!$E$144</f>
        <v>0</v>
      </c>
      <c r="AQ26" s="37" t="n">
        <f aca="false">AQ24*①통합_가정!$E$144</f>
        <v>0</v>
      </c>
      <c r="AR26" s="37" t="n">
        <f aca="false">AR24*①통합_가정!$E$144</f>
        <v>0</v>
      </c>
      <c r="AS26" s="37" t="n">
        <f aca="false">AS24*①통합_가정!$E$144</f>
        <v>0</v>
      </c>
      <c r="AT26" s="37" t="n">
        <f aca="false">AT24*①통합_가정!$E$144</f>
        <v>0</v>
      </c>
      <c r="AU26" s="37" t="n">
        <f aca="false">AU24*①통합_가정!$E$144</f>
        <v>0</v>
      </c>
      <c r="AV26" s="37" t="n">
        <f aca="false">AV24*①통합_가정!$E$144</f>
        <v>0</v>
      </c>
      <c r="AW26" s="37" t="n">
        <f aca="false">AW24*①통합_가정!$E$144</f>
        <v>0</v>
      </c>
      <c r="AX26" s="37" t="n">
        <f aca="false">AX24*①통합_가정!$E$144</f>
        <v>0</v>
      </c>
      <c r="AY26" s="37" t="n">
        <f aca="false">AY24*①통합_가정!$E$144</f>
        <v>0</v>
      </c>
      <c r="AZ26" s="37" t="n">
        <f aca="false">AZ24*①통합_가정!$E$144</f>
        <v>0</v>
      </c>
      <c r="BA26" s="37" t="n">
        <f aca="false">BA24*①통합_가정!$E$144</f>
        <v>0</v>
      </c>
      <c r="BB26" s="37" t="n">
        <f aca="false">BB24*①통합_가정!$E$144</f>
        <v>0</v>
      </c>
      <c r="BC26" s="37" t="n">
        <f aca="false">BC24*①통합_가정!$E$144</f>
        <v>0</v>
      </c>
      <c r="BD26" s="37" t="n">
        <f aca="false">BD24*①통합_가정!$E$144</f>
        <v>0</v>
      </c>
      <c r="BE26" s="37" t="n">
        <f aca="false">BE24*①통합_가정!$E$144</f>
        <v>0</v>
      </c>
      <c r="BF26" s="37" t="n">
        <f aca="false">BF24*①통합_가정!$E$144</f>
        <v>0</v>
      </c>
      <c r="BG26" s="37" t="n">
        <f aca="false">BG24*①통합_가정!$E$144</f>
        <v>0</v>
      </c>
      <c r="BH26" s="37" t="n">
        <f aca="false">BH24*①통합_가정!$E$144</f>
        <v>0</v>
      </c>
      <c r="BI26" s="37" t="n">
        <f aca="false">BI24*①통합_가정!$E$144</f>
        <v>0</v>
      </c>
      <c r="BJ26" s="37" t="n">
        <f aca="false">BJ24*①통합_가정!$E$144</f>
        <v>0</v>
      </c>
      <c r="BK26" s="37" t="n">
        <f aca="false">BK24*①통합_가정!$E$144</f>
        <v>0</v>
      </c>
      <c r="BL26" s="37" t="n">
        <f aca="false">BL24*①통합_가정!$E$144</f>
        <v>0</v>
      </c>
      <c r="BM26" s="37" t="n">
        <f aca="false">BM24*①통합_가정!$E$144</f>
        <v>513.7780789115</v>
      </c>
      <c r="BN26" s="37" t="n">
        <f aca="false">BN24*①통합_가정!$E$144</f>
        <v>497.204592495</v>
      </c>
      <c r="BO26" s="37" t="n">
        <f aca="false">BO24*①통합_가정!$E$144</f>
        <v>513.7780789115</v>
      </c>
      <c r="BP26" s="37" t="n">
        <f aca="false">BP24*①통합_가정!$E$144</f>
        <v>497.204592495</v>
      </c>
      <c r="BQ26" s="37" t="n">
        <f aca="false">BQ24*①통합_가정!$E$144</f>
        <v>513.7780789115</v>
      </c>
      <c r="BR26" s="37" t="n">
        <f aca="false">BR24*①통합_가정!$E$144</f>
        <v>513.7780789115</v>
      </c>
      <c r="BS26" s="37" t="n">
        <f aca="false">BS24*①통합_가정!$E$144</f>
        <v>497.204592495</v>
      </c>
      <c r="BT26" s="37" t="n">
        <f aca="false">BT24*①통합_가정!$E$144</f>
        <v>513.7780789115</v>
      </c>
      <c r="BU26" s="37" t="n">
        <f aca="false">BU24*①통합_가정!$E$144</f>
        <v>497.204592495</v>
      </c>
      <c r="BV26" s="37" t="n">
        <f aca="false">BV24*①통합_가정!$E$144</f>
        <v>513.7780789115</v>
      </c>
      <c r="BW26" s="37" t="n">
        <f aca="false">BW24*①통합_가정!$E$144</f>
        <v>513.7780789115</v>
      </c>
      <c r="BX26" s="37" t="n">
        <f aca="false">BX24*①통합_가정!$E$144</f>
        <v>480.6311060785</v>
      </c>
      <c r="BY26" s="37" t="n">
        <f aca="false">BY24*①통합_가정!$E$144</f>
        <v>604.67727748815</v>
      </c>
      <c r="BZ26" s="37" t="n">
        <f aca="false">BZ24*①통합_가정!$E$144</f>
        <v>585.1715588595</v>
      </c>
      <c r="CA26" s="37" t="n">
        <f aca="false">CA24*①통합_가정!$E$144</f>
        <v>604.67727748815</v>
      </c>
      <c r="CB26" s="37" t="n">
        <f aca="false">CB24*①통합_가정!$E$144</f>
        <v>585.1715588595</v>
      </c>
      <c r="CC26" s="37" t="n">
        <f aca="false">CC24*①통합_가정!$E$144</f>
        <v>604.67727748815</v>
      </c>
      <c r="CD26" s="37" t="n">
        <f aca="false">CD24*①통합_가정!$E$144</f>
        <v>604.67727748815</v>
      </c>
      <c r="CE26" s="37" t="n">
        <f aca="false">CE24*①통합_가정!$E$144</f>
        <v>585.1715588595</v>
      </c>
      <c r="CF26" s="37" t="n">
        <f aca="false">CF24*①통합_가정!$E$144</f>
        <v>604.67727748815</v>
      </c>
      <c r="CG26" s="37" t="n">
        <f aca="false">CG24*①통합_가정!$E$144</f>
        <v>585.1715588595</v>
      </c>
      <c r="CH26" s="37" t="n">
        <f aca="false">CH24*①통합_가정!$E$144</f>
        <v>604.67727748815</v>
      </c>
      <c r="CI26" s="37" t="n">
        <f aca="false">CI24*①통합_가정!$E$144</f>
        <v>604.67727748815</v>
      </c>
      <c r="CJ26" s="37" t="n">
        <f aca="false">CJ24*①통합_가정!$E$144</f>
        <v>546.1601216022</v>
      </c>
      <c r="CK26" s="37" t="n">
        <f aca="false">CK24*①통합_가정!$E$144</f>
        <v>616.770823037913</v>
      </c>
      <c r="CL26" s="37" t="n">
        <f aca="false">CL24*①통합_가정!$E$144</f>
        <v>596.87499003669</v>
      </c>
      <c r="CM26" s="37" t="n">
        <f aca="false">CM24*①통합_가정!$E$144</f>
        <v>616.770823037913</v>
      </c>
      <c r="CN26" s="37" t="n">
        <f aca="false">CN24*①통합_가정!$E$144</f>
        <v>596.87499003669</v>
      </c>
      <c r="CO26" s="37" t="n">
        <f aca="false">CO24*①통합_가정!$E$144</f>
        <v>616.770823037913</v>
      </c>
      <c r="CP26" s="37" t="n">
        <f aca="false">CP24*①통합_가정!$E$144</f>
        <v>616.770823037913</v>
      </c>
      <c r="CQ26" s="37" t="n">
        <f aca="false">CQ24*①통합_가정!$E$144</f>
        <v>596.87499003669</v>
      </c>
      <c r="CR26" s="37" t="n">
        <f aca="false">CR24*①통합_가정!$E$144</f>
        <v>616.770823037913</v>
      </c>
      <c r="CS26" s="37" t="n">
        <f aca="false">CS24*①통합_가정!$E$144</f>
        <v>596.87499003669</v>
      </c>
      <c r="CT26" s="37" t="n">
        <f aca="false">CT24*①통합_가정!$E$144</f>
        <v>616.770823037913</v>
      </c>
      <c r="CU26" s="37" t="n">
        <f aca="false">CU24*①통합_가정!$E$144</f>
        <v>616.770823037913</v>
      </c>
      <c r="CV26" s="37" t="n">
        <f aca="false">CV24*①통합_가정!$E$144</f>
        <v>557.083324034244</v>
      </c>
      <c r="CW26" s="37" t="n">
        <f aca="false">CW24*①통합_가정!$E$144</f>
        <v>629.106239498671</v>
      </c>
      <c r="CX26" s="37" t="n">
        <f aca="false">CX24*①통합_가정!$E$144</f>
        <v>608.812489837424</v>
      </c>
      <c r="CY26" s="37" t="n">
        <f aca="false">CY24*①통합_가정!$E$144</f>
        <v>629.106239498671</v>
      </c>
      <c r="CZ26" s="37" t="n">
        <f aca="false">CZ24*①통합_가정!$E$144</f>
        <v>608.812489837424</v>
      </c>
      <c r="DA26" s="37" t="n">
        <f aca="false">DA24*①통합_가정!$E$144</f>
        <v>629.106239498671</v>
      </c>
      <c r="DB26" s="37" t="n">
        <f aca="false">DB24*①통합_가정!$E$144</f>
        <v>629.106239498671</v>
      </c>
      <c r="DC26" s="37" t="n">
        <f aca="false">DC24*①통합_가정!$E$144</f>
        <v>608.812489837424</v>
      </c>
      <c r="DD26" s="37" t="n">
        <f aca="false">DD24*①통합_가정!$E$144</f>
        <v>629.106239498671</v>
      </c>
      <c r="DE26" s="37" t="n">
        <f aca="false">DE24*①통합_가정!$E$144</f>
        <v>608.812489837424</v>
      </c>
      <c r="DF26" s="37" t="n">
        <f aca="false">DF24*①통합_가정!$E$144</f>
        <v>629.106239498671</v>
      </c>
      <c r="DG26" s="37" t="n">
        <f aca="false">DG24*①통합_가정!$E$144</f>
        <v>629.106239498671</v>
      </c>
      <c r="DH26" s="37" t="n">
        <f aca="false">DH24*①통합_가정!$E$144</f>
        <v>568.224990514929</v>
      </c>
      <c r="DI26" s="37" t="n">
        <f aca="false">DI24*①통합_가정!$E$144</f>
        <v>641.688364288645</v>
      </c>
      <c r="DJ26" s="37" t="n">
        <f aca="false">DJ24*①통합_가정!$E$144</f>
        <v>620.988739634172</v>
      </c>
      <c r="DK26" s="37" t="n">
        <f aca="false">DK24*①통합_가정!$E$144</f>
        <v>641.688364288645</v>
      </c>
      <c r="DL26" s="37" t="n">
        <f aca="false">DL24*①통합_가정!$E$144</f>
        <v>620.988739634172</v>
      </c>
      <c r="DM26" s="37" t="n">
        <f aca="false">DM24*①통합_가정!$E$144</f>
        <v>641.688364288645</v>
      </c>
      <c r="DN26" s="37" t="n">
        <f aca="false">DN24*①통합_가정!$E$144</f>
        <v>641.688364288645</v>
      </c>
      <c r="DO26" s="37" t="n">
        <f aca="false">DO24*①통합_가정!$E$144</f>
        <v>620.988739634172</v>
      </c>
      <c r="DP26" s="37" t="n">
        <f aca="false">DP24*①통합_가정!$E$144</f>
        <v>641.688364288645</v>
      </c>
      <c r="DQ26" s="37" t="n">
        <f aca="false">DQ24*①통합_가정!$E$144</f>
        <v>620.988739634172</v>
      </c>
      <c r="DR26" s="37" t="n">
        <f aca="false">DR24*①통합_가정!$E$144</f>
        <v>641.688364288645</v>
      </c>
      <c r="DS26" s="37" t="n">
        <f aca="false">DS24*①통합_가정!$E$144</f>
        <v>641.688364288645</v>
      </c>
      <c r="DT26" s="37" t="n">
        <f aca="false">DT24*①통합_가정!$E$144</f>
        <v>600.2891149797</v>
      </c>
      <c r="DU26" s="37" t="n">
        <f aca="false">DU24*①통합_가정!$E$144</f>
        <v>0</v>
      </c>
      <c r="DV26" s="37" t="n">
        <f aca="false">DV24*①통합_가정!$E$144</f>
        <v>0</v>
      </c>
      <c r="DW26" s="37" t="n">
        <f aca="false">DW24*①통합_가정!$E$144</f>
        <v>0</v>
      </c>
      <c r="DX26" s="37" t="n">
        <f aca="false">DX24*①통합_가정!$E$144</f>
        <v>0</v>
      </c>
      <c r="DY26" s="37" t="n">
        <f aca="false">DY24*①통합_가정!$E$144</f>
        <v>0</v>
      </c>
      <c r="DZ26" s="37" t="n">
        <f aca="false">DZ24*①통합_가정!$E$144</f>
        <v>0</v>
      </c>
      <c r="EA26" s="37" t="n">
        <f aca="false">EA24*①통합_가정!$E$144</f>
        <v>0</v>
      </c>
      <c r="EB26" s="37" t="n">
        <f aca="false">EB24*①통합_가정!$E$144</f>
        <v>0</v>
      </c>
      <c r="EC26" s="37" t="n">
        <f aca="false">EC24*①통합_가정!$E$144</f>
        <v>0</v>
      </c>
      <c r="ED26" s="37" t="n">
        <f aca="false">ED24*①통합_가정!$E$144</f>
        <v>0</v>
      </c>
      <c r="EE26" s="37" t="n">
        <f aca="false">EE24*①통합_가정!$E$144</f>
        <v>0</v>
      </c>
      <c r="EF26" s="37" t="n">
        <f aca="false">EF24*①통합_가정!$E$144</f>
        <v>0</v>
      </c>
    </row>
    <row r="27" customFormat="false" ht="15" hidden="false" customHeight="false" outlineLevel="0" collapsed="false">
      <c r="A27" s="36" t="s">
        <v>582</v>
      </c>
      <c r="B27" s="278" t="s">
        <v>21</v>
      </c>
      <c r="C27" s="279" t="n">
        <f aca="false">SUM(E27:EF27)</f>
        <v>214271.357523264</v>
      </c>
      <c r="E27" s="37" t="n">
        <f aca="false">(E14=1)*①통합_가정!$F$38*①통합_가정!$E$148*①통합_가정!$E$159*CHOOSE(MIN(MAX(E16,1),3),①통합_가정!$E$160,①통합_가정!$E$161,①통합_가정!$E$162)*E18/1000000*(1+①통합_가정!$E$155)^(MAX(E16,1)-1)</f>
        <v>0</v>
      </c>
      <c r="F27" s="37" t="n">
        <f aca="false">(F14=1)*①통합_가정!$F$38*①통합_가정!$E$148*①통합_가정!$E$159*CHOOSE(MIN(MAX(F16,1),3),①통합_가정!$E$160,①통합_가정!$E$161,①통합_가정!$E$162)*F18/1000000*(1+①통합_가정!$E$155)^(MAX(F16,1)-1)</f>
        <v>0</v>
      </c>
      <c r="G27" s="37" t="n">
        <f aca="false">(G14=1)*①통합_가정!$F$38*①통합_가정!$E$148*①통합_가정!$E$159*CHOOSE(MIN(MAX(G16,1),3),①통합_가정!$E$160,①통합_가정!$E$161,①통합_가정!$E$162)*G18/1000000*(1+①통합_가정!$E$155)^(MAX(G16,1)-1)</f>
        <v>0</v>
      </c>
      <c r="H27" s="37" t="n">
        <f aca="false">(H14=1)*①통합_가정!$F$38*①통합_가정!$E$148*①통합_가정!$E$159*CHOOSE(MIN(MAX(H16,1),3),①통합_가정!$E$160,①통합_가정!$E$161,①통합_가정!$E$162)*H18/1000000*(1+①통합_가정!$E$155)^(MAX(H16,1)-1)</f>
        <v>0</v>
      </c>
      <c r="I27" s="37" t="n">
        <f aca="false">(I14=1)*①통합_가정!$F$38*①통합_가정!$E$148*①통합_가정!$E$159*CHOOSE(MIN(MAX(I16,1),3),①통합_가정!$E$160,①통합_가정!$E$161,①통합_가정!$E$162)*I18/1000000*(1+①통합_가정!$E$155)^(MAX(I16,1)-1)</f>
        <v>0</v>
      </c>
      <c r="J27" s="37" t="n">
        <f aca="false">(J14=1)*①통합_가정!$F$38*①통합_가정!$E$148*①통합_가정!$E$159*CHOOSE(MIN(MAX(J16,1),3),①통합_가정!$E$160,①통합_가정!$E$161,①통합_가정!$E$162)*J18/1000000*(1+①통합_가정!$E$155)^(MAX(J16,1)-1)</f>
        <v>0</v>
      </c>
      <c r="K27" s="37" t="n">
        <f aca="false">(K14=1)*①통합_가정!$F$38*①통합_가정!$E$148*①통합_가정!$E$159*CHOOSE(MIN(MAX(K16,1),3),①통합_가정!$E$160,①통합_가정!$E$161,①통합_가정!$E$162)*K18/1000000*(1+①통합_가정!$E$155)^(MAX(K16,1)-1)</f>
        <v>0</v>
      </c>
      <c r="L27" s="37" t="n">
        <f aca="false">(L14=1)*①통합_가정!$F$38*①통합_가정!$E$148*①통합_가정!$E$159*CHOOSE(MIN(MAX(L16,1),3),①통합_가정!$E$160,①통합_가정!$E$161,①통합_가정!$E$162)*L18/1000000*(1+①통합_가정!$E$155)^(MAX(L16,1)-1)</f>
        <v>0</v>
      </c>
      <c r="M27" s="37" t="n">
        <f aca="false">(M14=1)*①통합_가정!$F$38*①통합_가정!$E$148*①통합_가정!$E$159*CHOOSE(MIN(MAX(M16,1),3),①통합_가정!$E$160,①통합_가정!$E$161,①통합_가정!$E$162)*M18/1000000*(1+①통합_가정!$E$155)^(MAX(M16,1)-1)</f>
        <v>0</v>
      </c>
      <c r="N27" s="37" t="n">
        <f aca="false">(N14=1)*①통합_가정!$F$38*①통합_가정!$E$148*①통합_가정!$E$159*CHOOSE(MIN(MAX(N16,1),3),①통합_가정!$E$160,①통합_가정!$E$161,①통합_가정!$E$162)*N18/1000000*(1+①통합_가정!$E$155)^(MAX(N16,1)-1)</f>
        <v>0</v>
      </c>
      <c r="O27" s="37" t="n">
        <f aca="false">(O14=1)*①통합_가정!$F$38*①통합_가정!$E$148*①통합_가정!$E$159*CHOOSE(MIN(MAX(O16,1),3),①통합_가정!$E$160,①통합_가정!$E$161,①통합_가정!$E$162)*O18/1000000*(1+①통합_가정!$E$155)^(MAX(O16,1)-1)</f>
        <v>0</v>
      </c>
      <c r="P27" s="37" t="n">
        <f aca="false">(P14=1)*①통합_가정!$F$38*①통합_가정!$E$148*①통합_가정!$E$159*CHOOSE(MIN(MAX(P16,1),3),①통합_가정!$E$160,①통합_가정!$E$161,①통합_가정!$E$162)*P18/1000000*(1+①통합_가정!$E$155)^(MAX(P16,1)-1)</f>
        <v>0</v>
      </c>
      <c r="Q27" s="37" t="n">
        <f aca="false">(Q14=1)*①통합_가정!$F$38*①통합_가정!$E$148*①통합_가정!$E$159*CHOOSE(MIN(MAX(Q16,1),3),①통합_가정!$E$160,①통합_가정!$E$161,①통합_가정!$E$162)*Q18/1000000*(1+①통합_가정!$E$155)^(MAX(Q16,1)-1)</f>
        <v>0</v>
      </c>
      <c r="R27" s="37" t="n">
        <f aca="false">(R14=1)*①통합_가정!$F$38*①통합_가정!$E$148*①통합_가정!$E$159*CHOOSE(MIN(MAX(R16,1),3),①통합_가정!$E$160,①통합_가정!$E$161,①통합_가정!$E$162)*R18/1000000*(1+①통합_가정!$E$155)^(MAX(R16,1)-1)</f>
        <v>0</v>
      </c>
      <c r="S27" s="37" t="n">
        <f aca="false">(S14=1)*①통합_가정!$F$38*①통합_가정!$E$148*①통합_가정!$E$159*CHOOSE(MIN(MAX(S16,1),3),①통합_가정!$E$160,①통합_가정!$E$161,①통합_가정!$E$162)*S18/1000000*(1+①통합_가정!$E$155)^(MAX(S16,1)-1)</f>
        <v>0</v>
      </c>
      <c r="T27" s="37" t="n">
        <f aca="false">(T14=1)*①통합_가정!$F$38*①통합_가정!$E$148*①통합_가정!$E$159*CHOOSE(MIN(MAX(T16,1),3),①통합_가정!$E$160,①통합_가정!$E$161,①통합_가정!$E$162)*T18/1000000*(1+①통합_가정!$E$155)^(MAX(T16,1)-1)</f>
        <v>0</v>
      </c>
      <c r="U27" s="37" t="n">
        <f aca="false">(U14=1)*①통합_가정!$F$38*①통합_가정!$E$148*①통합_가정!$E$159*CHOOSE(MIN(MAX(U16,1),3),①통합_가정!$E$160,①통합_가정!$E$161,①통합_가정!$E$162)*U18/1000000*(1+①통합_가정!$E$155)^(MAX(U16,1)-1)</f>
        <v>0</v>
      </c>
      <c r="V27" s="37" t="n">
        <f aca="false">(V14=1)*①통합_가정!$F$38*①통합_가정!$E$148*①통합_가정!$E$159*CHOOSE(MIN(MAX(V16,1),3),①통합_가정!$E$160,①통합_가정!$E$161,①통합_가정!$E$162)*V18/1000000*(1+①통합_가정!$E$155)^(MAX(V16,1)-1)</f>
        <v>0</v>
      </c>
      <c r="W27" s="37" t="n">
        <f aca="false">(W14=1)*①통합_가정!$F$38*①통합_가정!$E$148*①통합_가정!$E$159*CHOOSE(MIN(MAX(W16,1),3),①통합_가정!$E$160,①통합_가정!$E$161,①통합_가정!$E$162)*W18/1000000*(1+①통합_가정!$E$155)^(MAX(W16,1)-1)</f>
        <v>0</v>
      </c>
      <c r="X27" s="37" t="n">
        <f aca="false">(X14=1)*①통합_가정!$F$38*①통합_가정!$E$148*①통합_가정!$E$159*CHOOSE(MIN(MAX(X16,1),3),①통합_가정!$E$160,①통합_가정!$E$161,①통합_가정!$E$162)*X18/1000000*(1+①통합_가정!$E$155)^(MAX(X16,1)-1)</f>
        <v>0</v>
      </c>
      <c r="Y27" s="37" t="n">
        <f aca="false">(Y14=1)*①통합_가정!$F$38*①통합_가정!$E$148*①통합_가정!$E$159*CHOOSE(MIN(MAX(Y16,1),3),①통합_가정!$E$160,①통합_가정!$E$161,①통합_가정!$E$162)*Y18/1000000*(1+①통합_가정!$E$155)^(MAX(Y16,1)-1)</f>
        <v>0</v>
      </c>
      <c r="Z27" s="37" t="n">
        <f aca="false">(Z14=1)*①통합_가정!$F$38*①통합_가정!$E$148*①통합_가정!$E$159*CHOOSE(MIN(MAX(Z16,1),3),①통합_가정!$E$160,①통합_가정!$E$161,①통합_가정!$E$162)*Z18/1000000*(1+①통합_가정!$E$155)^(MAX(Z16,1)-1)</f>
        <v>0</v>
      </c>
      <c r="AA27" s="37" t="n">
        <f aca="false">(AA14=1)*①통합_가정!$F$38*①통합_가정!$E$148*①통합_가정!$E$159*CHOOSE(MIN(MAX(AA16,1),3),①통합_가정!$E$160,①통합_가정!$E$161,①통합_가정!$E$162)*AA18/1000000*(1+①통합_가정!$E$155)^(MAX(AA16,1)-1)</f>
        <v>0</v>
      </c>
      <c r="AB27" s="37" t="n">
        <f aca="false">(AB14=1)*①통합_가정!$F$38*①통합_가정!$E$148*①통합_가정!$E$159*CHOOSE(MIN(MAX(AB16,1),3),①통합_가정!$E$160,①통합_가정!$E$161,①통합_가정!$E$162)*AB18/1000000*(1+①통합_가정!$E$155)^(MAX(AB16,1)-1)</f>
        <v>0</v>
      </c>
      <c r="AC27" s="37" t="n">
        <f aca="false">(AC14=1)*①통합_가정!$F$38*①통합_가정!$E$148*①통합_가정!$E$159*CHOOSE(MIN(MAX(AC16,1),3),①통합_가정!$E$160,①통합_가정!$E$161,①통합_가정!$E$162)*AC18/1000000*(1+①통합_가정!$E$155)^(MAX(AC16,1)-1)</f>
        <v>0</v>
      </c>
      <c r="AD27" s="37" t="n">
        <f aca="false">(AD14=1)*①통합_가정!$F$38*①통합_가정!$E$148*①통합_가정!$E$159*CHOOSE(MIN(MAX(AD16,1),3),①통합_가정!$E$160,①통합_가정!$E$161,①통합_가정!$E$162)*AD18/1000000*(1+①통합_가정!$E$155)^(MAX(AD16,1)-1)</f>
        <v>0</v>
      </c>
      <c r="AE27" s="37" t="n">
        <f aca="false">(AE14=1)*①통합_가정!$F$38*①통합_가정!$E$148*①통합_가정!$E$159*CHOOSE(MIN(MAX(AE16,1),3),①통합_가정!$E$160,①통합_가정!$E$161,①통합_가정!$E$162)*AE18/1000000*(1+①통합_가정!$E$155)^(MAX(AE16,1)-1)</f>
        <v>0</v>
      </c>
      <c r="AF27" s="37" t="n">
        <f aca="false">(AF14=1)*①통합_가정!$F$38*①통합_가정!$E$148*①통합_가정!$E$159*CHOOSE(MIN(MAX(AF16,1),3),①통합_가정!$E$160,①통합_가정!$E$161,①통합_가정!$E$162)*AF18/1000000*(1+①통합_가정!$E$155)^(MAX(AF16,1)-1)</f>
        <v>0</v>
      </c>
      <c r="AG27" s="37" t="n">
        <f aca="false">(AG14=1)*①통합_가정!$F$38*①통합_가정!$E$148*①통합_가정!$E$159*CHOOSE(MIN(MAX(AG16,1),3),①통합_가정!$E$160,①통합_가정!$E$161,①통합_가정!$E$162)*AG18/1000000*(1+①통합_가정!$E$155)^(MAX(AG16,1)-1)</f>
        <v>0</v>
      </c>
      <c r="AH27" s="37" t="n">
        <f aca="false">(AH14=1)*①통합_가정!$F$38*①통합_가정!$E$148*①통합_가정!$E$159*CHOOSE(MIN(MAX(AH16,1),3),①통합_가정!$E$160,①통합_가정!$E$161,①통합_가정!$E$162)*AH18/1000000*(1+①통합_가정!$E$155)^(MAX(AH16,1)-1)</f>
        <v>0</v>
      </c>
      <c r="AI27" s="37" t="n">
        <f aca="false">(AI14=1)*①통합_가정!$F$38*①통합_가정!$E$148*①통합_가정!$E$159*CHOOSE(MIN(MAX(AI16,1),3),①통합_가정!$E$160,①통합_가정!$E$161,①통합_가정!$E$162)*AI18/1000000*(1+①통합_가정!$E$155)^(MAX(AI16,1)-1)</f>
        <v>0</v>
      </c>
      <c r="AJ27" s="37" t="n">
        <f aca="false">(AJ14=1)*①통합_가정!$F$38*①통합_가정!$E$148*①통합_가정!$E$159*CHOOSE(MIN(MAX(AJ16,1),3),①통합_가정!$E$160,①통합_가정!$E$161,①통합_가정!$E$162)*AJ18/1000000*(1+①통합_가정!$E$155)^(MAX(AJ16,1)-1)</f>
        <v>0</v>
      </c>
      <c r="AK27" s="37" t="n">
        <f aca="false">(AK14=1)*①통합_가정!$F$38*①통합_가정!$E$148*①통합_가정!$E$159*CHOOSE(MIN(MAX(AK16,1),3),①통합_가정!$E$160,①통합_가정!$E$161,①통합_가정!$E$162)*AK18/1000000*(1+①통합_가정!$E$155)^(MAX(AK16,1)-1)</f>
        <v>0</v>
      </c>
      <c r="AL27" s="37" t="n">
        <f aca="false">(AL14=1)*①통합_가정!$F$38*①통합_가정!$E$148*①통합_가정!$E$159*CHOOSE(MIN(MAX(AL16,1),3),①통합_가정!$E$160,①통합_가정!$E$161,①통합_가정!$E$162)*AL18/1000000*(1+①통합_가정!$E$155)^(MAX(AL16,1)-1)</f>
        <v>0</v>
      </c>
      <c r="AM27" s="37" t="n">
        <f aca="false">(AM14=1)*①통합_가정!$F$38*①통합_가정!$E$148*①통합_가정!$E$159*CHOOSE(MIN(MAX(AM16,1),3),①통합_가정!$E$160,①통합_가정!$E$161,①통합_가정!$E$162)*AM18/1000000*(1+①통합_가정!$E$155)^(MAX(AM16,1)-1)</f>
        <v>0</v>
      </c>
      <c r="AN27" s="37" t="n">
        <f aca="false">(AN14=1)*①통합_가정!$F$38*①통합_가정!$E$148*①통합_가정!$E$159*CHOOSE(MIN(MAX(AN16,1),3),①통합_가정!$E$160,①통합_가정!$E$161,①통합_가정!$E$162)*AN18/1000000*(1+①통합_가정!$E$155)^(MAX(AN16,1)-1)</f>
        <v>0</v>
      </c>
      <c r="AO27" s="37" t="n">
        <f aca="false">(AO14=1)*①통합_가정!$F$38*①통합_가정!$E$148*①통합_가정!$E$159*CHOOSE(MIN(MAX(AO16,1),3),①통합_가정!$E$160,①통합_가정!$E$161,①통합_가정!$E$162)*AO18/1000000*(1+①통합_가정!$E$155)^(MAX(AO16,1)-1)</f>
        <v>0</v>
      </c>
      <c r="AP27" s="37" t="n">
        <f aca="false">(AP14=1)*①통합_가정!$F$38*①통합_가정!$E$148*①통합_가정!$E$159*CHOOSE(MIN(MAX(AP16,1),3),①통합_가정!$E$160,①통합_가정!$E$161,①통합_가정!$E$162)*AP18/1000000*(1+①통합_가정!$E$155)^(MAX(AP16,1)-1)</f>
        <v>0</v>
      </c>
      <c r="AQ27" s="37" t="n">
        <f aca="false">(AQ14=1)*①통합_가정!$F$38*①통합_가정!$E$148*①통합_가정!$E$159*CHOOSE(MIN(MAX(AQ16,1),3),①통합_가정!$E$160,①통합_가정!$E$161,①통합_가정!$E$162)*AQ18/1000000*(1+①통합_가정!$E$155)^(MAX(AQ16,1)-1)</f>
        <v>0</v>
      </c>
      <c r="AR27" s="37" t="n">
        <f aca="false">(AR14=1)*①통합_가정!$F$38*①통합_가정!$E$148*①통합_가정!$E$159*CHOOSE(MIN(MAX(AR16,1),3),①통합_가정!$E$160,①통합_가정!$E$161,①통합_가정!$E$162)*AR18/1000000*(1+①통합_가정!$E$155)^(MAX(AR16,1)-1)</f>
        <v>0</v>
      </c>
      <c r="AS27" s="37" t="n">
        <f aca="false">(AS14=1)*①통합_가정!$F$38*①통합_가정!$E$148*①통합_가정!$E$159*CHOOSE(MIN(MAX(AS16,1),3),①통합_가정!$E$160,①통합_가정!$E$161,①통합_가정!$E$162)*AS18/1000000*(1+①통합_가정!$E$155)^(MAX(AS16,1)-1)</f>
        <v>0</v>
      </c>
      <c r="AT27" s="37" t="n">
        <f aca="false">(AT14=1)*①통합_가정!$F$38*①통합_가정!$E$148*①통합_가정!$E$159*CHOOSE(MIN(MAX(AT16,1),3),①통합_가정!$E$160,①통합_가정!$E$161,①통합_가정!$E$162)*AT18/1000000*(1+①통합_가정!$E$155)^(MAX(AT16,1)-1)</f>
        <v>0</v>
      </c>
      <c r="AU27" s="37" t="n">
        <f aca="false">(AU14=1)*①통합_가정!$F$38*①통합_가정!$E$148*①통합_가정!$E$159*CHOOSE(MIN(MAX(AU16,1),3),①통합_가정!$E$160,①통합_가정!$E$161,①통합_가정!$E$162)*AU18/1000000*(1+①통합_가정!$E$155)^(MAX(AU16,1)-1)</f>
        <v>0</v>
      </c>
      <c r="AV27" s="37" t="n">
        <f aca="false">(AV14=1)*①통합_가정!$F$38*①통합_가정!$E$148*①통합_가정!$E$159*CHOOSE(MIN(MAX(AV16,1),3),①통합_가정!$E$160,①통합_가정!$E$161,①통합_가정!$E$162)*AV18/1000000*(1+①통합_가정!$E$155)^(MAX(AV16,1)-1)</f>
        <v>0</v>
      </c>
      <c r="AW27" s="37" t="n">
        <f aca="false">(AW14=1)*①통합_가정!$F$38*①통합_가정!$E$148*①통합_가정!$E$159*CHOOSE(MIN(MAX(AW16,1),3),①통합_가정!$E$160,①통합_가정!$E$161,①통합_가정!$E$162)*AW18/1000000*(1+①통합_가정!$E$155)^(MAX(AW16,1)-1)</f>
        <v>0</v>
      </c>
      <c r="AX27" s="37" t="n">
        <f aca="false">(AX14=1)*①통합_가정!$F$38*①통합_가정!$E$148*①통합_가정!$E$159*CHOOSE(MIN(MAX(AX16,1),3),①통합_가정!$E$160,①통합_가정!$E$161,①통합_가정!$E$162)*AX18/1000000*(1+①통합_가정!$E$155)^(MAX(AX16,1)-1)</f>
        <v>0</v>
      </c>
      <c r="AY27" s="37" t="n">
        <f aca="false">(AY14=1)*①통합_가정!$F$38*①통합_가정!$E$148*①통합_가정!$E$159*CHOOSE(MIN(MAX(AY16,1),3),①통합_가정!$E$160,①통합_가정!$E$161,①통합_가정!$E$162)*AY18/1000000*(1+①통합_가정!$E$155)^(MAX(AY16,1)-1)</f>
        <v>0</v>
      </c>
      <c r="AZ27" s="37" t="n">
        <f aca="false">(AZ14=1)*①통합_가정!$F$38*①통합_가정!$E$148*①통합_가정!$E$159*CHOOSE(MIN(MAX(AZ16,1),3),①통합_가정!$E$160,①통합_가정!$E$161,①통합_가정!$E$162)*AZ18/1000000*(1+①통합_가정!$E$155)^(MAX(AZ16,1)-1)</f>
        <v>0</v>
      </c>
      <c r="BA27" s="37" t="n">
        <f aca="false">(BA14=1)*①통합_가정!$F$38*①통합_가정!$E$148*①통합_가정!$E$159*CHOOSE(MIN(MAX(BA16,1),3),①통합_가정!$E$160,①통합_가정!$E$161,①통합_가정!$E$162)*BA18/1000000*(1+①통합_가정!$E$155)^(MAX(BA16,1)-1)</f>
        <v>0</v>
      </c>
      <c r="BB27" s="37" t="n">
        <f aca="false">(BB14=1)*①통합_가정!$F$38*①통합_가정!$E$148*①통합_가정!$E$159*CHOOSE(MIN(MAX(BB16,1),3),①통합_가정!$E$160,①통합_가정!$E$161,①통합_가정!$E$162)*BB18/1000000*(1+①통합_가정!$E$155)^(MAX(BB16,1)-1)</f>
        <v>0</v>
      </c>
      <c r="BC27" s="37" t="n">
        <f aca="false">(BC14=1)*①통합_가정!$F$38*①통합_가정!$E$148*①통합_가정!$E$159*CHOOSE(MIN(MAX(BC16,1),3),①통합_가정!$E$160,①통합_가정!$E$161,①통합_가정!$E$162)*BC18/1000000*(1+①통합_가정!$E$155)^(MAX(BC16,1)-1)</f>
        <v>0</v>
      </c>
      <c r="BD27" s="37" t="n">
        <f aca="false">(BD14=1)*①통합_가정!$F$38*①통합_가정!$E$148*①통합_가정!$E$159*CHOOSE(MIN(MAX(BD16,1),3),①통합_가정!$E$160,①통합_가정!$E$161,①통합_가정!$E$162)*BD18/1000000*(1+①통합_가정!$E$155)^(MAX(BD16,1)-1)</f>
        <v>0</v>
      </c>
      <c r="BE27" s="37" t="n">
        <f aca="false">(BE14=1)*①통합_가정!$F$38*①통합_가정!$E$148*①통합_가정!$E$159*CHOOSE(MIN(MAX(BE16,1),3),①통합_가정!$E$160,①통합_가정!$E$161,①통합_가정!$E$162)*BE18/1000000*(1+①통합_가정!$E$155)^(MAX(BE16,1)-1)</f>
        <v>0</v>
      </c>
      <c r="BF27" s="37" t="n">
        <f aca="false">(BF14=1)*①통합_가정!$F$38*①통합_가정!$E$148*①통합_가정!$E$159*CHOOSE(MIN(MAX(BF16,1),3),①통합_가정!$E$160,①통합_가정!$E$161,①통합_가정!$E$162)*BF18/1000000*(1+①통합_가정!$E$155)^(MAX(BF16,1)-1)</f>
        <v>0</v>
      </c>
      <c r="BG27" s="37" t="n">
        <f aca="false">(BG14=1)*①통합_가정!$F$38*①통합_가정!$E$148*①통합_가정!$E$159*CHOOSE(MIN(MAX(BG16,1),3),①통합_가정!$E$160,①통합_가정!$E$161,①통합_가정!$E$162)*BG18/1000000*(1+①통합_가정!$E$155)^(MAX(BG16,1)-1)</f>
        <v>0</v>
      </c>
      <c r="BH27" s="37" t="n">
        <f aca="false">(BH14=1)*①통합_가정!$F$38*①통합_가정!$E$148*①통합_가정!$E$159*CHOOSE(MIN(MAX(BH16,1),3),①통합_가정!$E$160,①통합_가정!$E$161,①통합_가정!$E$162)*BH18/1000000*(1+①통합_가정!$E$155)^(MAX(BH16,1)-1)</f>
        <v>0</v>
      </c>
      <c r="BI27" s="37" t="n">
        <f aca="false">(BI14=1)*①통합_가정!$F$38*①통합_가정!$E$148*①통합_가정!$E$159*CHOOSE(MIN(MAX(BI16,1),3),①통합_가정!$E$160,①통합_가정!$E$161,①통합_가정!$E$162)*BI18/1000000*(1+①통합_가정!$E$155)^(MAX(BI16,1)-1)</f>
        <v>0</v>
      </c>
      <c r="BJ27" s="37" t="n">
        <f aca="false">(BJ14=1)*①통합_가정!$F$38*①통합_가정!$E$148*①통합_가정!$E$159*CHOOSE(MIN(MAX(BJ16,1),3),①통합_가정!$E$160,①통합_가정!$E$161,①통합_가정!$E$162)*BJ18/1000000*(1+①통합_가정!$E$155)^(MAX(BJ16,1)-1)</f>
        <v>0</v>
      </c>
      <c r="BK27" s="37" t="n">
        <f aca="false">(BK14=1)*①통합_가정!$F$38*①통합_가정!$E$148*①통합_가정!$E$159*CHOOSE(MIN(MAX(BK16,1),3),①통합_가정!$E$160,①통합_가정!$E$161,①통합_가정!$E$162)*BK18/1000000*(1+①통합_가정!$E$155)^(MAX(BK16,1)-1)</f>
        <v>0</v>
      </c>
      <c r="BL27" s="37" t="n">
        <f aca="false">(BL14=1)*①통합_가정!$F$38*①통합_가정!$E$148*①통합_가정!$E$159*CHOOSE(MIN(MAX(BL16,1),3),①통합_가정!$E$160,①통합_가정!$E$161,①통합_가정!$E$162)*BL18/1000000*(1+①통합_가정!$E$155)^(MAX(BL16,1)-1)</f>
        <v>0</v>
      </c>
      <c r="BM27" s="37" t="n">
        <f aca="false">(BM14=1)*①통합_가정!$F$38*①통합_가정!$E$148*①통합_가정!$E$159*CHOOSE(MIN(MAX(BM16,1),3),①통합_가정!$E$160,①통합_가정!$E$161,①통합_가정!$E$162)*BM18/1000000*(1+①통합_가정!$E$155)^(MAX(BM16,1)-1)</f>
        <v>3107.13</v>
      </c>
      <c r="BN27" s="37" t="n">
        <f aca="false">(BN14=1)*①통합_가정!$F$38*①통합_가정!$E$148*①통합_가정!$E$159*CHOOSE(MIN(MAX(BN16,1),3),①통합_가정!$E$160,①통합_가정!$E$161,①통합_가정!$E$162)*BN18/1000000*(1+①통합_가정!$E$155)^(MAX(BN16,1)-1)</f>
        <v>3006.9</v>
      </c>
      <c r="BO27" s="37" t="n">
        <f aca="false">(BO14=1)*①통합_가정!$F$38*①통합_가정!$E$148*①통합_가정!$E$159*CHOOSE(MIN(MAX(BO16,1),3),①통합_가정!$E$160,①통합_가정!$E$161,①통합_가정!$E$162)*BO18/1000000*(1+①통합_가정!$E$155)^(MAX(BO16,1)-1)</f>
        <v>3107.13</v>
      </c>
      <c r="BP27" s="37" t="n">
        <f aca="false">(BP14=1)*①통합_가정!$F$38*①통합_가정!$E$148*①통합_가정!$E$159*CHOOSE(MIN(MAX(BP16,1),3),①통합_가정!$E$160,①통합_가정!$E$161,①통합_가정!$E$162)*BP18/1000000*(1+①통합_가정!$E$155)^(MAX(BP16,1)-1)</f>
        <v>3006.9</v>
      </c>
      <c r="BQ27" s="37" t="n">
        <f aca="false">(BQ14=1)*①통합_가정!$F$38*①통합_가정!$E$148*①통합_가정!$E$159*CHOOSE(MIN(MAX(BQ16,1),3),①통합_가정!$E$160,①통합_가정!$E$161,①통합_가정!$E$162)*BQ18/1000000*(1+①통합_가정!$E$155)^(MAX(BQ16,1)-1)</f>
        <v>3107.13</v>
      </c>
      <c r="BR27" s="37" t="n">
        <f aca="false">(BR14=1)*①통합_가정!$F$38*①통합_가정!$E$148*①통합_가정!$E$159*CHOOSE(MIN(MAX(BR16,1),3),①통합_가정!$E$160,①통합_가정!$E$161,①통합_가정!$E$162)*BR18/1000000*(1+①통합_가정!$E$155)^(MAX(BR16,1)-1)</f>
        <v>3107.13</v>
      </c>
      <c r="BS27" s="37" t="n">
        <f aca="false">(BS14=1)*①통합_가정!$F$38*①통합_가정!$E$148*①통합_가정!$E$159*CHOOSE(MIN(MAX(BS16,1),3),①통합_가정!$E$160,①통합_가정!$E$161,①통합_가정!$E$162)*BS18/1000000*(1+①통합_가정!$E$155)^(MAX(BS16,1)-1)</f>
        <v>3006.9</v>
      </c>
      <c r="BT27" s="37" t="n">
        <f aca="false">(BT14=1)*①통합_가정!$F$38*①통합_가정!$E$148*①통합_가정!$E$159*CHOOSE(MIN(MAX(BT16,1),3),①통합_가정!$E$160,①통합_가정!$E$161,①통합_가정!$E$162)*BT18/1000000*(1+①통합_가정!$E$155)^(MAX(BT16,1)-1)</f>
        <v>3107.13</v>
      </c>
      <c r="BU27" s="37" t="n">
        <f aca="false">(BU14=1)*①통합_가정!$F$38*①통합_가정!$E$148*①통합_가정!$E$159*CHOOSE(MIN(MAX(BU16,1),3),①통합_가정!$E$160,①통합_가정!$E$161,①통합_가정!$E$162)*BU18/1000000*(1+①통합_가정!$E$155)^(MAX(BU16,1)-1)</f>
        <v>3006.9</v>
      </c>
      <c r="BV27" s="37" t="n">
        <f aca="false">(BV14=1)*①통합_가정!$F$38*①통합_가정!$E$148*①통합_가정!$E$159*CHOOSE(MIN(MAX(BV16,1),3),①통합_가정!$E$160,①통합_가정!$E$161,①통합_가정!$E$162)*BV18/1000000*(1+①통합_가정!$E$155)^(MAX(BV16,1)-1)</f>
        <v>3107.13</v>
      </c>
      <c r="BW27" s="37" t="n">
        <f aca="false">(BW14=1)*①통합_가정!$F$38*①통합_가정!$E$148*①통합_가정!$E$159*CHOOSE(MIN(MAX(BW16,1),3),①통합_가정!$E$160,①통합_가정!$E$161,①통합_가정!$E$162)*BW18/1000000*(1+①통합_가정!$E$155)^(MAX(BW16,1)-1)</f>
        <v>3107.13</v>
      </c>
      <c r="BX27" s="37" t="n">
        <f aca="false">(BX14=1)*①통합_가정!$F$38*①통합_가정!$E$148*①통합_가정!$E$159*CHOOSE(MIN(MAX(BX16,1),3),①통합_가정!$E$160,①통합_가정!$E$161,①통합_가정!$E$162)*BX18/1000000*(1+①통합_가정!$E$155)^(MAX(BX16,1)-1)</f>
        <v>2906.67</v>
      </c>
      <c r="BY27" s="37" t="n">
        <f aca="false">(BY14=1)*①통합_가정!$F$38*①통합_가정!$E$148*①통합_가정!$E$159*CHOOSE(MIN(MAX(BY16,1),3),①통합_가정!$E$160,①통합_가정!$E$161,①통합_가정!$E$162)*BY18/1000000*(1+①통합_가정!$E$155)^(MAX(BY16,1)-1)</f>
        <v>3656.853</v>
      </c>
      <c r="BZ27" s="37" t="n">
        <f aca="false">(BZ14=1)*①통합_가정!$F$38*①통합_가정!$E$148*①통합_가정!$E$159*CHOOSE(MIN(MAX(BZ16,1),3),①통합_가정!$E$160,①통합_가정!$E$161,①통합_가정!$E$162)*BZ18/1000000*(1+①통합_가정!$E$155)^(MAX(BZ16,1)-1)</f>
        <v>3538.89</v>
      </c>
      <c r="CA27" s="37" t="n">
        <f aca="false">(CA14=1)*①통합_가정!$F$38*①통합_가정!$E$148*①통합_가정!$E$159*CHOOSE(MIN(MAX(CA16,1),3),①통합_가정!$E$160,①통합_가정!$E$161,①통합_가정!$E$162)*CA18/1000000*(1+①통합_가정!$E$155)^(MAX(CA16,1)-1)</f>
        <v>3656.853</v>
      </c>
      <c r="CB27" s="37" t="n">
        <f aca="false">(CB14=1)*①통합_가정!$F$38*①통합_가정!$E$148*①통합_가정!$E$159*CHOOSE(MIN(MAX(CB16,1),3),①통합_가정!$E$160,①통합_가정!$E$161,①통합_가정!$E$162)*CB18/1000000*(1+①통합_가정!$E$155)^(MAX(CB16,1)-1)</f>
        <v>3538.89</v>
      </c>
      <c r="CC27" s="37" t="n">
        <f aca="false">(CC14=1)*①통합_가정!$F$38*①통합_가정!$E$148*①통합_가정!$E$159*CHOOSE(MIN(MAX(CC16,1),3),①통합_가정!$E$160,①통합_가정!$E$161,①통합_가정!$E$162)*CC18/1000000*(1+①통합_가정!$E$155)^(MAX(CC16,1)-1)</f>
        <v>3656.853</v>
      </c>
      <c r="CD27" s="37" t="n">
        <f aca="false">(CD14=1)*①통합_가정!$F$38*①통합_가정!$E$148*①통합_가정!$E$159*CHOOSE(MIN(MAX(CD16,1),3),①통합_가정!$E$160,①통합_가정!$E$161,①통합_가정!$E$162)*CD18/1000000*(1+①통합_가정!$E$155)^(MAX(CD16,1)-1)</f>
        <v>3656.853</v>
      </c>
      <c r="CE27" s="37" t="n">
        <f aca="false">(CE14=1)*①통합_가정!$F$38*①통합_가정!$E$148*①통합_가정!$E$159*CHOOSE(MIN(MAX(CE16,1),3),①통합_가정!$E$160,①통합_가정!$E$161,①통합_가정!$E$162)*CE18/1000000*(1+①통합_가정!$E$155)^(MAX(CE16,1)-1)</f>
        <v>3538.89</v>
      </c>
      <c r="CF27" s="37" t="n">
        <f aca="false">(CF14=1)*①통합_가정!$F$38*①통합_가정!$E$148*①통합_가정!$E$159*CHOOSE(MIN(MAX(CF16,1),3),①통합_가정!$E$160,①통합_가정!$E$161,①통합_가정!$E$162)*CF18/1000000*(1+①통합_가정!$E$155)^(MAX(CF16,1)-1)</f>
        <v>3656.853</v>
      </c>
      <c r="CG27" s="37" t="n">
        <f aca="false">(CG14=1)*①통합_가정!$F$38*①통합_가정!$E$148*①통합_가정!$E$159*CHOOSE(MIN(MAX(CG16,1),3),①통합_가정!$E$160,①통합_가정!$E$161,①통합_가정!$E$162)*CG18/1000000*(1+①통합_가정!$E$155)^(MAX(CG16,1)-1)</f>
        <v>3538.89</v>
      </c>
      <c r="CH27" s="37" t="n">
        <f aca="false">(CH14=1)*①통합_가정!$F$38*①통합_가정!$E$148*①통합_가정!$E$159*CHOOSE(MIN(MAX(CH16,1),3),①통합_가정!$E$160,①통합_가정!$E$161,①통합_가정!$E$162)*CH18/1000000*(1+①통합_가정!$E$155)^(MAX(CH16,1)-1)</f>
        <v>3656.853</v>
      </c>
      <c r="CI27" s="37" t="n">
        <f aca="false">(CI14=1)*①통합_가정!$F$38*①통합_가정!$E$148*①통합_가정!$E$159*CHOOSE(MIN(MAX(CI16,1),3),①통합_가정!$E$160,①통합_가정!$E$161,①통합_가정!$E$162)*CI18/1000000*(1+①통합_가정!$E$155)^(MAX(CI16,1)-1)</f>
        <v>3656.853</v>
      </c>
      <c r="CJ27" s="37" t="n">
        <f aca="false">(CJ14=1)*①통합_가정!$F$38*①통합_가정!$E$148*①통합_가정!$E$159*CHOOSE(MIN(MAX(CJ16,1),3),①통합_가정!$E$160,①통합_가정!$E$161,①통합_가정!$E$162)*CJ18/1000000*(1+①통합_가정!$E$155)^(MAX(CJ16,1)-1)</f>
        <v>3302.964</v>
      </c>
      <c r="CK27" s="37" t="n">
        <f aca="false">(CK14=1)*①통합_가정!$F$38*①통합_가정!$E$148*①통합_가정!$E$159*CHOOSE(MIN(MAX(CK16,1),3),①통합_가정!$E$160,①통합_가정!$E$161,①통합_가정!$E$162)*CK18/1000000*(1+①통합_가정!$E$155)^(MAX(CK16,1)-1)</f>
        <v>3729.99006</v>
      </c>
      <c r="CL27" s="37" t="n">
        <f aca="false">(CL14=1)*①통합_가정!$F$38*①통합_가정!$E$148*①통합_가정!$E$159*CHOOSE(MIN(MAX(CL16,1),3),①통합_가정!$E$160,①통합_가정!$E$161,①통합_가정!$E$162)*CL18/1000000*(1+①통합_가정!$E$155)^(MAX(CL16,1)-1)</f>
        <v>3609.6678</v>
      </c>
      <c r="CM27" s="37" t="n">
        <f aca="false">(CM14=1)*①통합_가정!$F$38*①통합_가정!$E$148*①통합_가정!$E$159*CHOOSE(MIN(MAX(CM16,1),3),①통합_가정!$E$160,①통합_가정!$E$161,①통합_가정!$E$162)*CM18/1000000*(1+①통합_가정!$E$155)^(MAX(CM16,1)-1)</f>
        <v>3729.99006</v>
      </c>
      <c r="CN27" s="37" t="n">
        <f aca="false">(CN14=1)*①통합_가정!$F$38*①통합_가정!$E$148*①통합_가정!$E$159*CHOOSE(MIN(MAX(CN16,1),3),①통합_가정!$E$160,①통합_가정!$E$161,①통합_가정!$E$162)*CN18/1000000*(1+①통합_가정!$E$155)^(MAX(CN16,1)-1)</f>
        <v>3609.6678</v>
      </c>
      <c r="CO27" s="37" t="n">
        <f aca="false">(CO14=1)*①통합_가정!$F$38*①통합_가정!$E$148*①통합_가정!$E$159*CHOOSE(MIN(MAX(CO16,1),3),①통합_가정!$E$160,①통합_가정!$E$161,①통합_가정!$E$162)*CO18/1000000*(1+①통합_가정!$E$155)^(MAX(CO16,1)-1)</f>
        <v>3729.99006</v>
      </c>
      <c r="CP27" s="37" t="n">
        <f aca="false">(CP14=1)*①통합_가정!$F$38*①통합_가정!$E$148*①통합_가정!$E$159*CHOOSE(MIN(MAX(CP16,1),3),①통합_가정!$E$160,①통합_가정!$E$161,①통합_가정!$E$162)*CP18/1000000*(1+①통합_가정!$E$155)^(MAX(CP16,1)-1)</f>
        <v>3729.99006</v>
      </c>
      <c r="CQ27" s="37" t="n">
        <f aca="false">(CQ14=1)*①통합_가정!$F$38*①통합_가정!$E$148*①통합_가정!$E$159*CHOOSE(MIN(MAX(CQ16,1),3),①통합_가정!$E$160,①통합_가정!$E$161,①통합_가정!$E$162)*CQ18/1000000*(1+①통합_가정!$E$155)^(MAX(CQ16,1)-1)</f>
        <v>3609.6678</v>
      </c>
      <c r="CR27" s="37" t="n">
        <f aca="false">(CR14=1)*①통합_가정!$F$38*①통합_가정!$E$148*①통합_가정!$E$159*CHOOSE(MIN(MAX(CR16,1),3),①통합_가정!$E$160,①통합_가정!$E$161,①통합_가정!$E$162)*CR18/1000000*(1+①통합_가정!$E$155)^(MAX(CR16,1)-1)</f>
        <v>3729.99006</v>
      </c>
      <c r="CS27" s="37" t="n">
        <f aca="false">(CS14=1)*①통합_가정!$F$38*①통합_가정!$E$148*①통합_가정!$E$159*CHOOSE(MIN(MAX(CS16,1),3),①통합_가정!$E$160,①통합_가정!$E$161,①통합_가정!$E$162)*CS18/1000000*(1+①통합_가정!$E$155)^(MAX(CS16,1)-1)</f>
        <v>3609.6678</v>
      </c>
      <c r="CT27" s="37" t="n">
        <f aca="false">(CT14=1)*①통합_가정!$F$38*①통합_가정!$E$148*①통합_가정!$E$159*CHOOSE(MIN(MAX(CT16,1),3),①통합_가정!$E$160,①통합_가정!$E$161,①통합_가정!$E$162)*CT18/1000000*(1+①통합_가정!$E$155)^(MAX(CT16,1)-1)</f>
        <v>3729.99006</v>
      </c>
      <c r="CU27" s="37" t="n">
        <f aca="false">(CU14=1)*①통합_가정!$F$38*①통합_가정!$E$148*①통합_가정!$E$159*CHOOSE(MIN(MAX(CU16,1),3),①통합_가정!$E$160,①통합_가정!$E$161,①통합_가정!$E$162)*CU18/1000000*(1+①통합_가정!$E$155)^(MAX(CU16,1)-1)</f>
        <v>3729.99006</v>
      </c>
      <c r="CV27" s="37" t="n">
        <f aca="false">(CV14=1)*①통합_가정!$F$38*①통합_가정!$E$148*①통합_가정!$E$159*CHOOSE(MIN(MAX(CV16,1),3),①통합_가정!$E$160,①통합_가정!$E$161,①통합_가정!$E$162)*CV18/1000000*(1+①통합_가정!$E$155)^(MAX(CV16,1)-1)</f>
        <v>3369.02328</v>
      </c>
      <c r="CW27" s="37" t="n">
        <f aca="false">(CW14=1)*①통합_가정!$F$38*①통합_가정!$E$148*①통합_가정!$E$159*CHOOSE(MIN(MAX(CW16,1),3),①통합_가정!$E$160,①통합_가정!$E$161,①통합_가정!$E$162)*CW18/1000000*(1+①통합_가정!$E$155)^(MAX(CW16,1)-1)</f>
        <v>3804.5898612</v>
      </c>
      <c r="CX27" s="37" t="n">
        <f aca="false">(CX14=1)*①통합_가정!$F$38*①통합_가정!$E$148*①통합_가정!$E$159*CHOOSE(MIN(MAX(CX16,1),3),①통합_가정!$E$160,①통합_가정!$E$161,①통합_가정!$E$162)*CX18/1000000*(1+①통합_가정!$E$155)^(MAX(CX16,1)-1)</f>
        <v>3681.861156</v>
      </c>
      <c r="CY27" s="37" t="n">
        <f aca="false">(CY14=1)*①통합_가정!$F$38*①통합_가정!$E$148*①통합_가정!$E$159*CHOOSE(MIN(MAX(CY16,1),3),①통합_가정!$E$160,①통합_가정!$E$161,①통합_가정!$E$162)*CY18/1000000*(1+①통합_가정!$E$155)^(MAX(CY16,1)-1)</f>
        <v>3804.5898612</v>
      </c>
      <c r="CZ27" s="37" t="n">
        <f aca="false">(CZ14=1)*①통합_가정!$F$38*①통합_가정!$E$148*①통합_가정!$E$159*CHOOSE(MIN(MAX(CZ16,1),3),①통합_가정!$E$160,①통합_가정!$E$161,①통합_가정!$E$162)*CZ18/1000000*(1+①통합_가정!$E$155)^(MAX(CZ16,1)-1)</f>
        <v>3681.861156</v>
      </c>
      <c r="DA27" s="37" t="n">
        <f aca="false">(DA14=1)*①통합_가정!$F$38*①통합_가정!$E$148*①통합_가정!$E$159*CHOOSE(MIN(MAX(DA16,1),3),①통합_가정!$E$160,①통합_가정!$E$161,①통합_가정!$E$162)*DA18/1000000*(1+①통합_가정!$E$155)^(MAX(DA16,1)-1)</f>
        <v>3804.5898612</v>
      </c>
      <c r="DB27" s="37" t="n">
        <f aca="false">(DB14=1)*①통합_가정!$F$38*①통합_가정!$E$148*①통합_가정!$E$159*CHOOSE(MIN(MAX(DB16,1),3),①통합_가정!$E$160,①통합_가정!$E$161,①통합_가정!$E$162)*DB18/1000000*(1+①통합_가정!$E$155)^(MAX(DB16,1)-1)</f>
        <v>3804.5898612</v>
      </c>
      <c r="DC27" s="37" t="n">
        <f aca="false">(DC14=1)*①통합_가정!$F$38*①통합_가정!$E$148*①통합_가정!$E$159*CHOOSE(MIN(MAX(DC16,1),3),①통합_가정!$E$160,①통합_가정!$E$161,①통합_가정!$E$162)*DC18/1000000*(1+①통합_가정!$E$155)^(MAX(DC16,1)-1)</f>
        <v>3681.861156</v>
      </c>
      <c r="DD27" s="37" t="n">
        <f aca="false">(DD14=1)*①통합_가정!$F$38*①통합_가정!$E$148*①통합_가정!$E$159*CHOOSE(MIN(MAX(DD16,1),3),①통합_가정!$E$160,①통합_가정!$E$161,①통합_가정!$E$162)*DD18/1000000*(1+①통합_가정!$E$155)^(MAX(DD16,1)-1)</f>
        <v>3804.5898612</v>
      </c>
      <c r="DE27" s="37" t="n">
        <f aca="false">(DE14=1)*①통합_가정!$F$38*①통합_가정!$E$148*①통합_가정!$E$159*CHOOSE(MIN(MAX(DE16,1),3),①통합_가정!$E$160,①통합_가정!$E$161,①통합_가정!$E$162)*DE18/1000000*(1+①통합_가정!$E$155)^(MAX(DE16,1)-1)</f>
        <v>3681.861156</v>
      </c>
      <c r="DF27" s="37" t="n">
        <f aca="false">(DF14=1)*①통합_가정!$F$38*①통합_가정!$E$148*①통합_가정!$E$159*CHOOSE(MIN(MAX(DF16,1),3),①통합_가정!$E$160,①통합_가정!$E$161,①통합_가정!$E$162)*DF18/1000000*(1+①통합_가정!$E$155)^(MAX(DF16,1)-1)</f>
        <v>3804.5898612</v>
      </c>
      <c r="DG27" s="37" t="n">
        <f aca="false">(DG14=1)*①통합_가정!$F$38*①통합_가정!$E$148*①통합_가정!$E$159*CHOOSE(MIN(MAX(DG16,1),3),①통합_가정!$E$160,①통합_가정!$E$161,①통합_가정!$E$162)*DG18/1000000*(1+①통합_가정!$E$155)^(MAX(DG16,1)-1)</f>
        <v>3804.5898612</v>
      </c>
      <c r="DH27" s="37" t="n">
        <f aca="false">(DH14=1)*①통합_가정!$F$38*①통합_가정!$E$148*①통합_가정!$E$159*CHOOSE(MIN(MAX(DH16,1),3),①통합_가정!$E$160,①통합_가정!$E$161,①통합_가정!$E$162)*DH18/1000000*(1+①통합_가정!$E$155)^(MAX(DH16,1)-1)</f>
        <v>3436.4037456</v>
      </c>
      <c r="DI27" s="37" t="n">
        <f aca="false">(DI14=1)*①통합_가정!$F$38*①통합_가정!$E$148*①통합_가정!$E$159*CHOOSE(MIN(MAX(DI16,1),3),①통합_가정!$E$160,①통합_가정!$E$161,①통합_가정!$E$162)*DI18/1000000*(1+①통합_가정!$E$155)^(MAX(DI16,1)-1)</f>
        <v>3880.681658424</v>
      </c>
      <c r="DJ27" s="37" t="n">
        <f aca="false">(DJ14=1)*①통합_가정!$F$38*①통합_가정!$E$148*①통합_가정!$E$159*CHOOSE(MIN(MAX(DJ16,1),3),①통합_가정!$E$160,①통합_가정!$E$161,①통합_가정!$E$162)*DJ18/1000000*(1+①통합_가정!$E$155)^(MAX(DJ16,1)-1)</f>
        <v>3755.49837912</v>
      </c>
      <c r="DK27" s="37" t="n">
        <f aca="false">(DK14=1)*①통합_가정!$F$38*①통합_가정!$E$148*①통합_가정!$E$159*CHOOSE(MIN(MAX(DK16,1),3),①통합_가정!$E$160,①통합_가정!$E$161,①통합_가정!$E$162)*DK18/1000000*(1+①통합_가정!$E$155)^(MAX(DK16,1)-1)</f>
        <v>3880.681658424</v>
      </c>
      <c r="DL27" s="37" t="n">
        <f aca="false">(DL14=1)*①통합_가정!$F$38*①통합_가정!$E$148*①통합_가정!$E$159*CHOOSE(MIN(MAX(DL16,1),3),①통합_가정!$E$160,①통합_가정!$E$161,①통합_가정!$E$162)*DL18/1000000*(1+①통합_가정!$E$155)^(MAX(DL16,1)-1)</f>
        <v>3755.49837912</v>
      </c>
      <c r="DM27" s="37" t="n">
        <f aca="false">(DM14=1)*①통합_가정!$F$38*①통합_가정!$E$148*①통합_가정!$E$159*CHOOSE(MIN(MAX(DM16,1),3),①통합_가정!$E$160,①통합_가정!$E$161,①통합_가정!$E$162)*DM18/1000000*(1+①통합_가정!$E$155)^(MAX(DM16,1)-1)</f>
        <v>3880.681658424</v>
      </c>
      <c r="DN27" s="37" t="n">
        <f aca="false">(DN14=1)*①통합_가정!$F$38*①통합_가정!$E$148*①통합_가정!$E$159*CHOOSE(MIN(MAX(DN16,1),3),①통합_가정!$E$160,①통합_가정!$E$161,①통합_가정!$E$162)*DN18/1000000*(1+①통합_가정!$E$155)^(MAX(DN16,1)-1)</f>
        <v>3880.681658424</v>
      </c>
      <c r="DO27" s="37" t="n">
        <f aca="false">(DO14=1)*①통합_가정!$F$38*①통합_가정!$E$148*①통합_가정!$E$159*CHOOSE(MIN(MAX(DO16,1),3),①통합_가정!$E$160,①통합_가정!$E$161,①통합_가정!$E$162)*DO18/1000000*(1+①통합_가정!$E$155)^(MAX(DO16,1)-1)</f>
        <v>3755.49837912</v>
      </c>
      <c r="DP27" s="37" t="n">
        <f aca="false">(DP14=1)*①통합_가정!$F$38*①통합_가정!$E$148*①통합_가정!$E$159*CHOOSE(MIN(MAX(DP16,1),3),①통합_가정!$E$160,①통합_가정!$E$161,①통합_가정!$E$162)*DP18/1000000*(1+①통합_가정!$E$155)^(MAX(DP16,1)-1)</f>
        <v>3880.681658424</v>
      </c>
      <c r="DQ27" s="37" t="n">
        <f aca="false">(DQ14=1)*①통합_가정!$F$38*①통합_가정!$E$148*①통합_가정!$E$159*CHOOSE(MIN(MAX(DQ16,1),3),①통합_가정!$E$160,①통합_가정!$E$161,①통합_가정!$E$162)*DQ18/1000000*(1+①통합_가정!$E$155)^(MAX(DQ16,1)-1)</f>
        <v>3755.49837912</v>
      </c>
      <c r="DR27" s="37" t="n">
        <f aca="false">(DR14=1)*①통합_가정!$F$38*①통합_가정!$E$148*①통합_가정!$E$159*CHOOSE(MIN(MAX(DR16,1),3),①통합_가정!$E$160,①통합_가정!$E$161,①통합_가정!$E$162)*DR18/1000000*(1+①통합_가정!$E$155)^(MAX(DR16,1)-1)</f>
        <v>3880.681658424</v>
      </c>
      <c r="DS27" s="37" t="n">
        <f aca="false">(DS14=1)*①통합_가정!$F$38*①통합_가정!$E$148*①통합_가정!$E$159*CHOOSE(MIN(MAX(DS16,1),3),①통합_가정!$E$160,①통합_가정!$E$161,①통합_가정!$E$162)*DS18/1000000*(1+①통합_가정!$E$155)^(MAX(DS16,1)-1)</f>
        <v>3880.681658424</v>
      </c>
      <c r="DT27" s="37" t="n">
        <f aca="false">(DT14=1)*①통합_가정!$F$38*①통합_가정!$E$148*①통합_가정!$E$159*CHOOSE(MIN(MAX(DT16,1),3),①통합_가정!$E$160,①통합_가정!$E$161,①통합_가정!$E$162)*DT18/1000000*(1+①통합_가정!$E$155)^(MAX(DT16,1)-1)</f>
        <v>3630.315099816</v>
      </c>
      <c r="DU27" s="37" t="n">
        <f aca="false">(DU14=1)*①통합_가정!$F$38*①통합_가정!$E$148*①통합_가정!$E$159*CHOOSE(MIN(MAX(DU16,1),3),①통합_가정!$E$160,①통합_가정!$E$161,①통합_가정!$E$162)*DU18/1000000*(1+①통합_가정!$E$155)^(MAX(DU16,1)-1)</f>
        <v>0</v>
      </c>
      <c r="DV27" s="37" t="n">
        <f aca="false">(DV14=1)*①통합_가정!$F$38*①통합_가정!$E$148*①통합_가정!$E$159*CHOOSE(MIN(MAX(DV16,1),3),①통합_가정!$E$160,①통합_가정!$E$161,①통합_가정!$E$162)*DV18/1000000*(1+①통합_가정!$E$155)^(MAX(DV16,1)-1)</f>
        <v>0</v>
      </c>
      <c r="DW27" s="37" t="n">
        <f aca="false">(DW14=1)*①통합_가정!$F$38*①통합_가정!$E$148*①통합_가정!$E$159*CHOOSE(MIN(MAX(DW16,1),3),①통합_가정!$E$160,①통합_가정!$E$161,①통합_가정!$E$162)*DW18/1000000*(1+①통합_가정!$E$155)^(MAX(DW16,1)-1)</f>
        <v>0</v>
      </c>
      <c r="DX27" s="37" t="n">
        <f aca="false">(DX14=1)*①통합_가정!$F$38*①통합_가정!$E$148*①통합_가정!$E$159*CHOOSE(MIN(MAX(DX16,1),3),①통합_가정!$E$160,①통합_가정!$E$161,①통합_가정!$E$162)*DX18/1000000*(1+①통합_가정!$E$155)^(MAX(DX16,1)-1)</f>
        <v>0</v>
      </c>
      <c r="DY27" s="37" t="n">
        <f aca="false">(DY14=1)*①통합_가정!$F$38*①통합_가정!$E$148*①통합_가정!$E$159*CHOOSE(MIN(MAX(DY16,1),3),①통합_가정!$E$160,①통합_가정!$E$161,①통합_가정!$E$162)*DY18/1000000*(1+①통합_가정!$E$155)^(MAX(DY16,1)-1)</f>
        <v>0</v>
      </c>
      <c r="DZ27" s="37" t="n">
        <f aca="false">(DZ14=1)*①통합_가정!$F$38*①통합_가정!$E$148*①통합_가정!$E$159*CHOOSE(MIN(MAX(DZ16,1),3),①통합_가정!$E$160,①통합_가정!$E$161,①통합_가정!$E$162)*DZ18/1000000*(1+①통합_가정!$E$155)^(MAX(DZ16,1)-1)</f>
        <v>0</v>
      </c>
      <c r="EA27" s="37" t="n">
        <f aca="false">(EA14=1)*①통합_가정!$F$38*①통합_가정!$E$148*①통합_가정!$E$159*CHOOSE(MIN(MAX(EA16,1),3),①통합_가정!$E$160,①통합_가정!$E$161,①통합_가정!$E$162)*EA18/1000000*(1+①통합_가정!$E$155)^(MAX(EA16,1)-1)</f>
        <v>0</v>
      </c>
      <c r="EB27" s="37" t="n">
        <f aca="false">(EB14=1)*①통합_가정!$F$38*①통합_가정!$E$148*①통합_가정!$E$159*CHOOSE(MIN(MAX(EB16,1),3),①통합_가정!$E$160,①통합_가정!$E$161,①통합_가정!$E$162)*EB18/1000000*(1+①통합_가정!$E$155)^(MAX(EB16,1)-1)</f>
        <v>0</v>
      </c>
      <c r="EC27" s="37" t="n">
        <f aca="false">(EC14=1)*①통합_가정!$F$38*①통합_가정!$E$148*①통합_가정!$E$159*CHOOSE(MIN(MAX(EC16,1),3),①통합_가정!$E$160,①통합_가정!$E$161,①통합_가정!$E$162)*EC18/1000000*(1+①통합_가정!$E$155)^(MAX(EC16,1)-1)</f>
        <v>0</v>
      </c>
      <c r="ED27" s="37" t="n">
        <f aca="false">(ED14=1)*①통합_가정!$F$38*①통합_가정!$E$148*①통합_가정!$E$159*CHOOSE(MIN(MAX(ED16,1),3),①통합_가정!$E$160,①통합_가정!$E$161,①통합_가정!$E$162)*ED18/1000000*(1+①통합_가정!$E$155)^(MAX(ED16,1)-1)</f>
        <v>0</v>
      </c>
      <c r="EE27" s="37" t="n">
        <f aca="false">(EE14=1)*①통합_가정!$F$38*①통합_가정!$E$148*①통합_가정!$E$159*CHOOSE(MIN(MAX(EE16,1),3),①통합_가정!$E$160,①통합_가정!$E$161,①통합_가정!$E$162)*EE18/1000000*(1+①통합_가정!$E$155)^(MAX(EE16,1)-1)</f>
        <v>0</v>
      </c>
      <c r="EF27" s="37" t="n">
        <f aca="false">(EF14=1)*①통합_가정!$F$38*①통합_가정!$E$148*①통합_가정!$E$159*CHOOSE(MIN(MAX(EF16,1),3),①통합_가정!$E$160,①통합_가정!$E$161,①통합_가정!$E$162)*EF18/1000000*(1+①통합_가정!$E$155)^(MAX(EF16,1)-1)</f>
        <v>0</v>
      </c>
    </row>
    <row r="28" customFormat="false" ht="15" hidden="false" customHeight="false" outlineLevel="0" collapsed="false">
      <c r="A28" s="36" t="s">
        <v>583</v>
      </c>
      <c r="B28" s="278" t="s">
        <v>21</v>
      </c>
      <c r="C28" s="279" t="n">
        <f aca="false">SUM(E28:EF28)</f>
        <v>96422.1108854688</v>
      </c>
      <c r="E28" s="37" t="n">
        <f aca="false">E27*①통합_가정!$E$163</f>
        <v>0</v>
      </c>
      <c r="F28" s="37" t="n">
        <f aca="false">F27*①통합_가정!$E$163</f>
        <v>0</v>
      </c>
      <c r="G28" s="37" t="n">
        <f aca="false">G27*①통합_가정!$E$163</f>
        <v>0</v>
      </c>
      <c r="H28" s="37" t="n">
        <f aca="false">H27*①통합_가정!$E$163</f>
        <v>0</v>
      </c>
      <c r="I28" s="37" t="n">
        <f aca="false">I27*①통합_가정!$E$163</f>
        <v>0</v>
      </c>
      <c r="J28" s="37" t="n">
        <f aca="false">J27*①통합_가정!$E$163</f>
        <v>0</v>
      </c>
      <c r="K28" s="37" t="n">
        <f aca="false">K27*①통합_가정!$E$163</f>
        <v>0</v>
      </c>
      <c r="L28" s="37" t="n">
        <f aca="false">L27*①통합_가정!$E$163</f>
        <v>0</v>
      </c>
      <c r="M28" s="37" t="n">
        <f aca="false">M27*①통합_가정!$E$163</f>
        <v>0</v>
      </c>
      <c r="N28" s="37" t="n">
        <f aca="false">N27*①통합_가정!$E$163</f>
        <v>0</v>
      </c>
      <c r="O28" s="37" t="n">
        <f aca="false">O27*①통합_가정!$E$163</f>
        <v>0</v>
      </c>
      <c r="P28" s="37" t="n">
        <f aca="false">P27*①통합_가정!$E$163</f>
        <v>0</v>
      </c>
      <c r="Q28" s="37" t="n">
        <f aca="false">Q27*①통합_가정!$E$163</f>
        <v>0</v>
      </c>
      <c r="R28" s="37" t="n">
        <f aca="false">R27*①통합_가정!$E$163</f>
        <v>0</v>
      </c>
      <c r="S28" s="37" t="n">
        <f aca="false">S27*①통합_가정!$E$163</f>
        <v>0</v>
      </c>
      <c r="T28" s="37" t="n">
        <f aca="false">T27*①통합_가정!$E$163</f>
        <v>0</v>
      </c>
      <c r="U28" s="37" t="n">
        <f aca="false">U27*①통합_가정!$E$163</f>
        <v>0</v>
      </c>
      <c r="V28" s="37" t="n">
        <f aca="false">V27*①통합_가정!$E$163</f>
        <v>0</v>
      </c>
      <c r="W28" s="37" t="n">
        <f aca="false">W27*①통합_가정!$E$163</f>
        <v>0</v>
      </c>
      <c r="X28" s="37" t="n">
        <f aca="false">X27*①통합_가정!$E$163</f>
        <v>0</v>
      </c>
      <c r="Y28" s="37" t="n">
        <f aca="false">Y27*①통합_가정!$E$163</f>
        <v>0</v>
      </c>
      <c r="Z28" s="37" t="n">
        <f aca="false">Z27*①통합_가정!$E$163</f>
        <v>0</v>
      </c>
      <c r="AA28" s="37" t="n">
        <f aca="false">AA27*①통합_가정!$E$163</f>
        <v>0</v>
      </c>
      <c r="AB28" s="37" t="n">
        <f aca="false">AB27*①통합_가정!$E$163</f>
        <v>0</v>
      </c>
      <c r="AC28" s="37" t="n">
        <f aca="false">AC27*①통합_가정!$E$163</f>
        <v>0</v>
      </c>
      <c r="AD28" s="37" t="n">
        <f aca="false">AD27*①통합_가정!$E$163</f>
        <v>0</v>
      </c>
      <c r="AE28" s="37" t="n">
        <f aca="false">AE27*①통합_가정!$E$163</f>
        <v>0</v>
      </c>
      <c r="AF28" s="37" t="n">
        <f aca="false">AF27*①통합_가정!$E$163</f>
        <v>0</v>
      </c>
      <c r="AG28" s="37" t="n">
        <f aca="false">AG27*①통합_가정!$E$163</f>
        <v>0</v>
      </c>
      <c r="AH28" s="37" t="n">
        <f aca="false">AH27*①통합_가정!$E$163</f>
        <v>0</v>
      </c>
      <c r="AI28" s="37" t="n">
        <f aca="false">AI27*①통합_가정!$E$163</f>
        <v>0</v>
      </c>
      <c r="AJ28" s="37" t="n">
        <f aca="false">AJ27*①통합_가정!$E$163</f>
        <v>0</v>
      </c>
      <c r="AK28" s="37" t="n">
        <f aca="false">AK27*①통합_가정!$E$163</f>
        <v>0</v>
      </c>
      <c r="AL28" s="37" t="n">
        <f aca="false">AL27*①통합_가정!$E$163</f>
        <v>0</v>
      </c>
      <c r="AM28" s="37" t="n">
        <f aca="false">AM27*①통합_가정!$E$163</f>
        <v>0</v>
      </c>
      <c r="AN28" s="37" t="n">
        <f aca="false">AN27*①통합_가정!$E$163</f>
        <v>0</v>
      </c>
      <c r="AO28" s="37" t="n">
        <f aca="false">AO27*①통합_가정!$E$163</f>
        <v>0</v>
      </c>
      <c r="AP28" s="37" t="n">
        <f aca="false">AP27*①통합_가정!$E$163</f>
        <v>0</v>
      </c>
      <c r="AQ28" s="37" t="n">
        <f aca="false">AQ27*①통합_가정!$E$163</f>
        <v>0</v>
      </c>
      <c r="AR28" s="37" t="n">
        <f aca="false">AR27*①통합_가정!$E$163</f>
        <v>0</v>
      </c>
      <c r="AS28" s="37" t="n">
        <f aca="false">AS27*①통합_가정!$E$163</f>
        <v>0</v>
      </c>
      <c r="AT28" s="37" t="n">
        <f aca="false">AT27*①통합_가정!$E$163</f>
        <v>0</v>
      </c>
      <c r="AU28" s="37" t="n">
        <f aca="false">AU27*①통합_가정!$E$163</f>
        <v>0</v>
      </c>
      <c r="AV28" s="37" t="n">
        <f aca="false">AV27*①통합_가정!$E$163</f>
        <v>0</v>
      </c>
      <c r="AW28" s="37" t="n">
        <f aca="false">AW27*①통합_가정!$E$163</f>
        <v>0</v>
      </c>
      <c r="AX28" s="37" t="n">
        <f aca="false">AX27*①통합_가정!$E$163</f>
        <v>0</v>
      </c>
      <c r="AY28" s="37" t="n">
        <f aca="false">AY27*①통합_가정!$E$163</f>
        <v>0</v>
      </c>
      <c r="AZ28" s="37" t="n">
        <f aca="false">AZ27*①통합_가정!$E$163</f>
        <v>0</v>
      </c>
      <c r="BA28" s="37" t="n">
        <f aca="false">BA27*①통합_가정!$E$163</f>
        <v>0</v>
      </c>
      <c r="BB28" s="37" t="n">
        <f aca="false">BB27*①통합_가정!$E$163</f>
        <v>0</v>
      </c>
      <c r="BC28" s="37" t="n">
        <f aca="false">BC27*①통합_가정!$E$163</f>
        <v>0</v>
      </c>
      <c r="BD28" s="37" t="n">
        <f aca="false">BD27*①통합_가정!$E$163</f>
        <v>0</v>
      </c>
      <c r="BE28" s="37" t="n">
        <f aca="false">BE27*①통합_가정!$E$163</f>
        <v>0</v>
      </c>
      <c r="BF28" s="37" t="n">
        <f aca="false">BF27*①통합_가정!$E$163</f>
        <v>0</v>
      </c>
      <c r="BG28" s="37" t="n">
        <f aca="false">BG27*①통합_가정!$E$163</f>
        <v>0</v>
      </c>
      <c r="BH28" s="37" t="n">
        <f aca="false">BH27*①통합_가정!$E$163</f>
        <v>0</v>
      </c>
      <c r="BI28" s="37" t="n">
        <f aca="false">BI27*①통합_가정!$E$163</f>
        <v>0</v>
      </c>
      <c r="BJ28" s="37" t="n">
        <f aca="false">BJ27*①통합_가정!$E$163</f>
        <v>0</v>
      </c>
      <c r="BK28" s="37" t="n">
        <f aca="false">BK27*①통합_가정!$E$163</f>
        <v>0</v>
      </c>
      <c r="BL28" s="37" t="n">
        <f aca="false">BL27*①통합_가정!$E$163</f>
        <v>0</v>
      </c>
      <c r="BM28" s="37" t="n">
        <f aca="false">BM27*①통합_가정!$E$163</f>
        <v>1398.2085</v>
      </c>
      <c r="BN28" s="37" t="n">
        <f aca="false">BN27*①통합_가정!$E$163</f>
        <v>1353.105</v>
      </c>
      <c r="BO28" s="37" t="n">
        <f aca="false">BO27*①통합_가정!$E$163</f>
        <v>1398.2085</v>
      </c>
      <c r="BP28" s="37" t="n">
        <f aca="false">BP27*①통합_가정!$E$163</f>
        <v>1353.105</v>
      </c>
      <c r="BQ28" s="37" t="n">
        <f aca="false">BQ27*①통합_가정!$E$163</f>
        <v>1398.2085</v>
      </c>
      <c r="BR28" s="37" t="n">
        <f aca="false">BR27*①통합_가정!$E$163</f>
        <v>1398.2085</v>
      </c>
      <c r="BS28" s="37" t="n">
        <f aca="false">BS27*①통합_가정!$E$163</f>
        <v>1353.105</v>
      </c>
      <c r="BT28" s="37" t="n">
        <f aca="false">BT27*①통합_가정!$E$163</f>
        <v>1398.2085</v>
      </c>
      <c r="BU28" s="37" t="n">
        <f aca="false">BU27*①통합_가정!$E$163</f>
        <v>1353.105</v>
      </c>
      <c r="BV28" s="37" t="n">
        <f aca="false">BV27*①통합_가정!$E$163</f>
        <v>1398.2085</v>
      </c>
      <c r="BW28" s="37" t="n">
        <f aca="false">BW27*①통합_가정!$E$163</f>
        <v>1398.2085</v>
      </c>
      <c r="BX28" s="37" t="n">
        <f aca="false">BX27*①통합_가정!$E$163</f>
        <v>1308.0015</v>
      </c>
      <c r="BY28" s="37" t="n">
        <f aca="false">BY27*①통합_가정!$E$163</f>
        <v>1645.58385</v>
      </c>
      <c r="BZ28" s="37" t="n">
        <f aca="false">BZ27*①통합_가정!$E$163</f>
        <v>1592.5005</v>
      </c>
      <c r="CA28" s="37" t="n">
        <f aca="false">CA27*①통합_가정!$E$163</f>
        <v>1645.58385</v>
      </c>
      <c r="CB28" s="37" t="n">
        <f aca="false">CB27*①통합_가정!$E$163</f>
        <v>1592.5005</v>
      </c>
      <c r="CC28" s="37" t="n">
        <f aca="false">CC27*①통합_가정!$E$163</f>
        <v>1645.58385</v>
      </c>
      <c r="CD28" s="37" t="n">
        <f aca="false">CD27*①통합_가정!$E$163</f>
        <v>1645.58385</v>
      </c>
      <c r="CE28" s="37" t="n">
        <f aca="false">CE27*①통합_가정!$E$163</f>
        <v>1592.5005</v>
      </c>
      <c r="CF28" s="37" t="n">
        <f aca="false">CF27*①통합_가정!$E$163</f>
        <v>1645.58385</v>
      </c>
      <c r="CG28" s="37" t="n">
        <f aca="false">CG27*①통합_가정!$E$163</f>
        <v>1592.5005</v>
      </c>
      <c r="CH28" s="37" t="n">
        <f aca="false">CH27*①통합_가정!$E$163</f>
        <v>1645.58385</v>
      </c>
      <c r="CI28" s="37" t="n">
        <f aca="false">CI27*①통합_가정!$E$163</f>
        <v>1645.58385</v>
      </c>
      <c r="CJ28" s="37" t="n">
        <f aca="false">CJ27*①통합_가정!$E$163</f>
        <v>1486.3338</v>
      </c>
      <c r="CK28" s="37" t="n">
        <f aca="false">CK27*①통합_가정!$E$163</f>
        <v>1678.495527</v>
      </c>
      <c r="CL28" s="37" t="n">
        <f aca="false">CL27*①통합_가정!$E$163</f>
        <v>1624.35051</v>
      </c>
      <c r="CM28" s="37" t="n">
        <f aca="false">CM27*①통합_가정!$E$163</f>
        <v>1678.495527</v>
      </c>
      <c r="CN28" s="37" t="n">
        <f aca="false">CN27*①통합_가정!$E$163</f>
        <v>1624.35051</v>
      </c>
      <c r="CO28" s="37" t="n">
        <f aca="false">CO27*①통합_가정!$E$163</f>
        <v>1678.495527</v>
      </c>
      <c r="CP28" s="37" t="n">
        <f aca="false">CP27*①통합_가정!$E$163</f>
        <v>1678.495527</v>
      </c>
      <c r="CQ28" s="37" t="n">
        <f aca="false">CQ27*①통합_가정!$E$163</f>
        <v>1624.35051</v>
      </c>
      <c r="CR28" s="37" t="n">
        <f aca="false">CR27*①통합_가정!$E$163</f>
        <v>1678.495527</v>
      </c>
      <c r="CS28" s="37" t="n">
        <f aca="false">CS27*①통합_가정!$E$163</f>
        <v>1624.35051</v>
      </c>
      <c r="CT28" s="37" t="n">
        <f aca="false">CT27*①통합_가정!$E$163</f>
        <v>1678.495527</v>
      </c>
      <c r="CU28" s="37" t="n">
        <f aca="false">CU27*①통합_가정!$E$163</f>
        <v>1678.495527</v>
      </c>
      <c r="CV28" s="37" t="n">
        <f aca="false">CV27*①통합_가정!$E$163</f>
        <v>1516.060476</v>
      </c>
      <c r="CW28" s="37" t="n">
        <f aca="false">CW27*①통합_가정!$E$163</f>
        <v>1712.06543754</v>
      </c>
      <c r="CX28" s="37" t="n">
        <f aca="false">CX27*①통합_가정!$E$163</f>
        <v>1656.8375202</v>
      </c>
      <c r="CY28" s="37" t="n">
        <f aca="false">CY27*①통합_가정!$E$163</f>
        <v>1712.06543754</v>
      </c>
      <c r="CZ28" s="37" t="n">
        <f aca="false">CZ27*①통합_가정!$E$163</f>
        <v>1656.8375202</v>
      </c>
      <c r="DA28" s="37" t="n">
        <f aca="false">DA27*①통합_가정!$E$163</f>
        <v>1712.06543754</v>
      </c>
      <c r="DB28" s="37" t="n">
        <f aca="false">DB27*①통합_가정!$E$163</f>
        <v>1712.06543754</v>
      </c>
      <c r="DC28" s="37" t="n">
        <f aca="false">DC27*①통합_가정!$E$163</f>
        <v>1656.8375202</v>
      </c>
      <c r="DD28" s="37" t="n">
        <f aca="false">DD27*①통합_가정!$E$163</f>
        <v>1712.06543754</v>
      </c>
      <c r="DE28" s="37" t="n">
        <f aca="false">DE27*①통합_가정!$E$163</f>
        <v>1656.8375202</v>
      </c>
      <c r="DF28" s="37" t="n">
        <f aca="false">DF27*①통합_가정!$E$163</f>
        <v>1712.06543754</v>
      </c>
      <c r="DG28" s="37" t="n">
        <f aca="false">DG27*①통합_가정!$E$163</f>
        <v>1712.06543754</v>
      </c>
      <c r="DH28" s="37" t="n">
        <f aca="false">DH27*①통합_가정!$E$163</f>
        <v>1546.38168552</v>
      </c>
      <c r="DI28" s="37" t="n">
        <f aca="false">DI27*①통합_가정!$E$163</f>
        <v>1746.3067462908</v>
      </c>
      <c r="DJ28" s="37" t="n">
        <f aca="false">DJ27*①통합_가정!$E$163</f>
        <v>1689.974270604</v>
      </c>
      <c r="DK28" s="37" t="n">
        <f aca="false">DK27*①통합_가정!$E$163</f>
        <v>1746.3067462908</v>
      </c>
      <c r="DL28" s="37" t="n">
        <f aca="false">DL27*①통합_가정!$E$163</f>
        <v>1689.974270604</v>
      </c>
      <c r="DM28" s="37" t="n">
        <f aca="false">DM27*①통합_가정!$E$163</f>
        <v>1746.3067462908</v>
      </c>
      <c r="DN28" s="37" t="n">
        <f aca="false">DN27*①통합_가정!$E$163</f>
        <v>1746.3067462908</v>
      </c>
      <c r="DO28" s="37" t="n">
        <f aca="false">DO27*①통합_가정!$E$163</f>
        <v>1689.974270604</v>
      </c>
      <c r="DP28" s="37" t="n">
        <f aca="false">DP27*①통합_가정!$E$163</f>
        <v>1746.3067462908</v>
      </c>
      <c r="DQ28" s="37" t="n">
        <f aca="false">DQ27*①통합_가정!$E$163</f>
        <v>1689.974270604</v>
      </c>
      <c r="DR28" s="37" t="n">
        <f aca="false">DR27*①통합_가정!$E$163</f>
        <v>1746.3067462908</v>
      </c>
      <c r="DS28" s="37" t="n">
        <f aca="false">DS27*①통합_가정!$E$163</f>
        <v>1746.3067462908</v>
      </c>
      <c r="DT28" s="37" t="n">
        <f aca="false">DT27*①통합_가정!$E$163</f>
        <v>1633.6417949172</v>
      </c>
      <c r="DU28" s="37" t="n">
        <f aca="false">DU27*①통합_가정!$E$163</f>
        <v>0</v>
      </c>
      <c r="DV28" s="37" t="n">
        <f aca="false">DV27*①통합_가정!$E$163</f>
        <v>0</v>
      </c>
      <c r="DW28" s="37" t="n">
        <f aca="false">DW27*①통합_가정!$E$163</f>
        <v>0</v>
      </c>
      <c r="DX28" s="37" t="n">
        <f aca="false">DX27*①통합_가정!$E$163</f>
        <v>0</v>
      </c>
      <c r="DY28" s="37" t="n">
        <f aca="false">DY27*①통합_가정!$E$163</f>
        <v>0</v>
      </c>
      <c r="DZ28" s="37" t="n">
        <f aca="false">DZ27*①통합_가정!$E$163</f>
        <v>0</v>
      </c>
      <c r="EA28" s="37" t="n">
        <f aca="false">EA27*①통합_가정!$E$163</f>
        <v>0</v>
      </c>
      <c r="EB28" s="37" t="n">
        <f aca="false">EB27*①통합_가정!$E$163</f>
        <v>0</v>
      </c>
      <c r="EC28" s="37" t="n">
        <f aca="false">EC27*①통합_가정!$E$163</f>
        <v>0</v>
      </c>
      <c r="ED28" s="37" t="n">
        <f aca="false">ED27*①통합_가정!$E$163</f>
        <v>0</v>
      </c>
      <c r="EE28" s="37" t="n">
        <f aca="false">EE27*①통합_가정!$E$163</f>
        <v>0</v>
      </c>
      <c r="EF28" s="37" t="n">
        <f aca="false">EF27*①통합_가정!$E$163</f>
        <v>0</v>
      </c>
    </row>
    <row r="29" customFormat="false" ht="15" hidden="false" customHeight="false" outlineLevel="0" collapsed="false">
      <c r="A29" s="36" t="s">
        <v>584</v>
      </c>
      <c r="B29" s="278" t="s">
        <v>21</v>
      </c>
      <c r="C29" s="279" t="n">
        <f aca="false">SUM(E29:EF29)</f>
        <v>12856.2814513958</v>
      </c>
      <c r="E29" s="37" t="n">
        <f aca="false">E27*①통합_가정!$E$164</f>
        <v>0</v>
      </c>
      <c r="F29" s="37" t="n">
        <f aca="false">F27*①통합_가정!$E$164</f>
        <v>0</v>
      </c>
      <c r="G29" s="37" t="n">
        <f aca="false">G27*①통합_가정!$E$164</f>
        <v>0</v>
      </c>
      <c r="H29" s="37" t="n">
        <f aca="false">H27*①통합_가정!$E$164</f>
        <v>0</v>
      </c>
      <c r="I29" s="37" t="n">
        <f aca="false">I27*①통합_가정!$E$164</f>
        <v>0</v>
      </c>
      <c r="J29" s="37" t="n">
        <f aca="false">J27*①통합_가정!$E$164</f>
        <v>0</v>
      </c>
      <c r="K29" s="37" t="n">
        <f aca="false">K27*①통합_가정!$E$164</f>
        <v>0</v>
      </c>
      <c r="L29" s="37" t="n">
        <f aca="false">L27*①통합_가정!$E$164</f>
        <v>0</v>
      </c>
      <c r="M29" s="37" t="n">
        <f aca="false">M27*①통합_가정!$E$164</f>
        <v>0</v>
      </c>
      <c r="N29" s="37" t="n">
        <f aca="false">N27*①통합_가정!$E$164</f>
        <v>0</v>
      </c>
      <c r="O29" s="37" t="n">
        <f aca="false">O27*①통합_가정!$E$164</f>
        <v>0</v>
      </c>
      <c r="P29" s="37" t="n">
        <f aca="false">P27*①통합_가정!$E$164</f>
        <v>0</v>
      </c>
      <c r="Q29" s="37" t="n">
        <f aca="false">Q27*①통합_가정!$E$164</f>
        <v>0</v>
      </c>
      <c r="R29" s="37" t="n">
        <f aca="false">R27*①통합_가정!$E$164</f>
        <v>0</v>
      </c>
      <c r="S29" s="37" t="n">
        <f aca="false">S27*①통합_가정!$E$164</f>
        <v>0</v>
      </c>
      <c r="T29" s="37" t="n">
        <f aca="false">T27*①통합_가정!$E$164</f>
        <v>0</v>
      </c>
      <c r="U29" s="37" t="n">
        <f aca="false">U27*①통합_가정!$E$164</f>
        <v>0</v>
      </c>
      <c r="V29" s="37" t="n">
        <f aca="false">V27*①통합_가정!$E$164</f>
        <v>0</v>
      </c>
      <c r="W29" s="37" t="n">
        <f aca="false">W27*①통합_가정!$E$164</f>
        <v>0</v>
      </c>
      <c r="X29" s="37" t="n">
        <f aca="false">X27*①통합_가정!$E$164</f>
        <v>0</v>
      </c>
      <c r="Y29" s="37" t="n">
        <f aca="false">Y27*①통합_가정!$E$164</f>
        <v>0</v>
      </c>
      <c r="Z29" s="37" t="n">
        <f aca="false">Z27*①통합_가정!$E$164</f>
        <v>0</v>
      </c>
      <c r="AA29" s="37" t="n">
        <f aca="false">AA27*①통합_가정!$E$164</f>
        <v>0</v>
      </c>
      <c r="AB29" s="37" t="n">
        <f aca="false">AB27*①통합_가정!$E$164</f>
        <v>0</v>
      </c>
      <c r="AC29" s="37" t="n">
        <f aca="false">AC27*①통합_가정!$E$164</f>
        <v>0</v>
      </c>
      <c r="AD29" s="37" t="n">
        <f aca="false">AD27*①통합_가정!$E$164</f>
        <v>0</v>
      </c>
      <c r="AE29" s="37" t="n">
        <f aca="false">AE27*①통합_가정!$E$164</f>
        <v>0</v>
      </c>
      <c r="AF29" s="37" t="n">
        <f aca="false">AF27*①통합_가정!$E$164</f>
        <v>0</v>
      </c>
      <c r="AG29" s="37" t="n">
        <f aca="false">AG27*①통합_가정!$E$164</f>
        <v>0</v>
      </c>
      <c r="AH29" s="37" t="n">
        <f aca="false">AH27*①통합_가정!$E$164</f>
        <v>0</v>
      </c>
      <c r="AI29" s="37" t="n">
        <f aca="false">AI27*①통합_가정!$E$164</f>
        <v>0</v>
      </c>
      <c r="AJ29" s="37" t="n">
        <f aca="false">AJ27*①통합_가정!$E$164</f>
        <v>0</v>
      </c>
      <c r="AK29" s="37" t="n">
        <f aca="false">AK27*①통합_가정!$E$164</f>
        <v>0</v>
      </c>
      <c r="AL29" s="37" t="n">
        <f aca="false">AL27*①통합_가정!$E$164</f>
        <v>0</v>
      </c>
      <c r="AM29" s="37" t="n">
        <f aca="false">AM27*①통합_가정!$E$164</f>
        <v>0</v>
      </c>
      <c r="AN29" s="37" t="n">
        <f aca="false">AN27*①통합_가정!$E$164</f>
        <v>0</v>
      </c>
      <c r="AO29" s="37" t="n">
        <f aca="false">AO27*①통합_가정!$E$164</f>
        <v>0</v>
      </c>
      <c r="AP29" s="37" t="n">
        <f aca="false">AP27*①통합_가정!$E$164</f>
        <v>0</v>
      </c>
      <c r="AQ29" s="37" t="n">
        <f aca="false">AQ27*①통합_가정!$E$164</f>
        <v>0</v>
      </c>
      <c r="AR29" s="37" t="n">
        <f aca="false">AR27*①통합_가정!$E$164</f>
        <v>0</v>
      </c>
      <c r="AS29" s="37" t="n">
        <f aca="false">AS27*①통합_가정!$E$164</f>
        <v>0</v>
      </c>
      <c r="AT29" s="37" t="n">
        <f aca="false">AT27*①통합_가정!$E$164</f>
        <v>0</v>
      </c>
      <c r="AU29" s="37" t="n">
        <f aca="false">AU27*①통합_가정!$E$164</f>
        <v>0</v>
      </c>
      <c r="AV29" s="37" t="n">
        <f aca="false">AV27*①통합_가정!$E$164</f>
        <v>0</v>
      </c>
      <c r="AW29" s="37" t="n">
        <f aca="false">AW27*①통합_가정!$E$164</f>
        <v>0</v>
      </c>
      <c r="AX29" s="37" t="n">
        <f aca="false">AX27*①통합_가정!$E$164</f>
        <v>0</v>
      </c>
      <c r="AY29" s="37" t="n">
        <f aca="false">AY27*①통합_가정!$E$164</f>
        <v>0</v>
      </c>
      <c r="AZ29" s="37" t="n">
        <f aca="false">AZ27*①통합_가정!$E$164</f>
        <v>0</v>
      </c>
      <c r="BA29" s="37" t="n">
        <f aca="false">BA27*①통합_가정!$E$164</f>
        <v>0</v>
      </c>
      <c r="BB29" s="37" t="n">
        <f aca="false">BB27*①통합_가정!$E$164</f>
        <v>0</v>
      </c>
      <c r="BC29" s="37" t="n">
        <f aca="false">BC27*①통합_가정!$E$164</f>
        <v>0</v>
      </c>
      <c r="BD29" s="37" t="n">
        <f aca="false">BD27*①통합_가정!$E$164</f>
        <v>0</v>
      </c>
      <c r="BE29" s="37" t="n">
        <f aca="false">BE27*①통합_가정!$E$164</f>
        <v>0</v>
      </c>
      <c r="BF29" s="37" t="n">
        <f aca="false">BF27*①통합_가정!$E$164</f>
        <v>0</v>
      </c>
      <c r="BG29" s="37" t="n">
        <f aca="false">BG27*①통합_가정!$E$164</f>
        <v>0</v>
      </c>
      <c r="BH29" s="37" t="n">
        <f aca="false">BH27*①통합_가정!$E$164</f>
        <v>0</v>
      </c>
      <c r="BI29" s="37" t="n">
        <f aca="false">BI27*①통합_가정!$E$164</f>
        <v>0</v>
      </c>
      <c r="BJ29" s="37" t="n">
        <f aca="false">BJ27*①통합_가정!$E$164</f>
        <v>0</v>
      </c>
      <c r="BK29" s="37" t="n">
        <f aca="false">BK27*①통합_가정!$E$164</f>
        <v>0</v>
      </c>
      <c r="BL29" s="37" t="n">
        <f aca="false">BL27*①통합_가정!$E$164</f>
        <v>0</v>
      </c>
      <c r="BM29" s="37" t="n">
        <f aca="false">BM27*①통합_가정!$E$164</f>
        <v>186.4278</v>
      </c>
      <c r="BN29" s="37" t="n">
        <f aca="false">BN27*①통합_가정!$E$164</f>
        <v>180.414</v>
      </c>
      <c r="BO29" s="37" t="n">
        <f aca="false">BO27*①통합_가정!$E$164</f>
        <v>186.4278</v>
      </c>
      <c r="BP29" s="37" t="n">
        <f aca="false">BP27*①통합_가정!$E$164</f>
        <v>180.414</v>
      </c>
      <c r="BQ29" s="37" t="n">
        <f aca="false">BQ27*①통합_가정!$E$164</f>
        <v>186.4278</v>
      </c>
      <c r="BR29" s="37" t="n">
        <f aca="false">BR27*①통합_가정!$E$164</f>
        <v>186.4278</v>
      </c>
      <c r="BS29" s="37" t="n">
        <f aca="false">BS27*①통합_가정!$E$164</f>
        <v>180.414</v>
      </c>
      <c r="BT29" s="37" t="n">
        <f aca="false">BT27*①통합_가정!$E$164</f>
        <v>186.4278</v>
      </c>
      <c r="BU29" s="37" t="n">
        <f aca="false">BU27*①통합_가정!$E$164</f>
        <v>180.414</v>
      </c>
      <c r="BV29" s="37" t="n">
        <f aca="false">BV27*①통합_가정!$E$164</f>
        <v>186.4278</v>
      </c>
      <c r="BW29" s="37" t="n">
        <f aca="false">BW27*①통합_가정!$E$164</f>
        <v>186.4278</v>
      </c>
      <c r="BX29" s="37" t="n">
        <f aca="false">BX27*①통합_가정!$E$164</f>
        <v>174.4002</v>
      </c>
      <c r="BY29" s="37" t="n">
        <f aca="false">BY27*①통합_가정!$E$164</f>
        <v>219.41118</v>
      </c>
      <c r="BZ29" s="37" t="n">
        <f aca="false">BZ27*①통합_가정!$E$164</f>
        <v>212.3334</v>
      </c>
      <c r="CA29" s="37" t="n">
        <f aca="false">CA27*①통합_가정!$E$164</f>
        <v>219.41118</v>
      </c>
      <c r="CB29" s="37" t="n">
        <f aca="false">CB27*①통합_가정!$E$164</f>
        <v>212.3334</v>
      </c>
      <c r="CC29" s="37" t="n">
        <f aca="false">CC27*①통합_가정!$E$164</f>
        <v>219.41118</v>
      </c>
      <c r="CD29" s="37" t="n">
        <f aca="false">CD27*①통합_가정!$E$164</f>
        <v>219.41118</v>
      </c>
      <c r="CE29" s="37" t="n">
        <f aca="false">CE27*①통합_가정!$E$164</f>
        <v>212.3334</v>
      </c>
      <c r="CF29" s="37" t="n">
        <f aca="false">CF27*①통합_가정!$E$164</f>
        <v>219.41118</v>
      </c>
      <c r="CG29" s="37" t="n">
        <f aca="false">CG27*①통합_가정!$E$164</f>
        <v>212.3334</v>
      </c>
      <c r="CH29" s="37" t="n">
        <f aca="false">CH27*①통합_가정!$E$164</f>
        <v>219.41118</v>
      </c>
      <c r="CI29" s="37" t="n">
        <f aca="false">CI27*①통합_가정!$E$164</f>
        <v>219.41118</v>
      </c>
      <c r="CJ29" s="37" t="n">
        <f aca="false">CJ27*①통합_가정!$E$164</f>
        <v>198.17784</v>
      </c>
      <c r="CK29" s="37" t="n">
        <f aca="false">CK27*①통합_가정!$E$164</f>
        <v>223.7994036</v>
      </c>
      <c r="CL29" s="37" t="n">
        <f aca="false">CL27*①통합_가정!$E$164</f>
        <v>216.580068</v>
      </c>
      <c r="CM29" s="37" t="n">
        <f aca="false">CM27*①통합_가정!$E$164</f>
        <v>223.7994036</v>
      </c>
      <c r="CN29" s="37" t="n">
        <f aca="false">CN27*①통합_가정!$E$164</f>
        <v>216.580068</v>
      </c>
      <c r="CO29" s="37" t="n">
        <f aca="false">CO27*①통합_가정!$E$164</f>
        <v>223.7994036</v>
      </c>
      <c r="CP29" s="37" t="n">
        <f aca="false">CP27*①통합_가정!$E$164</f>
        <v>223.7994036</v>
      </c>
      <c r="CQ29" s="37" t="n">
        <f aca="false">CQ27*①통합_가정!$E$164</f>
        <v>216.580068</v>
      </c>
      <c r="CR29" s="37" t="n">
        <f aca="false">CR27*①통합_가정!$E$164</f>
        <v>223.7994036</v>
      </c>
      <c r="CS29" s="37" t="n">
        <f aca="false">CS27*①통합_가정!$E$164</f>
        <v>216.580068</v>
      </c>
      <c r="CT29" s="37" t="n">
        <f aca="false">CT27*①통합_가정!$E$164</f>
        <v>223.7994036</v>
      </c>
      <c r="CU29" s="37" t="n">
        <f aca="false">CU27*①통합_가정!$E$164</f>
        <v>223.7994036</v>
      </c>
      <c r="CV29" s="37" t="n">
        <f aca="false">CV27*①통합_가정!$E$164</f>
        <v>202.1413968</v>
      </c>
      <c r="CW29" s="37" t="n">
        <f aca="false">CW27*①통합_가정!$E$164</f>
        <v>228.275391672</v>
      </c>
      <c r="CX29" s="37" t="n">
        <f aca="false">CX27*①통합_가정!$E$164</f>
        <v>220.91166936</v>
      </c>
      <c r="CY29" s="37" t="n">
        <f aca="false">CY27*①통합_가정!$E$164</f>
        <v>228.275391672</v>
      </c>
      <c r="CZ29" s="37" t="n">
        <f aca="false">CZ27*①통합_가정!$E$164</f>
        <v>220.91166936</v>
      </c>
      <c r="DA29" s="37" t="n">
        <f aca="false">DA27*①통합_가정!$E$164</f>
        <v>228.275391672</v>
      </c>
      <c r="DB29" s="37" t="n">
        <f aca="false">DB27*①통합_가정!$E$164</f>
        <v>228.275391672</v>
      </c>
      <c r="DC29" s="37" t="n">
        <f aca="false">DC27*①통합_가정!$E$164</f>
        <v>220.91166936</v>
      </c>
      <c r="DD29" s="37" t="n">
        <f aca="false">DD27*①통합_가정!$E$164</f>
        <v>228.275391672</v>
      </c>
      <c r="DE29" s="37" t="n">
        <f aca="false">DE27*①통합_가정!$E$164</f>
        <v>220.91166936</v>
      </c>
      <c r="DF29" s="37" t="n">
        <f aca="false">DF27*①통합_가정!$E$164</f>
        <v>228.275391672</v>
      </c>
      <c r="DG29" s="37" t="n">
        <f aca="false">DG27*①통합_가정!$E$164</f>
        <v>228.275391672</v>
      </c>
      <c r="DH29" s="37" t="n">
        <f aca="false">DH27*①통합_가정!$E$164</f>
        <v>206.184224736</v>
      </c>
      <c r="DI29" s="37" t="n">
        <f aca="false">DI27*①통합_가정!$E$164</f>
        <v>232.84089950544</v>
      </c>
      <c r="DJ29" s="37" t="n">
        <f aca="false">DJ27*①통합_가정!$E$164</f>
        <v>225.3299027472</v>
      </c>
      <c r="DK29" s="37" t="n">
        <f aca="false">DK27*①통합_가정!$E$164</f>
        <v>232.84089950544</v>
      </c>
      <c r="DL29" s="37" t="n">
        <f aca="false">DL27*①통합_가정!$E$164</f>
        <v>225.3299027472</v>
      </c>
      <c r="DM29" s="37" t="n">
        <f aca="false">DM27*①통합_가정!$E$164</f>
        <v>232.84089950544</v>
      </c>
      <c r="DN29" s="37" t="n">
        <f aca="false">DN27*①통합_가정!$E$164</f>
        <v>232.84089950544</v>
      </c>
      <c r="DO29" s="37" t="n">
        <f aca="false">DO27*①통합_가정!$E$164</f>
        <v>225.3299027472</v>
      </c>
      <c r="DP29" s="37" t="n">
        <f aca="false">DP27*①통합_가정!$E$164</f>
        <v>232.84089950544</v>
      </c>
      <c r="DQ29" s="37" t="n">
        <f aca="false">DQ27*①통합_가정!$E$164</f>
        <v>225.3299027472</v>
      </c>
      <c r="DR29" s="37" t="n">
        <f aca="false">DR27*①통합_가정!$E$164</f>
        <v>232.84089950544</v>
      </c>
      <c r="DS29" s="37" t="n">
        <f aca="false">DS27*①통합_가정!$E$164</f>
        <v>232.84089950544</v>
      </c>
      <c r="DT29" s="37" t="n">
        <f aca="false">DT27*①통합_가정!$E$164</f>
        <v>217.81890598896</v>
      </c>
      <c r="DU29" s="37" t="n">
        <f aca="false">DU27*①통합_가정!$E$164</f>
        <v>0</v>
      </c>
      <c r="DV29" s="37" t="n">
        <f aca="false">DV27*①통합_가정!$E$164</f>
        <v>0</v>
      </c>
      <c r="DW29" s="37" t="n">
        <f aca="false">DW27*①통합_가정!$E$164</f>
        <v>0</v>
      </c>
      <c r="DX29" s="37" t="n">
        <f aca="false">DX27*①통합_가정!$E$164</f>
        <v>0</v>
      </c>
      <c r="DY29" s="37" t="n">
        <f aca="false">DY27*①통합_가정!$E$164</f>
        <v>0</v>
      </c>
      <c r="DZ29" s="37" t="n">
        <f aca="false">DZ27*①통합_가정!$E$164</f>
        <v>0</v>
      </c>
      <c r="EA29" s="37" t="n">
        <f aca="false">EA27*①통합_가정!$E$164</f>
        <v>0</v>
      </c>
      <c r="EB29" s="37" t="n">
        <f aca="false">EB27*①통합_가정!$E$164</f>
        <v>0</v>
      </c>
      <c r="EC29" s="37" t="n">
        <f aca="false">EC27*①통합_가정!$E$164</f>
        <v>0</v>
      </c>
      <c r="ED29" s="37" t="n">
        <f aca="false">ED27*①통합_가정!$E$164</f>
        <v>0</v>
      </c>
      <c r="EE29" s="37" t="n">
        <f aca="false">EE27*①통합_가정!$E$164</f>
        <v>0</v>
      </c>
      <c r="EF29" s="37" t="n">
        <f aca="false">EF27*①통합_가정!$E$164</f>
        <v>0</v>
      </c>
    </row>
    <row r="30" customFormat="false" ht="15" hidden="false" customHeight="false" outlineLevel="0" collapsed="false">
      <c r="A30" s="36" t="s">
        <v>262</v>
      </c>
      <c r="B30" s="278" t="s">
        <v>21</v>
      </c>
      <c r="C30" s="279" t="n">
        <f aca="false">SUM(E30:EF30)</f>
        <v>77137.6887083751</v>
      </c>
      <c r="E30" s="37" t="n">
        <f aca="false">E27*①통합_가정!$E$169</f>
        <v>0</v>
      </c>
      <c r="F30" s="37" t="n">
        <f aca="false">F27*①통합_가정!$E$169</f>
        <v>0</v>
      </c>
      <c r="G30" s="37" t="n">
        <f aca="false">G27*①통합_가정!$E$169</f>
        <v>0</v>
      </c>
      <c r="H30" s="37" t="n">
        <f aca="false">H27*①통합_가정!$E$169</f>
        <v>0</v>
      </c>
      <c r="I30" s="37" t="n">
        <f aca="false">I27*①통합_가정!$E$169</f>
        <v>0</v>
      </c>
      <c r="J30" s="37" t="n">
        <f aca="false">J27*①통합_가정!$E$169</f>
        <v>0</v>
      </c>
      <c r="K30" s="37" t="n">
        <f aca="false">K27*①통합_가정!$E$169</f>
        <v>0</v>
      </c>
      <c r="L30" s="37" t="n">
        <f aca="false">L27*①통합_가정!$E$169</f>
        <v>0</v>
      </c>
      <c r="M30" s="37" t="n">
        <f aca="false">M27*①통합_가정!$E$169</f>
        <v>0</v>
      </c>
      <c r="N30" s="37" t="n">
        <f aca="false">N27*①통합_가정!$E$169</f>
        <v>0</v>
      </c>
      <c r="O30" s="37" t="n">
        <f aca="false">O27*①통합_가정!$E$169</f>
        <v>0</v>
      </c>
      <c r="P30" s="37" t="n">
        <f aca="false">P27*①통합_가정!$E$169</f>
        <v>0</v>
      </c>
      <c r="Q30" s="37" t="n">
        <f aca="false">Q27*①통합_가정!$E$169</f>
        <v>0</v>
      </c>
      <c r="R30" s="37" t="n">
        <f aca="false">R27*①통합_가정!$E$169</f>
        <v>0</v>
      </c>
      <c r="S30" s="37" t="n">
        <f aca="false">S27*①통합_가정!$E$169</f>
        <v>0</v>
      </c>
      <c r="T30" s="37" t="n">
        <f aca="false">T27*①통합_가정!$E$169</f>
        <v>0</v>
      </c>
      <c r="U30" s="37" t="n">
        <f aca="false">U27*①통합_가정!$E$169</f>
        <v>0</v>
      </c>
      <c r="V30" s="37" t="n">
        <f aca="false">V27*①통합_가정!$E$169</f>
        <v>0</v>
      </c>
      <c r="W30" s="37" t="n">
        <f aca="false">W27*①통합_가정!$E$169</f>
        <v>0</v>
      </c>
      <c r="X30" s="37" t="n">
        <f aca="false">X27*①통합_가정!$E$169</f>
        <v>0</v>
      </c>
      <c r="Y30" s="37" t="n">
        <f aca="false">Y27*①통합_가정!$E$169</f>
        <v>0</v>
      </c>
      <c r="Z30" s="37" t="n">
        <f aca="false">Z27*①통합_가정!$E$169</f>
        <v>0</v>
      </c>
      <c r="AA30" s="37" t="n">
        <f aca="false">AA27*①통합_가정!$E$169</f>
        <v>0</v>
      </c>
      <c r="AB30" s="37" t="n">
        <f aca="false">AB27*①통합_가정!$E$169</f>
        <v>0</v>
      </c>
      <c r="AC30" s="37" t="n">
        <f aca="false">AC27*①통합_가정!$E$169</f>
        <v>0</v>
      </c>
      <c r="AD30" s="37" t="n">
        <f aca="false">AD27*①통합_가정!$E$169</f>
        <v>0</v>
      </c>
      <c r="AE30" s="37" t="n">
        <f aca="false">AE27*①통합_가정!$E$169</f>
        <v>0</v>
      </c>
      <c r="AF30" s="37" t="n">
        <f aca="false">AF27*①통합_가정!$E$169</f>
        <v>0</v>
      </c>
      <c r="AG30" s="37" t="n">
        <f aca="false">AG27*①통합_가정!$E$169</f>
        <v>0</v>
      </c>
      <c r="AH30" s="37" t="n">
        <f aca="false">AH27*①통합_가정!$E$169</f>
        <v>0</v>
      </c>
      <c r="AI30" s="37" t="n">
        <f aca="false">AI27*①통합_가정!$E$169</f>
        <v>0</v>
      </c>
      <c r="AJ30" s="37" t="n">
        <f aca="false">AJ27*①통합_가정!$E$169</f>
        <v>0</v>
      </c>
      <c r="AK30" s="37" t="n">
        <f aca="false">AK27*①통합_가정!$E$169</f>
        <v>0</v>
      </c>
      <c r="AL30" s="37" t="n">
        <f aca="false">AL27*①통합_가정!$E$169</f>
        <v>0</v>
      </c>
      <c r="AM30" s="37" t="n">
        <f aca="false">AM27*①통합_가정!$E$169</f>
        <v>0</v>
      </c>
      <c r="AN30" s="37" t="n">
        <f aca="false">AN27*①통합_가정!$E$169</f>
        <v>0</v>
      </c>
      <c r="AO30" s="37" t="n">
        <f aca="false">AO27*①통합_가정!$E$169</f>
        <v>0</v>
      </c>
      <c r="AP30" s="37" t="n">
        <f aca="false">AP27*①통합_가정!$E$169</f>
        <v>0</v>
      </c>
      <c r="AQ30" s="37" t="n">
        <f aca="false">AQ27*①통합_가정!$E$169</f>
        <v>0</v>
      </c>
      <c r="AR30" s="37" t="n">
        <f aca="false">AR27*①통합_가정!$E$169</f>
        <v>0</v>
      </c>
      <c r="AS30" s="37" t="n">
        <f aca="false">AS27*①통합_가정!$E$169</f>
        <v>0</v>
      </c>
      <c r="AT30" s="37" t="n">
        <f aca="false">AT27*①통합_가정!$E$169</f>
        <v>0</v>
      </c>
      <c r="AU30" s="37" t="n">
        <f aca="false">AU27*①통합_가정!$E$169</f>
        <v>0</v>
      </c>
      <c r="AV30" s="37" t="n">
        <f aca="false">AV27*①통합_가정!$E$169</f>
        <v>0</v>
      </c>
      <c r="AW30" s="37" t="n">
        <f aca="false">AW27*①통합_가정!$E$169</f>
        <v>0</v>
      </c>
      <c r="AX30" s="37" t="n">
        <f aca="false">AX27*①통합_가정!$E$169</f>
        <v>0</v>
      </c>
      <c r="AY30" s="37" t="n">
        <f aca="false">AY27*①통합_가정!$E$169</f>
        <v>0</v>
      </c>
      <c r="AZ30" s="37" t="n">
        <f aca="false">AZ27*①통합_가정!$E$169</f>
        <v>0</v>
      </c>
      <c r="BA30" s="37" t="n">
        <f aca="false">BA27*①통합_가정!$E$169</f>
        <v>0</v>
      </c>
      <c r="BB30" s="37" t="n">
        <f aca="false">BB27*①통합_가정!$E$169</f>
        <v>0</v>
      </c>
      <c r="BC30" s="37" t="n">
        <f aca="false">BC27*①통합_가정!$E$169</f>
        <v>0</v>
      </c>
      <c r="BD30" s="37" t="n">
        <f aca="false">BD27*①통합_가정!$E$169</f>
        <v>0</v>
      </c>
      <c r="BE30" s="37" t="n">
        <f aca="false">BE27*①통합_가정!$E$169</f>
        <v>0</v>
      </c>
      <c r="BF30" s="37" t="n">
        <f aca="false">BF27*①통합_가정!$E$169</f>
        <v>0</v>
      </c>
      <c r="BG30" s="37" t="n">
        <f aca="false">BG27*①통합_가정!$E$169</f>
        <v>0</v>
      </c>
      <c r="BH30" s="37" t="n">
        <f aca="false">BH27*①통합_가정!$E$169</f>
        <v>0</v>
      </c>
      <c r="BI30" s="37" t="n">
        <f aca="false">BI27*①통합_가정!$E$169</f>
        <v>0</v>
      </c>
      <c r="BJ30" s="37" t="n">
        <f aca="false">BJ27*①통합_가정!$E$169</f>
        <v>0</v>
      </c>
      <c r="BK30" s="37" t="n">
        <f aca="false">BK27*①통합_가정!$E$169</f>
        <v>0</v>
      </c>
      <c r="BL30" s="37" t="n">
        <f aca="false">BL27*①통합_가정!$E$169</f>
        <v>0</v>
      </c>
      <c r="BM30" s="37" t="n">
        <f aca="false">BM27*①통합_가정!$E$169</f>
        <v>1118.5668</v>
      </c>
      <c r="BN30" s="37" t="n">
        <f aca="false">BN27*①통합_가정!$E$169</f>
        <v>1082.484</v>
      </c>
      <c r="BO30" s="37" t="n">
        <f aca="false">BO27*①통합_가정!$E$169</f>
        <v>1118.5668</v>
      </c>
      <c r="BP30" s="37" t="n">
        <f aca="false">BP27*①통합_가정!$E$169</f>
        <v>1082.484</v>
      </c>
      <c r="BQ30" s="37" t="n">
        <f aca="false">BQ27*①통합_가정!$E$169</f>
        <v>1118.5668</v>
      </c>
      <c r="BR30" s="37" t="n">
        <f aca="false">BR27*①통합_가정!$E$169</f>
        <v>1118.5668</v>
      </c>
      <c r="BS30" s="37" t="n">
        <f aca="false">BS27*①통합_가정!$E$169</f>
        <v>1082.484</v>
      </c>
      <c r="BT30" s="37" t="n">
        <f aca="false">BT27*①통합_가정!$E$169</f>
        <v>1118.5668</v>
      </c>
      <c r="BU30" s="37" t="n">
        <f aca="false">BU27*①통합_가정!$E$169</f>
        <v>1082.484</v>
      </c>
      <c r="BV30" s="37" t="n">
        <f aca="false">BV27*①통합_가정!$E$169</f>
        <v>1118.5668</v>
      </c>
      <c r="BW30" s="37" t="n">
        <f aca="false">BW27*①통합_가정!$E$169</f>
        <v>1118.5668</v>
      </c>
      <c r="BX30" s="37" t="n">
        <f aca="false">BX27*①통합_가정!$E$169</f>
        <v>1046.4012</v>
      </c>
      <c r="BY30" s="37" t="n">
        <f aca="false">BY27*①통합_가정!$E$169</f>
        <v>1316.46708</v>
      </c>
      <c r="BZ30" s="37" t="n">
        <f aca="false">BZ27*①통합_가정!$E$169</f>
        <v>1274.0004</v>
      </c>
      <c r="CA30" s="37" t="n">
        <f aca="false">CA27*①통합_가정!$E$169</f>
        <v>1316.46708</v>
      </c>
      <c r="CB30" s="37" t="n">
        <f aca="false">CB27*①통합_가정!$E$169</f>
        <v>1274.0004</v>
      </c>
      <c r="CC30" s="37" t="n">
        <f aca="false">CC27*①통합_가정!$E$169</f>
        <v>1316.46708</v>
      </c>
      <c r="CD30" s="37" t="n">
        <f aca="false">CD27*①통합_가정!$E$169</f>
        <v>1316.46708</v>
      </c>
      <c r="CE30" s="37" t="n">
        <f aca="false">CE27*①통합_가정!$E$169</f>
        <v>1274.0004</v>
      </c>
      <c r="CF30" s="37" t="n">
        <f aca="false">CF27*①통합_가정!$E$169</f>
        <v>1316.46708</v>
      </c>
      <c r="CG30" s="37" t="n">
        <f aca="false">CG27*①통합_가정!$E$169</f>
        <v>1274.0004</v>
      </c>
      <c r="CH30" s="37" t="n">
        <f aca="false">CH27*①통합_가정!$E$169</f>
        <v>1316.46708</v>
      </c>
      <c r="CI30" s="37" t="n">
        <f aca="false">CI27*①통합_가정!$E$169</f>
        <v>1316.46708</v>
      </c>
      <c r="CJ30" s="37" t="n">
        <f aca="false">CJ27*①통합_가정!$E$169</f>
        <v>1189.06704</v>
      </c>
      <c r="CK30" s="37" t="n">
        <f aca="false">CK27*①통합_가정!$E$169</f>
        <v>1342.7964216</v>
      </c>
      <c r="CL30" s="37" t="n">
        <f aca="false">CL27*①통합_가정!$E$169</f>
        <v>1299.480408</v>
      </c>
      <c r="CM30" s="37" t="n">
        <f aca="false">CM27*①통합_가정!$E$169</f>
        <v>1342.7964216</v>
      </c>
      <c r="CN30" s="37" t="n">
        <f aca="false">CN27*①통합_가정!$E$169</f>
        <v>1299.480408</v>
      </c>
      <c r="CO30" s="37" t="n">
        <f aca="false">CO27*①통합_가정!$E$169</f>
        <v>1342.7964216</v>
      </c>
      <c r="CP30" s="37" t="n">
        <f aca="false">CP27*①통합_가정!$E$169</f>
        <v>1342.7964216</v>
      </c>
      <c r="CQ30" s="37" t="n">
        <f aca="false">CQ27*①통합_가정!$E$169</f>
        <v>1299.480408</v>
      </c>
      <c r="CR30" s="37" t="n">
        <f aca="false">CR27*①통합_가정!$E$169</f>
        <v>1342.7964216</v>
      </c>
      <c r="CS30" s="37" t="n">
        <f aca="false">CS27*①통합_가정!$E$169</f>
        <v>1299.480408</v>
      </c>
      <c r="CT30" s="37" t="n">
        <f aca="false">CT27*①통합_가정!$E$169</f>
        <v>1342.7964216</v>
      </c>
      <c r="CU30" s="37" t="n">
        <f aca="false">CU27*①통합_가정!$E$169</f>
        <v>1342.7964216</v>
      </c>
      <c r="CV30" s="37" t="n">
        <f aca="false">CV27*①통합_가정!$E$169</f>
        <v>1212.8483808</v>
      </c>
      <c r="CW30" s="37" t="n">
        <f aca="false">CW27*①통합_가정!$E$169</f>
        <v>1369.652350032</v>
      </c>
      <c r="CX30" s="37" t="n">
        <f aca="false">CX27*①통합_가정!$E$169</f>
        <v>1325.47001616</v>
      </c>
      <c r="CY30" s="37" t="n">
        <f aca="false">CY27*①통합_가정!$E$169</f>
        <v>1369.652350032</v>
      </c>
      <c r="CZ30" s="37" t="n">
        <f aca="false">CZ27*①통합_가정!$E$169</f>
        <v>1325.47001616</v>
      </c>
      <c r="DA30" s="37" t="n">
        <f aca="false">DA27*①통합_가정!$E$169</f>
        <v>1369.652350032</v>
      </c>
      <c r="DB30" s="37" t="n">
        <f aca="false">DB27*①통합_가정!$E$169</f>
        <v>1369.652350032</v>
      </c>
      <c r="DC30" s="37" t="n">
        <f aca="false">DC27*①통합_가정!$E$169</f>
        <v>1325.47001616</v>
      </c>
      <c r="DD30" s="37" t="n">
        <f aca="false">DD27*①통합_가정!$E$169</f>
        <v>1369.652350032</v>
      </c>
      <c r="DE30" s="37" t="n">
        <f aca="false">DE27*①통합_가정!$E$169</f>
        <v>1325.47001616</v>
      </c>
      <c r="DF30" s="37" t="n">
        <f aca="false">DF27*①통합_가정!$E$169</f>
        <v>1369.652350032</v>
      </c>
      <c r="DG30" s="37" t="n">
        <f aca="false">DG27*①통합_가정!$E$169</f>
        <v>1369.652350032</v>
      </c>
      <c r="DH30" s="37" t="n">
        <f aca="false">DH27*①통합_가정!$E$169</f>
        <v>1237.105348416</v>
      </c>
      <c r="DI30" s="37" t="n">
        <f aca="false">DI27*①통합_가정!$E$169</f>
        <v>1397.04539703264</v>
      </c>
      <c r="DJ30" s="37" t="n">
        <f aca="false">DJ27*①통합_가정!$E$169</f>
        <v>1351.9794164832</v>
      </c>
      <c r="DK30" s="37" t="n">
        <f aca="false">DK27*①통합_가정!$E$169</f>
        <v>1397.04539703264</v>
      </c>
      <c r="DL30" s="37" t="n">
        <f aca="false">DL27*①통합_가정!$E$169</f>
        <v>1351.9794164832</v>
      </c>
      <c r="DM30" s="37" t="n">
        <f aca="false">DM27*①통합_가정!$E$169</f>
        <v>1397.04539703264</v>
      </c>
      <c r="DN30" s="37" t="n">
        <f aca="false">DN27*①통합_가정!$E$169</f>
        <v>1397.04539703264</v>
      </c>
      <c r="DO30" s="37" t="n">
        <f aca="false">DO27*①통합_가정!$E$169</f>
        <v>1351.9794164832</v>
      </c>
      <c r="DP30" s="37" t="n">
        <f aca="false">DP27*①통합_가정!$E$169</f>
        <v>1397.04539703264</v>
      </c>
      <c r="DQ30" s="37" t="n">
        <f aca="false">DQ27*①통합_가정!$E$169</f>
        <v>1351.9794164832</v>
      </c>
      <c r="DR30" s="37" t="n">
        <f aca="false">DR27*①통합_가정!$E$169</f>
        <v>1397.04539703264</v>
      </c>
      <c r="DS30" s="37" t="n">
        <f aca="false">DS27*①통합_가정!$E$169</f>
        <v>1397.04539703264</v>
      </c>
      <c r="DT30" s="37" t="n">
        <f aca="false">DT27*①통합_가정!$E$169</f>
        <v>1306.91343593376</v>
      </c>
      <c r="DU30" s="37" t="n">
        <f aca="false">DU27*①통합_가정!$E$169</f>
        <v>0</v>
      </c>
      <c r="DV30" s="37" t="n">
        <f aca="false">DV27*①통합_가정!$E$169</f>
        <v>0</v>
      </c>
      <c r="DW30" s="37" t="n">
        <f aca="false">DW27*①통합_가정!$E$169</f>
        <v>0</v>
      </c>
      <c r="DX30" s="37" t="n">
        <f aca="false">DX27*①통합_가정!$E$169</f>
        <v>0</v>
      </c>
      <c r="DY30" s="37" t="n">
        <f aca="false">DY27*①통합_가정!$E$169</f>
        <v>0</v>
      </c>
      <c r="DZ30" s="37" t="n">
        <f aca="false">DZ27*①통합_가정!$E$169</f>
        <v>0</v>
      </c>
      <c r="EA30" s="37" t="n">
        <f aca="false">EA27*①통합_가정!$E$169</f>
        <v>0</v>
      </c>
      <c r="EB30" s="37" t="n">
        <f aca="false">EB27*①통합_가정!$E$169</f>
        <v>0</v>
      </c>
      <c r="EC30" s="37" t="n">
        <f aca="false">EC27*①통합_가정!$E$169</f>
        <v>0</v>
      </c>
      <c r="ED30" s="37" t="n">
        <f aca="false">ED27*①통합_가정!$E$169</f>
        <v>0</v>
      </c>
      <c r="EE30" s="37" t="n">
        <f aca="false">EE27*①통합_가정!$E$169</f>
        <v>0</v>
      </c>
      <c r="EF30" s="37" t="n">
        <f aca="false">EF27*①통합_가정!$E$169</f>
        <v>0</v>
      </c>
    </row>
    <row r="31" customFormat="false" ht="15" hidden="false" customHeight="false" outlineLevel="0" collapsed="false">
      <c r="A31" s="36" t="s">
        <v>264</v>
      </c>
      <c r="B31" s="278" t="s">
        <v>21</v>
      </c>
      <c r="C31" s="279" t="n">
        <f aca="false">SUM(E31:EF31)</f>
        <v>29997.990053257</v>
      </c>
      <c r="E31" s="37" t="n">
        <f aca="false">E27*①통합_가정!$E$170</f>
        <v>0</v>
      </c>
      <c r="F31" s="37" t="n">
        <f aca="false">F27*①통합_가정!$E$170</f>
        <v>0</v>
      </c>
      <c r="G31" s="37" t="n">
        <f aca="false">G27*①통합_가정!$E$170</f>
        <v>0</v>
      </c>
      <c r="H31" s="37" t="n">
        <f aca="false">H27*①통합_가정!$E$170</f>
        <v>0</v>
      </c>
      <c r="I31" s="37" t="n">
        <f aca="false">I27*①통합_가정!$E$170</f>
        <v>0</v>
      </c>
      <c r="J31" s="37" t="n">
        <f aca="false">J27*①통합_가정!$E$170</f>
        <v>0</v>
      </c>
      <c r="K31" s="37" t="n">
        <f aca="false">K27*①통합_가정!$E$170</f>
        <v>0</v>
      </c>
      <c r="L31" s="37" t="n">
        <f aca="false">L27*①통합_가정!$E$170</f>
        <v>0</v>
      </c>
      <c r="M31" s="37" t="n">
        <f aca="false">M27*①통합_가정!$E$170</f>
        <v>0</v>
      </c>
      <c r="N31" s="37" t="n">
        <f aca="false">N27*①통합_가정!$E$170</f>
        <v>0</v>
      </c>
      <c r="O31" s="37" t="n">
        <f aca="false">O27*①통합_가정!$E$170</f>
        <v>0</v>
      </c>
      <c r="P31" s="37" t="n">
        <f aca="false">P27*①통합_가정!$E$170</f>
        <v>0</v>
      </c>
      <c r="Q31" s="37" t="n">
        <f aca="false">Q27*①통합_가정!$E$170</f>
        <v>0</v>
      </c>
      <c r="R31" s="37" t="n">
        <f aca="false">R27*①통합_가정!$E$170</f>
        <v>0</v>
      </c>
      <c r="S31" s="37" t="n">
        <f aca="false">S27*①통합_가정!$E$170</f>
        <v>0</v>
      </c>
      <c r="T31" s="37" t="n">
        <f aca="false">T27*①통합_가정!$E$170</f>
        <v>0</v>
      </c>
      <c r="U31" s="37" t="n">
        <f aca="false">U27*①통합_가정!$E$170</f>
        <v>0</v>
      </c>
      <c r="V31" s="37" t="n">
        <f aca="false">V27*①통합_가정!$E$170</f>
        <v>0</v>
      </c>
      <c r="W31" s="37" t="n">
        <f aca="false">W27*①통합_가정!$E$170</f>
        <v>0</v>
      </c>
      <c r="X31" s="37" t="n">
        <f aca="false">X27*①통합_가정!$E$170</f>
        <v>0</v>
      </c>
      <c r="Y31" s="37" t="n">
        <f aca="false">Y27*①통합_가정!$E$170</f>
        <v>0</v>
      </c>
      <c r="Z31" s="37" t="n">
        <f aca="false">Z27*①통합_가정!$E$170</f>
        <v>0</v>
      </c>
      <c r="AA31" s="37" t="n">
        <f aca="false">AA27*①통합_가정!$E$170</f>
        <v>0</v>
      </c>
      <c r="AB31" s="37" t="n">
        <f aca="false">AB27*①통합_가정!$E$170</f>
        <v>0</v>
      </c>
      <c r="AC31" s="37" t="n">
        <f aca="false">AC27*①통합_가정!$E$170</f>
        <v>0</v>
      </c>
      <c r="AD31" s="37" t="n">
        <f aca="false">AD27*①통합_가정!$E$170</f>
        <v>0</v>
      </c>
      <c r="AE31" s="37" t="n">
        <f aca="false">AE27*①통합_가정!$E$170</f>
        <v>0</v>
      </c>
      <c r="AF31" s="37" t="n">
        <f aca="false">AF27*①통합_가정!$E$170</f>
        <v>0</v>
      </c>
      <c r="AG31" s="37" t="n">
        <f aca="false">AG27*①통합_가정!$E$170</f>
        <v>0</v>
      </c>
      <c r="AH31" s="37" t="n">
        <f aca="false">AH27*①통합_가정!$E$170</f>
        <v>0</v>
      </c>
      <c r="AI31" s="37" t="n">
        <f aca="false">AI27*①통합_가정!$E$170</f>
        <v>0</v>
      </c>
      <c r="AJ31" s="37" t="n">
        <f aca="false">AJ27*①통합_가정!$E$170</f>
        <v>0</v>
      </c>
      <c r="AK31" s="37" t="n">
        <f aca="false">AK27*①통합_가정!$E$170</f>
        <v>0</v>
      </c>
      <c r="AL31" s="37" t="n">
        <f aca="false">AL27*①통합_가정!$E$170</f>
        <v>0</v>
      </c>
      <c r="AM31" s="37" t="n">
        <f aca="false">AM27*①통합_가정!$E$170</f>
        <v>0</v>
      </c>
      <c r="AN31" s="37" t="n">
        <f aca="false">AN27*①통합_가정!$E$170</f>
        <v>0</v>
      </c>
      <c r="AO31" s="37" t="n">
        <f aca="false">AO27*①통합_가정!$E$170</f>
        <v>0</v>
      </c>
      <c r="AP31" s="37" t="n">
        <f aca="false">AP27*①통합_가정!$E$170</f>
        <v>0</v>
      </c>
      <c r="AQ31" s="37" t="n">
        <f aca="false">AQ27*①통합_가정!$E$170</f>
        <v>0</v>
      </c>
      <c r="AR31" s="37" t="n">
        <f aca="false">AR27*①통합_가정!$E$170</f>
        <v>0</v>
      </c>
      <c r="AS31" s="37" t="n">
        <f aca="false">AS27*①통합_가정!$E$170</f>
        <v>0</v>
      </c>
      <c r="AT31" s="37" t="n">
        <f aca="false">AT27*①통합_가정!$E$170</f>
        <v>0</v>
      </c>
      <c r="AU31" s="37" t="n">
        <f aca="false">AU27*①통합_가정!$E$170</f>
        <v>0</v>
      </c>
      <c r="AV31" s="37" t="n">
        <f aca="false">AV27*①통합_가정!$E$170</f>
        <v>0</v>
      </c>
      <c r="AW31" s="37" t="n">
        <f aca="false">AW27*①통합_가정!$E$170</f>
        <v>0</v>
      </c>
      <c r="AX31" s="37" t="n">
        <f aca="false">AX27*①통합_가정!$E$170</f>
        <v>0</v>
      </c>
      <c r="AY31" s="37" t="n">
        <f aca="false">AY27*①통합_가정!$E$170</f>
        <v>0</v>
      </c>
      <c r="AZ31" s="37" t="n">
        <f aca="false">AZ27*①통합_가정!$E$170</f>
        <v>0</v>
      </c>
      <c r="BA31" s="37" t="n">
        <f aca="false">BA27*①통합_가정!$E$170</f>
        <v>0</v>
      </c>
      <c r="BB31" s="37" t="n">
        <f aca="false">BB27*①통합_가정!$E$170</f>
        <v>0</v>
      </c>
      <c r="BC31" s="37" t="n">
        <f aca="false">BC27*①통합_가정!$E$170</f>
        <v>0</v>
      </c>
      <c r="BD31" s="37" t="n">
        <f aca="false">BD27*①통합_가정!$E$170</f>
        <v>0</v>
      </c>
      <c r="BE31" s="37" t="n">
        <f aca="false">BE27*①통합_가정!$E$170</f>
        <v>0</v>
      </c>
      <c r="BF31" s="37" t="n">
        <f aca="false">BF27*①통합_가정!$E$170</f>
        <v>0</v>
      </c>
      <c r="BG31" s="37" t="n">
        <f aca="false">BG27*①통합_가정!$E$170</f>
        <v>0</v>
      </c>
      <c r="BH31" s="37" t="n">
        <f aca="false">BH27*①통합_가정!$E$170</f>
        <v>0</v>
      </c>
      <c r="BI31" s="37" t="n">
        <f aca="false">BI27*①통합_가정!$E$170</f>
        <v>0</v>
      </c>
      <c r="BJ31" s="37" t="n">
        <f aca="false">BJ27*①통합_가정!$E$170</f>
        <v>0</v>
      </c>
      <c r="BK31" s="37" t="n">
        <f aca="false">BK27*①통합_가정!$E$170</f>
        <v>0</v>
      </c>
      <c r="BL31" s="37" t="n">
        <f aca="false">BL27*①통합_가정!$E$170</f>
        <v>0</v>
      </c>
      <c r="BM31" s="37" t="n">
        <f aca="false">BM27*①통합_가정!$E$170</f>
        <v>434.9982</v>
      </c>
      <c r="BN31" s="37" t="n">
        <f aca="false">BN27*①통합_가정!$E$170</f>
        <v>420.966</v>
      </c>
      <c r="BO31" s="37" t="n">
        <f aca="false">BO27*①통합_가정!$E$170</f>
        <v>434.9982</v>
      </c>
      <c r="BP31" s="37" t="n">
        <f aca="false">BP27*①통합_가정!$E$170</f>
        <v>420.966</v>
      </c>
      <c r="BQ31" s="37" t="n">
        <f aca="false">BQ27*①통합_가정!$E$170</f>
        <v>434.9982</v>
      </c>
      <c r="BR31" s="37" t="n">
        <f aca="false">BR27*①통합_가정!$E$170</f>
        <v>434.9982</v>
      </c>
      <c r="BS31" s="37" t="n">
        <f aca="false">BS27*①통합_가정!$E$170</f>
        <v>420.966</v>
      </c>
      <c r="BT31" s="37" t="n">
        <f aca="false">BT27*①통합_가정!$E$170</f>
        <v>434.9982</v>
      </c>
      <c r="BU31" s="37" t="n">
        <f aca="false">BU27*①통합_가정!$E$170</f>
        <v>420.966</v>
      </c>
      <c r="BV31" s="37" t="n">
        <f aca="false">BV27*①통합_가정!$E$170</f>
        <v>434.9982</v>
      </c>
      <c r="BW31" s="37" t="n">
        <f aca="false">BW27*①통합_가정!$E$170</f>
        <v>434.9982</v>
      </c>
      <c r="BX31" s="37" t="n">
        <f aca="false">BX27*①통합_가정!$E$170</f>
        <v>406.9338</v>
      </c>
      <c r="BY31" s="37" t="n">
        <f aca="false">BY27*①통합_가정!$E$170</f>
        <v>511.95942</v>
      </c>
      <c r="BZ31" s="37" t="n">
        <f aca="false">BZ27*①통합_가정!$E$170</f>
        <v>495.4446</v>
      </c>
      <c r="CA31" s="37" t="n">
        <f aca="false">CA27*①통합_가정!$E$170</f>
        <v>511.95942</v>
      </c>
      <c r="CB31" s="37" t="n">
        <f aca="false">CB27*①통합_가정!$E$170</f>
        <v>495.4446</v>
      </c>
      <c r="CC31" s="37" t="n">
        <f aca="false">CC27*①통합_가정!$E$170</f>
        <v>511.95942</v>
      </c>
      <c r="CD31" s="37" t="n">
        <f aca="false">CD27*①통합_가정!$E$170</f>
        <v>511.95942</v>
      </c>
      <c r="CE31" s="37" t="n">
        <f aca="false">CE27*①통합_가정!$E$170</f>
        <v>495.4446</v>
      </c>
      <c r="CF31" s="37" t="n">
        <f aca="false">CF27*①통합_가정!$E$170</f>
        <v>511.95942</v>
      </c>
      <c r="CG31" s="37" t="n">
        <f aca="false">CG27*①통합_가정!$E$170</f>
        <v>495.4446</v>
      </c>
      <c r="CH31" s="37" t="n">
        <f aca="false">CH27*①통합_가정!$E$170</f>
        <v>511.95942</v>
      </c>
      <c r="CI31" s="37" t="n">
        <f aca="false">CI27*①통합_가정!$E$170</f>
        <v>511.95942</v>
      </c>
      <c r="CJ31" s="37" t="n">
        <f aca="false">CJ27*①통합_가정!$E$170</f>
        <v>462.41496</v>
      </c>
      <c r="CK31" s="37" t="n">
        <f aca="false">CK27*①통합_가정!$E$170</f>
        <v>522.1986084</v>
      </c>
      <c r="CL31" s="37" t="n">
        <f aca="false">CL27*①통합_가정!$E$170</f>
        <v>505.353492</v>
      </c>
      <c r="CM31" s="37" t="n">
        <f aca="false">CM27*①통합_가정!$E$170</f>
        <v>522.1986084</v>
      </c>
      <c r="CN31" s="37" t="n">
        <f aca="false">CN27*①통합_가정!$E$170</f>
        <v>505.353492</v>
      </c>
      <c r="CO31" s="37" t="n">
        <f aca="false">CO27*①통합_가정!$E$170</f>
        <v>522.1986084</v>
      </c>
      <c r="CP31" s="37" t="n">
        <f aca="false">CP27*①통합_가정!$E$170</f>
        <v>522.1986084</v>
      </c>
      <c r="CQ31" s="37" t="n">
        <f aca="false">CQ27*①통합_가정!$E$170</f>
        <v>505.353492</v>
      </c>
      <c r="CR31" s="37" t="n">
        <f aca="false">CR27*①통합_가정!$E$170</f>
        <v>522.1986084</v>
      </c>
      <c r="CS31" s="37" t="n">
        <f aca="false">CS27*①통합_가정!$E$170</f>
        <v>505.353492</v>
      </c>
      <c r="CT31" s="37" t="n">
        <f aca="false">CT27*①통합_가정!$E$170</f>
        <v>522.1986084</v>
      </c>
      <c r="CU31" s="37" t="n">
        <f aca="false">CU27*①통합_가정!$E$170</f>
        <v>522.1986084</v>
      </c>
      <c r="CV31" s="37" t="n">
        <f aca="false">CV27*①통합_가정!$E$170</f>
        <v>471.6632592</v>
      </c>
      <c r="CW31" s="37" t="n">
        <f aca="false">CW27*①통합_가정!$E$170</f>
        <v>532.642580568</v>
      </c>
      <c r="CX31" s="37" t="n">
        <f aca="false">CX27*①통합_가정!$E$170</f>
        <v>515.46056184</v>
      </c>
      <c r="CY31" s="37" t="n">
        <f aca="false">CY27*①통합_가정!$E$170</f>
        <v>532.642580568</v>
      </c>
      <c r="CZ31" s="37" t="n">
        <f aca="false">CZ27*①통합_가정!$E$170</f>
        <v>515.46056184</v>
      </c>
      <c r="DA31" s="37" t="n">
        <f aca="false">DA27*①통합_가정!$E$170</f>
        <v>532.642580568</v>
      </c>
      <c r="DB31" s="37" t="n">
        <f aca="false">DB27*①통합_가정!$E$170</f>
        <v>532.642580568</v>
      </c>
      <c r="DC31" s="37" t="n">
        <f aca="false">DC27*①통합_가정!$E$170</f>
        <v>515.46056184</v>
      </c>
      <c r="DD31" s="37" t="n">
        <f aca="false">DD27*①통합_가정!$E$170</f>
        <v>532.642580568</v>
      </c>
      <c r="DE31" s="37" t="n">
        <f aca="false">DE27*①통합_가정!$E$170</f>
        <v>515.46056184</v>
      </c>
      <c r="DF31" s="37" t="n">
        <f aca="false">DF27*①통합_가정!$E$170</f>
        <v>532.642580568</v>
      </c>
      <c r="DG31" s="37" t="n">
        <f aca="false">DG27*①통합_가정!$E$170</f>
        <v>532.642580568</v>
      </c>
      <c r="DH31" s="37" t="n">
        <f aca="false">DH27*①통합_가정!$E$170</f>
        <v>481.096524384</v>
      </c>
      <c r="DI31" s="37" t="n">
        <f aca="false">DI27*①통합_가정!$E$170</f>
        <v>543.29543217936</v>
      </c>
      <c r="DJ31" s="37" t="n">
        <f aca="false">DJ27*①통합_가정!$E$170</f>
        <v>525.7697730768</v>
      </c>
      <c r="DK31" s="37" t="n">
        <f aca="false">DK27*①통합_가정!$E$170</f>
        <v>543.29543217936</v>
      </c>
      <c r="DL31" s="37" t="n">
        <f aca="false">DL27*①통합_가정!$E$170</f>
        <v>525.7697730768</v>
      </c>
      <c r="DM31" s="37" t="n">
        <f aca="false">DM27*①통합_가정!$E$170</f>
        <v>543.29543217936</v>
      </c>
      <c r="DN31" s="37" t="n">
        <f aca="false">DN27*①통합_가정!$E$170</f>
        <v>543.29543217936</v>
      </c>
      <c r="DO31" s="37" t="n">
        <f aca="false">DO27*①통합_가정!$E$170</f>
        <v>525.7697730768</v>
      </c>
      <c r="DP31" s="37" t="n">
        <f aca="false">DP27*①통합_가정!$E$170</f>
        <v>543.29543217936</v>
      </c>
      <c r="DQ31" s="37" t="n">
        <f aca="false">DQ27*①통합_가정!$E$170</f>
        <v>525.7697730768</v>
      </c>
      <c r="DR31" s="37" t="n">
        <f aca="false">DR27*①통합_가정!$E$170</f>
        <v>543.29543217936</v>
      </c>
      <c r="DS31" s="37" t="n">
        <f aca="false">DS27*①통합_가정!$E$170</f>
        <v>543.29543217936</v>
      </c>
      <c r="DT31" s="37" t="n">
        <f aca="false">DT27*①통합_가정!$E$170</f>
        <v>508.24411397424</v>
      </c>
      <c r="DU31" s="37" t="n">
        <f aca="false">DU27*①통합_가정!$E$170</f>
        <v>0</v>
      </c>
      <c r="DV31" s="37" t="n">
        <f aca="false">DV27*①통합_가정!$E$170</f>
        <v>0</v>
      </c>
      <c r="DW31" s="37" t="n">
        <f aca="false">DW27*①통합_가정!$E$170</f>
        <v>0</v>
      </c>
      <c r="DX31" s="37" t="n">
        <f aca="false">DX27*①통합_가정!$E$170</f>
        <v>0</v>
      </c>
      <c r="DY31" s="37" t="n">
        <f aca="false">DY27*①통합_가정!$E$170</f>
        <v>0</v>
      </c>
      <c r="DZ31" s="37" t="n">
        <f aca="false">DZ27*①통합_가정!$E$170</f>
        <v>0</v>
      </c>
      <c r="EA31" s="37" t="n">
        <f aca="false">EA27*①통합_가정!$E$170</f>
        <v>0</v>
      </c>
      <c r="EB31" s="37" t="n">
        <f aca="false">EB27*①통합_가정!$E$170</f>
        <v>0</v>
      </c>
      <c r="EC31" s="37" t="n">
        <f aca="false">EC27*①통합_가정!$E$170</f>
        <v>0</v>
      </c>
      <c r="ED31" s="37" t="n">
        <f aca="false">ED27*①통합_가정!$E$170</f>
        <v>0</v>
      </c>
      <c r="EE31" s="37" t="n">
        <f aca="false">EE27*①통합_가정!$E$170</f>
        <v>0</v>
      </c>
      <c r="EF31" s="37" t="n">
        <f aca="false">EF27*①통합_가정!$E$170</f>
        <v>0</v>
      </c>
    </row>
    <row r="32" customFormat="false" ht="15" hidden="false" customHeight="false" outlineLevel="0" collapsed="false">
      <c r="A32" s="36" t="s">
        <v>265</v>
      </c>
      <c r="B32" s="278" t="s">
        <v>21</v>
      </c>
      <c r="C32" s="279" t="n">
        <f aca="false">SUM(E32:EF32)</f>
        <v>96422.1108854688</v>
      </c>
      <c r="E32" s="37" t="n">
        <f aca="false">E27*①통합_가정!$E$171</f>
        <v>0</v>
      </c>
      <c r="F32" s="37" t="n">
        <f aca="false">F27*①통합_가정!$E$171</f>
        <v>0</v>
      </c>
      <c r="G32" s="37" t="n">
        <f aca="false">G27*①통합_가정!$E$171</f>
        <v>0</v>
      </c>
      <c r="H32" s="37" t="n">
        <f aca="false">H27*①통합_가정!$E$171</f>
        <v>0</v>
      </c>
      <c r="I32" s="37" t="n">
        <f aca="false">I27*①통합_가정!$E$171</f>
        <v>0</v>
      </c>
      <c r="J32" s="37" t="n">
        <f aca="false">J27*①통합_가정!$E$171</f>
        <v>0</v>
      </c>
      <c r="K32" s="37" t="n">
        <f aca="false">K27*①통합_가정!$E$171</f>
        <v>0</v>
      </c>
      <c r="L32" s="37" t="n">
        <f aca="false">L27*①통합_가정!$E$171</f>
        <v>0</v>
      </c>
      <c r="M32" s="37" t="n">
        <f aca="false">M27*①통합_가정!$E$171</f>
        <v>0</v>
      </c>
      <c r="N32" s="37" t="n">
        <f aca="false">N27*①통합_가정!$E$171</f>
        <v>0</v>
      </c>
      <c r="O32" s="37" t="n">
        <f aca="false">O27*①통합_가정!$E$171</f>
        <v>0</v>
      </c>
      <c r="P32" s="37" t="n">
        <f aca="false">P27*①통합_가정!$E$171</f>
        <v>0</v>
      </c>
      <c r="Q32" s="37" t="n">
        <f aca="false">Q27*①통합_가정!$E$171</f>
        <v>0</v>
      </c>
      <c r="R32" s="37" t="n">
        <f aca="false">R27*①통합_가정!$E$171</f>
        <v>0</v>
      </c>
      <c r="S32" s="37" t="n">
        <f aca="false">S27*①통합_가정!$E$171</f>
        <v>0</v>
      </c>
      <c r="T32" s="37" t="n">
        <f aca="false">T27*①통합_가정!$E$171</f>
        <v>0</v>
      </c>
      <c r="U32" s="37" t="n">
        <f aca="false">U27*①통합_가정!$E$171</f>
        <v>0</v>
      </c>
      <c r="V32" s="37" t="n">
        <f aca="false">V27*①통합_가정!$E$171</f>
        <v>0</v>
      </c>
      <c r="W32" s="37" t="n">
        <f aca="false">W27*①통합_가정!$E$171</f>
        <v>0</v>
      </c>
      <c r="X32" s="37" t="n">
        <f aca="false">X27*①통합_가정!$E$171</f>
        <v>0</v>
      </c>
      <c r="Y32" s="37" t="n">
        <f aca="false">Y27*①통합_가정!$E$171</f>
        <v>0</v>
      </c>
      <c r="Z32" s="37" t="n">
        <f aca="false">Z27*①통합_가정!$E$171</f>
        <v>0</v>
      </c>
      <c r="AA32" s="37" t="n">
        <f aca="false">AA27*①통합_가정!$E$171</f>
        <v>0</v>
      </c>
      <c r="AB32" s="37" t="n">
        <f aca="false">AB27*①통합_가정!$E$171</f>
        <v>0</v>
      </c>
      <c r="AC32" s="37" t="n">
        <f aca="false">AC27*①통합_가정!$E$171</f>
        <v>0</v>
      </c>
      <c r="AD32" s="37" t="n">
        <f aca="false">AD27*①통합_가정!$E$171</f>
        <v>0</v>
      </c>
      <c r="AE32" s="37" t="n">
        <f aca="false">AE27*①통합_가정!$E$171</f>
        <v>0</v>
      </c>
      <c r="AF32" s="37" t="n">
        <f aca="false">AF27*①통합_가정!$E$171</f>
        <v>0</v>
      </c>
      <c r="AG32" s="37" t="n">
        <f aca="false">AG27*①통합_가정!$E$171</f>
        <v>0</v>
      </c>
      <c r="AH32" s="37" t="n">
        <f aca="false">AH27*①통합_가정!$E$171</f>
        <v>0</v>
      </c>
      <c r="AI32" s="37" t="n">
        <f aca="false">AI27*①통합_가정!$E$171</f>
        <v>0</v>
      </c>
      <c r="AJ32" s="37" t="n">
        <f aca="false">AJ27*①통합_가정!$E$171</f>
        <v>0</v>
      </c>
      <c r="AK32" s="37" t="n">
        <f aca="false">AK27*①통합_가정!$E$171</f>
        <v>0</v>
      </c>
      <c r="AL32" s="37" t="n">
        <f aca="false">AL27*①통합_가정!$E$171</f>
        <v>0</v>
      </c>
      <c r="AM32" s="37" t="n">
        <f aca="false">AM27*①통합_가정!$E$171</f>
        <v>0</v>
      </c>
      <c r="AN32" s="37" t="n">
        <f aca="false">AN27*①통합_가정!$E$171</f>
        <v>0</v>
      </c>
      <c r="AO32" s="37" t="n">
        <f aca="false">AO27*①통합_가정!$E$171</f>
        <v>0</v>
      </c>
      <c r="AP32" s="37" t="n">
        <f aca="false">AP27*①통합_가정!$E$171</f>
        <v>0</v>
      </c>
      <c r="AQ32" s="37" t="n">
        <f aca="false">AQ27*①통합_가정!$E$171</f>
        <v>0</v>
      </c>
      <c r="AR32" s="37" t="n">
        <f aca="false">AR27*①통합_가정!$E$171</f>
        <v>0</v>
      </c>
      <c r="AS32" s="37" t="n">
        <f aca="false">AS27*①통합_가정!$E$171</f>
        <v>0</v>
      </c>
      <c r="AT32" s="37" t="n">
        <f aca="false">AT27*①통합_가정!$E$171</f>
        <v>0</v>
      </c>
      <c r="AU32" s="37" t="n">
        <f aca="false">AU27*①통합_가정!$E$171</f>
        <v>0</v>
      </c>
      <c r="AV32" s="37" t="n">
        <f aca="false">AV27*①통합_가정!$E$171</f>
        <v>0</v>
      </c>
      <c r="AW32" s="37" t="n">
        <f aca="false">AW27*①통합_가정!$E$171</f>
        <v>0</v>
      </c>
      <c r="AX32" s="37" t="n">
        <f aca="false">AX27*①통합_가정!$E$171</f>
        <v>0</v>
      </c>
      <c r="AY32" s="37" t="n">
        <f aca="false">AY27*①통합_가정!$E$171</f>
        <v>0</v>
      </c>
      <c r="AZ32" s="37" t="n">
        <f aca="false">AZ27*①통합_가정!$E$171</f>
        <v>0</v>
      </c>
      <c r="BA32" s="37" t="n">
        <f aca="false">BA27*①통합_가정!$E$171</f>
        <v>0</v>
      </c>
      <c r="BB32" s="37" t="n">
        <f aca="false">BB27*①통합_가정!$E$171</f>
        <v>0</v>
      </c>
      <c r="BC32" s="37" t="n">
        <f aca="false">BC27*①통합_가정!$E$171</f>
        <v>0</v>
      </c>
      <c r="BD32" s="37" t="n">
        <f aca="false">BD27*①통합_가정!$E$171</f>
        <v>0</v>
      </c>
      <c r="BE32" s="37" t="n">
        <f aca="false">BE27*①통합_가정!$E$171</f>
        <v>0</v>
      </c>
      <c r="BF32" s="37" t="n">
        <f aca="false">BF27*①통합_가정!$E$171</f>
        <v>0</v>
      </c>
      <c r="BG32" s="37" t="n">
        <f aca="false">BG27*①통합_가정!$E$171</f>
        <v>0</v>
      </c>
      <c r="BH32" s="37" t="n">
        <f aca="false">BH27*①통합_가정!$E$171</f>
        <v>0</v>
      </c>
      <c r="BI32" s="37" t="n">
        <f aca="false">BI27*①통합_가정!$E$171</f>
        <v>0</v>
      </c>
      <c r="BJ32" s="37" t="n">
        <f aca="false">BJ27*①통합_가정!$E$171</f>
        <v>0</v>
      </c>
      <c r="BK32" s="37" t="n">
        <f aca="false">BK27*①통합_가정!$E$171</f>
        <v>0</v>
      </c>
      <c r="BL32" s="37" t="n">
        <f aca="false">BL27*①통합_가정!$E$171</f>
        <v>0</v>
      </c>
      <c r="BM32" s="37" t="n">
        <f aca="false">BM27*①통합_가정!$E$171</f>
        <v>1398.2085</v>
      </c>
      <c r="BN32" s="37" t="n">
        <f aca="false">BN27*①통합_가정!$E$171</f>
        <v>1353.105</v>
      </c>
      <c r="BO32" s="37" t="n">
        <f aca="false">BO27*①통합_가정!$E$171</f>
        <v>1398.2085</v>
      </c>
      <c r="BP32" s="37" t="n">
        <f aca="false">BP27*①통합_가정!$E$171</f>
        <v>1353.105</v>
      </c>
      <c r="BQ32" s="37" t="n">
        <f aca="false">BQ27*①통합_가정!$E$171</f>
        <v>1398.2085</v>
      </c>
      <c r="BR32" s="37" t="n">
        <f aca="false">BR27*①통합_가정!$E$171</f>
        <v>1398.2085</v>
      </c>
      <c r="BS32" s="37" t="n">
        <f aca="false">BS27*①통합_가정!$E$171</f>
        <v>1353.105</v>
      </c>
      <c r="BT32" s="37" t="n">
        <f aca="false">BT27*①통합_가정!$E$171</f>
        <v>1398.2085</v>
      </c>
      <c r="BU32" s="37" t="n">
        <f aca="false">BU27*①통합_가정!$E$171</f>
        <v>1353.105</v>
      </c>
      <c r="BV32" s="37" t="n">
        <f aca="false">BV27*①통합_가정!$E$171</f>
        <v>1398.2085</v>
      </c>
      <c r="BW32" s="37" t="n">
        <f aca="false">BW27*①통합_가정!$E$171</f>
        <v>1398.2085</v>
      </c>
      <c r="BX32" s="37" t="n">
        <f aca="false">BX27*①통합_가정!$E$171</f>
        <v>1308.0015</v>
      </c>
      <c r="BY32" s="37" t="n">
        <f aca="false">BY27*①통합_가정!$E$171</f>
        <v>1645.58385</v>
      </c>
      <c r="BZ32" s="37" t="n">
        <f aca="false">BZ27*①통합_가정!$E$171</f>
        <v>1592.5005</v>
      </c>
      <c r="CA32" s="37" t="n">
        <f aca="false">CA27*①통합_가정!$E$171</f>
        <v>1645.58385</v>
      </c>
      <c r="CB32" s="37" t="n">
        <f aca="false">CB27*①통합_가정!$E$171</f>
        <v>1592.5005</v>
      </c>
      <c r="CC32" s="37" t="n">
        <f aca="false">CC27*①통합_가정!$E$171</f>
        <v>1645.58385</v>
      </c>
      <c r="CD32" s="37" t="n">
        <f aca="false">CD27*①통합_가정!$E$171</f>
        <v>1645.58385</v>
      </c>
      <c r="CE32" s="37" t="n">
        <f aca="false">CE27*①통합_가정!$E$171</f>
        <v>1592.5005</v>
      </c>
      <c r="CF32" s="37" t="n">
        <f aca="false">CF27*①통합_가정!$E$171</f>
        <v>1645.58385</v>
      </c>
      <c r="CG32" s="37" t="n">
        <f aca="false">CG27*①통합_가정!$E$171</f>
        <v>1592.5005</v>
      </c>
      <c r="CH32" s="37" t="n">
        <f aca="false">CH27*①통합_가정!$E$171</f>
        <v>1645.58385</v>
      </c>
      <c r="CI32" s="37" t="n">
        <f aca="false">CI27*①통합_가정!$E$171</f>
        <v>1645.58385</v>
      </c>
      <c r="CJ32" s="37" t="n">
        <f aca="false">CJ27*①통합_가정!$E$171</f>
        <v>1486.3338</v>
      </c>
      <c r="CK32" s="37" t="n">
        <f aca="false">CK27*①통합_가정!$E$171</f>
        <v>1678.495527</v>
      </c>
      <c r="CL32" s="37" t="n">
        <f aca="false">CL27*①통합_가정!$E$171</f>
        <v>1624.35051</v>
      </c>
      <c r="CM32" s="37" t="n">
        <f aca="false">CM27*①통합_가정!$E$171</f>
        <v>1678.495527</v>
      </c>
      <c r="CN32" s="37" t="n">
        <f aca="false">CN27*①통합_가정!$E$171</f>
        <v>1624.35051</v>
      </c>
      <c r="CO32" s="37" t="n">
        <f aca="false">CO27*①통합_가정!$E$171</f>
        <v>1678.495527</v>
      </c>
      <c r="CP32" s="37" t="n">
        <f aca="false">CP27*①통합_가정!$E$171</f>
        <v>1678.495527</v>
      </c>
      <c r="CQ32" s="37" t="n">
        <f aca="false">CQ27*①통합_가정!$E$171</f>
        <v>1624.35051</v>
      </c>
      <c r="CR32" s="37" t="n">
        <f aca="false">CR27*①통합_가정!$E$171</f>
        <v>1678.495527</v>
      </c>
      <c r="CS32" s="37" t="n">
        <f aca="false">CS27*①통합_가정!$E$171</f>
        <v>1624.35051</v>
      </c>
      <c r="CT32" s="37" t="n">
        <f aca="false">CT27*①통합_가정!$E$171</f>
        <v>1678.495527</v>
      </c>
      <c r="CU32" s="37" t="n">
        <f aca="false">CU27*①통합_가정!$E$171</f>
        <v>1678.495527</v>
      </c>
      <c r="CV32" s="37" t="n">
        <f aca="false">CV27*①통합_가정!$E$171</f>
        <v>1516.060476</v>
      </c>
      <c r="CW32" s="37" t="n">
        <f aca="false">CW27*①통합_가정!$E$171</f>
        <v>1712.06543754</v>
      </c>
      <c r="CX32" s="37" t="n">
        <f aca="false">CX27*①통합_가정!$E$171</f>
        <v>1656.8375202</v>
      </c>
      <c r="CY32" s="37" t="n">
        <f aca="false">CY27*①통합_가정!$E$171</f>
        <v>1712.06543754</v>
      </c>
      <c r="CZ32" s="37" t="n">
        <f aca="false">CZ27*①통합_가정!$E$171</f>
        <v>1656.8375202</v>
      </c>
      <c r="DA32" s="37" t="n">
        <f aca="false">DA27*①통합_가정!$E$171</f>
        <v>1712.06543754</v>
      </c>
      <c r="DB32" s="37" t="n">
        <f aca="false">DB27*①통합_가정!$E$171</f>
        <v>1712.06543754</v>
      </c>
      <c r="DC32" s="37" t="n">
        <f aca="false">DC27*①통합_가정!$E$171</f>
        <v>1656.8375202</v>
      </c>
      <c r="DD32" s="37" t="n">
        <f aca="false">DD27*①통합_가정!$E$171</f>
        <v>1712.06543754</v>
      </c>
      <c r="DE32" s="37" t="n">
        <f aca="false">DE27*①통합_가정!$E$171</f>
        <v>1656.8375202</v>
      </c>
      <c r="DF32" s="37" t="n">
        <f aca="false">DF27*①통합_가정!$E$171</f>
        <v>1712.06543754</v>
      </c>
      <c r="DG32" s="37" t="n">
        <f aca="false">DG27*①통합_가정!$E$171</f>
        <v>1712.06543754</v>
      </c>
      <c r="DH32" s="37" t="n">
        <f aca="false">DH27*①통합_가정!$E$171</f>
        <v>1546.38168552</v>
      </c>
      <c r="DI32" s="37" t="n">
        <f aca="false">DI27*①통합_가정!$E$171</f>
        <v>1746.3067462908</v>
      </c>
      <c r="DJ32" s="37" t="n">
        <f aca="false">DJ27*①통합_가정!$E$171</f>
        <v>1689.974270604</v>
      </c>
      <c r="DK32" s="37" t="n">
        <f aca="false">DK27*①통합_가정!$E$171</f>
        <v>1746.3067462908</v>
      </c>
      <c r="DL32" s="37" t="n">
        <f aca="false">DL27*①통합_가정!$E$171</f>
        <v>1689.974270604</v>
      </c>
      <c r="DM32" s="37" t="n">
        <f aca="false">DM27*①통합_가정!$E$171</f>
        <v>1746.3067462908</v>
      </c>
      <c r="DN32" s="37" t="n">
        <f aca="false">DN27*①통합_가정!$E$171</f>
        <v>1746.3067462908</v>
      </c>
      <c r="DO32" s="37" t="n">
        <f aca="false">DO27*①통합_가정!$E$171</f>
        <v>1689.974270604</v>
      </c>
      <c r="DP32" s="37" t="n">
        <f aca="false">DP27*①통합_가정!$E$171</f>
        <v>1746.3067462908</v>
      </c>
      <c r="DQ32" s="37" t="n">
        <f aca="false">DQ27*①통합_가정!$E$171</f>
        <v>1689.974270604</v>
      </c>
      <c r="DR32" s="37" t="n">
        <f aca="false">DR27*①통합_가정!$E$171</f>
        <v>1746.3067462908</v>
      </c>
      <c r="DS32" s="37" t="n">
        <f aca="false">DS27*①통합_가정!$E$171</f>
        <v>1746.3067462908</v>
      </c>
      <c r="DT32" s="37" t="n">
        <f aca="false">DT27*①통합_가정!$E$171</f>
        <v>1633.6417949172</v>
      </c>
      <c r="DU32" s="37" t="n">
        <f aca="false">DU27*①통합_가정!$E$171</f>
        <v>0</v>
      </c>
      <c r="DV32" s="37" t="n">
        <f aca="false">DV27*①통합_가정!$E$171</f>
        <v>0</v>
      </c>
      <c r="DW32" s="37" t="n">
        <f aca="false">DW27*①통합_가정!$E$171</f>
        <v>0</v>
      </c>
      <c r="DX32" s="37" t="n">
        <f aca="false">DX27*①통합_가정!$E$171</f>
        <v>0</v>
      </c>
      <c r="DY32" s="37" t="n">
        <f aca="false">DY27*①통합_가정!$E$171</f>
        <v>0</v>
      </c>
      <c r="DZ32" s="37" t="n">
        <f aca="false">DZ27*①통합_가정!$E$171</f>
        <v>0</v>
      </c>
      <c r="EA32" s="37" t="n">
        <f aca="false">EA27*①통합_가정!$E$171</f>
        <v>0</v>
      </c>
      <c r="EB32" s="37" t="n">
        <f aca="false">EB27*①통합_가정!$E$171</f>
        <v>0</v>
      </c>
      <c r="EC32" s="37" t="n">
        <f aca="false">EC27*①통합_가정!$E$171</f>
        <v>0</v>
      </c>
      <c r="ED32" s="37" t="n">
        <f aca="false">ED27*①통합_가정!$E$171</f>
        <v>0</v>
      </c>
      <c r="EE32" s="37" t="n">
        <f aca="false">EE27*①통합_가정!$E$171</f>
        <v>0</v>
      </c>
      <c r="EF32" s="37" t="n">
        <f aca="false">EF27*①통합_가정!$E$171</f>
        <v>0</v>
      </c>
    </row>
    <row r="33" customFormat="false" ht="15" hidden="false" customHeight="false" outlineLevel="0" collapsed="false">
      <c r="A33" s="36" t="s">
        <v>266</v>
      </c>
      <c r="B33" s="278" t="s">
        <v>21</v>
      </c>
      <c r="C33" s="279" t="n">
        <f aca="false">SUM(E33:EF33)</f>
        <v>42854.2715046528</v>
      </c>
      <c r="E33" s="37" t="n">
        <f aca="false">E27*①통합_가정!$E$172</f>
        <v>0</v>
      </c>
      <c r="F33" s="37" t="n">
        <f aca="false">F27*①통합_가정!$E$172</f>
        <v>0</v>
      </c>
      <c r="G33" s="37" t="n">
        <f aca="false">G27*①통합_가정!$E$172</f>
        <v>0</v>
      </c>
      <c r="H33" s="37" t="n">
        <f aca="false">H27*①통합_가정!$E$172</f>
        <v>0</v>
      </c>
      <c r="I33" s="37" t="n">
        <f aca="false">I27*①통합_가정!$E$172</f>
        <v>0</v>
      </c>
      <c r="J33" s="37" t="n">
        <f aca="false">J27*①통합_가정!$E$172</f>
        <v>0</v>
      </c>
      <c r="K33" s="37" t="n">
        <f aca="false">K27*①통합_가정!$E$172</f>
        <v>0</v>
      </c>
      <c r="L33" s="37" t="n">
        <f aca="false">L27*①통합_가정!$E$172</f>
        <v>0</v>
      </c>
      <c r="M33" s="37" t="n">
        <f aca="false">M27*①통합_가정!$E$172</f>
        <v>0</v>
      </c>
      <c r="N33" s="37" t="n">
        <f aca="false">N27*①통합_가정!$E$172</f>
        <v>0</v>
      </c>
      <c r="O33" s="37" t="n">
        <f aca="false">O27*①통합_가정!$E$172</f>
        <v>0</v>
      </c>
      <c r="P33" s="37" t="n">
        <f aca="false">P27*①통합_가정!$E$172</f>
        <v>0</v>
      </c>
      <c r="Q33" s="37" t="n">
        <f aca="false">Q27*①통합_가정!$E$172</f>
        <v>0</v>
      </c>
      <c r="R33" s="37" t="n">
        <f aca="false">R27*①통합_가정!$E$172</f>
        <v>0</v>
      </c>
      <c r="S33" s="37" t="n">
        <f aca="false">S27*①통합_가정!$E$172</f>
        <v>0</v>
      </c>
      <c r="T33" s="37" t="n">
        <f aca="false">T27*①통합_가정!$E$172</f>
        <v>0</v>
      </c>
      <c r="U33" s="37" t="n">
        <f aca="false">U27*①통합_가정!$E$172</f>
        <v>0</v>
      </c>
      <c r="V33" s="37" t="n">
        <f aca="false">V27*①통합_가정!$E$172</f>
        <v>0</v>
      </c>
      <c r="W33" s="37" t="n">
        <f aca="false">W27*①통합_가정!$E$172</f>
        <v>0</v>
      </c>
      <c r="X33" s="37" t="n">
        <f aca="false">X27*①통합_가정!$E$172</f>
        <v>0</v>
      </c>
      <c r="Y33" s="37" t="n">
        <f aca="false">Y27*①통합_가정!$E$172</f>
        <v>0</v>
      </c>
      <c r="Z33" s="37" t="n">
        <f aca="false">Z27*①통합_가정!$E$172</f>
        <v>0</v>
      </c>
      <c r="AA33" s="37" t="n">
        <f aca="false">AA27*①통합_가정!$E$172</f>
        <v>0</v>
      </c>
      <c r="AB33" s="37" t="n">
        <f aca="false">AB27*①통합_가정!$E$172</f>
        <v>0</v>
      </c>
      <c r="AC33" s="37" t="n">
        <f aca="false">AC27*①통합_가정!$E$172</f>
        <v>0</v>
      </c>
      <c r="AD33" s="37" t="n">
        <f aca="false">AD27*①통합_가정!$E$172</f>
        <v>0</v>
      </c>
      <c r="AE33" s="37" t="n">
        <f aca="false">AE27*①통합_가정!$E$172</f>
        <v>0</v>
      </c>
      <c r="AF33" s="37" t="n">
        <f aca="false">AF27*①통합_가정!$E$172</f>
        <v>0</v>
      </c>
      <c r="AG33" s="37" t="n">
        <f aca="false">AG27*①통합_가정!$E$172</f>
        <v>0</v>
      </c>
      <c r="AH33" s="37" t="n">
        <f aca="false">AH27*①통합_가정!$E$172</f>
        <v>0</v>
      </c>
      <c r="AI33" s="37" t="n">
        <f aca="false">AI27*①통합_가정!$E$172</f>
        <v>0</v>
      </c>
      <c r="AJ33" s="37" t="n">
        <f aca="false">AJ27*①통합_가정!$E$172</f>
        <v>0</v>
      </c>
      <c r="AK33" s="37" t="n">
        <f aca="false">AK27*①통합_가정!$E$172</f>
        <v>0</v>
      </c>
      <c r="AL33" s="37" t="n">
        <f aca="false">AL27*①통합_가정!$E$172</f>
        <v>0</v>
      </c>
      <c r="AM33" s="37" t="n">
        <f aca="false">AM27*①통합_가정!$E$172</f>
        <v>0</v>
      </c>
      <c r="AN33" s="37" t="n">
        <f aca="false">AN27*①통합_가정!$E$172</f>
        <v>0</v>
      </c>
      <c r="AO33" s="37" t="n">
        <f aca="false">AO27*①통합_가정!$E$172</f>
        <v>0</v>
      </c>
      <c r="AP33" s="37" t="n">
        <f aca="false">AP27*①통합_가정!$E$172</f>
        <v>0</v>
      </c>
      <c r="AQ33" s="37" t="n">
        <f aca="false">AQ27*①통합_가정!$E$172</f>
        <v>0</v>
      </c>
      <c r="AR33" s="37" t="n">
        <f aca="false">AR27*①통합_가정!$E$172</f>
        <v>0</v>
      </c>
      <c r="AS33" s="37" t="n">
        <f aca="false">AS27*①통합_가정!$E$172</f>
        <v>0</v>
      </c>
      <c r="AT33" s="37" t="n">
        <f aca="false">AT27*①통합_가정!$E$172</f>
        <v>0</v>
      </c>
      <c r="AU33" s="37" t="n">
        <f aca="false">AU27*①통합_가정!$E$172</f>
        <v>0</v>
      </c>
      <c r="AV33" s="37" t="n">
        <f aca="false">AV27*①통합_가정!$E$172</f>
        <v>0</v>
      </c>
      <c r="AW33" s="37" t="n">
        <f aca="false">AW27*①통합_가정!$E$172</f>
        <v>0</v>
      </c>
      <c r="AX33" s="37" t="n">
        <f aca="false">AX27*①통합_가정!$E$172</f>
        <v>0</v>
      </c>
      <c r="AY33" s="37" t="n">
        <f aca="false">AY27*①통합_가정!$E$172</f>
        <v>0</v>
      </c>
      <c r="AZ33" s="37" t="n">
        <f aca="false">AZ27*①통합_가정!$E$172</f>
        <v>0</v>
      </c>
      <c r="BA33" s="37" t="n">
        <f aca="false">BA27*①통합_가정!$E$172</f>
        <v>0</v>
      </c>
      <c r="BB33" s="37" t="n">
        <f aca="false">BB27*①통합_가정!$E$172</f>
        <v>0</v>
      </c>
      <c r="BC33" s="37" t="n">
        <f aca="false">BC27*①통합_가정!$E$172</f>
        <v>0</v>
      </c>
      <c r="BD33" s="37" t="n">
        <f aca="false">BD27*①통합_가정!$E$172</f>
        <v>0</v>
      </c>
      <c r="BE33" s="37" t="n">
        <f aca="false">BE27*①통합_가정!$E$172</f>
        <v>0</v>
      </c>
      <c r="BF33" s="37" t="n">
        <f aca="false">BF27*①통합_가정!$E$172</f>
        <v>0</v>
      </c>
      <c r="BG33" s="37" t="n">
        <f aca="false">BG27*①통합_가정!$E$172</f>
        <v>0</v>
      </c>
      <c r="BH33" s="37" t="n">
        <f aca="false">BH27*①통합_가정!$E$172</f>
        <v>0</v>
      </c>
      <c r="BI33" s="37" t="n">
        <f aca="false">BI27*①통합_가정!$E$172</f>
        <v>0</v>
      </c>
      <c r="BJ33" s="37" t="n">
        <f aca="false">BJ27*①통합_가정!$E$172</f>
        <v>0</v>
      </c>
      <c r="BK33" s="37" t="n">
        <f aca="false">BK27*①통합_가정!$E$172</f>
        <v>0</v>
      </c>
      <c r="BL33" s="37" t="n">
        <f aca="false">BL27*①통합_가정!$E$172</f>
        <v>0</v>
      </c>
      <c r="BM33" s="37" t="n">
        <f aca="false">BM27*①통합_가정!$E$172</f>
        <v>621.426</v>
      </c>
      <c r="BN33" s="37" t="n">
        <f aca="false">BN27*①통합_가정!$E$172</f>
        <v>601.38</v>
      </c>
      <c r="BO33" s="37" t="n">
        <f aca="false">BO27*①통합_가정!$E$172</f>
        <v>621.426</v>
      </c>
      <c r="BP33" s="37" t="n">
        <f aca="false">BP27*①통합_가정!$E$172</f>
        <v>601.38</v>
      </c>
      <c r="BQ33" s="37" t="n">
        <f aca="false">BQ27*①통합_가정!$E$172</f>
        <v>621.426</v>
      </c>
      <c r="BR33" s="37" t="n">
        <f aca="false">BR27*①통합_가정!$E$172</f>
        <v>621.426</v>
      </c>
      <c r="BS33" s="37" t="n">
        <f aca="false">BS27*①통합_가정!$E$172</f>
        <v>601.38</v>
      </c>
      <c r="BT33" s="37" t="n">
        <f aca="false">BT27*①통합_가정!$E$172</f>
        <v>621.426</v>
      </c>
      <c r="BU33" s="37" t="n">
        <f aca="false">BU27*①통합_가정!$E$172</f>
        <v>601.38</v>
      </c>
      <c r="BV33" s="37" t="n">
        <f aca="false">BV27*①통합_가정!$E$172</f>
        <v>621.426</v>
      </c>
      <c r="BW33" s="37" t="n">
        <f aca="false">BW27*①통합_가정!$E$172</f>
        <v>621.426</v>
      </c>
      <c r="BX33" s="37" t="n">
        <f aca="false">BX27*①통합_가정!$E$172</f>
        <v>581.334</v>
      </c>
      <c r="BY33" s="37" t="n">
        <f aca="false">BY27*①통합_가정!$E$172</f>
        <v>731.3706</v>
      </c>
      <c r="BZ33" s="37" t="n">
        <f aca="false">BZ27*①통합_가정!$E$172</f>
        <v>707.778</v>
      </c>
      <c r="CA33" s="37" t="n">
        <f aca="false">CA27*①통합_가정!$E$172</f>
        <v>731.3706</v>
      </c>
      <c r="CB33" s="37" t="n">
        <f aca="false">CB27*①통합_가정!$E$172</f>
        <v>707.778</v>
      </c>
      <c r="CC33" s="37" t="n">
        <f aca="false">CC27*①통합_가정!$E$172</f>
        <v>731.3706</v>
      </c>
      <c r="CD33" s="37" t="n">
        <f aca="false">CD27*①통합_가정!$E$172</f>
        <v>731.3706</v>
      </c>
      <c r="CE33" s="37" t="n">
        <f aca="false">CE27*①통합_가정!$E$172</f>
        <v>707.778</v>
      </c>
      <c r="CF33" s="37" t="n">
        <f aca="false">CF27*①통합_가정!$E$172</f>
        <v>731.3706</v>
      </c>
      <c r="CG33" s="37" t="n">
        <f aca="false">CG27*①통합_가정!$E$172</f>
        <v>707.778</v>
      </c>
      <c r="CH33" s="37" t="n">
        <f aca="false">CH27*①통합_가정!$E$172</f>
        <v>731.3706</v>
      </c>
      <c r="CI33" s="37" t="n">
        <f aca="false">CI27*①통합_가정!$E$172</f>
        <v>731.3706</v>
      </c>
      <c r="CJ33" s="37" t="n">
        <f aca="false">CJ27*①통합_가정!$E$172</f>
        <v>660.5928</v>
      </c>
      <c r="CK33" s="37" t="n">
        <f aca="false">CK27*①통합_가정!$E$172</f>
        <v>745.998012</v>
      </c>
      <c r="CL33" s="37" t="n">
        <f aca="false">CL27*①통합_가정!$E$172</f>
        <v>721.93356</v>
      </c>
      <c r="CM33" s="37" t="n">
        <f aca="false">CM27*①통합_가정!$E$172</f>
        <v>745.998012</v>
      </c>
      <c r="CN33" s="37" t="n">
        <f aca="false">CN27*①통합_가정!$E$172</f>
        <v>721.93356</v>
      </c>
      <c r="CO33" s="37" t="n">
        <f aca="false">CO27*①통합_가정!$E$172</f>
        <v>745.998012</v>
      </c>
      <c r="CP33" s="37" t="n">
        <f aca="false">CP27*①통합_가정!$E$172</f>
        <v>745.998012</v>
      </c>
      <c r="CQ33" s="37" t="n">
        <f aca="false">CQ27*①통합_가정!$E$172</f>
        <v>721.93356</v>
      </c>
      <c r="CR33" s="37" t="n">
        <f aca="false">CR27*①통합_가정!$E$172</f>
        <v>745.998012</v>
      </c>
      <c r="CS33" s="37" t="n">
        <f aca="false">CS27*①통합_가정!$E$172</f>
        <v>721.93356</v>
      </c>
      <c r="CT33" s="37" t="n">
        <f aca="false">CT27*①통합_가정!$E$172</f>
        <v>745.998012</v>
      </c>
      <c r="CU33" s="37" t="n">
        <f aca="false">CU27*①통합_가정!$E$172</f>
        <v>745.998012</v>
      </c>
      <c r="CV33" s="37" t="n">
        <f aca="false">CV27*①통합_가정!$E$172</f>
        <v>673.804656</v>
      </c>
      <c r="CW33" s="37" t="n">
        <f aca="false">CW27*①통합_가정!$E$172</f>
        <v>760.91797224</v>
      </c>
      <c r="CX33" s="37" t="n">
        <f aca="false">CX27*①통합_가정!$E$172</f>
        <v>736.3722312</v>
      </c>
      <c r="CY33" s="37" t="n">
        <f aca="false">CY27*①통합_가정!$E$172</f>
        <v>760.91797224</v>
      </c>
      <c r="CZ33" s="37" t="n">
        <f aca="false">CZ27*①통합_가정!$E$172</f>
        <v>736.3722312</v>
      </c>
      <c r="DA33" s="37" t="n">
        <f aca="false">DA27*①통합_가정!$E$172</f>
        <v>760.91797224</v>
      </c>
      <c r="DB33" s="37" t="n">
        <f aca="false">DB27*①통합_가정!$E$172</f>
        <v>760.91797224</v>
      </c>
      <c r="DC33" s="37" t="n">
        <f aca="false">DC27*①통합_가정!$E$172</f>
        <v>736.3722312</v>
      </c>
      <c r="DD33" s="37" t="n">
        <f aca="false">DD27*①통합_가정!$E$172</f>
        <v>760.91797224</v>
      </c>
      <c r="DE33" s="37" t="n">
        <f aca="false">DE27*①통합_가정!$E$172</f>
        <v>736.3722312</v>
      </c>
      <c r="DF33" s="37" t="n">
        <f aca="false">DF27*①통합_가정!$E$172</f>
        <v>760.91797224</v>
      </c>
      <c r="DG33" s="37" t="n">
        <f aca="false">DG27*①통합_가정!$E$172</f>
        <v>760.91797224</v>
      </c>
      <c r="DH33" s="37" t="n">
        <f aca="false">DH27*①통합_가정!$E$172</f>
        <v>687.28074912</v>
      </c>
      <c r="DI33" s="37" t="n">
        <f aca="false">DI27*①통합_가정!$E$172</f>
        <v>776.1363316848</v>
      </c>
      <c r="DJ33" s="37" t="n">
        <f aca="false">DJ27*①통합_가정!$E$172</f>
        <v>751.099675824</v>
      </c>
      <c r="DK33" s="37" t="n">
        <f aca="false">DK27*①통합_가정!$E$172</f>
        <v>776.1363316848</v>
      </c>
      <c r="DL33" s="37" t="n">
        <f aca="false">DL27*①통합_가정!$E$172</f>
        <v>751.099675824</v>
      </c>
      <c r="DM33" s="37" t="n">
        <f aca="false">DM27*①통합_가정!$E$172</f>
        <v>776.1363316848</v>
      </c>
      <c r="DN33" s="37" t="n">
        <f aca="false">DN27*①통합_가정!$E$172</f>
        <v>776.1363316848</v>
      </c>
      <c r="DO33" s="37" t="n">
        <f aca="false">DO27*①통합_가정!$E$172</f>
        <v>751.099675824</v>
      </c>
      <c r="DP33" s="37" t="n">
        <f aca="false">DP27*①통합_가정!$E$172</f>
        <v>776.1363316848</v>
      </c>
      <c r="DQ33" s="37" t="n">
        <f aca="false">DQ27*①통합_가정!$E$172</f>
        <v>751.099675824</v>
      </c>
      <c r="DR33" s="37" t="n">
        <f aca="false">DR27*①통합_가정!$E$172</f>
        <v>776.1363316848</v>
      </c>
      <c r="DS33" s="37" t="n">
        <f aca="false">DS27*①통합_가정!$E$172</f>
        <v>776.1363316848</v>
      </c>
      <c r="DT33" s="37" t="n">
        <f aca="false">DT27*①통합_가정!$E$172</f>
        <v>726.0630199632</v>
      </c>
      <c r="DU33" s="37" t="n">
        <f aca="false">DU27*①통합_가정!$E$172</f>
        <v>0</v>
      </c>
      <c r="DV33" s="37" t="n">
        <f aca="false">DV27*①통합_가정!$E$172</f>
        <v>0</v>
      </c>
      <c r="DW33" s="37" t="n">
        <f aca="false">DW27*①통합_가정!$E$172</f>
        <v>0</v>
      </c>
      <c r="DX33" s="37" t="n">
        <f aca="false">DX27*①통합_가정!$E$172</f>
        <v>0</v>
      </c>
      <c r="DY33" s="37" t="n">
        <f aca="false">DY27*①통합_가정!$E$172</f>
        <v>0</v>
      </c>
      <c r="DZ33" s="37" t="n">
        <f aca="false">DZ27*①통합_가정!$E$172</f>
        <v>0</v>
      </c>
      <c r="EA33" s="37" t="n">
        <f aca="false">EA27*①통합_가정!$E$172</f>
        <v>0</v>
      </c>
      <c r="EB33" s="37" t="n">
        <f aca="false">EB27*①통합_가정!$E$172</f>
        <v>0</v>
      </c>
      <c r="EC33" s="37" t="n">
        <f aca="false">EC27*①통합_가정!$E$172</f>
        <v>0</v>
      </c>
      <c r="ED33" s="37" t="n">
        <f aca="false">ED27*①통합_가정!$E$172</f>
        <v>0</v>
      </c>
      <c r="EE33" s="37" t="n">
        <f aca="false">EE27*①통합_가정!$E$172</f>
        <v>0</v>
      </c>
      <c r="EF33" s="37" t="n">
        <f aca="false">EF27*①통합_가정!$E$172</f>
        <v>0</v>
      </c>
    </row>
    <row r="34" customFormat="false" ht="15" hidden="false" customHeight="false" outlineLevel="0" collapsed="false">
      <c r="A34" s="153" t="s">
        <v>267</v>
      </c>
      <c r="B34" s="278" t="s">
        <v>21</v>
      </c>
      <c r="C34" s="279" t="n">
        <f aca="false">SUM(E34:EF34)</f>
        <v>8570.85430093056</v>
      </c>
      <c r="E34" s="37" t="n">
        <f aca="false">E33*①통합_가정!$E$173</f>
        <v>0</v>
      </c>
      <c r="F34" s="37" t="n">
        <f aca="false">F33*①통합_가정!$E$173</f>
        <v>0</v>
      </c>
      <c r="G34" s="37" t="n">
        <f aca="false">G33*①통합_가정!$E$173</f>
        <v>0</v>
      </c>
      <c r="H34" s="37" t="n">
        <f aca="false">H33*①통합_가정!$E$173</f>
        <v>0</v>
      </c>
      <c r="I34" s="37" t="n">
        <f aca="false">I33*①통합_가정!$E$173</f>
        <v>0</v>
      </c>
      <c r="J34" s="37" t="n">
        <f aca="false">J33*①통합_가정!$E$173</f>
        <v>0</v>
      </c>
      <c r="K34" s="37" t="n">
        <f aca="false">K33*①통합_가정!$E$173</f>
        <v>0</v>
      </c>
      <c r="L34" s="37" t="n">
        <f aca="false">L33*①통합_가정!$E$173</f>
        <v>0</v>
      </c>
      <c r="M34" s="37" t="n">
        <f aca="false">M33*①통합_가정!$E$173</f>
        <v>0</v>
      </c>
      <c r="N34" s="37" t="n">
        <f aca="false">N33*①통합_가정!$E$173</f>
        <v>0</v>
      </c>
      <c r="O34" s="37" t="n">
        <f aca="false">O33*①통합_가정!$E$173</f>
        <v>0</v>
      </c>
      <c r="P34" s="37" t="n">
        <f aca="false">P33*①통합_가정!$E$173</f>
        <v>0</v>
      </c>
      <c r="Q34" s="37" t="n">
        <f aca="false">Q33*①통합_가정!$E$173</f>
        <v>0</v>
      </c>
      <c r="R34" s="37" t="n">
        <f aca="false">R33*①통합_가정!$E$173</f>
        <v>0</v>
      </c>
      <c r="S34" s="37" t="n">
        <f aca="false">S33*①통합_가정!$E$173</f>
        <v>0</v>
      </c>
      <c r="T34" s="37" t="n">
        <f aca="false">T33*①통합_가정!$E$173</f>
        <v>0</v>
      </c>
      <c r="U34" s="37" t="n">
        <f aca="false">U33*①통합_가정!$E$173</f>
        <v>0</v>
      </c>
      <c r="V34" s="37" t="n">
        <f aca="false">V33*①통합_가정!$E$173</f>
        <v>0</v>
      </c>
      <c r="W34" s="37" t="n">
        <f aca="false">W33*①통합_가정!$E$173</f>
        <v>0</v>
      </c>
      <c r="X34" s="37" t="n">
        <f aca="false">X33*①통합_가정!$E$173</f>
        <v>0</v>
      </c>
      <c r="Y34" s="37" t="n">
        <f aca="false">Y33*①통합_가정!$E$173</f>
        <v>0</v>
      </c>
      <c r="Z34" s="37" t="n">
        <f aca="false">Z33*①통합_가정!$E$173</f>
        <v>0</v>
      </c>
      <c r="AA34" s="37" t="n">
        <f aca="false">AA33*①통합_가정!$E$173</f>
        <v>0</v>
      </c>
      <c r="AB34" s="37" t="n">
        <f aca="false">AB33*①통합_가정!$E$173</f>
        <v>0</v>
      </c>
      <c r="AC34" s="37" t="n">
        <f aca="false">AC33*①통합_가정!$E$173</f>
        <v>0</v>
      </c>
      <c r="AD34" s="37" t="n">
        <f aca="false">AD33*①통합_가정!$E$173</f>
        <v>0</v>
      </c>
      <c r="AE34" s="37" t="n">
        <f aca="false">AE33*①통합_가정!$E$173</f>
        <v>0</v>
      </c>
      <c r="AF34" s="37" t="n">
        <f aca="false">AF33*①통합_가정!$E$173</f>
        <v>0</v>
      </c>
      <c r="AG34" s="37" t="n">
        <f aca="false">AG33*①통합_가정!$E$173</f>
        <v>0</v>
      </c>
      <c r="AH34" s="37" t="n">
        <f aca="false">AH33*①통합_가정!$E$173</f>
        <v>0</v>
      </c>
      <c r="AI34" s="37" t="n">
        <f aca="false">AI33*①통합_가정!$E$173</f>
        <v>0</v>
      </c>
      <c r="AJ34" s="37" t="n">
        <f aca="false">AJ33*①통합_가정!$E$173</f>
        <v>0</v>
      </c>
      <c r="AK34" s="37" t="n">
        <f aca="false">AK33*①통합_가정!$E$173</f>
        <v>0</v>
      </c>
      <c r="AL34" s="37" t="n">
        <f aca="false">AL33*①통합_가정!$E$173</f>
        <v>0</v>
      </c>
      <c r="AM34" s="37" t="n">
        <f aca="false">AM33*①통합_가정!$E$173</f>
        <v>0</v>
      </c>
      <c r="AN34" s="37" t="n">
        <f aca="false">AN33*①통합_가정!$E$173</f>
        <v>0</v>
      </c>
      <c r="AO34" s="37" t="n">
        <f aca="false">AO33*①통합_가정!$E$173</f>
        <v>0</v>
      </c>
      <c r="AP34" s="37" t="n">
        <f aca="false">AP33*①통합_가정!$E$173</f>
        <v>0</v>
      </c>
      <c r="AQ34" s="37" t="n">
        <f aca="false">AQ33*①통합_가정!$E$173</f>
        <v>0</v>
      </c>
      <c r="AR34" s="37" t="n">
        <f aca="false">AR33*①통합_가정!$E$173</f>
        <v>0</v>
      </c>
      <c r="AS34" s="37" t="n">
        <f aca="false">AS33*①통합_가정!$E$173</f>
        <v>0</v>
      </c>
      <c r="AT34" s="37" t="n">
        <f aca="false">AT33*①통합_가정!$E$173</f>
        <v>0</v>
      </c>
      <c r="AU34" s="37" t="n">
        <f aca="false">AU33*①통합_가정!$E$173</f>
        <v>0</v>
      </c>
      <c r="AV34" s="37" t="n">
        <f aca="false">AV33*①통합_가정!$E$173</f>
        <v>0</v>
      </c>
      <c r="AW34" s="37" t="n">
        <f aca="false">AW33*①통합_가정!$E$173</f>
        <v>0</v>
      </c>
      <c r="AX34" s="37" t="n">
        <f aca="false">AX33*①통합_가정!$E$173</f>
        <v>0</v>
      </c>
      <c r="AY34" s="37" t="n">
        <f aca="false">AY33*①통합_가정!$E$173</f>
        <v>0</v>
      </c>
      <c r="AZ34" s="37" t="n">
        <f aca="false">AZ33*①통합_가정!$E$173</f>
        <v>0</v>
      </c>
      <c r="BA34" s="37" t="n">
        <f aca="false">BA33*①통합_가정!$E$173</f>
        <v>0</v>
      </c>
      <c r="BB34" s="37" t="n">
        <f aca="false">BB33*①통합_가정!$E$173</f>
        <v>0</v>
      </c>
      <c r="BC34" s="37" t="n">
        <f aca="false">BC33*①통합_가정!$E$173</f>
        <v>0</v>
      </c>
      <c r="BD34" s="37" t="n">
        <f aca="false">BD33*①통합_가정!$E$173</f>
        <v>0</v>
      </c>
      <c r="BE34" s="37" t="n">
        <f aca="false">BE33*①통합_가정!$E$173</f>
        <v>0</v>
      </c>
      <c r="BF34" s="37" t="n">
        <f aca="false">BF33*①통합_가정!$E$173</f>
        <v>0</v>
      </c>
      <c r="BG34" s="37" t="n">
        <f aca="false">BG33*①통합_가정!$E$173</f>
        <v>0</v>
      </c>
      <c r="BH34" s="37" t="n">
        <f aca="false">BH33*①통합_가정!$E$173</f>
        <v>0</v>
      </c>
      <c r="BI34" s="37" t="n">
        <f aca="false">BI33*①통합_가정!$E$173</f>
        <v>0</v>
      </c>
      <c r="BJ34" s="37" t="n">
        <f aca="false">BJ33*①통합_가정!$E$173</f>
        <v>0</v>
      </c>
      <c r="BK34" s="37" t="n">
        <f aca="false">BK33*①통합_가정!$E$173</f>
        <v>0</v>
      </c>
      <c r="BL34" s="37" t="n">
        <f aca="false">BL33*①통합_가정!$E$173</f>
        <v>0</v>
      </c>
      <c r="BM34" s="37" t="n">
        <f aca="false">BM33*①통합_가정!$E$173</f>
        <v>124.2852</v>
      </c>
      <c r="BN34" s="37" t="n">
        <f aca="false">BN33*①통합_가정!$E$173</f>
        <v>120.276</v>
      </c>
      <c r="BO34" s="37" t="n">
        <f aca="false">BO33*①통합_가정!$E$173</f>
        <v>124.2852</v>
      </c>
      <c r="BP34" s="37" t="n">
        <f aca="false">BP33*①통합_가정!$E$173</f>
        <v>120.276</v>
      </c>
      <c r="BQ34" s="37" t="n">
        <f aca="false">BQ33*①통합_가정!$E$173</f>
        <v>124.2852</v>
      </c>
      <c r="BR34" s="37" t="n">
        <f aca="false">BR33*①통합_가정!$E$173</f>
        <v>124.2852</v>
      </c>
      <c r="BS34" s="37" t="n">
        <f aca="false">BS33*①통합_가정!$E$173</f>
        <v>120.276</v>
      </c>
      <c r="BT34" s="37" t="n">
        <f aca="false">BT33*①통합_가정!$E$173</f>
        <v>124.2852</v>
      </c>
      <c r="BU34" s="37" t="n">
        <f aca="false">BU33*①통합_가정!$E$173</f>
        <v>120.276</v>
      </c>
      <c r="BV34" s="37" t="n">
        <f aca="false">BV33*①통합_가정!$E$173</f>
        <v>124.2852</v>
      </c>
      <c r="BW34" s="37" t="n">
        <f aca="false">BW33*①통합_가정!$E$173</f>
        <v>124.2852</v>
      </c>
      <c r="BX34" s="37" t="n">
        <f aca="false">BX33*①통합_가정!$E$173</f>
        <v>116.2668</v>
      </c>
      <c r="BY34" s="37" t="n">
        <f aca="false">BY33*①통합_가정!$E$173</f>
        <v>146.27412</v>
      </c>
      <c r="BZ34" s="37" t="n">
        <f aca="false">BZ33*①통합_가정!$E$173</f>
        <v>141.5556</v>
      </c>
      <c r="CA34" s="37" t="n">
        <f aca="false">CA33*①통합_가정!$E$173</f>
        <v>146.27412</v>
      </c>
      <c r="CB34" s="37" t="n">
        <f aca="false">CB33*①통합_가정!$E$173</f>
        <v>141.5556</v>
      </c>
      <c r="CC34" s="37" t="n">
        <f aca="false">CC33*①통합_가정!$E$173</f>
        <v>146.27412</v>
      </c>
      <c r="CD34" s="37" t="n">
        <f aca="false">CD33*①통합_가정!$E$173</f>
        <v>146.27412</v>
      </c>
      <c r="CE34" s="37" t="n">
        <f aca="false">CE33*①통합_가정!$E$173</f>
        <v>141.5556</v>
      </c>
      <c r="CF34" s="37" t="n">
        <f aca="false">CF33*①통합_가정!$E$173</f>
        <v>146.27412</v>
      </c>
      <c r="CG34" s="37" t="n">
        <f aca="false">CG33*①통합_가정!$E$173</f>
        <v>141.5556</v>
      </c>
      <c r="CH34" s="37" t="n">
        <f aca="false">CH33*①통합_가정!$E$173</f>
        <v>146.27412</v>
      </c>
      <c r="CI34" s="37" t="n">
        <f aca="false">CI33*①통합_가정!$E$173</f>
        <v>146.27412</v>
      </c>
      <c r="CJ34" s="37" t="n">
        <f aca="false">CJ33*①통합_가정!$E$173</f>
        <v>132.11856</v>
      </c>
      <c r="CK34" s="37" t="n">
        <f aca="false">CK33*①통합_가정!$E$173</f>
        <v>149.1996024</v>
      </c>
      <c r="CL34" s="37" t="n">
        <f aca="false">CL33*①통합_가정!$E$173</f>
        <v>144.386712</v>
      </c>
      <c r="CM34" s="37" t="n">
        <f aca="false">CM33*①통합_가정!$E$173</f>
        <v>149.1996024</v>
      </c>
      <c r="CN34" s="37" t="n">
        <f aca="false">CN33*①통합_가정!$E$173</f>
        <v>144.386712</v>
      </c>
      <c r="CO34" s="37" t="n">
        <f aca="false">CO33*①통합_가정!$E$173</f>
        <v>149.1996024</v>
      </c>
      <c r="CP34" s="37" t="n">
        <f aca="false">CP33*①통합_가정!$E$173</f>
        <v>149.1996024</v>
      </c>
      <c r="CQ34" s="37" t="n">
        <f aca="false">CQ33*①통합_가정!$E$173</f>
        <v>144.386712</v>
      </c>
      <c r="CR34" s="37" t="n">
        <f aca="false">CR33*①통합_가정!$E$173</f>
        <v>149.1996024</v>
      </c>
      <c r="CS34" s="37" t="n">
        <f aca="false">CS33*①통합_가정!$E$173</f>
        <v>144.386712</v>
      </c>
      <c r="CT34" s="37" t="n">
        <f aca="false">CT33*①통합_가정!$E$173</f>
        <v>149.1996024</v>
      </c>
      <c r="CU34" s="37" t="n">
        <f aca="false">CU33*①통합_가정!$E$173</f>
        <v>149.1996024</v>
      </c>
      <c r="CV34" s="37" t="n">
        <f aca="false">CV33*①통합_가정!$E$173</f>
        <v>134.7609312</v>
      </c>
      <c r="CW34" s="37" t="n">
        <f aca="false">CW33*①통합_가정!$E$173</f>
        <v>152.183594448</v>
      </c>
      <c r="CX34" s="37" t="n">
        <f aca="false">CX33*①통합_가정!$E$173</f>
        <v>147.27444624</v>
      </c>
      <c r="CY34" s="37" t="n">
        <f aca="false">CY33*①통합_가정!$E$173</f>
        <v>152.183594448</v>
      </c>
      <c r="CZ34" s="37" t="n">
        <f aca="false">CZ33*①통합_가정!$E$173</f>
        <v>147.27444624</v>
      </c>
      <c r="DA34" s="37" t="n">
        <f aca="false">DA33*①통합_가정!$E$173</f>
        <v>152.183594448</v>
      </c>
      <c r="DB34" s="37" t="n">
        <f aca="false">DB33*①통합_가정!$E$173</f>
        <v>152.183594448</v>
      </c>
      <c r="DC34" s="37" t="n">
        <f aca="false">DC33*①통합_가정!$E$173</f>
        <v>147.27444624</v>
      </c>
      <c r="DD34" s="37" t="n">
        <f aca="false">DD33*①통합_가정!$E$173</f>
        <v>152.183594448</v>
      </c>
      <c r="DE34" s="37" t="n">
        <f aca="false">DE33*①통합_가정!$E$173</f>
        <v>147.27444624</v>
      </c>
      <c r="DF34" s="37" t="n">
        <f aca="false">DF33*①통합_가정!$E$173</f>
        <v>152.183594448</v>
      </c>
      <c r="DG34" s="37" t="n">
        <f aca="false">DG33*①통합_가정!$E$173</f>
        <v>152.183594448</v>
      </c>
      <c r="DH34" s="37" t="n">
        <f aca="false">DH33*①통합_가정!$E$173</f>
        <v>137.456149824</v>
      </c>
      <c r="DI34" s="37" t="n">
        <f aca="false">DI33*①통합_가정!$E$173</f>
        <v>155.22726633696</v>
      </c>
      <c r="DJ34" s="37" t="n">
        <f aca="false">DJ33*①통합_가정!$E$173</f>
        <v>150.2199351648</v>
      </c>
      <c r="DK34" s="37" t="n">
        <f aca="false">DK33*①통합_가정!$E$173</f>
        <v>155.22726633696</v>
      </c>
      <c r="DL34" s="37" t="n">
        <f aca="false">DL33*①통합_가정!$E$173</f>
        <v>150.2199351648</v>
      </c>
      <c r="DM34" s="37" t="n">
        <f aca="false">DM33*①통합_가정!$E$173</f>
        <v>155.22726633696</v>
      </c>
      <c r="DN34" s="37" t="n">
        <f aca="false">DN33*①통합_가정!$E$173</f>
        <v>155.22726633696</v>
      </c>
      <c r="DO34" s="37" t="n">
        <f aca="false">DO33*①통합_가정!$E$173</f>
        <v>150.2199351648</v>
      </c>
      <c r="DP34" s="37" t="n">
        <f aca="false">DP33*①통합_가정!$E$173</f>
        <v>155.22726633696</v>
      </c>
      <c r="DQ34" s="37" t="n">
        <f aca="false">DQ33*①통합_가정!$E$173</f>
        <v>150.2199351648</v>
      </c>
      <c r="DR34" s="37" t="n">
        <f aca="false">DR33*①통합_가정!$E$173</f>
        <v>155.22726633696</v>
      </c>
      <c r="DS34" s="37" t="n">
        <f aca="false">DS33*①통합_가정!$E$173</f>
        <v>155.22726633696</v>
      </c>
      <c r="DT34" s="37" t="n">
        <f aca="false">DT33*①통합_가정!$E$173</f>
        <v>145.21260399264</v>
      </c>
      <c r="DU34" s="37" t="n">
        <f aca="false">DU33*①통합_가정!$E$173</f>
        <v>0</v>
      </c>
      <c r="DV34" s="37" t="n">
        <f aca="false">DV33*①통합_가정!$E$173</f>
        <v>0</v>
      </c>
      <c r="DW34" s="37" t="n">
        <f aca="false">DW33*①통합_가정!$E$173</f>
        <v>0</v>
      </c>
      <c r="DX34" s="37" t="n">
        <f aca="false">DX33*①통합_가정!$E$173</f>
        <v>0</v>
      </c>
      <c r="DY34" s="37" t="n">
        <f aca="false">DY33*①통합_가정!$E$173</f>
        <v>0</v>
      </c>
      <c r="DZ34" s="37" t="n">
        <f aca="false">DZ33*①통합_가정!$E$173</f>
        <v>0</v>
      </c>
      <c r="EA34" s="37" t="n">
        <f aca="false">EA33*①통합_가정!$E$173</f>
        <v>0</v>
      </c>
      <c r="EB34" s="37" t="n">
        <f aca="false">EB33*①통합_가정!$E$173</f>
        <v>0</v>
      </c>
      <c r="EC34" s="37" t="n">
        <f aca="false">EC33*①통합_가정!$E$173</f>
        <v>0</v>
      </c>
      <c r="ED34" s="37" t="n">
        <f aca="false">ED33*①통합_가정!$E$173</f>
        <v>0</v>
      </c>
      <c r="EE34" s="37" t="n">
        <f aca="false">EE33*①통합_가정!$E$173</f>
        <v>0</v>
      </c>
      <c r="EF34" s="37" t="n">
        <f aca="false">EF33*①통합_가정!$E$173</f>
        <v>0</v>
      </c>
    </row>
    <row r="35" customFormat="false" ht="15" hidden="false" customHeight="false" outlineLevel="0" collapsed="false">
      <c r="A35" s="36" t="s">
        <v>585</v>
      </c>
      <c r="B35" s="278" t="s">
        <v>21</v>
      </c>
      <c r="C35" s="279" t="n">
        <f aca="false">SUM(E35:EF35)</f>
        <v>84940.5064605628</v>
      </c>
      <c r="E35" s="37" t="n">
        <f aca="false">(E14=1)*①통합_가정!$G$38*①통합_가정!$E$183*①통합_가정!$E$184/1000*(1+①통합_가정!$E$186)^INT((E15-1)/①통합_가정!$E$187)*(1-CHOOSE(MIN(MAX(E16,1),3),①통합_가정!$E$189,①통합_가정!$E$190,①통합_가정!$E$191))</f>
        <v>0</v>
      </c>
      <c r="F35" s="37" t="n">
        <f aca="false">(F14=1)*①통합_가정!$G$38*①통합_가정!$E$183*①통합_가정!$E$184/1000*(1+①통합_가정!$E$186)^INT((F15-1)/①통합_가정!$E$187)*(1-CHOOSE(MIN(MAX(F16,1),3),①통합_가정!$E$189,①통합_가정!$E$190,①통합_가정!$E$191))</f>
        <v>0</v>
      </c>
      <c r="G35" s="37" t="n">
        <f aca="false">(G14=1)*①통합_가정!$G$38*①통합_가정!$E$183*①통합_가정!$E$184/1000*(1+①통합_가정!$E$186)^INT((G15-1)/①통합_가정!$E$187)*(1-CHOOSE(MIN(MAX(G16,1),3),①통합_가정!$E$189,①통합_가정!$E$190,①통합_가정!$E$191))</f>
        <v>0</v>
      </c>
      <c r="H35" s="37" t="n">
        <f aca="false">(H14=1)*①통합_가정!$G$38*①통합_가정!$E$183*①통합_가정!$E$184/1000*(1+①통합_가정!$E$186)^INT((H15-1)/①통합_가정!$E$187)*(1-CHOOSE(MIN(MAX(H16,1),3),①통합_가정!$E$189,①통합_가정!$E$190,①통합_가정!$E$191))</f>
        <v>0</v>
      </c>
      <c r="I35" s="37" t="n">
        <f aca="false">(I14=1)*①통합_가정!$G$38*①통합_가정!$E$183*①통합_가정!$E$184/1000*(1+①통합_가정!$E$186)^INT((I15-1)/①통합_가정!$E$187)*(1-CHOOSE(MIN(MAX(I16,1),3),①통합_가정!$E$189,①통합_가정!$E$190,①통합_가정!$E$191))</f>
        <v>0</v>
      </c>
      <c r="J35" s="37" t="n">
        <f aca="false">(J14=1)*①통합_가정!$G$38*①통합_가정!$E$183*①통합_가정!$E$184/1000*(1+①통합_가정!$E$186)^INT((J15-1)/①통합_가정!$E$187)*(1-CHOOSE(MIN(MAX(J16,1),3),①통합_가정!$E$189,①통합_가정!$E$190,①통합_가정!$E$191))</f>
        <v>0</v>
      </c>
      <c r="K35" s="37" t="n">
        <f aca="false">(K14=1)*①통합_가정!$G$38*①통합_가정!$E$183*①통합_가정!$E$184/1000*(1+①통합_가정!$E$186)^INT((K15-1)/①통합_가정!$E$187)*(1-CHOOSE(MIN(MAX(K16,1),3),①통합_가정!$E$189,①통합_가정!$E$190,①통합_가정!$E$191))</f>
        <v>0</v>
      </c>
      <c r="L35" s="37" t="n">
        <f aca="false">(L14=1)*①통합_가정!$G$38*①통합_가정!$E$183*①통합_가정!$E$184/1000*(1+①통합_가정!$E$186)^INT((L15-1)/①통합_가정!$E$187)*(1-CHOOSE(MIN(MAX(L16,1),3),①통합_가정!$E$189,①통합_가정!$E$190,①통합_가정!$E$191))</f>
        <v>0</v>
      </c>
      <c r="M35" s="37" t="n">
        <f aca="false">(M14=1)*①통합_가정!$G$38*①통합_가정!$E$183*①통합_가정!$E$184/1000*(1+①통합_가정!$E$186)^INT((M15-1)/①통합_가정!$E$187)*(1-CHOOSE(MIN(MAX(M16,1),3),①통합_가정!$E$189,①통합_가정!$E$190,①통합_가정!$E$191))</f>
        <v>0</v>
      </c>
      <c r="N35" s="37" t="n">
        <f aca="false">(N14=1)*①통합_가정!$G$38*①통합_가정!$E$183*①통합_가정!$E$184/1000*(1+①통합_가정!$E$186)^INT((N15-1)/①통합_가정!$E$187)*(1-CHOOSE(MIN(MAX(N16,1),3),①통합_가정!$E$189,①통합_가정!$E$190,①통합_가정!$E$191))</f>
        <v>0</v>
      </c>
      <c r="O35" s="37" t="n">
        <f aca="false">(O14=1)*①통합_가정!$G$38*①통합_가정!$E$183*①통합_가정!$E$184/1000*(1+①통합_가정!$E$186)^INT((O15-1)/①통합_가정!$E$187)*(1-CHOOSE(MIN(MAX(O16,1),3),①통합_가정!$E$189,①통합_가정!$E$190,①통합_가정!$E$191))</f>
        <v>0</v>
      </c>
      <c r="P35" s="37" t="n">
        <f aca="false">(P14=1)*①통합_가정!$G$38*①통합_가정!$E$183*①통합_가정!$E$184/1000*(1+①통합_가정!$E$186)^INT((P15-1)/①통합_가정!$E$187)*(1-CHOOSE(MIN(MAX(P16,1),3),①통합_가정!$E$189,①통합_가정!$E$190,①통합_가정!$E$191))</f>
        <v>0</v>
      </c>
      <c r="Q35" s="37" t="n">
        <f aca="false">(Q14=1)*①통합_가정!$G$38*①통합_가정!$E$183*①통합_가정!$E$184/1000*(1+①통합_가정!$E$186)^INT((Q15-1)/①통합_가정!$E$187)*(1-CHOOSE(MIN(MAX(Q16,1),3),①통합_가정!$E$189,①통합_가정!$E$190,①통합_가정!$E$191))</f>
        <v>0</v>
      </c>
      <c r="R35" s="37" t="n">
        <f aca="false">(R14=1)*①통합_가정!$G$38*①통합_가정!$E$183*①통합_가정!$E$184/1000*(1+①통합_가정!$E$186)^INT((R15-1)/①통합_가정!$E$187)*(1-CHOOSE(MIN(MAX(R16,1),3),①통합_가정!$E$189,①통합_가정!$E$190,①통합_가정!$E$191))</f>
        <v>0</v>
      </c>
      <c r="S35" s="37" t="n">
        <f aca="false">(S14=1)*①통합_가정!$G$38*①통합_가정!$E$183*①통합_가정!$E$184/1000*(1+①통합_가정!$E$186)^INT((S15-1)/①통합_가정!$E$187)*(1-CHOOSE(MIN(MAX(S16,1),3),①통합_가정!$E$189,①통합_가정!$E$190,①통합_가정!$E$191))</f>
        <v>0</v>
      </c>
      <c r="T35" s="37" t="n">
        <f aca="false">(T14=1)*①통합_가정!$G$38*①통합_가정!$E$183*①통합_가정!$E$184/1000*(1+①통합_가정!$E$186)^INT((T15-1)/①통합_가정!$E$187)*(1-CHOOSE(MIN(MAX(T16,1),3),①통합_가정!$E$189,①통합_가정!$E$190,①통합_가정!$E$191))</f>
        <v>0</v>
      </c>
      <c r="U35" s="37" t="n">
        <f aca="false">(U14=1)*①통합_가정!$G$38*①통합_가정!$E$183*①통합_가정!$E$184/1000*(1+①통합_가정!$E$186)^INT((U15-1)/①통합_가정!$E$187)*(1-CHOOSE(MIN(MAX(U16,1),3),①통합_가정!$E$189,①통합_가정!$E$190,①통합_가정!$E$191))</f>
        <v>0</v>
      </c>
      <c r="V35" s="37" t="n">
        <f aca="false">(V14=1)*①통합_가정!$G$38*①통합_가정!$E$183*①통합_가정!$E$184/1000*(1+①통합_가정!$E$186)^INT((V15-1)/①통합_가정!$E$187)*(1-CHOOSE(MIN(MAX(V16,1),3),①통합_가정!$E$189,①통합_가정!$E$190,①통합_가정!$E$191))</f>
        <v>0</v>
      </c>
      <c r="W35" s="37" t="n">
        <f aca="false">(W14=1)*①통합_가정!$G$38*①통합_가정!$E$183*①통합_가정!$E$184/1000*(1+①통합_가정!$E$186)^INT((W15-1)/①통합_가정!$E$187)*(1-CHOOSE(MIN(MAX(W16,1),3),①통합_가정!$E$189,①통합_가정!$E$190,①통합_가정!$E$191))</f>
        <v>0</v>
      </c>
      <c r="X35" s="37" t="n">
        <f aca="false">(X14=1)*①통합_가정!$G$38*①통합_가정!$E$183*①통합_가정!$E$184/1000*(1+①통합_가정!$E$186)^INT((X15-1)/①통합_가정!$E$187)*(1-CHOOSE(MIN(MAX(X16,1),3),①통합_가정!$E$189,①통합_가정!$E$190,①통합_가정!$E$191))</f>
        <v>0</v>
      </c>
      <c r="Y35" s="37" t="n">
        <f aca="false">(Y14=1)*①통합_가정!$G$38*①통합_가정!$E$183*①통합_가정!$E$184/1000*(1+①통합_가정!$E$186)^INT((Y15-1)/①통합_가정!$E$187)*(1-CHOOSE(MIN(MAX(Y16,1),3),①통합_가정!$E$189,①통합_가정!$E$190,①통합_가정!$E$191))</f>
        <v>0</v>
      </c>
      <c r="Z35" s="37" t="n">
        <f aca="false">(Z14=1)*①통합_가정!$G$38*①통합_가정!$E$183*①통합_가정!$E$184/1000*(1+①통합_가정!$E$186)^INT((Z15-1)/①통합_가정!$E$187)*(1-CHOOSE(MIN(MAX(Z16,1),3),①통합_가정!$E$189,①통합_가정!$E$190,①통합_가정!$E$191))</f>
        <v>0</v>
      </c>
      <c r="AA35" s="37" t="n">
        <f aca="false">(AA14=1)*①통합_가정!$G$38*①통합_가정!$E$183*①통합_가정!$E$184/1000*(1+①통합_가정!$E$186)^INT((AA15-1)/①통합_가정!$E$187)*(1-CHOOSE(MIN(MAX(AA16,1),3),①통합_가정!$E$189,①통합_가정!$E$190,①통합_가정!$E$191))</f>
        <v>0</v>
      </c>
      <c r="AB35" s="37" t="n">
        <f aca="false">(AB14=1)*①통합_가정!$G$38*①통합_가정!$E$183*①통합_가정!$E$184/1000*(1+①통합_가정!$E$186)^INT((AB15-1)/①통합_가정!$E$187)*(1-CHOOSE(MIN(MAX(AB16,1),3),①통합_가정!$E$189,①통합_가정!$E$190,①통합_가정!$E$191))</f>
        <v>0</v>
      </c>
      <c r="AC35" s="37" t="n">
        <f aca="false">(AC14=1)*①통합_가정!$G$38*①통합_가정!$E$183*①통합_가정!$E$184/1000*(1+①통합_가정!$E$186)^INT((AC15-1)/①통합_가정!$E$187)*(1-CHOOSE(MIN(MAX(AC16,1),3),①통합_가정!$E$189,①통합_가정!$E$190,①통합_가정!$E$191))</f>
        <v>0</v>
      </c>
      <c r="AD35" s="37" t="n">
        <f aca="false">(AD14=1)*①통합_가정!$G$38*①통합_가정!$E$183*①통합_가정!$E$184/1000*(1+①통합_가정!$E$186)^INT((AD15-1)/①통합_가정!$E$187)*(1-CHOOSE(MIN(MAX(AD16,1),3),①통합_가정!$E$189,①통합_가정!$E$190,①통합_가정!$E$191))</f>
        <v>0</v>
      </c>
      <c r="AE35" s="37" t="n">
        <f aca="false">(AE14=1)*①통합_가정!$G$38*①통합_가정!$E$183*①통합_가정!$E$184/1000*(1+①통합_가정!$E$186)^INT((AE15-1)/①통합_가정!$E$187)*(1-CHOOSE(MIN(MAX(AE16,1),3),①통합_가정!$E$189,①통합_가정!$E$190,①통합_가정!$E$191))</f>
        <v>0</v>
      </c>
      <c r="AF35" s="37" t="n">
        <f aca="false">(AF14=1)*①통합_가정!$G$38*①통합_가정!$E$183*①통합_가정!$E$184/1000*(1+①통합_가정!$E$186)^INT((AF15-1)/①통합_가정!$E$187)*(1-CHOOSE(MIN(MAX(AF16,1),3),①통합_가정!$E$189,①통합_가정!$E$190,①통합_가정!$E$191))</f>
        <v>0</v>
      </c>
      <c r="AG35" s="37" t="n">
        <f aca="false">(AG14=1)*①통합_가정!$G$38*①통합_가정!$E$183*①통합_가정!$E$184/1000*(1+①통합_가정!$E$186)^INT((AG15-1)/①통합_가정!$E$187)*(1-CHOOSE(MIN(MAX(AG16,1),3),①통합_가정!$E$189,①통합_가정!$E$190,①통합_가정!$E$191))</f>
        <v>0</v>
      </c>
      <c r="AH35" s="37" t="n">
        <f aca="false">(AH14=1)*①통합_가정!$G$38*①통합_가정!$E$183*①통합_가정!$E$184/1000*(1+①통합_가정!$E$186)^INT((AH15-1)/①통합_가정!$E$187)*(1-CHOOSE(MIN(MAX(AH16,1),3),①통합_가정!$E$189,①통합_가정!$E$190,①통합_가정!$E$191))</f>
        <v>0</v>
      </c>
      <c r="AI35" s="37" t="n">
        <f aca="false">(AI14=1)*①통합_가정!$G$38*①통합_가정!$E$183*①통합_가정!$E$184/1000*(1+①통합_가정!$E$186)^INT((AI15-1)/①통합_가정!$E$187)*(1-CHOOSE(MIN(MAX(AI16,1),3),①통합_가정!$E$189,①통합_가정!$E$190,①통합_가정!$E$191))</f>
        <v>0</v>
      </c>
      <c r="AJ35" s="37" t="n">
        <f aca="false">(AJ14=1)*①통합_가정!$G$38*①통합_가정!$E$183*①통합_가정!$E$184/1000*(1+①통합_가정!$E$186)^INT((AJ15-1)/①통합_가정!$E$187)*(1-CHOOSE(MIN(MAX(AJ16,1),3),①통합_가정!$E$189,①통합_가정!$E$190,①통합_가정!$E$191))</f>
        <v>0</v>
      </c>
      <c r="AK35" s="37" t="n">
        <f aca="false">(AK14=1)*①통합_가정!$G$38*①통합_가정!$E$183*①통합_가정!$E$184/1000*(1+①통합_가정!$E$186)^INT((AK15-1)/①통합_가정!$E$187)*(1-CHOOSE(MIN(MAX(AK16,1),3),①통합_가정!$E$189,①통합_가정!$E$190,①통합_가정!$E$191))</f>
        <v>0</v>
      </c>
      <c r="AL35" s="37" t="n">
        <f aca="false">(AL14=1)*①통합_가정!$G$38*①통합_가정!$E$183*①통합_가정!$E$184/1000*(1+①통합_가정!$E$186)^INT((AL15-1)/①통합_가정!$E$187)*(1-CHOOSE(MIN(MAX(AL16,1),3),①통합_가정!$E$189,①통합_가정!$E$190,①통합_가정!$E$191))</f>
        <v>0</v>
      </c>
      <c r="AM35" s="37" t="n">
        <f aca="false">(AM14=1)*①통합_가정!$G$38*①통합_가정!$E$183*①통합_가정!$E$184/1000*(1+①통합_가정!$E$186)^INT((AM15-1)/①통합_가정!$E$187)*(1-CHOOSE(MIN(MAX(AM16,1),3),①통합_가정!$E$189,①통합_가정!$E$190,①통합_가정!$E$191))</f>
        <v>0</v>
      </c>
      <c r="AN35" s="37" t="n">
        <f aca="false">(AN14=1)*①통합_가정!$G$38*①통합_가정!$E$183*①통합_가정!$E$184/1000*(1+①통합_가정!$E$186)^INT((AN15-1)/①통합_가정!$E$187)*(1-CHOOSE(MIN(MAX(AN16,1),3),①통합_가정!$E$189,①통합_가정!$E$190,①통합_가정!$E$191))</f>
        <v>0</v>
      </c>
      <c r="AO35" s="37" t="n">
        <f aca="false">(AO14=1)*①통합_가정!$G$38*①통합_가정!$E$183*①통합_가정!$E$184/1000*(1+①통합_가정!$E$186)^INT((AO15-1)/①통합_가정!$E$187)*(1-CHOOSE(MIN(MAX(AO16,1),3),①통합_가정!$E$189,①통합_가정!$E$190,①통합_가정!$E$191))</f>
        <v>0</v>
      </c>
      <c r="AP35" s="37" t="n">
        <f aca="false">(AP14=1)*①통합_가정!$G$38*①통합_가정!$E$183*①통합_가정!$E$184/1000*(1+①통합_가정!$E$186)^INT((AP15-1)/①통합_가정!$E$187)*(1-CHOOSE(MIN(MAX(AP16,1),3),①통합_가정!$E$189,①통합_가정!$E$190,①통합_가정!$E$191))</f>
        <v>0</v>
      </c>
      <c r="AQ35" s="37" t="n">
        <f aca="false">(AQ14=1)*①통합_가정!$G$38*①통합_가정!$E$183*①통합_가정!$E$184/1000*(1+①통합_가정!$E$186)^INT((AQ15-1)/①통합_가정!$E$187)*(1-CHOOSE(MIN(MAX(AQ16,1),3),①통합_가정!$E$189,①통합_가정!$E$190,①통합_가정!$E$191))</f>
        <v>0</v>
      </c>
      <c r="AR35" s="37" t="n">
        <f aca="false">(AR14=1)*①통합_가정!$G$38*①통합_가정!$E$183*①통합_가정!$E$184/1000*(1+①통합_가정!$E$186)^INT((AR15-1)/①통합_가정!$E$187)*(1-CHOOSE(MIN(MAX(AR16,1),3),①통합_가정!$E$189,①통합_가정!$E$190,①통합_가정!$E$191))</f>
        <v>0</v>
      </c>
      <c r="AS35" s="37" t="n">
        <f aca="false">(AS14=1)*①통합_가정!$G$38*①통합_가정!$E$183*①통합_가정!$E$184/1000*(1+①통합_가정!$E$186)^INT((AS15-1)/①통합_가정!$E$187)*(1-CHOOSE(MIN(MAX(AS16,1),3),①통합_가정!$E$189,①통합_가정!$E$190,①통합_가정!$E$191))</f>
        <v>0</v>
      </c>
      <c r="AT35" s="37" t="n">
        <f aca="false">(AT14=1)*①통합_가정!$G$38*①통합_가정!$E$183*①통합_가정!$E$184/1000*(1+①통합_가정!$E$186)^INT((AT15-1)/①통합_가정!$E$187)*(1-CHOOSE(MIN(MAX(AT16,1),3),①통합_가정!$E$189,①통합_가정!$E$190,①통합_가정!$E$191))</f>
        <v>0</v>
      </c>
      <c r="AU35" s="37" t="n">
        <f aca="false">(AU14=1)*①통합_가정!$G$38*①통합_가정!$E$183*①통합_가정!$E$184/1000*(1+①통합_가정!$E$186)^INT((AU15-1)/①통합_가정!$E$187)*(1-CHOOSE(MIN(MAX(AU16,1),3),①통합_가정!$E$189,①통합_가정!$E$190,①통합_가정!$E$191))</f>
        <v>0</v>
      </c>
      <c r="AV35" s="37" t="n">
        <f aca="false">(AV14=1)*①통합_가정!$G$38*①통합_가정!$E$183*①통합_가정!$E$184/1000*(1+①통합_가정!$E$186)^INT((AV15-1)/①통합_가정!$E$187)*(1-CHOOSE(MIN(MAX(AV16,1),3),①통합_가정!$E$189,①통합_가정!$E$190,①통합_가정!$E$191))</f>
        <v>0</v>
      </c>
      <c r="AW35" s="37" t="n">
        <f aca="false">(AW14=1)*①통합_가정!$G$38*①통합_가정!$E$183*①통합_가정!$E$184/1000*(1+①통합_가정!$E$186)^INT((AW15-1)/①통합_가정!$E$187)*(1-CHOOSE(MIN(MAX(AW16,1),3),①통합_가정!$E$189,①통합_가정!$E$190,①통합_가정!$E$191))</f>
        <v>0</v>
      </c>
      <c r="AX35" s="37" t="n">
        <f aca="false">(AX14=1)*①통합_가정!$G$38*①통합_가정!$E$183*①통합_가정!$E$184/1000*(1+①통합_가정!$E$186)^INT((AX15-1)/①통합_가정!$E$187)*(1-CHOOSE(MIN(MAX(AX16,1),3),①통합_가정!$E$189,①통합_가정!$E$190,①통합_가정!$E$191))</f>
        <v>0</v>
      </c>
      <c r="AY35" s="37" t="n">
        <f aca="false">(AY14=1)*①통합_가정!$G$38*①통합_가정!$E$183*①통합_가정!$E$184/1000*(1+①통합_가정!$E$186)^INT((AY15-1)/①통합_가정!$E$187)*(1-CHOOSE(MIN(MAX(AY16,1),3),①통합_가정!$E$189,①통합_가정!$E$190,①통합_가정!$E$191))</f>
        <v>0</v>
      </c>
      <c r="AZ35" s="37" t="n">
        <f aca="false">(AZ14=1)*①통합_가정!$G$38*①통합_가정!$E$183*①통합_가정!$E$184/1000*(1+①통합_가정!$E$186)^INT((AZ15-1)/①통합_가정!$E$187)*(1-CHOOSE(MIN(MAX(AZ16,1),3),①통합_가정!$E$189,①통합_가정!$E$190,①통합_가정!$E$191))</f>
        <v>0</v>
      </c>
      <c r="BA35" s="37" t="n">
        <f aca="false">(BA14=1)*①통합_가정!$G$38*①통합_가정!$E$183*①통합_가정!$E$184/1000*(1+①통합_가정!$E$186)^INT((BA15-1)/①통합_가정!$E$187)*(1-CHOOSE(MIN(MAX(BA16,1),3),①통합_가정!$E$189,①통합_가정!$E$190,①통합_가정!$E$191))</f>
        <v>0</v>
      </c>
      <c r="BB35" s="37" t="n">
        <f aca="false">(BB14=1)*①통합_가정!$G$38*①통합_가정!$E$183*①통합_가정!$E$184/1000*(1+①통합_가정!$E$186)^INT((BB15-1)/①통합_가정!$E$187)*(1-CHOOSE(MIN(MAX(BB16,1),3),①통합_가정!$E$189,①통합_가정!$E$190,①통합_가정!$E$191))</f>
        <v>0</v>
      </c>
      <c r="BC35" s="37" t="n">
        <f aca="false">(BC14=1)*①통합_가정!$G$38*①통합_가정!$E$183*①통합_가정!$E$184/1000*(1+①통합_가정!$E$186)^INT((BC15-1)/①통합_가정!$E$187)*(1-CHOOSE(MIN(MAX(BC16,1),3),①통합_가정!$E$189,①통합_가정!$E$190,①통합_가정!$E$191))</f>
        <v>0</v>
      </c>
      <c r="BD35" s="37" t="n">
        <f aca="false">(BD14=1)*①통합_가정!$G$38*①통합_가정!$E$183*①통합_가정!$E$184/1000*(1+①통합_가정!$E$186)^INT((BD15-1)/①통합_가정!$E$187)*(1-CHOOSE(MIN(MAX(BD16,1),3),①통합_가정!$E$189,①통합_가정!$E$190,①통합_가정!$E$191))</f>
        <v>0</v>
      </c>
      <c r="BE35" s="37" t="n">
        <f aca="false">(BE14=1)*①통합_가정!$G$38*①통합_가정!$E$183*①통합_가정!$E$184/1000*(1+①통합_가정!$E$186)^INT((BE15-1)/①통합_가정!$E$187)*(1-CHOOSE(MIN(MAX(BE16,1),3),①통합_가정!$E$189,①통합_가정!$E$190,①통합_가정!$E$191))</f>
        <v>0</v>
      </c>
      <c r="BF35" s="37" t="n">
        <f aca="false">(BF14=1)*①통합_가정!$G$38*①통합_가정!$E$183*①통합_가정!$E$184/1000*(1+①통합_가정!$E$186)^INT((BF15-1)/①통합_가정!$E$187)*(1-CHOOSE(MIN(MAX(BF16,1),3),①통합_가정!$E$189,①통합_가정!$E$190,①통합_가정!$E$191))</f>
        <v>0</v>
      </c>
      <c r="BG35" s="37" t="n">
        <f aca="false">(BG14=1)*①통합_가정!$G$38*①통합_가정!$E$183*①통합_가정!$E$184/1000*(1+①통합_가정!$E$186)^INT((BG15-1)/①통합_가정!$E$187)*(1-CHOOSE(MIN(MAX(BG16,1),3),①통합_가정!$E$189,①통합_가정!$E$190,①통합_가정!$E$191))</f>
        <v>0</v>
      </c>
      <c r="BH35" s="37" t="n">
        <f aca="false">(BH14=1)*①통합_가정!$G$38*①통합_가정!$E$183*①통합_가정!$E$184/1000*(1+①통합_가정!$E$186)^INT((BH15-1)/①통합_가정!$E$187)*(1-CHOOSE(MIN(MAX(BH16,1),3),①통합_가정!$E$189,①통합_가정!$E$190,①통합_가정!$E$191))</f>
        <v>0</v>
      </c>
      <c r="BI35" s="37" t="n">
        <f aca="false">(BI14=1)*①통합_가정!$G$38*①통합_가정!$E$183*①통합_가정!$E$184/1000*(1+①통합_가정!$E$186)^INT((BI15-1)/①통합_가정!$E$187)*(1-CHOOSE(MIN(MAX(BI16,1),3),①통합_가정!$E$189,①통합_가정!$E$190,①통합_가정!$E$191))</f>
        <v>0</v>
      </c>
      <c r="BJ35" s="37" t="n">
        <f aca="false">(BJ14=1)*①통합_가정!$G$38*①통합_가정!$E$183*①통합_가정!$E$184/1000*(1+①통합_가정!$E$186)^INT((BJ15-1)/①통합_가정!$E$187)*(1-CHOOSE(MIN(MAX(BJ16,1),3),①통합_가정!$E$189,①통합_가정!$E$190,①통합_가정!$E$191))</f>
        <v>0</v>
      </c>
      <c r="BK35" s="37" t="n">
        <f aca="false">(BK14=1)*①통합_가정!$G$38*①통합_가정!$E$183*①통합_가정!$E$184/1000*(1+①통합_가정!$E$186)^INT((BK15-1)/①통합_가정!$E$187)*(1-CHOOSE(MIN(MAX(BK16,1),3),①통합_가정!$E$189,①통합_가정!$E$190,①통합_가정!$E$191))</f>
        <v>0</v>
      </c>
      <c r="BL35" s="37" t="n">
        <f aca="false">(BL14=1)*①통합_가정!$G$38*①통합_가정!$E$183*①통합_가정!$E$184/1000*(1+①통합_가정!$E$186)^INT((BL15-1)/①통합_가정!$E$187)*(1-CHOOSE(MIN(MAX(BL16,1),3),①통합_가정!$E$189,①통합_가정!$E$190,①통합_가정!$E$191))</f>
        <v>0</v>
      </c>
      <c r="BM35" s="37" t="n">
        <f aca="false">(BM14=1)*①통합_가정!$G$38*①통합_가정!$E$183*①통합_가정!$E$184/1000*(1+①통합_가정!$E$186)^INT((BM15-1)/①통합_가정!$E$187)*(1-CHOOSE(MIN(MAX(BM16,1),3),①통합_가정!$E$189,①통합_가정!$E$190,①통합_가정!$E$191))</f>
        <v>1150.96488</v>
      </c>
      <c r="BN35" s="37" t="n">
        <f aca="false">(BN14=1)*①통합_가정!$G$38*①통합_가정!$E$183*①통합_가정!$E$184/1000*(1+①통합_가정!$E$186)^INT((BN15-1)/①통합_가정!$E$187)*(1-CHOOSE(MIN(MAX(BN16,1),3),①통합_가정!$E$189,①통합_가정!$E$190,①통합_가정!$E$191))</f>
        <v>1150.96488</v>
      </c>
      <c r="BO35" s="37" t="n">
        <f aca="false">(BO14=1)*①통합_가정!$G$38*①통합_가정!$E$183*①통합_가정!$E$184/1000*(1+①통합_가정!$E$186)^INT((BO15-1)/①통합_가정!$E$187)*(1-CHOOSE(MIN(MAX(BO16,1),3),①통합_가정!$E$189,①통합_가정!$E$190,①통합_가정!$E$191))</f>
        <v>1150.96488</v>
      </c>
      <c r="BP35" s="37" t="n">
        <f aca="false">(BP14=1)*①통합_가정!$G$38*①통합_가정!$E$183*①통합_가정!$E$184/1000*(1+①통합_가정!$E$186)^INT((BP15-1)/①통합_가정!$E$187)*(1-CHOOSE(MIN(MAX(BP16,1),3),①통합_가정!$E$189,①통합_가정!$E$190,①통합_가정!$E$191))</f>
        <v>1150.96488</v>
      </c>
      <c r="BQ35" s="37" t="n">
        <f aca="false">(BQ14=1)*①통합_가정!$G$38*①통합_가정!$E$183*①통합_가정!$E$184/1000*(1+①통합_가정!$E$186)^INT((BQ15-1)/①통합_가정!$E$187)*(1-CHOOSE(MIN(MAX(BQ16,1),3),①통합_가정!$E$189,①통합_가정!$E$190,①통합_가정!$E$191))</f>
        <v>1150.96488</v>
      </c>
      <c r="BR35" s="37" t="n">
        <f aca="false">(BR14=1)*①통합_가정!$G$38*①통합_가정!$E$183*①통합_가정!$E$184/1000*(1+①통합_가정!$E$186)^INT((BR15-1)/①통합_가정!$E$187)*(1-CHOOSE(MIN(MAX(BR16,1),3),①통합_가정!$E$189,①통합_가정!$E$190,①통합_가정!$E$191))</f>
        <v>1150.96488</v>
      </c>
      <c r="BS35" s="37" t="n">
        <f aca="false">(BS14=1)*①통합_가정!$G$38*①통합_가정!$E$183*①통합_가정!$E$184/1000*(1+①통합_가정!$E$186)^INT((BS15-1)/①통합_가정!$E$187)*(1-CHOOSE(MIN(MAX(BS16,1),3),①통합_가정!$E$189,①통합_가정!$E$190,①통합_가정!$E$191))</f>
        <v>1150.96488</v>
      </c>
      <c r="BT35" s="37" t="n">
        <f aca="false">(BT14=1)*①통합_가정!$G$38*①통합_가정!$E$183*①통합_가정!$E$184/1000*(1+①통합_가정!$E$186)^INT((BT15-1)/①통합_가정!$E$187)*(1-CHOOSE(MIN(MAX(BT16,1),3),①통합_가정!$E$189,①통합_가정!$E$190,①통합_가정!$E$191))</f>
        <v>1150.96488</v>
      </c>
      <c r="BU35" s="37" t="n">
        <f aca="false">(BU14=1)*①통합_가정!$G$38*①통합_가정!$E$183*①통합_가정!$E$184/1000*(1+①통합_가정!$E$186)^INT((BU15-1)/①통합_가정!$E$187)*(1-CHOOSE(MIN(MAX(BU16,1),3),①통합_가정!$E$189,①통합_가정!$E$190,①통합_가정!$E$191))</f>
        <v>1150.96488</v>
      </c>
      <c r="BV35" s="37" t="n">
        <f aca="false">(BV14=1)*①통합_가정!$G$38*①통합_가정!$E$183*①통합_가정!$E$184/1000*(1+①통합_가정!$E$186)^INT((BV15-1)/①통합_가정!$E$187)*(1-CHOOSE(MIN(MAX(BV16,1),3),①통합_가정!$E$189,①통합_가정!$E$190,①통합_가정!$E$191))</f>
        <v>1150.96488</v>
      </c>
      <c r="BW35" s="37" t="n">
        <f aca="false">(BW14=1)*①통합_가정!$G$38*①통합_가정!$E$183*①통합_가정!$E$184/1000*(1+①통합_가정!$E$186)^INT((BW15-1)/①통합_가정!$E$187)*(1-CHOOSE(MIN(MAX(BW16,1),3),①통합_가정!$E$189,①통합_가정!$E$190,①통합_가정!$E$191))</f>
        <v>1150.96488</v>
      </c>
      <c r="BX35" s="37" t="n">
        <f aca="false">(BX14=1)*①통합_가정!$G$38*①통합_가정!$E$183*①통합_가정!$E$184/1000*(1+①통합_가정!$E$186)^INT((BX15-1)/①통합_가정!$E$187)*(1-CHOOSE(MIN(MAX(BX16,1),3),①통합_가정!$E$189,①통합_가정!$E$190,①통합_가정!$E$191))</f>
        <v>1150.96488</v>
      </c>
      <c r="BY35" s="37" t="n">
        <f aca="false">(BY14=1)*①통합_가정!$G$38*①통합_가정!$E$183*①통합_가정!$E$184/1000*(1+①통합_가정!$E$186)^INT((BY15-1)/①통합_가정!$E$187)*(1-CHOOSE(MIN(MAX(BY16,1),3),①통합_가정!$E$189,①통합_가정!$E$190,①통합_가정!$E$191))</f>
        <v>1438.13061756</v>
      </c>
      <c r="BZ35" s="37" t="n">
        <f aca="false">(BZ14=1)*①통합_가정!$G$38*①통합_가정!$E$183*①통합_가정!$E$184/1000*(1+①통합_가정!$E$186)^INT((BZ15-1)/①통합_가정!$E$187)*(1-CHOOSE(MIN(MAX(BZ16,1),3),①통합_가정!$E$189,①통합_가정!$E$190,①통합_가정!$E$191))</f>
        <v>1438.13061756</v>
      </c>
      <c r="CA35" s="37" t="n">
        <f aca="false">(CA14=1)*①통합_가정!$G$38*①통합_가정!$E$183*①통합_가정!$E$184/1000*(1+①통합_가정!$E$186)^INT((CA15-1)/①통합_가정!$E$187)*(1-CHOOSE(MIN(MAX(CA16,1),3),①통합_가정!$E$189,①통합_가정!$E$190,①통합_가정!$E$191))</f>
        <v>1438.13061756</v>
      </c>
      <c r="CB35" s="37" t="n">
        <f aca="false">(CB14=1)*①통합_가정!$G$38*①통합_가정!$E$183*①통합_가정!$E$184/1000*(1+①통합_가정!$E$186)^INT((CB15-1)/①통합_가정!$E$187)*(1-CHOOSE(MIN(MAX(CB16,1),3),①통합_가정!$E$189,①통합_가정!$E$190,①통합_가정!$E$191))</f>
        <v>1438.13061756</v>
      </c>
      <c r="CC35" s="37" t="n">
        <f aca="false">(CC14=1)*①통합_가정!$G$38*①통합_가정!$E$183*①통합_가정!$E$184/1000*(1+①통합_가정!$E$186)^INT((CC15-1)/①통합_가정!$E$187)*(1-CHOOSE(MIN(MAX(CC16,1),3),①통합_가정!$E$189,①통합_가정!$E$190,①통합_가정!$E$191))</f>
        <v>1438.13061756</v>
      </c>
      <c r="CD35" s="37" t="n">
        <f aca="false">(CD14=1)*①통합_가정!$G$38*①통합_가정!$E$183*①통합_가정!$E$184/1000*(1+①통합_가정!$E$186)^INT((CD15-1)/①통합_가정!$E$187)*(1-CHOOSE(MIN(MAX(CD16,1),3),①통합_가정!$E$189,①통합_가정!$E$190,①통합_가정!$E$191))</f>
        <v>1438.13061756</v>
      </c>
      <c r="CE35" s="37" t="n">
        <f aca="false">(CE14=1)*①통합_가정!$G$38*①통합_가정!$E$183*①통합_가정!$E$184/1000*(1+①통합_가정!$E$186)^INT((CE15-1)/①통합_가정!$E$187)*(1-CHOOSE(MIN(MAX(CE16,1),3),①통합_가정!$E$189,①통합_가정!$E$190,①통합_가정!$E$191))</f>
        <v>1438.13061756</v>
      </c>
      <c r="CF35" s="37" t="n">
        <f aca="false">(CF14=1)*①통합_가정!$G$38*①통합_가정!$E$183*①통합_가정!$E$184/1000*(1+①통합_가정!$E$186)^INT((CF15-1)/①통합_가정!$E$187)*(1-CHOOSE(MIN(MAX(CF16,1),3),①통합_가정!$E$189,①통합_가정!$E$190,①통합_가정!$E$191))</f>
        <v>1438.13061756</v>
      </c>
      <c r="CG35" s="37" t="n">
        <f aca="false">(CG14=1)*①통합_가정!$G$38*①통합_가정!$E$183*①통합_가정!$E$184/1000*(1+①통합_가정!$E$186)^INT((CG15-1)/①통합_가정!$E$187)*(1-CHOOSE(MIN(MAX(CG16,1),3),①통합_가정!$E$189,①통합_가정!$E$190,①통합_가정!$E$191))</f>
        <v>1438.13061756</v>
      </c>
      <c r="CH35" s="37" t="n">
        <f aca="false">(CH14=1)*①통합_가정!$G$38*①통합_가정!$E$183*①통합_가정!$E$184/1000*(1+①통합_가정!$E$186)^INT((CH15-1)/①통합_가정!$E$187)*(1-CHOOSE(MIN(MAX(CH16,1),3),①통합_가정!$E$189,①통합_가정!$E$190,①통합_가정!$E$191))</f>
        <v>1438.13061756</v>
      </c>
      <c r="CI35" s="37" t="n">
        <f aca="false">(CI14=1)*①통합_가정!$G$38*①통합_가정!$E$183*①통합_가정!$E$184/1000*(1+①통합_가정!$E$186)^INT((CI15-1)/①통합_가정!$E$187)*(1-CHOOSE(MIN(MAX(CI16,1),3),①통합_가정!$E$189,①통합_가정!$E$190,①통합_가정!$E$191))</f>
        <v>1438.13061756</v>
      </c>
      <c r="CJ35" s="37" t="n">
        <f aca="false">(CJ14=1)*①통합_가정!$G$38*①통합_가정!$E$183*①통합_가정!$E$184/1000*(1+①통합_가정!$E$186)^INT((CJ15-1)/①통합_가정!$E$187)*(1-CHOOSE(MIN(MAX(CJ16,1),3),①통합_가정!$E$189,①통합_가정!$E$190,①통합_가정!$E$191))</f>
        <v>1438.13061756</v>
      </c>
      <c r="CK35" s="37" t="n">
        <f aca="false">(CK14=1)*①통합_가정!$G$38*①통합_가정!$E$183*①통합_가정!$E$184/1000*(1+①통합_가정!$E$186)^INT((CK15-1)/①통합_가정!$E$187)*(1-CHOOSE(MIN(MAX(CK16,1),3),①통합_가정!$E$189,①통합_가정!$E$190,①통합_가정!$E$191))</f>
        <v>1466.8932299112</v>
      </c>
      <c r="CL35" s="37" t="n">
        <f aca="false">(CL14=1)*①통합_가정!$G$38*①통합_가정!$E$183*①통합_가정!$E$184/1000*(1+①통합_가정!$E$186)^INT((CL15-1)/①통합_가정!$E$187)*(1-CHOOSE(MIN(MAX(CL16,1),3),①통합_가정!$E$189,①통합_가정!$E$190,①통합_가정!$E$191))</f>
        <v>1466.8932299112</v>
      </c>
      <c r="CM35" s="37" t="n">
        <f aca="false">(CM14=1)*①통합_가정!$G$38*①통합_가정!$E$183*①통합_가정!$E$184/1000*(1+①통합_가정!$E$186)^INT((CM15-1)/①통합_가정!$E$187)*(1-CHOOSE(MIN(MAX(CM16,1),3),①통합_가정!$E$189,①통합_가정!$E$190,①통합_가정!$E$191))</f>
        <v>1466.8932299112</v>
      </c>
      <c r="CN35" s="37" t="n">
        <f aca="false">(CN14=1)*①통합_가정!$G$38*①통합_가정!$E$183*①통합_가정!$E$184/1000*(1+①통합_가정!$E$186)^INT((CN15-1)/①통합_가정!$E$187)*(1-CHOOSE(MIN(MAX(CN16,1),3),①통합_가정!$E$189,①통합_가정!$E$190,①통합_가정!$E$191))</f>
        <v>1466.8932299112</v>
      </c>
      <c r="CO35" s="37" t="n">
        <f aca="false">(CO14=1)*①통합_가정!$G$38*①통합_가정!$E$183*①통합_가정!$E$184/1000*(1+①통합_가정!$E$186)^INT((CO15-1)/①통합_가정!$E$187)*(1-CHOOSE(MIN(MAX(CO16,1),3),①통합_가정!$E$189,①통합_가정!$E$190,①통합_가정!$E$191))</f>
        <v>1466.8932299112</v>
      </c>
      <c r="CP35" s="37" t="n">
        <f aca="false">(CP14=1)*①통합_가정!$G$38*①통합_가정!$E$183*①통합_가정!$E$184/1000*(1+①통합_가정!$E$186)^INT((CP15-1)/①통합_가정!$E$187)*(1-CHOOSE(MIN(MAX(CP16,1),3),①통합_가정!$E$189,①통합_가정!$E$190,①통합_가정!$E$191))</f>
        <v>1466.8932299112</v>
      </c>
      <c r="CQ35" s="37" t="n">
        <f aca="false">(CQ14=1)*①통합_가정!$G$38*①통합_가정!$E$183*①통합_가정!$E$184/1000*(1+①통합_가정!$E$186)^INT((CQ15-1)/①통합_가정!$E$187)*(1-CHOOSE(MIN(MAX(CQ16,1),3),①통합_가정!$E$189,①통합_가정!$E$190,①통합_가정!$E$191))</f>
        <v>1466.8932299112</v>
      </c>
      <c r="CR35" s="37" t="n">
        <f aca="false">(CR14=1)*①통합_가정!$G$38*①통합_가정!$E$183*①통합_가정!$E$184/1000*(1+①통합_가정!$E$186)^INT((CR15-1)/①통합_가정!$E$187)*(1-CHOOSE(MIN(MAX(CR16,1),3),①통합_가정!$E$189,①통합_가정!$E$190,①통합_가정!$E$191))</f>
        <v>1466.8932299112</v>
      </c>
      <c r="CS35" s="37" t="n">
        <f aca="false">(CS14=1)*①통합_가정!$G$38*①통합_가정!$E$183*①통합_가정!$E$184/1000*(1+①통합_가정!$E$186)^INT((CS15-1)/①통합_가정!$E$187)*(1-CHOOSE(MIN(MAX(CS16,1),3),①통합_가정!$E$189,①통합_가정!$E$190,①통합_가정!$E$191))</f>
        <v>1466.8932299112</v>
      </c>
      <c r="CT35" s="37" t="n">
        <f aca="false">(CT14=1)*①통합_가정!$G$38*①통합_가정!$E$183*①통합_가정!$E$184/1000*(1+①통합_가정!$E$186)^INT((CT15-1)/①통합_가정!$E$187)*(1-CHOOSE(MIN(MAX(CT16,1),3),①통합_가정!$E$189,①통합_가정!$E$190,①통합_가정!$E$191))</f>
        <v>1466.8932299112</v>
      </c>
      <c r="CU35" s="37" t="n">
        <f aca="false">(CU14=1)*①통합_가정!$G$38*①통합_가정!$E$183*①통합_가정!$E$184/1000*(1+①통합_가정!$E$186)^INT((CU15-1)/①통합_가정!$E$187)*(1-CHOOSE(MIN(MAX(CU16,1),3),①통합_가정!$E$189,①통합_가정!$E$190,①통합_가정!$E$191))</f>
        <v>1466.8932299112</v>
      </c>
      <c r="CV35" s="37" t="n">
        <f aca="false">(CV14=1)*①통합_가정!$G$38*①통합_가정!$E$183*①통합_가정!$E$184/1000*(1+①통합_가정!$E$186)^INT((CV15-1)/①통합_가정!$E$187)*(1-CHOOSE(MIN(MAX(CV16,1),3),①통합_가정!$E$189,①통합_가정!$E$190,①통합_가정!$E$191))</f>
        <v>1466.8932299112</v>
      </c>
      <c r="CW35" s="37" t="n">
        <f aca="false">(CW14=1)*①통합_가정!$G$38*①통합_가정!$E$183*①통합_가정!$E$184/1000*(1+①통합_가정!$E$186)^INT((CW15-1)/①통합_가정!$E$187)*(1-CHOOSE(MIN(MAX(CW16,1),3),①통합_가정!$E$189,①통합_가정!$E$190,①통합_가정!$E$191))</f>
        <v>1496.23109450942</v>
      </c>
      <c r="CX35" s="37" t="n">
        <f aca="false">(CX14=1)*①통합_가정!$G$38*①통합_가정!$E$183*①통합_가정!$E$184/1000*(1+①통합_가정!$E$186)^INT((CX15-1)/①통합_가정!$E$187)*(1-CHOOSE(MIN(MAX(CX16,1),3),①통합_가정!$E$189,①통합_가정!$E$190,①통합_가정!$E$191))</f>
        <v>1496.23109450942</v>
      </c>
      <c r="CY35" s="37" t="n">
        <f aca="false">(CY14=1)*①통합_가정!$G$38*①통합_가정!$E$183*①통합_가정!$E$184/1000*(1+①통합_가정!$E$186)^INT((CY15-1)/①통합_가정!$E$187)*(1-CHOOSE(MIN(MAX(CY16,1),3),①통합_가정!$E$189,①통합_가정!$E$190,①통합_가정!$E$191))</f>
        <v>1496.23109450942</v>
      </c>
      <c r="CZ35" s="37" t="n">
        <f aca="false">(CZ14=1)*①통합_가정!$G$38*①통합_가정!$E$183*①통합_가정!$E$184/1000*(1+①통합_가정!$E$186)^INT((CZ15-1)/①통합_가정!$E$187)*(1-CHOOSE(MIN(MAX(CZ16,1),3),①통합_가정!$E$189,①통합_가정!$E$190,①통합_가정!$E$191))</f>
        <v>1496.23109450942</v>
      </c>
      <c r="DA35" s="37" t="n">
        <f aca="false">(DA14=1)*①통합_가정!$G$38*①통합_가정!$E$183*①통합_가정!$E$184/1000*(1+①통합_가정!$E$186)^INT((DA15-1)/①통합_가정!$E$187)*(1-CHOOSE(MIN(MAX(DA16,1),3),①통합_가정!$E$189,①통합_가정!$E$190,①통합_가정!$E$191))</f>
        <v>1496.23109450942</v>
      </c>
      <c r="DB35" s="37" t="n">
        <f aca="false">(DB14=1)*①통합_가정!$G$38*①통합_가정!$E$183*①통합_가정!$E$184/1000*(1+①통합_가정!$E$186)^INT((DB15-1)/①통합_가정!$E$187)*(1-CHOOSE(MIN(MAX(DB16,1),3),①통합_가정!$E$189,①통합_가정!$E$190,①통합_가정!$E$191))</f>
        <v>1496.23109450942</v>
      </c>
      <c r="DC35" s="37" t="n">
        <f aca="false">(DC14=1)*①통합_가정!$G$38*①통합_가정!$E$183*①통합_가정!$E$184/1000*(1+①통합_가정!$E$186)^INT((DC15-1)/①통합_가정!$E$187)*(1-CHOOSE(MIN(MAX(DC16,1),3),①통합_가정!$E$189,①통합_가정!$E$190,①통합_가정!$E$191))</f>
        <v>1496.23109450942</v>
      </c>
      <c r="DD35" s="37" t="n">
        <f aca="false">(DD14=1)*①통합_가정!$G$38*①통합_가정!$E$183*①통합_가정!$E$184/1000*(1+①통합_가정!$E$186)^INT((DD15-1)/①통합_가정!$E$187)*(1-CHOOSE(MIN(MAX(DD16,1),3),①통합_가정!$E$189,①통합_가정!$E$190,①통합_가정!$E$191))</f>
        <v>1496.23109450942</v>
      </c>
      <c r="DE35" s="37" t="n">
        <f aca="false">(DE14=1)*①통합_가정!$G$38*①통합_가정!$E$183*①통합_가정!$E$184/1000*(1+①통합_가정!$E$186)^INT((DE15-1)/①통합_가정!$E$187)*(1-CHOOSE(MIN(MAX(DE16,1),3),①통합_가정!$E$189,①통합_가정!$E$190,①통합_가정!$E$191))</f>
        <v>1496.23109450942</v>
      </c>
      <c r="DF35" s="37" t="n">
        <f aca="false">(DF14=1)*①통합_가정!$G$38*①통합_가정!$E$183*①통합_가정!$E$184/1000*(1+①통합_가정!$E$186)^INT((DF15-1)/①통합_가정!$E$187)*(1-CHOOSE(MIN(MAX(DF16,1),3),①통합_가정!$E$189,①통합_가정!$E$190,①통합_가정!$E$191))</f>
        <v>1496.23109450942</v>
      </c>
      <c r="DG35" s="37" t="n">
        <f aca="false">(DG14=1)*①통합_가정!$G$38*①통합_가정!$E$183*①통합_가정!$E$184/1000*(1+①통합_가정!$E$186)^INT((DG15-1)/①통합_가정!$E$187)*(1-CHOOSE(MIN(MAX(DG16,1),3),①통합_가정!$E$189,①통합_가정!$E$190,①통합_가정!$E$191))</f>
        <v>1496.23109450942</v>
      </c>
      <c r="DH35" s="37" t="n">
        <f aca="false">(DH14=1)*①통합_가정!$G$38*①통합_가정!$E$183*①통합_가정!$E$184/1000*(1+①통합_가정!$E$186)^INT((DH15-1)/①통합_가정!$E$187)*(1-CHOOSE(MIN(MAX(DH16,1),3),①통합_가정!$E$189,①통합_가정!$E$190,①통합_가정!$E$191))</f>
        <v>1496.23109450942</v>
      </c>
      <c r="DI35" s="37" t="n">
        <f aca="false">(DI14=1)*①통합_가정!$G$38*①통합_가정!$E$183*①통합_가정!$E$184/1000*(1+①통합_가정!$E$186)^INT((DI15-1)/①통합_가정!$E$187)*(1-CHOOSE(MIN(MAX(DI16,1),3),①통합_가정!$E$189,①통합_가정!$E$190,①통합_가정!$E$191))</f>
        <v>1526.15571639961</v>
      </c>
      <c r="DJ35" s="37" t="n">
        <f aca="false">(DJ14=1)*①통합_가정!$G$38*①통합_가정!$E$183*①통합_가정!$E$184/1000*(1+①통합_가정!$E$186)^INT((DJ15-1)/①통합_가정!$E$187)*(1-CHOOSE(MIN(MAX(DJ16,1),3),①통합_가정!$E$189,①통합_가정!$E$190,①통합_가정!$E$191))</f>
        <v>1526.15571639961</v>
      </c>
      <c r="DK35" s="37" t="n">
        <f aca="false">(DK14=1)*①통합_가정!$G$38*①통합_가정!$E$183*①통합_가정!$E$184/1000*(1+①통합_가정!$E$186)^INT((DK15-1)/①통합_가정!$E$187)*(1-CHOOSE(MIN(MAX(DK16,1),3),①통합_가정!$E$189,①통합_가정!$E$190,①통합_가정!$E$191))</f>
        <v>1526.15571639961</v>
      </c>
      <c r="DL35" s="37" t="n">
        <f aca="false">(DL14=1)*①통합_가정!$G$38*①통합_가정!$E$183*①통합_가정!$E$184/1000*(1+①통합_가정!$E$186)^INT((DL15-1)/①통합_가정!$E$187)*(1-CHOOSE(MIN(MAX(DL16,1),3),①통합_가정!$E$189,①통합_가정!$E$190,①통합_가정!$E$191))</f>
        <v>1526.15571639961</v>
      </c>
      <c r="DM35" s="37" t="n">
        <f aca="false">(DM14=1)*①통합_가정!$G$38*①통합_가정!$E$183*①통합_가정!$E$184/1000*(1+①통합_가정!$E$186)^INT((DM15-1)/①통합_가정!$E$187)*(1-CHOOSE(MIN(MAX(DM16,1),3),①통합_가정!$E$189,①통합_가정!$E$190,①통합_가정!$E$191))</f>
        <v>1526.15571639961</v>
      </c>
      <c r="DN35" s="37" t="n">
        <f aca="false">(DN14=1)*①통합_가정!$G$38*①통합_가정!$E$183*①통합_가정!$E$184/1000*(1+①통합_가정!$E$186)^INT((DN15-1)/①통합_가정!$E$187)*(1-CHOOSE(MIN(MAX(DN16,1),3),①통합_가정!$E$189,①통합_가정!$E$190,①통합_가정!$E$191))</f>
        <v>1526.15571639961</v>
      </c>
      <c r="DO35" s="37" t="n">
        <f aca="false">(DO14=1)*①통합_가정!$G$38*①통합_가정!$E$183*①통합_가정!$E$184/1000*(1+①통합_가정!$E$186)^INT((DO15-1)/①통합_가정!$E$187)*(1-CHOOSE(MIN(MAX(DO16,1),3),①통합_가정!$E$189,①통합_가정!$E$190,①통합_가정!$E$191))</f>
        <v>1526.15571639961</v>
      </c>
      <c r="DP35" s="37" t="n">
        <f aca="false">(DP14=1)*①통합_가정!$G$38*①통합_가정!$E$183*①통합_가정!$E$184/1000*(1+①통합_가정!$E$186)^INT((DP15-1)/①통합_가정!$E$187)*(1-CHOOSE(MIN(MAX(DP16,1),3),①통합_가정!$E$189,①통합_가정!$E$190,①통합_가정!$E$191))</f>
        <v>1526.15571639961</v>
      </c>
      <c r="DQ35" s="37" t="n">
        <f aca="false">(DQ14=1)*①통합_가정!$G$38*①통합_가정!$E$183*①통합_가정!$E$184/1000*(1+①통합_가정!$E$186)^INT((DQ15-1)/①통합_가정!$E$187)*(1-CHOOSE(MIN(MAX(DQ16,1),3),①통합_가정!$E$189,①통합_가정!$E$190,①통합_가정!$E$191))</f>
        <v>1526.15571639961</v>
      </c>
      <c r="DR35" s="37" t="n">
        <f aca="false">(DR14=1)*①통합_가정!$G$38*①통합_가정!$E$183*①통합_가정!$E$184/1000*(1+①통합_가정!$E$186)^INT((DR15-1)/①통합_가정!$E$187)*(1-CHOOSE(MIN(MAX(DR16,1),3),①통합_가정!$E$189,①통합_가정!$E$190,①통합_가정!$E$191))</f>
        <v>1526.15571639961</v>
      </c>
      <c r="DS35" s="37" t="n">
        <f aca="false">(DS14=1)*①통합_가정!$G$38*①통합_가정!$E$183*①통합_가정!$E$184/1000*(1+①통합_가정!$E$186)^INT((DS15-1)/①통합_가정!$E$187)*(1-CHOOSE(MIN(MAX(DS16,1),3),①통합_가정!$E$189,①통합_가정!$E$190,①통합_가정!$E$191))</f>
        <v>1526.15571639961</v>
      </c>
      <c r="DT35" s="37" t="n">
        <f aca="false">(DT14=1)*①통합_가정!$G$38*①통합_가정!$E$183*①통합_가정!$E$184/1000*(1+①통합_가정!$E$186)^INT((DT15-1)/①통합_가정!$E$187)*(1-CHOOSE(MIN(MAX(DT16,1),3),①통합_가정!$E$189,①통합_가정!$E$190,①통합_가정!$E$191))</f>
        <v>1526.15571639961</v>
      </c>
      <c r="DU35" s="37" t="n">
        <f aca="false">(DU14=1)*①통합_가정!$G$38*①통합_가정!$E$183*①통합_가정!$E$184/1000*(1+①통합_가정!$E$186)^INT((DU15-1)/①통합_가정!$E$187)*(1-CHOOSE(MIN(MAX(DU16,1),3),①통합_가정!$E$189,①통합_가정!$E$190,①통합_가정!$E$191))</f>
        <v>0</v>
      </c>
      <c r="DV35" s="37" t="n">
        <f aca="false">(DV14=1)*①통합_가정!$G$38*①통합_가정!$E$183*①통합_가정!$E$184/1000*(1+①통합_가정!$E$186)^INT((DV15-1)/①통합_가정!$E$187)*(1-CHOOSE(MIN(MAX(DV16,1),3),①통합_가정!$E$189,①통합_가정!$E$190,①통합_가정!$E$191))</f>
        <v>0</v>
      </c>
      <c r="DW35" s="37" t="n">
        <f aca="false">(DW14=1)*①통합_가정!$G$38*①통합_가정!$E$183*①통합_가정!$E$184/1000*(1+①통합_가정!$E$186)^INT((DW15-1)/①통합_가정!$E$187)*(1-CHOOSE(MIN(MAX(DW16,1),3),①통합_가정!$E$189,①통합_가정!$E$190,①통합_가정!$E$191))</f>
        <v>0</v>
      </c>
      <c r="DX35" s="37" t="n">
        <f aca="false">(DX14=1)*①통합_가정!$G$38*①통합_가정!$E$183*①통합_가정!$E$184/1000*(1+①통합_가정!$E$186)^INT((DX15-1)/①통합_가정!$E$187)*(1-CHOOSE(MIN(MAX(DX16,1),3),①통합_가정!$E$189,①통합_가정!$E$190,①통합_가정!$E$191))</f>
        <v>0</v>
      </c>
      <c r="DY35" s="37" t="n">
        <f aca="false">(DY14=1)*①통합_가정!$G$38*①통합_가정!$E$183*①통합_가정!$E$184/1000*(1+①통합_가정!$E$186)^INT((DY15-1)/①통합_가정!$E$187)*(1-CHOOSE(MIN(MAX(DY16,1),3),①통합_가정!$E$189,①통합_가정!$E$190,①통합_가정!$E$191))</f>
        <v>0</v>
      </c>
      <c r="DZ35" s="37" t="n">
        <f aca="false">(DZ14=1)*①통합_가정!$G$38*①통합_가정!$E$183*①통합_가정!$E$184/1000*(1+①통합_가정!$E$186)^INT((DZ15-1)/①통합_가정!$E$187)*(1-CHOOSE(MIN(MAX(DZ16,1),3),①통합_가정!$E$189,①통합_가정!$E$190,①통합_가정!$E$191))</f>
        <v>0</v>
      </c>
      <c r="EA35" s="37" t="n">
        <f aca="false">(EA14=1)*①통합_가정!$G$38*①통합_가정!$E$183*①통합_가정!$E$184/1000*(1+①통합_가정!$E$186)^INT((EA15-1)/①통합_가정!$E$187)*(1-CHOOSE(MIN(MAX(EA16,1),3),①통합_가정!$E$189,①통합_가정!$E$190,①통합_가정!$E$191))</f>
        <v>0</v>
      </c>
      <c r="EB35" s="37" t="n">
        <f aca="false">(EB14=1)*①통합_가정!$G$38*①통합_가정!$E$183*①통합_가정!$E$184/1000*(1+①통합_가정!$E$186)^INT((EB15-1)/①통합_가정!$E$187)*(1-CHOOSE(MIN(MAX(EB16,1),3),①통합_가정!$E$189,①통합_가정!$E$190,①통합_가정!$E$191))</f>
        <v>0</v>
      </c>
      <c r="EC35" s="37" t="n">
        <f aca="false">(EC14=1)*①통합_가정!$G$38*①통합_가정!$E$183*①통합_가정!$E$184/1000*(1+①통합_가정!$E$186)^INT((EC15-1)/①통합_가정!$E$187)*(1-CHOOSE(MIN(MAX(EC16,1),3),①통합_가정!$E$189,①통합_가정!$E$190,①통합_가정!$E$191))</f>
        <v>0</v>
      </c>
      <c r="ED35" s="37" t="n">
        <f aca="false">(ED14=1)*①통합_가정!$G$38*①통합_가정!$E$183*①통합_가정!$E$184/1000*(1+①통합_가정!$E$186)^INT((ED15-1)/①통합_가정!$E$187)*(1-CHOOSE(MIN(MAX(ED16,1),3),①통합_가정!$E$189,①통합_가정!$E$190,①통합_가정!$E$191))</f>
        <v>0</v>
      </c>
      <c r="EE35" s="37" t="n">
        <f aca="false">(EE14=1)*①통합_가정!$G$38*①통합_가정!$E$183*①통합_가정!$E$184/1000*(1+①통합_가정!$E$186)^INT((EE15-1)/①통합_가정!$E$187)*(1-CHOOSE(MIN(MAX(EE16,1),3),①통합_가정!$E$189,①통합_가정!$E$190,①통합_가정!$E$191))</f>
        <v>0</v>
      </c>
      <c r="EF35" s="37" t="n">
        <f aca="false">(EF14=1)*①통합_가정!$G$38*①통합_가정!$E$183*①통합_가정!$E$184/1000*(1+①통합_가정!$E$186)^INT((EF15-1)/①통합_가정!$E$187)*(1-CHOOSE(MIN(MAX(EF16,1),3),①통합_가정!$E$189,①통합_가정!$E$190,①통합_가정!$E$191))</f>
        <v>0</v>
      </c>
    </row>
    <row r="36" customFormat="false" ht="15" hidden="false" customHeight="false" outlineLevel="0" collapsed="false">
      <c r="A36" s="36" t="s">
        <v>586</v>
      </c>
      <c r="B36" s="278" t="s">
        <v>21</v>
      </c>
      <c r="C36" s="279" t="n">
        <f aca="false">SUM(E36:EF36)</f>
        <v>8886.16918328832</v>
      </c>
      <c r="E36" s="37" t="n">
        <f aca="false">(E14=1)*①통합_가정!$H$38*①통합_가정!$E$201*①통합_가정!$E$202/1000*(1+①통합_가정!$E$204)^INT((E15-1)/①통합_가정!$E$205)*(1-CHOOSE(MIN(MAX(E16,1),3),①통합_가정!$E$207,①통합_가정!$E$208,①통합_가정!$E$209))</f>
        <v>0</v>
      </c>
      <c r="F36" s="37" t="n">
        <f aca="false">(F14=1)*①통합_가정!$H$38*①통합_가정!$E$201*①통합_가정!$E$202/1000*(1+①통합_가정!$E$204)^INT((F15-1)/①통합_가정!$E$205)*(1-CHOOSE(MIN(MAX(F16,1),3),①통합_가정!$E$207,①통합_가정!$E$208,①통합_가정!$E$209))</f>
        <v>0</v>
      </c>
      <c r="G36" s="37" t="n">
        <f aca="false">(G14=1)*①통합_가정!$H$38*①통합_가정!$E$201*①통합_가정!$E$202/1000*(1+①통합_가정!$E$204)^INT((G15-1)/①통합_가정!$E$205)*(1-CHOOSE(MIN(MAX(G16,1),3),①통합_가정!$E$207,①통합_가정!$E$208,①통합_가정!$E$209))</f>
        <v>0</v>
      </c>
      <c r="H36" s="37" t="n">
        <f aca="false">(H14=1)*①통합_가정!$H$38*①통합_가정!$E$201*①통합_가정!$E$202/1000*(1+①통합_가정!$E$204)^INT((H15-1)/①통합_가정!$E$205)*(1-CHOOSE(MIN(MAX(H16,1),3),①통합_가정!$E$207,①통합_가정!$E$208,①통합_가정!$E$209))</f>
        <v>0</v>
      </c>
      <c r="I36" s="37" t="n">
        <f aca="false">(I14=1)*①통합_가정!$H$38*①통합_가정!$E$201*①통합_가정!$E$202/1000*(1+①통합_가정!$E$204)^INT((I15-1)/①통합_가정!$E$205)*(1-CHOOSE(MIN(MAX(I16,1),3),①통합_가정!$E$207,①통합_가정!$E$208,①통합_가정!$E$209))</f>
        <v>0</v>
      </c>
      <c r="J36" s="37" t="n">
        <f aca="false">(J14=1)*①통합_가정!$H$38*①통합_가정!$E$201*①통합_가정!$E$202/1000*(1+①통합_가정!$E$204)^INT((J15-1)/①통합_가정!$E$205)*(1-CHOOSE(MIN(MAX(J16,1),3),①통합_가정!$E$207,①통합_가정!$E$208,①통합_가정!$E$209))</f>
        <v>0</v>
      </c>
      <c r="K36" s="37" t="n">
        <f aca="false">(K14=1)*①통합_가정!$H$38*①통합_가정!$E$201*①통합_가정!$E$202/1000*(1+①통합_가정!$E$204)^INT((K15-1)/①통합_가정!$E$205)*(1-CHOOSE(MIN(MAX(K16,1),3),①통합_가정!$E$207,①통합_가정!$E$208,①통합_가정!$E$209))</f>
        <v>0</v>
      </c>
      <c r="L36" s="37" t="n">
        <f aca="false">(L14=1)*①통합_가정!$H$38*①통합_가정!$E$201*①통합_가정!$E$202/1000*(1+①통합_가정!$E$204)^INT((L15-1)/①통합_가정!$E$205)*(1-CHOOSE(MIN(MAX(L16,1),3),①통합_가정!$E$207,①통합_가정!$E$208,①통합_가정!$E$209))</f>
        <v>0</v>
      </c>
      <c r="M36" s="37" t="n">
        <f aca="false">(M14=1)*①통합_가정!$H$38*①통합_가정!$E$201*①통합_가정!$E$202/1000*(1+①통합_가정!$E$204)^INT((M15-1)/①통합_가정!$E$205)*(1-CHOOSE(MIN(MAX(M16,1),3),①통합_가정!$E$207,①통합_가정!$E$208,①통합_가정!$E$209))</f>
        <v>0</v>
      </c>
      <c r="N36" s="37" t="n">
        <f aca="false">(N14=1)*①통합_가정!$H$38*①통합_가정!$E$201*①통합_가정!$E$202/1000*(1+①통합_가정!$E$204)^INT((N15-1)/①통합_가정!$E$205)*(1-CHOOSE(MIN(MAX(N16,1),3),①통합_가정!$E$207,①통합_가정!$E$208,①통합_가정!$E$209))</f>
        <v>0</v>
      </c>
      <c r="O36" s="37" t="n">
        <f aca="false">(O14=1)*①통합_가정!$H$38*①통합_가정!$E$201*①통합_가정!$E$202/1000*(1+①통합_가정!$E$204)^INT((O15-1)/①통합_가정!$E$205)*(1-CHOOSE(MIN(MAX(O16,1),3),①통합_가정!$E$207,①통합_가정!$E$208,①통합_가정!$E$209))</f>
        <v>0</v>
      </c>
      <c r="P36" s="37" t="n">
        <f aca="false">(P14=1)*①통합_가정!$H$38*①통합_가정!$E$201*①통합_가정!$E$202/1000*(1+①통합_가정!$E$204)^INT((P15-1)/①통합_가정!$E$205)*(1-CHOOSE(MIN(MAX(P16,1),3),①통합_가정!$E$207,①통합_가정!$E$208,①통합_가정!$E$209))</f>
        <v>0</v>
      </c>
      <c r="Q36" s="37" t="n">
        <f aca="false">(Q14=1)*①통합_가정!$H$38*①통합_가정!$E$201*①통합_가정!$E$202/1000*(1+①통합_가정!$E$204)^INT((Q15-1)/①통합_가정!$E$205)*(1-CHOOSE(MIN(MAX(Q16,1),3),①통합_가정!$E$207,①통합_가정!$E$208,①통합_가정!$E$209))</f>
        <v>0</v>
      </c>
      <c r="R36" s="37" t="n">
        <f aca="false">(R14=1)*①통합_가정!$H$38*①통합_가정!$E$201*①통합_가정!$E$202/1000*(1+①통합_가정!$E$204)^INT((R15-1)/①통합_가정!$E$205)*(1-CHOOSE(MIN(MAX(R16,1),3),①통합_가정!$E$207,①통합_가정!$E$208,①통합_가정!$E$209))</f>
        <v>0</v>
      </c>
      <c r="S36" s="37" t="n">
        <f aca="false">(S14=1)*①통합_가정!$H$38*①통합_가정!$E$201*①통합_가정!$E$202/1000*(1+①통합_가정!$E$204)^INT((S15-1)/①통합_가정!$E$205)*(1-CHOOSE(MIN(MAX(S16,1),3),①통합_가정!$E$207,①통합_가정!$E$208,①통합_가정!$E$209))</f>
        <v>0</v>
      </c>
      <c r="T36" s="37" t="n">
        <f aca="false">(T14=1)*①통합_가정!$H$38*①통합_가정!$E$201*①통합_가정!$E$202/1000*(1+①통합_가정!$E$204)^INT((T15-1)/①통합_가정!$E$205)*(1-CHOOSE(MIN(MAX(T16,1),3),①통합_가정!$E$207,①통합_가정!$E$208,①통합_가정!$E$209))</f>
        <v>0</v>
      </c>
      <c r="U36" s="37" t="n">
        <f aca="false">(U14=1)*①통합_가정!$H$38*①통합_가정!$E$201*①통합_가정!$E$202/1000*(1+①통합_가정!$E$204)^INT((U15-1)/①통합_가정!$E$205)*(1-CHOOSE(MIN(MAX(U16,1),3),①통합_가정!$E$207,①통합_가정!$E$208,①통합_가정!$E$209))</f>
        <v>0</v>
      </c>
      <c r="V36" s="37" t="n">
        <f aca="false">(V14=1)*①통합_가정!$H$38*①통합_가정!$E$201*①통합_가정!$E$202/1000*(1+①통합_가정!$E$204)^INT((V15-1)/①통합_가정!$E$205)*(1-CHOOSE(MIN(MAX(V16,1),3),①통합_가정!$E$207,①통합_가정!$E$208,①통합_가정!$E$209))</f>
        <v>0</v>
      </c>
      <c r="W36" s="37" t="n">
        <f aca="false">(W14=1)*①통합_가정!$H$38*①통합_가정!$E$201*①통합_가정!$E$202/1000*(1+①통합_가정!$E$204)^INT((W15-1)/①통합_가정!$E$205)*(1-CHOOSE(MIN(MAX(W16,1),3),①통합_가정!$E$207,①통합_가정!$E$208,①통합_가정!$E$209))</f>
        <v>0</v>
      </c>
      <c r="X36" s="37" t="n">
        <f aca="false">(X14=1)*①통합_가정!$H$38*①통합_가정!$E$201*①통합_가정!$E$202/1000*(1+①통합_가정!$E$204)^INT((X15-1)/①통합_가정!$E$205)*(1-CHOOSE(MIN(MAX(X16,1),3),①통합_가정!$E$207,①통합_가정!$E$208,①통합_가정!$E$209))</f>
        <v>0</v>
      </c>
      <c r="Y36" s="37" t="n">
        <f aca="false">(Y14=1)*①통합_가정!$H$38*①통합_가정!$E$201*①통합_가정!$E$202/1000*(1+①통합_가정!$E$204)^INT((Y15-1)/①통합_가정!$E$205)*(1-CHOOSE(MIN(MAX(Y16,1),3),①통합_가정!$E$207,①통합_가정!$E$208,①통합_가정!$E$209))</f>
        <v>0</v>
      </c>
      <c r="Z36" s="37" t="n">
        <f aca="false">(Z14=1)*①통합_가정!$H$38*①통합_가정!$E$201*①통합_가정!$E$202/1000*(1+①통합_가정!$E$204)^INT((Z15-1)/①통합_가정!$E$205)*(1-CHOOSE(MIN(MAX(Z16,1),3),①통합_가정!$E$207,①통합_가정!$E$208,①통합_가정!$E$209))</f>
        <v>0</v>
      </c>
      <c r="AA36" s="37" t="n">
        <f aca="false">(AA14=1)*①통합_가정!$H$38*①통합_가정!$E$201*①통합_가정!$E$202/1000*(1+①통합_가정!$E$204)^INT((AA15-1)/①통합_가정!$E$205)*(1-CHOOSE(MIN(MAX(AA16,1),3),①통합_가정!$E$207,①통합_가정!$E$208,①통합_가정!$E$209))</f>
        <v>0</v>
      </c>
      <c r="AB36" s="37" t="n">
        <f aca="false">(AB14=1)*①통합_가정!$H$38*①통합_가정!$E$201*①통합_가정!$E$202/1000*(1+①통합_가정!$E$204)^INT((AB15-1)/①통합_가정!$E$205)*(1-CHOOSE(MIN(MAX(AB16,1),3),①통합_가정!$E$207,①통합_가정!$E$208,①통합_가정!$E$209))</f>
        <v>0</v>
      </c>
      <c r="AC36" s="37" t="n">
        <f aca="false">(AC14=1)*①통합_가정!$H$38*①통합_가정!$E$201*①통합_가정!$E$202/1000*(1+①통합_가정!$E$204)^INT((AC15-1)/①통합_가정!$E$205)*(1-CHOOSE(MIN(MAX(AC16,1),3),①통합_가정!$E$207,①통합_가정!$E$208,①통합_가정!$E$209))</f>
        <v>0</v>
      </c>
      <c r="AD36" s="37" t="n">
        <f aca="false">(AD14=1)*①통합_가정!$H$38*①통합_가정!$E$201*①통합_가정!$E$202/1000*(1+①통합_가정!$E$204)^INT((AD15-1)/①통합_가정!$E$205)*(1-CHOOSE(MIN(MAX(AD16,1),3),①통합_가정!$E$207,①통합_가정!$E$208,①통합_가정!$E$209))</f>
        <v>0</v>
      </c>
      <c r="AE36" s="37" t="n">
        <f aca="false">(AE14=1)*①통합_가정!$H$38*①통합_가정!$E$201*①통합_가정!$E$202/1000*(1+①통합_가정!$E$204)^INT((AE15-1)/①통합_가정!$E$205)*(1-CHOOSE(MIN(MAX(AE16,1),3),①통합_가정!$E$207,①통합_가정!$E$208,①통합_가정!$E$209))</f>
        <v>0</v>
      </c>
      <c r="AF36" s="37" t="n">
        <f aca="false">(AF14=1)*①통합_가정!$H$38*①통합_가정!$E$201*①통합_가정!$E$202/1000*(1+①통합_가정!$E$204)^INT((AF15-1)/①통합_가정!$E$205)*(1-CHOOSE(MIN(MAX(AF16,1),3),①통합_가정!$E$207,①통합_가정!$E$208,①통합_가정!$E$209))</f>
        <v>0</v>
      </c>
      <c r="AG36" s="37" t="n">
        <f aca="false">(AG14=1)*①통합_가정!$H$38*①통합_가정!$E$201*①통합_가정!$E$202/1000*(1+①통합_가정!$E$204)^INT((AG15-1)/①통합_가정!$E$205)*(1-CHOOSE(MIN(MAX(AG16,1),3),①통합_가정!$E$207,①통합_가정!$E$208,①통합_가정!$E$209))</f>
        <v>0</v>
      </c>
      <c r="AH36" s="37" t="n">
        <f aca="false">(AH14=1)*①통합_가정!$H$38*①통합_가정!$E$201*①통합_가정!$E$202/1000*(1+①통합_가정!$E$204)^INT((AH15-1)/①통합_가정!$E$205)*(1-CHOOSE(MIN(MAX(AH16,1),3),①통합_가정!$E$207,①통합_가정!$E$208,①통합_가정!$E$209))</f>
        <v>0</v>
      </c>
      <c r="AI36" s="37" t="n">
        <f aca="false">(AI14=1)*①통합_가정!$H$38*①통합_가정!$E$201*①통합_가정!$E$202/1000*(1+①통합_가정!$E$204)^INT((AI15-1)/①통합_가정!$E$205)*(1-CHOOSE(MIN(MAX(AI16,1),3),①통합_가정!$E$207,①통합_가정!$E$208,①통합_가정!$E$209))</f>
        <v>0</v>
      </c>
      <c r="AJ36" s="37" t="n">
        <f aca="false">(AJ14=1)*①통합_가정!$H$38*①통합_가정!$E$201*①통합_가정!$E$202/1000*(1+①통합_가정!$E$204)^INT((AJ15-1)/①통합_가정!$E$205)*(1-CHOOSE(MIN(MAX(AJ16,1),3),①통합_가정!$E$207,①통합_가정!$E$208,①통합_가정!$E$209))</f>
        <v>0</v>
      </c>
      <c r="AK36" s="37" t="n">
        <f aca="false">(AK14=1)*①통합_가정!$H$38*①통합_가정!$E$201*①통합_가정!$E$202/1000*(1+①통합_가정!$E$204)^INT((AK15-1)/①통합_가정!$E$205)*(1-CHOOSE(MIN(MAX(AK16,1),3),①통합_가정!$E$207,①통합_가정!$E$208,①통합_가정!$E$209))</f>
        <v>0</v>
      </c>
      <c r="AL36" s="37" t="n">
        <f aca="false">(AL14=1)*①통합_가정!$H$38*①통합_가정!$E$201*①통합_가정!$E$202/1000*(1+①통합_가정!$E$204)^INT((AL15-1)/①통합_가정!$E$205)*(1-CHOOSE(MIN(MAX(AL16,1),3),①통합_가정!$E$207,①통합_가정!$E$208,①통합_가정!$E$209))</f>
        <v>0</v>
      </c>
      <c r="AM36" s="37" t="n">
        <f aca="false">(AM14=1)*①통합_가정!$H$38*①통합_가정!$E$201*①통합_가정!$E$202/1000*(1+①통합_가정!$E$204)^INT((AM15-1)/①통합_가정!$E$205)*(1-CHOOSE(MIN(MAX(AM16,1),3),①통합_가정!$E$207,①통합_가정!$E$208,①통합_가정!$E$209))</f>
        <v>0</v>
      </c>
      <c r="AN36" s="37" t="n">
        <f aca="false">(AN14=1)*①통합_가정!$H$38*①통합_가정!$E$201*①통합_가정!$E$202/1000*(1+①통합_가정!$E$204)^INT((AN15-1)/①통합_가정!$E$205)*(1-CHOOSE(MIN(MAX(AN16,1),3),①통합_가정!$E$207,①통합_가정!$E$208,①통합_가정!$E$209))</f>
        <v>0</v>
      </c>
      <c r="AO36" s="37" t="n">
        <f aca="false">(AO14=1)*①통합_가정!$H$38*①통합_가정!$E$201*①통합_가정!$E$202/1000*(1+①통합_가정!$E$204)^INT((AO15-1)/①통합_가정!$E$205)*(1-CHOOSE(MIN(MAX(AO16,1),3),①통합_가정!$E$207,①통합_가정!$E$208,①통합_가정!$E$209))</f>
        <v>0</v>
      </c>
      <c r="AP36" s="37" t="n">
        <f aca="false">(AP14=1)*①통합_가정!$H$38*①통합_가정!$E$201*①통합_가정!$E$202/1000*(1+①통합_가정!$E$204)^INT((AP15-1)/①통합_가정!$E$205)*(1-CHOOSE(MIN(MAX(AP16,1),3),①통합_가정!$E$207,①통합_가정!$E$208,①통합_가정!$E$209))</f>
        <v>0</v>
      </c>
      <c r="AQ36" s="37" t="n">
        <f aca="false">(AQ14=1)*①통합_가정!$H$38*①통합_가정!$E$201*①통합_가정!$E$202/1000*(1+①통합_가정!$E$204)^INT((AQ15-1)/①통합_가정!$E$205)*(1-CHOOSE(MIN(MAX(AQ16,1),3),①통합_가정!$E$207,①통합_가정!$E$208,①통합_가정!$E$209))</f>
        <v>0</v>
      </c>
      <c r="AR36" s="37" t="n">
        <f aca="false">(AR14=1)*①통합_가정!$H$38*①통합_가정!$E$201*①통합_가정!$E$202/1000*(1+①통합_가정!$E$204)^INT((AR15-1)/①통합_가정!$E$205)*(1-CHOOSE(MIN(MAX(AR16,1),3),①통합_가정!$E$207,①통합_가정!$E$208,①통합_가정!$E$209))</f>
        <v>0</v>
      </c>
      <c r="AS36" s="37" t="n">
        <f aca="false">(AS14=1)*①통합_가정!$H$38*①통합_가정!$E$201*①통합_가정!$E$202/1000*(1+①통합_가정!$E$204)^INT((AS15-1)/①통합_가정!$E$205)*(1-CHOOSE(MIN(MAX(AS16,1),3),①통합_가정!$E$207,①통합_가정!$E$208,①통합_가정!$E$209))</f>
        <v>0</v>
      </c>
      <c r="AT36" s="37" t="n">
        <f aca="false">(AT14=1)*①통합_가정!$H$38*①통합_가정!$E$201*①통합_가정!$E$202/1000*(1+①통합_가정!$E$204)^INT((AT15-1)/①통합_가정!$E$205)*(1-CHOOSE(MIN(MAX(AT16,1),3),①통합_가정!$E$207,①통합_가정!$E$208,①통합_가정!$E$209))</f>
        <v>0</v>
      </c>
      <c r="AU36" s="37" t="n">
        <f aca="false">(AU14=1)*①통합_가정!$H$38*①통합_가정!$E$201*①통합_가정!$E$202/1000*(1+①통합_가정!$E$204)^INT((AU15-1)/①통합_가정!$E$205)*(1-CHOOSE(MIN(MAX(AU16,1),3),①통합_가정!$E$207,①통합_가정!$E$208,①통합_가정!$E$209))</f>
        <v>0</v>
      </c>
      <c r="AV36" s="37" t="n">
        <f aca="false">(AV14=1)*①통합_가정!$H$38*①통합_가정!$E$201*①통합_가정!$E$202/1000*(1+①통합_가정!$E$204)^INT((AV15-1)/①통합_가정!$E$205)*(1-CHOOSE(MIN(MAX(AV16,1),3),①통합_가정!$E$207,①통합_가정!$E$208,①통합_가정!$E$209))</f>
        <v>0</v>
      </c>
      <c r="AW36" s="37" t="n">
        <f aca="false">(AW14=1)*①통합_가정!$H$38*①통합_가정!$E$201*①통합_가정!$E$202/1000*(1+①통합_가정!$E$204)^INT((AW15-1)/①통합_가정!$E$205)*(1-CHOOSE(MIN(MAX(AW16,1),3),①통합_가정!$E$207,①통합_가정!$E$208,①통합_가정!$E$209))</f>
        <v>0</v>
      </c>
      <c r="AX36" s="37" t="n">
        <f aca="false">(AX14=1)*①통합_가정!$H$38*①통합_가정!$E$201*①통합_가정!$E$202/1000*(1+①통합_가정!$E$204)^INT((AX15-1)/①통합_가정!$E$205)*(1-CHOOSE(MIN(MAX(AX16,1),3),①통합_가정!$E$207,①통합_가정!$E$208,①통합_가정!$E$209))</f>
        <v>0</v>
      </c>
      <c r="AY36" s="37" t="n">
        <f aca="false">(AY14=1)*①통합_가정!$H$38*①통합_가정!$E$201*①통합_가정!$E$202/1000*(1+①통합_가정!$E$204)^INT((AY15-1)/①통합_가정!$E$205)*(1-CHOOSE(MIN(MAX(AY16,1),3),①통합_가정!$E$207,①통합_가정!$E$208,①통합_가정!$E$209))</f>
        <v>0</v>
      </c>
      <c r="AZ36" s="37" t="n">
        <f aca="false">(AZ14=1)*①통합_가정!$H$38*①통합_가정!$E$201*①통합_가정!$E$202/1000*(1+①통합_가정!$E$204)^INT((AZ15-1)/①통합_가정!$E$205)*(1-CHOOSE(MIN(MAX(AZ16,1),3),①통합_가정!$E$207,①통합_가정!$E$208,①통합_가정!$E$209))</f>
        <v>0</v>
      </c>
      <c r="BA36" s="37" t="n">
        <f aca="false">(BA14=1)*①통합_가정!$H$38*①통합_가정!$E$201*①통합_가정!$E$202/1000*(1+①통합_가정!$E$204)^INT((BA15-1)/①통합_가정!$E$205)*(1-CHOOSE(MIN(MAX(BA16,1),3),①통합_가정!$E$207,①통합_가정!$E$208,①통합_가정!$E$209))</f>
        <v>0</v>
      </c>
      <c r="BB36" s="37" t="n">
        <f aca="false">(BB14=1)*①통합_가정!$H$38*①통합_가정!$E$201*①통합_가정!$E$202/1000*(1+①통합_가정!$E$204)^INT((BB15-1)/①통합_가정!$E$205)*(1-CHOOSE(MIN(MAX(BB16,1),3),①통합_가정!$E$207,①통합_가정!$E$208,①통합_가정!$E$209))</f>
        <v>0</v>
      </c>
      <c r="BC36" s="37" t="n">
        <f aca="false">(BC14=1)*①통합_가정!$H$38*①통합_가정!$E$201*①통합_가정!$E$202/1000*(1+①통합_가정!$E$204)^INT((BC15-1)/①통합_가정!$E$205)*(1-CHOOSE(MIN(MAX(BC16,1),3),①통합_가정!$E$207,①통합_가정!$E$208,①통합_가정!$E$209))</f>
        <v>0</v>
      </c>
      <c r="BD36" s="37" t="n">
        <f aca="false">(BD14=1)*①통합_가정!$H$38*①통합_가정!$E$201*①통합_가정!$E$202/1000*(1+①통합_가정!$E$204)^INT((BD15-1)/①통합_가정!$E$205)*(1-CHOOSE(MIN(MAX(BD16,1),3),①통합_가정!$E$207,①통합_가정!$E$208,①통합_가정!$E$209))</f>
        <v>0</v>
      </c>
      <c r="BE36" s="37" t="n">
        <f aca="false">(BE14=1)*①통합_가정!$H$38*①통합_가정!$E$201*①통합_가정!$E$202/1000*(1+①통합_가정!$E$204)^INT((BE15-1)/①통합_가정!$E$205)*(1-CHOOSE(MIN(MAX(BE16,1),3),①통합_가정!$E$207,①통합_가정!$E$208,①통합_가정!$E$209))</f>
        <v>0</v>
      </c>
      <c r="BF36" s="37" t="n">
        <f aca="false">(BF14=1)*①통합_가정!$H$38*①통합_가정!$E$201*①통합_가정!$E$202/1000*(1+①통합_가정!$E$204)^INT((BF15-1)/①통합_가정!$E$205)*(1-CHOOSE(MIN(MAX(BF16,1),3),①통합_가정!$E$207,①통합_가정!$E$208,①통합_가정!$E$209))</f>
        <v>0</v>
      </c>
      <c r="BG36" s="37" t="n">
        <f aca="false">(BG14=1)*①통합_가정!$H$38*①통합_가정!$E$201*①통합_가정!$E$202/1000*(1+①통합_가정!$E$204)^INT((BG15-1)/①통합_가정!$E$205)*(1-CHOOSE(MIN(MAX(BG16,1),3),①통합_가정!$E$207,①통합_가정!$E$208,①통합_가정!$E$209))</f>
        <v>0</v>
      </c>
      <c r="BH36" s="37" t="n">
        <f aca="false">(BH14=1)*①통합_가정!$H$38*①통합_가정!$E$201*①통합_가정!$E$202/1000*(1+①통합_가정!$E$204)^INT((BH15-1)/①통합_가정!$E$205)*(1-CHOOSE(MIN(MAX(BH16,1),3),①통합_가정!$E$207,①통합_가정!$E$208,①통합_가정!$E$209))</f>
        <v>0</v>
      </c>
      <c r="BI36" s="37" t="n">
        <f aca="false">(BI14=1)*①통합_가정!$H$38*①통합_가정!$E$201*①통합_가정!$E$202/1000*(1+①통합_가정!$E$204)^INT((BI15-1)/①통합_가정!$E$205)*(1-CHOOSE(MIN(MAX(BI16,1),3),①통합_가정!$E$207,①통합_가정!$E$208,①통합_가정!$E$209))</f>
        <v>0</v>
      </c>
      <c r="BJ36" s="37" t="n">
        <f aca="false">(BJ14=1)*①통합_가정!$H$38*①통합_가정!$E$201*①통합_가정!$E$202/1000*(1+①통합_가정!$E$204)^INT((BJ15-1)/①통합_가정!$E$205)*(1-CHOOSE(MIN(MAX(BJ16,1),3),①통합_가정!$E$207,①통합_가정!$E$208,①통합_가정!$E$209))</f>
        <v>0</v>
      </c>
      <c r="BK36" s="37" t="n">
        <f aca="false">(BK14=1)*①통합_가정!$H$38*①통합_가정!$E$201*①통합_가정!$E$202/1000*(1+①통합_가정!$E$204)^INT((BK15-1)/①통합_가정!$E$205)*(1-CHOOSE(MIN(MAX(BK16,1),3),①통합_가정!$E$207,①통합_가정!$E$208,①통합_가정!$E$209))</f>
        <v>0</v>
      </c>
      <c r="BL36" s="37" t="n">
        <f aca="false">(BL14=1)*①통합_가정!$H$38*①통합_가정!$E$201*①통합_가정!$E$202/1000*(1+①통합_가정!$E$204)^INT((BL15-1)/①통합_가정!$E$205)*(1-CHOOSE(MIN(MAX(BL16,1),3),①통합_가정!$E$207,①통합_가정!$E$208,①통합_가정!$E$209))</f>
        <v>0</v>
      </c>
      <c r="BM36" s="37" t="n">
        <f aca="false">(BM14=1)*①통합_가정!$H$38*①통합_가정!$E$201*①통합_가정!$E$202/1000*(1+①통합_가정!$E$204)^INT((BM15-1)/①통합_가정!$E$205)*(1-CHOOSE(MIN(MAX(BM16,1),3),①통합_가정!$E$207,①통합_가정!$E$208,①통합_가정!$E$209))</f>
        <v>142.296</v>
      </c>
      <c r="BN36" s="37" t="n">
        <f aca="false">(BN14=1)*①통합_가정!$H$38*①통합_가정!$E$201*①통합_가정!$E$202/1000*(1+①통합_가정!$E$204)^INT((BN15-1)/①통합_가정!$E$205)*(1-CHOOSE(MIN(MAX(BN16,1),3),①통합_가정!$E$207,①통합_가정!$E$208,①통합_가정!$E$209))</f>
        <v>142.296</v>
      </c>
      <c r="BO36" s="37" t="n">
        <f aca="false">(BO14=1)*①통합_가정!$H$38*①통합_가정!$E$201*①통합_가정!$E$202/1000*(1+①통합_가정!$E$204)^INT((BO15-1)/①통합_가정!$E$205)*(1-CHOOSE(MIN(MAX(BO16,1),3),①통합_가정!$E$207,①통합_가정!$E$208,①통합_가정!$E$209))</f>
        <v>142.296</v>
      </c>
      <c r="BP36" s="37" t="n">
        <f aca="false">(BP14=1)*①통합_가정!$H$38*①통합_가정!$E$201*①통합_가정!$E$202/1000*(1+①통합_가정!$E$204)^INT((BP15-1)/①통합_가정!$E$205)*(1-CHOOSE(MIN(MAX(BP16,1),3),①통합_가정!$E$207,①통합_가정!$E$208,①통합_가정!$E$209))</f>
        <v>142.296</v>
      </c>
      <c r="BQ36" s="37" t="n">
        <f aca="false">(BQ14=1)*①통합_가정!$H$38*①통합_가정!$E$201*①통합_가정!$E$202/1000*(1+①통합_가정!$E$204)^INT((BQ15-1)/①통합_가정!$E$205)*(1-CHOOSE(MIN(MAX(BQ16,1),3),①통합_가정!$E$207,①통합_가정!$E$208,①통합_가정!$E$209))</f>
        <v>142.296</v>
      </c>
      <c r="BR36" s="37" t="n">
        <f aca="false">(BR14=1)*①통합_가정!$H$38*①통합_가정!$E$201*①통합_가정!$E$202/1000*(1+①통합_가정!$E$204)^INT((BR15-1)/①통합_가정!$E$205)*(1-CHOOSE(MIN(MAX(BR16,1),3),①통합_가정!$E$207,①통합_가정!$E$208,①통합_가정!$E$209))</f>
        <v>142.296</v>
      </c>
      <c r="BS36" s="37" t="n">
        <f aca="false">(BS14=1)*①통합_가정!$H$38*①통합_가정!$E$201*①통합_가정!$E$202/1000*(1+①통합_가정!$E$204)^INT((BS15-1)/①통합_가정!$E$205)*(1-CHOOSE(MIN(MAX(BS16,1),3),①통합_가정!$E$207,①통합_가정!$E$208,①통합_가정!$E$209))</f>
        <v>142.296</v>
      </c>
      <c r="BT36" s="37" t="n">
        <f aca="false">(BT14=1)*①통합_가정!$H$38*①통합_가정!$E$201*①통합_가정!$E$202/1000*(1+①통합_가정!$E$204)^INT((BT15-1)/①통합_가정!$E$205)*(1-CHOOSE(MIN(MAX(BT16,1),3),①통합_가정!$E$207,①통합_가정!$E$208,①통합_가정!$E$209))</f>
        <v>142.296</v>
      </c>
      <c r="BU36" s="37" t="n">
        <f aca="false">(BU14=1)*①통합_가정!$H$38*①통합_가정!$E$201*①통합_가정!$E$202/1000*(1+①통합_가정!$E$204)^INT((BU15-1)/①통합_가정!$E$205)*(1-CHOOSE(MIN(MAX(BU16,1),3),①통합_가정!$E$207,①통합_가정!$E$208,①통합_가정!$E$209))</f>
        <v>142.296</v>
      </c>
      <c r="BV36" s="37" t="n">
        <f aca="false">(BV14=1)*①통합_가정!$H$38*①통합_가정!$E$201*①통합_가정!$E$202/1000*(1+①통합_가정!$E$204)^INT((BV15-1)/①통합_가정!$E$205)*(1-CHOOSE(MIN(MAX(BV16,1),3),①통합_가정!$E$207,①통합_가정!$E$208,①통합_가정!$E$209))</f>
        <v>142.296</v>
      </c>
      <c r="BW36" s="37" t="n">
        <f aca="false">(BW14=1)*①통합_가정!$H$38*①통합_가정!$E$201*①통합_가정!$E$202/1000*(1+①통합_가정!$E$204)^INT((BW15-1)/①통합_가정!$E$205)*(1-CHOOSE(MIN(MAX(BW16,1),3),①통합_가정!$E$207,①통합_가정!$E$208,①통합_가정!$E$209))</f>
        <v>142.296</v>
      </c>
      <c r="BX36" s="37" t="n">
        <f aca="false">(BX14=1)*①통합_가정!$H$38*①통합_가정!$E$201*①통합_가정!$E$202/1000*(1+①통합_가정!$E$204)^INT((BX15-1)/①통합_가정!$E$205)*(1-CHOOSE(MIN(MAX(BX16,1),3),①통합_가정!$E$207,①통합_가정!$E$208,①통합_가정!$E$209))</f>
        <v>142.296</v>
      </c>
      <c r="BY36" s="37" t="n">
        <f aca="false">(BY14=1)*①통합_가정!$H$38*①통합_가정!$E$201*①통합_가정!$E$202/1000*(1+①통합_가정!$E$204)^INT((BY15-1)/①통합_가정!$E$205)*(1-CHOOSE(MIN(MAX(BY16,1),3),①통합_가정!$E$207,①통합_가정!$E$208,①통합_가정!$E$209))</f>
        <v>145.14192</v>
      </c>
      <c r="BZ36" s="37" t="n">
        <f aca="false">(BZ14=1)*①통합_가정!$H$38*①통합_가정!$E$201*①통합_가정!$E$202/1000*(1+①통합_가정!$E$204)^INT((BZ15-1)/①통합_가정!$E$205)*(1-CHOOSE(MIN(MAX(BZ16,1),3),①통합_가정!$E$207,①통합_가정!$E$208,①통합_가정!$E$209))</f>
        <v>145.14192</v>
      </c>
      <c r="CA36" s="37" t="n">
        <f aca="false">(CA14=1)*①통합_가정!$H$38*①통합_가정!$E$201*①통합_가정!$E$202/1000*(1+①통합_가정!$E$204)^INT((CA15-1)/①통합_가정!$E$205)*(1-CHOOSE(MIN(MAX(CA16,1),3),①통합_가정!$E$207,①통합_가정!$E$208,①통합_가정!$E$209))</f>
        <v>145.14192</v>
      </c>
      <c r="CB36" s="37" t="n">
        <f aca="false">(CB14=1)*①통합_가정!$H$38*①통합_가정!$E$201*①통합_가정!$E$202/1000*(1+①통합_가정!$E$204)^INT((CB15-1)/①통합_가정!$E$205)*(1-CHOOSE(MIN(MAX(CB16,1),3),①통합_가정!$E$207,①통합_가정!$E$208,①통합_가정!$E$209))</f>
        <v>145.14192</v>
      </c>
      <c r="CC36" s="37" t="n">
        <f aca="false">(CC14=1)*①통합_가정!$H$38*①통합_가정!$E$201*①통합_가정!$E$202/1000*(1+①통합_가정!$E$204)^INT((CC15-1)/①통합_가정!$E$205)*(1-CHOOSE(MIN(MAX(CC16,1),3),①통합_가정!$E$207,①통합_가정!$E$208,①통합_가정!$E$209))</f>
        <v>145.14192</v>
      </c>
      <c r="CD36" s="37" t="n">
        <f aca="false">(CD14=1)*①통합_가정!$H$38*①통합_가정!$E$201*①통합_가정!$E$202/1000*(1+①통합_가정!$E$204)^INT((CD15-1)/①통합_가정!$E$205)*(1-CHOOSE(MIN(MAX(CD16,1),3),①통합_가정!$E$207,①통합_가정!$E$208,①통합_가정!$E$209))</f>
        <v>145.14192</v>
      </c>
      <c r="CE36" s="37" t="n">
        <f aca="false">(CE14=1)*①통합_가정!$H$38*①통합_가정!$E$201*①통합_가정!$E$202/1000*(1+①통합_가정!$E$204)^INT((CE15-1)/①통합_가정!$E$205)*(1-CHOOSE(MIN(MAX(CE16,1),3),①통합_가정!$E$207,①통합_가정!$E$208,①통합_가정!$E$209))</f>
        <v>145.14192</v>
      </c>
      <c r="CF36" s="37" t="n">
        <f aca="false">(CF14=1)*①통합_가정!$H$38*①통합_가정!$E$201*①통합_가정!$E$202/1000*(1+①통합_가정!$E$204)^INT((CF15-1)/①통합_가정!$E$205)*(1-CHOOSE(MIN(MAX(CF16,1),3),①통합_가정!$E$207,①통합_가정!$E$208,①통합_가정!$E$209))</f>
        <v>145.14192</v>
      </c>
      <c r="CG36" s="37" t="n">
        <f aca="false">(CG14=1)*①통합_가정!$H$38*①통합_가정!$E$201*①통합_가정!$E$202/1000*(1+①통합_가정!$E$204)^INT((CG15-1)/①통합_가정!$E$205)*(1-CHOOSE(MIN(MAX(CG16,1),3),①통합_가정!$E$207,①통합_가정!$E$208,①통합_가정!$E$209))</f>
        <v>145.14192</v>
      </c>
      <c r="CH36" s="37" t="n">
        <f aca="false">(CH14=1)*①통합_가정!$H$38*①통합_가정!$E$201*①통합_가정!$E$202/1000*(1+①통합_가정!$E$204)^INT((CH15-1)/①통합_가정!$E$205)*(1-CHOOSE(MIN(MAX(CH16,1),3),①통합_가정!$E$207,①통합_가정!$E$208,①통합_가정!$E$209))</f>
        <v>145.14192</v>
      </c>
      <c r="CI36" s="37" t="n">
        <f aca="false">(CI14=1)*①통합_가정!$H$38*①통합_가정!$E$201*①통합_가정!$E$202/1000*(1+①통합_가정!$E$204)^INT((CI15-1)/①통합_가정!$E$205)*(1-CHOOSE(MIN(MAX(CI16,1),3),①통합_가정!$E$207,①통합_가정!$E$208,①통합_가정!$E$209))</f>
        <v>145.14192</v>
      </c>
      <c r="CJ36" s="37" t="n">
        <f aca="false">(CJ14=1)*①통합_가정!$H$38*①통합_가정!$E$201*①통합_가정!$E$202/1000*(1+①통합_가정!$E$204)^INT((CJ15-1)/①통합_가정!$E$205)*(1-CHOOSE(MIN(MAX(CJ16,1),3),①통합_가정!$E$207,①통합_가정!$E$208,①통합_가정!$E$209))</f>
        <v>145.14192</v>
      </c>
      <c r="CK36" s="37" t="n">
        <f aca="false">(CK14=1)*①통합_가정!$H$38*①통합_가정!$E$201*①통합_가정!$E$202/1000*(1+①통합_가정!$E$204)^INT((CK15-1)/①통합_가정!$E$205)*(1-CHOOSE(MIN(MAX(CK16,1),3),①통합_가정!$E$207,①통합_가정!$E$208,①통합_가정!$E$209))</f>
        <v>148.0447584</v>
      </c>
      <c r="CL36" s="37" t="n">
        <f aca="false">(CL14=1)*①통합_가정!$H$38*①통합_가정!$E$201*①통합_가정!$E$202/1000*(1+①통합_가정!$E$204)^INT((CL15-1)/①통합_가정!$E$205)*(1-CHOOSE(MIN(MAX(CL16,1),3),①통합_가정!$E$207,①통합_가정!$E$208,①통합_가정!$E$209))</f>
        <v>148.0447584</v>
      </c>
      <c r="CM36" s="37" t="n">
        <f aca="false">(CM14=1)*①통합_가정!$H$38*①통합_가정!$E$201*①통합_가정!$E$202/1000*(1+①통합_가정!$E$204)^INT((CM15-1)/①통합_가정!$E$205)*(1-CHOOSE(MIN(MAX(CM16,1),3),①통합_가정!$E$207,①통합_가정!$E$208,①통합_가정!$E$209))</f>
        <v>148.0447584</v>
      </c>
      <c r="CN36" s="37" t="n">
        <f aca="false">(CN14=1)*①통합_가정!$H$38*①통합_가정!$E$201*①통합_가정!$E$202/1000*(1+①통합_가정!$E$204)^INT((CN15-1)/①통합_가정!$E$205)*(1-CHOOSE(MIN(MAX(CN16,1),3),①통합_가정!$E$207,①통합_가정!$E$208,①통합_가정!$E$209))</f>
        <v>148.0447584</v>
      </c>
      <c r="CO36" s="37" t="n">
        <f aca="false">(CO14=1)*①통합_가정!$H$38*①통합_가정!$E$201*①통합_가정!$E$202/1000*(1+①통합_가정!$E$204)^INT((CO15-1)/①통합_가정!$E$205)*(1-CHOOSE(MIN(MAX(CO16,1),3),①통합_가정!$E$207,①통합_가정!$E$208,①통합_가정!$E$209))</f>
        <v>148.0447584</v>
      </c>
      <c r="CP36" s="37" t="n">
        <f aca="false">(CP14=1)*①통합_가정!$H$38*①통합_가정!$E$201*①통합_가정!$E$202/1000*(1+①통합_가정!$E$204)^INT((CP15-1)/①통합_가정!$E$205)*(1-CHOOSE(MIN(MAX(CP16,1),3),①통합_가정!$E$207,①통합_가정!$E$208,①통합_가정!$E$209))</f>
        <v>148.0447584</v>
      </c>
      <c r="CQ36" s="37" t="n">
        <f aca="false">(CQ14=1)*①통합_가정!$H$38*①통합_가정!$E$201*①통합_가정!$E$202/1000*(1+①통합_가정!$E$204)^INT((CQ15-1)/①통합_가정!$E$205)*(1-CHOOSE(MIN(MAX(CQ16,1),3),①통합_가정!$E$207,①통합_가정!$E$208,①통합_가정!$E$209))</f>
        <v>148.0447584</v>
      </c>
      <c r="CR36" s="37" t="n">
        <f aca="false">(CR14=1)*①통합_가정!$H$38*①통합_가정!$E$201*①통합_가정!$E$202/1000*(1+①통합_가정!$E$204)^INT((CR15-1)/①통합_가정!$E$205)*(1-CHOOSE(MIN(MAX(CR16,1),3),①통합_가정!$E$207,①통합_가정!$E$208,①통합_가정!$E$209))</f>
        <v>148.0447584</v>
      </c>
      <c r="CS36" s="37" t="n">
        <f aca="false">(CS14=1)*①통합_가정!$H$38*①통합_가정!$E$201*①통합_가정!$E$202/1000*(1+①통합_가정!$E$204)^INT((CS15-1)/①통합_가정!$E$205)*(1-CHOOSE(MIN(MAX(CS16,1),3),①통합_가정!$E$207,①통합_가정!$E$208,①통합_가정!$E$209))</f>
        <v>148.0447584</v>
      </c>
      <c r="CT36" s="37" t="n">
        <f aca="false">(CT14=1)*①통합_가정!$H$38*①통합_가정!$E$201*①통합_가정!$E$202/1000*(1+①통합_가정!$E$204)^INT((CT15-1)/①통합_가정!$E$205)*(1-CHOOSE(MIN(MAX(CT16,1),3),①통합_가정!$E$207,①통합_가정!$E$208,①통합_가정!$E$209))</f>
        <v>148.0447584</v>
      </c>
      <c r="CU36" s="37" t="n">
        <f aca="false">(CU14=1)*①통합_가정!$H$38*①통합_가정!$E$201*①통합_가정!$E$202/1000*(1+①통합_가정!$E$204)^INT((CU15-1)/①통합_가정!$E$205)*(1-CHOOSE(MIN(MAX(CU16,1),3),①통합_가정!$E$207,①통합_가정!$E$208,①통합_가정!$E$209))</f>
        <v>148.0447584</v>
      </c>
      <c r="CV36" s="37" t="n">
        <f aca="false">(CV14=1)*①통합_가정!$H$38*①통합_가정!$E$201*①통합_가정!$E$202/1000*(1+①통합_가정!$E$204)^INT((CV15-1)/①통합_가정!$E$205)*(1-CHOOSE(MIN(MAX(CV16,1),3),①통합_가정!$E$207,①통합_가정!$E$208,①통합_가정!$E$209))</f>
        <v>148.0447584</v>
      </c>
      <c r="CW36" s="37" t="n">
        <f aca="false">(CW14=1)*①통합_가정!$H$38*①통합_가정!$E$201*①통합_가정!$E$202/1000*(1+①통합_가정!$E$204)^INT((CW15-1)/①통합_가정!$E$205)*(1-CHOOSE(MIN(MAX(CW16,1),3),①통합_가정!$E$207,①통합_가정!$E$208,①통합_가정!$E$209))</f>
        <v>151.005653568</v>
      </c>
      <c r="CX36" s="37" t="n">
        <f aca="false">(CX14=1)*①통합_가정!$H$38*①통합_가정!$E$201*①통합_가정!$E$202/1000*(1+①통합_가정!$E$204)^INT((CX15-1)/①통합_가정!$E$205)*(1-CHOOSE(MIN(MAX(CX16,1),3),①통합_가정!$E$207,①통합_가정!$E$208,①통합_가정!$E$209))</f>
        <v>151.005653568</v>
      </c>
      <c r="CY36" s="37" t="n">
        <f aca="false">(CY14=1)*①통합_가정!$H$38*①통합_가정!$E$201*①통합_가정!$E$202/1000*(1+①통합_가정!$E$204)^INT((CY15-1)/①통합_가정!$E$205)*(1-CHOOSE(MIN(MAX(CY16,1),3),①통합_가정!$E$207,①통합_가정!$E$208,①통합_가정!$E$209))</f>
        <v>151.005653568</v>
      </c>
      <c r="CZ36" s="37" t="n">
        <f aca="false">(CZ14=1)*①통합_가정!$H$38*①통합_가정!$E$201*①통합_가정!$E$202/1000*(1+①통합_가정!$E$204)^INT((CZ15-1)/①통합_가정!$E$205)*(1-CHOOSE(MIN(MAX(CZ16,1),3),①통합_가정!$E$207,①통합_가정!$E$208,①통합_가정!$E$209))</f>
        <v>151.005653568</v>
      </c>
      <c r="DA36" s="37" t="n">
        <f aca="false">(DA14=1)*①통합_가정!$H$38*①통합_가정!$E$201*①통합_가정!$E$202/1000*(1+①통합_가정!$E$204)^INT((DA15-1)/①통합_가정!$E$205)*(1-CHOOSE(MIN(MAX(DA16,1),3),①통합_가정!$E$207,①통합_가정!$E$208,①통합_가정!$E$209))</f>
        <v>151.005653568</v>
      </c>
      <c r="DB36" s="37" t="n">
        <f aca="false">(DB14=1)*①통합_가정!$H$38*①통합_가정!$E$201*①통합_가정!$E$202/1000*(1+①통합_가정!$E$204)^INT((DB15-1)/①통합_가정!$E$205)*(1-CHOOSE(MIN(MAX(DB16,1),3),①통합_가정!$E$207,①통합_가정!$E$208,①통합_가정!$E$209))</f>
        <v>151.005653568</v>
      </c>
      <c r="DC36" s="37" t="n">
        <f aca="false">(DC14=1)*①통합_가정!$H$38*①통합_가정!$E$201*①통합_가정!$E$202/1000*(1+①통합_가정!$E$204)^INT((DC15-1)/①통합_가정!$E$205)*(1-CHOOSE(MIN(MAX(DC16,1),3),①통합_가정!$E$207,①통합_가정!$E$208,①통합_가정!$E$209))</f>
        <v>151.005653568</v>
      </c>
      <c r="DD36" s="37" t="n">
        <f aca="false">(DD14=1)*①통합_가정!$H$38*①통합_가정!$E$201*①통합_가정!$E$202/1000*(1+①통합_가정!$E$204)^INT((DD15-1)/①통합_가정!$E$205)*(1-CHOOSE(MIN(MAX(DD16,1),3),①통합_가정!$E$207,①통합_가정!$E$208,①통합_가정!$E$209))</f>
        <v>151.005653568</v>
      </c>
      <c r="DE36" s="37" t="n">
        <f aca="false">(DE14=1)*①통합_가정!$H$38*①통합_가정!$E$201*①통합_가정!$E$202/1000*(1+①통합_가정!$E$204)^INT((DE15-1)/①통합_가정!$E$205)*(1-CHOOSE(MIN(MAX(DE16,1),3),①통합_가정!$E$207,①통합_가정!$E$208,①통합_가정!$E$209))</f>
        <v>151.005653568</v>
      </c>
      <c r="DF36" s="37" t="n">
        <f aca="false">(DF14=1)*①통합_가정!$H$38*①통합_가정!$E$201*①통합_가정!$E$202/1000*(1+①통합_가정!$E$204)^INT((DF15-1)/①통합_가정!$E$205)*(1-CHOOSE(MIN(MAX(DF16,1),3),①통합_가정!$E$207,①통합_가정!$E$208,①통합_가정!$E$209))</f>
        <v>151.005653568</v>
      </c>
      <c r="DG36" s="37" t="n">
        <f aca="false">(DG14=1)*①통합_가정!$H$38*①통합_가정!$E$201*①통합_가정!$E$202/1000*(1+①통합_가정!$E$204)^INT((DG15-1)/①통합_가정!$E$205)*(1-CHOOSE(MIN(MAX(DG16,1),3),①통합_가정!$E$207,①통합_가정!$E$208,①통합_가정!$E$209))</f>
        <v>151.005653568</v>
      </c>
      <c r="DH36" s="37" t="n">
        <f aca="false">(DH14=1)*①통합_가정!$H$38*①통합_가정!$E$201*①통합_가정!$E$202/1000*(1+①통합_가정!$E$204)^INT((DH15-1)/①통합_가정!$E$205)*(1-CHOOSE(MIN(MAX(DH16,1),3),①통합_가정!$E$207,①통합_가정!$E$208,①통합_가정!$E$209))</f>
        <v>151.005653568</v>
      </c>
      <c r="DI36" s="37" t="n">
        <f aca="false">(DI14=1)*①통합_가정!$H$38*①통합_가정!$E$201*①통합_가정!$E$202/1000*(1+①통합_가정!$E$204)^INT((DI15-1)/①통합_가정!$E$205)*(1-CHOOSE(MIN(MAX(DI16,1),3),①통합_가정!$E$207,①통합_가정!$E$208,①통합_가정!$E$209))</f>
        <v>154.02576663936</v>
      </c>
      <c r="DJ36" s="37" t="n">
        <f aca="false">(DJ14=1)*①통합_가정!$H$38*①통합_가정!$E$201*①통합_가정!$E$202/1000*(1+①통합_가정!$E$204)^INT((DJ15-1)/①통합_가정!$E$205)*(1-CHOOSE(MIN(MAX(DJ16,1),3),①통합_가정!$E$207,①통합_가정!$E$208,①통합_가정!$E$209))</f>
        <v>154.02576663936</v>
      </c>
      <c r="DK36" s="37" t="n">
        <f aca="false">(DK14=1)*①통합_가정!$H$38*①통합_가정!$E$201*①통합_가정!$E$202/1000*(1+①통합_가정!$E$204)^INT((DK15-1)/①통합_가정!$E$205)*(1-CHOOSE(MIN(MAX(DK16,1),3),①통합_가정!$E$207,①통합_가정!$E$208,①통합_가정!$E$209))</f>
        <v>154.02576663936</v>
      </c>
      <c r="DL36" s="37" t="n">
        <f aca="false">(DL14=1)*①통합_가정!$H$38*①통합_가정!$E$201*①통합_가정!$E$202/1000*(1+①통합_가정!$E$204)^INT((DL15-1)/①통합_가정!$E$205)*(1-CHOOSE(MIN(MAX(DL16,1),3),①통합_가정!$E$207,①통합_가정!$E$208,①통합_가정!$E$209))</f>
        <v>154.02576663936</v>
      </c>
      <c r="DM36" s="37" t="n">
        <f aca="false">(DM14=1)*①통합_가정!$H$38*①통합_가정!$E$201*①통합_가정!$E$202/1000*(1+①통합_가정!$E$204)^INT((DM15-1)/①통합_가정!$E$205)*(1-CHOOSE(MIN(MAX(DM16,1),3),①통합_가정!$E$207,①통합_가정!$E$208,①통합_가정!$E$209))</f>
        <v>154.02576663936</v>
      </c>
      <c r="DN36" s="37" t="n">
        <f aca="false">(DN14=1)*①통합_가정!$H$38*①통합_가정!$E$201*①통합_가정!$E$202/1000*(1+①통합_가정!$E$204)^INT((DN15-1)/①통합_가정!$E$205)*(1-CHOOSE(MIN(MAX(DN16,1),3),①통합_가정!$E$207,①통합_가정!$E$208,①통합_가정!$E$209))</f>
        <v>154.02576663936</v>
      </c>
      <c r="DO36" s="37" t="n">
        <f aca="false">(DO14=1)*①통합_가정!$H$38*①통합_가정!$E$201*①통합_가정!$E$202/1000*(1+①통합_가정!$E$204)^INT((DO15-1)/①통합_가정!$E$205)*(1-CHOOSE(MIN(MAX(DO16,1),3),①통합_가정!$E$207,①통합_가정!$E$208,①통합_가정!$E$209))</f>
        <v>154.02576663936</v>
      </c>
      <c r="DP36" s="37" t="n">
        <f aca="false">(DP14=1)*①통합_가정!$H$38*①통합_가정!$E$201*①통합_가정!$E$202/1000*(1+①통합_가정!$E$204)^INT((DP15-1)/①통합_가정!$E$205)*(1-CHOOSE(MIN(MAX(DP16,1),3),①통합_가정!$E$207,①통합_가정!$E$208,①통합_가정!$E$209))</f>
        <v>154.02576663936</v>
      </c>
      <c r="DQ36" s="37" t="n">
        <f aca="false">(DQ14=1)*①통합_가정!$H$38*①통합_가정!$E$201*①통합_가정!$E$202/1000*(1+①통합_가정!$E$204)^INT((DQ15-1)/①통합_가정!$E$205)*(1-CHOOSE(MIN(MAX(DQ16,1),3),①통합_가정!$E$207,①통합_가정!$E$208,①통합_가정!$E$209))</f>
        <v>154.02576663936</v>
      </c>
      <c r="DR36" s="37" t="n">
        <f aca="false">(DR14=1)*①통합_가정!$H$38*①통합_가정!$E$201*①통합_가정!$E$202/1000*(1+①통합_가정!$E$204)^INT((DR15-1)/①통합_가정!$E$205)*(1-CHOOSE(MIN(MAX(DR16,1),3),①통합_가정!$E$207,①통합_가정!$E$208,①통합_가정!$E$209))</f>
        <v>154.02576663936</v>
      </c>
      <c r="DS36" s="37" t="n">
        <f aca="false">(DS14=1)*①통합_가정!$H$38*①통합_가정!$E$201*①통합_가정!$E$202/1000*(1+①통합_가정!$E$204)^INT((DS15-1)/①통합_가정!$E$205)*(1-CHOOSE(MIN(MAX(DS16,1),3),①통합_가정!$E$207,①통합_가정!$E$208,①통합_가정!$E$209))</f>
        <v>154.02576663936</v>
      </c>
      <c r="DT36" s="37" t="n">
        <f aca="false">(DT14=1)*①통합_가정!$H$38*①통합_가정!$E$201*①통합_가정!$E$202/1000*(1+①통합_가정!$E$204)^INT((DT15-1)/①통합_가정!$E$205)*(1-CHOOSE(MIN(MAX(DT16,1),3),①통합_가정!$E$207,①통합_가정!$E$208,①통합_가정!$E$209))</f>
        <v>154.02576663936</v>
      </c>
      <c r="DU36" s="37" t="n">
        <f aca="false">(DU14=1)*①통합_가정!$H$38*①통합_가정!$E$201*①통합_가정!$E$202/1000*(1+①통합_가정!$E$204)^INT((DU15-1)/①통합_가정!$E$205)*(1-CHOOSE(MIN(MAX(DU16,1),3),①통합_가정!$E$207,①통합_가정!$E$208,①통합_가정!$E$209))</f>
        <v>0</v>
      </c>
      <c r="DV36" s="37" t="n">
        <f aca="false">(DV14=1)*①통합_가정!$H$38*①통합_가정!$E$201*①통합_가정!$E$202/1000*(1+①통합_가정!$E$204)^INT((DV15-1)/①통합_가정!$E$205)*(1-CHOOSE(MIN(MAX(DV16,1),3),①통합_가정!$E$207,①통합_가정!$E$208,①통합_가정!$E$209))</f>
        <v>0</v>
      </c>
      <c r="DW36" s="37" t="n">
        <f aca="false">(DW14=1)*①통합_가정!$H$38*①통합_가정!$E$201*①통합_가정!$E$202/1000*(1+①통합_가정!$E$204)^INT((DW15-1)/①통합_가정!$E$205)*(1-CHOOSE(MIN(MAX(DW16,1),3),①통합_가정!$E$207,①통합_가정!$E$208,①통합_가정!$E$209))</f>
        <v>0</v>
      </c>
      <c r="DX36" s="37" t="n">
        <f aca="false">(DX14=1)*①통합_가정!$H$38*①통합_가정!$E$201*①통합_가정!$E$202/1000*(1+①통합_가정!$E$204)^INT((DX15-1)/①통합_가정!$E$205)*(1-CHOOSE(MIN(MAX(DX16,1),3),①통합_가정!$E$207,①통합_가정!$E$208,①통합_가정!$E$209))</f>
        <v>0</v>
      </c>
      <c r="DY36" s="37" t="n">
        <f aca="false">(DY14=1)*①통합_가정!$H$38*①통합_가정!$E$201*①통합_가정!$E$202/1000*(1+①통합_가정!$E$204)^INT((DY15-1)/①통합_가정!$E$205)*(1-CHOOSE(MIN(MAX(DY16,1),3),①통합_가정!$E$207,①통합_가정!$E$208,①통합_가정!$E$209))</f>
        <v>0</v>
      </c>
      <c r="DZ36" s="37" t="n">
        <f aca="false">(DZ14=1)*①통합_가정!$H$38*①통합_가정!$E$201*①통합_가정!$E$202/1000*(1+①통합_가정!$E$204)^INT((DZ15-1)/①통합_가정!$E$205)*(1-CHOOSE(MIN(MAX(DZ16,1),3),①통합_가정!$E$207,①통합_가정!$E$208,①통합_가정!$E$209))</f>
        <v>0</v>
      </c>
      <c r="EA36" s="37" t="n">
        <f aca="false">(EA14=1)*①통합_가정!$H$38*①통합_가정!$E$201*①통합_가정!$E$202/1000*(1+①통합_가정!$E$204)^INT((EA15-1)/①통합_가정!$E$205)*(1-CHOOSE(MIN(MAX(EA16,1),3),①통합_가정!$E$207,①통합_가정!$E$208,①통합_가정!$E$209))</f>
        <v>0</v>
      </c>
      <c r="EB36" s="37" t="n">
        <f aca="false">(EB14=1)*①통합_가정!$H$38*①통합_가정!$E$201*①통합_가정!$E$202/1000*(1+①통합_가정!$E$204)^INT((EB15-1)/①통합_가정!$E$205)*(1-CHOOSE(MIN(MAX(EB16,1),3),①통합_가정!$E$207,①통합_가정!$E$208,①통합_가정!$E$209))</f>
        <v>0</v>
      </c>
      <c r="EC36" s="37" t="n">
        <f aca="false">(EC14=1)*①통합_가정!$H$38*①통합_가정!$E$201*①통합_가정!$E$202/1000*(1+①통합_가정!$E$204)^INT((EC15-1)/①통합_가정!$E$205)*(1-CHOOSE(MIN(MAX(EC16,1),3),①통합_가정!$E$207,①통합_가정!$E$208,①통합_가정!$E$209))</f>
        <v>0</v>
      </c>
      <c r="ED36" s="37" t="n">
        <f aca="false">(ED14=1)*①통합_가정!$H$38*①통합_가정!$E$201*①통합_가정!$E$202/1000*(1+①통합_가정!$E$204)^INT((ED15-1)/①통합_가정!$E$205)*(1-CHOOSE(MIN(MAX(ED16,1),3),①통합_가정!$E$207,①통합_가정!$E$208,①통합_가정!$E$209))</f>
        <v>0</v>
      </c>
      <c r="EE36" s="37" t="n">
        <f aca="false">(EE14=1)*①통합_가정!$H$38*①통합_가정!$E$201*①통합_가정!$E$202/1000*(1+①통합_가정!$E$204)^INT((EE15-1)/①통합_가정!$E$205)*(1-CHOOSE(MIN(MAX(EE16,1),3),①통합_가정!$E$207,①통합_가정!$E$208,①통합_가정!$E$209))</f>
        <v>0</v>
      </c>
      <c r="EF36" s="37" t="n">
        <f aca="false">(EF14=1)*①통합_가정!$H$38*①통합_가정!$E$201*①통합_가정!$E$202/1000*(1+①통합_가정!$E$204)^INT((EF15-1)/①통합_가정!$E$205)*(1-CHOOSE(MIN(MAX(EF16,1),3),①통합_가정!$E$207,①통합_가정!$E$208,①통합_가정!$E$209))</f>
        <v>0</v>
      </c>
    </row>
    <row r="37" customFormat="false" ht="15" hidden="false" customHeight="false" outlineLevel="0" collapsed="false">
      <c r="A37" s="36" t="s">
        <v>587</v>
      </c>
      <c r="B37" s="278" t="s">
        <v>21</v>
      </c>
      <c r="C37" s="279" t="n">
        <f aca="false">SUM(E37:EF37)</f>
        <v>9520.8955535232</v>
      </c>
      <c r="E37" s="37" t="n">
        <f aca="false">(E14=1)*①통합_가정!$H$38*①통합_가정!$E$214*①통합_가정!$E$215/1000*(1+①통합_가정!$E$217)^INT((E15-1)/①통합_가정!$E$218)*(1-CHOOSE(MIN(MAX(E16,1),3),①통합_가정!$E$220,①통합_가정!$E$221,①통합_가정!$E$222))</f>
        <v>0</v>
      </c>
      <c r="F37" s="37" t="n">
        <f aca="false">(F14=1)*①통합_가정!$H$38*①통합_가정!$E$214*①통합_가정!$E$215/1000*(1+①통합_가정!$E$217)^INT((F15-1)/①통합_가정!$E$218)*(1-CHOOSE(MIN(MAX(F16,1),3),①통합_가정!$E$220,①통합_가정!$E$221,①통합_가정!$E$222))</f>
        <v>0</v>
      </c>
      <c r="G37" s="37" t="n">
        <f aca="false">(G14=1)*①통합_가정!$H$38*①통합_가정!$E$214*①통합_가정!$E$215/1000*(1+①통합_가정!$E$217)^INT((G15-1)/①통합_가정!$E$218)*(1-CHOOSE(MIN(MAX(G16,1),3),①통합_가정!$E$220,①통합_가정!$E$221,①통합_가정!$E$222))</f>
        <v>0</v>
      </c>
      <c r="H37" s="37" t="n">
        <f aca="false">(H14=1)*①통합_가정!$H$38*①통합_가정!$E$214*①통합_가정!$E$215/1000*(1+①통합_가정!$E$217)^INT((H15-1)/①통합_가정!$E$218)*(1-CHOOSE(MIN(MAX(H16,1),3),①통합_가정!$E$220,①통합_가정!$E$221,①통합_가정!$E$222))</f>
        <v>0</v>
      </c>
      <c r="I37" s="37" t="n">
        <f aca="false">(I14=1)*①통합_가정!$H$38*①통합_가정!$E$214*①통합_가정!$E$215/1000*(1+①통합_가정!$E$217)^INT((I15-1)/①통합_가정!$E$218)*(1-CHOOSE(MIN(MAX(I16,1),3),①통합_가정!$E$220,①통합_가정!$E$221,①통합_가정!$E$222))</f>
        <v>0</v>
      </c>
      <c r="J37" s="37" t="n">
        <f aca="false">(J14=1)*①통합_가정!$H$38*①통합_가정!$E$214*①통합_가정!$E$215/1000*(1+①통합_가정!$E$217)^INT((J15-1)/①통합_가정!$E$218)*(1-CHOOSE(MIN(MAX(J16,1),3),①통합_가정!$E$220,①통합_가정!$E$221,①통합_가정!$E$222))</f>
        <v>0</v>
      </c>
      <c r="K37" s="37" t="n">
        <f aca="false">(K14=1)*①통합_가정!$H$38*①통합_가정!$E$214*①통합_가정!$E$215/1000*(1+①통합_가정!$E$217)^INT((K15-1)/①통합_가정!$E$218)*(1-CHOOSE(MIN(MAX(K16,1),3),①통합_가정!$E$220,①통합_가정!$E$221,①통합_가정!$E$222))</f>
        <v>0</v>
      </c>
      <c r="L37" s="37" t="n">
        <f aca="false">(L14=1)*①통합_가정!$H$38*①통합_가정!$E$214*①통합_가정!$E$215/1000*(1+①통합_가정!$E$217)^INT((L15-1)/①통합_가정!$E$218)*(1-CHOOSE(MIN(MAX(L16,1),3),①통합_가정!$E$220,①통합_가정!$E$221,①통합_가정!$E$222))</f>
        <v>0</v>
      </c>
      <c r="M37" s="37" t="n">
        <f aca="false">(M14=1)*①통합_가정!$H$38*①통합_가정!$E$214*①통합_가정!$E$215/1000*(1+①통합_가정!$E$217)^INT((M15-1)/①통합_가정!$E$218)*(1-CHOOSE(MIN(MAX(M16,1),3),①통합_가정!$E$220,①통합_가정!$E$221,①통합_가정!$E$222))</f>
        <v>0</v>
      </c>
      <c r="N37" s="37" t="n">
        <f aca="false">(N14=1)*①통합_가정!$H$38*①통합_가정!$E$214*①통합_가정!$E$215/1000*(1+①통합_가정!$E$217)^INT((N15-1)/①통합_가정!$E$218)*(1-CHOOSE(MIN(MAX(N16,1),3),①통합_가정!$E$220,①통합_가정!$E$221,①통합_가정!$E$222))</f>
        <v>0</v>
      </c>
      <c r="O37" s="37" t="n">
        <f aca="false">(O14=1)*①통합_가정!$H$38*①통합_가정!$E$214*①통합_가정!$E$215/1000*(1+①통합_가정!$E$217)^INT((O15-1)/①통합_가정!$E$218)*(1-CHOOSE(MIN(MAX(O16,1),3),①통합_가정!$E$220,①통합_가정!$E$221,①통합_가정!$E$222))</f>
        <v>0</v>
      </c>
      <c r="P37" s="37" t="n">
        <f aca="false">(P14=1)*①통합_가정!$H$38*①통합_가정!$E$214*①통합_가정!$E$215/1000*(1+①통합_가정!$E$217)^INT((P15-1)/①통합_가정!$E$218)*(1-CHOOSE(MIN(MAX(P16,1),3),①통합_가정!$E$220,①통합_가정!$E$221,①통합_가정!$E$222))</f>
        <v>0</v>
      </c>
      <c r="Q37" s="37" t="n">
        <f aca="false">(Q14=1)*①통합_가정!$H$38*①통합_가정!$E$214*①통합_가정!$E$215/1000*(1+①통합_가정!$E$217)^INT((Q15-1)/①통합_가정!$E$218)*(1-CHOOSE(MIN(MAX(Q16,1),3),①통합_가정!$E$220,①통합_가정!$E$221,①통합_가정!$E$222))</f>
        <v>0</v>
      </c>
      <c r="R37" s="37" t="n">
        <f aca="false">(R14=1)*①통합_가정!$H$38*①통합_가정!$E$214*①통합_가정!$E$215/1000*(1+①통합_가정!$E$217)^INT((R15-1)/①통합_가정!$E$218)*(1-CHOOSE(MIN(MAX(R16,1),3),①통합_가정!$E$220,①통합_가정!$E$221,①통합_가정!$E$222))</f>
        <v>0</v>
      </c>
      <c r="S37" s="37" t="n">
        <f aca="false">(S14=1)*①통합_가정!$H$38*①통합_가정!$E$214*①통합_가정!$E$215/1000*(1+①통합_가정!$E$217)^INT((S15-1)/①통합_가정!$E$218)*(1-CHOOSE(MIN(MAX(S16,1),3),①통합_가정!$E$220,①통합_가정!$E$221,①통합_가정!$E$222))</f>
        <v>0</v>
      </c>
      <c r="T37" s="37" t="n">
        <f aca="false">(T14=1)*①통합_가정!$H$38*①통합_가정!$E$214*①통합_가정!$E$215/1000*(1+①통합_가정!$E$217)^INT((T15-1)/①통합_가정!$E$218)*(1-CHOOSE(MIN(MAX(T16,1),3),①통합_가정!$E$220,①통합_가정!$E$221,①통합_가정!$E$222))</f>
        <v>0</v>
      </c>
      <c r="U37" s="37" t="n">
        <f aca="false">(U14=1)*①통합_가정!$H$38*①통합_가정!$E$214*①통합_가정!$E$215/1000*(1+①통합_가정!$E$217)^INT((U15-1)/①통합_가정!$E$218)*(1-CHOOSE(MIN(MAX(U16,1),3),①통합_가정!$E$220,①통합_가정!$E$221,①통합_가정!$E$222))</f>
        <v>0</v>
      </c>
      <c r="V37" s="37" t="n">
        <f aca="false">(V14=1)*①통합_가정!$H$38*①통합_가정!$E$214*①통합_가정!$E$215/1000*(1+①통합_가정!$E$217)^INT((V15-1)/①통합_가정!$E$218)*(1-CHOOSE(MIN(MAX(V16,1),3),①통합_가정!$E$220,①통합_가정!$E$221,①통합_가정!$E$222))</f>
        <v>0</v>
      </c>
      <c r="W37" s="37" t="n">
        <f aca="false">(W14=1)*①통합_가정!$H$38*①통합_가정!$E$214*①통합_가정!$E$215/1000*(1+①통합_가정!$E$217)^INT((W15-1)/①통합_가정!$E$218)*(1-CHOOSE(MIN(MAX(W16,1),3),①통합_가정!$E$220,①통합_가정!$E$221,①통합_가정!$E$222))</f>
        <v>0</v>
      </c>
      <c r="X37" s="37" t="n">
        <f aca="false">(X14=1)*①통합_가정!$H$38*①통합_가정!$E$214*①통합_가정!$E$215/1000*(1+①통합_가정!$E$217)^INT((X15-1)/①통합_가정!$E$218)*(1-CHOOSE(MIN(MAX(X16,1),3),①통합_가정!$E$220,①통합_가정!$E$221,①통합_가정!$E$222))</f>
        <v>0</v>
      </c>
      <c r="Y37" s="37" t="n">
        <f aca="false">(Y14=1)*①통합_가정!$H$38*①통합_가정!$E$214*①통합_가정!$E$215/1000*(1+①통합_가정!$E$217)^INT((Y15-1)/①통합_가정!$E$218)*(1-CHOOSE(MIN(MAX(Y16,1),3),①통합_가정!$E$220,①통합_가정!$E$221,①통합_가정!$E$222))</f>
        <v>0</v>
      </c>
      <c r="Z37" s="37" t="n">
        <f aca="false">(Z14=1)*①통합_가정!$H$38*①통합_가정!$E$214*①통합_가정!$E$215/1000*(1+①통합_가정!$E$217)^INT((Z15-1)/①통합_가정!$E$218)*(1-CHOOSE(MIN(MAX(Z16,1),3),①통합_가정!$E$220,①통합_가정!$E$221,①통합_가정!$E$222))</f>
        <v>0</v>
      </c>
      <c r="AA37" s="37" t="n">
        <f aca="false">(AA14=1)*①통합_가정!$H$38*①통합_가정!$E$214*①통합_가정!$E$215/1000*(1+①통합_가정!$E$217)^INT((AA15-1)/①통합_가정!$E$218)*(1-CHOOSE(MIN(MAX(AA16,1),3),①통합_가정!$E$220,①통합_가정!$E$221,①통합_가정!$E$222))</f>
        <v>0</v>
      </c>
      <c r="AB37" s="37" t="n">
        <f aca="false">(AB14=1)*①통합_가정!$H$38*①통합_가정!$E$214*①통합_가정!$E$215/1000*(1+①통합_가정!$E$217)^INT((AB15-1)/①통합_가정!$E$218)*(1-CHOOSE(MIN(MAX(AB16,1),3),①통합_가정!$E$220,①통합_가정!$E$221,①통합_가정!$E$222))</f>
        <v>0</v>
      </c>
      <c r="AC37" s="37" t="n">
        <f aca="false">(AC14=1)*①통합_가정!$H$38*①통합_가정!$E$214*①통합_가정!$E$215/1000*(1+①통합_가정!$E$217)^INT((AC15-1)/①통합_가정!$E$218)*(1-CHOOSE(MIN(MAX(AC16,1),3),①통합_가정!$E$220,①통합_가정!$E$221,①통합_가정!$E$222))</f>
        <v>0</v>
      </c>
      <c r="AD37" s="37" t="n">
        <f aca="false">(AD14=1)*①통합_가정!$H$38*①통합_가정!$E$214*①통합_가정!$E$215/1000*(1+①통합_가정!$E$217)^INT((AD15-1)/①통합_가정!$E$218)*(1-CHOOSE(MIN(MAX(AD16,1),3),①통합_가정!$E$220,①통합_가정!$E$221,①통합_가정!$E$222))</f>
        <v>0</v>
      </c>
      <c r="AE37" s="37" t="n">
        <f aca="false">(AE14=1)*①통합_가정!$H$38*①통합_가정!$E$214*①통합_가정!$E$215/1000*(1+①통합_가정!$E$217)^INT((AE15-1)/①통합_가정!$E$218)*(1-CHOOSE(MIN(MAX(AE16,1),3),①통합_가정!$E$220,①통합_가정!$E$221,①통합_가정!$E$222))</f>
        <v>0</v>
      </c>
      <c r="AF37" s="37" t="n">
        <f aca="false">(AF14=1)*①통합_가정!$H$38*①통합_가정!$E$214*①통합_가정!$E$215/1000*(1+①통합_가정!$E$217)^INT((AF15-1)/①통합_가정!$E$218)*(1-CHOOSE(MIN(MAX(AF16,1),3),①통합_가정!$E$220,①통합_가정!$E$221,①통합_가정!$E$222))</f>
        <v>0</v>
      </c>
      <c r="AG37" s="37" t="n">
        <f aca="false">(AG14=1)*①통합_가정!$H$38*①통합_가정!$E$214*①통합_가정!$E$215/1000*(1+①통합_가정!$E$217)^INT((AG15-1)/①통합_가정!$E$218)*(1-CHOOSE(MIN(MAX(AG16,1),3),①통합_가정!$E$220,①통합_가정!$E$221,①통합_가정!$E$222))</f>
        <v>0</v>
      </c>
      <c r="AH37" s="37" t="n">
        <f aca="false">(AH14=1)*①통합_가정!$H$38*①통합_가정!$E$214*①통합_가정!$E$215/1000*(1+①통합_가정!$E$217)^INT((AH15-1)/①통합_가정!$E$218)*(1-CHOOSE(MIN(MAX(AH16,1),3),①통합_가정!$E$220,①통합_가정!$E$221,①통합_가정!$E$222))</f>
        <v>0</v>
      </c>
      <c r="AI37" s="37" t="n">
        <f aca="false">(AI14=1)*①통합_가정!$H$38*①통합_가정!$E$214*①통합_가정!$E$215/1000*(1+①통합_가정!$E$217)^INT((AI15-1)/①통합_가정!$E$218)*(1-CHOOSE(MIN(MAX(AI16,1),3),①통합_가정!$E$220,①통합_가정!$E$221,①통합_가정!$E$222))</f>
        <v>0</v>
      </c>
      <c r="AJ37" s="37" t="n">
        <f aca="false">(AJ14=1)*①통합_가정!$H$38*①통합_가정!$E$214*①통합_가정!$E$215/1000*(1+①통합_가정!$E$217)^INT((AJ15-1)/①통합_가정!$E$218)*(1-CHOOSE(MIN(MAX(AJ16,1),3),①통합_가정!$E$220,①통합_가정!$E$221,①통합_가정!$E$222))</f>
        <v>0</v>
      </c>
      <c r="AK37" s="37" t="n">
        <f aca="false">(AK14=1)*①통합_가정!$H$38*①통합_가정!$E$214*①통합_가정!$E$215/1000*(1+①통합_가정!$E$217)^INT((AK15-1)/①통합_가정!$E$218)*(1-CHOOSE(MIN(MAX(AK16,1),3),①통합_가정!$E$220,①통합_가정!$E$221,①통합_가정!$E$222))</f>
        <v>0</v>
      </c>
      <c r="AL37" s="37" t="n">
        <f aca="false">(AL14=1)*①통합_가정!$H$38*①통합_가정!$E$214*①통합_가정!$E$215/1000*(1+①통합_가정!$E$217)^INT((AL15-1)/①통합_가정!$E$218)*(1-CHOOSE(MIN(MAX(AL16,1),3),①통합_가정!$E$220,①통합_가정!$E$221,①통합_가정!$E$222))</f>
        <v>0</v>
      </c>
      <c r="AM37" s="37" t="n">
        <f aca="false">(AM14=1)*①통합_가정!$H$38*①통합_가정!$E$214*①통합_가정!$E$215/1000*(1+①통합_가정!$E$217)^INT((AM15-1)/①통합_가정!$E$218)*(1-CHOOSE(MIN(MAX(AM16,1),3),①통합_가정!$E$220,①통합_가정!$E$221,①통합_가정!$E$222))</f>
        <v>0</v>
      </c>
      <c r="AN37" s="37" t="n">
        <f aca="false">(AN14=1)*①통합_가정!$H$38*①통합_가정!$E$214*①통합_가정!$E$215/1000*(1+①통합_가정!$E$217)^INT((AN15-1)/①통합_가정!$E$218)*(1-CHOOSE(MIN(MAX(AN16,1),3),①통합_가정!$E$220,①통합_가정!$E$221,①통합_가정!$E$222))</f>
        <v>0</v>
      </c>
      <c r="AO37" s="37" t="n">
        <f aca="false">(AO14=1)*①통합_가정!$H$38*①통합_가정!$E$214*①통합_가정!$E$215/1000*(1+①통합_가정!$E$217)^INT((AO15-1)/①통합_가정!$E$218)*(1-CHOOSE(MIN(MAX(AO16,1),3),①통합_가정!$E$220,①통합_가정!$E$221,①통합_가정!$E$222))</f>
        <v>0</v>
      </c>
      <c r="AP37" s="37" t="n">
        <f aca="false">(AP14=1)*①통합_가정!$H$38*①통합_가정!$E$214*①통합_가정!$E$215/1000*(1+①통합_가정!$E$217)^INT((AP15-1)/①통합_가정!$E$218)*(1-CHOOSE(MIN(MAX(AP16,1),3),①통합_가정!$E$220,①통합_가정!$E$221,①통합_가정!$E$222))</f>
        <v>0</v>
      </c>
      <c r="AQ37" s="37" t="n">
        <f aca="false">(AQ14=1)*①통합_가정!$H$38*①통합_가정!$E$214*①통합_가정!$E$215/1000*(1+①통합_가정!$E$217)^INT((AQ15-1)/①통합_가정!$E$218)*(1-CHOOSE(MIN(MAX(AQ16,1),3),①통합_가정!$E$220,①통합_가정!$E$221,①통합_가정!$E$222))</f>
        <v>0</v>
      </c>
      <c r="AR37" s="37" t="n">
        <f aca="false">(AR14=1)*①통합_가정!$H$38*①통합_가정!$E$214*①통합_가정!$E$215/1000*(1+①통합_가정!$E$217)^INT((AR15-1)/①통합_가정!$E$218)*(1-CHOOSE(MIN(MAX(AR16,1),3),①통합_가정!$E$220,①통합_가정!$E$221,①통합_가정!$E$222))</f>
        <v>0</v>
      </c>
      <c r="AS37" s="37" t="n">
        <f aca="false">(AS14=1)*①통합_가정!$H$38*①통합_가정!$E$214*①통합_가정!$E$215/1000*(1+①통합_가정!$E$217)^INT((AS15-1)/①통합_가정!$E$218)*(1-CHOOSE(MIN(MAX(AS16,1),3),①통합_가정!$E$220,①통합_가정!$E$221,①통합_가정!$E$222))</f>
        <v>0</v>
      </c>
      <c r="AT37" s="37" t="n">
        <f aca="false">(AT14=1)*①통합_가정!$H$38*①통합_가정!$E$214*①통합_가정!$E$215/1000*(1+①통합_가정!$E$217)^INT((AT15-1)/①통합_가정!$E$218)*(1-CHOOSE(MIN(MAX(AT16,1),3),①통합_가정!$E$220,①통합_가정!$E$221,①통합_가정!$E$222))</f>
        <v>0</v>
      </c>
      <c r="AU37" s="37" t="n">
        <f aca="false">(AU14=1)*①통합_가정!$H$38*①통합_가정!$E$214*①통합_가정!$E$215/1000*(1+①통합_가정!$E$217)^INT((AU15-1)/①통합_가정!$E$218)*(1-CHOOSE(MIN(MAX(AU16,1),3),①통합_가정!$E$220,①통합_가정!$E$221,①통합_가정!$E$222))</f>
        <v>0</v>
      </c>
      <c r="AV37" s="37" t="n">
        <f aca="false">(AV14=1)*①통합_가정!$H$38*①통합_가정!$E$214*①통합_가정!$E$215/1000*(1+①통합_가정!$E$217)^INT((AV15-1)/①통합_가정!$E$218)*(1-CHOOSE(MIN(MAX(AV16,1),3),①통합_가정!$E$220,①통합_가정!$E$221,①통합_가정!$E$222))</f>
        <v>0</v>
      </c>
      <c r="AW37" s="37" t="n">
        <f aca="false">(AW14=1)*①통합_가정!$H$38*①통합_가정!$E$214*①통합_가정!$E$215/1000*(1+①통합_가정!$E$217)^INT((AW15-1)/①통합_가정!$E$218)*(1-CHOOSE(MIN(MAX(AW16,1),3),①통합_가정!$E$220,①통합_가정!$E$221,①통합_가정!$E$222))</f>
        <v>0</v>
      </c>
      <c r="AX37" s="37" t="n">
        <f aca="false">(AX14=1)*①통합_가정!$H$38*①통합_가정!$E$214*①통합_가정!$E$215/1000*(1+①통합_가정!$E$217)^INT((AX15-1)/①통합_가정!$E$218)*(1-CHOOSE(MIN(MAX(AX16,1),3),①통합_가정!$E$220,①통합_가정!$E$221,①통합_가정!$E$222))</f>
        <v>0</v>
      </c>
      <c r="AY37" s="37" t="n">
        <f aca="false">(AY14=1)*①통합_가정!$H$38*①통합_가정!$E$214*①통합_가정!$E$215/1000*(1+①통합_가정!$E$217)^INT((AY15-1)/①통합_가정!$E$218)*(1-CHOOSE(MIN(MAX(AY16,1),3),①통합_가정!$E$220,①통합_가정!$E$221,①통합_가정!$E$222))</f>
        <v>0</v>
      </c>
      <c r="AZ37" s="37" t="n">
        <f aca="false">(AZ14=1)*①통합_가정!$H$38*①통합_가정!$E$214*①통합_가정!$E$215/1000*(1+①통합_가정!$E$217)^INT((AZ15-1)/①통합_가정!$E$218)*(1-CHOOSE(MIN(MAX(AZ16,1),3),①통합_가정!$E$220,①통합_가정!$E$221,①통합_가정!$E$222))</f>
        <v>0</v>
      </c>
      <c r="BA37" s="37" t="n">
        <f aca="false">(BA14=1)*①통합_가정!$H$38*①통합_가정!$E$214*①통합_가정!$E$215/1000*(1+①통합_가정!$E$217)^INT((BA15-1)/①통합_가정!$E$218)*(1-CHOOSE(MIN(MAX(BA16,1),3),①통합_가정!$E$220,①통합_가정!$E$221,①통합_가정!$E$222))</f>
        <v>0</v>
      </c>
      <c r="BB37" s="37" t="n">
        <f aca="false">(BB14=1)*①통합_가정!$H$38*①통합_가정!$E$214*①통합_가정!$E$215/1000*(1+①통합_가정!$E$217)^INT((BB15-1)/①통합_가정!$E$218)*(1-CHOOSE(MIN(MAX(BB16,1),3),①통합_가정!$E$220,①통합_가정!$E$221,①통합_가정!$E$222))</f>
        <v>0</v>
      </c>
      <c r="BC37" s="37" t="n">
        <f aca="false">(BC14=1)*①통합_가정!$H$38*①통합_가정!$E$214*①통합_가정!$E$215/1000*(1+①통합_가정!$E$217)^INT((BC15-1)/①통합_가정!$E$218)*(1-CHOOSE(MIN(MAX(BC16,1),3),①통합_가정!$E$220,①통합_가정!$E$221,①통합_가정!$E$222))</f>
        <v>0</v>
      </c>
      <c r="BD37" s="37" t="n">
        <f aca="false">(BD14=1)*①통합_가정!$H$38*①통합_가정!$E$214*①통합_가정!$E$215/1000*(1+①통합_가정!$E$217)^INT((BD15-1)/①통합_가정!$E$218)*(1-CHOOSE(MIN(MAX(BD16,1),3),①통합_가정!$E$220,①통합_가정!$E$221,①통합_가정!$E$222))</f>
        <v>0</v>
      </c>
      <c r="BE37" s="37" t="n">
        <f aca="false">(BE14=1)*①통합_가정!$H$38*①통합_가정!$E$214*①통합_가정!$E$215/1000*(1+①통합_가정!$E$217)^INT((BE15-1)/①통합_가정!$E$218)*(1-CHOOSE(MIN(MAX(BE16,1),3),①통합_가정!$E$220,①통합_가정!$E$221,①통합_가정!$E$222))</f>
        <v>0</v>
      </c>
      <c r="BF37" s="37" t="n">
        <f aca="false">(BF14=1)*①통합_가정!$H$38*①통합_가정!$E$214*①통합_가정!$E$215/1000*(1+①통합_가정!$E$217)^INT((BF15-1)/①통합_가정!$E$218)*(1-CHOOSE(MIN(MAX(BF16,1),3),①통합_가정!$E$220,①통합_가정!$E$221,①통합_가정!$E$222))</f>
        <v>0</v>
      </c>
      <c r="BG37" s="37" t="n">
        <f aca="false">(BG14=1)*①통합_가정!$H$38*①통합_가정!$E$214*①통합_가정!$E$215/1000*(1+①통합_가정!$E$217)^INT((BG15-1)/①통합_가정!$E$218)*(1-CHOOSE(MIN(MAX(BG16,1),3),①통합_가정!$E$220,①통합_가정!$E$221,①통합_가정!$E$222))</f>
        <v>0</v>
      </c>
      <c r="BH37" s="37" t="n">
        <f aca="false">(BH14=1)*①통합_가정!$H$38*①통합_가정!$E$214*①통합_가정!$E$215/1000*(1+①통합_가정!$E$217)^INT((BH15-1)/①통합_가정!$E$218)*(1-CHOOSE(MIN(MAX(BH16,1),3),①통합_가정!$E$220,①통합_가정!$E$221,①통합_가정!$E$222))</f>
        <v>0</v>
      </c>
      <c r="BI37" s="37" t="n">
        <f aca="false">(BI14=1)*①통합_가정!$H$38*①통합_가정!$E$214*①통합_가정!$E$215/1000*(1+①통합_가정!$E$217)^INT((BI15-1)/①통합_가정!$E$218)*(1-CHOOSE(MIN(MAX(BI16,1),3),①통합_가정!$E$220,①통합_가정!$E$221,①통합_가정!$E$222))</f>
        <v>0</v>
      </c>
      <c r="BJ37" s="37" t="n">
        <f aca="false">(BJ14=1)*①통합_가정!$H$38*①통합_가정!$E$214*①통합_가정!$E$215/1000*(1+①통합_가정!$E$217)^INT((BJ15-1)/①통합_가정!$E$218)*(1-CHOOSE(MIN(MAX(BJ16,1),3),①통합_가정!$E$220,①통합_가정!$E$221,①통합_가정!$E$222))</f>
        <v>0</v>
      </c>
      <c r="BK37" s="37" t="n">
        <f aca="false">(BK14=1)*①통합_가정!$H$38*①통합_가정!$E$214*①통합_가정!$E$215/1000*(1+①통합_가정!$E$217)^INT((BK15-1)/①통합_가정!$E$218)*(1-CHOOSE(MIN(MAX(BK16,1),3),①통합_가정!$E$220,①통합_가정!$E$221,①통합_가정!$E$222))</f>
        <v>0</v>
      </c>
      <c r="BL37" s="37" t="n">
        <f aca="false">(BL14=1)*①통합_가정!$H$38*①통합_가정!$E$214*①통합_가정!$E$215/1000*(1+①통합_가정!$E$217)^INT((BL15-1)/①통합_가정!$E$218)*(1-CHOOSE(MIN(MAX(BL16,1),3),①통합_가정!$E$220,①통합_가정!$E$221,①통합_가정!$E$222))</f>
        <v>0</v>
      </c>
      <c r="BM37" s="37" t="n">
        <f aca="false">(BM14=1)*①통합_가정!$H$38*①통합_가정!$E$214*①통합_가정!$E$215/1000*(1+①통합_가정!$E$217)^INT((BM15-1)/①통합_가정!$E$218)*(1-CHOOSE(MIN(MAX(BM16,1),3),①통합_가정!$E$220,①통합_가정!$E$221,①통합_가정!$E$222))</f>
        <v>152.46</v>
      </c>
      <c r="BN37" s="37" t="n">
        <f aca="false">(BN14=1)*①통합_가정!$H$38*①통합_가정!$E$214*①통합_가정!$E$215/1000*(1+①통합_가정!$E$217)^INT((BN15-1)/①통합_가정!$E$218)*(1-CHOOSE(MIN(MAX(BN16,1),3),①통합_가정!$E$220,①통합_가정!$E$221,①통합_가정!$E$222))</f>
        <v>152.46</v>
      </c>
      <c r="BO37" s="37" t="n">
        <f aca="false">(BO14=1)*①통합_가정!$H$38*①통합_가정!$E$214*①통합_가정!$E$215/1000*(1+①통합_가정!$E$217)^INT((BO15-1)/①통합_가정!$E$218)*(1-CHOOSE(MIN(MAX(BO16,1),3),①통합_가정!$E$220,①통합_가정!$E$221,①통합_가정!$E$222))</f>
        <v>152.46</v>
      </c>
      <c r="BP37" s="37" t="n">
        <f aca="false">(BP14=1)*①통합_가정!$H$38*①통합_가정!$E$214*①통합_가정!$E$215/1000*(1+①통합_가정!$E$217)^INT((BP15-1)/①통합_가정!$E$218)*(1-CHOOSE(MIN(MAX(BP16,1),3),①통합_가정!$E$220,①통합_가정!$E$221,①통합_가정!$E$222))</f>
        <v>152.46</v>
      </c>
      <c r="BQ37" s="37" t="n">
        <f aca="false">(BQ14=1)*①통합_가정!$H$38*①통합_가정!$E$214*①통합_가정!$E$215/1000*(1+①통합_가정!$E$217)^INT((BQ15-1)/①통합_가정!$E$218)*(1-CHOOSE(MIN(MAX(BQ16,1),3),①통합_가정!$E$220,①통합_가정!$E$221,①통합_가정!$E$222))</f>
        <v>152.46</v>
      </c>
      <c r="BR37" s="37" t="n">
        <f aca="false">(BR14=1)*①통합_가정!$H$38*①통합_가정!$E$214*①통합_가정!$E$215/1000*(1+①통합_가정!$E$217)^INT((BR15-1)/①통합_가정!$E$218)*(1-CHOOSE(MIN(MAX(BR16,1),3),①통합_가정!$E$220,①통합_가정!$E$221,①통합_가정!$E$222))</f>
        <v>152.46</v>
      </c>
      <c r="BS37" s="37" t="n">
        <f aca="false">(BS14=1)*①통합_가정!$H$38*①통합_가정!$E$214*①통합_가정!$E$215/1000*(1+①통합_가정!$E$217)^INT((BS15-1)/①통합_가정!$E$218)*(1-CHOOSE(MIN(MAX(BS16,1),3),①통합_가정!$E$220,①통합_가정!$E$221,①통합_가정!$E$222))</f>
        <v>152.46</v>
      </c>
      <c r="BT37" s="37" t="n">
        <f aca="false">(BT14=1)*①통합_가정!$H$38*①통합_가정!$E$214*①통합_가정!$E$215/1000*(1+①통합_가정!$E$217)^INT((BT15-1)/①통합_가정!$E$218)*(1-CHOOSE(MIN(MAX(BT16,1),3),①통합_가정!$E$220,①통합_가정!$E$221,①통합_가정!$E$222))</f>
        <v>152.46</v>
      </c>
      <c r="BU37" s="37" t="n">
        <f aca="false">(BU14=1)*①통합_가정!$H$38*①통합_가정!$E$214*①통합_가정!$E$215/1000*(1+①통합_가정!$E$217)^INT((BU15-1)/①통합_가정!$E$218)*(1-CHOOSE(MIN(MAX(BU16,1),3),①통합_가정!$E$220,①통합_가정!$E$221,①통합_가정!$E$222))</f>
        <v>152.46</v>
      </c>
      <c r="BV37" s="37" t="n">
        <f aca="false">(BV14=1)*①통합_가정!$H$38*①통합_가정!$E$214*①통합_가정!$E$215/1000*(1+①통합_가정!$E$217)^INT((BV15-1)/①통합_가정!$E$218)*(1-CHOOSE(MIN(MAX(BV16,1),3),①통합_가정!$E$220,①통합_가정!$E$221,①통합_가정!$E$222))</f>
        <v>152.46</v>
      </c>
      <c r="BW37" s="37" t="n">
        <f aca="false">(BW14=1)*①통합_가정!$H$38*①통합_가정!$E$214*①통합_가정!$E$215/1000*(1+①통합_가정!$E$217)^INT((BW15-1)/①통합_가정!$E$218)*(1-CHOOSE(MIN(MAX(BW16,1),3),①통합_가정!$E$220,①통합_가정!$E$221,①통합_가정!$E$222))</f>
        <v>152.46</v>
      </c>
      <c r="BX37" s="37" t="n">
        <f aca="false">(BX14=1)*①통합_가정!$H$38*①통합_가정!$E$214*①통합_가정!$E$215/1000*(1+①통합_가정!$E$217)^INT((BX15-1)/①통합_가정!$E$218)*(1-CHOOSE(MIN(MAX(BX16,1),3),①통합_가정!$E$220,①통합_가정!$E$221,①통합_가정!$E$222))</f>
        <v>152.46</v>
      </c>
      <c r="BY37" s="37" t="n">
        <f aca="false">(BY14=1)*①통합_가정!$H$38*①통합_가정!$E$214*①통합_가정!$E$215/1000*(1+①통합_가정!$E$217)^INT((BY15-1)/①통합_가정!$E$218)*(1-CHOOSE(MIN(MAX(BY16,1),3),①통합_가정!$E$220,①통합_가정!$E$221,①통합_가정!$E$222))</f>
        <v>155.5092</v>
      </c>
      <c r="BZ37" s="37" t="n">
        <f aca="false">(BZ14=1)*①통합_가정!$H$38*①통합_가정!$E$214*①통합_가정!$E$215/1000*(1+①통합_가정!$E$217)^INT((BZ15-1)/①통합_가정!$E$218)*(1-CHOOSE(MIN(MAX(BZ16,1),3),①통합_가정!$E$220,①통합_가정!$E$221,①통합_가정!$E$222))</f>
        <v>155.5092</v>
      </c>
      <c r="CA37" s="37" t="n">
        <f aca="false">(CA14=1)*①통합_가정!$H$38*①통합_가정!$E$214*①통합_가정!$E$215/1000*(1+①통합_가정!$E$217)^INT((CA15-1)/①통합_가정!$E$218)*(1-CHOOSE(MIN(MAX(CA16,1),3),①통합_가정!$E$220,①통합_가정!$E$221,①통합_가정!$E$222))</f>
        <v>155.5092</v>
      </c>
      <c r="CB37" s="37" t="n">
        <f aca="false">(CB14=1)*①통합_가정!$H$38*①통합_가정!$E$214*①통합_가정!$E$215/1000*(1+①통합_가정!$E$217)^INT((CB15-1)/①통합_가정!$E$218)*(1-CHOOSE(MIN(MAX(CB16,1),3),①통합_가정!$E$220,①통합_가정!$E$221,①통합_가정!$E$222))</f>
        <v>155.5092</v>
      </c>
      <c r="CC37" s="37" t="n">
        <f aca="false">(CC14=1)*①통합_가정!$H$38*①통합_가정!$E$214*①통합_가정!$E$215/1000*(1+①통합_가정!$E$217)^INT((CC15-1)/①통합_가정!$E$218)*(1-CHOOSE(MIN(MAX(CC16,1),3),①통합_가정!$E$220,①통합_가정!$E$221,①통합_가정!$E$222))</f>
        <v>155.5092</v>
      </c>
      <c r="CD37" s="37" t="n">
        <f aca="false">(CD14=1)*①통합_가정!$H$38*①통합_가정!$E$214*①통합_가정!$E$215/1000*(1+①통합_가정!$E$217)^INT((CD15-1)/①통합_가정!$E$218)*(1-CHOOSE(MIN(MAX(CD16,1),3),①통합_가정!$E$220,①통합_가정!$E$221,①통합_가정!$E$222))</f>
        <v>155.5092</v>
      </c>
      <c r="CE37" s="37" t="n">
        <f aca="false">(CE14=1)*①통합_가정!$H$38*①통합_가정!$E$214*①통합_가정!$E$215/1000*(1+①통합_가정!$E$217)^INT((CE15-1)/①통합_가정!$E$218)*(1-CHOOSE(MIN(MAX(CE16,1),3),①통합_가정!$E$220,①통합_가정!$E$221,①통합_가정!$E$222))</f>
        <v>155.5092</v>
      </c>
      <c r="CF37" s="37" t="n">
        <f aca="false">(CF14=1)*①통합_가정!$H$38*①통합_가정!$E$214*①통합_가정!$E$215/1000*(1+①통합_가정!$E$217)^INT((CF15-1)/①통합_가정!$E$218)*(1-CHOOSE(MIN(MAX(CF16,1),3),①통합_가정!$E$220,①통합_가정!$E$221,①통합_가정!$E$222))</f>
        <v>155.5092</v>
      </c>
      <c r="CG37" s="37" t="n">
        <f aca="false">(CG14=1)*①통합_가정!$H$38*①통합_가정!$E$214*①통합_가정!$E$215/1000*(1+①통합_가정!$E$217)^INT((CG15-1)/①통합_가정!$E$218)*(1-CHOOSE(MIN(MAX(CG16,1),3),①통합_가정!$E$220,①통합_가정!$E$221,①통합_가정!$E$222))</f>
        <v>155.5092</v>
      </c>
      <c r="CH37" s="37" t="n">
        <f aca="false">(CH14=1)*①통합_가정!$H$38*①통합_가정!$E$214*①통합_가정!$E$215/1000*(1+①통합_가정!$E$217)^INT((CH15-1)/①통합_가정!$E$218)*(1-CHOOSE(MIN(MAX(CH16,1),3),①통합_가정!$E$220,①통합_가정!$E$221,①통합_가정!$E$222))</f>
        <v>155.5092</v>
      </c>
      <c r="CI37" s="37" t="n">
        <f aca="false">(CI14=1)*①통합_가정!$H$38*①통합_가정!$E$214*①통합_가정!$E$215/1000*(1+①통합_가정!$E$217)^INT((CI15-1)/①통합_가정!$E$218)*(1-CHOOSE(MIN(MAX(CI16,1),3),①통합_가정!$E$220,①통합_가정!$E$221,①통합_가정!$E$222))</f>
        <v>155.5092</v>
      </c>
      <c r="CJ37" s="37" t="n">
        <f aca="false">(CJ14=1)*①통합_가정!$H$38*①통합_가정!$E$214*①통합_가정!$E$215/1000*(1+①통합_가정!$E$217)^INT((CJ15-1)/①통합_가정!$E$218)*(1-CHOOSE(MIN(MAX(CJ16,1),3),①통합_가정!$E$220,①통합_가정!$E$221,①통합_가정!$E$222))</f>
        <v>155.5092</v>
      </c>
      <c r="CK37" s="37" t="n">
        <f aca="false">(CK14=1)*①통합_가정!$H$38*①통합_가정!$E$214*①통합_가정!$E$215/1000*(1+①통합_가정!$E$217)^INT((CK15-1)/①통합_가정!$E$218)*(1-CHOOSE(MIN(MAX(CK16,1),3),①통합_가정!$E$220,①통합_가정!$E$221,①통합_가정!$E$222))</f>
        <v>158.619384</v>
      </c>
      <c r="CL37" s="37" t="n">
        <f aca="false">(CL14=1)*①통합_가정!$H$38*①통합_가정!$E$214*①통합_가정!$E$215/1000*(1+①통합_가정!$E$217)^INT((CL15-1)/①통합_가정!$E$218)*(1-CHOOSE(MIN(MAX(CL16,1),3),①통합_가정!$E$220,①통합_가정!$E$221,①통합_가정!$E$222))</f>
        <v>158.619384</v>
      </c>
      <c r="CM37" s="37" t="n">
        <f aca="false">(CM14=1)*①통합_가정!$H$38*①통합_가정!$E$214*①통합_가정!$E$215/1000*(1+①통합_가정!$E$217)^INT((CM15-1)/①통합_가정!$E$218)*(1-CHOOSE(MIN(MAX(CM16,1),3),①통합_가정!$E$220,①통합_가정!$E$221,①통합_가정!$E$222))</f>
        <v>158.619384</v>
      </c>
      <c r="CN37" s="37" t="n">
        <f aca="false">(CN14=1)*①통합_가정!$H$38*①통합_가정!$E$214*①통합_가정!$E$215/1000*(1+①통합_가정!$E$217)^INT((CN15-1)/①통합_가정!$E$218)*(1-CHOOSE(MIN(MAX(CN16,1),3),①통합_가정!$E$220,①통합_가정!$E$221,①통합_가정!$E$222))</f>
        <v>158.619384</v>
      </c>
      <c r="CO37" s="37" t="n">
        <f aca="false">(CO14=1)*①통합_가정!$H$38*①통합_가정!$E$214*①통합_가정!$E$215/1000*(1+①통합_가정!$E$217)^INT((CO15-1)/①통합_가정!$E$218)*(1-CHOOSE(MIN(MAX(CO16,1),3),①통합_가정!$E$220,①통합_가정!$E$221,①통합_가정!$E$222))</f>
        <v>158.619384</v>
      </c>
      <c r="CP37" s="37" t="n">
        <f aca="false">(CP14=1)*①통합_가정!$H$38*①통합_가정!$E$214*①통합_가정!$E$215/1000*(1+①통합_가정!$E$217)^INT((CP15-1)/①통합_가정!$E$218)*(1-CHOOSE(MIN(MAX(CP16,1),3),①통합_가정!$E$220,①통합_가정!$E$221,①통합_가정!$E$222))</f>
        <v>158.619384</v>
      </c>
      <c r="CQ37" s="37" t="n">
        <f aca="false">(CQ14=1)*①통합_가정!$H$38*①통합_가정!$E$214*①통합_가정!$E$215/1000*(1+①통합_가정!$E$217)^INT((CQ15-1)/①통합_가정!$E$218)*(1-CHOOSE(MIN(MAX(CQ16,1),3),①통합_가정!$E$220,①통합_가정!$E$221,①통합_가정!$E$222))</f>
        <v>158.619384</v>
      </c>
      <c r="CR37" s="37" t="n">
        <f aca="false">(CR14=1)*①통합_가정!$H$38*①통합_가정!$E$214*①통합_가정!$E$215/1000*(1+①통합_가정!$E$217)^INT((CR15-1)/①통합_가정!$E$218)*(1-CHOOSE(MIN(MAX(CR16,1),3),①통합_가정!$E$220,①통합_가정!$E$221,①통합_가정!$E$222))</f>
        <v>158.619384</v>
      </c>
      <c r="CS37" s="37" t="n">
        <f aca="false">(CS14=1)*①통합_가정!$H$38*①통합_가정!$E$214*①통합_가정!$E$215/1000*(1+①통합_가정!$E$217)^INT((CS15-1)/①통합_가정!$E$218)*(1-CHOOSE(MIN(MAX(CS16,1),3),①통합_가정!$E$220,①통합_가정!$E$221,①통합_가정!$E$222))</f>
        <v>158.619384</v>
      </c>
      <c r="CT37" s="37" t="n">
        <f aca="false">(CT14=1)*①통합_가정!$H$38*①통합_가정!$E$214*①통합_가정!$E$215/1000*(1+①통합_가정!$E$217)^INT((CT15-1)/①통합_가정!$E$218)*(1-CHOOSE(MIN(MAX(CT16,1),3),①통합_가정!$E$220,①통합_가정!$E$221,①통합_가정!$E$222))</f>
        <v>158.619384</v>
      </c>
      <c r="CU37" s="37" t="n">
        <f aca="false">(CU14=1)*①통합_가정!$H$38*①통합_가정!$E$214*①통합_가정!$E$215/1000*(1+①통합_가정!$E$217)^INT((CU15-1)/①통합_가정!$E$218)*(1-CHOOSE(MIN(MAX(CU16,1),3),①통합_가정!$E$220,①통합_가정!$E$221,①통합_가정!$E$222))</f>
        <v>158.619384</v>
      </c>
      <c r="CV37" s="37" t="n">
        <f aca="false">(CV14=1)*①통합_가정!$H$38*①통합_가정!$E$214*①통합_가정!$E$215/1000*(1+①통합_가정!$E$217)^INT((CV15-1)/①통합_가정!$E$218)*(1-CHOOSE(MIN(MAX(CV16,1),3),①통합_가정!$E$220,①통합_가정!$E$221,①통합_가정!$E$222))</f>
        <v>158.619384</v>
      </c>
      <c r="CW37" s="37" t="n">
        <f aca="false">(CW14=1)*①통합_가정!$H$38*①통합_가정!$E$214*①통합_가정!$E$215/1000*(1+①통합_가정!$E$217)^INT((CW15-1)/①통합_가정!$E$218)*(1-CHOOSE(MIN(MAX(CW16,1),3),①통합_가정!$E$220,①통합_가정!$E$221,①통합_가정!$E$222))</f>
        <v>161.79177168</v>
      </c>
      <c r="CX37" s="37" t="n">
        <f aca="false">(CX14=1)*①통합_가정!$H$38*①통합_가정!$E$214*①통합_가정!$E$215/1000*(1+①통합_가정!$E$217)^INT((CX15-1)/①통합_가정!$E$218)*(1-CHOOSE(MIN(MAX(CX16,1),3),①통합_가정!$E$220,①통합_가정!$E$221,①통합_가정!$E$222))</f>
        <v>161.79177168</v>
      </c>
      <c r="CY37" s="37" t="n">
        <f aca="false">(CY14=1)*①통합_가정!$H$38*①통합_가정!$E$214*①통합_가정!$E$215/1000*(1+①통합_가정!$E$217)^INT((CY15-1)/①통합_가정!$E$218)*(1-CHOOSE(MIN(MAX(CY16,1),3),①통합_가정!$E$220,①통합_가정!$E$221,①통합_가정!$E$222))</f>
        <v>161.79177168</v>
      </c>
      <c r="CZ37" s="37" t="n">
        <f aca="false">(CZ14=1)*①통합_가정!$H$38*①통합_가정!$E$214*①통합_가정!$E$215/1000*(1+①통합_가정!$E$217)^INT((CZ15-1)/①통합_가정!$E$218)*(1-CHOOSE(MIN(MAX(CZ16,1),3),①통합_가정!$E$220,①통합_가정!$E$221,①통합_가정!$E$222))</f>
        <v>161.79177168</v>
      </c>
      <c r="DA37" s="37" t="n">
        <f aca="false">(DA14=1)*①통합_가정!$H$38*①통합_가정!$E$214*①통합_가정!$E$215/1000*(1+①통합_가정!$E$217)^INT((DA15-1)/①통합_가정!$E$218)*(1-CHOOSE(MIN(MAX(DA16,1),3),①통합_가정!$E$220,①통합_가정!$E$221,①통합_가정!$E$222))</f>
        <v>161.79177168</v>
      </c>
      <c r="DB37" s="37" t="n">
        <f aca="false">(DB14=1)*①통합_가정!$H$38*①통합_가정!$E$214*①통합_가정!$E$215/1000*(1+①통합_가정!$E$217)^INT((DB15-1)/①통합_가정!$E$218)*(1-CHOOSE(MIN(MAX(DB16,1),3),①통합_가정!$E$220,①통합_가정!$E$221,①통합_가정!$E$222))</f>
        <v>161.79177168</v>
      </c>
      <c r="DC37" s="37" t="n">
        <f aca="false">(DC14=1)*①통합_가정!$H$38*①통합_가정!$E$214*①통합_가정!$E$215/1000*(1+①통합_가정!$E$217)^INT((DC15-1)/①통합_가정!$E$218)*(1-CHOOSE(MIN(MAX(DC16,1),3),①통합_가정!$E$220,①통합_가정!$E$221,①통합_가정!$E$222))</f>
        <v>161.79177168</v>
      </c>
      <c r="DD37" s="37" t="n">
        <f aca="false">(DD14=1)*①통합_가정!$H$38*①통합_가정!$E$214*①통합_가정!$E$215/1000*(1+①통합_가정!$E$217)^INT((DD15-1)/①통합_가정!$E$218)*(1-CHOOSE(MIN(MAX(DD16,1),3),①통합_가정!$E$220,①통합_가정!$E$221,①통합_가정!$E$222))</f>
        <v>161.79177168</v>
      </c>
      <c r="DE37" s="37" t="n">
        <f aca="false">(DE14=1)*①통합_가정!$H$38*①통합_가정!$E$214*①통합_가정!$E$215/1000*(1+①통합_가정!$E$217)^INT((DE15-1)/①통합_가정!$E$218)*(1-CHOOSE(MIN(MAX(DE16,1),3),①통합_가정!$E$220,①통합_가정!$E$221,①통합_가정!$E$222))</f>
        <v>161.79177168</v>
      </c>
      <c r="DF37" s="37" t="n">
        <f aca="false">(DF14=1)*①통합_가정!$H$38*①통합_가정!$E$214*①통합_가정!$E$215/1000*(1+①통합_가정!$E$217)^INT((DF15-1)/①통합_가정!$E$218)*(1-CHOOSE(MIN(MAX(DF16,1),3),①통합_가정!$E$220,①통합_가정!$E$221,①통합_가정!$E$222))</f>
        <v>161.79177168</v>
      </c>
      <c r="DG37" s="37" t="n">
        <f aca="false">(DG14=1)*①통합_가정!$H$38*①통합_가정!$E$214*①통합_가정!$E$215/1000*(1+①통합_가정!$E$217)^INT((DG15-1)/①통합_가정!$E$218)*(1-CHOOSE(MIN(MAX(DG16,1),3),①통합_가정!$E$220,①통합_가정!$E$221,①통합_가정!$E$222))</f>
        <v>161.79177168</v>
      </c>
      <c r="DH37" s="37" t="n">
        <f aca="false">(DH14=1)*①통합_가정!$H$38*①통합_가정!$E$214*①통합_가정!$E$215/1000*(1+①통합_가정!$E$217)^INT((DH15-1)/①통합_가정!$E$218)*(1-CHOOSE(MIN(MAX(DH16,1),3),①통합_가정!$E$220,①통합_가정!$E$221,①통합_가정!$E$222))</f>
        <v>161.79177168</v>
      </c>
      <c r="DI37" s="37" t="n">
        <f aca="false">(DI14=1)*①통합_가정!$H$38*①통합_가정!$E$214*①통합_가정!$E$215/1000*(1+①통합_가정!$E$217)^INT((DI15-1)/①통합_가정!$E$218)*(1-CHOOSE(MIN(MAX(DI16,1),3),①통합_가정!$E$220,①통합_가정!$E$221,①통합_가정!$E$222))</f>
        <v>165.0276071136</v>
      </c>
      <c r="DJ37" s="37" t="n">
        <f aca="false">(DJ14=1)*①통합_가정!$H$38*①통합_가정!$E$214*①통합_가정!$E$215/1000*(1+①통합_가정!$E$217)^INT((DJ15-1)/①통합_가정!$E$218)*(1-CHOOSE(MIN(MAX(DJ16,1),3),①통합_가정!$E$220,①통합_가정!$E$221,①통합_가정!$E$222))</f>
        <v>165.0276071136</v>
      </c>
      <c r="DK37" s="37" t="n">
        <f aca="false">(DK14=1)*①통합_가정!$H$38*①통합_가정!$E$214*①통합_가정!$E$215/1000*(1+①통합_가정!$E$217)^INT((DK15-1)/①통합_가정!$E$218)*(1-CHOOSE(MIN(MAX(DK16,1),3),①통합_가정!$E$220,①통합_가정!$E$221,①통합_가정!$E$222))</f>
        <v>165.0276071136</v>
      </c>
      <c r="DL37" s="37" t="n">
        <f aca="false">(DL14=1)*①통합_가정!$H$38*①통합_가정!$E$214*①통합_가정!$E$215/1000*(1+①통합_가정!$E$217)^INT((DL15-1)/①통합_가정!$E$218)*(1-CHOOSE(MIN(MAX(DL16,1),3),①통합_가정!$E$220,①통합_가정!$E$221,①통합_가정!$E$222))</f>
        <v>165.0276071136</v>
      </c>
      <c r="DM37" s="37" t="n">
        <f aca="false">(DM14=1)*①통합_가정!$H$38*①통합_가정!$E$214*①통합_가정!$E$215/1000*(1+①통합_가정!$E$217)^INT((DM15-1)/①통합_가정!$E$218)*(1-CHOOSE(MIN(MAX(DM16,1),3),①통합_가정!$E$220,①통합_가정!$E$221,①통합_가정!$E$222))</f>
        <v>165.0276071136</v>
      </c>
      <c r="DN37" s="37" t="n">
        <f aca="false">(DN14=1)*①통합_가정!$H$38*①통합_가정!$E$214*①통합_가정!$E$215/1000*(1+①통합_가정!$E$217)^INT((DN15-1)/①통합_가정!$E$218)*(1-CHOOSE(MIN(MAX(DN16,1),3),①통합_가정!$E$220,①통합_가정!$E$221,①통합_가정!$E$222))</f>
        <v>165.0276071136</v>
      </c>
      <c r="DO37" s="37" t="n">
        <f aca="false">(DO14=1)*①통합_가정!$H$38*①통합_가정!$E$214*①통합_가정!$E$215/1000*(1+①통합_가정!$E$217)^INT((DO15-1)/①통합_가정!$E$218)*(1-CHOOSE(MIN(MAX(DO16,1),3),①통합_가정!$E$220,①통합_가정!$E$221,①통합_가정!$E$222))</f>
        <v>165.0276071136</v>
      </c>
      <c r="DP37" s="37" t="n">
        <f aca="false">(DP14=1)*①통합_가정!$H$38*①통합_가정!$E$214*①통합_가정!$E$215/1000*(1+①통합_가정!$E$217)^INT((DP15-1)/①통합_가정!$E$218)*(1-CHOOSE(MIN(MAX(DP16,1),3),①통합_가정!$E$220,①통합_가정!$E$221,①통합_가정!$E$222))</f>
        <v>165.0276071136</v>
      </c>
      <c r="DQ37" s="37" t="n">
        <f aca="false">(DQ14=1)*①통합_가정!$H$38*①통합_가정!$E$214*①통합_가정!$E$215/1000*(1+①통합_가정!$E$217)^INT((DQ15-1)/①통합_가정!$E$218)*(1-CHOOSE(MIN(MAX(DQ16,1),3),①통합_가정!$E$220,①통합_가정!$E$221,①통합_가정!$E$222))</f>
        <v>165.0276071136</v>
      </c>
      <c r="DR37" s="37" t="n">
        <f aca="false">(DR14=1)*①통합_가정!$H$38*①통합_가정!$E$214*①통합_가정!$E$215/1000*(1+①통합_가정!$E$217)^INT((DR15-1)/①통합_가정!$E$218)*(1-CHOOSE(MIN(MAX(DR16,1),3),①통합_가정!$E$220,①통합_가정!$E$221,①통합_가정!$E$222))</f>
        <v>165.0276071136</v>
      </c>
      <c r="DS37" s="37" t="n">
        <f aca="false">(DS14=1)*①통합_가정!$H$38*①통합_가정!$E$214*①통합_가정!$E$215/1000*(1+①통합_가정!$E$217)^INT((DS15-1)/①통합_가정!$E$218)*(1-CHOOSE(MIN(MAX(DS16,1),3),①통합_가정!$E$220,①통합_가정!$E$221,①통합_가정!$E$222))</f>
        <v>165.0276071136</v>
      </c>
      <c r="DT37" s="37" t="n">
        <f aca="false">(DT14=1)*①통합_가정!$H$38*①통합_가정!$E$214*①통합_가정!$E$215/1000*(1+①통합_가정!$E$217)^INT((DT15-1)/①통합_가정!$E$218)*(1-CHOOSE(MIN(MAX(DT16,1),3),①통합_가정!$E$220,①통합_가정!$E$221,①통합_가정!$E$222))</f>
        <v>165.0276071136</v>
      </c>
      <c r="DU37" s="37" t="n">
        <f aca="false">(DU14=1)*①통합_가정!$H$38*①통합_가정!$E$214*①통합_가정!$E$215/1000*(1+①통합_가정!$E$217)^INT((DU15-1)/①통합_가정!$E$218)*(1-CHOOSE(MIN(MAX(DU16,1),3),①통합_가정!$E$220,①통합_가정!$E$221,①통합_가정!$E$222))</f>
        <v>0</v>
      </c>
      <c r="DV37" s="37" t="n">
        <f aca="false">(DV14=1)*①통합_가정!$H$38*①통합_가정!$E$214*①통합_가정!$E$215/1000*(1+①통합_가정!$E$217)^INT((DV15-1)/①통합_가정!$E$218)*(1-CHOOSE(MIN(MAX(DV16,1),3),①통합_가정!$E$220,①통합_가정!$E$221,①통합_가정!$E$222))</f>
        <v>0</v>
      </c>
      <c r="DW37" s="37" t="n">
        <f aca="false">(DW14=1)*①통합_가정!$H$38*①통합_가정!$E$214*①통합_가정!$E$215/1000*(1+①통합_가정!$E$217)^INT((DW15-1)/①통합_가정!$E$218)*(1-CHOOSE(MIN(MAX(DW16,1),3),①통합_가정!$E$220,①통합_가정!$E$221,①통합_가정!$E$222))</f>
        <v>0</v>
      </c>
      <c r="DX37" s="37" t="n">
        <f aca="false">(DX14=1)*①통합_가정!$H$38*①통합_가정!$E$214*①통합_가정!$E$215/1000*(1+①통합_가정!$E$217)^INT((DX15-1)/①통합_가정!$E$218)*(1-CHOOSE(MIN(MAX(DX16,1),3),①통합_가정!$E$220,①통합_가정!$E$221,①통합_가정!$E$222))</f>
        <v>0</v>
      </c>
      <c r="DY37" s="37" t="n">
        <f aca="false">(DY14=1)*①통합_가정!$H$38*①통합_가정!$E$214*①통합_가정!$E$215/1000*(1+①통합_가정!$E$217)^INT((DY15-1)/①통합_가정!$E$218)*(1-CHOOSE(MIN(MAX(DY16,1),3),①통합_가정!$E$220,①통합_가정!$E$221,①통합_가정!$E$222))</f>
        <v>0</v>
      </c>
      <c r="DZ37" s="37" t="n">
        <f aca="false">(DZ14=1)*①통합_가정!$H$38*①통합_가정!$E$214*①통합_가정!$E$215/1000*(1+①통합_가정!$E$217)^INT((DZ15-1)/①통합_가정!$E$218)*(1-CHOOSE(MIN(MAX(DZ16,1),3),①통합_가정!$E$220,①통합_가정!$E$221,①통합_가정!$E$222))</f>
        <v>0</v>
      </c>
      <c r="EA37" s="37" t="n">
        <f aca="false">(EA14=1)*①통합_가정!$H$38*①통합_가정!$E$214*①통합_가정!$E$215/1000*(1+①통합_가정!$E$217)^INT((EA15-1)/①통합_가정!$E$218)*(1-CHOOSE(MIN(MAX(EA16,1),3),①통합_가정!$E$220,①통합_가정!$E$221,①통합_가정!$E$222))</f>
        <v>0</v>
      </c>
      <c r="EB37" s="37" t="n">
        <f aca="false">(EB14=1)*①통합_가정!$H$38*①통합_가정!$E$214*①통합_가정!$E$215/1000*(1+①통합_가정!$E$217)^INT((EB15-1)/①통합_가정!$E$218)*(1-CHOOSE(MIN(MAX(EB16,1),3),①통합_가정!$E$220,①통합_가정!$E$221,①통합_가정!$E$222))</f>
        <v>0</v>
      </c>
      <c r="EC37" s="37" t="n">
        <f aca="false">(EC14=1)*①통합_가정!$H$38*①통합_가정!$E$214*①통합_가정!$E$215/1000*(1+①통합_가정!$E$217)^INT((EC15-1)/①통합_가정!$E$218)*(1-CHOOSE(MIN(MAX(EC16,1),3),①통합_가정!$E$220,①통합_가정!$E$221,①통합_가정!$E$222))</f>
        <v>0</v>
      </c>
      <c r="ED37" s="37" t="n">
        <f aca="false">(ED14=1)*①통합_가정!$H$38*①통합_가정!$E$214*①통합_가정!$E$215/1000*(1+①통합_가정!$E$217)^INT((ED15-1)/①통합_가정!$E$218)*(1-CHOOSE(MIN(MAX(ED16,1),3),①통합_가정!$E$220,①통합_가정!$E$221,①통합_가정!$E$222))</f>
        <v>0</v>
      </c>
      <c r="EE37" s="37" t="n">
        <f aca="false">(EE14=1)*①통합_가정!$H$38*①통합_가정!$E$214*①통합_가정!$E$215/1000*(1+①통합_가정!$E$217)^INT((EE15-1)/①통합_가정!$E$218)*(1-CHOOSE(MIN(MAX(EE16,1),3),①통합_가정!$E$220,①통합_가정!$E$221,①통합_가정!$E$222))</f>
        <v>0</v>
      </c>
      <c r="EF37" s="37" t="n">
        <f aca="false">(EF14=1)*①통합_가정!$H$38*①통합_가정!$E$214*①통합_가정!$E$215/1000*(1+①통합_가정!$E$217)^INT((EF15-1)/①통합_가정!$E$218)*(1-CHOOSE(MIN(MAX(EF16,1),3),①통합_가정!$E$220,①통합_가정!$E$221,①통합_가정!$E$222))</f>
        <v>0</v>
      </c>
    </row>
    <row r="38" customFormat="false" ht="15" hidden="false" customHeight="false" outlineLevel="0" collapsed="false">
      <c r="A38" s="36" t="s">
        <v>588</v>
      </c>
      <c r="B38" s="278" t="s">
        <v>21</v>
      </c>
      <c r="C38" s="279" t="n">
        <f aca="false">SUM(E38:EF38)</f>
        <v>16700.7242902839</v>
      </c>
      <c r="E38" s="37" t="n">
        <f aca="false">(E14=1)*①통합_가정!$H$38*①통합_가정!$E$227*①통합_가정!$E$228/1000*(1+①통합_가정!$E$230)^INT((E15-1)/①통합_가정!$E$231)*(1-CHOOSE(MIN(MAX(E16,1),3),①통합_가정!$E$233,①통합_가정!$E$234,①통합_가정!$E$235))</f>
        <v>0</v>
      </c>
      <c r="F38" s="37" t="n">
        <f aca="false">(F14=1)*①통합_가정!$H$38*①통합_가정!$E$227*①통합_가정!$E$228/1000*(1+①통합_가정!$E$230)^INT((F15-1)/①통합_가정!$E$231)*(1-CHOOSE(MIN(MAX(F16,1),3),①통합_가정!$E$233,①통합_가정!$E$234,①통합_가정!$E$235))</f>
        <v>0</v>
      </c>
      <c r="G38" s="37" t="n">
        <f aca="false">(G14=1)*①통합_가정!$H$38*①통합_가정!$E$227*①통합_가정!$E$228/1000*(1+①통합_가정!$E$230)^INT((G15-1)/①통합_가정!$E$231)*(1-CHOOSE(MIN(MAX(G16,1),3),①통합_가정!$E$233,①통합_가정!$E$234,①통합_가정!$E$235))</f>
        <v>0</v>
      </c>
      <c r="H38" s="37" t="n">
        <f aca="false">(H14=1)*①통합_가정!$H$38*①통합_가정!$E$227*①통합_가정!$E$228/1000*(1+①통합_가정!$E$230)^INT((H15-1)/①통합_가정!$E$231)*(1-CHOOSE(MIN(MAX(H16,1),3),①통합_가정!$E$233,①통합_가정!$E$234,①통합_가정!$E$235))</f>
        <v>0</v>
      </c>
      <c r="I38" s="37" t="n">
        <f aca="false">(I14=1)*①통합_가정!$H$38*①통합_가정!$E$227*①통합_가정!$E$228/1000*(1+①통합_가정!$E$230)^INT((I15-1)/①통합_가정!$E$231)*(1-CHOOSE(MIN(MAX(I16,1),3),①통합_가정!$E$233,①통합_가정!$E$234,①통합_가정!$E$235))</f>
        <v>0</v>
      </c>
      <c r="J38" s="37" t="n">
        <f aca="false">(J14=1)*①통합_가정!$H$38*①통합_가정!$E$227*①통합_가정!$E$228/1000*(1+①통합_가정!$E$230)^INT((J15-1)/①통합_가정!$E$231)*(1-CHOOSE(MIN(MAX(J16,1),3),①통합_가정!$E$233,①통합_가정!$E$234,①통합_가정!$E$235))</f>
        <v>0</v>
      </c>
      <c r="K38" s="37" t="n">
        <f aca="false">(K14=1)*①통합_가정!$H$38*①통합_가정!$E$227*①통합_가정!$E$228/1000*(1+①통합_가정!$E$230)^INT((K15-1)/①통합_가정!$E$231)*(1-CHOOSE(MIN(MAX(K16,1),3),①통합_가정!$E$233,①통합_가정!$E$234,①통합_가정!$E$235))</f>
        <v>0</v>
      </c>
      <c r="L38" s="37" t="n">
        <f aca="false">(L14=1)*①통합_가정!$H$38*①통합_가정!$E$227*①통합_가정!$E$228/1000*(1+①통합_가정!$E$230)^INT((L15-1)/①통합_가정!$E$231)*(1-CHOOSE(MIN(MAX(L16,1),3),①통합_가정!$E$233,①통합_가정!$E$234,①통합_가정!$E$235))</f>
        <v>0</v>
      </c>
      <c r="M38" s="37" t="n">
        <f aca="false">(M14=1)*①통합_가정!$H$38*①통합_가정!$E$227*①통합_가정!$E$228/1000*(1+①통합_가정!$E$230)^INT((M15-1)/①통합_가정!$E$231)*(1-CHOOSE(MIN(MAX(M16,1),3),①통합_가정!$E$233,①통합_가정!$E$234,①통합_가정!$E$235))</f>
        <v>0</v>
      </c>
      <c r="N38" s="37" t="n">
        <f aca="false">(N14=1)*①통합_가정!$H$38*①통합_가정!$E$227*①통합_가정!$E$228/1000*(1+①통합_가정!$E$230)^INT((N15-1)/①통합_가정!$E$231)*(1-CHOOSE(MIN(MAX(N16,1),3),①통합_가정!$E$233,①통합_가정!$E$234,①통합_가정!$E$235))</f>
        <v>0</v>
      </c>
      <c r="O38" s="37" t="n">
        <f aca="false">(O14=1)*①통합_가정!$H$38*①통합_가정!$E$227*①통합_가정!$E$228/1000*(1+①통합_가정!$E$230)^INT((O15-1)/①통합_가정!$E$231)*(1-CHOOSE(MIN(MAX(O16,1),3),①통합_가정!$E$233,①통합_가정!$E$234,①통합_가정!$E$235))</f>
        <v>0</v>
      </c>
      <c r="P38" s="37" t="n">
        <f aca="false">(P14=1)*①통합_가정!$H$38*①통합_가정!$E$227*①통합_가정!$E$228/1000*(1+①통합_가정!$E$230)^INT((P15-1)/①통합_가정!$E$231)*(1-CHOOSE(MIN(MAX(P16,1),3),①통합_가정!$E$233,①통합_가정!$E$234,①통합_가정!$E$235))</f>
        <v>0</v>
      </c>
      <c r="Q38" s="37" t="n">
        <f aca="false">(Q14=1)*①통합_가정!$H$38*①통합_가정!$E$227*①통합_가정!$E$228/1000*(1+①통합_가정!$E$230)^INT((Q15-1)/①통합_가정!$E$231)*(1-CHOOSE(MIN(MAX(Q16,1),3),①통합_가정!$E$233,①통합_가정!$E$234,①통합_가정!$E$235))</f>
        <v>0</v>
      </c>
      <c r="R38" s="37" t="n">
        <f aca="false">(R14=1)*①통합_가정!$H$38*①통합_가정!$E$227*①통합_가정!$E$228/1000*(1+①통합_가정!$E$230)^INT((R15-1)/①통합_가정!$E$231)*(1-CHOOSE(MIN(MAX(R16,1),3),①통합_가정!$E$233,①통합_가정!$E$234,①통합_가정!$E$235))</f>
        <v>0</v>
      </c>
      <c r="S38" s="37" t="n">
        <f aca="false">(S14=1)*①통합_가정!$H$38*①통합_가정!$E$227*①통합_가정!$E$228/1000*(1+①통합_가정!$E$230)^INT((S15-1)/①통합_가정!$E$231)*(1-CHOOSE(MIN(MAX(S16,1),3),①통합_가정!$E$233,①통합_가정!$E$234,①통합_가정!$E$235))</f>
        <v>0</v>
      </c>
      <c r="T38" s="37" t="n">
        <f aca="false">(T14=1)*①통합_가정!$H$38*①통합_가정!$E$227*①통합_가정!$E$228/1000*(1+①통합_가정!$E$230)^INT((T15-1)/①통합_가정!$E$231)*(1-CHOOSE(MIN(MAX(T16,1),3),①통합_가정!$E$233,①통합_가정!$E$234,①통합_가정!$E$235))</f>
        <v>0</v>
      </c>
      <c r="U38" s="37" t="n">
        <f aca="false">(U14=1)*①통합_가정!$H$38*①통합_가정!$E$227*①통합_가정!$E$228/1000*(1+①통합_가정!$E$230)^INT((U15-1)/①통합_가정!$E$231)*(1-CHOOSE(MIN(MAX(U16,1),3),①통합_가정!$E$233,①통합_가정!$E$234,①통합_가정!$E$235))</f>
        <v>0</v>
      </c>
      <c r="V38" s="37" t="n">
        <f aca="false">(V14=1)*①통합_가정!$H$38*①통합_가정!$E$227*①통합_가정!$E$228/1000*(1+①통합_가정!$E$230)^INT((V15-1)/①통합_가정!$E$231)*(1-CHOOSE(MIN(MAX(V16,1),3),①통합_가정!$E$233,①통합_가정!$E$234,①통합_가정!$E$235))</f>
        <v>0</v>
      </c>
      <c r="W38" s="37" t="n">
        <f aca="false">(W14=1)*①통합_가정!$H$38*①통합_가정!$E$227*①통합_가정!$E$228/1000*(1+①통합_가정!$E$230)^INT((W15-1)/①통합_가정!$E$231)*(1-CHOOSE(MIN(MAX(W16,1),3),①통합_가정!$E$233,①통합_가정!$E$234,①통합_가정!$E$235))</f>
        <v>0</v>
      </c>
      <c r="X38" s="37" t="n">
        <f aca="false">(X14=1)*①통합_가정!$H$38*①통합_가정!$E$227*①통합_가정!$E$228/1000*(1+①통합_가정!$E$230)^INT((X15-1)/①통합_가정!$E$231)*(1-CHOOSE(MIN(MAX(X16,1),3),①통합_가정!$E$233,①통합_가정!$E$234,①통합_가정!$E$235))</f>
        <v>0</v>
      </c>
      <c r="Y38" s="37" t="n">
        <f aca="false">(Y14=1)*①통합_가정!$H$38*①통합_가정!$E$227*①통합_가정!$E$228/1000*(1+①통합_가정!$E$230)^INT((Y15-1)/①통합_가정!$E$231)*(1-CHOOSE(MIN(MAX(Y16,1),3),①통합_가정!$E$233,①통합_가정!$E$234,①통합_가정!$E$235))</f>
        <v>0</v>
      </c>
      <c r="Z38" s="37" t="n">
        <f aca="false">(Z14=1)*①통합_가정!$H$38*①통합_가정!$E$227*①통합_가정!$E$228/1000*(1+①통합_가정!$E$230)^INT((Z15-1)/①통합_가정!$E$231)*(1-CHOOSE(MIN(MAX(Z16,1),3),①통합_가정!$E$233,①통합_가정!$E$234,①통합_가정!$E$235))</f>
        <v>0</v>
      </c>
      <c r="AA38" s="37" t="n">
        <f aca="false">(AA14=1)*①통합_가정!$H$38*①통합_가정!$E$227*①통합_가정!$E$228/1000*(1+①통합_가정!$E$230)^INT((AA15-1)/①통합_가정!$E$231)*(1-CHOOSE(MIN(MAX(AA16,1),3),①통합_가정!$E$233,①통합_가정!$E$234,①통합_가정!$E$235))</f>
        <v>0</v>
      </c>
      <c r="AB38" s="37" t="n">
        <f aca="false">(AB14=1)*①통합_가정!$H$38*①통합_가정!$E$227*①통합_가정!$E$228/1000*(1+①통합_가정!$E$230)^INT((AB15-1)/①통합_가정!$E$231)*(1-CHOOSE(MIN(MAX(AB16,1),3),①통합_가정!$E$233,①통합_가정!$E$234,①통합_가정!$E$235))</f>
        <v>0</v>
      </c>
      <c r="AC38" s="37" t="n">
        <f aca="false">(AC14=1)*①통합_가정!$H$38*①통합_가정!$E$227*①통합_가정!$E$228/1000*(1+①통합_가정!$E$230)^INT((AC15-1)/①통합_가정!$E$231)*(1-CHOOSE(MIN(MAX(AC16,1),3),①통합_가정!$E$233,①통합_가정!$E$234,①통합_가정!$E$235))</f>
        <v>0</v>
      </c>
      <c r="AD38" s="37" t="n">
        <f aca="false">(AD14=1)*①통합_가정!$H$38*①통합_가정!$E$227*①통합_가정!$E$228/1000*(1+①통합_가정!$E$230)^INT((AD15-1)/①통합_가정!$E$231)*(1-CHOOSE(MIN(MAX(AD16,1),3),①통합_가정!$E$233,①통합_가정!$E$234,①통합_가정!$E$235))</f>
        <v>0</v>
      </c>
      <c r="AE38" s="37" t="n">
        <f aca="false">(AE14=1)*①통합_가정!$H$38*①통합_가정!$E$227*①통합_가정!$E$228/1000*(1+①통합_가정!$E$230)^INT((AE15-1)/①통합_가정!$E$231)*(1-CHOOSE(MIN(MAX(AE16,1),3),①통합_가정!$E$233,①통합_가정!$E$234,①통합_가정!$E$235))</f>
        <v>0</v>
      </c>
      <c r="AF38" s="37" t="n">
        <f aca="false">(AF14=1)*①통합_가정!$H$38*①통합_가정!$E$227*①통합_가정!$E$228/1000*(1+①통합_가정!$E$230)^INT((AF15-1)/①통합_가정!$E$231)*(1-CHOOSE(MIN(MAX(AF16,1),3),①통합_가정!$E$233,①통합_가정!$E$234,①통합_가정!$E$235))</f>
        <v>0</v>
      </c>
      <c r="AG38" s="37" t="n">
        <f aca="false">(AG14=1)*①통합_가정!$H$38*①통합_가정!$E$227*①통합_가정!$E$228/1000*(1+①통합_가정!$E$230)^INT((AG15-1)/①통합_가정!$E$231)*(1-CHOOSE(MIN(MAX(AG16,1),3),①통합_가정!$E$233,①통합_가정!$E$234,①통합_가정!$E$235))</f>
        <v>0</v>
      </c>
      <c r="AH38" s="37" t="n">
        <f aca="false">(AH14=1)*①통합_가정!$H$38*①통합_가정!$E$227*①통합_가정!$E$228/1000*(1+①통합_가정!$E$230)^INT((AH15-1)/①통합_가정!$E$231)*(1-CHOOSE(MIN(MAX(AH16,1),3),①통합_가정!$E$233,①통합_가정!$E$234,①통합_가정!$E$235))</f>
        <v>0</v>
      </c>
      <c r="AI38" s="37" t="n">
        <f aca="false">(AI14=1)*①통합_가정!$H$38*①통합_가정!$E$227*①통합_가정!$E$228/1000*(1+①통합_가정!$E$230)^INT((AI15-1)/①통합_가정!$E$231)*(1-CHOOSE(MIN(MAX(AI16,1),3),①통합_가정!$E$233,①통합_가정!$E$234,①통합_가정!$E$235))</f>
        <v>0</v>
      </c>
      <c r="AJ38" s="37" t="n">
        <f aca="false">(AJ14=1)*①통합_가정!$H$38*①통합_가정!$E$227*①통합_가정!$E$228/1000*(1+①통합_가정!$E$230)^INT((AJ15-1)/①통합_가정!$E$231)*(1-CHOOSE(MIN(MAX(AJ16,1),3),①통합_가정!$E$233,①통합_가정!$E$234,①통합_가정!$E$235))</f>
        <v>0</v>
      </c>
      <c r="AK38" s="37" t="n">
        <f aca="false">(AK14=1)*①통합_가정!$H$38*①통합_가정!$E$227*①통합_가정!$E$228/1000*(1+①통합_가정!$E$230)^INT((AK15-1)/①통합_가정!$E$231)*(1-CHOOSE(MIN(MAX(AK16,1),3),①통합_가정!$E$233,①통합_가정!$E$234,①통합_가정!$E$235))</f>
        <v>0</v>
      </c>
      <c r="AL38" s="37" t="n">
        <f aca="false">(AL14=1)*①통합_가정!$H$38*①통합_가정!$E$227*①통합_가정!$E$228/1000*(1+①통합_가정!$E$230)^INT((AL15-1)/①통합_가정!$E$231)*(1-CHOOSE(MIN(MAX(AL16,1),3),①통합_가정!$E$233,①통합_가정!$E$234,①통합_가정!$E$235))</f>
        <v>0</v>
      </c>
      <c r="AM38" s="37" t="n">
        <f aca="false">(AM14=1)*①통합_가정!$H$38*①통합_가정!$E$227*①통합_가정!$E$228/1000*(1+①통합_가정!$E$230)^INT((AM15-1)/①통합_가정!$E$231)*(1-CHOOSE(MIN(MAX(AM16,1),3),①통합_가정!$E$233,①통합_가정!$E$234,①통합_가정!$E$235))</f>
        <v>0</v>
      </c>
      <c r="AN38" s="37" t="n">
        <f aca="false">(AN14=1)*①통합_가정!$H$38*①통합_가정!$E$227*①통합_가정!$E$228/1000*(1+①통합_가정!$E$230)^INT((AN15-1)/①통합_가정!$E$231)*(1-CHOOSE(MIN(MAX(AN16,1),3),①통합_가정!$E$233,①통합_가정!$E$234,①통합_가정!$E$235))</f>
        <v>0</v>
      </c>
      <c r="AO38" s="37" t="n">
        <f aca="false">(AO14=1)*①통합_가정!$H$38*①통합_가정!$E$227*①통합_가정!$E$228/1000*(1+①통합_가정!$E$230)^INT((AO15-1)/①통합_가정!$E$231)*(1-CHOOSE(MIN(MAX(AO16,1),3),①통합_가정!$E$233,①통합_가정!$E$234,①통합_가정!$E$235))</f>
        <v>0</v>
      </c>
      <c r="AP38" s="37" t="n">
        <f aca="false">(AP14=1)*①통합_가정!$H$38*①통합_가정!$E$227*①통합_가정!$E$228/1000*(1+①통합_가정!$E$230)^INT((AP15-1)/①통합_가정!$E$231)*(1-CHOOSE(MIN(MAX(AP16,1),3),①통합_가정!$E$233,①통합_가정!$E$234,①통합_가정!$E$235))</f>
        <v>0</v>
      </c>
      <c r="AQ38" s="37" t="n">
        <f aca="false">(AQ14=1)*①통합_가정!$H$38*①통합_가정!$E$227*①통합_가정!$E$228/1000*(1+①통합_가정!$E$230)^INT((AQ15-1)/①통합_가정!$E$231)*(1-CHOOSE(MIN(MAX(AQ16,1),3),①통합_가정!$E$233,①통합_가정!$E$234,①통합_가정!$E$235))</f>
        <v>0</v>
      </c>
      <c r="AR38" s="37" t="n">
        <f aca="false">(AR14=1)*①통합_가정!$H$38*①통합_가정!$E$227*①통합_가정!$E$228/1000*(1+①통합_가정!$E$230)^INT((AR15-1)/①통합_가정!$E$231)*(1-CHOOSE(MIN(MAX(AR16,1),3),①통합_가정!$E$233,①통합_가정!$E$234,①통합_가정!$E$235))</f>
        <v>0</v>
      </c>
      <c r="AS38" s="37" t="n">
        <f aca="false">(AS14=1)*①통합_가정!$H$38*①통합_가정!$E$227*①통합_가정!$E$228/1000*(1+①통합_가정!$E$230)^INT((AS15-1)/①통합_가정!$E$231)*(1-CHOOSE(MIN(MAX(AS16,1),3),①통합_가정!$E$233,①통합_가정!$E$234,①통합_가정!$E$235))</f>
        <v>0</v>
      </c>
      <c r="AT38" s="37" t="n">
        <f aca="false">(AT14=1)*①통합_가정!$H$38*①통합_가정!$E$227*①통합_가정!$E$228/1000*(1+①통합_가정!$E$230)^INT((AT15-1)/①통합_가정!$E$231)*(1-CHOOSE(MIN(MAX(AT16,1),3),①통합_가정!$E$233,①통합_가정!$E$234,①통합_가정!$E$235))</f>
        <v>0</v>
      </c>
      <c r="AU38" s="37" t="n">
        <f aca="false">(AU14=1)*①통합_가정!$H$38*①통합_가정!$E$227*①통합_가정!$E$228/1000*(1+①통합_가정!$E$230)^INT((AU15-1)/①통합_가정!$E$231)*(1-CHOOSE(MIN(MAX(AU16,1),3),①통합_가정!$E$233,①통합_가정!$E$234,①통합_가정!$E$235))</f>
        <v>0</v>
      </c>
      <c r="AV38" s="37" t="n">
        <f aca="false">(AV14=1)*①통합_가정!$H$38*①통합_가정!$E$227*①통합_가정!$E$228/1000*(1+①통합_가정!$E$230)^INT((AV15-1)/①통합_가정!$E$231)*(1-CHOOSE(MIN(MAX(AV16,1),3),①통합_가정!$E$233,①통합_가정!$E$234,①통합_가정!$E$235))</f>
        <v>0</v>
      </c>
      <c r="AW38" s="37" t="n">
        <f aca="false">(AW14=1)*①통합_가정!$H$38*①통합_가정!$E$227*①통합_가정!$E$228/1000*(1+①통합_가정!$E$230)^INT((AW15-1)/①통합_가정!$E$231)*(1-CHOOSE(MIN(MAX(AW16,1),3),①통합_가정!$E$233,①통합_가정!$E$234,①통합_가정!$E$235))</f>
        <v>0</v>
      </c>
      <c r="AX38" s="37" t="n">
        <f aca="false">(AX14=1)*①통합_가정!$H$38*①통합_가정!$E$227*①통합_가정!$E$228/1000*(1+①통합_가정!$E$230)^INT((AX15-1)/①통합_가정!$E$231)*(1-CHOOSE(MIN(MAX(AX16,1),3),①통합_가정!$E$233,①통합_가정!$E$234,①통합_가정!$E$235))</f>
        <v>0</v>
      </c>
      <c r="AY38" s="37" t="n">
        <f aca="false">(AY14=1)*①통합_가정!$H$38*①통합_가정!$E$227*①통합_가정!$E$228/1000*(1+①통합_가정!$E$230)^INT((AY15-1)/①통합_가정!$E$231)*(1-CHOOSE(MIN(MAX(AY16,1),3),①통합_가정!$E$233,①통합_가정!$E$234,①통합_가정!$E$235))</f>
        <v>0</v>
      </c>
      <c r="AZ38" s="37" t="n">
        <f aca="false">(AZ14=1)*①통합_가정!$H$38*①통합_가정!$E$227*①통합_가정!$E$228/1000*(1+①통합_가정!$E$230)^INT((AZ15-1)/①통합_가정!$E$231)*(1-CHOOSE(MIN(MAX(AZ16,1),3),①통합_가정!$E$233,①통합_가정!$E$234,①통합_가정!$E$235))</f>
        <v>0</v>
      </c>
      <c r="BA38" s="37" t="n">
        <f aca="false">(BA14=1)*①통합_가정!$H$38*①통합_가정!$E$227*①통합_가정!$E$228/1000*(1+①통합_가정!$E$230)^INT((BA15-1)/①통합_가정!$E$231)*(1-CHOOSE(MIN(MAX(BA16,1),3),①통합_가정!$E$233,①통합_가정!$E$234,①통합_가정!$E$235))</f>
        <v>0</v>
      </c>
      <c r="BB38" s="37" t="n">
        <f aca="false">(BB14=1)*①통합_가정!$H$38*①통합_가정!$E$227*①통합_가정!$E$228/1000*(1+①통합_가정!$E$230)^INT((BB15-1)/①통합_가정!$E$231)*(1-CHOOSE(MIN(MAX(BB16,1),3),①통합_가정!$E$233,①통합_가정!$E$234,①통합_가정!$E$235))</f>
        <v>0</v>
      </c>
      <c r="BC38" s="37" t="n">
        <f aca="false">(BC14=1)*①통합_가정!$H$38*①통합_가정!$E$227*①통합_가정!$E$228/1000*(1+①통합_가정!$E$230)^INT((BC15-1)/①통합_가정!$E$231)*(1-CHOOSE(MIN(MAX(BC16,1),3),①통합_가정!$E$233,①통합_가정!$E$234,①통합_가정!$E$235))</f>
        <v>0</v>
      </c>
      <c r="BD38" s="37" t="n">
        <f aca="false">(BD14=1)*①통합_가정!$H$38*①통합_가정!$E$227*①통합_가정!$E$228/1000*(1+①통합_가정!$E$230)^INT((BD15-1)/①통합_가정!$E$231)*(1-CHOOSE(MIN(MAX(BD16,1),3),①통합_가정!$E$233,①통합_가정!$E$234,①통합_가정!$E$235))</f>
        <v>0</v>
      </c>
      <c r="BE38" s="37" t="n">
        <f aca="false">(BE14=1)*①통합_가정!$H$38*①통합_가정!$E$227*①통합_가정!$E$228/1000*(1+①통합_가정!$E$230)^INT((BE15-1)/①통합_가정!$E$231)*(1-CHOOSE(MIN(MAX(BE16,1),3),①통합_가정!$E$233,①통합_가정!$E$234,①통합_가정!$E$235))</f>
        <v>0</v>
      </c>
      <c r="BF38" s="37" t="n">
        <f aca="false">(BF14=1)*①통합_가정!$H$38*①통합_가정!$E$227*①통합_가정!$E$228/1000*(1+①통합_가정!$E$230)^INT((BF15-1)/①통합_가정!$E$231)*(1-CHOOSE(MIN(MAX(BF16,1),3),①통합_가정!$E$233,①통합_가정!$E$234,①통합_가정!$E$235))</f>
        <v>0</v>
      </c>
      <c r="BG38" s="37" t="n">
        <f aca="false">(BG14=1)*①통합_가정!$H$38*①통합_가정!$E$227*①통합_가정!$E$228/1000*(1+①통합_가정!$E$230)^INT((BG15-1)/①통합_가정!$E$231)*(1-CHOOSE(MIN(MAX(BG16,1),3),①통합_가정!$E$233,①통합_가정!$E$234,①통합_가정!$E$235))</f>
        <v>0</v>
      </c>
      <c r="BH38" s="37" t="n">
        <f aca="false">(BH14=1)*①통합_가정!$H$38*①통합_가정!$E$227*①통합_가정!$E$228/1000*(1+①통합_가정!$E$230)^INT((BH15-1)/①통합_가정!$E$231)*(1-CHOOSE(MIN(MAX(BH16,1),3),①통합_가정!$E$233,①통합_가정!$E$234,①통합_가정!$E$235))</f>
        <v>0</v>
      </c>
      <c r="BI38" s="37" t="n">
        <f aca="false">(BI14=1)*①통합_가정!$H$38*①통합_가정!$E$227*①통합_가정!$E$228/1000*(1+①통합_가정!$E$230)^INT((BI15-1)/①통합_가정!$E$231)*(1-CHOOSE(MIN(MAX(BI16,1),3),①통합_가정!$E$233,①통합_가정!$E$234,①통합_가정!$E$235))</f>
        <v>0</v>
      </c>
      <c r="BJ38" s="37" t="n">
        <f aca="false">(BJ14=1)*①통합_가정!$H$38*①통합_가정!$E$227*①통합_가정!$E$228/1000*(1+①통합_가정!$E$230)^INT((BJ15-1)/①통합_가정!$E$231)*(1-CHOOSE(MIN(MAX(BJ16,1),3),①통합_가정!$E$233,①통합_가정!$E$234,①통합_가정!$E$235))</f>
        <v>0</v>
      </c>
      <c r="BK38" s="37" t="n">
        <f aca="false">(BK14=1)*①통합_가정!$H$38*①통합_가정!$E$227*①통합_가정!$E$228/1000*(1+①통합_가정!$E$230)^INT((BK15-1)/①통합_가정!$E$231)*(1-CHOOSE(MIN(MAX(BK16,1),3),①통합_가정!$E$233,①통합_가정!$E$234,①통합_가정!$E$235))</f>
        <v>0</v>
      </c>
      <c r="BL38" s="37" t="n">
        <f aca="false">(BL14=1)*①통합_가정!$H$38*①통합_가정!$E$227*①통합_가정!$E$228/1000*(1+①통합_가정!$E$230)^INT((BL15-1)/①통합_가정!$E$231)*(1-CHOOSE(MIN(MAX(BL16,1),3),①통합_가정!$E$233,①통합_가정!$E$234,①통합_가정!$E$235))</f>
        <v>0</v>
      </c>
      <c r="BM38" s="37" t="n">
        <f aca="false">(BM14=1)*①통합_가정!$H$38*①통합_가정!$E$227*①통합_가정!$E$228/1000*(1+①통합_가정!$E$230)^INT((BM15-1)/①통합_가정!$E$231)*(1-CHOOSE(MIN(MAX(BM16,1),3),①통합_가정!$E$233,①통합_가정!$E$234,①통합_가정!$E$235))</f>
        <v>267.43203</v>
      </c>
      <c r="BN38" s="37" t="n">
        <f aca="false">(BN14=1)*①통합_가정!$H$38*①통합_가정!$E$227*①통합_가정!$E$228/1000*(1+①통합_가정!$E$230)^INT((BN15-1)/①통합_가정!$E$231)*(1-CHOOSE(MIN(MAX(BN16,1),3),①통합_가정!$E$233,①통합_가정!$E$234,①통합_가정!$E$235))</f>
        <v>267.43203</v>
      </c>
      <c r="BO38" s="37" t="n">
        <f aca="false">(BO14=1)*①통합_가정!$H$38*①통합_가정!$E$227*①통합_가정!$E$228/1000*(1+①통합_가정!$E$230)^INT((BO15-1)/①통합_가정!$E$231)*(1-CHOOSE(MIN(MAX(BO16,1),3),①통합_가정!$E$233,①통합_가정!$E$234,①통합_가정!$E$235))</f>
        <v>267.43203</v>
      </c>
      <c r="BP38" s="37" t="n">
        <f aca="false">(BP14=1)*①통합_가정!$H$38*①통합_가정!$E$227*①통합_가정!$E$228/1000*(1+①통합_가정!$E$230)^INT((BP15-1)/①통합_가정!$E$231)*(1-CHOOSE(MIN(MAX(BP16,1),3),①통합_가정!$E$233,①통합_가정!$E$234,①통합_가정!$E$235))</f>
        <v>267.43203</v>
      </c>
      <c r="BQ38" s="37" t="n">
        <f aca="false">(BQ14=1)*①통합_가정!$H$38*①통합_가정!$E$227*①통합_가정!$E$228/1000*(1+①통합_가정!$E$230)^INT((BQ15-1)/①통합_가정!$E$231)*(1-CHOOSE(MIN(MAX(BQ16,1),3),①통합_가정!$E$233,①통합_가정!$E$234,①통합_가정!$E$235))</f>
        <v>267.43203</v>
      </c>
      <c r="BR38" s="37" t="n">
        <f aca="false">(BR14=1)*①통합_가정!$H$38*①통합_가정!$E$227*①통합_가정!$E$228/1000*(1+①통합_가정!$E$230)^INT((BR15-1)/①통합_가정!$E$231)*(1-CHOOSE(MIN(MAX(BR16,1),3),①통합_가정!$E$233,①통합_가정!$E$234,①통합_가정!$E$235))</f>
        <v>267.43203</v>
      </c>
      <c r="BS38" s="37" t="n">
        <f aca="false">(BS14=1)*①통합_가정!$H$38*①통합_가정!$E$227*①통합_가정!$E$228/1000*(1+①통합_가정!$E$230)^INT((BS15-1)/①통합_가정!$E$231)*(1-CHOOSE(MIN(MAX(BS16,1),3),①통합_가정!$E$233,①통합_가정!$E$234,①통합_가정!$E$235))</f>
        <v>267.43203</v>
      </c>
      <c r="BT38" s="37" t="n">
        <f aca="false">(BT14=1)*①통합_가정!$H$38*①통합_가정!$E$227*①통합_가정!$E$228/1000*(1+①통합_가정!$E$230)^INT((BT15-1)/①통합_가정!$E$231)*(1-CHOOSE(MIN(MAX(BT16,1),3),①통합_가정!$E$233,①통합_가정!$E$234,①통합_가정!$E$235))</f>
        <v>267.43203</v>
      </c>
      <c r="BU38" s="37" t="n">
        <f aca="false">(BU14=1)*①통합_가정!$H$38*①통합_가정!$E$227*①통합_가정!$E$228/1000*(1+①통합_가정!$E$230)^INT((BU15-1)/①통합_가정!$E$231)*(1-CHOOSE(MIN(MAX(BU16,1),3),①통합_가정!$E$233,①통합_가정!$E$234,①통합_가정!$E$235))</f>
        <v>267.43203</v>
      </c>
      <c r="BV38" s="37" t="n">
        <f aca="false">(BV14=1)*①통합_가정!$H$38*①통합_가정!$E$227*①통합_가정!$E$228/1000*(1+①통합_가정!$E$230)^INT((BV15-1)/①통합_가정!$E$231)*(1-CHOOSE(MIN(MAX(BV16,1),3),①통합_가정!$E$233,①통합_가정!$E$234,①통합_가정!$E$235))</f>
        <v>267.43203</v>
      </c>
      <c r="BW38" s="37" t="n">
        <f aca="false">(BW14=1)*①통합_가정!$H$38*①통합_가정!$E$227*①통합_가정!$E$228/1000*(1+①통합_가정!$E$230)^INT((BW15-1)/①통합_가정!$E$231)*(1-CHOOSE(MIN(MAX(BW16,1),3),①통합_가정!$E$233,①통합_가정!$E$234,①통합_가정!$E$235))</f>
        <v>267.43203</v>
      </c>
      <c r="BX38" s="37" t="n">
        <f aca="false">(BX14=1)*①통합_가정!$H$38*①통합_가정!$E$227*①통합_가정!$E$228/1000*(1+①통합_가정!$E$230)^INT((BX15-1)/①통합_가정!$E$231)*(1-CHOOSE(MIN(MAX(BX16,1),3),①통합_가정!$E$233,①통합_가정!$E$234,①통합_가정!$E$235))</f>
        <v>267.43203</v>
      </c>
      <c r="BY38" s="37" t="n">
        <f aca="false">(BY14=1)*①통합_가정!$H$38*①통합_가정!$E$227*①통합_가정!$E$228/1000*(1+①통합_가정!$E$230)^INT((BY15-1)/①통합_가정!$E$231)*(1-CHOOSE(MIN(MAX(BY16,1),3),①통합_가정!$E$233,①통합_가정!$E$234,①통합_가정!$E$235))</f>
        <v>272.7806706</v>
      </c>
      <c r="BZ38" s="37" t="n">
        <f aca="false">(BZ14=1)*①통합_가정!$H$38*①통합_가정!$E$227*①통합_가정!$E$228/1000*(1+①통합_가정!$E$230)^INT((BZ15-1)/①통합_가정!$E$231)*(1-CHOOSE(MIN(MAX(BZ16,1),3),①통합_가정!$E$233,①통합_가정!$E$234,①통합_가정!$E$235))</f>
        <v>272.7806706</v>
      </c>
      <c r="CA38" s="37" t="n">
        <f aca="false">(CA14=1)*①통합_가정!$H$38*①통합_가정!$E$227*①통합_가정!$E$228/1000*(1+①통합_가정!$E$230)^INT((CA15-1)/①통합_가정!$E$231)*(1-CHOOSE(MIN(MAX(CA16,1),3),①통합_가정!$E$233,①통합_가정!$E$234,①통합_가정!$E$235))</f>
        <v>272.7806706</v>
      </c>
      <c r="CB38" s="37" t="n">
        <f aca="false">(CB14=1)*①통합_가정!$H$38*①통합_가정!$E$227*①통합_가정!$E$228/1000*(1+①통합_가정!$E$230)^INT((CB15-1)/①통합_가정!$E$231)*(1-CHOOSE(MIN(MAX(CB16,1),3),①통합_가정!$E$233,①통합_가정!$E$234,①통합_가정!$E$235))</f>
        <v>272.7806706</v>
      </c>
      <c r="CC38" s="37" t="n">
        <f aca="false">(CC14=1)*①통합_가정!$H$38*①통합_가정!$E$227*①통합_가정!$E$228/1000*(1+①통합_가정!$E$230)^INT((CC15-1)/①통합_가정!$E$231)*(1-CHOOSE(MIN(MAX(CC16,1),3),①통합_가정!$E$233,①통합_가정!$E$234,①통합_가정!$E$235))</f>
        <v>272.7806706</v>
      </c>
      <c r="CD38" s="37" t="n">
        <f aca="false">(CD14=1)*①통합_가정!$H$38*①통합_가정!$E$227*①통합_가정!$E$228/1000*(1+①통합_가정!$E$230)^INT((CD15-1)/①통합_가정!$E$231)*(1-CHOOSE(MIN(MAX(CD16,1),3),①통합_가정!$E$233,①통합_가정!$E$234,①통합_가정!$E$235))</f>
        <v>272.7806706</v>
      </c>
      <c r="CE38" s="37" t="n">
        <f aca="false">(CE14=1)*①통합_가정!$H$38*①통합_가정!$E$227*①통합_가정!$E$228/1000*(1+①통합_가정!$E$230)^INT((CE15-1)/①통합_가정!$E$231)*(1-CHOOSE(MIN(MAX(CE16,1),3),①통합_가정!$E$233,①통합_가정!$E$234,①통합_가정!$E$235))</f>
        <v>272.7806706</v>
      </c>
      <c r="CF38" s="37" t="n">
        <f aca="false">(CF14=1)*①통합_가정!$H$38*①통합_가정!$E$227*①통합_가정!$E$228/1000*(1+①통합_가정!$E$230)^INT((CF15-1)/①통합_가정!$E$231)*(1-CHOOSE(MIN(MAX(CF16,1),3),①통합_가정!$E$233,①통합_가정!$E$234,①통합_가정!$E$235))</f>
        <v>272.7806706</v>
      </c>
      <c r="CG38" s="37" t="n">
        <f aca="false">(CG14=1)*①통합_가정!$H$38*①통합_가정!$E$227*①통합_가정!$E$228/1000*(1+①통합_가정!$E$230)^INT((CG15-1)/①통합_가정!$E$231)*(1-CHOOSE(MIN(MAX(CG16,1),3),①통합_가정!$E$233,①통합_가정!$E$234,①통합_가정!$E$235))</f>
        <v>272.7806706</v>
      </c>
      <c r="CH38" s="37" t="n">
        <f aca="false">(CH14=1)*①통합_가정!$H$38*①통합_가정!$E$227*①통합_가정!$E$228/1000*(1+①통합_가정!$E$230)^INT((CH15-1)/①통합_가정!$E$231)*(1-CHOOSE(MIN(MAX(CH16,1),3),①통합_가정!$E$233,①통합_가정!$E$234,①통합_가정!$E$235))</f>
        <v>272.7806706</v>
      </c>
      <c r="CI38" s="37" t="n">
        <f aca="false">(CI14=1)*①통합_가정!$H$38*①통합_가정!$E$227*①통합_가정!$E$228/1000*(1+①통합_가정!$E$230)^INT((CI15-1)/①통합_가정!$E$231)*(1-CHOOSE(MIN(MAX(CI16,1),3),①통합_가정!$E$233,①통합_가정!$E$234,①통합_가정!$E$235))</f>
        <v>272.7806706</v>
      </c>
      <c r="CJ38" s="37" t="n">
        <f aca="false">(CJ14=1)*①통합_가정!$H$38*①통합_가정!$E$227*①통합_가정!$E$228/1000*(1+①통합_가정!$E$230)^INT((CJ15-1)/①통합_가정!$E$231)*(1-CHOOSE(MIN(MAX(CJ16,1),3),①통합_가정!$E$233,①통합_가정!$E$234,①통합_가정!$E$235))</f>
        <v>272.7806706</v>
      </c>
      <c r="CK38" s="37" t="n">
        <f aca="false">(CK14=1)*①통합_가정!$H$38*①통합_가정!$E$227*①통합_가정!$E$228/1000*(1+①통합_가정!$E$230)^INT((CK15-1)/①통합_가정!$E$231)*(1-CHOOSE(MIN(MAX(CK16,1),3),①통합_가정!$E$233,①통합_가정!$E$234,①통합_가정!$E$235))</f>
        <v>278.236284012</v>
      </c>
      <c r="CL38" s="37" t="n">
        <f aca="false">(CL14=1)*①통합_가정!$H$38*①통합_가정!$E$227*①통합_가정!$E$228/1000*(1+①통합_가정!$E$230)^INT((CL15-1)/①통합_가정!$E$231)*(1-CHOOSE(MIN(MAX(CL16,1),3),①통합_가정!$E$233,①통합_가정!$E$234,①통합_가정!$E$235))</f>
        <v>278.236284012</v>
      </c>
      <c r="CM38" s="37" t="n">
        <f aca="false">(CM14=1)*①통합_가정!$H$38*①통합_가정!$E$227*①통합_가정!$E$228/1000*(1+①통합_가정!$E$230)^INT((CM15-1)/①통합_가정!$E$231)*(1-CHOOSE(MIN(MAX(CM16,1),3),①통합_가정!$E$233,①통합_가정!$E$234,①통합_가정!$E$235))</f>
        <v>278.236284012</v>
      </c>
      <c r="CN38" s="37" t="n">
        <f aca="false">(CN14=1)*①통합_가정!$H$38*①통합_가정!$E$227*①통합_가정!$E$228/1000*(1+①통합_가정!$E$230)^INT((CN15-1)/①통합_가정!$E$231)*(1-CHOOSE(MIN(MAX(CN16,1),3),①통합_가정!$E$233,①통합_가정!$E$234,①통합_가정!$E$235))</f>
        <v>278.236284012</v>
      </c>
      <c r="CO38" s="37" t="n">
        <f aca="false">(CO14=1)*①통합_가정!$H$38*①통합_가정!$E$227*①통합_가정!$E$228/1000*(1+①통합_가정!$E$230)^INT((CO15-1)/①통합_가정!$E$231)*(1-CHOOSE(MIN(MAX(CO16,1),3),①통합_가정!$E$233,①통합_가정!$E$234,①통합_가정!$E$235))</f>
        <v>278.236284012</v>
      </c>
      <c r="CP38" s="37" t="n">
        <f aca="false">(CP14=1)*①통합_가정!$H$38*①통합_가정!$E$227*①통합_가정!$E$228/1000*(1+①통합_가정!$E$230)^INT((CP15-1)/①통합_가정!$E$231)*(1-CHOOSE(MIN(MAX(CP16,1),3),①통합_가정!$E$233,①통합_가정!$E$234,①통합_가정!$E$235))</f>
        <v>278.236284012</v>
      </c>
      <c r="CQ38" s="37" t="n">
        <f aca="false">(CQ14=1)*①통합_가정!$H$38*①통합_가정!$E$227*①통합_가정!$E$228/1000*(1+①통합_가정!$E$230)^INT((CQ15-1)/①통합_가정!$E$231)*(1-CHOOSE(MIN(MAX(CQ16,1),3),①통합_가정!$E$233,①통합_가정!$E$234,①통합_가정!$E$235))</f>
        <v>278.236284012</v>
      </c>
      <c r="CR38" s="37" t="n">
        <f aca="false">(CR14=1)*①통합_가정!$H$38*①통합_가정!$E$227*①통합_가정!$E$228/1000*(1+①통합_가정!$E$230)^INT((CR15-1)/①통합_가정!$E$231)*(1-CHOOSE(MIN(MAX(CR16,1),3),①통합_가정!$E$233,①통합_가정!$E$234,①통합_가정!$E$235))</f>
        <v>278.236284012</v>
      </c>
      <c r="CS38" s="37" t="n">
        <f aca="false">(CS14=1)*①통합_가정!$H$38*①통합_가정!$E$227*①통합_가정!$E$228/1000*(1+①통합_가정!$E$230)^INT((CS15-1)/①통합_가정!$E$231)*(1-CHOOSE(MIN(MAX(CS16,1),3),①통합_가정!$E$233,①통합_가정!$E$234,①통합_가정!$E$235))</f>
        <v>278.236284012</v>
      </c>
      <c r="CT38" s="37" t="n">
        <f aca="false">(CT14=1)*①통합_가정!$H$38*①통합_가정!$E$227*①통합_가정!$E$228/1000*(1+①통합_가정!$E$230)^INT((CT15-1)/①통합_가정!$E$231)*(1-CHOOSE(MIN(MAX(CT16,1),3),①통합_가정!$E$233,①통합_가정!$E$234,①통합_가정!$E$235))</f>
        <v>278.236284012</v>
      </c>
      <c r="CU38" s="37" t="n">
        <f aca="false">(CU14=1)*①통합_가정!$H$38*①통합_가정!$E$227*①통합_가정!$E$228/1000*(1+①통합_가정!$E$230)^INT((CU15-1)/①통합_가정!$E$231)*(1-CHOOSE(MIN(MAX(CU16,1),3),①통합_가정!$E$233,①통합_가정!$E$234,①통합_가정!$E$235))</f>
        <v>278.236284012</v>
      </c>
      <c r="CV38" s="37" t="n">
        <f aca="false">(CV14=1)*①통합_가정!$H$38*①통합_가정!$E$227*①통합_가정!$E$228/1000*(1+①통합_가정!$E$230)^INT((CV15-1)/①통합_가정!$E$231)*(1-CHOOSE(MIN(MAX(CV16,1),3),①통합_가정!$E$233,①통합_가정!$E$234,①통합_가정!$E$235))</f>
        <v>278.236284012</v>
      </c>
      <c r="CW38" s="37" t="n">
        <f aca="false">(CW14=1)*①통합_가정!$H$38*①통합_가정!$E$227*①통합_가정!$E$228/1000*(1+①통합_가정!$E$230)^INT((CW15-1)/①통합_가정!$E$231)*(1-CHOOSE(MIN(MAX(CW16,1),3),①통합_가정!$E$233,①통합_가정!$E$234,①통합_가정!$E$235))</f>
        <v>283.80100969224</v>
      </c>
      <c r="CX38" s="37" t="n">
        <f aca="false">(CX14=1)*①통합_가정!$H$38*①통합_가정!$E$227*①통합_가정!$E$228/1000*(1+①통합_가정!$E$230)^INT((CX15-1)/①통합_가정!$E$231)*(1-CHOOSE(MIN(MAX(CX16,1),3),①통합_가정!$E$233,①통합_가정!$E$234,①통합_가정!$E$235))</f>
        <v>283.80100969224</v>
      </c>
      <c r="CY38" s="37" t="n">
        <f aca="false">(CY14=1)*①통합_가정!$H$38*①통합_가정!$E$227*①통합_가정!$E$228/1000*(1+①통합_가정!$E$230)^INT((CY15-1)/①통합_가정!$E$231)*(1-CHOOSE(MIN(MAX(CY16,1),3),①통합_가정!$E$233,①통합_가정!$E$234,①통합_가정!$E$235))</f>
        <v>283.80100969224</v>
      </c>
      <c r="CZ38" s="37" t="n">
        <f aca="false">(CZ14=1)*①통합_가정!$H$38*①통합_가정!$E$227*①통합_가정!$E$228/1000*(1+①통합_가정!$E$230)^INT((CZ15-1)/①통합_가정!$E$231)*(1-CHOOSE(MIN(MAX(CZ16,1),3),①통합_가정!$E$233,①통합_가정!$E$234,①통합_가정!$E$235))</f>
        <v>283.80100969224</v>
      </c>
      <c r="DA38" s="37" t="n">
        <f aca="false">(DA14=1)*①통합_가정!$H$38*①통합_가정!$E$227*①통합_가정!$E$228/1000*(1+①통합_가정!$E$230)^INT((DA15-1)/①통합_가정!$E$231)*(1-CHOOSE(MIN(MAX(DA16,1),3),①통합_가정!$E$233,①통합_가정!$E$234,①통합_가정!$E$235))</f>
        <v>283.80100969224</v>
      </c>
      <c r="DB38" s="37" t="n">
        <f aca="false">(DB14=1)*①통합_가정!$H$38*①통합_가정!$E$227*①통합_가정!$E$228/1000*(1+①통합_가정!$E$230)^INT((DB15-1)/①통합_가정!$E$231)*(1-CHOOSE(MIN(MAX(DB16,1),3),①통합_가정!$E$233,①통합_가정!$E$234,①통합_가정!$E$235))</f>
        <v>283.80100969224</v>
      </c>
      <c r="DC38" s="37" t="n">
        <f aca="false">(DC14=1)*①통합_가정!$H$38*①통합_가정!$E$227*①통합_가정!$E$228/1000*(1+①통합_가정!$E$230)^INT((DC15-1)/①통합_가정!$E$231)*(1-CHOOSE(MIN(MAX(DC16,1),3),①통합_가정!$E$233,①통합_가정!$E$234,①통합_가정!$E$235))</f>
        <v>283.80100969224</v>
      </c>
      <c r="DD38" s="37" t="n">
        <f aca="false">(DD14=1)*①통합_가정!$H$38*①통합_가정!$E$227*①통합_가정!$E$228/1000*(1+①통합_가정!$E$230)^INT((DD15-1)/①통합_가정!$E$231)*(1-CHOOSE(MIN(MAX(DD16,1),3),①통합_가정!$E$233,①통합_가정!$E$234,①통합_가정!$E$235))</f>
        <v>283.80100969224</v>
      </c>
      <c r="DE38" s="37" t="n">
        <f aca="false">(DE14=1)*①통합_가정!$H$38*①통합_가정!$E$227*①통합_가정!$E$228/1000*(1+①통합_가정!$E$230)^INT((DE15-1)/①통합_가정!$E$231)*(1-CHOOSE(MIN(MAX(DE16,1),3),①통합_가정!$E$233,①통합_가정!$E$234,①통합_가정!$E$235))</f>
        <v>283.80100969224</v>
      </c>
      <c r="DF38" s="37" t="n">
        <f aca="false">(DF14=1)*①통합_가정!$H$38*①통합_가정!$E$227*①통합_가정!$E$228/1000*(1+①통합_가정!$E$230)^INT((DF15-1)/①통합_가정!$E$231)*(1-CHOOSE(MIN(MAX(DF16,1),3),①통합_가정!$E$233,①통합_가정!$E$234,①통합_가정!$E$235))</f>
        <v>283.80100969224</v>
      </c>
      <c r="DG38" s="37" t="n">
        <f aca="false">(DG14=1)*①통합_가정!$H$38*①통합_가정!$E$227*①통합_가정!$E$228/1000*(1+①통합_가정!$E$230)^INT((DG15-1)/①통합_가정!$E$231)*(1-CHOOSE(MIN(MAX(DG16,1),3),①통합_가정!$E$233,①통합_가정!$E$234,①통합_가정!$E$235))</f>
        <v>283.80100969224</v>
      </c>
      <c r="DH38" s="37" t="n">
        <f aca="false">(DH14=1)*①통합_가정!$H$38*①통합_가정!$E$227*①통합_가정!$E$228/1000*(1+①통합_가정!$E$230)^INT((DH15-1)/①통합_가정!$E$231)*(1-CHOOSE(MIN(MAX(DH16,1),3),①통합_가정!$E$233,①통합_가정!$E$234,①통합_가정!$E$235))</f>
        <v>283.80100969224</v>
      </c>
      <c r="DI38" s="37" t="n">
        <f aca="false">(DI14=1)*①통합_가정!$H$38*①통합_가정!$E$227*①통합_가정!$E$228/1000*(1+①통합_가정!$E$230)^INT((DI15-1)/①통합_가정!$E$231)*(1-CHOOSE(MIN(MAX(DI16,1),3),①통합_가정!$E$233,①통합_가정!$E$234,①통합_가정!$E$235))</f>
        <v>289.477029886085</v>
      </c>
      <c r="DJ38" s="37" t="n">
        <f aca="false">(DJ14=1)*①통합_가정!$H$38*①통합_가정!$E$227*①통합_가정!$E$228/1000*(1+①통합_가정!$E$230)^INT((DJ15-1)/①통합_가정!$E$231)*(1-CHOOSE(MIN(MAX(DJ16,1),3),①통합_가정!$E$233,①통합_가정!$E$234,①통합_가정!$E$235))</f>
        <v>289.477029886085</v>
      </c>
      <c r="DK38" s="37" t="n">
        <f aca="false">(DK14=1)*①통합_가정!$H$38*①통합_가정!$E$227*①통합_가정!$E$228/1000*(1+①통합_가정!$E$230)^INT((DK15-1)/①통합_가정!$E$231)*(1-CHOOSE(MIN(MAX(DK16,1),3),①통합_가정!$E$233,①통합_가정!$E$234,①통합_가정!$E$235))</f>
        <v>289.477029886085</v>
      </c>
      <c r="DL38" s="37" t="n">
        <f aca="false">(DL14=1)*①통합_가정!$H$38*①통합_가정!$E$227*①통합_가정!$E$228/1000*(1+①통합_가정!$E$230)^INT((DL15-1)/①통합_가정!$E$231)*(1-CHOOSE(MIN(MAX(DL16,1),3),①통합_가정!$E$233,①통합_가정!$E$234,①통합_가정!$E$235))</f>
        <v>289.477029886085</v>
      </c>
      <c r="DM38" s="37" t="n">
        <f aca="false">(DM14=1)*①통합_가정!$H$38*①통합_가정!$E$227*①통합_가정!$E$228/1000*(1+①통합_가정!$E$230)^INT((DM15-1)/①통합_가정!$E$231)*(1-CHOOSE(MIN(MAX(DM16,1),3),①통합_가정!$E$233,①통합_가정!$E$234,①통합_가정!$E$235))</f>
        <v>289.477029886085</v>
      </c>
      <c r="DN38" s="37" t="n">
        <f aca="false">(DN14=1)*①통합_가정!$H$38*①통합_가정!$E$227*①통합_가정!$E$228/1000*(1+①통합_가정!$E$230)^INT((DN15-1)/①통합_가정!$E$231)*(1-CHOOSE(MIN(MAX(DN16,1),3),①통합_가정!$E$233,①통합_가정!$E$234,①통합_가정!$E$235))</f>
        <v>289.477029886085</v>
      </c>
      <c r="DO38" s="37" t="n">
        <f aca="false">(DO14=1)*①통합_가정!$H$38*①통합_가정!$E$227*①통합_가정!$E$228/1000*(1+①통합_가정!$E$230)^INT((DO15-1)/①통합_가정!$E$231)*(1-CHOOSE(MIN(MAX(DO16,1),3),①통합_가정!$E$233,①통합_가정!$E$234,①통합_가정!$E$235))</f>
        <v>289.477029886085</v>
      </c>
      <c r="DP38" s="37" t="n">
        <f aca="false">(DP14=1)*①통합_가정!$H$38*①통합_가정!$E$227*①통합_가정!$E$228/1000*(1+①통합_가정!$E$230)^INT((DP15-1)/①통합_가정!$E$231)*(1-CHOOSE(MIN(MAX(DP16,1),3),①통합_가정!$E$233,①통합_가정!$E$234,①통합_가정!$E$235))</f>
        <v>289.477029886085</v>
      </c>
      <c r="DQ38" s="37" t="n">
        <f aca="false">(DQ14=1)*①통합_가정!$H$38*①통합_가정!$E$227*①통합_가정!$E$228/1000*(1+①통합_가정!$E$230)^INT((DQ15-1)/①통합_가정!$E$231)*(1-CHOOSE(MIN(MAX(DQ16,1),3),①통합_가정!$E$233,①통합_가정!$E$234,①통합_가정!$E$235))</f>
        <v>289.477029886085</v>
      </c>
      <c r="DR38" s="37" t="n">
        <f aca="false">(DR14=1)*①통합_가정!$H$38*①통합_가정!$E$227*①통합_가정!$E$228/1000*(1+①통합_가정!$E$230)^INT((DR15-1)/①통합_가정!$E$231)*(1-CHOOSE(MIN(MAX(DR16,1),3),①통합_가정!$E$233,①통합_가정!$E$234,①통합_가정!$E$235))</f>
        <v>289.477029886085</v>
      </c>
      <c r="DS38" s="37" t="n">
        <f aca="false">(DS14=1)*①통합_가정!$H$38*①통합_가정!$E$227*①통합_가정!$E$228/1000*(1+①통합_가정!$E$230)^INT((DS15-1)/①통합_가정!$E$231)*(1-CHOOSE(MIN(MAX(DS16,1),3),①통합_가정!$E$233,①통합_가정!$E$234,①통합_가정!$E$235))</f>
        <v>289.477029886085</v>
      </c>
      <c r="DT38" s="37" t="n">
        <f aca="false">(DT14=1)*①통합_가정!$H$38*①통합_가정!$E$227*①통합_가정!$E$228/1000*(1+①통합_가정!$E$230)^INT((DT15-1)/①통합_가정!$E$231)*(1-CHOOSE(MIN(MAX(DT16,1),3),①통합_가정!$E$233,①통합_가정!$E$234,①통합_가정!$E$235))</f>
        <v>289.477029886085</v>
      </c>
      <c r="DU38" s="37" t="n">
        <f aca="false">(DU14=1)*①통합_가정!$H$38*①통합_가정!$E$227*①통합_가정!$E$228/1000*(1+①통합_가정!$E$230)^INT((DU15-1)/①통합_가정!$E$231)*(1-CHOOSE(MIN(MAX(DU16,1),3),①통합_가정!$E$233,①통합_가정!$E$234,①통합_가정!$E$235))</f>
        <v>0</v>
      </c>
      <c r="DV38" s="37" t="n">
        <f aca="false">(DV14=1)*①통합_가정!$H$38*①통합_가정!$E$227*①통합_가정!$E$228/1000*(1+①통합_가정!$E$230)^INT((DV15-1)/①통합_가정!$E$231)*(1-CHOOSE(MIN(MAX(DV16,1),3),①통합_가정!$E$233,①통합_가정!$E$234,①통합_가정!$E$235))</f>
        <v>0</v>
      </c>
      <c r="DW38" s="37" t="n">
        <f aca="false">(DW14=1)*①통합_가정!$H$38*①통합_가정!$E$227*①통합_가정!$E$228/1000*(1+①통합_가정!$E$230)^INT((DW15-1)/①통합_가정!$E$231)*(1-CHOOSE(MIN(MAX(DW16,1),3),①통합_가정!$E$233,①통합_가정!$E$234,①통합_가정!$E$235))</f>
        <v>0</v>
      </c>
      <c r="DX38" s="37" t="n">
        <f aca="false">(DX14=1)*①통합_가정!$H$38*①통합_가정!$E$227*①통합_가정!$E$228/1000*(1+①통합_가정!$E$230)^INT((DX15-1)/①통합_가정!$E$231)*(1-CHOOSE(MIN(MAX(DX16,1),3),①통합_가정!$E$233,①통합_가정!$E$234,①통합_가정!$E$235))</f>
        <v>0</v>
      </c>
      <c r="DY38" s="37" t="n">
        <f aca="false">(DY14=1)*①통합_가정!$H$38*①통합_가정!$E$227*①통합_가정!$E$228/1000*(1+①통합_가정!$E$230)^INT((DY15-1)/①통합_가정!$E$231)*(1-CHOOSE(MIN(MAX(DY16,1),3),①통합_가정!$E$233,①통합_가정!$E$234,①통합_가정!$E$235))</f>
        <v>0</v>
      </c>
      <c r="DZ38" s="37" t="n">
        <f aca="false">(DZ14=1)*①통합_가정!$H$38*①통합_가정!$E$227*①통합_가정!$E$228/1000*(1+①통합_가정!$E$230)^INT((DZ15-1)/①통합_가정!$E$231)*(1-CHOOSE(MIN(MAX(DZ16,1),3),①통합_가정!$E$233,①통합_가정!$E$234,①통합_가정!$E$235))</f>
        <v>0</v>
      </c>
      <c r="EA38" s="37" t="n">
        <f aca="false">(EA14=1)*①통합_가정!$H$38*①통합_가정!$E$227*①통합_가정!$E$228/1000*(1+①통합_가정!$E$230)^INT((EA15-1)/①통합_가정!$E$231)*(1-CHOOSE(MIN(MAX(EA16,1),3),①통합_가정!$E$233,①통합_가정!$E$234,①통합_가정!$E$235))</f>
        <v>0</v>
      </c>
      <c r="EB38" s="37" t="n">
        <f aca="false">(EB14=1)*①통합_가정!$H$38*①통합_가정!$E$227*①통합_가정!$E$228/1000*(1+①통합_가정!$E$230)^INT((EB15-1)/①통합_가정!$E$231)*(1-CHOOSE(MIN(MAX(EB16,1),3),①통합_가정!$E$233,①통합_가정!$E$234,①통합_가정!$E$235))</f>
        <v>0</v>
      </c>
      <c r="EC38" s="37" t="n">
        <f aca="false">(EC14=1)*①통합_가정!$H$38*①통합_가정!$E$227*①통합_가정!$E$228/1000*(1+①통합_가정!$E$230)^INT((EC15-1)/①통합_가정!$E$231)*(1-CHOOSE(MIN(MAX(EC16,1),3),①통합_가정!$E$233,①통합_가정!$E$234,①통합_가정!$E$235))</f>
        <v>0</v>
      </c>
      <c r="ED38" s="37" t="n">
        <f aca="false">(ED14=1)*①통합_가정!$H$38*①통합_가정!$E$227*①통합_가정!$E$228/1000*(1+①통합_가정!$E$230)^INT((ED15-1)/①통합_가정!$E$231)*(1-CHOOSE(MIN(MAX(ED16,1),3),①통합_가정!$E$233,①통합_가정!$E$234,①통합_가정!$E$235))</f>
        <v>0</v>
      </c>
      <c r="EE38" s="37" t="n">
        <f aca="false">(EE14=1)*①통합_가정!$H$38*①통합_가정!$E$227*①통합_가정!$E$228/1000*(1+①통합_가정!$E$230)^INT((EE15-1)/①통합_가정!$E$231)*(1-CHOOSE(MIN(MAX(EE16,1),3),①통합_가정!$E$233,①통합_가정!$E$234,①통합_가정!$E$235))</f>
        <v>0</v>
      </c>
      <c r="EF38" s="37" t="n">
        <f aca="false">(EF14=1)*①통합_가정!$H$38*①통합_가정!$E$227*①통합_가정!$E$228/1000*(1+①통합_가정!$E$230)^INT((EF15-1)/①통합_가정!$E$231)*(1-CHOOSE(MIN(MAX(EF16,1),3),①통합_가정!$E$233,①통합_가정!$E$234,①통합_가정!$E$235))</f>
        <v>0</v>
      </c>
    </row>
    <row r="39" customFormat="false" ht="15" hidden="false" customHeight="false" outlineLevel="0" collapsed="false">
      <c r="A39" s="36" t="s">
        <v>589</v>
      </c>
      <c r="B39" s="278" t="s">
        <v>21</v>
      </c>
      <c r="C39" s="279" t="n">
        <f aca="false">SUM(E39:EF39)</f>
        <v>4436.2652174185</v>
      </c>
      <c r="E39" s="37" t="n">
        <f aca="false">(E14=1)*①통합_가정!$H$38*①통합_가정!$E$240*①통합_가정!$E$241/1000*(1+①통합_가정!$E$243)^INT((E15-1)/①통합_가정!$E$244)*(1-CHOOSE(MIN(MAX(E16,1),3),①통합_가정!$E$246,①통합_가정!$E$247,①통합_가정!$E$248))</f>
        <v>0</v>
      </c>
      <c r="F39" s="37" t="n">
        <f aca="false">(F14=1)*①통합_가정!$H$38*①통합_가정!$E$240*①통합_가정!$E$241/1000*(1+①통합_가정!$E$243)^INT((F15-1)/①통합_가정!$E$244)*(1-CHOOSE(MIN(MAX(F16,1),3),①통합_가정!$E$246,①통합_가정!$E$247,①통합_가정!$E$248))</f>
        <v>0</v>
      </c>
      <c r="G39" s="37" t="n">
        <f aca="false">(G14=1)*①통합_가정!$H$38*①통합_가정!$E$240*①통합_가정!$E$241/1000*(1+①통합_가정!$E$243)^INT((G15-1)/①통합_가정!$E$244)*(1-CHOOSE(MIN(MAX(G16,1),3),①통합_가정!$E$246,①통합_가정!$E$247,①통합_가정!$E$248))</f>
        <v>0</v>
      </c>
      <c r="H39" s="37" t="n">
        <f aca="false">(H14=1)*①통합_가정!$H$38*①통합_가정!$E$240*①통합_가정!$E$241/1000*(1+①통합_가정!$E$243)^INT((H15-1)/①통합_가정!$E$244)*(1-CHOOSE(MIN(MAX(H16,1),3),①통합_가정!$E$246,①통합_가정!$E$247,①통합_가정!$E$248))</f>
        <v>0</v>
      </c>
      <c r="I39" s="37" t="n">
        <f aca="false">(I14=1)*①통합_가정!$H$38*①통합_가정!$E$240*①통합_가정!$E$241/1000*(1+①통합_가정!$E$243)^INT((I15-1)/①통합_가정!$E$244)*(1-CHOOSE(MIN(MAX(I16,1),3),①통합_가정!$E$246,①통합_가정!$E$247,①통합_가정!$E$248))</f>
        <v>0</v>
      </c>
      <c r="J39" s="37" t="n">
        <f aca="false">(J14=1)*①통합_가정!$H$38*①통합_가정!$E$240*①통합_가정!$E$241/1000*(1+①통합_가정!$E$243)^INT((J15-1)/①통합_가정!$E$244)*(1-CHOOSE(MIN(MAX(J16,1),3),①통합_가정!$E$246,①통합_가정!$E$247,①통합_가정!$E$248))</f>
        <v>0</v>
      </c>
      <c r="K39" s="37" t="n">
        <f aca="false">(K14=1)*①통합_가정!$H$38*①통합_가정!$E$240*①통합_가정!$E$241/1000*(1+①통합_가정!$E$243)^INT((K15-1)/①통합_가정!$E$244)*(1-CHOOSE(MIN(MAX(K16,1),3),①통합_가정!$E$246,①통합_가정!$E$247,①통합_가정!$E$248))</f>
        <v>0</v>
      </c>
      <c r="L39" s="37" t="n">
        <f aca="false">(L14=1)*①통합_가정!$H$38*①통합_가정!$E$240*①통합_가정!$E$241/1000*(1+①통합_가정!$E$243)^INT((L15-1)/①통합_가정!$E$244)*(1-CHOOSE(MIN(MAX(L16,1),3),①통합_가정!$E$246,①통합_가정!$E$247,①통합_가정!$E$248))</f>
        <v>0</v>
      </c>
      <c r="M39" s="37" t="n">
        <f aca="false">(M14=1)*①통합_가정!$H$38*①통합_가정!$E$240*①통합_가정!$E$241/1000*(1+①통합_가정!$E$243)^INT((M15-1)/①통합_가정!$E$244)*(1-CHOOSE(MIN(MAX(M16,1),3),①통합_가정!$E$246,①통합_가정!$E$247,①통합_가정!$E$248))</f>
        <v>0</v>
      </c>
      <c r="N39" s="37" t="n">
        <f aca="false">(N14=1)*①통합_가정!$H$38*①통합_가정!$E$240*①통합_가정!$E$241/1000*(1+①통합_가정!$E$243)^INT((N15-1)/①통합_가정!$E$244)*(1-CHOOSE(MIN(MAX(N16,1),3),①통합_가정!$E$246,①통합_가정!$E$247,①통합_가정!$E$248))</f>
        <v>0</v>
      </c>
      <c r="O39" s="37" t="n">
        <f aca="false">(O14=1)*①통합_가정!$H$38*①통합_가정!$E$240*①통합_가정!$E$241/1000*(1+①통합_가정!$E$243)^INT((O15-1)/①통합_가정!$E$244)*(1-CHOOSE(MIN(MAX(O16,1),3),①통합_가정!$E$246,①통합_가정!$E$247,①통합_가정!$E$248))</f>
        <v>0</v>
      </c>
      <c r="P39" s="37" t="n">
        <f aca="false">(P14=1)*①통합_가정!$H$38*①통합_가정!$E$240*①통합_가정!$E$241/1000*(1+①통합_가정!$E$243)^INT((P15-1)/①통합_가정!$E$244)*(1-CHOOSE(MIN(MAX(P16,1),3),①통합_가정!$E$246,①통합_가정!$E$247,①통합_가정!$E$248))</f>
        <v>0</v>
      </c>
      <c r="Q39" s="37" t="n">
        <f aca="false">(Q14=1)*①통합_가정!$H$38*①통합_가정!$E$240*①통합_가정!$E$241/1000*(1+①통합_가정!$E$243)^INT((Q15-1)/①통합_가정!$E$244)*(1-CHOOSE(MIN(MAX(Q16,1),3),①통합_가정!$E$246,①통합_가정!$E$247,①통합_가정!$E$248))</f>
        <v>0</v>
      </c>
      <c r="R39" s="37" t="n">
        <f aca="false">(R14=1)*①통합_가정!$H$38*①통합_가정!$E$240*①통합_가정!$E$241/1000*(1+①통합_가정!$E$243)^INT((R15-1)/①통합_가정!$E$244)*(1-CHOOSE(MIN(MAX(R16,1),3),①통합_가정!$E$246,①통합_가정!$E$247,①통합_가정!$E$248))</f>
        <v>0</v>
      </c>
      <c r="S39" s="37" t="n">
        <f aca="false">(S14=1)*①통합_가정!$H$38*①통합_가정!$E$240*①통합_가정!$E$241/1000*(1+①통합_가정!$E$243)^INT((S15-1)/①통합_가정!$E$244)*(1-CHOOSE(MIN(MAX(S16,1),3),①통합_가정!$E$246,①통합_가정!$E$247,①통합_가정!$E$248))</f>
        <v>0</v>
      </c>
      <c r="T39" s="37" t="n">
        <f aca="false">(T14=1)*①통합_가정!$H$38*①통합_가정!$E$240*①통합_가정!$E$241/1000*(1+①통합_가정!$E$243)^INT((T15-1)/①통합_가정!$E$244)*(1-CHOOSE(MIN(MAX(T16,1),3),①통합_가정!$E$246,①통합_가정!$E$247,①통합_가정!$E$248))</f>
        <v>0</v>
      </c>
      <c r="U39" s="37" t="n">
        <f aca="false">(U14=1)*①통합_가정!$H$38*①통합_가정!$E$240*①통합_가정!$E$241/1000*(1+①통합_가정!$E$243)^INT((U15-1)/①통합_가정!$E$244)*(1-CHOOSE(MIN(MAX(U16,1),3),①통합_가정!$E$246,①통합_가정!$E$247,①통합_가정!$E$248))</f>
        <v>0</v>
      </c>
      <c r="V39" s="37" t="n">
        <f aca="false">(V14=1)*①통합_가정!$H$38*①통합_가정!$E$240*①통합_가정!$E$241/1000*(1+①통합_가정!$E$243)^INT((V15-1)/①통합_가정!$E$244)*(1-CHOOSE(MIN(MAX(V16,1),3),①통합_가정!$E$246,①통합_가정!$E$247,①통합_가정!$E$248))</f>
        <v>0</v>
      </c>
      <c r="W39" s="37" t="n">
        <f aca="false">(W14=1)*①통합_가정!$H$38*①통합_가정!$E$240*①통합_가정!$E$241/1000*(1+①통합_가정!$E$243)^INT((W15-1)/①통합_가정!$E$244)*(1-CHOOSE(MIN(MAX(W16,1),3),①통합_가정!$E$246,①통합_가정!$E$247,①통합_가정!$E$248))</f>
        <v>0</v>
      </c>
      <c r="X39" s="37" t="n">
        <f aca="false">(X14=1)*①통합_가정!$H$38*①통합_가정!$E$240*①통합_가정!$E$241/1000*(1+①통합_가정!$E$243)^INT((X15-1)/①통합_가정!$E$244)*(1-CHOOSE(MIN(MAX(X16,1),3),①통합_가정!$E$246,①통합_가정!$E$247,①통합_가정!$E$248))</f>
        <v>0</v>
      </c>
      <c r="Y39" s="37" t="n">
        <f aca="false">(Y14=1)*①통합_가정!$H$38*①통합_가정!$E$240*①통합_가정!$E$241/1000*(1+①통합_가정!$E$243)^INT((Y15-1)/①통합_가정!$E$244)*(1-CHOOSE(MIN(MAX(Y16,1),3),①통합_가정!$E$246,①통합_가정!$E$247,①통합_가정!$E$248))</f>
        <v>0</v>
      </c>
      <c r="Z39" s="37" t="n">
        <f aca="false">(Z14=1)*①통합_가정!$H$38*①통합_가정!$E$240*①통합_가정!$E$241/1000*(1+①통합_가정!$E$243)^INT((Z15-1)/①통합_가정!$E$244)*(1-CHOOSE(MIN(MAX(Z16,1),3),①통합_가정!$E$246,①통합_가정!$E$247,①통합_가정!$E$248))</f>
        <v>0</v>
      </c>
      <c r="AA39" s="37" t="n">
        <f aca="false">(AA14=1)*①통합_가정!$H$38*①통합_가정!$E$240*①통합_가정!$E$241/1000*(1+①통합_가정!$E$243)^INT((AA15-1)/①통합_가정!$E$244)*(1-CHOOSE(MIN(MAX(AA16,1),3),①통합_가정!$E$246,①통합_가정!$E$247,①통합_가정!$E$248))</f>
        <v>0</v>
      </c>
      <c r="AB39" s="37" t="n">
        <f aca="false">(AB14=1)*①통합_가정!$H$38*①통합_가정!$E$240*①통합_가정!$E$241/1000*(1+①통합_가정!$E$243)^INT((AB15-1)/①통합_가정!$E$244)*(1-CHOOSE(MIN(MAX(AB16,1),3),①통합_가정!$E$246,①통합_가정!$E$247,①통합_가정!$E$248))</f>
        <v>0</v>
      </c>
      <c r="AC39" s="37" t="n">
        <f aca="false">(AC14=1)*①통합_가정!$H$38*①통합_가정!$E$240*①통합_가정!$E$241/1000*(1+①통합_가정!$E$243)^INT((AC15-1)/①통합_가정!$E$244)*(1-CHOOSE(MIN(MAX(AC16,1),3),①통합_가정!$E$246,①통합_가정!$E$247,①통합_가정!$E$248))</f>
        <v>0</v>
      </c>
      <c r="AD39" s="37" t="n">
        <f aca="false">(AD14=1)*①통합_가정!$H$38*①통합_가정!$E$240*①통합_가정!$E$241/1000*(1+①통합_가정!$E$243)^INT((AD15-1)/①통합_가정!$E$244)*(1-CHOOSE(MIN(MAX(AD16,1),3),①통합_가정!$E$246,①통합_가정!$E$247,①통합_가정!$E$248))</f>
        <v>0</v>
      </c>
      <c r="AE39" s="37" t="n">
        <f aca="false">(AE14=1)*①통합_가정!$H$38*①통합_가정!$E$240*①통합_가정!$E$241/1000*(1+①통합_가정!$E$243)^INT((AE15-1)/①통합_가정!$E$244)*(1-CHOOSE(MIN(MAX(AE16,1),3),①통합_가정!$E$246,①통합_가정!$E$247,①통합_가정!$E$248))</f>
        <v>0</v>
      </c>
      <c r="AF39" s="37" t="n">
        <f aca="false">(AF14=1)*①통합_가정!$H$38*①통합_가정!$E$240*①통합_가정!$E$241/1000*(1+①통합_가정!$E$243)^INT((AF15-1)/①통합_가정!$E$244)*(1-CHOOSE(MIN(MAX(AF16,1),3),①통합_가정!$E$246,①통합_가정!$E$247,①통합_가정!$E$248))</f>
        <v>0</v>
      </c>
      <c r="AG39" s="37" t="n">
        <f aca="false">(AG14=1)*①통합_가정!$H$38*①통합_가정!$E$240*①통합_가정!$E$241/1000*(1+①통합_가정!$E$243)^INT((AG15-1)/①통합_가정!$E$244)*(1-CHOOSE(MIN(MAX(AG16,1),3),①통합_가정!$E$246,①통합_가정!$E$247,①통합_가정!$E$248))</f>
        <v>0</v>
      </c>
      <c r="AH39" s="37" t="n">
        <f aca="false">(AH14=1)*①통합_가정!$H$38*①통합_가정!$E$240*①통합_가정!$E$241/1000*(1+①통합_가정!$E$243)^INT((AH15-1)/①통합_가정!$E$244)*(1-CHOOSE(MIN(MAX(AH16,1),3),①통합_가정!$E$246,①통합_가정!$E$247,①통합_가정!$E$248))</f>
        <v>0</v>
      </c>
      <c r="AI39" s="37" t="n">
        <f aca="false">(AI14=1)*①통합_가정!$H$38*①통합_가정!$E$240*①통합_가정!$E$241/1000*(1+①통합_가정!$E$243)^INT((AI15-1)/①통합_가정!$E$244)*(1-CHOOSE(MIN(MAX(AI16,1),3),①통합_가정!$E$246,①통합_가정!$E$247,①통합_가정!$E$248))</f>
        <v>0</v>
      </c>
      <c r="AJ39" s="37" t="n">
        <f aca="false">(AJ14=1)*①통합_가정!$H$38*①통합_가정!$E$240*①통합_가정!$E$241/1000*(1+①통합_가정!$E$243)^INT((AJ15-1)/①통합_가정!$E$244)*(1-CHOOSE(MIN(MAX(AJ16,1),3),①통합_가정!$E$246,①통합_가정!$E$247,①통합_가정!$E$248))</f>
        <v>0</v>
      </c>
      <c r="AK39" s="37" t="n">
        <f aca="false">(AK14=1)*①통합_가정!$H$38*①통합_가정!$E$240*①통합_가정!$E$241/1000*(1+①통합_가정!$E$243)^INT((AK15-1)/①통합_가정!$E$244)*(1-CHOOSE(MIN(MAX(AK16,1),3),①통합_가정!$E$246,①통합_가정!$E$247,①통합_가정!$E$248))</f>
        <v>0</v>
      </c>
      <c r="AL39" s="37" t="n">
        <f aca="false">(AL14=1)*①통합_가정!$H$38*①통합_가정!$E$240*①통합_가정!$E$241/1000*(1+①통합_가정!$E$243)^INT((AL15-1)/①통합_가정!$E$244)*(1-CHOOSE(MIN(MAX(AL16,1),3),①통합_가정!$E$246,①통합_가정!$E$247,①통합_가정!$E$248))</f>
        <v>0</v>
      </c>
      <c r="AM39" s="37" t="n">
        <f aca="false">(AM14=1)*①통합_가정!$H$38*①통합_가정!$E$240*①통합_가정!$E$241/1000*(1+①통합_가정!$E$243)^INT((AM15-1)/①통합_가정!$E$244)*(1-CHOOSE(MIN(MAX(AM16,1),3),①통합_가정!$E$246,①통합_가정!$E$247,①통합_가정!$E$248))</f>
        <v>0</v>
      </c>
      <c r="AN39" s="37" t="n">
        <f aca="false">(AN14=1)*①통합_가정!$H$38*①통합_가정!$E$240*①통합_가정!$E$241/1000*(1+①통합_가정!$E$243)^INT((AN15-1)/①통합_가정!$E$244)*(1-CHOOSE(MIN(MAX(AN16,1),3),①통합_가정!$E$246,①통합_가정!$E$247,①통합_가정!$E$248))</f>
        <v>0</v>
      </c>
      <c r="AO39" s="37" t="n">
        <f aca="false">(AO14=1)*①통합_가정!$H$38*①통합_가정!$E$240*①통합_가정!$E$241/1000*(1+①통합_가정!$E$243)^INT((AO15-1)/①통합_가정!$E$244)*(1-CHOOSE(MIN(MAX(AO16,1),3),①통합_가정!$E$246,①통합_가정!$E$247,①통합_가정!$E$248))</f>
        <v>0</v>
      </c>
      <c r="AP39" s="37" t="n">
        <f aca="false">(AP14=1)*①통합_가정!$H$38*①통합_가정!$E$240*①통합_가정!$E$241/1000*(1+①통합_가정!$E$243)^INT((AP15-1)/①통합_가정!$E$244)*(1-CHOOSE(MIN(MAX(AP16,1),3),①통합_가정!$E$246,①통합_가정!$E$247,①통합_가정!$E$248))</f>
        <v>0</v>
      </c>
      <c r="AQ39" s="37" t="n">
        <f aca="false">(AQ14=1)*①통합_가정!$H$38*①통합_가정!$E$240*①통합_가정!$E$241/1000*(1+①통합_가정!$E$243)^INT((AQ15-1)/①통합_가정!$E$244)*(1-CHOOSE(MIN(MAX(AQ16,1),3),①통합_가정!$E$246,①통합_가정!$E$247,①통합_가정!$E$248))</f>
        <v>0</v>
      </c>
      <c r="AR39" s="37" t="n">
        <f aca="false">(AR14=1)*①통합_가정!$H$38*①통합_가정!$E$240*①통합_가정!$E$241/1000*(1+①통합_가정!$E$243)^INT((AR15-1)/①통합_가정!$E$244)*(1-CHOOSE(MIN(MAX(AR16,1),3),①통합_가정!$E$246,①통합_가정!$E$247,①통합_가정!$E$248))</f>
        <v>0</v>
      </c>
      <c r="AS39" s="37" t="n">
        <f aca="false">(AS14=1)*①통합_가정!$H$38*①통합_가정!$E$240*①통합_가정!$E$241/1000*(1+①통합_가정!$E$243)^INT((AS15-1)/①통합_가정!$E$244)*(1-CHOOSE(MIN(MAX(AS16,1),3),①통합_가정!$E$246,①통합_가정!$E$247,①통합_가정!$E$248))</f>
        <v>0</v>
      </c>
      <c r="AT39" s="37" t="n">
        <f aca="false">(AT14=1)*①통합_가정!$H$38*①통합_가정!$E$240*①통합_가정!$E$241/1000*(1+①통합_가정!$E$243)^INT((AT15-1)/①통합_가정!$E$244)*(1-CHOOSE(MIN(MAX(AT16,1),3),①통합_가정!$E$246,①통합_가정!$E$247,①통합_가정!$E$248))</f>
        <v>0</v>
      </c>
      <c r="AU39" s="37" t="n">
        <f aca="false">(AU14=1)*①통합_가정!$H$38*①통합_가정!$E$240*①통합_가정!$E$241/1000*(1+①통합_가정!$E$243)^INT((AU15-1)/①통합_가정!$E$244)*(1-CHOOSE(MIN(MAX(AU16,1),3),①통합_가정!$E$246,①통합_가정!$E$247,①통합_가정!$E$248))</f>
        <v>0</v>
      </c>
      <c r="AV39" s="37" t="n">
        <f aca="false">(AV14=1)*①통합_가정!$H$38*①통합_가정!$E$240*①통합_가정!$E$241/1000*(1+①통합_가정!$E$243)^INT((AV15-1)/①통합_가정!$E$244)*(1-CHOOSE(MIN(MAX(AV16,1),3),①통합_가정!$E$246,①통합_가정!$E$247,①통합_가정!$E$248))</f>
        <v>0</v>
      </c>
      <c r="AW39" s="37" t="n">
        <f aca="false">(AW14=1)*①통합_가정!$H$38*①통합_가정!$E$240*①통합_가정!$E$241/1000*(1+①통합_가정!$E$243)^INT((AW15-1)/①통합_가정!$E$244)*(1-CHOOSE(MIN(MAX(AW16,1),3),①통합_가정!$E$246,①통합_가정!$E$247,①통합_가정!$E$248))</f>
        <v>0</v>
      </c>
      <c r="AX39" s="37" t="n">
        <f aca="false">(AX14=1)*①통합_가정!$H$38*①통합_가정!$E$240*①통합_가정!$E$241/1000*(1+①통합_가정!$E$243)^INT((AX15-1)/①통합_가정!$E$244)*(1-CHOOSE(MIN(MAX(AX16,1),3),①통합_가정!$E$246,①통합_가정!$E$247,①통합_가정!$E$248))</f>
        <v>0</v>
      </c>
      <c r="AY39" s="37" t="n">
        <f aca="false">(AY14=1)*①통합_가정!$H$38*①통합_가정!$E$240*①통합_가정!$E$241/1000*(1+①통합_가정!$E$243)^INT((AY15-1)/①통합_가정!$E$244)*(1-CHOOSE(MIN(MAX(AY16,1),3),①통합_가정!$E$246,①통합_가정!$E$247,①통합_가정!$E$248))</f>
        <v>0</v>
      </c>
      <c r="AZ39" s="37" t="n">
        <f aca="false">(AZ14=1)*①통합_가정!$H$38*①통합_가정!$E$240*①통합_가정!$E$241/1000*(1+①통합_가정!$E$243)^INT((AZ15-1)/①통합_가정!$E$244)*(1-CHOOSE(MIN(MAX(AZ16,1),3),①통합_가정!$E$246,①통합_가정!$E$247,①통합_가정!$E$248))</f>
        <v>0</v>
      </c>
      <c r="BA39" s="37" t="n">
        <f aca="false">(BA14=1)*①통합_가정!$H$38*①통합_가정!$E$240*①통합_가정!$E$241/1000*(1+①통합_가정!$E$243)^INT((BA15-1)/①통합_가정!$E$244)*(1-CHOOSE(MIN(MAX(BA16,1),3),①통합_가정!$E$246,①통합_가정!$E$247,①통합_가정!$E$248))</f>
        <v>0</v>
      </c>
      <c r="BB39" s="37" t="n">
        <f aca="false">(BB14=1)*①통합_가정!$H$38*①통합_가정!$E$240*①통합_가정!$E$241/1000*(1+①통합_가정!$E$243)^INT((BB15-1)/①통합_가정!$E$244)*(1-CHOOSE(MIN(MAX(BB16,1),3),①통합_가정!$E$246,①통합_가정!$E$247,①통합_가정!$E$248))</f>
        <v>0</v>
      </c>
      <c r="BC39" s="37" t="n">
        <f aca="false">(BC14=1)*①통합_가정!$H$38*①통합_가정!$E$240*①통합_가정!$E$241/1000*(1+①통합_가정!$E$243)^INT((BC15-1)/①통합_가정!$E$244)*(1-CHOOSE(MIN(MAX(BC16,1),3),①통합_가정!$E$246,①통합_가정!$E$247,①통합_가정!$E$248))</f>
        <v>0</v>
      </c>
      <c r="BD39" s="37" t="n">
        <f aca="false">(BD14=1)*①통합_가정!$H$38*①통합_가정!$E$240*①통합_가정!$E$241/1000*(1+①통합_가정!$E$243)^INT((BD15-1)/①통합_가정!$E$244)*(1-CHOOSE(MIN(MAX(BD16,1),3),①통합_가정!$E$246,①통합_가정!$E$247,①통합_가정!$E$248))</f>
        <v>0</v>
      </c>
      <c r="BE39" s="37" t="n">
        <f aca="false">(BE14=1)*①통합_가정!$H$38*①통합_가정!$E$240*①통합_가정!$E$241/1000*(1+①통합_가정!$E$243)^INT((BE15-1)/①통합_가정!$E$244)*(1-CHOOSE(MIN(MAX(BE16,1),3),①통합_가정!$E$246,①통합_가정!$E$247,①통합_가정!$E$248))</f>
        <v>0</v>
      </c>
      <c r="BF39" s="37" t="n">
        <f aca="false">(BF14=1)*①통합_가정!$H$38*①통합_가정!$E$240*①통합_가정!$E$241/1000*(1+①통합_가정!$E$243)^INT((BF15-1)/①통합_가정!$E$244)*(1-CHOOSE(MIN(MAX(BF16,1),3),①통합_가정!$E$246,①통합_가정!$E$247,①통합_가정!$E$248))</f>
        <v>0</v>
      </c>
      <c r="BG39" s="37" t="n">
        <f aca="false">(BG14=1)*①통합_가정!$H$38*①통합_가정!$E$240*①통합_가정!$E$241/1000*(1+①통합_가정!$E$243)^INT((BG15-1)/①통합_가정!$E$244)*(1-CHOOSE(MIN(MAX(BG16,1),3),①통합_가정!$E$246,①통합_가정!$E$247,①통합_가정!$E$248))</f>
        <v>0</v>
      </c>
      <c r="BH39" s="37" t="n">
        <f aca="false">(BH14=1)*①통합_가정!$H$38*①통합_가정!$E$240*①통합_가정!$E$241/1000*(1+①통합_가정!$E$243)^INT((BH15-1)/①통합_가정!$E$244)*(1-CHOOSE(MIN(MAX(BH16,1),3),①통합_가정!$E$246,①통합_가정!$E$247,①통합_가정!$E$248))</f>
        <v>0</v>
      </c>
      <c r="BI39" s="37" t="n">
        <f aca="false">(BI14=1)*①통합_가정!$H$38*①통합_가정!$E$240*①통합_가정!$E$241/1000*(1+①통합_가정!$E$243)^INT((BI15-1)/①통합_가정!$E$244)*(1-CHOOSE(MIN(MAX(BI16,1),3),①통합_가정!$E$246,①통합_가정!$E$247,①통합_가정!$E$248))</f>
        <v>0</v>
      </c>
      <c r="BJ39" s="37" t="n">
        <f aca="false">(BJ14=1)*①통합_가정!$H$38*①통합_가정!$E$240*①통합_가정!$E$241/1000*(1+①통합_가정!$E$243)^INT((BJ15-1)/①통합_가정!$E$244)*(1-CHOOSE(MIN(MAX(BJ16,1),3),①통합_가정!$E$246,①통합_가정!$E$247,①통합_가정!$E$248))</f>
        <v>0</v>
      </c>
      <c r="BK39" s="37" t="n">
        <f aca="false">(BK14=1)*①통합_가정!$H$38*①통합_가정!$E$240*①통합_가정!$E$241/1000*(1+①통합_가정!$E$243)^INT((BK15-1)/①통합_가정!$E$244)*(1-CHOOSE(MIN(MAX(BK16,1),3),①통합_가정!$E$246,①통합_가정!$E$247,①통합_가정!$E$248))</f>
        <v>0</v>
      </c>
      <c r="BL39" s="37" t="n">
        <f aca="false">(BL14=1)*①통합_가정!$H$38*①통합_가정!$E$240*①통합_가정!$E$241/1000*(1+①통합_가정!$E$243)^INT((BL15-1)/①통합_가정!$E$244)*(1-CHOOSE(MIN(MAX(BL16,1),3),①통합_가정!$E$246,①통합_가정!$E$247,①통합_가정!$E$248))</f>
        <v>0</v>
      </c>
      <c r="BM39" s="37" t="n">
        <f aca="false">(BM14=1)*①통합_가정!$H$38*①통합_가정!$E$240*①통합_가정!$E$241/1000*(1+①통합_가정!$E$243)^INT((BM15-1)/①통합_가정!$E$244)*(1-CHOOSE(MIN(MAX(BM16,1),3),①통합_가정!$E$246,①통합_가정!$E$247,①통합_가정!$E$248))</f>
        <v>71.0388</v>
      </c>
      <c r="BN39" s="37" t="n">
        <f aca="false">(BN14=1)*①통합_가정!$H$38*①통합_가정!$E$240*①통합_가정!$E$241/1000*(1+①통합_가정!$E$243)^INT((BN15-1)/①통합_가정!$E$244)*(1-CHOOSE(MIN(MAX(BN16,1),3),①통합_가정!$E$246,①통합_가정!$E$247,①통합_가정!$E$248))</f>
        <v>71.0388</v>
      </c>
      <c r="BO39" s="37" t="n">
        <f aca="false">(BO14=1)*①통합_가정!$H$38*①통합_가정!$E$240*①통합_가정!$E$241/1000*(1+①통합_가정!$E$243)^INT((BO15-1)/①통합_가정!$E$244)*(1-CHOOSE(MIN(MAX(BO16,1),3),①통합_가정!$E$246,①통합_가정!$E$247,①통합_가정!$E$248))</f>
        <v>71.0388</v>
      </c>
      <c r="BP39" s="37" t="n">
        <f aca="false">(BP14=1)*①통합_가정!$H$38*①통합_가정!$E$240*①통합_가정!$E$241/1000*(1+①통합_가정!$E$243)^INT((BP15-1)/①통합_가정!$E$244)*(1-CHOOSE(MIN(MAX(BP16,1),3),①통합_가정!$E$246,①통합_가정!$E$247,①통합_가정!$E$248))</f>
        <v>71.0388</v>
      </c>
      <c r="BQ39" s="37" t="n">
        <f aca="false">(BQ14=1)*①통합_가정!$H$38*①통합_가정!$E$240*①통합_가정!$E$241/1000*(1+①통합_가정!$E$243)^INT((BQ15-1)/①통합_가정!$E$244)*(1-CHOOSE(MIN(MAX(BQ16,1),3),①통합_가정!$E$246,①통합_가정!$E$247,①통합_가정!$E$248))</f>
        <v>71.0388</v>
      </c>
      <c r="BR39" s="37" t="n">
        <f aca="false">(BR14=1)*①통합_가정!$H$38*①통합_가정!$E$240*①통합_가정!$E$241/1000*(1+①통합_가정!$E$243)^INT((BR15-1)/①통합_가정!$E$244)*(1-CHOOSE(MIN(MAX(BR16,1),3),①통합_가정!$E$246,①통합_가정!$E$247,①통합_가정!$E$248))</f>
        <v>71.0388</v>
      </c>
      <c r="BS39" s="37" t="n">
        <f aca="false">(BS14=1)*①통합_가정!$H$38*①통합_가정!$E$240*①통합_가정!$E$241/1000*(1+①통합_가정!$E$243)^INT((BS15-1)/①통합_가정!$E$244)*(1-CHOOSE(MIN(MAX(BS16,1),3),①통합_가정!$E$246,①통합_가정!$E$247,①통합_가정!$E$248))</f>
        <v>71.0388</v>
      </c>
      <c r="BT39" s="37" t="n">
        <f aca="false">(BT14=1)*①통합_가정!$H$38*①통합_가정!$E$240*①통합_가정!$E$241/1000*(1+①통합_가정!$E$243)^INT((BT15-1)/①통합_가정!$E$244)*(1-CHOOSE(MIN(MAX(BT16,1),3),①통합_가정!$E$246,①통합_가정!$E$247,①통합_가정!$E$248))</f>
        <v>71.0388</v>
      </c>
      <c r="BU39" s="37" t="n">
        <f aca="false">(BU14=1)*①통합_가정!$H$38*①통합_가정!$E$240*①통합_가정!$E$241/1000*(1+①통합_가정!$E$243)^INT((BU15-1)/①통합_가정!$E$244)*(1-CHOOSE(MIN(MAX(BU16,1),3),①통합_가정!$E$246,①통합_가정!$E$247,①통합_가정!$E$248))</f>
        <v>71.0388</v>
      </c>
      <c r="BV39" s="37" t="n">
        <f aca="false">(BV14=1)*①통합_가정!$H$38*①통합_가정!$E$240*①통합_가정!$E$241/1000*(1+①통합_가정!$E$243)^INT((BV15-1)/①통합_가정!$E$244)*(1-CHOOSE(MIN(MAX(BV16,1),3),①통합_가정!$E$246,①통합_가정!$E$247,①통합_가정!$E$248))</f>
        <v>71.0388</v>
      </c>
      <c r="BW39" s="37" t="n">
        <f aca="false">(BW14=1)*①통합_가정!$H$38*①통합_가정!$E$240*①통합_가정!$E$241/1000*(1+①통합_가정!$E$243)^INT((BW15-1)/①통합_가정!$E$244)*(1-CHOOSE(MIN(MAX(BW16,1),3),①통합_가정!$E$246,①통합_가정!$E$247,①통합_가정!$E$248))</f>
        <v>71.0388</v>
      </c>
      <c r="BX39" s="37" t="n">
        <f aca="false">(BX14=1)*①통합_가정!$H$38*①통합_가정!$E$240*①통합_가정!$E$241/1000*(1+①통합_가정!$E$243)^INT((BX15-1)/①통합_가정!$E$244)*(1-CHOOSE(MIN(MAX(BX16,1),3),①통합_가정!$E$246,①통합_가정!$E$247,①통합_가정!$E$248))</f>
        <v>71.0388</v>
      </c>
      <c r="BY39" s="37" t="n">
        <f aca="false">(BY14=1)*①통합_가정!$H$38*①통합_가정!$E$240*①통합_가정!$E$241/1000*(1+①통합_가정!$E$243)^INT((BY15-1)/①통합_가정!$E$244)*(1-CHOOSE(MIN(MAX(BY16,1),3),①통합_가정!$E$246,①통합_가정!$E$247,①통합_가정!$E$248))</f>
        <v>72.459576</v>
      </c>
      <c r="BZ39" s="37" t="n">
        <f aca="false">(BZ14=1)*①통합_가정!$H$38*①통합_가정!$E$240*①통합_가정!$E$241/1000*(1+①통합_가정!$E$243)^INT((BZ15-1)/①통합_가정!$E$244)*(1-CHOOSE(MIN(MAX(BZ16,1),3),①통합_가정!$E$246,①통합_가정!$E$247,①통합_가정!$E$248))</f>
        <v>72.459576</v>
      </c>
      <c r="CA39" s="37" t="n">
        <f aca="false">(CA14=1)*①통합_가정!$H$38*①통합_가정!$E$240*①통합_가정!$E$241/1000*(1+①통합_가정!$E$243)^INT((CA15-1)/①통합_가정!$E$244)*(1-CHOOSE(MIN(MAX(CA16,1),3),①통합_가정!$E$246,①통합_가정!$E$247,①통합_가정!$E$248))</f>
        <v>72.459576</v>
      </c>
      <c r="CB39" s="37" t="n">
        <f aca="false">(CB14=1)*①통합_가정!$H$38*①통합_가정!$E$240*①통합_가정!$E$241/1000*(1+①통합_가정!$E$243)^INT((CB15-1)/①통합_가정!$E$244)*(1-CHOOSE(MIN(MAX(CB16,1),3),①통합_가정!$E$246,①통합_가정!$E$247,①통합_가정!$E$248))</f>
        <v>72.459576</v>
      </c>
      <c r="CC39" s="37" t="n">
        <f aca="false">(CC14=1)*①통합_가정!$H$38*①통합_가정!$E$240*①통합_가정!$E$241/1000*(1+①통합_가정!$E$243)^INT((CC15-1)/①통합_가정!$E$244)*(1-CHOOSE(MIN(MAX(CC16,1),3),①통합_가정!$E$246,①통합_가정!$E$247,①통합_가정!$E$248))</f>
        <v>72.459576</v>
      </c>
      <c r="CD39" s="37" t="n">
        <f aca="false">(CD14=1)*①통합_가정!$H$38*①통합_가정!$E$240*①통합_가정!$E$241/1000*(1+①통합_가정!$E$243)^INT((CD15-1)/①통합_가정!$E$244)*(1-CHOOSE(MIN(MAX(CD16,1),3),①통합_가정!$E$246,①통합_가정!$E$247,①통합_가정!$E$248))</f>
        <v>72.459576</v>
      </c>
      <c r="CE39" s="37" t="n">
        <f aca="false">(CE14=1)*①통합_가정!$H$38*①통합_가정!$E$240*①통합_가정!$E$241/1000*(1+①통합_가정!$E$243)^INT((CE15-1)/①통합_가정!$E$244)*(1-CHOOSE(MIN(MAX(CE16,1),3),①통합_가정!$E$246,①통합_가정!$E$247,①통합_가정!$E$248))</f>
        <v>72.459576</v>
      </c>
      <c r="CF39" s="37" t="n">
        <f aca="false">(CF14=1)*①통합_가정!$H$38*①통합_가정!$E$240*①통합_가정!$E$241/1000*(1+①통합_가정!$E$243)^INT((CF15-1)/①통합_가정!$E$244)*(1-CHOOSE(MIN(MAX(CF16,1),3),①통합_가정!$E$246,①통합_가정!$E$247,①통합_가정!$E$248))</f>
        <v>72.459576</v>
      </c>
      <c r="CG39" s="37" t="n">
        <f aca="false">(CG14=1)*①통합_가정!$H$38*①통합_가정!$E$240*①통합_가정!$E$241/1000*(1+①통합_가정!$E$243)^INT((CG15-1)/①통합_가정!$E$244)*(1-CHOOSE(MIN(MAX(CG16,1),3),①통합_가정!$E$246,①통합_가정!$E$247,①통합_가정!$E$248))</f>
        <v>72.459576</v>
      </c>
      <c r="CH39" s="37" t="n">
        <f aca="false">(CH14=1)*①통합_가정!$H$38*①통합_가정!$E$240*①통합_가정!$E$241/1000*(1+①통합_가정!$E$243)^INT((CH15-1)/①통합_가정!$E$244)*(1-CHOOSE(MIN(MAX(CH16,1),3),①통합_가정!$E$246,①통합_가정!$E$247,①통합_가정!$E$248))</f>
        <v>72.459576</v>
      </c>
      <c r="CI39" s="37" t="n">
        <f aca="false">(CI14=1)*①통합_가정!$H$38*①통합_가정!$E$240*①통합_가정!$E$241/1000*(1+①통합_가정!$E$243)^INT((CI15-1)/①통합_가정!$E$244)*(1-CHOOSE(MIN(MAX(CI16,1),3),①통합_가정!$E$246,①통합_가정!$E$247,①통합_가정!$E$248))</f>
        <v>72.459576</v>
      </c>
      <c r="CJ39" s="37" t="n">
        <f aca="false">(CJ14=1)*①통합_가정!$H$38*①통합_가정!$E$240*①통합_가정!$E$241/1000*(1+①통합_가정!$E$243)^INT((CJ15-1)/①통합_가정!$E$244)*(1-CHOOSE(MIN(MAX(CJ16,1),3),①통합_가정!$E$246,①통합_가정!$E$247,①통합_가정!$E$248))</f>
        <v>72.459576</v>
      </c>
      <c r="CK39" s="37" t="n">
        <f aca="false">(CK14=1)*①통합_가정!$H$38*①통합_가정!$E$240*①통합_가정!$E$241/1000*(1+①통합_가정!$E$243)^INT((CK15-1)/①통합_가정!$E$244)*(1-CHOOSE(MIN(MAX(CK16,1),3),①통합_가정!$E$246,①통합_가정!$E$247,①통합_가정!$E$248))</f>
        <v>73.90876752</v>
      </c>
      <c r="CL39" s="37" t="n">
        <f aca="false">(CL14=1)*①통합_가정!$H$38*①통합_가정!$E$240*①통합_가정!$E$241/1000*(1+①통합_가정!$E$243)^INT((CL15-1)/①통합_가정!$E$244)*(1-CHOOSE(MIN(MAX(CL16,1),3),①통합_가정!$E$246,①통합_가정!$E$247,①통합_가정!$E$248))</f>
        <v>73.90876752</v>
      </c>
      <c r="CM39" s="37" t="n">
        <f aca="false">(CM14=1)*①통합_가정!$H$38*①통합_가정!$E$240*①통합_가정!$E$241/1000*(1+①통합_가정!$E$243)^INT((CM15-1)/①통합_가정!$E$244)*(1-CHOOSE(MIN(MAX(CM16,1),3),①통합_가정!$E$246,①통합_가정!$E$247,①통합_가정!$E$248))</f>
        <v>73.90876752</v>
      </c>
      <c r="CN39" s="37" t="n">
        <f aca="false">(CN14=1)*①통합_가정!$H$38*①통합_가정!$E$240*①통합_가정!$E$241/1000*(1+①통합_가정!$E$243)^INT((CN15-1)/①통합_가정!$E$244)*(1-CHOOSE(MIN(MAX(CN16,1),3),①통합_가정!$E$246,①통합_가정!$E$247,①통합_가정!$E$248))</f>
        <v>73.90876752</v>
      </c>
      <c r="CO39" s="37" t="n">
        <f aca="false">(CO14=1)*①통합_가정!$H$38*①통합_가정!$E$240*①통합_가정!$E$241/1000*(1+①통합_가정!$E$243)^INT((CO15-1)/①통합_가정!$E$244)*(1-CHOOSE(MIN(MAX(CO16,1),3),①통합_가정!$E$246,①통합_가정!$E$247,①통합_가정!$E$248))</f>
        <v>73.90876752</v>
      </c>
      <c r="CP39" s="37" t="n">
        <f aca="false">(CP14=1)*①통합_가정!$H$38*①통합_가정!$E$240*①통합_가정!$E$241/1000*(1+①통합_가정!$E$243)^INT((CP15-1)/①통합_가정!$E$244)*(1-CHOOSE(MIN(MAX(CP16,1),3),①통합_가정!$E$246,①통합_가정!$E$247,①통합_가정!$E$248))</f>
        <v>73.90876752</v>
      </c>
      <c r="CQ39" s="37" t="n">
        <f aca="false">(CQ14=1)*①통합_가정!$H$38*①통합_가정!$E$240*①통합_가정!$E$241/1000*(1+①통합_가정!$E$243)^INT((CQ15-1)/①통합_가정!$E$244)*(1-CHOOSE(MIN(MAX(CQ16,1),3),①통합_가정!$E$246,①통합_가정!$E$247,①통합_가정!$E$248))</f>
        <v>73.90876752</v>
      </c>
      <c r="CR39" s="37" t="n">
        <f aca="false">(CR14=1)*①통합_가정!$H$38*①통합_가정!$E$240*①통합_가정!$E$241/1000*(1+①통합_가정!$E$243)^INT((CR15-1)/①통합_가정!$E$244)*(1-CHOOSE(MIN(MAX(CR16,1),3),①통합_가정!$E$246,①통합_가정!$E$247,①통합_가정!$E$248))</f>
        <v>73.90876752</v>
      </c>
      <c r="CS39" s="37" t="n">
        <f aca="false">(CS14=1)*①통합_가정!$H$38*①통합_가정!$E$240*①통합_가정!$E$241/1000*(1+①통합_가정!$E$243)^INT((CS15-1)/①통합_가정!$E$244)*(1-CHOOSE(MIN(MAX(CS16,1),3),①통합_가정!$E$246,①통합_가정!$E$247,①통합_가정!$E$248))</f>
        <v>73.90876752</v>
      </c>
      <c r="CT39" s="37" t="n">
        <f aca="false">(CT14=1)*①통합_가정!$H$38*①통합_가정!$E$240*①통합_가정!$E$241/1000*(1+①통합_가정!$E$243)^INT((CT15-1)/①통합_가정!$E$244)*(1-CHOOSE(MIN(MAX(CT16,1),3),①통합_가정!$E$246,①통합_가정!$E$247,①통합_가정!$E$248))</f>
        <v>73.90876752</v>
      </c>
      <c r="CU39" s="37" t="n">
        <f aca="false">(CU14=1)*①통합_가정!$H$38*①통합_가정!$E$240*①통합_가정!$E$241/1000*(1+①통합_가정!$E$243)^INT((CU15-1)/①통합_가정!$E$244)*(1-CHOOSE(MIN(MAX(CU16,1),3),①통합_가정!$E$246,①통합_가정!$E$247,①통합_가정!$E$248))</f>
        <v>73.90876752</v>
      </c>
      <c r="CV39" s="37" t="n">
        <f aca="false">(CV14=1)*①통합_가정!$H$38*①통합_가정!$E$240*①통합_가정!$E$241/1000*(1+①통합_가정!$E$243)^INT((CV15-1)/①통합_가정!$E$244)*(1-CHOOSE(MIN(MAX(CV16,1),3),①통합_가정!$E$246,①통합_가정!$E$247,①통합_가정!$E$248))</f>
        <v>73.90876752</v>
      </c>
      <c r="CW39" s="37" t="n">
        <f aca="false">(CW14=1)*①통합_가정!$H$38*①통합_가정!$E$240*①통합_가정!$E$241/1000*(1+①통합_가정!$E$243)^INT((CW15-1)/①통합_가정!$E$244)*(1-CHOOSE(MIN(MAX(CW16,1),3),①통합_가정!$E$246,①통합_가정!$E$247,①통합_가정!$E$248))</f>
        <v>75.3869428704</v>
      </c>
      <c r="CX39" s="37" t="n">
        <f aca="false">(CX14=1)*①통합_가정!$H$38*①통합_가정!$E$240*①통합_가정!$E$241/1000*(1+①통합_가정!$E$243)^INT((CX15-1)/①통합_가정!$E$244)*(1-CHOOSE(MIN(MAX(CX16,1),3),①통합_가정!$E$246,①통합_가정!$E$247,①통합_가정!$E$248))</f>
        <v>75.3869428704</v>
      </c>
      <c r="CY39" s="37" t="n">
        <f aca="false">(CY14=1)*①통합_가정!$H$38*①통합_가정!$E$240*①통합_가정!$E$241/1000*(1+①통합_가정!$E$243)^INT((CY15-1)/①통합_가정!$E$244)*(1-CHOOSE(MIN(MAX(CY16,1),3),①통합_가정!$E$246,①통합_가정!$E$247,①통합_가정!$E$248))</f>
        <v>75.3869428704</v>
      </c>
      <c r="CZ39" s="37" t="n">
        <f aca="false">(CZ14=1)*①통합_가정!$H$38*①통합_가정!$E$240*①통합_가정!$E$241/1000*(1+①통합_가정!$E$243)^INT((CZ15-1)/①통합_가정!$E$244)*(1-CHOOSE(MIN(MAX(CZ16,1),3),①통합_가정!$E$246,①통합_가정!$E$247,①통합_가정!$E$248))</f>
        <v>75.3869428704</v>
      </c>
      <c r="DA39" s="37" t="n">
        <f aca="false">(DA14=1)*①통합_가정!$H$38*①통합_가정!$E$240*①통합_가정!$E$241/1000*(1+①통합_가정!$E$243)^INT((DA15-1)/①통합_가정!$E$244)*(1-CHOOSE(MIN(MAX(DA16,1),3),①통합_가정!$E$246,①통합_가정!$E$247,①통합_가정!$E$248))</f>
        <v>75.3869428704</v>
      </c>
      <c r="DB39" s="37" t="n">
        <f aca="false">(DB14=1)*①통합_가정!$H$38*①통합_가정!$E$240*①통합_가정!$E$241/1000*(1+①통합_가정!$E$243)^INT((DB15-1)/①통합_가정!$E$244)*(1-CHOOSE(MIN(MAX(DB16,1),3),①통합_가정!$E$246,①통합_가정!$E$247,①통합_가정!$E$248))</f>
        <v>75.3869428704</v>
      </c>
      <c r="DC39" s="37" t="n">
        <f aca="false">(DC14=1)*①통합_가정!$H$38*①통합_가정!$E$240*①통합_가정!$E$241/1000*(1+①통합_가정!$E$243)^INT((DC15-1)/①통합_가정!$E$244)*(1-CHOOSE(MIN(MAX(DC16,1),3),①통합_가정!$E$246,①통합_가정!$E$247,①통합_가정!$E$248))</f>
        <v>75.3869428704</v>
      </c>
      <c r="DD39" s="37" t="n">
        <f aca="false">(DD14=1)*①통합_가정!$H$38*①통합_가정!$E$240*①통합_가정!$E$241/1000*(1+①통합_가정!$E$243)^INT((DD15-1)/①통합_가정!$E$244)*(1-CHOOSE(MIN(MAX(DD16,1),3),①통합_가정!$E$246,①통합_가정!$E$247,①통합_가정!$E$248))</f>
        <v>75.3869428704</v>
      </c>
      <c r="DE39" s="37" t="n">
        <f aca="false">(DE14=1)*①통합_가정!$H$38*①통합_가정!$E$240*①통합_가정!$E$241/1000*(1+①통합_가정!$E$243)^INT((DE15-1)/①통합_가정!$E$244)*(1-CHOOSE(MIN(MAX(DE16,1),3),①통합_가정!$E$246,①통합_가정!$E$247,①통합_가정!$E$248))</f>
        <v>75.3869428704</v>
      </c>
      <c r="DF39" s="37" t="n">
        <f aca="false">(DF14=1)*①통합_가정!$H$38*①통합_가정!$E$240*①통합_가정!$E$241/1000*(1+①통합_가정!$E$243)^INT((DF15-1)/①통합_가정!$E$244)*(1-CHOOSE(MIN(MAX(DF16,1),3),①통합_가정!$E$246,①통합_가정!$E$247,①통합_가정!$E$248))</f>
        <v>75.3869428704</v>
      </c>
      <c r="DG39" s="37" t="n">
        <f aca="false">(DG14=1)*①통합_가정!$H$38*①통합_가정!$E$240*①통합_가정!$E$241/1000*(1+①통합_가정!$E$243)^INT((DG15-1)/①통합_가정!$E$244)*(1-CHOOSE(MIN(MAX(DG16,1),3),①통합_가정!$E$246,①통합_가정!$E$247,①통합_가정!$E$248))</f>
        <v>75.3869428704</v>
      </c>
      <c r="DH39" s="37" t="n">
        <f aca="false">(DH14=1)*①통합_가정!$H$38*①통합_가정!$E$240*①통합_가정!$E$241/1000*(1+①통합_가정!$E$243)^INT((DH15-1)/①통합_가정!$E$244)*(1-CHOOSE(MIN(MAX(DH16,1),3),①통합_가정!$E$246,①통합_가정!$E$247,①통합_가정!$E$248))</f>
        <v>75.3869428704</v>
      </c>
      <c r="DI39" s="37" t="n">
        <f aca="false">(DI14=1)*①통합_가정!$H$38*①통합_가정!$E$240*①통합_가정!$E$241/1000*(1+①통합_가정!$E$243)^INT((DI15-1)/①통합_가정!$E$244)*(1-CHOOSE(MIN(MAX(DI16,1),3),①통합_가정!$E$246,①통합_가정!$E$247,①통합_가정!$E$248))</f>
        <v>76.894681727808</v>
      </c>
      <c r="DJ39" s="37" t="n">
        <f aca="false">(DJ14=1)*①통합_가정!$H$38*①통합_가정!$E$240*①통합_가정!$E$241/1000*(1+①통합_가정!$E$243)^INT((DJ15-1)/①통합_가정!$E$244)*(1-CHOOSE(MIN(MAX(DJ16,1),3),①통합_가정!$E$246,①통합_가정!$E$247,①통합_가정!$E$248))</f>
        <v>76.894681727808</v>
      </c>
      <c r="DK39" s="37" t="n">
        <f aca="false">(DK14=1)*①통합_가정!$H$38*①통합_가정!$E$240*①통합_가정!$E$241/1000*(1+①통합_가정!$E$243)^INT((DK15-1)/①통합_가정!$E$244)*(1-CHOOSE(MIN(MAX(DK16,1),3),①통합_가정!$E$246,①통합_가정!$E$247,①통합_가정!$E$248))</f>
        <v>76.894681727808</v>
      </c>
      <c r="DL39" s="37" t="n">
        <f aca="false">(DL14=1)*①통합_가정!$H$38*①통합_가정!$E$240*①통합_가정!$E$241/1000*(1+①통합_가정!$E$243)^INT((DL15-1)/①통합_가정!$E$244)*(1-CHOOSE(MIN(MAX(DL16,1),3),①통합_가정!$E$246,①통합_가정!$E$247,①통합_가정!$E$248))</f>
        <v>76.894681727808</v>
      </c>
      <c r="DM39" s="37" t="n">
        <f aca="false">(DM14=1)*①통합_가정!$H$38*①통합_가정!$E$240*①통합_가정!$E$241/1000*(1+①통합_가정!$E$243)^INT((DM15-1)/①통합_가정!$E$244)*(1-CHOOSE(MIN(MAX(DM16,1),3),①통합_가정!$E$246,①통합_가정!$E$247,①통합_가정!$E$248))</f>
        <v>76.894681727808</v>
      </c>
      <c r="DN39" s="37" t="n">
        <f aca="false">(DN14=1)*①통합_가정!$H$38*①통합_가정!$E$240*①통합_가정!$E$241/1000*(1+①통합_가정!$E$243)^INT((DN15-1)/①통합_가정!$E$244)*(1-CHOOSE(MIN(MAX(DN16,1),3),①통합_가정!$E$246,①통합_가정!$E$247,①통합_가정!$E$248))</f>
        <v>76.894681727808</v>
      </c>
      <c r="DO39" s="37" t="n">
        <f aca="false">(DO14=1)*①통합_가정!$H$38*①통합_가정!$E$240*①통합_가정!$E$241/1000*(1+①통합_가정!$E$243)^INT((DO15-1)/①통합_가정!$E$244)*(1-CHOOSE(MIN(MAX(DO16,1),3),①통합_가정!$E$246,①통합_가정!$E$247,①통합_가정!$E$248))</f>
        <v>76.894681727808</v>
      </c>
      <c r="DP39" s="37" t="n">
        <f aca="false">(DP14=1)*①통합_가정!$H$38*①통합_가정!$E$240*①통합_가정!$E$241/1000*(1+①통합_가정!$E$243)^INT((DP15-1)/①통합_가정!$E$244)*(1-CHOOSE(MIN(MAX(DP16,1),3),①통합_가정!$E$246,①통합_가정!$E$247,①통합_가정!$E$248))</f>
        <v>76.894681727808</v>
      </c>
      <c r="DQ39" s="37" t="n">
        <f aca="false">(DQ14=1)*①통합_가정!$H$38*①통합_가정!$E$240*①통합_가정!$E$241/1000*(1+①통합_가정!$E$243)^INT((DQ15-1)/①통합_가정!$E$244)*(1-CHOOSE(MIN(MAX(DQ16,1),3),①통합_가정!$E$246,①통합_가정!$E$247,①통합_가정!$E$248))</f>
        <v>76.894681727808</v>
      </c>
      <c r="DR39" s="37" t="n">
        <f aca="false">(DR14=1)*①통합_가정!$H$38*①통합_가정!$E$240*①통합_가정!$E$241/1000*(1+①통합_가정!$E$243)^INT((DR15-1)/①통합_가정!$E$244)*(1-CHOOSE(MIN(MAX(DR16,1),3),①통합_가정!$E$246,①통합_가정!$E$247,①통합_가정!$E$248))</f>
        <v>76.894681727808</v>
      </c>
      <c r="DS39" s="37" t="n">
        <f aca="false">(DS14=1)*①통합_가정!$H$38*①통합_가정!$E$240*①통합_가정!$E$241/1000*(1+①통합_가정!$E$243)^INT((DS15-1)/①통합_가정!$E$244)*(1-CHOOSE(MIN(MAX(DS16,1),3),①통합_가정!$E$246,①통합_가정!$E$247,①통합_가정!$E$248))</f>
        <v>76.894681727808</v>
      </c>
      <c r="DT39" s="37" t="n">
        <f aca="false">(DT14=1)*①통합_가정!$H$38*①통합_가정!$E$240*①통합_가정!$E$241/1000*(1+①통합_가정!$E$243)^INT((DT15-1)/①통합_가정!$E$244)*(1-CHOOSE(MIN(MAX(DT16,1),3),①통합_가정!$E$246,①통합_가정!$E$247,①통합_가정!$E$248))</f>
        <v>76.894681727808</v>
      </c>
      <c r="DU39" s="37" t="n">
        <f aca="false">(DU14=1)*①통합_가정!$H$38*①통합_가정!$E$240*①통합_가정!$E$241/1000*(1+①통합_가정!$E$243)^INT((DU15-1)/①통합_가정!$E$244)*(1-CHOOSE(MIN(MAX(DU16,1),3),①통합_가정!$E$246,①통합_가정!$E$247,①통합_가정!$E$248))</f>
        <v>0</v>
      </c>
      <c r="DV39" s="37" t="n">
        <f aca="false">(DV14=1)*①통합_가정!$H$38*①통합_가정!$E$240*①통합_가정!$E$241/1000*(1+①통합_가정!$E$243)^INT((DV15-1)/①통합_가정!$E$244)*(1-CHOOSE(MIN(MAX(DV16,1),3),①통합_가정!$E$246,①통합_가정!$E$247,①통합_가정!$E$248))</f>
        <v>0</v>
      </c>
      <c r="DW39" s="37" t="n">
        <f aca="false">(DW14=1)*①통합_가정!$H$38*①통합_가정!$E$240*①통합_가정!$E$241/1000*(1+①통합_가정!$E$243)^INT((DW15-1)/①통합_가정!$E$244)*(1-CHOOSE(MIN(MAX(DW16,1),3),①통합_가정!$E$246,①통합_가정!$E$247,①통합_가정!$E$248))</f>
        <v>0</v>
      </c>
      <c r="DX39" s="37" t="n">
        <f aca="false">(DX14=1)*①통합_가정!$H$38*①통합_가정!$E$240*①통합_가정!$E$241/1000*(1+①통합_가정!$E$243)^INT((DX15-1)/①통합_가정!$E$244)*(1-CHOOSE(MIN(MAX(DX16,1),3),①통합_가정!$E$246,①통합_가정!$E$247,①통합_가정!$E$248))</f>
        <v>0</v>
      </c>
      <c r="DY39" s="37" t="n">
        <f aca="false">(DY14=1)*①통합_가정!$H$38*①통합_가정!$E$240*①통합_가정!$E$241/1000*(1+①통합_가정!$E$243)^INT((DY15-1)/①통합_가정!$E$244)*(1-CHOOSE(MIN(MAX(DY16,1),3),①통합_가정!$E$246,①통합_가정!$E$247,①통합_가정!$E$248))</f>
        <v>0</v>
      </c>
      <c r="DZ39" s="37" t="n">
        <f aca="false">(DZ14=1)*①통합_가정!$H$38*①통합_가정!$E$240*①통합_가정!$E$241/1000*(1+①통합_가정!$E$243)^INT((DZ15-1)/①통합_가정!$E$244)*(1-CHOOSE(MIN(MAX(DZ16,1),3),①통합_가정!$E$246,①통합_가정!$E$247,①통합_가정!$E$248))</f>
        <v>0</v>
      </c>
      <c r="EA39" s="37" t="n">
        <f aca="false">(EA14=1)*①통합_가정!$H$38*①통합_가정!$E$240*①통합_가정!$E$241/1000*(1+①통합_가정!$E$243)^INT((EA15-1)/①통합_가정!$E$244)*(1-CHOOSE(MIN(MAX(EA16,1),3),①통합_가정!$E$246,①통합_가정!$E$247,①통합_가정!$E$248))</f>
        <v>0</v>
      </c>
      <c r="EB39" s="37" t="n">
        <f aca="false">(EB14=1)*①통합_가정!$H$38*①통합_가정!$E$240*①통합_가정!$E$241/1000*(1+①통합_가정!$E$243)^INT((EB15-1)/①통합_가정!$E$244)*(1-CHOOSE(MIN(MAX(EB16,1),3),①통합_가정!$E$246,①통합_가정!$E$247,①통합_가정!$E$248))</f>
        <v>0</v>
      </c>
      <c r="EC39" s="37" t="n">
        <f aca="false">(EC14=1)*①통합_가정!$H$38*①통합_가정!$E$240*①통합_가정!$E$241/1000*(1+①통합_가정!$E$243)^INT((EC15-1)/①통합_가정!$E$244)*(1-CHOOSE(MIN(MAX(EC16,1),3),①통합_가정!$E$246,①통합_가정!$E$247,①통합_가정!$E$248))</f>
        <v>0</v>
      </c>
      <c r="ED39" s="37" t="n">
        <f aca="false">(ED14=1)*①통합_가정!$H$38*①통합_가정!$E$240*①통합_가정!$E$241/1000*(1+①통합_가정!$E$243)^INT((ED15-1)/①통합_가정!$E$244)*(1-CHOOSE(MIN(MAX(ED16,1),3),①통합_가정!$E$246,①통합_가정!$E$247,①통합_가정!$E$248))</f>
        <v>0</v>
      </c>
      <c r="EE39" s="37" t="n">
        <f aca="false">(EE14=1)*①통합_가정!$H$38*①통합_가정!$E$240*①통합_가정!$E$241/1000*(1+①통합_가정!$E$243)^INT((EE15-1)/①통합_가정!$E$244)*(1-CHOOSE(MIN(MAX(EE16,1),3),①통합_가정!$E$246,①통합_가정!$E$247,①통합_가정!$E$248))</f>
        <v>0</v>
      </c>
      <c r="EF39" s="37" t="n">
        <f aca="false">(EF14=1)*①통합_가정!$H$38*①통합_가정!$E$240*①통합_가정!$E$241/1000*(1+①통합_가정!$E$243)^INT((EF15-1)/①통합_가정!$E$244)*(1-CHOOSE(MIN(MAX(EF16,1),3),①통합_가정!$E$246,①통합_가정!$E$247,①통합_가정!$E$248))</f>
        <v>0</v>
      </c>
    </row>
    <row r="40" customFormat="false" ht="15" hidden="false" customHeight="false" outlineLevel="0" collapsed="false">
      <c r="A40" s="36" t="s">
        <v>590</v>
      </c>
      <c r="B40" s="278" t="s">
        <v>21</v>
      </c>
      <c r="C40" s="279" t="n">
        <f aca="false">SUM(E40:EF40)</f>
        <v>1602.70281938765</v>
      </c>
      <c r="E40" s="37" t="n">
        <f aca="false">(E14=1)*①통합_가정!$H$38*①통합_가정!$E$253*①통합_가정!$E$254/1000*(1+①통합_가정!$E$256)^INT((E15-1)/①통합_가정!$E$257)*(1-CHOOSE(MIN(MAX(E16,1),3),①통합_가정!$E$259,①통합_가정!$E$260,①통합_가정!$E$261))</f>
        <v>0</v>
      </c>
      <c r="F40" s="37" t="n">
        <f aca="false">(F14=1)*①통합_가정!$H$38*①통합_가정!$E$253*①통합_가정!$E$254/1000*(1+①통합_가정!$E$256)^INT((F15-1)/①통합_가정!$E$257)*(1-CHOOSE(MIN(MAX(F16,1),3),①통합_가정!$E$259,①통합_가정!$E$260,①통합_가정!$E$261))</f>
        <v>0</v>
      </c>
      <c r="G40" s="37" t="n">
        <f aca="false">(G14=1)*①통합_가정!$H$38*①통합_가정!$E$253*①통합_가정!$E$254/1000*(1+①통합_가정!$E$256)^INT((G15-1)/①통합_가정!$E$257)*(1-CHOOSE(MIN(MAX(G16,1),3),①통합_가정!$E$259,①통합_가정!$E$260,①통합_가정!$E$261))</f>
        <v>0</v>
      </c>
      <c r="H40" s="37" t="n">
        <f aca="false">(H14=1)*①통합_가정!$H$38*①통합_가정!$E$253*①통합_가정!$E$254/1000*(1+①통합_가정!$E$256)^INT((H15-1)/①통합_가정!$E$257)*(1-CHOOSE(MIN(MAX(H16,1),3),①통합_가정!$E$259,①통합_가정!$E$260,①통합_가정!$E$261))</f>
        <v>0</v>
      </c>
      <c r="I40" s="37" t="n">
        <f aca="false">(I14=1)*①통합_가정!$H$38*①통합_가정!$E$253*①통합_가정!$E$254/1000*(1+①통합_가정!$E$256)^INT((I15-1)/①통합_가정!$E$257)*(1-CHOOSE(MIN(MAX(I16,1),3),①통합_가정!$E$259,①통합_가정!$E$260,①통합_가정!$E$261))</f>
        <v>0</v>
      </c>
      <c r="J40" s="37" t="n">
        <f aca="false">(J14=1)*①통합_가정!$H$38*①통합_가정!$E$253*①통합_가정!$E$254/1000*(1+①통합_가정!$E$256)^INT((J15-1)/①통합_가정!$E$257)*(1-CHOOSE(MIN(MAX(J16,1),3),①통합_가정!$E$259,①통합_가정!$E$260,①통합_가정!$E$261))</f>
        <v>0</v>
      </c>
      <c r="K40" s="37" t="n">
        <f aca="false">(K14=1)*①통합_가정!$H$38*①통합_가정!$E$253*①통합_가정!$E$254/1000*(1+①통합_가정!$E$256)^INT((K15-1)/①통합_가정!$E$257)*(1-CHOOSE(MIN(MAX(K16,1),3),①통합_가정!$E$259,①통합_가정!$E$260,①통합_가정!$E$261))</f>
        <v>0</v>
      </c>
      <c r="L40" s="37" t="n">
        <f aca="false">(L14=1)*①통합_가정!$H$38*①통합_가정!$E$253*①통합_가정!$E$254/1000*(1+①통합_가정!$E$256)^INT((L15-1)/①통합_가정!$E$257)*(1-CHOOSE(MIN(MAX(L16,1),3),①통합_가정!$E$259,①통합_가정!$E$260,①통합_가정!$E$261))</f>
        <v>0</v>
      </c>
      <c r="M40" s="37" t="n">
        <f aca="false">(M14=1)*①통합_가정!$H$38*①통합_가정!$E$253*①통합_가정!$E$254/1000*(1+①통합_가정!$E$256)^INT((M15-1)/①통합_가정!$E$257)*(1-CHOOSE(MIN(MAX(M16,1),3),①통합_가정!$E$259,①통합_가정!$E$260,①통합_가정!$E$261))</f>
        <v>0</v>
      </c>
      <c r="N40" s="37" t="n">
        <f aca="false">(N14=1)*①통합_가정!$H$38*①통합_가정!$E$253*①통합_가정!$E$254/1000*(1+①통합_가정!$E$256)^INT((N15-1)/①통합_가정!$E$257)*(1-CHOOSE(MIN(MAX(N16,1),3),①통합_가정!$E$259,①통합_가정!$E$260,①통합_가정!$E$261))</f>
        <v>0</v>
      </c>
      <c r="O40" s="37" t="n">
        <f aca="false">(O14=1)*①통합_가정!$H$38*①통합_가정!$E$253*①통합_가정!$E$254/1000*(1+①통합_가정!$E$256)^INT((O15-1)/①통합_가정!$E$257)*(1-CHOOSE(MIN(MAX(O16,1),3),①통합_가정!$E$259,①통합_가정!$E$260,①통합_가정!$E$261))</f>
        <v>0</v>
      </c>
      <c r="P40" s="37" t="n">
        <f aca="false">(P14=1)*①통합_가정!$H$38*①통합_가정!$E$253*①통합_가정!$E$254/1000*(1+①통합_가정!$E$256)^INT((P15-1)/①통합_가정!$E$257)*(1-CHOOSE(MIN(MAX(P16,1),3),①통합_가정!$E$259,①통합_가정!$E$260,①통합_가정!$E$261))</f>
        <v>0</v>
      </c>
      <c r="Q40" s="37" t="n">
        <f aca="false">(Q14=1)*①통합_가정!$H$38*①통합_가정!$E$253*①통합_가정!$E$254/1000*(1+①통합_가정!$E$256)^INT((Q15-1)/①통합_가정!$E$257)*(1-CHOOSE(MIN(MAX(Q16,1),3),①통합_가정!$E$259,①통합_가정!$E$260,①통합_가정!$E$261))</f>
        <v>0</v>
      </c>
      <c r="R40" s="37" t="n">
        <f aca="false">(R14=1)*①통합_가정!$H$38*①통합_가정!$E$253*①통합_가정!$E$254/1000*(1+①통합_가정!$E$256)^INT((R15-1)/①통합_가정!$E$257)*(1-CHOOSE(MIN(MAX(R16,1),3),①통합_가정!$E$259,①통합_가정!$E$260,①통합_가정!$E$261))</f>
        <v>0</v>
      </c>
      <c r="S40" s="37" t="n">
        <f aca="false">(S14=1)*①통합_가정!$H$38*①통합_가정!$E$253*①통합_가정!$E$254/1000*(1+①통합_가정!$E$256)^INT((S15-1)/①통합_가정!$E$257)*(1-CHOOSE(MIN(MAX(S16,1),3),①통합_가정!$E$259,①통합_가정!$E$260,①통합_가정!$E$261))</f>
        <v>0</v>
      </c>
      <c r="T40" s="37" t="n">
        <f aca="false">(T14=1)*①통합_가정!$H$38*①통합_가정!$E$253*①통합_가정!$E$254/1000*(1+①통합_가정!$E$256)^INT((T15-1)/①통합_가정!$E$257)*(1-CHOOSE(MIN(MAX(T16,1),3),①통합_가정!$E$259,①통합_가정!$E$260,①통합_가정!$E$261))</f>
        <v>0</v>
      </c>
      <c r="U40" s="37" t="n">
        <f aca="false">(U14=1)*①통합_가정!$H$38*①통합_가정!$E$253*①통합_가정!$E$254/1000*(1+①통합_가정!$E$256)^INT((U15-1)/①통합_가정!$E$257)*(1-CHOOSE(MIN(MAX(U16,1),3),①통합_가정!$E$259,①통합_가정!$E$260,①통합_가정!$E$261))</f>
        <v>0</v>
      </c>
      <c r="V40" s="37" t="n">
        <f aca="false">(V14=1)*①통합_가정!$H$38*①통합_가정!$E$253*①통합_가정!$E$254/1000*(1+①통합_가정!$E$256)^INT((V15-1)/①통합_가정!$E$257)*(1-CHOOSE(MIN(MAX(V16,1),3),①통합_가정!$E$259,①통합_가정!$E$260,①통합_가정!$E$261))</f>
        <v>0</v>
      </c>
      <c r="W40" s="37" t="n">
        <f aca="false">(W14=1)*①통합_가정!$H$38*①통합_가정!$E$253*①통합_가정!$E$254/1000*(1+①통합_가정!$E$256)^INT((W15-1)/①통합_가정!$E$257)*(1-CHOOSE(MIN(MAX(W16,1),3),①통합_가정!$E$259,①통합_가정!$E$260,①통합_가정!$E$261))</f>
        <v>0</v>
      </c>
      <c r="X40" s="37" t="n">
        <f aca="false">(X14=1)*①통합_가정!$H$38*①통합_가정!$E$253*①통합_가정!$E$254/1000*(1+①통합_가정!$E$256)^INT((X15-1)/①통합_가정!$E$257)*(1-CHOOSE(MIN(MAX(X16,1),3),①통합_가정!$E$259,①통합_가정!$E$260,①통합_가정!$E$261))</f>
        <v>0</v>
      </c>
      <c r="Y40" s="37" t="n">
        <f aca="false">(Y14=1)*①통합_가정!$H$38*①통합_가정!$E$253*①통합_가정!$E$254/1000*(1+①통합_가정!$E$256)^INT((Y15-1)/①통합_가정!$E$257)*(1-CHOOSE(MIN(MAX(Y16,1),3),①통합_가정!$E$259,①통합_가정!$E$260,①통합_가정!$E$261))</f>
        <v>0</v>
      </c>
      <c r="Z40" s="37" t="n">
        <f aca="false">(Z14=1)*①통합_가정!$H$38*①통합_가정!$E$253*①통합_가정!$E$254/1000*(1+①통합_가정!$E$256)^INT((Z15-1)/①통합_가정!$E$257)*(1-CHOOSE(MIN(MAX(Z16,1),3),①통합_가정!$E$259,①통합_가정!$E$260,①통합_가정!$E$261))</f>
        <v>0</v>
      </c>
      <c r="AA40" s="37" t="n">
        <f aca="false">(AA14=1)*①통합_가정!$H$38*①통합_가정!$E$253*①통합_가정!$E$254/1000*(1+①통합_가정!$E$256)^INT((AA15-1)/①통합_가정!$E$257)*(1-CHOOSE(MIN(MAX(AA16,1),3),①통합_가정!$E$259,①통합_가정!$E$260,①통합_가정!$E$261))</f>
        <v>0</v>
      </c>
      <c r="AB40" s="37" t="n">
        <f aca="false">(AB14=1)*①통합_가정!$H$38*①통합_가정!$E$253*①통합_가정!$E$254/1000*(1+①통합_가정!$E$256)^INT((AB15-1)/①통합_가정!$E$257)*(1-CHOOSE(MIN(MAX(AB16,1),3),①통합_가정!$E$259,①통합_가정!$E$260,①통합_가정!$E$261))</f>
        <v>0</v>
      </c>
      <c r="AC40" s="37" t="n">
        <f aca="false">(AC14=1)*①통합_가정!$H$38*①통합_가정!$E$253*①통합_가정!$E$254/1000*(1+①통합_가정!$E$256)^INT((AC15-1)/①통합_가정!$E$257)*(1-CHOOSE(MIN(MAX(AC16,1),3),①통합_가정!$E$259,①통합_가정!$E$260,①통합_가정!$E$261))</f>
        <v>0</v>
      </c>
      <c r="AD40" s="37" t="n">
        <f aca="false">(AD14=1)*①통합_가정!$H$38*①통합_가정!$E$253*①통합_가정!$E$254/1000*(1+①통합_가정!$E$256)^INT((AD15-1)/①통합_가정!$E$257)*(1-CHOOSE(MIN(MAX(AD16,1),3),①통합_가정!$E$259,①통합_가정!$E$260,①통합_가정!$E$261))</f>
        <v>0</v>
      </c>
      <c r="AE40" s="37" t="n">
        <f aca="false">(AE14=1)*①통합_가정!$H$38*①통합_가정!$E$253*①통합_가정!$E$254/1000*(1+①통합_가정!$E$256)^INT((AE15-1)/①통합_가정!$E$257)*(1-CHOOSE(MIN(MAX(AE16,1),3),①통합_가정!$E$259,①통합_가정!$E$260,①통합_가정!$E$261))</f>
        <v>0</v>
      </c>
      <c r="AF40" s="37" t="n">
        <f aca="false">(AF14=1)*①통합_가정!$H$38*①통합_가정!$E$253*①통합_가정!$E$254/1000*(1+①통합_가정!$E$256)^INT((AF15-1)/①통합_가정!$E$257)*(1-CHOOSE(MIN(MAX(AF16,1),3),①통합_가정!$E$259,①통합_가정!$E$260,①통합_가정!$E$261))</f>
        <v>0</v>
      </c>
      <c r="AG40" s="37" t="n">
        <f aca="false">(AG14=1)*①통합_가정!$H$38*①통합_가정!$E$253*①통합_가정!$E$254/1000*(1+①통합_가정!$E$256)^INT((AG15-1)/①통합_가정!$E$257)*(1-CHOOSE(MIN(MAX(AG16,1),3),①통합_가정!$E$259,①통합_가정!$E$260,①통합_가정!$E$261))</f>
        <v>0</v>
      </c>
      <c r="AH40" s="37" t="n">
        <f aca="false">(AH14=1)*①통합_가정!$H$38*①통합_가정!$E$253*①통합_가정!$E$254/1000*(1+①통합_가정!$E$256)^INT((AH15-1)/①통합_가정!$E$257)*(1-CHOOSE(MIN(MAX(AH16,1),3),①통합_가정!$E$259,①통합_가정!$E$260,①통합_가정!$E$261))</f>
        <v>0</v>
      </c>
      <c r="AI40" s="37" t="n">
        <f aca="false">(AI14=1)*①통합_가정!$H$38*①통합_가정!$E$253*①통합_가정!$E$254/1000*(1+①통합_가정!$E$256)^INT((AI15-1)/①통합_가정!$E$257)*(1-CHOOSE(MIN(MAX(AI16,1),3),①통합_가정!$E$259,①통합_가정!$E$260,①통합_가정!$E$261))</f>
        <v>0</v>
      </c>
      <c r="AJ40" s="37" t="n">
        <f aca="false">(AJ14=1)*①통합_가정!$H$38*①통합_가정!$E$253*①통합_가정!$E$254/1000*(1+①통합_가정!$E$256)^INT((AJ15-1)/①통합_가정!$E$257)*(1-CHOOSE(MIN(MAX(AJ16,1),3),①통합_가정!$E$259,①통합_가정!$E$260,①통합_가정!$E$261))</f>
        <v>0</v>
      </c>
      <c r="AK40" s="37" t="n">
        <f aca="false">(AK14=1)*①통합_가정!$H$38*①통합_가정!$E$253*①통합_가정!$E$254/1000*(1+①통합_가정!$E$256)^INT((AK15-1)/①통합_가정!$E$257)*(1-CHOOSE(MIN(MAX(AK16,1),3),①통합_가정!$E$259,①통합_가정!$E$260,①통합_가정!$E$261))</f>
        <v>0</v>
      </c>
      <c r="AL40" s="37" t="n">
        <f aca="false">(AL14=1)*①통합_가정!$H$38*①통합_가정!$E$253*①통합_가정!$E$254/1000*(1+①통합_가정!$E$256)^INT((AL15-1)/①통합_가정!$E$257)*(1-CHOOSE(MIN(MAX(AL16,1),3),①통합_가정!$E$259,①통합_가정!$E$260,①통합_가정!$E$261))</f>
        <v>0</v>
      </c>
      <c r="AM40" s="37" t="n">
        <f aca="false">(AM14=1)*①통합_가정!$H$38*①통합_가정!$E$253*①통합_가정!$E$254/1000*(1+①통합_가정!$E$256)^INT((AM15-1)/①통합_가정!$E$257)*(1-CHOOSE(MIN(MAX(AM16,1),3),①통합_가정!$E$259,①통합_가정!$E$260,①통합_가정!$E$261))</f>
        <v>0</v>
      </c>
      <c r="AN40" s="37" t="n">
        <f aca="false">(AN14=1)*①통합_가정!$H$38*①통합_가정!$E$253*①통합_가정!$E$254/1000*(1+①통합_가정!$E$256)^INT((AN15-1)/①통합_가정!$E$257)*(1-CHOOSE(MIN(MAX(AN16,1),3),①통합_가정!$E$259,①통합_가정!$E$260,①통합_가정!$E$261))</f>
        <v>0</v>
      </c>
      <c r="AO40" s="37" t="n">
        <f aca="false">(AO14=1)*①통합_가정!$H$38*①통합_가정!$E$253*①통합_가정!$E$254/1000*(1+①통합_가정!$E$256)^INT((AO15-1)/①통합_가정!$E$257)*(1-CHOOSE(MIN(MAX(AO16,1),3),①통합_가정!$E$259,①통합_가정!$E$260,①통합_가정!$E$261))</f>
        <v>0</v>
      </c>
      <c r="AP40" s="37" t="n">
        <f aca="false">(AP14=1)*①통합_가정!$H$38*①통합_가정!$E$253*①통합_가정!$E$254/1000*(1+①통합_가정!$E$256)^INT((AP15-1)/①통합_가정!$E$257)*(1-CHOOSE(MIN(MAX(AP16,1),3),①통합_가정!$E$259,①통합_가정!$E$260,①통합_가정!$E$261))</f>
        <v>0</v>
      </c>
      <c r="AQ40" s="37" t="n">
        <f aca="false">(AQ14=1)*①통합_가정!$H$38*①통합_가정!$E$253*①통합_가정!$E$254/1000*(1+①통합_가정!$E$256)^INT((AQ15-1)/①통합_가정!$E$257)*(1-CHOOSE(MIN(MAX(AQ16,1),3),①통합_가정!$E$259,①통합_가정!$E$260,①통합_가정!$E$261))</f>
        <v>0</v>
      </c>
      <c r="AR40" s="37" t="n">
        <f aca="false">(AR14=1)*①통합_가정!$H$38*①통합_가정!$E$253*①통합_가정!$E$254/1000*(1+①통합_가정!$E$256)^INT((AR15-1)/①통합_가정!$E$257)*(1-CHOOSE(MIN(MAX(AR16,1),3),①통합_가정!$E$259,①통합_가정!$E$260,①통합_가정!$E$261))</f>
        <v>0</v>
      </c>
      <c r="AS40" s="37" t="n">
        <f aca="false">(AS14=1)*①통합_가정!$H$38*①통합_가정!$E$253*①통합_가정!$E$254/1000*(1+①통합_가정!$E$256)^INT((AS15-1)/①통합_가정!$E$257)*(1-CHOOSE(MIN(MAX(AS16,1),3),①통합_가정!$E$259,①통합_가정!$E$260,①통합_가정!$E$261))</f>
        <v>0</v>
      </c>
      <c r="AT40" s="37" t="n">
        <f aca="false">(AT14=1)*①통합_가정!$H$38*①통합_가정!$E$253*①통합_가정!$E$254/1000*(1+①통합_가정!$E$256)^INT((AT15-1)/①통합_가정!$E$257)*(1-CHOOSE(MIN(MAX(AT16,1),3),①통합_가정!$E$259,①통합_가정!$E$260,①통합_가정!$E$261))</f>
        <v>0</v>
      </c>
      <c r="AU40" s="37" t="n">
        <f aca="false">(AU14=1)*①통합_가정!$H$38*①통합_가정!$E$253*①통합_가정!$E$254/1000*(1+①통합_가정!$E$256)^INT((AU15-1)/①통합_가정!$E$257)*(1-CHOOSE(MIN(MAX(AU16,1),3),①통합_가정!$E$259,①통합_가정!$E$260,①통합_가정!$E$261))</f>
        <v>0</v>
      </c>
      <c r="AV40" s="37" t="n">
        <f aca="false">(AV14=1)*①통합_가정!$H$38*①통합_가정!$E$253*①통합_가정!$E$254/1000*(1+①통합_가정!$E$256)^INT((AV15-1)/①통합_가정!$E$257)*(1-CHOOSE(MIN(MAX(AV16,1),3),①통합_가정!$E$259,①통합_가정!$E$260,①통합_가정!$E$261))</f>
        <v>0</v>
      </c>
      <c r="AW40" s="37" t="n">
        <f aca="false">(AW14=1)*①통합_가정!$H$38*①통합_가정!$E$253*①통합_가정!$E$254/1000*(1+①통합_가정!$E$256)^INT((AW15-1)/①통합_가정!$E$257)*(1-CHOOSE(MIN(MAX(AW16,1),3),①통합_가정!$E$259,①통합_가정!$E$260,①통합_가정!$E$261))</f>
        <v>0</v>
      </c>
      <c r="AX40" s="37" t="n">
        <f aca="false">(AX14=1)*①통합_가정!$H$38*①통합_가정!$E$253*①통합_가정!$E$254/1000*(1+①통합_가정!$E$256)^INT((AX15-1)/①통합_가정!$E$257)*(1-CHOOSE(MIN(MAX(AX16,1),3),①통합_가정!$E$259,①통합_가정!$E$260,①통합_가정!$E$261))</f>
        <v>0</v>
      </c>
      <c r="AY40" s="37" t="n">
        <f aca="false">(AY14=1)*①통합_가정!$H$38*①통합_가정!$E$253*①통합_가정!$E$254/1000*(1+①통합_가정!$E$256)^INT((AY15-1)/①통합_가정!$E$257)*(1-CHOOSE(MIN(MAX(AY16,1),3),①통합_가정!$E$259,①통합_가정!$E$260,①통합_가정!$E$261))</f>
        <v>0</v>
      </c>
      <c r="AZ40" s="37" t="n">
        <f aca="false">(AZ14=1)*①통합_가정!$H$38*①통합_가정!$E$253*①통합_가정!$E$254/1000*(1+①통합_가정!$E$256)^INT((AZ15-1)/①통합_가정!$E$257)*(1-CHOOSE(MIN(MAX(AZ16,1),3),①통합_가정!$E$259,①통합_가정!$E$260,①통합_가정!$E$261))</f>
        <v>0</v>
      </c>
      <c r="BA40" s="37" t="n">
        <f aca="false">(BA14=1)*①통합_가정!$H$38*①통합_가정!$E$253*①통합_가정!$E$254/1000*(1+①통합_가정!$E$256)^INT((BA15-1)/①통합_가정!$E$257)*(1-CHOOSE(MIN(MAX(BA16,1),3),①통합_가정!$E$259,①통합_가정!$E$260,①통합_가정!$E$261))</f>
        <v>0</v>
      </c>
      <c r="BB40" s="37" t="n">
        <f aca="false">(BB14=1)*①통합_가정!$H$38*①통합_가정!$E$253*①통합_가정!$E$254/1000*(1+①통합_가정!$E$256)^INT((BB15-1)/①통합_가정!$E$257)*(1-CHOOSE(MIN(MAX(BB16,1),3),①통합_가정!$E$259,①통합_가정!$E$260,①통합_가정!$E$261))</f>
        <v>0</v>
      </c>
      <c r="BC40" s="37" t="n">
        <f aca="false">(BC14=1)*①통합_가정!$H$38*①통합_가정!$E$253*①통합_가정!$E$254/1000*(1+①통합_가정!$E$256)^INT((BC15-1)/①통합_가정!$E$257)*(1-CHOOSE(MIN(MAX(BC16,1),3),①통합_가정!$E$259,①통합_가정!$E$260,①통합_가정!$E$261))</f>
        <v>0</v>
      </c>
      <c r="BD40" s="37" t="n">
        <f aca="false">(BD14=1)*①통합_가정!$H$38*①통합_가정!$E$253*①통합_가정!$E$254/1000*(1+①통합_가정!$E$256)^INT((BD15-1)/①통합_가정!$E$257)*(1-CHOOSE(MIN(MAX(BD16,1),3),①통합_가정!$E$259,①통합_가정!$E$260,①통합_가정!$E$261))</f>
        <v>0</v>
      </c>
      <c r="BE40" s="37" t="n">
        <f aca="false">(BE14=1)*①통합_가정!$H$38*①통합_가정!$E$253*①통합_가정!$E$254/1000*(1+①통합_가정!$E$256)^INT((BE15-1)/①통합_가정!$E$257)*(1-CHOOSE(MIN(MAX(BE16,1),3),①통합_가정!$E$259,①통합_가정!$E$260,①통합_가정!$E$261))</f>
        <v>0</v>
      </c>
      <c r="BF40" s="37" t="n">
        <f aca="false">(BF14=1)*①통합_가정!$H$38*①통합_가정!$E$253*①통합_가정!$E$254/1000*(1+①통합_가정!$E$256)^INT((BF15-1)/①통합_가정!$E$257)*(1-CHOOSE(MIN(MAX(BF16,1),3),①통합_가정!$E$259,①통합_가정!$E$260,①통합_가정!$E$261))</f>
        <v>0</v>
      </c>
      <c r="BG40" s="37" t="n">
        <f aca="false">(BG14=1)*①통합_가정!$H$38*①통합_가정!$E$253*①통합_가정!$E$254/1000*(1+①통합_가정!$E$256)^INT((BG15-1)/①통합_가정!$E$257)*(1-CHOOSE(MIN(MAX(BG16,1),3),①통합_가정!$E$259,①통합_가정!$E$260,①통합_가정!$E$261))</f>
        <v>0</v>
      </c>
      <c r="BH40" s="37" t="n">
        <f aca="false">(BH14=1)*①통합_가정!$H$38*①통합_가정!$E$253*①통합_가정!$E$254/1000*(1+①통합_가정!$E$256)^INT((BH15-1)/①통합_가정!$E$257)*(1-CHOOSE(MIN(MAX(BH16,1),3),①통합_가정!$E$259,①통합_가정!$E$260,①통합_가정!$E$261))</f>
        <v>0</v>
      </c>
      <c r="BI40" s="37" t="n">
        <f aca="false">(BI14=1)*①통합_가정!$H$38*①통합_가정!$E$253*①통합_가정!$E$254/1000*(1+①통합_가정!$E$256)^INT((BI15-1)/①통합_가정!$E$257)*(1-CHOOSE(MIN(MAX(BI16,1),3),①통합_가정!$E$259,①통합_가정!$E$260,①통합_가정!$E$261))</f>
        <v>0</v>
      </c>
      <c r="BJ40" s="37" t="n">
        <f aca="false">(BJ14=1)*①통합_가정!$H$38*①통합_가정!$E$253*①통합_가정!$E$254/1000*(1+①통합_가정!$E$256)^INT((BJ15-1)/①통합_가정!$E$257)*(1-CHOOSE(MIN(MAX(BJ16,1),3),①통합_가정!$E$259,①통합_가정!$E$260,①통합_가정!$E$261))</f>
        <v>0</v>
      </c>
      <c r="BK40" s="37" t="n">
        <f aca="false">(BK14=1)*①통합_가정!$H$38*①통합_가정!$E$253*①통합_가정!$E$254/1000*(1+①통합_가정!$E$256)^INT((BK15-1)/①통합_가정!$E$257)*(1-CHOOSE(MIN(MAX(BK16,1),3),①통합_가정!$E$259,①통합_가정!$E$260,①통합_가정!$E$261))</f>
        <v>0</v>
      </c>
      <c r="BL40" s="37" t="n">
        <f aca="false">(BL14=1)*①통합_가정!$H$38*①통합_가정!$E$253*①통합_가정!$E$254/1000*(1+①통합_가정!$E$256)^INT((BL15-1)/①통합_가정!$E$257)*(1-CHOOSE(MIN(MAX(BL16,1),3),①통합_가정!$E$259,①통합_가정!$E$260,①통합_가정!$E$261))</f>
        <v>0</v>
      </c>
      <c r="BM40" s="37" t="n">
        <f aca="false">(BM14=1)*①통합_가정!$H$38*①통합_가정!$E$253*①통합_가정!$E$254/1000*(1+①통합_가정!$E$256)^INT((BM15-1)/①통합_가정!$E$257)*(1-CHOOSE(MIN(MAX(BM16,1),3),①통합_가정!$E$259,①통합_가정!$E$260,①통합_가정!$E$261))</f>
        <v>25.6644</v>
      </c>
      <c r="BN40" s="37" t="n">
        <f aca="false">(BN14=1)*①통합_가정!$H$38*①통합_가정!$E$253*①통합_가정!$E$254/1000*(1+①통합_가정!$E$256)^INT((BN15-1)/①통합_가정!$E$257)*(1-CHOOSE(MIN(MAX(BN16,1),3),①통합_가정!$E$259,①통합_가정!$E$260,①통합_가정!$E$261))</f>
        <v>25.6644</v>
      </c>
      <c r="BO40" s="37" t="n">
        <f aca="false">(BO14=1)*①통합_가정!$H$38*①통합_가정!$E$253*①통합_가정!$E$254/1000*(1+①통합_가정!$E$256)^INT((BO15-1)/①통합_가정!$E$257)*(1-CHOOSE(MIN(MAX(BO16,1),3),①통합_가정!$E$259,①통합_가정!$E$260,①통합_가정!$E$261))</f>
        <v>25.6644</v>
      </c>
      <c r="BP40" s="37" t="n">
        <f aca="false">(BP14=1)*①통합_가정!$H$38*①통합_가정!$E$253*①통합_가정!$E$254/1000*(1+①통합_가정!$E$256)^INT((BP15-1)/①통합_가정!$E$257)*(1-CHOOSE(MIN(MAX(BP16,1),3),①통합_가정!$E$259,①통합_가정!$E$260,①통합_가정!$E$261))</f>
        <v>25.6644</v>
      </c>
      <c r="BQ40" s="37" t="n">
        <f aca="false">(BQ14=1)*①통합_가정!$H$38*①통합_가정!$E$253*①통합_가정!$E$254/1000*(1+①통합_가정!$E$256)^INT((BQ15-1)/①통합_가정!$E$257)*(1-CHOOSE(MIN(MAX(BQ16,1),3),①통합_가정!$E$259,①통합_가정!$E$260,①통합_가정!$E$261))</f>
        <v>25.6644</v>
      </c>
      <c r="BR40" s="37" t="n">
        <f aca="false">(BR14=1)*①통합_가정!$H$38*①통합_가정!$E$253*①통합_가정!$E$254/1000*(1+①통합_가정!$E$256)^INT((BR15-1)/①통합_가정!$E$257)*(1-CHOOSE(MIN(MAX(BR16,1),3),①통합_가정!$E$259,①통합_가정!$E$260,①통합_가정!$E$261))</f>
        <v>25.6644</v>
      </c>
      <c r="BS40" s="37" t="n">
        <f aca="false">(BS14=1)*①통합_가정!$H$38*①통합_가정!$E$253*①통합_가정!$E$254/1000*(1+①통합_가정!$E$256)^INT((BS15-1)/①통합_가정!$E$257)*(1-CHOOSE(MIN(MAX(BS16,1),3),①통합_가정!$E$259,①통합_가정!$E$260,①통합_가정!$E$261))</f>
        <v>25.6644</v>
      </c>
      <c r="BT40" s="37" t="n">
        <f aca="false">(BT14=1)*①통합_가정!$H$38*①통합_가정!$E$253*①통합_가정!$E$254/1000*(1+①통합_가정!$E$256)^INT((BT15-1)/①통합_가정!$E$257)*(1-CHOOSE(MIN(MAX(BT16,1),3),①통합_가정!$E$259,①통합_가정!$E$260,①통합_가정!$E$261))</f>
        <v>25.6644</v>
      </c>
      <c r="BU40" s="37" t="n">
        <f aca="false">(BU14=1)*①통합_가정!$H$38*①통합_가정!$E$253*①통합_가정!$E$254/1000*(1+①통합_가정!$E$256)^INT((BU15-1)/①통합_가정!$E$257)*(1-CHOOSE(MIN(MAX(BU16,1),3),①통합_가정!$E$259,①통합_가정!$E$260,①통합_가정!$E$261))</f>
        <v>25.6644</v>
      </c>
      <c r="BV40" s="37" t="n">
        <f aca="false">(BV14=1)*①통합_가정!$H$38*①통합_가정!$E$253*①통합_가정!$E$254/1000*(1+①통합_가정!$E$256)^INT((BV15-1)/①통합_가정!$E$257)*(1-CHOOSE(MIN(MAX(BV16,1),3),①통합_가정!$E$259,①통합_가정!$E$260,①통합_가정!$E$261))</f>
        <v>25.6644</v>
      </c>
      <c r="BW40" s="37" t="n">
        <f aca="false">(BW14=1)*①통합_가정!$H$38*①통합_가정!$E$253*①통합_가정!$E$254/1000*(1+①통합_가정!$E$256)^INT((BW15-1)/①통합_가정!$E$257)*(1-CHOOSE(MIN(MAX(BW16,1),3),①통합_가정!$E$259,①통합_가정!$E$260,①통합_가정!$E$261))</f>
        <v>25.6644</v>
      </c>
      <c r="BX40" s="37" t="n">
        <f aca="false">(BX14=1)*①통합_가정!$H$38*①통합_가정!$E$253*①통합_가정!$E$254/1000*(1+①통합_가정!$E$256)^INT((BX15-1)/①통합_가정!$E$257)*(1-CHOOSE(MIN(MAX(BX16,1),3),①통합_가정!$E$259,①통합_가정!$E$260,①통합_가정!$E$261))</f>
        <v>25.6644</v>
      </c>
      <c r="BY40" s="37" t="n">
        <f aca="false">(BY14=1)*①통합_가정!$H$38*①통합_가정!$E$253*①통합_가정!$E$254/1000*(1+①통합_가정!$E$256)^INT((BY15-1)/①통합_가정!$E$257)*(1-CHOOSE(MIN(MAX(BY16,1),3),①통합_가정!$E$259,①통합_가정!$E$260,①통합_가정!$E$261))</f>
        <v>26.177688</v>
      </c>
      <c r="BZ40" s="37" t="n">
        <f aca="false">(BZ14=1)*①통합_가정!$H$38*①통합_가정!$E$253*①통합_가정!$E$254/1000*(1+①통합_가정!$E$256)^INT((BZ15-1)/①통합_가정!$E$257)*(1-CHOOSE(MIN(MAX(BZ16,1),3),①통합_가정!$E$259,①통합_가정!$E$260,①통합_가정!$E$261))</f>
        <v>26.177688</v>
      </c>
      <c r="CA40" s="37" t="n">
        <f aca="false">(CA14=1)*①통합_가정!$H$38*①통합_가정!$E$253*①통합_가정!$E$254/1000*(1+①통합_가정!$E$256)^INT((CA15-1)/①통합_가정!$E$257)*(1-CHOOSE(MIN(MAX(CA16,1),3),①통합_가정!$E$259,①통합_가정!$E$260,①통합_가정!$E$261))</f>
        <v>26.177688</v>
      </c>
      <c r="CB40" s="37" t="n">
        <f aca="false">(CB14=1)*①통합_가정!$H$38*①통합_가정!$E$253*①통합_가정!$E$254/1000*(1+①통합_가정!$E$256)^INT((CB15-1)/①통합_가정!$E$257)*(1-CHOOSE(MIN(MAX(CB16,1),3),①통합_가정!$E$259,①통합_가정!$E$260,①통합_가정!$E$261))</f>
        <v>26.177688</v>
      </c>
      <c r="CC40" s="37" t="n">
        <f aca="false">(CC14=1)*①통합_가정!$H$38*①통합_가정!$E$253*①통합_가정!$E$254/1000*(1+①통합_가정!$E$256)^INT((CC15-1)/①통합_가정!$E$257)*(1-CHOOSE(MIN(MAX(CC16,1),3),①통합_가정!$E$259,①통합_가정!$E$260,①통합_가정!$E$261))</f>
        <v>26.177688</v>
      </c>
      <c r="CD40" s="37" t="n">
        <f aca="false">(CD14=1)*①통합_가정!$H$38*①통합_가정!$E$253*①통합_가정!$E$254/1000*(1+①통합_가정!$E$256)^INT((CD15-1)/①통합_가정!$E$257)*(1-CHOOSE(MIN(MAX(CD16,1),3),①통합_가정!$E$259,①통합_가정!$E$260,①통합_가정!$E$261))</f>
        <v>26.177688</v>
      </c>
      <c r="CE40" s="37" t="n">
        <f aca="false">(CE14=1)*①통합_가정!$H$38*①통합_가정!$E$253*①통합_가정!$E$254/1000*(1+①통합_가정!$E$256)^INT((CE15-1)/①통합_가정!$E$257)*(1-CHOOSE(MIN(MAX(CE16,1),3),①통합_가정!$E$259,①통합_가정!$E$260,①통합_가정!$E$261))</f>
        <v>26.177688</v>
      </c>
      <c r="CF40" s="37" t="n">
        <f aca="false">(CF14=1)*①통합_가정!$H$38*①통합_가정!$E$253*①통합_가정!$E$254/1000*(1+①통합_가정!$E$256)^INT((CF15-1)/①통합_가정!$E$257)*(1-CHOOSE(MIN(MAX(CF16,1),3),①통합_가정!$E$259,①통합_가정!$E$260,①통합_가정!$E$261))</f>
        <v>26.177688</v>
      </c>
      <c r="CG40" s="37" t="n">
        <f aca="false">(CG14=1)*①통합_가정!$H$38*①통합_가정!$E$253*①통합_가정!$E$254/1000*(1+①통합_가정!$E$256)^INT((CG15-1)/①통합_가정!$E$257)*(1-CHOOSE(MIN(MAX(CG16,1),3),①통합_가정!$E$259,①통합_가정!$E$260,①통합_가정!$E$261))</f>
        <v>26.177688</v>
      </c>
      <c r="CH40" s="37" t="n">
        <f aca="false">(CH14=1)*①통합_가정!$H$38*①통합_가정!$E$253*①통합_가정!$E$254/1000*(1+①통합_가정!$E$256)^INT((CH15-1)/①통합_가정!$E$257)*(1-CHOOSE(MIN(MAX(CH16,1),3),①통합_가정!$E$259,①통합_가정!$E$260,①통합_가정!$E$261))</f>
        <v>26.177688</v>
      </c>
      <c r="CI40" s="37" t="n">
        <f aca="false">(CI14=1)*①통합_가정!$H$38*①통합_가정!$E$253*①통합_가정!$E$254/1000*(1+①통합_가정!$E$256)^INT((CI15-1)/①통합_가정!$E$257)*(1-CHOOSE(MIN(MAX(CI16,1),3),①통합_가정!$E$259,①통합_가정!$E$260,①통합_가정!$E$261))</f>
        <v>26.177688</v>
      </c>
      <c r="CJ40" s="37" t="n">
        <f aca="false">(CJ14=1)*①통합_가정!$H$38*①통합_가정!$E$253*①통합_가정!$E$254/1000*(1+①통합_가정!$E$256)^INT((CJ15-1)/①통합_가정!$E$257)*(1-CHOOSE(MIN(MAX(CJ16,1),3),①통합_가정!$E$259,①통합_가정!$E$260,①통합_가정!$E$261))</f>
        <v>26.177688</v>
      </c>
      <c r="CK40" s="37" t="n">
        <f aca="false">(CK14=1)*①통합_가정!$H$38*①통합_가정!$E$253*①통합_가정!$E$254/1000*(1+①통합_가정!$E$256)^INT((CK15-1)/①통합_가정!$E$257)*(1-CHOOSE(MIN(MAX(CK16,1),3),①통합_가정!$E$259,①통합_가정!$E$260,①통합_가정!$E$261))</f>
        <v>26.70124176</v>
      </c>
      <c r="CL40" s="37" t="n">
        <f aca="false">(CL14=1)*①통합_가정!$H$38*①통합_가정!$E$253*①통합_가정!$E$254/1000*(1+①통합_가정!$E$256)^INT((CL15-1)/①통합_가정!$E$257)*(1-CHOOSE(MIN(MAX(CL16,1),3),①통합_가정!$E$259,①통합_가정!$E$260,①통합_가정!$E$261))</f>
        <v>26.70124176</v>
      </c>
      <c r="CM40" s="37" t="n">
        <f aca="false">(CM14=1)*①통합_가정!$H$38*①통합_가정!$E$253*①통합_가정!$E$254/1000*(1+①통합_가정!$E$256)^INT((CM15-1)/①통합_가정!$E$257)*(1-CHOOSE(MIN(MAX(CM16,1),3),①통합_가정!$E$259,①통합_가정!$E$260,①통합_가정!$E$261))</f>
        <v>26.70124176</v>
      </c>
      <c r="CN40" s="37" t="n">
        <f aca="false">(CN14=1)*①통합_가정!$H$38*①통합_가정!$E$253*①통합_가정!$E$254/1000*(1+①통합_가정!$E$256)^INT((CN15-1)/①통합_가정!$E$257)*(1-CHOOSE(MIN(MAX(CN16,1),3),①통합_가정!$E$259,①통합_가정!$E$260,①통합_가정!$E$261))</f>
        <v>26.70124176</v>
      </c>
      <c r="CO40" s="37" t="n">
        <f aca="false">(CO14=1)*①통합_가정!$H$38*①통합_가정!$E$253*①통합_가정!$E$254/1000*(1+①통합_가정!$E$256)^INT((CO15-1)/①통합_가정!$E$257)*(1-CHOOSE(MIN(MAX(CO16,1),3),①통합_가정!$E$259,①통합_가정!$E$260,①통합_가정!$E$261))</f>
        <v>26.70124176</v>
      </c>
      <c r="CP40" s="37" t="n">
        <f aca="false">(CP14=1)*①통합_가정!$H$38*①통합_가정!$E$253*①통합_가정!$E$254/1000*(1+①통합_가정!$E$256)^INT((CP15-1)/①통합_가정!$E$257)*(1-CHOOSE(MIN(MAX(CP16,1),3),①통합_가정!$E$259,①통합_가정!$E$260,①통합_가정!$E$261))</f>
        <v>26.70124176</v>
      </c>
      <c r="CQ40" s="37" t="n">
        <f aca="false">(CQ14=1)*①통합_가정!$H$38*①통합_가정!$E$253*①통합_가정!$E$254/1000*(1+①통합_가정!$E$256)^INT((CQ15-1)/①통합_가정!$E$257)*(1-CHOOSE(MIN(MAX(CQ16,1),3),①통합_가정!$E$259,①통합_가정!$E$260,①통합_가정!$E$261))</f>
        <v>26.70124176</v>
      </c>
      <c r="CR40" s="37" t="n">
        <f aca="false">(CR14=1)*①통합_가정!$H$38*①통합_가정!$E$253*①통합_가정!$E$254/1000*(1+①통합_가정!$E$256)^INT((CR15-1)/①통합_가정!$E$257)*(1-CHOOSE(MIN(MAX(CR16,1),3),①통합_가정!$E$259,①통합_가정!$E$260,①통합_가정!$E$261))</f>
        <v>26.70124176</v>
      </c>
      <c r="CS40" s="37" t="n">
        <f aca="false">(CS14=1)*①통합_가정!$H$38*①통합_가정!$E$253*①통합_가정!$E$254/1000*(1+①통합_가정!$E$256)^INT((CS15-1)/①통합_가정!$E$257)*(1-CHOOSE(MIN(MAX(CS16,1),3),①통합_가정!$E$259,①통합_가정!$E$260,①통합_가정!$E$261))</f>
        <v>26.70124176</v>
      </c>
      <c r="CT40" s="37" t="n">
        <f aca="false">(CT14=1)*①통합_가정!$H$38*①통합_가정!$E$253*①통합_가정!$E$254/1000*(1+①통합_가정!$E$256)^INT((CT15-1)/①통합_가정!$E$257)*(1-CHOOSE(MIN(MAX(CT16,1),3),①통합_가정!$E$259,①통합_가정!$E$260,①통합_가정!$E$261))</f>
        <v>26.70124176</v>
      </c>
      <c r="CU40" s="37" t="n">
        <f aca="false">(CU14=1)*①통합_가정!$H$38*①통합_가정!$E$253*①통합_가정!$E$254/1000*(1+①통합_가정!$E$256)^INT((CU15-1)/①통합_가정!$E$257)*(1-CHOOSE(MIN(MAX(CU16,1),3),①통합_가정!$E$259,①통합_가정!$E$260,①통합_가정!$E$261))</f>
        <v>26.70124176</v>
      </c>
      <c r="CV40" s="37" t="n">
        <f aca="false">(CV14=1)*①통합_가정!$H$38*①통합_가정!$E$253*①통합_가정!$E$254/1000*(1+①통합_가정!$E$256)^INT((CV15-1)/①통합_가정!$E$257)*(1-CHOOSE(MIN(MAX(CV16,1),3),①통합_가정!$E$259,①통합_가정!$E$260,①통합_가정!$E$261))</f>
        <v>26.70124176</v>
      </c>
      <c r="CW40" s="37" t="n">
        <f aca="false">(CW14=1)*①통합_가정!$H$38*①통합_가정!$E$253*①통합_가정!$E$254/1000*(1+①통합_가정!$E$256)^INT((CW15-1)/①통합_가정!$E$257)*(1-CHOOSE(MIN(MAX(CW16,1),3),①통합_가정!$E$259,①통합_가정!$E$260,①통합_가정!$E$261))</f>
        <v>27.2352665952</v>
      </c>
      <c r="CX40" s="37" t="n">
        <f aca="false">(CX14=1)*①통합_가정!$H$38*①통합_가정!$E$253*①통합_가정!$E$254/1000*(1+①통합_가정!$E$256)^INT((CX15-1)/①통합_가정!$E$257)*(1-CHOOSE(MIN(MAX(CX16,1),3),①통합_가정!$E$259,①통합_가정!$E$260,①통합_가정!$E$261))</f>
        <v>27.2352665952</v>
      </c>
      <c r="CY40" s="37" t="n">
        <f aca="false">(CY14=1)*①통합_가정!$H$38*①통합_가정!$E$253*①통합_가정!$E$254/1000*(1+①통합_가정!$E$256)^INT((CY15-1)/①통합_가정!$E$257)*(1-CHOOSE(MIN(MAX(CY16,1),3),①통합_가정!$E$259,①통합_가정!$E$260,①통합_가정!$E$261))</f>
        <v>27.2352665952</v>
      </c>
      <c r="CZ40" s="37" t="n">
        <f aca="false">(CZ14=1)*①통합_가정!$H$38*①통합_가정!$E$253*①통합_가정!$E$254/1000*(1+①통합_가정!$E$256)^INT((CZ15-1)/①통합_가정!$E$257)*(1-CHOOSE(MIN(MAX(CZ16,1),3),①통합_가정!$E$259,①통합_가정!$E$260,①통합_가정!$E$261))</f>
        <v>27.2352665952</v>
      </c>
      <c r="DA40" s="37" t="n">
        <f aca="false">(DA14=1)*①통합_가정!$H$38*①통합_가정!$E$253*①통합_가정!$E$254/1000*(1+①통합_가정!$E$256)^INT((DA15-1)/①통합_가정!$E$257)*(1-CHOOSE(MIN(MAX(DA16,1),3),①통합_가정!$E$259,①통합_가정!$E$260,①통합_가정!$E$261))</f>
        <v>27.2352665952</v>
      </c>
      <c r="DB40" s="37" t="n">
        <f aca="false">(DB14=1)*①통합_가정!$H$38*①통합_가정!$E$253*①통합_가정!$E$254/1000*(1+①통합_가정!$E$256)^INT((DB15-1)/①통합_가정!$E$257)*(1-CHOOSE(MIN(MAX(DB16,1),3),①통합_가정!$E$259,①통합_가정!$E$260,①통합_가정!$E$261))</f>
        <v>27.2352665952</v>
      </c>
      <c r="DC40" s="37" t="n">
        <f aca="false">(DC14=1)*①통합_가정!$H$38*①통합_가정!$E$253*①통합_가정!$E$254/1000*(1+①통합_가정!$E$256)^INT((DC15-1)/①통합_가정!$E$257)*(1-CHOOSE(MIN(MAX(DC16,1),3),①통합_가정!$E$259,①통합_가정!$E$260,①통합_가정!$E$261))</f>
        <v>27.2352665952</v>
      </c>
      <c r="DD40" s="37" t="n">
        <f aca="false">(DD14=1)*①통합_가정!$H$38*①통합_가정!$E$253*①통합_가정!$E$254/1000*(1+①통합_가정!$E$256)^INT((DD15-1)/①통합_가정!$E$257)*(1-CHOOSE(MIN(MAX(DD16,1),3),①통합_가정!$E$259,①통합_가정!$E$260,①통합_가정!$E$261))</f>
        <v>27.2352665952</v>
      </c>
      <c r="DE40" s="37" t="n">
        <f aca="false">(DE14=1)*①통합_가정!$H$38*①통합_가정!$E$253*①통합_가정!$E$254/1000*(1+①통합_가정!$E$256)^INT((DE15-1)/①통합_가정!$E$257)*(1-CHOOSE(MIN(MAX(DE16,1),3),①통합_가정!$E$259,①통합_가정!$E$260,①통합_가정!$E$261))</f>
        <v>27.2352665952</v>
      </c>
      <c r="DF40" s="37" t="n">
        <f aca="false">(DF14=1)*①통합_가정!$H$38*①통합_가정!$E$253*①통합_가정!$E$254/1000*(1+①통합_가정!$E$256)^INT((DF15-1)/①통합_가정!$E$257)*(1-CHOOSE(MIN(MAX(DF16,1),3),①통합_가정!$E$259,①통합_가정!$E$260,①통합_가정!$E$261))</f>
        <v>27.2352665952</v>
      </c>
      <c r="DG40" s="37" t="n">
        <f aca="false">(DG14=1)*①통합_가정!$H$38*①통합_가정!$E$253*①통합_가정!$E$254/1000*(1+①통합_가정!$E$256)^INT((DG15-1)/①통합_가정!$E$257)*(1-CHOOSE(MIN(MAX(DG16,1),3),①통합_가정!$E$259,①통합_가정!$E$260,①통합_가정!$E$261))</f>
        <v>27.2352665952</v>
      </c>
      <c r="DH40" s="37" t="n">
        <f aca="false">(DH14=1)*①통합_가정!$H$38*①통합_가정!$E$253*①통합_가정!$E$254/1000*(1+①통합_가정!$E$256)^INT((DH15-1)/①통합_가정!$E$257)*(1-CHOOSE(MIN(MAX(DH16,1),3),①통합_가정!$E$259,①통합_가정!$E$260,①통합_가정!$E$261))</f>
        <v>27.2352665952</v>
      </c>
      <c r="DI40" s="37" t="n">
        <f aca="false">(DI14=1)*①통합_가정!$H$38*①통합_가정!$E$253*①통합_가정!$E$254/1000*(1+①통합_가정!$E$256)^INT((DI15-1)/①통합_가정!$E$257)*(1-CHOOSE(MIN(MAX(DI16,1),3),①통합_가정!$E$259,①통합_가정!$E$260,①통합_가정!$E$261))</f>
        <v>27.779971927104</v>
      </c>
      <c r="DJ40" s="37" t="n">
        <f aca="false">(DJ14=1)*①통합_가정!$H$38*①통합_가정!$E$253*①통합_가정!$E$254/1000*(1+①통합_가정!$E$256)^INT((DJ15-1)/①통합_가정!$E$257)*(1-CHOOSE(MIN(MAX(DJ16,1),3),①통합_가정!$E$259,①통합_가정!$E$260,①통합_가정!$E$261))</f>
        <v>27.779971927104</v>
      </c>
      <c r="DK40" s="37" t="n">
        <f aca="false">(DK14=1)*①통합_가정!$H$38*①통합_가정!$E$253*①통합_가정!$E$254/1000*(1+①통합_가정!$E$256)^INT((DK15-1)/①통합_가정!$E$257)*(1-CHOOSE(MIN(MAX(DK16,1),3),①통합_가정!$E$259,①통합_가정!$E$260,①통합_가정!$E$261))</f>
        <v>27.779971927104</v>
      </c>
      <c r="DL40" s="37" t="n">
        <f aca="false">(DL14=1)*①통합_가정!$H$38*①통합_가정!$E$253*①통합_가정!$E$254/1000*(1+①통합_가정!$E$256)^INT((DL15-1)/①통합_가정!$E$257)*(1-CHOOSE(MIN(MAX(DL16,1),3),①통합_가정!$E$259,①통합_가정!$E$260,①통합_가정!$E$261))</f>
        <v>27.779971927104</v>
      </c>
      <c r="DM40" s="37" t="n">
        <f aca="false">(DM14=1)*①통합_가정!$H$38*①통합_가정!$E$253*①통합_가정!$E$254/1000*(1+①통합_가정!$E$256)^INT((DM15-1)/①통합_가정!$E$257)*(1-CHOOSE(MIN(MAX(DM16,1),3),①통합_가정!$E$259,①통합_가정!$E$260,①통합_가정!$E$261))</f>
        <v>27.779971927104</v>
      </c>
      <c r="DN40" s="37" t="n">
        <f aca="false">(DN14=1)*①통합_가정!$H$38*①통합_가정!$E$253*①통합_가정!$E$254/1000*(1+①통합_가정!$E$256)^INT((DN15-1)/①통합_가정!$E$257)*(1-CHOOSE(MIN(MAX(DN16,1),3),①통합_가정!$E$259,①통합_가정!$E$260,①통합_가정!$E$261))</f>
        <v>27.779971927104</v>
      </c>
      <c r="DO40" s="37" t="n">
        <f aca="false">(DO14=1)*①통합_가정!$H$38*①통합_가정!$E$253*①통합_가정!$E$254/1000*(1+①통합_가정!$E$256)^INT((DO15-1)/①통합_가정!$E$257)*(1-CHOOSE(MIN(MAX(DO16,1),3),①통합_가정!$E$259,①통합_가정!$E$260,①통합_가정!$E$261))</f>
        <v>27.779971927104</v>
      </c>
      <c r="DP40" s="37" t="n">
        <f aca="false">(DP14=1)*①통합_가정!$H$38*①통합_가정!$E$253*①통합_가정!$E$254/1000*(1+①통합_가정!$E$256)^INT((DP15-1)/①통합_가정!$E$257)*(1-CHOOSE(MIN(MAX(DP16,1),3),①통합_가정!$E$259,①통합_가정!$E$260,①통합_가정!$E$261))</f>
        <v>27.779971927104</v>
      </c>
      <c r="DQ40" s="37" t="n">
        <f aca="false">(DQ14=1)*①통합_가정!$H$38*①통합_가정!$E$253*①통합_가정!$E$254/1000*(1+①통합_가정!$E$256)^INT((DQ15-1)/①통합_가정!$E$257)*(1-CHOOSE(MIN(MAX(DQ16,1),3),①통합_가정!$E$259,①통합_가정!$E$260,①통합_가정!$E$261))</f>
        <v>27.779971927104</v>
      </c>
      <c r="DR40" s="37" t="n">
        <f aca="false">(DR14=1)*①통합_가정!$H$38*①통합_가정!$E$253*①통합_가정!$E$254/1000*(1+①통합_가정!$E$256)^INT((DR15-1)/①통합_가정!$E$257)*(1-CHOOSE(MIN(MAX(DR16,1),3),①통합_가정!$E$259,①통합_가정!$E$260,①통합_가정!$E$261))</f>
        <v>27.779971927104</v>
      </c>
      <c r="DS40" s="37" t="n">
        <f aca="false">(DS14=1)*①통합_가정!$H$38*①통합_가정!$E$253*①통합_가정!$E$254/1000*(1+①통합_가정!$E$256)^INT((DS15-1)/①통합_가정!$E$257)*(1-CHOOSE(MIN(MAX(DS16,1),3),①통합_가정!$E$259,①통합_가정!$E$260,①통합_가정!$E$261))</f>
        <v>27.779971927104</v>
      </c>
      <c r="DT40" s="37" t="n">
        <f aca="false">(DT14=1)*①통합_가정!$H$38*①통합_가정!$E$253*①통합_가정!$E$254/1000*(1+①통합_가정!$E$256)^INT((DT15-1)/①통합_가정!$E$257)*(1-CHOOSE(MIN(MAX(DT16,1),3),①통합_가정!$E$259,①통합_가정!$E$260,①통합_가정!$E$261))</f>
        <v>27.779971927104</v>
      </c>
      <c r="DU40" s="37" t="n">
        <f aca="false">(DU14=1)*①통합_가정!$H$38*①통합_가정!$E$253*①통합_가정!$E$254/1000*(1+①통합_가정!$E$256)^INT((DU15-1)/①통합_가정!$E$257)*(1-CHOOSE(MIN(MAX(DU16,1),3),①통합_가정!$E$259,①통합_가정!$E$260,①통합_가정!$E$261))</f>
        <v>0</v>
      </c>
      <c r="DV40" s="37" t="n">
        <f aca="false">(DV14=1)*①통합_가정!$H$38*①통합_가정!$E$253*①통합_가정!$E$254/1000*(1+①통합_가정!$E$256)^INT((DV15-1)/①통합_가정!$E$257)*(1-CHOOSE(MIN(MAX(DV16,1),3),①통합_가정!$E$259,①통합_가정!$E$260,①통합_가정!$E$261))</f>
        <v>0</v>
      </c>
      <c r="DW40" s="37" t="n">
        <f aca="false">(DW14=1)*①통합_가정!$H$38*①통합_가정!$E$253*①통합_가정!$E$254/1000*(1+①통합_가정!$E$256)^INT((DW15-1)/①통합_가정!$E$257)*(1-CHOOSE(MIN(MAX(DW16,1),3),①통합_가정!$E$259,①통합_가정!$E$260,①통합_가정!$E$261))</f>
        <v>0</v>
      </c>
      <c r="DX40" s="37" t="n">
        <f aca="false">(DX14=1)*①통합_가정!$H$38*①통합_가정!$E$253*①통합_가정!$E$254/1000*(1+①통합_가정!$E$256)^INT((DX15-1)/①통합_가정!$E$257)*(1-CHOOSE(MIN(MAX(DX16,1),3),①통합_가정!$E$259,①통합_가정!$E$260,①통합_가정!$E$261))</f>
        <v>0</v>
      </c>
      <c r="DY40" s="37" t="n">
        <f aca="false">(DY14=1)*①통합_가정!$H$38*①통합_가정!$E$253*①통합_가정!$E$254/1000*(1+①통합_가정!$E$256)^INT((DY15-1)/①통합_가정!$E$257)*(1-CHOOSE(MIN(MAX(DY16,1),3),①통합_가정!$E$259,①통합_가정!$E$260,①통합_가정!$E$261))</f>
        <v>0</v>
      </c>
      <c r="DZ40" s="37" t="n">
        <f aca="false">(DZ14=1)*①통합_가정!$H$38*①통합_가정!$E$253*①통합_가정!$E$254/1000*(1+①통합_가정!$E$256)^INT((DZ15-1)/①통합_가정!$E$257)*(1-CHOOSE(MIN(MAX(DZ16,1),3),①통합_가정!$E$259,①통합_가정!$E$260,①통합_가정!$E$261))</f>
        <v>0</v>
      </c>
      <c r="EA40" s="37" t="n">
        <f aca="false">(EA14=1)*①통합_가정!$H$38*①통합_가정!$E$253*①통합_가정!$E$254/1000*(1+①통합_가정!$E$256)^INT((EA15-1)/①통합_가정!$E$257)*(1-CHOOSE(MIN(MAX(EA16,1),3),①통합_가정!$E$259,①통합_가정!$E$260,①통합_가정!$E$261))</f>
        <v>0</v>
      </c>
      <c r="EB40" s="37" t="n">
        <f aca="false">(EB14=1)*①통합_가정!$H$38*①통합_가정!$E$253*①통합_가정!$E$254/1000*(1+①통합_가정!$E$256)^INT((EB15-1)/①통합_가정!$E$257)*(1-CHOOSE(MIN(MAX(EB16,1),3),①통합_가정!$E$259,①통합_가정!$E$260,①통합_가정!$E$261))</f>
        <v>0</v>
      </c>
      <c r="EC40" s="37" t="n">
        <f aca="false">(EC14=1)*①통합_가정!$H$38*①통합_가정!$E$253*①통합_가정!$E$254/1000*(1+①통합_가정!$E$256)^INT((EC15-1)/①통합_가정!$E$257)*(1-CHOOSE(MIN(MAX(EC16,1),3),①통합_가정!$E$259,①통합_가정!$E$260,①통합_가정!$E$261))</f>
        <v>0</v>
      </c>
      <c r="ED40" s="37" t="n">
        <f aca="false">(ED14=1)*①통합_가정!$H$38*①통합_가정!$E$253*①통합_가정!$E$254/1000*(1+①통합_가정!$E$256)^INT((ED15-1)/①통합_가정!$E$257)*(1-CHOOSE(MIN(MAX(ED16,1),3),①통합_가정!$E$259,①통합_가정!$E$260,①통합_가정!$E$261))</f>
        <v>0</v>
      </c>
      <c r="EE40" s="37" t="n">
        <f aca="false">(EE14=1)*①통합_가정!$H$38*①통합_가정!$E$253*①통합_가정!$E$254/1000*(1+①통합_가정!$E$256)^INT((EE15-1)/①통합_가정!$E$257)*(1-CHOOSE(MIN(MAX(EE16,1),3),①통합_가정!$E$259,①통합_가정!$E$260,①통합_가정!$E$261))</f>
        <v>0</v>
      </c>
      <c r="EF40" s="37" t="n">
        <f aca="false">(EF14=1)*①통합_가정!$H$38*①통합_가정!$E$253*①통합_가정!$E$254/1000*(1+①통합_가정!$E$256)^INT((EF15-1)/①통합_가정!$E$257)*(1-CHOOSE(MIN(MAX(EF16,1),3),①통합_가정!$E$259,①통합_가정!$E$260,①통합_가정!$E$261))</f>
        <v>0</v>
      </c>
    </row>
    <row r="41" customFormat="false" ht="15" hidden="false" customHeight="false" outlineLevel="0" collapsed="false">
      <c r="A41" s="280" t="s">
        <v>44</v>
      </c>
      <c r="B41" s="281" t="s">
        <v>21</v>
      </c>
      <c r="C41" s="282" t="n">
        <f aca="false">SUM(E41:EF41)</f>
        <v>1022866.31264512</v>
      </c>
      <c r="D41" s="48"/>
      <c r="E41" s="283" t="n">
        <f aca="false">SUM(E21:E40)</f>
        <v>0</v>
      </c>
      <c r="F41" s="283" t="n">
        <f aca="false">SUM(F21:F40)</f>
        <v>0</v>
      </c>
      <c r="G41" s="283" t="n">
        <f aca="false">SUM(G21:G40)</f>
        <v>0</v>
      </c>
      <c r="H41" s="283" t="n">
        <f aca="false">SUM(H21:H40)</f>
        <v>0</v>
      </c>
      <c r="I41" s="283" t="n">
        <f aca="false">SUM(I21:I40)</f>
        <v>0</v>
      </c>
      <c r="J41" s="283" t="n">
        <f aca="false">SUM(J21:J40)</f>
        <v>0</v>
      </c>
      <c r="K41" s="283" t="n">
        <f aca="false">SUM(K21:K40)</f>
        <v>0</v>
      </c>
      <c r="L41" s="283" t="n">
        <f aca="false">SUM(L21:L40)</f>
        <v>0</v>
      </c>
      <c r="M41" s="283" t="n">
        <f aca="false">SUM(M21:M40)</f>
        <v>0</v>
      </c>
      <c r="N41" s="283" t="n">
        <f aca="false">SUM(N21:N40)</f>
        <v>0</v>
      </c>
      <c r="O41" s="283" t="n">
        <f aca="false">SUM(O21:O40)</f>
        <v>0</v>
      </c>
      <c r="P41" s="283" t="n">
        <f aca="false">SUM(P21:P40)</f>
        <v>0</v>
      </c>
      <c r="Q41" s="283" t="n">
        <f aca="false">SUM(Q21:Q40)</f>
        <v>0</v>
      </c>
      <c r="R41" s="283" t="n">
        <f aca="false">SUM(R21:R40)</f>
        <v>0</v>
      </c>
      <c r="S41" s="283" t="n">
        <f aca="false">SUM(S21:S40)</f>
        <v>0</v>
      </c>
      <c r="T41" s="283" t="n">
        <f aca="false">SUM(T21:T40)</f>
        <v>0</v>
      </c>
      <c r="U41" s="283" t="n">
        <f aca="false">SUM(U21:U40)</f>
        <v>0</v>
      </c>
      <c r="V41" s="283" t="n">
        <f aca="false">SUM(V21:V40)</f>
        <v>0</v>
      </c>
      <c r="W41" s="283" t="n">
        <f aca="false">SUM(W21:W40)</f>
        <v>0</v>
      </c>
      <c r="X41" s="283" t="n">
        <f aca="false">SUM(X21:X40)</f>
        <v>0</v>
      </c>
      <c r="Y41" s="283" t="n">
        <f aca="false">SUM(Y21:Y40)</f>
        <v>0</v>
      </c>
      <c r="Z41" s="283" t="n">
        <f aca="false">SUM(Z21:Z40)</f>
        <v>0</v>
      </c>
      <c r="AA41" s="283" t="n">
        <f aca="false">SUM(AA21:AA40)</f>
        <v>0</v>
      </c>
      <c r="AB41" s="283" t="n">
        <f aca="false">SUM(AB21:AB40)</f>
        <v>0</v>
      </c>
      <c r="AC41" s="283" t="n">
        <f aca="false">SUM(AC21:AC40)</f>
        <v>0</v>
      </c>
      <c r="AD41" s="283" t="n">
        <f aca="false">SUM(AD21:AD40)</f>
        <v>0</v>
      </c>
      <c r="AE41" s="283" t="n">
        <f aca="false">SUM(AE21:AE40)</f>
        <v>0</v>
      </c>
      <c r="AF41" s="283" t="n">
        <f aca="false">SUM(AF21:AF40)</f>
        <v>0</v>
      </c>
      <c r="AG41" s="283" t="n">
        <f aca="false">SUM(AG21:AG40)</f>
        <v>0</v>
      </c>
      <c r="AH41" s="283" t="n">
        <f aca="false">SUM(AH21:AH40)</f>
        <v>0</v>
      </c>
      <c r="AI41" s="283" t="n">
        <f aca="false">SUM(AI21:AI40)</f>
        <v>0</v>
      </c>
      <c r="AJ41" s="283" t="n">
        <f aca="false">SUM(AJ21:AJ40)</f>
        <v>0</v>
      </c>
      <c r="AK41" s="283" t="n">
        <f aca="false">SUM(AK21:AK40)</f>
        <v>0</v>
      </c>
      <c r="AL41" s="283" t="n">
        <f aca="false">SUM(AL21:AL40)</f>
        <v>0</v>
      </c>
      <c r="AM41" s="283" t="n">
        <f aca="false">SUM(AM21:AM40)</f>
        <v>0</v>
      </c>
      <c r="AN41" s="283" t="n">
        <f aca="false">SUM(AN21:AN40)</f>
        <v>0</v>
      </c>
      <c r="AO41" s="283" t="n">
        <f aca="false">SUM(AO21:AO40)</f>
        <v>0</v>
      </c>
      <c r="AP41" s="283" t="n">
        <f aca="false">SUM(AP21:AP40)</f>
        <v>0</v>
      </c>
      <c r="AQ41" s="283" t="n">
        <f aca="false">SUM(AQ21:AQ40)</f>
        <v>0</v>
      </c>
      <c r="AR41" s="283" t="n">
        <f aca="false">SUM(AR21:AR40)</f>
        <v>0</v>
      </c>
      <c r="AS41" s="283" t="n">
        <f aca="false">SUM(AS21:AS40)</f>
        <v>0</v>
      </c>
      <c r="AT41" s="283" t="n">
        <f aca="false">SUM(AT21:AT40)</f>
        <v>0</v>
      </c>
      <c r="AU41" s="283" t="n">
        <f aca="false">SUM(AU21:AU40)</f>
        <v>0</v>
      </c>
      <c r="AV41" s="283" t="n">
        <f aca="false">SUM(AV21:AV40)</f>
        <v>0</v>
      </c>
      <c r="AW41" s="283" t="n">
        <f aca="false">SUM(AW21:AW40)</f>
        <v>0</v>
      </c>
      <c r="AX41" s="283" t="n">
        <f aca="false">SUM(AX21:AX40)</f>
        <v>0</v>
      </c>
      <c r="AY41" s="283" t="n">
        <f aca="false">SUM(AY21:AY40)</f>
        <v>0</v>
      </c>
      <c r="AZ41" s="283" t="n">
        <f aca="false">SUM(AZ21:AZ40)</f>
        <v>0</v>
      </c>
      <c r="BA41" s="283" t="n">
        <f aca="false">SUM(BA21:BA40)</f>
        <v>0</v>
      </c>
      <c r="BB41" s="283" t="n">
        <f aca="false">SUM(BB21:BB40)</f>
        <v>0</v>
      </c>
      <c r="BC41" s="283" t="n">
        <f aca="false">SUM(BC21:BC40)</f>
        <v>0</v>
      </c>
      <c r="BD41" s="283" t="n">
        <f aca="false">SUM(BD21:BD40)</f>
        <v>0</v>
      </c>
      <c r="BE41" s="283" t="n">
        <f aca="false">SUM(BE21:BE40)</f>
        <v>0</v>
      </c>
      <c r="BF41" s="283" t="n">
        <f aca="false">SUM(BF21:BF40)</f>
        <v>0</v>
      </c>
      <c r="BG41" s="283" t="n">
        <f aca="false">SUM(BG21:BG40)</f>
        <v>0</v>
      </c>
      <c r="BH41" s="283" t="n">
        <f aca="false">SUM(BH21:BH40)</f>
        <v>0</v>
      </c>
      <c r="BI41" s="283" t="n">
        <f aca="false">SUM(BI21:BI40)</f>
        <v>0</v>
      </c>
      <c r="BJ41" s="283" t="n">
        <f aca="false">SUM(BJ21:BJ40)</f>
        <v>0</v>
      </c>
      <c r="BK41" s="283" t="n">
        <f aca="false">SUM(BK21:BK40)</f>
        <v>0</v>
      </c>
      <c r="BL41" s="283" t="n">
        <f aca="false">SUM(BL21:BL40)</f>
        <v>0</v>
      </c>
      <c r="BM41" s="283" t="n">
        <f aca="false">SUM(BM21:BM40)</f>
        <v>14695.9534178032</v>
      </c>
      <c r="BN41" s="283" t="n">
        <f aca="false">SUM(BN21:BN40)</f>
        <v>14333.065775616</v>
      </c>
      <c r="BO41" s="283" t="n">
        <f aca="false">SUM(BO21:BO40)</f>
        <v>14695.9534178032</v>
      </c>
      <c r="BP41" s="283" t="n">
        <f aca="false">SUM(BP21:BP40)</f>
        <v>14333.065775616</v>
      </c>
      <c r="BQ41" s="283" t="n">
        <f aca="false">SUM(BQ21:BQ40)</f>
        <v>14695.9534178032</v>
      </c>
      <c r="BR41" s="283" t="n">
        <f aca="false">SUM(BR21:BR40)</f>
        <v>14695.9534178032</v>
      </c>
      <c r="BS41" s="283" t="n">
        <f aca="false">SUM(BS21:BS40)</f>
        <v>14333.065775616</v>
      </c>
      <c r="BT41" s="283" t="n">
        <f aca="false">SUM(BT21:BT40)</f>
        <v>14695.9534178032</v>
      </c>
      <c r="BU41" s="283" t="n">
        <f aca="false">SUM(BU21:BU40)</f>
        <v>14333.065775616</v>
      </c>
      <c r="BV41" s="283" t="n">
        <f aca="false">SUM(BV21:BV40)</f>
        <v>14695.9534178032</v>
      </c>
      <c r="BW41" s="283" t="n">
        <f aca="false">SUM(BW21:BW40)</f>
        <v>14695.9534178032</v>
      </c>
      <c r="BX41" s="283" t="n">
        <f aca="false">SUM(BX21:BX40)</f>
        <v>13970.1781334288</v>
      </c>
      <c r="BY41" s="283" t="n">
        <f aca="false">SUM(BY21:BY40)</f>
        <v>17399.3797331899</v>
      </c>
      <c r="BZ41" s="283" t="n">
        <f aca="false">SUM(BZ21:BZ40)</f>
        <v>16972.2888927696</v>
      </c>
      <c r="CA41" s="283" t="n">
        <f aca="false">SUM(CA21:CA40)</f>
        <v>17399.3797331899</v>
      </c>
      <c r="CB41" s="283" t="n">
        <f aca="false">SUM(CB21:CB40)</f>
        <v>16972.2888927696</v>
      </c>
      <c r="CC41" s="283" t="n">
        <f aca="false">SUM(CC21:CC40)</f>
        <v>17399.3797331899</v>
      </c>
      <c r="CD41" s="283" t="n">
        <f aca="false">SUM(CD21:CD40)</f>
        <v>17399.3797331899</v>
      </c>
      <c r="CE41" s="283" t="n">
        <f aca="false">SUM(CE21:CE40)</f>
        <v>16972.2888927696</v>
      </c>
      <c r="CF41" s="283" t="n">
        <f aca="false">SUM(CF21:CF40)</f>
        <v>17399.3797331899</v>
      </c>
      <c r="CG41" s="283" t="n">
        <f aca="false">SUM(CG21:CG40)</f>
        <v>16972.2888927696</v>
      </c>
      <c r="CH41" s="283" t="n">
        <f aca="false">SUM(CH21:CH40)</f>
        <v>17399.3797331899</v>
      </c>
      <c r="CI41" s="283" t="n">
        <f aca="false">SUM(CI21:CI40)</f>
        <v>17399.3797331899</v>
      </c>
      <c r="CJ41" s="283" t="n">
        <f aca="false">SUM(CJ21:CJ40)</f>
        <v>16118.107211929</v>
      </c>
      <c r="CK41" s="283" t="n">
        <f aca="false">SUM(CK21:CK40)</f>
        <v>17747.3673278537</v>
      </c>
      <c r="CL41" s="283" t="n">
        <f aca="false">SUM(CL21:CL40)</f>
        <v>17311.734670625</v>
      </c>
      <c r="CM41" s="283" t="n">
        <f aca="false">SUM(CM21:CM40)</f>
        <v>17747.3673278537</v>
      </c>
      <c r="CN41" s="283" t="n">
        <f aca="false">SUM(CN21:CN40)</f>
        <v>17311.734670625</v>
      </c>
      <c r="CO41" s="283" t="n">
        <f aca="false">SUM(CO21:CO40)</f>
        <v>17747.3673278537</v>
      </c>
      <c r="CP41" s="283" t="n">
        <f aca="false">SUM(CP21:CP40)</f>
        <v>17747.3673278537</v>
      </c>
      <c r="CQ41" s="283" t="n">
        <f aca="false">SUM(CQ21:CQ40)</f>
        <v>17311.734670625</v>
      </c>
      <c r="CR41" s="283" t="n">
        <f aca="false">SUM(CR21:CR40)</f>
        <v>17747.3673278537</v>
      </c>
      <c r="CS41" s="283" t="n">
        <f aca="false">SUM(CS21:CS40)</f>
        <v>17311.734670625</v>
      </c>
      <c r="CT41" s="283" t="n">
        <f aca="false">SUM(CT21:CT40)</f>
        <v>17747.3673278537</v>
      </c>
      <c r="CU41" s="283" t="n">
        <f aca="false">SUM(CU21:CU40)</f>
        <v>17747.3673278537</v>
      </c>
      <c r="CV41" s="283" t="n">
        <f aca="false">SUM(CV21:CV40)</f>
        <v>16440.4693561675</v>
      </c>
      <c r="CW41" s="283" t="n">
        <f aca="false">SUM(CW21:CW40)</f>
        <v>18102.3146744108</v>
      </c>
      <c r="CX41" s="283" t="n">
        <f aca="false">SUM(CX21:CX40)</f>
        <v>17657.9693640375</v>
      </c>
      <c r="CY41" s="283" t="n">
        <f aca="false">SUM(CY21:CY40)</f>
        <v>18102.3146744108</v>
      </c>
      <c r="CZ41" s="283" t="n">
        <f aca="false">SUM(CZ21:CZ40)</f>
        <v>17657.9693640375</v>
      </c>
      <c r="DA41" s="283" t="n">
        <f aca="false">SUM(DA21:DA40)</f>
        <v>18102.3146744108</v>
      </c>
      <c r="DB41" s="283" t="n">
        <f aca="false">SUM(DB21:DB40)</f>
        <v>18102.3146744108</v>
      </c>
      <c r="DC41" s="283" t="n">
        <f aca="false">SUM(DC21:DC40)</f>
        <v>17657.9693640375</v>
      </c>
      <c r="DD41" s="283" t="n">
        <f aca="false">SUM(DD21:DD40)</f>
        <v>18102.3146744108</v>
      </c>
      <c r="DE41" s="283" t="n">
        <f aca="false">SUM(DE21:DE40)</f>
        <v>17657.9693640375</v>
      </c>
      <c r="DF41" s="283" t="n">
        <f aca="false">SUM(DF21:DF40)</f>
        <v>18102.3146744108</v>
      </c>
      <c r="DG41" s="283" t="n">
        <f aca="false">SUM(DG21:DG40)</f>
        <v>18102.3146744108</v>
      </c>
      <c r="DH41" s="283" t="n">
        <f aca="false">SUM(DH21:DH40)</f>
        <v>16769.2787432909</v>
      </c>
      <c r="DI41" s="283" t="n">
        <f aca="false">SUM(DI21:DI40)</f>
        <v>18464.360967899</v>
      </c>
      <c r="DJ41" s="283" t="n">
        <f aca="false">SUM(DJ21:DJ40)</f>
        <v>18011.1287513182</v>
      </c>
      <c r="DK41" s="283" t="n">
        <f aca="false">SUM(DK21:DK40)</f>
        <v>18464.360967899</v>
      </c>
      <c r="DL41" s="283" t="n">
        <f aca="false">SUM(DL21:DL40)</f>
        <v>18011.1287513182</v>
      </c>
      <c r="DM41" s="283" t="n">
        <f aca="false">SUM(DM21:DM40)</f>
        <v>18464.360967899</v>
      </c>
      <c r="DN41" s="283" t="n">
        <f aca="false">SUM(DN21:DN40)</f>
        <v>18464.360967899</v>
      </c>
      <c r="DO41" s="283" t="n">
        <f aca="false">SUM(DO21:DO40)</f>
        <v>18011.1287513182</v>
      </c>
      <c r="DP41" s="283" t="n">
        <f aca="false">SUM(DP21:DP40)</f>
        <v>18464.360967899</v>
      </c>
      <c r="DQ41" s="283" t="n">
        <f aca="false">SUM(DQ21:DQ40)</f>
        <v>18011.1287513182</v>
      </c>
      <c r="DR41" s="283" t="n">
        <f aca="false">SUM(DR21:DR40)</f>
        <v>18464.360967899</v>
      </c>
      <c r="DS41" s="283" t="n">
        <f aca="false">SUM(DS21:DS40)</f>
        <v>18464.360967899</v>
      </c>
      <c r="DT41" s="283" t="n">
        <f aca="false">SUM(DT21:DT40)</f>
        <v>17557.8965347375</v>
      </c>
      <c r="DU41" s="283" t="n">
        <f aca="false">SUM(DU21:DU40)</f>
        <v>0</v>
      </c>
      <c r="DV41" s="283" t="n">
        <f aca="false">SUM(DV21:DV40)</f>
        <v>0</v>
      </c>
      <c r="DW41" s="283" t="n">
        <f aca="false">SUM(DW21:DW40)</f>
        <v>0</v>
      </c>
      <c r="DX41" s="283" t="n">
        <f aca="false">SUM(DX21:DX40)</f>
        <v>0</v>
      </c>
      <c r="DY41" s="283" t="n">
        <f aca="false">SUM(DY21:DY40)</f>
        <v>0</v>
      </c>
      <c r="DZ41" s="283" t="n">
        <f aca="false">SUM(DZ21:DZ40)</f>
        <v>0</v>
      </c>
      <c r="EA41" s="283" t="n">
        <f aca="false">SUM(EA21:EA40)</f>
        <v>0</v>
      </c>
      <c r="EB41" s="283" t="n">
        <f aca="false">SUM(EB21:EB40)</f>
        <v>0</v>
      </c>
      <c r="EC41" s="283" t="n">
        <f aca="false">SUM(EC21:EC40)</f>
        <v>0</v>
      </c>
      <c r="ED41" s="283" t="n">
        <f aca="false">SUM(ED21:ED40)</f>
        <v>0</v>
      </c>
      <c r="EE41" s="283" t="n">
        <f aca="false">SUM(EE21:EE40)</f>
        <v>0</v>
      </c>
      <c r="EF41" s="283" t="n">
        <f aca="false">SUM(EF21:EF40)</f>
        <v>0</v>
      </c>
    </row>
    <row r="43" customFormat="false" ht="15" hidden="false" customHeight="false" outlineLevel="0" collapsed="false">
      <c r="A43" s="6" t="s">
        <v>591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</row>
    <row r="44" customFormat="false" ht="15" hidden="false" customHeight="false" outlineLevel="0" collapsed="false">
      <c r="A44" s="36" t="s">
        <v>592</v>
      </c>
      <c r="B44" s="278" t="s">
        <v>21</v>
      </c>
      <c r="C44" s="279" t="n">
        <f aca="false">SUM(E44:EF44)</f>
        <v>88377.5542353984</v>
      </c>
      <c r="E44" s="37" t="n">
        <f aca="false">(E21+E22)*(①통합_가정!$E$110+①통합_가정!$E$111)</f>
        <v>0</v>
      </c>
      <c r="F44" s="37" t="n">
        <f aca="false">(F21+F22)*(①통합_가정!$E$110+①통합_가정!$E$111)</f>
        <v>0</v>
      </c>
      <c r="G44" s="37" t="n">
        <f aca="false">(G21+G22)*(①통합_가정!$E$110+①통합_가정!$E$111)</f>
        <v>0</v>
      </c>
      <c r="H44" s="37" t="n">
        <f aca="false">(H21+H22)*(①통합_가정!$E$110+①통합_가정!$E$111)</f>
        <v>0</v>
      </c>
      <c r="I44" s="37" t="n">
        <f aca="false">(I21+I22)*(①통합_가정!$E$110+①통합_가정!$E$111)</f>
        <v>0</v>
      </c>
      <c r="J44" s="37" t="n">
        <f aca="false">(J21+J22)*(①통합_가정!$E$110+①통합_가정!$E$111)</f>
        <v>0</v>
      </c>
      <c r="K44" s="37" t="n">
        <f aca="false">(K21+K22)*(①통합_가정!$E$110+①통합_가정!$E$111)</f>
        <v>0</v>
      </c>
      <c r="L44" s="37" t="n">
        <f aca="false">(L21+L22)*(①통합_가정!$E$110+①통합_가정!$E$111)</f>
        <v>0</v>
      </c>
      <c r="M44" s="37" t="n">
        <f aca="false">(M21+M22)*(①통합_가정!$E$110+①통합_가정!$E$111)</f>
        <v>0</v>
      </c>
      <c r="N44" s="37" t="n">
        <f aca="false">(N21+N22)*(①통합_가정!$E$110+①통합_가정!$E$111)</f>
        <v>0</v>
      </c>
      <c r="O44" s="37" t="n">
        <f aca="false">(O21+O22)*(①통합_가정!$E$110+①통합_가정!$E$111)</f>
        <v>0</v>
      </c>
      <c r="P44" s="37" t="n">
        <f aca="false">(P21+P22)*(①통합_가정!$E$110+①통합_가정!$E$111)</f>
        <v>0</v>
      </c>
      <c r="Q44" s="37" t="n">
        <f aca="false">(Q21+Q22)*(①통합_가정!$E$110+①통합_가정!$E$111)</f>
        <v>0</v>
      </c>
      <c r="R44" s="37" t="n">
        <f aca="false">(R21+R22)*(①통합_가정!$E$110+①통합_가정!$E$111)</f>
        <v>0</v>
      </c>
      <c r="S44" s="37" t="n">
        <f aca="false">(S21+S22)*(①통합_가정!$E$110+①통합_가정!$E$111)</f>
        <v>0</v>
      </c>
      <c r="T44" s="37" t="n">
        <f aca="false">(T21+T22)*(①통합_가정!$E$110+①통합_가정!$E$111)</f>
        <v>0</v>
      </c>
      <c r="U44" s="37" t="n">
        <f aca="false">(U21+U22)*(①통합_가정!$E$110+①통합_가정!$E$111)</f>
        <v>0</v>
      </c>
      <c r="V44" s="37" t="n">
        <f aca="false">(V21+V22)*(①통합_가정!$E$110+①통합_가정!$E$111)</f>
        <v>0</v>
      </c>
      <c r="W44" s="37" t="n">
        <f aca="false">(W21+W22)*(①통합_가정!$E$110+①통합_가정!$E$111)</f>
        <v>0</v>
      </c>
      <c r="X44" s="37" t="n">
        <f aca="false">(X21+X22)*(①통합_가정!$E$110+①통합_가정!$E$111)</f>
        <v>0</v>
      </c>
      <c r="Y44" s="37" t="n">
        <f aca="false">(Y21+Y22)*(①통합_가정!$E$110+①통합_가정!$E$111)</f>
        <v>0</v>
      </c>
      <c r="Z44" s="37" t="n">
        <f aca="false">(Z21+Z22)*(①통합_가정!$E$110+①통합_가정!$E$111)</f>
        <v>0</v>
      </c>
      <c r="AA44" s="37" t="n">
        <f aca="false">(AA21+AA22)*(①통합_가정!$E$110+①통합_가정!$E$111)</f>
        <v>0</v>
      </c>
      <c r="AB44" s="37" t="n">
        <f aca="false">(AB21+AB22)*(①통합_가정!$E$110+①통합_가정!$E$111)</f>
        <v>0</v>
      </c>
      <c r="AC44" s="37" t="n">
        <f aca="false">(AC21+AC22)*(①통합_가정!$E$110+①통합_가정!$E$111)</f>
        <v>0</v>
      </c>
      <c r="AD44" s="37" t="n">
        <f aca="false">(AD21+AD22)*(①통합_가정!$E$110+①통합_가정!$E$111)</f>
        <v>0</v>
      </c>
      <c r="AE44" s="37" t="n">
        <f aca="false">(AE21+AE22)*(①통합_가정!$E$110+①통합_가정!$E$111)</f>
        <v>0</v>
      </c>
      <c r="AF44" s="37" t="n">
        <f aca="false">(AF21+AF22)*(①통합_가정!$E$110+①통합_가정!$E$111)</f>
        <v>0</v>
      </c>
      <c r="AG44" s="37" t="n">
        <f aca="false">(AG21+AG22)*(①통합_가정!$E$110+①통합_가정!$E$111)</f>
        <v>0</v>
      </c>
      <c r="AH44" s="37" t="n">
        <f aca="false">(AH21+AH22)*(①통합_가정!$E$110+①통합_가정!$E$111)</f>
        <v>0</v>
      </c>
      <c r="AI44" s="37" t="n">
        <f aca="false">(AI21+AI22)*(①통합_가정!$E$110+①통합_가정!$E$111)</f>
        <v>0</v>
      </c>
      <c r="AJ44" s="37" t="n">
        <f aca="false">(AJ21+AJ22)*(①통합_가정!$E$110+①통합_가정!$E$111)</f>
        <v>0</v>
      </c>
      <c r="AK44" s="37" t="n">
        <f aca="false">(AK21+AK22)*(①통합_가정!$E$110+①통합_가정!$E$111)</f>
        <v>0</v>
      </c>
      <c r="AL44" s="37" t="n">
        <f aca="false">(AL21+AL22)*(①통합_가정!$E$110+①통합_가정!$E$111)</f>
        <v>0</v>
      </c>
      <c r="AM44" s="37" t="n">
        <f aca="false">(AM21+AM22)*(①통합_가정!$E$110+①통합_가정!$E$111)</f>
        <v>0</v>
      </c>
      <c r="AN44" s="37" t="n">
        <f aca="false">(AN21+AN22)*(①통합_가정!$E$110+①통합_가정!$E$111)</f>
        <v>0</v>
      </c>
      <c r="AO44" s="37" t="n">
        <f aca="false">(AO21+AO22)*(①통합_가정!$E$110+①통합_가정!$E$111)</f>
        <v>0</v>
      </c>
      <c r="AP44" s="37" t="n">
        <f aca="false">(AP21+AP22)*(①통합_가정!$E$110+①통합_가정!$E$111)</f>
        <v>0</v>
      </c>
      <c r="AQ44" s="37" t="n">
        <f aca="false">(AQ21+AQ22)*(①통합_가정!$E$110+①통합_가정!$E$111)</f>
        <v>0</v>
      </c>
      <c r="AR44" s="37" t="n">
        <f aca="false">(AR21+AR22)*(①통합_가정!$E$110+①통합_가정!$E$111)</f>
        <v>0</v>
      </c>
      <c r="AS44" s="37" t="n">
        <f aca="false">(AS21+AS22)*(①통합_가정!$E$110+①통합_가정!$E$111)</f>
        <v>0</v>
      </c>
      <c r="AT44" s="37" t="n">
        <f aca="false">(AT21+AT22)*(①통합_가정!$E$110+①통합_가정!$E$111)</f>
        <v>0</v>
      </c>
      <c r="AU44" s="37" t="n">
        <f aca="false">(AU21+AU22)*(①통합_가정!$E$110+①통합_가정!$E$111)</f>
        <v>0</v>
      </c>
      <c r="AV44" s="37" t="n">
        <f aca="false">(AV21+AV22)*(①통합_가정!$E$110+①통합_가정!$E$111)</f>
        <v>0</v>
      </c>
      <c r="AW44" s="37" t="n">
        <f aca="false">(AW21+AW22)*(①통합_가정!$E$110+①통합_가정!$E$111)</f>
        <v>0</v>
      </c>
      <c r="AX44" s="37" t="n">
        <f aca="false">(AX21+AX22)*(①통합_가정!$E$110+①통합_가정!$E$111)</f>
        <v>0</v>
      </c>
      <c r="AY44" s="37" t="n">
        <f aca="false">(AY21+AY22)*(①통합_가정!$E$110+①통합_가정!$E$111)</f>
        <v>0</v>
      </c>
      <c r="AZ44" s="37" t="n">
        <f aca="false">(AZ21+AZ22)*(①통합_가정!$E$110+①통합_가정!$E$111)</f>
        <v>0</v>
      </c>
      <c r="BA44" s="37" t="n">
        <f aca="false">(BA21+BA22)*(①통합_가정!$E$110+①통합_가정!$E$111)</f>
        <v>0</v>
      </c>
      <c r="BB44" s="37" t="n">
        <f aca="false">(BB21+BB22)*(①통합_가정!$E$110+①통합_가정!$E$111)</f>
        <v>0</v>
      </c>
      <c r="BC44" s="37" t="n">
        <f aca="false">(BC21+BC22)*(①통합_가정!$E$110+①통합_가정!$E$111)</f>
        <v>0</v>
      </c>
      <c r="BD44" s="37" t="n">
        <f aca="false">(BD21+BD22)*(①통합_가정!$E$110+①통합_가정!$E$111)</f>
        <v>0</v>
      </c>
      <c r="BE44" s="37" t="n">
        <f aca="false">(BE21+BE22)*(①통합_가정!$E$110+①통합_가정!$E$111)</f>
        <v>0</v>
      </c>
      <c r="BF44" s="37" t="n">
        <f aca="false">(BF21+BF22)*(①통합_가정!$E$110+①통합_가정!$E$111)</f>
        <v>0</v>
      </c>
      <c r="BG44" s="37" t="n">
        <f aca="false">(BG21+BG22)*(①통합_가정!$E$110+①통합_가정!$E$111)</f>
        <v>0</v>
      </c>
      <c r="BH44" s="37" t="n">
        <f aca="false">(BH21+BH22)*(①통합_가정!$E$110+①통합_가정!$E$111)</f>
        <v>0</v>
      </c>
      <c r="BI44" s="37" t="n">
        <f aca="false">(BI21+BI22)*(①통합_가정!$E$110+①통합_가정!$E$111)</f>
        <v>0</v>
      </c>
      <c r="BJ44" s="37" t="n">
        <f aca="false">(BJ21+BJ22)*(①통합_가정!$E$110+①통합_가정!$E$111)</f>
        <v>0</v>
      </c>
      <c r="BK44" s="37" t="n">
        <f aca="false">(BK21+BK22)*(①통합_가정!$E$110+①통합_가정!$E$111)</f>
        <v>0</v>
      </c>
      <c r="BL44" s="37" t="n">
        <f aca="false">(BL21+BL22)*(①통합_가정!$E$110+①통합_가정!$E$111)</f>
        <v>0</v>
      </c>
      <c r="BM44" s="37" t="n">
        <f aca="false">(BM21+BM22)*(①통합_가정!$E$110+①통합_가정!$E$111)</f>
        <v>1177.416</v>
      </c>
      <c r="BN44" s="37" t="n">
        <f aca="false">(BN21+BN22)*(①통합_가정!$E$110+①통합_가정!$E$111)</f>
        <v>1177.416</v>
      </c>
      <c r="BO44" s="37" t="n">
        <f aca="false">(BO21+BO22)*(①통합_가정!$E$110+①통합_가정!$E$111)</f>
        <v>1177.416</v>
      </c>
      <c r="BP44" s="37" t="n">
        <f aca="false">(BP21+BP22)*(①통합_가정!$E$110+①통합_가정!$E$111)</f>
        <v>1177.416</v>
      </c>
      <c r="BQ44" s="37" t="n">
        <f aca="false">(BQ21+BQ22)*(①통합_가정!$E$110+①통합_가정!$E$111)</f>
        <v>1177.416</v>
      </c>
      <c r="BR44" s="37" t="n">
        <f aca="false">(BR21+BR22)*(①통합_가정!$E$110+①통합_가정!$E$111)</f>
        <v>1177.416</v>
      </c>
      <c r="BS44" s="37" t="n">
        <f aca="false">(BS21+BS22)*(①통합_가정!$E$110+①통합_가정!$E$111)</f>
        <v>1177.416</v>
      </c>
      <c r="BT44" s="37" t="n">
        <f aca="false">(BT21+BT22)*(①통합_가정!$E$110+①통합_가정!$E$111)</f>
        <v>1177.416</v>
      </c>
      <c r="BU44" s="37" t="n">
        <f aca="false">(BU21+BU22)*(①통합_가정!$E$110+①통합_가정!$E$111)</f>
        <v>1177.416</v>
      </c>
      <c r="BV44" s="37" t="n">
        <f aca="false">(BV21+BV22)*(①통합_가정!$E$110+①통합_가정!$E$111)</f>
        <v>1177.416</v>
      </c>
      <c r="BW44" s="37" t="n">
        <f aca="false">(BW21+BW22)*(①통합_가정!$E$110+①통합_가정!$E$111)</f>
        <v>1177.416</v>
      </c>
      <c r="BX44" s="37" t="n">
        <f aca="false">(BX21+BX22)*(①통합_가정!$E$110+①통합_가정!$E$111)</f>
        <v>1177.416</v>
      </c>
      <c r="BY44" s="37" t="n">
        <f aca="false">(BY21+BY22)*(①통합_가정!$E$110+①통합_가정!$E$111)</f>
        <v>1501.2054</v>
      </c>
      <c r="BZ44" s="37" t="n">
        <f aca="false">(BZ21+BZ22)*(①통합_가정!$E$110+①통합_가정!$E$111)</f>
        <v>1501.2054</v>
      </c>
      <c r="CA44" s="37" t="n">
        <f aca="false">(CA21+CA22)*(①통합_가정!$E$110+①통합_가정!$E$111)</f>
        <v>1501.2054</v>
      </c>
      <c r="CB44" s="37" t="n">
        <f aca="false">(CB21+CB22)*(①통합_가정!$E$110+①통합_가정!$E$111)</f>
        <v>1501.2054</v>
      </c>
      <c r="CC44" s="37" t="n">
        <f aca="false">(CC21+CC22)*(①통합_가정!$E$110+①통합_가정!$E$111)</f>
        <v>1501.2054</v>
      </c>
      <c r="CD44" s="37" t="n">
        <f aca="false">(CD21+CD22)*(①통합_가정!$E$110+①통합_가정!$E$111)</f>
        <v>1501.2054</v>
      </c>
      <c r="CE44" s="37" t="n">
        <f aca="false">(CE21+CE22)*(①통합_가정!$E$110+①통합_가정!$E$111)</f>
        <v>1501.2054</v>
      </c>
      <c r="CF44" s="37" t="n">
        <f aca="false">(CF21+CF22)*(①통합_가정!$E$110+①통합_가정!$E$111)</f>
        <v>1501.2054</v>
      </c>
      <c r="CG44" s="37" t="n">
        <f aca="false">(CG21+CG22)*(①통합_가정!$E$110+①통합_가정!$E$111)</f>
        <v>1501.2054</v>
      </c>
      <c r="CH44" s="37" t="n">
        <f aca="false">(CH21+CH22)*(①통합_가정!$E$110+①통합_가정!$E$111)</f>
        <v>1501.2054</v>
      </c>
      <c r="CI44" s="37" t="n">
        <f aca="false">(CI21+CI22)*(①통합_가정!$E$110+①통합_가정!$E$111)</f>
        <v>1501.2054</v>
      </c>
      <c r="CJ44" s="37" t="n">
        <f aca="false">(CJ21+CJ22)*(①통합_가정!$E$110+①통합_가정!$E$111)</f>
        <v>1501.2054</v>
      </c>
      <c r="CK44" s="37" t="n">
        <f aca="false">(CK21+CK22)*(①통합_가정!$E$110+①통합_가정!$E$111)</f>
        <v>1531.229508</v>
      </c>
      <c r="CL44" s="37" t="n">
        <f aca="false">(CL21+CL22)*(①통합_가정!$E$110+①통합_가정!$E$111)</f>
        <v>1531.229508</v>
      </c>
      <c r="CM44" s="37" t="n">
        <f aca="false">(CM21+CM22)*(①통합_가정!$E$110+①통합_가정!$E$111)</f>
        <v>1531.229508</v>
      </c>
      <c r="CN44" s="37" t="n">
        <f aca="false">(CN21+CN22)*(①통합_가정!$E$110+①통합_가정!$E$111)</f>
        <v>1531.229508</v>
      </c>
      <c r="CO44" s="37" t="n">
        <f aca="false">(CO21+CO22)*(①통합_가정!$E$110+①통합_가정!$E$111)</f>
        <v>1531.229508</v>
      </c>
      <c r="CP44" s="37" t="n">
        <f aca="false">(CP21+CP22)*(①통합_가정!$E$110+①통합_가정!$E$111)</f>
        <v>1531.229508</v>
      </c>
      <c r="CQ44" s="37" t="n">
        <f aca="false">(CQ21+CQ22)*(①통합_가정!$E$110+①통합_가정!$E$111)</f>
        <v>1531.229508</v>
      </c>
      <c r="CR44" s="37" t="n">
        <f aca="false">(CR21+CR22)*(①통합_가정!$E$110+①통합_가정!$E$111)</f>
        <v>1531.229508</v>
      </c>
      <c r="CS44" s="37" t="n">
        <f aca="false">(CS21+CS22)*(①통합_가정!$E$110+①통합_가정!$E$111)</f>
        <v>1531.229508</v>
      </c>
      <c r="CT44" s="37" t="n">
        <f aca="false">(CT21+CT22)*(①통합_가정!$E$110+①통합_가정!$E$111)</f>
        <v>1531.229508</v>
      </c>
      <c r="CU44" s="37" t="n">
        <f aca="false">(CU21+CU22)*(①통합_가정!$E$110+①통합_가정!$E$111)</f>
        <v>1531.229508</v>
      </c>
      <c r="CV44" s="37" t="n">
        <f aca="false">(CV21+CV22)*(①통합_가정!$E$110+①통합_가정!$E$111)</f>
        <v>1531.229508</v>
      </c>
      <c r="CW44" s="37" t="n">
        <f aca="false">(CW21+CW22)*(①통합_가정!$E$110+①통합_가정!$E$111)</f>
        <v>1561.85409816</v>
      </c>
      <c r="CX44" s="37" t="n">
        <f aca="false">(CX21+CX22)*(①통합_가정!$E$110+①통합_가정!$E$111)</f>
        <v>1561.85409816</v>
      </c>
      <c r="CY44" s="37" t="n">
        <f aca="false">(CY21+CY22)*(①통합_가정!$E$110+①통합_가정!$E$111)</f>
        <v>1561.85409816</v>
      </c>
      <c r="CZ44" s="37" t="n">
        <f aca="false">(CZ21+CZ22)*(①통합_가정!$E$110+①통합_가정!$E$111)</f>
        <v>1561.85409816</v>
      </c>
      <c r="DA44" s="37" t="n">
        <f aca="false">(DA21+DA22)*(①통합_가정!$E$110+①통합_가정!$E$111)</f>
        <v>1561.85409816</v>
      </c>
      <c r="DB44" s="37" t="n">
        <f aca="false">(DB21+DB22)*(①통합_가정!$E$110+①통합_가정!$E$111)</f>
        <v>1561.85409816</v>
      </c>
      <c r="DC44" s="37" t="n">
        <f aca="false">(DC21+DC22)*(①통합_가정!$E$110+①통합_가정!$E$111)</f>
        <v>1561.85409816</v>
      </c>
      <c r="DD44" s="37" t="n">
        <f aca="false">(DD21+DD22)*(①통합_가정!$E$110+①통합_가정!$E$111)</f>
        <v>1561.85409816</v>
      </c>
      <c r="DE44" s="37" t="n">
        <f aca="false">(DE21+DE22)*(①통합_가정!$E$110+①통합_가정!$E$111)</f>
        <v>1561.85409816</v>
      </c>
      <c r="DF44" s="37" t="n">
        <f aca="false">(DF21+DF22)*(①통합_가정!$E$110+①통합_가정!$E$111)</f>
        <v>1561.85409816</v>
      </c>
      <c r="DG44" s="37" t="n">
        <f aca="false">(DG21+DG22)*(①통합_가정!$E$110+①통합_가정!$E$111)</f>
        <v>1561.85409816</v>
      </c>
      <c r="DH44" s="37" t="n">
        <f aca="false">(DH21+DH22)*(①통합_가정!$E$110+①통합_가정!$E$111)</f>
        <v>1561.85409816</v>
      </c>
      <c r="DI44" s="37" t="n">
        <f aca="false">(DI21+DI22)*(①통합_가정!$E$110+①통합_가정!$E$111)</f>
        <v>1593.0911801232</v>
      </c>
      <c r="DJ44" s="37" t="n">
        <f aca="false">(DJ21+DJ22)*(①통합_가정!$E$110+①통합_가정!$E$111)</f>
        <v>1593.0911801232</v>
      </c>
      <c r="DK44" s="37" t="n">
        <f aca="false">(DK21+DK22)*(①통합_가정!$E$110+①통합_가정!$E$111)</f>
        <v>1593.0911801232</v>
      </c>
      <c r="DL44" s="37" t="n">
        <f aca="false">(DL21+DL22)*(①통합_가정!$E$110+①통합_가정!$E$111)</f>
        <v>1593.0911801232</v>
      </c>
      <c r="DM44" s="37" t="n">
        <f aca="false">(DM21+DM22)*(①통합_가정!$E$110+①통합_가정!$E$111)</f>
        <v>1593.0911801232</v>
      </c>
      <c r="DN44" s="37" t="n">
        <f aca="false">(DN21+DN22)*(①통합_가정!$E$110+①통합_가정!$E$111)</f>
        <v>1593.0911801232</v>
      </c>
      <c r="DO44" s="37" t="n">
        <f aca="false">(DO21+DO22)*(①통합_가정!$E$110+①통합_가정!$E$111)</f>
        <v>1593.0911801232</v>
      </c>
      <c r="DP44" s="37" t="n">
        <f aca="false">(DP21+DP22)*(①통합_가정!$E$110+①통합_가정!$E$111)</f>
        <v>1593.0911801232</v>
      </c>
      <c r="DQ44" s="37" t="n">
        <f aca="false">(DQ21+DQ22)*(①통합_가정!$E$110+①통합_가정!$E$111)</f>
        <v>1593.0911801232</v>
      </c>
      <c r="DR44" s="37" t="n">
        <f aca="false">(DR21+DR22)*(①통합_가정!$E$110+①통합_가정!$E$111)</f>
        <v>1593.0911801232</v>
      </c>
      <c r="DS44" s="37" t="n">
        <f aca="false">(DS21+DS22)*(①통합_가정!$E$110+①통합_가정!$E$111)</f>
        <v>1593.0911801232</v>
      </c>
      <c r="DT44" s="37" t="n">
        <f aca="false">(DT21+DT22)*(①통합_가정!$E$110+①통합_가정!$E$111)</f>
        <v>1593.0911801232</v>
      </c>
      <c r="DU44" s="37" t="n">
        <f aca="false">(DU21+DU22)*(①통합_가정!$E$110+①통합_가정!$E$111)</f>
        <v>0</v>
      </c>
      <c r="DV44" s="37" t="n">
        <f aca="false">(DV21+DV22)*(①통합_가정!$E$110+①통합_가정!$E$111)</f>
        <v>0</v>
      </c>
      <c r="DW44" s="37" t="n">
        <f aca="false">(DW21+DW22)*(①통합_가정!$E$110+①통합_가정!$E$111)</f>
        <v>0</v>
      </c>
      <c r="DX44" s="37" t="n">
        <f aca="false">(DX21+DX22)*(①통합_가정!$E$110+①통합_가정!$E$111)</f>
        <v>0</v>
      </c>
      <c r="DY44" s="37" t="n">
        <f aca="false">(DY21+DY22)*(①통합_가정!$E$110+①통합_가정!$E$111)</f>
        <v>0</v>
      </c>
      <c r="DZ44" s="37" t="n">
        <f aca="false">(DZ21+DZ22)*(①통합_가정!$E$110+①통합_가정!$E$111)</f>
        <v>0</v>
      </c>
      <c r="EA44" s="37" t="n">
        <f aca="false">(EA21+EA22)*(①통합_가정!$E$110+①통합_가정!$E$111)</f>
        <v>0</v>
      </c>
      <c r="EB44" s="37" t="n">
        <f aca="false">(EB21+EB22)*(①통합_가정!$E$110+①통합_가정!$E$111)</f>
        <v>0</v>
      </c>
      <c r="EC44" s="37" t="n">
        <f aca="false">(EC21+EC22)*(①통합_가정!$E$110+①통합_가정!$E$111)</f>
        <v>0</v>
      </c>
      <c r="ED44" s="37" t="n">
        <f aca="false">(ED21+ED22)*(①통합_가정!$E$110+①통합_가정!$E$111)</f>
        <v>0</v>
      </c>
      <c r="EE44" s="37" t="n">
        <f aca="false">(EE21+EE22)*(①통합_가정!$E$110+①통합_가정!$E$111)</f>
        <v>0</v>
      </c>
      <c r="EF44" s="37" t="n">
        <f aca="false">(EF21+EF22)*(①통합_가정!$E$110+①통합_가정!$E$111)</f>
        <v>0</v>
      </c>
    </row>
    <row r="45" customFormat="false" ht="15" hidden="false" customHeight="false" outlineLevel="0" collapsed="false">
      <c r="A45" s="36" t="s">
        <v>593</v>
      </c>
      <c r="B45" s="278" t="s">
        <v>21</v>
      </c>
      <c r="C45" s="279" t="n">
        <f aca="false">SUM(E45:EF45)</f>
        <v>127835.093697936</v>
      </c>
      <c r="E45" s="37" t="n">
        <f aca="false">(E24+E25)*(①통합_가정!$E$140+①통합_가정!$E$141)</f>
        <v>0</v>
      </c>
      <c r="F45" s="37" t="n">
        <f aca="false">(F24+F25)*(①통합_가정!$E$140+①통합_가정!$E$141)</f>
        <v>0</v>
      </c>
      <c r="G45" s="37" t="n">
        <f aca="false">(G24+G25)*(①통합_가정!$E$140+①통합_가정!$E$141)</f>
        <v>0</v>
      </c>
      <c r="H45" s="37" t="n">
        <f aca="false">(H24+H25)*(①통합_가정!$E$140+①통합_가정!$E$141)</f>
        <v>0</v>
      </c>
      <c r="I45" s="37" t="n">
        <f aca="false">(I24+I25)*(①통합_가정!$E$140+①통합_가정!$E$141)</f>
        <v>0</v>
      </c>
      <c r="J45" s="37" t="n">
        <f aca="false">(J24+J25)*(①통합_가정!$E$140+①통합_가정!$E$141)</f>
        <v>0</v>
      </c>
      <c r="K45" s="37" t="n">
        <f aca="false">(K24+K25)*(①통합_가정!$E$140+①통합_가정!$E$141)</f>
        <v>0</v>
      </c>
      <c r="L45" s="37" t="n">
        <f aca="false">(L24+L25)*(①통합_가정!$E$140+①통합_가정!$E$141)</f>
        <v>0</v>
      </c>
      <c r="M45" s="37" t="n">
        <f aca="false">(M24+M25)*(①통합_가정!$E$140+①통합_가정!$E$141)</f>
        <v>0</v>
      </c>
      <c r="N45" s="37" t="n">
        <f aca="false">(N24+N25)*(①통합_가정!$E$140+①통합_가정!$E$141)</f>
        <v>0</v>
      </c>
      <c r="O45" s="37" t="n">
        <f aca="false">(O24+O25)*(①통합_가정!$E$140+①통합_가정!$E$141)</f>
        <v>0</v>
      </c>
      <c r="P45" s="37" t="n">
        <f aca="false">(P24+P25)*(①통합_가정!$E$140+①통합_가정!$E$141)</f>
        <v>0</v>
      </c>
      <c r="Q45" s="37" t="n">
        <f aca="false">(Q24+Q25)*(①통합_가정!$E$140+①통합_가정!$E$141)</f>
        <v>0</v>
      </c>
      <c r="R45" s="37" t="n">
        <f aca="false">(R24+R25)*(①통합_가정!$E$140+①통합_가정!$E$141)</f>
        <v>0</v>
      </c>
      <c r="S45" s="37" t="n">
        <f aca="false">(S24+S25)*(①통합_가정!$E$140+①통합_가정!$E$141)</f>
        <v>0</v>
      </c>
      <c r="T45" s="37" t="n">
        <f aca="false">(T24+T25)*(①통합_가정!$E$140+①통합_가정!$E$141)</f>
        <v>0</v>
      </c>
      <c r="U45" s="37" t="n">
        <f aca="false">(U24+U25)*(①통합_가정!$E$140+①통합_가정!$E$141)</f>
        <v>0</v>
      </c>
      <c r="V45" s="37" t="n">
        <f aca="false">(V24+V25)*(①통합_가정!$E$140+①통합_가정!$E$141)</f>
        <v>0</v>
      </c>
      <c r="W45" s="37" t="n">
        <f aca="false">(W24+W25)*(①통합_가정!$E$140+①통합_가정!$E$141)</f>
        <v>0</v>
      </c>
      <c r="X45" s="37" t="n">
        <f aca="false">(X24+X25)*(①통합_가정!$E$140+①통합_가정!$E$141)</f>
        <v>0</v>
      </c>
      <c r="Y45" s="37" t="n">
        <f aca="false">(Y24+Y25)*(①통합_가정!$E$140+①통합_가정!$E$141)</f>
        <v>0</v>
      </c>
      <c r="Z45" s="37" t="n">
        <f aca="false">(Z24+Z25)*(①통합_가정!$E$140+①통합_가정!$E$141)</f>
        <v>0</v>
      </c>
      <c r="AA45" s="37" t="n">
        <f aca="false">(AA24+AA25)*(①통합_가정!$E$140+①통합_가정!$E$141)</f>
        <v>0</v>
      </c>
      <c r="AB45" s="37" t="n">
        <f aca="false">(AB24+AB25)*(①통합_가정!$E$140+①통합_가정!$E$141)</f>
        <v>0</v>
      </c>
      <c r="AC45" s="37" t="n">
        <f aca="false">(AC24+AC25)*(①통합_가정!$E$140+①통합_가정!$E$141)</f>
        <v>0</v>
      </c>
      <c r="AD45" s="37" t="n">
        <f aca="false">(AD24+AD25)*(①통합_가정!$E$140+①통합_가정!$E$141)</f>
        <v>0</v>
      </c>
      <c r="AE45" s="37" t="n">
        <f aca="false">(AE24+AE25)*(①통합_가정!$E$140+①통합_가정!$E$141)</f>
        <v>0</v>
      </c>
      <c r="AF45" s="37" t="n">
        <f aca="false">(AF24+AF25)*(①통합_가정!$E$140+①통합_가정!$E$141)</f>
        <v>0</v>
      </c>
      <c r="AG45" s="37" t="n">
        <f aca="false">(AG24+AG25)*(①통합_가정!$E$140+①통합_가정!$E$141)</f>
        <v>0</v>
      </c>
      <c r="AH45" s="37" t="n">
        <f aca="false">(AH24+AH25)*(①통합_가정!$E$140+①통합_가정!$E$141)</f>
        <v>0</v>
      </c>
      <c r="AI45" s="37" t="n">
        <f aca="false">(AI24+AI25)*(①통합_가정!$E$140+①통합_가정!$E$141)</f>
        <v>0</v>
      </c>
      <c r="AJ45" s="37" t="n">
        <f aca="false">(AJ24+AJ25)*(①통합_가정!$E$140+①통합_가정!$E$141)</f>
        <v>0</v>
      </c>
      <c r="AK45" s="37" t="n">
        <f aca="false">(AK24+AK25)*(①통합_가정!$E$140+①통합_가정!$E$141)</f>
        <v>0</v>
      </c>
      <c r="AL45" s="37" t="n">
        <f aca="false">(AL24+AL25)*(①통합_가정!$E$140+①통합_가정!$E$141)</f>
        <v>0</v>
      </c>
      <c r="AM45" s="37" t="n">
        <f aca="false">(AM24+AM25)*(①통합_가정!$E$140+①통합_가정!$E$141)</f>
        <v>0</v>
      </c>
      <c r="AN45" s="37" t="n">
        <f aca="false">(AN24+AN25)*(①통합_가정!$E$140+①통합_가정!$E$141)</f>
        <v>0</v>
      </c>
      <c r="AO45" s="37" t="n">
        <f aca="false">(AO24+AO25)*(①통합_가정!$E$140+①통합_가정!$E$141)</f>
        <v>0</v>
      </c>
      <c r="AP45" s="37" t="n">
        <f aca="false">(AP24+AP25)*(①통합_가정!$E$140+①통합_가정!$E$141)</f>
        <v>0</v>
      </c>
      <c r="AQ45" s="37" t="n">
        <f aca="false">(AQ24+AQ25)*(①통합_가정!$E$140+①통합_가정!$E$141)</f>
        <v>0</v>
      </c>
      <c r="AR45" s="37" t="n">
        <f aca="false">(AR24+AR25)*(①통합_가정!$E$140+①통합_가정!$E$141)</f>
        <v>0</v>
      </c>
      <c r="AS45" s="37" t="n">
        <f aca="false">(AS24+AS25)*(①통합_가정!$E$140+①통합_가정!$E$141)</f>
        <v>0</v>
      </c>
      <c r="AT45" s="37" t="n">
        <f aca="false">(AT24+AT25)*(①통합_가정!$E$140+①통합_가정!$E$141)</f>
        <v>0</v>
      </c>
      <c r="AU45" s="37" t="n">
        <f aca="false">(AU24+AU25)*(①통합_가정!$E$140+①통합_가정!$E$141)</f>
        <v>0</v>
      </c>
      <c r="AV45" s="37" t="n">
        <f aca="false">(AV24+AV25)*(①통합_가정!$E$140+①통합_가정!$E$141)</f>
        <v>0</v>
      </c>
      <c r="AW45" s="37" t="n">
        <f aca="false">(AW24+AW25)*(①통합_가정!$E$140+①통합_가정!$E$141)</f>
        <v>0</v>
      </c>
      <c r="AX45" s="37" t="n">
        <f aca="false">(AX24+AX25)*(①통합_가정!$E$140+①통합_가정!$E$141)</f>
        <v>0</v>
      </c>
      <c r="AY45" s="37" t="n">
        <f aca="false">(AY24+AY25)*(①통합_가정!$E$140+①통합_가정!$E$141)</f>
        <v>0</v>
      </c>
      <c r="AZ45" s="37" t="n">
        <f aca="false">(AZ24+AZ25)*(①통합_가정!$E$140+①통합_가정!$E$141)</f>
        <v>0</v>
      </c>
      <c r="BA45" s="37" t="n">
        <f aca="false">(BA24+BA25)*(①통합_가정!$E$140+①통합_가정!$E$141)</f>
        <v>0</v>
      </c>
      <c r="BB45" s="37" t="n">
        <f aca="false">(BB24+BB25)*(①통합_가정!$E$140+①통합_가정!$E$141)</f>
        <v>0</v>
      </c>
      <c r="BC45" s="37" t="n">
        <f aca="false">(BC24+BC25)*(①통합_가정!$E$140+①통합_가정!$E$141)</f>
        <v>0</v>
      </c>
      <c r="BD45" s="37" t="n">
        <f aca="false">(BD24+BD25)*(①통합_가정!$E$140+①통합_가정!$E$141)</f>
        <v>0</v>
      </c>
      <c r="BE45" s="37" t="n">
        <f aca="false">(BE24+BE25)*(①통합_가정!$E$140+①통합_가정!$E$141)</f>
        <v>0</v>
      </c>
      <c r="BF45" s="37" t="n">
        <f aca="false">(BF24+BF25)*(①통합_가정!$E$140+①통합_가정!$E$141)</f>
        <v>0</v>
      </c>
      <c r="BG45" s="37" t="n">
        <f aca="false">(BG24+BG25)*(①통합_가정!$E$140+①통합_가정!$E$141)</f>
        <v>0</v>
      </c>
      <c r="BH45" s="37" t="n">
        <f aca="false">(BH24+BH25)*(①통합_가정!$E$140+①통합_가정!$E$141)</f>
        <v>0</v>
      </c>
      <c r="BI45" s="37" t="n">
        <f aca="false">(BI24+BI25)*(①통합_가정!$E$140+①통합_가정!$E$141)</f>
        <v>0</v>
      </c>
      <c r="BJ45" s="37" t="n">
        <f aca="false">(BJ24+BJ25)*(①통합_가정!$E$140+①통합_가정!$E$141)</f>
        <v>0</v>
      </c>
      <c r="BK45" s="37" t="n">
        <f aca="false">(BK24+BK25)*(①통합_가정!$E$140+①통합_가정!$E$141)</f>
        <v>0</v>
      </c>
      <c r="BL45" s="37" t="n">
        <f aca="false">(BL24+BL25)*(①통합_가정!$E$140+①통합_가정!$E$141)</f>
        <v>0</v>
      </c>
      <c r="BM45" s="37" t="n">
        <f aca="false">(BM24+BM25)*(①통합_가정!$E$140+①통합_가정!$E$141)</f>
        <v>1853.72538482444</v>
      </c>
      <c r="BN45" s="37" t="n">
        <f aca="false">(BN24+BN25)*(①통합_가정!$E$140+①통합_가정!$E$141)</f>
        <v>1793.92779176559</v>
      </c>
      <c r="BO45" s="37" t="n">
        <f aca="false">(BO24+BO25)*(①통합_가정!$E$140+①통합_가정!$E$141)</f>
        <v>1853.72538482444</v>
      </c>
      <c r="BP45" s="37" t="n">
        <f aca="false">(BP24+BP25)*(①통합_가정!$E$140+①통합_가정!$E$141)</f>
        <v>1793.92779176559</v>
      </c>
      <c r="BQ45" s="37" t="n">
        <f aca="false">(BQ24+BQ25)*(①통합_가정!$E$140+①통합_가정!$E$141)</f>
        <v>1853.72538482444</v>
      </c>
      <c r="BR45" s="37" t="n">
        <f aca="false">(BR24+BR25)*(①통합_가정!$E$140+①통합_가정!$E$141)</f>
        <v>1853.72538482444</v>
      </c>
      <c r="BS45" s="37" t="n">
        <f aca="false">(BS24+BS25)*(①통합_가정!$E$140+①통합_가정!$E$141)</f>
        <v>1793.92779176559</v>
      </c>
      <c r="BT45" s="37" t="n">
        <f aca="false">(BT24+BT25)*(①통합_가정!$E$140+①통합_가정!$E$141)</f>
        <v>1853.72538482444</v>
      </c>
      <c r="BU45" s="37" t="n">
        <f aca="false">(BU24+BU25)*(①통합_가정!$E$140+①통합_가정!$E$141)</f>
        <v>1793.92779176559</v>
      </c>
      <c r="BV45" s="37" t="n">
        <f aca="false">(BV24+BV25)*(①통합_가정!$E$140+①통합_가정!$E$141)</f>
        <v>1853.72538482444</v>
      </c>
      <c r="BW45" s="37" t="n">
        <f aca="false">(BW24+BW25)*(①통합_가정!$E$140+①통합_가정!$E$141)</f>
        <v>1853.72538482444</v>
      </c>
      <c r="BX45" s="37" t="n">
        <f aca="false">(BX24+BX25)*(①통합_가정!$E$140+①통합_가정!$E$141)</f>
        <v>1734.13019870674</v>
      </c>
      <c r="BY45" s="37" t="n">
        <f aca="false">(BY24+BY25)*(①통합_가정!$E$140+①통합_가정!$E$141)</f>
        <v>2181.692183678</v>
      </c>
      <c r="BZ45" s="37" t="n">
        <f aca="false">(BZ24+BZ25)*(①통합_가정!$E$140+①통합_가정!$E$141)</f>
        <v>2111.31501646258</v>
      </c>
      <c r="CA45" s="37" t="n">
        <f aca="false">(CA24+CA25)*(①통합_가정!$E$140+①통합_가정!$E$141)</f>
        <v>2181.692183678</v>
      </c>
      <c r="CB45" s="37" t="n">
        <f aca="false">(CB24+CB25)*(①통합_가정!$E$140+①통합_가정!$E$141)</f>
        <v>2111.31501646258</v>
      </c>
      <c r="CC45" s="37" t="n">
        <f aca="false">(CC24+CC25)*(①통합_가정!$E$140+①통합_가정!$E$141)</f>
        <v>2181.692183678</v>
      </c>
      <c r="CD45" s="37" t="n">
        <f aca="false">(CD24+CD25)*(①통합_가정!$E$140+①통합_가정!$E$141)</f>
        <v>2181.692183678</v>
      </c>
      <c r="CE45" s="37" t="n">
        <f aca="false">(CE24+CE25)*(①통합_가정!$E$140+①통합_가정!$E$141)</f>
        <v>2111.31501646258</v>
      </c>
      <c r="CF45" s="37" t="n">
        <f aca="false">(CF24+CF25)*(①통합_가정!$E$140+①통합_가정!$E$141)</f>
        <v>2181.692183678</v>
      </c>
      <c r="CG45" s="37" t="n">
        <f aca="false">(CG24+CG25)*(①통합_가정!$E$140+①통합_가정!$E$141)</f>
        <v>2111.31501646258</v>
      </c>
      <c r="CH45" s="37" t="n">
        <f aca="false">(CH24+CH25)*(①통합_가정!$E$140+①통합_가정!$E$141)</f>
        <v>2181.692183678</v>
      </c>
      <c r="CI45" s="37" t="n">
        <f aca="false">(CI24+CI25)*(①통합_가정!$E$140+①통합_가정!$E$141)</f>
        <v>2181.692183678</v>
      </c>
      <c r="CJ45" s="37" t="n">
        <f aca="false">(CJ24+CJ25)*(①통합_가정!$E$140+①통합_가정!$E$141)</f>
        <v>1970.56068203174</v>
      </c>
      <c r="CK45" s="37" t="n">
        <f aca="false">(CK24+CK25)*(①통합_가정!$E$140+①통합_가정!$E$141)</f>
        <v>2225.32602735156</v>
      </c>
      <c r="CL45" s="37" t="n">
        <f aca="false">(CL24+CL25)*(①통합_가정!$E$140+①통합_가정!$E$141)</f>
        <v>2153.54131679183</v>
      </c>
      <c r="CM45" s="37" t="n">
        <f aca="false">(CM24+CM25)*(①통합_가정!$E$140+①통합_가정!$E$141)</f>
        <v>2225.32602735156</v>
      </c>
      <c r="CN45" s="37" t="n">
        <f aca="false">(CN24+CN25)*(①통합_가정!$E$140+①통합_가정!$E$141)</f>
        <v>2153.54131679183</v>
      </c>
      <c r="CO45" s="37" t="n">
        <f aca="false">(CO24+CO25)*(①통합_가정!$E$140+①통합_가정!$E$141)</f>
        <v>2225.32602735156</v>
      </c>
      <c r="CP45" s="37" t="n">
        <f aca="false">(CP24+CP25)*(①통합_가정!$E$140+①통합_가정!$E$141)</f>
        <v>2225.32602735156</v>
      </c>
      <c r="CQ45" s="37" t="n">
        <f aca="false">(CQ24+CQ25)*(①통합_가정!$E$140+①통합_가정!$E$141)</f>
        <v>2153.54131679183</v>
      </c>
      <c r="CR45" s="37" t="n">
        <f aca="false">(CR24+CR25)*(①통합_가정!$E$140+①통합_가정!$E$141)</f>
        <v>2225.32602735156</v>
      </c>
      <c r="CS45" s="37" t="n">
        <f aca="false">(CS24+CS25)*(①통합_가정!$E$140+①통합_가정!$E$141)</f>
        <v>2153.54131679183</v>
      </c>
      <c r="CT45" s="37" t="n">
        <f aca="false">(CT24+CT25)*(①통합_가정!$E$140+①통합_가정!$E$141)</f>
        <v>2225.32602735156</v>
      </c>
      <c r="CU45" s="37" t="n">
        <f aca="false">(CU24+CU25)*(①통합_가정!$E$140+①통합_가정!$E$141)</f>
        <v>2225.32602735156</v>
      </c>
      <c r="CV45" s="37" t="n">
        <f aca="false">(CV24+CV25)*(①통합_가정!$E$140+①통합_가정!$E$141)</f>
        <v>2009.97189567238</v>
      </c>
      <c r="CW45" s="37" t="n">
        <f aca="false">(CW24+CW25)*(①통합_가정!$E$140+①통합_가정!$E$141)</f>
        <v>2269.83254789859</v>
      </c>
      <c r="CX45" s="37" t="n">
        <f aca="false">(CX24+CX25)*(①통합_가정!$E$140+①통합_가정!$E$141)</f>
        <v>2196.61214312767</v>
      </c>
      <c r="CY45" s="37" t="n">
        <f aca="false">(CY24+CY25)*(①통합_가정!$E$140+①통합_가정!$E$141)</f>
        <v>2269.83254789859</v>
      </c>
      <c r="CZ45" s="37" t="n">
        <f aca="false">(CZ24+CZ25)*(①통합_가정!$E$140+①통합_가정!$E$141)</f>
        <v>2196.61214312767</v>
      </c>
      <c r="DA45" s="37" t="n">
        <f aca="false">(DA24+DA25)*(①통합_가정!$E$140+①통합_가정!$E$141)</f>
        <v>2269.83254789859</v>
      </c>
      <c r="DB45" s="37" t="n">
        <f aca="false">(DB24+DB25)*(①통합_가정!$E$140+①통합_가정!$E$141)</f>
        <v>2269.83254789859</v>
      </c>
      <c r="DC45" s="37" t="n">
        <f aca="false">(DC24+DC25)*(①통합_가정!$E$140+①통합_가정!$E$141)</f>
        <v>2196.61214312767</v>
      </c>
      <c r="DD45" s="37" t="n">
        <f aca="false">(DD24+DD25)*(①통합_가정!$E$140+①통합_가정!$E$141)</f>
        <v>2269.83254789859</v>
      </c>
      <c r="DE45" s="37" t="n">
        <f aca="false">(DE24+DE25)*(①통합_가정!$E$140+①통합_가정!$E$141)</f>
        <v>2196.61214312767</v>
      </c>
      <c r="DF45" s="37" t="n">
        <f aca="false">(DF24+DF25)*(①통합_가정!$E$140+①통합_가정!$E$141)</f>
        <v>2269.83254789859</v>
      </c>
      <c r="DG45" s="37" t="n">
        <f aca="false">(DG24+DG25)*(①통합_가정!$E$140+①통합_가정!$E$141)</f>
        <v>2269.83254789859</v>
      </c>
      <c r="DH45" s="37" t="n">
        <f aca="false">(DH24+DH25)*(①통합_가정!$E$140+①통합_가정!$E$141)</f>
        <v>2050.17133358582</v>
      </c>
      <c r="DI45" s="37" t="n">
        <f aca="false">(DI24+DI25)*(①통합_가정!$E$140+①통합_가정!$E$141)</f>
        <v>2315.22919885656</v>
      </c>
      <c r="DJ45" s="37" t="n">
        <f aca="false">(DJ24+DJ25)*(①통합_가정!$E$140+①통합_가정!$E$141)</f>
        <v>2240.54438599022</v>
      </c>
      <c r="DK45" s="37" t="n">
        <f aca="false">(DK24+DK25)*(①통합_가정!$E$140+①통합_가정!$E$141)</f>
        <v>2315.22919885656</v>
      </c>
      <c r="DL45" s="37" t="n">
        <f aca="false">(DL24+DL25)*(①통합_가정!$E$140+①통합_가정!$E$141)</f>
        <v>2240.54438599022</v>
      </c>
      <c r="DM45" s="37" t="n">
        <f aca="false">(DM24+DM25)*(①통합_가정!$E$140+①통합_가정!$E$141)</f>
        <v>2315.22919885656</v>
      </c>
      <c r="DN45" s="37" t="n">
        <f aca="false">(DN24+DN25)*(①통합_가정!$E$140+①통합_가정!$E$141)</f>
        <v>2315.22919885656</v>
      </c>
      <c r="DO45" s="37" t="n">
        <f aca="false">(DO24+DO25)*(①통합_가정!$E$140+①통합_가정!$E$141)</f>
        <v>2240.54438599022</v>
      </c>
      <c r="DP45" s="37" t="n">
        <f aca="false">(DP24+DP25)*(①통합_가정!$E$140+①통합_가정!$E$141)</f>
        <v>2315.22919885656</v>
      </c>
      <c r="DQ45" s="37" t="n">
        <f aca="false">(DQ24+DQ25)*(①통합_가정!$E$140+①통합_가정!$E$141)</f>
        <v>2240.54438599022</v>
      </c>
      <c r="DR45" s="37" t="n">
        <f aca="false">(DR24+DR25)*(①통합_가정!$E$140+①통합_가정!$E$141)</f>
        <v>2315.22919885656</v>
      </c>
      <c r="DS45" s="37" t="n">
        <f aca="false">(DS24+DS25)*(①통합_가정!$E$140+①통합_가정!$E$141)</f>
        <v>2315.22919885656</v>
      </c>
      <c r="DT45" s="37" t="n">
        <f aca="false">(DT24+DT25)*(①통합_가정!$E$140+①통합_가정!$E$141)</f>
        <v>2165.85957312388</v>
      </c>
      <c r="DU45" s="37" t="n">
        <f aca="false">(DU24+DU25)*(①통합_가정!$E$140+①통합_가정!$E$141)</f>
        <v>0</v>
      </c>
      <c r="DV45" s="37" t="n">
        <f aca="false">(DV24+DV25)*(①통합_가정!$E$140+①통합_가정!$E$141)</f>
        <v>0</v>
      </c>
      <c r="DW45" s="37" t="n">
        <f aca="false">(DW24+DW25)*(①통합_가정!$E$140+①통합_가정!$E$141)</f>
        <v>0</v>
      </c>
      <c r="DX45" s="37" t="n">
        <f aca="false">(DX24+DX25)*(①통합_가정!$E$140+①통합_가정!$E$141)</f>
        <v>0</v>
      </c>
      <c r="DY45" s="37" t="n">
        <f aca="false">(DY24+DY25)*(①통합_가정!$E$140+①통합_가정!$E$141)</f>
        <v>0</v>
      </c>
      <c r="DZ45" s="37" t="n">
        <f aca="false">(DZ24+DZ25)*(①통합_가정!$E$140+①통합_가정!$E$141)</f>
        <v>0</v>
      </c>
      <c r="EA45" s="37" t="n">
        <f aca="false">(EA24+EA25)*(①통합_가정!$E$140+①통합_가정!$E$141)</f>
        <v>0</v>
      </c>
      <c r="EB45" s="37" t="n">
        <f aca="false">(EB24+EB25)*(①통합_가정!$E$140+①통합_가정!$E$141)</f>
        <v>0</v>
      </c>
      <c r="EC45" s="37" t="n">
        <f aca="false">(EC24+EC25)*(①통합_가정!$E$140+①통합_가정!$E$141)</f>
        <v>0</v>
      </c>
      <c r="ED45" s="37" t="n">
        <f aca="false">(ED24+ED25)*(①통합_가정!$E$140+①통합_가정!$E$141)</f>
        <v>0</v>
      </c>
      <c r="EE45" s="37" t="n">
        <f aca="false">(EE24+EE25)*(①통합_가정!$E$140+①통합_가정!$E$141)</f>
        <v>0</v>
      </c>
      <c r="EF45" s="37" t="n">
        <f aca="false">(EF24+EF25)*(①통합_가정!$E$140+①통합_가정!$E$141)</f>
        <v>0</v>
      </c>
    </row>
    <row r="46" customFormat="false" ht="15" hidden="false" customHeight="false" outlineLevel="0" collapsed="false">
      <c r="A46" s="36" t="s">
        <v>594</v>
      </c>
      <c r="B46" s="278" t="s">
        <v>21</v>
      </c>
      <c r="C46" s="279" t="n">
        <f aca="false">SUM(E46:EF46)</f>
        <v>26573.0577174262</v>
      </c>
      <c r="E46" s="37" t="n">
        <f aca="false">E26*①통합_가정!$E$145</f>
        <v>0</v>
      </c>
      <c r="F46" s="37" t="n">
        <f aca="false">F26*①통합_가정!$E$145</f>
        <v>0</v>
      </c>
      <c r="G46" s="37" t="n">
        <f aca="false">G26*①통합_가정!$E$145</f>
        <v>0</v>
      </c>
      <c r="H46" s="37" t="n">
        <f aca="false">H26*①통합_가정!$E$145</f>
        <v>0</v>
      </c>
      <c r="I46" s="37" t="n">
        <f aca="false">I26*①통합_가정!$E$145</f>
        <v>0</v>
      </c>
      <c r="J46" s="37" t="n">
        <f aca="false">J26*①통합_가정!$E$145</f>
        <v>0</v>
      </c>
      <c r="K46" s="37" t="n">
        <f aca="false">K26*①통합_가정!$E$145</f>
        <v>0</v>
      </c>
      <c r="L46" s="37" t="n">
        <f aca="false">L26*①통합_가정!$E$145</f>
        <v>0</v>
      </c>
      <c r="M46" s="37" t="n">
        <f aca="false">M26*①통합_가정!$E$145</f>
        <v>0</v>
      </c>
      <c r="N46" s="37" t="n">
        <f aca="false">N26*①통합_가정!$E$145</f>
        <v>0</v>
      </c>
      <c r="O46" s="37" t="n">
        <f aca="false">O26*①통합_가정!$E$145</f>
        <v>0</v>
      </c>
      <c r="P46" s="37" t="n">
        <f aca="false">P26*①통합_가정!$E$145</f>
        <v>0</v>
      </c>
      <c r="Q46" s="37" t="n">
        <f aca="false">Q26*①통합_가정!$E$145</f>
        <v>0</v>
      </c>
      <c r="R46" s="37" t="n">
        <f aca="false">R26*①통합_가정!$E$145</f>
        <v>0</v>
      </c>
      <c r="S46" s="37" t="n">
        <f aca="false">S26*①통합_가정!$E$145</f>
        <v>0</v>
      </c>
      <c r="T46" s="37" t="n">
        <f aca="false">T26*①통합_가정!$E$145</f>
        <v>0</v>
      </c>
      <c r="U46" s="37" t="n">
        <f aca="false">U26*①통합_가정!$E$145</f>
        <v>0</v>
      </c>
      <c r="V46" s="37" t="n">
        <f aca="false">V26*①통합_가정!$E$145</f>
        <v>0</v>
      </c>
      <c r="W46" s="37" t="n">
        <f aca="false">W26*①통합_가정!$E$145</f>
        <v>0</v>
      </c>
      <c r="X46" s="37" t="n">
        <f aca="false">X26*①통합_가정!$E$145</f>
        <v>0</v>
      </c>
      <c r="Y46" s="37" t="n">
        <f aca="false">Y26*①통합_가정!$E$145</f>
        <v>0</v>
      </c>
      <c r="Z46" s="37" t="n">
        <f aca="false">Z26*①통합_가정!$E$145</f>
        <v>0</v>
      </c>
      <c r="AA46" s="37" t="n">
        <f aca="false">AA26*①통합_가정!$E$145</f>
        <v>0</v>
      </c>
      <c r="AB46" s="37" t="n">
        <f aca="false">AB26*①통합_가정!$E$145</f>
        <v>0</v>
      </c>
      <c r="AC46" s="37" t="n">
        <f aca="false">AC26*①통합_가정!$E$145</f>
        <v>0</v>
      </c>
      <c r="AD46" s="37" t="n">
        <f aca="false">AD26*①통합_가정!$E$145</f>
        <v>0</v>
      </c>
      <c r="AE46" s="37" t="n">
        <f aca="false">AE26*①통합_가정!$E$145</f>
        <v>0</v>
      </c>
      <c r="AF46" s="37" t="n">
        <f aca="false">AF26*①통합_가정!$E$145</f>
        <v>0</v>
      </c>
      <c r="AG46" s="37" t="n">
        <f aca="false">AG26*①통합_가정!$E$145</f>
        <v>0</v>
      </c>
      <c r="AH46" s="37" t="n">
        <f aca="false">AH26*①통합_가정!$E$145</f>
        <v>0</v>
      </c>
      <c r="AI46" s="37" t="n">
        <f aca="false">AI26*①통합_가정!$E$145</f>
        <v>0</v>
      </c>
      <c r="AJ46" s="37" t="n">
        <f aca="false">AJ26*①통합_가정!$E$145</f>
        <v>0</v>
      </c>
      <c r="AK46" s="37" t="n">
        <f aca="false">AK26*①통합_가정!$E$145</f>
        <v>0</v>
      </c>
      <c r="AL46" s="37" t="n">
        <f aca="false">AL26*①통합_가정!$E$145</f>
        <v>0</v>
      </c>
      <c r="AM46" s="37" t="n">
        <f aca="false">AM26*①통합_가정!$E$145</f>
        <v>0</v>
      </c>
      <c r="AN46" s="37" t="n">
        <f aca="false">AN26*①통합_가정!$E$145</f>
        <v>0</v>
      </c>
      <c r="AO46" s="37" t="n">
        <f aca="false">AO26*①통합_가정!$E$145</f>
        <v>0</v>
      </c>
      <c r="AP46" s="37" t="n">
        <f aca="false">AP26*①통합_가정!$E$145</f>
        <v>0</v>
      </c>
      <c r="AQ46" s="37" t="n">
        <f aca="false">AQ26*①통합_가정!$E$145</f>
        <v>0</v>
      </c>
      <c r="AR46" s="37" t="n">
        <f aca="false">AR26*①통합_가정!$E$145</f>
        <v>0</v>
      </c>
      <c r="AS46" s="37" t="n">
        <f aca="false">AS26*①통합_가정!$E$145</f>
        <v>0</v>
      </c>
      <c r="AT46" s="37" t="n">
        <f aca="false">AT26*①통합_가정!$E$145</f>
        <v>0</v>
      </c>
      <c r="AU46" s="37" t="n">
        <f aca="false">AU26*①통합_가정!$E$145</f>
        <v>0</v>
      </c>
      <c r="AV46" s="37" t="n">
        <f aca="false">AV26*①통합_가정!$E$145</f>
        <v>0</v>
      </c>
      <c r="AW46" s="37" t="n">
        <f aca="false">AW26*①통합_가정!$E$145</f>
        <v>0</v>
      </c>
      <c r="AX46" s="37" t="n">
        <f aca="false">AX26*①통합_가정!$E$145</f>
        <v>0</v>
      </c>
      <c r="AY46" s="37" t="n">
        <f aca="false">AY26*①통합_가정!$E$145</f>
        <v>0</v>
      </c>
      <c r="AZ46" s="37" t="n">
        <f aca="false">AZ26*①통합_가정!$E$145</f>
        <v>0</v>
      </c>
      <c r="BA46" s="37" t="n">
        <f aca="false">BA26*①통합_가정!$E$145</f>
        <v>0</v>
      </c>
      <c r="BB46" s="37" t="n">
        <f aca="false">BB26*①통합_가정!$E$145</f>
        <v>0</v>
      </c>
      <c r="BC46" s="37" t="n">
        <f aca="false">BC26*①통합_가정!$E$145</f>
        <v>0</v>
      </c>
      <c r="BD46" s="37" t="n">
        <f aca="false">BD26*①통합_가정!$E$145</f>
        <v>0</v>
      </c>
      <c r="BE46" s="37" t="n">
        <f aca="false">BE26*①통합_가정!$E$145</f>
        <v>0</v>
      </c>
      <c r="BF46" s="37" t="n">
        <f aca="false">BF26*①통합_가정!$E$145</f>
        <v>0</v>
      </c>
      <c r="BG46" s="37" t="n">
        <f aca="false">BG26*①통합_가정!$E$145</f>
        <v>0</v>
      </c>
      <c r="BH46" s="37" t="n">
        <f aca="false">BH26*①통합_가정!$E$145</f>
        <v>0</v>
      </c>
      <c r="BI46" s="37" t="n">
        <f aca="false">BI26*①통합_가정!$E$145</f>
        <v>0</v>
      </c>
      <c r="BJ46" s="37" t="n">
        <f aca="false">BJ26*①통합_가정!$E$145</f>
        <v>0</v>
      </c>
      <c r="BK46" s="37" t="n">
        <f aca="false">BK26*①통합_가정!$E$145</f>
        <v>0</v>
      </c>
      <c r="BL46" s="37" t="n">
        <f aca="false">BL26*①통합_가정!$E$145</f>
        <v>0</v>
      </c>
      <c r="BM46" s="37" t="n">
        <f aca="false">BM26*①통합_가정!$E$145</f>
        <v>385.333559183625</v>
      </c>
      <c r="BN46" s="37" t="n">
        <f aca="false">BN26*①통합_가정!$E$145</f>
        <v>372.90344437125</v>
      </c>
      <c r="BO46" s="37" t="n">
        <f aca="false">BO26*①통합_가정!$E$145</f>
        <v>385.333559183625</v>
      </c>
      <c r="BP46" s="37" t="n">
        <f aca="false">BP26*①통합_가정!$E$145</f>
        <v>372.90344437125</v>
      </c>
      <c r="BQ46" s="37" t="n">
        <f aca="false">BQ26*①통합_가정!$E$145</f>
        <v>385.333559183625</v>
      </c>
      <c r="BR46" s="37" t="n">
        <f aca="false">BR26*①통합_가정!$E$145</f>
        <v>385.333559183625</v>
      </c>
      <c r="BS46" s="37" t="n">
        <f aca="false">BS26*①통합_가정!$E$145</f>
        <v>372.90344437125</v>
      </c>
      <c r="BT46" s="37" t="n">
        <f aca="false">BT26*①통합_가정!$E$145</f>
        <v>385.333559183625</v>
      </c>
      <c r="BU46" s="37" t="n">
        <f aca="false">BU26*①통합_가정!$E$145</f>
        <v>372.90344437125</v>
      </c>
      <c r="BV46" s="37" t="n">
        <f aca="false">BV26*①통합_가정!$E$145</f>
        <v>385.333559183625</v>
      </c>
      <c r="BW46" s="37" t="n">
        <f aca="false">BW26*①통합_가정!$E$145</f>
        <v>385.333559183625</v>
      </c>
      <c r="BX46" s="37" t="n">
        <f aca="false">BX26*①통합_가정!$E$145</f>
        <v>360.473329558875</v>
      </c>
      <c r="BY46" s="37" t="n">
        <f aca="false">BY26*①통합_가정!$E$145</f>
        <v>453.507958116113</v>
      </c>
      <c r="BZ46" s="37" t="n">
        <f aca="false">BZ26*①통합_가정!$E$145</f>
        <v>438.878669144625</v>
      </c>
      <c r="CA46" s="37" t="n">
        <f aca="false">CA26*①통합_가정!$E$145</f>
        <v>453.507958116113</v>
      </c>
      <c r="CB46" s="37" t="n">
        <f aca="false">CB26*①통합_가정!$E$145</f>
        <v>438.878669144625</v>
      </c>
      <c r="CC46" s="37" t="n">
        <f aca="false">CC26*①통합_가정!$E$145</f>
        <v>453.507958116113</v>
      </c>
      <c r="CD46" s="37" t="n">
        <f aca="false">CD26*①통합_가정!$E$145</f>
        <v>453.507958116113</v>
      </c>
      <c r="CE46" s="37" t="n">
        <f aca="false">CE26*①통합_가정!$E$145</f>
        <v>438.878669144625</v>
      </c>
      <c r="CF46" s="37" t="n">
        <f aca="false">CF26*①통합_가정!$E$145</f>
        <v>453.507958116113</v>
      </c>
      <c r="CG46" s="37" t="n">
        <f aca="false">CG26*①통합_가정!$E$145</f>
        <v>438.878669144625</v>
      </c>
      <c r="CH46" s="37" t="n">
        <f aca="false">CH26*①통합_가정!$E$145</f>
        <v>453.507958116113</v>
      </c>
      <c r="CI46" s="37" t="n">
        <f aca="false">CI26*①통합_가정!$E$145</f>
        <v>453.507958116113</v>
      </c>
      <c r="CJ46" s="37" t="n">
        <f aca="false">CJ26*①통합_가정!$E$145</f>
        <v>409.62009120165</v>
      </c>
      <c r="CK46" s="37" t="n">
        <f aca="false">CK26*①통합_가정!$E$145</f>
        <v>462.578117278435</v>
      </c>
      <c r="CL46" s="37" t="n">
        <f aca="false">CL26*①통합_가정!$E$145</f>
        <v>447.656242527518</v>
      </c>
      <c r="CM46" s="37" t="n">
        <f aca="false">CM26*①통합_가정!$E$145</f>
        <v>462.578117278435</v>
      </c>
      <c r="CN46" s="37" t="n">
        <f aca="false">CN26*①통합_가정!$E$145</f>
        <v>447.656242527518</v>
      </c>
      <c r="CO46" s="37" t="n">
        <f aca="false">CO26*①통합_가정!$E$145</f>
        <v>462.578117278435</v>
      </c>
      <c r="CP46" s="37" t="n">
        <f aca="false">CP26*①통합_가정!$E$145</f>
        <v>462.578117278435</v>
      </c>
      <c r="CQ46" s="37" t="n">
        <f aca="false">CQ26*①통합_가정!$E$145</f>
        <v>447.656242527518</v>
      </c>
      <c r="CR46" s="37" t="n">
        <f aca="false">CR26*①통합_가정!$E$145</f>
        <v>462.578117278435</v>
      </c>
      <c r="CS46" s="37" t="n">
        <f aca="false">CS26*①통합_가정!$E$145</f>
        <v>447.656242527518</v>
      </c>
      <c r="CT46" s="37" t="n">
        <f aca="false">CT26*①통합_가정!$E$145</f>
        <v>462.578117278435</v>
      </c>
      <c r="CU46" s="37" t="n">
        <f aca="false">CU26*①통합_가정!$E$145</f>
        <v>462.578117278435</v>
      </c>
      <c r="CV46" s="37" t="n">
        <f aca="false">CV26*①통합_가정!$E$145</f>
        <v>417.812493025683</v>
      </c>
      <c r="CW46" s="37" t="n">
        <f aca="false">CW26*①통합_가정!$E$145</f>
        <v>471.829679624004</v>
      </c>
      <c r="CX46" s="37" t="n">
        <f aca="false">CX26*①통합_가정!$E$145</f>
        <v>456.609367378068</v>
      </c>
      <c r="CY46" s="37" t="n">
        <f aca="false">CY26*①통합_가정!$E$145</f>
        <v>471.829679624004</v>
      </c>
      <c r="CZ46" s="37" t="n">
        <f aca="false">CZ26*①통합_가정!$E$145</f>
        <v>456.609367378068</v>
      </c>
      <c r="DA46" s="37" t="n">
        <f aca="false">DA26*①통합_가정!$E$145</f>
        <v>471.829679624004</v>
      </c>
      <c r="DB46" s="37" t="n">
        <f aca="false">DB26*①통합_가정!$E$145</f>
        <v>471.829679624004</v>
      </c>
      <c r="DC46" s="37" t="n">
        <f aca="false">DC26*①통합_가정!$E$145</f>
        <v>456.609367378068</v>
      </c>
      <c r="DD46" s="37" t="n">
        <f aca="false">DD26*①통합_가정!$E$145</f>
        <v>471.829679624004</v>
      </c>
      <c r="DE46" s="37" t="n">
        <f aca="false">DE26*①통합_가정!$E$145</f>
        <v>456.609367378068</v>
      </c>
      <c r="DF46" s="37" t="n">
        <f aca="false">DF26*①통합_가정!$E$145</f>
        <v>471.829679624004</v>
      </c>
      <c r="DG46" s="37" t="n">
        <f aca="false">DG26*①통합_가정!$E$145</f>
        <v>471.829679624004</v>
      </c>
      <c r="DH46" s="37" t="n">
        <f aca="false">DH26*①통합_가정!$E$145</f>
        <v>426.168742886197</v>
      </c>
      <c r="DI46" s="37" t="n">
        <f aca="false">DI26*①통합_가정!$E$145</f>
        <v>481.266273216483</v>
      </c>
      <c r="DJ46" s="37" t="n">
        <f aca="false">DJ26*①통합_가정!$E$145</f>
        <v>465.741554725629</v>
      </c>
      <c r="DK46" s="37" t="n">
        <f aca="false">DK26*①통합_가정!$E$145</f>
        <v>481.266273216483</v>
      </c>
      <c r="DL46" s="37" t="n">
        <f aca="false">DL26*①통합_가정!$E$145</f>
        <v>465.741554725629</v>
      </c>
      <c r="DM46" s="37" t="n">
        <f aca="false">DM26*①통합_가정!$E$145</f>
        <v>481.266273216483</v>
      </c>
      <c r="DN46" s="37" t="n">
        <f aca="false">DN26*①통합_가정!$E$145</f>
        <v>481.266273216483</v>
      </c>
      <c r="DO46" s="37" t="n">
        <f aca="false">DO26*①통합_가정!$E$145</f>
        <v>465.741554725629</v>
      </c>
      <c r="DP46" s="37" t="n">
        <f aca="false">DP26*①통합_가정!$E$145</f>
        <v>481.266273216483</v>
      </c>
      <c r="DQ46" s="37" t="n">
        <f aca="false">DQ26*①통합_가정!$E$145</f>
        <v>465.741554725629</v>
      </c>
      <c r="DR46" s="37" t="n">
        <f aca="false">DR26*①통합_가정!$E$145</f>
        <v>481.266273216483</v>
      </c>
      <c r="DS46" s="37" t="n">
        <f aca="false">DS26*①통합_가정!$E$145</f>
        <v>481.266273216483</v>
      </c>
      <c r="DT46" s="37" t="n">
        <f aca="false">DT26*①통합_가정!$E$145</f>
        <v>450.216836234775</v>
      </c>
      <c r="DU46" s="37" t="n">
        <f aca="false">DU26*①통합_가정!$E$145</f>
        <v>0</v>
      </c>
      <c r="DV46" s="37" t="n">
        <f aca="false">DV26*①통합_가정!$E$145</f>
        <v>0</v>
      </c>
      <c r="DW46" s="37" t="n">
        <f aca="false">DW26*①통합_가정!$E$145</f>
        <v>0</v>
      </c>
      <c r="DX46" s="37" t="n">
        <f aca="false">DX26*①통합_가정!$E$145</f>
        <v>0</v>
      </c>
      <c r="DY46" s="37" t="n">
        <f aca="false">DY26*①통합_가정!$E$145</f>
        <v>0</v>
      </c>
      <c r="DZ46" s="37" t="n">
        <f aca="false">DZ26*①통합_가정!$E$145</f>
        <v>0</v>
      </c>
      <c r="EA46" s="37" t="n">
        <f aca="false">EA26*①통합_가정!$E$145</f>
        <v>0</v>
      </c>
      <c r="EB46" s="37" t="n">
        <f aca="false">EB26*①통합_가정!$E$145</f>
        <v>0</v>
      </c>
      <c r="EC46" s="37" t="n">
        <f aca="false">EC26*①통합_가정!$E$145</f>
        <v>0</v>
      </c>
      <c r="ED46" s="37" t="n">
        <f aca="false">ED26*①통합_가정!$E$145</f>
        <v>0</v>
      </c>
      <c r="EE46" s="37" t="n">
        <f aca="false">EE26*①통합_가정!$E$145</f>
        <v>0</v>
      </c>
      <c r="EF46" s="37" t="n">
        <f aca="false">EF26*①통합_가정!$E$145</f>
        <v>0</v>
      </c>
    </row>
    <row r="47" customFormat="false" ht="15" hidden="false" customHeight="false" outlineLevel="0" collapsed="false">
      <c r="A47" s="36" t="s">
        <v>595</v>
      </c>
      <c r="B47" s="278" t="s">
        <v>21</v>
      </c>
      <c r="C47" s="279" t="n">
        <f aca="false">SUM(E47:EF47)</f>
        <v>255604.302389502</v>
      </c>
      <c r="E47" s="37" t="n">
        <f aca="false">(E27+E28+E29)*(①통합_가정!$E$165+①통합_가정!$E$166)</f>
        <v>0</v>
      </c>
      <c r="F47" s="37" t="n">
        <f aca="false">(F27+F28+F29)*(①통합_가정!$E$165+①통합_가정!$E$166)</f>
        <v>0</v>
      </c>
      <c r="G47" s="37" t="n">
        <f aca="false">(G27+G28+G29)*(①통합_가정!$E$165+①통합_가정!$E$166)</f>
        <v>0</v>
      </c>
      <c r="H47" s="37" t="n">
        <f aca="false">(H27+H28+H29)*(①통합_가정!$E$165+①통합_가정!$E$166)</f>
        <v>0</v>
      </c>
      <c r="I47" s="37" t="n">
        <f aca="false">(I27+I28+I29)*(①통합_가정!$E$165+①통합_가정!$E$166)</f>
        <v>0</v>
      </c>
      <c r="J47" s="37" t="n">
        <f aca="false">(J27+J28+J29)*(①통합_가정!$E$165+①통합_가정!$E$166)</f>
        <v>0</v>
      </c>
      <c r="K47" s="37" t="n">
        <f aca="false">(K27+K28+K29)*(①통합_가정!$E$165+①통합_가정!$E$166)</f>
        <v>0</v>
      </c>
      <c r="L47" s="37" t="n">
        <f aca="false">(L27+L28+L29)*(①통합_가정!$E$165+①통합_가정!$E$166)</f>
        <v>0</v>
      </c>
      <c r="M47" s="37" t="n">
        <f aca="false">(M27+M28+M29)*(①통합_가정!$E$165+①통합_가정!$E$166)</f>
        <v>0</v>
      </c>
      <c r="N47" s="37" t="n">
        <f aca="false">(N27+N28+N29)*(①통합_가정!$E$165+①통합_가정!$E$166)</f>
        <v>0</v>
      </c>
      <c r="O47" s="37" t="n">
        <f aca="false">(O27+O28+O29)*(①통합_가정!$E$165+①통합_가정!$E$166)</f>
        <v>0</v>
      </c>
      <c r="P47" s="37" t="n">
        <f aca="false">(P27+P28+P29)*(①통합_가정!$E$165+①통합_가정!$E$166)</f>
        <v>0</v>
      </c>
      <c r="Q47" s="37" t="n">
        <f aca="false">(Q27+Q28+Q29)*(①통합_가정!$E$165+①통합_가정!$E$166)</f>
        <v>0</v>
      </c>
      <c r="R47" s="37" t="n">
        <f aca="false">(R27+R28+R29)*(①통합_가정!$E$165+①통합_가정!$E$166)</f>
        <v>0</v>
      </c>
      <c r="S47" s="37" t="n">
        <f aca="false">(S27+S28+S29)*(①통합_가정!$E$165+①통합_가정!$E$166)</f>
        <v>0</v>
      </c>
      <c r="T47" s="37" t="n">
        <f aca="false">(T27+T28+T29)*(①통합_가정!$E$165+①통합_가정!$E$166)</f>
        <v>0</v>
      </c>
      <c r="U47" s="37" t="n">
        <f aca="false">(U27+U28+U29)*(①통합_가정!$E$165+①통합_가정!$E$166)</f>
        <v>0</v>
      </c>
      <c r="V47" s="37" t="n">
        <f aca="false">(V27+V28+V29)*(①통합_가정!$E$165+①통합_가정!$E$166)</f>
        <v>0</v>
      </c>
      <c r="W47" s="37" t="n">
        <f aca="false">(W27+W28+W29)*(①통합_가정!$E$165+①통합_가정!$E$166)</f>
        <v>0</v>
      </c>
      <c r="X47" s="37" t="n">
        <f aca="false">(X27+X28+X29)*(①통합_가정!$E$165+①통합_가정!$E$166)</f>
        <v>0</v>
      </c>
      <c r="Y47" s="37" t="n">
        <f aca="false">(Y27+Y28+Y29)*(①통합_가정!$E$165+①통합_가정!$E$166)</f>
        <v>0</v>
      </c>
      <c r="Z47" s="37" t="n">
        <f aca="false">(Z27+Z28+Z29)*(①통합_가정!$E$165+①통합_가정!$E$166)</f>
        <v>0</v>
      </c>
      <c r="AA47" s="37" t="n">
        <f aca="false">(AA27+AA28+AA29)*(①통합_가정!$E$165+①통합_가정!$E$166)</f>
        <v>0</v>
      </c>
      <c r="AB47" s="37" t="n">
        <f aca="false">(AB27+AB28+AB29)*(①통합_가정!$E$165+①통합_가정!$E$166)</f>
        <v>0</v>
      </c>
      <c r="AC47" s="37" t="n">
        <f aca="false">(AC27+AC28+AC29)*(①통합_가정!$E$165+①통합_가정!$E$166)</f>
        <v>0</v>
      </c>
      <c r="AD47" s="37" t="n">
        <f aca="false">(AD27+AD28+AD29)*(①통합_가정!$E$165+①통합_가정!$E$166)</f>
        <v>0</v>
      </c>
      <c r="AE47" s="37" t="n">
        <f aca="false">(AE27+AE28+AE29)*(①통합_가정!$E$165+①통합_가정!$E$166)</f>
        <v>0</v>
      </c>
      <c r="AF47" s="37" t="n">
        <f aca="false">(AF27+AF28+AF29)*(①통합_가정!$E$165+①통합_가정!$E$166)</f>
        <v>0</v>
      </c>
      <c r="AG47" s="37" t="n">
        <f aca="false">(AG27+AG28+AG29)*(①통합_가정!$E$165+①통합_가정!$E$166)</f>
        <v>0</v>
      </c>
      <c r="AH47" s="37" t="n">
        <f aca="false">(AH27+AH28+AH29)*(①통합_가정!$E$165+①통합_가정!$E$166)</f>
        <v>0</v>
      </c>
      <c r="AI47" s="37" t="n">
        <f aca="false">(AI27+AI28+AI29)*(①통합_가정!$E$165+①통합_가정!$E$166)</f>
        <v>0</v>
      </c>
      <c r="AJ47" s="37" t="n">
        <f aca="false">(AJ27+AJ28+AJ29)*(①통합_가정!$E$165+①통합_가정!$E$166)</f>
        <v>0</v>
      </c>
      <c r="AK47" s="37" t="n">
        <f aca="false">(AK27+AK28+AK29)*(①통합_가정!$E$165+①통합_가정!$E$166)</f>
        <v>0</v>
      </c>
      <c r="AL47" s="37" t="n">
        <f aca="false">(AL27+AL28+AL29)*(①통합_가정!$E$165+①통합_가정!$E$166)</f>
        <v>0</v>
      </c>
      <c r="AM47" s="37" t="n">
        <f aca="false">(AM27+AM28+AM29)*(①통합_가정!$E$165+①통합_가정!$E$166)</f>
        <v>0</v>
      </c>
      <c r="AN47" s="37" t="n">
        <f aca="false">(AN27+AN28+AN29)*(①통합_가정!$E$165+①통합_가정!$E$166)</f>
        <v>0</v>
      </c>
      <c r="AO47" s="37" t="n">
        <f aca="false">(AO27+AO28+AO29)*(①통합_가정!$E$165+①통합_가정!$E$166)</f>
        <v>0</v>
      </c>
      <c r="AP47" s="37" t="n">
        <f aca="false">(AP27+AP28+AP29)*(①통합_가정!$E$165+①통합_가정!$E$166)</f>
        <v>0</v>
      </c>
      <c r="AQ47" s="37" t="n">
        <f aca="false">(AQ27+AQ28+AQ29)*(①통합_가정!$E$165+①통합_가정!$E$166)</f>
        <v>0</v>
      </c>
      <c r="AR47" s="37" t="n">
        <f aca="false">(AR27+AR28+AR29)*(①통합_가정!$E$165+①통합_가정!$E$166)</f>
        <v>0</v>
      </c>
      <c r="AS47" s="37" t="n">
        <f aca="false">(AS27+AS28+AS29)*(①통합_가정!$E$165+①통합_가정!$E$166)</f>
        <v>0</v>
      </c>
      <c r="AT47" s="37" t="n">
        <f aca="false">(AT27+AT28+AT29)*(①통합_가정!$E$165+①통합_가정!$E$166)</f>
        <v>0</v>
      </c>
      <c r="AU47" s="37" t="n">
        <f aca="false">(AU27+AU28+AU29)*(①통합_가정!$E$165+①통합_가정!$E$166)</f>
        <v>0</v>
      </c>
      <c r="AV47" s="37" t="n">
        <f aca="false">(AV27+AV28+AV29)*(①통합_가정!$E$165+①통합_가정!$E$166)</f>
        <v>0</v>
      </c>
      <c r="AW47" s="37" t="n">
        <f aca="false">(AW27+AW28+AW29)*(①통합_가정!$E$165+①통합_가정!$E$166)</f>
        <v>0</v>
      </c>
      <c r="AX47" s="37" t="n">
        <f aca="false">(AX27+AX28+AX29)*(①통합_가정!$E$165+①통합_가정!$E$166)</f>
        <v>0</v>
      </c>
      <c r="AY47" s="37" t="n">
        <f aca="false">(AY27+AY28+AY29)*(①통합_가정!$E$165+①통합_가정!$E$166)</f>
        <v>0</v>
      </c>
      <c r="AZ47" s="37" t="n">
        <f aca="false">(AZ27+AZ28+AZ29)*(①통합_가정!$E$165+①통합_가정!$E$166)</f>
        <v>0</v>
      </c>
      <c r="BA47" s="37" t="n">
        <f aca="false">(BA27+BA28+BA29)*(①통합_가정!$E$165+①통합_가정!$E$166)</f>
        <v>0</v>
      </c>
      <c r="BB47" s="37" t="n">
        <f aca="false">(BB27+BB28+BB29)*(①통합_가정!$E$165+①통합_가정!$E$166)</f>
        <v>0</v>
      </c>
      <c r="BC47" s="37" t="n">
        <f aca="false">(BC27+BC28+BC29)*(①통합_가정!$E$165+①통합_가정!$E$166)</f>
        <v>0</v>
      </c>
      <c r="BD47" s="37" t="n">
        <f aca="false">(BD27+BD28+BD29)*(①통합_가정!$E$165+①통합_가정!$E$166)</f>
        <v>0</v>
      </c>
      <c r="BE47" s="37" t="n">
        <f aca="false">(BE27+BE28+BE29)*(①통합_가정!$E$165+①통합_가정!$E$166)</f>
        <v>0</v>
      </c>
      <c r="BF47" s="37" t="n">
        <f aca="false">(BF27+BF28+BF29)*(①통합_가정!$E$165+①통합_가정!$E$166)</f>
        <v>0</v>
      </c>
      <c r="BG47" s="37" t="n">
        <f aca="false">(BG27+BG28+BG29)*(①통합_가정!$E$165+①통합_가정!$E$166)</f>
        <v>0</v>
      </c>
      <c r="BH47" s="37" t="n">
        <f aca="false">(BH27+BH28+BH29)*(①통합_가정!$E$165+①통합_가정!$E$166)</f>
        <v>0</v>
      </c>
      <c r="BI47" s="37" t="n">
        <f aca="false">(BI27+BI28+BI29)*(①통합_가정!$E$165+①통합_가정!$E$166)</f>
        <v>0</v>
      </c>
      <c r="BJ47" s="37" t="n">
        <f aca="false">(BJ27+BJ28+BJ29)*(①통합_가정!$E$165+①통합_가정!$E$166)</f>
        <v>0</v>
      </c>
      <c r="BK47" s="37" t="n">
        <f aca="false">(BK27+BK28+BK29)*(①통합_가정!$E$165+①통합_가정!$E$166)</f>
        <v>0</v>
      </c>
      <c r="BL47" s="37" t="n">
        <f aca="false">(BL27+BL28+BL29)*(①통합_가정!$E$165+①통합_가정!$E$166)</f>
        <v>0</v>
      </c>
      <c r="BM47" s="37" t="n">
        <f aca="false">(BM27+BM28+BM29)*(①통합_가정!$E$165+①통합_가정!$E$166)</f>
        <v>3706.495377</v>
      </c>
      <c r="BN47" s="37" t="n">
        <f aca="false">(BN27+BN28+BN29)*(①통합_가정!$E$165+①통합_가정!$E$166)</f>
        <v>3586.93101</v>
      </c>
      <c r="BO47" s="37" t="n">
        <f aca="false">(BO27+BO28+BO29)*(①통합_가정!$E$165+①통합_가정!$E$166)</f>
        <v>3706.495377</v>
      </c>
      <c r="BP47" s="37" t="n">
        <f aca="false">(BP27+BP28+BP29)*(①통합_가정!$E$165+①통합_가정!$E$166)</f>
        <v>3586.93101</v>
      </c>
      <c r="BQ47" s="37" t="n">
        <f aca="false">(BQ27+BQ28+BQ29)*(①통합_가정!$E$165+①통합_가정!$E$166)</f>
        <v>3706.495377</v>
      </c>
      <c r="BR47" s="37" t="n">
        <f aca="false">(BR27+BR28+BR29)*(①통합_가정!$E$165+①통합_가정!$E$166)</f>
        <v>3706.495377</v>
      </c>
      <c r="BS47" s="37" t="n">
        <f aca="false">(BS27+BS28+BS29)*(①통합_가정!$E$165+①통합_가정!$E$166)</f>
        <v>3586.93101</v>
      </c>
      <c r="BT47" s="37" t="n">
        <f aca="false">(BT27+BT28+BT29)*(①통합_가정!$E$165+①통합_가정!$E$166)</f>
        <v>3706.495377</v>
      </c>
      <c r="BU47" s="37" t="n">
        <f aca="false">(BU27+BU28+BU29)*(①통합_가정!$E$165+①통합_가정!$E$166)</f>
        <v>3586.93101</v>
      </c>
      <c r="BV47" s="37" t="n">
        <f aca="false">(BV27+BV28+BV29)*(①통합_가정!$E$165+①통합_가정!$E$166)</f>
        <v>3706.495377</v>
      </c>
      <c r="BW47" s="37" t="n">
        <f aca="false">(BW27+BW28+BW29)*(①통합_가정!$E$165+①통합_가정!$E$166)</f>
        <v>3706.495377</v>
      </c>
      <c r="BX47" s="37" t="n">
        <f aca="false">(BX27+BX28+BX29)*(①통합_가정!$E$165+①통합_가정!$E$166)</f>
        <v>3467.366643</v>
      </c>
      <c r="BY47" s="37" t="n">
        <f aca="false">(BY27+BY28+BY29)*(①통합_가정!$E$165+①통합_가정!$E$166)</f>
        <v>4362.2599437</v>
      </c>
      <c r="BZ47" s="37" t="n">
        <f aca="false">(BZ27+BZ28+BZ29)*(①통합_가정!$E$165+①통합_가정!$E$166)</f>
        <v>4221.541881</v>
      </c>
      <c r="CA47" s="37" t="n">
        <f aca="false">(CA27+CA28+CA29)*(①통합_가정!$E$165+①통합_가정!$E$166)</f>
        <v>4362.2599437</v>
      </c>
      <c r="CB47" s="37" t="n">
        <f aca="false">(CB27+CB28+CB29)*(①통합_가정!$E$165+①통합_가정!$E$166)</f>
        <v>4221.541881</v>
      </c>
      <c r="CC47" s="37" t="n">
        <f aca="false">(CC27+CC28+CC29)*(①통합_가정!$E$165+①통합_가정!$E$166)</f>
        <v>4362.2599437</v>
      </c>
      <c r="CD47" s="37" t="n">
        <f aca="false">(CD27+CD28+CD29)*(①통합_가정!$E$165+①통합_가정!$E$166)</f>
        <v>4362.2599437</v>
      </c>
      <c r="CE47" s="37" t="n">
        <f aca="false">(CE27+CE28+CE29)*(①통합_가정!$E$165+①통합_가정!$E$166)</f>
        <v>4221.541881</v>
      </c>
      <c r="CF47" s="37" t="n">
        <f aca="false">(CF27+CF28+CF29)*(①통합_가정!$E$165+①통합_가정!$E$166)</f>
        <v>4362.2599437</v>
      </c>
      <c r="CG47" s="37" t="n">
        <f aca="false">(CG27+CG28+CG29)*(①통합_가정!$E$165+①통합_가정!$E$166)</f>
        <v>4221.541881</v>
      </c>
      <c r="CH47" s="37" t="n">
        <f aca="false">(CH27+CH28+CH29)*(①통합_가정!$E$165+①통합_가정!$E$166)</f>
        <v>4362.2599437</v>
      </c>
      <c r="CI47" s="37" t="n">
        <f aca="false">(CI27+CI28+CI29)*(①통합_가정!$E$165+①통합_가정!$E$166)</f>
        <v>4362.2599437</v>
      </c>
      <c r="CJ47" s="37" t="n">
        <f aca="false">(CJ27+CJ28+CJ29)*(①통합_가정!$E$165+①통합_가정!$E$166)</f>
        <v>3940.1057556</v>
      </c>
      <c r="CK47" s="37" t="n">
        <f aca="false">(CK27+CK28+CK29)*(①통합_가정!$E$165+①통합_가정!$E$166)</f>
        <v>4449.505142574</v>
      </c>
      <c r="CL47" s="37" t="n">
        <f aca="false">(CL27+CL28+CL29)*(①통합_가정!$E$165+①통합_가정!$E$166)</f>
        <v>4305.97271862</v>
      </c>
      <c r="CM47" s="37" t="n">
        <f aca="false">(CM27+CM28+CM29)*(①통합_가정!$E$165+①통합_가정!$E$166)</f>
        <v>4449.505142574</v>
      </c>
      <c r="CN47" s="37" t="n">
        <f aca="false">(CN27+CN28+CN29)*(①통합_가정!$E$165+①통합_가정!$E$166)</f>
        <v>4305.97271862</v>
      </c>
      <c r="CO47" s="37" t="n">
        <f aca="false">(CO27+CO28+CO29)*(①통합_가정!$E$165+①통합_가정!$E$166)</f>
        <v>4449.505142574</v>
      </c>
      <c r="CP47" s="37" t="n">
        <f aca="false">(CP27+CP28+CP29)*(①통합_가정!$E$165+①통합_가정!$E$166)</f>
        <v>4449.505142574</v>
      </c>
      <c r="CQ47" s="37" t="n">
        <f aca="false">(CQ27+CQ28+CQ29)*(①통합_가정!$E$165+①통합_가정!$E$166)</f>
        <v>4305.97271862</v>
      </c>
      <c r="CR47" s="37" t="n">
        <f aca="false">(CR27+CR28+CR29)*(①통합_가정!$E$165+①통합_가정!$E$166)</f>
        <v>4449.505142574</v>
      </c>
      <c r="CS47" s="37" t="n">
        <f aca="false">(CS27+CS28+CS29)*(①통합_가정!$E$165+①통합_가정!$E$166)</f>
        <v>4305.97271862</v>
      </c>
      <c r="CT47" s="37" t="n">
        <f aca="false">(CT27+CT28+CT29)*(①통합_가정!$E$165+①통합_가정!$E$166)</f>
        <v>4449.505142574</v>
      </c>
      <c r="CU47" s="37" t="n">
        <f aca="false">(CU27+CU28+CU29)*(①통합_가정!$E$165+①통합_가정!$E$166)</f>
        <v>4449.505142574</v>
      </c>
      <c r="CV47" s="37" t="n">
        <f aca="false">(CV27+CV28+CV29)*(①통합_가정!$E$165+①통합_가정!$E$166)</f>
        <v>4018.907870712</v>
      </c>
      <c r="CW47" s="37" t="n">
        <f aca="false">(CW27+CW28+CW29)*(①통합_가정!$E$165+①통합_가정!$E$166)</f>
        <v>4538.49524542548</v>
      </c>
      <c r="CX47" s="37" t="n">
        <f aca="false">(CX27+CX28+CX29)*(①통합_가정!$E$165+①통합_가정!$E$166)</f>
        <v>4392.0921729924</v>
      </c>
      <c r="CY47" s="37" t="n">
        <f aca="false">(CY27+CY28+CY29)*(①통합_가정!$E$165+①통합_가정!$E$166)</f>
        <v>4538.49524542548</v>
      </c>
      <c r="CZ47" s="37" t="n">
        <f aca="false">(CZ27+CZ28+CZ29)*(①통합_가정!$E$165+①통합_가정!$E$166)</f>
        <v>4392.0921729924</v>
      </c>
      <c r="DA47" s="37" t="n">
        <f aca="false">(DA27+DA28+DA29)*(①통합_가정!$E$165+①통합_가정!$E$166)</f>
        <v>4538.49524542548</v>
      </c>
      <c r="DB47" s="37" t="n">
        <f aca="false">(DB27+DB28+DB29)*(①통합_가정!$E$165+①통합_가정!$E$166)</f>
        <v>4538.49524542548</v>
      </c>
      <c r="DC47" s="37" t="n">
        <f aca="false">(DC27+DC28+DC29)*(①통합_가정!$E$165+①통합_가정!$E$166)</f>
        <v>4392.0921729924</v>
      </c>
      <c r="DD47" s="37" t="n">
        <f aca="false">(DD27+DD28+DD29)*(①통합_가정!$E$165+①통합_가정!$E$166)</f>
        <v>4538.49524542548</v>
      </c>
      <c r="DE47" s="37" t="n">
        <f aca="false">(DE27+DE28+DE29)*(①통합_가정!$E$165+①통합_가정!$E$166)</f>
        <v>4392.0921729924</v>
      </c>
      <c r="DF47" s="37" t="n">
        <f aca="false">(DF27+DF28+DF29)*(①통합_가정!$E$165+①통합_가정!$E$166)</f>
        <v>4538.49524542548</v>
      </c>
      <c r="DG47" s="37" t="n">
        <f aca="false">(DG27+DG28+DG29)*(①통합_가정!$E$165+①통합_가정!$E$166)</f>
        <v>4538.49524542548</v>
      </c>
      <c r="DH47" s="37" t="n">
        <f aca="false">(DH27+DH28+DH29)*(①통합_가정!$E$165+①통합_가정!$E$166)</f>
        <v>4099.28602812624</v>
      </c>
      <c r="DI47" s="37" t="n">
        <f aca="false">(DI27+DI28+DI29)*(①통합_가정!$E$165+①통합_가정!$E$166)</f>
        <v>4629.26515033399</v>
      </c>
      <c r="DJ47" s="37" t="n">
        <f aca="false">(DJ27+DJ28+DJ29)*(①통합_가정!$E$165+①통합_가정!$E$166)</f>
        <v>4479.93401645225</v>
      </c>
      <c r="DK47" s="37" t="n">
        <f aca="false">(DK27+DK28+DK29)*(①통합_가정!$E$165+①통합_가정!$E$166)</f>
        <v>4629.26515033399</v>
      </c>
      <c r="DL47" s="37" t="n">
        <f aca="false">(DL27+DL28+DL29)*(①통합_가정!$E$165+①통합_가정!$E$166)</f>
        <v>4479.93401645225</v>
      </c>
      <c r="DM47" s="37" t="n">
        <f aca="false">(DM27+DM28+DM29)*(①통합_가정!$E$165+①통합_가정!$E$166)</f>
        <v>4629.26515033399</v>
      </c>
      <c r="DN47" s="37" t="n">
        <f aca="false">(DN27+DN28+DN29)*(①통합_가정!$E$165+①통합_가정!$E$166)</f>
        <v>4629.26515033399</v>
      </c>
      <c r="DO47" s="37" t="n">
        <f aca="false">(DO27+DO28+DO29)*(①통합_가정!$E$165+①통합_가정!$E$166)</f>
        <v>4479.93401645225</v>
      </c>
      <c r="DP47" s="37" t="n">
        <f aca="false">(DP27+DP28+DP29)*(①통합_가정!$E$165+①통합_가정!$E$166)</f>
        <v>4629.26515033399</v>
      </c>
      <c r="DQ47" s="37" t="n">
        <f aca="false">(DQ27+DQ28+DQ29)*(①통합_가정!$E$165+①통합_가정!$E$166)</f>
        <v>4479.93401645225</v>
      </c>
      <c r="DR47" s="37" t="n">
        <f aca="false">(DR27+DR28+DR29)*(①통합_가정!$E$165+①통합_가정!$E$166)</f>
        <v>4629.26515033399</v>
      </c>
      <c r="DS47" s="37" t="n">
        <f aca="false">(DS27+DS28+DS29)*(①통합_가정!$E$165+①통합_가정!$E$166)</f>
        <v>4629.26515033399</v>
      </c>
      <c r="DT47" s="37" t="n">
        <f aca="false">(DT27+DT28+DT29)*(①통합_가정!$E$165+①통합_가정!$E$166)</f>
        <v>4330.60288257051</v>
      </c>
      <c r="DU47" s="37" t="n">
        <f aca="false">(DU27+DU28+DU29)*(①통합_가정!$E$165+①통합_가정!$E$166)</f>
        <v>0</v>
      </c>
      <c r="DV47" s="37" t="n">
        <f aca="false">(DV27+DV28+DV29)*(①통합_가정!$E$165+①통합_가정!$E$166)</f>
        <v>0</v>
      </c>
      <c r="DW47" s="37" t="n">
        <f aca="false">(DW27+DW28+DW29)*(①통합_가정!$E$165+①통합_가정!$E$166)</f>
        <v>0</v>
      </c>
      <c r="DX47" s="37" t="n">
        <f aca="false">(DX27+DX28+DX29)*(①통합_가정!$E$165+①통합_가정!$E$166)</f>
        <v>0</v>
      </c>
      <c r="DY47" s="37" t="n">
        <f aca="false">(DY27+DY28+DY29)*(①통합_가정!$E$165+①통합_가정!$E$166)</f>
        <v>0</v>
      </c>
      <c r="DZ47" s="37" t="n">
        <f aca="false">(DZ27+DZ28+DZ29)*(①통합_가정!$E$165+①통합_가정!$E$166)</f>
        <v>0</v>
      </c>
      <c r="EA47" s="37" t="n">
        <f aca="false">(EA27+EA28+EA29)*(①통합_가정!$E$165+①통합_가정!$E$166)</f>
        <v>0</v>
      </c>
      <c r="EB47" s="37" t="n">
        <f aca="false">(EB27+EB28+EB29)*(①통합_가정!$E$165+①통합_가정!$E$166)</f>
        <v>0</v>
      </c>
      <c r="EC47" s="37" t="n">
        <f aca="false">(EC27+EC28+EC29)*(①통합_가정!$E$165+①통합_가정!$E$166)</f>
        <v>0</v>
      </c>
      <c r="ED47" s="37" t="n">
        <f aca="false">(ED27+ED28+ED29)*(①통합_가정!$E$165+①통합_가정!$E$166)</f>
        <v>0</v>
      </c>
      <c r="EE47" s="37" t="n">
        <f aca="false">(EE27+EE28+EE29)*(①통합_가정!$E$165+①통합_가정!$E$166)</f>
        <v>0</v>
      </c>
      <c r="EF47" s="37" t="n">
        <f aca="false">(EF27+EF28+EF29)*(①통합_가정!$E$165+①통합_가정!$E$166)</f>
        <v>0</v>
      </c>
    </row>
    <row r="48" customFormat="false" ht="15" hidden="false" customHeight="false" outlineLevel="0" collapsed="false">
      <c r="A48" s="36" t="s">
        <v>596</v>
      </c>
      <c r="B48" s="278" t="s">
        <v>21</v>
      </c>
      <c r="C48" s="279" t="n">
        <f aca="false">SUM(E48:EF48)</f>
        <v>57853.2665312813</v>
      </c>
      <c r="E48" s="37" t="n">
        <f aca="false">E30*①통합_가정!$E$175</f>
        <v>0</v>
      </c>
      <c r="F48" s="37" t="n">
        <f aca="false">F30*①통합_가정!$E$175</f>
        <v>0</v>
      </c>
      <c r="G48" s="37" t="n">
        <f aca="false">G30*①통합_가정!$E$175</f>
        <v>0</v>
      </c>
      <c r="H48" s="37" t="n">
        <f aca="false">H30*①통합_가정!$E$175</f>
        <v>0</v>
      </c>
      <c r="I48" s="37" t="n">
        <f aca="false">I30*①통합_가정!$E$175</f>
        <v>0</v>
      </c>
      <c r="J48" s="37" t="n">
        <f aca="false">J30*①통합_가정!$E$175</f>
        <v>0</v>
      </c>
      <c r="K48" s="37" t="n">
        <f aca="false">K30*①통합_가정!$E$175</f>
        <v>0</v>
      </c>
      <c r="L48" s="37" t="n">
        <f aca="false">L30*①통합_가정!$E$175</f>
        <v>0</v>
      </c>
      <c r="M48" s="37" t="n">
        <f aca="false">M30*①통합_가정!$E$175</f>
        <v>0</v>
      </c>
      <c r="N48" s="37" t="n">
        <f aca="false">N30*①통합_가정!$E$175</f>
        <v>0</v>
      </c>
      <c r="O48" s="37" t="n">
        <f aca="false">O30*①통합_가정!$E$175</f>
        <v>0</v>
      </c>
      <c r="P48" s="37" t="n">
        <f aca="false">P30*①통합_가정!$E$175</f>
        <v>0</v>
      </c>
      <c r="Q48" s="37" t="n">
        <f aca="false">Q30*①통합_가정!$E$175</f>
        <v>0</v>
      </c>
      <c r="R48" s="37" t="n">
        <f aca="false">R30*①통합_가정!$E$175</f>
        <v>0</v>
      </c>
      <c r="S48" s="37" t="n">
        <f aca="false">S30*①통합_가정!$E$175</f>
        <v>0</v>
      </c>
      <c r="T48" s="37" t="n">
        <f aca="false">T30*①통합_가정!$E$175</f>
        <v>0</v>
      </c>
      <c r="U48" s="37" t="n">
        <f aca="false">U30*①통합_가정!$E$175</f>
        <v>0</v>
      </c>
      <c r="V48" s="37" t="n">
        <f aca="false">V30*①통합_가정!$E$175</f>
        <v>0</v>
      </c>
      <c r="W48" s="37" t="n">
        <f aca="false">W30*①통합_가정!$E$175</f>
        <v>0</v>
      </c>
      <c r="X48" s="37" t="n">
        <f aca="false">X30*①통합_가정!$E$175</f>
        <v>0</v>
      </c>
      <c r="Y48" s="37" t="n">
        <f aca="false">Y30*①통합_가정!$E$175</f>
        <v>0</v>
      </c>
      <c r="Z48" s="37" t="n">
        <f aca="false">Z30*①통합_가정!$E$175</f>
        <v>0</v>
      </c>
      <c r="AA48" s="37" t="n">
        <f aca="false">AA30*①통합_가정!$E$175</f>
        <v>0</v>
      </c>
      <c r="AB48" s="37" t="n">
        <f aca="false">AB30*①통합_가정!$E$175</f>
        <v>0</v>
      </c>
      <c r="AC48" s="37" t="n">
        <f aca="false">AC30*①통합_가정!$E$175</f>
        <v>0</v>
      </c>
      <c r="AD48" s="37" t="n">
        <f aca="false">AD30*①통합_가정!$E$175</f>
        <v>0</v>
      </c>
      <c r="AE48" s="37" t="n">
        <f aca="false">AE30*①통합_가정!$E$175</f>
        <v>0</v>
      </c>
      <c r="AF48" s="37" t="n">
        <f aca="false">AF30*①통합_가정!$E$175</f>
        <v>0</v>
      </c>
      <c r="AG48" s="37" t="n">
        <f aca="false">AG30*①통합_가정!$E$175</f>
        <v>0</v>
      </c>
      <c r="AH48" s="37" t="n">
        <f aca="false">AH30*①통합_가정!$E$175</f>
        <v>0</v>
      </c>
      <c r="AI48" s="37" t="n">
        <f aca="false">AI30*①통합_가정!$E$175</f>
        <v>0</v>
      </c>
      <c r="AJ48" s="37" t="n">
        <f aca="false">AJ30*①통합_가정!$E$175</f>
        <v>0</v>
      </c>
      <c r="AK48" s="37" t="n">
        <f aca="false">AK30*①통합_가정!$E$175</f>
        <v>0</v>
      </c>
      <c r="AL48" s="37" t="n">
        <f aca="false">AL30*①통합_가정!$E$175</f>
        <v>0</v>
      </c>
      <c r="AM48" s="37" t="n">
        <f aca="false">AM30*①통합_가정!$E$175</f>
        <v>0</v>
      </c>
      <c r="AN48" s="37" t="n">
        <f aca="false">AN30*①통합_가정!$E$175</f>
        <v>0</v>
      </c>
      <c r="AO48" s="37" t="n">
        <f aca="false">AO30*①통합_가정!$E$175</f>
        <v>0</v>
      </c>
      <c r="AP48" s="37" t="n">
        <f aca="false">AP30*①통합_가정!$E$175</f>
        <v>0</v>
      </c>
      <c r="AQ48" s="37" t="n">
        <f aca="false">AQ30*①통합_가정!$E$175</f>
        <v>0</v>
      </c>
      <c r="AR48" s="37" t="n">
        <f aca="false">AR30*①통합_가정!$E$175</f>
        <v>0</v>
      </c>
      <c r="AS48" s="37" t="n">
        <f aca="false">AS30*①통합_가정!$E$175</f>
        <v>0</v>
      </c>
      <c r="AT48" s="37" t="n">
        <f aca="false">AT30*①통합_가정!$E$175</f>
        <v>0</v>
      </c>
      <c r="AU48" s="37" t="n">
        <f aca="false">AU30*①통합_가정!$E$175</f>
        <v>0</v>
      </c>
      <c r="AV48" s="37" t="n">
        <f aca="false">AV30*①통합_가정!$E$175</f>
        <v>0</v>
      </c>
      <c r="AW48" s="37" t="n">
        <f aca="false">AW30*①통합_가정!$E$175</f>
        <v>0</v>
      </c>
      <c r="AX48" s="37" t="n">
        <f aca="false">AX30*①통합_가정!$E$175</f>
        <v>0</v>
      </c>
      <c r="AY48" s="37" t="n">
        <f aca="false">AY30*①통합_가정!$E$175</f>
        <v>0</v>
      </c>
      <c r="AZ48" s="37" t="n">
        <f aca="false">AZ30*①통합_가정!$E$175</f>
        <v>0</v>
      </c>
      <c r="BA48" s="37" t="n">
        <f aca="false">BA30*①통합_가정!$E$175</f>
        <v>0</v>
      </c>
      <c r="BB48" s="37" t="n">
        <f aca="false">BB30*①통합_가정!$E$175</f>
        <v>0</v>
      </c>
      <c r="BC48" s="37" t="n">
        <f aca="false">BC30*①통합_가정!$E$175</f>
        <v>0</v>
      </c>
      <c r="BD48" s="37" t="n">
        <f aca="false">BD30*①통합_가정!$E$175</f>
        <v>0</v>
      </c>
      <c r="BE48" s="37" t="n">
        <f aca="false">BE30*①통합_가정!$E$175</f>
        <v>0</v>
      </c>
      <c r="BF48" s="37" t="n">
        <f aca="false">BF30*①통합_가정!$E$175</f>
        <v>0</v>
      </c>
      <c r="BG48" s="37" t="n">
        <f aca="false">BG30*①통합_가정!$E$175</f>
        <v>0</v>
      </c>
      <c r="BH48" s="37" t="n">
        <f aca="false">BH30*①통합_가정!$E$175</f>
        <v>0</v>
      </c>
      <c r="BI48" s="37" t="n">
        <f aca="false">BI30*①통합_가정!$E$175</f>
        <v>0</v>
      </c>
      <c r="BJ48" s="37" t="n">
        <f aca="false">BJ30*①통합_가정!$E$175</f>
        <v>0</v>
      </c>
      <c r="BK48" s="37" t="n">
        <f aca="false">BK30*①통합_가정!$E$175</f>
        <v>0</v>
      </c>
      <c r="BL48" s="37" t="n">
        <f aca="false">BL30*①통합_가정!$E$175</f>
        <v>0</v>
      </c>
      <c r="BM48" s="37" t="n">
        <f aca="false">BM30*①통합_가정!$E$175</f>
        <v>838.9251</v>
      </c>
      <c r="BN48" s="37" t="n">
        <f aca="false">BN30*①통합_가정!$E$175</f>
        <v>811.863</v>
      </c>
      <c r="BO48" s="37" t="n">
        <f aca="false">BO30*①통합_가정!$E$175</f>
        <v>838.9251</v>
      </c>
      <c r="BP48" s="37" t="n">
        <f aca="false">BP30*①통합_가정!$E$175</f>
        <v>811.863</v>
      </c>
      <c r="BQ48" s="37" t="n">
        <f aca="false">BQ30*①통합_가정!$E$175</f>
        <v>838.9251</v>
      </c>
      <c r="BR48" s="37" t="n">
        <f aca="false">BR30*①통합_가정!$E$175</f>
        <v>838.9251</v>
      </c>
      <c r="BS48" s="37" t="n">
        <f aca="false">BS30*①통합_가정!$E$175</f>
        <v>811.863</v>
      </c>
      <c r="BT48" s="37" t="n">
        <f aca="false">BT30*①통합_가정!$E$175</f>
        <v>838.9251</v>
      </c>
      <c r="BU48" s="37" t="n">
        <f aca="false">BU30*①통합_가정!$E$175</f>
        <v>811.863</v>
      </c>
      <c r="BV48" s="37" t="n">
        <f aca="false">BV30*①통합_가정!$E$175</f>
        <v>838.9251</v>
      </c>
      <c r="BW48" s="37" t="n">
        <f aca="false">BW30*①통합_가정!$E$175</f>
        <v>838.9251</v>
      </c>
      <c r="BX48" s="37" t="n">
        <f aca="false">BX30*①통합_가정!$E$175</f>
        <v>784.8009</v>
      </c>
      <c r="BY48" s="37" t="n">
        <f aca="false">BY30*①통합_가정!$E$175</f>
        <v>987.35031</v>
      </c>
      <c r="BZ48" s="37" t="n">
        <f aca="false">BZ30*①통합_가정!$E$175</f>
        <v>955.5003</v>
      </c>
      <c r="CA48" s="37" t="n">
        <f aca="false">CA30*①통합_가정!$E$175</f>
        <v>987.35031</v>
      </c>
      <c r="CB48" s="37" t="n">
        <f aca="false">CB30*①통합_가정!$E$175</f>
        <v>955.5003</v>
      </c>
      <c r="CC48" s="37" t="n">
        <f aca="false">CC30*①통합_가정!$E$175</f>
        <v>987.35031</v>
      </c>
      <c r="CD48" s="37" t="n">
        <f aca="false">CD30*①통합_가정!$E$175</f>
        <v>987.35031</v>
      </c>
      <c r="CE48" s="37" t="n">
        <f aca="false">CE30*①통합_가정!$E$175</f>
        <v>955.5003</v>
      </c>
      <c r="CF48" s="37" t="n">
        <f aca="false">CF30*①통합_가정!$E$175</f>
        <v>987.35031</v>
      </c>
      <c r="CG48" s="37" t="n">
        <f aca="false">CG30*①통합_가정!$E$175</f>
        <v>955.5003</v>
      </c>
      <c r="CH48" s="37" t="n">
        <f aca="false">CH30*①통합_가정!$E$175</f>
        <v>987.35031</v>
      </c>
      <c r="CI48" s="37" t="n">
        <f aca="false">CI30*①통합_가정!$E$175</f>
        <v>987.35031</v>
      </c>
      <c r="CJ48" s="37" t="n">
        <f aca="false">CJ30*①통합_가정!$E$175</f>
        <v>891.80028</v>
      </c>
      <c r="CK48" s="37" t="n">
        <f aca="false">CK30*①통합_가정!$E$175</f>
        <v>1007.0973162</v>
      </c>
      <c r="CL48" s="37" t="n">
        <f aca="false">CL30*①통합_가정!$E$175</f>
        <v>974.610306</v>
      </c>
      <c r="CM48" s="37" t="n">
        <f aca="false">CM30*①통합_가정!$E$175</f>
        <v>1007.0973162</v>
      </c>
      <c r="CN48" s="37" t="n">
        <f aca="false">CN30*①통합_가정!$E$175</f>
        <v>974.610306</v>
      </c>
      <c r="CO48" s="37" t="n">
        <f aca="false">CO30*①통합_가정!$E$175</f>
        <v>1007.0973162</v>
      </c>
      <c r="CP48" s="37" t="n">
        <f aca="false">CP30*①통합_가정!$E$175</f>
        <v>1007.0973162</v>
      </c>
      <c r="CQ48" s="37" t="n">
        <f aca="false">CQ30*①통합_가정!$E$175</f>
        <v>974.610306</v>
      </c>
      <c r="CR48" s="37" t="n">
        <f aca="false">CR30*①통합_가정!$E$175</f>
        <v>1007.0973162</v>
      </c>
      <c r="CS48" s="37" t="n">
        <f aca="false">CS30*①통합_가정!$E$175</f>
        <v>974.610306</v>
      </c>
      <c r="CT48" s="37" t="n">
        <f aca="false">CT30*①통합_가정!$E$175</f>
        <v>1007.0973162</v>
      </c>
      <c r="CU48" s="37" t="n">
        <f aca="false">CU30*①통합_가정!$E$175</f>
        <v>1007.0973162</v>
      </c>
      <c r="CV48" s="37" t="n">
        <f aca="false">CV30*①통합_가정!$E$175</f>
        <v>909.6362856</v>
      </c>
      <c r="CW48" s="37" t="n">
        <f aca="false">CW30*①통합_가정!$E$175</f>
        <v>1027.239262524</v>
      </c>
      <c r="CX48" s="37" t="n">
        <f aca="false">CX30*①통합_가정!$E$175</f>
        <v>994.10251212</v>
      </c>
      <c r="CY48" s="37" t="n">
        <f aca="false">CY30*①통합_가정!$E$175</f>
        <v>1027.239262524</v>
      </c>
      <c r="CZ48" s="37" t="n">
        <f aca="false">CZ30*①통합_가정!$E$175</f>
        <v>994.10251212</v>
      </c>
      <c r="DA48" s="37" t="n">
        <f aca="false">DA30*①통합_가정!$E$175</f>
        <v>1027.239262524</v>
      </c>
      <c r="DB48" s="37" t="n">
        <f aca="false">DB30*①통합_가정!$E$175</f>
        <v>1027.239262524</v>
      </c>
      <c r="DC48" s="37" t="n">
        <f aca="false">DC30*①통합_가정!$E$175</f>
        <v>994.10251212</v>
      </c>
      <c r="DD48" s="37" t="n">
        <f aca="false">DD30*①통합_가정!$E$175</f>
        <v>1027.239262524</v>
      </c>
      <c r="DE48" s="37" t="n">
        <f aca="false">DE30*①통합_가정!$E$175</f>
        <v>994.10251212</v>
      </c>
      <c r="DF48" s="37" t="n">
        <f aca="false">DF30*①통합_가정!$E$175</f>
        <v>1027.239262524</v>
      </c>
      <c r="DG48" s="37" t="n">
        <f aca="false">DG30*①통합_가정!$E$175</f>
        <v>1027.239262524</v>
      </c>
      <c r="DH48" s="37" t="n">
        <f aca="false">DH30*①통합_가정!$E$175</f>
        <v>927.829011312</v>
      </c>
      <c r="DI48" s="37" t="n">
        <f aca="false">DI30*①통합_가정!$E$175</f>
        <v>1047.78404777448</v>
      </c>
      <c r="DJ48" s="37" t="n">
        <f aca="false">DJ30*①통합_가정!$E$175</f>
        <v>1013.9845623624</v>
      </c>
      <c r="DK48" s="37" t="n">
        <f aca="false">DK30*①통합_가정!$E$175</f>
        <v>1047.78404777448</v>
      </c>
      <c r="DL48" s="37" t="n">
        <f aca="false">DL30*①통합_가정!$E$175</f>
        <v>1013.9845623624</v>
      </c>
      <c r="DM48" s="37" t="n">
        <f aca="false">DM30*①통합_가정!$E$175</f>
        <v>1047.78404777448</v>
      </c>
      <c r="DN48" s="37" t="n">
        <f aca="false">DN30*①통합_가정!$E$175</f>
        <v>1047.78404777448</v>
      </c>
      <c r="DO48" s="37" t="n">
        <f aca="false">DO30*①통합_가정!$E$175</f>
        <v>1013.9845623624</v>
      </c>
      <c r="DP48" s="37" t="n">
        <f aca="false">DP30*①통합_가정!$E$175</f>
        <v>1047.78404777448</v>
      </c>
      <c r="DQ48" s="37" t="n">
        <f aca="false">DQ30*①통합_가정!$E$175</f>
        <v>1013.9845623624</v>
      </c>
      <c r="DR48" s="37" t="n">
        <f aca="false">DR30*①통합_가정!$E$175</f>
        <v>1047.78404777448</v>
      </c>
      <c r="DS48" s="37" t="n">
        <f aca="false">DS30*①통합_가정!$E$175</f>
        <v>1047.78404777448</v>
      </c>
      <c r="DT48" s="37" t="n">
        <f aca="false">DT30*①통합_가정!$E$175</f>
        <v>980.18507695032</v>
      </c>
      <c r="DU48" s="37" t="n">
        <f aca="false">DU30*①통합_가정!$E$175</f>
        <v>0</v>
      </c>
      <c r="DV48" s="37" t="n">
        <f aca="false">DV30*①통합_가정!$E$175</f>
        <v>0</v>
      </c>
      <c r="DW48" s="37" t="n">
        <f aca="false">DW30*①통합_가정!$E$175</f>
        <v>0</v>
      </c>
      <c r="DX48" s="37" t="n">
        <f aca="false">DX30*①통합_가정!$E$175</f>
        <v>0</v>
      </c>
      <c r="DY48" s="37" t="n">
        <f aca="false">DY30*①통합_가정!$E$175</f>
        <v>0</v>
      </c>
      <c r="DZ48" s="37" t="n">
        <f aca="false">DZ30*①통합_가정!$E$175</f>
        <v>0</v>
      </c>
      <c r="EA48" s="37" t="n">
        <f aca="false">EA30*①통합_가정!$E$175</f>
        <v>0</v>
      </c>
      <c r="EB48" s="37" t="n">
        <f aca="false">EB30*①통합_가정!$E$175</f>
        <v>0</v>
      </c>
      <c r="EC48" s="37" t="n">
        <f aca="false">EC30*①통합_가정!$E$175</f>
        <v>0</v>
      </c>
      <c r="ED48" s="37" t="n">
        <f aca="false">ED30*①통합_가정!$E$175</f>
        <v>0</v>
      </c>
      <c r="EE48" s="37" t="n">
        <f aca="false">EE30*①통합_가정!$E$175</f>
        <v>0</v>
      </c>
      <c r="EF48" s="37" t="n">
        <f aca="false">EF30*①통합_가정!$E$175</f>
        <v>0</v>
      </c>
    </row>
    <row r="49" customFormat="false" ht="15" hidden="false" customHeight="false" outlineLevel="0" collapsed="false">
      <c r="A49" s="36" t="s">
        <v>597</v>
      </c>
      <c r="B49" s="278" t="s">
        <v>21</v>
      </c>
      <c r="C49" s="279" t="n">
        <f aca="false">SUM(E49:EF49)</f>
        <v>22498.4925399427</v>
      </c>
      <c r="E49" s="37" t="n">
        <f aca="false">E31*①통합_가정!$E$176</f>
        <v>0</v>
      </c>
      <c r="F49" s="37" t="n">
        <f aca="false">F31*①통합_가정!$E$176</f>
        <v>0</v>
      </c>
      <c r="G49" s="37" t="n">
        <f aca="false">G31*①통합_가정!$E$176</f>
        <v>0</v>
      </c>
      <c r="H49" s="37" t="n">
        <f aca="false">H31*①통합_가정!$E$176</f>
        <v>0</v>
      </c>
      <c r="I49" s="37" t="n">
        <f aca="false">I31*①통합_가정!$E$176</f>
        <v>0</v>
      </c>
      <c r="J49" s="37" t="n">
        <f aca="false">J31*①통합_가정!$E$176</f>
        <v>0</v>
      </c>
      <c r="K49" s="37" t="n">
        <f aca="false">K31*①통합_가정!$E$176</f>
        <v>0</v>
      </c>
      <c r="L49" s="37" t="n">
        <f aca="false">L31*①통합_가정!$E$176</f>
        <v>0</v>
      </c>
      <c r="M49" s="37" t="n">
        <f aca="false">M31*①통합_가정!$E$176</f>
        <v>0</v>
      </c>
      <c r="N49" s="37" t="n">
        <f aca="false">N31*①통합_가정!$E$176</f>
        <v>0</v>
      </c>
      <c r="O49" s="37" t="n">
        <f aca="false">O31*①통합_가정!$E$176</f>
        <v>0</v>
      </c>
      <c r="P49" s="37" t="n">
        <f aca="false">P31*①통합_가정!$E$176</f>
        <v>0</v>
      </c>
      <c r="Q49" s="37" t="n">
        <f aca="false">Q31*①통합_가정!$E$176</f>
        <v>0</v>
      </c>
      <c r="R49" s="37" t="n">
        <f aca="false">R31*①통합_가정!$E$176</f>
        <v>0</v>
      </c>
      <c r="S49" s="37" t="n">
        <f aca="false">S31*①통합_가정!$E$176</f>
        <v>0</v>
      </c>
      <c r="T49" s="37" t="n">
        <f aca="false">T31*①통합_가정!$E$176</f>
        <v>0</v>
      </c>
      <c r="U49" s="37" t="n">
        <f aca="false">U31*①통합_가정!$E$176</f>
        <v>0</v>
      </c>
      <c r="V49" s="37" t="n">
        <f aca="false">V31*①통합_가정!$E$176</f>
        <v>0</v>
      </c>
      <c r="W49" s="37" t="n">
        <f aca="false">W31*①통합_가정!$E$176</f>
        <v>0</v>
      </c>
      <c r="X49" s="37" t="n">
        <f aca="false">X31*①통합_가정!$E$176</f>
        <v>0</v>
      </c>
      <c r="Y49" s="37" t="n">
        <f aca="false">Y31*①통합_가정!$E$176</f>
        <v>0</v>
      </c>
      <c r="Z49" s="37" t="n">
        <f aca="false">Z31*①통합_가정!$E$176</f>
        <v>0</v>
      </c>
      <c r="AA49" s="37" t="n">
        <f aca="false">AA31*①통합_가정!$E$176</f>
        <v>0</v>
      </c>
      <c r="AB49" s="37" t="n">
        <f aca="false">AB31*①통합_가정!$E$176</f>
        <v>0</v>
      </c>
      <c r="AC49" s="37" t="n">
        <f aca="false">AC31*①통합_가정!$E$176</f>
        <v>0</v>
      </c>
      <c r="AD49" s="37" t="n">
        <f aca="false">AD31*①통합_가정!$E$176</f>
        <v>0</v>
      </c>
      <c r="AE49" s="37" t="n">
        <f aca="false">AE31*①통합_가정!$E$176</f>
        <v>0</v>
      </c>
      <c r="AF49" s="37" t="n">
        <f aca="false">AF31*①통합_가정!$E$176</f>
        <v>0</v>
      </c>
      <c r="AG49" s="37" t="n">
        <f aca="false">AG31*①통합_가정!$E$176</f>
        <v>0</v>
      </c>
      <c r="AH49" s="37" t="n">
        <f aca="false">AH31*①통합_가정!$E$176</f>
        <v>0</v>
      </c>
      <c r="AI49" s="37" t="n">
        <f aca="false">AI31*①통합_가정!$E$176</f>
        <v>0</v>
      </c>
      <c r="AJ49" s="37" t="n">
        <f aca="false">AJ31*①통합_가정!$E$176</f>
        <v>0</v>
      </c>
      <c r="AK49" s="37" t="n">
        <f aca="false">AK31*①통합_가정!$E$176</f>
        <v>0</v>
      </c>
      <c r="AL49" s="37" t="n">
        <f aca="false">AL31*①통합_가정!$E$176</f>
        <v>0</v>
      </c>
      <c r="AM49" s="37" t="n">
        <f aca="false">AM31*①통합_가정!$E$176</f>
        <v>0</v>
      </c>
      <c r="AN49" s="37" t="n">
        <f aca="false">AN31*①통합_가정!$E$176</f>
        <v>0</v>
      </c>
      <c r="AO49" s="37" t="n">
        <f aca="false">AO31*①통합_가정!$E$176</f>
        <v>0</v>
      </c>
      <c r="AP49" s="37" t="n">
        <f aca="false">AP31*①통합_가정!$E$176</f>
        <v>0</v>
      </c>
      <c r="AQ49" s="37" t="n">
        <f aca="false">AQ31*①통합_가정!$E$176</f>
        <v>0</v>
      </c>
      <c r="AR49" s="37" t="n">
        <f aca="false">AR31*①통합_가정!$E$176</f>
        <v>0</v>
      </c>
      <c r="AS49" s="37" t="n">
        <f aca="false">AS31*①통합_가정!$E$176</f>
        <v>0</v>
      </c>
      <c r="AT49" s="37" t="n">
        <f aca="false">AT31*①통합_가정!$E$176</f>
        <v>0</v>
      </c>
      <c r="AU49" s="37" t="n">
        <f aca="false">AU31*①통합_가정!$E$176</f>
        <v>0</v>
      </c>
      <c r="AV49" s="37" t="n">
        <f aca="false">AV31*①통합_가정!$E$176</f>
        <v>0</v>
      </c>
      <c r="AW49" s="37" t="n">
        <f aca="false">AW31*①통합_가정!$E$176</f>
        <v>0</v>
      </c>
      <c r="AX49" s="37" t="n">
        <f aca="false">AX31*①통합_가정!$E$176</f>
        <v>0</v>
      </c>
      <c r="AY49" s="37" t="n">
        <f aca="false">AY31*①통합_가정!$E$176</f>
        <v>0</v>
      </c>
      <c r="AZ49" s="37" t="n">
        <f aca="false">AZ31*①통합_가정!$E$176</f>
        <v>0</v>
      </c>
      <c r="BA49" s="37" t="n">
        <f aca="false">BA31*①통합_가정!$E$176</f>
        <v>0</v>
      </c>
      <c r="BB49" s="37" t="n">
        <f aca="false">BB31*①통합_가정!$E$176</f>
        <v>0</v>
      </c>
      <c r="BC49" s="37" t="n">
        <f aca="false">BC31*①통합_가정!$E$176</f>
        <v>0</v>
      </c>
      <c r="BD49" s="37" t="n">
        <f aca="false">BD31*①통합_가정!$E$176</f>
        <v>0</v>
      </c>
      <c r="BE49" s="37" t="n">
        <f aca="false">BE31*①통합_가정!$E$176</f>
        <v>0</v>
      </c>
      <c r="BF49" s="37" t="n">
        <f aca="false">BF31*①통합_가정!$E$176</f>
        <v>0</v>
      </c>
      <c r="BG49" s="37" t="n">
        <f aca="false">BG31*①통합_가정!$E$176</f>
        <v>0</v>
      </c>
      <c r="BH49" s="37" t="n">
        <f aca="false">BH31*①통합_가정!$E$176</f>
        <v>0</v>
      </c>
      <c r="BI49" s="37" t="n">
        <f aca="false">BI31*①통합_가정!$E$176</f>
        <v>0</v>
      </c>
      <c r="BJ49" s="37" t="n">
        <f aca="false">BJ31*①통합_가정!$E$176</f>
        <v>0</v>
      </c>
      <c r="BK49" s="37" t="n">
        <f aca="false">BK31*①통합_가정!$E$176</f>
        <v>0</v>
      </c>
      <c r="BL49" s="37" t="n">
        <f aca="false">BL31*①통합_가정!$E$176</f>
        <v>0</v>
      </c>
      <c r="BM49" s="37" t="n">
        <f aca="false">BM31*①통합_가정!$E$176</f>
        <v>326.24865</v>
      </c>
      <c r="BN49" s="37" t="n">
        <f aca="false">BN31*①통합_가정!$E$176</f>
        <v>315.7245</v>
      </c>
      <c r="BO49" s="37" t="n">
        <f aca="false">BO31*①통합_가정!$E$176</f>
        <v>326.24865</v>
      </c>
      <c r="BP49" s="37" t="n">
        <f aca="false">BP31*①통합_가정!$E$176</f>
        <v>315.7245</v>
      </c>
      <c r="BQ49" s="37" t="n">
        <f aca="false">BQ31*①통합_가정!$E$176</f>
        <v>326.24865</v>
      </c>
      <c r="BR49" s="37" t="n">
        <f aca="false">BR31*①통합_가정!$E$176</f>
        <v>326.24865</v>
      </c>
      <c r="BS49" s="37" t="n">
        <f aca="false">BS31*①통합_가정!$E$176</f>
        <v>315.7245</v>
      </c>
      <c r="BT49" s="37" t="n">
        <f aca="false">BT31*①통합_가정!$E$176</f>
        <v>326.24865</v>
      </c>
      <c r="BU49" s="37" t="n">
        <f aca="false">BU31*①통합_가정!$E$176</f>
        <v>315.7245</v>
      </c>
      <c r="BV49" s="37" t="n">
        <f aca="false">BV31*①통합_가정!$E$176</f>
        <v>326.24865</v>
      </c>
      <c r="BW49" s="37" t="n">
        <f aca="false">BW31*①통합_가정!$E$176</f>
        <v>326.24865</v>
      </c>
      <c r="BX49" s="37" t="n">
        <f aca="false">BX31*①통합_가정!$E$176</f>
        <v>305.20035</v>
      </c>
      <c r="BY49" s="37" t="n">
        <f aca="false">BY31*①통합_가정!$E$176</f>
        <v>383.969565</v>
      </c>
      <c r="BZ49" s="37" t="n">
        <f aca="false">BZ31*①통합_가정!$E$176</f>
        <v>371.58345</v>
      </c>
      <c r="CA49" s="37" t="n">
        <f aca="false">CA31*①통합_가정!$E$176</f>
        <v>383.969565</v>
      </c>
      <c r="CB49" s="37" t="n">
        <f aca="false">CB31*①통합_가정!$E$176</f>
        <v>371.58345</v>
      </c>
      <c r="CC49" s="37" t="n">
        <f aca="false">CC31*①통합_가정!$E$176</f>
        <v>383.969565</v>
      </c>
      <c r="CD49" s="37" t="n">
        <f aca="false">CD31*①통합_가정!$E$176</f>
        <v>383.969565</v>
      </c>
      <c r="CE49" s="37" t="n">
        <f aca="false">CE31*①통합_가정!$E$176</f>
        <v>371.58345</v>
      </c>
      <c r="CF49" s="37" t="n">
        <f aca="false">CF31*①통합_가정!$E$176</f>
        <v>383.969565</v>
      </c>
      <c r="CG49" s="37" t="n">
        <f aca="false">CG31*①통합_가정!$E$176</f>
        <v>371.58345</v>
      </c>
      <c r="CH49" s="37" t="n">
        <f aca="false">CH31*①통합_가정!$E$176</f>
        <v>383.969565</v>
      </c>
      <c r="CI49" s="37" t="n">
        <f aca="false">CI31*①통합_가정!$E$176</f>
        <v>383.969565</v>
      </c>
      <c r="CJ49" s="37" t="n">
        <f aca="false">CJ31*①통합_가정!$E$176</f>
        <v>346.81122</v>
      </c>
      <c r="CK49" s="37" t="n">
        <f aca="false">CK31*①통합_가정!$E$176</f>
        <v>391.6489563</v>
      </c>
      <c r="CL49" s="37" t="n">
        <f aca="false">CL31*①통합_가정!$E$176</f>
        <v>379.015119</v>
      </c>
      <c r="CM49" s="37" t="n">
        <f aca="false">CM31*①통합_가정!$E$176</f>
        <v>391.6489563</v>
      </c>
      <c r="CN49" s="37" t="n">
        <f aca="false">CN31*①통합_가정!$E$176</f>
        <v>379.015119</v>
      </c>
      <c r="CO49" s="37" t="n">
        <f aca="false">CO31*①통합_가정!$E$176</f>
        <v>391.6489563</v>
      </c>
      <c r="CP49" s="37" t="n">
        <f aca="false">CP31*①통합_가정!$E$176</f>
        <v>391.6489563</v>
      </c>
      <c r="CQ49" s="37" t="n">
        <f aca="false">CQ31*①통합_가정!$E$176</f>
        <v>379.015119</v>
      </c>
      <c r="CR49" s="37" t="n">
        <f aca="false">CR31*①통합_가정!$E$176</f>
        <v>391.6489563</v>
      </c>
      <c r="CS49" s="37" t="n">
        <f aca="false">CS31*①통합_가정!$E$176</f>
        <v>379.015119</v>
      </c>
      <c r="CT49" s="37" t="n">
        <f aca="false">CT31*①통합_가정!$E$176</f>
        <v>391.6489563</v>
      </c>
      <c r="CU49" s="37" t="n">
        <f aca="false">CU31*①통합_가정!$E$176</f>
        <v>391.6489563</v>
      </c>
      <c r="CV49" s="37" t="n">
        <f aca="false">CV31*①통합_가정!$E$176</f>
        <v>353.7474444</v>
      </c>
      <c r="CW49" s="37" t="n">
        <f aca="false">CW31*①통합_가정!$E$176</f>
        <v>399.481935426</v>
      </c>
      <c r="CX49" s="37" t="n">
        <f aca="false">CX31*①통합_가정!$E$176</f>
        <v>386.59542138</v>
      </c>
      <c r="CY49" s="37" t="n">
        <f aca="false">CY31*①통합_가정!$E$176</f>
        <v>399.481935426</v>
      </c>
      <c r="CZ49" s="37" t="n">
        <f aca="false">CZ31*①통합_가정!$E$176</f>
        <v>386.59542138</v>
      </c>
      <c r="DA49" s="37" t="n">
        <f aca="false">DA31*①통합_가정!$E$176</f>
        <v>399.481935426</v>
      </c>
      <c r="DB49" s="37" t="n">
        <f aca="false">DB31*①통합_가정!$E$176</f>
        <v>399.481935426</v>
      </c>
      <c r="DC49" s="37" t="n">
        <f aca="false">DC31*①통합_가정!$E$176</f>
        <v>386.59542138</v>
      </c>
      <c r="DD49" s="37" t="n">
        <f aca="false">DD31*①통합_가정!$E$176</f>
        <v>399.481935426</v>
      </c>
      <c r="DE49" s="37" t="n">
        <f aca="false">DE31*①통합_가정!$E$176</f>
        <v>386.59542138</v>
      </c>
      <c r="DF49" s="37" t="n">
        <f aca="false">DF31*①통합_가정!$E$176</f>
        <v>399.481935426</v>
      </c>
      <c r="DG49" s="37" t="n">
        <f aca="false">DG31*①통합_가정!$E$176</f>
        <v>399.481935426</v>
      </c>
      <c r="DH49" s="37" t="n">
        <f aca="false">DH31*①통합_가정!$E$176</f>
        <v>360.822393288</v>
      </c>
      <c r="DI49" s="37" t="n">
        <f aca="false">DI31*①통합_가정!$E$176</f>
        <v>407.47157413452</v>
      </c>
      <c r="DJ49" s="37" t="n">
        <f aca="false">DJ31*①통합_가정!$E$176</f>
        <v>394.3273298076</v>
      </c>
      <c r="DK49" s="37" t="n">
        <f aca="false">DK31*①통합_가정!$E$176</f>
        <v>407.47157413452</v>
      </c>
      <c r="DL49" s="37" t="n">
        <f aca="false">DL31*①통합_가정!$E$176</f>
        <v>394.3273298076</v>
      </c>
      <c r="DM49" s="37" t="n">
        <f aca="false">DM31*①통합_가정!$E$176</f>
        <v>407.47157413452</v>
      </c>
      <c r="DN49" s="37" t="n">
        <f aca="false">DN31*①통합_가정!$E$176</f>
        <v>407.47157413452</v>
      </c>
      <c r="DO49" s="37" t="n">
        <f aca="false">DO31*①통합_가정!$E$176</f>
        <v>394.3273298076</v>
      </c>
      <c r="DP49" s="37" t="n">
        <f aca="false">DP31*①통합_가정!$E$176</f>
        <v>407.47157413452</v>
      </c>
      <c r="DQ49" s="37" t="n">
        <f aca="false">DQ31*①통합_가정!$E$176</f>
        <v>394.3273298076</v>
      </c>
      <c r="DR49" s="37" t="n">
        <f aca="false">DR31*①통합_가정!$E$176</f>
        <v>407.47157413452</v>
      </c>
      <c r="DS49" s="37" t="n">
        <f aca="false">DS31*①통합_가정!$E$176</f>
        <v>407.47157413452</v>
      </c>
      <c r="DT49" s="37" t="n">
        <f aca="false">DT31*①통합_가정!$E$176</f>
        <v>381.18308548068</v>
      </c>
      <c r="DU49" s="37" t="n">
        <f aca="false">DU31*①통합_가정!$E$176</f>
        <v>0</v>
      </c>
      <c r="DV49" s="37" t="n">
        <f aca="false">DV31*①통합_가정!$E$176</f>
        <v>0</v>
      </c>
      <c r="DW49" s="37" t="n">
        <f aca="false">DW31*①통합_가정!$E$176</f>
        <v>0</v>
      </c>
      <c r="DX49" s="37" t="n">
        <f aca="false">DX31*①통합_가정!$E$176</f>
        <v>0</v>
      </c>
      <c r="DY49" s="37" t="n">
        <f aca="false">DY31*①통합_가정!$E$176</f>
        <v>0</v>
      </c>
      <c r="DZ49" s="37" t="n">
        <f aca="false">DZ31*①통합_가정!$E$176</f>
        <v>0</v>
      </c>
      <c r="EA49" s="37" t="n">
        <f aca="false">EA31*①통합_가정!$E$176</f>
        <v>0</v>
      </c>
      <c r="EB49" s="37" t="n">
        <f aca="false">EB31*①통합_가정!$E$176</f>
        <v>0</v>
      </c>
      <c r="EC49" s="37" t="n">
        <f aca="false">EC31*①통합_가정!$E$176</f>
        <v>0</v>
      </c>
      <c r="ED49" s="37" t="n">
        <f aca="false">ED31*①통합_가정!$E$176</f>
        <v>0</v>
      </c>
      <c r="EE49" s="37" t="n">
        <f aca="false">EE31*①통합_가정!$E$176</f>
        <v>0</v>
      </c>
      <c r="EF49" s="37" t="n">
        <f aca="false">EF31*①통합_가정!$E$176</f>
        <v>0</v>
      </c>
    </row>
    <row r="50" customFormat="false" ht="15" hidden="false" customHeight="false" outlineLevel="0" collapsed="false">
      <c r="A50" s="36" t="s">
        <v>598</v>
      </c>
      <c r="B50" s="278" t="s">
        <v>21</v>
      </c>
      <c r="C50" s="279" t="n">
        <f aca="false">SUM(E50:EF50)</f>
        <v>72316.5831641016</v>
      </c>
      <c r="E50" s="37" t="n">
        <f aca="false">E32*①통합_가정!$E$177</f>
        <v>0</v>
      </c>
      <c r="F50" s="37" t="n">
        <f aca="false">F32*①통합_가정!$E$177</f>
        <v>0</v>
      </c>
      <c r="G50" s="37" t="n">
        <f aca="false">G32*①통합_가정!$E$177</f>
        <v>0</v>
      </c>
      <c r="H50" s="37" t="n">
        <f aca="false">H32*①통합_가정!$E$177</f>
        <v>0</v>
      </c>
      <c r="I50" s="37" t="n">
        <f aca="false">I32*①통합_가정!$E$177</f>
        <v>0</v>
      </c>
      <c r="J50" s="37" t="n">
        <f aca="false">J32*①통합_가정!$E$177</f>
        <v>0</v>
      </c>
      <c r="K50" s="37" t="n">
        <f aca="false">K32*①통합_가정!$E$177</f>
        <v>0</v>
      </c>
      <c r="L50" s="37" t="n">
        <f aca="false">L32*①통합_가정!$E$177</f>
        <v>0</v>
      </c>
      <c r="M50" s="37" t="n">
        <f aca="false">M32*①통합_가정!$E$177</f>
        <v>0</v>
      </c>
      <c r="N50" s="37" t="n">
        <f aca="false">N32*①통합_가정!$E$177</f>
        <v>0</v>
      </c>
      <c r="O50" s="37" t="n">
        <f aca="false">O32*①통합_가정!$E$177</f>
        <v>0</v>
      </c>
      <c r="P50" s="37" t="n">
        <f aca="false">P32*①통합_가정!$E$177</f>
        <v>0</v>
      </c>
      <c r="Q50" s="37" t="n">
        <f aca="false">Q32*①통합_가정!$E$177</f>
        <v>0</v>
      </c>
      <c r="R50" s="37" t="n">
        <f aca="false">R32*①통합_가정!$E$177</f>
        <v>0</v>
      </c>
      <c r="S50" s="37" t="n">
        <f aca="false">S32*①통합_가정!$E$177</f>
        <v>0</v>
      </c>
      <c r="T50" s="37" t="n">
        <f aca="false">T32*①통합_가정!$E$177</f>
        <v>0</v>
      </c>
      <c r="U50" s="37" t="n">
        <f aca="false">U32*①통합_가정!$E$177</f>
        <v>0</v>
      </c>
      <c r="V50" s="37" t="n">
        <f aca="false">V32*①통합_가정!$E$177</f>
        <v>0</v>
      </c>
      <c r="W50" s="37" t="n">
        <f aca="false">W32*①통합_가정!$E$177</f>
        <v>0</v>
      </c>
      <c r="X50" s="37" t="n">
        <f aca="false">X32*①통합_가정!$E$177</f>
        <v>0</v>
      </c>
      <c r="Y50" s="37" t="n">
        <f aca="false">Y32*①통합_가정!$E$177</f>
        <v>0</v>
      </c>
      <c r="Z50" s="37" t="n">
        <f aca="false">Z32*①통합_가정!$E$177</f>
        <v>0</v>
      </c>
      <c r="AA50" s="37" t="n">
        <f aca="false">AA32*①통합_가정!$E$177</f>
        <v>0</v>
      </c>
      <c r="AB50" s="37" t="n">
        <f aca="false">AB32*①통합_가정!$E$177</f>
        <v>0</v>
      </c>
      <c r="AC50" s="37" t="n">
        <f aca="false">AC32*①통합_가정!$E$177</f>
        <v>0</v>
      </c>
      <c r="AD50" s="37" t="n">
        <f aca="false">AD32*①통합_가정!$E$177</f>
        <v>0</v>
      </c>
      <c r="AE50" s="37" t="n">
        <f aca="false">AE32*①통합_가정!$E$177</f>
        <v>0</v>
      </c>
      <c r="AF50" s="37" t="n">
        <f aca="false">AF32*①통합_가정!$E$177</f>
        <v>0</v>
      </c>
      <c r="AG50" s="37" t="n">
        <f aca="false">AG32*①통합_가정!$E$177</f>
        <v>0</v>
      </c>
      <c r="AH50" s="37" t="n">
        <f aca="false">AH32*①통합_가정!$E$177</f>
        <v>0</v>
      </c>
      <c r="AI50" s="37" t="n">
        <f aca="false">AI32*①통합_가정!$E$177</f>
        <v>0</v>
      </c>
      <c r="AJ50" s="37" t="n">
        <f aca="false">AJ32*①통합_가정!$E$177</f>
        <v>0</v>
      </c>
      <c r="AK50" s="37" t="n">
        <f aca="false">AK32*①통합_가정!$E$177</f>
        <v>0</v>
      </c>
      <c r="AL50" s="37" t="n">
        <f aca="false">AL32*①통합_가정!$E$177</f>
        <v>0</v>
      </c>
      <c r="AM50" s="37" t="n">
        <f aca="false">AM32*①통합_가정!$E$177</f>
        <v>0</v>
      </c>
      <c r="AN50" s="37" t="n">
        <f aca="false">AN32*①통합_가정!$E$177</f>
        <v>0</v>
      </c>
      <c r="AO50" s="37" t="n">
        <f aca="false">AO32*①통합_가정!$E$177</f>
        <v>0</v>
      </c>
      <c r="AP50" s="37" t="n">
        <f aca="false">AP32*①통합_가정!$E$177</f>
        <v>0</v>
      </c>
      <c r="AQ50" s="37" t="n">
        <f aca="false">AQ32*①통합_가정!$E$177</f>
        <v>0</v>
      </c>
      <c r="AR50" s="37" t="n">
        <f aca="false">AR32*①통합_가정!$E$177</f>
        <v>0</v>
      </c>
      <c r="AS50" s="37" t="n">
        <f aca="false">AS32*①통합_가정!$E$177</f>
        <v>0</v>
      </c>
      <c r="AT50" s="37" t="n">
        <f aca="false">AT32*①통합_가정!$E$177</f>
        <v>0</v>
      </c>
      <c r="AU50" s="37" t="n">
        <f aca="false">AU32*①통합_가정!$E$177</f>
        <v>0</v>
      </c>
      <c r="AV50" s="37" t="n">
        <f aca="false">AV32*①통합_가정!$E$177</f>
        <v>0</v>
      </c>
      <c r="AW50" s="37" t="n">
        <f aca="false">AW32*①통합_가정!$E$177</f>
        <v>0</v>
      </c>
      <c r="AX50" s="37" t="n">
        <f aca="false">AX32*①통합_가정!$E$177</f>
        <v>0</v>
      </c>
      <c r="AY50" s="37" t="n">
        <f aca="false">AY32*①통합_가정!$E$177</f>
        <v>0</v>
      </c>
      <c r="AZ50" s="37" t="n">
        <f aca="false">AZ32*①통합_가정!$E$177</f>
        <v>0</v>
      </c>
      <c r="BA50" s="37" t="n">
        <f aca="false">BA32*①통합_가정!$E$177</f>
        <v>0</v>
      </c>
      <c r="BB50" s="37" t="n">
        <f aca="false">BB32*①통합_가정!$E$177</f>
        <v>0</v>
      </c>
      <c r="BC50" s="37" t="n">
        <f aca="false">BC32*①통합_가정!$E$177</f>
        <v>0</v>
      </c>
      <c r="BD50" s="37" t="n">
        <f aca="false">BD32*①통합_가정!$E$177</f>
        <v>0</v>
      </c>
      <c r="BE50" s="37" t="n">
        <f aca="false">BE32*①통합_가정!$E$177</f>
        <v>0</v>
      </c>
      <c r="BF50" s="37" t="n">
        <f aca="false">BF32*①통합_가정!$E$177</f>
        <v>0</v>
      </c>
      <c r="BG50" s="37" t="n">
        <f aca="false">BG32*①통합_가정!$E$177</f>
        <v>0</v>
      </c>
      <c r="BH50" s="37" t="n">
        <f aca="false">BH32*①통합_가정!$E$177</f>
        <v>0</v>
      </c>
      <c r="BI50" s="37" t="n">
        <f aca="false">BI32*①통합_가정!$E$177</f>
        <v>0</v>
      </c>
      <c r="BJ50" s="37" t="n">
        <f aca="false">BJ32*①통합_가정!$E$177</f>
        <v>0</v>
      </c>
      <c r="BK50" s="37" t="n">
        <f aca="false">BK32*①통합_가정!$E$177</f>
        <v>0</v>
      </c>
      <c r="BL50" s="37" t="n">
        <f aca="false">BL32*①통합_가정!$E$177</f>
        <v>0</v>
      </c>
      <c r="BM50" s="37" t="n">
        <f aca="false">BM32*①통합_가정!$E$177</f>
        <v>1048.656375</v>
      </c>
      <c r="BN50" s="37" t="n">
        <f aca="false">BN32*①통합_가정!$E$177</f>
        <v>1014.82875</v>
      </c>
      <c r="BO50" s="37" t="n">
        <f aca="false">BO32*①통합_가정!$E$177</f>
        <v>1048.656375</v>
      </c>
      <c r="BP50" s="37" t="n">
        <f aca="false">BP32*①통합_가정!$E$177</f>
        <v>1014.82875</v>
      </c>
      <c r="BQ50" s="37" t="n">
        <f aca="false">BQ32*①통합_가정!$E$177</f>
        <v>1048.656375</v>
      </c>
      <c r="BR50" s="37" t="n">
        <f aca="false">BR32*①통합_가정!$E$177</f>
        <v>1048.656375</v>
      </c>
      <c r="BS50" s="37" t="n">
        <f aca="false">BS32*①통합_가정!$E$177</f>
        <v>1014.82875</v>
      </c>
      <c r="BT50" s="37" t="n">
        <f aca="false">BT32*①통합_가정!$E$177</f>
        <v>1048.656375</v>
      </c>
      <c r="BU50" s="37" t="n">
        <f aca="false">BU32*①통합_가정!$E$177</f>
        <v>1014.82875</v>
      </c>
      <c r="BV50" s="37" t="n">
        <f aca="false">BV32*①통합_가정!$E$177</f>
        <v>1048.656375</v>
      </c>
      <c r="BW50" s="37" t="n">
        <f aca="false">BW32*①통합_가정!$E$177</f>
        <v>1048.656375</v>
      </c>
      <c r="BX50" s="37" t="n">
        <f aca="false">BX32*①통합_가정!$E$177</f>
        <v>981.001125</v>
      </c>
      <c r="BY50" s="37" t="n">
        <f aca="false">BY32*①통합_가정!$E$177</f>
        <v>1234.1878875</v>
      </c>
      <c r="BZ50" s="37" t="n">
        <f aca="false">BZ32*①통합_가정!$E$177</f>
        <v>1194.375375</v>
      </c>
      <c r="CA50" s="37" t="n">
        <f aca="false">CA32*①통합_가정!$E$177</f>
        <v>1234.1878875</v>
      </c>
      <c r="CB50" s="37" t="n">
        <f aca="false">CB32*①통합_가정!$E$177</f>
        <v>1194.375375</v>
      </c>
      <c r="CC50" s="37" t="n">
        <f aca="false">CC32*①통합_가정!$E$177</f>
        <v>1234.1878875</v>
      </c>
      <c r="CD50" s="37" t="n">
        <f aca="false">CD32*①통합_가정!$E$177</f>
        <v>1234.1878875</v>
      </c>
      <c r="CE50" s="37" t="n">
        <f aca="false">CE32*①통합_가정!$E$177</f>
        <v>1194.375375</v>
      </c>
      <c r="CF50" s="37" t="n">
        <f aca="false">CF32*①통합_가정!$E$177</f>
        <v>1234.1878875</v>
      </c>
      <c r="CG50" s="37" t="n">
        <f aca="false">CG32*①통합_가정!$E$177</f>
        <v>1194.375375</v>
      </c>
      <c r="CH50" s="37" t="n">
        <f aca="false">CH32*①통합_가정!$E$177</f>
        <v>1234.1878875</v>
      </c>
      <c r="CI50" s="37" t="n">
        <f aca="false">CI32*①통합_가정!$E$177</f>
        <v>1234.1878875</v>
      </c>
      <c r="CJ50" s="37" t="n">
        <f aca="false">CJ32*①통합_가정!$E$177</f>
        <v>1114.75035</v>
      </c>
      <c r="CK50" s="37" t="n">
        <f aca="false">CK32*①통합_가정!$E$177</f>
        <v>1258.87164525</v>
      </c>
      <c r="CL50" s="37" t="n">
        <f aca="false">CL32*①통합_가정!$E$177</f>
        <v>1218.2628825</v>
      </c>
      <c r="CM50" s="37" t="n">
        <f aca="false">CM32*①통합_가정!$E$177</f>
        <v>1258.87164525</v>
      </c>
      <c r="CN50" s="37" t="n">
        <f aca="false">CN32*①통합_가정!$E$177</f>
        <v>1218.2628825</v>
      </c>
      <c r="CO50" s="37" t="n">
        <f aca="false">CO32*①통합_가정!$E$177</f>
        <v>1258.87164525</v>
      </c>
      <c r="CP50" s="37" t="n">
        <f aca="false">CP32*①통합_가정!$E$177</f>
        <v>1258.87164525</v>
      </c>
      <c r="CQ50" s="37" t="n">
        <f aca="false">CQ32*①통합_가정!$E$177</f>
        <v>1218.2628825</v>
      </c>
      <c r="CR50" s="37" t="n">
        <f aca="false">CR32*①통합_가정!$E$177</f>
        <v>1258.87164525</v>
      </c>
      <c r="CS50" s="37" t="n">
        <f aca="false">CS32*①통합_가정!$E$177</f>
        <v>1218.2628825</v>
      </c>
      <c r="CT50" s="37" t="n">
        <f aca="false">CT32*①통합_가정!$E$177</f>
        <v>1258.87164525</v>
      </c>
      <c r="CU50" s="37" t="n">
        <f aca="false">CU32*①통합_가정!$E$177</f>
        <v>1258.87164525</v>
      </c>
      <c r="CV50" s="37" t="n">
        <f aca="false">CV32*①통합_가정!$E$177</f>
        <v>1137.045357</v>
      </c>
      <c r="CW50" s="37" t="n">
        <f aca="false">CW32*①통합_가정!$E$177</f>
        <v>1284.049078155</v>
      </c>
      <c r="CX50" s="37" t="n">
        <f aca="false">CX32*①통합_가정!$E$177</f>
        <v>1242.62814015</v>
      </c>
      <c r="CY50" s="37" t="n">
        <f aca="false">CY32*①통합_가정!$E$177</f>
        <v>1284.049078155</v>
      </c>
      <c r="CZ50" s="37" t="n">
        <f aca="false">CZ32*①통합_가정!$E$177</f>
        <v>1242.62814015</v>
      </c>
      <c r="DA50" s="37" t="n">
        <f aca="false">DA32*①통합_가정!$E$177</f>
        <v>1284.049078155</v>
      </c>
      <c r="DB50" s="37" t="n">
        <f aca="false">DB32*①통합_가정!$E$177</f>
        <v>1284.049078155</v>
      </c>
      <c r="DC50" s="37" t="n">
        <f aca="false">DC32*①통합_가정!$E$177</f>
        <v>1242.62814015</v>
      </c>
      <c r="DD50" s="37" t="n">
        <f aca="false">DD32*①통합_가정!$E$177</f>
        <v>1284.049078155</v>
      </c>
      <c r="DE50" s="37" t="n">
        <f aca="false">DE32*①통합_가정!$E$177</f>
        <v>1242.62814015</v>
      </c>
      <c r="DF50" s="37" t="n">
        <f aca="false">DF32*①통합_가정!$E$177</f>
        <v>1284.049078155</v>
      </c>
      <c r="DG50" s="37" t="n">
        <f aca="false">DG32*①통합_가정!$E$177</f>
        <v>1284.049078155</v>
      </c>
      <c r="DH50" s="37" t="n">
        <f aca="false">DH32*①통합_가정!$E$177</f>
        <v>1159.78626414</v>
      </c>
      <c r="DI50" s="37" t="n">
        <f aca="false">DI32*①통합_가정!$E$177</f>
        <v>1309.7300597181</v>
      </c>
      <c r="DJ50" s="37" t="n">
        <f aca="false">DJ32*①통합_가정!$E$177</f>
        <v>1267.480702953</v>
      </c>
      <c r="DK50" s="37" t="n">
        <f aca="false">DK32*①통합_가정!$E$177</f>
        <v>1309.7300597181</v>
      </c>
      <c r="DL50" s="37" t="n">
        <f aca="false">DL32*①통합_가정!$E$177</f>
        <v>1267.480702953</v>
      </c>
      <c r="DM50" s="37" t="n">
        <f aca="false">DM32*①통합_가정!$E$177</f>
        <v>1309.7300597181</v>
      </c>
      <c r="DN50" s="37" t="n">
        <f aca="false">DN32*①통합_가정!$E$177</f>
        <v>1309.7300597181</v>
      </c>
      <c r="DO50" s="37" t="n">
        <f aca="false">DO32*①통합_가정!$E$177</f>
        <v>1267.480702953</v>
      </c>
      <c r="DP50" s="37" t="n">
        <f aca="false">DP32*①통합_가정!$E$177</f>
        <v>1309.7300597181</v>
      </c>
      <c r="DQ50" s="37" t="n">
        <f aca="false">DQ32*①통합_가정!$E$177</f>
        <v>1267.480702953</v>
      </c>
      <c r="DR50" s="37" t="n">
        <f aca="false">DR32*①통합_가정!$E$177</f>
        <v>1309.7300597181</v>
      </c>
      <c r="DS50" s="37" t="n">
        <f aca="false">DS32*①통합_가정!$E$177</f>
        <v>1309.7300597181</v>
      </c>
      <c r="DT50" s="37" t="n">
        <f aca="false">DT32*①통합_가정!$E$177</f>
        <v>1225.2313461879</v>
      </c>
      <c r="DU50" s="37" t="n">
        <f aca="false">DU32*①통합_가정!$E$177</f>
        <v>0</v>
      </c>
      <c r="DV50" s="37" t="n">
        <f aca="false">DV32*①통합_가정!$E$177</f>
        <v>0</v>
      </c>
      <c r="DW50" s="37" t="n">
        <f aca="false">DW32*①통합_가정!$E$177</f>
        <v>0</v>
      </c>
      <c r="DX50" s="37" t="n">
        <f aca="false">DX32*①통합_가정!$E$177</f>
        <v>0</v>
      </c>
      <c r="DY50" s="37" t="n">
        <f aca="false">DY32*①통합_가정!$E$177</f>
        <v>0</v>
      </c>
      <c r="DZ50" s="37" t="n">
        <f aca="false">DZ32*①통합_가정!$E$177</f>
        <v>0</v>
      </c>
      <c r="EA50" s="37" t="n">
        <f aca="false">EA32*①통합_가정!$E$177</f>
        <v>0</v>
      </c>
      <c r="EB50" s="37" t="n">
        <f aca="false">EB32*①통합_가정!$E$177</f>
        <v>0</v>
      </c>
      <c r="EC50" s="37" t="n">
        <f aca="false">EC32*①통합_가정!$E$177</f>
        <v>0</v>
      </c>
      <c r="ED50" s="37" t="n">
        <f aca="false">ED32*①통합_가정!$E$177</f>
        <v>0</v>
      </c>
      <c r="EE50" s="37" t="n">
        <f aca="false">EE32*①통합_가정!$E$177</f>
        <v>0</v>
      </c>
      <c r="EF50" s="37" t="n">
        <f aca="false">EF32*①통합_가정!$E$177</f>
        <v>0</v>
      </c>
    </row>
    <row r="51" customFormat="false" ht="15" hidden="false" customHeight="false" outlineLevel="0" collapsed="false">
      <c r="A51" s="36" t="s">
        <v>599</v>
      </c>
      <c r="B51" s="278" t="s">
        <v>21</v>
      </c>
      <c r="C51" s="279" t="n">
        <f aca="false">SUM(E51:EF51)</f>
        <v>29997.990053257</v>
      </c>
      <c r="E51" s="37" t="n">
        <f aca="false">E33*①통합_가정!$E$178</f>
        <v>0</v>
      </c>
      <c r="F51" s="37" t="n">
        <f aca="false">F33*①통합_가정!$E$178</f>
        <v>0</v>
      </c>
      <c r="G51" s="37" t="n">
        <f aca="false">G33*①통합_가정!$E$178</f>
        <v>0</v>
      </c>
      <c r="H51" s="37" t="n">
        <f aca="false">H33*①통합_가정!$E$178</f>
        <v>0</v>
      </c>
      <c r="I51" s="37" t="n">
        <f aca="false">I33*①통합_가정!$E$178</f>
        <v>0</v>
      </c>
      <c r="J51" s="37" t="n">
        <f aca="false">J33*①통합_가정!$E$178</f>
        <v>0</v>
      </c>
      <c r="K51" s="37" t="n">
        <f aca="false">K33*①통합_가정!$E$178</f>
        <v>0</v>
      </c>
      <c r="L51" s="37" t="n">
        <f aca="false">L33*①통합_가정!$E$178</f>
        <v>0</v>
      </c>
      <c r="M51" s="37" t="n">
        <f aca="false">M33*①통합_가정!$E$178</f>
        <v>0</v>
      </c>
      <c r="N51" s="37" t="n">
        <f aca="false">N33*①통합_가정!$E$178</f>
        <v>0</v>
      </c>
      <c r="O51" s="37" t="n">
        <f aca="false">O33*①통합_가정!$E$178</f>
        <v>0</v>
      </c>
      <c r="P51" s="37" t="n">
        <f aca="false">P33*①통합_가정!$E$178</f>
        <v>0</v>
      </c>
      <c r="Q51" s="37" t="n">
        <f aca="false">Q33*①통합_가정!$E$178</f>
        <v>0</v>
      </c>
      <c r="R51" s="37" t="n">
        <f aca="false">R33*①통합_가정!$E$178</f>
        <v>0</v>
      </c>
      <c r="S51" s="37" t="n">
        <f aca="false">S33*①통합_가정!$E$178</f>
        <v>0</v>
      </c>
      <c r="T51" s="37" t="n">
        <f aca="false">T33*①통합_가정!$E$178</f>
        <v>0</v>
      </c>
      <c r="U51" s="37" t="n">
        <f aca="false">U33*①통합_가정!$E$178</f>
        <v>0</v>
      </c>
      <c r="V51" s="37" t="n">
        <f aca="false">V33*①통합_가정!$E$178</f>
        <v>0</v>
      </c>
      <c r="W51" s="37" t="n">
        <f aca="false">W33*①통합_가정!$E$178</f>
        <v>0</v>
      </c>
      <c r="X51" s="37" t="n">
        <f aca="false">X33*①통합_가정!$E$178</f>
        <v>0</v>
      </c>
      <c r="Y51" s="37" t="n">
        <f aca="false">Y33*①통합_가정!$E$178</f>
        <v>0</v>
      </c>
      <c r="Z51" s="37" t="n">
        <f aca="false">Z33*①통합_가정!$E$178</f>
        <v>0</v>
      </c>
      <c r="AA51" s="37" t="n">
        <f aca="false">AA33*①통합_가정!$E$178</f>
        <v>0</v>
      </c>
      <c r="AB51" s="37" t="n">
        <f aca="false">AB33*①통합_가정!$E$178</f>
        <v>0</v>
      </c>
      <c r="AC51" s="37" t="n">
        <f aca="false">AC33*①통합_가정!$E$178</f>
        <v>0</v>
      </c>
      <c r="AD51" s="37" t="n">
        <f aca="false">AD33*①통합_가정!$E$178</f>
        <v>0</v>
      </c>
      <c r="AE51" s="37" t="n">
        <f aca="false">AE33*①통합_가정!$E$178</f>
        <v>0</v>
      </c>
      <c r="AF51" s="37" t="n">
        <f aca="false">AF33*①통합_가정!$E$178</f>
        <v>0</v>
      </c>
      <c r="AG51" s="37" t="n">
        <f aca="false">AG33*①통합_가정!$E$178</f>
        <v>0</v>
      </c>
      <c r="AH51" s="37" t="n">
        <f aca="false">AH33*①통합_가정!$E$178</f>
        <v>0</v>
      </c>
      <c r="AI51" s="37" t="n">
        <f aca="false">AI33*①통합_가정!$E$178</f>
        <v>0</v>
      </c>
      <c r="AJ51" s="37" t="n">
        <f aca="false">AJ33*①통합_가정!$E$178</f>
        <v>0</v>
      </c>
      <c r="AK51" s="37" t="n">
        <f aca="false">AK33*①통합_가정!$E$178</f>
        <v>0</v>
      </c>
      <c r="AL51" s="37" t="n">
        <f aca="false">AL33*①통합_가정!$E$178</f>
        <v>0</v>
      </c>
      <c r="AM51" s="37" t="n">
        <f aca="false">AM33*①통합_가정!$E$178</f>
        <v>0</v>
      </c>
      <c r="AN51" s="37" t="n">
        <f aca="false">AN33*①통합_가정!$E$178</f>
        <v>0</v>
      </c>
      <c r="AO51" s="37" t="n">
        <f aca="false">AO33*①통합_가정!$E$178</f>
        <v>0</v>
      </c>
      <c r="AP51" s="37" t="n">
        <f aca="false">AP33*①통합_가정!$E$178</f>
        <v>0</v>
      </c>
      <c r="AQ51" s="37" t="n">
        <f aca="false">AQ33*①통합_가정!$E$178</f>
        <v>0</v>
      </c>
      <c r="AR51" s="37" t="n">
        <f aca="false">AR33*①통합_가정!$E$178</f>
        <v>0</v>
      </c>
      <c r="AS51" s="37" t="n">
        <f aca="false">AS33*①통합_가정!$E$178</f>
        <v>0</v>
      </c>
      <c r="AT51" s="37" t="n">
        <f aca="false">AT33*①통합_가정!$E$178</f>
        <v>0</v>
      </c>
      <c r="AU51" s="37" t="n">
        <f aca="false">AU33*①통합_가정!$E$178</f>
        <v>0</v>
      </c>
      <c r="AV51" s="37" t="n">
        <f aca="false">AV33*①통합_가정!$E$178</f>
        <v>0</v>
      </c>
      <c r="AW51" s="37" t="n">
        <f aca="false">AW33*①통합_가정!$E$178</f>
        <v>0</v>
      </c>
      <c r="AX51" s="37" t="n">
        <f aca="false">AX33*①통합_가정!$E$178</f>
        <v>0</v>
      </c>
      <c r="AY51" s="37" t="n">
        <f aca="false">AY33*①통합_가정!$E$178</f>
        <v>0</v>
      </c>
      <c r="AZ51" s="37" t="n">
        <f aca="false">AZ33*①통합_가정!$E$178</f>
        <v>0</v>
      </c>
      <c r="BA51" s="37" t="n">
        <f aca="false">BA33*①통합_가정!$E$178</f>
        <v>0</v>
      </c>
      <c r="BB51" s="37" t="n">
        <f aca="false">BB33*①통합_가정!$E$178</f>
        <v>0</v>
      </c>
      <c r="BC51" s="37" t="n">
        <f aca="false">BC33*①통합_가정!$E$178</f>
        <v>0</v>
      </c>
      <c r="BD51" s="37" t="n">
        <f aca="false">BD33*①통합_가정!$E$178</f>
        <v>0</v>
      </c>
      <c r="BE51" s="37" t="n">
        <f aca="false">BE33*①통합_가정!$E$178</f>
        <v>0</v>
      </c>
      <c r="BF51" s="37" t="n">
        <f aca="false">BF33*①통합_가정!$E$178</f>
        <v>0</v>
      </c>
      <c r="BG51" s="37" t="n">
        <f aca="false">BG33*①통합_가정!$E$178</f>
        <v>0</v>
      </c>
      <c r="BH51" s="37" t="n">
        <f aca="false">BH33*①통합_가정!$E$178</f>
        <v>0</v>
      </c>
      <c r="BI51" s="37" t="n">
        <f aca="false">BI33*①통합_가정!$E$178</f>
        <v>0</v>
      </c>
      <c r="BJ51" s="37" t="n">
        <f aca="false">BJ33*①통합_가정!$E$178</f>
        <v>0</v>
      </c>
      <c r="BK51" s="37" t="n">
        <f aca="false">BK33*①통합_가정!$E$178</f>
        <v>0</v>
      </c>
      <c r="BL51" s="37" t="n">
        <f aca="false">BL33*①통합_가정!$E$178</f>
        <v>0</v>
      </c>
      <c r="BM51" s="37" t="n">
        <f aca="false">BM33*①통합_가정!$E$178</f>
        <v>434.9982</v>
      </c>
      <c r="BN51" s="37" t="n">
        <f aca="false">BN33*①통합_가정!$E$178</f>
        <v>420.966</v>
      </c>
      <c r="BO51" s="37" t="n">
        <f aca="false">BO33*①통합_가정!$E$178</f>
        <v>434.9982</v>
      </c>
      <c r="BP51" s="37" t="n">
        <f aca="false">BP33*①통합_가정!$E$178</f>
        <v>420.966</v>
      </c>
      <c r="BQ51" s="37" t="n">
        <f aca="false">BQ33*①통합_가정!$E$178</f>
        <v>434.9982</v>
      </c>
      <c r="BR51" s="37" t="n">
        <f aca="false">BR33*①통합_가정!$E$178</f>
        <v>434.9982</v>
      </c>
      <c r="BS51" s="37" t="n">
        <f aca="false">BS33*①통합_가정!$E$178</f>
        <v>420.966</v>
      </c>
      <c r="BT51" s="37" t="n">
        <f aca="false">BT33*①통합_가정!$E$178</f>
        <v>434.9982</v>
      </c>
      <c r="BU51" s="37" t="n">
        <f aca="false">BU33*①통합_가정!$E$178</f>
        <v>420.966</v>
      </c>
      <c r="BV51" s="37" t="n">
        <f aca="false">BV33*①통합_가정!$E$178</f>
        <v>434.9982</v>
      </c>
      <c r="BW51" s="37" t="n">
        <f aca="false">BW33*①통합_가정!$E$178</f>
        <v>434.9982</v>
      </c>
      <c r="BX51" s="37" t="n">
        <f aca="false">BX33*①통합_가정!$E$178</f>
        <v>406.9338</v>
      </c>
      <c r="BY51" s="37" t="n">
        <f aca="false">BY33*①통합_가정!$E$178</f>
        <v>511.95942</v>
      </c>
      <c r="BZ51" s="37" t="n">
        <f aca="false">BZ33*①통합_가정!$E$178</f>
        <v>495.4446</v>
      </c>
      <c r="CA51" s="37" t="n">
        <f aca="false">CA33*①통합_가정!$E$178</f>
        <v>511.95942</v>
      </c>
      <c r="CB51" s="37" t="n">
        <f aca="false">CB33*①통합_가정!$E$178</f>
        <v>495.4446</v>
      </c>
      <c r="CC51" s="37" t="n">
        <f aca="false">CC33*①통합_가정!$E$178</f>
        <v>511.95942</v>
      </c>
      <c r="CD51" s="37" t="n">
        <f aca="false">CD33*①통합_가정!$E$178</f>
        <v>511.95942</v>
      </c>
      <c r="CE51" s="37" t="n">
        <f aca="false">CE33*①통합_가정!$E$178</f>
        <v>495.4446</v>
      </c>
      <c r="CF51" s="37" t="n">
        <f aca="false">CF33*①통합_가정!$E$178</f>
        <v>511.95942</v>
      </c>
      <c r="CG51" s="37" t="n">
        <f aca="false">CG33*①통합_가정!$E$178</f>
        <v>495.4446</v>
      </c>
      <c r="CH51" s="37" t="n">
        <f aca="false">CH33*①통합_가정!$E$178</f>
        <v>511.95942</v>
      </c>
      <c r="CI51" s="37" t="n">
        <f aca="false">CI33*①통합_가정!$E$178</f>
        <v>511.95942</v>
      </c>
      <c r="CJ51" s="37" t="n">
        <f aca="false">CJ33*①통합_가정!$E$178</f>
        <v>462.41496</v>
      </c>
      <c r="CK51" s="37" t="n">
        <f aca="false">CK33*①통합_가정!$E$178</f>
        <v>522.1986084</v>
      </c>
      <c r="CL51" s="37" t="n">
        <f aca="false">CL33*①통합_가정!$E$178</f>
        <v>505.353492</v>
      </c>
      <c r="CM51" s="37" t="n">
        <f aca="false">CM33*①통합_가정!$E$178</f>
        <v>522.1986084</v>
      </c>
      <c r="CN51" s="37" t="n">
        <f aca="false">CN33*①통합_가정!$E$178</f>
        <v>505.353492</v>
      </c>
      <c r="CO51" s="37" t="n">
        <f aca="false">CO33*①통합_가정!$E$178</f>
        <v>522.1986084</v>
      </c>
      <c r="CP51" s="37" t="n">
        <f aca="false">CP33*①통합_가정!$E$178</f>
        <v>522.1986084</v>
      </c>
      <c r="CQ51" s="37" t="n">
        <f aca="false">CQ33*①통합_가정!$E$178</f>
        <v>505.353492</v>
      </c>
      <c r="CR51" s="37" t="n">
        <f aca="false">CR33*①통합_가정!$E$178</f>
        <v>522.1986084</v>
      </c>
      <c r="CS51" s="37" t="n">
        <f aca="false">CS33*①통합_가정!$E$178</f>
        <v>505.353492</v>
      </c>
      <c r="CT51" s="37" t="n">
        <f aca="false">CT33*①통합_가정!$E$178</f>
        <v>522.1986084</v>
      </c>
      <c r="CU51" s="37" t="n">
        <f aca="false">CU33*①통합_가정!$E$178</f>
        <v>522.1986084</v>
      </c>
      <c r="CV51" s="37" t="n">
        <f aca="false">CV33*①통합_가정!$E$178</f>
        <v>471.6632592</v>
      </c>
      <c r="CW51" s="37" t="n">
        <f aca="false">CW33*①통합_가정!$E$178</f>
        <v>532.642580568</v>
      </c>
      <c r="CX51" s="37" t="n">
        <f aca="false">CX33*①통합_가정!$E$178</f>
        <v>515.46056184</v>
      </c>
      <c r="CY51" s="37" t="n">
        <f aca="false">CY33*①통합_가정!$E$178</f>
        <v>532.642580568</v>
      </c>
      <c r="CZ51" s="37" t="n">
        <f aca="false">CZ33*①통합_가정!$E$178</f>
        <v>515.46056184</v>
      </c>
      <c r="DA51" s="37" t="n">
        <f aca="false">DA33*①통합_가정!$E$178</f>
        <v>532.642580568</v>
      </c>
      <c r="DB51" s="37" t="n">
        <f aca="false">DB33*①통합_가정!$E$178</f>
        <v>532.642580568</v>
      </c>
      <c r="DC51" s="37" t="n">
        <f aca="false">DC33*①통합_가정!$E$178</f>
        <v>515.46056184</v>
      </c>
      <c r="DD51" s="37" t="n">
        <f aca="false">DD33*①통합_가정!$E$178</f>
        <v>532.642580568</v>
      </c>
      <c r="DE51" s="37" t="n">
        <f aca="false">DE33*①통합_가정!$E$178</f>
        <v>515.46056184</v>
      </c>
      <c r="DF51" s="37" t="n">
        <f aca="false">DF33*①통합_가정!$E$178</f>
        <v>532.642580568</v>
      </c>
      <c r="DG51" s="37" t="n">
        <f aca="false">DG33*①통합_가정!$E$178</f>
        <v>532.642580568</v>
      </c>
      <c r="DH51" s="37" t="n">
        <f aca="false">DH33*①통합_가정!$E$178</f>
        <v>481.096524384</v>
      </c>
      <c r="DI51" s="37" t="n">
        <f aca="false">DI33*①통합_가정!$E$178</f>
        <v>543.29543217936</v>
      </c>
      <c r="DJ51" s="37" t="n">
        <f aca="false">DJ33*①통합_가정!$E$178</f>
        <v>525.7697730768</v>
      </c>
      <c r="DK51" s="37" t="n">
        <f aca="false">DK33*①통합_가정!$E$178</f>
        <v>543.29543217936</v>
      </c>
      <c r="DL51" s="37" t="n">
        <f aca="false">DL33*①통합_가정!$E$178</f>
        <v>525.7697730768</v>
      </c>
      <c r="DM51" s="37" t="n">
        <f aca="false">DM33*①통합_가정!$E$178</f>
        <v>543.29543217936</v>
      </c>
      <c r="DN51" s="37" t="n">
        <f aca="false">DN33*①통합_가정!$E$178</f>
        <v>543.29543217936</v>
      </c>
      <c r="DO51" s="37" t="n">
        <f aca="false">DO33*①통합_가정!$E$178</f>
        <v>525.7697730768</v>
      </c>
      <c r="DP51" s="37" t="n">
        <f aca="false">DP33*①통합_가정!$E$178</f>
        <v>543.29543217936</v>
      </c>
      <c r="DQ51" s="37" t="n">
        <f aca="false">DQ33*①통합_가정!$E$178</f>
        <v>525.7697730768</v>
      </c>
      <c r="DR51" s="37" t="n">
        <f aca="false">DR33*①통합_가정!$E$178</f>
        <v>543.29543217936</v>
      </c>
      <c r="DS51" s="37" t="n">
        <f aca="false">DS33*①통합_가정!$E$178</f>
        <v>543.29543217936</v>
      </c>
      <c r="DT51" s="37" t="n">
        <f aca="false">DT33*①통합_가정!$E$178</f>
        <v>508.24411397424</v>
      </c>
      <c r="DU51" s="37" t="n">
        <f aca="false">DU33*①통합_가정!$E$178</f>
        <v>0</v>
      </c>
      <c r="DV51" s="37" t="n">
        <f aca="false">DV33*①통합_가정!$E$178</f>
        <v>0</v>
      </c>
      <c r="DW51" s="37" t="n">
        <f aca="false">DW33*①통합_가정!$E$178</f>
        <v>0</v>
      </c>
      <c r="DX51" s="37" t="n">
        <f aca="false">DX33*①통합_가정!$E$178</f>
        <v>0</v>
      </c>
      <c r="DY51" s="37" t="n">
        <f aca="false">DY33*①통합_가정!$E$178</f>
        <v>0</v>
      </c>
      <c r="DZ51" s="37" t="n">
        <f aca="false">DZ33*①통합_가정!$E$178</f>
        <v>0</v>
      </c>
      <c r="EA51" s="37" t="n">
        <f aca="false">EA33*①통합_가정!$E$178</f>
        <v>0</v>
      </c>
      <c r="EB51" s="37" t="n">
        <f aca="false">EB33*①통합_가정!$E$178</f>
        <v>0</v>
      </c>
      <c r="EC51" s="37" t="n">
        <f aca="false">EC33*①통합_가정!$E$178</f>
        <v>0</v>
      </c>
      <c r="ED51" s="37" t="n">
        <f aca="false">ED33*①통합_가정!$E$178</f>
        <v>0</v>
      </c>
      <c r="EE51" s="37" t="n">
        <f aca="false">EE33*①통합_가정!$E$178</f>
        <v>0</v>
      </c>
      <c r="EF51" s="37" t="n">
        <f aca="false">EF33*①통합_가정!$E$178</f>
        <v>0</v>
      </c>
    </row>
    <row r="52" customFormat="false" ht="15" hidden="false" customHeight="false" outlineLevel="0" collapsed="false">
      <c r="A52" s="153" t="s">
        <v>600</v>
      </c>
      <c r="B52" s="278" t="s">
        <v>21</v>
      </c>
      <c r="C52" s="279" t="n">
        <f aca="false">SUM(E52:EF52)</f>
        <v>7285.22615579098</v>
      </c>
      <c r="E52" s="37" t="n">
        <f aca="false">E34*①통합_가정!$E$179</f>
        <v>0</v>
      </c>
      <c r="F52" s="37" t="n">
        <f aca="false">F34*①통합_가정!$E$179</f>
        <v>0</v>
      </c>
      <c r="G52" s="37" t="n">
        <f aca="false">G34*①통합_가정!$E$179</f>
        <v>0</v>
      </c>
      <c r="H52" s="37" t="n">
        <f aca="false">H34*①통합_가정!$E$179</f>
        <v>0</v>
      </c>
      <c r="I52" s="37" t="n">
        <f aca="false">I34*①통합_가정!$E$179</f>
        <v>0</v>
      </c>
      <c r="J52" s="37" t="n">
        <f aca="false">J34*①통합_가정!$E$179</f>
        <v>0</v>
      </c>
      <c r="K52" s="37" t="n">
        <f aca="false">K34*①통합_가정!$E$179</f>
        <v>0</v>
      </c>
      <c r="L52" s="37" t="n">
        <f aca="false">L34*①통합_가정!$E$179</f>
        <v>0</v>
      </c>
      <c r="M52" s="37" t="n">
        <f aca="false">M34*①통합_가정!$E$179</f>
        <v>0</v>
      </c>
      <c r="N52" s="37" t="n">
        <f aca="false">N34*①통합_가정!$E$179</f>
        <v>0</v>
      </c>
      <c r="O52" s="37" t="n">
        <f aca="false">O34*①통합_가정!$E$179</f>
        <v>0</v>
      </c>
      <c r="P52" s="37" t="n">
        <f aca="false">P34*①통합_가정!$E$179</f>
        <v>0</v>
      </c>
      <c r="Q52" s="37" t="n">
        <f aca="false">Q34*①통합_가정!$E$179</f>
        <v>0</v>
      </c>
      <c r="R52" s="37" t="n">
        <f aca="false">R34*①통합_가정!$E$179</f>
        <v>0</v>
      </c>
      <c r="S52" s="37" t="n">
        <f aca="false">S34*①통합_가정!$E$179</f>
        <v>0</v>
      </c>
      <c r="T52" s="37" t="n">
        <f aca="false">T34*①통합_가정!$E$179</f>
        <v>0</v>
      </c>
      <c r="U52" s="37" t="n">
        <f aca="false">U34*①통합_가정!$E$179</f>
        <v>0</v>
      </c>
      <c r="V52" s="37" t="n">
        <f aca="false">V34*①통합_가정!$E$179</f>
        <v>0</v>
      </c>
      <c r="W52" s="37" t="n">
        <f aca="false">W34*①통합_가정!$E$179</f>
        <v>0</v>
      </c>
      <c r="X52" s="37" t="n">
        <f aca="false">X34*①통합_가정!$E$179</f>
        <v>0</v>
      </c>
      <c r="Y52" s="37" t="n">
        <f aca="false">Y34*①통합_가정!$E$179</f>
        <v>0</v>
      </c>
      <c r="Z52" s="37" t="n">
        <f aca="false">Z34*①통합_가정!$E$179</f>
        <v>0</v>
      </c>
      <c r="AA52" s="37" t="n">
        <f aca="false">AA34*①통합_가정!$E$179</f>
        <v>0</v>
      </c>
      <c r="AB52" s="37" t="n">
        <f aca="false">AB34*①통합_가정!$E$179</f>
        <v>0</v>
      </c>
      <c r="AC52" s="37" t="n">
        <f aca="false">AC34*①통합_가정!$E$179</f>
        <v>0</v>
      </c>
      <c r="AD52" s="37" t="n">
        <f aca="false">AD34*①통합_가정!$E$179</f>
        <v>0</v>
      </c>
      <c r="AE52" s="37" t="n">
        <f aca="false">AE34*①통합_가정!$E$179</f>
        <v>0</v>
      </c>
      <c r="AF52" s="37" t="n">
        <f aca="false">AF34*①통합_가정!$E$179</f>
        <v>0</v>
      </c>
      <c r="AG52" s="37" t="n">
        <f aca="false">AG34*①통합_가정!$E$179</f>
        <v>0</v>
      </c>
      <c r="AH52" s="37" t="n">
        <f aca="false">AH34*①통합_가정!$E$179</f>
        <v>0</v>
      </c>
      <c r="AI52" s="37" t="n">
        <f aca="false">AI34*①통합_가정!$E$179</f>
        <v>0</v>
      </c>
      <c r="AJ52" s="37" t="n">
        <f aca="false">AJ34*①통합_가정!$E$179</f>
        <v>0</v>
      </c>
      <c r="AK52" s="37" t="n">
        <f aca="false">AK34*①통합_가정!$E$179</f>
        <v>0</v>
      </c>
      <c r="AL52" s="37" t="n">
        <f aca="false">AL34*①통합_가정!$E$179</f>
        <v>0</v>
      </c>
      <c r="AM52" s="37" t="n">
        <f aca="false">AM34*①통합_가정!$E$179</f>
        <v>0</v>
      </c>
      <c r="AN52" s="37" t="n">
        <f aca="false">AN34*①통합_가정!$E$179</f>
        <v>0</v>
      </c>
      <c r="AO52" s="37" t="n">
        <f aca="false">AO34*①통합_가정!$E$179</f>
        <v>0</v>
      </c>
      <c r="AP52" s="37" t="n">
        <f aca="false">AP34*①통합_가정!$E$179</f>
        <v>0</v>
      </c>
      <c r="AQ52" s="37" t="n">
        <f aca="false">AQ34*①통합_가정!$E$179</f>
        <v>0</v>
      </c>
      <c r="AR52" s="37" t="n">
        <f aca="false">AR34*①통합_가정!$E$179</f>
        <v>0</v>
      </c>
      <c r="AS52" s="37" t="n">
        <f aca="false">AS34*①통합_가정!$E$179</f>
        <v>0</v>
      </c>
      <c r="AT52" s="37" t="n">
        <f aca="false">AT34*①통합_가정!$E$179</f>
        <v>0</v>
      </c>
      <c r="AU52" s="37" t="n">
        <f aca="false">AU34*①통합_가정!$E$179</f>
        <v>0</v>
      </c>
      <c r="AV52" s="37" t="n">
        <f aca="false">AV34*①통합_가정!$E$179</f>
        <v>0</v>
      </c>
      <c r="AW52" s="37" t="n">
        <f aca="false">AW34*①통합_가정!$E$179</f>
        <v>0</v>
      </c>
      <c r="AX52" s="37" t="n">
        <f aca="false">AX34*①통합_가정!$E$179</f>
        <v>0</v>
      </c>
      <c r="AY52" s="37" t="n">
        <f aca="false">AY34*①통합_가정!$E$179</f>
        <v>0</v>
      </c>
      <c r="AZ52" s="37" t="n">
        <f aca="false">AZ34*①통합_가정!$E$179</f>
        <v>0</v>
      </c>
      <c r="BA52" s="37" t="n">
        <f aca="false">BA34*①통합_가정!$E$179</f>
        <v>0</v>
      </c>
      <c r="BB52" s="37" t="n">
        <f aca="false">BB34*①통합_가정!$E$179</f>
        <v>0</v>
      </c>
      <c r="BC52" s="37" t="n">
        <f aca="false">BC34*①통합_가정!$E$179</f>
        <v>0</v>
      </c>
      <c r="BD52" s="37" t="n">
        <f aca="false">BD34*①통합_가정!$E$179</f>
        <v>0</v>
      </c>
      <c r="BE52" s="37" t="n">
        <f aca="false">BE34*①통합_가정!$E$179</f>
        <v>0</v>
      </c>
      <c r="BF52" s="37" t="n">
        <f aca="false">BF34*①통합_가정!$E$179</f>
        <v>0</v>
      </c>
      <c r="BG52" s="37" t="n">
        <f aca="false">BG34*①통합_가정!$E$179</f>
        <v>0</v>
      </c>
      <c r="BH52" s="37" t="n">
        <f aca="false">BH34*①통합_가정!$E$179</f>
        <v>0</v>
      </c>
      <c r="BI52" s="37" t="n">
        <f aca="false">BI34*①통합_가정!$E$179</f>
        <v>0</v>
      </c>
      <c r="BJ52" s="37" t="n">
        <f aca="false">BJ34*①통합_가정!$E$179</f>
        <v>0</v>
      </c>
      <c r="BK52" s="37" t="n">
        <f aca="false">BK34*①통합_가정!$E$179</f>
        <v>0</v>
      </c>
      <c r="BL52" s="37" t="n">
        <f aca="false">BL34*①통합_가정!$E$179</f>
        <v>0</v>
      </c>
      <c r="BM52" s="37" t="n">
        <f aca="false">BM34*①통합_가정!$E$179</f>
        <v>105.64242</v>
      </c>
      <c r="BN52" s="37" t="n">
        <f aca="false">BN34*①통합_가정!$E$179</f>
        <v>102.2346</v>
      </c>
      <c r="BO52" s="37" t="n">
        <f aca="false">BO34*①통합_가정!$E$179</f>
        <v>105.64242</v>
      </c>
      <c r="BP52" s="37" t="n">
        <f aca="false">BP34*①통합_가정!$E$179</f>
        <v>102.2346</v>
      </c>
      <c r="BQ52" s="37" t="n">
        <f aca="false">BQ34*①통합_가정!$E$179</f>
        <v>105.64242</v>
      </c>
      <c r="BR52" s="37" t="n">
        <f aca="false">BR34*①통합_가정!$E$179</f>
        <v>105.64242</v>
      </c>
      <c r="BS52" s="37" t="n">
        <f aca="false">BS34*①통합_가정!$E$179</f>
        <v>102.2346</v>
      </c>
      <c r="BT52" s="37" t="n">
        <f aca="false">BT34*①통합_가정!$E$179</f>
        <v>105.64242</v>
      </c>
      <c r="BU52" s="37" t="n">
        <f aca="false">BU34*①통합_가정!$E$179</f>
        <v>102.2346</v>
      </c>
      <c r="BV52" s="37" t="n">
        <f aca="false">BV34*①통합_가정!$E$179</f>
        <v>105.64242</v>
      </c>
      <c r="BW52" s="37" t="n">
        <f aca="false">BW34*①통합_가정!$E$179</f>
        <v>105.64242</v>
      </c>
      <c r="BX52" s="37" t="n">
        <f aca="false">BX34*①통합_가정!$E$179</f>
        <v>98.82678</v>
      </c>
      <c r="BY52" s="37" t="n">
        <f aca="false">BY34*①통합_가정!$E$179</f>
        <v>124.333002</v>
      </c>
      <c r="BZ52" s="37" t="n">
        <f aca="false">BZ34*①통합_가정!$E$179</f>
        <v>120.32226</v>
      </c>
      <c r="CA52" s="37" t="n">
        <f aca="false">CA34*①통합_가정!$E$179</f>
        <v>124.333002</v>
      </c>
      <c r="CB52" s="37" t="n">
        <f aca="false">CB34*①통합_가정!$E$179</f>
        <v>120.32226</v>
      </c>
      <c r="CC52" s="37" t="n">
        <f aca="false">CC34*①통합_가정!$E$179</f>
        <v>124.333002</v>
      </c>
      <c r="CD52" s="37" t="n">
        <f aca="false">CD34*①통합_가정!$E$179</f>
        <v>124.333002</v>
      </c>
      <c r="CE52" s="37" t="n">
        <f aca="false">CE34*①통합_가정!$E$179</f>
        <v>120.32226</v>
      </c>
      <c r="CF52" s="37" t="n">
        <f aca="false">CF34*①통합_가정!$E$179</f>
        <v>124.333002</v>
      </c>
      <c r="CG52" s="37" t="n">
        <f aca="false">CG34*①통합_가정!$E$179</f>
        <v>120.32226</v>
      </c>
      <c r="CH52" s="37" t="n">
        <f aca="false">CH34*①통합_가정!$E$179</f>
        <v>124.333002</v>
      </c>
      <c r="CI52" s="37" t="n">
        <f aca="false">CI34*①통합_가정!$E$179</f>
        <v>124.333002</v>
      </c>
      <c r="CJ52" s="37" t="n">
        <f aca="false">CJ34*①통합_가정!$E$179</f>
        <v>112.300776</v>
      </c>
      <c r="CK52" s="37" t="n">
        <f aca="false">CK34*①통합_가정!$E$179</f>
        <v>126.81966204</v>
      </c>
      <c r="CL52" s="37" t="n">
        <f aca="false">CL34*①통합_가정!$E$179</f>
        <v>122.7287052</v>
      </c>
      <c r="CM52" s="37" t="n">
        <f aca="false">CM34*①통합_가정!$E$179</f>
        <v>126.81966204</v>
      </c>
      <c r="CN52" s="37" t="n">
        <f aca="false">CN34*①통합_가정!$E$179</f>
        <v>122.7287052</v>
      </c>
      <c r="CO52" s="37" t="n">
        <f aca="false">CO34*①통합_가정!$E$179</f>
        <v>126.81966204</v>
      </c>
      <c r="CP52" s="37" t="n">
        <f aca="false">CP34*①통합_가정!$E$179</f>
        <v>126.81966204</v>
      </c>
      <c r="CQ52" s="37" t="n">
        <f aca="false">CQ34*①통합_가정!$E$179</f>
        <v>122.7287052</v>
      </c>
      <c r="CR52" s="37" t="n">
        <f aca="false">CR34*①통합_가정!$E$179</f>
        <v>126.81966204</v>
      </c>
      <c r="CS52" s="37" t="n">
        <f aca="false">CS34*①통합_가정!$E$179</f>
        <v>122.7287052</v>
      </c>
      <c r="CT52" s="37" t="n">
        <f aca="false">CT34*①통합_가정!$E$179</f>
        <v>126.81966204</v>
      </c>
      <c r="CU52" s="37" t="n">
        <f aca="false">CU34*①통합_가정!$E$179</f>
        <v>126.81966204</v>
      </c>
      <c r="CV52" s="37" t="n">
        <f aca="false">CV34*①통합_가정!$E$179</f>
        <v>114.54679152</v>
      </c>
      <c r="CW52" s="37" t="n">
        <f aca="false">CW34*①통합_가정!$E$179</f>
        <v>129.3560552808</v>
      </c>
      <c r="CX52" s="37" t="n">
        <f aca="false">CX34*①통합_가정!$E$179</f>
        <v>125.183279304</v>
      </c>
      <c r="CY52" s="37" t="n">
        <f aca="false">CY34*①통합_가정!$E$179</f>
        <v>129.3560552808</v>
      </c>
      <c r="CZ52" s="37" t="n">
        <f aca="false">CZ34*①통합_가정!$E$179</f>
        <v>125.183279304</v>
      </c>
      <c r="DA52" s="37" t="n">
        <f aca="false">DA34*①통합_가정!$E$179</f>
        <v>129.3560552808</v>
      </c>
      <c r="DB52" s="37" t="n">
        <f aca="false">DB34*①통합_가정!$E$179</f>
        <v>129.3560552808</v>
      </c>
      <c r="DC52" s="37" t="n">
        <f aca="false">DC34*①통합_가정!$E$179</f>
        <v>125.183279304</v>
      </c>
      <c r="DD52" s="37" t="n">
        <f aca="false">DD34*①통합_가정!$E$179</f>
        <v>129.3560552808</v>
      </c>
      <c r="DE52" s="37" t="n">
        <f aca="false">DE34*①통합_가정!$E$179</f>
        <v>125.183279304</v>
      </c>
      <c r="DF52" s="37" t="n">
        <f aca="false">DF34*①통합_가정!$E$179</f>
        <v>129.3560552808</v>
      </c>
      <c r="DG52" s="37" t="n">
        <f aca="false">DG34*①통합_가정!$E$179</f>
        <v>129.3560552808</v>
      </c>
      <c r="DH52" s="37" t="n">
        <f aca="false">DH34*①통합_가정!$E$179</f>
        <v>116.8377273504</v>
      </c>
      <c r="DI52" s="37" t="n">
        <f aca="false">DI34*①통합_가정!$E$179</f>
        <v>131.943176386416</v>
      </c>
      <c r="DJ52" s="37" t="n">
        <f aca="false">DJ34*①통합_가정!$E$179</f>
        <v>127.68694489008</v>
      </c>
      <c r="DK52" s="37" t="n">
        <f aca="false">DK34*①통합_가정!$E$179</f>
        <v>131.943176386416</v>
      </c>
      <c r="DL52" s="37" t="n">
        <f aca="false">DL34*①통합_가정!$E$179</f>
        <v>127.68694489008</v>
      </c>
      <c r="DM52" s="37" t="n">
        <f aca="false">DM34*①통합_가정!$E$179</f>
        <v>131.943176386416</v>
      </c>
      <c r="DN52" s="37" t="n">
        <f aca="false">DN34*①통합_가정!$E$179</f>
        <v>131.943176386416</v>
      </c>
      <c r="DO52" s="37" t="n">
        <f aca="false">DO34*①통합_가정!$E$179</f>
        <v>127.68694489008</v>
      </c>
      <c r="DP52" s="37" t="n">
        <f aca="false">DP34*①통합_가정!$E$179</f>
        <v>131.943176386416</v>
      </c>
      <c r="DQ52" s="37" t="n">
        <f aca="false">DQ34*①통합_가정!$E$179</f>
        <v>127.68694489008</v>
      </c>
      <c r="DR52" s="37" t="n">
        <f aca="false">DR34*①통합_가정!$E$179</f>
        <v>131.943176386416</v>
      </c>
      <c r="DS52" s="37" t="n">
        <f aca="false">DS34*①통합_가정!$E$179</f>
        <v>131.943176386416</v>
      </c>
      <c r="DT52" s="37" t="n">
        <f aca="false">DT34*①통합_가정!$E$179</f>
        <v>123.430713393744</v>
      </c>
      <c r="DU52" s="37" t="n">
        <f aca="false">DU34*①통합_가정!$E$179</f>
        <v>0</v>
      </c>
      <c r="DV52" s="37" t="n">
        <f aca="false">DV34*①통합_가정!$E$179</f>
        <v>0</v>
      </c>
      <c r="DW52" s="37" t="n">
        <f aca="false">DW34*①통합_가정!$E$179</f>
        <v>0</v>
      </c>
      <c r="DX52" s="37" t="n">
        <f aca="false">DX34*①통합_가정!$E$179</f>
        <v>0</v>
      </c>
      <c r="DY52" s="37" t="n">
        <f aca="false">DY34*①통합_가정!$E$179</f>
        <v>0</v>
      </c>
      <c r="DZ52" s="37" t="n">
        <f aca="false">DZ34*①통합_가정!$E$179</f>
        <v>0</v>
      </c>
      <c r="EA52" s="37" t="n">
        <f aca="false">EA34*①통합_가정!$E$179</f>
        <v>0</v>
      </c>
      <c r="EB52" s="37" t="n">
        <f aca="false">EB34*①통합_가정!$E$179</f>
        <v>0</v>
      </c>
      <c r="EC52" s="37" t="n">
        <f aca="false">EC34*①통합_가정!$E$179</f>
        <v>0</v>
      </c>
      <c r="ED52" s="37" t="n">
        <f aca="false">ED34*①통합_가정!$E$179</f>
        <v>0</v>
      </c>
      <c r="EE52" s="37" t="n">
        <f aca="false">EE34*①통합_가정!$E$179</f>
        <v>0</v>
      </c>
      <c r="EF52" s="37" t="n">
        <f aca="false">EF34*①통합_가정!$E$179</f>
        <v>0</v>
      </c>
    </row>
    <row r="53" customFormat="false" ht="15" hidden="false" customHeight="false" outlineLevel="0" collapsed="false">
      <c r="A53" s="36" t="s">
        <v>601</v>
      </c>
      <c r="B53" s="278" t="s">
        <v>21</v>
      </c>
      <c r="C53" s="279" t="n">
        <f aca="false">SUM(E53:EF53)</f>
        <v>9356.59565574672</v>
      </c>
      <c r="E53" s="37" t="n">
        <f aca="false">E35*CHOOSE(MIN(MAX(E16,1),3),①통합_가정!$E$192,①통합_가정!$E$193,①통합_가정!$E$194)</f>
        <v>0</v>
      </c>
      <c r="F53" s="37" t="n">
        <f aca="false">F35*CHOOSE(MIN(MAX(F16,1),3),①통합_가정!$E$192,①통합_가정!$E$193,①통합_가정!$E$194)</f>
        <v>0</v>
      </c>
      <c r="G53" s="37" t="n">
        <f aca="false">G35*CHOOSE(MIN(MAX(G16,1),3),①통합_가정!$E$192,①통합_가정!$E$193,①통합_가정!$E$194)</f>
        <v>0</v>
      </c>
      <c r="H53" s="37" t="n">
        <f aca="false">H35*CHOOSE(MIN(MAX(H16,1),3),①통합_가정!$E$192,①통합_가정!$E$193,①통합_가정!$E$194)</f>
        <v>0</v>
      </c>
      <c r="I53" s="37" t="n">
        <f aca="false">I35*CHOOSE(MIN(MAX(I16,1),3),①통합_가정!$E$192,①통합_가정!$E$193,①통합_가정!$E$194)</f>
        <v>0</v>
      </c>
      <c r="J53" s="37" t="n">
        <f aca="false">J35*CHOOSE(MIN(MAX(J16,1),3),①통합_가정!$E$192,①통합_가정!$E$193,①통합_가정!$E$194)</f>
        <v>0</v>
      </c>
      <c r="K53" s="37" t="n">
        <f aca="false">K35*CHOOSE(MIN(MAX(K16,1),3),①통합_가정!$E$192,①통합_가정!$E$193,①통합_가정!$E$194)</f>
        <v>0</v>
      </c>
      <c r="L53" s="37" t="n">
        <f aca="false">L35*CHOOSE(MIN(MAX(L16,1),3),①통합_가정!$E$192,①통합_가정!$E$193,①통합_가정!$E$194)</f>
        <v>0</v>
      </c>
      <c r="M53" s="37" t="n">
        <f aca="false">M35*CHOOSE(MIN(MAX(M16,1),3),①통합_가정!$E$192,①통합_가정!$E$193,①통합_가정!$E$194)</f>
        <v>0</v>
      </c>
      <c r="N53" s="37" t="n">
        <f aca="false">N35*CHOOSE(MIN(MAX(N16,1),3),①통합_가정!$E$192,①통합_가정!$E$193,①통합_가정!$E$194)</f>
        <v>0</v>
      </c>
      <c r="O53" s="37" t="n">
        <f aca="false">O35*CHOOSE(MIN(MAX(O16,1),3),①통합_가정!$E$192,①통합_가정!$E$193,①통합_가정!$E$194)</f>
        <v>0</v>
      </c>
      <c r="P53" s="37" t="n">
        <f aca="false">P35*CHOOSE(MIN(MAX(P16,1),3),①통합_가정!$E$192,①통합_가정!$E$193,①통합_가정!$E$194)</f>
        <v>0</v>
      </c>
      <c r="Q53" s="37" t="n">
        <f aca="false">Q35*CHOOSE(MIN(MAX(Q16,1),3),①통합_가정!$E$192,①통합_가정!$E$193,①통합_가정!$E$194)</f>
        <v>0</v>
      </c>
      <c r="R53" s="37" t="n">
        <f aca="false">R35*CHOOSE(MIN(MAX(R16,1),3),①통합_가정!$E$192,①통합_가정!$E$193,①통합_가정!$E$194)</f>
        <v>0</v>
      </c>
      <c r="S53" s="37" t="n">
        <f aca="false">S35*CHOOSE(MIN(MAX(S16,1),3),①통합_가정!$E$192,①통합_가정!$E$193,①통합_가정!$E$194)</f>
        <v>0</v>
      </c>
      <c r="T53" s="37" t="n">
        <f aca="false">T35*CHOOSE(MIN(MAX(T16,1),3),①통합_가정!$E$192,①통합_가정!$E$193,①통합_가정!$E$194)</f>
        <v>0</v>
      </c>
      <c r="U53" s="37" t="n">
        <f aca="false">U35*CHOOSE(MIN(MAX(U16,1),3),①통합_가정!$E$192,①통합_가정!$E$193,①통합_가정!$E$194)</f>
        <v>0</v>
      </c>
      <c r="V53" s="37" t="n">
        <f aca="false">V35*CHOOSE(MIN(MAX(V16,1),3),①통합_가정!$E$192,①통합_가정!$E$193,①통합_가정!$E$194)</f>
        <v>0</v>
      </c>
      <c r="W53" s="37" t="n">
        <f aca="false">W35*CHOOSE(MIN(MAX(W16,1),3),①통합_가정!$E$192,①통합_가정!$E$193,①통합_가정!$E$194)</f>
        <v>0</v>
      </c>
      <c r="X53" s="37" t="n">
        <f aca="false">X35*CHOOSE(MIN(MAX(X16,1),3),①통합_가정!$E$192,①통합_가정!$E$193,①통합_가정!$E$194)</f>
        <v>0</v>
      </c>
      <c r="Y53" s="37" t="n">
        <f aca="false">Y35*CHOOSE(MIN(MAX(Y16,1),3),①통합_가정!$E$192,①통합_가정!$E$193,①통합_가정!$E$194)</f>
        <v>0</v>
      </c>
      <c r="Z53" s="37" t="n">
        <f aca="false">Z35*CHOOSE(MIN(MAX(Z16,1),3),①통합_가정!$E$192,①통합_가정!$E$193,①통합_가정!$E$194)</f>
        <v>0</v>
      </c>
      <c r="AA53" s="37" t="n">
        <f aca="false">AA35*CHOOSE(MIN(MAX(AA16,1),3),①통합_가정!$E$192,①통합_가정!$E$193,①통합_가정!$E$194)</f>
        <v>0</v>
      </c>
      <c r="AB53" s="37" t="n">
        <f aca="false">AB35*CHOOSE(MIN(MAX(AB16,1),3),①통합_가정!$E$192,①통합_가정!$E$193,①통합_가정!$E$194)</f>
        <v>0</v>
      </c>
      <c r="AC53" s="37" t="n">
        <f aca="false">AC35*CHOOSE(MIN(MAX(AC16,1),3),①통합_가정!$E$192,①통합_가정!$E$193,①통합_가정!$E$194)</f>
        <v>0</v>
      </c>
      <c r="AD53" s="37" t="n">
        <f aca="false">AD35*CHOOSE(MIN(MAX(AD16,1),3),①통합_가정!$E$192,①통합_가정!$E$193,①통합_가정!$E$194)</f>
        <v>0</v>
      </c>
      <c r="AE53" s="37" t="n">
        <f aca="false">AE35*CHOOSE(MIN(MAX(AE16,1),3),①통합_가정!$E$192,①통합_가정!$E$193,①통합_가정!$E$194)</f>
        <v>0</v>
      </c>
      <c r="AF53" s="37" t="n">
        <f aca="false">AF35*CHOOSE(MIN(MAX(AF16,1),3),①통합_가정!$E$192,①통합_가정!$E$193,①통합_가정!$E$194)</f>
        <v>0</v>
      </c>
      <c r="AG53" s="37" t="n">
        <f aca="false">AG35*CHOOSE(MIN(MAX(AG16,1),3),①통합_가정!$E$192,①통합_가정!$E$193,①통합_가정!$E$194)</f>
        <v>0</v>
      </c>
      <c r="AH53" s="37" t="n">
        <f aca="false">AH35*CHOOSE(MIN(MAX(AH16,1),3),①통합_가정!$E$192,①통합_가정!$E$193,①통합_가정!$E$194)</f>
        <v>0</v>
      </c>
      <c r="AI53" s="37" t="n">
        <f aca="false">AI35*CHOOSE(MIN(MAX(AI16,1),3),①통합_가정!$E$192,①통합_가정!$E$193,①통합_가정!$E$194)</f>
        <v>0</v>
      </c>
      <c r="AJ53" s="37" t="n">
        <f aca="false">AJ35*CHOOSE(MIN(MAX(AJ16,1),3),①통합_가정!$E$192,①통합_가정!$E$193,①통합_가정!$E$194)</f>
        <v>0</v>
      </c>
      <c r="AK53" s="37" t="n">
        <f aca="false">AK35*CHOOSE(MIN(MAX(AK16,1),3),①통합_가정!$E$192,①통합_가정!$E$193,①통합_가정!$E$194)</f>
        <v>0</v>
      </c>
      <c r="AL53" s="37" t="n">
        <f aca="false">AL35*CHOOSE(MIN(MAX(AL16,1),3),①통합_가정!$E$192,①통합_가정!$E$193,①통합_가정!$E$194)</f>
        <v>0</v>
      </c>
      <c r="AM53" s="37" t="n">
        <f aca="false">AM35*CHOOSE(MIN(MAX(AM16,1),3),①통합_가정!$E$192,①통합_가정!$E$193,①통합_가정!$E$194)</f>
        <v>0</v>
      </c>
      <c r="AN53" s="37" t="n">
        <f aca="false">AN35*CHOOSE(MIN(MAX(AN16,1),3),①통합_가정!$E$192,①통합_가정!$E$193,①통합_가정!$E$194)</f>
        <v>0</v>
      </c>
      <c r="AO53" s="37" t="n">
        <f aca="false">AO35*CHOOSE(MIN(MAX(AO16,1),3),①통합_가정!$E$192,①통합_가정!$E$193,①통합_가정!$E$194)</f>
        <v>0</v>
      </c>
      <c r="AP53" s="37" t="n">
        <f aca="false">AP35*CHOOSE(MIN(MAX(AP16,1),3),①통합_가정!$E$192,①통합_가정!$E$193,①통합_가정!$E$194)</f>
        <v>0</v>
      </c>
      <c r="AQ53" s="37" t="n">
        <f aca="false">AQ35*CHOOSE(MIN(MAX(AQ16,1),3),①통합_가정!$E$192,①통합_가정!$E$193,①통합_가정!$E$194)</f>
        <v>0</v>
      </c>
      <c r="AR53" s="37" t="n">
        <f aca="false">AR35*CHOOSE(MIN(MAX(AR16,1),3),①통합_가정!$E$192,①통합_가정!$E$193,①통합_가정!$E$194)</f>
        <v>0</v>
      </c>
      <c r="AS53" s="37" t="n">
        <f aca="false">AS35*CHOOSE(MIN(MAX(AS16,1),3),①통합_가정!$E$192,①통합_가정!$E$193,①통합_가정!$E$194)</f>
        <v>0</v>
      </c>
      <c r="AT53" s="37" t="n">
        <f aca="false">AT35*CHOOSE(MIN(MAX(AT16,1),3),①통합_가정!$E$192,①통합_가정!$E$193,①통합_가정!$E$194)</f>
        <v>0</v>
      </c>
      <c r="AU53" s="37" t="n">
        <f aca="false">AU35*CHOOSE(MIN(MAX(AU16,1),3),①통합_가정!$E$192,①통합_가정!$E$193,①통합_가정!$E$194)</f>
        <v>0</v>
      </c>
      <c r="AV53" s="37" t="n">
        <f aca="false">AV35*CHOOSE(MIN(MAX(AV16,1),3),①통합_가정!$E$192,①통합_가정!$E$193,①통합_가정!$E$194)</f>
        <v>0</v>
      </c>
      <c r="AW53" s="37" t="n">
        <f aca="false">AW35*CHOOSE(MIN(MAX(AW16,1),3),①통합_가정!$E$192,①통합_가정!$E$193,①통합_가정!$E$194)</f>
        <v>0</v>
      </c>
      <c r="AX53" s="37" t="n">
        <f aca="false">AX35*CHOOSE(MIN(MAX(AX16,1),3),①통합_가정!$E$192,①통합_가정!$E$193,①통합_가정!$E$194)</f>
        <v>0</v>
      </c>
      <c r="AY53" s="37" t="n">
        <f aca="false">AY35*CHOOSE(MIN(MAX(AY16,1),3),①통합_가정!$E$192,①통합_가정!$E$193,①통합_가정!$E$194)</f>
        <v>0</v>
      </c>
      <c r="AZ53" s="37" t="n">
        <f aca="false">AZ35*CHOOSE(MIN(MAX(AZ16,1),3),①통합_가정!$E$192,①통합_가정!$E$193,①통합_가정!$E$194)</f>
        <v>0</v>
      </c>
      <c r="BA53" s="37" t="n">
        <f aca="false">BA35*CHOOSE(MIN(MAX(BA16,1),3),①통합_가정!$E$192,①통합_가정!$E$193,①통합_가정!$E$194)</f>
        <v>0</v>
      </c>
      <c r="BB53" s="37" t="n">
        <f aca="false">BB35*CHOOSE(MIN(MAX(BB16,1),3),①통합_가정!$E$192,①통합_가정!$E$193,①통합_가정!$E$194)</f>
        <v>0</v>
      </c>
      <c r="BC53" s="37" t="n">
        <f aca="false">BC35*CHOOSE(MIN(MAX(BC16,1),3),①통합_가정!$E$192,①통합_가정!$E$193,①통합_가정!$E$194)</f>
        <v>0</v>
      </c>
      <c r="BD53" s="37" t="n">
        <f aca="false">BD35*CHOOSE(MIN(MAX(BD16,1),3),①통합_가정!$E$192,①통합_가정!$E$193,①통합_가정!$E$194)</f>
        <v>0</v>
      </c>
      <c r="BE53" s="37" t="n">
        <f aca="false">BE35*CHOOSE(MIN(MAX(BE16,1),3),①통합_가정!$E$192,①통합_가정!$E$193,①통합_가정!$E$194)</f>
        <v>0</v>
      </c>
      <c r="BF53" s="37" t="n">
        <f aca="false">BF35*CHOOSE(MIN(MAX(BF16,1),3),①통합_가정!$E$192,①통합_가정!$E$193,①통합_가정!$E$194)</f>
        <v>0</v>
      </c>
      <c r="BG53" s="37" t="n">
        <f aca="false">BG35*CHOOSE(MIN(MAX(BG16,1),3),①통합_가정!$E$192,①통합_가정!$E$193,①통합_가정!$E$194)</f>
        <v>0</v>
      </c>
      <c r="BH53" s="37" t="n">
        <f aca="false">BH35*CHOOSE(MIN(MAX(BH16,1),3),①통합_가정!$E$192,①통합_가정!$E$193,①통합_가정!$E$194)</f>
        <v>0</v>
      </c>
      <c r="BI53" s="37" t="n">
        <f aca="false">BI35*CHOOSE(MIN(MAX(BI16,1),3),①통합_가정!$E$192,①통합_가정!$E$193,①통합_가정!$E$194)</f>
        <v>0</v>
      </c>
      <c r="BJ53" s="37" t="n">
        <f aca="false">BJ35*CHOOSE(MIN(MAX(BJ16,1),3),①통합_가정!$E$192,①통합_가정!$E$193,①통합_가정!$E$194)</f>
        <v>0</v>
      </c>
      <c r="BK53" s="37" t="n">
        <f aca="false">BK35*CHOOSE(MIN(MAX(BK16,1),3),①통합_가정!$E$192,①통합_가정!$E$193,①통합_가정!$E$194)</f>
        <v>0</v>
      </c>
      <c r="BL53" s="37" t="n">
        <f aca="false">BL35*CHOOSE(MIN(MAX(BL16,1),3),①통합_가정!$E$192,①통합_가정!$E$193,①통합_가정!$E$194)</f>
        <v>0</v>
      </c>
      <c r="BM53" s="37" t="n">
        <f aca="false">BM35*CHOOSE(MIN(MAX(BM16,1),3),①통합_가정!$E$192,①통합_가정!$E$193,①통합_가정!$E$194)</f>
        <v>287.74122</v>
      </c>
      <c r="BN53" s="37" t="n">
        <f aca="false">BN35*CHOOSE(MIN(MAX(BN16,1),3),①통합_가정!$E$192,①통합_가정!$E$193,①통합_가정!$E$194)</f>
        <v>287.74122</v>
      </c>
      <c r="BO53" s="37" t="n">
        <f aca="false">BO35*CHOOSE(MIN(MAX(BO16,1),3),①통합_가정!$E$192,①통합_가정!$E$193,①통합_가정!$E$194)</f>
        <v>287.74122</v>
      </c>
      <c r="BP53" s="37" t="n">
        <f aca="false">BP35*CHOOSE(MIN(MAX(BP16,1),3),①통합_가정!$E$192,①통합_가정!$E$193,①통합_가정!$E$194)</f>
        <v>287.74122</v>
      </c>
      <c r="BQ53" s="37" t="n">
        <f aca="false">BQ35*CHOOSE(MIN(MAX(BQ16,1),3),①통합_가정!$E$192,①통합_가정!$E$193,①통합_가정!$E$194)</f>
        <v>287.74122</v>
      </c>
      <c r="BR53" s="37" t="n">
        <f aca="false">BR35*CHOOSE(MIN(MAX(BR16,1),3),①통합_가정!$E$192,①통합_가정!$E$193,①통합_가정!$E$194)</f>
        <v>287.74122</v>
      </c>
      <c r="BS53" s="37" t="n">
        <f aca="false">BS35*CHOOSE(MIN(MAX(BS16,1),3),①통합_가정!$E$192,①통합_가정!$E$193,①통합_가정!$E$194)</f>
        <v>287.74122</v>
      </c>
      <c r="BT53" s="37" t="n">
        <f aca="false">BT35*CHOOSE(MIN(MAX(BT16,1),3),①통합_가정!$E$192,①통합_가정!$E$193,①통합_가정!$E$194)</f>
        <v>287.74122</v>
      </c>
      <c r="BU53" s="37" t="n">
        <f aca="false">BU35*CHOOSE(MIN(MAX(BU16,1),3),①통합_가정!$E$192,①통합_가정!$E$193,①통합_가정!$E$194)</f>
        <v>287.74122</v>
      </c>
      <c r="BV53" s="37" t="n">
        <f aca="false">BV35*CHOOSE(MIN(MAX(BV16,1),3),①통합_가정!$E$192,①통합_가정!$E$193,①통합_가정!$E$194)</f>
        <v>287.74122</v>
      </c>
      <c r="BW53" s="37" t="n">
        <f aca="false">BW35*CHOOSE(MIN(MAX(BW16,1),3),①통합_가정!$E$192,①통합_가정!$E$193,①통합_가정!$E$194)</f>
        <v>287.74122</v>
      </c>
      <c r="BX53" s="37" t="n">
        <f aca="false">BX35*CHOOSE(MIN(MAX(BX16,1),3),①통합_가정!$E$192,①통합_가정!$E$193,①통합_가정!$E$194)</f>
        <v>287.74122</v>
      </c>
      <c r="BY53" s="37" t="n">
        <f aca="false">BY35*CHOOSE(MIN(MAX(BY16,1),3),①통합_가정!$E$192,①통합_가정!$E$193,①통합_가정!$E$194)</f>
        <v>119.36484125748</v>
      </c>
      <c r="BZ53" s="37" t="n">
        <f aca="false">BZ35*CHOOSE(MIN(MAX(BZ16,1),3),①통합_가정!$E$192,①통합_가정!$E$193,①통합_가정!$E$194)</f>
        <v>119.36484125748</v>
      </c>
      <c r="CA53" s="37" t="n">
        <f aca="false">CA35*CHOOSE(MIN(MAX(CA16,1),3),①통합_가정!$E$192,①통합_가정!$E$193,①통합_가정!$E$194)</f>
        <v>119.36484125748</v>
      </c>
      <c r="CB53" s="37" t="n">
        <f aca="false">CB35*CHOOSE(MIN(MAX(CB16,1),3),①통합_가정!$E$192,①통합_가정!$E$193,①통합_가정!$E$194)</f>
        <v>119.36484125748</v>
      </c>
      <c r="CC53" s="37" t="n">
        <f aca="false">CC35*CHOOSE(MIN(MAX(CC16,1),3),①통합_가정!$E$192,①통합_가정!$E$193,①통합_가정!$E$194)</f>
        <v>119.36484125748</v>
      </c>
      <c r="CD53" s="37" t="n">
        <f aca="false">CD35*CHOOSE(MIN(MAX(CD16,1),3),①통합_가정!$E$192,①통합_가정!$E$193,①통합_가정!$E$194)</f>
        <v>119.36484125748</v>
      </c>
      <c r="CE53" s="37" t="n">
        <f aca="false">CE35*CHOOSE(MIN(MAX(CE16,1),3),①통합_가정!$E$192,①통합_가정!$E$193,①통합_가정!$E$194)</f>
        <v>119.36484125748</v>
      </c>
      <c r="CF53" s="37" t="n">
        <f aca="false">CF35*CHOOSE(MIN(MAX(CF16,1),3),①통합_가정!$E$192,①통합_가정!$E$193,①통합_가정!$E$194)</f>
        <v>119.36484125748</v>
      </c>
      <c r="CG53" s="37" t="n">
        <f aca="false">CG35*CHOOSE(MIN(MAX(CG16,1),3),①통합_가정!$E$192,①통합_가정!$E$193,①통합_가정!$E$194)</f>
        <v>119.36484125748</v>
      </c>
      <c r="CH53" s="37" t="n">
        <f aca="false">CH35*CHOOSE(MIN(MAX(CH16,1),3),①통합_가정!$E$192,①통합_가정!$E$193,①통합_가정!$E$194)</f>
        <v>119.36484125748</v>
      </c>
      <c r="CI53" s="37" t="n">
        <f aca="false">CI35*CHOOSE(MIN(MAX(CI16,1),3),①통합_가정!$E$192,①통합_가정!$E$193,①통합_가정!$E$194)</f>
        <v>119.36484125748</v>
      </c>
      <c r="CJ53" s="37" t="n">
        <f aca="false">CJ35*CHOOSE(MIN(MAX(CJ16,1),3),①통합_가정!$E$192,①통합_가정!$E$193,①통합_가정!$E$194)</f>
        <v>119.36484125748</v>
      </c>
      <c r="CK53" s="37" t="n">
        <f aca="false">CK35*CHOOSE(MIN(MAX(CK16,1),3),①통합_가정!$E$192,①통합_가정!$E$193,①통합_가정!$E$194)</f>
        <v>121.75213808263</v>
      </c>
      <c r="CL53" s="37" t="n">
        <f aca="false">CL35*CHOOSE(MIN(MAX(CL16,1),3),①통합_가정!$E$192,①통합_가정!$E$193,①통합_가정!$E$194)</f>
        <v>121.75213808263</v>
      </c>
      <c r="CM53" s="37" t="n">
        <f aca="false">CM35*CHOOSE(MIN(MAX(CM16,1),3),①통합_가정!$E$192,①통합_가정!$E$193,①통합_가정!$E$194)</f>
        <v>121.75213808263</v>
      </c>
      <c r="CN53" s="37" t="n">
        <f aca="false">CN35*CHOOSE(MIN(MAX(CN16,1),3),①통합_가정!$E$192,①통합_가정!$E$193,①통합_가정!$E$194)</f>
        <v>121.75213808263</v>
      </c>
      <c r="CO53" s="37" t="n">
        <f aca="false">CO35*CHOOSE(MIN(MAX(CO16,1),3),①통합_가정!$E$192,①통합_가정!$E$193,①통합_가정!$E$194)</f>
        <v>121.75213808263</v>
      </c>
      <c r="CP53" s="37" t="n">
        <f aca="false">CP35*CHOOSE(MIN(MAX(CP16,1),3),①통합_가정!$E$192,①통합_가정!$E$193,①통합_가정!$E$194)</f>
        <v>121.75213808263</v>
      </c>
      <c r="CQ53" s="37" t="n">
        <f aca="false">CQ35*CHOOSE(MIN(MAX(CQ16,1),3),①통합_가정!$E$192,①통합_가정!$E$193,①통합_가정!$E$194)</f>
        <v>121.75213808263</v>
      </c>
      <c r="CR53" s="37" t="n">
        <f aca="false">CR35*CHOOSE(MIN(MAX(CR16,1),3),①통합_가정!$E$192,①통합_가정!$E$193,①통합_가정!$E$194)</f>
        <v>121.75213808263</v>
      </c>
      <c r="CS53" s="37" t="n">
        <f aca="false">CS35*CHOOSE(MIN(MAX(CS16,1),3),①통합_가정!$E$192,①통합_가정!$E$193,①통합_가정!$E$194)</f>
        <v>121.75213808263</v>
      </c>
      <c r="CT53" s="37" t="n">
        <f aca="false">CT35*CHOOSE(MIN(MAX(CT16,1),3),①통합_가정!$E$192,①통합_가정!$E$193,①통합_가정!$E$194)</f>
        <v>121.75213808263</v>
      </c>
      <c r="CU53" s="37" t="n">
        <f aca="false">CU35*CHOOSE(MIN(MAX(CU16,1),3),①통합_가정!$E$192,①통합_가정!$E$193,①통합_가정!$E$194)</f>
        <v>121.75213808263</v>
      </c>
      <c r="CV53" s="37" t="n">
        <f aca="false">CV35*CHOOSE(MIN(MAX(CV16,1),3),①통합_가정!$E$192,①통합_가정!$E$193,①통합_가정!$E$194)</f>
        <v>121.75213808263</v>
      </c>
      <c r="CW53" s="37" t="n">
        <f aca="false">CW35*CHOOSE(MIN(MAX(CW16,1),3),①통합_가정!$E$192,①통합_가정!$E$193,①통합_가정!$E$194)</f>
        <v>124.187180844282</v>
      </c>
      <c r="CX53" s="37" t="n">
        <f aca="false">CX35*CHOOSE(MIN(MAX(CX16,1),3),①통합_가정!$E$192,①통합_가정!$E$193,①통합_가정!$E$194)</f>
        <v>124.187180844282</v>
      </c>
      <c r="CY53" s="37" t="n">
        <f aca="false">CY35*CHOOSE(MIN(MAX(CY16,1),3),①통합_가정!$E$192,①통합_가정!$E$193,①통합_가정!$E$194)</f>
        <v>124.187180844282</v>
      </c>
      <c r="CZ53" s="37" t="n">
        <f aca="false">CZ35*CHOOSE(MIN(MAX(CZ16,1),3),①통합_가정!$E$192,①통합_가정!$E$193,①통합_가정!$E$194)</f>
        <v>124.187180844282</v>
      </c>
      <c r="DA53" s="37" t="n">
        <f aca="false">DA35*CHOOSE(MIN(MAX(DA16,1),3),①통합_가정!$E$192,①통합_가정!$E$193,①통합_가정!$E$194)</f>
        <v>124.187180844282</v>
      </c>
      <c r="DB53" s="37" t="n">
        <f aca="false">DB35*CHOOSE(MIN(MAX(DB16,1),3),①통합_가정!$E$192,①통합_가정!$E$193,①통합_가정!$E$194)</f>
        <v>124.187180844282</v>
      </c>
      <c r="DC53" s="37" t="n">
        <f aca="false">DC35*CHOOSE(MIN(MAX(DC16,1),3),①통합_가정!$E$192,①통합_가정!$E$193,①통합_가정!$E$194)</f>
        <v>124.187180844282</v>
      </c>
      <c r="DD53" s="37" t="n">
        <f aca="false">DD35*CHOOSE(MIN(MAX(DD16,1),3),①통합_가정!$E$192,①통합_가정!$E$193,①통합_가정!$E$194)</f>
        <v>124.187180844282</v>
      </c>
      <c r="DE53" s="37" t="n">
        <f aca="false">DE35*CHOOSE(MIN(MAX(DE16,1),3),①통합_가정!$E$192,①통합_가정!$E$193,①통합_가정!$E$194)</f>
        <v>124.187180844282</v>
      </c>
      <c r="DF53" s="37" t="n">
        <f aca="false">DF35*CHOOSE(MIN(MAX(DF16,1),3),①통합_가정!$E$192,①통합_가정!$E$193,①통합_가정!$E$194)</f>
        <v>124.187180844282</v>
      </c>
      <c r="DG53" s="37" t="n">
        <f aca="false">DG35*CHOOSE(MIN(MAX(DG16,1),3),①통합_가정!$E$192,①통합_가정!$E$193,①통합_가정!$E$194)</f>
        <v>124.187180844282</v>
      </c>
      <c r="DH53" s="37" t="n">
        <f aca="false">DH35*CHOOSE(MIN(MAX(DH16,1),3),①통합_가정!$E$192,①통합_가정!$E$193,①통합_가정!$E$194)</f>
        <v>124.187180844282</v>
      </c>
      <c r="DI53" s="37" t="n">
        <f aca="false">DI35*CHOOSE(MIN(MAX(DI16,1),3),①통합_가정!$E$192,①통합_가정!$E$193,①통합_가정!$E$194)</f>
        <v>126.670924461168</v>
      </c>
      <c r="DJ53" s="37" t="n">
        <f aca="false">DJ35*CHOOSE(MIN(MAX(DJ16,1),3),①통합_가정!$E$192,①통합_가정!$E$193,①통합_가정!$E$194)</f>
        <v>126.670924461168</v>
      </c>
      <c r="DK53" s="37" t="n">
        <f aca="false">DK35*CHOOSE(MIN(MAX(DK16,1),3),①통합_가정!$E$192,①통합_가정!$E$193,①통합_가정!$E$194)</f>
        <v>126.670924461168</v>
      </c>
      <c r="DL53" s="37" t="n">
        <f aca="false">DL35*CHOOSE(MIN(MAX(DL16,1),3),①통합_가정!$E$192,①통합_가정!$E$193,①통합_가정!$E$194)</f>
        <v>126.670924461168</v>
      </c>
      <c r="DM53" s="37" t="n">
        <f aca="false">DM35*CHOOSE(MIN(MAX(DM16,1),3),①통합_가정!$E$192,①통합_가정!$E$193,①통합_가정!$E$194)</f>
        <v>126.670924461168</v>
      </c>
      <c r="DN53" s="37" t="n">
        <f aca="false">DN35*CHOOSE(MIN(MAX(DN16,1),3),①통합_가정!$E$192,①통합_가정!$E$193,①통합_가정!$E$194)</f>
        <v>126.670924461168</v>
      </c>
      <c r="DO53" s="37" t="n">
        <f aca="false">DO35*CHOOSE(MIN(MAX(DO16,1),3),①통합_가정!$E$192,①통합_가정!$E$193,①통합_가정!$E$194)</f>
        <v>126.670924461168</v>
      </c>
      <c r="DP53" s="37" t="n">
        <f aca="false">DP35*CHOOSE(MIN(MAX(DP16,1),3),①통합_가정!$E$192,①통합_가정!$E$193,①통합_가정!$E$194)</f>
        <v>126.670924461168</v>
      </c>
      <c r="DQ53" s="37" t="n">
        <f aca="false">DQ35*CHOOSE(MIN(MAX(DQ16,1),3),①통합_가정!$E$192,①통합_가정!$E$193,①통합_가정!$E$194)</f>
        <v>126.670924461168</v>
      </c>
      <c r="DR53" s="37" t="n">
        <f aca="false">DR35*CHOOSE(MIN(MAX(DR16,1),3),①통합_가정!$E$192,①통합_가정!$E$193,①통합_가정!$E$194)</f>
        <v>126.670924461168</v>
      </c>
      <c r="DS53" s="37" t="n">
        <f aca="false">DS35*CHOOSE(MIN(MAX(DS16,1),3),①통합_가정!$E$192,①통합_가정!$E$193,①통합_가정!$E$194)</f>
        <v>126.670924461168</v>
      </c>
      <c r="DT53" s="37" t="n">
        <f aca="false">DT35*CHOOSE(MIN(MAX(DT16,1),3),①통합_가정!$E$192,①통합_가정!$E$193,①통합_가정!$E$194)</f>
        <v>126.670924461168</v>
      </c>
      <c r="DU53" s="37" t="n">
        <f aca="false">DU35*CHOOSE(MIN(MAX(DU16,1),3),①통합_가정!$E$192,①통합_가정!$E$193,①통합_가정!$E$194)</f>
        <v>0</v>
      </c>
      <c r="DV53" s="37" t="n">
        <f aca="false">DV35*CHOOSE(MIN(MAX(DV16,1),3),①통합_가정!$E$192,①통합_가정!$E$193,①통합_가정!$E$194)</f>
        <v>0</v>
      </c>
      <c r="DW53" s="37" t="n">
        <f aca="false">DW35*CHOOSE(MIN(MAX(DW16,1),3),①통합_가정!$E$192,①통합_가정!$E$193,①통합_가정!$E$194)</f>
        <v>0</v>
      </c>
      <c r="DX53" s="37" t="n">
        <f aca="false">DX35*CHOOSE(MIN(MAX(DX16,1),3),①통합_가정!$E$192,①통합_가정!$E$193,①통합_가정!$E$194)</f>
        <v>0</v>
      </c>
      <c r="DY53" s="37" t="n">
        <f aca="false">DY35*CHOOSE(MIN(MAX(DY16,1),3),①통합_가정!$E$192,①통합_가정!$E$193,①통합_가정!$E$194)</f>
        <v>0</v>
      </c>
      <c r="DZ53" s="37" t="n">
        <f aca="false">DZ35*CHOOSE(MIN(MAX(DZ16,1),3),①통합_가정!$E$192,①통합_가정!$E$193,①통합_가정!$E$194)</f>
        <v>0</v>
      </c>
      <c r="EA53" s="37" t="n">
        <f aca="false">EA35*CHOOSE(MIN(MAX(EA16,1),3),①통합_가정!$E$192,①통합_가정!$E$193,①통합_가정!$E$194)</f>
        <v>0</v>
      </c>
      <c r="EB53" s="37" t="n">
        <f aca="false">EB35*CHOOSE(MIN(MAX(EB16,1),3),①통합_가정!$E$192,①통합_가정!$E$193,①통합_가정!$E$194)</f>
        <v>0</v>
      </c>
      <c r="EC53" s="37" t="n">
        <f aca="false">EC35*CHOOSE(MIN(MAX(EC16,1),3),①통합_가정!$E$192,①통합_가정!$E$193,①통합_가정!$E$194)</f>
        <v>0</v>
      </c>
      <c r="ED53" s="37" t="n">
        <f aca="false">ED35*CHOOSE(MIN(MAX(ED16,1),3),①통합_가정!$E$192,①통합_가정!$E$193,①통합_가정!$E$194)</f>
        <v>0</v>
      </c>
      <c r="EE53" s="37" t="n">
        <f aca="false">EE35*CHOOSE(MIN(MAX(EE16,1),3),①통합_가정!$E$192,①통합_가정!$E$193,①통합_가정!$E$194)</f>
        <v>0</v>
      </c>
      <c r="EF53" s="37" t="n">
        <f aca="false">EF35*CHOOSE(MIN(MAX(EF16,1),3),①통합_가정!$E$192,①통합_가정!$E$193,①통합_가정!$E$194)</f>
        <v>0</v>
      </c>
    </row>
    <row r="54" customFormat="false" ht="15" hidden="false" customHeight="false" outlineLevel="0" collapsed="false">
      <c r="A54" s="36" t="s">
        <v>602</v>
      </c>
      <c r="B54" s="278" t="s">
        <v>21</v>
      </c>
      <c r="C54" s="279" t="n">
        <f aca="false">SUM(E54:EF54)</f>
        <v>9214.87301272243</v>
      </c>
      <c r="E54" s="37" t="n">
        <f aca="false">(E14=1)*①통합_가정!$G$38*①통합_가정!$E$195*①통합_가정!$E$184/1000*(1+①통합_가정!$E$188)^(MAX(E16,1)-1)</f>
        <v>0</v>
      </c>
      <c r="F54" s="37" t="n">
        <f aca="false">(F14=1)*①통합_가정!$G$38*①통합_가정!$E$195*①통합_가정!$E$184/1000*(1+①통합_가정!$E$188)^(MAX(F16,1)-1)</f>
        <v>0</v>
      </c>
      <c r="G54" s="37" t="n">
        <f aca="false">(G14=1)*①통합_가정!$G$38*①통합_가정!$E$195*①통합_가정!$E$184/1000*(1+①통합_가정!$E$188)^(MAX(G16,1)-1)</f>
        <v>0</v>
      </c>
      <c r="H54" s="37" t="n">
        <f aca="false">(H14=1)*①통합_가정!$G$38*①통합_가정!$E$195*①통합_가정!$E$184/1000*(1+①통합_가정!$E$188)^(MAX(H16,1)-1)</f>
        <v>0</v>
      </c>
      <c r="I54" s="37" t="n">
        <f aca="false">(I14=1)*①통합_가정!$G$38*①통합_가정!$E$195*①통합_가정!$E$184/1000*(1+①통합_가정!$E$188)^(MAX(I16,1)-1)</f>
        <v>0</v>
      </c>
      <c r="J54" s="37" t="n">
        <f aca="false">(J14=1)*①통합_가정!$G$38*①통합_가정!$E$195*①통합_가정!$E$184/1000*(1+①통합_가정!$E$188)^(MAX(J16,1)-1)</f>
        <v>0</v>
      </c>
      <c r="K54" s="37" t="n">
        <f aca="false">(K14=1)*①통합_가정!$G$38*①통합_가정!$E$195*①통합_가정!$E$184/1000*(1+①통합_가정!$E$188)^(MAX(K16,1)-1)</f>
        <v>0</v>
      </c>
      <c r="L54" s="37" t="n">
        <f aca="false">(L14=1)*①통합_가정!$G$38*①통합_가정!$E$195*①통합_가정!$E$184/1000*(1+①통합_가정!$E$188)^(MAX(L16,1)-1)</f>
        <v>0</v>
      </c>
      <c r="M54" s="37" t="n">
        <f aca="false">(M14=1)*①통합_가정!$G$38*①통합_가정!$E$195*①통합_가정!$E$184/1000*(1+①통합_가정!$E$188)^(MAX(M16,1)-1)</f>
        <v>0</v>
      </c>
      <c r="N54" s="37" t="n">
        <f aca="false">(N14=1)*①통합_가정!$G$38*①통합_가정!$E$195*①통합_가정!$E$184/1000*(1+①통합_가정!$E$188)^(MAX(N16,1)-1)</f>
        <v>0</v>
      </c>
      <c r="O54" s="37" t="n">
        <f aca="false">(O14=1)*①통합_가정!$G$38*①통합_가정!$E$195*①통합_가정!$E$184/1000*(1+①통합_가정!$E$188)^(MAX(O16,1)-1)</f>
        <v>0</v>
      </c>
      <c r="P54" s="37" t="n">
        <f aca="false">(P14=1)*①통합_가정!$G$38*①통합_가정!$E$195*①통합_가정!$E$184/1000*(1+①통합_가정!$E$188)^(MAX(P16,1)-1)</f>
        <v>0</v>
      </c>
      <c r="Q54" s="37" t="n">
        <f aca="false">(Q14=1)*①통합_가정!$G$38*①통합_가정!$E$195*①통합_가정!$E$184/1000*(1+①통합_가정!$E$188)^(MAX(Q16,1)-1)</f>
        <v>0</v>
      </c>
      <c r="R54" s="37" t="n">
        <f aca="false">(R14=1)*①통합_가정!$G$38*①통합_가정!$E$195*①통합_가정!$E$184/1000*(1+①통합_가정!$E$188)^(MAX(R16,1)-1)</f>
        <v>0</v>
      </c>
      <c r="S54" s="37" t="n">
        <f aca="false">(S14=1)*①통합_가정!$G$38*①통합_가정!$E$195*①통합_가정!$E$184/1000*(1+①통합_가정!$E$188)^(MAX(S16,1)-1)</f>
        <v>0</v>
      </c>
      <c r="T54" s="37" t="n">
        <f aca="false">(T14=1)*①통합_가정!$G$38*①통합_가정!$E$195*①통합_가정!$E$184/1000*(1+①통합_가정!$E$188)^(MAX(T16,1)-1)</f>
        <v>0</v>
      </c>
      <c r="U54" s="37" t="n">
        <f aca="false">(U14=1)*①통합_가정!$G$38*①통합_가정!$E$195*①통합_가정!$E$184/1000*(1+①통합_가정!$E$188)^(MAX(U16,1)-1)</f>
        <v>0</v>
      </c>
      <c r="V54" s="37" t="n">
        <f aca="false">(V14=1)*①통합_가정!$G$38*①통합_가정!$E$195*①통합_가정!$E$184/1000*(1+①통합_가정!$E$188)^(MAX(V16,1)-1)</f>
        <v>0</v>
      </c>
      <c r="W54" s="37" t="n">
        <f aca="false">(W14=1)*①통합_가정!$G$38*①통합_가정!$E$195*①통합_가정!$E$184/1000*(1+①통합_가정!$E$188)^(MAX(W16,1)-1)</f>
        <v>0</v>
      </c>
      <c r="X54" s="37" t="n">
        <f aca="false">(X14=1)*①통합_가정!$G$38*①통합_가정!$E$195*①통합_가정!$E$184/1000*(1+①통합_가정!$E$188)^(MAX(X16,1)-1)</f>
        <v>0</v>
      </c>
      <c r="Y54" s="37" t="n">
        <f aca="false">(Y14=1)*①통합_가정!$G$38*①통합_가정!$E$195*①통합_가정!$E$184/1000*(1+①통합_가정!$E$188)^(MAX(Y16,1)-1)</f>
        <v>0</v>
      </c>
      <c r="Z54" s="37" t="n">
        <f aca="false">(Z14=1)*①통합_가정!$G$38*①통합_가정!$E$195*①통합_가정!$E$184/1000*(1+①통합_가정!$E$188)^(MAX(Z16,1)-1)</f>
        <v>0</v>
      </c>
      <c r="AA54" s="37" t="n">
        <f aca="false">(AA14=1)*①통합_가정!$G$38*①통합_가정!$E$195*①통합_가정!$E$184/1000*(1+①통합_가정!$E$188)^(MAX(AA16,1)-1)</f>
        <v>0</v>
      </c>
      <c r="AB54" s="37" t="n">
        <f aca="false">(AB14=1)*①통합_가정!$G$38*①통합_가정!$E$195*①통합_가정!$E$184/1000*(1+①통합_가정!$E$188)^(MAX(AB16,1)-1)</f>
        <v>0</v>
      </c>
      <c r="AC54" s="37" t="n">
        <f aca="false">(AC14=1)*①통합_가정!$G$38*①통합_가정!$E$195*①통합_가정!$E$184/1000*(1+①통합_가정!$E$188)^(MAX(AC16,1)-1)</f>
        <v>0</v>
      </c>
      <c r="AD54" s="37" t="n">
        <f aca="false">(AD14=1)*①통합_가정!$G$38*①통합_가정!$E$195*①통합_가정!$E$184/1000*(1+①통합_가정!$E$188)^(MAX(AD16,1)-1)</f>
        <v>0</v>
      </c>
      <c r="AE54" s="37" t="n">
        <f aca="false">(AE14=1)*①통합_가정!$G$38*①통합_가정!$E$195*①통합_가정!$E$184/1000*(1+①통합_가정!$E$188)^(MAX(AE16,1)-1)</f>
        <v>0</v>
      </c>
      <c r="AF54" s="37" t="n">
        <f aca="false">(AF14=1)*①통합_가정!$G$38*①통합_가정!$E$195*①통합_가정!$E$184/1000*(1+①통합_가정!$E$188)^(MAX(AF16,1)-1)</f>
        <v>0</v>
      </c>
      <c r="AG54" s="37" t="n">
        <f aca="false">(AG14=1)*①통합_가정!$G$38*①통합_가정!$E$195*①통합_가정!$E$184/1000*(1+①통합_가정!$E$188)^(MAX(AG16,1)-1)</f>
        <v>0</v>
      </c>
      <c r="AH54" s="37" t="n">
        <f aca="false">(AH14=1)*①통합_가정!$G$38*①통합_가정!$E$195*①통합_가정!$E$184/1000*(1+①통합_가정!$E$188)^(MAX(AH16,1)-1)</f>
        <v>0</v>
      </c>
      <c r="AI54" s="37" t="n">
        <f aca="false">(AI14=1)*①통합_가정!$G$38*①통합_가정!$E$195*①통합_가정!$E$184/1000*(1+①통합_가정!$E$188)^(MAX(AI16,1)-1)</f>
        <v>0</v>
      </c>
      <c r="AJ54" s="37" t="n">
        <f aca="false">(AJ14=1)*①통합_가정!$G$38*①통합_가정!$E$195*①통합_가정!$E$184/1000*(1+①통합_가정!$E$188)^(MAX(AJ16,1)-1)</f>
        <v>0</v>
      </c>
      <c r="AK54" s="37" t="n">
        <f aca="false">(AK14=1)*①통합_가정!$G$38*①통합_가정!$E$195*①통합_가정!$E$184/1000*(1+①통합_가정!$E$188)^(MAX(AK16,1)-1)</f>
        <v>0</v>
      </c>
      <c r="AL54" s="37" t="n">
        <f aca="false">(AL14=1)*①통합_가정!$G$38*①통합_가정!$E$195*①통합_가정!$E$184/1000*(1+①통합_가정!$E$188)^(MAX(AL16,1)-1)</f>
        <v>0</v>
      </c>
      <c r="AM54" s="37" t="n">
        <f aca="false">(AM14=1)*①통합_가정!$G$38*①통합_가정!$E$195*①통합_가정!$E$184/1000*(1+①통합_가정!$E$188)^(MAX(AM16,1)-1)</f>
        <v>0</v>
      </c>
      <c r="AN54" s="37" t="n">
        <f aca="false">(AN14=1)*①통합_가정!$G$38*①통합_가정!$E$195*①통합_가정!$E$184/1000*(1+①통합_가정!$E$188)^(MAX(AN16,1)-1)</f>
        <v>0</v>
      </c>
      <c r="AO54" s="37" t="n">
        <f aca="false">(AO14=1)*①통합_가정!$G$38*①통합_가정!$E$195*①통합_가정!$E$184/1000*(1+①통합_가정!$E$188)^(MAX(AO16,1)-1)</f>
        <v>0</v>
      </c>
      <c r="AP54" s="37" t="n">
        <f aca="false">(AP14=1)*①통합_가정!$G$38*①통합_가정!$E$195*①통합_가정!$E$184/1000*(1+①통합_가정!$E$188)^(MAX(AP16,1)-1)</f>
        <v>0</v>
      </c>
      <c r="AQ54" s="37" t="n">
        <f aca="false">(AQ14=1)*①통합_가정!$G$38*①통합_가정!$E$195*①통합_가정!$E$184/1000*(1+①통합_가정!$E$188)^(MAX(AQ16,1)-1)</f>
        <v>0</v>
      </c>
      <c r="AR54" s="37" t="n">
        <f aca="false">(AR14=1)*①통합_가정!$G$38*①통합_가정!$E$195*①통합_가정!$E$184/1000*(1+①통합_가정!$E$188)^(MAX(AR16,1)-1)</f>
        <v>0</v>
      </c>
      <c r="AS54" s="37" t="n">
        <f aca="false">(AS14=1)*①통합_가정!$G$38*①통합_가정!$E$195*①통합_가정!$E$184/1000*(1+①통합_가정!$E$188)^(MAX(AS16,1)-1)</f>
        <v>0</v>
      </c>
      <c r="AT54" s="37" t="n">
        <f aca="false">(AT14=1)*①통합_가정!$G$38*①통합_가정!$E$195*①통합_가정!$E$184/1000*(1+①통합_가정!$E$188)^(MAX(AT16,1)-1)</f>
        <v>0</v>
      </c>
      <c r="AU54" s="37" t="n">
        <f aca="false">(AU14=1)*①통합_가정!$G$38*①통합_가정!$E$195*①통합_가정!$E$184/1000*(1+①통합_가정!$E$188)^(MAX(AU16,1)-1)</f>
        <v>0</v>
      </c>
      <c r="AV54" s="37" t="n">
        <f aca="false">(AV14=1)*①통합_가정!$G$38*①통합_가정!$E$195*①통합_가정!$E$184/1000*(1+①통합_가정!$E$188)^(MAX(AV16,1)-1)</f>
        <v>0</v>
      </c>
      <c r="AW54" s="37" t="n">
        <f aca="false">(AW14=1)*①통합_가정!$G$38*①통합_가정!$E$195*①통합_가정!$E$184/1000*(1+①통합_가정!$E$188)^(MAX(AW16,1)-1)</f>
        <v>0</v>
      </c>
      <c r="AX54" s="37" t="n">
        <f aca="false">(AX14=1)*①통합_가정!$G$38*①통합_가정!$E$195*①통합_가정!$E$184/1000*(1+①통합_가정!$E$188)^(MAX(AX16,1)-1)</f>
        <v>0</v>
      </c>
      <c r="AY54" s="37" t="n">
        <f aca="false">(AY14=1)*①통합_가정!$G$38*①통합_가정!$E$195*①통합_가정!$E$184/1000*(1+①통합_가정!$E$188)^(MAX(AY16,1)-1)</f>
        <v>0</v>
      </c>
      <c r="AZ54" s="37" t="n">
        <f aca="false">(AZ14=1)*①통합_가정!$G$38*①통합_가정!$E$195*①통합_가정!$E$184/1000*(1+①통합_가정!$E$188)^(MAX(AZ16,1)-1)</f>
        <v>0</v>
      </c>
      <c r="BA54" s="37" t="n">
        <f aca="false">(BA14=1)*①통합_가정!$G$38*①통합_가정!$E$195*①통합_가정!$E$184/1000*(1+①통합_가정!$E$188)^(MAX(BA16,1)-1)</f>
        <v>0</v>
      </c>
      <c r="BB54" s="37" t="n">
        <f aca="false">(BB14=1)*①통합_가정!$G$38*①통합_가정!$E$195*①통합_가정!$E$184/1000*(1+①통합_가정!$E$188)^(MAX(BB16,1)-1)</f>
        <v>0</v>
      </c>
      <c r="BC54" s="37" t="n">
        <f aca="false">(BC14=1)*①통합_가정!$G$38*①통합_가정!$E$195*①통합_가정!$E$184/1000*(1+①통합_가정!$E$188)^(MAX(BC16,1)-1)</f>
        <v>0</v>
      </c>
      <c r="BD54" s="37" t="n">
        <f aca="false">(BD14=1)*①통합_가정!$G$38*①통합_가정!$E$195*①통합_가정!$E$184/1000*(1+①통합_가정!$E$188)^(MAX(BD16,1)-1)</f>
        <v>0</v>
      </c>
      <c r="BE54" s="37" t="n">
        <f aca="false">(BE14=1)*①통합_가정!$G$38*①통합_가정!$E$195*①통합_가정!$E$184/1000*(1+①통합_가정!$E$188)^(MAX(BE16,1)-1)</f>
        <v>0</v>
      </c>
      <c r="BF54" s="37" t="n">
        <f aca="false">(BF14=1)*①통합_가정!$G$38*①통합_가정!$E$195*①통합_가정!$E$184/1000*(1+①통합_가정!$E$188)^(MAX(BF16,1)-1)</f>
        <v>0</v>
      </c>
      <c r="BG54" s="37" t="n">
        <f aca="false">(BG14=1)*①통합_가정!$G$38*①통합_가정!$E$195*①통합_가정!$E$184/1000*(1+①통합_가정!$E$188)^(MAX(BG16,1)-1)</f>
        <v>0</v>
      </c>
      <c r="BH54" s="37" t="n">
        <f aca="false">(BH14=1)*①통합_가정!$G$38*①통합_가정!$E$195*①통합_가정!$E$184/1000*(1+①통합_가정!$E$188)^(MAX(BH16,1)-1)</f>
        <v>0</v>
      </c>
      <c r="BI54" s="37" t="n">
        <f aca="false">(BI14=1)*①통합_가정!$G$38*①통합_가정!$E$195*①통합_가정!$E$184/1000*(1+①통합_가정!$E$188)^(MAX(BI16,1)-1)</f>
        <v>0</v>
      </c>
      <c r="BJ54" s="37" t="n">
        <f aca="false">(BJ14=1)*①통합_가정!$G$38*①통합_가정!$E$195*①통합_가정!$E$184/1000*(1+①통합_가정!$E$188)^(MAX(BJ16,1)-1)</f>
        <v>0</v>
      </c>
      <c r="BK54" s="37" t="n">
        <f aca="false">(BK14=1)*①통합_가정!$G$38*①통합_가정!$E$195*①통합_가정!$E$184/1000*(1+①통합_가정!$E$188)^(MAX(BK16,1)-1)</f>
        <v>0</v>
      </c>
      <c r="BL54" s="37" t="n">
        <f aca="false">(BL14=1)*①통합_가정!$G$38*①통합_가정!$E$195*①통합_가정!$E$184/1000*(1+①통합_가정!$E$188)^(MAX(BL16,1)-1)</f>
        <v>0</v>
      </c>
      <c r="BM54" s="37" t="n">
        <f aca="false">(BM14=1)*①통합_가정!$G$38*①통합_가정!$E$195*①통합_가정!$E$184/1000*(1+①통합_가정!$E$188)^(MAX(BM16,1)-1)</f>
        <v>147.5596</v>
      </c>
      <c r="BN54" s="37" t="n">
        <f aca="false">(BN14=1)*①통합_가정!$G$38*①통합_가정!$E$195*①통합_가정!$E$184/1000*(1+①통합_가정!$E$188)^(MAX(BN16,1)-1)</f>
        <v>147.5596</v>
      </c>
      <c r="BO54" s="37" t="n">
        <f aca="false">(BO14=1)*①통합_가정!$G$38*①통합_가정!$E$195*①통합_가정!$E$184/1000*(1+①통합_가정!$E$188)^(MAX(BO16,1)-1)</f>
        <v>147.5596</v>
      </c>
      <c r="BP54" s="37" t="n">
        <f aca="false">(BP14=1)*①통합_가정!$G$38*①통합_가정!$E$195*①통합_가정!$E$184/1000*(1+①통합_가정!$E$188)^(MAX(BP16,1)-1)</f>
        <v>147.5596</v>
      </c>
      <c r="BQ54" s="37" t="n">
        <f aca="false">(BQ14=1)*①통합_가정!$G$38*①통합_가정!$E$195*①통합_가정!$E$184/1000*(1+①통합_가정!$E$188)^(MAX(BQ16,1)-1)</f>
        <v>147.5596</v>
      </c>
      <c r="BR54" s="37" t="n">
        <f aca="false">(BR14=1)*①통합_가정!$G$38*①통합_가정!$E$195*①통합_가정!$E$184/1000*(1+①통합_가정!$E$188)^(MAX(BR16,1)-1)</f>
        <v>147.5596</v>
      </c>
      <c r="BS54" s="37" t="n">
        <f aca="false">(BS14=1)*①통합_가정!$G$38*①통합_가정!$E$195*①통합_가정!$E$184/1000*(1+①통합_가정!$E$188)^(MAX(BS16,1)-1)</f>
        <v>147.5596</v>
      </c>
      <c r="BT54" s="37" t="n">
        <f aca="false">(BT14=1)*①통합_가정!$G$38*①통합_가정!$E$195*①통합_가정!$E$184/1000*(1+①통합_가정!$E$188)^(MAX(BT16,1)-1)</f>
        <v>147.5596</v>
      </c>
      <c r="BU54" s="37" t="n">
        <f aca="false">(BU14=1)*①통합_가정!$G$38*①통합_가정!$E$195*①통합_가정!$E$184/1000*(1+①통합_가정!$E$188)^(MAX(BU16,1)-1)</f>
        <v>147.5596</v>
      </c>
      <c r="BV54" s="37" t="n">
        <f aca="false">(BV14=1)*①통합_가정!$G$38*①통합_가정!$E$195*①통합_가정!$E$184/1000*(1+①통합_가정!$E$188)^(MAX(BV16,1)-1)</f>
        <v>147.5596</v>
      </c>
      <c r="BW54" s="37" t="n">
        <f aca="false">(BW14=1)*①통합_가정!$G$38*①통합_가정!$E$195*①통합_가정!$E$184/1000*(1+①통합_가정!$E$188)^(MAX(BW16,1)-1)</f>
        <v>147.5596</v>
      </c>
      <c r="BX54" s="37" t="n">
        <f aca="false">(BX14=1)*①통합_가정!$G$38*①통합_가정!$E$195*①통합_가정!$E$184/1000*(1+①통합_가정!$E$188)^(MAX(BX16,1)-1)</f>
        <v>147.5596</v>
      </c>
      <c r="BY54" s="37" t="n">
        <f aca="false">(BY14=1)*①통합_가정!$G$38*①통합_가정!$E$195*①통합_가정!$E$184/1000*(1+①통합_가정!$E$188)^(MAX(BY16,1)-1)</f>
        <v>150.510792</v>
      </c>
      <c r="BZ54" s="37" t="n">
        <f aca="false">(BZ14=1)*①통합_가정!$G$38*①통합_가정!$E$195*①통합_가정!$E$184/1000*(1+①통합_가정!$E$188)^(MAX(BZ16,1)-1)</f>
        <v>150.510792</v>
      </c>
      <c r="CA54" s="37" t="n">
        <f aca="false">(CA14=1)*①통합_가정!$G$38*①통합_가정!$E$195*①통합_가정!$E$184/1000*(1+①통합_가정!$E$188)^(MAX(CA16,1)-1)</f>
        <v>150.510792</v>
      </c>
      <c r="CB54" s="37" t="n">
        <f aca="false">(CB14=1)*①통합_가정!$G$38*①통합_가정!$E$195*①통합_가정!$E$184/1000*(1+①통합_가정!$E$188)^(MAX(CB16,1)-1)</f>
        <v>150.510792</v>
      </c>
      <c r="CC54" s="37" t="n">
        <f aca="false">(CC14=1)*①통합_가정!$G$38*①통합_가정!$E$195*①통합_가정!$E$184/1000*(1+①통합_가정!$E$188)^(MAX(CC16,1)-1)</f>
        <v>150.510792</v>
      </c>
      <c r="CD54" s="37" t="n">
        <f aca="false">(CD14=1)*①통합_가정!$G$38*①통합_가정!$E$195*①통합_가정!$E$184/1000*(1+①통합_가정!$E$188)^(MAX(CD16,1)-1)</f>
        <v>150.510792</v>
      </c>
      <c r="CE54" s="37" t="n">
        <f aca="false">(CE14=1)*①통합_가정!$G$38*①통합_가정!$E$195*①통합_가정!$E$184/1000*(1+①통합_가정!$E$188)^(MAX(CE16,1)-1)</f>
        <v>150.510792</v>
      </c>
      <c r="CF54" s="37" t="n">
        <f aca="false">(CF14=1)*①통합_가정!$G$38*①통합_가정!$E$195*①통합_가정!$E$184/1000*(1+①통합_가정!$E$188)^(MAX(CF16,1)-1)</f>
        <v>150.510792</v>
      </c>
      <c r="CG54" s="37" t="n">
        <f aca="false">(CG14=1)*①통합_가정!$G$38*①통합_가정!$E$195*①통합_가정!$E$184/1000*(1+①통합_가정!$E$188)^(MAX(CG16,1)-1)</f>
        <v>150.510792</v>
      </c>
      <c r="CH54" s="37" t="n">
        <f aca="false">(CH14=1)*①통합_가정!$G$38*①통합_가정!$E$195*①통합_가정!$E$184/1000*(1+①통합_가정!$E$188)^(MAX(CH16,1)-1)</f>
        <v>150.510792</v>
      </c>
      <c r="CI54" s="37" t="n">
        <f aca="false">(CI14=1)*①통합_가정!$G$38*①통합_가정!$E$195*①통합_가정!$E$184/1000*(1+①통합_가정!$E$188)^(MAX(CI16,1)-1)</f>
        <v>150.510792</v>
      </c>
      <c r="CJ54" s="37" t="n">
        <f aca="false">(CJ14=1)*①통합_가정!$G$38*①통합_가정!$E$195*①통합_가정!$E$184/1000*(1+①통합_가정!$E$188)^(MAX(CJ16,1)-1)</f>
        <v>150.510792</v>
      </c>
      <c r="CK54" s="37" t="n">
        <f aca="false">(CK14=1)*①통합_가정!$G$38*①통합_가정!$E$195*①통합_가정!$E$184/1000*(1+①통합_가정!$E$188)^(MAX(CK16,1)-1)</f>
        <v>153.52100784</v>
      </c>
      <c r="CL54" s="37" t="n">
        <f aca="false">(CL14=1)*①통합_가정!$G$38*①통합_가정!$E$195*①통합_가정!$E$184/1000*(1+①통합_가정!$E$188)^(MAX(CL16,1)-1)</f>
        <v>153.52100784</v>
      </c>
      <c r="CM54" s="37" t="n">
        <f aca="false">(CM14=1)*①통합_가정!$G$38*①통합_가정!$E$195*①통합_가정!$E$184/1000*(1+①통합_가정!$E$188)^(MAX(CM16,1)-1)</f>
        <v>153.52100784</v>
      </c>
      <c r="CN54" s="37" t="n">
        <f aca="false">(CN14=1)*①통합_가정!$G$38*①통합_가정!$E$195*①통합_가정!$E$184/1000*(1+①통합_가정!$E$188)^(MAX(CN16,1)-1)</f>
        <v>153.52100784</v>
      </c>
      <c r="CO54" s="37" t="n">
        <f aca="false">(CO14=1)*①통합_가정!$G$38*①통합_가정!$E$195*①통합_가정!$E$184/1000*(1+①통합_가정!$E$188)^(MAX(CO16,1)-1)</f>
        <v>153.52100784</v>
      </c>
      <c r="CP54" s="37" t="n">
        <f aca="false">(CP14=1)*①통합_가정!$G$38*①통합_가정!$E$195*①통합_가정!$E$184/1000*(1+①통합_가정!$E$188)^(MAX(CP16,1)-1)</f>
        <v>153.52100784</v>
      </c>
      <c r="CQ54" s="37" t="n">
        <f aca="false">(CQ14=1)*①통합_가정!$G$38*①통합_가정!$E$195*①통합_가정!$E$184/1000*(1+①통합_가정!$E$188)^(MAX(CQ16,1)-1)</f>
        <v>153.52100784</v>
      </c>
      <c r="CR54" s="37" t="n">
        <f aca="false">(CR14=1)*①통합_가정!$G$38*①통합_가정!$E$195*①통합_가정!$E$184/1000*(1+①통합_가정!$E$188)^(MAX(CR16,1)-1)</f>
        <v>153.52100784</v>
      </c>
      <c r="CS54" s="37" t="n">
        <f aca="false">(CS14=1)*①통합_가정!$G$38*①통합_가정!$E$195*①통합_가정!$E$184/1000*(1+①통합_가정!$E$188)^(MAX(CS16,1)-1)</f>
        <v>153.52100784</v>
      </c>
      <c r="CT54" s="37" t="n">
        <f aca="false">(CT14=1)*①통합_가정!$G$38*①통합_가정!$E$195*①통합_가정!$E$184/1000*(1+①통합_가정!$E$188)^(MAX(CT16,1)-1)</f>
        <v>153.52100784</v>
      </c>
      <c r="CU54" s="37" t="n">
        <f aca="false">(CU14=1)*①통합_가정!$G$38*①통합_가정!$E$195*①통합_가정!$E$184/1000*(1+①통합_가정!$E$188)^(MAX(CU16,1)-1)</f>
        <v>153.52100784</v>
      </c>
      <c r="CV54" s="37" t="n">
        <f aca="false">(CV14=1)*①통합_가정!$G$38*①통합_가정!$E$195*①통합_가정!$E$184/1000*(1+①통합_가정!$E$188)^(MAX(CV16,1)-1)</f>
        <v>153.52100784</v>
      </c>
      <c r="CW54" s="37" t="n">
        <f aca="false">(CW14=1)*①통합_가정!$G$38*①통합_가정!$E$195*①통합_가정!$E$184/1000*(1+①통합_가정!$E$188)^(MAX(CW16,1)-1)</f>
        <v>156.5914279968</v>
      </c>
      <c r="CX54" s="37" t="n">
        <f aca="false">(CX14=1)*①통합_가정!$G$38*①통합_가정!$E$195*①통합_가정!$E$184/1000*(1+①통합_가정!$E$188)^(MAX(CX16,1)-1)</f>
        <v>156.5914279968</v>
      </c>
      <c r="CY54" s="37" t="n">
        <f aca="false">(CY14=1)*①통합_가정!$G$38*①통합_가정!$E$195*①통합_가정!$E$184/1000*(1+①통합_가정!$E$188)^(MAX(CY16,1)-1)</f>
        <v>156.5914279968</v>
      </c>
      <c r="CZ54" s="37" t="n">
        <f aca="false">(CZ14=1)*①통합_가정!$G$38*①통합_가정!$E$195*①통합_가정!$E$184/1000*(1+①통합_가정!$E$188)^(MAX(CZ16,1)-1)</f>
        <v>156.5914279968</v>
      </c>
      <c r="DA54" s="37" t="n">
        <f aca="false">(DA14=1)*①통합_가정!$G$38*①통합_가정!$E$195*①통합_가정!$E$184/1000*(1+①통합_가정!$E$188)^(MAX(DA16,1)-1)</f>
        <v>156.5914279968</v>
      </c>
      <c r="DB54" s="37" t="n">
        <f aca="false">(DB14=1)*①통합_가정!$G$38*①통합_가정!$E$195*①통합_가정!$E$184/1000*(1+①통합_가정!$E$188)^(MAX(DB16,1)-1)</f>
        <v>156.5914279968</v>
      </c>
      <c r="DC54" s="37" t="n">
        <f aca="false">(DC14=1)*①통합_가정!$G$38*①통합_가정!$E$195*①통합_가정!$E$184/1000*(1+①통합_가정!$E$188)^(MAX(DC16,1)-1)</f>
        <v>156.5914279968</v>
      </c>
      <c r="DD54" s="37" t="n">
        <f aca="false">(DD14=1)*①통합_가정!$G$38*①통합_가정!$E$195*①통합_가정!$E$184/1000*(1+①통합_가정!$E$188)^(MAX(DD16,1)-1)</f>
        <v>156.5914279968</v>
      </c>
      <c r="DE54" s="37" t="n">
        <f aca="false">(DE14=1)*①통합_가정!$G$38*①통합_가정!$E$195*①통합_가정!$E$184/1000*(1+①통합_가정!$E$188)^(MAX(DE16,1)-1)</f>
        <v>156.5914279968</v>
      </c>
      <c r="DF54" s="37" t="n">
        <f aca="false">(DF14=1)*①통합_가정!$G$38*①통합_가정!$E$195*①통합_가정!$E$184/1000*(1+①통합_가정!$E$188)^(MAX(DF16,1)-1)</f>
        <v>156.5914279968</v>
      </c>
      <c r="DG54" s="37" t="n">
        <f aca="false">(DG14=1)*①통합_가정!$G$38*①통합_가정!$E$195*①통합_가정!$E$184/1000*(1+①통합_가정!$E$188)^(MAX(DG16,1)-1)</f>
        <v>156.5914279968</v>
      </c>
      <c r="DH54" s="37" t="n">
        <f aca="false">(DH14=1)*①통합_가정!$G$38*①통합_가정!$E$195*①통합_가정!$E$184/1000*(1+①통합_가정!$E$188)^(MAX(DH16,1)-1)</f>
        <v>156.5914279968</v>
      </c>
      <c r="DI54" s="37" t="n">
        <f aca="false">(DI14=1)*①통합_가정!$G$38*①통합_가정!$E$195*①통합_가정!$E$184/1000*(1+①통합_가정!$E$188)^(MAX(DI16,1)-1)</f>
        <v>159.723256556736</v>
      </c>
      <c r="DJ54" s="37" t="n">
        <f aca="false">(DJ14=1)*①통합_가정!$G$38*①통합_가정!$E$195*①통합_가정!$E$184/1000*(1+①통합_가정!$E$188)^(MAX(DJ16,1)-1)</f>
        <v>159.723256556736</v>
      </c>
      <c r="DK54" s="37" t="n">
        <f aca="false">(DK14=1)*①통합_가정!$G$38*①통합_가정!$E$195*①통합_가정!$E$184/1000*(1+①통합_가정!$E$188)^(MAX(DK16,1)-1)</f>
        <v>159.723256556736</v>
      </c>
      <c r="DL54" s="37" t="n">
        <f aca="false">(DL14=1)*①통합_가정!$G$38*①통합_가정!$E$195*①통합_가정!$E$184/1000*(1+①통합_가정!$E$188)^(MAX(DL16,1)-1)</f>
        <v>159.723256556736</v>
      </c>
      <c r="DM54" s="37" t="n">
        <f aca="false">(DM14=1)*①통합_가정!$G$38*①통합_가정!$E$195*①통합_가정!$E$184/1000*(1+①통합_가정!$E$188)^(MAX(DM16,1)-1)</f>
        <v>159.723256556736</v>
      </c>
      <c r="DN54" s="37" t="n">
        <f aca="false">(DN14=1)*①통합_가정!$G$38*①통합_가정!$E$195*①통합_가정!$E$184/1000*(1+①통합_가정!$E$188)^(MAX(DN16,1)-1)</f>
        <v>159.723256556736</v>
      </c>
      <c r="DO54" s="37" t="n">
        <f aca="false">(DO14=1)*①통합_가정!$G$38*①통합_가정!$E$195*①통합_가정!$E$184/1000*(1+①통합_가정!$E$188)^(MAX(DO16,1)-1)</f>
        <v>159.723256556736</v>
      </c>
      <c r="DP54" s="37" t="n">
        <f aca="false">(DP14=1)*①통합_가정!$G$38*①통합_가정!$E$195*①통합_가정!$E$184/1000*(1+①통합_가정!$E$188)^(MAX(DP16,1)-1)</f>
        <v>159.723256556736</v>
      </c>
      <c r="DQ54" s="37" t="n">
        <f aca="false">(DQ14=1)*①통합_가정!$G$38*①통합_가정!$E$195*①통합_가정!$E$184/1000*(1+①통합_가정!$E$188)^(MAX(DQ16,1)-1)</f>
        <v>159.723256556736</v>
      </c>
      <c r="DR54" s="37" t="n">
        <f aca="false">(DR14=1)*①통합_가정!$G$38*①통합_가정!$E$195*①통합_가정!$E$184/1000*(1+①통합_가정!$E$188)^(MAX(DR16,1)-1)</f>
        <v>159.723256556736</v>
      </c>
      <c r="DS54" s="37" t="n">
        <f aca="false">(DS14=1)*①통합_가정!$G$38*①통합_가정!$E$195*①통합_가정!$E$184/1000*(1+①통합_가정!$E$188)^(MAX(DS16,1)-1)</f>
        <v>159.723256556736</v>
      </c>
      <c r="DT54" s="37" t="n">
        <f aca="false">(DT14=1)*①통합_가정!$G$38*①통합_가정!$E$195*①통합_가정!$E$184/1000*(1+①통합_가정!$E$188)^(MAX(DT16,1)-1)</f>
        <v>159.723256556736</v>
      </c>
      <c r="DU54" s="37" t="n">
        <f aca="false">(DU14=1)*①통합_가정!$G$38*①통합_가정!$E$195*①통합_가정!$E$184/1000*(1+①통합_가정!$E$188)^(MAX(DU16,1)-1)</f>
        <v>0</v>
      </c>
      <c r="DV54" s="37" t="n">
        <f aca="false">(DV14=1)*①통합_가정!$G$38*①통합_가정!$E$195*①통합_가정!$E$184/1000*(1+①통합_가정!$E$188)^(MAX(DV16,1)-1)</f>
        <v>0</v>
      </c>
      <c r="DW54" s="37" t="n">
        <f aca="false">(DW14=1)*①통합_가정!$G$38*①통합_가정!$E$195*①통합_가정!$E$184/1000*(1+①통합_가정!$E$188)^(MAX(DW16,1)-1)</f>
        <v>0</v>
      </c>
      <c r="DX54" s="37" t="n">
        <f aca="false">(DX14=1)*①통합_가정!$G$38*①통합_가정!$E$195*①통합_가정!$E$184/1000*(1+①통합_가정!$E$188)^(MAX(DX16,1)-1)</f>
        <v>0</v>
      </c>
      <c r="DY54" s="37" t="n">
        <f aca="false">(DY14=1)*①통합_가정!$G$38*①통합_가정!$E$195*①통합_가정!$E$184/1000*(1+①통합_가정!$E$188)^(MAX(DY16,1)-1)</f>
        <v>0</v>
      </c>
      <c r="DZ54" s="37" t="n">
        <f aca="false">(DZ14=1)*①통합_가정!$G$38*①통합_가정!$E$195*①통합_가정!$E$184/1000*(1+①통합_가정!$E$188)^(MAX(DZ16,1)-1)</f>
        <v>0</v>
      </c>
      <c r="EA54" s="37" t="n">
        <f aca="false">(EA14=1)*①통합_가정!$G$38*①통합_가정!$E$195*①통합_가정!$E$184/1000*(1+①통합_가정!$E$188)^(MAX(EA16,1)-1)</f>
        <v>0</v>
      </c>
      <c r="EB54" s="37" t="n">
        <f aca="false">(EB14=1)*①통합_가정!$G$38*①통합_가정!$E$195*①통합_가정!$E$184/1000*(1+①통합_가정!$E$188)^(MAX(EB16,1)-1)</f>
        <v>0</v>
      </c>
      <c r="EC54" s="37" t="n">
        <f aca="false">(EC14=1)*①통합_가정!$G$38*①통합_가정!$E$195*①통합_가정!$E$184/1000*(1+①통합_가정!$E$188)^(MAX(EC16,1)-1)</f>
        <v>0</v>
      </c>
      <c r="ED54" s="37" t="n">
        <f aca="false">(ED14=1)*①통합_가정!$G$38*①통합_가정!$E$195*①통합_가정!$E$184/1000*(1+①통합_가정!$E$188)^(MAX(ED16,1)-1)</f>
        <v>0</v>
      </c>
      <c r="EE54" s="37" t="n">
        <f aca="false">(EE14=1)*①통합_가정!$G$38*①통합_가정!$E$195*①통합_가정!$E$184/1000*(1+①통합_가정!$E$188)^(MAX(EE16,1)-1)</f>
        <v>0</v>
      </c>
      <c r="EF54" s="37" t="n">
        <f aca="false">(EF14=1)*①통합_가정!$G$38*①통합_가정!$E$195*①통합_가정!$E$184/1000*(1+①통합_가정!$E$188)^(MAX(EF16,1)-1)</f>
        <v>0</v>
      </c>
    </row>
    <row r="55" customFormat="false" ht="15" hidden="false" customHeight="false" outlineLevel="0" collapsed="false">
      <c r="A55" s="36" t="s">
        <v>603</v>
      </c>
      <c r="B55" s="278" t="s">
        <v>21</v>
      </c>
      <c r="C55" s="279" t="n">
        <f aca="false">SUM(E55:EF55)</f>
        <v>0</v>
      </c>
      <c r="E55" s="37" t="n">
        <f aca="false">E36*①통합_가정!$E$210+E37*①통합_가정!$E$223+E38*①통합_가정!$E$236+E39*①통합_가정!$E$249+E40*①통합_가정!$E$262</f>
        <v>0</v>
      </c>
      <c r="F55" s="37" t="n">
        <f aca="false">F36*①통합_가정!$E$210+F37*①통합_가정!$E$223+F38*①통합_가정!$E$236+F39*①통합_가정!$E$249+F40*①통합_가정!$E$262</f>
        <v>0</v>
      </c>
      <c r="G55" s="37" t="n">
        <f aca="false">G36*①통합_가정!$E$210+G37*①통합_가정!$E$223+G38*①통합_가정!$E$236+G39*①통합_가정!$E$249+G40*①통합_가정!$E$262</f>
        <v>0</v>
      </c>
      <c r="H55" s="37" t="n">
        <f aca="false">H36*①통합_가정!$E$210+H37*①통합_가정!$E$223+H38*①통합_가정!$E$236+H39*①통합_가정!$E$249+H40*①통합_가정!$E$262</f>
        <v>0</v>
      </c>
      <c r="I55" s="37" t="n">
        <f aca="false">I36*①통합_가정!$E$210+I37*①통합_가정!$E$223+I38*①통합_가정!$E$236+I39*①통합_가정!$E$249+I40*①통합_가정!$E$262</f>
        <v>0</v>
      </c>
      <c r="J55" s="37" t="n">
        <f aca="false">J36*①통합_가정!$E$210+J37*①통합_가정!$E$223+J38*①통합_가정!$E$236+J39*①통합_가정!$E$249+J40*①통합_가정!$E$262</f>
        <v>0</v>
      </c>
      <c r="K55" s="37" t="n">
        <f aca="false">K36*①통합_가정!$E$210+K37*①통합_가정!$E$223+K38*①통합_가정!$E$236+K39*①통합_가정!$E$249+K40*①통합_가정!$E$262</f>
        <v>0</v>
      </c>
      <c r="L55" s="37" t="n">
        <f aca="false">L36*①통합_가정!$E$210+L37*①통합_가정!$E$223+L38*①통합_가정!$E$236+L39*①통합_가정!$E$249+L40*①통합_가정!$E$262</f>
        <v>0</v>
      </c>
      <c r="M55" s="37" t="n">
        <f aca="false">M36*①통합_가정!$E$210+M37*①통합_가정!$E$223+M38*①통합_가정!$E$236+M39*①통합_가정!$E$249+M40*①통합_가정!$E$262</f>
        <v>0</v>
      </c>
      <c r="N55" s="37" t="n">
        <f aca="false">N36*①통합_가정!$E$210+N37*①통합_가정!$E$223+N38*①통합_가정!$E$236+N39*①통합_가정!$E$249+N40*①통합_가정!$E$262</f>
        <v>0</v>
      </c>
      <c r="O55" s="37" t="n">
        <f aca="false">O36*①통합_가정!$E$210+O37*①통합_가정!$E$223+O38*①통합_가정!$E$236+O39*①통합_가정!$E$249+O40*①통합_가정!$E$262</f>
        <v>0</v>
      </c>
      <c r="P55" s="37" t="n">
        <f aca="false">P36*①통합_가정!$E$210+P37*①통합_가정!$E$223+P38*①통합_가정!$E$236+P39*①통합_가정!$E$249+P40*①통합_가정!$E$262</f>
        <v>0</v>
      </c>
      <c r="Q55" s="37" t="n">
        <f aca="false">Q36*①통합_가정!$E$210+Q37*①통합_가정!$E$223+Q38*①통합_가정!$E$236+Q39*①통합_가정!$E$249+Q40*①통합_가정!$E$262</f>
        <v>0</v>
      </c>
      <c r="R55" s="37" t="n">
        <f aca="false">R36*①통합_가정!$E$210+R37*①통합_가정!$E$223+R38*①통합_가정!$E$236+R39*①통합_가정!$E$249+R40*①통합_가정!$E$262</f>
        <v>0</v>
      </c>
      <c r="S55" s="37" t="n">
        <f aca="false">S36*①통합_가정!$E$210+S37*①통합_가정!$E$223+S38*①통합_가정!$E$236+S39*①통합_가정!$E$249+S40*①통합_가정!$E$262</f>
        <v>0</v>
      </c>
      <c r="T55" s="37" t="n">
        <f aca="false">T36*①통합_가정!$E$210+T37*①통합_가정!$E$223+T38*①통합_가정!$E$236+T39*①통합_가정!$E$249+T40*①통합_가정!$E$262</f>
        <v>0</v>
      </c>
      <c r="U55" s="37" t="n">
        <f aca="false">U36*①통합_가정!$E$210+U37*①통합_가정!$E$223+U38*①통합_가정!$E$236+U39*①통합_가정!$E$249+U40*①통합_가정!$E$262</f>
        <v>0</v>
      </c>
      <c r="V55" s="37" t="n">
        <f aca="false">V36*①통합_가정!$E$210+V37*①통합_가정!$E$223+V38*①통합_가정!$E$236+V39*①통합_가정!$E$249+V40*①통합_가정!$E$262</f>
        <v>0</v>
      </c>
      <c r="W55" s="37" t="n">
        <f aca="false">W36*①통합_가정!$E$210+W37*①통합_가정!$E$223+W38*①통합_가정!$E$236+W39*①통합_가정!$E$249+W40*①통합_가정!$E$262</f>
        <v>0</v>
      </c>
      <c r="X55" s="37" t="n">
        <f aca="false">X36*①통합_가정!$E$210+X37*①통합_가정!$E$223+X38*①통합_가정!$E$236+X39*①통합_가정!$E$249+X40*①통합_가정!$E$262</f>
        <v>0</v>
      </c>
      <c r="Y55" s="37" t="n">
        <f aca="false">Y36*①통합_가정!$E$210+Y37*①통합_가정!$E$223+Y38*①통합_가정!$E$236+Y39*①통합_가정!$E$249+Y40*①통합_가정!$E$262</f>
        <v>0</v>
      </c>
      <c r="Z55" s="37" t="n">
        <f aca="false">Z36*①통합_가정!$E$210+Z37*①통합_가정!$E$223+Z38*①통합_가정!$E$236+Z39*①통합_가정!$E$249+Z40*①통합_가정!$E$262</f>
        <v>0</v>
      </c>
      <c r="AA55" s="37" t="n">
        <f aca="false">AA36*①통합_가정!$E$210+AA37*①통합_가정!$E$223+AA38*①통합_가정!$E$236+AA39*①통합_가정!$E$249+AA40*①통합_가정!$E$262</f>
        <v>0</v>
      </c>
      <c r="AB55" s="37" t="n">
        <f aca="false">AB36*①통합_가정!$E$210+AB37*①통합_가정!$E$223+AB38*①통합_가정!$E$236+AB39*①통합_가정!$E$249+AB40*①통합_가정!$E$262</f>
        <v>0</v>
      </c>
      <c r="AC55" s="37" t="n">
        <f aca="false">AC36*①통합_가정!$E$210+AC37*①통합_가정!$E$223+AC38*①통합_가정!$E$236+AC39*①통합_가정!$E$249+AC40*①통합_가정!$E$262</f>
        <v>0</v>
      </c>
      <c r="AD55" s="37" t="n">
        <f aca="false">AD36*①통합_가정!$E$210+AD37*①통합_가정!$E$223+AD38*①통합_가정!$E$236+AD39*①통합_가정!$E$249+AD40*①통합_가정!$E$262</f>
        <v>0</v>
      </c>
      <c r="AE55" s="37" t="n">
        <f aca="false">AE36*①통합_가정!$E$210+AE37*①통합_가정!$E$223+AE38*①통합_가정!$E$236+AE39*①통합_가정!$E$249+AE40*①통합_가정!$E$262</f>
        <v>0</v>
      </c>
      <c r="AF55" s="37" t="n">
        <f aca="false">AF36*①통합_가정!$E$210+AF37*①통합_가정!$E$223+AF38*①통합_가정!$E$236+AF39*①통합_가정!$E$249+AF40*①통합_가정!$E$262</f>
        <v>0</v>
      </c>
      <c r="AG55" s="37" t="n">
        <f aca="false">AG36*①통합_가정!$E$210+AG37*①통합_가정!$E$223+AG38*①통합_가정!$E$236+AG39*①통합_가정!$E$249+AG40*①통합_가정!$E$262</f>
        <v>0</v>
      </c>
      <c r="AH55" s="37" t="n">
        <f aca="false">AH36*①통합_가정!$E$210+AH37*①통합_가정!$E$223+AH38*①통합_가정!$E$236+AH39*①통합_가정!$E$249+AH40*①통합_가정!$E$262</f>
        <v>0</v>
      </c>
      <c r="AI55" s="37" t="n">
        <f aca="false">AI36*①통합_가정!$E$210+AI37*①통합_가정!$E$223+AI38*①통합_가정!$E$236+AI39*①통합_가정!$E$249+AI40*①통합_가정!$E$262</f>
        <v>0</v>
      </c>
      <c r="AJ55" s="37" t="n">
        <f aca="false">AJ36*①통합_가정!$E$210+AJ37*①통합_가정!$E$223+AJ38*①통합_가정!$E$236+AJ39*①통합_가정!$E$249+AJ40*①통합_가정!$E$262</f>
        <v>0</v>
      </c>
      <c r="AK55" s="37" t="n">
        <f aca="false">AK36*①통합_가정!$E$210+AK37*①통합_가정!$E$223+AK38*①통합_가정!$E$236+AK39*①통합_가정!$E$249+AK40*①통합_가정!$E$262</f>
        <v>0</v>
      </c>
      <c r="AL55" s="37" t="n">
        <f aca="false">AL36*①통합_가정!$E$210+AL37*①통합_가정!$E$223+AL38*①통합_가정!$E$236+AL39*①통합_가정!$E$249+AL40*①통합_가정!$E$262</f>
        <v>0</v>
      </c>
      <c r="AM55" s="37" t="n">
        <f aca="false">AM36*①통합_가정!$E$210+AM37*①통합_가정!$E$223+AM38*①통합_가정!$E$236+AM39*①통합_가정!$E$249+AM40*①통합_가정!$E$262</f>
        <v>0</v>
      </c>
      <c r="AN55" s="37" t="n">
        <f aca="false">AN36*①통합_가정!$E$210+AN37*①통합_가정!$E$223+AN38*①통합_가정!$E$236+AN39*①통합_가정!$E$249+AN40*①통합_가정!$E$262</f>
        <v>0</v>
      </c>
      <c r="AO55" s="37" t="n">
        <f aca="false">AO36*①통합_가정!$E$210+AO37*①통합_가정!$E$223+AO38*①통합_가정!$E$236+AO39*①통합_가정!$E$249+AO40*①통합_가정!$E$262</f>
        <v>0</v>
      </c>
      <c r="AP55" s="37" t="n">
        <f aca="false">AP36*①통합_가정!$E$210+AP37*①통합_가정!$E$223+AP38*①통합_가정!$E$236+AP39*①통합_가정!$E$249+AP40*①통합_가정!$E$262</f>
        <v>0</v>
      </c>
      <c r="AQ55" s="37" t="n">
        <f aca="false">AQ36*①통합_가정!$E$210+AQ37*①통합_가정!$E$223+AQ38*①통합_가정!$E$236+AQ39*①통합_가정!$E$249+AQ40*①통합_가정!$E$262</f>
        <v>0</v>
      </c>
      <c r="AR55" s="37" t="n">
        <f aca="false">AR36*①통합_가정!$E$210+AR37*①통합_가정!$E$223+AR38*①통합_가정!$E$236+AR39*①통합_가정!$E$249+AR40*①통합_가정!$E$262</f>
        <v>0</v>
      </c>
      <c r="AS55" s="37" t="n">
        <f aca="false">AS36*①통합_가정!$E$210+AS37*①통합_가정!$E$223+AS38*①통합_가정!$E$236+AS39*①통합_가정!$E$249+AS40*①통합_가정!$E$262</f>
        <v>0</v>
      </c>
      <c r="AT55" s="37" t="n">
        <f aca="false">AT36*①통합_가정!$E$210+AT37*①통합_가정!$E$223+AT38*①통합_가정!$E$236+AT39*①통합_가정!$E$249+AT40*①통합_가정!$E$262</f>
        <v>0</v>
      </c>
      <c r="AU55" s="37" t="n">
        <f aca="false">AU36*①통합_가정!$E$210+AU37*①통합_가정!$E$223+AU38*①통합_가정!$E$236+AU39*①통합_가정!$E$249+AU40*①통합_가정!$E$262</f>
        <v>0</v>
      </c>
      <c r="AV55" s="37" t="n">
        <f aca="false">AV36*①통합_가정!$E$210+AV37*①통합_가정!$E$223+AV38*①통합_가정!$E$236+AV39*①통합_가정!$E$249+AV40*①통합_가정!$E$262</f>
        <v>0</v>
      </c>
      <c r="AW55" s="37" t="n">
        <f aca="false">AW36*①통합_가정!$E$210+AW37*①통합_가정!$E$223+AW38*①통합_가정!$E$236+AW39*①통합_가정!$E$249+AW40*①통합_가정!$E$262</f>
        <v>0</v>
      </c>
      <c r="AX55" s="37" t="n">
        <f aca="false">AX36*①통합_가정!$E$210+AX37*①통합_가정!$E$223+AX38*①통합_가정!$E$236+AX39*①통합_가정!$E$249+AX40*①통합_가정!$E$262</f>
        <v>0</v>
      </c>
      <c r="AY55" s="37" t="n">
        <f aca="false">AY36*①통합_가정!$E$210+AY37*①통합_가정!$E$223+AY38*①통합_가정!$E$236+AY39*①통합_가정!$E$249+AY40*①통합_가정!$E$262</f>
        <v>0</v>
      </c>
      <c r="AZ55" s="37" t="n">
        <f aca="false">AZ36*①통합_가정!$E$210+AZ37*①통합_가정!$E$223+AZ38*①통합_가정!$E$236+AZ39*①통합_가정!$E$249+AZ40*①통합_가정!$E$262</f>
        <v>0</v>
      </c>
      <c r="BA55" s="37" t="n">
        <f aca="false">BA36*①통합_가정!$E$210+BA37*①통합_가정!$E$223+BA38*①통합_가정!$E$236+BA39*①통합_가정!$E$249+BA40*①통합_가정!$E$262</f>
        <v>0</v>
      </c>
      <c r="BB55" s="37" t="n">
        <f aca="false">BB36*①통합_가정!$E$210+BB37*①통합_가정!$E$223+BB38*①통합_가정!$E$236+BB39*①통합_가정!$E$249+BB40*①통합_가정!$E$262</f>
        <v>0</v>
      </c>
      <c r="BC55" s="37" t="n">
        <f aca="false">BC36*①통합_가정!$E$210+BC37*①통합_가정!$E$223+BC38*①통합_가정!$E$236+BC39*①통합_가정!$E$249+BC40*①통합_가정!$E$262</f>
        <v>0</v>
      </c>
      <c r="BD55" s="37" t="n">
        <f aca="false">BD36*①통합_가정!$E$210+BD37*①통합_가정!$E$223+BD38*①통합_가정!$E$236+BD39*①통합_가정!$E$249+BD40*①통합_가정!$E$262</f>
        <v>0</v>
      </c>
      <c r="BE55" s="37" t="n">
        <f aca="false">BE36*①통합_가정!$E$210+BE37*①통합_가정!$E$223+BE38*①통합_가정!$E$236+BE39*①통합_가정!$E$249+BE40*①통합_가정!$E$262</f>
        <v>0</v>
      </c>
      <c r="BF55" s="37" t="n">
        <f aca="false">BF36*①통합_가정!$E$210+BF37*①통합_가정!$E$223+BF38*①통합_가정!$E$236+BF39*①통합_가정!$E$249+BF40*①통합_가정!$E$262</f>
        <v>0</v>
      </c>
      <c r="BG55" s="37" t="n">
        <f aca="false">BG36*①통합_가정!$E$210+BG37*①통합_가정!$E$223+BG38*①통합_가정!$E$236+BG39*①통합_가정!$E$249+BG40*①통합_가정!$E$262</f>
        <v>0</v>
      </c>
      <c r="BH55" s="37" t="n">
        <f aca="false">BH36*①통합_가정!$E$210+BH37*①통합_가정!$E$223+BH38*①통합_가정!$E$236+BH39*①통합_가정!$E$249+BH40*①통합_가정!$E$262</f>
        <v>0</v>
      </c>
      <c r="BI55" s="37" t="n">
        <f aca="false">BI36*①통합_가정!$E$210+BI37*①통합_가정!$E$223+BI38*①통합_가정!$E$236+BI39*①통합_가정!$E$249+BI40*①통합_가정!$E$262</f>
        <v>0</v>
      </c>
      <c r="BJ55" s="37" t="n">
        <f aca="false">BJ36*①통합_가정!$E$210+BJ37*①통합_가정!$E$223+BJ38*①통합_가정!$E$236+BJ39*①통합_가정!$E$249+BJ40*①통합_가정!$E$262</f>
        <v>0</v>
      </c>
      <c r="BK55" s="37" t="n">
        <f aca="false">BK36*①통합_가정!$E$210+BK37*①통합_가정!$E$223+BK38*①통합_가정!$E$236+BK39*①통합_가정!$E$249+BK40*①통합_가정!$E$262</f>
        <v>0</v>
      </c>
      <c r="BL55" s="37" t="n">
        <f aca="false">BL36*①통합_가정!$E$210+BL37*①통합_가정!$E$223+BL38*①통합_가정!$E$236+BL39*①통합_가정!$E$249+BL40*①통합_가정!$E$262</f>
        <v>0</v>
      </c>
      <c r="BM55" s="37" t="n">
        <f aca="false">BM36*①통합_가정!$E$210+BM37*①통합_가정!$E$223+BM38*①통합_가정!$E$236+BM39*①통합_가정!$E$249+BM40*①통합_가정!$E$262</f>
        <v>0</v>
      </c>
      <c r="BN55" s="37" t="n">
        <f aca="false">BN36*①통합_가정!$E$210+BN37*①통합_가정!$E$223+BN38*①통합_가정!$E$236+BN39*①통합_가정!$E$249+BN40*①통합_가정!$E$262</f>
        <v>0</v>
      </c>
      <c r="BO55" s="37" t="n">
        <f aca="false">BO36*①통합_가정!$E$210+BO37*①통합_가정!$E$223+BO38*①통합_가정!$E$236+BO39*①통합_가정!$E$249+BO40*①통합_가정!$E$262</f>
        <v>0</v>
      </c>
      <c r="BP55" s="37" t="n">
        <f aca="false">BP36*①통합_가정!$E$210+BP37*①통합_가정!$E$223+BP38*①통합_가정!$E$236+BP39*①통합_가정!$E$249+BP40*①통합_가정!$E$262</f>
        <v>0</v>
      </c>
      <c r="BQ55" s="37" t="n">
        <f aca="false">BQ36*①통합_가정!$E$210+BQ37*①통합_가정!$E$223+BQ38*①통합_가정!$E$236+BQ39*①통합_가정!$E$249+BQ40*①통합_가정!$E$262</f>
        <v>0</v>
      </c>
      <c r="BR55" s="37" t="n">
        <f aca="false">BR36*①통합_가정!$E$210+BR37*①통합_가정!$E$223+BR38*①통합_가정!$E$236+BR39*①통합_가정!$E$249+BR40*①통합_가정!$E$262</f>
        <v>0</v>
      </c>
      <c r="BS55" s="37" t="n">
        <f aca="false">BS36*①통합_가정!$E$210+BS37*①통합_가정!$E$223+BS38*①통합_가정!$E$236+BS39*①통합_가정!$E$249+BS40*①통합_가정!$E$262</f>
        <v>0</v>
      </c>
      <c r="BT55" s="37" t="n">
        <f aca="false">BT36*①통합_가정!$E$210+BT37*①통합_가정!$E$223+BT38*①통합_가정!$E$236+BT39*①통합_가정!$E$249+BT40*①통합_가정!$E$262</f>
        <v>0</v>
      </c>
      <c r="BU55" s="37" t="n">
        <f aca="false">BU36*①통합_가정!$E$210+BU37*①통합_가정!$E$223+BU38*①통합_가정!$E$236+BU39*①통합_가정!$E$249+BU40*①통합_가정!$E$262</f>
        <v>0</v>
      </c>
      <c r="BV55" s="37" t="n">
        <f aca="false">BV36*①통합_가정!$E$210+BV37*①통합_가정!$E$223+BV38*①통합_가정!$E$236+BV39*①통합_가정!$E$249+BV40*①통합_가정!$E$262</f>
        <v>0</v>
      </c>
      <c r="BW55" s="37" t="n">
        <f aca="false">BW36*①통합_가정!$E$210+BW37*①통합_가정!$E$223+BW38*①통합_가정!$E$236+BW39*①통합_가정!$E$249+BW40*①통합_가정!$E$262</f>
        <v>0</v>
      </c>
      <c r="BX55" s="37" t="n">
        <f aca="false">BX36*①통합_가정!$E$210+BX37*①통합_가정!$E$223+BX38*①통합_가정!$E$236+BX39*①통합_가정!$E$249+BX40*①통합_가정!$E$262</f>
        <v>0</v>
      </c>
      <c r="BY55" s="37" t="n">
        <f aca="false">BY36*①통합_가정!$E$210+BY37*①통합_가정!$E$223+BY38*①통합_가정!$E$236+BY39*①통합_가정!$E$249+BY40*①통합_가정!$E$262</f>
        <v>0</v>
      </c>
      <c r="BZ55" s="37" t="n">
        <f aca="false">BZ36*①통합_가정!$E$210+BZ37*①통합_가정!$E$223+BZ38*①통합_가정!$E$236+BZ39*①통합_가정!$E$249+BZ40*①통합_가정!$E$262</f>
        <v>0</v>
      </c>
      <c r="CA55" s="37" t="n">
        <f aca="false">CA36*①통합_가정!$E$210+CA37*①통합_가정!$E$223+CA38*①통합_가정!$E$236+CA39*①통합_가정!$E$249+CA40*①통합_가정!$E$262</f>
        <v>0</v>
      </c>
      <c r="CB55" s="37" t="n">
        <f aca="false">CB36*①통합_가정!$E$210+CB37*①통합_가정!$E$223+CB38*①통합_가정!$E$236+CB39*①통합_가정!$E$249+CB40*①통합_가정!$E$262</f>
        <v>0</v>
      </c>
      <c r="CC55" s="37" t="n">
        <f aca="false">CC36*①통합_가정!$E$210+CC37*①통합_가정!$E$223+CC38*①통합_가정!$E$236+CC39*①통합_가정!$E$249+CC40*①통합_가정!$E$262</f>
        <v>0</v>
      </c>
      <c r="CD55" s="37" t="n">
        <f aca="false">CD36*①통합_가정!$E$210+CD37*①통합_가정!$E$223+CD38*①통합_가정!$E$236+CD39*①통합_가정!$E$249+CD40*①통합_가정!$E$262</f>
        <v>0</v>
      </c>
      <c r="CE55" s="37" t="n">
        <f aca="false">CE36*①통합_가정!$E$210+CE37*①통합_가정!$E$223+CE38*①통합_가정!$E$236+CE39*①통합_가정!$E$249+CE40*①통합_가정!$E$262</f>
        <v>0</v>
      </c>
      <c r="CF55" s="37" t="n">
        <f aca="false">CF36*①통합_가정!$E$210+CF37*①통합_가정!$E$223+CF38*①통합_가정!$E$236+CF39*①통합_가정!$E$249+CF40*①통합_가정!$E$262</f>
        <v>0</v>
      </c>
      <c r="CG55" s="37" t="n">
        <f aca="false">CG36*①통합_가정!$E$210+CG37*①통합_가정!$E$223+CG38*①통합_가정!$E$236+CG39*①통합_가정!$E$249+CG40*①통합_가정!$E$262</f>
        <v>0</v>
      </c>
      <c r="CH55" s="37" t="n">
        <f aca="false">CH36*①통합_가정!$E$210+CH37*①통합_가정!$E$223+CH38*①통합_가정!$E$236+CH39*①통합_가정!$E$249+CH40*①통합_가정!$E$262</f>
        <v>0</v>
      </c>
      <c r="CI55" s="37" t="n">
        <f aca="false">CI36*①통합_가정!$E$210+CI37*①통합_가정!$E$223+CI38*①통합_가정!$E$236+CI39*①통합_가정!$E$249+CI40*①통합_가정!$E$262</f>
        <v>0</v>
      </c>
      <c r="CJ55" s="37" t="n">
        <f aca="false">CJ36*①통합_가정!$E$210+CJ37*①통합_가정!$E$223+CJ38*①통합_가정!$E$236+CJ39*①통합_가정!$E$249+CJ40*①통합_가정!$E$262</f>
        <v>0</v>
      </c>
      <c r="CK55" s="37" t="n">
        <f aca="false">CK36*①통합_가정!$E$210+CK37*①통합_가정!$E$223+CK38*①통합_가정!$E$236+CK39*①통합_가정!$E$249+CK40*①통합_가정!$E$262</f>
        <v>0</v>
      </c>
      <c r="CL55" s="37" t="n">
        <f aca="false">CL36*①통합_가정!$E$210+CL37*①통합_가정!$E$223+CL38*①통합_가정!$E$236+CL39*①통합_가정!$E$249+CL40*①통합_가정!$E$262</f>
        <v>0</v>
      </c>
      <c r="CM55" s="37" t="n">
        <f aca="false">CM36*①통합_가정!$E$210+CM37*①통합_가정!$E$223+CM38*①통합_가정!$E$236+CM39*①통합_가정!$E$249+CM40*①통합_가정!$E$262</f>
        <v>0</v>
      </c>
      <c r="CN55" s="37" t="n">
        <f aca="false">CN36*①통합_가정!$E$210+CN37*①통합_가정!$E$223+CN38*①통합_가정!$E$236+CN39*①통합_가정!$E$249+CN40*①통합_가정!$E$262</f>
        <v>0</v>
      </c>
      <c r="CO55" s="37" t="n">
        <f aca="false">CO36*①통합_가정!$E$210+CO37*①통합_가정!$E$223+CO38*①통합_가정!$E$236+CO39*①통합_가정!$E$249+CO40*①통합_가정!$E$262</f>
        <v>0</v>
      </c>
      <c r="CP55" s="37" t="n">
        <f aca="false">CP36*①통합_가정!$E$210+CP37*①통합_가정!$E$223+CP38*①통합_가정!$E$236+CP39*①통합_가정!$E$249+CP40*①통합_가정!$E$262</f>
        <v>0</v>
      </c>
      <c r="CQ55" s="37" t="n">
        <f aca="false">CQ36*①통합_가정!$E$210+CQ37*①통합_가정!$E$223+CQ38*①통합_가정!$E$236+CQ39*①통합_가정!$E$249+CQ40*①통합_가정!$E$262</f>
        <v>0</v>
      </c>
      <c r="CR55" s="37" t="n">
        <f aca="false">CR36*①통합_가정!$E$210+CR37*①통합_가정!$E$223+CR38*①통합_가정!$E$236+CR39*①통합_가정!$E$249+CR40*①통합_가정!$E$262</f>
        <v>0</v>
      </c>
      <c r="CS55" s="37" t="n">
        <f aca="false">CS36*①통합_가정!$E$210+CS37*①통합_가정!$E$223+CS38*①통합_가정!$E$236+CS39*①통합_가정!$E$249+CS40*①통합_가정!$E$262</f>
        <v>0</v>
      </c>
      <c r="CT55" s="37" t="n">
        <f aca="false">CT36*①통합_가정!$E$210+CT37*①통합_가정!$E$223+CT38*①통합_가정!$E$236+CT39*①통합_가정!$E$249+CT40*①통합_가정!$E$262</f>
        <v>0</v>
      </c>
      <c r="CU55" s="37" t="n">
        <f aca="false">CU36*①통합_가정!$E$210+CU37*①통합_가정!$E$223+CU38*①통합_가정!$E$236+CU39*①통합_가정!$E$249+CU40*①통합_가정!$E$262</f>
        <v>0</v>
      </c>
      <c r="CV55" s="37" t="n">
        <f aca="false">CV36*①통합_가정!$E$210+CV37*①통합_가정!$E$223+CV38*①통합_가정!$E$236+CV39*①통합_가정!$E$249+CV40*①통합_가정!$E$262</f>
        <v>0</v>
      </c>
      <c r="CW55" s="37" t="n">
        <f aca="false">CW36*①통합_가정!$E$210+CW37*①통합_가정!$E$223+CW38*①통합_가정!$E$236+CW39*①통합_가정!$E$249+CW40*①통합_가정!$E$262</f>
        <v>0</v>
      </c>
      <c r="CX55" s="37" t="n">
        <f aca="false">CX36*①통합_가정!$E$210+CX37*①통합_가정!$E$223+CX38*①통합_가정!$E$236+CX39*①통합_가정!$E$249+CX40*①통합_가정!$E$262</f>
        <v>0</v>
      </c>
      <c r="CY55" s="37" t="n">
        <f aca="false">CY36*①통합_가정!$E$210+CY37*①통합_가정!$E$223+CY38*①통합_가정!$E$236+CY39*①통합_가정!$E$249+CY40*①통합_가정!$E$262</f>
        <v>0</v>
      </c>
      <c r="CZ55" s="37" t="n">
        <f aca="false">CZ36*①통합_가정!$E$210+CZ37*①통합_가정!$E$223+CZ38*①통합_가정!$E$236+CZ39*①통합_가정!$E$249+CZ40*①통합_가정!$E$262</f>
        <v>0</v>
      </c>
      <c r="DA55" s="37" t="n">
        <f aca="false">DA36*①통합_가정!$E$210+DA37*①통합_가정!$E$223+DA38*①통합_가정!$E$236+DA39*①통합_가정!$E$249+DA40*①통합_가정!$E$262</f>
        <v>0</v>
      </c>
      <c r="DB55" s="37" t="n">
        <f aca="false">DB36*①통합_가정!$E$210+DB37*①통합_가정!$E$223+DB38*①통합_가정!$E$236+DB39*①통합_가정!$E$249+DB40*①통합_가정!$E$262</f>
        <v>0</v>
      </c>
      <c r="DC55" s="37" t="n">
        <f aca="false">DC36*①통합_가정!$E$210+DC37*①통합_가정!$E$223+DC38*①통합_가정!$E$236+DC39*①통합_가정!$E$249+DC40*①통합_가정!$E$262</f>
        <v>0</v>
      </c>
      <c r="DD55" s="37" t="n">
        <f aca="false">DD36*①통합_가정!$E$210+DD37*①통합_가정!$E$223+DD38*①통합_가정!$E$236+DD39*①통합_가정!$E$249+DD40*①통합_가정!$E$262</f>
        <v>0</v>
      </c>
      <c r="DE55" s="37" t="n">
        <f aca="false">DE36*①통합_가정!$E$210+DE37*①통합_가정!$E$223+DE38*①통합_가정!$E$236+DE39*①통합_가정!$E$249+DE40*①통합_가정!$E$262</f>
        <v>0</v>
      </c>
      <c r="DF55" s="37" t="n">
        <f aca="false">DF36*①통합_가정!$E$210+DF37*①통합_가정!$E$223+DF38*①통합_가정!$E$236+DF39*①통합_가정!$E$249+DF40*①통합_가정!$E$262</f>
        <v>0</v>
      </c>
      <c r="DG55" s="37" t="n">
        <f aca="false">DG36*①통합_가정!$E$210+DG37*①통합_가정!$E$223+DG38*①통합_가정!$E$236+DG39*①통합_가정!$E$249+DG40*①통합_가정!$E$262</f>
        <v>0</v>
      </c>
      <c r="DH55" s="37" t="n">
        <f aca="false">DH36*①통합_가정!$E$210+DH37*①통합_가정!$E$223+DH38*①통합_가정!$E$236+DH39*①통합_가정!$E$249+DH40*①통합_가정!$E$262</f>
        <v>0</v>
      </c>
      <c r="DI55" s="37" t="n">
        <f aca="false">DI36*①통합_가정!$E$210+DI37*①통합_가정!$E$223+DI38*①통합_가정!$E$236+DI39*①통합_가정!$E$249+DI40*①통합_가정!$E$262</f>
        <v>0</v>
      </c>
      <c r="DJ55" s="37" t="n">
        <f aca="false">DJ36*①통합_가정!$E$210+DJ37*①통합_가정!$E$223+DJ38*①통합_가정!$E$236+DJ39*①통합_가정!$E$249+DJ40*①통합_가정!$E$262</f>
        <v>0</v>
      </c>
      <c r="DK55" s="37" t="n">
        <f aca="false">DK36*①통합_가정!$E$210+DK37*①통합_가정!$E$223+DK38*①통합_가정!$E$236+DK39*①통합_가정!$E$249+DK40*①통합_가정!$E$262</f>
        <v>0</v>
      </c>
      <c r="DL55" s="37" t="n">
        <f aca="false">DL36*①통합_가정!$E$210+DL37*①통합_가정!$E$223+DL38*①통합_가정!$E$236+DL39*①통합_가정!$E$249+DL40*①통합_가정!$E$262</f>
        <v>0</v>
      </c>
      <c r="DM55" s="37" t="n">
        <f aca="false">DM36*①통합_가정!$E$210+DM37*①통합_가정!$E$223+DM38*①통합_가정!$E$236+DM39*①통합_가정!$E$249+DM40*①통합_가정!$E$262</f>
        <v>0</v>
      </c>
      <c r="DN55" s="37" t="n">
        <f aca="false">DN36*①통합_가정!$E$210+DN37*①통합_가정!$E$223+DN38*①통합_가정!$E$236+DN39*①통합_가정!$E$249+DN40*①통합_가정!$E$262</f>
        <v>0</v>
      </c>
      <c r="DO55" s="37" t="n">
        <f aca="false">DO36*①통합_가정!$E$210+DO37*①통합_가정!$E$223+DO38*①통합_가정!$E$236+DO39*①통합_가정!$E$249+DO40*①통합_가정!$E$262</f>
        <v>0</v>
      </c>
      <c r="DP55" s="37" t="n">
        <f aca="false">DP36*①통합_가정!$E$210+DP37*①통합_가정!$E$223+DP38*①통합_가정!$E$236+DP39*①통합_가정!$E$249+DP40*①통합_가정!$E$262</f>
        <v>0</v>
      </c>
      <c r="DQ55" s="37" t="n">
        <f aca="false">DQ36*①통합_가정!$E$210+DQ37*①통합_가정!$E$223+DQ38*①통합_가정!$E$236+DQ39*①통합_가정!$E$249+DQ40*①통합_가정!$E$262</f>
        <v>0</v>
      </c>
      <c r="DR55" s="37" t="n">
        <f aca="false">DR36*①통합_가정!$E$210+DR37*①통합_가정!$E$223+DR38*①통합_가정!$E$236+DR39*①통합_가정!$E$249+DR40*①통합_가정!$E$262</f>
        <v>0</v>
      </c>
      <c r="DS55" s="37" t="n">
        <f aca="false">DS36*①통합_가정!$E$210+DS37*①통합_가정!$E$223+DS38*①통합_가정!$E$236+DS39*①통합_가정!$E$249+DS40*①통합_가정!$E$262</f>
        <v>0</v>
      </c>
      <c r="DT55" s="37" t="n">
        <f aca="false">DT36*①통합_가정!$E$210+DT37*①통합_가정!$E$223+DT38*①통합_가정!$E$236+DT39*①통합_가정!$E$249+DT40*①통합_가정!$E$262</f>
        <v>0</v>
      </c>
      <c r="DU55" s="37" t="n">
        <f aca="false">DU36*①통합_가정!$E$210+DU37*①통합_가정!$E$223+DU38*①통합_가정!$E$236+DU39*①통합_가정!$E$249+DU40*①통합_가정!$E$262</f>
        <v>0</v>
      </c>
      <c r="DV55" s="37" t="n">
        <f aca="false">DV36*①통합_가정!$E$210+DV37*①통합_가정!$E$223+DV38*①통합_가정!$E$236+DV39*①통합_가정!$E$249+DV40*①통합_가정!$E$262</f>
        <v>0</v>
      </c>
      <c r="DW55" s="37" t="n">
        <f aca="false">DW36*①통합_가정!$E$210+DW37*①통합_가정!$E$223+DW38*①통합_가정!$E$236+DW39*①통합_가정!$E$249+DW40*①통합_가정!$E$262</f>
        <v>0</v>
      </c>
      <c r="DX55" s="37" t="n">
        <f aca="false">DX36*①통합_가정!$E$210+DX37*①통합_가정!$E$223+DX38*①통합_가정!$E$236+DX39*①통합_가정!$E$249+DX40*①통합_가정!$E$262</f>
        <v>0</v>
      </c>
      <c r="DY55" s="37" t="n">
        <f aca="false">DY36*①통합_가정!$E$210+DY37*①통합_가정!$E$223+DY38*①통합_가정!$E$236+DY39*①통합_가정!$E$249+DY40*①통합_가정!$E$262</f>
        <v>0</v>
      </c>
      <c r="DZ55" s="37" t="n">
        <f aca="false">DZ36*①통합_가정!$E$210+DZ37*①통합_가정!$E$223+DZ38*①통합_가정!$E$236+DZ39*①통합_가정!$E$249+DZ40*①통합_가정!$E$262</f>
        <v>0</v>
      </c>
      <c r="EA55" s="37" t="n">
        <f aca="false">EA36*①통합_가정!$E$210+EA37*①통합_가정!$E$223+EA38*①통합_가정!$E$236+EA39*①통합_가정!$E$249+EA40*①통합_가정!$E$262</f>
        <v>0</v>
      </c>
      <c r="EB55" s="37" t="n">
        <f aca="false">EB36*①통합_가정!$E$210+EB37*①통합_가정!$E$223+EB38*①통합_가정!$E$236+EB39*①통합_가정!$E$249+EB40*①통합_가정!$E$262</f>
        <v>0</v>
      </c>
      <c r="EC55" s="37" t="n">
        <f aca="false">EC36*①통합_가정!$E$210+EC37*①통합_가정!$E$223+EC38*①통합_가정!$E$236+EC39*①통합_가정!$E$249+EC40*①통합_가정!$E$262</f>
        <v>0</v>
      </c>
      <c r="ED55" s="37" t="n">
        <f aca="false">ED36*①통합_가정!$E$210+ED37*①통합_가정!$E$223+ED38*①통합_가정!$E$236+ED39*①통합_가정!$E$249+ED40*①통합_가정!$E$262</f>
        <v>0</v>
      </c>
      <c r="EE55" s="37" t="n">
        <f aca="false">EE36*①통합_가정!$E$210+EE37*①통합_가정!$E$223+EE38*①통합_가정!$E$236+EE39*①통합_가정!$E$249+EE40*①통합_가정!$E$262</f>
        <v>0</v>
      </c>
      <c r="EF55" s="37" t="n">
        <f aca="false">EF36*①통합_가정!$E$210+EF37*①통합_가정!$E$223+EF38*①통합_가정!$E$236+EF39*①통합_가정!$E$249+EF40*①통합_가정!$E$262</f>
        <v>0</v>
      </c>
    </row>
    <row r="56" customFormat="false" ht="15" hidden="false" customHeight="false" outlineLevel="0" collapsed="false">
      <c r="A56" s="280" t="s">
        <v>604</v>
      </c>
      <c r="B56" s="281" t="s">
        <v>21</v>
      </c>
      <c r="C56" s="282" t="n">
        <f aca="false">SUM(E56:EF56)</f>
        <v>706913.035153105</v>
      </c>
      <c r="D56" s="48"/>
      <c r="E56" s="283" t="n">
        <f aca="false">SUM(E44:E55)</f>
        <v>0</v>
      </c>
      <c r="F56" s="283" t="n">
        <f aca="false">SUM(F44:F55)</f>
        <v>0</v>
      </c>
      <c r="G56" s="283" t="n">
        <f aca="false">SUM(G44:G55)</f>
        <v>0</v>
      </c>
      <c r="H56" s="283" t="n">
        <f aca="false">SUM(H44:H55)</f>
        <v>0</v>
      </c>
      <c r="I56" s="283" t="n">
        <f aca="false">SUM(I44:I55)</f>
        <v>0</v>
      </c>
      <c r="J56" s="283" t="n">
        <f aca="false">SUM(J44:J55)</f>
        <v>0</v>
      </c>
      <c r="K56" s="283" t="n">
        <f aca="false">SUM(K44:K55)</f>
        <v>0</v>
      </c>
      <c r="L56" s="283" t="n">
        <f aca="false">SUM(L44:L55)</f>
        <v>0</v>
      </c>
      <c r="M56" s="283" t="n">
        <f aca="false">SUM(M44:M55)</f>
        <v>0</v>
      </c>
      <c r="N56" s="283" t="n">
        <f aca="false">SUM(N44:N55)</f>
        <v>0</v>
      </c>
      <c r="O56" s="283" t="n">
        <f aca="false">SUM(O44:O55)</f>
        <v>0</v>
      </c>
      <c r="P56" s="283" t="n">
        <f aca="false">SUM(P44:P55)</f>
        <v>0</v>
      </c>
      <c r="Q56" s="283" t="n">
        <f aca="false">SUM(Q44:Q55)</f>
        <v>0</v>
      </c>
      <c r="R56" s="283" t="n">
        <f aca="false">SUM(R44:R55)</f>
        <v>0</v>
      </c>
      <c r="S56" s="283" t="n">
        <f aca="false">SUM(S44:S55)</f>
        <v>0</v>
      </c>
      <c r="T56" s="283" t="n">
        <f aca="false">SUM(T44:T55)</f>
        <v>0</v>
      </c>
      <c r="U56" s="283" t="n">
        <f aca="false">SUM(U44:U55)</f>
        <v>0</v>
      </c>
      <c r="V56" s="283" t="n">
        <f aca="false">SUM(V44:V55)</f>
        <v>0</v>
      </c>
      <c r="W56" s="283" t="n">
        <f aca="false">SUM(W44:W55)</f>
        <v>0</v>
      </c>
      <c r="X56" s="283" t="n">
        <f aca="false">SUM(X44:X55)</f>
        <v>0</v>
      </c>
      <c r="Y56" s="283" t="n">
        <f aca="false">SUM(Y44:Y55)</f>
        <v>0</v>
      </c>
      <c r="Z56" s="283" t="n">
        <f aca="false">SUM(Z44:Z55)</f>
        <v>0</v>
      </c>
      <c r="AA56" s="283" t="n">
        <f aca="false">SUM(AA44:AA55)</f>
        <v>0</v>
      </c>
      <c r="AB56" s="283" t="n">
        <f aca="false">SUM(AB44:AB55)</f>
        <v>0</v>
      </c>
      <c r="AC56" s="283" t="n">
        <f aca="false">SUM(AC44:AC55)</f>
        <v>0</v>
      </c>
      <c r="AD56" s="283" t="n">
        <f aca="false">SUM(AD44:AD55)</f>
        <v>0</v>
      </c>
      <c r="AE56" s="283" t="n">
        <f aca="false">SUM(AE44:AE55)</f>
        <v>0</v>
      </c>
      <c r="AF56" s="283" t="n">
        <f aca="false">SUM(AF44:AF55)</f>
        <v>0</v>
      </c>
      <c r="AG56" s="283" t="n">
        <f aca="false">SUM(AG44:AG55)</f>
        <v>0</v>
      </c>
      <c r="AH56" s="283" t="n">
        <f aca="false">SUM(AH44:AH55)</f>
        <v>0</v>
      </c>
      <c r="AI56" s="283" t="n">
        <f aca="false">SUM(AI44:AI55)</f>
        <v>0</v>
      </c>
      <c r="AJ56" s="283" t="n">
        <f aca="false">SUM(AJ44:AJ55)</f>
        <v>0</v>
      </c>
      <c r="AK56" s="283" t="n">
        <f aca="false">SUM(AK44:AK55)</f>
        <v>0</v>
      </c>
      <c r="AL56" s="283" t="n">
        <f aca="false">SUM(AL44:AL55)</f>
        <v>0</v>
      </c>
      <c r="AM56" s="283" t="n">
        <f aca="false">SUM(AM44:AM55)</f>
        <v>0</v>
      </c>
      <c r="AN56" s="283" t="n">
        <f aca="false">SUM(AN44:AN55)</f>
        <v>0</v>
      </c>
      <c r="AO56" s="283" t="n">
        <f aca="false">SUM(AO44:AO55)</f>
        <v>0</v>
      </c>
      <c r="AP56" s="283" t="n">
        <f aca="false">SUM(AP44:AP55)</f>
        <v>0</v>
      </c>
      <c r="AQ56" s="283" t="n">
        <f aca="false">SUM(AQ44:AQ55)</f>
        <v>0</v>
      </c>
      <c r="AR56" s="283" t="n">
        <f aca="false">SUM(AR44:AR55)</f>
        <v>0</v>
      </c>
      <c r="AS56" s="283" t="n">
        <f aca="false">SUM(AS44:AS55)</f>
        <v>0</v>
      </c>
      <c r="AT56" s="283" t="n">
        <f aca="false">SUM(AT44:AT55)</f>
        <v>0</v>
      </c>
      <c r="AU56" s="283" t="n">
        <f aca="false">SUM(AU44:AU55)</f>
        <v>0</v>
      </c>
      <c r="AV56" s="283" t="n">
        <f aca="false">SUM(AV44:AV55)</f>
        <v>0</v>
      </c>
      <c r="AW56" s="283" t="n">
        <f aca="false">SUM(AW44:AW55)</f>
        <v>0</v>
      </c>
      <c r="AX56" s="283" t="n">
        <f aca="false">SUM(AX44:AX55)</f>
        <v>0</v>
      </c>
      <c r="AY56" s="283" t="n">
        <f aca="false">SUM(AY44:AY55)</f>
        <v>0</v>
      </c>
      <c r="AZ56" s="283" t="n">
        <f aca="false">SUM(AZ44:AZ55)</f>
        <v>0</v>
      </c>
      <c r="BA56" s="283" t="n">
        <f aca="false">SUM(BA44:BA55)</f>
        <v>0</v>
      </c>
      <c r="BB56" s="283" t="n">
        <f aca="false">SUM(BB44:BB55)</f>
        <v>0</v>
      </c>
      <c r="BC56" s="283" t="n">
        <f aca="false">SUM(BC44:BC55)</f>
        <v>0</v>
      </c>
      <c r="BD56" s="283" t="n">
        <f aca="false">SUM(BD44:BD55)</f>
        <v>0</v>
      </c>
      <c r="BE56" s="283" t="n">
        <f aca="false">SUM(BE44:BE55)</f>
        <v>0</v>
      </c>
      <c r="BF56" s="283" t="n">
        <f aca="false">SUM(BF44:BF55)</f>
        <v>0</v>
      </c>
      <c r="BG56" s="283" t="n">
        <f aca="false">SUM(BG44:BG55)</f>
        <v>0</v>
      </c>
      <c r="BH56" s="283" t="n">
        <f aca="false">SUM(BH44:BH55)</f>
        <v>0</v>
      </c>
      <c r="BI56" s="283" t="n">
        <f aca="false">SUM(BI44:BI55)</f>
        <v>0</v>
      </c>
      <c r="BJ56" s="283" t="n">
        <f aca="false">SUM(BJ44:BJ55)</f>
        <v>0</v>
      </c>
      <c r="BK56" s="283" t="n">
        <f aca="false">SUM(BK44:BK55)</f>
        <v>0</v>
      </c>
      <c r="BL56" s="283" t="n">
        <f aca="false">SUM(BL44:BL55)</f>
        <v>0</v>
      </c>
      <c r="BM56" s="283" t="n">
        <f aca="false">SUM(BM44:BM55)</f>
        <v>10312.7418860081</v>
      </c>
      <c r="BN56" s="283" t="n">
        <f aca="false">SUM(BN44:BN55)</f>
        <v>10032.0959161368</v>
      </c>
      <c r="BO56" s="283" t="n">
        <f aca="false">SUM(BO44:BO55)</f>
        <v>10312.7418860081</v>
      </c>
      <c r="BP56" s="283" t="n">
        <f aca="false">SUM(BP44:BP55)</f>
        <v>10032.0959161368</v>
      </c>
      <c r="BQ56" s="283" t="n">
        <f aca="false">SUM(BQ44:BQ55)</f>
        <v>10312.7418860081</v>
      </c>
      <c r="BR56" s="283" t="n">
        <f aca="false">SUM(BR44:BR55)</f>
        <v>10312.7418860081</v>
      </c>
      <c r="BS56" s="283" t="n">
        <f aca="false">SUM(BS44:BS55)</f>
        <v>10032.0959161368</v>
      </c>
      <c r="BT56" s="283" t="n">
        <f aca="false">SUM(BT44:BT55)</f>
        <v>10312.7418860081</v>
      </c>
      <c r="BU56" s="283" t="n">
        <f aca="false">SUM(BU44:BU55)</f>
        <v>10032.0959161368</v>
      </c>
      <c r="BV56" s="283" t="n">
        <f aca="false">SUM(BV44:BV55)</f>
        <v>10312.7418860081</v>
      </c>
      <c r="BW56" s="283" t="n">
        <f aca="false">SUM(BW44:BW55)</f>
        <v>10312.7418860081</v>
      </c>
      <c r="BX56" s="283" t="n">
        <f aca="false">SUM(BX44:BX55)</f>
        <v>9751.44994626561</v>
      </c>
      <c r="BY56" s="283" t="n">
        <f aca="false">SUM(BY44:BY55)</f>
        <v>12010.3413032516</v>
      </c>
      <c r="BZ56" s="283" t="n">
        <f aca="false">SUM(BZ44:BZ55)</f>
        <v>11680.0425848647</v>
      </c>
      <c r="CA56" s="283" t="n">
        <f aca="false">SUM(CA44:CA55)</f>
        <v>12010.3413032516</v>
      </c>
      <c r="CB56" s="283" t="n">
        <f aca="false">SUM(CB44:CB55)</f>
        <v>11680.0425848647</v>
      </c>
      <c r="CC56" s="283" t="n">
        <f aca="false">SUM(CC44:CC55)</f>
        <v>12010.3413032516</v>
      </c>
      <c r="CD56" s="283" t="n">
        <f aca="false">SUM(CD44:CD55)</f>
        <v>12010.3413032516</v>
      </c>
      <c r="CE56" s="283" t="n">
        <f aca="false">SUM(CE44:CE55)</f>
        <v>11680.0425848647</v>
      </c>
      <c r="CF56" s="283" t="n">
        <f aca="false">SUM(CF44:CF55)</f>
        <v>12010.3413032516</v>
      </c>
      <c r="CG56" s="283" t="n">
        <f aca="false">SUM(CG44:CG55)</f>
        <v>11680.0425848647</v>
      </c>
      <c r="CH56" s="283" t="n">
        <f aca="false">SUM(CH44:CH55)</f>
        <v>12010.3413032516</v>
      </c>
      <c r="CI56" s="283" t="n">
        <f aca="false">SUM(CI44:CI55)</f>
        <v>12010.3413032516</v>
      </c>
      <c r="CJ56" s="283" t="n">
        <f aca="false">SUM(CJ44:CJ55)</f>
        <v>11019.4451480909</v>
      </c>
      <c r="CK56" s="283" t="n">
        <f aca="false">SUM(CK44:CK55)</f>
        <v>12250.5481293166</v>
      </c>
      <c r="CL56" s="283" t="n">
        <f aca="false">SUM(CL44:CL55)</f>
        <v>11913.643436562</v>
      </c>
      <c r="CM56" s="283" t="n">
        <f aca="false">SUM(CM44:CM55)</f>
        <v>12250.5481293166</v>
      </c>
      <c r="CN56" s="283" t="n">
        <f aca="false">SUM(CN44:CN55)</f>
        <v>11913.643436562</v>
      </c>
      <c r="CO56" s="283" t="n">
        <f aca="false">SUM(CO44:CO55)</f>
        <v>12250.5481293166</v>
      </c>
      <c r="CP56" s="283" t="n">
        <f aca="false">SUM(CP44:CP55)</f>
        <v>12250.5481293166</v>
      </c>
      <c r="CQ56" s="283" t="n">
        <f aca="false">SUM(CQ44:CQ55)</f>
        <v>11913.643436562</v>
      </c>
      <c r="CR56" s="283" t="n">
        <f aca="false">SUM(CR44:CR55)</f>
        <v>12250.5481293166</v>
      </c>
      <c r="CS56" s="283" t="n">
        <f aca="false">SUM(CS44:CS55)</f>
        <v>11913.643436562</v>
      </c>
      <c r="CT56" s="283" t="n">
        <f aca="false">SUM(CT44:CT55)</f>
        <v>12250.5481293166</v>
      </c>
      <c r="CU56" s="283" t="n">
        <f aca="false">SUM(CU44:CU55)</f>
        <v>12250.5481293166</v>
      </c>
      <c r="CV56" s="283" t="n">
        <f aca="false">SUM(CV44:CV55)</f>
        <v>11239.8340510527</v>
      </c>
      <c r="CW56" s="283" t="n">
        <f aca="false">SUM(CW44:CW55)</f>
        <v>12495.559091903</v>
      </c>
      <c r="CX56" s="283" t="n">
        <f aca="false">SUM(CX44:CX55)</f>
        <v>12151.9163052932</v>
      </c>
      <c r="CY56" s="283" t="n">
        <f aca="false">SUM(CY44:CY55)</f>
        <v>12495.559091903</v>
      </c>
      <c r="CZ56" s="283" t="n">
        <f aca="false">SUM(CZ44:CZ55)</f>
        <v>12151.9163052932</v>
      </c>
      <c r="DA56" s="283" t="n">
        <f aca="false">SUM(DA44:DA55)</f>
        <v>12495.559091903</v>
      </c>
      <c r="DB56" s="283" t="n">
        <f aca="false">SUM(DB44:DB55)</f>
        <v>12495.559091903</v>
      </c>
      <c r="DC56" s="283" t="n">
        <f aca="false">SUM(DC44:DC55)</f>
        <v>12151.9163052932</v>
      </c>
      <c r="DD56" s="283" t="n">
        <f aca="false">SUM(DD44:DD55)</f>
        <v>12495.559091903</v>
      </c>
      <c r="DE56" s="283" t="n">
        <f aca="false">SUM(DE44:DE55)</f>
        <v>12151.9163052932</v>
      </c>
      <c r="DF56" s="283" t="n">
        <f aca="false">SUM(DF44:DF55)</f>
        <v>12495.559091903</v>
      </c>
      <c r="DG56" s="283" t="n">
        <f aca="false">SUM(DG44:DG55)</f>
        <v>12495.559091903</v>
      </c>
      <c r="DH56" s="283" t="n">
        <f aca="false">SUM(DH44:DH55)</f>
        <v>11464.6307320737</v>
      </c>
      <c r="DI56" s="283" t="n">
        <f aca="false">SUM(DI44:DI55)</f>
        <v>12745.470273741</v>
      </c>
      <c r="DJ56" s="283" t="n">
        <f aca="false">SUM(DJ44:DJ55)</f>
        <v>12394.9546313991</v>
      </c>
      <c r="DK56" s="283" t="n">
        <f aca="false">SUM(DK44:DK55)</f>
        <v>12745.470273741</v>
      </c>
      <c r="DL56" s="283" t="n">
        <f aca="false">SUM(DL44:DL55)</f>
        <v>12394.9546313991</v>
      </c>
      <c r="DM56" s="283" t="n">
        <f aca="false">SUM(DM44:DM55)</f>
        <v>12745.470273741</v>
      </c>
      <c r="DN56" s="283" t="n">
        <f aca="false">SUM(DN44:DN55)</f>
        <v>12745.470273741</v>
      </c>
      <c r="DO56" s="283" t="n">
        <f aca="false">SUM(DO44:DO55)</f>
        <v>12394.9546313991</v>
      </c>
      <c r="DP56" s="283" t="n">
        <f aca="false">SUM(DP44:DP55)</f>
        <v>12745.470273741</v>
      </c>
      <c r="DQ56" s="283" t="n">
        <f aca="false">SUM(DQ44:DQ55)</f>
        <v>12394.9546313991</v>
      </c>
      <c r="DR56" s="283" t="n">
        <f aca="false">SUM(DR44:DR55)</f>
        <v>12745.470273741</v>
      </c>
      <c r="DS56" s="283" t="n">
        <f aca="false">SUM(DS44:DS55)</f>
        <v>12745.470273741</v>
      </c>
      <c r="DT56" s="283" t="n">
        <f aca="false">SUM(DT44:DT55)</f>
        <v>12044.4389890572</v>
      </c>
      <c r="DU56" s="283" t="n">
        <f aca="false">SUM(DU44:DU55)</f>
        <v>0</v>
      </c>
      <c r="DV56" s="283" t="n">
        <f aca="false">SUM(DV44:DV55)</f>
        <v>0</v>
      </c>
      <c r="DW56" s="283" t="n">
        <f aca="false">SUM(DW44:DW55)</f>
        <v>0</v>
      </c>
      <c r="DX56" s="283" t="n">
        <f aca="false">SUM(DX44:DX55)</f>
        <v>0</v>
      </c>
      <c r="DY56" s="283" t="n">
        <f aca="false">SUM(DY44:DY55)</f>
        <v>0</v>
      </c>
      <c r="DZ56" s="283" t="n">
        <f aca="false">SUM(DZ44:DZ55)</f>
        <v>0</v>
      </c>
      <c r="EA56" s="283" t="n">
        <f aca="false">SUM(EA44:EA55)</f>
        <v>0</v>
      </c>
      <c r="EB56" s="283" t="n">
        <f aca="false">SUM(EB44:EB55)</f>
        <v>0</v>
      </c>
      <c r="EC56" s="283" t="n">
        <f aca="false">SUM(EC44:EC55)</f>
        <v>0</v>
      </c>
      <c r="ED56" s="283" t="n">
        <f aca="false">SUM(ED44:ED55)</f>
        <v>0</v>
      </c>
      <c r="EE56" s="283" t="n">
        <f aca="false">SUM(EE44:EE55)</f>
        <v>0</v>
      </c>
      <c r="EF56" s="283" t="n">
        <f aca="false">SUM(EF44:EF55)</f>
        <v>0</v>
      </c>
    </row>
    <row r="58" customFormat="false" ht="15" hidden="false" customHeight="false" outlineLevel="0" collapsed="false">
      <c r="A58" s="6" t="s">
        <v>605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</row>
    <row r="59" customFormat="false" ht="15" hidden="false" customHeight="false" outlineLevel="0" collapsed="false">
      <c r="A59" s="153" t="s">
        <v>606</v>
      </c>
      <c r="B59" s="278" t="s">
        <v>21</v>
      </c>
      <c r="C59" s="279" t="n">
        <f aca="false">SUM(E59:EF59)</f>
        <v>32621.51164802</v>
      </c>
      <c r="E59" s="37" t="n">
        <f aca="false">E21+E22+E23-E44</f>
        <v>0</v>
      </c>
      <c r="F59" s="37" t="n">
        <f aca="false">F21+F22+F23-F44</f>
        <v>0</v>
      </c>
      <c r="G59" s="37" t="n">
        <f aca="false">G21+G22+G23-G44</f>
        <v>0</v>
      </c>
      <c r="H59" s="37" t="n">
        <f aca="false">H21+H22+H23-H44</f>
        <v>0</v>
      </c>
      <c r="I59" s="37" t="n">
        <f aca="false">I21+I22+I23-I44</f>
        <v>0</v>
      </c>
      <c r="J59" s="37" t="n">
        <f aca="false">J21+J22+J23-J44</f>
        <v>0</v>
      </c>
      <c r="K59" s="37" t="n">
        <f aca="false">K21+K22+K23-K44</f>
        <v>0</v>
      </c>
      <c r="L59" s="37" t="n">
        <f aca="false">L21+L22+L23-L44</f>
        <v>0</v>
      </c>
      <c r="M59" s="37" t="n">
        <f aca="false">M21+M22+M23-M44</f>
        <v>0</v>
      </c>
      <c r="N59" s="37" t="n">
        <f aca="false">N21+N22+N23-N44</f>
        <v>0</v>
      </c>
      <c r="O59" s="37" t="n">
        <f aca="false">O21+O22+O23-O44</f>
        <v>0</v>
      </c>
      <c r="P59" s="37" t="n">
        <f aca="false">P21+P22+P23-P44</f>
        <v>0</v>
      </c>
      <c r="Q59" s="37" t="n">
        <f aca="false">Q21+Q22+Q23-Q44</f>
        <v>0</v>
      </c>
      <c r="R59" s="37" t="n">
        <f aca="false">R21+R22+R23-R44</f>
        <v>0</v>
      </c>
      <c r="S59" s="37" t="n">
        <f aca="false">S21+S22+S23-S44</f>
        <v>0</v>
      </c>
      <c r="T59" s="37" t="n">
        <f aca="false">T21+T22+T23-T44</f>
        <v>0</v>
      </c>
      <c r="U59" s="37" t="n">
        <f aca="false">U21+U22+U23-U44</f>
        <v>0</v>
      </c>
      <c r="V59" s="37" t="n">
        <f aca="false">V21+V22+V23-V44</f>
        <v>0</v>
      </c>
      <c r="W59" s="37" t="n">
        <f aca="false">W21+W22+W23-W44</f>
        <v>0</v>
      </c>
      <c r="X59" s="37" t="n">
        <f aca="false">X21+X22+X23-X44</f>
        <v>0</v>
      </c>
      <c r="Y59" s="37" t="n">
        <f aca="false">Y21+Y22+Y23-Y44</f>
        <v>0</v>
      </c>
      <c r="Z59" s="37" t="n">
        <f aca="false">Z21+Z22+Z23-Z44</f>
        <v>0</v>
      </c>
      <c r="AA59" s="37" t="n">
        <f aca="false">AA21+AA22+AA23-AA44</f>
        <v>0</v>
      </c>
      <c r="AB59" s="37" t="n">
        <f aca="false">AB21+AB22+AB23-AB44</f>
        <v>0</v>
      </c>
      <c r="AC59" s="37" t="n">
        <f aca="false">AC21+AC22+AC23-AC44</f>
        <v>0</v>
      </c>
      <c r="AD59" s="37" t="n">
        <f aca="false">AD21+AD22+AD23-AD44</f>
        <v>0</v>
      </c>
      <c r="AE59" s="37" t="n">
        <f aca="false">AE21+AE22+AE23-AE44</f>
        <v>0</v>
      </c>
      <c r="AF59" s="37" t="n">
        <f aca="false">AF21+AF22+AF23-AF44</f>
        <v>0</v>
      </c>
      <c r="AG59" s="37" t="n">
        <f aca="false">AG21+AG22+AG23-AG44</f>
        <v>0</v>
      </c>
      <c r="AH59" s="37" t="n">
        <f aca="false">AH21+AH22+AH23-AH44</f>
        <v>0</v>
      </c>
      <c r="AI59" s="37" t="n">
        <f aca="false">AI21+AI22+AI23-AI44</f>
        <v>0</v>
      </c>
      <c r="AJ59" s="37" t="n">
        <f aca="false">AJ21+AJ22+AJ23-AJ44</f>
        <v>0</v>
      </c>
      <c r="AK59" s="37" t="n">
        <f aca="false">AK21+AK22+AK23-AK44</f>
        <v>0</v>
      </c>
      <c r="AL59" s="37" t="n">
        <f aca="false">AL21+AL22+AL23-AL44</f>
        <v>0</v>
      </c>
      <c r="AM59" s="37" t="n">
        <f aca="false">AM21+AM22+AM23-AM44</f>
        <v>0</v>
      </c>
      <c r="AN59" s="37" t="n">
        <f aca="false">AN21+AN22+AN23-AN44</f>
        <v>0</v>
      </c>
      <c r="AO59" s="37" t="n">
        <f aca="false">AO21+AO22+AO23-AO44</f>
        <v>0</v>
      </c>
      <c r="AP59" s="37" t="n">
        <f aca="false">AP21+AP22+AP23-AP44</f>
        <v>0</v>
      </c>
      <c r="AQ59" s="37" t="n">
        <f aca="false">AQ21+AQ22+AQ23-AQ44</f>
        <v>0</v>
      </c>
      <c r="AR59" s="37" t="n">
        <f aca="false">AR21+AR22+AR23-AR44</f>
        <v>0</v>
      </c>
      <c r="AS59" s="37" t="n">
        <f aca="false">AS21+AS22+AS23-AS44</f>
        <v>0</v>
      </c>
      <c r="AT59" s="37" t="n">
        <f aca="false">AT21+AT22+AT23-AT44</f>
        <v>0</v>
      </c>
      <c r="AU59" s="37" t="n">
        <f aca="false">AU21+AU22+AU23-AU44</f>
        <v>0</v>
      </c>
      <c r="AV59" s="37" t="n">
        <f aca="false">AV21+AV22+AV23-AV44</f>
        <v>0</v>
      </c>
      <c r="AW59" s="37" t="n">
        <f aca="false">AW21+AW22+AW23-AW44</f>
        <v>0</v>
      </c>
      <c r="AX59" s="37" t="n">
        <f aca="false">AX21+AX22+AX23-AX44</f>
        <v>0</v>
      </c>
      <c r="AY59" s="37" t="n">
        <f aca="false">AY21+AY22+AY23-AY44</f>
        <v>0</v>
      </c>
      <c r="AZ59" s="37" t="n">
        <f aca="false">AZ21+AZ22+AZ23-AZ44</f>
        <v>0</v>
      </c>
      <c r="BA59" s="37" t="n">
        <f aca="false">BA21+BA22+BA23-BA44</f>
        <v>0</v>
      </c>
      <c r="BB59" s="37" t="n">
        <f aca="false">BB21+BB22+BB23-BB44</f>
        <v>0</v>
      </c>
      <c r="BC59" s="37" t="n">
        <f aca="false">BC21+BC22+BC23-BC44</f>
        <v>0</v>
      </c>
      <c r="BD59" s="37" t="n">
        <f aca="false">BD21+BD22+BD23-BD44</f>
        <v>0</v>
      </c>
      <c r="BE59" s="37" t="n">
        <f aca="false">BE21+BE22+BE23-BE44</f>
        <v>0</v>
      </c>
      <c r="BF59" s="37" t="n">
        <f aca="false">BF21+BF22+BF23-BF44</f>
        <v>0</v>
      </c>
      <c r="BG59" s="37" t="n">
        <f aca="false">BG21+BG22+BG23-BG44</f>
        <v>0</v>
      </c>
      <c r="BH59" s="37" t="n">
        <f aca="false">BH21+BH22+BH23-BH44</f>
        <v>0</v>
      </c>
      <c r="BI59" s="37" t="n">
        <f aca="false">BI21+BI22+BI23-BI44</f>
        <v>0</v>
      </c>
      <c r="BJ59" s="37" t="n">
        <f aca="false">BJ21+BJ22+BJ23-BJ44</f>
        <v>0</v>
      </c>
      <c r="BK59" s="37" t="n">
        <f aca="false">BK21+BK22+BK23-BK44</f>
        <v>0</v>
      </c>
      <c r="BL59" s="37" t="n">
        <f aca="false">BL21+BL22+BL23-BL44</f>
        <v>0</v>
      </c>
      <c r="BM59" s="37" t="n">
        <f aca="false">BM21+BM22+BM23-BM44</f>
        <v>459.1644</v>
      </c>
      <c r="BN59" s="37" t="n">
        <f aca="false">BN21+BN22+BN23-BN44</f>
        <v>459.1644</v>
      </c>
      <c r="BO59" s="37" t="n">
        <f aca="false">BO21+BO22+BO23-BO44</f>
        <v>459.1644</v>
      </c>
      <c r="BP59" s="37" t="n">
        <f aca="false">BP21+BP22+BP23-BP44</f>
        <v>459.1644</v>
      </c>
      <c r="BQ59" s="37" t="n">
        <f aca="false">BQ21+BQ22+BQ23-BQ44</f>
        <v>459.1644</v>
      </c>
      <c r="BR59" s="37" t="n">
        <f aca="false">BR21+BR22+BR23-BR44</f>
        <v>459.1644</v>
      </c>
      <c r="BS59" s="37" t="n">
        <f aca="false">BS21+BS22+BS23-BS44</f>
        <v>459.1644</v>
      </c>
      <c r="BT59" s="37" t="n">
        <f aca="false">BT21+BT22+BT23-BT44</f>
        <v>459.1644</v>
      </c>
      <c r="BU59" s="37" t="n">
        <f aca="false">BU21+BU22+BU23-BU44</f>
        <v>459.1644</v>
      </c>
      <c r="BV59" s="37" t="n">
        <f aca="false">BV21+BV22+BV23-BV44</f>
        <v>459.1644</v>
      </c>
      <c r="BW59" s="37" t="n">
        <f aca="false">BW21+BW22+BW23-BW44</f>
        <v>459.1644</v>
      </c>
      <c r="BX59" s="37" t="n">
        <f aca="false">BX21+BX22+BX23-BX44</f>
        <v>459.1644</v>
      </c>
      <c r="BY59" s="37" t="n">
        <f aca="false">BY21+BY22+BY23-BY44</f>
        <v>548.158608</v>
      </c>
      <c r="BZ59" s="37" t="n">
        <f aca="false">BZ21+BZ22+BZ23-BZ44</f>
        <v>548.158608</v>
      </c>
      <c r="CA59" s="37" t="n">
        <f aca="false">CA21+CA22+CA23-CA44</f>
        <v>548.158608</v>
      </c>
      <c r="CB59" s="37" t="n">
        <f aca="false">CB21+CB22+CB23-CB44</f>
        <v>548.158608</v>
      </c>
      <c r="CC59" s="37" t="n">
        <f aca="false">CC21+CC22+CC23-CC44</f>
        <v>548.158608</v>
      </c>
      <c r="CD59" s="37" t="n">
        <f aca="false">CD21+CD22+CD23-CD44</f>
        <v>548.158608</v>
      </c>
      <c r="CE59" s="37" t="n">
        <f aca="false">CE21+CE22+CE23-CE44</f>
        <v>548.158608</v>
      </c>
      <c r="CF59" s="37" t="n">
        <f aca="false">CF21+CF22+CF23-CF44</f>
        <v>548.158608</v>
      </c>
      <c r="CG59" s="37" t="n">
        <f aca="false">CG21+CG22+CG23-CG44</f>
        <v>548.158608</v>
      </c>
      <c r="CH59" s="37" t="n">
        <f aca="false">CH21+CH22+CH23-CH44</f>
        <v>548.158608</v>
      </c>
      <c r="CI59" s="37" t="n">
        <f aca="false">CI21+CI22+CI23-CI44</f>
        <v>548.158608</v>
      </c>
      <c r="CJ59" s="37" t="n">
        <f aca="false">CJ21+CJ22+CJ23-CJ44</f>
        <v>548.158608</v>
      </c>
      <c r="CK59" s="37" t="n">
        <f aca="false">CK21+CK22+CK23-CK44</f>
        <v>559.12178016</v>
      </c>
      <c r="CL59" s="37" t="n">
        <f aca="false">CL21+CL22+CL23-CL44</f>
        <v>559.12178016</v>
      </c>
      <c r="CM59" s="37" t="n">
        <f aca="false">CM21+CM22+CM23-CM44</f>
        <v>559.12178016</v>
      </c>
      <c r="CN59" s="37" t="n">
        <f aca="false">CN21+CN22+CN23-CN44</f>
        <v>559.12178016</v>
      </c>
      <c r="CO59" s="37" t="n">
        <f aca="false">CO21+CO22+CO23-CO44</f>
        <v>559.12178016</v>
      </c>
      <c r="CP59" s="37" t="n">
        <f aca="false">CP21+CP22+CP23-CP44</f>
        <v>559.12178016</v>
      </c>
      <c r="CQ59" s="37" t="n">
        <f aca="false">CQ21+CQ22+CQ23-CQ44</f>
        <v>559.12178016</v>
      </c>
      <c r="CR59" s="37" t="n">
        <f aca="false">CR21+CR22+CR23-CR44</f>
        <v>559.12178016</v>
      </c>
      <c r="CS59" s="37" t="n">
        <f aca="false">CS21+CS22+CS23-CS44</f>
        <v>559.12178016</v>
      </c>
      <c r="CT59" s="37" t="n">
        <f aca="false">CT21+CT22+CT23-CT44</f>
        <v>559.12178016</v>
      </c>
      <c r="CU59" s="37" t="n">
        <f aca="false">CU21+CU22+CU23-CU44</f>
        <v>559.12178016</v>
      </c>
      <c r="CV59" s="37" t="n">
        <f aca="false">CV21+CV22+CV23-CV44</f>
        <v>559.12178016</v>
      </c>
      <c r="CW59" s="37" t="n">
        <f aca="false">CW21+CW22+CW23-CW44</f>
        <v>570.3042157632</v>
      </c>
      <c r="CX59" s="37" t="n">
        <f aca="false">CX21+CX22+CX23-CX44</f>
        <v>570.3042157632</v>
      </c>
      <c r="CY59" s="37" t="n">
        <f aca="false">CY21+CY22+CY23-CY44</f>
        <v>570.3042157632</v>
      </c>
      <c r="CZ59" s="37" t="n">
        <f aca="false">CZ21+CZ22+CZ23-CZ44</f>
        <v>570.3042157632</v>
      </c>
      <c r="DA59" s="37" t="n">
        <f aca="false">DA21+DA22+DA23-DA44</f>
        <v>570.3042157632</v>
      </c>
      <c r="DB59" s="37" t="n">
        <f aca="false">DB21+DB22+DB23-DB44</f>
        <v>570.3042157632</v>
      </c>
      <c r="DC59" s="37" t="n">
        <f aca="false">DC21+DC22+DC23-DC44</f>
        <v>570.3042157632</v>
      </c>
      <c r="DD59" s="37" t="n">
        <f aca="false">DD21+DD22+DD23-DD44</f>
        <v>570.3042157632</v>
      </c>
      <c r="DE59" s="37" t="n">
        <f aca="false">DE21+DE22+DE23-DE44</f>
        <v>570.3042157632</v>
      </c>
      <c r="DF59" s="37" t="n">
        <f aca="false">DF21+DF22+DF23-DF44</f>
        <v>570.3042157632</v>
      </c>
      <c r="DG59" s="37" t="n">
        <f aca="false">DG21+DG22+DG23-DG44</f>
        <v>570.3042157632</v>
      </c>
      <c r="DH59" s="37" t="n">
        <f aca="false">DH21+DH22+DH23-DH44</f>
        <v>570.3042157632</v>
      </c>
      <c r="DI59" s="37" t="n">
        <f aca="false">DI21+DI22+DI23-DI44</f>
        <v>581.710300078464</v>
      </c>
      <c r="DJ59" s="37" t="n">
        <f aca="false">DJ21+DJ22+DJ23-DJ44</f>
        <v>581.710300078464</v>
      </c>
      <c r="DK59" s="37" t="n">
        <f aca="false">DK21+DK22+DK23-DK44</f>
        <v>581.710300078464</v>
      </c>
      <c r="DL59" s="37" t="n">
        <f aca="false">DL21+DL22+DL23-DL44</f>
        <v>581.710300078464</v>
      </c>
      <c r="DM59" s="37" t="n">
        <f aca="false">DM21+DM22+DM23-DM44</f>
        <v>581.710300078464</v>
      </c>
      <c r="DN59" s="37" t="n">
        <f aca="false">DN21+DN22+DN23-DN44</f>
        <v>581.710300078464</v>
      </c>
      <c r="DO59" s="37" t="n">
        <f aca="false">DO21+DO22+DO23-DO44</f>
        <v>581.710300078464</v>
      </c>
      <c r="DP59" s="37" t="n">
        <f aca="false">DP21+DP22+DP23-DP44</f>
        <v>581.710300078464</v>
      </c>
      <c r="DQ59" s="37" t="n">
        <f aca="false">DQ21+DQ22+DQ23-DQ44</f>
        <v>581.710300078464</v>
      </c>
      <c r="DR59" s="37" t="n">
        <f aca="false">DR21+DR22+DR23-DR44</f>
        <v>581.710300078464</v>
      </c>
      <c r="DS59" s="37" t="n">
        <f aca="false">DS21+DS22+DS23-DS44</f>
        <v>581.710300078464</v>
      </c>
      <c r="DT59" s="37" t="n">
        <f aca="false">DT21+DT22+DT23-DT44</f>
        <v>581.710300078464</v>
      </c>
      <c r="DU59" s="37" t="n">
        <f aca="false">DU21+DU22+DU23-DU44</f>
        <v>0</v>
      </c>
      <c r="DV59" s="37" t="n">
        <f aca="false">DV21+DV22+DV23-DV44</f>
        <v>0</v>
      </c>
      <c r="DW59" s="37" t="n">
        <f aca="false">DW21+DW22+DW23-DW44</f>
        <v>0</v>
      </c>
      <c r="DX59" s="37" t="n">
        <f aca="false">DX21+DX22+DX23-DX44</f>
        <v>0</v>
      </c>
      <c r="DY59" s="37" t="n">
        <f aca="false">DY21+DY22+DY23-DY44</f>
        <v>0</v>
      </c>
      <c r="DZ59" s="37" t="n">
        <f aca="false">DZ21+DZ22+DZ23-DZ44</f>
        <v>0</v>
      </c>
      <c r="EA59" s="37" t="n">
        <f aca="false">EA21+EA22+EA23-EA44</f>
        <v>0</v>
      </c>
      <c r="EB59" s="37" t="n">
        <f aca="false">EB21+EB22+EB23-EB44</f>
        <v>0</v>
      </c>
      <c r="EC59" s="37" t="n">
        <f aca="false">EC21+EC22+EC23-EC44</f>
        <v>0</v>
      </c>
      <c r="ED59" s="37" t="n">
        <f aca="false">ED21+ED22+ED23-ED44</f>
        <v>0</v>
      </c>
      <c r="EE59" s="37" t="n">
        <f aca="false">EE21+EE22+EE23-EE44</f>
        <v>0</v>
      </c>
      <c r="EF59" s="37" t="n">
        <f aca="false">EF21+EF22+EF23-EF44</f>
        <v>0</v>
      </c>
    </row>
    <row r="60" customFormat="false" ht="15" hidden="false" customHeight="false" outlineLevel="0" collapsed="false">
      <c r="A60" s="153" t="s">
        <v>607</v>
      </c>
      <c r="B60" s="278" t="s">
        <v>21</v>
      </c>
      <c r="C60" s="279" t="n">
        <f aca="false">SUM(E60:EF60)</f>
        <v>42839.1665090576</v>
      </c>
      <c r="E60" s="37" t="n">
        <f aca="false">E24+E25+E26-E45-E46</f>
        <v>0</v>
      </c>
      <c r="F60" s="37" t="n">
        <f aca="false">F24+F25+F26-F45-F46</f>
        <v>0</v>
      </c>
      <c r="G60" s="37" t="n">
        <f aca="false">G24+G25+G26-G45-G46</f>
        <v>0</v>
      </c>
      <c r="H60" s="37" t="n">
        <f aca="false">H24+H25+H26-H45-H46</f>
        <v>0</v>
      </c>
      <c r="I60" s="37" t="n">
        <f aca="false">I24+I25+I26-I45-I46</f>
        <v>0</v>
      </c>
      <c r="J60" s="37" t="n">
        <f aca="false">J24+J25+J26-J45-J46</f>
        <v>0</v>
      </c>
      <c r="K60" s="37" t="n">
        <f aca="false">K24+K25+K26-K45-K46</f>
        <v>0</v>
      </c>
      <c r="L60" s="37" t="n">
        <f aca="false">L24+L25+L26-L45-L46</f>
        <v>0</v>
      </c>
      <c r="M60" s="37" t="n">
        <f aca="false">M24+M25+M26-M45-M46</f>
        <v>0</v>
      </c>
      <c r="N60" s="37" t="n">
        <f aca="false">N24+N25+N26-N45-N46</f>
        <v>0</v>
      </c>
      <c r="O60" s="37" t="n">
        <f aca="false">O24+O25+O26-O45-O46</f>
        <v>0</v>
      </c>
      <c r="P60" s="37" t="n">
        <f aca="false">P24+P25+P26-P45-P46</f>
        <v>0</v>
      </c>
      <c r="Q60" s="37" t="n">
        <f aca="false">Q24+Q25+Q26-Q45-Q46</f>
        <v>0</v>
      </c>
      <c r="R60" s="37" t="n">
        <f aca="false">R24+R25+R26-R45-R46</f>
        <v>0</v>
      </c>
      <c r="S60" s="37" t="n">
        <f aca="false">S24+S25+S26-S45-S46</f>
        <v>0</v>
      </c>
      <c r="T60" s="37" t="n">
        <f aca="false">T24+T25+T26-T45-T46</f>
        <v>0</v>
      </c>
      <c r="U60" s="37" t="n">
        <f aca="false">U24+U25+U26-U45-U46</f>
        <v>0</v>
      </c>
      <c r="V60" s="37" t="n">
        <f aca="false">V24+V25+V26-V45-V46</f>
        <v>0</v>
      </c>
      <c r="W60" s="37" t="n">
        <f aca="false">W24+W25+W26-W45-W46</f>
        <v>0</v>
      </c>
      <c r="X60" s="37" t="n">
        <f aca="false">X24+X25+X26-X45-X46</f>
        <v>0</v>
      </c>
      <c r="Y60" s="37" t="n">
        <f aca="false">Y24+Y25+Y26-Y45-Y46</f>
        <v>0</v>
      </c>
      <c r="Z60" s="37" t="n">
        <f aca="false">Z24+Z25+Z26-Z45-Z46</f>
        <v>0</v>
      </c>
      <c r="AA60" s="37" t="n">
        <f aca="false">AA24+AA25+AA26-AA45-AA46</f>
        <v>0</v>
      </c>
      <c r="AB60" s="37" t="n">
        <f aca="false">AB24+AB25+AB26-AB45-AB46</f>
        <v>0</v>
      </c>
      <c r="AC60" s="37" t="n">
        <f aca="false">AC24+AC25+AC26-AC45-AC46</f>
        <v>0</v>
      </c>
      <c r="AD60" s="37" t="n">
        <f aca="false">AD24+AD25+AD26-AD45-AD46</f>
        <v>0</v>
      </c>
      <c r="AE60" s="37" t="n">
        <f aca="false">AE24+AE25+AE26-AE45-AE46</f>
        <v>0</v>
      </c>
      <c r="AF60" s="37" t="n">
        <f aca="false">AF24+AF25+AF26-AF45-AF46</f>
        <v>0</v>
      </c>
      <c r="AG60" s="37" t="n">
        <f aca="false">AG24+AG25+AG26-AG45-AG46</f>
        <v>0</v>
      </c>
      <c r="AH60" s="37" t="n">
        <f aca="false">AH24+AH25+AH26-AH45-AH46</f>
        <v>0</v>
      </c>
      <c r="AI60" s="37" t="n">
        <f aca="false">AI24+AI25+AI26-AI45-AI46</f>
        <v>0</v>
      </c>
      <c r="AJ60" s="37" t="n">
        <f aca="false">AJ24+AJ25+AJ26-AJ45-AJ46</f>
        <v>0</v>
      </c>
      <c r="AK60" s="37" t="n">
        <f aca="false">AK24+AK25+AK26-AK45-AK46</f>
        <v>0</v>
      </c>
      <c r="AL60" s="37" t="n">
        <f aca="false">AL24+AL25+AL26-AL45-AL46</f>
        <v>0</v>
      </c>
      <c r="AM60" s="37" t="n">
        <f aca="false">AM24+AM25+AM26-AM45-AM46</f>
        <v>0</v>
      </c>
      <c r="AN60" s="37" t="n">
        <f aca="false">AN24+AN25+AN26-AN45-AN46</f>
        <v>0</v>
      </c>
      <c r="AO60" s="37" t="n">
        <f aca="false">AO24+AO25+AO26-AO45-AO46</f>
        <v>0</v>
      </c>
      <c r="AP60" s="37" t="n">
        <f aca="false">AP24+AP25+AP26-AP45-AP46</f>
        <v>0</v>
      </c>
      <c r="AQ60" s="37" t="n">
        <f aca="false">AQ24+AQ25+AQ26-AQ45-AQ46</f>
        <v>0</v>
      </c>
      <c r="AR60" s="37" t="n">
        <f aca="false">AR24+AR25+AR26-AR45-AR46</f>
        <v>0</v>
      </c>
      <c r="AS60" s="37" t="n">
        <f aca="false">AS24+AS25+AS26-AS45-AS46</f>
        <v>0</v>
      </c>
      <c r="AT60" s="37" t="n">
        <f aca="false">AT24+AT25+AT26-AT45-AT46</f>
        <v>0</v>
      </c>
      <c r="AU60" s="37" t="n">
        <f aca="false">AU24+AU25+AU26-AU45-AU46</f>
        <v>0</v>
      </c>
      <c r="AV60" s="37" t="n">
        <f aca="false">AV24+AV25+AV26-AV45-AV46</f>
        <v>0</v>
      </c>
      <c r="AW60" s="37" t="n">
        <f aca="false">AW24+AW25+AW26-AW45-AW46</f>
        <v>0</v>
      </c>
      <c r="AX60" s="37" t="n">
        <f aca="false">AX24+AX25+AX26-AX45-AX46</f>
        <v>0</v>
      </c>
      <c r="AY60" s="37" t="n">
        <f aca="false">AY24+AY25+AY26-AY45-AY46</f>
        <v>0</v>
      </c>
      <c r="AZ60" s="37" t="n">
        <f aca="false">AZ24+AZ25+AZ26-AZ45-AZ46</f>
        <v>0</v>
      </c>
      <c r="BA60" s="37" t="n">
        <f aca="false">BA24+BA25+BA26-BA45-BA46</f>
        <v>0</v>
      </c>
      <c r="BB60" s="37" t="n">
        <f aca="false">BB24+BB25+BB26-BB45-BB46</f>
        <v>0</v>
      </c>
      <c r="BC60" s="37" t="n">
        <f aca="false">BC24+BC25+BC26-BC45-BC46</f>
        <v>0</v>
      </c>
      <c r="BD60" s="37" t="n">
        <f aca="false">BD24+BD25+BD26-BD45-BD46</f>
        <v>0</v>
      </c>
      <c r="BE60" s="37" t="n">
        <f aca="false">BE24+BE25+BE26-BE45-BE46</f>
        <v>0</v>
      </c>
      <c r="BF60" s="37" t="n">
        <f aca="false">BF24+BF25+BF26-BF45-BF46</f>
        <v>0</v>
      </c>
      <c r="BG60" s="37" t="n">
        <f aca="false">BG24+BG25+BG26-BG45-BG46</f>
        <v>0</v>
      </c>
      <c r="BH60" s="37" t="n">
        <f aca="false">BH24+BH25+BH26-BH45-BH46</f>
        <v>0</v>
      </c>
      <c r="BI60" s="37" t="n">
        <f aca="false">BI24+BI25+BI26-BI45-BI46</f>
        <v>0</v>
      </c>
      <c r="BJ60" s="37" t="n">
        <f aca="false">BJ24+BJ25+BJ26-BJ45-BJ46</f>
        <v>0</v>
      </c>
      <c r="BK60" s="37" t="n">
        <f aca="false">BK24+BK25+BK26-BK45-BK46</f>
        <v>0</v>
      </c>
      <c r="BL60" s="37" t="n">
        <f aca="false">BL24+BL25+BL26-BL45-BL46</f>
        <v>0</v>
      </c>
      <c r="BM60" s="37" t="n">
        <f aca="false">BM24+BM25+BM26-BM45-BM46</f>
        <v>621.206963795132</v>
      </c>
      <c r="BN60" s="37" t="n">
        <f aca="false">BN24+BN25+BN26-BN45-BN46</f>
        <v>601.16802947916</v>
      </c>
      <c r="BO60" s="37" t="n">
        <f aca="false">BO24+BO25+BO26-BO45-BO46</f>
        <v>621.206963795132</v>
      </c>
      <c r="BP60" s="37" t="n">
        <f aca="false">BP24+BP25+BP26-BP45-BP46</f>
        <v>601.16802947916</v>
      </c>
      <c r="BQ60" s="37" t="n">
        <f aca="false">BQ24+BQ25+BQ26-BQ45-BQ46</f>
        <v>621.206963795132</v>
      </c>
      <c r="BR60" s="37" t="n">
        <f aca="false">BR24+BR25+BR26-BR45-BR46</f>
        <v>621.206963795132</v>
      </c>
      <c r="BS60" s="37" t="n">
        <f aca="false">BS24+BS25+BS26-BS45-BS46</f>
        <v>601.16802947916</v>
      </c>
      <c r="BT60" s="37" t="n">
        <f aca="false">BT24+BT25+BT26-BT45-BT46</f>
        <v>621.206963795132</v>
      </c>
      <c r="BU60" s="37" t="n">
        <f aca="false">BU24+BU25+BU26-BU45-BU46</f>
        <v>601.16802947916</v>
      </c>
      <c r="BV60" s="37" t="n">
        <f aca="false">BV24+BV25+BV26-BV45-BV46</f>
        <v>621.206963795132</v>
      </c>
      <c r="BW60" s="37" t="n">
        <f aca="false">BW24+BW25+BW26-BW45-BW46</f>
        <v>621.206963795132</v>
      </c>
      <c r="BX60" s="37" t="n">
        <f aca="false">BX24+BX25+BX26-BX45-BX46</f>
        <v>581.129095163188</v>
      </c>
      <c r="BY60" s="37" t="n">
        <f aca="false">BY24+BY25+BY26-BY45-BY46</f>
        <v>731.112811235809</v>
      </c>
      <c r="BZ60" s="37" t="n">
        <f aca="false">BZ24+BZ25+BZ26-BZ45-BZ46</f>
        <v>707.528527002396</v>
      </c>
      <c r="CA60" s="37" t="n">
        <f aca="false">CA24+CA25+CA26-CA45-CA46</f>
        <v>731.112811235809</v>
      </c>
      <c r="CB60" s="37" t="n">
        <f aca="false">CB24+CB25+CB26-CB45-CB46</f>
        <v>707.528527002396</v>
      </c>
      <c r="CC60" s="37" t="n">
        <f aca="false">CC24+CC25+CC26-CC45-CC46</f>
        <v>731.112811235809</v>
      </c>
      <c r="CD60" s="37" t="n">
        <f aca="false">CD24+CD25+CD26-CD45-CD46</f>
        <v>731.112811235809</v>
      </c>
      <c r="CE60" s="37" t="n">
        <f aca="false">CE24+CE25+CE26-CE45-CE46</f>
        <v>707.528527002396</v>
      </c>
      <c r="CF60" s="37" t="n">
        <f aca="false">CF24+CF25+CF26-CF45-CF46</f>
        <v>731.112811235809</v>
      </c>
      <c r="CG60" s="37" t="n">
        <f aca="false">CG24+CG25+CG26-CG45-CG46</f>
        <v>707.528527002396</v>
      </c>
      <c r="CH60" s="37" t="n">
        <f aca="false">CH24+CH25+CH26-CH45-CH46</f>
        <v>731.112811235809</v>
      </c>
      <c r="CI60" s="37" t="n">
        <f aca="false">CI24+CI25+CI26-CI45-CI46</f>
        <v>731.112811235809</v>
      </c>
      <c r="CJ60" s="37" t="n">
        <f aca="false">CJ24+CJ25+CJ26-CJ45-CJ46</f>
        <v>660.359958535569</v>
      </c>
      <c r="CK60" s="37" t="n">
        <f aca="false">CK24+CK25+CK26-CK45-CK46</f>
        <v>745.735067460525</v>
      </c>
      <c r="CL60" s="37" t="n">
        <f aca="false">CL24+CL25+CL26-CL45-CL46</f>
        <v>721.679097542444</v>
      </c>
      <c r="CM60" s="37" t="n">
        <f aca="false">CM24+CM25+CM26-CM45-CM46</f>
        <v>745.735067460525</v>
      </c>
      <c r="CN60" s="37" t="n">
        <f aca="false">CN24+CN25+CN26-CN45-CN46</f>
        <v>721.679097542444</v>
      </c>
      <c r="CO60" s="37" t="n">
        <f aca="false">CO24+CO25+CO26-CO45-CO46</f>
        <v>745.735067460525</v>
      </c>
      <c r="CP60" s="37" t="n">
        <f aca="false">CP24+CP25+CP26-CP45-CP46</f>
        <v>745.735067460525</v>
      </c>
      <c r="CQ60" s="37" t="n">
        <f aca="false">CQ24+CQ25+CQ26-CQ45-CQ46</f>
        <v>721.679097542444</v>
      </c>
      <c r="CR60" s="37" t="n">
        <f aca="false">CR24+CR25+CR26-CR45-CR46</f>
        <v>745.735067460525</v>
      </c>
      <c r="CS60" s="37" t="n">
        <f aca="false">CS24+CS25+CS26-CS45-CS46</f>
        <v>721.679097542444</v>
      </c>
      <c r="CT60" s="37" t="n">
        <f aca="false">CT24+CT25+CT26-CT45-CT46</f>
        <v>745.735067460525</v>
      </c>
      <c r="CU60" s="37" t="n">
        <f aca="false">CU24+CU25+CU26-CU45-CU46</f>
        <v>745.735067460525</v>
      </c>
      <c r="CV60" s="37" t="n">
        <f aca="false">CV24+CV25+CV26-CV45-CV46</f>
        <v>673.567157706281</v>
      </c>
      <c r="CW60" s="37" t="n">
        <f aca="false">CW24+CW25+CW26-CW45-CW46</f>
        <v>760.649768809736</v>
      </c>
      <c r="CX60" s="37" t="n">
        <f aca="false">CX24+CX25+CX26-CX45-CX46</f>
        <v>736.112679493293</v>
      </c>
      <c r="CY60" s="37" t="n">
        <f aca="false">CY24+CY25+CY26-CY45-CY46</f>
        <v>760.649768809736</v>
      </c>
      <c r="CZ60" s="37" t="n">
        <f aca="false">CZ24+CZ25+CZ26-CZ45-CZ46</f>
        <v>736.112679493293</v>
      </c>
      <c r="DA60" s="37" t="n">
        <f aca="false">DA24+DA25+DA26-DA45-DA46</f>
        <v>760.649768809736</v>
      </c>
      <c r="DB60" s="37" t="n">
        <f aca="false">DB24+DB25+DB26-DB45-DB46</f>
        <v>760.649768809736</v>
      </c>
      <c r="DC60" s="37" t="n">
        <f aca="false">DC24+DC25+DC26-DC45-DC46</f>
        <v>736.112679493293</v>
      </c>
      <c r="DD60" s="37" t="n">
        <f aca="false">DD24+DD25+DD26-DD45-DD46</f>
        <v>760.649768809736</v>
      </c>
      <c r="DE60" s="37" t="n">
        <f aca="false">DE24+DE25+DE26-DE45-DE46</f>
        <v>736.112679493293</v>
      </c>
      <c r="DF60" s="37" t="n">
        <f aca="false">DF24+DF25+DF26-DF45-DF46</f>
        <v>760.649768809736</v>
      </c>
      <c r="DG60" s="37" t="n">
        <f aca="false">DG24+DG25+DG26-DG45-DG46</f>
        <v>760.649768809736</v>
      </c>
      <c r="DH60" s="37" t="n">
        <f aca="false">DH24+DH25+DH26-DH45-DH46</f>
        <v>687.038500860407</v>
      </c>
      <c r="DI60" s="37" t="n">
        <f aca="false">DI24+DI25+DI26-DI45-DI46</f>
        <v>775.86276418593</v>
      </c>
      <c r="DJ60" s="37" t="n">
        <f aca="false">DJ24+DJ25+DJ26-DJ45-DJ46</f>
        <v>750.834933083159</v>
      </c>
      <c r="DK60" s="37" t="n">
        <f aca="false">DK24+DK25+DK26-DK45-DK46</f>
        <v>775.86276418593</v>
      </c>
      <c r="DL60" s="37" t="n">
        <f aca="false">DL24+DL25+DL26-DL45-DL46</f>
        <v>750.834933083159</v>
      </c>
      <c r="DM60" s="37" t="n">
        <f aca="false">DM24+DM25+DM26-DM45-DM46</f>
        <v>775.86276418593</v>
      </c>
      <c r="DN60" s="37" t="n">
        <f aca="false">DN24+DN25+DN26-DN45-DN46</f>
        <v>775.86276418593</v>
      </c>
      <c r="DO60" s="37" t="n">
        <f aca="false">DO24+DO25+DO26-DO45-DO46</f>
        <v>750.834933083159</v>
      </c>
      <c r="DP60" s="37" t="n">
        <f aca="false">DP24+DP25+DP26-DP45-DP46</f>
        <v>775.86276418593</v>
      </c>
      <c r="DQ60" s="37" t="n">
        <f aca="false">DQ24+DQ25+DQ26-DQ45-DQ46</f>
        <v>750.834933083159</v>
      </c>
      <c r="DR60" s="37" t="n">
        <f aca="false">DR24+DR25+DR26-DR45-DR46</f>
        <v>775.86276418593</v>
      </c>
      <c r="DS60" s="37" t="n">
        <f aca="false">DS24+DS25+DS26-DS45-DS46</f>
        <v>775.86276418593</v>
      </c>
      <c r="DT60" s="37" t="n">
        <f aca="false">DT24+DT25+DT26-DT45-DT46</f>
        <v>725.807101980386</v>
      </c>
      <c r="DU60" s="37" t="n">
        <f aca="false">DU24+DU25+DU26-DU45-DU46</f>
        <v>0</v>
      </c>
      <c r="DV60" s="37" t="n">
        <f aca="false">DV24+DV25+DV26-DV45-DV46</f>
        <v>0</v>
      </c>
      <c r="DW60" s="37" t="n">
        <f aca="false">DW24+DW25+DW26-DW45-DW46</f>
        <v>0</v>
      </c>
      <c r="DX60" s="37" t="n">
        <f aca="false">DX24+DX25+DX26-DX45-DX46</f>
        <v>0</v>
      </c>
      <c r="DY60" s="37" t="n">
        <f aca="false">DY24+DY25+DY26-DY45-DY46</f>
        <v>0</v>
      </c>
      <c r="DZ60" s="37" t="n">
        <f aca="false">DZ24+DZ25+DZ26-DZ45-DZ46</f>
        <v>0</v>
      </c>
      <c r="EA60" s="37" t="n">
        <f aca="false">EA24+EA25+EA26-EA45-EA46</f>
        <v>0</v>
      </c>
      <c r="EB60" s="37" t="n">
        <f aca="false">EB24+EB25+EB26-EB45-EB46</f>
        <v>0</v>
      </c>
      <c r="EC60" s="37" t="n">
        <f aca="false">EC24+EC25+EC26-EC45-EC46</f>
        <v>0</v>
      </c>
      <c r="ED60" s="37" t="n">
        <f aca="false">ED24+ED25+ED26-ED45-ED46</f>
        <v>0</v>
      </c>
      <c r="EE60" s="37" t="n">
        <f aca="false">EE24+EE25+EE26-EE45-EE46</f>
        <v>0</v>
      </c>
      <c r="EF60" s="37" t="n">
        <f aca="false">EF24+EF25+EF26-EF45-EF46</f>
        <v>0</v>
      </c>
    </row>
    <row r="61" customFormat="false" ht="15" hidden="false" customHeight="false" outlineLevel="0" collapsed="false">
      <c r="A61" s="153" t="s">
        <v>608</v>
      </c>
      <c r="B61" s="278" t="s">
        <v>21</v>
      </c>
      <c r="C61" s="279" t="n">
        <f aca="false">SUM(E61:EF61)</f>
        <v>132976.804478938</v>
      </c>
      <c r="E61" s="37" t="n">
        <f aca="false">SUM(E27:E34)-SUM(E47:E52)</f>
        <v>0</v>
      </c>
      <c r="F61" s="37" t="n">
        <f aca="false">SUM(F27:F34)-SUM(F47:F52)</f>
        <v>0</v>
      </c>
      <c r="G61" s="37" t="n">
        <f aca="false">SUM(G27:G34)-SUM(G47:G52)</f>
        <v>0</v>
      </c>
      <c r="H61" s="37" t="n">
        <f aca="false">SUM(H27:H34)-SUM(H47:H52)</f>
        <v>0</v>
      </c>
      <c r="I61" s="37" t="n">
        <f aca="false">SUM(I27:I34)-SUM(I47:I52)</f>
        <v>0</v>
      </c>
      <c r="J61" s="37" t="n">
        <f aca="false">SUM(J27:J34)-SUM(J47:J52)</f>
        <v>0</v>
      </c>
      <c r="K61" s="37" t="n">
        <f aca="false">SUM(K27:K34)-SUM(K47:K52)</f>
        <v>0</v>
      </c>
      <c r="L61" s="37" t="n">
        <f aca="false">SUM(L27:L34)-SUM(L47:L52)</f>
        <v>0</v>
      </c>
      <c r="M61" s="37" t="n">
        <f aca="false">SUM(M27:M34)-SUM(M47:M52)</f>
        <v>0</v>
      </c>
      <c r="N61" s="37" t="n">
        <f aca="false">SUM(N27:N34)-SUM(N47:N52)</f>
        <v>0</v>
      </c>
      <c r="O61" s="37" t="n">
        <f aca="false">SUM(O27:O34)-SUM(O47:O52)</f>
        <v>0</v>
      </c>
      <c r="P61" s="37" t="n">
        <f aca="false">SUM(P27:P34)-SUM(P47:P52)</f>
        <v>0</v>
      </c>
      <c r="Q61" s="37" t="n">
        <f aca="false">SUM(Q27:Q34)-SUM(Q47:Q52)</f>
        <v>0</v>
      </c>
      <c r="R61" s="37" t="n">
        <f aca="false">SUM(R27:R34)-SUM(R47:R52)</f>
        <v>0</v>
      </c>
      <c r="S61" s="37" t="n">
        <f aca="false">SUM(S27:S34)-SUM(S47:S52)</f>
        <v>0</v>
      </c>
      <c r="T61" s="37" t="n">
        <f aca="false">SUM(T27:T34)-SUM(T47:T52)</f>
        <v>0</v>
      </c>
      <c r="U61" s="37" t="n">
        <f aca="false">SUM(U27:U34)-SUM(U47:U52)</f>
        <v>0</v>
      </c>
      <c r="V61" s="37" t="n">
        <f aca="false">SUM(V27:V34)-SUM(V47:V52)</f>
        <v>0</v>
      </c>
      <c r="W61" s="37" t="n">
        <f aca="false">SUM(W27:W34)-SUM(W47:W52)</f>
        <v>0</v>
      </c>
      <c r="X61" s="37" t="n">
        <f aca="false">SUM(X27:X34)-SUM(X47:X52)</f>
        <v>0</v>
      </c>
      <c r="Y61" s="37" t="n">
        <f aca="false">SUM(Y27:Y34)-SUM(Y47:Y52)</f>
        <v>0</v>
      </c>
      <c r="Z61" s="37" t="n">
        <f aca="false">SUM(Z27:Z34)-SUM(Z47:Z52)</f>
        <v>0</v>
      </c>
      <c r="AA61" s="37" t="n">
        <f aca="false">SUM(AA27:AA34)-SUM(AA47:AA52)</f>
        <v>0</v>
      </c>
      <c r="AB61" s="37" t="n">
        <f aca="false">SUM(AB27:AB34)-SUM(AB47:AB52)</f>
        <v>0</v>
      </c>
      <c r="AC61" s="37" t="n">
        <f aca="false">SUM(AC27:AC34)-SUM(AC47:AC52)</f>
        <v>0</v>
      </c>
      <c r="AD61" s="37" t="n">
        <f aca="false">SUM(AD27:AD34)-SUM(AD47:AD52)</f>
        <v>0</v>
      </c>
      <c r="AE61" s="37" t="n">
        <f aca="false">SUM(AE27:AE34)-SUM(AE47:AE52)</f>
        <v>0</v>
      </c>
      <c r="AF61" s="37" t="n">
        <f aca="false">SUM(AF27:AF34)-SUM(AF47:AF52)</f>
        <v>0</v>
      </c>
      <c r="AG61" s="37" t="n">
        <f aca="false">SUM(AG27:AG34)-SUM(AG47:AG52)</f>
        <v>0</v>
      </c>
      <c r="AH61" s="37" t="n">
        <f aca="false">SUM(AH27:AH34)-SUM(AH47:AH52)</f>
        <v>0</v>
      </c>
      <c r="AI61" s="37" t="n">
        <f aca="false">SUM(AI27:AI34)-SUM(AI47:AI52)</f>
        <v>0</v>
      </c>
      <c r="AJ61" s="37" t="n">
        <f aca="false">SUM(AJ27:AJ34)-SUM(AJ47:AJ52)</f>
        <v>0</v>
      </c>
      <c r="AK61" s="37" t="n">
        <f aca="false">SUM(AK27:AK34)-SUM(AK47:AK52)</f>
        <v>0</v>
      </c>
      <c r="AL61" s="37" t="n">
        <f aca="false">SUM(AL27:AL34)-SUM(AL47:AL52)</f>
        <v>0</v>
      </c>
      <c r="AM61" s="37" t="n">
        <f aca="false">SUM(AM27:AM34)-SUM(AM47:AM52)</f>
        <v>0</v>
      </c>
      <c r="AN61" s="37" t="n">
        <f aca="false">SUM(AN27:AN34)-SUM(AN47:AN52)</f>
        <v>0</v>
      </c>
      <c r="AO61" s="37" t="n">
        <f aca="false">SUM(AO27:AO34)-SUM(AO47:AO52)</f>
        <v>0</v>
      </c>
      <c r="AP61" s="37" t="n">
        <f aca="false">SUM(AP27:AP34)-SUM(AP47:AP52)</f>
        <v>0</v>
      </c>
      <c r="AQ61" s="37" t="n">
        <f aca="false">SUM(AQ27:AQ34)-SUM(AQ47:AQ52)</f>
        <v>0</v>
      </c>
      <c r="AR61" s="37" t="n">
        <f aca="false">SUM(AR27:AR34)-SUM(AR47:AR52)</f>
        <v>0</v>
      </c>
      <c r="AS61" s="37" t="n">
        <f aca="false">SUM(AS27:AS34)-SUM(AS47:AS52)</f>
        <v>0</v>
      </c>
      <c r="AT61" s="37" t="n">
        <f aca="false">SUM(AT27:AT34)-SUM(AT47:AT52)</f>
        <v>0</v>
      </c>
      <c r="AU61" s="37" t="n">
        <f aca="false">SUM(AU27:AU34)-SUM(AU47:AU52)</f>
        <v>0</v>
      </c>
      <c r="AV61" s="37" t="n">
        <f aca="false">SUM(AV27:AV34)-SUM(AV47:AV52)</f>
        <v>0</v>
      </c>
      <c r="AW61" s="37" t="n">
        <f aca="false">SUM(AW27:AW34)-SUM(AW47:AW52)</f>
        <v>0</v>
      </c>
      <c r="AX61" s="37" t="n">
        <f aca="false">SUM(AX27:AX34)-SUM(AX47:AX52)</f>
        <v>0</v>
      </c>
      <c r="AY61" s="37" t="n">
        <f aca="false">SUM(AY27:AY34)-SUM(AY47:AY52)</f>
        <v>0</v>
      </c>
      <c r="AZ61" s="37" t="n">
        <f aca="false">SUM(AZ27:AZ34)-SUM(AZ47:AZ52)</f>
        <v>0</v>
      </c>
      <c r="BA61" s="37" t="n">
        <f aca="false">SUM(BA27:BA34)-SUM(BA47:BA52)</f>
        <v>0</v>
      </c>
      <c r="BB61" s="37" t="n">
        <f aca="false">SUM(BB27:BB34)-SUM(BB47:BB52)</f>
        <v>0</v>
      </c>
      <c r="BC61" s="37" t="n">
        <f aca="false">SUM(BC27:BC34)-SUM(BC47:BC52)</f>
        <v>0</v>
      </c>
      <c r="BD61" s="37" t="n">
        <f aca="false">SUM(BD27:BD34)-SUM(BD47:BD52)</f>
        <v>0</v>
      </c>
      <c r="BE61" s="37" t="n">
        <f aca="false">SUM(BE27:BE34)-SUM(BE47:BE52)</f>
        <v>0</v>
      </c>
      <c r="BF61" s="37" t="n">
        <f aca="false">SUM(BF27:BF34)-SUM(BF47:BF52)</f>
        <v>0</v>
      </c>
      <c r="BG61" s="37" t="n">
        <f aca="false">SUM(BG27:BG34)-SUM(BG47:BG52)</f>
        <v>0</v>
      </c>
      <c r="BH61" s="37" t="n">
        <f aca="false">SUM(BH27:BH34)-SUM(BH47:BH52)</f>
        <v>0</v>
      </c>
      <c r="BI61" s="37" t="n">
        <f aca="false">SUM(BI27:BI34)-SUM(BI47:BI52)</f>
        <v>0</v>
      </c>
      <c r="BJ61" s="37" t="n">
        <f aca="false">SUM(BJ27:BJ34)-SUM(BJ47:BJ52)</f>
        <v>0</v>
      </c>
      <c r="BK61" s="37" t="n">
        <f aca="false">SUM(BK27:BK34)-SUM(BK47:BK52)</f>
        <v>0</v>
      </c>
      <c r="BL61" s="37" t="n">
        <f aca="false">SUM(BL27:BL34)-SUM(BL47:BL52)</f>
        <v>0</v>
      </c>
      <c r="BM61" s="37" t="n">
        <f aca="false">SUM(BM27:BM34)-SUM(BM47:BM52)</f>
        <v>1928.284878</v>
      </c>
      <c r="BN61" s="37" t="n">
        <f aca="false">SUM(BN27:BN34)-SUM(BN47:BN52)</f>
        <v>1866.08214</v>
      </c>
      <c r="BO61" s="37" t="n">
        <f aca="false">SUM(BO27:BO34)-SUM(BO47:BO52)</f>
        <v>1928.284878</v>
      </c>
      <c r="BP61" s="37" t="n">
        <f aca="false">SUM(BP27:BP34)-SUM(BP47:BP52)</f>
        <v>1866.08214</v>
      </c>
      <c r="BQ61" s="37" t="n">
        <f aca="false">SUM(BQ27:BQ34)-SUM(BQ47:BQ52)</f>
        <v>1928.284878</v>
      </c>
      <c r="BR61" s="37" t="n">
        <f aca="false">SUM(BR27:BR34)-SUM(BR47:BR52)</f>
        <v>1928.284878</v>
      </c>
      <c r="BS61" s="37" t="n">
        <f aca="false">SUM(BS27:BS34)-SUM(BS47:BS52)</f>
        <v>1866.08214</v>
      </c>
      <c r="BT61" s="37" t="n">
        <f aca="false">SUM(BT27:BT34)-SUM(BT47:BT52)</f>
        <v>1928.284878</v>
      </c>
      <c r="BU61" s="37" t="n">
        <f aca="false">SUM(BU27:BU34)-SUM(BU47:BU52)</f>
        <v>1866.08214</v>
      </c>
      <c r="BV61" s="37" t="n">
        <f aca="false">SUM(BV27:BV34)-SUM(BV47:BV52)</f>
        <v>1928.284878</v>
      </c>
      <c r="BW61" s="37" t="n">
        <f aca="false">SUM(BW27:BW34)-SUM(BW47:BW52)</f>
        <v>1928.284878</v>
      </c>
      <c r="BX61" s="37" t="n">
        <f aca="false">SUM(BX27:BX34)-SUM(BX47:BX52)</f>
        <v>1803.879402</v>
      </c>
      <c r="BY61" s="37" t="n">
        <f aca="false">SUM(BY27:BY34)-SUM(BY47:BY52)</f>
        <v>2269.4429718</v>
      </c>
      <c r="BZ61" s="37" t="n">
        <f aca="false">SUM(BZ27:BZ34)-SUM(BZ47:BZ52)</f>
        <v>2196.235134</v>
      </c>
      <c r="CA61" s="37" t="n">
        <f aca="false">SUM(CA27:CA34)-SUM(CA47:CA52)</f>
        <v>2269.4429718</v>
      </c>
      <c r="CB61" s="37" t="n">
        <f aca="false">SUM(CB27:CB34)-SUM(CB47:CB52)</f>
        <v>2196.235134</v>
      </c>
      <c r="CC61" s="37" t="n">
        <f aca="false">SUM(CC27:CC34)-SUM(CC47:CC52)</f>
        <v>2269.4429718</v>
      </c>
      <c r="CD61" s="37" t="n">
        <f aca="false">SUM(CD27:CD34)-SUM(CD47:CD52)</f>
        <v>2269.4429718</v>
      </c>
      <c r="CE61" s="37" t="n">
        <f aca="false">SUM(CE27:CE34)-SUM(CE47:CE52)</f>
        <v>2196.235134</v>
      </c>
      <c r="CF61" s="37" t="n">
        <f aca="false">SUM(CF27:CF34)-SUM(CF47:CF52)</f>
        <v>2269.4429718</v>
      </c>
      <c r="CG61" s="37" t="n">
        <f aca="false">SUM(CG27:CG34)-SUM(CG47:CG52)</f>
        <v>2196.235134</v>
      </c>
      <c r="CH61" s="37" t="n">
        <f aca="false">SUM(CH27:CH34)-SUM(CH47:CH52)</f>
        <v>2269.4429718</v>
      </c>
      <c r="CI61" s="37" t="n">
        <f aca="false">SUM(CI27:CI34)-SUM(CI47:CI52)</f>
        <v>2269.4429718</v>
      </c>
      <c r="CJ61" s="37" t="n">
        <f aca="false">SUM(CJ27:CJ34)-SUM(CJ47:CJ52)</f>
        <v>2049.8194584</v>
      </c>
      <c r="CK61" s="37" t="n">
        <f aca="false">SUM(CK27:CK34)-SUM(CK47:CK52)</f>
        <v>2314.831831236</v>
      </c>
      <c r="CL61" s="37" t="n">
        <f aca="false">SUM(CL27:CL34)-SUM(CL47:CL52)</f>
        <v>2240.15983668</v>
      </c>
      <c r="CM61" s="37" t="n">
        <f aca="false">SUM(CM27:CM34)-SUM(CM47:CM52)</f>
        <v>2314.831831236</v>
      </c>
      <c r="CN61" s="37" t="n">
        <f aca="false">SUM(CN27:CN34)-SUM(CN47:CN52)</f>
        <v>2240.15983668</v>
      </c>
      <c r="CO61" s="37" t="n">
        <f aca="false">SUM(CO27:CO34)-SUM(CO47:CO52)</f>
        <v>2314.831831236</v>
      </c>
      <c r="CP61" s="37" t="n">
        <f aca="false">SUM(CP27:CP34)-SUM(CP47:CP52)</f>
        <v>2314.831831236</v>
      </c>
      <c r="CQ61" s="37" t="n">
        <f aca="false">SUM(CQ27:CQ34)-SUM(CQ47:CQ52)</f>
        <v>2240.15983668</v>
      </c>
      <c r="CR61" s="37" t="n">
        <f aca="false">SUM(CR27:CR34)-SUM(CR47:CR52)</f>
        <v>2314.831831236</v>
      </c>
      <c r="CS61" s="37" t="n">
        <f aca="false">SUM(CS27:CS34)-SUM(CS47:CS52)</f>
        <v>2240.15983668</v>
      </c>
      <c r="CT61" s="37" t="n">
        <f aca="false">SUM(CT27:CT34)-SUM(CT47:CT52)</f>
        <v>2314.831831236</v>
      </c>
      <c r="CU61" s="37" t="n">
        <f aca="false">SUM(CU27:CU34)-SUM(CU47:CU52)</f>
        <v>2314.831831236</v>
      </c>
      <c r="CV61" s="37" t="n">
        <f aca="false">SUM(CV27:CV34)-SUM(CV47:CV52)</f>
        <v>2090.815847568</v>
      </c>
      <c r="CW61" s="37" t="n">
        <f aca="false">SUM(CW27:CW34)-SUM(CW47:CW52)</f>
        <v>2361.12846786072</v>
      </c>
      <c r="CX61" s="37" t="n">
        <f aca="false">SUM(CX27:CX34)-SUM(CX47:CX52)</f>
        <v>2284.9630334136</v>
      </c>
      <c r="CY61" s="37" t="n">
        <f aca="false">SUM(CY27:CY34)-SUM(CY47:CY52)</f>
        <v>2361.12846786072</v>
      </c>
      <c r="CZ61" s="37" t="n">
        <f aca="false">SUM(CZ27:CZ34)-SUM(CZ47:CZ52)</f>
        <v>2284.9630334136</v>
      </c>
      <c r="DA61" s="37" t="n">
        <f aca="false">SUM(DA27:DA34)-SUM(DA47:DA52)</f>
        <v>2361.12846786072</v>
      </c>
      <c r="DB61" s="37" t="n">
        <f aca="false">SUM(DB27:DB34)-SUM(DB47:DB52)</f>
        <v>2361.12846786072</v>
      </c>
      <c r="DC61" s="37" t="n">
        <f aca="false">SUM(DC27:DC34)-SUM(DC47:DC52)</f>
        <v>2284.9630334136</v>
      </c>
      <c r="DD61" s="37" t="n">
        <f aca="false">SUM(DD27:DD34)-SUM(DD47:DD52)</f>
        <v>2361.12846786072</v>
      </c>
      <c r="DE61" s="37" t="n">
        <f aca="false">SUM(DE27:DE34)-SUM(DE47:DE52)</f>
        <v>2284.9630334136</v>
      </c>
      <c r="DF61" s="37" t="n">
        <f aca="false">SUM(DF27:DF34)-SUM(DF47:DF52)</f>
        <v>2361.12846786072</v>
      </c>
      <c r="DG61" s="37" t="n">
        <f aca="false">SUM(DG27:DG34)-SUM(DG47:DG52)</f>
        <v>2361.12846786072</v>
      </c>
      <c r="DH61" s="37" t="n">
        <f aca="false">SUM(DH27:DH34)-SUM(DH47:DH52)</f>
        <v>2132.63216451936</v>
      </c>
      <c r="DI61" s="37" t="n">
        <f aca="false">SUM(DI27:DI34)-SUM(DI47:DI52)</f>
        <v>2408.35103721794</v>
      </c>
      <c r="DJ61" s="37" t="n">
        <f aca="false">SUM(DJ27:DJ34)-SUM(DJ47:DJ52)</f>
        <v>2330.66229408187</v>
      </c>
      <c r="DK61" s="37" t="n">
        <f aca="false">SUM(DK27:DK34)-SUM(DK47:DK52)</f>
        <v>2408.35103721794</v>
      </c>
      <c r="DL61" s="37" t="n">
        <f aca="false">SUM(DL27:DL34)-SUM(DL47:DL52)</f>
        <v>2330.66229408187</v>
      </c>
      <c r="DM61" s="37" t="n">
        <f aca="false">SUM(DM27:DM34)-SUM(DM47:DM52)</f>
        <v>2408.35103721794</v>
      </c>
      <c r="DN61" s="37" t="n">
        <f aca="false">SUM(DN27:DN34)-SUM(DN47:DN52)</f>
        <v>2408.35103721794</v>
      </c>
      <c r="DO61" s="37" t="n">
        <f aca="false">SUM(DO27:DO34)-SUM(DO47:DO52)</f>
        <v>2330.66229408187</v>
      </c>
      <c r="DP61" s="37" t="n">
        <f aca="false">SUM(DP27:DP34)-SUM(DP47:DP52)</f>
        <v>2408.35103721794</v>
      </c>
      <c r="DQ61" s="37" t="n">
        <f aca="false">SUM(DQ27:DQ34)-SUM(DQ47:DQ52)</f>
        <v>2330.66229408187</v>
      </c>
      <c r="DR61" s="37" t="n">
        <f aca="false">SUM(DR27:DR34)-SUM(DR47:DR52)</f>
        <v>2408.35103721794</v>
      </c>
      <c r="DS61" s="37" t="n">
        <f aca="false">SUM(DS27:DS34)-SUM(DS47:DS52)</f>
        <v>2408.35103721794</v>
      </c>
      <c r="DT61" s="37" t="n">
        <f aca="false">SUM(DT27:DT34)-SUM(DT47:DT52)</f>
        <v>2252.97355094581</v>
      </c>
      <c r="DU61" s="37" t="n">
        <f aca="false">SUM(DU27:DU34)-SUM(DU47:DU52)</f>
        <v>0</v>
      </c>
      <c r="DV61" s="37" t="n">
        <f aca="false">SUM(DV27:DV34)-SUM(DV47:DV52)</f>
        <v>0</v>
      </c>
      <c r="DW61" s="37" t="n">
        <f aca="false">SUM(DW27:DW34)-SUM(DW47:DW52)</f>
        <v>0</v>
      </c>
      <c r="DX61" s="37" t="n">
        <f aca="false">SUM(DX27:DX34)-SUM(DX47:DX52)</f>
        <v>0</v>
      </c>
      <c r="DY61" s="37" t="n">
        <f aca="false">SUM(DY27:DY34)-SUM(DY47:DY52)</f>
        <v>0</v>
      </c>
      <c r="DZ61" s="37" t="n">
        <f aca="false">SUM(DZ27:DZ34)-SUM(DZ47:DZ52)</f>
        <v>0</v>
      </c>
      <c r="EA61" s="37" t="n">
        <f aca="false">SUM(EA27:EA34)-SUM(EA47:EA52)</f>
        <v>0</v>
      </c>
      <c r="EB61" s="37" t="n">
        <f aca="false">SUM(EB27:EB34)-SUM(EB47:EB52)</f>
        <v>0</v>
      </c>
      <c r="EC61" s="37" t="n">
        <f aca="false">SUM(EC27:EC34)-SUM(EC47:EC52)</f>
        <v>0</v>
      </c>
      <c r="ED61" s="37" t="n">
        <f aca="false">SUM(ED27:ED34)-SUM(ED47:ED52)</f>
        <v>0</v>
      </c>
      <c r="EE61" s="37" t="n">
        <f aca="false">SUM(EE27:EE34)-SUM(EE47:EE52)</f>
        <v>0</v>
      </c>
      <c r="EF61" s="37" t="n">
        <f aca="false">SUM(EF27:EF34)-SUM(EF47:EF52)</f>
        <v>0</v>
      </c>
    </row>
    <row r="62" customFormat="false" ht="15" hidden="false" customHeight="false" outlineLevel="0" collapsed="false">
      <c r="A62" s="153" t="s">
        <v>609</v>
      </c>
      <c r="B62" s="278" t="s">
        <v>21</v>
      </c>
      <c r="C62" s="279" t="n">
        <f aca="false">SUM(E62:EF62)</f>
        <v>66369.0377920937</v>
      </c>
      <c r="E62" s="37" t="n">
        <f aca="false">E35-E53-E54</f>
        <v>0</v>
      </c>
      <c r="F62" s="37" t="n">
        <f aca="false">F35-F53-F54</f>
        <v>0</v>
      </c>
      <c r="G62" s="37" t="n">
        <f aca="false">G35-G53-G54</f>
        <v>0</v>
      </c>
      <c r="H62" s="37" t="n">
        <f aca="false">H35-H53-H54</f>
        <v>0</v>
      </c>
      <c r="I62" s="37" t="n">
        <f aca="false">I35-I53-I54</f>
        <v>0</v>
      </c>
      <c r="J62" s="37" t="n">
        <f aca="false">J35-J53-J54</f>
        <v>0</v>
      </c>
      <c r="K62" s="37" t="n">
        <f aca="false">K35-K53-K54</f>
        <v>0</v>
      </c>
      <c r="L62" s="37" t="n">
        <f aca="false">L35-L53-L54</f>
        <v>0</v>
      </c>
      <c r="M62" s="37" t="n">
        <f aca="false">M35-M53-M54</f>
        <v>0</v>
      </c>
      <c r="N62" s="37" t="n">
        <f aca="false">N35-N53-N54</f>
        <v>0</v>
      </c>
      <c r="O62" s="37" t="n">
        <f aca="false">O35-O53-O54</f>
        <v>0</v>
      </c>
      <c r="P62" s="37" t="n">
        <f aca="false">P35-P53-P54</f>
        <v>0</v>
      </c>
      <c r="Q62" s="37" t="n">
        <f aca="false">Q35-Q53-Q54</f>
        <v>0</v>
      </c>
      <c r="R62" s="37" t="n">
        <f aca="false">R35-R53-R54</f>
        <v>0</v>
      </c>
      <c r="S62" s="37" t="n">
        <f aca="false">S35-S53-S54</f>
        <v>0</v>
      </c>
      <c r="T62" s="37" t="n">
        <f aca="false">T35-T53-T54</f>
        <v>0</v>
      </c>
      <c r="U62" s="37" t="n">
        <f aca="false">U35-U53-U54</f>
        <v>0</v>
      </c>
      <c r="V62" s="37" t="n">
        <f aca="false">V35-V53-V54</f>
        <v>0</v>
      </c>
      <c r="W62" s="37" t="n">
        <f aca="false">W35-W53-W54</f>
        <v>0</v>
      </c>
      <c r="X62" s="37" t="n">
        <f aca="false">X35-X53-X54</f>
        <v>0</v>
      </c>
      <c r="Y62" s="37" t="n">
        <f aca="false">Y35-Y53-Y54</f>
        <v>0</v>
      </c>
      <c r="Z62" s="37" t="n">
        <f aca="false">Z35-Z53-Z54</f>
        <v>0</v>
      </c>
      <c r="AA62" s="37" t="n">
        <f aca="false">AA35-AA53-AA54</f>
        <v>0</v>
      </c>
      <c r="AB62" s="37" t="n">
        <f aca="false">AB35-AB53-AB54</f>
        <v>0</v>
      </c>
      <c r="AC62" s="37" t="n">
        <f aca="false">AC35-AC53-AC54</f>
        <v>0</v>
      </c>
      <c r="AD62" s="37" t="n">
        <f aca="false">AD35-AD53-AD54</f>
        <v>0</v>
      </c>
      <c r="AE62" s="37" t="n">
        <f aca="false">AE35-AE53-AE54</f>
        <v>0</v>
      </c>
      <c r="AF62" s="37" t="n">
        <f aca="false">AF35-AF53-AF54</f>
        <v>0</v>
      </c>
      <c r="AG62" s="37" t="n">
        <f aca="false">AG35-AG53-AG54</f>
        <v>0</v>
      </c>
      <c r="AH62" s="37" t="n">
        <f aca="false">AH35-AH53-AH54</f>
        <v>0</v>
      </c>
      <c r="AI62" s="37" t="n">
        <f aca="false">AI35-AI53-AI54</f>
        <v>0</v>
      </c>
      <c r="AJ62" s="37" t="n">
        <f aca="false">AJ35-AJ53-AJ54</f>
        <v>0</v>
      </c>
      <c r="AK62" s="37" t="n">
        <f aca="false">AK35-AK53-AK54</f>
        <v>0</v>
      </c>
      <c r="AL62" s="37" t="n">
        <f aca="false">AL35-AL53-AL54</f>
        <v>0</v>
      </c>
      <c r="AM62" s="37" t="n">
        <f aca="false">AM35-AM53-AM54</f>
        <v>0</v>
      </c>
      <c r="AN62" s="37" t="n">
        <f aca="false">AN35-AN53-AN54</f>
        <v>0</v>
      </c>
      <c r="AO62" s="37" t="n">
        <f aca="false">AO35-AO53-AO54</f>
        <v>0</v>
      </c>
      <c r="AP62" s="37" t="n">
        <f aca="false">AP35-AP53-AP54</f>
        <v>0</v>
      </c>
      <c r="AQ62" s="37" t="n">
        <f aca="false">AQ35-AQ53-AQ54</f>
        <v>0</v>
      </c>
      <c r="AR62" s="37" t="n">
        <f aca="false">AR35-AR53-AR54</f>
        <v>0</v>
      </c>
      <c r="AS62" s="37" t="n">
        <f aca="false">AS35-AS53-AS54</f>
        <v>0</v>
      </c>
      <c r="AT62" s="37" t="n">
        <f aca="false">AT35-AT53-AT54</f>
        <v>0</v>
      </c>
      <c r="AU62" s="37" t="n">
        <f aca="false">AU35-AU53-AU54</f>
        <v>0</v>
      </c>
      <c r="AV62" s="37" t="n">
        <f aca="false">AV35-AV53-AV54</f>
        <v>0</v>
      </c>
      <c r="AW62" s="37" t="n">
        <f aca="false">AW35-AW53-AW54</f>
        <v>0</v>
      </c>
      <c r="AX62" s="37" t="n">
        <f aca="false">AX35-AX53-AX54</f>
        <v>0</v>
      </c>
      <c r="AY62" s="37" t="n">
        <f aca="false">AY35-AY53-AY54</f>
        <v>0</v>
      </c>
      <c r="AZ62" s="37" t="n">
        <f aca="false">AZ35-AZ53-AZ54</f>
        <v>0</v>
      </c>
      <c r="BA62" s="37" t="n">
        <f aca="false">BA35-BA53-BA54</f>
        <v>0</v>
      </c>
      <c r="BB62" s="37" t="n">
        <f aca="false">BB35-BB53-BB54</f>
        <v>0</v>
      </c>
      <c r="BC62" s="37" t="n">
        <f aca="false">BC35-BC53-BC54</f>
        <v>0</v>
      </c>
      <c r="BD62" s="37" t="n">
        <f aca="false">BD35-BD53-BD54</f>
        <v>0</v>
      </c>
      <c r="BE62" s="37" t="n">
        <f aca="false">BE35-BE53-BE54</f>
        <v>0</v>
      </c>
      <c r="BF62" s="37" t="n">
        <f aca="false">BF35-BF53-BF54</f>
        <v>0</v>
      </c>
      <c r="BG62" s="37" t="n">
        <f aca="false">BG35-BG53-BG54</f>
        <v>0</v>
      </c>
      <c r="BH62" s="37" t="n">
        <f aca="false">BH35-BH53-BH54</f>
        <v>0</v>
      </c>
      <c r="BI62" s="37" t="n">
        <f aca="false">BI35-BI53-BI54</f>
        <v>0</v>
      </c>
      <c r="BJ62" s="37" t="n">
        <f aca="false">BJ35-BJ53-BJ54</f>
        <v>0</v>
      </c>
      <c r="BK62" s="37" t="n">
        <f aca="false">BK35-BK53-BK54</f>
        <v>0</v>
      </c>
      <c r="BL62" s="37" t="n">
        <f aca="false">BL35-BL53-BL54</f>
        <v>0</v>
      </c>
      <c r="BM62" s="37" t="n">
        <f aca="false">BM35-BM53-BM54</f>
        <v>715.66406</v>
      </c>
      <c r="BN62" s="37" t="n">
        <f aca="false">BN35-BN53-BN54</f>
        <v>715.66406</v>
      </c>
      <c r="BO62" s="37" t="n">
        <f aca="false">BO35-BO53-BO54</f>
        <v>715.66406</v>
      </c>
      <c r="BP62" s="37" t="n">
        <f aca="false">BP35-BP53-BP54</f>
        <v>715.66406</v>
      </c>
      <c r="BQ62" s="37" t="n">
        <f aca="false">BQ35-BQ53-BQ54</f>
        <v>715.66406</v>
      </c>
      <c r="BR62" s="37" t="n">
        <f aca="false">BR35-BR53-BR54</f>
        <v>715.66406</v>
      </c>
      <c r="BS62" s="37" t="n">
        <f aca="false">BS35-BS53-BS54</f>
        <v>715.66406</v>
      </c>
      <c r="BT62" s="37" t="n">
        <f aca="false">BT35-BT53-BT54</f>
        <v>715.66406</v>
      </c>
      <c r="BU62" s="37" t="n">
        <f aca="false">BU35-BU53-BU54</f>
        <v>715.66406</v>
      </c>
      <c r="BV62" s="37" t="n">
        <f aca="false">BV35-BV53-BV54</f>
        <v>715.66406</v>
      </c>
      <c r="BW62" s="37" t="n">
        <f aca="false">BW35-BW53-BW54</f>
        <v>715.66406</v>
      </c>
      <c r="BX62" s="37" t="n">
        <f aca="false">BX35-BX53-BX54</f>
        <v>715.66406</v>
      </c>
      <c r="BY62" s="37" t="n">
        <f aca="false">BY35-BY53-BY54</f>
        <v>1168.25498430252</v>
      </c>
      <c r="BZ62" s="37" t="n">
        <f aca="false">BZ35-BZ53-BZ54</f>
        <v>1168.25498430252</v>
      </c>
      <c r="CA62" s="37" t="n">
        <f aca="false">CA35-CA53-CA54</f>
        <v>1168.25498430252</v>
      </c>
      <c r="CB62" s="37" t="n">
        <f aca="false">CB35-CB53-CB54</f>
        <v>1168.25498430252</v>
      </c>
      <c r="CC62" s="37" t="n">
        <f aca="false">CC35-CC53-CC54</f>
        <v>1168.25498430252</v>
      </c>
      <c r="CD62" s="37" t="n">
        <f aca="false">CD35-CD53-CD54</f>
        <v>1168.25498430252</v>
      </c>
      <c r="CE62" s="37" t="n">
        <f aca="false">CE35-CE53-CE54</f>
        <v>1168.25498430252</v>
      </c>
      <c r="CF62" s="37" t="n">
        <f aca="false">CF35-CF53-CF54</f>
        <v>1168.25498430252</v>
      </c>
      <c r="CG62" s="37" t="n">
        <f aca="false">CG35-CG53-CG54</f>
        <v>1168.25498430252</v>
      </c>
      <c r="CH62" s="37" t="n">
        <f aca="false">CH35-CH53-CH54</f>
        <v>1168.25498430252</v>
      </c>
      <c r="CI62" s="37" t="n">
        <f aca="false">CI35-CI53-CI54</f>
        <v>1168.25498430252</v>
      </c>
      <c r="CJ62" s="37" t="n">
        <f aca="false">CJ35-CJ53-CJ54</f>
        <v>1168.25498430252</v>
      </c>
      <c r="CK62" s="37" t="n">
        <f aca="false">CK35-CK53-CK54</f>
        <v>1191.62008398857</v>
      </c>
      <c r="CL62" s="37" t="n">
        <f aca="false">CL35-CL53-CL54</f>
        <v>1191.62008398857</v>
      </c>
      <c r="CM62" s="37" t="n">
        <f aca="false">CM35-CM53-CM54</f>
        <v>1191.62008398857</v>
      </c>
      <c r="CN62" s="37" t="n">
        <f aca="false">CN35-CN53-CN54</f>
        <v>1191.62008398857</v>
      </c>
      <c r="CO62" s="37" t="n">
        <f aca="false">CO35-CO53-CO54</f>
        <v>1191.62008398857</v>
      </c>
      <c r="CP62" s="37" t="n">
        <f aca="false">CP35-CP53-CP54</f>
        <v>1191.62008398857</v>
      </c>
      <c r="CQ62" s="37" t="n">
        <f aca="false">CQ35-CQ53-CQ54</f>
        <v>1191.62008398857</v>
      </c>
      <c r="CR62" s="37" t="n">
        <f aca="false">CR35-CR53-CR54</f>
        <v>1191.62008398857</v>
      </c>
      <c r="CS62" s="37" t="n">
        <f aca="false">CS35-CS53-CS54</f>
        <v>1191.62008398857</v>
      </c>
      <c r="CT62" s="37" t="n">
        <f aca="false">CT35-CT53-CT54</f>
        <v>1191.62008398857</v>
      </c>
      <c r="CU62" s="37" t="n">
        <f aca="false">CU35-CU53-CU54</f>
        <v>1191.62008398857</v>
      </c>
      <c r="CV62" s="37" t="n">
        <f aca="false">CV35-CV53-CV54</f>
        <v>1191.62008398857</v>
      </c>
      <c r="CW62" s="37" t="n">
        <f aca="false">CW35-CW53-CW54</f>
        <v>1215.45248566834</v>
      </c>
      <c r="CX62" s="37" t="n">
        <f aca="false">CX35-CX53-CX54</f>
        <v>1215.45248566834</v>
      </c>
      <c r="CY62" s="37" t="n">
        <f aca="false">CY35-CY53-CY54</f>
        <v>1215.45248566834</v>
      </c>
      <c r="CZ62" s="37" t="n">
        <f aca="false">CZ35-CZ53-CZ54</f>
        <v>1215.45248566834</v>
      </c>
      <c r="DA62" s="37" t="n">
        <f aca="false">DA35-DA53-DA54</f>
        <v>1215.45248566834</v>
      </c>
      <c r="DB62" s="37" t="n">
        <f aca="false">DB35-DB53-DB54</f>
        <v>1215.45248566834</v>
      </c>
      <c r="DC62" s="37" t="n">
        <f aca="false">DC35-DC53-DC54</f>
        <v>1215.45248566834</v>
      </c>
      <c r="DD62" s="37" t="n">
        <f aca="false">DD35-DD53-DD54</f>
        <v>1215.45248566834</v>
      </c>
      <c r="DE62" s="37" t="n">
        <f aca="false">DE35-DE53-DE54</f>
        <v>1215.45248566834</v>
      </c>
      <c r="DF62" s="37" t="n">
        <f aca="false">DF35-DF53-DF54</f>
        <v>1215.45248566834</v>
      </c>
      <c r="DG62" s="37" t="n">
        <f aca="false">DG35-DG53-DG54</f>
        <v>1215.45248566834</v>
      </c>
      <c r="DH62" s="37" t="n">
        <f aca="false">DH35-DH53-DH54</f>
        <v>1215.45248566834</v>
      </c>
      <c r="DI62" s="37" t="n">
        <f aca="false">DI35-DI53-DI54</f>
        <v>1239.76153538171</v>
      </c>
      <c r="DJ62" s="37" t="n">
        <f aca="false">DJ35-DJ53-DJ54</f>
        <v>1239.76153538171</v>
      </c>
      <c r="DK62" s="37" t="n">
        <f aca="false">DK35-DK53-DK54</f>
        <v>1239.76153538171</v>
      </c>
      <c r="DL62" s="37" t="n">
        <f aca="false">DL35-DL53-DL54</f>
        <v>1239.76153538171</v>
      </c>
      <c r="DM62" s="37" t="n">
        <f aca="false">DM35-DM53-DM54</f>
        <v>1239.76153538171</v>
      </c>
      <c r="DN62" s="37" t="n">
        <f aca="false">DN35-DN53-DN54</f>
        <v>1239.76153538171</v>
      </c>
      <c r="DO62" s="37" t="n">
        <f aca="false">DO35-DO53-DO54</f>
        <v>1239.76153538171</v>
      </c>
      <c r="DP62" s="37" t="n">
        <f aca="false">DP35-DP53-DP54</f>
        <v>1239.76153538171</v>
      </c>
      <c r="DQ62" s="37" t="n">
        <f aca="false">DQ35-DQ53-DQ54</f>
        <v>1239.76153538171</v>
      </c>
      <c r="DR62" s="37" t="n">
        <f aca="false">DR35-DR53-DR54</f>
        <v>1239.76153538171</v>
      </c>
      <c r="DS62" s="37" t="n">
        <f aca="false">DS35-DS53-DS54</f>
        <v>1239.76153538171</v>
      </c>
      <c r="DT62" s="37" t="n">
        <f aca="false">DT35-DT53-DT54</f>
        <v>1239.76153538171</v>
      </c>
      <c r="DU62" s="37" t="n">
        <f aca="false">DU35-DU53-DU54</f>
        <v>0</v>
      </c>
      <c r="DV62" s="37" t="n">
        <f aca="false">DV35-DV53-DV54</f>
        <v>0</v>
      </c>
      <c r="DW62" s="37" t="n">
        <f aca="false">DW35-DW53-DW54</f>
        <v>0</v>
      </c>
      <c r="DX62" s="37" t="n">
        <f aca="false">DX35-DX53-DX54</f>
        <v>0</v>
      </c>
      <c r="DY62" s="37" t="n">
        <f aca="false">DY35-DY53-DY54</f>
        <v>0</v>
      </c>
      <c r="DZ62" s="37" t="n">
        <f aca="false">DZ35-DZ53-DZ54</f>
        <v>0</v>
      </c>
      <c r="EA62" s="37" t="n">
        <f aca="false">EA35-EA53-EA54</f>
        <v>0</v>
      </c>
      <c r="EB62" s="37" t="n">
        <f aca="false">EB35-EB53-EB54</f>
        <v>0</v>
      </c>
      <c r="EC62" s="37" t="n">
        <f aca="false">EC35-EC53-EC54</f>
        <v>0</v>
      </c>
      <c r="ED62" s="37" t="n">
        <f aca="false">ED35-ED53-ED54</f>
        <v>0</v>
      </c>
      <c r="EE62" s="37" t="n">
        <f aca="false">EE35-EE53-EE54</f>
        <v>0</v>
      </c>
      <c r="EF62" s="37" t="n">
        <f aca="false">EF35-EF53-EF54</f>
        <v>0</v>
      </c>
    </row>
    <row r="63" customFormat="false" ht="15" hidden="false" customHeight="false" outlineLevel="0" collapsed="false">
      <c r="A63" s="153" t="s">
        <v>610</v>
      </c>
      <c r="B63" s="278" t="s">
        <v>21</v>
      </c>
      <c r="C63" s="279" t="n">
        <f aca="false">SUM(E63:EF63)</f>
        <v>41146.7570639016</v>
      </c>
      <c r="E63" s="37" t="n">
        <f aca="false">SUM(E36:E40)-E55</f>
        <v>0</v>
      </c>
      <c r="F63" s="37" t="n">
        <f aca="false">SUM(F36:F40)-F55</f>
        <v>0</v>
      </c>
      <c r="G63" s="37" t="n">
        <f aca="false">SUM(G36:G40)-G55</f>
        <v>0</v>
      </c>
      <c r="H63" s="37" t="n">
        <f aca="false">SUM(H36:H40)-H55</f>
        <v>0</v>
      </c>
      <c r="I63" s="37" t="n">
        <f aca="false">SUM(I36:I40)-I55</f>
        <v>0</v>
      </c>
      <c r="J63" s="37" t="n">
        <f aca="false">SUM(J36:J40)-J55</f>
        <v>0</v>
      </c>
      <c r="K63" s="37" t="n">
        <f aca="false">SUM(K36:K40)-K55</f>
        <v>0</v>
      </c>
      <c r="L63" s="37" t="n">
        <f aca="false">SUM(L36:L40)-L55</f>
        <v>0</v>
      </c>
      <c r="M63" s="37" t="n">
        <f aca="false">SUM(M36:M40)-M55</f>
        <v>0</v>
      </c>
      <c r="N63" s="37" t="n">
        <f aca="false">SUM(N36:N40)-N55</f>
        <v>0</v>
      </c>
      <c r="O63" s="37" t="n">
        <f aca="false">SUM(O36:O40)-O55</f>
        <v>0</v>
      </c>
      <c r="P63" s="37" t="n">
        <f aca="false">SUM(P36:P40)-P55</f>
        <v>0</v>
      </c>
      <c r="Q63" s="37" t="n">
        <f aca="false">SUM(Q36:Q40)-Q55</f>
        <v>0</v>
      </c>
      <c r="R63" s="37" t="n">
        <f aca="false">SUM(R36:R40)-R55</f>
        <v>0</v>
      </c>
      <c r="S63" s="37" t="n">
        <f aca="false">SUM(S36:S40)-S55</f>
        <v>0</v>
      </c>
      <c r="T63" s="37" t="n">
        <f aca="false">SUM(T36:T40)-T55</f>
        <v>0</v>
      </c>
      <c r="U63" s="37" t="n">
        <f aca="false">SUM(U36:U40)-U55</f>
        <v>0</v>
      </c>
      <c r="V63" s="37" t="n">
        <f aca="false">SUM(V36:V40)-V55</f>
        <v>0</v>
      </c>
      <c r="W63" s="37" t="n">
        <f aca="false">SUM(W36:W40)-W55</f>
        <v>0</v>
      </c>
      <c r="X63" s="37" t="n">
        <f aca="false">SUM(X36:X40)-X55</f>
        <v>0</v>
      </c>
      <c r="Y63" s="37" t="n">
        <f aca="false">SUM(Y36:Y40)-Y55</f>
        <v>0</v>
      </c>
      <c r="Z63" s="37" t="n">
        <f aca="false">SUM(Z36:Z40)-Z55</f>
        <v>0</v>
      </c>
      <c r="AA63" s="37" t="n">
        <f aca="false">SUM(AA36:AA40)-AA55</f>
        <v>0</v>
      </c>
      <c r="AB63" s="37" t="n">
        <f aca="false">SUM(AB36:AB40)-AB55</f>
        <v>0</v>
      </c>
      <c r="AC63" s="37" t="n">
        <f aca="false">SUM(AC36:AC40)-AC55</f>
        <v>0</v>
      </c>
      <c r="AD63" s="37" t="n">
        <f aca="false">SUM(AD36:AD40)-AD55</f>
        <v>0</v>
      </c>
      <c r="AE63" s="37" t="n">
        <f aca="false">SUM(AE36:AE40)-AE55</f>
        <v>0</v>
      </c>
      <c r="AF63" s="37" t="n">
        <f aca="false">SUM(AF36:AF40)-AF55</f>
        <v>0</v>
      </c>
      <c r="AG63" s="37" t="n">
        <f aca="false">SUM(AG36:AG40)-AG55</f>
        <v>0</v>
      </c>
      <c r="AH63" s="37" t="n">
        <f aca="false">SUM(AH36:AH40)-AH55</f>
        <v>0</v>
      </c>
      <c r="AI63" s="37" t="n">
        <f aca="false">SUM(AI36:AI40)-AI55</f>
        <v>0</v>
      </c>
      <c r="AJ63" s="37" t="n">
        <f aca="false">SUM(AJ36:AJ40)-AJ55</f>
        <v>0</v>
      </c>
      <c r="AK63" s="37" t="n">
        <f aca="false">SUM(AK36:AK40)-AK55</f>
        <v>0</v>
      </c>
      <c r="AL63" s="37" t="n">
        <f aca="false">SUM(AL36:AL40)-AL55</f>
        <v>0</v>
      </c>
      <c r="AM63" s="37" t="n">
        <f aca="false">SUM(AM36:AM40)-AM55</f>
        <v>0</v>
      </c>
      <c r="AN63" s="37" t="n">
        <f aca="false">SUM(AN36:AN40)-AN55</f>
        <v>0</v>
      </c>
      <c r="AO63" s="37" t="n">
        <f aca="false">SUM(AO36:AO40)-AO55</f>
        <v>0</v>
      </c>
      <c r="AP63" s="37" t="n">
        <f aca="false">SUM(AP36:AP40)-AP55</f>
        <v>0</v>
      </c>
      <c r="AQ63" s="37" t="n">
        <f aca="false">SUM(AQ36:AQ40)-AQ55</f>
        <v>0</v>
      </c>
      <c r="AR63" s="37" t="n">
        <f aca="false">SUM(AR36:AR40)-AR55</f>
        <v>0</v>
      </c>
      <c r="AS63" s="37" t="n">
        <f aca="false">SUM(AS36:AS40)-AS55</f>
        <v>0</v>
      </c>
      <c r="AT63" s="37" t="n">
        <f aca="false">SUM(AT36:AT40)-AT55</f>
        <v>0</v>
      </c>
      <c r="AU63" s="37" t="n">
        <f aca="false">SUM(AU36:AU40)-AU55</f>
        <v>0</v>
      </c>
      <c r="AV63" s="37" t="n">
        <f aca="false">SUM(AV36:AV40)-AV55</f>
        <v>0</v>
      </c>
      <c r="AW63" s="37" t="n">
        <f aca="false">SUM(AW36:AW40)-AW55</f>
        <v>0</v>
      </c>
      <c r="AX63" s="37" t="n">
        <f aca="false">SUM(AX36:AX40)-AX55</f>
        <v>0</v>
      </c>
      <c r="AY63" s="37" t="n">
        <f aca="false">SUM(AY36:AY40)-AY55</f>
        <v>0</v>
      </c>
      <c r="AZ63" s="37" t="n">
        <f aca="false">SUM(AZ36:AZ40)-AZ55</f>
        <v>0</v>
      </c>
      <c r="BA63" s="37" t="n">
        <f aca="false">SUM(BA36:BA40)-BA55</f>
        <v>0</v>
      </c>
      <c r="BB63" s="37" t="n">
        <f aca="false">SUM(BB36:BB40)-BB55</f>
        <v>0</v>
      </c>
      <c r="BC63" s="37" t="n">
        <f aca="false">SUM(BC36:BC40)-BC55</f>
        <v>0</v>
      </c>
      <c r="BD63" s="37" t="n">
        <f aca="false">SUM(BD36:BD40)-BD55</f>
        <v>0</v>
      </c>
      <c r="BE63" s="37" t="n">
        <f aca="false">SUM(BE36:BE40)-BE55</f>
        <v>0</v>
      </c>
      <c r="BF63" s="37" t="n">
        <f aca="false">SUM(BF36:BF40)-BF55</f>
        <v>0</v>
      </c>
      <c r="BG63" s="37" t="n">
        <f aca="false">SUM(BG36:BG40)-BG55</f>
        <v>0</v>
      </c>
      <c r="BH63" s="37" t="n">
        <f aca="false">SUM(BH36:BH40)-BH55</f>
        <v>0</v>
      </c>
      <c r="BI63" s="37" t="n">
        <f aca="false">SUM(BI36:BI40)-BI55</f>
        <v>0</v>
      </c>
      <c r="BJ63" s="37" t="n">
        <f aca="false">SUM(BJ36:BJ40)-BJ55</f>
        <v>0</v>
      </c>
      <c r="BK63" s="37" t="n">
        <f aca="false">SUM(BK36:BK40)-BK55</f>
        <v>0</v>
      </c>
      <c r="BL63" s="37" t="n">
        <f aca="false">SUM(BL36:BL40)-BL55</f>
        <v>0</v>
      </c>
      <c r="BM63" s="37" t="n">
        <f aca="false">SUM(BM36:BM40)-BM55</f>
        <v>658.89123</v>
      </c>
      <c r="BN63" s="37" t="n">
        <f aca="false">SUM(BN36:BN40)-BN55</f>
        <v>658.89123</v>
      </c>
      <c r="BO63" s="37" t="n">
        <f aca="false">SUM(BO36:BO40)-BO55</f>
        <v>658.89123</v>
      </c>
      <c r="BP63" s="37" t="n">
        <f aca="false">SUM(BP36:BP40)-BP55</f>
        <v>658.89123</v>
      </c>
      <c r="BQ63" s="37" t="n">
        <f aca="false">SUM(BQ36:BQ40)-BQ55</f>
        <v>658.89123</v>
      </c>
      <c r="BR63" s="37" t="n">
        <f aca="false">SUM(BR36:BR40)-BR55</f>
        <v>658.89123</v>
      </c>
      <c r="BS63" s="37" t="n">
        <f aca="false">SUM(BS36:BS40)-BS55</f>
        <v>658.89123</v>
      </c>
      <c r="BT63" s="37" t="n">
        <f aca="false">SUM(BT36:BT40)-BT55</f>
        <v>658.89123</v>
      </c>
      <c r="BU63" s="37" t="n">
        <f aca="false">SUM(BU36:BU40)-BU55</f>
        <v>658.89123</v>
      </c>
      <c r="BV63" s="37" t="n">
        <f aca="false">SUM(BV36:BV40)-BV55</f>
        <v>658.89123</v>
      </c>
      <c r="BW63" s="37" t="n">
        <f aca="false">SUM(BW36:BW40)-BW55</f>
        <v>658.89123</v>
      </c>
      <c r="BX63" s="37" t="n">
        <f aca="false">SUM(BX36:BX40)-BX55</f>
        <v>658.89123</v>
      </c>
      <c r="BY63" s="37" t="n">
        <f aca="false">SUM(BY36:BY40)-BY55</f>
        <v>672.0690546</v>
      </c>
      <c r="BZ63" s="37" t="n">
        <f aca="false">SUM(BZ36:BZ40)-BZ55</f>
        <v>672.0690546</v>
      </c>
      <c r="CA63" s="37" t="n">
        <f aca="false">SUM(CA36:CA40)-CA55</f>
        <v>672.0690546</v>
      </c>
      <c r="CB63" s="37" t="n">
        <f aca="false">SUM(CB36:CB40)-CB55</f>
        <v>672.0690546</v>
      </c>
      <c r="CC63" s="37" t="n">
        <f aca="false">SUM(CC36:CC40)-CC55</f>
        <v>672.0690546</v>
      </c>
      <c r="CD63" s="37" t="n">
        <f aca="false">SUM(CD36:CD40)-CD55</f>
        <v>672.0690546</v>
      </c>
      <c r="CE63" s="37" t="n">
        <f aca="false">SUM(CE36:CE40)-CE55</f>
        <v>672.0690546</v>
      </c>
      <c r="CF63" s="37" t="n">
        <f aca="false">SUM(CF36:CF40)-CF55</f>
        <v>672.0690546</v>
      </c>
      <c r="CG63" s="37" t="n">
        <f aca="false">SUM(CG36:CG40)-CG55</f>
        <v>672.0690546</v>
      </c>
      <c r="CH63" s="37" t="n">
        <f aca="false">SUM(CH36:CH40)-CH55</f>
        <v>672.0690546</v>
      </c>
      <c r="CI63" s="37" t="n">
        <f aca="false">SUM(CI36:CI40)-CI55</f>
        <v>672.0690546</v>
      </c>
      <c r="CJ63" s="37" t="n">
        <f aca="false">SUM(CJ36:CJ40)-CJ55</f>
        <v>672.0690546</v>
      </c>
      <c r="CK63" s="37" t="n">
        <f aca="false">SUM(CK36:CK40)-CK55</f>
        <v>685.510435692</v>
      </c>
      <c r="CL63" s="37" t="n">
        <f aca="false">SUM(CL36:CL40)-CL55</f>
        <v>685.510435692</v>
      </c>
      <c r="CM63" s="37" t="n">
        <f aca="false">SUM(CM36:CM40)-CM55</f>
        <v>685.510435692</v>
      </c>
      <c r="CN63" s="37" t="n">
        <f aca="false">SUM(CN36:CN40)-CN55</f>
        <v>685.510435692</v>
      </c>
      <c r="CO63" s="37" t="n">
        <f aca="false">SUM(CO36:CO40)-CO55</f>
        <v>685.510435692</v>
      </c>
      <c r="CP63" s="37" t="n">
        <f aca="false">SUM(CP36:CP40)-CP55</f>
        <v>685.510435692</v>
      </c>
      <c r="CQ63" s="37" t="n">
        <f aca="false">SUM(CQ36:CQ40)-CQ55</f>
        <v>685.510435692</v>
      </c>
      <c r="CR63" s="37" t="n">
        <f aca="false">SUM(CR36:CR40)-CR55</f>
        <v>685.510435692</v>
      </c>
      <c r="CS63" s="37" t="n">
        <f aca="false">SUM(CS36:CS40)-CS55</f>
        <v>685.510435692</v>
      </c>
      <c r="CT63" s="37" t="n">
        <f aca="false">SUM(CT36:CT40)-CT55</f>
        <v>685.510435692</v>
      </c>
      <c r="CU63" s="37" t="n">
        <f aca="false">SUM(CU36:CU40)-CU55</f>
        <v>685.510435692</v>
      </c>
      <c r="CV63" s="37" t="n">
        <f aca="false">SUM(CV36:CV40)-CV55</f>
        <v>685.510435692</v>
      </c>
      <c r="CW63" s="37" t="n">
        <f aca="false">SUM(CW36:CW40)-CW55</f>
        <v>699.22064440584</v>
      </c>
      <c r="CX63" s="37" t="n">
        <f aca="false">SUM(CX36:CX40)-CX55</f>
        <v>699.22064440584</v>
      </c>
      <c r="CY63" s="37" t="n">
        <f aca="false">SUM(CY36:CY40)-CY55</f>
        <v>699.22064440584</v>
      </c>
      <c r="CZ63" s="37" t="n">
        <f aca="false">SUM(CZ36:CZ40)-CZ55</f>
        <v>699.22064440584</v>
      </c>
      <c r="DA63" s="37" t="n">
        <f aca="false">SUM(DA36:DA40)-DA55</f>
        <v>699.22064440584</v>
      </c>
      <c r="DB63" s="37" t="n">
        <f aca="false">SUM(DB36:DB40)-DB55</f>
        <v>699.22064440584</v>
      </c>
      <c r="DC63" s="37" t="n">
        <f aca="false">SUM(DC36:DC40)-DC55</f>
        <v>699.22064440584</v>
      </c>
      <c r="DD63" s="37" t="n">
        <f aca="false">SUM(DD36:DD40)-DD55</f>
        <v>699.22064440584</v>
      </c>
      <c r="DE63" s="37" t="n">
        <f aca="false">SUM(DE36:DE40)-DE55</f>
        <v>699.22064440584</v>
      </c>
      <c r="DF63" s="37" t="n">
        <f aca="false">SUM(DF36:DF40)-DF55</f>
        <v>699.22064440584</v>
      </c>
      <c r="DG63" s="37" t="n">
        <f aca="false">SUM(DG36:DG40)-DG55</f>
        <v>699.22064440584</v>
      </c>
      <c r="DH63" s="37" t="n">
        <f aca="false">SUM(DH36:DH40)-DH55</f>
        <v>699.22064440584</v>
      </c>
      <c r="DI63" s="37" t="n">
        <f aca="false">SUM(DI36:DI40)-DI55</f>
        <v>713.205057293957</v>
      </c>
      <c r="DJ63" s="37" t="n">
        <f aca="false">SUM(DJ36:DJ40)-DJ55</f>
        <v>713.205057293957</v>
      </c>
      <c r="DK63" s="37" t="n">
        <f aca="false">SUM(DK36:DK40)-DK55</f>
        <v>713.205057293957</v>
      </c>
      <c r="DL63" s="37" t="n">
        <f aca="false">SUM(DL36:DL40)-DL55</f>
        <v>713.205057293957</v>
      </c>
      <c r="DM63" s="37" t="n">
        <f aca="false">SUM(DM36:DM40)-DM55</f>
        <v>713.205057293957</v>
      </c>
      <c r="DN63" s="37" t="n">
        <f aca="false">SUM(DN36:DN40)-DN55</f>
        <v>713.205057293957</v>
      </c>
      <c r="DO63" s="37" t="n">
        <f aca="false">SUM(DO36:DO40)-DO55</f>
        <v>713.205057293957</v>
      </c>
      <c r="DP63" s="37" t="n">
        <f aca="false">SUM(DP36:DP40)-DP55</f>
        <v>713.205057293957</v>
      </c>
      <c r="DQ63" s="37" t="n">
        <f aca="false">SUM(DQ36:DQ40)-DQ55</f>
        <v>713.205057293957</v>
      </c>
      <c r="DR63" s="37" t="n">
        <f aca="false">SUM(DR36:DR40)-DR55</f>
        <v>713.205057293957</v>
      </c>
      <c r="DS63" s="37" t="n">
        <f aca="false">SUM(DS36:DS40)-DS55</f>
        <v>713.205057293957</v>
      </c>
      <c r="DT63" s="37" t="n">
        <f aca="false">SUM(DT36:DT40)-DT55</f>
        <v>713.205057293957</v>
      </c>
      <c r="DU63" s="37" t="n">
        <f aca="false">SUM(DU36:DU40)-DU55</f>
        <v>0</v>
      </c>
      <c r="DV63" s="37" t="n">
        <f aca="false">SUM(DV36:DV40)-DV55</f>
        <v>0</v>
      </c>
      <c r="DW63" s="37" t="n">
        <f aca="false">SUM(DW36:DW40)-DW55</f>
        <v>0</v>
      </c>
      <c r="DX63" s="37" t="n">
        <f aca="false">SUM(DX36:DX40)-DX55</f>
        <v>0</v>
      </c>
      <c r="DY63" s="37" t="n">
        <f aca="false">SUM(DY36:DY40)-DY55</f>
        <v>0</v>
      </c>
      <c r="DZ63" s="37" t="n">
        <f aca="false">SUM(DZ36:DZ40)-DZ55</f>
        <v>0</v>
      </c>
      <c r="EA63" s="37" t="n">
        <f aca="false">SUM(EA36:EA40)-EA55</f>
        <v>0</v>
      </c>
      <c r="EB63" s="37" t="n">
        <f aca="false">SUM(EB36:EB40)-EB55</f>
        <v>0</v>
      </c>
      <c r="EC63" s="37" t="n">
        <f aca="false">SUM(EC36:EC40)-EC55</f>
        <v>0</v>
      </c>
      <c r="ED63" s="37" t="n">
        <f aca="false">SUM(ED36:ED40)-ED55</f>
        <v>0</v>
      </c>
      <c r="EE63" s="37" t="n">
        <f aca="false">SUM(EE36:EE40)-EE55</f>
        <v>0</v>
      </c>
      <c r="EF63" s="37" t="n">
        <f aca="false">SUM(EF36:EF40)-EF55</f>
        <v>0</v>
      </c>
    </row>
    <row r="64" customFormat="false" ht="15" hidden="false" customHeight="false" outlineLevel="0" collapsed="false">
      <c r="A64" s="284" t="s">
        <v>45</v>
      </c>
      <c r="B64" s="281" t="s">
        <v>21</v>
      </c>
      <c r="C64" s="282" t="n">
        <f aca="false">SUM(E64:EF64)</f>
        <v>315953.27749201</v>
      </c>
      <c r="D64" s="48"/>
      <c r="E64" s="283" t="n">
        <f aca="false">SUM(E59:E63)</f>
        <v>0</v>
      </c>
      <c r="F64" s="283" t="n">
        <f aca="false">SUM(F59:F63)</f>
        <v>0</v>
      </c>
      <c r="G64" s="283" t="n">
        <f aca="false">SUM(G59:G63)</f>
        <v>0</v>
      </c>
      <c r="H64" s="283" t="n">
        <f aca="false">SUM(H59:H63)</f>
        <v>0</v>
      </c>
      <c r="I64" s="283" t="n">
        <f aca="false">SUM(I59:I63)</f>
        <v>0</v>
      </c>
      <c r="J64" s="283" t="n">
        <f aca="false">SUM(J59:J63)</f>
        <v>0</v>
      </c>
      <c r="K64" s="283" t="n">
        <f aca="false">SUM(K59:K63)</f>
        <v>0</v>
      </c>
      <c r="L64" s="283" t="n">
        <f aca="false">SUM(L59:L63)</f>
        <v>0</v>
      </c>
      <c r="M64" s="283" t="n">
        <f aca="false">SUM(M59:M63)</f>
        <v>0</v>
      </c>
      <c r="N64" s="283" t="n">
        <f aca="false">SUM(N59:N63)</f>
        <v>0</v>
      </c>
      <c r="O64" s="283" t="n">
        <f aca="false">SUM(O59:O63)</f>
        <v>0</v>
      </c>
      <c r="P64" s="283" t="n">
        <f aca="false">SUM(P59:P63)</f>
        <v>0</v>
      </c>
      <c r="Q64" s="283" t="n">
        <f aca="false">SUM(Q59:Q63)</f>
        <v>0</v>
      </c>
      <c r="R64" s="283" t="n">
        <f aca="false">SUM(R59:R63)</f>
        <v>0</v>
      </c>
      <c r="S64" s="283" t="n">
        <f aca="false">SUM(S59:S63)</f>
        <v>0</v>
      </c>
      <c r="T64" s="283" t="n">
        <f aca="false">SUM(T59:T63)</f>
        <v>0</v>
      </c>
      <c r="U64" s="283" t="n">
        <f aca="false">SUM(U59:U63)</f>
        <v>0</v>
      </c>
      <c r="V64" s="283" t="n">
        <f aca="false">SUM(V59:V63)</f>
        <v>0</v>
      </c>
      <c r="W64" s="283" t="n">
        <f aca="false">SUM(W59:W63)</f>
        <v>0</v>
      </c>
      <c r="X64" s="283" t="n">
        <f aca="false">SUM(X59:X63)</f>
        <v>0</v>
      </c>
      <c r="Y64" s="283" t="n">
        <f aca="false">SUM(Y59:Y63)</f>
        <v>0</v>
      </c>
      <c r="Z64" s="283" t="n">
        <f aca="false">SUM(Z59:Z63)</f>
        <v>0</v>
      </c>
      <c r="AA64" s="283" t="n">
        <f aca="false">SUM(AA59:AA63)</f>
        <v>0</v>
      </c>
      <c r="AB64" s="283" t="n">
        <f aca="false">SUM(AB59:AB63)</f>
        <v>0</v>
      </c>
      <c r="AC64" s="283" t="n">
        <f aca="false">SUM(AC59:AC63)</f>
        <v>0</v>
      </c>
      <c r="AD64" s="283" t="n">
        <f aca="false">SUM(AD59:AD63)</f>
        <v>0</v>
      </c>
      <c r="AE64" s="283" t="n">
        <f aca="false">SUM(AE59:AE63)</f>
        <v>0</v>
      </c>
      <c r="AF64" s="283" t="n">
        <f aca="false">SUM(AF59:AF63)</f>
        <v>0</v>
      </c>
      <c r="AG64" s="283" t="n">
        <f aca="false">SUM(AG59:AG63)</f>
        <v>0</v>
      </c>
      <c r="AH64" s="283" t="n">
        <f aca="false">SUM(AH59:AH63)</f>
        <v>0</v>
      </c>
      <c r="AI64" s="283" t="n">
        <f aca="false">SUM(AI59:AI63)</f>
        <v>0</v>
      </c>
      <c r="AJ64" s="283" t="n">
        <f aca="false">SUM(AJ59:AJ63)</f>
        <v>0</v>
      </c>
      <c r="AK64" s="283" t="n">
        <f aca="false">SUM(AK59:AK63)</f>
        <v>0</v>
      </c>
      <c r="AL64" s="283" t="n">
        <f aca="false">SUM(AL59:AL63)</f>
        <v>0</v>
      </c>
      <c r="AM64" s="283" t="n">
        <f aca="false">SUM(AM59:AM63)</f>
        <v>0</v>
      </c>
      <c r="AN64" s="283" t="n">
        <f aca="false">SUM(AN59:AN63)</f>
        <v>0</v>
      </c>
      <c r="AO64" s="283" t="n">
        <f aca="false">SUM(AO59:AO63)</f>
        <v>0</v>
      </c>
      <c r="AP64" s="283" t="n">
        <f aca="false">SUM(AP59:AP63)</f>
        <v>0</v>
      </c>
      <c r="AQ64" s="283" t="n">
        <f aca="false">SUM(AQ59:AQ63)</f>
        <v>0</v>
      </c>
      <c r="AR64" s="283" t="n">
        <f aca="false">SUM(AR59:AR63)</f>
        <v>0</v>
      </c>
      <c r="AS64" s="283" t="n">
        <f aca="false">SUM(AS59:AS63)</f>
        <v>0</v>
      </c>
      <c r="AT64" s="283" t="n">
        <f aca="false">SUM(AT59:AT63)</f>
        <v>0</v>
      </c>
      <c r="AU64" s="283" t="n">
        <f aca="false">SUM(AU59:AU63)</f>
        <v>0</v>
      </c>
      <c r="AV64" s="283" t="n">
        <f aca="false">SUM(AV59:AV63)</f>
        <v>0</v>
      </c>
      <c r="AW64" s="283" t="n">
        <f aca="false">SUM(AW59:AW63)</f>
        <v>0</v>
      </c>
      <c r="AX64" s="283" t="n">
        <f aca="false">SUM(AX59:AX63)</f>
        <v>0</v>
      </c>
      <c r="AY64" s="283" t="n">
        <f aca="false">SUM(AY59:AY63)</f>
        <v>0</v>
      </c>
      <c r="AZ64" s="283" t="n">
        <f aca="false">SUM(AZ59:AZ63)</f>
        <v>0</v>
      </c>
      <c r="BA64" s="283" t="n">
        <f aca="false">SUM(BA59:BA63)</f>
        <v>0</v>
      </c>
      <c r="BB64" s="283" t="n">
        <f aca="false">SUM(BB59:BB63)</f>
        <v>0</v>
      </c>
      <c r="BC64" s="283" t="n">
        <f aca="false">SUM(BC59:BC63)</f>
        <v>0</v>
      </c>
      <c r="BD64" s="283" t="n">
        <f aca="false">SUM(BD59:BD63)</f>
        <v>0</v>
      </c>
      <c r="BE64" s="283" t="n">
        <f aca="false">SUM(BE59:BE63)</f>
        <v>0</v>
      </c>
      <c r="BF64" s="283" t="n">
        <f aca="false">SUM(BF59:BF63)</f>
        <v>0</v>
      </c>
      <c r="BG64" s="283" t="n">
        <f aca="false">SUM(BG59:BG63)</f>
        <v>0</v>
      </c>
      <c r="BH64" s="283" t="n">
        <f aca="false">SUM(BH59:BH63)</f>
        <v>0</v>
      </c>
      <c r="BI64" s="283" t="n">
        <f aca="false">SUM(BI59:BI63)</f>
        <v>0</v>
      </c>
      <c r="BJ64" s="283" t="n">
        <f aca="false">SUM(BJ59:BJ63)</f>
        <v>0</v>
      </c>
      <c r="BK64" s="283" t="n">
        <f aca="false">SUM(BK59:BK63)</f>
        <v>0</v>
      </c>
      <c r="BL64" s="283" t="n">
        <f aca="false">SUM(BL59:BL63)</f>
        <v>0</v>
      </c>
      <c r="BM64" s="283" t="n">
        <f aca="false">SUM(BM59:BM63)</f>
        <v>4383.21153179513</v>
      </c>
      <c r="BN64" s="283" t="n">
        <f aca="false">SUM(BN59:BN63)</f>
        <v>4300.96985947916</v>
      </c>
      <c r="BO64" s="283" t="n">
        <f aca="false">SUM(BO59:BO63)</f>
        <v>4383.21153179513</v>
      </c>
      <c r="BP64" s="283" t="n">
        <f aca="false">SUM(BP59:BP63)</f>
        <v>4300.96985947916</v>
      </c>
      <c r="BQ64" s="283" t="n">
        <f aca="false">SUM(BQ59:BQ63)</f>
        <v>4383.21153179513</v>
      </c>
      <c r="BR64" s="283" t="n">
        <f aca="false">SUM(BR59:BR63)</f>
        <v>4383.21153179513</v>
      </c>
      <c r="BS64" s="283" t="n">
        <f aca="false">SUM(BS59:BS63)</f>
        <v>4300.96985947916</v>
      </c>
      <c r="BT64" s="283" t="n">
        <f aca="false">SUM(BT59:BT63)</f>
        <v>4383.21153179513</v>
      </c>
      <c r="BU64" s="283" t="n">
        <f aca="false">SUM(BU59:BU63)</f>
        <v>4300.96985947916</v>
      </c>
      <c r="BV64" s="283" t="n">
        <f aca="false">SUM(BV59:BV63)</f>
        <v>4383.21153179513</v>
      </c>
      <c r="BW64" s="283" t="n">
        <f aca="false">SUM(BW59:BW63)</f>
        <v>4383.21153179513</v>
      </c>
      <c r="BX64" s="283" t="n">
        <f aca="false">SUM(BX59:BX63)</f>
        <v>4218.72818716319</v>
      </c>
      <c r="BY64" s="283" t="n">
        <f aca="false">SUM(BY59:BY63)</f>
        <v>5389.03842993833</v>
      </c>
      <c r="BZ64" s="283" t="n">
        <f aca="false">SUM(BZ59:BZ63)</f>
        <v>5292.24630790492</v>
      </c>
      <c r="CA64" s="283" t="n">
        <f aca="false">SUM(CA59:CA63)</f>
        <v>5389.03842993833</v>
      </c>
      <c r="CB64" s="283" t="n">
        <f aca="false">SUM(CB59:CB63)</f>
        <v>5292.24630790492</v>
      </c>
      <c r="CC64" s="283" t="n">
        <f aca="false">SUM(CC59:CC63)</f>
        <v>5389.03842993833</v>
      </c>
      <c r="CD64" s="283" t="n">
        <f aca="false">SUM(CD59:CD63)</f>
        <v>5389.03842993833</v>
      </c>
      <c r="CE64" s="283" t="n">
        <f aca="false">SUM(CE59:CE63)</f>
        <v>5292.24630790492</v>
      </c>
      <c r="CF64" s="283" t="n">
        <f aca="false">SUM(CF59:CF63)</f>
        <v>5389.03842993833</v>
      </c>
      <c r="CG64" s="283" t="n">
        <f aca="false">SUM(CG59:CG63)</f>
        <v>5292.24630790492</v>
      </c>
      <c r="CH64" s="283" t="n">
        <f aca="false">SUM(CH59:CH63)</f>
        <v>5389.03842993833</v>
      </c>
      <c r="CI64" s="283" t="n">
        <f aca="false">SUM(CI59:CI63)</f>
        <v>5389.03842993833</v>
      </c>
      <c r="CJ64" s="283" t="n">
        <f aca="false">SUM(CJ59:CJ63)</f>
        <v>5098.66206383809</v>
      </c>
      <c r="CK64" s="283" t="n">
        <f aca="false">SUM(CK59:CK63)</f>
        <v>5496.8191985371</v>
      </c>
      <c r="CL64" s="283" t="n">
        <f aca="false">SUM(CL59:CL63)</f>
        <v>5398.09123406301</v>
      </c>
      <c r="CM64" s="283" t="n">
        <f aca="false">SUM(CM59:CM63)</f>
        <v>5496.8191985371</v>
      </c>
      <c r="CN64" s="283" t="n">
        <f aca="false">SUM(CN59:CN63)</f>
        <v>5398.09123406301</v>
      </c>
      <c r="CO64" s="283" t="n">
        <f aca="false">SUM(CO59:CO63)</f>
        <v>5496.8191985371</v>
      </c>
      <c r="CP64" s="283" t="n">
        <f aca="false">SUM(CP59:CP63)</f>
        <v>5496.8191985371</v>
      </c>
      <c r="CQ64" s="283" t="n">
        <f aca="false">SUM(CQ59:CQ63)</f>
        <v>5398.09123406301</v>
      </c>
      <c r="CR64" s="283" t="n">
        <f aca="false">SUM(CR59:CR63)</f>
        <v>5496.8191985371</v>
      </c>
      <c r="CS64" s="283" t="n">
        <f aca="false">SUM(CS59:CS63)</f>
        <v>5398.09123406301</v>
      </c>
      <c r="CT64" s="283" t="n">
        <f aca="false">SUM(CT59:CT63)</f>
        <v>5496.8191985371</v>
      </c>
      <c r="CU64" s="283" t="n">
        <f aca="false">SUM(CU59:CU63)</f>
        <v>5496.8191985371</v>
      </c>
      <c r="CV64" s="283" t="n">
        <f aca="false">SUM(CV59:CV63)</f>
        <v>5200.63530511485</v>
      </c>
      <c r="CW64" s="283" t="n">
        <f aca="false">SUM(CW59:CW63)</f>
        <v>5606.75558250784</v>
      </c>
      <c r="CX64" s="283" t="n">
        <f aca="false">SUM(CX59:CX63)</f>
        <v>5506.05305874428</v>
      </c>
      <c r="CY64" s="283" t="n">
        <f aca="false">SUM(CY59:CY63)</f>
        <v>5606.75558250784</v>
      </c>
      <c r="CZ64" s="283" t="n">
        <f aca="false">SUM(CZ59:CZ63)</f>
        <v>5506.05305874428</v>
      </c>
      <c r="DA64" s="283" t="n">
        <f aca="false">SUM(DA59:DA63)</f>
        <v>5606.75558250784</v>
      </c>
      <c r="DB64" s="283" t="n">
        <f aca="false">SUM(DB59:DB63)</f>
        <v>5606.75558250784</v>
      </c>
      <c r="DC64" s="283" t="n">
        <f aca="false">SUM(DC59:DC63)</f>
        <v>5506.05305874428</v>
      </c>
      <c r="DD64" s="283" t="n">
        <f aca="false">SUM(DD59:DD63)</f>
        <v>5606.75558250784</v>
      </c>
      <c r="DE64" s="283" t="n">
        <f aca="false">SUM(DE59:DE63)</f>
        <v>5506.05305874428</v>
      </c>
      <c r="DF64" s="283" t="n">
        <f aca="false">SUM(DF59:DF63)</f>
        <v>5606.75558250784</v>
      </c>
      <c r="DG64" s="283" t="n">
        <f aca="false">SUM(DG59:DG63)</f>
        <v>5606.75558250784</v>
      </c>
      <c r="DH64" s="283" t="n">
        <f aca="false">SUM(DH59:DH63)</f>
        <v>5304.64801121715</v>
      </c>
      <c r="DI64" s="283" t="n">
        <f aca="false">SUM(DI59:DI63)</f>
        <v>5718.890694158</v>
      </c>
      <c r="DJ64" s="283" t="n">
        <f aca="false">SUM(DJ59:DJ63)</f>
        <v>5616.17411991916</v>
      </c>
      <c r="DK64" s="283" t="n">
        <f aca="false">SUM(DK59:DK63)</f>
        <v>5718.890694158</v>
      </c>
      <c r="DL64" s="283" t="n">
        <f aca="false">SUM(DL59:DL63)</f>
        <v>5616.17411991916</v>
      </c>
      <c r="DM64" s="283" t="n">
        <f aca="false">SUM(DM59:DM63)</f>
        <v>5718.890694158</v>
      </c>
      <c r="DN64" s="283" t="n">
        <f aca="false">SUM(DN59:DN63)</f>
        <v>5718.890694158</v>
      </c>
      <c r="DO64" s="283" t="n">
        <f aca="false">SUM(DO59:DO63)</f>
        <v>5616.17411991916</v>
      </c>
      <c r="DP64" s="283" t="n">
        <f aca="false">SUM(DP59:DP63)</f>
        <v>5718.890694158</v>
      </c>
      <c r="DQ64" s="283" t="n">
        <f aca="false">SUM(DQ59:DQ63)</f>
        <v>5616.17411991916</v>
      </c>
      <c r="DR64" s="283" t="n">
        <f aca="false">SUM(DR59:DR63)</f>
        <v>5718.890694158</v>
      </c>
      <c r="DS64" s="283" t="n">
        <f aca="false">SUM(DS59:DS63)</f>
        <v>5718.890694158</v>
      </c>
      <c r="DT64" s="283" t="n">
        <f aca="false">SUM(DT59:DT63)</f>
        <v>5513.45754568033</v>
      </c>
      <c r="DU64" s="283" t="n">
        <f aca="false">SUM(DU59:DU63)</f>
        <v>0</v>
      </c>
      <c r="DV64" s="283" t="n">
        <f aca="false">SUM(DV59:DV63)</f>
        <v>0</v>
      </c>
      <c r="DW64" s="283" t="n">
        <f aca="false">SUM(DW59:DW63)</f>
        <v>0</v>
      </c>
      <c r="DX64" s="283" t="n">
        <f aca="false">SUM(DX59:DX63)</f>
        <v>0</v>
      </c>
      <c r="DY64" s="283" t="n">
        <f aca="false">SUM(DY59:DY63)</f>
        <v>0</v>
      </c>
      <c r="DZ64" s="283" t="n">
        <f aca="false">SUM(DZ59:DZ63)</f>
        <v>0</v>
      </c>
      <c r="EA64" s="283" t="n">
        <f aca="false">SUM(EA59:EA63)</f>
        <v>0</v>
      </c>
      <c r="EB64" s="283" t="n">
        <f aca="false">SUM(EB59:EB63)</f>
        <v>0</v>
      </c>
      <c r="EC64" s="283" t="n">
        <f aca="false">SUM(EC59:EC63)</f>
        <v>0</v>
      </c>
      <c r="ED64" s="283" t="n">
        <f aca="false">SUM(ED59:ED63)</f>
        <v>0</v>
      </c>
      <c r="EE64" s="283" t="n">
        <f aca="false">SUM(EE59:EE63)</f>
        <v>0</v>
      </c>
      <c r="EF64" s="283" t="n">
        <f aca="false">SUM(EF59:EF63)</f>
        <v>0</v>
      </c>
    </row>
    <row r="66" customFormat="false" ht="15" hidden="false" customHeight="false" outlineLevel="0" collapsed="false">
      <c r="A66" s="6" t="s">
        <v>611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</row>
    <row r="67" customFormat="false" ht="15" hidden="false" customHeight="false" outlineLevel="0" collapsed="false">
      <c r="A67" s="36" t="s">
        <v>612</v>
      </c>
      <c r="B67" s="278" t="s">
        <v>21</v>
      </c>
      <c r="C67" s="279" t="n">
        <f aca="false">SUM(E67:EF67)</f>
        <v>7663.49889326473</v>
      </c>
      <c r="E67" s="37" t="n">
        <f aca="false">(E14=1)*①통합_가정!$E$265*①통합_가정!$I$39/1000000*(1+①통합_가정!$E$270)^(MAX(E16,1)-1)</f>
        <v>0</v>
      </c>
      <c r="F67" s="37" t="n">
        <f aca="false">(F14=1)*①통합_가정!$E$265*①통합_가정!$I$39/1000000*(1+①통합_가정!$E$270)^(MAX(F16,1)-1)</f>
        <v>0</v>
      </c>
      <c r="G67" s="37" t="n">
        <f aca="false">(G14=1)*①통합_가정!$E$265*①통합_가정!$I$39/1000000*(1+①통합_가정!$E$270)^(MAX(G16,1)-1)</f>
        <v>0</v>
      </c>
      <c r="H67" s="37" t="n">
        <f aca="false">(H14=1)*①통합_가정!$E$265*①통합_가정!$I$39/1000000*(1+①통합_가정!$E$270)^(MAX(H16,1)-1)</f>
        <v>0</v>
      </c>
      <c r="I67" s="37" t="n">
        <f aca="false">(I14=1)*①통합_가정!$E$265*①통합_가정!$I$39/1000000*(1+①통합_가정!$E$270)^(MAX(I16,1)-1)</f>
        <v>0</v>
      </c>
      <c r="J67" s="37" t="n">
        <f aca="false">(J14=1)*①통합_가정!$E$265*①통합_가정!$I$39/1000000*(1+①통합_가정!$E$270)^(MAX(J16,1)-1)</f>
        <v>0</v>
      </c>
      <c r="K67" s="37" t="n">
        <f aca="false">(K14=1)*①통합_가정!$E$265*①통합_가정!$I$39/1000000*(1+①통합_가정!$E$270)^(MAX(K16,1)-1)</f>
        <v>0</v>
      </c>
      <c r="L67" s="37" t="n">
        <f aca="false">(L14=1)*①통합_가정!$E$265*①통합_가정!$I$39/1000000*(1+①통합_가정!$E$270)^(MAX(L16,1)-1)</f>
        <v>0</v>
      </c>
      <c r="M67" s="37" t="n">
        <f aca="false">(M14=1)*①통합_가정!$E$265*①통합_가정!$I$39/1000000*(1+①통합_가정!$E$270)^(MAX(M16,1)-1)</f>
        <v>0</v>
      </c>
      <c r="N67" s="37" t="n">
        <f aca="false">(N14=1)*①통합_가정!$E$265*①통합_가정!$I$39/1000000*(1+①통합_가정!$E$270)^(MAX(N16,1)-1)</f>
        <v>0</v>
      </c>
      <c r="O67" s="37" t="n">
        <f aca="false">(O14=1)*①통합_가정!$E$265*①통합_가정!$I$39/1000000*(1+①통합_가정!$E$270)^(MAX(O16,1)-1)</f>
        <v>0</v>
      </c>
      <c r="P67" s="37" t="n">
        <f aca="false">(P14=1)*①통합_가정!$E$265*①통합_가정!$I$39/1000000*(1+①통합_가정!$E$270)^(MAX(P16,1)-1)</f>
        <v>0</v>
      </c>
      <c r="Q67" s="37" t="n">
        <f aca="false">(Q14=1)*①통합_가정!$E$265*①통합_가정!$I$39/1000000*(1+①통합_가정!$E$270)^(MAX(Q16,1)-1)</f>
        <v>0</v>
      </c>
      <c r="R67" s="37" t="n">
        <f aca="false">(R14=1)*①통합_가정!$E$265*①통합_가정!$I$39/1000000*(1+①통합_가정!$E$270)^(MAX(R16,1)-1)</f>
        <v>0</v>
      </c>
      <c r="S67" s="37" t="n">
        <f aca="false">(S14=1)*①통합_가정!$E$265*①통합_가정!$I$39/1000000*(1+①통합_가정!$E$270)^(MAX(S16,1)-1)</f>
        <v>0</v>
      </c>
      <c r="T67" s="37" t="n">
        <f aca="false">(T14=1)*①통합_가정!$E$265*①통합_가정!$I$39/1000000*(1+①통합_가정!$E$270)^(MAX(T16,1)-1)</f>
        <v>0</v>
      </c>
      <c r="U67" s="37" t="n">
        <f aca="false">(U14=1)*①통합_가정!$E$265*①통합_가정!$I$39/1000000*(1+①통합_가정!$E$270)^(MAX(U16,1)-1)</f>
        <v>0</v>
      </c>
      <c r="V67" s="37" t="n">
        <f aca="false">(V14=1)*①통합_가정!$E$265*①통합_가정!$I$39/1000000*(1+①통합_가정!$E$270)^(MAX(V16,1)-1)</f>
        <v>0</v>
      </c>
      <c r="W67" s="37" t="n">
        <f aca="false">(W14=1)*①통합_가정!$E$265*①통합_가정!$I$39/1000000*(1+①통합_가정!$E$270)^(MAX(W16,1)-1)</f>
        <v>0</v>
      </c>
      <c r="X67" s="37" t="n">
        <f aca="false">(X14=1)*①통합_가정!$E$265*①통합_가정!$I$39/1000000*(1+①통합_가정!$E$270)^(MAX(X16,1)-1)</f>
        <v>0</v>
      </c>
      <c r="Y67" s="37" t="n">
        <f aca="false">(Y14=1)*①통합_가정!$E$265*①통합_가정!$I$39/1000000*(1+①통합_가정!$E$270)^(MAX(Y16,1)-1)</f>
        <v>0</v>
      </c>
      <c r="Z67" s="37" t="n">
        <f aca="false">(Z14=1)*①통합_가정!$E$265*①통합_가정!$I$39/1000000*(1+①통합_가정!$E$270)^(MAX(Z16,1)-1)</f>
        <v>0</v>
      </c>
      <c r="AA67" s="37" t="n">
        <f aca="false">(AA14=1)*①통합_가정!$E$265*①통합_가정!$I$39/1000000*(1+①통합_가정!$E$270)^(MAX(AA16,1)-1)</f>
        <v>0</v>
      </c>
      <c r="AB67" s="37" t="n">
        <f aca="false">(AB14=1)*①통합_가정!$E$265*①통합_가정!$I$39/1000000*(1+①통합_가정!$E$270)^(MAX(AB16,1)-1)</f>
        <v>0</v>
      </c>
      <c r="AC67" s="37" t="n">
        <f aca="false">(AC14=1)*①통합_가정!$E$265*①통합_가정!$I$39/1000000*(1+①통합_가정!$E$270)^(MAX(AC16,1)-1)</f>
        <v>0</v>
      </c>
      <c r="AD67" s="37" t="n">
        <f aca="false">(AD14=1)*①통합_가정!$E$265*①통합_가정!$I$39/1000000*(1+①통합_가정!$E$270)^(MAX(AD16,1)-1)</f>
        <v>0</v>
      </c>
      <c r="AE67" s="37" t="n">
        <f aca="false">(AE14=1)*①통합_가정!$E$265*①통합_가정!$I$39/1000000*(1+①통합_가정!$E$270)^(MAX(AE16,1)-1)</f>
        <v>0</v>
      </c>
      <c r="AF67" s="37" t="n">
        <f aca="false">(AF14=1)*①통합_가정!$E$265*①통합_가정!$I$39/1000000*(1+①통합_가정!$E$270)^(MAX(AF16,1)-1)</f>
        <v>0</v>
      </c>
      <c r="AG67" s="37" t="n">
        <f aca="false">(AG14=1)*①통합_가정!$E$265*①통합_가정!$I$39/1000000*(1+①통합_가정!$E$270)^(MAX(AG16,1)-1)</f>
        <v>0</v>
      </c>
      <c r="AH67" s="37" t="n">
        <f aca="false">(AH14=1)*①통합_가정!$E$265*①통합_가정!$I$39/1000000*(1+①통합_가정!$E$270)^(MAX(AH16,1)-1)</f>
        <v>0</v>
      </c>
      <c r="AI67" s="37" t="n">
        <f aca="false">(AI14=1)*①통합_가정!$E$265*①통합_가정!$I$39/1000000*(1+①통합_가정!$E$270)^(MAX(AI16,1)-1)</f>
        <v>0</v>
      </c>
      <c r="AJ67" s="37" t="n">
        <f aca="false">(AJ14=1)*①통합_가정!$E$265*①통합_가정!$I$39/1000000*(1+①통합_가정!$E$270)^(MAX(AJ16,1)-1)</f>
        <v>0</v>
      </c>
      <c r="AK67" s="37" t="n">
        <f aca="false">(AK14=1)*①통합_가정!$E$265*①통합_가정!$I$39/1000000*(1+①통합_가정!$E$270)^(MAX(AK16,1)-1)</f>
        <v>0</v>
      </c>
      <c r="AL67" s="37" t="n">
        <f aca="false">(AL14=1)*①통합_가정!$E$265*①통합_가정!$I$39/1000000*(1+①통합_가정!$E$270)^(MAX(AL16,1)-1)</f>
        <v>0</v>
      </c>
      <c r="AM67" s="37" t="n">
        <f aca="false">(AM14=1)*①통합_가정!$E$265*①통합_가정!$I$39/1000000*(1+①통합_가정!$E$270)^(MAX(AM16,1)-1)</f>
        <v>0</v>
      </c>
      <c r="AN67" s="37" t="n">
        <f aca="false">(AN14=1)*①통합_가정!$E$265*①통합_가정!$I$39/1000000*(1+①통합_가정!$E$270)^(MAX(AN16,1)-1)</f>
        <v>0</v>
      </c>
      <c r="AO67" s="37" t="n">
        <f aca="false">(AO14=1)*①통합_가정!$E$265*①통합_가정!$I$39/1000000*(1+①통합_가정!$E$270)^(MAX(AO16,1)-1)</f>
        <v>0</v>
      </c>
      <c r="AP67" s="37" t="n">
        <f aca="false">(AP14=1)*①통합_가정!$E$265*①통합_가정!$I$39/1000000*(1+①통합_가정!$E$270)^(MAX(AP16,1)-1)</f>
        <v>0</v>
      </c>
      <c r="AQ67" s="37" t="n">
        <f aca="false">(AQ14=1)*①통합_가정!$E$265*①통합_가정!$I$39/1000000*(1+①통합_가정!$E$270)^(MAX(AQ16,1)-1)</f>
        <v>0</v>
      </c>
      <c r="AR67" s="37" t="n">
        <f aca="false">(AR14=1)*①통합_가정!$E$265*①통합_가정!$I$39/1000000*(1+①통합_가정!$E$270)^(MAX(AR16,1)-1)</f>
        <v>0</v>
      </c>
      <c r="AS67" s="37" t="n">
        <f aca="false">(AS14=1)*①통합_가정!$E$265*①통합_가정!$I$39/1000000*(1+①통합_가정!$E$270)^(MAX(AS16,1)-1)</f>
        <v>0</v>
      </c>
      <c r="AT67" s="37" t="n">
        <f aca="false">(AT14=1)*①통합_가정!$E$265*①통합_가정!$I$39/1000000*(1+①통합_가정!$E$270)^(MAX(AT16,1)-1)</f>
        <v>0</v>
      </c>
      <c r="AU67" s="37" t="n">
        <f aca="false">(AU14=1)*①통합_가정!$E$265*①통합_가정!$I$39/1000000*(1+①통합_가정!$E$270)^(MAX(AU16,1)-1)</f>
        <v>0</v>
      </c>
      <c r="AV67" s="37" t="n">
        <f aca="false">(AV14=1)*①통합_가정!$E$265*①통합_가정!$I$39/1000000*(1+①통합_가정!$E$270)^(MAX(AV16,1)-1)</f>
        <v>0</v>
      </c>
      <c r="AW67" s="37" t="n">
        <f aca="false">(AW14=1)*①통합_가정!$E$265*①통합_가정!$I$39/1000000*(1+①통합_가정!$E$270)^(MAX(AW16,1)-1)</f>
        <v>0</v>
      </c>
      <c r="AX67" s="37" t="n">
        <f aca="false">(AX14=1)*①통합_가정!$E$265*①통합_가정!$I$39/1000000*(1+①통합_가정!$E$270)^(MAX(AX16,1)-1)</f>
        <v>0</v>
      </c>
      <c r="AY67" s="37" t="n">
        <f aca="false">(AY14=1)*①통합_가정!$E$265*①통합_가정!$I$39/1000000*(1+①통합_가정!$E$270)^(MAX(AY16,1)-1)</f>
        <v>0</v>
      </c>
      <c r="AZ67" s="37" t="n">
        <f aca="false">(AZ14=1)*①통합_가정!$E$265*①통합_가정!$I$39/1000000*(1+①통합_가정!$E$270)^(MAX(AZ16,1)-1)</f>
        <v>0</v>
      </c>
      <c r="BA67" s="37" t="n">
        <f aca="false">(BA14=1)*①통합_가정!$E$265*①통합_가정!$I$39/1000000*(1+①통합_가정!$E$270)^(MAX(BA16,1)-1)</f>
        <v>0</v>
      </c>
      <c r="BB67" s="37" t="n">
        <f aca="false">(BB14=1)*①통합_가정!$E$265*①통합_가정!$I$39/1000000*(1+①통합_가정!$E$270)^(MAX(BB16,1)-1)</f>
        <v>0</v>
      </c>
      <c r="BC67" s="37" t="n">
        <f aca="false">(BC14=1)*①통합_가정!$E$265*①통합_가정!$I$39/1000000*(1+①통합_가정!$E$270)^(MAX(BC16,1)-1)</f>
        <v>0</v>
      </c>
      <c r="BD67" s="37" t="n">
        <f aca="false">(BD14=1)*①통합_가정!$E$265*①통합_가정!$I$39/1000000*(1+①통합_가정!$E$270)^(MAX(BD16,1)-1)</f>
        <v>0</v>
      </c>
      <c r="BE67" s="37" t="n">
        <f aca="false">(BE14=1)*①통합_가정!$E$265*①통합_가정!$I$39/1000000*(1+①통합_가정!$E$270)^(MAX(BE16,1)-1)</f>
        <v>0</v>
      </c>
      <c r="BF67" s="37" t="n">
        <f aca="false">(BF14=1)*①통합_가정!$E$265*①통합_가정!$I$39/1000000*(1+①통합_가정!$E$270)^(MAX(BF16,1)-1)</f>
        <v>0</v>
      </c>
      <c r="BG67" s="37" t="n">
        <f aca="false">(BG14=1)*①통합_가정!$E$265*①통합_가정!$I$39/1000000*(1+①통합_가정!$E$270)^(MAX(BG16,1)-1)</f>
        <v>0</v>
      </c>
      <c r="BH67" s="37" t="n">
        <f aca="false">(BH14=1)*①통합_가정!$E$265*①통합_가정!$I$39/1000000*(1+①통합_가정!$E$270)^(MAX(BH16,1)-1)</f>
        <v>0</v>
      </c>
      <c r="BI67" s="37" t="n">
        <f aca="false">(BI14=1)*①통합_가정!$E$265*①통합_가정!$I$39/1000000*(1+①통합_가정!$E$270)^(MAX(BI16,1)-1)</f>
        <v>0</v>
      </c>
      <c r="BJ67" s="37" t="n">
        <f aca="false">(BJ14=1)*①통합_가정!$E$265*①통합_가정!$I$39/1000000*(1+①통합_가정!$E$270)^(MAX(BJ16,1)-1)</f>
        <v>0</v>
      </c>
      <c r="BK67" s="37" t="n">
        <f aca="false">(BK14=1)*①통합_가정!$E$265*①통합_가정!$I$39/1000000*(1+①통합_가정!$E$270)^(MAX(BK16,1)-1)</f>
        <v>0</v>
      </c>
      <c r="BL67" s="37" t="n">
        <f aca="false">(BL14=1)*①통합_가정!$E$265*①통합_가정!$I$39/1000000*(1+①통합_가정!$E$270)^(MAX(BL16,1)-1)</f>
        <v>0</v>
      </c>
      <c r="BM67" s="37" t="n">
        <f aca="false">(BM14=1)*①통합_가정!$E$265*①통합_가정!$I$39/1000000*(1+①통합_가정!$E$270)^(MAX(BM16,1)-1)</f>
        <v>122.7171367125</v>
      </c>
      <c r="BN67" s="37" t="n">
        <f aca="false">(BN14=1)*①통합_가정!$E$265*①통합_가정!$I$39/1000000*(1+①통합_가정!$E$270)^(MAX(BN16,1)-1)</f>
        <v>122.7171367125</v>
      </c>
      <c r="BO67" s="37" t="n">
        <f aca="false">(BO14=1)*①통합_가정!$E$265*①통합_가정!$I$39/1000000*(1+①통합_가정!$E$270)^(MAX(BO16,1)-1)</f>
        <v>122.7171367125</v>
      </c>
      <c r="BP67" s="37" t="n">
        <f aca="false">(BP14=1)*①통합_가정!$E$265*①통합_가정!$I$39/1000000*(1+①통합_가정!$E$270)^(MAX(BP16,1)-1)</f>
        <v>122.7171367125</v>
      </c>
      <c r="BQ67" s="37" t="n">
        <f aca="false">(BQ14=1)*①통합_가정!$E$265*①통합_가정!$I$39/1000000*(1+①통합_가정!$E$270)^(MAX(BQ16,1)-1)</f>
        <v>122.7171367125</v>
      </c>
      <c r="BR67" s="37" t="n">
        <f aca="false">(BR14=1)*①통합_가정!$E$265*①통합_가정!$I$39/1000000*(1+①통합_가정!$E$270)^(MAX(BR16,1)-1)</f>
        <v>122.7171367125</v>
      </c>
      <c r="BS67" s="37" t="n">
        <f aca="false">(BS14=1)*①통합_가정!$E$265*①통합_가정!$I$39/1000000*(1+①통합_가정!$E$270)^(MAX(BS16,1)-1)</f>
        <v>122.7171367125</v>
      </c>
      <c r="BT67" s="37" t="n">
        <f aca="false">(BT14=1)*①통합_가정!$E$265*①통합_가정!$I$39/1000000*(1+①통합_가정!$E$270)^(MAX(BT16,1)-1)</f>
        <v>122.7171367125</v>
      </c>
      <c r="BU67" s="37" t="n">
        <f aca="false">(BU14=1)*①통합_가정!$E$265*①통합_가정!$I$39/1000000*(1+①통합_가정!$E$270)^(MAX(BU16,1)-1)</f>
        <v>122.7171367125</v>
      </c>
      <c r="BV67" s="37" t="n">
        <f aca="false">(BV14=1)*①통합_가정!$E$265*①통합_가정!$I$39/1000000*(1+①통합_가정!$E$270)^(MAX(BV16,1)-1)</f>
        <v>122.7171367125</v>
      </c>
      <c r="BW67" s="37" t="n">
        <f aca="false">(BW14=1)*①통합_가정!$E$265*①통합_가정!$I$39/1000000*(1+①통합_가정!$E$270)^(MAX(BW16,1)-1)</f>
        <v>122.7171367125</v>
      </c>
      <c r="BX67" s="37" t="n">
        <f aca="false">(BX14=1)*①통합_가정!$E$265*①통합_가정!$I$39/1000000*(1+①통합_가정!$E$270)^(MAX(BX16,1)-1)</f>
        <v>122.7171367125</v>
      </c>
      <c r="BY67" s="37" t="n">
        <f aca="false">(BY14=1)*①통합_가정!$E$265*①통합_가정!$I$39/1000000*(1+①통합_가정!$E$270)^(MAX(BY16,1)-1)</f>
        <v>125.17147944675</v>
      </c>
      <c r="BZ67" s="37" t="n">
        <f aca="false">(BZ14=1)*①통합_가정!$E$265*①통합_가정!$I$39/1000000*(1+①통합_가정!$E$270)^(MAX(BZ16,1)-1)</f>
        <v>125.17147944675</v>
      </c>
      <c r="CA67" s="37" t="n">
        <f aca="false">(CA14=1)*①통합_가정!$E$265*①통합_가정!$I$39/1000000*(1+①통합_가정!$E$270)^(MAX(CA16,1)-1)</f>
        <v>125.17147944675</v>
      </c>
      <c r="CB67" s="37" t="n">
        <f aca="false">(CB14=1)*①통합_가정!$E$265*①통합_가정!$I$39/1000000*(1+①통합_가정!$E$270)^(MAX(CB16,1)-1)</f>
        <v>125.17147944675</v>
      </c>
      <c r="CC67" s="37" t="n">
        <f aca="false">(CC14=1)*①통합_가정!$E$265*①통합_가정!$I$39/1000000*(1+①통합_가정!$E$270)^(MAX(CC16,1)-1)</f>
        <v>125.17147944675</v>
      </c>
      <c r="CD67" s="37" t="n">
        <f aca="false">(CD14=1)*①통합_가정!$E$265*①통합_가정!$I$39/1000000*(1+①통합_가정!$E$270)^(MAX(CD16,1)-1)</f>
        <v>125.17147944675</v>
      </c>
      <c r="CE67" s="37" t="n">
        <f aca="false">(CE14=1)*①통합_가정!$E$265*①통합_가정!$I$39/1000000*(1+①통합_가정!$E$270)^(MAX(CE16,1)-1)</f>
        <v>125.17147944675</v>
      </c>
      <c r="CF67" s="37" t="n">
        <f aca="false">(CF14=1)*①통합_가정!$E$265*①통합_가정!$I$39/1000000*(1+①통합_가정!$E$270)^(MAX(CF16,1)-1)</f>
        <v>125.17147944675</v>
      </c>
      <c r="CG67" s="37" t="n">
        <f aca="false">(CG14=1)*①통합_가정!$E$265*①통합_가정!$I$39/1000000*(1+①통합_가정!$E$270)^(MAX(CG16,1)-1)</f>
        <v>125.17147944675</v>
      </c>
      <c r="CH67" s="37" t="n">
        <f aca="false">(CH14=1)*①통합_가정!$E$265*①통합_가정!$I$39/1000000*(1+①통합_가정!$E$270)^(MAX(CH16,1)-1)</f>
        <v>125.17147944675</v>
      </c>
      <c r="CI67" s="37" t="n">
        <f aca="false">(CI14=1)*①통합_가정!$E$265*①통합_가정!$I$39/1000000*(1+①통합_가정!$E$270)^(MAX(CI16,1)-1)</f>
        <v>125.17147944675</v>
      </c>
      <c r="CJ67" s="37" t="n">
        <f aca="false">(CJ14=1)*①통합_가정!$E$265*①통합_가정!$I$39/1000000*(1+①통합_가정!$E$270)^(MAX(CJ16,1)-1)</f>
        <v>125.17147944675</v>
      </c>
      <c r="CK67" s="37" t="n">
        <f aca="false">(CK14=1)*①통합_가정!$E$265*①통합_가정!$I$39/1000000*(1+①통합_가정!$E$270)^(MAX(CK16,1)-1)</f>
        <v>127.674909035685</v>
      </c>
      <c r="CL67" s="37" t="n">
        <f aca="false">(CL14=1)*①통합_가정!$E$265*①통합_가정!$I$39/1000000*(1+①통합_가정!$E$270)^(MAX(CL16,1)-1)</f>
        <v>127.674909035685</v>
      </c>
      <c r="CM67" s="37" t="n">
        <f aca="false">(CM14=1)*①통합_가정!$E$265*①통합_가정!$I$39/1000000*(1+①통합_가정!$E$270)^(MAX(CM16,1)-1)</f>
        <v>127.674909035685</v>
      </c>
      <c r="CN67" s="37" t="n">
        <f aca="false">(CN14=1)*①통합_가정!$E$265*①통합_가정!$I$39/1000000*(1+①통합_가정!$E$270)^(MAX(CN16,1)-1)</f>
        <v>127.674909035685</v>
      </c>
      <c r="CO67" s="37" t="n">
        <f aca="false">(CO14=1)*①통합_가정!$E$265*①통합_가정!$I$39/1000000*(1+①통합_가정!$E$270)^(MAX(CO16,1)-1)</f>
        <v>127.674909035685</v>
      </c>
      <c r="CP67" s="37" t="n">
        <f aca="false">(CP14=1)*①통합_가정!$E$265*①통합_가정!$I$39/1000000*(1+①통합_가정!$E$270)^(MAX(CP16,1)-1)</f>
        <v>127.674909035685</v>
      </c>
      <c r="CQ67" s="37" t="n">
        <f aca="false">(CQ14=1)*①통합_가정!$E$265*①통합_가정!$I$39/1000000*(1+①통합_가정!$E$270)^(MAX(CQ16,1)-1)</f>
        <v>127.674909035685</v>
      </c>
      <c r="CR67" s="37" t="n">
        <f aca="false">(CR14=1)*①통합_가정!$E$265*①통합_가정!$I$39/1000000*(1+①통합_가정!$E$270)^(MAX(CR16,1)-1)</f>
        <v>127.674909035685</v>
      </c>
      <c r="CS67" s="37" t="n">
        <f aca="false">(CS14=1)*①통합_가정!$E$265*①통합_가정!$I$39/1000000*(1+①통합_가정!$E$270)^(MAX(CS16,1)-1)</f>
        <v>127.674909035685</v>
      </c>
      <c r="CT67" s="37" t="n">
        <f aca="false">(CT14=1)*①통합_가정!$E$265*①통합_가정!$I$39/1000000*(1+①통합_가정!$E$270)^(MAX(CT16,1)-1)</f>
        <v>127.674909035685</v>
      </c>
      <c r="CU67" s="37" t="n">
        <f aca="false">(CU14=1)*①통합_가정!$E$265*①통합_가정!$I$39/1000000*(1+①통합_가정!$E$270)^(MAX(CU16,1)-1)</f>
        <v>127.674909035685</v>
      </c>
      <c r="CV67" s="37" t="n">
        <f aca="false">(CV14=1)*①통합_가정!$E$265*①통합_가정!$I$39/1000000*(1+①통합_가정!$E$270)^(MAX(CV16,1)-1)</f>
        <v>127.674909035685</v>
      </c>
      <c r="CW67" s="37" t="n">
        <f aca="false">(CW14=1)*①통합_가정!$E$265*①통합_가정!$I$39/1000000*(1+①통합_가정!$E$270)^(MAX(CW16,1)-1)</f>
        <v>130.228407216399</v>
      </c>
      <c r="CX67" s="37" t="n">
        <f aca="false">(CX14=1)*①통합_가정!$E$265*①통합_가정!$I$39/1000000*(1+①통합_가정!$E$270)^(MAX(CX16,1)-1)</f>
        <v>130.228407216399</v>
      </c>
      <c r="CY67" s="37" t="n">
        <f aca="false">(CY14=1)*①통합_가정!$E$265*①통합_가정!$I$39/1000000*(1+①통합_가정!$E$270)^(MAX(CY16,1)-1)</f>
        <v>130.228407216399</v>
      </c>
      <c r="CZ67" s="37" t="n">
        <f aca="false">(CZ14=1)*①통합_가정!$E$265*①통합_가정!$I$39/1000000*(1+①통합_가정!$E$270)^(MAX(CZ16,1)-1)</f>
        <v>130.228407216399</v>
      </c>
      <c r="DA67" s="37" t="n">
        <f aca="false">(DA14=1)*①통합_가정!$E$265*①통합_가정!$I$39/1000000*(1+①통합_가정!$E$270)^(MAX(DA16,1)-1)</f>
        <v>130.228407216399</v>
      </c>
      <c r="DB67" s="37" t="n">
        <f aca="false">(DB14=1)*①통합_가정!$E$265*①통합_가정!$I$39/1000000*(1+①통합_가정!$E$270)^(MAX(DB16,1)-1)</f>
        <v>130.228407216399</v>
      </c>
      <c r="DC67" s="37" t="n">
        <f aca="false">(DC14=1)*①통합_가정!$E$265*①통합_가정!$I$39/1000000*(1+①통합_가정!$E$270)^(MAX(DC16,1)-1)</f>
        <v>130.228407216399</v>
      </c>
      <c r="DD67" s="37" t="n">
        <f aca="false">(DD14=1)*①통합_가정!$E$265*①통합_가정!$I$39/1000000*(1+①통합_가정!$E$270)^(MAX(DD16,1)-1)</f>
        <v>130.228407216399</v>
      </c>
      <c r="DE67" s="37" t="n">
        <f aca="false">(DE14=1)*①통합_가정!$E$265*①통합_가정!$I$39/1000000*(1+①통합_가정!$E$270)^(MAX(DE16,1)-1)</f>
        <v>130.228407216399</v>
      </c>
      <c r="DF67" s="37" t="n">
        <f aca="false">(DF14=1)*①통합_가정!$E$265*①통합_가정!$I$39/1000000*(1+①통합_가정!$E$270)^(MAX(DF16,1)-1)</f>
        <v>130.228407216399</v>
      </c>
      <c r="DG67" s="37" t="n">
        <f aca="false">(DG14=1)*①통합_가정!$E$265*①통합_가정!$I$39/1000000*(1+①통합_가정!$E$270)^(MAX(DG16,1)-1)</f>
        <v>130.228407216399</v>
      </c>
      <c r="DH67" s="37" t="n">
        <f aca="false">(DH14=1)*①통합_가정!$E$265*①통합_가정!$I$39/1000000*(1+①통합_가정!$E$270)^(MAX(DH16,1)-1)</f>
        <v>130.228407216399</v>
      </c>
      <c r="DI67" s="37" t="n">
        <f aca="false">(DI14=1)*①통합_가정!$E$265*①통합_가정!$I$39/1000000*(1+①통합_가정!$E$270)^(MAX(DI16,1)-1)</f>
        <v>132.832975360727</v>
      </c>
      <c r="DJ67" s="37" t="n">
        <f aca="false">(DJ14=1)*①통합_가정!$E$265*①통합_가정!$I$39/1000000*(1+①통합_가정!$E$270)^(MAX(DJ16,1)-1)</f>
        <v>132.832975360727</v>
      </c>
      <c r="DK67" s="37" t="n">
        <f aca="false">(DK14=1)*①통합_가정!$E$265*①통합_가정!$I$39/1000000*(1+①통합_가정!$E$270)^(MAX(DK16,1)-1)</f>
        <v>132.832975360727</v>
      </c>
      <c r="DL67" s="37" t="n">
        <f aca="false">(DL14=1)*①통합_가정!$E$265*①통합_가정!$I$39/1000000*(1+①통합_가정!$E$270)^(MAX(DL16,1)-1)</f>
        <v>132.832975360727</v>
      </c>
      <c r="DM67" s="37" t="n">
        <f aca="false">(DM14=1)*①통합_가정!$E$265*①통합_가정!$I$39/1000000*(1+①통합_가정!$E$270)^(MAX(DM16,1)-1)</f>
        <v>132.832975360727</v>
      </c>
      <c r="DN67" s="37" t="n">
        <f aca="false">(DN14=1)*①통합_가정!$E$265*①통합_가정!$I$39/1000000*(1+①통합_가정!$E$270)^(MAX(DN16,1)-1)</f>
        <v>132.832975360727</v>
      </c>
      <c r="DO67" s="37" t="n">
        <f aca="false">(DO14=1)*①통합_가정!$E$265*①통합_가정!$I$39/1000000*(1+①통합_가정!$E$270)^(MAX(DO16,1)-1)</f>
        <v>132.832975360727</v>
      </c>
      <c r="DP67" s="37" t="n">
        <f aca="false">(DP14=1)*①통합_가정!$E$265*①통합_가정!$I$39/1000000*(1+①통합_가정!$E$270)^(MAX(DP16,1)-1)</f>
        <v>132.832975360727</v>
      </c>
      <c r="DQ67" s="37" t="n">
        <f aca="false">(DQ14=1)*①통합_가정!$E$265*①통합_가정!$I$39/1000000*(1+①통합_가정!$E$270)^(MAX(DQ16,1)-1)</f>
        <v>132.832975360727</v>
      </c>
      <c r="DR67" s="37" t="n">
        <f aca="false">(DR14=1)*①통합_가정!$E$265*①통합_가정!$I$39/1000000*(1+①통합_가정!$E$270)^(MAX(DR16,1)-1)</f>
        <v>132.832975360727</v>
      </c>
      <c r="DS67" s="37" t="n">
        <f aca="false">(DS14=1)*①통합_가정!$E$265*①통합_가정!$I$39/1000000*(1+①통합_가정!$E$270)^(MAX(DS16,1)-1)</f>
        <v>132.832975360727</v>
      </c>
      <c r="DT67" s="37" t="n">
        <f aca="false">(DT14=1)*①통합_가정!$E$265*①통합_가정!$I$39/1000000*(1+①통합_가정!$E$270)^(MAX(DT16,1)-1)</f>
        <v>132.832975360727</v>
      </c>
      <c r="DU67" s="37" t="n">
        <f aca="false">(DU14=1)*①통합_가정!$E$265*①통합_가정!$I$39/1000000*(1+①통합_가정!$E$270)^(MAX(DU16,1)-1)</f>
        <v>0</v>
      </c>
      <c r="DV67" s="37" t="n">
        <f aca="false">(DV14=1)*①통합_가정!$E$265*①통합_가정!$I$39/1000000*(1+①통합_가정!$E$270)^(MAX(DV16,1)-1)</f>
        <v>0</v>
      </c>
      <c r="DW67" s="37" t="n">
        <f aca="false">(DW14=1)*①통합_가정!$E$265*①통합_가정!$I$39/1000000*(1+①통합_가정!$E$270)^(MAX(DW16,1)-1)</f>
        <v>0</v>
      </c>
      <c r="DX67" s="37" t="n">
        <f aca="false">(DX14=1)*①통합_가정!$E$265*①통합_가정!$I$39/1000000*(1+①통합_가정!$E$270)^(MAX(DX16,1)-1)</f>
        <v>0</v>
      </c>
      <c r="DY67" s="37" t="n">
        <f aca="false">(DY14=1)*①통합_가정!$E$265*①통합_가정!$I$39/1000000*(1+①통합_가정!$E$270)^(MAX(DY16,1)-1)</f>
        <v>0</v>
      </c>
      <c r="DZ67" s="37" t="n">
        <f aca="false">(DZ14=1)*①통합_가정!$E$265*①통합_가정!$I$39/1000000*(1+①통합_가정!$E$270)^(MAX(DZ16,1)-1)</f>
        <v>0</v>
      </c>
      <c r="EA67" s="37" t="n">
        <f aca="false">(EA14=1)*①통합_가정!$E$265*①통합_가정!$I$39/1000000*(1+①통합_가정!$E$270)^(MAX(EA16,1)-1)</f>
        <v>0</v>
      </c>
      <c r="EB67" s="37" t="n">
        <f aca="false">(EB14=1)*①통합_가정!$E$265*①통합_가정!$I$39/1000000*(1+①통합_가정!$E$270)^(MAX(EB16,1)-1)</f>
        <v>0</v>
      </c>
      <c r="EC67" s="37" t="n">
        <f aca="false">(EC14=1)*①통합_가정!$E$265*①통합_가정!$I$39/1000000*(1+①통합_가정!$E$270)^(MAX(EC16,1)-1)</f>
        <v>0</v>
      </c>
      <c r="ED67" s="37" t="n">
        <f aca="false">(ED14=1)*①통합_가정!$E$265*①통합_가정!$I$39/1000000*(1+①통합_가정!$E$270)^(MAX(ED16,1)-1)</f>
        <v>0</v>
      </c>
      <c r="EE67" s="37" t="n">
        <f aca="false">(EE14=1)*①통합_가정!$E$265*①통합_가정!$I$39/1000000*(1+①통합_가정!$E$270)^(MAX(EE16,1)-1)</f>
        <v>0</v>
      </c>
      <c r="EF67" s="37" t="n">
        <f aca="false">(EF14=1)*①통합_가정!$E$265*①통합_가정!$I$39/1000000*(1+①통합_가정!$E$270)^(MAX(EF16,1)-1)</f>
        <v>0</v>
      </c>
    </row>
    <row r="68" customFormat="false" ht="15" hidden="false" customHeight="false" outlineLevel="0" collapsed="false">
      <c r="A68" s="36" t="s">
        <v>613</v>
      </c>
      <c r="B68" s="278" t="s">
        <v>21</v>
      </c>
      <c r="C68" s="279" t="n">
        <f aca="false">SUM(E68:EF68)</f>
        <v>7663.49889326473</v>
      </c>
      <c r="E68" s="37" t="n">
        <f aca="false">(E14=1)*①통합_가정!$E$266*①통합_가정!$I$39/1000000*(1+①통합_가정!$E$270)^(MAX(E16,1)-1)</f>
        <v>0</v>
      </c>
      <c r="F68" s="37" t="n">
        <f aca="false">(F14=1)*①통합_가정!$E$266*①통합_가정!$I$39/1000000*(1+①통합_가정!$E$270)^(MAX(F16,1)-1)</f>
        <v>0</v>
      </c>
      <c r="G68" s="37" t="n">
        <f aca="false">(G14=1)*①통합_가정!$E$266*①통합_가정!$I$39/1000000*(1+①통합_가정!$E$270)^(MAX(G16,1)-1)</f>
        <v>0</v>
      </c>
      <c r="H68" s="37" t="n">
        <f aca="false">(H14=1)*①통합_가정!$E$266*①통합_가정!$I$39/1000000*(1+①통합_가정!$E$270)^(MAX(H16,1)-1)</f>
        <v>0</v>
      </c>
      <c r="I68" s="37" t="n">
        <f aca="false">(I14=1)*①통합_가정!$E$266*①통합_가정!$I$39/1000000*(1+①통합_가정!$E$270)^(MAX(I16,1)-1)</f>
        <v>0</v>
      </c>
      <c r="J68" s="37" t="n">
        <f aca="false">(J14=1)*①통합_가정!$E$266*①통합_가정!$I$39/1000000*(1+①통합_가정!$E$270)^(MAX(J16,1)-1)</f>
        <v>0</v>
      </c>
      <c r="K68" s="37" t="n">
        <f aca="false">(K14=1)*①통합_가정!$E$266*①통합_가정!$I$39/1000000*(1+①통합_가정!$E$270)^(MAX(K16,1)-1)</f>
        <v>0</v>
      </c>
      <c r="L68" s="37" t="n">
        <f aca="false">(L14=1)*①통합_가정!$E$266*①통합_가정!$I$39/1000000*(1+①통합_가정!$E$270)^(MAX(L16,1)-1)</f>
        <v>0</v>
      </c>
      <c r="M68" s="37" t="n">
        <f aca="false">(M14=1)*①통합_가정!$E$266*①통합_가정!$I$39/1000000*(1+①통합_가정!$E$270)^(MAX(M16,1)-1)</f>
        <v>0</v>
      </c>
      <c r="N68" s="37" t="n">
        <f aca="false">(N14=1)*①통합_가정!$E$266*①통합_가정!$I$39/1000000*(1+①통합_가정!$E$270)^(MAX(N16,1)-1)</f>
        <v>0</v>
      </c>
      <c r="O68" s="37" t="n">
        <f aca="false">(O14=1)*①통합_가정!$E$266*①통합_가정!$I$39/1000000*(1+①통합_가정!$E$270)^(MAX(O16,1)-1)</f>
        <v>0</v>
      </c>
      <c r="P68" s="37" t="n">
        <f aca="false">(P14=1)*①통합_가정!$E$266*①통합_가정!$I$39/1000000*(1+①통합_가정!$E$270)^(MAX(P16,1)-1)</f>
        <v>0</v>
      </c>
      <c r="Q68" s="37" t="n">
        <f aca="false">(Q14=1)*①통합_가정!$E$266*①통합_가정!$I$39/1000000*(1+①통합_가정!$E$270)^(MAX(Q16,1)-1)</f>
        <v>0</v>
      </c>
      <c r="R68" s="37" t="n">
        <f aca="false">(R14=1)*①통합_가정!$E$266*①통합_가정!$I$39/1000000*(1+①통합_가정!$E$270)^(MAX(R16,1)-1)</f>
        <v>0</v>
      </c>
      <c r="S68" s="37" t="n">
        <f aca="false">(S14=1)*①통합_가정!$E$266*①통합_가정!$I$39/1000000*(1+①통합_가정!$E$270)^(MAX(S16,1)-1)</f>
        <v>0</v>
      </c>
      <c r="T68" s="37" t="n">
        <f aca="false">(T14=1)*①통합_가정!$E$266*①통합_가정!$I$39/1000000*(1+①통합_가정!$E$270)^(MAX(T16,1)-1)</f>
        <v>0</v>
      </c>
      <c r="U68" s="37" t="n">
        <f aca="false">(U14=1)*①통합_가정!$E$266*①통합_가정!$I$39/1000000*(1+①통합_가정!$E$270)^(MAX(U16,1)-1)</f>
        <v>0</v>
      </c>
      <c r="V68" s="37" t="n">
        <f aca="false">(V14=1)*①통합_가정!$E$266*①통합_가정!$I$39/1000000*(1+①통합_가정!$E$270)^(MAX(V16,1)-1)</f>
        <v>0</v>
      </c>
      <c r="W68" s="37" t="n">
        <f aca="false">(W14=1)*①통합_가정!$E$266*①통합_가정!$I$39/1000000*(1+①통합_가정!$E$270)^(MAX(W16,1)-1)</f>
        <v>0</v>
      </c>
      <c r="X68" s="37" t="n">
        <f aca="false">(X14=1)*①통합_가정!$E$266*①통합_가정!$I$39/1000000*(1+①통합_가정!$E$270)^(MAX(X16,1)-1)</f>
        <v>0</v>
      </c>
      <c r="Y68" s="37" t="n">
        <f aca="false">(Y14=1)*①통합_가정!$E$266*①통합_가정!$I$39/1000000*(1+①통합_가정!$E$270)^(MAX(Y16,1)-1)</f>
        <v>0</v>
      </c>
      <c r="Z68" s="37" t="n">
        <f aca="false">(Z14=1)*①통합_가정!$E$266*①통합_가정!$I$39/1000000*(1+①통합_가정!$E$270)^(MAX(Z16,1)-1)</f>
        <v>0</v>
      </c>
      <c r="AA68" s="37" t="n">
        <f aca="false">(AA14=1)*①통합_가정!$E$266*①통합_가정!$I$39/1000000*(1+①통합_가정!$E$270)^(MAX(AA16,1)-1)</f>
        <v>0</v>
      </c>
      <c r="AB68" s="37" t="n">
        <f aca="false">(AB14=1)*①통합_가정!$E$266*①통합_가정!$I$39/1000000*(1+①통합_가정!$E$270)^(MAX(AB16,1)-1)</f>
        <v>0</v>
      </c>
      <c r="AC68" s="37" t="n">
        <f aca="false">(AC14=1)*①통합_가정!$E$266*①통합_가정!$I$39/1000000*(1+①통합_가정!$E$270)^(MAX(AC16,1)-1)</f>
        <v>0</v>
      </c>
      <c r="AD68" s="37" t="n">
        <f aca="false">(AD14=1)*①통합_가정!$E$266*①통합_가정!$I$39/1000000*(1+①통합_가정!$E$270)^(MAX(AD16,1)-1)</f>
        <v>0</v>
      </c>
      <c r="AE68" s="37" t="n">
        <f aca="false">(AE14=1)*①통합_가정!$E$266*①통합_가정!$I$39/1000000*(1+①통합_가정!$E$270)^(MAX(AE16,1)-1)</f>
        <v>0</v>
      </c>
      <c r="AF68" s="37" t="n">
        <f aca="false">(AF14=1)*①통합_가정!$E$266*①통합_가정!$I$39/1000000*(1+①통합_가정!$E$270)^(MAX(AF16,1)-1)</f>
        <v>0</v>
      </c>
      <c r="AG68" s="37" t="n">
        <f aca="false">(AG14=1)*①통합_가정!$E$266*①통합_가정!$I$39/1000000*(1+①통합_가정!$E$270)^(MAX(AG16,1)-1)</f>
        <v>0</v>
      </c>
      <c r="AH68" s="37" t="n">
        <f aca="false">(AH14=1)*①통합_가정!$E$266*①통합_가정!$I$39/1000000*(1+①통합_가정!$E$270)^(MAX(AH16,1)-1)</f>
        <v>0</v>
      </c>
      <c r="AI68" s="37" t="n">
        <f aca="false">(AI14=1)*①통합_가정!$E$266*①통합_가정!$I$39/1000000*(1+①통합_가정!$E$270)^(MAX(AI16,1)-1)</f>
        <v>0</v>
      </c>
      <c r="AJ68" s="37" t="n">
        <f aca="false">(AJ14=1)*①통합_가정!$E$266*①통합_가정!$I$39/1000000*(1+①통합_가정!$E$270)^(MAX(AJ16,1)-1)</f>
        <v>0</v>
      </c>
      <c r="AK68" s="37" t="n">
        <f aca="false">(AK14=1)*①통합_가정!$E$266*①통합_가정!$I$39/1000000*(1+①통합_가정!$E$270)^(MAX(AK16,1)-1)</f>
        <v>0</v>
      </c>
      <c r="AL68" s="37" t="n">
        <f aca="false">(AL14=1)*①통합_가정!$E$266*①통합_가정!$I$39/1000000*(1+①통합_가정!$E$270)^(MAX(AL16,1)-1)</f>
        <v>0</v>
      </c>
      <c r="AM68" s="37" t="n">
        <f aca="false">(AM14=1)*①통합_가정!$E$266*①통합_가정!$I$39/1000000*(1+①통합_가정!$E$270)^(MAX(AM16,1)-1)</f>
        <v>0</v>
      </c>
      <c r="AN68" s="37" t="n">
        <f aca="false">(AN14=1)*①통합_가정!$E$266*①통합_가정!$I$39/1000000*(1+①통합_가정!$E$270)^(MAX(AN16,1)-1)</f>
        <v>0</v>
      </c>
      <c r="AO68" s="37" t="n">
        <f aca="false">(AO14=1)*①통합_가정!$E$266*①통합_가정!$I$39/1000000*(1+①통합_가정!$E$270)^(MAX(AO16,1)-1)</f>
        <v>0</v>
      </c>
      <c r="AP68" s="37" t="n">
        <f aca="false">(AP14=1)*①통합_가정!$E$266*①통합_가정!$I$39/1000000*(1+①통합_가정!$E$270)^(MAX(AP16,1)-1)</f>
        <v>0</v>
      </c>
      <c r="AQ68" s="37" t="n">
        <f aca="false">(AQ14=1)*①통합_가정!$E$266*①통합_가정!$I$39/1000000*(1+①통합_가정!$E$270)^(MAX(AQ16,1)-1)</f>
        <v>0</v>
      </c>
      <c r="AR68" s="37" t="n">
        <f aca="false">(AR14=1)*①통합_가정!$E$266*①통합_가정!$I$39/1000000*(1+①통합_가정!$E$270)^(MAX(AR16,1)-1)</f>
        <v>0</v>
      </c>
      <c r="AS68" s="37" t="n">
        <f aca="false">(AS14=1)*①통합_가정!$E$266*①통합_가정!$I$39/1000000*(1+①통합_가정!$E$270)^(MAX(AS16,1)-1)</f>
        <v>0</v>
      </c>
      <c r="AT68" s="37" t="n">
        <f aca="false">(AT14=1)*①통합_가정!$E$266*①통합_가정!$I$39/1000000*(1+①통합_가정!$E$270)^(MAX(AT16,1)-1)</f>
        <v>0</v>
      </c>
      <c r="AU68" s="37" t="n">
        <f aca="false">(AU14=1)*①통합_가정!$E$266*①통합_가정!$I$39/1000000*(1+①통합_가정!$E$270)^(MAX(AU16,1)-1)</f>
        <v>0</v>
      </c>
      <c r="AV68" s="37" t="n">
        <f aca="false">(AV14=1)*①통합_가정!$E$266*①통합_가정!$I$39/1000000*(1+①통합_가정!$E$270)^(MAX(AV16,1)-1)</f>
        <v>0</v>
      </c>
      <c r="AW68" s="37" t="n">
        <f aca="false">(AW14=1)*①통합_가정!$E$266*①통합_가정!$I$39/1000000*(1+①통합_가정!$E$270)^(MAX(AW16,1)-1)</f>
        <v>0</v>
      </c>
      <c r="AX68" s="37" t="n">
        <f aca="false">(AX14=1)*①통합_가정!$E$266*①통합_가정!$I$39/1000000*(1+①통합_가정!$E$270)^(MAX(AX16,1)-1)</f>
        <v>0</v>
      </c>
      <c r="AY68" s="37" t="n">
        <f aca="false">(AY14=1)*①통합_가정!$E$266*①통합_가정!$I$39/1000000*(1+①통합_가정!$E$270)^(MAX(AY16,1)-1)</f>
        <v>0</v>
      </c>
      <c r="AZ68" s="37" t="n">
        <f aca="false">(AZ14=1)*①통합_가정!$E$266*①통합_가정!$I$39/1000000*(1+①통합_가정!$E$270)^(MAX(AZ16,1)-1)</f>
        <v>0</v>
      </c>
      <c r="BA68" s="37" t="n">
        <f aca="false">(BA14=1)*①통합_가정!$E$266*①통합_가정!$I$39/1000000*(1+①통합_가정!$E$270)^(MAX(BA16,1)-1)</f>
        <v>0</v>
      </c>
      <c r="BB68" s="37" t="n">
        <f aca="false">(BB14=1)*①통합_가정!$E$266*①통합_가정!$I$39/1000000*(1+①통합_가정!$E$270)^(MAX(BB16,1)-1)</f>
        <v>0</v>
      </c>
      <c r="BC68" s="37" t="n">
        <f aca="false">(BC14=1)*①통합_가정!$E$266*①통합_가정!$I$39/1000000*(1+①통합_가정!$E$270)^(MAX(BC16,1)-1)</f>
        <v>0</v>
      </c>
      <c r="BD68" s="37" t="n">
        <f aca="false">(BD14=1)*①통합_가정!$E$266*①통합_가정!$I$39/1000000*(1+①통합_가정!$E$270)^(MAX(BD16,1)-1)</f>
        <v>0</v>
      </c>
      <c r="BE68" s="37" t="n">
        <f aca="false">(BE14=1)*①통합_가정!$E$266*①통합_가정!$I$39/1000000*(1+①통합_가정!$E$270)^(MAX(BE16,1)-1)</f>
        <v>0</v>
      </c>
      <c r="BF68" s="37" t="n">
        <f aca="false">(BF14=1)*①통합_가정!$E$266*①통합_가정!$I$39/1000000*(1+①통합_가정!$E$270)^(MAX(BF16,1)-1)</f>
        <v>0</v>
      </c>
      <c r="BG68" s="37" t="n">
        <f aca="false">(BG14=1)*①통합_가정!$E$266*①통합_가정!$I$39/1000000*(1+①통합_가정!$E$270)^(MAX(BG16,1)-1)</f>
        <v>0</v>
      </c>
      <c r="BH68" s="37" t="n">
        <f aca="false">(BH14=1)*①통합_가정!$E$266*①통합_가정!$I$39/1000000*(1+①통합_가정!$E$270)^(MAX(BH16,1)-1)</f>
        <v>0</v>
      </c>
      <c r="BI68" s="37" t="n">
        <f aca="false">(BI14=1)*①통합_가정!$E$266*①통합_가정!$I$39/1000000*(1+①통합_가정!$E$270)^(MAX(BI16,1)-1)</f>
        <v>0</v>
      </c>
      <c r="BJ68" s="37" t="n">
        <f aca="false">(BJ14=1)*①통합_가정!$E$266*①통합_가정!$I$39/1000000*(1+①통합_가정!$E$270)^(MAX(BJ16,1)-1)</f>
        <v>0</v>
      </c>
      <c r="BK68" s="37" t="n">
        <f aca="false">(BK14=1)*①통합_가정!$E$266*①통합_가정!$I$39/1000000*(1+①통합_가정!$E$270)^(MAX(BK16,1)-1)</f>
        <v>0</v>
      </c>
      <c r="BL68" s="37" t="n">
        <f aca="false">(BL14=1)*①통합_가정!$E$266*①통합_가정!$I$39/1000000*(1+①통합_가정!$E$270)^(MAX(BL16,1)-1)</f>
        <v>0</v>
      </c>
      <c r="BM68" s="37" t="n">
        <f aca="false">(BM14=1)*①통합_가정!$E$266*①통합_가정!$I$39/1000000*(1+①통합_가정!$E$270)^(MAX(BM16,1)-1)</f>
        <v>122.7171367125</v>
      </c>
      <c r="BN68" s="37" t="n">
        <f aca="false">(BN14=1)*①통합_가정!$E$266*①통합_가정!$I$39/1000000*(1+①통합_가정!$E$270)^(MAX(BN16,1)-1)</f>
        <v>122.7171367125</v>
      </c>
      <c r="BO68" s="37" t="n">
        <f aca="false">(BO14=1)*①통합_가정!$E$266*①통합_가정!$I$39/1000000*(1+①통합_가정!$E$270)^(MAX(BO16,1)-1)</f>
        <v>122.7171367125</v>
      </c>
      <c r="BP68" s="37" t="n">
        <f aca="false">(BP14=1)*①통합_가정!$E$266*①통합_가정!$I$39/1000000*(1+①통합_가정!$E$270)^(MAX(BP16,1)-1)</f>
        <v>122.7171367125</v>
      </c>
      <c r="BQ68" s="37" t="n">
        <f aca="false">(BQ14=1)*①통합_가정!$E$266*①통합_가정!$I$39/1000000*(1+①통합_가정!$E$270)^(MAX(BQ16,1)-1)</f>
        <v>122.7171367125</v>
      </c>
      <c r="BR68" s="37" t="n">
        <f aca="false">(BR14=1)*①통합_가정!$E$266*①통합_가정!$I$39/1000000*(1+①통합_가정!$E$270)^(MAX(BR16,1)-1)</f>
        <v>122.7171367125</v>
      </c>
      <c r="BS68" s="37" t="n">
        <f aca="false">(BS14=1)*①통합_가정!$E$266*①통합_가정!$I$39/1000000*(1+①통합_가정!$E$270)^(MAX(BS16,1)-1)</f>
        <v>122.7171367125</v>
      </c>
      <c r="BT68" s="37" t="n">
        <f aca="false">(BT14=1)*①통합_가정!$E$266*①통합_가정!$I$39/1000000*(1+①통합_가정!$E$270)^(MAX(BT16,1)-1)</f>
        <v>122.7171367125</v>
      </c>
      <c r="BU68" s="37" t="n">
        <f aca="false">(BU14=1)*①통합_가정!$E$266*①통합_가정!$I$39/1000000*(1+①통합_가정!$E$270)^(MAX(BU16,1)-1)</f>
        <v>122.7171367125</v>
      </c>
      <c r="BV68" s="37" t="n">
        <f aca="false">(BV14=1)*①통합_가정!$E$266*①통합_가정!$I$39/1000000*(1+①통합_가정!$E$270)^(MAX(BV16,1)-1)</f>
        <v>122.7171367125</v>
      </c>
      <c r="BW68" s="37" t="n">
        <f aca="false">(BW14=1)*①통합_가정!$E$266*①통합_가정!$I$39/1000000*(1+①통합_가정!$E$270)^(MAX(BW16,1)-1)</f>
        <v>122.7171367125</v>
      </c>
      <c r="BX68" s="37" t="n">
        <f aca="false">(BX14=1)*①통합_가정!$E$266*①통합_가정!$I$39/1000000*(1+①통합_가정!$E$270)^(MAX(BX16,1)-1)</f>
        <v>122.7171367125</v>
      </c>
      <c r="BY68" s="37" t="n">
        <f aca="false">(BY14=1)*①통합_가정!$E$266*①통합_가정!$I$39/1000000*(1+①통합_가정!$E$270)^(MAX(BY16,1)-1)</f>
        <v>125.17147944675</v>
      </c>
      <c r="BZ68" s="37" t="n">
        <f aca="false">(BZ14=1)*①통합_가정!$E$266*①통합_가정!$I$39/1000000*(1+①통합_가정!$E$270)^(MAX(BZ16,1)-1)</f>
        <v>125.17147944675</v>
      </c>
      <c r="CA68" s="37" t="n">
        <f aca="false">(CA14=1)*①통합_가정!$E$266*①통합_가정!$I$39/1000000*(1+①통합_가정!$E$270)^(MAX(CA16,1)-1)</f>
        <v>125.17147944675</v>
      </c>
      <c r="CB68" s="37" t="n">
        <f aca="false">(CB14=1)*①통합_가정!$E$266*①통합_가정!$I$39/1000000*(1+①통합_가정!$E$270)^(MAX(CB16,1)-1)</f>
        <v>125.17147944675</v>
      </c>
      <c r="CC68" s="37" t="n">
        <f aca="false">(CC14=1)*①통합_가정!$E$266*①통합_가정!$I$39/1000000*(1+①통합_가정!$E$270)^(MAX(CC16,1)-1)</f>
        <v>125.17147944675</v>
      </c>
      <c r="CD68" s="37" t="n">
        <f aca="false">(CD14=1)*①통합_가정!$E$266*①통합_가정!$I$39/1000000*(1+①통합_가정!$E$270)^(MAX(CD16,1)-1)</f>
        <v>125.17147944675</v>
      </c>
      <c r="CE68" s="37" t="n">
        <f aca="false">(CE14=1)*①통합_가정!$E$266*①통합_가정!$I$39/1000000*(1+①통합_가정!$E$270)^(MAX(CE16,1)-1)</f>
        <v>125.17147944675</v>
      </c>
      <c r="CF68" s="37" t="n">
        <f aca="false">(CF14=1)*①통합_가정!$E$266*①통합_가정!$I$39/1000000*(1+①통합_가정!$E$270)^(MAX(CF16,1)-1)</f>
        <v>125.17147944675</v>
      </c>
      <c r="CG68" s="37" t="n">
        <f aca="false">(CG14=1)*①통합_가정!$E$266*①통합_가정!$I$39/1000000*(1+①통합_가정!$E$270)^(MAX(CG16,1)-1)</f>
        <v>125.17147944675</v>
      </c>
      <c r="CH68" s="37" t="n">
        <f aca="false">(CH14=1)*①통합_가정!$E$266*①통합_가정!$I$39/1000000*(1+①통합_가정!$E$270)^(MAX(CH16,1)-1)</f>
        <v>125.17147944675</v>
      </c>
      <c r="CI68" s="37" t="n">
        <f aca="false">(CI14=1)*①통합_가정!$E$266*①통합_가정!$I$39/1000000*(1+①통합_가정!$E$270)^(MAX(CI16,1)-1)</f>
        <v>125.17147944675</v>
      </c>
      <c r="CJ68" s="37" t="n">
        <f aca="false">(CJ14=1)*①통합_가정!$E$266*①통합_가정!$I$39/1000000*(1+①통합_가정!$E$270)^(MAX(CJ16,1)-1)</f>
        <v>125.17147944675</v>
      </c>
      <c r="CK68" s="37" t="n">
        <f aca="false">(CK14=1)*①통합_가정!$E$266*①통합_가정!$I$39/1000000*(1+①통합_가정!$E$270)^(MAX(CK16,1)-1)</f>
        <v>127.674909035685</v>
      </c>
      <c r="CL68" s="37" t="n">
        <f aca="false">(CL14=1)*①통합_가정!$E$266*①통합_가정!$I$39/1000000*(1+①통합_가정!$E$270)^(MAX(CL16,1)-1)</f>
        <v>127.674909035685</v>
      </c>
      <c r="CM68" s="37" t="n">
        <f aca="false">(CM14=1)*①통합_가정!$E$266*①통합_가정!$I$39/1000000*(1+①통합_가정!$E$270)^(MAX(CM16,1)-1)</f>
        <v>127.674909035685</v>
      </c>
      <c r="CN68" s="37" t="n">
        <f aca="false">(CN14=1)*①통합_가정!$E$266*①통합_가정!$I$39/1000000*(1+①통합_가정!$E$270)^(MAX(CN16,1)-1)</f>
        <v>127.674909035685</v>
      </c>
      <c r="CO68" s="37" t="n">
        <f aca="false">(CO14=1)*①통합_가정!$E$266*①통합_가정!$I$39/1000000*(1+①통합_가정!$E$270)^(MAX(CO16,1)-1)</f>
        <v>127.674909035685</v>
      </c>
      <c r="CP68" s="37" t="n">
        <f aca="false">(CP14=1)*①통합_가정!$E$266*①통합_가정!$I$39/1000000*(1+①통합_가정!$E$270)^(MAX(CP16,1)-1)</f>
        <v>127.674909035685</v>
      </c>
      <c r="CQ68" s="37" t="n">
        <f aca="false">(CQ14=1)*①통합_가정!$E$266*①통합_가정!$I$39/1000000*(1+①통합_가정!$E$270)^(MAX(CQ16,1)-1)</f>
        <v>127.674909035685</v>
      </c>
      <c r="CR68" s="37" t="n">
        <f aca="false">(CR14=1)*①통합_가정!$E$266*①통합_가정!$I$39/1000000*(1+①통합_가정!$E$270)^(MAX(CR16,1)-1)</f>
        <v>127.674909035685</v>
      </c>
      <c r="CS68" s="37" t="n">
        <f aca="false">(CS14=1)*①통합_가정!$E$266*①통합_가정!$I$39/1000000*(1+①통합_가정!$E$270)^(MAX(CS16,1)-1)</f>
        <v>127.674909035685</v>
      </c>
      <c r="CT68" s="37" t="n">
        <f aca="false">(CT14=1)*①통합_가정!$E$266*①통합_가정!$I$39/1000000*(1+①통합_가정!$E$270)^(MAX(CT16,1)-1)</f>
        <v>127.674909035685</v>
      </c>
      <c r="CU68" s="37" t="n">
        <f aca="false">(CU14=1)*①통합_가정!$E$266*①통합_가정!$I$39/1000000*(1+①통합_가정!$E$270)^(MAX(CU16,1)-1)</f>
        <v>127.674909035685</v>
      </c>
      <c r="CV68" s="37" t="n">
        <f aca="false">(CV14=1)*①통합_가정!$E$266*①통합_가정!$I$39/1000000*(1+①통합_가정!$E$270)^(MAX(CV16,1)-1)</f>
        <v>127.674909035685</v>
      </c>
      <c r="CW68" s="37" t="n">
        <f aca="false">(CW14=1)*①통합_가정!$E$266*①통합_가정!$I$39/1000000*(1+①통합_가정!$E$270)^(MAX(CW16,1)-1)</f>
        <v>130.228407216399</v>
      </c>
      <c r="CX68" s="37" t="n">
        <f aca="false">(CX14=1)*①통합_가정!$E$266*①통합_가정!$I$39/1000000*(1+①통합_가정!$E$270)^(MAX(CX16,1)-1)</f>
        <v>130.228407216399</v>
      </c>
      <c r="CY68" s="37" t="n">
        <f aca="false">(CY14=1)*①통합_가정!$E$266*①통합_가정!$I$39/1000000*(1+①통합_가정!$E$270)^(MAX(CY16,1)-1)</f>
        <v>130.228407216399</v>
      </c>
      <c r="CZ68" s="37" t="n">
        <f aca="false">(CZ14=1)*①통합_가정!$E$266*①통합_가정!$I$39/1000000*(1+①통합_가정!$E$270)^(MAX(CZ16,1)-1)</f>
        <v>130.228407216399</v>
      </c>
      <c r="DA68" s="37" t="n">
        <f aca="false">(DA14=1)*①통합_가정!$E$266*①통합_가정!$I$39/1000000*(1+①통합_가정!$E$270)^(MAX(DA16,1)-1)</f>
        <v>130.228407216399</v>
      </c>
      <c r="DB68" s="37" t="n">
        <f aca="false">(DB14=1)*①통합_가정!$E$266*①통합_가정!$I$39/1000000*(1+①통합_가정!$E$270)^(MAX(DB16,1)-1)</f>
        <v>130.228407216399</v>
      </c>
      <c r="DC68" s="37" t="n">
        <f aca="false">(DC14=1)*①통합_가정!$E$266*①통합_가정!$I$39/1000000*(1+①통합_가정!$E$270)^(MAX(DC16,1)-1)</f>
        <v>130.228407216399</v>
      </c>
      <c r="DD68" s="37" t="n">
        <f aca="false">(DD14=1)*①통합_가정!$E$266*①통합_가정!$I$39/1000000*(1+①통합_가정!$E$270)^(MAX(DD16,1)-1)</f>
        <v>130.228407216399</v>
      </c>
      <c r="DE68" s="37" t="n">
        <f aca="false">(DE14=1)*①통합_가정!$E$266*①통합_가정!$I$39/1000000*(1+①통합_가정!$E$270)^(MAX(DE16,1)-1)</f>
        <v>130.228407216399</v>
      </c>
      <c r="DF68" s="37" t="n">
        <f aca="false">(DF14=1)*①통합_가정!$E$266*①통합_가정!$I$39/1000000*(1+①통합_가정!$E$270)^(MAX(DF16,1)-1)</f>
        <v>130.228407216399</v>
      </c>
      <c r="DG68" s="37" t="n">
        <f aca="false">(DG14=1)*①통합_가정!$E$266*①통합_가정!$I$39/1000000*(1+①통합_가정!$E$270)^(MAX(DG16,1)-1)</f>
        <v>130.228407216399</v>
      </c>
      <c r="DH68" s="37" t="n">
        <f aca="false">(DH14=1)*①통합_가정!$E$266*①통합_가정!$I$39/1000000*(1+①통합_가정!$E$270)^(MAX(DH16,1)-1)</f>
        <v>130.228407216399</v>
      </c>
      <c r="DI68" s="37" t="n">
        <f aca="false">(DI14=1)*①통합_가정!$E$266*①통합_가정!$I$39/1000000*(1+①통합_가정!$E$270)^(MAX(DI16,1)-1)</f>
        <v>132.832975360727</v>
      </c>
      <c r="DJ68" s="37" t="n">
        <f aca="false">(DJ14=1)*①통합_가정!$E$266*①통합_가정!$I$39/1000000*(1+①통합_가정!$E$270)^(MAX(DJ16,1)-1)</f>
        <v>132.832975360727</v>
      </c>
      <c r="DK68" s="37" t="n">
        <f aca="false">(DK14=1)*①통합_가정!$E$266*①통합_가정!$I$39/1000000*(1+①통합_가정!$E$270)^(MAX(DK16,1)-1)</f>
        <v>132.832975360727</v>
      </c>
      <c r="DL68" s="37" t="n">
        <f aca="false">(DL14=1)*①통합_가정!$E$266*①통합_가정!$I$39/1000000*(1+①통합_가정!$E$270)^(MAX(DL16,1)-1)</f>
        <v>132.832975360727</v>
      </c>
      <c r="DM68" s="37" t="n">
        <f aca="false">(DM14=1)*①통합_가정!$E$266*①통합_가정!$I$39/1000000*(1+①통합_가정!$E$270)^(MAX(DM16,1)-1)</f>
        <v>132.832975360727</v>
      </c>
      <c r="DN68" s="37" t="n">
        <f aca="false">(DN14=1)*①통합_가정!$E$266*①통합_가정!$I$39/1000000*(1+①통합_가정!$E$270)^(MAX(DN16,1)-1)</f>
        <v>132.832975360727</v>
      </c>
      <c r="DO68" s="37" t="n">
        <f aca="false">(DO14=1)*①통합_가정!$E$266*①통합_가정!$I$39/1000000*(1+①통합_가정!$E$270)^(MAX(DO16,1)-1)</f>
        <v>132.832975360727</v>
      </c>
      <c r="DP68" s="37" t="n">
        <f aca="false">(DP14=1)*①통합_가정!$E$266*①통합_가정!$I$39/1000000*(1+①통합_가정!$E$270)^(MAX(DP16,1)-1)</f>
        <v>132.832975360727</v>
      </c>
      <c r="DQ68" s="37" t="n">
        <f aca="false">(DQ14=1)*①통합_가정!$E$266*①통합_가정!$I$39/1000000*(1+①통합_가정!$E$270)^(MAX(DQ16,1)-1)</f>
        <v>132.832975360727</v>
      </c>
      <c r="DR68" s="37" t="n">
        <f aca="false">(DR14=1)*①통합_가정!$E$266*①통합_가정!$I$39/1000000*(1+①통합_가정!$E$270)^(MAX(DR16,1)-1)</f>
        <v>132.832975360727</v>
      </c>
      <c r="DS68" s="37" t="n">
        <f aca="false">(DS14=1)*①통합_가정!$E$266*①통합_가정!$I$39/1000000*(1+①통합_가정!$E$270)^(MAX(DS16,1)-1)</f>
        <v>132.832975360727</v>
      </c>
      <c r="DT68" s="37" t="n">
        <f aca="false">(DT14=1)*①통합_가정!$E$266*①통합_가정!$I$39/1000000*(1+①통합_가정!$E$270)^(MAX(DT16,1)-1)</f>
        <v>132.832975360727</v>
      </c>
      <c r="DU68" s="37" t="n">
        <f aca="false">(DU14=1)*①통합_가정!$E$266*①통합_가정!$I$39/1000000*(1+①통합_가정!$E$270)^(MAX(DU16,1)-1)</f>
        <v>0</v>
      </c>
      <c r="DV68" s="37" t="n">
        <f aca="false">(DV14=1)*①통합_가정!$E$266*①통합_가정!$I$39/1000000*(1+①통합_가정!$E$270)^(MAX(DV16,1)-1)</f>
        <v>0</v>
      </c>
      <c r="DW68" s="37" t="n">
        <f aca="false">(DW14=1)*①통합_가정!$E$266*①통합_가정!$I$39/1000000*(1+①통합_가정!$E$270)^(MAX(DW16,1)-1)</f>
        <v>0</v>
      </c>
      <c r="DX68" s="37" t="n">
        <f aca="false">(DX14=1)*①통합_가정!$E$266*①통합_가정!$I$39/1000000*(1+①통합_가정!$E$270)^(MAX(DX16,1)-1)</f>
        <v>0</v>
      </c>
      <c r="DY68" s="37" t="n">
        <f aca="false">(DY14=1)*①통합_가정!$E$266*①통합_가정!$I$39/1000000*(1+①통합_가정!$E$270)^(MAX(DY16,1)-1)</f>
        <v>0</v>
      </c>
      <c r="DZ68" s="37" t="n">
        <f aca="false">(DZ14=1)*①통합_가정!$E$266*①통합_가정!$I$39/1000000*(1+①통합_가정!$E$270)^(MAX(DZ16,1)-1)</f>
        <v>0</v>
      </c>
      <c r="EA68" s="37" t="n">
        <f aca="false">(EA14=1)*①통합_가정!$E$266*①통합_가정!$I$39/1000000*(1+①통합_가정!$E$270)^(MAX(EA16,1)-1)</f>
        <v>0</v>
      </c>
      <c r="EB68" s="37" t="n">
        <f aca="false">(EB14=1)*①통합_가정!$E$266*①통합_가정!$I$39/1000000*(1+①통합_가정!$E$270)^(MAX(EB16,1)-1)</f>
        <v>0</v>
      </c>
      <c r="EC68" s="37" t="n">
        <f aca="false">(EC14=1)*①통합_가정!$E$266*①통합_가정!$I$39/1000000*(1+①통합_가정!$E$270)^(MAX(EC16,1)-1)</f>
        <v>0</v>
      </c>
      <c r="ED68" s="37" t="n">
        <f aca="false">(ED14=1)*①통합_가정!$E$266*①통합_가정!$I$39/1000000*(1+①통합_가정!$E$270)^(MAX(ED16,1)-1)</f>
        <v>0</v>
      </c>
      <c r="EE68" s="37" t="n">
        <f aca="false">(EE14=1)*①통합_가정!$E$266*①통합_가정!$I$39/1000000*(1+①통합_가정!$E$270)^(MAX(EE16,1)-1)</f>
        <v>0</v>
      </c>
      <c r="EF68" s="37" t="n">
        <f aca="false">(EF14=1)*①통합_가정!$E$266*①통합_가정!$I$39/1000000*(1+①통합_가정!$E$270)^(MAX(EF16,1)-1)</f>
        <v>0</v>
      </c>
    </row>
    <row r="69" customFormat="false" ht="15" hidden="false" customHeight="false" outlineLevel="0" collapsed="false">
      <c r="A69" s="153" t="s">
        <v>614</v>
      </c>
      <c r="B69" s="278" t="s">
        <v>21</v>
      </c>
      <c r="C69" s="279" t="n">
        <f aca="false">SUM(E69:EF69)</f>
        <v>7663.49889326473</v>
      </c>
      <c r="E69" s="37" t="n">
        <f aca="false">(E14=1)*①통합_가정!$E$267*①통합_가정!$I$39/1000000*(1+①통합_가정!$E$270)^(MAX(E16,1)-1)</f>
        <v>0</v>
      </c>
      <c r="F69" s="37" t="n">
        <f aca="false">(F14=1)*①통합_가정!$E$267*①통합_가정!$I$39/1000000*(1+①통합_가정!$E$270)^(MAX(F16,1)-1)</f>
        <v>0</v>
      </c>
      <c r="G69" s="37" t="n">
        <f aca="false">(G14=1)*①통합_가정!$E$267*①통합_가정!$I$39/1000000*(1+①통합_가정!$E$270)^(MAX(G16,1)-1)</f>
        <v>0</v>
      </c>
      <c r="H69" s="37" t="n">
        <f aca="false">(H14=1)*①통합_가정!$E$267*①통합_가정!$I$39/1000000*(1+①통합_가정!$E$270)^(MAX(H16,1)-1)</f>
        <v>0</v>
      </c>
      <c r="I69" s="37" t="n">
        <f aca="false">(I14=1)*①통합_가정!$E$267*①통합_가정!$I$39/1000000*(1+①통합_가정!$E$270)^(MAX(I16,1)-1)</f>
        <v>0</v>
      </c>
      <c r="J69" s="37" t="n">
        <f aca="false">(J14=1)*①통합_가정!$E$267*①통합_가정!$I$39/1000000*(1+①통합_가정!$E$270)^(MAX(J16,1)-1)</f>
        <v>0</v>
      </c>
      <c r="K69" s="37" t="n">
        <f aca="false">(K14=1)*①통합_가정!$E$267*①통합_가정!$I$39/1000000*(1+①통합_가정!$E$270)^(MAX(K16,1)-1)</f>
        <v>0</v>
      </c>
      <c r="L69" s="37" t="n">
        <f aca="false">(L14=1)*①통합_가정!$E$267*①통합_가정!$I$39/1000000*(1+①통합_가정!$E$270)^(MAX(L16,1)-1)</f>
        <v>0</v>
      </c>
      <c r="M69" s="37" t="n">
        <f aca="false">(M14=1)*①통합_가정!$E$267*①통합_가정!$I$39/1000000*(1+①통합_가정!$E$270)^(MAX(M16,1)-1)</f>
        <v>0</v>
      </c>
      <c r="N69" s="37" t="n">
        <f aca="false">(N14=1)*①통합_가정!$E$267*①통합_가정!$I$39/1000000*(1+①통합_가정!$E$270)^(MAX(N16,1)-1)</f>
        <v>0</v>
      </c>
      <c r="O69" s="37" t="n">
        <f aca="false">(O14=1)*①통합_가정!$E$267*①통합_가정!$I$39/1000000*(1+①통합_가정!$E$270)^(MAX(O16,1)-1)</f>
        <v>0</v>
      </c>
      <c r="P69" s="37" t="n">
        <f aca="false">(P14=1)*①통합_가정!$E$267*①통합_가정!$I$39/1000000*(1+①통합_가정!$E$270)^(MAX(P16,1)-1)</f>
        <v>0</v>
      </c>
      <c r="Q69" s="37" t="n">
        <f aca="false">(Q14=1)*①통합_가정!$E$267*①통합_가정!$I$39/1000000*(1+①통합_가정!$E$270)^(MAX(Q16,1)-1)</f>
        <v>0</v>
      </c>
      <c r="R69" s="37" t="n">
        <f aca="false">(R14=1)*①통합_가정!$E$267*①통합_가정!$I$39/1000000*(1+①통합_가정!$E$270)^(MAX(R16,1)-1)</f>
        <v>0</v>
      </c>
      <c r="S69" s="37" t="n">
        <f aca="false">(S14=1)*①통합_가정!$E$267*①통합_가정!$I$39/1000000*(1+①통합_가정!$E$270)^(MAX(S16,1)-1)</f>
        <v>0</v>
      </c>
      <c r="T69" s="37" t="n">
        <f aca="false">(T14=1)*①통합_가정!$E$267*①통합_가정!$I$39/1000000*(1+①통합_가정!$E$270)^(MAX(T16,1)-1)</f>
        <v>0</v>
      </c>
      <c r="U69" s="37" t="n">
        <f aca="false">(U14=1)*①통합_가정!$E$267*①통합_가정!$I$39/1000000*(1+①통합_가정!$E$270)^(MAX(U16,1)-1)</f>
        <v>0</v>
      </c>
      <c r="V69" s="37" t="n">
        <f aca="false">(V14=1)*①통합_가정!$E$267*①통합_가정!$I$39/1000000*(1+①통합_가정!$E$270)^(MAX(V16,1)-1)</f>
        <v>0</v>
      </c>
      <c r="W69" s="37" t="n">
        <f aca="false">(W14=1)*①통합_가정!$E$267*①통합_가정!$I$39/1000000*(1+①통합_가정!$E$270)^(MAX(W16,1)-1)</f>
        <v>0</v>
      </c>
      <c r="X69" s="37" t="n">
        <f aca="false">(X14=1)*①통합_가정!$E$267*①통합_가정!$I$39/1000000*(1+①통합_가정!$E$270)^(MAX(X16,1)-1)</f>
        <v>0</v>
      </c>
      <c r="Y69" s="37" t="n">
        <f aca="false">(Y14=1)*①통합_가정!$E$267*①통합_가정!$I$39/1000000*(1+①통합_가정!$E$270)^(MAX(Y16,1)-1)</f>
        <v>0</v>
      </c>
      <c r="Z69" s="37" t="n">
        <f aca="false">(Z14=1)*①통합_가정!$E$267*①통합_가정!$I$39/1000000*(1+①통합_가정!$E$270)^(MAX(Z16,1)-1)</f>
        <v>0</v>
      </c>
      <c r="AA69" s="37" t="n">
        <f aca="false">(AA14=1)*①통합_가정!$E$267*①통합_가정!$I$39/1000000*(1+①통합_가정!$E$270)^(MAX(AA16,1)-1)</f>
        <v>0</v>
      </c>
      <c r="AB69" s="37" t="n">
        <f aca="false">(AB14=1)*①통합_가정!$E$267*①통합_가정!$I$39/1000000*(1+①통합_가정!$E$270)^(MAX(AB16,1)-1)</f>
        <v>0</v>
      </c>
      <c r="AC69" s="37" t="n">
        <f aca="false">(AC14=1)*①통합_가정!$E$267*①통합_가정!$I$39/1000000*(1+①통합_가정!$E$270)^(MAX(AC16,1)-1)</f>
        <v>0</v>
      </c>
      <c r="AD69" s="37" t="n">
        <f aca="false">(AD14=1)*①통합_가정!$E$267*①통합_가정!$I$39/1000000*(1+①통합_가정!$E$270)^(MAX(AD16,1)-1)</f>
        <v>0</v>
      </c>
      <c r="AE69" s="37" t="n">
        <f aca="false">(AE14=1)*①통합_가정!$E$267*①통합_가정!$I$39/1000000*(1+①통합_가정!$E$270)^(MAX(AE16,1)-1)</f>
        <v>0</v>
      </c>
      <c r="AF69" s="37" t="n">
        <f aca="false">(AF14=1)*①통합_가정!$E$267*①통합_가정!$I$39/1000000*(1+①통합_가정!$E$270)^(MAX(AF16,1)-1)</f>
        <v>0</v>
      </c>
      <c r="AG69" s="37" t="n">
        <f aca="false">(AG14=1)*①통합_가정!$E$267*①통합_가정!$I$39/1000000*(1+①통합_가정!$E$270)^(MAX(AG16,1)-1)</f>
        <v>0</v>
      </c>
      <c r="AH69" s="37" t="n">
        <f aca="false">(AH14=1)*①통합_가정!$E$267*①통합_가정!$I$39/1000000*(1+①통합_가정!$E$270)^(MAX(AH16,1)-1)</f>
        <v>0</v>
      </c>
      <c r="AI69" s="37" t="n">
        <f aca="false">(AI14=1)*①통합_가정!$E$267*①통합_가정!$I$39/1000000*(1+①통합_가정!$E$270)^(MAX(AI16,1)-1)</f>
        <v>0</v>
      </c>
      <c r="AJ69" s="37" t="n">
        <f aca="false">(AJ14=1)*①통합_가정!$E$267*①통합_가정!$I$39/1000000*(1+①통합_가정!$E$270)^(MAX(AJ16,1)-1)</f>
        <v>0</v>
      </c>
      <c r="AK69" s="37" t="n">
        <f aca="false">(AK14=1)*①통합_가정!$E$267*①통합_가정!$I$39/1000000*(1+①통합_가정!$E$270)^(MAX(AK16,1)-1)</f>
        <v>0</v>
      </c>
      <c r="AL69" s="37" t="n">
        <f aca="false">(AL14=1)*①통합_가정!$E$267*①통합_가정!$I$39/1000000*(1+①통합_가정!$E$270)^(MAX(AL16,1)-1)</f>
        <v>0</v>
      </c>
      <c r="AM69" s="37" t="n">
        <f aca="false">(AM14=1)*①통합_가정!$E$267*①통합_가정!$I$39/1000000*(1+①통합_가정!$E$270)^(MAX(AM16,1)-1)</f>
        <v>0</v>
      </c>
      <c r="AN69" s="37" t="n">
        <f aca="false">(AN14=1)*①통합_가정!$E$267*①통합_가정!$I$39/1000000*(1+①통합_가정!$E$270)^(MAX(AN16,1)-1)</f>
        <v>0</v>
      </c>
      <c r="AO69" s="37" t="n">
        <f aca="false">(AO14=1)*①통합_가정!$E$267*①통합_가정!$I$39/1000000*(1+①통합_가정!$E$270)^(MAX(AO16,1)-1)</f>
        <v>0</v>
      </c>
      <c r="AP69" s="37" t="n">
        <f aca="false">(AP14=1)*①통합_가정!$E$267*①통합_가정!$I$39/1000000*(1+①통합_가정!$E$270)^(MAX(AP16,1)-1)</f>
        <v>0</v>
      </c>
      <c r="AQ69" s="37" t="n">
        <f aca="false">(AQ14=1)*①통합_가정!$E$267*①통합_가정!$I$39/1000000*(1+①통합_가정!$E$270)^(MAX(AQ16,1)-1)</f>
        <v>0</v>
      </c>
      <c r="AR69" s="37" t="n">
        <f aca="false">(AR14=1)*①통합_가정!$E$267*①통합_가정!$I$39/1000000*(1+①통합_가정!$E$270)^(MAX(AR16,1)-1)</f>
        <v>0</v>
      </c>
      <c r="AS69" s="37" t="n">
        <f aca="false">(AS14=1)*①통합_가정!$E$267*①통합_가정!$I$39/1000000*(1+①통합_가정!$E$270)^(MAX(AS16,1)-1)</f>
        <v>0</v>
      </c>
      <c r="AT69" s="37" t="n">
        <f aca="false">(AT14=1)*①통합_가정!$E$267*①통합_가정!$I$39/1000000*(1+①통합_가정!$E$270)^(MAX(AT16,1)-1)</f>
        <v>0</v>
      </c>
      <c r="AU69" s="37" t="n">
        <f aca="false">(AU14=1)*①통합_가정!$E$267*①통합_가정!$I$39/1000000*(1+①통합_가정!$E$270)^(MAX(AU16,1)-1)</f>
        <v>0</v>
      </c>
      <c r="AV69" s="37" t="n">
        <f aca="false">(AV14=1)*①통합_가정!$E$267*①통합_가정!$I$39/1000000*(1+①통합_가정!$E$270)^(MAX(AV16,1)-1)</f>
        <v>0</v>
      </c>
      <c r="AW69" s="37" t="n">
        <f aca="false">(AW14=1)*①통합_가정!$E$267*①통합_가정!$I$39/1000000*(1+①통합_가정!$E$270)^(MAX(AW16,1)-1)</f>
        <v>0</v>
      </c>
      <c r="AX69" s="37" t="n">
        <f aca="false">(AX14=1)*①통합_가정!$E$267*①통합_가정!$I$39/1000000*(1+①통합_가정!$E$270)^(MAX(AX16,1)-1)</f>
        <v>0</v>
      </c>
      <c r="AY69" s="37" t="n">
        <f aca="false">(AY14=1)*①통합_가정!$E$267*①통합_가정!$I$39/1000000*(1+①통합_가정!$E$270)^(MAX(AY16,1)-1)</f>
        <v>0</v>
      </c>
      <c r="AZ69" s="37" t="n">
        <f aca="false">(AZ14=1)*①통합_가정!$E$267*①통합_가정!$I$39/1000000*(1+①통합_가정!$E$270)^(MAX(AZ16,1)-1)</f>
        <v>0</v>
      </c>
      <c r="BA69" s="37" t="n">
        <f aca="false">(BA14=1)*①통합_가정!$E$267*①통합_가정!$I$39/1000000*(1+①통합_가정!$E$270)^(MAX(BA16,1)-1)</f>
        <v>0</v>
      </c>
      <c r="BB69" s="37" t="n">
        <f aca="false">(BB14=1)*①통합_가정!$E$267*①통합_가정!$I$39/1000000*(1+①통합_가정!$E$270)^(MAX(BB16,1)-1)</f>
        <v>0</v>
      </c>
      <c r="BC69" s="37" t="n">
        <f aca="false">(BC14=1)*①통합_가정!$E$267*①통합_가정!$I$39/1000000*(1+①통합_가정!$E$270)^(MAX(BC16,1)-1)</f>
        <v>0</v>
      </c>
      <c r="BD69" s="37" t="n">
        <f aca="false">(BD14=1)*①통합_가정!$E$267*①통합_가정!$I$39/1000000*(1+①통합_가정!$E$270)^(MAX(BD16,1)-1)</f>
        <v>0</v>
      </c>
      <c r="BE69" s="37" t="n">
        <f aca="false">(BE14=1)*①통합_가정!$E$267*①통합_가정!$I$39/1000000*(1+①통합_가정!$E$270)^(MAX(BE16,1)-1)</f>
        <v>0</v>
      </c>
      <c r="BF69" s="37" t="n">
        <f aca="false">(BF14=1)*①통합_가정!$E$267*①통합_가정!$I$39/1000000*(1+①통합_가정!$E$270)^(MAX(BF16,1)-1)</f>
        <v>0</v>
      </c>
      <c r="BG69" s="37" t="n">
        <f aca="false">(BG14=1)*①통합_가정!$E$267*①통합_가정!$I$39/1000000*(1+①통합_가정!$E$270)^(MAX(BG16,1)-1)</f>
        <v>0</v>
      </c>
      <c r="BH69" s="37" t="n">
        <f aca="false">(BH14=1)*①통합_가정!$E$267*①통합_가정!$I$39/1000000*(1+①통합_가정!$E$270)^(MAX(BH16,1)-1)</f>
        <v>0</v>
      </c>
      <c r="BI69" s="37" t="n">
        <f aca="false">(BI14=1)*①통합_가정!$E$267*①통합_가정!$I$39/1000000*(1+①통합_가정!$E$270)^(MAX(BI16,1)-1)</f>
        <v>0</v>
      </c>
      <c r="BJ69" s="37" t="n">
        <f aca="false">(BJ14=1)*①통합_가정!$E$267*①통합_가정!$I$39/1000000*(1+①통합_가정!$E$270)^(MAX(BJ16,1)-1)</f>
        <v>0</v>
      </c>
      <c r="BK69" s="37" t="n">
        <f aca="false">(BK14=1)*①통합_가정!$E$267*①통합_가정!$I$39/1000000*(1+①통합_가정!$E$270)^(MAX(BK16,1)-1)</f>
        <v>0</v>
      </c>
      <c r="BL69" s="37" t="n">
        <f aca="false">(BL14=1)*①통합_가정!$E$267*①통합_가정!$I$39/1000000*(1+①통합_가정!$E$270)^(MAX(BL16,1)-1)</f>
        <v>0</v>
      </c>
      <c r="BM69" s="37" t="n">
        <f aca="false">(BM14=1)*①통합_가정!$E$267*①통합_가정!$I$39/1000000*(1+①통합_가정!$E$270)^(MAX(BM16,1)-1)</f>
        <v>122.7171367125</v>
      </c>
      <c r="BN69" s="37" t="n">
        <f aca="false">(BN14=1)*①통합_가정!$E$267*①통합_가정!$I$39/1000000*(1+①통합_가정!$E$270)^(MAX(BN16,1)-1)</f>
        <v>122.7171367125</v>
      </c>
      <c r="BO69" s="37" t="n">
        <f aca="false">(BO14=1)*①통합_가정!$E$267*①통합_가정!$I$39/1000000*(1+①통합_가정!$E$270)^(MAX(BO16,1)-1)</f>
        <v>122.7171367125</v>
      </c>
      <c r="BP69" s="37" t="n">
        <f aca="false">(BP14=1)*①통합_가정!$E$267*①통합_가정!$I$39/1000000*(1+①통합_가정!$E$270)^(MAX(BP16,1)-1)</f>
        <v>122.7171367125</v>
      </c>
      <c r="BQ69" s="37" t="n">
        <f aca="false">(BQ14=1)*①통합_가정!$E$267*①통합_가정!$I$39/1000000*(1+①통합_가정!$E$270)^(MAX(BQ16,1)-1)</f>
        <v>122.7171367125</v>
      </c>
      <c r="BR69" s="37" t="n">
        <f aca="false">(BR14=1)*①통합_가정!$E$267*①통합_가정!$I$39/1000000*(1+①통합_가정!$E$270)^(MAX(BR16,1)-1)</f>
        <v>122.7171367125</v>
      </c>
      <c r="BS69" s="37" t="n">
        <f aca="false">(BS14=1)*①통합_가정!$E$267*①통합_가정!$I$39/1000000*(1+①통합_가정!$E$270)^(MAX(BS16,1)-1)</f>
        <v>122.7171367125</v>
      </c>
      <c r="BT69" s="37" t="n">
        <f aca="false">(BT14=1)*①통합_가정!$E$267*①통합_가정!$I$39/1000000*(1+①통합_가정!$E$270)^(MAX(BT16,1)-1)</f>
        <v>122.7171367125</v>
      </c>
      <c r="BU69" s="37" t="n">
        <f aca="false">(BU14=1)*①통합_가정!$E$267*①통합_가정!$I$39/1000000*(1+①통합_가정!$E$270)^(MAX(BU16,1)-1)</f>
        <v>122.7171367125</v>
      </c>
      <c r="BV69" s="37" t="n">
        <f aca="false">(BV14=1)*①통합_가정!$E$267*①통합_가정!$I$39/1000000*(1+①통합_가정!$E$270)^(MAX(BV16,1)-1)</f>
        <v>122.7171367125</v>
      </c>
      <c r="BW69" s="37" t="n">
        <f aca="false">(BW14=1)*①통합_가정!$E$267*①통합_가정!$I$39/1000000*(1+①통합_가정!$E$270)^(MAX(BW16,1)-1)</f>
        <v>122.7171367125</v>
      </c>
      <c r="BX69" s="37" t="n">
        <f aca="false">(BX14=1)*①통합_가정!$E$267*①통합_가정!$I$39/1000000*(1+①통합_가정!$E$270)^(MAX(BX16,1)-1)</f>
        <v>122.7171367125</v>
      </c>
      <c r="BY69" s="37" t="n">
        <f aca="false">(BY14=1)*①통합_가정!$E$267*①통합_가정!$I$39/1000000*(1+①통합_가정!$E$270)^(MAX(BY16,1)-1)</f>
        <v>125.17147944675</v>
      </c>
      <c r="BZ69" s="37" t="n">
        <f aca="false">(BZ14=1)*①통합_가정!$E$267*①통합_가정!$I$39/1000000*(1+①통합_가정!$E$270)^(MAX(BZ16,1)-1)</f>
        <v>125.17147944675</v>
      </c>
      <c r="CA69" s="37" t="n">
        <f aca="false">(CA14=1)*①통합_가정!$E$267*①통합_가정!$I$39/1000000*(1+①통합_가정!$E$270)^(MAX(CA16,1)-1)</f>
        <v>125.17147944675</v>
      </c>
      <c r="CB69" s="37" t="n">
        <f aca="false">(CB14=1)*①통합_가정!$E$267*①통합_가정!$I$39/1000000*(1+①통합_가정!$E$270)^(MAX(CB16,1)-1)</f>
        <v>125.17147944675</v>
      </c>
      <c r="CC69" s="37" t="n">
        <f aca="false">(CC14=1)*①통합_가정!$E$267*①통합_가정!$I$39/1000000*(1+①통합_가정!$E$270)^(MAX(CC16,1)-1)</f>
        <v>125.17147944675</v>
      </c>
      <c r="CD69" s="37" t="n">
        <f aca="false">(CD14=1)*①통합_가정!$E$267*①통합_가정!$I$39/1000000*(1+①통합_가정!$E$270)^(MAX(CD16,1)-1)</f>
        <v>125.17147944675</v>
      </c>
      <c r="CE69" s="37" t="n">
        <f aca="false">(CE14=1)*①통합_가정!$E$267*①통합_가정!$I$39/1000000*(1+①통합_가정!$E$270)^(MAX(CE16,1)-1)</f>
        <v>125.17147944675</v>
      </c>
      <c r="CF69" s="37" t="n">
        <f aca="false">(CF14=1)*①통합_가정!$E$267*①통합_가정!$I$39/1000000*(1+①통합_가정!$E$270)^(MAX(CF16,1)-1)</f>
        <v>125.17147944675</v>
      </c>
      <c r="CG69" s="37" t="n">
        <f aca="false">(CG14=1)*①통합_가정!$E$267*①통합_가정!$I$39/1000000*(1+①통합_가정!$E$270)^(MAX(CG16,1)-1)</f>
        <v>125.17147944675</v>
      </c>
      <c r="CH69" s="37" t="n">
        <f aca="false">(CH14=1)*①통합_가정!$E$267*①통합_가정!$I$39/1000000*(1+①통합_가정!$E$270)^(MAX(CH16,1)-1)</f>
        <v>125.17147944675</v>
      </c>
      <c r="CI69" s="37" t="n">
        <f aca="false">(CI14=1)*①통합_가정!$E$267*①통합_가정!$I$39/1000000*(1+①통합_가정!$E$270)^(MAX(CI16,1)-1)</f>
        <v>125.17147944675</v>
      </c>
      <c r="CJ69" s="37" t="n">
        <f aca="false">(CJ14=1)*①통합_가정!$E$267*①통합_가정!$I$39/1000000*(1+①통합_가정!$E$270)^(MAX(CJ16,1)-1)</f>
        <v>125.17147944675</v>
      </c>
      <c r="CK69" s="37" t="n">
        <f aca="false">(CK14=1)*①통합_가정!$E$267*①통합_가정!$I$39/1000000*(1+①통합_가정!$E$270)^(MAX(CK16,1)-1)</f>
        <v>127.674909035685</v>
      </c>
      <c r="CL69" s="37" t="n">
        <f aca="false">(CL14=1)*①통합_가정!$E$267*①통합_가정!$I$39/1000000*(1+①통합_가정!$E$270)^(MAX(CL16,1)-1)</f>
        <v>127.674909035685</v>
      </c>
      <c r="CM69" s="37" t="n">
        <f aca="false">(CM14=1)*①통합_가정!$E$267*①통합_가정!$I$39/1000000*(1+①통합_가정!$E$270)^(MAX(CM16,1)-1)</f>
        <v>127.674909035685</v>
      </c>
      <c r="CN69" s="37" t="n">
        <f aca="false">(CN14=1)*①통합_가정!$E$267*①통합_가정!$I$39/1000000*(1+①통합_가정!$E$270)^(MAX(CN16,1)-1)</f>
        <v>127.674909035685</v>
      </c>
      <c r="CO69" s="37" t="n">
        <f aca="false">(CO14=1)*①통합_가정!$E$267*①통합_가정!$I$39/1000000*(1+①통합_가정!$E$270)^(MAX(CO16,1)-1)</f>
        <v>127.674909035685</v>
      </c>
      <c r="CP69" s="37" t="n">
        <f aca="false">(CP14=1)*①통합_가정!$E$267*①통합_가정!$I$39/1000000*(1+①통합_가정!$E$270)^(MAX(CP16,1)-1)</f>
        <v>127.674909035685</v>
      </c>
      <c r="CQ69" s="37" t="n">
        <f aca="false">(CQ14=1)*①통합_가정!$E$267*①통합_가정!$I$39/1000000*(1+①통합_가정!$E$270)^(MAX(CQ16,1)-1)</f>
        <v>127.674909035685</v>
      </c>
      <c r="CR69" s="37" t="n">
        <f aca="false">(CR14=1)*①통합_가정!$E$267*①통합_가정!$I$39/1000000*(1+①통합_가정!$E$270)^(MAX(CR16,1)-1)</f>
        <v>127.674909035685</v>
      </c>
      <c r="CS69" s="37" t="n">
        <f aca="false">(CS14=1)*①통합_가정!$E$267*①통합_가정!$I$39/1000000*(1+①통합_가정!$E$270)^(MAX(CS16,1)-1)</f>
        <v>127.674909035685</v>
      </c>
      <c r="CT69" s="37" t="n">
        <f aca="false">(CT14=1)*①통합_가정!$E$267*①통합_가정!$I$39/1000000*(1+①통합_가정!$E$270)^(MAX(CT16,1)-1)</f>
        <v>127.674909035685</v>
      </c>
      <c r="CU69" s="37" t="n">
        <f aca="false">(CU14=1)*①통합_가정!$E$267*①통합_가정!$I$39/1000000*(1+①통합_가정!$E$270)^(MAX(CU16,1)-1)</f>
        <v>127.674909035685</v>
      </c>
      <c r="CV69" s="37" t="n">
        <f aca="false">(CV14=1)*①통합_가정!$E$267*①통합_가정!$I$39/1000000*(1+①통합_가정!$E$270)^(MAX(CV16,1)-1)</f>
        <v>127.674909035685</v>
      </c>
      <c r="CW69" s="37" t="n">
        <f aca="false">(CW14=1)*①통합_가정!$E$267*①통합_가정!$I$39/1000000*(1+①통합_가정!$E$270)^(MAX(CW16,1)-1)</f>
        <v>130.228407216399</v>
      </c>
      <c r="CX69" s="37" t="n">
        <f aca="false">(CX14=1)*①통합_가정!$E$267*①통합_가정!$I$39/1000000*(1+①통합_가정!$E$270)^(MAX(CX16,1)-1)</f>
        <v>130.228407216399</v>
      </c>
      <c r="CY69" s="37" t="n">
        <f aca="false">(CY14=1)*①통합_가정!$E$267*①통합_가정!$I$39/1000000*(1+①통합_가정!$E$270)^(MAX(CY16,1)-1)</f>
        <v>130.228407216399</v>
      </c>
      <c r="CZ69" s="37" t="n">
        <f aca="false">(CZ14=1)*①통합_가정!$E$267*①통합_가정!$I$39/1000000*(1+①통합_가정!$E$270)^(MAX(CZ16,1)-1)</f>
        <v>130.228407216399</v>
      </c>
      <c r="DA69" s="37" t="n">
        <f aca="false">(DA14=1)*①통합_가정!$E$267*①통합_가정!$I$39/1000000*(1+①통합_가정!$E$270)^(MAX(DA16,1)-1)</f>
        <v>130.228407216399</v>
      </c>
      <c r="DB69" s="37" t="n">
        <f aca="false">(DB14=1)*①통합_가정!$E$267*①통합_가정!$I$39/1000000*(1+①통합_가정!$E$270)^(MAX(DB16,1)-1)</f>
        <v>130.228407216399</v>
      </c>
      <c r="DC69" s="37" t="n">
        <f aca="false">(DC14=1)*①통합_가정!$E$267*①통합_가정!$I$39/1000000*(1+①통합_가정!$E$270)^(MAX(DC16,1)-1)</f>
        <v>130.228407216399</v>
      </c>
      <c r="DD69" s="37" t="n">
        <f aca="false">(DD14=1)*①통합_가정!$E$267*①통합_가정!$I$39/1000000*(1+①통합_가정!$E$270)^(MAX(DD16,1)-1)</f>
        <v>130.228407216399</v>
      </c>
      <c r="DE69" s="37" t="n">
        <f aca="false">(DE14=1)*①통합_가정!$E$267*①통합_가정!$I$39/1000000*(1+①통합_가정!$E$270)^(MAX(DE16,1)-1)</f>
        <v>130.228407216399</v>
      </c>
      <c r="DF69" s="37" t="n">
        <f aca="false">(DF14=1)*①통합_가정!$E$267*①통합_가정!$I$39/1000000*(1+①통합_가정!$E$270)^(MAX(DF16,1)-1)</f>
        <v>130.228407216399</v>
      </c>
      <c r="DG69" s="37" t="n">
        <f aca="false">(DG14=1)*①통합_가정!$E$267*①통합_가정!$I$39/1000000*(1+①통합_가정!$E$270)^(MAX(DG16,1)-1)</f>
        <v>130.228407216399</v>
      </c>
      <c r="DH69" s="37" t="n">
        <f aca="false">(DH14=1)*①통합_가정!$E$267*①통합_가정!$I$39/1000000*(1+①통합_가정!$E$270)^(MAX(DH16,1)-1)</f>
        <v>130.228407216399</v>
      </c>
      <c r="DI69" s="37" t="n">
        <f aca="false">(DI14=1)*①통합_가정!$E$267*①통합_가정!$I$39/1000000*(1+①통합_가정!$E$270)^(MAX(DI16,1)-1)</f>
        <v>132.832975360727</v>
      </c>
      <c r="DJ69" s="37" t="n">
        <f aca="false">(DJ14=1)*①통합_가정!$E$267*①통합_가정!$I$39/1000000*(1+①통합_가정!$E$270)^(MAX(DJ16,1)-1)</f>
        <v>132.832975360727</v>
      </c>
      <c r="DK69" s="37" t="n">
        <f aca="false">(DK14=1)*①통합_가정!$E$267*①통합_가정!$I$39/1000000*(1+①통합_가정!$E$270)^(MAX(DK16,1)-1)</f>
        <v>132.832975360727</v>
      </c>
      <c r="DL69" s="37" t="n">
        <f aca="false">(DL14=1)*①통합_가정!$E$267*①통합_가정!$I$39/1000000*(1+①통합_가정!$E$270)^(MAX(DL16,1)-1)</f>
        <v>132.832975360727</v>
      </c>
      <c r="DM69" s="37" t="n">
        <f aca="false">(DM14=1)*①통합_가정!$E$267*①통합_가정!$I$39/1000000*(1+①통합_가정!$E$270)^(MAX(DM16,1)-1)</f>
        <v>132.832975360727</v>
      </c>
      <c r="DN69" s="37" t="n">
        <f aca="false">(DN14=1)*①통합_가정!$E$267*①통합_가정!$I$39/1000000*(1+①통합_가정!$E$270)^(MAX(DN16,1)-1)</f>
        <v>132.832975360727</v>
      </c>
      <c r="DO69" s="37" t="n">
        <f aca="false">(DO14=1)*①통합_가정!$E$267*①통합_가정!$I$39/1000000*(1+①통합_가정!$E$270)^(MAX(DO16,1)-1)</f>
        <v>132.832975360727</v>
      </c>
      <c r="DP69" s="37" t="n">
        <f aca="false">(DP14=1)*①통합_가정!$E$267*①통합_가정!$I$39/1000000*(1+①통합_가정!$E$270)^(MAX(DP16,1)-1)</f>
        <v>132.832975360727</v>
      </c>
      <c r="DQ69" s="37" t="n">
        <f aca="false">(DQ14=1)*①통합_가정!$E$267*①통합_가정!$I$39/1000000*(1+①통합_가정!$E$270)^(MAX(DQ16,1)-1)</f>
        <v>132.832975360727</v>
      </c>
      <c r="DR69" s="37" t="n">
        <f aca="false">(DR14=1)*①통합_가정!$E$267*①통합_가정!$I$39/1000000*(1+①통합_가정!$E$270)^(MAX(DR16,1)-1)</f>
        <v>132.832975360727</v>
      </c>
      <c r="DS69" s="37" t="n">
        <f aca="false">(DS14=1)*①통합_가정!$E$267*①통합_가정!$I$39/1000000*(1+①통합_가정!$E$270)^(MAX(DS16,1)-1)</f>
        <v>132.832975360727</v>
      </c>
      <c r="DT69" s="37" t="n">
        <f aca="false">(DT14=1)*①통합_가정!$E$267*①통합_가정!$I$39/1000000*(1+①통합_가정!$E$270)^(MAX(DT16,1)-1)</f>
        <v>132.832975360727</v>
      </c>
      <c r="DU69" s="37" t="n">
        <f aca="false">(DU14=1)*①통합_가정!$E$267*①통합_가정!$I$39/1000000*(1+①통합_가정!$E$270)^(MAX(DU16,1)-1)</f>
        <v>0</v>
      </c>
      <c r="DV69" s="37" t="n">
        <f aca="false">(DV14=1)*①통합_가정!$E$267*①통합_가정!$I$39/1000000*(1+①통합_가정!$E$270)^(MAX(DV16,1)-1)</f>
        <v>0</v>
      </c>
      <c r="DW69" s="37" t="n">
        <f aca="false">(DW14=1)*①통합_가정!$E$267*①통합_가정!$I$39/1000000*(1+①통합_가정!$E$270)^(MAX(DW16,1)-1)</f>
        <v>0</v>
      </c>
      <c r="DX69" s="37" t="n">
        <f aca="false">(DX14=1)*①통합_가정!$E$267*①통합_가정!$I$39/1000000*(1+①통합_가정!$E$270)^(MAX(DX16,1)-1)</f>
        <v>0</v>
      </c>
      <c r="DY69" s="37" t="n">
        <f aca="false">(DY14=1)*①통합_가정!$E$267*①통합_가정!$I$39/1000000*(1+①통합_가정!$E$270)^(MAX(DY16,1)-1)</f>
        <v>0</v>
      </c>
      <c r="DZ69" s="37" t="n">
        <f aca="false">(DZ14=1)*①통합_가정!$E$267*①통합_가정!$I$39/1000000*(1+①통합_가정!$E$270)^(MAX(DZ16,1)-1)</f>
        <v>0</v>
      </c>
      <c r="EA69" s="37" t="n">
        <f aca="false">(EA14=1)*①통합_가정!$E$267*①통합_가정!$I$39/1000000*(1+①통합_가정!$E$270)^(MAX(EA16,1)-1)</f>
        <v>0</v>
      </c>
      <c r="EB69" s="37" t="n">
        <f aca="false">(EB14=1)*①통합_가정!$E$267*①통합_가정!$I$39/1000000*(1+①통합_가정!$E$270)^(MAX(EB16,1)-1)</f>
        <v>0</v>
      </c>
      <c r="EC69" s="37" t="n">
        <f aca="false">(EC14=1)*①통합_가정!$E$267*①통합_가정!$I$39/1000000*(1+①통합_가정!$E$270)^(MAX(EC16,1)-1)</f>
        <v>0</v>
      </c>
      <c r="ED69" s="37" t="n">
        <f aca="false">(ED14=1)*①통합_가정!$E$267*①통합_가정!$I$39/1000000*(1+①통합_가정!$E$270)^(MAX(ED16,1)-1)</f>
        <v>0</v>
      </c>
      <c r="EE69" s="37" t="n">
        <f aca="false">(EE14=1)*①통합_가정!$E$267*①통합_가정!$I$39/1000000*(1+①통합_가정!$E$270)^(MAX(EE16,1)-1)</f>
        <v>0</v>
      </c>
      <c r="EF69" s="37" t="n">
        <f aca="false">(EF14=1)*①통합_가정!$E$267*①통합_가정!$I$39/1000000*(1+①통합_가정!$E$270)^(MAX(EF16,1)-1)</f>
        <v>0</v>
      </c>
    </row>
    <row r="70" customFormat="false" ht="15" hidden="false" customHeight="false" outlineLevel="0" collapsed="false">
      <c r="A70" s="36" t="s">
        <v>281</v>
      </c>
      <c r="B70" s="278" t="s">
        <v>21</v>
      </c>
      <c r="C70" s="279" t="n">
        <f aca="false">SUM(E70:EF70)</f>
        <v>8196.363252</v>
      </c>
      <c r="E70" s="37" t="n">
        <f aca="false">(E14=1)*①통합_가정!$E$268*①통합_가정!$I$41/12*(1+①통합_가정!$E$270)^(MAX(E16,1)-1)</f>
        <v>0</v>
      </c>
      <c r="F70" s="37" t="n">
        <f aca="false">(F14=1)*①통합_가정!$E$268*①통합_가정!$I$41/12*(1+①통합_가정!$E$270)^(MAX(F16,1)-1)</f>
        <v>0</v>
      </c>
      <c r="G70" s="37" t="n">
        <f aca="false">(G14=1)*①통합_가정!$E$268*①통합_가정!$I$41/12*(1+①통합_가정!$E$270)^(MAX(G16,1)-1)</f>
        <v>0</v>
      </c>
      <c r="H70" s="37" t="n">
        <f aca="false">(H14=1)*①통합_가정!$E$268*①통합_가정!$I$41/12*(1+①통합_가정!$E$270)^(MAX(H16,1)-1)</f>
        <v>0</v>
      </c>
      <c r="I70" s="37" t="n">
        <f aca="false">(I14=1)*①통합_가정!$E$268*①통합_가정!$I$41/12*(1+①통합_가정!$E$270)^(MAX(I16,1)-1)</f>
        <v>0</v>
      </c>
      <c r="J70" s="37" t="n">
        <f aca="false">(J14=1)*①통합_가정!$E$268*①통합_가정!$I$41/12*(1+①통합_가정!$E$270)^(MAX(J16,1)-1)</f>
        <v>0</v>
      </c>
      <c r="K70" s="37" t="n">
        <f aca="false">(K14=1)*①통합_가정!$E$268*①통합_가정!$I$41/12*(1+①통합_가정!$E$270)^(MAX(K16,1)-1)</f>
        <v>0</v>
      </c>
      <c r="L70" s="37" t="n">
        <f aca="false">(L14=1)*①통합_가정!$E$268*①통합_가정!$I$41/12*(1+①통합_가정!$E$270)^(MAX(L16,1)-1)</f>
        <v>0</v>
      </c>
      <c r="M70" s="37" t="n">
        <f aca="false">(M14=1)*①통합_가정!$E$268*①통합_가정!$I$41/12*(1+①통합_가정!$E$270)^(MAX(M16,1)-1)</f>
        <v>0</v>
      </c>
      <c r="N70" s="37" t="n">
        <f aca="false">(N14=1)*①통합_가정!$E$268*①통합_가정!$I$41/12*(1+①통합_가정!$E$270)^(MAX(N16,1)-1)</f>
        <v>0</v>
      </c>
      <c r="O70" s="37" t="n">
        <f aca="false">(O14=1)*①통합_가정!$E$268*①통합_가정!$I$41/12*(1+①통합_가정!$E$270)^(MAX(O16,1)-1)</f>
        <v>0</v>
      </c>
      <c r="P70" s="37" t="n">
        <f aca="false">(P14=1)*①통합_가정!$E$268*①통합_가정!$I$41/12*(1+①통합_가정!$E$270)^(MAX(P16,1)-1)</f>
        <v>0</v>
      </c>
      <c r="Q70" s="37" t="n">
        <f aca="false">(Q14=1)*①통합_가정!$E$268*①통합_가정!$I$41/12*(1+①통합_가정!$E$270)^(MAX(Q16,1)-1)</f>
        <v>0</v>
      </c>
      <c r="R70" s="37" t="n">
        <f aca="false">(R14=1)*①통합_가정!$E$268*①통합_가정!$I$41/12*(1+①통합_가정!$E$270)^(MAX(R16,1)-1)</f>
        <v>0</v>
      </c>
      <c r="S70" s="37" t="n">
        <f aca="false">(S14=1)*①통합_가정!$E$268*①통합_가정!$I$41/12*(1+①통합_가정!$E$270)^(MAX(S16,1)-1)</f>
        <v>0</v>
      </c>
      <c r="T70" s="37" t="n">
        <f aca="false">(T14=1)*①통합_가정!$E$268*①통합_가정!$I$41/12*(1+①통합_가정!$E$270)^(MAX(T16,1)-1)</f>
        <v>0</v>
      </c>
      <c r="U70" s="37" t="n">
        <f aca="false">(U14=1)*①통합_가정!$E$268*①통합_가정!$I$41/12*(1+①통합_가정!$E$270)^(MAX(U16,1)-1)</f>
        <v>0</v>
      </c>
      <c r="V70" s="37" t="n">
        <f aca="false">(V14=1)*①통합_가정!$E$268*①통합_가정!$I$41/12*(1+①통합_가정!$E$270)^(MAX(V16,1)-1)</f>
        <v>0</v>
      </c>
      <c r="W70" s="37" t="n">
        <f aca="false">(W14=1)*①통합_가정!$E$268*①통합_가정!$I$41/12*(1+①통합_가정!$E$270)^(MAX(W16,1)-1)</f>
        <v>0</v>
      </c>
      <c r="X70" s="37" t="n">
        <f aca="false">(X14=1)*①통합_가정!$E$268*①통합_가정!$I$41/12*(1+①통합_가정!$E$270)^(MAX(X16,1)-1)</f>
        <v>0</v>
      </c>
      <c r="Y70" s="37" t="n">
        <f aca="false">(Y14=1)*①통합_가정!$E$268*①통합_가정!$I$41/12*(1+①통합_가정!$E$270)^(MAX(Y16,1)-1)</f>
        <v>0</v>
      </c>
      <c r="Z70" s="37" t="n">
        <f aca="false">(Z14=1)*①통합_가정!$E$268*①통합_가정!$I$41/12*(1+①통합_가정!$E$270)^(MAX(Z16,1)-1)</f>
        <v>0</v>
      </c>
      <c r="AA70" s="37" t="n">
        <f aca="false">(AA14=1)*①통합_가정!$E$268*①통합_가정!$I$41/12*(1+①통합_가정!$E$270)^(MAX(AA16,1)-1)</f>
        <v>0</v>
      </c>
      <c r="AB70" s="37" t="n">
        <f aca="false">(AB14=1)*①통합_가정!$E$268*①통합_가정!$I$41/12*(1+①통합_가정!$E$270)^(MAX(AB16,1)-1)</f>
        <v>0</v>
      </c>
      <c r="AC70" s="37" t="n">
        <f aca="false">(AC14=1)*①통합_가정!$E$268*①통합_가정!$I$41/12*(1+①통합_가정!$E$270)^(MAX(AC16,1)-1)</f>
        <v>0</v>
      </c>
      <c r="AD70" s="37" t="n">
        <f aca="false">(AD14=1)*①통합_가정!$E$268*①통합_가정!$I$41/12*(1+①통합_가정!$E$270)^(MAX(AD16,1)-1)</f>
        <v>0</v>
      </c>
      <c r="AE70" s="37" t="n">
        <f aca="false">(AE14=1)*①통합_가정!$E$268*①통합_가정!$I$41/12*(1+①통합_가정!$E$270)^(MAX(AE16,1)-1)</f>
        <v>0</v>
      </c>
      <c r="AF70" s="37" t="n">
        <f aca="false">(AF14=1)*①통합_가정!$E$268*①통합_가정!$I$41/12*(1+①통합_가정!$E$270)^(MAX(AF16,1)-1)</f>
        <v>0</v>
      </c>
      <c r="AG70" s="37" t="n">
        <f aca="false">(AG14=1)*①통합_가정!$E$268*①통합_가정!$I$41/12*(1+①통합_가정!$E$270)^(MAX(AG16,1)-1)</f>
        <v>0</v>
      </c>
      <c r="AH70" s="37" t="n">
        <f aca="false">(AH14=1)*①통합_가정!$E$268*①통합_가정!$I$41/12*(1+①통합_가정!$E$270)^(MAX(AH16,1)-1)</f>
        <v>0</v>
      </c>
      <c r="AI70" s="37" t="n">
        <f aca="false">(AI14=1)*①통합_가정!$E$268*①통합_가정!$I$41/12*(1+①통합_가정!$E$270)^(MAX(AI16,1)-1)</f>
        <v>0</v>
      </c>
      <c r="AJ70" s="37" t="n">
        <f aca="false">(AJ14=1)*①통합_가정!$E$268*①통합_가정!$I$41/12*(1+①통합_가정!$E$270)^(MAX(AJ16,1)-1)</f>
        <v>0</v>
      </c>
      <c r="AK70" s="37" t="n">
        <f aca="false">(AK14=1)*①통합_가정!$E$268*①통합_가정!$I$41/12*(1+①통합_가정!$E$270)^(MAX(AK16,1)-1)</f>
        <v>0</v>
      </c>
      <c r="AL70" s="37" t="n">
        <f aca="false">(AL14=1)*①통합_가정!$E$268*①통합_가정!$I$41/12*(1+①통합_가정!$E$270)^(MAX(AL16,1)-1)</f>
        <v>0</v>
      </c>
      <c r="AM70" s="37" t="n">
        <f aca="false">(AM14=1)*①통합_가정!$E$268*①통합_가정!$I$41/12*(1+①통합_가정!$E$270)^(MAX(AM16,1)-1)</f>
        <v>0</v>
      </c>
      <c r="AN70" s="37" t="n">
        <f aca="false">(AN14=1)*①통합_가정!$E$268*①통합_가정!$I$41/12*(1+①통합_가정!$E$270)^(MAX(AN16,1)-1)</f>
        <v>0</v>
      </c>
      <c r="AO70" s="37" t="n">
        <f aca="false">(AO14=1)*①통합_가정!$E$268*①통합_가정!$I$41/12*(1+①통합_가정!$E$270)^(MAX(AO16,1)-1)</f>
        <v>0</v>
      </c>
      <c r="AP70" s="37" t="n">
        <f aca="false">(AP14=1)*①통합_가정!$E$268*①통합_가정!$I$41/12*(1+①통합_가정!$E$270)^(MAX(AP16,1)-1)</f>
        <v>0</v>
      </c>
      <c r="AQ70" s="37" t="n">
        <f aca="false">(AQ14=1)*①통합_가정!$E$268*①통합_가정!$I$41/12*(1+①통합_가정!$E$270)^(MAX(AQ16,1)-1)</f>
        <v>0</v>
      </c>
      <c r="AR70" s="37" t="n">
        <f aca="false">(AR14=1)*①통합_가정!$E$268*①통합_가정!$I$41/12*(1+①통합_가정!$E$270)^(MAX(AR16,1)-1)</f>
        <v>0</v>
      </c>
      <c r="AS70" s="37" t="n">
        <f aca="false">(AS14=1)*①통합_가정!$E$268*①통합_가정!$I$41/12*(1+①통합_가정!$E$270)^(MAX(AS16,1)-1)</f>
        <v>0</v>
      </c>
      <c r="AT70" s="37" t="n">
        <f aca="false">(AT14=1)*①통합_가정!$E$268*①통합_가정!$I$41/12*(1+①통합_가정!$E$270)^(MAX(AT16,1)-1)</f>
        <v>0</v>
      </c>
      <c r="AU70" s="37" t="n">
        <f aca="false">(AU14=1)*①통합_가정!$E$268*①통합_가정!$I$41/12*(1+①통합_가정!$E$270)^(MAX(AU16,1)-1)</f>
        <v>0</v>
      </c>
      <c r="AV70" s="37" t="n">
        <f aca="false">(AV14=1)*①통합_가정!$E$268*①통합_가정!$I$41/12*(1+①통합_가정!$E$270)^(MAX(AV16,1)-1)</f>
        <v>0</v>
      </c>
      <c r="AW70" s="37" t="n">
        <f aca="false">(AW14=1)*①통합_가정!$E$268*①통합_가정!$I$41/12*(1+①통합_가정!$E$270)^(MAX(AW16,1)-1)</f>
        <v>0</v>
      </c>
      <c r="AX70" s="37" t="n">
        <f aca="false">(AX14=1)*①통합_가정!$E$268*①통합_가정!$I$41/12*(1+①통합_가정!$E$270)^(MAX(AX16,1)-1)</f>
        <v>0</v>
      </c>
      <c r="AY70" s="37" t="n">
        <f aca="false">(AY14=1)*①통합_가정!$E$268*①통합_가정!$I$41/12*(1+①통합_가정!$E$270)^(MAX(AY16,1)-1)</f>
        <v>0</v>
      </c>
      <c r="AZ70" s="37" t="n">
        <f aca="false">(AZ14=1)*①통합_가정!$E$268*①통합_가정!$I$41/12*(1+①통합_가정!$E$270)^(MAX(AZ16,1)-1)</f>
        <v>0</v>
      </c>
      <c r="BA70" s="37" t="n">
        <f aca="false">(BA14=1)*①통합_가정!$E$268*①통합_가정!$I$41/12*(1+①통합_가정!$E$270)^(MAX(BA16,1)-1)</f>
        <v>0</v>
      </c>
      <c r="BB70" s="37" t="n">
        <f aca="false">(BB14=1)*①통합_가정!$E$268*①통합_가정!$I$41/12*(1+①통합_가정!$E$270)^(MAX(BB16,1)-1)</f>
        <v>0</v>
      </c>
      <c r="BC70" s="37" t="n">
        <f aca="false">(BC14=1)*①통합_가정!$E$268*①통합_가정!$I$41/12*(1+①통합_가정!$E$270)^(MAX(BC16,1)-1)</f>
        <v>0</v>
      </c>
      <c r="BD70" s="37" t="n">
        <f aca="false">(BD14=1)*①통합_가정!$E$268*①통합_가정!$I$41/12*(1+①통합_가정!$E$270)^(MAX(BD16,1)-1)</f>
        <v>0</v>
      </c>
      <c r="BE70" s="37" t="n">
        <f aca="false">(BE14=1)*①통합_가정!$E$268*①통합_가정!$I$41/12*(1+①통합_가정!$E$270)^(MAX(BE16,1)-1)</f>
        <v>0</v>
      </c>
      <c r="BF70" s="37" t="n">
        <f aca="false">(BF14=1)*①통합_가정!$E$268*①통합_가정!$I$41/12*(1+①통합_가정!$E$270)^(MAX(BF16,1)-1)</f>
        <v>0</v>
      </c>
      <c r="BG70" s="37" t="n">
        <f aca="false">(BG14=1)*①통합_가정!$E$268*①통합_가정!$I$41/12*(1+①통합_가정!$E$270)^(MAX(BG16,1)-1)</f>
        <v>0</v>
      </c>
      <c r="BH70" s="37" t="n">
        <f aca="false">(BH14=1)*①통합_가정!$E$268*①통합_가정!$I$41/12*(1+①통합_가정!$E$270)^(MAX(BH16,1)-1)</f>
        <v>0</v>
      </c>
      <c r="BI70" s="37" t="n">
        <f aca="false">(BI14=1)*①통합_가정!$E$268*①통합_가정!$I$41/12*(1+①통합_가정!$E$270)^(MAX(BI16,1)-1)</f>
        <v>0</v>
      </c>
      <c r="BJ70" s="37" t="n">
        <f aca="false">(BJ14=1)*①통합_가정!$E$268*①통합_가정!$I$41/12*(1+①통합_가정!$E$270)^(MAX(BJ16,1)-1)</f>
        <v>0</v>
      </c>
      <c r="BK70" s="37" t="n">
        <f aca="false">(BK14=1)*①통합_가정!$E$268*①통합_가정!$I$41/12*(1+①통합_가정!$E$270)^(MAX(BK16,1)-1)</f>
        <v>0</v>
      </c>
      <c r="BL70" s="37" t="n">
        <f aca="false">(BL14=1)*①통합_가정!$E$268*①통합_가정!$I$41/12*(1+①통합_가정!$E$270)^(MAX(BL16,1)-1)</f>
        <v>0</v>
      </c>
      <c r="BM70" s="37" t="n">
        <f aca="false">(BM14=1)*①통합_가정!$E$268*①통합_가정!$I$41/12*(1+①통합_가정!$E$270)^(MAX(BM16,1)-1)</f>
        <v>131.25</v>
      </c>
      <c r="BN70" s="37" t="n">
        <f aca="false">(BN14=1)*①통합_가정!$E$268*①통합_가정!$I$41/12*(1+①통합_가정!$E$270)^(MAX(BN16,1)-1)</f>
        <v>131.25</v>
      </c>
      <c r="BO70" s="37" t="n">
        <f aca="false">(BO14=1)*①통합_가정!$E$268*①통합_가정!$I$41/12*(1+①통합_가정!$E$270)^(MAX(BO16,1)-1)</f>
        <v>131.25</v>
      </c>
      <c r="BP70" s="37" t="n">
        <f aca="false">(BP14=1)*①통합_가정!$E$268*①통합_가정!$I$41/12*(1+①통합_가정!$E$270)^(MAX(BP16,1)-1)</f>
        <v>131.25</v>
      </c>
      <c r="BQ70" s="37" t="n">
        <f aca="false">(BQ14=1)*①통합_가정!$E$268*①통합_가정!$I$41/12*(1+①통합_가정!$E$270)^(MAX(BQ16,1)-1)</f>
        <v>131.25</v>
      </c>
      <c r="BR70" s="37" t="n">
        <f aca="false">(BR14=1)*①통합_가정!$E$268*①통합_가정!$I$41/12*(1+①통합_가정!$E$270)^(MAX(BR16,1)-1)</f>
        <v>131.25</v>
      </c>
      <c r="BS70" s="37" t="n">
        <f aca="false">(BS14=1)*①통합_가정!$E$268*①통합_가정!$I$41/12*(1+①통합_가정!$E$270)^(MAX(BS16,1)-1)</f>
        <v>131.25</v>
      </c>
      <c r="BT70" s="37" t="n">
        <f aca="false">(BT14=1)*①통합_가정!$E$268*①통합_가정!$I$41/12*(1+①통합_가정!$E$270)^(MAX(BT16,1)-1)</f>
        <v>131.25</v>
      </c>
      <c r="BU70" s="37" t="n">
        <f aca="false">(BU14=1)*①통합_가정!$E$268*①통합_가정!$I$41/12*(1+①통합_가정!$E$270)^(MAX(BU16,1)-1)</f>
        <v>131.25</v>
      </c>
      <c r="BV70" s="37" t="n">
        <f aca="false">(BV14=1)*①통합_가정!$E$268*①통합_가정!$I$41/12*(1+①통합_가정!$E$270)^(MAX(BV16,1)-1)</f>
        <v>131.25</v>
      </c>
      <c r="BW70" s="37" t="n">
        <f aca="false">(BW14=1)*①통합_가정!$E$268*①통합_가정!$I$41/12*(1+①통합_가정!$E$270)^(MAX(BW16,1)-1)</f>
        <v>131.25</v>
      </c>
      <c r="BX70" s="37" t="n">
        <f aca="false">(BX14=1)*①통합_가정!$E$268*①통합_가정!$I$41/12*(1+①통합_가정!$E$270)^(MAX(BX16,1)-1)</f>
        <v>131.25</v>
      </c>
      <c r="BY70" s="37" t="n">
        <f aca="false">(BY14=1)*①통합_가정!$E$268*①통합_가정!$I$41/12*(1+①통합_가정!$E$270)^(MAX(BY16,1)-1)</f>
        <v>133.875</v>
      </c>
      <c r="BZ70" s="37" t="n">
        <f aca="false">(BZ14=1)*①통합_가정!$E$268*①통합_가정!$I$41/12*(1+①통합_가정!$E$270)^(MAX(BZ16,1)-1)</f>
        <v>133.875</v>
      </c>
      <c r="CA70" s="37" t="n">
        <f aca="false">(CA14=1)*①통합_가정!$E$268*①통합_가정!$I$41/12*(1+①통합_가정!$E$270)^(MAX(CA16,1)-1)</f>
        <v>133.875</v>
      </c>
      <c r="CB70" s="37" t="n">
        <f aca="false">(CB14=1)*①통합_가정!$E$268*①통합_가정!$I$41/12*(1+①통합_가정!$E$270)^(MAX(CB16,1)-1)</f>
        <v>133.875</v>
      </c>
      <c r="CC70" s="37" t="n">
        <f aca="false">(CC14=1)*①통합_가정!$E$268*①통합_가정!$I$41/12*(1+①통합_가정!$E$270)^(MAX(CC16,1)-1)</f>
        <v>133.875</v>
      </c>
      <c r="CD70" s="37" t="n">
        <f aca="false">(CD14=1)*①통합_가정!$E$268*①통합_가정!$I$41/12*(1+①통합_가정!$E$270)^(MAX(CD16,1)-1)</f>
        <v>133.875</v>
      </c>
      <c r="CE70" s="37" t="n">
        <f aca="false">(CE14=1)*①통합_가정!$E$268*①통합_가정!$I$41/12*(1+①통합_가정!$E$270)^(MAX(CE16,1)-1)</f>
        <v>133.875</v>
      </c>
      <c r="CF70" s="37" t="n">
        <f aca="false">(CF14=1)*①통합_가정!$E$268*①통합_가정!$I$41/12*(1+①통합_가정!$E$270)^(MAX(CF16,1)-1)</f>
        <v>133.875</v>
      </c>
      <c r="CG70" s="37" t="n">
        <f aca="false">(CG14=1)*①통합_가정!$E$268*①통합_가정!$I$41/12*(1+①통합_가정!$E$270)^(MAX(CG16,1)-1)</f>
        <v>133.875</v>
      </c>
      <c r="CH70" s="37" t="n">
        <f aca="false">(CH14=1)*①통합_가정!$E$268*①통합_가정!$I$41/12*(1+①통합_가정!$E$270)^(MAX(CH16,1)-1)</f>
        <v>133.875</v>
      </c>
      <c r="CI70" s="37" t="n">
        <f aca="false">(CI14=1)*①통합_가정!$E$268*①통합_가정!$I$41/12*(1+①통합_가정!$E$270)^(MAX(CI16,1)-1)</f>
        <v>133.875</v>
      </c>
      <c r="CJ70" s="37" t="n">
        <f aca="false">(CJ14=1)*①통합_가정!$E$268*①통합_가정!$I$41/12*(1+①통합_가정!$E$270)^(MAX(CJ16,1)-1)</f>
        <v>133.875</v>
      </c>
      <c r="CK70" s="37" t="n">
        <f aca="false">(CK14=1)*①통합_가정!$E$268*①통합_가정!$I$41/12*(1+①통합_가정!$E$270)^(MAX(CK16,1)-1)</f>
        <v>136.5525</v>
      </c>
      <c r="CL70" s="37" t="n">
        <f aca="false">(CL14=1)*①통합_가정!$E$268*①통합_가정!$I$41/12*(1+①통합_가정!$E$270)^(MAX(CL16,1)-1)</f>
        <v>136.5525</v>
      </c>
      <c r="CM70" s="37" t="n">
        <f aca="false">(CM14=1)*①통합_가정!$E$268*①통합_가정!$I$41/12*(1+①통합_가정!$E$270)^(MAX(CM16,1)-1)</f>
        <v>136.5525</v>
      </c>
      <c r="CN70" s="37" t="n">
        <f aca="false">(CN14=1)*①통합_가정!$E$268*①통합_가정!$I$41/12*(1+①통합_가정!$E$270)^(MAX(CN16,1)-1)</f>
        <v>136.5525</v>
      </c>
      <c r="CO70" s="37" t="n">
        <f aca="false">(CO14=1)*①통합_가정!$E$268*①통합_가정!$I$41/12*(1+①통합_가정!$E$270)^(MAX(CO16,1)-1)</f>
        <v>136.5525</v>
      </c>
      <c r="CP70" s="37" t="n">
        <f aca="false">(CP14=1)*①통합_가정!$E$268*①통합_가정!$I$41/12*(1+①통합_가정!$E$270)^(MAX(CP16,1)-1)</f>
        <v>136.5525</v>
      </c>
      <c r="CQ70" s="37" t="n">
        <f aca="false">(CQ14=1)*①통합_가정!$E$268*①통합_가정!$I$41/12*(1+①통합_가정!$E$270)^(MAX(CQ16,1)-1)</f>
        <v>136.5525</v>
      </c>
      <c r="CR70" s="37" t="n">
        <f aca="false">(CR14=1)*①통합_가정!$E$268*①통합_가정!$I$41/12*(1+①통합_가정!$E$270)^(MAX(CR16,1)-1)</f>
        <v>136.5525</v>
      </c>
      <c r="CS70" s="37" t="n">
        <f aca="false">(CS14=1)*①통합_가정!$E$268*①통합_가정!$I$41/12*(1+①통합_가정!$E$270)^(MAX(CS16,1)-1)</f>
        <v>136.5525</v>
      </c>
      <c r="CT70" s="37" t="n">
        <f aca="false">(CT14=1)*①통합_가정!$E$268*①통합_가정!$I$41/12*(1+①통합_가정!$E$270)^(MAX(CT16,1)-1)</f>
        <v>136.5525</v>
      </c>
      <c r="CU70" s="37" t="n">
        <f aca="false">(CU14=1)*①통합_가정!$E$268*①통합_가정!$I$41/12*(1+①통합_가정!$E$270)^(MAX(CU16,1)-1)</f>
        <v>136.5525</v>
      </c>
      <c r="CV70" s="37" t="n">
        <f aca="false">(CV14=1)*①통합_가정!$E$268*①통합_가정!$I$41/12*(1+①통합_가정!$E$270)^(MAX(CV16,1)-1)</f>
        <v>136.5525</v>
      </c>
      <c r="CW70" s="37" t="n">
        <f aca="false">(CW14=1)*①통합_가정!$E$268*①통합_가정!$I$41/12*(1+①통합_가정!$E$270)^(MAX(CW16,1)-1)</f>
        <v>139.28355</v>
      </c>
      <c r="CX70" s="37" t="n">
        <f aca="false">(CX14=1)*①통합_가정!$E$268*①통합_가정!$I$41/12*(1+①통합_가정!$E$270)^(MAX(CX16,1)-1)</f>
        <v>139.28355</v>
      </c>
      <c r="CY70" s="37" t="n">
        <f aca="false">(CY14=1)*①통합_가정!$E$268*①통합_가정!$I$41/12*(1+①통합_가정!$E$270)^(MAX(CY16,1)-1)</f>
        <v>139.28355</v>
      </c>
      <c r="CZ70" s="37" t="n">
        <f aca="false">(CZ14=1)*①통합_가정!$E$268*①통합_가정!$I$41/12*(1+①통합_가정!$E$270)^(MAX(CZ16,1)-1)</f>
        <v>139.28355</v>
      </c>
      <c r="DA70" s="37" t="n">
        <f aca="false">(DA14=1)*①통합_가정!$E$268*①통합_가정!$I$41/12*(1+①통합_가정!$E$270)^(MAX(DA16,1)-1)</f>
        <v>139.28355</v>
      </c>
      <c r="DB70" s="37" t="n">
        <f aca="false">(DB14=1)*①통합_가정!$E$268*①통합_가정!$I$41/12*(1+①통합_가정!$E$270)^(MAX(DB16,1)-1)</f>
        <v>139.28355</v>
      </c>
      <c r="DC70" s="37" t="n">
        <f aca="false">(DC14=1)*①통합_가정!$E$268*①통합_가정!$I$41/12*(1+①통합_가정!$E$270)^(MAX(DC16,1)-1)</f>
        <v>139.28355</v>
      </c>
      <c r="DD70" s="37" t="n">
        <f aca="false">(DD14=1)*①통합_가정!$E$268*①통합_가정!$I$41/12*(1+①통합_가정!$E$270)^(MAX(DD16,1)-1)</f>
        <v>139.28355</v>
      </c>
      <c r="DE70" s="37" t="n">
        <f aca="false">(DE14=1)*①통합_가정!$E$268*①통합_가정!$I$41/12*(1+①통합_가정!$E$270)^(MAX(DE16,1)-1)</f>
        <v>139.28355</v>
      </c>
      <c r="DF70" s="37" t="n">
        <f aca="false">(DF14=1)*①통합_가정!$E$268*①통합_가정!$I$41/12*(1+①통합_가정!$E$270)^(MAX(DF16,1)-1)</f>
        <v>139.28355</v>
      </c>
      <c r="DG70" s="37" t="n">
        <f aca="false">(DG14=1)*①통합_가정!$E$268*①통합_가정!$I$41/12*(1+①통합_가정!$E$270)^(MAX(DG16,1)-1)</f>
        <v>139.28355</v>
      </c>
      <c r="DH70" s="37" t="n">
        <f aca="false">(DH14=1)*①통합_가정!$E$268*①통합_가정!$I$41/12*(1+①통합_가정!$E$270)^(MAX(DH16,1)-1)</f>
        <v>139.28355</v>
      </c>
      <c r="DI70" s="37" t="n">
        <f aca="false">(DI14=1)*①통합_가정!$E$268*①통합_가정!$I$41/12*(1+①통합_가정!$E$270)^(MAX(DI16,1)-1)</f>
        <v>142.069221</v>
      </c>
      <c r="DJ70" s="37" t="n">
        <f aca="false">(DJ14=1)*①통합_가정!$E$268*①통합_가정!$I$41/12*(1+①통합_가정!$E$270)^(MAX(DJ16,1)-1)</f>
        <v>142.069221</v>
      </c>
      <c r="DK70" s="37" t="n">
        <f aca="false">(DK14=1)*①통합_가정!$E$268*①통합_가정!$I$41/12*(1+①통합_가정!$E$270)^(MAX(DK16,1)-1)</f>
        <v>142.069221</v>
      </c>
      <c r="DL70" s="37" t="n">
        <f aca="false">(DL14=1)*①통합_가정!$E$268*①통합_가정!$I$41/12*(1+①통합_가정!$E$270)^(MAX(DL16,1)-1)</f>
        <v>142.069221</v>
      </c>
      <c r="DM70" s="37" t="n">
        <f aca="false">(DM14=1)*①통합_가정!$E$268*①통합_가정!$I$41/12*(1+①통합_가정!$E$270)^(MAX(DM16,1)-1)</f>
        <v>142.069221</v>
      </c>
      <c r="DN70" s="37" t="n">
        <f aca="false">(DN14=1)*①통합_가정!$E$268*①통합_가정!$I$41/12*(1+①통합_가정!$E$270)^(MAX(DN16,1)-1)</f>
        <v>142.069221</v>
      </c>
      <c r="DO70" s="37" t="n">
        <f aca="false">(DO14=1)*①통합_가정!$E$268*①통합_가정!$I$41/12*(1+①통합_가정!$E$270)^(MAX(DO16,1)-1)</f>
        <v>142.069221</v>
      </c>
      <c r="DP70" s="37" t="n">
        <f aca="false">(DP14=1)*①통합_가정!$E$268*①통합_가정!$I$41/12*(1+①통합_가정!$E$270)^(MAX(DP16,1)-1)</f>
        <v>142.069221</v>
      </c>
      <c r="DQ70" s="37" t="n">
        <f aca="false">(DQ14=1)*①통합_가정!$E$268*①통합_가정!$I$41/12*(1+①통합_가정!$E$270)^(MAX(DQ16,1)-1)</f>
        <v>142.069221</v>
      </c>
      <c r="DR70" s="37" t="n">
        <f aca="false">(DR14=1)*①통합_가정!$E$268*①통합_가정!$I$41/12*(1+①통합_가정!$E$270)^(MAX(DR16,1)-1)</f>
        <v>142.069221</v>
      </c>
      <c r="DS70" s="37" t="n">
        <f aca="false">(DS14=1)*①통합_가정!$E$268*①통합_가정!$I$41/12*(1+①통합_가정!$E$270)^(MAX(DS16,1)-1)</f>
        <v>142.069221</v>
      </c>
      <c r="DT70" s="37" t="n">
        <f aca="false">(DT14=1)*①통합_가정!$E$268*①통합_가정!$I$41/12*(1+①통합_가정!$E$270)^(MAX(DT16,1)-1)</f>
        <v>142.069221</v>
      </c>
      <c r="DU70" s="37" t="n">
        <f aca="false">(DU14=1)*①통합_가정!$E$268*①통합_가정!$I$41/12*(1+①통합_가정!$E$270)^(MAX(DU16,1)-1)</f>
        <v>0</v>
      </c>
      <c r="DV70" s="37" t="n">
        <f aca="false">(DV14=1)*①통합_가정!$E$268*①통합_가정!$I$41/12*(1+①통합_가정!$E$270)^(MAX(DV16,1)-1)</f>
        <v>0</v>
      </c>
      <c r="DW70" s="37" t="n">
        <f aca="false">(DW14=1)*①통합_가정!$E$268*①통합_가정!$I$41/12*(1+①통합_가정!$E$270)^(MAX(DW16,1)-1)</f>
        <v>0</v>
      </c>
      <c r="DX70" s="37" t="n">
        <f aca="false">(DX14=1)*①통합_가정!$E$268*①통합_가정!$I$41/12*(1+①통합_가정!$E$270)^(MAX(DX16,1)-1)</f>
        <v>0</v>
      </c>
      <c r="DY70" s="37" t="n">
        <f aca="false">(DY14=1)*①통합_가정!$E$268*①통합_가정!$I$41/12*(1+①통합_가정!$E$270)^(MAX(DY16,1)-1)</f>
        <v>0</v>
      </c>
      <c r="DZ70" s="37" t="n">
        <f aca="false">(DZ14=1)*①통합_가정!$E$268*①통합_가정!$I$41/12*(1+①통합_가정!$E$270)^(MAX(DZ16,1)-1)</f>
        <v>0</v>
      </c>
      <c r="EA70" s="37" t="n">
        <f aca="false">(EA14=1)*①통합_가정!$E$268*①통합_가정!$I$41/12*(1+①통합_가정!$E$270)^(MAX(EA16,1)-1)</f>
        <v>0</v>
      </c>
      <c r="EB70" s="37" t="n">
        <f aca="false">(EB14=1)*①통합_가정!$E$268*①통합_가정!$I$41/12*(1+①통합_가정!$E$270)^(MAX(EB16,1)-1)</f>
        <v>0</v>
      </c>
      <c r="EC70" s="37" t="n">
        <f aca="false">(EC14=1)*①통합_가정!$E$268*①통합_가정!$I$41/12*(1+①통합_가정!$E$270)^(MAX(EC16,1)-1)</f>
        <v>0</v>
      </c>
      <c r="ED70" s="37" t="n">
        <f aca="false">(ED14=1)*①통합_가정!$E$268*①통합_가정!$I$41/12*(1+①통합_가정!$E$270)^(MAX(ED16,1)-1)</f>
        <v>0</v>
      </c>
      <c r="EE70" s="37" t="n">
        <f aca="false">(EE14=1)*①통합_가정!$E$268*①통합_가정!$I$41/12*(1+①통합_가정!$E$270)^(MAX(EE16,1)-1)</f>
        <v>0</v>
      </c>
      <c r="EF70" s="37" t="n">
        <f aca="false">(EF14=1)*①통합_가정!$E$268*①통합_가정!$I$41/12*(1+①통합_가정!$E$270)^(MAX(EF16,1)-1)</f>
        <v>0</v>
      </c>
    </row>
    <row r="71" customFormat="false" ht="15" hidden="false" customHeight="false" outlineLevel="0" collapsed="false">
      <c r="A71" s="36" t="s">
        <v>615</v>
      </c>
      <c r="B71" s="278" t="s">
        <v>21</v>
      </c>
      <c r="C71" s="279" t="n">
        <f aca="false">SUM(E71:EF71)</f>
        <v>15614.25376</v>
      </c>
      <c r="E71" s="37" t="n">
        <f aca="false">(E14=1)*0*①통합_가정!$E$269/12*①통합_가정!$D$555</f>
        <v>0</v>
      </c>
      <c r="F71" s="37" t="n">
        <f aca="false">(F14=1)*E86*①통합_가정!$E$269/12*①통합_가정!$D$555</f>
        <v>0</v>
      </c>
      <c r="G71" s="37" t="n">
        <f aca="false">(G14=1)*F86*①통합_가정!$E$269/12*①통합_가정!$D$555</f>
        <v>0</v>
      </c>
      <c r="H71" s="37" t="n">
        <f aca="false">(H14=1)*G86*①통합_가정!$E$269/12*①통합_가정!$D$555</f>
        <v>0</v>
      </c>
      <c r="I71" s="37" t="n">
        <f aca="false">(I14=1)*H86*①통합_가정!$E$269/12*①통합_가정!$D$555</f>
        <v>0</v>
      </c>
      <c r="J71" s="37" t="n">
        <f aca="false">(J14=1)*I86*①통합_가정!$E$269/12*①통합_가정!$D$555</f>
        <v>0</v>
      </c>
      <c r="K71" s="37" t="n">
        <f aca="false">(K14=1)*J86*①통합_가정!$E$269/12*①통합_가정!$D$555</f>
        <v>0</v>
      </c>
      <c r="L71" s="37" t="n">
        <f aca="false">(L14=1)*K86*①통합_가정!$E$269/12*①통합_가정!$D$555</f>
        <v>0</v>
      </c>
      <c r="M71" s="37" t="n">
        <f aca="false">(M14=1)*L86*①통합_가정!$E$269/12*①통합_가정!$D$555</f>
        <v>0</v>
      </c>
      <c r="N71" s="37" t="n">
        <f aca="false">(N14=1)*M86*①통합_가정!$E$269/12*①통합_가정!$D$555</f>
        <v>0</v>
      </c>
      <c r="O71" s="37" t="n">
        <f aca="false">(O14=1)*N86*①통합_가정!$E$269/12*①통합_가정!$D$555</f>
        <v>0</v>
      </c>
      <c r="P71" s="37" t="n">
        <f aca="false">(P14=1)*O86*①통합_가정!$E$269/12*①통합_가정!$D$555</f>
        <v>0</v>
      </c>
      <c r="Q71" s="37" t="n">
        <f aca="false">(Q14=1)*P86*①통합_가정!$E$269/12*①통합_가정!$D$555</f>
        <v>0</v>
      </c>
      <c r="R71" s="37" t="n">
        <f aca="false">(R14=1)*Q86*①통합_가정!$E$269/12*①통합_가정!$D$555</f>
        <v>0</v>
      </c>
      <c r="S71" s="37" t="n">
        <f aca="false">(S14=1)*R86*①통합_가정!$E$269/12*①통합_가정!$D$555</f>
        <v>0</v>
      </c>
      <c r="T71" s="37" t="n">
        <f aca="false">(T14=1)*S86*①통합_가정!$E$269/12*①통합_가정!$D$555</f>
        <v>0</v>
      </c>
      <c r="U71" s="37" t="n">
        <f aca="false">(U14=1)*T86*①통합_가정!$E$269/12*①통합_가정!$D$555</f>
        <v>0</v>
      </c>
      <c r="V71" s="37" t="n">
        <f aca="false">(V14=1)*U86*①통합_가정!$E$269/12*①통합_가정!$D$555</f>
        <v>0</v>
      </c>
      <c r="W71" s="37" t="n">
        <f aca="false">(W14=1)*V86*①통합_가정!$E$269/12*①통합_가정!$D$555</f>
        <v>0</v>
      </c>
      <c r="X71" s="37" t="n">
        <f aca="false">(X14=1)*W86*①통합_가정!$E$269/12*①통합_가정!$D$555</f>
        <v>0</v>
      </c>
      <c r="Y71" s="37" t="n">
        <f aca="false">(Y14=1)*X86*①통합_가정!$E$269/12*①통합_가정!$D$555</f>
        <v>0</v>
      </c>
      <c r="Z71" s="37" t="n">
        <f aca="false">(Z14=1)*Y86*①통합_가정!$E$269/12*①통합_가정!$D$555</f>
        <v>0</v>
      </c>
      <c r="AA71" s="37" t="n">
        <f aca="false">(AA14=1)*Z86*①통합_가정!$E$269/12*①통합_가정!$D$555</f>
        <v>0</v>
      </c>
      <c r="AB71" s="37" t="n">
        <f aca="false">(AB14=1)*AA86*①통합_가정!$E$269/12*①통합_가정!$D$555</f>
        <v>0</v>
      </c>
      <c r="AC71" s="37" t="n">
        <f aca="false">(AC14=1)*AB86*①통합_가정!$E$269/12*①통합_가정!$D$555</f>
        <v>0</v>
      </c>
      <c r="AD71" s="37" t="n">
        <f aca="false">(AD14=1)*AC86*①통합_가정!$E$269/12*①통합_가정!$D$555</f>
        <v>0</v>
      </c>
      <c r="AE71" s="37" t="n">
        <f aca="false">(AE14=1)*AD86*①통합_가정!$E$269/12*①통합_가정!$D$555</f>
        <v>0</v>
      </c>
      <c r="AF71" s="37" t="n">
        <f aca="false">(AF14=1)*AE86*①통합_가정!$E$269/12*①통합_가정!$D$555</f>
        <v>0</v>
      </c>
      <c r="AG71" s="37" t="n">
        <f aca="false">(AG14=1)*AF86*①통합_가정!$E$269/12*①통합_가정!$D$555</f>
        <v>0</v>
      </c>
      <c r="AH71" s="37" t="n">
        <f aca="false">(AH14=1)*AG86*①통합_가정!$E$269/12*①통합_가정!$D$555</f>
        <v>0</v>
      </c>
      <c r="AI71" s="37" t="n">
        <f aca="false">(AI14=1)*AH86*①통합_가정!$E$269/12*①통합_가정!$D$555</f>
        <v>0</v>
      </c>
      <c r="AJ71" s="37" t="n">
        <f aca="false">(AJ14=1)*AI86*①통합_가정!$E$269/12*①통합_가정!$D$555</f>
        <v>0</v>
      </c>
      <c r="AK71" s="37" t="n">
        <f aca="false">(AK14=1)*AJ86*①통합_가정!$E$269/12*①통합_가정!$D$555</f>
        <v>0</v>
      </c>
      <c r="AL71" s="37" t="n">
        <f aca="false">(AL14=1)*AK86*①통합_가정!$E$269/12*①통합_가정!$D$555</f>
        <v>0</v>
      </c>
      <c r="AM71" s="37" t="n">
        <f aca="false">(AM14=1)*AL86*①통합_가정!$E$269/12*①통합_가정!$D$555</f>
        <v>0</v>
      </c>
      <c r="AN71" s="37" t="n">
        <f aca="false">(AN14=1)*AM86*①통합_가정!$E$269/12*①통합_가정!$D$555</f>
        <v>0</v>
      </c>
      <c r="AO71" s="37" t="n">
        <f aca="false">(AO14=1)*AN86*①통합_가정!$E$269/12*①통합_가정!$D$555</f>
        <v>0</v>
      </c>
      <c r="AP71" s="37" t="n">
        <f aca="false">(AP14=1)*AO86*①통합_가정!$E$269/12*①통합_가정!$D$555</f>
        <v>0</v>
      </c>
      <c r="AQ71" s="37" t="n">
        <f aca="false">(AQ14=1)*AP86*①통합_가정!$E$269/12*①통합_가정!$D$555</f>
        <v>0</v>
      </c>
      <c r="AR71" s="37" t="n">
        <f aca="false">(AR14=1)*AQ86*①통합_가정!$E$269/12*①통합_가정!$D$555</f>
        <v>0</v>
      </c>
      <c r="AS71" s="37" t="n">
        <f aca="false">(AS14=1)*AR86*①통합_가정!$E$269/12*①통합_가정!$D$555</f>
        <v>0</v>
      </c>
      <c r="AT71" s="37" t="n">
        <f aca="false">(AT14=1)*AS86*①통합_가정!$E$269/12*①통합_가정!$D$555</f>
        <v>0</v>
      </c>
      <c r="AU71" s="37" t="n">
        <f aca="false">(AU14=1)*AT86*①통합_가정!$E$269/12*①통합_가정!$D$555</f>
        <v>0</v>
      </c>
      <c r="AV71" s="37" t="n">
        <f aca="false">(AV14=1)*AU86*①통합_가정!$E$269/12*①통합_가정!$D$555</f>
        <v>0</v>
      </c>
      <c r="AW71" s="37" t="n">
        <f aca="false">(AW14=1)*AV86*①통합_가정!$E$269/12*①통합_가정!$D$555</f>
        <v>0</v>
      </c>
      <c r="AX71" s="37" t="n">
        <f aca="false">(AX14=1)*AW86*①통합_가정!$E$269/12*①통합_가정!$D$555</f>
        <v>0</v>
      </c>
      <c r="AY71" s="37" t="n">
        <f aca="false">(AY14=1)*AX86*①통합_가정!$E$269/12*①통합_가정!$D$555</f>
        <v>0</v>
      </c>
      <c r="AZ71" s="37" t="n">
        <f aca="false">(AZ14=1)*AY86*①통합_가정!$E$269/12*①통합_가정!$D$555</f>
        <v>0</v>
      </c>
      <c r="BA71" s="37" t="n">
        <f aca="false">(BA14=1)*AZ86*①통합_가정!$E$269/12*①통합_가정!$D$555</f>
        <v>0</v>
      </c>
      <c r="BB71" s="37" t="n">
        <f aca="false">(BB14=1)*BA86*①통합_가정!$E$269/12*①통합_가정!$D$555</f>
        <v>0</v>
      </c>
      <c r="BC71" s="37" t="n">
        <f aca="false">(BC14=1)*BB86*①통합_가정!$E$269/12*①통합_가정!$D$555</f>
        <v>0</v>
      </c>
      <c r="BD71" s="37" t="n">
        <f aca="false">(BD14=1)*BC86*①통합_가정!$E$269/12*①통합_가정!$D$555</f>
        <v>0</v>
      </c>
      <c r="BE71" s="37" t="n">
        <f aca="false">(BE14=1)*BD86*①통합_가정!$E$269/12*①통합_가정!$D$555</f>
        <v>0</v>
      </c>
      <c r="BF71" s="37" t="n">
        <f aca="false">(BF14=1)*BE86*①통합_가정!$E$269/12*①통합_가정!$D$555</f>
        <v>0</v>
      </c>
      <c r="BG71" s="37" t="n">
        <f aca="false">(BG14=1)*BF86*①통합_가정!$E$269/12*①통합_가정!$D$555</f>
        <v>0</v>
      </c>
      <c r="BH71" s="37" t="n">
        <f aca="false">(BH14=1)*BG86*①통합_가정!$E$269/12*①통합_가정!$D$555</f>
        <v>0</v>
      </c>
      <c r="BI71" s="37" t="n">
        <f aca="false">(BI14=1)*BH86*①통합_가정!$E$269/12*①통합_가정!$D$555</f>
        <v>0</v>
      </c>
      <c r="BJ71" s="37" t="n">
        <f aca="false">(BJ14=1)*BI86*①통합_가정!$E$269/12*①통합_가정!$D$555</f>
        <v>0</v>
      </c>
      <c r="BK71" s="37" t="n">
        <f aca="false">(BK14=1)*BJ86*①통합_가정!$E$269/12*①통합_가정!$D$555</f>
        <v>0</v>
      </c>
      <c r="BL71" s="37" t="n">
        <f aca="false">(BL14=1)*BK86*①통합_가정!$E$269/12*①통합_가정!$D$555</f>
        <v>0</v>
      </c>
      <c r="BM71" s="37" t="n">
        <f aca="false">(BM14=1)*BL86*①통합_가정!$E$269/12*①통합_가정!$D$555</f>
        <v>138.95616</v>
      </c>
      <c r="BN71" s="37" t="n">
        <f aca="false">(BN14=1)*BM86*①통합_가정!$E$269/12*①통합_가정!$D$555</f>
        <v>217.4088</v>
      </c>
      <c r="BO71" s="37" t="n">
        <f aca="false">(BO14=1)*BN86*①통합_가정!$E$269/12*①통합_가정!$D$555</f>
        <v>217.4088</v>
      </c>
      <c r="BP71" s="37" t="n">
        <f aca="false">(BP14=1)*BO86*①통합_가정!$E$269/12*①통합_가정!$D$555</f>
        <v>217.4088</v>
      </c>
      <c r="BQ71" s="37" t="n">
        <f aca="false">(BQ14=1)*BP86*①통합_가정!$E$269/12*①통합_가정!$D$555</f>
        <v>217.4088</v>
      </c>
      <c r="BR71" s="37" t="n">
        <f aca="false">(BR14=1)*BQ86*①통합_가정!$E$269/12*①통합_가정!$D$555</f>
        <v>217.4088</v>
      </c>
      <c r="BS71" s="37" t="n">
        <f aca="false">(BS14=1)*BR86*①통합_가정!$E$269/12*①통합_가정!$D$555</f>
        <v>217.4088</v>
      </c>
      <c r="BT71" s="37" t="n">
        <f aca="false">(BT14=1)*BS86*①통합_가정!$E$269/12*①통합_가정!$D$555</f>
        <v>217.4088</v>
      </c>
      <c r="BU71" s="37" t="n">
        <f aca="false">(BU14=1)*BT86*①통합_가정!$E$269/12*①통합_가정!$D$555</f>
        <v>217.4088</v>
      </c>
      <c r="BV71" s="37" t="n">
        <f aca="false">(BV14=1)*BU86*①통합_가정!$E$269/12*①통합_가정!$D$555</f>
        <v>217.4088</v>
      </c>
      <c r="BW71" s="37" t="n">
        <f aca="false">(BW14=1)*BV86*①통합_가정!$E$269/12*①통합_가정!$D$555</f>
        <v>217.4088</v>
      </c>
      <c r="BX71" s="37" t="n">
        <f aca="false">(BX14=1)*BW86*①통합_가정!$E$269/12*①통합_가정!$D$555</f>
        <v>217.4088</v>
      </c>
      <c r="BY71" s="37" t="n">
        <f aca="false">(BY14=1)*BX86*①통합_가정!$E$269/12*①통합_가정!$D$555</f>
        <v>217.4088</v>
      </c>
      <c r="BZ71" s="37" t="n">
        <f aca="false">(BZ14=1)*BY86*①통합_가정!$E$269/12*①통합_가정!$D$555</f>
        <v>270.886</v>
      </c>
      <c r="CA71" s="37" t="n">
        <f aca="false">(CA14=1)*BZ86*①통합_가정!$E$269/12*①통합_가정!$D$555</f>
        <v>270.886</v>
      </c>
      <c r="CB71" s="37" t="n">
        <f aca="false">(CB14=1)*CA86*①통합_가정!$E$269/12*①통합_가정!$D$555</f>
        <v>270.886</v>
      </c>
      <c r="CC71" s="37" t="n">
        <f aca="false">(CC14=1)*CB86*①통합_가정!$E$269/12*①통합_가정!$D$555</f>
        <v>270.886</v>
      </c>
      <c r="CD71" s="37" t="n">
        <f aca="false">(CD14=1)*CC86*①통합_가정!$E$269/12*①통합_가정!$D$555</f>
        <v>270.886</v>
      </c>
      <c r="CE71" s="37" t="n">
        <f aca="false">(CE14=1)*CD86*①통합_가정!$E$269/12*①통합_가정!$D$555</f>
        <v>270.886</v>
      </c>
      <c r="CF71" s="37" t="n">
        <f aca="false">(CF14=1)*CE86*①통합_가정!$E$269/12*①통합_가정!$D$555</f>
        <v>270.886</v>
      </c>
      <c r="CG71" s="37" t="n">
        <f aca="false">(CG14=1)*CF86*①통합_가정!$E$269/12*①통합_가정!$D$555</f>
        <v>270.886</v>
      </c>
      <c r="CH71" s="37" t="n">
        <f aca="false">(CH14=1)*CG86*①통합_가정!$E$269/12*①통합_가정!$D$555</f>
        <v>270.886</v>
      </c>
      <c r="CI71" s="37" t="n">
        <f aca="false">(CI14=1)*CH86*①통합_가정!$E$269/12*①통합_가정!$D$555</f>
        <v>270.886</v>
      </c>
      <c r="CJ71" s="37" t="n">
        <f aca="false">(CJ14=1)*CI86*①통합_가정!$E$269/12*①통합_가정!$D$555</f>
        <v>270.886</v>
      </c>
      <c r="CK71" s="37" t="n">
        <f aca="false">(CK14=1)*CJ86*①통합_가정!$E$269/12*①통합_가정!$D$555</f>
        <v>270.886</v>
      </c>
      <c r="CL71" s="37" t="n">
        <f aca="false">(CL14=1)*CK86*①통합_가정!$E$269/12*①통합_가정!$D$555</f>
        <v>274.736</v>
      </c>
      <c r="CM71" s="37" t="n">
        <f aca="false">(CM14=1)*CL86*①통합_가정!$E$269/12*①통합_가정!$D$555</f>
        <v>274.736</v>
      </c>
      <c r="CN71" s="37" t="n">
        <f aca="false">(CN14=1)*CM86*①통합_가정!$E$269/12*①통합_가정!$D$555</f>
        <v>274.736</v>
      </c>
      <c r="CO71" s="37" t="n">
        <f aca="false">(CO14=1)*CN86*①통합_가정!$E$269/12*①통합_가정!$D$555</f>
        <v>274.736</v>
      </c>
      <c r="CP71" s="37" t="n">
        <f aca="false">(CP14=1)*CO86*①통합_가정!$E$269/12*①통합_가정!$D$555</f>
        <v>274.736</v>
      </c>
      <c r="CQ71" s="37" t="n">
        <f aca="false">(CQ14=1)*CP86*①통합_가정!$E$269/12*①통합_가정!$D$555</f>
        <v>274.736</v>
      </c>
      <c r="CR71" s="37" t="n">
        <f aca="false">(CR14=1)*CQ86*①통합_가정!$E$269/12*①통합_가정!$D$555</f>
        <v>274.736</v>
      </c>
      <c r="CS71" s="37" t="n">
        <f aca="false">(CS14=1)*CR86*①통합_가정!$E$269/12*①통합_가정!$D$555</f>
        <v>274.736</v>
      </c>
      <c r="CT71" s="37" t="n">
        <f aca="false">(CT14=1)*CS86*①통합_가정!$E$269/12*①통합_가정!$D$555</f>
        <v>274.736</v>
      </c>
      <c r="CU71" s="37" t="n">
        <f aca="false">(CU14=1)*CT86*①통합_가정!$E$269/12*①통합_가정!$D$555</f>
        <v>274.736</v>
      </c>
      <c r="CV71" s="37" t="n">
        <f aca="false">(CV14=1)*CU86*①통합_가정!$E$269/12*①통합_가정!$D$555</f>
        <v>274.736</v>
      </c>
      <c r="CW71" s="37" t="n">
        <f aca="false">(CW14=1)*CV86*①통합_가정!$E$269/12*①통합_가정!$D$555</f>
        <v>274.736</v>
      </c>
      <c r="CX71" s="37" t="n">
        <f aca="false">(CX14=1)*CW86*①통합_가정!$E$269/12*①통합_가정!$D$555</f>
        <v>274.736</v>
      </c>
      <c r="CY71" s="37" t="n">
        <f aca="false">(CY14=1)*CX86*①통합_가정!$E$269/12*①통합_가정!$D$555</f>
        <v>274.736</v>
      </c>
      <c r="CZ71" s="37" t="n">
        <f aca="false">(CZ14=1)*CY86*①통합_가정!$E$269/12*①통합_가정!$D$555</f>
        <v>274.736</v>
      </c>
      <c r="DA71" s="37" t="n">
        <f aca="false">(DA14=1)*CZ86*①통합_가정!$E$269/12*①통합_가정!$D$555</f>
        <v>274.736</v>
      </c>
      <c r="DB71" s="37" t="n">
        <f aca="false">(DB14=1)*DA86*①통합_가정!$E$269/12*①통합_가정!$D$555</f>
        <v>274.736</v>
      </c>
      <c r="DC71" s="37" t="n">
        <f aca="false">(DC14=1)*DB86*①통합_가정!$E$269/12*①통합_가정!$D$555</f>
        <v>274.736</v>
      </c>
      <c r="DD71" s="37" t="n">
        <f aca="false">(DD14=1)*DC86*①통합_가정!$E$269/12*①통합_가정!$D$555</f>
        <v>274.736</v>
      </c>
      <c r="DE71" s="37" t="n">
        <f aca="false">(DE14=1)*DD86*①통합_가정!$E$269/12*①통합_가정!$D$555</f>
        <v>274.736</v>
      </c>
      <c r="DF71" s="37" t="n">
        <f aca="false">(DF14=1)*DE86*①통합_가정!$E$269/12*①통합_가정!$D$555</f>
        <v>274.736</v>
      </c>
      <c r="DG71" s="37" t="n">
        <f aca="false">(DG14=1)*DF86*①통합_가정!$E$269/12*①통합_가정!$D$555</f>
        <v>274.736</v>
      </c>
      <c r="DH71" s="37" t="n">
        <f aca="false">(DH14=1)*DG86*①통합_가정!$E$269/12*①통합_가정!$D$555</f>
        <v>274.736</v>
      </c>
      <c r="DI71" s="37" t="n">
        <f aca="false">(DI14=1)*DH86*①통합_가정!$E$269/12*①통합_가정!$D$555</f>
        <v>274.736</v>
      </c>
      <c r="DJ71" s="37" t="n">
        <f aca="false">(DJ14=1)*DI86*①통합_가정!$E$269/12*①통합_가정!$D$555</f>
        <v>274.736</v>
      </c>
      <c r="DK71" s="37" t="n">
        <f aca="false">(DK14=1)*DJ86*①통합_가정!$E$269/12*①통합_가정!$D$555</f>
        <v>274.736</v>
      </c>
      <c r="DL71" s="37" t="n">
        <f aca="false">(DL14=1)*DK86*①통합_가정!$E$269/12*①통합_가정!$D$555</f>
        <v>274.736</v>
      </c>
      <c r="DM71" s="37" t="n">
        <f aca="false">(DM14=1)*DL86*①통합_가정!$E$269/12*①통합_가정!$D$555</f>
        <v>274.736</v>
      </c>
      <c r="DN71" s="37" t="n">
        <f aca="false">(DN14=1)*DM86*①통합_가정!$E$269/12*①통합_가정!$D$555</f>
        <v>274.736</v>
      </c>
      <c r="DO71" s="37" t="n">
        <f aca="false">(DO14=1)*DN86*①통합_가정!$E$269/12*①통합_가정!$D$555</f>
        <v>274.736</v>
      </c>
      <c r="DP71" s="37" t="n">
        <f aca="false">(DP14=1)*DO86*①통합_가정!$E$269/12*①통합_가정!$D$555</f>
        <v>274.736</v>
      </c>
      <c r="DQ71" s="37" t="n">
        <f aca="false">(DQ14=1)*DP86*①통합_가정!$E$269/12*①통합_가정!$D$555</f>
        <v>274.736</v>
      </c>
      <c r="DR71" s="37" t="n">
        <f aca="false">(DR14=1)*DQ86*①통합_가정!$E$269/12*①통합_가정!$D$555</f>
        <v>274.736</v>
      </c>
      <c r="DS71" s="37" t="n">
        <f aca="false">(DS14=1)*DR86*①통합_가정!$E$269/12*①통합_가정!$D$555</f>
        <v>274.736</v>
      </c>
      <c r="DT71" s="37" t="n">
        <f aca="false">(DT14=1)*DS86*①통합_가정!$E$269/12*①통합_가정!$D$555</f>
        <v>274.736</v>
      </c>
      <c r="DU71" s="37" t="n">
        <f aca="false">(DU14=1)*DT86*①통합_가정!$E$269/12*①통합_가정!$D$555</f>
        <v>0</v>
      </c>
      <c r="DV71" s="37" t="n">
        <f aca="false">(DV14=1)*DU86*①통합_가정!$E$269/12*①통합_가정!$D$555</f>
        <v>0</v>
      </c>
      <c r="DW71" s="37" t="n">
        <f aca="false">(DW14=1)*DV86*①통합_가정!$E$269/12*①통합_가정!$D$555</f>
        <v>0</v>
      </c>
      <c r="DX71" s="37" t="n">
        <f aca="false">(DX14=1)*DW86*①통합_가정!$E$269/12*①통합_가정!$D$555</f>
        <v>0</v>
      </c>
      <c r="DY71" s="37" t="n">
        <f aca="false">(DY14=1)*DX86*①통합_가정!$E$269/12*①통합_가정!$D$555</f>
        <v>0</v>
      </c>
      <c r="DZ71" s="37" t="n">
        <f aca="false">(DZ14=1)*DY86*①통합_가정!$E$269/12*①통합_가정!$D$555</f>
        <v>0</v>
      </c>
      <c r="EA71" s="37" t="n">
        <f aca="false">(EA14=1)*DZ86*①통합_가정!$E$269/12*①통합_가정!$D$555</f>
        <v>0</v>
      </c>
      <c r="EB71" s="37" t="n">
        <f aca="false">(EB14=1)*EA86*①통합_가정!$E$269/12*①통합_가정!$D$555</f>
        <v>0</v>
      </c>
      <c r="EC71" s="37" t="n">
        <f aca="false">(EC14=1)*EB86*①통합_가정!$E$269/12*①통합_가정!$D$555</f>
        <v>0</v>
      </c>
      <c r="ED71" s="37" t="n">
        <f aca="false">(ED14=1)*EC86*①통합_가정!$E$269/12*①통합_가정!$D$555</f>
        <v>0</v>
      </c>
      <c r="EE71" s="37" t="n">
        <f aca="false">(EE14=1)*ED86*①통합_가정!$E$269/12*①통합_가정!$D$555</f>
        <v>0</v>
      </c>
      <c r="EF71" s="37" t="n">
        <f aca="false">(EF14=1)*EE86*①통합_가정!$E$269/12*①통합_가정!$D$555</f>
        <v>0</v>
      </c>
    </row>
    <row r="72" customFormat="false" ht="15" hidden="false" customHeight="false" outlineLevel="0" collapsed="false">
      <c r="A72" s="36" t="s">
        <v>616</v>
      </c>
      <c r="B72" s="278" t="s">
        <v>21</v>
      </c>
      <c r="C72" s="279" t="n">
        <f aca="false">SUM(E72:EF72)</f>
        <v>6935.97765257765</v>
      </c>
      <c r="E72" s="37" t="n">
        <f aca="false">E17*①통합_가정!$E$426</f>
        <v>0</v>
      </c>
      <c r="F72" s="37" t="n">
        <f aca="false">F17*①통합_가정!$E$426</f>
        <v>0</v>
      </c>
      <c r="G72" s="37" t="n">
        <f aca="false">G17*①통합_가정!$E$426</f>
        <v>0</v>
      </c>
      <c r="H72" s="37" t="n">
        <f aca="false">H17*①통합_가정!$E$426</f>
        <v>0</v>
      </c>
      <c r="I72" s="37" t="n">
        <f aca="false">I17*①통합_가정!$E$426</f>
        <v>0</v>
      </c>
      <c r="J72" s="37" t="n">
        <f aca="false">J17*①통합_가정!$E$426</f>
        <v>0</v>
      </c>
      <c r="K72" s="37" t="n">
        <f aca="false">K17*①통합_가정!$E$426</f>
        <v>0</v>
      </c>
      <c r="L72" s="37" t="n">
        <f aca="false">L17*①통합_가정!$E$426</f>
        <v>0</v>
      </c>
      <c r="M72" s="37" t="n">
        <f aca="false">M17*①통합_가정!$E$426</f>
        <v>0</v>
      </c>
      <c r="N72" s="37" t="n">
        <f aca="false">N17*①통합_가정!$E$426</f>
        <v>0</v>
      </c>
      <c r="O72" s="37" t="n">
        <f aca="false">O17*①통합_가정!$E$426</f>
        <v>0</v>
      </c>
      <c r="P72" s="37" t="n">
        <f aca="false">P17*①통합_가정!$E$426</f>
        <v>0</v>
      </c>
      <c r="Q72" s="37" t="n">
        <f aca="false">Q17*①통합_가정!$E$426</f>
        <v>0</v>
      </c>
      <c r="R72" s="37" t="n">
        <f aca="false">R17*①통합_가정!$E$426</f>
        <v>0</v>
      </c>
      <c r="S72" s="37" t="n">
        <f aca="false">S17*①통합_가정!$E$426</f>
        <v>0</v>
      </c>
      <c r="T72" s="37" t="n">
        <f aca="false">T17*①통합_가정!$E$426</f>
        <v>0</v>
      </c>
      <c r="U72" s="37" t="n">
        <f aca="false">U17*①통합_가정!$E$426</f>
        <v>0</v>
      </c>
      <c r="V72" s="37" t="n">
        <f aca="false">V17*①통합_가정!$E$426</f>
        <v>0</v>
      </c>
      <c r="W72" s="37" t="n">
        <f aca="false">W17*①통합_가정!$E$426</f>
        <v>0</v>
      </c>
      <c r="X72" s="37" t="n">
        <f aca="false">X17*①통합_가정!$E$426</f>
        <v>0</v>
      </c>
      <c r="Y72" s="37" t="n">
        <f aca="false">Y17*①통합_가정!$E$426</f>
        <v>0</v>
      </c>
      <c r="Z72" s="37" t="n">
        <f aca="false">Z17*①통합_가정!$E$426</f>
        <v>0</v>
      </c>
      <c r="AA72" s="37" t="n">
        <f aca="false">AA17*①통합_가정!$E$426</f>
        <v>0</v>
      </c>
      <c r="AB72" s="37" t="n">
        <f aca="false">AB17*①통합_가정!$E$426</f>
        <v>0</v>
      </c>
      <c r="AC72" s="37" t="n">
        <f aca="false">AC17*①통합_가정!$E$426</f>
        <v>0</v>
      </c>
      <c r="AD72" s="37" t="n">
        <f aca="false">AD17*①통합_가정!$E$426</f>
        <v>0</v>
      </c>
      <c r="AE72" s="37" t="n">
        <f aca="false">AE17*①통합_가정!$E$426</f>
        <v>0</v>
      </c>
      <c r="AF72" s="37" t="n">
        <f aca="false">AF17*①통합_가정!$E$426</f>
        <v>0</v>
      </c>
      <c r="AG72" s="37" t="n">
        <f aca="false">AG17*①통합_가정!$E$426</f>
        <v>0</v>
      </c>
      <c r="AH72" s="37" t="n">
        <f aca="false">AH17*①통합_가정!$E$426</f>
        <v>0</v>
      </c>
      <c r="AI72" s="37" t="n">
        <f aca="false">AI17*①통합_가정!$E$426</f>
        <v>0</v>
      </c>
      <c r="AJ72" s="37" t="n">
        <f aca="false">AJ17*①통합_가정!$E$426</f>
        <v>0</v>
      </c>
      <c r="AK72" s="37" t="n">
        <f aca="false">AK17*①통합_가정!$E$426</f>
        <v>0</v>
      </c>
      <c r="AL72" s="37" t="n">
        <f aca="false">AL17*①통합_가정!$E$426</f>
        <v>0</v>
      </c>
      <c r="AM72" s="37" t="n">
        <f aca="false">AM17*①통합_가정!$E$426</f>
        <v>0</v>
      </c>
      <c r="AN72" s="37" t="n">
        <f aca="false">AN17*①통합_가정!$E$426</f>
        <v>0</v>
      </c>
      <c r="AO72" s="37" t="n">
        <f aca="false">AO17*①통합_가정!$E$426</f>
        <v>0</v>
      </c>
      <c r="AP72" s="37" t="n">
        <f aca="false">AP17*①통합_가정!$E$426</f>
        <v>0</v>
      </c>
      <c r="AQ72" s="37" t="n">
        <f aca="false">AQ17*①통합_가정!$E$426</f>
        <v>0</v>
      </c>
      <c r="AR72" s="37" t="n">
        <f aca="false">AR17*①통합_가정!$E$426</f>
        <v>0</v>
      </c>
      <c r="AS72" s="37" t="n">
        <f aca="false">AS17*①통합_가정!$E$426</f>
        <v>0</v>
      </c>
      <c r="AT72" s="37" t="n">
        <f aca="false">AT17*①통합_가정!$E$426</f>
        <v>0</v>
      </c>
      <c r="AU72" s="37" t="n">
        <f aca="false">AU17*①통합_가정!$E$426</f>
        <v>0</v>
      </c>
      <c r="AV72" s="37" t="n">
        <f aca="false">AV17*①통합_가정!$E$426</f>
        <v>0</v>
      </c>
      <c r="AW72" s="37" t="n">
        <f aca="false">AW17*①통합_가정!$E$426</f>
        <v>0</v>
      </c>
      <c r="AX72" s="37" t="n">
        <f aca="false">AX17*①통합_가정!$E$426</f>
        <v>0</v>
      </c>
      <c r="AY72" s="37" t="n">
        <f aca="false">AY17*①통합_가정!$E$426</f>
        <v>0</v>
      </c>
      <c r="AZ72" s="37" t="n">
        <f aca="false">AZ17*①통합_가정!$E$426</f>
        <v>0</v>
      </c>
      <c r="BA72" s="37" t="n">
        <f aca="false">BA17*①통합_가정!$E$426</f>
        <v>0</v>
      </c>
      <c r="BB72" s="37" t="n">
        <f aca="false">BB17*①통합_가정!$E$426</f>
        <v>0</v>
      </c>
      <c r="BC72" s="37" t="n">
        <f aca="false">BC17*①통합_가정!$E$426</f>
        <v>0</v>
      </c>
      <c r="BD72" s="37" t="n">
        <f aca="false">BD17*①통합_가정!$E$426</f>
        <v>0</v>
      </c>
      <c r="BE72" s="37" t="n">
        <f aca="false">BE17*①통합_가정!$E$426</f>
        <v>0</v>
      </c>
      <c r="BF72" s="37" t="n">
        <f aca="false">BF17*①통합_가정!$E$426</f>
        <v>0</v>
      </c>
      <c r="BG72" s="37" t="n">
        <f aca="false">BG17*①통합_가정!$E$426</f>
        <v>0</v>
      </c>
      <c r="BH72" s="37" t="n">
        <f aca="false">BH17*①통합_가정!$E$426</f>
        <v>0</v>
      </c>
      <c r="BI72" s="37" t="n">
        <f aca="false">BI17*①통합_가정!$E$426</f>
        <v>0</v>
      </c>
      <c r="BJ72" s="37" t="n">
        <f aca="false">BJ17*①통합_가정!$E$426</f>
        <v>0</v>
      </c>
      <c r="BK72" s="37" t="n">
        <f aca="false">BK17*①통합_가정!$E$426</f>
        <v>0</v>
      </c>
      <c r="BL72" s="37" t="n">
        <f aca="false">BL17*①통합_가정!$E$426</f>
        <v>0</v>
      </c>
      <c r="BM72" s="37" t="n">
        <f aca="false">BM17*①통합_가정!$E$426</f>
        <v>110.094883374248</v>
      </c>
      <c r="BN72" s="37" t="n">
        <f aca="false">BN17*①통합_가정!$E$426</f>
        <v>110.094883374248</v>
      </c>
      <c r="BO72" s="37" t="n">
        <f aca="false">BO17*①통합_가정!$E$426</f>
        <v>110.094883374248</v>
      </c>
      <c r="BP72" s="37" t="n">
        <f aca="false">BP17*①통합_가정!$E$426</f>
        <v>110.094883374248</v>
      </c>
      <c r="BQ72" s="37" t="n">
        <f aca="false">BQ17*①통합_가정!$E$426</f>
        <v>110.094883374248</v>
      </c>
      <c r="BR72" s="37" t="n">
        <f aca="false">BR17*①통합_가정!$E$426</f>
        <v>110.094883374248</v>
      </c>
      <c r="BS72" s="37" t="n">
        <f aca="false">BS17*①통합_가정!$E$426</f>
        <v>110.094883374248</v>
      </c>
      <c r="BT72" s="37" t="n">
        <f aca="false">BT17*①통합_가정!$E$426</f>
        <v>110.094883374248</v>
      </c>
      <c r="BU72" s="37" t="n">
        <f aca="false">BU17*①통합_가정!$E$426</f>
        <v>110.094883374248</v>
      </c>
      <c r="BV72" s="37" t="n">
        <f aca="false">BV17*①통합_가정!$E$426</f>
        <v>110.094883374248</v>
      </c>
      <c r="BW72" s="37" t="n">
        <f aca="false">BW17*①통합_가정!$E$426</f>
        <v>110.094883374248</v>
      </c>
      <c r="BX72" s="37" t="n">
        <f aca="false">BX17*①통합_가정!$E$426</f>
        <v>110.094883374248</v>
      </c>
      <c r="BY72" s="37" t="n">
        <f aca="false">BY17*①통합_가정!$E$426</f>
        <v>110.094883374248</v>
      </c>
      <c r="BZ72" s="37" t="n">
        <f aca="false">BZ17*①통합_가정!$E$426</f>
        <v>110.094883374248</v>
      </c>
      <c r="CA72" s="37" t="n">
        <f aca="false">CA17*①통합_가정!$E$426</f>
        <v>110.094883374248</v>
      </c>
      <c r="CB72" s="37" t="n">
        <f aca="false">CB17*①통합_가정!$E$426</f>
        <v>110.094883374248</v>
      </c>
      <c r="CC72" s="37" t="n">
        <f aca="false">CC17*①통합_가정!$E$426</f>
        <v>110.094883374248</v>
      </c>
      <c r="CD72" s="37" t="n">
        <f aca="false">CD17*①통합_가정!$E$426</f>
        <v>110.094883374248</v>
      </c>
      <c r="CE72" s="37" t="n">
        <f aca="false">CE17*①통합_가정!$E$426</f>
        <v>110.094883374248</v>
      </c>
      <c r="CF72" s="37" t="n">
        <f aca="false">CF17*①통합_가정!$E$426</f>
        <v>110.094883374248</v>
      </c>
      <c r="CG72" s="37" t="n">
        <f aca="false">CG17*①통합_가정!$E$426</f>
        <v>110.094883374248</v>
      </c>
      <c r="CH72" s="37" t="n">
        <f aca="false">CH17*①통합_가정!$E$426</f>
        <v>110.094883374248</v>
      </c>
      <c r="CI72" s="37" t="n">
        <f aca="false">CI17*①통합_가정!$E$426</f>
        <v>110.094883374248</v>
      </c>
      <c r="CJ72" s="37" t="n">
        <f aca="false">CJ17*①통합_가정!$E$426</f>
        <v>110.094883374248</v>
      </c>
      <c r="CK72" s="37" t="n">
        <f aca="false">CK17*①통합_가정!$E$426</f>
        <v>110.094883374248</v>
      </c>
      <c r="CL72" s="37" t="n">
        <f aca="false">CL17*①통합_가정!$E$426</f>
        <v>110.094883374248</v>
      </c>
      <c r="CM72" s="37" t="n">
        <f aca="false">CM17*①통합_가정!$E$426</f>
        <v>110.094883374248</v>
      </c>
      <c r="CN72" s="37" t="n">
        <f aca="false">CN17*①통합_가정!$E$426</f>
        <v>110.094883374248</v>
      </c>
      <c r="CO72" s="37" t="n">
        <f aca="false">CO17*①통합_가정!$E$426</f>
        <v>110.094883374248</v>
      </c>
      <c r="CP72" s="37" t="n">
        <f aca="false">CP17*①통합_가정!$E$426</f>
        <v>110.094883374248</v>
      </c>
      <c r="CQ72" s="37" t="n">
        <f aca="false">CQ17*①통합_가정!$E$426</f>
        <v>110.094883374248</v>
      </c>
      <c r="CR72" s="37" t="n">
        <f aca="false">CR17*①통합_가정!$E$426</f>
        <v>110.094883374248</v>
      </c>
      <c r="CS72" s="37" t="n">
        <f aca="false">CS17*①통합_가정!$E$426</f>
        <v>110.094883374248</v>
      </c>
      <c r="CT72" s="37" t="n">
        <f aca="false">CT17*①통합_가정!$E$426</f>
        <v>110.094883374248</v>
      </c>
      <c r="CU72" s="37" t="n">
        <f aca="false">CU17*①통합_가정!$E$426</f>
        <v>110.094883374248</v>
      </c>
      <c r="CV72" s="37" t="n">
        <f aca="false">CV17*①통합_가정!$E$426</f>
        <v>110.094883374248</v>
      </c>
      <c r="CW72" s="37" t="n">
        <f aca="false">CW17*①통합_가정!$E$426</f>
        <v>110.094883374248</v>
      </c>
      <c r="CX72" s="37" t="n">
        <f aca="false">CX17*①통합_가정!$E$426</f>
        <v>110.094883374248</v>
      </c>
      <c r="CY72" s="37" t="n">
        <f aca="false">CY17*①통합_가정!$E$426</f>
        <v>110.094883374248</v>
      </c>
      <c r="CZ72" s="37" t="n">
        <f aca="false">CZ17*①통합_가정!$E$426</f>
        <v>110.094883374248</v>
      </c>
      <c r="DA72" s="37" t="n">
        <f aca="false">DA17*①통합_가정!$E$426</f>
        <v>110.094883374248</v>
      </c>
      <c r="DB72" s="37" t="n">
        <f aca="false">DB17*①통합_가정!$E$426</f>
        <v>110.094883374248</v>
      </c>
      <c r="DC72" s="37" t="n">
        <f aca="false">DC17*①통합_가정!$E$426</f>
        <v>110.094883374248</v>
      </c>
      <c r="DD72" s="37" t="n">
        <f aca="false">DD17*①통합_가정!$E$426</f>
        <v>110.094883374248</v>
      </c>
      <c r="DE72" s="37" t="n">
        <f aca="false">DE17*①통합_가정!$E$426</f>
        <v>110.094883374248</v>
      </c>
      <c r="DF72" s="37" t="n">
        <f aca="false">DF17*①통합_가정!$E$426</f>
        <v>110.094883374248</v>
      </c>
      <c r="DG72" s="37" t="n">
        <f aca="false">DG17*①통합_가정!$E$426</f>
        <v>110.094883374248</v>
      </c>
      <c r="DH72" s="37" t="n">
        <f aca="false">DH17*①통합_가정!$E$426</f>
        <v>110.094883374248</v>
      </c>
      <c r="DI72" s="37" t="n">
        <f aca="false">DI17*①통합_가정!$E$426</f>
        <v>110.094883374248</v>
      </c>
      <c r="DJ72" s="37" t="n">
        <f aca="false">DJ17*①통합_가정!$E$426</f>
        <v>110.094883374248</v>
      </c>
      <c r="DK72" s="37" t="n">
        <f aca="false">DK17*①통합_가정!$E$426</f>
        <v>110.094883374248</v>
      </c>
      <c r="DL72" s="37" t="n">
        <f aca="false">DL17*①통합_가정!$E$426</f>
        <v>110.094883374248</v>
      </c>
      <c r="DM72" s="37" t="n">
        <f aca="false">DM17*①통합_가정!$E$426</f>
        <v>110.094883374248</v>
      </c>
      <c r="DN72" s="37" t="n">
        <f aca="false">DN17*①통합_가정!$E$426</f>
        <v>110.094883374248</v>
      </c>
      <c r="DO72" s="37" t="n">
        <f aca="false">DO17*①통합_가정!$E$426</f>
        <v>110.094883374248</v>
      </c>
      <c r="DP72" s="37" t="n">
        <f aca="false">DP17*①통합_가정!$E$426</f>
        <v>110.094883374248</v>
      </c>
      <c r="DQ72" s="37" t="n">
        <f aca="false">DQ17*①통합_가정!$E$426</f>
        <v>110.094883374248</v>
      </c>
      <c r="DR72" s="37" t="n">
        <f aca="false">DR17*①통합_가정!$E$426</f>
        <v>110.094883374248</v>
      </c>
      <c r="DS72" s="37" t="n">
        <f aca="false">DS17*①통합_가정!$E$426</f>
        <v>110.094883374248</v>
      </c>
      <c r="DT72" s="37" t="n">
        <f aca="false">DT17*①통합_가정!$E$426</f>
        <v>110.094883374248</v>
      </c>
      <c r="DU72" s="37" t="n">
        <f aca="false">DU17*①통합_가정!$E$426</f>
        <v>110.094883374248</v>
      </c>
      <c r="DV72" s="37" t="n">
        <f aca="false">DV17*①통합_가정!$E$426</f>
        <v>110.094883374248</v>
      </c>
      <c r="DW72" s="37" t="n">
        <f aca="false">DW17*①통합_가정!$E$426</f>
        <v>110.094883374248</v>
      </c>
      <c r="DX72" s="37" t="n">
        <f aca="false">DX17*①통합_가정!$E$426</f>
        <v>0</v>
      </c>
      <c r="DY72" s="37" t="n">
        <f aca="false">DY17*①통합_가정!$E$426</f>
        <v>0</v>
      </c>
      <c r="DZ72" s="37" t="n">
        <f aca="false">DZ17*①통합_가정!$E$426</f>
        <v>0</v>
      </c>
      <c r="EA72" s="37" t="n">
        <f aca="false">EA17*①통합_가정!$E$426</f>
        <v>0</v>
      </c>
      <c r="EB72" s="37" t="n">
        <f aca="false">EB17*①통합_가정!$E$426</f>
        <v>0</v>
      </c>
      <c r="EC72" s="37" t="n">
        <f aca="false">EC17*①통합_가정!$E$426</f>
        <v>0</v>
      </c>
      <c r="ED72" s="37" t="n">
        <f aca="false">ED17*①통합_가정!$E$426</f>
        <v>0</v>
      </c>
      <c r="EE72" s="37" t="n">
        <f aca="false">EE17*①통합_가정!$E$426</f>
        <v>0</v>
      </c>
      <c r="EF72" s="37" t="n">
        <f aca="false">EF17*①통합_가정!$E$426</f>
        <v>0</v>
      </c>
    </row>
    <row r="73" customFormat="false" ht="15" hidden="false" customHeight="false" outlineLevel="0" collapsed="false">
      <c r="A73" s="36" t="s">
        <v>436</v>
      </c>
      <c r="B73" s="278" t="s">
        <v>21</v>
      </c>
      <c r="C73" s="279" t="n">
        <f aca="false">SUM(E73:EF73)</f>
        <v>9377.69817790405</v>
      </c>
      <c r="E73" s="37" t="n">
        <f aca="false">IF(E6=①통합_가정!$E$22,①통합_가정!$R$420,0)</f>
        <v>0</v>
      </c>
      <c r="F73" s="37" t="n">
        <f aca="false">IF(F6=①통합_가정!$E$22,①통합_가정!$R$420,0)</f>
        <v>0</v>
      </c>
      <c r="G73" s="37" t="n">
        <f aca="false">IF(G6=①통합_가정!$E$22,①통합_가정!$R$420,0)</f>
        <v>0</v>
      </c>
      <c r="H73" s="37" t="n">
        <f aca="false">IF(H6=①통합_가정!$E$22,①통합_가정!$R$420,0)</f>
        <v>0</v>
      </c>
      <c r="I73" s="37" t="n">
        <f aca="false">IF(I6=①통합_가정!$E$22,①통합_가정!$R$420,0)</f>
        <v>0</v>
      </c>
      <c r="J73" s="37" t="n">
        <f aca="false">IF(J6=①통합_가정!$E$22,①통합_가정!$R$420,0)</f>
        <v>0</v>
      </c>
      <c r="K73" s="37" t="n">
        <f aca="false">IF(K6=①통합_가정!$E$22,①통합_가정!$R$420,0)</f>
        <v>0</v>
      </c>
      <c r="L73" s="37" t="n">
        <f aca="false">IF(L6=①통합_가정!$E$22,①통합_가정!$R$420,0)</f>
        <v>0</v>
      </c>
      <c r="M73" s="37" t="n">
        <f aca="false">IF(M6=①통합_가정!$E$22,①통합_가정!$R$420,0)</f>
        <v>0</v>
      </c>
      <c r="N73" s="37" t="n">
        <f aca="false">IF(N6=①통합_가정!$E$22,①통합_가정!$R$420,0)</f>
        <v>0</v>
      </c>
      <c r="O73" s="37" t="n">
        <f aca="false">IF(O6=①통합_가정!$E$22,①통합_가정!$R$420,0)</f>
        <v>0</v>
      </c>
      <c r="P73" s="37" t="n">
        <f aca="false">IF(P6=①통합_가정!$E$22,①통합_가정!$R$420,0)</f>
        <v>0</v>
      </c>
      <c r="Q73" s="37" t="n">
        <f aca="false">IF(Q6=①통합_가정!$E$22,①통합_가정!$R$420,0)</f>
        <v>0</v>
      </c>
      <c r="R73" s="37" t="n">
        <f aca="false">IF(R6=①통합_가정!$E$22,①통합_가정!$R$420,0)</f>
        <v>0</v>
      </c>
      <c r="S73" s="37" t="n">
        <f aca="false">IF(S6=①통합_가정!$E$22,①통합_가정!$R$420,0)</f>
        <v>0</v>
      </c>
      <c r="T73" s="37" t="n">
        <f aca="false">IF(T6=①통합_가정!$E$22,①통합_가정!$R$420,0)</f>
        <v>0</v>
      </c>
      <c r="U73" s="37" t="n">
        <f aca="false">IF(U6=①통합_가정!$E$22,①통합_가정!$R$420,0)</f>
        <v>0</v>
      </c>
      <c r="V73" s="37" t="n">
        <f aca="false">IF(V6=①통합_가정!$E$22,①통합_가정!$R$420,0)</f>
        <v>0</v>
      </c>
      <c r="W73" s="37" t="n">
        <f aca="false">IF(W6=①통합_가정!$E$22,①통합_가정!$R$420,0)</f>
        <v>0</v>
      </c>
      <c r="X73" s="37" t="n">
        <f aca="false">IF(X6=①통합_가정!$E$22,①통합_가정!$R$420,0)</f>
        <v>0</v>
      </c>
      <c r="Y73" s="37" t="n">
        <f aca="false">IF(Y6=①통합_가정!$E$22,①통합_가정!$R$420,0)</f>
        <v>0</v>
      </c>
      <c r="Z73" s="37" t="n">
        <f aca="false">IF(Z6=①통합_가정!$E$22,①통합_가정!$R$420,0)</f>
        <v>0</v>
      </c>
      <c r="AA73" s="37" t="n">
        <f aca="false">IF(AA6=①통합_가정!$E$22,①통합_가정!$R$420,0)</f>
        <v>0</v>
      </c>
      <c r="AB73" s="37" t="n">
        <f aca="false">IF(AB6=①통합_가정!$E$22,①통합_가정!$R$420,0)</f>
        <v>0</v>
      </c>
      <c r="AC73" s="37" t="n">
        <f aca="false">IF(AC6=①통합_가정!$E$22,①통합_가정!$R$420,0)</f>
        <v>0</v>
      </c>
      <c r="AD73" s="37" t="n">
        <f aca="false">IF(AD6=①통합_가정!$E$22,①통합_가정!$R$420,0)</f>
        <v>0</v>
      </c>
      <c r="AE73" s="37" t="n">
        <f aca="false">IF(AE6=①통합_가정!$E$22,①통합_가정!$R$420,0)</f>
        <v>0</v>
      </c>
      <c r="AF73" s="37" t="n">
        <f aca="false">IF(AF6=①통합_가정!$E$22,①통합_가정!$R$420,0)</f>
        <v>0</v>
      </c>
      <c r="AG73" s="37" t="n">
        <f aca="false">IF(AG6=①통합_가정!$E$22,①통합_가정!$R$420,0)</f>
        <v>0</v>
      </c>
      <c r="AH73" s="37" t="n">
        <f aca="false">IF(AH6=①통합_가정!$E$22,①통합_가정!$R$420,0)</f>
        <v>0</v>
      </c>
      <c r="AI73" s="37" t="n">
        <f aca="false">IF(AI6=①통합_가정!$E$22,①통합_가정!$R$420,0)</f>
        <v>0</v>
      </c>
      <c r="AJ73" s="37" t="n">
        <f aca="false">IF(AJ6=①통합_가정!$E$22,①통합_가정!$R$420,0)</f>
        <v>0</v>
      </c>
      <c r="AK73" s="37" t="n">
        <f aca="false">IF(AK6=①통합_가정!$E$22,①통합_가정!$R$420,0)</f>
        <v>0</v>
      </c>
      <c r="AL73" s="37" t="n">
        <f aca="false">IF(AL6=①통합_가정!$E$22,①통합_가정!$R$420,0)</f>
        <v>0</v>
      </c>
      <c r="AM73" s="37" t="n">
        <f aca="false">IF(AM6=①통합_가정!$E$22,①통합_가정!$R$420,0)</f>
        <v>0</v>
      </c>
      <c r="AN73" s="37" t="n">
        <f aca="false">IF(AN6=①통합_가정!$E$22,①통합_가정!$R$420,0)</f>
        <v>0</v>
      </c>
      <c r="AO73" s="37" t="n">
        <f aca="false">IF(AO6=①통합_가정!$E$22,①통합_가정!$R$420,0)</f>
        <v>0</v>
      </c>
      <c r="AP73" s="37" t="n">
        <f aca="false">IF(AP6=①통합_가정!$E$22,①통합_가정!$R$420,0)</f>
        <v>0</v>
      </c>
      <c r="AQ73" s="37" t="n">
        <f aca="false">IF(AQ6=①통합_가정!$E$22,①통합_가정!$R$420,0)</f>
        <v>0</v>
      </c>
      <c r="AR73" s="37" t="n">
        <f aca="false">IF(AR6=①통합_가정!$E$22,①통합_가정!$R$420,0)</f>
        <v>0</v>
      </c>
      <c r="AS73" s="37" t="n">
        <f aca="false">IF(AS6=①통합_가정!$E$22,①통합_가정!$R$420,0)</f>
        <v>0</v>
      </c>
      <c r="AT73" s="37" t="n">
        <f aca="false">IF(AT6=①통합_가정!$E$22,①통합_가정!$R$420,0)</f>
        <v>0</v>
      </c>
      <c r="AU73" s="37" t="n">
        <f aca="false">IF(AU6=①통합_가정!$E$22,①통합_가정!$R$420,0)</f>
        <v>0</v>
      </c>
      <c r="AV73" s="37" t="n">
        <f aca="false">IF(AV6=①통합_가정!$E$22,①통합_가정!$R$420,0)</f>
        <v>0</v>
      </c>
      <c r="AW73" s="37" t="n">
        <f aca="false">IF(AW6=①통합_가정!$E$22,①통합_가정!$R$420,0)</f>
        <v>0</v>
      </c>
      <c r="AX73" s="37" t="n">
        <f aca="false">IF(AX6=①통합_가정!$E$22,①통합_가정!$R$420,0)</f>
        <v>0</v>
      </c>
      <c r="AY73" s="37" t="n">
        <f aca="false">IF(AY6=①통합_가정!$E$22,①통합_가정!$R$420,0)</f>
        <v>0</v>
      </c>
      <c r="AZ73" s="37" t="n">
        <f aca="false">IF(AZ6=①통합_가정!$E$22,①통합_가정!$R$420,0)</f>
        <v>0</v>
      </c>
      <c r="BA73" s="37" t="n">
        <f aca="false">IF(BA6=①통합_가정!$E$22,①통합_가정!$R$420,0)</f>
        <v>0</v>
      </c>
      <c r="BB73" s="37" t="n">
        <f aca="false">IF(BB6=①통합_가정!$E$22,①통합_가정!$R$420,0)</f>
        <v>0</v>
      </c>
      <c r="BC73" s="37" t="n">
        <f aca="false">IF(BC6=①통합_가정!$E$22,①통합_가정!$R$420,0)</f>
        <v>0</v>
      </c>
      <c r="BD73" s="37" t="n">
        <f aca="false">IF(BD6=①통합_가정!$E$22,①통합_가정!$R$420,0)</f>
        <v>0</v>
      </c>
      <c r="BE73" s="37" t="n">
        <f aca="false">IF(BE6=①통합_가정!$E$22,①통합_가정!$R$420,0)</f>
        <v>0</v>
      </c>
      <c r="BF73" s="37" t="n">
        <f aca="false">IF(BF6=①통합_가정!$E$22,①통합_가정!$R$420,0)</f>
        <v>0</v>
      </c>
      <c r="BG73" s="37" t="n">
        <f aca="false">IF(BG6=①통합_가정!$E$22,①통합_가정!$R$420,0)</f>
        <v>0</v>
      </c>
      <c r="BH73" s="37" t="n">
        <f aca="false">IF(BH6=①통합_가정!$E$22,①통합_가정!$R$420,0)</f>
        <v>0</v>
      </c>
      <c r="BI73" s="37" t="n">
        <f aca="false">IF(BI6=①통합_가정!$E$22,①통합_가정!$R$420,0)</f>
        <v>0</v>
      </c>
      <c r="BJ73" s="37" t="n">
        <f aca="false">IF(BJ6=①통합_가정!$E$22,①통합_가정!$R$420,0)</f>
        <v>0</v>
      </c>
      <c r="BK73" s="37" t="n">
        <f aca="false">IF(BK6=①통합_가정!$E$22,①통합_가정!$R$420,0)</f>
        <v>0</v>
      </c>
      <c r="BL73" s="37" t="n">
        <f aca="false">IF(BL6=①통합_가정!$E$22,①통합_가정!$R$420,0)</f>
        <v>0</v>
      </c>
      <c r="BM73" s="37" t="n">
        <f aca="false">IF(BM6=①통합_가정!$E$22,①통합_가정!$R$420,0)</f>
        <v>0</v>
      </c>
      <c r="BN73" s="37" t="n">
        <f aca="false">IF(BN6=①통합_가정!$E$22,①통합_가정!$R$420,0)</f>
        <v>0</v>
      </c>
      <c r="BO73" s="37" t="n">
        <f aca="false">IF(BO6=①통합_가정!$E$22,①통합_가정!$R$420,0)</f>
        <v>0</v>
      </c>
      <c r="BP73" s="37" t="n">
        <f aca="false">IF(BP6=①통합_가정!$E$22,①통합_가정!$R$420,0)</f>
        <v>0</v>
      </c>
      <c r="BQ73" s="37" t="n">
        <f aca="false">IF(BQ6=①통합_가정!$E$22,①통합_가정!$R$420,0)</f>
        <v>0</v>
      </c>
      <c r="BR73" s="37" t="n">
        <f aca="false">IF(BR6=①통합_가정!$E$22,①통합_가정!$R$420,0)</f>
        <v>0</v>
      </c>
      <c r="BS73" s="37" t="n">
        <f aca="false">IF(BS6=①통합_가정!$E$22,①통합_가정!$R$420,0)</f>
        <v>0</v>
      </c>
      <c r="BT73" s="37" t="n">
        <f aca="false">IF(BT6=①통합_가정!$E$22,①통합_가정!$R$420,0)</f>
        <v>0</v>
      </c>
      <c r="BU73" s="37" t="n">
        <f aca="false">IF(BU6=①통합_가정!$E$22,①통합_가정!$R$420,0)</f>
        <v>0</v>
      </c>
      <c r="BV73" s="37" t="n">
        <f aca="false">IF(BV6=①통합_가정!$E$22,①통합_가정!$R$420,0)</f>
        <v>0</v>
      </c>
      <c r="BW73" s="37" t="n">
        <f aca="false">IF(BW6=①통합_가정!$E$22,①통합_가정!$R$420,0)</f>
        <v>0</v>
      </c>
      <c r="BX73" s="37" t="n">
        <f aca="false">IF(BX6=①통합_가정!$E$22,①통합_가정!$R$420,0)</f>
        <v>0</v>
      </c>
      <c r="BY73" s="37" t="n">
        <f aca="false">IF(BY6=①통합_가정!$E$22,①통합_가정!$R$420,0)</f>
        <v>0</v>
      </c>
      <c r="BZ73" s="37" t="n">
        <f aca="false">IF(BZ6=①통합_가정!$E$22,①통합_가정!$R$420,0)</f>
        <v>0</v>
      </c>
      <c r="CA73" s="37" t="n">
        <f aca="false">IF(CA6=①통합_가정!$E$22,①통합_가정!$R$420,0)</f>
        <v>0</v>
      </c>
      <c r="CB73" s="37" t="n">
        <f aca="false">IF(CB6=①통합_가정!$E$22,①통합_가정!$R$420,0)</f>
        <v>0</v>
      </c>
      <c r="CC73" s="37" t="n">
        <f aca="false">IF(CC6=①통합_가정!$E$22,①통합_가정!$R$420,0)</f>
        <v>0</v>
      </c>
      <c r="CD73" s="37" t="n">
        <f aca="false">IF(CD6=①통합_가정!$E$22,①통합_가정!$R$420,0)</f>
        <v>0</v>
      </c>
      <c r="CE73" s="37" t="n">
        <f aca="false">IF(CE6=①통합_가정!$E$22,①통합_가정!$R$420,0)</f>
        <v>0</v>
      </c>
      <c r="CF73" s="37" t="n">
        <f aca="false">IF(CF6=①통합_가정!$E$22,①통합_가정!$R$420,0)</f>
        <v>0</v>
      </c>
      <c r="CG73" s="37" t="n">
        <f aca="false">IF(CG6=①통합_가정!$E$22,①통합_가정!$R$420,0)</f>
        <v>0</v>
      </c>
      <c r="CH73" s="37" t="n">
        <f aca="false">IF(CH6=①통합_가정!$E$22,①통합_가정!$R$420,0)</f>
        <v>0</v>
      </c>
      <c r="CI73" s="37" t="n">
        <f aca="false">IF(CI6=①통합_가정!$E$22,①통합_가정!$R$420,0)</f>
        <v>0</v>
      </c>
      <c r="CJ73" s="37" t="n">
        <f aca="false">IF(CJ6=①통합_가정!$E$22,①통합_가정!$R$420,0)</f>
        <v>0</v>
      </c>
      <c r="CK73" s="37" t="n">
        <f aca="false">IF(CK6=①통합_가정!$E$22,①통합_가정!$R$420,0)</f>
        <v>0</v>
      </c>
      <c r="CL73" s="37" t="n">
        <f aca="false">IF(CL6=①통합_가정!$E$22,①통합_가정!$R$420,0)</f>
        <v>0</v>
      </c>
      <c r="CM73" s="37" t="n">
        <f aca="false">IF(CM6=①통합_가정!$E$22,①통합_가정!$R$420,0)</f>
        <v>0</v>
      </c>
      <c r="CN73" s="37" t="n">
        <f aca="false">IF(CN6=①통합_가정!$E$22,①통합_가정!$R$420,0)</f>
        <v>0</v>
      </c>
      <c r="CO73" s="37" t="n">
        <f aca="false">IF(CO6=①통합_가정!$E$22,①통합_가정!$R$420,0)</f>
        <v>0</v>
      </c>
      <c r="CP73" s="37" t="n">
        <f aca="false">IF(CP6=①통합_가정!$E$22,①통합_가정!$R$420,0)</f>
        <v>0</v>
      </c>
      <c r="CQ73" s="37" t="n">
        <f aca="false">IF(CQ6=①통합_가정!$E$22,①통합_가정!$R$420,0)</f>
        <v>0</v>
      </c>
      <c r="CR73" s="37" t="n">
        <f aca="false">IF(CR6=①통합_가정!$E$22,①통합_가정!$R$420,0)</f>
        <v>0</v>
      </c>
      <c r="CS73" s="37" t="n">
        <f aca="false">IF(CS6=①통합_가정!$E$22,①통합_가정!$R$420,0)</f>
        <v>0</v>
      </c>
      <c r="CT73" s="37" t="n">
        <f aca="false">IF(CT6=①통합_가정!$E$22,①통합_가정!$R$420,0)</f>
        <v>0</v>
      </c>
      <c r="CU73" s="37" t="n">
        <f aca="false">IF(CU6=①통합_가정!$E$22,①통합_가정!$R$420,0)</f>
        <v>0</v>
      </c>
      <c r="CV73" s="37" t="n">
        <f aca="false">IF(CV6=①통합_가정!$E$22,①통합_가정!$R$420,0)</f>
        <v>0</v>
      </c>
      <c r="CW73" s="37" t="n">
        <f aca="false">IF(CW6=①통합_가정!$E$22,①통합_가정!$R$420,0)</f>
        <v>0</v>
      </c>
      <c r="CX73" s="37" t="n">
        <f aca="false">IF(CX6=①통합_가정!$E$22,①통합_가정!$R$420,0)</f>
        <v>0</v>
      </c>
      <c r="CY73" s="37" t="n">
        <f aca="false">IF(CY6=①통합_가정!$E$22,①통합_가정!$R$420,0)</f>
        <v>0</v>
      </c>
      <c r="CZ73" s="37" t="n">
        <f aca="false">IF(CZ6=①통합_가정!$E$22,①통합_가정!$R$420,0)</f>
        <v>0</v>
      </c>
      <c r="DA73" s="37" t="n">
        <f aca="false">IF(DA6=①통합_가정!$E$22,①통합_가정!$R$420,0)</f>
        <v>0</v>
      </c>
      <c r="DB73" s="37" t="n">
        <f aca="false">IF(DB6=①통합_가정!$E$22,①통합_가정!$R$420,0)</f>
        <v>0</v>
      </c>
      <c r="DC73" s="37" t="n">
        <f aca="false">IF(DC6=①통합_가정!$E$22,①통합_가정!$R$420,0)</f>
        <v>0</v>
      </c>
      <c r="DD73" s="37" t="n">
        <f aca="false">IF(DD6=①통합_가정!$E$22,①통합_가정!$R$420,0)</f>
        <v>0</v>
      </c>
      <c r="DE73" s="37" t="n">
        <f aca="false">IF(DE6=①통합_가정!$E$22,①통합_가정!$R$420,0)</f>
        <v>0</v>
      </c>
      <c r="DF73" s="37" t="n">
        <f aca="false">IF(DF6=①통합_가정!$E$22,①통합_가정!$R$420,0)</f>
        <v>0</v>
      </c>
      <c r="DG73" s="37" t="n">
        <f aca="false">IF(DG6=①통합_가정!$E$22,①통합_가정!$R$420,0)</f>
        <v>0</v>
      </c>
      <c r="DH73" s="37" t="n">
        <f aca="false">IF(DH6=①통합_가정!$E$22,①통합_가정!$R$420,0)</f>
        <v>0</v>
      </c>
      <c r="DI73" s="37" t="n">
        <f aca="false">IF(DI6=①통합_가정!$E$22,①통합_가정!$R$420,0)</f>
        <v>0</v>
      </c>
      <c r="DJ73" s="37" t="n">
        <f aca="false">IF(DJ6=①통합_가정!$E$22,①통합_가정!$R$420,0)</f>
        <v>0</v>
      </c>
      <c r="DK73" s="37" t="n">
        <f aca="false">IF(DK6=①통합_가정!$E$22,①통합_가정!$R$420,0)</f>
        <v>0</v>
      </c>
      <c r="DL73" s="37" t="n">
        <f aca="false">IF(DL6=①통합_가정!$E$22,①통합_가정!$R$420,0)</f>
        <v>0</v>
      </c>
      <c r="DM73" s="37" t="n">
        <f aca="false">IF(DM6=①통합_가정!$E$22,①통합_가정!$R$420,0)</f>
        <v>0</v>
      </c>
      <c r="DN73" s="37" t="n">
        <f aca="false">IF(DN6=①통합_가정!$E$22,①통합_가정!$R$420,0)</f>
        <v>0</v>
      </c>
      <c r="DO73" s="37" t="n">
        <f aca="false">IF(DO6=①통합_가정!$E$22,①통합_가정!$R$420,0)</f>
        <v>0</v>
      </c>
      <c r="DP73" s="37" t="n">
        <f aca="false">IF(DP6=①통합_가정!$E$22,①통합_가정!$R$420,0)</f>
        <v>0</v>
      </c>
      <c r="DQ73" s="37" t="n">
        <f aca="false">IF(DQ6=①통합_가정!$E$22,①통합_가정!$R$420,0)</f>
        <v>0</v>
      </c>
      <c r="DR73" s="37" t="n">
        <f aca="false">IF(DR6=①통합_가정!$E$22,①통합_가정!$R$420,0)</f>
        <v>0</v>
      </c>
      <c r="DS73" s="37" t="n">
        <f aca="false">IF(DS6=①통합_가정!$E$22,①통합_가정!$R$420,0)</f>
        <v>0</v>
      </c>
      <c r="DT73" s="37" t="n">
        <f aca="false">IF(DT6=①통합_가정!$E$22,①통합_가정!$R$420,0)</f>
        <v>9377.69817790405</v>
      </c>
      <c r="DU73" s="37" t="n">
        <f aca="false">IF(DU6=①통합_가정!$E$22,①통합_가정!$R$420,0)</f>
        <v>0</v>
      </c>
      <c r="DV73" s="37" t="n">
        <f aca="false">IF(DV6=①통합_가정!$E$22,①통합_가정!$R$420,0)</f>
        <v>0</v>
      </c>
      <c r="DW73" s="37" t="n">
        <f aca="false">IF(DW6=①통합_가정!$E$22,①통합_가정!$R$420,0)</f>
        <v>0</v>
      </c>
      <c r="DX73" s="37" t="n">
        <f aca="false">IF(DX6=①통합_가정!$E$22,①통합_가정!$R$420,0)</f>
        <v>0</v>
      </c>
      <c r="DY73" s="37" t="n">
        <f aca="false">IF(DY6=①통합_가정!$E$22,①통합_가정!$R$420,0)</f>
        <v>0</v>
      </c>
      <c r="DZ73" s="37" t="n">
        <f aca="false">IF(DZ6=①통합_가정!$E$22,①통합_가정!$R$420,0)</f>
        <v>0</v>
      </c>
      <c r="EA73" s="37" t="n">
        <f aca="false">IF(EA6=①통합_가정!$E$22,①통합_가정!$R$420,0)</f>
        <v>0</v>
      </c>
      <c r="EB73" s="37" t="n">
        <f aca="false">IF(EB6=①통합_가정!$E$22,①통합_가정!$R$420,0)</f>
        <v>0</v>
      </c>
      <c r="EC73" s="37" t="n">
        <f aca="false">IF(EC6=①통합_가정!$E$22,①통합_가정!$R$420,0)</f>
        <v>0</v>
      </c>
      <c r="ED73" s="37" t="n">
        <f aca="false">IF(ED6=①통합_가정!$E$22,①통합_가정!$R$420,0)</f>
        <v>0</v>
      </c>
      <c r="EE73" s="37" t="n">
        <f aca="false">IF(EE6=①통합_가정!$E$22,①통합_가정!$R$420,0)</f>
        <v>0</v>
      </c>
      <c r="EF73" s="37" t="n">
        <f aca="false">IF(EF6=①통합_가정!$E$22,①통합_가정!$R$420,0)</f>
        <v>0</v>
      </c>
    </row>
    <row r="74" customFormat="false" ht="15" hidden="false" customHeight="false" outlineLevel="0" collapsed="false">
      <c r="A74" s="280" t="s">
        <v>617</v>
      </c>
      <c r="B74" s="281" t="s">
        <v>21</v>
      </c>
      <c r="C74" s="282" t="n">
        <f aca="false">SUM(E74:EF74)</f>
        <v>63114.7895222759</v>
      </c>
      <c r="D74" s="48"/>
      <c r="E74" s="283" t="n">
        <f aca="false">SUM(E67:E73)</f>
        <v>0</v>
      </c>
      <c r="F74" s="283" t="n">
        <f aca="false">SUM(F67:F73)</f>
        <v>0</v>
      </c>
      <c r="G74" s="283" t="n">
        <f aca="false">SUM(G67:G73)</f>
        <v>0</v>
      </c>
      <c r="H74" s="283" t="n">
        <f aca="false">SUM(H67:H73)</f>
        <v>0</v>
      </c>
      <c r="I74" s="283" t="n">
        <f aca="false">SUM(I67:I73)</f>
        <v>0</v>
      </c>
      <c r="J74" s="283" t="n">
        <f aca="false">SUM(J67:J73)</f>
        <v>0</v>
      </c>
      <c r="K74" s="283" t="n">
        <f aca="false">SUM(K67:K73)</f>
        <v>0</v>
      </c>
      <c r="L74" s="283" t="n">
        <f aca="false">SUM(L67:L73)</f>
        <v>0</v>
      </c>
      <c r="M74" s="283" t="n">
        <f aca="false">SUM(M67:M73)</f>
        <v>0</v>
      </c>
      <c r="N74" s="283" t="n">
        <f aca="false">SUM(N67:N73)</f>
        <v>0</v>
      </c>
      <c r="O74" s="283" t="n">
        <f aca="false">SUM(O67:O73)</f>
        <v>0</v>
      </c>
      <c r="P74" s="283" t="n">
        <f aca="false">SUM(P67:P73)</f>
        <v>0</v>
      </c>
      <c r="Q74" s="283" t="n">
        <f aca="false">SUM(Q67:Q73)</f>
        <v>0</v>
      </c>
      <c r="R74" s="283" t="n">
        <f aca="false">SUM(R67:R73)</f>
        <v>0</v>
      </c>
      <c r="S74" s="283" t="n">
        <f aca="false">SUM(S67:S73)</f>
        <v>0</v>
      </c>
      <c r="T74" s="283" t="n">
        <f aca="false">SUM(T67:T73)</f>
        <v>0</v>
      </c>
      <c r="U74" s="283" t="n">
        <f aca="false">SUM(U67:U73)</f>
        <v>0</v>
      </c>
      <c r="V74" s="283" t="n">
        <f aca="false">SUM(V67:V73)</f>
        <v>0</v>
      </c>
      <c r="W74" s="283" t="n">
        <f aca="false">SUM(W67:W73)</f>
        <v>0</v>
      </c>
      <c r="X74" s="283" t="n">
        <f aca="false">SUM(X67:X73)</f>
        <v>0</v>
      </c>
      <c r="Y74" s="283" t="n">
        <f aca="false">SUM(Y67:Y73)</f>
        <v>0</v>
      </c>
      <c r="Z74" s="283" t="n">
        <f aca="false">SUM(Z67:Z73)</f>
        <v>0</v>
      </c>
      <c r="AA74" s="283" t="n">
        <f aca="false">SUM(AA67:AA73)</f>
        <v>0</v>
      </c>
      <c r="AB74" s="283" t="n">
        <f aca="false">SUM(AB67:AB73)</f>
        <v>0</v>
      </c>
      <c r="AC74" s="283" t="n">
        <f aca="false">SUM(AC67:AC73)</f>
        <v>0</v>
      </c>
      <c r="AD74" s="283" t="n">
        <f aca="false">SUM(AD67:AD73)</f>
        <v>0</v>
      </c>
      <c r="AE74" s="283" t="n">
        <f aca="false">SUM(AE67:AE73)</f>
        <v>0</v>
      </c>
      <c r="AF74" s="283" t="n">
        <f aca="false">SUM(AF67:AF73)</f>
        <v>0</v>
      </c>
      <c r="AG74" s="283" t="n">
        <f aca="false">SUM(AG67:AG73)</f>
        <v>0</v>
      </c>
      <c r="AH74" s="283" t="n">
        <f aca="false">SUM(AH67:AH73)</f>
        <v>0</v>
      </c>
      <c r="AI74" s="283" t="n">
        <f aca="false">SUM(AI67:AI73)</f>
        <v>0</v>
      </c>
      <c r="AJ74" s="283" t="n">
        <f aca="false">SUM(AJ67:AJ73)</f>
        <v>0</v>
      </c>
      <c r="AK74" s="283" t="n">
        <f aca="false">SUM(AK67:AK73)</f>
        <v>0</v>
      </c>
      <c r="AL74" s="283" t="n">
        <f aca="false">SUM(AL67:AL73)</f>
        <v>0</v>
      </c>
      <c r="AM74" s="283" t="n">
        <f aca="false">SUM(AM67:AM73)</f>
        <v>0</v>
      </c>
      <c r="AN74" s="283" t="n">
        <f aca="false">SUM(AN67:AN73)</f>
        <v>0</v>
      </c>
      <c r="AO74" s="283" t="n">
        <f aca="false">SUM(AO67:AO73)</f>
        <v>0</v>
      </c>
      <c r="AP74" s="283" t="n">
        <f aca="false">SUM(AP67:AP73)</f>
        <v>0</v>
      </c>
      <c r="AQ74" s="283" t="n">
        <f aca="false">SUM(AQ67:AQ73)</f>
        <v>0</v>
      </c>
      <c r="AR74" s="283" t="n">
        <f aca="false">SUM(AR67:AR73)</f>
        <v>0</v>
      </c>
      <c r="AS74" s="283" t="n">
        <f aca="false">SUM(AS67:AS73)</f>
        <v>0</v>
      </c>
      <c r="AT74" s="283" t="n">
        <f aca="false">SUM(AT67:AT73)</f>
        <v>0</v>
      </c>
      <c r="AU74" s="283" t="n">
        <f aca="false">SUM(AU67:AU73)</f>
        <v>0</v>
      </c>
      <c r="AV74" s="283" t="n">
        <f aca="false">SUM(AV67:AV73)</f>
        <v>0</v>
      </c>
      <c r="AW74" s="283" t="n">
        <f aca="false">SUM(AW67:AW73)</f>
        <v>0</v>
      </c>
      <c r="AX74" s="283" t="n">
        <f aca="false">SUM(AX67:AX73)</f>
        <v>0</v>
      </c>
      <c r="AY74" s="283" t="n">
        <f aca="false">SUM(AY67:AY73)</f>
        <v>0</v>
      </c>
      <c r="AZ74" s="283" t="n">
        <f aca="false">SUM(AZ67:AZ73)</f>
        <v>0</v>
      </c>
      <c r="BA74" s="283" t="n">
        <f aca="false">SUM(BA67:BA73)</f>
        <v>0</v>
      </c>
      <c r="BB74" s="283" t="n">
        <f aca="false">SUM(BB67:BB73)</f>
        <v>0</v>
      </c>
      <c r="BC74" s="283" t="n">
        <f aca="false">SUM(BC67:BC73)</f>
        <v>0</v>
      </c>
      <c r="BD74" s="283" t="n">
        <f aca="false">SUM(BD67:BD73)</f>
        <v>0</v>
      </c>
      <c r="BE74" s="283" t="n">
        <f aca="false">SUM(BE67:BE73)</f>
        <v>0</v>
      </c>
      <c r="BF74" s="283" t="n">
        <f aca="false">SUM(BF67:BF73)</f>
        <v>0</v>
      </c>
      <c r="BG74" s="283" t="n">
        <f aca="false">SUM(BG67:BG73)</f>
        <v>0</v>
      </c>
      <c r="BH74" s="283" t="n">
        <f aca="false">SUM(BH67:BH73)</f>
        <v>0</v>
      </c>
      <c r="BI74" s="283" t="n">
        <f aca="false">SUM(BI67:BI73)</f>
        <v>0</v>
      </c>
      <c r="BJ74" s="283" t="n">
        <f aca="false">SUM(BJ67:BJ73)</f>
        <v>0</v>
      </c>
      <c r="BK74" s="283" t="n">
        <f aca="false">SUM(BK67:BK73)</f>
        <v>0</v>
      </c>
      <c r="BL74" s="283" t="n">
        <f aca="false">SUM(BL67:BL73)</f>
        <v>0</v>
      </c>
      <c r="BM74" s="283" t="n">
        <f aca="false">SUM(BM67:BM73)</f>
        <v>748.452453511748</v>
      </c>
      <c r="BN74" s="283" t="n">
        <f aca="false">SUM(BN67:BN73)</f>
        <v>826.905093511748</v>
      </c>
      <c r="BO74" s="283" t="n">
        <f aca="false">SUM(BO67:BO73)</f>
        <v>826.905093511748</v>
      </c>
      <c r="BP74" s="283" t="n">
        <f aca="false">SUM(BP67:BP73)</f>
        <v>826.905093511748</v>
      </c>
      <c r="BQ74" s="283" t="n">
        <f aca="false">SUM(BQ67:BQ73)</f>
        <v>826.905093511748</v>
      </c>
      <c r="BR74" s="283" t="n">
        <f aca="false">SUM(BR67:BR73)</f>
        <v>826.905093511748</v>
      </c>
      <c r="BS74" s="283" t="n">
        <f aca="false">SUM(BS67:BS73)</f>
        <v>826.905093511748</v>
      </c>
      <c r="BT74" s="283" t="n">
        <f aca="false">SUM(BT67:BT73)</f>
        <v>826.905093511748</v>
      </c>
      <c r="BU74" s="283" t="n">
        <f aca="false">SUM(BU67:BU73)</f>
        <v>826.905093511748</v>
      </c>
      <c r="BV74" s="283" t="n">
        <f aca="false">SUM(BV67:BV73)</f>
        <v>826.905093511748</v>
      </c>
      <c r="BW74" s="283" t="n">
        <f aca="false">SUM(BW67:BW73)</f>
        <v>826.905093511748</v>
      </c>
      <c r="BX74" s="283" t="n">
        <f aca="false">SUM(BX67:BX73)</f>
        <v>826.905093511748</v>
      </c>
      <c r="BY74" s="283" t="n">
        <f aca="false">SUM(BY67:BY73)</f>
        <v>836.893121714498</v>
      </c>
      <c r="BZ74" s="283" t="n">
        <f aca="false">SUM(BZ67:BZ73)</f>
        <v>890.370321714498</v>
      </c>
      <c r="CA74" s="283" t="n">
        <f aca="false">SUM(CA67:CA73)</f>
        <v>890.370321714498</v>
      </c>
      <c r="CB74" s="283" t="n">
        <f aca="false">SUM(CB67:CB73)</f>
        <v>890.370321714498</v>
      </c>
      <c r="CC74" s="283" t="n">
        <f aca="false">SUM(CC67:CC73)</f>
        <v>890.370321714498</v>
      </c>
      <c r="CD74" s="283" t="n">
        <f aca="false">SUM(CD67:CD73)</f>
        <v>890.370321714498</v>
      </c>
      <c r="CE74" s="283" t="n">
        <f aca="false">SUM(CE67:CE73)</f>
        <v>890.370321714498</v>
      </c>
      <c r="CF74" s="283" t="n">
        <f aca="false">SUM(CF67:CF73)</f>
        <v>890.370321714498</v>
      </c>
      <c r="CG74" s="283" t="n">
        <f aca="false">SUM(CG67:CG73)</f>
        <v>890.370321714498</v>
      </c>
      <c r="CH74" s="283" t="n">
        <f aca="false">SUM(CH67:CH73)</f>
        <v>890.370321714498</v>
      </c>
      <c r="CI74" s="283" t="n">
        <f aca="false">SUM(CI67:CI73)</f>
        <v>890.370321714498</v>
      </c>
      <c r="CJ74" s="283" t="n">
        <f aca="false">SUM(CJ67:CJ73)</f>
        <v>890.370321714498</v>
      </c>
      <c r="CK74" s="283" t="n">
        <f aca="false">SUM(CK67:CK73)</f>
        <v>900.558110481303</v>
      </c>
      <c r="CL74" s="283" t="n">
        <f aca="false">SUM(CL67:CL73)</f>
        <v>904.408110481303</v>
      </c>
      <c r="CM74" s="283" t="n">
        <f aca="false">SUM(CM67:CM73)</f>
        <v>904.408110481303</v>
      </c>
      <c r="CN74" s="283" t="n">
        <f aca="false">SUM(CN67:CN73)</f>
        <v>904.408110481303</v>
      </c>
      <c r="CO74" s="283" t="n">
        <f aca="false">SUM(CO67:CO73)</f>
        <v>904.408110481303</v>
      </c>
      <c r="CP74" s="283" t="n">
        <f aca="false">SUM(CP67:CP73)</f>
        <v>904.408110481303</v>
      </c>
      <c r="CQ74" s="283" t="n">
        <f aca="false">SUM(CQ67:CQ73)</f>
        <v>904.408110481303</v>
      </c>
      <c r="CR74" s="283" t="n">
        <f aca="false">SUM(CR67:CR73)</f>
        <v>904.408110481303</v>
      </c>
      <c r="CS74" s="283" t="n">
        <f aca="false">SUM(CS67:CS73)</f>
        <v>904.408110481303</v>
      </c>
      <c r="CT74" s="283" t="n">
        <f aca="false">SUM(CT67:CT73)</f>
        <v>904.408110481303</v>
      </c>
      <c r="CU74" s="283" t="n">
        <f aca="false">SUM(CU67:CU73)</f>
        <v>904.408110481303</v>
      </c>
      <c r="CV74" s="283" t="n">
        <f aca="false">SUM(CV67:CV73)</f>
        <v>904.408110481303</v>
      </c>
      <c r="CW74" s="283" t="n">
        <f aca="false">SUM(CW67:CW73)</f>
        <v>914.799655023445</v>
      </c>
      <c r="CX74" s="283" t="n">
        <f aca="false">SUM(CX67:CX73)</f>
        <v>914.799655023445</v>
      </c>
      <c r="CY74" s="283" t="n">
        <f aca="false">SUM(CY67:CY73)</f>
        <v>914.799655023445</v>
      </c>
      <c r="CZ74" s="283" t="n">
        <f aca="false">SUM(CZ67:CZ73)</f>
        <v>914.799655023445</v>
      </c>
      <c r="DA74" s="283" t="n">
        <f aca="false">SUM(DA67:DA73)</f>
        <v>914.799655023445</v>
      </c>
      <c r="DB74" s="283" t="n">
        <f aca="false">SUM(DB67:DB73)</f>
        <v>914.799655023445</v>
      </c>
      <c r="DC74" s="283" t="n">
        <f aca="false">SUM(DC67:DC73)</f>
        <v>914.799655023445</v>
      </c>
      <c r="DD74" s="283" t="n">
        <f aca="false">SUM(DD67:DD73)</f>
        <v>914.799655023445</v>
      </c>
      <c r="DE74" s="283" t="n">
        <f aca="false">SUM(DE67:DE73)</f>
        <v>914.799655023445</v>
      </c>
      <c r="DF74" s="283" t="n">
        <f aca="false">SUM(DF67:DF73)</f>
        <v>914.799655023445</v>
      </c>
      <c r="DG74" s="283" t="n">
        <f aca="false">SUM(DG67:DG73)</f>
        <v>914.799655023445</v>
      </c>
      <c r="DH74" s="283" t="n">
        <f aca="false">SUM(DH67:DH73)</f>
        <v>914.799655023445</v>
      </c>
      <c r="DI74" s="283" t="n">
        <f aca="false">SUM(DI67:DI73)</f>
        <v>925.399030456428</v>
      </c>
      <c r="DJ74" s="283" t="n">
        <f aca="false">SUM(DJ67:DJ73)</f>
        <v>925.399030456428</v>
      </c>
      <c r="DK74" s="283" t="n">
        <f aca="false">SUM(DK67:DK73)</f>
        <v>925.399030456428</v>
      </c>
      <c r="DL74" s="283" t="n">
        <f aca="false">SUM(DL67:DL73)</f>
        <v>925.399030456428</v>
      </c>
      <c r="DM74" s="283" t="n">
        <f aca="false">SUM(DM67:DM73)</f>
        <v>925.399030456428</v>
      </c>
      <c r="DN74" s="283" t="n">
        <f aca="false">SUM(DN67:DN73)</f>
        <v>925.399030456428</v>
      </c>
      <c r="DO74" s="283" t="n">
        <f aca="false">SUM(DO67:DO73)</f>
        <v>925.399030456428</v>
      </c>
      <c r="DP74" s="283" t="n">
        <f aca="false">SUM(DP67:DP73)</f>
        <v>925.399030456428</v>
      </c>
      <c r="DQ74" s="283" t="n">
        <f aca="false">SUM(DQ67:DQ73)</f>
        <v>925.399030456428</v>
      </c>
      <c r="DR74" s="283" t="n">
        <f aca="false">SUM(DR67:DR73)</f>
        <v>925.399030456428</v>
      </c>
      <c r="DS74" s="283" t="n">
        <f aca="false">SUM(DS67:DS73)</f>
        <v>925.399030456428</v>
      </c>
      <c r="DT74" s="283" t="n">
        <f aca="false">SUM(DT67:DT73)</f>
        <v>10303.0972083605</v>
      </c>
      <c r="DU74" s="283" t="n">
        <f aca="false">SUM(DU67:DU73)</f>
        <v>110.094883374248</v>
      </c>
      <c r="DV74" s="283" t="n">
        <f aca="false">SUM(DV67:DV73)</f>
        <v>110.094883374248</v>
      </c>
      <c r="DW74" s="283" t="n">
        <f aca="false">SUM(DW67:DW73)</f>
        <v>110.094883374248</v>
      </c>
      <c r="DX74" s="283" t="n">
        <f aca="false">SUM(DX67:DX73)</f>
        <v>0</v>
      </c>
      <c r="DY74" s="283" t="n">
        <f aca="false">SUM(DY67:DY73)</f>
        <v>0</v>
      </c>
      <c r="DZ74" s="283" t="n">
        <f aca="false">SUM(DZ67:DZ73)</f>
        <v>0</v>
      </c>
      <c r="EA74" s="283" t="n">
        <f aca="false">SUM(EA67:EA73)</f>
        <v>0</v>
      </c>
      <c r="EB74" s="283" t="n">
        <f aca="false">SUM(EB67:EB73)</f>
        <v>0</v>
      </c>
      <c r="EC74" s="283" t="n">
        <f aca="false">SUM(EC67:EC73)</f>
        <v>0</v>
      </c>
      <c r="ED74" s="283" t="n">
        <f aca="false">SUM(ED67:ED73)</f>
        <v>0</v>
      </c>
      <c r="EE74" s="283" t="n">
        <f aca="false">SUM(EE67:EE73)</f>
        <v>0</v>
      </c>
      <c r="EF74" s="283" t="n">
        <f aca="false">SUM(EF67:EF73)</f>
        <v>0</v>
      </c>
    </row>
    <row r="75" customFormat="false" ht="15" hidden="false" customHeight="false" outlineLevel="0" collapsed="false">
      <c r="A75" s="280" t="s">
        <v>618</v>
      </c>
      <c r="B75" s="281" t="s">
        <v>21</v>
      </c>
      <c r="C75" s="282" t="n">
        <f aca="false">SUM(E75:EF75)</f>
        <v>252838.487969735</v>
      </c>
      <c r="D75" s="48"/>
      <c r="E75" s="283" t="n">
        <f aca="false">E64-E74</f>
        <v>0</v>
      </c>
      <c r="F75" s="283" t="n">
        <f aca="false">F64-F74</f>
        <v>0</v>
      </c>
      <c r="G75" s="283" t="n">
        <f aca="false">G64-G74</f>
        <v>0</v>
      </c>
      <c r="H75" s="283" t="n">
        <f aca="false">H64-H74</f>
        <v>0</v>
      </c>
      <c r="I75" s="283" t="n">
        <f aca="false">I64-I74</f>
        <v>0</v>
      </c>
      <c r="J75" s="283" t="n">
        <f aca="false">J64-J74</f>
        <v>0</v>
      </c>
      <c r="K75" s="283" t="n">
        <f aca="false">K64-K74</f>
        <v>0</v>
      </c>
      <c r="L75" s="283" t="n">
        <f aca="false">L64-L74</f>
        <v>0</v>
      </c>
      <c r="M75" s="283" t="n">
        <f aca="false">M64-M74</f>
        <v>0</v>
      </c>
      <c r="N75" s="283" t="n">
        <f aca="false">N64-N74</f>
        <v>0</v>
      </c>
      <c r="O75" s="283" t="n">
        <f aca="false">O64-O74</f>
        <v>0</v>
      </c>
      <c r="P75" s="283" t="n">
        <f aca="false">P64-P74</f>
        <v>0</v>
      </c>
      <c r="Q75" s="283" t="n">
        <f aca="false">Q64-Q74</f>
        <v>0</v>
      </c>
      <c r="R75" s="283" t="n">
        <f aca="false">R64-R74</f>
        <v>0</v>
      </c>
      <c r="S75" s="283" t="n">
        <f aca="false">S64-S74</f>
        <v>0</v>
      </c>
      <c r="T75" s="283" t="n">
        <f aca="false">T64-T74</f>
        <v>0</v>
      </c>
      <c r="U75" s="283" t="n">
        <f aca="false">U64-U74</f>
        <v>0</v>
      </c>
      <c r="V75" s="283" t="n">
        <f aca="false">V64-V74</f>
        <v>0</v>
      </c>
      <c r="W75" s="283" t="n">
        <f aca="false">W64-W74</f>
        <v>0</v>
      </c>
      <c r="X75" s="283" t="n">
        <f aca="false">X64-X74</f>
        <v>0</v>
      </c>
      <c r="Y75" s="283" t="n">
        <f aca="false">Y64-Y74</f>
        <v>0</v>
      </c>
      <c r="Z75" s="283" t="n">
        <f aca="false">Z64-Z74</f>
        <v>0</v>
      </c>
      <c r="AA75" s="283" t="n">
        <f aca="false">AA64-AA74</f>
        <v>0</v>
      </c>
      <c r="AB75" s="283" t="n">
        <f aca="false">AB64-AB74</f>
        <v>0</v>
      </c>
      <c r="AC75" s="283" t="n">
        <f aca="false">AC64-AC74</f>
        <v>0</v>
      </c>
      <c r="AD75" s="283" t="n">
        <f aca="false">AD64-AD74</f>
        <v>0</v>
      </c>
      <c r="AE75" s="283" t="n">
        <f aca="false">AE64-AE74</f>
        <v>0</v>
      </c>
      <c r="AF75" s="283" t="n">
        <f aca="false">AF64-AF74</f>
        <v>0</v>
      </c>
      <c r="AG75" s="283" t="n">
        <f aca="false">AG64-AG74</f>
        <v>0</v>
      </c>
      <c r="AH75" s="283" t="n">
        <f aca="false">AH64-AH74</f>
        <v>0</v>
      </c>
      <c r="AI75" s="283" t="n">
        <f aca="false">AI64-AI74</f>
        <v>0</v>
      </c>
      <c r="AJ75" s="283" t="n">
        <f aca="false">AJ64-AJ74</f>
        <v>0</v>
      </c>
      <c r="AK75" s="283" t="n">
        <f aca="false">AK64-AK74</f>
        <v>0</v>
      </c>
      <c r="AL75" s="283" t="n">
        <f aca="false">AL64-AL74</f>
        <v>0</v>
      </c>
      <c r="AM75" s="283" t="n">
        <f aca="false">AM64-AM74</f>
        <v>0</v>
      </c>
      <c r="AN75" s="283" t="n">
        <f aca="false">AN64-AN74</f>
        <v>0</v>
      </c>
      <c r="AO75" s="283" t="n">
        <f aca="false">AO64-AO74</f>
        <v>0</v>
      </c>
      <c r="AP75" s="283" t="n">
        <f aca="false">AP64-AP74</f>
        <v>0</v>
      </c>
      <c r="AQ75" s="283" t="n">
        <f aca="false">AQ64-AQ74</f>
        <v>0</v>
      </c>
      <c r="AR75" s="283" t="n">
        <f aca="false">AR64-AR74</f>
        <v>0</v>
      </c>
      <c r="AS75" s="283" t="n">
        <f aca="false">AS64-AS74</f>
        <v>0</v>
      </c>
      <c r="AT75" s="283" t="n">
        <f aca="false">AT64-AT74</f>
        <v>0</v>
      </c>
      <c r="AU75" s="283" t="n">
        <f aca="false">AU64-AU74</f>
        <v>0</v>
      </c>
      <c r="AV75" s="283" t="n">
        <f aca="false">AV64-AV74</f>
        <v>0</v>
      </c>
      <c r="AW75" s="283" t="n">
        <f aca="false">AW64-AW74</f>
        <v>0</v>
      </c>
      <c r="AX75" s="283" t="n">
        <f aca="false">AX64-AX74</f>
        <v>0</v>
      </c>
      <c r="AY75" s="283" t="n">
        <f aca="false">AY64-AY74</f>
        <v>0</v>
      </c>
      <c r="AZ75" s="283" t="n">
        <f aca="false">AZ64-AZ74</f>
        <v>0</v>
      </c>
      <c r="BA75" s="283" t="n">
        <f aca="false">BA64-BA74</f>
        <v>0</v>
      </c>
      <c r="BB75" s="283" t="n">
        <f aca="false">BB64-BB74</f>
        <v>0</v>
      </c>
      <c r="BC75" s="283" t="n">
        <f aca="false">BC64-BC74</f>
        <v>0</v>
      </c>
      <c r="BD75" s="283" t="n">
        <f aca="false">BD64-BD74</f>
        <v>0</v>
      </c>
      <c r="BE75" s="283" t="n">
        <f aca="false">BE64-BE74</f>
        <v>0</v>
      </c>
      <c r="BF75" s="283" t="n">
        <f aca="false">BF64-BF74</f>
        <v>0</v>
      </c>
      <c r="BG75" s="283" t="n">
        <f aca="false">BG64-BG74</f>
        <v>0</v>
      </c>
      <c r="BH75" s="283" t="n">
        <f aca="false">BH64-BH74</f>
        <v>0</v>
      </c>
      <c r="BI75" s="283" t="n">
        <f aca="false">BI64-BI74</f>
        <v>0</v>
      </c>
      <c r="BJ75" s="283" t="n">
        <f aca="false">BJ64-BJ74</f>
        <v>0</v>
      </c>
      <c r="BK75" s="283" t="n">
        <f aca="false">BK64-BK74</f>
        <v>0</v>
      </c>
      <c r="BL75" s="283" t="n">
        <f aca="false">BL64-BL74</f>
        <v>0</v>
      </c>
      <c r="BM75" s="283" t="n">
        <f aca="false">BM64-BM74</f>
        <v>3634.75907828338</v>
      </c>
      <c r="BN75" s="283" t="n">
        <f aca="false">BN64-BN74</f>
        <v>3474.06476596741</v>
      </c>
      <c r="BO75" s="283" t="n">
        <f aca="false">BO64-BO74</f>
        <v>3556.30643828338</v>
      </c>
      <c r="BP75" s="283" t="n">
        <f aca="false">BP64-BP74</f>
        <v>3474.06476596741</v>
      </c>
      <c r="BQ75" s="283" t="n">
        <f aca="false">BQ64-BQ74</f>
        <v>3556.30643828338</v>
      </c>
      <c r="BR75" s="283" t="n">
        <f aca="false">BR64-BR74</f>
        <v>3556.30643828338</v>
      </c>
      <c r="BS75" s="283" t="n">
        <f aca="false">BS64-BS74</f>
        <v>3474.06476596741</v>
      </c>
      <c r="BT75" s="283" t="n">
        <f aca="false">BT64-BT74</f>
        <v>3556.30643828338</v>
      </c>
      <c r="BU75" s="283" t="n">
        <f aca="false">BU64-BU74</f>
        <v>3474.06476596741</v>
      </c>
      <c r="BV75" s="283" t="n">
        <f aca="false">BV64-BV74</f>
        <v>3556.30643828338</v>
      </c>
      <c r="BW75" s="283" t="n">
        <f aca="false">BW64-BW74</f>
        <v>3556.30643828338</v>
      </c>
      <c r="BX75" s="283" t="n">
        <f aca="false">BX64-BX74</f>
        <v>3391.82309365144</v>
      </c>
      <c r="BY75" s="283" t="n">
        <f aca="false">BY64-BY74</f>
        <v>4552.14530822383</v>
      </c>
      <c r="BZ75" s="283" t="n">
        <f aca="false">BZ64-BZ74</f>
        <v>4401.87598619042</v>
      </c>
      <c r="CA75" s="283" t="n">
        <f aca="false">CA64-CA74</f>
        <v>4498.66810822383</v>
      </c>
      <c r="CB75" s="283" t="n">
        <f aca="false">CB64-CB74</f>
        <v>4401.87598619042</v>
      </c>
      <c r="CC75" s="283" t="n">
        <f aca="false">CC64-CC74</f>
        <v>4498.66810822383</v>
      </c>
      <c r="CD75" s="283" t="n">
        <f aca="false">CD64-CD74</f>
        <v>4498.66810822383</v>
      </c>
      <c r="CE75" s="283" t="n">
        <f aca="false">CE64-CE74</f>
        <v>4401.87598619042</v>
      </c>
      <c r="CF75" s="283" t="n">
        <f aca="false">CF64-CF74</f>
        <v>4498.66810822383</v>
      </c>
      <c r="CG75" s="283" t="n">
        <f aca="false">CG64-CG74</f>
        <v>4401.87598619042</v>
      </c>
      <c r="CH75" s="283" t="n">
        <f aca="false">CH64-CH74</f>
        <v>4498.66810822383</v>
      </c>
      <c r="CI75" s="283" t="n">
        <f aca="false">CI64-CI74</f>
        <v>4498.66810822383</v>
      </c>
      <c r="CJ75" s="283" t="n">
        <f aca="false">CJ64-CJ74</f>
        <v>4208.29174212359</v>
      </c>
      <c r="CK75" s="283" t="n">
        <f aca="false">CK64-CK74</f>
        <v>4596.26108805579</v>
      </c>
      <c r="CL75" s="283" t="n">
        <f aca="false">CL64-CL74</f>
        <v>4493.68312358171</v>
      </c>
      <c r="CM75" s="283" t="n">
        <f aca="false">CM64-CM74</f>
        <v>4592.41108805579</v>
      </c>
      <c r="CN75" s="283" t="n">
        <f aca="false">CN64-CN74</f>
        <v>4493.68312358171</v>
      </c>
      <c r="CO75" s="283" t="n">
        <f aca="false">CO64-CO74</f>
        <v>4592.41108805579</v>
      </c>
      <c r="CP75" s="283" t="n">
        <f aca="false">CP64-CP74</f>
        <v>4592.41108805579</v>
      </c>
      <c r="CQ75" s="283" t="n">
        <f aca="false">CQ64-CQ74</f>
        <v>4493.68312358171</v>
      </c>
      <c r="CR75" s="283" t="n">
        <f aca="false">CR64-CR74</f>
        <v>4592.41108805579</v>
      </c>
      <c r="CS75" s="283" t="n">
        <f aca="false">CS64-CS74</f>
        <v>4493.68312358171</v>
      </c>
      <c r="CT75" s="283" t="n">
        <f aca="false">CT64-CT74</f>
        <v>4592.41108805579</v>
      </c>
      <c r="CU75" s="283" t="n">
        <f aca="false">CU64-CU74</f>
        <v>4592.41108805579</v>
      </c>
      <c r="CV75" s="283" t="n">
        <f aca="false">CV64-CV74</f>
        <v>4296.22719463355</v>
      </c>
      <c r="CW75" s="283" t="n">
        <f aca="false">CW64-CW74</f>
        <v>4691.95592748439</v>
      </c>
      <c r="CX75" s="283" t="n">
        <f aca="false">CX64-CX74</f>
        <v>4591.25340372083</v>
      </c>
      <c r="CY75" s="283" t="n">
        <f aca="false">CY64-CY74</f>
        <v>4691.95592748439</v>
      </c>
      <c r="CZ75" s="283" t="n">
        <f aca="false">CZ64-CZ74</f>
        <v>4591.25340372083</v>
      </c>
      <c r="DA75" s="283" t="n">
        <f aca="false">DA64-DA74</f>
        <v>4691.95592748439</v>
      </c>
      <c r="DB75" s="283" t="n">
        <f aca="false">DB64-DB74</f>
        <v>4691.95592748439</v>
      </c>
      <c r="DC75" s="283" t="n">
        <f aca="false">DC64-DC74</f>
        <v>4591.25340372083</v>
      </c>
      <c r="DD75" s="283" t="n">
        <f aca="false">DD64-DD74</f>
        <v>4691.95592748439</v>
      </c>
      <c r="DE75" s="283" t="n">
        <f aca="false">DE64-DE74</f>
        <v>4591.25340372083</v>
      </c>
      <c r="DF75" s="283" t="n">
        <f aca="false">DF64-DF74</f>
        <v>4691.95592748439</v>
      </c>
      <c r="DG75" s="283" t="n">
        <f aca="false">DG64-DG74</f>
        <v>4691.95592748439</v>
      </c>
      <c r="DH75" s="283" t="n">
        <f aca="false">DH64-DH74</f>
        <v>4389.8483561937</v>
      </c>
      <c r="DI75" s="283" t="n">
        <f aca="false">DI64-DI74</f>
        <v>4793.49166370157</v>
      </c>
      <c r="DJ75" s="283" t="n">
        <f aca="false">DJ64-DJ74</f>
        <v>4690.77508946273</v>
      </c>
      <c r="DK75" s="283" t="n">
        <f aca="false">DK64-DK74</f>
        <v>4793.49166370157</v>
      </c>
      <c r="DL75" s="283" t="n">
        <f aca="false">DL64-DL74</f>
        <v>4690.77508946273</v>
      </c>
      <c r="DM75" s="283" t="n">
        <f aca="false">DM64-DM74</f>
        <v>4793.49166370157</v>
      </c>
      <c r="DN75" s="283" t="n">
        <f aca="false">DN64-DN74</f>
        <v>4793.49166370157</v>
      </c>
      <c r="DO75" s="283" t="n">
        <f aca="false">DO64-DO74</f>
        <v>4690.77508946273</v>
      </c>
      <c r="DP75" s="283" t="n">
        <f aca="false">DP64-DP74</f>
        <v>4793.49166370157</v>
      </c>
      <c r="DQ75" s="283" t="n">
        <f aca="false">DQ64-DQ74</f>
        <v>4690.77508946273</v>
      </c>
      <c r="DR75" s="283" t="n">
        <f aca="false">DR64-DR74</f>
        <v>4793.49166370157</v>
      </c>
      <c r="DS75" s="283" t="n">
        <f aca="false">DS64-DS74</f>
        <v>4793.49166370157</v>
      </c>
      <c r="DT75" s="283" t="n">
        <f aca="false">DT64-DT74</f>
        <v>-4789.63966268015</v>
      </c>
      <c r="DU75" s="283" t="n">
        <f aca="false">DU64-DU74</f>
        <v>-110.094883374248</v>
      </c>
      <c r="DV75" s="283" t="n">
        <f aca="false">DV64-DV74</f>
        <v>-110.094883374248</v>
      </c>
      <c r="DW75" s="283" t="n">
        <f aca="false">DW64-DW74</f>
        <v>-110.094883374248</v>
      </c>
      <c r="DX75" s="283" t="n">
        <f aca="false">DX64-DX74</f>
        <v>0</v>
      </c>
      <c r="DY75" s="283" t="n">
        <f aca="false">DY64-DY74</f>
        <v>0</v>
      </c>
      <c r="DZ75" s="283" t="n">
        <f aca="false">DZ64-DZ74</f>
        <v>0</v>
      </c>
      <c r="EA75" s="283" t="n">
        <f aca="false">EA64-EA74</f>
        <v>0</v>
      </c>
      <c r="EB75" s="283" t="n">
        <f aca="false">EB64-EB74</f>
        <v>0</v>
      </c>
      <c r="EC75" s="283" t="n">
        <f aca="false">EC64-EC74</f>
        <v>0</v>
      </c>
      <c r="ED75" s="283" t="n">
        <f aca="false">ED64-ED74</f>
        <v>0</v>
      </c>
      <c r="EE75" s="283" t="n">
        <f aca="false">EE64-EE74</f>
        <v>0</v>
      </c>
      <c r="EF75" s="283" t="n">
        <f aca="false">EF64-EF74</f>
        <v>0</v>
      </c>
    </row>
    <row r="77" customFormat="false" ht="15" hidden="false" customHeight="false" outlineLevel="0" collapsed="false">
      <c r="A77" s="6" t="s">
        <v>619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</row>
    <row r="78" customFormat="false" ht="15" hidden="false" customHeight="false" outlineLevel="0" collapsed="false">
      <c r="A78" s="36" t="s">
        <v>620</v>
      </c>
      <c r="B78" s="278" t="s">
        <v>21</v>
      </c>
      <c r="C78" s="279" t="n">
        <f aca="false">SUM(E78:EF78)</f>
        <v>540000</v>
      </c>
      <c r="E78" s="37" t="n">
        <f aca="false">①통합_가정!$D$38*①통합_가정!$E$98*(①통합_가정!$E$104*SUMIF(①통합_가정!$J$97:$J$101,E6,①통합_가정!$I$97:$I$101)+IF(E15=13,①통합_가정!$E$105-①통합_가정!$E$104,0)+IF(E15=25,①통합_가정!$E$106-①통합_가정!$E$105,0))</f>
        <v>0</v>
      </c>
      <c r="F78" s="37" t="n">
        <f aca="false">①통합_가정!$D$38*①통합_가정!$E$98*(①통합_가정!$E$104*SUMIF(①통합_가정!$J$97:$J$101,F6,①통합_가정!$I$97:$I$101)+IF(F15=13,①통합_가정!$E$105-①통합_가정!$E$104,0)+IF(F15=25,①통합_가정!$E$106-①통합_가정!$E$105,0))</f>
        <v>0</v>
      </c>
      <c r="G78" s="37" t="n">
        <f aca="false">①통합_가정!$D$38*①통합_가정!$E$98*(①통합_가정!$E$104*SUMIF(①통합_가정!$J$97:$J$101,G6,①통합_가정!$I$97:$I$101)+IF(G15=13,①통합_가정!$E$105-①통합_가정!$E$104,0)+IF(G15=25,①통합_가정!$E$106-①통합_가정!$E$105,0))</f>
        <v>0</v>
      </c>
      <c r="H78" s="37" t="n">
        <f aca="false">①통합_가정!$D$38*①통합_가정!$E$98*(①통합_가정!$E$104*SUMIF(①통합_가정!$J$97:$J$101,H6,①통합_가정!$I$97:$I$101)+IF(H15=13,①통합_가정!$E$105-①통합_가정!$E$104,0)+IF(H15=25,①통합_가정!$E$106-①통합_가정!$E$105,0))</f>
        <v>0</v>
      </c>
      <c r="I78" s="37" t="n">
        <f aca="false">①통합_가정!$D$38*①통합_가정!$E$98*(①통합_가정!$E$104*SUMIF(①통합_가정!$J$97:$J$101,I6,①통합_가정!$I$97:$I$101)+IF(I15=13,①통합_가정!$E$105-①통합_가정!$E$104,0)+IF(I15=25,①통합_가정!$E$106-①통합_가정!$E$105,0))</f>
        <v>0</v>
      </c>
      <c r="J78" s="37" t="n">
        <f aca="false">①통합_가정!$D$38*①통합_가정!$E$98*(①통합_가정!$E$104*SUMIF(①통합_가정!$J$97:$J$101,J6,①통합_가정!$I$97:$I$101)+IF(J15=13,①통합_가정!$E$105-①통합_가정!$E$104,0)+IF(J15=25,①통합_가정!$E$106-①통합_가정!$E$105,0))</f>
        <v>0</v>
      </c>
      <c r="K78" s="37" t="n">
        <f aca="false">①통합_가정!$D$38*①통합_가정!$E$98*(①통합_가정!$E$104*SUMIF(①통합_가정!$J$97:$J$101,K6,①통합_가정!$I$97:$I$101)+IF(K15=13,①통합_가정!$E$105-①통합_가정!$E$104,0)+IF(K15=25,①통합_가정!$E$106-①통합_가정!$E$105,0))</f>
        <v>0</v>
      </c>
      <c r="L78" s="37" t="n">
        <f aca="false">①통합_가정!$D$38*①통합_가정!$E$98*(①통합_가정!$E$104*SUMIF(①통합_가정!$J$97:$J$101,L6,①통합_가정!$I$97:$I$101)+IF(L15=13,①통합_가정!$E$105-①통합_가정!$E$104,0)+IF(L15=25,①통합_가정!$E$106-①통합_가정!$E$105,0))</f>
        <v>0</v>
      </c>
      <c r="M78" s="37" t="n">
        <f aca="false">①통합_가정!$D$38*①통합_가정!$E$98*(①통합_가정!$E$104*SUMIF(①통합_가정!$J$97:$J$101,M6,①통합_가정!$I$97:$I$101)+IF(M15=13,①통합_가정!$E$105-①통합_가정!$E$104,0)+IF(M15=25,①통합_가정!$E$106-①통합_가정!$E$105,0))</f>
        <v>0</v>
      </c>
      <c r="N78" s="37" t="n">
        <f aca="false">①통합_가정!$D$38*①통합_가정!$E$98*(①통합_가정!$E$104*SUMIF(①통합_가정!$J$97:$J$101,N6,①통합_가정!$I$97:$I$101)+IF(N15=13,①통합_가정!$E$105-①통합_가정!$E$104,0)+IF(N15=25,①통합_가정!$E$106-①통합_가정!$E$105,0))</f>
        <v>0</v>
      </c>
      <c r="O78" s="37" t="n">
        <f aca="false">①통합_가정!$D$38*①통합_가정!$E$98*(①통합_가정!$E$104*SUMIF(①통합_가정!$J$97:$J$101,O6,①통합_가정!$I$97:$I$101)+IF(O15=13,①통합_가정!$E$105-①통합_가정!$E$104,0)+IF(O15=25,①통합_가정!$E$106-①통합_가정!$E$105,0))</f>
        <v>0</v>
      </c>
      <c r="P78" s="37" t="n">
        <f aca="false">①통합_가정!$D$38*①통합_가정!$E$98*(①통합_가정!$E$104*SUMIF(①통합_가정!$J$97:$J$101,P6,①통합_가정!$I$97:$I$101)+IF(P15=13,①통합_가정!$E$105-①통합_가정!$E$104,0)+IF(P15=25,①통합_가정!$E$106-①통합_가정!$E$105,0))</f>
        <v>0</v>
      </c>
      <c r="Q78" s="37" t="n">
        <f aca="false">①통합_가정!$D$38*①통합_가정!$E$98*(①통합_가정!$E$104*SUMIF(①통합_가정!$J$97:$J$101,Q6,①통합_가정!$I$97:$I$101)+IF(Q15=13,①통합_가정!$E$105-①통합_가정!$E$104,0)+IF(Q15=25,①통합_가정!$E$106-①통합_가정!$E$105,0))</f>
        <v>43200</v>
      </c>
      <c r="R78" s="37" t="n">
        <f aca="false">①통합_가정!$D$38*①통합_가정!$E$98*(①통합_가정!$E$104*SUMIF(①통합_가정!$J$97:$J$101,R6,①통합_가정!$I$97:$I$101)+IF(R15=13,①통합_가정!$E$105-①통합_가정!$E$104,0)+IF(R15=25,①통합_가정!$E$106-①통합_가정!$E$105,0))</f>
        <v>0</v>
      </c>
      <c r="S78" s="37" t="n">
        <f aca="false">①통합_가정!$D$38*①통합_가정!$E$98*(①통합_가정!$E$104*SUMIF(①통합_가정!$J$97:$J$101,S6,①통합_가정!$I$97:$I$101)+IF(S15=13,①통합_가정!$E$105-①통합_가정!$E$104,0)+IF(S15=25,①통합_가정!$E$106-①통합_가정!$E$105,0))</f>
        <v>0</v>
      </c>
      <c r="T78" s="37" t="n">
        <f aca="false">①통합_가정!$D$38*①통합_가정!$E$98*(①통합_가정!$E$104*SUMIF(①통합_가정!$J$97:$J$101,T6,①통합_가정!$I$97:$I$101)+IF(T15=13,①통합_가정!$E$105-①통합_가정!$E$104,0)+IF(T15=25,①통합_가정!$E$106-①통합_가정!$E$105,0))</f>
        <v>0</v>
      </c>
      <c r="U78" s="37" t="n">
        <f aca="false">①통합_가정!$D$38*①통합_가정!$E$98*(①통합_가정!$E$104*SUMIF(①통합_가정!$J$97:$J$101,U6,①통합_가정!$I$97:$I$101)+IF(U15=13,①통합_가정!$E$105-①통합_가정!$E$104,0)+IF(U15=25,①통합_가정!$E$106-①통합_가정!$E$105,0))</f>
        <v>0</v>
      </c>
      <c r="V78" s="37" t="n">
        <f aca="false">①통합_가정!$D$38*①통합_가정!$E$98*(①통합_가정!$E$104*SUMIF(①통합_가정!$J$97:$J$101,V6,①통합_가정!$I$97:$I$101)+IF(V15=13,①통합_가정!$E$105-①통합_가정!$E$104,0)+IF(V15=25,①통합_가정!$E$106-①통합_가정!$E$105,0))</f>
        <v>0</v>
      </c>
      <c r="W78" s="37" t="n">
        <f aca="false">①통합_가정!$D$38*①통합_가정!$E$98*(①통합_가정!$E$104*SUMIF(①통합_가정!$J$97:$J$101,W6,①통합_가정!$I$97:$I$101)+IF(W15=13,①통합_가정!$E$105-①통합_가정!$E$104,0)+IF(W15=25,①통합_가정!$E$106-①통합_가정!$E$105,0))</f>
        <v>0</v>
      </c>
      <c r="X78" s="37" t="n">
        <f aca="false">①통합_가정!$D$38*①통합_가정!$E$98*(①통합_가정!$E$104*SUMIF(①통합_가정!$J$97:$J$101,X6,①통합_가정!$I$97:$I$101)+IF(X15=13,①통합_가정!$E$105-①통합_가정!$E$104,0)+IF(X15=25,①통합_가정!$E$106-①통합_가정!$E$105,0))</f>
        <v>0</v>
      </c>
      <c r="Y78" s="37" t="n">
        <f aca="false">①통합_가정!$D$38*①통합_가정!$E$98*(①통합_가정!$E$104*SUMIF(①통합_가정!$J$97:$J$101,Y6,①통합_가정!$I$97:$I$101)+IF(Y15=13,①통합_가정!$E$105-①통합_가정!$E$104,0)+IF(Y15=25,①통합_가정!$E$106-①통합_가정!$E$105,0))</f>
        <v>0</v>
      </c>
      <c r="Z78" s="37" t="n">
        <f aca="false">①통합_가정!$D$38*①통합_가정!$E$98*(①통합_가정!$E$104*SUMIF(①통합_가정!$J$97:$J$101,Z6,①통합_가정!$I$97:$I$101)+IF(Z15=13,①통합_가정!$E$105-①통합_가정!$E$104,0)+IF(Z15=25,①통합_가정!$E$106-①통합_가정!$E$105,0))</f>
        <v>0</v>
      </c>
      <c r="AA78" s="37" t="n">
        <f aca="false">①통합_가정!$D$38*①통합_가정!$E$98*(①통합_가정!$E$104*SUMIF(①통합_가정!$J$97:$J$101,AA6,①통합_가정!$I$97:$I$101)+IF(AA15=13,①통합_가정!$E$105-①통합_가정!$E$104,0)+IF(AA15=25,①통합_가정!$E$106-①통합_가정!$E$105,0))</f>
        <v>0</v>
      </c>
      <c r="AB78" s="37" t="n">
        <f aca="false">①통합_가정!$D$38*①통합_가정!$E$98*(①통합_가정!$E$104*SUMIF(①통합_가정!$J$97:$J$101,AB6,①통합_가정!$I$97:$I$101)+IF(AB15=13,①통합_가정!$E$105-①통합_가정!$E$104,0)+IF(AB15=25,①통합_가정!$E$106-①통합_가정!$E$105,0))</f>
        <v>0</v>
      </c>
      <c r="AC78" s="37" t="n">
        <f aca="false">①통합_가정!$D$38*①통합_가정!$E$98*(①통합_가정!$E$104*SUMIF(①통합_가정!$J$97:$J$101,AC6,①통합_가정!$I$97:$I$101)+IF(AC15=13,①통합_가정!$E$105-①통합_가정!$E$104,0)+IF(AC15=25,①통합_가정!$E$106-①통합_가정!$E$105,0))</f>
        <v>86400</v>
      </c>
      <c r="AD78" s="37" t="n">
        <f aca="false">①통합_가정!$D$38*①통합_가정!$E$98*(①통합_가정!$E$104*SUMIF(①통합_가정!$J$97:$J$101,AD6,①통합_가정!$I$97:$I$101)+IF(AD15=13,①통합_가정!$E$105-①통합_가정!$E$104,0)+IF(AD15=25,①통합_가정!$E$106-①통합_가정!$E$105,0))</f>
        <v>0</v>
      </c>
      <c r="AE78" s="37" t="n">
        <f aca="false">①통합_가정!$D$38*①통합_가정!$E$98*(①통합_가정!$E$104*SUMIF(①통합_가정!$J$97:$J$101,AE6,①통합_가정!$I$97:$I$101)+IF(AE15=13,①통합_가정!$E$105-①통합_가정!$E$104,0)+IF(AE15=25,①통합_가정!$E$106-①통합_가정!$E$105,0))</f>
        <v>0</v>
      </c>
      <c r="AF78" s="37" t="n">
        <f aca="false">①통합_가정!$D$38*①통합_가정!$E$98*(①통합_가정!$E$104*SUMIF(①통합_가정!$J$97:$J$101,AF6,①통합_가정!$I$97:$I$101)+IF(AF15=13,①통합_가정!$E$105-①통합_가정!$E$104,0)+IF(AF15=25,①통합_가정!$E$106-①통합_가정!$E$105,0))</f>
        <v>0</v>
      </c>
      <c r="AG78" s="37" t="n">
        <f aca="false">①통합_가정!$D$38*①통합_가정!$E$98*(①통합_가정!$E$104*SUMIF(①통합_가정!$J$97:$J$101,AG6,①통합_가정!$I$97:$I$101)+IF(AG15=13,①통합_가정!$E$105-①통합_가정!$E$104,0)+IF(AG15=25,①통합_가정!$E$106-①통합_가정!$E$105,0))</f>
        <v>0</v>
      </c>
      <c r="AH78" s="37" t="n">
        <f aca="false">①통합_가정!$D$38*①통합_가정!$E$98*(①통합_가정!$E$104*SUMIF(①통합_가정!$J$97:$J$101,AH6,①통합_가정!$I$97:$I$101)+IF(AH15=13,①통합_가정!$E$105-①통합_가정!$E$104,0)+IF(AH15=25,①통합_가정!$E$106-①통합_가정!$E$105,0))</f>
        <v>0</v>
      </c>
      <c r="AI78" s="37" t="n">
        <f aca="false">①통합_가정!$D$38*①통합_가정!$E$98*(①통합_가정!$E$104*SUMIF(①통합_가정!$J$97:$J$101,AI6,①통합_가정!$I$97:$I$101)+IF(AI15=13,①통합_가정!$E$105-①통합_가정!$E$104,0)+IF(AI15=25,①통합_가정!$E$106-①통합_가정!$E$105,0))</f>
        <v>0</v>
      </c>
      <c r="AJ78" s="37" t="n">
        <f aca="false">①통합_가정!$D$38*①통합_가정!$E$98*(①통합_가정!$E$104*SUMIF(①통합_가정!$J$97:$J$101,AJ6,①통합_가정!$I$97:$I$101)+IF(AJ15=13,①통합_가정!$E$105-①통합_가정!$E$104,0)+IF(AJ15=25,①통합_가정!$E$106-①통합_가정!$E$105,0))</f>
        <v>0</v>
      </c>
      <c r="AK78" s="37" t="n">
        <f aca="false">①통합_가정!$D$38*①통합_가정!$E$98*(①통합_가정!$E$104*SUMIF(①통합_가정!$J$97:$J$101,AK6,①통합_가정!$I$97:$I$101)+IF(AK15=13,①통합_가정!$E$105-①통합_가정!$E$104,0)+IF(AK15=25,①통합_가정!$E$106-①통합_가정!$E$105,0))</f>
        <v>0</v>
      </c>
      <c r="AL78" s="37" t="n">
        <f aca="false">①통합_가정!$D$38*①통합_가정!$E$98*(①통합_가정!$E$104*SUMIF(①통합_가정!$J$97:$J$101,AL6,①통합_가정!$I$97:$I$101)+IF(AL15=13,①통합_가정!$E$105-①통합_가정!$E$104,0)+IF(AL15=25,①통합_가정!$E$106-①통합_가정!$E$105,0))</f>
        <v>0</v>
      </c>
      <c r="AM78" s="37" t="n">
        <f aca="false">①통합_가정!$D$38*①통합_가정!$E$98*(①통합_가정!$E$104*SUMIF(①통합_가정!$J$97:$J$101,AM6,①통합_가정!$I$97:$I$101)+IF(AM15=13,①통합_가정!$E$105-①통합_가정!$E$104,0)+IF(AM15=25,①통합_가정!$E$106-①통합_가정!$E$105,0))</f>
        <v>0</v>
      </c>
      <c r="AN78" s="37" t="n">
        <f aca="false">①통합_가정!$D$38*①통합_가정!$E$98*(①통합_가정!$E$104*SUMIF(①통합_가정!$J$97:$J$101,AN6,①통합_가정!$I$97:$I$101)+IF(AN15=13,①통합_가정!$E$105-①통합_가정!$E$104,0)+IF(AN15=25,①통합_가정!$E$106-①통합_가정!$E$105,0))</f>
        <v>0</v>
      </c>
      <c r="AO78" s="37" t="n">
        <f aca="false">①통합_가정!$D$38*①통합_가정!$E$98*(①통합_가정!$E$104*SUMIF(①통합_가정!$J$97:$J$101,AO6,①통합_가정!$I$97:$I$101)+IF(AO15=13,①통합_가정!$E$105-①통합_가정!$E$104,0)+IF(AO15=25,①통합_가정!$E$106-①통합_가정!$E$105,0))</f>
        <v>86400</v>
      </c>
      <c r="AP78" s="37" t="n">
        <f aca="false">①통합_가정!$D$38*①통합_가정!$E$98*(①통합_가정!$E$104*SUMIF(①통합_가정!$J$97:$J$101,AP6,①통합_가정!$I$97:$I$101)+IF(AP15=13,①통합_가정!$E$105-①통합_가정!$E$104,0)+IF(AP15=25,①통합_가정!$E$106-①통합_가정!$E$105,0))</f>
        <v>0</v>
      </c>
      <c r="AQ78" s="37" t="n">
        <f aca="false">①통합_가정!$D$38*①통합_가정!$E$98*(①통합_가정!$E$104*SUMIF(①통합_가정!$J$97:$J$101,AQ6,①통합_가정!$I$97:$I$101)+IF(AQ15=13,①통합_가정!$E$105-①통합_가정!$E$104,0)+IF(AQ15=25,①통합_가정!$E$106-①통합_가정!$E$105,0))</f>
        <v>0</v>
      </c>
      <c r="AR78" s="37" t="n">
        <f aca="false">①통합_가정!$D$38*①통합_가정!$E$98*(①통합_가정!$E$104*SUMIF(①통합_가정!$J$97:$J$101,AR6,①통합_가정!$I$97:$I$101)+IF(AR15=13,①통합_가정!$E$105-①통합_가정!$E$104,0)+IF(AR15=25,①통합_가정!$E$106-①통합_가정!$E$105,0))</f>
        <v>0</v>
      </c>
      <c r="AS78" s="37" t="n">
        <f aca="false">①통합_가정!$D$38*①통합_가정!$E$98*(①통합_가정!$E$104*SUMIF(①통합_가정!$J$97:$J$101,AS6,①통합_가정!$I$97:$I$101)+IF(AS15=13,①통합_가정!$E$105-①통합_가정!$E$104,0)+IF(AS15=25,①통합_가정!$E$106-①통합_가정!$E$105,0))</f>
        <v>0</v>
      </c>
      <c r="AT78" s="37" t="n">
        <f aca="false">①통합_가정!$D$38*①통합_가정!$E$98*(①통합_가정!$E$104*SUMIF(①통합_가정!$J$97:$J$101,AT6,①통합_가정!$I$97:$I$101)+IF(AT15=13,①통합_가정!$E$105-①통합_가정!$E$104,0)+IF(AT15=25,①통합_가정!$E$106-①통합_가정!$E$105,0))</f>
        <v>0</v>
      </c>
      <c r="AU78" s="37" t="n">
        <f aca="false">①통합_가정!$D$38*①통합_가정!$E$98*(①통합_가정!$E$104*SUMIF(①통합_가정!$J$97:$J$101,AU6,①통합_가정!$I$97:$I$101)+IF(AU15=13,①통합_가정!$E$105-①통합_가정!$E$104,0)+IF(AU15=25,①통합_가정!$E$106-①통합_가정!$E$105,0))</f>
        <v>0</v>
      </c>
      <c r="AV78" s="37" t="n">
        <f aca="false">①통합_가정!$D$38*①통합_가정!$E$98*(①통합_가정!$E$104*SUMIF(①통합_가정!$J$97:$J$101,AV6,①통합_가정!$I$97:$I$101)+IF(AV15=13,①통합_가정!$E$105-①통합_가정!$E$104,0)+IF(AV15=25,①통합_가정!$E$106-①통합_가정!$E$105,0))</f>
        <v>0</v>
      </c>
      <c r="AW78" s="37" t="n">
        <f aca="false">①통합_가정!$D$38*①통합_가정!$E$98*(①통합_가정!$E$104*SUMIF(①통합_가정!$J$97:$J$101,AW6,①통합_가정!$I$97:$I$101)+IF(AW15=13,①통합_가정!$E$105-①통합_가정!$E$104,0)+IF(AW15=25,①통합_가정!$E$106-①통합_가정!$E$105,0))</f>
        <v>0</v>
      </c>
      <c r="AX78" s="37" t="n">
        <f aca="false">①통합_가정!$D$38*①통합_가정!$E$98*(①통합_가정!$E$104*SUMIF(①통합_가정!$J$97:$J$101,AX6,①통합_가정!$I$97:$I$101)+IF(AX15=13,①통합_가정!$E$105-①통합_가정!$E$104,0)+IF(AX15=25,①통합_가정!$E$106-①통합_가정!$E$105,0))</f>
        <v>0</v>
      </c>
      <c r="AY78" s="37" t="n">
        <f aca="false">①통합_가정!$D$38*①통합_가정!$E$98*(①통합_가정!$E$104*SUMIF(①통합_가정!$J$97:$J$101,AY6,①통합_가정!$I$97:$I$101)+IF(AY15=13,①통합_가정!$E$105-①통합_가정!$E$104,0)+IF(AY15=25,①통합_가정!$E$106-①통합_가정!$E$105,0))</f>
        <v>0</v>
      </c>
      <c r="AZ78" s="37" t="n">
        <f aca="false">①통합_가정!$D$38*①통합_가정!$E$98*(①통합_가정!$E$104*SUMIF(①통합_가정!$J$97:$J$101,AZ6,①통합_가정!$I$97:$I$101)+IF(AZ15=13,①통합_가정!$E$105-①통합_가정!$E$104,0)+IF(AZ15=25,①통합_가정!$E$106-①통합_가정!$E$105,0))</f>
        <v>0</v>
      </c>
      <c r="BA78" s="37" t="n">
        <f aca="false">①통합_가정!$D$38*①통합_가정!$E$98*(①통합_가정!$E$104*SUMIF(①통합_가정!$J$97:$J$101,BA6,①통합_가정!$I$97:$I$101)+IF(BA15=13,①통합_가정!$E$105-①통합_가정!$E$104,0)+IF(BA15=25,①통합_가정!$E$106-①통합_가정!$E$105,0))</f>
        <v>86400</v>
      </c>
      <c r="BB78" s="37" t="n">
        <f aca="false">①통합_가정!$D$38*①통합_가정!$E$98*(①통합_가정!$E$104*SUMIF(①통합_가정!$J$97:$J$101,BB6,①통합_가정!$I$97:$I$101)+IF(BB15=13,①통합_가정!$E$105-①통합_가정!$E$104,0)+IF(BB15=25,①통합_가정!$E$106-①통합_가정!$E$105,0))</f>
        <v>0</v>
      </c>
      <c r="BC78" s="37" t="n">
        <f aca="false">①통합_가정!$D$38*①통합_가정!$E$98*(①통합_가정!$E$104*SUMIF(①통합_가정!$J$97:$J$101,BC6,①통합_가정!$I$97:$I$101)+IF(BC15=13,①통합_가정!$E$105-①통합_가정!$E$104,0)+IF(BC15=25,①통합_가정!$E$106-①통합_가정!$E$105,0))</f>
        <v>0</v>
      </c>
      <c r="BD78" s="37" t="n">
        <f aca="false">①통합_가정!$D$38*①통합_가정!$E$98*(①통합_가정!$E$104*SUMIF(①통합_가정!$J$97:$J$101,BD6,①통합_가정!$I$97:$I$101)+IF(BD15=13,①통합_가정!$E$105-①통합_가정!$E$104,0)+IF(BD15=25,①통합_가정!$E$106-①통합_가정!$E$105,0))</f>
        <v>0</v>
      </c>
      <c r="BE78" s="37" t="n">
        <f aca="false">①통합_가정!$D$38*①통합_가정!$E$98*(①통합_가정!$E$104*SUMIF(①통합_가정!$J$97:$J$101,BE6,①통합_가정!$I$97:$I$101)+IF(BE15=13,①통합_가정!$E$105-①통합_가정!$E$104,0)+IF(BE15=25,①통합_가정!$E$106-①통합_가정!$E$105,0))</f>
        <v>0</v>
      </c>
      <c r="BF78" s="37" t="n">
        <f aca="false">①통합_가정!$D$38*①통합_가정!$E$98*(①통합_가정!$E$104*SUMIF(①통합_가정!$J$97:$J$101,BF6,①통합_가정!$I$97:$I$101)+IF(BF15=13,①통합_가정!$E$105-①통합_가정!$E$104,0)+IF(BF15=25,①통합_가정!$E$106-①통합_가정!$E$105,0))</f>
        <v>0</v>
      </c>
      <c r="BG78" s="37" t="n">
        <f aca="false">①통합_가정!$D$38*①통합_가정!$E$98*(①통합_가정!$E$104*SUMIF(①통합_가정!$J$97:$J$101,BG6,①통합_가정!$I$97:$I$101)+IF(BG15=13,①통합_가정!$E$105-①통합_가정!$E$104,0)+IF(BG15=25,①통합_가정!$E$106-①통합_가정!$E$105,0))</f>
        <v>0</v>
      </c>
      <c r="BH78" s="37" t="n">
        <f aca="false">①통합_가정!$D$38*①통합_가정!$E$98*(①통합_가정!$E$104*SUMIF(①통합_가정!$J$97:$J$101,BH6,①통합_가정!$I$97:$I$101)+IF(BH15=13,①통합_가정!$E$105-①통합_가정!$E$104,0)+IF(BH15=25,①통합_가정!$E$106-①통합_가정!$E$105,0))</f>
        <v>0</v>
      </c>
      <c r="BI78" s="37" t="n">
        <f aca="false">①통합_가정!$D$38*①통합_가정!$E$98*(①통합_가정!$E$104*SUMIF(①통합_가정!$J$97:$J$101,BI6,①통합_가정!$I$97:$I$101)+IF(BI15=13,①통합_가정!$E$105-①통합_가정!$E$104,0)+IF(BI15=25,①통합_가정!$E$106-①통합_가정!$E$105,0))</f>
        <v>0</v>
      </c>
      <c r="BJ78" s="37" t="n">
        <f aca="false">①통합_가정!$D$38*①통합_가정!$E$98*(①통합_가정!$E$104*SUMIF(①통합_가정!$J$97:$J$101,BJ6,①통합_가정!$I$97:$I$101)+IF(BJ15=13,①통합_가정!$E$105-①통합_가정!$E$104,0)+IF(BJ15=25,①통합_가정!$E$106-①통합_가정!$E$105,0))</f>
        <v>0</v>
      </c>
      <c r="BK78" s="37" t="n">
        <f aca="false">①통합_가정!$D$38*①통합_가정!$E$98*(①통합_가정!$E$104*SUMIF(①통합_가정!$J$97:$J$101,BK6,①통합_가정!$I$97:$I$101)+IF(BK15=13,①통합_가정!$E$105-①통합_가정!$E$104,0)+IF(BK15=25,①통합_가정!$E$106-①통합_가정!$E$105,0))</f>
        <v>0</v>
      </c>
      <c r="BL78" s="37" t="n">
        <f aca="false">①통합_가정!$D$38*①통합_가정!$E$98*(①통합_가정!$E$104*SUMIF(①통합_가정!$J$97:$J$101,BL6,①통합_가정!$I$97:$I$101)+IF(BL15=13,①통합_가정!$E$105-①통합_가정!$E$104,0)+IF(BL15=25,①통합_가정!$E$106-①통합_가정!$E$105,0))</f>
        <v>0</v>
      </c>
      <c r="BM78" s="37" t="n">
        <f aca="false">①통합_가정!$D$38*①통합_가정!$E$98*(①통합_가정!$E$104*SUMIF(①통합_가정!$J$97:$J$101,BM6,①통합_가정!$I$97:$I$101)+IF(BM15=13,①통합_가정!$E$105-①통합_가정!$E$104,0)+IF(BM15=25,①통합_가정!$E$106-①통합_가정!$E$105,0))</f>
        <v>129600</v>
      </c>
      <c r="BN78" s="37" t="n">
        <f aca="false">①통합_가정!$D$38*①통합_가정!$E$98*(①통합_가정!$E$104*SUMIF(①통합_가정!$J$97:$J$101,BN6,①통합_가정!$I$97:$I$101)+IF(BN15=13,①통합_가정!$E$105-①통합_가정!$E$104,0)+IF(BN15=25,①통합_가정!$E$106-①통합_가정!$E$105,0))</f>
        <v>0</v>
      </c>
      <c r="BO78" s="37" t="n">
        <f aca="false">①통합_가정!$D$38*①통합_가정!$E$98*(①통합_가정!$E$104*SUMIF(①통합_가정!$J$97:$J$101,BO6,①통합_가정!$I$97:$I$101)+IF(BO15=13,①통합_가정!$E$105-①통합_가정!$E$104,0)+IF(BO15=25,①통합_가정!$E$106-①통합_가정!$E$105,0))</f>
        <v>0</v>
      </c>
      <c r="BP78" s="37" t="n">
        <f aca="false">①통합_가정!$D$38*①통합_가정!$E$98*(①통합_가정!$E$104*SUMIF(①통합_가정!$J$97:$J$101,BP6,①통합_가정!$I$97:$I$101)+IF(BP15=13,①통합_가정!$E$105-①통합_가정!$E$104,0)+IF(BP15=25,①통합_가정!$E$106-①통합_가정!$E$105,0))</f>
        <v>0</v>
      </c>
      <c r="BQ78" s="37" t="n">
        <f aca="false">①통합_가정!$D$38*①통합_가정!$E$98*(①통합_가정!$E$104*SUMIF(①통합_가정!$J$97:$J$101,BQ6,①통합_가정!$I$97:$I$101)+IF(BQ15=13,①통합_가정!$E$105-①통합_가정!$E$104,0)+IF(BQ15=25,①통합_가정!$E$106-①통합_가정!$E$105,0))</f>
        <v>0</v>
      </c>
      <c r="BR78" s="37" t="n">
        <f aca="false">①통합_가정!$D$38*①통합_가정!$E$98*(①통합_가정!$E$104*SUMIF(①통합_가정!$J$97:$J$101,BR6,①통합_가정!$I$97:$I$101)+IF(BR15=13,①통합_가정!$E$105-①통합_가정!$E$104,0)+IF(BR15=25,①통합_가정!$E$106-①통합_가정!$E$105,0))</f>
        <v>0</v>
      </c>
      <c r="BS78" s="37" t="n">
        <f aca="false">①통합_가정!$D$38*①통합_가정!$E$98*(①통합_가정!$E$104*SUMIF(①통합_가정!$J$97:$J$101,BS6,①통합_가정!$I$97:$I$101)+IF(BS15=13,①통합_가정!$E$105-①통합_가정!$E$104,0)+IF(BS15=25,①통합_가정!$E$106-①통합_가정!$E$105,0))</f>
        <v>0</v>
      </c>
      <c r="BT78" s="37" t="n">
        <f aca="false">①통합_가정!$D$38*①통합_가정!$E$98*(①통합_가정!$E$104*SUMIF(①통합_가정!$J$97:$J$101,BT6,①통합_가정!$I$97:$I$101)+IF(BT15=13,①통합_가정!$E$105-①통합_가정!$E$104,0)+IF(BT15=25,①통합_가정!$E$106-①통합_가정!$E$105,0))</f>
        <v>0</v>
      </c>
      <c r="BU78" s="37" t="n">
        <f aca="false">①통합_가정!$D$38*①통합_가정!$E$98*(①통합_가정!$E$104*SUMIF(①통합_가정!$J$97:$J$101,BU6,①통합_가정!$I$97:$I$101)+IF(BU15=13,①통합_가정!$E$105-①통합_가정!$E$104,0)+IF(BU15=25,①통합_가정!$E$106-①통합_가정!$E$105,0))</f>
        <v>0</v>
      </c>
      <c r="BV78" s="37" t="n">
        <f aca="false">①통합_가정!$D$38*①통합_가정!$E$98*(①통합_가정!$E$104*SUMIF(①통합_가정!$J$97:$J$101,BV6,①통합_가정!$I$97:$I$101)+IF(BV15=13,①통합_가정!$E$105-①통합_가정!$E$104,0)+IF(BV15=25,①통합_가정!$E$106-①통합_가정!$E$105,0))</f>
        <v>0</v>
      </c>
      <c r="BW78" s="37" t="n">
        <f aca="false">①통합_가정!$D$38*①통합_가정!$E$98*(①통합_가정!$E$104*SUMIF(①통합_가정!$J$97:$J$101,BW6,①통합_가정!$I$97:$I$101)+IF(BW15=13,①통합_가정!$E$105-①통합_가정!$E$104,0)+IF(BW15=25,①통합_가정!$E$106-①통합_가정!$E$105,0))</f>
        <v>0</v>
      </c>
      <c r="BX78" s="37" t="n">
        <f aca="false">①통합_가정!$D$38*①통합_가정!$E$98*(①통합_가정!$E$104*SUMIF(①통합_가정!$J$97:$J$101,BX6,①통합_가정!$I$97:$I$101)+IF(BX15=13,①통합_가정!$E$105-①통합_가정!$E$104,0)+IF(BX15=25,①통합_가정!$E$106-①통합_가정!$E$105,0))</f>
        <v>0</v>
      </c>
      <c r="BY78" s="37" t="n">
        <f aca="false">①통합_가정!$D$38*①통합_가정!$E$98*(①통합_가정!$E$104*SUMIF(①통합_가정!$J$97:$J$101,BY6,①통합_가정!$I$97:$I$101)+IF(BY15=13,①통합_가정!$E$105-①통합_가정!$E$104,0)+IF(BY15=25,①통합_가정!$E$106-①통합_가정!$E$105,0))</f>
        <v>108000</v>
      </c>
      <c r="BZ78" s="37" t="n">
        <f aca="false">①통합_가정!$D$38*①통합_가정!$E$98*(①통합_가정!$E$104*SUMIF(①통합_가정!$J$97:$J$101,BZ6,①통합_가정!$I$97:$I$101)+IF(BZ15=13,①통합_가정!$E$105-①통합_가정!$E$104,0)+IF(BZ15=25,①통합_가정!$E$106-①통합_가정!$E$105,0))</f>
        <v>0</v>
      </c>
      <c r="CA78" s="37" t="n">
        <f aca="false">①통합_가정!$D$38*①통합_가정!$E$98*(①통합_가정!$E$104*SUMIF(①통합_가정!$J$97:$J$101,CA6,①통합_가정!$I$97:$I$101)+IF(CA15=13,①통합_가정!$E$105-①통합_가정!$E$104,0)+IF(CA15=25,①통합_가정!$E$106-①통합_가정!$E$105,0))</f>
        <v>0</v>
      </c>
      <c r="CB78" s="37" t="n">
        <f aca="false">①통합_가정!$D$38*①통합_가정!$E$98*(①통합_가정!$E$104*SUMIF(①통합_가정!$J$97:$J$101,CB6,①통합_가정!$I$97:$I$101)+IF(CB15=13,①통합_가정!$E$105-①통합_가정!$E$104,0)+IF(CB15=25,①통합_가정!$E$106-①통합_가정!$E$105,0))</f>
        <v>0</v>
      </c>
      <c r="CC78" s="37" t="n">
        <f aca="false">①통합_가정!$D$38*①통합_가정!$E$98*(①통합_가정!$E$104*SUMIF(①통합_가정!$J$97:$J$101,CC6,①통합_가정!$I$97:$I$101)+IF(CC15=13,①통합_가정!$E$105-①통합_가정!$E$104,0)+IF(CC15=25,①통합_가정!$E$106-①통합_가정!$E$105,0))</f>
        <v>0</v>
      </c>
      <c r="CD78" s="37" t="n">
        <f aca="false">①통합_가정!$D$38*①통합_가정!$E$98*(①통합_가정!$E$104*SUMIF(①통합_가정!$J$97:$J$101,CD6,①통합_가정!$I$97:$I$101)+IF(CD15=13,①통합_가정!$E$105-①통합_가정!$E$104,0)+IF(CD15=25,①통합_가정!$E$106-①통합_가정!$E$105,0))</f>
        <v>0</v>
      </c>
      <c r="CE78" s="37" t="n">
        <f aca="false">①통합_가정!$D$38*①통합_가정!$E$98*(①통합_가정!$E$104*SUMIF(①통합_가정!$J$97:$J$101,CE6,①통합_가정!$I$97:$I$101)+IF(CE15=13,①통합_가정!$E$105-①통합_가정!$E$104,0)+IF(CE15=25,①통합_가정!$E$106-①통합_가정!$E$105,0))</f>
        <v>0</v>
      </c>
      <c r="CF78" s="37" t="n">
        <f aca="false">①통합_가정!$D$38*①통합_가정!$E$98*(①통합_가정!$E$104*SUMIF(①통합_가정!$J$97:$J$101,CF6,①통합_가정!$I$97:$I$101)+IF(CF15=13,①통합_가정!$E$105-①통합_가정!$E$104,0)+IF(CF15=25,①통합_가정!$E$106-①통합_가정!$E$105,0))</f>
        <v>0</v>
      </c>
      <c r="CG78" s="37" t="n">
        <f aca="false">①통합_가정!$D$38*①통합_가정!$E$98*(①통합_가정!$E$104*SUMIF(①통합_가정!$J$97:$J$101,CG6,①통합_가정!$I$97:$I$101)+IF(CG15=13,①통합_가정!$E$105-①통합_가정!$E$104,0)+IF(CG15=25,①통합_가정!$E$106-①통합_가정!$E$105,0))</f>
        <v>0</v>
      </c>
      <c r="CH78" s="37" t="n">
        <f aca="false">①통합_가정!$D$38*①통합_가정!$E$98*(①통합_가정!$E$104*SUMIF(①통합_가정!$J$97:$J$101,CH6,①통합_가정!$I$97:$I$101)+IF(CH15=13,①통합_가정!$E$105-①통합_가정!$E$104,0)+IF(CH15=25,①통합_가정!$E$106-①통합_가정!$E$105,0))</f>
        <v>0</v>
      </c>
      <c r="CI78" s="37" t="n">
        <f aca="false">①통합_가정!$D$38*①통합_가정!$E$98*(①통합_가정!$E$104*SUMIF(①통합_가정!$J$97:$J$101,CI6,①통합_가정!$I$97:$I$101)+IF(CI15=13,①통합_가정!$E$105-①통합_가정!$E$104,0)+IF(CI15=25,①통합_가정!$E$106-①통합_가정!$E$105,0))</f>
        <v>0</v>
      </c>
      <c r="CJ78" s="37" t="n">
        <f aca="false">①통합_가정!$D$38*①통합_가정!$E$98*(①통합_가정!$E$104*SUMIF(①통합_가정!$J$97:$J$101,CJ6,①통합_가정!$I$97:$I$101)+IF(CJ15=13,①통합_가정!$E$105-①통합_가정!$E$104,0)+IF(CJ15=25,①통합_가정!$E$106-①통합_가정!$E$105,0))</f>
        <v>0</v>
      </c>
      <c r="CK78" s="37" t="n">
        <f aca="false">①통합_가정!$D$38*①통합_가정!$E$98*(①통합_가정!$E$104*SUMIF(①통합_가정!$J$97:$J$101,CK6,①통합_가정!$I$97:$I$101)+IF(CK15=13,①통합_가정!$E$105-①통합_가정!$E$104,0)+IF(CK15=25,①통합_가정!$E$106-①통합_가정!$E$105,0))</f>
        <v>0</v>
      </c>
      <c r="CL78" s="37" t="n">
        <f aca="false">①통합_가정!$D$38*①통합_가정!$E$98*(①통합_가정!$E$104*SUMIF(①통합_가정!$J$97:$J$101,CL6,①통합_가정!$I$97:$I$101)+IF(CL15=13,①통합_가정!$E$105-①통합_가정!$E$104,0)+IF(CL15=25,①통합_가정!$E$106-①통합_가정!$E$105,0))</f>
        <v>0</v>
      </c>
      <c r="CM78" s="37" t="n">
        <f aca="false">①통합_가정!$D$38*①통합_가정!$E$98*(①통합_가정!$E$104*SUMIF(①통합_가정!$J$97:$J$101,CM6,①통합_가정!$I$97:$I$101)+IF(CM15=13,①통합_가정!$E$105-①통합_가정!$E$104,0)+IF(CM15=25,①통합_가정!$E$106-①통합_가정!$E$105,0))</f>
        <v>0</v>
      </c>
      <c r="CN78" s="37" t="n">
        <f aca="false">①통합_가정!$D$38*①통합_가정!$E$98*(①통합_가정!$E$104*SUMIF(①통합_가정!$J$97:$J$101,CN6,①통합_가정!$I$97:$I$101)+IF(CN15=13,①통합_가정!$E$105-①통합_가정!$E$104,0)+IF(CN15=25,①통합_가정!$E$106-①통합_가정!$E$105,0))</f>
        <v>0</v>
      </c>
      <c r="CO78" s="37" t="n">
        <f aca="false">①통합_가정!$D$38*①통합_가정!$E$98*(①통합_가정!$E$104*SUMIF(①통합_가정!$J$97:$J$101,CO6,①통합_가정!$I$97:$I$101)+IF(CO15=13,①통합_가정!$E$105-①통합_가정!$E$104,0)+IF(CO15=25,①통합_가정!$E$106-①통합_가정!$E$105,0))</f>
        <v>0</v>
      </c>
      <c r="CP78" s="37" t="n">
        <f aca="false">①통합_가정!$D$38*①통합_가정!$E$98*(①통합_가정!$E$104*SUMIF(①통합_가정!$J$97:$J$101,CP6,①통합_가정!$I$97:$I$101)+IF(CP15=13,①통합_가정!$E$105-①통합_가정!$E$104,0)+IF(CP15=25,①통합_가정!$E$106-①통합_가정!$E$105,0))</f>
        <v>0</v>
      </c>
      <c r="CQ78" s="37" t="n">
        <f aca="false">①통합_가정!$D$38*①통합_가정!$E$98*(①통합_가정!$E$104*SUMIF(①통합_가정!$J$97:$J$101,CQ6,①통합_가정!$I$97:$I$101)+IF(CQ15=13,①통합_가정!$E$105-①통합_가정!$E$104,0)+IF(CQ15=25,①통합_가정!$E$106-①통합_가정!$E$105,0))</f>
        <v>0</v>
      </c>
      <c r="CR78" s="37" t="n">
        <f aca="false">①통합_가정!$D$38*①통합_가정!$E$98*(①통합_가정!$E$104*SUMIF(①통합_가정!$J$97:$J$101,CR6,①통합_가정!$I$97:$I$101)+IF(CR15=13,①통합_가정!$E$105-①통합_가정!$E$104,0)+IF(CR15=25,①통합_가정!$E$106-①통합_가정!$E$105,0))</f>
        <v>0</v>
      </c>
      <c r="CS78" s="37" t="n">
        <f aca="false">①통합_가정!$D$38*①통합_가정!$E$98*(①통합_가정!$E$104*SUMIF(①통합_가정!$J$97:$J$101,CS6,①통합_가정!$I$97:$I$101)+IF(CS15=13,①통합_가정!$E$105-①통합_가정!$E$104,0)+IF(CS15=25,①통합_가정!$E$106-①통합_가정!$E$105,0))</f>
        <v>0</v>
      </c>
      <c r="CT78" s="37" t="n">
        <f aca="false">①통합_가정!$D$38*①통합_가정!$E$98*(①통합_가정!$E$104*SUMIF(①통합_가정!$J$97:$J$101,CT6,①통합_가정!$I$97:$I$101)+IF(CT15=13,①통합_가정!$E$105-①통합_가정!$E$104,0)+IF(CT15=25,①통합_가정!$E$106-①통합_가정!$E$105,0))</f>
        <v>0</v>
      </c>
      <c r="CU78" s="37" t="n">
        <f aca="false">①통합_가정!$D$38*①통합_가정!$E$98*(①통합_가정!$E$104*SUMIF(①통합_가정!$J$97:$J$101,CU6,①통합_가정!$I$97:$I$101)+IF(CU15=13,①통합_가정!$E$105-①통합_가정!$E$104,0)+IF(CU15=25,①통합_가정!$E$106-①통합_가정!$E$105,0))</f>
        <v>0</v>
      </c>
      <c r="CV78" s="37" t="n">
        <f aca="false">①통합_가정!$D$38*①통합_가정!$E$98*(①통합_가정!$E$104*SUMIF(①통합_가정!$J$97:$J$101,CV6,①통합_가정!$I$97:$I$101)+IF(CV15=13,①통합_가정!$E$105-①통합_가정!$E$104,0)+IF(CV15=25,①통합_가정!$E$106-①통합_가정!$E$105,0))</f>
        <v>0</v>
      </c>
      <c r="CW78" s="37" t="n">
        <f aca="false">①통합_가정!$D$38*①통합_가정!$E$98*(①통합_가정!$E$104*SUMIF(①통합_가정!$J$97:$J$101,CW6,①통합_가정!$I$97:$I$101)+IF(CW15=13,①통합_가정!$E$105-①통합_가정!$E$104,0)+IF(CW15=25,①통합_가정!$E$106-①통합_가정!$E$105,0))</f>
        <v>0</v>
      </c>
      <c r="CX78" s="37" t="n">
        <f aca="false">①통합_가정!$D$38*①통합_가정!$E$98*(①통합_가정!$E$104*SUMIF(①통합_가정!$J$97:$J$101,CX6,①통합_가정!$I$97:$I$101)+IF(CX15=13,①통합_가정!$E$105-①통합_가정!$E$104,0)+IF(CX15=25,①통합_가정!$E$106-①통합_가정!$E$105,0))</f>
        <v>0</v>
      </c>
      <c r="CY78" s="37" t="n">
        <f aca="false">①통합_가정!$D$38*①통합_가정!$E$98*(①통합_가정!$E$104*SUMIF(①통합_가정!$J$97:$J$101,CY6,①통합_가정!$I$97:$I$101)+IF(CY15=13,①통합_가정!$E$105-①통합_가정!$E$104,0)+IF(CY15=25,①통합_가정!$E$106-①통합_가정!$E$105,0))</f>
        <v>0</v>
      </c>
      <c r="CZ78" s="37" t="n">
        <f aca="false">①통합_가정!$D$38*①통합_가정!$E$98*(①통합_가정!$E$104*SUMIF(①통합_가정!$J$97:$J$101,CZ6,①통합_가정!$I$97:$I$101)+IF(CZ15=13,①통합_가정!$E$105-①통합_가정!$E$104,0)+IF(CZ15=25,①통합_가정!$E$106-①통합_가정!$E$105,0))</f>
        <v>0</v>
      </c>
      <c r="DA78" s="37" t="n">
        <f aca="false">①통합_가정!$D$38*①통합_가정!$E$98*(①통합_가정!$E$104*SUMIF(①통합_가정!$J$97:$J$101,DA6,①통합_가정!$I$97:$I$101)+IF(DA15=13,①통합_가정!$E$105-①통합_가정!$E$104,0)+IF(DA15=25,①통합_가정!$E$106-①통합_가정!$E$105,0))</f>
        <v>0</v>
      </c>
      <c r="DB78" s="37" t="n">
        <f aca="false">①통합_가정!$D$38*①통합_가정!$E$98*(①통합_가정!$E$104*SUMIF(①통합_가정!$J$97:$J$101,DB6,①통합_가정!$I$97:$I$101)+IF(DB15=13,①통합_가정!$E$105-①통합_가정!$E$104,0)+IF(DB15=25,①통합_가정!$E$106-①통합_가정!$E$105,0))</f>
        <v>0</v>
      </c>
      <c r="DC78" s="37" t="n">
        <f aca="false">①통합_가정!$D$38*①통합_가정!$E$98*(①통합_가정!$E$104*SUMIF(①통합_가정!$J$97:$J$101,DC6,①통합_가정!$I$97:$I$101)+IF(DC15=13,①통합_가정!$E$105-①통합_가정!$E$104,0)+IF(DC15=25,①통합_가정!$E$106-①통합_가정!$E$105,0))</f>
        <v>0</v>
      </c>
      <c r="DD78" s="37" t="n">
        <f aca="false">①통합_가정!$D$38*①통합_가정!$E$98*(①통합_가정!$E$104*SUMIF(①통합_가정!$J$97:$J$101,DD6,①통합_가정!$I$97:$I$101)+IF(DD15=13,①통합_가정!$E$105-①통합_가정!$E$104,0)+IF(DD15=25,①통합_가정!$E$106-①통합_가정!$E$105,0))</f>
        <v>0</v>
      </c>
      <c r="DE78" s="37" t="n">
        <f aca="false">①통합_가정!$D$38*①통합_가정!$E$98*(①통합_가정!$E$104*SUMIF(①통합_가정!$J$97:$J$101,DE6,①통합_가정!$I$97:$I$101)+IF(DE15=13,①통합_가정!$E$105-①통합_가정!$E$104,0)+IF(DE15=25,①통합_가정!$E$106-①통합_가정!$E$105,0))</f>
        <v>0</v>
      </c>
      <c r="DF78" s="37" t="n">
        <f aca="false">①통합_가정!$D$38*①통합_가정!$E$98*(①통합_가정!$E$104*SUMIF(①통합_가정!$J$97:$J$101,DF6,①통합_가정!$I$97:$I$101)+IF(DF15=13,①통합_가정!$E$105-①통합_가정!$E$104,0)+IF(DF15=25,①통합_가정!$E$106-①통합_가정!$E$105,0))</f>
        <v>0</v>
      </c>
      <c r="DG78" s="37" t="n">
        <f aca="false">①통합_가정!$D$38*①통합_가정!$E$98*(①통합_가정!$E$104*SUMIF(①통합_가정!$J$97:$J$101,DG6,①통합_가정!$I$97:$I$101)+IF(DG15=13,①통합_가정!$E$105-①통합_가정!$E$104,0)+IF(DG15=25,①통합_가정!$E$106-①통합_가정!$E$105,0))</f>
        <v>0</v>
      </c>
      <c r="DH78" s="37" t="n">
        <f aca="false">①통합_가정!$D$38*①통합_가정!$E$98*(①통합_가정!$E$104*SUMIF(①통합_가정!$J$97:$J$101,DH6,①통합_가정!$I$97:$I$101)+IF(DH15=13,①통합_가정!$E$105-①통합_가정!$E$104,0)+IF(DH15=25,①통합_가정!$E$106-①통합_가정!$E$105,0))</f>
        <v>0</v>
      </c>
      <c r="DI78" s="37" t="n">
        <f aca="false">①통합_가정!$D$38*①통합_가정!$E$98*(①통합_가정!$E$104*SUMIF(①통합_가정!$J$97:$J$101,DI6,①통합_가정!$I$97:$I$101)+IF(DI15=13,①통합_가정!$E$105-①통합_가정!$E$104,0)+IF(DI15=25,①통합_가정!$E$106-①통합_가정!$E$105,0))</f>
        <v>0</v>
      </c>
      <c r="DJ78" s="37" t="n">
        <f aca="false">①통합_가정!$D$38*①통합_가정!$E$98*(①통합_가정!$E$104*SUMIF(①통합_가정!$J$97:$J$101,DJ6,①통합_가정!$I$97:$I$101)+IF(DJ15=13,①통합_가정!$E$105-①통합_가정!$E$104,0)+IF(DJ15=25,①통합_가정!$E$106-①통합_가정!$E$105,0))</f>
        <v>0</v>
      </c>
      <c r="DK78" s="37" t="n">
        <f aca="false">①통합_가정!$D$38*①통합_가정!$E$98*(①통합_가정!$E$104*SUMIF(①통합_가정!$J$97:$J$101,DK6,①통합_가정!$I$97:$I$101)+IF(DK15=13,①통합_가정!$E$105-①통합_가정!$E$104,0)+IF(DK15=25,①통합_가정!$E$106-①통합_가정!$E$105,0))</f>
        <v>0</v>
      </c>
      <c r="DL78" s="37" t="n">
        <f aca="false">①통합_가정!$D$38*①통합_가정!$E$98*(①통합_가정!$E$104*SUMIF(①통합_가정!$J$97:$J$101,DL6,①통합_가정!$I$97:$I$101)+IF(DL15=13,①통합_가정!$E$105-①통합_가정!$E$104,0)+IF(DL15=25,①통합_가정!$E$106-①통합_가정!$E$105,0))</f>
        <v>0</v>
      </c>
      <c r="DM78" s="37" t="n">
        <f aca="false">①통합_가정!$D$38*①통합_가정!$E$98*(①통합_가정!$E$104*SUMIF(①통합_가정!$J$97:$J$101,DM6,①통합_가정!$I$97:$I$101)+IF(DM15=13,①통합_가정!$E$105-①통합_가정!$E$104,0)+IF(DM15=25,①통합_가정!$E$106-①통합_가정!$E$105,0))</f>
        <v>0</v>
      </c>
      <c r="DN78" s="37" t="n">
        <f aca="false">①통합_가정!$D$38*①통합_가정!$E$98*(①통합_가정!$E$104*SUMIF(①통합_가정!$J$97:$J$101,DN6,①통합_가정!$I$97:$I$101)+IF(DN15=13,①통합_가정!$E$105-①통합_가정!$E$104,0)+IF(DN15=25,①통합_가정!$E$106-①통합_가정!$E$105,0))</f>
        <v>0</v>
      </c>
      <c r="DO78" s="37" t="n">
        <f aca="false">①통합_가정!$D$38*①통합_가정!$E$98*(①통합_가정!$E$104*SUMIF(①통합_가정!$J$97:$J$101,DO6,①통합_가정!$I$97:$I$101)+IF(DO15=13,①통합_가정!$E$105-①통합_가정!$E$104,0)+IF(DO15=25,①통합_가정!$E$106-①통합_가정!$E$105,0))</f>
        <v>0</v>
      </c>
      <c r="DP78" s="37" t="n">
        <f aca="false">①통합_가정!$D$38*①통합_가정!$E$98*(①통합_가정!$E$104*SUMIF(①통합_가정!$J$97:$J$101,DP6,①통합_가정!$I$97:$I$101)+IF(DP15=13,①통합_가정!$E$105-①통합_가정!$E$104,0)+IF(DP15=25,①통합_가정!$E$106-①통합_가정!$E$105,0))</f>
        <v>0</v>
      </c>
      <c r="DQ78" s="37" t="n">
        <f aca="false">①통합_가정!$D$38*①통합_가정!$E$98*(①통합_가정!$E$104*SUMIF(①통합_가정!$J$97:$J$101,DQ6,①통합_가정!$I$97:$I$101)+IF(DQ15=13,①통합_가정!$E$105-①통합_가정!$E$104,0)+IF(DQ15=25,①통합_가정!$E$106-①통합_가정!$E$105,0))</f>
        <v>0</v>
      </c>
      <c r="DR78" s="37" t="n">
        <f aca="false">①통합_가정!$D$38*①통합_가정!$E$98*(①통합_가정!$E$104*SUMIF(①통합_가정!$J$97:$J$101,DR6,①통합_가정!$I$97:$I$101)+IF(DR15=13,①통합_가정!$E$105-①통합_가정!$E$104,0)+IF(DR15=25,①통합_가정!$E$106-①통합_가정!$E$105,0))</f>
        <v>0</v>
      </c>
      <c r="DS78" s="37" t="n">
        <f aca="false">①통합_가정!$D$38*①통합_가정!$E$98*(①통합_가정!$E$104*SUMIF(①통합_가정!$J$97:$J$101,DS6,①통합_가정!$I$97:$I$101)+IF(DS15=13,①통합_가정!$E$105-①통합_가정!$E$104,0)+IF(DS15=25,①통합_가정!$E$106-①통합_가정!$E$105,0))</f>
        <v>0</v>
      </c>
      <c r="DT78" s="37" t="n">
        <f aca="false">①통합_가정!$D$38*①통합_가정!$E$98*(①통합_가정!$E$104*SUMIF(①통합_가정!$J$97:$J$101,DT6,①통합_가정!$I$97:$I$101)+IF(DT15=13,①통합_가정!$E$105-①통합_가정!$E$104,0)+IF(DT15=25,①통합_가정!$E$106-①통합_가정!$E$105,0))</f>
        <v>0</v>
      </c>
      <c r="DU78" s="37" t="n">
        <f aca="false">①통합_가정!$D$38*①통합_가정!$E$98*(①통합_가정!$E$104*SUMIF(①통합_가정!$J$97:$J$101,DU6,①통합_가정!$I$97:$I$101)+IF(DU15=13,①통합_가정!$E$105-①통합_가정!$E$104,0)+IF(DU15=25,①통합_가정!$E$106-①통합_가정!$E$105,0))</f>
        <v>0</v>
      </c>
      <c r="DV78" s="37" t="n">
        <f aca="false">①통합_가정!$D$38*①통합_가정!$E$98*(①통합_가정!$E$104*SUMIF(①통합_가정!$J$97:$J$101,DV6,①통합_가정!$I$97:$I$101)+IF(DV15=13,①통합_가정!$E$105-①통합_가정!$E$104,0)+IF(DV15=25,①통합_가정!$E$106-①통합_가정!$E$105,0))</f>
        <v>0</v>
      </c>
      <c r="DW78" s="37" t="n">
        <f aca="false">①통합_가정!$D$38*①통합_가정!$E$98*(①통합_가정!$E$104*SUMIF(①통합_가정!$J$97:$J$101,DW6,①통합_가정!$I$97:$I$101)+IF(DW15=13,①통합_가정!$E$105-①통합_가정!$E$104,0)+IF(DW15=25,①통합_가정!$E$106-①통합_가정!$E$105,0))</f>
        <v>0</v>
      </c>
      <c r="DX78" s="37" t="n">
        <f aca="false">①통합_가정!$D$38*①통합_가정!$E$98*(①통합_가정!$E$104*SUMIF(①통합_가정!$J$97:$J$101,DX6,①통합_가정!$I$97:$I$101)+IF(DX15=13,①통합_가정!$E$105-①통합_가정!$E$104,0)+IF(DX15=25,①통합_가정!$E$106-①통합_가정!$E$105,0))</f>
        <v>0</v>
      </c>
      <c r="DY78" s="37" t="n">
        <f aca="false">①통합_가정!$D$38*①통합_가정!$E$98*(①통합_가정!$E$104*SUMIF(①통합_가정!$J$97:$J$101,DY6,①통합_가정!$I$97:$I$101)+IF(DY15=13,①통합_가정!$E$105-①통합_가정!$E$104,0)+IF(DY15=25,①통합_가정!$E$106-①통합_가정!$E$105,0))</f>
        <v>0</v>
      </c>
      <c r="DZ78" s="37" t="n">
        <f aca="false">①통합_가정!$D$38*①통합_가정!$E$98*(①통합_가정!$E$104*SUMIF(①통합_가정!$J$97:$J$101,DZ6,①통합_가정!$I$97:$I$101)+IF(DZ15=13,①통합_가정!$E$105-①통합_가정!$E$104,0)+IF(DZ15=25,①통합_가정!$E$106-①통합_가정!$E$105,0))</f>
        <v>0</v>
      </c>
      <c r="EA78" s="37" t="n">
        <f aca="false">①통합_가정!$D$38*①통합_가정!$E$98*(①통합_가정!$E$104*SUMIF(①통합_가정!$J$97:$J$101,EA6,①통합_가정!$I$97:$I$101)+IF(EA15=13,①통합_가정!$E$105-①통합_가정!$E$104,0)+IF(EA15=25,①통합_가정!$E$106-①통합_가정!$E$105,0))</f>
        <v>0</v>
      </c>
      <c r="EB78" s="37" t="n">
        <f aca="false">①통합_가정!$D$38*①통합_가정!$E$98*(①통합_가정!$E$104*SUMIF(①통합_가정!$J$97:$J$101,EB6,①통합_가정!$I$97:$I$101)+IF(EB15=13,①통합_가정!$E$105-①통합_가정!$E$104,0)+IF(EB15=25,①통합_가정!$E$106-①통합_가정!$E$105,0))</f>
        <v>0</v>
      </c>
      <c r="EC78" s="37" t="n">
        <f aca="false">①통합_가정!$D$38*①통합_가정!$E$98*(①통합_가정!$E$104*SUMIF(①통합_가정!$J$97:$J$101,EC6,①통합_가정!$I$97:$I$101)+IF(EC15=13,①통합_가정!$E$105-①통합_가정!$E$104,0)+IF(EC15=25,①통합_가정!$E$106-①통합_가정!$E$105,0))</f>
        <v>0</v>
      </c>
      <c r="ED78" s="37" t="n">
        <f aca="false">①통합_가정!$D$38*①통합_가정!$E$98*(①통합_가정!$E$104*SUMIF(①통합_가정!$J$97:$J$101,ED6,①통합_가정!$I$97:$I$101)+IF(ED15=13,①통합_가정!$E$105-①통합_가정!$E$104,0)+IF(ED15=25,①통합_가정!$E$106-①통합_가정!$E$105,0))</f>
        <v>0</v>
      </c>
      <c r="EE78" s="37" t="n">
        <f aca="false">①통합_가정!$D$38*①통합_가정!$E$98*(①통합_가정!$E$104*SUMIF(①통합_가정!$J$97:$J$101,EE6,①통합_가정!$I$97:$I$101)+IF(EE15=13,①통합_가정!$E$105-①통합_가정!$E$104,0)+IF(EE15=25,①통합_가정!$E$106-①통합_가정!$E$105,0))</f>
        <v>0</v>
      </c>
      <c r="EF78" s="37" t="n">
        <f aca="false">①통합_가정!$D$38*①통합_가정!$E$98*(①통합_가정!$E$104*SUMIF(①통합_가정!$J$97:$J$101,EF6,①통합_가정!$I$97:$I$101)+IF(EF15=13,①통합_가정!$E$105-①통합_가정!$E$104,0)+IF(EF15=25,①통합_가정!$E$106-①통합_가정!$E$105,0))</f>
        <v>0</v>
      </c>
    </row>
    <row r="79" customFormat="false" ht="15" hidden="false" customHeight="false" outlineLevel="0" collapsed="false">
      <c r="A79" s="36" t="s">
        <v>621</v>
      </c>
      <c r="B79" s="278" t="s">
        <v>21</v>
      </c>
      <c r="C79" s="279" t="n">
        <f aca="false">SUM(E79:EF79)</f>
        <v>310752</v>
      </c>
      <c r="E79" s="37" t="n">
        <f aca="false">①통합_가정!$E$38*①통합_가정!$E$129*(①통합_가정!$E$133*SUMIF(①통합_가정!$L$124:$L$128,E6,①통합_가정!$K$124:$K$128)+IF(E15=13,①통합_가정!$E$134-①통합_가정!$E$133,0)+IF(E15=25,①통합_가정!$E$135-①통합_가정!$E$134,0))</f>
        <v>0</v>
      </c>
      <c r="F79" s="37" t="n">
        <f aca="false">①통합_가정!$E$38*①통합_가정!$E$129*(①통합_가정!$E$133*SUMIF(①통합_가정!$L$124:$L$128,F6,①통합_가정!$K$124:$K$128)+IF(F15=13,①통합_가정!$E$134-①통합_가정!$E$133,0)+IF(F15=25,①통합_가정!$E$135-①통합_가정!$E$134,0))</f>
        <v>0</v>
      </c>
      <c r="G79" s="37" t="n">
        <f aca="false">①통합_가정!$E$38*①통합_가정!$E$129*(①통합_가정!$E$133*SUMIF(①통합_가정!$L$124:$L$128,G6,①통합_가정!$K$124:$K$128)+IF(G15=13,①통합_가정!$E$134-①통합_가정!$E$133,0)+IF(G15=25,①통합_가정!$E$135-①통합_가정!$E$134,0))</f>
        <v>0</v>
      </c>
      <c r="H79" s="37" t="n">
        <f aca="false">①통합_가정!$E$38*①통합_가정!$E$129*(①통합_가정!$E$133*SUMIF(①통합_가정!$L$124:$L$128,H6,①통합_가정!$K$124:$K$128)+IF(H15=13,①통합_가정!$E$134-①통합_가정!$E$133,0)+IF(H15=25,①통합_가정!$E$135-①통합_가정!$E$134,0))</f>
        <v>0</v>
      </c>
      <c r="I79" s="37" t="n">
        <f aca="false">①통합_가정!$E$38*①통합_가정!$E$129*(①통합_가정!$E$133*SUMIF(①통합_가정!$L$124:$L$128,I6,①통합_가정!$K$124:$K$128)+IF(I15=13,①통합_가정!$E$134-①통합_가정!$E$133,0)+IF(I15=25,①통합_가정!$E$135-①통합_가정!$E$134,0))</f>
        <v>0</v>
      </c>
      <c r="J79" s="37" t="n">
        <f aca="false">①통합_가정!$E$38*①통합_가정!$E$129*(①통합_가정!$E$133*SUMIF(①통합_가정!$L$124:$L$128,J6,①통합_가정!$K$124:$K$128)+IF(J15=13,①통합_가정!$E$134-①통합_가정!$E$133,0)+IF(J15=25,①통합_가정!$E$135-①통합_가정!$E$134,0))</f>
        <v>0</v>
      </c>
      <c r="K79" s="37" t="n">
        <f aca="false">①통합_가정!$E$38*①통합_가정!$E$129*(①통합_가정!$E$133*SUMIF(①통합_가정!$L$124:$L$128,K6,①통합_가정!$K$124:$K$128)+IF(K15=13,①통합_가정!$E$134-①통합_가정!$E$133,0)+IF(K15=25,①통합_가정!$E$135-①통합_가정!$E$134,0))</f>
        <v>0</v>
      </c>
      <c r="L79" s="37" t="n">
        <f aca="false">①통합_가정!$E$38*①통합_가정!$E$129*(①통합_가정!$E$133*SUMIF(①통합_가정!$L$124:$L$128,L6,①통합_가정!$K$124:$K$128)+IF(L15=13,①통합_가정!$E$134-①통합_가정!$E$133,0)+IF(L15=25,①통합_가정!$E$135-①통합_가정!$E$134,0))</f>
        <v>0</v>
      </c>
      <c r="M79" s="37" t="n">
        <f aca="false">①통합_가정!$E$38*①통합_가정!$E$129*(①통합_가정!$E$133*SUMIF(①통합_가정!$L$124:$L$128,M6,①통합_가정!$K$124:$K$128)+IF(M15=13,①통합_가정!$E$134-①통합_가정!$E$133,0)+IF(M15=25,①통합_가정!$E$135-①통합_가정!$E$134,0))</f>
        <v>0</v>
      </c>
      <c r="N79" s="37" t="n">
        <f aca="false">①통합_가정!$E$38*①통합_가정!$E$129*(①통합_가정!$E$133*SUMIF(①통합_가정!$L$124:$L$128,N6,①통합_가정!$K$124:$K$128)+IF(N15=13,①통합_가정!$E$134-①통합_가정!$E$133,0)+IF(N15=25,①통합_가정!$E$135-①통합_가정!$E$134,0))</f>
        <v>0</v>
      </c>
      <c r="O79" s="37" t="n">
        <f aca="false">①통합_가정!$E$38*①통합_가정!$E$129*(①통합_가정!$E$133*SUMIF(①통합_가정!$L$124:$L$128,O6,①통합_가정!$K$124:$K$128)+IF(O15=13,①통합_가정!$E$134-①통합_가정!$E$133,0)+IF(O15=25,①통합_가정!$E$135-①통합_가정!$E$134,0))</f>
        <v>0</v>
      </c>
      <c r="P79" s="37" t="n">
        <f aca="false">①통합_가정!$E$38*①통합_가정!$E$129*(①통합_가정!$E$133*SUMIF(①통합_가정!$L$124:$L$128,P6,①통합_가정!$K$124:$K$128)+IF(P15=13,①통합_가정!$E$134-①통합_가정!$E$133,0)+IF(P15=25,①통합_가정!$E$135-①통합_가정!$E$134,0))</f>
        <v>0</v>
      </c>
      <c r="Q79" s="37" t="n">
        <f aca="false">①통합_가정!$E$38*①통합_가정!$E$129*(①통합_가정!$E$133*SUMIF(①통합_가정!$L$124:$L$128,Q6,①통합_가정!$K$124:$K$128)+IF(Q15=13,①통합_가정!$E$134-①통합_가정!$E$133,0)+IF(Q15=25,①통합_가정!$E$135-①통합_가정!$E$134,0))</f>
        <v>24860.16</v>
      </c>
      <c r="R79" s="37" t="n">
        <f aca="false">①통합_가정!$E$38*①통합_가정!$E$129*(①통합_가정!$E$133*SUMIF(①통합_가정!$L$124:$L$128,R6,①통합_가정!$K$124:$K$128)+IF(R15=13,①통합_가정!$E$134-①통합_가정!$E$133,0)+IF(R15=25,①통합_가정!$E$135-①통합_가정!$E$134,0))</f>
        <v>0</v>
      </c>
      <c r="S79" s="37" t="n">
        <f aca="false">①통합_가정!$E$38*①통합_가정!$E$129*(①통합_가정!$E$133*SUMIF(①통합_가정!$L$124:$L$128,S6,①통합_가정!$K$124:$K$128)+IF(S15=13,①통합_가정!$E$134-①통합_가정!$E$133,0)+IF(S15=25,①통합_가정!$E$135-①통합_가정!$E$134,0))</f>
        <v>0</v>
      </c>
      <c r="T79" s="37" t="n">
        <f aca="false">①통합_가정!$E$38*①통합_가정!$E$129*(①통합_가정!$E$133*SUMIF(①통합_가정!$L$124:$L$128,T6,①통합_가정!$K$124:$K$128)+IF(T15=13,①통합_가정!$E$134-①통합_가정!$E$133,0)+IF(T15=25,①통합_가정!$E$135-①통합_가정!$E$134,0))</f>
        <v>0</v>
      </c>
      <c r="U79" s="37" t="n">
        <f aca="false">①통합_가정!$E$38*①통합_가정!$E$129*(①통합_가정!$E$133*SUMIF(①통합_가정!$L$124:$L$128,U6,①통합_가정!$K$124:$K$128)+IF(U15=13,①통합_가정!$E$134-①통합_가정!$E$133,0)+IF(U15=25,①통합_가정!$E$135-①통합_가정!$E$134,0))</f>
        <v>0</v>
      </c>
      <c r="V79" s="37" t="n">
        <f aca="false">①통합_가정!$E$38*①통합_가정!$E$129*(①통합_가정!$E$133*SUMIF(①통합_가정!$L$124:$L$128,V6,①통합_가정!$K$124:$K$128)+IF(V15=13,①통합_가정!$E$134-①통합_가정!$E$133,0)+IF(V15=25,①통합_가정!$E$135-①통합_가정!$E$134,0))</f>
        <v>0</v>
      </c>
      <c r="W79" s="37" t="n">
        <f aca="false">①통합_가정!$E$38*①통합_가정!$E$129*(①통합_가정!$E$133*SUMIF(①통합_가정!$L$124:$L$128,W6,①통합_가정!$K$124:$K$128)+IF(W15=13,①통합_가정!$E$134-①통합_가정!$E$133,0)+IF(W15=25,①통합_가정!$E$135-①통합_가정!$E$134,0))</f>
        <v>0</v>
      </c>
      <c r="X79" s="37" t="n">
        <f aca="false">①통합_가정!$E$38*①통합_가정!$E$129*(①통합_가정!$E$133*SUMIF(①통합_가정!$L$124:$L$128,X6,①통합_가정!$K$124:$K$128)+IF(X15=13,①통합_가정!$E$134-①통합_가정!$E$133,0)+IF(X15=25,①통합_가정!$E$135-①통합_가정!$E$134,0))</f>
        <v>0</v>
      </c>
      <c r="Y79" s="37" t="n">
        <f aca="false">①통합_가정!$E$38*①통합_가정!$E$129*(①통합_가정!$E$133*SUMIF(①통합_가정!$L$124:$L$128,Y6,①통합_가정!$K$124:$K$128)+IF(Y15=13,①통합_가정!$E$134-①통합_가정!$E$133,0)+IF(Y15=25,①통합_가정!$E$135-①통합_가정!$E$134,0))</f>
        <v>0</v>
      </c>
      <c r="Z79" s="37" t="n">
        <f aca="false">①통합_가정!$E$38*①통합_가정!$E$129*(①통합_가정!$E$133*SUMIF(①통합_가정!$L$124:$L$128,Z6,①통합_가정!$K$124:$K$128)+IF(Z15=13,①통합_가정!$E$134-①통합_가정!$E$133,0)+IF(Z15=25,①통합_가정!$E$135-①통합_가정!$E$134,0))</f>
        <v>0</v>
      </c>
      <c r="AA79" s="37" t="n">
        <f aca="false">①통합_가정!$E$38*①통합_가정!$E$129*(①통합_가정!$E$133*SUMIF(①통합_가정!$L$124:$L$128,AA6,①통합_가정!$K$124:$K$128)+IF(AA15=13,①통합_가정!$E$134-①통합_가정!$E$133,0)+IF(AA15=25,①통합_가정!$E$135-①통합_가정!$E$134,0))</f>
        <v>0</v>
      </c>
      <c r="AB79" s="37" t="n">
        <f aca="false">①통합_가정!$E$38*①통합_가정!$E$129*(①통합_가정!$E$133*SUMIF(①통합_가정!$L$124:$L$128,AB6,①통합_가정!$K$124:$K$128)+IF(AB15=13,①통합_가정!$E$134-①통합_가정!$E$133,0)+IF(AB15=25,①통합_가정!$E$135-①통합_가정!$E$134,0))</f>
        <v>0</v>
      </c>
      <c r="AC79" s="37" t="n">
        <f aca="false">①통합_가정!$E$38*①통합_가정!$E$129*(①통합_가정!$E$133*SUMIF(①통합_가정!$L$124:$L$128,AC6,①통합_가정!$K$124:$K$128)+IF(AC15=13,①통합_가정!$E$134-①통합_가정!$E$133,0)+IF(AC15=25,①통합_가정!$E$135-①통합_가정!$E$134,0))</f>
        <v>49720.32</v>
      </c>
      <c r="AD79" s="37" t="n">
        <f aca="false">①통합_가정!$E$38*①통합_가정!$E$129*(①통합_가정!$E$133*SUMIF(①통합_가정!$L$124:$L$128,AD6,①통합_가정!$K$124:$K$128)+IF(AD15=13,①통합_가정!$E$134-①통합_가정!$E$133,0)+IF(AD15=25,①통합_가정!$E$135-①통합_가정!$E$134,0))</f>
        <v>0</v>
      </c>
      <c r="AE79" s="37" t="n">
        <f aca="false">①통합_가정!$E$38*①통합_가정!$E$129*(①통합_가정!$E$133*SUMIF(①통합_가정!$L$124:$L$128,AE6,①통합_가정!$K$124:$K$128)+IF(AE15=13,①통합_가정!$E$134-①통합_가정!$E$133,0)+IF(AE15=25,①통합_가정!$E$135-①통합_가정!$E$134,0))</f>
        <v>0</v>
      </c>
      <c r="AF79" s="37" t="n">
        <f aca="false">①통합_가정!$E$38*①통합_가정!$E$129*(①통합_가정!$E$133*SUMIF(①통합_가정!$L$124:$L$128,AF6,①통합_가정!$K$124:$K$128)+IF(AF15=13,①통합_가정!$E$134-①통합_가정!$E$133,0)+IF(AF15=25,①통합_가정!$E$135-①통합_가정!$E$134,0))</f>
        <v>0</v>
      </c>
      <c r="AG79" s="37" t="n">
        <f aca="false">①통합_가정!$E$38*①통합_가정!$E$129*(①통합_가정!$E$133*SUMIF(①통합_가정!$L$124:$L$128,AG6,①통합_가정!$K$124:$K$128)+IF(AG15=13,①통합_가정!$E$134-①통합_가정!$E$133,0)+IF(AG15=25,①통합_가정!$E$135-①통합_가정!$E$134,0))</f>
        <v>0</v>
      </c>
      <c r="AH79" s="37" t="n">
        <f aca="false">①통합_가정!$E$38*①통합_가정!$E$129*(①통합_가정!$E$133*SUMIF(①통합_가정!$L$124:$L$128,AH6,①통합_가정!$K$124:$K$128)+IF(AH15=13,①통합_가정!$E$134-①통합_가정!$E$133,0)+IF(AH15=25,①통합_가정!$E$135-①통합_가정!$E$134,0))</f>
        <v>0</v>
      </c>
      <c r="AI79" s="37" t="n">
        <f aca="false">①통합_가정!$E$38*①통합_가정!$E$129*(①통합_가정!$E$133*SUMIF(①통합_가정!$L$124:$L$128,AI6,①통합_가정!$K$124:$K$128)+IF(AI15=13,①통합_가정!$E$134-①통합_가정!$E$133,0)+IF(AI15=25,①통합_가정!$E$135-①통합_가정!$E$134,0))</f>
        <v>0</v>
      </c>
      <c r="AJ79" s="37" t="n">
        <f aca="false">①통합_가정!$E$38*①통합_가정!$E$129*(①통합_가정!$E$133*SUMIF(①통합_가정!$L$124:$L$128,AJ6,①통합_가정!$K$124:$K$128)+IF(AJ15=13,①통합_가정!$E$134-①통합_가정!$E$133,0)+IF(AJ15=25,①통합_가정!$E$135-①통합_가정!$E$134,0))</f>
        <v>0</v>
      </c>
      <c r="AK79" s="37" t="n">
        <f aca="false">①통합_가정!$E$38*①통합_가정!$E$129*(①통합_가정!$E$133*SUMIF(①통합_가정!$L$124:$L$128,AK6,①통합_가정!$K$124:$K$128)+IF(AK15=13,①통합_가정!$E$134-①통합_가정!$E$133,0)+IF(AK15=25,①통합_가정!$E$135-①통합_가정!$E$134,0))</f>
        <v>0</v>
      </c>
      <c r="AL79" s="37" t="n">
        <f aca="false">①통합_가정!$E$38*①통합_가정!$E$129*(①통합_가정!$E$133*SUMIF(①통합_가정!$L$124:$L$128,AL6,①통합_가정!$K$124:$K$128)+IF(AL15=13,①통합_가정!$E$134-①통합_가정!$E$133,0)+IF(AL15=25,①통합_가정!$E$135-①통합_가정!$E$134,0))</f>
        <v>0</v>
      </c>
      <c r="AM79" s="37" t="n">
        <f aca="false">①통합_가정!$E$38*①통합_가정!$E$129*(①통합_가정!$E$133*SUMIF(①통합_가정!$L$124:$L$128,AM6,①통합_가정!$K$124:$K$128)+IF(AM15=13,①통합_가정!$E$134-①통합_가정!$E$133,0)+IF(AM15=25,①통합_가정!$E$135-①통합_가정!$E$134,0))</f>
        <v>0</v>
      </c>
      <c r="AN79" s="37" t="n">
        <f aca="false">①통합_가정!$E$38*①통합_가정!$E$129*(①통합_가정!$E$133*SUMIF(①통합_가정!$L$124:$L$128,AN6,①통합_가정!$K$124:$K$128)+IF(AN15=13,①통합_가정!$E$134-①통합_가정!$E$133,0)+IF(AN15=25,①통합_가정!$E$135-①통합_가정!$E$134,0))</f>
        <v>0</v>
      </c>
      <c r="AO79" s="37" t="n">
        <f aca="false">①통합_가정!$E$38*①통합_가정!$E$129*(①통합_가정!$E$133*SUMIF(①통합_가정!$L$124:$L$128,AO6,①통합_가정!$K$124:$K$128)+IF(AO15=13,①통합_가정!$E$134-①통합_가정!$E$133,0)+IF(AO15=25,①통합_가정!$E$135-①통합_가정!$E$134,0))</f>
        <v>49720.32</v>
      </c>
      <c r="AP79" s="37" t="n">
        <f aca="false">①통합_가정!$E$38*①통합_가정!$E$129*(①통합_가정!$E$133*SUMIF(①통합_가정!$L$124:$L$128,AP6,①통합_가정!$K$124:$K$128)+IF(AP15=13,①통합_가정!$E$134-①통합_가정!$E$133,0)+IF(AP15=25,①통합_가정!$E$135-①통합_가정!$E$134,0))</f>
        <v>0</v>
      </c>
      <c r="AQ79" s="37" t="n">
        <f aca="false">①통합_가정!$E$38*①통합_가정!$E$129*(①통합_가정!$E$133*SUMIF(①통합_가정!$L$124:$L$128,AQ6,①통합_가정!$K$124:$K$128)+IF(AQ15=13,①통합_가정!$E$134-①통합_가정!$E$133,0)+IF(AQ15=25,①통합_가정!$E$135-①통합_가정!$E$134,0))</f>
        <v>0</v>
      </c>
      <c r="AR79" s="37" t="n">
        <f aca="false">①통합_가정!$E$38*①통합_가정!$E$129*(①통합_가정!$E$133*SUMIF(①통합_가정!$L$124:$L$128,AR6,①통합_가정!$K$124:$K$128)+IF(AR15=13,①통합_가정!$E$134-①통합_가정!$E$133,0)+IF(AR15=25,①통합_가정!$E$135-①통합_가정!$E$134,0))</f>
        <v>0</v>
      </c>
      <c r="AS79" s="37" t="n">
        <f aca="false">①통합_가정!$E$38*①통합_가정!$E$129*(①통합_가정!$E$133*SUMIF(①통합_가정!$L$124:$L$128,AS6,①통합_가정!$K$124:$K$128)+IF(AS15=13,①통합_가정!$E$134-①통합_가정!$E$133,0)+IF(AS15=25,①통합_가정!$E$135-①통합_가정!$E$134,0))</f>
        <v>0</v>
      </c>
      <c r="AT79" s="37" t="n">
        <f aca="false">①통합_가정!$E$38*①통합_가정!$E$129*(①통합_가정!$E$133*SUMIF(①통합_가정!$L$124:$L$128,AT6,①통합_가정!$K$124:$K$128)+IF(AT15=13,①통합_가정!$E$134-①통합_가정!$E$133,0)+IF(AT15=25,①통합_가정!$E$135-①통합_가정!$E$134,0))</f>
        <v>0</v>
      </c>
      <c r="AU79" s="37" t="n">
        <f aca="false">①통합_가정!$E$38*①통합_가정!$E$129*(①통합_가정!$E$133*SUMIF(①통합_가정!$L$124:$L$128,AU6,①통합_가정!$K$124:$K$128)+IF(AU15=13,①통합_가정!$E$134-①통합_가정!$E$133,0)+IF(AU15=25,①통합_가정!$E$135-①통합_가정!$E$134,0))</f>
        <v>0</v>
      </c>
      <c r="AV79" s="37" t="n">
        <f aca="false">①통합_가정!$E$38*①통합_가정!$E$129*(①통합_가정!$E$133*SUMIF(①통합_가정!$L$124:$L$128,AV6,①통합_가정!$K$124:$K$128)+IF(AV15=13,①통합_가정!$E$134-①통합_가정!$E$133,0)+IF(AV15=25,①통합_가정!$E$135-①통합_가정!$E$134,0))</f>
        <v>0</v>
      </c>
      <c r="AW79" s="37" t="n">
        <f aca="false">①통합_가정!$E$38*①통합_가정!$E$129*(①통합_가정!$E$133*SUMIF(①통합_가정!$L$124:$L$128,AW6,①통합_가정!$K$124:$K$128)+IF(AW15=13,①통합_가정!$E$134-①통합_가정!$E$133,0)+IF(AW15=25,①통합_가정!$E$135-①통합_가정!$E$134,0))</f>
        <v>0</v>
      </c>
      <c r="AX79" s="37" t="n">
        <f aca="false">①통합_가정!$E$38*①통합_가정!$E$129*(①통합_가정!$E$133*SUMIF(①통합_가정!$L$124:$L$128,AX6,①통합_가정!$K$124:$K$128)+IF(AX15=13,①통합_가정!$E$134-①통합_가정!$E$133,0)+IF(AX15=25,①통합_가정!$E$135-①통합_가정!$E$134,0))</f>
        <v>0</v>
      </c>
      <c r="AY79" s="37" t="n">
        <f aca="false">①통합_가정!$E$38*①통합_가정!$E$129*(①통합_가정!$E$133*SUMIF(①통합_가정!$L$124:$L$128,AY6,①통합_가정!$K$124:$K$128)+IF(AY15=13,①통합_가정!$E$134-①통합_가정!$E$133,0)+IF(AY15=25,①통합_가정!$E$135-①통합_가정!$E$134,0))</f>
        <v>0</v>
      </c>
      <c r="AZ79" s="37" t="n">
        <f aca="false">①통합_가정!$E$38*①통합_가정!$E$129*(①통합_가정!$E$133*SUMIF(①통합_가정!$L$124:$L$128,AZ6,①통합_가정!$K$124:$K$128)+IF(AZ15=13,①통합_가정!$E$134-①통합_가정!$E$133,0)+IF(AZ15=25,①통합_가정!$E$135-①통합_가정!$E$134,0))</f>
        <v>0</v>
      </c>
      <c r="BA79" s="37" t="n">
        <f aca="false">①통합_가정!$E$38*①통합_가정!$E$129*(①통합_가정!$E$133*SUMIF(①통합_가정!$L$124:$L$128,BA6,①통합_가정!$K$124:$K$128)+IF(BA15=13,①통합_가정!$E$134-①통합_가정!$E$133,0)+IF(BA15=25,①통합_가정!$E$135-①통합_가정!$E$134,0))</f>
        <v>49720.32</v>
      </c>
      <c r="BB79" s="37" t="n">
        <f aca="false">①통합_가정!$E$38*①통합_가정!$E$129*(①통합_가정!$E$133*SUMIF(①통합_가정!$L$124:$L$128,BB6,①통합_가정!$K$124:$K$128)+IF(BB15=13,①통합_가정!$E$134-①통합_가정!$E$133,0)+IF(BB15=25,①통합_가정!$E$135-①통합_가정!$E$134,0))</f>
        <v>0</v>
      </c>
      <c r="BC79" s="37" t="n">
        <f aca="false">①통합_가정!$E$38*①통합_가정!$E$129*(①통합_가정!$E$133*SUMIF(①통합_가정!$L$124:$L$128,BC6,①통합_가정!$K$124:$K$128)+IF(BC15=13,①통합_가정!$E$134-①통합_가정!$E$133,0)+IF(BC15=25,①통합_가정!$E$135-①통합_가정!$E$134,0))</f>
        <v>0</v>
      </c>
      <c r="BD79" s="37" t="n">
        <f aca="false">①통합_가정!$E$38*①통합_가정!$E$129*(①통합_가정!$E$133*SUMIF(①통합_가정!$L$124:$L$128,BD6,①통합_가정!$K$124:$K$128)+IF(BD15=13,①통합_가정!$E$134-①통합_가정!$E$133,0)+IF(BD15=25,①통합_가정!$E$135-①통합_가정!$E$134,0))</f>
        <v>0</v>
      </c>
      <c r="BE79" s="37" t="n">
        <f aca="false">①통합_가정!$E$38*①통합_가정!$E$129*(①통합_가정!$E$133*SUMIF(①통합_가정!$L$124:$L$128,BE6,①통합_가정!$K$124:$K$128)+IF(BE15=13,①통합_가정!$E$134-①통합_가정!$E$133,0)+IF(BE15=25,①통합_가정!$E$135-①통합_가정!$E$134,0))</f>
        <v>0</v>
      </c>
      <c r="BF79" s="37" t="n">
        <f aca="false">①통합_가정!$E$38*①통합_가정!$E$129*(①통합_가정!$E$133*SUMIF(①통합_가정!$L$124:$L$128,BF6,①통합_가정!$K$124:$K$128)+IF(BF15=13,①통합_가정!$E$134-①통합_가정!$E$133,0)+IF(BF15=25,①통합_가정!$E$135-①통합_가정!$E$134,0))</f>
        <v>0</v>
      </c>
      <c r="BG79" s="37" t="n">
        <f aca="false">①통합_가정!$E$38*①통합_가정!$E$129*(①통합_가정!$E$133*SUMIF(①통합_가정!$L$124:$L$128,BG6,①통합_가정!$K$124:$K$128)+IF(BG15=13,①통합_가정!$E$134-①통합_가정!$E$133,0)+IF(BG15=25,①통합_가정!$E$135-①통합_가정!$E$134,0))</f>
        <v>0</v>
      </c>
      <c r="BH79" s="37" t="n">
        <f aca="false">①통합_가정!$E$38*①통합_가정!$E$129*(①통합_가정!$E$133*SUMIF(①통합_가정!$L$124:$L$128,BH6,①통합_가정!$K$124:$K$128)+IF(BH15=13,①통합_가정!$E$134-①통합_가정!$E$133,0)+IF(BH15=25,①통합_가정!$E$135-①통합_가정!$E$134,0))</f>
        <v>0</v>
      </c>
      <c r="BI79" s="37" t="n">
        <f aca="false">①통합_가정!$E$38*①통합_가정!$E$129*(①통합_가정!$E$133*SUMIF(①통합_가정!$L$124:$L$128,BI6,①통합_가정!$K$124:$K$128)+IF(BI15=13,①통합_가정!$E$134-①통합_가정!$E$133,0)+IF(BI15=25,①통합_가정!$E$135-①통합_가정!$E$134,0))</f>
        <v>0</v>
      </c>
      <c r="BJ79" s="37" t="n">
        <f aca="false">①통합_가정!$E$38*①통합_가정!$E$129*(①통합_가정!$E$133*SUMIF(①통합_가정!$L$124:$L$128,BJ6,①통합_가정!$K$124:$K$128)+IF(BJ15=13,①통합_가정!$E$134-①통합_가정!$E$133,0)+IF(BJ15=25,①통합_가정!$E$135-①통합_가정!$E$134,0))</f>
        <v>0</v>
      </c>
      <c r="BK79" s="37" t="n">
        <f aca="false">①통합_가정!$E$38*①통합_가정!$E$129*(①통합_가정!$E$133*SUMIF(①통합_가정!$L$124:$L$128,BK6,①통합_가정!$K$124:$K$128)+IF(BK15=13,①통합_가정!$E$134-①통합_가정!$E$133,0)+IF(BK15=25,①통합_가정!$E$135-①통합_가정!$E$134,0))</f>
        <v>0</v>
      </c>
      <c r="BL79" s="37" t="n">
        <f aca="false">①통합_가정!$E$38*①통합_가정!$E$129*(①통합_가정!$E$133*SUMIF(①통합_가정!$L$124:$L$128,BL6,①통합_가정!$K$124:$K$128)+IF(BL15=13,①통합_가정!$E$134-①통합_가정!$E$133,0)+IF(BL15=25,①통합_가정!$E$135-①통합_가정!$E$134,0))</f>
        <v>0</v>
      </c>
      <c r="BM79" s="37" t="n">
        <f aca="false">①통합_가정!$E$38*①통합_가정!$E$129*(①통합_가정!$E$133*SUMIF(①통합_가정!$L$124:$L$128,BM6,①통합_가정!$K$124:$K$128)+IF(BM15=13,①통합_가정!$E$134-①통합_가정!$E$133,0)+IF(BM15=25,①통합_가정!$E$135-①통합_가정!$E$134,0))</f>
        <v>74580.48</v>
      </c>
      <c r="BN79" s="37" t="n">
        <f aca="false">①통합_가정!$E$38*①통합_가정!$E$129*(①통합_가정!$E$133*SUMIF(①통합_가정!$L$124:$L$128,BN6,①통합_가정!$K$124:$K$128)+IF(BN15=13,①통합_가정!$E$134-①통합_가정!$E$133,0)+IF(BN15=25,①통합_가정!$E$135-①통합_가정!$E$134,0))</f>
        <v>0</v>
      </c>
      <c r="BO79" s="37" t="n">
        <f aca="false">①통합_가정!$E$38*①통합_가정!$E$129*(①통합_가정!$E$133*SUMIF(①통합_가정!$L$124:$L$128,BO6,①통합_가정!$K$124:$K$128)+IF(BO15=13,①통합_가정!$E$134-①통합_가정!$E$133,0)+IF(BO15=25,①통합_가정!$E$135-①통합_가정!$E$134,0))</f>
        <v>0</v>
      </c>
      <c r="BP79" s="37" t="n">
        <f aca="false">①통합_가정!$E$38*①통합_가정!$E$129*(①통합_가정!$E$133*SUMIF(①통합_가정!$L$124:$L$128,BP6,①통합_가정!$K$124:$K$128)+IF(BP15=13,①통합_가정!$E$134-①통합_가정!$E$133,0)+IF(BP15=25,①통합_가정!$E$135-①통합_가정!$E$134,0))</f>
        <v>0</v>
      </c>
      <c r="BQ79" s="37" t="n">
        <f aca="false">①통합_가정!$E$38*①통합_가정!$E$129*(①통합_가정!$E$133*SUMIF(①통합_가정!$L$124:$L$128,BQ6,①통합_가정!$K$124:$K$128)+IF(BQ15=13,①통합_가정!$E$134-①통합_가정!$E$133,0)+IF(BQ15=25,①통합_가정!$E$135-①통합_가정!$E$134,0))</f>
        <v>0</v>
      </c>
      <c r="BR79" s="37" t="n">
        <f aca="false">①통합_가정!$E$38*①통합_가정!$E$129*(①통합_가정!$E$133*SUMIF(①통합_가정!$L$124:$L$128,BR6,①통합_가정!$K$124:$K$128)+IF(BR15=13,①통합_가정!$E$134-①통합_가정!$E$133,0)+IF(BR15=25,①통합_가정!$E$135-①통합_가정!$E$134,0))</f>
        <v>0</v>
      </c>
      <c r="BS79" s="37" t="n">
        <f aca="false">①통합_가정!$E$38*①통합_가정!$E$129*(①통합_가정!$E$133*SUMIF(①통합_가정!$L$124:$L$128,BS6,①통합_가정!$K$124:$K$128)+IF(BS15=13,①통합_가정!$E$134-①통합_가정!$E$133,0)+IF(BS15=25,①통합_가정!$E$135-①통합_가정!$E$134,0))</f>
        <v>0</v>
      </c>
      <c r="BT79" s="37" t="n">
        <f aca="false">①통합_가정!$E$38*①통합_가정!$E$129*(①통합_가정!$E$133*SUMIF(①통합_가정!$L$124:$L$128,BT6,①통합_가정!$K$124:$K$128)+IF(BT15=13,①통합_가정!$E$134-①통합_가정!$E$133,0)+IF(BT15=25,①통합_가정!$E$135-①통합_가정!$E$134,0))</f>
        <v>0</v>
      </c>
      <c r="BU79" s="37" t="n">
        <f aca="false">①통합_가정!$E$38*①통합_가정!$E$129*(①통합_가정!$E$133*SUMIF(①통합_가정!$L$124:$L$128,BU6,①통합_가정!$K$124:$K$128)+IF(BU15=13,①통합_가정!$E$134-①통합_가정!$E$133,0)+IF(BU15=25,①통합_가정!$E$135-①통합_가정!$E$134,0))</f>
        <v>0</v>
      </c>
      <c r="BV79" s="37" t="n">
        <f aca="false">①통합_가정!$E$38*①통합_가정!$E$129*(①통합_가정!$E$133*SUMIF(①통합_가정!$L$124:$L$128,BV6,①통합_가정!$K$124:$K$128)+IF(BV15=13,①통합_가정!$E$134-①통합_가정!$E$133,0)+IF(BV15=25,①통합_가정!$E$135-①통합_가정!$E$134,0))</f>
        <v>0</v>
      </c>
      <c r="BW79" s="37" t="n">
        <f aca="false">①통합_가정!$E$38*①통합_가정!$E$129*(①통합_가정!$E$133*SUMIF(①통합_가정!$L$124:$L$128,BW6,①통합_가정!$K$124:$K$128)+IF(BW15=13,①통합_가정!$E$134-①통합_가정!$E$133,0)+IF(BW15=25,①통합_가정!$E$135-①통합_가정!$E$134,0))</f>
        <v>0</v>
      </c>
      <c r="BX79" s="37" t="n">
        <f aca="false">①통합_가정!$E$38*①통합_가정!$E$129*(①통합_가정!$E$133*SUMIF(①통합_가정!$L$124:$L$128,BX6,①통합_가정!$K$124:$K$128)+IF(BX15=13,①통합_가정!$E$134-①통합_가정!$E$133,0)+IF(BX15=25,①통합_가정!$E$135-①통합_가정!$E$134,0))</f>
        <v>0</v>
      </c>
      <c r="BY79" s="37" t="n">
        <f aca="false">①통합_가정!$E$38*①통합_가정!$E$129*(①통합_가정!$E$133*SUMIF(①통합_가정!$L$124:$L$128,BY6,①통합_가정!$K$124:$K$128)+IF(BY15=13,①통합_가정!$E$134-①통합_가정!$E$133,0)+IF(BY15=25,①통합_가정!$E$135-①통합_가정!$E$134,0))</f>
        <v>62150.4</v>
      </c>
      <c r="BZ79" s="37" t="n">
        <f aca="false">①통합_가정!$E$38*①통합_가정!$E$129*(①통합_가정!$E$133*SUMIF(①통합_가정!$L$124:$L$128,BZ6,①통합_가정!$K$124:$K$128)+IF(BZ15=13,①통합_가정!$E$134-①통합_가정!$E$133,0)+IF(BZ15=25,①통합_가정!$E$135-①통합_가정!$E$134,0))</f>
        <v>0</v>
      </c>
      <c r="CA79" s="37" t="n">
        <f aca="false">①통합_가정!$E$38*①통합_가정!$E$129*(①통합_가정!$E$133*SUMIF(①통합_가정!$L$124:$L$128,CA6,①통합_가정!$K$124:$K$128)+IF(CA15=13,①통합_가정!$E$134-①통합_가정!$E$133,0)+IF(CA15=25,①통합_가정!$E$135-①통합_가정!$E$134,0))</f>
        <v>0</v>
      </c>
      <c r="CB79" s="37" t="n">
        <f aca="false">①통합_가정!$E$38*①통합_가정!$E$129*(①통합_가정!$E$133*SUMIF(①통합_가정!$L$124:$L$128,CB6,①통합_가정!$K$124:$K$128)+IF(CB15=13,①통합_가정!$E$134-①통합_가정!$E$133,0)+IF(CB15=25,①통합_가정!$E$135-①통합_가정!$E$134,0))</f>
        <v>0</v>
      </c>
      <c r="CC79" s="37" t="n">
        <f aca="false">①통합_가정!$E$38*①통합_가정!$E$129*(①통합_가정!$E$133*SUMIF(①통합_가정!$L$124:$L$128,CC6,①통합_가정!$K$124:$K$128)+IF(CC15=13,①통합_가정!$E$134-①통합_가정!$E$133,0)+IF(CC15=25,①통합_가정!$E$135-①통합_가정!$E$134,0))</f>
        <v>0</v>
      </c>
      <c r="CD79" s="37" t="n">
        <f aca="false">①통합_가정!$E$38*①통합_가정!$E$129*(①통합_가정!$E$133*SUMIF(①통합_가정!$L$124:$L$128,CD6,①통합_가정!$K$124:$K$128)+IF(CD15=13,①통합_가정!$E$134-①통합_가정!$E$133,0)+IF(CD15=25,①통합_가정!$E$135-①통합_가정!$E$134,0))</f>
        <v>0</v>
      </c>
      <c r="CE79" s="37" t="n">
        <f aca="false">①통합_가정!$E$38*①통합_가정!$E$129*(①통합_가정!$E$133*SUMIF(①통합_가정!$L$124:$L$128,CE6,①통합_가정!$K$124:$K$128)+IF(CE15=13,①통합_가정!$E$134-①통합_가정!$E$133,0)+IF(CE15=25,①통합_가정!$E$135-①통합_가정!$E$134,0))</f>
        <v>0</v>
      </c>
      <c r="CF79" s="37" t="n">
        <f aca="false">①통합_가정!$E$38*①통합_가정!$E$129*(①통합_가정!$E$133*SUMIF(①통합_가정!$L$124:$L$128,CF6,①통합_가정!$K$124:$K$128)+IF(CF15=13,①통합_가정!$E$134-①통합_가정!$E$133,0)+IF(CF15=25,①통합_가정!$E$135-①통합_가정!$E$134,0))</f>
        <v>0</v>
      </c>
      <c r="CG79" s="37" t="n">
        <f aca="false">①통합_가정!$E$38*①통합_가정!$E$129*(①통합_가정!$E$133*SUMIF(①통합_가정!$L$124:$L$128,CG6,①통합_가정!$K$124:$K$128)+IF(CG15=13,①통합_가정!$E$134-①통합_가정!$E$133,0)+IF(CG15=25,①통합_가정!$E$135-①통합_가정!$E$134,0))</f>
        <v>0</v>
      </c>
      <c r="CH79" s="37" t="n">
        <f aca="false">①통합_가정!$E$38*①통합_가정!$E$129*(①통합_가정!$E$133*SUMIF(①통합_가정!$L$124:$L$128,CH6,①통합_가정!$K$124:$K$128)+IF(CH15=13,①통합_가정!$E$134-①통합_가정!$E$133,0)+IF(CH15=25,①통합_가정!$E$135-①통합_가정!$E$134,0))</f>
        <v>0</v>
      </c>
      <c r="CI79" s="37" t="n">
        <f aca="false">①통합_가정!$E$38*①통합_가정!$E$129*(①통합_가정!$E$133*SUMIF(①통합_가정!$L$124:$L$128,CI6,①통합_가정!$K$124:$K$128)+IF(CI15=13,①통합_가정!$E$134-①통합_가정!$E$133,0)+IF(CI15=25,①통합_가정!$E$135-①통합_가정!$E$134,0))</f>
        <v>0</v>
      </c>
      <c r="CJ79" s="37" t="n">
        <f aca="false">①통합_가정!$E$38*①통합_가정!$E$129*(①통합_가정!$E$133*SUMIF(①통합_가정!$L$124:$L$128,CJ6,①통합_가정!$K$124:$K$128)+IF(CJ15=13,①통합_가정!$E$134-①통합_가정!$E$133,0)+IF(CJ15=25,①통합_가정!$E$135-①통합_가정!$E$134,0))</f>
        <v>0</v>
      </c>
      <c r="CK79" s="37" t="n">
        <f aca="false">①통합_가정!$E$38*①통합_가정!$E$129*(①통합_가정!$E$133*SUMIF(①통합_가정!$L$124:$L$128,CK6,①통합_가정!$K$124:$K$128)+IF(CK15=13,①통합_가정!$E$134-①통합_가정!$E$133,0)+IF(CK15=25,①통합_가정!$E$135-①통합_가정!$E$134,0))</f>
        <v>0</v>
      </c>
      <c r="CL79" s="37" t="n">
        <f aca="false">①통합_가정!$E$38*①통합_가정!$E$129*(①통합_가정!$E$133*SUMIF(①통합_가정!$L$124:$L$128,CL6,①통합_가정!$K$124:$K$128)+IF(CL15=13,①통합_가정!$E$134-①통합_가정!$E$133,0)+IF(CL15=25,①통합_가정!$E$135-①통합_가정!$E$134,0))</f>
        <v>0</v>
      </c>
      <c r="CM79" s="37" t="n">
        <f aca="false">①통합_가정!$E$38*①통합_가정!$E$129*(①통합_가정!$E$133*SUMIF(①통합_가정!$L$124:$L$128,CM6,①통합_가정!$K$124:$K$128)+IF(CM15=13,①통합_가정!$E$134-①통합_가정!$E$133,0)+IF(CM15=25,①통합_가정!$E$135-①통합_가정!$E$134,0))</f>
        <v>0</v>
      </c>
      <c r="CN79" s="37" t="n">
        <f aca="false">①통합_가정!$E$38*①통합_가정!$E$129*(①통합_가정!$E$133*SUMIF(①통합_가정!$L$124:$L$128,CN6,①통합_가정!$K$124:$K$128)+IF(CN15=13,①통합_가정!$E$134-①통합_가정!$E$133,0)+IF(CN15=25,①통합_가정!$E$135-①통합_가정!$E$134,0))</f>
        <v>0</v>
      </c>
      <c r="CO79" s="37" t="n">
        <f aca="false">①통합_가정!$E$38*①통합_가정!$E$129*(①통합_가정!$E$133*SUMIF(①통합_가정!$L$124:$L$128,CO6,①통합_가정!$K$124:$K$128)+IF(CO15=13,①통합_가정!$E$134-①통합_가정!$E$133,0)+IF(CO15=25,①통합_가정!$E$135-①통합_가정!$E$134,0))</f>
        <v>0</v>
      </c>
      <c r="CP79" s="37" t="n">
        <f aca="false">①통합_가정!$E$38*①통합_가정!$E$129*(①통합_가정!$E$133*SUMIF(①통합_가정!$L$124:$L$128,CP6,①통합_가정!$K$124:$K$128)+IF(CP15=13,①통합_가정!$E$134-①통합_가정!$E$133,0)+IF(CP15=25,①통합_가정!$E$135-①통합_가정!$E$134,0))</f>
        <v>0</v>
      </c>
      <c r="CQ79" s="37" t="n">
        <f aca="false">①통합_가정!$E$38*①통합_가정!$E$129*(①통합_가정!$E$133*SUMIF(①통합_가정!$L$124:$L$128,CQ6,①통합_가정!$K$124:$K$128)+IF(CQ15=13,①통합_가정!$E$134-①통합_가정!$E$133,0)+IF(CQ15=25,①통합_가정!$E$135-①통합_가정!$E$134,0))</f>
        <v>0</v>
      </c>
      <c r="CR79" s="37" t="n">
        <f aca="false">①통합_가정!$E$38*①통합_가정!$E$129*(①통합_가정!$E$133*SUMIF(①통합_가정!$L$124:$L$128,CR6,①통합_가정!$K$124:$K$128)+IF(CR15=13,①통합_가정!$E$134-①통합_가정!$E$133,0)+IF(CR15=25,①통합_가정!$E$135-①통합_가정!$E$134,0))</f>
        <v>0</v>
      </c>
      <c r="CS79" s="37" t="n">
        <f aca="false">①통합_가정!$E$38*①통합_가정!$E$129*(①통합_가정!$E$133*SUMIF(①통합_가정!$L$124:$L$128,CS6,①통합_가정!$K$124:$K$128)+IF(CS15=13,①통합_가정!$E$134-①통합_가정!$E$133,0)+IF(CS15=25,①통합_가정!$E$135-①통합_가정!$E$134,0))</f>
        <v>0</v>
      </c>
      <c r="CT79" s="37" t="n">
        <f aca="false">①통합_가정!$E$38*①통합_가정!$E$129*(①통합_가정!$E$133*SUMIF(①통합_가정!$L$124:$L$128,CT6,①통합_가정!$K$124:$K$128)+IF(CT15=13,①통합_가정!$E$134-①통합_가정!$E$133,0)+IF(CT15=25,①통합_가정!$E$135-①통합_가정!$E$134,0))</f>
        <v>0</v>
      </c>
      <c r="CU79" s="37" t="n">
        <f aca="false">①통합_가정!$E$38*①통합_가정!$E$129*(①통합_가정!$E$133*SUMIF(①통합_가정!$L$124:$L$128,CU6,①통합_가정!$K$124:$K$128)+IF(CU15=13,①통합_가정!$E$134-①통합_가정!$E$133,0)+IF(CU15=25,①통합_가정!$E$135-①통합_가정!$E$134,0))</f>
        <v>0</v>
      </c>
      <c r="CV79" s="37" t="n">
        <f aca="false">①통합_가정!$E$38*①통합_가정!$E$129*(①통합_가정!$E$133*SUMIF(①통합_가정!$L$124:$L$128,CV6,①통합_가정!$K$124:$K$128)+IF(CV15=13,①통합_가정!$E$134-①통합_가정!$E$133,0)+IF(CV15=25,①통합_가정!$E$135-①통합_가정!$E$134,0))</f>
        <v>0</v>
      </c>
      <c r="CW79" s="37" t="n">
        <f aca="false">①통합_가정!$E$38*①통합_가정!$E$129*(①통합_가정!$E$133*SUMIF(①통합_가정!$L$124:$L$128,CW6,①통합_가정!$K$124:$K$128)+IF(CW15=13,①통합_가정!$E$134-①통합_가정!$E$133,0)+IF(CW15=25,①통합_가정!$E$135-①통합_가정!$E$134,0))</f>
        <v>0</v>
      </c>
      <c r="CX79" s="37" t="n">
        <f aca="false">①통합_가정!$E$38*①통합_가정!$E$129*(①통합_가정!$E$133*SUMIF(①통합_가정!$L$124:$L$128,CX6,①통합_가정!$K$124:$K$128)+IF(CX15=13,①통합_가정!$E$134-①통합_가정!$E$133,0)+IF(CX15=25,①통합_가정!$E$135-①통합_가정!$E$134,0))</f>
        <v>0</v>
      </c>
      <c r="CY79" s="37" t="n">
        <f aca="false">①통합_가정!$E$38*①통합_가정!$E$129*(①통합_가정!$E$133*SUMIF(①통합_가정!$L$124:$L$128,CY6,①통합_가정!$K$124:$K$128)+IF(CY15=13,①통합_가정!$E$134-①통합_가정!$E$133,0)+IF(CY15=25,①통합_가정!$E$135-①통합_가정!$E$134,0))</f>
        <v>0</v>
      </c>
      <c r="CZ79" s="37" t="n">
        <f aca="false">①통합_가정!$E$38*①통합_가정!$E$129*(①통합_가정!$E$133*SUMIF(①통합_가정!$L$124:$L$128,CZ6,①통합_가정!$K$124:$K$128)+IF(CZ15=13,①통합_가정!$E$134-①통합_가정!$E$133,0)+IF(CZ15=25,①통합_가정!$E$135-①통합_가정!$E$134,0))</f>
        <v>0</v>
      </c>
      <c r="DA79" s="37" t="n">
        <f aca="false">①통합_가정!$E$38*①통합_가정!$E$129*(①통합_가정!$E$133*SUMIF(①통합_가정!$L$124:$L$128,DA6,①통합_가정!$K$124:$K$128)+IF(DA15=13,①통합_가정!$E$134-①통합_가정!$E$133,0)+IF(DA15=25,①통합_가정!$E$135-①통합_가정!$E$134,0))</f>
        <v>0</v>
      </c>
      <c r="DB79" s="37" t="n">
        <f aca="false">①통합_가정!$E$38*①통합_가정!$E$129*(①통합_가정!$E$133*SUMIF(①통합_가정!$L$124:$L$128,DB6,①통합_가정!$K$124:$K$128)+IF(DB15=13,①통합_가정!$E$134-①통합_가정!$E$133,0)+IF(DB15=25,①통합_가정!$E$135-①통합_가정!$E$134,0))</f>
        <v>0</v>
      </c>
      <c r="DC79" s="37" t="n">
        <f aca="false">①통합_가정!$E$38*①통합_가정!$E$129*(①통합_가정!$E$133*SUMIF(①통합_가정!$L$124:$L$128,DC6,①통합_가정!$K$124:$K$128)+IF(DC15=13,①통합_가정!$E$134-①통합_가정!$E$133,0)+IF(DC15=25,①통합_가정!$E$135-①통합_가정!$E$134,0))</f>
        <v>0</v>
      </c>
      <c r="DD79" s="37" t="n">
        <f aca="false">①통합_가정!$E$38*①통합_가정!$E$129*(①통합_가정!$E$133*SUMIF(①통합_가정!$L$124:$L$128,DD6,①통합_가정!$K$124:$K$128)+IF(DD15=13,①통합_가정!$E$134-①통합_가정!$E$133,0)+IF(DD15=25,①통합_가정!$E$135-①통합_가정!$E$134,0))</f>
        <v>0</v>
      </c>
      <c r="DE79" s="37" t="n">
        <f aca="false">①통합_가정!$E$38*①통합_가정!$E$129*(①통합_가정!$E$133*SUMIF(①통합_가정!$L$124:$L$128,DE6,①통합_가정!$K$124:$K$128)+IF(DE15=13,①통합_가정!$E$134-①통합_가정!$E$133,0)+IF(DE15=25,①통합_가정!$E$135-①통합_가정!$E$134,0))</f>
        <v>0</v>
      </c>
      <c r="DF79" s="37" t="n">
        <f aca="false">①통합_가정!$E$38*①통합_가정!$E$129*(①통합_가정!$E$133*SUMIF(①통합_가정!$L$124:$L$128,DF6,①통합_가정!$K$124:$K$128)+IF(DF15=13,①통합_가정!$E$134-①통합_가정!$E$133,0)+IF(DF15=25,①통합_가정!$E$135-①통합_가정!$E$134,0))</f>
        <v>0</v>
      </c>
      <c r="DG79" s="37" t="n">
        <f aca="false">①통합_가정!$E$38*①통합_가정!$E$129*(①통합_가정!$E$133*SUMIF(①통합_가정!$L$124:$L$128,DG6,①통합_가정!$K$124:$K$128)+IF(DG15=13,①통합_가정!$E$134-①통합_가정!$E$133,0)+IF(DG15=25,①통합_가정!$E$135-①통합_가정!$E$134,0))</f>
        <v>0</v>
      </c>
      <c r="DH79" s="37" t="n">
        <f aca="false">①통합_가정!$E$38*①통합_가정!$E$129*(①통합_가정!$E$133*SUMIF(①통합_가정!$L$124:$L$128,DH6,①통합_가정!$K$124:$K$128)+IF(DH15=13,①통합_가정!$E$134-①통합_가정!$E$133,0)+IF(DH15=25,①통합_가정!$E$135-①통합_가정!$E$134,0))</f>
        <v>0</v>
      </c>
      <c r="DI79" s="37" t="n">
        <f aca="false">①통합_가정!$E$38*①통합_가정!$E$129*(①통합_가정!$E$133*SUMIF(①통합_가정!$L$124:$L$128,DI6,①통합_가정!$K$124:$K$128)+IF(DI15=13,①통합_가정!$E$134-①통합_가정!$E$133,0)+IF(DI15=25,①통합_가정!$E$135-①통합_가정!$E$134,0))</f>
        <v>0</v>
      </c>
      <c r="DJ79" s="37" t="n">
        <f aca="false">①통합_가정!$E$38*①통합_가정!$E$129*(①통합_가정!$E$133*SUMIF(①통합_가정!$L$124:$L$128,DJ6,①통합_가정!$K$124:$K$128)+IF(DJ15=13,①통합_가정!$E$134-①통합_가정!$E$133,0)+IF(DJ15=25,①통합_가정!$E$135-①통합_가정!$E$134,0))</f>
        <v>0</v>
      </c>
      <c r="DK79" s="37" t="n">
        <f aca="false">①통합_가정!$E$38*①통합_가정!$E$129*(①통합_가정!$E$133*SUMIF(①통합_가정!$L$124:$L$128,DK6,①통합_가정!$K$124:$K$128)+IF(DK15=13,①통합_가정!$E$134-①통합_가정!$E$133,0)+IF(DK15=25,①통합_가정!$E$135-①통합_가정!$E$134,0))</f>
        <v>0</v>
      </c>
      <c r="DL79" s="37" t="n">
        <f aca="false">①통합_가정!$E$38*①통합_가정!$E$129*(①통합_가정!$E$133*SUMIF(①통합_가정!$L$124:$L$128,DL6,①통합_가정!$K$124:$K$128)+IF(DL15=13,①통합_가정!$E$134-①통합_가정!$E$133,0)+IF(DL15=25,①통합_가정!$E$135-①통합_가정!$E$134,0))</f>
        <v>0</v>
      </c>
      <c r="DM79" s="37" t="n">
        <f aca="false">①통합_가정!$E$38*①통합_가정!$E$129*(①통합_가정!$E$133*SUMIF(①통합_가정!$L$124:$L$128,DM6,①통합_가정!$K$124:$K$128)+IF(DM15=13,①통합_가정!$E$134-①통합_가정!$E$133,0)+IF(DM15=25,①통합_가정!$E$135-①통합_가정!$E$134,0))</f>
        <v>0</v>
      </c>
      <c r="DN79" s="37" t="n">
        <f aca="false">①통합_가정!$E$38*①통합_가정!$E$129*(①통합_가정!$E$133*SUMIF(①통합_가정!$L$124:$L$128,DN6,①통합_가정!$K$124:$K$128)+IF(DN15=13,①통합_가정!$E$134-①통합_가정!$E$133,0)+IF(DN15=25,①통합_가정!$E$135-①통합_가정!$E$134,0))</f>
        <v>0</v>
      </c>
      <c r="DO79" s="37" t="n">
        <f aca="false">①통합_가정!$E$38*①통합_가정!$E$129*(①통합_가정!$E$133*SUMIF(①통합_가정!$L$124:$L$128,DO6,①통합_가정!$K$124:$K$128)+IF(DO15=13,①통합_가정!$E$134-①통합_가정!$E$133,0)+IF(DO15=25,①통합_가정!$E$135-①통합_가정!$E$134,0))</f>
        <v>0</v>
      </c>
      <c r="DP79" s="37" t="n">
        <f aca="false">①통합_가정!$E$38*①통합_가정!$E$129*(①통합_가정!$E$133*SUMIF(①통합_가정!$L$124:$L$128,DP6,①통합_가정!$K$124:$K$128)+IF(DP15=13,①통합_가정!$E$134-①통합_가정!$E$133,0)+IF(DP15=25,①통합_가정!$E$135-①통합_가정!$E$134,0))</f>
        <v>0</v>
      </c>
      <c r="DQ79" s="37" t="n">
        <f aca="false">①통합_가정!$E$38*①통합_가정!$E$129*(①통합_가정!$E$133*SUMIF(①통합_가정!$L$124:$L$128,DQ6,①통합_가정!$K$124:$K$128)+IF(DQ15=13,①통합_가정!$E$134-①통합_가정!$E$133,0)+IF(DQ15=25,①통합_가정!$E$135-①통합_가정!$E$134,0))</f>
        <v>0</v>
      </c>
      <c r="DR79" s="37" t="n">
        <f aca="false">①통합_가정!$E$38*①통합_가정!$E$129*(①통합_가정!$E$133*SUMIF(①통합_가정!$L$124:$L$128,DR6,①통합_가정!$K$124:$K$128)+IF(DR15=13,①통합_가정!$E$134-①통합_가정!$E$133,0)+IF(DR15=25,①통합_가정!$E$135-①통합_가정!$E$134,0))</f>
        <v>0</v>
      </c>
      <c r="DS79" s="37" t="n">
        <f aca="false">①통합_가정!$E$38*①통합_가정!$E$129*(①통합_가정!$E$133*SUMIF(①통합_가정!$L$124:$L$128,DS6,①통합_가정!$K$124:$K$128)+IF(DS15=13,①통합_가정!$E$134-①통합_가정!$E$133,0)+IF(DS15=25,①통합_가정!$E$135-①통합_가정!$E$134,0))</f>
        <v>0</v>
      </c>
      <c r="DT79" s="37" t="n">
        <f aca="false">①통합_가정!$E$38*①통합_가정!$E$129*(①통합_가정!$E$133*SUMIF(①통합_가정!$L$124:$L$128,DT6,①통합_가정!$K$124:$K$128)+IF(DT15=13,①통합_가정!$E$134-①통합_가정!$E$133,0)+IF(DT15=25,①통합_가정!$E$135-①통합_가정!$E$134,0))</f>
        <v>0</v>
      </c>
      <c r="DU79" s="37" t="n">
        <f aca="false">①통합_가정!$E$38*①통합_가정!$E$129*(①통합_가정!$E$133*SUMIF(①통합_가정!$L$124:$L$128,DU6,①통합_가정!$K$124:$K$128)+IF(DU15=13,①통합_가정!$E$134-①통합_가정!$E$133,0)+IF(DU15=25,①통합_가정!$E$135-①통합_가정!$E$134,0))</f>
        <v>0</v>
      </c>
      <c r="DV79" s="37" t="n">
        <f aca="false">①통합_가정!$E$38*①통합_가정!$E$129*(①통합_가정!$E$133*SUMIF(①통합_가정!$L$124:$L$128,DV6,①통합_가정!$K$124:$K$128)+IF(DV15=13,①통합_가정!$E$134-①통합_가정!$E$133,0)+IF(DV15=25,①통합_가정!$E$135-①통합_가정!$E$134,0))</f>
        <v>0</v>
      </c>
      <c r="DW79" s="37" t="n">
        <f aca="false">①통합_가정!$E$38*①통합_가정!$E$129*(①통합_가정!$E$133*SUMIF(①통합_가정!$L$124:$L$128,DW6,①통합_가정!$K$124:$K$128)+IF(DW15=13,①통합_가정!$E$134-①통합_가정!$E$133,0)+IF(DW15=25,①통합_가정!$E$135-①통합_가정!$E$134,0))</f>
        <v>0</v>
      </c>
      <c r="DX79" s="37" t="n">
        <f aca="false">①통합_가정!$E$38*①통합_가정!$E$129*(①통합_가정!$E$133*SUMIF(①통합_가정!$L$124:$L$128,DX6,①통합_가정!$K$124:$K$128)+IF(DX15=13,①통합_가정!$E$134-①통합_가정!$E$133,0)+IF(DX15=25,①통합_가정!$E$135-①통합_가정!$E$134,0))</f>
        <v>0</v>
      </c>
      <c r="DY79" s="37" t="n">
        <f aca="false">①통합_가정!$E$38*①통합_가정!$E$129*(①통합_가정!$E$133*SUMIF(①통합_가정!$L$124:$L$128,DY6,①통합_가정!$K$124:$K$128)+IF(DY15=13,①통합_가정!$E$134-①통합_가정!$E$133,0)+IF(DY15=25,①통합_가정!$E$135-①통합_가정!$E$134,0))</f>
        <v>0</v>
      </c>
      <c r="DZ79" s="37" t="n">
        <f aca="false">①통합_가정!$E$38*①통합_가정!$E$129*(①통합_가정!$E$133*SUMIF(①통합_가정!$L$124:$L$128,DZ6,①통합_가정!$K$124:$K$128)+IF(DZ15=13,①통합_가정!$E$134-①통합_가정!$E$133,0)+IF(DZ15=25,①통합_가정!$E$135-①통합_가정!$E$134,0))</f>
        <v>0</v>
      </c>
      <c r="EA79" s="37" t="n">
        <f aca="false">①통합_가정!$E$38*①통합_가정!$E$129*(①통합_가정!$E$133*SUMIF(①통합_가정!$L$124:$L$128,EA6,①통합_가정!$K$124:$K$128)+IF(EA15=13,①통합_가정!$E$134-①통합_가정!$E$133,0)+IF(EA15=25,①통합_가정!$E$135-①통합_가정!$E$134,0))</f>
        <v>0</v>
      </c>
      <c r="EB79" s="37" t="n">
        <f aca="false">①통합_가정!$E$38*①통합_가정!$E$129*(①통합_가정!$E$133*SUMIF(①통합_가정!$L$124:$L$128,EB6,①통합_가정!$K$124:$K$128)+IF(EB15=13,①통합_가정!$E$134-①통합_가정!$E$133,0)+IF(EB15=25,①통합_가정!$E$135-①통합_가정!$E$134,0))</f>
        <v>0</v>
      </c>
      <c r="EC79" s="37" t="n">
        <f aca="false">①통합_가정!$E$38*①통합_가정!$E$129*(①통합_가정!$E$133*SUMIF(①통합_가정!$L$124:$L$128,EC6,①통합_가정!$K$124:$K$128)+IF(EC15=13,①통합_가정!$E$134-①통합_가정!$E$133,0)+IF(EC15=25,①통합_가정!$E$135-①통합_가정!$E$134,0))</f>
        <v>0</v>
      </c>
      <c r="ED79" s="37" t="n">
        <f aca="false">①통합_가정!$E$38*①통합_가정!$E$129*(①통합_가정!$E$133*SUMIF(①통합_가정!$L$124:$L$128,ED6,①통합_가정!$K$124:$K$128)+IF(ED15=13,①통합_가정!$E$134-①통합_가정!$E$133,0)+IF(ED15=25,①통합_가정!$E$135-①통합_가정!$E$134,0))</f>
        <v>0</v>
      </c>
      <c r="EE79" s="37" t="n">
        <f aca="false">①통합_가정!$E$38*①통합_가정!$E$129*(①통합_가정!$E$133*SUMIF(①통합_가정!$L$124:$L$128,EE6,①통합_가정!$K$124:$K$128)+IF(EE15=13,①통합_가정!$E$134-①통합_가정!$E$133,0)+IF(EE15=25,①통합_가정!$E$135-①통합_가정!$E$134,0))</f>
        <v>0</v>
      </c>
      <c r="EF79" s="37" t="n">
        <f aca="false">①통합_가정!$E$38*①통합_가정!$E$129*(①통합_가정!$E$133*SUMIF(①통합_가정!$L$124:$L$128,EF6,①통합_가정!$K$124:$K$128)+IF(EF15=13,①통합_가정!$E$134-①통합_가정!$E$133,0)+IF(EF15=25,①통합_가정!$E$135-①통합_가정!$E$134,0))</f>
        <v>0</v>
      </c>
    </row>
    <row r="80" customFormat="false" ht="15" hidden="false" customHeight="false" outlineLevel="0" collapsed="false">
      <c r="A80" s="36" t="s">
        <v>622</v>
      </c>
      <c r="B80" s="278" t="s">
        <v>21</v>
      </c>
      <c r="C80" s="279" t="n">
        <f aca="false">SUM(E80:EF80)</f>
        <v>66000</v>
      </c>
      <c r="E80" s="37" t="n">
        <f aca="false">①통합_가정!$F$38*①통합_가정!$E$151*(IF(E15=1,①통합_가정!$E$156,0)+IF(E15=13,①통합_가정!$E$157-①통합_가정!$E$156,0)+IF(E15=25,①통합_가정!$E$158-①통합_가정!$E$157,0))</f>
        <v>0</v>
      </c>
      <c r="F80" s="37" t="n">
        <f aca="false">①통합_가정!$F$38*①통합_가정!$E$151*(IF(F15=1,①통합_가정!$E$156,0)+IF(F15=13,①통합_가정!$E$157-①통합_가정!$E$156,0)+IF(F15=25,①통합_가정!$E$158-①통합_가정!$E$157,0))</f>
        <v>0</v>
      </c>
      <c r="G80" s="37" t="n">
        <f aca="false">①통합_가정!$F$38*①통합_가정!$E$151*(IF(G15=1,①통합_가정!$E$156,0)+IF(G15=13,①통합_가정!$E$157-①통합_가정!$E$156,0)+IF(G15=25,①통합_가정!$E$158-①통합_가정!$E$157,0))</f>
        <v>0</v>
      </c>
      <c r="H80" s="37" t="n">
        <f aca="false">①통합_가정!$F$38*①통합_가정!$E$151*(IF(H15=1,①통합_가정!$E$156,0)+IF(H15=13,①통합_가정!$E$157-①통합_가정!$E$156,0)+IF(H15=25,①통합_가정!$E$158-①통합_가정!$E$157,0))</f>
        <v>0</v>
      </c>
      <c r="I80" s="37" t="n">
        <f aca="false">①통합_가정!$F$38*①통합_가정!$E$151*(IF(I15=1,①통합_가정!$E$156,0)+IF(I15=13,①통합_가정!$E$157-①통합_가정!$E$156,0)+IF(I15=25,①통합_가정!$E$158-①통합_가정!$E$157,0))</f>
        <v>0</v>
      </c>
      <c r="J80" s="37" t="n">
        <f aca="false">①통합_가정!$F$38*①통합_가정!$E$151*(IF(J15=1,①통합_가정!$E$156,0)+IF(J15=13,①통합_가정!$E$157-①통합_가정!$E$156,0)+IF(J15=25,①통합_가정!$E$158-①통합_가정!$E$157,0))</f>
        <v>0</v>
      </c>
      <c r="K80" s="37" t="n">
        <f aca="false">①통합_가정!$F$38*①통합_가정!$E$151*(IF(K15=1,①통합_가정!$E$156,0)+IF(K15=13,①통합_가정!$E$157-①통합_가정!$E$156,0)+IF(K15=25,①통합_가정!$E$158-①통합_가정!$E$157,0))</f>
        <v>0</v>
      </c>
      <c r="L80" s="37" t="n">
        <f aca="false">①통합_가정!$F$38*①통합_가정!$E$151*(IF(L15=1,①통합_가정!$E$156,0)+IF(L15=13,①통합_가정!$E$157-①통합_가정!$E$156,0)+IF(L15=25,①통합_가정!$E$158-①통합_가정!$E$157,0))</f>
        <v>0</v>
      </c>
      <c r="M80" s="37" t="n">
        <f aca="false">①통합_가정!$F$38*①통합_가정!$E$151*(IF(M15=1,①통합_가정!$E$156,0)+IF(M15=13,①통합_가정!$E$157-①통합_가정!$E$156,0)+IF(M15=25,①통합_가정!$E$158-①통합_가정!$E$157,0))</f>
        <v>0</v>
      </c>
      <c r="N80" s="37" t="n">
        <f aca="false">①통합_가정!$F$38*①통합_가정!$E$151*(IF(N15=1,①통합_가정!$E$156,0)+IF(N15=13,①통합_가정!$E$157-①통합_가정!$E$156,0)+IF(N15=25,①통합_가정!$E$158-①통합_가정!$E$157,0))</f>
        <v>0</v>
      </c>
      <c r="O80" s="37" t="n">
        <f aca="false">①통합_가정!$F$38*①통합_가정!$E$151*(IF(O15=1,①통합_가정!$E$156,0)+IF(O15=13,①통합_가정!$E$157-①통합_가정!$E$156,0)+IF(O15=25,①통합_가정!$E$158-①통합_가정!$E$157,0))</f>
        <v>0</v>
      </c>
      <c r="P80" s="37" t="n">
        <f aca="false">①통합_가정!$F$38*①통합_가정!$E$151*(IF(P15=1,①통합_가정!$E$156,0)+IF(P15=13,①통합_가정!$E$157-①통합_가정!$E$156,0)+IF(P15=25,①통합_가정!$E$158-①통합_가정!$E$157,0))</f>
        <v>0</v>
      </c>
      <c r="Q80" s="37" t="n">
        <f aca="false">①통합_가정!$F$38*①통합_가정!$E$151*(IF(Q15=1,①통합_가정!$E$156,0)+IF(Q15=13,①통합_가정!$E$157-①통합_가정!$E$156,0)+IF(Q15=25,①통합_가정!$E$158-①통합_가정!$E$157,0))</f>
        <v>0</v>
      </c>
      <c r="R80" s="37" t="n">
        <f aca="false">①통합_가정!$F$38*①통합_가정!$E$151*(IF(R15=1,①통합_가정!$E$156,0)+IF(R15=13,①통합_가정!$E$157-①통합_가정!$E$156,0)+IF(R15=25,①통합_가정!$E$158-①통합_가정!$E$157,0))</f>
        <v>0</v>
      </c>
      <c r="S80" s="37" t="n">
        <f aca="false">①통합_가정!$F$38*①통합_가정!$E$151*(IF(S15=1,①통합_가정!$E$156,0)+IF(S15=13,①통합_가정!$E$157-①통합_가정!$E$156,0)+IF(S15=25,①통합_가정!$E$158-①통합_가정!$E$157,0))</f>
        <v>0</v>
      </c>
      <c r="T80" s="37" t="n">
        <f aca="false">①통합_가정!$F$38*①통합_가정!$E$151*(IF(T15=1,①통합_가정!$E$156,0)+IF(T15=13,①통합_가정!$E$157-①통합_가정!$E$156,0)+IF(T15=25,①통합_가정!$E$158-①통합_가정!$E$157,0))</f>
        <v>0</v>
      </c>
      <c r="U80" s="37" t="n">
        <f aca="false">①통합_가정!$F$38*①통합_가정!$E$151*(IF(U15=1,①통합_가정!$E$156,0)+IF(U15=13,①통합_가정!$E$157-①통합_가정!$E$156,0)+IF(U15=25,①통합_가정!$E$158-①통합_가정!$E$157,0))</f>
        <v>0</v>
      </c>
      <c r="V80" s="37" t="n">
        <f aca="false">①통합_가정!$F$38*①통합_가정!$E$151*(IF(V15=1,①통합_가정!$E$156,0)+IF(V15=13,①통합_가정!$E$157-①통합_가정!$E$156,0)+IF(V15=25,①통합_가정!$E$158-①통합_가정!$E$157,0))</f>
        <v>0</v>
      </c>
      <c r="W80" s="37" t="n">
        <f aca="false">①통합_가정!$F$38*①통합_가정!$E$151*(IF(W15=1,①통합_가정!$E$156,0)+IF(W15=13,①통합_가정!$E$157-①통합_가정!$E$156,0)+IF(W15=25,①통합_가정!$E$158-①통합_가정!$E$157,0))</f>
        <v>0</v>
      </c>
      <c r="X80" s="37" t="n">
        <f aca="false">①통합_가정!$F$38*①통합_가정!$E$151*(IF(X15=1,①통합_가정!$E$156,0)+IF(X15=13,①통합_가정!$E$157-①통합_가정!$E$156,0)+IF(X15=25,①통합_가정!$E$158-①통합_가정!$E$157,0))</f>
        <v>0</v>
      </c>
      <c r="Y80" s="37" t="n">
        <f aca="false">①통합_가정!$F$38*①통합_가정!$E$151*(IF(Y15=1,①통합_가정!$E$156,0)+IF(Y15=13,①통합_가정!$E$157-①통합_가정!$E$156,0)+IF(Y15=25,①통합_가정!$E$158-①통합_가정!$E$157,0))</f>
        <v>0</v>
      </c>
      <c r="Z80" s="37" t="n">
        <f aca="false">①통합_가정!$F$38*①통합_가정!$E$151*(IF(Z15=1,①통합_가정!$E$156,0)+IF(Z15=13,①통합_가정!$E$157-①통합_가정!$E$156,0)+IF(Z15=25,①통합_가정!$E$158-①통합_가정!$E$157,0))</f>
        <v>0</v>
      </c>
      <c r="AA80" s="37" t="n">
        <f aca="false">①통합_가정!$F$38*①통합_가정!$E$151*(IF(AA15=1,①통합_가정!$E$156,0)+IF(AA15=13,①통합_가정!$E$157-①통합_가정!$E$156,0)+IF(AA15=25,①통합_가정!$E$158-①통합_가정!$E$157,0))</f>
        <v>0</v>
      </c>
      <c r="AB80" s="37" t="n">
        <f aca="false">①통합_가정!$F$38*①통합_가정!$E$151*(IF(AB15=1,①통합_가정!$E$156,0)+IF(AB15=13,①통합_가정!$E$157-①통합_가정!$E$156,0)+IF(AB15=25,①통합_가정!$E$158-①통합_가정!$E$157,0))</f>
        <v>0</v>
      </c>
      <c r="AC80" s="37" t="n">
        <f aca="false">①통합_가정!$F$38*①통합_가정!$E$151*(IF(AC15=1,①통합_가정!$E$156,0)+IF(AC15=13,①통합_가정!$E$157-①통합_가정!$E$156,0)+IF(AC15=25,①통합_가정!$E$158-①통합_가정!$E$157,0))</f>
        <v>0</v>
      </c>
      <c r="AD80" s="37" t="n">
        <f aca="false">①통합_가정!$F$38*①통합_가정!$E$151*(IF(AD15=1,①통합_가정!$E$156,0)+IF(AD15=13,①통합_가정!$E$157-①통합_가정!$E$156,0)+IF(AD15=25,①통합_가정!$E$158-①통합_가정!$E$157,0))</f>
        <v>0</v>
      </c>
      <c r="AE80" s="37" t="n">
        <f aca="false">①통합_가정!$F$38*①통합_가정!$E$151*(IF(AE15=1,①통합_가정!$E$156,0)+IF(AE15=13,①통합_가정!$E$157-①통합_가정!$E$156,0)+IF(AE15=25,①통합_가정!$E$158-①통합_가정!$E$157,0))</f>
        <v>0</v>
      </c>
      <c r="AF80" s="37" t="n">
        <f aca="false">①통합_가정!$F$38*①통합_가정!$E$151*(IF(AF15=1,①통합_가정!$E$156,0)+IF(AF15=13,①통합_가정!$E$157-①통합_가정!$E$156,0)+IF(AF15=25,①통합_가정!$E$158-①통합_가정!$E$157,0))</f>
        <v>0</v>
      </c>
      <c r="AG80" s="37" t="n">
        <f aca="false">①통합_가정!$F$38*①통합_가정!$E$151*(IF(AG15=1,①통합_가정!$E$156,0)+IF(AG15=13,①통합_가정!$E$157-①통합_가정!$E$156,0)+IF(AG15=25,①통합_가정!$E$158-①통합_가정!$E$157,0))</f>
        <v>0</v>
      </c>
      <c r="AH80" s="37" t="n">
        <f aca="false">①통합_가정!$F$38*①통합_가정!$E$151*(IF(AH15=1,①통합_가정!$E$156,0)+IF(AH15=13,①통합_가정!$E$157-①통합_가정!$E$156,0)+IF(AH15=25,①통합_가정!$E$158-①통합_가정!$E$157,0))</f>
        <v>0</v>
      </c>
      <c r="AI80" s="37" t="n">
        <f aca="false">①통합_가정!$F$38*①통합_가정!$E$151*(IF(AI15=1,①통합_가정!$E$156,0)+IF(AI15=13,①통합_가정!$E$157-①통합_가정!$E$156,0)+IF(AI15=25,①통합_가정!$E$158-①통합_가정!$E$157,0))</f>
        <v>0</v>
      </c>
      <c r="AJ80" s="37" t="n">
        <f aca="false">①통합_가정!$F$38*①통합_가정!$E$151*(IF(AJ15=1,①통합_가정!$E$156,0)+IF(AJ15=13,①통합_가정!$E$157-①통합_가정!$E$156,0)+IF(AJ15=25,①통합_가정!$E$158-①통합_가정!$E$157,0))</f>
        <v>0</v>
      </c>
      <c r="AK80" s="37" t="n">
        <f aca="false">①통합_가정!$F$38*①통합_가정!$E$151*(IF(AK15=1,①통합_가정!$E$156,0)+IF(AK15=13,①통합_가정!$E$157-①통합_가정!$E$156,0)+IF(AK15=25,①통합_가정!$E$158-①통합_가정!$E$157,0))</f>
        <v>0</v>
      </c>
      <c r="AL80" s="37" t="n">
        <f aca="false">①통합_가정!$F$38*①통합_가정!$E$151*(IF(AL15=1,①통합_가정!$E$156,0)+IF(AL15=13,①통합_가정!$E$157-①통합_가정!$E$156,0)+IF(AL15=25,①통합_가정!$E$158-①통합_가정!$E$157,0))</f>
        <v>0</v>
      </c>
      <c r="AM80" s="37" t="n">
        <f aca="false">①통합_가정!$F$38*①통합_가정!$E$151*(IF(AM15=1,①통합_가정!$E$156,0)+IF(AM15=13,①통합_가정!$E$157-①통합_가정!$E$156,0)+IF(AM15=25,①통합_가정!$E$158-①통합_가정!$E$157,0))</f>
        <v>0</v>
      </c>
      <c r="AN80" s="37" t="n">
        <f aca="false">①통합_가정!$F$38*①통합_가정!$E$151*(IF(AN15=1,①통합_가정!$E$156,0)+IF(AN15=13,①통합_가정!$E$157-①통합_가정!$E$156,0)+IF(AN15=25,①통합_가정!$E$158-①통합_가정!$E$157,0))</f>
        <v>0</v>
      </c>
      <c r="AO80" s="37" t="n">
        <f aca="false">①통합_가정!$F$38*①통합_가정!$E$151*(IF(AO15=1,①통합_가정!$E$156,0)+IF(AO15=13,①통합_가정!$E$157-①통합_가정!$E$156,0)+IF(AO15=25,①통합_가정!$E$158-①통합_가정!$E$157,0))</f>
        <v>0</v>
      </c>
      <c r="AP80" s="37" t="n">
        <f aca="false">①통합_가정!$F$38*①통합_가정!$E$151*(IF(AP15=1,①통합_가정!$E$156,0)+IF(AP15=13,①통합_가정!$E$157-①통합_가정!$E$156,0)+IF(AP15=25,①통합_가정!$E$158-①통합_가정!$E$157,0))</f>
        <v>0</v>
      </c>
      <c r="AQ80" s="37" t="n">
        <f aca="false">①통합_가정!$F$38*①통합_가정!$E$151*(IF(AQ15=1,①통합_가정!$E$156,0)+IF(AQ15=13,①통합_가정!$E$157-①통합_가정!$E$156,0)+IF(AQ15=25,①통합_가정!$E$158-①통합_가정!$E$157,0))</f>
        <v>0</v>
      </c>
      <c r="AR80" s="37" t="n">
        <f aca="false">①통합_가정!$F$38*①통합_가정!$E$151*(IF(AR15=1,①통합_가정!$E$156,0)+IF(AR15=13,①통합_가정!$E$157-①통합_가정!$E$156,0)+IF(AR15=25,①통합_가정!$E$158-①통합_가정!$E$157,0))</f>
        <v>0</v>
      </c>
      <c r="AS80" s="37" t="n">
        <f aca="false">①통합_가정!$F$38*①통합_가정!$E$151*(IF(AS15=1,①통합_가정!$E$156,0)+IF(AS15=13,①통합_가정!$E$157-①통합_가정!$E$156,0)+IF(AS15=25,①통합_가정!$E$158-①통합_가정!$E$157,0))</f>
        <v>0</v>
      </c>
      <c r="AT80" s="37" t="n">
        <f aca="false">①통합_가정!$F$38*①통합_가정!$E$151*(IF(AT15=1,①통합_가정!$E$156,0)+IF(AT15=13,①통합_가정!$E$157-①통합_가정!$E$156,0)+IF(AT15=25,①통합_가정!$E$158-①통합_가정!$E$157,0))</f>
        <v>0</v>
      </c>
      <c r="AU80" s="37" t="n">
        <f aca="false">①통합_가정!$F$38*①통합_가정!$E$151*(IF(AU15=1,①통합_가정!$E$156,0)+IF(AU15=13,①통합_가정!$E$157-①통합_가정!$E$156,0)+IF(AU15=25,①통합_가정!$E$158-①통합_가정!$E$157,0))</f>
        <v>0</v>
      </c>
      <c r="AV80" s="37" t="n">
        <f aca="false">①통합_가정!$F$38*①통합_가정!$E$151*(IF(AV15=1,①통합_가정!$E$156,0)+IF(AV15=13,①통합_가정!$E$157-①통합_가정!$E$156,0)+IF(AV15=25,①통합_가정!$E$158-①통합_가정!$E$157,0))</f>
        <v>0</v>
      </c>
      <c r="AW80" s="37" t="n">
        <f aca="false">①통합_가정!$F$38*①통합_가정!$E$151*(IF(AW15=1,①통합_가정!$E$156,0)+IF(AW15=13,①통합_가정!$E$157-①통합_가정!$E$156,0)+IF(AW15=25,①통합_가정!$E$158-①통합_가정!$E$157,0))</f>
        <v>0</v>
      </c>
      <c r="AX80" s="37" t="n">
        <f aca="false">①통합_가정!$F$38*①통합_가정!$E$151*(IF(AX15=1,①통합_가정!$E$156,0)+IF(AX15=13,①통합_가정!$E$157-①통합_가정!$E$156,0)+IF(AX15=25,①통합_가정!$E$158-①통합_가정!$E$157,0))</f>
        <v>0</v>
      </c>
      <c r="AY80" s="37" t="n">
        <f aca="false">①통합_가정!$F$38*①통합_가정!$E$151*(IF(AY15=1,①통합_가정!$E$156,0)+IF(AY15=13,①통합_가정!$E$157-①통합_가정!$E$156,0)+IF(AY15=25,①통합_가정!$E$158-①통합_가정!$E$157,0))</f>
        <v>0</v>
      </c>
      <c r="AZ80" s="37" t="n">
        <f aca="false">①통합_가정!$F$38*①통합_가정!$E$151*(IF(AZ15=1,①통합_가정!$E$156,0)+IF(AZ15=13,①통합_가정!$E$157-①통합_가정!$E$156,0)+IF(AZ15=25,①통합_가정!$E$158-①통합_가정!$E$157,0))</f>
        <v>0</v>
      </c>
      <c r="BA80" s="37" t="n">
        <f aca="false">①통합_가정!$F$38*①통합_가정!$E$151*(IF(BA15=1,①통합_가정!$E$156,0)+IF(BA15=13,①통합_가정!$E$157-①통합_가정!$E$156,0)+IF(BA15=25,①통합_가정!$E$158-①통합_가정!$E$157,0))</f>
        <v>0</v>
      </c>
      <c r="BB80" s="37" t="n">
        <f aca="false">①통합_가정!$F$38*①통합_가정!$E$151*(IF(BB15=1,①통합_가정!$E$156,0)+IF(BB15=13,①통합_가정!$E$157-①통합_가정!$E$156,0)+IF(BB15=25,①통합_가정!$E$158-①통합_가정!$E$157,0))</f>
        <v>0</v>
      </c>
      <c r="BC80" s="37" t="n">
        <f aca="false">①통합_가정!$F$38*①통합_가정!$E$151*(IF(BC15=1,①통합_가정!$E$156,0)+IF(BC15=13,①통합_가정!$E$157-①통합_가정!$E$156,0)+IF(BC15=25,①통합_가정!$E$158-①통합_가정!$E$157,0))</f>
        <v>0</v>
      </c>
      <c r="BD80" s="37" t="n">
        <f aca="false">①통합_가정!$F$38*①통합_가정!$E$151*(IF(BD15=1,①통합_가정!$E$156,0)+IF(BD15=13,①통합_가정!$E$157-①통합_가정!$E$156,0)+IF(BD15=25,①통합_가정!$E$158-①통합_가정!$E$157,0))</f>
        <v>0</v>
      </c>
      <c r="BE80" s="37" t="n">
        <f aca="false">①통합_가정!$F$38*①통합_가정!$E$151*(IF(BE15=1,①통합_가정!$E$156,0)+IF(BE15=13,①통합_가정!$E$157-①통합_가정!$E$156,0)+IF(BE15=25,①통합_가정!$E$158-①통합_가정!$E$157,0))</f>
        <v>0</v>
      </c>
      <c r="BF80" s="37" t="n">
        <f aca="false">①통합_가정!$F$38*①통합_가정!$E$151*(IF(BF15=1,①통합_가정!$E$156,0)+IF(BF15=13,①통합_가정!$E$157-①통합_가정!$E$156,0)+IF(BF15=25,①통합_가정!$E$158-①통합_가정!$E$157,0))</f>
        <v>0</v>
      </c>
      <c r="BG80" s="37" t="n">
        <f aca="false">①통합_가정!$F$38*①통합_가정!$E$151*(IF(BG15=1,①통합_가정!$E$156,0)+IF(BG15=13,①통합_가정!$E$157-①통합_가정!$E$156,0)+IF(BG15=25,①통합_가정!$E$158-①통합_가정!$E$157,0))</f>
        <v>0</v>
      </c>
      <c r="BH80" s="37" t="n">
        <f aca="false">①통합_가정!$F$38*①통합_가정!$E$151*(IF(BH15=1,①통합_가정!$E$156,0)+IF(BH15=13,①통합_가정!$E$157-①통합_가정!$E$156,0)+IF(BH15=25,①통합_가정!$E$158-①통합_가정!$E$157,0))</f>
        <v>0</v>
      </c>
      <c r="BI80" s="37" t="n">
        <f aca="false">①통합_가정!$F$38*①통합_가정!$E$151*(IF(BI15=1,①통합_가정!$E$156,0)+IF(BI15=13,①통합_가정!$E$157-①통합_가정!$E$156,0)+IF(BI15=25,①통합_가정!$E$158-①통합_가정!$E$157,0))</f>
        <v>0</v>
      </c>
      <c r="BJ80" s="37" t="n">
        <f aca="false">①통합_가정!$F$38*①통합_가정!$E$151*(IF(BJ15=1,①통합_가정!$E$156,0)+IF(BJ15=13,①통합_가정!$E$157-①통합_가정!$E$156,0)+IF(BJ15=25,①통합_가정!$E$158-①통합_가정!$E$157,0))</f>
        <v>0</v>
      </c>
      <c r="BK80" s="37" t="n">
        <f aca="false">①통합_가정!$F$38*①통합_가정!$E$151*(IF(BK15=1,①통합_가정!$E$156,0)+IF(BK15=13,①통합_가정!$E$157-①통합_가정!$E$156,0)+IF(BK15=25,①통합_가정!$E$158-①통합_가정!$E$157,0))</f>
        <v>0</v>
      </c>
      <c r="BL80" s="37" t="n">
        <f aca="false">①통합_가정!$F$38*①통합_가정!$E$151*(IF(BL15=1,①통합_가정!$E$156,0)+IF(BL15=13,①통합_가정!$E$157-①통합_가정!$E$156,0)+IF(BL15=25,①통합_가정!$E$158-①통합_가정!$E$157,0))</f>
        <v>0</v>
      </c>
      <c r="BM80" s="37" t="n">
        <f aca="false">①통합_가정!$F$38*①통합_가정!$E$151*(IF(BM15=1,①통합_가정!$E$156,0)+IF(BM15=13,①통합_가정!$E$157-①통합_가정!$E$156,0)+IF(BM15=25,①통합_가정!$E$158-①통합_가정!$E$157,0))</f>
        <v>39600</v>
      </c>
      <c r="BN80" s="37" t="n">
        <f aca="false">①통합_가정!$F$38*①통합_가정!$E$151*(IF(BN15=1,①통합_가정!$E$156,0)+IF(BN15=13,①통합_가정!$E$157-①통합_가정!$E$156,0)+IF(BN15=25,①통합_가정!$E$158-①통합_가정!$E$157,0))</f>
        <v>0</v>
      </c>
      <c r="BO80" s="37" t="n">
        <f aca="false">①통합_가정!$F$38*①통합_가정!$E$151*(IF(BO15=1,①통합_가정!$E$156,0)+IF(BO15=13,①통합_가정!$E$157-①통합_가정!$E$156,0)+IF(BO15=25,①통합_가정!$E$158-①통합_가정!$E$157,0))</f>
        <v>0</v>
      </c>
      <c r="BP80" s="37" t="n">
        <f aca="false">①통합_가정!$F$38*①통합_가정!$E$151*(IF(BP15=1,①통합_가정!$E$156,0)+IF(BP15=13,①통합_가정!$E$157-①통합_가정!$E$156,0)+IF(BP15=25,①통합_가정!$E$158-①통합_가정!$E$157,0))</f>
        <v>0</v>
      </c>
      <c r="BQ80" s="37" t="n">
        <f aca="false">①통합_가정!$F$38*①통합_가정!$E$151*(IF(BQ15=1,①통합_가정!$E$156,0)+IF(BQ15=13,①통합_가정!$E$157-①통합_가정!$E$156,0)+IF(BQ15=25,①통합_가정!$E$158-①통합_가정!$E$157,0))</f>
        <v>0</v>
      </c>
      <c r="BR80" s="37" t="n">
        <f aca="false">①통합_가정!$F$38*①통합_가정!$E$151*(IF(BR15=1,①통합_가정!$E$156,0)+IF(BR15=13,①통합_가정!$E$157-①통합_가정!$E$156,0)+IF(BR15=25,①통합_가정!$E$158-①통합_가정!$E$157,0))</f>
        <v>0</v>
      </c>
      <c r="BS80" s="37" t="n">
        <f aca="false">①통합_가정!$F$38*①통합_가정!$E$151*(IF(BS15=1,①통합_가정!$E$156,0)+IF(BS15=13,①통합_가정!$E$157-①통합_가정!$E$156,0)+IF(BS15=25,①통합_가정!$E$158-①통합_가정!$E$157,0))</f>
        <v>0</v>
      </c>
      <c r="BT80" s="37" t="n">
        <f aca="false">①통합_가정!$F$38*①통합_가정!$E$151*(IF(BT15=1,①통합_가정!$E$156,0)+IF(BT15=13,①통합_가정!$E$157-①통합_가정!$E$156,0)+IF(BT15=25,①통합_가정!$E$158-①통합_가정!$E$157,0))</f>
        <v>0</v>
      </c>
      <c r="BU80" s="37" t="n">
        <f aca="false">①통합_가정!$F$38*①통합_가정!$E$151*(IF(BU15=1,①통합_가정!$E$156,0)+IF(BU15=13,①통합_가정!$E$157-①통합_가정!$E$156,0)+IF(BU15=25,①통합_가정!$E$158-①통합_가정!$E$157,0))</f>
        <v>0</v>
      </c>
      <c r="BV80" s="37" t="n">
        <f aca="false">①통합_가정!$F$38*①통합_가정!$E$151*(IF(BV15=1,①통합_가정!$E$156,0)+IF(BV15=13,①통합_가정!$E$157-①통합_가정!$E$156,0)+IF(BV15=25,①통합_가정!$E$158-①통합_가정!$E$157,0))</f>
        <v>0</v>
      </c>
      <c r="BW80" s="37" t="n">
        <f aca="false">①통합_가정!$F$38*①통합_가정!$E$151*(IF(BW15=1,①통합_가정!$E$156,0)+IF(BW15=13,①통합_가정!$E$157-①통합_가정!$E$156,0)+IF(BW15=25,①통합_가정!$E$158-①통합_가정!$E$157,0))</f>
        <v>0</v>
      </c>
      <c r="BX80" s="37" t="n">
        <f aca="false">①통합_가정!$F$38*①통합_가정!$E$151*(IF(BX15=1,①통합_가정!$E$156,0)+IF(BX15=13,①통합_가정!$E$157-①통합_가정!$E$156,0)+IF(BX15=25,①통합_가정!$E$158-①통합_가정!$E$157,0))</f>
        <v>0</v>
      </c>
      <c r="BY80" s="37" t="n">
        <f aca="false">①통합_가정!$F$38*①통합_가정!$E$151*(IF(BY15=1,①통합_가정!$E$156,0)+IF(BY15=13,①통합_가정!$E$157-①통합_가정!$E$156,0)+IF(BY15=25,①통합_가정!$E$158-①통합_가정!$E$157,0))</f>
        <v>13200</v>
      </c>
      <c r="BZ80" s="37" t="n">
        <f aca="false">①통합_가정!$F$38*①통합_가정!$E$151*(IF(BZ15=1,①통합_가정!$E$156,0)+IF(BZ15=13,①통합_가정!$E$157-①통합_가정!$E$156,0)+IF(BZ15=25,①통합_가정!$E$158-①통합_가정!$E$157,0))</f>
        <v>0</v>
      </c>
      <c r="CA80" s="37" t="n">
        <f aca="false">①통합_가정!$F$38*①통합_가정!$E$151*(IF(CA15=1,①통합_가정!$E$156,0)+IF(CA15=13,①통합_가정!$E$157-①통합_가정!$E$156,0)+IF(CA15=25,①통합_가정!$E$158-①통합_가정!$E$157,0))</f>
        <v>0</v>
      </c>
      <c r="CB80" s="37" t="n">
        <f aca="false">①통합_가정!$F$38*①통합_가정!$E$151*(IF(CB15=1,①통합_가정!$E$156,0)+IF(CB15=13,①통합_가정!$E$157-①통합_가정!$E$156,0)+IF(CB15=25,①통합_가정!$E$158-①통합_가정!$E$157,0))</f>
        <v>0</v>
      </c>
      <c r="CC80" s="37" t="n">
        <f aca="false">①통합_가정!$F$38*①통합_가정!$E$151*(IF(CC15=1,①통합_가정!$E$156,0)+IF(CC15=13,①통합_가정!$E$157-①통합_가정!$E$156,0)+IF(CC15=25,①통합_가정!$E$158-①통합_가정!$E$157,0))</f>
        <v>0</v>
      </c>
      <c r="CD80" s="37" t="n">
        <f aca="false">①통합_가정!$F$38*①통합_가정!$E$151*(IF(CD15=1,①통합_가정!$E$156,0)+IF(CD15=13,①통합_가정!$E$157-①통합_가정!$E$156,0)+IF(CD15=25,①통합_가정!$E$158-①통합_가정!$E$157,0))</f>
        <v>0</v>
      </c>
      <c r="CE80" s="37" t="n">
        <f aca="false">①통합_가정!$F$38*①통합_가정!$E$151*(IF(CE15=1,①통합_가정!$E$156,0)+IF(CE15=13,①통합_가정!$E$157-①통합_가정!$E$156,0)+IF(CE15=25,①통합_가정!$E$158-①통합_가정!$E$157,0))</f>
        <v>0</v>
      </c>
      <c r="CF80" s="37" t="n">
        <f aca="false">①통합_가정!$F$38*①통합_가정!$E$151*(IF(CF15=1,①통합_가정!$E$156,0)+IF(CF15=13,①통합_가정!$E$157-①통합_가정!$E$156,0)+IF(CF15=25,①통합_가정!$E$158-①통합_가정!$E$157,0))</f>
        <v>0</v>
      </c>
      <c r="CG80" s="37" t="n">
        <f aca="false">①통합_가정!$F$38*①통합_가정!$E$151*(IF(CG15=1,①통합_가정!$E$156,0)+IF(CG15=13,①통합_가정!$E$157-①통합_가정!$E$156,0)+IF(CG15=25,①통합_가정!$E$158-①통합_가정!$E$157,0))</f>
        <v>0</v>
      </c>
      <c r="CH80" s="37" t="n">
        <f aca="false">①통합_가정!$F$38*①통합_가정!$E$151*(IF(CH15=1,①통합_가정!$E$156,0)+IF(CH15=13,①통합_가정!$E$157-①통합_가정!$E$156,0)+IF(CH15=25,①통합_가정!$E$158-①통합_가정!$E$157,0))</f>
        <v>0</v>
      </c>
      <c r="CI80" s="37" t="n">
        <f aca="false">①통합_가정!$F$38*①통합_가정!$E$151*(IF(CI15=1,①통합_가정!$E$156,0)+IF(CI15=13,①통합_가정!$E$157-①통합_가정!$E$156,0)+IF(CI15=25,①통합_가정!$E$158-①통합_가정!$E$157,0))</f>
        <v>0</v>
      </c>
      <c r="CJ80" s="37" t="n">
        <f aca="false">①통합_가정!$F$38*①통합_가정!$E$151*(IF(CJ15=1,①통합_가정!$E$156,0)+IF(CJ15=13,①통합_가정!$E$157-①통합_가정!$E$156,0)+IF(CJ15=25,①통합_가정!$E$158-①통합_가정!$E$157,0))</f>
        <v>0</v>
      </c>
      <c r="CK80" s="37" t="n">
        <f aca="false">①통합_가정!$F$38*①통합_가정!$E$151*(IF(CK15=1,①통합_가정!$E$156,0)+IF(CK15=13,①통합_가정!$E$157-①통합_가정!$E$156,0)+IF(CK15=25,①통합_가정!$E$158-①통합_가정!$E$157,0))</f>
        <v>13200</v>
      </c>
      <c r="CL80" s="37" t="n">
        <f aca="false">①통합_가정!$F$38*①통합_가정!$E$151*(IF(CL15=1,①통합_가정!$E$156,0)+IF(CL15=13,①통합_가정!$E$157-①통합_가정!$E$156,0)+IF(CL15=25,①통합_가정!$E$158-①통합_가정!$E$157,0))</f>
        <v>0</v>
      </c>
      <c r="CM80" s="37" t="n">
        <f aca="false">①통합_가정!$F$38*①통합_가정!$E$151*(IF(CM15=1,①통합_가정!$E$156,0)+IF(CM15=13,①통합_가정!$E$157-①통합_가정!$E$156,0)+IF(CM15=25,①통합_가정!$E$158-①통합_가정!$E$157,0))</f>
        <v>0</v>
      </c>
      <c r="CN80" s="37" t="n">
        <f aca="false">①통합_가정!$F$38*①통합_가정!$E$151*(IF(CN15=1,①통합_가정!$E$156,0)+IF(CN15=13,①통합_가정!$E$157-①통합_가정!$E$156,0)+IF(CN15=25,①통합_가정!$E$158-①통합_가정!$E$157,0))</f>
        <v>0</v>
      </c>
      <c r="CO80" s="37" t="n">
        <f aca="false">①통합_가정!$F$38*①통합_가정!$E$151*(IF(CO15=1,①통합_가정!$E$156,0)+IF(CO15=13,①통합_가정!$E$157-①통합_가정!$E$156,0)+IF(CO15=25,①통합_가정!$E$158-①통합_가정!$E$157,0))</f>
        <v>0</v>
      </c>
      <c r="CP80" s="37" t="n">
        <f aca="false">①통합_가정!$F$38*①통합_가정!$E$151*(IF(CP15=1,①통합_가정!$E$156,0)+IF(CP15=13,①통합_가정!$E$157-①통합_가정!$E$156,0)+IF(CP15=25,①통합_가정!$E$158-①통합_가정!$E$157,0))</f>
        <v>0</v>
      </c>
      <c r="CQ80" s="37" t="n">
        <f aca="false">①통합_가정!$F$38*①통합_가정!$E$151*(IF(CQ15=1,①통합_가정!$E$156,0)+IF(CQ15=13,①통합_가정!$E$157-①통합_가정!$E$156,0)+IF(CQ15=25,①통합_가정!$E$158-①통합_가정!$E$157,0))</f>
        <v>0</v>
      </c>
      <c r="CR80" s="37" t="n">
        <f aca="false">①통합_가정!$F$38*①통합_가정!$E$151*(IF(CR15=1,①통합_가정!$E$156,0)+IF(CR15=13,①통합_가정!$E$157-①통합_가정!$E$156,0)+IF(CR15=25,①통합_가정!$E$158-①통합_가정!$E$157,0))</f>
        <v>0</v>
      </c>
      <c r="CS80" s="37" t="n">
        <f aca="false">①통합_가정!$F$38*①통합_가정!$E$151*(IF(CS15=1,①통합_가정!$E$156,0)+IF(CS15=13,①통합_가정!$E$157-①통합_가정!$E$156,0)+IF(CS15=25,①통합_가정!$E$158-①통합_가정!$E$157,0))</f>
        <v>0</v>
      </c>
      <c r="CT80" s="37" t="n">
        <f aca="false">①통합_가정!$F$38*①통합_가정!$E$151*(IF(CT15=1,①통합_가정!$E$156,0)+IF(CT15=13,①통합_가정!$E$157-①통합_가정!$E$156,0)+IF(CT15=25,①통합_가정!$E$158-①통합_가정!$E$157,0))</f>
        <v>0</v>
      </c>
      <c r="CU80" s="37" t="n">
        <f aca="false">①통합_가정!$F$38*①통합_가정!$E$151*(IF(CU15=1,①통합_가정!$E$156,0)+IF(CU15=13,①통합_가정!$E$157-①통합_가정!$E$156,0)+IF(CU15=25,①통합_가정!$E$158-①통합_가정!$E$157,0))</f>
        <v>0</v>
      </c>
      <c r="CV80" s="37" t="n">
        <f aca="false">①통합_가정!$F$38*①통합_가정!$E$151*(IF(CV15=1,①통합_가정!$E$156,0)+IF(CV15=13,①통합_가정!$E$157-①통합_가정!$E$156,0)+IF(CV15=25,①통합_가정!$E$158-①통합_가정!$E$157,0))</f>
        <v>0</v>
      </c>
      <c r="CW80" s="37" t="n">
        <f aca="false">①통합_가정!$F$38*①통합_가정!$E$151*(IF(CW15=1,①통합_가정!$E$156,0)+IF(CW15=13,①통합_가정!$E$157-①통합_가정!$E$156,0)+IF(CW15=25,①통합_가정!$E$158-①통합_가정!$E$157,0))</f>
        <v>0</v>
      </c>
      <c r="CX80" s="37" t="n">
        <f aca="false">①통합_가정!$F$38*①통합_가정!$E$151*(IF(CX15=1,①통합_가정!$E$156,0)+IF(CX15=13,①통합_가정!$E$157-①통합_가정!$E$156,0)+IF(CX15=25,①통합_가정!$E$158-①통합_가정!$E$157,0))</f>
        <v>0</v>
      </c>
      <c r="CY80" s="37" t="n">
        <f aca="false">①통합_가정!$F$38*①통합_가정!$E$151*(IF(CY15=1,①통합_가정!$E$156,0)+IF(CY15=13,①통합_가정!$E$157-①통합_가정!$E$156,0)+IF(CY15=25,①통합_가정!$E$158-①통합_가정!$E$157,0))</f>
        <v>0</v>
      </c>
      <c r="CZ80" s="37" t="n">
        <f aca="false">①통합_가정!$F$38*①통합_가정!$E$151*(IF(CZ15=1,①통합_가정!$E$156,0)+IF(CZ15=13,①통합_가정!$E$157-①통합_가정!$E$156,0)+IF(CZ15=25,①통합_가정!$E$158-①통합_가정!$E$157,0))</f>
        <v>0</v>
      </c>
      <c r="DA80" s="37" t="n">
        <f aca="false">①통합_가정!$F$38*①통합_가정!$E$151*(IF(DA15=1,①통합_가정!$E$156,0)+IF(DA15=13,①통합_가정!$E$157-①통합_가정!$E$156,0)+IF(DA15=25,①통합_가정!$E$158-①통합_가정!$E$157,0))</f>
        <v>0</v>
      </c>
      <c r="DB80" s="37" t="n">
        <f aca="false">①통합_가정!$F$38*①통합_가정!$E$151*(IF(DB15=1,①통합_가정!$E$156,0)+IF(DB15=13,①통합_가정!$E$157-①통합_가정!$E$156,0)+IF(DB15=25,①통합_가정!$E$158-①통합_가정!$E$157,0))</f>
        <v>0</v>
      </c>
      <c r="DC80" s="37" t="n">
        <f aca="false">①통합_가정!$F$38*①통합_가정!$E$151*(IF(DC15=1,①통합_가정!$E$156,0)+IF(DC15=13,①통합_가정!$E$157-①통합_가정!$E$156,0)+IF(DC15=25,①통합_가정!$E$158-①통합_가정!$E$157,0))</f>
        <v>0</v>
      </c>
      <c r="DD80" s="37" t="n">
        <f aca="false">①통합_가정!$F$38*①통합_가정!$E$151*(IF(DD15=1,①통합_가정!$E$156,0)+IF(DD15=13,①통합_가정!$E$157-①통합_가정!$E$156,0)+IF(DD15=25,①통합_가정!$E$158-①통합_가정!$E$157,0))</f>
        <v>0</v>
      </c>
      <c r="DE80" s="37" t="n">
        <f aca="false">①통합_가정!$F$38*①통합_가정!$E$151*(IF(DE15=1,①통합_가정!$E$156,0)+IF(DE15=13,①통합_가정!$E$157-①통합_가정!$E$156,0)+IF(DE15=25,①통합_가정!$E$158-①통합_가정!$E$157,0))</f>
        <v>0</v>
      </c>
      <c r="DF80" s="37" t="n">
        <f aca="false">①통합_가정!$F$38*①통합_가정!$E$151*(IF(DF15=1,①통합_가정!$E$156,0)+IF(DF15=13,①통합_가정!$E$157-①통합_가정!$E$156,0)+IF(DF15=25,①통합_가정!$E$158-①통합_가정!$E$157,0))</f>
        <v>0</v>
      </c>
      <c r="DG80" s="37" t="n">
        <f aca="false">①통합_가정!$F$38*①통합_가정!$E$151*(IF(DG15=1,①통합_가정!$E$156,0)+IF(DG15=13,①통합_가정!$E$157-①통합_가정!$E$156,0)+IF(DG15=25,①통합_가정!$E$158-①통합_가정!$E$157,0))</f>
        <v>0</v>
      </c>
      <c r="DH80" s="37" t="n">
        <f aca="false">①통합_가정!$F$38*①통합_가정!$E$151*(IF(DH15=1,①통합_가정!$E$156,0)+IF(DH15=13,①통합_가정!$E$157-①통합_가정!$E$156,0)+IF(DH15=25,①통합_가정!$E$158-①통합_가정!$E$157,0))</f>
        <v>0</v>
      </c>
      <c r="DI80" s="37" t="n">
        <f aca="false">①통합_가정!$F$38*①통합_가정!$E$151*(IF(DI15=1,①통합_가정!$E$156,0)+IF(DI15=13,①통합_가정!$E$157-①통합_가정!$E$156,0)+IF(DI15=25,①통합_가정!$E$158-①통합_가정!$E$157,0))</f>
        <v>0</v>
      </c>
      <c r="DJ80" s="37" t="n">
        <f aca="false">①통합_가정!$F$38*①통합_가정!$E$151*(IF(DJ15=1,①통합_가정!$E$156,0)+IF(DJ15=13,①통합_가정!$E$157-①통합_가정!$E$156,0)+IF(DJ15=25,①통합_가정!$E$158-①통합_가정!$E$157,0))</f>
        <v>0</v>
      </c>
      <c r="DK80" s="37" t="n">
        <f aca="false">①통합_가정!$F$38*①통합_가정!$E$151*(IF(DK15=1,①통합_가정!$E$156,0)+IF(DK15=13,①통합_가정!$E$157-①통합_가정!$E$156,0)+IF(DK15=25,①통합_가정!$E$158-①통합_가정!$E$157,0))</f>
        <v>0</v>
      </c>
      <c r="DL80" s="37" t="n">
        <f aca="false">①통합_가정!$F$38*①통합_가정!$E$151*(IF(DL15=1,①통합_가정!$E$156,0)+IF(DL15=13,①통합_가정!$E$157-①통합_가정!$E$156,0)+IF(DL15=25,①통합_가정!$E$158-①통합_가정!$E$157,0))</f>
        <v>0</v>
      </c>
      <c r="DM80" s="37" t="n">
        <f aca="false">①통합_가정!$F$38*①통합_가정!$E$151*(IF(DM15=1,①통합_가정!$E$156,0)+IF(DM15=13,①통합_가정!$E$157-①통합_가정!$E$156,0)+IF(DM15=25,①통합_가정!$E$158-①통합_가정!$E$157,0))</f>
        <v>0</v>
      </c>
      <c r="DN80" s="37" t="n">
        <f aca="false">①통합_가정!$F$38*①통합_가정!$E$151*(IF(DN15=1,①통합_가정!$E$156,0)+IF(DN15=13,①통합_가정!$E$157-①통합_가정!$E$156,0)+IF(DN15=25,①통합_가정!$E$158-①통합_가정!$E$157,0))</f>
        <v>0</v>
      </c>
      <c r="DO80" s="37" t="n">
        <f aca="false">①통합_가정!$F$38*①통합_가정!$E$151*(IF(DO15=1,①통합_가정!$E$156,0)+IF(DO15=13,①통합_가정!$E$157-①통합_가정!$E$156,0)+IF(DO15=25,①통합_가정!$E$158-①통합_가정!$E$157,0))</f>
        <v>0</v>
      </c>
      <c r="DP80" s="37" t="n">
        <f aca="false">①통합_가정!$F$38*①통합_가정!$E$151*(IF(DP15=1,①통합_가정!$E$156,0)+IF(DP15=13,①통합_가정!$E$157-①통합_가정!$E$156,0)+IF(DP15=25,①통합_가정!$E$158-①통합_가정!$E$157,0))</f>
        <v>0</v>
      </c>
      <c r="DQ80" s="37" t="n">
        <f aca="false">①통합_가정!$F$38*①통합_가정!$E$151*(IF(DQ15=1,①통합_가정!$E$156,0)+IF(DQ15=13,①통합_가정!$E$157-①통합_가정!$E$156,0)+IF(DQ15=25,①통합_가정!$E$158-①통합_가정!$E$157,0))</f>
        <v>0</v>
      </c>
      <c r="DR80" s="37" t="n">
        <f aca="false">①통합_가정!$F$38*①통합_가정!$E$151*(IF(DR15=1,①통합_가정!$E$156,0)+IF(DR15=13,①통합_가정!$E$157-①통합_가정!$E$156,0)+IF(DR15=25,①통합_가정!$E$158-①통합_가정!$E$157,0))</f>
        <v>0</v>
      </c>
      <c r="DS80" s="37" t="n">
        <f aca="false">①통합_가정!$F$38*①통합_가정!$E$151*(IF(DS15=1,①통합_가정!$E$156,0)+IF(DS15=13,①통합_가정!$E$157-①통합_가정!$E$156,0)+IF(DS15=25,①통합_가정!$E$158-①통합_가정!$E$157,0))</f>
        <v>0</v>
      </c>
      <c r="DT80" s="37" t="n">
        <f aca="false">①통합_가정!$F$38*①통합_가정!$E$151*(IF(DT15=1,①통합_가정!$E$156,0)+IF(DT15=13,①통합_가정!$E$157-①통합_가정!$E$156,0)+IF(DT15=25,①통합_가정!$E$158-①통합_가정!$E$157,0))</f>
        <v>0</v>
      </c>
      <c r="DU80" s="37" t="n">
        <f aca="false">①통합_가정!$F$38*①통합_가정!$E$151*(IF(DU15=1,①통합_가정!$E$156,0)+IF(DU15=13,①통합_가정!$E$157-①통합_가정!$E$156,0)+IF(DU15=25,①통합_가정!$E$158-①통합_가정!$E$157,0))</f>
        <v>0</v>
      </c>
      <c r="DV80" s="37" t="n">
        <f aca="false">①통합_가정!$F$38*①통합_가정!$E$151*(IF(DV15=1,①통합_가정!$E$156,0)+IF(DV15=13,①통합_가정!$E$157-①통합_가정!$E$156,0)+IF(DV15=25,①통합_가정!$E$158-①통합_가정!$E$157,0))</f>
        <v>0</v>
      </c>
      <c r="DW80" s="37" t="n">
        <f aca="false">①통합_가정!$F$38*①통합_가정!$E$151*(IF(DW15=1,①통합_가정!$E$156,0)+IF(DW15=13,①통합_가정!$E$157-①통합_가정!$E$156,0)+IF(DW15=25,①통합_가정!$E$158-①통합_가정!$E$157,0))</f>
        <v>0</v>
      </c>
      <c r="DX80" s="37" t="n">
        <f aca="false">①통합_가정!$F$38*①통합_가정!$E$151*(IF(DX15=1,①통합_가정!$E$156,0)+IF(DX15=13,①통합_가정!$E$157-①통합_가정!$E$156,0)+IF(DX15=25,①통합_가정!$E$158-①통합_가정!$E$157,0))</f>
        <v>0</v>
      </c>
      <c r="DY80" s="37" t="n">
        <f aca="false">①통합_가정!$F$38*①통합_가정!$E$151*(IF(DY15=1,①통합_가정!$E$156,0)+IF(DY15=13,①통합_가정!$E$157-①통합_가정!$E$156,0)+IF(DY15=25,①통합_가정!$E$158-①통합_가정!$E$157,0))</f>
        <v>0</v>
      </c>
      <c r="DZ80" s="37" t="n">
        <f aca="false">①통합_가정!$F$38*①통합_가정!$E$151*(IF(DZ15=1,①통합_가정!$E$156,0)+IF(DZ15=13,①통합_가정!$E$157-①통합_가정!$E$156,0)+IF(DZ15=25,①통합_가정!$E$158-①통합_가정!$E$157,0))</f>
        <v>0</v>
      </c>
      <c r="EA80" s="37" t="n">
        <f aca="false">①통합_가정!$F$38*①통합_가정!$E$151*(IF(EA15=1,①통합_가정!$E$156,0)+IF(EA15=13,①통합_가정!$E$157-①통합_가정!$E$156,0)+IF(EA15=25,①통합_가정!$E$158-①통합_가정!$E$157,0))</f>
        <v>0</v>
      </c>
      <c r="EB80" s="37" t="n">
        <f aca="false">①통합_가정!$F$38*①통합_가정!$E$151*(IF(EB15=1,①통합_가정!$E$156,0)+IF(EB15=13,①통합_가정!$E$157-①통합_가정!$E$156,0)+IF(EB15=25,①통합_가정!$E$158-①통합_가정!$E$157,0))</f>
        <v>0</v>
      </c>
      <c r="EC80" s="37" t="n">
        <f aca="false">①통합_가정!$F$38*①통합_가정!$E$151*(IF(EC15=1,①통합_가정!$E$156,0)+IF(EC15=13,①통합_가정!$E$157-①통합_가정!$E$156,0)+IF(EC15=25,①통합_가정!$E$158-①통합_가정!$E$157,0))</f>
        <v>0</v>
      </c>
      <c r="ED80" s="37" t="n">
        <f aca="false">①통합_가정!$F$38*①통합_가정!$E$151*(IF(ED15=1,①통합_가정!$E$156,0)+IF(ED15=13,①통합_가정!$E$157-①통합_가정!$E$156,0)+IF(ED15=25,①통합_가정!$E$158-①통합_가정!$E$157,0))</f>
        <v>0</v>
      </c>
      <c r="EE80" s="37" t="n">
        <f aca="false">①통합_가정!$F$38*①통합_가정!$E$151*(IF(EE15=1,①통합_가정!$E$156,0)+IF(EE15=13,①통합_가정!$E$157-①통합_가정!$E$156,0)+IF(EE15=25,①통합_가정!$E$158-①통합_가정!$E$157,0))</f>
        <v>0</v>
      </c>
      <c r="EF80" s="37" t="n">
        <f aca="false">①통합_가정!$F$38*①통합_가정!$E$151*(IF(EF15=1,①통합_가정!$E$156,0)+IF(EF15=13,①통합_가정!$E$157-①통합_가정!$E$156,0)+IF(EF15=25,①통합_가정!$E$158-①통합_가정!$E$157,0))</f>
        <v>0</v>
      </c>
    </row>
    <row r="81" customFormat="false" ht="15" hidden="false" customHeight="false" outlineLevel="0" collapsed="false">
      <c r="A81" s="36" t="s">
        <v>623</v>
      </c>
      <c r="B81" s="278" t="s">
        <v>21</v>
      </c>
      <c r="C81" s="279" t="n">
        <f aca="false">SUM(E81:EF81)</f>
        <v>1500</v>
      </c>
      <c r="E81" s="37" t="n">
        <f aca="false">IF(E15=1,①통합_가정!$D$38*①통합_가정!$E$114,0)</f>
        <v>0</v>
      </c>
      <c r="F81" s="37" t="n">
        <f aca="false">IF(F15=1,①통합_가정!$D$38*①통합_가정!$E$114,0)</f>
        <v>0</v>
      </c>
      <c r="G81" s="37" t="n">
        <f aca="false">IF(G15=1,①통합_가정!$D$38*①통합_가정!$E$114,0)</f>
        <v>0</v>
      </c>
      <c r="H81" s="37" t="n">
        <f aca="false">IF(H15=1,①통합_가정!$D$38*①통합_가정!$E$114,0)</f>
        <v>0</v>
      </c>
      <c r="I81" s="37" t="n">
        <f aca="false">IF(I15=1,①통합_가정!$D$38*①통합_가정!$E$114,0)</f>
        <v>0</v>
      </c>
      <c r="J81" s="37" t="n">
        <f aca="false">IF(J15=1,①통합_가정!$D$38*①통합_가정!$E$114,0)</f>
        <v>0</v>
      </c>
      <c r="K81" s="37" t="n">
        <f aca="false">IF(K15=1,①통합_가정!$D$38*①통합_가정!$E$114,0)</f>
        <v>0</v>
      </c>
      <c r="L81" s="37" t="n">
        <f aca="false">IF(L15=1,①통합_가정!$D$38*①통합_가정!$E$114,0)</f>
        <v>0</v>
      </c>
      <c r="M81" s="37" t="n">
        <f aca="false">IF(M15=1,①통합_가정!$D$38*①통합_가정!$E$114,0)</f>
        <v>0</v>
      </c>
      <c r="N81" s="37" t="n">
        <f aca="false">IF(N15=1,①통합_가정!$D$38*①통합_가정!$E$114,0)</f>
        <v>0</v>
      </c>
      <c r="O81" s="37" t="n">
        <f aca="false">IF(O15=1,①통합_가정!$D$38*①통합_가정!$E$114,0)</f>
        <v>0</v>
      </c>
      <c r="P81" s="37" t="n">
        <f aca="false">IF(P15=1,①통합_가정!$D$38*①통합_가정!$E$114,0)</f>
        <v>0</v>
      </c>
      <c r="Q81" s="37" t="n">
        <f aca="false">IF(Q15=1,①통합_가정!$D$38*①통합_가정!$E$114,0)</f>
        <v>0</v>
      </c>
      <c r="R81" s="37" t="n">
        <f aca="false">IF(R15=1,①통합_가정!$D$38*①통합_가정!$E$114,0)</f>
        <v>0</v>
      </c>
      <c r="S81" s="37" t="n">
        <f aca="false">IF(S15=1,①통합_가정!$D$38*①통합_가정!$E$114,0)</f>
        <v>0</v>
      </c>
      <c r="T81" s="37" t="n">
        <f aca="false">IF(T15=1,①통합_가정!$D$38*①통합_가정!$E$114,0)</f>
        <v>0</v>
      </c>
      <c r="U81" s="37" t="n">
        <f aca="false">IF(U15=1,①통합_가정!$D$38*①통합_가정!$E$114,0)</f>
        <v>0</v>
      </c>
      <c r="V81" s="37" t="n">
        <f aca="false">IF(V15=1,①통합_가정!$D$38*①통합_가정!$E$114,0)</f>
        <v>0</v>
      </c>
      <c r="W81" s="37" t="n">
        <f aca="false">IF(W15=1,①통합_가정!$D$38*①통합_가정!$E$114,0)</f>
        <v>0</v>
      </c>
      <c r="X81" s="37" t="n">
        <f aca="false">IF(X15=1,①통합_가정!$D$38*①통합_가정!$E$114,0)</f>
        <v>0</v>
      </c>
      <c r="Y81" s="37" t="n">
        <f aca="false">IF(Y15=1,①통합_가정!$D$38*①통합_가정!$E$114,0)</f>
        <v>0</v>
      </c>
      <c r="Z81" s="37" t="n">
        <f aca="false">IF(Z15=1,①통합_가정!$D$38*①통합_가정!$E$114,0)</f>
        <v>0</v>
      </c>
      <c r="AA81" s="37" t="n">
        <f aca="false">IF(AA15=1,①통합_가정!$D$38*①통합_가정!$E$114,0)</f>
        <v>0</v>
      </c>
      <c r="AB81" s="37" t="n">
        <f aca="false">IF(AB15=1,①통합_가정!$D$38*①통합_가정!$E$114,0)</f>
        <v>0</v>
      </c>
      <c r="AC81" s="37" t="n">
        <f aca="false">IF(AC15=1,①통합_가정!$D$38*①통합_가정!$E$114,0)</f>
        <v>0</v>
      </c>
      <c r="AD81" s="37" t="n">
        <f aca="false">IF(AD15=1,①통합_가정!$D$38*①통합_가정!$E$114,0)</f>
        <v>0</v>
      </c>
      <c r="AE81" s="37" t="n">
        <f aca="false">IF(AE15=1,①통합_가정!$D$38*①통합_가정!$E$114,0)</f>
        <v>0</v>
      </c>
      <c r="AF81" s="37" t="n">
        <f aca="false">IF(AF15=1,①통합_가정!$D$38*①통합_가정!$E$114,0)</f>
        <v>0</v>
      </c>
      <c r="AG81" s="37" t="n">
        <f aca="false">IF(AG15=1,①통합_가정!$D$38*①통합_가정!$E$114,0)</f>
        <v>0</v>
      </c>
      <c r="AH81" s="37" t="n">
        <f aca="false">IF(AH15=1,①통합_가정!$D$38*①통합_가정!$E$114,0)</f>
        <v>0</v>
      </c>
      <c r="AI81" s="37" t="n">
        <f aca="false">IF(AI15=1,①통합_가정!$D$38*①통합_가정!$E$114,0)</f>
        <v>0</v>
      </c>
      <c r="AJ81" s="37" t="n">
        <f aca="false">IF(AJ15=1,①통합_가정!$D$38*①통합_가정!$E$114,0)</f>
        <v>0</v>
      </c>
      <c r="AK81" s="37" t="n">
        <f aca="false">IF(AK15=1,①통합_가정!$D$38*①통합_가정!$E$114,0)</f>
        <v>0</v>
      </c>
      <c r="AL81" s="37" t="n">
        <f aca="false">IF(AL15=1,①통합_가정!$D$38*①통합_가정!$E$114,0)</f>
        <v>0</v>
      </c>
      <c r="AM81" s="37" t="n">
        <f aca="false">IF(AM15=1,①통합_가정!$D$38*①통합_가정!$E$114,0)</f>
        <v>0</v>
      </c>
      <c r="AN81" s="37" t="n">
        <f aca="false">IF(AN15=1,①통합_가정!$D$38*①통합_가정!$E$114,0)</f>
        <v>0</v>
      </c>
      <c r="AO81" s="37" t="n">
        <f aca="false">IF(AO15=1,①통합_가정!$D$38*①통합_가정!$E$114,0)</f>
        <v>0</v>
      </c>
      <c r="AP81" s="37" t="n">
        <f aca="false">IF(AP15=1,①통합_가정!$D$38*①통합_가정!$E$114,0)</f>
        <v>0</v>
      </c>
      <c r="AQ81" s="37" t="n">
        <f aca="false">IF(AQ15=1,①통합_가정!$D$38*①통합_가정!$E$114,0)</f>
        <v>0</v>
      </c>
      <c r="AR81" s="37" t="n">
        <f aca="false">IF(AR15=1,①통합_가정!$D$38*①통합_가정!$E$114,0)</f>
        <v>0</v>
      </c>
      <c r="AS81" s="37" t="n">
        <f aca="false">IF(AS15=1,①통합_가정!$D$38*①통합_가정!$E$114,0)</f>
        <v>0</v>
      </c>
      <c r="AT81" s="37" t="n">
        <f aca="false">IF(AT15=1,①통합_가정!$D$38*①통합_가정!$E$114,0)</f>
        <v>0</v>
      </c>
      <c r="AU81" s="37" t="n">
        <f aca="false">IF(AU15=1,①통합_가정!$D$38*①통합_가정!$E$114,0)</f>
        <v>0</v>
      </c>
      <c r="AV81" s="37" t="n">
        <f aca="false">IF(AV15=1,①통합_가정!$D$38*①통합_가정!$E$114,0)</f>
        <v>0</v>
      </c>
      <c r="AW81" s="37" t="n">
        <f aca="false">IF(AW15=1,①통합_가정!$D$38*①통합_가정!$E$114,0)</f>
        <v>0</v>
      </c>
      <c r="AX81" s="37" t="n">
        <f aca="false">IF(AX15=1,①통합_가정!$D$38*①통합_가정!$E$114,0)</f>
        <v>0</v>
      </c>
      <c r="AY81" s="37" t="n">
        <f aca="false">IF(AY15=1,①통합_가정!$D$38*①통합_가정!$E$114,0)</f>
        <v>0</v>
      </c>
      <c r="AZ81" s="37" t="n">
        <f aca="false">IF(AZ15=1,①통합_가정!$D$38*①통합_가정!$E$114,0)</f>
        <v>0</v>
      </c>
      <c r="BA81" s="37" t="n">
        <f aca="false">IF(BA15=1,①통합_가정!$D$38*①통합_가정!$E$114,0)</f>
        <v>0</v>
      </c>
      <c r="BB81" s="37" t="n">
        <f aca="false">IF(BB15=1,①통합_가정!$D$38*①통합_가정!$E$114,0)</f>
        <v>0</v>
      </c>
      <c r="BC81" s="37" t="n">
        <f aca="false">IF(BC15=1,①통합_가정!$D$38*①통합_가정!$E$114,0)</f>
        <v>0</v>
      </c>
      <c r="BD81" s="37" t="n">
        <f aca="false">IF(BD15=1,①통합_가정!$D$38*①통합_가정!$E$114,0)</f>
        <v>0</v>
      </c>
      <c r="BE81" s="37" t="n">
        <f aca="false">IF(BE15=1,①통합_가정!$D$38*①통합_가정!$E$114,0)</f>
        <v>0</v>
      </c>
      <c r="BF81" s="37" t="n">
        <f aca="false">IF(BF15=1,①통합_가정!$D$38*①통합_가정!$E$114,0)</f>
        <v>0</v>
      </c>
      <c r="BG81" s="37" t="n">
        <f aca="false">IF(BG15=1,①통합_가정!$D$38*①통합_가정!$E$114,0)</f>
        <v>0</v>
      </c>
      <c r="BH81" s="37" t="n">
        <f aca="false">IF(BH15=1,①통합_가정!$D$38*①통합_가정!$E$114,0)</f>
        <v>0</v>
      </c>
      <c r="BI81" s="37" t="n">
        <f aca="false">IF(BI15=1,①통합_가정!$D$38*①통합_가정!$E$114,0)</f>
        <v>0</v>
      </c>
      <c r="BJ81" s="37" t="n">
        <f aca="false">IF(BJ15=1,①통합_가정!$D$38*①통합_가정!$E$114,0)</f>
        <v>0</v>
      </c>
      <c r="BK81" s="37" t="n">
        <f aca="false">IF(BK15=1,①통합_가정!$D$38*①통합_가정!$E$114,0)</f>
        <v>0</v>
      </c>
      <c r="BL81" s="37" t="n">
        <f aca="false">IF(BL15=1,①통합_가정!$D$38*①통합_가정!$E$114,0)</f>
        <v>0</v>
      </c>
      <c r="BM81" s="37" t="n">
        <f aca="false">IF(BM15=1,①통합_가정!$D$38*①통합_가정!$E$114,0)</f>
        <v>1500</v>
      </c>
      <c r="BN81" s="37" t="n">
        <f aca="false">IF(BN15=1,①통합_가정!$D$38*①통합_가정!$E$114,0)</f>
        <v>0</v>
      </c>
      <c r="BO81" s="37" t="n">
        <f aca="false">IF(BO15=1,①통합_가정!$D$38*①통합_가정!$E$114,0)</f>
        <v>0</v>
      </c>
      <c r="BP81" s="37" t="n">
        <f aca="false">IF(BP15=1,①통합_가정!$D$38*①통합_가정!$E$114,0)</f>
        <v>0</v>
      </c>
      <c r="BQ81" s="37" t="n">
        <f aca="false">IF(BQ15=1,①통합_가정!$D$38*①통합_가정!$E$114,0)</f>
        <v>0</v>
      </c>
      <c r="BR81" s="37" t="n">
        <f aca="false">IF(BR15=1,①통합_가정!$D$38*①통합_가정!$E$114,0)</f>
        <v>0</v>
      </c>
      <c r="BS81" s="37" t="n">
        <f aca="false">IF(BS15=1,①통합_가정!$D$38*①통합_가정!$E$114,0)</f>
        <v>0</v>
      </c>
      <c r="BT81" s="37" t="n">
        <f aca="false">IF(BT15=1,①통합_가정!$D$38*①통합_가정!$E$114,0)</f>
        <v>0</v>
      </c>
      <c r="BU81" s="37" t="n">
        <f aca="false">IF(BU15=1,①통합_가정!$D$38*①통합_가정!$E$114,0)</f>
        <v>0</v>
      </c>
      <c r="BV81" s="37" t="n">
        <f aca="false">IF(BV15=1,①통합_가정!$D$38*①통합_가정!$E$114,0)</f>
        <v>0</v>
      </c>
      <c r="BW81" s="37" t="n">
        <f aca="false">IF(BW15=1,①통합_가정!$D$38*①통합_가정!$E$114,0)</f>
        <v>0</v>
      </c>
      <c r="BX81" s="37" t="n">
        <f aca="false">IF(BX15=1,①통합_가정!$D$38*①통합_가정!$E$114,0)</f>
        <v>0</v>
      </c>
      <c r="BY81" s="37" t="n">
        <f aca="false">IF(BY15=1,①통합_가정!$D$38*①통합_가정!$E$114,0)</f>
        <v>0</v>
      </c>
      <c r="BZ81" s="37" t="n">
        <f aca="false">IF(BZ15=1,①통합_가정!$D$38*①통합_가정!$E$114,0)</f>
        <v>0</v>
      </c>
      <c r="CA81" s="37" t="n">
        <f aca="false">IF(CA15=1,①통합_가정!$D$38*①통합_가정!$E$114,0)</f>
        <v>0</v>
      </c>
      <c r="CB81" s="37" t="n">
        <f aca="false">IF(CB15=1,①통합_가정!$D$38*①통합_가정!$E$114,0)</f>
        <v>0</v>
      </c>
      <c r="CC81" s="37" t="n">
        <f aca="false">IF(CC15=1,①통합_가정!$D$38*①통합_가정!$E$114,0)</f>
        <v>0</v>
      </c>
      <c r="CD81" s="37" t="n">
        <f aca="false">IF(CD15=1,①통합_가정!$D$38*①통합_가정!$E$114,0)</f>
        <v>0</v>
      </c>
      <c r="CE81" s="37" t="n">
        <f aca="false">IF(CE15=1,①통합_가정!$D$38*①통합_가정!$E$114,0)</f>
        <v>0</v>
      </c>
      <c r="CF81" s="37" t="n">
        <f aca="false">IF(CF15=1,①통합_가정!$D$38*①통합_가정!$E$114,0)</f>
        <v>0</v>
      </c>
      <c r="CG81" s="37" t="n">
        <f aca="false">IF(CG15=1,①통합_가정!$D$38*①통합_가정!$E$114,0)</f>
        <v>0</v>
      </c>
      <c r="CH81" s="37" t="n">
        <f aca="false">IF(CH15=1,①통합_가정!$D$38*①통합_가정!$E$114,0)</f>
        <v>0</v>
      </c>
      <c r="CI81" s="37" t="n">
        <f aca="false">IF(CI15=1,①통합_가정!$D$38*①통합_가정!$E$114,0)</f>
        <v>0</v>
      </c>
      <c r="CJ81" s="37" t="n">
        <f aca="false">IF(CJ15=1,①통합_가정!$D$38*①통합_가정!$E$114,0)</f>
        <v>0</v>
      </c>
      <c r="CK81" s="37" t="n">
        <f aca="false">IF(CK15=1,①통합_가정!$D$38*①통합_가정!$E$114,0)</f>
        <v>0</v>
      </c>
      <c r="CL81" s="37" t="n">
        <f aca="false">IF(CL15=1,①통합_가정!$D$38*①통합_가정!$E$114,0)</f>
        <v>0</v>
      </c>
      <c r="CM81" s="37" t="n">
        <f aca="false">IF(CM15=1,①통합_가정!$D$38*①통합_가정!$E$114,0)</f>
        <v>0</v>
      </c>
      <c r="CN81" s="37" t="n">
        <f aca="false">IF(CN15=1,①통합_가정!$D$38*①통합_가정!$E$114,0)</f>
        <v>0</v>
      </c>
      <c r="CO81" s="37" t="n">
        <f aca="false">IF(CO15=1,①통합_가정!$D$38*①통합_가정!$E$114,0)</f>
        <v>0</v>
      </c>
      <c r="CP81" s="37" t="n">
        <f aca="false">IF(CP15=1,①통합_가정!$D$38*①통합_가정!$E$114,0)</f>
        <v>0</v>
      </c>
      <c r="CQ81" s="37" t="n">
        <f aca="false">IF(CQ15=1,①통합_가정!$D$38*①통합_가정!$E$114,0)</f>
        <v>0</v>
      </c>
      <c r="CR81" s="37" t="n">
        <f aca="false">IF(CR15=1,①통합_가정!$D$38*①통합_가정!$E$114,0)</f>
        <v>0</v>
      </c>
      <c r="CS81" s="37" t="n">
        <f aca="false">IF(CS15=1,①통합_가정!$D$38*①통합_가정!$E$114,0)</f>
        <v>0</v>
      </c>
      <c r="CT81" s="37" t="n">
        <f aca="false">IF(CT15=1,①통합_가정!$D$38*①통합_가정!$E$114,0)</f>
        <v>0</v>
      </c>
      <c r="CU81" s="37" t="n">
        <f aca="false">IF(CU15=1,①통합_가정!$D$38*①통합_가정!$E$114,0)</f>
        <v>0</v>
      </c>
      <c r="CV81" s="37" t="n">
        <f aca="false">IF(CV15=1,①통합_가정!$D$38*①통합_가정!$E$114,0)</f>
        <v>0</v>
      </c>
      <c r="CW81" s="37" t="n">
        <f aca="false">IF(CW15=1,①통합_가정!$D$38*①통합_가정!$E$114,0)</f>
        <v>0</v>
      </c>
      <c r="CX81" s="37" t="n">
        <f aca="false">IF(CX15=1,①통합_가정!$D$38*①통합_가정!$E$114,0)</f>
        <v>0</v>
      </c>
      <c r="CY81" s="37" t="n">
        <f aca="false">IF(CY15=1,①통합_가정!$D$38*①통합_가정!$E$114,0)</f>
        <v>0</v>
      </c>
      <c r="CZ81" s="37" t="n">
        <f aca="false">IF(CZ15=1,①통합_가정!$D$38*①통합_가정!$E$114,0)</f>
        <v>0</v>
      </c>
      <c r="DA81" s="37" t="n">
        <f aca="false">IF(DA15=1,①통합_가정!$D$38*①통합_가정!$E$114,0)</f>
        <v>0</v>
      </c>
      <c r="DB81" s="37" t="n">
        <f aca="false">IF(DB15=1,①통합_가정!$D$38*①통합_가정!$E$114,0)</f>
        <v>0</v>
      </c>
      <c r="DC81" s="37" t="n">
        <f aca="false">IF(DC15=1,①통합_가정!$D$38*①통합_가정!$E$114,0)</f>
        <v>0</v>
      </c>
      <c r="DD81" s="37" t="n">
        <f aca="false">IF(DD15=1,①통합_가정!$D$38*①통합_가정!$E$114,0)</f>
        <v>0</v>
      </c>
      <c r="DE81" s="37" t="n">
        <f aca="false">IF(DE15=1,①통합_가정!$D$38*①통합_가정!$E$114,0)</f>
        <v>0</v>
      </c>
      <c r="DF81" s="37" t="n">
        <f aca="false">IF(DF15=1,①통합_가정!$D$38*①통합_가정!$E$114,0)</f>
        <v>0</v>
      </c>
      <c r="DG81" s="37" t="n">
        <f aca="false">IF(DG15=1,①통합_가정!$D$38*①통합_가정!$E$114,0)</f>
        <v>0</v>
      </c>
      <c r="DH81" s="37" t="n">
        <f aca="false">IF(DH15=1,①통합_가정!$D$38*①통합_가정!$E$114,0)</f>
        <v>0</v>
      </c>
      <c r="DI81" s="37" t="n">
        <f aca="false">IF(DI15=1,①통합_가정!$D$38*①통합_가정!$E$114,0)</f>
        <v>0</v>
      </c>
      <c r="DJ81" s="37" t="n">
        <f aca="false">IF(DJ15=1,①통합_가정!$D$38*①통합_가정!$E$114,0)</f>
        <v>0</v>
      </c>
      <c r="DK81" s="37" t="n">
        <f aca="false">IF(DK15=1,①통합_가정!$D$38*①통합_가정!$E$114,0)</f>
        <v>0</v>
      </c>
      <c r="DL81" s="37" t="n">
        <f aca="false">IF(DL15=1,①통합_가정!$D$38*①통합_가정!$E$114,0)</f>
        <v>0</v>
      </c>
      <c r="DM81" s="37" t="n">
        <f aca="false">IF(DM15=1,①통합_가정!$D$38*①통합_가정!$E$114,0)</f>
        <v>0</v>
      </c>
      <c r="DN81" s="37" t="n">
        <f aca="false">IF(DN15=1,①통합_가정!$D$38*①통합_가정!$E$114,0)</f>
        <v>0</v>
      </c>
      <c r="DO81" s="37" t="n">
        <f aca="false">IF(DO15=1,①통합_가정!$D$38*①통합_가정!$E$114,0)</f>
        <v>0</v>
      </c>
      <c r="DP81" s="37" t="n">
        <f aca="false">IF(DP15=1,①통합_가정!$D$38*①통합_가정!$E$114,0)</f>
        <v>0</v>
      </c>
      <c r="DQ81" s="37" t="n">
        <f aca="false">IF(DQ15=1,①통합_가정!$D$38*①통합_가정!$E$114,0)</f>
        <v>0</v>
      </c>
      <c r="DR81" s="37" t="n">
        <f aca="false">IF(DR15=1,①통합_가정!$D$38*①통합_가정!$E$114,0)</f>
        <v>0</v>
      </c>
      <c r="DS81" s="37" t="n">
        <f aca="false">IF(DS15=1,①통합_가정!$D$38*①통합_가정!$E$114,0)</f>
        <v>0</v>
      </c>
      <c r="DT81" s="37" t="n">
        <f aca="false">IF(DT15=1,①통합_가정!$D$38*①통합_가정!$E$114,0)</f>
        <v>0</v>
      </c>
      <c r="DU81" s="37" t="n">
        <f aca="false">IF(DU15=1,①통합_가정!$D$38*①통합_가정!$E$114,0)</f>
        <v>0</v>
      </c>
      <c r="DV81" s="37" t="n">
        <f aca="false">IF(DV15=1,①통합_가정!$D$38*①통합_가정!$E$114,0)</f>
        <v>0</v>
      </c>
      <c r="DW81" s="37" t="n">
        <f aca="false">IF(DW15=1,①통합_가정!$D$38*①통합_가정!$E$114,0)</f>
        <v>0</v>
      </c>
      <c r="DX81" s="37" t="n">
        <f aca="false">IF(DX15=1,①통합_가정!$D$38*①통합_가정!$E$114,0)</f>
        <v>0</v>
      </c>
      <c r="DY81" s="37" t="n">
        <f aca="false">IF(DY15=1,①통합_가정!$D$38*①통합_가정!$E$114,0)</f>
        <v>0</v>
      </c>
      <c r="DZ81" s="37" t="n">
        <f aca="false">IF(DZ15=1,①통합_가정!$D$38*①통합_가정!$E$114,0)</f>
        <v>0</v>
      </c>
      <c r="EA81" s="37" t="n">
        <f aca="false">IF(EA15=1,①통합_가정!$D$38*①통합_가정!$E$114,0)</f>
        <v>0</v>
      </c>
      <c r="EB81" s="37" t="n">
        <f aca="false">IF(EB15=1,①통합_가정!$D$38*①통합_가정!$E$114,0)</f>
        <v>0</v>
      </c>
      <c r="EC81" s="37" t="n">
        <f aca="false">IF(EC15=1,①통합_가정!$D$38*①통합_가정!$E$114,0)</f>
        <v>0</v>
      </c>
      <c r="ED81" s="37" t="n">
        <f aca="false">IF(ED15=1,①통합_가정!$D$38*①통합_가정!$E$114,0)</f>
        <v>0</v>
      </c>
      <c r="EE81" s="37" t="n">
        <f aca="false">IF(EE15=1,①통합_가정!$D$38*①통합_가정!$E$114,0)</f>
        <v>0</v>
      </c>
      <c r="EF81" s="37" t="n">
        <f aca="false">IF(EF15=1,①통합_가정!$D$38*①통합_가정!$E$114,0)</f>
        <v>0</v>
      </c>
    </row>
    <row r="82" customFormat="false" ht="15" hidden="false" customHeight="false" outlineLevel="0" collapsed="false">
      <c r="A82" s="36" t="s">
        <v>624</v>
      </c>
      <c r="B82" s="278" t="s">
        <v>21</v>
      </c>
      <c r="C82" s="279" t="n">
        <f aca="false">SUM(E82:EF82)</f>
        <v>14400</v>
      </c>
      <c r="E82" s="37" t="n">
        <f aca="false">IF(E15=1,①통합_가정!$G$38*①통합_가정!$E$182,0)</f>
        <v>0</v>
      </c>
      <c r="F82" s="37" t="n">
        <f aca="false">IF(F15=1,①통합_가정!$G$38*①통합_가정!$E$182,0)</f>
        <v>0</v>
      </c>
      <c r="G82" s="37" t="n">
        <f aca="false">IF(G15=1,①통합_가정!$G$38*①통합_가정!$E$182,0)</f>
        <v>0</v>
      </c>
      <c r="H82" s="37" t="n">
        <f aca="false">IF(H15=1,①통합_가정!$G$38*①통합_가정!$E$182,0)</f>
        <v>0</v>
      </c>
      <c r="I82" s="37" t="n">
        <f aca="false">IF(I15=1,①통합_가정!$G$38*①통합_가정!$E$182,0)</f>
        <v>0</v>
      </c>
      <c r="J82" s="37" t="n">
        <f aca="false">IF(J15=1,①통합_가정!$G$38*①통합_가정!$E$182,0)</f>
        <v>0</v>
      </c>
      <c r="K82" s="37" t="n">
        <f aca="false">IF(K15=1,①통합_가정!$G$38*①통합_가정!$E$182,0)</f>
        <v>0</v>
      </c>
      <c r="L82" s="37" t="n">
        <f aca="false">IF(L15=1,①통합_가정!$G$38*①통합_가정!$E$182,0)</f>
        <v>0</v>
      </c>
      <c r="M82" s="37" t="n">
        <f aca="false">IF(M15=1,①통합_가정!$G$38*①통합_가정!$E$182,0)</f>
        <v>0</v>
      </c>
      <c r="N82" s="37" t="n">
        <f aca="false">IF(N15=1,①통합_가정!$G$38*①통합_가정!$E$182,0)</f>
        <v>0</v>
      </c>
      <c r="O82" s="37" t="n">
        <f aca="false">IF(O15=1,①통합_가정!$G$38*①통합_가정!$E$182,0)</f>
        <v>0</v>
      </c>
      <c r="P82" s="37" t="n">
        <f aca="false">IF(P15=1,①통합_가정!$G$38*①통합_가정!$E$182,0)</f>
        <v>0</v>
      </c>
      <c r="Q82" s="37" t="n">
        <f aca="false">IF(Q15=1,①통합_가정!$G$38*①통합_가정!$E$182,0)</f>
        <v>0</v>
      </c>
      <c r="R82" s="37" t="n">
        <f aca="false">IF(R15=1,①통합_가정!$G$38*①통합_가정!$E$182,0)</f>
        <v>0</v>
      </c>
      <c r="S82" s="37" t="n">
        <f aca="false">IF(S15=1,①통합_가정!$G$38*①통합_가정!$E$182,0)</f>
        <v>0</v>
      </c>
      <c r="T82" s="37" t="n">
        <f aca="false">IF(T15=1,①통합_가정!$G$38*①통합_가정!$E$182,0)</f>
        <v>0</v>
      </c>
      <c r="U82" s="37" t="n">
        <f aca="false">IF(U15=1,①통합_가정!$G$38*①통합_가정!$E$182,0)</f>
        <v>0</v>
      </c>
      <c r="V82" s="37" t="n">
        <f aca="false">IF(V15=1,①통합_가정!$G$38*①통합_가정!$E$182,0)</f>
        <v>0</v>
      </c>
      <c r="W82" s="37" t="n">
        <f aca="false">IF(W15=1,①통합_가정!$G$38*①통합_가정!$E$182,0)</f>
        <v>0</v>
      </c>
      <c r="X82" s="37" t="n">
        <f aca="false">IF(X15=1,①통합_가정!$G$38*①통합_가정!$E$182,0)</f>
        <v>0</v>
      </c>
      <c r="Y82" s="37" t="n">
        <f aca="false">IF(Y15=1,①통합_가정!$G$38*①통합_가정!$E$182,0)</f>
        <v>0</v>
      </c>
      <c r="Z82" s="37" t="n">
        <f aca="false">IF(Z15=1,①통합_가정!$G$38*①통합_가정!$E$182,0)</f>
        <v>0</v>
      </c>
      <c r="AA82" s="37" t="n">
        <f aca="false">IF(AA15=1,①통합_가정!$G$38*①통합_가정!$E$182,0)</f>
        <v>0</v>
      </c>
      <c r="AB82" s="37" t="n">
        <f aca="false">IF(AB15=1,①통합_가정!$G$38*①통합_가정!$E$182,0)</f>
        <v>0</v>
      </c>
      <c r="AC82" s="37" t="n">
        <f aca="false">IF(AC15=1,①통합_가정!$G$38*①통합_가정!$E$182,0)</f>
        <v>0</v>
      </c>
      <c r="AD82" s="37" t="n">
        <f aca="false">IF(AD15=1,①통합_가정!$G$38*①통합_가정!$E$182,0)</f>
        <v>0</v>
      </c>
      <c r="AE82" s="37" t="n">
        <f aca="false">IF(AE15=1,①통합_가정!$G$38*①통합_가정!$E$182,0)</f>
        <v>0</v>
      </c>
      <c r="AF82" s="37" t="n">
        <f aca="false">IF(AF15=1,①통합_가정!$G$38*①통합_가정!$E$182,0)</f>
        <v>0</v>
      </c>
      <c r="AG82" s="37" t="n">
        <f aca="false">IF(AG15=1,①통합_가정!$G$38*①통합_가정!$E$182,0)</f>
        <v>0</v>
      </c>
      <c r="AH82" s="37" t="n">
        <f aca="false">IF(AH15=1,①통합_가정!$G$38*①통합_가정!$E$182,0)</f>
        <v>0</v>
      </c>
      <c r="AI82" s="37" t="n">
        <f aca="false">IF(AI15=1,①통합_가정!$G$38*①통합_가정!$E$182,0)</f>
        <v>0</v>
      </c>
      <c r="AJ82" s="37" t="n">
        <f aca="false">IF(AJ15=1,①통합_가정!$G$38*①통합_가정!$E$182,0)</f>
        <v>0</v>
      </c>
      <c r="AK82" s="37" t="n">
        <f aca="false">IF(AK15=1,①통합_가정!$G$38*①통합_가정!$E$182,0)</f>
        <v>0</v>
      </c>
      <c r="AL82" s="37" t="n">
        <f aca="false">IF(AL15=1,①통합_가정!$G$38*①통합_가정!$E$182,0)</f>
        <v>0</v>
      </c>
      <c r="AM82" s="37" t="n">
        <f aca="false">IF(AM15=1,①통합_가정!$G$38*①통합_가정!$E$182,0)</f>
        <v>0</v>
      </c>
      <c r="AN82" s="37" t="n">
        <f aca="false">IF(AN15=1,①통합_가정!$G$38*①통합_가정!$E$182,0)</f>
        <v>0</v>
      </c>
      <c r="AO82" s="37" t="n">
        <f aca="false">IF(AO15=1,①통합_가정!$G$38*①통합_가정!$E$182,0)</f>
        <v>0</v>
      </c>
      <c r="AP82" s="37" t="n">
        <f aca="false">IF(AP15=1,①통합_가정!$G$38*①통합_가정!$E$182,0)</f>
        <v>0</v>
      </c>
      <c r="AQ82" s="37" t="n">
        <f aca="false">IF(AQ15=1,①통합_가정!$G$38*①통합_가정!$E$182,0)</f>
        <v>0</v>
      </c>
      <c r="AR82" s="37" t="n">
        <f aca="false">IF(AR15=1,①통합_가정!$G$38*①통합_가정!$E$182,0)</f>
        <v>0</v>
      </c>
      <c r="AS82" s="37" t="n">
        <f aca="false">IF(AS15=1,①통합_가정!$G$38*①통합_가정!$E$182,0)</f>
        <v>0</v>
      </c>
      <c r="AT82" s="37" t="n">
        <f aca="false">IF(AT15=1,①통합_가정!$G$38*①통합_가정!$E$182,0)</f>
        <v>0</v>
      </c>
      <c r="AU82" s="37" t="n">
        <f aca="false">IF(AU15=1,①통합_가정!$G$38*①통합_가정!$E$182,0)</f>
        <v>0</v>
      </c>
      <c r="AV82" s="37" t="n">
        <f aca="false">IF(AV15=1,①통합_가정!$G$38*①통합_가정!$E$182,0)</f>
        <v>0</v>
      </c>
      <c r="AW82" s="37" t="n">
        <f aca="false">IF(AW15=1,①통합_가정!$G$38*①통합_가정!$E$182,0)</f>
        <v>0</v>
      </c>
      <c r="AX82" s="37" t="n">
        <f aca="false">IF(AX15=1,①통합_가정!$G$38*①통합_가정!$E$182,0)</f>
        <v>0</v>
      </c>
      <c r="AY82" s="37" t="n">
        <f aca="false">IF(AY15=1,①통합_가정!$G$38*①통합_가정!$E$182,0)</f>
        <v>0</v>
      </c>
      <c r="AZ82" s="37" t="n">
        <f aca="false">IF(AZ15=1,①통합_가정!$G$38*①통합_가정!$E$182,0)</f>
        <v>0</v>
      </c>
      <c r="BA82" s="37" t="n">
        <f aca="false">IF(BA15=1,①통합_가정!$G$38*①통합_가정!$E$182,0)</f>
        <v>0</v>
      </c>
      <c r="BB82" s="37" t="n">
        <f aca="false">IF(BB15=1,①통합_가정!$G$38*①통합_가정!$E$182,0)</f>
        <v>0</v>
      </c>
      <c r="BC82" s="37" t="n">
        <f aca="false">IF(BC15=1,①통합_가정!$G$38*①통합_가정!$E$182,0)</f>
        <v>0</v>
      </c>
      <c r="BD82" s="37" t="n">
        <f aca="false">IF(BD15=1,①통합_가정!$G$38*①통합_가정!$E$182,0)</f>
        <v>0</v>
      </c>
      <c r="BE82" s="37" t="n">
        <f aca="false">IF(BE15=1,①통합_가정!$G$38*①통합_가정!$E$182,0)</f>
        <v>0</v>
      </c>
      <c r="BF82" s="37" t="n">
        <f aca="false">IF(BF15=1,①통합_가정!$G$38*①통합_가정!$E$182,0)</f>
        <v>0</v>
      </c>
      <c r="BG82" s="37" t="n">
        <f aca="false">IF(BG15=1,①통합_가정!$G$38*①통합_가정!$E$182,0)</f>
        <v>0</v>
      </c>
      <c r="BH82" s="37" t="n">
        <f aca="false">IF(BH15=1,①통합_가정!$G$38*①통합_가정!$E$182,0)</f>
        <v>0</v>
      </c>
      <c r="BI82" s="37" t="n">
        <f aca="false">IF(BI15=1,①통합_가정!$G$38*①통합_가정!$E$182,0)</f>
        <v>0</v>
      </c>
      <c r="BJ82" s="37" t="n">
        <f aca="false">IF(BJ15=1,①통합_가정!$G$38*①통합_가정!$E$182,0)</f>
        <v>0</v>
      </c>
      <c r="BK82" s="37" t="n">
        <f aca="false">IF(BK15=1,①통합_가정!$G$38*①통합_가정!$E$182,0)</f>
        <v>0</v>
      </c>
      <c r="BL82" s="37" t="n">
        <f aca="false">IF(BL15=1,①통합_가정!$G$38*①통합_가정!$E$182,0)</f>
        <v>0</v>
      </c>
      <c r="BM82" s="37" t="n">
        <f aca="false">IF(BM15=1,①통합_가정!$G$38*①통합_가정!$E$182,0)</f>
        <v>14400</v>
      </c>
      <c r="BN82" s="37" t="n">
        <f aca="false">IF(BN15=1,①통합_가정!$G$38*①통합_가정!$E$182,0)</f>
        <v>0</v>
      </c>
      <c r="BO82" s="37" t="n">
        <f aca="false">IF(BO15=1,①통합_가정!$G$38*①통합_가정!$E$182,0)</f>
        <v>0</v>
      </c>
      <c r="BP82" s="37" t="n">
        <f aca="false">IF(BP15=1,①통합_가정!$G$38*①통합_가정!$E$182,0)</f>
        <v>0</v>
      </c>
      <c r="BQ82" s="37" t="n">
        <f aca="false">IF(BQ15=1,①통합_가정!$G$38*①통합_가정!$E$182,0)</f>
        <v>0</v>
      </c>
      <c r="BR82" s="37" t="n">
        <f aca="false">IF(BR15=1,①통합_가정!$G$38*①통합_가정!$E$182,0)</f>
        <v>0</v>
      </c>
      <c r="BS82" s="37" t="n">
        <f aca="false">IF(BS15=1,①통합_가정!$G$38*①통합_가정!$E$182,0)</f>
        <v>0</v>
      </c>
      <c r="BT82" s="37" t="n">
        <f aca="false">IF(BT15=1,①통합_가정!$G$38*①통합_가정!$E$182,0)</f>
        <v>0</v>
      </c>
      <c r="BU82" s="37" t="n">
        <f aca="false">IF(BU15=1,①통합_가정!$G$38*①통합_가정!$E$182,0)</f>
        <v>0</v>
      </c>
      <c r="BV82" s="37" t="n">
        <f aca="false">IF(BV15=1,①통합_가정!$G$38*①통합_가정!$E$182,0)</f>
        <v>0</v>
      </c>
      <c r="BW82" s="37" t="n">
        <f aca="false">IF(BW15=1,①통합_가정!$G$38*①통합_가정!$E$182,0)</f>
        <v>0</v>
      </c>
      <c r="BX82" s="37" t="n">
        <f aca="false">IF(BX15=1,①통합_가정!$G$38*①통합_가정!$E$182,0)</f>
        <v>0</v>
      </c>
      <c r="BY82" s="37" t="n">
        <f aca="false">IF(BY15=1,①통합_가정!$G$38*①통합_가정!$E$182,0)</f>
        <v>0</v>
      </c>
      <c r="BZ82" s="37" t="n">
        <f aca="false">IF(BZ15=1,①통합_가정!$G$38*①통합_가정!$E$182,0)</f>
        <v>0</v>
      </c>
      <c r="CA82" s="37" t="n">
        <f aca="false">IF(CA15=1,①통합_가정!$G$38*①통합_가정!$E$182,0)</f>
        <v>0</v>
      </c>
      <c r="CB82" s="37" t="n">
        <f aca="false">IF(CB15=1,①통합_가정!$G$38*①통합_가정!$E$182,0)</f>
        <v>0</v>
      </c>
      <c r="CC82" s="37" t="n">
        <f aca="false">IF(CC15=1,①통합_가정!$G$38*①통합_가정!$E$182,0)</f>
        <v>0</v>
      </c>
      <c r="CD82" s="37" t="n">
        <f aca="false">IF(CD15=1,①통합_가정!$G$38*①통합_가정!$E$182,0)</f>
        <v>0</v>
      </c>
      <c r="CE82" s="37" t="n">
        <f aca="false">IF(CE15=1,①통합_가정!$G$38*①통합_가정!$E$182,0)</f>
        <v>0</v>
      </c>
      <c r="CF82" s="37" t="n">
        <f aca="false">IF(CF15=1,①통합_가정!$G$38*①통합_가정!$E$182,0)</f>
        <v>0</v>
      </c>
      <c r="CG82" s="37" t="n">
        <f aca="false">IF(CG15=1,①통합_가정!$G$38*①통합_가정!$E$182,0)</f>
        <v>0</v>
      </c>
      <c r="CH82" s="37" t="n">
        <f aca="false">IF(CH15=1,①통합_가정!$G$38*①통합_가정!$E$182,0)</f>
        <v>0</v>
      </c>
      <c r="CI82" s="37" t="n">
        <f aca="false">IF(CI15=1,①통합_가정!$G$38*①통합_가정!$E$182,0)</f>
        <v>0</v>
      </c>
      <c r="CJ82" s="37" t="n">
        <f aca="false">IF(CJ15=1,①통합_가정!$G$38*①통합_가정!$E$182,0)</f>
        <v>0</v>
      </c>
      <c r="CK82" s="37" t="n">
        <f aca="false">IF(CK15=1,①통합_가정!$G$38*①통합_가정!$E$182,0)</f>
        <v>0</v>
      </c>
      <c r="CL82" s="37" t="n">
        <f aca="false">IF(CL15=1,①통합_가정!$G$38*①통합_가정!$E$182,0)</f>
        <v>0</v>
      </c>
      <c r="CM82" s="37" t="n">
        <f aca="false">IF(CM15=1,①통합_가정!$G$38*①통합_가정!$E$182,0)</f>
        <v>0</v>
      </c>
      <c r="CN82" s="37" t="n">
        <f aca="false">IF(CN15=1,①통합_가정!$G$38*①통합_가정!$E$182,0)</f>
        <v>0</v>
      </c>
      <c r="CO82" s="37" t="n">
        <f aca="false">IF(CO15=1,①통합_가정!$G$38*①통합_가정!$E$182,0)</f>
        <v>0</v>
      </c>
      <c r="CP82" s="37" t="n">
        <f aca="false">IF(CP15=1,①통합_가정!$G$38*①통합_가정!$E$182,0)</f>
        <v>0</v>
      </c>
      <c r="CQ82" s="37" t="n">
        <f aca="false">IF(CQ15=1,①통합_가정!$G$38*①통합_가정!$E$182,0)</f>
        <v>0</v>
      </c>
      <c r="CR82" s="37" t="n">
        <f aca="false">IF(CR15=1,①통합_가정!$G$38*①통합_가정!$E$182,0)</f>
        <v>0</v>
      </c>
      <c r="CS82" s="37" t="n">
        <f aca="false">IF(CS15=1,①통합_가정!$G$38*①통합_가정!$E$182,0)</f>
        <v>0</v>
      </c>
      <c r="CT82" s="37" t="n">
        <f aca="false">IF(CT15=1,①통합_가정!$G$38*①통합_가정!$E$182,0)</f>
        <v>0</v>
      </c>
      <c r="CU82" s="37" t="n">
        <f aca="false">IF(CU15=1,①통합_가정!$G$38*①통합_가정!$E$182,0)</f>
        <v>0</v>
      </c>
      <c r="CV82" s="37" t="n">
        <f aca="false">IF(CV15=1,①통합_가정!$G$38*①통합_가정!$E$182,0)</f>
        <v>0</v>
      </c>
      <c r="CW82" s="37" t="n">
        <f aca="false">IF(CW15=1,①통합_가정!$G$38*①통합_가정!$E$182,0)</f>
        <v>0</v>
      </c>
      <c r="CX82" s="37" t="n">
        <f aca="false">IF(CX15=1,①통합_가정!$G$38*①통합_가정!$E$182,0)</f>
        <v>0</v>
      </c>
      <c r="CY82" s="37" t="n">
        <f aca="false">IF(CY15=1,①통합_가정!$G$38*①통합_가정!$E$182,0)</f>
        <v>0</v>
      </c>
      <c r="CZ82" s="37" t="n">
        <f aca="false">IF(CZ15=1,①통합_가정!$G$38*①통합_가정!$E$182,0)</f>
        <v>0</v>
      </c>
      <c r="DA82" s="37" t="n">
        <f aca="false">IF(DA15=1,①통합_가정!$G$38*①통합_가정!$E$182,0)</f>
        <v>0</v>
      </c>
      <c r="DB82" s="37" t="n">
        <f aca="false">IF(DB15=1,①통합_가정!$G$38*①통합_가정!$E$182,0)</f>
        <v>0</v>
      </c>
      <c r="DC82" s="37" t="n">
        <f aca="false">IF(DC15=1,①통합_가정!$G$38*①통합_가정!$E$182,0)</f>
        <v>0</v>
      </c>
      <c r="DD82" s="37" t="n">
        <f aca="false">IF(DD15=1,①통합_가정!$G$38*①통합_가정!$E$182,0)</f>
        <v>0</v>
      </c>
      <c r="DE82" s="37" t="n">
        <f aca="false">IF(DE15=1,①통합_가정!$G$38*①통합_가정!$E$182,0)</f>
        <v>0</v>
      </c>
      <c r="DF82" s="37" t="n">
        <f aca="false">IF(DF15=1,①통합_가정!$G$38*①통합_가정!$E$182,0)</f>
        <v>0</v>
      </c>
      <c r="DG82" s="37" t="n">
        <f aca="false">IF(DG15=1,①통합_가정!$G$38*①통합_가정!$E$182,0)</f>
        <v>0</v>
      </c>
      <c r="DH82" s="37" t="n">
        <f aca="false">IF(DH15=1,①통합_가정!$G$38*①통합_가정!$E$182,0)</f>
        <v>0</v>
      </c>
      <c r="DI82" s="37" t="n">
        <f aca="false">IF(DI15=1,①통합_가정!$G$38*①통합_가정!$E$182,0)</f>
        <v>0</v>
      </c>
      <c r="DJ82" s="37" t="n">
        <f aca="false">IF(DJ15=1,①통합_가정!$G$38*①통합_가정!$E$182,0)</f>
        <v>0</v>
      </c>
      <c r="DK82" s="37" t="n">
        <f aca="false">IF(DK15=1,①통합_가정!$G$38*①통합_가정!$E$182,0)</f>
        <v>0</v>
      </c>
      <c r="DL82" s="37" t="n">
        <f aca="false">IF(DL15=1,①통합_가정!$G$38*①통합_가정!$E$182,0)</f>
        <v>0</v>
      </c>
      <c r="DM82" s="37" t="n">
        <f aca="false">IF(DM15=1,①통합_가정!$G$38*①통합_가정!$E$182,0)</f>
        <v>0</v>
      </c>
      <c r="DN82" s="37" t="n">
        <f aca="false">IF(DN15=1,①통합_가정!$G$38*①통합_가정!$E$182,0)</f>
        <v>0</v>
      </c>
      <c r="DO82" s="37" t="n">
        <f aca="false">IF(DO15=1,①통합_가정!$G$38*①통합_가정!$E$182,0)</f>
        <v>0</v>
      </c>
      <c r="DP82" s="37" t="n">
        <f aca="false">IF(DP15=1,①통합_가정!$G$38*①통합_가정!$E$182,0)</f>
        <v>0</v>
      </c>
      <c r="DQ82" s="37" t="n">
        <f aca="false">IF(DQ15=1,①통합_가정!$G$38*①통합_가정!$E$182,0)</f>
        <v>0</v>
      </c>
      <c r="DR82" s="37" t="n">
        <f aca="false">IF(DR15=1,①통합_가정!$G$38*①통합_가정!$E$182,0)</f>
        <v>0</v>
      </c>
      <c r="DS82" s="37" t="n">
        <f aca="false">IF(DS15=1,①통합_가정!$G$38*①통합_가정!$E$182,0)</f>
        <v>0</v>
      </c>
      <c r="DT82" s="37" t="n">
        <f aca="false">IF(DT15=1,①통합_가정!$G$38*①통합_가정!$E$182,0)</f>
        <v>0</v>
      </c>
      <c r="DU82" s="37" t="n">
        <f aca="false">IF(DU15=1,①통합_가정!$G$38*①통합_가정!$E$182,0)</f>
        <v>0</v>
      </c>
      <c r="DV82" s="37" t="n">
        <f aca="false">IF(DV15=1,①통합_가정!$G$38*①통합_가정!$E$182,0)</f>
        <v>0</v>
      </c>
      <c r="DW82" s="37" t="n">
        <f aca="false">IF(DW15=1,①통합_가정!$G$38*①통합_가정!$E$182,0)</f>
        <v>0</v>
      </c>
      <c r="DX82" s="37" t="n">
        <f aca="false">IF(DX15=1,①통합_가정!$G$38*①통합_가정!$E$182,0)</f>
        <v>0</v>
      </c>
      <c r="DY82" s="37" t="n">
        <f aca="false">IF(DY15=1,①통합_가정!$G$38*①통합_가정!$E$182,0)</f>
        <v>0</v>
      </c>
      <c r="DZ82" s="37" t="n">
        <f aca="false">IF(DZ15=1,①통합_가정!$G$38*①통합_가정!$E$182,0)</f>
        <v>0</v>
      </c>
      <c r="EA82" s="37" t="n">
        <f aca="false">IF(EA15=1,①통합_가정!$G$38*①통합_가정!$E$182,0)</f>
        <v>0</v>
      </c>
      <c r="EB82" s="37" t="n">
        <f aca="false">IF(EB15=1,①통합_가정!$G$38*①통합_가정!$E$182,0)</f>
        <v>0</v>
      </c>
      <c r="EC82" s="37" t="n">
        <f aca="false">IF(EC15=1,①통합_가정!$G$38*①통합_가정!$E$182,0)</f>
        <v>0</v>
      </c>
      <c r="ED82" s="37" t="n">
        <f aca="false">IF(ED15=1,①통합_가정!$G$38*①통합_가정!$E$182,0)</f>
        <v>0</v>
      </c>
      <c r="EE82" s="37" t="n">
        <f aca="false">IF(EE15=1,①통합_가정!$G$38*①통합_가정!$E$182,0)</f>
        <v>0</v>
      </c>
      <c r="EF82" s="37" t="n">
        <f aca="false">IF(EF15=1,①통합_가정!$G$38*①통합_가정!$E$182,0)</f>
        <v>0</v>
      </c>
    </row>
    <row r="83" customFormat="false" ht="15" hidden="false" customHeight="false" outlineLevel="0" collapsed="false">
      <c r="A83" s="36" t="s">
        <v>625</v>
      </c>
      <c r="B83" s="278" t="s">
        <v>21</v>
      </c>
      <c r="C83" s="279" t="n">
        <f aca="false">SUM(E83:EF83)</f>
        <v>9300</v>
      </c>
      <c r="E83" s="37" t="n">
        <f aca="false">IF(E15=1,①통합_가정!$H$38*(①통합_가정!$E$200+①통합_가정!$E$213+①통합_가정!$E$226+①통합_가정!$E$239+①통합_가정!$E$252),0)</f>
        <v>0</v>
      </c>
      <c r="F83" s="37" t="n">
        <f aca="false">IF(F15=1,①통합_가정!$H$38*(①통합_가정!$E$200+①통합_가정!$E$213+①통합_가정!$E$226+①통합_가정!$E$239+①통합_가정!$E$252),0)</f>
        <v>0</v>
      </c>
      <c r="G83" s="37" t="n">
        <f aca="false">IF(G15=1,①통합_가정!$H$38*(①통합_가정!$E$200+①통합_가정!$E$213+①통합_가정!$E$226+①통합_가정!$E$239+①통합_가정!$E$252),0)</f>
        <v>0</v>
      </c>
      <c r="H83" s="37" t="n">
        <f aca="false">IF(H15=1,①통합_가정!$H$38*(①통합_가정!$E$200+①통합_가정!$E$213+①통합_가정!$E$226+①통합_가정!$E$239+①통합_가정!$E$252),0)</f>
        <v>0</v>
      </c>
      <c r="I83" s="37" t="n">
        <f aca="false">IF(I15=1,①통합_가정!$H$38*(①통합_가정!$E$200+①통합_가정!$E$213+①통합_가정!$E$226+①통합_가정!$E$239+①통합_가정!$E$252),0)</f>
        <v>0</v>
      </c>
      <c r="J83" s="37" t="n">
        <f aca="false">IF(J15=1,①통합_가정!$H$38*(①통합_가정!$E$200+①통합_가정!$E$213+①통합_가정!$E$226+①통합_가정!$E$239+①통합_가정!$E$252),0)</f>
        <v>0</v>
      </c>
      <c r="K83" s="37" t="n">
        <f aca="false">IF(K15=1,①통합_가정!$H$38*(①통합_가정!$E$200+①통합_가정!$E$213+①통합_가정!$E$226+①통합_가정!$E$239+①통합_가정!$E$252),0)</f>
        <v>0</v>
      </c>
      <c r="L83" s="37" t="n">
        <f aca="false">IF(L15=1,①통합_가정!$H$38*(①통합_가정!$E$200+①통합_가정!$E$213+①통합_가정!$E$226+①통합_가정!$E$239+①통합_가정!$E$252),0)</f>
        <v>0</v>
      </c>
      <c r="M83" s="37" t="n">
        <f aca="false">IF(M15=1,①통합_가정!$H$38*(①통합_가정!$E$200+①통합_가정!$E$213+①통합_가정!$E$226+①통합_가정!$E$239+①통합_가정!$E$252),0)</f>
        <v>0</v>
      </c>
      <c r="N83" s="37" t="n">
        <f aca="false">IF(N15=1,①통합_가정!$H$38*(①통합_가정!$E$200+①통합_가정!$E$213+①통합_가정!$E$226+①통합_가정!$E$239+①통합_가정!$E$252),0)</f>
        <v>0</v>
      </c>
      <c r="O83" s="37" t="n">
        <f aca="false">IF(O15=1,①통합_가정!$H$38*(①통합_가정!$E$200+①통합_가정!$E$213+①통합_가정!$E$226+①통합_가정!$E$239+①통합_가정!$E$252),0)</f>
        <v>0</v>
      </c>
      <c r="P83" s="37" t="n">
        <f aca="false">IF(P15=1,①통합_가정!$H$38*(①통합_가정!$E$200+①통합_가정!$E$213+①통합_가정!$E$226+①통합_가정!$E$239+①통합_가정!$E$252),0)</f>
        <v>0</v>
      </c>
      <c r="Q83" s="37" t="n">
        <f aca="false">IF(Q15=1,①통합_가정!$H$38*(①통합_가정!$E$200+①통합_가정!$E$213+①통합_가정!$E$226+①통합_가정!$E$239+①통합_가정!$E$252),0)</f>
        <v>0</v>
      </c>
      <c r="R83" s="37" t="n">
        <f aca="false">IF(R15=1,①통합_가정!$H$38*(①통합_가정!$E$200+①통합_가정!$E$213+①통합_가정!$E$226+①통합_가정!$E$239+①통합_가정!$E$252),0)</f>
        <v>0</v>
      </c>
      <c r="S83" s="37" t="n">
        <f aca="false">IF(S15=1,①통합_가정!$H$38*(①통합_가정!$E$200+①통합_가정!$E$213+①통합_가정!$E$226+①통합_가정!$E$239+①통합_가정!$E$252),0)</f>
        <v>0</v>
      </c>
      <c r="T83" s="37" t="n">
        <f aca="false">IF(T15=1,①통합_가정!$H$38*(①통합_가정!$E$200+①통합_가정!$E$213+①통합_가정!$E$226+①통합_가정!$E$239+①통합_가정!$E$252),0)</f>
        <v>0</v>
      </c>
      <c r="U83" s="37" t="n">
        <f aca="false">IF(U15=1,①통합_가정!$H$38*(①통합_가정!$E$200+①통합_가정!$E$213+①통합_가정!$E$226+①통합_가정!$E$239+①통합_가정!$E$252),0)</f>
        <v>0</v>
      </c>
      <c r="V83" s="37" t="n">
        <f aca="false">IF(V15=1,①통합_가정!$H$38*(①통합_가정!$E$200+①통합_가정!$E$213+①통합_가정!$E$226+①통합_가정!$E$239+①통합_가정!$E$252),0)</f>
        <v>0</v>
      </c>
      <c r="W83" s="37" t="n">
        <f aca="false">IF(W15=1,①통합_가정!$H$38*(①통합_가정!$E$200+①통합_가정!$E$213+①통합_가정!$E$226+①통합_가정!$E$239+①통합_가정!$E$252),0)</f>
        <v>0</v>
      </c>
      <c r="X83" s="37" t="n">
        <f aca="false">IF(X15=1,①통합_가정!$H$38*(①통합_가정!$E$200+①통합_가정!$E$213+①통합_가정!$E$226+①통합_가정!$E$239+①통합_가정!$E$252),0)</f>
        <v>0</v>
      </c>
      <c r="Y83" s="37" t="n">
        <f aca="false">IF(Y15=1,①통합_가정!$H$38*(①통합_가정!$E$200+①통합_가정!$E$213+①통합_가정!$E$226+①통합_가정!$E$239+①통합_가정!$E$252),0)</f>
        <v>0</v>
      </c>
      <c r="Z83" s="37" t="n">
        <f aca="false">IF(Z15=1,①통합_가정!$H$38*(①통합_가정!$E$200+①통합_가정!$E$213+①통합_가정!$E$226+①통합_가정!$E$239+①통합_가정!$E$252),0)</f>
        <v>0</v>
      </c>
      <c r="AA83" s="37" t="n">
        <f aca="false">IF(AA15=1,①통합_가정!$H$38*(①통합_가정!$E$200+①통합_가정!$E$213+①통합_가정!$E$226+①통합_가정!$E$239+①통합_가정!$E$252),0)</f>
        <v>0</v>
      </c>
      <c r="AB83" s="37" t="n">
        <f aca="false">IF(AB15=1,①통합_가정!$H$38*(①통합_가정!$E$200+①통합_가정!$E$213+①통합_가정!$E$226+①통합_가정!$E$239+①통합_가정!$E$252),0)</f>
        <v>0</v>
      </c>
      <c r="AC83" s="37" t="n">
        <f aca="false">IF(AC15=1,①통합_가정!$H$38*(①통합_가정!$E$200+①통합_가정!$E$213+①통합_가정!$E$226+①통합_가정!$E$239+①통합_가정!$E$252),0)</f>
        <v>0</v>
      </c>
      <c r="AD83" s="37" t="n">
        <f aca="false">IF(AD15=1,①통합_가정!$H$38*(①통합_가정!$E$200+①통합_가정!$E$213+①통합_가정!$E$226+①통합_가정!$E$239+①통합_가정!$E$252),0)</f>
        <v>0</v>
      </c>
      <c r="AE83" s="37" t="n">
        <f aca="false">IF(AE15=1,①통합_가정!$H$38*(①통합_가정!$E$200+①통합_가정!$E$213+①통합_가정!$E$226+①통합_가정!$E$239+①통합_가정!$E$252),0)</f>
        <v>0</v>
      </c>
      <c r="AF83" s="37" t="n">
        <f aca="false">IF(AF15=1,①통합_가정!$H$38*(①통합_가정!$E$200+①통합_가정!$E$213+①통합_가정!$E$226+①통합_가정!$E$239+①통합_가정!$E$252),0)</f>
        <v>0</v>
      </c>
      <c r="AG83" s="37" t="n">
        <f aca="false">IF(AG15=1,①통합_가정!$H$38*(①통합_가정!$E$200+①통합_가정!$E$213+①통합_가정!$E$226+①통합_가정!$E$239+①통합_가정!$E$252),0)</f>
        <v>0</v>
      </c>
      <c r="AH83" s="37" t="n">
        <f aca="false">IF(AH15=1,①통합_가정!$H$38*(①통합_가정!$E$200+①통합_가정!$E$213+①통합_가정!$E$226+①통합_가정!$E$239+①통합_가정!$E$252),0)</f>
        <v>0</v>
      </c>
      <c r="AI83" s="37" t="n">
        <f aca="false">IF(AI15=1,①통합_가정!$H$38*(①통합_가정!$E$200+①통합_가정!$E$213+①통합_가정!$E$226+①통합_가정!$E$239+①통합_가정!$E$252),0)</f>
        <v>0</v>
      </c>
      <c r="AJ83" s="37" t="n">
        <f aca="false">IF(AJ15=1,①통합_가정!$H$38*(①통합_가정!$E$200+①통합_가정!$E$213+①통합_가정!$E$226+①통합_가정!$E$239+①통합_가정!$E$252),0)</f>
        <v>0</v>
      </c>
      <c r="AK83" s="37" t="n">
        <f aca="false">IF(AK15=1,①통합_가정!$H$38*(①통합_가정!$E$200+①통합_가정!$E$213+①통합_가정!$E$226+①통합_가정!$E$239+①통합_가정!$E$252),0)</f>
        <v>0</v>
      </c>
      <c r="AL83" s="37" t="n">
        <f aca="false">IF(AL15=1,①통합_가정!$H$38*(①통합_가정!$E$200+①통합_가정!$E$213+①통합_가정!$E$226+①통합_가정!$E$239+①통합_가정!$E$252),0)</f>
        <v>0</v>
      </c>
      <c r="AM83" s="37" t="n">
        <f aca="false">IF(AM15=1,①통합_가정!$H$38*(①통합_가정!$E$200+①통합_가정!$E$213+①통합_가정!$E$226+①통합_가정!$E$239+①통합_가정!$E$252),0)</f>
        <v>0</v>
      </c>
      <c r="AN83" s="37" t="n">
        <f aca="false">IF(AN15=1,①통합_가정!$H$38*(①통합_가정!$E$200+①통합_가정!$E$213+①통합_가정!$E$226+①통합_가정!$E$239+①통합_가정!$E$252),0)</f>
        <v>0</v>
      </c>
      <c r="AO83" s="37" t="n">
        <f aca="false">IF(AO15=1,①통합_가정!$H$38*(①통합_가정!$E$200+①통합_가정!$E$213+①통합_가정!$E$226+①통합_가정!$E$239+①통합_가정!$E$252),0)</f>
        <v>0</v>
      </c>
      <c r="AP83" s="37" t="n">
        <f aca="false">IF(AP15=1,①통합_가정!$H$38*(①통합_가정!$E$200+①통합_가정!$E$213+①통합_가정!$E$226+①통합_가정!$E$239+①통합_가정!$E$252),0)</f>
        <v>0</v>
      </c>
      <c r="AQ83" s="37" t="n">
        <f aca="false">IF(AQ15=1,①통합_가정!$H$38*(①통합_가정!$E$200+①통합_가정!$E$213+①통합_가정!$E$226+①통합_가정!$E$239+①통합_가정!$E$252),0)</f>
        <v>0</v>
      </c>
      <c r="AR83" s="37" t="n">
        <f aca="false">IF(AR15=1,①통합_가정!$H$38*(①통합_가정!$E$200+①통합_가정!$E$213+①통합_가정!$E$226+①통합_가정!$E$239+①통합_가정!$E$252),0)</f>
        <v>0</v>
      </c>
      <c r="AS83" s="37" t="n">
        <f aca="false">IF(AS15=1,①통합_가정!$H$38*(①통합_가정!$E$200+①통합_가정!$E$213+①통합_가정!$E$226+①통합_가정!$E$239+①통합_가정!$E$252),0)</f>
        <v>0</v>
      </c>
      <c r="AT83" s="37" t="n">
        <f aca="false">IF(AT15=1,①통합_가정!$H$38*(①통합_가정!$E$200+①통합_가정!$E$213+①통합_가정!$E$226+①통합_가정!$E$239+①통합_가정!$E$252),0)</f>
        <v>0</v>
      </c>
      <c r="AU83" s="37" t="n">
        <f aca="false">IF(AU15=1,①통합_가정!$H$38*(①통합_가정!$E$200+①통합_가정!$E$213+①통합_가정!$E$226+①통합_가정!$E$239+①통합_가정!$E$252),0)</f>
        <v>0</v>
      </c>
      <c r="AV83" s="37" t="n">
        <f aca="false">IF(AV15=1,①통합_가정!$H$38*(①통합_가정!$E$200+①통합_가정!$E$213+①통합_가정!$E$226+①통합_가정!$E$239+①통합_가정!$E$252),0)</f>
        <v>0</v>
      </c>
      <c r="AW83" s="37" t="n">
        <f aca="false">IF(AW15=1,①통합_가정!$H$38*(①통합_가정!$E$200+①통합_가정!$E$213+①통합_가정!$E$226+①통합_가정!$E$239+①통합_가정!$E$252),0)</f>
        <v>0</v>
      </c>
      <c r="AX83" s="37" t="n">
        <f aca="false">IF(AX15=1,①통합_가정!$H$38*(①통합_가정!$E$200+①통합_가정!$E$213+①통합_가정!$E$226+①통합_가정!$E$239+①통합_가정!$E$252),0)</f>
        <v>0</v>
      </c>
      <c r="AY83" s="37" t="n">
        <f aca="false">IF(AY15=1,①통합_가정!$H$38*(①통합_가정!$E$200+①통합_가정!$E$213+①통합_가정!$E$226+①통합_가정!$E$239+①통합_가정!$E$252),0)</f>
        <v>0</v>
      </c>
      <c r="AZ83" s="37" t="n">
        <f aca="false">IF(AZ15=1,①통합_가정!$H$38*(①통합_가정!$E$200+①통합_가정!$E$213+①통합_가정!$E$226+①통합_가정!$E$239+①통합_가정!$E$252),0)</f>
        <v>0</v>
      </c>
      <c r="BA83" s="37" t="n">
        <f aca="false">IF(BA15=1,①통합_가정!$H$38*(①통합_가정!$E$200+①통합_가정!$E$213+①통합_가정!$E$226+①통합_가정!$E$239+①통합_가정!$E$252),0)</f>
        <v>0</v>
      </c>
      <c r="BB83" s="37" t="n">
        <f aca="false">IF(BB15=1,①통합_가정!$H$38*(①통합_가정!$E$200+①통합_가정!$E$213+①통합_가정!$E$226+①통합_가정!$E$239+①통합_가정!$E$252),0)</f>
        <v>0</v>
      </c>
      <c r="BC83" s="37" t="n">
        <f aca="false">IF(BC15=1,①통합_가정!$H$38*(①통합_가정!$E$200+①통합_가정!$E$213+①통합_가정!$E$226+①통합_가정!$E$239+①통합_가정!$E$252),0)</f>
        <v>0</v>
      </c>
      <c r="BD83" s="37" t="n">
        <f aca="false">IF(BD15=1,①통합_가정!$H$38*(①통합_가정!$E$200+①통합_가정!$E$213+①통합_가정!$E$226+①통합_가정!$E$239+①통합_가정!$E$252),0)</f>
        <v>0</v>
      </c>
      <c r="BE83" s="37" t="n">
        <f aca="false">IF(BE15=1,①통합_가정!$H$38*(①통합_가정!$E$200+①통합_가정!$E$213+①통합_가정!$E$226+①통합_가정!$E$239+①통합_가정!$E$252),0)</f>
        <v>0</v>
      </c>
      <c r="BF83" s="37" t="n">
        <f aca="false">IF(BF15=1,①통합_가정!$H$38*(①통합_가정!$E$200+①통합_가정!$E$213+①통합_가정!$E$226+①통합_가정!$E$239+①통합_가정!$E$252),0)</f>
        <v>0</v>
      </c>
      <c r="BG83" s="37" t="n">
        <f aca="false">IF(BG15=1,①통합_가정!$H$38*(①통합_가정!$E$200+①통합_가정!$E$213+①통합_가정!$E$226+①통합_가정!$E$239+①통합_가정!$E$252),0)</f>
        <v>0</v>
      </c>
      <c r="BH83" s="37" t="n">
        <f aca="false">IF(BH15=1,①통합_가정!$H$38*(①통합_가정!$E$200+①통합_가정!$E$213+①통합_가정!$E$226+①통합_가정!$E$239+①통합_가정!$E$252),0)</f>
        <v>0</v>
      </c>
      <c r="BI83" s="37" t="n">
        <f aca="false">IF(BI15=1,①통합_가정!$H$38*(①통합_가정!$E$200+①통합_가정!$E$213+①통합_가정!$E$226+①통합_가정!$E$239+①통합_가정!$E$252),0)</f>
        <v>0</v>
      </c>
      <c r="BJ83" s="37" t="n">
        <f aca="false">IF(BJ15=1,①통합_가정!$H$38*(①통합_가정!$E$200+①통합_가정!$E$213+①통합_가정!$E$226+①통합_가정!$E$239+①통합_가정!$E$252),0)</f>
        <v>0</v>
      </c>
      <c r="BK83" s="37" t="n">
        <f aca="false">IF(BK15=1,①통합_가정!$H$38*(①통합_가정!$E$200+①통합_가정!$E$213+①통합_가정!$E$226+①통합_가정!$E$239+①통합_가정!$E$252),0)</f>
        <v>0</v>
      </c>
      <c r="BL83" s="37" t="n">
        <f aca="false">IF(BL15=1,①통합_가정!$H$38*(①통합_가정!$E$200+①통합_가정!$E$213+①통합_가정!$E$226+①통합_가정!$E$239+①통합_가정!$E$252),0)</f>
        <v>0</v>
      </c>
      <c r="BM83" s="37" t="n">
        <f aca="false">IF(BM15=1,①통합_가정!$H$38*(①통합_가정!$E$200+①통합_가정!$E$213+①통합_가정!$E$226+①통합_가정!$E$239+①통합_가정!$E$252),0)</f>
        <v>9300</v>
      </c>
      <c r="BN83" s="37" t="n">
        <f aca="false">IF(BN15=1,①통합_가정!$H$38*(①통합_가정!$E$200+①통합_가정!$E$213+①통합_가정!$E$226+①통합_가정!$E$239+①통합_가정!$E$252),0)</f>
        <v>0</v>
      </c>
      <c r="BO83" s="37" t="n">
        <f aca="false">IF(BO15=1,①통합_가정!$H$38*(①통합_가정!$E$200+①통합_가정!$E$213+①통합_가정!$E$226+①통합_가정!$E$239+①통합_가정!$E$252),0)</f>
        <v>0</v>
      </c>
      <c r="BP83" s="37" t="n">
        <f aca="false">IF(BP15=1,①통합_가정!$H$38*(①통합_가정!$E$200+①통합_가정!$E$213+①통합_가정!$E$226+①통합_가정!$E$239+①통합_가정!$E$252),0)</f>
        <v>0</v>
      </c>
      <c r="BQ83" s="37" t="n">
        <f aca="false">IF(BQ15=1,①통합_가정!$H$38*(①통합_가정!$E$200+①통합_가정!$E$213+①통합_가정!$E$226+①통합_가정!$E$239+①통합_가정!$E$252),0)</f>
        <v>0</v>
      </c>
      <c r="BR83" s="37" t="n">
        <f aca="false">IF(BR15=1,①통합_가정!$H$38*(①통합_가정!$E$200+①통합_가정!$E$213+①통합_가정!$E$226+①통합_가정!$E$239+①통합_가정!$E$252),0)</f>
        <v>0</v>
      </c>
      <c r="BS83" s="37" t="n">
        <f aca="false">IF(BS15=1,①통합_가정!$H$38*(①통합_가정!$E$200+①통합_가정!$E$213+①통합_가정!$E$226+①통합_가정!$E$239+①통합_가정!$E$252),0)</f>
        <v>0</v>
      </c>
      <c r="BT83" s="37" t="n">
        <f aca="false">IF(BT15=1,①통합_가정!$H$38*(①통합_가정!$E$200+①통합_가정!$E$213+①통합_가정!$E$226+①통합_가정!$E$239+①통합_가정!$E$252),0)</f>
        <v>0</v>
      </c>
      <c r="BU83" s="37" t="n">
        <f aca="false">IF(BU15=1,①통합_가정!$H$38*(①통합_가정!$E$200+①통합_가정!$E$213+①통합_가정!$E$226+①통합_가정!$E$239+①통합_가정!$E$252),0)</f>
        <v>0</v>
      </c>
      <c r="BV83" s="37" t="n">
        <f aca="false">IF(BV15=1,①통합_가정!$H$38*(①통합_가정!$E$200+①통합_가정!$E$213+①통합_가정!$E$226+①통합_가정!$E$239+①통합_가정!$E$252),0)</f>
        <v>0</v>
      </c>
      <c r="BW83" s="37" t="n">
        <f aca="false">IF(BW15=1,①통합_가정!$H$38*(①통합_가정!$E$200+①통합_가정!$E$213+①통합_가정!$E$226+①통합_가정!$E$239+①통합_가정!$E$252),0)</f>
        <v>0</v>
      </c>
      <c r="BX83" s="37" t="n">
        <f aca="false">IF(BX15=1,①통합_가정!$H$38*(①통합_가정!$E$200+①통합_가정!$E$213+①통합_가정!$E$226+①통합_가정!$E$239+①통합_가정!$E$252),0)</f>
        <v>0</v>
      </c>
      <c r="BY83" s="37" t="n">
        <f aca="false">IF(BY15=1,①통합_가정!$H$38*(①통합_가정!$E$200+①통합_가정!$E$213+①통합_가정!$E$226+①통합_가정!$E$239+①통합_가정!$E$252),0)</f>
        <v>0</v>
      </c>
      <c r="BZ83" s="37" t="n">
        <f aca="false">IF(BZ15=1,①통합_가정!$H$38*(①통합_가정!$E$200+①통합_가정!$E$213+①통합_가정!$E$226+①통합_가정!$E$239+①통합_가정!$E$252),0)</f>
        <v>0</v>
      </c>
      <c r="CA83" s="37" t="n">
        <f aca="false">IF(CA15=1,①통합_가정!$H$38*(①통합_가정!$E$200+①통합_가정!$E$213+①통합_가정!$E$226+①통합_가정!$E$239+①통합_가정!$E$252),0)</f>
        <v>0</v>
      </c>
      <c r="CB83" s="37" t="n">
        <f aca="false">IF(CB15=1,①통합_가정!$H$38*(①통합_가정!$E$200+①통합_가정!$E$213+①통합_가정!$E$226+①통합_가정!$E$239+①통합_가정!$E$252),0)</f>
        <v>0</v>
      </c>
      <c r="CC83" s="37" t="n">
        <f aca="false">IF(CC15=1,①통합_가정!$H$38*(①통합_가정!$E$200+①통합_가정!$E$213+①통합_가정!$E$226+①통합_가정!$E$239+①통합_가정!$E$252),0)</f>
        <v>0</v>
      </c>
      <c r="CD83" s="37" t="n">
        <f aca="false">IF(CD15=1,①통합_가정!$H$38*(①통합_가정!$E$200+①통합_가정!$E$213+①통합_가정!$E$226+①통합_가정!$E$239+①통합_가정!$E$252),0)</f>
        <v>0</v>
      </c>
      <c r="CE83" s="37" t="n">
        <f aca="false">IF(CE15=1,①통합_가정!$H$38*(①통합_가정!$E$200+①통합_가정!$E$213+①통합_가정!$E$226+①통합_가정!$E$239+①통합_가정!$E$252),0)</f>
        <v>0</v>
      </c>
      <c r="CF83" s="37" t="n">
        <f aca="false">IF(CF15=1,①통합_가정!$H$38*(①통합_가정!$E$200+①통합_가정!$E$213+①통합_가정!$E$226+①통합_가정!$E$239+①통합_가정!$E$252),0)</f>
        <v>0</v>
      </c>
      <c r="CG83" s="37" t="n">
        <f aca="false">IF(CG15=1,①통합_가정!$H$38*(①통합_가정!$E$200+①통합_가정!$E$213+①통합_가정!$E$226+①통합_가정!$E$239+①통합_가정!$E$252),0)</f>
        <v>0</v>
      </c>
      <c r="CH83" s="37" t="n">
        <f aca="false">IF(CH15=1,①통합_가정!$H$38*(①통합_가정!$E$200+①통합_가정!$E$213+①통합_가정!$E$226+①통합_가정!$E$239+①통합_가정!$E$252),0)</f>
        <v>0</v>
      </c>
      <c r="CI83" s="37" t="n">
        <f aca="false">IF(CI15=1,①통합_가정!$H$38*(①통합_가정!$E$200+①통합_가정!$E$213+①통합_가정!$E$226+①통합_가정!$E$239+①통합_가정!$E$252),0)</f>
        <v>0</v>
      </c>
      <c r="CJ83" s="37" t="n">
        <f aca="false">IF(CJ15=1,①통합_가정!$H$38*(①통합_가정!$E$200+①통합_가정!$E$213+①통합_가정!$E$226+①통합_가정!$E$239+①통합_가정!$E$252),0)</f>
        <v>0</v>
      </c>
      <c r="CK83" s="37" t="n">
        <f aca="false">IF(CK15=1,①통합_가정!$H$38*(①통합_가정!$E$200+①통합_가정!$E$213+①통합_가정!$E$226+①통합_가정!$E$239+①통합_가정!$E$252),0)</f>
        <v>0</v>
      </c>
      <c r="CL83" s="37" t="n">
        <f aca="false">IF(CL15=1,①통합_가정!$H$38*(①통합_가정!$E$200+①통합_가정!$E$213+①통합_가정!$E$226+①통합_가정!$E$239+①통합_가정!$E$252),0)</f>
        <v>0</v>
      </c>
      <c r="CM83" s="37" t="n">
        <f aca="false">IF(CM15=1,①통합_가정!$H$38*(①통합_가정!$E$200+①통합_가정!$E$213+①통합_가정!$E$226+①통합_가정!$E$239+①통합_가정!$E$252),0)</f>
        <v>0</v>
      </c>
      <c r="CN83" s="37" t="n">
        <f aca="false">IF(CN15=1,①통합_가정!$H$38*(①통합_가정!$E$200+①통합_가정!$E$213+①통합_가정!$E$226+①통합_가정!$E$239+①통합_가정!$E$252),0)</f>
        <v>0</v>
      </c>
      <c r="CO83" s="37" t="n">
        <f aca="false">IF(CO15=1,①통합_가정!$H$38*(①통합_가정!$E$200+①통합_가정!$E$213+①통합_가정!$E$226+①통합_가정!$E$239+①통합_가정!$E$252),0)</f>
        <v>0</v>
      </c>
      <c r="CP83" s="37" t="n">
        <f aca="false">IF(CP15=1,①통합_가정!$H$38*(①통합_가정!$E$200+①통합_가정!$E$213+①통합_가정!$E$226+①통합_가정!$E$239+①통합_가정!$E$252),0)</f>
        <v>0</v>
      </c>
      <c r="CQ83" s="37" t="n">
        <f aca="false">IF(CQ15=1,①통합_가정!$H$38*(①통합_가정!$E$200+①통합_가정!$E$213+①통합_가정!$E$226+①통합_가정!$E$239+①통합_가정!$E$252),0)</f>
        <v>0</v>
      </c>
      <c r="CR83" s="37" t="n">
        <f aca="false">IF(CR15=1,①통합_가정!$H$38*(①통합_가정!$E$200+①통합_가정!$E$213+①통합_가정!$E$226+①통합_가정!$E$239+①통합_가정!$E$252),0)</f>
        <v>0</v>
      </c>
      <c r="CS83" s="37" t="n">
        <f aca="false">IF(CS15=1,①통합_가정!$H$38*(①통합_가정!$E$200+①통합_가정!$E$213+①통합_가정!$E$226+①통합_가정!$E$239+①통합_가정!$E$252),0)</f>
        <v>0</v>
      </c>
      <c r="CT83" s="37" t="n">
        <f aca="false">IF(CT15=1,①통합_가정!$H$38*(①통합_가정!$E$200+①통합_가정!$E$213+①통합_가정!$E$226+①통합_가정!$E$239+①통합_가정!$E$252),0)</f>
        <v>0</v>
      </c>
      <c r="CU83" s="37" t="n">
        <f aca="false">IF(CU15=1,①통합_가정!$H$38*(①통합_가정!$E$200+①통합_가정!$E$213+①통합_가정!$E$226+①통합_가정!$E$239+①통합_가정!$E$252),0)</f>
        <v>0</v>
      </c>
      <c r="CV83" s="37" t="n">
        <f aca="false">IF(CV15=1,①통합_가정!$H$38*(①통합_가정!$E$200+①통합_가정!$E$213+①통합_가정!$E$226+①통합_가정!$E$239+①통합_가정!$E$252),0)</f>
        <v>0</v>
      </c>
      <c r="CW83" s="37" t="n">
        <f aca="false">IF(CW15=1,①통합_가정!$H$38*(①통합_가정!$E$200+①통합_가정!$E$213+①통합_가정!$E$226+①통합_가정!$E$239+①통합_가정!$E$252),0)</f>
        <v>0</v>
      </c>
      <c r="CX83" s="37" t="n">
        <f aca="false">IF(CX15=1,①통합_가정!$H$38*(①통합_가정!$E$200+①통합_가정!$E$213+①통합_가정!$E$226+①통합_가정!$E$239+①통합_가정!$E$252),0)</f>
        <v>0</v>
      </c>
      <c r="CY83" s="37" t="n">
        <f aca="false">IF(CY15=1,①통합_가정!$H$38*(①통합_가정!$E$200+①통합_가정!$E$213+①통합_가정!$E$226+①통합_가정!$E$239+①통합_가정!$E$252),0)</f>
        <v>0</v>
      </c>
      <c r="CZ83" s="37" t="n">
        <f aca="false">IF(CZ15=1,①통합_가정!$H$38*(①통합_가정!$E$200+①통합_가정!$E$213+①통합_가정!$E$226+①통합_가정!$E$239+①통합_가정!$E$252),0)</f>
        <v>0</v>
      </c>
      <c r="DA83" s="37" t="n">
        <f aca="false">IF(DA15=1,①통합_가정!$H$38*(①통합_가정!$E$200+①통합_가정!$E$213+①통합_가정!$E$226+①통합_가정!$E$239+①통합_가정!$E$252),0)</f>
        <v>0</v>
      </c>
      <c r="DB83" s="37" t="n">
        <f aca="false">IF(DB15=1,①통합_가정!$H$38*(①통합_가정!$E$200+①통합_가정!$E$213+①통합_가정!$E$226+①통합_가정!$E$239+①통합_가정!$E$252),0)</f>
        <v>0</v>
      </c>
      <c r="DC83" s="37" t="n">
        <f aca="false">IF(DC15=1,①통합_가정!$H$38*(①통합_가정!$E$200+①통합_가정!$E$213+①통합_가정!$E$226+①통합_가정!$E$239+①통합_가정!$E$252),0)</f>
        <v>0</v>
      </c>
      <c r="DD83" s="37" t="n">
        <f aca="false">IF(DD15=1,①통합_가정!$H$38*(①통합_가정!$E$200+①통합_가정!$E$213+①통합_가정!$E$226+①통합_가정!$E$239+①통합_가정!$E$252),0)</f>
        <v>0</v>
      </c>
      <c r="DE83" s="37" t="n">
        <f aca="false">IF(DE15=1,①통합_가정!$H$38*(①통합_가정!$E$200+①통합_가정!$E$213+①통합_가정!$E$226+①통합_가정!$E$239+①통합_가정!$E$252),0)</f>
        <v>0</v>
      </c>
      <c r="DF83" s="37" t="n">
        <f aca="false">IF(DF15=1,①통합_가정!$H$38*(①통합_가정!$E$200+①통합_가정!$E$213+①통합_가정!$E$226+①통합_가정!$E$239+①통합_가정!$E$252),0)</f>
        <v>0</v>
      </c>
      <c r="DG83" s="37" t="n">
        <f aca="false">IF(DG15=1,①통합_가정!$H$38*(①통합_가정!$E$200+①통합_가정!$E$213+①통합_가정!$E$226+①통합_가정!$E$239+①통합_가정!$E$252),0)</f>
        <v>0</v>
      </c>
      <c r="DH83" s="37" t="n">
        <f aca="false">IF(DH15=1,①통합_가정!$H$38*(①통합_가정!$E$200+①통합_가정!$E$213+①통합_가정!$E$226+①통합_가정!$E$239+①통합_가정!$E$252),0)</f>
        <v>0</v>
      </c>
      <c r="DI83" s="37" t="n">
        <f aca="false">IF(DI15=1,①통합_가정!$H$38*(①통합_가정!$E$200+①통합_가정!$E$213+①통합_가정!$E$226+①통합_가정!$E$239+①통합_가정!$E$252),0)</f>
        <v>0</v>
      </c>
      <c r="DJ83" s="37" t="n">
        <f aca="false">IF(DJ15=1,①통합_가정!$H$38*(①통합_가정!$E$200+①통합_가정!$E$213+①통합_가정!$E$226+①통합_가정!$E$239+①통합_가정!$E$252),0)</f>
        <v>0</v>
      </c>
      <c r="DK83" s="37" t="n">
        <f aca="false">IF(DK15=1,①통합_가정!$H$38*(①통합_가정!$E$200+①통합_가정!$E$213+①통합_가정!$E$226+①통합_가정!$E$239+①통합_가정!$E$252),0)</f>
        <v>0</v>
      </c>
      <c r="DL83" s="37" t="n">
        <f aca="false">IF(DL15=1,①통합_가정!$H$38*(①통합_가정!$E$200+①통합_가정!$E$213+①통합_가정!$E$226+①통합_가정!$E$239+①통합_가정!$E$252),0)</f>
        <v>0</v>
      </c>
      <c r="DM83" s="37" t="n">
        <f aca="false">IF(DM15=1,①통합_가정!$H$38*(①통합_가정!$E$200+①통합_가정!$E$213+①통합_가정!$E$226+①통합_가정!$E$239+①통합_가정!$E$252),0)</f>
        <v>0</v>
      </c>
      <c r="DN83" s="37" t="n">
        <f aca="false">IF(DN15=1,①통합_가정!$H$38*(①통합_가정!$E$200+①통합_가정!$E$213+①통합_가정!$E$226+①통합_가정!$E$239+①통합_가정!$E$252),0)</f>
        <v>0</v>
      </c>
      <c r="DO83" s="37" t="n">
        <f aca="false">IF(DO15=1,①통합_가정!$H$38*(①통합_가정!$E$200+①통합_가정!$E$213+①통합_가정!$E$226+①통합_가정!$E$239+①통합_가정!$E$252),0)</f>
        <v>0</v>
      </c>
      <c r="DP83" s="37" t="n">
        <f aca="false">IF(DP15=1,①통합_가정!$H$38*(①통합_가정!$E$200+①통합_가정!$E$213+①통합_가정!$E$226+①통합_가정!$E$239+①통합_가정!$E$252),0)</f>
        <v>0</v>
      </c>
      <c r="DQ83" s="37" t="n">
        <f aca="false">IF(DQ15=1,①통합_가정!$H$38*(①통합_가정!$E$200+①통합_가정!$E$213+①통합_가정!$E$226+①통합_가정!$E$239+①통합_가정!$E$252),0)</f>
        <v>0</v>
      </c>
      <c r="DR83" s="37" t="n">
        <f aca="false">IF(DR15=1,①통합_가정!$H$38*(①통합_가정!$E$200+①통합_가정!$E$213+①통합_가정!$E$226+①통합_가정!$E$239+①통합_가정!$E$252),0)</f>
        <v>0</v>
      </c>
      <c r="DS83" s="37" t="n">
        <f aca="false">IF(DS15=1,①통합_가정!$H$38*(①통합_가정!$E$200+①통합_가정!$E$213+①통합_가정!$E$226+①통합_가정!$E$239+①통합_가정!$E$252),0)</f>
        <v>0</v>
      </c>
      <c r="DT83" s="37" t="n">
        <f aca="false">IF(DT15=1,①통합_가정!$H$38*(①통합_가정!$E$200+①통합_가정!$E$213+①통합_가정!$E$226+①통합_가정!$E$239+①통합_가정!$E$252),0)</f>
        <v>0</v>
      </c>
      <c r="DU83" s="37" t="n">
        <f aca="false">IF(DU15=1,①통합_가정!$H$38*(①통합_가정!$E$200+①통합_가정!$E$213+①통합_가정!$E$226+①통합_가정!$E$239+①통합_가정!$E$252),0)</f>
        <v>0</v>
      </c>
      <c r="DV83" s="37" t="n">
        <f aca="false">IF(DV15=1,①통합_가정!$H$38*(①통합_가정!$E$200+①통합_가정!$E$213+①통합_가정!$E$226+①통합_가정!$E$239+①통합_가정!$E$252),0)</f>
        <v>0</v>
      </c>
      <c r="DW83" s="37" t="n">
        <f aca="false">IF(DW15=1,①통합_가정!$H$38*(①통합_가정!$E$200+①통합_가정!$E$213+①통합_가정!$E$226+①통합_가정!$E$239+①통합_가정!$E$252),0)</f>
        <v>0</v>
      </c>
      <c r="DX83" s="37" t="n">
        <f aca="false">IF(DX15=1,①통합_가정!$H$38*(①통합_가정!$E$200+①통합_가정!$E$213+①통합_가정!$E$226+①통합_가정!$E$239+①통합_가정!$E$252),0)</f>
        <v>0</v>
      </c>
      <c r="DY83" s="37" t="n">
        <f aca="false">IF(DY15=1,①통합_가정!$H$38*(①통합_가정!$E$200+①통합_가정!$E$213+①통합_가정!$E$226+①통합_가정!$E$239+①통합_가정!$E$252),0)</f>
        <v>0</v>
      </c>
      <c r="DZ83" s="37" t="n">
        <f aca="false">IF(DZ15=1,①통합_가정!$H$38*(①통합_가정!$E$200+①통합_가정!$E$213+①통합_가정!$E$226+①통합_가정!$E$239+①통합_가정!$E$252),0)</f>
        <v>0</v>
      </c>
      <c r="EA83" s="37" t="n">
        <f aca="false">IF(EA15=1,①통합_가정!$H$38*(①통합_가정!$E$200+①통합_가정!$E$213+①통합_가정!$E$226+①통합_가정!$E$239+①통합_가정!$E$252),0)</f>
        <v>0</v>
      </c>
      <c r="EB83" s="37" t="n">
        <f aca="false">IF(EB15=1,①통합_가정!$H$38*(①통합_가정!$E$200+①통합_가정!$E$213+①통합_가정!$E$226+①통합_가정!$E$239+①통합_가정!$E$252),0)</f>
        <v>0</v>
      </c>
      <c r="EC83" s="37" t="n">
        <f aca="false">IF(EC15=1,①통합_가정!$H$38*(①통합_가정!$E$200+①통합_가정!$E$213+①통합_가정!$E$226+①통합_가정!$E$239+①통합_가정!$E$252),0)</f>
        <v>0</v>
      </c>
      <c r="ED83" s="37" t="n">
        <f aca="false">IF(ED15=1,①통합_가정!$H$38*(①통합_가정!$E$200+①통합_가정!$E$213+①통합_가정!$E$226+①통합_가정!$E$239+①통합_가정!$E$252),0)</f>
        <v>0</v>
      </c>
      <c r="EE83" s="37" t="n">
        <f aca="false">IF(EE15=1,①통합_가정!$H$38*(①통합_가정!$E$200+①통합_가정!$E$213+①통합_가정!$E$226+①통합_가정!$E$239+①통합_가정!$E$252),0)</f>
        <v>0</v>
      </c>
      <c r="EF83" s="37" t="n">
        <f aca="false">IF(EF15=1,①통합_가정!$H$38*(①통합_가정!$E$200+①통합_가정!$E$213+①통합_가정!$E$226+①통합_가정!$E$239+①통합_가정!$E$252),0)</f>
        <v>0</v>
      </c>
    </row>
    <row r="84" customFormat="false" ht="15" hidden="false" customHeight="false" outlineLevel="0" collapsed="false">
      <c r="A84" s="280" t="s">
        <v>626</v>
      </c>
      <c r="B84" s="281" t="s">
        <v>21</v>
      </c>
      <c r="C84" s="282" t="n">
        <f aca="false">SUM(E84:EF84)</f>
        <v>941952</v>
      </c>
      <c r="D84" s="48"/>
      <c r="E84" s="283" t="n">
        <f aca="false">SUM(E78:E83)</f>
        <v>0</v>
      </c>
      <c r="F84" s="283" t="n">
        <f aca="false">SUM(F78:F83)</f>
        <v>0</v>
      </c>
      <c r="G84" s="283" t="n">
        <f aca="false">SUM(G78:G83)</f>
        <v>0</v>
      </c>
      <c r="H84" s="283" t="n">
        <f aca="false">SUM(H78:H83)</f>
        <v>0</v>
      </c>
      <c r="I84" s="283" t="n">
        <f aca="false">SUM(I78:I83)</f>
        <v>0</v>
      </c>
      <c r="J84" s="283" t="n">
        <f aca="false">SUM(J78:J83)</f>
        <v>0</v>
      </c>
      <c r="K84" s="283" t="n">
        <f aca="false">SUM(K78:K83)</f>
        <v>0</v>
      </c>
      <c r="L84" s="283" t="n">
        <f aca="false">SUM(L78:L83)</f>
        <v>0</v>
      </c>
      <c r="M84" s="283" t="n">
        <f aca="false">SUM(M78:M83)</f>
        <v>0</v>
      </c>
      <c r="N84" s="283" t="n">
        <f aca="false">SUM(N78:N83)</f>
        <v>0</v>
      </c>
      <c r="O84" s="283" t="n">
        <f aca="false">SUM(O78:O83)</f>
        <v>0</v>
      </c>
      <c r="P84" s="283" t="n">
        <f aca="false">SUM(P78:P83)</f>
        <v>0</v>
      </c>
      <c r="Q84" s="283" t="n">
        <f aca="false">SUM(Q78:Q83)</f>
        <v>68060.16</v>
      </c>
      <c r="R84" s="283" t="n">
        <f aca="false">SUM(R78:R83)</f>
        <v>0</v>
      </c>
      <c r="S84" s="283" t="n">
        <f aca="false">SUM(S78:S83)</f>
        <v>0</v>
      </c>
      <c r="T84" s="283" t="n">
        <f aca="false">SUM(T78:T83)</f>
        <v>0</v>
      </c>
      <c r="U84" s="283" t="n">
        <f aca="false">SUM(U78:U83)</f>
        <v>0</v>
      </c>
      <c r="V84" s="283" t="n">
        <f aca="false">SUM(V78:V83)</f>
        <v>0</v>
      </c>
      <c r="W84" s="283" t="n">
        <f aca="false">SUM(W78:W83)</f>
        <v>0</v>
      </c>
      <c r="X84" s="283" t="n">
        <f aca="false">SUM(X78:X83)</f>
        <v>0</v>
      </c>
      <c r="Y84" s="283" t="n">
        <f aca="false">SUM(Y78:Y83)</f>
        <v>0</v>
      </c>
      <c r="Z84" s="283" t="n">
        <f aca="false">SUM(Z78:Z83)</f>
        <v>0</v>
      </c>
      <c r="AA84" s="283" t="n">
        <f aca="false">SUM(AA78:AA83)</f>
        <v>0</v>
      </c>
      <c r="AB84" s="283" t="n">
        <f aca="false">SUM(AB78:AB83)</f>
        <v>0</v>
      </c>
      <c r="AC84" s="283" t="n">
        <f aca="false">SUM(AC78:AC83)</f>
        <v>136120.32</v>
      </c>
      <c r="AD84" s="283" t="n">
        <f aca="false">SUM(AD78:AD83)</f>
        <v>0</v>
      </c>
      <c r="AE84" s="283" t="n">
        <f aca="false">SUM(AE78:AE83)</f>
        <v>0</v>
      </c>
      <c r="AF84" s="283" t="n">
        <f aca="false">SUM(AF78:AF83)</f>
        <v>0</v>
      </c>
      <c r="AG84" s="283" t="n">
        <f aca="false">SUM(AG78:AG83)</f>
        <v>0</v>
      </c>
      <c r="AH84" s="283" t="n">
        <f aca="false">SUM(AH78:AH83)</f>
        <v>0</v>
      </c>
      <c r="AI84" s="283" t="n">
        <f aca="false">SUM(AI78:AI83)</f>
        <v>0</v>
      </c>
      <c r="AJ84" s="283" t="n">
        <f aca="false">SUM(AJ78:AJ83)</f>
        <v>0</v>
      </c>
      <c r="AK84" s="283" t="n">
        <f aca="false">SUM(AK78:AK83)</f>
        <v>0</v>
      </c>
      <c r="AL84" s="283" t="n">
        <f aca="false">SUM(AL78:AL83)</f>
        <v>0</v>
      </c>
      <c r="AM84" s="283" t="n">
        <f aca="false">SUM(AM78:AM83)</f>
        <v>0</v>
      </c>
      <c r="AN84" s="283" t="n">
        <f aca="false">SUM(AN78:AN83)</f>
        <v>0</v>
      </c>
      <c r="AO84" s="283" t="n">
        <f aca="false">SUM(AO78:AO83)</f>
        <v>136120.32</v>
      </c>
      <c r="AP84" s="283" t="n">
        <f aca="false">SUM(AP78:AP83)</f>
        <v>0</v>
      </c>
      <c r="AQ84" s="283" t="n">
        <f aca="false">SUM(AQ78:AQ83)</f>
        <v>0</v>
      </c>
      <c r="AR84" s="283" t="n">
        <f aca="false">SUM(AR78:AR83)</f>
        <v>0</v>
      </c>
      <c r="AS84" s="283" t="n">
        <f aca="false">SUM(AS78:AS83)</f>
        <v>0</v>
      </c>
      <c r="AT84" s="283" t="n">
        <f aca="false">SUM(AT78:AT83)</f>
        <v>0</v>
      </c>
      <c r="AU84" s="283" t="n">
        <f aca="false">SUM(AU78:AU83)</f>
        <v>0</v>
      </c>
      <c r="AV84" s="283" t="n">
        <f aca="false">SUM(AV78:AV83)</f>
        <v>0</v>
      </c>
      <c r="AW84" s="283" t="n">
        <f aca="false">SUM(AW78:AW83)</f>
        <v>0</v>
      </c>
      <c r="AX84" s="283" t="n">
        <f aca="false">SUM(AX78:AX83)</f>
        <v>0</v>
      </c>
      <c r="AY84" s="283" t="n">
        <f aca="false">SUM(AY78:AY83)</f>
        <v>0</v>
      </c>
      <c r="AZ84" s="283" t="n">
        <f aca="false">SUM(AZ78:AZ83)</f>
        <v>0</v>
      </c>
      <c r="BA84" s="283" t="n">
        <f aca="false">SUM(BA78:BA83)</f>
        <v>136120.32</v>
      </c>
      <c r="BB84" s="283" t="n">
        <f aca="false">SUM(BB78:BB83)</f>
        <v>0</v>
      </c>
      <c r="BC84" s="283" t="n">
        <f aca="false">SUM(BC78:BC83)</f>
        <v>0</v>
      </c>
      <c r="BD84" s="283" t="n">
        <f aca="false">SUM(BD78:BD83)</f>
        <v>0</v>
      </c>
      <c r="BE84" s="283" t="n">
        <f aca="false">SUM(BE78:BE83)</f>
        <v>0</v>
      </c>
      <c r="BF84" s="283" t="n">
        <f aca="false">SUM(BF78:BF83)</f>
        <v>0</v>
      </c>
      <c r="BG84" s="283" t="n">
        <f aca="false">SUM(BG78:BG83)</f>
        <v>0</v>
      </c>
      <c r="BH84" s="283" t="n">
        <f aca="false">SUM(BH78:BH83)</f>
        <v>0</v>
      </c>
      <c r="BI84" s="283" t="n">
        <f aca="false">SUM(BI78:BI83)</f>
        <v>0</v>
      </c>
      <c r="BJ84" s="283" t="n">
        <f aca="false">SUM(BJ78:BJ83)</f>
        <v>0</v>
      </c>
      <c r="BK84" s="283" t="n">
        <f aca="false">SUM(BK78:BK83)</f>
        <v>0</v>
      </c>
      <c r="BL84" s="283" t="n">
        <f aca="false">SUM(BL78:BL83)</f>
        <v>0</v>
      </c>
      <c r="BM84" s="283" t="n">
        <f aca="false">SUM(BM78:BM83)</f>
        <v>268980.48</v>
      </c>
      <c r="BN84" s="283" t="n">
        <f aca="false">SUM(BN78:BN83)</f>
        <v>0</v>
      </c>
      <c r="BO84" s="283" t="n">
        <f aca="false">SUM(BO78:BO83)</f>
        <v>0</v>
      </c>
      <c r="BP84" s="283" t="n">
        <f aca="false">SUM(BP78:BP83)</f>
        <v>0</v>
      </c>
      <c r="BQ84" s="283" t="n">
        <f aca="false">SUM(BQ78:BQ83)</f>
        <v>0</v>
      </c>
      <c r="BR84" s="283" t="n">
        <f aca="false">SUM(BR78:BR83)</f>
        <v>0</v>
      </c>
      <c r="BS84" s="283" t="n">
        <f aca="false">SUM(BS78:BS83)</f>
        <v>0</v>
      </c>
      <c r="BT84" s="283" t="n">
        <f aca="false">SUM(BT78:BT83)</f>
        <v>0</v>
      </c>
      <c r="BU84" s="283" t="n">
        <f aca="false">SUM(BU78:BU83)</f>
        <v>0</v>
      </c>
      <c r="BV84" s="283" t="n">
        <f aca="false">SUM(BV78:BV83)</f>
        <v>0</v>
      </c>
      <c r="BW84" s="283" t="n">
        <f aca="false">SUM(BW78:BW83)</f>
        <v>0</v>
      </c>
      <c r="BX84" s="283" t="n">
        <f aca="false">SUM(BX78:BX83)</f>
        <v>0</v>
      </c>
      <c r="BY84" s="283" t="n">
        <f aca="false">SUM(BY78:BY83)</f>
        <v>183350.4</v>
      </c>
      <c r="BZ84" s="283" t="n">
        <f aca="false">SUM(BZ78:BZ83)</f>
        <v>0</v>
      </c>
      <c r="CA84" s="283" t="n">
        <f aca="false">SUM(CA78:CA83)</f>
        <v>0</v>
      </c>
      <c r="CB84" s="283" t="n">
        <f aca="false">SUM(CB78:CB83)</f>
        <v>0</v>
      </c>
      <c r="CC84" s="283" t="n">
        <f aca="false">SUM(CC78:CC83)</f>
        <v>0</v>
      </c>
      <c r="CD84" s="283" t="n">
        <f aca="false">SUM(CD78:CD83)</f>
        <v>0</v>
      </c>
      <c r="CE84" s="283" t="n">
        <f aca="false">SUM(CE78:CE83)</f>
        <v>0</v>
      </c>
      <c r="CF84" s="283" t="n">
        <f aca="false">SUM(CF78:CF83)</f>
        <v>0</v>
      </c>
      <c r="CG84" s="283" t="n">
        <f aca="false">SUM(CG78:CG83)</f>
        <v>0</v>
      </c>
      <c r="CH84" s="283" t="n">
        <f aca="false">SUM(CH78:CH83)</f>
        <v>0</v>
      </c>
      <c r="CI84" s="283" t="n">
        <f aca="false">SUM(CI78:CI83)</f>
        <v>0</v>
      </c>
      <c r="CJ84" s="283" t="n">
        <f aca="false">SUM(CJ78:CJ83)</f>
        <v>0</v>
      </c>
      <c r="CK84" s="283" t="n">
        <f aca="false">SUM(CK78:CK83)</f>
        <v>13200</v>
      </c>
      <c r="CL84" s="283" t="n">
        <f aca="false">SUM(CL78:CL83)</f>
        <v>0</v>
      </c>
      <c r="CM84" s="283" t="n">
        <f aca="false">SUM(CM78:CM83)</f>
        <v>0</v>
      </c>
      <c r="CN84" s="283" t="n">
        <f aca="false">SUM(CN78:CN83)</f>
        <v>0</v>
      </c>
      <c r="CO84" s="283" t="n">
        <f aca="false">SUM(CO78:CO83)</f>
        <v>0</v>
      </c>
      <c r="CP84" s="283" t="n">
        <f aca="false">SUM(CP78:CP83)</f>
        <v>0</v>
      </c>
      <c r="CQ84" s="283" t="n">
        <f aca="false">SUM(CQ78:CQ83)</f>
        <v>0</v>
      </c>
      <c r="CR84" s="283" t="n">
        <f aca="false">SUM(CR78:CR83)</f>
        <v>0</v>
      </c>
      <c r="CS84" s="283" t="n">
        <f aca="false">SUM(CS78:CS83)</f>
        <v>0</v>
      </c>
      <c r="CT84" s="283" t="n">
        <f aca="false">SUM(CT78:CT83)</f>
        <v>0</v>
      </c>
      <c r="CU84" s="283" t="n">
        <f aca="false">SUM(CU78:CU83)</f>
        <v>0</v>
      </c>
      <c r="CV84" s="283" t="n">
        <f aca="false">SUM(CV78:CV83)</f>
        <v>0</v>
      </c>
      <c r="CW84" s="283" t="n">
        <f aca="false">SUM(CW78:CW83)</f>
        <v>0</v>
      </c>
      <c r="CX84" s="283" t="n">
        <f aca="false">SUM(CX78:CX83)</f>
        <v>0</v>
      </c>
      <c r="CY84" s="283" t="n">
        <f aca="false">SUM(CY78:CY83)</f>
        <v>0</v>
      </c>
      <c r="CZ84" s="283" t="n">
        <f aca="false">SUM(CZ78:CZ83)</f>
        <v>0</v>
      </c>
      <c r="DA84" s="283" t="n">
        <f aca="false">SUM(DA78:DA83)</f>
        <v>0</v>
      </c>
      <c r="DB84" s="283" t="n">
        <f aca="false">SUM(DB78:DB83)</f>
        <v>0</v>
      </c>
      <c r="DC84" s="283" t="n">
        <f aca="false">SUM(DC78:DC83)</f>
        <v>0</v>
      </c>
      <c r="DD84" s="283" t="n">
        <f aca="false">SUM(DD78:DD83)</f>
        <v>0</v>
      </c>
      <c r="DE84" s="283" t="n">
        <f aca="false">SUM(DE78:DE83)</f>
        <v>0</v>
      </c>
      <c r="DF84" s="283" t="n">
        <f aca="false">SUM(DF78:DF83)</f>
        <v>0</v>
      </c>
      <c r="DG84" s="283" t="n">
        <f aca="false">SUM(DG78:DG83)</f>
        <v>0</v>
      </c>
      <c r="DH84" s="283" t="n">
        <f aca="false">SUM(DH78:DH83)</f>
        <v>0</v>
      </c>
      <c r="DI84" s="283" t="n">
        <f aca="false">SUM(DI78:DI83)</f>
        <v>0</v>
      </c>
      <c r="DJ84" s="283" t="n">
        <f aca="false">SUM(DJ78:DJ83)</f>
        <v>0</v>
      </c>
      <c r="DK84" s="283" t="n">
        <f aca="false">SUM(DK78:DK83)</f>
        <v>0</v>
      </c>
      <c r="DL84" s="283" t="n">
        <f aca="false">SUM(DL78:DL83)</f>
        <v>0</v>
      </c>
      <c r="DM84" s="283" t="n">
        <f aca="false">SUM(DM78:DM83)</f>
        <v>0</v>
      </c>
      <c r="DN84" s="283" t="n">
        <f aca="false">SUM(DN78:DN83)</f>
        <v>0</v>
      </c>
      <c r="DO84" s="283" t="n">
        <f aca="false">SUM(DO78:DO83)</f>
        <v>0</v>
      </c>
      <c r="DP84" s="283" t="n">
        <f aca="false">SUM(DP78:DP83)</f>
        <v>0</v>
      </c>
      <c r="DQ84" s="283" t="n">
        <f aca="false">SUM(DQ78:DQ83)</f>
        <v>0</v>
      </c>
      <c r="DR84" s="283" t="n">
        <f aca="false">SUM(DR78:DR83)</f>
        <v>0</v>
      </c>
      <c r="DS84" s="283" t="n">
        <f aca="false">SUM(DS78:DS83)</f>
        <v>0</v>
      </c>
      <c r="DT84" s="283" t="n">
        <f aca="false">SUM(DT78:DT83)</f>
        <v>0</v>
      </c>
      <c r="DU84" s="283" t="n">
        <f aca="false">SUM(DU78:DU83)</f>
        <v>0</v>
      </c>
      <c r="DV84" s="283" t="n">
        <f aca="false">SUM(DV78:DV83)</f>
        <v>0</v>
      </c>
      <c r="DW84" s="283" t="n">
        <f aca="false">SUM(DW78:DW83)</f>
        <v>0</v>
      </c>
      <c r="DX84" s="283" t="n">
        <f aca="false">SUM(DX78:DX83)</f>
        <v>0</v>
      </c>
      <c r="DY84" s="283" t="n">
        <f aca="false">SUM(DY78:DY83)</f>
        <v>0</v>
      </c>
      <c r="DZ84" s="283" t="n">
        <f aca="false">SUM(DZ78:DZ83)</f>
        <v>0</v>
      </c>
      <c r="EA84" s="283" t="n">
        <f aca="false">SUM(EA78:EA83)</f>
        <v>0</v>
      </c>
      <c r="EB84" s="283" t="n">
        <f aca="false">SUM(EB78:EB83)</f>
        <v>0</v>
      </c>
      <c r="EC84" s="283" t="n">
        <f aca="false">SUM(EC78:EC83)</f>
        <v>0</v>
      </c>
      <c r="ED84" s="283" t="n">
        <f aca="false">SUM(ED78:ED83)</f>
        <v>0</v>
      </c>
      <c r="EE84" s="283" t="n">
        <f aca="false">SUM(EE78:EE83)</f>
        <v>0</v>
      </c>
      <c r="EF84" s="283" t="n">
        <f aca="false">SUM(EF78:EF83)</f>
        <v>0</v>
      </c>
    </row>
    <row r="85" customFormat="false" ht="15" hidden="false" customHeight="false" outlineLevel="0" collapsed="false">
      <c r="A85" s="36" t="s">
        <v>627</v>
      </c>
      <c r="B85" s="278" t="s">
        <v>21</v>
      </c>
      <c r="C85" s="279" t="n">
        <f aca="false">SUM(E85:EF85)</f>
        <v>941952</v>
      </c>
      <c r="E85" s="37" t="n">
        <f aca="false">IF(E6=①통합_가정!$E$22,0+E84,0)</f>
        <v>0</v>
      </c>
      <c r="F85" s="37" t="n">
        <f aca="false">IF(F6=①통합_가정!$E$22,E86+F84,0)</f>
        <v>0</v>
      </c>
      <c r="G85" s="37" t="n">
        <f aca="false">IF(G6=①통합_가정!$E$22,F86+G84,0)</f>
        <v>0</v>
      </c>
      <c r="H85" s="37" t="n">
        <f aca="false">IF(H6=①통합_가정!$E$22,G86+H84,0)</f>
        <v>0</v>
      </c>
      <c r="I85" s="37" t="n">
        <f aca="false">IF(I6=①통합_가정!$E$22,H86+I84,0)</f>
        <v>0</v>
      </c>
      <c r="J85" s="37" t="n">
        <f aca="false">IF(J6=①통합_가정!$E$22,I86+J84,0)</f>
        <v>0</v>
      </c>
      <c r="K85" s="37" t="n">
        <f aca="false">IF(K6=①통합_가정!$E$22,J86+K84,0)</f>
        <v>0</v>
      </c>
      <c r="L85" s="37" t="n">
        <f aca="false">IF(L6=①통합_가정!$E$22,K86+L84,0)</f>
        <v>0</v>
      </c>
      <c r="M85" s="37" t="n">
        <f aca="false">IF(M6=①통합_가정!$E$22,L86+M84,0)</f>
        <v>0</v>
      </c>
      <c r="N85" s="37" t="n">
        <f aca="false">IF(N6=①통합_가정!$E$22,M86+N84,0)</f>
        <v>0</v>
      </c>
      <c r="O85" s="37" t="n">
        <f aca="false">IF(O6=①통합_가정!$E$22,N86+O84,0)</f>
        <v>0</v>
      </c>
      <c r="P85" s="37" t="n">
        <f aca="false">IF(P6=①통합_가정!$E$22,O86+P84,0)</f>
        <v>0</v>
      </c>
      <c r="Q85" s="37" t="n">
        <f aca="false">IF(Q6=①통합_가정!$E$22,P86+Q84,0)</f>
        <v>0</v>
      </c>
      <c r="R85" s="37" t="n">
        <f aca="false">IF(R6=①통합_가정!$E$22,Q86+R84,0)</f>
        <v>0</v>
      </c>
      <c r="S85" s="37" t="n">
        <f aca="false">IF(S6=①통합_가정!$E$22,R86+S84,0)</f>
        <v>0</v>
      </c>
      <c r="T85" s="37" t="n">
        <f aca="false">IF(T6=①통합_가정!$E$22,S86+T84,0)</f>
        <v>0</v>
      </c>
      <c r="U85" s="37" t="n">
        <f aca="false">IF(U6=①통합_가정!$E$22,T86+U84,0)</f>
        <v>0</v>
      </c>
      <c r="V85" s="37" t="n">
        <f aca="false">IF(V6=①통합_가정!$E$22,U86+V84,0)</f>
        <v>0</v>
      </c>
      <c r="W85" s="37" t="n">
        <f aca="false">IF(W6=①통합_가정!$E$22,V86+W84,0)</f>
        <v>0</v>
      </c>
      <c r="X85" s="37" t="n">
        <f aca="false">IF(X6=①통합_가정!$E$22,W86+X84,0)</f>
        <v>0</v>
      </c>
      <c r="Y85" s="37" t="n">
        <f aca="false">IF(Y6=①통합_가정!$E$22,X86+Y84,0)</f>
        <v>0</v>
      </c>
      <c r="Z85" s="37" t="n">
        <f aca="false">IF(Z6=①통합_가정!$E$22,Y86+Z84,0)</f>
        <v>0</v>
      </c>
      <c r="AA85" s="37" t="n">
        <f aca="false">IF(AA6=①통합_가정!$E$22,Z86+AA84,0)</f>
        <v>0</v>
      </c>
      <c r="AB85" s="37" t="n">
        <f aca="false">IF(AB6=①통합_가정!$E$22,AA86+AB84,0)</f>
        <v>0</v>
      </c>
      <c r="AC85" s="37" t="n">
        <f aca="false">IF(AC6=①통합_가정!$E$22,AB86+AC84,0)</f>
        <v>0</v>
      </c>
      <c r="AD85" s="37" t="n">
        <f aca="false">IF(AD6=①통합_가정!$E$22,AC86+AD84,0)</f>
        <v>0</v>
      </c>
      <c r="AE85" s="37" t="n">
        <f aca="false">IF(AE6=①통합_가정!$E$22,AD86+AE84,0)</f>
        <v>0</v>
      </c>
      <c r="AF85" s="37" t="n">
        <f aca="false">IF(AF6=①통합_가정!$E$22,AE86+AF84,0)</f>
        <v>0</v>
      </c>
      <c r="AG85" s="37" t="n">
        <f aca="false">IF(AG6=①통합_가정!$E$22,AF86+AG84,0)</f>
        <v>0</v>
      </c>
      <c r="AH85" s="37" t="n">
        <f aca="false">IF(AH6=①통합_가정!$E$22,AG86+AH84,0)</f>
        <v>0</v>
      </c>
      <c r="AI85" s="37" t="n">
        <f aca="false">IF(AI6=①통합_가정!$E$22,AH86+AI84,0)</f>
        <v>0</v>
      </c>
      <c r="AJ85" s="37" t="n">
        <f aca="false">IF(AJ6=①통합_가정!$E$22,AI86+AJ84,0)</f>
        <v>0</v>
      </c>
      <c r="AK85" s="37" t="n">
        <f aca="false">IF(AK6=①통합_가정!$E$22,AJ86+AK84,0)</f>
        <v>0</v>
      </c>
      <c r="AL85" s="37" t="n">
        <f aca="false">IF(AL6=①통합_가정!$E$22,AK86+AL84,0)</f>
        <v>0</v>
      </c>
      <c r="AM85" s="37" t="n">
        <f aca="false">IF(AM6=①통합_가정!$E$22,AL86+AM84,0)</f>
        <v>0</v>
      </c>
      <c r="AN85" s="37" t="n">
        <f aca="false">IF(AN6=①통합_가정!$E$22,AM86+AN84,0)</f>
        <v>0</v>
      </c>
      <c r="AO85" s="37" t="n">
        <f aca="false">IF(AO6=①통합_가정!$E$22,AN86+AO84,0)</f>
        <v>0</v>
      </c>
      <c r="AP85" s="37" t="n">
        <f aca="false">IF(AP6=①통합_가정!$E$22,AO86+AP84,0)</f>
        <v>0</v>
      </c>
      <c r="AQ85" s="37" t="n">
        <f aca="false">IF(AQ6=①통합_가정!$E$22,AP86+AQ84,0)</f>
        <v>0</v>
      </c>
      <c r="AR85" s="37" t="n">
        <f aca="false">IF(AR6=①통합_가정!$E$22,AQ86+AR84,0)</f>
        <v>0</v>
      </c>
      <c r="AS85" s="37" t="n">
        <f aca="false">IF(AS6=①통합_가정!$E$22,AR86+AS84,0)</f>
        <v>0</v>
      </c>
      <c r="AT85" s="37" t="n">
        <f aca="false">IF(AT6=①통합_가정!$E$22,AS86+AT84,0)</f>
        <v>0</v>
      </c>
      <c r="AU85" s="37" t="n">
        <f aca="false">IF(AU6=①통합_가정!$E$22,AT86+AU84,0)</f>
        <v>0</v>
      </c>
      <c r="AV85" s="37" t="n">
        <f aca="false">IF(AV6=①통합_가정!$E$22,AU86+AV84,0)</f>
        <v>0</v>
      </c>
      <c r="AW85" s="37" t="n">
        <f aca="false">IF(AW6=①통합_가정!$E$22,AV86+AW84,0)</f>
        <v>0</v>
      </c>
      <c r="AX85" s="37" t="n">
        <f aca="false">IF(AX6=①통합_가정!$E$22,AW86+AX84,0)</f>
        <v>0</v>
      </c>
      <c r="AY85" s="37" t="n">
        <f aca="false">IF(AY6=①통합_가정!$E$22,AX86+AY84,0)</f>
        <v>0</v>
      </c>
      <c r="AZ85" s="37" t="n">
        <f aca="false">IF(AZ6=①통합_가정!$E$22,AY86+AZ84,0)</f>
        <v>0</v>
      </c>
      <c r="BA85" s="37" t="n">
        <f aca="false">IF(BA6=①통합_가정!$E$22,AZ86+BA84,0)</f>
        <v>0</v>
      </c>
      <c r="BB85" s="37" t="n">
        <f aca="false">IF(BB6=①통합_가정!$E$22,BA86+BB84,0)</f>
        <v>0</v>
      </c>
      <c r="BC85" s="37" t="n">
        <f aca="false">IF(BC6=①통합_가정!$E$22,BB86+BC84,0)</f>
        <v>0</v>
      </c>
      <c r="BD85" s="37" t="n">
        <f aca="false">IF(BD6=①통합_가정!$E$22,BC86+BD84,0)</f>
        <v>0</v>
      </c>
      <c r="BE85" s="37" t="n">
        <f aca="false">IF(BE6=①통합_가정!$E$22,BD86+BE84,0)</f>
        <v>0</v>
      </c>
      <c r="BF85" s="37" t="n">
        <f aca="false">IF(BF6=①통합_가정!$E$22,BE86+BF84,0)</f>
        <v>0</v>
      </c>
      <c r="BG85" s="37" t="n">
        <f aca="false">IF(BG6=①통합_가정!$E$22,BF86+BG84,0)</f>
        <v>0</v>
      </c>
      <c r="BH85" s="37" t="n">
        <f aca="false">IF(BH6=①통합_가정!$E$22,BG86+BH84,0)</f>
        <v>0</v>
      </c>
      <c r="BI85" s="37" t="n">
        <f aca="false">IF(BI6=①통합_가정!$E$22,BH86+BI84,0)</f>
        <v>0</v>
      </c>
      <c r="BJ85" s="37" t="n">
        <f aca="false">IF(BJ6=①통합_가정!$E$22,BI86+BJ84,0)</f>
        <v>0</v>
      </c>
      <c r="BK85" s="37" t="n">
        <f aca="false">IF(BK6=①통합_가정!$E$22,BJ86+BK84,0)</f>
        <v>0</v>
      </c>
      <c r="BL85" s="37" t="n">
        <f aca="false">IF(BL6=①통합_가정!$E$22,BK86+BL84,0)</f>
        <v>0</v>
      </c>
      <c r="BM85" s="37" t="n">
        <f aca="false">IF(BM6=①통합_가정!$E$22,BL86+BM84,0)</f>
        <v>0</v>
      </c>
      <c r="BN85" s="37" t="n">
        <f aca="false">IF(BN6=①통합_가정!$E$22,BM86+BN84,0)</f>
        <v>0</v>
      </c>
      <c r="BO85" s="37" t="n">
        <f aca="false">IF(BO6=①통합_가정!$E$22,BN86+BO84,0)</f>
        <v>0</v>
      </c>
      <c r="BP85" s="37" t="n">
        <f aca="false">IF(BP6=①통합_가정!$E$22,BO86+BP84,0)</f>
        <v>0</v>
      </c>
      <c r="BQ85" s="37" t="n">
        <f aca="false">IF(BQ6=①통합_가정!$E$22,BP86+BQ84,0)</f>
        <v>0</v>
      </c>
      <c r="BR85" s="37" t="n">
        <f aca="false">IF(BR6=①통합_가정!$E$22,BQ86+BR84,0)</f>
        <v>0</v>
      </c>
      <c r="BS85" s="37" t="n">
        <f aca="false">IF(BS6=①통합_가정!$E$22,BR86+BS84,0)</f>
        <v>0</v>
      </c>
      <c r="BT85" s="37" t="n">
        <f aca="false">IF(BT6=①통합_가정!$E$22,BS86+BT84,0)</f>
        <v>0</v>
      </c>
      <c r="BU85" s="37" t="n">
        <f aca="false">IF(BU6=①통합_가정!$E$22,BT86+BU84,0)</f>
        <v>0</v>
      </c>
      <c r="BV85" s="37" t="n">
        <f aca="false">IF(BV6=①통합_가정!$E$22,BU86+BV84,0)</f>
        <v>0</v>
      </c>
      <c r="BW85" s="37" t="n">
        <f aca="false">IF(BW6=①통합_가정!$E$22,BV86+BW84,0)</f>
        <v>0</v>
      </c>
      <c r="BX85" s="37" t="n">
        <f aca="false">IF(BX6=①통합_가정!$E$22,BW86+BX84,0)</f>
        <v>0</v>
      </c>
      <c r="BY85" s="37" t="n">
        <f aca="false">IF(BY6=①통합_가정!$E$22,BX86+BY84,0)</f>
        <v>0</v>
      </c>
      <c r="BZ85" s="37" t="n">
        <f aca="false">IF(BZ6=①통합_가정!$E$22,BY86+BZ84,0)</f>
        <v>0</v>
      </c>
      <c r="CA85" s="37" t="n">
        <f aca="false">IF(CA6=①통합_가정!$E$22,BZ86+CA84,0)</f>
        <v>0</v>
      </c>
      <c r="CB85" s="37" t="n">
        <f aca="false">IF(CB6=①통합_가정!$E$22,CA86+CB84,0)</f>
        <v>0</v>
      </c>
      <c r="CC85" s="37" t="n">
        <f aca="false">IF(CC6=①통합_가정!$E$22,CB86+CC84,0)</f>
        <v>0</v>
      </c>
      <c r="CD85" s="37" t="n">
        <f aca="false">IF(CD6=①통합_가정!$E$22,CC86+CD84,0)</f>
        <v>0</v>
      </c>
      <c r="CE85" s="37" t="n">
        <f aca="false">IF(CE6=①통합_가정!$E$22,CD86+CE84,0)</f>
        <v>0</v>
      </c>
      <c r="CF85" s="37" t="n">
        <f aca="false">IF(CF6=①통합_가정!$E$22,CE86+CF84,0)</f>
        <v>0</v>
      </c>
      <c r="CG85" s="37" t="n">
        <f aca="false">IF(CG6=①통합_가정!$E$22,CF86+CG84,0)</f>
        <v>0</v>
      </c>
      <c r="CH85" s="37" t="n">
        <f aca="false">IF(CH6=①통합_가정!$E$22,CG86+CH84,0)</f>
        <v>0</v>
      </c>
      <c r="CI85" s="37" t="n">
        <f aca="false">IF(CI6=①통합_가정!$E$22,CH86+CI84,0)</f>
        <v>0</v>
      </c>
      <c r="CJ85" s="37" t="n">
        <f aca="false">IF(CJ6=①통합_가정!$E$22,CI86+CJ84,0)</f>
        <v>0</v>
      </c>
      <c r="CK85" s="37" t="n">
        <f aca="false">IF(CK6=①통합_가정!$E$22,CJ86+CK84,0)</f>
        <v>0</v>
      </c>
      <c r="CL85" s="37" t="n">
        <f aca="false">IF(CL6=①통합_가정!$E$22,CK86+CL84,0)</f>
        <v>0</v>
      </c>
      <c r="CM85" s="37" t="n">
        <f aca="false">IF(CM6=①통합_가정!$E$22,CL86+CM84,0)</f>
        <v>0</v>
      </c>
      <c r="CN85" s="37" t="n">
        <f aca="false">IF(CN6=①통합_가정!$E$22,CM86+CN84,0)</f>
        <v>0</v>
      </c>
      <c r="CO85" s="37" t="n">
        <f aca="false">IF(CO6=①통합_가정!$E$22,CN86+CO84,0)</f>
        <v>0</v>
      </c>
      <c r="CP85" s="37" t="n">
        <f aca="false">IF(CP6=①통합_가정!$E$22,CO86+CP84,0)</f>
        <v>0</v>
      </c>
      <c r="CQ85" s="37" t="n">
        <f aca="false">IF(CQ6=①통합_가정!$E$22,CP86+CQ84,0)</f>
        <v>0</v>
      </c>
      <c r="CR85" s="37" t="n">
        <f aca="false">IF(CR6=①통합_가정!$E$22,CQ86+CR84,0)</f>
        <v>0</v>
      </c>
      <c r="CS85" s="37" t="n">
        <f aca="false">IF(CS6=①통합_가정!$E$22,CR86+CS84,0)</f>
        <v>0</v>
      </c>
      <c r="CT85" s="37" t="n">
        <f aca="false">IF(CT6=①통합_가정!$E$22,CS86+CT84,0)</f>
        <v>0</v>
      </c>
      <c r="CU85" s="37" t="n">
        <f aca="false">IF(CU6=①통합_가정!$E$22,CT86+CU84,0)</f>
        <v>0</v>
      </c>
      <c r="CV85" s="37" t="n">
        <f aca="false">IF(CV6=①통합_가정!$E$22,CU86+CV84,0)</f>
        <v>0</v>
      </c>
      <c r="CW85" s="37" t="n">
        <f aca="false">IF(CW6=①통합_가정!$E$22,CV86+CW84,0)</f>
        <v>0</v>
      </c>
      <c r="CX85" s="37" t="n">
        <f aca="false">IF(CX6=①통합_가정!$E$22,CW86+CX84,0)</f>
        <v>0</v>
      </c>
      <c r="CY85" s="37" t="n">
        <f aca="false">IF(CY6=①통합_가정!$E$22,CX86+CY84,0)</f>
        <v>0</v>
      </c>
      <c r="CZ85" s="37" t="n">
        <f aca="false">IF(CZ6=①통합_가정!$E$22,CY86+CZ84,0)</f>
        <v>0</v>
      </c>
      <c r="DA85" s="37" t="n">
        <f aca="false">IF(DA6=①통합_가정!$E$22,CZ86+DA84,0)</f>
        <v>0</v>
      </c>
      <c r="DB85" s="37" t="n">
        <f aca="false">IF(DB6=①통합_가정!$E$22,DA86+DB84,0)</f>
        <v>0</v>
      </c>
      <c r="DC85" s="37" t="n">
        <f aca="false">IF(DC6=①통합_가정!$E$22,DB86+DC84,0)</f>
        <v>0</v>
      </c>
      <c r="DD85" s="37" t="n">
        <f aca="false">IF(DD6=①통합_가정!$E$22,DC86+DD84,0)</f>
        <v>0</v>
      </c>
      <c r="DE85" s="37" t="n">
        <f aca="false">IF(DE6=①통합_가정!$E$22,DD86+DE84,0)</f>
        <v>0</v>
      </c>
      <c r="DF85" s="37" t="n">
        <f aca="false">IF(DF6=①통합_가정!$E$22,DE86+DF84,0)</f>
        <v>0</v>
      </c>
      <c r="DG85" s="37" t="n">
        <f aca="false">IF(DG6=①통합_가정!$E$22,DF86+DG84,0)</f>
        <v>0</v>
      </c>
      <c r="DH85" s="37" t="n">
        <f aca="false">IF(DH6=①통합_가정!$E$22,DG86+DH84,0)</f>
        <v>0</v>
      </c>
      <c r="DI85" s="37" t="n">
        <f aca="false">IF(DI6=①통합_가정!$E$22,DH86+DI84,0)</f>
        <v>0</v>
      </c>
      <c r="DJ85" s="37" t="n">
        <f aca="false">IF(DJ6=①통합_가정!$E$22,DI86+DJ84,0)</f>
        <v>0</v>
      </c>
      <c r="DK85" s="37" t="n">
        <f aca="false">IF(DK6=①통합_가정!$E$22,DJ86+DK84,0)</f>
        <v>0</v>
      </c>
      <c r="DL85" s="37" t="n">
        <f aca="false">IF(DL6=①통합_가정!$E$22,DK86+DL84,0)</f>
        <v>0</v>
      </c>
      <c r="DM85" s="37" t="n">
        <f aca="false">IF(DM6=①통합_가정!$E$22,DL86+DM84,0)</f>
        <v>0</v>
      </c>
      <c r="DN85" s="37" t="n">
        <f aca="false">IF(DN6=①통합_가정!$E$22,DM86+DN84,0)</f>
        <v>0</v>
      </c>
      <c r="DO85" s="37" t="n">
        <f aca="false">IF(DO6=①통합_가정!$E$22,DN86+DO84,0)</f>
        <v>0</v>
      </c>
      <c r="DP85" s="37" t="n">
        <f aca="false">IF(DP6=①통합_가정!$E$22,DO86+DP84,0)</f>
        <v>0</v>
      </c>
      <c r="DQ85" s="37" t="n">
        <f aca="false">IF(DQ6=①통합_가정!$E$22,DP86+DQ84,0)</f>
        <v>0</v>
      </c>
      <c r="DR85" s="37" t="n">
        <f aca="false">IF(DR6=①통합_가정!$E$22,DQ86+DR84,0)</f>
        <v>0</v>
      </c>
      <c r="DS85" s="37" t="n">
        <f aca="false">IF(DS6=①통합_가정!$E$22,DR86+DS84,0)</f>
        <v>0</v>
      </c>
      <c r="DT85" s="37" t="n">
        <f aca="false">IF(DT6=①통합_가정!$E$22,DS86+DT84,0)</f>
        <v>941952</v>
      </c>
      <c r="DU85" s="37" t="n">
        <f aca="false">IF(DU6=①통합_가정!$E$22,DT86+DU84,0)</f>
        <v>0</v>
      </c>
      <c r="DV85" s="37" t="n">
        <f aca="false">IF(DV6=①통합_가정!$E$22,DU86+DV84,0)</f>
        <v>0</v>
      </c>
      <c r="DW85" s="37" t="n">
        <f aca="false">IF(DW6=①통합_가정!$E$22,DV86+DW84,0)</f>
        <v>0</v>
      </c>
      <c r="DX85" s="37" t="n">
        <f aca="false">IF(DX6=①통합_가정!$E$22,DW86+DX84,0)</f>
        <v>0</v>
      </c>
      <c r="DY85" s="37" t="n">
        <f aca="false">IF(DY6=①통합_가정!$E$22,DX86+DY84,0)</f>
        <v>0</v>
      </c>
      <c r="DZ85" s="37" t="n">
        <f aca="false">IF(DZ6=①통합_가정!$E$22,DY86+DZ84,0)</f>
        <v>0</v>
      </c>
      <c r="EA85" s="37" t="n">
        <f aca="false">IF(EA6=①통합_가정!$E$22,DZ86+EA84,0)</f>
        <v>0</v>
      </c>
      <c r="EB85" s="37" t="n">
        <f aca="false">IF(EB6=①통합_가정!$E$22,EA86+EB84,0)</f>
        <v>0</v>
      </c>
      <c r="EC85" s="37" t="n">
        <f aca="false">IF(EC6=①통합_가정!$E$22,EB86+EC84,0)</f>
        <v>0</v>
      </c>
      <c r="ED85" s="37" t="n">
        <f aca="false">IF(ED6=①통합_가정!$E$22,EC86+ED84,0)</f>
        <v>0</v>
      </c>
      <c r="EE85" s="37" t="n">
        <f aca="false">IF(EE6=①통합_가정!$E$22,ED86+EE84,0)</f>
        <v>0</v>
      </c>
      <c r="EF85" s="37" t="n">
        <f aca="false">IF(EF6=①통합_가정!$E$22,EE86+EF84,0)</f>
        <v>0</v>
      </c>
    </row>
    <row r="86" customFormat="false" ht="15" hidden="false" customHeight="false" outlineLevel="0" collapsed="false">
      <c r="A86" s="36" t="s">
        <v>628</v>
      </c>
      <c r="B86" s="278" t="s">
        <v>21</v>
      </c>
      <c r="C86" s="279" t="n">
        <f aca="false">MAX(E86:EF86)</f>
        <v>941952</v>
      </c>
      <c r="E86" s="37" t="n">
        <f aca="false">0+E84-E85</f>
        <v>0</v>
      </c>
      <c r="F86" s="37" t="n">
        <f aca="false">E86+F84-F85</f>
        <v>0</v>
      </c>
      <c r="G86" s="37" t="n">
        <f aca="false">F86+G84-G85</f>
        <v>0</v>
      </c>
      <c r="H86" s="37" t="n">
        <f aca="false">G86+H84-H85</f>
        <v>0</v>
      </c>
      <c r="I86" s="37" t="n">
        <f aca="false">H86+I84-I85</f>
        <v>0</v>
      </c>
      <c r="J86" s="37" t="n">
        <f aca="false">I86+J84-J85</f>
        <v>0</v>
      </c>
      <c r="K86" s="37" t="n">
        <f aca="false">J86+K84-K85</f>
        <v>0</v>
      </c>
      <c r="L86" s="37" t="n">
        <f aca="false">K86+L84-L85</f>
        <v>0</v>
      </c>
      <c r="M86" s="37" t="n">
        <f aca="false">L86+M84-M85</f>
        <v>0</v>
      </c>
      <c r="N86" s="37" t="n">
        <f aca="false">M86+N84-N85</f>
        <v>0</v>
      </c>
      <c r="O86" s="37" t="n">
        <f aca="false">N86+O84-O85</f>
        <v>0</v>
      </c>
      <c r="P86" s="37" t="n">
        <f aca="false">O86+P84-P85</f>
        <v>0</v>
      </c>
      <c r="Q86" s="37" t="n">
        <f aca="false">P86+Q84-Q85</f>
        <v>68060.16</v>
      </c>
      <c r="R86" s="37" t="n">
        <f aca="false">Q86+R84-R85</f>
        <v>68060.16</v>
      </c>
      <c r="S86" s="37" t="n">
        <f aca="false">R86+S84-S85</f>
        <v>68060.16</v>
      </c>
      <c r="T86" s="37" t="n">
        <f aca="false">S86+T84-T85</f>
        <v>68060.16</v>
      </c>
      <c r="U86" s="37" t="n">
        <f aca="false">T86+U84-U85</f>
        <v>68060.16</v>
      </c>
      <c r="V86" s="37" t="n">
        <f aca="false">U86+V84-V85</f>
        <v>68060.16</v>
      </c>
      <c r="W86" s="37" t="n">
        <f aca="false">V86+W84-W85</f>
        <v>68060.16</v>
      </c>
      <c r="X86" s="37" t="n">
        <f aca="false">W86+X84-X85</f>
        <v>68060.16</v>
      </c>
      <c r="Y86" s="37" t="n">
        <f aca="false">X86+Y84-Y85</f>
        <v>68060.16</v>
      </c>
      <c r="Z86" s="37" t="n">
        <f aca="false">Y86+Z84-Z85</f>
        <v>68060.16</v>
      </c>
      <c r="AA86" s="37" t="n">
        <f aca="false">Z86+AA84-AA85</f>
        <v>68060.16</v>
      </c>
      <c r="AB86" s="37" t="n">
        <f aca="false">AA86+AB84-AB85</f>
        <v>68060.16</v>
      </c>
      <c r="AC86" s="37" t="n">
        <f aca="false">AB86+AC84-AC85</f>
        <v>204180.48</v>
      </c>
      <c r="AD86" s="37" t="n">
        <f aca="false">AC86+AD84-AD85</f>
        <v>204180.48</v>
      </c>
      <c r="AE86" s="37" t="n">
        <f aca="false">AD86+AE84-AE85</f>
        <v>204180.48</v>
      </c>
      <c r="AF86" s="37" t="n">
        <f aca="false">AE86+AF84-AF85</f>
        <v>204180.48</v>
      </c>
      <c r="AG86" s="37" t="n">
        <f aca="false">AF86+AG84-AG85</f>
        <v>204180.48</v>
      </c>
      <c r="AH86" s="37" t="n">
        <f aca="false">AG86+AH84-AH85</f>
        <v>204180.48</v>
      </c>
      <c r="AI86" s="37" t="n">
        <f aca="false">AH86+AI84-AI85</f>
        <v>204180.48</v>
      </c>
      <c r="AJ86" s="37" t="n">
        <f aca="false">AI86+AJ84-AJ85</f>
        <v>204180.48</v>
      </c>
      <c r="AK86" s="37" t="n">
        <f aca="false">AJ86+AK84-AK85</f>
        <v>204180.48</v>
      </c>
      <c r="AL86" s="37" t="n">
        <f aca="false">AK86+AL84-AL85</f>
        <v>204180.48</v>
      </c>
      <c r="AM86" s="37" t="n">
        <f aca="false">AL86+AM84-AM85</f>
        <v>204180.48</v>
      </c>
      <c r="AN86" s="37" t="n">
        <f aca="false">AM86+AN84-AN85</f>
        <v>204180.48</v>
      </c>
      <c r="AO86" s="37" t="n">
        <f aca="false">AN86+AO84-AO85</f>
        <v>340300.8</v>
      </c>
      <c r="AP86" s="37" t="n">
        <f aca="false">AO86+AP84-AP85</f>
        <v>340300.8</v>
      </c>
      <c r="AQ86" s="37" t="n">
        <f aca="false">AP86+AQ84-AQ85</f>
        <v>340300.8</v>
      </c>
      <c r="AR86" s="37" t="n">
        <f aca="false">AQ86+AR84-AR85</f>
        <v>340300.8</v>
      </c>
      <c r="AS86" s="37" t="n">
        <f aca="false">AR86+AS84-AS85</f>
        <v>340300.8</v>
      </c>
      <c r="AT86" s="37" t="n">
        <f aca="false">AS86+AT84-AT85</f>
        <v>340300.8</v>
      </c>
      <c r="AU86" s="37" t="n">
        <f aca="false">AT86+AU84-AU85</f>
        <v>340300.8</v>
      </c>
      <c r="AV86" s="37" t="n">
        <f aca="false">AU86+AV84-AV85</f>
        <v>340300.8</v>
      </c>
      <c r="AW86" s="37" t="n">
        <f aca="false">AV86+AW84-AW85</f>
        <v>340300.8</v>
      </c>
      <c r="AX86" s="37" t="n">
        <f aca="false">AW86+AX84-AX85</f>
        <v>340300.8</v>
      </c>
      <c r="AY86" s="37" t="n">
        <f aca="false">AX86+AY84-AY85</f>
        <v>340300.8</v>
      </c>
      <c r="AZ86" s="37" t="n">
        <f aca="false">AY86+AZ84-AZ85</f>
        <v>340300.8</v>
      </c>
      <c r="BA86" s="37" t="n">
        <f aca="false">AZ86+BA84-BA85</f>
        <v>476421.12</v>
      </c>
      <c r="BB86" s="37" t="n">
        <f aca="false">BA86+BB84-BB85</f>
        <v>476421.12</v>
      </c>
      <c r="BC86" s="37" t="n">
        <f aca="false">BB86+BC84-BC85</f>
        <v>476421.12</v>
      </c>
      <c r="BD86" s="37" t="n">
        <f aca="false">BC86+BD84-BD85</f>
        <v>476421.12</v>
      </c>
      <c r="BE86" s="37" t="n">
        <f aca="false">BD86+BE84-BE85</f>
        <v>476421.12</v>
      </c>
      <c r="BF86" s="37" t="n">
        <f aca="false">BE86+BF84-BF85</f>
        <v>476421.12</v>
      </c>
      <c r="BG86" s="37" t="n">
        <f aca="false">BF86+BG84-BG85</f>
        <v>476421.12</v>
      </c>
      <c r="BH86" s="37" t="n">
        <f aca="false">BG86+BH84-BH85</f>
        <v>476421.12</v>
      </c>
      <c r="BI86" s="37" t="n">
        <f aca="false">BH86+BI84-BI85</f>
        <v>476421.12</v>
      </c>
      <c r="BJ86" s="37" t="n">
        <f aca="false">BI86+BJ84-BJ85</f>
        <v>476421.12</v>
      </c>
      <c r="BK86" s="37" t="n">
        <f aca="false">BJ86+BK84-BK85</f>
        <v>476421.12</v>
      </c>
      <c r="BL86" s="37" t="n">
        <f aca="false">BK86+BL84-BL85</f>
        <v>476421.12</v>
      </c>
      <c r="BM86" s="37" t="n">
        <f aca="false">BL86+BM84-BM85</f>
        <v>745401.6</v>
      </c>
      <c r="BN86" s="37" t="n">
        <f aca="false">BM86+BN84-BN85</f>
        <v>745401.6</v>
      </c>
      <c r="BO86" s="37" t="n">
        <f aca="false">BN86+BO84-BO85</f>
        <v>745401.6</v>
      </c>
      <c r="BP86" s="37" t="n">
        <f aca="false">BO86+BP84-BP85</f>
        <v>745401.6</v>
      </c>
      <c r="BQ86" s="37" t="n">
        <f aca="false">BP86+BQ84-BQ85</f>
        <v>745401.6</v>
      </c>
      <c r="BR86" s="37" t="n">
        <f aca="false">BQ86+BR84-BR85</f>
        <v>745401.6</v>
      </c>
      <c r="BS86" s="37" t="n">
        <f aca="false">BR86+BS84-BS85</f>
        <v>745401.6</v>
      </c>
      <c r="BT86" s="37" t="n">
        <f aca="false">BS86+BT84-BT85</f>
        <v>745401.6</v>
      </c>
      <c r="BU86" s="37" t="n">
        <f aca="false">BT86+BU84-BU85</f>
        <v>745401.6</v>
      </c>
      <c r="BV86" s="37" t="n">
        <f aca="false">BU86+BV84-BV85</f>
        <v>745401.6</v>
      </c>
      <c r="BW86" s="37" t="n">
        <f aca="false">BV86+BW84-BW85</f>
        <v>745401.6</v>
      </c>
      <c r="BX86" s="37" t="n">
        <f aca="false">BW86+BX84-BX85</f>
        <v>745401.6</v>
      </c>
      <c r="BY86" s="37" t="n">
        <f aca="false">BX86+BY84-BY85</f>
        <v>928752</v>
      </c>
      <c r="BZ86" s="37" t="n">
        <f aca="false">BY86+BZ84-BZ85</f>
        <v>928752</v>
      </c>
      <c r="CA86" s="37" t="n">
        <f aca="false">BZ86+CA84-CA85</f>
        <v>928752</v>
      </c>
      <c r="CB86" s="37" t="n">
        <f aca="false">CA86+CB84-CB85</f>
        <v>928752</v>
      </c>
      <c r="CC86" s="37" t="n">
        <f aca="false">CB86+CC84-CC85</f>
        <v>928752</v>
      </c>
      <c r="CD86" s="37" t="n">
        <f aca="false">CC86+CD84-CD85</f>
        <v>928752</v>
      </c>
      <c r="CE86" s="37" t="n">
        <f aca="false">CD86+CE84-CE85</f>
        <v>928752</v>
      </c>
      <c r="CF86" s="37" t="n">
        <f aca="false">CE86+CF84-CF85</f>
        <v>928752</v>
      </c>
      <c r="CG86" s="37" t="n">
        <f aca="false">CF86+CG84-CG85</f>
        <v>928752</v>
      </c>
      <c r="CH86" s="37" t="n">
        <f aca="false">CG86+CH84-CH85</f>
        <v>928752</v>
      </c>
      <c r="CI86" s="37" t="n">
        <f aca="false">CH86+CI84-CI85</f>
        <v>928752</v>
      </c>
      <c r="CJ86" s="37" t="n">
        <f aca="false">CI86+CJ84-CJ85</f>
        <v>928752</v>
      </c>
      <c r="CK86" s="37" t="n">
        <f aca="false">CJ86+CK84-CK85</f>
        <v>941952</v>
      </c>
      <c r="CL86" s="37" t="n">
        <f aca="false">CK86+CL84-CL85</f>
        <v>941952</v>
      </c>
      <c r="CM86" s="37" t="n">
        <f aca="false">CL86+CM84-CM85</f>
        <v>941952</v>
      </c>
      <c r="CN86" s="37" t="n">
        <f aca="false">CM86+CN84-CN85</f>
        <v>941952</v>
      </c>
      <c r="CO86" s="37" t="n">
        <f aca="false">CN86+CO84-CO85</f>
        <v>941952</v>
      </c>
      <c r="CP86" s="37" t="n">
        <f aca="false">CO86+CP84-CP85</f>
        <v>941952</v>
      </c>
      <c r="CQ86" s="37" t="n">
        <f aca="false">CP86+CQ84-CQ85</f>
        <v>941952</v>
      </c>
      <c r="CR86" s="37" t="n">
        <f aca="false">CQ86+CR84-CR85</f>
        <v>941952</v>
      </c>
      <c r="CS86" s="37" t="n">
        <f aca="false">CR86+CS84-CS85</f>
        <v>941952</v>
      </c>
      <c r="CT86" s="37" t="n">
        <f aca="false">CS86+CT84-CT85</f>
        <v>941952</v>
      </c>
      <c r="CU86" s="37" t="n">
        <f aca="false">CT86+CU84-CU85</f>
        <v>941952</v>
      </c>
      <c r="CV86" s="37" t="n">
        <f aca="false">CU86+CV84-CV85</f>
        <v>941952</v>
      </c>
      <c r="CW86" s="37" t="n">
        <f aca="false">CV86+CW84-CW85</f>
        <v>941952</v>
      </c>
      <c r="CX86" s="37" t="n">
        <f aca="false">CW86+CX84-CX85</f>
        <v>941952</v>
      </c>
      <c r="CY86" s="37" t="n">
        <f aca="false">CX86+CY84-CY85</f>
        <v>941952</v>
      </c>
      <c r="CZ86" s="37" t="n">
        <f aca="false">CY86+CZ84-CZ85</f>
        <v>941952</v>
      </c>
      <c r="DA86" s="37" t="n">
        <f aca="false">CZ86+DA84-DA85</f>
        <v>941952</v>
      </c>
      <c r="DB86" s="37" t="n">
        <f aca="false">DA86+DB84-DB85</f>
        <v>941952</v>
      </c>
      <c r="DC86" s="37" t="n">
        <f aca="false">DB86+DC84-DC85</f>
        <v>941952</v>
      </c>
      <c r="DD86" s="37" t="n">
        <f aca="false">DC86+DD84-DD85</f>
        <v>941952</v>
      </c>
      <c r="DE86" s="37" t="n">
        <f aca="false">DD86+DE84-DE85</f>
        <v>941952</v>
      </c>
      <c r="DF86" s="37" t="n">
        <f aca="false">DE86+DF84-DF85</f>
        <v>941952</v>
      </c>
      <c r="DG86" s="37" t="n">
        <f aca="false">DF86+DG84-DG85</f>
        <v>941952</v>
      </c>
      <c r="DH86" s="37" t="n">
        <f aca="false">DG86+DH84-DH85</f>
        <v>941952</v>
      </c>
      <c r="DI86" s="37" t="n">
        <f aca="false">DH86+DI84-DI85</f>
        <v>941952</v>
      </c>
      <c r="DJ86" s="37" t="n">
        <f aca="false">DI86+DJ84-DJ85</f>
        <v>941952</v>
      </c>
      <c r="DK86" s="37" t="n">
        <f aca="false">DJ86+DK84-DK85</f>
        <v>941952</v>
      </c>
      <c r="DL86" s="37" t="n">
        <f aca="false">DK86+DL84-DL85</f>
        <v>941952</v>
      </c>
      <c r="DM86" s="37" t="n">
        <f aca="false">DL86+DM84-DM85</f>
        <v>941952</v>
      </c>
      <c r="DN86" s="37" t="n">
        <f aca="false">DM86+DN84-DN85</f>
        <v>941952</v>
      </c>
      <c r="DO86" s="37" t="n">
        <f aca="false">DN86+DO84-DO85</f>
        <v>941952</v>
      </c>
      <c r="DP86" s="37" t="n">
        <f aca="false">DO86+DP84-DP85</f>
        <v>941952</v>
      </c>
      <c r="DQ86" s="37" t="n">
        <f aca="false">DP86+DQ84-DQ85</f>
        <v>941952</v>
      </c>
      <c r="DR86" s="37" t="n">
        <f aca="false">DQ86+DR84-DR85</f>
        <v>941952</v>
      </c>
      <c r="DS86" s="37" t="n">
        <f aca="false">DR86+DS84-DS85</f>
        <v>941952</v>
      </c>
      <c r="DT86" s="37" t="n">
        <f aca="false">DS86+DT84-DT85</f>
        <v>0</v>
      </c>
      <c r="DU86" s="37" t="n">
        <f aca="false">DT86+DU84-DU85</f>
        <v>0</v>
      </c>
      <c r="DV86" s="37" t="n">
        <f aca="false">DU86+DV84-DV85</f>
        <v>0</v>
      </c>
      <c r="DW86" s="37" t="n">
        <f aca="false">DV86+DW84-DW85</f>
        <v>0</v>
      </c>
      <c r="DX86" s="37" t="n">
        <f aca="false">DW86+DX84-DX85</f>
        <v>0</v>
      </c>
      <c r="DY86" s="37" t="n">
        <f aca="false">DX86+DY84-DY85</f>
        <v>0</v>
      </c>
      <c r="DZ86" s="37" t="n">
        <f aca="false">DY86+DZ84-DZ85</f>
        <v>0</v>
      </c>
      <c r="EA86" s="37" t="n">
        <f aca="false">DZ86+EA84-EA85</f>
        <v>0</v>
      </c>
      <c r="EB86" s="37" t="n">
        <f aca="false">EA86+EB84-EB85</f>
        <v>0</v>
      </c>
      <c r="EC86" s="37" t="n">
        <f aca="false">EB86+EC84-EC85</f>
        <v>0</v>
      </c>
      <c r="ED86" s="37" t="n">
        <f aca="false">EC86+ED84-ED85</f>
        <v>0</v>
      </c>
      <c r="EE86" s="37" t="n">
        <f aca="false">ED86+EE84-EE85</f>
        <v>0</v>
      </c>
      <c r="EF86" s="37" t="n">
        <f aca="false">EE86+EF84-EF85</f>
        <v>0</v>
      </c>
    </row>
    <row r="88" customFormat="false" ht="15" hidden="false" customHeight="false" outlineLevel="0" collapsed="false">
      <c r="A88" s="6" t="s">
        <v>629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</row>
    <row r="89" customFormat="false" ht="15" hidden="false" customHeight="false" outlineLevel="0" collapsed="false">
      <c r="A89" s="36" t="s">
        <v>630</v>
      </c>
      <c r="B89" s="278" t="s">
        <v>21</v>
      </c>
      <c r="C89" s="279" t="n">
        <f aca="false">SUM(E89:EF89)</f>
        <v>11000</v>
      </c>
      <c r="E89" s="37" t="n">
        <f aca="false">IF(E6=①통합_가정!$E$10,①통합_가정!$R$358*①통합_가정!$D$554,0)</f>
        <v>0</v>
      </c>
      <c r="F89" s="37" t="n">
        <f aca="false">IF(F6=①통합_가정!$E$10,①통합_가정!$R$358*①통합_가정!$D$554,0)</f>
        <v>0</v>
      </c>
      <c r="G89" s="37" t="n">
        <f aca="false">IF(G6=①통합_가정!$E$10,①통합_가정!$R$358*①통합_가정!$D$554,0)</f>
        <v>0</v>
      </c>
      <c r="H89" s="37" t="n">
        <f aca="false">IF(H6=①통합_가정!$E$10,①통합_가정!$R$358*①통합_가정!$D$554,0)</f>
        <v>11000</v>
      </c>
      <c r="I89" s="37" t="n">
        <f aca="false">IF(I6=①통합_가정!$E$10,①통합_가정!$R$358*①통합_가정!$D$554,0)</f>
        <v>0</v>
      </c>
      <c r="J89" s="37" t="n">
        <f aca="false">IF(J6=①통합_가정!$E$10,①통합_가정!$R$358*①통합_가정!$D$554,0)</f>
        <v>0</v>
      </c>
      <c r="K89" s="37" t="n">
        <f aca="false">IF(K6=①통합_가정!$E$10,①통합_가정!$R$358*①통합_가정!$D$554,0)</f>
        <v>0</v>
      </c>
      <c r="L89" s="37" t="n">
        <f aca="false">IF(L6=①통합_가정!$E$10,①통합_가정!$R$358*①통합_가정!$D$554,0)</f>
        <v>0</v>
      </c>
      <c r="M89" s="37" t="n">
        <f aca="false">IF(M6=①통합_가정!$E$10,①통합_가정!$R$358*①통합_가정!$D$554,0)</f>
        <v>0</v>
      </c>
      <c r="N89" s="37" t="n">
        <f aca="false">IF(N6=①통합_가정!$E$10,①통합_가정!$R$358*①통합_가정!$D$554,0)</f>
        <v>0</v>
      </c>
      <c r="O89" s="37" t="n">
        <f aca="false">IF(O6=①통합_가정!$E$10,①통합_가정!$R$358*①통합_가정!$D$554,0)</f>
        <v>0</v>
      </c>
      <c r="P89" s="37" t="n">
        <f aca="false">IF(P6=①통합_가정!$E$10,①통합_가정!$R$358*①통합_가정!$D$554,0)</f>
        <v>0</v>
      </c>
      <c r="Q89" s="37" t="n">
        <f aca="false">IF(Q6=①통합_가정!$E$10,①통합_가정!$R$358*①통합_가정!$D$554,0)</f>
        <v>0</v>
      </c>
      <c r="R89" s="37" t="n">
        <f aca="false">IF(R6=①통합_가정!$E$10,①통합_가정!$R$358*①통합_가정!$D$554,0)</f>
        <v>0</v>
      </c>
      <c r="S89" s="37" t="n">
        <f aca="false">IF(S6=①통합_가정!$E$10,①통합_가정!$R$358*①통합_가정!$D$554,0)</f>
        <v>0</v>
      </c>
      <c r="T89" s="37" t="n">
        <f aca="false">IF(T6=①통합_가정!$E$10,①통합_가정!$R$358*①통합_가정!$D$554,0)</f>
        <v>0</v>
      </c>
      <c r="U89" s="37" t="n">
        <f aca="false">IF(U6=①통합_가정!$E$10,①통합_가정!$R$358*①통합_가정!$D$554,0)</f>
        <v>0</v>
      </c>
      <c r="V89" s="37" t="n">
        <f aca="false">IF(V6=①통합_가정!$E$10,①통합_가정!$R$358*①통합_가정!$D$554,0)</f>
        <v>0</v>
      </c>
      <c r="W89" s="37" t="n">
        <f aca="false">IF(W6=①통합_가정!$E$10,①통합_가정!$R$358*①통합_가정!$D$554,0)</f>
        <v>0</v>
      </c>
      <c r="X89" s="37" t="n">
        <f aca="false">IF(X6=①통합_가정!$E$10,①통합_가정!$R$358*①통합_가정!$D$554,0)</f>
        <v>0</v>
      </c>
      <c r="Y89" s="37" t="n">
        <f aca="false">IF(Y6=①통합_가정!$E$10,①통합_가정!$R$358*①통합_가정!$D$554,0)</f>
        <v>0</v>
      </c>
      <c r="Z89" s="37" t="n">
        <f aca="false">IF(Z6=①통합_가정!$E$10,①통합_가정!$R$358*①통합_가정!$D$554,0)</f>
        <v>0</v>
      </c>
      <c r="AA89" s="37" t="n">
        <f aca="false">IF(AA6=①통합_가정!$E$10,①통합_가정!$R$358*①통합_가정!$D$554,0)</f>
        <v>0</v>
      </c>
      <c r="AB89" s="37" t="n">
        <f aca="false">IF(AB6=①통합_가정!$E$10,①통합_가정!$R$358*①통합_가정!$D$554,0)</f>
        <v>0</v>
      </c>
      <c r="AC89" s="37" t="n">
        <f aca="false">IF(AC6=①통합_가정!$E$10,①통합_가정!$R$358*①통합_가정!$D$554,0)</f>
        <v>0</v>
      </c>
      <c r="AD89" s="37" t="n">
        <f aca="false">IF(AD6=①통합_가정!$E$10,①통합_가정!$R$358*①통합_가정!$D$554,0)</f>
        <v>0</v>
      </c>
      <c r="AE89" s="37" t="n">
        <f aca="false">IF(AE6=①통합_가정!$E$10,①통합_가정!$R$358*①통합_가정!$D$554,0)</f>
        <v>0</v>
      </c>
      <c r="AF89" s="37" t="n">
        <f aca="false">IF(AF6=①통합_가정!$E$10,①통합_가정!$R$358*①통합_가정!$D$554,0)</f>
        <v>0</v>
      </c>
      <c r="AG89" s="37" t="n">
        <f aca="false">IF(AG6=①통합_가정!$E$10,①통합_가정!$R$358*①통합_가정!$D$554,0)</f>
        <v>0</v>
      </c>
      <c r="AH89" s="37" t="n">
        <f aca="false">IF(AH6=①통합_가정!$E$10,①통합_가정!$R$358*①통합_가정!$D$554,0)</f>
        <v>0</v>
      </c>
      <c r="AI89" s="37" t="n">
        <f aca="false">IF(AI6=①통합_가정!$E$10,①통합_가정!$R$358*①통합_가정!$D$554,0)</f>
        <v>0</v>
      </c>
      <c r="AJ89" s="37" t="n">
        <f aca="false">IF(AJ6=①통합_가정!$E$10,①통합_가정!$R$358*①통합_가정!$D$554,0)</f>
        <v>0</v>
      </c>
      <c r="AK89" s="37" t="n">
        <f aca="false">IF(AK6=①통합_가정!$E$10,①통합_가정!$R$358*①통합_가정!$D$554,0)</f>
        <v>0</v>
      </c>
      <c r="AL89" s="37" t="n">
        <f aca="false">IF(AL6=①통합_가정!$E$10,①통합_가정!$R$358*①통합_가정!$D$554,0)</f>
        <v>0</v>
      </c>
      <c r="AM89" s="37" t="n">
        <f aca="false">IF(AM6=①통합_가정!$E$10,①통합_가정!$R$358*①통합_가정!$D$554,0)</f>
        <v>0</v>
      </c>
      <c r="AN89" s="37" t="n">
        <f aca="false">IF(AN6=①통합_가정!$E$10,①통합_가정!$R$358*①통합_가정!$D$554,0)</f>
        <v>0</v>
      </c>
      <c r="AO89" s="37" t="n">
        <f aca="false">IF(AO6=①통합_가정!$E$10,①통합_가정!$R$358*①통합_가정!$D$554,0)</f>
        <v>0</v>
      </c>
      <c r="AP89" s="37" t="n">
        <f aca="false">IF(AP6=①통합_가정!$E$10,①통합_가정!$R$358*①통합_가정!$D$554,0)</f>
        <v>0</v>
      </c>
      <c r="AQ89" s="37" t="n">
        <f aca="false">IF(AQ6=①통합_가정!$E$10,①통합_가정!$R$358*①통합_가정!$D$554,0)</f>
        <v>0</v>
      </c>
      <c r="AR89" s="37" t="n">
        <f aca="false">IF(AR6=①통합_가정!$E$10,①통합_가정!$R$358*①통합_가정!$D$554,0)</f>
        <v>0</v>
      </c>
      <c r="AS89" s="37" t="n">
        <f aca="false">IF(AS6=①통합_가정!$E$10,①통합_가정!$R$358*①통합_가정!$D$554,0)</f>
        <v>0</v>
      </c>
      <c r="AT89" s="37" t="n">
        <f aca="false">IF(AT6=①통합_가정!$E$10,①통합_가정!$R$358*①통합_가정!$D$554,0)</f>
        <v>0</v>
      </c>
      <c r="AU89" s="37" t="n">
        <f aca="false">IF(AU6=①통합_가정!$E$10,①통합_가정!$R$358*①통합_가정!$D$554,0)</f>
        <v>0</v>
      </c>
      <c r="AV89" s="37" t="n">
        <f aca="false">IF(AV6=①통합_가정!$E$10,①통합_가정!$R$358*①통합_가정!$D$554,0)</f>
        <v>0</v>
      </c>
      <c r="AW89" s="37" t="n">
        <f aca="false">IF(AW6=①통합_가정!$E$10,①통합_가정!$R$358*①통합_가정!$D$554,0)</f>
        <v>0</v>
      </c>
      <c r="AX89" s="37" t="n">
        <f aca="false">IF(AX6=①통합_가정!$E$10,①통합_가정!$R$358*①통합_가정!$D$554,0)</f>
        <v>0</v>
      </c>
      <c r="AY89" s="37" t="n">
        <f aca="false">IF(AY6=①통합_가정!$E$10,①통합_가정!$R$358*①통합_가정!$D$554,0)</f>
        <v>0</v>
      </c>
      <c r="AZ89" s="37" t="n">
        <f aca="false">IF(AZ6=①통합_가정!$E$10,①통합_가정!$R$358*①통합_가정!$D$554,0)</f>
        <v>0</v>
      </c>
      <c r="BA89" s="37" t="n">
        <f aca="false">IF(BA6=①통합_가정!$E$10,①통합_가정!$R$358*①통합_가정!$D$554,0)</f>
        <v>0</v>
      </c>
      <c r="BB89" s="37" t="n">
        <f aca="false">IF(BB6=①통합_가정!$E$10,①통합_가정!$R$358*①통합_가정!$D$554,0)</f>
        <v>0</v>
      </c>
      <c r="BC89" s="37" t="n">
        <f aca="false">IF(BC6=①통합_가정!$E$10,①통합_가정!$R$358*①통합_가정!$D$554,0)</f>
        <v>0</v>
      </c>
      <c r="BD89" s="37" t="n">
        <f aca="false">IF(BD6=①통합_가정!$E$10,①통합_가정!$R$358*①통합_가정!$D$554,0)</f>
        <v>0</v>
      </c>
      <c r="BE89" s="37" t="n">
        <f aca="false">IF(BE6=①통합_가정!$E$10,①통합_가정!$R$358*①통합_가정!$D$554,0)</f>
        <v>0</v>
      </c>
      <c r="BF89" s="37" t="n">
        <f aca="false">IF(BF6=①통합_가정!$E$10,①통합_가정!$R$358*①통합_가정!$D$554,0)</f>
        <v>0</v>
      </c>
      <c r="BG89" s="37" t="n">
        <f aca="false">IF(BG6=①통합_가정!$E$10,①통합_가정!$R$358*①통합_가정!$D$554,0)</f>
        <v>0</v>
      </c>
      <c r="BH89" s="37" t="n">
        <f aca="false">IF(BH6=①통합_가정!$E$10,①통합_가정!$R$358*①통합_가정!$D$554,0)</f>
        <v>0</v>
      </c>
      <c r="BI89" s="37" t="n">
        <f aca="false">IF(BI6=①통합_가정!$E$10,①통합_가정!$R$358*①통합_가정!$D$554,0)</f>
        <v>0</v>
      </c>
      <c r="BJ89" s="37" t="n">
        <f aca="false">IF(BJ6=①통합_가정!$E$10,①통합_가정!$R$358*①통합_가정!$D$554,0)</f>
        <v>0</v>
      </c>
      <c r="BK89" s="37" t="n">
        <f aca="false">IF(BK6=①통합_가정!$E$10,①통합_가정!$R$358*①통합_가정!$D$554,0)</f>
        <v>0</v>
      </c>
      <c r="BL89" s="37" t="n">
        <f aca="false">IF(BL6=①통합_가정!$E$10,①통합_가정!$R$358*①통합_가정!$D$554,0)</f>
        <v>0</v>
      </c>
      <c r="BM89" s="37" t="n">
        <f aca="false">IF(BM6=①통합_가정!$E$10,①통합_가정!$R$358*①통합_가정!$D$554,0)</f>
        <v>0</v>
      </c>
      <c r="BN89" s="37" t="n">
        <f aca="false">IF(BN6=①통합_가정!$E$10,①통합_가정!$R$358*①통합_가정!$D$554,0)</f>
        <v>0</v>
      </c>
      <c r="BO89" s="37" t="n">
        <f aca="false">IF(BO6=①통합_가정!$E$10,①통합_가정!$R$358*①통합_가정!$D$554,0)</f>
        <v>0</v>
      </c>
      <c r="BP89" s="37" t="n">
        <f aca="false">IF(BP6=①통합_가정!$E$10,①통합_가정!$R$358*①통합_가정!$D$554,0)</f>
        <v>0</v>
      </c>
      <c r="BQ89" s="37" t="n">
        <f aca="false">IF(BQ6=①통합_가정!$E$10,①통합_가정!$R$358*①통합_가정!$D$554,0)</f>
        <v>0</v>
      </c>
      <c r="BR89" s="37" t="n">
        <f aca="false">IF(BR6=①통합_가정!$E$10,①통합_가정!$R$358*①통합_가정!$D$554,0)</f>
        <v>0</v>
      </c>
      <c r="BS89" s="37" t="n">
        <f aca="false">IF(BS6=①통합_가정!$E$10,①통합_가정!$R$358*①통합_가정!$D$554,0)</f>
        <v>0</v>
      </c>
      <c r="BT89" s="37" t="n">
        <f aca="false">IF(BT6=①통합_가정!$E$10,①통합_가정!$R$358*①통합_가정!$D$554,0)</f>
        <v>0</v>
      </c>
      <c r="BU89" s="37" t="n">
        <f aca="false">IF(BU6=①통합_가정!$E$10,①통합_가정!$R$358*①통합_가정!$D$554,0)</f>
        <v>0</v>
      </c>
      <c r="BV89" s="37" t="n">
        <f aca="false">IF(BV6=①통합_가정!$E$10,①통합_가정!$R$358*①통합_가정!$D$554,0)</f>
        <v>0</v>
      </c>
      <c r="BW89" s="37" t="n">
        <f aca="false">IF(BW6=①통합_가정!$E$10,①통합_가정!$R$358*①통합_가정!$D$554,0)</f>
        <v>0</v>
      </c>
      <c r="BX89" s="37" t="n">
        <f aca="false">IF(BX6=①통합_가정!$E$10,①통합_가정!$R$358*①통합_가정!$D$554,0)</f>
        <v>0</v>
      </c>
      <c r="BY89" s="37" t="n">
        <f aca="false">IF(BY6=①통합_가정!$E$10,①통합_가정!$R$358*①통합_가정!$D$554,0)</f>
        <v>0</v>
      </c>
      <c r="BZ89" s="37" t="n">
        <f aca="false">IF(BZ6=①통합_가정!$E$10,①통합_가정!$R$358*①통합_가정!$D$554,0)</f>
        <v>0</v>
      </c>
      <c r="CA89" s="37" t="n">
        <f aca="false">IF(CA6=①통합_가정!$E$10,①통합_가정!$R$358*①통합_가정!$D$554,0)</f>
        <v>0</v>
      </c>
      <c r="CB89" s="37" t="n">
        <f aca="false">IF(CB6=①통합_가정!$E$10,①통합_가정!$R$358*①통합_가정!$D$554,0)</f>
        <v>0</v>
      </c>
      <c r="CC89" s="37" t="n">
        <f aca="false">IF(CC6=①통합_가정!$E$10,①통합_가정!$R$358*①통합_가정!$D$554,0)</f>
        <v>0</v>
      </c>
      <c r="CD89" s="37" t="n">
        <f aca="false">IF(CD6=①통합_가정!$E$10,①통합_가정!$R$358*①통합_가정!$D$554,0)</f>
        <v>0</v>
      </c>
      <c r="CE89" s="37" t="n">
        <f aca="false">IF(CE6=①통합_가정!$E$10,①통합_가정!$R$358*①통합_가정!$D$554,0)</f>
        <v>0</v>
      </c>
      <c r="CF89" s="37" t="n">
        <f aca="false">IF(CF6=①통합_가정!$E$10,①통합_가정!$R$358*①통합_가정!$D$554,0)</f>
        <v>0</v>
      </c>
      <c r="CG89" s="37" t="n">
        <f aca="false">IF(CG6=①통합_가정!$E$10,①통합_가정!$R$358*①통합_가정!$D$554,0)</f>
        <v>0</v>
      </c>
      <c r="CH89" s="37" t="n">
        <f aca="false">IF(CH6=①통합_가정!$E$10,①통합_가정!$R$358*①통합_가정!$D$554,0)</f>
        <v>0</v>
      </c>
      <c r="CI89" s="37" t="n">
        <f aca="false">IF(CI6=①통합_가정!$E$10,①통합_가정!$R$358*①통합_가정!$D$554,0)</f>
        <v>0</v>
      </c>
      <c r="CJ89" s="37" t="n">
        <f aca="false">IF(CJ6=①통합_가정!$E$10,①통합_가정!$R$358*①통합_가정!$D$554,0)</f>
        <v>0</v>
      </c>
      <c r="CK89" s="37" t="n">
        <f aca="false">IF(CK6=①통합_가정!$E$10,①통합_가정!$R$358*①통합_가정!$D$554,0)</f>
        <v>0</v>
      </c>
      <c r="CL89" s="37" t="n">
        <f aca="false">IF(CL6=①통합_가정!$E$10,①통합_가정!$R$358*①통합_가정!$D$554,0)</f>
        <v>0</v>
      </c>
      <c r="CM89" s="37" t="n">
        <f aca="false">IF(CM6=①통합_가정!$E$10,①통합_가정!$R$358*①통합_가정!$D$554,0)</f>
        <v>0</v>
      </c>
      <c r="CN89" s="37" t="n">
        <f aca="false">IF(CN6=①통합_가정!$E$10,①통합_가정!$R$358*①통합_가정!$D$554,0)</f>
        <v>0</v>
      </c>
      <c r="CO89" s="37" t="n">
        <f aca="false">IF(CO6=①통합_가정!$E$10,①통합_가정!$R$358*①통합_가정!$D$554,0)</f>
        <v>0</v>
      </c>
      <c r="CP89" s="37" t="n">
        <f aca="false">IF(CP6=①통합_가정!$E$10,①통합_가정!$R$358*①통합_가정!$D$554,0)</f>
        <v>0</v>
      </c>
      <c r="CQ89" s="37" t="n">
        <f aca="false">IF(CQ6=①통합_가정!$E$10,①통합_가정!$R$358*①통합_가정!$D$554,0)</f>
        <v>0</v>
      </c>
      <c r="CR89" s="37" t="n">
        <f aca="false">IF(CR6=①통합_가정!$E$10,①통합_가정!$R$358*①통합_가정!$D$554,0)</f>
        <v>0</v>
      </c>
      <c r="CS89" s="37" t="n">
        <f aca="false">IF(CS6=①통합_가정!$E$10,①통합_가정!$R$358*①통합_가정!$D$554,0)</f>
        <v>0</v>
      </c>
      <c r="CT89" s="37" t="n">
        <f aca="false">IF(CT6=①통합_가정!$E$10,①통합_가정!$R$358*①통합_가정!$D$554,0)</f>
        <v>0</v>
      </c>
      <c r="CU89" s="37" t="n">
        <f aca="false">IF(CU6=①통합_가정!$E$10,①통합_가정!$R$358*①통합_가정!$D$554,0)</f>
        <v>0</v>
      </c>
      <c r="CV89" s="37" t="n">
        <f aca="false">IF(CV6=①통합_가정!$E$10,①통합_가정!$R$358*①통합_가정!$D$554,0)</f>
        <v>0</v>
      </c>
      <c r="CW89" s="37" t="n">
        <f aca="false">IF(CW6=①통합_가정!$E$10,①통합_가정!$R$358*①통합_가정!$D$554,0)</f>
        <v>0</v>
      </c>
      <c r="CX89" s="37" t="n">
        <f aca="false">IF(CX6=①통합_가정!$E$10,①통합_가정!$R$358*①통합_가정!$D$554,0)</f>
        <v>0</v>
      </c>
      <c r="CY89" s="37" t="n">
        <f aca="false">IF(CY6=①통합_가정!$E$10,①통합_가정!$R$358*①통합_가정!$D$554,0)</f>
        <v>0</v>
      </c>
      <c r="CZ89" s="37" t="n">
        <f aca="false">IF(CZ6=①통합_가정!$E$10,①통합_가정!$R$358*①통합_가정!$D$554,0)</f>
        <v>0</v>
      </c>
      <c r="DA89" s="37" t="n">
        <f aca="false">IF(DA6=①통합_가정!$E$10,①통합_가정!$R$358*①통합_가정!$D$554,0)</f>
        <v>0</v>
      </c>
      <c r="DB89" s="37" t="n">
        <f aca="false">IF(DB6=①통합_가정!$E$10,①통합_가정!$R$358*①통합_가정!$D$554,0)</f>
        <v>0</v>
      </c>
      <c r="DC89" s="37" t="n">
        <f aca="false">IF(DC6=①통합_가정!$E$10,①통합_가정!$R$358*①통합_가정!$D$554,0)</f>
        <v>0</v>
      </c>
      <c r="DD89" s="37" t="n">
        <f aca="false">IF(DD6=①통합_가정!$E$10,①통합_가정!$R$358*①통합_가정!$D$554,0)</f>
        <v>0</v>
      </c>
      <c r="DE89" s="37" t="n">
        <f aca="false">IF(DE6=①통합_가정!$E$10,①통합_가정!$R$358*①통합_가정!$D$554,0)</f>
        <v>0</v>
      </c>
      <c r="DF89" s="37" t="n">
        <f aca="false">IF(DF6=①통합_가정!$E$10,①통합_가정!$R$358*①통합_가정!$D$554,0)</f>
        <v>0</v>
      </c>
      <c r="DG89" s="37" t="n">
        <f aca="false">IF(DG6=①통합_가정!$E$10,①통합_가정!$R$358*①통합_가정!$D$554,0)</f>
        <v>0</v>
      </c>
      <c r="DH89" s="37" t="n">
        <f aca="false">IF(DH6=①통합_가정!$E$10,①통합_가정!$R$358*①통합_가정!$D$554,0)</f>
        <v>0</v>
      </c>
      <c r="DI89" s="37" t="n">
        <f aca="false">IF(DI6=①통합_가정!$E$10,①통합_가정!$R$358*①통합_가정!$D$554,0)</f>
        <v>0</v>
      </c>
      <c r="DJ89" s="37" t="n">
        <f aca="false">IF(DJ6=①통합_가정!$E$10,①통합_가정!$R$358*①통합_가정!$D$554,0)</f>
        <v>0</v>
      </c>
      <c r="DK89" s="37" t="n">
        <f aca="false">IF(DK6=①통합_가정!$E$10,①통합_가정!$R$358*①통합_가정!$D$554,0)</f>
        <v>0</v>
      </c>
      <c r="DL89" s="37" t="n">
        <f aca="false">IF(DL6=①통합_가정!$E$10,①통합_가정!$R$358*①통합_가정!$D$554,0)</f>
        <v>0</v>
      </c>
      <c r="DM89" s="37" t="n">
        <f aca="false">IF(DM6=①통합_가정!$E$10,①통합_가정!$R$358*①통합_가정!$D$554,0)</f>
        <v>0</v>
      </c>
      <c r="DN89" s="37" t="n">
        <f aca="false">IF(DN6=①통합_가정!$E$10,①통합_가정!$R$358*①통합_가정!$D$554,0)</f>
        <v>0</v>
      </c>
      <c r="DO89" s="37" t="n">
        <f aca="false">IF(DO6=①통합_가정!$E$10,①통합_가정!$R$358*①통합_가정!$D$554,0)</f>
        <v>0</v>
      </c>
      <c r="DP89" s="37" t="n">
        <f aca="false">IF(DP6=①통합_가정!$E$10,①통합_가정!$R$358*①통합_가정!$D$554,0)</f>
        <v>0</v>
      </c>
      <c r="DQ89" s="37" t="n">
        <f aca="false">IF(DQ6=①통합_가정!$E$10,①통합_가정!$R$358*①통합_가정!$D$554,0)</f>
        <v>0</v>
      </c>
      <c r="DR89" s="37" t="n">
        <f aca="false">IF(DR6=①통합_가정!$E$10,①통합_가정!$R$358*①통합_가정!$D$554,0)</f>
        <v>0</v>
      </c>
      <c r="DS89" s="37" t="n">
        <f aca="false">IF(DS6=①통합_가정!$E$10,①통합_가정!$R$358*①통합_가정!$D$554,0)</f>
        <v>0</v>
      </c>
      <c r="DT89" s="37" t="n">
        <f aca="false">IF(DT6=①통합_가정!$E$10,①통합_가정!$R$358*①통합_가정!$D$554,0)</f>
        <v>0</v>
      </c>
      <c r="DU89" s="37" t="n">
        <f aca="false">IF(DU6=①통합_가정!$E$10,①통합_가정!$R$358*①통합_가정!$D$554,0)</f>
        <v>0</v>
      </c>
      <c r="DV89" s="37" t="n">
        <f aca="false">IF(DV6=①통합_가정!$E$10,①통합_가정!$R$358*①통합_가정!$D$554,0)</f>
        <v>0</v>
      </c>
      <c r="DW89" s="37" t="n">
        <f aca="false">IF(DW6=①통합_가정!$E$10,①통합_가정!$R$358*①통합_가정!$D$554,0)</f>
        <v>0</v>
      </c>
      <c r="DX89" s="37" t="n">
        <f aca="false">IF(DX6=①통합_가정!$E$10,①통합_가정!$R$358*①통합_가정!$D$554,0)</f>
        <v>0</v>
      </c>
      <c r="DY89" s="37" t="n">
        <f aca="false">IF(DY6=①통합_가정!$E$10,①통합_가정!$R$358*①통합_가정!$D$554,0)</f>
        <v>0</v>
      </c>
      <c r="DZ89" s="37" t="n">
        <f aca="false">IF(DZ6=①통합_가정!$E$10,①통합_가정!$R$358*①통합_가정!$D$554,0)</f>
        <v>0</v>
      </c>
      <c r="EA89" s="37" t="n">
        <f aca="false">IF(EA6=①통합_가정!$E$10,①통합_가정!$R$358*①통합_가정!$D$554,0)</f>
        <v>0</v>
      </c>
      <c r="EB89" s="37" t="n">
        <f aca="false">IF(EB6=①통합_가정!$E$10,①통합_가정!$R$358*①통합_가정!$D$554,0)</f>
        <v>0</v>
      </c>
      <c r="EC89" s="37" t="n">
        <f aca="false">IF(EC6=①통합_가정!$E$10,①통합_가정!$R$358*①통합_가정!$D$554,0)</f>
        <v>0</v>
      </c>
      <c r="ED89" s="37" t="n">
        <f aca="false">IF(ED6=①통합_가정!$E$10,①통합_가정!$R$358*①통합_가정!$D$554,0)</f>
        <v>0</v>
      </c>
      <c r="EE89" s="37" t="n">
        <f aca="false">IF(EE6=①통합_가정!$E$10,①통합_가정!$R$358*①통합_가정!$D$554,0)</f>
        <v>0</v>
      </c>
      <c r="EF89" s="37" t="n">
        <f aca="false">IF(EF6=①통합_가정!$E$10,①통합_가정!$R$358*①통합_가정!$D$554,0)</f>
        <v>0</v>
      </c>
    </row>
    <row r="90" customFormat="false" ht="15" hidden="false" customHeight="false" outlineLevel="0" collapsed="false">
      <c r="A90" s="36" t="s">
        <v>631</v>
      </c>
      <c r="B90" s="278" t="s">
        <v>21</v>
      </c>
      <c r="C90" s="279" t="n">
        <f aca="false">SUM(E90:EF90)</f>
        <v>221320</v>
      </c>
      <c r="E90" s="37" t="n">
        <f aca="false">IF(E6=①통합_가정!$E$14,①통합_가정!$R$358*(1-①통합_가정!$D$554)+①통합_가정!$R$359+①통합_가정!$R$360+①통합_가정!$R$361,0)</f>
        <v>0</v>
      </c>
      <c r="F90" s="37" t="n">
        <f aca="false">IF(F6=①통합_가정!$E$14,①통합_가정!$R$358*(1-①통합_가정!$D$554)+①통합_가정!$R$359+①통합_가정!$R$360+①통합_가정!$R$361,0)</f>
        <v>0</v>
      </c>
      <c r="G90" s="37" t="n">
        <f aca="false">IF(G6=①통합_가정!$E$14,①통합_가정!$R$358*(1-①통합_가정!$D$554)+①통합_가정!$R$359+①통합_가정!$R$360+①통합_가정!$R$361,0)</f>
        <v>0</v>
      </c>
      <c r="H90" s="37" t="n">
        <f aca="false">IF(H6=①통합_가정!$E$14,①통합_가정!$R$358*(1-①통합_가정!$D$554)+①통합_가정!$R$359+①통합_가정!$R$360+①통합_가정!$R$361,0)</f>
        <v>0</v>
      </c>
      <c r="I90" s="37" t="n">
        <f aca="false">IF(I6=①통합_가정!$E$14,①통합_가정!$R$358*(1-①통합_가정!$D$554)+①통합_가정!$R$359+①통합_가정!$R$360+①통합_가정!$R$361,0)</f>
        <v>0</v>
      </c>
      <c r="J90" s="37" t="n">
        <f aca="false">IF(J6=①통합_가정!$E$14,①통합_가정!$R$358*(1-①통합_가정!$D$554)+①통합_가정!$R$359+①통합_가정!$R$360+①통합_가정!$R$361,0)</f>
        <v>0</v>
      </c>
      <c r="K90" s="37" t="n">
        <f aca="false">IF(K6=①통합_가정!$E$14,①통합_가정!$R$358*(1-①통합_가정!$D$554)+①통합_가정!$R$359+①통합_가정!$R$360+①통합_가정!$R$361,0)</f>
        <v>0</v>
      </c>
      <c r="L90" s="37" t="n">
        <f aca="false">IF(L6=①통합_가정!$E$14,①통합_가정!$R$358*(1-①통합_가정!$D$554)+①통합_가정!$R$359+①통합_가정!$R$360+①통합_가정!$R$361,0)</f>
        <v>0</v>
      </c>
      <c r="M90" s="37" t="n">
        <f aca="false">IF(M6=①통합_가정!$E$14,①통합_가정!$R$358*(1-①통합_가정!$D$554)+①통합_가정!$R$359+①통합_가정!$R$360+①통합_가정!$R$361,0)</f>
        <v>0</v>
      </c>
      <c r="N90" s="37" t="n">
        <f aca="false">IF(N6=①통합_가정!$E$14,①통합_가정!$R$358*(1-①통합_가정!$D$554)+①통합_가정!$R$359+①통합_가정!$R$360+①통합_가정!$R$361,0)</f>
        <v>0</v>
      </c>
      <c r="O90" s="37" t="n">
        <f aca="false">IF(O6=①통합_가정!$E$14,①통합_가정!$R$358*(1-①통합_가정!$D$554)+①통합_가정!$R$359+①통합_가정!$R$360+①통합_가정!$R$361,0)</f>
        <v>0</v>
      </c>
      <c r="P90" s="37" t="n">
        <f aca="false">IF(P6=①통합_가정!$E$14,①통합_가정!$R$358*(1-①통합_가정!$D$554)+①통합_가정!$R$359+①통합_가정!$R$360+①통합_가정!$R$361,0)</f>
        <v>0</v>
      </c>
      <c r="Q90" s="37" t="n">
        <f aca="false">IF(Q6=①통합_가정!$E$14,①통합_가정!$R$358*(1-①통합_가정!$D$554)+①통합_가정!$R$359+①통합_가정!$R$360+①통합_가정!$R$361,0)</f>
        <v>0</v>
      </c>
      <c r="R90" s="37" t="n">
        <f aca="false">IF(R6=①통합_가정!$E$14,①통합_가정!$R$358*(1-①통합_가정!$D$554)+①통합_가정!$R$359+①통합_가정!$R$360+①통합_가정!$R$361,0)</f>
        <v>0</v>
      </c>
      <c r="S90" s="37" t="n">
        <f aca="false">IF(S6=①통합_가정!$E$14,①통합_가정!$R$358*(1-①통합_가정!$D$554)+①통합_가정!$R$359+①통합_가정!$R$360+①통합_가정!$R$361,0)</f>
        <v>0</v>
      </c>
      <c r="T90" s="37" t="n">
        <f aca="false">IF(T6=①통합_가정!$E$14,①통합_가정!$R$358*(1-①통합_가정!$D$554)+①통합_가정!$R$359+①통합_가정!$R$360+①통합_가정!$R$361,0)</f>
        <v>0</v>
      </c>
      <c r="U90" s="37" t="n">
        <f aca="false">IF(U6=①통합_가정!$E$14,①통합_가정!$R$358*(1-①통합_가정!$D$554)+①통합_가정!$R$359+①통합_가정!$R$360+①통합_가정!$R$361,0)</f>
        <v>0</v>
      </c>
      <c r="V90" s="37" t="n">
        <f aca="false">IF(V6=①통합_가정!$E$14,①통합_가정!$R$358*(1-①통합_가정!$D$554)+①통합_가정!$R$359+①통합_가정!$R$360+①통합_가정!$R$361,0)</f>
        <v>0</v>
      </c>
      <c r="W90" s="37" t="n">
        <f aca="false">IF(W6=①통합_가정!$E$14,①통합_가정!$R$358*(1-①통합_가정!$D$554)+①통합_가정!$R$359+①통합_가정!$R$360+①통합_가정!$R$361,0)</f>
        <v>221320</v>
      </c>
      <c r="X90" s="37" t="n">
        <f aca="false">IF(X6=①통합_가정!$E$14,①통합_가정!$R$358*(1-①통합_가정!$D$554)+①통합_가정!$R$359+①통합_가정!$R$360+①통합_가정!$R$361,0)</f>
        <v>0</v>
      </c>
      <c r="Y90" s="37" t="n">
        <f aca="false">IF(Y6=①통합_가정!$E$14,①통합_가정!$R$358*(1-①통합_가정!$D$554)+①통합_가정!$R$359+①통합_가정!$R$360+①통합_가정!$R$361,0)</f>
        <v>0</v>
      </c>
      <c r="Z90" s="37" t="n">
        <f aca="false">IF(Z6=①통합_가정!$E$14,①통합_가정!$R$358*(1-①통합_가정!$D$554)+①통합_가정!$R$359+①통합_가정!$R$360+①통합_가정!$R$361,0)</f>
        <v>0</v>
      </c>
      <c r="AA90" s="37" t="n">
        <f aca="false">IF(AA6=①통합_가정!$E$14,①통합_가정!$R$358*(1-①통합_가정!$D$554)+①통합_가정!$R$359+①통합_가정!$R$360+①통합_가정!$R$361,0)</f>
        <v>0</v>
      </c>
      <c r="AB90" s="37" t="n">
        <f aca="false">IF(AB6=①통합_가정!$E$14,①통합_가정!$R$358*(1-①통합_가정!$D$554)+①통합_가정!$R$359+①통합_가정!$R$360+①통합_가정!$R$361,0)</f>
        <v>0</v>
      </c>
      <c r="AC90" s="37" t="n">
        <f aca="false">IF(AC6=①통합_가정!$E$14,①통합_가정!$R$358*(1-①통합_가정!$D$554)+①통합_가정!$R$359+①통합_가정!$R$360+①통합_가정!$R$361,0)</f>
        <v>0</v>
      </c>
      <c r="AD90" s="37" t="n">
        <f aca="false">IF(AD6=①통합_가정!$E$14,①통합_가정!$R$358*(1-①통합_가정!$D$554)+①통합_가정!$R$359+①통합_가정!$R$360+①통합_가정!$R$361,0)</f>
        <v>0</v>
      </c>
      <c r="AE90" s="37" t="n">
        <f aca="false">IF(AE6=①통합_가정!$E$14,①통합_가정!$R$358*(1-①통합_가정!$D$554)+①통합_가정!$R$359+①통합_가정!$R$360+①통합_가정!$R$361,0)</f>
        <v>0</v>
      </c>
      <c r="AF90" s="37" t="n">
        <f aca="false">IF(AF6=①통합_가정!$E$14,①통합_가정!$R$358*(1-①통합_가정!$D$554)+①통합_가정!$R$359+①통합_가정!$R$360+①통합_가정!$R$361,0)</f>
        <v>0</v>
      </c>
      <c r="AG90" s="37" t="n">
        <f aca="false">IF(AG6=①통합_가정!$E$14,①통합_가정!$R$358*(1-①통합_가정!$D$554)+①통합_가정!$R$359+①통합_가정!$R$360+①통합_가정!$R$361,0)</f>
        <v>0</v>
      </c>
      <c r="AH90" s="37" t="n">
        <f aca="false">IF(AH6=①통합_가정!$E$14,①통합_가정!$R$358*(1-①통합_가정!$D$554)+①통합_가정!$R$359+①통합_가정!$R$360+①통합_가정!$R$361,0)</f>
        <v>0</v>
      </c>
      <c r="AI90" s="37" t="n">
        <f aca="false">IF(AI6=①통합_가정!$E$14,①통합_가정!$R$358*(1-①통합_가정!$D$554)+①통합_가정!$R$359+①통합_가정!$R$360+①통합_가정!$R$361,0)</f>
        <v>0</v>
      </c>
      <c r="AJ90" s="37" t="n">
        <f aca="false">IF(AJ6=①통합_가정!$E$14,①통합_가정!$R$358*(1-①통합_가정!$D$554)+①통합_가정!$R$359+①통합_가정!$R$360+①통합_가정!$R$361,0)</f>
        <v>0</v>
      </c>
      <c r="AK90" s="37" t="n">
        <f aca="false">IF(AK6=①통합_가정!$E$14,①통합_가정!$R$358*(1-①통합_가정!$D$554)+①통합_가정!$R$359+①통합_가정!$R$360+①통합_가정!$R$361,0)</f>
        <v>0</v>
      </c>
      <c r="AL90" s="37" t="n">
        <f aca="false">IF(AL6=①통합_가정!$E$14,①통합_가정!$R$358*(1-①통합_가정!$D$554)+①통합_가정!$R$359+①통합_가정!$R$360+①통합_가정!$R$361,0)</f>
        <v>0</v>
      </c>
      <c r="AM90" s="37" t="n">
        <f aca="false">IF(AM6=①통합_가정!$E$14,①통합_가정!$R$358*(1-①통합_가정!$D$554)+①통합_가정!$R$359+①통합_가정!$R$360+①통합_가정!$R$361,0)</f>
        <v>0</v>
      </c>
      <c r="AN90" s="37" t="n">
        <f aca="false">IF(AN6=①통합_가정!$E$14,①통합_가정!$R$358*(1-①통합_가정!$D$554)+①통합_가정!$R$359+①통합_가정!$R$360+①통합_가정!$R$361,0)</f>
        <v>0</v>
      </c>
      <c r="AO90" s="37" t="n">
        <f aca="false">IF(AO6=①통합_가정!$E$14,①통합_가정!$R$358*(1-①통합_가정!$D$554)+①통합_가정!$R$359+①통합_가정!$R$360+①통합_가정!$R$361,0)</f>
        <v>0</v>
      </c>
      <c r="AP90" s="37" t="n">
        <f aca="false">IF(AP6=①통합_가정!$E$14,①통합_가정!$R$358*(1-①통합_가정!$D$554)+①통합_가정!$R$359+①통합_가정!$R$360+①통합_가정!$R$361,0)</f>
        <v>0</v>
      </c>
      <c r="AQ90" s="37" t="n">
        <f aca="false">IF(AQ6=①통합_가정!$E$14,①통합_가정!$R$358*(1-①통합_가정!$D$554)+①통합_가정!$R$359+①통합_가정!$R$360+①통합_가정!$R$361,0)</f>
        <v>0</v>
      </c>
      <c r="AR90" s="37" t="n">
        <f aca="false">IF(AR6=①통합_가정!$E$14,①통합_가정!$R$358*(1-①통합_가정!$D$554)+①통합_가정!$R$359+①통합_가정!$R$360+①통합_가정!$R$361,0)</f>
        <v>0</v>
      </c>
      <c r="AS90" s="37" t="n">
        <f aca="false">IF(AS6=①통합_가정!$E$14,①통합_가정!$R$358*(1-①통합_가정!$D$554)+①통합_가정!$R$359+①통합_가정!$R$360+①통합_가정!$R$361,0)</f>
        <v>0</v>
      </c>
      <c r="AT90" s="37" t="n">
        <f aca="false">IF(AT6=①통합_가정!$E$14,①통합_가정!$R$358*(1-①통합_가정!$D$554)+①통합_가정!$R$359+①통합_가정!$R$360+①통합_가정!$R$361,0)</f>
        <v>0</v>
      </c>
      <c r="AU90" s="37" t="n">
        <f aca="false">IF(AU6=①통합_가정!$E$14,①통합_가정!$R$358*(1-①통합_가정!$D$554)+①통합_가정!$R$359+①통합_가정!$R$360+①통합_가정!$R$361,0)</f>
        <v>0</v>
      </c>
      <c r="AV90" s="37" t="n">
        <f aca="false">IF(AV6=①통합_가정!$E$14,①통합_가정!$R$358*(1-①통합_가정!$D$554)+①통합_가정!$R$359+①통합_가정!$R$360+①통합_가정!$R$361,0)</f>
        <v>0</v>
      </c>
      <c r="AW90" s="37" t="n">
        <f aca="false">IF(AW6=①통합_가정!$E$14,①통합_가정!$R$358*(1-①통합_가정!$D$554)+①통합_가정!$R$359+①통합_가정!$R$360+①통합_가정!$R$361,0)</f>
        <v>0</v>
      </c>
      <c r="AX90" s="37" t="n">
        <f aca="false">IF(AX6=①통합_가정!$E$14,①통합_가정!$R$358*(1-①통합_가정!$D$554)+①통합_가정!$R$359+①통합_가정!$R$360+①통합_가정!$R$361,0)</f>
        <v>0</v>
      </c>
      <c r="AY90" s="37" t="n">
        <f aca="false">IF(AY6=①통합_가정!$E$14,①통합_가정!$R$358*(1-①통합_가정!$D$554)+①통합_가정!$R$359+①통합_가정!$R$360+①통합_가정!$R$361,0)</f>
        <v>0</v>
      </c>
      <c r="AZ90" s="37" t="n">
        <f aca="false">IF(AZ6=①통합_가정!$E$14,①통합_가정!$R$358*(1-①통합_가정!$D$554)+①통합_가정!$R$359+①통합_가정!$R$360+①통합_가정!$R$361,0)</f>
        <v>0</v>
      </c>
      <c r="BA90" s="37" t="n">
        <f aca="false">IF(BA6=①통합_가정!$E$14,①통합_가정!$R$358*(1-①통합_가정!$D$554)+①통합_가정!$R$359+①통합_가정!$R$360+①통합_가정!$R$361,0)</f>
        <v>0</v>
      </c>
      <c r="BB90" s="37" t="n">
        <f aca="false">IF(BB6=①통합_가정!$E$14,①통합_가정!$R$358*(1-①통합_가정!$D$554)+①통합_가정!$R$359+①통합_가정!$R$360+①통합_가정!$R$361,0)</f>
        <v>0</v>
      </c>
      <c r="BC90" s="37" t="n">
        <f aca="false">IF(BC6=①통합_가정!$E$14,①통합_가정!$R$358*(1-①통합_가정!$D$554)+①통합_가정!$R$359+①통합_가정!$R$360+①통합_가정!$R$361,0)</f>
        <v>0</v>
      </c>
      <c r="BD90" s="37" t="n">
        <f aca="false">IF(BD6=①통합_가정!$E$14,①통합_가정!$R$358*(1-①통합_가정!$D$554)+①통합_가정!$R$359+①통합_가정!$R$360+①통합_가정!$R$361,0)</f>
        <v>0</v>
      </c>
      <c r="BE90" s="37" t="n">
        <f aca="false">IF(BE6=①통합_가정!$E$14,①통합_가정!$R$358*(1-①통합_가정!$D$554)+①통합_가정!$R$359+①통합_가정!$R$360+①통합_가정!$R$361,0)</f>
        <v>0</v>
      </c>
      <c r="BF90" s="37" t="n">
        <f aca="false">IF(BF6=①통합_가정!$E$14,①통합_가정!$R$358*(1-①통합_가정!$D$554)+①통합_가정!$R$359+①통합_가정!$R$360+①통합_가정!$R$361,0)</f>
        <v>0</v>
      </c>
      <c r="BG90" s="37" t="n">
        <f aca="false">IF(BG6=①통합_가정!$E$14,①통합_가정!$R$358*(1-①통합_가정!$D$554)+①통합_가정!$R$359+①통합_가정!$R$360+①통합_가정!$R$361,0)</f>
        <v>0</v>
      </c>
      <c r="BH90" s="37" t="n">
        <f aca="false">IF(BH6=①통합_가정!$E$14,①통합_가정!$R$358*(1-①통합_가정!$D$554)+①통합_가정!$R$359+①통합_가정!$R$360+①통합_가정!$R$361,0)</f>
        <v>0</v>
      </c>
      <c r="BI90" s="37" t="n">
        <f aca="false">IF(BI6=①통합_가정!$E$14,①통합_가정!$R$358*(1-①통합_가정!$D$554)+①통합_가정!$R$359+①통합_가정!$R$360+①통합_가정!$R$361,0)</f>
        <v>0</v>
      </c>
      <c r="BJ90" s="37" t="n">
        <f aca="false">IF(BJ6=①통합_가정!$E$14,①통합_가정!$R$358*(1-①통합_가정!$D$554)+①통합_가정!$R$359+①통합_가정!$R$360+①통합_가정!$R$361,0)</f>
        <v>0</v>
      </c>
      <c r="BK90" s="37" t="n">
        <f aca="false">IF(BK6=①통합_가정!$E$14,①통합_가정!$R$358*(1-①통합_가정!$D$554)+①통합_가정!$R$359+①통합_가정!$R$360+①통합_가정!$R$361,0)</f>
        <v>0</v>
      </c>
      <c r="BL90" s="37" t="n">
        <f aca="false">IF(BL6=①통합_가정!$E$14,①통합_가정!$R$358*(1-①통합_가정!$D$554)+①통합_가정!$R$359+①통합_가정!$R$360+①통합_가정!$R$361,0)</f>
        <v>0</v>
      </c>
      <c r="BM90" s="37" t="n">
        <f aca="false">IF(BM6=①통합_가정!$E$14,①통합_가정!$R$358*(1-①통합_가정!$D$554)+①통합_가정!$R$359+①통합_가정!$R$360+①통합_가정!$R$361,0)</f>
        <v>0</v>
      </c>
      <c r="BN90" s="37" t="n">
        <f aca="false">IF(BN6=①통합_가정!$E$14,①통합_가정!$R$358*(1-①통합_가정!$D$554)+①통합_가정!$R$359+①통합_가정!$R$360+①통합_가정!$R$361,0)</f>
        <v>0</v>
      </c>
      <c r="BO90" s="37" t="n">
        <f aca="false">IF(BO6=①통합_가정!$E$14,①통합_가정!$R$358*(1-①통합_가정!$D$554)+①통합_가정!$R$359+①통합_가정!$R$360+①통합_가정!$R$361,0)</f>
        <v>0</v>
      </c>
      <c r="BP90" s="37" t="n">
        <f aca="false">IF(BP6=①통합_가정!$E$14,①통합_가정!$R$358*(1-①통합_가정!$D$554)+①통합_가정!$R$359+①통합_가정!$R$360+①통합_가정!$R$361,0)</f>
        <v>0</v>
      </c>
      <c r="BQ90" s="37" t="n">
        <f aca="false">IF(BQ6=①통합_가정!$E$14,①통합_가정!$R$358*(1-①통합_가정!$D$554)+①통합_가정!$R$359+①통합_가정!$R$360+①통합_가정!$R$361,0)</f>
        <v>0</v>
      </c>
      <c r="BR90" s="37" t="n">
        <f aca="false">IF(BR6=①통합_가정!$E$14,①통합_가정!$R$358*(1-①통합_가정!$D$554)+①통합_가정!$R$359+①통합_가정!$R$360+①통합_가정!$R$361,0)</f>
        <v>0</v>
      </c>
      <c r="BS90" s="37" t="n">
        <f aca="false">IF(BS6=①통합_가정!$E$14,①통합_가정!$R$358*(1-①통합_가정!$D$554)+①통합_가정!$R$359+①통합_가정!$R$360+①통합_가정!$R$361,0)</f>
        <v>0</v>
      </c>
      <c r="BT90" s="37" t="n">
        <f aca="false">IF(BT6=①통합_가정!$E$14,①통합_가정!$R$358*(1-①통합_가정!$D$554)+①통합_가정!$R$359+①통합_가정!$R$360+①통합_가정!$R$361,0)</f>
        <v>0</v>
      </c>
      <c r="BU90" s="37" t="n">
        <f aca="false">IF(BU6=①통합_가정!$E$14,①통합_가정!$R$358*(1-①통합_가정!$D$554)+①통합_가정!$R$359+①통합_가정!$R$360+①통합_가정!$R$361,0)</f>
        <v>0</v>
      </c>
      <c r="BV90" s="37" t="n">
        <f aca="false">IF(BV6=①통합_가정!$E$14,①통합_가정!$R$358*(1-①통합_가정!$D$554)+①통합_가정!$R$359+①통합_가정!$R$360+①통합_가정!$R$361,0)</f>
        <v>0</v>
      </c>
      <c r="BW90" s="37" t="n">
        <f aca="false">IF(BW6=①통합_가정!$E$14,①통합_가정!$R$358*(1-①통합_가정!$D$554)+①통합_가정!$R$359+①통합_가정!$R$360+①통합_가정!$R$361,0)</f>
        <v>0</v>
      </c>
      <c r="BX90" s="37" t="n">
        <f aca="false">IF(BX6=①통합_가정!$E$14,①통합_가정!$R$358*(1-①통합_가정!$D$554)+①통합_가정!$R$359+①통합_가정!$R$360+①통합_가정!$R$361,0)</f>
        <v>0</v>
      </c>
      <c r="BY90" s="37" t="n">
        <f aca="false">IF(BY6=①통합_가정!$E$14,①통합_가정!$R$358*(1-①통합_가정!$D$554)+①통합_가정!$R$359+①통합_가정!$R$360+①통합_가정!$R$361,0)</f>
        <v>0</v>
      </c>
      <c r="BZ90" s="37" t="n">
        <f aca="false">IF(BZ6=①통합_가정!$E$14,①통합_가정!$R$358*(1-①통합_가정!$D$554)+①통합_가정!$R$359+①통합_가정!$R$360+①통합_가정!$R$361,0)</f>
        <v>0</v>
      </c>
      <c r="CA90" s="37" t="n">
        <f aca="false">IF(CA6=①통합_가정!$E$14,①통합_가정!$R$358*(1-①통합_가정!$D$554)+①통합_가정!$R$359+①통합_가정!$R$360+①통합_가정!$R$361,0)</f>
        <v>0</v>
      </c>
      <c r="CB90" s="37" t="n">
        <f aca="false">IF(CB6=①통합_가정!$E$14,①통합_가정!$R$358*(1-①통합_가정!$D$554)+①통합_가정!$R$359+①통합_가정!$R$360+①통합_가정!$R$361,0)</f>
        <v>0</v>
      </c>
      <c r="CC90" s="37" t="n">
        <f aca="false">IF(CC6=①통합_가정!$E$14,①통합_가정!$R$358*(1-①통합_가정!$D$554)+①통합_가정!$R$359+①통합_가정!$R$360+①통합_가정!$R$361,0)</f>
        <v>0</v>
      </c>
      <c r="CD90" s="37" t="n">
        <f aca="false">IF(CD6=①통합_가정!$E$14,①통합_가정!$R$358*(1-①통합_가정!$D$554)+①통합_가정!$R$359+①통합_가정!$R$360+①통합_가정!$R$361,0)</f>
        <v>0</v>
      </c>
      <c r="CE90" s="37" t="n">
        <f aca="false">IF(CE6=①통합_가정!$E$14,①통합_가정!$R$358*(1-①통합_가정!$D$554)+①통합_가정!$R$359+①통합_가정!$R$360+①통합_가정!$R$361,0)</f>
        <v>0</v>
      </c>
      <c r="CF90" s="37" t="n">
        <f aca="false">IF(CF6=①통합_가정!$E$14,①통합_가정!$R$358*(1-①통합_가정!$D$554)+①통합_가정!$R$359+①통합_가정!$R$360+①통합_가정!$R$361,0)</f>
        <v>0</v>
      </c>
      <c r="CG90" s="37" t="n">
        <f aca="false">IF(CG6=①통합_가정!$E$14,①통합_가정!$R$358*(1-①통합_가정!$D$554)+①통합_가정!$R$359+①통합_가정!$R$360+①통합_가정!$R$361,0)</f>
        <v>0</v>
      </c>
      <c r="CH90" s="37" t="n">
        <f aca="false">IF(CH6=①통합_가정!$E$14,①통합_가정!$R$358*(1-①통합_가정!$D$554)+①통합_가정!$R$359+①통합_가정!$R$360+①통합_가정!$R$361,0)</f>
        <v>0</v>
      </c>
      <c r="CI90" s="37" t="n">
        <f aca="false">IF(CI6=①통합_가정!$E$14,①통합_가정!$R$358*(1-①통합_가정!$D$554)+①통합_가정!$R$359+①통합_가정!$R$360+①통합_가정!$R$361,0)</f>
        <v>0</v>
      </c>
      <c r="CJ90" s="37" t="n">
        <f aca="false">IF(CJ6=①통합_가정!$E$14,①통합_가정!$R$358*(1-①통합_가정!$D$554)+①통합_가정!$R$359+①통합_가정!$R$360+①통합_가정!$R$361,0)</f>
        <v>0</v>
      </c>
      <c r="CK90" s="37" t="n">
        <f aca="false">IF(CK6=①통합_가정!$E$14,①통합_가정!$R$358*(1-①통합_가정!$D$554)+①통합_가정!$R$359+①통합_가정!$R$360+①통합_가정!$R$361,0)</f>
        <v>0</v>
      </c>
      <c r="CL90" s="37" t="n">
        <f aca="false">IF(CL6=①통합_가정!$E$14,①통합_가정!$R$358*(1-①통합_가정!$D$554)+①통합_가정!$R$359+①통합_가정!$R$360+①통합_가정!$R$361,0)</f>
        <v>0</v>
      </c>
      <c r="CM90" s="37" t="n">
        <f aca="false">IF(CM6=①통합_가정!$E$14,①통합_가정!$R$358*(1-①통합_가정!$D$554)+①통합_가정!$R$359+①통합_가정!$R$360+①통합_가정!$R$361,0)</f>
        <v>0</v>
      </c>
      <c r="CN90" s="37" t="n">
        <f aca="false">IF(CN6=①통합_가정!$E$14,①통합_가정!$R$358*(1-①통합_가정!$D$554)+①통합_가정!$R$359+①통합_가정!$R$360+①통합_가정!$R$361,0)</f>
        <v>0</v>
      </c>
      <c r="CO90" s="37" t="n">
        <f aca="false">IF(CO6=①통합_가정!$E$14,①통합_가정!$R$358*(1-①통합_가정!$D$554)+①통합_가정!$R$359+①통합_가정!$R$360+①통합_가정!$R$361,0)</f>
        <v>0</v>
      </c>
      <c r="CP90" s="37" t="n">
        <f aca="false">IF(CP6=①통합_가정!$E$14,①통합_가정!$R$358*(1-①통합_가정!$D$554)+①통합_가정!$R$359+①통합_가정!$R$360+①통합_가정!$R$361,0)</f>
        <v>0</v>
      </c>
      <c r="CQ90" s="37" t="n">
        <f aca="false">IF(CQ6=①통합_가정!$E$14,①통합_가정!$R$358*(1-①통합_가정!$D$554)+①통합_가정!$R$359+①통합_가정!$R$360+①통합_가정!$R$361,0)</f>
        <v>0</v>
      </c>
      <c r="CR90" s="37" t="n">
        <f aca="false">IF(CR6=①통합_가정!$E$14,①통합_가정!$R$358*(1-①통합_가정!$D$554)+①통합_가정!$R$359+①통합_가정!$R$360+①통합_가정!$R$361,0)</f>
        <v>0</v>
      </c>
      <c r="CS90" s="37" t="n">
        <f aca="false">IF(CS6=①통합_가정!$E$14,①통합_가정!$R$358*(1-①통합_가정!$D$554)+①통합_가정!$R$359+①통합_가정!$R$360+①통합_가정!$R$361,0)</f>
        <v>0</v>
      </c>
      <c r="CT90" s="37" t="n">
        <f aca="false">IF(CT6=①통합_가정!$E$14,①통합_가정!$R$358*(1-①통합_가정!$D$554)+①통합_가정!$R$359+①통합_가정!$R$360+①통합_가정!$R$361,0)</f>
        <v>0</v>
      </c>
      <c r="CU90" s="37" t="n">
        <f aca="false">IF(CU6=①통합_가정!$E$14,①통합_가정!$R$358*(1-①통합_가정!$D$554)+①통합_가정!$R$359+①통합_가정!$R$360+①통합_가정!$R$361,0)</f>
        <v>0</v>
      </c>
      <c r="CV90" s="37" t="n">
        <f aca="false">IF(CV6=①통합_가정!$E$14,①통합_가정!$R$358*(1-①통합_가정!$D$554)+①통합_가정!$R$359+①통합_가정!$R$360+①통합_가정!$R$361,0)</f>
        <v>0</v>
      </c>
      <c r="CW90" s="37" t="n">
        <f aca="false">IF(CW6=①통합_가정!$E$14,①통합_가정!$R$358*(1-①통합_가정!$D$554)+①통합_가정!$R$359+①통합_가정!$R$360+①통합_가정!$R$361,0)</f>
        <v>0</v>
      </c>
      <c r="CX90" s="37" t="n">
        <f aca="false">IF(CX6=①통합_가정!$E$14,①통합_가정!$R$358*(1-①통합_가정!$D$554)+①통합_가정!$R$359+①통합_가정!$R$360+①통합_가정!$R$361,0)</f>
        <v>0</v>
      </c>
      <c r="CY90" s="37" t="n">
        <f aca="false">IF(CY6=①통합_가정!$E$14,①통합_가정!$R$358*(1-①통합_가정!$D$554)+①통합_가정!$R$359+①통합_가정!$R$360+①통합_가정!$R$361,0)</f>
        <v>0</v>
      </c>
      <c r="CZ90" s="37" t="n">
        <f aca="false">IF(CZ6=①통합_가정!$E$14,①통합_가정!$R$358*(1-①통합_가정!$D$554)+①통합_가정!$R$359+①통합_가정!$R$360+①통합_가정!$R$361,0)</f>
        <v>0</v>
      </c>
      <c r="DA90" s="37" t="n">
        <f aca="false">IF(DA6=①통합_가정!$E$14,①통합_가정!$R$358*(1-①통합_가정!$D$554)+①통합_가정!$R$359+①통합_가정!$R$360+①통합_가정!$R$361,0)</f>
        <v>0</v>
      </c>
      <c r="DB90" s="37" t="n">
        <f aca="false">IF(DB6=①통합_가정!$E$14,①통합_가정!$R$358*(1-①통합_가정!$D$554)+①통합_가정!$R$359+①통합_가정!$R$360+①통합_가정!$R$361,0)</f>
        <v>0</v>
      </c>
      <c r="DC90" s="37" t="n">
        <f aca="false">IF(DC6=①통합_가정!$E$14,①통합_가정!$R$358*(1-①통합_가정!$D$554)+①통합_가정!$R$359+①통합_가정!$R$360+①통합_가정!$R$361,0)</f>
        <v>0</v>
      </c>
      <c r="DD90" s="37" t="n">
        <f aca="false">IF(DD6=①통합_가정!$E$14,①통합_가정!$R$358*(1-①통합_가정!$D$554)+①통합_가정!$R$359+①통합_가정!$R$360+①통합_가정!$R$361,0)</f>
        <v>0</v>
      </c>
      <c r="DE90" s="37" t="n">
        <f aca="false">IF(DE6=①통합_가정!$E$14,①통합_가정!$R$358*(1-①통합_가정!$D$554)+①통합_가정!$R$359+①통합_가정!$R$360+①통합_가정!$R$361,0)</f>
        <v>0</v>
      </c>
      <c r="DF90" s="37" t="n">
        <f aca="false">IF(DF6=①통합_가정!$E$14,①통합_가정!$R$358*(1-①통합_가정!$D$554)+①통합_가정!$R$359+①통합_가정!$R$360+①통합_가정!$R$361,0)</f>
        <v>0</v>
      </c>
      <c r="DG90" s="37" t="n">
        <f aca="false">IF(DG6=①통합_가정!$E$14,①통합_가정!$R$358*(1-①통합_가정!$D$554)+①통합_가정!$R$359+①통합_가정!$R$360+①통합_가정!$R$361,0)</f>
        <v>0</v>
      </c>
      <c r="DH90" s="37" t="n">
        <f aca="false">IF(DH6=①통합_가정!$E$14,①통합_가정!$R$358*(1-①통합_가정!$D$554)+①통합_가정!$R$359+①통합_가정!$R$360+①통합_가정!$R$361,0)</f>
        <v>0</v>
      </c>
      <c r="DI90" s="37" t="n">
        <f aca="false">IF(DI6=①통합_가정!$E$14,①통합_가정!$R$358*(1-①통합_가정!$D$554)+①통합_가정!$R$359+①통합_가정!$R$360+①통합_가정!$R$361,0)</f>
        <v>0</v>
      </c>
      <c r="DJ90" s="37" t="n">
        <f aca="false">IF(DJ6=①통합_가정!$E$14,①통합_가정!$R$358*(1-①통합_가정!$D$554)+①통합_가정!$R$359+①통합_가정!$R$360+①통합_가정!$R$361,0)</f>
        <v>0</v>
      </c>
      <c r="DK90" s="37" t="n">
        <f aca="false">IF(DK6=①통합_가정!$E$14,①통합_가정!$R$358*(1-①통합_가정!$D$554)+①통합_가정!$R$359+①통합_가정!$R$360+①통합_가정!$R$361,0)</f>
        <v>0</v>
      </c>
      <c r="DL90" s="37" t="n">
        <f aca="false">IF(DL6=①통합_가정!$E$14,①통합_가정!$R$358*(1-①통합_가정!$D$554)+①통합_가정!$R$359+①통합_가정!$R$360+①통합_가정!$R$361,0)</f>
        <v>0</v>
      </c>
      <c r="DM90" s="37" t="n">
        <f aca="false">IF(DM6=①통합_가정!$E$14,①통합_가정!$R$358*(1-①통합_가정!$D$554)+①통합_가정!$R$359+①통합_가정!$R$360+①통합_가정!$R$361,0)</f>
        <v>0</v>
      </c>
      <c r="DN90" s="37" t="n">
        <f aca="false">IF(DN6=①통합_가정!$E$14,①통합_가정!$R$358*(1-①통합_가정!$D$554)+①통합_가정!$R$359+①통합_가정!$R$360+①통합_가정!$R$361,0)</f>
        <v>0</v>
      </c>
      <c r="DO90" s="37" t="n">
        <f aca="false">IF(DO6=①통합_가정!$E$14,①통합_가정!$R$358*(1-①통합_가정!$D$554)+①통합_가정!$R$359+①통합_가정!$R$360+①통합_가정!$R$361,0)</f>
        <v>0</v>
      </c>
      <c r="DP90" s="37" t="n">
        <f aca="false">IF(DP6=①통합_가정!$E$14,①통합_가정!$R$358*(1-①통합_가정!$D$554)+①통합_가정!$R$359+①통합_가정!$R$360+①통합_가정!$R$361,0)</f>
        <v>0</v>
      </c>
      <c r="DQ90" s="37" t="n">
        <f aca="false">IF(DQ6=①통합_가정!$E$14,①통합_가정!$R$358*(1-①통합_가정!$D$554)+①통합_가정!$R$359+①통합_가정!$R$360+①통합_가정!$R$361,0)</f>
        <v>0</v>
      </c>
      <c r="DR90" s="37" t="n">
        <f aca="false">IF(DR6=①통합_가정!$E$14,①통합_가정!$R$358*(1-①통합_가정!$D$554)+①통합_가정!$R$359+①통합_가정!$R$360+①통합_가정!$R$361,0)</f>
        <v>0</v>
      </c>
      <c r="DS90" s="37" t="n">
        <f aca="false">IF(DS6=①통합_가정!$E$14,①통합_가정!$R$358*(1-①통합_가정!$D$554)+①통합_가정!$R$359+①통합_가정!$R$360+①통합_가정!$R$361,0)</f>
        <v>0</v>
      </c>
      <c r="DT90" s="37" t="n">
        <f aca="false">IF(DT6=①통합_가정!$E$14,①통합_가정!$R$358*(1-①통합_가정!$D$554)+①통합_가정!$R$359+①통합_가정!$R$360+①통합_가정!$R$361,0)</f>
        <v>0</v>
      </c>
      <c r="DU90" s="37" t="n">
        <f aca="false">IF(DU6=①통합_가정!$E$14,①통합_가정!$R$358*(1-①통합_가정!$D$554)+①통합_가정!$R$359+①통합_가정!$R$360+①통합_가정!$R$361,0)</f>
        <v>0</v>
      </c>
      <c r="DV90" s="37" t="n">
        <f aca="false">IF(DV6=①통합_가정!$E$14,①통합_가정!$R$358*(1-①통합_가정!$D$554)+①통합_가정!$R$359+①통합_가정!$R$360+①통합_가정!$R$361,0)</f>
        <v>0</v>
      </c>
      <c r="DW90" s="37" t="n">
        <f aca="false">IF(DW6=①통합_가정!$E$14,①통합_가정!$R$358*(1-①통합_가정!$D$554)+①통합_가정!$R$359+①통합_가정!$R$360+①통합_가정!$R$361,0)</f>
        <v>0</v>
      </c>
      <c r="DX90" s="37" t="n">
        <f aca="false">IF(DX6=①통합_가정!$E$14,①통합_가정!$R$358*(1-①통합_가정!$D$554)+①통합_가정!$R$359+①통합_가정!$R$360+①통합_가정!$R$361,0)</f>
        <v>0</v>
      </c>
      <c r="DY90" s="37" t="n">
        <f aca="false">IF(DY6=①통합_가정!$E$14,①통합_가정!$R$358*(1-①통합_가정!$D$554)+①통합_가정!$R$359+①통합_가정!$R$360+①통합_가정!$R$361,0)</f>
        <v>0</v>
      </c>
      <c r="DZ90" s="37" t="n">
        <f aca="false">IF(DZ6=①통합_가정!$E$14,①통합_가정!$R$358*(1-①통합_가정!$D$554)+①통합_가정!$R$359+①통합_가정!$R$360+①통합_가정!$R$361,0)</f>
        <v>0</v>
      </c>
      <c r="EA90" s="37" t="n">
        <f aca="false">IF(EA6=①통합_가정!$E$14,①통합_가정!$R$358*(1-①통합_가정!$D$554)+①통합_가정!$R$359+①통합_가정!$R$360+①통합_가정!$R$361,0)</f>
        <v>0</v>
      </c>
      <c r="EB90" s="37" t="n">
        <f aca="false">IF(EB6=①통합_가정!$E$14,①통합_가정!$R$358*(1-①통합_가정!$D$554)+①통합_가정!$R$359+①통합_가정!$R$360+①통합_가정!$R$361,0)</f>
        <v>0</v>
      </c>
      <c r="EC90" s="37" t="n">
        <f aca="false">IF(EC6=①통합_가정!$E$14,①통합_가정!$R$358*(1-①통합_가정!$D$554)+①통합_가정!$R$359+①통합_가정!$R$360+①통합_가정!$R$361,0)</f>
        <v>0</v>
      </c>
      <c r="ED90" s="37" t="n">
        <f aca="false">IF(ED6=①통합_가정!$E$14,①통합_가정!$R$358*(1-①통합_가정!$D$554)+①통합_가정!$R$359+①통합_가정!$R$360+①통합_가정!$R$361,0)</f>
        <v>0</v>
      </c>
      <c r="EE90" s="37" t="n">
        <f aca="false">IF(EE6=①통합_가정!$E$14,①통합_가정!$R$358*(1-①통합_가정!$D$554)+①통합_가정!$R$359+①통합_가정!$R$360+①통합_가정!$R$361,0)</f>
        <v>0</v>
      </c>
      <c r="EF90" s="37" t="n">
        <f aca="false">IF(EF6=①통합_가정!$E$14,①통합_가정!$R$358*(1-①통합_가정!$D$554)+①통합_가정!$R$359+①통합_가정!$R$360+①통합_가정!$R$361,0)</f>
        <v>0</v>
      </c>
    </row>
    <row r="91" customFormat="false" ht="15" hidden="false" customHeight="false" outlineLevel="0" collapsed="false">
      <c r="A91" s="36" t="s">
        <v>632</v>
      </c>
      <c r="B91" s="278" t="s">
        <v>21</v>
      </c>
      <c r="C91" s="279" t="n">
        <f aca="false">SUM(E91:EF91)</f>
        <v>5324</v>
      </c>
      <c r="E91" s="37" t="n">
        <f aca="false">E11*①통합_가정!$R$362/①통합_가정!$E$15</f>
        <v>0</v>
      </c>
      <c r="F91" s="37" t="n">
        <f aca="false">F11*①통합_가정!$R$362/①통합_가정!$E$15</f>
        <v>0</v>
      </c>
      <c r="G91" s="37" t="n">
        <f aca="false">G11*①통합_가정!$R$362/①통합_가정!$E$15</f>
        <v>0</v>
      </c>
      <c r="H91" s="37" t="n">
        <f aca="false">H11*①통합_가정!$R$362/①통합_가정!$E$15</f>
        <v>0</v>
      </c>
      <c r="I91" s="37" t="n">
        <f aca="false">I11*①통합_가정!$R$362/①통합_가정!$E$15</f>
        <v>0</v>
      </c>
      <c r="J91" s="37" t="n">
        <f aca="false">J11*①통합_가정!$R$362/①통합_가정!$E$15</f>
        <v>0</v>
      </c>
      <c r="K91" s="37" t="n">
        <f aca="false">K11*①통합_가정!$R$362/①통합_가정!$E$15</f>
        <v>0</v>
      </c>
      <c r="L91" s="37" t="n">
        <f aca="false">L11*①통합_가정!$R$362/①통합_가정!$E$15</f>
        <v>0</v>
      </c>
      <c r="M91" s="37" t="n">
        <f aca="false">M11*①통합_가정!$R$362/①통합_가정!$E$15</f>
        <v>0</v>
      </c>
      <c r="N91" s="37" t="n">
        <f aca="false">N11*①통합_가정!$R$362/①통합_가정!$E$15</f>
        <v>0</v>
      </c>
      <c r="O91" s="37" t="n">
        <f aca="false">O11*①통합_가정!$R$362/①통합_가정!$E$15</f>
        <v>0</v>
      </c>
      <c r="P91" s="37" t="n">
        <f aca="false">P11*①통합_가정!$R$362/①통합_가정!$E$15</f>
        <v>0</v>
      </c>
      <c r="Q91" s="37" t="n">
        <f aca="false">Q11*①통합_가정!$R$362/①통합_가정!$E$15</f>
        <v>0</v>
      </c>
      <c r="R91" s="37" t="n">
        <f aca="false">R11*①통합_가정!$R$362/①통합_가정!$E$15</f>
        <v>0</v>
      </c>
      <c r="S91" s="37" t="n">
        <f aca="false">S11*①통합_가정!$R$362/①통합_가정!$E$15</f>
        <v>0</v>
      </c>
      <c r="T91" s="37" t="n">
        <f aca="false">T11*①통합_가정!$R$362/①통합_가정!$E$15</f>
        <v>0</v>
      </c>
      <c r="U91" s="37" t="n">
        <f aca="false">U11*①통합_가정!$R$362/①통합_가정!$E$15</f>
        <v>0</v>
      </c>
      <c r="V91" s="37" t="n">
        <f aca="false">V11*①통합_가정!$R$362/①통합_가정!$E$15</f>
        <v>0</v>
      </c>
      <c r="W91" s="37" t="n">
        <f aca="false">W11*①통합_가정!$R$362/①통합_가정!$E$15</f>
        <v>126.761904761905</v>
      </c>
      <c r="X91" s="37" t="n">
        <f aca="false">X11*①통합_가정!$R$362/①통합_가정!$E$15</f>
        <v>126.761904761905</v>
      </c>
      <c r="Y91" s="37" t="n">
        <f aca="false">Y11*①통합_가정!$R$362/①통합_가정!$E$15</f>
        <v>126.761904761905</v>
      </c>
      <c r="Z91" s="37" t="n">
        <f aca="false">Z11*①통합_가정!$R$362/①통합_가정!$E$15</f>
        <v>126.761904761905</v>
      </c>
      <c r="AA91" s="37" t="n">
        <f aca="false">AA11*①통합_가정!$R$362/①통합_가정!$E$15</f>
        <v>126.761904761905</v>
      </c>
      <c r="AB91" s="37" t="n">
        <f aca="false">AB11*①통합_가정!$R$362/①통합_가정!$E$15</f>
        <v>126.761904761905</v>
      </c>
      <c r="AC91" s="37" t="n">
        <f aca="false">AC11*①통합_가정!$R$362/①통합_가정!$E$15</f>
        <v>126.761904761905</v>
      </c>
      <c r="AD91" s="37" t="n">
        <f aca="false">AD11*①통합_가정!$R$362/①통합_가정!$E$15</f>
        <v>126.761904761905</v>
      </c>
      <c r="AE91" s="37" t="n">
        <f aca="false">AE11*①통합_가정!$R$362/①통합_가정!$E$15</f>
        <v>126.761904761905</v>
      </c>
      <c r="AF91" s="37" t="n">
        <f aca="false">AF11*①통합_가정!$R$362/①통합_가정!$E$15</f>
        <v>126.761904761905</v>
      </c>
      <c r="AG91" s="37" t="n">
        <f aca="false">AG11*①통합_가정!$R$362/①통합_가정!$E$15</f>
        <v>126.761904761905</v>
      </c>
      <c r="AH91" s="37" t="n">
        <f aca="false">AH11*①통합_가정!$R$362/①통합_가정!$E$15</f>
        <v>126.761904761905</v>
      </c>
      <c r="AI91" s="37" t="n">
        <f aca="false">AI11*①통합_가정!$R$362/①통합_가정!$E$15</f>
        <v>126.761904761905</v>
      </c>
      <c r="AJ91" s="37" t="n">
        <f aca="false">AJ11*①통합_가정!$R$362/①통합_가정!$E$15</f>
        <v>126.761904761905</v>
      </c>
      <c r="AK91" s="37" t="n">
        <f aca="false">AK11*①통합_가정!$R$362/①통합_가정!$E$15</f>
        <v>126.761904761905</v>
      </c>
      <c r="AL91" s="37" t="n">
        <f aca="false">AL11*①통합_가정!$R$362/①통합_가정!$E$15</f>
        <v>126.761904761905</v>
      </c>
      <c r="AM91" s="37" t="n">
        <f aca="false">AM11*①통합_가정!$R$362/①통합_가정!$E$15</f>
        <v>126.761904761905</v>
      </c>
      <c r="AN91" s="37" t="n">
        <f aca="false">AN11*①통합_가정!$R$362/①통합_가정!$E$15</f>
        <v>126.761904761905</v>
      </c>
      <c r="AO91" s="37" t="n">
        <f aca="false">AO11*①통합_가정!$R$362/①통합_가정!$E$15</f>
        <v>126.761904761905</v>
      </c>
      <c r="AP91" s="37" t="n">
        <f aca="false">AP11*①통합_가정!$R$362/①통합_가정!$E$15</f>
        <v>126.761904761905</v>
      </c>
      <c r="AQ91" s="37" t="n">
        <f aca="false">AQ11*①통합_가정!$R$362/①통합_가정!$E$15</f>
        <v>126.761904761905</v>
      </c>
      <c r="AR91" s="37" t="n">
        <f aca="false">AR11*①통합_가정!$R$362/①통합_가정!$E$15</f>
        <v>126.761904761905</v>
      </c>
      <c r="AS91" s="37" t="n">
        <f aca="false">AS11*①통합_가정!$R$362/①통합_가정!$E$15</f>
        <v>126.761904761905</v>
      </c>
      <c r="AT91" s="37" t="n">
        <f aca="false">AT11*①통합_가정!$R$362/①통합_가정!$E$15</f>
        <v>126.761904761905</v>
      </c>
      <c r="AU91" s="37" t="n">
        <f aca="false">AU11*①통합_가정!$R$362/①통합_가정!$E$15</f>
        <v>126.761904761905</v>
      </c>
      <c r="AV91" s="37" t="n">
        <f aca="false">AV11*①통합_가정!$R$362/①통합_가정!$E$15</f>
        <v>126.761904761905</v>
      </c>
      <c r="AW91" s="37" t="n">
        <f aca="false">AW11*①통합_가정!$R$362/①통합_가정!$E$15</f>
        <v>126.761904761905</v>
      </c>
      <c r="AX91" s="37" t="n">
        <f aca="false">AX11*①통합_가정!$R$362/①통합_가정!$E$15</f>
        <v>126.761904761905</v>
      </c>
      <c r="AY91" s="37" t="n">
        <f aca="false">AY11*①통합_가정!$R$362/①통합_가정!$E$15</f>
        <v>126.761904761905</v>
      </c>
      <c r="AZ91" s="37" t="n">
        <f aca="false">AZ11*①통합_가정!$R$362/①통합_가정!$E$15</f>
        <v>126.761904761905</v>
      </c>
      <c r="BA91" s="37" t="n">
        <f aca="false">BA11*①통합_가정!$R$362/①통합_가정!$E$15</f>
        <v>126.761904761905</v>
      </c>
      <c r="BB91" s="37" t="n">
        <f aca="false">BB11*①통합_가정!$R$362/①통합_가정!$E$15</f>
        <v>126.761904761905</v>
      </c>
      <c r="BC91" s="37" t="n">
        <f aca="false">BC11*①통합_가정!$R$362/①통합_가정!$E$15</f>
        <v>126.761904761905</v>
      </c>
      <c r="BD91" s="37" t="n">
        <f aca="false">BD11*①통합_가정!$R$362/①통합_가정!$E$15</f>
        <v>126.761904761905</v>
      </c>
      <c r="BE91" s="37" t="n">
        <f aca="false">BE11*①통합_가정!$R$362/①통합_가정!$E$15</f>
        <v>126.761904761905</v>
      </c>
      <c r="BF91" s="37" t="n">
        <f aca="false">BF11*①통합_가정!$R$362/①통합_가정!$E$15</f>
        <v>126.761904761905</v>
      </c>
      <c r="BG91" s="37" t="n">
        <f aca="false">BG11*①통합_가정!$R$362/①통합_가정!$E$15</f>
        <v>126.761904761905</v>
      </c>
      <c r="BH91" s="37" t="n">
        <f aca="false">BH11*①통합_가정!$R$362/①통합_가정!$E$15</f>
        <v>126.761904761905</v>
      </c>
      <c r="BI91" s="37" t="n">
        <f aca="false">BI11*①통합_가정!$R$362/①통합_가정!$E$15</f>
        <v>126.761904761905</v>
      </c>
      <c r="BJ91" s="37" t="n">
        <f aca="false">BJ11*①통합_가정!$R$362/①통합_가정!$E$15</f>
        <v>126.761904761905</v>
      </c>
      <c r="BK91" s="37" t="n">
        <f aca="false">BK11*①통합_가정!$R$362/①통합_가정!$E$15</f>
        <v>126.761904761905</v>
      </c>
      <c r="BL91" s="37" t="n">
        <f aca="false">BL11*①통합_가정!$R$362/①통합_가정!$E$15</f>
        <v>126.761904761905</v>
      </c>
      <c r="BM91" s="37" t="n">
        <f aca="false">BM11*①통합_가정!$R$362/①통합_가정!$E$15</f>
        <v>0</v>
      </c>
      <c r="BN91" s="37" t="n">
        <f aca="false">BN11*①통합_가정!$R$362/①통합_가정!$E$15</f>
        <v>0</v>
      </c>
      <c r="BO91" s="37" t="n">
        <f aca="false">BO11*①통합_가정!$R$362/①통합_가정!$E$15</f>
        <v>0</v>
      </c>
      <c r="BP91" s="37" t="n">
        <f aca="false">BP11*①통합_가정!$R$362/①통합_가정!$E$15</f>
        <v>0</v>
      </c>
      <c r="BQ91" s="37" t="n">
        <f aca="false">BQ11*①통합_가정!$R$362/①통합_가정!$E$15</f>
        <v>0</v>
      </c>
      <c r="BR91" s="37" t="n">
        <f aca="false">BR11*①통합_가정!$R$362/①통합_가정!$E$15</f>
        <v>0</v>
      </c>
      <c r="BS91" s="37" t="n">
        <f aca="false">BS11*①통합_가정!$R$362/①통합_가정!$E$15</f>
        <v>0</v>
      </c>
      <c r="BT91" s="37" t="n">
        <f aca="false">BT11*①통합_가정!$R$362/①통합_가정!$E$15</f>
        <v>0</v>
      </c>
      <c r="BU91" s="37" t="n">
        <f aca="false">BU11*①통합_가정!$R$362/①통합_가정!$E$15</f>
        <v>0</v>
      </c>
      <c r="BV91" s="37" t="n">
        <f aca="false">BV11*①통합_가정!$R$362/①통합_가정!$E$15</f>
        <v>0</v>
      </c>
      <c r="BW91" s="37" t="n">
        <f aca="false">BW11*①통합_가정!$R$362/①통합_가정!$E$15</f>
        <v>0</v>
      </c>
      <c r="BX91" s="37" t="n">
        <f aca="false">BX11*①통합_가정!$R$362/①통합_가정!$E$15</f>
        <v>0</v>
      </c>
      <c r="BY91" s="37" t="n">
        <f aca="false">BY11*①통합_가정!$R$362/①통합_가정!$E$15</f>
        <v>0</v>
      </c>
      <c r="BZ91" s="37" t="n">
        <f aca="false">BZ11*①통합_가정!$R$362/①통합_가정!$E$15</f>
        <v>0</v>
      </c>
      <c r="CA91" s="37" t="n">
        <f aca="false">CA11*①통합_가정!$R$362/①통합_가정!$E$15</f>
        <v>0</v>
      </c>
      <c r="CB91" s="37" t="n">
        <f aca="false">CB11*①통합_가정!$R$362/①통합_가정!$E$15</f>
        <v>0</v>
      </c>
      <c r="CC91" s="37" t="n">
        <f aca="false">CC11*①통합_가정!$R$362/①통합_가정!$E$15</f>
        <v>0</v>
      </c>
      <c r="CD91" s="37" t="n">
        <f aca="false">CD11*①통합_가정!$R$362/①통합_가정!$E$15</f>
        <v>0</v>
      </c>
      <c r="CE91" s="37" t="n">
        <f aca="false">CE11*①통합_가정!$R$362/①통합_가정!$E$15</f>
        <v>0</v>
      </c>
      <c r="CF91" s="37" t="n">
        <f aca="false">CF11*①통합_가정!$R$362/①통합_가정!$E$15</f>
        <v>0</v>
      </c>
      <c r="CG91" s="37" t="n">
        <f aca="false">CG11*①통합_가정!$R$362/①통합_가정!$E$15</f>
        <v>0</v>
      </c>
      <c r="CH91" s="37" t="n">
        <f aca="false">CH11*①통합_가정!$R$362/①통합_가정!$E$15</f>
        <v>0</v>
      </c>
      <c r="CI91" s="37" t="n">
        <f aca="false">CI11*①통합_가정!$R$362/①통합_가정!$E$15</f>
        <v>0</v>
      </c>
      <c r="CJ91" s="37" t="n">
        <f aca="false">CJ11*①통합_가정!$R$362/①통합_가정!$E$15</f>
        <v>0</v>
      </c>
      <c r="CK91" s="37" t="n">
        <f aca="false">CK11*①통합_가정!$R$362/①통합_가정!$E$15</f>
        <v>0</v>
      </c>
      <c r="CL91" s="37" t="n">
        <f aca="false">CL11*①통합_가정!$R$362/①통합_가정!$E$15</f>
        <v>0</v>
      </c>
      <c r="CM91" s="37" t="n">
        <f aca="false">CM11*①통합_가정!$R$362/①통합_가정!$E$15</f>
        <v>0</v>
      </c>
      <c r="CN91" s="37" t="n">
        <f aca="false">CN11*①통합_가정!$R$362/①통합_가정!$E$15</f>
        <v>0</v>
      </c>
      <c r="CO91" s="37" t="n">
        <f aca="false">CO11*①통합_가정!$R$362/①통합_가정!$E$15</f>
        <v>0</v>
      </c>
      <c r="CP91" s="37" t="n">
        <f aca="false">CP11*①통합_가정!$R$362/①통합_가정!$E$15</f>
        <v>0</v>
      </c>
      <c r="CQ91" s="37" t="n">
        <f aca="false">CQ11*①통합_가정!$R$362/①통합_가정!$E$15</f>
        <v>0</v>
      </c>
      <c r="CR91" s="37" t="n">
        <f aca="false">CR11*①통합_가정!$R$362/①통합_가정!$E$15</f>
        <v>0</v>
      </c>
      <c r="CS91" s="37" t="n">
        <f aca="false">CS11*①통합_가정!$R$362/①통합_가정!$E$15</f>
        <v>0</v>
      </c>
      <c r="CT91" s="37" t="n">
        <f aca="false">CT11*①통합_가정!$R$362/①통합_가정!$E$15</f>
        <v>0</v>
      </c>
      <c r="CU91" s="37" t="n">
        <f aca="false">CU11*①통합_가정!$R$362/①통합_가정!$E$15</f>
        <v>0</v>
      </c>
      <c r="CV91" s="37" t="n">
        <f aca="false">CV11*①통합_가정!$R$362/①통합_가정!$E$15</f>
        <v>0</v>
      </c>
      <c r="CW91" s="37" t="n">
        <f aca="false">CW11*①통합_가정!$R$362/①통합_가정!$E$15</f>
        <v>0</v>
      </c>
      <c r="CX91" s="37" t="n">
        <f aca="false">CX11*①통합_가정!$R$362/①통합_가정!$E$15</f>
        <v>0</v>
      </c>
      <c r="CY91" s="37" t="n">
        <f aca="false">CY11*①통합_가정!$R$362/①통합_가정!$E$15</f>
        <v>0</v>
      </c>
      <c r="CZ91" s="37" t="n">
        <f aca="false">CZ11*①통합_가정!$R$362/①통합_가정!$E$15</f>
        <v>0</v>
      </c>
      <c r="DA91" s="37" t="n">
        <f aca="false">DA11*①통합_가정!$R$362/①통합_가정!$E$15</f>
        <v>0</v>
      </c>
      <c r="DB91" s="37" t="n">
        <f aca="false">DB11*①통합_가정!$R$362/①통합_가정!$E$15</f>
        <v>0</v>
      </c>
      <c r="DC91" s="37" t="n">
        <f aca="false">DC11*①통합_가정!$R$362/①통합_가정!$E$15</f>
        <v>0</v>
      </c>
      <c r="DD91" s="37" t="n">
        <f aca="false">DD11*①통합_가정!$R$362/①통합_가정!$E$15</f>
        <v>0</v>
      </c>
      <c r="DE91" s="37" t="n">
        <f aca="false">DE11*①통합_가정!$R$362/①통합_가정!$E$15</f>
        <v>0</v>
      </c>
      <c r="DF91" s="37" t="n">
        <f aca="false">DF11*①통합_가정!$R$362/①통합_가정!$E$15</f>
        <v>0</v>
      </c>
      <c r="DG91" s="37" t="n">
        <f aca="false">DG11*①통합_가정!$R$362/①통합_가정!$E$15</f>
        <v>0</v>
      </c>
      <c r="DH91" s="37" t="n">
        <f aca="false">DH11*①통합_가정!$R$362/①통합_가정!$E$15</f>
        <v>0</v>
      </c>
      <c r="DI91" s="37" t="n">
        <f aca="false">DI11*①통합_가정!$R$362/①통합_가정!$E$15</f>
        <v>0</v>
      </c>
      <c r="DJ91" s="37" t="n">
        <f aca="false">DJ11*①통합_가정!$R$362/①통합_가정!$E$15</f>
        <v>0</v>
      </c>
      <c r="DK91" s="37" t="n">
        <f aca="false">DK11*①통합_가정!$R$362/①통합_가정!$E$15</f>
        <v>0</v>
      </c>
      <c r="DL91" s="37" t="n">
        <f aca="false">DL11*①통합_가정!$R$362/①통합_가정!$E$15</f>
        <v>0</v>
      </c>
      <c r="DM91" s="37" t="n">
        <f aca="false">DM11*①통합_가정!$R$362/①통합_가정!$E$15</f>
        <v>0</v>
      </c>
      <c r="DN91" s="37" t="n">
        <f aca="false">DN11*①통합_가정!$R$362/①통합_가정!$E$15</f>
        <v>0</v>
      </c>
      <c r="DO91" s="37" t="n">
        <f aca="false">DO11*①통합_가정!$R$362/①통합_가정!$E$15</f>
        <v>0</v>
      </c>
      <c r="DP91" s="37" t="n">
        <f aca="false">DP11*①통합_가정!$R$362/①통합_가정!$E$15</f>
        <v>0</v>
      </c>
      <c r="DQ91" s="37" t="n">
        <f aca="false">DQ11*①통합_가정!$R$362/①통합_가정!$E$15</f>
        <v>0</v>
      </c>
      <c r="DR91" s="37" t="n">
        <f aca="false">DR11*①통합_가정!$R$362/①통합_가정!$E$15</f>
        <v>0</v>
      </c>
      <c r="DS91" s="37" t="n">
        <f aca="false">DS11*①통합_가정!$R$362/①통합_가정!$E$15</f>
        <v>0</v>
      </c>
      <c r="DT91" s="37" t="n">
        <f aca="false">DT11*①통합_가정!$R$362/①통합_가정!$E$15</f>
        <v>0</v>
      </c>
      <c r="DU91" s="37" t="n">
        <f aca="false">DU11*①통합_가정!$R$362/①통합_가정!$E$15</f>
        <v>0</v>
      </c>
      <c r="DV91" s="37" t="n">
        <f aca="false">DV11*①통합_가정!$R$362/①통합_가정!$E$15</f>
        <v>0</v>
      </c>
      <c r="DW91" s="37" t="n">
        <f aca="false">DW11*①통합_가정!$R$362/①통합_가정!$E$15</f>
        <v>0</v>
      </c>
      <c r="DX91" s="37" t="n">
        <f aca="false">DX11*①통합_가정!$R$362/①통합_가정!$E$15</f>
        <v>0</v>
      </c>
      <c r="DY91" s="37" t="n">
        <f aca="false">DY11*①통합_가정!$R$362/①통합_가정!$E$15</f>
        <v>0</v>
      </c>
      <c r="DZ91" s="37" t="n">
        <f aca="false">DZ11*①통합_가정!$R$362/①통합_가정!$E$15</f>
        <v>0</v>
      </c>
      <c r="EA91" s="37" t="n">
        <f aca="false">EA11*①통합_가정!$R$362/①통합_가정!$E$15</f>
        <v>0</v>
      </c>
      <c r="EB91" s="37" t="n">
        <f aca="false">EB11*①통합_가정!$R$362/①통합_가정!$E$15</f>
        <v>0</v>
      </c>
      <c r="EC91" s="37" t="n">
        <f aca="false">EC11*①통합_가정!$R$362/①통합_가정!$E$15</f>
        <v>0</v>
      </c>
      <c r="ED91" s="37" t="n">
        <f aca="false">ED11*①통합_가정!$R$362/①통합_가정!$E$15</f>
        <v>0</v>
      </c>
      <c r="EE91" s="37" t="n">
        <f aca="false">EE11*①통합_가정!$R$362/①통합_가정!$E$15</f>
        <v>0</v>
      </c>
      <c r="EF91" s="37" t="n">
        <f aca="false">EF11*①통합_가정!$R$362/①통합_가정!$E$15</f>
        <v>0</v>
      </c>
    </row>
    <row r="92" customFormat="false" ht="15" hidden="false" customHeight="false" outlineLevel="0" collapsed="false">
      <c r="A92" s="36" t="s">
        <v>633</v>
      </c>
      <c r="B92" s="278" t="s">
        <v>21</v>
      </c>
      <c r="C92" s="279" t="n">
        <f aca="false">SUM(E92:EF92)</f>
        <v>554609.172934095</v>
      </c>
      <c r="E92" s="37" t="n">
        <f aca="false">E13*(①통합_가정!$R$367-①통합_가정!$E$433)</f>
        <v>0</v>
      </c>
      <c r="F92" s="37" t="n">
        <f aca="false">F13*(①통합_가정!$R$367-①통합_가정!$E$433)</f>
        <v>0</v>
      </c>
      <c r="G92" s="37" t="n">
        <f aca="false">G13*(①통합_가정!$R$367-①통합_가정!$E$433)</f>
        <v>0</v>
      </c>
      <c r="H92" s="37" t="n">
        <f aca="false">H13*(①통합_가정!$R$367-①통합_가정!$E$433)</f>
        <v>0</v>
      </c>
      <c r="I92" s="37" t="n">
        <f aca="false">I13*(①통합_가정!$R$367-①통합_가정!$E$433)</f>
        <v>0</v>
      </c>
      <c r="J92" s="37" t="n">
        <f aca="false">J13*(①통합_가정!$R$367-①통합_가정!$E$433)</f>
        <v>0</v>
      </c>
      <c r="K92" s="37" t="n">
        <f aca="false">K13*(①통합_가정!$R$367-①통합_가정!$E$433)</f>
        <v>0</v>
      </c>
      <c r="L92" s="37" t="n">
        <f aca="false">L13*(①통합_가정!$R$367-①통합_가정!$E$433)</f>
        <v>0</v>
      </c>
      <c r="M92" s="37" t="n">
        <f aca="false">M13*(①통합_가정!$R$367-①통합_가정!$E$433)</f>
        <v>0</v>
      </c>
      <c r="N92" s="37" t="n">
        <f aca="false">N13*(①통합_가정!$R$367-①통합_가정!$E$433)</f>
        <v>0</v>
      </c>
      <c r="O92" s="37" t="n">
        <f aca="false">O13*(①통합_가정!$R$367-①통합_가정!$E$433)</f>
        <v>0</v>
      </c>
      <c r="P92" s="37" t="n">
        <f aca="false">P13*(①통합_가정!$R$367-①통합_가정!$E$433)</f>
        <v>0</v>
      </c>
      <c r="Q92" s="37" t="n">
        <f aca="false">Q13*(①통합_가정!$R$367-①통합_가정!$E$433)</f>
        <v>0</v>
      </c>
      <c r="R92" s="37" t="n">
        <f aca="false">R13*(①통합_가정!$R$367-①통합_가정!$E$433)</f>
        <v>0</v>
      </c>
      <c r="S92" s="37" t="n">
        <f aca="false">S13*(①통합_가정!$R$367-①통합_가정!$E$433)</f>
        <v>0</v>
      </c>
      <c r="T92" s="37" t="n">
        <f aca="false">T13*(①통합_가정!$R$367-①통합_가정!$E$433)</f>
        <v>0</v>
      </c>
      <c r="U92" s="37" t="n">
        <f aca="false">U13*(①통합_가정!$R$367-①통합_가정!$E$433)</f>
        <v>0</v>
      </c>
      <c r="V92" s="37" t="n">
        <f aca="false">V13*(①통합_가정!$R$367-①통합_가정!$E$433)</f>
        <v>0</v>
      </c>
      <c r="W92" s="37" t="n">
        <f aca="false">W13*(①통합_가정!$R$367-①통합_가정!$E$433)</f>
        <v>775.399866350837</v>
      </c>
      <c r="X92" s="37" t="n">
        <f aca="false">X13*(①통합_가정!$R$367-①통합_가정!$E$433)</f>
        <v>2321.86324846849</v>
      </c>
      <c r="Y92" s="37" t="n">
        <f aca="false">Y13*(①통합_가정!$R$367-①통합_가정!$E$433)</f>
        <v>3855.34182946557</v>
      </c>
      <c r="Z92" s="37" t="n">
        <f aca="false">Z13*(①통합_가정!$R$367-①통합_가정!$E$433)</f>
        <v>5367.25977508056</v>
      </c>
      <c r="AA92" s="37" t="n">
        <f aca="false">AA13*(①통합_가정!$R$367-①통합_가정!$E$433)</f>
        <v>6849.16182687066</v>
      </c>
      <c r="AB92" s="37" t="n">
        <f aca="false">AB13*(①통합_가정!$R$367-①통합_가정!$E$433)</f>
        <v>8292.76058744709</v>
      </c>
      <c r="AC92" s="37" t="n">
        <f aca="false">AC13*(①통합_가정!$R$367-①통합_가정!$E$433)</f>
        <v>9689.98286696268</v>
      </c>
      <c r="AD92" s="37" t="n">
        <f aca="false">AD13*(①통합_가정!$R$367-①통합_가정!$E$433)</f>
        <v>11033.0148316645</v>
      </c>
      <c r="AE92" s="37" t="n">
        <f aca="false">AE13*(①통합_가정!$R$367-①통합_가정!$E$433)</f>
        <v>12314.3457020215</v>
      </c>
      <c r="AF92" s="37" t="n">
        <f aca="false">AF13*(①통합_가정!$R$367-①통합_가정!$E$433)</f>
        <v>13526.8097560506</v>
      </c>
      <c r="AG92" s="37" t="n">
        <f aca="false">AG13*(①통합_가정!$R$367-①통합_가정!$E$433)</f>
        <v>14663.6264029407</v>
      </c>
      <c r="AH92" s="37" t="n">
        <f aca="false">AH13*(①통합_가정!$R$367-①통합_가정!$E$433)</f>
        <v>15718.4381028669</v>
      </c>
      <c r="AI92" s="37" t="n">
        <f aca="false">AI13*(①통합_가정!$R$367-①통합_가정!$E$433)</f>
        <v>16685.3459209316</v>
      </c>
      <c r="AJ92" s="37" t="n">
        <f aca="false">AJ13*(①통합_가정!$R$367-①통합_가정!$E$433)</f>
        <v>17558.9425164021</v>
      </c>
      <c r="AK92" s="37" t="n">
        <f aca="false">AK13*(①통합_가정!$R$367-①통합_가정!$E$433)</f>
        <v>18334.342382753</v>
      </c>
      <c r="AL92" s="37" t="n">
        <f aca="false">AL13*(①통합_가정!$R$367-①통합_가정!$E$433)</f>
        <v>19007.2091694001</v>
      </c>
      <c r="AM92" s="37" t="n">
        <f aca="false">AM13*(①통합_가정!$R$367-①통합_가정!$E$433)</f>
        <v>19573.7799323325</v>
      </c>
      <c r="AN92" s="37" t="n">
        <f aca="false">AN13*(①통합_가정!$R$367-①통합_가정!$E$433)</f>
        <v>20030.8861780213</v>
      </c>
      <c r="AO92" s="37" t="n">
        <f aca="false">AO13*(①통합_가정!$R$367-①통합_가정!$E$433)</f>
        <v>20375.9715829212</v>
      </c>
      <c r="AP92" s="37" t="n">
        <f aca="false">AP13*(①통합_가정!$R$367-①통합_가정!$E$433)</f>
        <v>20607.1062894686</v>
      </c>
      <c r="AQ92" s="37" t="n">
        <f aca="false">AQ13*(①통합_가정!$R$367-①통합_가정!$E$433)</f>
        <v>20722.9976986272</v>
      </c>
      <c r="AR92" s="37" t="n">
        <f aca="false">AR13*(①통합_가정!$R$367-①통합_가정!$E$433)</f>
        <v>20722.9976986271</v>
      </c>
      <c r="AS92" s="37" t="n">
        <f aca="false">AS13*(①통합_가정!$R$367-①통합_가정!$E$433)</f>
        <v>20607.1062894686</v>
      </c>
      <c r="AT92" s="37" t="n">
        <f aca="false">AT13*(①통합_가정!$R$367-①통합_가정!$E$433)</f>
        <v>20375.9715829213</v>
      </c>
      <c r="AU92" s="37" t="n">
        <f aca="false">AU13*(①통합_가정!$R$367-①통합_가정!$E$433)</f>
        <v>20030.8861780213</v>
      </c>
      <c r="AV92" s="37" t="n">
        <f aca="false">AV13*(①통합_가정!$R$367-①통합_가정!$E$433)</f>
        <v>19573.7799323325</v>
      </c>
      <c r="AW92" s="37" t="n">
        <f aca="false">AW13*(①통합_가정!$R$367-①통합_가정!$E$433)</f>
        <v>19007.2091694</v>
      </c>
      <c r="AX92" s="37" t="n">
        <f aca="false">AX13*(①통합_가정!$R$367-①통합_가정!$E$433)</f>
        <v>18334.3423827529</v>
      </c>
      <c r="AY92" s="37" t="n">
        <f aca="false">AY13*(①통합_가정!$R$367-①통합_가정!$E$433)</f>
        <v>17558.9425164022</v>
      </c>
      <c r="AZ92" s="37" t="n">
        <f aca="false">AZ13*(①통합_가정!$R$367-①통합_가정!$E$433)</f>
        <v>16685.3459209316</v>
      </c>
      <c r="BA92" s="37" t="n">
        <f aca="false">BA13*(①통합_가정!$R$367-①통합_가정!$E$433)</f>
        <v>15718.4381028668</v>
      </c>
      <c r="BB92" s="37" t="n">
        <f aca="false">BB13*(①통합_가정!$R$367-①통합_가정!$E$433)</f>
        <v>14663.6264029408</v>
      </c>
      <c r="BC92" s="37" t="n">
        <f aca="false">BC13*(①통합_가정!$R$367-①통합_가정!$E$433)</f>
        <v>13526.8097560506</v>
      </c>
      <c r="BD92" s="37" t="n">
        <f aca="false">BD13*(①통합_가정!$R$367-①통합_가정!$E$433)</f>
        <v>12314.3457020215</v>
      </c>
      <c r="BE92" s="37" t="n">
        <f aca="false">BE13*(①통합_가정!$R$367-①통합_가정!$E$433)</f>
        <v>11033.0148316644</v>
      </c>
      <c r="BF92" s="37" t="n">
        <f aca="false">BF13*(①통합_가정!$R$367-①통합_가정!$E$433)</f>
        <v>9689.98286696271</v>
      </c>
      <c r="BG92" s="37" t="n">
        <f aca="false">BG13*(①통합_가정!$R$367-①통합_가정!$E$433)</f>
        <v>8292.76058744715</v>
      </c>
      <c r="BH92" s="37" t="n">
        <f aca="false">BH13*(①통합_가정!$R$367-①통합_가정!$E$433)</f>
        <v>6849.1618268706</v>
      </c>
      <c r="BI92" s="37" t="n">
        <f aca="false">BI13*(①통합_가정!$R$367-①통합_가정!$E$433)</f>
        <v>5367.25977508059</v>
      </c>
      <c r="BJ92" s="37" t="n">
        <f aca="false">BJ13*(①통합_가정!$R$367-①통합_가정!$E$433)</f>
        <v>3855.34182946557</v>
      </c>
      <c r="BK92" s="37" t="n">
        <f aca="false">BK13*(①통합_가정!$R$367-①통합_가정!$E$433)</f>
        <v>2321.86324846849</v>
      </c>
      <c r="BL92" s="37" t="n">
        <f aca="false">BL13*(①통합_가정!$R$367-①통합_가정!$E$433)</f>
        <v>775.399866350837</v>
      </c>
      <c r="BM92" s="37" t="n">
        <f aca="false">BM13*(①통합_가정!$R$367-①통합_가정!$E$433)</f>
        <v>0</v>
      </c>
      <c r="BN92" s="37" t="n">
        <f aca="false">BN13*(①통합_가정!$R$367-①통합_가정!$E$433)</f>
        <v>0</v>
      </c>
      <c r="BO92" s="37" t="n">
        <f aca="false">BO13*(①통합_가정!$R$367-①통합_가정!$E$433)</f>
        <v>0</v>
      </c>
      <c r="BP92" s="37" t="n">
        <f aca="false">BP13*(①통합_가정!$R$367-①통합_가정!$E$433)</f>
        <v>0</v>
      </c>
      <c r="BQ92" s="37" t="n">
        <f aca="false">BQ13*(①통합_가정!$R$367-①통합_가정!$E$433)</f>
        <v>0</v>
      </c>
      <c r="BR92" s="37" t="n">
        <f aca="false">BR13*(①통합_가정!$R$367-①통합_가정!$E$433)</f>
        <v>0</v>
      </c>
      <c r="BS92" s="37" t="n">
        <f aca="false">BS13*(①통합_가정!$R$367-①통합_가정!$E$433)</f>
        <v>0</v>
      </c>
      <c r="BT92" s="37" t="n">
        <f aca="false">BT13*(①통합_가정!$R$367-①통합_가정!$E$433)</f>
        <v>0</v>
      </c>
      <c r="BU92" s="37" t="n">
        <f aca="false">BU13*(①통합_가정!$R$367-①통합_가정!$E$433)</f>
        <v>0</v>
      </c>
      <c r="BV92" s="37" t="n">
        <f aca="false">BV13*(①통합_가정!$R$367-①통합_가정!$E$433)</f>
        <v>0</v>
      </c>
      <c r="BW92" s="37" t="n">
        <f aca="false">BW13*(①통합_가정!$R$367-①통합_가정!$E$433)</f>
        <v>0</v>
      </c>
      <c r="BX92" s="37" t="n">
        <f aca="false">BX13*(①통합_가정!$R$367-①통합_가정!$E$433)</f>
        <v>0</v>
      </c>
      <c r="BY92" s="37" t="n">
        <f aca="false">BY13*(①통합_가정!$R$367-①통합_가정!$E$433)</f>
        <v>0</v>
      </c>
      <c r="BZ92" s="37" t="n">
        <f aca="false">BZ13*(①통합_가정!$R$367-①통합_가정!$E$433)</f>
        <v>0</v>
      </c>
      <c r="CA92" s="37" t="n">
        <f aca="false">CA13*(①통합_가정!$R$367-①통합_가정!$E$433)</f>
        <v>0</v>
      </c>
      <c r="CB92" s="37" t="n">
        <f aca="false">CB13*(①통합_가정!$R$367-①통합_가정!$E$433)</f>
        <v>0</v>
      </c>
      <c r="CC92" s="37" t="n">
        <f aca="false">CC13*(①통합_가정!$R$367-①통합_가정!$E$433)</f>
        <v>0</v>
      </c>
      <c r="CD92" s="37" t="n">
        <f aca="false">CD13*(①통합_가정!$R$367-①통합_가정!$E$433)</f>
        <v>0</v>
      </c>
      <c r="CE92" s="37" t="n">
        <f aca="false">CE13*(①통합_가정!$R$367-①통합_가정!$E$433)</f>
        <v>0</v>
      </c>
      <c r="CF92" s="37" t="n">
        <f aca="false">CF13*(①통합_가정!$R$367-①통합_가정!$E$433)</f>
        <v>0</v>
      </c>
      <c r="CG92" s="37" t="n">
        <f aca="false">CG13*(①통합_가정!$R$367-①통합_가정!$E$433)</f>
        <v>0</v>
      </c>
      <c r="CH92" s="37" t="n">
        <f aca="false">CH13*(①통합_가정!$R$367-①통합_가정!$E$433)</f>
        <v>0</v>
      </c>
      <c r="CI92" s="37" t="n">
        <f aca="false">CI13*(①통합_가정!$R$367-①통합_가정!$E$433)</f>
        <v>0</v>
      </c>
      <c r="CJ92" s="37" t="n">
        <f aca="false">CJ13*(①통합_가정!$R$367-①통합_가정!$E$433)</f>
        <v>0</v>
      </c>
      <c r="CK92" s="37" t="n">
        <f aca="false">CK13*(①통합_가정!$R$367-①통합_가정!$E$433)</f>
        <v>0</v>
      </c>
      <c r="CL92" s="37" t="n">
        <f aca="false">CL13*(①통합_가정!$R$367-①통합_가정!$E$433)</f>
        <v>0</v>
      </c>
      <c r="CM92" s="37" t="n">
        <f aca="false">CM13*(①통합_가정!$R$367-①통합_가정!$E$433)</f>
        <v>0</v>
      </c>
      <c r="CN92" s="37" t="n">
        <f aca="false">CN13*(①통합_가정!$R$367-①통합_가정!$E$433)</f>
        <v>0</v>
      </c>
      <c r="CO92" s="37" t="n">
        <f aca="false">CO13*(①통합_가정!$R$367-①통합_가정!$E$433)</f>
        <v>0</v>
      </c>
      <c r="CP92" s="37" t="n">
        <f aca="false">CP13*(①통합_가정!$R$367-①통합_가정!$E$433)</f>
        <v>0</v>
      </c>
      <c r="CQ92" s="37" t="n">
        <f aca="false">CQ13*(①통합_가정!$R$367-①통합_가정!$E$433)</f>
        <v>0</v>
      </c>
      <c r="CR92" s="37" t="n">
        <f aca="false">CR13*(①통합_가정!$R$367-①통합_가정!$E$433)</f>
        <v>0</v>
      </c>
      <c r="CS92" s="37" t="n">
        <f aca="false">CS13*(①통합_가정!$R$367-①통합_가정!$E$433)</f>
        <v>0</v>
      </c>
      <c r="CT92" s="37" t="n">
        <f aca="false">CT13*(①통합_가정!$R$367-①통합_가정!$E$433)</f>
        <v>0</v>
      </c>
      <c r="CU92" s="37" t="n">
        <f aca="false">CU13*(①통합_가정!$R$367-①통합_가정!$E$433)</f>
        <v>0</v>
      </c>
      <c r="CV92" s="37" t="n">
        <f aca="false">CV13*(①통합_가정!$R$367-①통합_가정!$E$433)</f>
        <v>0</v>
      </c>
      <c r="CW92" s="37" t="n">
        <f aca="false">CW13*(①통합_가정!$R$367-①통합_가정!$E$433)</f>
        <v>0</v>
      </c>
      <c r="CX92" s="37" t="n">
        <f aca="false">CX13*(①통합_가정!$R$367-①통합_가정!$E$433)</f>
        <v>0</v>
      </c>
      <c r="CY92" s="37" t="n">
        <f aca="false">CY13*(①통합_가정!$R$367-①통합_가정!$E$433)</f>
        <v>0</v>
      </c>
      <c r="CZ92" s="37" t="n">
        <f aca="false">CZ13*(①통합_가정!$R$367-①통합_가정!$E$433)</f>
        <v>0</v>
      </c>
      <c r="DA92" s="37" t="n">
        <f aca="false">DA13*(①통합_가정!$R$367-①통합_가정!$E$433)</f>
        <v>0</v>
      </c>
      <c r="DB92" s="37" t="n">
        <f aca="false">DB13*(①통합_가정!$R$367-①통합_가정!$E$433)</f>
        <v>0</v>
      </c>
      <c r="DC92" s="37" t="n">
        <f aca="false">DC13*(①통합_가정!$R$367-①통합_가정!$E$433)</f>
        <v>0</v>
      </c>
      <c r="DD92" s="37" t="n">
        <f aca="false">DD13*(①통합_가정!$R$367-①통합_가정!$E$433)</f>
        <v>0</v>
      </c>
      <c r="DE92" s="37" t="n">
        <f aca="false">DE13*(①통합_가정!$R$367-①통합_가정!$E$433)</f>
        <v>0</v>
      </c>
      <c r="DF92" s="37" t="n">
        <f aca="false">DF13*(①통합_가정!$R$367-①통합_가정!$E$433)</f>
        <v>0</v>
      </c>
      <c r="DG92" s="37" t="n">
        <f aca="false">DG13*(①통합_가정!$R$367-①통합_가정!$E$433)</f>
        <v>0</v>
      </c>
      <c r="DH92" s="37" t="n">
        <f aca="false">DH13*(①통합_가정!$R$367-①통합_가정!$E$433)</f>
        <v>0</v>
      </c>
      <c r="DI92" s="37" t="n">
        <f aca="false">DI13*(①통합_가정!$R$367-①통합_가정!$E$433)</f>
        <v>0</v>
      </c>
      <c r="DJ92" s="37" t="n">
        <f aca="false">DJ13*(①통합_가정!$R$367-①통합_가정!$E$433)</f>
        <v>0</v>
      </c>
      <c r="DK92" s="37" t="n">
        <f aca="false">DK13*(①통합_가정!$R$367-①통합_가정!$E$433)</f>
        <v>0</v>
      </c>
      <c r="DL92" s="37" t="n">
        <f aca="false">DL13*(①통합_가정!$R$367-①통합_가정!$E$433)</f>
        <v>0</v>
      </c>
      <c r="DM92" s="37" t="n">
        <f aca="false">DM13*(①통합_가정!$R$367-①통합_가정!$E$433)</f>
        <v>0</v>
      </c>
      <c r="DN92" s="37" t="n">
        <f aca="false">DN13*(①통합_가정!$R$367-①통합_가정!$E$433)</f>
        <v>0</v>
      </c>
      <c r="DO92" s="37" t="n">
        <f aca="false">DO13*(①통합_가정!$R$367-①통합_가정!$E$433)</f>
        <v>0</v>
      </c>
      <c r="DP92" s="37" t="n">
        <f aca="false">DP13*(①통합_가정!$R$367-①통합_가정!$E$433)</f>
        <v>0</v>
      </c>
      <c r="DQ92" s="37" t="n">
        <f aca="false">DQ13*(①통합_가정!$R$367-①통합_가정!$E$433)</f>
        <v>0</v>
      </c>
      <c r="DR92" s="37" t="n">
        <f aca="false">DR13*(①통합_가정!$R$367-①통합_가정!$E$433)</f>
        <v>0</v>
      </c>
      <c r="DS92" s="37" t="n">
        <f aca="false">DS13*(①통합_가정!$R$367-①통합_가정!$E$433)</f>
        <v>0</v>
      </c>
      <c r="DT92" s="37" t="n">
        <f aca="false">DT13*(①통합_가정!$R$367-①통합_가정!$E$433)</f>
        <v>0</v>
      </c>
      <c r="DU92" s="37" t="n">
        <f aca="false">DU13*(①통합_가정!$R$367-①통합_가정!$E$433)</f>
        <v>0</v>
      </c>
      <c r="DV92" s="37" t="n">
        <f aca="false">DV13*(①통합_가정!$R$367-①통합_가정!$E$433)</f>
        <v>0</v>
      </c>
      <c r="DW92" s="37" t="n">
        <f aca="false">DW13*(①통합_가정!$R$367-①통합_가정!$E$433)</f>
        <v>0</v>
      </c>
      <c r="DX92" s="37" t="n">
        <f aca="false">DX13*(①통합_가정!$R$367-①통합_가정!$E$433)</f>
        <v>0</v>
      </c>
      <c r="DY92" s="37" t="n">
        <f aca="false">DY13*(①통합_가정!$R$367-①통합_가정!$E$433)</f>
        <v>0</v>
      </c>
      <c r="DZ92" s="37" t="n">
        <f aca="false">DZ13*(①통합_가정!$R$367-①통합_가정!$E$433)</f>
        <v>0</v>
      </c>
      <c r="EA92" s="37" t="n">
        <f aca="false">EA13*(①통합_가정!$R$367-①통합_가정!$E$433)</f>
        <v>0</v>
      </c>
      <c r="EB92" s="37" t="n">
        <f aca="false">EB13*(①통합_가정!$R$367-①통합_가정!$E$433)</f>
        <v>0</v>
      </c>
      <c r="EC92" s="37" t="n">
        <f aca="false">EC13*(①통합_가정!$R$367-①통합_가정!$E$433)</f>
        <v>0</v>
      </c>
      <c r="ED92" s="37" t="n">
        <f aca="false">ED13*(①통합_가정!$R$367-①통합_가정!$E$433)</f>
        <v>0</v>
      </c>
      <c r="EE92" s="37" t="n">
        <f aca="false">EE13*(①통합_가정!$R$367-①통합_가정!$E$433)</f>
        <v>0</v>
      </c>
      <c r="EF92" s="37" t="n">
        <f aca="false">EF13*(①통합_가정!$R$367-①통합_가정!$E$433)</f>
        <v>0</v>
      </c>
    </row>
    <row r="93" customFormat="false" ht="15" hidden="false" customHeight="false" outlineLevel="0" collapsed="false">
      <c r="A93" s="36" t="s">
        <v>634</v>
      </c>
      <c r="B93" s="278" t="s">
        <v>21</v>
      </c>
      <c r="C93" s="279" t="n">
        <f aca="false">SUM(E93:EF93)</f>
        <v>59683.9667971091</v>
      </c>
      <c r="E93" s="37" t="n">
        <f aca="false">IF(E6=①통합_가정!$E$18,①통합_가정!$E$433,0)</f>
        <v>0</v>
      </c>
      <c r="F93" s="37" t="n">
        <f aca="false">IF(F6=①통합_가정!$E$18,①통합_가정!$E$433,0)</f>
        <v>0</v>
      </c>
      <c r="G93" s="37" t="n">
        <f aca="false">IF(G6=①통합_가정!$E$18,①통합_가정!$E$433,0)</f>
        <v>0</v>
      </c>
      <c r="H93" s="37" t="n">
        <f aca="false">IF(H6=①통합_가정!$E$18,①통합_가정!$E$433,0)</f>
        <v>0</v>
      </c>
      <c r="I93" s="37" t="n">
        <f aca="false">IF(I6=①통합_가정!$E$18,①통합_가정!$E$433,0)</f>
        <v>0</v>
      </c>
      <c r="J93" s="37" t="n">
        <f aca="false">IF(J6=①통합_가정!$E$18,①통합_가정!$E$433,0)</f>
        <v>0</v>
      </c>
      <c r="K93" s="37" t="n">
        <f aca="false">IF(K6=①통합_가정!$E$18,①통합_가정!$E$433,0)</f>
        <v>0</v>
      </c>
      <c r="L93" s="37" t="n">
        <f aca="false">IF(L6=①통합_가정!$E$18,①통합_가정!$E$433,0)</f>
        <v>0</v>
      </c>
      <c r="M93" s="37" t="n">
        <f aca="false">IF(M6=①통합_가정!$E$18,①통합_가정!$E$433,0)</f>
        <v>0</v>
      </c>
      <c r="N93" s="37" t="n">
        <f aca="false">IF(N6=①통합_가정!$E$18,①통합_가정!$E$433,0)</f>
        <v>0</v>
      </c>
      <c r="O93" s="37" t="n">
        <f aca="false">IF(O6=①통합_가정!$E$18,①통합_가정!$E$433,0)</f>
        <v>0</v>
      </c>
      <c r="P93" s="37" t="n">
        <f aca="false">IF(P6=①통합_가정!$E$18,①통합_가정!$E$433,0)</f>
        <v>0</v>
      </c>
      <c r="Q93" s="37" t="n">
        <f aca="false">IF(Q6=①통합_가정!$E$18,①통합_가정!$E$433,0)</f>
        <v>0</v>
      </c>
      <c r="R93" s="37" t="n">
        <f aca="false">IF(R6=①통합_가정!$E$18,①통합_가정!$E$433,0)</f>
        <v>0</v>
      </c>
      <c r="S93" s="37" t="n">
        <f aca="false">IF(S6=①통합_가정!$E$18,①통합_가정!$E$433,0)</f>
        <v>0</v>
      </c>
      <c r="T93" s="37" t="n">
        <f aca="false">IF(T6=①통합_가정!$E$18,①통합_가정!$E$433,0)</f>
        <v>0</v>
      </c>
      <c r="U93" s="37" t="n">
        <f aca="false">IF(U6=①통합_가정!$E$18,①통합_가정!$E$433,0)</f>
        <v>0</v>
      </c>
      <c r="V93" s="37" t="n">
        <f aca="false">IF(V6=①통합_가정!$E$18,①통합_가정!$E$433,0)</f>
        <v>0</v>
      </c>
      <c r="W93" s="37" t="n">
        <f aca="false">IF(W6=①통합_가정!$E$18,①통합_가정!$E$433,0)</f>
        <v>0</v>
      </c>
      <c r="X93" s="37" t="n">
        <f aca="false">IF(X6=①통합_가정!$E$18,①통합_가정!$E$433,0)</f>
        <v>0</v>
      </c>
      <c r="Y93" s="37" t="n">
        <f aca="false">IF(Y6=①통합_가정!$E$18,①통합_가정!$E$433,0)</f>
        <v>0</v>
      </c>
      <c r="Z93" s="37" t="n">
        <f aca="false">IF(Z6=①통합_가정!$E$18,①통합_가정!$E$433,0)</f>
        <v>0</v>
      </c>
      <c r="AA93" s="37" t="n">
        <f aca="false">IF(AA6=①통합_가정!$E$18,①통합_가정!$E$433,0)</f>
        <v>0</v>
      </c>
      <c r="AB93" s="37" t="n">
        <f aca="false">IF(AB6=①통합_가정!$E$18,①통합_가정!$E$433,0)</f>
        <v>0</v>
      </c>
      <c r="AC93" s="37" t="n">
        <f aca="false">IF(AC6=①통합_가정!$E$18,①통합_가정!$E$433,0)</f>
        <v>0</v>
      </c>
      <c r="AD93" s="37" t="n">
        <f aca="false">IF(AD6=①통합_가정!$E$18,①통합_가정!$E$433,0)</f>
        <v>0</v>
      </c>
      <c r="AE93" s="37" t="n">
        <f aca="false">IF(AE6=①통합_가정!$E$18,①통합_가정!$E$433,0)</f>
        <v>0</v>
      </c>
      <c r="AF93" s="37" t="n">
        <f aca="false">IF(AF6=①통합_가정!$E$18,①통합_가정!$E$433,0)</f>
        <v>0</v>
      </c>
      <c r="AG93" s="37" t="n">
        <f aca="false">IF(AG6=①통합_가정!$E$18,①통합_가정!$E$433,0)</f>
        <v>0</v>
      </c>
      <c r="AH93" s="37" t="n">
        <f aca="false">IF(AH6=①통합_가정!$E$18,①통합_가정!$E$433,0)</f>
        <v>0</v>
      </c>
      <c r="AI93" s="37" t="n">
        <f aca="false">IF(AI6=①통합_가정!$E$18,①통합_가정!$E$433,0)</f>
        <v>0</v>
      </c>
      <c r="AJ93" s="37" t="n">
        <f aca="false">IF(AJ6=①통합_가정!$E$18,①통합_가정!$E$433,0)</f>
        <v>0</v>
      </c>
      <c r="AK93" s="37" t="n">
        <f aca="false">IF(AK6=①통합_가정!$E$18,①통합_가정!$E$433,0)</f>
        <v>0</v>
      </c>
      <c r="AL93" s="37" t="n">
        <f aca="false">IF(AL6=①통합_가정!$E$18,①통합_가정!$E$433,0)</f>
        <v>0</v>
      </c>
      <c r="AM93" s="37" t="n">
        <f aca="false">IF(AM6=①통합_가정!$E$18,①통합_가정!$E$433,0)</f>
        <v>0</v>
      </c>
      <c r="AN93" s="37" t="n">
        <f aca="false">IF(AN6=①통합_가정!$E$18,①통합_가정!$E$433,0)</f>
        <v>0</v>
      </c>
      <c r="AO93" s="37" t="n">
        <f aca="false">IF(AO6=①통합_가정!$E$18,①통합_가정!$E$433,0)</f>
        <v>0</v>
      </c>
      <c r="AP93" s="37" t="n">
        <f aca="false">IF(AP6=①통합_가정!$E$18,①통합_가정!$E$433,0)</f>
        <v>0</v>
      </c>
      <c r="AQ93" s="37" t="n">
        <f aca="false">IF(AQ6=①통합_가정!$E$18,①통합_가정!$E$433,0)</f>
        <v>0</v>
      </c>
      <c r="AR93" s="37" t="n">
        <f aca="false">IF(AR6=①통합_가정!$E$18,①통합_가정!$E$433,0)</f>
        <v>0</v>
      </c>
      <c r="AS93" s="37" t="n">
        <f aca="false">IF(AS6=①통합_가정!$E$18,①통합_가정!$E$433,0)</f>
        <v>0</v>
      </c>
      <c r="AT93" s="37" t="n">
        <f aca="false">IF(AT6=①통합_가정!$E$18,①통합_가정!$E$433,0)</f>
        <v>0</v>
      </c>
      <c r="AU93" s="37" t="n">
        <f aca="false">IF(AU6=①통합_가정!$E$18,①통합_가정!$E$433,0)</f>
        <v>0</v>
      </c>
      <c r="AV93" s="37" t="n">
        <f aca="false">IF(AV6=①통합_가정!$E$18,①통합_가정!$E$433,0)</f>
        <v>0</v>
      </c>
      <c r="AW93" s="37" t="n">
        <f aca="false">IF(AW6=①통합_가정!$E$18,①통합_가정!$E$433,0)</f>
        <v>0</v>
      </c>
      <c r="AX93" s="37" t="n">
        <f aca="false">IF(AX6=①통합_가정!$E$18,①통합_가정!$E$433,0)</f>
        <v>0</v>
      </c>
      <c r="AY93" s="37" t="n">
        <f aca="false">IF(AY6=①통합_가정!$E$18,①통합_가정!$E$433,0)</f>
        <v>0</v>
      </c>
      <c r="AZ93" s="37" t="n">
        <f aca="false">IF(AZ6=①통합_가정!$E$18,①통합_가정!$E$433,0)</f>
        <v>0</v>
      </c>
      <c r="BA93" s="37" t="n">
        <f aca="false">IF(BA6=①통합_가정!$E$18,①통합_가정!$E$433,0)</f>
        <v>0</v>
      </c>
      <c r="BB93" s="37" t="n">
        <f aca="false">IF(BB6=①통합_가정!$E$18,①통합_가정!$E$433,0)</f>
        <v>0</v>
      </c>
      <c r="BC93" s="37" t="n">
        <f aca="false">IF(BC6=①통합_가정!$E$18,①통합_가정!$E$433,0)</f>
        <v>0</v>
      </c>
      <c r="BD93" s="37" t="n">
        <f aca="false">IF(BD6=①통합_가정!$E$18,①통합_가정!$E$433,0)</f>
        <v>0</v>
      </c>
      <c r="BE93" s="37" t="n">
        <f aca="false">IF(BE6=①통합_가정!$E$18,①통합_가정!$E$433,0)</f>
        <v>0</v>
      </c>
      <c r="BF93" s="37" t="n">
        <f aca="false">IF(BF6=①통합_가정!$E$18,①통합_가정!$E$433,0)</f>
        <v>0</v>
      </c>
      <c r="BG93" s="37" t="n">
        <f aca="false">IF(BG6=①통합_가정!$E$18,①통합_가정!$E$433,0)</f>
        <v>0</v>
      </c>
      <c r="BH93" s="37" t="n">
        <f aca="false">IF(BH6=①통합_가정!$E$18,①통합_가정!$E$433,0)</f>
        <v>0</v>
      </c>
      <c r="BI93" s="37" t="n">
        <f aca="false">IF(BI6=①통합_가정!$E$18,①통합_가정!$E$433,0)</f>
        <v>0</v>
      </c>
      <c r="BJ93" s="37" t="n">
        <f aca="false">IF(BJ6=①통합_가정!$E$18,①통합_가정!$E$433,0)</f>
        <v>0</v>
      </c>
      <c r="BK93" s="37" t="n">
        <f aca="false">IF(BK6=①통합_가정!$E$18,①통합_가정!$E$433,0)</f>
        <v>0</v>
      </c>
      <c r="BL93" s="37" t="n">
        <f aca="false">IF(BL6=①통합_가정!$E$18,①통합_가정!$E$433,0)</f>
        <v>0</v>
      </c>
      <c r="BM93" s="37" t="n">
        <f aca="false">IF(BM6=①통합_가정!$E$18,①통합_가정!$E$433,0)</f>
        <v>59683.9667971091</v>
      </c>
      <c r="BN93" s="37" t="n">
        <f aca="false">IF(BN6=①통합_가정!$E$18,①통합_가정!$E$433,0)</f>
        <v>0</v>
      </c>
      <c r="BO93" s="37" t="n">
        <f aca="false">IF(BO6=①통합_가정!$E$18,①통합_가정!$E$433,0)</f>
        <v>0</v>
      </c>
      <c r="BP93" s="37" t="n">
        <f aca="false">IF(BP6=①통합_가정!$E$18,①통합_가정!$E$433,0)</f>
        <v>0</v>
      </c>
      <c r="BQ93" s="37" t="n">
        <f aca="false">IF(BQ6=①통합_가정!$E$18,①통합_가정!$E$433,0)</f>
        <v>0</v>
      </c>
      <c r="BR93" s="37" t="n">
        <f aca="false">IF(BR6=①통합_가정!$E$18,①통합_가정!$E$433,0)</f>
        <v>0</v>
      </c>
      <c r="BS93" s="37" t="n">
        <f aca="false">IF(BS6=①통합_가정!$E$18,①통합_가정!$E$433,0)</f>
        <v>0</v>
      </c>
      <c r="BT93" s="37" t="n">
        <f aca="false">IF(BT6=①통합_가정!$E$18,①통합_가정!$E$433,0)</f>
        <v>0</v>
      </c>
      <c r="BU93" s="37" t="n">
        <f aca="false">IF(BU6=①통합_가정!$E$18,①통합_가정!$E$433,0)</f>
        <v>0</v>
      </c>
      <c r="BV93" s="37" t="n">
        <f aca="false">IF(BV6=①통합_가정!$E$18,①통합_가정!$E$433,0)</f>
        <v>0</v>
      </c>
      <c r="BW93" s="37" t="n">
        <f aca="false">IF(BW6=①통합_가정!$E$18,①통합_가정!$E$433,0)</f>
        <v>0</v>
      </c>
      <c r="BX93" s="37" t="n">
        <f aca="false">IF(BX6=①통합_가정!$E$18,①통합_가정!$E$433,0)</f>
        <v>0</v>
      </c>
      <c r="BY93" s="37" t="n">
        <f aca="false">IF(BY6=①통합_가정!$E$18,①통합_가정!$E$433,0)</f>
        <v>0</v>
      </c>
      <c r="BZ93" s="37" t="n">
        <f aca="false">IF(BZ6=①통합_가정!$E$18,①통합_가정!$E$433,0)</f>
        <v>0</v>
      </c>
      <c r="CA93" s="37" t="n">
        <f aca="false">IF(CA6=①통합_가정!$E$18,①통합_가정!$E$433,0)</f>
        <v>0</v>
      </c>
      <c r="CB93" s="37" t="n">
        <f aca="false">IF(CB6=①통합_가정!$E$18,①통합_가정!$E$433,0)</f>
        <v>0</v>
      </c>
      <c r="CC93" s="37" t="n">
        <f aca="false">IF(CC6=①통합_가정!$E$18,①통합_가정!$E$433,0)</f>
        <v>0</v>
      </c>
      <c r="CD93" s="37" t="n">
        <f aca="false">IF(CD6=①통합_가정!$E$18,①통합_가정!$E$433,0)</f>
        <v>0</v>
      </c>
      <c r="CE93" s="37" t="n">
        <f aca="false">IF(CE6=①통합_가정!$E$18,①통합_가정!$E$433,0)</f>
        <v>0</v>
      </c>
      <c r="CF93" s="37" t="n">
        <f aca="false">IF(CF6=①통합_가정!$E$18,①통합_가정!$E$433,0)</f>
        <v>0</v>
      </c>
      <c r="CG93" s="37" t="n">
        <f aca="false">IF(CG6=①통합_가정!$E$18,①통합_가정!$E$433,0)</f>
        <v>0</v>
      </c>
      <c r="CH93" s="37" t="n">
        <f aca="false">IF(CH6=①통합_가정!$E$18,①통합_가정!$E$433,0)</f>
        <v>0</v>
      </c>
      <c r="CI93" s="37" t="n">
        <f aca="false">IF(CI6=①통합_가정!$E$18,①통합_가정!$E$433,0)</f>
        <v>0</v>
      </c>
      <c r="CJ93" s="37" t="n">
        <f aca="false">IF(CJ6=①통합_가정!$E$18,①통합_가정!$E$433,0)</f>
        <v>0</v>
      </c>
      <c r="CK93" s="37" t="n">
        <f aca="false">IF(CK6=①통합_가정!$E$18,①통합_가정!$E$433,0)</f>
        <v>0</v>
      </c>
      <c r="CL93" s="37" t="n">
        <f aca="false">IF(CL6=①통합_가정!$E$18,①통합_가정!$E$433,0)</f>
        <v>0</v>
      </c>
      <c r="CM93" s="37" t="n">
        <f aca="false">IF(CM6=①통합_가정!$E$18,①통합_가정!$E$433,0)</f>
        <v>0</v>
      </c>
      <c r="CN93" s="37" t="n">
        <f aca="false">IF(CN6=①통합_가정!$E$18,①통합_가정!$E$433,0)</f>
        <v>0</v>
      </c>
      <c r="CO93" s="37" t="n">
        <f aca="false">IF(CO6=①통합_가정!$E$18,①통합_가정!$E$433,0)</f>
        <v>0</v>
      </c>
      <c r="CP93" s="37" t="n">
        <f aca="false">IF(CP6=①통합_가정!$E$18,①통합_가정!$E$433,0)</f>
        <v>0</v>
      </c>
      <c r="CQ93" s="37" t="n">
        <f aca="false">IF(CQ6=①통합_가정!$E$18,①통합_가정!$E$433,0)</f>
        <v>0</v>
      </c>
      <c r="CR93" s="37" t="n">
        <f aca="false">IF(CR6=①통합_가정!$E$18,①통합_가정!$E$433,0)</f>
        <v>0</v>
      </c>
      <c r="CS93" s="37" t="n">
        <f aca="false">IF(CS6=①통합_가정!$E$18,①통합_가정!$E$433,0)</f>
        <v>0</v>
      </c>
      <c r="CT93" s="37" t="n">
        <f aca="false">IF(CT6=①통합_가정!$E$18,①통합_가정!$E$433,0)</f>
        <v>0</v>
      </c>
      <c r="CU93" s="37" t="n">
        <f aca="false">IF(CU6=①통합_가정!$E$18,①통합_가정!$E$433,0)</f>
        <v>0</v>
      </c>
      <c r="CV93" s="37" t="n">
        <f aca="false">IF(CV6=①통합_가정!$E$18,①통합_가정!$E$433,0)</f>
        <v>0</v>
      </c>
      <c r="CW93" s="37" t="n">
        <f aca="false">IF(CW6=①통합_가정!$E$18,①통합_가정!$E$433,0)</f>
        <v>0</v>
      </c>
      <c r="CX93" s="37" t="n">
        <f aca="false">IF(CX6=①통합_가정!$E$18,①통합_가정!$E$433,0)</f>
        <v>0</v>
      </c>
      <c r="CY93" s="37" t="n">
        <f aca="false">IF(CY6=①통합_가정!$E$18,①통합_가정!$E$433,0)</f>
        <v>0</v>
      </c>
      <c r="CZ93" s="37" t="n">
        <f aca="false">IF(CZ6=①통합_가정!$E$18,①통합_가정!$E$433,0)</f>
        <v>0</v>
      </c>
      <c r="DA93" s="37" t="n">
        <f aca="false">IF(DA6=①통합_가정!$E$18,①통합_가정!$E$433,0)</f>
        <v>0</v>
      </c>
      <c r="DB93" s="37" t="n">
        <f aca="false">IF(DB6=①통합_가정!$E$18,①통합_가정!$E$433,0)</f>
        <v>0</v>
      </c>
      <c r="DC93" s="37" t="n">
        <f aca="false">IF(DC6=①통합_가정!$E$18,①통합_가정!$E$433,0)</f>
        <v>0</v>
      </c>
      <c r="DD93" s="37" t="n">
        <f aca="false">IF(DD6=①통합_가정!$E$18,①통합_가정!$E$433,0)</f>
        <v>0</v>
      </c>
      <c r="DE93" s="37" t="n">
        <f aca="false">IF(DE6=①통합_가정!$E$18,①통합_가정!$E$433,0)</f>
        <v>0</v>
      </c>
      <c r="DF93" s="37" t="n">
        <f aca="false">IF(DF6=①통합_가정!$E$18,①통합_가정!$E$433,0)</f>
        <v>0</v>
      </c>
      <c r="DG93" s="37" t="n">
        <f aca="false">IF(DG6=①통합_가정!$E$18,①통합_가정!$E$433,0)</f>
        <v>0</v>
      </c>
      <c r="DH93" s="37" t="n">
        <f aca="false">IF(DH6=①통합_가정!$E$18,①통합_가정!$E$433,0)</f>
        <v>0</v>
      </c>
      <c r="DI93" s="37" t="n">
        <f aca="false">IF(DI6=①통합_가정!$E$18,①통합_가정!$E$433,0)</f>
        <v>0</v>
      </c>
      <c r="DJ93" s="37" t="n">
        <f aca="false">IF(DJ6=①통합_가정!$E$18,①통합_가정!$E$433,0)</f>
        <v>0</v>
      </c>
      <c r="DK93" s="37" t="n">
        <f aca="false">IF(DK6=①통합_가정!$E$18,①통합_가정!$E$433,0)</f>
        <v>0</v>
      </c>
      <c r="DL93" s="37" t="n">
        <f aca="false">IF(DL6=①통합_가정!$E$18,①통합_가정!$E$433,0)</f>
        <v>0</v>
      </c>
      <c r="DM93" s="37" t="n">
        <f aca="false">IF(DM6=①통합_가정!$E$18,①통합_가정!$E$433,0)</f>
        <v>0</v>
      </c>
      <c r="DN93" s="37" t="n">
        <f aca="false">IF(DN6=①통합_가정!$E$18,①통합_가정!$E$433,0)</f>
        <v>0</v>
      </c>
      <c r="DO93" s="37" t="n">
        <f aca="false">IF(DO6=①통합_가정!$E$18,①통합_가정!$E$433,0)</f>
        <v>0</v>
      </c>
      <c r="DP93" s="37" t="n">
        <f aca="false">IF(DP6=①통합_가정!$E$18,①통합_가정!$E$433,0)</f>
        <v>0</v>
      </c>
      <c r="DQ93" s="37" t="n">
        <f aca="false">IF(DQ6=①통합_가정!$E$18,①통합_가정!$E$433,0)</f>
        <v>0</v>
      </c>
      <c r="DR93" s="37" t="n">
        <f aca="false">IF(DR6=①통합_가정!$E$18,①통합_가정!$E$433,0)</f>
        <v>0</v>
      </c>
      <c r="DS93" s="37" t="n">
        <f aca="false">IF(DS6=①통합_가정!$E$18,①통합_가정!$E$433,0)</f>
        <v>0</v>
      </c>
      <c r="DT93" s="37" t="n">
        <f aca="false">IF(DT6=①통합_가정!$E$18,①통합_가정!$E$433,0)</f>
        <v>0</v>
      </c>
      <c r="DU93" s="37" t="n">
        <f aca="false">IF(DU6=①통합_가정!$E$18,①통합_가정!$E$433,0)</f>
        <v>0</v>
      </c>
      <c r="DV93" s="37" t="n">
        <f aca="false">IF(DV6=①통합_가정!$E$18,①통합_가정!$E$433,0)</f>
        <v>0</v>
      </c>
      <c r="DW93" s="37" t="n">
        <f aca="false">IF(DW6=①통합_가정!$E$18,①통합_가정!$E$433,0)</f>
        <v>0</v>
      </c>
      <c r="DX93" s="37" t="n">
        <f aca="false">IF(DX6=①통합_가정!$E$18,①통합_가정!$E$433,0)</f>
        <v>0</v>
      </c>
      <c r="DY93" s="37" t="n">
        <f aca="false">IF(DY6=①통합_가정!$E$18,①통합_가정!$E$433,0)</f>
        <v>0</v>
      </c>
      <c r="DZ93" s="37" t="n">
        <f aca="false">IF(DZ6=①통합_가정!$E$18,①통합_가정!$E$433,0)</f>
        <v>0</v>
      </c>
      <c r="EA93" s="37" t="n">
        <f aca="false">IF(EA6=①통합_가정!$E$18,①통합_가정!$E$433,0)</f>
        <v>0</v>
      </c>
      <c r="EB93" s="37" t="n">
        <f aca="false">IF(EB6=①통합_가정!$E$18,①통합_가정!$E$433,0)</f>
        <v>0</v>
      </c>
      <c r="EC93" s="37" t="n">
        <f aca="false">IF(EC6=①통합_가정!$E$18,①통합_가정!$E$433,0)</f>
        <v>0</v>
      </c>
      <c r="ED93" s="37" t="n">
        <f aca="false">IF(ED6=①통합_가정!$E$18,①통합_가정!$E$433,0)</f>
        <v>0</v>
      </c>
      <c r="EE93" s="37" t="n">
        <f aca="false">IF(EE6=①통합_가정!$E$18,①통합_가정!$E$433,0)</f>
        <v>0</v>
      </c>
      <c r="EF93" s="37" t="n">
        <f aca="false">IF(EF6=①통합_가정!$E$18,①통합_가정!$E$433,0)</f>
        <v>0</v>
      </c>
    </row>
    <row r="94" customFormat="false" ht="15" hidden="false" customHeight="false" outlineLevel="0" collapsed="false">
      <c r="A94" s="36" t="s">
        <v>635</v>
      </c>
      <c r="B94" s="278" t="s">
        <v>21</v>
      </c>
      <c r="C94" s="279" t="n">
        <f aca="false">SUM(E94:EF94)</f>
        <v>476391.087008823</v>
      </c>
      <c r="E94" s="37" t="n">
        <f aca="false">E13*①통합_가정!$R$381</f>
        <v>0</v>
      </c>
      <c r="F94" s="37" t="n">
        <f aca="false">F13*①통합_가정!$R$381</f>
        <v>0</v>
      </c>
      <c r="G94" s="37" t="n">
        <f aca="false">G13*①통합_가정!$R$381</f>
        <v>0</v>
      </c>
      <c r="H94" s="37" t="n">
        <f aca="false">H13*①통합_가정!$R$381</f>
        <v>0</v>
      </c>
      <c r="I94" s="37" t="n">
        <f aca="false">I13*①통합_가정!$R$381</f>
        <v>0</v>
      </c>
      <c r="J94" s="37" t="n">
        <f aca="false">J13*①통합_가정!$R$381</f>
        <v>0</v>
      </c>
      <c r="K94" s="37" t="n">
        <f aca="false">K13*①통합_가정!$R$381</f>
        <v>0</v>
      </c>
      <c r="L94" s="37" t="n">
        <f aca="false">L13*①통합_가정!$R$381</f>
        <v>0</v>
      </c>
      <c r="M94" s="37" t="n">
        <f aca="false">M13*①통합_가정!$R$381</f>
        <v>0</v>
      </c>
      <c r="N94" s="37" t="n">
        <f aca="false">N13*①통합_가정!$R$381</f>
        <v>0</v>
      </c>
      <c r="O94" s="37" t="n">
        <f aca="false">O13*①통합_가정!$R$381</f>
        <v>0</v>
      </c>
      <c r="P94" s="37" t="n">
        <f aca="false">P13*①통합_가정!$R$381</f>
        <v>0</v>
      </c>
      <c r="Q94" s="37" t="n">
        <f aca="false">Q13*①통합_가정!$R$381</f>
        <v>0</v>
      </c>
      <c r="R94" s="37" t="n">
        <f aca="false">R13*①통합_가정!$R$381</f>
        <v>0</v>
      </c>
      <c r="S94" s="37" t="n">
        <f aca="false">S13*①통합_가정!$R$381</f>
        <v>0</v>
      </c>
      <c r="T94" s="37" t="n">
        <f aca="false">T13*①통합_가정!$R$381</f>
        <v>0</v>
      </c>
      <c r="U94" s="37" t="n">
        <f aca="false">U13*①통합_가정!$R$381</f>
        <v>0</v>
      </c>
      <c r="V94" s="37" t="n">
        <f aca="false">V13*①통합_가정!$R$381</f>
        <v>0</v>
      </c>
      <c r="W94" s="37" t="n">
        <f aca="false">W13*①통합_가정!$R$381</f>
        <v>666.043050177367</v>
      </c>
      <c r="X94" s="37" t="n">
        <f aca="false">X13*①통합_가정!$R$381</f>
        <v>1994.40436762336</v>
      </c>
      <c r="Y94" s="37" t="n">
        <f aca="false">Y13*①통합_가정!$R$381</f>
        <v>3311.61216684013</v>
      </c>
      <c r="Z94" s="37" t="n">
        <f aca="false">Z13*①통합_가정!$R$381</f>
        <v>4610.30008750541</v>
      </c>
      <c r="AA94" s="37" t="n">
        <f aca="false">AA13*①통합_가정!$R$381</f>
        <v>5883.20533997006</v>
      </c>
      <c r="AB94" s="37" t="n">
        <f aca="false">AB13*①통합_가정!$R$381</f>
        <v>7123.20932172411</v>
      </c>
      <c r="AC94" s="37" t="n">
        <f aca="false">AC13*①통합_가정!$R$381</f>
        <v>8323.37742750925</v>
      </c>
      <c r="AD94" s="37" t="n">
        <f aca="false">AD13*①통합_가정!$R$381</f>
        <v>9476.99783044461</v>
      </c>
      <c r="AE94" s="37" t="n">
        <f aca="false">AE13*①통합_가정!$R$381</f>
        <v>10577.6190172851</v>
      </c>
      <c r="AF94" s="37" t="n">
        <f aca="false">AF13*①통합_가정!$R$381</f>
        <v>11619.0858679004</v>
      </c>
      <c r="AG94" s="37" t="n">
        <f aca="false">AG13*①통합_가정!$R$381</f>
        <v>12595.574077204</v>
      </c>
      <c r="AH94" s="37" t="n">
        <f aca="false">AH13*①통합_가정!$R$381</f>
        <v>13501.6227270288</v>
      </c>
      <c r="AI94" s="37" t="n">
        <f aca="false">AI13*①통합_가정!$R$381</f>
        <v>14332.1648257978</v>
      </c>
      <c r="AJ94" s="37" t="n">
        <f aca="false">AJ13*①통합_가정!$R$381</f>
        <v>15082.5556451953</v>
      </c>
      <c r="AK94" s="37" t="n">
        <f aca="false">AK13*①통합_가정!$R$381</f>
        <v>15748.5986953727</v>
      </c>
      <c r="AL94" s="37" t="n">
        <f aca="false">AL13*①통합_가정!$R$381</f>
        <v>16326.5691934212</v>
      </c>
      <c r="AM94" s="37" t="n">
        <f aca="false">AM13*①통합_가정!$R$381</f>
        <v>16813.234893869</v>
      </c>
      <c r="AN94" s="37" t="n">
        <f aca="false">AN13*①통합_가정!$R$381</f>
        <v>17205.8741647093</v>
      </c>
      <c r="AO94" s="37" t="n">
        <f aca="false">AO13*①통합_가정!$R$381</f>
        <v>17502.2912078705</v>
      </c>
      <c r="AP94" s="37" t="n">
        <f aca="false">AP13*①통합_가정!$R$381</f>
        <v>17700.8283390092</v>
      </c>
      <c r="AQ94" s="37" t="n">
        <f aca="false">AQ13*①통합_가정!$R$381</f>
        <v>17800.3752579539</v>
      </c>
      <c r="AR94" s="37" t="n">
        <f aca="false">AR13*①통합_가정!$R$381</f>
        <v>17800.3752579538</v>
      </c>
      <c r="AS94" s="37" t="n">
        <f aca="false">AS13*①통합_가정!$R$381</f>
        <v>17700.8283390092</v>
      </c>
      <c r="AT94" s="37" t="n">
        <f aca="false">AT13*①통합_가정!$R$381</f>
        <v>17502.2912078705</v>
      </c>
      <c r="AU94" s="37" t="n">
        <f aca="false">AU13*①통합_가정!$R$381</f>
        <v>17205.8741647094</v>
      </c>
      <c r="AV94" s="37" t="n">
        <f aca="false">AV13*①통합_가정!$R$381</f>
        <v>16813.234893869</v>
      </c>
      <c r="AW94" s="37" t="n">
        <f aca="false">AW13*①통합_가정!$R$381</f>
        <v>16326.5691934211</v>
      </c>
      <c r="AX94" s="37" t="n">
        <f aca="false">AX13*①통합_가정!$R$381</f>
        <v>15748.5986953727</v>
      </c>
      <c r="AY94" s="37" t="n">
        <f aca="false">AY13*①통합_가정!$R$381</f>
        <v>15082.5556451954</v>
      </c>
      <c r="AZ94" s="37" t="n">
        <f aca="false">AZ13*①통합_가정!$R$381</f>
        <v>14332.1648257978</v>
      </c>
      <c r="BA94" s="37" t="n">
        <f aca="false">BA13*①통합_가정!$R$381</f>
        <v>13501.6227270288</v>
      </c>
      <c r="BB94" s="37" t="n">
        <f aca="false">BB13*①통합_가정!$R$381</f>
        <v>12595.574077204</v>
      </c>
      <c r="BC94" s="37" t="n">
        <f aca="false">BC13*①통합_가정!$R$381</f>
        <v>11619.0858679004</v>
      </c>
      <c r="BD94" s="37" t="n">
        <f aca="false">BD13*①통합_가정!$R$381</f>
        <v>10577.6190172851</v>
      </c>
      <c r="BE94" s="37" t="n">
        <f aca="false">BE13*①통합_가정!$R$381</f>
        <v>9476.99783044453</v>
      </c>
      <c r="BF94" s="37" t="n">
        <f aca="false">BF13*①통합_가정!$R$381</f>
        <v>8323.37742750928</v>
      </c>
      <c r="BG94" s="37" t="n">
        <f aca="false">BG13*①통합_가정!$R$381</f>
        <v>7123.20932172416</v>
      </c>
      <c r="BH94" s="37" t="n">
        <f aca="false">BH13*①통합_가정!$R$381</f>
        <v>5883.20533997001</v>
      </c>
      <c r="BI94" s="37" t="n">
        <f aca="false">BI13*①통합_가정!$R$381</f>
        <v>4610.30008750544</v>
      </c>
      <c r="BJ94" s="37" t="n">
        <f aca="false">BJ13*①통합_가정!$R$381</f>
        <v>3311.61216684013</v>
      </c>
      <c r="BK94" s="37" t="n">
        <f aca="false">BK13*①통합_가정!$R$381</f>
        <v>1994.40436762336</v>
      </c>
      <c r="BL94" s="37" t="n">
        <f aca="false">BL13*①통합_가정!$R$381</f>
        <v>666.043050177367</v>
      </c>
      <c r="BM94" s="37" t="n">
        <f aca="false">BM13*①통합_가정!$R$381</f>
        <v>0</v>
      </c>
      <c r="BN94" s="37" t="n">
        <f aca="false">BN13*①통합_가정!$R$381</f>
        <v>0</v>
      </c>
      <c r="BO94" s="37" t="n">
        <f aca="false">BO13*①통합_가정!$R$381</f>
        <v>0</v>
      </c>
      <c r="BP94" s="37" t="n">
        <f aca="false">BP13*①통합_가정!$R$381</f>
        <v>0</v>
      </c>
      <c r="BQ94" s="37" t="n">
        <f aca="false">BQ13*①통합_가정!$R$381</f>
        <v>0</v>
      </c>
      <c r="BR94" s="37" t="n">
        <f aca="false">BR13*①통합_가정!$R$381</f>
        <v>0</v>
      </c>
      <c r="BS94" s="37" t="n">
        <f aca="false">BS13*①통합_가정!$R$381</f>
        <v>0</v>
      </c>
      <c r="BT94" s="37" t="n">
        <f aca="false">BT13*①통합_가정!$R$381</f>
        <v>0</v>
      </c>
      <c r="BU94" s="37" t="n">
        <f aca="false">BU13*①통합_가정!$R$381</f>
        <v>0</v>
      </c>
      <c r="BV94" s="37" t="n">
        <f aca="false">BV13*①통합_가정!$R$381</f>
        <v>0</v>
      </c>
      <c r="BW94" s="37" t="n">
        <f aca="false">BW13*①통합_가정!$R$381</f>
        <v>0</v>
      </c>
      <c r="BX94" s="37" t="n">
        <f aca="false">BX13*①통합_가정!$R$381</f>
        <v>0</v>
      </c>
      <c r="BY94" s="37" t="n">
        <f aca="false">BY13*①통합_가정!$R$381</f>
        <v>0</v>
      </c>
      <c r="BZ94" s="37" t="n">
        <f aca="false">BZ13*①통합_가정!$R$381</f>
        <v>0</v>
      </c>
      <c r="CA94" s="37" t="n">
        <f aca="false">CA13*①통합_가정!$R$381</f>
        <v>0</v>
      </c>
      <c r="CB94" s="37" t="n">
        <f aca="false">CB13*①통합_가정!$R$381</f>
        <v>0</v>
      </c>
      <c r="CC94" s="37" t="n">
        <f aca="false">CC13*①통합_가정!$R$381</f>
        <v>0</v>
      </c>
      <c r="CD94" s="37" t="n">
        <f aca="false">CD13*①통합_가정!$R$381</f>
        <v>0</v>
      </c>
      <c r="CE94" s="37" t="n">
        <f aca="false">CE13*①통합_가정!$R$381</f>
        <v>0</v>
      </c>
      <c r="CF94" s="37" t="n">
        <f aca="false">CF13*①통합_가정!$R$381</f>
        <v>0</v>
      </c>
      <c r="CG94" s="37" t="n">
        <f aca="false">CG13*①통합_가정!$R$381</f>
        <v>0</v>
      </c>
      <c r="CH94" s="37" t="n">
        <f aca="false">CH13*①통합_가정!$R$381</f>
        <v>0</v>
      </c>
      <c r="CI94" s="37" t="n">
        <f aca="false">CI13*①통합_가정!$R$381</f>
        <v>0</v>
      </c>
      <c r="CJ94" s="37" t="n">
        <f aca="false">CJ13*①통합_가정!$R$381</f>
        <v>0</v>
      </c>
      <c r="CK94" s="37" t="n">
        <f aca="false">CK13*①통합_가정!$R$381</f>
        <v>0</v>
      </c>
      <c r="CL94" s="37" t="n">
        <f aca="false">CL13*①통합_가정!$R$381</f>
        <v>0</v>
      </c>
      <c r="CM94" s="37" t="n">
        <f aca="false">CM13*①통합_가정!$R$381</f>
        <v>0</v>
      </c>
      <c r="CN94" s="37" t="n">
        <f aca="false">CN13*①통합_가정!$R$381</f>
        <v>0</v>
      </c>
      <c r="CO94" s="37" t="n">
        <f aca="false">CO13*①통합_가정!$R$381</f>
        <v>0</v>
      </c>
      <c r="CP94" s="37" t="n">
        <f aca="false">CP13*①통합_가정!$R$381</f>
        <v>0</v>
      </c>
      <c r="CQ94" s="37" t="n">
        <f aca="false">CQ13*①통합_가정!$R$381</f>
        <v>0</v>
      </c>
      <c r="CR94" s="37" t="n">
        <f aca="false">CR13*①통합_가정!$R$381</f>
        <v>0</v>
      </c>
      <c r="CS94" s="37" t="n">
        <f aca="false">CS13*①통합_가정!$R$381</f>
        <v>0</v>
      </c>
      <c r="CT94" s="37" t="n">
        <f aca="false">CT13*①통합_가정!$R$381</f>
        <v>0</v>
      </c>
      <c r="CU94" s="37" t="n">
        <f aca="false">CU13*①통합_가정!$R$381</f>
        <v>0</v>
      </c>
      <c r="CV94" s="37" t="n">
        <f aca="false">CV13*①통합_가정!$R$381</f>
        <v>0</v>
      </c>
      <c r="CW94" s="37" t="n">
        <f aca="false">CW13*①통합_가정!$R$381</f>
        <v>0</v>
      </c>
      <c r="CX94" s="37" t="n">
        <f aca="false">CX13*①통합_가정!$R$381</f>
        <v>0</v>
      </c>
      <c r="CY94" s="37" t="n">
        <f aca="false">CY13*①통합_가정!$R$381</f>
        <v>0</v>
      </c>
      <c r="CZ94" s="37" t="n">
        <f aca="false">CZ13*①통합_가정!$R$381</f>
        <v>0</v>
      </c>
      <c r="DA94" s="37" t="n">
        <f aca="false">DA13*①통합_가정!$R$381</f>
        <v>0</v>
      </c>
      <c r="DB94" s="37" t="n">
        <f aca="false">DB13*①통합_가정!$R$381</f>
        <v>0</v>
      </c>
      <c r="DC94" s="37" t="n">
        <f aca="false">DC13*①통합_가정!$R$381</f>
        <v>0</v>
      </c>
      <c r="DD94" s="37" t="n">
        <f aca="false">DD13*①통합_가정!$R$381</f>
        <v>0</v>
      </c>
      <c r="DE94" s="37" t="n">
        <f aca="false">DE13*①통합_가정!$R$381</f>
        <v>0</v>
      </c>
      <c r="DF94" s="37" t="n">
        <f aca="false">DF13*①통합_가정!$R$381</f>
        <v>0</v>
      </c>
      <c r="DG94" s="37" t="n">
        <f aca="false">DG13*①통합_가정!$R$381</f>
        <v>0</v>
      </c>
      <c r="DH94" s="37" t="n">
        <f aca="false">DH13*①통합_가정!$R$381</f>
        <v>0</v>
      </c>
      <c r="DI94" s="37" t="n">
        <f aca="false">DI13*①통합_가정!$R$381</f>
        <v>0</v>
      </c>
      <c r="DJ94" s="37" t="n">
        <f aca="false">DJ13*①통합_가정!$R$381</f>
        <v>0</v>
      </c>
      <c r="DK94" s="37" t="n">
        <f aca="false">DK13*①통합_가정!$R$381</f>
        <v>0</v>
      </c>
      <c r="DL94" s="37" t="n">
        <f aca="false">DL13*①통합_가정!$R$381</f>
        <v>0</v>
      </c>
      <c r="DM94" s="37" t="n">
        <f aca="false">DM13*①통합_가정!$R$381</f>
        <v>0</v>
      </c>
      <c r="DN94" s="37" t="n">
        <f aca="false">DN13*①통합_가정!$R$381</f>
        <v>0</v>
      </c>
      <c r="DO94" s="37" t="n">
        <f aca="false">DO13*①통합_가정!$R$381</f>
        <v>0</v>
      </c>
      <c r="DP94" s="37" t="n">
        <f aca="false">DP13*①통합_가정!$R$381</f>
        <v>0</v>
      </c>
      <c r="DQ94" s="37" t="n">
        <f aca="false">DQ13*①통합_가정!$R$381</f>
        <v>0</v>
      </c>
      <c r="DR94" s="37" t="n">
        <f aca="false">DR13*①통합_가정!$R$381</f>
        <v>0</v>
      </c>
      <c r="DS94" s="37" t="n">
        <f aca="false">DS13*①통합_가정!$R$381</f>
        <v>0</v>
      </c>
      <c r="DT94" s="37" t="n">
        <f aca="false">DT13*①통합_가정!$R$381</f>
        <v>0</v>
      </c>
      <c r="DU94" s="37" t="n">
        <f aca="false">DU13*①통합_가정!$R$381</f>
        <v>0</v>
      </c>
      <c r="DV94" s="37" t="n">
        <f aca="false">DV13*①통합_가정!$R$381</f>
        <v>0</v>
      </c>
      <c r="DW94" s="37" t="n">
        <f aca="false">DW13*①통합_가정!$R$381</f>
        <v>0</v>
      </c>
      <c r="DX94" s="37" t="n">
        <f aca="false">DX13*①통합_가정!$R$381</f>
        <v>0</v>
      </c>
      <c r="DY94" s="37" t="n">
        <f aca="false">DY13*①통합_가정!$R$381</f>
        <v>0</v>
      </c>
      <c r="DZ94" s="37" t="n">
        <f aca="false">DZ13*①통합_가정!$R$381</f>
        <v>0</v>
      </c>
      <c r="EA94" s="37" t="n">
        <f aca="false">EA13*①통합_가정!$R$381</f>
        <v>0</v>
      </c>
      <c r="EB94" s="37" t="n">
        <f aca="false">EB13*①통합_가정!$R$381</f>
        <v>0</v>
      </c>
      <c r="EC94" s="37" t="n">
        <f aca="false">EC13*①통합_가정!$R$381</f>
        <v>0</v>
      </c>
      <c r="ED94" s="37" t="n">
        <f aca="false">ED13*①통합_가정!$R$381</f>
        <v>0</v>
      </c>
      <c r="EE94" s="37" t="n">
        <f aca="false">EE13*①통합_가정!$R$381</f>
        <v>0</v>
      </c>
      <c r="EF94" s="37" t="n">
        <f aca="false">EF13*①통합_가정!$R$381</f>
        <v>0</v>
      </c>
    </row>
    <row r="95" customFormat="false" ht="15" hidden="false" customHeight="false" outlineLevel="0" collapsed="false">
      <c r="A95" s="36" t="s">
        <v>25</v>
      </c>
      <c r="B95" s="278" t="s">
        <v>21</v>
      </c>
      <c r="C95" s="279" t="n">
        <f aca="false">SUM(E95:EF95)</f>
        <v>30843.702735198</v>
      </c>
      <c r="E95" s="37" t="n">
        <f aca="false">E11*①통합_가정!$R$386/①통합_가정!$E$15</f>
        <v>0</v>
      </c>
      <c r="F95" s="37" t="n">
        <f aca="false">F11*①통합_가정!$R$386/①통합_가정!$E$15</f>
        <v>0</v>
      </c>
      <c r="G95" s="37" t="n">
        <f aca="false">G11*①통합_가정!$R$386/①통합_가정!$E$15</f>
        <v>0</v>
      </c>
      <c r="H95" s="37" t="n">
        <f aca="false">H11*①통합_가정!$R$386/①통합_가정!$E$15</f>
        <v>0</v>
      </c>
      <c r="I95" s="37" t="n">
        <f aca="false">I11*①통합_가정!$R$386/①통합_가정!$E$15</f>
        <v>0</v>
      </c>
      <c r="J95" s="37" t="n">
        <f aca="false">J11*①통합_가정!$R$386/①통합_가정!$E$15</f>
        <v>0</v>
      </c>
      <c r="K95" s="37" t="n">
        <f aca="false">K11*①통합_가정!$R$386/①통합_가정!$E$15</f>
        <v>0</v>
      </c>
      <c r="L95" s="37" t="n">
        <f aca="false">L11*①통합_가정!$R$386/①통합_가정!$E$15</f>
        <v>0</v>
      </c>
      <c r="M95" s="37" t="n">
        <f aca="false">M11*①통합_가정!$R$386/①통합_가정!$E$15</f>
        <v>0</v>
      </c>
      <c r="N95" s="37" t="n">
        <f aca="false">N11*①통합_가정!$R$386/①통합_가정!$E$15</f>
        <v>0</v>
      </c>
      <c r="O95" s="37" t="n">
        <f aca="false">O11*①통합_가정!$R$386/①통합_가정!$E$15</f>
        <v>0</v>
      </c>
      <c r="P95" s="37" t="n">
        <f aca="false">P11*①통합_가정!$R$386/①통합_가정!$E$15</f>
        <v>0</v>
      </c>
      <c r="Q95" s="37" t="n">
        <f aca="false">Q11*①통합_가정!$R$386/①통합_가정!$E$15</f>
        <v>0</v>
      </c>
      <c r="R95" s="37" t="n">
        <f aca="false">R11*①통합_가정!$R$386/①통합_가정!$E$15</f>
        <v>0</v>
      </c>
      <c r="S95" s="37" t="n">
        <f aca="false">S11*①통합_가정!$R$386/①통합_가정!$E$15</f>
        <v>0</v>
      </c>
      <c r="T95" s="37" t="n">
        <f aca="false">T11*①통합_가정!$R$386/①통합_가정!$E$15</f>
        <v>0</v>
      </c>
      <c r="U95" s="37" t="n">
        <f aca="false">U11*①통합_가정!$R$386/①통합_가정!$E$15</f>
        <v>0</v>
      </c>
      <c r="V95" s="37" t="n">
        <f aca="false">V11*①통합_가정!$R$386/①통합_가정!$E$15</f>
        <v>0</v>
      </c>
      <c r="W95" s="37" t="n">
        <f aca="false">W11*①통합_가정!$R$386/①통합_가정!$E$15</f>
        <v>734.373874647571</v>
      </c>
      <c r="X95" s="37" t="n">
        <f aca="false">X11*①통합_가정!$R$386/①통합_가정!$E$15</f>
        <v>734.373874647571</v>
      </c>
      <c r="Y95" s="37" t="n">
        <f aca="false">Y11*①통합_가정!$R$386/①통합_가정!$E$15</f>
        <v>734.373874647571</v>
      </c>
      <c r="Z95" s="37" t="n">
        <f aca="false">Z11*①통합_가정!$R$386/①통합_가정!$E$15</f>
        <v>734.373874647571</v>
      </c>
      <c r="AA95" s="37" t="n">
        <f aca="false">AA11*①통합_가정!$R$386/①통합_가정!$E$15</f>
        <v>734.373874647571</v>
      </c>
      <c r="AB95" s="37" t="n">
        <f aca="false">AB11*①통합_가정!$R$386/①통합_가정!$E$15</f>
        <v>734.373874647571</v>
      </c>
      <c r="AC95" s="37" t="n">
        <f aca="false">AC11*①통합_가정!$R$386/①통합_가정!$E$15</f>
        <v>734.373874647571</v>
      </c>
      <c r="AD95" s="37" t="n">
        <f aca="false">AD11*①통합_가정!$R$386/①통합_가정!$E$15</f>
        <v>734.373874647571</v>
      </c>
      <c r="AE95" s="37" t="n">
        <f aca="false">AE11*①통합_가정!$R$386/①통합_가정!$E$15</f>
        <v>734.373874647571</v>
      </c>
      <c r="AF95" s="37" t="n">
        <f aca="false">AF11*①통합_가정!$R$386/①통합_가정!$E$15</f>
        <v>734.373874647571</v>
      </c>
      <c r="AG95" s="37" t="n">
        <f aca="false">AG11*①통합_가정!$R$386/①통합_가정!$E$15</f>
        <v>734.373874647571</v>
      </c>
      <c r="AH95" s="37" t="n">
        <f aca="false">AH11*①통합_가정!$R$386/①통합_가정!$E$15</f>
        <v>734.373874647571</v>
      </c>
      <c r="AI95" s="37" t="n">
        <f aca="false">AI11*①통합_가정!$R$386/①통합_가정!$E$15</f>
        <v>734.373874647571</v>
      </c>
      <c r="AJ95" s="37" t="n">
        <f aca="false">AJ11*①통합_가정!$R$386/①통합_가정!$E$15</f>
        <v>734.373874647571</v>
      </c>
      <c r="AK95" s="37" t="n">
        <f aca="false">AK11*①통합_가정!$R$386/①통합_가정!$E$15</f>
        <v>734.373874647571</v>
      </c>
      <c r="AL95" s="37" t="n">
        <f aca="false">AL11*①통합_가정!$R$386/①통합_가정!$E$15</f>
        <v>734.373874647571</v>
      </c>
      <c r="AM95" s="37" t="n">
        <f aca="false">AM11*①통합_가정!$R$386/①통합_가정!$E$15</f>
        <v>734.373874647571</v>
      </c>
      <c r="AN95" s="37" t="n">
        <f aca="false">AN11*①통합_가정!$R$386/①통합_가정!$E$15</f>
        <v>734.373874647571</v>
      </c>
      <c r="AO95" s="37" t="n">
        <f aca="false">AO11*①통합_가정!$R$386/①통합_가정!$E$15</f>
        <v>734.373874647571</v>
      </c>
      <c r="AP95" s="37" t="n">
        <f aca="false">AP11*①통합_가정!$R$386/①통합_가정!$E$15</f>
        <v>734.373874647571</v>
      </c>
      <c r="AQ95" s="37" t="n">
        <f aca="false">AQ11*①통합_가정!$R$386/①통합_가정!$E$15</f>
        <v>734.373874647571</v>
      </c>
      <c r="AR95" s="37" t="n">
        <f aca="false">AR11*①통합_가정!$R$386/①통합_가정!$E$15</f>
        <v>734.373874647571</v>
      </c>
      <c r="AS95" s="37" t="n">
        <f aca="false">AS11*①통합_가정!$R$386/①통합_가정!$E$15</f>
        <v>734.373874647571</v>
      </c>
      <c r="AT95" s="37" t="n">
        <f aca="false">AT11*①통합_가정!$R$386/①통합_가정!$E$15</f>
        <v>734.373874647571</v>
      </c>
      <c r="AU95" s="37" t="n">
        <f aca="false">AU11*①통합_가정!$R$386/①통합_가정!$E$15</f>
        <v>734.373874647571</v>
      </c>
      <c r="AV95" s="37" t="n">
        <f aca="false">AV11*①통합_가정!$R$386/①통합_가정!$E$15</f>
        <v>734.373874647571</v>
      </c>
      <c r="AW95" s="37" t="n">
        <f aca="false">AW11*①통합_가정!$R$386/①통합_가정!$E$15</f>
        <v>734.373874647571</v>
      </c>
      <c r="AX95" s="37" t="n">
        <f aca="false">AX11*①통합_가정!$R$386/①통합_가정!$E$15</f>
        <v>734.373874647571</v>
      </c>
      <c r="AY95" s="37" t="n">
        <f aca="false">AY11*①통합_가정!$R$386/①통합_가정!$E$15</f>
        <v>734.373874647571</v>
      </c>
      <c r="AZ95" s="37" t="n">
        <f aca="false">AZ11*①통합_가정!$R$386/①통합_가정!$E$15</f>
        <v>734.373874647571</v>
      </c>
      <c r="BA95" s="37" t="n">
        <f aca="false">BA11*①통합_가정!$R$386/①통합_가정!$E$15</f>
        <v>734.373874647571</v>
      </c>
      <c r="BB95" s="37" t="n">
        <f aca="false">BB11*①통합_가정!$R$386/①통합_가정!$E$15</f>
        <v>734.373874647571</v>
      </c>
      <c r="BC95" s="37" t="n">
        <f aca="false">BC11*①통합_가정!$R$386/①통합_가정!$E$15</f>
        <v>734.373874647571</v>
      </c>
      <c r="BD95" s="37" t="n">
        <f aca="false">BD11*①통합_가정!$R$386/①통합_가정!$E$15</f>
        <v>734.373874647571</v>
      </c>
      <c r="BE95" s="37" t="n">
        <f aca="false">BE11*①통합_가정!$R$386/①통합_가정!$E$15</f>
        <v>734.373874647571</v>
      </c>
      <c r="BF95" s="37" t="n">
        <f aca="false">BF11*①통합_가정!$R$386/①통합_가정!$E$15</f>
        <v>734.373874647571</v>
      </c>
      <c r="BG95" s="37" t="n">
        <f aca="false">BG11*①통합_가정!$R$386/①통합_가정!$E$15</f>
        <v>734.373874647571</v>
      </c>
      <c r="BH95" s="37" t="n">
        <f aca="false">BH11*①통합_가정!$R$386/①통합_가정!$E$15</f>
        <v>734.373874647571</v>
      </c>
      <c r="BI95" s="37" t="n">
        <f aca="false">BI11*①통합_가정!$R$386/①통합_가정!$E$15</f>
        <v>734.373874647571</v>
      </c>
      <c r="BJ95" s="37" t="n">
        <f aca="false">BJ11*①통합_가정!$R$386/①통합_가정!$E$15</f>
        <v>734.373874647571</v>
      </c>
      <c r="BK95" s="37" t="n">
        <f aca="false">BK11*①통합_가정!$R$386/①통합_가정!$E$15</f>
        <v>734.373874647571</v>
      </c>
      <c r="BL95" s="37" t="n">
        <f aca="false">BL11*①통합_가정!$R$386/①통합_가정!$E$15</f>
        <v>734.373874647571</v>
      </c>
      <c r="BM95" s="37" t="n">
        <f aca="false">BM11*①통합_가정!$R$386/①통합_가정!$E$15</f>
        <v>0</v>
      </c>
      <c r="BN95" s="37" t="n">
        <f aca="false">BN11*①통합_가정!$R$386/①통합_가정!$E$15</f>
        <v>0</v>
      </c>
      <c r="BO95" s="37" t="n">
        <f aca="false">BO11*①통합_가정!$R$386/①통합_가정!$E$15</f>
        <v>0</v>
      </c>
      <c r="BP95" s="37" t="n">
        <f aca="false">BP11*①통합_가정!$R$386/①통합_가정!$E$15</f>
        <v>0</v>
      </c>
      <c r="BQ95" s="37" t="n">
        <f aca="false">BQ11*①통합_가정!$R$386/①통합_가정!$E$15</f>
        <v>0</v>
      </c>
      <c r="BR95" s="37" t="n">
        <f aca="false">BR11*①통합_가정!$R$386/①통합_가정!$E$15</f>
        <v>0</v>
      </c>
      <c r="BS95" s="37" t="n">
        <f aca="false">BS11*①통합_가정!$R$386/①통합_가정!$E$15</f>
        <v>0</v>
      </c>
      <c r="BT95" s="37" t="n">
        <f aca="false">BT11*①통합_가정!$R$386/①통합_가정!$E$15</f>
        <v>0</v>
      </c>
      <c r="BU95" s="37" t="n">
        <f aca="false">BU11*①통합_가정!$R$386/①통합_가정!$E$15</f>
        <v>0</v>
      </c>
      <c r="BV95" s="37" t="n">
        <f aca="false">BV11*①통합_가정!$R$386/①통합_가정!$E$15</f>
        <v>0</v>
      </c>
      <c r="BW95" s="37" t="n">
        <f aca="false">BW11*①통합_가정!$R$386/①통합_가정!$E$15</f>
        <v>0</v>
      </c>
      <c r="BX95" s="37" t="n">
        <f aca="false">BX11*①통합_가정!$R$386/①통합_가정!$E$15</f>
        <v>0</v>
      </c>
      <c r="BY95" s="37" t="n">
        <f aca="false">BY11*①통합_가정!$R$386/①통합_가정!$E$15</f>
        <v>0</v>
      </c>
      <c r="BZ95" s="37" t="n">
        <f aca="false">BZ11*①통합_가정!$R$386/①통합_가정!$E$15</f>
        <v>0</v>
      </c>
      <c r="CA95" s="37" t="n">
        <f aca="false">CA11*①통합_가정!$R$386/①통합_가정!$E$15</f>
        <v>0</v>
      </c>
      <c r="CB95" s="37" t="n">
        <f aca="false">CB11*①통합_가정!$R$386/①통합_가정!$E$15</f>
        <v>0</v>
      </c>
      <c r="CC95" s="37" t="n">
        <f aca="false">CC11*①통합_가정!$R$386/①통합_가정!$E$15</f>
        <v>0</v>
      </c>
      <c r="CD95" s="37" t="n">
        <f aca="false">CD11*①통합_가정!$R$386/①통합_가정!$E$15</f>
        <v>0</v>
      </c>
      <c r="CE95" s="37" t="n">
        <f aca="false">CE11*①통합_가정!$R$386/①통합_가정!$E$15</f>
        <v>0</v>
      </c>
      <c r="CF95" s="37" t="n">
        <f aca="false">CF11*①통합_가정!$R$386/①통합_가정!$E$15</f>
        <v>0</v>
      </c>
      <c r="CG95" s="37" t="n">
        <f aca="false">CG11*①통합_가정!$R$386/①통합_가정!$E$15</f>
        <v>0</v>
      </c>
      <c r="CH95" s="37" t="n">
        <f aca="false">CH11*①통합_가정!$R$386/①통합_가정!$E$15</f>
        <v>0</v>
      </c>
      <c r="CI95" s="37" t="n">
        <f aca="false">CI11*①통합_가정!$R$386/①통합_가정!$E$15</f>
        <v>0</v>
      </c>
      <c r="CJ95" s="37" t="n">
        <f aca="false">CJ11*①통합_가정!$R$386/①통합_가정!$E$15</f>
        <v>0</v>
      </c>
      <c r="CK95" s="37" t="n">
        <f aca="false">CK11*①통합_가정!$R$386/①통합_가정!$E$15</f>
        <v>0</v>
      </c>
      <c r="CL95" s="37" t="n">
        <f aca="false">CL11*①통합_가정!$R$386/①통합_가정!$E$15</f>
        <v>0</v>
      </c>
      <c r="CM95" s="37" t="n">
        <f aca="false">CM11*①통합_가정!$R$386/①통합_가정!$E$15</f>
        <v>0</v>
      </c>
      <c r="CN95" s="37" t="n">
        <f aca="false">CN11*①통합_가정!$R$386/①통합_가정!$E$15</f>
        <v>0</v>
      </c>
      <c r="CO95" s="37" t="n">
        <f aca="false">CO11*①통합_가정!$R$386/①통합_가정!$E$15</f>
        <v>0</v>
      </c>
      <c r="CP95" s="37" t="n">
        <f aca="false">CP11*①통합_가정!$R$386/①통합_가정!$E$15</f>
        <v>0</v>
      </c>
      <c r="CQ95" s="37" t="n">
        <f aca="false">CQ11*①통합_가정!$R$386/①통합_가정!$E$15</f>
        <v>0</v>
      </c>
      <c r="CR95" s="37" t="n">
        <f aca="false">CR11*①통합_가정!$R$386/①통합_가정!$E$15</f>
        <v>0</v>
      </c>
      <c r="CS95" s="37" t="n">
        <f aca="false">CS11*①통합_가정!$R$386/①통합_가정!$E$15</f>
        <v>0</v>
      </c>
      <c r="CT95" s="37" t="n">
        <f aca="false">CT11*①통합_가정!$R$386/①통합_가정!$E$15</f>
        <v>0</v>
      </c>
      <c r="CU95" s="37" t="n">
        <f aca="false">CU11*①통합_가정!$R$386/①통합_가정!$E$15</f>
        <v>0</v>
      </c>
      <c r="CV95" s="37" t="n">
        <f aca="false">CV11*①통합_가정!$R$386/①통합_가정!$E$15</f>
        <v>0</v>
      </c>
      <c r="CW95" s="37" t="n">
        <f aca="false">CW11*①통합_가정!$R$386/①통합_가정!$E$15</f>
        <v>0</v>
      </c>
      <c r="CX95" s="37" t="n">
        <f aca="false">CX11*①통합_가정!$R$386/①통합_가정!$E$15</f>
        <v>0</v>
      </c>
      <c r="CY95" s="37" t="n">
        <f aca="false">CY11*①통합_가정!$R$386/①통합_가정!$E$15</f>
        <v>0</v>
      </c>
      <c r="CZ95" s="37" t="n">
        <f aca="false">CZ11*①통합_가정!$R$386/①통합_가정!$E$15</f>
        <v>0</v>
      </c>
      <c r="DA95" s="37" t="n">
        <f aca="false">DA11*①통합_가정!$R$386/①통합_가정!$E$15</f>
        <v>0</v>
      </c>
      <c r="DB95" s="37" t="n">
        <f aca="false">DB11*①통합_가정!$R$386/①통합_가정!$E$15</f>
        <v>0</v>
      </c>
      <c r="DC95" s="37" t="n">
        <f aca="false">DC11*①통합_가정!$R$386/①통합_가정!$E$15</f>
        <v>0</v>
      </c>
      <c r="DD95" s="37" t="n">
        <f aca="false">DD11*①통합_가정!$R$386/①통합_가정!$E$15</f>
        <v>0</v>
      </c>
      <c r="DE95" s="37" t="n">
        <f aca="false">DE11*①통합_가정!$R$386/①통합_가정!$E$15</f>
        <v>0</v>
      </c>
      <c r="DF95" s="37" t="n">
        <f aca="false">DF11*①통합_가정!$R$386/①통합_가정!$E$15</f>
        <v>0</v>
      </c>
      <c r="DG95" s="37" t="n">
        <f aca="false">DG11*①통합_가정!$R$386/①통합_가정!$E$15</f>
        <v>0</v>
      </c>
      <c r="DH95" s="37" t="n">
        <f aca="false">DH11*①통합_가정!$R$386/①통합_가정!$E$15</f>
        <v>0</v>
      </c>
      <c r="DI95" s="37" t="n">
        <f aca="false">DI11*①통합_가정!$R$386/①통합_가정!$E$15</f>
        <v>0</v>
      </c>
      <c r="DJ95" s="37" t="n">
        <f aca="false">DJ11*①통합_가정!$R$386/①통합_가정!$E$15</f>
        <v>0</v>
      </c>
      <c r="DK95" s="37" t="n">
        <f aca="false">DK11*①통합_가정!$R$386/①통합_가정!$E$15</f>
        <v>0</v>
      </c>
      <c r="DL95" s="37" t="n">
        <f aca="false">DL11*①통합_가정!$R$386/①통합_가정!$E$15</f>
        <v>0</v>
      </c>
      <c r="DM95" s="37" t="n">
        <f aca="false">DM11*①통합_가정!$R$386/①통합_가정!$E$15</f>
        <v>0</v>
      </c>
      <c r="DN95" s="37" t="n">
        <f aca="false">DN11*①통합_가정!$R$386/①통합_가정!$E$15</f>
        <v>0</v>
      </c>
      <c r="DO95" s="37" t="n">
        <f aca="false">DO11*①통합_가정!$R$386/①통합_가정!$E$15</f>
        <v>0</v>
      </c>
      <c r="DP95" s="37" t="n">
        <f aca="false">DP11*①통합_가정!$R$386/①통합_가정!$E$15</f>
        <v>0</v>
      </c>
      <c r="DQ95" s="37" t="n">
        <f aca="false">DQ11*①통합_가정!$R$386/①통합_가정!$E$15</f>
        <v>0</v>
      </c>
      <c r="DR95" s="37" t="n">
        <f aca="false">DR11*①통합_가정!$R$386/①통합_가정!$E$15</f>
        <v>0</v>
      </c>
      <c r="DS95" s="37" t="n">
        <f aca="false">DS11*①통합_가정!$R$386/①통합_가정!$E$15</f>
        <v>0</v>
      </c>
      <c r="DT95" s="37" t="n">
        <f aca="false">DT11*①통합_가정!$R$386/①통합_가정!$E$15</f>
        <v>0</v>
      </c>
      <c r="DU95" s="37" t="n">
        <f aca="false">DU11*①통합_가정!$R$386/①통합_가정!$E$15</f>
        <v>0</v>
      </c>
      <c r="DV95" s="37" t="n">
        <f aca="false">DV11*①통합_가정!$R$386/①통합_가정!$E$15</f>
        <v>0</v>
      </c>
      <c r="DW95" s="37" t="n">
        <f aca="false">DW11*①통합_가정!$R$386/①통합_가정!$E$15</f>
        <v>0</v>
      </c>
      <c r="DX95" s="37" t="n">
        <f aca="false">DX11*①통합_가정!$R$386/①통합_가정!$E$15</f>
        <v>0</v>
      </c>
      <c r="DY95" s="37" t="n">
        <f aca="false">DY11*①통합_가정!$R$386/①통합_가정!$E$15</f>
        <v>0</v>
      </c>
      <c r="DZ95" s="37" t="n">
        <f aca="false">DZ11*①통합_가정!$R$386/①통합_가정!$E$15</f>
        <v>0</v>
      </c>
      <c r="EA95" s="37" t="n">
        <f aca="false">EA11*①통합_가정!$R$386/①통합_가정!$E$15</f>
        <v>0</v>
      </c>
      <c r="EB95" s="37" t="n">
        <f aca="false">EB11*①통합_가정!$R$386/①통합_가정!$E$15</f>
        <v>0</v>
      </c>
      <c r="EC95" s="37" t="n">
        <f aca="false">EC11*①통합_가정!$R$386/①통합_가정!$E$15</f>
        <v>0</v>
      </c>
      <c r="ED95" s="37" t="n">
        <f aca="false">ED11*①통합_가정!$R$386/①통합_가정!$E$15</f>
        <v>0</v>
      </c>
      <c r="EE95" s="37" t="n">
        <f aca="false">EE11*①통합_가정!$R$386/①통합_가정!$E$15</f>
        <v>0</v>
      </c>
      <c r="EF95" s="37" t="n">
        <f aca="false">EF11*①통합_가정!$R$386/①통합_가정!$E$15</f>
        <v>0</v>
      </c>
    </row>
    <row r="96" customFormat="false" ht="15" hidden="false" customHeight="false" outlineLevel="0" collapsed="false">
      <c r="A96" s="36" t="s">
        <v>636</v>
      </c>
      <c r="B96" s="278" t="s">
        <v>21</v>
      </c>
      <c r="C96" s="279" t="n">
        <f aca="false">SUM(E96:EF96)</f>
        <v>29598.3136</v>
      </c>
      <c r="E96" s="37" t="n">
        <f aca="false">IF(E6=①통합_가정!$E$16,①통합_가정!$R$389,0)</f>
        <v>0</v>
      </c>
      <c r="F96" s="37" t="n">
        <f aca="false">IF(F6=①통합_가정!$E$16,①통합_가정!$R$389,0)</f>
        <v>0</v>
      </c>
      <c r="G96" s="37" t="n">
        <f aca="false">IF(G6=①통합_가정!$E$16,①통합_가정!$R$389,0)</f>
        <v>0</v>
      </c>
      <c r="H96" s="37" t="n">
        <f aca="false">IF(H6=①통합_가정!$E$16,①통합_가정!$R$389,0)</f>
        <v>0</v>
      </c>
      <c r="I96" s="37" t="n">
        <f aca="false">IF(I6=①통합_가정!$E$16,①통합_가정!$R$389,0)</f>
        <v>0</v>
      </c>
      <c r="J96" s="37" t="n">
        <f aca="false">IF(J6=①통합_가정!$E$16,①통합_가정!$R$389,0)</f>
        <v>0</v>
      </c>
      <c r="K96" s="37" t="n">
        <f aca="false">IF(K6=①통합_가정!$E$16,①통합_가정!$R$389,0)</f>
        <v>0</v>
      </c>
      <c r="L96" s="37" t="n">
        <f aca="false">IF(L6=①통합_가정!$E$16,①통합_가정!$R$389,0)</f>
        <v>0</v>
      </c>
      <c r="M96" s="37" t="n">
        <f aca="false">IF(M6=①통합_가정!$E$16,①통합_가정!$R$389,0)</f>
        <v>0</v>
      </c>
      <c r="N96" s="37" t="n">
        <f aca="false">IF(N6=①통합_가정!$E$16,①통합_가정!$R$389,0)</f>
        <v>0</v>
      </c>
      <c r="O96" s="37" t="n">
        <f aca="false">IF(O6=①통합_가정!$E$16,①통합_가정!$R$389,0)</f>
        <v>0</v>
      </c>
      <c r="P96" s="37" t="n">
        <f aca="false">IF(P6=①통합_가정!$E$16,①통합_가정!$R$389,0)</f>
        <v>0</v>
      </c>
      <c r="Q96" s="37" t="n">
        <f aca="false">IF(Q6=①통합_가정!$E$16,①통합_가정!$R$389,0)</f>
        <v>0</v>
      </c>
      <c r="R96" s="37" t="n">
        <f aca="false">IF(R6=①통합_가정!$E$16,①통합_가정!$R$389,0)</f>
        <v>0</v>
      </c>
      <c r="S96" s="37" t="n">
        <f aca="false">IF(S6=①통합_가정!$E$16,①통합_가정!$R$389,0)</f>
        <v>0</v>
      </c>
      <c r="T96" s="37" t="n">
        <f aca="false">IF(T6=①통합_가정!$E$16,①통합_가정!$R$389,0)</f>
        <v>0</v>
      </c>
      <c r="U96" s="37" t="n">
        <f aca="false">IF(U6=①통합_가정!$E$16,①통합_가정!$R$389,0)</f>
        <v>0</v>
      </c>
      <c r="V96" s="37" t="n">
        <f aca="false">IF(V6=①통합_가정!$E$16,①통합_가정!$R$389,0)</f>
        <v>0</v>
      </c>
      <c r="W96" s="37" t="n">
        <f aca="false">IF(W6=①통합_가정!$E$16,①통합_가정!$R$389,0)</f>
        <v>0</v>
      </c>
      <c r="X96" s="37" t="n">
        <f aca="false">IF(X6=①통합_가정!$E$16,①통합_가정!$R$389,0)</f>
        <v>0</v>
      </c>
      <c r="Y96" s="37" t="n">
        <f aca="false">IF(Y6=①통합_가정!$E$16,①통합_가정!$R$389,0)</f>
        <v>0</v>
      </c>
      <c r="Z96" s="37" t="n">
        <f aca="false">IF(Z6=①통합_가정!$E$16,①통합_가정!$R$389,0)</f>
        <v>0</v>
      </c>
      <c r="AA96" s="37" t="n">
        <f aca="false">IF(AA6=①통합_가정!$E$16,①통합_가정!$R$389,0)</f>
        <v>0</v>
      </c>
      <c r="AB96" s="37" t="n">
        <f aca="false">IF(AB6=①통합_가정!$E$16,①통합_가정!$R$389,0)</f>
        <v>0</v>
      </c>
      <c r="AC96" s="37" t="n">
        <f aca="false">IF(AC6=①통합_가정!$E$16,①통합_가정!$R$389,0)</f>
        <v>0</v>
      </c>
      <c r="AD96" s="37" t="n">
        <f aca="false">IF(AD6=①통합_가정!$E$16,①통합_가정!$R$389,0)</f>
        <v>0</v>
      </c>
      <c r="AE96" s="37" t="n">
        <f aca="false">IF(AE6=①통합_가정!$E$16,①통합_가정!$R$389,0)</f>
        <v>0</v>
      </c>
      <c r="AF96" s="37" t="n">
        <f aca="false">IF(AF6=①통합_가정!$E$16,①통합_가정!$R$389,0)</f>
        <v>0</v>
      </c>
      <c r="AG96" s="37" t="n">
        <f aca="false">IF(AG6=①통합_가정!$E$16,①통합_가정!$R$389,0)</f>
        <v>0</v>
      </c>
      <c r="AH96" s="37" t="n">
        <f aca="false">IF(AH6=①통합_가정!$E$16,①통합_가정!$R$389,0)</f>
        <v>0</v>
      </c>
      <c r="AI96" s="37" t="n">
        <f aca="false">IF(AI6=①통합_가정!$E$16,①통합_가정!$R$389,0)</f>
        <v>0</v>
      </c>
      <c r="AJ96" s="37" t="n">
        <f aca="false">IF(AJ6=①통합_가정!$E$16,①통합_가정!$R$389,0)</f>
        <v>0</v>
      </c>
      <c r="AK96" s="37" t="n">
        <f aca="false">IF(AK6=①통합_가정!$E$16,①통합_가정!$R$389,0)</f>
        <v>0</v>
      </c>
      <c r="AL96" s="37" t="n">
        <f aca="false">IF(AL6=①통합_가정!$E$16,①통합_가정!$R$389,0)</f>
        <v>0</v>
      </c>
      <c r="AM96" s="37" t="n">
        <f aca="false">IF(AM6=①통합_가정!$E$16,①통합_가정!$R$389,0)</f>
        <v>0</v>
      </c>
      <c r="AN96" s="37" t="n">
        <f aca="false">IF(AN6=①통합_가정!$E$16,①통합_가정!$R$389,0)</f>
        <v>0</v>
      </c>
      <c r="AO96" s="37" t="n">
        <f aca="false">IF(AO6=①통합_가정!$E$16,①통합_가정!$R$389,0)</f>
        <v>0</v>
      </c>
      <c r="AP96" s="37" t="n">
        <f aca="false">IF(AP6=①통합_가정!$E$16,①통합_가정!$R$389,0)</f>
        <v>0</v>
      </c>
      <c r="AQ96" s="37" t="n">
        <f aca="false">IF(AQ6=①통합_가정!$E$16,①통합_가정!$R$389,0)</f>
        <v>0</v>
      </c>
      <c r="AR96" s="37" t="n">
        <f aca="false">IF(AR6=①통합_가정!$E$16,①통합_가정!$R$389,0)</f>
        <v>0</v>
      </c>
      <c r="AS96" s="37" t="n">
        <f aca="false">IF(AS6=①통합_가정!$E$16,①통합_가정!$R$389,0)</f>
        <v>0</v>
      </c>
      <c r="AT96" s="37" t="n">
        <f aca="false">IF(AT6=①통합_가정!$E$16,①통합_가정!$R$389,0)</f>
        <v>0</v>
      </c>
      <c r="AU96" s="37" t="n">
        <f aca="false">IF(AU6=①통합_가정!$E$16,①통합_가정!$R$389,0)</f>
        <v>0</v>
      </c>
      <c r="AV96" s="37" t="n">
        <f aca="false">IF(AV6=①통합_가정!$E$16,①통합_가정!$R$389,0)</f>
        <v>0</v>
      </c>
      <c r="AW96" s="37" t="n">
        <f aca="false">IF(AW6=①통합_가정!$E$16,①통합_가정!$R$389,0)</f>
        <v>0</v>
      </c>
      <c r="AX96" s="37" t="n">
        <f aca="false">IF(AX6=①통합_가정!$E$16,①통합_가정!$R$389,0)</f>
        <v>0</v>
      </c>
      <c r="AY96" s="37" t="n">
        <f aca="false">IF(AY6=①통합_가정!$E$16,①통합_가정!$R$389,0)</f>
        <v>0</v>
      </c>
      <c r="AZ96" s="37" t="n">
        <f aca="false">IF(AZ6=①통합_가정!$E$16,①통합_가정!$R$389,0)</f>
        <v>0</v>
      </c>
      <c r="BA96" s="37" t="n">
        <f aca="false">IF(BA6=①통합_가정!$E$16,①통합_가정!$R$389,0)</f>
        <v>0</v>
      </c>
      <c r="BB96" s="37" t="n">
        <f aca="false">IF(BB6=①통합_가정!$E$16,①통합_가정!$R$389,0)</f>
        <v>0</v>
      </c>
      <c r="BC96" s="37" t="n">
        <f aca="false">IF(BC6=①통합_가정!$E$16,①통합_가정!$R$389,0)</f>
        <v>0</v>
      </c>
      <c r="BD96" s="37" t="n">
        <f aca="false">IF(BD6=①통합_가정!$E$16,①통합_가정!$R$389,0)</f>
        <v>0</v>
      </c>
      <c r="BE96" s="37" t="n">
        <f aca="false">IF(BE6=①통합_가정!$E$16,①통합_가정!$R$389,0)</f>
        <v>0</v>
      </c>
      <c r="BF96" s="37" t="n">
        <f aca="false">IF(BF6=①통합_가정!$E$16,①통합_가정!$R$389,0)</f>
        <v>0</v>
      </c>
      <c r="BG96" s="37" t="n">
        <f aca="false">IF(BG6=①통합_가정!$E$16,①통합_가정!$R$389,0)</f>
        <v>0</v>
      </c>
      <c r="BH96" s="37" t="n">
        <f aca="false">IF(BH6=①통합_가정!$E$16,①통합_가정!$R$389,0)</f>
        <v>0</v>
      </c>
      <c r="BI96" s="37" t="n">
        <f aca="false">IF(BI6=①통합_가정!$E$16,①통합_가정!$R$389,0)</f>
        <v>0</v>
      </c>
      <c r="BJ96" s="37" t="n">
        <f aca="false">IF(BJ6=①통합_가정!$E$16,①통합_가정!$R$389,0)</f>
        <v>0</v>
      </c>
      <c r="BK96" s="37" t="n">
        <f aca="false">IF(BK6=①통합_가정!$E$16,①통합_가정!$R$389,0)</f>
        <v>0</v>
      </c>
      <c r="BL96" s="37" t="n">
        <f aca="false">IF(BL6=①통합_가정!$E$16,①통합_가정!$R$389,0)</f>
        <v>29598.3136</v>
      </c>
      <c r="BM96" s="37" t="n">
        <f aca="false">IF(BM6=①통합_가정!$E$16,①통합_가정!$R$389,0)</f>
        <v>0</v>
      </c>
      <c r="BN96" s="37" t="n">
        <f aca="false">IF(BN6=①통합_가정!$E$16,①통합_가정!$R$389,0)</f>
        <v>0</v>
      </c>
      <c r="BO96" s="37" t="n">
        <f aca="false">IF(BO6=①통합_가정!$E$16,①통합_가정!$R$389,0)</f>
        <v>0</v>
      </c>
      <c r="BP96" s="37" t="n">
        <f aca="false">IF(BP6=①통합_가정!$E$16,①통합_가정!$R$389,0)</f>
        <v>0</v>
      </c>
      <c r="BQ96" s="37" t="n">
        <f aca="false">IF(BQ6=①통합_가정!$E$16,①통합_가정!$R$389,0)</f>
        <v>0</v>
      </c>
      <c r="BR96" s="37" t="n">
        <f aca="false">IF(BR6=①통합_가정!$E$16,①통합_가정!$R$389,0)</f>
        <v>0</v>
      </c>
      <c r="BS96" s="37" t="n">
        <f aca="false">IF(BS6=①통합_가정!$E$16,①통합_가정!$R$389,0)</f>
        <v>0</v>
      </c>
      <c r="BT96" s="37" t="n">
        <f aca="false">IF(BT6=①통합_가정!$E$16,①통합_가정!$R$389,0)</f>
        <v>0</v>
      </c>
      <c r="BU96" s="37" t="n">
        <f aca="false">IF(BU6=①통합_가정!$E$16,①통합_가정!$R$389,0)</f>
        <v>0</v>
      </c>
      <c r="BV96" s="37" t="n">
        <f aca="false">IF(BV6=①통합_가정!$E$16,①통합_가정!$R$389,0)</f>
        <v>0</v>
      </c>
      <c r="BW96" s="37" t="n">
        <f aca="false">IF(BW6=①통합_가정!$E$16,①통합_가정!$R$389,0)</f>
        <v>0</v>
      </c>
      <c r="BX96" s="37" t="n">
        <f aca="false">IF(BX6=①통합_가정!$E$16,①통합_가정!$R$389,0)</f>
        <v>0</v>
      </c>
      <c r="BY96" s="37" t="n">
        <f aca="false">IF(BY6=①통합_가정!$E$16,①통합_가정!$R$389,0)</f>
        <v>0</v>
      </c>
      <c r="BZ96" s="37" t="n">
        <f aca="false">IF(BZ6=①통합_가정!$E$16,①통합_가정!$R$389,0)</f>
        <v>0</v>
      </c>
      <c r="CA96" s="37" t="n">
        <f aca="false">IF(CA6=①통합_가정!$E$16,①통합_가정!$R$389,0)</f>
        <v>0</v>
      </c>
      <c r="CB96" s="37" t="n">
        <f aca="false">IF(CB6=①통합_가정!$E$16,①통합_가정!$R$389,0)</f>
        <v>0</v>
      </c>
      <c r="CC96" s="37" t="n">
        <f aca="false">IF(CC6=①통합_가정!$E$16,①통합_가정!$R$389,0)</f>
        <v>0</v>
      </c>
      <c r="CD96" s="37" t="n">
        <f aca="false">IF(CD6=①통합_가정!$E$16,①통합_가정!$R$389,0)</f>
        <v>0</v>
      </c>
      <c r="CE96" s="37" t="n">
        <f aca="false">IF(CE6=①통합_가정!$E$16,①통합_가정!$R$389,0)</f>
        <v>0</v>
      </c>
      <c r="CF96" s="37" t="n">
        <f aca="false">IF(CF6=①통합_가정!$E$16,①통합_가정!$R$389,0)</f>
        <v>0</v>
      </c>
      <c r="CG96" s="37" t="n">
        <f aca="false">IF(CG6=①통합_가정!$E$16,①통합_가정!$R$389,0)</f>
        <v>0</v>
      </c>
      <c r="CH96" s="37" t="n">
        <f aca="false">IF(CH6=①통합_가정!$E$16,①통합_가정!$R$389,0)</f>
        <v>0</v>
      </c>
      <c r="CI96" s="37" t="n">
        <f aca="false">IF(CI6=①통합_가정!$E$16,①통합_가정!$R$389,0)</f>
        <v>0</v>
      </c>
      <c r="CJ96" s="37" t="n">
        <f aca="false">IF(CJ6=①통합_가정!$E$16,①통합_가정!$R$389,0)</f>
        <v>0</v>
      </c>
      <c r="CK96" s="37" t="n">
        <f aca="false">IF(CK6=①통합_가정!$E$16,①통합_가정!$R$389,0)</f>
        <v>0</v>
      </c>
      <c r="CL96" s="37" t="n">
        <f aca="false">IF(CL6=①통합_가정!$E$16,①통합_가정!$R$389,0)</f>
        <v>0</v>
      </c>
      <c r="CM96" s="37" t="n">
        <f aca="false">IF(CM6=①통합_가정!$E$16,①통합_가정!$R$389,0)</f>
        <v>0</v>
      </c>
      <c r="CN96" s="37" t="n">
        <f aca="false">IF(CN6=①통합_가정!$E$16,①통합_가정!$R$389,0)</f>
        <v>0</v>
      </c>
      <c r="CO96" s="37" t="n">
        <f aca="false">IF(CO6=①통합_가정!$E$16,①통합_가정!$R$389,0)</f>
        <v>0</v>
      </c>
      <c r="CP96" s="37" t="n">
        <f aca="false">IF(CP6=①통합_가정!$E$16,①통합_가정!$R$389,0)</f>
        <v>0</v>
      </c>
      <c r="CQ96" s="37" t="n">
        <f aca="false">IF(CQ6=①통합_가정!$E$16,①통합_가정!$R$389,0)</f>
        <v>0</v>
      </c>
      <c r="CR96" s="37" t="n">
        <f aca="false">IF(CR6=①통합_가정!$E$16,①통합_가정!$R$389,0)</f>
        <v>0</v>
      </c>
      <c r="CS96" s="37" t="n">
        <f aca="false">IF(CS6=①통합_가정!$E$16,①통합_가정!$R$389,0)</f>
        <v>0</v>
      </c>
      <c r="CT96" s="37" t="n">
        <f aca="false">IF(CT6=①통합_가정!$E$16,①통합_가정!$R$389,0)</f>
        <v>0</v>
      </c>
      <c r="CU96" s="37" t="n">
        <f aca="false">IF(CU6=①통합_가정!$E$16,①통합_가정!$R$389,0)</f>
        <v>0</v>
      </c>
      <c r="CV96" s="37" t="n">
        <f aca="false">IF(CV6=①통합_가정!$E$16,①통합_가정!$R$389,0)</f>
        <v>0</v>
      </c>
      <c r="CW96" s="37" t="n">
        <f aca="false">IF(CW6=①통합_가정!$E$16,①통합_가정!$R$389,0)</f>
        <v>0</v>
      </c>
      <c r="CX96" s="37" t="n">
        <f aca="false">IF(CX6=①통합_가정!$E$16,①통합_가정!$R$389,0)</f>
        <v>0</v>
      </c>
      <c r="CY96" s="37" t="n">
        <f aca="false">IF(CY6=①통합_가정!$E$16,①통합_가정!$R$389,0)</f>
        <v>0</v>
      </c>
      <c r="CZ96" s="37" t="n">
        <f aca="false">IF(CZ6=①통합_가정!$E$16,①통합_가정!$R$389,0)</f>
        <v>0</v>
      </c>
      <c r="DA96" s="37" t="n">
        <f aca="false">IF(DA6=①통합_가정!$E$16,①통합_가정!$R$389,0)</f>
        <v>0</v>
      </c>
      <c r="DB96" s="37" t="n">
        <f aca="false">IF(DB6=①통합_가정!$E$16,①통합_가정!$R$389,0)</f>
        <v>0</v>
      </c>
      <c r="DC96" s="37" t="n">
        <f aca="false">IF(DC6=①통합_가정!$E$16,①통합_가정!$R$389,0)</f>
        <v>0</v>
      </c>
      <c r="DD96" s="37" t="n">
        <f aca="false">IF(DD6=①통합_가정!$E$16,①통합_가정!$R$389,0)</f>
        <v>0</v>
      </c>
      <c r="DE96" s="37" t="n">
        <f aca="false">IF(DE6=①통합_가정!$E$16,①통합_가정!$R$389,0)</f>
        <v>0</v>
      </c>
      <c r="DF96" s="37" t="n">
        <f aca="false">IF(DF6=①통합_가정!$E$16,①통합_가정!$R$389,0)</f>
        <v>0</v>
      </c>
      <c r="DG96" s="37" t="n">
        <f aca="false">IF(DG6=①통합_가정!$E$16,①통합_가정!$R$389,0)</f>
        <v>0</v>
      </c>
      <c r="DH96" s="37" t="n">
        <f aca="false">IF(DH6=①통합_가정!$E$16,①통합_가정!$R$389,0)</f>
        <v>0</v>
      </c>
      <c r="DI96" s="37" t="n">
        <f aca="false">IF(DI6=①통합_가정!$E$16,①통합_가정!$R$389,0)</f>
        <v>0</v>
      </c>
      <c r="DJ96" s="37" t="n">
        <f aca="false">IF(DJ6=①통합_가정!$E$16,①통합_가정!$R$389,0)</f>
        <v>0</v>
      </c>
      <c r="DK96" s="37" t="n">
        <f aca="false">IF(DK6=①통합_가정!$E$16,①통합_가정!$R$389,0)</f>
        <v>0</v>
      </c>
      <c r="DL96" s="37" t="n">
        <f aca="false">IF(DL6=①통합_가정!$E$16,①통합_가정!$R$389,0)</f>
        <v>0</v>
      </c>
      <c r="DM96" s="37" t="n">
        <f aca="false">IF(DM6=①통합_가정!$E$16,①통합_가정!$R$389,0)</f>
        <v>0</v>
      </c>
      <c r="DN96" s="37" t="n">
        <f aca="false">IF(DN6=①통합_가정!$E$16,①통합_가정!$R$389,0)</f>
        <v>0</v>
      </c>
      <c r="DO96" s="37" t="n">
        <f aca="false">IF(DO6=①통합_가정!$E$16,①통합_가정!$R$389,0)</f>
        <v>0</v>
      </c>
      <c r="DP96" s="37" t="n">
        <f aca="false">IF(DP6=①통합_가정!$E$16,①통합_가정!$R$389,0)</f>
        <v>0</v>
      </c>
      <c r="DQ96" s="37" t="n">
        <f aca="false">IF(DQ6=①통합_가정!$E$16,①통합_가정!$R$389,0)</f>
        <v>0</v>
      </c>
      <c r="DR96" s="37" t="n">
        <f aca="false">IF(DR6=①통합_가정!$E$16,①통합_가정!$R$389,0)</f>
        <v>0</v>
      </c>
      <c r="DS96" s="37" t="n">
        <f aca="false">IF(DS6=①통합_가정!$E$16,①통합_가정!$R$389,0)</f>
        <v>0</v>
      </c>
      <c r="DT96" s="37" t="n">
        <f aca="false">IF(DT6=①통합_가정!$E$16,①통합_가정!$R$389,0)</f>
        <v>0</v>
      </c>
      <c r="DU96" s="37" t="n">
        <f aca="false">IF(DU6=①통합_가정!$E$16,①통합_가정!$R$389,0)</f>
        <v>0</v>
      </c>
      <c r="DV96" s="37" t="n">
        <f aca="false">IF(DV6=①통합_가정!$E$16,①통합_가정!$R$389,0)</f>
        <v>0</v>
      </c>
      <c r="DW96" s="37" t="n">
        <f aca="false">IF(DW6=①통합_가정!$E$16,①통합_가정!$R$389,0)</f>
        <v>0</v>
      </c>
      <c r="DX96" s="37" t="n">
        <f aca="false">IF(DX6=①통합_가정!$E$16,①통합_가정!$R$389,0)</f>
        <v>0</v>
      </c>
      <c r="DY96" s="37" t="n">
        <f aca="false">IF(DY6=①통합_가정!$E$16,①통합_가정!$R$389,0)</f>
        <v>0</v>
      </c>
      <c r="DZ96" s="37" t="n">
        <f aca="false">IF(DZ6=①통합_가정!$E$16,①통합_가정!$R$389,0)</f>
        <v>0</v>
      </c>
      <c r="EA96" s="37" t="n">
        <f aca="false">IF(EA6=①통합_가정!$E$16,①통합_가정!$R$389,0)</f>
        <v>0</v>
      </c>
      <c r="EB96" s="37" t="n">
        <f aca="false">IF(EB6=①통합_가정!$E$16,①통합_가정!$R$389,0)</f>
        <v>0</v>
      </c>
      <c r="EC96" s="37" t="n">
        <f aca="false">IF(EC6=①통합_가정!$E$16,①통합_가정!$R$389,0)</f>
        <v>0</v>
      </c>
      <c r="ED96" s="37" t="n">
        <f aca="false">IF(ED6=①통합_가정!$E$16,①통합_가정!$R$389,0)</f>
        <v>0</v>
      </c>
      <c r="EE96" s="37" t="n">
        <f aca="false">IF(EE6=①통합_가정!$E$16,①통합_가정!$R$389,0)</f>
        <v>0</v>
      </c>
      <c r="EF96" s="37" t="n">
        <f aca="false">IF(EF6=①통합_가정!$E$16,①통합_가정!$R$389,0)</f>
        <v>0</v>
      </c>
    </row>
    <row r="97" customFormat="false" ht="15" hidden="false" customHeight="false" outlineLevel="0" collapsed="false">
      <c r="A97" s="36" t="s">
        <v>637</v>
      </c>
      <c r="B97" s="278" t="s">
        <v>21</v>
      </c>
      <c r="C97" s="279" t="n">
        <f aca="false">SUM(E97:EF97)</f>
        <v>1945.32895718198</v>
      </c>
      <c r="E97" s="37" t="n">
        <f aca="false">IF(E6=①통합_가정!$E$8,①통합_가정!$R$409+①통합_가정!$R$410+①통합_가정!$R$411,0)</f>
        <v>1945.32895718198</v>
      </c>
      <c r="F97" s="37" t="n">
        <f aca="false">IF(F6=①통합_가정!$E$8,①통합_가정!$R$409+①통합_가정!$R$410+①통합_가정!$R$411,0)</f>
        <v>0</v>
      </c>
      <c r="G97" s="37" t="n">
        <f aca="false">IF(G6=①통합_가정!$E$8,①통합_가정!$R$409+①통합_가정!$R$410+①통합_가정!$R$411,0)</f>
        <v>0</v>
      </c>
      <c r="H97" s="37" t="n">
        <f aca="false">IF(H6=①통합_가정!$E$8,①통합_가정!$R$409+①통합_가정!$R$410+①통합_가정!$R$411,0)</f>
        <v>0</v>
      </c>
      <c r="I97" s="37" t="n">
        <f aca="false">IF(I6=①통합_가정!$E$8,①통합_가정!$R$409+①통합_가정!$R$410+①통합_가정!$R$411,0)</f>
        <v>0</v>
      </c>
      <c r="J97" s="37" t="n">
        <f aca="false">IF(J6=①통합_가정!$E$8,①통합_가정!$R$409+①통합_가정!$R$410+①통합_가정!$R$411,0)</f>
        <v>0</v>
      </c>
      <c r="K97" s="37" t="n">
        <f aca="false">IF(K6=①통합_가정!$E$8,①통합_가정!$R$409+①통합_가정!$R$410+①통합_가정!$R$411,0)</f>
        <v>0</v>
      </c>
      <c r="L97" s="37" t="n">
        <f aca="false">IF(L6=①통합_가정!$E$8,①통합_가정!$R$409+①통합_가정!$R$410+①통합_가정!$R$411,0)</f>
        <v>0</v>
      </c>
      <c r="M97" s="37" t="n">
        <f aca="false">IF(M6=①통합_가정!$E$8,①통합_가정!$R$409+①통합_가정!$R$410+①통합_가정!$R$411,0)</f>
        <v>0</v>
      </c>
      <c r="N97" s="37" t="n">
        <f aca="false">IF(N6=①통합_가정!$E$8,①통합_가정!$R$409+①통합_가정!$R$410+①통합_가정!$R$411,0)</f>
        <v>0</v>
      </c>
      <c r="O97" s="37" t="n">
        <f aca="false">IF(O6=①통합_가정!$E$8,①통합_가정!$R$409+①통합_가정!$R$410+①통합_가정!$R$411,0)</f>
        <v>0</v>
      </c>
      <c r="P97" s="37" t="n">
        <f aca="false">IF(P6=①통합_가정!$E$8,①통합_가정!$R$409+①통합_가정!$R$410+①통합_가정!$R$411,0)</f>
        <v>0</v>
      </c>
      <c r="Q97" s="37" t="n">
        <f aca="false">IF(Q6=①통합_가정!$E$8,①통합_가정!$R$409+①통합_가정!$R$410+①통합_가정!$R$411,0)</f>
        <v>0</v>
      </c>
      <c r="R97" s="37" t="n">
        <f aca="false">IF(R6=①통합_가정!$E$8,①통합_가정!$R$409+①통합_가정!$R$410+①통합_가정!$R$411,0)</f>
        <v>0</v>
      </c>
      <c r="S97" s="37" t="n">
        <f aca="false">IF(S6=①통합_가정!$E$8,①통합_가정!$R$409+①통합_가정!$R$410+①통합_가정!$R$411,0)</f>
        <v>0</v>
      </c>
      <c r="T97" s="37" t="n">
        <f aca="false">IF(T6=①통합_가정!$E$8,①통합_가정!$R$409+①통합_가정!$R$410+①통합_가정!$R$411,0)</f>
        <v>0</v>
      </c>
      <c r="U97" s="37" t="n">
        <f aca="false">IF(U6=①통합_가정!$E$8,①통합_가정!$R$409+①통합_가정!$R$410+①통합_가정!$R$411,0)</f>
        <v>0</v>
      </c>
      <c r="V97" s="37" t="n">
        <f aca="false">IF(V6=①통합_가정!$E$8,①통합_가정!$R$409+①통합_가정!$R$410+①통합_가정!$R$411,0)</f>
        <v>0</v>
      </c>
      <c r="W97" s="37" t="n">
        <f aca="false">IF(W6=①통합_가정!$E$8,①통합_가정!$R$409+①통합_가정!$R$410+①통합_가정!$R$411,0)</f>
        <v>0</v>
      </c>
      <c r="X97" s="37" t="n">
        <f aca="false">IF(X6=①통합_가정!$E$8,①통합_가정!$R$409+①통합_가정!$R$410+①통합_가정!$R$411,0)</f>
        <v>0</v>
      </c>
      <c r="Y97" s="37" t="n">
        <f aca="false">IF(Y6=①통합_가정!$E$8,①통합_가정!$R$409+①통합_가정!$R$410+①통합_가정!$R$411,0)</f>
        <v>0</v>
      </c>
      <c r="Z97" s="37" t="n">
        <f aca="false">IF(Z6=①통합_가정!$E$8,①통합_가정!$R$409+①통합_가정!$R$410+①통합_가정!$R$411,0)</f>
        <v>0</v>
      </c>
      <c r="AA97" s="37" t="n">
        <f aca="false">IF(AA6=①통합_가정!$E$8,①통합_가정!$R$409+①통합_가정!$R$410+①통합_가정!$R$411,0)</f>
        <v>0</v>
      </c>
      <c r="AB97" s="37" t="n">
        <f aca="false">IF(AB6=①통합_가정!$E$8,①통합_가정!$R$409+①통합_가정!$R$410+①통합_가정!$R$411,0)</f>
        <v>0</v>
      </c>
      <c r="AC97" s="37" t="n">
        <f aca="false">IF(AC6=①통합_가정!$E$8,①통합_가정!$R$409+①통합_가정!$R$410+①통합_가정!$R$411,0)</f>
        <v>0</v>
      </c>
      <c r="AD97" s="37" t="n">
        <f aca="false">IF(AD6=①통합_가정!$E$8,①통합_가정!$R$409+①통합_가정!$R$410+①통합_가정!$R$411,0)</f>
        <v>0</v>
      </c>
      <c r="AE97" s="37" t="n">
        <f aca="false">IF(AE6=①통합_가정!$E$8,①통합_가정!$R$409+①통합_가정!$R$410+①통합_가정!$R$411,0)</f>
        <v>0</v>
      </c>
      <c r="AF97" s="37" t="n">
        <f aca="false">IF(AF6=①통합_가정!$E$8,①통합_가정!$R$409+①통합_가정!$R$410+①통합_가정!$R$411,0)</f>
        <v>0</v>
      </c>
      <c r="AG97" s="37" t="n">
        <f aca="false">IF(AG6=①통합_가정!$E$8,①통합_가정!$R$409+①통합_가정!$R$410+①통합_가정!$R$411,0)</f>
        <v>0</v>
      </c>
      <c r="AH97" s="37" t="n">
        <f aca="false">IF(AH6=①통합_가정!$E$8,①통합_가정!$R$409+①통합_가정!$R$410+①통합_가정!$R$411,0)</f>
        <v>0</v>
      </c>
      <c r="AI97" s="37" t="n">
        <f aca="false">IF(AI6=①통합_가정!$E$8,①통합_가정!$R$409+①통합_가정!$R$410+①통합_가정!$R$411,0)</f>
        <v>0</v>
      </c>
      <c r="AJ97" s="37" t="n">
        <f aca="false">IF(AJ6=①통합_가정!$E$8,①통합_가정!$R$409+①통합_가정!$R$410+①통합_가정!$R$411,0)</f>
        <v>0</v>
      </c>
      <c r="AK97" s="37" t="n">
        <f aca="false">IF(AK6=①통합_가정!$E$8,①통합_가정!$R$409+①통합_가정!$R$410+①통합_가정!$R$411,0)</f>
        <v>0</v>
      </c>
      <c r="AL97" s="37" t="n">
        <f aca="false">IF(AL6=①통합_가정!$E$8,①통합_가정!$R$409+①통합_가정!$R$410+①통합_가정!$R$411,0)</f>
        <v>0</v>
      </c>
      <c r="AM97" s="37" t="n">
        <f aca="false">IF(AM6=①통합_가정!$E$8,①통합_가정!$R$409+①통합_가정!$R$410+①통합_가정!$R$411,0)</f>
        <v>0</v>
      </c>
      <c r="AN97" s="37" t="n">
        <f aca="false">IF(AN6=①통합_가정!$E$8,①통합_가정!$R$409+①통합_가정!$R$410+①통합_가정!$R$411,0)</f>
        <v>0</v>
      </c>
      <c r="AO97" s="37" t="n">
        <f aca="false">IF(AO6=①통합_가정!$E$8,①통합_가정!$R$409+①통합_가정!$R$410+①통합_가정!$R$411,0)</f>
        <v>0</v>
      </c>
      <c r="AP97" s="37" t="n">
        <f aca="false">IF(AP6=①통합_가정!$E$8,①통합_가정!$R$409+①통합_가정!$R$410+①통합_가정!$R$411,0)</f>
        <v>0</v>
      </c>
      <c r="AQ97" s="37" t="n">
        <f aca="false">IF(AQ6=①통합_가정!$E$8,①통합_가정!$R$409+①통합_가정!$R$410+①통합_가정!$R$411,0)</f>
        <v>0</v>
      </c>
      <c r="AR97" s="37" t="n">
        <f aca="false">IF(AR6=①통합_가정!$E$8,①통합_가정!$R$409+①통합_가정!$R$410+①통합_가정!$R$411,0)</f>
        <v>0</v>
      </c>
      <c r="AS97" s="37" t="n">
        <f aca="false">IF(AS6=①통합_가정!$E$8,①통합_가정!$R$409+①통합_가정!$R$410+①통합_가정!$R$411,0)</f>
        <v>0</v>
      </c>
      <c r="AT97" s="37" t="n">
        <f aca="false">IF(AT6=①통합_가정!$E$8,①통합_가정!$R$409+①통합_가정!$R$410+①통합_가정!$R$411,0)</f>
        <v>0</v>
      </c>
      <c r="AU97" s="37" t="n">
        <f aca="false">IF(AU6=①통합_가정!$E$8,①통합_가정!$R$409+①통합_가정!$R$410+①통합_가정!$R$411,0)</f>
        <v>0</v>
      </c>
      <c r="AV97" s="37" t="n">
        <f aca="false">IF(AV6=①통합_가정!$E$8,①통합_가정!$R$409+①통합_가정!$R$410+①통합_가정!$R$411,0)</f>
        <v>0</v>
      </c>
      <c r="AW97" s="37" t="n">
        <f aca="false">IF(AW6=①통합_가정!$E$8,①통합_가정!$R$409+①통합_가정!$R$410+①통합_가정!$R$411,0)</f>
        <v>0</v>
      </c>
      <c r="AX97" s="37" t="n">
        <f aca="false">IF(AX6=①통합_가정!$E$8,①통합_가정!$R$409+①통합_가정!$R$410+①통합_가정!$R$411,0)</f>
        <v>0</v>
      </c>
      <c r="AY97" s="37" t="n">
        <f aca="false">IF(AY6=①통합_가정!$E$8,①통합_가정!$R$409+①통합_가정!$R$410+①통합_가정!$R$411,0)</f>
        <v>0</v>
      </c>
      <c r="AZ97" s="37" t="n">
        <f aca="false">IF(AZ6=①통합_가정!$E$8,①통합_가정!$R$409+①통합_가정!$R$410+①통합_가정!$R$411,0)</f>
        <v>0</v>
      </c>
      <c r="BA97" s="37" t="n">
        <f aca="false">IF(BA6=①통합_가정!$E$8,①통합_가정!$R$409+①통합_가정!$R$410+①통합_가정!$R$411,0)</f>
        <v>0</v>
      </c>
      <c r="BB97" s="37" t="n">
        <f aca="false">IF(BB6=①통합_가정!$E$8,①통합_가정!$R$409+①통합_가정!$R$410+①통합_가정!$R$411,0)</f>
        <v>0</v>
      </c>
      <c r="BC97" s="37" t="n">
        <f aca="false">IF(BC6=①통합_가정!$E$8,①통합_가정!$R$409+①통합_가정!$R$410+①통합_가정!$R$411,0)</f>
        <v>0</v>
      </c>
      <c r="BD97" s="37" t="n">
        <f aca="false">IF(BD6=①통합_가정!$E$8,①통합_가정!$R$409+①통합_가정!$R$410+①통합_가정!$R$411,0)</f>
        <v>0</v>
      </c>
      <c r="BE97" s="37" t="n">
        <f aca="false">IF(BE6=①통합_가정!$E$8,①통합_가정!$R$409+①통합_가정!$R$410+①통합_가정!$R$411,0)</f>
        <v>0</v>
      </c>
      <c r="BF97" s="37" t="n">
        <f aca="false">IF(BF6=①통합_가정!$E$8,①통합_가정!$R$409+①통합_가정!$R$410+①통합_가정!$R$411,0)</f>
        <v>0</v>
      </c>
      <c r="BG97" s="37" t="n">
        <f aca="false">IF(BG6=①통합_가정!$E$8,①통합_가정!$R$409+①통합_가정!$R$410+①통합_가정!$R$411,0)</f>
        <v>0</v>
      </c>
      <c r="BH97" s="37" t="n">
        <f aca="false">IF(BH6=①통합_가정!$E$8,①통합_가정!$R$409+①통합_가정!$R$410+①통합_가정!$R$411,0)</f>
        <v>0</v>
      </c>
      <c r="BI97" s="37" t="n">
        <f aca="false">IF(BI6=①통합_가정!$E$8,①통합_가정!$R$409+①통합_가정!$R$410+①통합_가정!$R$411,0)</f>
        <v>0</v>
      </c>
      <c r="BJ97" s="37" t="n">
        <f aca="false">IF(BJ6=①통합_가정!$E$8,①통합_가정!$R$409+①통합_가정!$R$410+①통합_가정!$R$411,0)</f>
        <v>0</v>
      </c>
      <c r="BK97" s="37" t="n">
        <f aca="false">IF(BK6=①통합_가정!$E$8,①통합_가정!$R$409+①통합_가정!$R$410+①통합_가정!$R$411,0)</f>
        <v>0</v>
      </c>
      <c r="BL97" s="37" t="n">
        <f aca="false">IF(BL6=①통합_가정!$E$8,①통합_가정!$R$409+①통합_가정!$R$410+①통합_가정!$R$411,0)</f>
        <v>0</v>
      </c>
      <c r="BM97" s="37" t="n">
        <f aca="false">IF(BM6=①통합_가정!$E$8,①통합_가정!$R$409+①통합_가정!$R$410+①통합_가정!$R$411,0)</f>
        <v>0</v>
      </c>
      <c r="BN97" s="37" t="n">
        <f aca="false">IF(BN6=①통합_가정!$E$8,①통합_가정!$R$409+①통합_가정!$R$410+①통합_가정!$R$411,0)</f>
        <v>0</v>
      </c>
      <c r="BO97" s="37" t="n">
        <f aca="false">IF(BO6=①통합_가정!$E$8,①통합_가정!$R$409+①통합_가정!$R$410+①통합_가정!$R$411,0)</f>
        <v>0</v>
      </c>
      <c r="BP97" s="37" t="n">
        <f aca="false">IF(BP6=①통합_가정!$E$8,①통합_가정!$R$409+①통합_가정!$R$410+①통합_가정!$R$411,0)</f>
        <v>0</v>
      </c>
      <c r="BQ97" s="37" t="n">
        <f aca="false">IF(BQ6=①통합_가정!$E$8,①통합_가정!$R$409+①통합_가정!$R$410+①통합_가정!$R$411,0)</f>
        <v>0</v>
      </c>
      <c r="BR97" s="37" t="n">
        <f aca="false">IF(BR6=①통합_가정!$E$8,①통합_가정!$R$409+①통합_가정!$R$410+①통합_가정!$R$411,0)</f>
        <v>0</v>
      </c>
      <c r="BS97" s="37" t="n">
        <f aca="false">IF(BS6=①통합_가정!$E$8,①통합_가정!$R$409+①통합_가정!$R$410+①통합_가정!$R$411,0)</f>
        <v>0</v>
      </c>
      <c r="BT97" s="37" t="n">
        <f aca="false">IF(BT6=①통합_가정!$E$8,①통합_가정!$R$409+①통합_가정!$R$410+①통합_가정!$R$411,0)</f>
        <v>0</v>
      </c>
      <c r="BU97" s="37" t="n">
        <f aca="false">IF(BU6=①통합_가정!$E$8,①통합_가정!$R$409+①통합_가정!$R$410+①통합_가정!$R$411,0)</f>
        <v>0</v>
      </c>
      <c r="BV97" s="37" t="n">
        <f aca="false">IF(BV6=①통합_가정!$E$8,①통합_가정!$R$409+①통합_가정!$R$410+①통합_가정!$R$411,0)</f>
        <v>0</v>
      </c>
      <c r="BW97" s="37" t="n">
        <f aca="false">IF(BW6=①통합_가정!$E$8,①통합_가정!$R$409+①통합_가정!$R$410+①통합_가정!$R$411,0)</f>
        <v>0</v>
      </c>
      <c r="BX97" s="37" t="n">
        <f aca="false">IF(BX6=①통합_가정!$E$8,①통합_가정!$R$409+①통합_가정!$R$410+①통합_가정!$R$411,0)</f>
        <v>0</v>
      </c>
      <c r="BY97" s="37" t="n">
        <f aca="false">IF(BY6=①통합_가정!$E$8,①통합_가정!$R$409+①통합_가정!$R$410+①통합_가정!$R$411,0)</f>
        <v>0</v>
      </c>
      <c r="BZ97" s="37" t="n">
        <f aca="false">IF(BZ6=①통합_가정!$E$8,①통합_가정!$R$409+①통합_가정!$R$410+①통합_가정!$R$411,0)</f>
        <v>0</v>
      </c>
      <c r="CA97" s="37" t="n">
        <f aca="false">IF(CA6=①통합_가정!$E$8,①통합_가정!$R$409+①통합_가정!$R$410+①통합_가정!$R$411,0)</f>
        <v>0</v>
      </c>
      <c r="CB97" s="37" t="n">
        <f aca="false">IF(CB6=①통합_가정!$E$8,①통합_가정!$R$409+①통합_가정!$R$410+①통합_가정!$R$411,0)</f>
        <v>0</v>
      </c>
      <c r="CC97" s="37" t="n">
        <f aca="false">IF(CC6=①통합_가정!$E$8,①통합_가정!$R$409+①통합_가정!$R$410+①통합_가정!$R$411,0)</f>
        <v>0</v>
      </c>
      <c r="CD97" s="37" t="n">
        <f aca="false">IF(CD6=①통합_가정!$E$8,①통합_가정!$R$409+①통합_가정!$R$410+①통합_가정!$R$411,0)</f>
        <v>0</v>
      </c>
      <c r="CE97" s="37" t="n">
        <f aca="false">IF(CE6=①통합_가정!$E$8,①통합_가정!$R$409+①통합_가정!$R$410+①통합_가정!$R$411,0)</f>
        <v>0</v>
      </c>
      <c r="CF97" s="37" t="n">
        <f aca="false">IF(CF6=①통합_가정!$E$8,①통합_가정!$R$409+①통합_가정!$R$410+①통합_가정!$R$411,0)</f>
        <v>0</v>
      </c>
      <c r="CG97" s="37" t="n">
        <f aca="false">IF(CG6=①통합_가정!$E$8,①통합_가정!$R$409+①통합_가정!$R$410+①통합_가정!$R$411,0)</f>
        <v>0</v>
      </c>
      <c r="CH97" s="37" t="n">
        <f aca="false">IF(CH6=①통합_가정!$E$8,①통합_가정!$R$409+①통합_가정!$R$410+①통합_가정!$R$411,0)</f>
        <v>0</v>
      </c>
      <c r="CI97" s="37" t="n">
        <f aca="false">IF(CI6=①통합_가정!$E$8,①통합_가정!$R$409+①통합_가정!$R$410+①통합_가정!$R$411,0)</f>
        <v>0</v>
      </c>
      <c r="CJ97" s="37" t="n">
        <f aca="false">IF(CJ6=①통합_가정!$E$8,①통합_가정!$R$409+①통합_가정!$R$410+①통합_가정!$R$411,0)</f>
        <v>0</v>
      </c>
      <c r="CK97" s="37" t="n">
        <f aca="false">IF(CK6=①통합_가정!$E$8,①통합_가정!$R$409+①통합_가정!$R$410+①통합_가정!$R$411,0)</f>
        <v>0</v>
      </c>
      <c r="CL97" s="37" t="n">
        <f aca="false">IF(CL6=①통합_가정!$E$8,①통합_가정!$R$409+①통합_가정!$R$410+①통합_가정!$R$411,0)</f>
        <v>0</v>
      </c>
      <c r="CM97" s="37" t="n">
        <f aca="false">IF(CM6=①통합_가정!$E$8,①통합_가정!$R$409+①통합_가정!$R$410+①통합_가정!$R$411,0)</f>
        <v>0</v>
      </c>
      <c r="CN97" s="37" t="n">
        <f aca="false">IF(CN6=①통합_가정!$E$8,①통합_가정!$R$409+①통합_가정!$R$410+①통합_가정!$R$411,0)</f>
        <v>0</v>
      </c>
      <c r="CO97" s="37" t="n">
        <f aca="false">IF(CO6=①통합_가정!$E$8,①통합_가정!$R$409+①통합_가정!$R$410+①통합_가정!$R$411,0)</f>
        <v>0</v>
      </c>
      <c r="CP97" s="37" t="n">
        <f aca="false">IF(CP6=①통합_가정!$E$8,①통합_가정!$R$409+①통합_가정!$R$410+①통합_가정!$R$411,0)</f>
        <v>0</v>
      </c>
      <c r="CQ97" s="37" t="n">
        <f aca="false">IF(CQ6=①통합_가정!$E$8,①통합_가정!$R$409+①통합_가정!$R$410+①통합_가정!$R$411,0)</f>
        <v>0</v>
      </c>
      <c r="CR97" s="37" t="n">
        <f aca="false">IF(CR6=①통합_가정!$E$8,①통합_가정!$R$409+①통합_가정!$R$410+①통합_가정!$R$411,0)</f>
        <v>0</v>
      </c>
      <c r="CS97" s="37" t="n">
        <f aca="false">IF(CS6=①통합_가정!$E$8,①통합_가정!$R$409+①통합_가정!$R$410+①통합_가정!$R$411,0)</f>
        <v>0</v>
      </c>
      <c r="CT97" s="37" t="n">
        <f aca="false">IF(CT6=①통합_가정!$E$8,①통합_가정!$R$409+①통합_가정!$R$410+①통합_가정!$R$411,0)</f>
        <v>0</v>
      </c>
      <c r="CU97" s="37" t="n">
        <f aca="false">IF(CU6=①통합_가정!$E$8,①통합_가정!$R$409+①통합_가정!$R$410+①통합_가정!$R$411,0)</f>
        <v>0</v>
      </c>
      <c r="CV97" s="37" t="n">
        <f aca="false">IF(CV6=①통합_가정!$E$8,①통합_가정!$R$409+①통합_가정!$R$410+①통합_가정!$R$411,0)</f>
        <v>0</v>
      </c>
      <c r="CW97" s="37" t="n">
        <f aca="false">IF(CW6=①통합_가정!$E$8,①통합_가정!$R$409+①통합_가정!$R$410+①통합_가정!$R$411,0)</f>
        <v>0</v>
      </c>
      <c r="CX97" s="37" t="n">
        <f aca="false">IF(CX6=①통합_가정!$E$8,①통합_가정!$R$409+①통합_가정!$R$410+①통합_가정!$R$411,0)</f>
        <v>0</v>
      </c>
      <c r="CY97" s="37" t="n">
        <f aca="false">IF(CY6=①통합_가정!$E$8,①통합_가정!$R$409+①통합_가정!$R$410+①통합_가정!$R$411,0)</f>
        <v>0</v>
      </c>
      <c r="CZ97" s="37" t="n">
        <f aca="false">IF(CZ6=①통합_가정!$E$8,①통합_가정!$R$409+①통합_가정!$R$410+①통합_가정!$R$411,0)</f>
        <v>0</v>
      </c>
      <c r="DA97" s="37" t="n">
        <f aca="false">IF(DA6=①통합_가정!$E$8,①통합_가정!$R$409+①통합_가정!$R$410+①통합_가정!$R$411,0)</f>
        <v>0</v>
      </c>
      <c r="DB97" s="37" t="n">
        <f aca="false">IF(DB6=①통합_가정!$E$8,①통합_가정!$R$409+①통합_가정!$R$410+①통합_가정!$R$411,0)</f>
        <v>0</v>
      </c>
      <c r="DC97" s="37" t="n">
        <f aca="false">IF(DC6=①통합_가정!$E$8,①통합_가정!$R$409+①통합_가정!$R$410+①통합_가정!$R$411,0)</f>
        <v>0</v>
      </c>
      <c r="DD97" s="37" t="n">
        <f aca="false">IF(DD6=①통합_가정!$E$8,①통합_가정!$R$409+①통합_가정!$R$410+①통합_가정!$R$411,0)</f>
        <v>0</v>
      </c>
      <c r="DE97" s="37" t="n">
        <f aca="false">IF(DE6=①통합_가정!$E$8,①통합_가정!$R$409+①통합_가정!$R$410+①통합_가정!$R$411,0)</f>
        <v>0</v>
      </c>
      <c r="DF97" s="37" t="n">
        <f aca="false">IF(DF6=①통합_가정!$E$8,①통합_가정!$R$409+①통합_가정!$R$410+①통합_가정!$R$411,0)</f>
        <v>0</v>
      </c>
      <c r="DG97" s="37" t="n">
        <f aca="false">IF(DG6=①통합_가정!$E$8,①통합_가정!$R$409+①통합_가정!$R$410+①통합_가정!$R$411,0)</f>
        <v>0</v>
      </c>
      <c r="DH97" s="37" t="n">
        <f aca="false">IF(DH6=①통합_가정!$E$8,①통합_가정!$R$409+①통합_가정!$R$410+①통합_가정!$R$411,0)</f>
        <v>0</v>
      </c>
      <c r="DI97" s="37" t="n">
        <f aca="false">IF(DI6=①통합_가정!$E$8,①통합_가정!$R$409+①통합_가정!$R$410+①통합_가정!$R$411,0)</f>
        <v>0</v>
      </c>
      <c r="DJ97" s="37" t="n">
        <f aca="false">IF(DJ6=①통합_가정!$E$8,①통합_가정!$R$409+①통합_가정!$R$410+①통합_가정!$R$411,0)</f>
        <v>0</v>
      </c>
      <c r="DK97" s="37" t="n">
        <f aca="false">IF(DK6=①통합_가정!$E$8,①통합_가정!$R$409+①통합_가정!$R$410+①통합_가정!$R$411,0)</f>
        <v>0</v>
      </c>
      <c r="DL97" s="37" t="n">
        <f aca="false">IF(DL6=①통합_가정!$E$8,①통합_가정!$R$409+①통합_가정!$R$410+①통합_가정!$R$411,0)</f>
        <v>0</v>
      </c>
      <c r="DM97" s="37" t="n">
        <f aca="false">IF(DM6=①통합_가정!$E$8,①통합_가정!$R$409+①통합_가정!$R$410+①통합_가정!$R$411,0)</f>
        <v>0</v>
      </c>
      <c r="DN97" s="37" t="n">
        <f aca="false">IF(DN6=①통합_가정!$E$8,①통합_가정!$R$409+①통합_가정!$R$410+①통합_가정!$R$411,0)</f>
        <v>0</v>
      </c>
      <c r="DO97" s="37" t="n">
        <f aca="false">IF(DO6=①통합_가정!$E$8,①통합_가정!$R$409+①통합_가정!$R$410+①통합_가정!$R$411,0)</f>
        <v>0</v>
      </c>
      <c r="DP97" s="37" t="n">
        <f aca="false">IF(DP6=①통합_가정!$E$8,①통합_가정!$R$409+①통합_가정!$R$410+①통합_가정!$R$411,0)</f>
        <v>0</v>
      </c>
      <c r="DQ97" s="37" t="n">
        <f aca="false">IF(DQ6=①통합_가정!$E$8,①통합_가정!$R$409+①통합_가정!$R$410+①통합_가정!$R$411,0)</f>
        <v>0</v>
      </c>
      <c r="DR97" s="37" t="n">
        <f aca="false">IF(DR6=①통합_가정!$E$8,①통합_가정!$R$409+①통합_가정!$R$410+①통합_가정!$R$411,0)</f>
        <v>0</v>
      </c>
      <c r="DS97" s="37" t="n">
        <f aca="false">IF(DS6=①통합_가정!$E$8,①통합_가정!$R$409+①통합_가정!$R$410+①통합_가정!$R$411,0)</f>
        <v>0</v>
      </c>
      <c r="DT97" s="37" t="n">
        <f aca="false">IF(DT6=①통합_가정!$E$8,①통합_가정!$R$409+①통합_가정!$R$410+①통합_가정!$R$411,0)</f>
        <v>0</v>
      </c>
      <c r="DU97" s="37" t="n">
        <f aca="false">IF(DU6=①통합_가정!$E$8,①통합_가정!$R$409+①통합_가정!$R$410+①통합_가정!$R$411,0)</f>
        <v>0</v>
      </c>
      <c r="DV97" s="37" t="n">
        <f aca="false">IF(DV6=①통합_가정!$E$8,①통합_가정!$R$409+①통합_가정!$R$410+①통합_가정!$R$411,0)</f>
        <v>0</v>
      </c>
      <c r="DW97" s="37" t="n">
        <f aca="false">IF(DW6=①통합_가정!$E$8,①통합_가정!$R$409+①통합_가정!$R$410+①통합_가정!$R$411,0)</f>
        <v>0</v>
      </c>
      <c r="DX97" s="37" t="n">
        <f aca="false">IF(DX6=①통합_가정!$E$8,①통합_가정!$R$409+①통합_가정!$R$410+①통합_가정!$R$411,0)</f>
        <v>0</v>
      </c>
      <c r="DY97" s="37" t="n">
        <f aca="false">IF(DY6=①통합_가정!$E$8,①통합_가정!$R$409+①통합_가정!$R$410+①통합_가정!$R$411,0)</f>
        <v>0</v>
      </c>
      <c r="DZ97" s="37" t="n">
        <f aca="false">IF(DZ6=①통합_가정!$E$8,①통합_가정!$R$409+①통합_가정!$R$410+①통합_가정!$R$411,0)</f>
        <v>0</v>
      </c>
      <c r="EA97" s="37" t="n">
        <f aca="false">IF(EA6=①통합_가정!$E$8,①통합_가정!$R$409+①통합_가정!$R$410+①통합_가정!$R$411,0)</f>
        <v>0</v>
      </c>
      <c r="EB97" s="37" t="n">
        <f aca="false">IF(EB6=①통합_가정!$E$8,①통합_가정!$R$409+①통합_가정!$R$410+①통합_가정!$R$411,0)</f>
        <v>0</v>
      </c>
      <c r="EC97" s="37" t="n">
        <f aca="false">IF(EC6=①통합_가정!$E$8,①통합_가정!$R$409+①통합_가정!$R$410+①통합_가정!$R$411,0)</f>
        <v>0</v>
      </c>
      <c r="ED97" s="37" t="n">
        <f aca="false">IF(ED6=①통합_가정!$E$8,①통합_가정!$R$409+①통합_가정!$R$410+①통합_가정!$R$411,0)</f>
        <v>0</v>
      </c>
      <c r="EE97" s="37" t="n">
        <f aca="false">IF(EE6=①통합_가정!$E$8,①통합_가정!$R$409+①통합_가정!$R$410+①통합_가정!$R$411,0)</f>
        <v>0</v>
      </c>
      <c r="EF97" s="37" t="n">
        <f aca="false">IF(EF6=①통합_가정!$E$8,①통합_가정!$R$409+①통합_가정!$R$410+①통합_가정!$R$411,0)</f>
        <v>0</v>
      </c>
    </row>
    <row r="98" customFormat="false" ht="15" hidden="false" customHeight="false" outlineLevel="0" collapsed="false">
      <c r="A98" s="36" t="s">
        <v>638</v>
      </c>
      <c r="B98" s="278" t="s">
        <v>21</v>
      </c>
      <c r="C98" s="279" t="n">
        <f aca="false">SUM(E98:EF98)</f>
        <v>4777.07267962746</v>
      </c>
      <c r="E98" s="37" t="n">
        <f aca="false">IF(E6=①통합_가정!$E$14,①통합_가정!$R$404,0)</f>
        <v>0</v>
      </c>
      <c r="F98" s="37" t="n">
        <f aca="false">IF(F6=①통합_가정!$E$14,①통합_가정!$R$404,0)</f>
        <v>0</v>
      </c>
      <c r="G98" s="37" t="n">
        <f aca="false">IF(G6=①통합_가정!$E$14,①통합_가정!$R$404,0)</f>
        <v>0</v>
      </c>
      <c r="H98" s="37" t="n">
        <f aca="false">IF(H6=①통합_가정!$E$14,①통합_가정!$R$404,0)</f>
        <v>0</v>
      </c>
      <c r="I98" s="37" t="n">
        <f aca="false">IF(I6=①통합_가정!$E$14,①통합_가정!$R$404,0)</f>
        <v>0</v>
      </c>
      <c r="J98" s="37" t="n">
        <f aca="false">IF(J6=①통합_가정!$E$14,①통합_가정!$R$404,0)</f>
        <v>0</v>
      </c>
      <c r="K98" s="37" t="n">
        <f aca="false">IF(K6=①통합_가정!$E$14,①통합_가정!$R$404,0)</f>
        <v>0</v>
      </c>
      <c r="L98" s="37" t="n">
        <f aca="false">IF(L6=①통합_가정!$E$14,①통합_가정!$R$404,0)</f>
        <v>0</v>
      </c>
      <c r="M98" s="37" t="n">
        <f aca="false">IF(M6=①통합_가정!$E$14,①통합_가정!$R$404,0)</f>
        <v>0</v>
      </c>
      <c r="N98" s="37" t="n">
        <f aca="false">IF(N6=①통합_가정!$E$14,①통합_가정!$R$404,0)</f>
        <v>0</v>
      </c>
      <c r="O98" s="37" t="n">
        <f aca="false">IF(O6=①통합_가정!$E$14,①통합_가정!$R$404,0)</f>
        <v>0</v>
      </c>
      <c r="P98" s="37" t="n">
        <f aca="false">IF(P6=①통합_가정!$E$14,①통합_가정!$R$404,0)</f>
        <v>0</v>
      </c>
      <c r="Q98" s="37" t="n">
        <f aca="false">IF(Q6=①통합_가정!$E$14,①통합_가정!$R$404,0)</f>
        <v>0</v>
      </c>
      <c r="R98" s="37" t="n">
        <f aca="false">IF(R6=①통합_가정!$E$14,①통합_가정!$R$404,0)</f>
        <v>0</v>
      </c>
      <c r="S98" s="37" t="n">
        <f aca="false">IF(S6=①통합_가정!$E$14,①통합_가정!$R$404,0)</f>
        <v>0</v>
      </c>
      <c r="T98" s="37" t="n">
        <f aca="false">IF(T6=①통합_가정!$E$14,①통합_가정!$R$404,0)</f>
        <v>0</v>
      </c>
      <c r="U98" s="37" t="n">
        <f aca="false">IF(U6=①통합_가정!$E$14,①통합_가정!$R$404,0)</f>
        <v>0</v>
      </c>
      <c r="V98" s="37" t="n">
        <f aca="false">IF(V6=①통합_가정!$E$14,①통합_가정!$R$404,0)</f>
        <v>0</v>
      </c>
      <c r="W98" s="37" t="n">
        <f aca="false">IF(W6=①통합_가정!$E$14,①통합_가정!$R$404,0)</f>
        <v>4777.07267962746</v>
      </c>
      <c r="X98" s="37" t="n">
        <f aca="false">IF(X6=①통합_가정!$E$14,①통합_가정!$R$404,0)</f>
        <v>0</v>
      </c>
      <c r="Y98" s="37" t="n">
        <f aca="false">IF(Y6=①통합_가정!$E$14,①통합_가정!$R$404,0)</f>
        <v>0</v>
      </c>
      <c r="Z98" s="37" t="n">
        <f aca="false">IF(Z6=①통합_가정!$E$14,①통합_가정!$R$404,0)</f>
        <v>0</v>
      </c>
      <c r="AA98" s="37" t="n">
        <f aca="false">IF(AA6=①통합_가정!$E$14,①통합_가정!$R$404,0)</f>
        <v>0</v>
      </c>
      <c r="AB98" s="37" t="n">
        <f aca="false">IF(AB6=①통합_가정!$E$14,①통합_가정!$R$404,0)</f>
        <v>0</v>
      </c>
      <c r="AC98" s="37" t="n">
        <f aca="false">IF(AC6=①통합_가정!$E$14,①통합_가정!$R$404,0)</f>
        <v>0</v>
      </c>
      <c r="AD98" s="37" t="n">
        <f aca="false">IF(AD6=①통합_가정!$E$14,①통합_가정!$R$404,0)</f>
        <v>0</v>
      </c>
      <c r="AE98" s="37" t="n">
        <f aca="false">IF(AE6=①통합_가정!$E$14,①통합_가정!$R$404,0)</f>
        <v>0</v>
      </c>
      <c r="AF98" s="37" t="n">
        <f aca="false">IF(AF6=①통합_가정!$E$14,①통합_가정!$R$404,0)</f>
        <v>0</v>
      </c>
      <c r="AG98" s="37" t="n">
        <f aca="false">IF(AG6=①통합_가정!$E$14,①통합_가정!$R$404,0)</f>
        <v>0</v>
      </c>
      <c r="AH98" s="37" t="n">
        <f aca="false">IF(AH6=①통합_가정!$E$14,①통합_가정!$R$404,0)</f>
        <v>0</v>
      </c>
      <c r="AI98" s="37" t="n">
        <f aca="false">IF(AI6=①통합_가정!$E$14,①통합_가정!$R$404,0)</f>
        <v>0</v>
      </c>
      <c r="AJ98" s="37" t="n">
        <f aca="false">IF(AJ6=①통합_가정!$E$14,①통합_가정!$R$404,0)</f>
        <v>0</v>
      </c>
      <c r="AK98" s="37" t="n">
        <f aca="false">IF(AK6=①통합_가정!$E$14,①통합_가정!$R$404,0)</f>
        <v>0</v>
      </c>
      <c r="AL98" s="37" t="n">
        <f aca="false">IF(AL6=①통합_가정!$E$14,①통합_가정!$R$404,0)</f>
        <v>0</v>
      </c>
      <c r="AM98" s="37" t="n">
        <f aca="false">IF(AM6=①통합_가정!$E$14,①통합_가정!$R$404,0)</f>
        <v>0</v>
      </c>
      <c r="AN98" s="37" t="n">
        <f aca="false">IF(AN6=①통합_가정!$E$14,①통합_가정!$R$404,0)</f>
        <v>0</v>
      </c>
      <c r="AO98" s="37" t="n">
        <f aca="false">IF(AO6=①통합_가정!$E$14,①통합_가정!$R$404,0)</f>
        <v>0</v>
      </c>
      <c r="AP98" s="37" t="n">
        <f aca="false">IF(AP6=①통합_가정!$E$14,①통합_가정!$R$404,0)</f>
        <v>0</v>
      </c>
      <c r="AQ98" s="37" t="n">
        <f aca="false">IF(AQ6=①통합_가정!$E$14,①통합_가정!$R$404,0)</f>
        <v>0</v>
      </c>
      <c r="AR98" s="37" t="n">
        <f aca="false">IF(AR6=①통합_가정!$E$14,①통합_가정!$R$404,0)</f>
        <v>0</v>
      </c>
      <c r="AS98" s="37" t="n">
        <f aca="false">IF(AS6=①통합_가정!$E$14,①통합_가정!$R$404,0)</f>
        <v>0</v>
      </c>
      <c r="AT98" s="37" t="n">
        <f aca="false">IF(AT6=①통합_가정!$E$14,①통합_가정!$R$404,0)</f>
        <v>0</v>
      </c>
      <c r="AU98" s="37" t="n">
        <f aca="false">IF(AU6=①통합_가정!$E$14,①통합_가정!$R$404,0)</f>
        <v>0</v>
      </c>
      <c r="AV98" s="37" t="n">
        <f aca="false">IF(AV6=①통합_가정!$E$14,①통합_가정!$R$404,0)</f>
        <v>0</v>
      </c>
      <c r="AW98" s="37" t="n">
        <f aca="false">IF(AW6=①통합_가정!$E$14,①통합_가정!$R$404,0)</f>
        <v>0</v>
      </c>
      <c r="AX98" s="37" t="n">
        <f aca="false">IF(AX6=①통합_가정!$E$14,①통합_가정!$R$404,0)</f>
        <v>0</v>
      </c>
      <c r="AY98" s="37" t="n">
        <f aca="false">IF(AY6=①통합_가정!$E$14,①통합_가정!$R$404,0)</f>
        <v>0</v>
      </c>
      <c r="AZ98" s="37" t="n">
        <f aca="false">IF(AZ6=①통합_가정!$E$14,①통합_가정!$R$404,0)</f>
        <v>0</v>
      </c>
      <c r="BA98" s="37" t="n">
        <f aca="false">IF(BA6=①통합_가정!$E$14,①통합_가정!$R$404,0)</f>
        <v>0</v>
      </c>
      <c r="BB98" s="37" t="n">
        <f aca="false">IF(BB6=①통합_가정!$E$14,①통합_가정!$R$404,0)</f>
        <v>0</v>
      </c>
      <c r="BC98" s="37" t="n">
        <f aca="false">IF(BC6=①통합_가정!$E$14,①통합_가정!$R$404,0)</f>
        <v>0</v>
      </c>
      <c r="BD98" s="37" t="n">
        <f aca="false">IF(BD6=①통합_가정!$E$14,①통합_가정!$R$404,0)</f>
        <v>0</v>
      </c>
      <c r="BE98" s="37" t="n">
        <f aca="false">IF(BE6=①통합_가정!$E$14,①통합_가정!$R$404,0)</f>
        <v>0</v>
      </c>
      <c r="BF98" s="37" t="n">
        <f aca="false">IF(BF6=①통합_가정!$E$14,①통합_가정!$R$404,0)</f>
        <v>0</v>
      </c>
      <c r="BG98" s="37" t="n">
        <f aca="false">IF(BG6=①통합_가정!$E$14,①통합_가정!$R$404,0)</f>
        <v>0</v>
      </c>
      <c r="BH98" s="37" t="n">
        <f aca="false">IF(BH6=①통합_가정!$E$14,①통합_가정!$R$404,0)</f>
        <v>0</v>
      </c>
      <c r="BI98" s="37" t="n">
        <f aca="false">IF(BI6=①통합_가정!$E$14,①통합_가정!$R$404,0)</f>
        <v>0</v>
      </c>
      <c r="BJ98" s="37" t="n">
        <f aca="false">IF(BJ6=①통합_가정!$E$14,①통합_가정!$R$404,0)</f>
        <v>0</v>
      </c>
      <c r="BK98" s="37" t="n">
        <f aca="false">IF(BK6=①통합_가정!$E$14,①통합_가정!$R$404,0)</f>
        <v>0</v>
      </c>
      <c r="BL98" s="37" t="n">
        <f aca="false">IF(BL6=①통합_가정!$E$14,①통합_가정!$R$404,0)</f>
        <v>0</v>
      </c>
      <c r="BM98" s="37" t="n">
        <f aca="false">IF(BM6=①통합_가정!$E$14,①통합_가정!$R$404,0)</f>
        <v>0</v>
      </c>
      <c r="BN98" s="37" t="n">
        <f aca="false">IF(BN6=①통합_가정!$E$14,①통합_가정!$R$404,0)</f>
        <v>0</v>
      </c>
      <c r="BO98" s="37" t="n">
        <f aca="false">IF(BO6=①통합_가정!$E$14,①통합_가정!$R$404,0)</f>
        <v>0</v>
      </c>
      <c r="BP98" s="37" t="n">
        <f aca="false">IF(BP6=①통합_가정!$E$14,①통합_가정!$R$404,0)</f>
        <v>0</v>
      </c>
      <c r="BQ98" s="37" t="n">
        <f aca="false">IF(BQ6=①통합_가정!$E$14,①통합_가정!$R$404,0)</f>
        <v>0</v>
      </c>
      <c r="BR98" s="37" t="n">
        <f aca="false">IF(BR6=①통합_가정!$E$14,①통합_가정!$R$404,0)</f>
        <v>0</v>
      </c>
      <c r="BS98" s="37" t="n">
        <f aca="false">IF(BS6=①통합_가정!$E$14,①통합_가정!$R$404,0)</f>
        <v>0</v>
      </c>
      <c r="BT98" s="37" t="n">
        <f aca="false">IF(BT6=①통합_가정!$E$14,①통합_가정!$R$404,0)</f>
        <v>0</v>
      </c>
      <c r="BU98" s="37" t="n">
        <f aca="false">IF(BU6=①통합_가정!$E$14,①통합_가정!$R$404,0)</f>
        <v>0</v>
      </c>
      <c r="BV98" s="37" t="n">
        <f aca="false">IF(BV6=①통합_가정!$E$14,①통합_가정!$R$404,0)</f>
        <v>0</v>
      </c>
      <c r="BW98" s="37" t="n">
        <f aca="false">IF(BW6=①통합_가정!$E$14,①통합_가정!$R$404,0)</f>
        <v>0</v>
      </c>
      <c r="BX98" s="37" t="n">
        <f aca="false">IF(BX6=①통합_가정!$E$14,①통합_가정!$R$404,0)</f>
        <v>0</v>
      </c>
      <c r="BY98" s="37" t="n">
        <f aca="false">IF(BY6=①통합_가정!$E$14,①통합_가정!$R$404,0)</f>
        <v>0</v>
      </c>
      <c r="BZ98" s="37" t="n">
        <f aca="false">IF(BZ6=①통합_가정!$E$14,①통합_가정!$R$404,0)</f>
        <v>0</v>
      </c>
      <c r="CA98" s="37" t="n">
        <f aca="false">IF(CA6=①통합_가정!$E$14,①통합_가정!$R$404,0)</f>
        <v>0</v>
      </c>
      <c r="CB98" s="37" t="n">
        <f aca="false">IF(CB6=①통합_가정!$E$14,①통합_가정!$R$404,0)</f>
        <v>0</v>
      </c>
      <c r="CC98" s="37" t="n">
        <f aca="false">IF(CC6=①통합_가정!$E$14,①통합_가정!$R$404,0)</f>
        <v>0</v>
      </c>
      <c r="CD98" s="37" t="n">
        <f aca="false">IF(CD6=①통합_가정!$E$14,①통합_가정!$R$404,0)</f>
        <v>0</v>
      </c>
      <c r="CE98" s="37" t="n">
        <f aca="false">IF(CE6=①통합_가정!$E$14,①통합_가정!$R$404,0)</f>
        <v>0</v>
      </c>
      <c r="CF98" s="37" t="n">
        <f aca="false">IF(CF6=①통합_가정!$E$14,①통합_가정!$R$404,0)</f>
        <v>0</v>
      </c>
      <c r="CG98" s="37" t="n">
        <f aca="false">IF(CG6=①통합_가정!$E$14,①통합_가정!$R$404,0)</f>
        <v>0</v>
      </c>
      <c r="CH98" s="37" t="n">
        <f aca="false">IF(CH6=①통합_가정!$E$14,①통합_가정!$R$404,0)</f>
        <v>0</v>
      </c>
      <c r="CI98" s="37" t="n">
        <f aca="false">IF(CI6=①통합_가정!$E$14,①통합_가정!$R$404,0)</f>
        <v>0</v>
      </c>
      <c r="CJ98" s="37" t="n">
        <f aca="false">IF(CJ6=①통합_가정!$E$14,①통합_가정!$R$404,0)</f>
        <v>0</v>
      </c>
      <c r="CK98" s="37" t="n">
        <f aca="false">IF(CK6=①통합_가정!$E$14,①통합_가정!$R$404,0)</f>
        <v>0</v>
      </c>
      <c r="CL98" s="37" t="n">
        <f aca="false">IF(CL6=①통합_가정!$E$14,①통합_가정!$R$404,0)</f>
        <v>0</v>
      </c>
      <c r="CM98" s="37" t="n">
        <f aca="false">IF(CM6=①통합_가정!$E$14,①통합_가정!$R$404,0)</f>
        <v>0</v>
      </c>
      <c r="CN98" s="37" t="n">
        <f aca="false">IF(CN6=①통합_가정!$E$14,①통합_가정!$R$404,0)</f>
        <v>0</v>
      </c>
      <c r="CO98" s="37" t="n">
        <f aca="false">IF(CO6=①통합_가정!$E$14,①통합_가정!$R$404,0)</f>
        <v>0</v>
      </c>
      <c r="CP98" s="37" t="n">
        <f aca="false">IF(CP6=①통합_가정!$E$14,①통합_가정!$R$404,0)</f>
        <v>0</v>
      </c>
      <c r="CQ98" s="37" t="n">
        <f aca="false">IF(CQ6=①통합_가정!$E$14,①통합_가정!$R$404,0)</f>
        <v>0</v>
      </c>
      <c r="CR98" s="37" t="n">
        <f aca="false">IF(CR6=①통합_가정!$E$14,①통합_가정!$R$404,0)</f>
        <v>0</v>
      </c>
      <c r="CS98" s="37" t="n">
        <f aca="false">IF(CS6=①통합_가정!$E$14,①통합_가정!$R$404,0)</f>
        <v>0</v>
      </c>
      <c r="CT98" s="37" t="n">
        <f aca="false">IF(CT6=①통합_가정!$E$14,①통합_가정!$R$404,0)</f>
        <v>0</v>
      </c>
      <c r="CU98" s="37" t="n">
        <f aca="false">IF(CU6=①통합_가정!$E$14,①통합_가정!$R$404,0)</f>
        <v>0</v>
      </c>
      <c r="CV98" s="37" t="n">
        <f aca="false">IF(CV6=①통합_가정!$E$14,①통합_가정!$R$404,0)</f>
        <v>0</v>
      </c>
      <c r="CW98" s="37" t="n">
        <f aca="false">IF(CW6=①통합_가정!$E$14,①통합_가정!$R$404,0)</f>
        <v>0</v>
      </c>
      <c r="CX98" s="37" t="n">
        <f aca="false">IF(CX6=①통합_가정!$E$14,①통합_가정!$R$404,0)</f>
        <v>0</v>
      </c>
      <c r="CY98" s="37" t="n">
        <f aca="false">IF(CY6=①통합_가정!$E$14,①통합_가정!$R$404,0)</f>
        <v>0</v>
      </c>
      <c r="CZ98" s="37" t="n">
        <f aca="false">IF(CZ6=①통합_가정!$E$14,①통합_가정!$R$404,0)</f>
        <v>0</v>
      </c>
      <c r="DA98" s="37" t="n">
        <f aca="false">IF(DA6=①통합_가정!$E$14,①통합_가정!$R$404,0)</f>
        <v>0</v>
      </c>
      <c r="DB98" s="37" t="n">
        <f aca="false">IF(DB6=①통합_가정!$E$14,①통합_가정!$R$404,0)</f>
        <v>0</v>
      </c>
      <c r="DC98" s="37" t="n">
        <f aca="false">IF(DC6=①통합_가정!$E$14,①통합_가정!$R$404,0)</f>
        <v>0</v>
      </c>
      <c r="DD98" s="37" t="n">
        <f aca="false">IF(DD6=①통합_가정!$E$14,①통합_가정!$R$404,0)</f>
        <v>0</v>
      </c>
      <c r="DE98" s="37" t="n">
        <f aca="false">IF(DE6=①통합_가정!$E$14,①통합_가정!$R$404,0)</f>
        <v>0</v>
      </c>
      <c r="DF98" s="37" t="n">
        <f aca="false">IF(DF6=①통합_가정!$E$14,①통합_가정!$R$404,0)</f>
        <v>0</v>
      </c>
      <c r="DG98" s="37" t="n">
        <f aca="false">IF(DG6=①통합_가정!$E$14,①통합_가정!$R$404,0)</f>
        <v>0</v>
      </c>
      <c r="DH98" s="37" t="n">
        <f aca="false">IF(DH6=①통합_가정!$E$14,①통합_가정!$R$404,0)</f>
        <v>0</v>
      </c>
      <c r="DI98" s="37" t="n">
        <f aca="false">IF(DI6=①통합_가정!$E$14,①통합_가정!$R$404,0)</f>
        <v>0</v>
      </c>
      <c r="DJ98" s="37" t="n">
        <f aca="false">IF(DJ6=①통합_가정!$E$14,①통합_가정!$R$404,0)</f>
        <v>0</v>
      </c>
      <c r="DK98" s="37" t="n">
        <f aca="false">IF(DK6=①통합_가정!$E$14,①통합_가정!$R$404,0)</f>
        <v>0</v>
      </c>
      <c r="DL98" s="37" t="n">
        <f aca="false">IF(DL6=①통합_가정!$E$14,①통합_가정!$R$404,0)</f>
        <v>0</v>
      </c>
      <c r="DM98" s="37" t="n">
        <f aca="false">IF(DM6=①통합_가정!$E$14,①통합_가정!$R$404,0)</f>
        <v>0</v>
      </c>
      <c r="DN98" s="37" t="n">
        <f aca="false">IF(DN6=①통합_가정!$E$14,①통합_가정!$R$404,0)</f>
        <v>0</v>
      </c>
      <c r="DO98" s="37" t="n">
        <f aca="false">IF(DO6=①통합_가정!$E$14,①통합_가정!$R$404,0)</f>
        <v>0</v>
      </c>
      <c r="DP98" s="37" t="n">
        <f aca="false">IF(DP6=①통합_가정!$E$14,①통합_가정!$R$404,0)</f>
        <v>0</v>
      </c>
      <c r="DQ98" s="37" t="n">
        <f aca="false">IF(DQ6=①통합_가정!$E$14,①통합_가정!$R$404,0)</f>
        <v>0</v>
      </c>
      <c r="DR98" s="37" t="n">
        <f aca="false">IF(DR6=①통합_가정!$E$14,①통합_가정!$R$404,0)</f>
        <v>0</v>
      </c>
      <c r="DS98" s="37" t="n">
        <f aca="false">IF(DS6=①통합_가정!$E$14,①통합_가정!$R$404,0)</f>
        <v>0</v>
      </c>
      <c r="DT98" s="37" t="n">
        <f aca="false">IF(DT6=①통합_가정!$E$14,①통합_가정!$R$404,0)</f>
        <v>0</v>
      </c>
      <c r="DU98" s="37" t="n">
        <f aca="false">IF(DU6=①통합_가정!$E$14,①통합_가정!$R$404,0)</f>
        <v>0</v>
      </c>
      <c r="DV98" s="37" t="n">
        <f aca="false">IF(DV6=①통합_가정!$E$14,①통합_가정!$R$404,0)</f>
        <v>0</v>
      </c>
      <c r="DW98" s="37" t="n">
        <f aca="false">IF(DW6=①통합_가정!$E$14,①통합_가정!$R$404,0)</f>
        <v>0</v>
      </c>
      <c r="DX98" s="37" t="n">
        <f aca="false">IF(DX6=①통합_가정!$E$14,①통합_가정!$R$404,0)</f>
        <v>0</v>
      </c>
      <c r="DY98" s="37" t="n">
        <f aca="false">IF(DY6=①통합_가정!$E$14,①통합_가정!$R$404,0)</f>
        <v>0</v>
      </c>
      <c r="DZ98" s="37" t="n">
        <f aca="false">IF(DZ6=①통합_가정!$E$14,①통합_가정!$R$404,0)</f>
        <v>0</v>
      </c>
      <c r="EA98" s="37" t="n">
        <f aca="false">IF(EA6=①통합_가정!$E$14,①통합_가정!$R$404,0)</f>
        <v>0</v>
      </c>
      <c r="EB98" s="37" t="n">
        <f aca="false">IF(EB6=①통합_가정!$E$14,①통합_가정!$R$404,0)</f>
        <v>0</v>
      </c>
      <c r="EC98" s="37" t="n">
        <f aca="false">IF(EC6=①통합_가정!$E$14,①통합_가정!$R$404,0)</f>
        <v>0</v>
      </c>
      <c r="ED98" s="37" t="n">
        <f aca="false">IF(ED6=①통합_가정!$E$14,①통합_가정!$R$404,0)</f>
        <v>0</v>
      </c>
      <c r="EE98" s="37" t="n">
        <f aca="false">IF(EE6=①통합_가정!$E$14,①통합_가정!$R$404,0)</f>
        <v>0</v>
      </c>
      <c r="EF98" s="37" t="n">
        <f aca="false">IF(EF6=①통합_가정!$E$14,①통합_가정!$R$404,0)</f>
        <v>0</v>
      </c>
    </row>
    <row r="99" customFormat="false" ht="15" hidden="false" customHeight="false" outlineLevel="0" collapsed="false">
      <c r="A99" s="36" t="s">
        <v>639</v>
      </c>
      <c r="B99" s="278" t="s">
        <v>21</v>
      </c>
      <c r="C99" s="279" t="n">
        <f aca="false">SUM(E99:EF99)</f>
        <v>5577.5695779483</v>
      </c>
      <c r="E99" s="37" t="n">
        <f aca="false">E10*(①통합_가정!$R$403+①통합_가정!$R$405+①통합_가정!$R$406+①통합_가정!$R$407+①통합_가정!$R$408)/(①통합_가정!$E$25*12)</f>
        <v>92.959492965805</v>
      </c>
      <c r="F99" s="37" t="n">
        <f aca="false">F10*(①통합_가정!$R$403+①통합_가정!$R$405+①통합_가정!$R$406+①통합_가정!$R$407+①통합_가정!$R$408)/(①통합_가정!$E$25*12)</f>
        <v>92.959492965805</v>
      </c>
      <c r="G99" s="37" t="n">
        <f aca="false">G10*(①통합_가정!$R$403+①통합_가정!$R$405+①통합_가정!$R$406+①통합_가정!$R$407+①통합_가정!$R$408)/(①통합_가정!$E$25*12)</f>
        <v>92.959492965805</v>
      </c>
      <c r="H99" s="37" t="n">
        <f aca="false">H10*(①통합_가정!$R$403+①통합_가정!$R$405+①통합_가정!$R$406+①통합_가정!$R$407+①통합_가정!$R$408)/(①통합_가정!$E$25*12)</f>
        <v>92.959492965805</v>
      </c>
      <c r="I99" s="37" t="n">
        <f aca="false">I10*(①통합_가정!$R$403+①통합_가정!$R$405+①통합_가정!$R$406+①통합_가정!$R$407+①통합_가정!$R$408)/(①통합_가정!$E$25*12)</f>
        <v>92.959492965805</v>
      </c>
      <c r="J99" s="37" t="n">
        <f aca="false">J10*(①통합_가정!$R$403+①통합_가정!$R$405+①통합_가정!$R$406+①통합_가정!$R$407+①통합_가정!$R$408)/(①통합_가정!$E$25*12)</f>
        <v>92.959492965805</v>
      </c>
      <c r="K99" s="37" t="n">
        <f aca="false">K10*(①통합_가정!$R$403+①통합_가정!$R$405+①통합_가정!$R$406+①통합_가정!$R$407+①통합_가정!$R$408)/(①통합_가정!$E$25*12)</f>
        <v>92.959492965805</v>
      </c>
      <c r="L99" s="37" t="n">
        <f aca="false">L10*(①통합_가정!$R$403+①통합_가정!$R$405+①통합_가정!$R$406+①통합_가정!$R$407+①통합_가정!$R$408)/(①통합_가정!$E$25*12)</f>
        <v>92.959492965805</v>
      </c>
      <c r="M99" s="37" t="n">
        <f aca="false">M10*(①통합_가정!$R$403+①통합_가정!$R$405+①통합_가정!$R$406+①통합_가정!$R$407+①통합_가정!$R$408)/(①통합_가정!$E$25*12)</f>
        <v>92.959492965805</v>
      </c>
      <c r="N99" s="37" t="n">
        <f aca="false">N10*(①통합_가정!$R$403+①통합_가정!$R$405+①통합_가정!$R$406+①통합_가정!$R$407+①통합_가정!$R$408)/(①통합_가정!$E$25*12)</f>
        <v>92.959492965805</v>
      </c>
      <c r="O99" s="37" t="n">
        <f aca="false">O10*(①통합_가정!$R$403+①통합_가정!$R$405+①통합_가정!$R$406+①통합_가정!$R$407+①통합_가정!$R$408)/(①통합_가정!$E$25*12)</f>
        <v>92.959492965805</v>
      </c>
      <c r="P99" s="37" t="n">
        <f aca="false">P10*(①통합_가정!$R$403+①통합_가정!$R$405+①통합_가정!$R$406+①통합_가정!$R$407+①통합_가정!$R$408)/(①통합_가정!$E$25*12)</f>
        <v>92.959492965805</v>
      </c>
      <c r="Q99" s="37" t="n">
        <f aca="false">Q10*(①통합_가정!$R$403+①통합_가정!$R$405+①통합_가정!$R$406+①통합_가정!$R$407+①통합_가정!$R$408)/(①통합_가정!$E$25*12)</f>
        <v>92.959492965805</v>
      </c>
      <c r="R99" s="37" t="n">
        <f aca="false">R10*(①통합_가정!$R$403+①통합_가정!$R$405+①통합_가정!$R$406+①통합_가정!$R$407+①통합_가정!$R$408)/(①통합_가정!$E$25*12)</f>
        <v>92.959492965805</v>
      </c>
      <c r="S99" s="37" t="n">
        <f aca="false">S10*(①통합_가정!$R$403+①통합_가정!$R$405+①통합_가정!$R$406+①통합_가정!$R$407+①통합_가정!$R$408)/(①통합_가정!$E$25*12)</f>
        <v>92.959492965805</v>
      </c>
      <c r="T99" s="37" t="n">
        <f aca="false">T10*(①통합_가정!$R$403+①통합_가정!$R$405+①통합_가정!$R$406+①통합_가정!$R$407+①통합_가정!$R$408)/(①통합_가정!$E$25*12)</f>
        <v>92.959492965805</v>
      </c>
      <c r="U99" s="37" t="n">
        <f aca="false">U10*(①통합_가정!$R$403+①통합_가정!$R$405+①통합_가정!$R$406+①통합_가정!$R$407+①통합_가정!$R$408)/(①통합_가정!$E$25*12)</f>
        <v>92.959492965805</v>
      </c>
      <c r="V99" s="37" t="n">
        <f aca="false">V10*(①통합_가정!$R$403+①통합_가정!$R$405+①통합_가정!$R$406+①통합_가정!$R$407+①통합_가정!$R$408)/(①통합_가정!$E$25*12)</f>
        <v>92.959492965805</v>
      </c>
      <c r="W99" s="37" t="n">
        <f aca="false">W10*(①통합_가정!$R$403+①통합_가정!$R$405+①통합_가정!$R$406+①통합_가정!$R$407+①통합_가정!$R$408)/(①통합_가정!$E$25*12)</f>
        <v>92.959492965805</v>
      </c>
      <c r="X99" s="37" t="n">
        <f aca="false">X10*(①통합_가정!$R$403+①통합_가정!$R$405+①통합_가정!$R$406+①통합_가정!$R$407+①통합_가정!$R$408)/(①통합_가정!$E$25*12)</f>
        <v>92.959492965805</v>
      </c>
      <c r="Y99" s="37" t="n">
        <f aca="false">Y10*(①통합_가정!$R$403+①통합_가정!$R$405+①통합_가정!$R$406+①통합_가정!$R$407+①통합_가정!$R$408)/(①통합_가정!$E$25*12)</f>
        <v>92.959492965805</v>
      </c>
      <c r="Z99" s="37" t="n">
        <f aca="false">Z10*(①통합_가정!$R$403+①통합_가정!$R$405+①통합_가정!$R$406+①통합_가정!$R$407+①통합_가정!$R$408)/(①통합_가정!$E$25*12)</f>
        <v>92.959492965805</v>
      </c>
      <c r="AA99" s="37" t="n">
        <f aca="false">AA10*(①통합_가정!$R$403+①통합_가정!$R$405+①통합_가정!$R$406+①통합_가정!$R$407+①통합_가정!$R$408)/(①통합_가정!$E$25*12)</f>
        <v>92.959492965805</v>
      </c>
      <c r="AB99" s="37" t="n">
        <f aca="false">AB10*(①통합_가정!$R$403+①통합_가정!$R$405+①통합_가정!$R$406+①통합_가정!$R$407+①통합_가정!$R$408)/(①통합_가정!$E$25*12)</f>
        <v>92.959492965805</v>
      </c>
      <c r="AC99" s="37" t="n">
        <f aca="false">AC10*(①통합_가정!$R$403+①통합_가정!$R$405+①통합_가정!$R$406+①통합_가정!$R$407+①통합_가정!$R$408)/(①통합_가정!$E$25*12)</f>
        <v>92.959492965805</v>
      </c>
      <c r="AD99" s="37" t="n">
        <f aca="false">AD10*(①통합_가정!$R$403+①통합_가정!$R$405+①통합_가정!$R$406+①통합_가정!$R$407+①통합_가정!$R$408)/(①통합_가정!$E$25*12)</f>
        <v>92.959492965805</v>
      </c>
      <c r="AE99" s="37" t="n">
        <f aca="false">AE10*(①통합_가정!$R$403+①통합_가정!$R$405+①통합_가정!$R$406+①통합_가정!$R$407+①통합_가정!$R$408)/(①통합_가정!$E$25*12)</f>
        <v>92.959492965805</v>
      </c>
      <c r="AF99" s="37" t="n">
        <f aca="false">AF10*(①통합_가정!$R$403+①통합_가정!$R$405+①통합_가정!$R$406+①통합_가정!$R$407+①통합_가정!$R$408)/(①통합_가정!$E$25*12)</f>
        <v>92.959492965805</v>
      </c>
      <c r="AG99" s="37" t="n">
        <f aca="false">AG10*(①통합_가정!$R$403+①통합_가정!$R$405+①통합_가정!$R$406+①통합_가정!$R$407+①통합_가정!$R$408)/(①통합_가정!$E$25*12)</f>
        <v>92.959492965805</v>
      </c>
      <c r="AH99" s="37" t="n">
        <f aca="false">AH10*(①통합_가정!$R$403+①통합_가정!$R$405+①통합_가정!$R$406+①통합_가정!$R$407+①통합_가정!$R$408)/(①통합_가정!$E$25*12)</f>
        <v>92.959492965805</v>
      </c>
      <c r="AI99" s="37" t="n">
        <f aca="false">AI10*(①통합_가정!$R$403+①통합_가정!$R$405+①통합_가정!$R$406+①통합_가정!$R$407+①통합_가정!$R$408)/(①통합_가정!$E$25*12)</f>
        <v>92.959492965805</v>
      </c>
      <c r="AJ99" s="37" t="n">
        <f aca="false">AJ10*(①통합_가정!$R$403+①통합_가정!$R$405+①통합_가정!$R$406+①통합_가정!$R$407+①통합_가정!$R$408)/(①통합_가정!$E$25*12)</f>
        <v>92.959492965805</v>
      </c>
      <c r="AK99" s="37" t="n">
        <f aca="false">AK10*(①통합_가정!$R$403+①통합_가정!$R$405+①통합_가정!$R$406+①통합_가정!$R$407+①통합_가정!$R$408)/(①통합_가정!$E$25*12)</f>
        <v>92.959492965805</v>
      </c>
      <c r="AL99" s="37" t="n">
        <f aca="false">AL10*(①통합_가정!$R$403+①통합_가정!$R$405+①통합_가정!$R$406+①통합_가정!$R$407+①통합_가정!$R$408)/(①통합_가정!$E$25*12)</f>
        <v>92.959492965805</v>
      </c>
      <c r="AM99" s="37" t="n">
        <f aca="false">AM10*(①통합_가정!$R$403+①통합_가정!$R$405+①통합_가정!$R$406+①통합_가정!$R$407+①통합_가정!$R$408)/(①통합_가정!$E$25*12)</f>
        <v>92.959492965805</v>
      </c>
      <c r="AN99" s="37" t="n">
        <f aca="false">AN10*(①통합_가정!$R$403+①통합_가정!$R$405+①통합_가정!$R$406+①통합_가정!$R$407+①통합_가정!$R$408)/(①통합_가정!$E$25*12)</f>
        <v>92.959492965805</v>
      </c>
      <c r="AO99" s="37" t="n">
        <f aca="false">AO10*(①통합_가정!$R$403+①통합_가정!$R$405+①통합_가정!$R$406+①통합_가정!$R$407+①통합_가정!$R$408)/(①통합_가정!$E$25*12)</f>
        <v>92.959492965805</v>
      </c>
      <c r="AP99" s="37" t="n">
        <f aca="false">AP10*(①통합_가정!$R$403+①통합_가정!$R$405+①통합_가정!$R$406+①통합_가정!$R$407+①통합_가정!$R$408)/(①통합_가정!$E$25*12)</f>
        <v>92.959492965805</v>
      </c>
      <c r="AQ99" s="37" t="n">
        <f aca="false">AQ10*(①통합_가정!$R$403+①통합_가정!$R$405+①통합_가정!$R$406+①통합_가정!$R$407+①통합_가정!$R$408)/(①통합_가정!$E$25*12)</f>
        <v>92.959492965805</v>
      </c>
      <c r="AR99" s="37" t="n">
        <f aca="false">AR10*(①통합_가정!$R$403+①통합_가정!$R$405+①통합_가정!$R$406+①통합_가정!$R$407+①통합_가정!$R$408)/(①통합_가정!$E$25*12)</f>
        <v>92.959492965805</v>
      </c>
      <c r="AS99" s="37" t="n">
        <f aca="false">AS10*(①통합_가정!$R$403+①통합_가정!$R$405+①통합_가정!$R$406+①통합_가정!$R$407+①통합_가정!$R$408)/(①통합_가정!$E$25*12)</f>
        <v>92.959492965805</v>
      </c>
      <c r="AT99" s="37" t="n">
        <f aca="false">AT10*(①통합_가정!$R$403+①통합_가정!$R$405+①통합_가정!$R$406+①통합_가정!$R$407+①통합_가정!$R$408)/(①통합_가정!$E$25*12)</f>
        <v>92.959492965805</v>
      </c>
      <c r="AU99" s="37" t="n">
        <f aca="false">AU10*(①통합_가정!$R$403+①통합_가정!$R$405+①통합_가정!$R$406+①통합_가정!$R$407+①통합_가정!$R$408)/(①통합_가정!$E$25*12)</f>
        <v>92.959492965805</v>
      </c>
      <c r="AV99" s="37" t="n">
        <f aca="false">AV10*(①통합_가정!$R$403+①통합_가정!$R$405+①통합_가정!$R$406+①통합_가정!$R$407+①통합_가정!$R$408)/(①통합_가정!$E$25*12)</f>
        <v>92.959492965805</v>
      </c>
      <c r="AW99" s="37" t="n">
        <f aca="false">AW10*(①통합_가정!$R$403+①통합_가정!$R$405+①통합_가정!$R$406+①통합_가정!$R$407+①통합_가정!$R$408)/(①통합_가정!$E$25*12)</f>
        <v>92.959492965805</v>
      </c>
      <c r="AX99" s="37" t="n">
        <f aca="false">AX10*(①통합_가정!$R$403+①통합_가정!$R$405+①통합_가정!$R$406+①통합_가정!$R$407+①통합_가정!$R$408)/(①통합_가정!$E$25*12)</f>
        <v>92.959492965805</v>
      </c>
      <c r="AY99" s="37" t="n">
        <f aca="false">AY10*(①통합_가정!$R$403+①통합_가정!$R$405+①통합_가정!$R$406+①통합_가정!$R$407+①통합_가정!$R$408)/(①통합_가정!$E$25*12)</f>
        <v>92.959492965805</v>
      </c>
      <c r="AZ99" s="37" t="n">
        <f aca="false">AZ10*(①통합_가정!$R$403+①통합_가정!$R$405+①통합_가정!$R$406+①통합_가정!$R$407+①통합_가정!$R$408)/(①통합_가정!$E$25*12)</f>
        <v>92.959492965805</v>
      </c>
      <c r="BA99" s="37" t="n">
        <f aca="false">BA10*(①통합_가정!$R$403+①통합_가정!$R$405+①통합_가정!$R$406+①통합_가정!$R$407+①통합_가정!$R$408)/(①통합_가정!$E$25*12)</f>
        <v>92.959492965805</v>
      </c>
      <c r="BB99" s="37" t="n">
        <f aca="false">BB10*(①통합_가정!$R$403+①통합_가정!$R$405+①통합_가정!$R$406+①통합_가정!$R$407+①통합_가정!$R$408)/(①통합_가정!$E$25*12)</f>
        <v>92.959492965805</v>
      </c>
      <c r="BC99" s="37" t="n">
        <f aca="false">BC10*(①통합_가정!$R$403+①통합_가정!$R$405+①통합_가정!$R$406+①통합_가정!$R$407+①통합_가정!$R$408)/(①통합_가정!$E$25*12)</f>
        <v>92.959492965805</v>
      </c>
      <c r="BD99" s="37" t="n">
        <f aca="false">BD10*(①통합_가정!$R$403+①통합_가정!$R$405+①통합_가정!$R$406+①통합_가정!$R$407+①통합_가정!$R$408)/(①통합_가정!$E$25*12)</f>
        <v>92.959492965805</v>
      </c>
      <c r="BE99" s="37" t="n">
        <f aca="false">BE10*(①통합_가정!$R$403+①통합_가정!$R$405+①통합_가정!$R$406+①통합_가정!$R$407+①통합_가정!$R$408)/(①통합_가정!$E$25*12)</f>
        <v>92.959492965805</v>
      </c>
      <c r="BF99" s="37" t="n">
        <f aca="false">BF10*(①통합_가정!$R$403+①통합_가정!$R$405+①통합_가정!$R$406+①통합_가정!$R$407+①통합_가정!$R$408)/(①통합_가정!$E$25*12)</f>
        <v>92.959492965805</v>
      </c>
      <c r="BG99" s="37" t="n">
        <f aca="false">BG10*(①통합_가정!$R$403+①통합_가정!$R$405+①통합_가정!$R$406+①통합_가정!$R$407+①통합_가정!$R$408)/(①통합_가정!$E$25*12)</f>
        <v>92.959492965805</v>
      </c>
      <c r="BH99" s="37" t="n">
        <f aca="false">BH10*(①통합_가정!$R$403+①통합_가정!$R$405+①통합_가정!$R$406+①통합_가정!$R$407+①통합_가정!$R$408)/(①통합_가정!$E$25*12)</f>
        <v>92.959492965805</v>
      </c>
      <c r="BI99" s="37" t="n">
        <f aca="false">BI10*(①통합_가정!$R$403+①통합_가정!$R$405+①통합_가정!$R$406+①통합_가정!$R$407+①통합_가정!$R$408)/(①통합_가정!$E$25*12)</f>
        <v>92.959492965805</v>
      </c>
      <c r="BJ99" s="37" t="n">
        <f aca="false">BJ10*(①통합_가정!$R$403+①통합_가정!$R$405+①통합_가정!$R$406+①통합_가정!$R$407+①통합_가정!$R$408)/(①통합_가정!$E$25*12)</f>
        <v>92.959492965805</v>
      </c>
      <c r="BK99" s="37" t="n">
        <f aca="false">BK10*(①통합_가정!$R$403+①통합_가정!$R$405+①통합_가정!$R$406+①통합_가정!$R$407+①통합_가정!$R$408)/(①통합_가정!$E$25*12)</f>
        <v>92.959492965805</v>
      </c>
      <c r="BL99" s="37" t="n">
        <f aca="false">BL10*(①통합_가정!$R$403+①통합_가정!$R$405+①통합_가정!$R$406+①통합_가정!$R$407+①통합_가정!$R$408)/(①통합_가정!$E$25*12)</f>
        <v>92.959492965805</v>
      </c>
      <c r="BM99" s="37" t="n">
        <f aca="false">BM10*(①통합_가정!$R$403+①통합_가정!$R$405+①통합_가정!$R$406+①통합_가정!$R$407+①통합_가정!$R$408)/(①통합_가정!$E$25*12)</f>
        <v>0</v>
      </c>
      <c r="BN99" s="37" t="n">
        <f aca="false">BN10*(①통합_가정!$R$403+①통합_가정!$R$405+①통합_가정!$R$406+①통합_가정!$R$407+①통합_가정!$R$408)/(①통합_가정!$E$25*12)</f>
        <v>0</v>
      </c>
      <c r="BO99" s="37" t="n">
        <f aca="false">BO10*(①통합_가정!$R$403+①통합_가정!$R$405+①통합_가정!$R$406+①통합_가정!$R$407+①통합_가정!$R$408)/(①통합_가정!$E$25*12)</f>
        <v>0</v>
      </c>
      <c r="BP99" s="37" t="n">
        <f aca="false">BP10*(①통합_가정!$R$403+①통합_가정!$R$405+①통합_가정!$R$406+①통합_가정!$R$407+①통합_가정!$R$408)/(①통합_가정!$E$25*12)</f>
        <v>0</v>
      </c>
      <c r="BQ99" s="37" t="n">
        <f aca="false">BQ10*(①통합_가정!$R$403+①통합_가정!$R$405+①통합_가정!$R$406+①통합_가정!$R$407+①통합_가정!$R$408)/(①통합_가정!$E$25*12)</f>
        <v>0</v>
      </c>
      <c r="BR99" s="37" t="n">
        <f aca="false">BR10*(①통합_가정!$R$403+①통합_가정!$R$405+①통합_가정!$R$406+①통합_가정!$R$407+①통합_가정!$R$408)/(①통합_가정!$E$25*12)</f>
        <v>0</v>
      </c>
      <c r="BS99" s="37" t="n">
        <f aca="false">BS10*(①통합_가정!$R$403+①통합_가정!$R$405+①통합_가정!$R$406+①통합_가정!$R$407+①통합_가정!$R$408)/(①통합_가정!$E$25*12)</f>
        <v>0</v>
      </c>
      <c r="BT99" s="37" t="n">
        <f aca="false">BT10*(①통합_가정!$R$403+①통합_가정!$R$405+①통합_가정!$R$406+①통합_가정!$R$407+①통합_가정!$R$408)/(①통합_가정!$E$25*12)</f>
        <v>0</v>
      </c>
      <c r="BU99" s="37" t="n">
        <f aca="false">BU10*(①통합_가정!$R$403+①통합_가정!$R$405+①통합_가정!$R$406+①통합_가정!$R$407+①통합_가정!$R$408)/(①통합_가정!$E$25*12)</f>
        <v>0</v>
      </c>
      <c r="BV99" s="37" t="n">
        <f aca="false">BV10*(①통합_가정!$R$403+①통합_가정!$R$405+①통합_가정!$R$406+①통합_가정!$R$407+①통합_가정!$R$408)/(①통합_가정!$E$25*12)</f>
        <v>0</v>
      </c>
      <c r="BW99" s="37" t="n">
        <f aca="false">BW10*(①통합_가정!$R$403+①통합_가정!$R$405+①통합_가정!$R$406+①통합_가정!$R$407+①통합_가정!$R$408)/(①통합_가정!$E$25*12)</f>
        <v>0</v>
      </c>
      <c r="BX99" s="37" t="n">
        <f aca="false">BX10*(①통합_가정!$R$403+①통합_가정!$R$405+①통합_가정!$R$406+①통합_가정!$R$407+①통합_가정!$R$408)/(①통합_가정!$E$25*12)</f>
        <v>0</v>
      </c>
      <c r="BY99" s="37" t="n">
        <f aca="false">BY10*(①통합_가정!$R$403+①통합_가정!$R$405+①통합_가정!$R$406+①통합_가정!$R$407+①통합_가정!$R$408)/(①통합_가정!$E$25*12)</f>
        <v>0</v>
      </c>
      <c r="BZ99" s="37" t="n">
        <f aca="false">BZ10*(①통합_가정!$R$403+①통합_가정!$R$405+①통합_가정!$R$406+①통합_가정!$R$407+①통합_가정!$R$408)/(①통합_가정!$E$25*12)</f>
        <v>0</v>
      </c>
      <c r="CA99" s="37" t="n">
        <f aca="false">CA10*(①통합_가정!$R$403+①통합_가정!$R$405+①통합_가정!$R$406+①통합_가정!$R$407+①통합_가정!$R$408)/(①통합_가정!$E$25*12)</f>
        <v>0</v>
      </c>
      <c r="CB99" s="37" t="n">
        <f aca="false">CB10*(①통합_가정!$R$403+①통합_가정!$R$405+①통합_가정!$R$406+①통합_가정!$R$407+①통합_가정!$R$408)/(①통합_가정!$E$25*12)</f>
        <v>0</v>
      </c>
      <c r="CC99" s="37" t="n">
        <f aca="false">CC10*(①통합_가정!$R$403+①통합_가정!$R$405+①통합_가정!$R$406+①통합_가정!$R$407+①통합_가정!$R$408)/(①통합_가정!$E$25*12)</f>
        <v>0</v>
      </c>
      <c r="CD99" s="37" t="n">
        <f aca="false">CD10*(①통합_가정!$R$403+①통합_가정!$R$405+①통합_가정!$R$406+①통합_가정!$R$407+①통합_가정!$R$408)/(①통합_가정!$E$25*12)</f>
        <v>0</v>
      </c>
      <c r="CE99" s="37" t="n">
        <f aca="false">CE10*(①통합_가정!$R$403+①통합_가정!$R$405+①통합_가정!$R$406+①통합_가정!$R$407+①통합_가정!$R$408)/(①통합_가정!$E$25*12)</f>
        <v>0</v>
      </c>
      <c r="CF99" s="37" t="n">
        <f aca="false">CF10*(①통합_가정!$R$403+①통합_가정!$R$405+①통합_가정!$R$406+①통합_가정!$R$407+①통합_가정!$R$408)/(①통합_가정!$E$25*12)</f>
        <v>0</v>
      </c>
      <c r="CG99" s="37" t="n">
        <f aca="false">CG10*(①통합_가정!$R$403+①통합_가정!$R$405+①통합_가정!$R$406+①통합_가정!$R$407+①통합_가정!$R$408)/(①통합_가정!$E$25*12)</f>
        <v>0</v>
      </c>
      <c r="CH99" s="37" t="n">
        <f aca="false">CH10*(①통합_가정!$R$403+①통합_가정!$R$405+①통합_가정!$R$406+①통합_가정!$R$407+①통합_가정!$R$408)/(①통합_가정!$E$25*12)</f>
        <v>0</v>
      </c>
      <c r="CI99" s="37" t="n">
        <f aca="false">CI10*(①통합_가정!$R$403+①통합_가정!$R$405+①통합_가정!$R$406+①통합_가정!$R$407+①통합_가정!$R$408)/(①통합_가정!$E$25*12)</f>
        <v>0</v>
      </c>
      <c r="CJ99" s="37" t="n">
        <f aca="false">CJ10*(①통합_가정!$R$403+①통합_가정!$R$405+①통합_가정!$R$406+①통합_가정!$R$407+①통합_가정!$R$408)/(①통합_가정!$E$25*12)</f>
        <v>0</v>
      </c>
      <c r="CK99" s="37" t="n">
        <f aca="false">CK10*(①통합_가정!$R$403+①통합_가정!$R$405+①통합_가정!$R$406+①통합_가정!$R$407+①통합_가정!$R$408)/(①통합_가정!$E$25*12)</f>
        <v>0</v>
      </c>
      <c r="CL99" s="37" t="n">
        <f aca="false">CL10*(①통합_가정!$R$403+①통합_가정!$R$405+①통합_가정!$R$406+①통합_가정!$R$407+①통합_가정!$R$408)/(①통합_가정!$E$25*12)</f>
        <v>0</v>
      </c>
      <c r="CM99" s="37" t="n">
        <f aca="false">CM10*(①통합_가정!$R$403+①통합_가정!$R$405+①통합_가정!$R$406+①통합_가정!$R$407+①통합_가정!$R$408)/(①통합_가정!$E$25*12)</f>
        <v>0</v>
      </c>
      <c r="CN99" s="37" t="n">
        <f aca="false">CN10*(①통합_가정!$R$403+①통합_가정!$R$405+①통합_가정!$R$406+①통합_가정!$R$407+①통합_가정!$R$408)/(①통합_가정!$E$25*12)</f>
        <v>0</v>
      </c>
      <c r="CO99" s="37" t="n">
        <f aca="false">CO10*(①통합_가정!$R$403+①통합_가정!$R$405+①통합_가정!$R$406+①통합_가정!$R$407+①통합_가정!$R$408)/(①통합_가정!$E$25*12)</f>
        <v>0</v>
      </c>
      <c r="CP99" s="37" t="n">
        <f aca="false">CP10*(①통합_가정!$R$403+①통합_가정!$R$405+①통합_가정!$R$406+①통합_가정!$R$407+①통합_가정!$R$408)/(①통합_가정!$E$25*12)</f>
        <v>0</v>
      </c>
      <c r="CQ99" s="37" t="n">
        <f aca="false">CQ10*(①통합_가정!$R$403+①통합_가정!$R$405+①통합_가정!$R$406+①통합_가정!$R$407+①통합_가정!$R$408)/(①통합_가정!$E$25*12)</f>
        <v>0</v>
      </c>
      <c r="CR99" s="37" t="n">
        <f aca="false">CR10*(①통합_가정!$R$403+①통합_가정!$R$405+①통합_가정!$R$406+①통합_가정!$R$407+①통합_가정!$R$408)/(①통합_가정!$E$25*12)</f>
        <v>0</v>
      </c>
      <c r="CS99" s="37" t="n">
        <f aca="false">CS10*(①통합_가정!$R$403+①통합_가정!$R$405+①통합_가정!$R$406+①통합_가정!$R$407+①통합_가정!$R$408)/(①통합_가정!$E$25*12)</f>
        <v>0</v>
      </c>
      <c r="CT99" s="37" t="n">
        <f aca="false">CT10*(①통합_가정!$R$403+①통합_가정!$R$405+①통합_가정!$R$406+①통합_가정!$R$407+①통합_가정!$R$408)/(①통합_가정!$E$25*12)</f>
        <v>0</v>
      </c>
      <c r="CU99" s="37" t="n">
        <f aca="false">CU10*(①통합_가정!$R$403+①통합_가정!$R$405+①통합_가정!$R$406+①통합_가정!$R$407+①통합_가정!$R$408)/(①통합_가정!$E$25*12)</f>
        <v>0</v>
      </c>
      <c r="CV99" s="37" t="n">
        <f aca="false">CV10*(①통합_가정!$R$403+①통합_가정!$R$405+①통합_가정!$R$406+①통합_가정!$R$407+①통합_가정!$R$408)/(①통합_가정!$E$25*12)</f>
        <v>0</v>
      </c>
      <c r="CW99" s="37" t="n">
        <f aca="false">CW10*(①통합_가정!$R$403+①통합_가정!$R$405+①통합_가정!$R$406+①통합_가정!$R$407+①통합_가정!$R$408)/(①통합_가정!$E$25*12)</f>
        <v>0</v>
      </c>
      <c r="CX99" s="37" t="n">
        <f aca="false">CX10*(①통합_가정!$R$403+①통합_가정!$R$405+①통합_가정!$R$406+①통합_가정!$R$407+①통합_가정!$R$408)/(①통합_가정!$E$25*12)</f>
        <v>0</v>
      </c>
      <c r="CY99" s="37" t="n">
        <f aca="false">CY10*(①통합_가정!$R$403+①통합_가정!$R$405+①통합_가정!$R$406+①통합_가정!$R$407+①통합_가정!$R$408)/(①통합_가정!$E$25*12)</f>
        <v>0</v>
      </c>
      <c r="CZ99" s="37" t="n">
        <f aca="false">CZ10*(①통합_가정!$R$403+①통합_가정!$R$405+①통합_가정!$R$406+①통합_가정!$R$407+①통합_가정!$R$408)/(①통합_가정!$E$25*12)</f>
        <v>0</v>
      </c>
      <c r="DA99" s="37" t="n">
        <f aca="false">DA10*(①통합_가정!$R$403+①통합_가정!$R$405+①통합_가정!$R$406+①통합_가정!$R$407+①통합_가정!$R$408)/(①통합_가정!$E$25*12)</f>
        <v>0</v>
      </c>
      <c r="DB99" s="37" t="n">
        <f aca="false">DB10*(①통합_가정!$R$403+①통합_가정!$R$405+①통합_가정!$R$406+①통합_가정!$R$407+①통합_가정!$R$408)/(①통합_가정!$E$25*12)</f>
        <v>0</v>
      </c>
      <c r="DC99" s="37" t="n">
        <f aca="false">DC10*(①통합_가정!$R$403+①통합_가정!$R$405+①통합_가정!$R$406+①통합_가정!$R$407+①통합_가정!$R$408)/(①통합_가정!$E$25*12)</f>
        <v>0</v>
      </c>
      <c r="DD99" s="37" t="n">
        <f aca="false">DD10*(①통합_가정!$R$403+①통합_가정!$R$405+①통합_가정!$R$406+①통합_가정!$R$407+①통합_가정!$R$408)/(①통합_가정!$E$25*12)</f>
        <v>0</v>
      </c>
      <c r="DE99" s="37" t="n">
        <f aca="false">DE10*(①통합_가정!$R$403+①통합_가정!$R$405+①통합_가정!$R$406+①통합_가정!$R$407+①통합_가정!$R$408)/(①통합_가정!$E$25*12)</f>
        <v>0</v>
      </c>
      <c r="DF99" s="37" t="n">
        <f aca="false">DF10*(①통합_가정!$R$403+①통합_가정!$R$405+①통합_가정!$R$406+①통합_가정!$R$407+①통합_가정!$R$408)/(①통합_가정!$E$25*12)</f>
        <v>0</v>
      </c>
      <c r="DG99" s="37" t="n">
        <f aca="false">DG10*(①통합_가정!$R$403+①통합_가정!$R$405+①통합_가정!$R$406+①통합_가정!$R$407+①통합_가정!$R$408)/(①통합_가정!$E$25*12)</f>
        <v>0</v>
      </c>
      <c r="DH99" s="37" t="n">
        <f aca="false">DH10*(①통합_가정!$R$403+①통합_가정!$R$405+①통합_가정!$R$406+①통합_가정!$R$407+①통합_가정!$R$408)/(①통합_가정!$E$25*12)</f>
        <v>0</v>
      </c>
      <c r="DI99" s="37" t="n">
        <f aca="false">DI10*(①통합_가정!$R$403+①통합_가정!$R$405+①통합_가정!$R$406+①통합_가정!$R$407+①통합_가정!$R$408)/(①통합_가정!$E$25*12)</f>
        <v>0</v>
      </c>
      <c r="DJ99" s="37" t="n">
        <f aca="false">DJ10*(①통합_가정!$R$403+①통합_가정!$R$405+①통합_가정!$R$406+①통합_가정!$R$407+①통합_가정!$R$408)/(①통합_가정!$E$25*12)</f>
        <v>0</v>
      </c>
      <c r="DK99" s="37" t="n">
        <f aca="false">DK10*(①통합_가정!$R$403+①통합_가정!$R$405+①통합_가정!$R$406+①통합_가정!$R$407+①통합_가정!$R$408)/(①통합_가정!$E$25*12)</f>
        <v>0</v>
      </c>
      <c r="DL99" s="37" t="n">
        <f aca="false">DL10*(①통합_가정!$R$403+①통합_가정!$R$405+①통합_가정!$R$406+①통합_가정!$R$407+①통합_가정!$R$408)/(①통합_가정!$E$25*12)</f>
        <v>0</v>
      </c>
      <c r="DM99" s="37" t="n">
        <f aca="false">DM10*(①통합_가정!$R$403+①통합_가정!$R$405+①통합_가정!$R$406+①통합_가정!$R$407+①통합_가정!$R$408)/(①통합_가정!$E$25*12)</f>
        <v>0</v>
      </c>
      <c r="DN99" s="37" t="n">
        <f aca="false">DN10*(①통합_가정!$R$403+①통합_가정!$R$405+①통합_가정!$R$406+①통합_가정!$R$407+①통합_가정!$R$408)/(①통합_가정!$E$25*12)</f>
        <v>0</v>
      </c>
      <c r="DO99" s="37" t="n">
        <f aca="false">DO10*(①통합_가정!$R$403+①통합_가정!$R$405+①통합_가정!$R$406+①통합_가정!$R$407+①통합_가정!$R$408)/(①통합_가정!$E$25*12)</f>
        <v>0</v>
      </c>
      <c r="DP99" s="37" t="n">
        <f aca="false">DP10*(①통합_가정!$R$403+①통합_가정!$R$405+①통합_가정!$R$406+①통합_가정!$R$407+①통합_가정!$R$408)/(①통합_가정!$E$25*12)</f>
        <v>0</v>
      </c>
      <c r="DQ99" s="37" t="n">
        <f aca="false">DQ10*(①통합_가정!$R$403+①통합_가정!$R$405+①통합_가정!$R$406+①통합_가정!$R$407+①통합_가정!$R$408)/(①통합_가정!$E$25*12)</f>
        <v>0</v>
      </c>
      <c r="DR99" s="37" t="n">
        <f aca="false">DR10*(①통합_가정!$R$403+①통합_가정!$R$405+①통합_가정!$R$406+①통합_가정!$R$407+①통합_가정!$R$408)/(①통합_가정!$E$25*12)</f>
        <v>0</v>
      </c>
      <c r="DS99" s="37" t="n">
        <f aca="false">DS10*(①통합_가정!$R$403+①통합_가정!$R$405+①통합_가정!$R$406+①통합_가정!$R$407+①통합_가정!$R$408)/(①통합_가정!$E$25*12)</f>
        <v>0</v>
      </c>
      <c r="DT99" s="37" t="n">
        <f aca="false">DT10*(①통합_가정!$R$403+①통합_가정!$R$405+①통합_가정!$R$406+①통합_가정!$R$407+①통합_가정!$R$408)/(①통합_가정!$E$25*12)</f>
        <v>0</v>
      </c>
      <c r="DU99" s="37" t="n">
        <f aca="false">DU10*(①통합_가정!$R$403+①통합_가정!$R$405+①통합_가정!$R$406+①통합_가정!$R$407+①통합_가정!$R$408)/(①통합_가정!$E$25*12)</f>
        <v>0</v>
      </c>
      <c r="DV99" s="37" t="n">
        <f aca="false">DV10*(①통합_가정!$R$403+①통합_가정!$R$405+①통합_가정!$R$406+①통합_가정!$R$407+①통합_가정!$R$408)/(①통합_가정!$E$25*12)</f>
        <v>0</v>
      </c>
      <c r="DW99" s="37" t="n">
        <f aca="false">DW10*(①통합_가정!$R$403+①통합_가정!$R$405+①통합_가정!$R$406+①통합_가정!$R$407+①통합_가정!$R$408)/(①통합_가정!$E$25*12)</f>
        <v>0</v>
      </c>
      <c r="DX99" s="37" t="n">
        <f aca="false">DX10*(①통합_가정!$R$403+①통합_가정!$R$405+①통합_가정!$R$406+①통합_가정!$R$407+①통합_가정!$R$408)/(①통합_가정!$E$25*12)</f>
        <v>0</v>
      </c>
      <c r="DY99" s="37" t="n">
        <f aca="false">DY10*(①통합_가정!$R$403+①통합_가정!$R$405+①통합_가정!$R$406+①통합_가정!$R$407+①통합_가정!$R$408)/(①통합_가정!$E$25*12)</f>
        <v>0</v>
      </c>
      <c r="DZ99" s="37" t="n">
        <f aca="false">DZ10*(①통합_가정!$R$403+①통합_가정!$R$405+①통합_가정!$R$406+①통합_가정!$R$407+①통합_가정!$R$408)/(①통합_가정!$E$25*12)</f>
        <v>0</v>
      </c>
      <c r="EA99" s="37" t="n">
        <f aca="false">EA10*(①통합_가정!$R$403+①통합_가정!$R$405+①통합_가정!$R$406+①통합_가정!$R$407+①통합_가정!$R$408)/(①통합_가정!$E$25*12)</f>
        <v>0</v>
      </c>
      <c r="EB99" s="37" t="n">
        <f aca="false">EB10*(①통합_가정!$R$403+①통합_가정!$R$405+①통합_가정!$R$406+①통합_가정!$R$407+①통합_가정!$R$408)/(①통합_가정!$E$25*12)</f>
        <v>0</v>
      </c>
      <c r="EC99" s="37" t="n">
        <f aca="false">EC10*(①통합_가정!$R$403+①통합_가정!$R$405+①통합_가정!$R$406+①통합_가정!$R$407+①통합_가정!$R$408)/(①통합_가정!$E$25*12)</f>
        <v>0</v>
      </c>
      <c r="ED99" s="37" t="n">
        <f aca="false">ED10*(①통합_가정!$R$403+①통합_가정!$R$405+①통합_가정!$R$406+①통합_가정!$R$407+①통합_가정!$R$408)/(①통합_가정!$E$25*12)</f>
        <v>0</v>
      </c>
      <c r="EE99" s="37" t="n">
        <f aca="false">EE10*(①통합_가정!$R$403+①통합_가정!$R$405+①통합_가정!$R$406+①통합_가정!$R$407+①통합_가정!$R$408)/(①통합_가정!$E$25*12)</f>
        <v>0</v>
      </c>
      <c r="EF99" s="37" t="n">
        <f aca="false">EF10*(①통합_가정!$R$403+①통합_가정!$R$405+①통합_가정!$R$406+①통합_가정!$R$407+①통합_가정!$R$408)/(①통합_가정!$E$25*12)</f>
        <v>0</v>
      </c>
    </row>
    <row r="100" customFormat="false" ht="15" hidden="false" customHeight="false" outlineLevel="0" collapsed="false">
      <c r="A100" s="280" t="s">
        <v>640</v>
      </c>
      <c r="B100" s="281" t="s">
        <v>21</v>
      </c>
      <c r="C100" s="282" t="n">
        <f aca="false">SUM(E100:EF100)</f>
        <v>1401070.21428998</v>
      </c>
      <c r="D100" s="48"/>
      <c r="E100" s="283" t="n">
        <f aca="false">SUM(E89:E99)</f>
        <v>2038.28845014778</v>
      </c>
      <c r="F100" s="283" t="n">
        <f aca="false">SUM(F89:F99)</f>
        <v>92.959492965805</v>
      </c>
      <c r="G100" s="283" t="n">
        <f aca="false">SUM(G89:G99)</f>
        <v>92.959492965805</v>
      </c>
      <c r="H100" s="283" t="n">
        <f aca="false">SUM(H89:H99)</f>
        <v>11092.9594929658</v>
      </c>
      <c r="I100" s="283" t="n">
        <f aca="false">SUM(I89:I99)</f>
        <v>92.959492965805</v>
      </c>
      <c r="J100" s="283" t="n">
        <f aca="false">SUM(J89:J99)</f>
        <v>92.959492965805</v>
      </c>
      <c r="K100" s="283" t="n">
        <f aca="false">SUM(K89:K99)</f>
        <v>92.959492965805</v>
      </c>
      <c r="L100" s="283" t="n">
        <f aca="false">SUM(L89:L99)</f>
        <v>92.959492965805</v>
      </c>
      <c r="M100" s="283" t="n">
        <f aca="false">SUM(M89:M99)</f>
        <v>92.959492965805</v>
      </c>
      <c r="N100" s="283" t="n">
        <f aca="false">SUM(N89:N99)</f>
        <v>92.959492965805</v>
      </c>
      <c r="O100" s="283" t="n">
        <f aca="false">SUM(O89:O99)</f>
        <v>92.959492965805</v>
      </c>
      <c r="P100" s="283" t="n">
        <f aca="false">SUM(P89:P99)</f>
        <v>92.959492965805</v>
      </c>
      <c r="Q100" s="283" t="n">
        <f aca="false">SUM(Q89:Q99)</f>
        <v>92.959492965805</v>
      </c>
      <c r="R100" s="283" t="n">
        <f aca="false">SUM(R89:R99)</f>
        <v>92.959492965805</v>
      </c>
      <c r="S100" s="283" t="n">
        <f aca="false">SUM(S89:S99)</f>
        <v>92.959492965805</v>
      </c>
      <c r="T100" s="283" t="n">
        <f aca="false">SUM(T89:T99)</f>
        <v>92.959492965805</v>
      </c>
      <c r="U100" s="283" t="n">
        <f aca="false">SUM(U89:U99)</f>
        <v>92.959492965805</v>
      </c>
      <c r="V100" s="283" t="n">
        <f aca="false">SUM(V89:V99)</f>
        <v>92.959492965805</v>
      </c>
      <c r="W100" s="283" t="n">
        <f aca="false">SUM(W89:W99)</f>
        <v>228492.610868531</v>
      </c>
      <c r="X100" s="283" t="n">
        <f aca="false">SUM(X89:X99)</f>
        <v>5270.36288846713</v>
      </c>
      <c r="Y100" s="283" t="n">
        <f aca="false">SUM(Y89:Y99)</f>
        <v>8121.04926868098</v>
      </c>
      <c r="Z100" s="283" t="n">
        <f aca="false">SUM(Z89:Z99)</f>
        <v>10931.6551349613</v>
      </c>
      <c r="AA100" s="283" t="n">
        <f aca="false">SUM(AA89:AA99)</f>
        <v>13686.462439216</v>
      </c>
      <c r="AB100" s="283" t="n">
        <f aca="false">SUM(AB89:AB99)</f>
        <v>16370.0651815465</v>
      </c>
      <c r="AC100" s="283" t="n">
        <f aca="false">SUM(AC89:AC99)</f>
        <v>18967.4555668472</v>
      </c>
      <c r="AD100" s="283" t="n">
        <f aca="false">SUM(AD89:AD99)</f>
        <v>21464.1079344843</v>
      </c>
      <c r="AE100" s="283" t="n">
        <f aca="false">SUM(AE89:AE99)</f>
        <v>23846.0599916818</v>
      </c>
      <c r="AF100" s="283" t="n">
        <f aca="false">SUM(AF89:AF99)</f>
        <v>26099.9908963263</v>
      </c>
      <c r="AG100" s="283" t="n">
        <f aca="false">SUM(AG89:AG99)</f>
        <v>28213.29575252</v>
      </c>
      <c r="AH100" s="283" t="n">
        <f aca="false">SUM(AH89:AH99)</f>
        <v>30174.156102271</v>
      </c>
      <c r="AI100" s="283" t="n">
        <f aca="false">SUM(AI89:AI99)</f>
        <v>31971.6060191047</v>
      </c>
      <c r="AJ100" s="283" t="n">
        <f aca="false">SUM(AJ89:AJ99)</f>
        <v>33595.5934339727</v>
      </c>
      <c r="AK100" s="283" t="n">
        <f aca="false">SUM(AK89:AK99)</f>
        <v>35037.036350501</v>
      </c>
      <c r="AL100" s="283" t="n">
        <f aca="false">SUM(AL89:AL99)</f>
        <v>36287.8736351965</v>
      </c>
      <c r="AM100" s="283" t="n">
        <f aca="false">SUM(AM89:AM99)</f>
        <v>37341.1100985767</v>
      </c>
      <c r="AN100" s="283" t="n">
        <f aca="false">SUM(AN89:AN99)</f>
        <v>38190.8556151059</v>
      </c>
      <c r="AO100" s="283" t="n">
        <f aca="false">SUM(AO89:AO99)</f>
        <v>38832.358063167</v>
      </c>
      <c r="AP100" s="283" t="n">
        <f aca="false">SUM(AP89:AP99)</f>
        <v>39262.029900853</v>
      </c>
      <c r="AQ100" s="283" t="n">
        <f aca="false">SUM(AQ89:AQ99)</f>
        <v>39477.4682289563</v>
      </c>
      <c r="AR100" s="283" t="n">
        <f aca="false">SUM(AR89:AR99)</f>
        <v>39477.4682289562</v>
      </c>
      <c r="AS100" s="283" t="n">
        <f aca="false">SUM(AS89:AS99)</f>
        <v>39262.029900853</v>
      </c>
      <c r="AT100" s="283" t="n">
        <f aca="false">SUM(AT89:AT99)</f>
        <v>38832.3580631671</v>
      </c>
      <c r="AU100" s="283" t="n">
        <f aca="false">SUM(AU89:AU99)</f>
        <v>38190.855615106</v>
      </c>
      <c r="AV100" s="283" t="n">
        <f aca="false">SUM(AV89:AV99)</f>
        <v>37341.1100985767</v>
      </c>
      <c r="AW100" s="283" t="n">
        <f aca="false">SUM(AW89:AW99)</f>
        <v>36287.8736351964</v>
      </c>
      <c r="AX100" s="283" t="n">
        <f aca="false">SUM(AX89:AX99)</f>
        <v>35037.0363505009</v>
      </c>
      <c r="AY100" s="283" t="n">
        <f aca="false">SUM(AY89:AY99)</f>
        <v>33595.5934339729</v>
      </c>
      <c r="AZ100" s="283" t="n">
        <f aca="false">SUM(AZ89:AZ99)</f>
        <v>31971.6060191046</v>
      </c>
      <c r="BA100" s="283" t="n">
        <f aca="false">SUM(BA89:BA99)</f>
        <v>30174.1561022709</v>
      </c>
      <c r="BB100" s="283" t="n">
        <f aca="false">SUM(BB89:BB99)</f>
        <v>28213.2957525201</v>
      </c>
      <c r="BC100" s="283" t="n">
        <f aca="false">SUM(BC89:BC99)</f>
        <v>26099.9908963263</v>
      </c>
      <c r="BD100" s="283" t="n">
        <f aca="false">SUM(BD89:BD99)</f>
        <v>23846.0599916819</v>
      </c>
      <c r="BE100" s="283" t="n">
        <f aca="false">SUM(BE89:BE99)</f>
        <v>21464.1079344842</v>
      </c>
      <c r="BF100" s="283" t="n">
        <f aca="false">SUM(BF89:BF99)</f>
        <v>18967.4555668473</v>
      </c>
      <c r="BG100" s="283" t="n">
        <f aca="false">SUM(BG89:BG99)</f>
        <v>16370.0651815466</v>
      </c>
      <c r="BH100" s="283" t="n">
        <f aca="false">SUM(BH89:BH99)</f>
        <v>13686.4624392159</v>
      </c>
      <c r="BI100" s="283" t="n">
        <f aca="false">SUM(BI89:BI99)</f>
        <v>10931.6551349613</v>
      </c>
      <c r="BJ100" s="283" t="n">
        <f aca="false">SUM(BJ89:BJ99)</f>
        <v>8121.04926868098</v>
      </c>
      <c r="BK100" s="283" t="n">
        <f aca="false">SUM(BK89:BK99)</f>
        <v>5270.36288846713</v>
      </c>
      <c r="BL100" s="283" t="n">
        <f aca="false">SUM(BL89:BL99)</f>
        <v>31993.8517889035</v>
      </c>
      <c r="BM100" s="283" t="n">
        <f aca="false">SUM(BM89:BM99)</f>
        <v>59683.9667971091</v>
      </c>
      <c r="BN100" s="283" t="n">
        <f aca="false">SUM(BN89:BN99)</f>
        <v>0</v>
      </c>
      <c r="BO100" s="283" t="n">
        <f aca="false">SUM(BO89:BO99)</f>
        <v>0</v>
      </c>
      <c r="BP100" s="283" t="n">
        <f aca="false">SUM(BP89:BP99)</f>
        <v>0</v>
      </c>
      <c r="BQ100" s="283" t="n">
        <f aca="false">SUM(BQ89:BQ99)</f>
        <v>0</v>
      </c>
      <c r="BR100" s="283" t="n">
        <f aca="false">SUM(BR89:BR99)</f>
        <v>0</v>
      </c>
      <c r="BS100" s="283" t="n">
        <f aca="false">SUM(BS89:BS99)</f>
        <v>0</v>
      </c>
      <c r="BT100" s="283" t="n">
        <f aca="false">SUM(BT89:BT99)</f>
        <v>0</v>
      </c>
      <c r="BU100" s="283" t="n">
        <f aca="false">SUM(BU89:BU99)</f>
        <v>0</v>
      </c>
      <c r="BV100" s="283" t="n">
        <f aca="false">SUM(BV89:BV99)</f>
        <v>0</v>
      </c>
      <c r="BW100" s="283" t="n">
        <f aca="false">SUM(BW89:BW99)</f>
        <v>0</v>
      </c>
      <c r="BX100" s="283" t="n">
        <f aca="false">SUM(BX89:BX99)</f>
        <v>0</v>
      </c>
      <c r="BY100" s="283" t="n">
        <f aca="false">SUM(BY89:BY99)</f>
        <v>0</v>
      </c>
      <c r="BZ100" s="283" t="n">
        <f aca="false">SUM(BZ89:BZ99)</f>
        <v>0</v>
      </c>
      <c r="CA100" s="283" t="n">
        <f aca="false">SUM(CA89:CA99)</f>
        <v>0</v>
      </c>
      <c r="CB100" s="283" t="n">
        <f aca="false">SUM(CB89:CB99)</f>
        <v>0</v>
      </c>
      <c r="CC100" s="283" t="n">
        <f aca="false">SUM(CC89:CC99)</f>
        <v>0</v>
      </c>
      <c r="CD100" s="283" t="n">
        <f aca="false">SUM(CD89:CD99)</f>
        <v>0</v>
      </c>
      <c r="CE100" s="283" t="n">
        <f aca="false">SUM(CE89:CE99)</f>
        <v>0</v>
      </c>
      <c r="CF100" s="283" t="n">
        <f aca="false">SUM(CF89:CF99)</f>
        <v>0</v>
      </c>
      <c r="CG100" s="283" t="n">
        <f aca="false">SUM(CG89:CG99)</f>
        <v>0</v>
      </c>
      <c r="CH100" s="283" t="n">
        <f aca="false">SUM(CH89:CH99)</f>
        <v>0</v>
      </c>
      <c r="CI100" s="283" t="n">
        <f aca="false">SUM(CI89:CI99)</f>
        <v>0</v>
      </c>
      <c r="CJ100" s="283" t="n">
        <f aca="false">SUM(CJ89:CJ99)</f>
        <v>0</v>
      </c>
      <c r="CK100" s="283" t="n">
        <f aca="false">SUM(CK89:CK99)</f>
        <v>0</v>
      </c>
      <c r="CL100" s="283" t="n">
        <f aca="false">SUM(CL89:CL99)</f>
        <v>0</v>
      </c>
      <c r="CM100" s="283" t="n">
        <f aca="false">SUM(CM89:CM99)</f>
        <v>0</v>
      </c>
      <c r="CN100" s="283" t="n">
        <f aca="false">SUM(CN89:CN99)</f>
        <v>0</v>
      </c>
      <c r="CO100" s="283" t="n">
        <f aca="false">SUM(CO89:CO99)</f>
        <v>0</v>
      </c>
      <c r="CP100" s="283" t="n">
        <f aca="false">SUM(CP89:CP99)</f>
        <v>0</v>
      </c>
      <c r="CQ100" s="283" t="n">
        <f aca="false">SUM(CQ89:CQ99)</f>
        <v>0</v>
      </c>
      <c r="CR100" s="283" t="n">
        <f aca="false">SUM(CR89:CR99)</f>
        <v>0</v>
      </c>
      <c r="CS100" s="283" t="n">
        <f aca="false">SUM(CS89:CS99)</f>
        <v>0</v>
      </c>
      <c r="CT100" s="283" t="n">
        <f aca="false">SUM(CT89:CT99)</f>
        <v>0</v>
      </c>
      <c r="CU100" s="283" t="n">
        <f aca="false">SUM(CU89:CU99)</f>
        <v>0</v>
      </c>
      <c r="CV100" s="283" t="n">
        <f aca="false">SUM(CV89:CV99)</f>
        <v>0</v>
      </c>
      <c r="CW100" s="283" t="n">
        <f aca="false">SUM(CW89:CW99)</f>
        <v>0</v>
      </c>
      <c r="CX100" s="283" t="n">
        <f aca="false">SUM(CX89:CX99)</f>
        <v>0</v>
      </c>
      <c r="CY100" s="283" t="n">
        <f aca="false">SUM(CY89:CY99)</f>
        <v>0</v>
      </c>
      <c r="CZ100" s="283" t="n">
        <f aca="false">SUM(CZ89:CZ99)</f>
        <v>0</v>
      </c>
      <c r="DA100" s="283" t="n">
        <f aca="false">SUM(DA89:DA99)</f>
        <v>0</v>
      </c>
      <c r="DB100" s="283" t="n">
        <f aca="false">SUM(DB89:DB99)</f>
        <v>0</v>
      </c>
      <c r="DC100" s="283" t="n">
        <f aca="false">SUM(DC89:DC99)</f>
        <v>0</v>
      </c>
      <c r="DD100" s="283" t="n">
        <f aca="false">SUM(DD89:DD99)</f>
        <v>0</v>
      </c>
      <c r="DE100" s="283" t="n">
        <f aca="false">SUM(DE89:DE99)</f>
        <v>0</v>
      </c>
      <c r="DF100" s="283" t="n">
        <f aca="false">SUM(DF89:DF99)</f>
        <v>0</v>
      </c>
      <c r="DG100" s="283" t="n">
        <f aca="false">SUM(DG89:DG99)</f>
        <v>0</v>
      </c>
      <c r="DH100" s="283" t="n">
        <f aca="false">SUM(DH89:DH99)</f>
        <v>0</v>
      </c>
      <c r="DI100" s="283" t="n">
        <f aca="false">SUM(DI89:DI99)</f>
        <v>0</v>
      </c>
      <c r="DJ100" s="283" t="n">
        <f aca="false">SUM(DJ89:DJ99)</f>
        <v>0</v>
      </c>
      <c r="DK100" s="283" t="n">
        <f aca="false">SUM(DK89:DK99)</f>
        <v>0</v>
      </c>
      <c r="DL100" s="283" t="n">
        <f aca="false">SUM(DL89:DL99)</f>
        <v>0</v>
      </c>
      <c r="DM100" s="283" t="n">
        <f aca="false">SUM(DM89:DM99)</f>
        <v>0</v>
      </c>
      <c r="DN100" s="283" t="n">
        <f aca="false">SUM(DN89:DN99)</f>
        <v>0</v>
      </c>
      <c r="DO100" s="283" t="n">
        <f aca="false">SUM(DO89:DO99)</f>
        <v>0</v>
      </c>
      <c r="DP100" s="283" t="n">
        <f aca="false">SUM(DP89:DP99)</f>
        <v>0</v>
      </c>
      <c r="DQ100" s="283" t="n">
        <f aca="false">SUM(DQ89:DQ99)</f>
        <v>0</v>
      </c>
      <c r="DR100" s="283" t="n">
        <f aca="false">SUM(DR89:DR99)</f>
        <v>0</v>
      </c>
      <c r="DS100" s="283" t="n">
        <f aca="false">SUM(DS89:DS99)</f>
        <v>0</v>
      </c>
      <c r="DT100" s="283" t="n">
        <f aca="false">SUM(DT89:DT99)</f>
        <v>0</v>
      </c>
      <c r="DU100" s="283" t="n">
        <f aca="false">SUM(DU89:DU99)</f>
        <v>0</v>
      </c>
      <c r="DV100" s="283" t="n">
        <f aca="false">SUM(DV89:DV99)</f>
        <v>0</v>
      </c>
      <c r="DW100" s="283" t="n">
        <f aca="false">SUM(DW89:DW99)</f>
        <v>0</v>
      </c>
      <c r="DX100" s="283" t="n">
        <f aca="false">SUM(DX89:DX99)</f>
        <v>0</v>
      </c>
      <c r="DY100" s="283" t="n">
        <f aca="false">SUM(DY89:DY99)</f>
        <v>0</v>
      </c>
      <c r="DZ100" s="283" t="n">
        <f aca="false">SUM(DZ89:DZ99)</f>
        <v>0</v>
      </c>
      <c r="EA100" s="283" t="n">
        <f aca="false">SUM(EA89:EA99)</f>
        <v>0</v>
      </c>
      <c r="EB100" s="283" t="n">
        <f aca="false">SUM(EB89:EB99)</f>
        <v>0</v>
      </c>
      <c r="EC100" s="283" t="n">
        <f aca="false">SUM(EC89:EC99)</f>
        <v>0</v>
      </c>
      <c r="ED100" s="283" t="n">
        <f aca="false">SUM(ED89:ED99)</f>
        <v>0</v>
      </c>
      <c r="EE100" s="283" t="n">
        <f aca="false">SUM(EE89:EE99)</f>
        <v>0</v>
      </c>
      <c r="EF100" s="283" t="n">
        <f aca="false">SUM(EF89:EF99)</f>
        <v>0</v>
      </c>
    </row>
    <row r="102" customFormat="false" ht="15" hidden="false" customHeight="false" outlineLevel="0" collapsed="false">
      <c r="A102" s="34" t="s">
        <v>641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</row>
    <row r="103" customFormat="false" ht="15" hidden="false" customHeight="false" outlineLevel="0" collapsed="false">
      <c r="A103" s="153" t="s">
        <v>642</v>
      </c>
      <c r="B103" s="278" t="s">
        <v>21</v>
      </c>
      <c r="C103" s="279" t="n">
        <f aca="false">SUM(E103:EF103)</f>
        <v>8210.9752438084</v>
      </c>
      <c r="E103" s="37" t="n">
        <f aca="false">IF(E6=①통합_가정!$E$14,①통합_가정!$E$452*①통합_가정!$J$483,0)</f>
        <v>0</v>
      </c>
      <c r="F103" s="37" t="n">
        <f aca="false">IF(F6=①통합_가정!$E$14,①통합_가정!$E$452*①통합_가정!$J$483,0)</f>
        <v>0</v>
      </c>
      <c r="G103" s="37" t="n">
        <f aca="false">IF(G6=①통합_가정!$E$14,①통합_가정!$E$452*①통합_가정!$J$483,0)</f>
        <v>0</v>
      </c>
      <c r="H103" s="37" t="n">
        <f aca="false">IF(H6=①통합_가정!$E$14,①통합_가정!$E$452*①통합_가정!$J$483,0)</f>
        <v>0</v>
      </c>
      <c r="I103" s="37" t="n">
        <f aca="false">IF(I6=①통합_가정!$E$14,①통합_가정!$E$452*①통합_가정!$J$483,0)</f>
        <v>0</v>
      </c>
      <c r="J103" s="37" t="n">
        <f aca="false">IF(J6=①통합_가정!$E$14,①통합_가정!$E$452*①통합_가정!$J$483,0)</f>
        <v>0</v>
      </c>
      <c r="K103" s="37" t="n">
        <f aca="false">IF(K6=①통합_가정!$E$14,①통합_가정!$E$452*①통합_가정!$J$483,0)</f>
        <v>0</v>
      </c>
      <c r="L103" s="37" t="n">
        <f aca="false">IF(L6=①통합_가정!$E$14,①통합_가정!$E$452*①통합_가정!$J$483,0)</f>
        <v>0</v>
      </c>
      <c r="M103" s="37" t="n">
        <f aca="false">IF(M6=①통합_가정!$E$14,①통합_가정!$E$452*①통합_가정!$J$483,0)</f>
        <v>0</v>
      </c>
      <c r="N103" s="37" t="n">
        <f aca="false">IF(N6=①통합_가정!$E$14,①통합_가정!$E$452*①통합_가정!$J$483,0)</f>
        <v>0</v>
      </c>
      <c r="O103" s="37" t="n">
        <f aca="false">IF(O6=①통합_가정!$E$14,①통합_가정!$E$452*①통합_가정!$J$483,0)</f>
        <v>0</v>
      </c>
      <c r="P103" s="37" t="n">
        <f aca="false">IF(P6=①통합_가정!$E$14,①통합_가정!$E$452*①통합_가정!$J$483,0)</f>
        <v>0</v>
      </c>
      <c r="Q103" s="37" t="n">
        <f aca="false">IF(Q6=①통합_가정!$E$14,①통합_가정!$E$452*①통합_가정!$J$483,0)</f>
        <v>0</v>
      </c>
      <c r="R103" s="37" t="n">
        <f aca="false">IF(R6=①통합_가정!$E$14,①통합_가정!$E$452*①통합_가정!$J$483,0)</f>
        <v>0</v>
      </c>
      <c r="S103" s="37" t="n">
        <f aca="false">IF(S6=①통합_가정!$E$14,①통합_가정!$E$452*①통합_가정!$J$483,0)</f>
        <v>0</v>
      </c>
      <c r="T103" s="37" t="n">
        <f aca="false">IF(T6=①통합_가정!$E$14,①통합_가정!$E$452*①통합_가정!$J$483,0)</f>
        <v>0</v>
      </c>
      <c r="U103" s="37" t="n">
        <f aca="false">IF(U6=①통합_가정!$E$14,①통합_가정!$E$452*①통합_가정!$J$483,0)</f>
        <v>0</v>
      </c>
      <c r="V103" s="37" t="n">
        <f aca="false">IF(V6=①통합_가정!$E$14,①통합_가정!$E$452*①통합_가정!$J$483,0)</f>
        <v>0</v>
      </c>
      <c r="W103" s="37" t="n">
        <f aca="false">IF(W6=①통합_가정!$E$14,①통합_가정!$E$452*①통합_가정!$J$483,0)</f>
        <v>8210.9752438084</v>
      </c>
      <c r="X103" s="37" t="n">
        <f aca="false">IF(X6=①통합_가정!$E$14,①통합_가정!$E$452*①통합_가정!$J$483,0)</f>
        <v>0</v>
      </c>
      <c r="Y103" s="37" t="n">
        <f aca="false">IF(Y6=①통합_가정!$E$14,①통합_가정!$E$452*①통합_가정!$J$483,0)</f>
        <v>0</v>
      </c>
      <c r="Z103" s="37" t="n">
        <f aca="false">IF(Z6=①통합_가정!$E$14,①통합_가정!$E$452*①통합_가정!$J$483,0)</f>
        <v>0</v>
      </c>
      <c r="AA103" s="37" t="n">
        <f aca="false">IF(AA6=①통합_가정!$E$14,①통합_가정!$E$452*①통합_가정!$J$483,0)</f>
        <v>0</v>
      </c>
      <c r="AB103" s="37" t="n">
        <f aca="false">IF(AB6=①통합_가정!$E$14,①통합_가정!$E$452*①통합_가정!$J$483,0)</f>
        <v>0</v>
      </c>
      <c r="AC103" s="37" t="n">
        <f aca="false">IF(AC6=①통합_가정!$E$14,①통합_가정!$E$452*①통합_가정!$J$483,0)</f>
        <v>0</v>
      </c>
      <c r="AD103" s="37" t="n">
        <f aca="false">IF(AD6=①통합_가정!$E$14,①통합_가정!$E$452*①통합_가정!$J$483,0)</f>
        <v>0</v>
      </c>
      <c r="AE103" s="37" t="n">
        <f aca="false">IF(AE6=①통합_가정!$E$14,①통합_가정!$E$452*①통합_가정!$J$483,0)</f>
        <v>0</v>
      </c>
      <c r="AF103" s="37" t="n">
        <f aca="false">IF(AF6=①통합_가정!$E$14,①통합_가정!$E$452*①통합_가정!$J$483,0)</f>
        <v>0</v>
      </c>
      <c r="AG103" s="37" t="n">
        <f aca="false">IF(AG6=①통합_가정!$E$14,①통합_가정!$E$452*①통합_가정!$J$483,0)</f>
        <v>0</v>
      </c>
      <c r="AH103" s="37" t="n">
        <f aca="false">IF(AH6=①통합_가정!$E$14,①통합_가정!$E$452*①통합_가정!$J$483,0)</f>
        <v>0</v>
      </c>
      <c r="AI103" s="37" t="n">
        <f aca="false">IF(AI6=①통합_가정!$E$14,①통합_가정!$E$452*①통합_가정!$J$483,0)</f>
        <v>0</v>
      </c>
      <c r="AJ103" s="37" t="n">
        <f aca="false">IF(AJ6=①통합_가정!$E$14,①통합_가정!$E$452*①통합_가정!$J$483,0)</f>
        <v>0</v>
      </c>
      <c r="AK103" s="37" t="n">
        <f aca="false">IF(AK6=①통합_가정!$E$14,①통합_가정!$E$452*①통합_가정!$J$483,0)</f>
        <v>0</v>
      </c>
      <c r="AL103" s="37" t="n">
        <f aca="false">IF(AL6=①통합_가정!$E$14,①통합_가정!$E$452*①통합_가정!$J$483,0)</f>
        <v>0</v>
      </c>
      <c r="AM103" s="37" t="n">
        <f aca="false">IF(AM6=①통합_가정!$E$14,①통합_가정!$E$452*①통합_가정!$J$483,0)</f>
        <v>0</v>
      </c>
      <c r="AN103" s="37" t="n">
        <f aca="false">IF(AN6=①통합_가정!$E$14,①통합_가정!$E$452*①통합_가정!$J$483,0)</f>
        <v>0</v>
      </c>
      <c r="AO103" s="37" t="n">
        <f aca="false">IF(AO6=①통합_가정!$E$14,①통합_가정!$E$452*①통합_가정!$J$483,0)</f>
        <v>0</v>
      </c>
      <c r="AP103" s="37" t="n">
        <f aca="false">IF(AP6=①통합_가정!$E$14,①통합_가정!$E$452*①통합_가정!$J$483,0)</f>
        <v>0</v>
      </c>
      <c r="AQ103" s="37" t="n">
        <f aca="false">IF(AQ6=①통합_가정!$E$14,①통합_가정!$E$452*①통합_가정!$J$483,0)</f>
        <v>0</v>
      </c>
      <c r="AR103" s="37" t="n">
        <f aca="false">IF(AR6=①통합_가정!$E$14,①통합_가정!$E$452*①통합_가정!$J$483,0)</f>
        <v>0</v>
      </c>
      <c r="AS103" s="37" t="n">
        <f aca="false">IF(AS6=①통합_가정!$E$14,①통합_가정!$E$452*①통합_가정!$J$483,0)</f>
        <v>0</v>
      </c>
      <c r="AT103" s="37" t="n">
        <f aca="false">IF(AT6=①통합_가정!$E$14,①통합_가정!$E$452*①통합_가정!$J$483,0)</f>
        <v>0</v>
      </c>
      <c r="AU103" s="37" t="n">
        <f aca="false">IF(AU6=①통합_가정!$E$14,①통합_가정!$E$452*①통합_가정!$J$483,0)</f>
        <v>0</v>
      </c>
      <c r="AV103" s="37" t="n">
        <f aca="false">IF(AV6=①통합_가정!$E$14,①통합_가정!$E$452*①통합_가정!$J$483,0)</f>
        <v>0</v>
      </c>
      <c r="AW103" s="37" t="n">
        <f aca="false">IF(AW6=①통합_가정!$E$14,①통합_가정!$E$452*①통합_가정!$J$483,0)</f>
        <v>0</v>
      </c>
      <c r="AX103" s="37" t="n">
        <f aca="false">IF(AX6=①통합_가정!$E$14,①통합_가정!$E$452*①통합_가정!$J$483,0)</f>
        <v>0</v>
      </c>
      <c r="AY103" s="37" t="n">
        <f aca="false">IF(AY6=①통합_가정!$E$14,①통합_가정!$E$452*①통합_가정!$J$483,0)</f>
        <v>0</v>
      </c>
      <c r="AZ103" s="37" t="n">
        <f aca="false">IF(AZ6=①통합_가정!$E$14,①통합_가정!$E$452*①통합_가정!$J$483,0)</f>
        <v>0</v>
      </c>
      <c r="BA103" s="37" t="n">
        <f aca="false">IF(BA6=①통합_가정!$E$14,①통합_가정!$E$452*①통합_가정!$J$483,0)</f>
        <v>0</v>
      </c>
      <c r="BB103" s="37" t="n">
        <f aca="false">IF(BB6=①통합_가정!$E$14,①통합_가정!$E$452*①통합_가정!$J$483,0)</f>
        <v>0</v>
      </c>
      <c r="BC103" s="37" t="n">
        <f aca="false">IF(BC6=①통합_가정!$E$14,①통합_가정!$E$452*①통합_가정!$J$483,0)</f>
        <v>0</v>
      </c>
      <c r="BD103" s="37" t="n">
        <f aca="false">IF(BD6=①통합_가정!$E$14,①통합_가정!$E$452*①통합_가정!$J$483,0)</f>
        <v>0</v>
      </c>
      <c r="BE103" s="37" t="n">
        <f aca="false">IF(BE6=①통합_가정!$E$14,①통합_가정!$E$452*①통합_가정!$J$483,0)</f>
        <v>0</v>
      </c>
      <c r="BF103" s="37" t="n">
        <f aca="false">IF(BF6=①통합_가정!$E$14,①통합_가정!$E$452*①통합_가정!$J$483,0)</f>
        <v>0</v>
      </c>
      <c r="BG103" s="37" t="n">
        <f aca="false">IF(BG6=①통합_가정!$E$14,①통합_가정!$E$452*①통합_가정!$J$483,0)</f>
        <v>0</v>
      </c>
      <c r="BH103" s="37" t="n">
        <f aca="false">IF(BH6=①통합_가정!$E$14,①통합_가정!$E$452*①통합_가정!$J$483,0)</f>
        <v>0</v>
      </c>
      <c r="BI103" s="37" t="n">
        <f aca="false">IF(BI6=①통합_가정!$E$14,①통합_가정!$E$452*①통합_가정!$J$483,0)</f>
        <v>0</v>
      </c>
      <c r="BJ103" s="37" t="n">
        <f aca="false">IF(BJ6=①통합_가정!$E$14,①통합_가정!$E$452*①통합_가정!$J$483,0)</f>
        <v>0</v>
      </c>
      <c r="BK103" s="37" t="n">
        <f aca="false">IF(BK6=①통합_가정!$E$14,①통합_가정!$E$452*①통합_가정!$J$483,0)</f>
        <v>0</v>
      </c>
      <c r="BL103" s="37" t="n">
        <f aca="false">IF(BL6=①통합_가정!$E$14,①통합_가정!$E$452*①통합_가정!$J$483,0)</f>
        <v>0</v>
      </c>
      <c r="BM103" s="37" t="n">
        <f aca="false">IF(BM6=①통합_가정!$E$14,①통합_가정!$E$452*①통합_가정!$J$483,0)</f>
        <v>0</v>
      </c>
      <c r="BN103" s="37" t="n">
        <f aca="false">IF(BN6=①통합_가정!$E$14,①통합_가정!$E$452*①통합_가정!$J$483,0)</f>
        <v>0</v>
      </c>
      <c r="BO103" s="37" t="n">
        <f aca="false">IF(BO6=①통합_가정!$E$14,①통합_가정!$E$452*①통합_가정!$J$483,0)</f>
        <v>0</v>
      </c>
      <c r="BP103" s="37" t="n">
        <f aca="false">IF(BP6=①통합_가정!$E$14,①통합_가정!$E$452*①통합_가정!$J$483,0)</f>
        <v>0</v>
      </c>
      <c r="BQ103" s="37" t="n">
        <f aca="false">IF(BQ6=①통합_가정!$E$14,①통합_가정!$E$452*①통합_가정!$J$483,0)</f>
        <v>0</v>
      </c>
      <c r="BR103" s="37" t="n">
        <f aca="false">IF(BR6=①통합_가정!$E$14,①통합_가정!$E$452*①통합_가정!$J$483,0)</f>
        <v>0</v>
      </c>
      <c r="BS103" s="37" t="n">
        <f aca="false">IF(BS6=①통합_가정!$E$14,①통합_가정!$E$452*①통합_가정!$J$483,0)</f>
        <v>0</v>
      </c>
      <c r="BT103" s="37" t="n">
        <f aca="false">IF(BT6=①통합_가정!$E$14,①통합_가정!$E$452*①통합_가정!$J$483,0)</f>
        <v>0</v>
      </c>
      <c r="BU103" s="37" t="n">
        <f aca="false">IF(BU6=①통합_가정!$E$14,①통합_가정!$E$452*①통합_가정!$J$483,0)</f>
        <v>0</v>
      </c>
      <c r="BV103" s="37" t="n">
        <f aca="false">IF(BV6=①통합_가정!$E$14,①통합_가정!$E$452*①통합_가정!$J$483,0)</f>
        <v>0</v>
      </c>
      <c r="BW103" s="37" t="n">
        <f aca="false">IF(BW6=①통합_가정!$E$14,①통합_가정!$E$452*①통합_가정!$J$483,0)</f>
        <v>0</v>
      </c>
      <c r="BX103" s="37" t="n">
        <f aca="false">IF(BX6=①통합_가정!$E$14,①통합_가정!$E$452*①통합_가정!$J$483,0)</f>
        <v>0</v>
      </c>
      <c r="BY103" s="37" t="n">
        <f aca="false">IF(BY6=①통합_가정!$E$14,①통합_가정!$E$452*①통합_가정!$J$483,0)</f>
        <v>0</v>
      </c>
      <c r="BZ103" s="37" t="n">
        <f aca="false">IF(BZ6=①통합_가정!$E$14,①통합_가정!$E$452*①통합_가정!$J$483,0)</f>
        <v>0</v>
      </c>
      <c r="CA103" s="37" t="n">
        <f aca="false">IF(CA6=①통합_가정!$E$14,①통합_가정!$E$452*①통합_가정!$J$483,0)</f>
        <v>0</v>
      </c>
      <c r="CB103" s="37" t="n">
        <f aca="false">IF(CB6=①통합_가정!$E$14,①통합_가정!$E$452*①통합_가정!$J$483,0)</f>
        <v>0</v>
      </c>
      <c r="CC103" s="37" t="n">
        <f aca="false">IF(CC6=①통합_가정!$E$14,①통합_가정!$E$452*①통합_가정!$J$483,0)</f>
        <v>0</v>
      </c>
      <c r="CD103" s="37" t="n">
        <f aca="false">IF(CD6=①통합_가정!$E$14,①통합_가정!$E$452*①통합_가정!$J$483,0)</f>
        <v>0</v>
      </c>
      <c r="CE103" s="37" t="n">
        <f aca="false">IF(CE6=①통합_가정!$E$14,①통합_가정!$E$452*①통합_가정!$J$483,0)</f>
        <v>0</v>
      </c>
      <c r="CF103" s="37" t="n">
        <f aca="false">IF(CF6=①통합_가정!$E$14,①통합_가정!$E$452*①통합_가정!$J$483,0)</f>
        <v>0</v>
      </c>
      <c r="CG103" s="37" t="n">
        <f aca="false">IF(CG6=①통합_가정!$E$14,①통합_가정!$E$452*①통합_가정!$J$483,0)</f>
        <v>0</v>
      </c>
      <c r="CH103" s="37" t="n">
        <f aca="false">IF(CH6=①통합_가정!$E$14,①통합_가정!$E$452*①통합_가정!$J$483,0)</f>
        <v>0</v>
      </c>
      <c r="CI103" s="37" t="n">
        <f aca="false">IF(CI6=①통합_가정!$E$14,①통합_가정!$E$452*①통합_가정!$J$483,0)</f>
        <v>0</v>
      </c>
      <c r="CJ103" s="37" t="n">
        <f aca="false">IF(CJ6=①통합_가정!$E$14,①통합_가정!$E$452*①통합_가정!$J$483,0)</f>
        <v>0</v>
      </c>
      <c r="CK103" s="37" t="n">
        <f aca="false">IF(CK6=①통합_가정!$E$14,①통합_가정!$E$452*①통합_가정!$J$483,0)</f>
        <v>0</v>
      </c>
      <c r="CL103" s="37" t="n">
        <f aca="false">IF(CL6=①통합_가정!$E$14,①통합_가정!$E$452*①통합_가정!$J$483,0)</f>
        <v>0</v>
      </c>
      <c r="CM103" s="37" t="n">
        <f aca="false">IF(CM6=①통합_가정!$E$14,①통합_가정!$E$452*①통합_가정!$J$483,0)</f>
        <v>0</v>
      </c>
      <c r="CN103" s="37" t="n">
        <f aca="false">IF(CN6=①통합_가정!$E$14,①통합_가정!$E$452*①통합_가정!$J$483,0)</f>
        <v>0</v>
      </c>
      <c r="CO103" s="37" t="n">
        <f aca="false">IF(CO6=①통합_가정!$E$14,①통합_가정!$E$452*①통합_가정!$J$483,0)</f>
        <v>0</v>
      </c>
      <c r="CP103" s="37" t="n">
        <f aca="false">IF(CP6=①통합_가정!$E$14,①통합_가정!$E$452*①통합_가정!$J$483,0)</f>
        <v>0</v>
      </c>
      <c r="CQ103" s="37" t="n">
        <f aca="false">IF(CQ6=①통합_가정!$E$14,①통합_가정!$E$452*①통합_가정!$J$483,0)</f>
        <v>0</v>
      </c>
      <c r="CR103" s="37" t="n">
        <f aca="false">IF(CR6=①통합_가정!$E$14,①통합_가정!$E$452*①통합_가정!$J$483,0)</f>
        <v>0</v>
      </c>
      <c r="CS103" s="37" t="n">
        <f aca="false">IF(CS6=①통합_가정!$E$14,①통합_가정!$E$452*①통합_가정!$J$483,0)</f>
        <v>0</v>
      </c>
      <c r="CT103" s="37" t="n">
        <f aca="false">IF(CT6=①통합_가정!$E$14,①통합_가정!$E$452*①통합_가정!$J$483,0)</f>
        <v>0</v>
      </c>
      <c r="CU103" s="37" t="n">
        <f aca="false">IF(CU6=①통합_가정!$E$14,①통합_가정!$E$452*①통합_가정!$J$483,0)</f>
        <v>0</v>
      </c>
      <c r="CV103" s="37" t="n">
        <f aca="false">IF(CV6=①통합_가정!$E$14,①통합_가정!$E$452*①통합_가정!$J$483,0)</f>
        <v>0</v>
      </c>
      <c r="CW103" s="37" t="n">
        <f aca="false">IF(CW6=①통합_가정!$E$14,①통합_가정!$E$452*①통합_가정!$J$483,0)</f>
        <v>0</v>
      </c>
      <c r="CX103" s="37" t="n">
        <f aca="false">IF(CX6=①통합_가정!$E$14,①통합_가정!$E$452*①통합_가정!$J$483,0)</f>
        <v>0</v>
      </c>
      <c r="CY103" s="37" t="n">
        <f aca="false">IF(CY6=①통합_가정!$E$14,①통합_가정!$E$452*①통합_가정!$J$483,0)</f>
        <v>0</v>
      </c>
      <c r="CZ103" s="37" t="n">
        <f aca="false">IF(CZ6=①통합_가정!$E$14,①통합_가정!$E$452*①통합_가정!$J$483,0)</f>
        <v>0</v>
      </c>
      <c r="DA103" s="37" t="n">
        <f aca="false">IF(DA6=①통합_가정!$E$14,①통합_가정!$E$452*①통합_가정!$J$483,0)</f>
        <v>0</v>
      </c>
      <c r="DB103" s="37" t="n">
        <f aca="false">IF(DB6=①통합_가정!$E$14,①통합_가정!$E$452*①통합_가정!$J$483,0)</f>
        <v>0</v>
      </c>
      <c r="DC103" s="37" t="n">
        <f aca="false">IF(DC6=①통합_가정!$E$14,①통합_가정!$E$452*①통합_가정!$J$483,0)</f>
        <v>0</v>
      </c>
      <c r="DD103" s="37" t="n">
        <f aca="false">IF(DD6=①통합_가정!$E$14,①통합_가정!$E$452*①통합_가정!$J$483,0)</f>
        <v>0</v>
      </c>
      <c r="DE103" s="37" t="n">
        <f aca="false">IF(DE6=①통합_가정!$E$14,①통합_가정!$E$452*①통합_가정!$J$483,0)</f>
        <v>0</v>
      </c>
      <c r="DF103" s="37" t="n">
        <f aca="false">IF(DF6=①통합_가정!$E$14,①통합_가정!$E$452*①통합_가정!$J$483,0)</f>
        <v>0</v>
      </c>
      <c r="DG103" s="37" t="n">
        <f aca="false">IF(DG6=①통합_가정!$E$14,①통합_가정!$E$452*①통합_가정!$J$483,0)</f>
        <v>0</v>
      </c>
      <c r="DH103" s="37" t="n">
        <f aca="false">IF(DH6=①통합_가정!$E$14,①통합_가정!$E$452*①통합_가정!$J$483,0)</f>
        <v>0</v>
      </c>
      <c r="DI103" s="37" t="n">
        <f aca="false">IF(DI6=①통합_가정!$E$14,①통합_가정!$E$452*①통합_가정!$J$483,0)</f>
        <v>0</v>
      </c>
      <c r="DJ103" s="37" t="n">
        <f aca="false">IF(DJ6=①통합_가정!$E$14,①통합_가정!$E$452*①통합_가정!$J$483,0)</f>
        <v>0</v>
      </c>
      <c r="DK103" s="37" t="n">
        <f aca="false">IF(DK6=①통합_가정!$E$14,①통합_가정!$E$452*①통합_가정!$J$483,0)</f>
        <v>0</v>
      </c>
      <c r="DL103" s="37" t="n">
        <f aca="false">IF(DL6=①통합_가정!$E$14,①통합_가정!$E$452*①통합_가정!$J$483,0)</f>
        <v>0</v>
      </c>
      <c r="DM103" s="37" t="n">
        <f aca="false">IF(DM6=①통합_가정!$E$14,①통합_가정!$E$452*①통합_가정!$J$483,0)</f>
        <v>0</v>
      </c>
      <c r="DN103" s="37" t="n">
        <f aca="false">IF(DN6=①통합_가정!$E$14,①통합_가정!$E$452*①통합_가정!$J$483,0)</f>
        <v>0</v>
      </c>
      <c r="DO103" s="37" t="n">
        <f aca="false">IF(DO6=①통합_가정!$E$14,①통합_가정!$E$452*①통합_가정!$J$483,0)</f>
        <v>0</v>
      </c>
      <c r="DP103" s="37" t="n">
        <f aca="false">IF(DP6=①통합_가정!$E$14,①통합_가정!$E$452*①통합_가정!$J$483,0)</f>
        <v>0</v>
      </c>
      <c r="DQ103" s="37" t="n">
        <f aca="false">IF(DQ6=①통합_가정!$E$14,①통합_가정!$E$452*①통합_가정!$J$483,0)</f>
        <v>0</v>
      </c>
      <c r="DR103" s="37" t="n">
        <f aca="false">IF(DR6=①통합_가정!$E$14,①통합_가정!$E$452*①통합_가정!$J$483,0)</f>
        <v>0</v>
      </c>
      <c r="DS103" s="37" t="n">
        <f aca="false">IF(DS6=①통합_가정!$E$14,①통합_가정!$E$452*①통합_가정!$J$483,0)</f>
        <v>0</v>
      </c>
      <c r="DT103" s="37" t="n">
        <f aca="false">IF(DT6=①통합_가정!$E$14,①통합_가정!$E$452*①통합_가정!$J$483,0)</f>
        <v>0</v>
      </c>
      <c r="DU103" s="37" t="n">
        <f aca="false">IF(DU6=①통합_가정!$E$14,①통합_가정!$E$452*①통합_가정!$J$483,0)</f>
        <v>0</v>
      </c>
      <c r="DV103" s="37" t="n">
        <f aca="false">IF(DV6=①통합_가정!$E$14,①통합_가정!$E$452*①통합_가정!$J$483,0)</f>
        <v>0</v>
      </c>
      <c r="DW103" s="37" t="n">
        <f aca="false">IF(DW6=①통합_가정!$E$14,①통합_가정!$E$452*①통합_가정!$J$483,0)</f>
        <v>0</v>
      </c>
      <c r="DX103" s="37" t="n">
        <f aca="false">IF(DX6=①통합_가정!$E$14,①통합_가정!$E$452*①통합_가정!$J$483,0)</f>
        <v>0</v>
      </c>
      <c r="DY103" s="37" t="n">
        <f aca="false">IF(DY6=①통합_가정!$E$14,①통합_가정!$E$452*①통합_가정!$J$483,0)</f>
        <v>0</v>
      </c>
      <c r="DZ103" s="37" t="n">
        <f aca="false">IF(DZ6=①통합_가정!$E$14,①통합_가정!$E$452*①통합_가정!$J$483,0)</f>
        <v>0</v>
      </c>
      <c r="EA103" s="37" t="n">
        <f aca="false">IF(EA6=①통합_가정!$E$14,①통합_가정!$E$452*①통합_가정!$J$483,0)</f>
        <v>0</v>
      </c>
      <c r="EB103" s="37" t="n">
        <f aca="false">IF(EB6=①통합_가정!$E$14,①통합_가정!$E$452*①통합_가정!$J$483,0)</f>
        <v>0</v>
      </c>
      <c r="EC103" s="37" t="n">
        <f aca="false">IF(EC6=①통합_가정!$E$14,①통합_가정!$E$452*①통합_가정!$J$483,0)</f>
        <v>0</v>
      </c>
      <c r="ED103" s="37" t="n">
        <f aca="false">IF(ED6=①통합_가정!$E$14,①통합_가정!$E$452*①통합_가정!$J$483,0)</f>
        <v>0</v>
      </c>
      <c r="EE103" s="37" t="n">
        <f aca="false">IF(EE6=①통합_가정!$E$14,①통합_가정!$E$452*①통합_가정!$J$483,0)</f>
        <v>0</v>
      </c>
      <c r="EF103" s="37" t="n">
        <f aca="false">IF(EF6=①통합_가정!$E$14,①통합_가정!$E$452*①통합_가정!$J$483,0)</f>
        <v>0</v>
      </c>
    </row>
    <row r="104" customFormat="false" ht="15" hidden="false" customHeight="false" outlineLevel="0" collapsed="false">
      <c r="A104" s="153" t="s">
        <v>643</v>
      </c>
      <c r="B104" s="278" t="s">
        <v>21</v>
      </c>
      <c r="C104" s="279" t="n">
        <f aca="false">SUM(E104:EF104)</f>
        <v>1642.65485417923</v>
      </c>
      <c r="E104" s="37" t="n">
        <f aca="false">IF(E6=①통합_가정!$E$14,①통합_가정!$E$453*①통합_가정!$J$484,0)</f>
        <v>0</v>
      </c>
      <c r="F104" s="37" t="n">
        <f aca="false">IF(F6=①통합_가정!$E$14,①통합_가정!$E$453*①통합_가정!$J$484,0)</f>
        <v>0</v>
      </c>
      <c r="G104" s="37" t="n">
        <f aca="false">IF(G6=①통합_가정!$E$14,①통합_가정!$E$453*①통합_가정!$J$484,0)</f>
        <v>0</v>
      </c>
      <c r="H104" s="37" t="n">
        <f aca="false">IF(H6=①통합_가정!$E$14,①통합_가정!$E$453*①통합_가정!$J$484,0)</f>
        <v>0</v>
      </c>
      <c r="I104" s="37" t="n">
        <f aca="false">IF(I6=①통합_가정!$E$14,①통합_가정!$E$453*①통합_가정!$J$484,0)</f>
        <v>0</v>
      </c>
      <c r="J104" s="37" t="n">
        <f aca="false">IF(J6=①통합_가정!$E$14,①통합_가정!$E$453*①통합_가정!$J$484,0)</f>
        <v>0</v>
      </c>
      <c r="K104" s="37" t="n">
        <f aca="false">IF(K6=①통합_가정!$E$14,①통합_가정!$E$453*①통합_가정!$J$484,0)</f>
        <v>0</v>
      </c>
      <c r="L104" s="37" t="n">
        <f aca="false">IF(L6=①통합_가정!$E$14,①통합_가정!$E$453*①통합_가정!$J$484,0)</f>
        <v>0</v>
      </c>
      <c r="M104" s="37" t="n">
        <f aca="false">IF(M6=①통합_가정!$E$14,①통합_가정!$E$453*①통합_가정!$J$484,0)</f>
        <v>0</v>
      </c>
      <c r="N104" s="37" t="n">
        <f aca="false">IF(N6=①통합_가정!$E$14,①통합_가정!$E$453*①통합_가정!$J$484,0)</f>
        <v>0</v>
      </c>
      <c r="O104" s="37" t="n">
        <f aca="false">IF(O6=①통합_가정!$E$14,①통합_가정!$E$453*①통합_가정!$J$484,0)</f>
        <v>0</v>
      </c>
      <c r="P104" s="37" t="n">
        <f aca="false">IF(P6=①통합_가정!$E$14,①통합_가정!$E$453*①통합_가정!$J$484,0)</f>
        <v>0</v>
      </c>
      <c r="Q104" s="37" t="n">
        <f aca="false">IF(Q6=①통합_가정!$E$14,①통합_가정!$E$453*①통합_가정!$J$484,0)</f>
        <v>0</v>
      </c>
      <c r="R104" s="37" t="n">
        <f aca="false">IF(R6=①통합_가정!$E$14,①통합_가정!$E$453*①통합_가정!$J$484,0)</f>
        <v>0</v>
      </c>
      <c r="S104" s="37" t="n">
        <f aca="false">IF(S6=①통합_가정!$E$14,①통합_가정!$E$453*①통합_가정!$J$484,0)</f>
        <v>0</v>
      </c>
      <c r="T104" s="37" t="n">
        <f aca="false">IF(T6=①통합_가정!$E$14,①통합_가정!$E$453*①통합_가정!$J$484,0)</f>
        <v>0</v>
      </c>
      <c r="U104" s="37" t="n">
        <f aca="false">IF(U6=①통합_가정!$E$14,①통합_가정!$E$453*①통합_가정!$J$484,0)</f>
        <v>0</v>
      </c>
      <c r="V104" s="37" t="n">
        <f aca="false">IF(V6=①통합_가정!$E$14,①통합_가정!$E$453*①통합_가정!$J$484,0)</f>
        <v>0</v>
      </c>
      <c r="W104" s="37" t="n">
        <f aca="false">IF(W6=①통합_가정!$E$14,①통합_가정!$E$453*①통합_가정!$J$484,0)</f>
        <v>1642.65485417923</v>
      </c>
      <c r="X104" s="37" t="n">
        <f aca="false">IF(X6=①통합_가정!$E$14,①통합_가정!$E$453*①통합_가정!$J$484,0)</f>
        <v>0</v>
      </c>
      <c r="Y104" s="37" t="n">
        <f aca="false">IF(Y6=①통합_가정!$E$14,①통합_가정!$E$453*①통합_가정!$J$484,0)</f>
        <v>0</v>
      </c>
      <c r="Z104" s="37" t="n">
        <f aca="false">IF(Z6=①통합_가정!$E$14,①통합_가정!$E$453*①통합_가정!$J$484,0)</f>
        <v>0</v>
      </c>
      <c r="AA104" s="37" t="n">
        <f aca="false">IF(AA6=①통합_가정!$E$14,①통합_가정!$E$453*①통합_가정!$J$484,0)</f>
        <v>0</v>
      </c>
      <c r="AB104" s="37" t="n">
        <f aca="false">IF(AB6=①통합_가정!$E$14,①통합_가정!$E$453*①통합_가정!$J$484,0)</f>
        <v>0</v>
      </c>
      <c r="AC104" s="37" t="n">
        <f aca="false">IF(AC6=①통합_가정!$E$14,①통합_가정!$E$453*①통합_가정!$J$484,0)</f>
        <v>0</v>
      </c>
      <c r="AD104" s="37" t="n">
        <f aca="false">IF(AD6=①통합_가정!$E$14,①통합_가정!$E$453*①통합_가정!$J$484,0)</f>
        <v>0</v>
      </c>
      <c r="AE104" s="37" t="n">
        <f aca="false">IF(AE6=①통합_가정!$E$14,①통합_가정!$E$453*①통합_가정!$J$484,0)</f>
        <v>0</v>
      </c>
      <c r="AF104" s="37" t="n">
        <f aca="false">IF(AF6=①통합_가정!$E$14,①통합_가정!$E$453*①통합_가정!$J$484,0)</f>
        <v>0</v>
      </c>
      <c r="AG104" s="37" t="n">
        <f aca="false">IF(AG6=①통합_가정!$E$14,①통합_가정!$E$453*①통합_가정!$J$484,0)</f>
        <v>0</v>
      </c>
      <c r="AH104" s="37" t="n">
        <f aca="false">IF(AH6=①통합_가정!$E$14,①통합_가정!$E$453*①통합_가정!$J$484,0)</f>
        <v>0</v>
      </c>
      <c r="AI104" s="37" t="n">
        <f aca="false">IF(AI6=①통합_가정!$E$14,①통합_가정!$E$453*①통합_가정!$J$484,0)</f>
        <v>0</v>
      </c>
      <c r="AJ104" s="37" t="n">
        <f aca="false">IF(AJ6=①통합_가정!$E$14,①통합_가정!$E$453*①통합_가정!$J$484,0)</f>
        <v>0</v>
      </c>
      <c r="AK104" s="37" t="n">
        <f aca="false">IF(AK6=①통합_가정!$E$14,①통합_가정!$E$453*①통합_가정!$J$484,0)</f>
        <v>0</v>
      </c>
      <c r="AL104" s="37" t="n">
        <f aca="false">IF(AL6=①통합_가정!$E$14,①통합_가정!$E$453*①통합_가정!$J$484,0)</f>
        <v>0</v>
      </c>
      <c r="AM104" s="37" t="n">
        <f aca="false">IF(AM6=①통합_가정!$E$14,①통합_가정!$E$453*①통합_가정!$J$484,0)</f>
        <v>0</v>
      </c>
      <c r="AN104" s="37" t="n">
        <f aca="false">IF(AN6=①통합_가정!$E$14,①통합_가정!$E$453*①통합_가정!$J$484,0)</f>
        <v>0</v>
      </c>
      <c r="AO104" s="37" t="n">
        <f aca="false">IF(AO6=①통합_가정!$E$14,①통합_가정!$E$453*①통합_가정!$J$484,0)</f>
        <v>0</v>
      </c>
      <c r="AP104" s="37" t="n">
        <f aca="false">IF(AP6=①통합_가정!$E$14,①통합_가정!$E$453*①통합_가정!$J$484,0)</f>
        <v>0</v>
      </c>
      <c r="AQ104" s="37" t="n">
        <f aca="false">IF(AQ6=①통합_가정!$E$14,①통합_가정!$E$453*①통합_가정!$J$484,0)</f>
        <v>0</v>
      </c>
      <c r="AR104" s="37" t="n">
        <f aca="false">IF(AR6=①통합_가정!$E$14,①통합_가정!$E$453*①통합_가정!$J$484,0)</f>
        <v>0</v>
      </c>
      <c r="AS104" s="37" t="n">
        <f aca="false">IF(AS6=①통합_가정!$E$14,①통합_가정!$E$453*①통합_가정!$J$484,0)</f>
        <v>0</v>
      </c>
      <c r="AT104" s="37" t="n">
        <f aca="false">IF(AT6=①통합_가정!$E$14,①통합_가정!$E$453*①통합_가정!$J$484,0)</f>
        <v>0</v>
      </c>
      <c r="AU104" s="37" t="n">
        <f aca="false">IF(AU6=①통합_가정!$E$14,①통합_가정!$E$453*①통합_가정!$J$484,0)</f>
        <v>0</v>
      </c>
      <c r="AV104" s="37" t="n">
        <f aca="false">IF(AV6=①통합_가정!$E$14,①통합_가정!$E$453*①통합_가정!$J$484,0)</f>
        <v>0</v>
      </c>
      <c r="AW104" s="37" t="n">
        <f aca="false">IF(AW6=①통합_가정!$E$14,①통합_가정!$E$453*①통합_가정!$J$484,0)</f>
        <v>0</v>
      </c>
      <c r="AX104" s="37" t="n">
        <f aca="false">IF(AX6=①통합_가정!$E$14,①통합_가정!$E$453*①통합_가정!$J$484,0)</f>
        <v>0</v>
      </c>
      <c r="AY104" s="37" t="n">
        <f aca="false">IF(AY6=①통합_가정!$E$14,①통합_가정!$E$453*①통합_가정!$J$484,0)</f>
        <v>0</v>
      </c>
      <c r="AZ104" s="37" t="n">
        <f aca="false">IF(AZ6=①통합_가정!$E$14,①통합_가정!$E$453*①통합_가정!$J$484,0)</f>
        <v>0</v>
      </c>
      <c r="BA104" s="37" t="n">
        <f aca="false">IF(BA6=①통합_가정!$E$14,①통합_가정!$E$453*①통합_가정!$J$484,0)</f>
        <v>0</v>
      </c>
      <c r="BB104" s="37" t="n">
        <f aca="false">IF(BB6=①통합_가정!$E$14,①통합_가정!$E$453*①통합_가정!$J$484,0)</f>
        <v>0</v>
      </c>
      <c r="BC104" s="37" t="n">
        <f aca="false">IF(BC6=①통합_가정!$E$14,①통합_가정!$E$453*①통합_가정!$J$484,0)</f>
        <v>0</v>
      </c>
      <c r="BD104" s="37" t="n">
        <f aca="false">IF(BD6=①통합_가정!$E$14,①통합_가정!$E$453*①통합_가정!$J$484,0)</f>
        <v>0</v>
      </c>
      <c r="BE104" s="37" t="n">
        <f aca="false">IF(BE6=①통합_가정!$E$14,①통합_가정!$E$453*①통합_가정!$J$484,0)</f>
        <v>0</v>
      </c>
      <c r="BF104" s="37" t="n">
        <f aca="false">IF(BF6=①통합_가정!$E$14,①통합_가정!$E$453*①통합_가정!$J$484,0)</f>
        <v>0</v>
      </c>
      <c r="BG104" s="37" t="n">
        <f aca="false">IF(BG6=①통합_가정!$E$14,①통합_가정!$E$453*①통합_가정!$J$484,0)</f>
        <v>0</v>
      </c>
      <c r="BH104" s="37" t="n">
        <f aca="false">IF(BH6=①통합_가정!$E$14,①통합_가정!$E$453*①통합_가정!$J$484,0)</f>
        <v>0</v>
      </c>
      <c r="BI104" s="37" t="n">
        <f aca="false">IF(BI6=①통합_가정!$E$14,①통합_가정!$E$453*①통합_가정!$J$484,0)</f>
        <v>0</v>
      </c>
      <c r="BJ104" s="37" t="n">
        <f aca="false">IF(BJ6=①통합_가정!$E$14,①통합_가정!$E$453*①통합_가정!$J$484,0)</f>
        <v>0</v>
      </c>
      <c r="BK104" s="37" t="n">
        <f aca="false">IF(BK6=①통합_가정!$E$14,①통합_가정!$E$453*①통합_가정!$J$484,0)</f>
        <v>0</v>
      </c>
      <c r="BL104" s="37" t="n">
        <f aca="false">IF(BL6=①통합_가정!$E$14,①통합_가정!$E$453*①통합_가정!$J$484,0)</f>
        <v>0</v>
      </c>
      <c r="BM104" s="37" t="n">
        <f aca="false">IF(BM6=①통합_가정!$E$14,①통합_가정!$E$453*①통합_가정!$J$484,0)</f>
        <v>0</v>
      </c>
      <c r="BN104" s="37" t="n">
        <f aca="false">IF(BN6=①통합_가정!$E$14,①통합_가정!$E$453*①통합_가정!$J$484,0)</f>
        <v>0</v>
      </c>
      <c r="BO104" s="37" t="n">
        <f aca="false">IF(BO6=①통합_가정!$E$14,①통합_가정!$E$453*①통합_가정!$J$484,0)</f>
        <v>0</v>
      </c>
      <c r="BP104" s="37" t="n">
        <f aca="false">IF(BP6=①통합_가정!$E$14,①통합_가정!$E$453*①통합_가정!$J$484,0)</f>
        <v>0</v>
      </c>
      <c r="BQ104" s="37" t="n">
        <f aca="false">IF(BQ6=①통합_가정!$E$14,①통합_가정!$E$453*①통합_가정!$J$484,0)</f>
        <v>0</v>
      </c>
      <c r="BR104" s="37" t="n">
        <f aca="false">IF(BR6=①통합_가정!$E$14,①통합_가정!$E$453*①통합_가정!$J$484,0)</f>
        <v>0</v>
      </c>
      <c r="BS104" s="37" t="n">
        <f aca="false">IF(BS6=①통합_가정!$E$14,①통합_가정!$E$453*①통합_가정!$J$484,0)</f>
        <v>0</v>
      </c>
      <c r="BT104" s="37" t="n">
        <f aca="false">IF(BT6=①통합_가정!$E$14,①통합_가정!$E$453*①통합_가정!$J$484,0)</f>
        <v>0</v>
      </c>
      <c r="BU104" s="37" t="n">
        <f aca="false">IF(BU6=①통합_가정!$E$14,①통합_가정!$E$453*①통합_가정!$J$484,0)</f>
        <v>0</v>
      </c>
      <c r="BV104" s="37" t="n">
        <f aca="false">IF(BV6=①통합_가정!$E$14,①통합_가정!$E$453*①통합_가정!$J$484,0)</f>
        <v>0</v>
      </c>
      <c r="BW104" s="37" t="n">
        <f aca="false">IF(BW6=①통합_가정!$E$14,①통합_가정!$E$453*①통합_가정!$J$484,0)</f>
        <v>0</v>
      </c>
      <c r="BX104" s="37" t="n">
        <f aca="false">IF(BX6=①통합_가정!$E$14,①통합_가정!$E$453*①통합_가정!$J$484,0)</f>
        <v>0</v>
      </c>
      <c r="BY104" s="37" t="n">
        <f aca="false">IF(BY6=①통합_가정!$E$14,①통합_가정!$E$453*①통합_가정!$J$484,0)</f>
        <v>0</v>
      </c>
      <c r="BZ104" s="37" t="n">
        <f aca="false">IF(BZ6=①통합_가정!$E$14,①통합_가정!$E$453*①통합_가정!$J$484,0)</f>
        <v>0</v>
      </c>
      <c r="CA104" s="37" t="n">
        <f aca="false">IF(CA6=①통합_가정!$E$14,①통합_가정!$E$453*①통합_가정!$J$484,0)</f>
        <v>0</v>
      </c>
      <c r="CB104" s="37" t="n">
        <f aca="false">IF(CB6=①통합_가정!$E$14,①통합_가정!$E$453*①통합_가정!$J$484,0)</f>
        <v>0</v>
      </c>
      <c r="CC104" s="37" t="n">
        <f aca="false">IF(CC6=①통합_가정!$E$14,①통합_가정!$E$453*①통합_가정!$J$484,0)</f>
        <v>0</v>
      </c>
      <c r="CD104" s="37" t="n">
        <f aca="false">IF(CD6=①통합_가정!$E$14,①통합_가정!$E$453*①통합_가정!$J$484,0)</f>
        <v>0</v>
      </c>
      <c r="CE104" s="37" t="n">
        <f aca="false">IF(CE6=①통합_가정!$E$14,①통합_가정!$E$453*①통합_가정!$J$484,0)</f>
        <v>0</v>
      </c>
      <c r="CF104" s="37" t="n">
        <f aca="false">IF(CF6=①통합_가정!$E$14,①통합_가정!$E$453*①통합_가정!$J$484,0)</f>
        <v>0</v>
      </c>
      <c r="CG104" s="37" t="n">
        <f aca="false">IF(CG6=①통합_가정!$E$14,①통합_가정!$E$453*①통합_가정!$J$484,0)</f>
        <v>0</v>
      </c>
      <c r="CH104" s="37" t="n">
        <f aca="false">IF(CH6=①통합_가정!$E$14,①통합_가정!$E$453*①통합_가정!$J$484,0)</f>
        <v>0</v>
      </c>
      <c r="CI104" s="37" t="n">
        <f aca="false">IF(CI6=①통합_가정!$E$14,①통합_가정!$E$453*①통합_가정!$J$484,0)</f>
        <v>0</v>
      </c>
      <c r="CJ104" s="37" t="n">
        <f aca="false">IF(CJ6=①통합_가정!$E$14,①통합_가정!$E$453*①통합_가정!$J$484,0)</f>
        <v>0</v>
      </c>
      <c r="CK104" s="37" t="n">
        <f aca="false">IF(CK6=①통합_가정!$E$14,①통합_가정!$E$453*①통합_가정!$J$484,0)</f>
        <v>0</v>
      </c>
      <c r="CL104" s="37" t="n">
        <f aca="false">IF(CL6=①통합_가정!$E$14,①통합_가정!$E$453*①통합_가정!$J$484,0)</f>
        <v>0</v>
      </c>
      <c r="CM104" s="37" t="n">
        <f aca="false">IF(CM6=①통합_가정!$E$14,①통합_가정!$E$453*①통합_가정!$J$484,0)</f>
        <v>0</v>
      </c>
      <c r="CN104" s="37" t="n">
        <f aca="false">IF(CN6=①통합_가정!$E$14,①통합_가정!$E$453*①통합_가정!$J$484,0)</f>
        <v>0</v>
      </c>
      <c r="CO104" s="37" t="n">
        <f aca="false">IF(CO6=①통합_가정!$E$14,①통합_가정!$E$453*①통합_가정!$J$484,0)</f>
        <v>0</v>
      </c>
      <c r="CP104" s="37" t="n">
        <f aca="false">IF(CP6=①통합_가정!$E$14,①통합_가정!$E$453*①통합_가정!$J$484,0)</f>
        <v>0</v>
      </c>
      <c r="CQ104" s="37" t="n">
        <f aca="false">IF(CQ6=①통합_가정!$E$14,①통합_가정!$E$453*①통합_가정!$J$484,0)</f>
        <v>0</v>
      </c>
      <c r="CR104" s="37" t="n">
        <f aca="false">IF(CR6=①통합_가정!$E$14,①통합_가정!$E$453*①통합_가정!$J$484,0)</f>
        <v>0</v>
      </c>
      <c r="CS104" s="37" t="n">
        <f aca="false">IF(CS6=①통합_가정!$E$14,①통합_가정!$E$453*①통합_가정!$J$484,0)</f>
        <v>0</v>
      </c>
      <c r="CT104" s="37" t="n">
        <f aca="false">IF(CT6=①통합_가정!$E$14,①통합_가정!$E$453*①통합_가정!$J$484,0)</f>
        <v>0</v>
      </c>
      <c r="CU104" s="37" t="n">
        <f aca="false">IF(CU6=①통합_가정!$E$14,①통합_가정!$E$453*①통합_가정!$J$484,0)</f>
        <v>0</v>
      </c>
      <c r="CV104" s="37" t="n">
        <f aca="false">IF(CV6=①통합_가정!$E$14,①통합_가정!$E$453*①통합_가정!$J$484,0)</f>
        <v>0</v>
      </c>
      <c r="CW104" s="37" t="n">
        <f aca="false">IF(CW6=①통합_가정!$E$14,①통합_가정!$E$453*①통합_가정!$J$484,0)</f>
        <v>0</v>
      </c>
      <c r="CX104" s="37" t="n">
        <f aca="false">IF(CX6=①통합_가정!$E$14,①통합_가정!$E$453*①통합_가정!$J$484,0)</f>
        <v>0</v>
      </c>
      <c r="CY104" s="37" t="n">
        <f aca="false">IF(CY6=①통합_가정!$E$14,①통합_가정!$E$453*①통합_가정!$J$484,0)</f>
        <v>0</v>
      </c>
      <c r="CZ104" s="37" t="n">
        <f aca="false">IF(CZ6=①통합_가정!$E$14,①통합_가정!$E$453*①통합_가정!$J$484,0)</f>
        <v>0</v>
      </c>
      <c r="DA104" s="37" t="n">
        <f aca="false">IF(DA6=①통합_가정!$E$14,①통합_가정!$E$453*①통합_가정!$J$484,0)</f>
        <v>0</v>
      </c>
      <c r="DB104" s="37" t="n">
        <f aca="false">IF(DB6=①통합_가정!$E$14,①통합_가정!$E$453*①통합_가정!$J$484,0)</f>
        <v>0</v>
      </c>
      <c r="DC104" s="37" t="n">
        <f aca="false">IF(DC6=①통합_가정!$E$14,①통합_가정!$E$453*①통합_가정!$J$484,0)</f>
        <v>0</v>
      </c>
      <c r="DD104" s="37" t="n">
        <f aca="false">IF(DD6=①통합_가정!$E$14,①통합_가정!$E$453*①통합_가정!$J$484,0)</f>
        <v>0</v>
      </c>
      <c r="DE104" s="37" t="n">
        <f aca="false">IF(DE6=①통합_가정!$E$14,①통합_가정!$E$453*①통합_가정!$J$484,0)</f>
        <v>0</v>
      </c>
      <c r="DF104" s="37" t="n">
        <f aca="false">IF(DF6=①통합_가정!$E$14,①통합_가정!$E$453*①통합_가정!$J$484,0)</f>
        <v>0</v>
      </c>
      <c r="DG104" s="37" t="n">
        <f aca="false">IF(DG6=①통합_가정!$E$14,①통합_가정!$E$453*①통합_가정!$J$484,0)</f>
        <v>0</v>
      </c>
      <c r="DH104" s="37" t="n">
        <f aca="false">IF(DH6=①통합_가정!$E$14,①통합_가정!$E$453*①통합_가정!$J$484,0)</f>
        <v>0</v>
      </c>
      <c r="DI104" s="37" t="n">
        <f aca="false">IF(DI6=①통합_가정!$E$14,①통합_가정!$E$453*①통합_가정!$J$484,0)</f>
        <v>0</v>
      </c>
      <c r="DJ104" s="37" t="n">
        <f aca="false">IF(DJ6=①통합_가정!$E$14,①통합_가정!$E$453*①통합_가정!$J$484,0)</f>
        <v>0</v>
      </c>
      <c r="DK104" s="37" t="n">
        <f aca="false">IF(DK6=①통합_가정!$E$14,①통합_가정!$E$453*①통합_가정!$J$484,0)</f>
        <v>0</v>
      </c>
      <c r="DL104" s="37" t="n">
        <f aca="false">IF(DL6=①통합_가정!$E$14,①통합_가정!$E$453*①통합_가정!$J$484,0)</f>
        <v>0</v>
      </c>
      <c r="DM104" s="37" t="n">
        <f aca="false">IF(DM6=①통합_가정!$E$14,①통합_가정!$E$453*①통합_가정!$J$484,0)</f>
        <v>0</v>
      </c>
      <c r="DN104" s="37" t="n">
        <f aca="false">IF(DN6=①통합_가정!$E$14,①통합_가정!$E$453*①통합_가정!$J$484,0)</f>
        <v>0</v>
      </c>
      <c r="DO104" s="37" t="n">
        <f aca="false">IF(DO6=①통합_가정!$E$14,①통합_가정!$E$453*①통합_가정!$J$484,0)</f>
        <v>0</v>
      </c>
      <c r="DP104" s="37" t="n">
        <f aca="false">IF(DP6=①통합_가정!$E$14,①통합_가정!$E$453*①통합_가정!$J$484,0)</f>
        <v>0</v>
      </c>
      <c r="DQ104" s="37" t="n">
        <f aca="false">IF(DQ6=①통합_가정!$E$14,①통합_가정!$E$453*①통합_가정!$J$484,0)</f>
        <v>0</v>
      </c>
      <c r="DR104" s="37" t="n">
        <f aca="false">IF(DR6=①통합_가정!$E$14,①통합_가정!$E$453*①통합_가정!$J$484,0)</f>
        <v>0</v>
      </c>
      <c r="DS104" s="37" t="n">
        <f aca="false">IF(DS6=①통합_가정!$E$14,①통합_가정!$E$453*①통합_가정!$J$484,0)</f>
        <v>0</v>
      </c>
      <c r="DT104" s="37" t="n">
        <f aca="false">IF(DT6=①통합_가정!$E$14,①통합_가정!$E$453*①통합_가정!$J$484,0)</f>
        <v>0</v>
      </c>
      <c r="DU104" s="37" t="n">
        <f aca="false">IF(DU6=①통합_가정!$E$14,①통합_가정!$E$453*①통합_가정!$J$484,0)</f>
        <v>0</v>
      </c>
      <c r="DV104" s="37" t="n">
        <f aca="false">IF(DV6=①통합_가정!$E$14,①통합_가정!$E$453*①통합_가정!$J$484,0)</f>
        <v>0</v>
      </c>
      <c r="DW104" s="37" t="n">
        <f aca="false">IF(DW6=①통합_가정!$E$14,①통합_가정!$E$453*①통합_가정!$J$484,0)</f>
        <v>0</v>
      </c>
      <c r="DX104" s="37" t="n">
        <f aca="false">IF(DX6=①통합_가정!$E$14,①통합_가정!$E$453*①통합_가정!$J$484,0)</f>
        <v>0</v>
      </c>
      <c r="DY104" s="37" t="n">
        <f aca="false">IF(DY6=①통합_가정!$E$14,①통합_가정!$E$453*①통합_가정!$J$484,0)</f>
        <v>0</v>
      </c>
      <c r="DZ104" s="37" t="n">
        <f aca="false">IF(DZ6=①통합_가정!$E$14,①통합_가정!$E$453*①통합_가정!$J$484,0)</f>
        <v>0</v>
      </c>
      <c r="EA104" s="37" t="n">
        <f aca="false">IF(EA6=①통합_가정!$E$14,①통합_가정!$E$453*①통합_가정!$J$484,0)</f>
        <v>0</v>
      </c>
      <c r="EB104" s="37" t="n">
        <f aca="false">IF(EB6=①통합_가정!$E$14,①통합_가정!$E$453*①통합_가정!$J$484,0)</f>
        <v>0</v>
      </c>
      <c r="EC104" s="37" t="n">
        <f aca="false">IF(EC6=①통합_가정!$E$14,①통합_가정!$E$453*①통합_가정!$J$484,0)</f>
        <v>0</v>
      </c>
      <c r="ED104" s="37" t="n">
        <f aca="false">IF(ED6=①통합_가정!$E$14,①통합_가정!$E$453*①통합_가정!$J$484,0)</f>
        <v>0</v>
      </c>
      <c r="EE104" s="37" t="n">
        <f aca="false">IF(EE6=①통합_가정!$E$14,①통합_가정!$E$453*①통합_가정!$J$484,0)</f>
        <v>0</v>
      </c>
      <c r="EF104" s="37" t="n">
        <f aca="false">IF(EF6=①통합_가정!$E$14,①통합_가정!$E$453*①통합_가정!$J$484,0)</f>
        <v>0</v>
      </c>
    </row>
    <row r="105" customFormat="false" ht="15" hidden="false" customHeight="false" outlineLevel="0" collapsed="false">
      <c r="A105" s="153" t="s">
        <v>644</v>
      </c>
      <c r="B105" s="278" t="s">
        <v>21</v>
      </c>
      <c r="C105" s="279" t="n">
        <f aca="false">SUM(E105:EF105)</f>
        <v>1641.50534063536</v>
      </c>
      <c r="E105" s="37" t="n">
        <f aca="false">IF(E6=①통합_가정!$E$14,①통합_가정!$E$454*①통합_가정!$J$485,0)</f>
        <v>0</v>
      </c>
      <c r="F105" s="37" t="n">
        <f aca="false">IF(F6=①통합_가정!$E$14,①통합_가정!$E$454*①통합_가정!$J$485,0)</f>
        <v>0</v>
      </c>
      <c r="G105" s="37" t="n">
        <f aca="false">IF(G6=①통합_가정!$E$14,①통합_가정!$E$454*①통합_가정!$J$485,0)</f>
        <v>0</v>
      </c>
      <c r="H105" s="37" t="n">
        <f aca="false">IF(H6=①통합_가정!$E$14,①통합_가정!$E$454*①통합_가정!$J$485,0)</f>
        <v>0</v>
      </c>
      <c r="I105" s="37" t="n">
        <f aca="false">IF(I6=①통합_가정!$E$14,①통합_가정!$E$454*①통합_가정!$J$485,0)</f>
        <v>0</v>
      </c>
      <c r="J105" s="37" t="n">
        <f aca="false">IF(J6=①통합_가정!$E$14,①통합_가정!$E$454*①통합_가정!$J$485,0)</f>
        <v>0</v>
      </c>
      <c r="K105" s="37" t="n">
        <f aca="false">IF(K6=①통합_가정!$E$14,①통합_가정!$E$454*①통합_가정!$J$485,0)</f>
        <v>0</v>
      </c>
      <c r="L105" s="37" t="n">
        <f aca="false">IF(L6=①통합_가정!$E$14,①통합_가정!$E$454*①통합_가정!$J$485,0)</f>
        <v>0</v>
      </c>
      <c r="M105" s="37" t="n">
        <f aca="false">IF(M6=①통합_가정!$E$14,①통합_가정!$E$454*①통합_가정!$J$485,0)</f>
        <v>0</v>
      </c>
      <c r="N105" s="37" t="n">
        <f aca="false">IF(N6=①통합_가정!$E$14,①통합_가정!$E$454*①통합_가정!$J$485,0)</f>
        <v>0</v>
      </c>
      <c r="O105" s="37" t="n">
        <f aca="false">IF(O6=①통합_가정!$E$14,①통합_가정!$E$454*①통합_가정!$J$485,0)</f>
        <v>0</v>
      </c>
      <c r="P105" s="37" t="n">
        <f aca="false">IF(P6=①통합_가정!$E$14,①통합_가정!$E$454*①통합_가정!$J$485,0)</f>
        <v>0</v>
      </c>
      <c r="Q105" s="37" t="n">
        <f aca="false">IF(Q6=①통합_가정!$E$14,①통합_가정!$E$454*①통합_가정!$J$485,0)</f>
        <v>0</v>
      </c>
      <c r="R105" s="37" t="n">
        <f aca="false">IF(R6=①통합_가정!$E$14,①통합_가정!$E$454*①통합_가정!$J$485,0)</f>
        <v>0</v>
      </c>
      <c r="S105" s="37" t="n">
        <f aca="false">IF(S6=①통합_가정!$E$14,①통합_가정!$E$454*①통합_가정!$J$485,0)</f>
        <v>0</v>
      </c>
      <c r="T105" s="37" t="n">
        <f aca="false">IF(T6=①통합_가정!$E$14,①통합_가정!$E$454*①통합_가정!$J$485,0)</f>
        <v>0</v>
      </c>
      <c r="U105" s="37" t="n">
        <f aca="false">IF(U6=①통합_가정!$E$14,①통합_가정!$E$454*①통합_가정!$J$485,0)</f>
        <v>0</v>
      </c>
      <c r="V105" s="37" t="n">
        <f aca="false">IF(V6=①통합_가정!$E$14,①통합_가정!$E$454*①통합_가정!$J$485,0)</f>
        <v>0</v>
      </c>
      <c r="W105" s="37" t="n">
        <f aca="false">IF(W6=①통합_가정!$E$14,①통합_가정!$E$454*①통합_가정!$J$485,0)</f>
        <v>1641.50534063536</v>
      </c>
      <c r="X105" s="37" t="n">
        <f aca="false">IF(X6=①통합_가정!$E$14,①통합_가정!$E$454*①통합_가정!$J$485,0)</f>
        <v>0</v>
      </c>
      <c r="Y105" s="37" t="n">
        <f aca="false">IF(Y6=①통합_가정!$E$14,①통합_가정!$E$454*①통합_가정!$J$485,0)</f>
        <v>0</v>
      </c>
      <c r="Z105" s="37" t="n">
        <f aca="false">IF(Z6=①통합_가정!$E$14,①통합_가정!$E$454*①통합_가정!$J$485,0)</f>
        <v>0</v>
      </c>
      <c r="AA105" s="37" t="n">
        <f aca="false">IF(AA6=①통합_가정!$E$14,①통합_가정!$E$454*①통합_가정!$J$485,0)</f>
        <v>0</v>
      </c>
      <c r="AB105" s="37" t="n">
        <f aca="false">IF(AB6=①통합_가정!$E$14,①통합_가정!$E$454*①통합_가정!$J$485,0)</f>
        <v>0</v>
      </c>
      <c r="AC105" s="37" t="n">
        <f aca="false">IF(AC6=①통합_가정!$E$14,①통합_가정!$E$454*①통합_가정!$J$485,0)</f>
        <v>0</v>
      </c>
      <c r="AD105" s="37" t="n">
        <f aca="false">IF(AD6=①통합_가정!$E$14,①통합_가정!$E$454*①통합_가정!$J$485,0)</f>
        <v>0</v>
      </c>
      <c r="AE105" s="37" t="n">
        <f aca="false">IF(AE6=①통합_가정!$E$14,①통합_가정!$E$454*①통합_가정!$J$485,0)</f>
        <v>0</v>
      </c>
      <c r="AF105" s="37" t="n">
        <f aca="false">IF(AF6=①통합_가정!$E$14,①통합_가정!$E$454*①통합_가정!$J$485,0)</f>
        <v>0</v>
      </c>
      <c r="AG105" s="37" t="n">
        <f aca="false">IF(AG6=①통합_가정!$E$14,①통합_가정!$E$454*①통합_가정!$J$485,0)</f>
        <v>0</v>
      </c>
      <c r="AH105" s="37" t="n">
        <f aca="false">IF(AH6=①통합_가정!$E$14,①통합_가정!$E$454*①통합_가정!$J$485,0)</f>
        <v>0</v>
      </c>
      <c r="AI105" s="37" t="n">
        <f aca="false">IF(AI6=①통합_가정!$E$14,①통합_가정!$E$454*①통합_가정!$J$485,0)</f>
        <v>0</v>
      </c>
      <c r="AJ105" s="37" t="n">
        <f aca="false">IF(AJ6=①통합_가정!$E$14,①통합_가정!$E$454*①통합_가정!$J$485,0)</f>
        <v>0</v>
      </c>
      <c r="AK105" s="37" t="n">
        <f aca="false">IF(AK6=①통합_가정!$E$14,①통합_가정!$E$454*①통합_가정!$J$485,0)</f>
        <v>0</v>
      </c>
      <c r="AL105" s="37" t="n">
        <f aca="false">IF(AL6=①통합_가정!$E$14,①통합_가정!$E$454*①통합_가정!$J$485,0)</f>
        <v>0</v>
      </c>
      <c r="AM105" s="37" t="n">
        <f aca="false">IF(AM6=①통합_가정!$E$14,①통합_가정!$E$454*①통합_가정!$J$485,0)</f>
        <v>0</v>
      </c>
      <c r="AN105" s="37" t="n">
        <f aca="false">IF(AN6=①통합_가정!$E$14,①통합_가정!$E$454*①통합_가정!$J$485,0)</f>
        <v>0</v>
      </c>
      <c r="AO105" s="37" t="n">
        <f aca="false">IF(AO6=①통합_가정!$E$14,①통합_가정!$E$454*①통합_가정!$J$485,0)</f>
        <v>0</v>
      </c>
      <c r="AP105" s="37" t="n">
        <f aca="false">IF(AP6=①통합_가정!$E$14,①통합_가정!$E$454*①통합_가정!$J$485,0)</f>
        <v>0</v>
      </c>
      <c r="AQ105" s="37" t="n">
        <f aca="false">IF(AQ6=①통합_가정!$E$14,①통합_가정!$E$454*①통합_가정!$J$485,0)</f>
        <v>0</v>
      </c>
      <c r="AR105" s="37" t="n">
        <f aca="false">IF(AR6=①통합_가정!$E$14,①통합_가정!$E$454*①통합_가정!$J$485,0)</f>
        <v>0</v>
      </c>
      <c r="AS105" s="37" t="n">
        <f aca="false">IF(AS6=①통합_가정!$E$14,①통합_가정!$E$454*①통합_가정!$J$485,0)</f>
        <v>0</v>
      </c>
      <c r="AT105" s="37" t="n">
        <f aca="false">IF(AT6=①통합_가정!$E$14,①통합_가정!$E$454*①통합_가정!$J$485,0)</f>
        <v>0</v>
      </c>
      <c r="AU105" s="37" t="n">
        <f aca="false">IF(AU6=①통합_가정!$E$14,①통합_가정!$E$454*①통합_가정!$J$485,0)</f>
        <v>0</v>
      </c>
      <c r="AV105" s="37" t="n">
        <f aca="false">IF(AV6=①통합_가정!$E$14,①통합_가정!$E$454*①통합_가정!$J$485,0)</f>
        <v>0</v>
      </c>
      <c r="AW105" s="37" t="n">
        <f aca="false">IF(AW6=①통합_가정!$E$14,①통합_가정!$E$454*①통합_가정!$J$485,0)</f>
        <v>0</v>
      </c>
      <c r="AX105" s="37" t="n">
        <f aca="false">IF(AX6=①통합_가정!$E$14,①통합_가정!$E$454*①통합_가정!$J$485,0)</f>
        <v>0</v>
      </c>
      <c r="AY105" s="37" t="n">
        <f aca="false">IF(AY6=①통합_가정!$E$14,①통합_가정!$E$454*①통합_가정!$J$485,0)</f>
        <v>0</v>
      </c>
      <c r="AZ105" s="37" t="n">
        <f aca="false">IF(AZ6=①통합_가정!$E$14,①통합_가정!$E$454*①통합_가정!$J$485,0)</f>
        <v>0</v>
      </c>
      <c r="BA105" s="37" t="n">
        <f aca="false">IF(BA6=①통합_가정!$E$14,①통합_가정!$E$454*①통합_가정!$J$485,0)</f>
        <v>0</v>
      </c>
      <c r="BB105" s="37" t="n">
        <f aca="false">IF(BB6=①통합_가정!$E$14,①통합_가정!$E$454*①통합_가정!$J$485,0)</f>
        <v>0</v>
      </c>
      <c r="BC105" s="37" t="n">
        <f aca="false">IF(BC6=①통합_가정!$E$14,①통합_가정!$E$454*①통합_가정!$J$485,0)</f>
        <v>0</v>
      </c>
      <c r="BD105" s="37" t="n">
        <f aca="false">IF(BD6=①통합_가정!$E$14,①통합_가정!$E$454*①통합_가정!$J$485,0)</f>
        <v>0</v>
      </c>
      <c r="BE105" s="37" t="n">
        <f aca="false">IF(BE6=①통합_가정!$E$14,①통합_가정!$E$454*①통합_가정!$J$485,0)</f>
        <v>0</v>
      </c>
      <c r="BF105" s="37" t="n">
        <f aca="false">IF(BF6=①통합_가정!$E$14,①통합_가정!$E$454*①통합_가정!$J$485,0)</f>
        <v>0</v>
      </c>
      <c r="BG105" s="37" t="n">
        <f aca="false">IF(BG6=①통합_가정!$E$14,①통합_가정!$E$454*①통합_가정!$J$485,0)</f>
        <v>0</v>
      </c>
      <c r="BH105" s="37" t="n">
        <f aca="false">IF(BH6=①통합_가정!$E$14,①통합_가정!$E$454*①통합_가정!$J$485,0)</f>
        <v>0</v>
      </c>
      <c r="BI105" s="37" t="n">
        <f aca="false">IF(BI6=①통합_가정!$E$14,①통합_가정!$E$454*①통합_가정!$J$485,0)</f>
        <v>0</v>
      </c>
      <c r="BJ105" s="37" t="n">
        <f aca="false">IF(BJ6=①통합_가정!$E$14,①통합_가정!$E$454*①통합_가정!$J$485,0)</f>
        <v>0</v>
      </c>
      <c r="BK105" s="37" t="n">
        <f aca="false">IF(BK6=①통합_가정!$E$14,①통합_가정!$E$454*①통합_가정!$J$485,0)</f>
        <v>0</v>
      </c>
      <c r="BL105" s="37" t="n">
        <f aca="false">IF(BL6=①통합_가정!$E$14,①통합_가정!$E$454*①통합_가정!$J$485,0)</f>
        <v>0</v>
      </c>
      <c r="BM105" s="37" t="n">
        <f aca="false">IF(BM6=①통합_가정!$E$14,①통합_가정!$E$454*①통합_가정!$J$485,0)</f>
        <v>0</v>
      </c>
      <c r="BN105" s="37" t="n">
        <f aca="false">IF(BN6=①통합_가정!$E$14,①통합_가정!$E$454*①통합_가정!$J$485,0)</f>
        <v>0</v>
      </c>
      <c r="BO105" s="37" t="n">
        <f aca="false">IF(BO6=①통합_가정!$E$14,①통합_가정!$E$454*①통합_가정!$J$485,0)</f>
        <v>0</v>
      </c>
      <c r="BP105" s="37" t="n">
        <f aca="false">IF(BP6=①통합_가정!$E$14,①통합_가정!$E$454*①통합_가정!$J$485,0)</f>
        <v>0</v>
      </c>
      <c r="BQ105" s="37" t="n">
        <f aca="false">IF(BQ6=①통합_가정!$E$14,①통합_가정!$E$454*①통합_가정!$J$485,0)</f>
        <v>0</v>
      </c>
      <c r="BR105" s="37" t="n">
        <f aca="false">IF(BR6=①통합_가정!$E$14,①통합_가정!$E$454*①통합_가정!$J$485,0)</f>
        <v>0</v>
      </c>
      <c r="BS105" s="37" t="n">
        <f aca="false">IF(BS6=①통합_가정!$E$14,①통합_가정!$E$454*①통합_가정!$J$485,0)</f>
        <v>0</v>
      </c>
      <c r="BT105" s="37" t="n">
        <f aca="false">IF(BT6=①통합_가정!$E$14,①통합_가정!$E$454*①통합_가정!$J$485,0)</f>
        <v>0</v>
      </c>
      <c r="BU105" s="37" t="n">
        <f aca="false">IF(BU6=①통합_가정!$E$14,①통합_가정!$E$454*①통합_가정!$J$485,0)</f>
        <v>0</v>
      </c>
      <c r="BV105" s="37" t="n">
        <f aca="false">IF(BV6=①통합_가정!$E$14,①통합_가정!$E$454*①통합_가정!$J$485,0)</f>
        <v>0</v>
      </c>
      <c r="BW105" s="37" t="n">
        <f aca="false">IF(BW6=①통합_가정!$E$14,①통합_가정!$E$454*①통합_가정!$J$485,0)</f>
        <v>0</v>
      </c>
      <c r="BX105" s="37" t="n">
        <f aca="false">IF(BX6=①통합_가정!$E$14,①통합_가정!$E$454*①통합_가정!$J$485,0)</f>
        <v>0</v>
      </c>
      <c r="BY105" s="37" t="n">
        <f aca="false">IF(BY6=①통합_가정!$E$14,①통합_가정!$E$454*①통합_가정!$J$485,0)</f>
        <v>0</v>
      </c>
      <c r="BZ105" s="37" t="n">
        <f aca="false">IF(BZ6=①통합_가정!$E$14,①통합_가정!$E$454*①통합_가정!$J$485,0)</f>
        <v>0</v>
      </c>
      <c r="CA105" s="37" t="n">
        <f aca="false">IF(CA6=①통합_가정!$E$14,①통합_가정!$E$454*①통합_가정!$J$485,0)</f>
        <v>0</v>
      </c>
      <c r="CB105" s="37" t="n">
        <f aca="false">IF(CB6=①통합_가정!$E$14,①통합_가정!$E$454*①통합_가정!$J$485,0)</f>
        <v>0</v>
      </c>
      <c r="CC105" s="37" t="n">
        <f aca="false">IF(CC6=①통합_가정!$E$14,①통합_가정!$E$454*①통합_가정!$J$485,0)</f>
        <v>0</v>
      </c>
      <c r="CD105" s="37" t="n">
        <f aca="false">IF(CD6=①통합_가정!$E$14,①통합_가정!$E$454*①통합_가정!$J$485,0)</f>
        <v>0</v>
      </c>
      <c r="CE105" s="37" t="n">
        <f aca="false">IF(CE6=①통합_가정!$E$14,①통합_가정!$E$454*①통합_가정!$J$485,0)</f>
        <v>0</v>
      </c>
      <c r="CF105" s="37" t="n">
        <f aca="false">IF(CF6=①통합_가정!$E$14,①통합_가정!$E$454*①통합_가정!$J$485,0)</f>
        <v>0</v>
      </c>
      <c r="CG105" s="37" t="n">
        <f aca="false">IF(CG6=①통합_가정!$E$14,①통합_가정!$E$454*①통합_가정!$J$485,0)</f>
        <v>0</v>
      </c>
      <c r="CH105" s="37" t="n">
        <f aca="false">IF(CH6=①통합_가정!$E$14,①통합_가정!$E$454*①통합_가정!$J$485,0)</f>
        <v>0</v>
      </c>
      <c r="CI105" s="37" t="n">
        <f aca="false">IF(CI6=①통합_가정!$E$14,①통합_가정!$E$454*①통합_가정!$J$485,0)</f>
        <v>0</v>
      </c>
      <c r="CJ105" s="37" t="n">
        <f aca="false">IF(CJ6=①통합_가정!$E$14,①통합_가정!$E$454*①통합_가정!$J$485,0)</f>
        <v>0</v>
      </c>
      <c r="CK105" s="37" t="n">
        <f aca="false">IF(CK6=①통합_가정!$E$14,①통합_가정!$E$454*①통합_가정!$J$485,0)</f>
        <v>0</v>
      </c>
      <c r="CL105" s="37" t="n">
        <f aca="false">IF(CL6=①통합_가정!$E$14,①통합_가정!$E$454*①통합_가정!$J$485,0)</f>
        <v>0</v>
      </c>
      <c r="CM105" s="37" t="n">
        <f aca="false">IF(CM6=①통합_가정!$E$14,①통합_가정!$E$454*①통합_가정!$J$485,0)</f>
        <v>0</v>
      </c>
      <c r="CN105" s="37" t="n">
        <f aca="false">IF(CN6=①통합_가정!$E$14,①통합_가정!$E$454*①통합_가정!$J$485,0)</f>
        <v>0</v>
      </c>
      <c r="CO105" s="37" t="n">
        <f aca="false">IF(CO6=①통합_가정!$E$14,①통합_가정!$E$454*①통합_가정!$J$485,0)</f>
        <v>0</v>
      </c>
      <c r="CP105" s="37" t="n">
        <f aca="false">IF(CP6=①통합_가정!$E$14,①통합_가정!$E$454*①통합_가정!$J$485,0)</f>
        <v>0</v>
      </c>
      <c r="CQ105" s="37" t="n">
        <f aca="false">IF(CQ6=①통합_가정!$E$14,①통합_가정!$E$454*①통합_가정!$J$485,0)</f>
        <v>0</v>
      </c>
      <c r="CR105" s="37" t="n">
        <f aca="false">IF(CR6=①통합_가정!$E$14,①통합_가정!$E$454*①통합_가정!$J$485,0)</f>
        <v>0</v>
      </c>
      <c r="CS105" s="37" t="n">
        <f aca="false">IF(CS6=①통합_가정!$E$14,①통합_가정!$E$454*①통합_가정!$J$485,0)</f>
        <v>0</v>
      </c>
      <c r="CT105" s="37" t="n">
        <f aca="false">IF(CT6=①통합_가정!$E$14,①통합_가정!$E$454*①통합_가정!$J$485,0)</f>
        <v>0</v>
      </c>
      <c r="CU105" s="37" t="n">
        <f aca="false">IF(CU6=①통합_가정!$E$14,①통합_가정!$E$454*①통합_가정!$J$485,0)</f>
        <v>0</v>
      </c>
      <c r="CV105" s="37" t="n">
        <f aca="false">IF(CV6=①통합_가정!$E$14,①통합_가정!$E$454*①통합_가정!$J$485,0)</f>
        <v>0</v>
      </c>
      <c r="CW105" s="37" t="n">
        <f aca="false">IF(CW6=①통합_가정!$E$14,①통합_가정!$E$454*①통합_가정!$J$485,0)</f>
        <v>0</v>
      </c>
      <c r="CX105" s="37" t="n">
        <f aca="false">IF(CX6=①통합_가정!$E$14,①통합_가정!$E$454*①통합_가정!$J$485,0)</f>
        <v>0</v>
      </c>
      <c r="CY105" s="37" t="n">
        <f aca="false">IF(CY6=①통합_가정!$E$14,①통합_가정!$E$454*①통합_가정!$J$485,0)</f>
        <v>0</v>
      </c>
      <c r="CZ105" s="37" t="n">
        <f aca="false">IF(CZ6=①통합_가정!$E$14,①통합_가정!$E$454*①통합_가정!$J$485,0)</f>
        <v>0</v>
      </c>
      <c r="DA105" s="37" t="n">
        <f aca="false">IF(DA6=①통합_가정!$E$14,①통합_가정!$E$454*①통합_가정!$J$485,0)</f>
        <v>0</v>
      </c>
      <c r="DB105" s="37" t="n">
        <f aca="false">IF(DB6=①통합_가정!$E$14,①통합_가정!$E$454*①통합_가정!$J$485,0)</f>
        <v>0</v>
      </c>
      <c r="DC105" s="37" t="n">
        <f aca="false">IF(DC6=①통합_가정!$E$14,①통합_가정!$E$454*①통합_가정!$J$485,0)</f>
        <v>0</v>
      </c>
      <c r="DD105" s="37" t="n">
        <f aca="false">IF(DD6=①통합_가정!$E$14,①통합_가정!$E$454*①통합_가정!$J$485,0)</f>
        <v>0</v>
      </c>
      <c r="DE105" s="37" t="n">
        <f aca="false">IF(DE6=①통합_가정!$E$14,①통합_가정!$E$454*①통합_가정!$J$485,0)</f>
        <v>0</v>
      </c>
      <c r="DF105" s="37" t="n">
        <f aca="false">IF(DF6=①통합_가정!$E$14,①통합_가정!$E$454*①통합_가정!$J$485,0)</f>
        <v>0</v>
      </c>
      <c r="DG105" s="37" t="n">
        <f aca="false">IF(DG6=①통합_가정!$E$14,①통합_가정!$E$454*①통합_가정!$J$485,0)</f>
        <v>0</v>
      </c>
      <c r="DH105" s="37" t="n">
        <f aca="false">IF(DH6=①통합_가정!$E$14,①통합_가정!$E$454*①통합_가정!$J$485,0)</f>
        <v>0</v>
      </c>
      <c r="DI105" s="37" t="n">
        <f aca="false">IF(DI6=①통합_가정!$E$14,①통합_가정!$E$454*①통합_가정!$J$485,0)</f>
        <v>0</v>
      </c>
      <c r="DJ105" s="37" t="n">
        <f aca="false">IF(DJ6=①통합_가정!$E$14,①통합_가정!$E$454*①통합_가정!$J$485,0)</f>
        <v>0</v>
      </c>
      <c r="DK105" s="37" t="n">
        <f aca="false">IF(DK6=①통합_가정!$E$14,①통합_가정!$E$454*①통합_가정!$J$485,0)</f>
        <v>0</v>
      </c>
      <c r="DL105" s="37" t="n">
        <f aca="false">IF(DL6=①통합_가정!$E$14,①통합_가정!$E$454*①통합_가정!$J$485,0)</f>
        <v>0</v>
      </c>
      <c r="DM105" s="37" t="n">
        <f aca="false">IF(DM6=①통합_가정!$E$14,①통합_가정!$E$454*①통합_가정!$J$485,0)</f>
        <v>0</v>
      </c>
      <c r="DN105" s="37" t="n">
        <f aca="false">IF(DN6=①통합_가정!$E$14,①통합_가정!$E$454*①통합_가정!$J$485,0)</f>
        <v>0</v>
      </c>
      <c r="DO105" s="37" t="n">
        <f aca="false">IF(DO6=①통합_가정!$E$14,①통합_가정!$E$454*①통합_가정!$J$485,0)</f>
        <v>0</v>
      </c>
      <c r="DP105" s="37" t="n">
        <f aca="false">IF(DP6=①통합_가정!$E$14,①통합_가정!$E$454*①통합_가정!$J$485,0)</f>
        <v>0</v>
      </c>
      <c r="DQ105" s="37" t="n">
        <f aca="false">IF(DQ6=①통합_가정!$E$14,①통합_가정!$E$454*①통합_가정!$J$485,0)</f>
        <v>0</v>
      </c>
      <c r="DR105" s="37" t="n">
        <f aca="false">IF(DR6=①통합_가정!$E$14,①통합_가정!$E$454*①통합_가정!$J$485,0)</f>
        <v>0</v>
      </c>
      <c r="DS105" s="37" t="n">
        <f aca="false">IF(DS6=①통합_가정!$E$14,①통합_가정!$E$454*①통합_가정!$J$485,0)</f>
        <v>0</v>
      </c>
      <c r="DT105" s="37" t="n">
        <f aca="false">IF(DT6=①통합_가정!$E$14,①통합_가정!$E$454*①통합_가정!$J$485,0)</f>
        <v>0</v>
      </c>
      <c r="DU105" s="37" t="n">
        <f aca="false">IF(DU6=①통합_가정!$E$14,①통합_가정!$E$454*①통합_가정!$J$485,0)</f>
        <v>0</v>
      </c>
      <c r="DV105" s="37" t="n">
        <f aca="false">IF(DV6=①통합_가정!$E$14,①통합_가정!$E$454*①통합_가정!$J$485,0)</f>
        <v>0</v>
      </c>
      <c r="DW105" s="37" t="n">
        <f aca="false">IF(DW6=①통합_가정!$E$14,①통합_가정!$E$454*①통합_가정!$J$485,0)</f>
        <v>0</v>
      </c>
      <c r="DX105" s="37" t="n">
        <f aca="false">IF(DX6=①통합_가정!$E$14,①통합_가정!$E$454*①통합_가정!$J$485,0)</f>
        <v>0</v>
      </c>
      <c r="DY105" s="37" t="n">
        <f aca="false">IF(DY6=①통합_가정!$E$14,①통합_가정!$E$454*①통합_가정!$J$485,0)</f>
        <v>0</v>
      </c>
      <c r="DZ105" s="37" t="n">
        <f aca="false">IF(DZ6=①통합_가정!$E$14,①통합_가정!$E$454*①통합_가정!$J$485,0)</f>
        <v>0</v>
      </c>
      <c r="EA105" s="37" t="n">
        <f aca="false">IF(EA6=①통합_가정!$E$14,①통합_가정!$E$454*①통합_가정!$J$485,0)</f>
        <v>0</v>
      </c>
      <c r="EB105" s="37" t="n">
        <f aca="false">IF(EB6=①통합_가정!$E$14,①통합_가정!$E$454*①통합_가정!$J$485,0)</f>
        <v>0</v>
      </c>
      <c r="EC105" s="37" t="n">
        <f aca="false">IF(EC6=①통합_가정!$E$14,①통합_가정!$E$454*①통합_가정!$J$485,0)</f>
        <v>0</v>
      </c>
      <c r="ED105" s="37" t="n">
        <f aca="false">IF(ED6=①통합_가정!$E$14,①통합_가정!$E$454*①통합_가정!$J$485,0)</f>
        <v>0</v>
      </c>
      <c r="EE105" s="37" t="n">
        <f aca="false">IF(EE6=①통합_가정!$E$14,①통합_가정!$E$454*①통합_가정!$J$485,0)</f>
        <v>0</v>
      </c>
      <c r="EF105" s="37" t="n">
        <f aca="false">IF(EF6=①통합_가정!$E$14,①통합_가정!$E$454*①통합_가정!$J$485,0)</f>
        <v>0</v>
      </c>
    </row>
    <row r="106" customFormat="false" ht="15" hidden="false" customHeight="false" outlineLevel="0" collapsed="false">
      <c r="A106" s="153" t="s">
        <v>645</v>
      </c>
      <c r="B106" s="278" t="s">
        <v>21</v>
      </c>
      <c r="C106" s="279" t="n">
        <f aca="false">SUM(E106:EF106)</f>
        <v>17629.9193834191</v>
      </c>
      <c r="E106" s="37" t="n">
        <f aca="false">0*①통합_가정!$K$483/12</f>
        <v>0</v>
      </c>
      <c r="F106" s="37" t="n">
        <f aca="false">E121*①통합_가정!$K$483/12</f>
        <v>0</v>
      </c>
      <c r="G106" s="37" t="n">
        <f aca="false">F121*①통합_가정!$K$483/12</f>
        <v>0</v>
      </c>
      <c r="H106" s="37" t="n">
        <f aca="false">G121*①통합_가정!$K$483/12</f>
        <v>0</v>
      </c>
      <c r="I106" s="37" t="n">
        <f aca="false">H121*①통합_가정!$K$483/12</f>
        <v>0</v>
      </c>
      <c r="J106" s="37" t="n">
        <f aca="false">I121*①통합_가정!$K$483/12</f>
        <v>0</v>
      </c>
      <c r="K106" s="37" t="n">
        <f aca="false">J121*①통합_가정!$K$483/12</f>
        <v>0</v>
      </c>
      <c r="L106" s="37" t="n">
        <f aca="false">K121*①통합_가정!$K$483/12</f>
        <v>0</v>
      </c>
      <c r="M106" s="37" t="n">
        <f aca="false">L121*①통합_가정!$K$483/12</f>
        <v>0</v>
      </c>
      <c r="N106" s="37" t="n">
        <f aca="false">M121*①통합_가정!$K$483/12</f>
        <v>0</v>
      </c>
      <c r="O106" s="37" t="n">
        <f aca="false">N121*①통합_가정!$K$483/12</f>
        <v>0</v>
      </c>
      <c r="P106" s="37" t="n">
        <f aca="false">O121*①통합_가정!$K$483/12</f>
        <v>0</v>
      </c>
      <c r="Q106" s="37" t="n">
        <f aca="false">P121*①통합_가정!$K$483/12</f>
        <v>0</v>
      </c>
      <c r="R106" s="37" t="n">
        <f aca="false">Q121*①통합_가정!$K$483/12</f>
        <v>0</v>
      </c>
      <c r="S106" s="37" t="n">
        <f aca="false">R121*①통합_가정!$K$483/12</f>
        <v>0</v>
      </c>
      <c r="T106" s="37" t="n">
        <f aca="false">S121*①통합_가정!$K$483/12</f>
        <v>0</v>
      </c>
      <c r="U106" s="37" t="n">
        <f aca="false">T121*①통합_가정!$K$483/12</f>
        <v>0</v>
      </c>
      <c r="V106" s="37" t="n">
        <f aca="false">U121*①통합_가정!$K$483/12</f>
        <v>0</v>
      </c>
      <c r="W106" s="37" t="n">
        <f aca="false">V121*①통합_가정!$K$483/12</f>
        <v>0</v>
      </c>
      <c r="X106" s="37" t="n">
        <f aca="false">W121*①통합_가정!$K$483/12</f>
        <v>0</v>
      </c>
      <c r="Y106" s="37" t="n">
        <f aca="false">X121*①통합_가정!$K$483/12</f>
        <v>0</v>
      </c>
      <c r="Z106" s="37" t="n">
        <f aca="false">Y121*①통합_가정!$K$483/12</f>
        <v>0</v>
      </c>
      <c r="AA106" s="37" t="n">
        <f aca="false">Z121*①통합_가정!$K$483/12</f>
        <v>0</v>
      </c>
      <c r="AB106" s="37" t="n">
        <f aca="false">AA121*①통합_가정!$K$483/12</f>
        <v>0</v>
      </c>
      <c r="AC106" s="37" t="n">
        <f aca="false">AB121*①통합_가정!$K$483/12</f>
        <v>0</v>
      </c>
      <c r="AD106" s="37" t="n">
        <f aca="false">AC121*①통합_가정!$K$483/12</f>
        <v>0</v>
      </c>
      <c r="AE106" s="37" t="n">
        <f aca="false">AD121*①통합_가정!$K$483/12</f>
        <v>0</v>
      </c>
      <c r="AF106" s="37" t="n">
        <f aca="false">AE121*①통합_가정!$K$483/12</f>
        <v>0</v>
      </c>
      <c r="AG106" s="37" t="n">
        <f aca="false">AF121*①통합_가정!$K$483/12</f>
        <v>0</v>
      </c>
      <c r="AH106" s="37" t="n">
        <f aca="false">AG121*①통합_가정!$K$483/12</f>
        <v>0</v>
      </c>
      <c r="AI106" s="37" t="n">
        <f aca="false">AH121*①통합_가정!$K$483/12</f>
        <v>0</v>
      </c>
      <c r="AJ106" s="37" t="n">
        <f aca="false">AI121*①통합_가정!$K$483/12</f>
        <v>0</v>
      </c>
      <c r="AK106" s="37" t="n">
        <f aca="false">AJ121*①통합_가정!$K$483/12</f>
        <v>0</v>
      </c>
      <c r="AL106" s="37" t="n">
        <f aca="false">AK121*①통합_가정!$K$483/12</f>
        <v>0</v>
      </c>
      <c r="AM106" s="37" t="n">
        <f aca="false">AL121*①통합_가정!$K$483/12</f>
        <v>0</v>
      </c>
      <c r="AN106" s="37" t="n">
        <f aca="false">AM121*①통합_가정!$K$483/12</f>
        <v>0</v>
      </c>
      <c r="AO106" s="37" t="n">
        <f aca="false">AN121*①통합_가정!$K$483/12</f>
        <v>0</v>
      </c>
      <c r="AP106" s="37" t="n">
        <f aca="false">AO121*①통합_가정!$K$483/12</f>
        <v>0</v>
      </c>
      <c r="AQ106" s="37" t="n">
        <f aca="false">AP121*①통합_가정!$K$483/12</f>
        <v>0</v>
      </c>
      <c r="AR106" s="37" t="n">
        <f aca="false">AQ121*①통합_가정!$K$483/12</f>
        <v>0</v>
      </c>
      <c r="AS106" s="37" t="n">
        <f aca="false">AR121*①통합_가정!$K$483/12</f>
        <v>0</v>
      </c>
      <c r="AT106" s="37" t="n">
        <f aca="false">AS121*①통합_가정!$K$483/12</f>
        <v>0</v>
      </c>
      <c r="AU106" s="37" t="n">
        <f aca="false">AT121*①통합_가정!$K$483/12</f>
        <v>0</v>
      </c>
      <c r="AV106" s="37" t="n">
        <f aca="false">AU121*①통합_가정!$K$483/12</f>
        <v>43.6729620395952</v>
      </c>
      <c r="AW106" s="37" t="n">
        <f aca="false">AV121*①통합_가정!$K$483/12</f>
        <v>259.935273762745</v>
      </c>
      <c r="AX106" s="37" t="n">
        <f aca="false">AW121*①통합_가정!$K$483/12</f>
        <v>471.573866201201</v>
      </c>
      <c r="AY106" s="37" t="n">
        <f aca="false">AX121*①통합_가정!$K$483/12</f>
        <v>677.495282976415</v>
      </c>
      <c r="AZ106" s="37" t="n">
        <f aca="false">AY121*①통합_가정!$K$483/12</f>
        <v>876.638491037645</v>
      </c>
      <c r="BA106" s="37" t="n">
        <f aca="false">AZ121*①통합_가정!$K$483/12</f>
        <v>1067.98081664198</v>
      </c>
      <c r="BB106" s="37" t="n">
        <f aca="false">BA121*①통합_가정!$K$483/12</f>
        <v>1067.98081664198</v>
      </c>
      <c r="BC106" s="37" t="n">
        <f aca="false">BB121*①통합_가정!$K$483/12</f>
        <v>1067.98081664198</v>
      </c>
      <c r="BD106" s="37" t="n">
        <f aca="false">BC121*①통합_가정!$K$483/12</f>
        <v>1067.98081664198</v>
      </c>
      <c r="BE106" s="37" t="n">
        <f aca="false">BD121*①통합_가정!$K$483/12</f>
        <v>1067.98081664198</v>
      </c>
      <c r="BF106" s="37" t="n">
        <f aca="false">BE121*①통합_가정!$K$483/12</f>
        <v>1126.22891496881</v>
      </c>
      <c r="BG106" s="37" t="n">
        <f aca="false">BF121*①통합_가정!$K$483/12</f>
        <v>1248.38004440973</v>
      </c>
      <c r="BH106" s="37" t="n">
        <f aca="false">BG121*①통합_가정!$K$483/12</f>
        <v>1357.07273157749</v>
      </c>
      <c r="BI106" s="37" t="n">
        <f aca="false">BH121*①통합_가정!$K$483/12</f>
        <v>1451.77270066012</v>
      </c>
      <c r="BJ106" s="37" t="n">
        <f aca="false">BI121*①통합_가정!$K$483/12</f>
        <v>1532.02429669013</v>
      </c>
      <c r="BK106" s="37" t="n">
        <f aca="false">BJ121*①통합_가정!$K$483/12</f>
        <v>1597.45303559126</v>
      </c>
      <c r="BL106" s="37" t="n">
        <f aca="false">BK121*①통합_가정!$K$483/12</f>
        <v>1647.76770029407</v>
      </c>
      <c r="BM106" s="37" t="n">
        <f aca="false">BL121*①통합_가정!$K$483/12</f>
        <v>0</v>
      </c>
      <c r="BN106" s="37" t="n">
        <f aca="false">BM121*①통합_가정!$K$483/12</f>
        <v>0</v>
      </c>
      <c r="BO106" s="37" t="n">
        <f aca="false">BN121*①통합_가정!$K$483/12</f>
        <v>0</v>
      </c>
      <c r="BP106" s="37" t="n">
        <f aca="false">BO121*①통합_가정!$K$483/12</f>
        <v>0</v>
      </c>
      <c r="BQ106" s="37" t="n">
        <f aca="false">BP121*①통합_가정!$K$483/12</f>
        <v>0</v>
      </c>
      <c r="BR106" s="37" t="n">
        <f aca="false">BQ121*①통합_가정!$K$483/12</f>
        <v>0</v>
      </c>
      <c r="BS106" s="37" t="n">
        <f aca="false">BR121*①통합_가정!$K$483/12</f>
        <v>0</v>
      </c>
      <c r="BT106" s="37" t="n">
        <f aca="false">BS121*①통합_가정!$K$483/12</f>
        <v>0</v>
      </c>
      <c r="BU106" s="37" t="n">
        <f aca="false">BT121*①통합_가정!$K$483/12</f>
        <v>0</v>
      </c>
      <c r="BV106" s="37" t="n">
        <f aca="false">BU121*①통합_가정!$K$483/12</f>
        <v>0</v>
      </c>
      <c r="BW106" s="37" t="n">
        <f aca="false">BV121*①통합_가정!$K$483/12</f>
        <v>0</v>
      </c>
      <c r="BX106" s="37" t="n">
        <f aca="false">BW121*①통합_가정!$K$483/12</f>
        <v>0</v>
      </c>
      <c r="BY106" s="37" t="n">
        <f aca="false">BX121*①통합_가정!$K$483/12</f>
        <v>0</v>
      </c>
      <c r="BZ106" s="37" t="n">
        <f aca="false">BY121*①통합_가정!$K$483/12</f>
        <v>0</v>
      </c>
      <c r="CA106" s="37" t="n">
        <f aca="false">BZ121*①통합_가정!$K$483/12</f>
        <v>0</v>
      </c>
      <c r="CB106" s="37" t="n">
        <f aca="false">CA121*①통합_가정!$K$483/12</f>
        <v>0</v>
      </c>
      <c r="CC106" s="37" t="n">
        <f aca="false">CB121*①통합_가정!$K$483/12</f>
        <v>0</v>
      </c>
      <c r="CD106" s="37" t="n">
        <f aca="false">CC121*①통합_가정!$K$483/12</f>
        <v>0</v>
      </c>
      <c r="CE106" s="37" t="n">
        <f aca="false">CD121*①통합_가정!$K$483/12</f>
        <v>0</v>
      </c>
      <c r="CF106" s="37" t="n">
        <f aca="false">CE121*①통합_가정!$K$483/12</f>
        <v>0</v>
      </c>
      <c r="CG106" s="37" t="n">
        <f aca="false">CF121*①통합_가정!$K$483/12</f>
        <v>0</v>
      </c>
      <c r="CH106" s="37" t="n">
        <f aca="false">CG121*①통합_가정!$K$483/12</f>
        <v>0</v>
      </c>
      <c r="CI106" s="37" t="n">
        <f aca="false">CH121*①통합_가정!$K$483/12</f>
        <v>0</v>
      </c>
      <c r="CJ106" s="37" t="n">
        <f aca="false">CI121*①통합_가정!$K$483/12</f>
        <v>0</v>
      </c>
      <c r="CK106" s="37" t="n">
        <f aca="false">CJ121*①통합_가정!$K$483/12</f>
        <v>0</v>
      </c>
      <c r="CL106" s="37" t="n">
        <f aca="false">CK121*①통합_가정!$K$483/12</f>
        <v>0</v>
      </c>
      <c r="CM106" s="37" t="n">
        <f aca="false">CL121*①통합_가정!$K$483/12</f>
        <v>0</v>
      </c>
      <c r="CN106" s="37" t="n">
        <f aca="false">CM121*①통합_가정!$K$483/12</f>
        <v>0</v>
      </c>
      <c r="CO106" s="37" t="n">
        <f aca="false">CN121*①통합_가정!$K$483/12</f>
        <v>0</v>
      </c>
      <c r="CP106" s="37" t="n">
        <f aca="false">CO121*①통합_가정!$K$483/12</f>
        <v>0</v>
      </c>
      <c r="CQ106" s="37" t="n">
        <f aca="false">CP121*①통합_가정!$K$483/12</f>
        <v>0</v>
      </c>
      <c r="CR106" s="37" t="n">
        <f aca="false">CQ121*①통합_가정!$K$483/12</f>
        <v>0</v>
      </c>
      <c r="CS106" s="37" t="n">
        <f aca="false">CR121*①통합_가정!$K$483/12</f>
        <v>0</v>
      </c>
      <c r="CT106" s="37" t="n">
        <f aca="false">CS121*①통합_가정!$K$483/12</f>
        <v>0</v>
      </c>
      <c r="CU106" s="37" t="n">
        <f aca="false">CT121*①통합_가정!$K$483/12</f>
        <v>0</v>
      </c>
      <c r="CV106" s="37" t="n">
        <f aca="false">CU121*①통합_가정!$K$483/12</f>
        <v>0</v>
      </c>
      <c r="CW106" s="37" t="n">
        <f aca="false">CV121*①통합_가정!$K$483/12</f>
        <v>0</v>
      </c>
      <c r="CX106" s="37" t="n">
        <f aca="false">CW121*①통합_가정!$K$483/12</f>
        <v>0</v>
      </c>
      <c r="CY106" s="37" t="n">
        <f aca="false">CX121*①통합_가정!$K$483/12</f>
        <v>0</v>
      </c>
      <c r="CZ106" s="37" t="n">
        <f aca="false">CY121*①통합_가정!$K$483/12</f>
        <v>0</v>
      </c>
      <c r="DA106" s="37" t="n">
        <f aca="false">CZ121*①통합_가정!$K$483/12</f>
        <v>0</v>
      </c>
      <c r="DB106" s="37" t="n">
        <f aca="false">DA121*①통합_가정!$K$483/12</f>
        <v>0</v>
      </c>
      <c r="DC106" s="37" t="n">
        <f aca="false">DB121*①통합_가정!$K$483/12</f>
        <v>0</v>
      </c>
      <c r="DD106" s="37" t="n">
        <f aca="false">DC121*①통합_가정!$K$483/12</f>
        <v>0</v>
      </c>
      <c r="DE106" s="37" t="n">
        <f aca="false">DD121*①통합_가정!$K$483/12</f>
        <v>0</v>
      </c>
      <c r="DF106" s="37" t="n">
        <f aca="false">DE121*①통합_가정!$K$483/12</f>
        <v>0</v>
      </c>
      <c r="DG106" s="37" t="n">
        <f aca="false">DF121*①통합_가정!$K$483/12</f>
        <v>0</v>
      </c>
      <c r="DH106" s="37" t="n">
        <f aca="false">DG121*①통합_가정!$K$483/12</f>
        <v>0</v>
      </c>
      <c r="DI106" s="37" t="n">
        <f aca="false">DH121*①통합_가정!$K$483/12</f>
        <v>0</v>
      </c>
      <c r="DJ106" s="37" t="n">
        <f aca="false">DI121*①통합_가정!$K$483/12</f>
        <v>0</v>
      </c>
      <c r="DK106" s="37" t="n">
        <f aca="false">DJ121*①통합_가정!$K$483/12</f>
        <v>0</v>
      </c>
      <c r="DL106" s="37" t="n">
        <f aca="false">DK121*①통합_가정!$K$483/12</f>
        <v>0</v>
      </c>
      <c r="DM106" s="37" t="n">
        <f aca="false">DL121*①통합_가정!$K$483/12</f>
        <v>0</v>
      </c>
      <c r="DN106" s="37" t="n">
        <f aca="false">DM121*①통합_가정!$K$483/12</f>
        <v>0</v>
      </c>
      <c r="DO106" s="37" t="n">
        <f aca="false">DN121*①통합_가정!$K$483/12</f>
        <v>0</v>
      </c>
      <c r="DP106" s="37" t="n">
        <f aca="false">DO121*①통합_가정!$K$483/12</f>
        <v>0</v>
      </c>
      <c r="DQ106" s="37" t="n">
        <f aca="false">DP121*①통합_가정!$K$483/12</f>
        <v>0</v>
      </c>
      <c r="DR106" s="37" t="n">
        <f aca="false">DQ121*①통합_가정!$K$483/12</f>
        <v>0</v>
      </c>
      <c r="DS106" s="37" t="n">
        <f aca="false">DR121*①통합_가정!$K$483/12</f>
        <v>0</v>
      </c>
      <c r="DT106" s="37" t="n">
        <f aca="false">DS121*①통합_가정!$K$483/12</f>
        <v>0</v>
      </c>
      <c r="DU106" s="37" t="n">
        <f aca="false">DT121*①통합_가정!$K$483/12</f>
        <v>0</v>
      </c>
      <c r="DV106" s="37" t="n">
        <f aca="false">DU121*①통합_가정!$K$483/12</f>
        <v>0</v>
      </c>
      <c r="DW106" s="37" t="n">
        <f aca="false">DV121*①통합_가정!$K$483/12</f>
        <v>0</v>
      </c>
      <c r="DX106" s="37" t="n">
        <f aca="false">DW121*①통합_가정!$K$483/12</f>
        <v>0</v>
      </c>
      <c r="DY106" s="37" t="n">
        <f aca="false">DX121*①통합_가정!$K$483/12</f>
        <v>0</v>
      </c>
      <c r="DZ106" s="37" t="n">
        <f aca="false">DY121*①통합_가정!$K$483/12</f>
        <v>0</v>
      </c>
      <c r="EA106" s="37" t="n">
        <f aca="false">DZ121*①통합_가정!$K$483/12</f>
        <v>0</v>
      </c>
      <c r="EB106" s="37" t="n">
        <f aca="false">EA121*①통합_가정!$K$483/12</f>
        <v>0</v>
      </c>
      <c r="EC106" s="37" t="n">
        <f aca="false">EB121*①통합_가정!$K$483/12</f>
        <v>0</v>
      </c>
      <c r="ED106" s="37" t="n">
        <f aca="false">EC121*①통합_가정!$K$483/12</f>
        <v>0</v>
      </c>
      <c r="EE106" s="37" t="n">
        <f aca="false">ED121*①통합_가정!$K$483/12</f>
        <v>0</v>
      </c>
      <c r="EF106" s="37" t="n">
        <f aca="false">EE121*①통합_가정!$K$483/12</f>
        <v>0</v>
      </c>
    </row>
    <row r="107" customFormat="false" ht="15" hidden="false" customHeight="false" outlineLevel="0" collapsed="false">
      <c r="A107" s="153" t="s">
        <v>646</v>
      </c>
      <c r="B107" s="278" t="s">
        <v>21</v>
      </c>
      <c r="C107" s="279" t="n">
        <f aca="false">SUM(E107:EF107)</f>
        <v>19183.8893589828</v>
      </c>
      <c r="E107" s="37" t="n">
        <f aca="false">0*①통합_가정!$K$484/12</f>
        <v>0</v>
      </c>
      <c r="F107" s="37" t="n">
        <f aca="false">E122*①통합_가정!$K$484/12</f>
        <v>0</v>
      </c>
      <c r="G107" s="37" t="n">
        <f aca="false">F122*①통합_가정!$K$484/12</f>
        <v>0</v>
      </c>
      <c r="H107" s="37" t="n">
        <f aca="false">G122*①통합_가정!$K$484/12</f>
        <v>0</v>
      </c>
      <c r="I107" s="37" t="n">
        <f aca="false">H122*①통합_가정!$K$484/12</f>
        <v>0</v>
      </c>
      <c r="J107" s="37" t="n">
        <f aca="false">I122*①통합_가정!$K$484/12</f>
        <v>0</v>
      </c>
      <c r="K107" s="37" t="n">
        <f aca="false">J122*①통합_가정!$K$484/12</f>
        <v>0</v>
      </c>
      <c r="L107" s="37" t="n">
        <f aca="false">K122*①통합_가정!$K$484/12</f>
        <v>0</v>
      </c>
      <c r="M107" s="37" t="n">
        <f aca="false">L122*①통합_가정!$K$484/12</f>
        <v>0</v>
      </c>
      <c r="N107" s="37" t="n">
        <f aca="false">M122*①통합_가정!$K$484/12</f>
        <v>0</v>
      </c>
      <c r="O107" s="37" t="n">
        <f aca="false">N122*①통합_가정!$K$484/12</f>
        <v>0</v>
      </c>
      <c r="P107" s="37" t="n">
        <f aca="false">O122*①통합_가정!$K$484/12</f>
        <v>0</v>
      </c>
      <c r="Q107" s="37" t="n">
        <f aca="false">P122*①통합_가정!$K$484/12</f>
        <v>0</v>
      </c>
      <c r="R107" s="37" t="n">
        <f aca="false">Q122*①통합_가정!$K$484/12</f>
        <v>0</v>
      </c>
      <c r="S107" s="37" t="n">
        <f aca="false">R122*①통합_가정!$K$484/12</f>
        <v>0</v>
      </c>
      <c r="T107" s="37" t="n">
        <f aca="false">S122*①통합_가정!$K$484/12</f>
        <v>0</v>
      </c>
      <c r="U107" s="37" t="n">
        <f aca="false">T122*①통합_가정!$K$484/12</f>
        <v>0</v>
      </c>
      <c r="V107" s="37" t="n">
        <f aca="false">U122*①통합_가정!$K$484/12</f>
        <v>0</v>
      </c>
      <c r="W107" s="37" t="n">
        <f aca="false">V122*①통합_가정!$K$484/12</f>
        <v>0</v>
      </c>
      <c r="X107" s="37" t="n">
        <f aca="false">W122*①통합_가정!$K$484/12</f>
        <v>0</v>
      </c>
      <c r="Y107" s="37" t="n">
        <f aca="false">X122*①통합_가정!$K$484/12</f>
        <v>0</v>
      </c>
      <c r="Z107" s="37" t="n">
        <f aca="false">Y122*①통합_가정!$K$484/12</f>
        <v>0</v>
      </c>
      <c r="AA107" s="37" t="n">
        <f aca="false">Z122*①통합_가정!$K$484/12</f>
        <v>0</v>
      </c>
      <c r="AB107" s="37" t="n">
        <f aca="false">AA122*①통합_가정!$K$484/12</f>
        <v>0</v>
      </c>
      <c r="AC107" s="37" t="n">
        <f aca="false">AB122*①통합_가정!$K$484/12</f>
        <v>0</v>
      </c>
      <c r="AD107" s="37" t="n">
        <f aca="false">AC122*①통합_가정!$K$484/12</f>
        <v>0</v>
      </c>
      <c r="AE107" s="37" t="n">
        <f aca="false">AD122*①통합_가정!$K$484/12</f>
        <v>0</v>
      </c>
      <c r="AF107" s="37" t="n">
        <f aca="false">AE122*①통합_가정!$K$484/12</f>
        <v>0</v>
      </c>
      <c r="AG107" s="37" t="n">
        <f aca="false">AF122*①통합_가정!$K$484/12</f>
        <v>0</v>
      </c>
      <c r="AH107" s="37" t="n">
        <f aca="false">AG122*①통합_가정!$K$484/12</f>
        <v>0</v>
      </c>
      <c r="AI107" s="37" t="n">
        <f aca="false">AH122*①통합_가정!$K$484/12</f>
        <v>0</v>
      </c>
      <c r="AJ107" s="37" t="n">
        <f aca="false">AI122*①통합_가정!$K$484/12</f>
        <v>0</v>
      </c>
      <c r="AK107" s="37" t="n">
        <f aca="false">AJ122*①통합_가정!$K$484/12</f>
        <v>0</v>
      </c>
      <c r="AL107" s="37" t="n">
        <f aca="false">AK122*①통합_가정!$K$484/12</f>
        <v>0</v>
      </c>
      <c r="AM107" s="37" t="n">
        <f aca="false">AL122*①통합_가정!$K$484/12</f>
        <v>0</v>
      </c>
      <c r="AN107" s="37" t="n">
        <f aca="false">AM122*①통합_가정!$K$484/12</f>
        <v>0</v>
      </c>
      <c r="AO107" s="37" t="n">
        <f aca="false">AN122*①통합_가정!$K$484/12</f>
        <v>134.969374414612</v>
      </c>
      <c r="AP107" s="37" t="n">
        <f aca="false">AO122*①통합_가정!$K$484/12</f>
        <v>134.969374414612</v>
      </c>
      <c r="AQ107" s="37" t="n">
        <f aca="false">AP122*①통합_가정!$K$484/12</f>
        <v>134.969374414612</v>
      </c>
      <c r="AR107" s="37" t="n">
        <f aca="false">AQ122*①통합_가정!$K$484/12</f>
        <v>134.969374414612</v>
      </c>
      <c r="AS107" s="37" t="n">
        <f aca="false">AR122*①통합_가정!$K$484/12</f>
        <v>302.103771990129</v>
      </c>
      <c r="AT107" s="37" t="n">
        <f aca="false">AS122*①통합_가정!$K$484/12</f>
        <v>552.472663660212</v>
      </c>
      <c r="AU107" s="37" t="n">
        <f aca="false">AT122*①통합_가정!$K$484/12</f>
        <v>801.646475370502</v>
      </c>
      <c r="AV107" s="37" t="n">
        <f aca="false">AU122*①통합_가정!$K$484/12</f>
        <v>999.281702959028</v>
      </c>
      <c r="AW107" s="37" t="n">
        <f aca="false">AV122*①통합_가정!$K$484/12</f>
        <v>999.281702959028</v>
      </c>
      <c r="AX107" s="37" t="n">
        <f aca="false">AW122*①통합_가정!$K$484/12</f>
        <v>999.281702959028</v>
      </c>
      <c r="AY107" s="37" t="n">
        <f aca="false">AX122*①통합_가정!$K$484/12</f>
        <v>999.281702959028</v>
      </c>
      <c r="AZ107" s="37" t="n">
        <f aca="false">AY122*①통합_가정!$K$484/12</f>
        <v>999.281702959028</v>
      </c>
      <c r="BA107" s="37" t="n">
        <f aca="false">AZ122*①통합_가정!$K$484/12</f>
        <v>999.281702959028</v>
      </c>
      <c r="BB107" s="37" t="n">
        <f aca="false">BA122*①통합_가정!$K$484/12</f>
        <v>999.281702959028</v>
      </c>
      <c r="BC107" s="37" t="n">
        <f aca="false">BB122*①통합_가정!$K$484/12</f>
        <v>999.281702959028</v>
      </c>
      <c r="BD107" s="37" t="n">
        <f aca="false">BC122*①통합_가정!$K$484/12</f>
        <v>999.281702959028</v>
      </c>
      <c r="BE107" s="37" t="n">
        <f aca="false">BD122*①통합_가정!$K$484/12</f>
        <v>999.281702959028</v>
      </c>
      <c r="BF107" s="37" t="n">
        <f aca="false">BE122*①통합_가정!$K$484/12</f>
        <v>999.281702959028</v>
      </c>
      <c r="BG107" s="37" t="n">
        <f aca="false">BF122*①통합_가정!$K$484/12</f>
        <v>999.281702959028</v>
      </c>
      <c r="BH107" s="37" t="n">
        <f aca="false">BG122*①통합_가정!$K$484/12</f>
        <v>999.281702959028</v>
      </c>
      <c r="BI107" s="37" t="n">
        <f aca="false">BH122*①통합_가정!$K$484/12</f>
        <v>999.281702959028</v>
      </c>
      <c r="BJ107" s="37" t="n">
        <f aca="false">BI122*①통합_가정!$K$484/12</f>
        <v>999.281702959028</v>
      </c>
      <c r="BK107" s="37" t="n">
        <f aca="false">BJ122*①통합_가정!$K$484/12</f>
        <v>999.281702959028</v>
      </c>
      <c r="BL107" s="37" t="n">
        <f aca="false">BK122*①통합_가정!$K$484/12</f>
        <v>999.281702959028</v>
      </c>
      <c r="BM107" s="37" t="n">
        <f aca="false">BL122*①통합_가정!$K$484/12</f>
        <v>0</v>
      </c>
      <c r="BN107" s="37" t="n">
        <f aca="false">BM122*①통합_가정!$K$484/12</f>
        <v>0</v>
      </c>
      <c r="BO107" s="37" t="n">
        <f aca="false">BN122*①통합_가정!$K$484/12</f>
        <v>0</v>
      </c>
      <c r="BP107" s="37" t="n">
        <f aca="false">BO122*①통합_가정!$K$484/12</f>
        <v>0</v>
      </c>
      <c r="BQ107" s="37" t="n">
        <f aca="false">BP122*①통합_가정!$K$484/12</f>
        <v>0</v>
      </c>
      <c r="BR107" s="37" t="n">
        <f aca="false">BQ122*①통합_가정!$K$484/12</f>
        <v>0</v>
      </c>
      <c r="BS107" s="37" t="n">
        <f aca="false">BR122*①통합_가정!$K$484/12</f>
        <v>0</v>
      </c>
      <c r="BT107" s="37" t="n">
        <f aca="false">BS122*①통합_가정!$K$484/12</f>
        <v>0</v>
      </c>
      <c r="BU107" s="37" t="n">
        <f aca="false">BT122*①통합_가정!$K$484/12</f>
        <v>0</v>
      </c>
      <c r="BV107" s="37" t="n">
        <f aca="false">BU122*①통합_가정!$K$484/12</f>
        <v>0</v>
      </c>
      <c r="BW107" s="37" t="n">
        <f aca="false">BV122*①통합_가정!$K$484/12</f>
        <v>0</v>
      </c>
      <c r="BX107" s="37" t="n">
        <f aca="false">BW122*①통합_가정!$K$484/12</f>
        <v>0</v>
      </c>
      <c r="BY107" s="37" t="n">
        <f aca="false">BX122*①통합_가정!$K$484/12</f>
        <v>0</v>
      </c>
      <c r="BZ107" s="37" t="n">
        <f aca="false">BY122*①통합_가정!$K$484/12</f>
        <v>0</v>
      </c>
      <c r="CA107" s="37" t="n">
        <f aca="false">BZ122*①통합_가정!$K$484/12</f>
        <v>0</v>
      </c>
      <c r="CB107" s="37" t="n">
        <f aca="false">CA122*①통합_가정!$K$484/12</f>
        <v>0</v>
      </c>
      <c r="CC107" s="37" t="n">
        <f aca="false">CB122*①통합_가정!$K$484/12</f>
        <v>0</v>
      </c>
      <c r="CD107" s="37" t="n">
        <f aca="false">CC122*①통합_가정!$K$484/12</f>
        <v>0</v>
      </c>
      <c r="CE107" s="37" t="n">
        <f aca="false">CD122*①통합_가정!$K$484/12</f>
        <v>0</v>
      </c>
      <c r="CF107" s="37" t="n">
        <f aca="false">CE122*①통합_가정!$K$484/12</f>
        <v>0</v>
      </c>
      <c r="CG107" s="37" t="n">
        <f aca="false">CF122*①통합_가정!$K$484/12</f>
        <v>0</v>
      </c>
      <c r="CH107" s="37" t="n">
        <f aca="false">CG122*①통합_가정!$K$484/12</f>
        <v>0</v>
      </c>
      <c r="CI107" s="37" t="n">
        <f aca="false">CH122*①통합_가정!$K$484/12</f>
        <v>0</v>
      </c>
      <c r="CJ107" s="37" t="n">
        <f aca="false">CI122*①통합_가정!$K$484/12</f>
        <v>0</v>
      </c>
      <c r="CK107" s="37" t="n">
        <f aca="false">CJ122*①통합_가정!$K$484/12</f>
        <v>0</v>
      </c>
      <c r="CL107" s="37" t="n">
        <f aca="false">CK122*①통합_가정!$K$484/12</f>
        <v>0</v>
      </c>
      <c r="CM107" s="37" t="n">
        <f aca="false">CL122*①통합_가정!$K$484/12</f>
        <v>0</v>
      </c>
      <c r="CN107" s="37" t="n">
        <f aca="false">CM122*①통합_가정!$K$484/12</f>
        <v>0</v>
      </c>
      <c r="CO107" s="37" t="n">
        <f aca="false">CN122*①통합_가정!$K$484/12</f>
        <v>0</v>
      </c>
      <c r="CP107" s="37" t="n">
        <f aca="false">CO122*①통합_가정!$K$484/12</f>
        <v>0</v>
      </c>
      <c r="CQ107" s="37" t="n">
        <f aca="false">CP122*①통합_가정!$K$484/12</f>
        <v>0</v>
      </c>
      <c r="CR107" s="37" t="n">
        <f aca="false">CQ122*①통합_가정!$K$484/12</f>
        <v>0</v>
      </c>
      <c r="CS107" s="37" t="n">
        <f aca="false">CR122*①통합_가정!$K$484/12</f>
        <v>0</v>
      </c>
      <c r="CT107" s="37" t="n">
        <f aca="false">CS122*①통합_가정!$K$484/12</f>
        <v>0</v>
      </c>
      <c r="CU107" s="37" t="n">
        <f aca="false">CT122*①통합_가정!$K$484/12</f>
        <v>0</v>
      </c>
      <c r="CV107" s="37" t="n">
        <f aca="false">CU122*①통합_가정!$K$484/12</f>
        <v>0</v>
      </c>
      <c r="CW107" s="37" t="n">
        <f aca="false">CV122*①통합_가정!$K$484/12</f>
        <v>0</v>
      </c>
      <c r="CX107" s="37" t="n">
        <f aca="false">CW122*①통합_가정!$K$484/12</f>
        <v>0</v>
      </c>
      <c r="CY107" s="37" t="n">
        <f aca="false">CX122*①통합_가정!$K$484/12</f>
        <v>0</v>
      </c>
      <c r="CZ107" s="37" t="n">
        <f aca="false">CY122*①통합_가정!$K$484/12</f>
        <v>0</v>
      </c>
      <c r="DA107" s="37" t="n">
        <f aca="false">CZ122*①통합_가정!$K$484/12</f>
        <v>0</v>
      </c>
      <c r="DB107" s="37" t="n">
        <f aca="false">DA122*①통합_가정!$K$484/12</f>
        <v>0</v>
      </c>
      <c r="DC107" s="37" t="n">
        <f aca="false">DB122*①통합_가정!$K$484/12</f>
        <v>0</v>
      </c>
      <c r="DD107" s="37" t="n">
        <f aca="false">DC122*①통합_가정!$K$484/12</f>
        <v>0</v>
      </c>
      <c r="DE107" s="37" t="n">
        <f aca="false">DD122*①통합_가정!$K$484/12</f>
        <v>0</v>
      </c>
      <c r="DF107" s="37" t="n">
        <f aca="false">DE122*①통합_가정!$K$484/12</f>
        <v>0</v>
      </c>
      <c r="DG107" s="37" t="n">
        <f aca="false">DF122*①통합_가정!$K$484/12</f>
        <v>0</v>
      </c>
      <c r="DH107" s="37" t="n">
        <f aca="false">DG122*①통합_가정!$K$484/12</f>
        <v>0</v>
      </c>
      <c r="DI107" s="37" t="n">
        <f aca="false">DH122*①통합_가정!$K$484/12</f>
        <v>0</v>
      </c>
      <c r="DJ107" s="37" t="n">
        <f aca="false">DI122*①통합_가정!$K$484/12</f>
        <v>0</v>
      </c>
      <c r="DK107" s="37" t="n">
        <f aca="false">DJ122*①통합_가정!$K$484/12</f>
        <v>0</v>
      </c>
      <c r="DL107" s="37" t="n">
        <f aca="false">DK122*①통합_가정!$K$484/12</f>
        <v>0</v>
      </c>
      <c r="DM107" s="37" t="n">
        <f aca="false">DL122*①통합_가정!$K$484/12</f>
        <v>0</v>
      </c>
      <c r="DN107" s="37" t="n">
        <f aca="false">DM122*①통합_가정!$K$484/12</f>
        <v>0</v>
      </c>
      <c r="DO107" s="37" t="n">
        <f aca="false">DN122*①통합_가정!$K$484/12</f>
        <v>0</v>
      </c>
      <c r="DP107" s="37" t="n">
        <f aca="false">DO122*①통합_가정!$K$484/12</f>
        <v>0</v>
      </c>
      <c r="DQ107" s="37" t="n">
        <f aca="false">DP122*①통합_가정!$K$484/12</f>
        <v>0</v>
      </c>
      <c r="DR107" s="37" t="n">
        <f aca="false">DQ122*①통합_가정!$K$484/12</f>
        <v>0</v>
      </c>
      <c r="DS107" s="37" t="n">
        <f aca="false">DR122*①통합_가정!$K$484/12</f>
        <v>0</v>
      </c>
      <c r="DT107" s="37" t="n">
        <f aca="false">DS122*①통합_가정!$K$484/12</f>
        <v>0</v>
      </c>
      <c r="DU107" s="37" t="n">
        <f aca="false">DT122*①통합_가정!$K$484/12</f>
        <v>0</v>
      </c>
      <c r="DV107" s="37" t="n">
        <f aca="false">DU122*①통합_가정!$K$484/12</f>
        <v>0</v>
      </c>
      <c r="DW107" s="37" t="n">
        <f aca="false">DV122*①통합_가정!$K$484/12</f>
        <v>0</v>
      </c>
      <c r="DX107" s="37" t="n">
        <f aca="false">DW122*①통합_가정!$K$484/12</f>
        <v>0</v>
      </c>
      <c r="DY107" s="37" t="n">
        <f aca="false">DX122*①통합_가정!$K$484/12</f>
        <v>0</v>
      </c>
      <c r="DZ107" s="37" t="n">
        <f aca="false">DY122*①통합_가정!$K$484/12</f>
        <v>0</v>
      </c>
      <c r="EA107" s="37" t="n">
        <f aca="false">DZ122*①통합_가정!$K$484/12</f>
        <v>0</v>
      </c>
      <c r="EB107" s="37" t="n">
        <f aca="false">EA122*①통합_가정!$K$484/12</f>
        <v>0</v>
      </c>
      <c r="EC107" s="37" t="n">
        <f aca="false">EB122*①통합_가정!$K$484/12</f>
        <v>0</v>
      </c>
      <c r="ED107" s="37" t="n">
        <f aca="false">EC122*①통합_가정!$K$484/12</f>
        <v>0</v>
      </c>
      <c r="EE107" s="37" t="n">
        <f aca="false">ED122*①통합_가정!$K$484/12</f>
        <v>0</v>
      </c>
      <c r="EF107" s="37" t="n">
        <f aca="false">EE122*①통합_가정!$K$484/12</f>
        <v>0</v>
      </c>
    </row>
    <row r="108" customFormat="false" ht="15" hidden="false" customHeight="false" outlineLevel="0" collapsed="false">
      <c r="A108" s="153" t="s">
        <v>647</v>
      </c>
      <c r="B108" s="278" t="s">
        <v>21</v>
      </c>
      <c r="C108" s="279" t="n">
        <f aca="false">SUM(E108:EF108)</f>
        <v>31542.5543969335</v>
      </c>
      <c r="E108" s="37" t="n">
        <f aca="false">0*①통합_가정!$K$485/12</f>
        <v>0</v>
      </c>
      <c r="F108" s="37" t="n">
        <f aca="false">E123*①통합_가정!$K$485/12</f>
        <v>0</v>
      </c>
      <c r="G108" s="37" t="n">
        <f aca="false">F123*①통합_가정!$K$485/12</f>
        <v>0</v>
      </c>
      <c r="H108" s="37" t="n">
        <f aca="false">G123*①통합_가정!$K$485/12</f>
        <v>0</v>
      </c>
      <c r="I108" s="37" t="n">
        <f aca="false">H123*①통합_가정!$K$485/12</f>
        <v>0</v>
      </c>
      <c r="J108" s="37" t="n">
        <f aca="false">I123*①통합_가정!$K$485/12</f>
        <v>0</v>
      </c>
      <c r="K108" s="37" t="n">
        <f aca="false">J123*①통합_가정!$K$485/12</f>
        <v>0</v>
      </c>
      <c r="L108" s="37" t="n">
        <f aca="false">K123*①통합_가정!$K$485/12</f>
        <v>0</v>
      </c>
      <c r="M108" s="37" t="n">
        <f aca="false">L123*①통합_가정!$K$485/12</f>
        <v>0</v>
      </c>
      <c r="N108" s="37" t="n">
        <f aca="false">M123*①통합_가정!$K$485/12</f>
        <v>0</v>
      </c>
      <c r="O108" s="37" t="n">
        <f aca="false">N123*①통합_가정!$K$485/12</f>
        <v>0</v>
      </c>
      <c r="P108" s="37" t="n">
        <f aca="false">O123*①통합_가정!$K$485/12</f>
        <v>0</v>
      </c>
      <c r="Q108" s="37" t="n">
        <f aca="false">P123*①통합_가정!$K$485/12</f>
        <v>0</v>
      </c>
      <c r="R108" s="37" t="n">
        <f aca="false">Q123*①통합_가정!$K$485/12</f>
        <v>0</v>
      </c>
      <c r="S108" s="37" t="n">
        <f aca="false">R123*①통합_가정!$K$485/12</f>
        <v>0</v>
      </c>
      <c r="T108" s="37" t="n">
        <f aca="false">S123*①통합_가정!$K$485/12</f>
        <v>0</v>
      </c>
      <c r="U108" s="37" t="n">
        <f aca="false">T123*①통합_가정!$K$485/12</f>
        <v>0</v>
      </c>
      <c r="V108" s="37" t="n">
        <f aca="false">U123*①통합_가정!$K$485/12</f>
        <v>0</v>
      </c>
      <c r="W108" s="37" t="n">
        <f aca="false">V123*①통합_가정!$K$485/12</f>
        <v>0</v>
      </c>
      <c r="X108" s="37" t="n">
        <f aca="false">W123*①통합_가정!$K$485/12</f>
        <v>0</v>
      </c>
      <c r="Y108" s="37" t="n">
        <f aca="false">X123*①통합_가정!$K$485/12</f>
        <v>0</v>
      </c>
      <c r="Z108" s="37" t="n">
        <f aca="false">Y123*①통합_가정!$K$485/12</f>
        <v>0</v>
      </c>
      <c r="AA108" s="37" t="n">
        <f aca="false">Z123*①통합_가정!$K$485/12</f>
        <v>0</v>
      </c>
      <c r="AB108" s="37" t="n">
        <f aca="false">AA123*①통합_가정!$K$485/12</f>
        <v>0</v>
      </c>
      <c r="AC108" s="37" t="n">
        <f aca="false">AB123*①통합_가정!$K$485/12</f>
        <v>0</v>
      </c>
      <c r="AD108" s="37" t="n">
        <f aca="false">AC123*①통합_가정!$K$485/12</f>
        <v>0</v>
      </c>
      <c r="AE108" s="37" t="n">
        <f aca="false">AD123*①통합_가정!$K$485/12</f>
        <v>0</v>
      </c>
      <c r="AF108" s="37" t="n">
        <f aca="false">AE123*①통합_가정!$K$485/12</f>
        <v>0</v>
      </c>
      <c r="AG108" s="37" t="n">
        <f aca="false">AF123*①통합_가정!$K$485/12</f>
        <v>0</v>
      </c>
      <c r="AH108" s="37" t="n">
        <f aca="false">AG123*①통합_가정!$K$485/12</f>
        <v>0</v>
      </c>
      <c r="AI108" s="37" t="n">
        <f aca="false">AH123*①통합_가정!$K$485/12</f>
        <v>0</v>
      </c>
      <c r="AJ108" s="37" t="n">
        <f aca="false">AI123*①통합_가정!$K$485/12</f>
        <v>7.29568674706452</v>
      </c>
      <c r="AK108" s="37" t="n">
        <f aca="false">AJ123*①통합_가정!$K$485/12</f>
        <v>257.217069591333</v>
      </c>
      <c r="AL108" s="37" t="n">
        <f aca="false">AK123*①통합_가정!$K$485/12</f>
        <v>519.437656721482</v>
      </c>
      <c r="AM108" s="37" t="n">
        <f aca="false">AL123*①통합_가정!$K$485/12</f>
        <v>792.644743000381</v>
      </c>
      <c r="AN108" s="37" t="n">
        <f aca="false">AM123*①통합_가정!$K$485/12</f>
        <v>1075.46524569083</v>
      </c>
      <c r="AO108" s="37" t="n">
        <f aca="false">AN123*①통합_가정!$K$485/12</f>
        <v>1203.7705831326</v>
      </c>
      <c r="AP108" s="37" t="n">
        <f aca="false">AO123*①통합_가정!$K$485/12</f>
        <v>1203.7705831326</v>
      </c>
      <c r="AQ108" s="37" t="n">
        <f aca="false">AP123*①통합_가정!$K$485/12</f>
        <v>1203.7705831326</v>
      </c>
      <c r="AR108" s="37" t="n">
        <f aca="false">AQ123*①통합_가정!$K$485/12</f>
        <v>1203.7705831326</v>
      </c>
      <c r="AS108" s="37" t="n">
        <f aca="false">AR123*①통합_가정!$K$485/12</f>
        <v>1203.7705831326</v>
      </c>
      <c r="AT108" s="37" t="n">
        <f aca="false">AS123*①통합_가정!$K$485/12</f>
        <v>1203.7705831326</v>
      </c>
      <c r="AU108" s="37" t="n">
        <f aca="false">AT123*①통합_가정!$K$485/12</f>
        <v>1203.7705831326</v>
      </c>
      <c r="AV108" s="37" t="n">
        <f aca="false">AU123*①통합_가정!$K$485/12</f>
        <v>1203.7705831326</v>
      </c>
      <c r="AW108" s="37" t="n">
        <f aca="false">AV123*①통합_가정!$K$485/12</f>
        <v>1203.7705831326</v>
      </c>
      <c r="AX108" s="37" t="n">
        <f aca="false">AW123*①통합_가정!$K$485/12</f>
        <v>1203.7705831326</v>
      </c>
      <c r="AY108" s="37" t="n">
        <f aca="false">AX123*①통합_가정!$K$485/12</f>
        <v>1203.7705831326</v>
      </c>
      <c r="AZ108" s="37" t="n">
        <f aca="false">AY123*①통합_가정!$K$485/12</f>
        <v>1203.7705831326</v>
      </c>
      <c r="BA108" s="37" t="n">
        <f aca="false">AZ123*①통합_가정!$K$485/12</f>
        <v>1203.7705831326</v>
      </c>
      <c r="BB108" s="37" t="n">
        <f aca="false">BA123*①통합_가정!$K$485/12</f>
        <v>1203.7705831326</v>
      </c>
      <c r="BC108" s="37" t="n">
        <f aca="false">BB123*①통합_가정!$K$485/12</f>
        <v>1203.7705831326</v>
      </c>
      <c r="BD108" s="37" t="n">
        <f aca="false">BC123*①통합_가정!$K$485/12</f>
        <v>1203.7705831326</v>
      </c>
      <c r="BE108" s="37" t="n">
        <f aca="false">BD123*①통합_가정!$K$485/12</f>
        <v>1203.7705831326</v>
      </c>
      <c r="BF108" s="37" t="n">
        <f aca="false">BE123*①통합_가정!$K$485/12</f>
        <v>1203.7705831326</v>
      </c>
      <c r="BG108" s="37" t="n">
        <f aca="false">BF123*①통합_가정!$K$485/12</f>
        <v>1203.7705831326</v>
      </c>
      <c r="BH108" s="37" t="n">
        <f aca="false">BG123*①통합_가정!$K$485/12</f>
        <v>1203.7705831326</v>
      </c>
      <c r="BI108" s="37" t="n">
        <f aca="false">BH123*①통합_가정!$K$485/12</f>
        <v>1203.7705831326</v>
      </c>
      <c r="BJ108" s="37" t="n">
        <f aca="false">BI123*①통합_가정!$K$485/12</f>
        <v>1203.7705831326</v>
      </c>
      <c r="BK108" s="37" t="n">
        <f aca="false">BJ123*①통합_가정!$K$485/12</f>
        <v>1203.7705831326</v>
      </c>
      <c r="BL108" s="37" t="n">
        <f aca="false">BK123*①통합_가정!$K$485/12</f>
        <v>1203.7705831326</v>
      </c>
      <c r="BM108" s="37" t="n">
        <f aca="false">BL123*①통합_가정!$K$485/12</f>
        <v>0</v>
      </c>
      <c r="BN108" s="37" t="n">
        <f aca="false">BM123*①통합_가정!$K$485/12</f>
        <v>0</v>
      </c>
      <c r="BO108" s="37" t="n">
        <f aca="false">BN123*①통합_가정!$K$485/12</f>
        <v>0</v>
      </c>
      <c r="BP108" s="37" t="n">
        <f aca="false">BO123*①통합_가정!$K$485/12</f>
        <v>0</v>
      </c>
      <c r="BQ108" s="37" t="n">
        <f aca="false">BP123*①통합_가정!$K$485/12</f>
        <v>0</v>
      </c>
      <c r="BR108" s="37" t="n">
        <f aca="false">BQ123*①통합_가정!$K$485/12</f>
        <v>0</v>
      </c>
      <c r="BS108" s="37" t="n">
        <f aca="false">BR123*①통합_가정!$K$485/12</f>
        <v>0</v>
      </c>
      <c r="BT108" s="37" t="n">
        <f aca="false">BS123*①통합_가정!$K$485/12</f>
        <v>0</v>
      </c>
      <c r="BU108" s="37" t="n">
        <f aca="false">BT123*①통합_가정!$K$485/12</f>
        <v>0</v>
      </c>
      <c r="BV108" s="37" t="n">
        <f aca="false">BU123*①통합_가정!$K$485/12</f>
        <v>0</v>
      </c>
      <c r="BW108" s="37" t="n">
        <f aca="false">BV123*①통합_가정!$K$485/12</f>
        <v>0</v>
      </c>
      <c r="BX108" s="37" t="n">
        <f aca="false">BW123*①통합_가정!$K$485/12</f>
        <v>0</v>
      </c>
      <c r="BY108" s="37" t="n">
        <f aca="false">BX123*①통합_가정!$K$485/12</f>
        <v>0</v>
      </c>
      <c r="BZ108" s="37" t="n">
        <f aca="false">BY123*①통합_가정!$K$485/12</f>
        <v>0</v>
      </c>
      <c r="CA108" s="37" t="n">
        <f aca="false">BZ123*①통합_가정!$K$485/12</f>
        <v>0</v>
      </c>
      <c r="CB108" s="37" t="n">
        <f aca="false">CA123*①통합_가정!$K$485/12</f>
        <v>0</v>
      </c>
      <c r="CC108" s="37" t="n">
        <f aca="false">CB123*①통합_가정!$K$485/12</f>
        <v>0</v>
      </c>
      <c r="CD108" s="37" t="n">
        <f aca="false">CC123*①통합_가정!$K$485/12</f>
        <v>0</v>
      </c>
      <c r="CE108" s="37" t="n">
        <f aca="false">CD123*①통합_가정!$K$485/12</f>
        <v>0</v>
      </c>
      <c r="CF108" s="37" t="n">
        <f aca="false">CE123*①통합_가정!$K$485/12</f>
        <v>0</v>
      </c>
      <c r="CG108" s="37" t="n">
        <f aca="false">CF123*①통합_가정!$K$485/12</f>
        <v>0</v>
      </c>
      <c r="CH108" s="37" t="n">
        <f aca="false">CG123*①통합_가정!$K$485/12</f>
        <v>0</v>
      </c>
      <c r="CI108" s="37" t="n">
        <f aca="false">CH123*①통합_가정!$K$485/12</f>
        <v>0</v>
      </c>
      <c r="CJ108" s="37" t="n">
        <f aca="false">CI123*①통합_가정!$K$485/12</f>
        <v>0</v>
      </c>
      <c r="CK108" s="37" t="n">
        <f aca="false">CJ123*①통합_가정!$K$485/12</f>
        <v>0</v>
      </c>
      <c r="CL108" s="37" t="n">
        <f aca="false">CK123*①통합_가정!$K$485/12</f>
        <v>0</v>
      </c>
      <c r="CM108" s="37" t="n">
        <f aca="false">CL123*①통합_가정!$K$485/12</f>
        <v>0</v>
      </c>
      <c r="CN108" s="37" t="n">
        <f aca="false">CM123*①통합_가정!$K$485/12</f>
        <v>0</v>
      </c>
      <c r="CO108" s="37" t="n">
        <f aca="false">CN123*①통합_가정!$K$485/12</f>
        <v>0</v>
      </c>
      <c r="CP108" s="37" t="n">
        <f aca="false">CO123*①통합_가정!$K$485/12</f>
        <v>0</v>
      </c>
      <c r="CQ108" s="37" t="n">
        <f aca="false">CP123*①통합_가정!$K$485/12</f>
        <v>0</v>
      </c>
      <c r="CR108" s="37" t="n">
        <f aca="false">CQ123*①통합_가정!$K$485/12</f>
        <v>0</v>
      </c>
      <c r="CS108" s="37" t="n">
        <f aca="false">CR123*①통합_가정!$K$485/12</f>
        <v>0</v>
      </c>
      <c r="CT108" s="37" t="n">
        <f aca="false">CS123*①통합_가정!$K$485/12</f>
        <v>0</v>
      </c>
      <c r="CU108" s="37" t="n">
        <f aca="false">CT123*①통합_가정!$K$485/12</f>
        <v>0</v>
      </c>
      <c r="CV108" s="37" t="n">
        <f aca="false">CU123*①통합_가정!$K$485/12</f>
        <v>0</v>
      </c>
      <c r="CW108" s="37" t="n">
        <f aca="false">CV123*①통합_가정!$K$485/12</f>
        <v>0</v>
      </c>
      <c r="CX108" s="37" t="n">
        <f aca="false">CW123*①통합_가정!$K$485/12</f>
        <v>0</v>
      </c>
      <c r="CY108" s="37" t="n">
        <f aca="false">CX123*①통합_가정!$K$485/12</f>
        <v>0</v>
      </c>
      <c r="CZ108" s="37" t="n">
        <f aca="false">CY123*①통합_가정!$K$485/12</f>
        <v>0</v>
      </c>
      <c r="DA108" s="37" t="n">
        <f aca="false">CZ123*①통합_가정!$K$485/12</f>
        <v>0</v>
      </c>
      <c r="DB108" s="37" t="n">
        <f aca="false">DA123*①통합_가정!$K$485/12</f>
        <v>0</v>
      </c>
      <c r="DC108" s="37" t="n">
        <f aca="false">DB123*①통합_가정!$K$485/12</f>
        <v>0</v>
      </c>
      <c r="DD108" s="37" t="n">
        <f aca="false">DC123*①통합_가정!$K$485/12</f>
        <v>0</v>
      </c>
      <c r="DE108" s="37" t="n">
        <f aca="false">DD123*①통합_가정!$K$485/12</f>
        <v>0</v>
      </c>
      <c r="DF108" s="37" t="n">
        <f aca="false">DE123*①통합_가정!$K$485/12</f>
        <v>0</v>
      </c>
      <c r="DG108" s="37" t="n">
        <f aca="false">DF123*①통합_가정!$K$485/12</f>
        <v>0</v>
      </c>
      <c r="DH108" s="37" t="n">
        <f aca="false">DG123*①통합_가정!$K$485/12</f>
        <v>0</v>
      </c>
      <c r="DI108" s="37" t="n">
        <f aca="false">DH123*①통합_가정!$K$485/12</f>
        <v>0</v>
      </c>
      <c r="DJ108" s="37" t="n">
        <f aca="false">DI123*①통합_가정!$K$485/12</f>
        <v>0</v>
      </c>
      <c r="DK108" s="37" t="n">
        <f aca="false">DJ123*①통합_가정!$K$485/12</f>
        <v>0</v>
      </c>
      <c r="DL108" s="37" t="n">
        <f aca="false">DK123*①통합_가정!$K$485/12</f>
        <v>0</v>
      </c>
      <c r="DM108" s="37" t="n">
        <f aca="false">DL123*①통합_가정!$K$485/12</f>
        <v>0</v>
      </c>
      <c r="DN108" s="37" t="n">
        <f aca="false">DM123*①통합_가정!$K$485/12</f>
        <v>0</v>
      </c>
      <c r="DO108" s="37" t="n">
        <f aca="false">DN123*①통합_가정!$K$485/12</f>
        <v>0</v>
      </c>
      <c r="DP108" s="37" t="n">
        <f aca="false">DO123*①통합_가정!$K$485/12</f>
        <v>0</v>
      </c>
      <c r="DQ108" s="37" t="n">
        <f aca="false">DP123*①통합_가정!$K$485/12</f>
        <v>0</v>
      </c>
      <c r="DR108" s="37" t="n">
        <f aca="false">DQ123*①통합_가정!$K$485/12</f>
        <v>0</v>
      </c>
      <c r="DS108" s="37" t="n">
        <f aca="false">DR123*①통합_가정!$K$485/12</f>
        <v>0</v>
      </c>
      <c r="DT108" s="37" t="n">
        <f aca="false">DS123*①통합_가정!$K$485/12</f>
        <v>0</v>
      </c>
      <c r="DU108" s="37" t="n">
        <f aca="false">DT123*①통합_가정!$K$485/12</f>
        <v>0</v>
      </c>
      <c r="DV108" s="37" t="n">
        <f aca="false">DU123*①통합_가정!$K$485/12</f>
        <v>0</v>
      </c>
      <c r="DW108" s="37" t="n">
        <f aca="false">DV123*①통합_가정!$K$485/12</f>
        <v>0</v>
      </c>
      <c r="DX108" s="37" t="n">
        <f aca="false">DW123*①통합_가정!$K$485/12</f>
        <v>0</v>
      </c>
      <c r="DY108" s="37" t="n">
        <f aca="false">DX123*①통합_가정!$K$485/12</f>
        <v>0</v>
      </c>
      <c r="DZ108" s="37" t="n">
        <f aca="false">DY123*①통합_가정!$K$485/12</f>
        <v>0</v>
      </c>
      <c r="EA108" s="37" t="n">
        <f aca="false">DZ123*①통합_가정!$K$485/12</f>
        <v>0</v>
      </c>
      <c r="EB108" s="37" t="n">
        <f aca="false">EA123*①통합_가정!$K$485/12</f>
        <v>0</v>
      </c>
      <c r="EC108" s="37" t="n">
        <f aca="false">EB123*①통합_가정!$K$485/12</f>
        <v>0</v>
      </c>
      <c r="ED108" s="37" t="n">
        <f aca="false">EC123*①통합_가정!$K$485/12</f>
        <v>0</v>
      </c>
      <c r="EE108" s="37" t="n">
        <f aca="false">ED123*①통합_가정!$K$485/12</f>
        <v>0</v>
      </c>
      <c r="EF108" s="37" t="n">
        <f aca="false">EE123*①통합_가정!$K$485/12</f>
        <v>0</v>
      </c>
    </row>
    <row r="109" customFormat="false" ht="15" hidden="false" customHeight="false" outlineLevel="0" collapsed="false">
      <c r="A109" s="153" t="s">
        <v>648</v>
      </c>
      <c r="B109" s="278" t="s">
        <v>21</v>
      </c>
      <c r="C109" s="279" t="n">
        <f aca="false">SUM(E109:EF109)</f>
        <v>13013.0590317863</v>
      </c>
      <c r="E109" s="37" t="n">
        <f aca="false">E11*MAX(0,①통합_가정!$E$452-0)*①통합_가정!$O$483/12</f>
        <v>0</v>
      </c>
      <c r="F109" s="37" t="n">
        <f aca="false">F11*MAX(0,①통합_가정!$E$452-E121)*①통합_가정!$O$483/12</f>
        <v>0</v>
      </c>
      <c r="G109" s="37" t="n">
        <f aca="false">G11*MAX(0,①통합_가정!$E$452-F121)*①통합_가정!$O$483/12</f>
        <v>0</v>
      </c>
      <c r="H109" s="37" t="n">
        <f aca="false">H11*MAX(0,①통합_가정!$E$452-G121)*①통합_가정!$O$483/12</f>
        <v>0</v>
      </c>
      <c r="I109" s="37" t="n">
        <f aca="false">I11*MAX(0,①통합_가정!$E$452-H121)*①통합_가정!$O$483/12</f>
        <v>0</v>
      </c>
      <c r="J109" s="37" t="n">
        <f aca="false">J11*MAX(0,①통합_가정!$E$452-I121)*①통합_가정!$O$483/12</f>
        <v>0</v>
      </c>
      <c r="K109" s="37" t="n">
        <f aca="false">K11*MAX(0,①통합_가정!$E$452-J121)*①통합_가정!$O$483/12</f>
        <v>0</v>
      </c>
      <c r="L109" s="37" t="n">
        <f aca="false">L11*MAX(0,①통합_가정!$E$452-K121)*①통합_가정!$O$483/12</f>
        <v>0</v>
      </c>
      <c r="M109" s="37" t="n">
        <f aca="false">M11*MAX(0,①통합_가정!$E$452-L121)*①통합_가정!$O$483/12</f>
        <v>0</v>
      </c>
      <c r="N109" s="37" t="n">
        <f aca="false">N11*MAX(0,①통합_가정!$E$452-M121)*①통합_가정!$O$483/12</f>
        <v>0</v>
      </c>
      <c r="O109" s="37" t="n">
        <f aca="false">O11*MAX(0,①통합_가정!$E$452-N121)*①통합_가정!$O$483/12</f>
        <v>0</v>
      </c>
      <c r="P109" s="37" t="n">
        <f aca="false">P11*MAX(0,①통합_가정!$E$452-O121)*①통합_가정!$O$483/12</f>
        <v>0</v>
      </c>
      <c r="Q109" s="37" t="n">
        <f aca="false">Q11*MAX(0,①통합_가정!$E$452-P121)*①통합_가정!$O$483/12</f>
        <v>0</v>
      </c>
      <c r="R109" s="37" t="n">
        <f aca="false">R11*MAX(0,①통합_가정!$E$452-Q121)*①통합_가정!$O$483/12</f>
        <v>0</v>
      </c>
      <c r="S109" s="37" t="n">
        <f aca="false">S11*MAX(0,①통합_가정!$E$452-R121)*①통합_가정!$O$483/12</f>
        <v>0</v>
      </c>
      <c r="T109" s="37" t="n">
        <f aca="false">T11*MAX(0,①통합_가정!$E$452-S121)*①통합_가정!$O$483/12</f>
        <v>0</v>
      </c>
      <c r="U109" s="37" t="n">
        <f aca="false">U11*MAX(0,①통합_가정!$E$452-T121)*①통합_가정!$O$483/12</f>
        <v>0</v>
      </c>
      <c r="V109" s="37" t="n">
        <f aca="false">V11*MAX(0,①통합_가정!$E$452-U121)*①통합_가정!$O$483/12</f>
        <v>0</v>
      </c>
      <c r="W109" s="37" t="n">
        <f aca="false">W11*MAX(0,①통합_가정!$E$452-V121)*①통합_가정!$O$483/12</f>
        <v>342.123968492017</v>
      </c>
      <c r="X109" s="37" t="n">
        <f aca="false">X11*MAX(0,①통합_가정!$E$452-W121)*①통합_가정!$O$483/12</f>
        <v>342.123968492017</v>
      </c>
      <c r="Y109" s="37" t="n">
        <f aca="false">Y11*MAX(0,①통합_가정!$E$452-X121)*①통합_가정!$O$483/12</f>
        <v>342.123968492017</v>
      </c>
      <c r="Z109" s="37" t="n">
        <f aca="false">Z11*MAX(0,①통합_가정!$E$452-Y121)*①통합_가정!$O$483/12</f>
        <v>342.123968492017</v>
      </c>
      <c r="AA109" s="37" t="n">
        <f aca="false">AA11*MAX(0,①통합_가정!$E$452-Z121)*①통합_가정!$O$483/12</f>
        <v>342.123968492017</v>
      </c>
      <c r="AB109" s="37" t="n">
        <f aca="false">AB11*MAX(0,①통합_가정!$E$452-AA121)*①통합_가정!$O$483/12</f>
        <v>342.123968492017</v>
      </c>
      <c r="AC109" s="37" t="n">
        <f aca="false">AC11*MAX(0,①통합_가정!$E$452-AB121)*①통합_가정!$O$483/12</f>
        <v>342.123968492017</v>
      </c>
      <c r="AD109" s="37" t="n">
        <f aca="false">AD11*MAX(0,①통합_가정!$E$452-AC121)*①통합_가정!$O$483/12</f>
        <v>342.123968492017</v>
      </c>
      <c r="AE109" s="37" t="n">
        <f aca="false">AE11*MAX(0,①통합_가정!$E$452-AD121)*①통합_가정!$O$483/12</f>
        <v>342.123968492017</v>
      </c>
      <c r="AF109" s="37" t="n">
        <f aca="false">AF11*MAX(0,①통합_가정!$E$452-AE121)*①통합_가정!$O$483/12</f>
        <v>342.123968492017</v>
      </c>
      <c r="AG109" s="37" t="n">
        <f aca="false">AG11*MAX(0,①통합_가정!$E$452-AF121)*①통합_가정!$O$483/12</f>
        <v>342.123968492017</v>
      </c>
      <c r="AH109" s="37" t="n">
        <f aca="false">AH11*MAX(0,①통합_가정!$E$452-AG121)*①통합_가정!$O$483/12</f>
        <v>342.123968492017</v>
      </c>
      <c r="AI109" s="37" t="n">
        <f aca="false">AI11*MAX(0,①통합_가정!$E$452-AH121)*①통합_가정!$O$483/12</f>
        <v>342.123968492017</v>
      </c>
      <c r="AJ109" s="37" t="n">
        <f aca="false">AJ11*MAX(0,①통합_가정!$E$452-AI121)*①통합_가정!$O$483/12</f>
        <v>342.123968492017</v>
      </c>
      <c r="AK109" s="37" t="n">
        <f aca="false">AK11*MAX(0,①통합_가정!$E$452-AJ121)*①통합_가정!$O$483/12</f>
        <v>342.123968492017</v>
      </c>
      <c r="AL109" s="37" t="n">
        <f aca="false">AL11*MAX(0,①통합_가정!$E$452-AK121)*①통합_가정!$O$483/12</f>
        <v>342.123968492017</v>
      </c>
      <c r="AM109" s="37" t="n">
        <f aca="false">AM11*MAX(0,①통합_가정!$E$452-AL121)*①통합_가정!$O$483/12</f>
        <v>342.123968492017</v>
      </c>
      <c r="AN109" s="37" t="n">
        <f aca="false">AN11*MAX(0,①통합_가정!$E$452-AM121)*①통합_가정!$O$483/12</f>
        <v>342.123968492017</v>
      </c>
      <c r="AO109" s="37" t="n">
        <f aca="false">AO11*MAX(0,①통합_가정!$E$452-AN121)*①통합_가정!$O$483/12</f>
        <v>342.123968492017</v>
      </c>
      <c r="AP109" s="37" t="n">
        <f aca="false">AP11*MAX(0,①통합_가정!$E$452-AO121)*①통합_가정!$O$483/12</f>
        <v>342.123968492017</v>
      </c>
      <c r="AQ109" s="37" t="n">
        <f aca="false">AQ11*MAX(0,①통합_가정!$E$452-AP121)*①통합_가정!$O$483/12</f>
        <v>342.123968492017</v>
      </c>
      <c r="AR109" s="37" t="n">
        <f aca="false">AR11*MAX(0,①통합_가정!$E$452-AQ121)*①통합_가정!$O$483/12</f>
        <v>342.123968492017</v>
      </c>
      <c r="AS109" s="37" t="n">
        <f aca="false">AS11*MAX(0,①통합_가정!$E$452-AR121)*①통합_가정!$O$483/12</f>
        <v>342.123968492017</v>
      </c>
      <c r="AT109" s="37" t="n">
        <f aca="false">AT11*MAX(0,①통합_가정!$E$452-AS121)*①통합_가정!$O$483/12</f>
        <v>342.123968492017</v>
      </c>
      <c r="AU109" s="37" t="n">
        <f aca="false">AU11*MAX(0,①통합_가정!$E$452-AT121)*①통합_가정!$O$483/12</f>
        <v>342.123968492017</v>
      </c>
      <c r="AV109" s="37" t="n">
        <f aca="false">AV11*MAX(0,①통합_가정!$E$452-AU121)*①통합_가정!$O$483/12</f>
        <v>338.764509873586</v>
      </c>
      <c r="AW109" s="37" t="n">
        <f aca="false">AW11*MAX(0,①통합_가정!$E$452-AV121)*①통합_가정!$O$483/12</f>
        <v>322.128947433344</v>
      </c>
      <c r="AX109" s="37" t="n">
        <f aca="false">AX11*MAX(0,①통합_가정!$E$452-AW121)*①통합_가정!$O$483/12</f>
        <v>305.849055707309</v>
      </c>
      <c r="AY109" s="37" t="n">
        <f aca="false">AY11*MAX(0,①통합_가정!$E$452-AX121)*①통합_가정!$O$483/12</f>
        <v>290.0089467246</v>
      </c>
      <c r="AZ109" s="37" t="n">
        <f aca="false">AZ11*MAX(0,①통합_가정!$E$452-AY121)*①통합_가정!$O$483/12</f>
        <v>274.690238412198</v>
      </c>
      <c r="BA109" s="37" t="n">
        <f aca="false">BA11*MAX(0,①통합_가정!$E$452-AZ121)*①통합_가정!$O$483/12</f>
        <v>259.971597981095</v>
      </c>
      <c r="BB109" s="37" t="n">
        <f aca="false">BB11*MAX(0,①통합_가정!$E$452-BA121)*①통합_가정!$O$483/12</f>
        <v>259.971597981095</v>
      </c>
      <c r="BC109" s="37" t="n">
        <f aca="false">BC11*MAX(0,①통합_가정!$E$452-BB121)*①통합_가정!$O$483/12</f>
        <v>259.971597981095</v>
      </c>
      <c r="BD109" s="37" t="n">
        <f aca="false">BD11*MAX(0,①통합_가정!$E$452-BC121)*①통합_가정!$O$483/12</f>
        <v>259.971597981095</v>
      </c>
      <c r="BE109" s="37" t="n">
        <f aca="false">BE11*MAX(0,①통합_가정!$E$452-BD121)*①통합_가정!$O$483/12</f>
        <v>259.971597981095</v>
      </c>
      <c r="BF109" s="37" t="n">
        <f aca="false">BF11*MAX(0,①통합_가정!$E$452-BE121)*①통합_가정!$O$483/12</f>
        <v>255.490975032878</v>
      </c>
      <c r="BG109" s="37" t="n">
        <f aca="false">BG11*MAX(0,①통합_가정!$E$452-BF121)*①통합_가정!$O$483/12</f>
        <v>246.094734306653</v>
      </c>
      <c r="BH109" s="37" t="n">
        <f aca="false">BH11*MAX(0,①통합_가정!$E$452-BG121)*①통합_가정!$O$483/12</f>
        <v>237.733758370671</v>
      </c>
      <c r="BI109" s="37" t="n">
        <f aca="false">BI11*MAX(0,①통합_가정!$E$452-BH121)*①통합_가정!$O$483/12</f>
        <v>230.449145364315</v>
      </c>
      <c r="BJ109" s="37" t="n">
        <f aca="false">BJ11*MAX(0,①통합_가정!$E$452-BI121)*①통합_가정!$O$483/12</f>
        <v>224.275945669699</v>
      </c>
      <c r="BK109" s="37" t="n">
        <f aca="false">BK11*MAX(0,①통합_가정!$E$452-BJ121)*①통합_가정!$O$483/12</f>
        <v>219.242965754228</v>
      </c>
      <c r="BL109" s="37" t="n">
        <f aca="false">BL11*MAX(0,①통합_가정!$E$452-BK121)*①통합_가정!$O$483/12</f>
        <v>215.372606930934</v>
      </c>
      <c r="BM109" s="37" t="n">
        <f aca="false">BM11*MAX(0,①통합_가정!$E$452-BL121)*①통합_가정!$O$483/12</f>
        <v>0</v>
      </c>
      <c r="BN109" s="37" t="n">
        <f aca="false">BN11*MAX(0,①통합_가정!$E$452-BM121)*①통합_가정!$O$483/12</f>
        <v>0</v>
      </c>
      <c r="BO109" s="37" t="n">
        <f aca="false">BO11*MAX(0,①통합_가정!$E$452-BN121)*①통합_가정!$O$483/12</f>
        <v>0</v>
      </c>
      <c r="BP109" s="37" t="n">
        <f aca="false">BP11*MAX(0,①통합_가정!$E$452-BO121)*①통합_가정!$O$483/12</f>
        <v>0</v>
      </c>
      <c r="BQ109" s="37" t="n">
        <f aca="false">BQ11*MAX(0,①통합_가정!$E$452-BP121)*①통합_가정!$O$483/12</f>
        <v>0</v>
      </c>
      <c r="BR109" s="37" t="n">
        <f aca="false">BR11*MAX(0,①통합_가정!$E$452-BQ121)*①통합_가정!$O$483/12</f>
        <v>0</v>
      </c>
      <c r="BS109" s="37" t="n">
        <f aca="false">BS11*MAX(0,①통합_가정!$E$452-BR121)*①통합_가정!$O$483/12</f>
        <v>0</v>
      </c>
      <c r="BT109" s="37" t="n">
        <f aca="false">BT11*MAX(0,①통합_가정!$E$452-BS121)*①통합_가정!$O$483/12</f>
        <v>0</v>
      </c>
      <c r="BU109" s="37" t="n">
        <f aca="false">BU11*MAX(0,①통합_가정!$E$452-BT121)*①통합_가정!$O$483/12</f>
        <v>0</v>
      </c>
      <c r="BV109" s="37" t="n">
        <f aca="false">BV11*MAX(0,①통합_가정!$E$452-BU121)*①통합_가정!$O$483/12</f>
        <v>0</v>
      </c>
      <c r="BW109" s="37" t="n">
        <f aca="false">BW11*MAX(0,①통합_가정!$E$452-BV121)*①통합_가정!$O$483/12</f>
        <v>0</v>
      </c>
      <c r="BX109" s="37" t="n">
        <f aca="false">BX11*MAX(0,①통합_가정!$E$452-BW121)*①통합_가정!$O$483/12</f>
        <v>0</v>
      </c>
      <c r="BY109" s="37" t="n">
        <f aca="false">BY11*MAX(0,①통합_가정!$E$452-BX121)*①통합_가정!$O$483/12</f>
        <v>0</v>
      </c>
      <c r="BZ109" s="37" t="n">
        <f aca="false">BZ11*MAX(0,①통합_가정!$E$452-BY121)*①통합_가정!$O$483/12</f>
        <v>0</v>
      </c>
      <c r="CA109" s="37" t="n">
        <f aca="false">CA11*MAX(0,①통합_가정!$E$452-BZ121)*①통합_가정!$O$483/12</f>
        <v>0</v>
      </c>
      <c r="CB109" s="37" t="n">
        <f aca="false">CB11*MAX(0,①통합_가정!$E$452-CA121)*①통합_가정!$O$483/12</f>
        <v>0</v>
      </c>
      <c r="CC109" s="37" t="n">
        <f aca="false">CC11*MAX(0,①통합_가정!$E$452-CB121)*①통합_가정!$O$483/12</f>
        <v>0</v>
      </c>
      <c r="CD109" s="37" t="n">
        <f aca="false">CD11*MAX(0,①통합_가정!$E$452-CC121)*①통합_가정!$O$483/12</f>
        <v>0</v>
      </c>
      <c r="CE109" s="37" t="n">
        <f aca="false">CE11*MAX(0,①통합_가정!$E$452-CD121)*①통합_가정!$O$483/12</f>
        <v>0</v>
      </c>
      <c r="CF109" s="37" t="n">
        <f aca="false">CF11*MAX(0,①통합_가정!$E$452-CE121)*①통합_가정!$O$483/12</f>
        <v>0</v>
      </c>
      <c r="CG109" s="37" t="n">
        <f aca="false">CG11*MAX(0,①통합_가정!$E$452-CF121)*①통합_가정!$O$483/12</f>
        <v>0</v>
      </c>
      <c r="CH109" s="37" t="n">
        <f aca="false">CH11*MAX(0,①통합_가정!$E$452-CG121)*①통합_가정!$O$483/12</f>
        <v>0</v>
      </c>
      <c r="CI109" s="37" t="n">
        <f aca="false">CI11*MAX(0,①통합_가정!$E$452-CH121)*①통합_가정!$O$483/12</f>
        <v>0</v>
      </c>
      <c r="CJ109" s="37" t="n">
        <f aca="false">CJ11*MAX(0,①통합_가정!$E$452-CI121)*①통합_가정!$O$483/12</f>
        <v>0</v>
      </c>
      <c r="CK109" s="37" t="n">
        <f aca="false">CK11*MAX(0,①통합_가정!$E$452-CJ121)*①통합_가정!$O$483/12</f>
        <v>0</v>
      </c>
      <c r="CL109" s="37" t="n">
        <f aca="false">CL11*MAX(0,①통합_가정!$E$452-CK121)*①통합_가정!$O$483/12</f>
        <v>0</v>
      </c>
      <c r="CM109" s="37" t="n">
        <f aca="false">CM11*MAX(0,①통합_가정!$E$452-CL121)*①통합_가정!$O$483/12</f>
        <v>0</v>
      </c>
      <c r="CN109" s="37" t="n">
        <f aca="false">CN11*MAX(0,①통합_가정!$E$452-CM121)*①통합_가정!$O$483/12</f>
        <v>0</v>
      </c>
      <c r="CO109" s="37" t="n">
        <f aca="false">CO11*MAX(0,①통합_가정!$E$452-CN121)*①통합_가정!$O$483/12</f>
        <v>0</v>
      </c>
      <c r="CP109" s="37" t="n">
        <f aca="false">CP11*MAX(0,①통합_가정!$E$452-CO121)*①통합_가정!$O$483/12</f>
        <v>0</v>
      </c>
      <c r="CQ109" s="37" t="n">
        <f aca="false">CQ11*MAX(0,①통합_가정!$E$452-CP121)*①통합_가정!$O$483/12</f>
        <v>0</v>
      </c>
      <c r="CR109" s="37" t="n">
        <f aca="false">CR11*MAX(0,①통합_가정!$E$452-CQ121)*①통합_가정!$O$483/12</f>
        <v>0</v>
      </c>
      <c r="CS109" s="37" t="n">
        <f aca="false">CS11*MAX(0,①통합_가정!$E$452-CR121)*①통합_가정!$O$483/12</f>
        <v>0</v>
      </c>
      <c r="CT109" s="37" t="n">
        <f aca="false">CT11*MAX(0,①통합_가정!$E$452-CS121)*①통합_가정!$O$483/12</f>
        <v>0</v>
      </c>
      <c r="CU109" s="37" t="n">
        <f aca="false">CU11*MAX(0,①통합_가정!$E$452-CT121)*①통합_가정!$O$483/12</f>
        <v>0</v>
      </c>
      <c r="CV109" s="37" t="n">
        <f aca="false">CV11*MAX(0,①통합_가정!$E$452-CU121)*①통합_가정!$O$483/12</f>
        <v>0</v>
      </c>
      <c r="CW109" s="37" t="n">
        <f aca="false">CW11*MAX(0,①통합_가정!$E$452-CV121)*①통합_가정!$O$483/12</f>
        <v>0</v>
      </c>
      <c r="CX109" s="37" t="n">
        <f aca="false">CX11*MAX(0,①통합_가정!$E$452-CW121)*①통합_가정!$O$483/12</f>
        <v>0</v>
      </c>
      <c r="CY109" s="37" t="n">
        <f aca="false">CY11*MAX(0,①통합_가정!$E$452-CX121)*①통합_가정!$O$483/12</f>
        <v>0</v>
      </c>
      <c r="CZ109" s="37" t="n">
        <f aca="false">CZ11*MAX(0,①통합_가정!$E$452-CY121)*①통합_가정!$O$483/12</f>
        <v>0</v>
      </c>
      <c r="DA109" s="37" t="n">
        <f aca="false">DA11*MAX(0,①통합_가정!$E$452-CZ121)*①통합_가정!$O$483/12</f>
        <v>0</v>
      </c>
      <c r="DB109" s="37" t="n">
        <f aca="false">DB11*MAX(0,①통합_가정!$E$452-DA121)*①통합_가정!$O$483/12</f>
        <v>0</v>
      </c>
      <c r="DC109" s="37" t="n">
        <f aca="false">DC11*MAX(0,①통합_가정!$E$452-DB121)*①통합_가정!$O$483/12</f>
        <v>0</v>
      </c>
      <c r="DD109" s="37" t="n">
        <f aca="false">DD11*MAX(0,①통합_가정!$E$452-DC121)*①통합_가정!$O$483/12</f>
        <v>0</v>
      </c>
      <c r="DE109" s="37" t="n">
        <f aca="false">DE11*MAX(0,①통합_가정!$E$452-DD121)*①통합_가정!$O$483/12</f>
        <v>0</v>
      </c>
      <c r="DF109" s="37" t="n">
        <f aca="false">DF11*MAX(0,①통합_가정!$E$452-DE121)*①통합_가정!$O$483/12</f>
        <v>0</v>
      </c>
      <c r="DG109" s="37" t="n">
        <f aca="false">DG11*MAX(0,①통합_가정!$E$452-DF121)*①통합_가정!$O$483/12</f>
        <v>0</v>
      </c>
      <c r="DH109" s="37" t="n">
        <f aca="false">DH11*MAX(0,①통합_가정!$E$452-DG121)*①통합_가정!$O$483/12</f>
        <v>0</v>
      </c>
      <c r="DI109" s="37" t="n">
        <f aca="false">DI11*MAX(0,①통합_가정!$E$452-DH121)*①통합_가정!$O$483/12</f>
        <v>0</v>
      </c>
      <c r="DJ109" s="37" t="n">
        <f aca="false">DJ11*MAX(0,①통합_가정!$E$452-DI121)*①통합_가정!$O$483/12</f>
        <v>0</v>
      </c>
      <c r="DK109" s="37" t="n">
        <f aca="false">DK11*MAX(0,①통합_가정!$E$452-DJ121)*①통합_가정!$O$483/12</f>
        <v>0</v>
      </c>
      <c r="DL109" s="37" t="n">
        <f aca="false">DL11*MAX(0,①통합_가정!$E$452-DK121)*①통합_가정!$O$483/12</f>
        <v>0</v>
      </c>
      <c r="DM109" s="37" t="n">
        <f aca="false">DM11*MAX(0,①통합_가정!$E$452-DL121)*①통합_가정!$O$483/12</f>
        <v>0</v>
      </c>
      <c r="DN109" s="37" t="n">
        <f aca="false">DN11*MAX(0,①통합_가정!$E$452-DM121)*①통합_가정!$O$483/12</f>
        <v>0</v>
      </c>
      <c r="DO109" s="37" t="n">
        <f aca="false">DO11*MAX(0,①통합_가정!$E$452-DN121)*①통합_가정!$O$483/12</f>
        <v>0</v>
      </c>
      <c r="DP109" s="37" t="n">
        <f aca="false">DP11*MAX(0,①통합_가정!$E$452-DO121)*①통합_가정!$O$483/12</f>
        <v>0</v>
      </c>
      <c r="DQ109" s="37" t="n">
        <f aca="false">DQ11*MAX(0,①통합_가정!$E$452-DP121)*①통합_가정!$O$483/12</f>
        <v>0</v>
      </c>
      <c r="DR109" s="37" t="n">
        <f aca="false">DR11*MAX(0,①통합_가정!$E$452-DQ121)*①통합_가정!$O$483/12</f>
        <v>0</v>
      </c>
      <c r="DS109" s="37" t="n">
        <f aca="false">DS11*MAX(0,①통합_가정!$E$452-DR121)*①통합_가정!$O$483/12</f>
        <v>0</v>
      </c>
      <c r="DT109" s="37" t="n">
        <f aca="false">DT11*MAX(0,①통합_가정!$E$452-DS121)*①통합_가정!$O$483/12</f>
        <v>0</v>
      </c>
      <c r="DU109" s="37" t="n">
        <f aca="false">DU11*MAX(0,①통합_가정!$E$452-DT121)*①통합_가정!$O$483/12</f>
        <v>0</v>
      </c>
      <c r="DV109" s="37" t="n">
        <f aca="false">DV11*MAX(0,①통합_가정!$E$452-DU121)*①통합_가정!$O$483/12</f>
        <v>0</v>
      </c>
      <c r="DW109" s="37" t="n">
        <f aca="false">DW11*MAX(0,①통합_가정!$E$452-DV121)*①통합_가정!$O$483/12</f>
        <v>0</v>
      </c>
      <c r="DX109" s="37" t="n">
        <f aca="false">DX11*MAX(0,①통합_가정!$E$452-DW121)*①통합_가정!$O$483/12</f>
        <v>0</v>
      </c>
      <c r="DY109" s="37" t="n">
        <f aca="false">DY11*MAX(0,①통합_가정!$E$452-DX121)*①통합_가정!$O$483/12</f>
        <v>0</v>
      </c>
      <c r="DZ109" s="37" t="n">
        <f aca="false">DZ11*MAX(0,①통합_가정!$E$452-DY121)*①통합_가정!$O$483/12</f>
        <v>0</v>
      </c>
      <c r="EA109" s="37" t="n">
        <f aca="false">EA11*MAX(0,①통합_가정!$E$452-DZ121)*①통합_가정!$O$483/12</f>
        <v>0</v>
      </c>
      <c r="EB109" s="37" t="n">
        <f aca="false">EB11*MAX(0,①통합_가정!$E$452-EA121)*①통합_가정!$O$483/12</f>
        <v>0</v>
      </c>
      <c r="EC109" s="37" t="n">
        <f aca="false">EC11*MAX(0,①통합_가정!$E$452-EB121)*①통합_가정!$O$483/12</f>
        <v>0</v>
      </c>
      <c r="ED109" s="37" t="n">
        <f aca="false">ED11*MAX(0,①통합_가정!$E$452-EC121)*①통합_가정!$O$483/12</f>
        <v>0</v>
      </c>
      <c r="EE109" s="37" t="n">
        <f aca="false">EE11*MAX(0,①통합_가정!$E$452-ED121)*①통합_가정!$O$483/12</f>
        <v>0</v>
      </c>
      <c r="EF109" s="37" t="n">
        <f aca="false">EF11*MAX(0,①통합_가정!$E$452-EE121)*①통합_가정!$O$483/12</f>
        <v>0</v>
      </c>
    </row>
    <row r="110" customFormat="false" ht="15" hidden="false" customHeight="false" outlineLevel="0" collapsed="false">
      <c r="A110" s="153" t="s">
        <v>649</v>
      </c>
      <c r="B110" s="278" t="s">
        <v>21</v>
      </c>
      <c r="C110" s="279" t="n">
        <f aca="false">SUM(E110:EF110)</f>
        <v>1560.68097022578</v>
      </c>
      <c r="E110" s="37" t="n">
        <f aca="false">E11*MAX(0,①통합_가정!$E$453-0)*①통합_가정!$O$484/12</f>
        <v>0</v>
      </c>
      <c r="F110" s="37" t="n">
        <f aca="false">F11*MAX(0,①통합_가정!$E$453-E122)*①통합_가정!$O$484/12</f>
        <v>0</v>
      </c>
      <c r="G110" s="37" t="n">
        <f aca="false">G11*MAX(0,①통합_가정!$E$453-F122)*①통합_가정!$O$484/12</f>
        <v>0</v>
      </c>
      <c r="H110" s="37" t="n">
        <f aca="false">H11*MAX(0,①통합_가정!$E$453-G122)*①통합_가정!$O$484/12</f>
        <v>0</v>
      </c>
      <c r="I110" s="37" t="n">
        <f aca="false">I11*MAX(0,①통합_가정!$E$453-H122)*①통합_가정!$O$484/12</f>
        <v>0</v>
      </c>
      <c r="J110" s="37" t="n">
        <f aca="false">J11*MAX(0,①통합_가정!$E$453-I122)*①통합_가정!$O$484/12</f>
        <v>0</v>
      </c>
      <c r="K110" s="37" t="n">
        <f aca="false">K11*MAX(0,①통합_가정!$E$453-J122)*①통합_가정!$O$484/12</f>
        <v>0</v>
      </c>
      <c r="L110" s="37" t="n">
        <f aca="false">L11*MAX(0,①통합_가정!$E$453-K122)*①통합_가정!$O$484/12</f>
        <v>0</v>
      </c>
      <c r="M110" s="37" t="n">
        <f aca="false">M11*MAX(0,①통합_가정!$E$453-L122)*①통합_가정!$O$484/12</f>
        <v>0</v>
      </c>
      <c r="N110" s="37" t="n">
        <f aca="false">N11*MAX(0,①통합_가정!$E$453-M122)*①통합_가정!$O$484/12</f>
        <v>0</v>
      </c>
      <c r="O110" s="37" t="n">
        <f aca="false">O11*MAX(0,①통합_가정!$E$453-N122)*①통합_가정!$O$484/12</f>
        <v>0</v>
      </c>
      <c r="P110" s="37" t="n">
        <f aca="false">P11*MAX(0,①통합_가정!$E$453-O122)*①통합_가정!$O$484/12</f>
        <v>0</v>
      </c>
      <c r="Q110" s="37" t="n">
        <f aca="false">Q11*MAX(0,①통합_가정!$E$453-P122)*①통합_가정!$O$484/12</f>
        <v>0</v>
      </c>
      <c r="R110" s="37" t="n">
        <f aca="false">R11*MAX(0,①통합_가정!$E$453-Q122)*①통합_가정!$O$484/12</f>
        <v>0</v>
      </c>
      <c r="S110" s="37" t="n">
        <f aca="false">S11*MAX(0,①통합_가정!$E$453-R122)*①통합_가정!$O$484/12</f>
        <v>0</v>
      </c>
      <c r="T110" s="37" t="n">
        <f aca="false">T11*MAX(0,①통합_가정!$E$453-S122)*①통합_가정!$O$484/12</f>
        <v>0</v>
      </c>
      <c r="U110" s="37" t="n">
        <f aca="false">U11*MAX(0,①통합_가정!$E$453-T122)*①통합_가정!$O$484/12</f>
        <v>0</v>
      </c>
      <c r="V110" s="37" t="n">
        <f aca="false">V11*MAX(0,①통합_가정!$E$453-U122)*①통합_가정!$O$484/12</f>
        <v>0</v>
      </c>
      <c r="W110" s="37" t="n">
        <f aca="false">W11*MAX(0,①통합_가정!$E$453-V122)*①통합_가정!$O$484/12</f>
        <v>68.4439522574677</v>
      </c>
      <c r="X110" s="37" t="n">
        <f aca="false">X11*MAX(0,①통합_가정!$E$453-W122)*①통합_가정!$O$484/12</f>
        <v>68.4439522574677</v>
      </c>
      <c r="Y110" s="37" t="n">
        <f aca="false">Y11*MAX(0,①통합_가정!$E$453-X122)*①통합_가정!$O$484/12</f>
        <v>68.4439522574677</v>
      </c>
      <c r="Z110" s="37" t="n">
        <f aca="false">Z11*MAX(0,①통합_가정!$E$453-Y122)*①통합_가정!$O$484/12</f>
        <v>68.4439522574677</v>
      </c>
      <c r="AA110" s="37" t="n">
        <f aca="false">AA11*MAX(0,①통합_가정!$E$453-Z122)*①통합_가정!$O$484/12</f>
        <v>68.4439522574677</v>
      </c>
      <c r="AB110" s="37" t="n">
        <f aca="false">AB11*MAX(0,①통합_가정!$E$453-AA122)*①통합_가정!$O$484/12</f>
        <v>68.4439522574677</v>
      </c>
      <c r="AC110" s="37" t="n">
        <f aca="false">AC11*MAX(0,①통합_가정!$E$453-AB122)*①통합_가정!$O$484/12</f>
        <v>68.4439522574677</v>
      </c>
      <c r="AD110" s="37" t="n">
        <f aca="false">AD11*MAX(0,①통합_가정!$E$453-AC122)*①통합_가정!$O$484/12</f>
        <v>68.4439522574677</v>
      </c>
      <c r="AE110" s="37" t="n">
        <f aca="false">AE11*MAX(0,①통합_가정!$E$453-AD122)*①통합_가정!$O$484/12</f>
        <v>68.4439522574677</v>
      </c>
      <c r="AF110" s="37" t="n">
        <f aca="false">AF11*MAX(0,①통합_가정!$E$453-AE122)*①통합_가정!$O$484/12</f>
        <v>68.4439522574677</v>
      </c>
      <c r="AG110" s="37" t="n">
        <f aca="false">AG11*MAX(0,①통합_가정!$E$453-AF122)*①통합_가정!$O$484/12</f>
        <v>68.4439522574677</v>
      </c>
      <c r="AH110" s="37" t="n">
        <f aca="false">AH11*MAX(0,①통합_가정!$E$453-AG122)*①통합_가정!$O$484/12</f>
        <v>68.4439522574677</v>
      </c>
      <c r="AI110" s="37" t="n">
        <f aca="false">AI11*MAX(0,①통합_가정!$E$453-AH122)*①통합_가정!$O$484/12</f>
        <v>68.4439522574677</v>
      </c>
      <c r="AJ110" s="37" t="n">
        <f aca="false">AJ11*MAX(0,①통합_가정!$E$453-AI122)*①통합_가정!$O$484/12</f>
        <v>68.4439522574677</v>
      </c>
      <c r="AK110" s="37" t="n">
        <f aca="false">AK11*MAX(0,①통합_가정!$E$453-AJ122)*①통합_가정!$O$484/12</f>
        <v>68.4439522574677</v>
      </c>
      <c r="AL110" s="37" t="n">
        <f aca="false">AL11*MAX(0,①통합_가정!$E$453-AK122)*①통합_가정!$O$484/12</f>
        <v>68.4439522574677</v>
      </c>
      <c r="AM110" s="37" t="n">
        <f aca="false">AM11*MAX(0,①통합_가정!$E$453-AL122)*①통합_가정!$O$484/12</f>
        <v>68.4439522574677</v>
      </c>
      <c r="AN110" s="37" t="n">
        <f aca="false">AN11*MAX(0,①통합_가정!$E$453-AM122)*①통합_가정!$O$484/12</f>
        <v>68.4439522574677</v>
      </c>
      <c r="AO110" s="37" t="n">
        <f aca="false">AO11*MAX(0,①통합_가정!$E$453-AN122)*①통합_가정!$O$484/12</f>
        <v>59.1994745578367</v>
      </c>
      <c r="AP110" s="37" t="n">
        <f aca="false">AP11*MAX(0,①통합_가정!$E$453-AO122)*①통합_가정!$O$484/12</f>
        <v>59.1994745578367</v>
      </c>
      <c r="AQ110" s="37" t="n">
        <f aca="false">AQ11*MAX(0,①통합_가정!$E$453-AP122)*①통합_가정!$O$484/12</f>
        <v>59.1994745578367</v>
      </c>
      <c r="AR110" s="37" t="n">
        <f aca="false">AR11*MAX(0,①통합_가정!$E$453-AQ122)*①통합_가정!$O$484/12</f>
        <v>59.1994745578367</v>
      </c>
      <c r="AS110" s="37" t="n">
        <f aca="false">AS11*MAX(0,①통합_가정!$E$453-AR122)*①통합_가정!$O$484/12</f>
        <v>47.7519130800616</v>
      </c>
      <c r="AT110" s="37" t="n">
        <f aca="false">AT11*MAX(0,①통합_가정!$E$453-AS122)*①통합_가정!$O$484/12</f>
        <v>30.6033588560833</v>
      </c>
      <c r="AU110" s="37" t="n">
        <f aca="false">AU11*MAX(0,①통합_가정!$E$453-AT122)*①통합_가정!$O$484/12</f>
        <v>13.5366594238717</v>
      </c>
      <c r="AV110" s="37" t="n">
        <f aca="false">AV11*MAX(0,①통합_가정!$E$453-AU122)*①통합_가정!$O$484/12</f>
        <v>0</v>
      </c>
      <c r="AW110" s="37" t="n">
        <f aca="false">AW11*MAX(0,①통합_가정!$E$453-AV122)*①통합_가정!$O$484/12</f>
        <v>0</v>
      </c>
      <c r="AX110" s="37" t="n">
        <f aca="false">AX11*MAX(0,①통합_가정!$E$453-AW122)*①통합_가정!$O$484/12</f>
        <v>0</v>
      </c>
      <c r="AY110" s="37" t="n">
        <f aca="false">AY11*MAX(0,①통합_가정!$E$453-AX122)*①통합_가정!$O$484/12</f>
        <v>0</v>
      </c>
      <c r="AZ110" s="37" t="n">
        <f aca="false">AZ11*MAX(0,①통합_가정!$E$453-AY122)*①통합_가정!$O$484/12</f>
        <v>0</v>
      </c>
      <c r="BA110" s="37" t="n">
        <f aca="false">BA11*MAX(0,①통합_가정!$E$453-AZ122)*①통합_가정!$O$484/12</f>
        <v>0</v>
      </c>
      <c r="BB110" s="37" t="n">
        <f aca="false">BB11*MAX(0,①통합_가정!$E$453-BA122)*①통합_가정!$O$484/12</f>
        <v>0</v>
      </c>
      <c r="BC110" s="37" t="n">
        <f aca="false">BC11*MAX(0,①통합_가정!$E$453-BB122)*①통합_가정!$O$484/12</f>
        <v>0</v>
      </c>
      <c r="BD110" s="37" t="n">
        <f aca="false">BD11*MAX(0,①통합_가정!$E$453-BC122)*①통합_가정!$O$484/12</f>
        <v>0</v>
      </c>
      <c r="BE110" s="37" t="n">
        <f aca="false">BE11*MAX(0,①통합_가정!$E$453-BD122)*①통합_가정!$O$484/12</f>
        <v>0</v>
      </c>
      <c r="BF110" s="37" t="n">
        <f aca="false">BF11*MAX(0,①통합_가정!$E$453-BE122)*①통합_가정!$O$484/12</f>
        <v>0</v>
      </c>
      <c r="BG110" s="37" t="n">
        <f aca="false">BG11*MAX(0,①통합_가정!$E$453-BF122)*①통합_가정!$O$484/12</f>
        <v>0</v>
      </c>
      <c r="BH110" s="37" t="n">
        <f aca="false">BH11*MAX(0,①통합_가정!$E$453-BG122)*①통합_가정!$O$484/12</f>
        <v>0</v>
      </c>
      <c r="BI110" s="37" t="n">
        <f aca="false">BI11*MAX(0,①통합_가정!$E$453-BH122)*①통합_가정!$O$484/12</f>
        <v>0</v>
      </c>
      <c r="BJ110" s="37" t="n">
        <f aca="false">BJ11*MAX(0,①통합_가정!$E$453-BI122)*①통합_가정!$O$484/12</f>
        <v>0</v>
      </c>
      <c r="BK110" s="37" t="n">
        <f aca="false">BK11*MAX(0,①통합_가정!$E$453-BJ122)*①통합_가정!$O$484/12</f>
        <v>0</v>
      </c>
      <c r="BL110" s="37" t="n">
        <f aca="false">BL11*MAX(0,①통합_가정!$E$453-BK122)*①통합_가정!$O$484/12</f>
        <v>0</v>
      </c>
      <c r="BM110" s="37" t="n">
        <f aca="false">BM11*MAX(0,①통합_가정!$E$453-BL122)*①통합_가정!$O$484/12</f>
        <v>0</v>
      </c>
      <c r="BN110" s="37" t="n">
        <f aca="false">BN11*MAX(0,①통합_가정!$E$453-BM122)*①통합_가정!$O$484/12</f>
        <v>0</v>
      </c>
      <c r="BO110" s="37" t="n">
        <f aca="false">BO11*MAX(0,①통합_가정!$E$453-BN122)*①통합_가정!$O$484/12</f>
        <v>0</v>
      </c>
      <c r="BP110" s="37" t="n">
        <f aca="false">BP11*MAX(0,①통합_가정!$E$453-BO122)*①통합_가정!$O$484/12</f>
        <v>0</v>
      </c>
      <c r="BQ110" s="37" t="n">
        <f aca="false">BQ11*MAX(0,①통합_가정!$E$453-BP122)*①통합_가정!$O$484/12</f>
        <v>0</v>
      </c>
      <c r="BR110" s="37" t="n">
        <f aca="false">BR11*MAX(0,①통합_가정!$E$453-BQ122)*①통합_가정!$O$484/12</f>
        <v>0</v>
      </c>
      <c r="BS110" s="37" t="n">
        <f aca="false">BS11*MAX(0,①통합_가정!$E$453-BR122)*①통합_가정!$O$484/12</f>
        <v>0</v>
      </c>
      <c r="BT110" s="37" t="n">
        <f aca="false">BT11*MAX(0,①통합_가정!$E$453-BS122)*①통합_가정!$O$484/12</f>
        <v>0</v>
      </c>
      <c r="BU110" s="37" t="n">
        <f aca="false">BU11*MAX(0,①통합_가정!$E$453-BT122)*①통합_가정!$O$484/12</f>
        <v>0</v>
      </c>
      <c r="BV110" s="37" t="n">
        <f aca="false">BV11*MAX(0,①통합_가정!$E$453-BU122)*①통합_가정!$O$484/12</f>
        <v>0</v>
      </c>
      <c r="BW110" s="37" t="n">
        <f aca="false">BW11*MAX(0,①통합_가정!$E$453-BV122)*①통합_가정!$O$484/12</f>
        <v>0</v>
      </c>
      <c r="BX110" s="37" t="n">
        <f aca="false">BX11*MAX(0,①통합_가정!$E$453-BW122)*①통합_가정!$O$484/12</f>
        <v>0</v>
      </c>
      <c r="BY110" s="37" t="n">
        <f aca="false">BY11*MAX(0,①통합_가정!$E$453-BX122)*①통합_가정!$O$484/12</f>
        <v>0</v>
      </c>
      <c r="BZ110" s="37" t="n">
        <f aca="false">BZ11*MAX(0,①통합_가정!$E$453-BY122)*①통합_가정!$O$484/12</f>
        <v>0</v>
      </c>
      <c r="CA110" s="37" t="n">
        <f aca="false">CA11*MAX(0,①통합_가정!$E$453-BZ122)*①통합_가정!$O$484/12</f>
        <v>0</v>
      </c>
      <c r="CB110" s="37" t="n">
        <f aca="false">CB11*MAX(0,①통합_가정!$E$453-CA122)*①통합_가정!$O$484/12</f>
        <v>0</v>
      </c>
      <c r="CC110" s="37" t="n">
        <f aca="false">CC11*MAX(0,①통합_가정!$E$453-CB122)*①통합_가정!$O$484/12</f>
        <v>0</v>
      </c>
      <c r="CD110" s="37" t="n">
        <f aca="false">CD11*MAX(0,①통합_가정!$E$453-CC122)*①통합_가정!$O$484/12</f>
        <v>0</v>
      </c>
      <c r="CE110" s="37" t="n">
        <f aca="false">CE11*MAX(0,①통합_가정!$E$453-CD122)*①통합_가정!$O$484/12</f>
        <v>0</v>
      </c>
      <c r="CF110" s="37" t="n">
        <f aca="false">CF11*MAX(0,①통합_가정!$E$453-CE122)*①통합_가정!$O$484/12</f>
        <v>0</v>
      </c>
      <c r="CG110" s="37" t="n">
        <f aca="false">CG11*MAX(0,①통합_가정!$E$453-CF122)*①통합_가정!$O$484/12</f>
        <v>0</v>
      </c>
      <c r="CH110" s="37" t="n">
        <f aca="false">CH11*MAX(0,①통합_가정!$E$453-CG122)*①통합_가정!$O$484/12</f>
        <v>0</v>
      </c>
      <c r="CI110" s="37" t="n">
        <f aca="false">CI11*MAX(0,①통합_가정!$E$453-CH122)*①통합_가정!$O$484/12</f>
        <v>0</v>
      </c>
      <c r="CJ110" s="37" t="n">
        <f aca="false">CJ11*MAX(0,①통합_가정!$E$453-CI122)*①통합_가정!$O$484/12</f>
        <v>0</v>
      </c>
      <c r="CK110" s="37" t="n">
        <f aca="false">CK11*MAX(0,①통합_가정!$E$453-CJ122)*①통합_가정!$O$484/12</f>
        <v>0</v>
      </c>
      <c r="CL110" s="37" t="n">
        <f aca="false">CL11*MAX(0,①통합_가정!$E$453-CK122)*①통합_가정!$O$484/12</f>
        <v>0</v>
      </c>
      <c r="CM110" s="37" t="n">
        <f aca="false">CM11*MAX(0,①통합_가정!$E$453-CL122)*①통합_가정!$O$484/12</f>
        <v>0</v>
      </c>
      <c r="CN110" s="37" t="n">
        <f aca="false">CN11*MAX(0,①통합_가정!$E$453-CM122)*①통합_가정!$O$484/12</f>
        <v>0</v>
      </c>
      <c r="CO110" s="37" t="n">
        <f aca="false">CO11*MAX(0,①통합_가정!$E$453-CN122)*①통합_가정!$O$484/12</f>
        <v>0</v>
      </c>
      <c r="CP110" s="37" t="n">
        <f aca="false">CP11*MAX(0,①통합_가정!$E$453-CO122)*①통합_가정!$O$484/12</f>
        <v>0</v>
      </c>
      <c r="CQ110" s="37" t="n">
        <f aca="false">CQ11*MAX(0,①통합_가정!$E$453-CP122)*①통합_가정!$O$484/12</f>
        <v>0</v>
      </c>
      <c r="CR110" s="37" t="n">
        <f aca="false">CR11*MAX(0,①통합_가정!$E$453-CQ122)*①통합_가정!$O$484/12</f>
        <v>0</v>
      </c>
      <c r="CS110" s="37" t="n">
        <f aca="false">CS11*MAX(0,①통합_가정!$E$453-CR122)*①통합_가정!$O$484/12</f>
        <v>0</v>
      </c>
      <c r="CT110" s="37" t="n">
        <f aca="false">CT11*MAX(0,①통합_가정!$E$453-CS122)*①통합_가정!$O$484/12</f>
        <v>0</v>
      </c>
      <c r="CU110" s="37" t="n">
        <f aca="false">CU11*MAX(0,①통합_가정!$E$453-CT122)*①통합_가정!$O$484/12</f>
        <v>0</v>
      </c>
      <c r="CV110" s="37" t="n">
        <f aca="false">CV11*MAX(0,①통합_가정!$E$453-CU122)*①통합_가정!$O$484/12</f>
        <v>0</v>
      </c>
      <c r="CW110" s="37" t="n">
        <f aca="false">CW11*MAX(0,①통합_가정!$E$453-CV122)*①통합_가정!$O$484/12</f>
        <v>0</v>
      </c>
      <c r="CX110" s="37" t="n">
        <f aca="false">CX11*MAX(0,①통합_가정!$E$453-CW122)*①통합_가정!$O$484/12</f>
        <v>0</v>
      </c>
      <c r="CY110" s="37" t="n">
        <f aca="false">CY11*MAX(0,①통합_가정!$E$453-CX122)*①통합_가정!$O$484/12</f>
        <v>0</v>
      </c>
      <c r="CZ110" s="37" t="n">
        <f aca="false">CZ11*MAX(0,①통합_가정!$E$453-CY122)*①통합_가정!$O$484/12</f>
        <v>0</v>
      </c>
      <c r="DA110" s="37" t="n">
        <f aca="false">DA11*MAX(0,①통합_가정!$E$453-CZ122)*①통합_가정!$O$484/12</f>
        <v>0</v>
      </c>
      <c r="DB110" s="37" t="n">
        <f aca="false">DB11*MAX(0,①통합_가정!$E$453-DA122)*①통합_가정!$O$484/12</f>
        <v>0</v>
      </c>
      <c r="DC110" s="37" t="n">
        <f aca="false">DC11*MAX(0,①통합_가정!$E$453-DB122)*①통합_가정!$O$484/12</f>
        <v>0</v>
      </c>
      <c r="DD110" s="37" t="n">
        <f aca="false">DD11*MAX(0,①통합_가정!$E$453-DC122)*①통합_가정!$O$484/12</f>
        <v>0</v>
      </c>
      <c r="DE110" s="37" t="n">
        <f aca="false">DE11*MAX(0,①통합_가정!$E$453-DD122)*①통합_가정!$O$484/12</f>
        <v>0</v>
      </c>
      <c r="DF110" s="37" t="n">
        <f aca="false">DF11*MAX(0,①통합_가정!$E$453-DE122)*①통합_가정!$O$484/12</f>
        <v>0</v>
      </c>
      <c r="DG110" s="37" t="n">
        <f aca="false">DG11*MAX(0,①통합_가정!$E$453-DF122)*①통합_가정!$O$484/12</f>
        <v>0</v>
      </c>
      <c r="DH110" s="37" t="n">
        <f aca="false">DH11*MAX(0,①통합_가정!$E$453-DG122)*①통합_가정!$O$484/12</f>
        <v>0</v>
      </c>
      <c r="DI110" s="37" t="n">
        <f aca="false">DI11*MAX(0,①통합_가정!$E$453-DH122)*①통합_가정!$O$484/12</f>
        <v>0</v>
      </c>
      <c r="DJ110" s="37" t="n">
        <f aca="false">DJ11*MAX(0,①통합_가정!$E$453-DI122)*①통합_가정!$O$484/12</f>
        <v>0</v>
      </c>
      <c r="DK110" s="37" t="n">
        <f aca="false">DK11*MAX(0,①통합_가정!$E$453-DJ122)*①통합_가정!$O$484/12</f>
        <v>0</v>
      </c>
      <c r="DL110" s="37" t="n">
        <f aca="false">DL11*MAX(0,①통합_가정!$E$453-DK122)*①통합_가정!$O$484/12</f>
        <v>0</v>
      </c>
      <c r="DM110" s="37" t="n">
        <f aca="false">DM11*MAX(0,①통합_가정!$E$453-DL122)*①통합_가정!$O$484/12</f>
        <v>0</v>
      </c>
      <c r="DN110" s="37" t="n">
        <f aca="false">DN11*MAX(0,①통합_가정!$E$453-DM122)*①통합_가정!$O$484/12</f>
        <v>0</v>
      </c>
      <c r="DO110" s="37" t="n">
        <f aca="false">DO11*MAX(0,①통합_가정!$E$453-DN122)*①통합_가정!$O$484/12</f>
        <v>0</v>
      </c>
      <c r="DP110" s="37" t="n">
        <f aca="false">DP11*MAX(0,①통합_가정!$E$453-DO122)*①통합_가정!$O$484/12</f>
        <v>0</v>
      </c>
      <c r="DQ110" s="37" t="n">
        <f aca="false">DQ11*MAX(0,①통합_가정!$E$453-DP122)*①통합_가정!$O$484/12</f>
        <v>0</v>
      </c>
      <c r="DR110" s="37" t="n">
        <f aca="false">DR11*MAX(0,①통합_가정!$E$453-DQ122)*①통합_가정!$O$484/12</f>
        <v>0</v>
      </c>
      <c r="DS110" s="37" t="n">
        <f aca="false">DS11*MAX(0,①통합_가정!$E$453-DR122)*①통합_가정!$O$484/12</f>
        <v>0</v>
      </c>
      <c r="DT110" s="37" t="n">
        <f aca="false">DT11*MAX(0,①통합_가정!$E$453-DS122)*①통합_가정!$O$484/12</f>
        <v>0</v>
      </c>
      <c r="DU110" s="37" t="n">
        <f aca="false">DU11*MAX(0,①통합_가정!$E$453-DT122)*①통합_가정!$O$484/12</f>
        <v>0</v>
      </c>
      <c r="DV110" s="37" t="n">
        <f aca="false">DV11*MAX(0,①통합_가정!$E$453-DU122)*①통합_가정!$O$484/12</f>
        <v>0</v>
      </c>
      <c r="DW110" s="37" t="n">
        <f aca="false">DW11*MAX(0,①통합_가정!$E$453-DV122)*①통합_가정!$O$484/12</f>
        <v>0</v>
      </c>
      <c r="DX110" s="37" t="n">
        <f aca="false">DX11*MAX(0,①통합_가정!$E$453-DW122)*①통합_가정!$O$484/12</f>
        <v>0</v>
      </c>
      <c r="DY110" s="37" t="n">
        <f aca="false">DY11*MAX(0,①통합_가정!$E$453-DX122)*①통합_가정!$O$484/12</f>
        <v>0</v>
      </c>
      <c r="DZ110" s="37" t="n">
        <f aca="false">DZ11*MAX(0,①통합_가정!$E$453-DY122)*①통합_가정!$O$484/12</f>
        <v>0</v>
      </c>
      <c r="EA110" s="37" t="n">
        <f aca="false">EA11*MAX(0,①통합_가정!$E$453-DZ122)*①통합_가정!$O$484/12</f>
        <v>0</v>
      </c>
      <c r="EB110" s="37" t="n">
        <f aca="false">EB11*MAX(0,①통합_가정!$E$453-EA122)*①통합_가정!$O$484/12</f>
        <v>0</v>
      </c>
      <c r="EC110" s="37" t="n">
        <f aca="false">EC11*MAX(0,①통합_가정!$E$453-EB122)*①통합_가정!$O$484/12</f>
        <v>0</v>
      </c>
      <c r="ED110" s="37" t="n">
        <f aca="false">ED11*MAX(0,①통합_가정!$E$453-EC122)*①통합_가정!$O$484/12</f>
        <v>0</v>
      </c>
      <c r="EE110" s="37" t="n">
        <f aca="false">EE11*MAX(0,①통합_가정!$E$453-ED122)*①통합_가정!$O$484/12</f>
        <v>0</v>
      </c>
      <c r="EF110" s="37" t="n">
        <f aca="false">EF11*MAX(0,①통합_가정!$E$453-EE122)*①통합_가정!$O$484/12</f>
        <v>0</v>
      </c>
    </row>
    <row r="111" customFormat="false" ht="15" hidden="false" customHeight="false" outlineLevel="0" collapsed="false">
      <c r="A111" s="153" t="s">
        <v>650</v>
      </c>
      <c r="B111" s="278" t="s">
        <v>21</v>
      </c>
      <c r="C111" s="279" t="n">
        <f aca="false">SUM(E111:EF111)</f>
        <v>1080.44375537703</v>
      </c>
      <c r="E111" s="37" t="n">
        <f aca="false">E11*MAX(0,①통합_가정!$E$454-0)*①통합_가정!$O$485/12</f>
        <v>0</v>
      </c>
      <c r="F111" s="37" t="n">
        <f aca="false">F11*MAX(0,①통합_가정!$E$454-E123)*①통합_가정!$O$485/12</f>
        <v>0</v>
      </c>
      <c r="G111" s="37" t="n">
        <f aca="false">G11*MAX(0,①통합_가정!$E$454-F123)*①통합_가정!$O$485/12</f>
        <v>0</v>
      </c>
      <c r="H111" s="37" t="n">
        <f aca="false">H11*MAX(0,①통합_가정!$E$454-G123)*①통합_가정!$O$485/12</f>
        <v>0</v>
      </c>
      <c r="I111" s="37" t="n">
        <f aca="false">I11*MAX(0,①통합_가정!$E$454-H123)*①통합_가정!$O$485/12</f>
        <v>0</v>
      </c>
      <c r="J111" s="37" t="n">
        <f aca="false">J11*MAX(0,①통합_가정!$E$454-I123)*①통합_가정!$O$485/12</f>
        <v>0</v>
      </c>
      <c r="K111" s="37" t="n">
        <f aca="false">K11*MAX(0,①통합_가정!$E$454-J123)*①통합_가정!$O$485/12</f>
        <v>0</v>
      </c>
      <c r="L111" s="37" t="n">
        <f aca="false">L11*MAX(0,①통합_가정!$E$454-K123)*①통합_가정!$O$485/12</f>
        <v>0</v>
      </c>
      <c r="M111" s="37" t="n">
        <f aca="false">M11*MAX(0,①통합_가정!$E$454-L123)*①통합_가정!$O$485/12</f>
        <v>0</v>
      </c>
      <c r="N111" s="37" t="n">
        <f aca="false">N11*MAX(0,①통합_가정!$E$454-M123)*①통합_가정!$O$485/12</f>
        <v>0</v>
      </c>
      <c r="O111" s="37" t="n">
        <f aca="false">O11*MAX(0,①통합_가정!$E$454-N123)*①통합_가정!$O$485/12</f>
        <v>0</v>
      </c>
      <c r="P111" s="37" t="n">
        <f aca="false">P11*MAX(0,①통합_가정!$E$454-O123)*①통합_가정!$O$485/12</f>
        <v>0</v>
      </c>
      <c r="Q111" s="37" t="n">
        <f aca="false">Q11*MAX(0,①통합_가정!$E$454-P123)*①통합_가정!$O$485/12</f>
        <v>0</v>
      </c>
      <c r="R111" s="37" t="n">
        <f aca="false">R11*MAX(0,①통합_가정!$E$454-Q123)*①통합_가정!$O$485/12</f>
        <v>0</v>
      </c>
      <c r="S111" s="37" t="n">
        <f aca="false">S11*MAX(0,①통합_가정!$E$454-R123)*①통합_가정!$O$485/12</f>
        <v>0</v>
      </c>
      <c r="T111" s="37" t="n">
        <f aca="false">T11*MAX(0,①통합_가정!$E$454-S123)*①통합_가정!$O$485/12</f>
        <v>0</v>
      </c>
      <c r="U111" s="37" t="n">
        <f aca="false">U11*MAX(0,①통합_가정!$E$454-T123)*①통합_가정!$O$485/12</f>
        <v>0</v>
      </c>
      <c r="V111" s="37" t="n">
        <f aca="false">V11*MAX(0,①통합_가정!$E$454-U123)*①통합_가정!$O$485/12</f>
        <v>0</v>
      </c>
      <c r="W111" s="37" t="n">
        <f aca="false">W11*MAX(0,①통합_가정!$E$454-V123)*①통합_가정!$O$485/12</f>
        <v>68.3960558598068</v>
      </c>
      <c r="X111" s="37" t="n">
        <f aca="false">X11*MAX(0,①통합_가정!$E$454-W123)*①통합_가정!$O$485/12</f>
        <v>68.3960558598068</v>
      </c>
      <c r="Y111" s="37" t="n">
        <f aca="false">Y11*MAX(0,①통합_가정!$E$454-X123)*①통합_가정!$O$485/12</f>
        <v>68.3960558598068</v>
      </c>
      <c r="Z111" s="37" t="n">
        <f aca="false">Z11*MAX(0,①통합_가정!$E$454-Y123)*①통합_가정!$O$485/12</f>
        <v>68.3960558598068</v>
      </c>
      <c r="AA111" s="37" t="n">
        <f aca="false">AA11*MAX(0,①통합_가정!$E$454-Z123)*①통합_가정!$O$485/12</f>
        <v>68.3960558598068</v>
      </c>
      <c r="AB111" s="37" t="n">
        <f aca="false">AB11*MAX(0,①통합_가정!$E$454-AA123)*①통합_가정!$O$485/12</f>
        <v>68.3960558598068</v>
      </c>
      <c r="AC111" s="37" t="n">
        <f aca="false">AC11*MAX(0,①통합_가정!$E$454-AB123)*①통합_가정!$O$485/12</f>
        <v>68.3960558598068</v>
      </c>
      <c r="AD111" s="37" t="n">
        <f aca="false">AD11*MAX(0,①통합_가정!$E$454-AC123)*①통합_가정!$O$485/12</f>
        <v>68.3960558598068</v>
      </c>
      <c r="AE111" s="37" t="n">
        <f aca="false">AE11*MAX(0,①통합_가정!$E$454-AD123)*①통합_가정!$O$485/12</f>
        <v>68.3960558598068</v>
      </c>
      <c r="AF111" s="37" t="n">
        <f aca="false">AF11*MAX(0,①통합_가정!$E$454-AE123)*①통합_가정!$O$485/12</f>
        <v>68.3960558598068</v>
      </c>
      <c r="AG111" s="37" t="n">
        <f aca="false">AG11*MAX(0,①통합_가정!$E$454-AF123)*①통합_가정!$O$485/12</f>
        <v>68.3960558598068</v>
      </c>
      <c r="AH111" s="37" t="n">
        <f aca="false">AH11*MAX(0,①통합_가정!$E$454-AG123)*①통합_가정!$O$485/12</f>
        <v>68.3960558598068</v>
      </c>
      <c r="AI111" s="37" t="n">
        <f aca="false">AI11*MAX(0,①통합_가정!$E$454-AH123)*①통합_가정!$O$485/12</f>
        <v>68.3960558598068</v>
      </c>
      <c r="AJ111" s="37" t="n">
        <f aca="false">AJ11*MAX(0,①통합_가정!$E$454-AI123)*①통합_가정!$O$485/12</f>
        <v>67.9815282037235</v>
      </c>
      <c r="AK111" s="37" t="n">
        <f aca="false">AK11*MAX(0,①통합_가정!$E$454-AJ123)*①통합_가정!$O$485/12</f>
        <v>53.7814496330265</v>
      </c>
      <c r="AL111" s="37" t="n">
        <f aca="false">AL11*MAX(0,①통합_가정!$E$454-AK123)*①통합_가정!$O$485/12</f>
        <v>38.8825526369953</v>
      </c>
      <c r="AM111" s="37" t="n">
        <f aca="false">AM11*MAX(0,①통합_가정!$E$454-AL123)*①통합_가정!$O$485/12</f>
        <v>23.3594227347851</v>
      </c>
      <c r="AN111" s="37" t="n">
        <f aca="false">AN11*MAX(0,①통합_가정!$E$454-AM123)*①통합_가정!$O$485/12</f>
        <v>7.29007599100952</v>
      </c>
      <c r="AO111" s="37" t="n">
        <f aca="false">AO11*MAX(0,①통합_가정!$E$454-AN123)*①통합_가정!$O$485/12</f>
        <v>0</v>
      </c>
      <c r="AP111" s="37" t="n">
        <f aca="false">AP11*MAX(0,①통합_가정!$E$454-AO123)*①통합_가정!$O$485/12</f>
        <v>0</v>
      </c>
      <c r="AQ111" s="37" t="n">
        <f aca="false">AQ11*MAX(0,①통합_가정!$E$454-AP123)*①통합_가정!$O$485/12</f>
        <v>0</v>
      </c>
      <c r="AR111" s="37" t="n">
        <f aca="false">AR11*MAX(0,①통합_가정!$E$454-AQ123)*①통합_가정!$O$485/12</f>
        <v>0</v>
      </c>
      <c r="AS111" s="37" t="n">
        <f aca="false">AS11*MAX(0,①통합_가정!$E$454-AR123)*①통합_가정!$O$485/12</f>
        <v>0</v>
      </c>
      <c r="AT111" s="37" t="n">
        <f aca="false">AT11*MAX(0,①통합_가정!$E$454-AS123)*①통합_가정!$O$485/12</f>
        <v>0</v>
      </c>
      <c r="AU111" s="37" t="n">
        <f aca="false">AU11*MAX(0,①통합_가정!$E$454-AT123)*①통합_가정!$O$485/12</f>
        <v>0</v>
      </c>
      <c r="AV111" s="37" t="n">
        <f aca="false">AV11*MAX(0,①통합_가정!$E$454-AU123)*①통합_가정!$O$485/12</f>
        <v>0</v>
      </c>
      <c r="AW111" s="37" t="n">
        <f aca="false">AW11*MAX(0,①통합_가정!$E$454-AV123)*①통합_가정!$O$485/12</f>
        <v>0</v>
      </c>
      <c r="AX111" s="37" t="n">
        <f aca="false">AX11*MAX(0,①통합_가정!$E$454-AW123)*①통합_가정!$O$485/12</f>
        <v>0</v>
      </c>
      <c r="AY111" s="37" t="n">
        <f aca="false">AY11*MAX(0,①통합_가정!$E$454-AX123)*①통합_가정!$O$485/12</f>
        <v>0</v>
      </c>
      <c r="AZ111" s="37" t="n">
        <f aca="false">AZ11*MAX(0,①통합_가정!$E$454-AY123)*①통합_가정!$O$485/12</f>
        <v>0</v>
      </c>
      <c r="BA111" s="37" t="n">
        <f aca="false">BA11*MAX(0,①통합_가정!$E$454-AZ123)*①통합_가정!$O$485/12</f>
        <v>0</v>
      </c>
      <c r="BB111" s="37" t="n">
        <f aca="false">BB11*MAX(0,①통합_가정!$E$454-BA123)*①통합_가정!$O$485/12</f>
        <v>0</v>
      </c>
      <c r="BC111" s="37" t="n">
        <f aca="false">BC11*MAX(0,①통합_가정!$E$454-BB123)*①통합_가정!$O$485/12</f>
        <v>0</v>
      </c>
      <c r="BD111" s="37" t="n">
        <f aca="false">BD11*MAX(0,①통합_가정!$E$454-BC123)*①통합_가정!$O$485/12</f>
        <v>0</v>
      </c>
      <c r="BE111" s="37" t="n">
        <f aca="false">BE11*MAX(0,①통합_가정!$E$454-BD123)*①통합_가정!$O$485/12</f>
        <v>0</v>
      </c>
      <c r="BF111" s="37" t="n">
        <f aca="false">BF11*MAX(0,①통합_가정!$E$454-BE123)*①통합_가정!$O$485/12</f>
        <v>0</v>
      </c>
      <c r="BG111" s="37" t="n">
        <f aca="false">BG11*MAX(0,①통합_가정!$E$454-BF123)*①통합_가정!$O$485/12</f>
        <v>0</v>
      </c>
      <c r="BH111" s="37" t="n">
        <f aca="false">BH11*MAX(0,①통합_가정!$E$454-BG123)*①통합_가정!$O$485/12</f>
        <v>0</v>
      </c>
      <c r="BI111" s="37" t="n">
        <f aca="false">BI11*MAX(0,①통합_가정!$E$454-BH123)*①통합_가정!$O$485/12</f>
        <v>0</v>
      </c>
      <c r="BJ111" s="37" t="n">
        <f aca="false">BJ11*MAX(0,①통합_가정!$E$454-BI123)*①통합_가정!$O$485/12</f>
        <v>0</v>
      </c>
      <c r="BK111" s="37" t="n">
        <f aca="false">BK11*MAX(0,①통합_가정!$E$454-BJ123)*①통합_가정!$O$485/12</f>
        <v>0</v>
      </c>
      <c r="BL111" s="37" t="n">
        <f aca="false">BL11*MAX(0,①통합_가정!$E$454-BK123)*①통합_가정!$O$485/12</f>
        <v>0</v>
      </c>
      <c r="BM111" s="37" t="n">
        <f aca="false">BM11*MAX(0,①통합_가정!$E$454-BL123)*①통합_가정!$O$485/12</f>
        <v>0</v>
      </c>
      <c r="BN111" s="37" t="n">
        <f aca="false">BN11*MAX(0,①통합_가정!$E$454-BM123)*①통합_가정!$O$485/12</f>
        <v>0</v>
      </c>
      <c r="BO111" s="37" t="n">
        <f aca="false">BO11*MAX(0,①통합_가정!$E$454-BN123)*①통합_가정!$O$485/12</f>
        <v>0</v>
      </c>
      <c r="BP111" s="37" t="n">
        <f aca="false">BP11*MAX(0,①통합_가정!$E$454-BO123)*①통합_가정!$O$485/12</f>
        <v>0</v>
      </c>
      <c r="BQ111" s="37" t="n">
        <f aca="false">BQ11*MAX(0,①통합_가정!$E$454-BP123)*①통합_가정!$O$485/12</f>
        <v>0</v>
      </c>
      <c r="BR111" s="37" t="n">
        <f aca="false">BR11*MAX(0,①통합_가정!$E$454-BQ123)*①통합_가정!$O$485/12</f>
        <v>0</v>
      </c>
      <c r="BS111" s="37" t="n">
        <f aca="false">BS11*MAX(0,①통합_가정!$E$454-BR123)*①통합_가정!$O$485/12</f>
        <v>0</v>
      </c>
      <c r="BT111" s="37" t="n">
        <f aca="false">BT11*MAX(0,①통합_가정!$E$454-BS123)*①통합_가정!$O$485/12</f>
        <v>0</v>
      </c>
      <c r="BU111" s="37" t="n">
        <f aca="false">BU11*MAX(0,①통합_가정!$E$454-BT123)*①통합_가정!$O$485/12</f>
        <v>0</v>
      </c>
      <c r="BV111" s="37" t="n">
        <f aca="false">BV11*MAX(0,①통합_가정!$E$454-BU123)*①통합_가정!$O$485/12</f>
        <v>0</v>
      </c>
      <c r="BW111" s="37" t="n">
        <f aca="false">BW11*MAX(0,①통합_가정!$E$454-BV123)*①통합_가정!$O$485/12</f>
        <v>0</v>
      </c>
      <c r="BX111" s="37" t="n">
        <f aca="false">BX11*MAX(0,①통합_가정!$E$454-BW123)*①통합_가정!$O$485/12</f>
        <v>0</v>
      </c>
      <c r="BY111" s="37" t="n">
        <f aca="false">BY11*MAX(0,①통합_가정!$E$454-BX123)*①통합_가정!$O$485/12</f>
        <v>0</v>
      </c>
      <c r="BZ111" s="37" t="n">
        <f aca="false">BZ11*MAX(0,①통합_가정!$E$454-BY123)*①통합_가정!$O$485/12</f>
        <v>0</v>
      </c>
      <c r="CA111" s="37" t="n">
        <f aca="false">CA11*MAX(0,①통합_가정!$E$454-BZ123)*①통합_가정!$O$485/12</f>
        <v>0</v>
      </c>
      <c r="CB111" s="37" t="n">
        <f aca="false">CB11*MAX(0,①통합_가정!$E$454-CA123)*①통합_가정!$O$485/12</f>
        <v>0</v>
      </c>
      <c r="CC111" s="37" t="n">
        <f aca="false">CC11*MAX(0,①통합_가정!$E$454-CB123)*①통합_가정!$O$485/12</f>
        <v>0</v>
      </c>
      <c r="CD111" s="37" t="n">
        <f aca="false">CD11*MAX(0,①통합_가정!$E$454-CC123)*①통합_가정!$O$485/12</f>
        <v>0</v>
      </c>
      <c r="CE111" s="37" t="n">
        <f aca="false">CE11*MAX(0,①통합_가정!$E$454-CD123)*①통합_가정!$O$485/12</f>
        <v>0</v>
      </c>
      <c r="CF111" s="37" t="n">
        <f aca="false">CF11*MAX(0,①통합_가정!$E$454-CE123)*①통합_가정!$O$485/12</f>
        <v>0</v>
      </c>
      <c r="CG111" s="37" t="n">
        <f aca="false">CG11*MAX(0,①통합_가정!$E$454-CF123)*①통합_가정!$O$485/12</f>
        <v>0</v>
      </c>
      <c r="CH111" s="37" t="n">
        <f aca="false">CH11*MAX(0,①통합_가정!$E$454-CG123)*①통합_가정!$O$485/12</f>
        <v>0</v>
      </c>
      <c r="CI111" s="37" t="n">
        <f aca="false">CI11*MAX(0,①통합_가정!$E$454-CH123)*①통합_가정!$O$485/12</f>
        <v>0</v>
      </c>
      <c r="CJ111" s="37" t="n">
        <f aca="false">CJ11*MAX(0,①통합_가정!$E$454-CI123)*①통합_가정!$O$485/12</f>
        <v>0</v>
      </c>
      <c r="CK111" s="37" t="n">
        <f aca="false">CK11*MAX(0,①통합_가정!$E$454-CJ123)*①통합_가정!$O$485/12</f>
        <v>0</v>
      </c>
      <c r="CL111" s="37" t="n">
        <f aca="false">CL11*MAX(0,①통합_가정!$E$454-CK123)*①통합_가정!$O$485/12</f>
        <v>0</v>
      </c>
      <c r="CM111" s="37" t="n">
        <f aca="false">CM11*MAX(0,①통합_가정!$E$454-CL123)*①통합_가정!$O$485/12</f>
        <v>0</v>
      </c>
      <c r="CN111" s="37" t="n">
        <f aca="false">CN11*MAX(0,①통합_가정!$E$454-CM123)*①통합_가정!$O$485/12</f>
        <v>0</v>
      </c>
      <c r="CO111" s="37" t="n">
        <f aca="false">CO11*MAX(0,①통합_가정!$E$454-CN123)*①통합_가정!$O$485/12</f>
        <v>0</v>
      </c>
      <c r="CP111" s="37" t="n">
        <f aca="false">CP11*MAX(0,①통합_가정!$E$454-CO123)*①통합_가정!$O$485/12</f>
        <v>0</v>
      </c>
      <c r="CQ111" s="37" t="n">
        <f aca="false">CQ11*MAX(0,①통합_가정!$E$454-CP123)*①통합_가정!$O$485/12</f>
        <v>0</v>
      </c>
      <c r="CR111" s="37" t="n">
        <f aca="false">CR11*MAX(0,①통합_가정!$E$454-CQ123)*①통합_가정!$O$485/12</f>
        <v>0</v>
      </c>
      <c r="CS111" s="37" t="n">
        <f aca="false">CS11*MAX(0,①통합_가정!$E$454-CR123)*①통합_가정!$O$485/12</f>
        <v>0</v>
      </c>
      <c r="CT111" s="37" t="n">
        <f aca="false">CT11*MAX(0,①통합_가정!$E$454-CS123)*①통합_가정!$O$485/12</f>
        <v>0</v>
      </c>
      <c r="CU111" s="37" t="n">
        <f aca="false">CU11*MAX(0,①통합_가정!$E$454-CT123)*①통합_가정!$O$485/12</f>
        <v>0</v>
      </c>
      <c r="CV111" s="37" t="n">
        <f aca="false">CV11*MAX(0,①통합_가정!$E$454-CU123)*①통합_가정!$O$485/12</f>
        <v>0</v>
      </c>
      <c r="CW111" s="37" t="n">
        <f aca="false">CW11*MAX(0,①통합_가정!$E$454-CV123)*①통합_가정!$O$485/12</f>
        <v>0</v>
      </c>
      <c r="CX111" s="37" t="n">
        <f aca="false">CX11*MAX(0,①통합_가정!$E$454-CW123)*①통합_가정!$O$485/12</f>
        <v>0</v>
      </c>
      <c r="CY111" s="37" t="n">
        <f aca="false">CY11*MAX(0,①통합_가정!$E$454-CX123)*①통합_가정!$O$485/12</f>
        <v>0</v>
      </c>
      <c r="CZ111" s="37" t="n">
        <f aca="false">CZ11*MAX(0,①통합_가정!$E$454-CY123)*①통합_가정!$O$485/12</f>
        <v>0</v>
      </c>
      <c r="DA111" s="37" t="n">
        <f aca="false">DA11*MAX(0,①통합_가정!$E$454-CZ123)*①통합_가정!$O$485/12</f>
        <v>0</v>
      </c>
      <c r="DB111" s="37" t="n">
        <f aca="false">DB11*MAX(0,①통합_가정!$E$454-DA123)*①통합_가정!$O$485/12</f>
        <v>0</v>
      </c>
      <c r="DC111" s="37" t="n">
        <f aca="false">DC11*MAX(0,①통합_가정!$E$454-DB123)*①통합_가정!$O$485/12</f>
        <v>0</v>
      </c>
      <c r="DD111" s="37" t="n">
        <f aca="false">DD11*MAX(0,①통합_가정!$E$454-DC123)*①통합_가정!$O$485/12</f>
        <v>0</v>
      </c>
      <c r="DE111" s="37" t="n">
        <f aca="false">DE11*MAX(0,①통합_가정!$E$454-DD123)*①통합_가정!$O$485/12</f>
        <v>0</v>
      </c>
      <c r="DF111" s="37" t="n">
        <f aca="false">DF11*MAX(0,①통합_가정!$E$454-DE123)*①통합_가정!$O$485/12</f>
        <v>0</v>
      </c>
      <c r="DG111" s="37" t="n">
        <f aca="false">DG11*MAX(0,①통합_가정!$E$454-DF123)*①통합_가정!$O$485/12</f>
        <v>0</v>
      </c>
      <c r="DH111" s="37" t="n">
        <f aca="false">DH11*MAX(0,①통합_가정!$E$454-DG123)*①통합_가정!$O$485/12</f>
        <v>0</v>
      </c>
      <c r="DI111" s="37" t="n">
        <f aca="false">DI11*MAX(0,①통합_가정!$E$454-DH123)*①통합_가정!$O$485/12</f>
        <v>0</v>
      </c>
      <c r="DJ111" s="37" t="n">
        <f aca="false">DJ11*MAX(0,①통합_가정!$E$454-DI123)*①통합_가정!$O$485/12</f>
        <v>0</v>
      </c>
      <c r="DK111" s="37" t="n">
        <f aca="false">DK11*MAX(0,①통합_가정!$E$454-DJ123)*①통합_가정!$O$485/12</f>
        <v>0</v>
      </c>
      <c r="DL111" s="37" t="n">
        <f aca="false">DL11*MAX(0,①통합_가정!$E$454-DK123)*①통합_가정!$O$485/12</f>
        <v>0</v>
      </c>
      <c r="DM111" s="37" t="n">
        <f aca="false">DM11*MAX(0,①통합_가정!$E$454-DL123)*①통합_가정!$O$485/12</f>
        <v>0</v>
      </c>
      <c r="DN111" s="37" t="n">
        <f aca="false">DN11*MAX(0,①통합_가정!$E$454-DM123)*①통합_가정!$O$485/12</f>
        <v>0</v>
      </c>
      <c r="DO111" s="37" t="n">
        <f aca="false">DO11*MAX(0,①통합_가정!$E$454-DN123)*①통합_가정!$O$485/12</f>
        <v>0</v>
      </c>
      <c r="DP111" s="37" t="n">
        <f aca="false">DP11*MAX(0,①통합_가정!$E$454-DO123)*①통합_가정!$O$485/12</f>
        <v>0</v>
      </c>
      <c r="DQ111" s="37" t="n">
        <f aca="false">DQ11*MAX(0,①통합_가정!$E$454-DP123)*①통합_가정!$O$485/12</f>
        <v>0</v>
      </c>
      <c r="DR111" s="37" t="n">
        <f aca="false">DR11*MAX(0,①통합_가정!$E$454-DQ123)*①통합_가정!$O$485/12</f>
        <v>0</v>
      </c>
      <c r="DS111" s="37" t="n">
        <f aca="false">DS11*MAX(0,①통합_가정!$E$454-DR123)*①통합_가정!$O$485/12</f>
        <v>0</v>
      </c>
      <c r="DT111" s="37" t="n">
        <f aca="false">DT11*MAX(0,①통합_가정!$E$454-DS123)*①통합_가정!$O$485/12</f>
        <v>0</v>
      </c>
      <c r="DU111" s="37" t="n">
        <f aca="false">DU11*MAX(0,①통합_가정!$E$454-DT123)*①통합_가정!$O$485/12</f>
        <v>0</v>
      </c>
      <c r="DV111" s="37" t="n">
        <f aca="false">DV11*MAX(0,①통합_가정!$E$454-DU123)*①통합_가정!$O$485/12</f>
        <v>0</v>
      </c>
      <c r="DW111" s="37" t="n">
        <f aca="false">DW11*MAX(0,①통합_가정!$E$454-DV123)*①통합_가정!$O$485/12</f>
        <v>0</v>
      </c>
      <c r="DX111" s="37" t="n">
        <f aca="false">DX11*MAX(0,①통합_가정!$E$454-DW123)*①통합_가정!$O$485/12</f>
        <v>0</v>
      </c>
      <c r="DY111" s="37" t="n">
        <f aca="false">DY11*MAX(0,①통합_가정!$E$454-DX123)*①통합_가정!$O$485/12</f>
        <v>0</v>
      </c>
      <c r="DZ111" s="37" t="n">
        <f aca="false">DZ11*MAX(0,①통합_가정!$E$454-DY123)*①통합_가정!$O$485/12</f>
        <v>0</v>
      </c>
      <c r="EA111" s="37" t="n">
        <f aca="false">EA11*MAX(0,①통합_가정!$E$454-DZ123)*①통합_가정!$O$485/12</f>
        <v>0</v>
      </c>
      <c r="EB111" s="37" t="n">
        <f aca="false">EB11*MAX(0,①통합_가정!$E$454-EA123)*①통합_가정!$O$485/12</f>
        <v>0</v>
      </c>
      <c r="EC111" s="37" t="n">
        <f aca="false">EC11*MAX(0,①통합_가정!$E$454-EB123)*①통합_가정!$O$485/12</f>
        <v>0</v>
      </c>
      <c r="ED111" s="37" t="n">
        <f aca="false">ED11*MAX(0,①통합_가정!$E$454-EC123)*①통합_가정!$O$485/12</f>
        <v>0</v>
      </c>
      <c r="EE111" s="37" t="n">
        <f aca="false">EE11*MAX(0,①통합_가정!$E$454-ED123)*①통합_가정!$O$485/12</f>
        <v>0</v>
      </c>
      <c r="EF111" s="37" t="n">
        <f aca="false">EF11*MAX(0,①통합_가정!$E$454-EE123)*①통합_가정!$O$485/12</f>
        <v>0</v>
      </c>
    </row>
    <row r="112" customFormat="false" ht="15" hidden="false" customHeight="false" outlineLevel="0" collapsed="false">
      <c r="A112" s="284" t="s">
        <v>651</v>
      </c>
      <c r="B112" s="281" t="s">
        <v>21</v>
      </c>
      <c r="C112" s="282" t="n">
        <f aca="false">SUM(E112:EF112)</f>
        <v>95505.6823353475</v>
      </c>
      <c r="D112" s="48"/>
      <c r="E112" s="283" t="n">
        <f aca="false">SUM(E103:E111)</f>
        <v>0</v>
      </c>
      <c r="F112" s="283" t="n">
        <f aca="false">SUM(F103:F111)</f>
        <v>0</v>
      </c>
      <c r="G112" s="283" t="n">
        <f aca="false">SUM(G103:G111)</f>
        <v>0</v>
      </c>
      <c r="H112" s="283" t="n">
        <f aca="false">SUM(H103:H111)</f>
        <v>0</v>
      </c>
      <c r="I112" s="283" t="n">
        <f aca="false">SUM(I103:I111)</f>
        <v>0</v>
      </c>
      <c r="J112" s="283" t="n">
        <f aca="false">SUM(J103:J111)</f>
        <v>0</v>
      </c>
      <c r="K112" s="283" t="n">
        <f aca="false">SUM(K103:K111)</f>
        <v>0</v>
      </c>
      <c r="L112" s="283" t="n">
        <f aca="false">SUM(L103:L111)</f>
        <v>0</v>
      </c>
      <c r="M112" s="283" t="n">
        <f aca="false">SUM(M103:M111)</f>
        <v>0</v>
      </c>
      <c r="N112" s="283" t="n">
        <f aca="false">SUM(N103:N111)</f>
        <v>0</v>
      </c>
      <c r="O112" s="283" t="n">
        <f aca="false">SUM(O103:O111)</f>
        <v>0</v>
      </c>
      <c r="P112" s="283" t="n">
        <f aca="false">SUM(P103:P111)</f>
        <v>0</v>
      </c>
      <c r="Q112" s="283" t="n">
        <f aca="false">SUM(Q103:Q111)</f>
        <v>0</v>
      </c>
      <c r="R112" s="283" t="n">
        <f aca="false">SUM(R103:R111)</f>
        <v>0</v>
      </c>
      <c r="S112" s="283" t="n">
        <f aca="false">SUM(S103:S111)</f>
        <v>0</v>
      </c>
      <c r="T112" s="283" t="n">
        <f aca="false">SUM(T103:T111)</f>
        <v>0</v>
      </c>
      <c r="U112" s="283" t="n">
        <f aca="false">SUM(U103:U111)</f>
        <v>0</v>
      </c>
      <c r="V112" s="283" t="n">
        <f aca="false">SUM(V103:V111)</f>
        <v>0</v>
      </c>
      <c r="W112" s="283" t="n">
        <f aca="false">SUM(W103:W111)</f>
        <v>11974.0994152323</v>
      </c>
      <c r="X112" s="283" t="n">
        <f aca="false">SUM(X103:X111)</f>
        <v>478.963976609291</v>
      </c>
      <c r="Y112" s="283" t="n">
        <f aca="false">SUM(Y103:Y111)</f>
        <v>478.963976609291</v>
      </c>
      <c r="Z112" s="283" t="n">
        <f aca="false">SUM(Z103:Z111)</f>
        <v>478.963976609291</v>
      </c>
      <c r="AA112" s="283" t="n">
        <f aca="false">SUM(AA103:AA111)</f>
        <v>478.963976609291</v>
      </c>
      <c r="AB112" s="283" t="n">
        <f aca="false">SUM(AB103:AB111)</f>
        <v>478.963976609291</v>
      </c>
      <c r="AC112" s="283" t="n">
        <f aca="false">SUM(AC103:AC111)</f>
        <v>478.963976609291</v>
      </c>
      <c r="AD112" s="283" t="n">
        <f aca="false">SUM(AD103:AD111)</f>
        <v>478.963976609291</v>
      </c>
      <c r="AE112" s="283" t="n">
        <f aca="false">SUM(AE103:AE111)</f>
        <v>478.963976609291</v>
      </c>
      <c r="AF112" s="283" t="n">
        <f aca="false">SUM(AF103:AF111)</f>
        <v>478.963976609291</v>
      </c>
      <c r="AG112" s="283" t="n">
        <f aca="false">SUM(AG103:AG111)</f>
        <v>478.963976609291</v>
      </c>
      <c r="AH112" s="283" t="n">
        <f aca="false">SUM(AH103:AH111)</f>
        <v>478.963976609291</v>
      </c>
      <c r="AI112" s="283" t="n">
        <f aca="false">SUM(AI103:AI111)</f>
        <v>478.963976609291</v>
      </c>
      <c r="AJ112" s="283" t="n">
        <f aca="false">SUM(AJ103:AJ111)</f>
        <v>485.845135700272</v>
      </c>
      <c r="AK112" s="283" t="n">
        <f aca="false">SUM(AK103:AK111)</f>
        <v>721.566439973844</v>
      </c>
      <c r="AL112" s="283" t="n">
        <f aca="false">SUM(AL103:AL111)</f>
        <v>968.888130107961</v>
      </c>
      <c r="AM112" s="283" t="n">
        <f aca="false">SUM(AM103:AM111)</f>
        <v>1226.57208648465</v>
      </c>
      <c r="AN112" s="283" t="n">
        <f aca="false">SUM(AN103:AN111)</f>
        <v>1493.32324243133</v>
      </c>
      <c r="AO112" s="283" t="n">
        <f aca="false">SUM(AO103:AO111)</f>
        <v>1740.06340059706</v>
      </c>
      <c r="AP112" s="283" t="n">
        <f aca="false">SUM(AP103:AP111)</f>
        <v>1740.06340059706</v>
      </c>
      <c r="AQ112" s="283" t="n">
        <f aca="false">SUM(AQ103:AQ111)</f>
        <v>1740.06340059706</v>
      </c>
      <c r="AR112" s="283" t="n">
        <f aca="false">SUM(AR103:AR111)</f>
        <v>1740.06340059706</v>
      </c>
      <c r="AS112" s="283" t="n">
        <f aca="false">SUM(AS103:AS111)</f>
        <v>1895.75023669481</v>
      </c>
      <c r="AT112" s="283" t="n">
        <f aca="false">SUM(AT103:AT111)</f>
        <v>2128.97057414091</v>
      </c>
      <c r="AU112" s="283" t="n">
        <f aca="false">SUM(AU103:AU111)</f>
        <v>2361.07768641899</v>
      </c>
      <c r="AV112" s="283" t="n">
        <f aca="false">SUM(AV103:AV111)</f>
        <v>2585.48975800481</v>
      </c>
      <c r="AW112" s="283" t="n">
        <f aca="false">SUM(AW103:AW111)</f>
        <v>2785.11650728772</v>
      </c>
      <c r="AX112" s="283" t="n">
        <f aca="false">SUM(AX103:AX111)</f>
        <v>2980.47520800014</v>
      </c>
      <c r="AY112" s="283" t="n">
        <f aca="false">SUM(AY103:AY111)</f>
        <v>3170.55651579264</v>
      </c>
      <c r="AZ112" s="283" t="n">
        <f aca="false">SUM(AZ103:AZ111)</f>
        <v>3354.38101554147</v>
      </c>
      <c r="BA112" s="283" t="n">
        <f aca="false">SUM(BA103:BA111)</f>
        <v>3531.0047007147</v>
      </c>
      <c r="BB112" s="283" t="n">
        <f aca="false">SUM(BB103:BB111)</f>
        <v>3531.0047007147</v>
      </c>
      <c r="BC112" s="283" t="n">
        <f aca="false">SUM(BC103:BC111)</f>
        <v>3531.0047007147</v>
      </c>
      <c r="BD112" s="283" t="n">
        <f aca="false">SUM(BD103:BD111)</f>
        <v>3531.0047007147</v>
      </c>
      <c r="BE112" s="283" t="n">
        <f aca="false">SUM(BE103:BE111)</f>
        <v>3531.0047007147</v>
      </c>
      <c r="BF112" s="283" t="n">
        <f aca="false">SUM(BF103:BF111)</f>
        <v>3584.77217609331</v>
      </c>
      <c r="BG112" s="283" t="n">
        <f aca="false">SUM(BG103:BG111)</f>
        <v>3697.52706480801</v>
      </c>
      <c r="BH112" s="283" t="n">
        <f aca="false">SUM(BH103:BH111)</f>
        <v>3797.85877603979</v>
      </c>
      <c r="BI112" s="283" t="n">
        <f aca="false">SUM(BI103:BI111)</f>
        <v>3885.27413211607</v>
      </c>
      <c r="BJ112" s="283" t="n">
        <f aca="false">SUM(BJ103:BJ111)</f>
        <v>3959.35252845145</v>
      </c>
      <c r="BK112" s="283" t="n">
        <f aca="false">SUM(BK103:BK111)</f>
        <v>4019.74828743712</v>
      </c>
      <c r="BL112" s="283" t="n">
        <f aca="false">SUM(BL103:BL111)</f>
        <v>4066.19259331664</v>
      </c>
      <c r="BM112" s="283" t="n">
        <f aca="false">SUM(BM103:BM111)</f>
        <v>0</v>
      </c>
      <c r="BN112" s="283" t="n">
        <f aca="false">SUM(BN103:BN111)</f>
        <v>0</v>
      </c>
      <c r="BO112" s="283" t="n">
        <f aca="false">SUM(BO103:BO111)</f>
        <v>0</v>
      </c>
      <c r="BP112" s="283" t="n">
        <f aca="false">SUM(BP103:BP111)</f>
        <v>0</v>
      </c>
      <c r="BQ112" s="283" t="n">
        <f aca="false">SUM(BQ103:BQ111)</f>
        <v>0</v>
      </c>
      <c r="BR112" s="283" t="n">
        <f aca="false">SUM(BR103:BR111)</f>
        <v>0</v>
      </c>
      <c r="BS112" s="283" t="n">
        <f aca="false">SUM(BS103:BS111)</f>
        <v>0</v>
      </c>
      <c r="BT112" s="283" t="n">
        <f aca="false">SUM(BT103:BT111)</f>
        <v>0</v>
      </c>
      <c r="BU112" s="283" t="n">
        <f aca="false">SUM(BU103:BU111)</f>
        <v>0</v>
      </c>
      <c r="BV112" s="283" t="n">
        <f aca="false">SUM(BV103:BV111)</f>
        <v>0</v>
      </c>
      <c r="BW112" s="283" t="n">
        <f aca="false">SUM(BW103:BW111)</f>
        <v>0</v>
      </c>
      <c r="BX112" s="283" t="n">
        <f aca="false">SUM(BX103:BX111)</f>
        <v>0</v>
      </c>
      <c r="BY112" s="283" t="n">
        <f aca="false">SUM(BY103:BY111)</f>
        <v>0</v>
      </c>
      <c r="BZ112" s="283" t="n">
        <f aca="false">SUM(BZ103:BZ111)</f>
        <v>0</v>
      </c>
      <c r="CA112" s="283" t="n">
        <f aca="false">SUM(CA103:CA111)</f>
        <v>0</v>
      </c>
      <c r="CB112" s="283" t="n">
        <f aca="false">SUM(CB103:CB111)</f>
        <v>0</v>
      </c>
      <c r="CC112" s="283" t="n">
        <f aca="false">SUM(CC103:CC111)</f>
        <v>0</v>
      </c>
      <c r="CD112" s="283" t="n">
        <f aca="false">SUM(CD103:CD111)</f>
        <v>0</v>
      </c>
      <c r="CE112" s="283" t="n">
        <f aca="false">SUM(CE103:CE111)</f>
        <v>0</v>
      </c>
      <c r="CF112" s="283" t="n">
        <f aca="false">SUM(CF103:CF111)</f>
        <v>0</v>
      </c>
      <c r="CG112" s="283" t="n">
        <f aca="false">SUM(CG103:CG111)</f>
        <v>0</v>
      </c>
      <c r="CH112" s="283" t="n">
        <f aca="false">SUM(CH103:CH111)</f>
        <v>0</v>
      </c>
      <c r="CI112" s="283" t="n">
        <f aca="false">SUM(CI103:CI111)</f>
        <v>0</v>
      </c>
      <c r="CJ112" s="283" t="n">
        <f aca="false">SUM(CJ103:CJ111)</f>
        <v>0</v>
      </c>
      <c r="CK112" s="283" t="n">
        <f aca="false">SUM(CK103:CK111)</f>
        <v>0</v>
      </c>
      <c r="CL112" s="283" t="n">
        <f aca="false">SUM(CL103:CL111)</f>
        <v>0</v>
      </c>
      <c r="CM112" s="283" t="n">
        <f aca="false">SUM(CM103:CM111)</f>
        <v>0</v>
      </c>
      <c r="CN112" s="283" t="n">
        <f aca="false">SUM(CN103:CN111)</f>
        <v>0</v>
      </c>
      <c r="CO112" s="283" t="n">
        <f aca="false">SUM(CO103:CO111)</f>
        <v>0</v>
      </c>
      <c r="CP112" s="283" t="n">
        <f aca="false">SUM(CP103:CP111)</f>
        <v>0</v>
      </c>
      <c r="CQ112" s="283" t="n">
        <f aca="false">SUM(CQ103:CQ111)</f>
        <v>0</v>
      </c>
      <c r="CR112" s="283" t="n">
        <f aca="false">SUM(CR103:CR111)</f>
        <v>0</v>
      </c>
      <c r="CS112" s="283" t="n">
        <f aca="false">SUM(CS103:CS111)</f>
        <v>0</v>
      </c>
      <c r="CT112" s="283" t="n">
        <f aca="false">SUM(CT103:CT111)</f>
        <v>0</v>
      </c>
      <c r="CU112" s="283" t="n">
        <f aca="false">SUM(CU103:CU111)</f>
        <v>0</v>
      </c>
      <c r="CV112" s="283" t="n">
        <f aca="false">SUM(CV103:CV111)</f>
        <v>0</v>
      </c>
      <c r="CW112" s="283" t="n">
        <f aca="false">SUM(CW103:CW111)</f>
        <v>0</v>
      </c>
      <c r="CX112" s="283" t="n">
        <f aca="false">SUM(CX103:CX111)</f>
        <v>0</v>
      </c>
      <c r="CY112" s="283" t="n">
        <f aca="false">SUM(CY103:CY111)</f>
        <v>0</v>
      </c>
      <c r="CZ112" s="283" t="n">
        <f aca="false">SUM(CZ103:CZ111)</f>
        <v>0</v>
      </c>
      <c r="DA112" s="283" t="n">
        <f aca="false">SUM(DA103:DA111)</f>
        <v>0</v>
      </c>
      <c r="DB112" s="283" t="n">
        <f aca="false">SUM(DB103:DB111)</f>
        <v>0</v>
      </c>
      <c r="DC112" s="283" t="n">
        <f aca="false">SUM(DC103:DC111)</f>
        <v>0</v>
      </c>
      <c r="DD112" s="283" t="n">
        <f aca="false">SUM(DD103:DD111)</f>
        <v>0</v>
      </c>
      <c r="DE112" s="283" t="n">
        <f aca="false">SUM(DE103:DE111)</f>
        <v>0</v>
      </c>
      <c r="DF112" s="283" t="n">
        <f aca="false">SUM(DF103:DF111)</f>
        <v>0</v>
      </c>
      <c r="DG112" s="283" t="n">
        <f aca="false">SUM(DG103:DG111)</f>
        <v>0</v>
      </c>
      <c r="DH112" s="283" t="n">
        <f aca="false">SUM(DH103:DH111)</f>
        <v>0</v>
      </c>
      <c r="DI112" s="283" t="n">
        <f aca="false">SUM(DI103:DI111)</f>
        <v>0</v>
      </c>
      <c r="DJ112" s="283" t="n">
        <f aca="false">SUM(DJ103:DJ111)</f>
        <v>0</v>
      </c>
      <c r="DK112" s="283" t="n">
        <f aca="false">SUM(DK103:DK111)</f>
        <v>0</v>
      </c>
      <c r="DL112" s="283" t="n">
        <f aca="false">SUM(DL103:DL111)</f>
        <v>0</v>
      </c>
      <c r="DM112" s="283" t="n">
        <f aca="false">SUM(DM103:DM111)</f>
        <v>0</v>
      </c>
      <c r="DN112" s="283" t="n">
        <f aca="false">SUM(DN103:DN111)</f>
        <v>0</v>
      </c>
      <c r="DO112" s="283" t="n">
        <f aca="false">SUM(DO103:DO111)</f>
        <v>0</v>
      </c>
      <c r="DP112" s="283" t="n">
        <f aca="false">SUM(DP103:DP111)</f>
        <v>0</v>
      </c>
      <c r="DQ112" s="283" t="n">
        <f aca="false">SUM(DQ103:DQ111)</f>
        <v>0</v>
      </c>
      <c r="DR112" s="283" t="n">
        <f aca="false">SUM(DR103:DR111)</f>
        <v>0</v>
      </c>
      <c r="DS112" s="283" t="n">
        <f aca="false">SUM(DS103:DS111)</f>
        <v>0</v>
      </c>
      <c r="DT112" s="283" t="n">
        <f aca="false">SUM(DT103:DT111)</f>
        <v>0</v>
      </c>
      <c r="DU112" s="283" t="n">
        <f aca="false">SUM(DU103:DU111)</f>
        <v>0</v>
      </c>
      <c r="DV112" s="283" t="n">
        <f aca="false">SUM(DV103:DV111)</f>
        <v>0</v>
      </c>
      <c r="DW112" s="283" t="n">
        <f aca="false">SUM(DW103:DW111)</f>
        <v>0</v>
      </c>
      <c r="DX112" s="283" t="n">
        <f aca="false">SUM(DX103:DX111)</f>
        <v>0</v>
      </c>
      <c r="DY112" s="283" t="n">
        <f aca="false">SUM(DY103:DY111)</f>
        <v>0</v>
      </c>
      <c r="DZ112" s="283" t="n">
        <f aca="false">SUM(DZ103:DZ111)</f>
        <v>0</v>
      </c>
      <c r="EA112" s="283" t="n">
        <f aca="false">SUM(EA103:EA111)</f>
        <v>0</v>
      </c>
      <c r="EB112" s="283" t="n">
        <f aca="false">SUM(EB103:EB111)</f>
        <v>0</v>
      </c>
      <c r="EC112" s="283" t="n">
        <f aca="false">SUM(EC103:EC111)</f>
        <v>0</v>
      </c>
      <c r="ED112" s="283" t="n">
        <f aca="false">SUM(ED103:ED111)</f>
        <v>0</v>
      </c>
      <c r="EE112" s="283" t="n">
        <f aca="false">SUM(EE103:EE111)</f>
        <v>0</v>
      </c>
      <c r="EF112" s="283" t="n">
        <f aca="false">SUM(EF103:EF111)</f>
        <v>0</v>
      </c>
    </row>
    <row r="113" customFormat="false" ht="15" hidden="false" customHeight="false" outlineLevel="0" collapsed="false">
      <c r="A113" s="153" t="s">
        <v>652</v>
      </c>
      <c r="B113" s="278" t="s">
        <v>21</v>
      </c>
      <c r="C113" s="279" t="n">
        <f aca="false">SUM(E113:EF113)</f>
        <v>164150.534063536</v>
      </c>
      <c r="E113" s="37" t="n">
        <f aca="false">E11*MAX(0,MIN(E153,①통합_가정!$E$454-0))</f>
        <v>0</v>
      </c>
      <c r="F113" s="37" t="n">
        <f aca="false">F11*MAX(0,MIN(F153,①통합_가정!$E$454-E123))</f>
        <v>0</v>
      </c>
      <c r="G113" s="37" t="n">
        <f aca="false">G11*MAX(0,MIN(G153,①통합_가정!$E$454-F123))</f>
        <v>0</v>
      </c>
      <c r="H113" s="37" t="n">
        <f aca="false">H11*MAX(0,MIN(H153,①통합_가정!$E$454-G123))</f>
        <v>0</v>
      </c>
      <c r="I113" s="37" t="n">
        <f aca="false">I11*MAX(0,MIN(I153,①통합_가정!$E$454-H123))</f>
        <v>0</v>
      </c>
      <c r="J113" s="37" t="n">
        <f aca="false">J11*MAX(0,MIN(J153,①통합_가정!$E$454-I123))</f>
        <v>0</v>
      </c>
      <c r="K113" s="37" t="n">
        <f aca="false">K11*MAX(0,MIN(K153,①통합_가정!$E$454-J123))</f>
        <v>0</v>
      </c>
      <c r="L113" s="37" t="n">
        <f aca="false">L11*MAX(0,MIN(L153,①통합_가정!$E$454-K123))</f>
        <v>0</v>
      </c>
      <c r="M113" s="37" t="n">
        <f aca="false">M11*MAX(0,MIN(M153,①통합_가정!$E$454-L123))</f>
        <v>0</v>
      </c>
      <c r="N113" s="37" t="n">
        <f aca="false">N11*MAX(0,MIN(N153,①통합_가정!$E$454-M123))</f>
        <v>0</v>
      </c>
      <c r="O113" s="37" t="n">
        <f aca="false">O11*MAX(0,MIN(O153,①통합_가정!$E$454-N123))</f>
        <v>0</v>
      </c>
      <c r="P113" s="37" t="n">
        <f aca="false">P11*MAX(0,MIN(P153,①통합_가정!$E$454-O123))</f>
        <v>0</v>
      </c>
      <c r="Q113" s="37" t="n">
        <f aca="false">Q11*MAX(0,MIN(Q153,①통합_가정!$E$454-P123))</f>
        <v>0</v>
      </c>
      <c r="R113" s="37" t="n">
        <f aca="false">R11*MAX(0,MIN(R153,①통합_가정!$E$454-Q123))</f>
        <v>0</v>
      </c>
      <c r="S113" s="37" t="n">
        <f aca="false">S11*MAX(0,MIN(S153,①통합_가정!$E$454-R123))</f>
        <v>0</v>
      </c>
      <c r="T113" s="37" t="n">
        <f aca="false">T11*MAX(0,MIN(T153,①통합_가정!$E$454-S123))</f>
        <v>0</v>
      </c>
      <c r="U113" s="37" t="n">
        <f aca="false">U11*MAX(0,MIN(U153,①통합_가정!$E$454-T123))</f>
        <v>0</v>
      </c>
      <c r="V113" s="37" t="n">
        <f aca="false">V11*MAX(0,MIN(V153,①통합_가정!$E$454-U123))</f>
        <v>0</v>
      </c>
      <c r="W113" s="37" t="n">
        <f aca="false">W11*MAX(0,MIN(W153,①통합_가정!$E$454-V123))</f>
        <v>0</v>
      </c>
      <c r="X113" s="37" t="n">
        <f aca="false">X11*MAX(0,MIN(X153,①통합_가정!$E$454-W123))</f>
        <v>0</v>
      </c>
      <c r="Y113" s="37" t="n">
        <f aca="false">Y11*MAX(0,MIN(Y153,①통합_가정!$E$454-X123))</f>
        <v>0</v>
      </c>
      <c r="Z113" s="37" t="n">
        <f aca="false">Z11*MAX(0,MIN(Z153,①통합_가정!$E$454-Y123))</f>
        <v>0</v>
      </c>
      <c r="AA113" s="37" t="n">
        <f aca="false">AA11*MAX(0,MIN(AA153,①통합_가정!$E$454-Z123))</f>
        <v>0</v>
      </c>
      <c r="AB113" s="37" t="n">
        <f aca="false">AB11*MAX(0,MIN(AB153,①통합_가정!$E$454-AA123))</f>
        <v>0</v>
      </c>
      <c r="AC113" s="37" t="n">
        <f aca="false">AC11*MAX(0,MIN(AC153,①통합_가정!$E$454-AB123))</f>
        <v>0</v>
      </c>
      <c r="AD113" s="37" t="n">
        <f aca="false">AD11*MAX(0,MIN(AD153,①통합_가정!$E$454-AC123))</f>
        <v>0</v>
      </c>
      <c r="AE113" s="37" t="n">
        <f aca="false">AE11*MAX(0,MIN(AE153,①통합_가정!$E$454-AD123))</f>
        <v>0</v>
      </c>
      <c r="AF113" s="37" t="n">
        <f aca="false">AF11*MAX(0,MIN(AF153,①통합_가정!$E$454-AE123))</f>
        <v>0</v>
      </c>
      <c r="AG113" s="37" t="n">
        <f aca="false">AG11*MAX(0,MIN(AG153,①통합_가정!$E$454-AF123))</f>
        <v>0</v>
      </c>
      <c r="AH113" s="37" t="n">
        <f aca="false">AH11*MAX(0,MIN(AH153,①통합_가정!$E$454-AG123))</f>
        <v>0</v>
      </c>
      <c r="AI113" s="37" t="n">
        <f aca="false">AI11*MAX(0,MIN(AI153,①통합_가정!$E$454-AH123))</f>
        <v>994.866374599707</v>
      </c>
      <c r="AJ113" s="37" t="n">
        <f aca="false">AJ11*MAX(0,MIN(AJ153,①통합_가정!$E$454-AI123))</f>
        <v>34080.1885696729</v>
      </c>
      <c r="AK113" s="37" t="n">
        <f aca="false">AK11*MAX(0,MIN(AK153,①통합_가정!$E$454-AJ123))</f>
        <v>35757.3527904748</v>
      </c>
      <c r="AL113" s="37" t="n">
        <f aca="false">AL11*MAX(0,MIN(AL153,①통합_가정!$E$454-AK123))</f>
        <v>37255.5117653045</v>
      </c>
      <c r="AM113" s="37" t="n">
        <f aca="false">AM11*MAX(0,MIN(AM153,①통합_가정!$E$454-AL123))</f>
        <v>38566.4321850614</v>
      </c>
      <c r="AN113" s="37" t="n">
        <f aca="false">AN11*MAX(0,MIN(AN153,①통합_가정!$E$454-AM123))</f>
        <v>17496.1823784228</v>
      </c>
      <c r="AO113" s="37" t="n">
        <f aca="false">AO11*MAX(0,MIN(AO153,①통합_가정!$E$454-AN123))</f>
        <v>0</v>
      </c>
      <c r="AP113" s="37" t="n">
        <f aca="false">AP11*MAX(0,MIN(AP153,①통합_가정!$E$454-AO123))</f>
        <v>0</v>
      </c>
      <c r="AQ113" s="37" t="n">
        <f aca="false">AQ11*MAX(0,MIN(AQ153,①통합_가정!$E$454-AP123))</f>
        <v>0</v>
      </c>
      <c r="AR113" s="37" t="n">
        <f aca="false">AR11*MAX(0,MIN(AR153,①통합_가정!$E$454-AQ123))</f>
        <v>0</v>
      </c>
      <c r="AS113" s="37" t="n">
        <f aca="false">AS11*MAX(0,MIN(AS153,①통합_가정!$E$454-AR123))</f>
        <v>0</v>
      </c>
      <c r="AT113" s="37" t="n">
        <f aca="false">AT11*MAX(0,MIN(AT153,①통합_가정!$E$454-AS123))</f>
        <v>0</v>
      </c>
      <c r="AU113" s="37" t="n">
        <f aca="false">AU11*MAX(0,MIN(AU153,①통합_가정!$E$454-AT123))</f>
        <v>0</v>
      </c>
      <c r="AV113" s="37" t="n">
        <f aca="false">AV11*MAX(0,MIN(AV153,①통합_가정!$E$454-AU123))</f>
        <v>0</v>
      </c>
      <c r="AW113" s="37" t="n">
        <f aca="false">AW11*MAX(0,MIN(AW153,①통합_가정!$E$454-AV123))</f>
        <v>0</v>
      </c>
      <c r="AX113" s="37" t="n">
        <f aca="false">AX11*MAX(0,MIN(AX153,①통합_가정!$E$454-AW123))</f>
        <v>0</v>
      </c>
      <c r="AY113" s="37" t="n">
        <f aca="false">AY11*MAX(0,MIN(AY153,①통합_가정!$E$454-AX123))</f>
        <v>0</v>
      </c>
      <c r="AZ113" s="37" t="n">
        <f aca="false">AZ11*MAX(0,MIN(AZ153,①통합_가정!$E$454-AY123))</f>
        <v>0</v>
      </c>
      <c r="BA113" s="37" t="n">
        <f aca="false">BA11*MAX(0,MIN(BA153,①통합_가정!$E$454-AZ123))</f>
        <v>0</v>
      </c>
      <c r="BB113" s="37" t="n">
        <f aca="false">BB11*MAX(0,MIN(BB153,①통합_가정!$E$454-BA123))</f>
        <v>0</v>
      </c>
      <c r="BC113" s="37" t="n">
        <f aca="false">BC11*MAX(0,MIN(BC153,①통합_가정!$E$454-BB123))</f>
        <v>0</v>
      </c>
      <c r="BD113" s="37" t="n">
        <f aca="false">BD11*MAX(0,MIN(BD153,①통합_가정!$E$454-BC123))</f>
        <v>0</v>
      </c>
      <c r="BE113" s="37" t="n">
        <f aca="false">BE11*MAX(0,MIN(BE153,①통합_가정!$E$454-BD123))</f>
        <v>0</v>
      </c>
      <c r="BF113" s="37" t="n">
        <f aca="false">BF11*MAX(0,MIN(BF153,①통합_가정!$E$454-BE123))</f>
        <v>0</v>
      </c>
      <c r="BG113" s="37" t="n">
        <f aca="false">BG11*MAX(0,MIN(BG153,①통합_가정!$E$454-BF123))</f>
        <v>0</v>
      </c>
      <c r="BH113" s="37" t="n">
        <f aca="false">BH11*MAX(0,MIN(BH153,①통합_가정!$E$454-BG123))</f>
        <v>0</v>
      </c>
      <c r="BI113" s="37" t="n">
        <f aca="false">BI11*MAX(0,MIN(BI153,①통합_가정!$E$454-BH123))</f>
        <v>0</v>
      </c>
      <c r="BJ113" s="37" t="n">
        <f aca="false">BJ11*MAX(0,MIN(BJ153,①통합_가정!$E$454-BI123))</f>
        <v>0</v>
      </c>
      <c r="BK113" s="37" t="n">
        <f aca="false">BK11*MAX(0,MIN(BK153,①통합_가정!$E$454-BJ123))</f>
        <v>0</v>
      </c>
      <c r="BL113" s="37" t="n">
        <f aca="false">BL11*MAX(0,MIN(BL153,①통합_가정!$E$454-BK123))</f>
        <v>0</v>
      </c>
      <c r="BM113" s="37" t="n">
        <f aca="false">BM11*MAX(0,MIN(BM153,①통합_가정!$E$454-BL123))</f>
        <v>0</v>
      </c>
      <c r="BN113" s="37" t="n">
        <f aca="false">BN11*MAX(0,MIN(BN153,①통합_가정!$E$454-BM123))</f>
        <v>0</v>
      </c>
      <c r="BO113" s="37" t="n">
        <f aca="false">BO11*MAX(0,MIN(BO153,①통합_가정!$E$454-BN123))</f>
        <v>0</v>
      </c>
      <c r="BP113" s="37" t="n">
        <f aca="false">BP11*MAX(0,MIN(BP153,①통합_가정!$E$454-BO123))</f>
        <v>0</v>
      </c>
      <c r="BQ113" s="37" t="n">
        <f aca="false">BQ11*MAX(0,MIN(BQ153,①통합_가정!$E$454-BP123))</f>
        <v>0</v>
      </c>
      <c r="BR113" s="37" t="n">
        <f aca="false">BR11*MAX(0,MIN(BR153,①통합_가정!$E$454-BQ123))</f>
        <v>0</v>
      </c>
      <c r="BS113" s="37" t="n">
        <f aca="false">BS11*MAX(0,MIN(BS153,①통합_가정!$E$454-BR123))</f>
        <v>0</v>
      </c>
      <c r="BT113" s="37" t="n">
        <f aca="false">BT11*MAX(0,MIN(BT153,①통합_가정!$E$454-BS123))</f>
        <v>0</v>
      </c>
      <c r="BU113" s="37" t="n">
        <f aca="false">BU11*MAX(0,MIN(BU153,①통합_가정!$E$454-BT123))</f>
        <v>0</v>
      </c>
      <c r="BV113" s="37" t="n">
        <f aca="false">BV11*MAX(0,MIN(BV153,①통합_가정!$E$454-BU123))</f>
        <v>0</v>
      </c>
      <c r="BW113" s="37" t="n">
        <f aca="false">BW11*MAX(0,MIN(BW153,①통합_가정!$E$454-BV123))</f>
        <v>0</v>
      </c>
      <c r="BX113" s="37" t="n">
        <f aca="false">BX11*MAX(0,MIN(BX153,①통합_가정!$E$454-BW123))</f>
        <v>0</v>
      </c>
      <c r="BY113" s="37" t="n">
        <f aca="false">BY11*MAX(0,MIN(BY153,①통합_가정!$E$454-BX123))</f>
        <v>0</v>
      </c>
      <c r="BZ113" s="37" t="n">
        <f aca="false">BZ11*MAX(0,MIN(BZ153,①통합_가정!$E$454-BY123))</f>
        <v>0</v>
      </c>
      <c r="CA113" s="37" t="n">
        <f aca="false">CA11*MAX(0,MIN(CA153,①통합_가정!$E$454-BZ123))</f>
        <v>0</v>
      </c>
      <c r="CB113" s="37" t="n">
        <f aca="false">CB11*MAX(0,MIN(CB153,①통합_가정!$E$454-CA123))</f>
        <v>0</v>
      </c>
      <c r="CC113" s="37" t="n">
        <f aca="false">CC11*MAX(0,MIN(CC153,①통합_가정!$E$454-CB123))</f>
        <v>0</v>
      </c>
      <c r="CD113" s="37" t="n">
        <f aca="false">CD11*MAX(0,MIN(CD153,①통합_가정!$E$454-CC123))</f>
        <v>0</v>
      </c>
      <c r="CE113" s="37" t="n">
        <f aca="false">CE11*MAX(0,MIN(CE153,①통합_가정!$E$454-CD123))</f>
        <v>0</v>
      </c>
      <c r="CF113" s="37" t="n">
        <f aca="false">CF11*MAX(0,MIN(CF153,①통합_가정!$E$454-CE123))</f>
        <v>0</v>
      </c>
      <c r="CG113" s="37" t="n">
        <f aca="false">CG11*MAX(0,MIN(CG153,①통합_가정!$E$454-CF123))</f>
        <v>0</v>
      </c>
      <c r="CH113" s="37" t="n">
        <f aca="false">CH11*MAX(0,MIN(CH153,①통합_가정!$E$454-CG123))</f>
        <v>0</v>
      </c>
      <c r="CI113" s="37" t="n">
        <f aca="false">CI11*MAX(0,MIN(CI153,①통합_가정!$E$454-CH123))</f>
        <v>0</v>
      </c>
      <c r="CJ113" s="37" t="n">
        <f aca="false">CJ11*MAX(0,MIN(CJ153,①통합_가정!$E$454-CI123))</f>
        <v>0</v>
      </c>
      <c r="CK113" s="37" t="n">
        <f aca="false">CK11*MAX(0,MIN(CK153,①통합_가정!$E$454-CJ123))</f>
        <v>0</v>
      </c>
      <c r="CL113" s="37" t="n">
        <f aca="false">CL11*MAX(0,MIN(CL153,①통합_가정!$E$454-CK123))</f>
        <v>0</v>
      </c>
      <c r="CM113" s="37" t="n">
        <f aca="false">CM11*MAX(0,MIN(CM153,①통합_가정!$E$454-CL123))</f>
        <v>0</v>
      </c>
      <c r="CN113" s="37" t="n">
        <f aca="false">CN11*MAX(0,MIN(CN153,①통합_가정!$E$454-CM123))</f>
        <v>0</v>
      </c>
      <c r="CO113" s="37" t="n">
        <f aca="false">CO11*MAX(0,MIN(CO153,①통합_가정!$E$454-CN123))</f>
        <v>0</v>
      </c>
      <c r="CP113" s="37" t="n">
        <f aca="false">CP11*MAX(0,MIN(CP153,①통합_가정!$E$454-CO123))</f>
        <v>0</v>
      </c>
      <c r="CQ113" s="37" t="n">
        <f aca="false">CQ11*MAX(0,MIN(CQ153,①통합_가정!$E$454-CP123))</f>
        <v>0</v>
      </c>
      <c r="CR113" s="37" t="n">
        <f aca="false">CR11*MAX(0,MIN(CR153,①통합_가정!$E$454-CQ123))</f>
        <v>0</v>
      </c>
      <c r="CS113" s="37" t="n">
        <f aca="false">CS11*MAX(0,MIN(CS153,①통합_가정!$E$454-CR123))</f>
        <v>0</v>
      </c>
      <c r="CT113" s="37" t="n">
        <f aca="false">CT11*MAX(0,MIN(CT153,①통합_가정!$E$454-CS123))</f>
        <v>0</v>
      </c>
      <c r="CU113" s="37" t="n">
        <f aca="false">CU11*MAX(0,MIN(CU153,①통합_가정!$E$454-CT123))</f>
        <v>0</v>
      </c>
      <c r="CV113" s="37" t="n">
        <f aca="false">CV11*MAX(0,MIN(CV153,①통합_가정!$E$454-CU123))</f>
        <v>0</v>
      </c>
      <c r="CW113" s="37" t="n">
        <f aca="false">CW11*MAX(0,MIN(CW153,①통합_가정!$E$454-CV123))</f>
        <v>0</v>
      </c>
      <c r="CX113" s="37" t="n">
        <f aca="false">CX11*MAX(0,MIN(CX153,①통합_가정!$E$454-CW123))</f>
        <v>0</v>
      </c>
      <c r="CY113" s="37" t="n">
        <f aca="false">CY11*MAX(0,MIN(CY153,①통합_가정!$E$454-CX123))</f>
        <v>0</v>
      </c>
      <c r="CZ113" s="37" t="n">
        <f aca="false">CZ11*MAX(0,MIN(CZ153,①통합_가정!$E$454-CY123))</f>
        <v>0</v>
      </c>
      <c r="DA113" s="37" t="n">
        <f aca="false">DA11*MAX(0,MIN(DA153,①통합_가정!$E$454-CZ123))</f>
        <v>0</v>
      </c>
      <c r="DB113" s="37" t="n">
        <f aca="false">DB11*MAX(0,MIN(DB153,①통합_가정!$E$454-DA123))</f>
        <v>0</v>
      </c>
      <c r="DC113" s="37" t="n">
        <f aca="false">DC11*MAX(0,MIN(DC153,①통합_가정!$E$454-DB123))</f>
        <v>0</v>
      </c>
      <c r="DD113" s="37" t="n">
        <f aca="false">DD11*MAX(0,MIN(DD153,①통합_가정!$E$454-DC123))</f>
        <v>0</v>
      </c>
      <c r="DE113" s="37" t="n">
        <f aca="false">DE11*MAX(0,MIN(DE153,①통합_가정!$E$454-DD123))</f>
        <v>0</v>
      </c>
      <c r="DF113" s="37" t="n">
        <f aca="false">DF11*MAX(0,MIN(DF153,①통합_가정!$E$454-DE123))</f>
        <v>0</v>
      </c>
      <c r="DG113" s="37" t="n">
        <f aca="false">DG11*MAX(0,MIN(DG153,①통합_가정!$E$454-DF123))</f>
        <v>0</v>
      </c>
      <c r="DH113" s="37" t="n">
        <f aca="false">DH11*MAX(0,MIN(DH153,①통합_가정!$E$454-DG123))</f>
        <v>0</v>
      </c>
      <c r="DI113" s="37" t="n">
        <f aca="false">DI11*MAX(0,MIN(DI153,①통합_가정!$E$454-DH123))</f>
        <v>0</v>
      </c>
      <c r="DJ113" s="37" t="n">
        <f aca="false">DJ11*MAX(0,MIN(DJ153,①통합_가정!$E$454-DI123))</f>
        <v>0</v>
      </c>
      <c r="DK113" s="37" t="n">
        <f aca="false">DK11*MAX(0,MIN(DK153,①통합_가정!$E$454-DJ123))</f>
        <v>0</v>
      </c>
      <c r="DL113" s="37" t="n">
        <f aca="false">DL11*MAX(0,MIN(DL153,①통합_가정!$E$454-DK123))</f>
        <v>0</v>
      </c>
      <c r="DM113" s="37" t="n">
        <f aca="false">DM11*MAX(0,MIN(DM153,①통합_가정!$E$454-DL123))</f>
        <v>0</v>
      </c>
      <c r="DN113" s="37" t="n">
        <f aca="false">DN11*MAX(0,MIN(DN153,①통합_가정!$E$454-DM123))</f>
        <v>0</v>
      </c>
      <c r="DO113" s="37" t="n">
        <f aca="false">DO11*MAX(0,MIN(DO153,①통합_가정!$E$454-DN123))</f>
        <v>0</v>
      </c>
      <c r="DP113" s="37" t="n">
        <f aca="false">DP11*MAX(0,MIN(DP153,①통합_가정!$E$454-DO123))</f>
        <v>0</v>
      </c>
      <c r="DQ113" s="37" t="n">
        <f aca="false">DQ11*MAX(0,MIN(DQ153,①통합_가정!$E$454-DP123))</f>
        <v>0</v>
      </c>
      <c r="DR113" s="37" t="n">
        <f aca="false">DR11*MAX(0,MIN(DR153,①통합_가정!$E$454-DQ123))</f>
        <v>0</v>
      </c>
      <c r="DS113" s="37" t="n">
        <f aca="false">DS11*MAX(0,MIN(DS153,①통합_가정!$E$454-DR123))</f>
        <v>0</v>
      </c>
      <c r="DT113" s="37" t="n">
        <f aca="false">DT11*MAX(0,MIN(DT153,①통합_가정!$E$454-DS123))</f>
        <v>0</v>
      </c>
      <c r="DU113" s="37" t="n">
        <f aca="false">DU11*MAX(0,MIN(DU153,①통합_가정!$E$454-DT123))</f>
        <v>0</v>
      </c>
      <c r="DV113" s="37" t="n">
        <f aca="false">DV11*MAX(0,MIN(DV153,①통합_가정!$E$454-DU123))</f>
        <v>0</v>
      </c>
      <c r="DW113" s="37" t="n">
        <f aca="false">DW11*MAX(0,MIN(DW153,①통합_가정!$E$454-DV123))</f>
        <v>0</v>
      </c>
      <c r="DX113" s="37" t="n">
        <f aca="false">DX11*MAX(0,MIN(DX153,①통합_가정!$E$454-DW123))</f>
        <v>0</v>
      </c>
      <c r="DY113" s="37" t="n">
        <f aca="false">DY11*MAX(0,MIN(DY153,①통합_가정!$E$454-DX123))</f>
        <v>0</v>
      </c>
      <c r="DZ113" s="37" t="n">
        <f aca="false">DZ11*MAX(0,MIN(DZ153,①통합_가정!$E$454-DY123))</f>
        <v>0</v>
      </c>
      <c r="EA113" s="37" t="n">
        <f aca="false">EA11*MAX(0,MIN(EA153,①통합_가정!$E$454-DZ123))</f>
        <v>0</v>
      </c>
      <c r="EB113" s="37" t="n">
        <f aca="false">EB11*MAX(0,MIN(EB153,①통합_가정!$E$454-EA123))</f>
        <v>0</v>
      </c>
      <c r="EC113" s="37" t="n">
        <f aca="false">EC11*MAX(0,MIN(EC153,①통합_가정!$E$454-EB123))</f>
        <v>0</v>
      </c>
      <c r="ED113" s="37" t="n">
        <f aca="false">ED11*MAX(0,MIN(ED153,①통합_가정!$E$454-EC123))</f>
        <v>0</v>
      </c>
      <c r="EE113" s="37" t="n">
        <f aca="false">EE11*MAX(0,MIN(EE153,①통합_가정!$E$454-ED123))</f>
        <v>0</v>
      </c>
      <c r="EF113" s="37" t="n">
        <f aca="false">EF11*MAX(0,MIN(EF153,①통합_가정!$E$454-EE123))</f>
        <v>0</v>
      </c>
    </row>
    <row r="114" customFormat="false" ht="15" hidden="false" customHeight="false" outlineLevel="0" collapsed="false">
      <c r="A114" s="153" t="s">
        <v>653</v>
      </c>
      <c r="B114" s="278" t="s">
        <v>21</v>
      </c>
      <c r="C114" s="279" t="n">
        <f aca="false">SUM(E114:EF114)</f>
        <v>164265.485417922</v>
      </c>
      <c r="E114" s="37" t="n">
        <f aca="false">E11*MAX(0,MIN(E153-E113,①통합_가정!$E$453-0))</f>
        <v>0</v>
      </c>
      <c r="F114" s="37" t="n">
        <f aca="false">F11*MAX(0,MIN(F153-F113,①통합_가정!$E$453-E122))</f>
        <v>0</v>
      </c>
      <c r="G114" s="37" t="n">
        <f aca="false">G11*MAX(0,MIN(G153-G113,①통합_가정!$E$453-F122))</f>
        <v>0</v>
      </c>
      <c r="H114" s="37" t="n">
        <f aca="false">H11*MAX(0,MIN(H153-H113,①통합_가정!$E$453-G122))</f>
        <v>0</v>
      </c>
      <c r="I114" s="37" t="n">
        <f aca="false">I11*MAX(0,MIN(I153-I113,①통합_가정!$E$453-H122))</f>
        <v>0</v>
      </c>
      <c r="J114" s="37" t="n">
        <f aca="false">J11*MAX(0,MIN(J153-J113,①통합_가정!$E$453-I122))</f>
        <v>0</v>
      </c>
      <c r="K114" s="37" t="n">
        <f aca="false">K11*MAX(0,MIN(K153-K113,①통합_가정!$E$453-J122))</f>
        <v>0</v>
      </c>
      <c r="L114" s="37" t="n">
        <f aca="false">L11*MAX(0,MIN(L153-L113,①통합_가정!$E$453-K122))</f>
        <v>0</v>
      </c>
      <c r="M114" s="37" t="n">
        <f aca="false">M11*MAX(0,MIN(M153-M113,①통합_가정!$E$453-L122))</f>
        <v>0</v>
      </c>
      <c r="N114" s="37" t="n">
        <f aca="false">N11*MAX(0,MIN(N153-N113,①통합_가정!$E$453-M122))</f>
        <v>0</v>
      </c>
      <c r="O114" s="37" t="n">
        <f aca="false">O11*MAX(0,MIN(O153-O113,①통합_가정!$E$453-N122))</f>
        <v>0</v>
      </c>
      <c r="P114" s="37" t="n">
        <f aca="false">P11*MAX(0,MIN(P153-P113,①통합_가정!$E$453-O122))</f>
        <v>0</v>
      </c>
      <c r="Q114" s="37" t="n">
        <f aca="false">Q11*MAX(0,MIN(Q153-Q113,①통합_가정!$E$453-P122))</f>
        <v>0</v>
      </c>
      <c r="R114" s="37" t="n">
        <f aca="false">R11*MAX(0,MIN(R153-R113,①통합_가정!$E$453-Q122))</f>
        <v>0</v>
      </c>
      <c r="S114" s="37" t="n">
        <f aca="false">S11*MAX(0,MIN(S153-S113,①통합_가정!$E$453-R122))</f>
        <v>0</v>
      </c>
      <c r="T114" s="37" t="n">
        <f aca="false">T11*MAX(0,MIN(T153-T113,①통합_가정!$E$453-S122))</f>
        <v>0</v>
      </c>
      <c r="U114" s="37" t="n">
        <f aca="false">U11*MAX(0,MIN(U153-U113,①통합_가정!$E$453-T122))</f>
        <v>0</v>
      </c>
      <c r="V114" s="37" t="n">
        <f aca="false">V11*MAX(0,MIN(V153-V113,①통합_가정!$E$453-U122))</f>
        <v>0</v>
      </c>
      <c r="W114" s="37" t="n">
        <f aca="false">W11*MAX(0,MIN(W153-W113,①통합_가정!$E$453-V122))</f>
        <v>0</v>
      </c>
      <c r="X114" s="37" t="n">
        <f aca="false">X11*MAX(0,MIN(X153-X113,①통합_가정!$E$453-W122))</f>
        <v>0</v>
      </c>
      <c r="Y114" s="37" t="n">
        <f aca="false">Y11*MAX(0,MIN(Y153-Y113,①통합_가정!$E$453-X122))</f>
        <v>0</v>
      </c>
      <c r="Z114" s="37" t="n">
        <f aca="false">Z11*MAX(0,MIN(Z153-Z113,①통합_가정!$E$453-Y122))</f>
        <v>0</v>
      </c>
      <c r="AA114" s="37" t="n">
        <f aca="false">AA11*MAX(0,MIN(AA153-AA113,①통합_가정!$E$453-Z122))</f>
        <v>0</v>
      </c>
      <c r="AB114" s="37" t="n">
        <f aca="false">AB11*MAX(0,MIN(AB153-AB113,①통합_가정!$E$453-AA122))</f>
        <v>0</v>
      </c>
      <c r="AC114" s="37" t="n">
        <f aca="false">AC11*MAX(0,MIN(AC153-AC113,①통합_가정!$E$453-AB122))</f>
        <v>0</v>
      </c>
      <c r="AD114" s="37" t="n">
        <f aca="false">AD11*MAX(0,MIN(AD153-AD113,①통합_가정!$E$453-AC122))</f>
        <v>0</v>
      </c>
      <c r="AE114" s="37" t="n">
        <f aca="false">AE11*MAX(0,MIN(AE153-AE113,①통합_가정!$E$453-AD122))</f>
        <v>0</v>
      </c>
      <c r="AF114" s="37" t="n">
        <f aca="false">AF11*MAX(0,MIN(AF153-AF113,①통합_가정!$E$453-AE122))</f>
        <v>0</v>
      </c>
      <c r="AG114" s="37" t="n">
        <f aca="false">AG11*MAX(0,MIN(AG153-AG113,①통합_가정!$E$453-AF122))</f>
        <v>0</v>
      </c>
      <c r="AH114" s="37" t="n">
        <f aca="false">AH11*MAX(0,MIN(AH153-AH113,①통합_가정!$E$453-AG122))</f>
        <v>0</v>
      </c>
      <c r="AI114" s="37" t="n">
        <f aca="false">AI11*MAX(0,MIN(AI153-AI113,①통합_가정!$E$453-AH122))</f>
        <v>0</v>
      </c>
      <c r="AJ114" s="37" t="n">
        <f aca="false">AJ11*MAX(0,MIN(AJ153-AJ113,①통합_가정!$E$453-AI122))</f>
        <v>0</v>
      </c>
      <c r="AK114" s="37" t="n">
        <f aca="false">AK11*MAX(0,MIN(AK153-AK113,①통합_가정!$E$453-AJ122))</f>
        <v>0</v>
      </c>
      <c r="AL114" s="37" t="n">
        <f aca="false">AL11*MAX(0,MIN(AL153-AL113,①통합_가정!$E$453-AK122))</f>
        <v>0</v>
      </c>
      <c r="AM114" s="37" t="n">
        <f aca="false">AM11*MAX(0,MIN(AM153-AM113,①통합_가정!$E$453-AL122))</f>
        <v>0</v>
      </c>
      <c r="AN114" s="37" t="n">
        <f aca="false">AN11*MAX(0,MIN(AN153-AN113,①통합_가정!$E$453-AM122))</f>
        <v>22186.7464791143</v>
      </c>
      <c r="AO114" s="37" t="n">
        <f aca="false">AO11*MAX(0,MIN(AO153-AO113,①통합_가정!$E$453-AN122))</f>
        <v>0</v>
      </c>
      <c r="AP114" s="37" t="n">
        <f aca="false">AP11*MAX(0,MIN(AP153-AP113,①통합_가정!$E$453-AO122))</f>
        <v>0</v>
      </c>
      <c r="AQ114" s="37" t="n">
        <f aca="false">AQ11*MAX(0,MIN(AQ153-AQ113,①통합_가정!$E$453-AP122))</f>
        <v>0</v>
      </c>
      <c r="AR114" s="37" t="n">
        <f aca="false">AR11*MAX(0,MIN(AR153-AR113,①통합_가정!$E$453-AQ122))</f>
        <v>27474.1475466603</v>
      </c>
      <c r="AS114" s="37" t="n">
        <f aca="false">AS11*MAX(0,MIN(AS153-AS113,①통합_가정!$E$453-AR122))</f>
        <v>41156.5301375478</v>
      </c>
      <c r="AT114" s="37" t="n">
        <f aca="false">AT11*MAX(0,MIN(AT153-AT113,①통합_가정!$E$453-AS122))</f>
        <v>40960.078637308</v>
      </c>
      <c r="AU114" s="37" t="n">
        <f aca="false">AU11*MAX(0,MIN(AU153-AU113,①통합_가정!$E$453-AT122))</f>
        <v>32487.982617292</v>
      </c>
      <c r="AV114" s="37" t="n">
        <f aca="false">AV11*MAX(0,MIN(AV153-AV113,①통합_가정!$E$453-AU122))</f>
        <v>0</v>
      </c>
      <c r="AW114" s="37" t="n">
        <f aca="false">AW11*MAX(0,MIN(AW153-AW113,①통합_가정!$E$453-AV122))</f>
        <v>0</v>
      </c>
      <c r="AX114" s="37" t="n">
        <f aca="false">AX11*MAX(0,MIN(AX153-AX113,①통합_가정!$E$453-AW122))</f>
        <v>0</v>
      </c>
      <c r="AY114" s="37" t="n">
        <f aca="false">AY11*MAX(0,MIN(AY153-AY113,①통합_가정!$E$453-AX122))</f>
        <v>0</v>
      </c>
      <c r="AZ114" s="37" t="n">
        <f aca="false">AZ11*MAX(0,MIN(AZ153-AZ113,①통합_가정!$E$453-AY122))</f>
        <v>0</v>
      </c>
      <c r="BA114" s="37" t="n">
        <f aca="false">BA11*MAX(0,MIN(BA153-BA113,①통합_가정!$E$453-AZ122))</f>
        <v>0</v>
      </c>
      <c r="BB114" s="37" t="n">
        <f aca="false">BB11*MAX(0,MIN(BB153-BB113,①통합_가정!$E$453-BA122))</f>
        <v>0</v>
      </c>
      <c r="BC114" s="37" t="n">
        <f aca="false">BC11*MAX(0,MIN(BC153-BC113,①통합_가정!$E$453-BB122))</f>
        <v>0</v>
      </c>
      <c r="BD114" s="37" t="n">
        <f aca="false">BD11*MAX(0,MIN(BD153-BD113,①통합_가정!$E$453-BC122))</f>
        <v>0</v>
      </c>
      <c r="BE114" s="37" t="n">
        <f aca="false">BE11*MAX(0,MIN(BE153-BE113,①통합_가정!$E$453-BD122))</f>
        <v>0</v>
      </c>
      <c r="BF114" s="37" t="n">
        <f aca="false">BF11*MAX(0,MIN(BF153-BF113,①통합_가정!$E$453-BE122))</f>
        <v>0</v>
      </c>
      <c r="BG114" s="37" t="n">
        <f aca="false">BG11*MAX(0,MIN(BG153-BG113,①통합_가정!$E$453-BF122))</f>
        <v>0</v>
      </c>
      <c r="BH114" s="37" t="n">
        <f aca="false">BH11*MAX(0,MIN(BH153-BH113,①통합_가정!$E$453-BG122))</f>
        <v>0</v>
      </c>
      <c r="BI114" s="37" t="n">
        <f aca="false">BI11*MAX(0,MIN(BI153-BI113,①통합_가정!$E$453-BH122))</f>
        <v>0</v>
      </c>
      <c r="BJ114" s="37" t="n">
        <f aca="false">BJ11*MAX(0,MIN(BJ153-BJ113,①통합_가정!$E$453-BI122))</f>
        <v>0</v>
      </c>
      <c r="BK114" s="37" t="n">
        <f aca="false">BK11*MAX(0,MIN(BK153-BK113,①통합_가정!$E$453-BJ122))</f>
        <v>0</v>
      </c>
      <c r="BL114" s="37" t="n">
        <f aca="false">BL11*MAX(0,MIN(BL153-BL113,①통합_가정!$E$453-BK122))</f>
        <v>0</v>
      </c>
      <c r="BM114" s="37" t="n">
        <f aca="false">BM11*MAX(0,MIN(BM153-BM113,①통합_가정!$E$453-BL122))</f>
        <v>0</v>
      </c>
      <c r="BN114" s="37" t="n">
        <f aca="false">BN11*MAX(0,MIN(BN153-BN113,①통합_가정!$E$453-BM122))</f>
        <v>0</v>
      </c>
      <c r="BO114" s="37" t="n">
        <f aca="false">BO11*MAX(0,MIN(BO153-BO113,①통합_가정!$E$453-BN122))</f>
        <v>0</v>
      </c>
      <c r="BP114" s="37" t="n">
        <f aca="false">BP11*MAX(0,MIN(BP153-BP113,①통합_가정!$E$453-BO122))</f>
        <v>0</v>
      </c>
      <c r="BQ114" s="37" t="n">
        <f aca="false">BQ11*MAX(0,MIN(BQ153-BQ113,①통합_가정!$E$453-BP122))</f>
        <v>0</v>
      </c>
      <c r="BR114" s="37" t="n">
        <f aca="false">BR11*MAX(0,MIN(BR153-BR113,①통합_가정!$E$453-BQ122))</f>
        <v>0</v>
      </c>
      <c r="BS114" s="37" t="n">
        <f aca="false">BS11*MAX(0,MIN(BS153-BS113,①통합_가정!$E$453-BR122))</f>
        <v>0</v>
      </c>
      <c r="BT114" s="37" t="n">
        <f aca="false">BT11*MAX(0,MIN(BT153-BT113,①통합_가정!$E$453-BS122))</f>
        <v>0</v>
      </c>
      <c r="BU114" s="37" t="n">
        <f aca="false">BU11*MAX(0,MIN(BU153-BU113,①통합_가정!$E$453-BT122))</f>
        <v>0</v>
      </c>
      <c r="BV114" s="37" t="n">
        <f aca="false">BV11*MAX(0,MIN(BV153-BV113,①통합_가정!$E$453-BU122))</f>
        <v>0</v>
      </c>
      <c r="BW114" s="37" t="n">
        <f aca="false">BW11*MAX(0,MIN(BW153-BW113,①통합_가정!$E$453-BV122))</f>
        <v>0</v>
      </c>
      <c r="BX114" s="37" t="n">
        <f aca="false">BX11*MAX(0,MIN(BX153-BX113,①통합_가정!$E$453-BW122))</f>
        <v>0</v>
      </c>
      <c r="BY114" s="37" t="n">
        <f aca="false">BY11*MAX(0,MIN(BY153-BY113,①통합_가정!$E$453-BX122))</f>
        <v>0</v>
      </c>
      <c r="BZ114" s="37" t="n">
        <f aca="false">BZ11*MAX(0,MIN(BZ153-BZ113,①통합_가정!$E$453-BY122))</f>
        <v>0</v>
      </c>
      <c r="CA114" s="37" t="n">
        <f aca="false">CA11*MAX(0,MIN(CA153-CA113,①통합_가정!$E$453-BZ122))</f>
        <v>0</v>
      </c>
      <c r="CB114" s="37" t="n">
        <f aca="false">CB11*MAX(0,MIN(CB153-CB113,①통합_가정!$E$453-CA122))</f>
        <v>0</v>
      </c>
      <c r="CC114" s="37" t="n">
        <f aca="false">CC11*MAX(0,MIN(CC153-CC113,①통합_가정!$E$453-CB122))</f>
        <v>0</v>
      </c>
      <c r="CD114" s="37" t="n">
        <f aca="false">CD11*MAX(0,MIN(CD153-CD113,①통합_가정!$E$453-CC122))</f>
        <v>0</v>
      </c>
      <c r="CE114" s="37" t="n">
        <f aca="false">CE11*MAX(0,MIN(CE153-CE113,①통합_가정!$E$453-CD122))</f>
        <v>0</v>
      </c>
      <c r="CF114" s="37" t="n">
        <f aca="false">CF11*MAX(0,MIN(CF153-CF113,①통합_가정!$E$453-CE122))</f>
        <v>0</v>
      </c>
      <c r="CG114" s="37" t="n">
        <f aca="false">CG11*MAX(0,MIN(CG153-CG113,①통합_가정!$E$453-CF122))</f>
        <v>0</v>
      </c>
      <c r="CH114" s="37" t="n">
        <f aca="false">CH11*MAX(0,MIN(CH153-CH113,①통합_가정!$E$453-CG122))</f>
        <v>0</v>
      </c>
      <c r="CI114" s="37" t="n">
        <f aca="false">CI11*MAX(0,MIN(CI153-CI113,①통합_가정!$E$453-CH122))</f>
        <v>0</v>
      </c>
      <c r="CJ114" s="37" t="n">
        <f aca="false">CJ11*MAX(0,MIN(CJ153-CJ113,①통합_가정!$E$453-CI122))</f>
        <v>0</v>
      </c>
      <c r="CK114" s="37" t="n">
        <f aca="false">CK11*MAX(0,MIN(CK153-CK113,①통합_가정!$E$453-CJ122))</f>
        <v>0</v>
      </c>
      <c r="CL114" s="37" t="n">
        <f aca="false">CL11*MAX(0,MIN(CL153-CL113,①통합_가정!$E$453-CK122))</f>
        <v>0</v>
      </c>
      <c r="CM114" s="37" t="n">
        <f aca="false">CM11*MAX(0,MIN(CM153-CM113,①통합_가정!$E$453-CL122))</f>
        <v>0</v>
      </c>
      <c r="CN114" s="37" t="n">
        <f aca="false">CN11*MAX(0,MIN(CN153-CN113,①통합_가정!$E$453-CM122))</f>
        <v>0</v>
      </c>
      <c r="CO114" s="37" t="n">
        <f aca="false">CO11*MAX(0,MIN(CO153-CO113,①통합_가정!$E$453-CN122))</f>
        <v>0</v>
      </c>
      <c r="CP114" s="37" t="n">
        <f aca="false">CP11*MAX(0,MIN(CP153-CP113,①통합_가정!$E$453-CO122))</f>
        <v>0</v>
      </c>
      <c r="CQ114" s="37" t="n">
        <f aca="false">CQ11*MAX(0,MIN(CQ153-CQ113,①통합_가정!$E$453-CP122))</f>
        <v>0</v>
      </c>
      <c r="CR114" s="37" t="n">
        <f aca="false">CR11*MAX(0,MIN(CR153-CR113,①통합_가정!$E$453-CQ122))</f>
        <v>0</v>
      </c>
      <c r="CS114" s="37" t="n">
        <f aca="false">CS11*MAX(0,MIN(CS153-CS113,①통합_가정!$E$453-CR122))</f>
        <v>0</v>
      </c>
      <c r="CT114" s="37" t="n">
        <f aca="false">CT11*MAX(0,MIN(CT153-CT113,①통합_가정!$E$453-CS122))</f>
        <v>0</v>
      </c>
      <c r="CU114" s="37" t="n">
        <f aca="false">CU11*MAX(0,MIN(CU153-CU113,①통합_가정!$E$453-CT122))</f>
        <v>0</v>
      </c>
      <c r="CV114" s="37" t="n">
        <f aca="false">CV11*MAX(0,MIN(CV153-CV113,①통합_가정!$E$453-CU122))</f>
        <v>0</v>
      </c>
      <c r="CW114" s="37" t="n">
        <f aca="false">CW11*MAX(0,MIN(CW153-CW113,①통합_가정!$E$453-CV122))</f>
        <v>0</v>
      </c>
      <c r="CX114" s="37" t="n">
        <f aca="false">CX11*MAX(0,MIN(CX153-CX113,①통합_가정!$E$453-CW122))</f>
        <v>0</v>
      </c>
      <c r="CY114" s="37" t="n">
        <f aca="false">CY11*MAX(0,MIN(CY153-CY113,①통합_가정!$E$453-CX122))</f>
        <v>0</v>
      </c>
      <c r="CZ114" s="37" t="n">
        <f aca="false">CZ11*MAX(0,MIN(CZ153-CZ113,①통합_가정!$E$453-CY122))</f>
        <v>0</v>
      </c>
      <c r="DA114" s="37" t="n">
        <f aca="false">DA11*MAX(0,MIN(DA153-DA113,①통합_가정!$E$453-CZ122))</f>
        <v>0</v>
      </c>
      <c r="DB114" s="37" t="n">
        <f aca="false">DB11*MAX(0,MIN(DB153-DB113,①통합_가정!$E$453-DA122))</f>
        <v>0</v>
      </c>
      <c r="DC114" s="37" t="n">
        <f aca="false">DC11*MAX(0,MIN(DC153-DC113,①통합_가정!$E$453-DB122))</f>
        <v>0</v>
      </c>
      <c r="DD114" s="37" t="n">
        <f aca="false">DD11*MAX(0,MIN(DD153-DD113,①통합_가정!$E$453-DC122))</f>
        <v>0</v>
      </c>
      <c r="DE114" s="37" t="n">
        <f aca="false">DE11*MAX(0,MIN(DE153-DE113,①통합_가정!$E$453-DD122))</f>
        <v>0</v>
      </c>
      <c r="DF114" s="37" t="n">
        <f aca="false">DF11*MAX(0,MIN(DF153-DF113,①통합_가정!$E$453-DE122))</f>
        <v>0</v>
      </c>
      <c r="DG114" s="37" t="n">
        <f aca="false">DG11*MAX(0,MIN(DG153-DG113,①통합_가정!$E$453-DF122))</f>
        <v>0</v>
      </c>
      <c r="DH114" s="37" t="n">
        <f aca="false">DH11*MAX(0,MIN(DH153-DH113,①통합_가정!$E$453-DG122))</f>
        <v>0</v>
      </c>
      <c r="DI114" s="37" t="n">
        <f aca="false">DI11*MAX(0,MIN(DI153-DI113,①통합_가정!$E$453-DH122))</f>
        <v>0</v>
      </c>
      <c r="DJ114" s="37" t="n">
        <f aca="false">DJ11*MAX(0,MIN(DJ153-DJ113,①통합_가정!$E$453-DI122))</f>
        <v>0</v>
      </c>
      <c r="DK114" s="37" t="n">
        <f aca="false">DK11*MAX(0,MIN(DK153-DK113,①통합_가정!$E$453-DJ122))</f>
        <v>0</v>
      </c>
      <c r="DL114" s="37" t="n">
        <f aca="false">DL11*MAX(0,MIN(DL153-DL113,①통합_가정!$E$453-DK122))</f>
        <v>0</v>
      </c>
      <c r="DM114" s="37" t="n">
        <f aca="false">DM11*MAX(0,MIN(DM153-DM113,①통합_가정!$E$453-DL122))</f>
        <v>0</v>
      </c>
      <c r="DN114" s="37" t="n">
        <f aca="false">DN11*MAX(0,MIN(DN153-DN113,①통합_가정!$E$453-DM122))</f>
        <v>0</v>
      </c>
      <c r="DO114" s="37" t="n">
        <f aca="false">DO11*MAX(0,MIN(DO153-DO113,①통합_가정!$E$453-DN122))</f>
        <v>0</v>
      </c>
      <c r="DP114" s="37" t="n">
        <f aca="false">DP11*MAX(0,MIN(DP153-DP113,①통합_가정!$E$453-DO122))</f>
        <v>0</v>
      </c>
      <c r="DQ114" s="37" t="n">
        <f aca="false">DQ11*MAX(0,MIN(DQ153-DQ113,①통합_가정!$E$453-DP122))</f>
        <v>0</v>
      </c>
      <c r="DR114" s="37" t="n">
        <f aca="false">DR11*MAX(0,MIN(DR153-DR113,①통합_가정!$E$453-DQ122))</f>
        <v>0</v>
      </c>
      <c r="DS114" s="37" t="n">
        <f aca="false">DS11*MAX(0,MIN(DS153-DS113,①통합_가정!$E$453-DR122))</f>
        <v>0</v>
      </c>
      <c r="DT114" s="37" t="n">
        <f aca="false">DT11*MAX(0,MIN(DT153-DT113,①통합_가정!$E$453-DS122))</f>
        <v>0</v>
      </c>
      <c r="DU114" s="37" t="n">
        <f aca="false">DU11*MAX(0,MIN(DU153-DU113,①통합_가정!$E$453-DT122))</f>
        <v>0</v>
      </c>
      <c r="DV114" s="37" t="n">
        <f aca="false">DV11*MAX(0,MIN(DV153-DV113,①통합_가정!$E$453-DU122))</f>
        <v>0</v>
      </c>
      <c r="DW114" s="37" t="n">
        <f aca="false">DW11*MAX(0,MIN(DW153-DW113,①통합_가정!$E$453-DV122))</f>
        <v>0</v>
      </c>
      <c r="DX114" s="37" t="n">
        <f aca="false">DX11*MAX(0,MIN(DX153-DX113,①통합_가정!$E$453-DW122))</f>
        <v>0</v>
      </c>
      <c r="DY114" s="37" t="n">
        <f aca="false">DY11*MAX(0,MIN(DY153-DY113,①통합_가정!$E$453-DX122))</f>
        <v>0</v>
      </c>
      <c r="DZ114" s="37" t="n">
        <f aca="false">DZ11*MAX(0,MIN(DZ153-DZ113,①통합_가정!$E$453-DY122))</f>
        <v>0</v>
      </c>
      <c r="EA114" s="37" t="n">
        <f aca="false">EA11*MAX(0,MIN(EA153-EA113,①통합_가정!$E$453-DZ122))</f>
        <v>0</v>
      </c>
      <c r="EB114" s="37" t="n">
        <f aca="false">EB11*MAX(0,MIN(EB153-EB113,①통합_가정!$E$453-EA122))</f>
        <v>0</v>
      </c>
      <c r="EC114" s="37" t="n">
        <f aca="false">EC11*MAX(0,MIN(EC153-EC113,①통합_가정!$E$453-EB122))</f>
        <v>0</v>
      </c>
      <c r="ED114" s="37" t="n">
        <f aca="false">ED11*MAX(0,MIN(ED153-ED113,①통합_가정!$E$453-EC122))</f>
        <v>0</v>
      </c>
      <c r="EE114" s="37" t="n">
        <f aca="false">EE11*MAX(0,MIN(EE153-EE113,①통합_가정!$E$453-ED122))</f>
        <v>0</v>
      </c>
      <c r="EF114" s="37" t="n">
        <f aca="false">EF11*MAX(0,MIN(EF153-EF113,①통합_가정!$E$453-EE122))</f>
        <v>0</v>
      </c>
    </row>
    <row r="115" customFormat="false" ht="15" hidden="false" customHeight="false" outlineLevel="0" collapsed="false">
      <c r="A115" s="153" t="s">
        <v>654</v>
      </c>
      <c r="B115" s="278" t="s">
        <v>21</v>
      </c>
      <c r="C115" s="279" t="n">
        <f aca="false">SUM(E115:EF115)</f>
        <v>304203.267746598</v>
      </c>
      <c r="E115" s="37" t="n">
        <f aca="false">E11*MAX(0,MIN(E153-E113-E114,①통합_가정!$E$452-0))</f>
        <v>0</v>
      </c>
      <c r="F115" s="37" t="n">
        <f aca="false">F11*MAX(0,MIN(F153-F113-F114,①통합_가정!$E$452-E121))</f>
        <v>0</v>
      </c>
      <c r="G115" s="37" t="n">
        <f aca="false">G11*MAX(0,MIN(G153-G113-G114,①통합_가정!$E$452-F121))</f>
        <v>0</v>
      </c>
      <c r="H115" s="37" t="n">
        <f aca="false">H11*MAX(0,MIN(H153-H113-H114,①통합_가정!$E$452-G121))</f>
        <v>0</v>
      </c>
      <c r="I115" s="37" t="n">
        <f aca="false">I11*MAX(0,MIN(I153-I113-I114,①통합_가정!$E$452-H121))</f>
        <v>0</v>
      </c>
      <c r="J115" s="37" t="n">
        <f aca="false">J11*MAX(0,MIN(J153-J113-J114,①통합_가정!$E$452-I121))</f>
        <v>0</v>
      </c>
      <c r="K115" s="37" t="n">
        <f aca="false">K11*MAX(0,MIN(K153-K113-K114,①통합_가정!$E$452-J121))</f>
        <v>0</v>
      </c>
      <c r="L115" s="37" t="n">
        <f aca="false">L11*MAX(0,MIN(L153-L113-L114,①통합_가정!$E$452-K121))</f>
        <v>0</v>
      </c>
      <c r="M115" s="37" t="n">
        <f aca="false">M11*MAX(0,MIN(M153-M113-M114,①통합_가정!$E$452-L121))</f>
        <v>0</v>
      </c>
      <c r="N115" s="37" t="n">
        <f aca="false">N11*MAX(0,MIN(N153-N113-N114,①통합_가정!$E$452-M121))</f>
        <v>0</v>
      </c>
      <c r="O115" s="37" t="n">
        <f aca="false">O11*MAX(0,MIN(O153-O113-O114,①통합_가정!$E$452-N121))</f>
        <v>0</v>
      </c>
      <c r="P115" s="37" t="n">
        <f aca="false">P11*MAX(0,MIN(P153-P113-P114,①통합_가정!$E$452-O121))</f>
        <v>0</v>
      </c>
      <c r="Q115" s="37" t="n">
        <f aca="false">Q11*MAX(0,MIN(Q153-Q113-Q114,①통합_가정!$E$452-P121))</f>
        <v>0</v>
      </c>
      <c r="R115" s="37" t="n">
        <f aca="false">R11*MAX(0,MIN(R153-R113-R114,①통합_가정!$E$452-Q121))</f>
        <v>0</v>
      </c>
      <c r="S115" s="37" t="n">
        <f aca="false">S11*MAX(0,MIN(S153-S113-S114,①통합_가정!$E$452-R121))</f>
        <v>0</v>
      </c>
      <c r="T115" s="37" t="n">
        <f aca="false">T11*MAX(0,MIN(T153-T113-T114,①통합_가정!$E$452-S121))</f>
        <v>0</v>
      </c>
      <c r="U115" s="37" t="n">
        <f aca="false">U11*MAX(0,MIN(U153-U113-U114,①통합_가정!$E$452-T121))</f>
        <v>0</v>
      </c>
      <c r="V115" s="37" t="n">
        <f aca="false">V11*MAX(0,MIN(V153-V113-V114,①통합_가정!$E$452-U121))</f>
        <v>0</v>
      </c>
      <c r="W115" s="37" t="n">
        <f aca="false">W11*MAX(0,MIN(W153-W113-W114,①통합_가정!$E$452-V121))</f>
        <v>0</v>
      </c>
      <c r="X115" s="37" t="n">
        <f aca="false">X11*MAX(0,MIN(X153-X113-X114,①통합_가정!$E$452-W121))</f>
        <v>0</v>
      </c>
      <c r="Y115" s="37" t="n">
        <f aca="false">Y11*MAX(0,MIN(Y153-Y113-Y114,①통합_가정!$E$452-X121))</f>
        <v>0</v>
      </c>
      <c r="Z115" s="37" t="n">
        <f aca="false">Z11*MAX(0,MIN(Z153-Z113-Z114,①통합_가정!$E$452-Y121))</f>
        <v>0</v>
      </c>
      <c r="AA115" s="37" t="n">
        <f aca="false">AA11*MAX(0,MIN(AA153-AA113-AA114,①통합_가정!$E$452-Z121))</f>
        <v>0</v>
      </c>
      <c r="AB115" s="37" t="n">
        <f aca="false">AB11*MAX(0,MIN(AB153-AB113-AB114,①통합_가정!$E$452-AA121))</f>
        <v>0</v>
      </c>
      <c r="AC115" s="37" t="n">
        <f aca="false">AC11*MAX(0,MIN(AC153-AC113-AC114,①통합_가정!$E$452-AB121))</f>
        <v>0</v>
      </c>
      <c r="AD115" s="37" t="n">
        <f aca="false">AD11*MAX(0,MIN(AD153-AD113-AD114,①통합_가정!$E$452-AC121))</f>
        <v>0</v>
      </c>
      <c r="AE115" s="37" t="n">
        <f aca="false">AE11*MAX(0,MIN(AE153-AE113-AE114,①통합_가정!$E$452-AD121))</f>
        <v>0</v>
      </c>
      <c r="AF115" s="37" t="n">
        <f aca="false">AF11*MAX(0,MIN(AF153-AF113-AF114,①통합_가정!$E$452-AE121))</f>
        <v>0</v>
      </c>
      <c r="AG115" s="37" t="n">
        <f aca="false">AG11*MAX(0,MIN(AG153-AG113-AG114,①통합_가정!$E$452-AF121))</f>
        <v>0</v>
      </c>
      <c r="AH115" s="37" t="n">
        <f aca="false">AH11*MAX(0,MIN(AH153-AH113-AH114,①통합_가정!$E$452-AG121))</f>
        <v>0</v>
      </c>
      <c r="AI115" s="37" t="n">
        <f aca="false">AI11*MAX(0,MIN(AI153-AI113-AI114,①통합_가정!$E$452-AH121))</f>
        <v>0</v>
      </c>
      <c r="AJ115" s="37" t="n">
        <f aca="false">AJ11*MAX(0,MIN(AJ153-AJ113-AJ114,①통합_가정!$E$452-AI121))</f>
        <v>0</v>
      </c>
      <c r="AK115" s="37" t="n">
        <f aca="false">AK11*MAX(0,MIN(AK153-AK113-AK114,①통합_가정!$E$452-AJ121))</f>
        <v>0</v>
      </c>
      <c r="AL115" s="37" t="n">
        <f aca="false">AL11*MAX(0,MIN(AL153-AL113-AL114,①통합_가정!$E$452-AK121))</f>
        <v>0</v>
      </c>
      <c r="AM115" s="37" t="n">
        <f aca="false">AM11*MAX(0,MIN(AM153-AM113-AM114,①통합_가정!$E$452-AL121))</f>
        <v>0</v>
      </c>
      <c r="AN115" s="37" t="n">
        <f aca="false">AN11*MAX(0,MIN(AN153-AN113-AN114,①통합_가정!$E$452-AM121))</f>
        <v>0</v>
      </c>
      <c r="AO115" s="37" t="n">
        <f aca="false">AO11*MAX(0,MIN(AO153-AO113-AO114,①통합_가정!$E$452-AN121))</f>
        <v>0</v>
      </c>
      <c r="AP115" s="37" t="n">
        <f aca="false">AP11*MAX(0,MIN(AP153-AP113-AP114,①통합_가정!$E$452-AO121))</f>
        <v>0</v>
      </c>
      <c r="AQ115" s="37" t="n">
        <f aca="false">AQ11*MAX(0,MIN(AQ153-AQ113-AQ114,①통합_가정!$E$452-AP121))</f>
        <v>0</v>
      </c>
      <c r="AR115" s="37" t="n">
        <f aca="false">AR11*MAX(0,MIN(AR153-AR113-AR114,①통합_가정!$E$452-AQ121))</f>
        <v>0</v>
      </c>
      <c r="AS115" s="37" t="n">
        <f aca="false">AS11*MAX(0,MIN(AS153-AS113-AS114,①통합_가정!$E$452-AR121))</f>
        <v>0</v>
      </c>
      <c r="AT115" s="37" t="n">
        <f aca="false">AT11*MAX(0,MIN(AT153-AT113-AT114,①통합_가정!$E$452-AS121))</f>
        <v>0</v>
      </c>
      <c r="AU115" s="37" t="n">
        <f aca="false">AU11*MAX(0,MIN(AU153-AU113-AU114,①통합_가정!$E$452-AT121))</f>
        <v>8062.70068423297</v>
      </c>
      <c r="AV115" s="37" t="n">
        <f aca="false">AV11*MAX(0,MIN(AV153-AV113-AV114,①통합_가정!$E$452-AU121))</f>
        <v>39925.3498565815</v>
      </c>
      <c r="AW115" s="37" t="n">
        <f aca="false">AW11*MAX(0,MIN(AW153-AW113-AW114,①통합_가정!$E$452-AV121))</f>
        <v>39071.7401424841</v>
      </c>
      <c r="AX115" s="37" t="n">
        <f aca="false">AX11*MAX(0,MIN(AX153-AX113-AX114,①통합_가정!$E$452-AW121))</f>
        <v>38016.261558501</v>
      </c>
      <c r="AY115" s="37" t="n">
        <f aca="false">AY11*MAX(0,MIN(AY153-AY113-AY114,①통합_가정!$E$452-AX121))</f>
        <v>36764.8999497655</v>
      </c>
      <c r="AZ115" s="37" t="n">
        <f aca="false">AZ11*MAX(0,MIN(AZ153-AZ113-AZ114,①통합_가정!$E$452-AY121))</f>
        <v>35324.7370346461</v>
      </c>
      <c r="BA115" s="37" t="n">
        <f aca="false">BA11*MAX(0,MIN(BA153-BA113-BA114,①통합_가정!$E$452-AZ121))</f>
        <v>0</v>
      </c>
      <c r="BB115" s="37" t="n">
        <f aca="false">BB11*MAX(0,MIN(BB153-BB113-BB114,①통합_가정!$E$452-BA121))</f>
        <v>0</v>
      </c>
      <c r="BC115" s="37" t="n">
        <f aca="false">BC11*MAX(0,MIN(BC153-BC113-BC114,①통합_가정!$E$452-BB121))</f>
        <v>0</v>
      </c>
      <c r="BD115" s="37" t="n">
        <f aca="false">BD11*MAX(0,MIN(BD153-BD113-BD114,①통합_가정!$E$452-BC121))</f>
        <v>0</v>
      </c>
      <c r="BE115" s="37" t="n">
        <f aca="false">BE11*MAX(0,MIN(BE153-BE113-BE114,①통합_가정!$E$452-BD121))</f>
        <v>10753.4950757222</v>
      </c>
      <c r="BF115" s="37" t="n">
        <f aca="false">BF11*MAX(0,MIN(BF153-BF113-BF114,①통합_가정!$E$452-BE121))</f>
        <v>22550.9777429406</v>
      </c>
      <c r="BG115" s="37" t="n">
        <f aca="false">BG11*MAX(0,MIN(BG153-BG113-BG114,①통합_가정!$E$452-BF121))</f>
        <v>20066.3422463546</v>
      </c>
      <c r="BH115" s="37" t="n">
        <f aca="false">BH11*MAX(0,MIN(BH153-BH113-BH114,①통합_가정!$E$452-BG121))</f>
        <v>17483.0712152557</v>
      </c>
      <c r="BI115" s="37" t="n">
        <f aca="false">BI11*MAX(0,MIN(BI153-BI113-BI114,①통합_가정!$E$452-BH121))</f>
        <v>14815.6792670774</v>
      </c>
      <c r="BJ115" s="37" t="n">
        <f aca="false">BJ11*MAX(0,MIN(BJ153-BJ113-BJ114,①통합_가정!$E$452-BI121))</f>
        <v>12079.1517971324</v>
      </c>
      <c r="BK115" s="37" t="n">
        <f aca="false">BK11*MAX(0,MIN(BK153-BK113-BK114,①통합_가정!$E$452-BJ121))</f>
        <v>9288.86117590425</v>
      </c>
      <c r="BL115" s="37" t="n">
        <f aca="false">BL11*MAX(0,MIN(BL153-BL113-BL114,①통합_가정!$E$452-BK121))</f>
        <v>0</v>
      </c>
      <c r="BM115" s="37" t="n">
        <f aca="false">BM11*MAX(0,MIN(BM153-BM113-BM114,①통합_가정!$E$452-BL121))</f>
        <v>0</v>
      </c>
      <c r="BN115" s="37" t="n">
        <f aca="false">BN11*MAX(0,MIN(BN153-BN113-BN114,①통합_가정!$E$452-BM121))</f>
        <v>0</v>
      </c>
      <c r="BO115" s="37" t="n">
        <f aca="false">BO11*MAX(0,MIN(BO153-BO113-BO114,①통합_가정!$E$452-BN121))</f>
        <v>0</v>
      </c>
      <c r="BP115" s="37" t="n">
        <f aca="false">BP11*MAX(0,MIN(BP153-BP113-BP114,①통합_가정!$E$452-BO121))</f>
        <v>0</v>
      </c>
      <c r="BQ115" s="37" t="n">
        <f aca="false">BQ11*MAX(0,MIN(BQ153-BQ113-BQ114,①통합_가정!$E$452-BP121))</f>
        <v>0</v>
      </c>
      <c r="BR115" s="37" t="n">
        <f aca="false">BR11*MAX(0,MIN(BR153-BR113-BR114,①통합_가정!$E$452-BQ121))</f>
        <v>0</v>
      </c>
      <c r="BS115" s="37" t="n">
        <f aca="false">BS11*MAX(0,MIN(BS153-BS113-BS114,①통합_가정!$E$452-BR121))</f>
        <v>0</v>
      </c>
      <c r="BT115" s="37" t="n">
        <f aca="false">BT11*MAX(0,MIN(BT153-BT113-BT114,①통합_가정!$E$452-BS121))</f>
        <v>0</v>
      </c>
      <c r="BU115" s="37" t="n">
        <f aca="false">BU11*MAX(0,MIN(BU153-BU113-BU114,①통합_가정!$E$452-BT121))</f>
        <v>0</v>
      </c>
      <c r="BV115" s="37" t="n">
        <f aca="false">BV11*MAX(0,MIN(BV153-BV113-BV114,①통합_가정!$E$452-BU121))</f>
        <v>0</v>
      </c>
      <c r="BW115" s="37" t="n">
        <f aca="false">BW11*MAX(0,MIN(BW153-BW113-BW114,①통합_가정!$E$452-BV121))</f>
        <v>0</v>
      </c>
      <c r="BX115" s="37" t="n">
        <f aca="false">BX11*MAX(0,MIN(BX153-BX113-BX114,①통합_가정!$E$452-BW121))</f>
        <v>0</v>
      </c>
      <c r="BY115" s="37" t="n">
        <f aca="false">BY11*MAX(0,MIN(BY153-BY113-BY114,①통합_가정!$E$452-BX121))</f>
        <v>0</v>
      </c>
      <c r="BZ115" s="37" t="n">
        <f aca="false">BZ11*MAX(0,MIN(BZ153-BZ113-BZ114,①통합_가정!$E$452-BY121))</f>
        <v>0</v>
      </c>
      <c r="CA115" s="37" t="n">
        <f aca="false">CA11*MAX(0,MIN(CA153-CA113-CA114,①통합_가정!$E$452-BZ121))</f>
        <v>0</v>
      </c>
      <c r="CB115" s="37" t="n">
        <f aca="false">CB11*MAX(0,MIN(CB153-CB113-CB114,①통합_가정!$E$452-CA121))</f>
        <v>0</v>
      </c>
      <c r="CC115" s="37" t="n">
        <f aca="false">CC11*MAX(0,MIN(CC153-CC113-CC114,①통합_가정!$E$452-CB121))</f>
        <v>0</v>
      </c>
      <c r="CD115" s="37" t="n">
        <f aca="false">CD11*MAX(0,MIN(CD153-CD113-CD114,①통합_가정!$E$452-CC121))</f>
        <v>0</v>
      </c>
      <c r="CE115" s="37" t="n">
        <f aca="false">CE11*MAX(0,MIN(CE153-CE113-CE114,①통합_가정!$E$452-CD121))</f>
        <v>0</v>
      </c>
      <c r="CF115" s="37" t="n">
        <f aca="false">CF11*MAX(0,MIN(CF153-CF113-CF114,①통합_가정!$E$452-CE121))</f>
        <v>0</v>
      </c>
      <c r="CG115" s="37" t="n">
        <f aca="false">CG11*MAX(0,MIN(CG153-CG113-CG114,①통합_가정!$E$452-CF121))</f>
        <v>0</v>
      </c>
      <c r="CH115" s="37" t="n">
        <f aca="false">CH11*MAX(0,MIN(CH153-CH113-CH114,①통합_가정!$E$452-CG121))</f>
        <v>0</v>
      </c>
      <c r="CI115" s="37" t="n">
        <f aca="false">CI11*MAX(0,MIN(CI153-CI113-CI114,①통합_가정!$E$452-CH121))</f>
        <v>0</v>
      </c>
      <c r="CJ115" s="37" t="n">
        <f aca="false">CJ11*MAX(0,MIN(CJ153-CJ113-CJ114,①통합_가정!$E$452-CI121))</f>
        <v>0</v>
      </c>
      <c r="CK115" s="37" t="n">
        <f aca="false">CK11*MAX(0,MIN(CK153-CK113-CK114,①통합_가정!$E$452-CJ121))</f>
        <v>0</v>
      </c>
      <c r="CL115" s="37" t="n">
        <f aca="false">CL11*MAX(0,MIN(CL153-CL113-CL114,①통합_가정!$E$452-CK121))</f>
        <v>0</v>
      </c>
      <c r="CM115" s="37" t="n">
        <f aca="false">CM11*MAX(0,MIN(CM153-CM113-CM114,①통합_가정!$E$452-CL121))</f>
        <v>0</v>
      </c>
      <c r="CN115" s="37" t="n">
        <f aca="false">CN11*MAX(0,MIN(CN153-CN113-CN114,①통합_가정!$E$452-CM121))</f>
        <v>0</v>
      </c>
      <c r="CO115" s="37" t="n">
        <f aca="false">CO11*MAX(0,MIN(CO153-CO113-CO114,①통합_가정!$E$452-CN121))</f>
        <v>0</v>
      </c>
      <c r="CP115" s="37" t="n">
        <f aca="false">CP11*MAX(0,MIN(CP153-CP113-CP114,①통합_가정!$E$452-CO121))</f>
        <v>0</v>
      </c>
      <c r="CQ115" s="37" t="n">
        <f aca="false">CQ11*MAX(0,MIN(CQ153-CQ113-CQ114,①통합_가정!$E$452-CP121))</f>
        <v>0</v>
      </c>
      <c r="CR115" s="37" t="n">
        <f aca="false">CR11*MAX(0,MIN(CR153-CR113-CR114,①통합_가정!$E$452-CQ121))</f>
        <v>0</v>
      </c>
      <c r="CS115" s="37" t="n">
        <f aca="false">CS11*MAX(0,MIN(CS153-CS113-CS114,①통합_가정!$E$452-CR121))</f>
        <v>0</v>
      </c>
      <c r="CT115" s="37" t="n">
        <f aca="false">CT11*MAX(0,MIN(CT153-CT113-CT114,①통합_가정!$E$452-CS121))</f>
        <v>0</v>
      </c>
      <c r="CU115" s="37" t="n">
        <f aca="false">CU11*MAX(0,MIN(CU153-CU113-CU114,①통합_가정!$E$452-CT121))</f>
        <v>0</v>
      </c>
      <c r="CV115" s="37" t="n">
        <f aca="false">CV11*MAX(0,MIN(CV153-CV113-CV114,①통합_가정!$E$452-CU121))</f>
        <v>0</v>
      </c>
      <c r="CW115" s="37" t="n">
        <f aca="false">CW11*MAX(0,MIN(CW153-CW113-CW114,①통합_가정!$E$452-CV121))</f>
        <v>0</v>
      </c>
      <c r="CX115" s="37" t="n">
        <f aca="false">CX11*MAX(0,MIN(CX153-CX113-CX114,①통합_가정!$E$452-CW121))</f>
        <v>0</v>
      </c>
      <c r="CY115" s="37" t="n">
        <f aca="false">CY11*MAX(0,MIN(CY153-CY113-CY114,①통합_가정!$E$452-CX121))</f>
        <v>0</v>
      </c>
      <c r="CZ115" s="37" t="n">
        <f aca="false">CZ11*MAX(0,MIN(CZ153-CZ113-CZ114,①통합_가정!$E$452-CY121))</f>
        <v>0</v>
      </c>
      <c r="DA115" s="37" t="n">
        <f aca="false">DA11*MAX(0,MIN(DA153-DA113-DA114,①통합_가정!$E$452-CZ121))</f>
        <v>0</v>
      </c>
      <c r="DB115" s="37" t="n">
        <f aca="false">DB11*MAX(0,MIN(DB153-DB113-DB114,①통합_가정!$E$452-DA121))</f>
        <v>0</v>
      </c>
      <c r="DC115" s="37" t="n">
        <f aca="false">DC11*MAX(0,MIN(DC153-DC113-DC114,①통합_가정!$E$452-DB121))</f>
        <v>0</v>
      </c>
      <c r="DD115" s="37" t="n">
        <f aca="false">DD11*MAX(0,MIN(DD153-DD113-DD114,①통합_가정!$E$452-DC121))</f>
        <v>0</v>
      </c>
      <c r="DE115" s="37" t="n">
        <f aca="false">DE11*MAX(0,MIN(DE153-DE113-DE114,①통합_가정!$E$452-DD121))</f>
        <v>0</v>
      </c>
      <c r="DF115" s="37" t="n">
        <f aca="false">DF11*MAX(0,MIN(DF153-DF113-DF114,①통합_가정!$E$452-DE121))</f>
        <v>0</v>
      </c>
      <c r="DG115" s="37" t="n">
        <f aca="false">DG11*MAX(0,MIN(DG153-DG113-DG114,①통합_가정!$E$452-DF121))</f>
        <v>0</v>
      </c>
      <c r="DH115" s="37" t="n">
        <f aca="false">DH11*MAX(0,MIN(DH153-DH113-DH114,①통합_가정!$E$452-DG121))</f>
        <v>0</v>
      </c>
      <c r="DI115" s="37" t="n">
        <f aca="false">DI11*MAX(0,MIN(DI153-DI113-DI114,①통합_가정!$E$452-DH121))</f>
        <v>0</v>
      </c>
      <c r="DJ115" s="37" t="n">
        <f aca="false">DJ11*MAX(0,MIN(DJ153-DJ113-DJ114,①통합_가정!$E$452-DI121))</f>
        <v>0</v>
      </c>
      <c r="DK115" s="37" t="n">
        <f aca="false">DK11*MAX(0,MIN(DK153-DK113-DK114,①통합_가정!$E$452-DJ121))</f>
        <v>0</v>
      </c>
      <c r="DL115" s="37" t="n">
        <f aca="false">DL11*MAX(0,MIN(DL153-DL113-DL114,①통합_가정!$E$452-DK121))</f>
        <v>0</v>
      </c>
      <c r="DM115" s="37" t="n">
        <f aca="false">DM11*MAX(0,MIN(DM153-DM113-DM114,①통합_가정!$E$452-DL121))</f>
        <v>0</v>
      </c>
      <c r="DN115" s="37" t="n">
        <f aca="false">DN11*MAX(0,MIN(DN153-DN113-DN114,①통합_가정!$E$452-DM121))</f>
        <v>0</v>
      </c>
      <c r="DO115" s="37" t="n">
        <f aca="false">DO11*MAX(0,MIN(DO153-DO113-DO114,①통합_가정!$E$452-DN121))</f>
        <v>0</v>
      </c>
      <c r="DP115" s="37" t="n">
        <f aca="false">DP11*MAX(0,MIN(DP153-DP113-DP114,①통합_가정!$E$452-DO121))</f>
        <v>0</v>
      </c>
      <c r="DQ115" s="37" t="n">
        <f aca="false">DQ11*MAX(0,MIN(DQ153-DQ113-DQ114,①통합_가정!$E$452-DP121))</f>
        <v>0</v>
      </c>
      <c r="DR115" s="37" t="n">
        <f aca="false">DR11*MAX(0,MIN(DR153-DR113-DR114,①통합_가정!$E$452-DQ121))</f>
        <v>0</v>
      </c>
      <c r="DS115" s="37" t="n">
        <f aca="false">DS11*MAX(0,MIN(DS153-DS113-DS114,①통합_가정!$E$452-DR121))</f>
        <v>0</v>
      </c>
      <c r="DT115" s="37" t="n">
        <f aca="false">DT11*MAX(0,MIN(DT153-DT113-DT114,①통합_가정!$E$452-DS121))</f>
        <v>0</v>
      </c>
      <c r="DU115" s="37" t="n">
        <f aca="false">DU11*MAX(0,MIN(DU153-DU113-DU114,①통합_가정!$E$452-DT121))</f>
        <v>0</v>
      </c>
      <c r="DV115" s="37" t="n">
        <f aca="false">DV11*MAX(0,MIN(DV153-DV113-DV114,①통합_가정!$E$452-DU121))</f>
        <v>0</v>
      </c>
      <c r="DW115" s="37" t="n">
        <f aca="false">DW11*MAX(0,MIN(DW153-DW113-DW114,①통합_가정!$E$452-DV121))</f>
        <v>0</v>
      </c>
      <c r="DX115" s="37" t="n">
        <f aca="false">DX11*MAX(0,MIN(DX153-DX113-DX114,①통합_가정!$E$452-DW121))</f>
        <v>0</v>
      </c>
      <c r="DY115" s="37" t="n">
        <f aca="false">DY11*MAX(0,MIN(DY153-DY113-DY114,①통합_가정!$E$452-DX121))</f>
        <v>0</v>
      </c>
      <c r="DZ115" s="37" t="n">
        <f aca="false">DZ11*MAX(0,MIN(DZ153-DZ113-DZ114,①통합_가정!$E$452-DY121))</f>
        <v>0</v>
      </c>
      <c r="EA115" s="37" t="n">
        <f aca="false">EA11*MAX(0,MIN(EA153-EA113-EA114,①통합_가정!$E$452-DZ121))</f>
        <v>0</v>
      </c>
      <c r="EB115" s="37" t="n">
        <f aca="false">EB11*MAX(0,MIN(EB153-EB113-EB114,①통합_가정!$E$452-EA121))</f>
        <v>0</v>
      </c>
      <c r="EC115" s="37" t="n">
        <f aca="false">EC11*MAX(0,MIN(EC153-EC113-EC114,①통합_가정!$E$452-EB121))</f>
        <v>0</v>
      </c>
      <c r="ED115" s="37" t="n">
        <f aca="false">ED11*MAX(0,MIN(ED153-ED113-ED114,①통합_가정!$E$452-EC121))</f>
        <v>0</v>
      </c>
      <c r="EE115" s="37" t="n">
        <f aca="false">EE11*MAX(0,MIN(EE153-EE113-EE114,①통합_가정!$E$452-ED121))</f>
        <v>0</v>
      </c>
      <c r="EF115" s="37" t="n">
        <f aca="false">EF11*MAX(0,MIN(EF153-EF113-EF114,①통합_가정!$E$452-EE121))</f>
        <v>0</v>
      </c>
    </row>
    <row r="116" customFormat="false" ht="15" hidden="false" customHeight="false" outlineLevel="0" collapsed="false">
      <c r="A116" s="284" t="s">
        <v>655</v>
      </c>
      <c r="B116" s="281" t="s">
        <v>21</v>
      </c>
      <c r="C116" s="282" t="n">
        <f aca="false">SUM(E116:EF116)</f>
        <v>632619.287228057</v>
      </c>
      <c r="D116" s="48"/>
      <c r="E116" s="283" t="n">
        <f aca="false">E115+E114+E113</f>
        <v>0</v>
      </c>
      <c r="F116" s="283" t="n">
        <f aca="false">F115+F114+F113</f>
        <v>0</v>
      </c>
      <c r="G116" s="283" t="n">
        <f aca="false">G115+G114+G113</f>
        <v>0</v>
      </c>
      <c r="H116" s="283" t="n">
        <f aca="false">H115+H114+H113</f>
        <v>0</v>
      </c>
      <c r="I116" s="283" t="n">
        <f aca="false">I115+I114+I113</f>
        <v>0</v>
      </c>
      <c r="J116" s="283" t="n">
        <f aca="false">J115+J114+J113</f>
        <v>0</v>
      </c>
      <c r="K116" s="283" t="n">
        <f aca="false">K115+K114+K113</f>
        <v>0</v>
      </c>
      <c r="L116" s="283" t="n">
        <f aca="false">L115+L114+L113</f>
        <v>0</v>
      </c>
      <c r="M116" s="283" t="n">
        <f aca="false">M115+M114+M113</f>
        <v>0</v>
      </c>
      <c r="N116" s="283" t="n">
        <f aca="false">N115+N114+N113</f>
        <v>0</v>
      </c>
      <c r="O116" s="283" t="n">
        <f aca="false">O115+O114+O113</f>
        <v>0</v>
      </c>
      <c r="P116" s="283" t="n">
        <f aca="false">P115+P114+P113</f>
        <v>0</v>
      </c>
      <c r="Q116" s="283" t="n">
        <f aca="false">Q115+Q114+Q113</f>
        <v>0</v>
      </c>
      <c r="R116" s="283" t="n">
        <f aca="false">R115+R114+R113</f>
        <v>0</v>
      </c>
      <c r="S116" s="283" t="n">
        <f aca="false">S115+S114+S113</f>
        <v>0</v>
      </c>
      <c r="T116" s="283" t="n">
        <f aca="false">T115+T114+T113</f>
        <v>0</v>
      </c>
      <c r="U116" s="283" t="n">
        <f aca="false">U115+U114+U113</f>
        <v>0</v>
      </c>
      <c r="V116" s="283" t="n">
        <f aca="false">V115+V114+V113</f>
        <v>0</v>
      </c>
      <c r="W116" s="283" t="n">
        <f aca="false">W115+W114+W113</f>
        <v>0</v>
      </c>
      <c r="X116" s="283" t="n">
        <f aca="false">X115+X114+X113</f>
        <v>0</v>
      </c>
      <c r="Y116" s="283" t="n">
        <f aca="false">Y115+Y114+Y113</f>
        <v>0</v>
      </c>
      <c r="Z116" s="283" t="n">
        <f aca="false">Z115+Z114+Z113</f>
        <v>0</v>
      </c>
      <c r="AA116" s="283" t="n">
        <f aca="false">AA115+AA114+AA113</f>
        <v>0</v>
      </c>
      <c r="AB116" s="283" t="n">
        <f aca="false">AB115+AB114+AB113</f>
        <v>0</v>
      </c>
      <c r="AC116" s="283" t="n">
        <f aca="false">AC115+AC114+AC113</f>
        <v>0</v>
      </c>
      <c r="AD116" s="283" t="n">
        <f aca="false">AD115+AD114+AD113</f>
        <v>0</v>
      </c>
      <c r="AE116" s="283" t="n">
        <f aca="false">AE115+AE114+AE113</f>
        <v>0</v>
      </c>
      <c r="AF116" s="283" t="n">
        <f aca="false">AF115+AF114+AF113</f>
        <v>0</v>
      </c>
      <c r="AG116" s="283" t="n">
        <f aca="false">AG115+AG114+AG113</f>
        <v>0</v>
      </c>
      <c r="AH116" s="283" t="n">
        <f aca="false">AH115+AH114+AH113</f>
        <v>0</v>
      </c>
      <c r="AI116" s="283" t="n">
        <f aca="false">AI115+AI114+AI113</f>
        <v>994.866374599707</v>
      </c>
      <c r="AJ116" s="283" t="n">
        <f aca="false">AJ115+AJ114+AJ113</f>
        <v>34080.1885696729</v>
      </c>
      <c r="AK116" s="283" t="n">
        <f aca="false">AK115+AK114+AK113</f>
        <v>35757.3527904748</v>
      </c>
      <c r="AL116" s="283" t="n">
        <f aca="false">AL115+AL114+AL113</f>
        <v>37255.5117653045</v>
      </c>
      <c r="AM116" s="283" t="n">
        <f aca="false">AM115+AM114+AM113</f>
        <v>38566.4321850614</v>
      </c>
      <c r="AN116" s="283" t="n">
        <f aca="false">AN115+AN114+AN113</f>
        <v>39682.9288575372</v>
      </c>
      <c r="AO116" s="283" t="n">
        <f aca="false">AO115+AO114+AO113</f>
        <v>0</v>
      </c>
      <c r="AP116" s="283" t="n">
        <f aca="false">AP115+AP114+AP113</f>
        <v>0</v>
      </c>
      <c r="AQ116" s="283" t="n">
        <f aca="false">AQ115+AQ114+AQ113</f>
        <v>0</v>
      </c>
      <c r="AR116" s="283" t="n">
        <f aca="false">AR115+AR114+AR113</f>
        <v>27474.1475466603</v>
      </c>
      <c r="AS116" s="283" t="n">
        <f aca="false">AS115+AS114+AS113</f>
        <v>41156.5301375478</v>
      </c>
      <c r="AT116" s="283" t="n">
        <f aca="false">AT115+AT114+AT113</f>
        <v>40960.078637308</v>
      </c>
      <c r="AU116" s="283" t="n">
        <f aca="false">AU115+AU114+AU113</f>
        <v>40550.683301525</v>
      </c>
      <c r="AV116" s="283" t="n">
        <f aca="false">AV115+AV114+AV113</f>
        <v>39925.3498565815</v>
      </c>
      <c r="AW116" s="283" t="n">
        <f aca="false">AW115+AW114+AW113</f>
        <v>39071.7401424841</v>
      </c>
      <c r="AX116" s="283" t="n">
        <f aca="false">AX115+AX114+AX113</f>
        <v>38016.261558501</v>
      </c>
      <c r="AY116" s="283" t="n">
        <f aca="false">AY115+AY114+AY113</f>
        <v>36764.8999497655</v>
      </c>
      <c r="AZ116" s="283" t="n">
        <f aca="false">AZ115+AZ114+AZ113</f>
        <v>35324.7370346461</v>
      </c>
      <c r="BA116" s="283" t="n">
        <f aca="false">BA115+BA114+BA113</f>
        <v>0</v>
      </c>
      <c r="BB116" s="283" t="n">
        <f aca="false">BB115+BB114+BB113</f>
        <v>0</v>
      </c>
      <c r="BC116" s="283" t="n">
        <f aca="false">BC115+BC114+BC113</f>
        <v>0</v>
      </c>
      <c r="BD116" s="283" t="n">
        <f aca="false">BD115+BD114+BD113</f>
        <v>0</v>
      </c>
      <c r="BE116" s="283" t="n">
        <f aca="false">BE115+BE114+BE113</f>
        <v>10753.4950757222</v>
      </c>
      <c r="BF116" s="283" t="n">
        <f aca="false">BF115+BF114+BF113</f>
        <v>22550.9777429406</v>
      </c>
      <c r="BG116" s="283" t="n">
        <f aca="false">BG115+BG114+BG113</f>
        <v>20066.3422463546</v>
      </c>
      <c r="BH116" s="283" t="n">
        <f aca="false">BH115+BH114+BH113</f>
        <v>17483.0712152557</v>
      </c>
      <c r="BI116" s="283" t="n">
        <f aca="false">BI115+BI114+BI113</f>
        <v>14815.6792670774</v>
      </c>
      <c r="BJ116" s="283" t="n">
        <f aca="false">BJ115+BJ114+BJ113</f>
        <v>12079.1517971324</v>
      </c>
      <c r="BK116" s="283" t="n">
        <f aca="false">BK115+BK114+BK113</f>
        <v>9288.86117590425</v>
      </c>
      <c r="BL116" s="283" t="n">
        <f aca="false">BL115+BL114+BL113</f>
        <v>0</v>
      </c>
      <c r="BM116" s="283" t="n">
        <f aca="false">BM115+BM114+BM113</f>
        <v>0</v>
      </c>
      <c r="BN116" s="283" t="n">
        <f aca="false">BN115+BN114+BN113</f>
        <v>0</v>
      </c>
      <c r="BO116" s="283" t="n">
        <f aca="false">BO115+BO114+BO113</f>
        <v>0</v>
      </c>
      <c r="BP116" s="283" t="n">
        <f aca="false">BP115+BP114+BP113</f>
        <v>0</v>
      </c>
      <c r="BQ116" s="283" t="n">
        <f aca="false">BQ115+BQ114+BQ113</f>
        <v>0</v>
      </c>
      <c r="BR116" s="283" t="n">
        <f aca="false">BR115+BR114+BR113</f>
        <v>0</v>
      </c>
      <c r="BS116" s="283" t="n">
        <f aca="false">BS115+BS114+BS113</f>
        <v>0</v>
      </c>
      <c r="BT116" s="283" t="n">
        <f aca="false">BT115+BT114+BT113</f>
        <v>0</v>
      </c>
      <c r="BU116" s="283" t="n">
        <f aca="false">BU115+BU114+BU113</f>
        <v>0</v>
      </c>
      <c r="BV116" s="283" t="n">
        <f aca="false">BV115+BV114+BV113</f>
        <v>0</v>
      </c>
      <c r="BW116" s="283" t="n">
        <f aca="false">BW115+BW114+BW113</f>
        <v>0</v>
      </c>
      <c r="BX116" s="283" t="n">
        <f aca="false">BX115+BX114+BX113</f>
        <v>0</v>
      </c>
      <c r="BY116" s="283" t="n">
        <f aca="false">BY115+BY114+BY113</f>
        <v>0</v>
      </c>
      <c r="BZ116" s="283" t="n">
        <f aca="false">BZ115+BZ114+BZ113</f>
        <v>0</v>
      </c>
      <c r="CA116" s="283" t="n">
        <f aca="false">CA115+CA114+CA113</f>
        <v>0</v>
      </c>
      <c r="CB116" s="283" t="n">
        <f aca="false">CB115+CB114+CB113</f>
        <v>0</v>
      </c>
      <c r="CC116" s="283" t="n">
        <f aca="false">CC115+CC114+CC113</f>
        <v>0</v>
      </c>
      <c r="CD116" s="283" t="n">
        <f aca="false">CD115+CD114+CD113</f>
        <v>0</v>
      </c>
      <c r="CE116" s="283" t="n">
        <f aca="false">CE115+CE114+CE113</f>
        <v>0</v>
      </c>
      <c r="CF116" s="283" t="n">
        <f aca="false">CF115+CF114+CF113</f>
        <v>0</v>
      </c>
      <c r="CG116" s="283" t="n">
        <f aca="false">CG115+CG114+CG113</f>
        <v>0</v>
      </c>
      <c r="CH116" s="283" t="n">
        <f aca="false">CH115+CH114+CH113</f>
        <v>0</v>
      </c>
      <c r="CI116" s="283" t="n">
        <f aca="false">CI115+CI114+CI113</f>
        <v>0</v>
      </c>
      <c r="CJ116" s="283" t="n">
        <f aca="false">CJ115+CJ114+CJ113</f>
        <v>0</v>
      </c>
      <c r="CK116" s="283" t="n">
        <f aca="false">CK115+CK114+CK113</f>
        <v>0</v>
      </c>
      <c r="CL116" s="283" t="n">
        <f aca="false">CL115+CL114+CL113</f>
        <v>0</v>
      </c>
      <c r="CM116" s="283" t="n">
        <f aca="false">CM115+CM114+CM113</f>
        <v>0</v>
      </c>
      <c r="CN116" s="283" t="n">
        <f aca="false">CN115+CN114+CN113</f>
        <v>0</v>
      </c>
      <c r="CO116" s="283" t="n">
        <f aca="false">CO115+CO114+CO113</f>
        <v>0</v>
      </c>
      <c r="CP116" s="283" t="n">
        <f aca="false">CP115+CP114+CP113</f>
        <v>0</v>
      </c>
      <c r="CQ116" s="283" t="n">
        <f aca="false">CQ115+CQ114+CQ113</f>
        <v>0</v>
      </c>
      <c r="CR116" s="283" t="n">
        <f aca="false">CR115+CR114+CR113</f>
        <v>0</v>
      </c>
      <c r="CS116" s="283" t="n">
        <f aca="false">CS115+CS114+CS113</f>
        <v>0</v>
      </c>
      <c r="CT116" s="283" t="n">
        <f aca="false">CT115+CT114+CT113</f>
        <v>0</v>
      </c>
      <c r="CU116" s="283" t="n">
        <f aca="false">CU115+CU114+CU113</f>
        <v>0</v>
      </c>
      <c r="CV116" s="283" t="n">
        <f aca="false">CV115+CV114+CV113</f>
        <v>0</v>
      </c>
      <c r="CW116" s="283" t="n">
        <f aca="false">CW115+CW114+CW113</f>
        <v>0</v>
      </c>
      <c r="CX116" s="283" t="n">
        <f aca="false">CX115+CX114+CX113</f>
        <v>0</v>
      </c>
      <c r="CY116" s="283" t="n">
        <f aca="false">CY115+CY114+CY113</f>
        <v>0</v>
      </c>
      <c r="CZ116" s="283" t="n">
        <f aca="false">CZ115+CZ114+CZ113</f>
        <v>0</v>
      </c>
      <c r="DA116" s="283" t="n">
        <f aca="false">DA115+DA114+DA113</f>
        <v>0</v>
      </c>
      <c r="DB116" s="283" t="n">
        <f aca="false">DB115+DB114+DB113</f>
        <v>0</v>
      </c>
      <c r="DC116" s="283" t="n">
        <f aca="false">DC115+DC114+DC113</f>
        <v>0</v>
      </c>
      <c r="DD116" s="283" t="n">
        <f aca="false">DD115+DD114+DD113</f>
        <v>0</v>
      </c>
      <c r="DE116" s="283" t="n">
        <f aca="false">DE115+DE114+DE113</f>
        <v>0</v>
      </c>
      <c r="DF116" s="283" t="n">
        <f aca="false">DF115+DF114+DF113</f>
        <v>0</v>
      </c>
      <c r="DG116" s="283" t="n">
        <f aca="false">DG115+DG114+DG113</f>
        <v>0</v>
      </c>
      <c r="DH116" s="283" t="n">
        <f aca="false">DH115+DH114+DH113</f>
        <v>0</v>
      </c>
      <c r="DI116" s="283" t="n">
        <f aca="false">DI115+DI114+DI113</f>
        <v>0</v>
      </c>
      <c r="DJ116" s="283" t="n">
        <f aca="false">DJ115+DJ114+DJ113</f>
        <v>0</v>
      </c>
      <c r="DK116" s="283" t="n">
        <f aca="false">DK115+DK114+DK113</f>
        <v>0</v>
      </c>
      <c r="DL116" s="283" t="n">
        <f aca="false">DL115+DL114+DL113</f>
        <v>0</v>
      </c>
      <c r="DM116" s="283" t="n">
        <f aca="false">DM115+DM114+DM113</f>
        <v>0</v>
      </c>
      <c r="DN116" s="283" t="n">
        <f aca="false">DN115+DN114+DN113</f>
        <v>0</v>
      </c>
      <c r="DO116" s="283" t="n">
        <f aca="false">DO115+DO114+DO113</f>
        <v>0</v>
      </c>
      <c r="DP116" s="283" t="n">
        <f aca="false">DP115+DP114+DP113</f>
        <v>0</v>
      </c>
      <c r="DQ116" s="283" t="n">
        <f aca="false">DQ115+DQ114+DQ113</f>
        <v>0</v>
      </c>
      <c r="DR116" s="283" t="n">
        <f aca="false">DR115+DR114+DR113</f>
        <v>0</v>
      </c>
      <c r="DS116" s="283" t="n">
        <f aca="false">DS115+DS114+DS113</f>
        <v>0</v>
      </c>
      <c r="DT116" s="283" t="n">
        <f aca="false">DT115+DT114+DT113</f>
        <v>0</v>
      </c>
      <c r="DU116" s="283" t="n">
        <f aca="false">DU115+DU114+DU113</f>
        <v>0</v>
      </c>
      <c r="DV116" s="283" t="n">
        <f aca="false">DV115+DV114+DV113</f>
        <v>0</v>
      </c>
      <c r="DW116" s="283" t="n">
        <f aca="false">DW115+DW114+DW113</f>
        <v>0</v>
      </c>
      <c r="DX116" s="283" t="n">
        <f aca="false">DX115+DX114+DX113</f>
        <v>0</v>
      </c>
      <c r="DY116" s="283" t="n">
        <f aca="false">DY115+DY114+DY113</f>
        <v>0</v>
      </c>
      <c r="DZ116" s="283" t="n">
        <f aca="false">DZ115+DZ114+DZ113</f>
        <v>0</v>
      </c>
      <c r="EA116" s="283" t="n">
        <f aca="false">EA115+EA114+EA113</f>
        <v>0</v>
      </c>
      <c r="EB116" s="283" t="n">
        <f aca="false">EB115+EB114+EB113</f>
        <v>0</v>
      </c>
      <c r="EC116" s="283" t="n">
        <f aca="false">EC115+EC114+EC113</f>
        <v>0</v>
      </c>
      <c r="ED116" s="283" t="n">
        <f aca="false">ED115+ED114+ED113</f>
        <v>0</v>
      </c>
      <c r="EE116" s="283" t="n">
        <f aca="false">EE115+EE114+EE113</f>
        <v>0</v>
      </c>
      <c r="EF116" s="283" t="n">
        <f aca="false">EF115+EF114+EF113</f>
        <v>0</v>
      </c>
    </row>
    <row r="117" customFormat="false" ht="15" hidden="false" customHeight="false" outlineLevel="0" collapsed="false">
      <c r="A117" s="153" t="s">
        <v>656</v>
      </c>
      <c r="B117" s="278" t="s">
        <v>21</v>
      </c>
      <c r="C117" s="279" t="n">
        <f aca="false">SUM(E117:EF117)</f>
        <v>304203.267746598</v>
      </c>
      <c r="E117" s="37" t="n">
        <f aca="false">IF(E6=①통합_가정!$E$16,0+E115,0)</f>
        <v>0</v>
      </c>
      <c r="F117" s="37" t="n">
        <f aca="false">IF(F6=①통합_가정!$E$16,E121+F115,0)</f>
        <v>0</v>
      </c>
      <c r="G117" s="37" t="n">
        <f aca="false">IF(G6=①통합_가정!$E$16,F121+G115,0)</f>
        <v>0</v>
      </c>
      <c r="H117" s="37" t="n">
        <f aca="false">IF(H6=①통합_가정!$E$16,G121+H115,0)</f>
        <v>0</v>
      </c>
      <c r="I117" s="37" t="n">
        <f aca="false">IF(I6=①통합_가정!$E$16,H121+I115,0)</f>
        <v>0</v>
      </c>
      <c r="J117" s="37" t="n">
        <f aca="false">IF(J6=①통합_가정!$E$16,I121+J115,0)</f>
        <v>0</v>
      </c>
      <c r="K117" s="37" t="n">
        <f aca="false">IF(K6=①통합_가정!$E$16,J121+K115,0)</f>
        <v>0</v>
      </c>
      <c r="L117" s="37" t="n">
        <f aca="false">IF(L6=①통합_가정!$E$16,K121+L115,0)</f>
        <v>0</v>
      </c>
      <c r="M117" s="37" t="n">
        <f aca="false">IF(M6=①통합_가정!$E$16,L121+M115,0)</f>
        <v>0</v>
      </c>
      <c r="N117" s="37" t="n">
        <f aca="false">IF(N6=①통합_가정!$E$16,M121+N115,0)</f>
        <v>0</v>
      </c>
      <c r="O117" s="37" t="n">
        <f aca="false">IF(O6=①통합_가정!$E$16,N121+O115,0)</f>
        <v>0</v>
      </c>
      <c r="P117" s="37" t="n">
        <f aca="false">IF(P6=①통합_가정!$E$16,O121+P115,0)</f>
        <v>0</v>
      </c>
      <c r="Q117" s="37" t="n">
        <f aca="false">IF(Q6=①통합_가정!$E$16,P121+Q115,0)</f>
        <v>0</v>
      </c>
      <c r="R117" s="37" t="n">
        <f aca="false">IF(R6=①통합_가정!$E$16,Q121+R115,0)</f>
        <v>0</v>
      </c>
      <c r="S117" s="37" t="n">
        <f aca="false">IF(S6=①통합_가정!$E$16,R121+S115,0)</f>
        <v>0</v>
      </c>
      <c r="T117" s="37" t="n">
        <f aca="false">IF(T6=①통합_가정!$E$16,S121+T115,0)</f>
        <v>0</v>
      </c>
      <c r="U117" s="37" t="n">
        <f aca="false">IF(U6=①통합_가정!$E$16,T121+U115,0)</f>
        <v>0</v>
      </c>
      <c r="V117" s="37" t="n">
        <f aca="false">IF(V6=①통합_가정!$E$16,U121+V115,0)</f>
        <v>0</v>
      </c>
      <c r="W117" s="37" t="n">
        <f aca="false">IF(W6=①통합_가정!$E$16,V121+W115,0)</f>
        <v>0</v>
      </c>
      <c r="X117" s="37" t="n">
        <f aca="false">IF(X6=①통합_가정!$E$16,W121+X115,0)</f>
        <v>0</v>
      </c>
      <c r="Y117" s="37" t="n">
        <f aca="false">IF(Y6=①통합_가정!$E$16,X121+Y115,0)</f>
        <v>0</v>
      </c>
      <c r="Z117" s="37" t="n">
        <f aca="false">IF(Z6=①통합_가정!$E$16,Y121+Z115,0)</f>
        <v>0</v>
      </c>
      <c r="AA117" s="37" t="n">
        <f aca="false">IF(AA6=①통합_가정!$E$16,Z121+AA115,0)</f>
        <v>0</v>
      </c>
      <c r="AB117" s="37" t="n">
        <f aca="false">IF(AB6=①통합_가정!$E$16,AA121+AB115,0)</f>
        <v>0</v>
      </c>
      <c r="AC117" s="37" t="n">
        <f aca="false">IF(AC6=①통합_가정!$E$16,AB121+AC115,0)</f>
        <v>0</v>
      </c>
      <c r="AD117" s="37" t="n">
        <f aca="false">IF(AD6=①통합_가정!$E$16,AC121+AD115,0)</f>
        <v>0</v>
      </c>
      <c r="AE117" s="37" t="n">
        <f aca="false">IF(AE6=①통합_가정!$E$16,AD121+AE115,0)</f>
        <v>0</v>
      </c>
      <c r="AF117" s="37" t="n">
        <f aca="false">IF(AF6=①통합_가정!$E$16,AE121+AF115,0)</f>
        <v>0</v>
      </c>
      <c r="AG117" s="37" t="n">
        <f aca="false">IF(AG6=①통합_가정!$E$16,AF121+AG115,0)</f>
        <v>0</v>
      </c>
      <c r="AH117" s="37" t="n">
        <f aca="false">IF(AH6=①통합_가정!$E$16,AG121+AH115,0)</f>
        <v>0</v>
      </c>
      <c r="AI117" s="37" t="n">
        <f aca="false">IF(AI6=①통합_가정!$E$16,AH121+AI115,0)</f>
        <v>0</v>
      </c>
      <c r="AJ117" s="37" t="n">
        <f aca="false">IF(AJ6=①통합_가정!$E$16,AI121+AJ115,0)</f>
        <v>0</v>
      </c>
      <c r="AK117" s="37" t="n">
        <f aca="false">IF(AK6=①통합_가정!$E$16,AJ121+AK115,0)</f>
        <v>0</v>
      </c>
      <c r="AL117" s="37" t="n">
        <f aca="false">IF(AL6=①통합_가정!$E$16,AK121+AL115,0)</f>
        <v>0</v>
      </c>
      <c r="AM117" s="37" t="n">
        <f aca="false">IF(AM6=①통합_가정!$E$16,AL121+AM115,0)</f>
        <v>0</v>
      </c>
      <c r="AN117" s="37" t="n">
        <f aca="false">IF(AN6=①통합_가정!$E$16,AM121+AN115,0)</f>
        <v>0</v>
      </c>
      <c r="AO117" s="37" t="n">
        <f aca="false">IF(AO6=①통합_가정!$E$16,AN121+AO115,0)</f>
        <v>0</v>
      </c>
      <c r="AP117" s="37" t="n">
        <f aca="false">IF(AP6=①통합_가정!$E$16,AO121+AP115,0)</f>
        <v>0</v>
      </c>
      <c r="AQ117" s="37" t="n">
        <f aca="false">IF(AQ6=①통합_가정!$E$16,AP121+AQ115,0)</f>
        <v>0</v>
      </c>
      <c r="AR117" s="37" t="n">
        <f aca="false">IF(AR6=①통합_가정!$E$16,AQ121+AR115,0)</f>
        <v>0</v>
      </c>
      <c r="AS117" s="37" t="n">
        <f aca="false">IF(AS6=①통합_가정!$E$16,AR121+AS115,0)</f>
        <v>0</v>
      </c>
      <c r="AT117" s="37" t="n">
        <f aca="false">IF(AT6=①통합_가정!$E$16,AS121+AT115,0)</f>
        <v>0</v>
      </c>
      <c r="AU117" s="37" t="n">
        <f aca="false">IF(AU6=①통합_가정!$E$16,AT121+AU115,0)</f>
        <v>0</v>
      </c>
      <c r="AV117" s="37" t="n">
        <f aca="false">IF(AV6=①통합_가정!$E$16,AU121+AV115,0)</f>
        <v>0</v>
      </c>
      <c r="AW117" s="37" t="n">
        <f aca="false">IF(AW6=①통합_가정!$E$16,AV121+AW115,0)</f>
        <v>0</v>
      </c>
      <c r="AX117" s="37" t="n">
        <f aca="false">IF(AX6=①통합_가정!$E$16,AW121+AX115,0)</f>
        <v>0</v>
      </c>
      <c r="AY117" s="37" t="n">
        <f aca="false">IF(AY6=①통합_가정!$E$16,AX121+AY115,0)</f>
        <v>0</v>
      </c>
      <c r="AZ117" s="37" t="n">
        <f aca="false">IF(AZ6=①통합_가정!$E$16,AY121+AZ115,0)</f>
        <v>0</v>
      </c>
      <c r="BA117" s="37" t="n">
        <f aca="false">IF(BA6=①통합_가정!$E$16,AZ121+BA115,0)</f>
        <v>0</v>
      </c>
      <c r="BB117" s="37" t="n">
        <f aca="false">IF(BB6=①통합_가정!$E$16,BA121+BB115,0)</f>
        <v>0</v>
      </c>
      <c r="BC117" s="37" t="n">
        <f aca="false">IF(BC6=①통합_가정!$E$16,BB121+BC115,0)</f>
        <v>0</v>
      </c>
      <c r="BD117" s="37" t="n">
        <f aca="false">IF(BD6=①통합_가정!$E$16,BC121+BD115,0)</f>
        <v>0</v>
      </c>
      <c r="BE117" s="37" t="n">
        <f aca="false">IF(BE6=①통합_가정!$E$16,BD121+BE115,0)</f>
        <v>0</v>
      </c>
      <c r="BF117" s="37" t="n">
        <f aca="false">IF(BF6=①통합_가정!$E$16,BE121+BF115,0)</f>
        <v>0</v>
      </c>
      <c r="BG117" s="37" t="n">
        <f aca="false">IF(BG6=①통합_가정!$E$16,BF121+BG115,0)</f>
        <v>0</v>
      </c>
      <c r="BH117" s="37" t="n">
        <f aca="false">IF(BH6=①통합_가정!$E$16,BG121+BH115,0)</f>
        <v>0</v>
      </c>
      <c r="BI117" s="37" t="n">
        <f aca="false">IF(BI6=①통합_가정!$E$16,BH121+BI115,0)</f>
        <v>0</v>
      </c>
      <c r="BJ117" s="37" t="n">
        <f aca="false">IF(BJ6=①통합_가정!$E$16,BI121+BJ115,0)</f>
        <v>0</v>
      </c>
      <c r="BK117" s="37" t="n">
        <f aca="false">IF(BK6=①통합_가정!$E$16,BJ121+BK115,0)</f>
        <v>0</v>
      </c>
      <c r="BL117" s="37" t="n">
        <f aca="false">IF(BL6=①통합_가정!$E$16,BK121+BL115,0)</f>
        <v>304203.267746598</v>
      </c>
      <c r="BM117" s="37" t="n">
        <f aca="false">IF(BM6=①통합_가정!$E$16,BL121+BM115,0)</f>
        <v>0</v>
      </c>
      <c r="BN117" s="37" t="n">
        <f aca="false">IF(BN6=①통합_가정!$E$16,BM121+BN115,0)</f>
        <v>0</v>
      </c>
      <c r="BO117" s="37" t="n">
        <f aca="false">IF(BO6=①통합_가정!$E$16,BN121+BO115,0)</f>
        <v>0</v>
      </c>
      <c r="BP117" s="37" t="n">
        <f aca="false">IF(BP6=①통합_가정!$E$16,BO121+BP115,0)</f>
        <v>0</v>
      </c>
      <c r="BQ117" s="37" t="n">
        <f aca="false">IF(BQ6=①통합_가정!$E$16,BP121+BQ115,0)</f>
        <v>0</v>
      </c>
      <c r="BR117" s="37" t="n">
        <f aca="false">IF(BR6=①통합_가정!$E$16,BQ121+BR115,0)</f>
        <v>0</v>
      </c>
      <c r="BS117" s="37" t="n">
        <f aca="false">IF(BS6=①통합_가정!$E$16,BR121+BS115,0)</f>
        <v>0</v>
      </c>
      <c r="BT117" s="37" t="n">
        <f aca="false">IF(BT6=①통합_가정!$E$16,BS121+BT115,0)</f>
        <v>0</v>
      </c>
      <c r="BU117" s="37" t="n">
        <f aca="false">IF(BU6=①통합_가정!$E$16,BT121+BU115,0)</f>
        <v>0</v>
      </c>
      <c r="BV117" s="37" t="n">
        <f aca="false">IF(BV6=①통합_가정!$E$16,BU121+BV115,0)</f>
        <v>0</v>
      </c>
      <c r="BW117" s="37" t="n">
        <f aca="false">IF(BW6=①통합_가정!$E$16,BV121+BW115,0)</f>
        <v>0</v>
      </c>
      <c r="BX117" s="37" t="n">
        <f aca="false">IF(BX6=①통합_가정!$E$16,BW121+BX115,0)</f>
        <v>0</v>
      </c>
      <c r="BY117" s="37" t="n">
        <f aca="false">IF(BY6=①통합_가정!$E$16,BX121+BY115,0)</f>
        <v>0</v>
      </c>
      <c r="BZ117" s="37" t="n">
        <f aca="false">IF(BZ6=①통합_가정!$E$16,BY121+BZ115,0)</f>
        <v>0</v>
      </c>
      <c r="CA117" s="37" t="n">
        <f aca="false">IF(CA6=①통합_가정!$E$16,BZ121+CA115,0)</f>
        <v>0</v>
      </c>
      <c r="CB117" s="37" t="n">
        <f aca="false">IF(CB6=①통합_가정!$E$16,CA121+CB115,0)</f>
        <v>0</v>
      </c>
      <c r="CC117" s="37" t="n">
        <f aca="false">IF(CC6=①통합_가정!$E$16,CB121+CC115,0)</f>
        <v>0</v>
      </c>
      <c r="CD117" s="37" t="n">
        <f aca="false">IF(CD6=①통합_가정!$E$16,CC121+CD115,0)</f>
        <v>0</v>
      </c>
      <c r="CE117" s="37" t="n">
        <f aca="false">IF(CE6=①통합_가정!$E$16,CD121+CE115,0)</f>
        <v>0</v>
      </c>
      <c r="CF117" s="37" t="n">
        <f aca="false">IF(CF6=①통합_가정!$E$16,CE121+CF115,0)</f>
        <v>0</v>
      </c>
      <c r="CG117" s="37" t="n">
        <f aca="false">IF(CG6=①통합_가정!$E$16,CF121+CG115,0)</f>
        <v>0</v>
      </c>
      <c r="CH117" s="37" t="n">
        <f aca="false">IF(CH6=①통합_가정!$E$16,CG121+CH115,0)</f>
        <v>0</v>
      </c>
      <c r="CI117" s="37" t="n">
        <f aca="false">IF(CI6=①통합_가정!$E$16,CH121+CI115,0)</f>
        <v>0</v>
      </c>
      <c r="CJ117" s="37" t="n">
        <f aca="false">IF(CJ6=①통합_가정!$E$16,CI121+CJ115,0)</f>
        <v>0</v>
      </c>
      <c r="CK117" s="37" t="n">
        <f aca="false">IF(CK6=①통합_가정!$E$16,CJ121+CK115,0)</f>
        <v>0</v>
      </c>
      <c r="CL117" s="37" t="n">
        <f aca="false">IF(CL6=①통합_가정!$E$16,CK121+CL115,0)</f>
        <v>0</v>
      </c>
      <c r="CM117" s="37" t="n">
        <f aca="false">IF(CM6=①통합_가정!$E$16,CL121+CM115,0)</f>
        <v>0</v>
      </c>
      <c r="CN117" s="37" t="n">
        <f aca="false">IF(CN6=①통합_가정!$E$16,CM121+CN115,0)</f>
        <v>0</v>
      </c>
      <c r="CO117" s="37" t="n">
        <f aca="false">IF(CO6=①통합_가정!$E$16,CN121+CO115,0)</f>
        <v>0</v>
      </c>
      <c r="CP117" s="37" t="n">
        <f aca="false">IF(CP6=①통합_가정!$E$16,CO121+CP115,0)</f>
        <v>0</v>
      </c>
      <c r="CQ117" s="37" t="n">
        <f aca="false">IF(CQ6=①통합_가정!$E$16,CP121+CQ115,0)</f>
        <v>0</v>
      </c>
      <c r="CR117" s="37" t="n">
        <f aca="false">IF(CR6=①통합_가정!$E$16,CQ121+CR115,0)</f>
        <v>0</v>
      </c>
      <c r="CS117" s="37" t="n">
        <f aca="false">IF(CS6=①통합_가정!$E$16,CR121+CS115,0)</f>
        <v>0</v>
      </c>
      <c r="CT117" s="37" t="n">
        <f aca="false">IF(CT6=①통합_가정!$E$16,CS121+CT115,0)</f>
        <v>0</v>
      </c>
      <c r="CU117" s="37" t="n">
        <f aca="false">IF(CU6=①통합_가정!$E$16,CT121+CU115,0)</f>
        <v>0</v>
      </c>
      <c r="CV117" s="37" t="n">
        <f aca="false">IF(CV6=①통합_가정!$E$16,CU121+CV115,0)</f>
        <v>0</v>
      </c>
      <c r="CW117" s="37" t="n">
        <f aca="false">IF(CW6=①통합_가정!$E$16,CV121+CW115,0)</f>
        <v>0</v>
      </c>
      <c r="CX117" s="37" t="n">
        <f aca="false">IF(CX6=①통합_가정!$E$16,CW121+CX115,0)</f>
        <v>0</v>
      </c>
      <c r="CY117" s="37" t="n">
        <f aca="false">IF(CY6=①통합_가정!$E$16,CX121+CY115,0)</f>
        <v>0</v>
      </c>
      <c r="CZ117" s="37" t="n">
        <f aca="false">IF(CZ6=①통합_가정!$E$16,CY121+CZ115,0)</f>
        <v>0</v>
      </c>
      <c r="DA117" s="37" t="n">
        <f aca="false">IF(DA6=①통합_가정!$E$16,CZ121+DA115,0)</f>
        <v>0</v>
      </c>
      <c r="DB117" s="37" t="n">
        <f aca="false">IF(DB6=①통합_가정!$E$16,DA121+DB115,0)</f>
        <v>0</v>
      </c>
      <c r="DC117" s="37" t="n">
        <f aca="false">IF(DC6=①통합_가정!$E$16,DB121+DC115,0)</f>
        <v>0</v>
      </c>
      <c r="DD117" s="37" t="n">
        <f aca="false">IF(DD6=①통합_가정!$E$16,DC121+DD115,0)</f>
        <v>0</v>
      </c>
      <c r="DE117" s="37" t="n">
        <f aca="false">IF(DE6=①통합_가정!$E$16,DD121+DE115,0)</f>
        <v>0</v>
      </c>
      <c r="DF117" s="37" t="n">
        <f aca="false">IF(DF6=①통합_가정!$E$16,DE121+DF115,0)</f>
        <v>0</v>
      </c>
      <c r="DG117" s="37" t="n">
        <f aca="false">IF(DG6=①통합_가정!$E$16,DF121+DG115,0)</f>
        <v>0</v>
      </c>
      <c r="DH117" s="37" t="n">
        <f aca="false">IF(DH6=①통합_가정!$E$16,DG121+DH115,0)</f>
        <v>0</v>
      </c>
      <c r="DI117" s="37" t="n">
        <f aca="false">IF(DI6=①통합_가정!$E$16,DH121+DI115,0)</f>
        <v>0</v>
      </c>
      <c r="DJ117" s="37" t="n">
        <f aca="false">IF(DJ6=①통합_가정!$E$16,DI121+DJ115,0)</f>
        <v>0</v>
      </c>
      <c r="DK117" s="37" t="n">
        <f aca="false">IF(DK6=①통합_가정!$E$16,DJ121+DK115,0)</f>
        <v>0</v>
      </c>
      <c r="DL117" s="37" t="n">
        <f aca="false">IF(DL6=①통합_가정!$E$16,DK121+DL115,0)</f>
        <v>0</v>
      </c>
      <c r="DM117" s="37" t="n">
        <f aca="false">IF(DM6=①통합_가정!$E$16,DL121+DM115,0)</f>
        <v>0</v>
      </c>
      <c r="DN117" s="37" t="n">
        <f aca="false">IF(DN6=①통합_가정!$E$16,DM121+DN115,0)</f>
        <v>0</v>
      </c>
      <c r="DO117" s="37" t="n">
        <f aca="false">IF(DO6=①통합_가정!$E$16,DN121+DO115,0)</f>
        <v>0</v>
      </c>
      <c r="DP117" s="37" t="n">
        <f aca="false">IF(DP6=①통합_가정!$E$16,DO121+DP115,0)</f>
        <v>0</v>
      </c>
      <c r="DQ117" s="37" t="n">
        <f aca="false">IF(DQ6=①통합_가정!$E$16,DP121+DQ115,0)</f>
        <v>0</v>
      </c>
      <c r="DR117" s="37" t="n">
        <f aca="false">IF(DR6=①통합_가정!$E$16,DQ121+DR115,0)</f>
        <v>0</v>
      </c>
      <c r="DS117" s="37" t="n">
        <f aca="false">IF(DS6=①통합_가정!$E$16,DR121+DS115,0)</f>
        <v>0</v>
      </c>
      <c r="DT117" s="37" t="n">
        <f aca="false">IF(DT6=①통합_가정!$E$16,DS121+DT115,0)</f>
        <v>0</v>
      </c>
      <c r="DU117" s="37" t="n">
        <f aca="false">IF(DU6=①통합_가정!$E$16,DT121+DU115,0)</f>
        <v>0</v>
      </c>
      <c r="DV117" s="37" t="n">
        <f aca="false">IF(DV6=①통합_가정!$E$16,DU121+DV115,0)</f>
        <v>0</v>
      </c>
      <c r="DW117" s="37" t="n">
        <f aca="false">IF(DW6=①통합_가정!$E$16,DV121+DW115,0)</f>
        <v>0</v>
      </c>
      <c r="DX117" s="37" t="n">
        <f aca="false">IF(DX6=①통합_가정!$E$16,DW121+DX115,0)</f>
        <v>0</v>
      </c>
      <c r="DY117" s="37" t="n">
        <f aca="false">IF(DY6=①통합_가정!$E$16,DX121+DY115,0)</f>
        <v>0</v>
      </c>
      <c r="DZ117" s="37" t="n">
        <f aca="false">IF(DZ6=①통합_가정!$E$16,DY121+DZ115,0)</f>
        <v>0</v>
      </c>
      <c r="EA117" s="37" t="n">
        <f aca="false">IF(EA6=①통합_가정!$E$16,DZ121+EA115,0)</f>
        <v>0</v>
      </c>
      <c r="EB117" s="37" t="n">
        <f aca="false">IF(EB6=①통합_가정!$E$16,EA121+EB115,0)</f>
        <v>0</v>
      </c>
      <c r="EC117" s="37" t="n">
        <f aca="false">IF(EC6=①통합_가정!$E$16,EB121+EC115,0)</f>
        <v>0</v>
      </c>
      <c r="ED117" s="37" t="n">
        <f aca="false">IF(ED6=①통합_가정!$E$16,EC121+ED115,0)</f>
        <v>0</v>
      </c>
      <c r="EE117" s="37" t="n">
        <f aca="false">IF(EE6=①통합_가정!$E$16,ED121+EE115,0)</f>
        <v>0</v>
      </c>
      <c r="EF117" s="37" t="n">
        <f aca="false">IF(EF6=①통합_가정!$E$16,EE121+EF115,0)</f>
        <v>0</v>
      </c>
    </row>
    <row r="118" customFormat="false" ht="15" hidden="false" customHeight="false" outlineLevel="0" collapsed="false">
      <c r="A118" s="153" t="s">
        <v>657</v>
      </c>
      <c r="B118" s="278" t="s">
        <v>21</v>
      </c>
      <c r="C118" s="279" t="n">
        <f aca="false">SUM(E118:EF118)</f>
        <v>164265.485417923</v>
      </c>
      <c r="E118" s="37" t="n">
        <f aca="false">IF(E6=①통합_가정!$E$16,0+E114,0)</f>
        <v>0</v>
      </c>
      <c r="F118" s="37" t="n">
        <f aca="false">IF(F6=①통합_가정!$E$16,E122+F114,0)</f>
        <v>0</v>
      </c>
      <c r="G118" s="37" t="n">
        <f aca="false">IF(G6=①통합_가정!$E$16,F122+G114,0)</f>
        <v>0</v>
      </c>
      <c r="H118" s="37" t="n">
        <f aca="false">IF(H6=①통합_가정!$E$16,G122+H114,0)</f>
        <v>0</v>
      </c>
      <c r="I118" s="37" t="n">
        <f aca="false">IF(I6=①통합_가정!$E$16,H122+I114,0)</f>
        <v>0</v>
      </c>
      <c r="J118" s="37" t="n">
        <f aca="false">IF(J6=①통합_가정!$E$16,I122+J114,0)</f>
        <v>0</v>
      </c>
      <c r="K118" s="37" t="n">
        <f aca="false">IF(K6=①통합_가정!$E$16,J122+K114,0)</f>
        <v>0</v>
      </c>
      <c r="L118" s="37" t="n">
        <f aca="false">IF(L6=①통합_가정!$E$16,K122+L114,0)</f>
        <v>0</v>
      </c>
      <c r="M118" s="37" t="n">
        <f aca="false">IF(M6=①통합_가정!$E$16,L122+M114,0)</f>
        <v>0</v>
      </c>
      <c r="N118" s="37" t="n">
        <f aca="false">IF(N6=①통합_가정!$E$16,M122+N114,0)</f>
        <v>0</v>
      </c>
      <c r="O118" s="37" t="n">
        <f aca="false">IF(O6=①통합_가정!$E$16,N122+O114,0)</f>
        <v>0</v>
      </c>
      <c r="P118" s="37" t="n">
        <f aca="false">IF(P6=①통합_가정!$E$16,O122+P114,0)</f>
        <v>0</v>
      </c>
      <c r="Q118" s="37" t="n">
        <f aca="false">IF(Q6=①통합_가정!$E$16,P122+Q114,0)</f>
        <v>0</v>
      </c>
      <c r="R118" s="37" t="n">
        <f aca="false">IF(R6=①통합_가정!$E$16,Q122+R114,0)</f>
        <v>0</v>
      </c>
      <c r="S118" s="37" t="n">
        <f aca="false">IF(S6=①통합_가정!$E$16,R122+S114,0)</f>
        <v>0</v>
      </c>
      <c r="T118" s="37" t="n">
        <f aca="false">IF(T6=①통합_가정!$E$16,S122+T114,0)</f>
        <v>0</v>
      </c>
      <c r="U118" s="37" t="n">
        <f aca="false">IF(U6=①통합_가정!$E$16,T122+U114,0)</f>
        <v>0</v>
      </c>
      <c r="V118" s="37" t="n">
        <f aca="false">IF(V6=①통합_가정!$E$16,U122+V114,0)</f>
        <v>0</v>
      </c>
      <c r="W118" s="37" t="n">
        <f aca="false">IF(W6=①통합_가정!$E$16,V122+W114,0)</f>
        <v>0</v>
      </c>
      <c r="X118" s="37" t="n">
        <f aca="false">IF(X6=①통합_가정!$E$16,W122+X114,0)</f>
        <v>0</v>
      </c>
      <c r="Y118" s="37" t="n">
        <f aca="false">IF(Y6=①통합_가정!$E$16,X122+Y114,0)</f>
        <v>0</v>
      </c>
      <c r="Z118" s="37" t="n">
        <f aca="false">IF(Z6=①통합_가정!$E$16,Y122+Z114,0)</f>
        <v>0</v>
      </c>
      <c r="AA118" s="37" t="n">
        <f aca="false">IF(AA6=①통합_가정!$E$16,Z122+AA114,0)</f>
        <v>0</v>
      </c>
      <c r="AB118" s="37" t="n">
        <f aca="false">IF(AB6=①통합_가정!$E$16,AA122+AB114,0)</f>
        <v>0</v>
      </c>
      <c r="AC118" s="37" t="n">
        <f aca="false">IF(AC6=①통합_가정!$E$16,AB122+AC114,0)</f>
        <v>0</v>
      </c>
      <c r="AD118" s="37" t="n">
        <f aca="false">IF(AD6=①통합_가정!$E$16,AC122+AD114,0)</f>
        <v>0</v>
      </c>
      <c r="AE118" s="37" t="n">
        <f aca="false">IF(AE6=①통합_가정!$E$16,AD122+AE114,0)</f>
        <v>0</v>
      </c>
      <c r="AF118" s="37" t="n">
        <f aca="false">IF(AF6=①통합_가정!$E$16,AE122+AF114,0)</f>
        <v>0</v>
      </c>
      <c r="AG118" s="37" t="n">
        <f aca="false">IF(AG6=①통합_가정!$E$16,AF122+AG114,0)</f>
        <v>0</v>
      </c>
      <c r="AH118" s="37" t="n">
        <f aca="false">IF(AH6=①통합_가정!$E$16,AG122+AH114,0)</f>
        <v>0</v>
      </c>
      <c r="AI118" s="37" t="n">
        <f aca="false">IF(AI6=①통합_가정!$E$16,AH122+AI114,0)</f>
        <v>0</v>
      </c>
      <c r="AJ118" s="37" t="n">
        <f aca="false">IF(AJ6=①통합_가정!$E$16,AI122+AJ114,0)</f>
        <v>0</v>
      </c>
      <c r="AK118" s="37" t="n">
        <f aca="false">IF(AK6=①통합_가정!$E$16,AJ122+AK114,0)</f>
        <v>0</v>
      </c>
      <c r="AL118" s="37" t="n">
        <f aca="false">IF(AL6=①통합_가정!$E$16,AK122+AL114,0)</f>
        <v>0</v>
      </c>
      <c r="AM118" s="37" t="n">
        <f aca="false">IF(AM6=①통합_가정!$E$16,AL122+AM114,0)</f>
        <v>0</v>
      </c>
      <c r="AN118" s="37" t="n">
        <f aca="false">IF(AN6=①통합_가정!$E$16,AM122+AN114,0)</f>
        <v>0</v>
      </c>
      <c r="AO118" s="37" t="n">
        <f aca="false">IF(AO6=①통합_가정!$E$16,AN122+AO114,0)</f>
        <v>0</v>
      </c>
      <c r="AP118" s="37" t="n">
        <f aca="false">IF(AP6=①통합_가정!$E$16,AO122+AP114,0)</f>
        <v>0</v>
      </c>
      <c r="AQ118" s="37" t="n">
        <f aca="false">IF(AQ6=①통합_가정!$E$16,AP122+AQ114,0)</f>
        <v>0</v>
      </c>
      <c r="AR118" s="37" t="n">
        <f aca="false">IF(AR6=①통합_가정!$E$16,AQ122+AR114,0)</f>
        <v>0</v>
      </c>
      <c r="AS118" s="37" t="n">
        <f aca="false">IF(AS6=①통합_가정!$E$16,AR122+AS114,0)</f>
        <v>0</v>
      </c>
      <c r="AT118" s="37" t="n">
        <f aca="false">IF(AT6=①통합_가정!$E$16,AS122+AT114,0)</f>
        <v>0</v>
      </c>
      <c r="AU118" s="37" t="n">
        <f aca="false">IF(AU6=①통합_가정!$E$16,AT122+AU114,0)</f>
        <v>0</v>
      </c>
      <c r="AV118" s="37" t="n">
        <f aca="false">IF(AV6=①통합_가정!$E$16,AU122+AV114,0)</f>
        <v>0</v>
      </c>
      <c r="AW118" s="37" t="n">
        <f aca="false">IF(AW6=①통합_가정!$E$16,AV122+AW114,0)</f>
        <v>0</v>
      </c>
      <c r="AX118" s="37" t="n">
        <f aca="false">IF(AX6=①통합_가정!$E$16,AW122+AX114,0)</f>
        <v>0</v>
      </c>
      <c r="AY118" s="37" t="n">
        <f aca="false">IF(AY6=①통합_가정!$E$16,AX122+AY114,0)</f>
        <v>0</v>
      </c>
      <c r="AZ118" s="37" t="n">
        <f aca="false">IF(AZ6=①통합_가정!$E$16,AY122+AZ114,0)</f>
        <v>0</v>
      </c>
      <c r="BA118" s="37" t="n">
        <f aca="false">IF(BA6=①통합_가정!$E$16,AZ122+BA114,0)</f>
        <v>0</v>
      </c>
      <c r="BB118" s="37" t="n">
        <f aca="false">IF(BB6=①통합_가정!$E$16,BA122+BB114,0)</f>
        <v>0</v>
      </c>
      <c r="BC118" s="37" t="n">
        <f aca="false">IF(BC6=①통합_가정!$E$16,BB122+BC114,0)</f>
        <v>0</v>
      </c>
      <c r="BD118" s="37" t="n">
        <f aca="false">IF(BD6=①통합_가정!$E$16,BC122+BD114,0)</f>
        <v>0</v>
      </c>
      <c r="BE118" s="37" t="n">
        <f aca="false">IF(BE6=①통합_가정!$E$16,BD122+BE114,0)</f>
        <v>0</v>
      </c>
      <c r="BF118" s="37" t="n">
        <f aca="false">IF(BF6=①통합_가정!$E$16,BE122+BF114,0)</f>
        <v>0</v>
      </c>
      <c r="BG118" s="37" t="n">
        <f aca="false">IF(BG6=①통합_가정!$E$16,BF122+BG114,0)</f>
        <v>0</v>
      </c>
      <c r="BH118" s="37" t="n">
        <f aca="false">IF(BH6=①통합_가정!$E$16,BG122+BH114,0)</f>
        <v>0</v>
      </c>
      <c r="BI118" s="37" t="n">
        <f aca="false">IF(BI6=①통합_가정!$E$16,BH122+BI114,0)</f>
        <v>0</v>
      </c>
      <c r="BJ118" s="37" t="n">
        <f aca="false">IF(BJ6=①통합_가정!$E$16,BI122+BJ114,0)</f>
        <v>0</v>
      </c>
      <c r="BK118" s="37" t="n">
        <f aca="false">IF(BK6=①통합_가정!$E$16,BJ122+BK114,0)</f>
        <v>0</v>
      </c>
      <c r="BL118" s="37" t="n">
        <f aca="false">IF(BL6=①통합_가정!$E$16,BK122+BL114,0)</f>
        <v>164265.485417923</v>
      </c>
      <c r="BM118" s="37" t="n">
        <f aca="false">IF(BM6=①통합_가정!$E$16,BL122+BM114,0)</f>
        <v>0</v>
      </c>
      <c r="BN118" s="37" t="n">
        <f aca="false">IF(BN6=①통합_가정!$E$16,BM122+BN114,0)</f>
        <v>0</v>
      </c>
      <c r="BO118" s="37" t="n">
        <f aca="false">IF(BO6=①통합_가정!$E$16,BN122+BO114,0)</f>
        <v>0</v>
      </c>
      <c r="BP118" s="37" t="n">
        <f aca="false">IF(BP6=①통합_가정!$E$16,BO122+BP114,0)</f>
        <v>0</v>
      </c>
      <c r="BQ118" s="37" t="n">
        <f aca="false">IF(BQ6=①통합_가정!$E$16,BP122+BQ114,0)</f>
        <v>0</v>
      </c>
      <c r="BR118" s="37" t="n">
        <f aca="false">IF(BR6=①통합_가정!$E$16,BQ122+BR114,0)</f>
        <v>0</v>
      </c>
      <c r="BS118" s="37" t="n">
        <f aca="false">IF(BS6=①통합_가정!$E$16,BR122+BS114,0)</f>
        <v>0</v>
      </c>
      <c r="BT118" s="37" t="n">
        <f aca="false">IF(BT6=①통합_가정!$E$16,BS122+BT114,0)</f>
        <v>0</v>
      </c>
      <c r="BU118" s="37" t="n">
        <f aca="false">IF(BU6=①통합_가정!$E$16,BT122+BU114,0)</f>
        <v>0</v>
      </c>
      <c r="BV118" s="37" t="n">
        <f aca="false">IF(BV6=①통합_가정!$E$16,BU122+BV114,0)</f>
        <v>0</v>
      </c>
      <c r="BW118" s="37" t="n">
        <f aca="false">IF(BW6=①통합_가정!$E$16,BV122+BW114,0)</f>
        <v>0</v>
      </c>
      <c r="BX118" s="37" t="n">
        <f aca="false">IF(BX6=①통합_가정!$E$16,BW122+BX114,0)</f>
        <v>0</v>
      </c>
      <c r="BY118" s="37" t="n">
        <f aca="false">IF(BY6=①통합_가정!$E$16,BX122+BY114,0)</f>
        <v>0</v>
      </c>
      <c r="BZ118" s="37" t="n">
        <f aca="false">IF(BZ6=①통합_가정!$E$16,BY122+BZ114,0)</f>
        <v>0</v>
      </c>
      <c r="CA118" s="37" t="n">
        <f aca="false">IF(CA6=①통합_가정!$E$16,BZ122+CA114,0)</f>
        <v>0</v>
      </c>
      <c r="CB118" s="37" t="n">
        <f aca="false">IF(CB6=①통합_가정!$E$16,CA122+CB114,0)</f>
        <v>0</v>
      </c>
      <c r="CC118" s="37" t="n">
        <f aca="false">IF(CC6=①통합_가정!$E$16,CB122+CC114,0)</f>
        <v>0</v>
      </c>
      <c r="CD118" s="37" t="n">
        <f aca="false">IF(CD6=①통합_가정!$E$16,CC122+CD114,0)</f>
        <v>0</v>
      </c>
      <c r="CE118" s="37" t="n">
        <f aca="false">IF(CE6=①통합_가정!$E$16,CD122+CE114,0)</f>
        <v>0</v>
      </c>
      <c r="CF118" s="37" t="n">
        <f aca="false">IF(CF6=①통합_가정!$E$16,CE122+CF114,0)</f>
        <v>0</v>
      </c>
      <c r="CG118" s="37" t="n">
        <f aca="false">IF(CG6=①통합_가정!$E$16,CF122+CG114,0)</f>
        <v>0</v>
      </c>
      <c r="CH118" s="37" t="n">
        <f aca="false">IF(CH6=①통합_가정!$E$16,CG122+CH114,0)</f>
        <v>0</v>
      </c>
      <c r="CI118" s="37" t="n">
        <f aca="false">IF(CI6=①통합_가정!$E$16,CH122+CI114,0)</f>
        <v>0</v>
      </c>
      <c r="CJ118" s="37" t="n">
        <f aca="false">IF(CJ6=①통합_가정!$E$16,CI122+CJ114,0)</f>
        <v>0</v>
      </c>
      <c r="CK118" s="37" t="n">
        <f aca="false">IF(CK6=①통합_가정!$E$16,CJ122+CK114,0)</f>
        <v>0</v>
      </c>
      <c r="CL118" s="37" t="n">
        <f aca="false">IF(CL6=①통합_가정!$E$16,CK122+CL114,0)</f>
        <v>0</v>
      </c>
      <c r="CM118" s="37" t="n">
        <f aca="false">IF(CM6=①통합_가정!$E$16,CL122+CM114,0)</f>
        <v>0</v>
      </c>
      <c r="CN118" s="37" t="n">
        <f aca="false">IF(CN6=①통합_가정!$E$16,CM122+CN114,0)</f>
        <v>0</v>
      </c>
      <c r="CO118" s="37" t="n">
        <f aca="false">IF(CO6=①통합_가정!$E$16,CN122+CO114,0)</f>
        <v>0</v>
      </c>
      <c r="CP118" s="37" t="n">
        <f aca="false">IF(CP6=①통합_가정!$E$16,CO122+CP114,0)</f>
        <v>0</v>
      </c>
      <c r="CQ118" s="37" t="n">
        <f aca="false">IF(CQ6=①통합_가정!$E$16,CP122+CQ114,0)</f>
        <v>0</v>
      </c>
      <c r="CR118" s="37" t="n">
        <f aca="false">IF(CR6=①통합_가정!$E$16,CQ122+CR114,0)</f>
        <v>0</v>
      </c>
      <c r="CS118" s="37" t="n">
        <f aca="false">IF(CS6=①통합_가정!$E$16,CR122+CS114,0)</f>
        <v>0</v>
      </c>
      <c r="CT118" s="37" t="n">
        <f aca="false">IF(CT6=①통합_가정!$E$16,CS122+CT114,0)</f>
        <v>0</v>
      </c>
      <c r="CU118" s="37" t="n">
        <f aca="false">IF(CU6=①통합_가정!$E$16,CT122+CU114,0)</f>
        <v>0</v>
      </c>
      <c r="CV118" s="37" t="n">
        <f aca="false">IF(CV6=①통합_가정!$E$16,CU122+CV114,0)</f>
        <v>0</v>
      </c>
      <c r="CW118" s="37" t="n">
        <f aca="false">IF(CW6=①통합_가정!$E$16,CV122+CW114,0)</f>
        <v>0</v>
      </c>
      <c r="CX118" s="37" t="n">
        <f aca="false">IF(CX6=①통합_가정!$E$16,CW122+CX114,0)</f>
        <v>0</v>
      </c>
      <c r="CY118" s="37" t="n">
        <f aca="false">IF(CY6=①통합_가정!$E$16,CX122+CY114,0)</f>
        <v>0</v>
      </c>
      <c r="CZ118" s="37" t="n">
        <f aca="false">IF(CZ6=①통합_가정!$E$16,CY122+CZ114,0)</f>
        <v>0</v>
      </c>
      <c r="DA118" s="37" t="n">
        <f aca="false">IF(DA6=①통합_가정!$E$16,CZ122+DA114,0)</f>
        <v>0</v>
      </c>
      <c r="DB118" s="37" t="n">
        <f aca="false">IF(DB6=①통합_가정!$E$16,DA122+DB114,0)</f>
        <v>0</v>
      </c>
      <c r="DC118" s="37" t="n">
        <f aca="false">IF(DC6=①통합_가정!$E$16,DB122+DC114,0)</f>
        <v>0</v>
      </c>
      <c r="DD118" s="37" t="n">
        <f aca="false">IF(DD6=①통합_가정!$E$16,DC122+DD114,0)</f>
        <v>0</v>
      </c>
      <c r="DE118" s="37" t="n">
        <f aca="false">IF(DE6=①통합_가정!$E$16,DD122+DE114,0)</f>
        <v>0</v>
      </c>
      <c r="DF118" s="37" t="n">
        <f aca="false">IF(DF6=①통합_가정!$E$16,DE122+DF114,0)</f>
        <v>0</v>
      </c>
      <c r="DG118" s="37" t="n">
        <f aca="false">IF(DG6=①통합_가정!$E$16,DF122+DG114,0)</f>
        <v>0</v>
      </c>
      <c r="DH118" s="37" t="n">
        <f aca="false">IF(DH6=①통합_가정!$E$16,DG122+DH114,0)</f>
        <v>0</v>
      </c>
      <c r="DI118" s="37" t="n">
        <f aca="false">IF(DI6=①통합_가정!$E$16,DH122+DI114,0)</f>
        <v>0</v>
      </c>
      <c r="DJ118" s="37" t="n">
        <f aca="false">IF(DJ6=①통합_가정!$E$16,DI122+DJ114,0)</f>
        <v>0</v>
      </c>
      <c r="DK118" s="37" t="n">
        <f aca="false">IF(DK6=①통합_가정!$E$16,DJ122+DK114,0)</f>
        <v>0</v>
      </c>
      <c r="DL118" s="37" t="n">
        <f aca="false">IF(DL6=①통합_가정!$E$16,DK122+DL114,0)</f>
        <v>0</v>
      </c>
      <c r="DM118" s="37" t="n">
        <f aca="false">IF(DM6=①통합_가정!$E$16,DL122+DM114,0)</f>
        <v>0</v>
      </c>
      <c r="DN118" s="37" t="n">
        <f aca="false">IF(DN6=①통합_가정!$E$16,DM122+DN114,0)</f>
        <v>0</v>
      </c>
      <c r="DO118" s="37" t="n">
        <f aca="false">IF(DO6=①통합_가정!$E$16,DN122+DO114,0)</f>
        <v>0</v>
      </c>
      <c r="DP118" s="37" t="n">
        <f aca="false">IF(DP6=①통합_가정!$E$16,DO122+DP114,0)</f>
        <v>0</v>
      </c>
      <c r="DQ118" s="37" t="n">
        <f aca="false">IF(DQ6=①통합_가정!$E$16,DP122+DQ114,0)</f>
        <v>0</v>
      </c>
      <c r="DR118" s="37" t="n">
        <f aca="false">IF(DR6=①통합_가정!$E$16,DQ122+DR114,0)</f>
        <v>0</v>
      </c>
      <c r="DS118" s="37" t="n">
        <f aca="false">IF(DS6=①통합_가정!$E$16,DR122+DS114,0)</f>
        <v>0</v>
      </c>
      <c r="DT118" s="37" t="n">
        <f aca="false">IF(DT6=①통합_가정!$E$16,DS122+DT114,0)</f>
        <v>0</v>
      </c>
      <c r="DU118" s="37" t="n">
        <f aca="false">IF(DU6=①통합_가정!$E$16,DT122+DU114,0)</f>
        <v>0</v>
      </c>
      <c r="DV118" s="37" t="n">
        <f aca="false">IF(DV6=①통합_가정!$E$16,DU122+DV114,0)</f>
        <v>0</v>
      </c>
      <c r="DW118" s="37" t="n">
        <f aca="false">IF(DW6=①통합_가정!$E$16,DV122+DW114,0)</f>
        <v>0</v>
      </c>
      <c r="DX118" s="37" t="n">
        <f aca="false">IF(DX6=①통합_가정!$E$16,DW122+DX114,0)</f>
        <v>0</v>
      </c>
      <c r="DY118" s="37" t="n">
        <f aca="false">IF(DY6=①통합_가정!$E$16,DX122+DY114,0)</f>
        <v>0</v>
      </c>
      <c r="DZ118" s="37" t="n">
        <f aca="false">IF(DZ6=①통합_가정!$E$16,DY122+DZ114,0)</f>
        <v>0</v>
      </c>
      <c r="EA118" s="37" t="n">
        <f aca="false">IF(EA6=①통합_가정!$E$16,DZ122+EA114,0)</f>
        <v>0</v>
      </c>
      <c r="EB118" s="37" t="n">
        <f aca="false">IF(EB6=①통합_가정!$E$16,EA122+EB114,0)</f>
        <v>0</v>
      </c>
      <c r="EC118" s="37" t="n">
        <f aca="false">IF(EC6=①통합_가정!$E$16,EB122+EC114,0)</f>
        <v>0</v>
      </c>
      <c r="ED118" s="37" t="n">
        <f aca="false">IF(ED6=①통합_가정!$E$16,EC122+ED114,0)</f>
        <v>0</v>
      </c>
      <c r="EE118" s="37" t="n">
        <f aca="false">IF(EE6=①통합_가정!$E$16,ED122+EE114,0)</f>
        <v>0</v>
      </c>
      <c r="EF118" s="37" t="n">
        <f aca="false">IF(EF6=①통합_가정!$E$16,EE122+EF114,0)</f>
        <v>0</v>
      </c>
    </row>
    <row r="119" customFormat="false" ht="15" hidden="false" customHeight="false" outlineLevel="0" collapsed="false">
      <c r="A119" s="153" t="s">
        <v>658</v>
      </c>
      <c r="B119" s="278" t="s">
        <v>21</v>
      </c>
      <c r="C119" s="279" t="n">
        <f aca="false">SUM(E119:EF119)</f>
        <v>164150.534063536</v>
      </c>
      <c r="E119" s="37" t="n">
        <f aca="false">IF(E6=①통합_가정!$E$16,0+E113,0)</f>
        <v>0</v>
      </c>
      <c r="F119" s="37" t="n">
        <f aca="false">IF(F6=①통합_가정!$E$16,E123+F113,0)</f>
        <v>0</v>
      </c>
      <c r="G119" s="37" t="n">
        <f aca="false">IF(G6=①통합_가정!$E$16,F123+G113,0)</f>
        <v>0</v>
      </c>
      <c r="H119" s="37" t="n">
        <f aca="false">IF(H6=①통합_가정!$E$16,G123+H113,0)</f>
        <v>0</v>
      </c>
      <c r="I119" s="37" t="n">
        <f aca="false">IF(I6=①통합_가정!$E$16,H123+I113,0)</f>
        <v>0</v>
      </c>
      <c r="J119" s="37" t="n">
        <f aca="false">IF(J6=①통합_가정!$E$16,I123+J113,0)</f>
        <v>0</v>
      </c>
      <c r="K119" s="37" t="n">
        <f aca="false">IF(K6=①통합_가정!$E$16,J123+K113,0)</f>
        <v>0</v>
      </c>
      <c r="L119" s="37" t="n">
        <f aca="false">IF(L6=①통합_가정!$E$16,K123+L113,0)</f>
        <v>0</v>
      </c>
      <c r="M119" s="37" t="n">
        <f aca="false">IF(M6=①통합_가정!$E$16,L123+M113,0)</f>
        <v>0</v>
      </c>
      <c r="N119" s="37" t="n">
        <f aca="false">IF(N6=①통합_가정!$E$16,M123+N113,0)</f>
        <v>0</v>
      </c>
      <c r="O119" s="37" t="n">
        <f aca="false">IF(O6=①통합_가정!$E$16,N123+O113,0)</f>
        <v>0</v>
      </c>
      <c r="P119" s="37" t="n">
        <f aca="false">IF(P6=①통합_가정!$E$16,O123+P113,0)</f>
        <v>0</v>
      </c>
      <c r="Q119" s="37" t="n">
        <f aca="false">IF(Q6=①통합_가정!$E$16,P123+Q113,0)</f>
        <v>0</v>
      </c>
      <c r="R119" s="37" t="n">
        <f aca="false">IF(R6=①통합_가정!$E$16,Q123+R113,0)</f>
        <v>0</v>
      </c>
      <c r="S119" s="37" t="n">
        <f aca="false">IF(S6=①통합_가정!$E$16,R123+S113,0)</f>
        <v>0</v>
      </c>
      <c r="T119" s="37" t="n">
        <f aca="false">IF(T6=①통합_가정!$E$16,S123+T113,0)</f>
        <v>0</v>
      </c>
      <c r="U119" s="37" t="n">
        <f aca="false">IF(U6=①통합_가정!$E$16,T123+U113,0)</f>
        <v>0</v>
      </c>
      <c r="V119" s="37" t="n">
        <f aca="false">IF(V6=①통합_가정!$E$16,U123+V113,0)</f>
        <v>0</v>
      </c>
      <c r="W119" s="37" t="n">
        <f aca="false">IF(W6=①통합_가정!$E$16,V123+W113,0)</f>
        <v>0</v>
      </c>
      <c r="X119" s="37" t="n">
        <f aca="false">IF(X6=①통합_가정!$E$16,W123+X113,0)</f>
        <v>0</v>
      </c>
      <c r="Y119" s="37" t="n">
        <f aca="false">IF(Y6=①통합_가정!$E$16,X123+Y113,0)</f>
        <v>0</v>
      </c>
      <c r="Z119" s="37" t="n">
        <f aca="false">IF(Z6=①통합_가정!$E$16,Y123+Z113,0)</f>
        <v>0</v>
      </c>
      <c r="AA119" s="37" t="n">
        <f aca="false">IF(AA6=①통합_가정!$E$16,Z123+AA113,0)</f>
        <v>0</v>
      </c>
      <c r="AB119" s="37" t="n">
        <f aca="false">IF(AB6=①통합_가정!$E$16,AA123+AB113,0)</f>
        <v>0</v>
      </c>
      <c r="AC119" s="37" t="n">
        <f aca="false">IF(AC6=①통합_가정!$E$16,AB123+AC113,0)</f>
        <v>0</v>
      </c>
      <c r="AD119" s="37" t="n">
        <f aca="false">IF(AD6=①통합_가정!$E$16,AC123+AD113,0)</f>
        <v>0</v>
      </c>
      <c r="AE119" s="37" t="n">
        <f aca="false">IF(AE6=①통합_가정!$E$16,AD123+AE113,0)</f>
        <v>0</v>
      </c>
      <c r="AF119" s="37" t="n">
        <f aca="false">IF(AF6=①통합_가정!$E$16,AE123+AF113,0)</f>
        <v>0</v>
      </c>
      <c r="AG119" s="37" t="n">
        <f aca="false">IF(AG6=①통합_가정!$E$16,AF123+AG113,0)</f>
        <v>0</v>
      </c>
      <c r="AH119" s="37" t="n">
        <f aca="false">IF(AH6=①통합_가정!$E$16,AG123+AH113,0)</f>
        <v>0</v>
      </c>
      <c r="AI119" s="37" t="n">
        <f aca="false">IF(AI6=①통합_가정!$E$16,AH123+AI113,0)</f>
        <v>0</v>
      </c>
      <c r="AJ119" s="37" t="n">
        <f aca="false">IF(AJ6=①통합_가정!$E$16,AI123+AJ113,0)</f>
        <v>0</v>
      </c>
      <c r="AK119" s="37" t="n">
        <f aca="false">IF(AK6=①통합_가정!$E$16,AJ123+AK113,0)</f>
        <v>0</v>
      </c>
      <c r="AL119" s="37" t="n">
        <f aca="false">IF(AL6=①통합_가정!$E$16,AK123+AL113,0)</f>
        <v>0</v>
      </c>
      <c r="AM119" s="37" t="n">
        <f aca="false">IF(AM6=①통합_가정!$E$16,AL123+AM113,0)</f>
        <v>0</v>
      </c>
      <c r="AN119" s="37" t="n">
        <f aca="false">IF(AN6=①통합_가정!$E$16,AM123+AN113,0)</f>
        <v>0</v>
      </c>
      <c r="AO119" s="37" t="n">
        <f aca="false">IF(AO6=①통합_가정!$E$16,AN123+AO113,0)</f>
        <v>0</v>
      </c>
      <c r="AP119" s="37" t="n">
        <f aca="false">IF(AP6=①통합_가정!$E$16,AO123+AP113,0)</f>
        <v>0</v>
      </c>
      <c r="AQ119" s="37" t="n">
        <f aca="false">IF(AQ6=①통합_가정!$E$16,AP123+AQ113,0)</f>
        <v>0</v>
      </c>
      <c r="AR119" s="37" t="n">
        <f aca="false">IF(AR6=①통합_가정!$E$16,AQ123+AR113,0)</f>
        <v>0</v>
      </c>
      <c r="AS119" s="37" t="n">
        <f aca="false">IF(AS6=①통합_가정!$E$16,AR123+AS113,0)</f>
        <v>0</v>
      </c>
      <c r="AT119" s="37" t="n">
        <f aca="false">IF(AT6=①통합_가정!$E$16,AS123+AT113,0)</f>
        <v>0</v>
      </c>
      <c r="AU119" s="37" t="n">
        <f aca="false">IF(AU6=①통합_가정!$E$16,AT123+AU113,0)</f>
        <v>0</v>
      </c>
      <c r="AV119" s="37" t="n">
        <f aca="false">IF(AV6=①통합_가정!$E$16,AU123+AV113,0)</f>
        <v>0</v>
      </c>
      <c r="AW119" s="37" t="n">
        <f aca="false">IF(AW6=①통합_가정!$E$16,AV123+AW113,0)</f>
        <v>0</v>
      </c>
      <c r="AX119" s="37" t="n">
        <f aca="false">IF(AX6=①통합_가정!$E$16,AW123+AX113,0)</f>
        <v>0</v>
      </c>
      <c r="AY119" s="37" t="n">
        <f aca="false">IF(AY6=①통합_가정!$E$16,AX123+AY113,0)</f>
        <v>0</v>
      </c>
      <c r="AZ119" s="37" t="n">
        <f aca="false">IF(AZ6=①통합_가정!$E$16,AY123+AZ113,0)</f>
        <v>0</v>
      </c>
      <c r="BA119" s="37" t="n">
        <f aca="false">IF(BA6=①통합_가정!$E$16,AZ123+BA113,0)</f>
        <v>0</v>
      </c>
      <c r="BB119" s="37" t="n">
        <f aca="false">IF(BB6=①통합_가정!$E$16,BA123+BB113,0)</f>
        <v>0</v>
      </c>
      <c r="BC119" s="37" t="n">
        <f aca="false">IF(BC6=①통합_가정!$E$16,BB123+BC113,0)</f>
        <v>0</v>
      </c>
      <c r="BD119" s="37" t="n">
        <f aca="false">IF(BD6=①통합_가정!$E$16,BC123+BD113,0)</f>
        <v>0</v>
      </c>
      <c r="BE119" s="37" t="n">
        <f aca="false">IF(BE6=①통합_가정!$E$16,BD123+BE113,0)</f>
        <v>0</v>
      </c>
      <c r="BF119" s="37" t="n">
        <f aca="false">IF(BF6=①통합_가정!$E$16,BE123+BF113,0)</f>
        <v>0</v>
      </c>
      <c r="BG119" s="37" t="n">
        <f aca="false">IF(BG6=①통합_가정!$E$16,BF123+BG113,0)</f>
        <v>0</v>
      </c>
      <c r="BH119" s="37" t="n">
        <f aca="false">IF(BH6=①통합_가정!$E$16,BG123+BH113,0)</f>
        <v>0</v>
      </c>
      <c r="BI119" s="37" t="n">
        <f aca="false">IF(BI6=①통합_가정!$E$16,BH123+BI113,0)</f>
        <v>0</v>
      </c>
      <c r="BJ119" s="37" t="n">
        <f aca="false">IF(BJ6=①통합_가정!$E$16,BI123+BJ113,0)</f>
        <v>0</v>
      </c>
      <c r="BK119" s="37" t="n">
        <f aca="false">IF(BK6=①통합_가정!$E$16,BJ123+BK113,0)</f>
        <v>0</v>
      </c>
      <c r="BL119" s="37" t="n">
        <f aca="false">IF(BL6=①통합_가정!$E$16,BK123+BL113,0)</f>
        <v>164150.534063536</v>
      </c>
      <c r="BM119" s="37" t="n">
        <f aca="false">IF(BM6=①통합_가정!$E$16,BL123+BM113,0)</f>
        <v>0</v>
      </c>
      <c r="BN119" s="37" t="n">
        <f aca="false">IF(BN6=①통합_가정!$E$16,BM123+BN113,0)</f>
        <v>0</v>
      </c>
      <c r="BO119" s="37" t="n">
        <f aca="false">IF(BO6=①통합_가정!$E$16,BN123+BO113,0)</f>
        <v>0</v>
      </c>
      <c r="BP119" s="37" t="n">
        <f aca="false">IF(BP6=①통합_가정!$E$16,BO123+BP113,0)</f>
        <v>0</v>
      </c>
      <c r="BQ119" s="37" t="n">
        <f aca="false">IF(BQ6=①통합_가정!$E$16,BP123+BQ113,0)</f>
        <v>0</v>
      </c>
      <c r="BR119" s="37" t="n">
        <f aca="false">IF(BR6=①통합_가정!$E$16,BQ123+BR113,0)</f>
        <v>0</v>
      </c>
      <c r="BS119" s="37" t="n">
        <f aca="false">IF(BS6=①통합_가정!$E$16,BR123+BS113,0)</f>
        <v>0</v>
      </c>
      <c r="BT119" s="37" t="n">
        <f aca="false">IF(BT6=①통합_가정!$E$16,BS123+BT113,0)</f>
        <v>0</v>
      </c>
      <c r="BU119" s="37" t="n">
        <f aca="false">IF(BU6=①통합_가정!$E$16,BT123+BU113,0)</f>
        <v>0</v>
      </c>
      <c r="BV119" s="37" t="n">
        <f aca="false">IF(BV6=①통합_가정!$E$16,BU123+BV113,0)</f>
        <v>0</v>
      </c>
      <c r="BW119" s="37" t="n">
        <f aca="false">IF(BW6=①통합_가정!$E$16,BV123+BW113,0)</f>
        <v>0</v>
      </c>
      <c r="BX119" s="37" t="n">
        <f aca="false">IF(BX6=①통합_가정!$E$16,BW123+BX113,0)</f>
        <v>0</v>
      </c>
      <c r="BY119" s="37" t="n">
        <f aca="false">IF(BY6=①통합_가정!$E$16,BX123+BY113,0)</f>
        <v>0</v>
      </c>
      <c r="BZ119" s="37" t="n">
        <f aca="false">IF(BZ6=①통합_가정!$E$16,BY123+BZ113,0)</f>
        <v>0</v>
      </c>
      <c r="CA119" s="37" t="n">
        <f aca="false">IF(CA6=①통합_가정!$E$16,BZ123+CA113,0)</f>
        <v>0</v>
      </c>
      <c r="CB119" s="37" t="n">
        <f aca="false">IF(CB6=①통합_가정!$E$16,CA123+CB113,0)</f>
        <v>0</v>
      </c>
      <c r="CC119" s="37" t="n">
        <f aca="false">IF(CC6=①통합_가정!$E$16,CB123+CC113,0)</f>
        <v>0</v>
      </c>
      <c r="CD119" s="37" t="n">
        <f aca="false">IF(CD6=①통합_가정!$E$16,CC123+CD113,0)</f>
        <v>0</v>
      </c>
      <c r="CE119" s="37" t="n">
        <f aca="false">IF(CE6=①통합_가정!$E$16,CD123+CE113,0)</f>
        <v>0</v>
      </c>
      <c r="CF119" s="37" t="n">
        <f aca="false">IF(CF6=①통합_가정!$E$16,CE123+CF113,0)</f>
        <v>0</v>
      </c>
      <c r="CG119" s="37" t="n">
        <f aca="false">IF(CG6=①통합_가정!$E$16,CF123+CG113,0)</f>
        <v>0</v>
      </c>
      <c r="CH119" s="37" t="n">
        <f aca="false">IF(CH6=①통합_가정!$E$16,CG123+CH113,0)</f>
        <v>0</v>
      </c>
      <c r="CI119" s="37" t="n">
        <f aca="false">IF(CI6=①통합_가정!$E$16,CH123+CI113,0)</f>
        <v>0</v>
      </c>
      <c r="CJ119" s="37" t="n">
        <f aca="false">IF(CJ6=①통합_가정!$E$16,CI123+CJ113,0)</f>
        <v>0</v>
      </c>
      <c r="CK119" s="37" t="n">
        <f aca="false">IF(CK6=①통합_가정!$E$16,CJ123+CK113,0)</f>
        <v>0</v>
      </c>
      <c r="CL119" s="37" t="n">
        <f aca="false">IF(CL6=①통합_가정!$E$16,CK123+CL113,0)</f>
        <v>0</v>
      </c>
      <c r="CM119" s="37" t="n">
        <f aca="false">IF(CM6=①통합_가정!$E$16,CL123+CM113,0)</f>
        <v>0</v>
      </c>
      <c r="CN119" s="37" t="n">
        <f aca="false">IF(CN6=①통합_가정!$E$16,CM123+CN113,0)</f>
        <v>0</v>
      </c>
      <c r="CO119" s="37" t="n">
        <f aca="false">IF(CO6=①통합_가정!$E$16,CN123+CO113,0)</f>
        <v>0</v>
      </c>
      <c r="CP119" s="37" t="n">
        <f aca="false">IF(CP6=①통합_가정!$E$16,CO123+CP113,0)</f>
        <v>0</v>
      </c>
      <c r="CQ119" s="37" t="n">
        <f aca="false">IF(CQ6=①통합_가정!$E$16,CP123+CQ113,0)</f>
        <v>0</v>
      </c>
      <c r="CR119" s="37" t="n">
        <f aca="false">IF(CR6=①통합_가정!$E$16,CQ123+CR113,0)</f>
        <v>0</v>
      </c>
      <c r="CS119" s="37" t="n">
        <f aca="false">IF(CS6=①통합_가정!$E$16,CR123+CS113,0)</f>
        <v>0</v>
      </c>
      <c r="CT119" s="37" t="n">
        <f aca="false">IF(CT6=①통합_가정!$E$16,CS123+CT113,0)</f>
        <v>0</v>
      </c>
      <c r="CU119" s="37" t="n">
        <f aca="false">IF(CU6=①통합_가정!$E$16,CT123+CU113,0)</f>
        <v>0</v>
      </c>
      <c r="CV119" s="37" t="n">
        <f aca="false">IF(CV6=①통합_가정!$E$16,CU123+CV113,0)</f>
        <v>0</v>
      </c>
      <c r="CW119" s="37" t="n">
        <f aca="false">IF(CW6=①통합_가정!$E$16,CV123+CW113,0)</f>
        <v>0</v>
      </c>
      <c r="CX119" s="37" t="n">
        <f aca="false">IF(CX6=①통합_가정!$E$16,CW123+CX113,0)</f>
        <v>0</v>
      </c>
      <c r="CY119" s="37" t="n">
        <f aca="false">IF(CY6=①통합_가정!$E$16,CX123+CY113,0)</f>
        <v>0</v>
      </c>
      <c r="CZ119" s="37" t="n">
        <f aca="false">IF(CZ6=①통합_가정!$E$16,CY123+CZ113,0)</f>
        <v>0</v>
      </c>
      <c r="DA119" s="37" t="n">
        <f aca="false">IF(DA6=①통합_가정!$E$16,CZ123+DA113,0)</f>
        <v>0</v>
      </c>
      <c r="DB119" s="37" t="n">
        <f aca="false">IF(DB6=①통합_가정!$E$16,DA123+DB113,0)</f>
        <v>0</v>
      </c>
      <c r="DC119" s="37" t="n">
        <f aca="false">IF(DC6=①통합_가정!$E$16,DB123+DC113,0)</f>
        <v>0</v>
      </c>
      <c r="DD119" s="37" t="n">
        <f aca="false">IF(DD6=①통합_가정!$E$16,DC123+DD113,0)</f>
        <v>0</v>
      </c>
      <c r="DE119" s="37" t="n">
        <f aca="false">IF(DE6=①통합_가정!$E$16,DD123+DE113,0)</f>
        <v>0</v>
      </c>
      <c r="DF119" s="37" t="n">
        <f aca="false">IF(DF6=①통합_가정!$E$16,DE123+DF113,0)</f>
        <v>0</v>
      </c>
      <c r="DG119" s="37" t="n">
        <f aca="false">IF(DG6=①통합_가정!$E$16,DF123+DG113,0)</f>
        <v>0</v>
      </c>
      <c r="DH119" s="37" t="n">
        <f aca="false">IF(DH6=①통합_가정!$E$16,DG123+DH113,0)</f>
        <v>0</v>
      </c>
      <c r="DI119" s="37" t="n">
        <f aca="false">IF(DI6=①통합_가정!$E$16,DH123+DI113,0)</f>
        <v>0</v>
      </c>
      <c r="DJ119" s="37" t="n">
        <f aca="false">IF(DJ6=①통합_가정!$E$16,DI123+DJ113,0)</f>
        <v>0</v>
      </c>
      <c r="DK119" s="37" t="n">
        <f aca="false">IF(DK6=①통합_가정!$E$16,DJ123+DK113,0)</f>
        <v>0</v>
      </c>
      <c r="DL119" s="37" t="n">
        <f aca="false">IF(DL6=①통합_가정!$E$16,DK123+DL113,0)</f>
        <v>0</v>
      </c>
      <c r="DM119" s="37" t="n">
        <f aca="false">IF(DM6=①통합_가정!$E$16,DL123+DM113,0)</f>
        <v>0</v>
      </c>
      <c r="DN119" s="37" t="n">
        <f aca="false">IF(DN6=①통합_가정!$E$16,DM123+DN113,0)</f>
        <v>0</v>
      </c>
      <c r="DO119" s="37" t="n">
        <f aca="false">IF(DO6=①통합_가정!$E$16,DN123+DO113,0)</f>
        <v>0</v>
      </c>
      <c r="DP119" s="37" t="n">
        <f aca="false">IF(DP6=①통합_가정!$E$16,DO123+DP113,0)</f>
        <v>0</v>
      </c>
      <c r="DQ119" s="37" t="n">
        <f aca="false">IF(DQ6=①통합_가정!$E$16,DP123+DQ113,0)</f>
        <v>0</v>
      </c>
      <c r="DR119" s="37" t="n">
        <f aca="false">IF(DR6=①통합_가정!$E$16,DQ123+DR113,0)</f>
        <v>0</v>
      </c>
      <c r="DS119" s="37" t="n">
        <f aca="false">IF(DS6=①통합_가정!$E$16,DR123+DS113,0)</f>
        <v>0</v>
      </c>
      <c r="DT119" s="37" t="n">
        <f aca="false">IF(DT6=①통합_가정!$E$16,DS123+DT113,0)</f>
        <v>0</v>
      </c>
      <c r="DU119" s="37" t="n">
        <f aca="false">IF(DU6=①통합_가정!$E$16,DT123+DU113,0)</f>
        <v>0</v>
      </c>
      <c r="DV119" s="37" t="n">
        <f aca="false">IF(DV6=①통합_가정!$E$16,DU123+DV113,0)</f>
        <v>0</v>
      </c>
      <c r="DW119" s="37" t="n">
        <f aca="false">IF(DW6=①통합_가정!$E$16,DV123+DW113,0)</f>
        <v>0</v>
      </c>
      <c r="DX119" s="37" t="n">
        <f aca="false">IF(DX6=①통합_가정!$E$16,DW123+DX113,0)</f>
        <v>0</v>
      </c>
      <c r="DY119" s="37" t="n">
        <f aca="false">IF(DY6=①통합_가정!$E$16,DX123+DY113,0)</f>
        <v>0</v>
      </c>
      <c r="DZ119" s="37" t="n">
        <f aca="false">IF(DZ6=①통합_가정!$E$16,DY123+DZ113,0)</f>
        <v>0</v>
      </c>
      <c r="EA119" s="37" t="n">
        <f aca="false">IF(EA6=①통합_가정!$E$16,DZ123+EA113,0)</f>
        <v>0</v>
      </c>
      <c r="EB119" s="37" t="n">
        <f aca="false">IF(EB6=①통합_가정!$E$16,EA123+EB113,0)</f>
        <v>0</v>
      </c>
      <c r="EC119" s="37" t="n">
        <f aca="false">IF(EC6=①통합_가정!$E$16,EB123+EC113,0)</f>
        <v>0</v>
      </c>
      <c r="ED119" s="37" t="n">
        <f aca="false">IF(ED6=①통합_가정!$E$16,EC123+ED113,0)</f>
        <v>0</v>
      </c>
      <c r="EE119" s="37" t="n">
        <f aca="false">IF(EE6=①통합_가정!$E$16,ED123+EE113,0)</f>
        <v>0</v>
      </c>
      <c r="EF119" s="37" t="n">
        <f aca="false">IF(EF6=①통합_가정!$E$16,EE123+EF113,0)</f>
        <v>0</v>
      </c>
    </row>
    <row r="120" customFormat="false" ht="15" hidden="false" customHeight="false" outlineLevel="0" collapsed="false">
      <c r="A120" s="284" t="s">
        <v>659</v>
      </c>
      <c r="B120" s="281" t="s">
        <v>21</v>
      </c>
      <c r="C120" s="282" t="n">
        <f aca="false">SUM(E120:EF120)</f>
        <v>632619.287228057</v>
      </c>
      <c r="D120" s="48"/>
      <c r="E120" s="283" t="n">
        <f aca="false">E117+E118+E119</f>
        <v>0</v>
      </c>
      <c r="F120" s="283" t="n">
        <f aca="false">F117+F118+F119</f>
        <v>0</v>
      </c>
      <c r="G120" s="283" t="n">
        <f aca="false">G117+G118+G119</f>
        <v>0</v>
      </c>
      <c r="H120" s="283" t="n">
        <f aca="false">H117+H118+H119</f>
        <v>0</v>
      </c>
      <c r="I120" s="283" t="n">
        <f aca="false">I117+I118+I119</f>
        <v>0</v>
      </c>
      <c r="J120" s="283" t="n">
        <f aca="false">J117+J118+J119</f>
        <v>0</v>
      </c>
      <c r="K120" s="283" t="n">
        <f aca="false">K117+K118+K119</f>
        <v>0</v>
      </c>
      <c r="L120" s="283" t="n">
        <f aca="false">L117+L118+L119</f>
        <v>0</v>
      </c>
      <c r="M120" s="283" t="n">
        <f aca="false">M117+M118+M119</f>
        <v>0</v>
      </c>
      <c r="N120" s="283" t="n">
        <f aca="false">N117+N118+N119</f>
        <v>0</v>
      </c>
      <c r="O120" s="283" t="n">
        <f aca="false">O117+O118+O119</f>
        <v>0</v>
      </c>
      <c r="P120" s="283" t="n">
        <f aca="false">P117+P118+P119</f>
        <v>0</v>
      </c>
      <c r="Q120" s="283" t="n">
        <f aca="false">Q117+Q118+Q119</f>
        <v>0</v>
      </c>
      <c r="R120" s="283" t="n">
        <f aca="false">R117+R118+R119</f>
        <v>0</v>
      </c>
      <c r="S120" s="283" t="n">
        <f aca="false">S117+S118+S119</f>
        <v>0</v>
      </c>
      <c r="T120" s="283" t="n">
        <f aca="false">T117+T118+T119</f>
        <v>0</v>
      </c>
      <c r="U120" s="283" t="n">
        <f aca="false">U117+U118+U119</f>
        <v>0</v>
      </c>
      <c r="V120" s="283" t="n">
        <f aca="false">V117+V118+V119</f>
        <v>0</v>
      </c>
      <c r="W120" s="283" t="n">
        <f aca="false">W117+W118+W119</f>
        <v>0</v>
      </c>
      <c r="X120" s="283" t="n">
        <f aca="false">X117+X118+X119</f>
        <v>0</v>
      </c>
      <c r="Y120" s="283" t="n">
        <f aca="false">Y117+Y118+Y119</f>
        <v>0</v>
      </c>
      <c r="Z120" s="283" t="n">
        <f aca="false">Z117+Z118+Z119</f>
        <v>0</v>
      </c>
      <c r="AA120" s="283" t="n">
        <f aca="false">AA117+AA118+AA119</f>
        <v>0</v>
      </c>
      <c r="AB120" s="283" t="n">
        <f aca="false">AB117+AB118+AB119</f>
        <v>0</v>
      </c>
      <c r="AC120" s="283" t="n">
        <f aca="false">AC117+AC118+AC119</f>
        <v>0</v>
      </c>
      <c r="AD120" s="283" t="n">
        <f aca="false">AD117+AD118+AD119</f>
        <v>0</v>
      </c>
      <c r="AE120" s="283" t="n">
        <f aca="false">AE117+AE118+AE119</f>
        <v>0</v>
      </c>
      <c r="AF120" s="283" t="n">
        <f aca="false">AF117+AF118+AF119</f>
        <v>0</v>
      </c>
      <c r="AG120" s="283" t="n">
        <f aca="false">AG117+AG118+AG119</f>
        <v>0</v>
      </c>
      <c r="AH120" s="283" t="n">
        <f aca="false">AH117+AH118+AH119</f>
        <v>0</v>
      </c>
      <c r="AI120" s="283" t="n">
        <f aca="false">AI117+AI118+AI119</f>
        <v>0</v>
      </c>
      <c r="AJ120" s="283" t="n">
        <f aca="false">AJ117+AJ118+AJ119</f>
        <v>0</v>
      </c>
      <c r="AK120" s="283" t="n">
        <f aca="false">AK117+AK118+AK119</f>
        <v>0</v>
      </c>
      <c r="AL120" s="283" t="n">
        <f aca="false">AL117+AL118+AL119</f>
        <v>0</v>
      </c>
      <c r="AM120" s="283" t="n">
        <f aca="false">AM117+AM118+AM119</f>
        <v>0</v>
      </c>
      <c r="AN120" s="283" t="n">
        <f aca="false">AN117+AN118+AN119</f>
        <v>0</v>
      </c>
      <c r="AO120" s="283" t="n">
        <f aca="false">AO117+AO118+AO119</f>
        <v>0</v>
      </c>
      <c r="AP120" s="283" t="n">
        <f aca="false">AP117+AP118+AP119</f>
        <v>0</v>
      </c>
      <c r="AQ120" s="283" t="n">
        <f aca="false">AQ117+AQ118+AQ119</f>
        <v>0</v>
      </c>
      <c r="AR120" s="283" t="n">
        <f aca="false">AR117+AR118+AR119</f>
        <v>0</v>
      </c>
      <c r="AS120" s="283" t="n">
        <f aca="false">AS117+AS118+AS119</f>
        <v>0</v>
      </c>
      <c r="AT120" s="283" t="n">
        <f aca="false">AT117+AT118+AT119</f>
        <v>0</v>
      </c>
      <c r="AU120" s="283" t="n">
        <f aca="false">AU117+AU118+AU119</f>
        <v>0</v>
      </c>
      <c r="AV120" s="283" t="n">
        <f aca="false">AV117+AV118+AV119</f>
        <v>0</v>
      </c>
      <c r="AW120" s="283" t="n">
        <f aca="false">AW117+AW118+AW119</f>
        <v>0</v>
      </c>
      <c r="AX120" s="283" t="n">
        <f aca="false">AX117+AX118+AX119</f>
        <v>0</v>
      </c>
      <c r="AY120" s="283" t="n">
        <f aca="false">AY117+AY118+AY119</f>
        <v>0</v>
      </c>
      <c r="AZ120" s="283" t="n">
        <f aca="false">AZ117+AZ118+AZ119</f>
        <v>0</v>
      </c>
      <c r="BA120" s="283" t="n">
        <f aca="false">BA117+BA118+BA119</f>
        <v>0</v>
      </c>
      <c r="BB120" s="283" t="n">
        <f aca="false">BB117+BB118+BB119</f>
        <v>0</v>
      </c>
      <c r="BC120" s="283" t="n">
        <f aca="false">BC117+BC118+BC119</f>
        <v>0</v>
      </c>
      <c r="BD120" s="283" t="n">
        <f aca="false">BD117+BD118+BD119</f>
        <v>0</v>
      </c>
      <c r="BE120" s="283" t="n">
        <f aca="false">BE117+BE118+BE119</f>
        <v>0</v>
      </c>
      <c r="BF120" s="283" t="n">
        <f aca="false">BF117+BF118+BF119</f>
        <v>0</v>
      </c>
      <c r="BG120" s="283" t="n">
        <f aca="false">BG117+BG118+BG119</f>
        <v>0</v>
      </c>
      <c r="BH120" s="283" t="n">
        <f aca="false">BH117+BH118+BH119</f>
        <v>0</v>
      </c>
      <c r="BI120" s="283" t="n">
        <f aca="false">BI117+BI118+BI119</f>
        <v>0</v>
      </c>
      <c r="BJ120" s="283" t="n">
        <f aca="false">BJ117+BJ118+BJ119</f>
        <v>0</v>
      </c>
      <c r="BK120" s="283" t="n">
        <f aca="false">BK117+BK118+BK119</f>
        <v>0</v>
      </c>
      <c r="BL120" s="283" t="n">
        <f aca="false">BL117+BL118+BL119</f>
        <v>632619.287228057</v>
      </c>
      <c r="BM120" s="283" t="n">
        <f aca="false">BM117+BM118+BM119</f>
        <v>0</v>
      </c>
      <c r="BN120" s="283" t="n">
        <f aca="false">BN117+BN118+BN119</f>
        <v>0</v>
      </c>
      <c r="BO120" s="283" t="n">
        <f aca="false">BO117+BO118+BO119</f>
        <v>0</v>
      </c>
      <c r="BP120" s="283" t="n">
        <f aca="false">BP117+BP118+BP119</f>
        <v>0</v>
      </c>
      <c r="BQ120" s="283" t="n">
        <f aca="false">BQ117+BQ118+BQ119</f>
        <v>0</v>
      </c>
      <c r="BR120" s="283" t="n">
        <f aca="false">BR117+BR118+BR119</f>
        <v>0</v>
      </c>
      <c r="BS120" s="283" t="n">
        <f aca="false">BS117+BS118+BS119</f>
        <v>0</v>
      </c>
      <c r="BT120" s="283" t="n">
        <f aca="false">BT117+BT118+BT119</f>
        <v>0</v>
      </c>
      <c r="BU120" s="283" t="n">
        <f aca="false">BU117+BU118+BU119</f>
        <v>0</v>
      </c>
      <c r="BV120" s="283" t="n">
        <f aca="false">BV117+BV118+BV119</f>
        <v>0</v>
      </c>
      <c r="BW120" s="283" t="n">
        <f aca="false">BW117+BW118+BW119</f>
        <v>0</v>
      </c>
      <c r="BX120" s="283" t="n">
        <f aca="false">BX117+BX118+BX119</f>
        <v>0</v>
      </c>
      <c r="BY120" s="283" t="n">
        <f aca="false">BY117+BY118+BY119</f>
        <v>0</v>
      </c>
      <c r="BZ120" s="283" t="n">
        <f aca="false">BZ117+BZ118+BZ119</f>
        <v>0</v>
      </c>
      <c r="CA120" s="283" t="n">
        <f aca="false">CA117+CA118+CA119</f>
        <v>0</v>
      </c>
      <c r="CB120" s="283" t="n">
        <f aca="false">CB117+CB118+CB119</f>
        <v>0</v>
      </c>
      <c r="CC120" s="283" t="n">
        <f aca="false">CC117+CC118+CC119</f>
        <v>0</v>
      </c>
      <c r="CD120" s="283" t="n">
        <f aca="false">CD117+CD118+CD119</f>
        <v>0</v>
      </c>
      <c r="CE120" s="283" t="n">
        <f aca="false">CE117+CE118+CE119</f>
        <v>0</v>
      </c>
      <c r="CF120" s="283" t="n">
        <f aca="false">CF117+CF118+CF119</f>
        <v>0</v>
      </c>
      <c r="CG120" s="283" t="n">
        <f aca="false">CG117+CG118+CG119</f>
        <v>0</v>
      </c>
      <c r="CH120" s="283" t="n">
        <f aca="false">CH117+CH118+CH119</f>
        <v>0</v>
      </c>
      <c r="CI120" s="283" t="n">
        <f aca="false">CI117+CI118+CI119</f>
        <v>0</v>
      </c>
      <c r="CJ120" s="283" t="n">
        <f aca="false">CJ117+CJ118+CJ119</f>
        <v>0</v>
      </c>
      <c r="CK120" s="283" t="n">
        <f aca="false">CK117+CK118+CK119</f>
        <v>0</v>
      </c>
      <c r="CL120" s="283" t="n">
        <f aca="false">CL117+CL118+CL119</f>
        <v>0</v>
      </c>
      <c r="CM120" s="283" t="n">
        <f aca="false">CM117+CM118+CM119</f>
        <v>0</v>
      </c>
      <c r="CN120" s="283" t="n">
        <f aca="false">CN117+CN118+CN119</f>
        <v>0</v>
      </c>
      <c r="CO120" s="283" t="n">
        <f aca="false">CO117+CO118+CO119</f>
        <v>0</v>
      </c>
      <c r="CP120" s="283" t="n">
        <f aca="false">CP117+CP118+CP119</f>
        <v>0</v>
      </c>
      <c r="CQ120" s="283" t="n">
        <f aca="false">CQ117+CQ118+CQ119</f>
        <v>0</v>
      </c>
      <c r="CR120" s="283" t="n">
        <f aca="false">CR117+CR118+CR119</f>
        <v>0</v>
      </c>
      <c r="CS120" s="283" t="n">
        <f aca="false">CS117+CS118+CS119</f>
        <v>0</v>
      </c>
      <c r="CT120" s="283" t="n">
        <f aca="false">CT117+CT118+CT119</f>
        <v>0</v>
      </c>
      <c r="CU120" s="283" t="n">
        <f aca="false">CU117+CU118+CU119</f>
        <v>0</v>
      </c>
      <c r="CV120" s="283" t="n">
        <f aca="false">CV117+CV118+CV119</f>
        <v>0</v>
      </c>
      <c r="CW120" s="283" t="n">
        <f aca="false">CW117+CW118+CW119</f>
        <v>0</v>
      </c>
      <c r="CX120" s="283" t="n">
        <f aca="false">CX117+CX118+CX119</f>
        <v>0</v>
      </c>
      <c r="CY120" s="283" t="n">
        <f aca="false">CY117+CY118+CY119</f>
        <v>0</v>
      </c>
      <c r="CZ120" s="283" t="n">
        <f aca="false">CZ117+CZ118+CZ119</f>
        <v>0</v>
      </c>
      <c r="DA120" s="283" t="n">
        <f aca="false">DA117+DA118+DA119</f>
        <v>0</v>
      </c>
      <c r="DB120" s="283" t="n">
        <f aca="false">DB117+DB118+DB119</f>
        <v>0</v>
      </c>
      <c r="DC120" s="283" t="n">
        <f aca="false">DC117+DC118+DC119</f>
        <v>0</v>
      </c>
      <c r="DD120" s="283" t="n">
        <f aca="false">DD117+DD118+DD119</f>
        <v>0</v>
      </c>
      <c r="DE120" s="283" t="n">
        <f aca="false">DE117+DE118+DE119</f>
        <v>0</v>
      </c>
      <c r="DF120" s="283" t="n">
        <f aca="false">DF117+DF118+DF119</f>
        <v>0</v>
      </c>
      <c r="DG120" s="283" t="n">
        <f aca="false">DG117+DG118+DG119</f>
        <v>0</v>
      </c>
      <c r="DH120" s="283" t="n">
        <f aca="false">DH117+DH118+DH119</f>
        <v>0</v>
      </c>
      <c r="DI120" s="283" t="n">
        <f aca="false">DI117+DI118+DI119</f>
        <v>0</v>
      </c>
      <c r="DJ120" s="283" t="n">
        <f aca="false">DJ117+DJ118+DJ119</f>
        <v>0</v>
      </c>
      <c r="DK120" s="283" t="n">
        <f aca="false">DK117+DK118+DK119</f>
        <v>0</v>
      </c>
      <c r="DL120" s="283" t="n">
        <f aca="false">DL117+DL118+DL119</f>
        <v>0</v>
      </c>
      <c r="DM120" s="283" t="n">
        <f aca="false">DM117+DM118+DM119</f>
        <v>0</v>
      </c>
      <c r="DN120" s="283" t="n">
        <f aca="false">DN117+DN118+DN119</f>
        <v>0</v>
      </c>
      <c r="DO120" s="283" t="n">
        <f aca="false">DO117+DO118+DO119</f>
        <v>0</v>
      </c>
      <c r="DP120" s="283" t="n">
        <f aca="false">DP117+DP118+DP119</f>
        <v>0</v>
      </c>
      <c r="DQ120" s="283" t="n">
        <f aca="false">DQ117+DQ118+DQ119</f>
        <v>0</v>
      </c>
      <c r="DR120" s="283" t="n">
        <f aca="false">DR117+DR118+DR119</f>
        <v>0</v>
      </c>
      <c r="DS120" s="283" t="n">
        <f aca="false">DS117+DS118+DS119</f>
        <v>0</v>
      </c>
      <c r="DT120" s="283" t="n">
        <f aca="false">DT117+DT118+DT119</f>
        <v>0</v>
      </c>
      <c r="DU120" s="283" t="n">
        <f aca="false">DU117+DU118+DU119</f>
        <v>0</v>
      </c>
      <c r="DV120" s="283" t="n">
        <f aca="false">DV117+DV118+DV119</f>
        <v>0</v>
      </c>
      <c r="DW120" s="283" t="n">
        <f aca="false">DW117+DW118+DW119</f>
        <v>0</v>
      </c>
      <c r="DX120" s="283" t="n">
        <f aca="false">DX117+DX118+DX119</f>
        <v>0</v>
      </c>
      <c r="DY120" s="283" t="n">
        <f aca="false">DY117+DY118+DY119</f>
        <v>0</v>
      </c>
      <c r="DZ120" s="283" t="n">
        <f aca="false">DZ117+DZ118+DZ119</f>
        <v>0</v>
      </c>
      <c r="EA120" s="283" t="n">
        <f aca="false">EA117+EA118+EA119</f>
        <v>0</v>
      </c>
      <c r="EB120" s="283" t="n">
        <f aca="false">EB117+EB118+EB119</f>
        <v>0</v>
      </c>
      <c r="EC120" s="283" t="n">
        <f aca="false">EC117+EC118+EC119</f>
        <v>0</v>
      </c>
      <c r="ED120" s="283" t="n">
        <f aca="false">ED117+ED118+ED119</f>
        <v>0</v>
      </c>
      <c r="EE120" s="283" t="n">
        <f aca="false">EE117+EE118+EE119</f>
        <v>0</v>
      </c>
      <c r="EF120" s="283" t="n">
        <f aca="false">EF117+EF118+EF119</f>
        <v>0</v>
      </c>
    </row>
    <row r="121" customFormat="false" ht="15" hidden="false" customHeight="false" outlineLevel="0" collapsed="false">
      <c r="A121" s="153" t="s">
        <v>660</v>
      </c>
      <c r="B121" s="278" t="s">
        <v>21</v>
      </c>
      <c r="C121" s="279" t="n">
        <f aca="false">MAX(E121:EF121)</f>
        <v>304203.267746598</v>
      </c>
      <c r="E121" s="37" t="n">
        <f aca="false">0+E115-E117</f>
        <v>0</v>
      </c>
      <c r="F121" s="37" t="n">
        <f aca="false">E121+F115-F117</f>
        <v>0</v>
      </c>
      <c r="G121" s="37" t="n">
        <f aca="false">F121+G115-G117</f>
        <v>0</v>
      </c>
      <c r="H121" s="37" t="n">
        <f aca="false">G121+H115-H117</f>
        <v>0</v>
      </c>
      <c r="I121" s="37" t="n">
        <f aca="false">H121+I115-I117</f>
        <v>0</v>
      </c>
      <c r="J121" s="37" t="n">
        <f aca="false">I121+J115-J117</f>
        <v>0</v>
      </c>
      <c r="K121" s="37" t="n">
        <f aca="false">J121+K115-K117</f>
        <v>0</v>
      </c>
      <c r="L121" s="37" t="n">
        <f aca="false">K121+L115-L117</f>
        <v>0</v>
      </c>
      <c r="M121" s="37" t="n">
        <f aca="false">L121+M115-M117</f>
        <v>0</v>
      </c>
      <c r="N121" s="37" t="n">
        <f aca="false">M121+N115-N117</f>
        <v>0</v>
      </c>
      <c r="O121" s="37" t="n">
        <f aca="false">N121+O115-O117</f>
        <v>0</v>
      </c>
      <c r="P121" s="37" t="n">
        <f aca="false">O121+P115-P117</f>
        <v>0</v>
      </c>
      <c r="Q121" s="37" t="n">
        <f aca="false">P121+Q115-Q117</f>
        <v>0</v>
      </c>
      <c r="R121" s="37" t="n">
        <f aca="false">Q121+R115-R117</f>
        <v>0</v>
      </c>
      <c r="S121" s="37" t="n">
        <f aca="false">R121+S115-S117</f>
        <v>0</v>
      </c>
      <c r="T121" s="37" t="n">
        <f aca="false">S121+T115-T117</f>
        <v>0</v>
      </c>
      <c r="U121" s="37" t="n">
        <f aca="false">T121+U115-U117</f>
        <v>0</v>
      </c>
      <c r="V121" s="37" t="n">
        <f aca="false">U121+V115-V117</f>
        <v>0</v>
      </c>
      <c r="W121" s="37" t="n">
        <f aca="false">V121+W115-W117</f>
        <v>0</v>
      </c>
      <c r="X121" s="37" t="n">
        <f aca="false">W121+X115-X117</f>
        <v>0</v>
      </c>
      <c r="Y121" s="37" t="n">
        <f aca="false">X121+Y115-Y117</f>
        <v>0</v>
      </c>
      <c r="Z121" s="37" t="n">
        <f aca="false">Y121+Z115-Z117</f>
        <v>0</v>
      </c>
      <c r="AA121" s="37" t="n">
        <f aca="false">Z121+AA115-AA117</f>
        <v>0</v>
      </c>
      <c r="AB121" s="37" t="n">
        <f aca="false">AA121+AB115-AB117</f>
        <v>0</v>
      </c>
      <c r="AC121" s="37" t="n">
        <f aca="false">AB121+AC115-AC117</f>
        <v>0</v>
      </c>
      <c r="AD121" s="37" t="n">
        <f aca="false">AC121+AD115-AD117</f>
        <v>0</v>
      </c>
      <c r="AE121" s="37" t="n">
        <f aca="false">AD121+AE115-AE117</f>
        <v>0</v>
      </c>
      <c r="AF121" s="37" t="n">
        <f aca="false">AE121+AF115-AF117</f>
        <v>0</v>
      </c>
      <c r="AG121" s="37" t="n">
        <f aca="false">AF121+AG115-AG117</f>
        <v>0</v>
      </c>
      <c r="AH121" s="37" t="n">
        <f aca="false">AG121+AH115-AH117</f>
        <v>0</v>
      </c>
      <c r="AI121" s="37" t="n">
        <f aca="false">AH121+AI115-AI117</f>
        <v>0</v>
      </c>
      <c r="AJ121" s="37" t="n">
        <f aca="false">AI121+AJ115-AJ117</f>
        <v>0</v>
      </c>
      <c r="AK121" s="37" t="n">
        <f aca="false">AJ121+AK115-AK117</f>
        <v>0</v>
      </c>
      <c r="AL121" s="37" t="n">
        <f aca="false">AK121+AL115-AL117</f>
        <v>0</v>
      </c>
      <c r="AM121" s="37" t="n">
        <f aca="false">AL121+AM115-AM117</f>
        <v>0</v>
      </c>
      <c r="AN121" s="37" t="n">
        <f aca="false">AM121+AN115-AN117</f>
        <v>0</v>
      </c>
      <c r="AO121" s="37" t="n">
        <f aca="false">AN121+AO115-AO117</f>
        <v>0</v>
      </c>
      <c r="AP121" s="37" t="n">
        <f aca="false">AO121+AP115-AP117</f>
        <v>0</v>
      </c>
      <c r="AQ121" s="37" t="n">
        <f aca="false">AP121+AQ115-AQ117</f>
        <v>0</v>
      </c>
      <c r="AR121" s="37" t="n">
        <f aca="false">AQ121+AR115-AR117</f>
        <v>0</v>
      </c>
      <c r="AS121" s="37" t="n">
        <f aca="false">AR121+AS115-AS117</f>
        <v>0</v>
      </c>
      <c r="AT121" s="37" t="n">
        <f aca="false">AS121+AT115-AT117</f>
        <v>0</v>
      </c>
      <c r="AU121" s="37" t="n">
        <f aca="false">AT121+AU115-AU117</f>
        <v>8062.70068423297</v>
      </c>
      <c r="AV121" s="37" t="n">
        <f aca="false">AU121+AV115-AV117</f>
        <v>47988.0505408145</v>
      </c>
      <c r="AW121" s="37" t="n">
        <f aca="false">AV121+AW115-AW117</f>
        <v>87059.7906832987</v>
      </c>
      <c r="AX121" s="37" t="n">
        <f aca="false">AW121+AX115-AX117</f>
        <v>125076.0522418</v>
      </c>
      <c r="AY121" s="37" t="n">
        <f aca="false">AX121+AY115-AY117</f>
        <v>161840.952191565</v>
      </c>
      <c r="AZ121" s="37" t="n">
        <f aca="false">AY121+AZ115-AZ117</f>
        <v>197165.689226211</v>
      </c>
      <c r="BA121" s="37" t="n">
        <f aca="false">AZ121+BA115-BA117</f>
        <v>197165.689226211</v>
      </c>
      <c r="BB121" s="37" t="n">
        <f aca="false">BA121+BB115-BB117</f>
        <v>197165.689226211</v>
      </c>
      <c r="BC121" s="37" t="n">
        <f aca="false">BB121+BC115-BC117</f>
        <v>197165.689226211</v>
      </c>
      <c r="BD121" s="37" t="n">
        <f aca="false">BC121+BD115-BD117</f>
        <v>197165.689226211</v>
      </c>
      <c r="BE121" s="37" t="n">
        <f aca="false">BD121+BE115-BE117</f>
        <v>207919.184301933</v>
      </c>
      <c r="BF121" s="37" t="n">
        <f aca="false">BE121+BF115-BF117</f>
        <v>230470.162044874</v>
      </c>
      <c r="BG121" s="37" t="n">
        <f aca="false">BF121+BG115-BG117</f>
        <v>250536.504291229</v>
      </c>
      <c r="BH121" s="37" t="n">
        <f aca="false">BG121+BH115-BH117</f>
        <v>268019.575506484</v>
      </c>
      <c r="BI121" s="37" t="n">
        <f aca="false">BH121+BI115-BI117</f>
        <v>282835.254773562</v>
      </c>
      <c r="BJ121" s="37" t="n">
        <f aca="false">BI121+BJ115-BJ117</f>
        <v>294914.406570694</v>
      </c>
      <c r="BK121" s="37" t="n">
        <f aca="false">BJ121+BK115-BK117</f>
        <v>304203.267746598</v>
      </c>
      <c r="BL121" s="37" t="n">
        <f aca="false">BK121+BL115-BL117</f>
        <v>0</v>
      </c>
      <c r="BM121" s="37" t="n">
        <f aca="false">BL121+BM115-BM117</f>
        <v>0</v>
      </c>
      <c r="BN121" s="37" t="n">
        <f aca="false">BM121+BN115-BN117</f>
        <v>0</v>
      </c>
      <c r="BO121" s="37" t="n">
        <f aca="false">BN121+BO115-BO117</f>
        <v>0</v>
      </c>
      <c r="BP121" s="37" t="n">
        <f aca="false">BO121+BP115-BP117</f>
        <v>0</v>
      </c>
      <c r="BQ121" s="37" t="n">
        <f aca="false">BP121+BQ115-BQ117</f>
        <v>0</v>
      </c>
      <c r="BR121" s="37" t="n">
        <f aca="false">BQ121+BR115-BR117</f>
        <v>0</v>
      </c>
      <c r="BS121" s="37" t="n">
        <f aca="false">BR121+BS115-BS117</f>
        <v>0</v>
      </c>
      <c r="BT121" s="37" t="n">
        <f aca="false">BS121+BT115-BT117</f>
        <v>0</v>
      </c>
      <c r="BU121" s="37" t="n">
        <f aca="false">BT121+BU115-BU117</f>
        <v>0</v>
      </c>
      <c r="BV121" s="37" t="n">
        <f aca="false">BU121+BV115-BV117</f>
        <v>0</v>
      </c>
      <c r="BW121" s="37" t="n">
        <f aca="false">BV121+BW115-BW117</f>
        <v>0</v>
      </c>
      <c r="BX121" s="37" t="n">
        <f aca="false">BW121+BX115-BX117</f>
        <v>0</v>
      </c>
      <c r="BY121" s="37" t="n">
        <f aca="false">BX121+BY115-BY117</f>
        <v>0</v>
      </c>
      <c r="BZ121" s="37" t="n">
        <f aca="false">BY121+BZ115-BZ117</f>
        <v>0</v>
      </c>
      <c r="CA121" s="37" t="n">
        <f aca="false">BZ121+CA115-CA117</f>
        <v>0</v>
      </c>
      <c r="CB121" s="37" t="n">
        <f aca="false">CA121+CB115-CB117</f>
        <v>0</v>
      </c>
      <c r="CC121" s="37" t="n">
        <f aca="false">CB121+CC115-CC117</f>
        <v>0</v>
      </c>
      <c r="CD121" s="37" t="n">
        <f aca="false">CC121+CD115-CD117</f>
        <v>0</v>
      </c>
      <c r="CE121" s="37" t="n">
        <f aca="false">CD121+CE115-CE117</f>
        <v>0</v>
      </c>
      <c r="CF121" s="37" t="n">
        <f aca="false">CE121+CF115-CF117</f>
        <v>0</v>
      </c>
      <c r="CG121" s="37" t="n">
        <f aca="false">CF121+CG115-CG117</f>
        <v>0</v>
      </c>
      <c r="CH121" s="37" t="n">
        <f aca="false">CG121+CH115-CH117</f>
        <v>0</v>
      </c>
      <c r="CI121" s="37" t="n">
        <f aca="false">CH121+CI115-CI117</f>
        <v>0</v>
      </c>
      <c r="CJ121" s="37" t="n">
        <f aca="false">CI121+CJ115-CJ117</f>
        <v>0</v>
      </c>
      <c r="CK121" s="37" t="n">
        <f aca="false">CJ121+CK115-CK117</f>
        <v>0</v>
      </c>
      <c r="CL121" s="37" t="n">
        <f aca="false">CK121+CL115-CL117</f>
        <v>0</v>
      </c>
      <c r="CM121" s="37" t="n">
        <f aca="false">CL121+CM115-CM117</f>
        <v>0</v>
      </c>
      <c r="CN121" s="37" t="n">
        <f aca="false">CM121+CN115-CN117</f>
        <v>0</v>
      </c>
      <c r="CO121" s="37" t="n">
        <f aca="false">CN121+CO115-CO117</f>
        <v>0</v>
      </c>
      <c r="CP121" s="37" t="n">
        <f aca="false">CO121+CP115-CP117</f>
        <v>0</v>
      </c>
      <c r="CQ121" s="37" t="n">
        <f aca="false">CP121+CQ115-CQ117</f>
        <v>0</v>
      </c>
      <c r="CR121" s="37" t="n">
        <f aca="false">CQ121+CR115-CR117</f>
        <v>0</v>
      </c>
      <c r="CS121" s="37" t="n">
        <f aca="false">CR121+CS115-CS117</f>
        <v>0</v>
      </c>
      <c r="CT121" s="37" t="n">
        <f aca="false">CS121+CT115-CT117</f>
        <v>0</v>
      </c>
      <c r="CU121" s="37" t="n">
        <f aca="false">CT121+CU115-CU117</f>
        <v>0</v>
      </c>
      <c r="CV121" s="37" t="n">
        <f aca="false">CU121+CV115-CV117</f>
        <v>0</v>
      </c>
      <c r="CW121" s="37" t="n">
        <f aca="false">CV121+CW115-CW117</f>
        <v>0</v>
      </c>
      <c r="CX121" s="37" t="n">
        <f aca="false">CW121+CX115-CX117</f>
        <v>0</v>
      </c>
      <c r="CY121" s="37" t="n">
        <f aca="false">CX121+CY115-CY117</f>
        <v>0</v>
      </c>
      <c r="CZ121" s="37" t="n">
        <f aca="false">CY121+CZ115-CZ117</f>
        <v>0</v>
      </c>
      <c r="DA121" s="37" t="n">
        <f aca="false">CZ121+DA115-DA117</f>
        <v>0</v>
      </c>
      <c r="DB121" s="37" t="n">
        <f aca="false">DA121+DB115-DB117</f>
        <v>0</v>
      </c>
      <c r="DC121" s="37" t="n">
        <f aca="false">DB121+DC115-DC117</f>
        <v>0</v>
      </c>
      <c r="DD121" s="37" t="n">
        <f aca="false">DC121+DD115-DD117</f>
        <v>0</v>
      </c>
      <c r="DE121" s="37" t="n">
        <f aca="false">DD121+DE115-DE117</f>
        <v>0</v>
      </c>
      <c r="DF121" s="37" t="n">
        <f aca="false">DE121+DF115-DF117</f>
        <v>0</v>
      </c>
      <c r="DG121" s="37" t="n">
        <f aca="false">DF121+DG115-DG117</f>
        <v>0</v>
      </c>
      <c r="DH121" s="37" t="n">
        <f aca="false">DG121+DH115-DH117</f>
        <v>0</v>
      </c>
      <c r="DI121" s="37" t="n">
        <f aca="false">DH121+DI115-DI117</f>
        <v>0</v>
      </c>
      <c r="DJ121" s="37" t="n">
        <f aca="false">DI121+DJ115-DJ117</f>
        <v>0</v>
      </c>
      <c r="DK121" s="37" t="n">
        <f aca="false">DJ121+DK115-DK117</f>
        <v>0</v>
      </c>
      <c r="DL121" s="37" t="n">
        <f aca="false">DK121+DL115-DL117</f>
        <v>0</v>
      </c>
      <c r="DM121" s="37" t="n">
        <f aca="false">DL121+DM115-DM117</f>
        <v>0</v>
      </c>
      <c r="DN121" s="37" t="n">
        <f aca="false">DM121+DN115-DN117</f>
        <v>0</v>
      </c>
      <c r="DO121" s="37" t="n">
        <f aca="false">DN121+DO115-DO117</f>
        <v>0</v>
      </c>
      <c r="DP121" s="37" t="n">
        <f aca="false">DO121+DP115-DP117</f>
        <v>0</v>
      </c>
      <c r="DQ121" s="37" t="n">
        <f aca="false">DP121+DQ115-DQ117</f>
        <v>0</v>
      </c>
      <c r="DR121" s="37" t="n">
        <f aca="false">DQ121+DR115-DR117</f>
        <v>0</v>
      </c>
      <c r="DS121" s="37" t="n">
        <f aca="false">DR121+DS115-DS117</f>
        <v>0</v>
      </c>
      <c r="DT121" s="37" t="n">
        <f aca="false">DS121+DT115-DT117</f>
        <v>0</v>
      </c>
      <c r="DU121" s="37" t="n">
        <f aca="false">DT121+DU115-DU117</f>
        <v>0</v>
      </c>
      <c r="DV121" s="37" t="n">
        <f aca="false">DU121+DV115-DV117</f>
        <v>0</v>
      </c>
      <c r="DW121" s="37" t="n">
        <f aca="false">DV121+DW115-DW117</f>
        <v>0</v>
      </c>
      <c r="DX121" s="37" t="n">
        <f aca="false">DW121+DX115-DX117</f>
        <v>0</v>
      </c>
      <c r="DY121" s="37" t="n">
        <f aca="false">DX121+DY115-DY117</f>
        <v>0</v>
      </c>
      <c r="DZ121" s="37" t="n">
        <f aca="false">DY121+DZ115-DZ117</f>
        <v>0</v>
      </c>
      <c r="EA121" s="37" t="n">
        <f aca="false">DZ121+EA115-EA117</f>
        <v>0</v>
      </c>
      <c r="EB121" s="37" t="n">
        <f aca="false">EA121+EB115-EB117</f>
        <v>0</v>
      </c>
      <c r="EC121" s="37" t="n">
        <f aca="false">EB121+EC115-EC117</f>
        <v>0</v>
      </c>
      <c r="ED121" s="37" t="n">
        <f aca="false">EC121+ED115-ED117</f>
        <v>0</v>
      </c>
      <c r="EE121" s="37" t="n">
        <f aca="false">ED121+EE115-EE117</f>
        <v>0</v>
      </c>
      <c r="EF121" s="37" t="n">
        <f aca="false">EE121+EF115-EF117</f>
        <v>0</v>
      </c>
    </row>
    <row r="122" customFormat="false" ht="15" hidden="false" customHeight="false" outlineLevel="0" collapsed="false">
      <c r="A122" s="153" t="s">
        <v>661</v>
      </c>
      <c r="B122" s="278" t="s">
        <v>21</v>
      </c>
      <c r="C122" s="279" t="n">
        <f aca="false">MAX(E122:EF122)</f>
        <v>164265.485417923</v>
      </c>
      <c r="E122" s="37" t="n">
        <f aca="false">0+E114-E118</f>
        <v>0</v>
      </c>
      <c r="F122" s="37" t="n">
        <f aca="false">E122+F114-F118</f>
        <v>0</v>
      </c>
      <c r="G122" s="37" t="n">
        <f aca="false">F122+G114-G118</f>
        <v>0</v>
      </c>
      <c r="H122" s="37" t="n">
        <f aca="false">G122+H114-H118</f>
        <v>0</v>
      </c>
      <c r="I122" s="37" t="n">
        <f aca="false">H122+I114-I118</f>
        <v>0</v>
      </c>
      <c r="J122" s="37" t="n">
        <f aca="false">I122+J114-J118</f>
        <v>0</v>
      </c>
      <c r="K122" s="37" t="n">
        <f aca="false">J122+K114-K118</f>
        <v>0</v>
      </c>
      <c r="L122" s="37" t="n">
        <f aca="false">K122+L114-L118</f>
        <v>0</v>
      </c>
      <c r="M122" s="37" t="n">
        <f aca="false">L122+M114-M118</f>
        <v>0</v>
      </c>
      <c r="N122" s="37" t="n">
        <f aca="false">M122+N114-N118</f>
        <v>0</v>
      </c>
      <c r="O122" s="37" t="n">
        <f aca="false">N122+O114-O118</f>
        <v>0</v>
      </c>
      <c r="P122" s="37" t="n">
        <f aca="false">O122+P114-P118</f>
        <v>0</v>
      </c>
      <c r="Q122" s="37" t="n">
        <f aca="false">P122+Q114-Q118</f>
        <v>0</v>
      </c>
      <c r="R122" s="37" t="n">
        <f aca="false">Q122+R114-R118</f>
        <v>0</v>
      </c>
      <c r="S122" s="37" t="n">
        <f aca="false">R122+S114-S118</f>
        <v>0</v>
      </c>
      <c r="T122" s="37" t="n">
        <f aca="false">S122+T114-T118</f>
        <v>0</v>
      </c>
      <c r="U122" s="37" t="n">
        <f aca="false">T122+U114-U118</f>
        <v>0</v>
      </c>
      <c r="V122" s="37" t="n">
        <f aca="false">U122+V114-V118</f>
        <v>0</v>
      </c>
      <c r="W122" s="37" t="n">
        <f aca="false">V122+W114-W118</f>
        <v>0</v>
      </c>
      <c r="X122" s="37" t="n">
        <f aca="false">W122+X114-X118</f>
        <v>0</v>
      </c>
      <c r="Y122" s="37" t="n">
        <f aca="false">X122+Y114-Y118</f>
        <v>0</v>
      </c>
      <c r="Z122" s="37" t="n">
        <f aca="false">Y122+Z114-Z118</f>
        <v>0</v>
      </c>
      <c r="AA122" s="37" t="n">
        <f aca="false">Z122+AA114-AA118</f>
        <v>0</v>
      </c>
      <c r="AB122" s="37" t="n">
        <f aca="false">AA122+AB114-AB118</f>
        <v>0</v>
      </c>
      <c r="AC122" s="37" t="n">
        <f aca="false">AB122+AC114-AC118</f>
        <v>0</v>
      </c>
      <c r="AD122" s="37" t="n">
        <f aca="false">AC122+AD114-AD118</f>
        <v>0</v>
      </c>
      <c r="AE122" s="37" t="n">
        <f aca="false">AD122+AE114-AE118</f>
        <v>0</v>
      </c>
      <c r="AF122" s="37" t="n">
        <f aca="false">AE122+AF114-AF118</f>
        <v>0</v>
      </c>
      <c r="AG122" s="37" t="n">
        <f aca="false">AF122+AG114-AG118</f>
        <v>0</v>
      </c>
      <c r="AH122" s="37" t="n">
        <f aca="false">AG122+AH114-AH118</f>
        <v>0</v>
      </c>
      <c r="AI122" s="37" t="n">
        <f aca="false">AH122+AI114-AI118</f>
        <v>0</v>
      </c>
      <c r="AJ122" s="37" t="n">
        <f aca="false">AI122+AJ114-AJ118</f>
        <v>0</v>
      </c>
      <c r="AK122" s="37" t="n">
        <f aca="false">AJ122+AK114-AK118</f>
        <v>0</v>
      </c>
      <c r="AL122" s="37" t="n">
        <f aca="false">AK122+AL114-AL118</f>
        <v>0</v>
      </c>
      <c r="AM122" s="37" t="n">
        <f aca="false">AL122+AM114-AM118</f>
        <v>0</v>
      </c>
      <c r="AN122" s="37" t="n">
        <f aca="false">AM122+AN114-AN118</f>
        <v>22186.7464791143</v>
      </c>
      <c r="AO122" s="37" t="n">
        <f aca="false">AN122+AO114-AO118</f>
        <v>22186.7464791143</v>
      </c>
      <c r="AP122" s="37" t="n">
        <f aca="false">AO122+AP114-AP118</f>
        <v>22186.7464791143</v>
      </c>
      <c r="AQ122" s="37" t="n">
        <f aca="false">AP122+AQ114-AQ118</f>
        <v>22186.7464791143</v>
      </c>
      <c r="AR122" s="37" t="n">
        <f aca="false">AQ122+AR114-AR118</f>
        <v>49660.8940257746</v>
      </c>
      <c r="AS122" s="37" t="n">
        <f aca="false">AR122+AS114-AS118</f>
        <v>90817.4241633225</v>
      </c>
      <c r="AT122" s="37" t="n">
        <f aca="false">AS122+AT114-AT118</f>
        <v>131777.502800631</v>
      </c>
      <c r="AU122" s="37" t="n">
        <f aca="false">AT122+AU114-AU118</f>
        <v>164265.485417923</v>
      </c>
      <c r="AV122" s="37" t="n">
        <f aca="false">AU122+AV114-AV118</f>
        <v>164265.485417923</v>
      </c>
      <c r="AW122" s="37" t="n">
        <f aca="false">AV122+AW114-AW118</f>
        <v>164265.485417923</v>
      </c>
      <c r="AX122" s="37" t="n">
        <f aca="false">AW122+AX114-AX118</f>
        <v>164265.485417923</v>
      </c>
      <c r="AY122" s="37" t="n">
        <f aca="false">AX122+AY114-AY118</f>
        <v>164265.485417923</v>
      </c>
      <c r="AZ122" s="37" t="n">
        <f aca="false">AY122+AZ114-AZ118</f>
        <v>164265.485417923</v>
      </c>
      <c r="BA122" s="37" t="n">
        <f aca="false">AZ122+BA114-BA118</f>
        <v>164265.485417923</v>
      </c>
      <c r="BB122" s="37" t="n">
        <f aca="false">BA122+BB114-BB118</f>
        <v>164265.485417923</v>
      </c>
      <c r="BC122" s="37" t="n">
        <f aca="false">BB122+BC114-BC118</f>
        <v>164265.485417923</v>
      </c>
      <c r="BD122" s="37" t="n">
        <f aca="false">BC122+BD114-BD118</f>
        <v>164265.485417923</v>
      </c>
      <c r="BE122" s="37" t="n">
        <f aca="false">BD122+BE114-BE118</f>
        <v>164265.485417923</v>
      </c>
      <c r="BF122" s="37" t="n">
        <f aca="false">BE122+BF114-BF118</f>
        <v>164265.485417923</v>
      </c>
      <c r="BG122" s="37" t="n">
        <f aca="false">BF122+BG114-BG118</f>
        <v>164265.485417923</v>
      </c>
      <c r="BH122" s="37" t="n">
        <f aca="false">BG122+BH114-BH118</f>
        <v>164265.485417923</v>
      </c>
      <c r="BI122" s="37" t="n">
        <f aca="false">BH122+BI114-BI118</f>
        <v>164265.485417923</v>
      </c>
      <c r="BJ122" s="37" t="n">
        <f aca="false">BI122+BJ114-BJ118</f>
        <v>164265.485417923</v>
      </c>
      <c r="BK122" s="37" t="n">
        <f aca="false">BJ122+BK114-BK118</f>
        <v>164265.485417923</v>
      </c>
      <c r="BL122" s="37" t="n">
        <f aca="false">BK122+BL114-BL118</f>
        <v>0</v>
      </c>
      <c r="BM122" s="37" t="n">
        <f aca="false">BL122+BM114-BM118</f>
        <v>0</v>
      </c>
      <c r="BN122" s="37" t="n">
        <f aca="false">BM122+BN114-BN118</f>
        <v>0</v>
      </c>
      <c r="BO122" s="37" t="n">
        <f aca="false">BN122+BO114-BO118</f>
        <v>0</v>
      </c>
      <c r="BP122" s="37" t="n">
        <f aca="false">BO122+BP114-BP118</f>
        <v>0</v>
      </c>
      <c r="BQ122" s="37" t="n">
        <f aca="false">BP122+BQ114-BQ118</f>
        <v>0</v>
      </c>
      <c r="BR122" s="37" t="n">
        <f aca="false">BQ122+BR114-BR118</f>
        <v>0</v>
      </c>
      <c r="BS122" s="37" t="n">
        <f aca="false">BR122+BS114-BS118</f>
        <v>0</v>
      </c>
      <c r="BT122" s="37" t="n">
        <f aca="false">BS122+BT114-BT118</f>
        <v>0</v>
      </c>
      <c r="BU122" s="37" t="n">
        <f aca="false">BT122+BU114-BU118</f>
        <v>0</v>
      </c>
      <c r="BV122" s="37" t="n">
        <f aca="false">BU122+BV114-BV118</f>
        <v>0</v>
      </c>
      <c r="BW122" s="37" t="n">
        <f aca="false">BV122+BW114-BW118</f>
        <v>0</v>
      </c>
      <c r="BX122" s="37" t="n">
        <f aca="false">BW122+BX114-BX118</f>
        <v>0</v>
      </c>
      <c r="BY122" s="37" t="n">
        <f aca="false">BX122+BY114-BY118</f>
        <v>0</v>
      </c>
      <c r="BZ122" s="37" t="n">
        <f aca="false">BY122+BZ114-BZ118</f>
        <v>0</v>
      </c>
      <c r="CA122" s="37" t="n">
        <f aca="false">BZ122+CA114-CA118</f>
        <v>0</v>
      </c>
      <c r="CB122" s="37" t="n">
        <f aca="false">CA122+CB114-CB118</f>
        <v>0</v>
      </c>
      <c r="CC122" s="37" t="n">
        <f aca="false">CB122+CC114-CC118</f>
        <v>0</v>
      </c>
      <c r="CD122" s="37" t="n">
        <f aca="false">CC122+CD114-CD118</f>
        <v>0</v>
      </c>
      <c r="CE122" s="37" t="n">
        <f aca="false">CD122+CE114-CE118</f>
        <v>0</v>
      </c>
      <c r="CF122" s="37" t="n">
        <f aca="false">CE122+CF114-CF118</f>
        <v>0</v>
      </c>
      <c r="CG122" s="37" t="n">
        <f aca="false">CF122+CG114-CG118</f>
        <v>0</v>
      </c>
      <c r="CH122" s="37" t="n">
        <f aca="false">CG122+CH114-CH118</f>
        <v>0</v>
      </c>
      <c r="CI122" s="37" t="n">
        <f aca="false">CH122+CI114-CI118</f>
        <v>0</v>
      </c>
      <c r="CJ122" s="37" t="n">
        <f aca="false">CI122+CJ114-CJ118</f>
        <v>0</v>
      </c>
      <c r="CK122" s="37" t="n">
        <f aca="false">CJ122+CK114-CK118</f>
        <v>0</v>
      </c>
      <c r="CL122" s="37" t="n">
        <f aca="false">CK122+CL114-CL118</f>
        <v>0</v>
      </c>
      <c r="CM122" s="37" t="n">
        <f aca="false">CL122+CM114-CM118</f>
        <v>0</v>
      </c>
      <c r="CN122" s="37" t="n">
        <f aca="false">CM122+CN114-CN118</f>
        <v>0</v>
      </c>
      <c r="CO122" s="37" t="n">
        <f aca="false">CN122+CO114-CO118</f>
        <v>0</v>
      </c>
      <c r="CP122" s="37" t="n">
        <f aca="false">CO122+CP114-CP118</f>
        <v>0</v>
      </c>
      <c r="CQ122" s="37" t="n">
        <f aca="false">CP122+CQ114-CQ118</f>
        <v>0</v>
      </c>
      <c r="CR122" s="37" t="n">
        <f aca="false">CQ122+CR114-CR118</f>
        <v>0</v>
      </c>
      <c r="CS122" s="37" t="n">
        <f aca="false">CR122+CS114-CS118</f>
        <v>0</v>
      </c>
      <c r="CT122" s="37" t="n">
        <f aca="false">CS122+CT114-CT118</f>
        <v>0</v>
      </c>
      <c r="CU122" s="37" t="n">
        <f aca="false">CT122+CU114-CU118</f>
        <v>0</v>
      </c>
      <c r="CV122" s="37" t="n">
        <f aca="false">CU122+CV114-CV118</f>
        <v>0</v>
      </c>
      <c r="CW122" s="37" t="n">
        <f aca="false">CV122+CW114-CW118</f>
        <v>0</v>
      </c>
      <c r="CX122" s="37" t="n">
        <f aca="false">CW122+CX114-CX118</f>
        <v>0</v>
      </c>
      <c r="CY122" s="37" t="n">
        <f aca="false">CX122+CY114-CY118</f>
        <v>0</v>
      </c>
      <c r="CZ122" s="37" t="n">
        <f aca="false">CY122+CZ114-CZ118</f>
        <v>0</v>
      </c>
      <c r="DA122" s="37" t="n">
        <f aca="false">CZ122+DA114-DA118</f>
        <v>0</v>
      </c>
      <c r="DB122" s="37" t="n">
        <f aca="false">DA122+DB114-DB118</f>
        <v>0</v>
      </c>
      <c r="DC122" s="37" t="n">
        <f aca="false">DB122+DC114-DC118</f>
        <v>0</v>
      </c>
      <c r="DD122" s="37" t="n">
        <f aca="false">DC122+DD114-DD118</f>
        <v>0</v>
      </c>
      <c r="DE122" s="37" t="n">
        <f aca="false">DD122+DE114-DE118</f>
        <v>0</v>
      </c>
      <c r="DF122" s="37" t="n">
        <f aca="false">DE122+DF114-DF118</f>
        <v>0</v>
      </c>
      <c r="DG122" s="37" t="n">
        <f aca="false">DF122+DG114-DG118</f>
        <v>0</v>
      </c>
      <c r="DH122" s="37" t="n">
        <f aca="false">DG122+DH114-DH118</f>
        <v>0</v>
      </c>
      <c r="DI122" s="37" t="n">
        <f aca="false">DH122+DI114-DI118</f>
        <v>0</v>
      </c>
      <c r="DJ122" s="37" t="n">
        <f aca="false">DI122+DJ114-DJ118</f>
        <v>0</v>
      </c>
      <c r="DK122" s="37" t="n">
        <f aca="false">DJ122+DK114-DK118</f>
        <v>0</v>
      </c>
      <c r="DL122" s="37" t="n">
        <f aca="false">DK122+DL114-DL118</f>
        <v>0</v>
      </c>
      <c r="DM122" s="37" t="n">
        <f aca="false">DL122+DM114-DM118</f>
        <v>0</v>
      </c>
      <c r="DN122" s="37" t="n">
        <f aca="false">DM122+DN114-DN118</f>
        <v>0</v>
      </c>
      <c r="DO122" s="37" t="n">
        <f aca="false">DN122+DO114-DO118</f>
        <v>0</v>
      </c>
      <c r="DP122" s="37" t="n">
        <f aca="false">DO122+DP114-DP118</f>
        <v>0</v>
      </c>
      <c r="DQ122" s="37" t="n">
        <f aca="false">DP122+DQ114-DQ118</f>
        <v>0</v>
      </c>
      <c r="DR122" s="37" t="n">
        <f aca="false">DQ122+DR114-DR118</f>
        <v>0</v>
      </c>
      <c r="DS122" s="37" t="n">
        <f aca="false">DR122+DS114-DS118</f>
        <v>0</v>
      </c>
      <c r="DT122" s="37" t="n">
        <f aca="false">DS122+DT114-DT118</f>
        <v>0</v>
      </c>
      <c r="DU122" s="37" t="n">
        <f aca="false">DT122+DU114-DU118</f>
        <v>0</v>
      </c>
      <c r="DV122" s="37" t="n">
        <f aca="false">DU122+DV114-DV118</f>
        <v>0</v>
      </c>
      <c r="DW122" s="37" t="n">
        <f aca="false">DV122+DW114-DW118</f>
        <v>0</v>
      </c>
      <c r="DX122" s="37" t="n">
        <f aca="false">DW122+DX114-DX118</f>
        <v>0</v>
      </c>
      <c r="DY122" s="37" t="n">
        <f aca="false">DX122+DY114-DY118</f>
        <v>0</v>
      </c>
      <c r="DZ122" s="37" t="n">
        <f aca="false">DY122+DZ114-DZ118</f>
        <v>0</v>
      </c>
      <c r="EA122" s="37" t="n">
        <f aca="false">DZ122+EA114-EA118</f>
        <v>0</v>
      </c>
      <c r="EB122" s="37" t="n">
        <f aca="false">EA122+EB114-EB118</f>
        <v>0</v>
      </c>
      <c r="EC122" s="37" t="n">
        <f aca="false">EB122+EC114-EC118</f>
        <v>0</v>
      </c>
      <c r="ED122" s="37" t="n">
        <f aca="false">EC122+ED114-ED118</f>
        <v>0</v>
      </c>
      <c r="EE122" s="37" t="n">
        <f aca="false">ED122+EE114-EE118</f>
        <v>0</v>
      </c>
      <c r="EF122" s="37" t="n">
        <f aca="false">EE122+EF114-EF118</f>
        <v>0</v>
      </c>
    </row>
    <row r="123" customFormat="false" ht="15" hidden="false" customHeight="false" outlineLevel="0" collapsed="false">
      <c r="A123" s="153" t="s">
        <v>662</v>
      </c>
      <c r="B123" s="278" t="s">
        <v>21</v>
      </c>
      <c r="C123" s="279" t="n">
        <f aca="false">MAX(E123:EF123)</f>
        <v>164150.534063536</v>
      </c>
      <c r="E123" s="37" t="n">
        <f aca="false">0+E113-E119</f>
        <v>0</v>
      </c>
      <c r="F123" s="37" t="n">
        <f aca="false">E123+F113-F119</f>
        <v>0</v>
      </c>
      <c r="G123" s="37" t="n">
        <f aca="false">F123+G113-G119</f>
        <v>0</v>
      </c>
      <c r="H123" s="37" t="n">
        <f aca="false">G123+H113-H119</f>
        <v>0</v>
      </c>
      <c r="I123" s="37" t="n">
        <f aca="false">H123+I113-I119</f>
        <v>0</v>
      </c>
      <c r="J123" s="37" t="n">
        <f aca="false">I123+J113-J119</f>
        <v>0</v>
      </c>
      <c r="K123" s="37" t="n">
        <f aca="false">J123+K113-K119</f>
        <v>0</v>
      </c>
      <c r="L123" s="37" t="n">
        <f aca="false">K123+L113-L119</f>
        <v>0</v>
      </c>
      <c r="M123" s="37" t="n">
        <f aca="false">L123+M113-M119</f>
        <v>0</v>
      </c>
      <c r="N123" s="37" t="n">
        <f aca="false">M123+N113-N119</f>
        <v>0</v>
      </c>
      <c r="O123" s="37" t="n">
        <f aca="false">N123+O113-O119</f>
        <v>0</v>
      </c>
      <c r="P123" s="37" t="n">
        <f aca="false">O123+P113-P119</f>
        <v>0</v>
      </c>
      <c r="Q123" s="37" t="n">
        <f aca="false">P123+Q113-Q119</f>
        <v>0</v>
      </c>
      <c r="R123" s="37" t="n">
        <f aca="false">Q123+R113-R119</f>
        <v>0</v>
      </c>
      <c r="S123" s="37" t="n">
        <f aca="false">R123+S113-S119</f>
        <v>0</v>
      </c>
      <c r="T123" s="37" t="n">
        <f aca="false">S123+T113-T119</f>
        <v>0</v>
      </c>
      <c r="U123" s="37" t="n">
        <f aca="false">T123+U113-U119</f>
        <v>0</v>
      </c>
      <c r="V123" s="37" t="n">
        <f aca="false">U123+V113-V119</f>
        <v>0</v>
      </c>
      <c r="W123" s="37" t="n">
        <f aca="false">V123+W113-W119</f>
        <v>0</v>
      </c>
      <c r="X123" s="37" t="n">
        <f aca="false">W123+X113-X119</f>
        <v>0</v>
      </c>
      <c r="Y123" s="37" t="n">
        <f aca="false">X123+Y113-Y119</f>
        <v>0</v>
      </c>
      <c r="Z123" s="37" t="n">
        <f aca="false">Y123+Z113-Z119</f>
        <v>0</v>
      </c>
      <c r="AA123" s="37" t="n">
        <f aca="false">Z123+AA113-AA119</f>
        <v>0</v>
      </c>
      <c r="AB123" s="37" t="n">
        <f aca="false">AA123+AB113-AB119</f>
        <v>0</v>
      </c>
      <c r="AC123" s="37" t="n">
        <f aca="false">AB123+AC113-AC119</f>
        <v>0</v>
      </c>
      <c r="AD123" s="37" t="n">
        <f aca="false">AC123+AD113-AD119</f>
        <v>0</v>
      </c>
      <c r="AE123" s="37" t="n">
        <f aca="false">AD123+AE113-AE119</f>
        <v>0</v>
      </c>
      <c r="AF123" s="37" t="n">
        <f aca="false">AE123+AF113-AF119</f>
        <v>0</v>
      </c>
      <c r="AG123" s="37" t="n">
        <f aca="false">AF123+AG113-AG119</f>
        <v>0</v>
      </c>
      <c r="AH123" s="37" t="n">
        <f aca="false">AG123+AH113-AH119</f>
        <v>0</v>
      </c>
      <c r="AI123" s="37" t="n">
        <f aca="false">AH123+AI113-AI119</f>
        <v>994.866374599707</v>
      </c>
      <c r="AJ123" s="37" t="n">
        <f aca="false">AI123+AJ113-AJ119</f>
        <v>35075.0549442727</v>
      </c>
      <c r="AK123" s="37" t="n">
        <f aca="false">AJ123+AK113-AK119</f>
        <v>70832.4077347475</v>
      </c>
      <c r="AL123" s="37" t="n">
        <f aca="false">AK123+AL113-AL119</f>
        <v>108087.919500052</v>
      </c>
      <c r="AM123" s="37" t="n">
        <f aca="false">AL123+AM113-AM119</f>
        <v>146654.351685113</v>
      </c>
      <c r="AN123" s="37" t="n">
        <f aca="false">AM123+AN113-AN119</f>
        <v>164150.534063536</v>
      </c>
      <c r="AO123" s="37" t="n">
        <f aca="false">AN123+AO113-AO119</f>
        <v>164150.534063536</v>
      </c>
      <c r="AP123" s="37" t="n">
        <f aca="false">AO123+AP113-AP119</f>
        <v>164150.534063536</v>
      </c>
      <c r="AQ123" s="37" t="n">
        <f aca="false">AP123+AQ113-AQ119</f>
        <v>164150.534063536</v>
      </c>
      <c r="AR123" s="37" t="n">
        <f aca="false">AQ123+AR113-AR119</f>
        <v>164150.534063536</v>
      </c>
      <c r="AS123" s="37" t="n">
        <f aca="false">AR123+AS113-AS119</f>
        <v>164150.534063536</v>
      </c>
      <c r="AT123" s="37" t="n">
        <f aca="false">AS123+AT113-AT119</f>
        <v>164150.534063536</v>
      </c>
      <c r="AU123" s="37" t="n">
        <f aca="false">AT123+AU113-AU119</f>
        <v>164150.534063536</v>
      </c>
      <c r="AV123" s="37" t="n">
        <f aca="false">AU123+AV113-AV119</f>
        <v>164150.534063536</v>
      </c>
      <c r="AW123" s="37" t="n">
        <f aca="false">AV123+AW113-AW119</f>
        <v>164150.534063536</v>
      </c>
      <c r="AX123" s="37" t="n">
        <f aca="false">AW123+AX113-AX119</f>
        <v>164150.534063536</v>
      </c>
      <c r="AY123" s="37" t="n">
        <f aca="false">AX123+AY113-AY119</f>
        <v>164150.534063536</v>
      </c>
      <c r="AZ123" s="37" t="n">
        <f aca="false">AY123+AZ113-AZ119</f>
        <v>164150.534063536</v>
      </c>
      <c r="BA123" s="37" t="n">
        <f aca="false">AZ123+BA113-BA119</f>
        <v>164150.534063536</v>
      </c>
      <c r="BB123" s="37" t="n">
        <f aca="false">BA123+BB113-BB119</f>
        <v>164150.534063536</v>
      </c>
      <c r="BC123" s="37" t="n">
        <f aca="false">BB123+BC113-BC119</f>
        <v>164150.534063536</v>
      </c>
      <c r="BD123" s="37" t="n">
        <f aca="false">BC123+BD113-BD119</f>
        <v>164150.534063536</v>
      </c>
      <c r="BE123" s="37" t="n">
        <f aca="false">BD123+BE113-BE119</f>
        <v>164150.534063536</v>
      </c>
      <c r="BF123" s="37" t="n">
        <f aca="false">BE123+BF113-BF119</f>
        <v>164150.534063536</v>
      </c>
      <c r="BG123" s="37" t="n">
        <f aca="false">BF123+BG113-BG119</f>
        <v>164150.534063536</v>
      </c>
      <c r="BH123" s="37" t="n">
        <f aca="false">BG123+BH113-BH119</f>
        <v>164150.534063536</v>
      </c>
      <c r="BI123" s="37" t="n">
        <f aca="false">BH123+BI113-BI119</f>
        <v>164150.534063536</v>
      </c>
      <c r="BJ123" s="37" t="n">
        <f aca="false">BI123+BJ113-BJ119</f>
        <v>164150.534063536</v>
      </c>
      <c r="BK123" s="37" t="n">
        <f aca="false">BJ123+BK113-BK119</f>
        <v>164150.534063536</v>
      </c>
      <c r="BL123" s="37" t="n">
        <f aca="false">BK123+BL113-BL119</f>
        <v>0</v>
      </c>
      <c r="BM123" s="37" t="n">
        <f aca="false">BL123+BM113-BM119</f>
        <v>0</v>
      </c>
      <c r="BN123" s="37" t="n">
        <f aca="false">BM123+BN113-BN119</f>
        <v>0</v>
      </c>
      <c r="BO123" s="37" t="n">
        <f aca="false">BN123+BO113-BO119</f>
        <v>0</v>
      </c>
      <c r="BP123" s="37" t="n">
        <f aca="false">BO123+BP113-BP119</f>
        <v>0</v>
      </c>
      <c r="BQ123" s="37" t="n">
        <f aca="false">BP123+BQ113-BQ119</f>
        <v>0</v>
      </c>
      <c r="BR123" s="37" t="n">
        <f aca="false">BQ123+BR113-BR119</f>
        <v>0</v>
      </c>
      <c r="BS123" s="37" t="n">
        <f aca="false">BR123+BS113-BS119</f>
        <v>0</v>
      </c>
      <c r="BT123" s="37" t="n">
        <f aca="false">BS123+BT113-BT119</f>
        <v>0</v>
      </c>
      <c r="BU123" s="37" t="n">
        <f aca="false">BT123+BU113-BU119</f>
        <v>0</v>
      </c>
      <c r="BV123" s="37" t="n">
        <f aca="false">BU123+BV113-BV119</f>
        <v>0</v>
      </c>
      <c r="BW123" s="37" t="n">
        <f aca="false">BV123+BW113-BW119</f>
        <v>0</v>
      </c>
      <c r="BX123" s="37" t="n">
        <f aca="false">BW123+BX113-BX119</f>
        <v>0</v>
      </c>
      <c r="BY123" s="37" t="n">
        <f aca="false">BX123+BY113-BY119</f>
        <v>0</v>
      </c>
      <c r="BZ123" s="37" t="n">
        <f aca="false">BY123+BZ113-BZ119</f>
        <v>0</v>
      </c>
      <c r="CA123" s="37" t="n">
        <f aca="false">BZ123+CA113-CA119</f>
        <v>0</v>
      </c>
      <c r="CB123" s="37" t="n">
        <f aca="false">CA123+CB113-CB119</f>
        <v>0</v>
      </c>
      <c r="CC123" s="37" t="n">
        <f aca="false">CB123+CC113-CC119</f>
        <v>0</v>
      </c>
      <c r="CD123" s="37" t="n">
        <f aca="false">CC123+CD113-CD119</f>
        <v>0</v>
      </c>
      <c r="CE123" s="37" t="n">
        <f aca="false">CD123+CE113-CE119</f>
        <v>0</v>
      </c>
      <c r="CF123" s="37" t="n">
        <f aca="false">CE123+CF113-CF119</f>
        <v>0</v>
      </c>
      <c r="CG123" s="37" t="n">
        <f aca="false">CF123+CG113-CG119</f>
        <v>0</v>
      </c>
      <c r="CH123" s="37" t="n">
        <f aca="false">CG123+CH113-CH119</f>
        <v>0</v>
      </c>
      <c r="CI123" s="37" t="n">
        <f aca="false">CH123+CI113-CI119</f>
        <v>0</v>
      </c>
      <c r="CJ123" s="37" t="n">
        <f aca="false">CI123+CJ113-CJ119</f>
        <v>0</v>
      </c>
      <c r="CK123" s="37" t="n">
        <f aca="false">CJ123+CK113-CK119</f>
        <v>0</v>
      </c>
      <c r="CL123" s="37" t="n">
        <f aca="false">CK123+CL113-CL119</f>
        <v>0</v>
      </c>
      <c r="CM123" s="37" t="n">
        <f aca="false">CL123+CM113-CM119</f>
        <v>0</v>
      </c>
      <c r="CN123" s="37" t="n">
        <f aca="false">CM123+CN113-CN119</f>
        <v>0</v>
      </c>
      <c r="CO123" s="37" t="n">
        <f aca="false">CN123+CO113-CO119</f>
        <v>0</v>
      </c>
      <c r="CP123" s="37" t="n">
        <f aca="false">CO123+CP113-CP119</f>
        <v>0</v>
      </c>
      <c r="CQ123" s="37" t="n">
        <f aca="false">CP123+CQ113-CQ119</f>
        <v>0</v>
      </c>
      <c r="CR123" s="37" t="n">
        <f aca="false">CQ123+CR113-CR119</f>
        <v>0</v>
      </c>
      <c r="CS123" s="37" t="n">
        <f aca="false">CR123+CS113-CS119</f>
        <v>0</v>
      </c>
      <c r="CT123" s="37" t="n">
        <f aca="false">CS123+CT113-CT119</f>
        <v>0</v>
      </c>
      <c r="CU123" s="37" t="n">
        <f aca="false">CT123+CU113-CU119</f>
        <v>0</v>
      </c>
      <c r="CV123" s="37" t="n">
        <f aca="false">CU123+CV113-CV119</f>
        <v>0</v>
      </c>
      <c r="CW123" s="37" t="n">
        <f aca="false">CV123+CW113-CW119</f>
        <v>0</v>
      </c>
      <c r="CX123" s="37" t="n">
        <f aca="false">CW123+CX113-CX119</f>
        <v>0</v>
      </c>
      <c r="CY123" s="37" t="n">
        <f aca="false">CX123+CY113-CY119</f>
        <v>0</v>
      </c>
      <c r="CZ123" s="37" t="n">
        <f aca="false">CY123+CZ113-CZ119</f>
        <v>0</v>
      </c>
      <c r="DA123" s="37" t="n">
        <f aca="false">CZ123+DA113-DA119</f>
        <v>0</v>
      </c>
      <c r="DB123" s="37" t="n">
        <f aca="false">DA123+DB113-DB119</f>
        <v>0</v>
      </c>
      <c r="DC123" s="37" t="n">
        <f aca="false">DB123+DC113-DC119</f>
        <v>0</v>
      </c>
      <c r="DD123" s="37" t="n">
        <f aca="false">DC123+DD113-DD119</f>
        <v>0</v>
      </c>
      <c r="DE123" s="37" t="n">
        <f aca="false">DD123+DE113-DE119</f>
        <v>0</v>
      </c>
      <c r="DF123" s="37" t="n">
        <f aca="false">DE123+DF113-DF119</f>
        <v>0</v>
      </c>
      <c r="DG123" s="37" t="n">
        <f aca="false">DF123+DG113-DG119</f>
        <v>0</v>
      </c>
      <c r="DH123" s="37" t="n">
        <f aca="false">DG123+DH113-DH119</f>
        <v>0</v>
      </c>
      <c r="DI123" s="37" t="n">
        <f aca="false">DH123+DI113-DI119</f>
        <v>0</v>
      </c>
      <c r="DJ123" s="37" t="n">
        <f aca="false">DI123+DJ113-DJ119</f>
        <v>0</v>
      </c>
      <c r="DK123" s="37" t="n">
        <f aca="false">DJ123+DK113-DK119</f>
        <v>0</v>
      </c>
      <c r="DL123" s="37" t="n">
        <f aca="false">DK123+DL113-DL119</f>
        <v>0</v>
      </c>
      <c r="DM123" s="37" t="n">
        <f aca="false">DL123+DM113-DM119</f>
        <v>0</v>
      </c>
      <c r="DN123" s="37" t="n">
        <f aca="false">DM123+DN113-DN119</f>
        <v>0</v>
      </c>
      <c r="DO123" s="37" t="n">
        <f aca="false">DN123+DO113-DO119</f>
        <v>0</v>
      </c>
      <c r="DP123" s="37" t="n">
        <f aca="false">DO123+DP113-DP119</f>
        <v>0</v>
      </c>
      <c r="DQ123" s="37" t="n">
        <f aca="false">DP123+DQ113-DQ119</f>
        <v>0</v>
      </c>
      <c r="DR123" s="37" t="n">
        <f aca="false">DQ123+DR113-DR119</f>
        <v>0</v>
      </c>
      <c r="DS123" s="37" t="n">
        <f aca="false">DR123+DS113-DS119</f>
        <v>0</v>
      </c>
      <c r="DT123" s="37" t="n">
        <f aca="false">DS123+DT113-DT119</f>
        <v>0</v>
      </c>
      <c r="DU123" s="37" t="n">
        <f aca="false">DT123+DU113-DU119</f>
        <v>0</v>
      </c>
      <c r="DV123" s="37" t="n">
        <f aca="false">DU123+DV113-DV119</f>
        <v>0</v>
      </c>
      <c r="DW123" s="37" t="n">
        <f aca="false">DV123+DW113-DW119</f>
        <v>0</v>
      </c>
      <c r="DX123" s="37" t="n">
        <f aca="false">DW123+DX113-DX119</f>
        <v>0</v>
      </c>
      <c r="DY123" s="37" t="n">
        <f aca="false">DX123+DY113-DY119</f>
        <v>0</v>
      </c>
      <c r="DZ123" s="37" t="n">
        <f aca="false">DY123+DZ113-DZ119</f>
        <v>0</v>
      </c>
      <c r="EA123" s="37" t="n">
        <f aca="false">DZ123+EA113-EA119</f>
        <v>0</v>
      </c>
      <c r="EB123" s="37" t="n">
        <f aca="false">EA123+EB113-EB119</f>
        <v>0</v>
      </c>
      <c r="EC123" s="37" t="n">
        <f aca="false">EB123+EC113-EC119</f>
        <v>0</v>
      </c>
      <c r="ED123" s="37" t="n">
        <f aca="false">EC123+ED113-ED119</f>
        <v>0</v>
      </c>
      <c r="EE123" s="37" t="n">
        <f aca="false">ED123+EE113-EE119</f>
        <v>0</v>
      </c>
      <c r="EF123" s="37" t="n">
        <f aca="false">EE123+EF113-EF119</f>
        <v>0</v>
      </c>
    </row>
    <row r="124" customFormat="false" ht="15" hidden="false" customHeight="false" outlineLevel="0" collapsed="false">
      <c r="A124" s="284" t="s">
        <v>663</v>
      </c>
      <c r="B124" s="281" t="s">
        <v>21</v>
      </c>
      <c r="C124" s="285" t="n">
        <f aca="false">MAX(E124:EF124)</f>
        <v>632619.287228057</v>
      </c>
      <c r="D124" s="48"/>
      <c r="E124" s="283" t="n">
        <f aca="false">E121+E122+E123</f>
        <v>0</v>
      </c>
      <c r="F124" s="283" t="n">
        <f aca="false">F121+F122+F123</f>
        <v>0</v>
      </c>
      <c r="G124" s="283" t="n">
        <f aca="false">G121+G122+G123</f>
        <v>0</v>
      </c>
      <c r="H124" s="283" t="n">
        <f aca="false">H121+H122+H123</f>
        <v>0</v>
      </c>
      <c r="I124" s="283" t="n">
        <f aca="false">I121+I122+I123</f>
        <v>0</v>
      </c>
      <c r="J124" s="283" t="n">
        <f aca="false">J121+J122+J123</f>
        <v>0</v>
      </c>
      <c r="K124" s="283" t="n">
        <f aca="false">K121+K122+K123</f>
        <v>0</v>
      </c>
      <c r="L124" s="283" t="n">
        <f aca="false">L121+L122+L123</f>
        <v>0</v>
      </c>
      <c r="M124" s="283" t="n">
        <f aca="false">M121+M122+M123</f>
        <v>0</v>
      </c>
      <c r="N124" s="283" t="n">
        <f aca="false">N121+N122+N123</f>
        <v>0</v>
      </c>
      <c r="O124" s="283" t="n">
        <f aca="false">O121+O122+O123</f>
        <v>0</v>
      </c>
      <c r="P124" s="283" t="n">
        <f aca="false">P121+P122+P123</f>
        <v>0</v>
      </c>
      <c r="Q124" s="283" t="n">
        <f aca="false">Q121+Q122+Q123</f>
        <v>0</v>
      </c>
      <c r="R124" s="283" t="n">
        <f aca="false">R121+R122+R123</f>
        <v>0</v>
      </c>
      <c r="S124" s="283" t="n">
        <f aca="false">S121+S122+S123</f>
        <v>0</v>
      </c>
      <c r="T124" s="283" t="n">
        <f aca="false">T121+T122+T123</f>
        <v>0</v>
      </c>
      <c r="U124" s="283" t="n">
        <f aca="false">U121+U122+U123</f>
        <v>0</v>
      </c>
      <c r="V124" s="283" t="n">
        <f aca="false">V121+V122+V123</f>
        <v>0</v>
      </c>
      <c r="W124" s="283" t="n">
        <f aca="false">W121+W122+W123</f>
        <v>0</v>
      </c>
      <c r="X124" s="283" t="n">
        <f aca="false">X121+X122+X123</f>
        <v>0</v>
      </c>
      <c r="Y124" s="283" t="n">
        <f aca="false">Y121+Y122+Y123</f>
        <v>0</v>
      </c>
      <c r="Z124" s="283" t="n">
        <f aca="false">Z121+Z122+Z123</f>
        <v>0</v>
      </c>
      <c r="AA124" s="283" t="n">
        <f aca="false">AA121+AA122+AA123</f>
        <v>0</v>
      </c>
      <c r="AB124" s="283" t="n">
        <f aca="false">AB121+AB122+AB123</f>
        <v>0</v>
      </c>
      <c r="AC124" s="283" t="n">
        <f aca="false">AC121+AC122+AC123</f>
        <v>0</v>
      </c>
      <c r="AD124" s="283" t="n">
        <f aca="false">AD121+AD122+AD123</f>
        <v>0</v>
      </c>
      <c r="AE124" s="283" t="n">
        <f aca="false">AE121+AE122+AE123</f>
        <v>0</v>
      </c>
      <c r="AF124" s="283" t="n">
        <f aca="false">AF121+AF122+AF123</f>
        <v>0</v>
      </c>
      <c r="AG124" s="283" t="n">
        <f aca="false">AG121+AG122+AG123</f>
        <v>0</v>
      </c>
      <c r="AH124" s="283" t="n">
        <f aca="false">AH121+AH122+AH123</f>
        <v>0</v>
      </c>
      <c r="AI124" s="283" t="n">
        <f aca="false">AI121+AI122+AI123</f>
        <v>994.866374599707</v>
      </c>
      <c r="AJ124" s="283" t="n">
        <f aca="false">AJ121+AJ122+AJ123</f>
        <v>35075.0549442727</v>
      </c>
      <c r="AK124" s="283" t="n">
        <f aca="false">AK121+AK122+AK123</f>
        <v>70832.4077347475</v>
      </c>
      <c r="AL124" s="283" t="n">
        <f aca="false">AL121+AL122+AL123</f>
        <v>108087.919500052</v>
      </c>
      <c r="AM124" s="283" t="n">
        <f aca="false">AM121+AM122+AM123</f>
        <v>146654.351685113</v>
      </c>
      <c r="AN124" s="283" t="n">
        <f aca="false">AN121+AN122+AN123</f>
        <v>186337.280542651</v>
      </c>
      <c r="AO124" s="283" t="n">
        <f aca="false">AO121+AO122+AO123</f>
        <v>186337.280542651</v>
      </c>
      <c r="AP124" s="283" t="n">
        <f aca="false">AP121+AP122+AP123</f>
        <v>186337.280542651</v>
      </c>
      <c r="AQ124" s="283" t="n">
        <f aca="false">AQ121+AQ122+AQ123</f>
        <v>186337.280542651</v>
      </c>
      <c r="AR124" s="283" t="n">
        <f aca="false">AR121+AR122+AR123</f>
        <v>213811.428089311</v>
      </c>
      <c r="AS124" s="283" t="n">
        <f aca="false">AS121+AS122+AS123</f>
        <v>254967.958226859</v>
      </c>
      <c r="AT124" s="283" t="n">
        <f aca="false">AT121+AT122+AT123</f>
        <v>295928.036864167</v>
      </c>
      <c r="AU124" s="283" t="n">
        <f aca="false">AU121+AU122+AU123</f>
        <v>336478.720165692</v>
      </c>
      <c r="AV124" s="283" t="n">
        <f aca="false">AV121+AV122+AV123</f>
        <v>376404.070022273</v>
      </c>
      <c r="AW124" s="283" t="n">
        <f aca="false">AW121+AW122+AW123</f>
        <v>415475.810164757</v>
      </c>
      <c r="AX124" s="283" t="n">
        <f aca="false">AX121+AX122+AX123</f>
        <v>453492.071723258</v>
      </c>
      <c r="AY124" s="283" t="n">
        <f aca="false">AY121+AY122+AY123</f>
        <v>490256.971673024</v>
      </c>
      <c r="AZ124" s="283" t="n">
        <f aca="false">AZ121+AZ122+AZ123</f>
        <v>525581.70870767</v>
      </c>
      <c r="BA124" s="283" t="n">
        <f aca="false">BA121+BA122+BA123</f>
        <v>525581.70870767</v>
      </c>
      <c r="BB124" s="283" t="n">
        <f aca="false">BB121+BB122+BB123</f>
        <v>525581.70870767</v>
      </c>
      <c r="BC124" s="283" t="n">
        <f aca="false">BC121+BC122+BC123</f>
        <v>525581.70870767</v>
      </c>
      <c r="BD124" s="283" t="n">
        <f aca="false">BD121+BD122+BD123</f>
        <v>525581.70870767</v>
      </c>
      <c r="BE124" s="283" t="n">
        <f aca="false">BE121+BE122+BE123</f>
        <v>536335.203783392</v>
      </c>
      <c r="BF124" s="283" t="n">
        <f aca="false">BF121+BF122+BF123</f>
        <v>558886.181526333</v>
      </c>
      <c r="BG124" s="283" t="n">
        <f aca="false">BG121+BG122+BG123</f>
        <v>578952.523772687</v>
      </c>
      <c r="BH124" s="283" t="n">
        <f aca="false">BH121+BH122+BH123</f>
        <v>596435.594987943</v>
      </c>
      <c r="BI124" s="283" t="n">
        <f aca="false">BI121+BI122+BI123</f>
        <v>611251.27425502</v>
      </c>
      <c r="BJ124" s="283" t="n">
        <f aca="false">BJ121+BJ122+BJ123</f>
        <v>623330.426052153</v>
      </c>
      <c r="BK124" s="283" t="n">
        <f aca="false">BK121+BK122+BK123</f>
        <v>632619.287228057</v>
      </c>
      <c r="BL124" s="283" t="n">
        <f aca="false">BL121+BL122+BL123</f>
        <v>0</v>
      </c>
      <c r="BM124" s="283" t="n">
        <f aca="false">BM121+BM122+BM123</f>
        <v>0</v>
      </c>
      <c r="BN124" s="283" t="n">
        <f aca="false">BN121+BN122+BN123</f>
        <v>0</v>
      </c>
      <c r="BO124" s="283" t="n">
        <f aca="false">BO121+BO122+BO123</f>
        <v>0</v>
      </c>
      <c r="BP124" s="283" t="n">
        <f aca="false">BP121+BP122+BP123</f>
        <v>0</v>
      </c>
      <c r="BQ124" s="283" t="n">
        <f aca="false">BQ121+BQ122+BQ123</f>
        <v>0</v>
      </c>
      <c r="BR124" s="283" t="n">
        <f aca="false">BR121+BR122+BR123</f>
        <v>0</v>
      </c>
      <c r="BS124" s="283" t="n">
        <f aca="false">BS121+BS122+BS123</f>
        <v>0</v>
      </c>
      <c r="BT124" s="283" t="n">
        <f aca="false">BT121+BT122+BT123</f>
        <v>0</v>
      </c>
      <c r="BU124" s="283" t="n">
        <f aca="false">BU121+BU122+BU123</f>
        <v>0</v>
      </c>
      <c r="BV124" s="283" t="n">
        <f aca="false">BV121+BV122+BV123</f>
        <v>0</v>
      </c>
      <c r="BW124" s="283" t="n">
        <f aca="false">BW121+BW122+BW123</f>
        <v>0</v>
      </c>
      <c r="BX124" s="283" t="n">
        <f aca="false">BX121+BX122+BX123</f>
        <v>0</v>
      </c>
      <c r="BY124" s="283" t="n">
        <f aca="false">BY121+BY122+BY123</f>
        <v>0</v>
      </c>
      <c r="BZ124" s="283" t="n">
        <f aca="false">BZ121+BZ122+BZ123</f>
        <v>0</v>
      </c>
      <c r="CA124" s="283" t="n">
        <f aca="false">CA121+CA122+CA123</f>
        <v>0</v>
      </c>
      <c r="CB124" s="283" t="n">
        <f aca="false">CB121+CB122+CB123</f>
        <v>0</v>
      </c>
      <c r="CC124" s="283" t="n">
        <f aca="false">CC121+CC122+CC123</f>
        <v>0</v>
      </c>
      <c r="CD124" s="283" t="n">
        <f aca="false">CD121+CD122+CD123</f>
        <v>0</v>
      </c>
      <c r="CE124" s="283" t="n">
        <f aca="false">CE121+CE122+CE123</f>
        <v>0</v>
      </c>
      <c r="CF124" s="283" t="n">
        <f aca="false">CF121+CF122+CF123</f>
        <v>0</v>
      </c>
      <c r="CG124" s="283" t="n">
        <f aca="false">CG121+CG122+CG123</f>
        <v>0</v>
      </c>
      <c r="CH124" s="283" t="n">
        <f aca="false">CH121+CH122+CH123</f>
        <v>0</v>
      </c>
      <c r="CI124" s="283" t="n">
        <f aca="false">CI121+CI122+CI123</f>
        <v>0</v>
      </c>
      <c r="CJ124" s="283" t="n">
        <f aca="false">CJ121+CJ122+CJ123</f>
        <v>0</v>
      </c>
      <c r="CK124" s="283" t="n">
        <f aca="false">CK121+CK122+CK123</f>
        <v>0</v>
      </c>
      <c r="CL124" s="283" t="n">
        <f aca="false">CL121+CL122+CL123</f>
        <v>0</v>
      </c>
      <c r="CM124" s="283" t="n">
        <f aca="false">CM121+CM122+CM123</f>
        <v>0</v>
      </c>
      <c r="CN124" s="283" t="n">
        <f aca="false">CN121+CN122+CN123</f>
        <v>0</v>
      </c>
      <c r="CO124" s="283" t="n">
        <f aca="false">CO121+CO122+CO123</f>
        <v>0</v>
      </c>
      <c r="CP124" s="283" t="n">
        <f aca="false">CP121+CP122+CP123</f>
        <v>0</v>
      </c>
      <c r="CQ124" s="283" t="n">
        <f aca="false">CQ121+CQ122+CQ123</f>
        <v>0</v>
      </c>
      <c r="CR124" s="283" t="n">
        <f aca="false">CR121+CR122+CR123</f>
        <v>0</v>
      </c>
      <c r="CS124" s="283" t="n">
        <f aca="false">CS121+CS122+CS123</f>
        <v>0</v>
      </c>
      <c r="CT124" s="283" t="n">
        <f aca="false">CT121+CT122+CT123</f>
        <v>0</v>
      </c>
      <c r="CU124" s="283" t="n">
        <f aca="false">CU121+CU122+CU123</f>
        <v>0</v>
      </c>
      <c r="CV124" s="283" t="n">
        <f aca="false">CV121+CV122+CV123</f>
        <v>0</v>
      </c>
      <c r="CW124" s="283" t="n">
        <f aca="false">CW121+CW122+CW123</f>
        <v>0</v>
      </c>
      <c r="CX124" s="283" t="n">
        <f aca="false">CX121+CX122+CX123</f>
        <v>0</v>
      </c>
      <c r="CY124" s="283" t="n">
        <f aca="false">CY121+CY122+CY123</f>
        <v>0</v>
      </c>
      <c r="CZ124" s="283" t="n">
        <f aca="false">CZ121+CZ122+CZ123</f>
        <v>0</v>
      </c>
      <c r="DA124" s="283" t="n">
        <f aca="false">DA121+DA122+DA123</f>
        <v>0</v>
      </c>
      <c r="DB124" s="283" t="n">
        <f aca="false">DB121+DB122+DB123</f>
        <v>0</v>
      </c>
      <c r="DC124" s="283" t="n">
        <f aca="false">DC121+DC122+DC123</f>
        <v>0</v>
      </c>
      <c r="DD124" s="283" t="n">
        <f aca="false">DD121+DD122+DD123</f>
        <v>0</v>
      </c>
      <c r="DE124" s="283" t="n">
        <f aca="false">DE121+DE122+DE123</f>
        <v>0</v>
      </c>
      <c r="DF124" s="283" t="n">
        <f aca="false">DF121+DF122+DF123</f>
        <v>0</v>
      </c>
      <c r="DG124" s="283" t="n">
        <f aca="false">DG121+DG122+DG123</f>
        <v>0</v>
      </c>
      <c r="DH124" s="283" t="n">
        <f aca="false">DH121+DH122+DH123</f>
        <v>0</v>
      </c>
      <c r="DI124" s="283" t="n">
        <f aca="false">DI121+DI122+DI123</f>
        <v>0</v>
      </c>
      <c r="DJ124" s="283" t="n">
        <f aca="false">DJ121+DJ122+DJ123</f>
        <v>0</v>
      </c>
      <c r="DK124" s="283" t="n">
        <f aca="false">DK121+DK122+DK123</f>
        <v>0</v>
      </c>
      <c r="DL124" s="283" t="n">
        <f aca="false">DL121+DL122+DL123</f>
        <v>0</v>
      </c>
      <c r="DM124" s="283" t="n">
        <f aca="false">DM121+DM122+DM123</f>
        <v>0</v>
      </c>
      <c r="DN124" s="283" t="n">
        <f aca="false">DN121+DN122+DN123</f>
        <v>0</v>
      </c>
      <c r="DO124" s="283" t="n">
        <f aca="false">DO121+DO122+DO123</f>
        <v>0</v>
      </c>
      <c r="DP124" s="283" t="n">
        <f aca="false">DP121+DP122+DP123</f>
        <v>0</v>
      </c>
      <c r="DQ124" s="283" t="n">
        <f aca="false">DQ121+DQ122+DQ123</f>
        <v>0</v>
      </c>
      <c r="DR124" s="283" t="n">
        <f aca="false">DR121+DR122+DR123</f>
        <v>0</v>
      </c>
      <c r="DS124" s="283" t="n">
        <f aca="false">DS121+DS122+DS123</f>
        <v>0</v>
      </c>
      <c r="DT124" s="283" t="n">
        <f aca="false">DT121+DT122+DT123</f>
        <v>0</v>
      </c>
      <c r="DU124" s="283" t="n">
        <f aca="false">DU121+DU122+DU123</f>
        <v>0</v>
      </c>
      <c r="DV124" s="283" t="n">
        <f aca="false">DV121+DV122+DV123</f>
        <v>0</v>
      </c>
      <c r="DW124" s="283" t="n">
        <f aca="false">DW121+DW122+DW123</f>
        <v>0</v>
      </c>
      <c r="DX124" s="283" t="n">
        <f aca="false">DX121+DX122+DX123</f>
        <v>0</v>
      </c>
      <c r="DY124" s="283" t="n">
        <f aca="false">DY121+DY122+DY123</f>
        <v>0</v>
      </c>
      <c r="DZ124" s="283" t="n">
        <f aca="false">DZ121+DZ122+DZ123</f>
        <v>0</v>
      </c>
      <c r="EA124" s="283" t="n">
        <f aca="false">EA121+EA122+EA123</f>
        <v>0</v>
      </c>
      <c r="EB124" s="283" t="n">
        <f aca="false">EB121+EB122+EB123</f>
        <v>0</v>
      </c>
      <c r="EC124" s="283" t="n">
        <f aca="false">EC121+EC122+EC123</f>
        <v>0</v>
      </c>
      <c r="ED124" s="283" t="n">
        <f aca="false">ED121+ED122+ED123</f>
        <v>0</v>
      </c>
      <c r="EE124" s="283" t="n">
        <f aca="false">EE121+EE122+EE123</f>
        <v>0</v>
      </c>
      <c r="EF124" s="283" t="n">
        <f aca="false">EF121+EF122+EF123</f>
        <v>0</v>
      </c>
    </row>
    <row r="126" customFormat="false" ht="15" hidden="false" customHeight="false" outlineLevel="0" collapsed="false">
      <c r="A126" s="6" t="s">
        <v>40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</row>
    <row r="127" customFormat="false" ht="15" hidden="false" customHeight="false" outlineLevel="0" collapsed="false">
      <c r="A127" s="36" t="s">
        <v>664</v>
      </c>
      <c r="B127" s="278" t="s">
        <v>21</v>
      </c>
      <c r="C127" s="279" t="n">
        <f aca="false">SUM(E127:EF127)</f>
        <v>759668.28</v>
      </c>
      <c r="E127" s="37" t="n">
        <f aca="false">IF(E6=①통합_가정!$E$16,①통합_가정!$E$536,0)</f>
        <v>0</v>
      </c>
      <c r="F127" s="37" t="n">
        <f aca="false">IF(F6=①통합_가정!$E$16,①통합_가정!$E$536,0)</f>
        <v>0</v>
      </c>
      <c r="G127" s="37" t="n">
        <f aca="false">IF(G6=①통합_가정!$E$16,①통합_가정!$E$536,0)</f>
        <v>0</v>
      </c>
      <c r="H127" s="37" t="n">
        <f aca="false">IF(H6=①통합_가정!$E$16,①통합_가정!$E$536,0)</f>
        <v>0</v>
      </c>
      <c r="I127" s="37" t="n">
        <f aca="false">IF(I6=①통합_가정!$E$16,①통합_가정!$E$536,0)</f>
        <v>0</v>
      </c>
      <c r="J127" s="37" t="n">
        <f aca="false">IF(J6=①통합_가정!$E$16,①통합_가정!$E$536,0)</f>
        <v>0</v>
      </c>
      <c r="K127" s="37" t="n">
        <f aca="false">IF(K6=①통합_가정!$E$16,①통합_가정!$E$536,0)</f>
        <v>0</v>
      </c>
      <c r="L127" s="37" t="n">
        <f aca="false">IF(L6=①통합_가정!$E$16,①통합_가정!$E$536,0)</f>
        <v>0</v>
      </c>
      <c r="M127" s="37" t="n">
        <f aca="false">IF(M6=①통합_가정!$E$16,①통합_가정!$E$536,0)</f>
        <v>0</v>
      </c>
      <c r="N127" s="37" t="n">
        <f aca="false">IF(N6=①통합_가정!$E$16,①통합_가정!$E$536,0)</f>
        <v>0</v>
      </c>
      <c r="O127" s="37" t="n">
        <f aca="false">IF(O6=①통합_가정!$E$16,①통합_가정!$E$536,0)</f>
        <v>0</v>
      </c>
      <c r="P127" s="37" t="n">
        <f aca="false">IF(P6=①통합_가정!$E$16,①통합_가정!$E$536,0)</f>
        <v>0</v>
      </c>
      <c r="Q127" s="37" t="n">
        <f aca="false">IF(Q6=①통합_가정!$E$16,①통합_가정!$E$536,0)</f>
        <v>0</v>
      </c>
      <c r="R127" s="37" t="n">
        <f aca="false">IF(R6=①통합_가정!$E$16,①통합_가정!$E$536,0)</f>
        <v>0</v>
      </c>
      <c r="S127" s="37" t="n">
        <f aca="false">IF(S6=①통합_가정!$E$16,①통합_가정!$E$536,0)</f>
        <v>0</v>
      </c>
      <c r="T127" s="37" t="n">
        <f aca="false">IF(T6=①통합_가정!$E$16,①통합_가정!$E$536,0)</f>
        <v>0</v>
      </c>
      <c r="U127" s="37" t="n">
        <f aca="false">IF(U6=①통합_가정!$E$16,①통합_가정!$E$536,0)</f>
        <v>0</v>
      </c>
      <c r="V127" s="37" t="n">
        <f aca="false">IF(V6=①통합_가정!$E$16,①통합_가정!$E$536,0)</f>
        <v>0</v>
      </c>
      <c r="W127" s="37" t="n">
        <f aca="false">IF(W6=①통합_가정!$E$16,①통합_가정!$E$536,0)</f>
        <v>0</v>
      </c>
      <c r="X127" s="37" t="n">
        <f aca="false">IF(X6=①통합_가정!$E$16,①통합_가정!$E$536,0)</f>
        <v>0</v>
      </c>
      <c r="Y127" s="37" t="n">
        <f aca="false">IF(Y6=①통합_가정!$E$16,①통합_가정!$E$536,0)</f>
        <v>0</v>
      </c>
      <c r="Z127" s="37" t="n">
        <f aca="false">IF(Z6=①통합_가정!$E$16,①통합_가정!$E$536,0)</f>
        <v>0</v>
      </c>
      <c r="AA127" s="37" t="n">
        <f aca="false">IF(AA6=①통합_가정!$E$16,①통합_가정!$E$536,0)</f>
        <v>0</v>
      </c>
      <c r="AB127" s="37" t="n">
        <f aca="false">IF(AB6=①통합_가정!$E$16,①통합_가정!$E$536,0)</f>
        <v>0</v>
      </c>
      <c r="AC127" s="37" t="n">
        <f aca="false">IF(AC6=①통합_가정!$E$16,①통합_가정!$E$536,0)</f>
        <v>0</v>
      </c>
      <c r="AD127" s="37" t="n">
        <f aca="false">IF(AD6=①통합_가정!$E$16,①통합_가정!$E$536,0)</f>
        <v>0</v>
      </c>
      <c r="AE127" s="37" t="n">
        <f aca="false">IF(AE6=①통합_가정!$E$16,①통합_가정!$E$536,0)</f>
        <v>0</v>
      </c>
      <c r="AF127" s="37" t="n">
        <f aca="false">IF(AF6=①통합_가정!$E$16,①통합_가정!$E$536,0)</f>
        <v>0</v>
      </c>
      <c r="AG127" s="37" t="n">
        <f aca="false">IF(AG6=①통합_가정!$E$16,①통합_가정!$E$536,0)</f>
        <v>0</v>
      </c>
      <c r="AH127" s="37" t="n">
        <f aca="false">IF(AH6=①통합_가정!$E$16,①통합_가정!$E$536,0)</f>
        <v>0</v>
      </c>
      <c r="AI127" s="37" t="n">
        <f aca="false">IF(AI6=①통합_가정!$E$16,①통합_가정!$E$536,0)</f>
        <v>0</v>
      </c>
      <c r="AJ127" s="37" t="n">
        <f aca="false">IF(AJ6=①통합_가정!$E$16,①통합_가정!$E$536,0)</f>
        <v>0</v>
      </c>
      <c r="AK127" s="37" t="n">
        <f aca="false">IF(AK6=①통합_가정!$E$16,①통합_가정!$E$536,0)</f>
        <v>0</v>
      </c>
      <c r="AL127" s="37" t="n">
        <f aca="false">IF(AL6=①통합_가정!$E$16,①통합_가정!$E$536,0)</f>
        <v>0</v>
      </c>
      <c r="AM127" s="37" t="n">
        <f aca="false">IF(AM6=①통합_가정!$E$16,①통합_가정!$E$536,0)</f>
        <v>0</v>
      </c>
      <c r="AN127" s="37" t="n">
        <f aca="false">IF(AN6=①통합_가정!$E$16,①통합_가정!$E$536,0)</f>
        <v>0</v>
      </c>
      <c r="AO127" s="37" t="n">
        <f aca="false">IF(AO6=①통합_가정!$E$16,①통합_가정!$E$536,0)</f>
        <v>0</v>
      </c>
      <c r="AP127" s="37" t="n">
        <f aca="false">IF(AP6=①통합_가정!$E$16,①통합_가정!$E$536,0)</f>
        <v>0</v>
      </c>
      <c r="AQ127" s="37" t="n">
        <f aca="false">IF(AQ6=①통합_가정!$E$16,①통합_가정!$E$536,0)</f>
        <v>0</v>
      </c>
      <c r="AR127" s="37" t="n">
        <f aca="false">IF(AR6=①통합_가정!$E$16,①통합_가정!$E$536,0)</f>
        <v>0</v>
      </c>
      <c r="AS127" s="37" t="n">
        <f aca="false">IF(AS6=①통합_가정!$E$16,①통합_가정!$E$536,0)</f>
        <v>0</v>
      </c>
      <c r="AT127" s="37" t="n">
        <f aca="false">IF(AT6=①통합_가정!$E$16,①통합_가정!$E$536,0)</f>
        <v>0</v>
      </c>
      <c r="AU127" s="37" t="n">
        <f aca="false">IF(AU6=①통합_가정!$E$16,①통합_가정!$E$536,0)</f>
        <v>0</v>
      </c>
      <c r="AV127" s="37" t="n">
        <f aca="false">IF(AV6=①통합_가정!$E$16,①통합_가정!$E$536,0)</f>
        <v>0</v>
      </c>
      <c r="AW127" s="37" t="n">
        <f aca="false">IF(AW6=①통합_가정!$E$16,①통합_가정!$E$536,0)</f>
        <v>0</v>
      </c>
      <c r="AX127" s="37" t="n">
        <f aca="false">IF(AX6=①통합_가정!$E$16,①통합_가정!$E$536,0)</f>
        <v>0</v>
      </c>
      <c r="AY127" s="37" t="n">
        <f aca="false">IF(AY6=①통합_가정!$E$16,①통합_가정!$E$536,0)</f>
        <v>0</v>
      </c>
      <c r="AZ127" s="37" t="n">
        <f aca="false">IF(AZ6=①통합_가정!$E$16,①통합_가정!$E$536,0)</f>
        <v>0</v>
      </c>
      <c r="BA127" s="37" t="n">
        <f aca="false">IF(BA6=①통합_가정!$E$16,①통합_가정!$E$536,0)</f>
        <v>0</v>
      </c>
      <c r="BB127" s="37" t="n">
        <f aca="false">IF(BB6=①통합_가정!$E$16,①통합_가정!$E$536,0)</f>
        <v>0</v>
      </c>
      <c r="BC127" s="37" t="n">
        <f aca="false">IF(BC6=①통합_가정!$E$16,①통합_가정!$E$536,0)</f>
        <v>0</v>
      </c>
      <c r="BD127" s="37" t="n">
        <f aca="false">IF(BD6=①통합_가정!$E$16,①통합_가정!$E$536,0)</f>
        <v>0</v>
      </c>
      <c r="BE127" s="37" t="n">
        <f aca="false">IF(BE6=①통합_가정!$E$16,①통합_가정!$E$536,0)</f>
        <v>0</v>
      </c>
      <c r="BF127" s="37" t="n">
        <f aca="false">IF(BF6=①통합_가정!$E$16,①통합_가정!$E$536,0)</f>
        <v>0</v>
      </c>
      <c r="BG127" s="37" t="n">
        <f aca="false">IF(BG6=①통합_가정!$E$16,①통합_가정!$E$536,0)</f>
        <v>0</v>
      </c>
      <c r="BH127" s="37" t="n">
        <f aca="false">IF(BH6=①통합_가정!$E$16,①통합_가정!$E$536,0)</f>
        <v>0</v>
      </c>
      <c r="BI127" s="37" t="n">
        <f aca="false">IF(BI6=①통합_가정!$E$16,①통합_가정!$E$536,0)</f>
        <v>0</v>
      </c>
      <c r="BJ127" s="37" t="n">
        <f aca="false">IF(BJ6=①통합_가정!$E$16,①통합_가정!$E$536,0)</f>
        <v>0</v>
      </c>
      <c r="BK127" s="37" t="n">
        <f aca="false">IF(BK6=①통합_가정!$E$16,①통합_가정!$E$536,0)</f>
        <v>0</v>
      </c>
      <c r="BL127" s="37" t="n">
        <f aca="false">IF(BL6=①통합_가정!$E$16,①통합_가정!$E$536,0)</f>
        <v>759668.28</v>
      </c>
      <c r="BM127" s="37" t="n">
        <f aca="false">IF(BM6=①통합_가정!$E$16,①통합_가정!$E$536,0)</f>
        <v>0</v>
      </c>
      <c r="BN127" s="37" t="n">
        <f aca="false">IF(BN6=①통합_가정!$E$16,①통합_가정!$E$536,0)</f>
        <v>0</v>
      </c>
      <c r="BO127" s="37" t="n">
        <f aca="false">IF(BO6=①통합_가정!$E$16,①통합_가정!$E$536,0)</f>
        <v>0</v>
      </c>
      <c r="BP127" s="37" t="n">
        <f aca="false">IF(BP6=①통합_가정!$E$16,①통합_가정!$E$536,0)</f>
        <v>0</v>
      </c>
      <c r="BQ127" s="37" t="n">
        <f aca="false">IF(BQ6=①통합_가정!$E$16,①통합_가정!$E$536,0)</f>
        <v>0</v>
      </c>
      <c r="BR127" s="37" t="n">
        <f aca="false">IF(BR6=①통합_가정!$E$16,①통합_가정!$E$536,0)</f>
        <v>0</v>
      </c>
      <c r="BS127" s="37" t="n">
        <f aca="false">IF(BS6=①통합_가정!$E$16,①통합_가정!$E$536,0)</f>
        <v>0</v>
      </c>
      <c r="BT127" s="37" t="n">
        <f aca="false">IF(BT6=①통합_가정!$E$16,①통합_가정!$E$536,0)</f>
        <v>0</v>
      </c>
      <c r="BU127" s="37" t="n">
        <f aca="false">IF(BU6=①통합_가정!$E$16,①통합_가정!$E$536,0)</f>
        <v>0</v>
      </c>
      <c r="BV127" s="37" t="n">
        <f aca="false">IF(BV6=①통합_가정!$E$16,①통합_가정!$E$536,0)</f>
        <v>0</v>
      </c>
      <c r="BW127" s="37" t="n">
        <f aca="false">IF(BW6=①통합_가정!$E$16,①통합_가정!$E$536,0)</f>
        <v>0</v>
      </c>
      <c r="BX127" s="37" t="n">
        <f aca="false">IF(BX6=①통합_가정!$E$16,①통합_가정!$E$536,0)</f>
        <v>0</v>
      </c>
      <c r="BY127" s="37" t="n">
        <f aca="false">IF(BY6=①통합_가정!$E$16,①통합_가정!$E$536,0)</f>
        <v>0</v>
      </c>
      <c r="BZ127" s="37" t="n">
        <f aca="false">IF(BZ6=①통합_가정!$E$16,①통합_가정!$E$536,0)</f>
        <v>0</v>
      </c>
      <c r="CA127" s="37" t="n">
        <f aca="false">IF(CA6=①통합_가정!$E$16,①통합_가정!$E$536,0)</f>
        <v>0</v>
      </c>
      <c r="CB127" s="37" t="n">
        <f aca="false">IF(CB6=①통합_가정!$E$16,①통합_가정!$E$536,0)</f>
        <v>0</v>
      </c>
      <c r="CC127" s="37" t="n">
        <f aca="false">IF(CC6=①통합_가정!$E$16,①통합_가정!$E$536,0)</f>
        <v>0</v>
      </c>
      <c r="CD127" s="37" t="n">
        <f aca="false">IF(CD6=①통합_가정!$E$16,①통합_가정!$E$536,0)</f>
        <v>0</v>
      </c>
      <c r="CE127" s="37" t="n">
        <f aca="false">IF(CE6=①통합_가정!$E$16,①통합_가정!$E$536,0)</f>
        <v>0</v>
      </c>
      <c r="CF127" s="37" t="n">
        <f aca="false">IF(CF6=①통합_가정!$E$16,①통합_가정!$E$536,0)</f>
        <v>0</v>
      </c>
      <c r="CG127" s="37" t="n">
        <f aca="false">IF(CG6=①통합_가정!$E$16,①통합_가정!$E$536,0)</f>
        <v>0</v>
      </c>
      <c r="CH127" s="37" t="n">
        <f aca="false">IF(CH6=①통합_가정!$E$16,①통합_가정!$E$536,0)</f>
        <v>0</v>
      </c>
      <c r="CI127" s="37" t="n">
        <f aca="false">IF(CI6=①통합_가정!$E$16,①통합_가정!$E$536,0)</f>
        <v>0</v>
      </c>
      <c r="CJ127" s="37" t="n">
        <f aca="false">IF(CJ6=①통합_가정!$E$16,①통합_가정!$E$536,0)</f>
        <v>0</v>
      </c>
      <c r="CK127" s="37" t="n">
        <f aca="false">IF(CK6=①통합_가정!$E$16,①통합_가정!$E$536,0)</f>
        <v>0</v>
      </c>
      <c r="CL127" s="37" t="n">
        <f aca="false">IF(CL6=①통합_가정!$E$16,①통합_가정!$E$536,0)</f>
        <v>0</v>
      </c>
      <c r="CM127" s="37" t="n">
        <f aca="false">IF(CM6=①통합_가정!$E$16,①통합_가정!$E$536,0)</f>
        <v>0</v>
      </c>
      <c r="CN127" s="37" t="n">
        <f aca="false">IF(CN6=①통합_가정!$E$16,①통합_가정!$E$536,0)</f>
        <v>0</v>
      </c>
      <c r="CO127" s="37" t="n">
        <f aca="false">IF(CO6=①통합_가정!$E$16,①통합_가정!$E$536,0)</f>
        <v>0</v>
      </c>
      <c r="CP127" s="37" t="n">
        <f aca="false">IF(CP6=①통합_가정!$E$16,①통합_가정!$E$536,0)</f>
        <v>0</v>
      </c>
      <c r="CQ127" s="37" t="n">
        <f aca="false">IF(CQ6=①통합_가정!$E$16,①통합_가정!$E$536,0)</f>
        <v>0</v>
      </c>
      <c r="CR127" s="37" t="n">
        <f aca="false">IF(CR6=①통합_가정!$E$16,①통합_가정!$E$536,0)</f>
        <v>0</v>
      </c>
      <c r="CS127" s="37" t="n">
        <f aca="false">IF(CS6=①통합_가정!$E$16,①통합_가정!$E$536,0)</f>
        <v>0</v>
      </c>
      <c r="CT127" s="37" t="n">
        <f aca="false">IF(CT6=①통합_가정!$E$16,①통합_가정!$E$536,0)</f>
        <v>0</v>
      </c>
      <c r="CU127" s="37" t="n">
        <f aca="false">IF(CU6=①통합_가정!$E$16,①통합_가정!$E$536,0)</f>
        <v>0</v>
      </c>
      <c r="CV127" s="37" t="n">
        <f aca="false">IF(CV6=①통합_가정!$E$16,①통합_가정!$E$536,0)</f>
        <v>0</v>
      </c>
      <c r="CW127" s="37" t="n">
        <f aca="false">IF(CW6=①통합_가정!$E$16,①통합_가정!$E$536,0)</f>
        <v>0</v>
      </c>
      <c r="CX127" s="37" t="n">
        <f aca="false">IF(CX6=①통합_가정!$E$16,①통합_가정!$E$536,0)</f>
        <v>0</v>
      </c>
      <c r="CY127" s="37" t="n">
        <f aca="false">IF(CY6=①통합_가정!$E$16,①통합_가정!$E$536,0)</f>
        <v>0</v>
      </c>
      <c r="CZ127" s="37" t="n">
        <f aca="false">IF(CZ6=①통합_가정!$E$16,①통합_가정!$E$536,0)</f>
        <v>0</v>
      </c>
      <c r="DA127" s="37" t="n">
        <f aca="false">IF(DA6=①통합_가정!$E$16,①통합_가정!$E$536,0)</f>
        <v>0</v>
      </c>
      <c r="DB127" s="37" t="n">
        <f aca="false">IF(DB6=①통합_가정!$E$16,①통합_가정!$E$536,0)</f>
        <v>0</v>
      </c>
      <c r="DC127" s="37" t="n">
        <f aca="false">IF(DC6=①통합_가정!$E$16,①통합_가정!$E$536,0)</f>
        <v>0</v>
      </c>
      <c r="DD127" s="37" t="n">
        <f aca="false">IF(DD6=①통합_가정!$E$16,①통합_가정!$E$536,0)</f>
        <v>0</v>
      </c>
      <c r="DE127" s="37" t="n">
        <f aca="false">IF(DE6=①통합_가정!$E$16,①통합_가정!$E$536,0)</f>
        <v>0</v>
      </c>
      <c r="DF127" s="37" t="n">
        <f aca="false">IF(DF6=①통합_가정!$E$16,①통합_가정!$E$536,0)</f>
        <v>0</v>
      </c>
      <c r="DG127" s="37" t="n">
        <f aca="false">IF(DG6=①통합_가정!$E$16,①통합_가정!$E$536,0)</f>
        <v>0</v>
      </c>
      <c r="DH127" s="37" t="n">
        <f aca="false">IF(DH6=①통합_가정!$E$16,①통합_가정!$E$536,0)</f>
        <v>0</v>
      </c>
      <c r="DI127" s="37" t="n">
        <f aca="false">IF(DI6=①통합_가정!$E$16,①통합_가정!$E$536,0)</f>
        <v>0</v>
      </c>
      <c r="DJ127" s="37" t="n">
        <f aca="false">IF(DJ6=①통합_가정!$E$16,①통합_가정!$E$536,0)</f>
        <v>0</v>
      </c>
      <c r="DK127" s="37" t="n">
        <f aca="false">IF(DK6=①통합_가정!$E$16,①통합_가정!$E$536,0)</f>
        <v>0</v>
      </c>
      <c r="DL127" s="37" t="n">
        <f aca="false">IF(DL6=①통합_가정!$E$16,①통합_가정!$E$536,0)</f>
        <v>0</v>
      </c>
      <c r="DM127" s="37" t="n">
        <f aca="false">IF(DM6=①통합_가정!$E$16,①통합_가정!$E$536,0)</f>
        <v>0</v>
      </c>
      <c r="DN127" s="37" t="n">
        <f aca="false">IF(DN6=①통합_가정!$E$16,①통합_가정!$E$536,0)</f>
        <v>0</v>
      </c>
      <c r="DO127" s="37" t="n">
        <f aca="false">IF(DO6=①통합_가정!$E$16,①통합_가정!$E$536,0)</f>
        <v>0</v>
      </c>
      <c r="DP127" s="37" t="n">
        <f aca="false">IF(DP6=①통합_가정!$E$16,①통합_가정!$E$536,0)</f>
        <v>0</v>
      </c>
      <c r="DQ127" s="37" t="n">
        <f aca="false">IF(DQ6=①통합_가정!$E$16,①통합_가정!$E$536,0)</f>
        <v>0</v>
      </c>
      <c r="DR127" s="37" t="n">
        <f aca="false">IF(DR6=①통합_가정!$E$16,①통합_가정!$E$536,0)</f>
        <v>0</v>
      </c>
      <c r="DS127" s="37" t="n">
        <f aca="false">IF(DS6=①통합_가정!$E$16,①통합_가정!$E$536,0)</f>
        <v>0</v>
      </c>
      <c r="DT127" s="37" t="n">
        <f aca="false">IF(DT6=①통합_가정!$E$16,①통합_가정!$E$536,0)</f>
        <v>0</v>
      </c>
      <c r="DU127" s="37" t="n">
        <f aca="false">IF(DU6=①통합_가정!$E$16,①통합_가정!$E$536,0)</f>
        <v>0</v>
      </c>
      <c r="DV127" s="37" t="n">
        <f aca="false">IF(DV6=①통합_가정!$E$16,①통합_가정!$E$536,0)</f>
        <v>0</v>
      </c>
      <c r="DW127" s="37" t="n">
        <f aca="false">IF(DW6=①통합_가정!$E$16,①통합_가정!$E$536,0)</f>
        <v>0</v>
      </c>
      <c r="DX127" s="37" t="n">
        <f aca="false">IF(DX6=①통합_가정!$E$16,①통합_가정!$E$536,0)</f>
        <v>0</v>
      </c>
      <c r="DY127" s="37" t="n">
        <f aca="false">IF(DY6=①통합_가정!$E$16,①통합_가정!$E$536,0)</f>
        <v>0</v>
      </c>
      <c r="DZ127" s="37" t="n">
        <f aca="false">IF(DZ6=①통합_가정!$E$16,①통합_가정!$E$536,0)</f>
        <v>0</v>
      </c>
      <c r="EA127" s="37" t="n">
        <f aca="false">IF(EA6=①통합_가정!$E$16,①통합_가정!$E$536,0)</f>
        <v>0</v>
      </c>
      <c r="EB127" s="37" t="n">
        <f aca="false">IF(EB6=①통합_가정!$E$16,①통합_가정!$E$536,0)</f>
        <v>0</v>
      </c>
      <c r="EC127" s="37" t="n">
        <f aca="false">IF(EC6=①통합_가정!$E$16,①통합_가정!$E$536,0)</f>
        <v>0</v>
      </c>
      <c r="ED127" s="37" t="n">
        <f aca="false">IF(ED6=①통합_가정!$E$16,①통합_가정!$E$536,0)</f>
        <v>0</v>
      </c>
      <c r="EE127" s="37" t="n">
        <f aca="false">IF(EE6=①통합_가정!$E$16,①통합_가정!$E$536,0)</f>
        <v>0</v>
      </c>
      <c r="EF127" s="37" t="n">
        <f aca="false">IF(EF6=①통합_가정!$E$16,①통합_가정!$E$536,0)</f>
        <v>0</v>
      </c>
    </row>
    <row r="128" customFormat="false" ht="15" hidden="false" customHeight="false" outlineLevel="0" collapsed="false">
      <c r="A128" s="36" t="s">
        <v>665</v>
      </c>
      <c r="B128" s="278" t="s">
        <v>21</v>
      </c>
      <c r="C128" s="279" t="n">
        <f aca="false">SUM(E128:EF128)</f>
        <v>7596.6828</v>
      </c>
      <c r="E128" s="37" t="n">
        <f aca="false">IF(E6=①통합_가정!$E$16,①통합_가정!$E$538,0)</f>
        <v>0</v>
      </c>
      <c r="F128" s="37" t="n">
        <f aca="false">IF(F6=①통합_가정!$E$16,①통합_가정!$E$538,0)</f>
        <v>0</v>
      </c>
      <c r="G128" s="37" t="n">
        <f aca="false">IF(G6=①통합_가정!$E$16,①통합_가정!$E$538,0)</f>
        <v>0</v>
      </c>
      <c r="H128" s="37" t="n">
        <f aca="false">IF(H6=①통합_가정!$E$16,①통합_가정!$E$538,0)</f>
        <v>0</v>
      </c>
      <c r="I128" s="37" t="n">
        <f aca="false">IF(I6=①통합_가정!$E$16,①통합_가정!$E$538,0)</f>
        <v>0</v>
      </c>
      <c r="J128" s="37" t="n">
        <f aca="false">IF(J6=①통합_가정!$E$16,①통합_가정!$E$538,0)</f>
        <v>0</v>
      </c>
      <c r="K128" s="37" t="n">
        <f aca="false">IF(K6=①통합_가정!$E$16,①통합_가정!$E$538,0)</f>
        <v>0</v>
      </c>
      <c r="L128" s="37" t="n">
        <f aca="false">IF(L6=①통합_가정!$E$16,①통합_가정!$E$538,0)</f>
        <v>0</v>
      </c>
      <c r="M128" s="37" t="n">
        <f aca="false">IF(M6=①통합_가정!$E$16,①통합_가정!$E$538,0)</f>
        <v>0</v>
      </c>
      <c r="N128" s="37" t="n">
        <f aca="false">IF(N6=①통합_가정!$E$16,①통합_가정!$E$538,0)</f>
        <v>0</v>
      </c>
      <c r="O128" s="37" t="n">
        <f aca="false">IF(O6=①통합_가정!$E$16,①통합_가정!$E$538,0)</f>
        <v>0</v>
      </c>
      <c r="P128" s="37" t="n">
        <f aca="false">IF(P6=①통합_가정!$E$16,①통합_가정!$E$538,0)</f>
        <v>0</v>
      </c>
      <c r="Q128" s="37" t="n">
        <f aca="false">IF(Q6=①통합_가정!$E$16,①통합_가정!$E$538,0)</f>
        <v>0</v>
      </c>
      <c r="R128" s="37" t="n">
        <f aca="false">IF(R6=①통합_가정!$E$16,①통합_가정!$E$538,0)</f>
        <v>0</v>
      </c>
      <c r="S128" s="37" t="n">
        <f aca="false">IF(S6=①통합_가정!$E$16,①통합_가정!$E$538,0)</f>
        <v>0</v>
      </c>
      <c r="T128" s="37" t="n">
        <f aca="false">IF(T6=①통합_가정!$E$16,①통합_가정!$E$538,0)</f>
        <v>0</v>
      </c>
      <c r="U128" s="37" t="n">
        <f aca="false">IF(U6=①통합_가정!$E$16,①통합_가정!$E$538,0)</f>
        <v>0</v>
      </c>
      <c r="V128" s="37" t="n">
        <f aca="false">IF(V6=①통합_가정!$E$16,①통합_가정!$E$538,0)</f>
        <v>0</v>
      </c>
      <c r="W128" s="37" t="n">
        <f aca="false">IF(W6=①통합_가정!$E$16,①통합_가정!$E$538,0)</f>
        <v>0</v>
      </c>
      <c r="X128" s="37" t="n">
        <f aca="false">IF(X6=①통합_가정!$E$16,①통합_가정!$E$538,0)</f>
        <v>0</v>
      </c>
      <c r="Y128" s="37" t="n">
        <f aca="false">IF(Y6=①통합_가정!$E$16,①통합_가정!$E$538,0)</f>
        <v>0</v>
      </c>
      <c r="Z128" s="37" t="n">
        <f aca="false">IF(Z6=①통합_가정!$E$16,①통합_가정!$E$538,0)</f>
        <v>0</v>
      </c>
      <c r="AA128" s="37" t="n">
        <f aca="false">IF(AA6=①통합_가정!$E$16,①통합_가정!$E$538,0)</f>
        <v>0</v>
      </c>
      <c r="AB128" s="37" t="n">
        <f aca="false">IF(AB6=①통합_가정!$E$16,①통합_가정!$E$538,0)</f>
        <v>0</v>
      </c>
      <c r="AC128" s="37" t="n">
        <f aca="false">IF(AC6=①통합_가정!$E$16,①통합_가정!$E$538,0)</f>
        <v>0</v>
      </c>
      <c r="AD128" s="37" t="n">
        <f aca="false">IF(AD6=①통합_가정!$E$16,①통합_가정!$E$538,0)</f>
        <v>0</v>
      </c>
      <c r="AE128" s="37" t="n">
        <f aca="false">IF(AE6=①통합_가정!$E$16,①통합_가정!$E$538,0)</f>
        <v>0</v>
      </c>
      <c r="AF128" s="37" t="n">
        <f aca="false">IF(AF6=①통합_가정!$E$16,①통합_가정!$E$538,0)</f>
        <v>0</v>
      </c>
      <c r="AG128" s="37" t="n">
        <f aca="false">IF(AG6=①통합_가정!$E$16,①통합_가정!$E$538,0)</f>
        <v>0</v>
      </c>
      <c r="AH128" s="37" t="n">
        <f aca="false">IF(AH6=①통합_가정!$E$16,①통합_가정!$E$538,0)</f>
        <v>0</v>
      </c>
      <c r="AI128" s="37" t="n">
        <f aca="false">IF(AI6=①통합_가정!$E$16,①통합_가정!$E$538,0)</f>
        <v>0</v>
      </c>
      <c r="AJ128" s="37" t="n">
        <f aca="false">IF(AJ6=①통합_가정!$E$16,①통합_가정!$E$538,0)</f>
        <v>0</v>
      </c>
      <c r="AK128" s="37" t="n">
        <f aca="false">IF(AK6=①통합_가정!$E$16,①통합_가정!$E$538,0)</f>
        <v>0</v>
      </c>
      <c r="AL128" s="37" t="n">
        <f aca="false">IF(AL6=①통합_가정!$E$16,①통합_가정!$E$538,0)</f>
        <v>0</v>
      </c>
      <c r="AM128" s="37" t="n">
        <f aca="false">IF(AM6=①통합_가정!$E$16,①통합_가정!$E$538,0)</f>
        <v>0</v>
      </c>
      <c r="AN128" s="37" t="n">
        <f aca="false">IF(AN6=①통합_가정!$E$16,①통합_가정!$E$538,0)</f>
        <v>0</v>
      </c>
      <c r="AO128" s="37" t="n">
        <f aca="false">IF(AO6=①통합_가정!$E$16,①통합_가정!$E$538,0)</f>
        <v>0</v>
      </c>
      <c r="AP128" s="37" t="n">
        <f aca="false">IF(AP6=①통합_가정!$E$16,①통합_가정!$E$538,0)</f>
        <v>0</v>
      </c>
      <c r="AQ128" s="37" t="n">
        <f aca="false">IF(AQ6=①통합_가정!$E$16,①통합_가정!$E$538,0)</f>
        <v>0</v>
      </c>
      <c r="AR128" s="37" t="n">
        <f aca="false">IF(AR6=①통합_가정!$E$16,①통합_가정!$E$538,0)</f>
        <v>0</v>
      </c>
      <c r="AS128" s="37" t="n">
        <f aca="false">IF(AS6=①통합_가정!$E$16,①통합_가정!$E$538,0)</f>
        <v>0</v>
      </c>
      <c r="AT128" s="37" t="n">
        <f aca="false">IF(AT6=①통합_가정!$E$16,①통합_가정!$E$538,0)</f>
        <v>0</v>
      </c>
      <c r="AU128" s="37" t="n">
        <f aca="false">IF(AU6=①통합_가정!$E$16,①통합_가정!$E$538,0)</f>
        <v>0</v>
      </c>
      <c r="AV128" s="37" t="n">
        <f aca="false">IF(AV6=①통합_가정!$E$16,①통합_가정!$E$538,0)</f>
        <v>0</v>
      </c>
      <c r="AW128" s="37" t="n">
        <f aca="false">IF(AW6=①통합_가정!$E$16,①통합_가정!$E$538,0)</f>
        <v>0</v>
      </c>
      <c r="AX128" s="37" t="n">
        <f aca="false">IF(AX6=①통합_가정!$E$16,①통합_가정!$E$538,0)</f>
        <v>0</v>
      </c>
      <c r="AY128" s="37" t="n">
        <f aca="false">IF(AY6=①통합_가정!$E$16,①통합_가정!$E$538,0)</f>
        <v>0</v>
      </c>
      <c r="AZ128" s="37" t="n">
        <f aca="false">IF(AZ6=①통합_가정!$E$16,①통합_가정!$E$538,0)</f>
        <v>0</v>
      </c>
      <c r="BA128" s="37" t="n">
        <f aca="false">IF(BA6=①통합_가정!$E$16,①통합_가정!$E$538,0)</f>
        <v>0</v>
      </c>
      <c r="BB128" s="37" t="n">
        <f aca="false">IF(BB6=①통합_가정!$E$16,①통합_가정!$E$538,0)</f>
        <v>0</v>
      </c>
      <c r="BC128" s="37" t="n">
        <f aca="false">IF(BC6=①통합_가정!$E$16,①통합_가정!$E$538,0)</f>
        <v>0</v>
      </c>
      <c r="BD128" s="37" t="n">
        <f aca="false">IF(BD6=①통합_가정!$E$16,①통합_가정!$E$538,0)</f>
        <v>0</v>
      </c>
      <c r="BE128" s="37" t="n">
        <f aca="false">IF(BE6=①통합_가정!$E$16,①통합_가정!$E$538,0)</f>
        <v>0</v>
      </c>
      <c r="BF128" s="37" t="n">
        <f aca="false">IF(BF6=①통합_가정!$E$16,①통합_가정!$E$538,0)</f>
        <v>0</v>
      </c>
      <c r="BG128" s="37" t="n">
        <f aca="false">IF(BG6=①통합_가정!$E$16,①통합_가정!$E$538,0)</f>
        <v>0</v>
      </c>
      <c r="BH128" s="37" t="n">
        <f aca="false">IF(BH6=①통합_가정!$E$16,①통합_가정!$E$538,0)</f>
        <v>0</v>
      </c>
      <c r="BI128" s="37" t="n">
        <f aca="false">IF(BI6=①통합_가정!$E$16,①통합_가정!$E$538,0)</f>
        <v>0</v>
      </c>
      <c r="BJ128" s="37" t="n">
        <f aca="false">IF(BJ6=①통합_가정!$E$16,①통합_가정!$E$538,0)</f>
        <v>0</v>
      </c>
      <c r="BK128" s="37" t="n">
        <f aca="false">IF(BK6=①통합_가정!$E$16,①통합_가정!$E$538,0)</f>
        <v>0</v>
      </c>
      <c r="BL128" s="37" t="n">
        <f aca="false">IF(BL6=①통합_가정!$E$16,①통합_가정!$E$538,0)</f>
        <v>7596.6828</v>
      </c>
      <c r="BM128" s="37" t="n">
        <f aca="false">IF(BM6=①통합_가정!$E$16,①통합_가정!$E$538,0)</f>
        <v>0</v>
      </c>
      <c r="BN128" s="37" t="n">
        <f aca="false">IF(BN6=①통합_가정!$E$16,①통합_가정!$E$538,0)</f>
        <v>0</v>
      </c>
      <c r="BO128" s="37" t="n">
        <f aca="false">IF(BO6=①통합_가정!$E$16,①통합_가정!$E$538,0)</f>
        <v>0</v>
      </c>
      <c r="BP128" s="37" t="n">
        <f aca="false">IF(BP6=①통합_가정!$E$16,①통합_가정!$E$538,0)</f>
        <v>0</v>
      </c>
      <c r="BQ128" s="37" t="n">
        <f aca="false">IF(BQ6=①통합_가정!$E$16,①통합_가정!$E$538,0)</f>
        <v>0</v>
      </c>
      <c r="BR128" s="37" t="n">
        <f aca="false">IF(BR6=①통합_가정!$E$16,①통합_가정!$E$538,0)</f>
        <v>0</v>
      </c>
      <c r="BS128" s="37" t="n">
        <f aca="false">IF(BS6=①통합_가정!$E$16,①통합_가정!$E$538,0)</f>
        <v>0</v>
      </c>
      <c r="BT128" s="37" t="n">
        <f aca="false">IF(BT6=①통합_가정!$E$16,①통합_가정!$E$538,0)</f>
        <v>0</v>
      </c>
      <c r="BU128" s="37" t="n">
        <f aca="false">IF(BU6=①통합_가정!$E$16,①통합_가정!$E$538,0)</f>
        <v>0</v>
      </c>
      <c r="BV128" s="37" t="n">
        <f aca="false">IF(BV6=①통합_가정!$E$16,①통합_가정!$E$538,0)</f>
        <v>0</v>
      </c>
      <c r="BW128" s="37" t="n">
        <f aca="false">IF(BW6=①통합_가정!$E$16,①통합_가정!$E$538,0)</f>
        <v>0</v>
      </c>
      <c r="BX128" s="37" t="n">
        <f aca="false">IF(BX6=①통합_가정!$E$16,①통합_가정!$E$538,0)</f>
        <v>0</v>
      </c>
      <c r="BY128" s="37" t="n">
        <f aca="false">IF(BY6=①통합_가정!$E$16,①통합_가정!$E$538,0)</f>
        <v>0</v>
      </c>
      <c r="BZ128" s="37" t="n">
        <f aca="false">IF(BZ6=①통합_가정!$E$16,①통합_가정!$E$538,0)</f>
        <v>0</v>
      </c>
      <c r="CA128" s="37" t="n">
        <f aca="false">IF(CA6=①통합_가정!$E$16,①통합_가정!$E$538,0)</f>
        <v>0</v>
      </c>
      <c r="CB128" s="37" t="n">
        <f aca="false">IF(CB6=①통합_가정!$E$16,①통합_가정!$E$538,0)</f>
        <v>0</v>
      </c>
      <c r="CC128" s="37" t="n">
        <f aca="false">IF(CC6=①통합_가정!$E$16,①통합_가정!$E$538,0)</f>
        <v>0</v>
      </c>
      <c r="CD128" s="37" t="n">
        <f aca="false">IF(CD6=①통합_가정!$E$16,①통합_가정!$E$538,0)</f>
        <v>0</v>
      </c>
      <c r="CE128" s="37" t="n">
        <f aca="false">IF(CE6=①통합_가정!$E$16,①통합_가정!$E$538,0)</f>
        <v>0</v>
      </c>
      <c r="CF128" s="37" t="n">
        <f aca="false">IF(CF6=①통합_가정!$E$16,①통합_가정!$E$538,0)</f>
        <v>0</v>
      </c>
      <c r="CG128" s="37" t="n">
        <f aca="false">IF(CG6=①통합_가정!$E$16,①통합_가정!$E$538,0)</f>
        <v>0</v>
      </c>
      <c r="CH128" s="37" t="n">
        <f aca="false">IF(CH6=①통합_가정!$E$16,①통합_가정!$E$538,0)</f>
        <v>0</v>
      </c>
      <c r="CI128" s="37" t="n">
        <f aca="false">IF(CI6=①통합_가정!$E$16,①통합_가정!$E$538,0)</f>
        <v>0</v>
      </c>
      <c r="CJ128" s="37" t="n">
        <f aca="false">IF(CJ6=①통합_가정!$E$16,①통합_가정!$E$538,0)</f>
        <v>0</v>
      </c>
      <c r="CK128" s="37" t="n">
        <f aca="false">IF(CK6=①통합_가정!$E$16,①통합_가정!$E$538,0)</f>
        <v>0</v>
      </c>
      <c r="CL128" s="37" t="n">
        <f aca="false">IF(CL6=①통합_가정!$E$16,①통합_가정!$E$538,0)</f>
        <v>0</v>
      </c>
      <c r="CM128" s="37" t="n">
        <f aca="false">IF(CM6=①통합_가정!$E$16,①통합_가정!$E$538,0)</f>
        <v>0</v>
      </c>
      <c r="CN128" s="37" t="n">
        <f aca="false">IF(CN6=①통합_가정!$E$16,①통합_가정!$E$538,0)</f>
        <v>0</v>
      </c>
      <c r="CO128" s="37" t="n">
        <f aca="false">IF(CO6=①통합_가정!$E$16,①통합_가정!$E$538,0)</f>
        <v>0</v>
      </c>
      <c r="CP128" s="37" t="n">
        <f aca="false">IF(CP6=①통합_가정!$E$16,①통합_가정!$E$538,0)</f>
        <v>0</v>
      </c>
      <c r="CQ128" s="37" t="n">
        <f aca="false">IF(CQ6=①통합_가정!$E$16,①통합_가정!$E$538,0)</f>
        <v>0</v>
      </c>
      <c r="CR128" s="37" t="n">
        <f aca="false">IF(CR6=①통합_가정!$E$16,①통합_가정!$E$538,0)</f>
        <v>0</v>
      </c>
      <c r="CS128" s="37" t="n">
        <f aca="false">IF(CS6=①통합_가정!$E$16,①통합_가정!$E$538,0)</f>
        <v>0</v>
      </c>
      <c r="CT128" s="37" t="n">
        <f aca="false">IF(CT6=①통합_가정!$E$16,①통합_가정!$E$538,0)</f>
        <v>0</v>
      </c>
      <c r="CU128" s="37" t="n">
        <f aca="false">IF(CU6=①통합_가정!$E$16,①통합_가정!$E$538,0)</f>
        <v>0</v>
      </c>
      <c r="CV128" s="37" t="n">
        <f aca="false">IF(CV6=①통합_가정!$E$16,①통합_가정!$E$538,0)</f>
        <v>0</v>
      </c>
      <c r="CW128" s="37" t="n">
        <f aca="false">IF(CW6=①통합_가정!$E$16,①통합_가정!$E$538,0)</f>
        <v>0</v>
      </c>
      <c r="CX128" s="37" t="n">
        <f aca="false">IF(CX6=①통합_가정!$E$16,①통합_가정!$E$538,0)</f>
        <v>0</v>
      </c>
      <c r="CY128" s="37" t="n">
        <f aca="false">IF(CY6=①통합_가정!$E$16,①통합_가정!$E$538,0)</f>
        <v>0</v>
      </c>
      <c r="CZ128" s="37" t="n">
        <f aca="false">IF(CZ6=①통합_가정!$E$16,①통합_가정!$E$538,0)</f>
        <v>0</v>
      </c>
      <c r="DA128" s="37" t="n">
        <f aca="false">IF(DA6=①통합_가정!$E$16,①통합_가정!$E$538,0)</f>
        <v>0</v>
      </c>
      <c r="DB128" s="37" t="n">
        <f aca="false">IF(DB6=①통합_가정!$E$16,①통합_가정!$E$538,0)</f>
        <v>0</v>
      </c>
      <c r="DC128" s="37" t="n">
        <f aca="false">IF(DC6=①통합_가정!$E$16,①통합_가정!$E$538,0)</f>
        <v>0</v>
      </c>
      <c r="DD128" s="37" t="n">
        <f aca="false">IF(DD6=①통합_가정!$E$16,①통합_가정!$E$538,0)</f>
        <v>0</v>
      </c>
      <c r="DE128" s="37" t="n">
        <f aca="false">IF(DE6=①통합_가정!$E$16,①통합_가정!$E$538,0)</f>
        <v>0</v>
      </c>
      <c r="DF128" s="37" t="n">
        <f aca="false">IF(DF6=①통합_가정!$E$16,①통합_가정!$E$538,0)</f>
        <v>0</v>
      </c>
      <c r="DG128" s="37" t="n">
        <f aca="false">IF(DG6=①통합_가정!$E$16,①통합_가정!$E$538,0)</f>
        <v>0</v>
      </c>
      <c r="DH128" s="37" t="n">
        <f aca="false">IF(DH6=①통합_가정!$E$16,①통합_가정!$E$538,0)</f>
        <v>0</v>
      </c>
      <c r="DI128" s="37" t="n">
        <f aca="false">IF(DI6=①통합_가정!$E$16,①통합_가정!$E$538,0)</f>
        <v>0</v>
      </c>
      <c r="DJ128" s="37" t="n">
        <f aca="false">IF(DJ6=①통합_가정!$E$16,①통합_가정!$E$538,0)</f>
        <v>0</v>
      </c>
      <c r="DK128" s="37" t="n">
        <f aca="false">IF(DK6=①통합_가정!$E$16,①통합_가정!$E$538,0)</f>
        <v>0</v>
      </c>
      <c r="DL128" s="37" t="n">
        <f aca="false">IF(DL6=①통합_가정!$E$16,①통합_가정!$E$538,0)</f>
        <v>0</v>
      </c>
      <c r="DM128" s="37" t="n">
        <f aca="false">IF(DM6=①통합_가정!$E$16,①통합_가정!$E$538,0)</f>
        <v>0</v>
      </c>
      <c r="DN128" s="37" t="n">
        <f aca="false">IF(DN6=①통합_가정!$E$16,①통합_가정!$E$538,0)</f>
        <v>0</v>
      </c>
      <c r="DO128" s="37" t="n">
        <f aca="false">IF(DO6=①통합_가정!$E$16,①통합_가정!$E$538,0)</f>
        <v>0</v>
      </c>
      <c r="DP128" s="37" t="n">
        <f aca="false">IF(DP6=①통합_가정!$E$16,①통합_가정!$E$538,0)</f>
        <v>0</v>
      </c>
      <c r="DQ128" s="37" t="n">
        <f aca="false">IF(DQ6=①통합_가정!$E$16,①통합_가정!$E$538,0)</f>
        <v>0</v>
      </c>
      <c r="DR128" s="37" t="n">
        <f aca="false">IF(DR6=①통합_가정!$E$16,①통합_가정!$E$538,0)</f>
        <v>0</v>
      </c>
      <c r="DS128" s="37" t="n">
        <f aca="false">IF(DS6=①통합_가정!$E$16,①통합_가정!$E$538,0)</f>
        <v>0</v>
      </c>
      <c r="DT128" s="37" t="n">
        <f aca="false">IF(DT6=①통합_가정!$E$16,①통합_가정!$E$538,0)</f>
        <v>0</v>
      </c>
      <c r="DU128" s="37" t="n">
        <f aca="false">IF(DU6=①통합_가정!$E$16,①통합_가정!$E$538,0)</f>
        <v>0</v>
      </c>
      <c r="DV128" s="37" t="n">
        <f aca="false">IF(DV6=①통합_가정!$E$16,①통합_가정!$E$538,0)</f>
        <v>0</v>
      </c>
      <c r="DW128" s="37" t="n">
        <f aca="false">IF(DW6=①통합_가정!$E$16,①통합_가정!$E$538,0)</f>
        <v>0</v>
      </c>
      <c r="DX128" s="37" t="n">
        <f aca="false">IF(DX6=①통합_가정!$E$16,①통합_가정!$E$538,0)</f>
        <v>0</v>
      </c>
      <c r="DY128" s="37" t="n">
        <f aca="false">IF(DY6=①통합_가정!$E$16,①통합_가정!$E$538,0)</f>
        <v>0</v>
      </c>
      <c r="DZ128" s="37" t="n">
        <f aca="false">IF(DZ6=①통합_가정!$E$16,①통합_가정!$E$538,0)</f>
        <v>0</v>
      </c>
      <c r="EA128" s="37" t="n">
        <f aca="false">IF(EA6=①통합_가정!$E$16,①통합_가정!$E$538,0)</f>
        <v>0</v>
      </c>
      <c r="EB128" s="37" t="n">
        <f aca="false">IF(EB6=①통합_가정!$E$16,①통합_가정!$E$538,0)</f>
        <v>0</v>
      </c>
      <c r="EC128" s="37" t="n">
        <f aca="false">IF(EC6=①통합_가정!$E$16,①통합_가정!$E$538,0)</f>
        <v>0</v>
      </c>
      <c r="ED128" s="37" t="n">
        <f aca="false">IF(ED6=①통합_가정!$E$16,①통합_가정!$E$538,0)</f>
        <v>0</v>
      </c>
      <c r="EE128" s="37" t="n">
        <f aca="false">IF(EE6=①통합_가정!$E$16,①통합_가정!$E$538,0)</f>
        <v>0</v>
      </c>
      <c r="EF128" s="37" t="n">
        <f aca="false">IF(EF6=①통합_가정!$E$16,①통합_가정!$E$538,0)</f>
        <v>0</v>
      </c>
    </row>
    <row r="129" customFormat="false" ht="15" hidden="false" customHeight="false" outlineLevel="0" collapsed="false">
      <c r="A129" s="36" t="s">
        <v>48</v>
      </c>
      <c r="B129" s="278" t="s">
        <v>21</v>
      </c>
      <c r="C129" s="279" t="n">
        <f aca="false">SUM(E129:EF129)</f>
        <v>198878.570275</v>
      </c>
      <c r="E129" s="37" t="n">
        <f aca="false">IF(AND(E6&gt;①통합_가정!$E$16,E6&lt;=①통합_가정!$E$539),①통합_가정!$E$537/12,0)</f>
        <v>0</v>
      </c>
      <c r="F129" s="37" t="n">
        <f aca="false">IF(AND(F6&gt;①통합_가정!$E$16,F6&lt;=①통합_가정!$E$539),①통합_가정!$E$537/12,0)</f>
        <v>0</v>
      </c>
      <c r="G129" s="37" t="n">
        <f aca="false">IF(AND(G6&gt;①통합_가정!$E$16,G6&lt;=①통합_가정!$E$539),①통합_가정!$E$537/12,0)</f>
        <v>0</v>
      </c>
      <c r="H129" s="37" t="n">
        <f aca="false">IF(AND(H6&gt;①통합_가정!$E$16,H6&lt;=①통합_가정!$E$539),①통합_가정!$E$537/12,0)</f>
        <v>0</v>
      </c>
      <c r="I129" s="37" t="n">
        <f aca="false">IF(AND(I6&gt;①통합_가정!$E$16,I6&lt;=①통합_가정!$E$539),①통합_가정!$E$537/12,0)</f>
        <v>0</v>
      </c>
      <c r="J129" s="37" t="n">
        <f aca="false">IF(AND(J6&gt;①통합_가정!$E$16,J6&lt;=①통합_가정!$E$539),①통합_가정!$E$537/12,0)</f>
        <v>0</v>
      </c>
      <c r="K129" s="37" t="n">
        <f aca="false">IF(AND(K6&gt;①통합_가정!$E$16,K6&lt;=①통합_가정!$E$539),①통합_가정!$E$537/12,0)</f>
        <v>0</v>
      </c>
      <c r="L129" s="37" t="n">
        <f aca="false">IF(AND(L6&gt;①통합_가정!$E$16,L6&lt;=①통합_가정!$E$539),①통합_가정!$E$537/12,0)</f>
        <v>0</v>
      </c>
      <c r="M129" s="37" t="n">
        <f aca="false">IF(AND(M6&gt;①통합_가정!$E$16,M6&lt;=①통합_가정!$E$539),①통합_가정!$E$537/12,0)</f>
        <v>0</v>
      </c>
      <c r="N129" s="37" t="n">
        <f aca="false">IF(AND(N6&gt;①통합_가정!$E$16,N6&lt;=①통합_가정!$E$539),①통합_가정!$E$537/12,0)</f>
        <v>0</v>
      </c>
      <c r="O129" s="37" t="n">
        <f aca="false">IF(AND(O6&gt;①통합_가정!$E$16,O6&lt;=①통합_가정!$E$539),①통합_가정!$E$537/12,0)</f>
        <v>0</v>
      </c>
      <c r="P129" s="37" t="n">
        <f aca="false">IF(AND(P6&gt;①통합_가정!$E$16,P6&lt;=①통합_가정!$E$539),①통합_가정!$E$537/12,0)</f>
        <v>0</v>
      </c>
      <c r="Q129" s="37" t="n">
        <f aca="false">IF(AND(Q6&gt;①통합_가정!$E$16,Q6&lt;=①통합_가정!$E$539),①통합_가정!$E$537/12,0)</f>
        <v>0</v>
      </c>
      <c r="R129" s="37" t="n">
        <f aca="false">IF(AND(R6&gt;①통합_가정!$E$16,R6&lt;=①통합_가정!$E$539),①통합_가정!$E$537/12,0)</f>
        <v>0</v>
      </c>
      <c r="S129" s="37" t="n">
        <f aca="false">IF(AND(S6&gt;①통합_가정!$E$16,S6&lt;=①통합_가정!$E$539),①통합_가정!$E$537/12,0)</f>
        <v>0</v>
      </c>
      <c r="T129" s="37" t="n">
        <f aca="false">IF(AND(T6&gt;①통합_가정!$E$16,T6&lt;=①통합_가정!$E$539),①통합_가정!$E$537/12,0)</f>
        <v>0</v>
      </c>
      <c r="U129" s="37" t="n">
        <f aca="false">IF(AND(U6&gt;①통합_가정!$E$16,U6&lt;=①통합_가정!$E$539),①통합_가정!$E$537/12,0)</f>
        <v>0</v>
      </c>
      <c r="V129" s="37" t="n">
        <f aca="false">IF(AND(V6&gt;①통합_가정!$E$16,V6&lt;=①통합_가정!$E$539),①통합_가정!$E$537/12,0)</f>
        <v>0</v>
      </c>
      <c r="W129" s="37" t="n">
        <f aca="false">IF(AND(W6&gt;①통합_가정!$E$16,W6&lt;=①통합_가정!$E$539),①통합_가정!$E$537/12,0)</f>
        <v>0</v>
      </c>
      <c r="X129" s="37" t="n">
        <f aca="false">IF(AND(X6&gt;①통합_가정!$E$16,X6&lt;=①통합_가정!$E$539),①통합_가정!$E$537/12,0)</f>
        <v>0</v>
      </c>
      <c r="Y129" s="37" t="n">
        <f aca="false">IF(AND(Y6&gt;①통합_가정!$E$16,Y6&lt;=①통합_가정!$E$539),①통합_가정!$E$537/12,0)</f>
        <v>0</v>
      </c>
      <c r="Z129" s="37" t="n">
        <f aca="false">IF(AND(Z6&gt;①통합_가정!$E$16,Z6&lt;=①통합_가정!$E$539),①통합_가정!$E$537/12,0)</f>
        <v>0</v>
      </c>
      <c r="AA129" s="37" t="n">
        <f aca="false">IF(AND(AA6&gt;①통합_가정!$E$16,AA6&lt;=①통합_가정!$E$539),①통합_가정!$E$537/12,0)</f>
        <v>0</v>
      </c>
      <c r="AB129" s="37" t="n">
        <f aca="false">IF(AND(AB6&gt;①통합_가정!$E$16,AB6&lt;=①통합_가정!$E$539),①통합_가정!$E$537/12,0)</f>
        <v>0</v>
      </c>
      <c r="AC129" s="37" t="n">
        <f aca="false">IF(AND(AC6&gt;①통합_가정!$E$16,AC6&lt;=①통합_가정!$E$539),①통합_가정!$E$537/12,0)</f>
        <v>0</v>
      </c>
      <c r="AD129" s="37" t="n">
        <f aca="false">IF(AND(AD6&gt;①통합_가정!$E$16,AD6&lt;=①통합_가정!$E$539),①통합_가정!$E$537/12,0)</f>
        <v>0</v>
      </c>
      <c r="AE129" s="37" t="n">
        <f aca="false">IF(AND(AE6&gt;①통합_가정!$E$16,AE6&lt;=①통합_가정!$E$539),①통합_가정!$E$537/12,0)</f>
        <v>0</v>
      </c>
      <c r="AF129" s="37" t="n">
        <f aca="false">IF(AND(AF6&gt;①통합_가정!$E$16,AF6&lt;=①통합_가정!$E$539),①통합_가정!$E$537/12,0)</f>
        <v>0</v>
      </c>
      <c r="AG129" s="37" t="n">
        <f aca="false">IF(AND(AG6&gt;①통합_가정!$E$16,AG6&lt;=①통합_가정!$E$539),①통합_가정!$E$537/12,0)</f>
        <v>0</v>
      </c>
      <c r="AH129" s="37" t="n">
        <f aca="false">IF(AND(AH6&gt;①통합_가정!$E$16,AH6&lt;=①통합_가정!$E$539),①통합_가정!$E$537/12,0)</f>
        <v>0</v>
      </c>
      <c r="AI129" s="37" t="n">
        <f aca="false">IF(AND(AI6&gt;①통합_가정!$E$16,AI6&lt;=①통합_가정!$E$539),①통합_가정!$E$537/12,0)</f>
        <v>0</v>
      </c>
      <c r="AJ129" s="37" t="n">
        <f aca="false">IF(AND(AJ6&gt;①통합_가정!$E$16,AJ6&lt;=①통합_가정!$E$539),①통합_가정!$E$537/12,0)</f>
        <v>0</v>
      </c>
      <c r="AK129" s="37" t="n">
        <f aca="false">IF(AND(AK6&gt;①통합_가정!$E$16,AK6&lt;=①통합_가정!$E$539),①통합_가정!$E$537/12,0)</f>
        <v>0</v>
      </c>
      <c r="AL129" s="37" t="n">
        <f aca="false">IF(AND(AL6&gt;①통합_가정!$E$16,AL6&lt;=①통합_가정!$E$539),①통합_가정!$E$537/12,0)</f>
        <v>0</v>
      </c>
      <c r="AM129" s="37" t="n">
        <f aca="false">IF(AND(AM6&gt;①통합_가정!$E$16,AM6&lt;=①통합_가정!$E$539),①통합_가정!$E$537/12,0)</f>
        <v>0</v>
      </c>
      <c r="AN129" s="37" t="n">
        <f aca="false">IF(AND(AN6&gt;①통합_가정!$E$16,AN6&lt;=①통합_가정!$E$539),①통합_가정!$E$537/12,0)</f>
        <v>0</v>
      </c>
      <c r="AO129" s="37" t="n">
        <f aca="false">IF(AND(AO6&gt;①통합_가정!$E$16,AO6&lt;=①통합_가정!$E$539),①통합_가정!$E$537/12,0)</f>
        <v>0</v>
      </c>
      <c r="AP129" s="37" t="n">
        <f aca="false">IF(AND(AP6&gt;①통합_가정!$E$16,AP6&lt;=①통합_가정!$E$539),①통합_가정!$E$537/12,0)</f>
        <v>0</v>
      </c>
      <c r="AQ129" s="37" t="n">
        <f aca="false">IF(AND(AQ6&gt;①통합_가정!$E$16,AQ6&lt;=①통합_가정!$E$539),①통합_가정!$E$537/12,0)</f>
        <v>0</v>
      </c>
      <c r="AR129" s="37" t="n">
        <f aca="false">IF(AND(AR6&gt;①통합_가정!$E$16,AR6&lt;=①통합_가정!$E$539),①통합_가정!$E$537/12,0)</f>
        <v>0</v>
      </c>
      <c r="AS129" s="37" t="n">
        <f aca="false">IF(AND(AS6&gt;①통합_가정!$E$16,AS6&lt;=①통합_가정!$E$539),①통합_가정!$E$537/12,0)</f>
        <v>0</v>
      </c>
      <c r="AT129" s="37" t="n">
        <f aca="false">IF(AND(AT6&gt;①통합_가정!$E$16,AT6&lt;=①통합_가정!$E$539),①통합_가정!$E$537/12,0)</f>
        <v>0</v>
      </c>
      <c r="AU129" s="37" t="n">
        <f aca="false">IF(AND(AU6&gt;①통합_가정!$E$16,AU6&lt;=①통합_가정!$E$539),①통합_가정!$E$537/12,0)</f>
        <v>0</v>
      </c>
      <c r="AV129" s="37" t="n">
        <f aca="false">IF(AND(AV6&gt;①통합_가정!$E$16,AV6&lt;=①통합_가정!$E$539),①통합_가정!$E$537/12,0)</f>
        <v>0</v>
      </c>
      <c r="AW129" s="37" t="n">
        <f aca="false">IF(AND(AW6&gt;①통합_가정!$E$16,AW6&lt;=①통합_가정!$E$539),①통합_가정!$E$537/12,0)</f>
        <v>0</v>
      </c>
      <c r="AX129" s="37" t="n">
        <f aca="false">IF(AND(AX6&gt;①통합_가정!$E$16,AX6&lt;=①통합_가정!$E$539),①통합_가정!$E$537/12,0)</f>
        <v>0</v>
      </c>
      <c r="AY129" s="37" t="n">
        <f aca="false">IF(AND(AY6&gt;①통합_가정!$E$16,AY6&lt;=①통합_가정!$E$539),①통합_가정!$E$537/12,0)</f>
        <v>0</v>
      </c>
      <c r="AZ129" s="37" t="n">
        <f aca="false">IF(AND(AZ6&gt;①통합_가정!$E$16,AZ6&lt;=①통합_가정!$E$539),①통합_가정!$E$537/12,0)</f>
        <v>0</v>
      </c>
      <c r="BA129" s="37" t="n">
        <f aca="false">IF(AND(BA6&gt;①통합_가정!$E$16,BA6&lt;=①통합_가정!$E$539),①통합_가정!$E$537/12,0)</f>
        <v>0</v>
      </c>
      <c r="BB129" s="37" t="n">
        <f aca="false">IF(AND(BB6&gt;①통합_가정!$E$16,BB6&lt;=①통합_가정!$E$539),①통합_가정!$E$537/12,0)</f>
        <v>0</v>
      </c>
      <c r="BC129" s="37" t="n">
        <f aca="false">IF(AND(BC6&gt;①통합_가정!$E$16,BC6&lt;=①통합_가정!$E$539),①통합_가정!$E$537/12,0)</f>
        <v>0</v>
      </c>
      <c r="BD129" s="37" t="n">
        <f aca="false">IF(AND(BD6&gt;①통합_가정!$E$16,BD6&lt;=①통합_가정!$E$539),①통합_가정!$E$537/12,0)</f>
        <v>0</v>
      </c>
      <c r="BE129" s="37" t="n">
        <f aca="false">IF(AND(BE6&gt;①통합_가정!$E$16,BE6&lt;=①통합_가정!$E$539),①통합_가정!$E$537/12,0)</f>
        <v>0</v>
      </c>
      <c r="BF129" s="37" t="n">
        <f aca="false">IF(AND(BF6&gt;①통합_가정!$E$16,BF6&lt;=①통합_가정!$E$539),①통합_가정!$E$537/12,0)</f>
        <v>0</v>
      </c>
      <c r="BG129" s="37" t="n">
        <f aca="false">IF(AND(BG6&gt;①통합_가정!$E$16,BG6&lt;=①통합_가정!$E$539),①통합_가정!$E$537/12,0)</f>
        <v>0</v>
      </c>
      <c r="BH129" s="37" t="n">
        <f aca="false">IF(AND(BH6&gt;①통합_가정!$E$16,BH6&lt;=①통합_가정!$E$539),①통합_가정!$E$537/12,0)</f>
        <v>0</v>
      </c>
      <c r="BI129" s="37" t="n">
        <f aca="false">IF(AND(BI6&gt;①통합_가정!$E$16,BI6&lt;=①통합_가정!$E$539),①통합_가정!$E$537/12,0)</f>
        <v>0</v>
      </c>
      <c r="BJ129" s="37" t="n">
        <f aca="false">IF(AND(BJ6&gt;①통합_가정!$E$16,BJ6&lt;=①통합_가정!$E$539),①통합_가정!$E$537/12,0)</f>
        <v>0</v>
      </c>
      <c r="BK129" s="37" t="n">
        <f aca="false">IF(AND(BK6&gt;①통합_가정!$E$16,BK6&lt;=①통합_가정!$E$539),①통합_가정!$E$537/12,0)</f>
        <v>0</v>
      </c>
      <c r="BL129" s="37" t="n">
        <f aca="false">IF(AND(BL6&gt;①통합_가정!$E$16,BL6&lt;=①통합_가정!$E$539),①통합_가정!$E$537/12,0)</f>
        <v>0</v>
      </c>
      <c r="BM129" s="37" t="n">
        <f aca="false">IF(AND(BM6&gt;①통합_가정!$E$16,BM6&lt;=①통합_가정!$E$539),①통합_가정!$E$537/12,0)</f>
        <v>3314.64283791667</v>
      </c>
      <c r="BN129" s="37" t="n">
        <f aca="false">IF(AND(BN6&gt;①통합_가정!$E$16,BN6&lt;=①통합_가정!$E$539),①통합_가정!$E$537/12,0)</f>
        <v>3314.64283791667</v>
      </c>
      <c r="BO129" s="37" t="n">
        <f aca="false">IF(AND(BO6&gt;①통합_가정!$E$16,BO6&lt;=①통합_가정!$E$539),①통합_가정!$E$537/12,0)</f>
        <v>3314.64283791667</v>
      </c>
      <c r="BP129" s="37" t="n">
        <f aca="false">IF(AND(BP6&gt;①통합_가정!$E$16,BP6&lt;=①통합_가정!$E$539),①통합_가정!$E$537/12,0)</f>
        <v>3314.64283791667</v>
      </c>
      <c r="BQ129" s="37" t="n">
        <f aca="false">IF(AND(BQ6&gt;①통합_가정!$E$16,BQ6&lt;=①통합_가정!$E$539),①통합_가정!$E$537/12,0)</f>
        <v>3314.64283791667</v>
      </c>
      <c r="BR129" s="37" t="n">
        <f aca="false">IF(AND(BR6&gt;①통합_가정!$E$16,BR6&lt;=①통합_가정!$E$539),①통합_가정!$E$537/12,0)</f>
        <v>3314.64283791667</v>
      </c>
      <c r="BS129" s="37" t="n">
        <f aca="false">IF(AND(BS6&gt;①통합_가정!$E$16,BS6&lt;=①통합_가정!$E$539),①통합_가정!$E$537/12,0)</f>
        <v>3314.64283791667</v>
      </c>
      <c r="BT129" s="37" t="n">
        <f aca="false">IF(AND(BT6&gt;①통합_가정!$E$16,BT6&lt;=①통합_가정!$E$539),①통합_가정!$E$537/12,0)</f>
        <v>3314.64283791667</v>
      </c>
      <c r="BU129" s="37" t="n">
        <f aca="false">IF(AND(BU6&gt;①통합_가정!$E$16,BU6&lt;=①통합_가정!$E$539),①통합_가정!$E$537/12,0)</f>
        <v>3314.64283791667</v>
      </c>
      <c r="BV129" s="37" t="n">
        <f aca="false">IF(AND(BV6&gt;①통합_가정!$E$16,BV6&lt;=①통합_가정!$E$539),①통합_가정!$E$537/12,0)</f>
        <v>3314.64283791667</v>
      </c>
      <c r="BW129" s="37" t="n">
        <f aca="false">IF(AND(BW6&gt;①통합_가정!$E$16,BW6&lt;=①통합_가정!$E$539),①통합_가정!$E$537/12,0)</f>
        <v>3314.64283791667</v>
      </c>
      <c r="BX129" s="37" t="n">
        <f aca="false">IF(AND(BX6&gt;①통합_가정!$E$16,BX6&lt;=①통합_가정!$E$539),①통합_가정!$E$537/12,0)</f>
        <v>3314.64283791667</v>
      </c>
      <c r="BY129" s="37" t="n">
        <f aca="false">IF(AND(BY6&gt;①통합_가정!$E$16,BY6&lt;=①통합_가정!$E$539),①통합_가정!$E$537/12,0)</f>
        <v>3314.64283791667</v>
      </c>
      <c r="BZ129" s="37" t="n">
        <f aca="false">IF(AND(BZ6&gt;①통합_가정!$E$16,BZ6&lt;=①통합_가정!$E$539),①통합_가정!$E$537/12,0)</f>
        <v>3314.64283791667</v>
      </c>
      <c r="CA129" s="37" t="n">
        <f aca="false">IF(AND(CA6&gt;①통합_가정!$E$16,CA6&lt;=①통합_가정!$E$539),①통합_가정!$E$537/12,0)</f>
        <v>3314.64283791667</v>
      </c>
      <c r="CB129" s="37" t="n">
        <f aca="false">IF(AND(CB6&gt;①통합_가정!$E$16,CB6&lt;=①통합_가정!$E$539),①통합_가정!$E$537/12,0)</f>
        <v>3314.64283791667</v>
      </c>
      <c r="CC129" s="37" t="n">
        <f aca="false">IF(AND(CC6&gt;①통합_가정!$E$16,CC6&lt;=①통합_가정!$E$539),①통합_가정!$E$537/12,0)</f>
        <v>3314.64283791667</v>
      </c>
      <c r="CD129" s="37" t="n">
        <f aca="false">IF(AND(CD6&gt;①통합_가정!$E$16,CD6&lt;=①통합_가정!$E$539),①통합_가정!$E$537/12,0)</f>
        <v>3314.64283791667</v>
      </c>
      <c r="CE129" s="37" t="n">
        <f aca="false">IF(AND(CE6&gt;①통합_가정!$E$16,CE6&lt;=①통합_가정!$E$539),①통합_가정!$E$537/12,0)</f>
        <v>3314.64283791667</v>
      </c>
      <c r="CF129" s="37" t="n">
        <f aca="false">IF(AND(CF6&gt;①통합_가정!$E$16,CF6&lt;=①통합_가정!$E$539),①통합_가정!$E$537/12,0)</f>
        <v>3314.64283791667</v>
      </c>
      <c r="CG129" s="37" t="n">
        <f aca="false">IF(AND(CG6&gt;①통합_가정!$E$16,CG6&lt;=①통합_가정!$E$539),①통합_가정!$E$537/12,0)</f>
        <v>3314.64283791667</v>
      </c>
      <c r="CH129" s="37" t="n">
        <f aca="false">IF(AND(CH6&gt;①통합_가정!$E$16,CH6&lt;=①통합_가정!$E$539),①통합_가정!$E$537/12,0)</f>
        <v>3314.64283791667</v>
      </c>
      <c r="CI129" s="37" t="n">
        <f aca="false">IF(AND(CI6&gt;①통합_가정!$E$16,CI6&lt;=①통합_가정!$E$539),①통합_가정!$E$537/12,0)</f>
        <v>3314.64283791667</v>
      </c>
      <c r="CJ129" s="37" t="n">
        <f aca="false">IF(AND(CJ6&gt;①통합_가정!$E$16,CJ6&lt;=①통합_가정!$E$539),①통합_가정!$E$537/12,0)</f>
        <v>3314.64283791667</v>
      </c>
      <c r="CK129" s="37" t="n">
        <f aca="false">IF(AND(CK6&gt;①통합_가정!$E$16,CK6&lt;=①통합_가정!$E$539),①통합_가정!$E$537/12,0)</f>
        <v>3314.64283791667</v>
      </c>
      <c r="CL129" s="37" t="n">
        <f aca="false">IF(AND(CL6&gt;①통합_가정!$E$16,CL6&lt;=①통합_가정!$E$539),①통합_가정!$E$537/12,0)</f>
        <v>3314.64283791667</v>
      </c>
      <c r="CM129" s="37" t="n">
        <f aca="false">IF(AND(CM6&gt;①통합_가정!$E$16,CM6&lt;=①통합_가정!$E$539),①통합_가정!$E$537/12,0)</f>
        <v>3314.64283791667</v>
      </c>
      <c r="CN129" s="37" t="n">
        <f aca="false">IF(AND(CN6&gt;①통합_가정!$E$16,CN6&lt;=①통합_가정!$E$539),①통합_가정!$E$537/12,0)</f>
        <v>3314.64283791667</v>
      </c>
      <c r="CO129" s="37" t="n">
        <f aca="false">IF(AND(CO6&gt;①통합_가정!$E$16,CO6&lt;=①통합_가정!$E$539),①통합_가정!$E$537/12,0)</f>
        <v>3314.64283791667</v>
      </c>
      <c r="CP129" s="37" t="n">
        <f aca="false">IF(AND(CP6&gt;①통합_가정!$E$16,CP6&lt;=①통합_가정!$E$539),①통합_가정!$E$537/12,0)</f>
        <v>3314.64283791667</v>
      </c>
      <c r="CQ129" s="37" t="n">
        <f aca="false">IF(AND(CQ6&gt;①통합_가정!$E$16,CQ6&lt;=①통합_가정!$E$539),①통합_가정!$E$537/12,0)</f>
        <v>3314.64283791667</v>
      </c>
      <c r="CR129" s="37" t="n">
        <f aca="false">IF(AND(CR6&gt;①통합_가정!$E$16,CR6&lt;=①통합_가정!$E$539),①통합_가정!$E$537/12,0)</f>
        <v>3314.64283791667</v>
      </c>
      <c r="CS129" s="37" t="n">
        <f aca="false">IF(AND(CS6&gt;①통합_가정!$E$16,CS6&lt;=①통합_가정!$E$539),①통합_가정!$E$537/12,0)</f>
        <v>3314.64283791667</v>
      </c>
      <c r="CT129" s="37" t="n">
        <f aca="false">IF(AND(CT6&gt;①통합_가정!$E$16,CT6&lt;=①통합_가정!$E$539),①통합_가정!$E$537/12,0)</f>
        <v>3314.64283791667</v>
      </c>
      <c r="CU129" s="37" t="n">
        <f aca="false">IF(AND(CU6&gt;①통합_가정!$E$16,CU6&lt;=①통합_가정!$E$539),①통합_가정!$E$537/12,0)</f>
        <v>3314.64283791667</v>
      </c>
      <c r="CV129" s="37" t="n">
        <f aca="false">IF(AND(CV6&gt;①통합_가정!$E$16,CV6&lt;=①통합_가정!$E$539),①통합_가정!$E$537/12,0)</f>
        <v>3314.64283791667</v>
      </c>
      <c r="CW129" s="37" t="n">
        <f aca="false">IF(AND(CW6&gt;①통합_가정!$E$16,CW6&lt;=①통합_가정!$E$539),①통합_가정!$E$537/12,0)</f>
        <v>3314.64283791667</v>
      </c>
      <c r="CX129" s="37" t="n">
        <f aca="false">IF(AND(CX6&gt;①통합_가정!$E$16,CX6&lt;=①통합_가정!$E$539),①통합_가정!$E$537/12,0)</f>
        <v>3314.64283791667</v>
      </c>
      <c r="CY129" s="37" t="n">
        <f aca="false">IF(AND(CY6&gt;①통합_가정!$E$16,CY6&lt;=①통합_가정!$E$539),①통합_가정!$E$537/12,0)</f>
        <v>3314.64283791667</v>
      </c>
      <c r="CZ129" s="37" t="n">
        <f aca="false">IF(AND(CZ6&gt;①통합_가정!$E$16,CZ6&lt;=①통합_가정!$E$539),①통합_가정!$E$537/12,0)</f>
        <v>3314.64283791667</v>
      </c>
      <c r="DA129" s="37" t="n">
        <f aca="false">IF(AND(DA6&gt;①통합_가정!$E$16,DA6&lt;=①통합_가정!$E$539),①통합_가정!$E$537/12,0)</f>
        <v>3314.64283791667</v>
      </c>
      <c r="DB129" s="37" t="n">
        <f aca="false">IF(AND(DB6&gt;①통합_가정!$E$16,DB6&lt;=①통합_가정!$E$539),①통합_가정!$E$537/12,0)</f>
        <v>3314.64283791667</v>
      </c>
      <c r="DC129" s="37" t="n">
        <f aca="false">IF(AND(DC6&gt;①통합_가정!$E$16,DC6&lt;=①통합_가정!$E$539),①통합_가정!$E$537/12,0)</f>
        <v>3314.64283791667</v>
      </c>
      <c r="DD129" s="37" t="n">
        <f aca="false">IF(AND(DD6&gt;①통합_가정!$E$16,DD6&lt;=①통합_가정!$E$539),①통합_가정!$E$537/12,0)</f>
        <v>3314.64283791667</v>
      </c>
      <c r="DE129" s="37" t="n">
        <f aca="false">IF(AND(DE6&gt;①통합_가정!$E$16,DE6&lt;=①통합_가정!$E$539),①통합_가정!$E$537/12,0)</f>
        <v>3314.64283791667</v>
      </c>
      <c r="DF129" s="37" t="n">
        <f aca="false">IF(AND(DF6&gt;①통합_가정!$E$16,DF6&lt;=①통합_가정!$E$539),①통합_가정!$E$537/12,0)</f>
        <v>3314.64283791667</v>
      </c>
      <c r="DG129" s="37" t="n">
        <f aca="false">IF(AND(DG6&gt;①통합_가정!$E$16,DG6&lt;=①통합_가정!$E$539),①통합_가정!$E$537/12,0)</f>
        <v>3314.64283791667</v>
      </c>
      <c r="DH129" s="37" t="n">
        <f aca="false">IF(AND(DH6&gt;①통합_가정!$E$16,DH6&lt;=①통합_가정!$E$539),①통합_가정!$E$537/12,0)</f>
        <v>3314.64283791667</v>
      </c>
      <c r="DI129" s="37" t="n">
        <f aca="false">IF(AND(DI6&gt;①통합_가정!$E$16,DI6&lt;=①통합_가정!$E$539),①통합_가정!$E$537/12,0)</f>
        <v>3314.64283791667</v>
      </c>
      <c r="DJ129" s="37" t="n">
        <f aca="false">IF(AND(DJ6&gt;①통합_가정!$E$16,DJ6&lt;=①통합_가정!$E$539),①통합_가정!$E$537/12,0)</f>
        <v>3314.64283791667</v>
      </c>
      <c r="DK129" s="37" t="n">
        <f aca="false">IF(AND(DK6&gt;①통합_가정!$E$16,DK6&lt;=①통합_가정!$E$539),①통합_가정!$E$537/12,0)</f>
        <v>3314.64283791667</v>
      </c>
      <c r="DL129" s="37" t="n">
        <f aca="false">IF(AND(DL6&gt;①통합_가정!$E$16,DL6&lt;=①통합_가정!$E$539),①통합_가정!$E$537/12,0)</f>
        <v>3314.64283791667</v>
      </c>
      <c r="DM129" s="37" t="n">
        <f aca="false">IF(AND(DM6&gt;①통합_가정!$E$16,DM6&lt;=①통합_가정!$E$539),①통합_가정!$E$537/12,0)</f>
        <v>3314.64283791667</v>
      </c>
      <c r="DN129" s="37" t="n">
        <f aca="false">IF(AND(DN6&gt;①통합_가정!$E$16,DN6&lt;=①통합_가정!$E$539),①통합_가정!$E$537/12,0)</f>
        <v>3314.64283791667</v>
      </c>
      <c r="DO129" s="37" t="n">
        <f aca="false">IF(AND(DO6&gt;①통합_가정!$E$16,DO6&lt;=①통합_가정!$E$539),①통합_가정!$E$537/12,0)</f>
        <v>3314.64283791667</v>
      </c>
      <c r="DP129" s="37" t="n">
        <f aca="false">IF(AND(DP6&gt;①통합_가정!$E$16,DP6&lt;=①통합_가정!$E$539),①통합_가정!$E$537/12,0)</f>
        <v>3314.64283791667</v>
      </c>
      <c r="DQ129" s="37" t="n">
        <f aca="false">IF(AND(DQ6&gt;①통합_가정!$E$16,DQ6&lt;=①통합_가정!$E$539),①통합_가정!$E$537/12,0)</f>
        <v>3314.64283791667</v>
      </c>
      <c r="DR129" s="37" t="n">
        <f aca="false">IF(AND(DR6&gt;①통합_가정!$E$16,DR6&lt;=①통합_가정!$E$539),①통합_가정!$E$537/12,0)</f>
        <v>3314.64283791667</v>
      </c>
      <c r="DS129" s="37" t="n">
        <f aca="false">IF(AND(DS6&gt;①통합_가정!$E$16,DS6&lt;=①통합_가정!$E$539),①통합_가정!$E$537/12,0)</f>
        <v>3314.64283791667</v>
      </c>
      <c r="DT129" s="37" t="n">
        <f aca="false">IF(AND(DT6&gt;①통합_가정!$E$16,DT6&lt;=①통합_가정!$E$539),①통합_가정!$E$537/12,0)</f>
        <v>3314.64283791667</v>
      </c>
      <c r="DU129" s="37" t="n">
        <f aca="false">IF(AND(DU6&gt;①통합_가정!$E$16,DU6&lt;=①통합_가정!$E$539),①통합_가정!$E$537/12,0)</f>
        <v>0</v>
      </c>
      <c r="DV129" s="37" t="n">
        <f aca="false">IF(AND(DV6&gt;①통합_가정!$E$16,DV6&lt;=①통합_가정!$E$539),①통합_가정!$E$537/12,0)</f>
        <v>0</v>
      </c>
      <c r="DW129" s="37" t="n">
        <f aca="false">IF(AND(DW6&gt;①통합_가정!$E$16,DW6&lt;=①통합_가정!$E$539),①통합_가정!$E$537/12,0)</f>
        <v>0</v>
      </c>
      <c r="DX129" s="37" t="n">
        <f aca="false">IF(AND(DX6&gt;①통합_가정!$E$16,DX6&lt;=①통합_가정!$E$539),①통합_가정!$E$537/12,0)</f>
        <v>0</v>
      </c>
      <c r="DY129" s="37" t="n">
        <f aca="false">IF(AND(DY6&gt;①통합_가정!$E$16,DY6&lt;=①통합_가정!$E$539),①통합_가정!$E$537/12,0)</f>
        <v>0</v>
      </c>
      <c r="DZ129" s="37" t="n">
        <f aca="false">IF(AND(DZ6&gt;①통합_가정!$E$16,DZ6&lt;=①통합_가정!$E$539),①통합_가정!$E$537/12,0)</f>
        <v>0</v>
      </c>
      <c r="EA129" s="37" t="n">
        <f aca="false">IF(AND(EA6&gt;①통합_가정!$E$16,EA6&lt;=①통합_가정!$E$539),①통합_가정!$E$537/12,0)</f>
        <v>0</v>
      </c>
      <c r="EB129" s="37" t="n">
        <f aca="false">IF(AND(EB6&gt;①통합_가정!$E$16,EB6&lt;=①통합_가정!$E$539),①통합_가정!$E$537/12,0)</f>
        <v>0</v>
      </c>
      <c r="EC129" s="37" t="n">
        <f aca="false">IF(AND(EC6&gt;①통합_가정!$E$16,EC6&lt;=①통합_가정!$E$539),①통합_가정!$E$537/12,0)</f>
        <v>0</v>
      </c>
      <c r="ED129" s="37" t="n">
        <f aca="false">IF(AND(ED6&gt;①통합_가정!$E$16,ED6&lt;=①통합_가정!$E$539),①통합_가정!$E$537/12,0)</f>
        <v>0</v>
      </c>
      <c r="EE129" s="37" t="n">
        <f aca="false">IF(AND(EE6&gt;①통합_가정!$E$16,EE6&lt;=①통합_가정!$E$539),①통합_가정!$E$537/12,0)</f>
        <v>0</v>
      </c>
      <c r="EF129" s="37" t="n">
        <f aca="false">IF(AND(EF6&gt;①통합_가정!$E$16,EF6&lt;=①통합_가정!$E$539),①통합_가정!$E$537/12,0)</f>
        <v>0</v>
      </c>
    </row>
    <row r="130" customFormat="false" ht="15" hidden="false" customHeight="false" outlineLevel="0" collapsed="false">
      <c r="A130" s="36" t="s">
        <v>666</v>
      </c>
      <c r="B130" s="278" t="s">
        <v>21</v>
      </c>
      <c r="C130" s="279" t="n">
        <f aca="false">SUM(E130:EF130)</f>
        <v>759668.28</v>
      </c>
      <c r="E130" s="37" t="n">
        <f aca="false">IF(E6=①통합_가정!$E$539,①통합_가정!$E$536,0)</f>
        <v>0</v>
      </c>
      <c r="F130" s="37" t="n">
        <f aca="false">IF(F6=①통합_가정!$E$539,①통합_가정!$E$536,0)</f>
        <v>0</v>
      </c>
      <c r="G130" s="37" t="n">
        <f aca="false">IF(G6=①통합_가정!$E$539,①통합_가정!$E$536,0)</f>
        <v>0</v>
      </c>
      <c r="H130" s="37" t="n">
        <f aca="false">IF(H6=①통합_가정!$E$539,①통합_가정!$E$536,0)</f>
        <v>0</v>
      </c>
      <c r="I130" s="37" t="n">
        <f aca="false">IF(I6=①통합_가정!$E$539,①통합_가정!$E$536,0)</f>
        <v>0</v>
      </c>
      <c r="J130" s="37" t="n">
        <f aca="false">IF(J6=①통합_가정!$E$539,①통합_가정!$E$536,0)</f>
        <v>0</v>
      </c>
      <c r="K130" s="37" t="n">
        <f aca="false">IF(K6=①통합_가정!$E$539,①통합_가정!$E$536,0)</f>
        <v>0</v>
      </c>
      <c r="L130" s="37" t="n">
        <f aca="false">IF(L6=①통합_가정!$E$539,①통합_가정!$E$536,0)</f>
        <v>0</v>
      </c>
      <c r="M130" s="37" t="n">
        <f aca="false">IF(M6=①통합_가정!$E$539,①통합_가정!$E$536,0)</f>
        <v>0</v>
      </c>
      <c r="N130" s="37" t="n">
        <f aca="false">IF(N6=①통합_가정!$E$539,①통합_가정!$E$536,0)</f>
        <v>0</v>
      </c>
      <c r="O130" s="37" t="n">
        <f aca="false">IF(O6=①통합_가정!$E$539,①통합_가정!$E$536,0)</f>
        <v>0</v>
      </c>
      <c r="P130" s="37" t="n">
        <f aca="false">IF(P6=①통합_가정!$E$539,①통합_가정!$E$536,0)</f>
        <v>0</v>
      </c>
      <c r="Q130" s="37" t="n">
        <f aca="false">IF(Q6=①통합_가정!$E$539,①통합_가정!$E$536,0)</f>
        <v>0</v>
      </c>
      <c r="R130" s="37" t="n">
        <f aca="false">IF(R6=①통합_가정!$E$539,①통합_가정!$E$536,0)</f>
        <v>0</v>
      </c>
      <c r="S130" s="37" t="n">
        <f aca="false">IF(S6=①통합_가정!$E$539,①통합_가정!$E$536,0)</f>
        <v>0</v>
      </c>
      <c r="T130" s="37" t="n">
        <f aca="false">IF(T6=①통합_가정!$E$539,①통합_가정!$E$536,0)</f>
        <v>0</v>
      </c>
      <c r="U130" s="37" t="n">
        <f aca="false">IF(U6=①통합_가정!$E$539,①통합_가정!$E$536,0)</f>
        <v>0</v>
      </c>
      <c r="V130" s="37" t="n">
        <f aca="false">IF(V6=①통합_가정!$E$539,①통합_가정!$E$536,0)</f>
        <v>0</v>
      </c>
      <c r="W130" s="37" t="n">
        <f aca="false">IF(W6=①통합_가정!$E$539,①통합_가정!$E$536,0)</f>
        <v>0</v>
      </c>
      <c r="X130" s="37" t="n">
        <f aca="false">IF(X6=①통합_가정!$E$539,①통합_가정!$E$536,0)</f>
        <v>0</v>
      </c>
      <c r="Y130" s="37" t="n">
        <f aca="false">IF(Y6=①통합_가정!$E$539,①통합_가정!$E$536,0)</f>
        <v>0</v>
      </c>
      <c r="Z130" s="37" t="n">
        <f aca="false">IF(Z6=①통합_가정!$E$539,①통합_가정!$E$536,0)</f>
        <v>0</v>
      </c>
      <c r="AA130" s="37" t="n">
        <f aca="false">IF(AA6=①통합_가정!$E$539,①통합_가정!$E$536,0)</f>
        <v>0</v>
      </c>
      <c r="AB130" s="37" t="n">
        <f aca="false">IF(AB6=①통합_가정!$E$539,①통합_가정!$E$536,0)</f>
        <v>0</v>
      </c>
      <c r="AC130" s="37" t="n">
        <f aca="false">IF(AC6=①통합_가정!$E$539,①통합_가정!$E$536,0)</f>
        <v>0</v>
      </c>
      <c r="AD130" s="37" t="n">
        <f aca="false">IF(AD6=①통합_가정!$E$539,①통합_가정!$E$536,0)</f>
        <v>0</v>
      </c>
      <c r="AE130" s="37" t="n">
        <f aca="false">IF(AE6=①통합_가정!$E$539,①통합_가정!$E$536,0)</f>
        <v>0</v>
      </c>
      <c r="AF130" s="37" t="n">
        <f aca="false">IF(AF6=①통합_가정!$E$539,①통합_가정!$E$536,0)</f>
        <v>0</v>
      </c>
      <c r="AG130" s="37" t="n">
        <f aca="false">IF(AG6=①통합_가정!$E$539,①통합_가정!$E$536,0)</f>
        <v>0</v>
      </c>
      <c r="AH130" s="37" t="n">
        <f aca="false">IF(AH6=①통합_가정!$E$539,①통합_가정!$E$536,0)</f>
        <v>0</v>
      </c>
      <c r="AI130" s="37" t="n">
        <f aca="false">IF(AI6=①통합_가정!$E$539,①통합_가정!$E$536,0)</f>
        <v>0</v>
      </c>
      <c r="AJ130" s="37" t="n">
        <f aca="false">IF(AJ6=①통합_가정!$E$539,①통합_가정!$E$536,0)</f>
        <v>0</v>
      </c>
      <c r="AK130" s="37" t="n">
        <f aca="false">IF(AK6=①통합_가정!$E$539,①통합_가정!$E$536,0)</f>
        <v>0</v>
      </c>
      <c r="AL130" s="37" t="n">
        <f aca="false">IF(AL6=①통합_가정!$E$539,①통합_가정!$E$536,0)</f>
        <v>0</v>
      </c>
      <c r="AM130" s="37" t="n">
        <f aca="false">IF(AM6=①통합_가정!$E$539,①통합_가정!$E$536,0)</f>
        <v>0</v>
      </c>
      <c r="AN130" s="37" t="n">
        <f aca="false">IF(AN6=①통합_가정!$E$539,①통합_가정!$E$536,0)</f>
        <v>0</v>
      </c>
      <c r="AO130" s="37" t="n">
        <f aca="false">IF(AO6=①통합_가정!$E$539,①통합_가정!$E$536,0)</f>
        <v>0</v>
      </c>
      <c r="AP130" s="37" t="n">
        <f aca="false">IF(AP6=①통합_가정!$E$539,①통합_가정!$E$536,0)</f>
        <v>0</v>
      </c>
      <c r="AQ130" s="37" t="n">
        <f aca="false">IF(AQ6=①통합_가정!$E$539,①통합_가정!$E$536,0)</f>
        <v>0</v>
      </c>
      <c r="AR130" s="37" t="n">
        <f aca="false">IF(AR6=①통합_가정!$E$539,①통합_가정!$E$536,0)</f>
        <v>0</v>
      </c>
      <c r="AS130" s="37" t="n">
        <f aca="false">IF(AS6=①통합_가정!$E$539,①통합_가정!$E$536,0)</f>
        <v>0</v>
      </c>
      <c r="AT130" s="37" t="n">
        <f aca="false">IF(AT6=①통합_가정!$E$539,①통합_가정!$E$536,0)</f>
        <v>0</v>
      </c>
      <c r="AU130" s="37" t="n">
        <f aca="false">IF(AU6=①통합_가정!$E$539,①통합_가정!$E$536,0)</f>
        <v>0</v>
      </c>
      <c r="AV130" s="37" t="n">
        <f aca="false">IF(AV6=①통합_가정!$E$539,①통합_가정!$E$536,0)</f>
        <v>0</v>
      </c>
      <c r="AW130" s="37" t="n">
        <f aca="false">IF(AW6=①통합_가정!$E$539,①통합_가정!$E$536,0)</f>
        <v>0</v>
      </c>
      <c r="AX130" s="37" t="n">
        <f aca="false">IF(AX6=①통합_가정!$E$539,①통합_가정!$E$536,0)</f>
        <v>0</v>
      </c>
      <c r="AY130" s="37" t="n">
        <f aca="false">IF(AY6=①통합_가정!$E$539,①통합_가정!$E$536,0)</f>
        <v>0</v>
      </c>
      <c r="AZ130" s="37" t="n">
        <f aca="false">IF(AZ6=①통합_가정!$E$539,①통합_가정!$E$536,0)</f>
        <v>0</v>
      </c>
      <c r="BA130" s="37" t="n">
        <f aca="false">IF(BA6=①통합_가정!$E$539,①통합_가정!$E$536,0)</f>
        <v>0</v>
      </c>
      <c r="BB130" s="37" t="n">
        <f aca="false">IF(BB6=①통합_가정!$E$539,①통합_가정!$E$536,0)</f>
        <v>0</v>
      </c>
      <c r="BC130" s="37" t="n">
        <f aca="false">IF(BC6=①통합_가정!$E$539,①통합_가정!$E$536,0)</f>
        <v>0</v>
      </c>
      <c r="BD130" s="37" t="n">
        <f aca="false">IF(BD6=①통합_가정!$E$539,①통합_가정!$E$536,0)</f>
        <v>0</v>
      </c>
      <c r="BE130" s="37" t="n">
        <f aca="false">IF(BE6=①통합_가정!$E$539,①통합_가정!$E$536,0)</f>
        <v>0</v>
      </c>
      <c r="BF130" s="37" t="n">
        <f aca="false">IF(BF6=①통합_가정!$E$539,①통합_가정!$E$536,0)</f>
        <v>0</v>
      </c>
      <c r="BG130" s="37" t="n">
        <f aca="false">IF(BG6=①통합_가정!$E$539,①통합_가정!$E$536,0)</f>
        <v>0</v>
      </c>
      <c r="BH130" s="37" t="n">
        <f aca="false">IF(BH6=①통합_가정!$E$539,①통합_가정!$E$536,0)</f>
        <v>0</v>
      </c>
      <c r="BI130" s="37" t="n">
        <f aca="false">IF(BI6=①통합_가정!$E$539,①통합_가정!$E$536,0)</f>
        <v>0</v>
      </c>
      <c r="BJ130" s="37" t="n">
        <f aca="false">IF(BJ6=①통합_가정!$E$539,①통합_가정!$E$536,0)</f>
        <v>0</v>
      </c>
      <c r="BK130" s="37" t="n">
        <f aca="false">IF(BK6=①통합_가정!$E$539,①통합_가정!$E$536,0)</f>
        <v>0</v>
      </c>
      <c r="BL130" s="37" t="n">
        <f aca="false">IF(BL6=①통합_가정!$E$539,①통합_가정!$E$536,0)</f>
        <v>0</v>
      </c>
      <c r="BM130" s="37" t="n">
        <f aca="false">IF(BM6=①통합_가정!$E$539,①통합_가정!$E$536,0)</f>
        <v>0</v>
      </c>
      <c r="BN130" s="37" t="n">
        <f aca="false">IF(BN6=①통합_가정!$E$539,①통합_가정!$E$536,0)</f>
        <v>0</v>
      </c>
      <c r="BO130" s="37" t="n">
        <f aca="false">IF(BO6=①통합_가정!$E$539,①통합_가정!$E$536,0)</f>
        <v>0</v>
      </c>
      <c r="BP130" s="37" t="n">
        <f aca="false">IF(BP6=①통합_가정!$E$539,①통합_가정!$E$536,0)</f>
        <v>0</v>
      </c>
      <c r="BQ130" s="37" t="n">
        <f aca="false">IF(BQ6=①통합_가정!$E$539,①통합_가정!$E$536,0)</f>
        <v>0</v>
      </c>
      <c r="BR130" s="37" t="n">
        <f aca="false">IF(BR6=①통합_가정!$E$539,①통합_가정!$E$536,0)</f>
        <v>0</v>
      </c>
      <c r="BS130" s="37" t="n">
        <f aca="false">IF(BS6=①통합_가정!$E$539,①통합_가정!$E$536,0)</f>
        <v>0</v>
      </c>
      <c r="BT130" s="37" t="n">
        <f aca="false">IF(BT6=①통합_가정!$E$539,①통합_가정!$E$536,0)</f>
        <v>0</v>
      </c>
      <c r="BU130" s="37" t="n">
        <f aca="false">IF(BU6=①통합_가정!$E$539,①통합_가정!$E$536,0)</f>
        <v>0</v>
      </c>
      <c r="BV130" s="37" t="n">
        <f aca="false">IF(BV6=①통합_가정!$E$539,①통합_가정!$E$536,0)</f>
        <v>0</v>
      </c>
      <c r="BW130" s="37" t="n">
        <f aca="false">IF(BW6=①통합_가정!$E$539,①통합_가정!$E$536,0)</f>
        <v>0</v>
      </c>
      <c r="BX130" s="37" t="n">
        <f aca="false">IF(BX6=①통합_가정!$E$539,①통합_가정!$E$536,0)</f>
        <v>0</v>
      </c>
      <c r="BY130" s="37" t="n">
        <f aca="false">IF(BY6=①통합_가정!$E$539,①통합_가정!$E$536,0)</f>
        <v>0</v>
      </c>
      <c r="BZ130" s="37" t="n">
        <f aca="false">IF(BZ6=①통합_가정!$E$539,①통합_가정!$E$536,0)</f>
        <v>0</v>
      </c>
      <c r="CA130" s="37" t="n">
        <f aca="false">IF(CA6=①통합_가정!$E$539,①통합_가정!$E$536,0)</f>
        <v>0</v>
      </c>
      <c r="CB130" s="37" t="n">
        <f aca="false">IF(CB6=①통합_가정!$E$539,①통합_가정!$E$536,0)</f>
        <v>0</v>
      </c>
      <c r="CC130" s="37" t="n">
        <f aca="false">IF(CC6=①통합_가정!$E$539,①통합_가정!$E$536,0)</f>
        <v>0</v>
      </c>
      <c r="CD130" s="37" t="n">
        <f aca="false">IF(CD6=①통합_가정!$E$539,①통합_가정!$E$536,0)</f>
        <v>0</v>
      </c>
      <c r="CE130" s="37" t="n">
        <f aca="false">IF(CE6=①통합_가정!$E$539,①통합_가정!$E$536,0)</f>
        <v>0</v>
      </c>
      <c r="CF130" s="37" t="n">
        <f aca="false">IF(CF6=①통합_가정!$E$539,①통합_가정!$E$536,0)</f>
        <v>0</v>
      </c>
      <c r="CG130" s="37" t="n">
        <f aca="false">IF(CG6=①통합_가정!$E$539,①통합_가정!$E$536,0)</f>
        <v>0</v>
      </c>
      <c r="CH130" s="37" t="n">
        <f aca="false">IF(CH6=①통합_가정!$E$539,①통합_가정!$E$536,0)</f>
        <v>0</v>
      </c>
      <c r="CI130" s="37" t="n">
        <f aca="false">IF(CI6=①통합_가정!$E$539,①통합_가정!$E$536,0)</f>
        <v>0</v>
      </c>
      <c r="CJ130" s="37" t="n">
        <f aca="false">IF(CJ6=①통합_가정!$E$539,①통합_가정!$E$536,0)</f>
        <v>0</v>
      </c>
      <c r="CK130" s="37" t="n">
        <f aca="false">IF(CK6=①통합_가정!$E$539,①통합_가정!$E$536,0)</f>
        <v>0</v>
      </c>
      <c r="CL130" s="37" t="n">
        <f aca="false">IF(CL6=①통합_가정!$E$539,①통합_가정!$E$536,0)</f>
        <v>0</v>
      </c>
      <c r="CM130" s="37" t="n">
        <f aca="false">IF(CM6=①통합_가정!$E$539,①통합_가정!$E$536,0)</f>
        <v>0</v>
      </c>
      <c r="CN130" s="37" t="n">
        <f aca="false">IF(CN6=①통합_가정!$E$539,①통합_가정!$E$536,0)</f>
        <v>0</v>
      </c>
      <c r="CO130" s="37" t="n">
        <f aca="false">IF(CO6=①통합_가정!$E$539,①통합_가정!$E$536,0)</f>
        <v>0</v>
      </c>
      <c r="CP130" s="37" t="n">
        <f aca="false">IF(CP6=①통합_가정!$E$539,①통합_가정!$E$536,0)</f>
        <v>0</v>
      </c>
      <c r="CQ130" s="37" t="n">
        <f aca="false">IF(CQ6=①통합_가정!$E$539,①통합_가정!$E$536,0)</f>
        <v>0</v>
      </c>
      <c r="CR130" s="37" t="n">
        <f aca="false">IF(CR6=①통합_가정!$E$539,①통합_가정!$E$536,0)</f>
        <v>0</v>
      </c>
      <c r="CS130" s="37" t="n">
        <f aca="false">IF(CS6=①통합_가정!$E$539,①통합_가정!$E$536,0)</f>
        <v>0</v>
      </c>
      <c r="CT130" s="37" t="n">
        <f aca="false">IF(CT6=①통합_가정!$E$539,①통합_가정!$E$536,0)</f>
        <v>0</v>
      </c>
      <c r="CU130" s="37" t="n">
        <f aca="false">IF(CU6=①통합_가정!$E$539,①통합_가정!$E$536,0)</f>
        <v>0</v>
      </c>
      <c r="CV130" s="37" t="n">
        <f aca="false">IF(CV6=①통합_가정!$E$539,①통합_가정!$E$536,0)</f>
        <v>0</v>
      </c>
      <c r="CW130" s="37" t="n">
        <f aca="false">IF(CW6=①통합_가정!$E$539,①통합_가정!$E$536,0)</f>
        <v>0</v>
      </c>
      <c r="CX130" s="37" t="n">
        <f aca="false">IF(CX6=①통합_가정!$E$539,①통합_가정!$E$536,0)</f>
        <v>0</v>
      </c>
      <c r="CY130" s="37" t="n">
        <f aca="false">IF(CY6=①통합_가정!$E$539,①통합_가정!$E$536,0)</f>
        <v>0</v>
      </c>
      <c r="CZ130" s="37" t="n">
        <f aca="false">IF(CZ6=①통합_가정!$E$539,①통합_가정!$E$536,0)</f>
        <v>0</v>
      </c>
      <c r="DA130" s="37" t="n">
        <f aca="false">IF(DA6=①통합_가정!$E$539,①통합_가정!$E$536,0)</f>
        <v>0</v>
      </c>
      <c r="DB130" s="37" t="n">
        <f aca="false">IF(DB6=①통합_가정!$E$539,①통합_가정!$E$536,0)</f>
        <v>0</v>
      </c>
      <c r="DC130" s="37" t="n">
        <f aca="false">IF(DC6=①통합_가정!$E$539,①통합_가정!$E$536,0)</f>
        <v>0</v>
      </c>
      <c r="DD130" s="37" t="n">
        <f aca="false">IF(DD6=①통합_가정!$E$539,①통합_가정!$E$536,0)</f>
        <v>0</v>
      </c>
      <c r="DE130" s="37" t="n">
        <f aca="false">IF(DE6=①통합_가정!$E$539,①통합_가정!$E$536,0)</f>
        <v>0</v>
      </c>
      <c r="DF130" s="37" t="n">
        <f aca="false">IF(DF6=①통합_가정!$E$539,①통합_가정!$E$536,0)</f>
        <v>0</v>
      </c>
      <c r="DG130" s="37" t="n">
        <f aca="false">IF(DG6=①통합_가정!$E$539,①통합_가정!$E$536,0)</f>
        <v>0</v>
      </c>
      <c r="DH130" s="37" t="n">
        <f aca="false">IF(DH6=①통합_가정!$E$539,①통합_가정!$E$536,0)</f>
        <v>0</v>
      </c>
      <c r="DI130" s="37" t="n">
        <f aca="false">IF(DI6=①통합_가정!$E$539,①통합_가정!$E$536,0)</f>
        <v>0</v>
      </c>
      <c r="DJ130" s="37" t="n">
        <f aca="false">IF(DJ6=①통합_가정!$E$539,①통합_가정!$E$536,0)</f>
        <v>0</v>
      </c>
      <c r="DK130" s="37" t="n">
        <f aca="false">IF(DK6=①통합_가정!$E$539,①통합_가정!$E$536,0)</f>
        <v>0</v>
      </c>
      <c r="DL130" s="37" t="n">
        <f aca="false">IF(DL6=①통합_가정!$E$539,①통합_가정!$E$536,0)</f>
        <v>0</v>
      </c>
      <c r="DM130" s="37" t="n">
        <f aca="false">IF(DM6=①통합_가정!$E$539,①통합_가정!$E$536,0)</f>
        <v>0</v>
      </c>
      <c r="DN130" s="37" t="n">
        <f aca="false">IF(DN6=①통합_가정!$E$539,①통합_가정!$E$536,0)</f>
        <v>0</v>
      </c>
      <c r="DO130" s="37" t="n">
        <f aca="false">IF(DO6=①통합_가정!$E$539,①통합_가정!$E$536,0)</f>
        <v>0</v>
      </c>
      <c r="DP130" s="37" t="n">
        <f aca="false">IF(DP6=①통합_가정!$E$539,①통합_가정!$E$536,0)</f>
        <v>0</v>
      </c>
      <c r="DQ130" s="37" t="n">
        <f aca="false">IF(DQ6=①통합_가정!$E$539,①통합_가정!$E$536,0)</f>
        <v>0</v>
      </c>
      <c r="DR130" s="37" t="n">
        <f aca="false">IF(DR6=①통합_가정!$E$539,①통합_가정!$E$536,0)</f>
        <v>0</v>
      </c>
      <c r="DS130" s="37" t="n">
        <f aca="false">IF(DS6=①통합_가정!$E$539,①통합_가정!$E$536,0)</f>
        <v>0</v>
      </c>
      <c r="DT130" s="37" t="n">
        <f aca="false">IF(DT6=①통합_가정!$E$539,①통합_가정!$E$536,0)</f>
        <v>759668.28</v>
      </c>
      <c r="DU130" s="37" t="n">
        <f aca="false">IF(DU6=①통합_가정!$E$539,①통합_가정!$E$536,0)</f>
        <v>0</v>
      </c>
      <c r="DV130" s="37" t="n">
        <f aca="false">IF(DV6=①통합_가정!$E$539,①통합_가정!$E$536,0)</f>
        <v>0</v>
      </c>
      <c r="DW130" s="37" t="n">
        <f aca="false">IF(DW6=①통합_가정!$E$539,①통합_가정!$E$536,0)</f>
        <v>0</v>
      </c>
      <c r="DX130" s="37" t="n">
        <f aca="false">IF(DX6=①통합_가정!$E$539,①통합_가정!$E$536,0)</f>
        <v>0</v>
      </c>
      <c r="DY130" s="37" t="n">
        <f aca="false">IF(DY6=①통합_가정!$E$539,①통합_가정!$E$536,0)</f>
        <v>0</v>
      </c>
      <c r="DZ130" s="37" t="n">
        <f aca="false">IF(DZ6=①통합_가정!$E$539,①통합_가정!$E$536,0)</f>
        <v>0</v>
      </c>
      <c r="EA130" s="37" t="n">
        <f aca="false">IF(EA6=①통합_가정!$E$539,①통합_가정!$E$536,0)</f>
        <v>0</v>
      </c>
      <c r="EB130" s="37" t="n">
        <f aca="false">IF(EB6=①통합_가정!$E$539,①통합_가정!$E$536,0)</f>
        <v>0</v>
      </c>
      <c r="EC130" s="37" t="n">
        <f aca="false">IF(EC6=①통합_가정!$E$539,①통합_가정!$E$536,0)</f>
        <v>0</v>
      </c>
      <c r="ED130" s="37" t="n">
        <f aca="false">IF(ED6=①통합_가정!$E$539,①통합_가정!$E$536,0)</f>
        <v>0</v>
      </c>
      <c r="EE130" s="37" t="n">
        <f aca="false">IF(EE6=①통합_가정!$E$539,①통합_가정!$E$536,0)</f>
        <v>0</v>
      </c>
      <c r="EF130" s="37" t="n">
        <f aca="false">IF(EF6=①통합_가정!$E$539,①통합_가정!$E$536,0)</f>
        <v>0</v>
      </c>
    </row>
    <row r="131" customFormat="false" ht="15" hidden="false" customHeight="false" outlineLevel="0" collapsed="false">
      <c r="A131" s="36" t="s">
        <v>667</v>
      </c>
      <c r="B131" s="278" t="s">
        <v>21</v>
      </c>
      <c r="C131" s="279" t="n">
        <f aca="false">MAX(E131:EF131)</f>
        <v>759668.28</v>
      </c>
      <c r="E131" s="37" t="n">
        <f aca="false">0+E127-E130</f>
        <v>0</v>
      </c>
      <c r="F131" s="37" t="n">
        <f aca="false">E131+F127-F130</f>
        <v>0</v>
      </c>
      <c r="G131" s="37" t="n">
        <f aca="false">F131+G127-G130</f>
        <v>0</v>
      </c>
      <c r="H131" s="37" t="n">
        <f aca="false">G131+H127-H130</f>
        <v>0</v>
      </c>
      <c r="I131" s="37" t="n">
        <f aca="false">H131+I127-I130</f>
        <v>0</v>
      </c>
      <c r="J131" s="37" t="n">
        <f aca="false">I131+J127-J130</f>
        <v>0</v>
      </c>
      <c r="K131" s="37" t="n">
        <f aca="false">J131+K127-K130</f>
        <v>0</v>
      </c>
      <c r="L131" s="37" t="n">
        <f aca="false">K131+L127-L130</f>
        <v>0</v>
      </c>
      <c r="M131" s="37" t="n">
        <f aca="false">L131+M127-M130</f>
        <v>0</v>
      </c>
      <c r="N131" s="37" t="n">
        <f aca="false">M131+N127-N130</f>
        <v>0</v>
      </c>
      <c r="O131" s="37" t="n">
        <f aca="false">N131+O127-O130</f>
        <v>0</v>
      </c>
      <c r="P131" s="37" t="n">
        <f aca="false">O131+P127-P130</f>
        <v>0</v>
      </c>
      <c r="Q131" s="37" t="n">
        <f aca="false">P131+Q127-Q130</f>
        <v>0</v>
      </c>
      <c r="R131" s="37" t="n">
        <f aca="false">Q131+R127-R130</f>
        <v>0</v>
      </c>
      <c r="S131" s="37" t="n">
        <f aca="false">R131+S127-S130</f>
        <v>0</v>
      </c>
      <c r="T131" s="37" t="n">
        <f aca="false">S131+T127-T130</f>
        <v>0</v>
      </c>
      <c r="U131" s="37" t="n">
        <f aca="false">T131+U127-U130</f>
        <v>0</v>
      </c>
      <c r="V131" s="37" t="n">
        <f aca="false">U131+V127-V130</f>
        <v>0</v>
      </c>
      <c r="W131" s="37" t="n">
        <f aca="false">V131+W127-W130</f>
        <v>0</v>
      </c>
      <c r="X131" s="37" t="n">
        <f aca="false">W131+X127-X130</f>
        <v>0</v>
      </c>
      <c r="Y131" s="37" t="n">
        <f aca="false">X131+Y127-Y130</f>
        <v>0</v>
      </c>
      <c r="Z131" s="37" t="n">
        <f aca="false">Y131+Z127-Z130</f>
        <v>0</v>
      </c>
      <c r="AA131" s="37" t="n">
        <f aca="false">Z131+AA127-AA130</f>
        <v>0</v>
      </c>
      <c r="AB131" s="37" t="n">
        <f aca="false">AA131+AB127-AB130</f>
        <v>0</v>
      </c>
      <c r="AC131" s="37" t="n">
        <f aca="false">AB131+AC127-AC130</f>
        <v>0</v>
      </c>
      <c r="AD131" s="37" t="n">
        <f aca="false">AC131+AD127-AD130</f>
        <v>0</v>
      </c>
      <c r="AE131" s="37" t="n">
        <f aca="false">AD131+AE127-AE130</f>
        <v>0</v>
      </c>
      <c r="AF131" s="37" t="n">
        <f aca="false">AE131+AF127-AF130</f>
        <v>0</v>
      </c>
      <c r="AG131" s="37" t="n">
        <f aca="false">AF131+AG127-AG130</f>
        <v>0</v>
      </c>
      <c r="AH131" s="37" t="n">
        <f aca="false">AG131+AH127-AH130</f>
        <v>0</v>
      </c>
      <c r="AI131" s="37" t="n">
        <f aca="false">AH131+AI127-AI130</f>
        <v>0</v>
      </c>
      <c r="AJ131" s="37" t="n">
        <f aca="false">AI131+AJ127-AJ130</f>
        <v>0</v>
      </c>
      <c r="AK131" s="37" t="n">
        <f aca="false">AJ131+AK127-AK130</f>
        <v>0</v>
      </c>
      <c r="AL131" s="37" t="n">
        <f aca="false">AK131+AL127-AL130</f>
        <v>0</v>
      </c>
      <c r="AM131" s="37" t="n">
        <f aca="false">AL131+AM127-AM130</f>
        <v>0</v>
      </c>
      <c r="AN131" s="37" t="n">
        <f aca="false">AM131+AN127-AN130</f>
        <v>0</v>
      </c>
      <c r="AO131" s="37" t="n">
        <f aca="false">AN131+AO127-AO130</f>
        <v>0</v>
      </c>
      <c r="AP131" s="37" t="n">
        <f aca="false">AO131+AP127-AP130</f>
        <v>0</v>
      </c>
      <c r="AQ131" s="37" t="n">
        <f aca="false">AP131+AQ127-AQ130</f>
        <v>0</v>
      </c>
      <c r="AR131" s="37" t="n">
        <f aca="false">AQ131+AR127-AR130</f>
        <v>0</v>
      </c>
      <c r="AS131" s="37" t="n">
        <f aca="false">AR131+AS127-AS130</f>
        <v>0</v>
      </c>
      <c r="AT131" s="37" t="n">
        <f aca="false">AS131+AT127-AT130</f>
        <v>0</v>
      </c>
      <c r="AU131" s="37" t="n">
        <f aca="false">AT131+AU127-AU130</f>
        <v>0</v>
      </c>
      <c r="AV131" s="37" t="n">
        <f aca="false">AU131+AV127-AV130</f>
        <v>0</v>
      </c>
      <c r="AW131" s="37" t="n">
        <f aca="false">AV131+AW127-AW130</f>
        <v>0</v>
      </c>
      <c r="AX131" s="37" t="n">
        <f aca="false">AW131+AX127-AX130</f>
        <v>0</v>
      </c>
      <c r="AY131" s="37" t="n">
        <f aca="false">AX131+AY127-AY130</f>
        <v>0</v>
      </c>
      <c r="AZ131" s="37" t="n">
        <f aca="false">AY131+AZ127-AZ130</f>
        <v>0</v>
      </c>
      <c r="BA131" s="37" t="n">
        <f aca="false">AZ131+BA127-BA130</f>
        <v>0</v>
      </c>
      <c r="BB131" s="37" t="n">
        <f aca="false">BA131+BB127-BB130</f>
        <v>0</v>
      </c>
      <c r="BC131" s="37" t="n">
        <f aca="false">BB131+BC127-BC130</f>
        <v>0</v>
      </c>
      <c r="BD131" s="37" t="n">
        <f aca="false">BC131+BD127-BD130</f>
        <v>0</v>
      </c>
      <c r="BE131" s="37" t="n">
        <f aca="false">BD131+BE127-BE130</f>
        <v>0</v>
      </c>
      <c r="BF131" s="37" t="n">
        <f aca="false">BE131+BF127-BF130</f>
        <v>0</v>
      </c>
      <c r="BG131" s="37" t="n">
        <f aca="false">BF131+BG127-BG130</f>
        <v>0</v>
      </c>
      <c r="BH131" s="37" t="n">
        <f aca="false">BG131+BH127-BH130</f>
        <v>0</v>
      </c>
      <c r="BI131" s="37" t="n">
        <f aca="false">BH131+BI127-BI130</f>
        <v>0</v>
      </c>
      <c r="BJ131" s="37" t="n">
        <f aca="false">BI131+BJ127-BJ130</f>
        <v>0</v>
      </c>
      <c r="BK131" s="37" t="n">
        <f aca="false">BJ131+BK127-BK130</f>
        <v>0</v>
      </c>
      <c r="BL131" s="37" t="n">
        <f aca="false">BK131+BL127-BL130</f>
        <v>759668.28</v>
      </c>
      <c r="BM131" s="37" t="n">
        <f aca="false">BL131+BM127-BM130</f>
        <v>759668.28</v>
      </c>
      <c r="BN131" s="37" t="n">
        <f aca="false">BM131+BN127-BN130</f>
        <v>759668.28</v>
      </c>
      <c r="BO131" s="37" t="n">
        <f aca="false">BN131+BO127-BO130</f>
        <v>759668.28</v>
      </c>
      <c r="BP131" s="37" t="n">
        <f aca="false">BO131+BP127-BP130</f>
        <v>759668.28</v>
      </c>
      <c r="BQ131" s="37" t="n">
        <f aca="false">BP131+BQ127-BQ130</f>
        <v>759668.28</v>
      </c>
      <c r="BR131" s="37" t="n">
        <f aca="false">BQ131+BR127-BR130</f>
        <v>759668.28</v>
      </c>
      <c r="BS131" s="37" t="n">
        <f aca="false">BR131+BS127-BS130</f>
        <v>759668.28</v>
      </c>
      <c r="BT131" s="37" t="n">
        <f aca="false">BS131+BT127-BT130</f>
        <v>759668.28</v>
      </c>
      <c r="BU131" s="37" t="n">
        <f aca="false">BT131+BU127-BU130</f>
        <v>759668.28</v>
      </c>
      <c r="BV131" s="37" t="n">
        <f aca="false">BU131+BV127-BV130</f>
        <v>759668.28</v>
      </c>
      <c r="BW131" s="37" t="n">
        <f aca="false">BV131+BW127-BW130</f>
        <v>759668.28</v>
      </c>
      <c r="BX131" s="37" t="n">
        <f aca="false">BW131+BX127-BX130</f>
        <v>759668.28</v>
      </c>
      <c r="BY131" s="37" t="n">
        <f aca="false">BX131+BY127-BY130</f>
        <v>759668.28</v>
      </c>
      <c r="BZ131" s="37" t="n">
        <f aca="false">BY131+BZ127-BZ130</f>
        <v>759668.28</v>
      </c>
      <c r="CA131" s="37" t="n">
        <f aca="false">BZ131+CA127-CA130</f>
        <v>759668.28</v>
      </c>
      <c r="CB131" s="37" t="n">
        <f aca="false">CA131+CB127-CB130</f>
        <v>759668.28</v>
      </c>
      <c r="CC131" s="37" t="n">
        <f aca="false">CB131+CC127-CC130</f>
        <v>759668.28</v>
      </c>
      <c r="CD131" s="37" t="n">
        <f aca="false">CC131+CD127-CD130</f>
        <v>759668.28</v>
      </c>
      <c r="CE131" s="37" t="n">
        <f aca="false">CD131+CE127-CE130</f>
        <v>759668.28</v>
      </c>
      <c r="CF131" s="37" t="n">
        <f aca="false">CE131+CF127-CF130</f>
        <v>759668.28</v>
      </c>
      <c r="CG131" s="37" t="n">
        <f aca="false">CF131+CG127-CG130</f>
        <v>759668.28</v>
      </c>
      <c r="CH131" s="37" t="n">
        <f aca="false">CG131+CH127-CH130</f>
        <v>759668.28</v>
      </c>
      <c r="CI131" s="37" t="n">
        <f aca="false">CH131+CI127-CI130</f>
        <v>759668.28</v>
      </c>
      <c r="CJ131" s="37" t="n">
        <f aca="false">CI131+CJ127-CJ130</f>
        <v>759668.28</v>
      </c>
      <c r="CK131" s="37" t="n">
        <f aca="false">CJ131+CK127-CK130</f>
        <v>759668.28</v>
      </c>
      <c r="CL131" s="37" t="n">
        <f aca="false">CK131+CL127-CL130</f>
        <v>759668.28</v>
      </c>
      <c r="CM131" s="37" t="n">
        <f aca="false">CL131+CM127-CM130</f>
        <v>759668.28</v>
      </c>
      <c r="CN131" s="37" t="n">
        <f aca="false">CM131+CN127-CN130</f>
        <v>759668.28</v>
      </c>
      <c r="CO131" s="37" t="n">
        <f aca="false">CN131+CO127-CO130</f>
        <v>759668.28</v>
      </c>
      <c r="CP131" s="37" t="n">
        <f aca="false">CO131+CP127-CP130</f>
        <v>759668.28</v>
      </c>
      <c r="CQ131" s="37" t="n">
        <f aca="false">CP131+CQ127-CQ130</f>
        <v>759668.28</v>
      </c>
      <c r="CR131" s="37" t="n">
        <f aca="false">CQ131+CR127-CR130</f>
        <v>759668.28</v>
      </c>
      <c r="CS131" s="37" t="n">
        <f aca="false">CR131+CS127-CS130</f>
        <v>759668.28</v>
      </c>
      <c r="CT131" s="37" t="n">
        <f aca="false">CS131+CT127-CT130</f>
        <v>759668.28</v>
      </c>
      <c r="CU131" s="37" t="n">
        <f aca="false">CT131+CU127-CU130</f>
        <v>759668.28</v>
      </c>
      <c r="CV131" s="37" t="n">
        <f aca="false">CU131+CV127-CV130</f>
        <v>759668.28</v>
      </c>
      <c r="CW131" s="37" t="n">
        <f aca="false">CV131+CW127-CW130</f>
        <v>759668.28</v>
      </c>
      <c r="CX131" s="37" t="n">
        <f aca="false">CW131+CX127-CX130</f>
        <v>759668.28</v>
      </c>
      <c r="CY131" s="37" t="n">
        <f aca="false">CX131+CY127-CY130</f>
        <v>759668.28</v>
      </c>
      <c r="CZ131" s="37" t="n">
        <f aca="false">CY131+CZ127-CZ130</f>
        <v>759668.28</v>
      </c>
      <c r="DA131" s="37" t="n">
        <f aca="false">CZ131+DA127-DA130</f>
        <v>759668.28</v>
      </c>
      <c r="DB131" s="37" t="n">
        <f aca="false">DA131+DB127-DB130</f>
        <v>759668.28</v>
      </c>
      <c r="DC131" s="37" t="n">
        <f aca="false">DB131+DC127-DC130</f>
        <v>759668.28</v>
      </c>
      <c r="DD131" s="37" t="n">
        <f aca="false">DC131+DD127-DD130</f>
        <v>759668.28</v>
      </c>
      <c r="DE131" s="37" t="n">
        <f aca="false">DD131+DE127-DE130</f>
        <v>759668.28</v>
      </c>
      <c r="DF131" s="37" t="n">
        <f aca="false">DE131+DF127-DF130</f>
        <v>759668.28</v>
      </c>
      <c r="DG131" s="37" t="n">
        <f aca="false">DF131+DG127-DG130</f>
        <v>759668.28</v>
      </c>
      <c r="DH131" s="37" t="n">
        <f aca="false">DG131+DH127-DH130</f>
        <v>759668.28</v>
      </c>
      <c r="DI131" s="37" t="n">
        <f aca="false">DH131+DI127-DI130</f>
        <v>759668.28</v>
      </c>
      <c r="DJ131" s="37" t="n">
        <f aca="false">DI131+DJ127-DJ130</f>
        <v>759668.28</v>
      </c>
      <c r="DK131" s="37" t="n">
        <f aca="false">DJ131+DK127-DK130</f>
        <v>759668.28</v>
      </c>
      <c r="DL131" s="37" t="n">
        <f aca="false">DK131+DL127-DL130</f>
        <v>759668.28</v>
      </c>
      <c r="DM131" s="37" t="n">
        <f aca="false">DL131+DM127-DM130</f>
        <v>759668.28</v>
      </c>
      <c r="DN131" s="37" t="n">
        <f aca="false">DM131+DN127-DN130</f>
        <v>759668.28</v>
      </c>
      <c r="DO131" s="37" t="n">
        <f aca="false">DN131+DO127-DO130</f>
        <v>759668.28</v>
      </c>
      <c r="DP131" s="37" t="n">
        <f aca="false">DO131+DP127-DP130</f>
        <v>759668.28</v>
      </c>
      <c r="DQ131" s="37" t="n">
        <f aca="false">DP131+DQ127-DQ130</f>
        <v>759668.28</v>
      </c>
      <c r="DR131" s="37" t="n">
        <f aca="false">DQ131+DR127-DR130</f>
        <v>759668.28</v>
      </c>
      <c r="DS131" s="37" t="n">
        <f aca="false">DR131+DS127-DS130</f>
        <v>759668.28</v>
      </c>
      <c r="DT131" s="37" t="n">
        <f aca="false">DS131+DT127-DT130</f>
        <v>0</v>
      </c>
      <c r="DU131" s="37" t="n">
        <f aca="false">DT131+DU127-DU130</f>
        <v>0</v>
      </c>
      <c r="DV131" s="37" t="n">
        <f aca="false">DU131+DV127-DV130</f>
        <v>0</v>
      </c>
      <c r="DW131" s="37" t="n">
        <f aca="false">DV131+DW127-DW130</f>
        <v>0</v>
      </c>
      <c r="DX131" s="37" t="n">
        <f aca="false">DW131+DX127-DX130</f>
        <v>0</v>
      </c>
      <c r="DY131" s="37" t="n">
        <f aca="false">DX131+DY127-DY130</f>
        <v>0</v>
      </c>
      <c r="DZ131" s="37" t="n">
        <f aca="false">DY131+DZ127-DZ130</f>
        <v>0</v>
      </c>
      <c r="EA131" s="37" t="n">
        <f aca="false">DZ131+EA127-EA130</f>
        <v>0</v>
      </c>
      <c r="EB131" s="37" t="n">
        <f aca="false">EA131+EB127-EB130</f>
        <v>0</v>
      </c>
      <c r="EC131" s="37" t="n">
        <f aca="false">EB131+EC127-EC130</f>
        <v>0</v>
      </c>
      <c r="ED131" s="37" t="n">
        <f aca="false">EC131+ED127-ED130</f>
        <v>0</v>
      </c>
      <c r="EE131" s="37" t="n">
        <f aca="false">ED131+EE127-EE130</f>
        <v>0</v>
      </c>
      <c r="EF131" s="37" t="n">
        <f aca="false">EE131+EF127-EF130</f>
        <v>0</v>
      </c>
    </row>
    <row r="133" customFormat="false" ht="15" hidden="false" customHeight="false" outlineLevel="0" collapsed="false">
      <c r="A133" s="6" t="s">
        <v>518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</row>
    <row r="134" customFormat="false" ht="15" hidden="false" customHeight="false" outlineLevel="0" collapsed="false">
      <c r="A134" s="36" t="s">
        <v>668</v>
      </c>
      <c r="B134" s="278" t="s">
        <v>21</v>
      </c>
      <c r="C134" s="279" t="n">
        <f aca="false">SUM(E134:EF134)</f>
        <v>0</v>
      </c>
      <c r="E134" s="37" t="n">
        <f aca="false">SUMIF(①통합_가정!$N$543:$N$545,E6,①통합_가정!$E$543:$E$545)</f>
        <v>0</v>
      </c>
      <c r="F134" s="37" t="n">
        <f aca="false">SUMIF(①통합_가정!$N$543:$N$545,F6,①통합_가정!$E$543:$E$545)</f>
        <v>0</v>
      </c>
      <c r="G134" s="37" t="n">
        <f aca="false">SUMIF(①통합_가정!$N$543:$N$545,G6,①통합_가정!$E$543:$E$545)</f>
        <v>0</v>
      </c>
      <c r="H134" s="37" t="n">
        <f aca="false">SUMIF(①통합_가정!$N$543:$N$545,H6,①통합_가정!$E$543:$E$545)</f>
        <v>0</v>
      </c>
      <c r="I134" s="37" t="n">
        <f aca="false">SUMIF(①통합_가정!$N$543:$N$545,I6,①통합_가정!$E$543:$E$545)</f>
        <v>0</v>
      </c>
      <c r="J134" s="37" t="n">
        <f aca="false">SUMIF(①통합_가정!$N$543:$N$545,J6,①통합_가정!$E$543:$E$545)</f>
        <v>0</v>
      </c>
      <c r="K134" s="37" t="n">
        <f aca="false">SUMIF(①통합_가정!$N$543:$N$545,K6,①통합_가정!$E$543:$E$545)</f>
        <v>0</v>
      </c>
      <c r="L134" s="37" t="n">
        <f aca="false">SUMIF(①통합_가정!$N$543:$N$545,L6,①통합_가정!$E$543:$E$545)</f>
        <v>0</v>
      </c>
      <c r="M134" s="37" t="n">
        <f aca="false">SUMIF(①통합_가정!$N$543:$N$545,M6,①통합_가정!$E$543:$E$545)</f>
        <v>0</v>
      </c>
      <c r="N134" s="37" t="n">
        <f aca="false">SUMIF(①통합_가정!$N$543:$N$545,N6,①통합_가정!$E$543:$E$545)</f>
        <v>0</v>
      </c>
      <c r="O134" s="37" t="n">
        <f aca="false">SUMIF(①통합_가정!$N$543:$N$545,O6,①통합_가정!$E$543:$E$545)</f>
        <v>0</v>
      </c>
      <c r="P134" s="37" t="n">
        <f aca="false">SUMIF(①통합_가정!$N$543:$N$545,P6,①통합_가정!$E$543:$E$545)</f>
        <v>0</v>
      </c>
      <c r="Q134" s="37" t="n">
        <f aca="false">SUMIF(①통합_가정!$N$543:$N$545,Q6,①통합_가정!$E$543:$E$545)</f>
        <v>0</v>
      </c>
      <c r="R134" s="37" t="n">
        <f aca="false">SUMIF(①통합_가정!$N$543:$N$545,R6,①통합_가정!$E$543:$E$545)</f>
        <v>0</v>
      </c>
      <c r="S134" s="37" t="n">
        <f aca="false">SUMIF(①통합_가정!$N$543:$N$545,S6,①통합_가정!$E$543:$E$545)</f>
        <v>0</v>
      </c>
      <c r="T134" s="37" t="n">
        <f aca="false">SUMIF(①통합_가정!$N$543:$N$545,T6,①통합_가정!$E$543:$E$545)</f>
        <v>0</v>
      </c>
      <c r="U134" s="37" t="n">
        <f aca="false">SUMIF(①통합_가정!$N$543:$N$545,U6,①통합_가정!$E$543:$E$545)</f>
        <v>0</v>
      </c>
      <c r="V134" s="37" t="n">
        <f aca="false">SUMIF(①통합_가정!$N$543:$N$545,V6,①통합_가정!$E$543:$E$545)</f>
        <v>0</v>
      </c>
      <c r="W134" s="37" t="n">
        <f aca="false">SUMIF(①통합_가정!$N$543:$N$545,W6,①통합_가정!$E$543:$E$545)</f>
        <v>0</v>
      </c>
      <c r="X134" s="37" t="n">
        <f aca="false">SUMIF(①통합_가정!$N$543:$N$545,X6,①통합_가정!$E$543:$E$545)</f>
        <v>0</v>
      </c>
      <c r="Y134" s="37" t="n">
        <f aca="false">SUMIF(①통합_가정!$N$543:$N$545,Y6,①통합_가정!$E$543:$E$545)</f>
        <v>0</v>
      </c>
      <c r="Z134" s="37" t="n">
        <f aca="false">SUMIF(①통합_가정!$N$543:$N$545,Z6,①통합_가정!$E$543:$E$545)</f>
        <v>0</v>
      </c>
      <c r="AA134" s="37" t="n">
        <f aca="false">SUMIF(①통합_가정!$N$543:$N$545,AA6,①통합_가정!$E$543:$E$545)</f>
        <v>0</v>
      </c>
      <c r="AB134" s="37" t="n">
        <f aca="false">SUMIF(①통합_가정!$N$543:$N$545,AB6,①통합_가정!$E$543:$E$545)</f>
        <v>0</v>
      </c>
      <c r="AC134" s="37" t="n">
        <f aca="false">SUMIF(①통합_가정!$N$543:$N$545,AC6,①통합_가정!$E$543:$E$545)</f>
        <v>0</v>
      </c>
      <c r="AD134" s="37" t="n">
        <f aca="false">SUMIF(①통합_가정!$N$543:$N$545,AD6,①통합_가정!$E$543:$E$545)</f>
        <v>0</v>
      </c>
      <c r="AE134" s="37" t="n">
        <f aca="false">SUMIF(①통합_가정!$N$543:$N$545,AE6,①통합_가정!$E$543:$E$545)</f>
        <v>0</v>
      </c>
      <c r="AF134" s="37" t="n">
        <f aca="false">SUMIF(①통합_가정!$N$543:$N$545,AF6,①통합_가정!$E$543:$E$545)</f>
        <v>0</v>
      </c>
      <c r="AG134" s="37" t="n">
        <f aca="false">SUMIF(①통합_가정!$N$543:$N$545,AG6,①통합_가정!$E$543:$E$545)</f>
        <v>0</v>
      </c>
      <c r="AH134" s="37" t="n">
        <f aca="false">SUMIF(①통합_가정!$N$543:$N$545,AH6,①통합_가정!$E$543:$E$545)</f>
        <v>0</v>
      </c>
      <c r="AI134" s="37" t="n">
        <f aca="false">SUMIF(①통합_가정!$N$543:$N$545,AI6,①통합_가정!$E$543:$E$545)</f>
        <v>0</v>
      </c>
      <c r="AJ134" s="37" t="n">
        <f aca="false">SUMIF(①통합_가정!$N$543:$N$545,AJ6,①통합_가정!$E$543:$E$545)</f>
        <v>0</v>
      </c>
      <c r="AK134" s="37" t="n">
        <f aca="false">SUMIF(①통합_가정!$N$543:$N$545,AK6,①통합_가정!$E$543:$E$545)</f>
        <v>0</v>
      </c>
      <c r="AL134" s="37" t="n">
        <f aca="false">SUMIF(①통합_가정!$N$543:$N$545,AL6,①통합_가정!$E$543:$E$545)</f>
        <v>0</v>
      </c>
      <c r="AM134" s="37" t="n">
        <f aca="false">SUMIF(①통합_가정!$N$543:$N$545,AM6,①통합_가정!$E$543:$E$545)</f>
        <v>0</v>
      </c>
      <c r="AN134" s="37" t="n">
        <f aca="false">SUMIF(①통합_가정!$N$543:$N$545,AN6,①통합_가정!$E$543:$E$545)</f>
        <v>0</v>
      </c>
      <c r="AO134" s="37" t="n">
        <f aca="false">SUMIF(①통합_가정!$N$543:$N$545,AO6,①통합_가정!$E$543:$E$545)</f>
        <v>0</v>
      </c>
      <c r="AP134" s="37" t="n">
        <f aca="false">SUMIF(①통합_가정!$N$543:$N$545,AP6,①통합_가정!$E$543:$E$545)</f>
        <v>0</v>
      </c>
      <c r="AQ134" s="37" t="n">
        <f aca="false">SUMIF(①통합_가정!$N$543:$N$545,AQ6,①통합_가정!$E$543:$E$545)</f>
        <v>0</v>
      </c>
      <c r="AR134" s="37" t="n">
        <f aca="false">SUMIF(①통합_가정!$N$543:$N$545,AR6,①통합_가정!$E$543:$E$545)</f>
        <v>0</v>
      </c>
      <c r="AS134" s="37" t="n">
        <f aca="false">SUMIF(①통합_가정!$N$543:$N$545,AS6,①통합_가정!$E$543:$E$545)</f>
        <v>0</v>
      </c>
      <c r="AT134" s="37" t="n">
        <f aca="false">SUMIF(①통합_가정!$N$543:$N$545,AT6,①통합_가정!$E$543:$E$545)</f>
        <v>0</v>
      </c>
      <c r="AU134" s="37" t="n">
        <f aca="false">SUMIF(①통합_가정!$N$543:$N$545,AU6,①통합_가정!$E$543:$E$545)</f>
        <v>0</v>
      </c>
      <c r="AV134" s="37" t="n">
        <f aca="false">SUMIF(①통합_가정!$N$543:$N$545,AV6,①통합_가정!$E$543:$E$545)</f>
        <v>0</v>
      </c>
      <c r="AW134" s="37" t="n">
        <f aca="false">SUMIF(①통합_가정!$N$543:$N$545,AW6,①통합_가정!$E$543:$E$545)</f>
        <v>0</v>
      </c>
      <c r="AX134" s="37" t="n">
        <f aca="false">SUMIF(①통합_가정!$N$543:$N$545,AX6,①통합_가정!$E$543:$E$545)</f>
        <v>0</v>
      </c>
      <c r="AY134" s="37" t="n">
        <f aca="false">SUMIF(①통합_가정!$N$543:$N$545,AY6,①통합_가정!$E$543:$E$545)</f>
        <v>0</v>
      </c>
      <c r="AZ134" s="37" t="n">
        <f aca="false">SUMIF(①통합_가정!$N$543:$N$545,AZ6,①통합_가정!$E$543:$E$545)</f>
        <v>0</v>
      </c>
      <c r="BA134" s="37" t="n">
        <f aca="false">SUMIF(①통합_가정!$N$543:$N$545,BA6,①통합_가정!$E$543:$E$545)</f>
        <v>0</v>
      </c>
      <c r="BB134" s="37" t="n">
        <f aca="false">SUMIF(①통합_가정!$N$543:$N$545,BB6,①통합_가정!$E$543:$E$545)</f>
        <v>0</v>
      </c>
      <c r="BC134" s="37" t="n">
        <f aca="false">SUMIF(①통합_가정!$N$543:$N$545,BC6,①통합_가정!$E$543:$E$545)</f>
        <v>0</v>
      </c>
      <c r="BD134" s="37" t="n">
        <f aca="false">SUMIF(①통합_가정!$N$543:$N$545,BD6,①통합_가정!$E$543:$E$545)</f>
        <v>0</v>
      </c>
      <c r="BE134" s="37" t="n">
        <f aca="false">SUMIF(①통합_가정!$N$543:$N$545,BE6,①통합_가정!$E$543:$E$545)</f>
        <v>0</v>
      </c>
      <c r="BF134" s="37" t="n">
        <f aca="false">SUMIF(①통합_가정!$N$543:$N$545,BF6,①통합_가정!$E$543:$E$545)</f>
        <v>0</v>
      </c>
      <c r="BG134" s="37" t="n">
        <f aca="false">SUMIF(①통합_가정!$N$543:$N$545,BG6,①통합_가정!$E$543:$E$545)</f>
        <v>0</v>
      </c>
      <c r="BH134" s="37" t="n">
        <f aca="false">SUMIF(①통합_가정!$N$543:$N$545,BH6,①통합_가정!$E$543:$E$545)</f>
        <v>0</v>
      </c>
      <c r="BI134" s="37" t="n">
        <f aca="false">SUMIF(①통합_가정!$N$543:$N$545,BI6,①통합_가정!$E$543:$E$545)</f>
        <v>0</v>
      </c>
      <c r="BJ134" s="37" t="n">
        <f aca="false">SUMIF(①통합_가정!$N$543:$N$545,BJ6,①통합_가정!$E$543:$E$545)</f>
        <v>0</v>
      </c>
      <c r="BK134" s="37" t="n">
        <f aca="false">SUMIF(①통합_가정!$N$543:$N$545,BK6,①통합_가정!$E$543:$E$545)</f>
        <v>0</v>
      </c>
      <c r="BL134" s="37" t="n">
        <f aca="false">SUMIF(①통합_가정!$N$543:$N$545,BL6,①통합_가정!$E$543:$E$545)</f>
        <v>0</v>
      </c>
      <c r="BM134" s="37" t="n">
        <f aca="false">SUMIF(①통합_가정!$N$543:$N$545,BM6,①통합_가정!$E$543:$E$545)</f>
        <v>0</v>
      </c>
      <c r="BN134" s="37" t="n">
        <f aca="false">SUMIF(①통합_가정!$N$543:$N$545,BN6,①통합_가정!$E$543:$E$545)</f>
        <v>0</v>
      </c>
      <c r="BO134" s="37" t="n">
        <f aca="false">SUMIF(①통합_가정!$N$543:$N$545,BO6,①통합_가정!$E$543:$E$545)</f>
        <v>0</v>
      </c>
      <c r="BP134" s="37" t="n">
        <f aca="false">SUMIF(①통합_가정!$N$543:$N$545,BP6,①통합_가정!$E$543:$E$545)</f>
        <v>0</v>
      </c>
      <c r="BQ134" s="37" t="n">
        <f aca="false">SUMIF(①통합_가정!$N$543:$N$545,BQ6,①통합_가정!$E$543:$E$545)</f>
        <v>0</v>
      </c>
      <c r="BR134" s="37" t="n">
        <f aca="false">SUMIF(①통합_가정!$N$543:$N$545,BR6,①통합_가정!$E$543:$E$545)</f>
        <v>0</v>
      </c>
      <c r="BS134" s="37" t="n">
        <f aca="false">SUMIF(①통합_가정!$N$543:$N$545,BS6,①통합_가정!$E$543:$E$545)</f>
        <v>0</v>
      </c>
      <c r="BT134" s="37" t="n">
        <f aca="false">SUMIF(①통합_가정!$N$543:$N$545,BT6,①통합_가정!$E$543:$E$545)</f>
        <v>0</v>
      </c>
      <c r="BU134" s="37" t="n">
        <f aca="false">SUMIF(①통합_가정!$N$543:$N$545,BU6,①통합_가정!$E$543:$E$545)</f>
        <v>0</v>
      </c>
      <c r="BV134" s="37" t="n">
        <f aca="false">SUMIF(①통합_가정!$N$543:$N$545,BV6,①통합_가정!$E$543:$E$545)</f>
        <v>0</v>
      </c>
      <c r="BW134" s="37" t="n">
        <f aca="false">SUMIF(①통합_가정!$N$543:$N$545,BW6,①통합_가정!$E$543:$E$545)</f>
        <v>0</v>
      </c>
      <c r="BX134" s="37" t="n">
        <f aca="false">SUMIF(①통합_가정!$N$543:$N$545,BX6,①통합_가정!$E$543:$E$545)</f>
        <v>0</v>
      </c>
      <c r="BY134" s="37" t="n">
        <f aca="false">SUMIF(①통합_가정!$N$543:$N$545,BY6,①통합_가정!$E$543:$E$545)</f>
        <v>0</v>
      </c>
      <c r="BZ134" s="37" t="n">
        <f aca="false">SUMIF(①통합_가정!$N$543:$N$545,BZ6,①통합_가정!$E$543:$E$545)</f>
        <v>0</v>
      </c>
      <c r="CA134" s="37" t="n">
        <f aca="false">SUMIF(①통합_가정!$N$543:$N$545,CA6,①통합_가정!$E$543:$E$545)</f>
        <v>0</v>
      </c>
      <c r="CB134" s="37" t="n">
        <f aca="false">SUMIF(①통합_가정!$N$543:$N$545,CB6,①통합_가정!$E$543:$E$545)</f>
        <v>0</v>
      </c>
      <c r="CC134" s="37" t="n">
        <f aca="false">SUMIF(①통합_가정!$N$543:$N$545,CC6,①통합_가정!$E$543:$E$545)</f>
        <v>0</v>
      </c>
      <c r="CD134" s="37" t="n">
        <f aca="false">SUMIF(①통합_가정!$N$543:$N$545,CD6,①통합_가정!$E$543:$E$545)</f>
        <v>0</v>
      </c>
      <c r="CE134" s="37" t="n">
        <f aca="false">SUMIF(①통합_가정!$N$543:$N$545,CE6,①통합_가정!$E$543:$E$545)</f>
        <v>0</v>
      </c>
      <c r="CF134" s="37" t="n">
        <f aca="false">SUMIF(①통합_가정!$N$543:$N$545,CF6,①통합_가정!$E$543:$E$545)</f>
        <v>0</v>
      </c>
      <c r="CG134" s="37" t="n">
        <f aca="false">SUMIF(①통합_가정!$N$543:$N$545,CG6,①통합_가정!$E$543:$E$545)</f>
        <v>0</v>
      </c>
      <c r="CH134" s="37" t="n">
        <f aca="false">SUMIF(①통합_가정!$N$543:$N$545,CH6,①통합_가정!$E$543:$E$545)</f>
        <v>0</v>
      </c>
      <c r="CI134" s="37" t="n">
        <f aca="false">SUMIF(①통합_가정!$N$543:$N$545,CI6,①통합_가정!$E$543:$E$545)</f>
        <v>0</v>
      </c>
      <c r="CJ134" s="37" t="n">
        <f aca="false">SUMIF(①통합_가정!$N$543:$N$545,CJ6,①통합_가정!$E$543:$E$545)</f>
        <v>0</v>
      </c>
      <c r="CK134" s="37" t="n">
        <f aca="false">SUMIF(①통합_가정!$N$543:$N$545,CK6,①통합_가정!$E$543:$E$545)</f>
        <v>0</v>
      </c>
      <c r="CL134" s="37" t="n">
        <f aca="false">SUMIF(①통합_가정!$N$543:$N$545,CL6,①통합_가정!$E$543:$E$545)</f>
        <v>0</v>
      </c>
      <c r="CM134" s="37" t="n">
        <f aca="false">SUMIF(①통합_가정!$N$543:$N$545,CM6,①통합_가정!$E$543:$E$545)</f>
        <v>0</v>
      </c>
      <c r="CN134" s="37" t="n">
        <f aca="false">SUMIF(①통합_가정!$N$543:$N$545,CN6,①통합_가정!$E$543:$E$545)</f>
        <v>0</v>
      </c>
      <c r="CO134" s="37" t="n">
        <f aca="false">SUMIF(①통합_가정!$N$543:$N$545,CO6,①통합_가정!$E$543:$E$545)</f>
        <v>0</v>
      </c>
      <c r="CP134" s="37" t="n">
        <f aca="false">SUMIF(①통합_가정!$N$543:$N$545,CP6,①통합_가정!$E$543:$E$545)</f>
        <v>0</v>
      </c>
      <c r="CQ134" s="37" t="n">
        <f aca="false">SUMIF(①통합_가정!$N$543:$N$545,CQ6,①통합_가정!$E$543:$E$545)</f>
        <v>0</v>
      </c>
      <c r="CR134" s="37" t="n">
        <f aca="false">SUMIF(①통합_가정!$N$543:$N$545,CR6,①통합_가정!$E$543:$E$545)</f>
        <v>0</v>
      </c>
      <c r="CS134" s="37" t="n">
        <f aca="false">SUMIF(①통합_가정!$N$543:$N$545,CS6,①통합_가정!$E$543:$E$545)</f>
        <v>0</v>
      </c>
      <c r="CT134" s="37" t="n">
        <f aca="false">SUMIF(①통합_가정!$N$543:$N$545,CT6,①통합_가정!$E$543:$E$545)</f>
        <v>0</v>
      </c>
      <c r="CU134" s="37" t="n">
        <f aca="false">SUMIF(①통합_가정!$N$543:$N$545,CU6,①통합_가정!$E$543:$E$545)</f>
        <v>0</v>
      </c>
      <c r="CV134" s="37" t="n">
        <f aca="false">SUMIF(①통합_가정!$N$543:$N$545,CV6,①통합_가정!$E$543:$E$545)</f>
        <v>0</v>
      </c>
      <c r="CW134" s="37" t="n">
        <f aca="false">SUMIF(①통합_가정!$N$543:$N$545,CW6,①통합_가정!$E$543:$E$545)</f>
        <v>0</v>
      </c>
      <c r="CX134" s="37" t="n">
        <f aca="false">SUMIF(①통합_가정!$N$543:$N$545,CX6,①통합_가정!$E$543:$E$545)</f>
        <v>0</v>
      </c>
      <c r="CY134" s="37" t="n">
        <f aca="false">SUMIF(①통합_가정!$N$543:$N$545,CY6,①통합_가정!$E$543:$E$545)</f>
        <v>0</v>
      </c>
      <c r="CZ134" s="37" t="n">
        <f aca="false">SUMIF(①통합_가정!$N$543:$N$545,CZ6,①통합_가정!$E$543:$E$545)</f>
        <v>0</v>
      </c>
      <c r="DA134" s="37" t="n">
        <f aca="false">SUMIF(①통합_가정!$N$543:$N$545,DA6,①통합_가정!$E$543:$E$545)</f>
        <v>0</v>
      </c>
      <c r="DB134" s="37" t="n">
        <f aca="false">SUMIF(①통합_가정!$N$543:$N$545,DB6,①통합_가정!$E$543:$E$545)</f>
        <v>0</v>
      </c>
      <c r="DC134" s="37" t="n">
        <f aca="false">SUMIF(①통합_가정!$N$543:$N$545,DC6,①통합_가정!$E$543:$E$545)</f>
        <v>0</v>
      </c>
      <c r="DD134" s="37" t="n">
        <f aca="false">SUMIF(①통합_가정!$N$543:$N$545,DD6,①통합_가정!$E$543:$E$545)</f>
        <v>0</v>
      </c>
      <c r="DE134" s="37" t="n">
        <f aca="false">SUMIF(①통합_가정!$N$543:$N$545,DE6,①통합_가정!$E$543:$E$545)</f>
        <v>0</v>
      </c>
      <c r="DF134" s="37" t="n">
        <f aca="false">SUMIF(①통합_가정!$N$543:$N$545,DF6,①통합_가정!$E$543:$E$545)</f>
        <v>0</v>
      </c>
      <c r="DG134" s="37" t="n">
        <f aca="false">SUMIF(①통합_가정!$N$543:$N$545,DG6,①통합_가정!$E$543:$E$545)</f>
        <v>0</v>
      </c>
      <c r="DH134" s="37" t="n">
        <f aca="false">SUMIF(①통합_가정!$N$543:$N$545,DH6,①통합_가정!$E$543:$E$545)</f>
        <v>0</v>
      </c>
      <c r="DI134" s="37" t="n">
        <f aca="false">SUMIF(①통합_가정!$N$543:$N$545,DI6,①통합_가정!$E$543:$E$545)</f>
        <v>0</v>
      </c>
      <c r="DJ134" s="37" t="n">
        <f aca="false">SUMIF(①통합_가정!$N$543:$N$545,DJ6,①통합_가정!$E$543:$E$545)</f>
        <v>0</v>
      </c>
      <c r="DK134" s="37" t="n">
        <f aca="false">SUMIF(①통합_가정!$N$543:$N$545,DK6,①통합_가정!$E$543:$E$545)</f>
        <v>0</v>
      </c>
      <c r="DL134" s="37" t="n">
        <f aca="false">SUMIF(①통합_가정!$N$543:$N$545,DL6,①통합_가정!$E$543:$E$545)</f>
        <v>0</v>
      </c>
      <c r="DM134" s="37" t="n">
        <f aca="false">SUMIF(①통합_가정!$N$543:$N$545,DM6,①통합_가정!$E$543:$E$545)</f>
        <v>0</v>
      </c>
      <c r="DN134" s="37" t="n">
        <f aca="false">SUMIF(①통합_가정!$N$543:$N$545,DN6,①통합_가정!$E$543:$E$545)</f>
        <v>0</v>
      </c>
      <c r="DO134" s="37" t="n">
        <f aca="false">SUMIF(①통합_가정!$N$543:$N$545,DO6,①통합_가정!$E$543:$E$545)</f>
        <v>0</v>
      </c>
      <c r="DP134" s="37" t="n">
        <f aca="false">SUMIF(①통합_가정!$N$543:$N$545,DP6,①통합_가정!$E$543:$E$545)</f>
        <v>0</v>
      </c>
      <c r="DQ134" s="37" t="n">
        <f aca="false">SUMIF(①통합_가정!$N$543:$N$545,DQ6,①통합_가정!$E$543:$E$545)</f>
        <v>0</v>
      </c>
      <c r="DR134" s="37" t="n">
        <f aca="false">SUMIF(①통합_가정!$N$543:$N$545,DR6,①통합_가정!$E$543:$E$545)</f>
        <v>0</v>
      </c>
      <c r="DS134" s="37" t="n">
        <f aca="false">SUMIF(①통합_가정!$N$543:$N$545,DS6,①통합_가정!$E$543:$E$545)</f>
        <v>0</v>
      </c>
      <c r="DT134" s="37" t="n">
        <f aca="false">SUMIF(①통합_가정!$N$543:$N$545,DT6,①통합_가정!$E$543:$E$545)</f>
        <v>0</v>
      </c>
      <c r="DU134" s="37" t="n">
        <f aca="false">SUMIF(①통합_가정!$N$543:$N$545,DU6,①통합_가정!$E$543:$E$545)</f>
        <v>0</v>
      </c>
      <c r="DV134" s="37" t="n">
        <f aca="false">SUMIF(①통합_가정!$N$543:$N$545,DV6,①통합_가정!$E$543:$E$545)</f>
        <v>0</v>
      </c>
      <c r="DW134" s="37" t="n">
        <f aca="false">SUMIF(①통합_가정!$N$543:$N$545,DW6,①통합_가정!$E$543:$E$545)</f>
        <v>0</v>
      </c>
      <c r="DX134" s="37" t="n">
        <f aca="false">SUMIF(①통합_가정!$N$543:$N$545,DX6,①통합_가정!$E$543:$E$545)</f>
        <v>0</v>
      </c>
      <c r="DY134" s="37" t="n">
        <f aca="false">SUMIF(①통합_가정!$N$543:$N$545,DY6,①통합_가정!$E$543:$E$545)</f>
        <v>0</v>
      </c>
      <c r="DZ134" s="37" t="n">
        <f aca="false">SUMIF(①통합_가정!$N$543:$N$545,DZ6,①통합_가정!$E$543:$E$545)</f>
        <v>0</v>
      </c>
      <c r="EA134" s="37" t="n">
        <f aca="false">SUMIF(①통합_가정!$N$543:$N$545,EA6,①통합_가정!$E$543:$E$545)</f>
        <v>0</v>
      </c>
      <c r="EB134" s="37" t="n">
        <f aca="false">SUMIF(①통합_가정!$N$543:$N$545,EB6,①통합_가정!$E$543:$E$545)</f>
        <v>0</v>
      </c>
      <c r="EC134" s="37" t="n">
        <f aca="false">SUMIF(①통합_가정!$N$543:$N$545,EC6,①통합_가정!$E$543:$E$545)</f>
        <v>0</v>
      </c>
      <c r="ED134" s="37" t="n">
        <f aca="false">SUMIF(①통합_가정!$N$543:$N$545,ED6,①통합_가정!$E$543:$E$545)</f>
        <v>0</v>
      </c>
      <c r="EE134" s="37" t="n">
        <f aca="false">SUMIF(①통합_가정!$N$543:$N$545,EE6,①통합_가정!$E$543:$E$545)</f>
        <v>0</v>
      </c>
      <c r="EF134" s="37" t="n">
        <f aca="false">SUMIF(①통합_가정!$N$543:$N$545,EF6,①통합_가정!$E$543:$E$545)</f>
        <v>0</v>
      </c>
    </row>
    <row r="135" customFormat="false" ht="15" hidden="false" customHeight="false" outlineLevel="0" collapsed="false">
      <c r="A135" s="36" t="s">
        <v>669</v>
      </c>
      <c r="B135" s="278" t="s">
        <v>21</v>
      </c>
      <c r="C135" s="279" t="n">
        <f aca="false">SUM(E135:EF135)</f>
        <v>0</v>
      </c>
      <c r="E135" s="37" t="n">
        <f aca="false">SUMPRODUCT((①통합_가정!$N$543:$N$545&lt;E6)*(①통합_가정!$O$543:$O$545&gt;=E6)*①통합_가정!$E$543:$E$545*①통합_가정!$K$543:$K$545)/12</f>
        <v>0</v>
      </c>
      <c r="F135" s="37" t="n">
        <f aca="false">SUMPRODUCT((①통합_가정!$N$543:$N$545&lt;F6)*(①통합_가정!$O$543:$O$545&gt;=F6)*①통합_가정!$E$543:$E$545*①통합_가정!$K$543:$K$545)/12</f>
        <v>0</v>
      </c>
      <c r="G135" s="37" t="n">
        <f aca="false">SUMPRODUCT((①통합_가정!$N$543:$N$545&lt;G6)*(①통합_가정!$O$543:$O$545&gt;=G6)*①통합_가정!$E$543:$E$545*①통합_가정!$K$543:$K$545)/12</f>
        <v>0</v>
      </c>
      <c r="H135" s="37" t="n">
        <f aca="false">SUMPRODUCT((①통합_가정!$N$543:$N$545&lt;H6)*(①통합_가정!$O$543:$O$545&gt;=H6)*①통합_가정!$E$543:$E$545*①통합_가정!$K$543:$K$545)/12</f>
        <v>0</v>
      </c>
      <c r="I135" s="37" t="n">
        <f aca="false">SUMPRODUCT((①통합_가정!$N$543:$N$545&lt;I6)*(①통합_가정!$O$543:$O$545&gt;=I6)*①통합_가정!$E$543:$E$545*①통합_가정!$K$543:$K$545)/12</f>
        <v>0</v>
      </c>
      <c r="J135" s="37" t="n">
        <f aca="false">SUMPRODUCT((①통합_가정!$N$543:$N$545&lt;J6)*(①통합_가정!$O$543:$O$545&gt;=J6)*①통합_가정!$E$543:$E$545*①통합_가정!$K$543:$K$545)/12</f>
        <v>0</v>
      </c>
      <c r="K135" s="37" t="n">
        <f aca="false">SUMPRODUCT((①통합_가정!$N$543:$N$545&lt;K6)*(①통합_가정!$O$543:$O$545&gt;=K6)*①통합_가정!$E$543:$E$545*①통합_가정!$K$543:$K$545)/12</f>
        <v>0</v>
      </c>
      <c r="L135" s="37" t="n">
        <f aca="false">SUMPRODUCT((①통합_가정!$N$543:$N$545&lt;L6)*(①통합_가정!$O$543:$O$545&gt;=L6)*①통합_가정!$E$543:$E$545*①통합_가정!$K$543:$K$545)/12</f>
        <v>0</v>
      </c>
      <c r="M135" s="37" t="n">
        <f aca="false">SUMPRODUCT((①통합_가정!$N$543:$N$545&lt;M6)*(①통합_가정!$O$543:$O$545&gt;=M6)*①통합_가정!$E$543:$E$545*①통합_가정!$K$543:$K$545)/12</f>
        <v>0</v>
      </c>
      <c r="N135" s="37" t="n">
        <f aca="false">SUMPRODUCT((①통합_가정!$N$543:$N$545&lt;N6)*(①통합_가정!$O$543:$O$545&gt;=N6)*①통합_가정!$E$543:$E$545*①통합_가정!$K$543:$K$545)/12</f>
        <v>0</v>
      </c>
      <c r="O135" s="37" t="n">
        <f aca="false">SUMPRODUCT((①통합_가정!$N$543:$N$545&lt;O6)*(①통합_가정!$O$543:$O$545&gt;=O6)*①통합_가정!$E$543:$E$545*①통합_가정!$K$543:$K$545)/12</f>
        <v>0</v>
      </c>
      <c r="P135" s="37" t="n">
        <f aca="false">SUMPRODUCT((①통합_가정!$N$543:$N$545&lt;P6)*(①통합_가정!$O$543:$O$545&gt;=P6)*①통합_가정!$E$543:$E$545*①통합_가정!$K$543:$K$545)/12</f>
        <v>0</v>
      </c>
      <c r="Q135" s="37" t="n">
        <f aca="false">SUMPRODUCT((①통합_가정!$N$543:$N$545&lt;Q6)*(①통합_가정!$O$543:$O$545&gt;=Q6)*①통합_가정!$E$543:$E$545*①통합_가정!$K$543:$K$545)/12</f>
        <v>0</v>
      </c>
      <c r="R135" s="37" t="n">
        <f aca="false">SUMPRODUCT((①통합_가정!$N$543:$N$545&lt;R6)*(①통합_가정!$O$543:$O$545&gt;=R6)*①통합_가정!$E$543:$E$545*①통합_가정!$K$543:$K$545)/12</f>
        <v>0</v>
      </c>
      <c r="S135" s="37" t="n">
        <f aca="false">SUMPRODUCT((①통합_가정!$N$543:$N$545&lt;S6)*(①통합_가정!$O$543:$O$545&gt;=S6)*①통합_가정!$E$543:$E$545*①통합_가정!$K$543:$K$545)/12</f>
        <v>0</v>
      </c>
      <c r="T135" s="37" t="n">
        <f aca="false">SUMPRODUCT((①통합_가정!$N$543:$N$545&lt;T6)*(①통합_가정!$O$543:$O$545&gt;=T6)*①통합_가정!$E$543:$E$545*①통합_가정!$K$543:$K$545)/12</f>
        <v>0</v>
      </c>
      <c r="U135" s="37" t="n">
        <f aca="false">SUMPRODUCT((①통합_가정!$N$543:$N$545&lt;U6)*(①통합_가정!$O$543:$O$545&gt;=U6)*①통합_가정!$E$543:$E$545*①통합_가정!$K$543:$K$545)/12</f>
        <v>0</v>
      </c>
      <c r="V135" s="37" t="n">
        <f aca="false">SUMPRODUCT((①통합_가정!$N$543:$N$545&lt;V6)*(①통합_가정!$O$543:$O$545&gt;=V6)*①통합_가정!$E$543:$E$545*①통합_가정!$K$543:$K$545)/12</f>
        <v>0</v>
      </c>
      <c r="W135" s="37" t="n">
        <f aca="false">SUMPRODUCT((①통합_가정!$N$543:$N$545&lt;W6)*(①통합_가정!$O$543:$O$545&gt;=W6)*①통합_가정!$E$543:$E$545*①통합_가정!$K$543:$K$545)/12</f>
        <v>0</v>
      </c>
      <c r="X135" s="37" t="n">
        <f aca="false">SUMPRODUCT((①통합_가정!$N$543:$N$545&lt;X6)*(①통합_가정!$O$543:$O$545&gt;=X6)*①통합_가정!$E$543:$E$545*①통합_가정!$K$543:$K$545)/12</f>
        <v>0</v>
      </c>
      <c r="Y135" s="37" t="n">
        <f aca="false">SUMPRODUCT((①통합_가정!$N$543:$N$545&lt;Y6)*(①통합_가정!$O$543:$O$545&gt;=Y6)*①통합_가정!$E$543:$E$545*①통합_가정!$K$543:$K$545)/12</f>
        <v>0</v>
      </c>
      <c r="Z135" s="37" t="n">
        <f aca="false">SUMPRODUCT((①통합_가정!$N$543:$N$545&lt;Z6)*(①통합_가정!$O$543:$O$545&gt;=Z6)*①통합_가정!$E$543:$E$545*①통합_가정!$K$543:$K$545)/12</f>
        <v>0</v>
      </c>
      <c r="AA135" s="37" t="n">
        <f aca="false">SUMPRODUCT((①통합_가정!$N$543:$N$545&lt;AA6)*(①통합_가정!$O$543:$O$545&gt;=AA6)*①통합_가정!$E$543:$E$545*①통합_가정!$K$543:$K$545)/12</f>
        <v>0</v>
      </c>
      <c r="AB135" s="37" t="n">
        <f aca="false">SUMPRODUCT((①통합_가정!$N$543:$N$545&lt;AB6)*(①통합_가정!$O$543:$O$545&gt;=AB6)*①통합_가정!$E$543:$E$545*①통합_가정!$K$543:$K$545)/12</f>
        <v>0</v>
      </c>
      <c r="AC135" s="37" t="n">
        <f aca="false">SUMPRODUCT((①통합_가정!$N$543:$N$545&lt;AC6)*(①통합_가정!$O$543:$O$545&gt;=AC6)*①통합_가정!$E$543:$E$545*①통합_가정!$K$543:$K$545)/12</f>
        <v>0</v>
      </c>
      <c r="AD135" s="37" t="n">
        <f aca="false">SUMPRODUCT((①통합_가정!$N$543:$N$545&lt;AD6)*(①통합_가정!$O$543:$O$545&gt;=AD6)*①통합_가정!$E$543:$E$545*①통합_가정!$K$543:$K$545)/12</f>
        <v>0</v>
      </c>
      <c r="AE135" s="37" t="n">
        <f aca="false">SUMPRODUCT((①통합_가정!$N$543:$N$545&lt;AE6)*(①통합_가정!$O$543:$O$545&gt;=AE6)*①통합_가정!$E$543:$E$545*①통합_가정!$K$543:$K$545)/12</f>
        <v>0</v>
      </c>
      <c r="AF135" s="37" t="n">
        <f aca="false">SUMPRODUCT((①통합_가정!$N$543:$N$545&lt;AF6)*(①통합_가정!$O$543:$O$545&gt;=AF6)*①통합_가정!$E$543:$E$545*①통합_가정!$K$543:$K$545)/12</f>
        <v>0</v>
      </c>
      <c r="AG135" s="37" t="n">
        <f aca="false">SUMPRODUCT((①통합_가정!$N$543:$N$545&lt;AG6)*(①통합_가정!$O$543:$O$545&gt;=AG6)*①통합_가정!$E$543:$E$545*①통합_가정!$K$543:$K$545)/12</f>
        <v>0</v>
      </c>
      <c r="AH135" s="37" t="n">
        <f aca="false">SUMPRODUCT((①통합_가정!$N$543:$N$545&lt;AH6)*(①통합_가정!$O$543:$O$545&gt;=AH6)*①통합_가정!$E$543:$E$545*①통합_가정!$K$543:$K$545)/12</f>
        <v>0</v>
      </c>
      <c r="AI135" s="37" t="n">
        <f aca="false">SUMPRODUCT((①통합_가정!$N$543:$N$545&lt;AI6)*(①통합_가정!$O$543:$O$545&gt;=AI6)*①통합_가정!$E$543:$E$545*①통합_가정!$K$543:$K$545)/12</f>
        <v>0</v>
      </c>
      <c r="AJ135" s="37" t="n">
        <f aca="false">SUMPRODUCT((①통합_가정!$N$543:$N$545&lt;AJ6)*(①통합_가정!$O$543:$O$545&gt;=AJ6)*①통합_가정!$E$543:$E$545*①통합_가정!$K$543:$K$545)/12</f>
        <v>0</v>
      </c>
      <c r="AK135" s="37" t="n">
        <f aca="false">SUMPRODUCT((①통합_가정!$N$543:$N$545&lt;AK6)*(①통합_가정!$O$543:$O$545&gt;=AK6)*①통합_가정!$E$543:$E$545*①통합_가정!$K$543:$K$545)/12</f>
        <v>0</v>
      </c>
      <c r="AL135" s="37" t="n">
        <f aca="false">SUMPRODUCT((①통합_가정!$N$543:$N$545&lt;AL6)*(①통합_가정!$O$543:$O$545&gt;=AL6)*①통합_가정!$E$543:$E$545*①통합_가정!$K$543:$K$545)/12</f>
        <v>0</v>
      </c>
      <c r="AM135" s="37" t="n">
        <f aca="false">SUMPRODUCT((①통합_가정!$N$543:$N$545&lt;AM6)*(①통합_가정!$O$543:$O$545&gt;=AM6)*①통합_가정!$E$543:$E$545*①통합_가정!$K$543:$K$545)/12</f>
        <v>0</v>
      </c>
      <c r="AN135" s="37" t="n">
        <f aca="false">SUMPRODUCT((①통합_가정!$N$543:$N$545&lt;AN6)*(①통합_가정!$O$543:$O$545&gt;=AN6)*①통합_가정!$E$543:$E$545*①통합_가정!$K$543:$K$545)/12</f>
        <v>0</v>
      </c>
      <c r="AO135" s="37" t="n">
        <f aca="false">SUMPRODUCT((①통합_가정!$N$543:$N$545&lt;AO6)*(①통합_가정!$O$543:$O$545&gt;=AO6)*①통합_가정!$E$543:$E$545*①통합_가정!$K$543:$K$545)/12</f>
        <v>0</v>
      </c>
      <c r="AP135" s="37" t="n">
        <f aca="false">SUMPRODUCT((①통합_가정!$N$543:$N$545&lt;AP6)*(①통합_가정!$O$543:$O$545&gt;=AP6)*①통합_가정!$E$543:$E$545*①통합_가정!$K$543:$K$545)/12</f>
        <v>0</v>
      </c>
      <c r="AQ135" s="37" t="n">
        <f aca="false">SUMPRODUCT((①통합_가정!$N$543:$N$545&lt;AQ6)*(①통합_가정!$O$543:$O$545&gt;=AQ6)*①통합_가정!$E$543:$E$545*①통합_가정!$K$543:$K$545)/12</f>
        <v>0</v>
      </c>
      <c r="AR135" s="37" t="n">
        <f aca="false">SUMPRODUCT((①통합_가정!$N$543:$N$545&lt;AR6)*(①통합_가정!$O$543:$O$545&gt;=AR6)*①통합_가정!$E$543:$E$545*①통합_가정!$K$543:$K$545)/12</f>
        <v>0</v>
      </c>
      <c r="AS135" s="37" t="n">
        <f aca="false">SUMPRODUCT((①통합_가정!$N$543:$N$545&lt;AS6)*(①통합_가정!$O$543:$O$545&gt;=AS6)*①통합_가정!$E$543:$E$545*①통합_가정!$K$543:$K$545)/12</f>
        <v>0</v>
      </c>
      <c r="AT135" s="37" t="n">
        <f aca="false">SUMPRODUCT((①통합_가정!$N$543:$N$545&lt;AT6)*(①통합_가정!$O$543:$O$545&gt;=AT6)*①통합_가정!$E$543:$E$545*①통합_가정!$K$543:$K$545)/12</f>
        <v>0</v>
      </c>
      <c r="AU135" s="37" t="n">
        <f aca="false">SUMPRODUCT((①통합_가정!$N$543:$N$545&lt;AU6)*(①통합_가정!$O$543:$O$545&gt;=AU6)*①통합_가정!$E$543:$E$545*①통합_가정!$K$543:$K$545)/12</f>
        <v>0</v>
      </c>
      <c r="AV135" s="37" t="n">
        <f aca="false">SUMPRODUCT((①통합_가정!$N$543:$N$545&lt;AV6)*(①통합_가정!$O$543:$O$545&gt;=AV6)*①통합_가정!$E$543:$E$545*①통합_가정!$K$543:$K$545)/12</f>
        <v>0</v>
      </c>
      <c r="AW135" s="37" t="n">
        <f aca="false">SUMPRODUCT((①통합_가정!$N$543:$N$545&lt;AW6)*(①통합_가정!$O$543:$O$545&gt;=AW6)*①통합_가정!$E$543:$E$545*①통합_가정!$K$543:$K$545)/12</f>
        <v>0</v>
      </c>
      <c r="AX135" s="37" t="n">
        <f aca="false">SUMPRODUCT((①통합_가정!$N$543:$N$545&lt;AX6)*(①통합_가정!$O$543:$O$545&gt;=AX6)*①통합_가정!$E$543:$E$545*①통합_가정!$K$543:$K$545)/12</f>
        <v>0</v>
      </c>
      <c r="AY135" s="37" t="n">
        <f aca="false">SUMPRODUCT((①통합_가정!$N$543:$N$545&lt;AY6)*(①통합_가정!$O$543:$O$545&gt;=AY6)*①통합_가정!$E$543:$E$545*①통합_가정!$K$543:$K$545)/12</f>
        <v>0</v>
      </c>
      <c r="AZ135" s="37" t="n">
        <f aca="false">SUMPRODUCT((①통합_가정!$N$543:$N$545&lt;AZ6)*(①통합_가정!$O$543:$O$545&gt;=AZ6)*①통합_가정!$E$543:$E$545*①통합_가정!$K$543:$K$545)/12</f>
        <v>0</v>
      </c>
      <c r="BA135" s="37" t="n">
        <f aca="false">SUMPRODUCT((①통합_가정!$N$543:$N$545&lt;BA6)*(①통합_가정!$O$543:$O$545&gt;=BA6)*①통합_가정!$E$543:$E$545*①통합_가정!$K$543:$K$545)/12</f>
        <v>0</v>
      </c>
      <c r="BB135" s="37" t="n">
        <f aca="false">SUMPRODUCT((①통합_가정!$N$543:$N$545&lt;BB6)*(①통합_가정!$O$543:$O$545&gt;=BB6)*①통합_가정!$E$543:$E$545*①통합_가정!$K$543:$K$545)/12</f>
        <v>0</v>
      </c>
      <c r="BC135" s="37" t="n">
        <f aca="false">SUMPRODUCT((①통합_가정!$N$543:$N$545&lt;BC6)*(①통합_가정!$O$543:$O$545&gt;=BC6)*①통합_가정!$E$543:$E$545*①통합_가정!$K$543:$K$545)/12</f>
        <v>0</v>
      </c>
      <c r="BD135" s="37" t="n">
        <f aca="false">SUMPRODUCT((①통합_가정!$N$543:$N$545&lt;BD6)*(①통합_가정!$O$543:$O$545&gt;=BD6)*①통합_가정!$E$543:$E$545*①통합_가정!$K$543:$K$545)/12</f>
        <v>0</v>
      </c>
      <c r="BE135" s="37" t="n">
        <f aca="false">SUMPRODUCT((①통합_가정!$N$543:$N$545&lt;BE6)*(①통합_가정!$O$543:$O$545&gt;=BE6)*①통합_가정!$E$543:$E$545*①통합_가정!$K$543:$K$545)/12</f>
        <v>0</v>
      </c>
      <c r="BF135" s="37" t="n">
        <f aca="false">SUMPRODUCT((①통합_가정!$N$543:$N$545&lt;BF6)*(①통합_가정!$O$543:$O$545&gt;=BF6)*①통합_가정!$E$543:$E$545*①통합_가정!$K$543:$K$545)/12</f>
        <v>0</v>
      </c>
      <c r="BG135" s="37" t="n">
        <f aca="false">SUMPRODUCT((①통합_가정!$N$543:$N$545&lt;BG6)*(①통합_가정!$O$543:$O$545&gt;=BG6)*①통합_가정!$E$543:$E$545*①통합_가정!$K$543:$K$545)/12</f>
        <v>0</v>
      </c>
      <c r="BH135" s="37" t="n">
        <f aca="false">SUMPRODUCT((①통합_가정!$N$543:$N$545&lt;BH6)*(①통합_가정!$O$543:$O$545&gt;=BH6)*①통합_가정!$E$543:$E$545*①통합_가정!$K$543:$K$545)/12</f>
        <v>0</v>
      </c>
      <c r="BI135" s="37" t="n">
        <f aca="false">SUMPRODUCT((①통합_가정!$N$543:$N$545&lt;BI6)*(①통합_가정!$O$543:$O$545&gt;=BI6)*①통합_가정!$E$543:$E$545*①통합_가정!$K$543:$K$545)/12</f>
        <v>0</v>
      </c>
      <c r="BJ135" s="37" t="n">
        <f aca="false">SUMPRODUCT((①통합_가정!$N$543:$N$545&lt;BJ6)*(①통합_가정!$O$543:$O$545&gt;=BJ6)*①통합_가정!$E$543:$E$545*①통합_가정!$K$543:$K$545)/12</f>
        <v>0</v>
      </c>
      <c r="BK135" s="37" t="n">
        <f aca="false">SUMPRODUCT((①통합_가정!$N$543:$N$545&lt;BK6)*(①통합_가정!$O$543:$O$545&gt;=BK6)*①통합_가정!$E$543:$E$545*①통합_가정!$K$543:$K$545)/12</f>
        <v>0</v>
      </c>
      <c r="BL135" s="37" t="n">
        <f aca="false">SUMPRODUCT((①통합_가정!$N$543:$N$545&lt;BL6)*(①통합_가정!$O$543:$O$545&gt;=BL6)*①통합_가정!$E$543:$E$545*①통합_가정!$K$543:$K$545)/12</f>
        <v>0</v>
      </c>
      <c r="BM135" s="37" t="n">
        <f aca="false">SUMPRODUCT((①통합_가정!$N$543:$N$545&lt;BM6)*(①통합_가정!$O$543:$O$545&gt;=BM6)*①통합_가정!$E$543:$E$545*①통합_가정!$K$543:$K$545)/12</f>
        <v>0</v>
      </c>
      <c r="BN135" s="37" t="n">
        <f aca="false">SUMPRODUCT((①통합_가정!$N$543:$N$545&lt;BN6)*(①통합_가정!$O$543:$O$545&gt;=BN6)*①통합_가정!$E$543:$E$545*①통합_가정!$K$543:$K$545)/12</f>
        <v>0</v>
      </c>
      <c r="BO135" s="37" t="n">
        <f aca="false">SUMPRODUCT((①통합_가정!$N$543:$N$545&lt;BO6)*(①통합_가정!$O$543:$O$545&gt;=BO6)*①통합_가정!$E$543:$E$545*①통합_가정!$K$543:$K$545)/12</f>
        <v>0</v>
      </c>
      <c r="BP135" s="37" t="n">
        <f aca="false">SUMPRODUCT((①통합_가정!$N$543:$N$545&lt;BP6)*(①통합_가정!$O$543:$O$545&gt;=BP6)*①통합_가정!$E$543:$E$545*①통합_가정!$K$543:$K$545)/12</f>
        <v>0</v>
      </c>
      <c r="BQ135" s="37" t="n">
        <f aca="false">SUMPRODUCT((①통합_가정!$N$543:$N$545&lt;BQ6)*(①통합_가정!$O$543:$O$545&gt;=BQ6)*①통합_가정!$E$543:$E$545*①통합_가정!$K$543:$K$545)/12</f>
        <v>0</v>
      </c>
      <c r="BR135" s="37" t="n">
        <f aca="false">SUMPRODUCT((①통합_가정!$N$543:$N$545&lt;BR6)*(①통합_가정!$O$543:$O$545&gt;=BR6)*①통합_가정!$E$543:$E$545*①통합_가정!$K$543:$K$545)/12</f>
        <v>0</v>
      </c>
      <c r="BS135" s="37" t="n">
        <f aca="false">SUMPRODUCT((①통합_가정!$N$543:$N$545&lt;BS6)*(①통합_가정!$O$543:$O$545&gt;=BS6)*①통합_가정!$E$543:$E$545*①통합_가정!$K$543:$K$545)/12</f>
        <v>0</v>
      </c>
      <c r="BT135" s="37" t="n">
        <f aca="false">SUMPRODUCT((①통합_가정!$N$543:$N$545&lt;BT6)*(①통합_가정!$O$543:$O$545&gt;=BT6)*①통합_가정!$E$543:$E$545*①통합_가정!$K$543:$K$545)/12</f>
        <v>0</v>
      </c>
      <c r="BU135" s="37" t="n">
        <f aca="false">SUMPRODUCT((①통합_가정!$N$543:$N$545&lt;BU6)*(①통합_가정!$O$543:$O$545&gt;=BU6)*①통합_가정!$E$543:$E$545*①통합_가정!$K$543:$K$545)/12</f>
        <v>0</v>
      </c>
      <c r="BV135" s="37" t="n">
        <f aca="false">SUMPRODUCT((①통합_가정!$N$543:$N$545&lt;BV6)*(①통합_가정!$O$543:$O$545&gt;=BV6)*①통합_가정!$E$543:$E$545*①통합_가정!$K$543:$K$545)/12</f>
        <v>0</v>
      </c>
      <c r="BW135" s="37" t="n">
        <f aca="false">SUMPRODUCT((①통합_가정!$N$543:$N$545&lt;BW6)*(①통합_가정!$O$543:$O$545&gt;=BW6)*①통합_가정!$E$543:$E$545*①통합_가정!$K$543:$K$545)/12</f>
        <v>0</v>
      </c>
      <c r="BX135" s="37" t="n">
        <f aca="false">SUMPRODUCT((①통합_가정!$N$543:$N$545&lt;BX6)*(①통합_가정!$O$543:$O$545&gt;=BX6)*①통합_가정!$E$543:$E$545*①통합_가정!$K$543:$K$545)/12</f>
        <v>0</v>
      </c>
      <c r="BY135" s="37" t="n">
        <f aca="false">SUMPRODUCT((①통합_가정!$N$543:$N$545&lt;BY6)*(①통합_가정!$O$543:$O$545&gt;=BY6)*①통합_가정!$E$543:$E$545*①통합_가정!$K$543:$K$545)/12</f>
        <v>0</v>
      </c>
      <c r="BZ135" s="37" t="n">
        <f aca="false">SUMPRODUCT((①통합_가정!$N$543:$N$545&lt;BZ6)*(①통합_가정!$O$543:$O$545&gt;=BZ6)*①통합_가정!$E$543:$E$545*①통합_가정!$K$543:$K$545)/12</f>
        <v>0</v>
      </c>
      <c r="CA135" s="37" t="n">
        <f aca="false">SUMPRODUCT((①통합_가정!$N$543:$N$545&lt;CA6)*(①통합_가정!$O$543:$O$545&gt;=CA6)*①통합_가정!$E$543:$E$545*①통합_가정!$K$543:$K$545)/12</f>
        <v>0</v>
      </c>
      <c r="CB135" s="37" t="n">
        <f aca="false">SUMPRODUCT((①통합_가정!$N$543:$N$545&lt;CB6)*(①통합_가정!$O$543:$O$545&gt;=CB6)*①통합_가정!$E$543:$E$545*①통합_가정!$K$543:$K$545)/12</f>
        <v>0</v>
      </c>
      <c r="CC135" s="37" t="n">
        <f aca="false">SUMPRODUCT((①통합_가정!$N$543:$N$545&lt;CC6)*(①통합_가정!$O$543:$O$545&gt;=CC6)*①통합_가정!$E$543:$E$545*①통합_가정!$K$543:$K$545)/12</f>
        <v>0</v>
      </c>
      <c r="CD135" s="37" t="n">
        <f aca="false">SUMPRODUCT((①통합_가정!$N$543:$N$545&lt;CD6)*(①통합_가정!$O$543:$O$545&gt;=CD6)*①통합_가정!$E$543:$E$545*①통합_가정!$K$543:$K$545)/12</f>
        <v>0</v>
      </c>
      <c r="CE135" s="37" t="n">
        <f aca="false">SUMPRODUCT((①통합_가정!$N$543:$N$545&lt;CE6)*(①통합_가정!$O$543:$O$545&gt;=CE6)*①통합_가정!$E$543:$E$545*①통합_가정!$K$543:$K$545)/12</f>
        <v>0</v>
      </c>
      <c r="CF135" s="37" t="n">
        <f aca="false">SUMPRODUCT((①통합_가정!$N$543:$N$545&lt;CF6)*(①통합_가정!$O$543:$O$545&gt;=CF6)*①통합_가정!$E$543:$E$545*①통합_가정!$K$543:$K$545)/12</f>
        <v>0</v>
      </c>
      <c r="CG135" s="37" t="n">
        <f aca="false">SUMPRODUCT((①통합_가정!$N$543:$N$545&lt;CG6)*(①통합_가정!$O$543:$O$545&gt;=CG6)*①통합_가정!$E$543:$E$545*①통합_가정!$K$543:$K$545)/12</f>
        <v>0</v>
      </c>
      <c r="CH135" s="37" t="n">
        <f aca="false">SUMPRODUCT((①통합_가정!$N$543:$N$545&lt;CH6)*(①통합_가정!$O$543:$O$545&gt;=CH6)*①통합_가정!$E$543:$E$545*①통합_가정!$K$543:$K$545)/12</f>
        <v>0</v>
      </c>
      <c r="CI135" s="37" t="n">
        <f aca="false">SUMPRODUCT((①통합_가정!$N$543:$N$545&lt;CI6)*(①통합_가정!$O$543:$O$545&gt;=CI6)*①통합_가정!$E$543:$E$545*①통합_가정!$K$543:$K$545)/12</f>
        <v>0</v>
      </c>
      <c r="CJ135" s="37" t="n">
        <f aca="false">SUMPRODUCT((①통합_가정!$N$543:$N$545&lt;CJ6)*(①통합_가정!$O$543:$O$545&gt;=CJ6)*①통합_가정!$E$543:$E$545*①통합_가정!$K$543:$K$545)/12</f>
        <v>0</v>
      </c>
      <c r="CK135" s="37" t="n">
        <f aca="false">SUMPRODUCT((①통합_가정!$N$543:$N$545&lt;CK6)*(①통합_가정!$O$543:$O$545&gt;=CK6)*①통합_가정!$E$543:$E$545*①통합_가정!$K$543:$K$545)/12</f>
        <v>0</v>
      </c>
      <c r="CL135" s="37" t="n">
        <f aca="false">SUMPRODUCT((①통합_가정!$N$543:$N$545&lt;CL6)*(①통합_가정!$O$543:$O$545&gt;=CL6)*①통합_가정!$E$543:$E$545*①통합_가정!$K$543:$K$545)/12</f>
        <v>0</v>
      </c>
      <c r="CM135" s="37" t="n">
        <f aca="false">SUMPRODUCT((①통합_가정!$N$543:$N$545&lt;CM6)*(①통합_가정!$O$543:$O$545&gt;=CM6)*①통합_가정!$E$543:$E$545*①통합_가정!$K$543:$K$545)/12</f>
        <v>0</v>
      </c>
      <c r="CN135" s="37" t="n">
        <f aca="false">SUMPRODUCT((①통합_가정!$N$543:$N$545&lt;CN6)*(①통합_가정!$O$543:$O$545&gt;=CN6)*①통합_가정!$E$543:$E$545*①통합_가정!$K$543:$K$545)/12</f>
        <v>0</v>
      </c>
      <c r="CO135" s="37" t="n">
        <f aca="false">SUMPRODUCT((①통합_가정!$N$543:$N$545&lt;CO6)*(①통합_가정!$O$543:$O$545&gt;=CO6)*①통합_가정!$E$543:$E$545*①통합_가정!$K$543:$K$545)/12</f>
        <v>0</v>
      </c>
      <c r="CP135" s="37" t="n">
        <f aca="false">SUMPRODUCT((①통합_가정!$N$543:$N$545&lt;CP6)*(①통합_가정!$O$543:$O$545&gt;=CP6)*①통합_가정!$E$543:$E$545*①통합_가정!$K$543:$K$545)/12</f>
        <v>0</v>
      </c>
      <c r="CQ135" s="37" t="n">
        <f aca="false">SUMPRODUCT((①통합_가정!$N$543:$N$545&lt;CQ6)*(①통합_가정!$O$543:$O$545&gt;=CQ6)*①통합_가정!$E$543:$E$545*①통합_가정!$K$543:$K$545)/12</f>
        <v>0</v>
      </c>
      <c r="CR135" s="37" t="n">
        <f aca="false">SUMPRODUCT((①통합_가정!$N$543:$N$545&lt;CR6)*(①통합_가정!$O$543:$O$545&gt;=CR6)*①통합_가정!$E$543:$E$545*①통합_가정!$K$543:$K$545)/12</f>
        <v>0</v>
      </c>
      <c r="CS135" s="37" t="n">
        <f aca="false">SUMPRODUCT((①통합_가정!$N$543:$N$545&lt;CS6)*(①통합_가정!$O$543:$O$545&gt;=CS6)*①통합_가정!$E$543:$E$545*①통합_가정!$K$543:$K$545)/12</f>
        <v>0</v>
      </c>
      <c r="CT135" s="37" t="n">
        <f aca="false">SUMPRODUCT((①통합_가정!$N$543:$N$545&lt;CT6)*(①통합_가정!$O$543:$O$545&gt;=CT6)*①통합_가정!$E$543:$E$545*①통합_가정!$K$543:$K$545)/12</f>
        <v>0</v>
      </c>
      <c r="CU135" s="37" t="n">
        <f aca="false">SUMPRODUCT((①통합_가정!$N$543:$N$545&lt;CU6)*(①통합_가정!$O$543:$O$545&gt;=CU6)*①통합_가정!$E$543:$E$545*①통합_가정!$K$543:$K$545)/12</f>
        <v>0</v>
      </c>
      <c r="CV135" s="37" t="n">
        <f aca="false">SUMPRODUCT((①통합_가정!$N$543:$N$545&lt;CV6)*(①통합_가정!$O$543:$O$545&gt;=CV6)*①통합_가정!$E$543:$E$545*①통합_가정!$K$543:$K$545)/12</f>
        <v>0</v>
      </c>
      <c r="CW135" s="37" t="n">
        <f aca="false">SUMPRODUCT((①통합_가정!$N$543:$N$545&lt;CW6)*(①통합_가정!$O$543:$O$545&gt;=CW6)*①통합_가정!$E$543:$E$545*①통합_가정!$K$543:$K$545)/12</f>
        <v>0</v>
      </c>
      <c r="CX135" s="37" t="n">
        <f aca="false">SUMPRODUCT((①통합_가정!$N$543:$N$545&lt;CX6)*(①통합_가정!$O$543:$O$545&gt;=CX6)*①통합_가정!$E$543:$E$545*①통합_가정!$K$543:$K$545)/12</f>
        <v>0</v>
      </c>
      <c r="CY135" s="37" t="n">
        <f aca="false">SUMPRODUCT((①통합_가정!$N$543:$N$545&lt;CY6)*(①통합_가정!$O$543:$O$545&gt;=CY6)*①통합_가정!$E$543:$E$545*①통합_가정!$K$543:$K$545)/12</f>
        <v>0</v>
      </c>
      <c r="CZ135" s="37" t="n">
        <f aca="false">SUMPRODUCT((①통합_가정!$N$543:$N$545&lt;CZ6)*(①통합_가정!$O$543:$O$545&gt;=CZ6)*①통합_가정!$E$543:$E$545*①통합_가정!$K$543:$K$545)/12</f>
        <v>0</v>
      </c>
      <c r="DA135" s="37" t="n">
        <f aca="false">SUMPRODUCT((①통합_가정!$N$543:$N$545&lt;DA6)*(①통합_가정!$O$543:$O$545&gt;=DA6)*①통합_가정!$E$543:$E$545*①통합_가정!$K$543:$K$545)/12</f>
        <v>0</v>
      </c>
      <c r="DB135" s="37" t="n">
        <f aca="false">SUMPRODUCT((①통합_가정!$N$543:$N$545&lt;DB6)*(①통합_가정!$O$543:$O$545&gt;=DB6)*①통합_가정!$E$543:$E$545*①통합_가정!$K$543:$K$545)/12</f>
        <v>0</v>
      </c>
      <c r="DC135" s="37" t="n">
        <f aca="false">SUMPRODUCT((①통합_가정!$N$543:$N$545&lt;DC6)*(①통합_가정!$O$543:$O$545&gt;=DC6)*①통합_가정!$E$543:$E$545*①통합_가정!$K$543:$K$545)/12</f>
        <v>0</v>
      </c>
      <c r="DD135" s="37" t="n">
        <f aca="false">SUMPRODUCT((①통합_가정!$N$543:$N$545&lt;DD6)*(①통합_가정!$O$543:$O$545&gt;=DD6)*①통합_가정!$E$543:$E$545*①통합_가정!$K$543:$K$545)/12</f>
        <v>0</v>
      </c>
      <c r="DE135" s="37" t="n">
        <f aca="false">SUMPRODUCT((①통합_가정!$N$543:$N$545&lt;DE6)*(①통합_가정!$O$543:$O$545&gt;=DE6)*①통합_가정!$E$543:$E$545*①통합_가정!$K$543:$K$545)/12</f>
        <v>0</v>
      </c>
      <c r="DF135" s="37" t="n">
        <f aca="false">SUMPRODUCT((①통합_가정!$N$543:$N$545&lt;DF6)*(①통합_가정!$O$543:$O$545&gt;=DF6)*①통합_가정!$E$543:$E$545*①통합_가정!$K$543:$K$545)/12</f>
        <v>0</v>
      </c>
      <c r="DG135" s="37" t="n">
        <f aca="false">SUMPRODUCT((①통합_가정!$N$543:$N$545&lt;DG6)*(①통합_가정!$O$543:$O$545&gt;=DG6)*①통합_가정!$E$543:$E$545*①통합_가정!$K$543:$K$545)/12</f>
        <v>0</v>
      </c>
      <c r="DH135" s="37" t="n">
        <f aca="false">SUMPRODUCT((①통합_가정!$N$543:$N$545&lt;DH6)*(①통합_가정!$O$543:$O$545&gt;=DH6)*①통합_가정!$E$543:$E$545*①통합_가정!$K$543:$K$545)/12</f>
        <v>0</v>
      </c>
      <c r="DI135" s="37" t="n">
        <f aca="false">SUMPRODUCT((①통합_가정!$N$543:$N$545&lt;DI6)*(①통합_가정!$O$543:$O$545&gt;=DI6)*①통합_가정!$E$543:$E$545*①통합_가정!$K$543:$K$545)/12</f>
        <v>0</v>
      </c>
      <c r="DJ135" s="37" t="n">
        <f aca="false">SUMPRODUCT((①통합_가정!$N$543:$N$545&lt;DJ6)*(①통합_가정!$O$543:$O$545&gt;=DJ6)*①통합_가정!$E$543:$E$545*①통합_가정!$K$543:$K$545)/12</f>
        <v>0</v>
      </c>
      <c r="DK135" s="37" t="n">
        <f aca="false">SUMPRODUCT((①통합_가정!$N$543:$N$545&lt;DK6)*(①통합_가정!$O$543:$O$545&gt;=DK6)*①통합_가정!$E$543:$E$545*①통합_가정!$K$543:$K$545)/12</f>
        <v>0</v>
      </c>
      <c r="DL135" s="37" t="n">
        <f aca="false">SUMPRODUCT((①통합_가정!$N$543:$N$545&lt;DL6)*(①통합_가정!$O$543:$O$545&gt;=DL6)*①통합_가정!$E$543:$E$545*①통합_가정!$K$543:$K$545)/12</f>
        <v>0</v>
      </c>
      <c r="DM135" s="37" t="n">
        <f aca="false">SUMPRODUCT((①통합_가정!$N$543:$N$545&lt;DM6)*(①통합_가정!$O$543:$O$545&gt;=DM6)*①통합_가정!$E$543:$E$545*①통합_가정!$K$543:$K$545)/12</f>
        <v>0</v>
      </c>
      <c r="DN135" s="37" t="n">
        <f aca="false">SUMPRODUCT((①통합_가정!$N$543:$N$545&lt;DN6)*(①통합_가정!$O$543:$O$545&gt;=DN6)*①통합_가정!$E$543:$E$545*①통합_가정!$K$543:$K$545)/12</f>
        <v>0</v>
      </c>
      <c r="DO135" s="37" t="n">
        <f aca="false">SUMPRODUCT((①통합_가정!$N$543:$N$545&lt;DO6)*(①통합_가정!$O$543:$O$545&gt;=DO6)*①통합_가정!$E$543:$E$545*①통합_가정!$K$543:$K$545)/12</f>
        <v>0</v>
      </c>
      <c r="DP135" s="37" t="n">
        <f aca="false">SUMPRODUCT((①통합_가정!$N$543:$N$545&lt;DP6)*(①통합_가정!$O$543:$O$545&gt;=DP6)*①통합_가정!$E$543:$E$545*①통합_가정!$K$543:$K$545)/12</f>
        <v>0</v>
      </c>
      <c r="DQ135" s="37" t="n">
        <f aca="false">SUMPRODUCT((①통합_가정!$N$543:$N$545&lt;DQ6)*(①통합_가정!$O$543:$O$545&gt;=DQ6)*①통합_가정!$E$543:$E$545*①통합_가정!$K$543:$K$545)/12</f>
        <v>0</v>
      </c>
      <c r="DR135" s="37" t="n">
        <f aca="false">SUMPRODUCT((①통합_가정!$N$543:$N$545&lt;DR6)*(①통합_가정!$O$543:$O$545&gt;=DR6)*①통합_가정!$E$543:$E$545*①통합_가정!$K$543:$K$545)/12</f>
        <v>0</v>
      </c>
      <c r="DS135" s="37" t="n">
        <f aca="false">SUMPRODUCT((①통합_가정!$N$543:$N$545&lt;DS6)*(①통합_가정!$O$543:$O$545&gt;=DS6)*①통합_가정!$E$543:$E$545*①통합_가정!$K$543:$K$545)/12</f>
        <v>0</v>
      </c>
      <c r="DT135" s="37" t="n">
        <f aca="false">SUMPRODUCT((①통합_가정!$N$543:$N$545&lt;DT6)*(①통합_가정!$O$543:$O$545&gt;=DT6)*①통합_가정!$E$543:$E$545*①통합_가정!$K$543:$K$545)/12</f>
        <v>0</v>
      </c>
      <c r="DU135" s="37" t="n">
        <f aca="false">SUMPRODUCT((①통합_가정!$N$543:$N$545&lt;DU6)*(①통합_가정!$O$543:$O$545&gt;=DU6)*①통합_가정!$E$543:$E$545*①통합_가정!$K$543:$K$545)/12</f>
        <v>0</v>
      </c>
      <c r="DV135" s="37" t="n">
        <f aca="false">SUMPRODUCT((①통합_가정!$N$543:$N$545&lt;DV6)*(①통합_가정!$O$543:$O$545&gt;=DV6)*①통합_가정!$E$543:$E$545*①통합_가정!$K$543:$K$545)/12</f>
        <v>0</v>
      </c>
      <c r="DW135" s="37" t="n">
        <f aca="false">SUMPRODUCT((①통합_가정!$N$543:$N$545&lt;DW6)*(①통합_가정!$O$543:$O$545&gt;=DW6)*①통합_가정!$E$543:$E$545*①통합_가정!$K$543:$K$545)/12</f>
        <v>0</v>
      </c>
      <c r="DX135" s="37" t="n">
        <f aca="false">SUMPRODUCT((①통합_가정!$N$543:$N$545&lt;DX6)*(①통합_가정!$O$543:$O$545&gt;=DX6)*①통합_가정!$E$543:$E$545*①통합_가정!$K$543:$K$545)/12</f>
        <v>0</v>
      </c>
      <c r="DY135" s="37" t="n">
        <f aca="false">SUMPRODUCT((①통합_가정!$N$543:$N$545&lt;DY6)*(①통합_가정!$O$543:$O$545&gt;=DY6)*①통합_가정!$E$543:$E$545*①통합_가정!$K$543:$K$545)/12</f>
        <v>0</v>
      </c>
      <c r="DZ135" s="37" t="n">
        <f aca="false">SUMPRODUCT((①통합_가정!$N$543:$N$545&lt;DZ6)*(①통합_가정!$O$543:$O$545&gt;=DZ6)*①통합_가정!$E$543:$E$545*①통합_가정!$K$543:$K$545)/12</f>
        <v>0</v>
      </c>
      <c r="EA135" s="37" t="n">
        <f aca="false">SUMPRODUCT((①통합_가정!$N$543:$N$545&lt;EA6)*(①통합_가정!$O$543:$O$545&gt;=EA6)*①통합_가정!$E$543:$E$545*①통합_가정!$K$543:$K$545)/12</f>
        <v>0</v>
      </c>
      <c r="EB135" s="37" t="n">
        <f aca="false">SUMPRODUCT((①통합_가정!$N$543:$N$545&lt;EB6)*(①통합_가정!$O$543:$O$545&gt;=EB6)*①통합_가정!$E$543:$E$545*①통합_가정!$K$543:$K$545)/12</f>
        <v>0</v>
      </c>
      <c r="EC135" s="37" t="n">
        <f aca="false">SUMPRODUCT((①통합_가정!$N$543:$N$545&lt;EC6)*(①통합_가정!$O$543:$O$545&gt;=EC6)*①통합_가정!$E$543:$E$545*①통합_가정!$K$543:$K$545)/12</f>
        <v>0</v>
      </c>
      <c r="ED135" s="37" t="n">
        <f aca="false">SUMPRODUCT((①통합_가정!$N$543:$N$545&lt;ED6)*(①통합_가정!$O$543:$O$545&gt;=ED6)*①통합_가정!$E$543:$E$545*①통합_가정!$K$543:$K$545)/12</f>
        <v>0</v>
      </c>
      <c r="EE135" s="37" t="n">
        <f aca="false">SUMPRODUCT((①통합_가정!$N$543:$N$545&lt;EE6)*(①통합_가정!$O$543:$O$545&gt;=EE6)*①통합_가정!$E$543:$E$545*①통합_가정!$K$543:$K$545)/12</f>
        <v>0</v>
      </c>
      <c r="EF135" s="37" t="n">
        <f aca="false">SUMPRODUCT((①통합_가정!$N$543:$N$545&lt;EF6)*(①통합_가정!$O$543:$O$545&gt;=EF6)*①통합_가정!$E$543:$E$545*①통합_가정!$K$543:$K$545)/12</f>
        <v>0</v>
      </c>
    </row>
    <row r="136" customFormat="false" ht="15" hidden="false" customHeight="false" outlineLevel="0" collapsed="false">
      <c r="A136" s="36" t="s">
        <v>670</v>
      </c>
      <c r="B136" s="278" t="s">
        <v>21</v>
      </c>
      <c r="C136" s="279" t="n">
        <f aca="false">SUM(E136:EF136)</f>
        <v>0</v>
      </c>
      <c r="E136" s="37" t="n">
        <f aca="false">IF(E6=①통합_가정!$E$24,0+E134,MIN(0+E134,SUMIF(①통합_가정!$O$543:$O$545,E6,①통합_가정!$E$543:$E$545)))</f>
        <v>0</v>
      </c>
      <c r="F136" s="37" t="n">
        <f aca="false">IF(F6=①통합_가정!$E$24,E137+F134,MIN(E137+F134,SUMIF(①통합_가정!$O$543:$O$545,F6,①통합_가정!$E$543:$E$545)))</f>
        <v>0</v>
      </c>
      <c r="G136" s="37" t="n">
        <f aca="false">IF(G6=①통합_가정!$E$24,F137+G134,MIN(F137+G134,SUMIF(①통합_가정!$O$543:$O$545,G6,①통합_가정!$E$543:$E$545)))</f>
        <v>0</v>
      </c>
      <c r="H136" s="37" t="n">
        <f aca="false">IF(H6=①통합_가정!$E$24,G137+H134,MIN(G137+H134,SUMIF(①통합_가정!$O$543:$O$545,H6,①통합_가정!$E$543:$E$545)))</f>
        <v>0</v>
      </c>
      <c r="I136" s="37" t="n">
        <f aca="false">IF(I6=①통합_가정!$E$24,H137+I134,MIN(H137+I134,SUMIF(①통합_가정!$O$543:$O$545,I6,①통합_가정!$E$543:$E$545)))</f>
        <v>0</v>
      </c>
      <c r="J136" s="37" t="n">
        <f aca="false">IF(J6=①통합_가정!$E$24,I137+J134,MIN(I137+J134,SUMIF(①통합_가정!$O$543:$O$545,J6,①통합_가정!$E$543:$E$545)))</f>
        <v>0</v>
      </c>
      <c r="K136" s="37" t="n">
        <f aca="false">IF(K6=①통합_가정!$E$24,J137+K134,MIN(J137+K134,SUMIF(①통합_가정!$O$543:$O$545,K6,①통합_가정!$E$543:$E$545)))</f>
        <v>0</v>
      </c>
      <c r="L136" s="37" t="n">
        <f aca="false">IF(L6=①통합_가정!$E$24,K137+L134,MIN(K137+L134,SUMIF(①통합_가정!$O$543:$O$545,L6,①통합_가정!$E$543:$E$545)))</f>
        <v>0</v>
      </c>
      <c r="M136" s="37" t="n">
        <f aca="false">IF(M6=①통합_가정!$E$24,L137+M134,MIN(L137+M134,SUMIF(①통합_가정!$O$543:$O$545,M6,①통합_가정!$E$543:$E$545)))</f>
        <v>0</v>
      </c>
      <c r="N136" s="37" t="n">
        <f aca="false">IF(N6=①통합_가정!$E$24,M137+N134,MIN(M137+N134,SUMIF(①통합_가정!$O$543:$O$545,N6,①통합_가정!$E$543:$E$545)))</f>
        <v>0</v>
      </c>
      <c r="O136" s="37" t="n">
        <f aca="false">IF(O6=①통합_가정!$E$24,N137+O134,MIN(N137+O134,SUMIF(①통합_가정!$O$543:$O$545,O6,①통합_가정!$E$543:$E$545)))</f>
        <v>0</v>
      </c>
      <c r="P136" s="37" t="n">
        <f aca="false">IF(P6=①통합_가정!$E$24,O137+P134,MIN(O137+P134,SUMIF(①통합_가정!$O$543:$O$545,P6,①통합_가정!$E$543:$E$545)))</f>
        <v>0</v>
      </c>
      <c r="Q136" s="37" t="n">
        <f aca="false">IF(Q6=①통합_가정!$E$24,P137+Q134,MIN(P137+Q134,SUMIF(①통합_가정!$O$543:$O$545,Q6,①통합_가정!$E$543:$E$545)))</f>
        <v>0</v>
      </c>
      <c r="R136" s="37" t="n">
        <f aca="false">IF(R6=①통합_가정!$E$24,Q137+R134,MIN(Q137+R134,SUMIF(①통합_가정!$O$543:$O$545,R6,①통합_가정!$E$543:$E$545)))</f>
        <v>0</v>
      </c>
      <c r="S136" s="37" t="n">
        <f aca="false">IF(S6=①통합_가정!$E$24,R137+S134,MIN(R137+S134,SUMIF(①통합_가정!$O$543:$O$545,S6,①통합_가정!$E$543:$E$545)))</f>
        <v>0</v>
      </c>
      <c r="T136" s="37" t="n">
        <f aca="false">IF(T6=①통합_가정!$E$24,S137+T134,MIN(S137+T134,SUMIF(①통합_가정!$O$543:$O$545,T6,①통합_가정!$E$543:$E$545)))</f>
        <v>0</v>
      </c>
      <c r="U136" s="37" t="n">
        <f aca="false">IF(U6=①통합_가정!$E$24,T137+U134,MIN(T137+U134,SUMIF(①통합_가정!$O$543:$O$545,U6,①통합_가정!$E$543:$E$545)))</f>
        <v>0</v>
      </c>
      <c r="V136" s="37" t="n">
        <f aca="false">IF(V6=①통합_가정!$E$24,U137+V134,MIN(U137+V134,SUMIF(①통합_가정!$O$543:$O$545,V6,①통합_가정!$E$543:$E$545)))</f>
        <v>0</v>
      </c>
      <c r="W136" s="37" t="n">
        <f aca="false">IF(W6=①통합_가정!$E$24,V137+W134,MIN(V137+W134,SUMIF(①통합_가정!$O$543:$O$545,W6,①통합_가정!$E$543:$E$545)))</f>
        <v>0</v>
      </c>
      <c r="X136" s="37" t="n">
        <f aca="false">IF(X6=①통합_가정!$E$24,W137+X134,MIN(W137+X134,SUMIF(①통합_가정!$O$543:$O$545,X6,①통합_가정!$E$543:$E$545)))</f>
        <v>0</v>
      </c>
      <c r="Y136" s="37" t="n">
        <f aca="false">IF(Y6=①통합_가정!$E$24,X137+Y134,MIN(X137+Y134,SUMIF(①통합_가정!$O$543:$O$545,Y6,①통합_가정!$E$543:$E$545)))</f>
        <v>0</v>
      </c>
      <c r="Z136" s="37" t="n">
        <f aca="false">IF(Z6=①통합_가정!$E$24,Y137+Z134,MIN(Y137+Z134,SUMIF(①통합_가정!$O$543:$O$545,Z6,①통합_가정!$E$543:$E$545)))</f>
        <v>0</v>
      </c>
      <c r="AA136" s="37" t="n">
        <f aca="false">IF(AA6=①통합_가정!$E$24,Z137+AA134,MIN(Z137+AA134,SUMIF(①통합_가정!$O$543:$O$545,AA6,①통합_가정!$E$543:$E$545)))</f>
        <v>0</v>
      </c>
      <c r="AB136" s="37" t="n">
        <f aca="false">IF(AB6=①통합_가정!$E$24,AA137+AB134,MIN(AA137+AB134,SUMIF(①통합_가정!$O$543:$O$545,AB6,①통합_가정!$E$543:$E$545)))</f>
        <v>0</v>
      </c>
      <c r="AC136" s="37" t="n">
        <f aca="false">IF(AC6=①통합_가정!$E$24,AB137+AC134,MIN(AB137+AC134,SUMIF(①통합_가정!$O$543:$O$545,AC6,①통합_가정!$E$543:$E$545)))</f>
        <v>0</v>
      </c>
      <c r="AD136" s="37" t="n">
        <f aca="false">IF(AD6=①통합_가정!$E$24,AC137+AD134,MIN(AC137+AD134,SUMIF(①통합_가정!$O$543:$O$545,AD6,①통합_가정!$E$543:$E$545)))</f>
        <v>0</v>
      </c>
      <c r="AE136" s="37" t="n">
        <f aca="false">IF(AE6=①통합_가정!$E$24,AD137+AE134,MIN(AD137+AE134,SUMIF(①통합_가정!$O$543:$O$545,AE6,①통합_가정!$E$543:$E$545)))</f>
        <v>0</v>
      </c>
      <c r="AF136" s="37" t="n">
        <f aca="false">IF(AF6=①통합_가정!$E$24,AE137+AF134,MIN(AE137+AF134,SUMIF(①통합_가정!$O$543:$O$545,AF6,①통합_가정!$E$543:$E$545)))</f>
        <v>0</v>
      </c>
      <c r="AG136" s="37" t="n">
        <f aca="false">IF(AG6=①통합_가정!$E$24,AF137+AG134,MIN(AF137+AG134,SUMIF(①통합_가정!$O$543:$O$545,AG6,①통합_가정!$E$543:$E$545)))</f>
        <v>0</v>
      </c>
      <c r="AH136" s="37" t="n">
        <f aca="false">IF(AH6=①통합_가정!$E$24,AG137+AH134,MIN(AG137+AH134,SUMIF(①통합_가정!$O$543:$O$545,AH6,①통합_가정!$E$543:$E$545)))</f>
        <v>0</v>
      </c>
      <c r="AI136" s="37" t="n">
        <f aca="false">IF(AI6=①통합_가정!$E$24,AH137+AI134,MIN(AH137+AI134,SUMIF(①통합_가정!$O$543:$O$545,AI6,①통합_가정!$E$543:$E$545)))</f>
        <v>0</v>
      </c>
      <c r="AJ136" s="37" t="n">
        <f aca="false">IF(AJ6=①통합_가정!$E$24,AI137+AJ134,MIN(AI137+AJ134,SUMIF(①통합_가정!$O$543:$O$545,AJ6,①통합_가정!$E$543:$E$545)))</f>
        <v>0</v>
      </c>
      <c r="AK136" s="37" t="n">
        <f aca="false">IF(AK6=①통합_가정!$E$24,AJ137+AK134,MIN(AJ137+AK134,SUMIF(①통합_가정!$O$543:$O$545,AK6,①통합_가정!$E$543:$E$545)))</f>
        <v>0</v>
      </c>
      <c r="AL136" s="37" t="n">
        <f aca="false">IF(AL6=①통합_가정!$E$24,AK137+AL134,MIN(AK137+AL134,SUMIF(①통합_가정!$O$543:$O$545,AL6,①통합_가정!$E$543:$E$545)))</f>
        <v>0</v>
      </c>
      <c r="AM136" s="37" t="n">
        <f aca="false">IF(AM6=①통합_가정!$E$24,AL137+AM134,MIN(AL137+AM134,SUMIF(①통합_가정!$O$543:$O$545,AM6,①통합_가정!$E$543:$E$545)))</f>
        <v>0</v>
      </c>
      <c r="AN136" s="37" t="n">
        <f aca="false">IF(AN6=①통합_가정!$E$24,AM137+AN134,MIN(AM137+AN134,SUMIF(①통합_가정!$O$543:$O$545,AN6,①통합_가정!$E$543:$E$545)))</f>
        <v>0</v>
      </c>
      <c r="AO136" s="37" t="n">
        <f aca="false">IF(AO6=①통합_가정!$E$24,AN137+AO134,MIN(AN137+AO134,SUMIF(①통합_가정!$O$543:$O$545,AO6,①통합_가정!$E$543:$E$545)))</f>
        <v>0</v>
      </c>
      <c r="AP136" s="37" t="n">
        <f aca="false">IF(AP6=①통합_가정!$E$24,AO137+AP134,MIN(AO137+AP134,SUMIF(①통합_가정!$O$543:$O$545,AP6,①통합_가정!$E$543:$E$545)))</f>
        <v>0</v>
      </c>
      <c r="AQ136" s="37" t="n">
        <f aca="false">IF(AQ6=①통합_가정!$E$24,AP137+AQ134,MIN(AP137+AQ134,SUMIF(①통합_가정!$O$543:$O$545,AQ6,①통합_가정!$E$543:$E$545)))</f>
        <v>0</v>
      </c>
      <c r="AR136" s="37" t="n">
        <f aca="false">IF(AR6=①통합_가정!$E$24,AQ137+AR134,MIN(AQ137+AR134,SUMIF(①통합_가정!$O$543:$O$545,AR6,①통합_가정!$E$543:$E$545)))</f>
        <v>0</v>
      </c>
      <c r="AS136" s="37" t="n">
        <f aca="false">IF(AS6=①통합_가정!$E$24,AR137+AS134,MIN(AR137+AS134,SUMIF(①통합_가정!$O$543:$O$545,AS6,①통합_가정!$E$543:$E$545)))</f>
        <v>0</v>
      </c>
      <c r="AT136" s="37" t="n">
        <f aca="false">IF(AT6=①통합_가정!$E$24,AS137+AT134,MIN(AS137+AT134,SUMIF(①통합_가정!$O$543:$O$545,AT6,①통합_가정!$E$543:$E$545)))</f>
        <v>0</v>
      </c>
      <c r="AU136" s="37" t="n">
        <f aca="false">IF(AU6=①통합_가정!$E$24,AT137+AU134,MIN(AT137+AU134,SUMIF(①통합_가정!$O$543:$O$545,AU6,①통합_가정!$E$543:$E$545)))</f>
        <v>0</v>
      </c>
      <c r="AV136" s="37" t="n">
        <f aca="false">IF(AV6=①통합_가정!$E$24,AU137+AV134,MIN(AU137+AV134,SUMIF(①통합_가정!$O$543:$O$545,AV6,①통합_가정!$E$543:$E$545)))</f>
        <v>0</v>
      </c>
      <c r="AW136" s="37" t="n">
        <f aca="false">IF(AW6=①통합_가정!$E$24,AV137+AW134,MIN(AV137+AW134,SUMIF(①통합_가정!$O$543:$O$545,AW6,①통합_가정!$E$543:$E$545)))</f>
        <v>0</v>
      </c>
      <c r="AX136" s="37" t="n">
        <f aca="false">IF(AX6=①통합_가정!$E$24,AW137+AX134,MIN(AW137+AX134,SUMIF(①통합_가정!$O$543:$O$545,AX6,①통합_가정!$E$543:$E$545)))</f>
        <v>0</v>
      </c>
      <c r="AY136" s="37" t="n">
        <f aca="false">IF(AY6=①통합_가정!$E$24,AX137+AY134,MIN(AX137+AY134,SUMIF(①통합_가정!$O$543:$O$545,AY6,①통합_가정!$E$543:$E$545)))</f>
        <v>0</v>
      </c>
      <c r="AZ136" s="37" t="n">
        <f aca="false">IF(AZ6=①통합_가정!$E$24,AY137+AZ134,MIN(AY137+AZ134,SUMIF(①통합_가정!$O$543:$O$545,AZ6,①통합_가정!$E$543:$E$545)))</f>
        <v>0</v>
      </c>
      <c r="BA136" s="37" t="n">
        <f aca="false">IF(BA6=①통합_가정!$E$24,AZ137+BA134,MIN(AZ137+BA134,SUMIF(①통합_가정!$O$543:$O$545,BA6,①통합_가정!$E$543:$E$545)))</f>
        <v>0</v>
      </c>
      <c r="BB136" s="37" t="n">
        <f aca="false">IF(BB6=①통합_가정!$E$24,BA137+BB134,MIN(BA137+BB134,SUMIF(①통합_가정!$O$543:$O$545,BB6,①통합_가정!$E$543:$E$545)))</f>
        <v>0</v>
      </c>
      <c r="BC136" s="37" t="n">
        <f aca="false">IF(BC6=①통합_가정!$E$24,BB137+BC134,MIN(BB137+BC134,SUMIF(①통합_가정!$O$543:$O$545,BC6,①통합_가정!$E$543:$E$545)))</f>
        <v>0</v>
      </c>
      <c r="BD136" s="37" t="n">
        <f aca="false">IF(BD6=①통합_가정!$E$24,BC137+BD134,MIN(BC137+BD134,SUMIF(①통합_가정!$O$543:$O$545,BD6,①통합_가정!$E$543:$E$545)))</f>
        <v>0</v>
      </c>
      <c r="BE136" s="37" t="n">
        <f aca="false">IF(BE6=①통합_가정!$E$24,BD137+BE134,MIN(BD137+BE134,SUMIF(①통합_가정!$O$543:$O$545,BE6,①통합_가정!$E$543:$E$545)))</f>
        <v>0</v>
      </c>
      <c r="BF136" s="37" t="n">
        <f aca="false">IF(BF6=①통합_가정!$E$24,BE137+BF134,MIN(BE137+BF134,SUMIF(①통합_가정!$O$543:$O$545,BF6,①통합_가정!$E$543:$E$545)))</f>
        <v>0</v>
      </c>
      <c r="BG136" s="37" t="n">
        <f aca="false">IF(BG6=①통합_가정!$E$24,BF137+BG134,MIN(BF137+BG134,SUMIF(①통합_가정!$O$543:$O$545,BG6,①통합_가정!$E$543:$E$545)))</f>
        <v>0</v>
      </c>
      <c r="BH136" s="37" t="n">
        <f aca="false">IF(BH6=①통합_가정!$E$24,BG137+BH134,MIN(BG137+BH134,SUMIF(①통합_가정!$O$543:$O$545,BH6,①통합_가정!$E$543:$E$545)))</f>
        <v>0</v>
      </c>
      <c r="BI136" s="37" t="n">
        <f aca="false">IF(BI6=①통합_가정!$E$24,BH137+BI134,MIN(BH137+BI134,SUMIF(①통합_가정!$O$543:$O$545,BI6,①통합_가정!$E$543:$E$545)))</f>
        <v>0</v>
      </c>
      <c r="BJ136" s="37" t="n">
        <f aca="false">IF(BJ6=①통합_가정!$E$24,BI137+BJ134,MIN(BI137+BJ134,SUMIF(①통합_가정!$O$543:$O$545,BJ6,①통합_가정!$E$543:$E$545)))</f>
        <v>0</v>
      </c>
      <c r="BK136" s="37" t="n">
        <f aca="false">IF(BK6=①통합_가정!$E$24,BJ137+BK134,MIN(BJ137+BK134,SUMIF(①통합_가정!$O$543:$O$545,BK6,①통합_가정!$E$543:$E$545)))</f>
        <v>0</v>
      </c>
      <c r="BL136" s="37" t="n">
        <f aca="false">IF(BL6=①통합_가정!$E$24,BK137+BL134,MIN(BK137+BL134,SUMIF(①통합_가정!$O$543:$O$545,BL6,①통합_가정!$E$543:$E$545)))</f>
        <v>0</v>
      </c>
      <c r="BM136" s="37" t="n">
        <f aca="false">IF(BM6=①통합_가정!$E$24,BL137+BM134,MIN(BL137+BM134,SUMIF(①통합_가정!$O$543:$O$545,BM6,①통합_가정!$E$543:$E$545)))</f>
        <v>0</v>
      </c>
      <c r="BN136" s="37" t="n">
        <f aca="false">IF(BN6=①통합_가정!$E$24,BM137+BN134,MIN(BM137+BN134,SUMIF(①통합_가정!$O$543:$O$545,BN6,①통합_가정!$E$543:$E$545)))</f>
        <v>0</v>
      </c>
      <c r="BO136" s="37" t="n">
        <f aca="false">IF(BO6=①통합_가정!$E$24,BN137+BO134,MIN(BN137+BO134,SUMIF(①통합_가정!$O$543:$O$545,BO6,①통합_가정!$E$543:$E$545)))</f>
        <v>0</v>
      </c>
      <c r="BP136" s="37" t="n">
        <f aca="false">IF(BP6=①통합_가정!$E$24,BO137+BP134,MIN(BO137+BP134,SUMIF(①통합_가정!$O$543:$O$545,BP6,①통합_가정!$E$543:$E$545)))</f>
        <v>0</v>
      </c>
      <c r="BQ136" s="37" t="n">
        <f aca="false">IF(BQ6=①통합_가정!$E$24,BP137+BQ134,MIN(BP137+BQ134,SUMIF(①통합_가정!$O$543:$O$545,BQ6,①통합_가정!$E$543:$E$545)))</f>
        <v>0</v>
      </c>
      <c r="BR136" s="37" t="n">
        <f aca="false">IF(BR6=①통합_가정!$E$24,BQ137+BR134,MIN(BQ137+BR134,SUMIF(①통합_가정!$O$543:$O$545,BR6,①통합_가정!$E$543:$E$545)))</f>
        <v>0</v>
      </c>
      <c r="BS136" s="37" t="n">
        <f aca="false">IF(BS6=①통합_가정!$E$24,BR137+BS134,MIN(BR137+BS134,SUMIF(①통합_가정!$O$543:$O$545,BS6,①통합_가정!$E$543:$E$545)))</f>
        <v>0</v>
      </c>
      <c r="BT136" s="37" t="n">
        <f aca="false">IF(BT6=①통합_가정!$E$24,BS137+BT134,MIN(BS137+BT134,SUMIF(①통합_가정!$O$543:$O$545,BT6,①통합_가정!$E$543:$E$545)))</f>
        <v>0</v>
      </c>
      <c r="BU136" s="37" t="n">
        <f aca="false">IF(BU6=①통합_가정!$E$24,BT137+BU134,MIN(BT137+BU134,SUMIF(①통합_가정!$O$543:$O$545,BU6,①통합_가정!$E$543:$E$545)))</f>
        <v>0</v>
      </c>
      <c r="BV136" s="37" t="n">
        <f aca="false">IF(BV6=①통합_가정!$E$24,BU137+BV134,MIN(BU137+BV134,SUMIF(①통합_가정!$O$543:$O$545,BV6,①통합_가정!$E$543:$E$545)))</f>
        <v>0</v>
      </c>
      <c r="BW136" s="37" t="n">
        <f aca="false">IF(BW6=①통합_가정!$E$24,BV137+BW134,MIN(BV137+BW134,SUMIF(①통합_가정!$O$543:$O$545,BW6,①통합_가정!$E$543:$E$545)))</f>
        <v>0</v>
      </c>
      <c r="BX136" s="37" t="n">
        <f aca="false">IF(BX6=①통합_가정!$E$24,BW137+BX134,MIN(BW137+BX134,SUMIF(①통합_가정!$O$543:$O$545,BX6,①통합_가정!$E$543:$E$545)))</f>
        <v>0</v>
      </c>
      <c r="BY136" s="37" t="n">
        <f aca="false">IF(BY6=①통합_가정!$E$24,BX137+BY134,MIN(BX137+BY134,SUMIF(①통합_가정!$O$543:$O$545,BY6,①통합_가정!$E$543:$E$545)))</f>
        <v>0</v>
      </c>
      <c r="BZ136" s="37" t="n">
        <f aca="false">IF(BZ6=①통합_가정!$E$24,BY137+BZ134,MIN(BY137+BZ134,SUMIF(①통합_가정!$O$543:$O$545,BZ6,①통합_가정!$E$543:$E$545)))</f>
        <v>0</v>
      </c>
      <c r="CA136" s="37" t="n">
        <f aca="false">IF(CA6=①통합_가정!$E$24,BZ137+CA134,MIN(BZ137+CA134,SUMIF(①통합_가정!$O$543:$O$545,CA6,①통합_가정!$E$543:$E$545)))</f>
        <v>0</v>
      </c>
      <c r="CB136" s="37" t="n">
        <f aca="false">IF(CB6=①통합_가정!$E$24,CA137+CB134,MIN(CA137+CB134,SUMIF(①통합_가정!$O$543:$O$545,CB6,①통합_가정!$E$543:$E$545)))</f>
        <v>0</v>
      </c>
      <c r="CC136" s="37" t="n">
        <f aca="false">IF(CC6=①통합_가정!$E$24,CB137+CC134,MIN(CB137+CC134,SUMIF(①통합_가정!$O$543:$O$545,CC6,①통합_가정!$E$543:$E$545)))</f>
        <v>0</v>
      </c>
      <c r="CD136" s="37" t="n">
        <f aca="false">IF(CD6=①통합_가정!$E$24,CC137+CD134,MIN(CC137+CD134,SUMIF(①통합_가정!$O$543:$O$545,CD6,①통합_가정!$E$543:$E$545)))</f>
        <v>0</v>
      </c>
      <c r="CE136" s="37" t="n">
        <f aca="false">IF(CE6=①통합_가정!$E$24,CD137+CE134,MIN(CD137+CE134,SUMIF(①통합_가정!$O$543:$O$545,CE6,①통합_가정!$E$543:$E$545)))</f>
        <v>0</v>
      </c>
      <c r="CF136" s="37" t="n">
        <f aca="false">IF(CF6=①통합_가정!$E$24,CE137+CF134,MIN(CE137+CF134,SUMIF(①통합_가정!$O$543:$O$545,CF6,①통합_가정!$E$543:$E$545)))</f>
        <v>0</v>
      </c>
      <c r="CG136" s="37" t="n">
        <f aca="false">IF(CG6=①통합_가정!$E$24,CF137+CG134,MIN(CF137+CG134,SUMIF(①통합_가정!$O$543:$O$545,CG6,①통합_가정!$E$543:$E$545)))</f>
        <v>0</v>
      </c>
      <c r="CH136" s="37" t="n">
        <f aca="false">IF(CH6=①통합_가정!$E$24,CG137+CH134,MIN(CG137+CH134,SUMIF(①통합_가정!$O$543:$O$545,CH6,①통합_가정!$E$543:$E$545)))</f>
        <v>0</v>
      </c>
      <c r="CI136" s="37" t="n">
        <f aca="false">IF(CI6=①통합_가정!$E$24,CH137+CI134,MIN(CH137+CI134,SUMIF(①통합_가정!$O$543:$O$545,CI6,①통합_가정!$E$543:$E$545)))</f>
        <v>0</v>
      </c>
      <c r="CJ136" s="37" t="n">
        <f aca="false">IF(CJ6=①통합_가정!$E$24,CI137+CJ134,MIN(CI137+CJ134,SUMIF(①통합_가정!$O$543:$O$545,CJ6,①통합_가정!$E$543:$E$545)))</f>
        <v>0</v>
      </c>
      <c r="CK136" s="37" t="n">
        <f aca="false">IF(CK6=①통합_가정!$E$24,CJ137+CK134,MIN(CJ137+CK134,SUMIF(①통합_가정!$O$543:$O$545,CK6,①통합_가정!$E$543:$E$545)))</f>
        <v>0</v>
      </c>
      <c r="CL136" s="37" t="n">
        <f aca="false">IF(CL6=①통합_가정!$E$24,CK137+CL134,MIN(CK137+CL134,SUMIF(①통합_가정!$O$543:$O$545,CL6,①통합_가정!$E$543:$E$545)))</f>
        <v>0</v>
      </c>
      <c r="CM136" s="37" t="n">
        <f aca="false">IF(CM6=①통합_가정!$E$24,CL137+CM134,MIN(CL137+CM134,SUMIF(①통합_가정!$O$543:$O$545,CM6,①통합_가정!$E$543:$E$545)))</f>
        <v>0</v>
      </c>
      <c r="CN136" s="37" t="n">
        <f aca="false">IF(CN6=①통합_가정!$E$24,CM137+CN134,MIN(CM137+CN134,SUMIF(①통합_가정!$O$543:$O$545,CN6,①통합_가정!$E$543:$E$545)))</f>
        <v>0</v>
      </c>
      <c r="CO136" s="37" t="n">
        <f aca="false">IF(CO6=①통합_가정!$E$24,CN137+CO134,MIN(CN137+CO134,SUMIF(①통합_가정!$O$543:$O$545,CO6,①통합_가정!$E$543:$E$545)))</f>
        <v>0</v>
      </c>
      <c r="CP136" s="37" t="n">
        <f aca="false">IF(CP6=①통합_가정!$E$24,CO137+CP134,MIN(CO137+CP134,SUMIF(①통합_가정!$O$543:$O$545,CP6,①통합_가정!$E$543:$E$545)))</f>
        <v>0</v>
      </c>
      <c r="CQ136" s="37" t="n">
        <f aca="false">IF(CQ6=①통합_가정!$E$24,CP137+CQ134,MIN(CP137+CQ134,SUMIF(①통합_가정!$O$543:$O$545,CQ6,①통합_가정!$E$543:$E$545)))</f>
        <v>0</v>
      </c>
      <c r="CR136" s="37" t="n">
        <f aca="false">IF(CR6=①통합_가정!$E$24,CQ137+CR134,MIN(CQ137+CR134,SUMIF(①통합_가정!$O$543:$O$545,CR6,①통합_가정!$E$543:$E$545)))</f>
        <v>0</v>
      </c>
      <c r="CS136" s="37" t="n">
        <f aca="false">IF(CS6=①통합_가정!$E$24,CR137+CS134,MIN(CR137+CS134,SUMIF(①통합_가정!$O$543:$O$545,CS6,①통합_가정!$E$543:$E$545)))</f>
        <v>0</v>
      </c>
      <c r="CT136" s="37" t="n">
        <f aca="false">IF(CT6=①통합_가정!$E$24,CS137+CT134,MIN(CS137+CT134,SUMIF(①통합_가정!$O$543:$O$545,CT6,①통합_가정!$E$543:$E$545)))</f>
        <v>0</v>
      </c>
      <c r="CU136" s="37" t="n">
        <f aca="false">IF(CU6=①통합_가정!$E$24,CT137+CU134,MIN(CT137+CU134,SUMIF(①통합_가정!$O$543:$O$545,CU6,①통합_가정!$E$543:$E$545)))</f>
        <v>0</v>
      </c>
      <c r="CV136" s="37" t="n">
        <f aca="false">IF(CV6=①통합_가정!$E$24,CU137+CV134,MIN(CU137+CV134,SUMIF(①통합_가정!$O$543:$O$545,CV6,①통합_가정!$E$543:$E$545)))</f>
        <v>0</v>
      </c>
      <c r="CW136" s="37" t="n">
        <f aca="false">IF(CW6=①통합_가정!$E$24,CV137+CW134,MIN(CV137+CW134,SUMIF(①통합_가정!$O$543:$O$545,CW6,①통합_가정!$E$543:$E$545)))</f>
        <v>0</v>
      </c>
      <c r="CX136" s="37" t="n">
        <f aca="false">IF(CX6=①통합_가정!$E$24,CW137+CX134,MIN(CW137+CX134,SUMIF(①통합_가정!$O$543:$O$545,CX6,①통합_가정!$E$543:$E$545)))</f>
        <v>0</v>
      </c>
      <c r="CY136" s="37" t="n">
        <f aca="false">IF(CY6=①통합_가정!$E$24,CX137+CY134,MIN(CX137+CY134,SUMIF(①통합_가정!$O$543:$O$545,CY6,①통합_가정!$E$543:$E$545)))</f>
        <v>0</v>
      </c>
      <c r="CZ136" s="37" t="n">
        <f aca="false">IF(CZ6=①통합_가정!$E$24,CY137+CZ134,MIN(CY137+CZ134,SUMIF(①통합_가정!$O$543:$O$545,CZ6,①통합_가정!$E$543:$E$545)))</f>
        <v>0</v>
      </c>
      <c r="DA136" s="37" t="n">
        <f aca="false">IF(DA6=①통합_가정!$E$24,CZ137+DA134,MIN(CZ137+DA134,SUMIF(①통합_가정!$O$543:$O$545,DA6,①통합_가정!$E$543:$E$545)))</f>
        <v>0</v>
      </c>
      <c r="DB136" s="37" t="n">
        <f aca="false">IF(DB6=①통합_가정!$E$24,DA137+DB134,MIN(DA137+DB134,SUMIF(①통합_가정!$O$543:$O$545,DB6,①통합_가정!$E$543:$E$545)))</f>
        <v>0</v>
      </c>
      <c r="DC136" s="37" t="n">
        <f aca="false">IF(DC6=①통합_가정!$E$24,DB137+DC134,MIN(DB137+DC134,SUMIF(①통합_가정!$O$543:$O$545,DC6,①통합_가정!$E$543:$E$545)))</f>
        <v>0</v>
      </c>
      <c r="DD136" s="37" t="n">
        <f aca="false">IF(DD6=①통합_가정!$E$24,DC137+DD134,MIN(DC137+DD134,SUMIF(①통합_가정!$O$543:$O$545,DD6,①통합_가정!$E$543:$E$545)))</f>
        <v>0</v>
      </c>
      <c r="DE136" s="37" t="n">
        <f aca="false">IF(DE6=①통합_가정!$E$24,DD137+DE134,MIN(DD137+DE134,SUMIF(①통합_가정!$O$543:$O$545,DE6,①통합_가정!$E$543:$E$545)))</f>
        <v>0</v>
      </c>
      <c r="DF136" s="37" t="n">
        <f aca="false">IF(DF6=①통합_가정!$E$24,DE137+DF134,MIN(DE137+DF134,SUMIF(①통합_가정!$O$543:$O$545,DF6,①통합_가정!$E$543:$E$545)))</f>
        <v>0</v>
      </c>
      <c r="DG136" s="37" t="n">
        <f aca="false">IF(DG6=①통합_가정!$E$24,DF137+DG134,MIN(DF137+DG134,SUMIF(①통합_가정!$O$543:$O$545,DG6,①통합_가정!$E$543:$E$545)))</f>
        <v>0</v>
      </c>
      <c r="DH136" s="37" t="n">
        <f aca="false">IF(DH6=①통합_가정!$E$24,DG137+DH134,MIN(DG137+DH134,SUMIF(①통합_가정!$O$543:$O$545,DH6,①통합_가정!$E$543:$E$545)))</f>
        <v>0</v>
      </c>
      <c r="DI136" s="37" t="n">
        <f aca="false">IF(DI6=①통합_가정!$E$24,DH137+DI134,MIN(DH137+DI134,SUMIF(①통합_가정!$O$543:$O$545,DI6,①통합_가정!$E$543:$E$545)))</f>
        <v>0</v>
      </c>
      <c r="DJ136" s="37" t="n">
        <f aca="false">IF(DJ6=①통합_가정!$E$24,DI137+DJ134,MIN(DI137+DJ134,SUMIF(①통합_가정!$O$543:$O$545,DJ6,①통합_가정!$E$543:$E$545)))</f>
        <v>0</v>
      </c>
      <c r="DK136" s="37" t="n">
        <f aca="false">IF(DK6=①통합_가정!$E$24,DJ137+DK134,MIN(DJ137+DK134,SUMIF(①통합_가정!$O$543:$O$545,DK6,①통합_가정!$E$543:$E$545)))</f>
        <v>0</v>
      </c>
      <c r="DL136" s="37" t="n">
        <f aca="false">IF(DL6=①통합_가정!$E$24,DK137+DL134,MIN(DK137+DL134,SUMIF(①통합_가정!$O$543:$O$545,DL6,①통합_가정!$E$543:$E$545)))</f>
        <v>0</v>
      </c>
      <c r="DM136" s="37" t="n">
        <f aca="false">IF(DM6=①통합_가정!$E$24,DL137+DM134,MIN(DL137+DM134,SUMIF(①통합_가정!$O$543:$O$545,DM6,①통합_가정!$E$543:$E$545)))</f>
        <v>0</v>
      </c>
      <c r="DN136" s="37" t="n">
        <f aca="false">IF(DN6=①통합_가정!$E$24,DM137+DN134,MIN(DM137+DN134,SUMIF(①통합_가정!$O$543:$O$545,DN6,①통합_가정!$E$543:$E$545)))</f>
        <v>0</v>
      </c>
      <c r="DO136" s="37" t="n">
        <f aca="false">IF(DO6=①통합_가정!$E$24,DN137+DO134,MIN(DN137+DO134,SUMIF(①통합_가정!$O$543:$O$545,DO6,①통합_가정!$E$543:$E$545)))</f>
        <v>0</v>
      </c>
      <c r="DP136" s="37" t="n">
        <f aca="false">IF(DP6=①통합_가정!$E$24,DO137+DP134,MIN(DO137+DP134,SUMIF(①통합_가정!$O$543:$O$545,DP6,①통합_가정!$E$543:$E$545)))</f>
        <v>0</v>
      </c>
      <c r="DQ136" s="37" t="n">
        <f aca="false">IF(DQ6=①통합_가정!$E$24,DP137+DQ134,MIN(DP137+DQ134,SUMIF(①통합_가정!$O$543:$O$545,DQ6,①통합_가정!$E$543:$E$545)))</f>
        <v>0</v>
      </c>
      <c r="DR136" s="37" t="n">
        <f aca="false">IF(DR6=①통합_가정!$E$24,DQ137+DR134,MIN(DQ137+DR134,SUMIF(①통합_가정!$O$543:$O$545,DR6,①통합_가정!$E$543:$E$545)))</f>
        <v>0</v>
      </c>
      <c r="DS136" s="37" t="n">
        <f aca="false">IF(DS6=①통합_가정!$E$24,DR137+DS134,MIN(DR137+DS134,SUMIF(①통합_가정!$O$543:$O$545,DS6,①통합_가정!$E$543:$E$545)))</f>
        <v>0</v>
      </c>
      <c r="DT136" s="37" t="n">
        <f aca="false">IF(DT6=①통합_가정!$E$24,DS137+DT134,MIN(DS137+DT134,SUMIF(①통합_가정!$O$543:$O$545,DT6,①통합_가정!$E$543:$E$545)))</f>
        <v>0</v>
      </c>
      <c r="DU136" s="37" t="n">
        <f aca="false">IF(DU6=①통합_가정!$E$24,DT137+DU134,MIN(DT137+DU134,SUMIF(①통합_가정!$O$543:$O$545,DU6,①통합_가정!$E$543:$E$545)))</f>
        <v>0</v>
      </c>
      <c r="DV136" s="37" t="n">
        <f aca="false">IF(DV6=①통합_가정!$E$24,DU137+DV134,MIN(DU137+DV134,SUMIF(①통합_가정!$O$543:$O$545,DV6,①통합_가정!$E$543:$E$545)))</f>
        <v>0</v>
      </c>
      <c r="DW136" s="37" t="n">
        <f aca="false">IF(DW6=①통합_가정!$E$24,DV137+DW134,MIN(DV137+DW134,SUMIF(①통합_가정!$O$543:$O$545,DW6,①통합_가정!$E$543:$E$545)))</f>
        <v>0</v>
      </c>
      <c r="DX136" s="37" t="n">
        <f aca="false">IF(DX6=①통합_가정!$E$24,DW137+DX134,MIN(DW137+DX134,SUMIF(①통합_가정!$O$543:$O$545,DX6,①통합_가정!$E$543:$E$545)))</f>
        <v>0</v>
      </c>
      <c r="DY136" s="37" t="n">
        <f aca="false">IF(DY6=①통합_가정!$E$24,DX137+DY134,MIN(DX137+DY134,SUMIF(①통합_가정!$O$543:$O$545,DY6,①통합_가정!$E$543:$E$545)))</f>
        <v>0</v>
      </c>
      <c r="DZ136" s="37" t="n">
        <f aca="false">IF(DZ6=①통합_가정!$E$24,DY137+DZ134,MIN(DY137+DZ134,SUMIF(①통합_가정!$O$543:$O$545,DZ6,①통합_가정!$E$543:$E$545)))</f>
        <v>0</v>
      </c>
      <c r="EA136" s="37" t="n">
        <f aca="false">IF(EA6=①통합_가정!$E$24,DZ137+EA134,MIN(DZ137+EA134,SUMIF(①통합_가정!$O$543:$O$545,EA6,①통합_가정!$E$543:$E$545)))</f>
        <v>0</v>
      </c>
      <c r="EB136" s="37" t="n">
        <f aca="false">IF(EB6=①통합_가정!$E$24,EA137+EB134,MIN(EA137+EB134,SUMIF(①통합_가정!$O$543:$O$545,EB6,①통합_가정!$E$543:$E$545)))</f>
        <v>0</v>
      </c>
      <c r="EC136" s="37" t="n">
        <f aca="false">IF(EC6=①통합_가정!$E$24,EB137+EC134,MIN(EB137+EC134,SUMIF(①통합_가정!$O$543:$O$545,EC6,①통합_가정!$E$543:$E$545)))</f>
        <v>0</v>
      </c>
      <c r="ED136" s="37" t="n">
        <f aca="false">IF(ED6=①통합_가정!$E$24,EC137+ED134,MIN(EC137+ED134,SUMIF(①통합_가정!$O$543:$O$545,ED6,①통합_가정!$E$543:$E$545)))</f>
        <v>0</v>
      </c>
      <c r="EE136" s="37" t="n">
        <f aca="false">IF(EE6=①통합_가정!$E$24,ED137+EE134,MIN(ED137+EE134,SUMIF(①통합_가정!$O$543:$O$545,EE6,①통합_가정!$E$543:$E$545)))</f>
        <v>0</v>
      </c>
      <c r="EF136" s="37" t="n">
        <f aca="false">IF(EF6=①통합_가정!$E$24,EE137+EF134,MIN(EE137+EF134,SUMIF(①통합_가정!$O$543:$O$545,EF6,①통합_가정!$E$543:$E$545)))</f>
        <v>0</v>
      </c>
    </row>
    <row r="137" customFormat="false" ht="15" hidden="false" customHeight="false" outlineLevel="0" collapsed="false">
      <c r="A137" s="36" t="s">
        <v>671</v>
      </c>
      <c r="B137" s="278" t="s">
        <v>21</v>
      </c>
      <c r="C137" s="279" t="n">
        <f aca="false">MAX(E137:EF137)</f>
        <v>0</v>
      </c>
      <c r="E137" s="37" t="n">
        <f aca="false">0+E134-E136</f>
        <v>0</v>
      </c>
      <c r="F137" s="37" t="n">
        <f aca="false">E137+F134-F136</f>
        <v>0</v>
      </c>
      <c r="G137" s="37" t="n">
        <f aca="false">F137+G134-G136</f>
        <v>0</v>
      </c>
      <c r="H137" s="37" t="n">
        <f aca="false">G137+H134-H136</f>
        <v>0</v>
      </c>
      <c r="I137" s="37" t="n">
        <f aca="false">H137+I134-I136</f>
        <v>0</v>
      </c>
      <c r="J137" s="37" t="n">
        <f aca="false">I137+J134-J136</f>
        <v>0</v>
      </c>
      <c r="K137" s="37" t="n">
        <f aca="false">J137+K134-K136</f>
        <v>0</v>
      </c>
      <c r="L137" s="37" t="n">
        <f aca="false">K137+L134-L136</f>
        <v>0</v>
      </c>
      <c r="M137" s="37" t="n">
        <f aca="false">L137+M134-M136</f>
        <v>0</v>
      </c>
      <c r="N137" s="37" t="n">
        <f aca="false">M137+N134-N136</f>
        <v>0</v>
      </c>
      <c r="O137" s="37" t="n">
        <f aca="false">N137+O134-O136</f>
        <v>0</v>
      </c>
      <c r="P137" s="37" t="n">
        <f aca="false">O137+P134-P136</f>
        <v>0</v>
      </c>
      <c r="Q137" s="37" t="n">
        <f aca="false">P137+Q134-Q136</f>
        <v>0</v>
      </c>
      <c r="R137" s="37" t="n">
        <f aca="false">Q137+R134-R136</f>
        <v>0</v>
      </c>
      <c r="S137" s="37" t="n">
        <f aca="false">R137+S134-S136</f>
        <v>0</v>
      </c>
      <c r="T137" s="37" t="n">
        <f aca="false">S137+T134-T136</f>
        <v>0</v>
      </c>
      <c r="U137" s="37" t="n">
        <f aca="false">T137+U134-U136</f>
        <v>0</v>
      </c>
      <c r="V137" s="37" t="n">
        <f aca="false">U137+V134-V136</f>
        <v>0</v>
      </c>
      <c r="W137" s="37" t="n">
        <f aca="false">V137+W134-W136</f>
        <v>0</v>
      </c>
      <c r="X137" s="37" t="n">
        <f aca="false">W137+X134-X136</f>
        <v>0</v>
      </c>
      <c r="Y137" s="37" t="n">
        <f aca="false">X137+Y134-Y136</f>
        <v>0</v>
      </c>
      <c r="Z137" s="37" t="n">
        <f aca="false">Y137+Z134-Z136</f>
        <v>0</v>
      </c>
      <c r="AA137" s="37" t="n">
        <f aca="false">Z137+AA134-AA136</f>
        <v>0</v>
      </c>
      <c r="AB137" s="37" t="n">
        <f aca="false">AA137+AB134-AB136</f>
        <v>0</v>
      </c>
      <c r="AC137" s="37" t="n">
        <f aca="false">AB137+AC134-AC136</f>
        <v>0</v>
      </c>
      <c r="AD137" s="37" t="n">
        <f aca="false">AC137+AD134-AD136</f>
        <v>0</v>
      </c>
      <c r="AE137" s="37" t="n">
        <f aca="false">AD137+AE134-AE136</f>
        <v>0</v>
      </c>
      <c r="AF137" s="37" t="n">
        <f aca="false">AE137+AF134-AF136</f>
        <v>0</v>
      </c>
      <c r="AG137" s="37" t="n">
        <f aca="false">AF137+AG134-AG136</f>
        <v>0</v>
      </c>
      <c r="AH137" s="37" t="n">
        <f aca="false">AG137+AH134-AH136</f>
        <v>0</v>
      </c>
      <c r="AI137" s="37" t="n">
        <f aca="false">AH137+AI134-AI136</f>
        <v>0</v>
      </c>
      <c r="AJ137" s="37" t="n">
        <f aca="false">AI137+AJ134-AJ136</f>
        <v>0</v>
      </c>
      <c r="AK137" s="37" t="n">
        <f aca="false">AJ137+AK134-AK136</f>
        <v>0</v>
      </c>
      <c r="AL137" s="37" t="n">
        <f aca="false">AK137+AL134-AL136</f>
        <v>0</v>
      </c>
      <c r="AM137" s="37" t="n">
        <f aca="false">AL137+AM134-AM136</f>
        <v>0</v>
      </c>
      <c r="AN137" s="37" t="n">
        <f aca="false">AM137+AN134-AN136</f>
        <v>0</v>
      </c>
      <c r="AO137" s="37" t="n">
        <f aca="false">AN137+AO134-AO136</f>
        <v>0</v>
      </c>
      <c r="AP137" s="37" t="n">
        <f aca="false">AO137+AP134-AP136</f>
        <v>0</v>
      </c>
      <c r="AQ137" s="37" t="n">
        <f aca="false">AP137+AQ134-AQ136</f>
        <v>0</v>
      </c>
      <c r="AR137" s="37" t="n">
        <f aca="false">AQ137+AR134-AR136</f>
        <v>0</v>
      </c>
      <c r="AS137" s="37" t="n">
        <f aca="false">AR137+AS134-AS136</f>
        <v>0</v>
      </c>
      <c r="AT137" s="37" t="n">
        <f aca="false">AS137+AT134-AT136</f>
        <v>0</v>
      </c>
      <c r="AU137" s="37" t="n">
        <f aca="false">AT137+AU134-AU136</f>
        <v>0</v>
      </c>
      <c r="AV137" s="37" t="n">
        <f aca="false">AU137+AV134-AV136</f>
        <v>0</v>
      </c>
      <c r="AW137" s="37" t="n">
        <f aca="false">AV137+AW134-AW136</f>
        <v>0</v>
      </c>
      <c r="AX137" s="37" t="n">
        <f aca="false">AW137+AX134-AX136</f>
        <v>0</v>
      </c>
      <c r="AY137" s="37" t="n">
        <f aca="false">AX137+AY134-AY136</f>
        <v>0</v>
      </c>
      <c r="AZ137" s="37" t="n">
        <f aca="false">AY137+AZ134-AZ136</f>
        <v>0</v>
      </c>
      <c r="BA137" s="37" t="n">
        <f aca="false">AZ137+BA134-BA136</f>
        <v>0</v>
      </c>
      <c r="BB137" s="37" t="n">
        <f aca="false">BA137+BB134-BB136</f>
        <v>0</v>
      </c>
      <c r="BC137" s="37" t="n">
        <f aca="false">BB137+BC134-BC136</f>
        <v>0</v>
      </c>
      <c r="BD137" s="37" t="n">
        <f aca="false">BC137+BD134-BD136</f>
        <v>0</v>
      </c>
      <c r="BE137" s="37" t="n">
        <f aca="false">BD137+BE134-BE136</f>
        <v>0</v>
      </c>
      <c r="BF137" s="37" t="n">
        <f aca="false">BE137+BF134-BF136</f>
        <v>0</v>
      </c>
      <c r="BG137" s="37" t="n">
        <f aca="false">BF137+BG134-BG136</f>
        <v>0</v>
      </c>
      <c r="BH137" s="37" t="n">
        <f aca="false">BG137+BH134-BH136</f>
        <v>0</v>
      </c>
      <c r="BI137" s="37" t="n">
        <f aca="false">BH137+BI134-BI136</f>
        <v>0</v>
      </c>
      <c r="BJ137" s="37" t="n">
        <f aca="false">BI137+BJ134-BJ136</f>
        <v>0</v>
      </c>
      <c r="BK137" s="37" t="n">
        <f aca="false">BJ137+BK134-BK136</f>
        <v>0</v>
      </c>
      <c r="BL137" s="37" t="n">
        <f aca="false">BK137+BL134-BL136</f>
        <v>0</v>
      </c>
      <c r="BM137" s="37" t="n">
        <f aca="false">BL137+BM134-BM136</f>
        <v>0</v>
      </c>
      <c r="BN137" s="37" t="n">
        <f aca="false">BM137+BN134-BN136</f>
        <v>0</v>
      </c>
      <c r="BO137" s="37" t="n">
        <f aca="false">BN137+BO134-BO136</f>
        <v>0</v>
      </c>
      <c r="BP137" s="37" t="n">
        <f aca="false">BO137+BP134-BP136</f>
        <v>0</v>
      </c>
      <c r="BQ137" s="37" t="n">
        <f aca="false">BP137+BQ134-BQ136</f>
        <v>0</v>
      </c>
      <c r="BR137" s="37" t="n">
        <f aca="false">BQ137+BR134-BR136</f>
        <v>0</v>
      </c>
      <c r="BS137" s="37" t="n">
        <f aca="false">BR137+BS134-BS136</f>
        <v>0</v>
      </c>
      <c r="BT137" s="37" t="n">
        <f aca="false">BS137+BT134-BT136</f>
        <v>0</v>
      </c>
      <c r="BU137" s="37" t="n">
        <f aca="false">BT137+BU134-BU136</f>
        <v>0</v>
      </c>
      <c r="BV137" s="37" t="n">
        <f aca="false">BU137+BV134-BV136</f>
        <v>0</v>
      </c>
      <c r="BW137" s="37" t="n">
        <f aca="false">BV137+BW134-BW136</f>
        <v>0</v>
      </c>
      <c r="BX137" s="37" t="n">
        <f aca="false">BW137+BX134-BX136</f>
        <v>0</v>
      </c>
      <c r="BY137" s="37" t="n">
        <f aca="false">BX137+BY134-BY136</f>
        <v>0</v>
      </c>
      <c r="BZ137" s="37" t="n">
        <f aca="false">BY137+BZ134-BZ136</f>
        <v>0</v>
      </c>
      <c r="CA137" s="37" t="n">
        <f aca="false">BZ137+CA134-CA136</f>
        <v>0</v>
      </c>
      <c r="CB137" s="37" t="n">
        <f aca="false">CA137+CB134-CB136</f>
        <v>0</v>
      </c>
      <c r="CC137" s="37" t="n">
        <f aca="false">CB137+CC134-CC136</f>
        <v>0</v>
      </c>
      <c r="CD137" s="37" t="n">
        <f aca="false">CC137+CD134-CD136</f>
        <v>0</v>
      </c>
      <c r="CE137" s="37" t="n">
        <f aca="false">CD137+CE134-CE136</f>
        <v>0</v>
      </c>
      <c r="CF137" s="37" t="n">
        <f aca="false">CE137+CF134-CF136</f>
        <v>0</v>
      </c>
      <c r="CG137" s="37" t="n">
        <f aca="false">CF137+CG134-CG136</f>
        <v>0</v>
      </c>
      <c r="CH137" s="37" t="n">
        <f aca="false">CG137+CH134-CH136</f>
        <v>0</v>
      </c>
      <c r="CI137" s="37" t="n">
        <f aca="false">CH137+CI134-CI136</f>
        <v>0</v>
      </c>
      <c r="CJ137" s="37" t="n">
        <f aca="false">CI137+CJ134-CJ136</f>
        <v>0</v>
      </c>
      <c r="CK137" s="37" t="n">
        <f aca="false">CJ137+CK134-CK136</f>
        <v>0</v>
      </c>
      <c r="CL137" s="37" t="n">
        <f aca="false">CK137+CL134-CL136</f>
        <v>0</v>
      </c>
      <c r="CM137" s="37" t="n">
        <f aca="false">CL137+CM134-CM136</f>
        <v>0</v>
      </c>
      <c r="CN137" s="37" t="n">
        <f aca="false">CM137+CN134-CN136</f>
        <v>0</v>
      </c>
      <c r="CO137" s="37" t="n">
        <f aca="false">CN137+CO134-CO136</f>
        <v>0</v>
      </c>
      <c r="CP137" s="37" t="n">
        <f aca="false">CO137+CP134-CP136</f>
        <v>0</v>
      </c>
      <c r="CQ137" s="37" t="n">
        <f aca="false">CP137+CQ134-CQ136</f>
        <v>0</v>
      </c>
      <c r="CR137" s="37" t="n">
        <f aca="false">CQ137+CR134-CR136</f>
        <v>0</v>
      </c>
      <c r="CS137" s="37" t="n">
        <f aca="false">CR137+CS134-CS136</f>
        <v>0</v>
      </c>
      <c r="CT137" s="37" t="n">
        <f aca="false">CS137+CT134-CT136</f>
        <v>0</v>
      </c>
      <c r="CU137" s="37" t="n">
        <f aca="false">CT137+CU134-CU136</f>
        <v>0</v>
      </c>
      <c r="CV137" s="37" t="n">
        <f aca="false">CU137+CV134-CV136</f>
        <v>0</v>
      </c>
      <c r="CW137" s="37" t="n">
        <f aca="false">CV137+CW134-CW136</f>
        <v>0</v>
      </c>
      <c r="CX137" s="37" t="n">
        <f aca="false">CW137+CX134-CX136</f>
        <v>0</v>
      </c>
      <c r="CY137" s="37" t="n">
        <f aca="false">CX137+CY134-CY136</f>
        <v>0</v>
      </c>
      <c r="CZ137" s="37" t="n">
        <f aca="false">CY137+CZ134-CZ136</f>
        <v>0</v>
      </c>
      <c r="DA137" s="37" t="n">
        <f aca="false">CZ137+DA134-DA136</f>
        <v>0</v>
      </c>
      <c r="DB137" s="37" t="n">
        <f aca="false">DA137+DB134-DB136</f>
        <v>0</v>
      </c>
      <c r="DC137" s="37" t="n">
        <f aca="false">DB137+DC134-DC136</f>
        <v>0</v>
      </c>
      <c r="DD137" s="37" t="n">
        <f aca="false">DC137+DD134-DD136</f>
        <v>0</v>
      </c>
      <c r="DE137" s="37" t="n">
        <f aca="false">DD137+DE134-DE136</f>
        <v>0</v>
      </c>
      <c r="DF137" s="37" t="n">
        <f aca="false">DE137+DF134-DF136</f>
        <v>0</v>
      </c>
      <c r="DG137" s="37" t="n">
        <f aca="false">DF137+DG134-DG136</f>
        <v>0</v>
      </c>
      <c r="DH137" s="37" t="n">
        <f aca="false">DG137+DH134-DH136</f>
        <v>0</v>
      </c>
      <c r="DI137" s="37" t="n">
        <f aca="false">DH137+DI134-DI136</f>
        <v>0</v>
      </c>
      <c r="DJ137" s="37" t="n">
        <f aca="false">DI137+DJ134-DJ136</f>
        <v>0</v>
      </c>
      <c r="DK137" s="37" t="n">
        <f aca="false">DJ137+DK134-DK136</f>
        <v>0</v>
      </c>
      <c r="DL137" s="37" t="n">
        <f aca="false">DK137+DL134-DL136</f>
        <v>0</v>
      </c>
      <c r="DM137" s="37" t="n">
        <f aca="false">DL137+DM134-DM136</f>
        <v>0</v>
      </c>
      <c r="DN137" s="37" t="n">
        <f aca="false">DM137+DN134-DN136</f>
        <v>0</v>
      </c>
      <c r="DO137" s="37" t="n">
        <f aca="false">DN137+DO134-DO136</f>
        <v>0</v>
      </c>
      <c r="DP137" s="37" t="n">
        <f aca="false">DO137+DP134-DP136</f>
        <v>0</v>
      </c>
      <c r="DQ137" s="37" t="n">
        <f aca="false">DP137+DQ134-DQ136</f>
        <v>0</v>
      </c>
      <c r="DR137" s="37" t="n">
        <f aca="false">DQ137+DR134-DR136</f>
        <v>0</v>
      </c>
      <c r="DS137" s="37" t="n">
        <f aca="false">DR137+DS134-DS136</f>
        <v>0</v>
      </c>
      <c r="DT137" s="37" t="n">
        <f aca="false">DS137+DT134-DT136</f>
        <v>0</v>
      </c>
      <c r="DU137" s="37" t="n">
        <f aca="false">DT137+DU134-DU136</f>
        <v>0</v>
      </c>
      <c r="DV137" s="37" t="n">
        <f aca="false">DU137+DV134-DV136</f>
        <v>0</v>
      </c>
      <c r="DW137" s="37" t="n">
        <f aca="false">DV137+DW134-DW136</f>
        <v>0</v>
      </c>
      <c r="DX137" s="37" t="n">
        <f aca="false">DW137+DX134-DX136</f>
        <v>0</v>
      </c>
      <c r="DY137" s="37" t="n">
        <f aca="false">DX137+DY134-DY136</f>
        <v>0</v>
      </c>
      <c r="DZ137" s="37" t="n">
        <f aca="false">DY137+DZ134-DZ136</f>
        <v>0</v>
      </c>
      <c r="EA137" s="37" t="n">
        <f aca="false">DZ137+EA134-EA136</f>
        <v>0</v>
      </c>
      <c r="EB137" s="37" t="n">
        <f aca="false">EA137+EB134-EB136</f>
        <v>0</v>
      </c>
      <c r="EC137" s="37" t="n">
        <f aca="false">EB137+EC134-EC136</f>
        <v>0</v>
      </c>
      <c r="ED137" s="37" t="n">
        <f aca="false">EC137+ED134-ED136</f>
        <v>0</v>
      </c>
      <c r="EE137" s="37" t="n">
        <f aca="false">ED137+EE134-EE136</f>
        <v>0</v>
      </c>
      <c r="EF137" s="37" t="n">
        <f aca="false">EE137+EF134-EF136</f>
        <v>0</v>
      </c>
    </row>
    <row r="139" customFormat="false" ht="15" hidden="false" customHeight="false" outlineLevel="0" collapsed="false">
      <c r="A139" s="34" t="s">
        <v>672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</row>
    <row r="140" customFormat="false" ht="15" hidden="false" customHeight="false" outlineLevel="0" collapsed="false">
      <c r="A140" s="36" t="s">
        <v>673</v>
      </c>
      <c r="B140" s="278" t="s">
        <v>21</v>
      </c>
      <c r="C140" s="279" t="n">
        <f aca="false">SUM(E140:EF140)</f>
        <v>86213.5157896724</v>
      </c>
      <c r="E140" s="37" t="n">
        <f aca="false">SUMIF(①통합_가정!$I$462:$I$466,E6,①통합_가정!$E$462:$E$466)</f>
        <v>15820.1801474049</v>
      </c>
      <c r="F140" s="37" t="n">
        <f aca="false">SUMIF(①통합_가정!$I$462:$I$466,F6,①통합_가정!$E$462:$E$466)</f>
        <v>0</v>
      </c>
      <c r="G140" s="37" t="n">
        <f aca="false">SUMIF(①통합_가정!$I$462:$I$466,G6,①통합_가정!$E$462:$E$466)</f>
        <v>0</v>
      </c>
      <c r="H140" s="37" t="n">
        <f aca="false">SUMIF(①통합_가정!$I$462:$I$466,H6,①통합_가정!$E$462:$E$466)</f>
        <v>0</v>
      </c>
      <c r="I140" s="37" t="n">
        <f aca="false">SUMIF(①통합_가정!$I$462:$I$466,I6,①통합_가정!$E$462:$E$466)</f>
        <v>0</v>
      </c>
      <c r="J140" s="37" t="n">
        <f aca="false">SUMIF(①통합_가정!$I$462:$I$466,J6,①통합_가정!$E$462:$E$466)</f>
        <v>0</v>
      </c>
      <c r="K140" s="37" t="n">
        <f aca="false">SUMIF(①통합_가정!$I$462:$I$466,K6,①통합_가정!$E$462:$E$466)</f>
        <v>0</v>
      </c>
      <c r="L140" s="37" t="n">
        <f aca="false">SUMIF(①통합_가정!$I$462:$I$466,L6,①통합_가정!$E$462:$E$466)</f>
        <v>0</v>
      </c>
      <c r="M140" s="37" t="n">
        <f aca="false">SUMIF(①통합_가정!$I$462:$I$466,M6,①통합_가정!$E$462:$E$466)</f>
        <v>0</v>
      </c>
      <c r="N140" s="37" t="n">
        <f aca="false">SUMIF(①통합_가정!$I$462:$I$466,N6,①통합_가정!$E$462:$E$466)</f>
        <v>0</v>
      </c>
      <c r="O140" s="37" t="n">
        <f aca="false">SUMIF(①통합_가정!$I$462:$I$466,O6,①통합_가정!$E$462:$E$466)</f>
        <v>0</v>
      </c>
      <c r="P140" s="37" t="n">
        <f aca="false">SUMIF(①통합_가정!$I$462:$I$466,P6,①통합_가정!$E$462:$E$466)</f>
        <v>0</v>
      </c>
      <c r="Q140" s="37" t="n">
        <f aca="false">SUMIF(①통합_가정!$I$462:$I$466,Q6,①통합_가정!$E$462:$E$466)</f>
        <v>0</v>
      </c>
      <c r="R140" s="37" t="n">
        <f aca="false">SUMIF(①통합_가정!$I$462:$I$466,R6,①통합_가정!$E$462:$E$466)</f>
        <v>0</v>
      </c>
      <c r="S140" s="37" t="n">
        <f aca="false">SUMIF(①통합_가정!$I$462:$I$466,S6,①통합_가정!$E$462:$E$466)</f>
        <v>0</v>
      </c>
      <c r="T140" s="37" t="n">
        <f aca="false">SUMIF(①통합_가정!$I$462:$I$466,T6,①통합_가정!$E$462:$E$466)</f>
        <v>0</v>
      </c>
      <c r="U140" s="37" t="n">
        <f aca="false">SUMIF(①통합_가정!$I$462:$I$466,U6,①통합_가정!$E$462:$E$466)</f>
        <v>0</v>
      </c>
      <c r="V140" s="37" t="n">
        <f aca="false">SUMIF(①통합_가정!$I$462:$I$466,V6,①통합_가정!$E$462:$E$466)</f>
        <v>0</v>
      </c>
      <c r="W140" s="37" t="n">
        <f aca="false">SUMIF(①통합_가정!$I$462:$I$466,W6,①통합_가정!$E$462:$E$466)</f>
        <v>70393.3356422675</v>
      </c>
      <c r="X140" s="37" t="n">
        <f aca="false">SUMIF(①통합_가정!$I$462:$I$466,X6,①통합_가정!$E$462:$E$466)</f>
        <v>0</v>
      </c>
      <c r="Y140" s="37" t="n">
        <f aca="false">SUMIF(①통합_가정!$I$462:$I$466,Y6,①통합_가정!$E$462:$E$466)</f>
        <v>0</v>
      </c>
      <c r="Z140" s="37" t="n">
        <f aca="false">SUMIF(①통합_가정!$I$462:$I$466,Z6,①통합_가정!$E$462:$E$466)</f>
        <v>0</v>
      </c>
      <c r="AA140" s="37" t="n">
        <f aca="false">SUMIF(①통합_가정!$I$462:$I$466,AA6,①통합_가정!$E$462:$E$466)</f>
        <v>0</v>
      </c>
      <c r="AB140" s="37" t="n">
        <f aca="false">SUMIF(①통합_가정!$I$462:$I$466,AB6,①통합_가정!$E$462:$E$466)</f>
        <v>0</v>
      </c>
      <c r="AC140" s="37" t="n">
        <f aca="false">SUMIF(①통합_가정!$I$462:$I$466,AC6,①통합_가정!$E$462:$E$466)</f>
        <v>0</v>
      </c>
      <c r="AD140" s="37" t="n">
        <f aca="false">SUMIF(①통합_가정!$I$462:$I$466,AD6,①통합_가정!$E$462:$E$466)</f>
        <v>0</v>
      </c>
      <c r="AE140" s="37" t="n">
        <f aca="false">SUMIF(①통합_가정!$I$462:$I$466,AE6,①통합_가정!$E$462:$E$466)</f>
        <v>0</v>
      </c>
      <c r="AF140" s="37" t="n">
        <f aca="false">SUMIF(①통합_가정!$I$462:$I$466,AF6,①통합_가정!$E$462:$E$466)</f>
        <v>0</v>
      </c>
      <c r="AG140" s="37" t="n">
        <f aca="false">SUMIF(①통합_가정!$I$462:$I$466,AG6,①통합_가정!$E$462:$E$466)</f>
        <v>0</v>
      </c>
      <c r="AH140" s="37" t="n">
        <f aca="false">SUMIF(①통합_가정!$I$462:$I$466,AH6,①통합_가정!$E$462:$E$466)</f>
        <v>0</v>
      </c>
      <c r="AI140" s="37" t="n">
        <f aca="false">SUMIF(①통합_가정!$I$462:$I$466,AI6,①통합_가정!$E$462:$E$466)</f>
        <v>0</v>
      </c>
      <c r="AJ140" s="37" t="n">
        <f aca="false">SUMIF(①통합_가정!$I$462:$I$466,AJ6,①통합_가정!$E$462:$E$466)</f>
        <v>0</v>
      </c>
      <c r="AK140" s="37" t="n">
        <f aca="false">SUMIF(①통합_가정!$I$462:$I$466,AK6,①통합_가정!$E$462:$E$466)</f>
        <v>0</v>
      </c>
      <c r="AL140" s="37" t="n">
        <f aca="false">SUMIF(①통합_가정!$I$462:$I$466,AL6,①통합_가정!$E$462:$E$466)</f>
        <v>0</v>
      </c>
      <c r="AM140" s="37" t="n">
        <f aca="false">SUMIF(①통합_가정!$I$462:$I$466,AM6,①통합_가정!$E$462:$E$466)</f>
        <v>0</v>
      </c>
      <c r="AN140" s="37" t="n">
        <f aca="false">SUMIF(①통합_가정!$I$462:$I$466,AN6,①통합_가정!$E$462:$E$466)</f>
        <v>0</v>
      </c>
      <c r="AO140" s="37" t="n">
        <f aca="false">SUMIF(①통합_가정!$I$462:$I$466,AO6,①통합_가정!$E$462:$E$466)</f>
        <v>0</v>
      </c>
      <c r="AP140" s="37" t="n">
        <f aca="false">SUMIF(①통합_가정!$I$462:$I$466,AP6,①통합_가정!$E$462:$E$466)</f>
        <v>0</v>
      </c>
      <c r="AQ140" s="37" t="n">
        <f aca="false">SUMIF(①통합_가정!$I$462:$I$466,AQ6,①통합_가정!$E$462:$E$466)</f>
        <v>0</v>
      </c>
      <c r="AR140" s="37" t="n">
        <f aca="false">SUMIF(①통합_가정!$I$462:$I$466,AR6,①통합_가정!$E$462:$E$466)</f>
        <v>0</v>
      </c>
      <c r="AS140" s="37" t="n">
        <f aca="false">SUMIF(①통합_가정!$I$462:$I$466,AS6,①통합_가정!$E$462:$E$466)</f>
        <v>0</v>
      </c>
      <c r="AT140" s="37" t="n">
        <f aca="false">SUMIF(①통합_가정!$I$462:$I$466,AT6,①통합_가정!$E$462:$E$466)</f>
        <v>0</v>
      </c>
      <c r="AU140" s="37" t="n">
        <f aca="false">SUMIF(①통합_가정!$I$462:$I$466,AU6,①통합_가정!$E$462:$E$466)</f>
        <v>0</v>
      </c>
      <c r="AV140" s="37" t="n">
        <f aca="false">SUMIF(①통합_가정!$I$462:$I$466,AV6,①통합_가정!$E$462:$E$466)</f>
        <v>0</v>
      </c>
      <c r="AW140" s="37" t="n">
        <f aca="false">SUMIF(①통합_가정!$I$462:$I$466,AW6,①통합_가정!$E$462:$E$466)</f>
        <v>0</v>
      </c>
      <c r="AX140" s="37" t="n">
        <f aca="false">SUMIF(①통합_가정!$I$462:$I$466,AX6,①통합_가정!$E$462:$E$466)</f>
        <v>0</v>
      </c>
      <c r="AY140" s="37" t="n">
        <f aca="false">SUMIF(①통합_가정!$I$462:$I$466,AY6,①통합_가정!$E$462:$E$466)</f>
        <v>0</v>
      </c>
      <c r="AZ140" s="37" t="n">
        <f aca="false">SUMIF(①통합_가정!$I$462:$I$466,AZ6,①통합_가정!$E$462:$E$466)</f>
        <v>0</v>
      </c>
      <c r="BA140" s="37" t="n">
        <f aca="false">SUMIF(①통합_가정!$I$462:$I$466,BA6,①통합_가정!$E$462:$E$466)</f>
        <v>0</v>
      </c>
      <c r="BB140" s="37" t="n">
        <f aca="false">SUMIF(①통합_가정!$I$462:$I$466,BB6,①통합_가정!$E$462:$E$466)</f>
        <v>0</v>
      </c>
      <c r="BC140" s="37" t="n">
        <f aca="false">SUMIF(①통합_가정!$I$462:$I$466,BC6,①통합_가정!$E$462:$E$466)</f>
        <v>0</v>
      </c>
      <c r="BD140" s="37" t="n">
        <f aca="false">SUMIF(①통합_가정!$I$462:$I$466,BD6,①통합_가정!$E$462:$E$466)</f>
        <v>0</v>
      </c>
      <c r="BE140" s="37" t="n">
        <f aca="false">SUMIF(①통합_가정!$I$462:$I$466,BE6,①통합_가정!$E$462:$E$466)</f>
        <v>0</v>
      </c>
      <c r="BF140" s="37" t="n">
        <f aca="false">SUMIF(①통합_가정!$I$462:$I$466,BF6,①통합_가정!$E$462:$E$466)</f>
        <v>0</v>
      </c>
      <c r="BG140" s="37" t="n">
        <f aca="false">SUMIF(①통합_가정!$I$462:$I$466,BG6,①통합_가정!$E$462:$E$466)</f>
        <v>0</v>
      </c>
      <c r="BH140" s="37" t="n">
        <f aca="false">SUMIF(①통합_가정!$I$462:$I$466,BH6,①통합_가정!$E$462:$E$466)</f>
        <v>0</v>
      </c>
      <c r="BI140" s="37" t="n">
        <f aca="false">SUMIF(①통합_가정!$I$462:$I$466,BI6,①통합_가정!$E$462:$E$466)</f>
        <v>0</v>
      </c>
      <c r="BJ140" s="37" t="n">
        <f aca="false">SUMIF(①통합_가정!$I$462:$I$466,BJ6,①통합_가정!$E$462:$E$466)</f>
        <v>0</v>
      </c>
      <c r="BK140" s="37" t="n">
        <f aca="false">SUMIF(①통합_가정!$I$462:$I$466,BK6,①통합_가정!$E$462:$E$466)</f>
        <v>0</v>
      </c>
      <c r="BL140" s="37" t="n">
        <f aca="false">SUMIF(①통합_가정!$I$462:$I$466,BL6,①통합_가정!$E$462:$E$466)</f>
        <v>0</v>
      </c>
      <c r="BM140" s="37" t="n">
        <f aca="false">SUMIF(①통합_가정!$I$462:$I$466,BM6,①통합_가정!$E$462:$E$466)</f>
        <v>0</v>
      </c>
      <c r="BN140" s="37" t="n">
        <f aca="false">SUMIF(①통합_가정!$I$462:$I$466,BN6,①통합_가정!$E$462:$E$466)</f>
        <v>0</v>
      </c>
      <c r="BO140" s="37" t="n">
        <f aca="false">SUMIF(①통합_가정!$I$462:$I$466,BO6,①통합_가정!$E$462:$E$466)</f>
        <v>0</v>
      </c>
      <c r="BP140" s="37" t="n">
        <f aca="false">SUMIF(①통합_가정!$I$462:$I$466,BP6,①통합_가정!$E$462:$E$466)</f>
        <v>0</v>
      </c>
      <c r="BQ140" s="37" t="n">
        <f aca="false">SUMIF(①통합_가정!$I$462:$I$466,BQ6,①통합_가정!$E$462:$E$466)</f>
        <v>0</v>
      </c>
      <c r="BR140" s="37" t="n">
        <f aca="false">SUMIF(①통합_가정!$I$462:$I$466,BR6,①통합_가정!$E$462:$E$466)</f>
        <v>0</v>
      </c>
      <c r="BS140" s="37" t="n">
        <f aca="false">SUMIF(①통합_가정!$I$462:$I$466,BS6,①통합_가정!$E$462:$E$466)</f>
        <v>0</v>
      </c>
      <c r="BT140" s="37" t="n">
        <f aca="false">SUMIF(①통합_가정!$I$462:$I$466,BT6,①통합_가정!$E$462:$E$466)</f>
        <v>0</v>
      </c>
      <c r="BU140" s="37" t="n">
        <f aca="false">SUMIF(①통합_가정!$I$462:$I$466,BU6,①통합_가정!$E$462:$E$466)</f>
        <v>0</v>
      </c>
      <c r="BV140" s="37" t="n">
        <f aca="false">SUMIF(①통합_가정!$I$462:$I$466,BV6,①통합_가정!$E$462:$E$466)</f>
        <v>0</v>
      </c>
      <c r="BW140" s="37" t="n">
        <f aca="false">SUMIF(①통합_가정!$I$462:$I$466,BW6,①통합_가정!$E$462:$E$466)</f>
        <v>0</v>
      </c>
      <c r="BX140" s="37" t="n">
        <f aca="false">SUMIF(①통합_가정!$I$462:$I$466,BX6,①통합_가정!$E$462:$E$466)</f>
        <v>0</v>
      </c>
      <c r="BY140" s="37" t="n">
        <f aca="false">SUMIF(①통합_가정!$I$462:$I$466,BY6,①통합_가정!$E$462:$E$466)</f>
        <v>0</v>
      </c>
      <c r="BZ140" s="37" t="n">
        <f aca="false">SUMIF(①통합_가정!$I$462:$I$466,BZ6,①통합_가정!$E$462:$E$466)</f>
        <v>0</v>
      </c>
      <c r="CA140" s="37" t="n">
        <f aca="false">SUMIF(①통합_가정!$I$462:$I$466,CA6,①통합_가정!$E$462:$E$466)</f>
        <v>0</v>
      </c>
      <c r="CB140" s="37" t="n">
        <f aca="false">SUMIF(①통합_가정!$I$462:$I$466,CB6,①통합_가정!$E$462:$E$466)</f>
        <v>0</v>
      </c>
      <c r="CC140" s="37" t="n">
        <f aca="false">SUMIF(①통합_가정!$I$462:$I$466,CC6,①통합_가정!$E$462:$E$466)</f>
        <v>0</v>
      </c>
      <c r="CD140" s="37" t="n">
        <f aca="false">SUMIF(①통합_가정!$I$462:$I$466,CD6,①통합_가정!$E$462:$E$466)</f>
        <v>0</v>
      </c>
      <c r="CE140" s="37" t="n">
        <f aca="false">SUMIF(①통합_가정!$I$462:$I$466,CE6,①통합_가정!$E$462:$E$466)</f>
        <v>0</v>
      </c>
      <c r="CF140" s="37" t="n">
        <f aca="false">SUMIF(①통합_가정!$I$462:$I$466,CF6,①통합_가정!$E$462:$E$466)</f>
        <v>0</v>
      </c>
      <c r="CG140" s="37" t="n">
        <f aca="false">SUMIF(①통합_가정!$I$462:$I$466,CG6,①통합_가정!$E$462:$E$466)</f>
        <v>0</v>
      </c>
      <c r="CH140" s="37" t="n">
        <f aca="false">SUMIF(①통합_가정!$I$462:$I$466,CH6,①통합_가정!$E$462:$E$466)</f>
        <v>0</v>
      </c>
      <c r="CI140" s="37" t="n">
        <f aca="false">SUMIF(①통합_가정!$I$462:$I$466,CI6,①통합_가정!$E$462:$E$466)</f>
        <v>0</v>
      </c>
      <c r="CJ140" s="37" t="n">
        <f aca="false">SUMIF(①통합_가정!$I$462:$I$466,CJ6,①통합_가정!$E$462:$E$466)</f>
        <v>0</v>
      </c>
      <c r="CK140" s="37" t="n">
        <f aca="false">SUMIF(①통합_가정!$I$462:$I$466,CK6,①통합_가정!$E$462:$E$466)</f>
        <v>0</v>
      </c>
      <c r="CL140" s="37" t="n">
        <f aca="false">SUMIF(①통합_가정!$I$462:$I$466,CL6,①통합_가정!$E$462:$E$466)</f>
        <v>0</v>
      </c>
      <c r="CM140" s="37" t="n">
        <f aca="false">SUMIF(①통합_가정!$I$462:$I$466,CM6,①통합_가정!$E$462:$E$466)</f>
        <v>0</v>
      </c>
      <c r="CN140" s="37" t="n">
        <f aca="false">SUMIF(①통합_가정!$I$462:$I$466,CN6,①통합_가정!$E$462:$E$466)</f>
        <v>0</v>
      </c>
      <c r="CO140" s="37" t="n">
        <f aca="false">SUMIF(①통합_가정!$I$462:$I$466,CO6,①통합_가정!$E$462:$E$466)</f>
        <v>0</v>
      </c>
      <c r="CP140" s="37" t="n">
        <f aca="false">SUMIF(①통합_가정!$I$462:$I$466,CP6,①통합_가정!$E$462:$E$466)</f>
        <v>0</v>
      </c>
      <c r="CQ140" s="37" t="n">
        <f aca="false">SUMIF(①통합_가정!$I$462:$I$466,CQ6,①통합_가정!$E$462:$E$466)</f>
        <v>0</v>
      </c>
      <c r="CR140" s="37" t="n">
        <f aca="false">SUMIF(①통합_가정!$I$462:$I$466,CR6,①통합_가정!$E$462:$E$466)</f>
        <v>0</v>
      </c>
      <c r="CS140" s="37" t="n">
        <f aca="false">SUMIF(①통합_가정!$I$462:$I$466,CS6,①통합_가정!$E$462:$E$466)</f>
        <v>0</v>
      </c>
      <c r="CT140" s="37" t="n">
        <f aca="false">SUMIF(①통합_가정!$I$462:$I$466,CT6,①통합_가정!$E$462:$E$466)</f>
        <v>0</v>
      </c>
      <c r="CU140" s="37" t="n">
        <f aca="false">SUMIF(①통합_가정!$I$462:$I$466,CU6,①통합_가정!$E$462:$E$466)</f>
        <v>0</v>
      </c>
      <c r="CV140" s="37" t="n">
        <f aca="false">SUMIF(①통합_가정!$I$462:$I$466,CV6,①통합_가정!$E$462:$E$466)</f>
        <v>0</v>
      </c>
      <c r="CW140" s="37" t="n">
        <f aca="false">SUMIF(①통합_가정!$I$462:$I$466,CW6,①통합_가정!$E$462:$E$466)</f>
        <v>0</v>
      </c>
      <c r="CX140" s="37" t="n">
        <f aca="false">SUMIF(①통합_가정!$I$462:$I$466,CX6,①통합_가정!$E$462:$E$466)</f>
        <v>0</v>
      </c>
      <c r="CY140" s="37" t="n">
        <f aca="false">SUMIF(①통합_가정!$I$462:$I$466,CY6,①통합_가정!$E$462:$E$466)</f>
        <v>0</v>
      </c>
      <c r="CZ140" s="37" t="n">
        <f aca="false">SUMIF(①통합_가정!$I$462:$I$466,CZ6,①통합_가정!$E$462:$E$466)</f>
        <v>0</v>
      </c>
      <c r="DA140" s="37" t="n">
        <f aca="false">SUMIF(①통합_가정!$I$462:$I$466,DA6,①통합_가정!$E$462:$E$466)</f>
        <v>0</v>
      </c>
      <c r="DB140" s="37" t="n">
        <f aca="false">SUMIF(①통합_가정!$I$462:$I$466,DB6,①통합_가정!$E$462:$E$466)</f>
        <v>0</v>
      </c>
      <c r="DC140" s="37" t="n">
        <f aca="false">SUMIF(①통합_가정!$I$462:$I$466,DC6,①통합_가정!$E$462:$E$466)</f>
        <v>0</v>
      </c>
      <c r="DD140" s="37" t="n">
        <f aca="false">SUMIF(①통합_가정!$I$462:$I$466,DD6,①통합_가정!$E$462:$E$466)</f>
        <v>0</v>
      </c>
      <c r="DE140" s="37" t="n">
        <f aca="false">SUMIF(①통합_가정!$I$462:$I$466,DE6,①통합_가정!$E$462:$E$466)</f>
        <v>0</v>
      </c>
      <c r="DF140" s="37" t="n">
        <f aca="false">SUMIF(①통합_가정!$I$462:$I$466,DF6,①통합_가정!$E$462:$E$466)</f>
        <v>0</v>
      </c>
      <c r="DG140" s="37" t="n">
        <f aca="false">SUMIF(①통합_가정!$I$462:$I$466,DG6,①통합_가정!$E$462:$E$466)</f>
        <v>0</v>
      </c>
      <c r="DH140" s="37" t="n">
        <f aca="false">SUMIF(①통합_가정!$I$462:$I$466,DH6,①통합_가정!$E$462:$E$466)</f>
        <v>0</v>
      </c>
      <c r="DI140" s="37" t="n">
        <f aca="false">SUMIF(①통합_가정!$I$462:$I$466,DI6,①통합_가정!$E$462:$E$466)</f>
        <v>0</v>
      </c>
      <c r="DJ140" s="37" t="n">
        <f aca="false">SUMIF(①통합_가정!$I$462:$I$466,DJ6,①통합_가정!$E$462:$E$466)</f>
        <v>0</v>
      </c>
      <c r="DK140" s="37" t="n">
        <f aca="false">SUMIF(①통합_가정!$I$462:$I$466,DK6,①통합_가정!$E$462:$E$466)</f>
        <v>0</v>
      </c>
      <c r="DL140" s="37" t="n">
        <f aca="false">SUMIF(①통합_가정!$I$462:$I$466,DL6,①통합_가정!$E$462:$E$466)</f>
        <v>0</v>
      </c>
      <c r="DM140" s="37" t="n">
        <f aca="false">SUMIF(①통합_가정!$I$462:$I$466,DM6,①통합_가정!$E$462:$E$466)</f>
        <v>0</v>
      </c>
      <c r="DN140" s="37" t="n">
        <f aca="false">SUMIF(①통합_가정!$I$462:$I$466,DN6,①통합_가정!$E$462:$E$466)</f>
        <v>0</v>
      </c>
      <c r="DO140" s="37" t="n">
        <f aca="false">SUMIF(①통합_가정!$I$462:$I$466,DO6,①통합_가정!$E$462:$E$466)</f>
        <v>0</v>
      </c>
      <c r="DP140" s="37" t="n">
        <f aca="false">SUMIF(①통합_가정!$I$462:$I$466,DP6,①통합_가정!$E$462:$E$466)</f>
        <v>0</v>
      </c>
      <c r="DQ140" s="37" t="n">
        <f aca="false">SUMIF(①통합_가정!$I$462:$I$466,DQ6,①통합_가정!$E$462:$E$466)</f>
        <v>0</v>
      </c>
      <c r="DR140" s="37" t="n">
        <f aca="false">SUMIF(①통합_가정!$I$462:$I$466,DR6,①통합_가정!$E$462:$E$466)</f>
        <v>0</v>
      </c>
      <c r="DS140" s="37" t="n">
        <f aca="false">SUMIF(①통합_가정!$I$462:$I$466,DS6,①통합_가정!$E$462:$E$466)</f>
        <v>0</v>
      </c>
      <c r="DT140" s="37" t="n">
        <f aca="false">SUMIF(①통합_가정!$I$462:$I$466,DT6,①통합_가정!$E$462:$E$466)</f>
        <v>0</v>
      </c>
      <c r="DU140" s="37" t="n">
        <f aca="false">SUMIF(①통합_가정!$I$462:$I$466,DU6,①통합_가정!$E$462:$E$466)</f>
        <v>0</v>
      </c>
      <c r="DV140" s="37" t="n">
        <f aca="false">SUMIF(①통합_가정!$I$462:$I$466,DV6,①통합_가정!$E$462:$E$466)</f>
        <v>0</v>
      </c>
      <c r="DW140" s="37" t="n">
        <f aca="false">SUMIF(①통합_가정!$I$462:$I$466,DW6,①통합_가정!$E$462:$E$466)</f>
        <v>0</v>
      </c>
      <c r="DX140" s="37" t="n">
        <f aca="false">SUMIF(①통합_가정!$I$462:$I$466,DX6,①통합_가정!$E$462:$E$466)</f>
        <v>0</v>
      </c>
      <c r="DY140" s="37" t="n">
        <f aca="false">SUMIF(①통합_가정!$I$462:$I$466,DY6,①통합_가정!$E$462:$E$466)</f>
        <v>0</v>
      </c>
      <c r="DZ140" s="37" t="n">
        <f aca="false">SUMIF(①통합_가정!$I$462:$I$466,DZ6,①통합_가정!$E$462:$E$466)</f>
        <v>0</v>
      </c>
      <c r="EA140" s="37" t="n">
        <f aca="false">SUMIF(①통합_가정!$I$462:$I$466,EA6,①통합_가정!$E$462:$E$466)</f>
        <v>0</v>
      </c>
      <c r="EB140" s="37" t="n">
        <f aca="false">SUMIF(①통합_가정!$I$462:$I$466,EB6,①통합_가정!$E$462:$E$466)</f>
        <v>0</v>
      </c>
      <c r="EC140" s="37" t="n">
        <f aca="false">SUMIF(①통합_가정!$I$462:$I$466,EC6,①통합_가정!$E$462:$E$466)</f>
        <v>0</v>
      </c>
      <c r="ED140" s="37" t="n">
        <f aca="false">SUMIF(①통합_가정!$I$462:$I$466,ED6,①통합_가정!$E$462:$E$466)</f>
        <v>0</v>
      </c>
      <c r="EE140" s="37" t="n">
        <f aca="false">SUMIF(①통합_가정!$I$462:$I$466,EE6,①통합_가정!$E$462:$E$466)</f>
        <v>0</v>
      </c>
      <c r="EF140" s="37" t="n">
        <f aca="false">SUMIF(①통합_가정!$I$462:$I$466,EF6,①통합_가정!$E$462:$E$466)</f>
        <v>0</v>
      </c>
    </row>
    <row r="141" customFormat="false" ht="15" hidden="false" customHeight="false" outlineLevel="0" collapsed="false">
      <c r="A141" s="36" t="s">
        <v>674</v>
      </c>
      <c r="B141" s="278" t="s">
        <v>21</v>
      </c>
      <c r="C141" s="279" t="n">
        <f aca="false">SUM(E141:EF141)</f>
        <v>201164.870175902</v>
      </c>
      <c r="E141" s="37" t="n">
        <f aca="false">SUMIF(①통합_가정!$I$468:$I$472,E6,①통합_가정!$E$468:$E$472)</f>
        <v>0</v>
      </c>
      <c r="F141" s="37" t="n">
        <f aca="false">SUMIF(①통합_가정!$I$468:$I$472,F6,①통합_가정!$E$468:$E$472)</f>
        <v>0</v>
      </c>
      <c r="G141" s="37" t="n">
        <f aca="false">SUMIF(①통합_가정!$I$468:$I$472,G6,①통합_가정!$E$468:$E$472)</f>
        <v>0</v>
      </c>
      <c r="H141" s="37" t="n">
        <f aca="false">SUMIF(①통합_가정!$I$468:$I$472,H6,①통합_가정!$E$468:$E$472)</f>
        <v>0</v>
      </c>
      <c r="I141" s="37" t="n">
        <f aca="false">SUMIF(①통합_가정!$I$468:$I$472,I6,①통합_가정!$E$468:$E$472)</f>
        <v>0</v>
      </c>
      <c r="J141" s="37" t="n">
        <f aca="false">SUMIF(①통합_가정!$I$468:$I$472,J6,①통합_가정!$E$468:$E$472)</f>
        <v>0</v>
      </c>
      <c r="K141" s="37" t="n">
        <f aca="false">SUMIF(①통합_가정!$I$468:$I$472,K6,①통합_가정!$E$468:$E$472)</f>
        <v>0</v>
      </c>
      <c r="L141" s="37" t="n">
        <f aca="false">SUMIF(①통합_가정!$I$468:$I$472,L6,①통합_가정!$E$468:$E$472)</f>
        <v>0</v>
      </c>
      <c r="M141" s="37" t="n">
        <f aca="false">SUMIF(①통합_가정!$I$468:$I$472,M6,①통합_가정!$E$468:$E$472)</f>
        <v>0</v>
      </c>
      <c r="N141" s="37" t="n">
        <f aca="false">SUMIF(①통합_가정!$I$468:$I$472,N6,①통합_가정!$E$468:$E$472)</f>
        <v>0</v>
      </c>
      <c r="O141" s="37" t="n">
        <f aca="false">SUMIF(①통합_가정!$I$468:$I$472,O6,①통합_가정!$E$468:$E$472)</f>
        <v>0</v>
      </c>
      <c r="P141" s="37" t="n">
        <f aca="false">SUMIF(①통합_가정!$I$468:$I$472,P6,①통합_가정!$E$468:$E$472)</f>
        <v>0</v>
      </c>
      <c r="Q141" s="37" t="n">
        <f aca="false">SUMIF(①통합_가정!$I$468:$I$472,Q6,①통합_가정!$E$468:$E$472)</f>
        <v>0</v>
      </c>
      <c r="R141" s="37" t="n">
        <f aca="false">SUMIF(①통합_가정!$I$468:$I$472,R6,①통합_가정!$E$468:$E$472)</f>
        <v>0</v>
      </c>
      <c r="S141" s="37" t="n">
        <f aca="false">SUMIF(①통합_가정!$I$468:$I$472,S6,①통합_가정!$E$468:$E$472)</f>
        <v>0</v>
      </c>
      <c r="T141" s="37" t="n">
        <f aca="false">SUMIF(①통합_가정!$I$468:$I$472,T6,①통합_가정!$E$468:$E$472)</f>
        <v>0</v>
      </c>
      <c r="U141" s="37" t="n">
        <f aca="false">SUMIF(①통합_가정!$I$468:$I$472,U6,①통합_가정!$E$468:$E$472)</f>
        <v>0</v>
      </c>
      <c r="V141" s="37" t="n">
        <f aca="false">SUMIF(①통합_가정!$I$468:$I$472,V6,①통합_가정!$E$468:$E$472)</f>
        <v>0</v>
      </c>
      <c r="W141" s="37" t="n">
        <f aca="false">SUMIF(①통합_가정!$I$468:$I$472,W6,①통합_가정!$E$468:$E$472)</f>
        <v>201164.870175902</v>
      </c>
      <c r="X141" s="37" t="n">
        <f aca="false">SUMIF(①통합_가정!$I$468:$I$472,X6,①통합_가정!$E$468:$E$472)</f>
        <v>0</v>
      </c>
      <c r="Y141" s="37" t="n">
        <f aca="false">SUMIF(①통합_가정!$I$468:$I$472,Y6,①통합_가정!$E$468:$E$472)</f>
        <v>0</v>
      </c>
      <c r="Z141" s="37" t="n">
        <f aca="false">SUMIF(①통합_가정!$I$468:$I$472,Z6,①통합_가정!$E$468:$E$472)</f>
        <v>0</v>
      </c>
      <c r="AA141" s="37" t="n">
        <f aca="false">SUMIF(①통합_가정!$I$468:$I$472,AA6,①통합_가정!$E$468:$E$472)</f>
        <v>0</v>
      </c>
      <c r="AB141" s="37" t="n">
        <f aca="false">SUMIF(①통합_가정!$I$468:$I$472,AB6,①통합_가정!$E$468:$E$472)</f>
        <v>0</v>
      </c>
      <c r="AC141" s="37" t="n">
        <f aca="false">SUMIF(①통합_가정!$I$468:$I$472,AC6,①통합_가정!$E$468:$E$472)</f>
        <v>0</v>
      </c>
      <c r="AD141" s="37" t="n">
        <f aca="false">SUMIF(①통합_가정!$I$468:$I$472,AD6,①통합_가정!$E$468:$E$472)</f>
        <v>0</v>
      </c>
      <c r="AE141" s="37" t="n">
        <f aca="false">SUMIF(①통합_가정!$I$468:$I$472,AE6,①통합_가정!$E$468:$E$472)</f>
        <v>0</v>
      </c>
      <c r="AF141" s="37" t="n">
        <f aca="false">SUMIF(①통합_가정!$I$468:$I$472,AF6,①통합_가정!$E$468:$E$472)</f>
        <v>0</v>
      </c>
      <c r="AG141" s="37" t="n">
        <f aca="false">SUMIF(①통합_가정!$I$468:$I$472,AG6,①통합_가정!$E$468:$E$472)</f>
        <v>0</v>
      </c>
      <c r="AH141" s="37" t="n">
        <f aca="false">SUMIF(①통합_가정!$I$468:$I$472,AH6,①통합_가정!$E$468:$E$472)</f>
        <v>0</v>
      </c>
      <c r="AI141" s="37" t="n">
        <f aca="false">SUMIF(①통합_가정!$I$468:$I$472,AI6,①통합_가정!$E$468:$E$472)</f>
        <v>0</v>
      </c>
      <c r="AJ141" s="37" t="n">
        <f aca="false">SUMIF(①통합_가정!$I$468:$I$472,AJ6,①통합_가정!$E$468:$E$472)</f>
        <v>0</v>
      </c>
      <c r="AK141" s="37" t="n">
        <f aca="false">SUMIF(①통합_가정!$I$468:$I$472,AK6,①통합_가정!$E$468:$E$472)</f>
        <v>0</v>
      </c>
      <c r="AL141" s="37" t="n">
        <f aca="false">SUMIF(①통합_가정!$I$468:$I$472,AL6,①통합_가정!$E$468:$E$472)</f>
        <v>0</v>
      </c>
      <c r="AM141" s="37" t="n">
        <f aca="false">SUMIF(①통합_가정!$I$468:$I$472,AM6,①통합_가정!$E$468:$E$472)</f>
        <v>0</v>
      </c>
      <c r="AN141" s="37" t="n">
        <f aca="false">SUMIF(①통합_가정!$I$468:$I$472,AN6,①통합_가정!$E$468:$E$472)</f>
        <v>0</v>
      </c>
      <c r="AO141" s="37" t="n">
        <f aca="false">SUMIF(①통합_가정!$I$468:$I$472,AO6,①통합_가정!$E$468:$E$472)</f>
        <v>0</v>
      </c>
      <c r="AP141" s="37" t="n">
        <f aca="false">SUMIF(①통합_가정!$I$468:$I$472,AP6,①통합_가정!$E$468:$E$472)</f>
        <v>0</v>
      </c>
      <c r="AQ141" s="37" t="n">
        <f aca="false">SUMIF(①통합_가정!$I$468:$I$472,AQ6,①통합_가정!$E$468:$E$472)</f>
        <v>0</v>
      </c>
      <c r="AR141" s="37" t="n">
        <f aca="false">SUMIF(①통합_가정!$I$468:$I$472,AR6,①통합_가정!$E$468:$E$472)</f>
        <v>0</v>
      </c>
      <c r="AS141" s="37" t="n">
        <f aca="false">SUMIF(①통합_가정!$I$468:$I$472,AS6,①통합_가정!$E$468:$E$472)</f>
        <v>0</v>
      </c>
      <c r="AT141" s="37" t="n">
        <f aca="false">SUMIF(①통합_가정!$I$468:$I$472,AT6,①통합_가정!$E$468:$E$472)</f>
        <v>0</v>
      </c>
      <c r="AU141" s="37" t="n">
        <f aca="false">SUMIF(①통합_가정!$I$468:$I$472,AU6,①통합_가정!$E$468:$E$472)</f>
        <v>0</v>
      </c>
      <c r="AV141" s="37" t="n">
        <f aca="false">SUMIF(①통합_가정!$I$468:$I$472,AV6,①통합_가정!$E$468:$E$472)</f>
        <v>0</v>
      </c>
      <c r="AW141" s="37" t="n">
        <f aca="false">SUMIF(①통합_가정!$I$468:$I$472,AW6,①통합_가정!$E$468:$E$472)</f>
        <v>0</v>
      </c>
      <c r="AX141" s="37" t="n">
        <f aca="false">SUMIF(①통합_가정!$I$468:$I$472,AX6,①통합_가정!$E$468:$E$472)</f>
        <v>0</v>
      </c>
      <c r="AY141" s="37" t="n">
        <f aca="false">SUMIF(①통합_가정!$I$468:$I$472,AY6,①통합_가정!$E$468:$E$472)</f>
        <v>0</v>
      </c>
      <c r="AZ141" s="37" t="n">
        <f aca="false">SUMIF(①통합_가정!$I$468:$I$472,AZ6,①통합_가정!$E$468:$E$472)</f>
        <v>0</v>
      </c>
      <c r="BA141" s="37" t="n">
        <f aca="false">SUMIF(①통합_가정!$I$468:$I$472,BA6,①통합_가정!$E$468:$E$472)</f>
        <v>0</v>
      </c>
      <c r="BB141" s="37" t="n">
        <f aca="false">SUMIF(①통합_가정!$I$468:$I$472,BB6,①통합_가정!$E$468:$E$472)</f>
        <v>0</v>
      </c>
      <c r="BC141" s="37" t="n">
        <f aca="false">SUMIF(①통합_가정!$I$468:$I$472,BC6,①통합_가정!$E$468:$E$472)</f>
        <v>0</v>
      </c>
      <c r="BD141" s="37" t="n">
        <f aca="false">SUMIF(①통합_가정!$I$468:$I$472,BD6,①통합_가정!$E$468:$E$472)</f>
        <v>0</v>
      </c>
      <c r="BE141" s="37" t="n">
        <f aca="false">SUMIF(①통합_가정!$I$468:$I$472,BE6,①통합_가정!$E$468:$E$472)</f>
        <v>0</v>
      </c>
      <c r="BF141" s="37" t="n">
        <f aca="false">SUMIF(①통합_가정!$I$468:$I$472,BF6,①통합_가정!$E$468:$E$472)</f>
        <v>0</v>
      </c>
      <c r="BG141" s="37" t="n">
        <f aca="false">SUMIF(①통합_가정!$I$468:$I$472,BG6,①통합_가정!$E$468:$E$472)</f>
        <v>0</v>
      </c>
      <c r="BH141" s="37" t="n">
        <f aca="false">SUMIF(①통합_가정!$I$468:$I$472,BH6,①통합_가정!$E$468:$E$472)</f>
        <v>0</v>
      </c>
      <c r="BI141" s="37" t="n">
        <f aca="false">SUMIF(①통합_가정!$I$468:$I$472,BI6,①통합_가정!$E$468:$E$472)</f>
        <v>0</v>
      </c>
      <c r="BJ141" s="37" t="n">
        <f aca="false">SUMIF(①통합_가정!$I$468:$I$472,BJ6,①통합_가정!$E$468:$E$472)</f>
        <v>0</v>
      </c>
      <c r="BK141" s="37" t="n">
        <f aca="false">SUMIF(①통합_가정!$I$468:$I$472,BK6,①통합_가정!$E$468:$E$472)</f>
        <v>0</v>
      </c>
      <c r="BL141" s="37" t="n">
        <f aca="false">SUMIF(①통합_가정!$I$468:$I$472,BL6,①통합_가정!$E$468:$E$472)</f>
        <v>0</v>
      </c>
      <c r="BM141" s="37" t="n">
        <f aca="false">SUMIF(①통합_가정!$I$468:$I$472,BM6,①통합_가정!$E$468:$E$472)</f>
        <v>0</v>
      </c>
      <c r="BN141" s="37" t="n">
        <f aca="false">SUMIF(①통합_가정!$I$468:$I$472,BN6,①통합_가정!$E$468:$E$472)</f>
        <v>0</v>
      </c>
      <c r="BO141" s="37" t="n">
        <f aca="false">SUMIF(①통합_가정!$I$468:$I$472,BO6,①통합_가정!$E$468:$E$472)</f>
        <v>0</v>
      </c>
      <c r="BP141" s="37" t="n">
        <f aca="false">SUMIF(①통합_가정!$I$468:$I$472,BP6,①통합_가정!$E$468:$E$472)</f>
        <v>0</v>
      </c>
      <c r="BQ141" s="37" t="n">
        <f aca="false">SUMIF(①통합_가정!$I$468:$I$472,BQ6,①통합_가정!$E$468:$E$472)</f>
        <v>0</v>
      </c>
      <c r="BR141" s="37" t="n">
        <f aca="false">SUMIF(①통합_가정!$I$468:$I$472,BR6,①통합_가정!$E$468:$E$472)</f>
        <v>0</v>
      </c>
      <c r="BS141" s="37" t="n">
        <f aca="false">SUMIF(①통합_가정!$I$468:$I$472,BS6,①통합_가정!$E$468:$E$472)</f>
        <v>0</v>
      </c>
      <c r="BT141" s="37" t="n">
        <f aca="false">SUMIF(①통합_가정!$I$468:$I$472,BT6,①통합_가정!$E$468:$E$472)</f>
        <v>0</v>
      </c>
      <c r="BU141" s="37" t="n">
        <f aca="false">SUMIF(①통합_가정!$I$468:$I$472,BU6,①통합_가정!$E$468:$E$472)</f>
        <v>0</v>
      </c>
      <c r="BV141" s="37" t="n">
        <f aca="false">SUMIF(①통합_가정!$I$468:$I$472,BV6,①통합_가정!$E$468:$E$472)</f>
        <v>0</v>
      </c>
      <c r="BW141" s="37" t="n">
        <f aca="false">SUMIF(①통합_가정!$I$468:$I$472,BW6,①통합_가정!$E$468:$E$472)</f>
        <v>0</v>
      </c>
      <c r="BX141" s="37" t="n">
        <f aca="false">SUMIF(①통합_가정!$I$468:$I$472,BX6,①통합_가정!$E$468:$E$472)</f>
        <v>0</v>
      </c>
      <c r="BY141" s="37" t="n">
        <f aca="false">SUMIF(①통합_가정!$I$468:$I$472,BY6,①통합_가정!$E$468:$E$472)</f>
        <v>0</v>
      </c>
      <c r="BZ141" s="37" t="n">
        <f aca="false">SUMIF(①통합_가정!$I$468:$I$472,BZ6,①통합_가정!$E$468:$E$472)</f>
        <v>0</v>
      </c>
      <c r="CA141" s="37" t="n">
        <f aca="false">SUMIF(①통합_가정!$I$468:$I$472,CA6,①통합_가정!$E$468:$E$472)</f>
        <v>0</v>
      </c>
      <c r="CB141" s="37" t="n">
        <f aca="false">SUMIF(①통합_가정!$I$468:$I$472,CB6,①통합_가정!$E$468:$E$472)</f>
        <v>0</v>
      </c>
      <c r="CC141" s="37" t="n">
        <f aca="false">SUMIF(①통합_가정!$I$468:$I$472,CC6,①통합_가정!$E$468:$E$472)</f>
        <v>0</v>
      </c>
      <c r="CD141" s="37" t="n">
        <f aca="false">SUMIF(①통합_가정!$I$468:$I$472,CD6,①통합_가정!$E$468:$E$472)</f>
        <v>0</v>
      </c>
      <c r="CE141" s="37" t="n">
        <f aca="false">SUMIF(①통합_가정!$I$468:$I$472,CE6,①통합_가정!$E$468:$E$472)</f>
        <v>0</v>
      </c>
      <c r="CF141" s="37" t="n">
        <f aca="false">SUMIF(①통합_가정!$I$468:$I$472,CF6,①통합_가정!$E$468:$E$472)</f>
        <v>0</v>
      </c>
      <c r="CG141" s="37" t="n">
        <f aca="false">SUMIF(①통합_가정!$I$468:$I$472,CG6,①통합_가정!$E$468:$E$472)</f>
        <v>0</v>
      </c>
      <c r="CH141" s="37" t="n">
        <f aca="false">SUMIF(①통합_가정!$I$468:$I$472,CH6,①통합_가정!$E$468:$E$472)</f>
        <v>0</v>
      </c>
      <c r="CI141" s="37" t="n">
        <f aca="false">SUMIF(①통합_가정!$I$468:$I$472,CI6,①통합_가정!$E$468:$E$472)</f>
        <v>0</v>
      </c>
      <c r="CJ141" s="37" t="n">
        <f aca="false">SUMIF(①통합_가정!$I$468:$I$472,CJ6,①통합_가정!$E$468:$E$472)</f>
        <v>0</v>
      </c>
      <c r="CK141" s="37" t="n">
        <f aca="false">SUMIF(①통합_가정!$I$468:$I$472,CK6,①통합_가정!$E$468:$E$472)</f>
        <v>0</v>
      </c>
      <c r="CL141" s="37" t="n">
        <f aca="false">SUMIF(①통합_가정!$I$468:$I$472,CL6,①통합_가정!$E$468:$E$472)</f>
        <v>0</v>
      </c>
      <c r="CM141" s="37" t="n">
        <f aca="false">SUMIF(①통합_가정!$I$468:$I$472,CM6,①통합_가정!$E$468:$E$472)</f>
        <v>0</v>
      </c>
      <c r="CN141" s="37" t="n">
        <f aca="false">SUMIF(①통합_가정!$I$468:$I$472,CN6,①통합_가정!$E$468:$E$472)</f>
        <v>0</v>
      </c>
      <c r="CO141" s="37" t="n">
        <f aca="false">SUMIF(①통합_가정!$I$468:$I$472,CO6,①통합_가정!$E$468:$E$472)</f>
        <v>0</v>
      </c>
      <c r="CP141" s="37" t="n">
        <f aca="false">SUMIF(①통합_가정!$I$468:$I$472,CP6,①통합_가정!$E$468:$E$472)</f>
        <v>0</v>
      </c>
      <c r="CQ141" s="37" t="n">
        <f aca="false">SUMIF(①통합_가정!$I$468:$I$472,CQ6,①통합_가정!$E$468:$E$472)</f>
        <v>0</v>
      </c>
      <c r="CR141" s="37" t="n">
        <f aca="false">SUMIF(①통합_가정!$I$468:$I$472,CR6,①통합_가정!$E$468:$E$472)</f>
        <v>0</v>
      </c>
      <c r="CS141" s="37" t="n">
        <f aca="false">SUMIF(①통합_가정!$I$468:$I$472,CS6,①통합_가정!$E$468:$E$472)</f>
        <v>0</v>
      </c>
      <c r="CT141" s="37" t="n">
        <f aca="false">SUMIF(①통합_가정!$I$468:$I$472,CT6,①통합_가정!$E$468:$E$472)</f>
        <v>0</v>
      </c>
      <c r="CU141" s="37" t="n">
        <f aca="false">SUMIF(①통합_가정!$I$468:$I$472,CU6,①통합_가정!$E$468:$E$472)</f>
        <v>0</v>
      </c>
      <c r="CV141" s="37" t="n">
        <f aca="false">SUMIF(①통합_가정!$I$468:$I$472,CV6,①통합_가정!$E$468:$E$472)</f>
        <v>0</v>
      </c>
      <c r="CW141" s="37" t="n">
        <f aca="false">SUMIF(①통합_가정!$I$468:$I$472,CW6,①통합_가정!$E$468:$E$472)</f>
        <v>0</v>
      </c>
      <c r="CX141" s="37" t="n">
        <f aca="false">SUMIF(①통합_가정!$I$468:$I$472,CX6,①통합_가정!$E$468:$E$472)</f>
        <v>0</v>
      </c>
      <c r="CY141" s="37" t="n">
        <f aca="false">SUMIF(①통합_가정!$I$468:$I$472,CY6,①통합_가정!$E$468:$E$472)</f>
        <v>0</v>
      </c>
      <c r="CZ141" s="37" t="n">
        <f aca="false">SUMIF(①통합_가정!$I$468:$I$472,CZ6,①통합_가정!$E$468:$E$472)</f>
        <v>0</v>
      </c>
      <c r="DA141" s="37" t="n">
        <f aca="false">SUMIF(①통합_가정!$I$468:$I$472,DA6,①통합_가정!$E$468:$E$472)</f>
        <v>0</v>
      </c>
      <c r="DB141" s="37" t="n">
        <f aca="false">SUMIF(①통합_가정!$I$468:$I$472,DB6,①통합_가정!$E$468:$E$472)</f>
        <v>0</v>
      </c>
      <c r="DC141" s="37" t="n">
        <f aca="false">SUMIF(①통합_가정!$I$468:$I$472,DC6,①통합_가정!$E$468:$E$472)</f>
        <v>0</v>
      </c>
      <c r="DD141" s="37" t="n">
        <f aca="false">SUMIF(①통합_가정!$I$468:$I$472,DD6,①통합_가정!$E$468:$E$472)</f>
        <v>0</v>
      </c>
      <c r="DE141" s="37" t="n">
        <f aca="false">SUMIF(①통합_가정!$I$468:$I$472,DE6,①통합_가정!$E$468:$E$472)</f>
        <v>0</v>
      </c>
      <c r="DF141" s="37" t="n">
        <f aca="false">SUMIF(①통합_가정!$I$468:$I$472,DF6,①통합_가정!$E$468:$E$472)</f>
        <v>0</v>
      </c>
      <c r="DG141" s="37" t="n">
        <f aca="false">SUMIF(①통합_가정!$I$468:$I$472,DG6,①통합_가정!$E$468:$E$472)</f>
        <v>0</v>
      </c>
      <c r="DH141" s="37" t="n">
        <f aca="false">SUMIF(①통합_가정!$I$468:$I$472,DH6,①통합_가정!$E$468:$E$472)</f>
        <v>0</v>
      </c>
      <c r="DI141" s="37" t="n">
        <f aca="false">SUMIF(①통합_가정!$I$468:$I$472,DI6,①통합_가정!$E$468:$E$472)</f>
        <v>0</v>
      </c>
      <c r="DJ141" s="37" t="n">
        <f aca="false">SUMIF(①통합_가정!$I$468:$I$472,DJ6,①통합_가정!$E$468:$E$472)</f>
        <v>0</v>
      </c>
      <c r="DK141" s="37" t="n">
        <f aca="false">SUMIF(①통합_가정!$I$468:$I$472,DK6,①통합_가정!$E$468:$E$472)</f>
        <v>0</v>
      </c>
      <c r="DL141" s="37" t="n">
        <f aca="false">SUMIF(①통합_가정!$I$468:$I$472,DL6,①통합_가정!$E$468:$E$472)</f>
        <v>0</v>
      </c>
      <c r="DM141" s="37" t="n">
        <f aca="false">SUMIF(①통합_가정!$I$468:$I$472,DM6,①통합_가정!$E$468:$E$472)</f>
        <v>0</v>
      </c>
      <c r="DN141" s="37" t="n">
        <f aca="false">SUMIF(①통합_가정!$I$468:$I$472,DN6,①통합_가정!$E$468:$E$472)</f>
        <v>0</v>
      </c>
      <c r="DO141" s="37" t="n">
        <f aca="false">SUMIF(①통합_가정!$I$468:$I$472,DO6,①통합_가정!$E$468:$E$472)</f>
        <v>0</v>
      </c>
      <c r="DP141" s="37" t="n">
        <f aca="false">SUMIF(①통합_가정!$I$468:$I$472,DP6,①통합_가정!$E$468:$E$472)</f>
        <v>0</v>
      </c>
      <c r="DQ141" s="37" t="n">
        <f aca="false">SUMIF(①통합_가정!$I$468:$I$472,DQ6,①통합_가정!$E$468:$E$472)</f>
        <v>0</v>
      </c>
      <c r="DR141" s="37" t="n">
        <f aca="false">SUMIF(①통합_가정!$I$468:$I$472,DR6,①통합_가정!$E$468:$E$472)</f>
        <v>0</v>
      </c>
      <c r="DS141" s="37" t="n">
        <f aca="false">SUMIF(①통합_가정!$I$468:$I$472,DS6,①통합_가정!$E$468:$E$472)</f>
        <v>0</v>
      </c>
      <c r="DT141" s="37" t="n">
        <f aca="false">SUMIF(①통합_가정!$I$468:$I$472,DT6,①통합_가정!$E$468:$E$472)</f>
        <v>0</v>
      </c>
      <c r="DU141" s="37" t="n">
        <f aca="false">SUMIF(①통합_가정!$I$468:$I$472,DU6,①통합_가정!$E$468:$E$472)</f>
        <v>0</v>
      </c>
      <c r="DV141" s="37" t="n">
        <f aca="false">SUMIF(①통합_가정!$I$468:$I$472,DV6,①통합_가정!$E$468:$E$472)</f>
        <v>0</v>
      </c>
      <c r="DW141" s="37" t="n">
        <f aca="false">SUMIF(①통합_가정!$I$468:$I$472,DW6,①통합_가정!$E$468:$E$472)</f>
        <v>0</v>
      </c>
      <c r="DX141" s="37" t="n">
        <f aca="false">SUMIF(①통합_가정!$I$468:$I$472,DX6,①통합_가정!$E$468:$E$472)</f>
        <v>0</v>
      </c>
      <c r="DY141" s="37" t="n">
        <f aca="false">SUMIF(①통합_가정!$I$468:$I$472,DY6,①통합_가정!$E$468:$E$472)</f>
        <v>0</v>
      </c>
      <c r="DZ141" s="37" t="n">
        <f aca="false">SUMIF(①통합_가정!$I$468:$I$472,DZ6,①통합_가정!$E$468:$E$472)</f>
        <v>0</v>
      </c>
      <c r="EA141" s="37" t="n">
        <f aca="false">SUMIF(①통합_가정!$I$468:$I$472,EA6,①통합_가정!$E$468:$E$472)</f>
        <v>0</v>
      </c>
      <c r="EB141" s="37" t="n">
        <f aca="false">SUMIF(①통합_가정!$I$468:$I$472,EB6,①통합_가정!$E$468:$E$472)</f>
        <v>0</v>
      </c>
      <c r="EC141" s="37" t="n">
        <f aca="false">SUMIF(①통합_가정!$I$468:$I$472,EC6,①통합_가정!$E$468:$E$472)</f>
        <v>0</v>
      </c>
      <c r="ED141" s="37" t="n">
        <f aca="false">SUMIF(①통합_가정!$I$468:$I$472,ED6,①통합_가정!$E$468:$E$472)</f>
        <v>0</v>
      </c>
      <c r="EE141" s="37" t="n">
        <f aca="false">SUMIF(①통합_가정!$I$468:$I$472,EE6,①통합_가정!$E$468:$E$472)</f>
        <v>0</v>
      </c>
      <c r="EF141" s="37" t="n">
        <f aca="false">SUMIF(①통합_가정!$I$468:$I$472,EF6,①통합_가정!$E$468:$E$472)</f>
        <v>0</v>
      </c>
    </row>
    <row r="142" customFormat="false" ht="15" hidden="false" customHeight="false" outlineLevel="0" collapsed="false">
      <c r="A142" s="284" t="s">
        <v>675</v>
      </c>
      <c r="B142" s="281" t="s">
        <v>21</v>
      </c>
      <c r="C142" s="282" t="n">
        <f aca="false">SUM(E142:EF142)</f>
        <v>287378.385965575</v>
      </c>
      <c r="D142" s="48"/>
      <c r="E142" s="283" t="n">
        <f aca="false">E140+E141</f>
        <v>15820.1801474049</v>
      </c>
      <c r="F142" s="283" t="n">
        <f aca="false">F140+F141</f>
        <v>0</v>
      </c>
      <c r="G142" s="283" t="n">
        <f aca="false">G140+G141</f>
        <v>0</v>
      </c>
      <c r="H142" s="283" t="n">
        <f aca="false">H140+H141</f>
        <v>0</v>
      </c>
      <c r="I142" s="283" t="n">
        <f aca="false">I140+I141</f>
        <v>0</v>
      </c>
      <c r="J142" s="283" t="n">
        <f aca="false">J140+J141</f>
        <v>0</v>
      </c>
      <c r="K142" s="283" t="n">
        <f aca="false">K140+K141</f>
        <v>0</v>
      </c>
      <c r="L142" s="283" t="n">
        <f aca="false">L140+L141</f>
        <v>0</v>
      </c>
      <c r="M142" s="283" t="n">
        <f aca="false">M140+M141</f>
        <v>0</v>
      </c>
      <c r="N142" s="283" t="n">
        <f aca="false">N140+N141</f>
        <v>0</v>
      </c>
      <c r="O142" s="283" t="n">
        <f aca="false">O140+O141</f>
        <v>0</v>
      </c>
      <c r="P142" s="283" t="n">
        <f aca="false">P140+P141</f>
        <v>0</v>
      </c>
      <c r="Q142" s="283" t="n">
        <f aca="false">Q140+Q141</f>
        <v>0</v>
      </c>
      <c r="R142" s="283" t="n">
        <f aca="false">R140+R141</f>
        <v>0</v>
      </c>
      <c r="S142" s="283" t="n">
        <f aca="false">S140+S141</f>
        <v>0</v>
      </c>
      <c r="T142" s="283" t="n">
        <f aca="false">T140+T141</f>
        <v>0</v>
      </c>
      <c r="U142" s="283" t="n">
        <f aca="false">U140+U141</f>
        <v>0</v>
      </c>
      <c r="V142" s="283" t="n">
        <f aca="false">V140+V141</f>
        <v>0</v>
      </c>
      <c r="W142" s="283" t="n">
        <f aca="false">W140+W141</f>
        <v>271558.20581817</v>
      </c>
      <c r="X142" s="283" t="n">
        <f aca="false">X140+X141</f>
        <v>0</v>
      </c>
      <c r="Y142" s="283" t="n">
        <f aca="false">Y140+Y141</f>
        <v>0</v>
      </c>
      <c r="Z142" s="283" t="n">
        <f aca="false">Z140+Z141</f>
        <v>0</v>
      </c>
      <c r="AA142" s="283" t="n">
        <f aca="false">AA140+AA141</f>
        <v>0</v>
      </c>
      <c r="AB142" s="283" t="n">
        <f aca="false">AB140+AB141</f>
        <v>0</v>
      </c>
      <c r="AC142" s="283" t="n">
        <f aca="false">AC140+AC141</f>
        <v>0</v>
      </c>
      <c r="AD142" s="283" t="n">
        <f aca="false">AD140+AD141</f>
        <v>0</v>
      </c>
      <c r="AE142" s="283" t="n">
        <f aca="false">AE140+AE141</f>
        <v>0</v>
      </c>
      <c r="AF142" s="283" t="n">
        <f aca="false">AF140+AF141</f>
        <v>0</v>
      </c>
      <c r="AG142" s="283" t="n">
        <f aca="false">AG140+AG141</f>
        <v>0</v>
      </c>
      <c r="AH142" s="283" t="n">
        <f aca="false">AH140+AH141</f>
        <v>0</v>
      </c>
      <c r="AI142" s="283" t="n">
        <f aca="false">AI140+AI141</f>
        <v>0</v>
      </c>
      <c r="AJ142" s="283" t="n">
        <f aca="false">AJ140+AJ141</f>
        <v>0</v>
      </c>
      <c r="AK142" s="283" t="n">
        <f aca="false">AK140+AK141</f>
        <v>0</v>
      </c>
      <c r="AL142" s="283" t="n">
        <f aca="false">AL140+AL141</f>
        <v>0</v>
      </c>
      <c r="AM142" s="283" t="n">
        <f aca="false">AM140+AM141</f>
        <v>0</v>
      </c>
      <c r="AN142" s="283" t="n">
        <f aca="false">AN140+AN141</f>
        <v>0</v>
      </c>
      <c r="AO142" s="283" t="n">
        <f aca="false">AO140+AO141</f>
        <v>0</v>
      </c>
      <c r="AP142" s="283" t="n">
        <f aca="false">AP140+AP141</f>
        <v>0</v>
      </c>
      <c r="AQ142" s="283" t="n">
        <f aca="false">AQ140+AQ141</f>
        <v>0</v>
      </c>
      <c r="AR142" s="283" t="n">
        <f aca="false">AR140+AR141</f>
        <v>0</v>
      </c>
      <c r="AS142" s="283" t="n">
        <f aca="false">AS140+AS141</f>
        <v>0</v>
      </c>
      <c r="AT142" s="283" t="n">
        <f aca="false">AT140+AT141</f>
        <v>0</v>
      </c>
      <c r="AU142" s="283" t="n">
        <f aca="false">AU140+AU141</f>
        <v>0</v>
      </c>
      <c r="AV142" s="283" t="n">
        <f aca="false">AV140+AV141</f>
        <v>0</v>
      </c>
      <c r="AW142" s="283" t="n">
        <f aca="false">AW140+AW141</f>
        <v>0</v>
      </c>
      <c r="AX142" s="283" t="n">
        <f aca="false">AX140+AX141</f>
        <v>0</v>
      </c>
      <c r="AY142" s="283" t="n">
        <f aca="false">AY140+AY141</f>
        <v>0</v>
      </c>
      <c r="AZ142" s="283" t="n">
        <f aca="false">AZ140+AZ141</f>
        <v>0</v>
      </c>
      <c r="BA142" s="283" t="n">
        <f aca="false">BA140+BA141</f>
        <v>0</v>
      </c>
      <c r="BB142" s="283" t="n">
        <f aca="false">BB140+BB141</f>
        <v>0</v>
      </c>
      <c r="BC142" s="283" t="n">
        <f aca="false">BC140+BC141</f>
        <v>0</v>
      </c>
      <c r="BD142" s="283" t="n">
        <f aca="false">BD140+BD141</f>
        <v>0</v>
      </c>
      <c r="BE142" s="283" t="n">
        <f aca="false">BE140+BE141</f>
        <v>0</v>
      </c>
      <c r="BF142" s="283" t="n">
        <f aca="false">BF140+BF141</f>
        <v>0</v>
      </c>
      <c r="BG142" s="283" t="n">
        <f aca="false">BG140+BG141</f>
        <v>0</v>
      </c>
      <c r="BH142" s="283" t="n">
        <f aca="false">BH140+BH141</f>
        <v>0</v>
      </c>
      <c r="BI142" s="283" t="n">
        <f aca="false">BI140+BI141</f>
        <v>0</v>
      </c>
      <c r="BJ142" s="283" t="n">
        <f aca="false">BJ140+BJ141</f>
        <v>0</v>
      </c>
      <c r="BK142" s="283" t="n">
        <f aca="false">BK140+BK141</f>
        <v>0</v>
      </c>
      <c r="BL142" s="283" t="n">
        <f aca="false">BL140+BL141</f>
        <v>0</v>
      </c>
      <c r="BM142" s="283" t="n">
        <f aca="false">BM140+BM141</f>
        <v>0</v>
      </c>
      <c r="BN142" s="283" t="n">
        <f aca="false">BN140+BN141</f>
        <v>0</v>
      </c>
      <c r="BO142" s="283" t="n">
        <f aca="false">BO140+BO141</f>
        <v>0</v>
      </c>
      <c r="BP142" s="283" t="n">
        <f aca="false">BP140+BP141</f>
        <v>0</v>
      </c>
      <c r="BQ142" s="283" t="n">
        <f aca="false">BQ140+BQ141</f>
        <v>0</v>
      </c>
      <c r="BR142" s="283" t="n">
        <f aca="false">BR140+BR141</f>
        <v>0</v>
      </c>
      <c r="BS142" s="283" t="n">
        <f aca="false">BS140+BS141</f>
        <v>0</v>
      </c>
      <c r="BT142" s="283" t="n">
        <f aca="false">BT140+BT141</f>
        <v>0</v>
      </c>
      <c r="BU142" s="283" t="n">
        <f aca="false">BU140+BU141</f>
        <v>0</v>
      </c>
      <c r="BV142" s="283" t="n">
        <f aca="false">BV140+BV141</f>
        <v>0</v>
      </c>
      <c r="BW142" s="283" t="n">
        <f aca="false">BW140+BW141</f>
        <v>0</v>
      </c>
      <c r="BX142" s="283" t="n">
        <f aca="false">BX140+BX141</f>
        <v>0</v>
      </c>
      <c r="BY142" s="283" t="n">
        <f aca="false">BY140+BY141</f>
        <v>0</v>
      </c>
      <c r="BZ142" s="283" t="n">
        <f aca="false">BZ140+BZ141</f>
        <v>0</v>
      </c>
      <c r="CA142" s="283" t="n">
        <f aca="false">CA140+CA141</f>
        <v>0</v>
      </c>
      <c r="CB142" s="283" t="n">
        <f aca="false">CB140+CB141</f>
        <v>0</v>
      </c>
      <c r="CC142" s="283" t="n">
        <f aca="false">CC140+CC141</f>
        <v>0</v>
      </c>
      <c r="CD142" s="283" t="n">
        <f aca="false">CD140+CD141</f>
        <v>0</v>
      </c>
      <c r="CE142" s="283" t="n">
        <f aca="false">CE140+CE141</f>
        <v>0</v>
      </c>
      <c r="CF142" s="283" t="n">
        <f aca="false">CF140+CF141</f>
        <v>0</v>
      </c>
      <c r="CG142" s="283" t="n">
        <f aca="false">CG140+CG141</f>
        <v>0</v>
      </c>
      <c r="CH142" s="283" t="n">
        <f aca="false">CH140+CH141</f>
        <v>0</v>
      </c>
      <c r="CI142" s="283" t="n">
        <f aca="false">CI140+CI141</f>
        <v>0</v>
      </c>
      <c r="CJ142" s="283" t="n">
        <f aca="false">CJ140+CJ141</f>
        <v>0</v>
      </c>
      <c r="CK142" s="283" t="n">
        <f aca="false">CK140+CK141</f>
        <v>0</v>
      </c>
      <c r="CL142" s="283" t="n">
        <f aca="false">CL140+CL141</f>
        <v>0</v>
      </c>
      <c r="CM142" s="283" t="n">
        <f aca="false">CM140+CM141</f>
        <v>0</v>
      </c>
      <c r="CN142" s="283" t="n">
        <f aca="false">CN140+CN141</f>
        <v>0</v>
      </c>
      <c r="CO142" s="283" t="n">
        <f aca="false">CO140+CO141</f>
        <v>0</v>
      </c>
      <c r="CP142" s="283" t="n">
        <f aca="false">CP140+CP141</f>
        <v>0</v>
      </c>
      <c r="CQ142" s="283" t="n">
        <f aca="false">CQ140+CQ141</f>
        <v>0</v>
      </c>
      <c r="CR142" s="283" t="n">
        <f aca="false">CR140+CR141</f>
        <v>0</v>
      </c>
      <c r="CS142" s="283" t="n">
        <f aca="false">CS140+CS141</f>
        <v>0</v>
      </c>
      <c r="CT142" s="283" t="n">
        <f aca="false">CT140+CT141</f>
        <v>0</v>
      </c>
      <c r="CU142" s="283" t="n">
        <f aca="false">CU140+CU141</f>
        <v>0</v>
      </c>
      <c r="CV142" s="283" t="n">
        <f aca="false">CV140+CV141</f>
        <v>0</v>
      </c>
      <c r="CW142" s="283" t="n">
        <f aca="false">CW140+CW141</f>
        <v>0</v>
      </c>
      <c r="CX142" s="283" t="n">
        <f aca="false">CX140+CX141</f>
        <v>0</v>
      </c>
      <c r="CY142" s="283" t="n">
        <f aca="false">CY140+CY141</f>
        <v>0</v>
      </c>
      <c r="CZ142" s="283" t="n">
        <f aca="false">CZ140+CZ141</f>
        <v>0</v>
      </c>
      <c r="DA142" s="283" t="n">
        <f aca="false">DA140+DA141</f>
        <v>0</v>
      </c>
      <c r="DB142" s="283" t="n">
        <f aca="false">DB140+DB141</f>
        <v>0</v>
      </c>
      <c r="DC142" s="283" t="n">
        <f aca="false">DC140+DC141</f>
        <v>0</v>
      </c>
      <c r="DD142" s="283" t="n">
        <f aca="false">DD140+DD141</f>
        <v>0</v>
      </c>
      <c r="DE142" s="283" t="n">
        <f aca="false">DE140+DE141</f>
        <v>0</v>
      </c>
      <c r="DF142" s="283" t="n">
        <f aca="false">DF140+DF141</f>
        <v>0</v>
      </c>
      <c r="DG142" s="283" t="n">
        <f aca="false">DG140+DG141</f>
        <v>0</v>
      </c>
      <c r="DH142" s="283" t="n">
        <f aca="false">DH140+DH141</f>
        <v>0</v>
      </c>
      <c r="DI142" s="283" t="n">
        <f aca="false">DI140+DI141</f>
        <v>0</v>
      </c>
      <c r="DJ142" s="283" t="n">
        <f aca="false">DJ140+DJ141</f>
        <v>0</v>
      </c>
      <c r="DK142" s="283" t="n">
        <f aca="false">DK140+DK141</f>
        <v>0</v>
      </c>
      <c r="DL142" s="283" t="n">
        <f aca="false">DL140+DL141</f>
        <v>0</v>
      </c>
      <c r="DM142" s="283" t="n">
        <f aca="false">DM140+DM141</f>
        <v>0</v>
      </c>
      <c r="DN142" s="283" t="n">
        <f aca="false">DN140+DN141</f>
        <v>0</v>
      </c>
      <c r="DO142" s="283" t="n">
        <f aca="false">DO140+DO141</f>
        <v>0</v>
      </c>
      <c r="DP142" s="283" t="n">
        <f aca="false">DP140+DP141</f>
        <v>0</v>
      </c>
      <c r="DQ142" s="283" t="n">
        <f aca="false">DQ140+DQ141</f>
        <v>0</v>
      </c>
      <c r="DR142" s="283" t="n">
        <f aca="false">DR140+DR141</f>
        <v>0</v>
      </c>
      <c r="DS142" s="283" t="n">
        <f aca="false">DS140+DS141</f>
        <v>0</v>
      </c>
      <c r="DT142" s="283" t="n">
        <f aca="false">DT140+DT141</f>
        <v>0</v>
      </c>
      <c r="DU142" s="283" t="n">
        <f aca="false">DU140+DU141</f>
        <v>0</v>
      </c>
      <c r="DV142" s="283" t="n">
        <f aca="false">DV140+DV141</f>
        <v>0</v>
      </c>
      <c r="DW142" s="283" t="n">
        <f aca="false">DW140+DW141</f>
        <v>0</v>
      </c>
      <c r="DX142" s="283" t="n">
        <f aca="false">DX140+DX141</f>
        <v>0</v>
      </c>
      <c r="DY142" s="283" t="n">
        <f aca="false">DY140+DY141</f>
        <v>0</v>
      </c>
      <c r="DZ142" s="283" t="n">
        <f aca="false">DZ140+DZ141</f>
        <v>0</v>
      </c>
      <c r="EA142" s="283" t="n">
        <f aca="false">EA140+EA141</f>
        <v>0</v>
      </c>
      <c r="EB142" s="283" t="n">
        <f aca="false">EB140+EB141</f>
        <v>0</v>
      </c>
      <c r="EC142" s="283" t="n">
        <f aca="false">EC140+EC141</f>
        <v>0</v>
      </c>
      <c r="ED142" s="283" t="n">
        <f aca="false">ED140+ED141</f>
        <v>0</v>
      </c>
      <c r="EE142" s="283" t="n">
        <f aca="false">EE140+EE141</f>
        <v>0</v>
      </c>
      <c r="EF142" s="283" t="n">
        <f aca="false">EF140+EF141</f>
        <v>0</v>
      </c>
    </row>
    <row r="144" customFormat="false" ht="15" hidden="false" customHeight="false" outlineLevel="0" collapsed="false">
      <c r="A144" s="6" t="s">
        <v>676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</row>
    <row r="145" customFormat="false" ht="15" hidden="false" customHeight="false" outlineLevel="0" collapsed="false">
      <c r="A145" s="36" t="s">
        <v>677</v>
      </c>
      <c r="B145" s="278" t="s">
        <v>21</v>
      </c>
      <c r="C145" s="279" t="n">
        <f aca="false">SUM(E145:EF145)</f>
        <v>1824235.87564974</v>
      </c>
      <c r="E145" s="37" t="n">
        <f aca="false">IF(E6=①통합_가정!$E$22,①통합_가정!$G$283,0)</f>
        <v>0</v>
      </c>
      <c r="F145" s="37" t="n">
        <f aca="false">IF(F6=①통합_가정!$E$22,①통합_가정!$G$283,0)</f>
        <v>0</v>
      </c>
      <c r="G145" s="37" t="n">
        <f aca="false">IF(G6=①통합_가정!$E$22,①통합_가정!$G$283,0)</f>
        <v>0</v>
      </c>
      <c r="H145" s="37" t="n">
        <f aca="false">IF(H6=①통합_가정!$E$22,①통합_가정!$G$283,0)</f>
        <v>0</v>
      </c>
      <c r="I145" s="37" t="n">
        <f aca="false">IF(I6=①통합_가정!$E$22,①통합_가정!$G$283,0)</f>
        <v>0</v>
      </c>
      <c r="J145" s="37" t="n">
        <f aca="false">IF(J6=①통합_가정!$E$22,①통합_가정!$G$283,0)</f>
        <v>0</v>
      </c>
      <c r="K145" s="37" t="n">
        <f aca="false">IF(K6=①통합_가정!$E$22,①통합_가정!$G$283,0)</f>
        <v>0</v>
      </c>
      <c r="L145" s="37" t="n">
        <f aca="false">IF(L6=①통합_가정!$E$22,①통합_가정!$G$283,0)</f>
        <v>0</v>
      </c>
      <c r="M145" s="37" t="n">
        <f aca="false">IF(M6=①통합_가정!$E$22,①통합_가정!$G$283,0)</f>
        <v>0</v>
      </c>
      <c r="N145" s="37" t="n">
        <f aca="false">IF(N6=①통합_가정!$E$22,①통합_가정!$G$283,0)</f>
        <v>0</v>
      </c>
      <c r="O145" s="37" t="n">
        <f aca="false">IF(O6=①통합_가정!$E$22,①통합_가정!$G$283,0)</f>
        <v>0</v>
      </c>
      <c r="P145" s="37" t="n">
        <f aca="false">IF(P6=①통합_가정!$E$22,①통합_가정!$G$283,0)</f>
        <v>0</v>
      </c>
      <c r="Q145" s="37" t="n">
        <f aca="false">IF(Q6=①통합_가정!$E$22,①통합_가정!$G$283,0)</f>
        <v>0</v>
      </c>
      <c r="R145" s="37" t="n">
        <f aca="false">IF(R6=①통합_가정!$E$22,①통합_가정!$G$283,0)</f>
        <v>0</v>
      </c>
      <c r="S145" s="37" t="n">
        <f aca="false">IF(S6=①통합_가정!$E$22,①통합_가정!$G$283,0)</f>
        <v>0</v>
      </c>
      <c r="T145" s="37" t="n">
        <f aca="false">IF(T6=①통합_가정!$E$22,①통합_가정!$G$283,0)</f>
        <v>0</v>
      </c>
      <c r="U145" s="37" t="n">
        <f aca="false">IF(U6=①통합_가정!$E$22,①통합_가정!$G$283,0)</f>
        <v>0</v>
      </c>
      <c r="V145" s="37" t="n">
        <f aca="false">IF(V6=①통합_가정!$E$22,①통합_가정!$G$283,0)</f>
        <v>0</v>
      </c>
      <c r="W145" s="37" t="n">
        <f aca="false">IF(W6=①통합_가정!$E$22,①통합_가정!$G$283,0)</f>
        <v>0</v>
      </c>
      <c r="X145" s="37" t="n">
        <f aca="false">IF(X6=①통합_가정!$E$22,①통합_가정!$G$283,0)</f>
        <v>0</v>
      </c>
      <c r="Y145" s="37" t="n">
        <f aca="false">IF(Y6=①통합_가정!$E$22,①통합_가정!$G$283,0)</f>
        <v>0</v>
      </c>
      <c r="Z145" s="37" t="n">
        <f aca="false">IF(Z6=①통합_가정!$E$22,①통합_가정!$G$283,0)</f>
        <v>0</v>
      </c>
      <c r="AA145" s="37" t="n">
        <f aca="false">IF(AA6=①통합_가정!$E$22,①통합_가정!$G$283,0)</f>
        <v>0</v>
      </c>
      <c r="AB145" s="37" t="n">
        <f aca="false">IF(AB6=①통합_가정!$E$22,①통합_가정!$G$283,0)</f>
        <v>0</v>
      </c>
      <c r="AC145" s="37" t="n">
        <f aca="false">IF(AC6=①통합_가정!$E$22,①통합_가정!$G$283,0)</f>
        <v>0</v>
      </c>
      <c r="AD145" s="37" t="n">
        <f aca="false">IF(AD6=①통합_가정!$E$22,①통합_가정!$G$283,0)</f>
        <v>0</v>
      </c>
      <c r="AE145" s="37" t="n">
        <f aca="false">IF(AE6=①통합_가정!$E$22,①통합_가정!$G$283,0)</f>
        <v>0</v>
      </c>
      <c r="AF145" s="37" t="n">
        <f aca="false">IF(AF6=①통합_가정!$E$22,①통합_가정!$G$283,0)</f>
        <v>0</v>
      </c>
      <c r="AG145" s="37" t="n">
        <f aca="false">IF(AG6=①통합_가정!$E$22,①통합_가정!$G$283,0)</f>
        <v>0</v>
      </c>
      <c r="AH145" s="37" t="n">
        <f aca="false">IF(AH6=①통합_가정!$E$22,①통합_가정!$G$283,0)</f>
        <v>0</v>
      </c>
      <c r="AI145" s="37" t="n">
        <f aca="false">IF(AI6=①통합_가정!$E$22,①통합_가정!$G$283,0)</f>
        <v>0</v>
      </c>
      <c r="AJ145" s="37" t="n">
        <f aca="false">IF(AJ6=①통합_가정!$E$22,①통합_가정!$G$283,0)</f>
        <v>0</v>
      </c>
      <c r="AK145" s="37" t="n">
        <f aca="false">IF(AK6=①통합_가정!$E$22,①통합_가정!$G$283,0)</f>
        <v>0</v>
      </c>
      <c r="AL145" s="37" t="n">
        <f aca="false">IF(AL6=①통합_가정!$E$22,①통합_가정!$G$283,0)</f>
        <v>0</v>
      </c>
      <c r="AM145" s="37" t="n">
        <f aca="false">IF(AM6=①통합_가정!$E$22,①통합_가정!$G$283,0)</f>
        <v>0</v>
      </c>
      <c r="AN145" s="37" t="n">
        <f aca="false">IF(AN6=①통합_가정!$E$22,①통합_가정!$G$283,0)</f>
        <v>0</v>
      </c>
      <c r="AO145" s="37" t="n">
        <f aca="false">IF(AO6=①통합_가정!$E$22,①통합_가정!$G$283,0)</f>
        <v>0</v>
      </c>
      <c r="AP145" s="37" t="n">
        <f aca="false">IF(AP6=①통합_가정!$E$22,①통합_가정!$G$283,0)</f>
        <v>0</v>
      </c>
      <c r="AQ145" s="37" t="n">
        <f aca="false">IF(AQ6=①통합_가정!$E$22,①통합_가정!$G$283,0)</f>
        <v>0</v>
      </c>
      <c r="AR145" s="37" t="n">
        <f aca="false">IF(AR6=①통합_가정!$E$22,①통합_가정!$G$283,0)</f>
        <v>0</v>
      </c>
      <c r="AS145" s="37" t="n">
        <f aca="false">IF(AS6=①통합_가정!$E$22,①통합_가정!$G$283,0)</f>
        <v>0</v>
      </c>
      <c r="AT145" s="37" t="n">
        <f aca="false">IF(AT6=①통합_가정!$E$22,①통합_가정!$G$283,0)</f>
        <v>0</v>
      </c>
      <c r="AU145" s="37" t="n">
        <f aca="false">IF(AU6=①통합_가정!$E$22,①통합_가정!$G$283,0)</f>
        <v>0</v>
      </c>
      <c r="AV145" s="37" t="n">
        <f aca="false">IF(AV6=①통합_가정!$E$22,①통합_가정!$G$283,0)</f>
        <v>0</v>
      </c>
      <c r="AW145" s="37" t="n">
        <f aca="false">IF(AW6=①통합_가정!$E$22,①통합_가정!$G$283,0)</f>
        <v>0</v>
      </c>
      <c r="AX145" s="37" t="n">
        <f aca="false">IF(AX6=①통합_가정!$E$22,①통합_가정!$G$283,0)</f>
        <v>0</v>
      </c>
      <c r="AY145" s="37" t="n">
        <f aca="false">IF(AY6=①통합_가정!$E$22,①통합_가정!$G$283,0)</f>
        <v>0</v>
      </c>
      <c r="AZ145" s="37" t="n">
        <f aca="false">IF(AZ6=①통합_가정!$E$22,①통합_가정!$G$283,0)</f>
        <v>0</v>
      </c>
      <c r="BA145" s="37" t="n">
        <f aca="false">IF(BA6=①통합_가정!$E$22,①통합_가정!$G$283,0)</f>
        <v>0</v>
      </c>
      <c r="BB145" s="37" t="n">
        <f aca="false">IF(BB6=①통합_가정!$E$22,①통합_가정!$G$283,0)</f>
        <v>0</v>
      </c>
      <c r="BC145" s="37" t="n">
        <f aca="false">IF(BC6=①통합_가정!$E$22,①통합_가정!$G$283,0)</f>
        <v>0</v>
      </c>
      <c r="BD145" s="37" t="n">
        <f aca="false">IF(BD6=①통합_가정!$E$22,①통합_가정!$G$283,0)</f>
        <v>0</v>
      </c>
      <c r="BE145" s="37" t="n">
        <f aca="false">IF(BE6=①통합_가정!$E$22,①통합_가정!$G$283,0)</f>
        <v>0</v>
      </c>
      <c r="BF145" s="37" t="n">
        <f aca="false">IF(BF6=①통합_가정!$E$22,①통합_가정!$G$283,0)</f>
        <v>0</v>
      </c>
      <c r="BG145" s="37" t="n">
        <f aca="false">IF(BG6=①통합_가정!$E$22,①통합_가정!$G$283,0)</f>
        <v>0</v>
      </c>
      <c r="BH145" s="37" t="n">
        <f aca="false">IF(BH6=①통합_가정!$E$22,①통합_가정!$G$283,0)</f>
        <v>0</v>
      </c>
      <c r="BI145" s="37" t="n">
        <f aca="false">IF(BI6=①통합_가정!$E$22,①통합_가정!$G$283,0)</f>
        <v>0</v>
      </c>
      <c r="BJ145" s="37" t="n">
        <f aca="false">IF(BJ6=①통합_가정!$E$22,①통합_가정!$G$283,0)</f>
        <v>0</v>
      </c>
      <c r="BK145" s="37" t="n">
        <f aca="false">IF(BK6=①통합_가정!$E$22,①통합_가정!$G$283,0)</f>
        <v>0</v>
      </c>
      <c r="BL145" s="37" t="n">
        <f aca="false">IF(BL6=①통합_가정!$E$22,①통합_가정!$G$283,0)</f>
        <v>0</v>
      </c>
      <c r="BM145" s="37" t="n">
        <f aca="false">IF(BM6=①통합_가정!$E$22,①통합_가정!$G$283,0)</f>
        <v>0</v>
      </c>
      <c r="BN145" s="37" t="n">
        <f aca="false">IF(BN6=①통합_가정!$E$22,①통합_가정!$G$283,0)</f>
        <v>0</v>
      </c>
      <c r="BO145" s="37" t="n">
        <f aca="false">IF(BO6=①통합_가정!$E$22,①통합_가정!$G$283,0)</f>
        <v>0</v>
      </c>
      <c r="BP145" s="37" t="n">
        <f aca="false">IF(BP6=①통합_가정!$E$22,①통합_가정!$G$283,0)</f>
        <v>0</v>
      </c>
      <c r="BQ145" s="37" t="n">
        <f aca="false">IF(BQ6=①통합_가정!$E$22,①통합_가정!$G$283,0)</f>
        <v>0</v>
      </c>
      <c r="BR145" s="37" t="n">
        <f aca="false">IF(BR6=①통합_가정!$E$22,①통합_가정!$G$283,0)</f>
        <v>0</v>
      </c>
      <c r="BS145" s="37" t="n">
        <f aca="false">IF(BS6=①통합_가정!$E$22,①통합_가정!$G$283,0)</f>
        <v>0</v>
      </c>
      <c r="BT145" s="37" t="n">
        <f aca="false">IF(BT6=①통합_가정!$E$22,①통합_가정!$G$283,0)</f>
        <v>0</v>
      </c>
      <c r="BU145" s="37" t="n">
        <f aca="false">IF(BU6=①통합_가정!$E$22,①통합_가정!$G$283,0)</f>
        <v>0</v>
      </c>
      <c r="BV145" s="37" t="n">
        <f aca="false">IF(BV6=①통합_가정!$E$22,①통합_가정!$G$283,0)</f>
        <v>0</v>
      </c>
      <c r="BW145" s="37" t="n">
        <f aca="false">IF(BW6=①통합_가정!$E$22,①통합_가정!$G$283,0)</f>
        <v>0</v>
      </c>
      <c r="BX145" s="37" t="n">
        <f aca="false">IF(BX6=①통합_가정!$E$22,①통합_가정!$G$283,0)</f>
        <v>0</v>
      </c>
      <c r="BY145" s="37" t="n">
        <f aca="false">IF(BY6=①통합_가정!$E$22,①통합_가정!$G$283,0)</f>
        <v>0</v>
      </c>
      <c r="BZ145" s="37" t="n">
        <f aca="false">IF(BZ6=①통합_가정!$E$22,①통합_가정!$G$283,0)</f>
        <v>0</v>
      </c>
      <c r="CA145" s="37" t="n">
        <f aca="false">IF(CA6=①통합_가정!$E$22,①통합_가정!$G$283,0)</f>
        <v>0</v>
      </c>
      <c r="CB145" s="37" t="n">
        <f aca="false">IF(CB6=①통합_가정!$E$22,①통합_가정!$G$283,0)</f>
        <v>0</v>
      </c>
      <c r="CC145" s="37" t="n">
        <f aca="false">IF(CC6=①통합_가정!$E$22,①통합_가정!$G$283,0)</f>
        <v>0</v>
      </c>
      <c r="CD145" s="37" t="n">
        <f aca="false">IF(CD6=①통합_가정!$E$22,①통합_가정!$G$283,0)</f>
        <v>0</v>
      </c>
      <c r="CE145" s="37" t="n">
        <f aca="false">IF(CE6=①통합_가정!$E$22,①통합_가정!$G$283,0)</f>
        <v>0</v>
      </c>
      <c r="CF145" s="37" t="n">
        <f aca="false">IF(CF6=①통합_가정!$E$22,①통합_가정!$G$283,0)</f>
        <v>0</v>
      </c>
      <c r="CG145" s="37" t="n">
        <f aca="false">IF(CG6=①통합_가정!$E$22,①통합_가정!$G$283,0)</f>
        <v>0</v>
      </c>
      <c r="CH145" s="37" t="n">
        <f aca="false">IF(CH6=①통합_가정!$E$22,①통합_가정!$G$283,0)</f>
        <v>0</v>
      </c>
      <c r="CI145" s="37" t="n">
        <f aca="false">IF(CI6=①통합_가정!$E$22,①통합_가정!$G$283,0)</f>
        <v>0</v>
      </c>
      <c r="CJ145" s="37" t="n">
        <f aca="false">IF(CJ6=①통합_가정!$E$22,①통합_가정!$G$283,0)</f>
        <v>0</v>
      </c>
      <c r="CK145" s="37" t="n">
        <f aca="false">IF(CK6=①통합_가정!$E$22,①통합_가정!$G$283,0)</f>
        <v>0</v>
      </c>
      <c r="CL145" s="37" t="n">
        <f aca="false">IF(CL6=①통합_가정!$E$22,①통합_가정!$G$283,0)</f>
        <v>0</v>
      </c>
      <c r="CM145" s="37" t="n">
        <f aca="false">IF(CM6=①통합_가정!$E$22,①통합_가정!$G$283,0)</f>
        <v>0</v>
      </c>
      <c r="CN145" s="37" t="n">
        <f aca="false">IF(CN6=①통합_가정!$E$22,①통합_가정!$G$283,0)</f>
        <v>0</v>
      </c>
      <c r="CO145" s="37" t="n">
        <f aca="false">IF(CO6=①통합_가정!$E$22,①통합_가정!$G$283,0)</f>
        <v>0</v>
      </c>
      <c r="CP145" s="37" t="n">
        <f aca="false">IF(CP6=①통합_가정!$E$22,①통합_가정!$G$283,0)</f>
        <v>0</v>
      </c>
      <c r="CQ145" s="37" t="n">
        <f aca="false">IF(CQ6=①통합_가정!$E$22,①통합_가정!$G$283,0)</f>
        <v>0</v>
      </c>
      <c r="CR145" s="37" t="n">
        <f aca="false">IF(CR6=①통합_가정!$E$22,①통합_가정!$G$283,0)</f>
        <v>0</v>
      </c>
      <c r="CS145" s="37" t="n">
        <f aca="false">IF(CS6=①통합_가정!$E$22,①통합_가정!$G$283,0)</f>
        <v>0</v>
      </c>
      <c r="CT145" s="37" t="n">
        <f aca="false">IF(CT6=①통합_가정!$E$22,①통합_가정!$G$283,0)</f>
        <v>0</v>
      </c>
      <c r="CU145" s="37" t="n">
        <f aca="false">IF(CU6=①통합_가정!$E$22,①통합_가정!$G$283,0)</f>
        <v>0</v>
      </c>
      <c r="CV145" s="37" t="n">
        <f aca="false">IF(CV6=①통합_가정!$E$22,①통합_가정!$G$283,0)</f>
        <v>0</v>
      </c>
      <c r="CW145" s="37" t="n">
        <f aca="false">IF(CW6=①통합_가정!$E$22,①통합_가정!$G$283,0)</f>
        <v>0</v>
      </c>
      <c r="CX145" s="37" t="n">
        <f aca="false">IF(CX6=①통합_가정!$E$22,①통합_가정!$G$283,0)</f>
        <v>0</v>
      </c>
      <c r="CY145" s="37" t="n">
        <f aca="false">IF(CY6=①통합_가정!$E$22,①통합_가정!$G$283,0)</f>
        <v>0</v>
      </c>
      <c r="CZ145" s="37" t="n">
        <f aca="false">IF(CZ6=①통합_가정!$E$22,①통합_가정!$G$283,0)</f>
        <v>0</v>
      </c>
      <c r="DA145" s="37" t="n">
        <f aca="false">IF(DA6=①통합_가정!$E$22,①통합_가정!$G$283,0)</f>
        <v>0</v>
      </c>
      <c r="DB145" s="37" t="n">
        <f aca="false">IF(DB6=①통합_가정!$E$22,①통합_가정!$G$283,0)</f>
        <v>0</v>
      </c>
      <c r="DC145" s="37" t="n">
        <f aca="false">IF(DC6=①통합_가정!$E$22,①통합_가정!$G$283,0)</f>
        <v>0</v>
      </c>
      <c r="DD145" s="37" t="n">
        <f aca="false">IF(DD6=①통합_가정!$E$22,①통합_가정!$G$283,0)</f>
        <v>0</v>
      </c>
      <c r="DE145" s="37" t="n">
        <f aca="false">IF(DE6=①통합_가정!$E$22,①통합_가정!$G$283,0)</f>
        <v>0</v>
      </c>
      <c r="DF145" s="37" t="n">
        <f aca="false">IF(DF6=①통합_가정!$E$22,①통합_가정!$G$283,0)</f>
        <v>0</v>
      </c>
      <c r="DG145" s="37" t="n">
        <f aca="false">IF(DG6=①통합_가정!$E$22,①통합_가정!$G$283,0)</f>
        <v>0</v>
      </c>
      <c r="DH145" s="37" t="n">
        <f aca="false">IF(DH6=①통합_가정!$E$22,①통합_가정!$G$283,0)</f>
        <v>0</v>
      </c>
      <c r="DI145" s="37" t="n">
        <f aca="false">IF(DI6=①통합_가정!$E$22,①통합_가정!$G$283,0)</f>
        <v>0</v>
      </c>
      <c r="DJ145" s="37" t="n">
        <f aca="false">IF(DJ6=①통합_가정!$E$22,①통합_가정!$G$283,0)</f>
        <v>0</v>
      </c>
      <c r="DK145" s="37" t="n">
        <f aca="false">IF(DK6=①통합_가정!$E$22,①통합_가정!$G$283,0)</f>
        <v>0</v>
      </c>
      <c r="DL145" s="37" t="n">
        <f aca="false">IF(DL6=①통합_가정!$E$22,①통합_가정!$G$283,0)</f>
        <v>0</v>
      </c>
      <c r="DM145" s="37" t="n">
        <f aca="false">IF(DM6=①통합_가정!$E$22,①통합_가정!$G$283,0)</f>
        <v>0</v>
      </c>
      <c r="DN145" s="37" t="n">
        <f aca="false">IF(DN6=①통합_가정!$E$22,①통합_가정!$G$283,0)</f>
        <v>0</v>
      </c>
      <c r="DO145" s="37" t="n">
        <f aca="false">IF(DO6=①통합_가정!$E$22,①통합_가정!$G$283,0)</f>
        <v>0</v>
      </c>
      <c r="DP145" s="37" t="n">
        <f aca="false">IF(DP6=①통합_가정!$E$22,①통합_가정!$G$283,0)</f>
        <v>0</v>
      </c>
      <c r="DQ145" s="37" t="n">
        <f aca="false">IF(DQ6=①통합_가정!$E$22,①통합_가정!$G$283,0)</f>
        <v>0</v>
      </c>
      <c r="DR145" s="37" t="n">
        <f aca="false">IF(DR6=①통합_가정!$E$22,①통합_가정!$G$283,0)</f>
        <v>0</v>
      </c>
      <c r="DS145" s="37" t="n">
        <f aca="false">IF(DS6=①통합_가정!$E$22,①통합_가정!$G$283,0)</f>
        <v>0</v>
      </c>
      <c r="DT145" s="37" t="n">
        <f aca="false">IF(DT6=①통합_가정!$E$22,①통합_가정!$G$283,0)</f>
        <v>1824235.87564974</v>
      </c>
      <c r="DU145" s="37" t="n">
        <f aca="false">IF(DU6=①통합_가정!$E$22,①통합_가정!$G$283,0)</f>
        <v>0</v>
      </c>
      <c r="DV145" s="37" t="n">
        <f aca="false">IF(DV6=①통합_가정!$E$22,①통합_가정!$G$283,0)</f>
        <v>0</v>
      </c>
      <c r="DW145" s="37" t="n">
        <f aca="false">IF(DW6=①통합_가정!$E$22,①통합_가정!$G$283,0)</f>
        <v>0</v>
      </c>
      <c r="DX145" s="37" t="n">
        <f aca="false">IF(DX6=①통합_가정!$E$22,①통합_가정!$G$283,0)</f>
        <v>0</v>
      </c>
      <c r="DY145" s="37" t="n">
        <f aca="false">IF(DY6=①통합_가정!$E$22,①통합_가정!$G$283,0)</f>
        <v>0</v>
      </c>
      <c r="DZ145" s="37" t="n">
        <f aca="false">IF(DZ6=①통합_가정!$E$22,①통합_가정!$G$283,0)</f>
        <v>0</v>
      </c>
      <c r="EA145" s="37" t="n">
        <f aca="false">IF(EA6=①통합_가정!$E$22,①통합_가정!$G$283,0)</f>
        <v>0</v>
      </c>
      <c r="EB145" s="37" t="n">
        <f aca="false">IF(EB6=①통합_가정!$E$22,①통합_가정!$G$283,0)</f>
        <v>0</v>
      </c>
      <c r="EC145" s="37" t="n">
        <f aca="false">IF(EC6=①통합_가정!$E$22,①통합_가정!$G$283,0)</f>
        <v>0</v>
      </c>
      <c r="ED145" s="37" t="n">
        <f aca="false">IF(ED6=①통합_가정!$E$22,①통합_가정!$G$283,0)</f>
        <v>0</v>
      </c>
      <c r="EE145" s="37" t="n">
        <f aca="false">IF(EE6=①통합_가정!$E$22,①통합_가정!$G$283,0)</f>
        <v>0</v>
      </c>
      <c r="EF145" s="37" t="n">
        <f aca="false">IF(EF6=①통합_가정!$E$22,①통합_가정!$G$283,0)</f>
        <v>0</v>
      </c>
    </row>
    <row r="147" customFormat="false" ht="15" hidden="false" customHeight="false" outlineLevel="0" collapsed="false">
      <c r="A147" s="6" t="s">
        <v>678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</row>
    <row r="148" customFormat="false" ht="15" hidden="false" customHeight="false" outlineLevel="0" collapsed="false">
      <c r="A148" s="36" t="s">
        <v>679</v>
      </c>
      <c r="B148" s="278" t="s">
        <v>21</v>
      </c>
      <c r="E148" s="37" t="n">
        <f aca="false">0</f>
        <v>0</v>
      </c>
      <c r="F148" s="37" t="n">
        <f aca="false">E159</f>
        <v>13781.8916972571</v>
      </c>
      <c r="G148" s="37" t="n">
        <f aca="false">F159</f>
        <v>13723.3869335344</v>
      </c>
      <c r="H148" s="37" t="n">
        <f aca="false">G159</f>
        <v>13664.7359079025</v>
      </c>
      <c r="I148" s="37" t="n">
        <f aca="false">H159</f>
        <v>2605.93825470643</v>
      </c>
      <c r="J148" s="37" t="n">
        <f aca="false">I159</f>
        <v>2519.49360737739</v>
      </c>
      <c r="K148" s="37" t="n">
        <f aca="false">J159</f>
        <v>2432.83284843003</v>
      </c>
      <c r="L148" s="37" t="n">
        <f aca="false">K159</f>
        <v>2345.9554375853</v>
      </c>
      <c r="M148" s="37" t="n">
        <f aca="false">L159</f>
        <v>2258.86083321345</v>
      </c>
      <c r="N148" s="37" t="n">
        <f aca="false">M159</f>
        <v>2171.54849233068</v>
      </c>
      <c r="O148" s="37" t="n">
        <f aca="false">N159</f>
        <v>2084.0178705957</v>
      </c>
      <c r="P148" s="37" t="n">
        <f aca="false">O159</f>
        <v>1996.26842230639</v>
      </c>
      <c r="Q148" s="37" t="n">
        <f aca="false">P159</f>
        <v>1908.29960039635</v>
      </c>
      <c r="R148" s="37" t="n">
        <f aca="false">Q159</f>
        <v>69880.2708564315</v>
      </c>
      <c r="S148" s="37" t="n">
        <f aca="false">R159</f>
        <v>69962.0120406068</v>
      </c>
      <c r="T148" s="37" t="n">
        <f aca="false">S159</f>
        <v>70043.9575777425</v>
      </c>
      <c r="U148" s="37" t="n">
        <f aca="false">T159</f>
        <v>70126.1079787211</v>
      </c>
      <c r="V148" s="37" t="n">
        <f aca="false">U159</f>
        <v>70208.4637557021</v>
      </c>
      <c r="W148" s="37" t="n">
        <f aca="false">V159</f>
        <v>70291.0254221256</v>
      </c>
      <c r="X148" s="37" t="n">
        <f aca="false">W159</f>
        <v>101558.248520087</v>
      </c>
      <c r="Y148" s="37" t="n">
        <f aca="false">X159</f>
        <v>96062.8172763112</v>
      </c>
      <c r="Z148" s="37" t="n">
        <f aca="false">Y159</f>
        <v>87702.9610742117</v>
      </c>
      <c r="AA148" s="37" t="n">
        <f aca="false">Z159</f>
        <v>76511.5993653267</v>
      </c>
      <c r="AB148" s="37" t="n">
        <f aca="false">AA159</f>
        <v>62537.4519479147</v>
      </c>
      <c r="AC148" s="37" t="n">
        <f aca="false">AB159</f>
        <v>45844.7664196287</v>
      </c>
      <c r="AD148" s="37" t="n">
        <f aca="false">AC159</f>
        <v>162633.278792221</v>
      </c>
      <c r="AE148" s="37" t="n">
        <f aca="false">AD159</f>
        <v>141096.790078108</v>
      </c>
      <c r="AF148" s="37" t="n">
        <f aca="false">AE159</f>
        <v>117124.508085012</v>
      </c>
      <c r="AG148" s="37" t="n">
        <f aca="false">AF159</f>
        <v>90838.3644822893</v>
      </c>
      <c r="AH148" s="37" t="n">
        <f aca="false">AG159</f>
        <v>62373.2006643658</v>
      </c>
      <c r="AI148" s="37" t="n">
        <f aca="false">AH159</f>
        <v>31876.0135871464</v>
      </c>
      <c r="AJ148" s="37" t="n">
        <f aca="false">AI159</f>
        <v>500</v>
      </c>
      <c r="AK148" s="37" t="n">
        <f aca="false">AJ159</f>
        <v>500</v>
      </c>
      <c r="AL148" s="37" t="n">
        <f aca="false">AK159</f>
        <v>500</v>
      </c>
      <c r="AM148" s="37" t="n">
        <f aca="false">AL159</f>
        <v>500</v>
      </c>
      <c r="AN148" s="37" t="n">
        <f aca="false">AM159</f>
        <v>500</v>
      </c>
      <c r="AO148" s="37" t="n">
        <f aca="false">AN159</f>
        <v>500</v>
      </c>
      <c r="AP148" s="37" t="n">
        <f aca="false">AO159</f>
        <v>96049.1485362359</v>
      </c>
      <c r="AQ148" s="37" t="n">
        <f aca="false">AP159</f>
        <v>55287.1781061264</v>
      </c>
      <c r="AR148" s="37" t="n">
        <f aca="false">AQ159</f>
        <v>14207.8644218384</v>
      </c>
      <c r="AS148" s="37" t="n">
        <f aca="false">AR159</f>
        <v>500</v>
      </c>
      <c r="AT148" s="37" t="n">
        <f aca="false">AS159</f>
        <v>500</v>
      </c>
      <c r="AU148" s="37" t="n">
        <f aca="false">AT159</f>
        <v>500</v>
      </c>
      <c r="AV148" s="37" t="n">
        <f aca="false">AU159</f>
        <v>500</v>
      </c>
      <c r="AW148" s="37" t="n">
        <f aca="false">AV159</f>
        <v>500</v>
      </c>
      <c r="AX148" s="37" t="n">
        <f aca="false">AW159</f>
        <v>500</v>
      </c>
      <c r="AY148" s="37" t="n">
        <f aca="false">AX159</f>
        <v>500</v>
      </c>
      <c r="AZ148" s="37" t="n">
        <f aca="false">AY159</f>
        <v>500</v>
      </c>
      <c r="BA148" s="37" t="n">
        <f aca="false">AZ159</f>
        <v>500</v>
      </c>
      <c r="BB148" s="37" t="n">
        <f aca="false">BA159</f>
        <v>102916.409197014</v>
      </c>
      <c r="BC148" s="37" t="n">
        <f aca="false">BB159</f>
        <v>71429.3997667721</v>
      </c>
      <c r="BD148" s="37" t="n">
        <f aca="false">BC159</f>
        <v>41976.9776691481</v>
      </c>
      <c r="BE148" s="37" t="n">
        <f aca="false">BD159</f>
        <v>14704.8554209244</v>
      </c>
      <c r="BF148" s="37" t="n">
        <f aca="false">BE159</f>
        <v>500</v>
      </c>
      <c r="BG148" s="37" t="n">
        <f aca="false">BF159</f>
        <v>500</v>
      </c>
      <c r="BH148" s="37" t="n">
        <f aca="false">BG159</f>
        <v>500</v>
      </c>
      <c r="BI148" s="37" t="n">
        <f aca="false">BH159</f>
        <v>500</v>
      </c>
      <c r="BJ148" s="37" t="n">
        <f aca="false">BI159</f>
        <v>500</v>
      </c>
      <c r="BK148" s="37" t="n">
        <f aca="false">BJ159</f>
        <v>500</v>
      </c>
      <c r="BL148" s="37" t="n">
        <f aca="false">BK159</f>
        <v>500</v>
      </c>
      <c r="BM148" s="37" t="n">
        <f aca="false">BL159</f>
        <v>83893.5155897227</v>
      </c>
      <c r="BN148" s="37" t="n">
        <f aca="false">BM159</f>
        <v>288275.686540244</v>
      </c>
      <c r="BO148" s="37" t="n">
        <f aca="false">BN159</f>
        <v>288275.686540244</v>
      </c>
      <c r="BP148" s="37" t="n">
        <f aca="false">BO159</f>
        <v>288275.686540244</v>
      </c>
      <c r="BQ148" s="37" t="n">
        <f aca="false">BP159</f>
        <v>288275.686540244</v>
      </c>
      <c r="BR148" s="37" t="n">
        <f aca="false">BQ159</f>
        <v>288275.686540244</v>
      </c>
      <c r="BS148" s="37" t="n">
        <f aca="false">BR159</f>
        <v>288275.686540244</v>
      </c>
      <c r="BT148" s="37" t="n">
        <f aca="false">BS159</f>
        <v>288275.686540244</v>
      </c>
      <c r="BU148" s="37" t="n">
        <f aca="false">BT159</f>
        <v>288275.686540244</v>
      </c>
      <c r="BV148" s="37" t="n">
        <f aca="false">BU159</f>
        <v>288275.686540244</v>
      </c>
      <c r="BW148" s="37" t="n">
        <f aca="false">BV159</f>
        <v>288275.686540244</v>
      </c>
      <c r="BX148" s="37" t="n">
        <f aca="false">BW159</f>
        <v>288275.686540244</v>
      </c>
      <c r="BY148" s="37" t="n">
        <f aca="false">BX159</f>
        <v>288275.686540244</v>
      </c>
      <c r="BZ148" s="37" t="n">
        <f aca="false">BY159</f>
        <v>471626.086540244</v>
      </c>
      <c r="CA148" s="37" t="n">
        <f aca="false">BZ159</f>
        <v>471626.086540244</v>
      </c>
      <c r="CB148" s="37" t="n">
        <f aca="false">CA159</f>
        <v>471626.086540244</v>
      </c>
      <c r="CC148" s="37" t="n">
        <f aca="false">CB159</f>
        <v>471626.086540244</v>
      </c>
      <c r="CD148" s="37" t="n">
        <f aca="false">CC159</f>
        <v>471626.086540244</v>
      </c>
      <c r="CE148" s="37" t="n">
        <f aca="false">CD159</f>
        <v>471626.086540244</v>
      </c>
      <c r="CF148" s="37" t="n">
        <f aca="false">CE159</f>
        <v>471626.086540244</v>
      </c>
      <c r="CG148" s="37" t="n">
        <f aca="false">CF159</f>
        <v>471626.086540244</v>
      </c>
      <c r="CH148" s="37" t="n">
        <f aca="false">CG159</f>
        <v>471626.086540244</v>
      </c>
      <c r="CI148" s="37" t="n">
        <f aca="false">CH159</f>
        <v>471626.086540244</v>
      </c>
      <c r="CJ148" s="37" t="n">
        <f aca="false">CI159</f>
        <v>471626.086540244</v>
      </c>
      <c r="CK148" s="37" t="n">
        <f aca="false">CJ159</f>
        <v>471626.086540244</v>
      </c>
      <c r="CL148" s="37" t="n">
        <f aca="false">CK159</f>
        <v>484826.086540245</v>
      </c>
      <c r="CM148" s="37" t="n">
        <f aca="false">CL159</f>
        <v>484826.086540245</v>
      </c>
      <c r="CN148" s="37" t="n">
        <f aca="false">CM159</f>
        <v>484826.086540245</v>
      </c>
      <c r="CO148" s="37" t="n">
        <f aca="false">CN159</f>
        <v>484826.086540245</v>
      </c>
      <c r="CP148" s="37" t="n">
        <f aca="false">CO159</f>
        <v>484826.086540245</v>
      </c>
      <c r="CQ148" s="37" t="n">
        <f aca="false">CP159</f>
        <v>484826.086540245</v>
      </c>
      <c r="CR148" s="37" t="n">
        <f aca="false">CQ159</f>
        <v>484826.086540245</v>
      </c>
      <c r="CS148" s="37" t="n">
        <f aca="false">CR159</f>
        <v>484826.086540245</v>
      </c>
      <c r="CT148" s="37" t="n">
        <f aca="false">CS159</f>
        <v>484826.086540245</v>
      </c>
      <c r="CU148" s="37" t="n">
        <f aca="false">CT159</f>
        <v>484826.086540245</v>
      </c>
      <c r="CV148" s="37" t="n">
        <f aca="false">CU159</f>
        <v>484826.086540245</v>
      </c>
      <c r="CW148" s="37" t="n">
        <f aca="false">CV159</f>
        <v>484826.086540245</v>
      </c>
      <c r="CX148" s="37" t="n">
        <f aca="false">CW159</f>
        <v>484826.086540244</v>
      </c>
      <c r="CY148" s="37" t="n">
        <f aca="false">CX159</f>
        <v>484826.086540244</v>
      </c>
      <c r="CZ148" s="37" t="n">
        <f aca="false">CY159</f>
        <v>484826.086540244</v>
      </c>
      <c r="DA148" s="37" t="n">
        <f aca="false">CZ159</f>
        <v>484826.086540244</v>
      </c>
      <c r="DB148" s="37" t="n">
        <f aca="false">DA159</f>
        <v>484826.086540244</v>
      </c>
      <c r="DC148" s="37" t="n">
        <f aca="false">DB159</f>
        <v>484826.086540244</v>
      </c>
      <c r="DD148" s="37" t="n">
        <f aca="false">DC159</f>
        <v>484826.086540244</v>
      </c>
      <c r="DE148" s="37" t="n">
        <f aca="false">DD159</f>
        <v>484826.086540244</v>
      </c>
      <c r="DF148" s="37" t="n">
        <f aca="false">DE159</f>
        <v>484826.086540244</v>
      </c>
      <c r="DG148" s="37" t="n">
        <f aca="false">DF159</f>
        <v>484826.086540244</v>
      </c>
      <c r="DH148" s="37" t="n">
        <f aca="false">DG159</f>
        <v>484826.086540244</v>
      </c>
      <c r="DI148" s="37" t="n">
        <f aca="false">DH159</f>
        <v>484826.086540244</v>
      </c>
      <c r="DJ148" s="37" t="n">
        <f aca="false">DI159</f>
        <v>484826.086540244</v>
      </c>
      <c r="DK148" s="37" t="n">
        <f aca="false">DJ159</f>
        <v>484826.086540244</v>
      </c>
      <c r="DL148" s="37" t="n">
        <f aca="false">DK159</f>
        <v>484826.086540244</v>
      </c>
      <c r="DM148" s="37" t="n">
        <f aca="false">DL159</f>
        <v>484826.086540244</v>
      </c>
      <c r="DN148" s="37" t="n">
        <f aca="false">DM159</f>
        <v>484826.086540244</v>
      </c>
      <c r="DO148" s="37" t="n">
        <f aca="false">DN159</f>
        <v>484826.086540244</v>
      </c>
      <c r="DP148" s="37" t="n">
        <f aca="false">DO159</f>
        <v>484826.086540244</v>
      </c>
      <c r="DQ148" s="37" t="n">
        <f aca="false">DP159</f>
        <v>484826.086540244</v>
      </c>
      <c r="DR148" s="37" t="n">
        <f aca="false">DQ159</f>
        <v>484826.086540244</v>
      </c>
      <c r="DS148" s="37" t="n">
        <f aca="false">DR159</f>
        <v>484826.086540244</v>
      </c>
      <c r="DT148" s="37" t="n">
        <f aca="false">DS159</f>
        <v>484826.086540244</v>
      </c>
      <c r="DU148" s="37" t="n">
        <f aca="false">DT159</f>
        <v>600549.464905743</v>
      </c>
      <c r="DV148" s="37" t="n">
        <f aca="false">DU159</f>
        <v>601940.743684633</v>
      </c>
      <c r="DW148" s="37" t="n">
        <f aca="false">DV159</f>
        <v>603335.50066047</v>
      </c>
      <c r="DX148" s="37" t="n">
        <f aca="false">DW159</f>
        <v>0</v>
      </c>
      <c r="DY148" s="37" t="n">
        <f aca="false">DX159</f>
        <v>0</v>
      </c>
      <c r="DZ148" s="37" t="n">
        <f aca="false">DY159</f>
        <v>0</v>
      </c>
      <c r="EA148" s="37" t="n">
        <f aca="false">DZ159</f>
        <v>0</v>
      </c>
      <c r="EB148" s="37" t="n">
        <f aca="false">EA159</f>
        <v>0</v>
      </c>
      <c r="EC148" s="37" t="n">
        <f aca="false">EB159</f>
        <v>0</v>
      </c>
      <c r="ED148" s="37" t="n">
        <f aca="false">EC159</f>
        <v>0</v>
      </c>
      <c r="EE148" s="37" t="n">
        <f aca="false">ED159</f>
        <v>0</v>
      </c>
      <c r="EF148" s="37" t="n">
        <f aca="false">EE159</f>
        <v>0</v>
      </c>
    </row>
    <row r="149" customFormat="false" ht="15" hidden="false" customHeight="false" outlineLevel="0" collapsed="false">
      <c r="A149" s="36" t="s">
        <v>49</v>
      </c>
      <c r="B149" s="278" t="s">
        <v>21</v>
      </c>
      <c r="C149" s="279" t="n">
        <f aca="false">SUM(E149:EF149)</f>
        <v>74857.9760791566</v>
      </c>
      <c r="E149" s="37" t="n">
        <f aca="false">MAX(0,E148)*①통합_가정!$D$553/12</f>
        <v>0</v>
      </c>
      <c r="F149" s="37" t="n">
        <f aca="false">MAX(0,F148)*①통합_가정!$D$553/12</f>
        <v>34.4547292431428</v>
      </c>
      <c r="G149" s="37" t="n">
        <f aca="false">MAX(0,G148)*①통합_가정!$D$553/12</f>
        <v>34.3084673338361</v>
      </c>
      <c r="H149" s="37" t="n">
        <f aca="false">MAX(0,H148)*①통합_가정!$D$553/12</f>
        <v>34.1618397697562</v>
      </c>
      <c r="I149" s="37" t="n">
        <f aca="false">MAX(0,I148)*①통합_가정!$D$553/12</f>
        <v>6.51484563676607</v>
      </c>
      <c r="J149" s="37" t="n">
        <f aca="false">MAX(0,J148)*①통합_가정!$D$553/12</f>
        <v>6.29873401844347</v>
      </c>
      <c r="K149" s="37" t="n">
        <f aca="false">MAX(0,K148)*①통합_가정!$D$553/12</f>
        <v>6.08208212107507</v>
      </c>
      <c r="L149" s="37" t="n">
        <f aca="false">MAX(0,L148)*①통합_가정!$D$553/12</f>
        <v>5.86488859396324</v>
      </c>
      <c r="M149" s="37" t="n">
        <f aca="false">MAX(0,M148)*①통합_가정!$D$553/12</f>
        <v>5.64715208303364</v>
      </c>
      <c r="N149" s="37" t="n">
        <f aca="false">MAX(0,N148)*①통합_가정!$D$553/12</f>
        <v>5.42887123082671</v>
      </c>
      <c r="O149" s="37" t="n">
        <f aca="false">MAX(0,O148)*①통합_가정!$D$553/12</f>
        <v>5.21004467648926</v>
      </c>
      <c r="P149" s="37" t="n">
        <f aca="false">MAX(0,P148)*①통합_가정!$D$553/12</f>
        <v>4.99067105576597</v>
      </c>
      <c r="Q149" s="37" t="n">
        <f aca="false">MAX(0,Q148)*①통합_가정!$D$553/12</f>
        <v>4.77074900099087</v>
      </c>
      <c r="R149" s="37" t="n">
        <f aca="false">MAX(0,R148)*①통합_가정!$D$553/12</f>
        <v>174.700677141079</v>
      </c>
      <c r="S149" s="37" t="n">
        <f aca="false">MAX(0,S148)*①통합_가정!$D$553/12</f>
        <v>174.905030101517</v>
      </c>
      <c r="T149" s="37" t="n">
        <f aca="false">MAX(0,T148)*①통합_가정!$D$553/12</f>
        <v>175.109893944356</v>
      </c>
      <c r="U149" s="37" t="n">
        <f aca="false">MAX(0,U148)*①통합_가정!$D$553/12</f>
        <v>175.315269946803</v>
      </c>
      <c r="V149" s="37" t="n">
        <f aca="false">MAX(0,V148)*①통합_가정!$D$553/12</f>
        <v>175.521159389255</v>
      </c>
      <c r="W149" s="37" t="n">
        <f aca="false">MAX(0,W148)*①통합_가정!$D$553/12</f>
        <v>175.727563555314</v>
      </c>
      <c r="X149" s="37" t="n">
        <f aca="false">MAX(0,X148)*①통합_가정!$D$553/12</f>
        <v>253.895621300219</v>
      </c>
      <c r="Y149" s="37" t="n">
        <f aca="false">MAX(0,Y148)*①통합_가정!$D$553/12</f>
        <v>240.157043190778</v>
      </c>
      <c r="Z149" s="37" t="n">
        <f aca="false">MAX(0,Z148)*①통합_가정!$D$553/12</f>
        <v>219.257402685529</v>
      </c>
      <c r="AA149" s="37" t="n">
        <f aca="false">MAX(0,AA148)*①통합_가정!$D$553/12</f>
        <v>191.278998413317</v>
      </c>
      <c r="AB149" s="37" t="n">
        <f aca="false">MAX(0,AB148)*①통합_가정!$D$553/12</f>
        <v>156.343629869787</v>
      </c>
      <c r="AC149" s="37" t="n">
        <f aca="false">MAX(0,AC148)*①통합_가정!$D$553/12</f>
        <v>114.611916049072</v>
      </c>
      <c r="AD149" s="37" t="n">
        <f aca="false">MAX(0,AD148)*①통합_가정!$D$553/12</f>
        <v>406.583196980553</v>
      </c>
      <c r="AE149" s="37" t="n">
        <f aca="false">MAX(0,AE148)*①통합_가정!$D$553/12</f>
        <v>352.741975195271</v>
      </c>
      <c r="AF149" s="37" t="n">
        <f aca="false">MAX(0,AF148)*①통합_가정!$D$553/12</f>
        <v>292.811270212531</v>
      </c>
      <c r="AG149" s="37" t="n">
        <f aca="false">MAX(0,AG148)*①통합_가정!$D$553/12</f>
        <v>227.095911205723</v>
      </c>
      <c r="AH149" s="37" t="n">
        <f aca="false">MAX(0,AH148)*①통합_가정!$D$553/12</f>
        <v>155.933001660914</v>
      </c>
      <c r="AI149" s="37" t="n">
        <f aca="false">MAX(0,AI148)*①통합_가정!$D$553/12</f>
        <v>79.6900339678661</v>
      </c>
      <c r="AJ149" s="37" t="n">
        <f aca="false">MAX(0,AJ148)*①통합_가정!$D$553/12</f>
        <v>1.25</v>
      </c>
      <c r="AK149" s="37" t="n">
        <f aca="false">MAX(0,AK148)*①통합_가정!$D$553/12</f>
        <v>1.25</v>
      </c>
      <c r="AL149" s="37" t="n">
        <f aca="false">MAX(0,AL148)*①통합_가정!$D$553/12</f>
        <v>1.25</v>
      </c>
      <c r="AM149" s="37" t="n">
        <f aca="false">MAX(0,AM148)*①통합_가정!$D$553/12</f>
        <v>1.25</v>
      </c>
      <c r="AN149" s="37" t="n">
        <f aca="false">MAX(0,AN148)*①통합_가정!$D$553/12</f>
        <v>1.25</v>
      </c>
      <c r="AO149" s="37" t="n">
        <f aca="false">MAX(0,AO148)*①통합_가정!$D$553/12</f>
        <v>1.25</v>
      </c>
      <c r="AP149" s="37" t="n">
        <f aca="false">MAX(0,AP148)*①통합_가정!$D$553/12</f>
        <v>240.12287134059</v>
      </c>
      <c r="AQ149" s="37" t="n">
        <f aca="false">MAX(0,AQ148)*①통합_가정!$D$553/12</f>
        <v>138.217945265316</v>
      </c>
      <c r="AR149" s="37" t="n">
        <f aca="false">MAX(0,AR148)*①통합_가정!$D$553/12</f>
        <v>35.5196610545959</v>
      </c>
      <c r="AS149" s="37" t="n">
        <f aca="false">MAX(0,AS148)*①통합_가정!$D$553/12</f>
        <v>1.25</v>
      </c>
      <c r="AT149" s="37" t="n">
        <f aca="false">MAX(0,AT148)*①통합_가정!$D$553/12</f>
        <v>1.25</v>
      </c>
      <c r="AU149" s="37" t="n">
        <f aca="false">MAX(0,AU148)*①통합_가정!$D$553/12</f>
        <v>1.25</v>
      </c>
      <c r="AV149" s="37" t="n">
        <f aca="false">MAX(0,AV148)*①통합_가정!$D$553/12</f>
        <v>1.25</v>
      </c>
      <c r="AW149" s="37" t="n">
        <f aca="false">MAX(0,AW148)*①통합_가정!$D$553/12</f>
        <v>1.25</v>
      </c>
      <c r="AX149" s="37" t="n">
        <f aca="false">MAX(0,AX148)*①통합_가정!$D$553/12</f>
        <v>1.25</v>
      </c>
      <c r="AY149" s="37" t="n">
        <f aca="false">MAX(0,AY148)*①통합_가정!$D$553/12</f>
        <v>1.25</v>
      </c>
      <c r="AZ149" s="37" t="n">
        <f aca="false">MAX(0,AZ148)*①통합_가정!$D$553/12</f>
        <v>1.25</v>
      </c>
      <c r="BA149" s="37" t="n">
        <f aca="false">MAX(0,BA148)*①통합_가정!$D$553/12</f>
        <v>1.25</v>
      </c>
      <c r="BB149" s="37" t="n">
        <f aca="false">MAX(0,BB148)*①통합_가정!$D$553/12</f>
        <v>257.291022992536</v>
      </c>
      <c r="BC149" s="37" t="n">
        <f aca="false">MAX(0,BC148)*①통합_가정!$D$553/12</f>
        <v>178.57349941693</v>
      </c>
      <c r="BD149" s="37" t="n">
        <f aca="false">MAX(0,BD148)*①통합_가정!$D$553/12</f>
        <v>104.94244417287</v>
      </c>
      <c r="BE149" s="37" t="n">
        <f aca="false">MAX(0,BE148)*①통합_가정!$D$553/12</f>
        <v>36.7621385523109</v>
      </c>
      <c r="BF149" s="37" t="n">
        <f aca="false">MAX(0,BF148)*①통합_가정!$D$553/12</f>
        <v>1.25</v>
      </c>
      <c r="BG149" s="37" t="n">
        <f aca="false">MAX(0,BG148)*①통합_가정!$D$553/12</f>
        <v>1.25</v>
      </c>
      <c r="BH149" s="37" t="n">
        <f aca="false">MAX(0,BH148)*①통합_가정!$D$553/12</f>
        <v>1.25</v>
      </c>
      <c r="BI149" s="37" t="n">
        <f aca="false">MAX(0,BI148)*①통합_가정!$D$553/12</f>
        <v>1.25</v>
      </c>
      <c r="BJ149" s="37" t="n">
        <f aca="false">MAX(0,BJ148)*①통합_가정!$D$553/12</f>
        <v>1.25</v>
      </c>
      <c r="BK149" s="37" t="n">
        <f aca="false">MAX(0,BK148)*①통합_가정!$D$553/12</f>
        <v>1.25</v>
      </c>
      <c r="BL149" s="37" t="n">
        <f aca="false">MAX(0,BL148)*①통합_가정!$D$553/12</f>
        <v>1.25</v>
      </c>
      <c r="BM149" s="37" t="n">
        <f aca="false">MAX(0,BM148)*①통합_가정!$D$553/12</f>
        <v>209.733788974307</v>
      </c>
      <c r="BN149" s="37" t="n">
        <f aca="false">MAX(0,BN148)*①통합_가정!$D$553/12</f>
        <v>720.689216350611</v>
      </c>
      <c r="BO149" s="37" t="n">
        <f aca="false">MAX(0,BO148)*①통합_가정!$D$553/12</f>
        <v>720.689216350611</v>
      </c>
      <c r="BP149" s="37" t="n">
        <f aca="false">MAX(0,BP148)*①통합_가정!$D$553/12</f>
        <v>720.689216350611</v>
      </c>
      <c r="BQ149" s="37" t="n">
        <f aca="false">MAX(0,BQ148)*①통합_가정!$D$553/12</f>
        <v>720.689216350611</v>
      </c>
      <c r="BR149" s="37" t="n">
        <f aca="false">MAX(0,BR148)*①통합_가정!$D$553/12</f>
        <v>720.689216350611</v>
      </c>
      <c r="BS149" s="37" t="n">
        <f aca="false">MAX(0,BS148)*①통합_가정!$D$553/12</f>
        <v>720.689216350611</v>
      </c>
      <c r="BT149" s="37" t="n">
        <f aca="false">MAX(0,BT148)*①통합_가정!$D$553/12</f>
        <v>720.689216350611</v>
      </c>
      <c r="BU149" s="37" t="n">
        <f aca="false">MAX(0,BU148)*①통합_가정!$D$553/12</f>
        <v>720.689216350611</v>
      </c>
      <c r="BV149" s="37" t="n">
        <f aca="false">MAX(0,BV148)*①통합_가정!$D$553/12</f>
        <v>720.68921635061</v>
      </c>
      <c r="BW149" s="37" t="n">
        <f aca="false">MAX(0,BW148)*①통합_가정!$D$553/12</f>
        <v>720.68921635061</v>
      </c>
      <c r="BX149" s="37" t="n">
        <f aca="false">MAX(0,BX148)*①통합_가정!$D$553/12</f>
        <v>720.68921635061</v>
      </c>
      <c r="BY149" s="37" t="n">
        <f aca="false">MAX(0,BY148)*①통합_가정!$D$553/12</f>
        <v>720.68921635061</v>
      </c>
      <c r="BZ149" s="37" t="n">
        <f aca="false">MAX(0,BZ148)*①통합_가정!$D$553/12</f>
        <v>1179.06521635061</v>
      </c>
      <c r="CA149" s="37" t="n">
        <f aca="false">MAX(0,CA148)*①통합_가정!$D$553/12</f>
        <v>1179.06521635061</v>
      </c>
      <c r="CB149" s="37" t="n">
        <f aca="false">MAX(0,CB148)*①통합_가정!$D$553/12</f>
        <v>1179.06521635061</v>
      </c>
      <c r="CC149" s="37" t="n">
        <f aca="false">MAX(0,CC148)*①통합_가정!$D$553/12</f>
        <v>1179.06521635061</v>
      </c>
      <c r="CD149" s="37" t="n">
        <f aca="false">MAX(0,CD148)*①통합_가정!$D$553/12</f>
        <v>1179.06521635061</v>
      </c>
      <c r="CE149" s="37" t="n">
        <f aca="false">MAX(0,CE148)*①통합_가정!$D$553/12</f>
        <v>1179.06521635061</v>
      </c>
      <c r="CF149" s="37" t="n">
        <f aca="false">MAX(0,CF148)*①통합_가정!$D$553/12</f>
        <v>1179.06521635061</v>
      </c>
      <c r="CG149" s="37" t="n">
        <f aca="false">MAX(0,CG148)*①통합_가정!$D$553/12</f>
        <v>1179.06521635061</v>
      </c>
      <c r="CH149" s="37" t="n">
        <f aca="false">MAX(0,CH148)*①통합_가정!$D$553/12</f>
        <v>1179.06521635061</v>
      </c>
      <c r="CI149" s="37" t="n">
        <f aca="false">MAX(0,CI148)*①통합_가정!$D$553/12</f>
        <v>1179.06521635061</v>
      </c>
      <c r="CJ149" s="37" t="n">
        <f aca="false">MAX(0,CJ148)*①통합_가정!$D$553/12</f>
        <v>1179.06521635061</v>
      </c>
      <c r="CK149" s="37" t="n">
        <f aca="false">MAX(0,CK148)*①통합_가정!$D$553/12</f>
        <v>1179.06521635061</v>
      </c>
      <c r="CL149" s="37" t="n">
        <f aca="false">MAX(0,CL148)*①통합_가정!$D$553/12</f>
        <v>1212.06521635061</v>
      </c>
      <c r="CM149" s="37" t="n">
        <f aca="false">MAX(0,CM148)*①통합_가정!$D$553/12</f>
        <v>1212.06521635061</v>
      </c>
      <c r="CN149" s="37" t="n">
        <f aca="false">MAX(0,CN148)*①통합_가정!$D$553/12</f>
        <v>1212.06521635061</v>
      </c>
      <c r="CO149" s="37" t="n">
        <f aca="false">MAX(0,CO148)*①통합_가정!$D$553/12</f>
        <v>1212.06521635061</v>
      </c>
      <c r="CP149" s="37" t="n">
        <f aca="false">MAX(0,CP148)*①통합_가정!$D$553/12</f>
        <v>1212.06521635061</v>
      </c>
      <c r="CQ149" s="37" t="n">
        <f aca="false">MAX(0,CQ148)*①통합_가정!$D$553/12</f>
        <v>1212.06521635061</v>
      </c>
      <c r="CR149" s="37" t="n">
        <f aca="false">MAX(0,CR148)*①통합_가정!$D$553/12</f>
        <v>1212.06521635061</v>
      </c>
      <c r="CS149" s="37" t="n">
        <f aca="false">MAX(0,CS148)*①통합_가정!$D$553/12</f>
        <v>1212.06521635061</v>
      </c>
      <c r="CT149" s="37" t="n">
        <f aca="false">MAX(0,CT148)*①통합_가정!$D$553/12</f>
        <v>1212.06521635061</v>
      </c>
      <c r="CU149" s="37" t="n">
        <f aca="false">MAX(0,CU148)*①통합_가정!$D$553/12</f>
        <v>1212.06521635061</v>
      </c>
      <c r="CV149" s="37" t="n">
        <f aca="false">MAX(0,CV148)*①통합_가정!$D$553/12</f>
        <v>1212.06521635061</v>
      </c>
      <c r="CW149" s="37" t="n">
        <f aca="false">MAX(0,CW148)*①통합_가정!$D$553/12</f>
        <v>1212.06521635061</v>
      </c>
      <c r="CX149" s="37" t="n">
        <f aca="false">MAX(0,CX148)*①통합_가정!$D$553/12</f>
        <v>1212.06521635061</v>
      </c>
      <c r="CY149" s="37" t="n">
        <f aca="false">MAX(0,CY148)*①통합_가정!$D$553/12</f>
        <v>1212.06521635061</v>
      </c>
      <c r="CZ149" s="37" t="n">
        <f aca="false">MAX(0,CZ148)*①통합_가정!$D$553/12</f>
        <v>1212.06521635061</v>
      </c>
      <c r="DA149" s="37" t="n">
        <f aca="false">MAX(0,DA148)*①통합_가정!$D$553/12</f>
        <v>1212.06521635061</v>
      </c>
      <c r="DB149" s="37" t="n">
        <f aca="false">MAX(0,DB148)*①통합_가정!$D$553/12</f>
        <v>1212.06521635061</v>
      </c>
      <c r="DC149" s="37" t="n">
        <f aca="false">MAX(0,DC148)*①통합_가정!$D$553/12</f>
        <v>1212.06521635061</v>
      </c>
      <c r="DD149" s="37" t="n">
        <f aca="false">MAX(0,DD148)*①통합_가정!$D$553/12</f>
        <v>1212.06521635061</v>
      </c>
      <c r="DE149" s="37" t="n">
        <f aca="false">MAX(0,DE148)*①통합_가정!$D$553/12</f>
        <v>1212.06521635061</v>
      </c>
      <c r="DF149" s="37" t="n">
        <f aca="false">MAX(0,DF148)*①통합_가정!$D$553/12</f>
        <v>1212.06521635061</v>
      </c>
      <c r="DG149" s="37" t="n">
        <f aca="false">MAX(0,DG148)*①통합_가정!$D$553/12</f>
        <v>1212.06521635061</v>
      </c>
      <c r="DH149" s="37" t="n">
        <f aca="false">MAX(0,DH148)*①통합_가정!$D$553/12</f>
        <v>1212.06521635061</v>
      </c>
      <c r="DI149" s="37" t="n">
        <f aca="false">MAX(0,DI148)*①통합_가정!$D$553/12</f>
        <v>1212.06521635061</v>
      </c>
      <c r="DJ149" s="37" t="n">
        <f aca="false">MAX(0,DJ148)*①통합_가정!$D$553/12</f>
        <v>1212.06521635061</v>
      </c>
      <c r="DK149" s="37" t="n">
        <f aca="false">MAX(0,DK148)*①통합_가정!$D$553/12</f>
        <v>1212.06521635061</v>
      </c>
      <c r="DL149" s="37" t="n">
        <f aca="false">MAX(0,DL148)*①통합_가정!$D$553/12</f>
        <v>1212.06521635061</v>
      </c>
      <c r="DM149" s="37" t="n">
        <f aca="false">MAX(0,DM148)*①통합_가정!$D$553/12</f>
        <v>1212.06521635061</v>
      </c>
      <c r="DN149" s="37" t="n">
        <f aca="false">MAX(0,DN148)*①통합_가정!$D$553/12</f>
        <v>1212.06521635061</v>
      </c>
      <c r="DO149" s="37" t="n">
        <f aca="false">MAX(0,DO148)*①통합_가정!$D$553/12</f>
        <v>1212.06521635061</v>
      </c>
      <c r="DP149" s="37" t="n">
        <f aca="false">MAX(0,DP148)*①통합_가정!$D$553/12</f>
        <v>1212.06521635061</v>
      </c>
      <c r="DQ149" s="37" t="n">
        <f aca="false">MAX(0,DQ148)*①통합_가정!$D$553/12</f>
        <v>1212.06521635061</v>
      </c>
      <c r="DR149" s="37" t="n">
        <f aca="false">MAX(0,DR148)*①통합_가정!$D$553/12</f>
        <v>1212.06521635061</v>
      </c>
      <c r="DS149" s="37" t="n">
        <f aca="false">MAX(0,DS148)*①통합_가정!$D$553/12</f>
        <v>1212.06521635061</v>
      </c>
      <c r="DT149" s="37" t="n">
        <f aca="false">MAX(0,DT148)*①통합_가정!$D$553/12</f>
        <v>1212.06521635061</v>
      </c>
      <c r="DU149" s="37" t="n">
        <f aca="false">MAX(0,DU148)*①통합_가정!$D$553/12</f>
        <v>1501.37366226436</v>
      </c>
      <c r="DV149" s="37" t="n">
        <f aca="false">MAX(0,DV148)*①통합_가정!$D$553/12</f>
        <v>1504.85185921158</v>
      </c>
      <c r="DW149" s="37" t="n">
        <f aca="false">MAX(0,DW148)*①통합_가정!$D$553/12</f>
        <v>1508.33875165117</v>
      </c>
      <c r="DX149" s="37" t="n">
        <f aca="false">MAX(0,DX148)*①통합_가정!$D$553/12</f>
        <v>0</v>
      </c>
      <c r="DY149" s="37" t="n">
        <f aca="false">MAX(0,DY148)*①통합_가정!$D$553/12</f>
        <v>0</v>
      </c>
      <c r="DZ149" s="37" t="n">
        <f aca="false">MAX(0,DZ148)*①통합_가정!$D$553/12</f>
        <v>0</v>
      </c>
      <c r="EA149" s="37" t="n">
        <f aca="false">MAX(0,EA148)*①통합_가정!$D$553/12</f>
        <v>0</v>
      </c>
      <c r="EB149" s="37" t="n">
        <f aca="false">MAX(0,EB148)*①통합_가정!$D$553/12</f>
        <v>0</v>
      </c>
      <c r="EC149" s="37" t="n">
        <f aca="false">MAX(0,EC148)*①통합_가정!$D$553/12</f>
        <v>0</v>
      </c>
      <c r="ED149" s="37" t="n">
        <f aca="false">MAX(0,ED148)*①통합_가정!$D$553/12</f>
        <v>0</v>
      </c>
      <c r="EE149" s="37" t="n">
        <f aca="false">MAX(0,EE148)*①통합_가정!$D$553/12</f>
        <v>0</v>
      </c>
      <c r="EF149" s="37" t="n">
        <f aca="false">MAX(0,EF148)*①통합_가정!$D$553/12</f>
        <v>0</v>
      </c>
    </row>
    <row r="150" customFormat="false" ht="15" hidden="false" customHeight="false" outlineLevel="0" collapsed="false">
      <c r="A150" s="36" t="s">
        <v>680</v>
      </c>
      <c r="B150" s="278" t="s">
        <v>21</v>
      </c>
      <c r="C150" s="279" t="n">
        <f aca="false">SUM(E150:EF150)</f>
        <v>4910958.83033959</v>
      </c>
      <c r="E150" s="37" t="n">
        <f aca="false">E142+E84+E41+E127+E134+E149+E145</f>
        <v>15820.1801474049</v>
      </c>
      <c r="F150" s="37" t="n">
        <f aca="false">F142+F84+F41+F127+F134+F149+F145</f>
        <v>34.4547292431428</v>
      </c>
      <c r="G150" s="37" t="n">
        <f aca="false">G142+G84+G41+G127+G134+G149+G145</f>
        <v>34.3084673338361</v>
      </c>
      <c r="H150" s="37" t="n">
        <f aca="false">H142+H84+H41+H127+H134+H149+H145</f>
        <v>34.1618397697562</v>
      </c>
      <c r="I150" s="37" t="n">
        <f aca="false">I142+I84+I41+I127+I134+I149+I145</f>
        <v>6.51484563676607</v>
      </c>
      <c r="J150" s="37" t="n">
        <f aca="false">J142+J84+J41+J127+J134+J149+J145</f>
        <v>6.29873401844347</v>
      </c>
      <c r="K150" s="37" t="n">
        <f aca="false">K142+K84+K41+K127+K134+K149+K145</f>
        <v>6.08208212107507</v>
      </c>
      <c r="L150" s="37" t="n">
        <f aca="false">L142+L84+L41+L127+L134+L149+L145</f>
        <v>5.86488859396324</v>
      </c>
      <c r="M150" s="37" t="n">
        <f aca="false">M142+M84+M41+M127+M134+M149+M145</f>
        <v>5.64715208303364</v>
      </c>
      <c r="N150" s="37" t="n">
        <f aca="false">N142+N84+N41+N127+N134+N149+N145</f>
        <v>5.42887123082671</v>
      </c>
      <c r="O150" s="37" t="n">
        <f aca="false">O142+O84+O41+O127+O134+O149+O145</f>
        <v>5.21004467648926</v>
      </c>
      <c r="P150" s="37" t="n">
        <f aca="false">P142+P84+P41+P127+P134+P149+P145</f>
        <v>4.99067105576597</v>
      </c>
      <c r="Q150" s="37" t="n">
        <f aca="false">Q142+Q84+Q41+Q127+Q134+Q149+Q145</f>
        <v>68064.930749001</v>
      </c>
      <c r="R150" s="37" t="n">
        <f aca="false">R142+R84+R41+R127+R134+R149+R145</f>
        <v>174.700677141079</v>
      </c>
      <c r="S150" s="37" t="n">
        <f aca="false">S142+S84+S41+S127+S134+S149+S145</f>
        <v>174.905030101517</v>
      </c>
      <c r="T150" s="37" t="n">
        <f aca="false">T142+T84+T41+T127+T134+T149+T145</f>
        <v>175.109893944356</v>
      </c>
      <c r="U150" s="37" t="n">
        <f aca="false">U142+U84+U41+U127+U134+U149+U145</f>
        <v>175.315269946803</v>
      </c>
      <c r="V150" s="37" t="n">
        <f aca="false">V142+V84+V41+V127+V134+V149+V145</f>
        <v>175.521159389255</v>
      </c>
      <c r="W150" s="37" t="n">
        <f aca="false">W142+W84+W41+W127+W134+W149+W145</f>
        <v>271733.933381725</v>
      </c>
      <c r="X150" s="37" t="n">
        <f aca="false">X142+X84+X41+X127+X134+X149+X145</f>
        <v>253.895621300219</v>
      </c>
      <c r="Y150" s="37" t="n">
        <f aca="false">Y142+Y84+Y41+Y127+Y134+Y149+Y145</f>
        <v>240.157043190778</v>
      </c>
      <c r="Z150" s="37" t="n">
        <f aca="false">Z142+Z84+Z41+Z127+Z134+Z149+Z145</f>
        <v>219.257402685529</v>
      </c>
      <c r="AA150" s="37" t="n">
        <f aca="false">AA142+AA84+AA41+AA127+AA134+AA149+AA145</f>
        <v>191.278998413317</v>
      </c>
      <c r="AB150" s="37" t="n">
        <f aca="false">AB142+AB84+AB41+AB127+AB134+AB149+AB145</f>
        <v>156.343629869787</v>
      </c>
      <c r="AC150" s="37" t="n">
        <f aca="false">AC142+AC84+AC41+AC127+AC134+AC149+AC145</f>
        <v>136234.931916049</v>
      </c>
      <c r="AD150" s="37" t="n">
        <f aca="false">AD142+AD84+AD41+AD127+AD134+AD149+AD145</f>
        <v>406.583196980553</v>
      </c>
      <c r="AE150" s="37" t="n">
        <f aca="false">AE142+AE84+AE41+AE127+AE134+AE149+AE145</f>
        <v>352.741975195271</v>
      </c>
      <c r="AF150" s="37" t="n">
        <f aca="false">AF142+AF84+AF41+AF127+AF134+AF149+AF145</f>
        <v>292.811270212531</v>
      </c>
      <c r="AG150" s="37" t="n">
        <f aca="false">AG142+AG84+AG41+AG127+AG134+AG149+AG145</f>
        <v>227.095911205723</v>
      </c>
      <c r="AH150" s="37" t="n">
        <f aca="false">AH142+AH84+AH41+AH127+AH134+AH149+AH145</f>
        <v>155.933001660914</v>
      </c>
      <c r="AI150" s="37" t="n">
        <f aca="false">AI142+AI84+AI41+AI127+AI134+AI149+AI145</f>
        <v>79.6900339678661</v>
      </c>
      <c r="AJ150" s="37" t="n">
        <f aca="false">AJ142+AJ84+AJ41+AJ127+AJ134+AJ149+AJ145</f>
        <v>1.25</v>
      </c>
      <c r="AK150" s="37" t="n">
        <f aca="false">AK142+AK84+AK41+AK127+AK134+AK149+AK145</f>
        <v>1.25</v>
      </c>
      <c r="AL150" s="37" t="n">
        <f aca="false">AL142+AL84+AL41+AL127+AL134+AL149+AL145</f>
        <v>1.25</v>
      </c>
      <c r="AM150" s="37" t="n">
        <f aca="false">AM142+AM84+AM41+AM127+AM134+AM149+AM145</f>
        <v>1.25</v>
      </c>
      <c r="AN150" s="37" t="n">
        <f aca="false">AN142+AN84+AN41+AN127+AN134+AN149+AN145</f>
        <v>1.25</v>
      </c>
      <c r="AO150" s="37" t="n">
        <f aca="false">AO142+AO84+AO41+AO127+AO134+AO149+AO145</f>
        <v>136121.57</v>
      </c>
      <c r="AP150" s="37" t="n">
        <f aca="false">AP142+AP84+AP41+AP127+AP134+AP149+AP145</f>
        <v>240.12287134059</v>
      </c>
      <c r="AQ150" s="37" t="n">
        <f aca="false">AQ142+AQ84+AQ41+AQ127+AQ134+AQ149+AQ145</f>
        <v>138.217945265316</v>
      </c>
      <c r="AR150" s="37" t="n">
        <f aca="false">AR142+AR84+AR41+AR127+AR134+AR149+AR145</f>
        <v>35.5196610545959</v>
      </c>
      <c r="AS150" s="37" t="n">
        <f aca="false">AS142+AS84+AS41+AS127+AS134+AS149+AS145</f>
        <v>1.25</v>
      </c>
      <c r="AT150" s="37" t="n">
        <f aca="false">AT142+AT84+AT41+AT127+AT134+AT149+AT145</f>
        <v>1.25</v>
      </c>
      <c r="AU150" s="37" t="n">
        <f aca="false">AU142+AU84+AU41+AU127+AU134+AU149+AU145</f>
        <v>1.25</v>
      </c>
      <c r="AV150" s="37" t="n">
        <f aca="false">AV142+AV84+AV41+AV127+AV134+AV149+AV145</f>
        <v>1.25</v>
      </c>
      <c r="AW150" s="37" t="n">
        <f aca="false">AW142+AW84+AW41+AW127+AW134+AW149+AW145</f>
        <v>1.25</v>
      </c>
      <c r="AX150" s="37" t="n">
        <f aca="false">AX142+AX84+AX41+AX127+AX134+AX149+AX145</f>
        <v>1.25</v>
      </c>
      <c r="AY150" s="37" t="n">
        <f aca="false">AY142+AY84+AY41+AY127+AY134+AY149+AY145</f>
        <v>1.25</v>
      </c>
      <c r="AZ150" s="37" t="n">
        <f aca="false">AZ142+AZ84+AZ41+AZ127+AZ134+AZ149+AZ145</f>
        <v>1.25</v>
      </c>
      <c r="BA150" s="37" t="n">
        <f aca="false">BA142+BA84+BA41+BA127+BA134+BA149+BA145</f>
        <v>136121.57</v>
      </c>
      <c r="BB150" s="37" t="n">
        <f aca="false">BB142+BB84+BB41+BB127+BB134+BB149+BB145</f>
        <v>257.291022992536</v>
      </c>
      <c r="BC150" s="37" t="n">
        <f aca="false">BC142+BC84+BC41+BC127+BC134+BC149+BC145</f>
        <v>178.57349941693</v>
      </c>
      <c r="BD150" s="37" t="n">
        <f aca="false">BD142+BD84+BD41+BD127+BD134+BD149+BD145</f>
        <v>104.94244417287</v>
      </c>
      <c r="BE150" s="37" t="n">
        <f aca="false">BE142+BE84+BE41+BE127+BE134+BE149+BE145</f>
        <v>36.7621385523109</v>
      </c>
      <c r="BF150" s="37" t="n">
        <f aca="false">BF142+BF84+BF41+BF127+BF134+BF149+BF145</f>
        <v>1.25</v>
      </c>
      <c r="BG150" s="37" t="n">
        <f aca="false">BG142+BG84+BG41+BG127+BG134+BG149+BG145</f>
        <v>1.25</v>
      </c>
      <c r="BH150" s="37" t="n">
        <f aca="false">BH142+BH84+BH41+BH127+BH134+BH149+BH145</f>
        <v>1.25</v>
      </c>
      <c r="BI150" s="37" t="n">
        <f aca="false">BI142+BI84+BI41+BI127+BI134+BI149+BI145</f>
        <v>1.25</v>
      </c>
      <c r="BJ150" s="37" t="n">
        <f aca="false">BJ142+BJ84+BJ41+BJ127+BJ134+BJ149+BJ145</f>
        <v>1.25</v>
      </c>
      <c r="BK150" s="37" t="n">
        <f aca="false">BK142+BK84+BK41+BK127+BK134+BK149+BK145</f>
        <v>1.25</v>
      </c>
      <c r="BL150" s="37" t="n">
        <f aca="false">BL142+BL84+BL41+BL127+BL134+BL149+BL145</f>
        <v>759669.53</v>
      </c>
      <c r="BM150" s="37" t="n">
        <f aca="false">BM142+BM84+BM41+BM127+BM134+BM149+BM145</f>
        <v>283886.167206778</v>
      </c>
      <c r="BN150" s="37" t="n">
        <f aca="false">BN142+BN84+BN41+BN127+BN134+BN149+BN145</f>
        <v>15053.7549919666</v>
      </c>
      <c r="BO150" s="37" t="n">
        <f aca="false">BO142+BO84+BO41+BO127+BO134+BO149+BO145</f>
        <v>15416.6426341538</v>
      </c>
      <c r="BP150" s="37" t="n">
        <f aca="false">BP142+BP84+BP41+BP127+BP134+BP149+BP145</f>
        <v>15053.7549919666</v>
      </c>
      <c r="BQ150" s="37" t="n">
        <f aca="false">BQ142+BQ84+BQ41+BQ127+BQ134+BQ149+BQ145</f>
        <v>15416.6426341538</v>
      </c>
      <c r="BR150" s="37" t="n">
        <f aca="false">BR142+BR84+BR41+BR127+BR134+BR149+BR145</f>
        <v>15416.6426341538</v>
      </c>
      <c r="BS150" s="37" t="n">
        <f aca="false">BS142+BS84+BS41+BS127+BS134+BS149+BS145</f>
        <v>15053.7549919666</v>
      </c>
      <c r="BT150" s="37" t="n">
        <f aca="false">BT142+BT84+BT41+BT127+BT134+BT149+BT145</f>
        <v>15416.6426341538</v>
      </c>
      <c r="BU150" s="37" t="n">
        <f aca="false">BU142+BU84+BU41+BU127+BU134+BU149+BU145</f>
        <v>15053.7549919666</v>
      </c>
      <c r="BV150" s="37" t="n">
        <f aca="false">BV142+BV84+BV41+BV127+BV134+BV149+BV145</f>
        <v>15416.6426341538</v>
      </c>
      <c r="BW150" s="37" t="n">
        <f aca="false">BW142+BW84+BW41+BW127+BW134+BW149+BW145</f>
        <v>15416.6426341538</v>
      </c>
      <c r="BX150" s="37" t="n">
        <f aca="false">BX142+BX84+BX41+BX127+BX134+BX149+BX145</f>
        <v>14690.8673497794</v>
      </c>
      <c r="BY150" s="37" t="n">
        <f aca="false">BY142+BY84+BY41+BY127+BY134+BY149+BY145</f>
        <v>201470.468949541</v>
      </c>
      <c r="BZ150" s="37" t="n">
        <f aca="false">BZ142+BZ84+BZ41+BZ127+BZ134+BZ149+BZ145</f>
        <v>18151.3541091202</v>
      </c>
      <c r="CA150" s="37" t="n">
        <f aca="false">CA142+CA84+CA41+CA127+CA134+CA149+CA145</f>
        <v>18578.4449495405</v>
      </c>
      <c r="CB150" s="37" t="n">
        <f aca="false">CB142+CB84+CB41+CB127+CB134+CB149+CB145</f>
        <v>18151.3541091202</v>
      </c>
      <c r="CC150" s="37" t="n">
        <f aca="false">CC142+CC84+CC41+CC127+CC134+CC149+CC145</f>
        <v>18578.4449495405</v>
      </c>
      <c r="CD150" s="37" t="n">
        <f aca="false">CD142+CD84+CD41+CD127+CD134+CD149+CD145</f>
        <v>18578.4449495405</v>
      </c>
      <c r="CE150" s="37" t="n">
        <f aca="false">CE142+CE84+CE41+CE127+CE134+CE149+CE145</f>
        <v>18151.3541091202</v>
      </c>
      <c r="CF150" s="37" t="n">
        <f aca="false">CF142+CF84+CF41+CF127+CF134+CF149+CF145</f>
        <v>18578.4449495405</v>
      </c>
      <c r="CG150" s="37" t="n">
        <f aca="false">CG142+CG84+CG41+CG127+CG134+CG149+CG145</f>
        <v>18151.3541091202</v>
      </c>
      <c r="CH150" s="37" t="n">
        <f aca="false">CH142+CH84+CH41+CH127+CH134+CH149+CH145</f>
        <v>18578.4449495405</v>
      </c>
      <c r="CI150" s="37" t="n">
        <f aca="false">CI142+CI84+CI41+CI127+CI134+CI149+CI145</f>
        <v>18578.4449495405</v>
      </c>
      <c r="CJ150" s="37" t="n">
        <f aca="false">CJ142+CJ84+CJ41+CJ127+CJ134+CJ149+CJ145</f>
        <v>17297.1724282796</v>
      </c>
      <c r="CK150" s="37" t="n">
        <f aca="false">CK142+CK84+CK41+CK127+CK134+CK149+CK145</f>
        <v>32126.4325442043</v>
      </c>
      <c r="CL150" s="37" t="n">
        <f aca="false">CL142+CL84+CL41+CL127+CL134+CL149+CL145</f>
        <v>18523.7998869756</v>
      </c>
      <c r="CM150" s="37" t="n">
        <f aca="false">CM142+CM84+CM41+CM127+CM134+CM149+CM145</f>
        <v>18959.4325442043</v>
      </c>
      <c r="CN150" s="37" t="n">
        <f aca="false">CN142+CN84+CN41+CN127+CN134+CN149+CN145</f>
        <v>18523.7998869756</v>
      </c>
      <c r="CO150" s="37" t="n">
        <f aca="false">CO142+CO84+CO41+CO127+CO134+CO149+CO145</f>
        <v>18959.4325442043</v>
      </c>
      <c r="CP150" s="37" t="n">
        <f aca="false">CP142+CP84+CP41+CP127+CP134+CP149+CP145</f>
        <v>18959.4325442043</v>
      </c>
      <c r="CQ150" s="37" t="n">
        <f aca="false">CQ142+CQ84+CQ41+CQ127+CQ134+CQ149+CQ145</f>
        <v>18523.7998869756</v>
      </c>
      <c r="CR150" s="37" t="n">
        <f aca="false">CR142+CR84+CR41+CR127+CR134+CR149+CR145</f>
        <v>18959.4325442043</v>
      </c>
      <c r="CS150" s="37" t="n">
        <f aca="false">CS142+CS84+CS41+CS127+CS134+CS149+CS145</f>
        <v>18523.7998869756</v>
      </c>
      <c r="CT150" s="37" t="n">
        <f aca="false">CT142+CT84+CT41+CT127+CT134+CT149+CT145</f>
        <v>18959.4325442043</v>
      </c>
      <c r="CU150" s="37" t="n">
        <f aca="false">CU142+CU84+CU41+CU127+CU134+CU149+CU145</f>
        <v>18959.4325442043</v>
      </c>
      <c r="CV150" s="37" t="n">
        <f aca="false">CV142+CV84+CV41+CV127+CV134+CV149+CV145</f>
        <v>17652.5345725182</v>
      </c>
      <c r="CW150" s="37" t="n">
        <f aca="false">CW142+CW84+CW41+CW127+CW134+CW149+CW145</f>
        <v>19314.3798907614</v>
      </c>
      <c r="CX150" s="37" t="n">
        <f aca="false">CX142+CX84+CX41+CX127+CX134+CX149+CX145</f>
        <v>18870.0345803881</v>
      </c>
      <c r="CY150" s="37" t="n">
        <f aca="false">CY142+CY84+CY41+CY127+CY134+CY149+CY145</f>
        <v>19314.3798907614</v>
      </c>
      <c r="CZ150" s="37" t="n">
        <f aca="false">CZ142+CZ84+CZ41+CZ127+CZ134+CZ149+CZ145</f>
        <v>18870.0345803881</v>
      </c>
      <c r="DA150" s="37" t="n">
        <f aca="false">DA142+DA84+DA41+DA127+DA134+DA149+DA145</f>
        <v>19314.3798907614</v>
      </c>
      <c r="DB150" s="37" t="n">
        <f aca="false">DB142+DB84+DB41+DB127+DB134+DB149+DB145</f>
        <v>19314.3798907614</v>
      </c>
      <c r="DC150" s="37" t="n">
        <f aca="false">DC142+DC84+DC41+DC127+DC134+DC149+DC145</f>
        <v>18870.0345803881</v>
      </c>
      <c r="DD150" s="37" t="n">
        <f aca="false">DD142+DD84+DD41+DD127+DD134+DD149+DD145</f>
        <v>19314.3798907614</v>
      </c>
      <c r="DE150" s="37" t="n">
        <f aca="false">DE142+DE84+DE41+DE127+DE134+DE149+DE145</f>
        <v>18870.0345803881</v>
      </c>
      <c r="DF150" s="37" t="n">
        <f aca="false">DF142+DF84+DF41+DF127+DF134+DF149+DF145</f>
        <v>19314.3798907614</v>
      </c>
      <c r="DG150" s="37" t="n">
        <f aca="false">DG142+DG84+DG41+DG127+DG134+DG149+DG145</f>
        <v>19314.3798907614</v>
      </c>
      <c r="DH150" s="37" t="n">
        <f aca="false">DH142+DH84+DH41+DH127+DH134+DH149+DH145</f>
        <v>17981.3439596415</v>
      </c>
      <c r="DI150" s="37" t="n">
        <f aca="false">DI142+DI84+DI41+DI127+DI134+DI149+DI145</f>
        <v>19676.4261842496</v>
      </c>
      <c r="DJ150" s="37" t="n">
        <f aca="false">DJ142+DJ84+DJ41+DJ127+DJ134+DJ149+DJ145</f>
        <v>19223.1939676689</v>
      </c>
      <c r="DK150" s="37" t="n">
        <f aca="false">DK142+DK84+DK41+DK127+DK134+DK149+DK145</f>
        <v>19676.4261842496</v>
      </c>
      <c r="DL150" s="37" t="n">
        <f aca="false">DL142+DL84+DL41+DL127+DL134+DL149+DL145</f>
        <v>19223.1939676689</v>
      </c>
      <c r="DM150" s="37" t="n">
        <f aca="false">DM142+DM84+DM41+DM127+DM134+DM149+DM145</f>
        <v>19676.4261842496</v>
      </c>
      <c r="DN150" s="37" t="n">
        <f aca="false">DN142+DN84+DN41+DN127+DN134+DN149+DN145</f>
        <v>19676.4261842496</v>
      </c>
      <c r="DO150" s="37" t="n">
        <f aca="false">DO142+DO84+DO41+DO127+DO134+DO149+DO145</f>
        <v>19223.1939676689</v>
      </c>
      <c r="DP150" s="37" t="n">
        <f aca="false">DP142+DP84+DP41+DP127+DP134+DP149+DP145</f>
        <v>19676.4261842496</v>
      </c>
      <c r="DQ150" s="37" t="n">
        <f aca="false">DQ142+DQ84+DQ41+DQ127+DQ134+DQ149+DQ145</f>
        <v>19223.1939676689</v>
      </c>
      <c r="DR150" s="37" t="n">
        <f aca="false">DR142+DR84+DR41+DR127+DR134+DR149+DR145</f>
        <v>19676.4261842496</v>
      </c>
      <c r="DS150" s="37" t="n">
        <f aca="false">DS142+DS84+DS41+DS127+DS134+DS149+DS145</f>
        <v>19676.4261842496</v>
      </c>
      <c r="DT150" s="37" t="n">
        <f aca="false">DT142+DT84+DT41+DT127+DT134+DT149+DT145</f>
        <v>1843005.83740083</v>
      </c>
      <c r="DU150" s="37" t="n">
        <f aca="false">DU142+DU84+DU41+DU127+DU134+DU149+DU145</f>
        <v>1501.37366226436</v>
      </c>
      <c r="DV150" s="37" t="n">
        <f aca="false">DV142+DV84+DV41+DV127+DV134+DV149+DV145</f>
        <v>1504.85185921158</v>
      </c>
      <c r="DW150" s="37" t="n">
        <f aca="false">DW142+DW84+DW41+DW127+DW134+DW149+DW145</f>
        <v>1508.33875165117</v>
      </c>
      <c r="DX150" s="37" t="n">
        <f aca="false">DX142+DX84+DX41+DX127+DX134+DX149+DX145</f>
        <v>0</v>
      </c>
      <c r="DY150" s="37" t="n">
        <f aca="false">DY142+DY84+DY41+DY127+DY134+DY149+DY145</f>
        <v>0</v>
      </c>
      <c r="DZ150" s="37" t="n">
        <f aca="false">DZ142+DZ84+DZ41+DZ127+DZ134+DZ149+DZ145</f>
        <v>0</v>
      </c>
      <c r="EA150" s="37" t="n">
        <f aca="false">EA142+EA84+EA41+EA127+EA134+EA149+EA145</f>
        <v>0</v>
      </c>
      <c r="EB150" s="37" t="n">
        <f aca="false">EB142+EB84+EB41+EB127+EB134+EB149+EB145</f>
        <v>0</v>
      </c>
      <c r="EC150" s="37" t="n">
        <f aca="false">EC142+EC84+EC41+EC127+EC134+EC149+EC145</f>
        <v>0</v>
      </c>
      <c r="ED150" s="37" t="n">
        <f aca="false">ED142+ED84+ED41+ED127+ED134+ED149+ED145</f>
        <v>0</v>
      </c>
      <c r="EE150" s="37" t="n">
        <f aca="false">EE142+EE84+EE41+EE127+EE134+EE149+EE145</f>
        <v>0</v>
      </c>
      <c r="EF150" s="37" t="n">
        <f aca="false">EF142+EF84+EF41+EF127+EF134+EF149+EF145</f>
        <v>0</v>
      </c>
    </row>
    <row r="151" customFormat="false" ht="15" hidden="false" customHeight="false" outlineLevel="0" collapsed="false">
      <c r="A151" s="36" t="s">
        <v>681</v>
      </c>
      <c r="B151" s="278" t="s">
        <v>21</v>
      </c>
      <c r="C151" s="279" t="n">
        <f aca="false">SUM(E151:EF151)</f>
        <v>4174699.25437571</v>
      </c>
      <c r="E151" s="37" t="n">
        <f aca="false">E56+E74+E100+E112+E128+E129+E130+E135+E136+E85</f>
        <v>2038.28845014778</v>
      </c>
      <c r="F151" s="37" t="n">
        <f aca="false">F56+F74+F100+F112+F128+F129+F130+F135+F136+F85</f>
        <v>92.959492965805</v>
      </c>
      <c r="G151" s="37" t="n">
        <f aca="false">G56+G74+G100+G112+G128+G129+G130+G135+G136+G85</f>
        <v>92.959492965805</v>
      </c>
      <c r="H151" s="37" t="n">
        <f aca="false">H56+H74+H100+H112+H128+H129+H130+H135+H136+H85</f>
        <v>11092.9594929658</v>
      </c>
      <c r="I151" s="37" t="n">
        <f aca="false">I56+I74+I100+I112+I128+I129+I130+I135+I136+I85</f>
        <v>92.959492965805</v>
      </c>
      <c r="J151" s="37" t="n">
        <f aca="false">J56+J74+J100+J112+J128+J129+J130+J135+J136+J85</f>
        <v>92.959492965805</v>
      </c>
      <c r="K151" s="37" t="n">
        <f aca="false">K56+K74+K100+K112+K128+K129+K130+K135+K136+K85</f>
        <v>92.959492965805</v>
      </c>
      <c r="L151" s="37" t="n">
        <f aca="false">L56+L74+L100+L112+L128+L129+L130+L135+L136+L85</f>
        <v>92.959492965805</v>
      </c>
      <c r="M151" s="37" t="n">
        <f aca="false">M56+M74+M100+M112+M128+M129+M130+M135+M136+M85</f>
        <v>92.959492965805</v>
      </c>
      <c r="N151" s="37" t="n">
        <f aca="false">N56+N74+N100+N112+N128+N129+N130+N135+N136+N85</f>
        <v>92.959492965805</v>
      </c>
      <c r="O151" s="37" t="n">
        <f aca="false">O56+O74+O100+O112+O128+O129+O130+O135+O136+O85</f>
        <v>92.959492965805</v>
      </c>
      <c r="P151" s="37" t="n">
        <f aca="false">P56+P74+P100+P112+P128+P129+P130+P135+P136+P85</f>
        <v>92.959492965805</v>
      </c>
      <c r="Q151" s="37" t="n">
        <f aca="false">Q56+Q74+Q100+Q112+Q128+Q129+Q130+Q135+Q136+Q85</f>
        <v>92.959492965805</v>
      </c>
      <c r="R151" s="37" t="n">
        <f aca="false">R56+R74+R100+R112+R128+R129+R130+R135+R136+R85</f>
        <v>92.959492965805</v>
      </c>
      <c r="S151" s="37" t="n">
        <f aca="false">S56+S74+S100+S112+S128+S129+S130+S135+S136+S85</f>
        <v>92.959492965805</v>
      </c>
      <c r="T151" s="37" t="n">
        <f aca="false">T56+T74+T100+T112+T128+T129+T130+T135+T136+T85</f>
        <v>92.959492965805</v>
      </c>
      <c r="U151" s="37" t="n">
        <f aca="false">U56+U74+U100+U112+U128+U129+U130+U135+U136+U85</f>
        <v>92.959492965805</v>
      </c>
      <c r="V151" s="37" t="n">
        <f aca="false">V56+V74+V100+V112+V128+V129+V130+V135+V136+V85</f>
        <v>92.959492965805</v>
      </c>
      <c r="W151" s="37" t="n">
        <f aca="false">W56+W74+W100+W112+W128+W129+W130+W135+W136+W85</f>
        <v>240466.710283763</v>
      </c>
      <c r="X151" s="37" t="n">
        <f aca="false">X56+X74+X100+X112+X128+X129+X130+X135+X136+X85</f>
        <v>5749.32686507643</v>
      </c>
      <c r="Y151" s="37" t="n">
        <f aca="false">Y56+Y74+Y100+Y112+Y128+Y129+Y130+Y135+Y136+Y85</f>
        <v>8600.01324529027</v>
      </c>
      <c r="Z151" s="37" t="n">
        <f aca="false">Z56+Z74+Z100+Z112+Z128+Z129+Z130+Z135+Z136+Z85</f>
        <v>11410.6191115705</v>
      </c>
      <c r="AA151" s="37" t="n">
        <f aca="false">AA56+AA74+AA100+AA112+AA128+AA129+AA130+AA135+AA136+AA85</f>
        <v>14165.4264158253</v>
      </c>
      <c r="AB151" s="37" t="n">
        <f aca="false">AB56+AB74+AB100+AB112+AB128+AB129+AB130+AB135+AB136+AB85</f>
        <v>16849.0291581558</v>
      </c>
      <c r="AC151" s="37" t="n">
        <f aca="false">AC56+AC74+AC100+AC112+AC128+AC129+AC130+AC135+AC136+AC85</f>
        <v>19446.4195434565</v>
      </c>
      <c r="AD151" s="37" t="n">
        <f aca="false">AD56+AD74+AD100+AD112+AD128+AD129+AD130+AD135+AD136+AD85</f>
        <v>21943.0719110936</v>
      </c>
      <c r="AE151" s="37" t="n">
        <f aca="false">AE56+AE74+AE100+AE112+AE128+AE129+AE130+AE135+AE136+AE85</f>
        <v>24325.0239682911</v>
      </c>
      <c r="AF151" s="37" t="n">
        <f aca="false">AF56+AF74+AF100+AF112+AF128+AF129+AF130+AF135+AF136+AF85</f>
        <v>26578.9548729356</v>
      </c>
      <c r="AG151" s="37" t="n">
        <f aca="false">AG56+AG74+AG100+AG112+AG128+AG129+AG130+AG135+AG136+AG85</f>
        <v>28692.2597291293</v>
      </c>
      <c r="AH151" s="37" t="n">
        <f aca="false">AH56+AH74+AH100+AH112+AH128+AH129+AH130+AH135+AH136+AH85</f>
        <v>30653.1200788803</v>
      </c>
      <c r="AI151" s="37" t="n">
        <f aca="false">AI56+AI74+AI100+AI112+AI128+AI129+AI130+AI135+AI136+AI85</f>
        <v>32450.569995714</v>
      </c>
      <c r="AJ151" s="37" t="n">
        <f aca="false">AJ56+AJ74+AJ100+AJ112+AJ128+AJ129+AJ130+AJ135+AJ136+AJ85</f>
        <v>34081.4385696729</v>
      </c>
      <c r="AK151" s="37" t="n">
        <f aca="false">AK56+AK74+AK100+AK112+AK128+AK129+AK130+AK135+AK136+AK85</f>
        <v>35758.6027904748</v>
      </c>
      <c r="AL151" s="37" t="n">
        <f aca="false">AL56+AL74+AL100+AL112+AL128+AL129+AL130+AL135+AL136+AL85</f>
        <v>37256.7617653045</v>
      </c>
      <c r="AM151" s="37" t="n">
        <f aca="false">AM56+AM74+AM100+AM112+AM128+AM129+AM130+AM135+AM136+AM85</f>
        <v>38567.6821850614</v>
      </c>
      <c r="AN151" s="37" t="n">
        <f aca="false">AN56+AN74+AN100+AN112+AN128+AN129+AN130+AN135+AN136+AN85</f>
        <v>39684.1788575372</v>
      </c>
      <c r="AO151" s="37" t="n">
        <f aca="false">AO56+AO74+AO100+AO112+AO128+AO129+AO130+AO135+AO136+AO85</f>
        <v>40572.4214637641</v>
      </c>
      <c r="AP151" s="37" t="n">
        <f aca="false">AP56+AP74+AP100+AP112+AP128+AP129+AP130+AP135+AP136+AP85</f>
        <v>41002.0933014501</v>
      </c>
      <c r="AQ151" s="37" t="n">
        <f aca="false">AQ56+AQ74+AQ100+AQ112+AQ128+AQ129+AQ130+AQ135+AQ136+AQ85</f>
        <v>41217.5316295534</v>
      </c>
      <c r="AR151" s="37" t="n">
        <f aca="false">AR56+AR74+AR100+AR112+AR128+AR129+AR130+AR135+AR136+AR85</f>
        <v>41217.5316295533</v>
      </c>
      <c r="AS151" s="37" t="n">
        <f aca="false">AS56+AS74+AS100+AS112+AS128+AS129+AS130+AS135+AS136+AS85</f>
        <v>41157.7801375478</v>
      </c>
      <c r="AT151" s="37" t="n">
        <f aca="false">AT56+AT74+AT100+AT112+AT128+AT129+AT130+AT135+AT136+AT85</f>
        <v>40961.328637308</v>
      </c>
      <c r="AU151" s="37" t="n">
        <f aca="false">AU56+AU74+AU100+AU112+AU128+AU129+AU130+AU135+AU136+AU85</f>
        <v>40551.933301525</v>
      </c>
      <c r="AV151" s="37" t="n">
        <f aca="false">AV56+AV74+AV100+AV112+AV128+AV129+AV130+AV135+AV136+AV85</f>
        <v>39926.5998565815</v>
      </c>
      <c r="AW151" s="37" t="n">
        <f aca="false">AW56+AW74+AW100+AW112+AW128+AW129+AW130+AW135+AW136+AW85</f>
        <v>39072.9901424841</v>
      </c>
      <c r="AX151" s="37" t="n">
        <f aca="false">AX56+AX74+AX100+AX112+AX128+AX129+AX130+AX135+AX136+AX85</f>
        <v>38017.511558501</v>
      </c>
      <c r="AY151" s="37" t="n">
        <f aca="false">AY56+AY74+AY100+AY112+AY128+AY129+AY130+AY135+AY136+AY85</f>
        <v>36766.1499497655</v>
      </c>
      <c r="AZ151" s="37" t="n">
        <f aca="false">AZ56+AZ74+AZ100+AZ112+AZ128+AZ129+AZ130+AZ135+AZ136+AZ85</f>
        <v>35325.9870346461</v>
      </c>
      <c r="BA151" s="37" t="n">
        <f aca="false">BA56+BA74+BA100+BA112+BA128+BA129+BA130+BA135+BA136+BA85</f>
        <v>33705.1608029856</v>
      </c>
      <c r="BB151" s="37" t="n">
        <f aca="false">BB56+BB74+BB100+BB112+BB128+BB129+BB130+BB135+BB136+BB85</f>
        <v>31744.3004532348</v>
      </c>
      <c r="BC151" s="37" t="n">
        <f aca="false">BC56+BC74+BC100+BC112+BC128+BC129+BC130+BC135+BC136+BC85</f>
        <v>29630.995597041</v>
      </c>
      <c r="BD151" s="37" t="n">
        <f aca="false">BD56+BD74+BD100+BD112+BD128+BD129+BD130+BD135+BD136+BD85</f>
        <v>27377.0646923966</v>
      </c>
      <c r="BE151" s="37" t="n">
        <f aca="false">BE56+BE74+BE100+BE112+BE128+BE129+BE130+BE135+BE136+BE85</f>
        <v>24995.1126351989</v>
      </c>
      <c r="BF151" s="37" t="n">
        <f aca="false">BF56+BF74+BF100+BF112+BF128+BF129+BF130+BF135+BF136+BF85</f>
        <v>22552.2277429406</v>
      </c>
      <c r="BG151" s="37" t="n">
        <f aca="false">BG56+BG74+BG100+BG112+BG128+BG129+BG130+BG135+BG136+BG85</f>
        <v>20067.5922463546</v>
      </c>
      <c r="BH151" s="37" t="n">
        <f aca="false">BH56+BH74+BH100+BH112+BH128+BH129+BH130+BH135+BH136+BH85</f>
        <v>17484.3212152557</v>
      </c>
      <c r="BI151" s="37" t="n">
        <f aca="false">BI56+BI74+BI100+BI112+BI128+BI129+BI130+BI135+BI136+BI85</f>
        <v>14816.9292670774</v>
      </c>
      <c r="BJ151" s="37" t="n">
        <f aca="false">BJ56+BJ74+BJ100+BJ112+BJ128+BJ129+BJ130+BJ135+BJ136+BJ85</f>
        <v>12080.4017971324</v>
      </c>
      <c r="BK151" s="37" t="n">
        <f aca="false">BK56+BK74+BK100+BK112+BK128+BK129+BK130+BK135+BK136+BK85</f>
        <v>9290.11117590425</v>
      </c>
      <c r="BL151" s="37" t="n">
        <f aca="false">BL56+BL74+BL100+BL112+BL128+BL129+BL130+BL135+BL136+BL85</f>
        <v>43656.7271822201</v>
      </c>
      <c r="BM151" s="37" t="n">
        <f aca="false">BM56+BM74+BM100+BM112+BM128+BM129+BM130+BM135+BM136+BM85</f>
        <v>74059.8039745455</v>
      </c>
      <c r="BN151" s="37" t="n">
        <f aca="false">BN56+BN74+BN100+BN112+BN128+BN129+BN130+BN135+BN136+BN85</f>
        <v>14173.6438475653</v>
      </c>
      <c r="BO151" s="37" t="n">
        <f aca="false">BO56+BO74+BO100+BO112+BO128+BO129+BO130+BO135+BO136+BO85</f>
        <v>14454.2898174365</v>
      </c>
      <c r="BP151" s="37" t="n">
        <f aca="false">BP56+BP74+BP100+BP112+BP128+BP129+BP130+BP135+BP136+BP85</f>
        <v>14173.6438475653</v>
      </c>
      <c r="BQ151" s="37" t="n">
        <f aca="false">BQ56+BQ74+BQ100+BQ112+BQ128+BQ129+BQ130+BQ135+BQ136+BQ85</f>
        <v>14454.2898174365</v>
      </c>
      <c r="BR151" s="37" t="n">
        <f aca="false">BR56+BR74+BR100+BR112+BR128+BR129+BR130+BR135+BR136+BR85</f>
        <v>14454.2898174365</v>
      </c>
      <c r="BS151" s="37" t="n">
        <f aca="false">BS56+BS74+BS100+BS112+BS128+BS129+BS130+BS135+BS136+BS85</f>
        <v>14173.6438475653</v>
      </c>
      <c r="BT151" s="37" t="n">
        <f aca="false">BT56+BT74+BT100+BT112+BT128+BT129+BT130+BT135+BT136+BT85</f>
        <v>14454.2898174365</v>
      </c>
      <c r="BU151" s="37" t="n">
        <f aca="false">BU56+BU74+BU100+BU112+BU128+BU129+BU130+BU135+BU136+BU85</f>
        <v>14173.6438475653</v>
      </c>
      <c r="BV151" s="37" t="n">
        <f aca="false">BV56+BV74+BV100+BV112+BV128+BV129+BV130+BV135+BV136+BV85</f>
        <v>14454.2898174365</v>
      </c>
      <c r="BW151" s="37" t="n">
        <f aca="false">BW56+BW74+BW100+BW112+BW128+BW129+BW130+BW135+BW136+BW85</f>
        <v>14454.2898174365</v>
      </c>
      <c r="BX151" s="37" t="n">
        <f aca="false">BX56+BX74+BX100+BX112+BX128+BX129+BX130+BX135+BX136+BX85</f>
        <v>13892.997877694</v>
      </c>
      <c r="BY151" s="37" t="n">
        <f aca="false">BY56+BY74+BY100+BY112+BY128+BY129+BY130+BY135+BY136+BY85</f>
        <v>16161.8772628828</v>
      </c>
      <c r="BZ151" s="37" t="n">
        <f aca="false">BZ56+BZ74+BZ100+BZ112+BZ128+BZ129+BZ130+BZ135+BZ136+BZ85</f>
        <v>15885.0557444958</v>
      </c>
      <c r="CA151" s="37" t="n">
        <f aca="false">CA56+CA74+CA100+CA112+CA128+CA129+CA130+CA135+CA136+CA85</f>
        <v>16215.3544628828</v>
      </c>
      <c r="CB151" s="37" t="n">
        <f aca="false">CB56+CB74+CB100+CB112+CB128+CB129+CB130+CB135+CB136+CB85</f>
        <v>15885.0557444958</v>
      </c>
      <c r="CC151" s="37" t="n">
        <f aca="false">CC56+CC74+CC100+CC112+CC128+CC129+CC130+CC135+CC136+CC85</f>
        <v>16215.3544628828</v>
      </c>
      <c r="CD151" s="37" t="n">
        <f aca="false">CD56+CD74+CD100+CD112+CD128+CD129+CD130+CD135+CD136+CD85</f>
        <v>16215.3544628828</v>
      </c>
      <c r="CE151" s="37" t="n">
        <f aca="false">CE56+CE74+CE100+CE112+CE128+CE129+CE130+CE135+CE136+CE85</f>
        <v>15885.0557444958</v>
      </c>
      <c r="CF151" s="37" t="n">
        <f aca="false">CF56+CF74+CF100+CF112+CF128+CF129+CF130+CF135+CF136+CF85</f>
        <v>16215.3544628828</v>
      </c>
      <c r="CG151" s="37" t="n">
        <f aca="false">CG56+CG74+CG100+CG112+CG128+CG129+CG130+CG135+CG136+CG85</f>
        <v>15885.0557444958</v>
      </c>
      <c r="CH151" s="37" t="n">
        <f aca="false">CH56+CH74+CH100+CH112+CH128+CH129+CH130+CH135+CH136+CH85</f>
        <v>16215.3544628828</v>
      </c>
      <c r="CI151" s="37" t="n">
        <f aca="false">CI56+CI74+CI100+CI112+CI128+CI129+CI130+CI135+CI136+CI85</f>
        <v>16215.3544628828</v>
      </c>
      <c r="CJ151" s="37" t="n">
        <f aca="false">CJ56+CJ74+CJ100+CJ112+CJ128+CJ129+CJ130+CJ135+CJ136+CJ85</f>
        <v>15224.458307722</v>
      </c>
      <c r="CK151" s="37" t="n">
        <f aca="false">CK56+CK74+CK100+CK112+CK128+CK129+CK130+CK135+CK136+CK85</f>
        <v>16465.7490777146</v>
      </c>
      <c r="CL151" s="37" t="n">
        <f aca="false">CL56+CL74+CL100+CL112+CL128+CL129+CL130+CL135+CL136+CL85</f>
        <v>16132.6943849599</v>
      </c>
      <c r="CM151" s="37" t="n">
        <f aca="false">CM56+CM74+CM100+CM112+CM128+CM129+CM130+CM135+CM136+CM85</f>
        <v>16469.5990777146</v>
      </c>
      <c r="CN151" s="37" t="n">
        <f aca="false">CN56+CN74+CN100+CN112+CN128+CN129+CN130+CN135+CN136+CN85</f>
        <v>16132.6943849599</v>
      </c>
      <c r="CO151" s="37" t="n">
        <f aca="false">CO56+CO74+CO100+CO112+CO128+CO129+CO130+CO135+CO136+CO85</f>
        <v>16469.5990777146</v>
      </c>
      <c r="CP151" s="37" t="n">
        <f aca="false">CP56+CP74+CP100+CP112+CP128+CP129+CP130+CP135+CP136+CP85</f>
        <v>16469.5990777146</v>
      </c>
      <c r="CQ151" s="37" t="n">
        <f aca="false">CQ56+CQ74+CQ100+CQ112+CQ128+CQ129+CQ130+CQ135+CQ136+CQ85</f>
        <v>16132.6943849599</v>
      </c>
      <c r="CR151" s="37" t="n">
        <f aca="false">CR56+CR74+CR100+CR112+CR128+CR129+CR130+CR135+CR136+CR85</f>
        <v>16469.5990777146</v>
      </c>
      <c r="CS151" s="37" t="n">
        <f aca="false">CS56+CS74+CS100+CS112+CS128+CS129+CS130+CS135+CS136+CS85</f>
        <v>16132.6943849599</v>
      </c>
      <c r="CT151" s="37" t="n">
        <f aca="false">CT56+CT74+CT100+CT112+CT128+CT129+CT130+CT135+CT136+CT85</f>
        <v>16469.5990777146</v>
      </c>
      <c r="CU151" s="37" t="n">
        <f aca="false">CU56+CU74+CU100+CU112+CU128+CU129+CU130+CU135+CU136+CU85</f>
        <v>16469.5990777146</v>
      </c>
      <c r="CV151" s="37" t="n">
        <f aca="false">CV56+CV74+CV100+CV112+CV128+CV129+CV130+CV135+CV136+CV85</f>
        <v>15458.8849994507</v>
      </c>
      <c r="CW151" s="37" t="n">
        <f aca="false">CW56+CW74+CW100+CW112+CW128+CW129+CW130+CW135+CW136+CW85</f>
        <v>16725.0015848431</v>
      </c>
      <c r="CX151" s="37" t="n">
        <f aca="false">CX56+CX74+CX100+CX112+CX128+CX129+CX130+CX135+CX136+CX85</f>
        <v>16381.3587982333</v>
      </c>
      <c r="CY151" s="37" t="n">
        <f aca="false">CY56+CY74+CY100+CY112+CY128+CY129+CY130+CY135+CY136+CY85</f>
        <v>16725.0015848431</v>
      </c>
      <c r="CZ151" s="37" t="n">
        <f aca="false">CZ56+CZ74+CZ100+CZ112+CZ128+CZ129+CZ130+CZ135+CZ136+CZ85</f>
        <v>16381.3587982333</v>
      </c>
      <c r="DA151" s="37" t="n">
        <f aca="false">DA56+DA74+DA100+DA112+DA128+DA129+DA130+DA135+DA136+DA85</f>
        <v>16725.0015848431</v>
      </c>
      <c r="DB151" s="37" t="n">
        <f aca="false">DB56+DB74+DB100+DB112+DB128+DB129+DB130+DB135+DB136+DB85</f>
        <v>16725.0015848431</v>
      </c>
      <c r="DC151" s="37" t="n">
        <f aca="false">DC56+DC74+DC100+DC112+DC128+DC129+DC130+DC135+DC136+DC85</f>
        <v>16381.3587982333</v>
      </c>
      <c r="DD151" s="37" t="n">
        <f aca="false">DD56+DD74+DD100+DD112+DD128+DD129+DD130+DD135+DD136+DD85</f>
        <v>16725.0015848431</v>
      </c>
      <c r="DE151" s="37" t="n">
        <f aca="false">DE56+DE74+DE100+DE112+DE128+DE129+DE130+DE135+DE136+DE85</f>
        <v>16381.3587982333</v>
      </c>
      <c r="DF151" s="37" t="n">
        <f aca="false">DF56+DF74+DF100+DF112+DF128+DF129+DF130+DF135+DF136+DF85</f>
        <v>16725.0015848431</v>
      </c>
      <c r="DG151" s="37" t="n">
        <f aca="false">DG56+DG74+DG100+DG112+DG128+DG129+DG130+DG135+DG136+DG85</f>
        <v>16725.0015848431</v>
      </c>
      <c r="DH151" s="37" t="n">
        <f aca="false">DH56+DH74+DH100+DH112+DH128+DH129+DH130+DH135+DH136+DH85</f>
        <v>15694.0732250139</v>
      </c>
      <c r="DI151" s="37" t="n">
        <f aca="false">DI56+DI74+DI100+DI112+DI128+DI129+DI130+DI135+DI136+DI85</f>
        <v>16985.5121421141</v>
      </c>
      <c r="DJ151" s="37" t="n">
        <f aca="false">DJ56+DJ74+DJ100+DJ112+DJ128+DJ129+DJ130+DJ135+DJ136+DJ85</f>
        <v>16634.9964997722</v>
      </c>
      <c r="DK151" s="37" t="n">
        <f aca="false">DK56+DK74+DK100+DK112+DK128+DK129+DK130+DK135+DK136+DK85</f>
        <v>16985.5121421141</v>
      </c>
      <c r="DL151" s="37" t="n">
        <f aca="false">DL56+DL74+DL100+DL112+DL128+DL129+DL130+DL135+DL136+DL85</f>
        <v>16634.9964997722</v>
      </c>
      <c r="DM151" s="37" t="n">
        <f aca="false">DM56+DM74+DM100+DM112+DM128+DM129+DM130+DM135+DM136+DM85</f>
        <v>16985.5121421141</v>
      </c>
      <c r="DN151" s="37" t="n">
        <f aca="false">DN56+DN74+DN100+DN112+DN128+DN129+DN130+DN135+DN136+DN85</f>
        <v>16985.5121421141</v>
      </c>
      <c r="DO151" s="37" t="n">
        <f aca="false">DO56+DO74+DO100+DO112+DO128+DO129+DO130+DO135+DO136+DO85</f>
        <v>16634.9964997722</v>
      </c>
      <c r="DP151" s="37" t="n">
        <f aca="false">DP56+DP74+DP100+DP112+DP128+DP129+DP130+DP135+DP136+DP85</f>
        <v>16985.5121421141</v>
      </c>
      <c r="DQ151" s="37" t="n">
        <f aca="false">DQ56+DQ74+DQ100+DQ112+DQ128+DQ129+DQ130+DQ135+DQ136+DQ85</f>
        <v>16634.9964997722</v>
      </c>
      <c r="DR151" s="37" t="n">
        <f aca="false">DR56+DR74+DR100+DR112+DR128+DR129+DR130+DR135+DR136+DR85</f>
        <v>16985.5121421141</v>
      </c>
      <c r="DS151" s="37" t="n">
        <f aca="false">DS56+DS74+DS100+DS112+DS128+DS129+DS130+DS135+DS136+DS85</f>
        <v>16985.5121421141</v>
      </c>
      <c r="DT151" s="37" t="n">
        <f aca="false">DT56+DT74+DT100+DT112+DT128+DT129+DT130+DT135+DT136+DT85</f>
        <v>1727282.45903533</v>
      </c>
      <c r="DU151" s="37" t="n">
        <f aca="false">DU56+DU74+DU100+DU112+DU128+DU129+DU130+DU135+DU136+DU85</f>
        <v>110.094883374248</v>
      </c>
      <c r="DV151" s="37" t="n">
        <f aca="false">DV56+DV74+DV100+DV112+DV128+DV129+DV130+DV135+DV136+DV85</f>
        <v>110.094883374248</v>
      </c>
      <c r="DW151" s="37" t="n">
        <f aca="false">DW56+DW74+DW100+DW112+DW128+DW129+DW130+DW135+DW136+DW85</f>
        <v>110.094883374248</v>
      </c>
      <c r="DX151" s="37" t="n">
        <f aca="false">DX56+DX74+DX100+DX112+DX128+DX129+DX130+DX135+DX136+DX85</f>
        <v>0</v>
      </c>
      <c r="DY151" s="37" t="n">
        <f aca="false">DY56+DY74+DY100+DY112+DY128+DY129+DY130+DY135+DY136+DY85</f>
        <v>0</v>
      </c>
      <c r="DZ151" s="37" t="n">
        <f aca="false">DZ56+DZ74+DZ100+DZ112+DZ128+DZ129+DZ130+DZ135+DZ136+DZ85</f>
        <v>0</v>
      </c>
      <c r="EA151" s="37" t="n">
        <f aca="false">EA56+EA74+EA100+EA112+EA128+EA129+EA130+EA135+EA136+EA85</f>
        <v>0</v>
      </c>
      <c r="EB151" s="37" t="n">
        <f aca="false">EB56+EB74+EB100+EB112+EB128+EB129+EB130+EB135+EB136+EB85</f>
        <v>0</v>
      </c>
      <c r="EC151" s="37" t="n">
        <f aca="false">EC56+EC74+EC100+EC112+EC128+EC129+EC130+EC135+EC136+EC85</f>
        <v>0</v>
      </c>
      <c r="ED151" s="37" t="n">
        <f aca="false">ED56+ED74+ED100+ED112+ED128+ED129+ED130+ED135+ED136+ED85</f>
        <v>0</v>
      </c>
      <c r="EE151" s="37" t="n">
        <f aca="false">EE56+EE74+EE100+EE112+EE128+EE129+EE130+EE135+EE136+EE85</f>
        <v>0</v>
      </c>
      <c r="EF151" s="37" t="n">
        <f aca="false">EF56+EF74+EF100+EF112+EF128+EF129+EF130+EF135+EF136+EF85</f>
        <v>0</v>
      </c>
    </row>
    <row r="152" customFormat="false" ht="15" hidden="false" customHeight="false" outlineLevel="0" collapsed="false">
      <c r="A152" s="153" t="s">
        <v>682</v>
      </c>
      <c r="B152" s="278" t="s">
        <v>21</v>
      </c>
      <c r="E152" s="37" t="n">
        <f aca="false">E148+E150-E151</f>
        <v>13781.8916972571</v>
      </c>
      <c r="F152" s="37" t="n">
        <f aca="false">F148+F150-F151</f>
        <v>13723.3869335344</v>
      </c>
      <c r="G152" s="37" t="n">
        <f aca="false">G148+G150-G151</f>
        <v>13664.7359079025</v>
      </c>
      <c r="H152" s="37" t="n">
        <f aca="false">H148+H150-H151</f>
        <v>2605.93825470643</v>
      </c>
      <c r="I152" s="37" t="n">
        <f aca="false">I148+I150-I151</f>
        <v>2519.49360737739</v>
      </c>
      <c r="J152" s="37" t="n">
        <f aca="false">J148+J150-J151</f>
        <v>2432.83284843003</v>
      </c>
      <c r="K152" s="37" t="n">
        <f aca="false">K148+K150-K151</f>
        <v>2345.9554375853</v>
      </c>
      <c r="L152" s="37" t="n">
        <f aca="false">L148+L150-L151</f>
        <v>2258.86083321345</v>
      </c>
      <c r="M152" s="37" t="n">
        <f aca="false">M148+M150-M151</f>
        <v>2171.54849233068</v>
      </c>
      <c r="N152" s="37" t="n">
        <f aca="false">N148+N150-N151</f>
        <v>2084.0178705957</v>
      </c>
      <c r="O152" s="37" t="n">
        <f aca="false">O148+O150-O151</f>
        <v>1996.26842230639</v>
      </c>
      <c r="P152" s="37" t="n">
        <f aca="false">P148+P150-P151</f>
        <v>1908.29960039635</v>
      </c>
      <c r="Q152" s="37" t="n">
        <f aca="false">Q148+Q150-Q151</f>
        <v>69880.2708564315</v>
      </c>
      <c r="R152" s="37" t="n">
        <f aca="false">R148+R150-R151</f>
        <v>69962.0120406068</v>
      </c>
      <c r="S152" s="37" t="n">
        <f aca="false">S148+S150-S151</f>
        <v>70043.9575777425</v>
      </c>
      <c r="T152" s="37" t="n">
        <f aca="false">T148+T150-T151</f>
        <v>70126.1079787211</v>
      </c>
      <c r="U152" s="37" t="n">
        <f aca="false">U148+U150-U151</f>
        <v>70208.4637557021</v>
      </c>
      <c r="V152" s="37" t="n">
        <f aca="false">V148+V150-V151</f>
        <v>70291.0254221256</v>
      </c>
      <c r="W152" s="37" t="n">
        <f aca="false">W148+W150-W151</f>
        <v>101558.248520087</v>
      </c>
      <c r="X152" s="37" t="n">
        <f aca="false">X148+X150-X151</f>
        <v>96062.8172763112</v>
      </c>
      <c r="Y152" s="37" t="n">
        <f aca="false">Y148+Y150-Y151</f>
        <v>87702.9610742117</v>
      </c>
      <c r="Z152" s="37" t="n">
        <f aca="false">Z148+Z150-Z151</f>
        <v>76511.5993653267</v>
      </c>
      <c r="AA152" s="37" t="n">
        <f aca="false">AA148+AA150-AA151</f>
        <v>62537.4519479147</v>
      </c>
      <c r="AB152" s="37" t="n">
        <f aca="false">AB148+AB150-AB151</f>
        <v>45844.7664196287</v>
      </c>
      <c r="AC152" s="37" t="n">
        <f aca="false">AC148+AC150-AC151</f>
        <v>162633.278792221</v>
      </c>
      <c r="AD152" s="37" t="n">
        <f aca="false">AD148+AD150-AD151</f>
        <v>141096.790078108</v>
      </c>
      <c r="AE152" s="37" t="n">
        <f aca="false">AE148+AE150-AE151</f>
        <v>117124.508085012</v>
      </c>
      <c r="AF152" s="37" t="n">
        <f aca="false">AF148+AF150-AF151</f>
        <v>90838.3644822893</v>
      </c>
      <c r="AG152" s="37" t="n">
        <f aca="false">AG148+AG150-AG151</f>
        <v>62373.2006643658</v>
      </c>
      <c r="AH152" s="37" t="n">
        <f aca="false">AH148+AH150-AH151</f>
        <v>31876.0135871464</v>
      </c>
      <c r="AI152" s="37" t="n">
        <f aca="false">AI148+AI150-AI151</f>
        <v>-494.866374599707</v>
      </c>
      <c r="AJ152" s="37" t="n">
        <f aca="false">AJ148+AJ150-AJ151</f>
        <v>-33580.1885696729</v>
      </c>
      <c r="AK152" s="37" t="n">
        <f aca="false">AK148+AK150-AK151</f>
        <v>-35257.3527904748</v>
      </c>
      <c r="AL152" s="37" t="n">
        <f aca="false">AL148+AL150-AL151</f>
        <v>-36755.5117653045</v>
      </c>
      <c r="AM152" s="37" t="n">
        <f aca="false">AM148+AM150-AM151</f>
        <v>-38066.4321850614</v>
      </c>
      <c r="AN152" s="37" t="n">
        <f aca="false">AN148+AN150-AN151</f>
        <v>-39182.9288575372</v>
      </c>
      <c r="AO152" s="37" t="n">
        <f aca="false">AO148+AO150-AO151</f>
        <v>96049.1485362359</v>
      </c>
      <c r="AP152" s="37" t="n">
        <f aca="false">AP148+AP150-AP151</f>
        <v>55287.1781061264</v>
      </c>
      <c r="AQ152" s="37" t="n">
        <f aca="false">AQ148+AQ150-AQ151</f>
        <v>14207.8644218384</v>
      </c>
      <c r="AR152" s="37" t="n">
        <f aca="false">AR148+AR150-AR151</f>
        <v>-26974.1475466603</v>
      </c>
      <c r="AS152" s="37" t="n">
        <f aca="false">AS148+AS150-AS151</f>
        <v>-40656.5301375478</v>
      </c>
      <c r="AT152" s="37" t="n">
        <f aca="false">AT148+AT150-AT151</f>
        <v>-40460.078637308</v>
      </c>
      <c r="AU152" s="37" t="n">
        <f aca="false">AU148+AU150-AU151</f>
        <v>-40050.683301525</v>
      </c>
      <c r="AV152" s="37" t="n">
        <f aca="false">AV148+AV150-AV151</f>
        <v>-39425.3498565815</v>
      </c>
      <c r="AW152" s="37" t="n">
        <f aca="false">AW148+AW150-AW151</f>
        <v>-38571.7401424841</v>
      </c>
      <c r="AX152" s="37" t="n">
        <f aca="false">AX148+AX150-AX151</f>
        <v>-37516.261558501</v>
      </c>
      <c r="AY152" s="37" t="n">
        <f aca="false">AY148+AY150-AY151</f>
        <v>-36264.8999497655</v>
      </c>
      <c r="AZ152" s="37" t="n">
        <f aca="false">AZ148+AZ150-AZ151</f>
        <v>-34824.7370346461</v>
      </c>
      <c r="BA152" s="37" t="n">
        <f aca="false">BA148+BA150-BA151</f>
        <v>102916.409197014</v>
      </c>
      <c r="BB152" s="37" t="n">
        <f aca="false">BB148+BB150-BB151</f>
        <v>71429.3997667721</v>
      </c>
      <c r="BC152" s="37" t="n">
        <f aca="false">BC148+BC150-BC151</f>
        <v>41976.9776691481</v>
      </c>
      <c r="BD152" s="37" t="n">
        <f aca="false">BD148+BD150-BD151</f>
        <v>14704.8554209244</v>
      </c>
      <c r="BE152" s="37" t="n">
        <f aca="false">BE148+BE150-BE151</f>
        <v>-10253.4950757222</v>
      </c>
      <c r="BF152" s="37" t="n">
        <f aca="false">BF148+BF150-BF151</f>
        <v>-22050.9777429406</v>
      </c>
      <c r="BG152" s="37" t="n">
        <f aca="false">BG148+BG150-BG151</f>
        <v>-19566.3422463546</v>
      </c>
      <c r="BH152" s="37" t="n">
        <f aca="false">BH148+BH150-BH151</f>
        <v>-16983.0712152557</v>
      </c>
      <c r="BI152" s="37" t="n">
        <f aca="false">BI148+BI150-BI151</f>
        <v>-14315.6792670774</v>
      </c>
      <c r="BJ152" s="37" t="n">
        <f aca="false">BJ148+BJ150-BJ151</f>
        <v>-11579.1517971324</v>
      </c>
      <c r="BK152" s="37" t="n">
        <f aca="false">BK148+BK150-BK151</f>
        <v>-8788.86117590425</v>
      </c>
      <c r="BL152" s="37" t="n">
        <f aca="false">BL148+BL150-BL151</f>
        <v>716512.80281778</v>
      </c>
      <c r="BM152" s="37" t="n">
        <f aca="false">BM148+BM150-BM151</f>
        <v>293719.878821955</v>
      </c>
      <c r="BN152" s="37" t="n">
        <f aca="false">BN148+BN150-BN151</f>
        <v>289155.797684646</v>
      </c>
      <c r="BO152" s="37" t="n">
        <f aca="false">BO148+BO150-BO151</f>
        <v>289238.039356962</v>
      </c>
      <c r="BP152" s="37" t="n">
        <f aca="false">BP148+BP150-BP151</f>
        <v>289155.797684646</v>
      </c>
      <c r="BQ152" s="37" t="n">
        <f aca="false">BQ148+BQ150-BQ151</f>
        <v>289238.039356962</v>
      </c>
      <c r="BR152" s="37" t="n">
        <f aca="false">BR148+BR150-BR151</f>
        <v>289238.039356962</v>
      </c>
      <c r="BS152" s="37" t="n">
        <f aca="false">BS148+BS150-BS151</f>
        <v>289155.797684646</v>
      </c>
      <c r="BT152" s="37" t="n">
        <f aca="false">BT148+BT150-BT151</f>
        <v>289238.039356962</v>
      </c>
      <c r="BU152" s="37" t="n">
        <f aca="false">BU148+BU150-BU151</f>
        <v>289155.797684646</v>
      </c>
      <c r="BV152" s="37" t="n">
        <f aca="false">BV148+BV150-BV151</f>
        <v>289238.039356962</v>
      </c>
      <c r="BW152" s="37" t="n">
        <f aca="false">BW148+BW150-BW151</f>
        <v>289238.039356962</v>
      </c>
      <c r="BX152" s="37" t="n">
        <f aca="false">BX148+BX150-BX151</f>
        <v>289073.55601233</v>
      </c>
      <c r="BY152" s="37" t="n">
        <f aca="false">BY148+BY150-BY151</f>
        <v>473584.278226902</v>
      </c>
      <c r="BZ152" s="37" t="n">
        <f aca="false">BZ148+BZ150-BZ151</f>
        <v>473892.384904869</v>
      </c>
      <c r="CA152" s="37" t="n">
        <f aca="false">CA148+CA150-CA151</f>
        <v>473989.177026902</v>
      </c>
      <c r="CB152" s="37" t="n">
        <f aca="false">CB148+CB150-CB151</f>
        <v>473892.384904869</v>
      </c>
      <c r="CC152" s="37" t="n">
        <f aca="false">CC148+CC150-CC151</f>
        <v>473989.177026902</v>
      </c>
      <c r="CD152" s="37" t="n">
        <f aca="false">CD148+CD150-CD151</f>
        <v>473989.177026902</v>
      </c>
      <c r="CE152" s="37" t="n">
        <f aca="false">CE148+CE150-CE151</f>
        <v>473892.384904869</v>
      </c>
      <c r="CF152" s="37" t="n">
        <f aca="false">CF148+CF150-CF151</f>
        <v>473989.177026902</v>
      </c>
      <c r="CG152" s="37" t="n">
        <f aca="false">CG148+CG150-CG151</f>
        <v>473892.384904869</v>
      </c>
      <c r="CH152" s="37" t="n">
        <f aca="false">CH148+CH150-CH151</f>
        <v>473989.177026902</v>
      </c>
      <c r="CI152" s="37" t="n">
        <f aca="false">CI148+CI150-CI151</f>
        <v>473989.177026902</v>
      </c>
      <c r="CJ152" s="37" t="n">
        <f aca="false">CJ148+CJ150-CJ151</f>
        <v>473698.800660802</v>
      </c>
      <c r="CK152" s="37" t="n">
        <f aca="false">CK148+CK150-CK151</f>
        <v>487286.770006734</v>
      </c>
      <c r="CL152" s="37" t="n">
        <f aca="false">CL148+CL150-CL151</f>
        <v>487217.19204226</v>
      </c>
      <c r="CM152" s="37" t="n">
        <f aca="false">CM148+CM150-CM151</f>
        <v>487315.920006734</v>
      </c>
      <c r="CN152" s="37" t="n">
        <f aca="false">CN148+CN150-CN151</f>
        <v>487217.19204226</v>
      </c>
      <c r="CO152" s="37" t="n">
        <f aca="false">CO148+CO150-CO151</f>
        <v>487315.920006734</v>
      </c>
      <c r="CP152" s="37" t="n">
        <f aca="false">CP148+CP150-CP151</f>
        <v>487315.920006734</v>
      </c>
      <c r="CQ152" s="37" t="n">
        <f aca="false">CQ148+CQ150-CQ151</f>
        <v>487217.19204226</v>
      </c>
      <c r="CR152" s="37" t="n">
        <f aca="false">CR148+CR150-CR151</f>
        <v>487315.920006734</v>
      </c>
      <c r="CS152" s="37" t="n">
        <f aca="false">CS148+CS150-CS151</f>
        <v>487217.19204226</v>
      </c>
      <c r="CT152" s="37" t="n">
        <f aca="false">CT148+CT150-CT151</f>
        <v>487315.920006734</v>
      </c>
      <c r="CU152" s="37" t="n">
        <f aca="false">CU148+CU150-CU151</f>
        <v>487315.920006734</v>
      </c>
      <c r="CV152" s="37" t="n">
        <f aca="false">CV148+CV150-CV151</f>
        <v>487019.736113312</v>
      </c>
      <c r="CW152" s="37" t="n">
        <f aca="false">CW148+CW150-CW151</f>
        <v>487415.464846163</v>
      </c>
      <c r="CX152" s="37" t="n">
        <f aca="false">CX148+CX150-CX151</f>
        <v>487314.762322399</v>
      </c>
      <c r="CY152" s="37" t="n">
        <f aca="false">CY148+CY150-CY151</f>
        <v>487415.464846163</v>
      </c>
      <c r="CZ152" s="37" t="n">
        <f aca="false">CZ148+CZ150-CZ151</f>
        <v>487314.762322399</v>
      </c>
      <c r="DA152" s="37" t="n">
        <f aca="false">DA148+DA150-DA151</f>
        <v>487415.464846163</v>
      </c>
      <c r="DB152" s="37" t="n">
        <f aca="false">DB148+DB150-DB151</f>
        <v>487415.464846163</v>
      </c>
      <c r="DC152" s="37" t="n">
        <f aca="false">DC148+DC150-DC151</f>
        <v>487314.762322399</v>
      </c>
      <c r="DD152" s="37" t="n">
        <f aca="false">DD148+DD150-DD151</f>
        <v>487415.464846163</v>
      </c>
      <c r="DE152" s="37" t="n">
        <f aca="false">DE148+DE150-DE151</f>
        <v>487314.762322399</v>
      </c>
      <c r="DF152" s="37" t="n">
        <f aca="false">DF148+DF150-DF151</f>
        <v>487415.464846163</v>
      </c>
      <c r="DG152" s="37" t="n">
        <f aca="false">DG148+DG150-DG151</f>
        <v>487415.464846163</v>
      </c>
      <c r="DH152" s="37" t="n">
        <f aca="false">DH148+DH150-DH151</f>
        <v>487113.357274872</v>
      </c>
      <c r="DI152" s="37" t="n">
        <f aca="false">DI148+DI150-DI151</f>
        <v>487517.00058238</v>
      </c>
      <c r="DJ152" s="37" t="n">
        <f aca="false">DJ148+DJ150-DJ151</f>
        <v>487414.284008141</v>
      </c>
      <c r="DK152" s="37" t="n">
        <f aca="false">DK148+DK150-DK151</f>
        <v>487517.00058238</v>
      </c>
      <c r="DL152" s="37" t="n">
        <f aca="false">DL148+DL150-DL151</f>
        <v>487414.284008141</v>
      </c>
      <c r="DM152" s="37" t="n">
        <f aca="false">DM148+DM150-DM151</f>
        <v>487517.00058238</v>
      </c>
      <c r="DN152" s="37" t="n">
        <f aca="false">DN148+DN150-DN151</f>
        <v>487517.00058238</v>
      </c>
      <c r="DO152" s="37" t="n">
        <f aca="false">DO148+DO150-DO151</f>
        <v>487414.284008141</v>
      </c>
      <c r="DP152" s="37" t="n">
        <f aca="false">DP148+DP150-DP151</f>
        <v>487517.00058238</v>
      </c>
      <c r="DQ152" s="37" t="n">
        <f aca="false">DQ148+DQ150-DQ151</f>
        <v>487414.284008141</v>
      </c>
      <c r="DR152" s="37" t="n">
        <f aca="false">DR148+DR150-DR151</f>
        <v>487517.00058238</v>
      </c>
      <c r="DS152" s="37" t="n">
        <f aca="false">DS148+DS150-DS151</f>
        <v>487517.00058238</v>
      </c>
      <c r="DT152" s="37" t="n">
        <f aca="false">DT148+DT150-DT151</f>
        <v>600549.464905743</v>
      </c>
      <c r="DU152" s="37" t="n">
        <f aca="false">DU148+DU150-DU151</f>
        <v>601940.743684633</v>
      </c>
      <c r="DV152" s="37" t="n">
        <f aca="false">DV148+DV150-DV151</f>
        <v>603335.50066047</v>
      </c>
      <c r="DW152" s="37" t="n">
        <f aca="false">DW148+DW150-DW151</f>
        <v>604733.744528747</v>
      </c>
      <c r="DX152" s="37" t="n">
        <f aca="false">DX148+DX150-DX151</f>
        <v>0</v>
      </c>
      <c r="DY152" s="37" t="n">
        <f aca="false">DY148+DY150-DY151</f>
        <v>0</v>
      </c>
      <c r="DZ152" s="37" t="n">
        <f aca="false">DZ148+DZ150-DZ151</f>
        <v>0</v>
      </c>
      <c r="EA152" s="37" t="n">
        <f aca="false">EA148+EA150-EA151</f>
        <v>0</v>
      </c>
      <c r="EB152" s="37" t="n">
        <f aca="false">EB148+EB150-EB151</f>
        <v>0</v>
      </c>
      <c r="EC152" s="37" t="n">
        <f aca="false">EC148+EC150-EC151</f>
        <v>0</v>
      </c>
      <c r="ED152" s="37" t="n">
        <f aca="false">ED148+ED150-ED151</f>
        <v>0</v>
      </c>
      <c r="EE152" s="37" t="n">
        <f aca="false">EE148+EE150-EE151</f>
        <v>0</v>
      </c>
      <c r="EF152" s="37" t="n">
        <f aca="false">EF148+EF150-EF151</f>
        <v>0</v>
      </c>
    </row>
    <row r="153" customFormat="false" ht="15" hidden="false" customHeight="false" outlineLevel="0" collapsed="false">
      <c r="A153" s="153" t="s">
        <v>683</v>
      </c>
      <c r="B153" s="278" t="s">
        <v>21</v>
      </c>
      <c r="C153" s="279" t="n">
        <f aca="false">SUM(E153:EF153)</f>
        <v>632619.287228057</v>
      </c>
      <c r="E153" s="37" t="n">
        <f aca="false">IF(E11=1,MAX(0,①통합_가정!$D$551-E152),0)</f>
        <v>0</v>
      </c>
      <c r="F153" s="37" t="n">
        <f aca="false">IF(F11=1,MAX(0,①통합_가정!$D$551-F152),0)</f>
        <v>0</v>
      </c>
      <c r="G153" s="37" t="n">
        <f aca="false">IF(G11=1,MAX(0,①통합_가정!$D$551-G152),0)</f>
        <v>0</v>
      </c>
      <c r="H153" s="37" t="n">
        <f aca="false">IF(H11=1,MAX(0,①통합_가정!$D$551-H152),0)</f>
        <v>0</v>
      </c>
      <c r="I153" s="37" t="n">
        <f aca="false">IF(I11=1,MAX(0,①통합_가정!$D$551-I152),0)</f>
        <v>0</v>
      </c>
      <c r="J153" s="37" t="n">
        <f aca="false">IF(J11=1,MAX(0,①통합_가정!$D$551-J152),0)</f>
        <v>0</v>
      </c>
      <c r="K153" s="37" t="n">
        <f aca="false">IF(K11=1,MAX(0,①통합_가정!$D$551-K152),0)</f>
        <v>0</v>
      </c>
      <c r="L153" s="37" t="n">
        <f aca="false">IF(L11=1,MAX(0,①통합_가정!$D$551-L152),0)</f>
        <v>0</v>
      </c>
      <c r="M153" s="37" t="n">
        <f aca="false">IF(M11=1,MAX(0,①통합_가정!$D$551-M152),0)</f>
        <v>0</v>
      </c>
      <c r="N153" s="37" t="n">
        <f aca="false">IF(N11=1,MAX(0,①통합_가정!$D$551-N152),0)</f>
        <v>0</v>
      </c>
      <c r="O153" s="37" t="n">
        <f aca="false">IF(O11=1,MAX(0,①통합_가정!$D$551-O152),0)</f>
        <v>0</v>
      </c>
      <c r="P153" s="37" t="n">
        <f aca="false">IF(P11=1,MAX(0,①통합_가정!$D$551-P152),0)</f>
        <v>0</v>
      </c>
      <c r="Q153" s="37" t="n">
        <f aca="false">IF(Q11=1,MAX(0,①통합_가정!$D$551-Q152),0)</f>
        <v>0</v>
      </c>
      <c r="R153" s="37" t="n">
        <f aca="false">IF(R11=1,MAX(0,①통합_가정!$D$551-R152),0)</f>
        <v>0</v>
      </c>
      <c r="S153" s="37" t="n">
        <f aca="false">IF(S11=1,MAX(0,①통합_가정!$D$551-S152),0)</f>
        <v>0</v>
      </c>
      <c r="T153" s="37" t="n">
        <f aca="false">IF(T11=1,MAX(0,①통합_가정!$D$551-T152),0)</f>
        <v>0</v>
      </c>
      <c r="U153" s="37" t="n">
        <f aca="false">IF(U11=1,MAX(0,①통합_가정!$D$551-U152),0)</f>
        <v>0</v>
      </c>
      <c r="V153" s="37" t="n">
        <f aca="false">IF(V11=1,MAX(0,①통합_가정!$D$551-V152),0)</f>
        <v>0</v>
      </c>
      <c r="W153" s="37" t="n">
        <f aca="false">IF(W11=1,MAX(0,①통합_가정!$D$551-W152),0)</f>
        <v>0</v>
      </c>
      <c r="X153" s="37" t="n">
        <f aca="false">IF(X11=1,MAX(0,①통합_가정!$D$551-X152),0)</f>
        <v>0</v>
      </c>
      <c r="Y153" s="37" t="n">
        <f aca="false">IF(Y11=1,MAX(0,①통합_가정!$D$551-Y152),0)</f>
        <v>0</v>
      </c>
      <c r="Z153" s="37" t="n">
        <f aca="false">IF(Z11=1,MAX(0,①통합_가정!$D$551-Z152),0)</f>
        <v>0</v>
      </c>
      <c r="AA153" s="37" t="n">
        <f aca="false">IF(AA11=1,MAX(0,①통합_가정!$D$551-AA152),0)</f>
        <v>0</v>
      </c>
      <c r="AB153" s="37" t="n">
        <f aca="false">IF(AB11=1,MAX(0,①통합_가정!$D$551-AB152),0)</f>
        <v>0</v>
      </c>
      <c r="AC153" s="37" t="n">
        <f aca="false">IF(AC11=1,MAX(0,①통합_가정!$D$551-AC152),0)</f>
        <v>0</v>
      </c>
      <c r="AD153" s="37" t="n">
        <f aca="false">IF(AD11=1,MAX(0,①통합_가정!$D$551-AD152),0)</f>
        <v>0</v>
      </c>
      <c r="AE153" s="37" t="n">
        <f aca="false">IF(AE11=1,MAX(0,①통합_가정!$D$551-AE152),0)</f>
        <v>0</v>
      </c>
      <c r="AF153" s="37" t="n">
        <f aca="false">IF(AF11=1,MAX(0,①통합_가정!$D$551-AF152),0)</f>
        <v>0</v>
      </c>
      <c r="AG153" s="37" t="n">
        <f aca="false">IF(AG11=1,MAX(0,①통합_가정!$D$551-AG152),0)</f>
        <v>0</v>
      </c>
      <c r="AH153" s="37" t="n">
        <f aca="false">IF(AH11=1,MAX(0,①통합_가정!$D$551-AH152),0)</f>
        <v>0</v>
      </c>
      <c r="AI153" s="37" t="n">
        <f aca="false">IF(AI11=1,MAX(0,①통합_가정!$D$551-AI152),0)</f>
        <v>994.866374599707</v>
      </c>
      <c r="AJ153" s="37" t="n">
        <f aca="false">IF(AJ11=1,MAX(0,①통합_가정!$D$551-AJ152),0)</f>
        <v>34080.1885696729</v>
      </c>
      <c r="AK153" s="37" t="n">
        <f aca="false">IF(AK11=1,MAX(0,①통합_가정!$D$551-AK152),0)</f>
        <v>35757.3527904748</v>
      </c>
      <c r="AL153" s="37" t="n">
        <f aca="false">IF(AL11=1,MAX(0,①통합_가정!$D$551-AL152),0)</f>
        <v>37255.5117653045</v>
      </c>
      <c r="AM153" s="37" t="n">
        <f aca="false">IF(AM11=1,MAX(0,①통합_가정!$D$551-AM152),0)</f>
        <v>38566.4321850614</v>
      </c>
      <c r="AN153" s="37" t="n">
        <f aca="false">IF(AN11=1,MAX(0,①통합_가정!$D$551-AN152),0)</f>
        <v>39682.9288575372</v>
      </c>
      <c r="AO153" s="37" t="n">
        <f aca="false">IF(AO11=1,MAX(0,①통합_가정!$D$551-AO152),0)</f>
        <v>0</v>
      </c>
      <c r="AP153" s="37" t="n">
        <f aca="false">IF(AP11=1,MAX(0,①통합_가정!$D$551-AP152),0)</f>
        <v>0</v>
      </c>
      <c r="AQ153" s="37" t="n">
        <f aca="false">IF(AQ11=1,MAX(0,①통합_가정!$D$551-AQ152),0)</f>
        <v>0</v>
      </c>
      <c r="AR153" s="37" t="n">
        <f aca="false">IF(AR11=1,MAX(0,①통합_가정!$D$551-AR152),0)</f>
        <v>27474.1475466603</v>
      </c>
      <c r="AS153" s="37" t="n">
        <f aca="false">IF(AS11=1,MAX(0,①통합_가정!$D$551-AS152),0)</f>
        <v>41156.5301375478</v>
      </c>
      <c r="AT153" s="37" t="n">
        <f aca="false">IF(AT11=1,MAX(0,①통합_가정!$D$551-AT152),0)</f>
        <v>40960.078637308</v>
      </c>
      <c r="AU153" s="37" t="n">
        <f aca="false">IF(AU11=1,MAX(0,①통합_가정!$D$551-AU152),0)</f>
        <v>40550.683301525</v>
      </c>
      <c r="AV153" s="37" t="n">
        <f aca="false">IF(AV11=1,MAX(0,①통합_가정!$D$551-AV152),0)</f>
        <v>39925.3498565815</v>
      </c>
      <c r="AW153" s="37" t="n">
        <f aca="false">IF(AW11=1,MAX(0,①통합_가정!$D$551-AW152),0)</f>
        <v>39071.7401424841</v>
      </c>
      <c r="AX153" s="37" t="n">
        <f aca="false">IF(AX11=1,MAX(0,①통합_가정!$D$551-AX152),0)</f>
        <v>38016.261558501</v>
      </c>
      <c r="AY153" s="37" t="n">
        <f aca="false">IF(AY11=1,MAX(0,①통합_가정!$D$551-AY152),0)</f>
        <v>36764.8999497655</v>
      </c>
      <c r="AZ153" s="37" t="n">
        <f aca="false">IF(AZ11=1,MAX(0,①통합_가정!$D$551-AZ152),0)</f>
        <v>35324.7370346461</v>
      </c>
      <c r="BA153" s="37" t="n">
        <f aca="false">IF(BA11=1,MAX(0,①통합_가정!$D$551-BA152),0)</f>
        <v>0</v>
      </c>
      <c r="BB153" s="37" t="n">
        <f aca="false">IF(BB11=1,MAX(0,①통합_가정!$D$551-BB152),0)</f>
        <v>0</v>
      </c>
      <c r="BC153" s="37" t="n">
        <f aca="false">IF(BC11=1,MAX(0,①통합_가정!$D$551-BC152),0)</f>
        <v>0</v>
      </c>
      <c r="BD153" s="37" t="n">
        <f aca="false">IF(BD11=1,MAX(0,①통합_가정!$D$551-BD152),0)</f>
        <v>0</v>
      </c>
      <c r="BE153" s="37" t="n">
        <f aca="false">IF(BE11=1,MAX(0,①통합_가정!$D$551-BE152),0)</f>
        <v>10753.4950757222</v>
      </c>
      <c r="BF153" s="37" t="n">
        <f aca="false">IF(BF11=1,MAX(0,①통합_가정!$D$551-BF152),0)</f>
        <v>22550.9777429406</v>
      </c>
      <c r="BG153" s="37" t="n">
        <f aca="false">IF(BG11=1,MAX(0,①통합_가정!$D$551-BG152),0)</f>
        <v>20066.3422463546</v>
      </c>
      <c r="BH153" s="37" t="n">
        <f aca="false">IF(BH11=1,MAX(0,①통합_가정!$D$551-BH152),0)</f>
        <v>17483.0712152557</v>
      </c>
      <c r="BI153" s="37" t="n">
        <f aca="false">IF(BI11=1,MAX(0,①통합_가정!$D$551-BI152),0)</f>
        <v>14815.6792670774</v>
      </c>
      <c r="BJ153" s="37" t="n">
        <f aca="false">IF(BJ11=1,MAX(0,①통합_가정!$D$551-BJ152),0)</f>
        <v>12079.1517971324</v>
      </c>
      <c r="BK153" s="37" t="n">
        <f aca="false">IF(BK11=1,MAX(0,①통합_가정!$D$551-BK152),0)</f>
        <v>9288.86117590425</v>
      </c>
      <c r="BL153" s="37" t="n">
        <f aca="false">IF(BL11=1,MAX(0,①통합_가정!$D$551-BL152),0)</f>
        <v>0</v>
      </c>
      <c r="BM153" s="37" t="n">
        <f aca="false">IF(BM11=1,MAX(0,①통합_가정!$D$551-BM152),0)</f>
        <v>0</v>
      </c>
      <c r="BN153" s="37" t="n">
        <f aca="false">IF(BN11=1,MAX(0,①통합_가정!$D$551-BN152),0)</f>
        <v>0</v>
      </c>
      <c r="BO153" s="37" t="n">
        <f aca="false">IF(BO11=1,MAX(0,①통합_가정!$D$551-BO152),0)</f>
        <v>0</v>
      </c>
      <c r="BP153" s="37" t="n">
        <f aca="false">IF(BP11=1,MAX(0,①통합_가정!$D$551-BP152),0)</f>
        <v>0</v>
      </c>
      <c r="BQ153" s="37" t="n">
        <f aca="false">IF(BQ11=1,MAX(0,①통합_가정!$D$551-BQ152),0)</f>
        <v>0</v>
      </c>
      <c r="BR153" s="37" t="n">
        <f aca="false">IF(BR11=1,MAX(0,①통합_가정!$D$551-BR152),0)</f>
        <v>0</v>
      </c>
      <c r="BS153" s="37" t="n">
        <f aca="false">IF(BS11=1,MAX(0,①통합_가정!$D$551-BS152),0)</f>
        <v>0</v>
      </c>
      <c r="BT153" s="37" t="n">
        <f aca="false">IF(BT11=1,MAX(0,①통합_가정!$D$551-BT152),0)</f>
        <v>0</v>
      </c>
      <c r="BU153" s="37" t="n">
        <f aca="false">IF(BU11=1,MAX(0,①통합_가정!$D$551-BU152),0)</f>
        <v>0</v>
      </c>
      <c r="BV153" s="37" t="n">
        <f aca="false">IF(BV11=1,MAX(0,①통합_가정!$D$551-BV152),0)</f>
        <v>0</v>
      </c>
      <c r="BW153" s="37" t="n">
        <f aca="false">IF(BW11=1,MAX(0,①통합_가정!$D$551-BW152),0)</f>
        <v>0</v>
      </c>
      <c r="BX153" s="37" t="n">
        <f aca="false">IF(BX11=1,MAX(0,①통합_가정!$D$551-BX152),0)</f>
        <v>0</v>
      </c>
      <c r="BY153" s="37" t="n">
        <f aca="false">IF(BY11=1,MAX(0,①통합_가정!$D$551-BY152),0)</f>
        <v>0</v>
      </c>
      <c r="BZ153" s="37" t="n">
        <f aca="false">IF(BZ11=1,MAX(0,①통합_가정!$D$551-BZ152),0)</f>
        <v>0</v>
      </c>
      <c r="CA153" s="37" t="n">
        <f aca="false">IF(CA11=1,MAX(0,①통합_가정!$D$551-CA152),0)</f>
        <v>0</v>
      </c>
      <c r="CB153" s="37" t="n">
        <f aca="false">IF(CB11=1,MAX(0,①통합_가정!$D$551-CB152),0)</f>
        <v>0</v>
      </c>
      <c r="CC153" s="37" t="n">
        <f aca="false">IF(CC11=1,MAX(0,①통합_가정!$D$551-CC152),0)</f>
        <v>0</v>
      </c>
      <c r="CD153" s="37" t="n">
        <f aca="false">IF(CD11=1,MAX(0,①통합_가정!$D$551-CD152),0)</f>
        <v>0</v>
      </c>
      <c r="CE153" s="37" t="n">
        <f aca="false">IF(CE11=1,MAX(0,①통합_가정!$D$551-CE152),0)</f>
        <v>0</v>
      </c>
      <c r="CF153" s="37" t="n">
        <f aca="false">IF(CF11=1,MAX(0,①통합_가정!$D$551-CF152),0)</f>
        <v>0</v>
      </c>
      <c r="CG153" s="37" t="n">
        <f aca="false">IF(CG11=1,MAX(0,①통합_가정!$D$551-CG152),0)</f>
        <v>0</v>
      </c>
      <c r="CH153" s="37" t="n">
        <f aca="false">IF(CH11=1,MAX(0,①통합_가정!$D$551-CH152),0)</f>
        <v>0</v>
      </c>
      <c r="CI153" s="37" t="n">
        <f aca="false">IF(CI11=1,MAX(0,①통합_가정!$D$551-CI152),0)</f>
        <v>0</v>
      </c>
      <c r="CJ153" s="37" t="n">
        <f aca="false">IF(CJ11=1,MAX(0,①통합_가정!$D$551-CJ152),0)</f>
        <v>0</v>
      </c>
      <c r="CK153" s="37" t="n">
        <f aca="false">IF(CK11=1,MAX(0,①통합_가정!$D$551-CK152),0)</f>
        <v>0</v>
      </c>
      <c r="CL153" s="37" t="n">
        <f aca="false">IF(CL11=1,MAX(0,①통합_가정!$D$551-CL152),0)</f>
        <v>0</v>
      </c>
      <c r="CM153" s="37" t="n">
        <f aca="false">IF(CM11=1,MAX(0,①통합_가정!$D$551-CM152),0)</f>
        <v>0</v>
      </c>
      <c r="CN153" s="37" t="n">
        <f aca="false">IF(CN11=1,MAX(0,①통합_가정!$D$551-CN152),0)</f>
        <v>0</v>
      </c>
      <c r="CO153" s="37" t="n">
        <f aca="false">IF(CO11=1,MAX(0,①통합_가정!$D$551-CO152),0)</f>
        <v>0</v>
      </c>
      <c r="CP153" s="37" t="n">
        <f aca="false">IF(CP11=1,MAX(0,①통합_가정!$D$551-CP152),0)</f>
        <v>0</v>
      </c>
      <c r="CQ153" s="37" t="n">
        <f aca="false">IF(CQ11=1,MAX(0,①통합_가정!$D$551-CQ152),0)</f>
        <v>0</v>
      </c>
      <c r="CR153" s="37" t="n">
        <f aca="false">IF(CR11=1,MAX(0,①통합_가정!$D$551-CR152),0)</f>
        <v>0</v>
      </c>
      <c r="CS153" s="37" t="n">
        <f aca="false">IF(CS11=1,MAX(0,①통합_가정!$D$551-CS152),0)</f>
        <v>0</v>
      </c>
      <c r="CT153" s="37" t="n">
        <f aca="false">IF(CT11=1,MAX(0,①통합_가정!$D$551-CT152),0)</f>
        <v>0</v>
      </c>
      <c r="CU153" s="37" t="n">
        <f aca="false">IF(CU11=1,MAX(0,①통합_가정!$D$551-CU152),0)</f>
        <v>0</v>
      </c>
      <c r="CV153" s="37" t="n">
        <f aca="false">IF(CV11=1,MAX(0,①통합_가정!$D$551-CV152),0)</f>
        <v>0</v>
      </c>
      <c r="CW153" s="37" t="n">
        <f aca="false">IF(CW11=1,MAX(0,①통합_가정!$D$551-CW152),0)</f>
        <v>0</v>
      </c>
      <c r="CX153" s="37" t="n">
        <f aca="false">IF(CX11=1,MAX(0,①통합_가정!$D$551-CX152),0)</f>
        <v>0</v>
      </c>
      <c r="CY153" s="37" t="n">
        <f aca="false">IF(CY11=1,MAX(0,①통합_가정!$D$551-CY152),0)</f>
        <v>0</v>
      </c>
      <c r="CZ153" s="37" t="n">
        <f aca="false">IF(CZ11=1,MAX(0,①통합_가정!$D$551-CZ152),0)</f>
        <v>0</v>
      </c>
      <c r="DA153" s="37" t="n">
        <f aca="false">IF(DA11=1,MAX(0,①통합_가정!$D$551-DA152),0)</f>
        <v>0</v>
      </c>
      <c r="DB153" s="37" t="n">
        <f aca="false">IF(DB11=1,MAX(0,①통합_가정!$D$551-DB152),0)</f>
        <v>0</v>
      </c>
      <c r="DC153" s="37" t="n">
        <f aca="false">IF(DC11=1,MAX(0,①통합_가정!$D$551-DC152),0)</f>
        <v>0</v>
      </c>
      <c r="DD153" s="37" t="n">
        <f aca="false">IF(DD11=1,MAX(0,①통합_가정!$D$551-DD152),0)</f>
        <v>0</v>
      </c>
      <c r="DE153" s="37" t="n">
        <f aca="false">IF(DE11=1,MAX(0,①통합_가정!$D$551-DE152),0)</f>
        <v>0</v>
      </c>
      <c r="DF153" s="37" t="n">
        <f aca="false">IF(DF11=1,MAX(0,①통합_가정!$D$551-DF152),0)</f>
        <v>0</v>
      </c>
      <c r="DG153" s="37" t="n">
        <f aca="false">IF(DG11=1,MAX(0,①통합_가정!$D$551-DG152),0)</f>
        <v>0</v>
      </c>
      <c r="DH153" s="37" t="n">
        <f aca="false">IF(DH11=1,MAX(0,①통합_가정!$D$551-DH152),0)</f>
        <v>0</v>
      </c>
      <c r="DI153" s="37" t="n">
        <f aca="false">IF(DI11=1,MAX(0,①통합_가정!$D$551-DI152),0)</f>
        <v>0</v>
      </c>
      <c r="DJ153" s="37" t="n">
        <f aca="false">IF(DJ11=1,MAX(0,①통합_가정!$D$551-DJ152),0)</f>
        <v>0</v>
      </c>
      <c r="DK153" s="37" t="n">
        <f aca="false">IF(DK11=1,MAX(0,①통합_가정!$D$551-DK152),0)</f>
        <v>0</v>
      </c>
      <c r="DL153" s="37" t="n">
        <f aca="false">IF(DL11=1,MAX(0,①통합_가정!$D$551-DL152),0)</f>
        <v>0</v>
      </c>
      <c r="DM153" s="37" t="n">
        <f aca="false">IF(DM11=1,MAX(0,①통합_가정!$D$551-DM152),0)</f>
        <v>0</v>
      </c>
      <c r="DN153" s="37" t="n">
        <f aca="false">IF(DN11=1,MAX(0,①통합_가정!$D$551-DN152),0)</f>
        <v>0</v>
      </c>
      <c r="DO153" s="37" t="n">
        <f aca="false">IF(DO11=1,MAX(0,①통합_가정!$D$551-DO152),0)</f>
        <v>0</v>
      </c>
      <c r="DP153" s="37" t="n">
        <f aca="false">IF(DP11=1,MAX(0,①통합_가정!$D$551-DP152),0)</f>
        <v>0</v>
      </c>
      <c r="DQ153" s="37" t="n">
        <f aca="false">IF(DQ11=1,MAX(0,①통합_가정!$D$551-DQ152),0)</f>
        <v>0</v>
      </c>
      <c r="DR153" s="37" t="n">
        <f aca="false">IF(DR11=1,MAX(0,①통합_가정!$D$551-DR152),0)</f>
        <v>0</v>
      </c>
      <c r="DS153" s="37" t="n">
        <f aca="false">IF(DS11=1,MAX(0,①통합_가정!$D$551-DS152),0)</f>
        <v>0</v>
      </c>
      <c r="DT153" s="37" t="n">
        <f aca="false">IF(DT11=1,MAX(0,①통합_가정!$D$551-DT152),0)</f>
        <v>0</v>
      </c>
      <c r="DU153" s="37" t="n">
        <f aca="false">IF(DU11=1,MAX(0,①통합_가정!$D$551-DU152),0)</f>
        <v>0</v>
      </c>
      <c r="DV153" s="37" t="n">
        <f aca="false">IF(DV11=1,MAX(0,①통합_가정!$D$551-DV152),0)</f>
        <v>0</v>
      </c>
      <c r="DW153" s="37" t="n">
        <f aca="false">IF(DW11=1,MAX(0,①통합_가정!$D$551-DW152),0)</f>
        <v>0</v>
      </c>
      <c r="DX153" s="37" t="n">
        <f aca="false">IF(DX11=1,MAX(0,①통합_가정!$D$551-DX152),0)</f>
        <v>0</v>
      </c>
      <c r="DY153" s="37" t="n">
        <f aca="false">IF(DY11=1,MAX(0,①통합_가정!$D$551-DY152),0)</f>
        <v>0</v>
      </c>
      <c r="DZ153" s="37" t="n">
        <f aca="false">IF(DZ11=1,MAX(0,①통합_가정!$D$551-DZ152),0)</f>
        <v>0</v>
      </c>
      <c r="EA153" s="37" t="n">
        <f aca="false">IF(EA11=1,MAX(0,①통합_가정!$D$551-EA152),0)</f>
        <v>0</v>
      </c>
      <c r="EB153" s="37" t="n">
        <f aca="false">IF(EB11=1,MAX(0,①통합_가정!$D$551-EB152),0)</f>
        <v>0</v>
      </c>
      <c r="EC153" s="37" t="n">
        <f aca="false">IF(EC11=1,MAX(0,①통합_가정!$D$551-EC152),0)</f>
        <v>0</v>
      </c>
      <c r="ED153" s="37" t="n">
        <f aca="false">IF(ED11=1,MAX(0,①통합_가정!$D$551-ED152),0)</f>
        <v>0</v>
      </c>
      <c r="EE153" s="37" t="n">
        <f aca="false">IF(EE11=1,MAX(0,①통합_가정!$D$551-EE152),0)</f>
        <v>0</v>
      </c>
      <c r="EF153" s="37" t="n">
        <f aca="false">IF(EF11=1,MAX(0,①통합_가정!$D$551-EF152),0)</f>
        <v>0</v>
      </c>
    </row>
    <row r="154" customFormat="false" ht="15" hidden="false" customHeight="false" outlineLevel="0" collapsed="false">
      <c r="A154" s="36" t="s">
        <v>684</v>
      </c>
      <c r="B154" s="278" t="s">
        <v>21</v>
      </c>
      <c r="E154" s="37" t="n">
        <f aca="false">E152+E116-E120</f>
        <v>13781.8916972571</v>
      </c>
      <c r="F154" s="37" t="n">
        <f aca="false">F152+F116-F120</f>
        <v>13723.3869335344</v>
      </c>
      <c r="G154" s="37" t="n">
        <f aca="false">G152+G116-G120</f>
        <v>13664.7359079025</v>
      </c>
      <c r="H154" s="37" t="n">
        <f aca="false">H152+H116-H120</f>
        <v>2605.93825470643</v>
      </c>
      <c r="I154" s="37" t="n">
        <f aca="false">I152+I116-I120</f>
        <v>2519.49360737739</v>
      </c>
      <c r="J154" s="37" t="n">
        <f aca="false">J152+J116-J120</f>
        <v>2432.83284843003</v>
      </c>
      <c r="K154" s="37" t="n">
        <f aca="false">K152+K116-K120</f>
        <v>2345.9554375853</v>
      </c>
      <c r="L154" s="37" t="n">
        <f aca="false">L152+L116-L120</f>
        <v>2258.86083321345</v>
      </c>
      <c r="M154" s="37" t="n">
        <f aca="false">M152+M116-M120</f>
        <v>2171.54849233068</v>
      </c>
      <c r="N154" s="37" t="n">
        <f aca="false">N152+N116-N120</f>
        <v>2084.0178705957</v>
      </c>
      <c r="O154" s="37" t="n">
        <f aca="false">O152+O116-O120</f>
        <v>1996.26842230639</v>
      </c>
      <c r="P154" s="37" t="n">
        <f aca="false">P152+P116-P120</f>
        <v>1908.29960039635</v>
      </c>
      <c r="Q154" s="37" t="n">
        <f aca="false">Q152+Q116-Q120</f>
        <v>69880.2708564315</v>
      </c>
      <c r="R154" s="37" t="n">
        <f aca="false">R152+R116-R120</f>
        <v>69962.0120406068</v>
      </c>
      <c r="S154" s="37" t="n">
        <f aca="false">S152+S116-S120</f>
        <v>70043.9575777425</v>
      </c>
      <c r="T154" s="37" t="n">
        <f aca="false">T152+T116-T120</f>
        <v>70126.1079787211</v>
      </c>
      <c r="U154" s="37" t="n">
        <f aca="false">U152+U116-U120</f>
        <v>70208.4637557021</v>
      </c>
      <c r="V154" s="37" t="n">
        <f aca="false">V152+V116-V120</f>
        <v>70291.0254221256</v>
      </c>
      <c r="W154" s="37" t="n">
        <f aca="false">W152+W116-W120</f>
        <v>101558.248520087</v>
      </c>
      <c r="X154" s="37" t="n">
        <f aca="false">X152+X116-X120</f>
        <v>96062.8172763112</v>
      </c>
      <c r="Y154" s="37" t="n">
        <f aca="false">Y152+Y116-Y120</f>
        <v>87702.9610742117</v>
      </c>
      <c r="Z154" s="37" t="n">
        <f aca="false">Z152+Z116-Z120</f>
        <v>76511.5993653267</v>
      </c>
      <c r="AA154" s="37" t="n">
        <f aca="false">AA152+AA116-AA120</f>
        <v>62537.4519479147</v>
      </c>
      <c r="AB154" s="37" t="n">
        <f aca="false">AB152+AB116-AB120</f>
        <v>45844.7664196287</v>
      </c>
      <c r="AC154" s="37" t="n">
        <f aca="false">AC152+AC116-AC120</f>
        <v>162633.278792221</v>
      </c>
      <c r="AD154" s="37" t="n">
        <f aca="false">AD152+AD116-AD120</f>
        <v>141096.790078108</v>
      </c>
      <c r="AE154" s="37" t="n">
        <f aca="false">AE152+AE116-AE120</f>
        <v>117124.508085012</v>
      </c>
      <c r="AF154" s="37" t="n">
        <f aca="false">AF152+AF116-AF120</f>
        <v>90838.3644822893</v>
      </c>
      <c r="AG154" s="37" t="n">
        <f aca="false">AG152+AG116-AG120</f>
        <v>62373.2006643658</v>
      </c>
      <c r="AH154" s="37" t="n">
        <f aca="false">AH152+AH116-AH120</f>
        <v>31876.0135871464</v>
      </c>
      <c r="AI154" s="37" t="n">
        <f aca="false">AI152+AI116-AI120</f>
        <v>500</v>
      </c>
      <c r="AJ154" s="37" t="n">
        <f aca="false">AJ152+AJ116-AJ120</f>
        <v>500</v>
      </c>
      <c r="AK154" s="37" t="n">
        <f aca="false">AK152+AK116-AK120</f>
        <v>500</v>
      </c>
      <c r="AL154" s="37" t="n">
        <f aca="false">AL152+AL116-AL120</f>
        <v>500</v>
      </c>
      <c r="AM154" s="37" t="n">
        <f aca="false">AM152+AM116-AM120</f>
        <v>500</v>
      </c>
      <c r="AN154" s="37" t="n">
        <f aca="false">AN152+AN116-AN120</f>
        <v>500</v>
      </c>
      <c r="AO154" s="37" t="n">
        <f aca="false">AO152+AO116-AO120</f>
        <v>96049.1485362359</v>
      </c>
      <c r="AP154" s="37" t="n">
        <f aca="false">AP152+AP116-AP120</f>
        <v>55287.1781061264</v>
      </c>
      <c r="AQ154" s="37" t="n">
        <f aca="false">AQ152+AQ116-AQ120</f>
        <v>14207.8644218384</v>
      </c>
      <c r="AR154" s="37" t="n">
        <f aca="false">AR152+AR116-AR120</f>
        <v>500</v>
      </c>
      <c r="AS154" s="37" t="n">
        <f aca="false">AS152+AS116-AS120</f>
        <v>500</v>
      </c>
      <c r="AT154" s="37" t="n">
        <f aca="false">AT152+AT116-AT120</f>
        <v>500</v>
      </c>
      <c r="AU154" s="37" t="n">
        <f aca="false">AU152+AU116-AU120</f>
        <v>500</v>
      </c>
      <c r="AV154" s="37" t="n">
        <f aca="false">AV152+AV116-AV120</f>
        <v>500</v>
      </c>
      <c r="AW154" s="37" t="n">
        <f aca="false">AW152+AW116-AW120</f>
        <v>500</v>
      </c>
      <c r="AX154" s="37" t="n">
        <f aca="false">AX152+AX116-AX120</f>
        <v>500</v>
      </c>
      <c r="AY154" s="37" t="n">
        <f aca="false">AY152+AY116-AY120</f>
        <v>500</v>
      </c>
      <c r="AZ154" s="37" t="n">
        <f aca="false">AZ152+AZ116-AZ120</f>
        <v>500</v>
      </c>
      <c r="BA154" s="37" t="n">
        <f aca="false">BA152+BA116-BA120</f>
        <v>102916.409197014</v>
      </c>
      <c r="BB154" s="37" t="n">
        <f aca="false">BB152+BB116-BB120</f>
        <v>71429.3997667721</v>
      </c>
      <c r="BC154" s="37" t="n">
        <f aca="false">BC152+BC116-BC120</f>
        <v>41976.9776691481</v>
      </c>
      <c r="BD154" s="37" t="n">
        <f aca="false">BD152+BD116-BD120</f>
        <v>14704.8554209244</v>
      </c>
      <c r="BE154" s="37" t="n">
        <f aca="false">BE152+BE116-BE120</f>
        <v>500</v>
      </c>
      <c r="BF154" s="37" t="n">
        <f aca="false">BF152+BF116-BF120</f>
        <v>500</v>
      </c>
      <c r="BG154" s="37" t="n">
        <f aca="false">BG152+BG116-BG120</f>
        <v>500</v>
      </c>
      <c r="BH154" s="37" t="n">
        <f aca="false">BH152+BH116-BH120</f>
        <v>500</v>
      </c>
      <c r="BI154" s="37" t="n">
        <f aca="false">BI152+BI116-BI120</f>
        <v>500</v>
      </c>
      <c r="BJ154" s="37" t="n">
        <f aca="false">BJ152+BJ116-BJ120</f>
        <v>500</v>
      </c>
      <c r="BK154" s="37" t="n">
        <f aca="false">BK152+BK116-BK120</f>
        <v>500</v>
      </c>
      <c r="BL154" s="37" t="n">
        <f aca="false">BL152+BL116-BL120</f>
        <v>83893.5155897227</v>
      </c>
      <c r="BM154" s="37" t="n">
        <f aca="false">BM152+BM116-BM120</f>
        <v>293719.878821955</v>
      </c>
      <c r="BN154" s="37" t="n">
        <f aca="false">BN152+BN116-BN120</f>
        <v>289155.797684646</v>
      </c>
      <c r="BO154" s="37" t="n">
        <f aca="false">BO152+BO116-BO120</f>
        <v>289238.039356962</v>
      </c>
      <c r="BP154" s="37" t="n">
        <f aca="false">BP152+BP116-BP120</f>
        <v>289155.797684646</v>
      </c>
      <c r="BQ154" s="37" t="n">
        <f aca="false">BQ152+BQ116-BQ120</f>
        <v>289238.039356962</v>
      </c>
      <c r="BR154" s="37" t="n">
        <f aca="false">BR152+BR116-BR120</f>
        <v>289238.039356962</v>
      </c>
      <c r="BS154" s="37" t="n">
        <f aca="false">BS152+BS116-BS120</f>
        <v>289155.797684646</v>
      </c>
      <c r="BT154" s="37" t="n">
        <f aca="false">BT152+BT116-BT120</f>
        <v>289238.039356962</v>
      </c>
      <c r="BU154" s="37" t="n">
        <f aca="false">BU152+BU116-BU120</f>
        <v>289155.797684646</v>
      </c>
      <c r="BV154" s="37" t="n">
        <f aca="false">BV152+BV116-BV120</f>
        <v>289238.039356962</v>
      </c>
      <c r="BW154" s="37" t="n">
        <f aca="false">BW152+BW116-BW120</f>
        <v>289238.039356962</v>
      </c>
      <c r="BX154" s="37" t="n">
        <f aca="false">BX152+BX116-BX120</f>
        <v>289073.55601233</v>
      </c>
      <c r="BY154" s="37" t="n">
        <f aca="false">BY152+BY116-BY120</f>
        <v>473584.278226902</v>
      </c>
      <c r="BZ154" s="37" t="n">
        <f aca="false">BZ152+BZ116-BZ120</f>
        <v>473892.384904869</v>
      </c>
      <c r="CA154" s="37" t="n">
        <f aca="false">CA152+CA116-CA120</f>
        <v>473989.177026902</v>
      </c>
      <c r="CB154" s="37" t="n">
        <f aca="false">CB152+CB116-CB120</f>
        <v>473892.384904869</v>
      </c>
      <c r="CC154" s="37" t="n">
        <f aca="false">CC152+CC116-CC120</f>
        <v>473989.177026902</v>
      </c>
      <c r="CD154" s="37" t="n">
        <f aca="false">CD152+CD116-CD120</f>
        <v>473989.177026902</v>
      </c>
      <c r="CE154" s="37" t="n">
        <f aca="false">CE152+CE116-CE120</f>
        <v>473892.384904869</v>
      </c>
      <c r="CF154" s="37" t="n">
        <f aca="false">CF152+CF116-CF120</f>
        <v>473989.177026902</v>
      </c>
      <c r="CG154" s="37" t="n">
        <f aca="false">CG152+CG116-CG120</f>
        <v>473892.384904869</v>
      </c>
      <c r="CH154" s="37" t="n">
        <f aca="false">CH152+CH116-CH120</f>
        <v>473989.177026902</v>
      </c>
      <c r="CI154" s="37" t="n">
        <f aca="false">CI152+CI116-CI120</f>
        <v>473989.177026902</v>
      </c>
      <c r="CJ154" s="37" t="n">
        <f aca="false">CJ152+CJ116-CJ120</f>
        <v>473698.800660802</v>
      </c>
      <c r="CK154" s="37" t="n">
        <f aca="false">CK152+CK116-CK120</f>
        <v>487286.770006734</v>
      </c>
      <c r="CL154" s="37" t="n">
        <f aca="false">CL152+CL116-CL120</f>
        <v>487217.19204226</v>
      </c>
      <c r="CM154" s="37" t="n">
        <f aca="false">CM152+CM116-CM120</f>
        <v>487315.920006734</v>
      </c>
      <c r="CN154" s="37" t="n">
        <f aca="false">CN152+CN116-CN120</f>
        <v>487217.19204226</v>
      </c>
      <c r="CO154" s="37" t="n">
        <f aca="false">CO152+CO116-CO120</f>
        <v>487315.920006734</v>
      </c>
      <c r="CP154" s="37" t="n">
        <f aca="false">CP152+CP116-CP120</f>
        <v>487315.920006734</v>
      </c>
      <c r="CQ154" s="37" t="n">
        <f aca="false">CQ152+CQ116-CQ120</f>
        <v>487217.19204226</v>
      </c>
      <c r="CR154" s="37" t="n">
        <f aca="false">CR152+CR116-CR120</f>
        <v>487315.920006734</v>
      </c>
      <c r="CS154" s="37" t="n">
        <f aca="false">CS152+CS116-CS120</f>
        <v>487217.19204226</v>
      </c>
      <c r="CT154" s="37" t="n">
        <f aca="false">CT152+CT116-CT120</f>
        <v>487315.920006734</v>
      </c>
      <c r="CU154" s="37" t="n">
        <f aca="false">CU152+CU116-CU120</f>
        <v>487315.920006734</v>
      </c>
      <c r="CV154" s="37" t="n">
        <f aca="false">CV152+CV116-CV120</f>
        <v>487019.736113312</v>
      </c>
      <c r="CW154" s="37" t="n">
        <f aca="false">CW152+CW116-CW120</f>
        <v>487415.464846163</v>
      </c>
      <c r="CX154" s="37" t="n">
        <f aca="false">CX152+CX116-CX120</f>
        <v>487314.762322399</v>
      </c>
      <c r="CY154" s="37" t="n">
        <f aca="false">CY152+CY116-CY120</f>
        <v>487415.464846163</v>
      </c>
      <c r="CZ154" s="37" t="n">
        <f aca="false">CZ152+CZ116-CZ120</f>
        <v>487314.762322399</v>
      </c>
      <c r="DA154" s="37" t="n">
        <f aca="false">DA152+DA116-DA120</f>
        <v>487415.464846163</v>
      </c>
      <c r="DB154" s="37" t="n">
        <f aca="false">DB152+DB116-DB120</f>
        <v>487415.464846163</v>
      </c>
      <c r="DC154" s="37" t="n">
        <f aca="false">DC152+DC116-DC120</f>
        <v>487314.762322399</v>
      </c>
      <c r="DD154" s="37" t="n">
        <f aca="false">DD152+DD116-DD120</f>
        <v>487415.464846163</v>
      </c>
      <c r="DE154" s="37" t="n">
        <f aca="false">DE152+DE116-DE120</f>
        <v>487314.762322399</v>
      </c>
      <c r="DF154" s="37" t="n">
        <f aca="false">DF152+DF116-DF120</f>
        <v>487415.464846163</v>
      </c>
      <c r="DG154" s="37" t="n">
        <f aca="false">DG152+DG116-DG120</f>
        <v>487415.464846163</v>
      </c>
      <c r="DH154" s="37" t="n">
        <f aca="false">DH152+DH116-DH120</f>
        <v>487113.357274872</v>
      </c>
      <c r="DI154" s="37" t="n">
        <f aca="false">DI152+DI116-DI120</f>
        <v>487517.00058238</v>
      </c>
      <c r="DJ154" s="37" t="n">
        <f aca="false">DJ152+DJ116-DJ120</f>
        <v>487414.284008141</v>
      </c>
      <c r="DK154" s="37" t="n">
        <f aca="false">DK152+DK116-DK120</f>
        <v>487517.00058238</v>
      </c>
      <c r="DL154" s="37" t="n">
        <f aca="false">DL152+DL116-DL120</f>
        <v>487414.284008141</v>
      </c>
      <c r="DM154" s="37" t="n">
        <f aca="false">DM152+DM116-DM120</f>
        <v>487517.00058238</v>
      </c>
      <c r="DN154" s="37" t="n">
        <f aca="false">DN152+DN116-DN120</f>
        <v>487517.00058238</v>
      </c>
      <c r="DO154" s="37" t="n">
        <f aca="false">DO152+DO116-DO120</f>
        <v>487414.284008141</v>
      </c>
      <c r="DP154" s="37" t="n">
        <f aca="false">DP152+DP116-DP120</f>
        <v>487517.00058238</v>
      </c>
      <c r="DQ154" s="37" t="n">
        <f aca="false">DQ152+DQ116-DQ120</f>
        <v>487414.284008141</v>
      </c>
      <c r="DR154" s="37" t="n">
        <f aca="false">DR152+DR116-DR120</f>
        <v>487517.00058238</v>
      </c>
      <c r="DS154" s="37" t="n">
        <f aca="false">DS152+DS116-DS120</f>
        <v>487517.00058238</v>
      </c>
      <c r="DT154" s="37" t="n">
        <f aca="false">DT152+DT116-DT120</f>
        <v>600549.464905743</v>
      </c>
      <c r="DU154" s="37" t="n">
        <f aca="false">DU152+DU116-DU120</f>
        <v>601940.743684633</v>
      </c>
      <c r="DV154" s="37" t="n">
        <f aca="false">DV152+DV116-DV120</f>
        <v>603335.50066047</v>
      </c>
      <c r="DW154" s="37" t="n">
        <f aca="false">DW152+DW116-DW120</f>
        <v>604733.744528747</v>
      </c>
      <c r="DX154" s="37" t="n">
        <f aca="false">DX152+DX116-DX120</f>
        <v>0</v>
      </c>
      <c r="DY154" s="37" t="n">
        <f aca="false">DY152+DY116-DY120</f>
        <v>0</v>
      </c>
      <c r="DZ154" s="37" t="n">
        <f aca="false">DZ152+DZ116-DZ120</f>
        <v>0</v>
      </c>
      <c r="EA154" s="37" t="n">
        <f aca="false">EA152+EA116-EA120</f>
        <v>0</v>
      </c>
      <c r="EB154" s="37" t="n">
        <f aca="false">EB152+EB116-EB120</f>
        <v>0</v>
      </c>
      <c r="EC154" s="37" t="n">
        <f aca="false">EC152+EC116-EC120</f>
        <v>0</v>
      </c>
      <c r="ED154" s="37" t="n">
        <f aca="false">ED152+ED116-ED120</f>
        <v>0</v>
      </c>
      <c r="EE154" s="37" t="n">
        <f aca="false">EE152+EE116-EE120</f>
        <v>0</v>
      </c>
      <c r="EF154" s="37" t="n">
        <f aca="false">EF152+EF116-EF120</f>
        <v>0</v>
      </c>
    </row>
    <row r="155" customFormat="false" ht="15" hidden="false" customHeight="false" outlineLevel="0" collapsed="false">
      <c r="A155" s="36" t="s">
        <v>685</v>
      </c>
      <c r="B155" s="273"/>
      <c r="E155" s="275" t="n">
        <f aca="false">IF(E6=①통합_가정!$E$24,2,IF(AND(E14=1,E6&lt;①통합_가정!$E$22),1,0))</f>
        <v>0</v>
      </c>
      <c r="F155" s="275" t="n">
        <f aca="false">IF(F6=①통합_가정!$E$24,2,IF(AND(F14=1,F6&lt;①통합_가정!$E$22),1,0))</f>
        <v>0</v>
      </c>
      <c r="G155" s="275" t="n">
        <f aca="false">IF(G6=①통합_가정!$E$24,2,IF(AND(G14=1,G6&lt;①통합_가정!$E$22),1,0))</f>
        <v>0</v>
      </c>
      <c r="H155" s="275" t="n">
        <f aca="false">IF(H6=①통합_가정!$E$24,2,IF(AND(H14=1,H6&lt;①통합_가정!$E$22),1,0))</f>
        <v>0</v>
      </c>
      <c r="I155" s="275" t="n">
        <f aca="false">IF(I6=①통합_가정!$E$24,2,IF(AND(I14=1,I6&lt;①통합_가정!$E$22),1,0))</f>
        <v>0</v>
      </c>
      <c r="J155" s="275" t="n">
        <f aca="false">IF(J6=①통합_가정!$E$24,2,IF(AND(J14=1,J6&lt;①통합_가정!$E$22),1,0))</f>
        <v>0</v>
      </c>
      <c r="K155" s="275" t="n">
        <f aca="false">IF(K6=①통합_가정!$E$24,2,IF(AND(K14=1,K6&lt;①통합_가정!$E$22),1,0))</f>
        <v>0</v>
      </c>
      <c r="L155" s="275" t="n">
        <f aca="false">IF(L6=①통합_가정!$E$24,2,IF(AND(L14=1,L6&lt;①통합_가정!$E$22),1,0))</f>
        <v>0</v>
      </c>
      <c r="M155" s="275" t="n">
        <f aca="false">IF(M6=①통합_가정!$E$24,2,IF(AND(M14=1,M6&lt;①통합_가정!$E$22),1,0))</f>
        <v>0</v>
      </c>
      <c r="N155" s="275" t="n">
        <f aca="false">IF(N6=①통합_가정!$E$24,2,IF(AND(N14=1,N6&lt;①통합_가정!$E$22),1,0))</f>
        <v>0</v>
      </c>
      <c r="O155" s="275" t="n">
        <f aca="false">IF(O6=①통합_가정!$E$24,2,IF(AND(O14=1,O6&lt;①통합_가정!$E$22),1,0))</f>
        <v>0</v>
      </c>
      <c r="P155" s="275" t="n">
        <f aca="false">IF(P6=①통합_가정!$E$24,2,IF(AND(P14=1,P6&lt;①통합_가정!$E$22),1,0))</f>
        <v>0</v>
      </c>
      <c r="Q155" s="275" t="n">
        <f aca="false">IF(Q6=①통합_가정!$E$24,2,IF(AND(Q14=1,Q6&lt;①통합_가정!$E$22),1,0))</f>
        <v>0</v>
      </c>
      <c r="R155" s="275" t="n">
        <f aca="false">IF(R6=①통합_가정!$E$24,2,IF(AND(R14=1,R6&lt;①통합_가정!$E$22),1,0))</f>
        <v>0</v>
      </c>
      <c r="S155" s="275" t="n">
        <f aca="false">IF(S6=①통합_가정!$E$24,2,IF(AND(S14=1,S6&lt;①통합_가정!$E$22),1,0))</f>
        <v>0</v>
      </c>
      <c r="T155" s="275" t="n">
        <f aca="false">IF(T6=①통합_가정!$E$24,2,IF(AND(T14=1,T6&lt;①통합_가정!$E$22),1,0))</f>
        <v>0</v>
      </c>
      <c r="U155" s="275" t="n">
        <f aca="false">IF(U6=①통합_가정!$E$24,2,IF(AND(U14=1,U6&lt;①통합_가정!$E$22),1,0))</f>
        <v>0</v>
      </c>
      <c r="V155" s="275" t="n">
        <f aca="false">IF(V6=①통합_가정!$E$24,2,IF(AND(V14=1,V6&lt;①통합_가정!$E$22),1,0))</f>
        <v>0</v>
      </c>
      <c r="W155" s="275" t="n">
        <f aca="false">IF(W6=①통합_가정!$E$24,2,IF(AND(W14=1,W6&lt;①통합_가정!$E$22),1,0))</f>
        <v>0</v>
      </c>
      <c r="X155" s="275" t="n">
        <f aca="false">IF(X6=①통합_가정!$E$24,2,IF(AND(X14=1,X6&lt;①통합_가정!$E$22),1,0))</f>
        <v>0</v>
      </c>
      <c r="Y155" s="275" t="n">
        <f aca="false">IF(Y6=①통합_가정!$E$24,2,IF(AND(Y14=1,Y6&lt;①통합_가정!$E$22),1,0))</f>
        <v>0</v>
      </c>
      <c r="Z155" s="275" t="n">
        <f aca="false">IF(Z6=①통합_가정!$E$24,2,IF(AND(Z14=1,Z6&lt;①통합_가정!$E$22),1,0))</f>
        <v>0</v>
      </c>
      <c r="AA155" s="275" t="n">
        <f aca="false">IF(AA6=①통합_가정!$E$24,2,IF(AND(AA14=1,AA6&lt;①통합_가정!$E$22),1,0))</f>
        <v>0</v>
      </c>
      <c r="AB155" s="275" t="n">
        <f aca="false">IF(AB6=①통합_가정!$E$24,2,IF(AND(AB14=1,AB6&lt;①통합_가정!$E$22),1,0))</f>
        <v>0</v>
      </c>
      <c r="AC155" s="275" t="n">
        <f aca="false">IF(AC6=①통합_가정!$E$24,2,IF(AND(AC14=1,AC6&lt;①통합_가정!$E$22),1,0))</f>
        <v>0</v>
      </c>
      <c r="AD155" s="275" t="n">
        <f aca="false">IF(AD6=①통합_가정!$E$24,2,IF(AND(AD14=1,AD6&lt;①통합_가정!$E$22),1,0))</f>
        <v>0</v>
      </c>
      <c r="AE155" s="275" t="n">
        <f aca="false">IF(AE6=①통합_가정!$E$24,2,IF(AND(AE14=1,AE6&lt;①통합_가정!$E$22),1,0))</f>
        <v>0</v>
      </c>
      <c r="AF155" s="275" t="n">
        <f aca="false">IF(AF6=①통합_가정!$E$24,2,IF(AND(AF14=1,AF6&lt;①통합_가정!$E$22),1,0))</f>
        <v>0</v>
      </c>
      <c r="AG155" s="275" t="n">
        <f aca="false">IF(AG6=①통합_가정!$E$24,2,IF(AND(AG14=1,AG6&lt;①통합_가정!$E$22),1,0))</f>
        <v>0</v>
      </c>
      <c r="AH155" s="275" t="n">
        <f aca="false">IF(AH6=①통합_가정!$E$24,2,IF(AND(AH14=1,AH6&lt;①통합_가정!$E$22),1,0))</f>
        <v>0</v>
      </c>
      <c r="AI155" s="275" t="n">
        <f aca="false">IF(AI6=①통합_가정!$E$24,2,IF(AND(AI14=1,AI6&lt;①통합_가정!$E$22),1,0))</f>
        <v>0</v>
      </c>
      <c r="AJ155" s="275" t="n">
        <f aca="false">IF(AJ6=①통합_가정!$E$24,2,IF(AND(AJ14=1,AJ6&lt;①통합_가정!$E$22),1,0))</f>
        <v>0</v>
      </c>
      <c r="AK155" s="275" t="n">
        <f aca="false">IF(AK6=①통합_가정!$E$24,2,IF(AND(AK14=1,AK6&lt;①통합_가정!$E$22),1,0))</f>
        <v>0</v>
      </c>
      <c r="AL155" s="275" t="n">
        <f aca="false">IF(AL6=①통합_가정!$E$24,2,IF(AND(AL14=1,AL6&lt;①통합_가정!$E$22),1,0))</f>
        <v>0</v>
      </c>
      <c r="AM155" s="275" t="n">
        <f aca="false">IF(AM6=①통합_가정!$E$24,2,IF(AND(AM14=1,AM6&lt;①통합_가정!$E$22),1,0))</f>
        <v>0</v>
      </c>
      <c r="AN155" s="275" t="n">
        <f aca="false">IF(AN6=①통합_가정!$E$24,2,IF(AND(AN14=1,AN6&lt;①통합_가정!$E$22),1,0))</f>
        <v>0</v>
      </c>
      <c r="AO155" s="275" t="n">
        <f aca="false">IF(AO6=①통합_가정!$E$24,2,IF(AND(AO14=1,AO6&lt;①통합_가정!$E$22),1,0))</f>
        <v>0</v>
      </c>
      <c r="AP155" s="275" t="n">
        <f aca="false">IF(AP6=①통합_가정!$E$24,2,IF(AND(AP14=1,AP6&lt;①통합_가정!$E$22),1,0))</f>
        <v>0</v>
      </c>
      <c r="AQ155" s="275" t="n">
        <f aca="false">IF(AQ6=①통합_가정!$E$24,2,IF(AND(AQ14=1,AQ6&lt;①통합_가정!$E$22),1,0))</f>
        <v>0</v>
      </c>
      <c r="AR155" s="275" t="n">
        <f aca="false">IF(AR6=①통합_가정!$E$24,2,IF(AND(AR14=1,AR6&lt;①통합_가정!$E$22),1,0))</f>
        <v>0</v>
      </c>
      <c r="AS155" s="275" t="n">
        <f aca="false">IF(AS6=①통합_가정!$E$24,2,IF(AND(AS14=1,AS6&lt;①통합_가정!$E$22),1,0))</f>
        <v>0</v>
      </c>
      <c r="AT155" s="275" t="n">
        <f aca="false">IF(AT6=①통합_가정!$E$24,2,IF(AND(AT14=1,AT6&lt;①통합_가정!$E$22),1,0))</f>
        <v>0</v>
      </c>
      <c r="AU155" s="275" t="n">
        <f aca="false">IF(AU6=①통합_가정!$E$24,2,IF(AND(AU14=1,AU6&lt;①통합_가정!$E$22),1,0))</f>
        <v>0</v>
      </c>
      <c r="AV155" s="275" t="n">
        <f aca="false">IF(AV6=①통합_가정!$E$24,2,IF(AND(AV14=1,AV6&lt;①통합_가정!$E$22),1,0))</f>
        <v>0</v>
      </c>
      <c r="AW155" s="275" t="n">
        <f aca="false">IF(AW6=①통합_가정!$E$24,2,IF(AND(AW14=1,AW6&lt;①통합_가정!$E$22),1,0))</f>
        <v>0</v>
      </c>
      <c r="AX155" s="275" t="n">
        <f aca="false">IF(AX6=①통합_가정!$E$24,2,IF(AND(AX14=1,AX6&lt;①통합_가정!$E$22),1,0))</f>
        <v>0</v>
      </c>
      <c r="AY155" s="275" t="n">
        <f aca="false">IF(AY6=①통합_가정!$E$24,2,IF(AND(AY14=1,AY6&lt;①통합_가정!$E$22),1,0))</f>
        <v>0</v>
      </c>
      <c r="AZ155" s="275" t="n">
        <f aca="false">IF(AZ6=①통합_가정!$E$24,2,IF(AND(AZ14=1,AZ6&lt;①통합_가정!$E$22),1,0))</f>
        <v>0</v>
      </c>
      <c r="BA155" s="275" t="n">
        <f aca="false">IF(BA6=①통합_가정!$E$24,2,IF(AND(BA14=1,BA6&lt;①통합_가정!$E$22),1,0))</f>
        <v>0</v>
      </c>
      <c r="BB155" s="275" t="n">
        <f aca="false">IF(BB6=①통합_가정!$E$24,2,IF(AND(BB14=1,BB6&lt;①통합_가정!$E$22),1,0))</f>
        <v>0</v>
      </c>
      <c r="BC155" s="275" t="n">
        <f aca="false">IF(BC6=①통합_가정!$E$24,2,IF(AND(BC14=1,BC6&lt;①통합_가정!$E$22),1,0))</f>
        <v>0</v>
      </c>
      <c r="BD155" s="275" t="n">
        <f aca="false">IF(BD6=①통합_가정!$E$24,2,IF(AND(BD14=1,BD6&lt;①통합_가정!$E$22),1,0))</f>
        <v>0</v>
      </c>
      <c r="BE155" s="275" t="n">
        <f aca="false">IF(BE6=①통합_가정!$E$24,2,IF(AND(BE14=1,BE6&lt;①통합_가정!$E$22),1,0))</f>
        <v>0</v>
      </c>
      <c r="BF155" s="275" t="n">
        <f aca="false">IF(BF6=①통합_가정!$E$24,2,IF(AND(BF14=1,BF6&lt;①통합_가정!$E$22),1,0))</f>
        <v>0</v>
      </c>
      <c r="BG155" s="275" t="n">
        <f aca="false">IF(BG6=①통합_가정!$E$24,2,IF(AND(BG14=1,BG6&lt;①통합_가정!$E$22),1,0))</f>
        <v>0</v>
      </c>
      <c r="BH155" s="275" t="n">
        <f aca="false">IF(BH6=①통합_가정!$E$24,2,IF(AND(BH14=1,BH6&lt;①통합_가정!$E$22),1,0))</f>
        <v>0</v>
      </c>
      <c r="BI155" s="275" t="n">
        <f aca="false">IF(BI6=①통합_가정!$E$24,2,IF(AND(BI14=1,BI6&lt;①통합_가정!$E$22),1,0))</f>
        <v>0</v>
      </c>
      <c r="BJ155" s="275" t="n">
        <f aca="false">IF(BJ6=①통합_가정!$E$24,2,IF(AND(BJ14=1,BJ6&lt;①통합_가정!$E$22),1,0))</f>
        <v>0</v>
      </c>
      <c r="BK155" s="275" t="n">
        <f aca="false">IF(BK6=①통합_가정!$E$24,2,IF(AND(BK14=1,BK6&lt;①통합_가정!$E$22),1,0))</f>
        <v>0</v>
      </c>
      <c r="BL155" s="275" t="n">
        <f aca="false">IF(BL6=①통합_가정!$E$24,2,IF(AND(BL14=1,BL6&lt;①통합_가정!$E$22),1,0))</f>
        <v>0</v>
      </c>
      <c r="BM155" s="275" t="n">
        <f aca="false">IF(BM6=①통합_가정!$E$24,2,IF(AND(BM14=1,BM6&lt;①통합_가정!$E$22),1,0))</f>
        <v>1</v>
      </c>
      <c r="BN155" s="275" t="n">
        <f aca="false">IF(BN6=①통합_가정!$E$24,2,IF(AND(BN14=1,BN6&lt;①통합_가정!$E$22),1,0))</f>
        <v>1</v>
      </c>
      <c r="BO155" s="275" t="n">
        <f aca="false">IF(BO6=①통합_가정!$E$24,2,IF(AND(BO14=1,BO6&lt;①통합_가정!$E$22),1,0))</f>
        <v>1</v>
      </c>
      <c r="BP155" s="275" t="n">
        <f aca="false">IF(BP6=①통합_가정!$E$24,2,IF(AND(BP14=1,BP6&lt;①통합_가정!$E$22),1,0))</f>
        <v>1</v>
      </c>
      <c r="BQ155" s="275" t="n">
        <f aca="false">IF(BQ6=①통합_가정!$E$24,2,IF(AND(BQ14=1,BQ6&lt;①통합_가정!$E$22),1,0))</f>
        <v>1</v>
      </c>
      <c r="BR155" s="275" t="n">
        <f aca="false">IF(BR6=①통합_가정!$E$24,2,IF(AND(BR14=1,BR6&lt;①통합_가정!$E$22),1,0))</f>
        <v>1</v>
      </c>
      <c r="BS155" s="275" t="n">
        <f aca="false">IF(BS6=①통합_가정!$E$24,2,IF(AND(BS14=1,BS6&lt;①통합_가정!$E$22),1,0))</f>
        <v>1</v>
      </c>
      <c r="BT155" s="275" t="n">
        <f aca="false">IF(BT6=①통합_가정!$E$24,2,IF(AND(BT14=1,BT6&lt;①통합_가정!$E$22),1,0))</f>
        <v>1</v>
      </c>
      <c r="BU155" s="275" t="n">
        <f aca="false">IF(BU6=①통합_가정!$E$24,2,IF(AND(BU14=1,BU6&lt;①통합_가정!$E$22),1,0))</f>
        <v>1</v>
      </c>
      <c r="BV155" s="275" t="n">
        <f aca="false">IF(BV6=①통합_가정!$E$24,2,IF(AND(BV14=1,BV6&lt;①통합_가정!$E$22),1,0))</f>
        <v>1</v>
      </c>
      <c r="BW155" s="275" t="n">
        <f aca="false">IF(BW6=①통합_가정!$E$24,2,IF(AND(BW14=1,BW6&lt;①통합_가정!$E$22),1,0))</f>
        <v>1</v>
      </c>
      <c r="BX155" s="275" t="n">
        <f aca="false">IF(BX6=①통합_가정!$E$24,2,IF(AND(BX14=1,BX6&lt;①통합_가정!$E$22),1,0))</f>
        <v>1</v>
      </c>
      <c r="BY155" s="275" t="n">
        <f aca="false">IF(BY6=①통합_가정!$E$24,2,IF(AND(BY14=1,BY6&lt;①통합_가정!$E$22),1,0))</f>
        <v>1</v>
      </c>
      <c r="BZ155" s="275" t="n">
        <f aca="false">IF(BZ6=①통합_가정!$E$24,2,IF(AND(BZ14=1,BZ6&lt;①통합_가정!$E$22),1,0))</f>
        <v>1</v>
      </c>
      <c r="CA155" s="275" t="n">
        <f aca="false">IF(CA6=①통합_가정!$E$24,2,IF(AND(CA14=1,CA6&lt;①통합_가정!$E$22),1,0))</f>
        <v>1</v>
      </c>
      <c r="CB155" s="275" t="n">
        <f aca="false">IF(CB6=①통합_가정!$E$24,2,IF(AND(CB14=1,CB6&lt;①통합_가정!$E$22),1,0))</f>
        <v>1</v>
      </c>
      <c r="CC155" s="275" t="n">
        <f aca="false">IF(CC6=①통합_가정!$E$24,2,IF(AND(CC14=1,CC6&lt;①통합_가정!$E$22),1,0))</f>
        <v>1</v>
      </c>
      <c r="CD155" s="275" t="n">
        <f aca="false">IF(CD6=①통합_가정!$E$24,2,IF(AND(CD14=1,CD6&lt;①통합_가정!$E$22),1,0))</f>
        <v>1</v>
      </c>
      <c r="CE155" s="275" t="n">
        <f aca="false">IF(CE6=①통합_가정!$E$24,2,IF(AND(CE14=1,CE6&lt;①통합_가정!$E$22),1,0))</f>
        <v>1</v>
      </c>
      <c r="CF155" s="275" t="n">
        <f aca="false">IF(CF6=①통합_가정!$E$24,2,IF(AND(CF14=1,CF6&lt;①통합_가정!$E$22),1,0))</f>
        <v>1</v>
      </c>
      <c r="CG155" s="275" t="n">
        <f aca="false">IF(CG6=①통합_가정!$E$24,2,IF(AND(CG14=1,CG6&lt;①통합_가정!$E$22),1,0))</f>
        <v>1</v>
      </c>
      <c r="CH155" s="275" t="n">
        <f aca="false">IF(CH6=①통합_가정!$E$24,2,IF(AND(CH14=1,CH6&lt;①통합_가정!$E$22),1,0))</f>
        <v>1</v>
      </c>
      <c r="CI155" s="275" t="n">
        <f aca="false">IF(CI6=①통합_가정!$E$24,2,IF(AND(CI14=1,CI6&lt;①통합_가정!$E$22),1,0))</f>
        <v>1</v>
      </c>
      <c r="CJ155" s="275" t="n">
        <f aca="false">IF(CJ6=①통합_가정!$E$24,2,IF(AND(CJ14=1,CJ6&lt;①통합_가정!$E$22),1,0))</f>
        <v>1</v>
      </c>
      <c r="CK155" s="275" t="n">
        <f aca="false">IF(CK6=①통합_가정!$E$24,2,IF(AND(CK14=1,CK6&lt;①통합_가정!$E$22),1,0))</f>
        <v>1</v>
      </c>
      <c r="CL155" s="275" t="n">
        <f aca="false">IF(CL6=①통합_가정!$E$24,2,IF(AND(CL14=1,CL6&lt;①통합_가정!$E$22),1,0))</f>
        <v>1</v>
      </c>
      <c r="CM155" s="275" t="n">
        <f aca="false">IF(CM6=①통합_가정!$E$24,2,IF(AND(CM14=1,CM6&lt;①통합_가정!$E$22),1,0))</f>
        <v>1</v>
      </c>
      <c r="CN155" s="275" t="n">
        <f aca="false">IF(CN6=①통합_가정!$E$24,2,IF(AND(CN14=1,CN6&lt;①통합_가정!$E$22),1,0))</f>
        <v>1</v>
      </c>
      <c r="CO155" s="275" t="n">
        <f aca="false">IF(CO6=①통합_가정!$E$24,2,IF(AND(CO14=1,CO6&lt;①통합_가정!$E$22),1,0))</f>
        <v>1</v>
      </c>
      <c r="CP155" s="275" t="n">
        <f aca="false">IF(CP6=①통합_가정!$E$24,2,IF(AND(CP14=1,CP6&lt;①통합_가정!$E$22),1,0))</f>
        <v>1</v>
      </c>
      <c r="CQ155" s="275" t="n">
        <f aca="false">IF(CQ6=①통합_가정!$E$24,2,IF(AND(CQ14=1,CQ6&lt;①통합_가정!$E$22),1,0))</f>
        <v>1</v>
      </c>
      <c r="CR155" s="275" t="n">
        <f aca="false">IF(CR6=①통합_가정!$E$24,2,IF(AND(CR14=1,CR6&lt;①통합_가정!$E$22),1,0))</f>
        <v>1</v>
      </c>
      <c r="CS155" s="275" t="n">
        <f aca="false">IF(CS6=①통합_가정!$E$24,2,IF(AND(CS14=1,CS6&lt;①통합_가정!$E$22),1,0))</f>
        <v>1</v>
      </c>
      <c r="CT155" s="275" t="n">
        <f aca="false">IF(CT6=①통합_가정!$E$24,2,IF(AND(CT14=1,CT6&lt;①통합_가정!$E$22),1,0))</f>
        <v>1</v>
      </c>
      <c r="CU155" s="275" t="n">
        <f aca="false">IF(CU6=①통합_가정!$E$24,2,IF(AND(CU14=1,CU6&lt;①통합_가정!$E$22),1,0))</f>
        <v>1</v>
      </c>
      <c r="CV155" s="275" t="n">
        <f aca="false">IF(CV6=①통합_가정!$E$24,2,IF(AND(CV14=1,CV6&lt;①통합_가정!$E$22),1,0))</f>
        <v>1</v>
      </c>
      <c r="CW155" s="275" t="n">
        <f aca="false">IF(CW6=①통합_가정!$E$24,2,IF(AND(CW14=1,CW6&lt;①통합_가정!$E$22),1,0))</f>
        <v>1</v>
      </c>
      <c r="CX155" s="275" t="n">
        <f aca="false">IF(CX6=①통합_가정!$E$24,2,IF(AND(CX14=1,CX6&lt;①통합_가정!$E$22),1,0))</f>
        <v>1</v>
      </c>
      <c r="CY155" s="275" t="n">
        <f aca="false">IF(CY6=①통합_가정!$E$24,2,IF(AND(CY14=1,CY6&lt;①통합_가정!$E$22),1,0))</f>
        <v>1</v>
      </c>
      <c r="CZ155" s="275" t="n">
        <f aca="false">IF(CZ6=①통합_가정!$E$24,2,IF(AND(CZ14=1,CZ6&lt;①통합_가정!$E$22),1,0))</f>
        <v>1</v>
      </c>
      <c r="DA155" s="275" t="n">
        <f aca="false">IF(DA6=①통합_가정!$E$24,2,IF(AND(DA14=1,DA6&lt;①통합_가정!$E$22),1,0))</f>
        <v>1</v>
      </c>
      <c r="DB155" s="275" t="n">
        <f aca="false">IF(DB6=①통합_가정!$E$24,2,IF(AND(DB14=1,DB6&lt;①통합_가정!$E$22),1,0))</f>
        <v>1</v>
      </c>
      <c r="DC155" s="275" t="n">
        <f aca="false">IF(DC6=①통합_가정!$E$24,2,IF(AND(DC14=1,DC6&lt;①통합_가정!$E$22),1,0))</f>
        <v>1</v>
      </c>
      <c r="DD155" s="275" t="n">
        <f aca="false">IF(DD6=①통합_가정!$E$24,2,IF(AND(DD14=1,DD6&lt;①통합_가정!$E$22),1,0))</f>
        <v>1</v>
      </c>
      <c r="DE155" s="275" t="n">
        <f aca="false">IF(DE6=①통합_가정!$E$24,2,IF(AND(DE14=1,DE6&lt;①통합_가정!$E$22),1,0))</f>
        <v>1</v>
      </c>
      <c r="DF155" s="275" t="n">
        <f aca="false">IF(DF6=①통합_가정!$E$24,2,IF(AND(DF14=1,DF6&lt;①통합_가정!$E$22),1,0))</f>
        <v>1</v>
      </c>
      <c r="DG155" s="275" t="n">
        <f aca="false">IF(DG6=①통합_가정!$E$24,2,IF(AND(DG14=1,DG6&lt;①통합_가정!$E$22),1,0))</f>
        <v>1</v>
      </c>
      <c r="DH155" s="275" t="n">
        <f aca="false">IF(DH6=①통합_가정!$E$24,2,IF(AND(DH14=1,DH6&lt;①통합_가정!$E$22),1,0))</f>
        <v>1</v>
      </c>
      <c r="DI155" s="275" t="n">
        <f aca="false">IF(DI6=①통합_가정!$E$24,2,IF(AND(DI14=1,DI6&lt;①통합_가정!$E$22),1,0))</f>
        <v>1</v>
      </c>
      <c r="DJ155" s="275" t="n">
        <f aca="false">IF(DJ6=①통합_가정!$E$24,2,IF(AND(DJ14=1,DJ6&lt;①통합_가정!$E$22),1,0))</f>
        <v>1</v>
      </c>
      <c r="DK155" s="275" t="n">
        <f aca="false">IF(DK6=①통합_가정!$E$24,2,IF(AND(DK14=1,DK6&lt;①통합_가정!$E$22),1,0))</f>
        <v>1</v>
      </c>
      <c r="DL155" s="275" t="n">
        <f aca="false">IF(DL6=①통합_가정!$E$24,2,IF(AND(DL14=1,DL6&lt;①통합_가정!$E$22),1,0))</f>
        <v>1</v>
      </c>
      <c r="DM155" s="275" t="n">
        <f aca="false">IF(DM6=①통합_가정!$E$24,2,IF(AND(DM14=1,DM6&lt;①통합_가정!$E$22),1,0))</f>
        <v>1</v>
      </c>
      <c r="DN155" s="275" t="n">
        <f aca="false">IF(DN6=①통합_가정!$E$24,2,IF(AND(DN14=1,DN6&lt;①통합_가정!$E$22),1,0))</f>
        <v>1</v>
      </c>
      <c r="DO155" s="275" t="n">
        <f aca="false">IF(DO6=①통합_가정!$E$24,2,IF(AND(DO14=1,DO6&lt;①통합_가정!$E$22),1,0))</f>
        <v>1</v>
      </c>
      <c r="DP155" s="275" t="n">
        <f aca="false">IF(DP6=①통합_가정!$E$24,2,IF(AND(DP14=1,DP6&lt;①통합_가정!$E$22),1,0))</f>
        <v>1</v>
      </c>
      <c r="DQ155" s="275" t="n">
        <f aca="false">IF(DQ6=①통합_가정!$E$24,2,IF(AND(DQ14=1,DQ6&lt;①통합_가정!$E$22),1,0))</f>
        <v>1</v>
      </c>
      <c r="DR155" s="275" t="n">
        <f aca="false">IF(DR6=①통합_가정!$E$24,2,IF(AND(DR14=1,DR6&lt;①통합_가정!$E$22),1,0))</f>
        <v>1</v>
      </c>
      <c r="DS155" s="275" t="n">
        <f aca="false">IF(DS6=①통합_가정!$E$24,2,IF(AND(DS14=1,DS6&lt;①통합_가정!$E$22),1,0))</f>
        <v>1</v>
      </c>
      <c r="DT155" s="275" t="n">
        <f aca="false">IF(DT6=①통합_가정!$E$24,2,IF(AND(DT14=1,DT6&lt;①통합_가정!$E$22),1,0))</f>
        <v>0</v>
      </c>
      <c r="DU155" s="275" t="n">
        <f aca="false">IF(DU6=①통합_가정!$E$24,2,IF(AND(DU14=1,DU6&lt;①통합_가정!$E$22),1,0))</f>
        <v>0</v>
      </c>
      <c r="DV155" s="275" t="n">
        <f aca="false">IF(DV6=①통합_가정!$E$24,2,IF(AND(DV14=1,DV6&lt;①통합_가정!$E$22),1,0))</f>
        <v>0</v>
      </c>
      <c r="DW155" s="275" t="n">
        <f aca="false">IF(DW6=①통합_가정!$E$24,2,IF(AND(DW14=1,DW6&lt;①통합_가정!$E$22),1,0))</f>
        <v>2</v>
      </c>
      <c r="DX155" s="275" t="n">
        <f aca="false">IF(DX6=①통합_가정!$E$24,2,IF(AND(DX14=1,DX6&lt;①통합_가정!$E$22),1,0))</f>
        <v>0</v>
      </c>
      <c r="DY155" s="275" t="n">
        <f aca="false">IF(DY6=①통합_가정!$E$24,2,IF(AND(DY14=1,DY6&lt;①통합_가정!$E$22),1,0))</f>
        <v>0</v>
      </c>
      <c r="DZ155" s="275" t="n">
        <f aca="false">IF(DZ6=①통합_가정!$E$24,2,IF(AND(DZ14=1,DZ6&lt;①통합_가정!$E$22),1,0))</f>
        <v>0</v>
      </c>
      <c r="EA155" s="275" t="n">
        <f aca="false">IF(EA6=①통합_가정!$E$24,2,IF(AND(EA14=1,EA6&lt;①통합_가정!$E$22),1,0))</f>
        <v>0</v>
      </c>
      <c r="EB155" s="275" t="n">
        <f aca="false">IF(EB6=①통합_가정!$E$24,2,IF(AND(EB14=1,EB6&lt;①통합_가정!$E$22),1,0))</f>
        <v>0</v>
      </c>
      <c r="EC155" s="275" t="n">
        <f aca="false">IF(EC6=①통합_가정!$E$24,2,IF(AND(EC14=1,EC6&lt;①통합_가정!$E$22),1,0))</f>
        <v>0</v>
      </c>
      <c r="ED155" s="275" t="n">
        <f aca="false">IF(ED6=①통합_가정!$E$24,2,IF(AND(ED14=1,ED6&lt;①통합_가정!$E$22),1,0))</f>
        <v>0</v>
      </c>
      <c r="EE155" s="275" t="n">
        <f aca="false">IF(EE6=①통합_가정!$E$24,2,IF(AND(EE14=1,EE6&lt;①통합_가정!$E$22),1,0))</f>
        <v>0</v>
      </c>
      <c r="EF155" s="275" t="n">
        <f aca="false">IF(EF6=①통합_가정!$E$24,2,IF(AND(EF14=1,EF6&lt;①통합_가정!$E$22),1,0))</f>
        <v>0</v>
      </c>
    </row>
    <row r="156" customFormat="false" ht="15" hidden="false" customHeight="false" outlineLevel="0" collapsed="false">
      <c r="A156" s="36" t="s">
        <v>686</v>
      </c>
      <c r="B156" s="278" t="s">
        <v>21</v>
      </c>
      <c r="C156" s="279" t="n">
        <f aca="false">SUM(E156:EF156)</f>
        <v>128817.893773891</v>
      </c>
      <c r="E156" s="37" t="n">
        <f aca="false">E75+E149-E129-E135</f>
        <v>0</v>
      </c>
      <c r="F156" s="37" t="n">
        <f aca="false">F75+F149-F129-F135</f>
        <v>34.4547292431428</v>
      </c>
      <c r="G156" s="37" t="n">
        <f aca="false">G75+G149-G129-G135</f>
        <v>34.3084673338361</v>
      </c>
      <c r="H156" s="37" t="n">
        <f aca="false">H75+H149-H129-H135</f>
        <v>34.1618397697562</v>
      </c>
      <c r="I156" s="37" t="n">
        <f aca="false">I75+I149-I129-I135</f>
        <v>6.51484563676607</v>
      </c>
      <c r="J156" s="37" t="n">
        <f aca="false">J75+J149-J129-J135</f>
        <v>6.29873401844347</v>
      </c>
      <c r="K156" s="37" t="n">
        <f aca="false">K75+K149-K129-K135</f>
        <v>6.08208212107507</v>
      </c>
      <c r="L156" s="37" t="n">
        <f aca="false">L75+L149-L129-L135</f>
        <v>5.86488859396324</v>
      </c>
      <c r="M156" s="37" t="n">
        <f aca="false">M75+M149-M129-M135</f>
        <v>5.64715208303364</v>
      </c>
      <c r="N156" s="37" t="n">
        <f aca="false">N75+N149-N129-N135</f>
        <v>5.42887123082671</v>
      </c>
      <c r="O156" s="37" t="n">
        <f aca="false">O75+O149-O129-O135</f>
        <v>5.21004467648926</v>
      </c>
      <c r="P156" s="37" t="n">
        <f aca="false">P75+P149-P129-P135</f>
        <v>4.99067105576597</v>
      </c>
      <c r="Q156" s="37" t="n">
        <f aca="false">Q75+Q149-Q129-Q135</f>
        <v>4.77074900099087</v>
      </c>
      <c r="R156" s="37" t="n">
        <f aca="false">R75+R149-R129-R135</f>
        <v>174.700677141079</v>
      </c>
      <c r="S156" s="37" t="n">
        <f aca="false">S75+S149-S129-S135</f>
        <v>174.905030101517</v>
      </c>
      <c r="T156" s="37" t="n">
        <f aca="false">T75+T149-T129-T135</f>
        <v>175.109893944356</v>
      </c>
      <c r="U156" s="37" t="n">
        <f aca="false">U75+U149-U129-U135</f>
        <v>175.315269946803</v>
      </c>
      <c r="V156" s="37" t="n">
        <f aca="false">V75+V149-V129-V135</f>
        <v>175.521159389255</v>
      </c>
      <c r="W156" s="37" t="n">
        <f aca="false">W75+W149-W129-W135</f>
        <v>175.727563555314</v>
      </c>
      <c r="X156" s="37" t="n">
        <f aca="false">X75+X149-X129-X135</f>
        <v>253.895621300219</v>
      </c>
      <c r="Y156" s="37" t="n">
        <f aca="false">Y75+Y149-Y129-Y135</f>
        <v>240.157043190778</v>
      </c>
      <c r="Z156" s="37" t="n">
        <f aca="false">Z75+Z149-Z129-Z135</f>
        <v>219.257402685529</v>
      </c>
      <c r="AA156" s="37" t="n">
        <f aca="false">AA75+AA149-AA129-AA135</f>
        <v>191.278998413317</v>
      </c>
      <c r="AB156" s="37" t="n">
        <f aca="false">AB75+AB149-AB129-AB135</f>
        <v>156.343629869787</v>
      </c>
      <c r="AC156" s="37" t="n">
        <f aca="false">AC75+AC149-AC129-AC135</f>
        <v>114.611916049072</v>
      </c>
      <c r="AD156" s="37" t="n">
        <f aca="false">AD75+AD149-AD129-AD135</f>
        <v>406.583196980553</v>
      </c>
      <c r="AE156" s="37" t="n">
        <f aca="false">AE75+AE149-AE129-AE135</f>
        <v>352.741975195271</v>
      </c>
      <c r="AF156" s="37" t="n">
        <f aca="false">AF75+AF149-AF129-AF135</f>
        <v>292.811270212531</v>
      </c>
      <c r="AG156" s="37" t="n">
        <f aca="false">AG75+AG149-AG129-AG135</f>
        <v>227.095911205723</v>
      </c>
      <c r="AH156" s="37" t="n">
        <f aca="false">AH75+AH149-AH129-AH135</f>
        <v>155.933001660914</v>
      </c>
      <c r="AI156" s="37" t="n">
        <f aca="false">AI75+AI149-AI129-AI135</f>
        <v>79.6900339678661</v>
      </c>
      <c r="AJ156" s="37" t="n">
        <f aca="false">AJ75+AJ149-AJ129-AJ135</f>
        <v>1.25</v>
      </c>
      <c r="AK156" s="37" t="n">
        <f aca="false">AK75+AK149-AK129-AK135</f>
        <v>1.25</v>
      </c>
      <c r="AL156" s="37" t="n">
        <f aca="false">AL75+AL149-AL129-AL135</f>
        <v>1.25</v>
      </c>
      <c r="AM156" s="37" t="n">
        <f aca="false">AM75+AM149-AM129-AM135</f>
        <v>1.25</v>
      </c>
      <c r="AN156" s="37" t="n">
        <f aca="false">AN75+AN149-AN129-AN135</f>
        <v>1.25</v>
      </c>
      <c r="AO156" s="37" t="n">
        <f aca="false">AO75+AO149-AO129-AO135</f>
        <v>1.25</v>
      </c>
      <c r="AP156" s="37" t="n">
        <f aca="false">AP75+AP149-AP129-AP135</f>
        <v>240.12287134059</v>
      </c>
      <c r="AQ156" s="37" t="n">
        <f aca="false">AQ75+AQ149-AQ129-AQ135</f>
        <v>138.217945265316</v>
      </c>
      <c r="AR156" s="37" t="n">
        <f aca="false">AR75+AR149-AR129-AR135</f>
        <v>35.5196610545959</v>
      </c>
      <c r="AS156" s="37" t="n">
        <f aca="false">AS75+AS149-AS129-AS135</f>
        <v>1.25</v>
      </c>
      <c r="AT156" s="37" t="n">
        <f aca="false">AT75+AT149-AT129-AT135</f>
        <v>1.25</v>
      </c>
      <c r="AU156" s="37" t="n">
        <f aca="false">AU75+AU149-AU129-AU135</f>
        <v>1.25</v>
      </c>
      <c r="AV156" s="37" t="n">
        <f aca="false">AV75+AV149-AV129-AV135</f>
        <v>1.25</v>
      </c>
      <c r="AW156" s="37" t="n">
        <f aca="false">AW75+AW149-AW129-AW135</f>
        <v>1.25</v>
      </c>
      <c r="AX156" s="37" t="n">
        <f aca="false">AX75+AX149-AX129-AX135</f>
        <v>1.25</v>
      </c>
      <c r="AY156" s="37" t="n">
        <f aca="false">AY75+AY149-AY129-AY135</f>
        <v>1.25</v>
      </c>
      <c r="AZ156" s="37" t="n">
        <f aca="false">AZ75+AZ149-AZ129-AZ135</f>
        <v>1.25</v>
      </c>
      <c r="BA156" s="37" t="n">
        <f aca="false">BA75+BA149-BA129-BA135</f>
        <v>1.25</v>
      </c>
      <c r="BB156" s="37" t="n">
        <f aca="false">BB75+BB149-BB129-BB135</f>
        <v>257.291022992536</v>
      </c>
      <c r="BC156" s="37" t="n">
        <f aca="false">BC75+BC149-BC129-BC135</f>
        <v>178.57349941693</v>
      </c>
      <c r="BD156" s="37" t="n">
        <f aca="false">BD75+BD149-BD129-BD135</f>
        <v>104.94244417287</v>
      </c>
      <c r="BE156" s="37" t="n">
        <f aca="false">BE75+BE149-BE129-BE135</f>
        <v>36.7621385523109</v>
      </c>
      <c r="BF156" s="37" t="n">
        <f aca="false">BF75+BF149-BF129-BF135</f>
        <v>1.25</v>
      </c>
      <c r="BG156" s="37" t="n">
        <f aca="false">BG75+BG149-BG129-BG135</f>
        <v>1.25</v>
      </c>
      <c r="BH156" s="37" t="n">
        <f aca="false">BH75+BH149-BH129-BH135</f>
        <v>1.25</v>
      </c>
      <c r="BI156" s="37" t="n">
        <f aca="false">BI75+BI149-BI129-BI135</f>
        <v>1.25</v>
      </c>
      <c r="BJ156" s="37" t="n">
        <f aca="false">BJ75+BJ149-BJ129-BJ135</f>
        <v>1.25</v>
      </c>
      <c r="BK156" s="37" t="n">
        <f aca="false">BK75+BK149-BK129-BK135</f>
        <v>1.25</v>
      </c>
      <c r="BL156" s="37" t="n">
        <f aca="false">BL75+BL149-BL129-BL135</f>
        <v>1.25</v>
      </c>
      <c r="BM156" s="37" t="n">
        <f aca="false">BM75+BM149-BM129-BM135</f>
        <v>529.850029341023</v>
      </c>
      <c r="BN156" s="37" t="n">
        <f aca="false">BN75+BN149-BN129-BN135</f>
        <v>880.111144401356</v>
      </c>
      <c r="BO156" s="37" t="n">
        <f aca="false">BO75+BO149-BO129-BO135</f>
        <v>962.352816717327</v>
      </c>
      <c r="BP156" s="37" t="n">
        <f aca="false">BP75+BP149-BP129-BP135</f>
        <v>880.111144401356</v>
      </c>
      <c r="BQ156" s="37" t="n">
        <f aca="false">BQ75+BQ149-BQ129-BQ135</f>
        <v>962.352816717327</v>
      </c>
      <c r="BR156" s="37" t="n">
        <f aca="false">BR75+BR149-BR129-BR135</f>
        <v>962.352816717327</v>
      </c>
      <c r="BS156" s="37" t="n">
        <f aca="false">BS75+BS149-BS129-BS135</f>
        <v>880.111144401356</v>
      </c>
      <c r="BT156" s="37" t="n">
        <f aca="false">BT75+BT149-BT129-BT135</f>
        <v>962.352816717327</v>
      </c>
      <c r="BU156" s="37" t="n">
        <f aca="false">BU75+BU149-BU129-BU135</f>
        <v>880.111144401356</v>
      </c>
      <c r="BV156" s="37" t="n">
        <f aca="false">BV75+BV149-BV129-BV135</f>
        <v>962.352816717326</v>
      </c>
      <c r="BW156" s="37" t="n">
        <f aca="false">BW75+BW149-BW129-BW135</f>
        <v>962.352816717326</v>
      </c>
      <c r="BX156" s="37" t="n">
        <f aca="false">BX75+BX149-BX129-BX135</f>
        <v>797.869472085384</v>
      </c>
      <c r="BY156" s="37" t="n">
        <f aca="false">BY75+BY149-BY129-BY135</f>
        <v>1958.19168665778</v>
      </c>
      <c r="BZ156" s="37" t="n">
        <f aca="false">BZ75+BZ149-BZ129-BZ135</f>
        <v>2266.29836462436</v>
      </c>
      <c r="CA156" s="37" t="n">
        <f aca="false">CA75+CA149-CA129-CA135</f>
        <v>2363.09048665778</v>
      </c>
      <c r="CB156" s="37" t="n">
        <f aca="false">CB75+CB149-CB129-CB135</f>
        <v>2266.29836462436</v>
      </c>
      <c r="CC156" s="37" t="n">
        <f aca="false">CC75+CC149-CC129-CC135</f>
        <v>2363.09048665778</v>
      </c>
      <c r="CD156" s="37" t="n">
        <f aca="false">CD75+CD149-CD129-CD135</f>
        <v>2363.09048665778</v>
      </c>
      <c r="CE156" s="37" t="n">
        <f aca="false">CE75+CE149-CE129-CE135</f>
        <v>2266.29836462436</v>
      </c>
      <c r="CF156" s="37" t="n">
        <f aca="false">CF75+CF149-CF129-CF135</f>
        <v>2363.09048665778</v>
      </c>
      <c r="CG156" s="37" t="n">
        <f aca="false">CG75+CG149-CG129-CG135</f>
        <v>2266.29836462436</v>
      </c>
      <c r="CH156" s="37" t="n">
        <f aca="false">CH75+CH149-CH129-CH135</f>
        <v>2363.09048665778</v>
      </c>
      <c r="CI156" s="37" t="n">
        <f aca="false">CI75+CI149-CI129-CI135</f>
        <v>2363.09048665778</v>
      </c>
      <c r="CJ156" s="37" t="n">
        <f aca="false">CJ75+CJ149-CJ129-CJ135</f>
        <v>2072.71412055753</v>
      </c>
      <c r="CK156" s="37" t="n">
        <f aca="false">CK75+CK149-CK129-CK135</f>
        <v>2460.68346648974</v>
      </c>
      <c r="CL156" s="37" t="n">
        <f aca="false">CL75+CL149-CL129-CL135</f>
        <v>2391.10550201566</v>
      </c>
      <c r="CM156" s="37" t="n">
        <f aca="false">CM75+CM149-CM129-CM135</f>
        <v>2489.83346648974</v>
      </c>
      <c r="CN156" s="37" t="n">
        <f aca="false">CN75+CN149-CN129-CN135</f>
        <v>2391.10550201566</v>
      </c>
      <c r="CO156" s="37" t="n">
        <f aca="false">CO75+CO149-CO129-CO135</f>
        <v>2489.83346648974</v>
      </c>
      <c r="CP156" s="37" t="n">
        <f aca="false">CP75+CP149-CP129-CP135</f>
        <v>2489.83346648974</v>
      </c>
      <c r="CQ156" s="37" t="n">
        <f aca="false">CQ75+CQ149-CQ129-CQ135</f>
        <v>2391.10550201566</v>
      </c>
      <c r="CR156" s="37" t="n">
        <f aca="false">CR75+CR149-CR129-CR135</f>
        <v>2489.83346648974</v>
      </c>
      <c r="CS156" s="37" t="n">
        <f aca="false">CS75+CS149-CS129-CS135</f>
        <v>2391.10550201566</v>
      </c>
      <c r="CT156" s="37" t="n">
        <f aca="false">CT75+CT149-CT129-CT135</f>
        <v>2489.83346648974</v>
      </c>
      <c r="CU156" s="37" t="n">
        <f aca="false">CU75+CU149-CU129-CU135</f>
        <v>2489.83346648974</v>
      </c>
      <c r="CV156" s="37" t="n">
        <f aca="false">CV75+CV149-CV129-CV135</f>
        <v>2193.64957306749</v>
      </c>
      <c r="CW156" s="37" t="n">
        <f aca="false">CW75+CW149-CW129-CW135</f>
        <v>2589.37830591834</v>
      </c>
      <c r="CX156" s="37" t="n">
        <f aca="false">CX75+CX149-CX129-CX135</f>
        <v>2488.67578215478</v>
      </c>
      <c r="CY156" s="37" t="n">
        <f aca="false">CY75+CY149-CY129-CY135</f>
        <v>2589.37830591834</v>
      </c>
      <c r="CZ156" s="37" t="n">
        <f aca="false">CZ75+CZ149-CZ129-CZ135</f>
        <v>2488.67578215478</v>
      </c>
      <c r="DA156" s="37" t="n">
        <f aca="false">DA75+DA149-DA129-DA135</f>
        <v>2589.37830591834</v>
      </c>
      <c r="DB156" s="37" t="n">
        <f aca="false">DB75+DB149-DB129-DB135</f>
        <v>2589.37830591834</v>
      </c>
      <c r="DC156" s="37" t="n">
        <f aca="false">DC75+DC149-DC129-DC135</f>
        <v>2488.67578215478</v>
      </c>
      <c r="DD156" s="37" t="n">
        <f aca="false">DD75+DD149-DD129-DD135</f>
        <v>2589.37830591834</v>
      </c>
      <c r="DE156" s="37" t="n">
        <f aca="false">DE75+DE149-DE129-DE135</f>
        <v>2488.67578215478</v>
      </c>
      <c r="DF156" s="37" t="n">
        <f aca="false">DF75+DF149-DF129-DF135</f>
        <v>2589.37830591834</v>
      </c>
      <c r="DG156" s="37" t="n">
        <f aca="false">DG75+DG149-DG129-DG135</f>
        <v>2589.37830591834</v>
      </c>
      <c r="DH156" s="37" t="n">
        <f aca="false">DH75+DH149-DH129-DH135</f>
        <v>2287.27073462765</v>
      </c>
      <c r="DI156" s="37" t="n">
        <f aca="false">DI75+DI149-DI129-DI135</f>
        <v>2690.91404213551</v>
      </c>
      <c r="DJ156" s="37" t="n">
        <f aca="false">DJ75+DJ149-DJ129-DJ135</f>
        <v>2588.19746789668</v>
      </c>
      <c r="DK156" s="37" t="n">
        <f aca="false">DK75+DK149-DK129-DK135</f>
        <v>2690.91404213551</v>
      </c>
      <c r="DL156" s="37" t="n">
        <f aca="false">DL75+DL149-DL129-DL135</f>
        <v>2588.19746789668</v>
      </c>
      <c r="DM156" s="37" t="n">
        <f aca="false">DM75+DM149-DM129-DM135</f>
        <v>2690.91404213551</v>
      </c>
      <c r="DN156" s="37" t="n">
        <f aca="false">DN75+DN149-DN129-DN135</f>
        <v>2690.91404213551</v>
      </c>
      <c r="DO156" s="37" t="n">
        <f aca="false">DO75+DO149-DO129-DO135</f>
        <v>2588.19746789668</v>
      </c>
      <c r="DP156" s="37" t="n">
        <f aca="false">DP75+DP149-DP129-DP135</f>
        <v>2690.91404213551</v>
      </c>
      <c r="DQ156" s="37" t="n">
        <f aca="false">DQ75+DQ149-DQ129-DQ135</f>
        <v>2588.19746789668</v>
      </c>
      <c r="DR156" s="37" t="n">
        <f aca="false">DR75+DR149-DR129-DR135</f>
        <v>2690.91404213551</v>
      </c>
      <c r="DS156" s="37" t="n">
        <f aca="false">DS75+DS149-DS129-DS135</f>
        <v>2690.91404213551</v>
      </c>
      <c r="DT156" s="37" t="n">
        <f aca="false">DT75+DT149-DT129-DT135</f>
        <v>-6892.21728424621</v>
      </c>
      <c r="DU156" s="37" t="n">
        <f aca="false">DU75+DU149-DU129-DU135</f>
        <v>1391.27877889011</v>
      </c>
      <c r="DV156" s="37" t="n">
        <f aca="false">DV75+DV149-DV129-DV135</f>
        <v>1394.75697583733</v>
      </c>
      <c r="DW156" s="37" t="n">
        <f aca="false">DW75+DW149-DW129-DW135</f>
        <v>1398.24386827693</v>
      </c>
      <c r="DX156" s="37" t="n">
        <f aca="false">DX75+DX149-DX129-DX135</f>
        <v>0</v>
      </c>
      <c r="DY156" s="37" t="n">
        <f aca="false">DY75+DY149-DY129-DY135</f>
        <v>0</v>
      </c>
      <c r="DZ156" s="37" t="n">
        <f aca="false">DZ75+DZ149-DZ129-DZ135</f>
        <v>0</v>
      </c>
      <c r="EA156" s="37" t="n">
        <f aca="false">EA75+EA149-EA129-EA135</f>
        <v>0</v>
      </c>
      <c r="EB156" s="37" t="n">
        <f aca="false">EB75+EB149-EB129-EB135</f>
        <v>0</v>
      </c>
      <c r="EC156" s="37" t="n">
        <f aca="false">EC75+EC149-EC129-EC135</f>
        <v>0</v>
      </c>
      <c r="ED156" s="37" t="n">
        <f aca="false">ED75+ED149-ED129-ED135</f>
        <v>0</v>
      </c>
      <c r="EE156" s="37" t="n">
        <f aca="false">EE75+EE149-EE129-EE135</f>
        <v>0</v>
      </c>
      <c r="EF156" s="37" t="n">
        <f aca="false">EF75+EF149-EF129-EF135</f>
        <v>0</v>
      </c>
    </row>
    <row r="157" customFormat="false" ht="15" hidden="false" customHeight="false" outlineLevel="0" collapsed="false">
      <c r="A157" s="36" t="s">
        <v>687</v>
      </c>
      <c r="B157" s="278" t="s">
        <v>21</v>
      </c>
      <c r="E157" s="37" t="n">
        <f aca="false">0+E156-IF(E155=1,E158,0)</f>
        <v>0</v>
      </c>
      <c r="F157" s="37" t="n">
        <f aca="false">E157+F156-IF(F155=1,F158,0)</f>
        <v>34.4547292431428</v>
      </c>
      <c r="G157" s="37" t="n">
        <f aca="false">F157+G156-IF(G155=1,G158,0)</f>
        <v>68.7631965769789</v>
      </c>
      <c r="H157" s="37" t="n">
        <f aca="false">G157+H156-IF(H155=1,H158,0)</f>
        <v>102.925036346735</v>
      </c>
      <c r="I157" s="37" t="n">
        <f aca="false">H157+I156-IF(I155=1,I158,0)</f>
        <v>109.439881983501</v>
      </c>
      <c r="J157" s="37" t="n">
        <f aca="false">I157+J156-IF(J155=1,J158,0)</f>
        <v>115.738616001945</v>
      </c>
      <c r="K157" s="37" t="n">
        <f aca="false">J157+K156-IF(K155=1,K158,0)</f>
        <v>121.82069812302</v>
      </c>
      <c r="L157" s="37" t="n">
        <f aca="false">K157+L156-IF(L155=1,L158,0)</f>
        <v>127.685586716983</v>
      </c>
      <c r="M157" s="37" t="n">
        <f aca="false">L157+M156-IF(M155=1,M158,0)</f>
        <v>133.332738800017</v>
      </c>
      <c r="N157" s="37" t="n">
        <f aca="false">M157+N156-IF(N155=1,N158,0)</f>
        <v>138.761610030843</v>
      </c>
      <c r="O157" s="37" t="n">
        <f aca="false">N157+O156-IF(O155=1,O158,0)</f>
        <v>143.971654707333</v>
      </c>
      <c r="P157" s="37" t="n">
        <f aca="false">O157+P156-IF(P155=1,P158,0)</f>
        <v>148.962325763099</v>
      </c>
      <c r="Q157" s="37" t="n">
        <f aca="false">P157+Q156-IF(Q155=1,Q158,0)</f>
        <v>153.733074764089</v>
      </c>
      <c r="R157" s="37" t="n">
        <f aca="false">Q157+R156-IF(R155=1,R158,0)</f>
        <v>328.433751905168</v>
      </c>
      <c r="S157" s="37" t="n">
        <f aca="false">R157+S156-IF(S155=1,S158,0)</f>
        <v>503.338782006685</v>
      </c>
      <c r="T157" s="37" t="n">
        <f aca="false">S157+T156-IF(T155=1,T158,0)</f>
        <v>678.448675951042</v>
      </c>
      <c r="U157" s="37" t="n">
        <f aca="false">T157+U156-IF(U155=1,U158,0)</f>
        <v>853.763945897844</v>
      </c>
      <c r="V157" s="37" t="n">
        <f aca="false">U157+V156-IF(V155=1,V158,0)</f>
        <v>1029.2851052871</v>
      </c>
      <c r="W157" s="37" t="n">
        <f aca="false">V157+W156-IF(W155=1,W158,0)</f>
        <v>1205.01266884241</v>
      </c>
      <c r="X157" s="37" t="n">
        <f aca="false">W157+X156-IF(X155=1,X158,0)</f>
        <v>1458.90829014263</v>
      </c>
      <c r="Y157" s="37" t="n">
        <f aca="false">X157+Y156-IF(Y155=1,Y158,0)</f>
        <v>1699.06533333341</v>
      </c>
      <c r="Z157" s="37" t="n">
        <f aca="false">Y157+Z156-IF(Z155=1,Z158,0)</f>
        <v>1918.32273601894</v>
      </c>
      <c r="AA157" s="37" t="n">
        <f aca="false">Z157+AA156-IF(AA155=1,AA158,0)</f>
        <v>2109.60173443226</v>
      </c>
      <c r="AB157" s="37" t="n">
        <f aca="false">AA157+AB156-IF(AB155=1,AB158,0)</f>
        <v>2265.94536430204</v>
      </c>
      <c r="AC157" s="37" t="n">
        <f aca="false">AB157+AC156-IF(AC155=1,AC158,0)</f>
        <v>2380.55728035111</v>
      </c>
      <c r="AD157" s="37" t="n">
        <f aca="false">AC157+AD156-IF(AD155=1,AD158,0)</f>
        <v>2787.14047733167</v>
      </c>
      <c r="AE157" s="37" t="n">
        <f aca="false">AD157+AE156-IF(AE155=1,AE158,0)</f>
        <v>3139.88245252694</v>
      </c>
      <c r="AF157" s="37" t="n">
        <f aca="false">AE157+AF156-IF(AF155=1,AF158,0)</f>
        <v>3432.69372273947</v>
      </c>
      <c r="AG157" s="37" t="n">
        <f aca="false">AF157+AG156-IF(AG155=1,AG158,0)</f>
        <v>3659.78963394519</v>
      </c>
      <c r="AH157" s="37" t="n">
        <f aca="false">AG157+AH156-IF(AH155=1,AH158,0)</f>
        <v>3815.72263560611</v>
      </c>
      <c r="AI157" s="37" t="n">
        <f aca="false">AH157+AI156-IF(AI155=1,AI158,0)</f>
        <v>3895.41266957397</v>
      </c>
      <c r="AJ157" s="37" t="n">
        <f aca="false">AI157+AJ156-IF(AJ155=1,AJ158,0)</f>
        <v>3896.66266957397</v>
      </c>
      <c r="AK157" s="37" t="n">
        <f aca="false">AJ157+AK156-IF(AK155=1,AK158,0)</f>
        <v>3897.91266957397</v>
      </c>
      <c r="AL157" s="37" t="n">
        <f aca="false">AK157+AL156-IF(AL155=1,AL158,0)</f>
        <v>3899.16266957397</v>
      </c>
      <c r="AM157" s="37" t="n">
        <f aca="false">AL157+AM156-IF(AM155=1,AM158,0)</f>
        <v>3900.41266957397</v>
      </c>
      <c r="AN157" s="37" t="n">
        <f aca="false">AM157+AN156-IF(AN155=1,AN158,0)</f>
        <v>3901.66266957397</v>
      </c>
      <c r="AO157" s="37" t="n">
        <f aca="false">AN157+AO156-IF(AO155=1,AO158,0)</f>
        <v>3902.91266957397</v>
      </c>
      <c r="AP157" s="37" t="n">
        <f aca="false">AO157+AP156-IF(AP155=1,AP158,0)</f>
        <v>4143.03554091456</v>
      </c>
      <c r="AQ157" s="37" t="n">
        <f aca="false">AP157+AQ156-IF(AQ155=1,AQ158,0)</f>
        <v>4281.25348617988</v>
      </c>
      <c r="AR157" s="37" t="n">
        <f aca="false">AQ157+AR156-IF(AR155=1,AR158,0)</f>
        <v>4316.77314723448</v>
      </c>
      <c r="AS157" s="37" t="n">
        <f aca="false">AR157+AS156-IF(AS155=1,AS158,0)</f>
        <v>4318.02314723448</v>
      </c>
      <c r="AT157" s="37" t="n">
        <f aca="false">AS157+AT156-IF(AT155=1,AT158,0)</f>
        <v>4319.27314723448</v>
      </c>
      <c r="AU157" s="37" t="n">
        <f aca="false">AT157+AU156-IF(AU155=1,AU158,0)</f>
        <v>4320.52314723448</v>
      </c>
      <c r="AV157" s="37" t="n">
        <f aca="false">AU157+AV156-IF(AV155=1,AV158,0)</f>
        <v>4321.77314723448</v>
      </c>
      <c r="AW157" s="37" t="n">
        <f aca="false">AV157+AW156-IF(AW155=1,AW158,0)</f>
        <v>4323.02314723448</v>
      </c>
      <c r="AX157" s="37" t="n">
        <f aca="false">AW157+AX156-IF(AX155=1,AX158,0)</f>
        <v>4324.27314723448</v>
      </c>
      <c r="AY157" s="37" t="n">
        <f aca="false">AX157+AY156-IF(AY155=1,AY158,0)</f>
        <v>4325.52314723448</v>
      </c>
      <c r="AZ157" s="37" t="n">
        <f aca="false">AY157+AZ156-IF(AZ155=1,AZ158,0)</f>
        <v>4326.77314723448</v>
      </c>
      <c r="BA157" s="37" t="n">
        <f aca="false">AZ157+BA156-IF(BA155=1,BA158,0)</f>
        <v>4328.02314723448</v>
      </c>
      <c r="BB157" s="37" t="n">
        <f aca="false">BA157+BB156-IF(BB155=1,BB158,0)</f>
        <v>4585.31417022701</v>
      </c>
      <c r="BC157" s="37" t="n">
        <f aca="false">BB157+BC156-IF(BC155=1,BC158,0)</f>
        <v>4763.88766964394</v>
      </c>
      <c r="BD157" s="37" t="n">
        <f aca="false">BC157+BD156-IF(BD155=1,BD158,0)</f>
        <v>4868.83011381681</v>
      </c>
      <c r="BE157" s="37" t="n">
        <f aca="false">BD157+BE156-IF(BE155=1,BE158,0)</f>
        <v>4905.59225236912</v>
      </c>
      <c r="BF157" s="37" t="n">
        <f aca="false">BE157+BF156-IF(BF155=1,BF158,0)</f>
        <v>4906.84225236912</v>
      </c>
      <c r="BG157" s="37" t="n">
        <f aca="false">BF157+BG156-IF(BG155=1,BG158,0)</f>
        <v>4908.09225236912</v>
      </c>
      <c r="BH157" s="37" t="n">
        <f aca="false">BG157+BH156-IF(BH155=1,BH158,0)</f>
        <v>4909.34225236912</v>
      </c>
      <c r="BI157" s="37" t="n">
        <f aca="false">BH157+BI156-IF(BI155=1,BI158,0)</f>
        <v>4910.59225236912</v>
      </c>
      <c r="BJ157" s="37" t="n">
        <f aca="false">BI157+BJ156-IF(BJ155=1,BJ158,0)</f>
        <v>4911.84225236912</v>
      </c>
      <c r="BK157" s="37" t="n">
        <f aca="false">BJ157+BK156-IF(BK155=1,BK158,0)</f>
        <v>4913.09225236912</v>
      </c>
      <c r="BL157" s="37" t="n">
        <f aca="false">BK157+BL156-IF(BL155=1,BL158,0)</f>
        <v>4914.34225236912</v>
      </c>
      <c r="BM157" s="37" t="n">
        <f aca="false">BL157+BM156-IF(BM155=1,BM158,0)</f>
        <v>0</v>
      </c>
      <c r="BN157" s="37" t="n">
        <f aca="false">BM157+BN156-IF(BN155=1,BN158,0)</f>
        <v>0</v>
      </c>
      <c r="BO157" s="37" t="n">
        <f aca="false">BN157+BO156-IF(BO155=1,BO158,0)</f>
        <v>0</v>
      </c>
      <c r="BP157" s="37" t="n">
        <f aca="false">BO157+BP156-IF(BP155=1,BP158,0)</f>
        <v>0</v>
      </c>
      <c r="BQ157" s="37" t="n">
        <f aca="false">BP157+BQ156-IF(BQ155=1,BQ158,0)</f>
        <v>0</v>
      </c>
      <c r="BR157" s="37" t="n">
        <f aca="false">BQ157+BR156-IF(BR155=1,BR158,0)</f>
        <v>0</v>
      </c>
      <c r="BS157" s="37" t="n">
        <f aca="false">BR157+BS156-IF(BS155=1,BS158,0)</f>
        <v>0</v>
      </c>
      <c r="BT157" s="37" t="n">
        <f aca="false">BS157+BT156-IF(BT155=1,BT158,0)</f>
        <v>0</v>
      </c>
      <c r="BU157" s="37" t="n">
        <f aca="false">BT157+BU156-IF(BU155=1,BU158,0)</f>
        <v>0</v>
      </c>
      <c r="BV157" s="37" t="n">
        <f aca="false">BU157+BV156-IF(BV155=1,BV158,0)</f>
        <v>0</v>
      </c>
      <c r="BW157" s="37" t="n">
        <f aca="false">BV157+BW156-IF(BW155=1,BW158,0)</f>
        <v>0</v>
      </c>
      <c r="BX157" s="37" t="n">
        <f aca="false">BW157+BX156-IF(BX155=1,BX158,0)</f>
        <v>0</v>
      </c>
      <c r="BY157" s="37" t="n">
        <f aca="false">BX157+BY156-IF(BY155=1,BY158,0)</f>
        <v>0</v>
      </c>
      <c r="BZ157" s="37" t="n">
        <f aca="false">BY157+BZ156-IF(BZ155=1,BZ158,0)</f>
        <v>0</v>
      </c>
      <c r="CA157" s="37" t="n">
        <f aca="false">BZ157+CA156-IF(CA155=1,CA158,0)</f>
        <v>0</v>
      </c>
      <c r="CB157" s="37" t="n">
        <f aca="false">CA157+CB156-IF(CB155=1,CB158,0)</f>
        <v>0</v>
      </c>
      <c r="CC157" s="37" t="n">
        <f aca="false">CB157+CC156-IF(CC155=1,CC158,0)</f>
        <v>0</v>
      </c>
      <c r="CD157" s="37" t="n">
        <f aca="false">CC157+CD156-IF(CD155=1,CD158,0)</f>
        <v>0</v>
      </c>
      <c r="CE157" s="37" t="n">
        <f aca="false">CD157+CE156-IF(CE155=1,CE158,0)</f>
        <v>0</v>
      </c>
      <c r="CF157" s="37" t="n">
        <f aca="false">CE157+CF156-IF(CF155=1,CF158,0)</f>
        <v>0</v>
      </c>
      <c r="CG157" s="37" t="n">
        <f aca="false">CF157+CG156-IF(CG155=1,CG158,0)</f>
        <v>0</v>
      </c>
      <c r="CH157" s="37" t="n">
        <f aca="false">CG157+CH156-IF(CH155=1,CH158,0)</f>
        <v>0</v>
      </c>
      <c r="CI157" s="37" t="n">
        <f aca="false">CH157+CI156-IF(CI155=1,CI158,0)</f>
        <v>0</v>
      </c>
      <c r="CJ157" s="37" t="n">
        <f aca="false">CI157+CJ156-IF(CJ155=1,CJ158,0)</f>
        <v>0</v>
      </c>
      <c r="CK157" s="37" t="n">
        <f aca="false">CJ157+CK156-IF(CK155=1,CK158,0)</f>
        <v>0</v>
      </c>
      <c r="CL157" s="37" t="n">
        <f aca="false">CK157+CL156-IF(CL155=1,CL158,0)</f>
        <v>0</v>
      </c>
      <c r="CM157" s="37" t="n">
        <f aca="false">CL157+CM156-IF(CM155=1,CM158,0)</f>
        <v>0</v>
      </c>
      <c r="CN157" s="37" t="n">
        <f aca="false">CM157+CN156-IF(CN155=1,CN158,0)</f>
        <v>0</v>
      </c>
      <c r="CO157" s="37" t="n">
        <f aca="false">CN157+CO156-IF(CO155=1,CO158,0)</f>
        <v>0</v>
      </c>
      <c r="CP157" s="37" t="n">
        <f aca="false">CO157+CP156-IF(CP155=1,CP158,0)</f>
        <v>0</v>
      </c>
      <c r="CQ157" s="37" t="n">
        <f aca="false">CP157+CQ156-IF(CQ155=1,CQ158,0)</f>
        <v>0</v>
      </c>
      <c r="CR157" s="37" t="n">
        <f aca="false">CQ157+CR156-IF(CR155=1,CR158,0)</f>
        <v>0</v>
      </c>
      <c r="CS157" s="37" t="n">
        <f aca="false">CR157+CS156-IF(CS155=1,CS158,0)</f>
        <v>0</v>
      </c>
      <c r="CT157" s="37" t="n">
        <f aca="false">CS157+CT156-IF(CT155=1,CT158,0)</f>
        <v>0</v>
      </c>
      <c r="CU157" s="37" t="n">
        <f aca="false">CT157+CU156-IF(CU155=1,CU158,0)</f>
        <v>0</v>
      </c>
      <c r="CV157" s="37" t="n">
        <f aca="false">CU157+CV156-IF(CV155=1,CV158,0)</f>
        <v>0</v>
      </c>
      <c r="CW157" s="37" t="n">
        <f aca="false">CV157+CW156-IF(CW155=1,CW158,0)</f>
        <v>0</v>
      </c>
      <c r="CX157" s="37" t="n">
        <f aca="false">CW157+CX156-IF(CX155=1,CX158,0)</f>
        <v>0</v>
      </c>
      <c r="CY157" s="37" t="n">
        <f aca="false">CX157+CY156-IF(CY155=1,CY158,0)</f>
        <v>0</v>
      </c>
      <c r="CZ157" s="37" t="n">
        <f aca="false">CY157+CZ156-IF(CZ155=1,CZ158,0)</f>
        <v>0</v>
      </c>
      <c r="DA157" s="37" t="n">
        <f aca="false">CZ157+DA156-IF(DA155=1,DA158,0)</f>
        <v>0</v>
      </c>
      <c r="DB157" s="37" t="n">
        <f aca="false">DA157+DB156-IF(DB155=1,DB158,0)</f>
        <v>0</v>
      </c>
      <c r="DC157" s="37" t="n">
        <f aca="false">DB157+DC156-IF(DC155=1,DC158,0)</f>
        <v>0</v>
      </c>
      <c r="DD157" s="37" t="n">
        <f aca="false">DC157+DD156-IF(DD155=1,DD158,0)</f>
        <v>0</v>
      </c>
      <c r="DE157" s="37" t="n">
        <f aca="false">DD157+DE156-IF(DE155=1,DE158,0)</f>
        <v>0</v>
      </c>
      <c r="DF157" s="37" t="n">
        <f aca="false">DE157+DF156-IF(DF155=1,DF158,0)</f>
        <v>0</v>
      </c>
      <c r="DG157" s="37" t="n">
        <f aca="false">DF157+DG156-IF(DG155=1,DG158,0)</f>
        <v>0</v>
      </c>
      <c r="DH157" s="37" t="n">
        <f aca="false">DG157+DH156-IF(DH155=1,DH158,0)</f>
        <v>0</v>
      </c>
      <c r="DI157" s="37" t="n">
        <f aca="false">DH157+DI156-IF(DI155=1,DI158,0)</f>
        <v>0</v>
      </c>
      <c r="DJ157" s="37" t="n">
        <f aca="false">DI157+DJ156-IF(DJ155=1,DJ158,0)</f>
        <v>0</v>
      </c>
      <c r="DK157" s="37" t="n">
        <f aca="false">DJ157+DK156-IF(DK155=1,DK158,0)</f>
        <v>0</v>
      </c>
      <c r="DL157" s="37" t="n">
        <f aca="false">DK157+DL156-IF(DL155=1,DL158,0)</f>
        <v>0</v>
      </c>
      <c r="DM157" s="37" t="n">
        <f aca="false">DL157+DM156-IF(DM155=1,DM158,0)</f>
        <v>0</v>
      </c>
      <c r="DN157" s="37" t="n">
        <f aca="false">DM157+DN156-IF(DN155=1,DN158,0)</f>
        <v>0</v>
      </c>
      <c r="DO157" s="37" t="n">
        <f aca="false">DN157+DO156-IF(DO155=1,DO158,0)</f>
        <v>0</v>
      </c>
      <c r="DP157" s="37" t="n">
        <f aca="false">DO157+DP156-IF(DP155=1,DP158,0)</f>
        <v>0</v>
      </c>
      <c r="DQ157" s="37" t="n">
        <f aca="false">DP157+DQ156-IF(DQ155=1,DQ158,0)</f>
        <v>0</v>
      </c>
      <c r="DR157" s="37" t="n">
        <f aca="false">DQ157+DR156-IF(DR155=1,DR158,0)</f>
        <v>0</v>
      </c>
      <c r="DS157" s="37" t="n">
        <f aca="false">DR157+DS156-IF(DS155=1,DS158,0)</f>
        <v>0</v>
      </c>
      <c r="DT157" s="37" t="n">
        <f aca="false">DS157+DT156-IF(DT155=1,DT158,0)</f>
        <v>-6892.21728424621</v>
      </c>
      <c r="DU157" s="37" t="n">
        <f aca="false">DT157+DU156-IF(DU155=1,DU158,0)</f>
        <v>-5500.9385053561</v>
      </c>
      <c r="DV157" s="37" t="n">
        <f aca="false">DU157+DV156-IF(DV155=1,DV158,0)</f>
        <v>-4106.18152951877</v>
      </c>
      <c r="DW157" s="37" t="n">
        <f aca="false">DV157+DW156-IF(DW155=1,DW158,0)</f>
        <v>-2707.93766124184</v>
      </c>
      <c r="DX157" s="37" t="n">
        <f aca="false">DW157+DX156-IF(DX155=1,DX158,0)</f>
        <v>-2707.93766124184</v>
      </c>
      <c r="DY157" s="37" t="n">
        <f aca="false">DX157+DY156-IF(DY155=1,DY158,0)</f>
        <v>-2707.93766124184</v>
      </c>
      <c r="DZ157" s="37" t="n">
        <f aca="false">DY157+DZ156-IF(DZ155=1,DZ158,0)</f>
        <v>-2707.93766124184</v>
      </c>
      <c r="EA157" s="37" t="n">
        <f aca="false">DZ157+EA156-IF(EA155=1,EA158,0)</f>
        <v>-2707.93766124184</v>
      </c>
      <c r="EB157" s="37" t="n">
        <f aca="false">EA157+EB156-IF(EB155=1,EB158,0)</f>
        <v>-2707.93766124184</v>
      </c>
      <c r="EC157" s="37" t="n">
        <f aca="false">EB157+EC156-IF(EC155=1,EC158,0)</f>
        <v>-2707.93766124184</v>
      </c>
      <c r="ED157" s="37" t="n">
        <f aca="false">EC157+ED156-IF(ED155=1,ED158,0)</f>
        <v>-2707.93766124184</v>
      </c>
      <c r="EE157" s="37" t="n">
        <f aca="false">ED157+EE156-IF(EE155=1,EE158,0)</f>
        <v>-2707.93766124184</v>
      </c>
      <c r="EF157" s="37" t="n">
        <f aca="false">EE157+EF156-IF(EF155=1,EF158,0)</f>
        <v>-2707.93766124184</v>
      </c>
    </row>
    <row r="158" customFormat="false" ht="15" hidden="false" customHeight="false" outlineLevel="0" collapsed="false">
      <c r="A158" s="280" t="s">
        <v>688</v>
      </c>
      <c r="B158" s="281" t="s">
        <v>21</v>
      </c>
      <c r="C158" s="282" t="n">
        <f aca="false">SUM(E158:EF158)</f>
        <v>736259.57596388</v>
      </c>
      <c r="D158" s="48"/>
      <c r="E158" s="283" t="n">
        <f aca="false">IF(E155=2,MAX(0,E154),IF(E155=1,MAX(0,MIN(E154-①통합_가정!$D$551,0+E156)),0))</f>
        <v>0</v>
      </c>
      <c r="F158" s="283" t="n">
        <f aca="false">IF(F155=2,MAX(0,F154),IF(F155=1,MAX(0,MIN(F154-①통합_가정!$D$551,E157+F156)),0))</f>
        <v>0</v>
      </c>
      <c r="G158" s="283" t="n">
        <f aca="false">IF(G155=2,MAX(0,G154),IF(G155=1,MAX(0,MIN(G154-①통합_가정!$D$551,F157+G156)),0))</f>
        <v>0</v>
      </c>
      <c r="H158" s="283" t="n">
        <f aca="false">IF(H155=2,MAX(0,H154),IF(H155=1,MAX(0,MIN(H154-①통합_가정!$D$551,G157+H156)),0))</f>
        <v>0</v>
      </c>
      <c r="I158" s="283" t="n">
        <f aca="false">IF(I155=2,MAX(0,I154),IF(I155=1,MAX(0,MIN(I154-①통합_가정!$D$551,H157+I156)),0))</f>
        <v>0</v>
      </c>
      <c r="J158" s="283" t="n">
        <f aca="false">IF(J155=2,MAX(0,J154),IF(J155=1,MAX(0,MIN(J154-①통합_가정!$D$551,I157+J156)),0))</f>
        <v>0</v>
      </c>
      <c r="K158" s="283" t="n">
        <f aca="false">IF(K155=2,MAX(0,K154),IF(K155=1,MAX(0,MIN(K154-①통합_가정!$D$551,J157+K156)),0))</f>
        <v>0</v>
      </c>
      <c r="L158" s="283" t="n">
        <f aca="false">IF(L155=2,MAX(0,L154),IF(L155=1,MAX(0,MIN(L154-①통합_가정!$D$551,K157+L156)),0))</f>
        <v>0</v>
      </c>
      <c r="M158" s="283" t="n">
        <f aca="false">IF(M155=2,MAX(0,M154),IF(M155=1,MAX(0,MIN(M154-①통합_가정!$D$551,L157+M156)),0))</f>
        <v>0</v>
      </c>
      <c r="N158" s="283" t="n">
        <f aca="false">IF(N155=2,MAX(0,N154),IF(N155=1,MAX(0,MIN(N154-①통합_가정!$D$551,M157+N156)),0))</f>
        <v>0</v>
      </c>
      <c r="O158" s="283" t="n">
        <f aca="false">IF(O155=2,MAX(0,O154),IF(O155=1,MAX(0,MIN(O154-①통합_가정!$D$551,N157+O156)),0))</f>
        <v>0</v>
      </c>
      <c r="P158" s="283" t="n">
        <f aca="false">IF(P155=2,MAX(0,P154),IF(P155=1,MAX(0,MIN(P154-①통합_가정!$D$551,O157+P156)),0))</f>
        <v>0</v>
      </c>
      <c r="Q158" s="283" t="n">
        <f aca="false">IF(Q155=2,MAX(0,Q154),IF(Q155=1,MAX(0,MIN(Q154-①통합_가정!$D$551,P157+Q156)),0))</f>
        <v>0</v>
      </c>
      <c r="R158" s="283" t="n">
        <f aca="false">IF(R155=2,MAX(0,R154),IF(R155=1,MAX(0,MIN(R154-①통합_가정!$D$551,Q157+R156)),0))</f>
        <v>0</v>
      </c>
      <c r="S158" s="283" t="n">
        <f aca="false">IF(S155=2,MAX(0,S154),IF(S155=1,MAX(0,MIN(S154-①통합_가정!$D$551,R157+S156)),0))</f>
        <v>0</v>
      </c>
      <c r="T158" s="283" t="n">
        <f aca="false">IF(T155=2,MAX(0,T154),IF(T155=1,MAX(0,MIN(T154-①통합_가정!$D$551,S157+T156)),0))</f>
        <v>0</v>
      </c>
      <c r="U158" s="283" t="n">
        <f aca="false">IF(U155=2,MAX(0,U154),IF(U155=1,MAX(0,MIN(U154-①통합_가정!$D$551,T157+U156)),0))</f>
        <v>0</v>
      </c>
      <c r="V158" s="283" t="n">
        <f aca="false">IF(V155=2,MAX(0,V154),IF(V155=1,MAX(0,MIN(V154-①통합_가정!$D$551,U157+V156)),0))</f>
        <v>0</v>
      </c>
      <c r="W158" s="283" t="n">
        <f aca="false">IF(W155=2,MAX(0,W154),IF(W155=1,MAX(0,MIN(W154-①통합_가정!$D$551,V157+W156)),0))</f>
        <v>0</v>
      </c>
      <c r="X158" s="283" t="n">
        <f aca="false">IF(X155=2,MAX(0,X154),IF(X155=1,MAX(0,MIN(X154-①통합_가정!$D$551,W157+X156)),0))</f>
        <v>0</v>
      </c>
      <c r="Y158" s="283" t="n">
        <f aca="false">IF(Y155=2,MAX(0,Y154),IF(Y155=1,MAX(0,MIN(Y154-①통합_가정!$D$551,X157+Y156)),0))</f>
        <v>0</v>
      </c>
      <c r="Z158" s="283" t="n">
        <f aca="false">IF(Z155=2,MAX(0,Z154),IF(Z155=1,MAX(0,MIN(Z154-①통합_가정!$D$551,Y157+Z156)),0))</f>
        <v>0</v>
      </c>
      <c r="AA158" s="283" t="n">
        <f aca="false">IF(AA155=2,MAX(0,AA154),IF(AA155=1,MAX(0,MIN(AA154-①통합_가정!$D$551,Z157+AA156)),0))</f>
        <v>0</v>
      </c>
      <c r="AB158" s="283" t="n">
        <f aca="false">IF(AB155=2,MAX(0,AB154),IF(AB155=1,MAX(0,MIN(AB154-①통합_가정!$D$551,AA157+AB156)),0))</f>
        <v>0</v>
      </c>
      <c r="AC158" s="283" t="n">
        <f aca="false">IF(AC155=2,MAX(0,AC154),IF(AC155=1,MAX(0,MIN(AC154-①통합_가정!$D$551,AB157+AC156)),0))</f>
        <v>0</v>
      </c>
      <c r="AD158" s="283" t="n">
        <f aca="false">IF(AD155=2,MAX(0,AD154),IF(AD155=1,MAX(0,MIN(AD154-①통합_가정!$D$551,AC157+AD156)),0))</f>
        <v>0</v>
      </c>
      <c r="AE158" s="283" t="n">
        <f aca="false">IF(AE155=2,MAX(0,AE154),IF(AE155=1,MAX(0,MIN(AE154-①통합_가정!$D$551,AD157+AE156)),0))</f>
        <v>0</v>
      </c>
      <c r="AF158" s="283" t="n">
        <f aca="false">IF(AF155=2,MAX(0,AF154),IF(AF155=1,MAX(0,MIN(AF154-①통합_가정!$D$551,AE157+AF156)),0))</f>
        <v>0</v>
      </c>
      <c r="AG158" s="283" t="n">
        <f aca="false">IF(AG155=2,MAX(0,AG154),IF(AG155=1,MAX(0,MIN(AG154-①통합_가정!$D$551,AF157+AG156)),0))</f>
        <v>0</v>
      </c>
      <c r="AH158" s="283" t="n">
        <f aca="false">IF(AH155=2,MAX(0,AH154),IF(AH155=1,MAX(0,MIN(AH154-①통합_가정!$D$551,AG157+AH156)),0))</f>
        <v>0</v>
      </c>
      <c r="AI158" s="283" t="n">
        <f aca="false">IF(AI155=2,MAX(0,AI154),IF(AI155=1,MAX(0,MIN(AI154-①통합_가정!$D$551,AH157+AI156)),0))</f>
        <v>0</v>
      </c>
      <c r="AJ158" s="283" t="n">
        <f aca="false">IF(AJ155=2,MAX(0,AJ154),IF(AJ155=1,MAX(0,MIN(AJ154-①통합_가정!$D$551,AI157+AJ156)),0))</f>
        <v>0</v>
      </c>
      <c r="AK158" s="283" t="n">
        <f aca="false">IF(AK155=2,MAX(0,AK154),IF(AK155=1,MAX(0,MIN(AK154-①통합_가정!$D$551,AJ157+AK156)),0))</f>
        <v>0</v>
      </c>
      <c r="AL158" s="283" t="n">
        <f aca="false">IF(AL155=2,MAX(0,AL154),IF(AL155=1,MAX(0,MIN(AL154-①통합_가정!$D$551,AK157+AL156)),0))</f>
        <v>0</v>
      </c>
      <c r="AM158" s="283" t="n">
        <f aca="false">IF(AM155=2,MAX(0,AM154),IF(AM155=1,MAX(0,MIN(AM154-①통합_가정!$D$551,AL157+AM156)),0))</f>
        <v>0</v>
      </c>
      <c r="AN158" s="283" t="n">
        <f aca="false">IF(AN155=2,MAX(0,AN154),IF(AN155=1,MAX(0,MIN(AN154-①통합_가정!$D$551,AM157+AN156)),0))</f>
        <v>0</v>
      </c>
      <c r="AO158" s="283" t="n">
        <f aca="false">IF(AO155=2,MAX(0,AO154),IF(AO155=1,MAX(0,MIN(AO154-①통합_가정!$D$551,AN157+AO156)),0))</f>
        <v>0</v>
      </c>
      <c r="AP158" s="283" t="n">
        <f aca="false">IF(AP155=2,MAX(0,AP154),IF(AP155=1,MAX(0,MIN(AP154-①통합_가정!$D$551,AO157+AP156)),0))</f>
        <v>0</v>
      </c>
      <c r="AQ158" s="283" t="n">
        <f aca="false">IF(AQ155=2,MAX(0,AQ154),IF(AQ155=1,MAX(0,MIN(AQ154-①통합_가정!$D$551,AP157+AQ156)),0))</f>
        <v>0</v>
      </c>
      <c r="AR158" s="283" t="n">
        <f aca="false">IF(AR155=2,MAX(0,AR154),IF(AR155=1,MAX(0,MIN(AR154-①통합_가정!$D$551,AQ157+AR156)),0))</f>
        <v>0</v>
      </c>
      <c r="AS158" s="283" t="n">
        <f aca="false">IF(AS155=2,MAX(0,AS154),IF(AS155=1,MAX(0,MIN(AS154-①통합_가정!$D$551,AR157+AS156)),0))</f>
        <v>0</v>
      </c>
      <c r="AT158" s="283" t="n">
        <f aca="false">IF(AT155=2,MAX(0,AT154),IF(AT155=1,MAX(0,MIN(AT154-①통합_가정!$D$551,AS157+AT156)),0))</f>
        <v>0</v>
      </c>
      <c r="AU158" s="283" t="n">
        <f aca="false">IF(AU155=2,MAX(0,AU154),IF(AU155=1,MAX(0,MIN(AU154-①통합_가정!$D$551,AT157+AU156)),0))</f>
        <v>0</v>
      </c>
      <c r="AV158" s="283" t="n">
        <f aca="false">IF(AV155=2,MAX(0,AV154),IF(AV155=1,MAX(0,MIN(AV154-①통합_가정!$D$551,AU157+AV156)),0))</f>
        <v>0</v>
      </c>
      <c r="AW158" s="283" t="n">
        <f aca="false">IF(AW155=2,MAX(0,AW154),IF(AW155=1,MAX(0,MIN(AW154-①통합_가정!$D$551,AV157+AW156)),0))</f>
        <v>0</v>
      </c>
      <c r="AX158" s="283" t="n">
        <f aca="false">IF(AX155=2,MAX(0,AX154),IF(AX155=1,MAX(0,MIN(AX154-①통합_가정!$D$551,AW157+AX156)),0))</f>
        <v>0</v>
      </c>
      <c r="AY158" s="283" t="n">
        <f aca="false">IF(AY155=2,MAX(0,AY154),IF(AY155=1,MAX(0,MIN(AY154-①통합_가정!$D$551,AX157+AY156)),0))</f>
        <v>0</v>
      </c>
      <c r="AZ158" s="283" t="n">
        <f aca="false">IF(AZ155=2,MAX(0,AZ154),IF(AZ155=1,MAX(0,MIN(AZ154-①통합_가정!$D$551,AY157+AZ156)),0))</f>
        <v>0</v>
      </c>
      <c r="BA158" s="283" t="n">
        <f aca="false">IF(BA155=2,MAX(0,BA154),IF(BA155=1,MAX(0,MIN(BA154-①통합_가정!$D$551,AZ157+BA156)),0))</f>
        <v>0</v>
      </c>
      <c r="BB158" s="283" t="n">
        <f aca="false">IF(BB155=2,MAX(0,BB154),IF(BB155=1,MAX(0,MIN(BB154-①통합_가정!$D$551,BA157+BB156)),0))</f>
        <v>0</v>
      </c>
      <c r="BC158" s="283" t="n">
        <f aca="false">IF(BC155=2,MAX(0,BC154),IF(BC155=1,MAX(0,MIN(BC154-①통합_가정!$D$551,BB157+BC156)),0))</f>
        <v>0</v>
      </c>
      <c r="BD158" s="283" t="n">
        <f aca="false">IF(BD155=2,MAX(0,BD154),IF(BD155=1,MAX(0,MIN(BD154-①통합_가정!$D$551,BC157+BD156)),0))</f>
        <v>0</v>
      </c>
      <c r="BE158" s="283" t="n">
        <f aca="false">IF(BE155=2,MAX(0,BE154),IF(BE155=1,MAX(0,MIN(BE154-①통합_가정!$D$551,BD157+BE156)),0))</f>
        <v>0</v>
      </c>
      <c r="BF158" s="283" t="n">
        <f aca="false">IF(BF155=2,MAX(0,BF154),IF(BF155=1,MAX(0,MIN(BF154-①통합_가정!$D$551,BE157+BF156)),0))</f>
        <v>0</v>
      </c>
      <c r="BG158" s="283" t="n">
        <f aca="false">IF(BG155=2,MAX(0,BG154),IF(BG155=1,MAX(0,MIN(BG154-①통합_가정!$D$551,BF157+BG156)),0))</f>
        <v>0</v>
      </c>
      <c r="BH158" s="283" t="n">
        <f aca="false">IF(BH155=2,MAX(0,BH154),IF(BH155=1,MAX(0,MIN(BH154-①통합_가정!$D$551,BG157+BH156)),0))</f>
        <v>0</v>
      </c>
      <c r="BI158" s="283" t="n">
        <f aca="false">IF(BI155=2,MAX(0,BI154),IF(BI155=1,MAX(0,MIN(BI154-①통합_가정!$D$551,BH157+BI156)),0))</f>
        <v>0</v>
      </c>
      <c r="BJ158" s="283" t="n">
        <f aca="false">IF(BJ155=2,MAX(0,BJ154),IF(BJ155=1,MAX(0,MIN(BJ154-①통합_가정!$D$551,BI157+BJ156)),0))</f>
        <v>0</v>
      </c>
      <c r="BK158" s="283" t="n">
        <f aca="false">IF(BK155=2,MAX(0,BK154),IF(BK155=1,MAX(0,MIN(BK154-①통합_가정!$D$551,BJ157+BK156)),0))</f>
        <v>0</v>
      </c>
      <c r="BL158" s="283" t="n">
        <f aca="false">IF(BL155=2,MAX(0,BL154),IF(BL155=1,MAX(0,MIN(BL154-①통합_가정!$D$551,BK157+BL156)),0))</f>
        <v>0</v>
      </c>
      <c r="BM158" s="283" t="n">
        <f aca="false">IF(BM155=2,MAX(0,BM154),IF(BM155=1,MAX(0,MIN(BM154-①통합_가정!$D$551,BL157+BM156)),0))</f>
        <v>5444.19228171014</v>
      </c>
      <c r="BN158" s="283" t="n">
        <f aca="false">IF(BN155=2,MAX(0,BN154),IF(BN155=1,MAX(0,MIN(BN154-①통합_가정!$D$551,BM157+BN156)),0))</f>
        <v>880.111144401356</v>
      </c>
      <c r="BO158" s="283" t="n">
        <f aca="false">IF(BO155=2,MAX(0,BO154),IF(BO155=1,MAX(0,MIN(BO154-①통합_가정!$D$551,BN157+BO156)),0))</f>
        <v>962.352816717327</v>
      </c>
      <c r="BP158" s="283" t="n">
        <f aca="false">IF(BP155=2,MAX(0,BP154),IF(BP155=1,MAX(0,MIN(BP154-①통합_가정!$D$551,BO157+BP156)),0))</f>
        <v>880.111144401356</v>
      </c>
      <c r="BQ158" s="283" t="n">
        <f aca="false">IF(BQ155=2,MAX(0,BQ154),IF(BQ155=1,MAX(0,MIN(BQ154-①통합_가정!$D$551,BP157+BQ156)),0))</f>
        <v>962.352816717327</v>
      </c>
      <c r="BR158" s="283" t="n">
        <f aca="false">IF(BR155=2,MAX(0,BR154),IF(BR155=1,MAX(0,MIN(BR154-①통합_가정!$D$551,BQ157+BR156)),0))</f>
        <v>962.352816717327</v>
      </c>
      <c r="BS158" s="283" t="n">
        <f aca="false">IF(BS155=2,MAX(0,BS154),IF(BS155=1,MAX(0,MIN(BS154-①통합_가정!$D$551,BR157+BS156)),0))</f>
        <v>880.111144401356</v>
      </c>
      <c r="BT158" s="283" t="n">
        <f aca="false">IF(BT155=2,MAX(0,BT154),IF(BT155=1,MAX(0,MIN(BT154-①통합_가정!$D$551,BS157+BT156)),0))</f>
        <v>962.352816717327</v>
      </c>
      <c r="BU158" s="283" t="n">
        <f aca="false">IF(BU155=2,MAX(0,BU154),IF(BU155=1,MAX(0,MIN(BU154-①통합_가정!$D$551,BT157+BU156)),0))</f>
        <v>880.111144401356</v>
      </c>
      <c r="BV158" s="283" t="n">
        <f aca="false">IF(BV155=2,MAX(0,BV154),IF(BV155=1,MAX(0,MIN(BV154-①통합_가정!$D$551,BU157+BV156)),0))</f>
        <v>962.352816717326</v>
      </c>
      <c r="BW158" s="283" t="n">
        <f aca="false">IF(BW155=2,MAX(0,BW154),IF(BW155=1,MAX(0,MIN(BW154-①통합_가정!$D$551,BV157+BW156)),0))</f>
        <v>962.352816717326</v>
      </c>
      <c r="BX158" s="283" t="n">
        <f aca="false">IF(BX155=2,MAX(0,BX154),IF(BX155=1,MAX(0,MIN(BX154-①통합_가정!$D$551,BW157+BX156)),0))</f>
        <v>797.869472085384</v>
      </c>
      <c r="BY158" s="283" t="n">
        <f aca="false">IF(BY155=2,MAX(0,BY154),IF(BY155=1,MAX(0,MIN(BY154-①통합_가정!$D$551,BX157+BY156)),0))</f>
        <v>1958.19168665778</v>
      </c>
      <c r="BZ158" s="283" t="n">
        <f aca="false">IF(BZ155=2,MAX(0,BZ154),IF(BZ155=1,MAX(0,MIN(BZ154-①통합_가정!$D$551,BY157+BZ156)),0))</f>
        <v>2266.29836462436</v>
      </c>
      <c r="CA158" s="283" t="n">
        <f aca="false">IF(CA155=2,MAX(0,CA154),IF(CA155=1,MAX(0,MIN(CA154-①통합_가정!$D$551,BZ157+CA156)),0))</f>
        <v>2363.09048665778</v>
      </c>
      <c r="CB158" s="283" t="n">
        <f aca="false">IF(CB155=2,MAX(0,CB154),IF(CB155=1,MAX(0,MIN(CB154-①통합_가정!$D$551,CA157+CB156)),0))</f>
        <v>2266.29836462436</v>
      </c>
      <c r="CC158" s="283" t="n">
        <f aca="false">IF(CC155=2,MAX(0,CC154),IF(CC155=1,MAX(0,MIN(CC154-①통합_가정!$D$551,CB157+CC156)),0))</f>
        <v>2363.09048665778</v>
      </c>
      <c r="CD158" s="283" t="n">
        <f aca="false">IF(CD155=2,MAX(0,CD154),IF(CD155=1,MAX(0,MIN(CD154-①통합_가정!$D$551,CC157+CD156)),0))</f>
        <v>2363.09048665778</v>
      </c>
      <c r="CE158" s="283" t="n">
        <f aca="false">IF(CE155=2,MAX(0,CE154),IF(CE155=1,MAX(0,MIN(CE154-①통합_가정!$D$551,CD157+CE156)),0))</f>
        <v>2266.29836462436</v>
      </c>
      <c r="CF158" s="283" t="n">
        <f aca="false">IF(CF155=2,MAX(0,CF154),IF(CF155=1,MAX(0,MIN(CF154-①통합_가정!$D$551,CE157+CF156)),0))</f>
        <v>2363.09048665778</v>
      </c>
      <c r="CG158" s="283" t="n">
        <f aca="false">IF(CG155=2,MAX(0,CG154),IF(CG155=1,MAX(0,MIN(CG154-①통합_가정!$D$551,CF157+CG156)),0))</f>
        <v>2266.29836462436</v>
      </c>
      <c r="CH158" s="283" t="n">
        <f aca="false">IF(CH155=2,MAX(0,CH154),IF(CH155=1,MAX(0,MIN(CH154-①통합_가정!$D$551,CG157+CH156)),0))</f>
        <v>2363.09048665778</v>
      </c>
      <c r="CI158" s="283" t="n">
        <f aca="false">IF(CI155=2,MAX(0,CI154),IF(CI155=1,MAX(0,MIN(CI154-①통합_가정!$D$551,CH157+CI156)),0))</f>
        <v>2363.09048665778</v>
      </c>
      <c r="CJ158" s="283" t="n">
        <f aca="false">IF(CJ155=2,MAX(0,CJ154),IF(CJ155=1,MAX(0,MIN(CJ154-①통합_가정!$D$551,CI157+CJ156)),0))</f>
        <v>2072.71412055753</v>
      </c>
      <c r="CK158" s="283" t="n">
        <f aca="false">IF(CK155=2,MAX(0,CK154),IF(CK155=1,MAX(0,MIN(CK154-①통합_가정!$D$551,CJ157+CK156)),0))</f>
        <v>2460.68346648974</v>
      </c>
      <c r="CL158" s="283" t="n">
        <f aca="false">IF(CL155=2,MAX(0,CL154),IF(CL155=1,MAX(0,MIN(CL154-①통합_가정!$D$551,CK157+CL156)),0))</f>
        <v>2391.10550201566</v>
      </c>
      <c r="CM158" s="283" t="n">
        <f aca="false">IF(CM155=2,MAX(0,CM154),IF(CM155=1,MAX(0,MIN(CM154-①통합_가정!$D$551,CL157+CM156)),0))</f>
        <v>2489.83346648974</v>
      </c>
      <c r="CN158" s="283" t="n">
        <f aca="false">IF(CN155=2,MAX(0,CN154),IF(CN155=1,MAX(0,MIN(CN154-①통합_가정!$D$551,CM157+CN156)),0))</f>
        <v>2391.10550201566</v>
      </c>
      <c r="CO158" s="283" t="n">
        <f aca="false">IF(CO155=2,MAX(0,CO154),IF(CO155=1,MAX(0,MIN(CO154-①통합_가정!$D$551,CN157+CO156)),0))</f>
        <v>2489.83346648974</v>
      </c>
      <c r="CP158" s="283" t="n">
        <f aca="false">IF(CP155=2,MAX(0,CP154),IF(CP155=1,MAX(0,MIN(CP154-①통합_가정!$D$551,CO157+CP156)),0))</f>
        <v>2489.83346648974</v>
      </c>
      <c r="CQ158" s="283" t="n">
        <f aca="false">IF(CQ155=2,MAX(0,CQ154),IF(CQ155=1,MAX(0,MIN(CQ154-①통합_가정!$D$551,CP157+CQ156)),0))</f>
        <v>2391.10550201566</v>
      </c>
      <c r="CR158" s="283" t="n">
        <f aca="false">IF(CR155=2,MAX(0,CR154),IF(CR155=1,MAX(0,MIN(CR154-①통합_가정!$D$551,CQ157+CR156)),0))</f>
        <v>2489.83346648974</v>
      </c>
      <c r="CS158" s="283" t="n">
        <f aca="false">IF(CS155=2,MAX(0,CS154),IF(CS155=1,MAX(0,MIN(CS154-①통합_가정!$D$551,CR157+CS156)),0))</f>
        <v>2391.10550201566</v>
      </c>
      <c r="CT158" s="283" t="n">
        <f aca="false">IF(CT155=2,MAX(0,CT154),IF(CT155=1,MAX(0,MIN(CT154-①통합_가정!$D$551,CS157+CT156)),0))</f>
        <v>2489.83346648974</v>
      </c>
      <c r="CU158" s="283" t="n">
        <f aca="false">IF(CU155=2,MAX(0,CU154),IF(CU155=1,MAX(0,MIN(CU154-①통합_가정!$D$551,CT157+CU156)),0))</f>
        <v>2489.83346648974</v>
      </c>
      <c r="CV158" s="283" t="n">
        <f aca="false">IF(CV155=2,MAX(0,CV154),IF(CV155=1,MAX(0,MIN(CV154-①통합_가정!$D$551,CU157+CV156)),0))</f>
        <v>2193.64957306749</v>
      </c>
      <c r="CW158" s="283" t="n">
        <f aca="false">IF(CW155=2,MAX(0,CW154),IF(CW155=1,MAX(0,MIN(CW154-①통합_가정!$D$551,CV157+CW156)),0))</f>
        <v>2589.37830591834</v>
      </c>
      <c r="CX158" s="283" t="n">
        <f aca="false">IF(CX155=2,MAX(0,CX154),IF(CX155=1,MAX(0,MIN(CX154-①통합_가정!$D$551,CW157+CX156)),0))</f>
        <v>2488.67578215478</v>
      </c>
      <c r="CY158" s="283" t="n">
        <f aca="false">IF(CY155=2,MAX(0,CY154),IF(CY155=1,MAX(0,MIN(CY154-①통합_가정!$D$551,CX157+CY156)),0))</f>
        <v>2589.37830591834</v>
      </c>
      <c r="CZ158" s="283" t="n">
        <f aca="false">IF(CZ155=2,MAX(0,CZ154),IF(CZ155=1,MAX(0,MIN(CZ154-①통합_가정!$D$551,CY157+CZ156)),0))</f>
        <v>2488.67578215478</v>
      </c>
      <c r="DA158" s="283" t="n">
        <f aca="false">IF(DA155=2,MAX(0,DA154),IF(DA155=1,MAX(0,MIN(DA154-①통합_가정!$D$551,CZ157+DA156)),0))</f>
        <v>2589.37830591834</v>
      </c>
      <c r="DB158" s="283" t="n">
        <f aca="false">IF(DB155=2,MAX(0,DB154),IF(DB155=1,MAX(0,MIN(DB154-①통합_가정!$D$551,DA157+DB156)),0))</f>
        <v>2589.37830591834</v>
      </c>
      <c r="DC158" s="283" t="n">
        <f aca="false">IF(DC155=2,MAX(0,DC154),IF(DC155=1,MAX(0,MIN(DC154-①통합_가정!$D$551,DB157+DC156)),0))</f>
        <v>2488.67578215478</v>
      </c>
      <c r="DD158" s="283" t="n">
        <f aca="false">IF(DD155=2,MAX(0,DD154),IF(DD155=1,MAX(0,MIN(DD154-①통합_가정!$D$551,DC157+DD156)),0))</f>
        <v>2589.37830591834</v>
      </c>
      <c r="DE158" s="283" t="n">
        <f aca="false">IF(DE155=2,MAX(0,DE154),IF(DE155=1,MAX(0,MIN(DE154-①통합_가정!$D$551,DD157+DE156)),0))</f>
        <v>2488.67578215478</v>
      </c>
      <c r="DF158" s="283" t="n">
        <f aca="false">IF(DF155=2,MAX(0,DF154),IF(DF155=1,MAX(0,MIN(DF154-①통합_가정!$D$551,DE157+DF156)),0))</f>
        <v>2589.37830591834</v>
      </c>
      <c r="DG158" s="283" t="n">
        <f aca="false">IF(DG155=2,MAX(0,DG154),IF(DG155=1,MAX(0,MIN(DG154-①통합_가정!$D$551,DF157+DG156)),0))</f>
        <v>2589.37830591834</v>
      </c>
      <c r="DH158" s="283" t="n">
        <f aca="false">IF(DH155=2,MAX(0,DH154),IF(DH155=1,MAX(0,MIN(DH154-①통합_가정!$D$551,DG157+DH156)),0))</f>
        <v>2287.27073462765</v>
      </c>
      <c r="DI158" s="283" t="n">
        <f aca="false">IF(DI155=2,MAX(0,DI154),IF(DI155=1,MAX(0,MIN(DI154-①통합_가정!$D$551,DH157+DI156)),0))</f>
        <v>2690.91404213551</v>
      </c>
      <c r="DJ158" s="283" t="n">
        <f aca="false">IF(DJ155=2,MAX(0,DJ154),IF(DJ155=1,MAX(0,MIN(DJ154-①통합_가정!$D$551,DI157+DJ156)),0))</f>
        <v>2588.19746789668</v>
      </c>
      <c r="DK158" s="283" t="n">
        <f aca="false">IF(DK155=2,MAX(0,DK154),IF(DK155=1,MAX(0,MIN(DK154-①통합_가정!$D$551,DJ157+DK156)),0))</f>
        <v>2690.91404213551</v>
      </c>
      <c r="DL158" s="283" t="n">
        <f aca="false">IF(DL155=2,MAX(0,DL154),IF(DL155=1,MAX(0,MIN(DL154-①통합_가정!$D$551,DK157+DL156)),0))</f>
        <v>2588.19746789668</v>
      </c>
      <c r="DM158" s="283" t="n">
        <f aca="false">IF(DM155=2,MAX(0,DM154),IF(DM155=1,MAX(0,MIN(DM154-①통합_가정!$D$551,DL157+DM156)),0))</f>
        <v>2690.91404213551</v>
      </c>
      <c r="DN158" s="283" t="n">
        <f aca="false">IF(DN155=2,MAX(0,DN154),IF(DN155=1,MAX(0,MIN(DN154-①통합_가정!$D$551,DM157+DN156)),0))</f>
        <v>2690.91404213551</v>
      </c>
      <c r="DO158" s="283" t="n">
        <f aca="false">IF(DO155=2,MAX(0,DO154),IF(DO155=1,MAX(0,MIN(DO154-①통합_가정!$D$551,DN157+DO156)),0))</f>
        <v>2588.19746789668</v>
      </c>
      <c r="DP158" s="283" t="n">
        <f aca="false">IF(DP155=2,MAX(0,DP154),IF(DP155=1,MAX(0,MIN(DP154-①통합_가정!$D$551,DO157+DP156)),0))</f>
        <v>2690.91404213551</v>
      </c>
      <c r="DQ158" s="283" t="n">
        <f aca="false">IF(DQ155=2,MAX(0,DQ154),IF(DQ155=1,MAX(0,MIN(DQ154-①통합_가정!$D$551,DP157+DQ156)),0))</f>
        <v>2588.19746789668</v>
      </c>
      <c r="DR158" s="283" t="n">
        <f aca="false">IF(DR155=2,MAX(0,DR154),IF(DR155=1,MAX(0,MIN(DR154-①통합_가정!$D$551,DQ157+DR156)),0))</f>
        <v>2690.91404213551</v>
      </c>
      <c r="DS158" s="283" t="n">
        <f aca="false">IF(DS155=2,MAX(0,DS154),IF(DS155=1,MAX(0,MIN(DS154-①통합_가정!$D$551,DR157+DS156)),0))</f>
        <v>2690.91404213551</v>
      </c>
      <c r="DT158" s="283" t="n">
        <f aca="false">IF(DT155=2,MAX(0,DT154),IF(DT155=1,MAX(0,MIN(DT154-①통합_가정!$D$551,DS157+DT156)),0))</f>
        <v>0</v>
      </c>
      <c r="DU158" s="283" t="n">
        <f aca="false">IF(DU155=2,MAX(0,DU154),IF(DU155=1,MAX(0,MIN(DU154-①통합_가정!$D$551,DT157+DU156)),0))</f>
        <v>0</v>
      </c>
      <c r="DV158" s="283" t="n">
        <f aca="false">IF(DV155=2,MAX(0,DV154),IF(DV155=1,MAX(0,MIN(DV154-①통합_가정!$D$551,DU157+DV156)),0))</f>
        <v>0</v>
      </c>
      <c r="DW158" s="283" t="n">
        <f aca="false">IF(DW155=2,MAX(0,DW154),IF(DW155=1,MAX(0,MIN(DW154-①통합_가정!$D$551,DV157+DW156)),0))</f>
        <v>604733.744528747</v>
      </c>
      <c r="DX158" s="283" t="n">
        <f aca="false">IF(DX155=2,MAX(0,DX154),IF(DX155=1,MAX(0,MIN(DX154-①통합_가정!$D$551,DW157+DX156)),0))</f>
        <v>0</v>
      </c>
      <c r="DY158" s="283" t="n">
        <f aca="false">IF(DY155=2,MAX(0,DY154),IF(DY155=1,MAX(0,MIN(DY154-①통합_가정!$D$551,DX157+DY156)),0))</f>
        <v>0</v>
      </c>
      <c r="DZ158" s="283" t="n">
        <f aca="false">IF(DZ155=2,MAX(0,DZ154),IF(DZ155=1,MAX(0,MIN(DZ154-①통합_가정!$D$551,DY157+DZ156)),0))</f>
        <v>0</v>
      </c>
      <c r="EA158" s="283" t="n">
        <f aca="false">IF(EA155=2,MAX(0,EA154),IF(EA155=1,MAX(0,MIN(EA154-①통합_가정!$D$551,DZ157+EA156)),0))</f>
        <v>0</v>
      </c>
      <c r="EB158" s="283" t="n">
        <f aca="false">IF(EB155=2,MAX(0,EB154),IF(EB155=1,MAX(0,MIN(EB154-①통합_가정!$D$551,EA157+EB156)),0))</f>
        <v>0</v>
      </c>
      <c r="EC158" s="283" t="n">
        <f aca="false">IF(EC155=2,MAX(0,EC154),IF(EC155=1,MAX(0,MIN(EC154-①통합_가정!$D$551,EB157+EC156)),0))</f>
        <v>0</v>
      </c>
      <c r="ED158" s="283" t="n">
        <f aca="false">IF(ED155=2,MAX(0,ED154),IF(ED155=1,MAX(0,MIN(ED154-①통합_가정!$D$551,EC157+ED156)),0))</f>
        <v>0</v>
      </c>
      <c r="EE158" s="283" t="n">
        <f aca="false">IF(EE155=2,MAX(0,EE154),IF(EE155=1,MAX(0,MIN(EE154-①통합_가정!$D$551,ED157+EE156)),0))</f>
        <v>0</v>
      </c>
      <c r="EF158" s="283" t="n">
        <f aca="false">IF(EF155=2,MAX(0,EF154),IF(EF155=1,MAX(0,MIN(EF154-①통합_가정!$D$551,EE157+EF156)),0))</f>
        <v>0</v>
      </c>
    </row>
    <row r="159" customFormat="false" ht="15" hidden="false" customHeight="false" outlineLevel="0" collapsed="false">
      <c r="A159" s="280" t="s">
        <v>689</v>
      </c>
      <c r="B159" s="281" t="s">
        <v>21</v>
      </c>
      <c r="C159" s="282" t="n">
        <f aca="false">SUMIF(E6:EF6,①통합_가정!$E$24,E159:EF159)</f>
        <v>0</v>
      </c>
      <c r="D159" s="48"/>
      <c r="E159" s="283" t="n">
        <f aca="false">E154-E158</f>
        <v>13781.8916972571</v>
      </c>
      <c r="F159" s="283" t="n">
        <f aca="false">F154-F158</f>
        <v>13723.3869335344</v>
      </c>
      <c r="G159" s="283" t="n">
        <f aca="false">G154-G158</f>
        <v>13664.7359079025</v>
      </c>
      <c r="H159" s="283" t="n">
        <f aca="false">H154-H158</f>
        <v>2605.93825470643</v>
      </c>
      <c r="I159" s="283" t="n">
        <f aca="false">I154-I158</f>
        <v>2519.49360737739</v>
      </c>
      <c r="J159" s="283" t="n">
        <f aca="false">J154-J158</f>
        <v>2432.83284843003</v>
      </c>
      <c r="K159" s="283" t="n">
        <f aca="false">K154-K158</f>
        <v>2345.9554375853</v>
      </c>
      <c r="L159" s="283" t="n">
        <f aca="false">L154-L158</f>
        <v>2258.86083321345</v>
      </c>
      <c r="M159" s="283" t="n">
        <f aca="false">M154-M158</f>
        <v>2171.54849233068</v>
      </c>
      <c r="N159" s="283" t="n">
        <f aca="false">N154-N158</f>
        <v>2084.0178705957</v>
      </c>
      <c r="O159" s="283" t="n">
        <f aca="false">O154-O158</f>
        <v>1996.26842230639</v>
      </c>
      <c r="P159" s="283" t="n">
        <f aca="false">P154-P158</f>
        <v>1908.29960039635</v>
      </c>
      <c r="Q159" s="283" t="n">
        <f aca="false">Q154-Q158</f>
        <v>69880.2708564315</v>
      </c>
      <c r="R159" s="283" t="n">
        <f aca="false">R154-R158</f>
        <v>69962.0120406068</v>
      </c>
      <c r="S159" s="283" t="n">
        <f aca="false">S154-S158</f>
        <v>70043.9575777425</v>
      </c>
      <c r="T159" s="283" t="n">
        <f aca="false">T154-T158</f>
        <v>70126.1079787211</v>
      </c>
      <c r="U159" s="283" t="n">
        <f aca="false">U154-U158</f>
        <v>70208.4637557021</v>
      </c>
      <c r="V159" s="283" t="n">
        <f aca="false">V154-V158</f>
        <v>70291.0254221256</v>
      </c>
      <c r="W159" s="283" t="n">
        <f aca="false">W154-W158</f>
        <v>101558.248520087</v>
      </c>
      <c r="X159" s="283" t="n">
        <f aca="false">X154-X158</f>
        <v>96062.8172763112</v>
      </c>
      <c r="Y159" s="283" t="n">
        <f aca="false">Y154-Y158</f>
        <v>87702.9610742117</v>
      </c>
      <c r="Z159" s="283" t="n">
        <f aca="false">Z154-Z158</f>
        <v>76511.5993653267</v>
      </c>
      <c r="AA159" s="283" t="n">
        <f aca="false">AA154-AA158</f>
        <v>62537.4519479147</v>
      </c>
      <c r="AB159" s="283" t="n">
        <f aca="false">AB154-AB158</f>
        <v>45844.7664196287</v>
      </c>
      <c r="AC159" s="283" t="n">
        <f aca="false">AC154-AC158</f>
        <v>162633.278792221</v>
      </c>
      <c r="AD159" s="283" t="n">
        <f aca="false">AD154-AD158</f>
        <v>141096.790078108</v>
      </c>
      <c r="AE159" s="283" t="n">
        <f aca="false">AE154-AE158</f>
        <v>117124.508085012</v>
      </c>
      <c r="AF159" s="283" t="n">
        <f aca="false">AF154-AF158</f>
        <v>90838.3644822893</v>
      </c>
      <c r="AG159" s="283" t="n">
        <f aca="false">AG154-AG158</f>
        <v>62373.2006643658</v>
      </c>
      <c r="AH159" s="283" t="n">
        <f aca="false">AH154-AH158</f>
        <v>31876.0135871464</v>
      </c>
      <c r="AI159" s="283" t="n">
        <f aca="false">AI154-AI158</f>
        <v>500</v>
      </c>
      <c r="AJ159" s="283" t="n">
        <f aca="false">AJ154-AJ158</f>
        <v>500</v>
      </c>
      <c r="AK159" s="283" t="n">
        <f aca="false">AK154-AK158</f>
        <v>500</v>
      </c>
      <c r="AL159" s="283" t="n">
        <f aca="false">AL154-AL158</f>
        <v>500</v>
      </c>
      <c r="AM159" s="283" t="n">
        <f aca="false">AM154-AM158</f>
        <v>500</v>
      </c>
      <c r="AN159" s="283" t="n">
        <f aca="false">AN154-AN158</f>
        <v>500</v>
      </c>
      <c r="AO159" s="283" t="n">
        <f aca="false">AO154-AO158</f>
        <v>96049.1485362359</v>
      </c>
      <c r="AP159" s="283" t="n">
        <f aca="false">AP154-AP158</f>
        <v>55287.1781061264</v>
      </c>
      <c r="AQ159" s="283" t="n">
        <f aca="false">AQ154-AQ158</f>
        <v>14207.8644218384</v>
      </c>
      <c r="AR159" s="283" t="n">
        <f aca="false">AR154-AR158</f>
        <v>500</v>
      </c>
      <c r="AS159" s="283" t="n">
        <f aca="false">AS154-AS158</f>
        <v>500</v>
      </c>
      <c r="AT159" s="283" t="n">
        <f aca="false">AT154-AT158</f>
        <v>500</v>
      </c>
      <c r="AU159" s="283" t="n">
        <f aca="false">AU154-AU158</f>
        <v>500</v>
      </c>
      <c r="AV159" s="283" t="n">
        <f aca="false">AV154-AV158</f>
        <v>500</v>
      </c>
      <c r="AW159" s="283" t="n">
        <f aca="false">AW154-AW158</f>
        <v>500</v>
      </c>
      <c r="AX159" s="283" t="n">
        <f aca="false">AX154-AX158</f>
        <v>500</v>
      </c>
      <c r="AY159" s="283" t="n">
        <f aca="false">AY154-AY158</f>
        <v>500</v>
      </c>
      <c r="AZ159" s="283" t="n">
        <f aca="false">AZ154-AZ158</f>
        <v>500</v>
      </c>
      <c r="BA159" s="283" t="n">
        <f aca="false">BA154-BA158</f>
        <v>102916.409197014</v>
      </c>
      <c r="BB159" s="283" t="n">
        <f aca="false">BB154-BB158</f>
        <v>71429.3997667721</v>
      </c>
      <c r="BC159" s="283" t="n">
        <f aca="false">BC154-BC158</f>
        <v>41976.9776691481</v>
      </c>
      <c r="BD159" s="283" t="n">
        <f aca="false">BD154-BD158</f>
        <v>14704.8554209244</v>
      </c>
      <c r="BE159" s="283" t="n">
        <f aca="false">BE154-BE158</f>
        <v>500</v>
      </c>
      <c r="BF159" s="283" t="n">
        <f aca="false">BF154-BF158</f>
        <v>500</v>
      </c>
      <c r="BG159" s="283" t="n">
        <f aca="false">BG154-BG158</f>
        <v>500</v>
      </c>
      <c r="BH159" s="283" t="n">
        <f aca="false">BH154-BH158</f>
        <v>500</v>
      </c>
      <c r="BI159" s="283" t="n">
        <f aca="false">BI154-BI158</f>
        <v>500</v>
      </c>
      <c r="BJ159" s="283" t="n">
        <f aca="false">BJ154-BJ158</f>
        <v>500</v>
      </c>
      <c r="BK159" s="283" t="n">
        <f aca="false">BK154-BK158</f>
        <v>500</v>
      </c>
      <c r="BL159" s="283" t="n">
        <f aca="false">BL154-BL158</f>
        <v>83893.5155897227</v>
      </c>
      <c r="BM159" s="283" t="n">
        <f aca="false">BM154-BM158</f>
        <v>288275.686540244</v>
      </c>
      <c r="BN159" s="283" t="n">
        <f aca="false">BN154-BN158</f>
        <v>288275.686540244</v>
      </c>
      <c r="BO159" s="283" t="n">
        <f aca="false">BO154-BO158</f>
        <v>288275.686540244</v>
      </c>
      <c r="BP159" s="283" t="n">
        <f aca="false">BP154-BP158</f>
        <v>288275.686540244</v>
      </c>
      <c r="BQ159" s="283" t="n">
        <f aca="false">BQ154-BQ158</f>
        <v>288275.686540244</v>
      </c>
      <c r="BR159" s="283" t="n">
        <f aca="false">BR154-BR158</f>
        <v>288275.686540244</v>
      </c>
      <c r="BS159" s="283" t="n">
        <f aca="false">BS154-BS158</f>
        <v>288275.686540244</v>
      </c>
      <c r="BT159" s="283" t="n">
        <f aca="false">BT154-BT158</f>
        <v>288275.686540244</v>
      </c>
      <c r="BU159" s="283" t="n">
        <f aca="false">BU154-BU158</f>
        <v>288275.686540244</v>
      </c>
      <c r="BV159" s="283" t="n">
        <f aca="false">BV154-BV158</f>
        <v>288275.686540244</v>
      </c>
      <c r="BW159" s="283" t="n">
        <f aca="false">BW154-BW158</f>
        <v>288275.686540244</v>
      </c>
      <c r="BX159" s="283" t="n">
        <f aca="false">BX154-BX158</f>
        <v>288275.686540244</v>
      </c>
      <c r="BY159" s="283" t="n">
        <f aca="false">BY154-BY158</f>
        <v>471626.086540244</v>
      </c>
      <c r="BZ159" s="283" t="n">
        <f aca="false">BZ154-BZ158</f>
        <v>471626.086540244</v>
      </c>
      <c r="CA159" s="283" t="n">
        <f aca="false">CA154-CA158</f>
        <v>471626.086540244</v>
      </c>
      <c r="CB159" s="283" t="n">
        <f aca="false">CB154-CB158</f>
        <v>471626.086540244</v>
      </c>
      <c r="CC159" s="283" t="n">
        <f aca="false">CC154-CC158</f>
        <v>471626.086540244</v>
      </c>
      <c r="CD159" s="283" t="n">
        <f aca="false">CD154-CD158</f>
        <v>471626.086540244</v>
      </c>
      <c r="CE159" s="283" t="n">
        <f aca="false">CE154-CE158</f>
        <v>471626.086540244</v>
      </c>
      <c r="CF159" s="283" t="n">
        <f aca="false">CF154-CF158</f>
        <v>471626.086540244</v>
      </c>
      <c r="CG159" s="283" t="n">
        <f aca="false">CG154-CG158</f>
        <v>471626.086540244</v>
      </c>
      <c r="CH159" s="283" t="n">
        <f aca="false">CH154-CH158</f>
        <v>471626.086540244</v>
      </c>
      <c r="CI159" s="283" t="n">
        <f aca="false">CI154-CI158</f>
        <v>471626.086540244</v>
      </c>
      <c r="CJ159" s="283" t="n">
        <f aca="false">CJ154-CJ158</f>
        <v>471626.086540244</v>
      </c>
      <c r="CK159" s="283" t="n">
        <f aca="false">CK154-CK158</f>
        <v>484826.086540245</v>
      </c>
      <c r="CL159" s="283" t="n">
        <f aca="false">CL154-CL158</f>
        <v>484826.086540245</v>
      </c>
      <c r="CM159" s="283" t="n">
        <f aca="false">CM154-CM158</f>
        <v>484826.086540245</v>
      </c>
      <c r="CN159" s="283" t="n">
        <f aca="false">CN154-CN158</f>
        <v>484826.086540245</v>
      </c>
      <c r="CO159" s="283" t="n">
        <f aca="false">CO154-CO158</f>
        <v>484826.086540245</v>
      </c>
      <c r="CP159" s="283" t="n">
        <f aca="false">CP154-CP158</f>
        <v>484826.086540245</v>
      </c>
      <c r="CQ159" s="283" t="n">
        <f aca="false">CQ154-CQ158</f>
        <v>484826.086540245</v>
      </c>
      <c r="CR159" s="283" t="n">
        <f aca="false">CR154-CR158</f>
        <v>484826.086540245</v>
      </c>
      <c r="CS159" s="283" t="n">
        <f aca="false">CS154-CS158</f>
        <v>484826.086540245</v>
      </c>
      <c r="CT159" s="283" t="n">
        <f aca="false">CT154-CT158</f>
        <v>484826.086540245</v>
      </c>
      <c r="CU159" s="283" t="n">
        <f aca="false">CU154-CU158</f>
        <v>484826.086540245</v>
      </c>
      <c r="CV159" s="283" t="n">
        <f aca="false">CV154-CV158</f>
        <v>484826.086540245</v>
      </c>
      <c r="CW159" s="283" t="n">
        <f aca="false">CW154-CW158</f>
        <v>484826.086540244</v>
      </c>
      <c r="CX159" s="283" t="n">
        <f aca="false">CX154-CX158</f>
        <v>484826.086540244</v>
      </c>
      <c r="CY159" s="283" t="n">
        <f aca="false">CY154-CY158</f>
        <v>484826.086540244</v>
      </c>
      <c r="CZ159" s="283" t="n">
        <f aca="false">CZ154-CZ158</f>
        <v>484826.086540244</v>
      </c>
      <c r="DA159" s="283" t="n">
        <f aca="false">DA154-DA158</f>
        <v>484826.086540244</v>
      </c>
      <c r="DB159" s="283" t="n">
        <f aca="false">DB154-DB158</f>
        <v>484826.086540244</v>
      </c>
      <c r="DC159" s="283" t="n">
        <f aca="false">DC154-DC158</f>
        <v>484826.086540244</v>
      </c>
      <c r="DD159" s="283" t="n">
        <f aca="false">DD154-DD158</f>
        <v>484826.086540244</v>
      </c>
      <c r="DE159" s="283" t="n">
        <f aca="false">DE154-DE158</f>
        <v>484826.086540244</v>
      </c>
      <c r="DF159" s="283" t="n">
        <f aca="false">DF154-DF158</f>
        <v>484826.086540244</v>
      </c>
      <c r="DG159" s="283" t="n">
        <f aca="false">DG154-DG158</f>
        <v>484826.086540244</v>
      </c>
      <c r="DH159" s="283" t="n">
        <f aca="false">DH154-DH158</f>
        <v>484826.086540244</v>
      </c>
      <c r="DI159" s="283" t="n">
        <f aca="false">DI154-DI158</f>
        <v>484826.086540244</v>
      </c>
      <c r="DJ159" s="283" t="n">
        <f aca="false">DJ154-DJ158</f>
        <v>484826.086540244</v>
      </c>
      <c r="DK159" s="283" t="n">
        <f aca="false">DK154-DK158</f>
        <v>484826.086540244</v>
      </c>
      <c r="DL159" s="283" t="n">
        <f aca="false">DL154-DL158</f>
        <v>484826.086540244</v>
      </c>
      <c r="DM159" s="283" t="n">
        <f aca="false">DM154-DM158</f>
        <v>484826.086540244</v>
      </c>
      <c r="DN159" s="283" t="n">
        <f aca="false">DN154-DN158</f>
        <v>484826.086540244</v>
      </c>
      <c r="DO159" s="283" t="n">
        <f aca="false">DO154-DO158</f>
        <v>484826.086540244</v>
      </c>
      <c r="DP159" s="283" t="n">
        <f aca="false">DP154-DP158</f>
        <v>484826.086540244</v>
      </c>
      <c r="DQ159" s="283" t="n">
        <f aca="false">DQ154-DQ158</f>
        <v>484826.086540244</v>
      </c>
      <c r="DR159" s="283" t="n">
        <f aca="false">DR154-DR158</f>
        <v>484826.086540244</v>
      </c>
      <c r="DS159" s="283" t="n">
        <f aca="false">DS154-DS158</f>
        <v>484826.086540244</v>
      </c>
      <c r="DT159" s="283" t="n">
        <f aca="false">DT154-DT158</f>
        <v>600549.464905743</v>
      </c>
      <c r="DU159" s="283" t="n">
        <f aca="false">DU154-DU158</f>
        <v>601940.743684633</v>
      </c>
      <c r="DV159" s="283" t="n">
        <f aca="false">DV154-DV158</f>
        <v>603335.50066047</v>
      </c>
      <c r="DW159" s="283" t="n">
        <f aca="false">DW154-DW158</f>
        <v>0</v>
      </c>
      <c r="DX159" s="283" t="n">
        <f aca="false">DX154-DX158</f>
        <v>0</v>
      </c>
      <c r="DY159" s="283" t="n">
        <f aca="false">DY154-DY158</f>
        <v>0</v>
      </c>
      <c r="DZ159" s="283" t="n">
        <f aca="false">DZ154-DZ158</f>
        <v>0</v>
      </c>
      <c r="EA159" s="283" t="n">
        <f aca="false">EA154-EA158</f>
        <v>0</v>
      </c>
      <c r="EB159" s="283" t="n">
        <f aca="false">EB154-EB158</f>
        <v>0</v>
      </c>
      <c r="EC159" s="283" t="n">
        <f aca="false">EC154-EC158</f>
        <v>0</v>
      </c>
      <c r="ED159" s="283" t="n">
        <f aca="false">ED154-ED158</f>
        <v>0</v>
      </c>
      <c r="EE159" s="283" t="n">
        <f aca="false">EE154-EE158</f>
        <v>0</v>
      </c>
      <c r="EF159" s="283" t="n">
        <f aca="false">EF154-EF158</f>
        <v>0</v>
      </c>
    </row>
    <row r="161" customFormat="false" ht="15" hidden="false" customHeight="false" outlineLevel="0" collapsed="false">
      <c r="A161" s="6" t="s">
        <v>690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</row>
    <row r="162" customFormat="false" ht="15" hidden="false" customHeight="false" outlineLevel="0" collapsed="false">
      <c r="A162" s="36" t="s">
        <v>691</v>
      </c>
      <c r="B162" s="278" t="s">
        <v>21</v>
      </c>
      <c r="E162" s="37" t="n">
        <f aca="false">0</f>
        <v>0</v>
      </c>
      <c r="F162" s="37" t="n">
        <f aca="false">E162+E141-E166</f>
        <v>0</v>
      </c>
      <c r="G162" s="37" t="n">
        <f aca="false">F162+F141-F166</f>
        <v>0</v>
      </c>
      <c r="H162" s="37" t="n">
        <f aca="false">G162+G141-G166</f>
        <v>0</v>
      </c>
      <c r="I162" s="37" t="n">
        <f aca="false">H162+H141-H166</f>
        <v>0</v>
      </c>
      <c r="J162" s="37" t="n">
        <f aca="false">I162+I141-I166</f>
        <v>0</v>
      </c>
      <c r="K162" s="37" t="n">
        <f aca="false">J162+J141-J166</f>
        <v>0</v>
      </c>
      <c r="L162" s="37" t="n">
        <f aca="false">K162+K141-K166</f>
        <v>0</v>
      </c>
      <c r="M162" s="37" t="n">
        <f aca="false">L162+L141-L166</f>
        <v>0</v>
      </c>
      <c r="N162" s="37" t="n">
        <f aca="false">M162+M141-M166</f>
        <v>0</v>
      </c>
      <c r="O162" s="37" t="n">
        <f aca="false">N162+N141-N166</f>
        <v>0</v>
      </c>
      <c r="P162" s="37" t="n">
        <f aca="false">O162+O141-O166</f>
        <v>0</v>
      </c>
      <c r="Q162" s="37" t="n">
        <f aca="false">P162+P141-P166</f>
        <v>0</v>
      </c>
      <c r="R162" s="37" t="n">
        <f aca="false">Q162+Q141-Q166</f>
        <v>0</v>
      </c>
      <c r="S162" s="37" t="n">
        <f aca="false">R162+R141-R166</f>
        <v>0</v>
      </c>
      <c r="T162" s="37" t="n">
        <f aca="false">S162+S141-S166</f>
        <v>0</v>
      </c>
      <c r="U162" s="37" t="n">
        <f aca="false">T162+T141-T166</f>
        <v>0</v>
      </c>
      <c r="V162" s="37" t="n">
        <f aca="false">U162+U141-U166</f>
        <v>0</v>
      </c>
      <c r="W162" s="37" t="n">
        <f aca="false">V162+V141-V166</f>
        <v>0</v>
      </c>
      <c r="X162" s="37" t="n">
        <f aca="false">W162+W141-W166</f>
        <v>201164.870175902</v>
      </c>
      <c r="Y162" s="37" t="n">
        <f aca="false">X162+X141-X166</f>
        <v>201164.870175902</v>
      </c>
      <c r="Z162" s="37" t="n">
        <f aca="false">Y162+Y141-Y166</f>
        <v>201164.870175902</v>
      </c>
      <c r="AA162" s="37" t="n">
        <f aca="false">Z162+Z141-Z166</f>
        <v>201164.870175902</v>
      </c>
      <c r="AB162" s="37" t="n">
        <f aca="false">AA162+AA141-AA166</f>
        <v>201164.870175902</v>
      </c>
      <c r="AC162" s="37" t="n">
        <f aca="false">AB162+AB141-AB166</f>
        <v>201164.870175902</v>
      </c>
      <c r="AD162" s="37" t="n">
        <f aca="false">AC162+AC141-AC166</f>
        <v>201164.870175902</v>
      </c>
      <c r="AE162" s="37" t="n">
        <f aca="false">AD162+AD141-AD166</f>
        <v>201164.870175902</v>
      </c>
      <c r="AF162" s="37" t="n">
        <f aca="false">AE162+AE141-AE166</f>
        <v>201164.870175902</v>
      </c>
      <c r="AG162" s="37" t="n">
        <f aca="false">AF162+AF141-AF166</f>
        <v>201164.870175902</v>
      </c>
      <c r="AH162" s="37" t="n">
        <f aca="false">AG162+AG141-AG166</f>
        <v>201164.870175902</v>
      </c>
      <c r="AI162" s="37" t="n">
        <f aca="false">AH162+AH141-AH166</f>
        <v>201164.870175902</v>
      </c>
      <c r="AJ162" s="37" t="n">
        <f aca="false">AI162+AI141-AI166</f>
        <v>201164.870175902</v>
      </c>
      <c r="AK162" s="37" t="n">
        <f aca="false">AJ162+AJ141-AJ166</f>
        <v>201164.870175902</v>
      </c>
      <c r="AL162" s="37" t="n">
        <f aca="false">AK162+AK141-AK166</f>
        <v>201164.870175902</v>
      </c>
      <c r="AM162" s="37" t="n">
        <f aca="false">AL162+AL141-AL166</f>
        <v>201164.870175902</v>
      </c>
      <c r="AN162" s="37" t="n">
        <f aca="false">AM162+AM141-AM166</f>
        <v>201164.870175902</v>
      </c>
      <c r="AO162" s="37" t="n">
        <f aca="false">AN162+AN141-AN166</f>
        <v>201164.870175902</v>
      </c>
      <c r="AP162" s="37" t="n">
        <f aca="false">AO162+AO141-AO166</f>
        <v>201164.870175902</v>
      </c>
      <c r="AQ162" s="37" t="n">
        <f aca="false">AP162+AP141-AP166</f>
        <v>201164.870175902</v>
      </c>
      <c r="AR162" s="37" t="n">
        <f aca="false">AQ162+AQ141-AQ166</f>
        <v>201164.870175902</v>
      </c>
      <c r="AS162" s="37" t="n">
        <f aca="false">AR162+AR141-AR166</f>
        <v>201164.870175902</v>
      </c>
      <c r="AT162" s="37" t="n">
        <f aca="false">AS162+AS141-AS166</f>
        <v>201164.870175902</v>
      </c>
      <c r="AU162" s="37" t="n">
        <f aca="false">AT162+AT141-AT166</f>
        <v>201164.870175902</v>
      </c>
      <c r="AV162" s="37" t="n">
        <f aca="false">AU162+AU141-AU166</f>
        <v>201164.870175902</v>
      </c>
      <c r="AW162" s="37" t="n">
        <f aca="false">AV162+AV141-AV166</f>
        <v>201164.870175902</v>
      </c>
      <c r="AX162" s="37" t="n">
        <f aca="false">AW162+AW141-AW166</f>
        <v>201164.870175902</v>
      </c>
      <c r="AY162" s="37" t="n">
        <f aca="false">AX162+AX141-AX166</f>
        <v>201164.870175902</v>
      </c>
      <c r="AZ162" s="37" t="n">
        <f aca="false">AY162+AY141-AY166</f>
        <v>201164.870175902</v>
      </c>
      <c r="BA162" s="37" t="n">
        <f aca="false">AZ162+AZ141-AZ166</f>
        <v>201164.870175902</v>
      </c>
      <c r="BB162" s="37" t="n">
        <f aca="false">BA162+BA141-BA166</f>
        <v>201164.870175902</v>
      </c>
      <c r="BC162" s="37" t="n">
        <f aca="false">BB162+BB141-BB166</f>
        <v>201164.870175902</v>
      </c>
      <c r="BD162" s="37" t="n">
        <f aca="false">BC162+BC141-BC166</f>
        <v>201164.870175902</v>
      </c>
      <c r="BE162" s="37" t="n">
        <f aca="false">BD162+BD141-BD166</f>
        <v>201164.870175902</v>
      </c>
      <c r="BF162" s="37" t="n">
        <f aca="false">BE162+BE141-BE166</f>
        <v>201164.870175902</v>
      </c>
      <c r="BG162" s="37" t="n">
        <f aca="false">BF162+BF141-BF166</f>
        <v>201164.870175902</v>
      </c>
      <c r="BH162" s="37" t="n">
        <f aca="false">BG162+BG141-BG166</f>
        <v>201164.870175902</v>
      </c>
      <c r="BI162" s="37" t="n">
        <f aca="false">BH162+BH141-BH166</f>
        <v>201164.870175902</v>
      </c>
      <c r="BJ162" s="37" t="n">
        <f aca="false">BI162+BI141-BI166</f>
        <v>201164.870175902</v>
      </c>
      <c r="BK162" s="37" t="n">
        <f aca="false">BJ162+BJ141-BJ166</f>
        <v>201164.870175902</v>
      </c>
      <c r="BL162" s="37" t="n">
        <f aca="false">BK162+BK141-BK166</f>
        <v>201164.870175902</v>
      </c>
      <c r="BM162" s="37" t="n">
        <f aca="false">BL162+BL141-BL166</f>
        <v>201164.870175902</v>
      </c>
      <c r="BN162" s="37" t="n">
        <f aca="false">BM162+BM141-BM166</f>
        <v>201164.870175902</v>
      </c>
      <c r="BO162" s="37" t="n">
        <f aca="false">BN162+BN141-BN166</f>
        <v>201164.870175902</v>
      </c>
      <c r="BP162" s="37" t="n">
        <f aca="false">BO162+BO141-BO166</f>
        <v>201164.870175902</v>
      </c>
      <c r="BQ162" s="37" t="n">
        <f aca="false">BP162+BP141-BP166</f>
        <v>201164.870175902</v>
      </c>
      <c r="BR162" s="37" t="n">
        <f aca="false">BQ162+BQ141-BQ166</f>
        <v>201164.870175902</v>
      </c>
      <c r="BS162" s="37" t="n">
        <f aca="false">BR162+BR141-BR166</f>
        <v>201164.870175902</v>
      </c>
      <c r="BT162" s="37" t="n">
        <f aca="false">BS162+BS141-BS166</f>
        <v>201164.870175902</v>
      </c>
      <c r="BU162" s="37" t="n">
        <f aca="false">BT162+BT141-BT166</f>
        <v>201164.870175902</v>
      </c>
      <c r="BV162" s="37" t="n">
        <f aca="false">BU162+BU141-BU166</f>
        <v>201164.870175902</v>
      </c>
      <c r="BW162" s="37" t="n">
        <f aca="false">BV162+BV141-BV166</f>
        <v>201164.870175902</v>
      </c>
      <c r="BX162" s="37" t="n">
        <f aca="false">BW162+BW141-BW166</f>
        <v>201164.870175902</v>
      </c>
      <c r="BY162" s="37" t="n">
        <f aca="false">BX162+BX141-BX166</f>
        <v>201164.870175902</v>
      </c>
      <c r="BZ162" s="37" t="n">
        <f aca="false">BY162+BY141-BY166</f>
        <v>201164.870175902</v>
      </c>
      <c r="CA162" s="37" t="n">
        <f aca="false">BZ162+BZ141-BZ166</f>
        <v>201164.870175902</v>
      </c>
      <c r="CB162" s="37" t="n">
        <f aca="false">CA162+CA141-CA166</f>
        <v>201164.870175902</v>
      </c>
      <c r="CC162" s="37" t="n">
        <f aca="false">CB162+CB141-CB166</f>
        <v>201164.870175902</v>
      </c>
      <c r="CD162" s="37" t="n">
        <f aca="false">CC162+CC141-CC166</f>
        <v>201164.870175902</v>
      </c>
      <c r="CE162" s="37" t="n">
        <f aca="false">CD162+CD141-CD166</f>
        <v>201164.870175902</v>
      </c>
      <c r="CF162" s="37" t="n">
        <f aca="false">CE162+CE141-CE166</f>
        <v>201164.870175902</v>
      </c>
      <c r="CG162" s="37" t="n">
        <f aca="false">CF162+CF141-CF166</f>
        <v>201164.870175902</v>
      </c>
      <c r="CH162" s="37" t="n">
        <f aca="false">CG162+CG141-CG166</f>
        <v>201164.870175902</v>
      </c>
      <c r="CI162" s="37" t="n">
        <f aca="false">CH162+CH141-CH166</f>
        <v>201164.870175902</v>
      </c>
      <c r="CJ162" s="37" t="n">
        <f aca="false">CI162+CI141-CI166</f>
        <v>201164.870175902</v>
      </c>
      <c r="CK162" s="37" t="n">
        <f aca="false">CJ162+CJ141-CJ166</f>
        <v>201164.870175902</v>
      </c>
      <c r="CL162" s="37" t="n">
        <f aca="false">CK162+CK141-CK166</f>
        <v>201164.870175902</v>
      </c>
      <c r="CM162" s="37" t="n">
        <f aca="false">CL162+CL141-CL166</f>
        <v>201164.870175902</v>
      </c>
      <c r="CN162" s="37" t="n">
        <f aca="false">CM162+CM141-CM166</f>
        <v>201164.870175902</v>
      </c>
      <c r="CO162" s="37" t="n">
        <f aca="false">CN162+CN141-CN166</f>
        <v>201164.870175902</v>
      </c>
      <c r="CP162" s="37" t="n">
        <f aca="false">CO162+CO141-CO166</f>
        <v>201164.870175902</v>
      </c>
      <c r="CQ162" s="37" t="n">
        <f aca="false">CP162+CP141-CP166</f>
        <v>201164.870175902</v>
      </c>
      <c r="CR162" s="37" t="n">
        <f aca="false">CQ162+CQ141-CQ166</f>
        <v>201164.870175902</v>
      </c>
      <c r="CS162" s="37" t="n">
        <f aca="false">CR162+CR141-CR166</f>
        <v>201164.870175902</v>
      </c>
      <c r="CT162" s="37" t="n">
        <f aca="false">CS162+CS141-CS166</f>
        <v>201164.870175902</v>
      </c>
      <c r="CU162" s="37" t="n">
        <f aca="false">CT162+CT141-CT166</f>
        <v>201164.870175902</v>
      </c>
      <c r="CV162" s="37" t="n">
        <f aca="false">CU162+CU141-CU166</f>
        <v>201164.870175902</v>
      </c>
      <c r="CW162" s="37" t="n">
        <f aca="false">CV162+CV141-CV166</f>
        <v>201164.870175902</v>
      </c>
      <c r="CX162" s="37" t="n">
        <f aca="false">CW162+CW141-CW166</f>
        <v>201164.870175902</v>
      </c>
      <c r="CY162" s="37" t="n">
        <f aca="false">CX162+CX141-CX166</f>
        <v>201164.870175902</v>
      </c>
      <c r="CZ162" s="37" t="n">
        <f aca="false">CY162+CY141-CY166</f>
        <v>201164.870175902</v>
      </c>
      <c r="DA162" s="37" t="n">
        <f aca="false">CZ162+CZ141-CZ166</f>
        <v>201164.870175902</v>
      </c>
      <c r="DB162" s="37" t="n">
        <f aca="false">DA162+DA141-DA166</f>
        <v>201164.870175902</v>
      </c>
      <c r="DC162" s="37" t="n">
        <f aca="false">DB162+DB141-DB166</f>
        <v>201164.870175902</v>
      </c>
      <c r="DD162" s="37" t="n">
        <f aca="false">DC162+DC141-DC166</f>
        <v>201164.870175902</v>
      </c>
      <c r="DE162" s="37" t="n">
        <f aca="false">DD162+DD141-DD166</f>
        <v>201164.870175902</v>
      </c>
      <c r="DF162" s="37" t="n">
        <f aca="false">DE162+DE141-DE166</f>
        <v>201164.870175902</v>
      </c>
      <c r="DG162" s="37" t="n">
        <f aca="false">DF162+DF141-DF166</f>
        <v>201164.870175902</v>
      </c>
      <c r="DH162" s="37" t="n">
        <f aca="false">DG162+DG141-DG166</f>
        <v>201164.870175902</v>
      </c>
      <c r="DI162" s="37" t="n">
        <f aca="false">DH162+DH141-DH166</f>
        <v>201164.870175902</v>
      </c>
      <c r="DJ162" s="37" t="n">
        <f aca="false">DI162+DI141-DI166</f>
        <v>201164.870175902</v>
      </c>
      <c r="DK162" s="37" t="n">
        <f aca="false">DJ162+DJ141-DJ166</f>
        <v>201164.870175902</v>
      </c>
      <c r="DL162" s="37" t="n">
        <f aca="false">DK162+DK141-DK166</f>
        <v>201164.870175902</v>
      </c>
      <c r="DM162" s="37" t="n">
        <f aca="false">DL162+DL141-DL166</f>
        <v>201164.870175902</v>
      </c>
      <c r="DN162" s="37" t="n">
        <f aca="false">DM162+DM141-DM166</f>
        <v>201164.870175902</v>
      </c>
      <c r="DO162" s="37" t="n">
        <f aca="false">DN162+DN141-DN166</f>
        <v>201164.870175902</v>
      </c>
      <c r="DP162" s="37" t="n">
        <f aca="false">DO162+DO141-DO166</f>
        <v>201164.870175902</v>
      </c>
      <c r="DQ162" s="37" t="n">
        <f aca="false">DP162+DP141-DP166</f>
        <v>201164.870175902</v>
      </c>
      <c r="DR162" s="37" t="n">
        <f aca="false">DQ162+DQ141-DQ166</f>
        <v>201164.870175902</v>
      </c>
      <c r="DS162" s="37" t="n">
        <f aca="false">DR162+DR141-DR166</f>
        <v>201164.870175902</v>
      </c>
      <c r="DT162" s="37" t="n">
        <f aca="false">DS162+DS141-DS166</f>
        <v>201164.870175902</v>
      </c>
      <c r="DU162" s="37" t="n">
        <f aca="false">DT162+DT141-DT166</f>
        <v>201164.870175902</v>
      </c>
      <c r="DV162" s="37" t="n">
        <f aca="false">DU162+DU141-DU166</f>
        <v>201164.870175902</v>
      </c>
      <c r="DW162" s="37" t="n">
        <f aca="false">DV162+DV141-DV166</f>
        <v>201164.870175902</v>
      </c>
      <c r="DX162" s="37" t="n">
        <f aca="false">DW162+DW141-DW166</f>
        <v>0</v>
      </c>
      <c r="DY162" s="37" t="n">
        <f aca="false">DX162+DX141-DX166</f>
        <v>0</v>
      </c>
      <c r="DZ162" s="37" t="n">
        <f aca="false">DY162+DY141-DY166</f>
        <v>0</v>
      </c>
      <c r="EA162" s="37" t="n">
        <f aca="false">DZ162+DZ141-DZ166</f>
        <v>0</v>
      </c>
      <c r="EB162" s="37" t="n">
        <f aca="false">EA162+EA141-EA166</f>
        <v>0</v>
      </c>
      <c r="EC162" s="37" t="n">
        <f aca="false">EB162+EB141-EB166</f>
        <v>0</v>
      </c>
      <c r="ED162" s="37" t="n">
        <f aca="false">EC162+EC141-EC166</f>
        <v>0</v>
      </c>
      <c r="EE162" s="37" t="n">
        <f aca="false">ED162+ED141-ED166</f>
        <v>0</v>
      </c>
      <c r="EF162" s="37" t="n">
        <f aca="false">EE162+EE141-EE166</f>
        <v>0</v>
      </c>
    </row>
    <row r="163" customFormat="false" ht="15" hidden="false" customHeight="false" outlineLevel="0" collapsed="false">
      <c r="A163" s="36" t="s">
        <v>692</v>
      </c>
      <c r="B163" s="278" t="s">
        <v>21</v>
      </c>
      <c r="E163" s="37" t="n">
        <f aca="false">0</f>
        <v>0</v>
      </c>
      <c r="F163" s="37" t="n">
        <f aca="false">E167</f>
        <v>0</v>
      </c>
      <c r="G163" s="37" t="n">
        <f aca="false">F167</f>
        <v>0</v>
      </c>
      <c r="H163" s="37" t="n">
        <f aca="false">G167</f>
        <v>0</v>
      </c>
      <c r="I163" s="37" t="n">
        <f aca="false">H167</f>
        <v>0</v>
      </c>
      <c r="J163" s="37" t="n">
        <f aca="false">I167</f>
        <v>0</v>
      </c>
      <c r="K163" s="37" t="n">
        <f aca="false">J167</f>
        <v>0</v>
      </c>
      <c r="L163" s="37" t="n">
        <f aca="false">K167</f>
        <v>0</v>
      </c>
      <c r="M163" s="37" t="n">
        <f aca="false">L167</f>
        <v>0</v>
      </c>
      <c r="N163" s="37" t="n">
        <f aca="false">M167</f>
        <v>0</v>
      </c>
      <c r="O163" s="37" t="n">
        <f aca="false">N167</f>
        <v>0</v>
      </c>
      <c r="P163" s="37" t="n">
        <f aca="false">O167</f>
        <v>0</v>
      </c>
      <c r="Q163" s="37" t="n">
        <f aca="false">P167</f>
        <v>0</v>
      </c>
      <c r="R163" s="37" t="n">
        <f aca="false">Q167</f>
        <v>0</v>
      </c>
      <c r="S163" s="37" t="n">
        <f aca="false">R167</f>
        <v>0</v>
      </c>
      <c r="T163" s="37" t="n">
        <f aca="false">S167</f>
        <v>0</v>
      </c>
      <c r="U163" s="37" t="n">
        <f aca="false">T167</f>
        <v>0</v>
      </c>
      <c r="V163" s="37" t="n">
        <f aca="false">U167</f>
        <v>0</v>
      </c>
      <c r="W163" s="37" t="n">
        <f aca="false">V167</f>
        <v>0</v>
      </c>
      <c r="X163" s="37" t="n">
        <f aca="false">W167</f>
        <v>0</v>
      </c>
      <c r="Y163" s="37" t="n">
        <f aca="false">X167</f>
        <v>819.570582018177</v>
      </c>
      <c r="Z163" s="37" t="n">
        <f aca="false">Y167</f>
        <v>1642.48019603693</v>
      </c>
      <c r="AA163" s="37" t="n">
        <f aca="false">Z167</f>
        <v>2468.74244568595</v>
      </c>
      <c r="AB163" s="37" t="n">
        <f aca="false">AA167</f>
        <v>3298.3709900178</v>
      </c>
      <c r="AC163" s="37" t="n">
        <f aca="false">AB167</f>
        <v>4131.37954373371</v>
      </c>
      <c r="AD163" s="37" t="n">
        <f aca="false">AC167</f>
        <v>4967.78187741029</v>
      </c>
      <c r="AE163" s="37" t="n">
        <f aca="false">AD167</f>
        <v>5807.5918177272</v>
      </c>
      <c r="AF163" s="37" t="n">
        <f aca="false">AE167</f>
        <v>6650.8232476957</v>
      </c>
      <c r="AG163" s="37" t="n">
        <f aca="false">AF167</f>
        <v>7497.49010688815</v>
      </c>
      <c r="AH163" s="37" t="n">
        <f aca="false">AG167</f>
        <v>8347.60639166847</v>
      </c>
      <c r="AI163" s="37" t="n">
        <f aca="false">AH167</f>
        <v>9201.18615542348</v>
      </c>
      <c r="AJ163" s="37" t="n">
        <f aca="false">AI167</f>
        <v>10058.2435087952</v>
      </c>
      <c r="AK163" s="37" t="n">
        <f aca="false">AJ167</f>
        <v>10918.7926199143</v>
      </c>
      <c r="AL163" s="37" t="n">
        <f aca="false">AK167</f>
        <v>11782.847714634</v>
      </c>
      <c r="AM163" s="37" t="n">
        <f aca="false">AL167</f>
        <v>12650.4230767655</v>
      </c>
      <c r="AN163" s="37" t="n">
        <f aca="false">AM167</f>
        <v>13521.5330483139</v>
      </c>
      <c r="AO163" s="37" t="n">
        <f aca="false">AN167</f>
        <v>14396.1920297156</v>
      </c>
      <c r="AP163" s="37" t="n">
        <f aca="false">AO167</f>
        <v>15274.4144800761</v>
      </c>
      <c r="AQ163" s="37" t="n">
        <f aca="false">AP167</f>
        <v>16156.2149174088</v>
      </c>
      <c r="AR163" s="37" t="n">
        <f aca="false">AQ167</f>
        <v>17041.6079188757</v>
      </c>
      <c r="AS163" s="37" t="n">
        <f aca="false">AR167</f>
        <v>17930.6081210278</v>
      </c>
      <c r="AT163" s="37" t="n">
        <f aca="false">AS167</f>
        <v>18823.2302200471</v>
      </c>
      <c r="AU163" s="37" t="n">
        <f aca="false">AT167</f>
        <v>19719.4889719899</v>
      </c>
      <c r="AV163" s="37" t="n">
        <f aca="false">AU167</f>
        <v>20619.3991930303</v>
      </c>
      <c r="AW163" s="37" t="n">
        <f aca="false">AV167</f>
        <v>21522.9757597053</v>
      </c>
      <c r="AX163" s="37" t="n">
        <f aca="false">AW167</f>
        <v>22430.233609161</v>
      </c>
      <c r="AY163" s="37" t="n">
        <f aca="false">AX167</f>
        <v>23341.187739399</v>
      </c>
      <c r="AZ163" s="37" t="n">
        <f aca="false">AY167</f>
        <v>24255.8532095249</v>
      </c>
      <c r="BA163" s="37" t="n">
        <f aca="false">AZ167</f>
        <v>25174.2451399967</v>
      </c>
      <c r="BB163" s="37" t="n">
        <f aca="false">BA167</f>
        <v>26096.3787128751</v>
      </c>
      <c r="BC163" s="37" t="n">
        <f aca="false">BB167</f>
        <v>27022.2691720745</v>
      </c>
      <c r="BD163" s="37" t="n">
        <f aca="false">BC167</f>
        <v>27951.9318236148</v>
      </c>
      <c r="BE163" s="37" t="n">
        <f aca="false">BD167</f>
        <v>28885.3820358745</v>
      </c>
      <c r="BF163" s="37" t="n">
        <f aca="false">BE167</f>
        <v>29822.6352398448</v>
      </c>
      <c r="BG163" s="37" t="n">
        <f aca="false">BF167</f>
        <v>30763.7069293847</v>
      </c>
      <c r="BH163" s="37" t="n">
        <f aca="false">BG167</f>
        <v>31708.612661477</v>
      </c>
      <c r="BI163" s="37" t="n">
        <f aca="false">BH167</f>
        <v>32657.3680564858</v>
      </c>
      <c r="BJ163" s="37" t="n">
        <f aca="false">BI167</f>
        <v>33609.9887984143</v>
      </c>
      <c r="BK163" s="37" t="n">
        <f aca="false">BJ167</f>
        <v>34566.4906351642</v>
      </c>
      <c r="BL163" s="37" t="n">
        <f aca="false">BK167</f>
        <v>35526.8893787964</v>
      </c>
      <c r="BM163" s="37" t="n">
        <f aca="false">BL167</f>
        <v>36491.2009057918</v>
      </c>
      <c r="BN163" s="37" t="n">
        <f aca="false">BM167</f>
        <v>32015.248875604</v>
      </c>
      <c r="BO163" s="37" t="n">
        <f aca="false">BN167</f>
        <v>32085.1424001043</v>
      </c>
      <c r="BP163" s="37" t="n">
        <f aca="false">BO167</f>
        <v>32073.0790071592</v>
      </c>
      <c r="BQ163" s="37" t="n">
        <f aca="false">BP167</f>
        <v>32143.2081387739</v>
      </c>
      <c r="BR163" s="37" t="n">
        <f aca="false">BQ167</f>
        <v>32131.3813128357</v>
      </c>
      <c r="BS163" s="37" t="n">
        <f aca="false">BR167</f>
        <v>32119.5063029446</v>
      </c>
      <c r="BT163" s="37" t="n">
        <f aca="false">BS167</f>
        <v>32189.8245851093</v>
      </c>
      <c r="BU163" s="37" t="n">
        <f aca="false">BT167</f>
        <v>32178.1876803438</v>
      </c>
      <c r="BV163" s="37" t="n">
        <f aca="false">BU167</f>
        <v>32248.7450377038</v>
      </c>
      <c r="BW163" s="37" t="n">
        <f aca="false">BV167</f>
        <v>32237.3481821556</v>
      </c>
      <c r="BX163" s="37" t="n">
        <f aca="false">BW167</f>
        <v>32225.9048944071</v>
      </c>
      <c r="BY163" s="37" t="n">
        <f aca="false">BX167</f>
        <v>32378.8983299198</v>
      </c>
      <c r="BZ163" s="37" t="n">
        <f aca="false">BY167</f>
        <v>31372.1928650545</v>
      </c>
      <c r="CA163" s="37" t="n">
        <f aca="false">BZ167</f>
        <v>30053.279279545</v>
      </c>
      <c r="CB163" s="37" t="n">
        <f aca="false">CA167</f>
        <v>28632.2001547948</v>
      </c>
      <c r="CC163" s="37" t="n">
        <f aca="false">CB167</f>
        <v>27302.1234998175</v>
      </c>
      <c r="CD163" s="37" t="n">
        <f aca="false">CC167</f>
        <v>25869.8358258726</v>
      </c>
      <c r="CE163" s="37" t="n">
        <f aca="false">CD167</f>
        <v>24431.7128346503</v>
      </c>
      <c r="CF163" s="37" t="n">
        <f aca="false">CE167</f>
        <v>23084.522874379</v>
      </c>
      <c r="CG163" s="37" t="n">
        <f aca="false">CF167</f>
        <v>21635.0521734161</v>
      </c>
      <c r="CH163" s="37" t="n">
        <f aca="false">CG167</f>
        <v>20276.4682714301</v>
      </c>
      <c r="CI163" s="37" t="n">
        <f aca="false">CH167</f>
        <v>18815.5572084235</v>
      </c>
      <c r="CJ163" s="37" t="n">
        <f aca="false">CI167</f>
        <v>17348.6942129094</v>
      </c>
      <c r="CK163" s="37" t="n">
        <f aca="false">CJ167</f>
        <v>16166.2314020781</v>
      </c>
      <c r="CL163" s="37" t="n">
        <f aca="false">CK167</f>
        <v>14590.9817454537</v>
      </c>
      <c r="CM163" s="37" t="n">
        <f aca="false">CL167</f>
        <v>13078.8922912121</v>
      </c>
      <c r="CN163" s="37" t="n">
        <f aca="false">CM167</f>
        <v>11461.914432888</v>
      </c>
      <c r="CO163" s="37" t="n">
        <f aca="false">CN167</f>
        <v>9937.07677108765</v>
      </c>
      <c r="CP163" s="37" t="n">
        <f aca="false">CO167</f>
        <v>8307.29876742911</v>
      </c>
      <c r="CQ163" s="37" t="n">
        <f aca="false">CP167</f>
        <v>6670.88084644381</v>
      </c>
      <c r="CR163" s="37" t="n">
        <f aca="false">CQ167</f>
        <v>5126.52392076071</v>
      </c>
      <c r="CS163" s="37" t="n">
        <f aca="false">CR167</f>
        <v>3477.14712932217</v>
      </c>
      <c r="CT163" s="37" t="n">
        <f aca="false">CS167</f>
        <v>1919.7785371435</v>
      </c>
      <c r="CU163" s="37" t="n">
        <f aca="false">CT167</f>
        <v>257.337068069458</v>
      </c>
      <c r="CV163" s="37" t="n">
        <f aca="false">CU167</f>
        <v>0</v>
      </c>
      <c r="CW163" s="37" t="n">
        <f aca="false">CV167</f>
        <v>0</v>
      </c>
      <c r="CX163" s="37" t="n">
        <f aca="false">CW167</f>
        <v>0</v>
      </c>
      <c r="CY163" s="37" t="n">
        <f aca="false">CX167</f>
        <v>0</v>
      </c>
      <c r="CZ163" s="37" t="n">
        <f aca="false">CY167</f>
        <v>0</v>
      </c>
      <c r="DA163" s="37" t="n">
        <f aca="false">CZ167</f>
        <v>0</v>
      </c>
      <c r="DB163" s="37" t="n">
        <f aca="false">DA167</f>
        <v>0</v>
      </c>
      <c r="DC163" s="37" t="n">
        <f aca="false">DB167</f>
        <v>0</v>
      </c>
      <c r="DD163" s="37" t="n">
        <f aca="false">DC167</f>
        <v>0</v>
      </c>
      <c r="DE163" s="37" t="n">
        <f aca="false">DD167</f>
        <v>0</v>
      </c>
      <c r="DF163" s="37" t="n">
        <f aca="false">DE167</f>
        <v>0</v>
      </c>
      <c r="DG163" s="37" t="n">
        <f aca="false">DF167</f>
        <v>0</v>
      </c>
      <c r="DH163" s="37" t="n">
        <f aca="false">DG167</f>
        <v>0</v>
      </c>
      <c r="DI163" s="37" t="n">
        <f aca="false">DH167</f>
        <v>0</v>
      </c>
      <c r="DJ163" s="37" t="n">
        <f aca="false">DI167</f>
        <v>0</v>
      </c>
      <c r="DK163" s="37" t="n">
        <f aca="false">DJ167</f>
        <v>0</v>
      </c>
      <c r="DL163" s="37" t="n">
        <f aca="false">DK167</f>
        <v>0</v>
      </c>
      <c r="DM163" s="37" t="n">
        <f aca="false">DL167</f>
        <v>0</v>
      </c>
      <c r="DN163" s="37" t="n">
        <f aca="false">DM167</f>
        <v>0</v>
      </c>
      <c r="DO163" s="37" t="n">
        <f aca="false">DN167</f>
        <v>0</v>
      </c>
      <c r="DP163" s="37" t="n">
        <f aca="false">DO167</f>
        <v>0</v>
      </c>
      <c r="DQ163" s="37" t="n">
        <f aca="false">DP167</f>
        <v>0</v>
      </c>
      <c r="DR163" s="37" t="n">
        <f aca="false">DQ167</f>
        <v>0</v>
      </c>
      <c r="DS163" s="37" t="n">
        <f aca="false">DR167</f>
        <v>0</v>
      </c>
      <c r="DT163" s="37" t="n">
        <f aca="false">DS167</f>
        <v>0</v>
      </c>
      <c r="DU163" s="37" t="n">
        <f aca="false">DT167</f>
        <v>819.570582018177</v>
      </c>
      <c r="DV163" s="37" t="n">
        <f aca="false">DU167</f>
        <v>1642.48019603693</v>
      </c>
      <c r="DW163" s="37" t="n">
        <f aca="false">DV167</f>
        <v>2468.74244568595</v>
      </c>
      <c r="DX163" s="37" t="n">
        <f aca="false">DW167</f>
        <v>0</v>
      </c>
      <c r="DY163" s="37" t="n">
        <f aca="false">DX167</f>
        <v>0</v>
      </c>
      <c r="DZ163" s="37" t="n">
        <f aca="false">DY167</f>
        <v>0</v>
      </c>
      <c r="EA163" s="37" t="n">
        <f aca="false">DZ167</f>
        <v>0</v>
      </c>
      <c r="EB163" s="37" t="n">
        <f aca="false">EA167</f>
        <v>0</v>
      </c>
      <c r="EC163" s="37" t="n">
        <f aca="false">EB167</f>
        <v>0</v>
      </c>
      <c r="ED163" s="37" t="n">
        <f aca="false">EC167</f>
        <v>0</v>
      </c>
      <c r="EE163" s="37" t="n">
        <f aca="false">ED167</f>
        <v>0</v>
      </c>
      <c r="EF163" s="37" t="n">
        <f aca="false">EE167</f>
        <v>0</v>
      </c>
    </row>
    <row r="164" customFormat="false" ht="15" hidden="false" customHeight="false" outlineLevel="0" collapsed="false">
      <c r="A164" s="36" t="s">
        <v>693</v>
      </c>
      <c r="B164" s="278" t="s">
        <v>21</v>
      </c>
      <c r="C164" s="279" t="n">
        <f aca="false">SUM(E164:EF164)</f>
        <v>91331.5592559765</v>
      </c>
      <c r="E164" s="37" t="n">
        <f aca="false">(E162+E163)*①통합_가정!$E$476</f>
        <v>0</v>
      </c>
      <c r="F164" s="37" t="n">
        <f aca="false">(F162+F163)*①통합_가정!$E$476</f>
        <v>0</v>
      </c>
      <c r="G164" s="37" t="n">
        <f aca="false">(G162+G163)*①통합_가정!$E$476</f>
        <v>0</v>
      </c>
      <c r="H164" s="37" t="n">
        <f aca="false">(H162+H163)*①통합_가정!$E$476</f>
        <v>0</v>
      </c>
      <c r="I164" s="37" t="n">
        <f aca="false">(I162+I163)*①통합_가정!$E$476</f>
        <v>0</v>
      </c>
      <c r="J164" s="37" t="n">
        <f aca="false">(J162+J163)*①통합_가정!$E$476</f>
        <v>0</v>
      </c>
      <c r="K164" s="37" t="n">
        <f aca="false">(K162+K163)*①통합_가정!$E$476</f>
        <v>0</v>
      </c>
      <c r="L164" s="37" t="n">
        <f aca="false">(L162+L163)*①통합_가정!$E$476</f>
        <v>0</v>
      </c>
      <c r="M164" s="37" t="n">
        <f aca="false">(M162+M163)*①통합_가정!$E$476</f>
        <v>0</v>
      </c>
      <c r="N164" s="37" t="n">
        <f aca="false">(N162+N163)*①통합_가정!$E$476</f>
        <v>0</v>
      </c>
      <c r="O164" s="37" t="n">
        <f aca="false">(O162+O163)*①통합_가정!$E$476</f>
        <v>0</v>
      </c>
      <c r="P164" s="37" t="n">
        <f aca="false">(P162+P163)*①통합_가정!$E$476</f>
        <v>0</v>
      </c>
      <c r="Q164" s="37" t="n">
        <f aca="false">(Q162+Q163)*①통합_가정!$E$476</f>
        <v>0</v>
      </c>
      <c r="R164" s="37" t="n">
        <f aca="false">(R162+R163)*①통합_가정!$E$476</f>
        <v>0</v>
      </c>
      <c r="S164" s="37" t="n">
        <f aca="false">(S162+S163)*①통합_가정!$E$476</f>
        <v>0</v>
      </c>
      <c r="T164" s="37" t="n">
        <f aca="false">(T162+T163)*①통합_가정!$E$476</f>
        <v>0</v>
      </c>
      <c r="U164" s="37" t="n">
        <f aca="false">(U162+U163)*①통합_가정!$E$476</f>
        <v>0</v>
      </c>
      <c r="V164" s="37" t="n">
        <f aca="false">(V162+V163)*①통합_가정!$E$476</f>
        <v>0</v>
      </c>
      <c r="W164" s="37" t="n">
        <f aca="false">(W162+W163)*①통합_가정!$E$476</f>
        <v>0</v>
      </c>
      <c r="X164" s="37" t="n">
        <f aca="false">(X162+X163)*①통합_가정!$E$476</f>
        <v>819.570582018177</v>
      </c>
      <c r="Y164" s="37" t="n">
        <f aca="false">(Y162+Y163)*①통합_가정!$E$476</f>
        <v>822.909614018756</v>
      </c>
      <c r="Z164" s="37" t="n">
        <f aca="false">(Z162+Z163)*①통합_가정!$E$476</f>
        <v>826.262249649022</v>
      </c>
      <c r="AA164" s="37" t="n">
        <f aca="false">(AA162+AA163)*①통합_가정!$E$476</f>
        <v>829.628544331848</v>
      </c>
      <c r="AB164" s="37" t="n">
        <f aca="false">(AB162+AB163)*①통합_가정!$E$476</f>
        <v>833.008553715904</v>
      </c>
      <c r="AC164" s="37" t="n">
        <f aca="false">(AC162+AC163)*①통합_가정!$E$476</f>
        <v>836.402333676581</v>
      </c>
      <c r="AD164" s="37" t="n">
        <f aca="false">(AD162+AD163)*①통합_가정!$E$476</f>
        <v>839.809940316911</v>
      </c>
      <c r="AE164" s="37" t="n">
        <f aca="false">(AE162+AE163)*①통합_가정!$E$476</f>
        <v>843.231429968501</v>
      </c>
      <c r="AF164" s="37" t="n">
        <f aca="false">(AF162+AF163)*①통합_가정!$E$476</f>
        <v>846.666859192455</v>
      </c>
      <c r="AG164" s="37" t="n">
        <f aca="false">(AG162+AG163)*①통합_가정!$E$476</f>
        <v>850.116284780318</v>
      </c>
      <c r="AH164" s="37" t="n">
        <f aca="false">(AH162+AH163)*①통합_가정!$E$476</f>
        <v>853.579763755008</v>
      </c>
      <c r="AI164" s="37" t="n">
        <f aca="false">(AI162+AI163)*①통합_가정!$E$476</f>
        <v>857.057353371764</v>
      </c>
      <c r="AJ164" s="37" t="n">
        <f aca="false">(AJ162+AJ163)*①통합_가정!$E$476</f>
        <v>860.549111119086</v>
      </c>
      <c r="AK164" s="37" t="n">
        <f aca="false">(AK162+AK163)*①통합_가정!$E$476</f>
        <v>864.055094719694</v>
      </c>
      <c r="AL164" s="37" t="n">
        <f aca="false">(AL162+AL163)*①통합_가정!$E$476</f>
        <v>867.575362131474</v>
      </c>
      <c r="AM164" s="37" t="n">
        <f aca="false">(AM162+AM163)*①통합_가정!$E$476</f>
        <v>871.109971548441</v>
      </c>
      <c r="AN164" s="37" t="n">
        <f aca="false">(AN162+AN163)*①통합_가정!$E$476</f>
        <v>874.6589814017</v>
      </c>
      <c r="AO164" s="37" t="n">
        <f aca="false">(AO162+AO163)*①통합_가정!$E$476</f>
        <v>878.22245036041</v>
      </c>
      <c r="AP164" s="37" t="n">
        <f aca="false">(AP162+AP163)*①통합_가정!$E$476</f>
        <v>881.800437332757</v>
      </c>
      <c r="AQ164" s="37" t="n">
        <f aca="false">(AQ162+AQ163)*①통합_가정!$E$476</f>
        <v>885.393001466926</v>
      </c>
      <c r="AR164" s="37" t="n">
        <f aca="false">(AR162+AR163)*①통합_가정!$E$476</f>
        <v>889.000202152079</v>
      </c>
      <c r="AS164" s="37" t="n">
        <f aca="false">(AS162+AS163)*①통합_가정!$E$476</f>
        <v>892.622099019335</v>
      </c>
      <c r="AT164" s="37" t="n">
        <f aca="false">(AT162+AT163)*①통합_가정!$E$476</f>
        <v>896.258751942759</v>
      </c>
      <c r="AU164" s="37" t="n">
        <f aca="false">(AU162+AU163)*①통합_가정!$E$476</f>
        <v>899.910221040352</v>
      </c>
      <c r="AV164" s="37" t="n">
        <f aca="false">(AV162+AV163)*①통합_가정!$E$476</f>
        <v>903.576566675041</v>
      </c>
      <c r="AW164" s="37" t="n">
        <f aca="false">(AW162+AW163)*①통합_가정!$E$476</f>
        <v>907.257849455679</v>
      </c>
      <c r="AX164" s="37" t="n">
        <f aca="false">(AX162+AX163)*①통합_가정!$E$476</f>
        <v>910.954130238048</v>
      </c>
      <c r="AY164" s="37" t="n">
        <f aca="false">(AY162+AY163)*①통합_가정!$E$476</f>
        <v>914.665470125864</v>
      </c>
      <c r="AZ164" s="37" t="n">
        <f aca="false">(AZ162+AZ163)*①통합_가정!$E$476</f>
        <v>918.391930471785</v>
      </c>
      <c r="BA164" s="37" t="n">
        <f aca="false">(BA162+BA163)*①통합_가정!$E$476</f>
        <v>922.133572878431</v>
      </c>
      <c r="BB164" s="37" t="n">
        <f aca="false">(BB162+BB163)*①통합_가정!$E$476</f>
        <v>925.890459199396</v>
      </c>
      <c r="BC164" s="37" t="n">
        <f aca="false">(BC162+BC163)*①통합_가정!$E$476</f>
        <v>929.662651540273</v>
      </c>
      <c r="BD164" s="37" t="n">
        <f aca="false">(BD162+BD163)*①통합_가정!$E$476</f>
        <v>933.450212259683</v>
      </c>
      <c r="BE164" s="37" t="n">
        <f aca="false">(BE162+BE163)*①통합_가정!$E$476</f>
        <v>937.253203970302</v>
      </c>
      <c r="BF164" s="37" t="n">
        <f aca="false">(BF162+BF163)*①통합_가정!$E$476</f>
        <v>941.071689539898</v>
      </c>
      <c r="BG164" s="37" t="n">
        <f aca="false">(BG162+BG163)*①통합_가정!$E$476</f>
        <v>944.905732092371</v>
      </c>
      <c r="BH164" s="37" t="n">
        <f aca="false">(BH162+BH163)*①통합_가정!$E$476</f>
        <v>948.755395008794</v>
      </c>
      <c r="BI164" s="37" t="n">
        <f aca="false">(BI162+BI163)*①통합_가정!$E$476</f>
        <v>952.620741928464</v>
      </c>
      <c r="BJ164" s="37" t="n">
        <f aca="false">(BJ162+BJ163)*①통합_가정!$E$476</f>
        <v>956.501836749951</v>
      </c>
      <c r="BK164" s="37" t="n">
        <f aca="false">(BK162+BK163)*①통합_가정!$E$476</f>
        <v>960.398743632157</v>
      </c>
      <c r="BL164" s="37" t="n">
        <f aca="false">(BL162+BL163)*①통합_가정!$E$476</f>
        <v>964.311526995375</v>
      </c>
      <c r="BM164" s="37" t="n">
        <f aca="false">(BM162+BM163)*①통합_가정!$E$476</f>
        <v>968.240251522353</v>
      </c>
      <c r="BN164" s="37" t="n">
        <f aca="false">(BN162+BN163)*①통합_가정!$E$476</f>
        <v>950.004668901696</v>
      </c>
      <c r="BO164" s="37" t="n">
        <f aca="false">(BO162+BO163)*①통합_가정!$E$476</f>
        <v>950.289423772186</v>
      </c>
      <c r="BP164" s="37" t="n">
        <f aca="false">(BP162+BP163)*①통합_가정!$E$476</f>
        <v>950.240276016077</v>
      </c>
      <c r="BQ164" s="37" t="n">
        <f aca="false">(BQ162+BQ163)*①통합_가정!$E$476</f>
        <v>950.525990779115</v>
      </c>
      <c r="BR164" s="37" t="n">
        <f aca="false">(BR162+BR163)*①통합_가정!$E$476</f>
        <v>950.477806826275</v>
      </c>
      <c r="BS164" s="37" t="n">
        <f aca="false">(BS162+BS163)*①통합_가정!$E$476</f>
        <v>950.429426566047</v>
      </c>
      <c r="BT164" s="37" t="n">
        <f aca="false">(BT162+BT163)*①통합_가정!$E$476</f>
        <v>950.715911951839</v>
      </c>
      <c r="BU164" s="37" t="n">
        <f aca="false">(BU162+BU163)*①통합_가정!$E$476</f>
        <v>950.668501761366</v>
      </c>
      <c r="BV164" s="37" t="n">
        <f aca="false">(BV162+BV163)*①통합_가정!$E$476</f>
        <v>950.955961169098</v>
      </c>
      <c r="BW164" s="37" t="n">
        <f aca="false">(BW162+BW163)*①통합_가정!$E$476</f>
        <v>950.90952896885</v>
      </c>
      <c r="BX164" s="37" t="n">
        <f aca="false">(BX162+BX163)*①통합_가정!$E$476</f>
        <v>950.862907598071</v>
      </c>
      <c r="BY164" s="37" t="n">
        <f aca="false">(BY162+BY163)*①통합_가정!$E$476</f>
        <v>951.486221792435</v>
      </c>
      <c r="BZ164" s="37" t="n">
        <f aca="false">(BZ162+BZ163)*①통합_가정!$E$476</f>
        <v>947.384779114898</v>
      </c>
      <c r="CA164" s="37" t="n">
        <f aca="false">(CA162+CA163)*①통합_가정!$E$476</f>
        <v>942.011361907597</v>
      </c>
      <c r="CB164" s="37" t="n">
        <f aca="false">(CB162+CB163)*①통합_가정!$E$476</f>
        <v>936.221709647007</v>
      </c>
      <c r="CC164" s="37" t="n">
        <f aca="false">(CC162+CC163)*①통합_가정!$E$476</f>
        <v>930.802812712888</v>
      </c>
      <c r="CD164" s="37" t="n">
        <f aca="false">(CD162+CD163)*①통합_가정!$E$476</f>
        <v>924.967495435443</v>
      </c>
      <c r="CE164" s="37" t="n">
        <f aca="false">(CE162+CE163)*①통합_가정!$E$476</f>
        <v>919.108404353092</v>
      </c>
      <c r="CF164" s="37" t="n">
        <f aca="false">(CF162+CF163)*①통합_가정!$E$476</f>
        <v>913.619785694859</v>
      </c>
      <c r="CG164" s="37" t="n">
        <f aca="false">(CG162+CG163)*①통합_가정!$E$476</f>
        <v>907.714462638364</v>
      </c>
      <c r="CH164" s="37" t="n">
        <f aca="false">(CH162+CH163)*①통합_가정!$E$476</f>
        <v>902.179423651201</v>
      </c>
      <c r="CI164" s="37" t="n">
        <f aca="false">(CI162+CI163)*①통합_가정!$E$476</f>
        <v>896.227491143611</v>
      </c>
      <c r="CJ164" s="37" t="n">
        <f aca="false">(CJ162+CJ163)*①통합_가정!$E$476</f>
        <v>890.251309726233</v>
      </c>
      <c r="CK164" s="37" t="n">
        <f aca="false">(CK162+CK163)*①통합_가정!$E$476</f>
        <v>885.433809865346</v>
      </c>
      <c r="CL164" s="37" t="n">
        <f aca="false">(CL162+CL163)*①통합_가정!$E$476</f>
        <v>879.016047774109</v>
      </c>
      <c r="CM164" s="37" t="n">
        <f aca="false">(CM162+CM163)*①통합_가정!$E$476</f>
        <v>872.855608165579</v>
      </c>
      <c r="CN164" s="37" t="n">
        <f aca="false">(CN162+CN163)*①통합_가정!$E$476</f>
        <v>866.267840215348</v>
      </c>
      <c r="CO164" s="37" t="n">
        <f aca="false">(CO162+CO163)*①통합_가정!$E$476</f>
        <v>860.055462831205</v>
      </c>
      <c r="CP164" s="37" t="n">
        <f aca="false">(CP162+CP163)*①통합_가정!$E$476</f>
        <v>853.415545504432</v>
      </c>
      <c r="CQ164" s="37" t="n">
        <f aca="false">(CQ162+CQ163)*①통합_가정!$E$476</f>
        <v>846.748576332558</v>
      </c>
      <c r="CR164" s="37" t="n">
        <f aca="false">(CR162+CR163)*①통합_가정!$E$476</f>
        <v>840.45667505119</v>
      </c>
      <c r="CS164" s="37" t="n">
        <f aca="false">(CS162+CS163)*①통합_가정!$E$476</f>
        <v>833.736909836993</v>
      </c>
      <c r="CT164" s="37" t="n">
        <f aca="false">(CT162+CT163)*①통합_가정!$E$476</f>
        <v>827.391997415691</v>
      </c>
      <c r="CU164" s="37" t="n">
        <f aca="false">(CU162+CU163)*①통합_가정!$E$476</f>
        <v>820.619005087613</v>
      </c>
      <c r="CV164" s="37" t="n">
        <f aca="false">(CV162+CV163)*①통합_가정!$E$476</f>
        <v>819.570582018177</v>
      </c>
      <c r="CW164" s="37" t="n">
        <f aca="false">(CW162+CW163)*①통합_가정!$E$476</f>
        <v>819.570582018177</v>
      </c>
      <c r="CX164" s="37" t="n">
        <f aca="false">(CX162+CX163)*①통합_가정!$E$476</f>
        <v>819.570582018177</v>
      </c>
      <c r="CY164" s="37" t="n">
        <f aca="false">(CY162+CY163)*①통합_가정!$E$476</f>
        <v>819.570582018177</v>
      </c>
      <c r="CZ164" s="37" t="n">
        <f aca="false">(CZ162+CZ163)*①통합_가정!$E$476</f>
        <v>819.570582018177</v>
      </c>
      <c r="DA164" s="37" t="n">
        <f aca="false">(DA162+DA163)*①통합_가정!$E$476</f>
        <v>819.570582018177</v>
      </c>
      <c r="DB164" s="37" t="n">
        <f aca="false">(DB162+DB163)*①통합_가정!$E$476</f>
        <v>819.570582018177</v>
      </c>
      <c r="DC164" s="37" t="n">
        <f aca="false">(DC162+DC163)*①통합_가정!$E$476</f>
        <v>819.570582018177</v>
      </c>
      <c r="DD164" s="37" t="n">
        <f aca="false">(DD162+DD163)*①통합_가정!$E$476</f>
        <v>819.570582018177</v>
      </c>
      <c r="DE164" s="37" t="n">
        <f aca="false">(DE162+DE163)*①통합_가정!$E$476</f>
        <v>819.570582018177</v>
      </c>
      <c r="DF164" s="37" t="n">
        <f aca="false">(DF162+DF163)*①통합_가정!$E$476</f>
        <v>819.570582018177</v>
      </c>
      <c r="DG164" s="37" t="n">
        <f aca="false">(DG162+DG163)*①통합_가정!$E$476</f>
        <v>819.570582018177</v>
      </c>
      <c r="DH164" s="37" t="n">
        <f aca="false">(DH162+DH163)*①통합_가정!$E$476</f>
        <v>819.570582018177</v>
      </c>
      <c r="DI164" s="37" t="n">
        <f aca="false">(DI162+DI163)*①통합_가정!$E$476</f>
        <v>819.570582018177</v>
      </c>
      <c r="DJ164" s="37" t="n">
        <f aca="false">(DJ162+DJ163)*①통합_가정!$E$476</f>
        <v>819.570582018177</v>
      </c>
      <c r="DK164" s="37" t="n">
        <f aca="false">(DK162+DK163)*①통합_가정!$E$476</f>
        <v>819.570582018177</v>
      </c>
      <c r="DL164" s="37" t="n">
        <f aca="false">(DL162+DL163)*①통합_가정!$E$476</f>
        <v>819.570582018177</v>
      </c>
      <c r="DM164" s="37" t="n">
        <f aca="false">(DM162+DM163)*①통합_가정!$E$476</f>
        <v>819.570582018177</v>
      </c>
      <c r="DN164" s="37" t="n">
        <f aca="false">(DN162+DN163)*①통합_가정!$E$476</f>
        <v>819.570582018177</v>
      </c>
      <c r="DO164" s="37" t="n">
        <f aca="false">(DO162+DO163)*①통합_가정!$E$476</f>
        <v>819.570582018177</v>
      </c>
      <c r="DP164" s="37" t="n">
        <f aca="false">(DP162+DP163)*①통합_가정!$E$476</f>
        <v>819.570582018177</v>
      </c>
      <c r="DQ164" s="37" t="n">
        <f aca="false">(DQ162+DQ163)*①통합_가정!$E$476</f>
        <v>819.570582018177</v>
      </c>
      <c r="DR164" s="37" t="n">
        <f aca="false">(DR162+DR163)*①통합_가정!$E$476</f>
        <v>819.570582018177</v>
      </c>
      <c r="DS164" s="37" t="n">
        <f aca="false">(DS162+DS163)*①통합_가정!$E$476</f>
        <v>819.570582018177</v>
      </c>
      <c r="DT164" s="37" t="n">
        <f aca="false">(DT162+DT163)*①통합_가정!$E$476</f>
        <v>819.570582018177</v>
      </c>
      <c r="DU164" s="37" t="n">
        <f aca="false">(DU162+DU163)*①통합_가정!$E$476</f>
        <v>822.909614018756</v>
      </c>
      <c r="DV164" s="37" t="n">
        <f aca="false">(DV162+DV163)*①통합_가정!$E$476</f>
        <v>826.262249649022</v>
      </c>
      <c r="DW164" s="37" t="n">
        <f aca="false">(DW162+DW163)*①통합_가정!$E$476</f>
        <v>829.628544331848</v>
      </c>
      <c r="DX164" s="37" t="n">
        <f aca="false">(DX162+DX163)*①통합_가정!$E$476</f>
        <v>0</v>
      </c>
      <c r="DY164" s="37" t="n">
        <f aca="false">(DY162+DY163)*①통합_가정!$E$476</f>
        <v>0</v>
      </c>
      <c r="DZ164" s="37" t="n">
        <f aca="false">(DZ162+DZ163)*①통합_가정!$E$476</f>
        <v>0</v>
      </c>
      <c r="EA164" s="37" t="n">
        <f aca="false">(EA162+EA163)*①통합_가정!$E$476</f>
        <v>0</v>
      </c>
      <c r="EB164" s="37" t="n">
        <f aca="false">(EB162+EB163)*①통합_가정!$E$476</f>
        <v>0</v>
      </c>
      <c r="EC164" s="37" t="n">
        <f aca="false">(EC162+EC163)*①통합_가정!$E$476</f>
        <v>0</v>
      </c>
      <c r="ED164" s="37" t="n">
        <f aca="false">(ED162+ED163)*①통합_가정!$E$476</f>
        <v>0</v>
      </c>
      <c r="EE164" s="37" t="n">
        <f aca="false">(EE162+EE163)*①통합_가정!$E$476</f>
        <v>0</v>
      </c>
      <c r="EF164" s="37" t="n">
        <f aca="false">(EF162+EF163)*①통합_가정!$E$476</f>
        <v>0</v>
      </c>
    </row>
    <row r="165" customFormat="false" ht="15" hidden="false" customHeight="false" outlineLevel="0" collapsed="false">
      <c r="A165" s="36" t="s">
        <v>694</v>
      </c>
      <c r="B165" s="278" t="s">
        <v>21</v>
      </c>
      <c r="C165" s="279" t="n">
        <f aca="false">SUM(E165:EF165)</f>
        <v>91331.5592559765</v>
      </c>
      <c r="E165" s="37" t="n">
        <f aca="false">MIN(E158,E163+E164)</f>
        <v>0</v>
      </c>
      <c r="F165" s="37" t="n">
        <f aca="false">MIN(F158,F163+F164)</f>
        <v>0</v>
      </c>
      <c r="G165" s="37" t="n">
        <f aca="false">MIN(G158,G163+G164)</f>
        <v>0</v>
      </c>
      <c r="H165" s="37" t="n">
        <f aca="false">MIN(H158,H163+H164)</f>
        <v>0</v>
      </c>
      <c r="I165" s="37" t="n">
        <f aca="false">MIN(I158,I163+I164)</f>
        <v>0</v>
      </c>
      <c r="J165" s="37" t="n">
        <f aca="false">MIN(J158,J163+J164)</f>
        <v>0</v>
      </c>
      <c r="K165" s="37" t="n">
        <f aca="false">MIN(K158,K163+K164)</f>
        <v>0</v>
      </c>
      <c r="L165" s="37" t="n">
        <f aca="false">MIN(L158,L163+L164)</f>
        <v>0</v>
      </c>
      <c r="M165" s="37" t="n">
        <f aca="false">MIN(M158,M163+M164)</f>
        <v>0</v>
      </c>
      <c r="N165" s="37" t="n">
        <f aca="false">MIN(N158,N163+N164)</f>
        <v>0</v>
      </c>
      <c r="O165" s="37" t="n">
        <f aca="false">MIN(O158,O163+O164)</f>
        <v>0</v>
      </c>
      <c r="P165" s="37" t="n">
        <f aca="false">MIN(P158,P163+P164)</f>
        <v>0</v>
      </c>
      <c r="Q165" s="37" t="n">
        <f aca="false">MIN(Q158,Q163+Q164)</f>
        <v>0</v>
      </c>
      <c r="R165" s="37" t="n">
        <f aca="false">MIN(R158,R163+R164)</f>
        <v>0</v>
      </c>
      <c r="S165" s="37" t="n">
        <f aca="false">MIN(S158,S163+S164)</f>
        <v>0</v>
      </c>
      <c r="T165" s="37" t="n">
        <f aca="false">MIN(T158,T163+T164)</f>
        <v>0</v>
      </c>
      <c r="U165" s="37" t="n">
        <f aca="false">MIN(U158,U163+U164)</f>
        <v>0</v>
      </c>
      <c r="V165" s="37" t="n">
        <f aca="false">MIN(V158,V163+V164)</f>
        <v>0</v>
      </c>
      <c r="W165" s="37" t="n">
        <f aca="false">MIN(W158,W163+W164)</f>
        <v>0</v>
      </c>
      <c r="X165" s="37" t="n">
        <f aca="false">MIN(X158,X163+X164)</f>
        <v>0</v>
      </c>
      <c r="Y165" s="37" t="n">
        <f aca="false">MIN(Y158,Y163+Y164)</f>
        <v>0</v>
      </c>
      <c r="Z165" s="37" t="n">
        <f aca="false">MIN(Z158,Z163+Z164)</f>
        <v>0</v>
      </c>
      <c r="AA165" s="37" t="n">
        <f aca="false">MIN(AA158,AA163+AA164)</f>
        <v>0</v>
      </c>
      <c r="AB165" s="37" t="n">
        <f aca="false">MIN(AB158,AB163+AB164)</f>
        <v>0</v>
      </c>
      <c r="AC165" s="37" t="n">
        <f aca="false">MIN(AC158,AC163+AC164)</f>
        <v>0</v>
      </c>
      <c r="AD165" s="37" t="n">
        <f aca="false">MIN(AD158,AD163+AD164)</f>
        <v>0</v>
      </c>
      <c r="AE165" s="37" t="n">
        <f aca="false">MIN(AE158,AE163+AE164)</f>
        <v>0</v>
      </c>
      <c r="AF165" s="37" t="n">
        <f aca="false">MIN(AF158,AF163+AF164)</f>
        <v>0</v>
      </c>
      <c r="AG165" s="37" t="n">
        <f aca="false">MIN(AG158,AG163+AG164)</f>
        <v>0</v>
      </c>
      <c r="AH165" s="37" t="n">
        <f aca="false">MIN(AH158,AH163+AH164)</f>
        <v>0</v>
      </c>
      <c r="AI165" s="37" t="n">
        <f aca="false">MIN(AI158,AI163+AI164)</f>
        <v>0</v>
      </c>
      <c r="AJ165" s="37" t="n">
        <f aca="false">MIN(AJ158,AJ163+AJ164)</f>
        <v>0</v>
      </c>
      <c r="AK165" s="37" t="n">
        <f aca="false">MIN(AK158,AK163+AK164)</f>
        <v>0</v>
      </c>
      <c r="AL165" s="37" t="n">
        <f aca="false">MIN(AL158,AL163+AL164)</f>
        <v>0</v>
      </c>
      <c r="AM165" s="37" t="n">
        <f aca="false">MIN(AM158,AM163+AM164)</f>
        <v>0</v>
      </c>
      <c r="AN165" s="37" t="n">
        <f aca="false">MIN(AN158,AN163+AN164)</f>
        <v>0</v>
      </c>
      <c r="AO165" s="37" t="n">
        <f aca="false">MIN(AO158,AO163+AO164)</f>
        <v>0</v>
      </c>
      <c r="AP165" s="37" t="n">
        <f aca="false">MIN(AP158,AP163+AP164)</f>
        <v>0</v>
      </c>
      <c r="AQ165" s="37" t="n">
        <f aca="false">MIN(AQ158,AQ163+AQ164)</f>
        <v>0</v>
      </c>
      <c r="AR165" s="37" t="n">
        <f aca="false">MIN(AR158,AR163+AR164)</f>
        <v>0</v>
      </c>
      <c r="AS165" s="37" t="n">
        <f aca="false">MIN(AS158,AS163+AS164)</f>
        <v>0</v>
      </c>
      <c r="AT165" s="37" t="n">
        <f aca="false">MIN(AT158,AT163+AT164)</f>
        <v>0</v>
      </c>
      <c r="AU165" s="37" t="n">
        <f aca="false">MIN(AU158,AU163+AU164)</f>
        <v>0</v>
      </c>
      <c r="AV165" s="37" t="n">
        <f aca="false">MIN(AV158,AV163+AV164)</f>
        <v>0</v>
      </c>
      <c r="AW165" s="37" t="n">
        <f aca="false">MIN(AW158,AW163+AW164)</f>
        <v>0</v>
      </c>
      <c r="AX165" s="37" t="n">
        <f aca="false">MIN(AX158,AX163+AX164)</f>
        <v>0</v>
      </c>
      <c r="AY165" s="37" t="n">
        <f aca="false">MIN(AY158,AY163+AY164)</f>
        <v>0</v>
      </c>
      <c r="AZ165" s="37" t="n">
        <f aca="false">MIN(AZ158,AZ163+AZ164)</f>
        <v>0</v>
      </c>
      <c r="BA165" s="37" t="n">
        <f aca="false">MIN(BA158,BA163+BA164)</f>
        <v>0</v>
      </c>
      <c r="BB165" s="37" t="n">
        <f aca="false">MIN(BB158,BB163+BB164)</f>
        <v>0</v>
      </c>
      <c r="BC165" s="37" t="n">
        <f aca="false">MIN(BC158,BC163+BC164)</f>
        <v>0</v>
      </c>
      <c r="BD165" s="37" t="n">
        <f aca="false">MIN(BD158,BD163+BD164)</f>
        <v>0</v>
      </c>
      <c r="BE165" s="37" t="n">
        <f aca="false">MIN(BE158,BE163+BE164)</f>
        <v>0</v>
      </c>
      <c r="BF165" s="37" t="n">
        <f aca="false">MIN(BF158,BF163+BF164)</f>
        <v>0</v>
      </c>
      <c r="BG165" s="37" t="n">
        <f aca="false">MIN(BG158,BG163+BG164)</f>
        <v>0</v>
      </c>
      <c r="BH165" s="37" t="n">
        <f aca="false">MIN(BH158,BH163+BH164)</f>
        <v>0</v>
      </c>
      <c r="BI165" s="37" t="n">
        <f aca="false">MIN(BI158,BI163+BI164)</f>
        <v>0</v>
      </c>
      <c r="BJ165" s="37" t="n">
        <f aca="false">MIN(BJ158,BJ163+BJ164)</f>
        <v>0</v>
      </c>
      <c r="BK165" s="37" t="n">
        <f aca="false">MIN(BK158,BK163+BK164)</f>
        <v>0</v>
      </c>
      <c r="BL165" s="37" t="n">
        <f aca="false">MIN(BL158,BL163+BL164)</f>
        <v>0</v>
      </c>
      <c r="BM165" s="37" t="n">
        <f aca="false">MIN(BM158,BM163+BM164)</f>
        <v>5444.19228171014</v>
      </c>
      <c r="BN165" s="37" t="n">
        <f aca="false">MIN(BN158,BN163+BN164)</f>
        <v>880.111144401356</v>
      </c>
      <c r="BO165" s="37" t="n">
        <f aca="false">MIN(BO158,BO163+BO164)</f>
        <v>962.352816717327</v>
      </c>
      <c r="BP165" s="37" t="n">
        <f aca="false">MIN(BP158,BP163+BP164)</f>
        <v>880.111144401356</v>
      </c>
      <c r="BQ165" s="37" t="n">
        <f aca="false">MIN(BQ158,BQ163+BQ164)</f>
        <v>962.352816717327</v>
      </c>
      <c r="BR165" s="37" t="n">
        <f aca="false">MIN(BR158,BR163+BR164)</f>
        <v>962.352816717327</v>
      </c>
      <c r="BS165" s="37" t="n">
        <f aca="false">MIN(BS158,BS163+BS164)</f>
        <v>880.111144401356</v>
      </c>
      <c r="BT165" s="37" t="n">
        <f aca="false">MIN(BT158,BT163+BT164)</f>
        <v>962.352816717327</v>
      </c>
      <c r="BU165" s="37" t="n">
        <f aca="false">MIN(BU158,BU163+BU164)</f>
        <v>880.111144401356</v>
      </c>
      <c r="BV165" s="37" t="n">
        <f aca="false">MIN(BV158,BV163+BV164)</f>
        <v>962.352816717326</v>
      </c>
      <c r="BW165" s="37" t="n">
        <f aca="false">MIN(BW158,BW163+BW164)</f>
        <v>962.352816717326</v>
      </c>
      <c r="BX165" s="37" t="n">
        <f aca="false">MIN(BX158,BX163+BX164)</f>
        <v>797.869472085384</v>
      </c>
      <c r="BY165" s="37" t="n">
        <f aca="false">MIN(BY158,BY163+BY164)</f>
        <v>1958.19168665778</v>
      </c>
      <c r="BZ165" s="37" t="n">
        <f aca="false">MIN(BZ158,BZ163+BZ164)</f>
        <v>2266.29836462436</v>
      </c>
      <c r="CA165" s="37" t="n">
        <f aca="false">MIN(CA158,CA163+CA164)</f>
        <v>2363.09048665778</v>
      </c>
      <c r="CB165" s="37" t="n">
        <f aca="false">MIN(CB158,CB163+CB164)</f>
        <v>2266.29836462436</v>
      </c>
      <c r="CC165" s="37" t="n">
        <f aca="false">MIN(CC158,CC163+CC164)</f>
        <v>2363.09048665778</v>
      </c>
      <c r="CD165" s="37" t="n">
        <f aca="false">MIN(CD158,CD163+CD164)</f>
        <v>2363.09048665778</v>
      </c>
      <c r="CE165" s="37" t="n">
        <f aca="false">MIN(CE158,CE163+CE164)</f>
        <v>2266.29836462436</v>
      </c>
      <c r="CF165" s="37" t="n">
        <f aca="false">MIN(CF158,CF163+CF164)</f>
        <v>2363.09048665778</v>
      </c>
      <c r="CG165" s="37" t="n">
        <f aca="false">MIN(CG158,CG163+CG164)</f>
        <v>2266.29836462436</v>
      </c>
      <c r="CH165" s="37" t="n">
        <f aca="false">MIN(CH158,CH163+CH164)</f>
        <v>2363.09048665778</v>
      </c>
      <c r="CI165" s="37" t="n">
        <f aca="false">MIN(CI158,CI163+CI164)</f>
        <v>2363.09048665778</v>
      </c>
      <c r="CJ165" s="37" t="n">
        <f aca="false">MIN(CJ158,CJ163+CJ164)</f>
        <v>2072.71412055753</v>
      </c>
      <c r="CK165" s="37" t="n">
        <f aca="false">MIN(CK158,CK163+CK164)</f>
        <v>2460.68346648974</v>
      </c>
      <c r="CL165" s="37" t="n">
        <f aca="false">MIN(CL158,CL163+CL164)</f>
        <v>2391.10550201566</v>
      </c>
      <c r="CM165" s="37" t="n">
        <f aca="false">MIN(CM158,CM163+CM164)</f>
        <v>2489.83346648974</v>
      </c>
      <c r="CN165" s="37" t="n">
        <f aca="false">MIN(CN158,CN163+CN164)</f>
        <v>2391.10550201566</v>
      </c>
      <c r="CO165" s="37" t="n">
        <f aca="false">MIN(CO158,CO163+CO164)</f>
        <v>2489.83346648974</v>
      </c>
      <c r="CP165" s="37" t="n">
        <f aca="false">MIN(CP158,CP163+CP164)</f>
        <v>2489.83346648974</v>
      </c>
      <c r="CQ165" s="37" t="n">
        <f aca="false">MIN(CQ158,CQ163+CQ164)</f>
        <v>2391.10550201566</v>
      </c>
      <c r="CR165" s="37" t="n">
        <f aca="false">MIN(CR158,CR163+CR164)</f>
        <v>2489.83346648974</v>
      </c>
      <c r="CS165" s="37" t="n">
        <f aca="false">MIN(CS158,CS163+CS164)</f>
        <v>2391.10550201566</v>
      </c>
      <c r="CT165" s="37" t="n">
        <f aca="false">MIN(CT158,CT163+CT164)</f>
        <v>2489.83346648974</v>
      </c>
      <c r="CU165" s="37" t="n">
        <f aca="false">MIN(CU158,CU163+CU164)</f>
        <v>1077.95607315707</v>
      </c>
      <c r="CV165" s="37" t="n">
        <f aca="false">MIN(CV158,CV163+CV164)</f>
        <v>819.570582018177</v>
      </c>
      <c r="CW165" s="37" t="n">
        <f aca="false">MIN(CW158,CW163+CW164)</f>
        <v>819.570582018177</v>
      </c>
      <c r="CX165" s="37" t="n">
        <f aca="false">MIN(CX158,CX163+CX164)</f>
        <v>819.570582018177</v>
      </c>
      <c r="CY165" s="37" t="n">
        <f aca="false">MIN(CY158,CY163+CY164)</f>
        <v>819.570582018177</v>
      </c>
      <c r="CZ165" s="37" t="n">
        <f aca="false">MIN(CZ158,CZ163+CZ164)</f>
        <v>819.570582018177</v>
      </c>
      <c r="DA165" s="37" t="n">
        <f aca="false">MIN(DA158,DA163+DA164)</f>
        <v>819.570582018177</v>
      </c>
      <c r="DB165" s="37" t="n">
        <f aca="false">MIN(DB158,DB163+DB164)</f>
        <v>819.570582018177</v>
      </c>
      <c r="DC165" s="37" t="n">
        <f aca="false">MIN(DC158,DC163+DC164)</f>
        <v>819.570582018177</v>
      </c>
      <c r="DD165" s="37" t="n">
        <f aca="false">MIN(DD158,DD163+DD164)</f>
        <v>819.570582018177</v>
      </c>
      <c r="DE165" s="37" t="n">
        <f aca="false">MIN(DE158,DE163+DE164)</f>
        <v>819.570582018177</v>
      </c>
      <c r="DF165" s="37" t="n">
        <f aca="false">MIN(DF158,DF163+DF164)</f>
        <v>819.570582018177</v>
      </c>
      <c r="DG165" s="37" t="n">
        <f aca="false">MIN(DG158,DG163+DG164)</f>
        <v>819.570582018177</v>
      </c>
      <c r="DH165" s="37" t="n">
        <f aca="false">MIN(DH158,DH163+DH164)</f>
        <v>819.570582018177</v>
      </c>
      <c r="DI165" s="37" t="n">
        <f aca="false">MIN(DI158,DI163+DI164)</f>
        <v>819.570582018177</v>
      </c>
      <c r="DJ165" s="37" t="n">
        <f aca="false">MIN(DJ158,DJ163+DJ164)</f>
        <v>819.570582018177</v>
      </c>
      <c r="DK165" s="37" t="n">
        <f aca="false">MIN(DK158,DK163+DK164)</f>
        <v>819.570582018177</v>
      </c>
      <c r="DL165" s="37" t="n">
        <f aca="false">MIN(DL158,DL163+DL164)</f>
        <v>819.570582018177</v>
      </c>
      <c r="DM165" s="37" t="n">
        <f aca="false">MIN(DM158,DM163+DM164)</f>
        <v>819.570582018177</v>
      </c>
      <c r="DN165" s="37" t="n">
        <f aca="false">MIN(DN158,DN163+DN164)</f>
        <v>819.570582018177</v>
      </c>
      <c r="DO165" s="37" t="n">
        <f aca="false">MIN(DO158,DO163+DO164)</f>
        <v>819.570582018177</v>
      </c>
      <c r="DP165" s="37" t="n">
        <f aca="false">MIN(DP158,DP163+DP164)</f>
        <v>819.570582018177</v>
      </c>
      <c r="DQ165" s="37" t="n">
        <f aca="false">MIN(DQ158,DQ163+DQ164)</f>
        <v>819.570582018177</v>
      </c>
      <c r="DR165" s="37" t="n">
        <f aca="false">MIN(DR158,DR163+DR164)</f>
        <v>819.570582018177</v>
      </c>
      <c r="DS165" s="37" t="n">
        <f aca="false">MIN(DS158,DS163+DS164)</f>
        <v>819.570582018177</v>
      </c>
      <c r="DT165" s="37" t="n">
        <f aca="false">MIN(DT158,DT163+DT164)</f>
        <v>0</v>
      </c>
      <c r="DU165" s="37" t="n">
        <f aca="false">MIN(DU158,DU163+DU164)</f>
        <v>0</v>
      </c>
      <c r="DV165" s="37" t="n">
        <f aca="false">MIN(DV158,DV163+DV164)</f>
        <v>0</v>
      </c>
      <c r="DW165" s="37" t="n">
        <f aca="false">MIN(DW158,DW163+DW164)</f>
        <v>3298.3709900178</v>
      </c>
      <c r="DX165" s="37" t="n">
        <f aca="false">MIN(DX158,DX163+DX164)</f>
        <v>0</v>
      </c>
      <c r="DY165" s="37" t="n">
        <f aca="false">MIN(DY158,DY163+DY164)</f>
        <v>0</v>
      </c>
      <c r="DZ165" s="37" t="n">
        <f aca="false">MIN(DZ158,DZ163+DZ164)</f>
        <v>0</v>
      </c>
      <c r="EA165" s="37" t="n">
        <f aca="false">MIN(EA158,EA163+EA164)</f>
        <v>0</v>
      </c>
      <c r="EB165" s="37" t="n">
        <f aca="false">MIN(EB158,EB163+EB164)</f>
        <v>0</v>
      </c>
      <c r="EC165" s="37" t="n">
        <f aca="false">MIN(EC158,EC163+EC164)</f>
        <v>0</v>
      </c>
      <c r="ED165" s="37" t="n">
        <f aca="false">MIN(ED158,ED163+ED164)</f>
        <v>0</v>
      </c>
      <c r="EE165" s="37" t="n">
        <f aca="false">MIN(EE158,EE163+EE164)</f>
        <v>0</v>
      </c>
      <c r="EF165" s="37" t="n">
        <f aca="false">MIN(EF158,EF163+EF164)</f>
        <v>0</v>
      </c>
    </row>
    <row r="166" customFormat="false" ht="15" hidden="false" customHeight="false" outlineLevel="0" collapsed="false">
      <c r="A166" s="36" t="s">
        <v>695</v>
      </c>
      <c r="B166" s="278" t="s">
        <v>21</v>
      </c>
      <c r="C166" s="279" t="n">
        <f aca="false">SUM(E166:EF166)</f>
        <v>201164.870175902</v>
      </c>
      <c r="E166" s="37" t="n">
        <f aca="false">IF(E155=2,MIN(E158-E165,E162+E141),0)</f>
        <v>0</v>
      </c>
      <c r="F166" s="37" t="n">
        <f aca="false">IF(F155=2,MIN(F158-F165,F162+F141),0)</f>
        <v>0</v>
      </c>
      <c r="G166" s="37" t="n">
        <f aca="false">IF(G155=2,MIN(G158-G165,G162+G141),0)</f>
        <v>0</v>
      </c>
      <c r="H166" s="37" t="n">
        <f aca="false">IF(H155=2,MIN(H158-H165,H162+H141),0)</f>
        <v>0</v>
      </c>
      <c r="I166" s="37" t="n">
        <f aca="false">IF(I155=2,MIN(I158-I165,I162+I141),0)</f>
        <v>0</v>
      </c>
      <c r="J166" s="37" t="n">
        <f aca="false">IF(J155=2,MIN(J158-J165,J162+J141),0)</f>
        <v>0</v>
      </c>
      <c r="K166" s="37" t="n">
        <f aca="false">IF(K155=2,MIN(K158-K165,K162+K141),0)</f>
        <v>0</v>
      </c>
      <c r="L166" s="37" t="n">
        <f aca="false">IF(L155=2,MIN(L158-L165,L162+L141),0)</f>
        <v>0</v>
      </c>
      <c r="M166" s="37" t="n">
        <f aca="false">IF(M155=2,MIN(M158-M165,M162+M141),0)</f>
        <v>0</v>
      </c>
      <c r="N166" s="37" t="n">
        <f aca="false">IF(N155=2,MIN(N158-N165,N162+N141),0)</f>
        <v>0</v>
      </c>
      <c r="O166" s="37" t="n">
        <f aca="false">IF(O155=2,MIN(O158-O165,O162+O141),0)</f>
        <v>0</v>
      </c>
      <c r="P166" s="37" t="n">
        <f aca="false">IF(P155=2,MIN(P158-P165,P162+P141),0)</f>
        <v>0</v>
      </c>
      <c r="Q166" s="37" t="n">
        <f aca="false">IF(Q155=2,MIN(Q158-Q165,Q162+Q141),0)</f>
        <v>0</v>
      </c>
      <c r="R166" s="37" t="n">
        <f aca="false">IF(R155=2,MIN(R158-R165,R162+R141),0)</f>
        <v>0</v>
      </c>
      <c r="S166" s="37" t="n">
        <f aca="false">IF(S155=2,MIN(S158-S165,S162+S141),0)</f>
        <v>0</v>
      </c>
      <c r="T166" s="37" t="n">
        <f aca="false">IF(T155=2,MIN(T158-T165,T162+T141),0)</f>
        <v>0</v>
      </c>
      <c r="U166" s="37" t="n">
        <f aca="false">IF(U155=2,MIN(U158-U165,U162+U141),0)</f>
        <v>0</v>
      </c>
      <c r="V166" s="37" t="n">
        <f aca="false">IF(V155=2,MIN(V158-V165,V162+V141),0)</f>
        <v>0</v>
      </c>
      <c r="W166" s="37" t="n">
        <f aca="false">IF(W155=2,MIN(W158-W165,W162+W141),0)</f>
        <v>0</v>
      </c>
      <c r="X166" s="37" t="n">
        <f aca="false">IF(X155=2,MIN(X158-X165,X162+X141),0)</f>
        <v>0</v>
      </c>
      <c r="Y166" s="37" t="n">
        <f aca="false">IF(Y155=2,MIN(Y158-Y165,Y162+Y141),0)</f>
        <v>0</v>
      </c>
      <c r="Z166" s="37" t="n">
        <f aca="false">IF(Z155=2,MIN(Z158-Z165,Z162+Z141),0)</f>
        <v>0</v>
      </c>
      <c r="AA166" s="37" t="n">
        <f aca="false">IF(AA155=2,MIN(AA158-AA165,AA162+AA141),0)</f>
        <v>0</v>
      </c>
      <c r="AB166" s="37" t="n">
        <f aca="false">IF(AB155=2,MIN(AB158-AB165,AB162+AB141),0)</f>
        <v>0</v>
      </c>
      <c r="AC166" s="37" t="n">
        <f aca="false">IF(AC155=2,MIN(AC158-AC165,AC162+AC141),0)</f>
        <v>0</v>
      </c>
      <c r="AD166" s="37" t="n">
        <f aca="false">IF(AD155=2,MIN(AD158-AD165,AD162+AD141),0)</f>
        <v>0</v>
      </c>
      <c r="AE166" s="37" t="n">
        <f aca="false">IF(AE155=2,MIN(AE158-AE165,AE162+AE141),0)</f>
        <v>0</v>
      </c>
      <c r="AF166" s="37" t="n">
        <f aca="false">IF(AF155=2,MIN(AF158-AF165,AF162+AF141),0)</f>
        <v>0</v>
      </c>
      <c r="AG166" s="37" t="n">
        <f aca="false">IF(AG155=2,MIN(AG158-AG165,AG162+AG141),0)</f>
        <v>0</v>
      </c>
      <c r="AH166" s="37" t="n">
        <f aca="false">IF(AH155=2,MIN(AH158-AH165,AH162+AH141),0)</f>
        <v>0</v>
      </c>
      <c r="AI166" s="37" t="n">
        <f aca="false">IF(AI155=2,MIN(AI158-AI165,AI162+AI141),0)</f>
        <v>0</v>
      </c>
      <c r="AJ166" s="37" t="n">
        <f aca="false">IF(AJ155=2,MIN(AJ158-AJ165,AJ162+AJ141),0)</f>
        <v>0</v>
      </c>
      <c r="AK166" s="37" t="n">
        <f aca="false">IF(AK155=2,MIN(AK158-AK165,AK162+AK141),0)</f>
        <v>0</v>
      </c>
      <c r="AL166" s="37" t="n">
        <f aca="false">IF(AL155=2,MIN(AL158-AL165,AL162+AL141),0)</f>
        <v>0</v>
      </c>
      <c r="AM166" s="37" t="n">
        <f aca="false">IF(AM155=2,MIN(AM158-AM165,AM162+AM141),0)</f>
        <v>0</v>
      </c>
      <c r="AN166" s="37" t="n">
        <f aca="false">IF(AN155=2,MIN(AN158-AN165,AN162+AN141),0)</f>
        <v>0</v>
      </c>
      <c r="AO166" s="37" t="n">
        <f aca="false">IF(AO155=2,MIN(AO158-AO165,AO162+AO141),0)</f>
        <v>0</v>
      </c>
      <c r="AP166" s="37" t="n">
        <f aca="false">IF(AP155=2,MIN(AP158-AP165,AP162+AP141),0)</f>
        <v>0</v>
      </c>
      <c r="AQ166" s="37" t="n">
        <f aca="false">IF(AQ155=2,MIN(AQ158-AQ165,AQ162+AQ141),0)</f>
        <v>0</v>
      </c>
      <c r="AR166" s="37" t="n">
        <f aca="false">IF(AR155=2,MIN(AR158-AR165,AR162+AR141),0)</f>
        <v>0</v>
      </c>
      <c r="AS166" s="37" t="n">
        <f aca="false">IF(AS155=2,MIN(AS158-AS165,AS162+AS141),0)</f>
        <v>0</v>
      </c>
      <c r="AT166" s="37" t="n">
        <f aca="false">IF(AT155=2,MIN(AT158-AT165,AT162+AT141),0)</f>
        <v>0</v>
      </c>
      <c r="AU166" s="37" t="n">
        <f aca="false">IF(AU155=2,MIN(AU158-AU165,AU162+AU141),0)</f>
        <v>0</v>
      </c>
      <c r="AV166" s="37" t="n">
        <f aca="false">IF(AV155=2,MIN(AV158-AV165,AV162+AV141),0)</f>
        <v>0</v>
      </c>
      <c r="AW166" s="37" t="n">
        <f aca="false">IF(AW155=2,MIN(AW158-AW165,AW162+AW141),0)</f>
        <v>0</v>
      </c>
      <c r="AX166" s="37" t="n">
        <f aca="false">IF(AX155=2,MIN(AX158-AX165,AX162+AX141),0)</f>
        <v>0</v>
      </c>
      <c r="AY166" s="37" t="n">
        <f aca="false">IF(AY155=2,MIN(AY158-AY165,AY162+AY141),0)</f>
        <v>0</v>
      </c>
      <c r="AZ166" s="37" t="n">
        <f aca="false">IF(AZ155=2,MIN(AZ158-AZ165,AZ162+AZ141),0)</f>
        <v>0</v>
      </c>
      <c r="BA166" s="37" t="n">
        <f aca="false">IF(BA155=2,MIN(BA158-BA165,BA162+BA141),0)</f>
        <v>0</v>
      </c>
      <c r="BB166" s="37" t="n">
        <f aca="false">IF(BB155=2,MIN(BB158-BB165,BB162+BB141),0)</f>
        <v>0</v>
      </c>
      <c r="BC166" s="37" t="n">
        <f aca="false">IF(BC155=2,MIN(BC158-BC165,BC162+BC141),0)</f>
        <v>0</v>
      </c>
      <c r="BD166" s="37" t="n">
        <f aca="false">IF(BD155=2,MIN(BD158-BD165,BD162+BD141),0)</f>
        <v>0</v>
      </c>
      <c r="BE166" s="37" t="n">
        <f aca="false">IF(BE155=2,MIN(BE158-BE165,BE162+BE141),0)</f>
        <v>0</v>
      </c>
      <c r="BF166" s="37" t="n">
        <f aca="false">IF(BF155=2,MIN(BF158-BF165,BF162+BF141),0)</f>
        <v>0</v>
      </c>
      <c r="BG166" s="37" t="n">
        <f aca="false">IF(BG155=2,MIN(BG158-BG165,BG162+BG141),0)</f>
        <v>0</v>
      </c>
      <c r="BH166" s="37" t="n">
        <f aca="false">IF(BH155=2,MIN(BH158-BH165,BH162+BH141),0)</f>
        <v>0</v>
      </c>
      <c r="BI166" s="37" t="n">
        <f aca="false">IF(BI155=2,MIN(BI158-BI165,BI162+BI141),0)</f>
        <v>0</v>
      </c>
      <c r="BJ166" s="37" t="n">
        <f aca="false">IF(BJ155=2,MIN(BJ158-BJ165,BJ162+BJ141),0)</f>
        <v>0</v>
      </c>
      <c r="BK166" s="37" t="n">
        <f aca="false">IF(BK155=2,MIN(BK158-BK165,BK162+BK141),0)</f>
        <v>0</v>
      </c>
      <c r="BL166" s="37" t="n">
        <f aca="false">IF(BL155=2,MIN(BL158-BL165,BL162+BL141),0)</f>
        <v>0</v>
      </c>
      <c r="BM166" s="37" t="n">
        <f aca="false">IF(BM155=2,MIN(BM158-BM165,BM162+BM141),0)</f>
        <v>0</v>
      </c>
      <c r="BN166" s="37" t="n">
        <f aca="false">IF(BN155=2,MIN(BN158-BN165,BN162+BN141),0)</f>
        <v>0</v>
      </c>
      <c r="BO166" s="37" t="n">
        <f aca="false">IF(BO155=2,MIN(BO158-BO165,BO162+BO141),0)</f>
        <v>0</v>
      </c>
      <c r="BP166" s="37" t="n">
        <f aca="false">IF(BP155=2,MIN(BP158-BP165,BP162+BP141),0)</f>
        <v>0</v>
      </c>
      <c r="BQ166" s="37" t="n">
        <f aca="false">IF(BQ155=2,MIN(BQ158-BQ165,BQ162+BQ141),0)</f>
        <v>0</v>
      </c>
      <c r="BR166" s="37" t="n">
        <f aca="false">IF(BR155=2,MIN(BR158-BR165,BR162+BR141),0)</f>
        <v>0</v>
      </c>
      <c r="BS166" s="37" t="n">
        <f aca="false">IF(BS155=2,MIN(BS158-BS165,BS162+BS141),0)</f>
        <v>0</v>
      </c>
      <c r="BT166" s="37" t="n">
        <f aca="false">IF(BT155=2,MIN(BT158-BT165,BT162+BT141),0)</f>
        <v>0</v>
      </c>
      <c r="BU166" s="37" t="n">
        <f aca="false">IF(BU155=2,MIN(BU158-BU165,BU162+BU141),0)</f>
        <v>0</v>
      </c>
      <c r="BV166" s="37" t="n">
        <f aca="false">IF(BV155=2,MIN(BV158-BV165,BV162+BV141),0)</f>
        <v>0</v>
      </c>
      <c r="BW166" s="37" t="n">
        <f aca="false">IF(BW155=2,MIN(BW158-BW165,BW162+BW141),0)</f>
        <v>0</v>
      </c>
      <c r="BX166" s="37" t="n">
        <f aca="false">IF(BX155=2,MIN(BX158-BX165,BX162+BX141),0)</f>
        <v>0</v>
      </c>
      <c r="BY166" s="37" t="n">
        <f aca="false">IF(BY155=2,MIN(BY158-BY165,BY162+BY141),0)</f>
        <v>0</v>
      </c>
      <c r="BZ166" s="37" t="n">
        <f aca="false">IF(BZ155=2,MIN(BZ158-BZ165,BZ162+BZ141),0)</f>
        <v>0</v>
      </c>
      <c r="CA166" s="37" t="n">
        <f aca="false">IF(CA155=2,MIN(CA158-CA165,CA162+CA141),0)</f>
        <v>0</v>
      </c>
      <c r="CB166" s="37" t="n">
        <f aca="false">IF(CB155=2,MIN(CB158-CB165,CB162+CB141),0)</f>
        <v>0</v>
      </c>
      <c r="CC166" s="37" t="n">
        <f aca="false">IF(CC155=2,MIN(CC158-CC165,CC162+CC141),0)</f>
        <v>0</v>
      </c>
      <c r="CD166" s="37" t="n">
        <f aca="false">IF(CD155=2,MIN(CD158-CD165,CD162+CD141),0)</f>
        <v>0</v>
      </c>
      <c r="CE166" s="37" t="n">
        <f aca="false">IF(CE155=2,MIN(CE158-CE165,CE162+CE141),0)</f>
        <v>0</v>
      </c>
      <c r="CF166" s="37" t="n">
        <f aca="false">IF(CF155=2,MIN(CF158-CF165,CF162+CF141),0)</f>
        <v>0</v>
      </c>
      <c r="CG166" s="37" t="n">
        <f aca="false">IF(CG155=2,MIN(CG158-CG165,CG162+CG141),0)</f>
        <v>0</v>
      </c>
      <c r="CH166" s="37" t="n">
        <f aca="false">IF(CH155=2,MIN(CH158-CH165,CH162+CH141),0)</f>
        <v>0</v>
      </c>
      <c r="CI166" s="37" t="n">
        <f aca="false">IF(CI155=2,MIN(CI158-CI165,CI162+CI141),0)</f>
        <v>0</v>
      </c>
      <c r="CJ166" s="37" t="n">
        <f aca="false">IF(CJ155=2,MIN(CJ158-CJ165,CJ162+CJ141),0)</f>
        <v>0</v>
      </c>
      <c r="CK166" s="37" t="n">
        <f aca="false">IF(CK155=2,MIN(CK158-CK165,CK162+CK141),0)</f>
        <v>0</v>
      </c>
      <c r="CL166" s="37" t="n">
        <f aca="false">IF(CL155=2,MIN(CL158-CL165,CL162+CL141),0)</f>
        <v>0</v>
      </c>
      <c r="CM166" s="37" t="n">
        <f aca="false">IF(CM155=2,MIN(CM158-CM165,CM162+CM141),0)</f>
        <v>0</v>
      </c>
      <c r="CN166" s="37" t="n">
        <f aca="false">IF(CN155=2,MIN(CN158-CN165,CN162+CN141),0)</f>
        <v>0</v>
      </c>
      <c r="CO166" s="37" t="n">
        <f aca="false">IF(CO155=2,MIN(CO158-CO165,CO162+CO141),0)</f>
        <v>0</v>
      </c>
      <c r="CP166" s="37" t="n">
        <f aca="false">IF(CP155=2,MIN(CP158-CP165,CP162+CP141),0)</f>
        <v>0</v>
      </c>
      <c r="CQ166" s="37" t="n">
        <f aca="false">IF(CQ155=2,MIN(CQ158-CQ165,CQ162+CQ141),0)</f>
        <v>0</v>
      </c>
      <c r="CR166" s="37" t="n">
        <f aca="false">IF(CR155=2,MIN(CR158-CR165,CR162+CR141),0)</f>
        <v>0</v>
      </c>
      <c r="CS166" s="37" t="n">
        <f aca="false">IF(CS155=2,MIN(CS158-CS165,CS162+CS141),0)</f>
        <v>0</v>
      </c>
      <c r="CT166" s="37" t="n">
        <f aca="false">IF(CT155=2,MIN(CT158-CT165,CT162+CT141),0)</f>
        <v>0</v>
      </c>
      <c r="CU166" s="37" t="n">
        <f aca="false">IF(CU155=2,MIN(CU158-CU165,CU162+CU141),0)</f>
        <v>0</v>
      </c>
      <c r="CV166" s="37" t="n">
        <f aca="false">IF(CV155=2,MIN(CV158-CV165,CV162+CV141),0)</f>
        <v>0</v>
      </c>
      <c r="CW166" s="37" t="n">
        <f aca="false">IF(CW155=2,MIN(CW158-CW165,CW162+CW141),0)</f>
        <v>0</v>
      </c>
      <c r="CX166" s="37" t="n">
        <f aca="false">IF(CX155=2,MIN(CX158-CX165,CX162+CX141),0)</f>
        <v>0</v>
      </c>
      <c r="CY166" s="37" t="n">
        <f aca="false">IF(CY155=2,MIN(CY158-CY165,CY162+CY141),0)</f>
        <v>0</v>
      </c>
      <c r="CZ166" s="37" t="n">
        <f aca="false">IF(CZ155=2,MIN(CZ158-CZ165,CZ162+CZ141),0)</f>
        <v>0</v>
      </c>
      <c r="DA166" s="37" t="n">
        <f aca="false">IF(DA155=2,MIN(DA158-DA165,DA162+DA141),0)</f>
        <v>0</v>
      </c>
      <c r="DB166" s="37" t="n">
        <f aca="false">IF(DB155=2,MIN(DB158-DB165,DB162+DB141),0)</f>
        <v>0</v>
      </c>
      <c r="DC166" s="37" t="n">
        <f aca="false">IF(DC155=2,MIN(DC158-DC165,DC162+DC141),0)</f>
        <v>0</v>
      </c>
      <c r="DD166" s="37" t="n">
        <f aca="false">IF(DD155=2,MIN(DD158-DD165,DD162+DD141),0)</f>
        <v>0</v>
      </c>
      <c r="DE166" s="37" t="n">
        <f aca="false">IF(DE155=2,MIN(DE158-DE165,DE162+DE141),0)</f>
        <v>0</v>
      </c>
      <c r="DF166" s="37" t="n">
        <f aca="false">IF(DF155=2,MIN(DF158-DF165,DF162+DF141),0)</f>
        <v>0</v>
      </c>
      <c r="DG166" s="37" t="n">
        <f aca="false">IF(DG155=2,MIN(DG158-DG165,DG162+DG141),0)</f>
        <v>0</v>
      </c>
      <c r="DH166" s="37" t="n">
        <f aca="false">IF(DH155=2,MIN(DH158-DH165,DH162+DH141),0)</f>
        <v>0</v>
      </c>
      <c r="DI166" s="37" t="n">
        <f aca="false">IF(DI155=2,MIN(DI158-DI165,DI162+DI141),0)</f>
        <v>0</v>
      </c>
      <c r="DJ166" s="37" t="n">
        <f aca="false">IF(DJ155=2,MIN(DJ158-DJ165,DJ162+DJ141),0)</f>
        <v>0</v>
      </c>
      <c r="DK166" s="37" t="n">
        <f aca="false">IF(DK155=2,MIN(DK158-DK165,DK162+DK141),0)</f>
        <v>0</v>
      </c>
      <c r="DL166" s="37" t="n">
        <f aca="false">IF(DL155=2,MIN(DL158-DL165,DL162+DL141),0)</f>
        <v>0</v>
      </c>
      <c r="DM166" s="37" t="n">
        <f aca="false">IF(DM155=2,MIN(DM158-DM165,DM162+DM141),0)</f>
        <v>0</v>
      </c>
      <c r="DN166" s="37" t="n">
        <f aca="false">IF(DN155=2,MIN(DN158-DN165,DN162+DN141),0)</f>
        <v>0</v>
      </c>
      <c r="DO166" s="37" t="n">
        <f aca="false">IF(DO155=2,MIN(DO158-DO165,DO162+DO141),0)</f>
        <v>0</v>
      </c>
      <c r="DP166" s="37" t="n">
        <f aca="false">IF(DP155=2,MIN(DP158-DP165,DP162+DP141),0)</f>
        <v>0</v>
      </c>
      <c r="DQ166" s="37" t="n">
        <f aca="false">IF(DQ155=2,MIN(DQ158-DQ165,DQ162+DQ141),0)</f>
        <v>0</v>
      </c>
      <c r="DR166" s="37" t="n">
        <f aca="false">IF(DR155=2,MIN(DR158-DR165,DR162+DR141),0)</f>
        <v>0</v>
      </c>
      <c r="DS166" s="37" t="n">
        <f aca="false">IF(DS155=2,MIN(DS158-DS165,DS162+DS141),0)</f>
        <v>0</v>
      </c>
      <c r="DT166" s="37" t="n">
        <f aca="false">IF(DT155=2,MIN(DT158-DT165,DT162+DT141),0)</f>
        <v>0</v>
      </c>
      <c r="DU166" s="37" t="n">
        <f aca="false">IF(DU155=2,MIN(DU158-DU165,DU162+DU141),0)</f>
        <v>0</v>
      </c>
      <c r="DV166" s="37" t="n">
        <f aca="false">IF(DV155=2,MIN(DV158-DV165,DV162+DV141),0)</f>
        <v>0</v>
      </c>
      <c r="DW166" s="37" t="n">
        <f aca="false">IF(DW155=2,MIN(DW158-DW165,DW162+DW141),0)</f>
        <v>201164.870175902</v>
      </c>
      <c r="DX166" s="37" t="n">
        <f aca="false">IF(DX155=2,MIN(DX158-DX165,DX162+DX141),0)</f>
        <v>0</v>
      </c>
      <c r="DY166" s="37" t="n">
        <f aca="false">IF(DY155=2,MIN(DY158-DY165,DY162+DY141),0)</f>
        <v>0</v>
      </c>
      <c r="DZ166" s="37" t="n">
        <f aca="false">IF(DZ155=2,MIN(DZ158-DZ165,DZ162+DZ141),0)</f>
        <v>0</v>
      </c>
      <c r="EA166" s="37" t="n">
        <f aca="false">IF(EA155=2,MIN(EA158-EA165,EA162+EA141),0)</f>
        <v>0</v>
      </c>
      <c r="EB166" s="37" t="n">
        <f aca="false">IF(EB155=2,MIN(EB158-EB165,EB162+EB141),0)</f>
        <v>0</v>
      </c>
      <c r="EC166" s="37" t="n">
        <f aca="false">IF(EC155=2,MIN(EC158-EC165,EC162+EC141),0)</f>
        <v>0</v>
      </c>
      <c r="ED166" s="37" t="n">
        <f aca="false">IF(ED155=2,MIN(ED158-ED165,ED162+ED141),0)</f>
        <v>0</v>
      </c>
      <c r="EE166" s="37" t="n">
        <f aca="false">IF(EE155=2,MIN(EE158-EE165,EE162+EE141),0)</f>
        <v>0</v>
      </c>
      <c r="EF166" s="37" t="n">
        <f aca="false">IF(EF155=2,MIN(EF158-EF165,EF162+EF141),0)</f>
        <v>0</v>
      </c>
    </row>
    <row r="167" customFormat="false" ht="15" hidden="false" customHeight="false" outlineLevel="0" collapsed="false">
      <c r="A167" s="36" t="s">
        <v>696</v>
      </c>
      <c r="B167" s="278" t="s">
        <v>21</v>
      </c>
      <c r="E167" s="37" t="n">
        <f aca="false">E163+E164-E165</f>
        <v>0</v>
      </c>
      <c r="F167" s="37" t="n">
        <f aca="false">F163+F164-F165</f>
        <v>0</v>
      </c>
      <c r="G167" s="37" t="n">
        <f aca="false">G163+G164-G165</f>
        <v>0</v>
      </c>
      <c r="H167" s="37" t="n">
        <f aca="false">H163+H164-H165</f>
        <v>0</v>
      </c>
      <c r="I167" s="37" t="n">
        <f aca="false">I163+I164-I165</f>
        <v>0</v>
      </c>
      <c r="J167" s="37" t="n">
        <f aca="false">J163+J164-J165</f>
        <v>0</v>
      </c>
      <c r="K167" s="37" t="n">
        <f aca="false">K163+K164-K165</f>
        <v>0</v>
      </c>
      <c r="L167" s="37" t="n">
        <f aca="false">L163+L164-L165</f>
        <v>0</v>
      </c>
      <c r="M167" s="37" t="n">
        <f aca="false">M163+M164-M165</f>
        <v>0</v>
      </c>
      <c r="N167" s="37" t="n">
        <f aca="false">N163+N164-N165</f>
        <v>0</v>
      </c>
      <c r="O167" s="37" t="n">
        <f aca="false">O163+O164-O165</f>
        <v>0</v>
      </c>
      <c r="P167" s="37" t="n">
        <f aca="false">P163+P164-P165</f>
        <v>0</v>
      </c>
      <c r="Q167" s="37" t="n">
        <f aca="false">Q163+Q164-Q165</f>
        <v>0</v>
      </c>
      <c r="R167" s="37" t="n">
        <f aca="false">R163+R164-R165</f>
        <v>0</v>
      </c>
      <c r="S167" s="37" t="n">
        <f aca="false">S163+S164-S165</f>
        <v>0</v>
      </c>
      <c r="T167" s="37" t="n">
        <f aca="false">T163+T164-T165</f>
        <v>0</v>
      </c>
      <c r="U167" s="37" t="n">
        <f aca="false">U163+U164-U165</f>
        <v>0</v>
      </c>
      <c r="V167" s="37" t="n">
        <f aca="false">V163+V164-V165</f>
        <v>0</v>
      </c>
      <c r="W167" s="37" t="n">
        <f aca="false">W163+W164-W165</f>
        <v>0</v>
      </c>
      <c r="X167" s="37" t="n">
        <f aca="false">X163+X164-X165</f>
        <v>819.570582018177</v>
      </c>
      <c r="Y167" s="37" t="n">
        <f aca="false">Y163+Y164-Y165</f>
        <v>1642.48019603693</v>
      </c>
      <c r="Z167" s="37" t="n">
        <f aca="false">Z163+Z164-Z165</f>
        <v>2468.74244568595</v>
      </c>
      <c r="AA167" s="37" t="n">
        <f aca="false">AA163+AA164-AA165</f>
        <v>3298.3709900178</v>
      </c>
      <c r="AB167" s="37" t="n">
        <f aca="false">AB163+AB164-AB165</f>
        <v>4131.37954373371</v>
      </c>
      <c r="AC167" s="37" t="n">
        <f aca="false">AC163+AC164-AC165</f>
        <v>4967.78187741029</v>
      </c>
      <c r="AD167" s="37" t="n">
        <f aca="false">AD163+AD164-AD165</f>
        <v>5807.5918177272</v>
      </c>
      <c r="AE167" s="37" t="n">
        <f aca="false">AE163+AE164-AE165</f>
        <v>6650.8232476957</v>
      </c>
      <c r="AF167" s="37" t="n">
        <f aca="false">AF163+AF164-AF165</f>
        <v>7497.49010688815</v>
      </c>
      <c r="AG167" s="37" t="n">
        <f aca="false">AG163+AG164-AG165</f>
        <v>8347.60639166847</v>
      </c>
      <c r="AH167" s="37" t="n">
        <f aca="false">AH163+AH164-AH165</f>
        <v>9201.18615542348</v>
      </c>
      <c r="AI167" s="37" t="n">
        <f aca="false">AI163+AI164-AI165</f>
        <v>10058.2435087952</v>
      </c>
      <c r="AJ167" s="37" t="n">
        <f aca="false">AJ163+AJ164-AJ165</f>
        <v>10918.7926199143</v>
      </c>
      <c r="AK167" s="37" t="n">
        <f aca="false">AK163+AK164-AK165</f>
        <v>11782.847714634</v>
      </c>
      <c r="AL167" s="37" t="n">
        <f aca="false">AL163+AL164-AL165</f>
        <v>12650.4230767655</v>
      </c>
      <c r="AM167" s="37" t="n">
        <f aca="false">AM163+AM164-AM165</f>
        <v>13521.5330483139</v>
      </c>
      <c r="AN167" s="37" t="n">
        <f aca="false">AN163+AN164-AN165</f>
        <v>14396.1920297156</v>
      </c>
      <c r="AO167" s="37" t="n">
        <f aca="false">AO163+AO164-AO165</f>
        <v>15274.4144800761</v>
      </c>
      <c r="AP167" s="37" t="n">
        <f aca="false">AP163+AP164-AP165</f>
        <v>16156.2149174088</v>
      </c>
      <c r="AQ167" s="37" t="n">
        <f aca="false">AQ163+AQ164-AQ165</f>
        <v>17041.6079188757</v>
      </c>
      <c r="AR167" s="37" t="n">
        <f aca="false">AR163+AR164-AR165</f>
        <v>17930.6081210278</v>
      </c>
      <c r="AS167" s="37" t="n">
        <f aca="false">AS163+AS164-AS165</f>
        <v>18823.2302200471</v>
      </c>
      <c r="AT167" s="37" t="n">
        <f aca="false">AT163+AT164-AT165</f>
        <v>19719.4889719899</v>
      </c>
      <c r="AU167" s="37" t="n">
        <f aca="false">AU163+AU164-AU165</f>
        <v>20619.3991930303</v>
      </c>
      <c r="AV167" s="37" t="n">
        <f aca="false">AV163+AV164-AV165</f>
        <v>21522.9757597053</v>
      </c>
      <c r="AW167" s="37" t="n">
        <f aca="false">AW163+AW164-AW165</f>
        <v>22430.233609161</v>
      </c>
      <c r="AX167" s="37" t="n">
        <f aca="false">AX163+AX164-AX165</f>
        <v>23341.187739399</v>
      </c>
      <c r="AY167" s="37" t="n">
        <f aca="false">AY163+AY164-AY165</f>
        <v>24255.8532095249</v>
      </c>
      <c r="AZ167" s="37" t="n">
        <f aca="false">AZ163+AZ164-AZ165</f>
        <v>25174.2451399967</v>
      </c>
      <c r="BA167" s="37" t="n">
        <f aca="false">BA163+BA164-BA165</f>
        <v>26096.3787128751</v>
      </c>
      <c r="BB167" s="37" t="n">
        <f aca="false">BB163+BB164-BB165</f>
        <v>27022.2691720745</v>
      </c>
      <c r="BC167" s="37" t="n">
        <f aca="false">BC163+BC164-BC165</f>
        <v>27951.9318236148</v>
      </c>
      <c r="BD167" s="37" t="n">
        <f aca="false">BD163+BD164-BD165</f>
        <v>28885.3820358745</v>
      </c>
      <c r="BE167" s="37" t="n">
        <f aca="false">BE163+BE164-BE165</f>
        <v>29822.6352398448</v>
      </c>
      <c r="BF167" s="37" t="n">
        <f aca="false">BF163+BF164-BF165</f>
        <v>30763.7069293847</v>
      </c>
      <c r="BG167" s="37" t="n">
        <f aca="false">BG163+BG164-BG165</f>
        <v>31708.612661477</v>
      </c>
      <c r="BH167" s="37" t="n">
        <f aca="false">BH163+BH164-BH165</f>
        <v>32657.3680564858</v>
      </c>
      <c r="BI167" s="37" t="n">
        <f aca="false">BI163+BI164-BI165</f>
        <v>33609.9887984143</v>
      </c>
      <c r="BJ167" s="37" t="n">
        <f aca="false">BJ163+BJ164-BJ165</f>
        <v>34566.4906351642</v>
      </c>
      <c r="BK167" s="37" t="n">
        <f aca="false">BK163+BK164-BK165</f>
        <v>35526.8893787964</v>
      </c>
      <c r="BL167" s="37" t="n">
        <f aca="false">BL163+BL164-BL165</f>
        <v>36491.2009057918</v>
      </c>
      <c r="BM167" s="37" t="n">
        <f aca="false">BM163+BM164-BM165</f>
        <v>32015.248875604</v>
      </c>
      <c r="BN167" s="37" t="n">
        <f aca="false">BN163+BN164-BN165</f>
        <v>32085.1424001043</v>
      </c>
      <c r="BO167" s="37" t="n">
        <f aca="false">BO163+BO164-BO165</f>
        <v>32073.0790071592</v>
      </c>
      <c r="BP167" s="37" t="n">
        <f aca="false">BP163+BP164-BP165</f>
        <v>32143.2081387739</v>
      </c>
      <c r="BQ167" s="37" t="n">
        <f aca="false">BQ163+BQ164-BQ165</f>
        <v>32131.3813128357</v>
      </c>
      <c r="BR167" s="37" t="n">
        <f aca="false">BR163+BR164-BR165</f>
        <v>32119.5063029446</v>
      </c>
      <c r="BS167" s="37" t="n">
        <f aca="false">BS163+BS164-BS165</f>
        <v>32189.8245851093</v>
      </c>
      <c r="BT167" s="37" t="n">
        <f aca="false">BT163+BT164-BT165</f>
        <v>32178.1876803438</v>
      </c>
      <c r="BU167" s="37" t="n">
        <f aca="false">BU163+BU164-BU165</f>
        <v>32248.7450377038</v>
      </c>
      <c r="BV167" s="37" t="n">
        <f aca="false">BV163+BV164-BV165</f>
        <v>32237.3481821556</v>
      </c>
      <c r="BW167" s="37" t="n">
        <f aca="false">BW163+BW164-BW165</f>
        <v>32225.9048944071</v>
      </c>
      <c r="BX167" s="37" t="n">
        <f aca="false">BX163+BX164-BX165</f>
        <v>32378.8983299198</v>
      </c>
      <c r="BY167" s="37" t="n">
        <f aca="false">BY163+BY164-BY165</f>
        <v>31372.1928650545</v>
      </c>
      <c r="BZ167" s="37" t="n">
        <f aca="false">BZ163+BZ164-BZ165</f>
        <v>30053.279279545</v>
      </c>
      <c r="CA167" s="37" t="n">
        <f aca="false">CA163+CA164-CA165</f>
        <v>28632.2001547948</v>
      </c>
      <c r="CB167" s="37" t="n">
        <f aca="false">CB163+CB164-CB165</f>
        <v>27302.1234998175</v>
      </c>
      <c r="CC167" s="37" t="n">
        <f aca="false">CC163+CC164-CC165</f>
        <v>25869.8358258726</v>
      </c>
      <c r="CD167" s="37" t="n">
        <f aca="false">CD163+CD164-CD165</f>
        <v>24431.7128346503</v>
      </c>
      <c r="CE167" s="37" t="n">
        <f aca="false">CE163+CE164-CE165</f>
        <v>23084.522874379</v>
      </c>
      <c r="CF167" s="37" t="n">
        <f aca="false">CF163+CF164-CF165</f>
        <v>21635.0521734161</v>
      </c>
      <c r="CG167" s="37" t="n">
        <f aca="false">CG163+CG164-CG165</f>
        <v>20276.4682714301</v>
      </c>
      <c r="CH167" s="37" t="n">
        <f aca="false">CH163+CH164-CH165</f>
        <v>18815.5572084235</v>
      </c>
      <c r="CI167" s="37" t="n">
        <f aca="false">CI163+CI164-CI165</f>
        <v>17348.6942129094</v>
      </c>
      <c r="CJ167" s="37" t="n">
        <f aca="false">CJ163+CJ164-CJ165</f>
        <v>16166.2314020781</v>
      </c>
      <c r="CK167" s="37" t="n">
        <f aca="false">CK163+CK164-CK165</f>
        <v>14590.9817454537</v>
      </c>
      <c r="CL167" s="37" t="n">
        <f aca="false">CL163+CL164-CL165</f>
        <v>13078.8922912121</v>
      </c>
      <c r="CM167" s="37" t="n">
        <f aca="false">CM163+CM164-CM165</f>
        <v>11461.914432888</v>
      </c>
      <c r="CN167" s="37" t="n">
        <f aca="false">CN163+CN164-CN165</f>
        <v>9937.07677108765</v>
      </c>
      <c r="CO167" s="37" t="n">
        <f aca="false">CO163+CO164-CO165</f>
        <v>8307.29876742911</v>
      </c>
      <c r="CP167" s="37" t="n">
        <f aca="false">CP163+CP164-CP165</f>
        <v>6670.88084644381</v>
      </c>
      <c r="CQ167" s="37" t="n">
        <f aca="false">CQ163+CQ164-CQ165</f>
        <v>5126.52392076071</v>
      </c>
      <c r="CR167" s="37" t="n">
        <f aca="false">CR163+CR164-CR165</f>
        <v>3477.14712932217</v>
      </c>
      <c r="CS167" s="37" t="n">
        <f aca="false">CS163+CS164-CS165</f>
        <v>1919.7785371435</v>
      </c>
      <c r="CT167" s="37" t="n">
        <f aca="false">CT163+CT164-CT165</f>
        <v>257.337068069458</v>
      </c>
      <c r="CU167" s="37" t="n">
        <f aca="false">CU163+CU164-CU165</f>
        <v>0</v>
      </c>
      <c r="CV167" s="37" t="n">
        <f aca="false">CV163+CV164-CV165</f>
        <v>0</v>
      </c>
      <c r="CW167" s="37" t="n">
        <f aca="false">CW163+CW164-CW165</f>
        <v>0</v>
      </c>
      <c r="CX167" s="37" t="n">
        <f aca="false">CX163+CX164-CX165</f>
        <v>0</v>
      </c>
      <c r="CY167" s="37" t="n">
        <f aca="false">CY163+CY164-CY165</f>
        <v>0</v>
      </c>
      <c r="CZ167" s="37" t="n">
        <f aca="false">CZ163+CZ164-CZ165</f>
        <v>0</v>
      </c>
      <c r="DA167" s="37" t="n">
        <f aca="false">DA163+DA164-DA165</f>
        <v>0</v>
      </c>
      <c r="DB167" s="37" t="n">
        <f aca="false">DB163+DB164-DB165</f>
        <v>0</v>
      </c>
      <c r="DC167" s="37" t="n">
        <f aca="false">DC163+DC164-DC165</f>
        <v>0</v>
      </c>
      <c r="DD167" s="37" t="n">
        <f aca="false">DD163+DD164-DD165</f>
        <v>0</v>
      </c>
      <c r="DE167" s="37" t="n">
        <f aca="false">DE163+DE164-DE165</f>
        <v>0</v>
      </c>
      <c r="DF167" s="37" t="n">
        <f aca="false">DF163+DF164-DF165</f>
        <v>0</v>
      </c>
      <c r="DG167" s="37" t="n">
        <f aca="false">DG163+DG164-DG165</f>
        <v>0</v>
      </c>
      <c r="DH167" s="37" t="n">
        <f aca="false">DH163+DH164-DH165</f>
        <v>0</v>
      </c>
      <c r="DI167" s="37" t="n">
        <f aca="false">DI163+DI164-DI165</f>
        <v>0</v>
      </c>
      <c r="DJ167" s="37" t="n">
        <f aca="false">DJ163+DJ164-DJ165</f>
        <v>0</v>
      </c>
      <c r="DK167" s="37" t="n">
        <f aca="false">DK163+DK164-DK165</f>
        <v>0</v>
      </c>
      <c r="DL167" s="37" t="n">
        <f aca="false">DL163+DL164-DL165</f>
        <v>0</v>
      </c>
      <c r="DM167" s="37" t="n">
        <f aca="false">DM163+DM164-DM165</f>
        <v>0</v>
      </c>
      <c r="DN167" s="37" t="n">
        <f aca="false">DN163+DN164-DN165</f>
        <v>0</v>
      </c>
      <c r="DO167" s="37" t="n">
        <f aca="false">DO163+DO164-DO165</f>
        <v>0</v>
      </c>
      <c r="DP167" s="37" t="n">
        <f aca="false">DP163+DP164-DP165</f>
        <v>0</v>
      </c>
      <c r="DQ167" s="37" t="n">
        <f aca="false">DQ163+DQ164-DQ165</f>
        <v>0</v>
      </c>
      <c r="DR167" s="37" t="n">
        <f aca="false">DR163+DR164-DR165</f>
        <v>0</v>
      </c>
      <c r="DS167" s="37" t="n">
        <f aca="false">DS163+DS164-DS165</f>
        <v>0</v>
      </c>
      <c r="DT167" s="37" t="n">
        <f aca="false">DT163+DT164-DT165</f>
        <v>819.570582018177</v>
      </c>
      <c r="DU167" s="37" t="n">
        <f aca="false">DU163+DU164-DU165</f>
        <v>1642.48019603693</v>
      </c>
      <c r="DV167" s="37" t="n">
        <f aca="false">DV163+DV164-DV165</f>
        <v>2468.74244568595</v>
      </c>
      <c r="DW167" s="37" t="n">
        <f aca="false">DW163+DW164-DW165</f>
        <v>0</v>
      </c>
      <c r="DX167" s="37" t="n">
        <f aca="false">DX163+DX164-DX165</f>
        <v>0</v>
      </c>
      <c r="DY167" s="37" t="n">
        <f aca="false">DY163+DY164-DY165</f>
        <v>0</v>
      </c>
      <c r="DZ167" s="37" t="n">
        <f aca="false">DZ163+DZ164-DZ165</f>
        <v>0</v>
      </c>
      <c r="EA167" s="37" t="n">
        <f aca="false">EA163+EA164-EA165</f>
        <v>0</v>
      </c>
      <c r="EB167" s="37" t="n">
        <f aca="false">EB163+EB164-EB165</f>
        <v>0</v>
      </c>
      <c r="EC167" s="37" t="n">
        <f aca="false">EC163+EC164-EC165</f>
        <v>0</v>
      </c>
      <c r="ED167" s="37" t="n">
        <f aca="false">ED163+ED164-ED165</f>
        <v>0</v>
      </c>
      <c r="EE167" s="37" t="n">
        <f aca="false">EE163+EE164-EE165</f>
        <v>0</v>
      </c>
      <c r="EF167" s="37" t="n">
        <f aca="false">EF163+EF164-EF165</f>
        <v>0</v>
      </c>
    </row>
    <row r="168" customFormat="false" ht="15" hidden="false" customHeight="false" outlineLevel="0" collapsed="false">
      <c r="A168" s="36" t="s">
        <v>697</v>
      </c>
      <c r="B168" s="278" t="s">
        <v>21</v>
      </c>
      <c r="C168" s="279" t="n">
        <f aca="false">SUM(E168:EF168)</f>
        <v>443763.146532001</v>
      </c>
      <c r="E168" s="37" t="n">
        <f aca="false">E158-E165-E166</f>
        <v>0</v>
      </c>
      <c r="F168" s="37" t="n">
        <f aca="false">F158-F165-F166</f>
        <v>0</v>
      </c>
      <c r="G168" s="37" t="n">
        <f aca="false">G158-G165-G166</f>
        <v>0</v>
      </c>
      <c r="H168" s="37" t="n">
        <f aca="false">H158-H165-H166</f>
        <v>0</v>
      </c>
      <c r="I168" s="37" t="n">
        <f aca="false">I158-I165-I166</f>
        <v>0</v>
      </c>
      <c r="J168" s="37" t="n">
        <f aca="false">J158-J165-J166</f>
        <v>0</v>
      </c>
      <c r="K168" s="37" t="n">
        <f aca="false">K158-K165-K166</f>
        <v>0</v>
      </c>
      <c r="L168" s="37" t="n">
        <f aca="false">L158-L165-L166</f>
        <v>0</v>
      </c>
      <c r="M168" s="37" t="n">
        <f aca="false">M158-M165-M166</f>
        <v>0</v>
      </c>
      <c r="N168" s="37" t="n">
        <f aca="false">N158-N165-N166</f>
        <v>0</v>
      </c>
      <c r="O168" s="37" t="n">
        <f aca="false">O158-O165-O166</f>
        <v>0</v>
      </c>
      <c r="P168" s="37" t="n">
        <f aca="false">P158-P165-P166</f>
        <v>0</v>
      </c>
      <c r="Q168" s="37" t="n">
        <f aca="false">Q158-Q165-Q166</f>
        <v>0</v>
      </c>
      <c r="R168" s="37" t="n">
        <f aca="false">R158-R165-R166</f>
        <v>0</v>
      </c>
      <c r="S168" s="37" t="n">
        <f aca="false">S158-S165-S166</f>
        <v>0</v>
      </c>
      <c r="T168" s="37" t="n">
        <f aca="false">T158-T165-T166</f>
        <v>0</v>
      </c>
      <c r="U168" s="37" t="n">
        <f aca="false">U158-U165-U166</f>
        <v>0</v>
      </c>
      <c r="V168" s="37" t="n">
        <f aca="false">V158-V165-V166</f>
        <v>0</v>
      </c>
      <c r="W168" s="37" t="n">
        <f aca="false">W158-W165-W166</f>
        <v>0</v>
      </c>
      <c r="X168" s="37" t="n">
        <f aca="false">X158-X165-X166</f>
        <v>0</v>
      </c>
      <c r="Y168" s="37" t="n">
        <f aca="false">Y158-Y165-Y166</f>
        <v>0</v>
      </c>
      <c r="Z168" s="37" t="n">
        <f aca="false">Z158-Z165-Z166</f>
        <v>0</v>
      </c>
      <c r="AA168" s="37" t="n">
        <f aca="false">AA158-AA165-AA166</f>
        <v>0</v>
      </c>
      <c r="AB168" s="37" t="n">
        <f aca="false">AB158-AB165-AB166</f>
        <v>0</v>
      </c>
      <c r="AC168" s="37" t="n">
        <f aca="false">AC158-AC165-AC166</f>
        <v>0</v>
      </c>
      <c r="AD168" s="37" t="n">
        <f aca="false">AD158-AD165-AD166</f>
        <v>0</v>
      </c>
      <c r="AE168" s="37" t="n">
        <f aca="false">AE158-AE165-AE166</f>
        <v>0</v>
      </c>
      <c r="AF168" s="37" t="n">
        <f aca="false">AF158-AF165-AF166</f>
        <v>0</v>
      </c>
      <c r="AG168" s="37" t="n">
        <f aca="false">AG158-AG165-AG166</f>
        <v>0</v>
      </c>
      <c r="AH168" s="37" t="n">
        <f aca="false">AH158-AH165-AH166</f>
        <v>0</v>
      </c>
      <c r="AI168" s="37" t="n">
        <f aca="false">AI158-AI165-AI166</f>
        <v>0</v>
      </c>
      <c r="AJ168" s="37" t="n">
        <f aca="false">AJ158-AJ165-AJ166</f>
        <v>0</v>
      </c>
      <c r="AK168" s="37" t="n">
        <f aca="false">AK158-AK165-AK166</f>
        <v>0</v>
      </c>
      <c r="AL168" s="37" t="n">
        <f aca="false">AL158-AL165-AL166</f>
        <v>0</v>
      </c>
      <c r="AM168" s="37" t="n">
        <f aca="false">AM158-AM165-AM166</f>
        <v>0</v>
      </c>
      <c r="AN168" s="37" t="n">
        <f aca="false">AN158-AN165-AN166</f>
        <v>0</v>
      </c>
      <c r="AO168" s="37" t="n">
        <f aca="false">AO158-AO165-AO166</f>
        <v>0</v>
      </c>
      <c r="AP168" s="37" t="n">
        <f aca="false">AP158-AP165-AP166</f>
        <v>0</v>
      </c>
      <c r="AQ168" s="37" t="n">
        <f aca="false">AQ158-AQ165-AQ166</f>
        <v>0</v>
      </c>
      <c r="AR168" s="37" t="n">
        <f aca="false">AR158-AR165-AR166</f>
        <v>0</v>
      </c>
      <c r="AS168" s="37" t="n">
        <f aca="false">AS158-AS165-AS166</f>
        <v>0</v>
      </c>
      <c r="AT168" s="37" t="n">
        <f aca="false">AT158-AT165-AT166</f>
        <v>0</v>
      </c>
      <c r="AU168" s="37" t="n">
        <f aca="false">AU158-AU165-AU166</f>
        <v>0</v>
      </c>
      <c r="AV168" s="37" t="n">
        <f aca="false">AV158-AV165-AV166</f>
        <v>0</v>
      </c>
      <c r="AW168" s="37" t="n">
        <f aca="false">AW158-AW165-AW166</f>
        <v>0</v>
      </c>
      <c r="AX168" s="37" t="n">
        <f aca="false">AX158-AX165-AX166</f>
        <v>0</v>
      </c>
      <c r="AY168" s="37" t="n">
        <f aca="false">AY158-AY165-AY166</f>
        <v>0</v>
      </c>
      <c r="AZ168" s="37" t="n">
        <f aca="false">AZ158-AZ165-AZ166</f>
        <v>0</v>
      </c>
      <c r="BA168" s="37" t="n">
        <f aca="false">BA158-BA165-BA166</f>
        <v>0</v>
      </c>
      <c r="BB168" s="37" t="n">
        <f aca="false">BB158-BB165-BB166</f>
        <v>0</v>
      </c>
      <c r="BC168" s="37" t="n">
        <f aca="false">BC158-BC165-BC166</f>
        <v>0</v>
      </c>
      <c r="BD168" s="37" t="n">
        <f aca="false">BD158-BD165-BD166</f>
        <v>0</v>
      </c>
      <c r="BE168" s="37" t="n">
        <f aca="false">BE158-BE165-BE166</f>
        <v>0</v>
      </c>
      <c r="BF168" s="37" t="n">
        <f aca="false">BF158-BF165-BF166</f>
        <v>0</v>
      </c>
      <c r="BG168" s="37" t="n">
        <f aca="false">BG158-BG165-BG166</f>
        <v>0</v>
      </c>
      <c r="BH168" s="37" t="n">
        <f aca="false">BH158-BH165-BH166</f>
        <v>0</v>
      </c>
      <c r="BI168" s="37" t="n">
        <f aca="false">BI158-BI165-BI166</f>
        <v>0</v>
      </c>
      <c r="BJ168" s="37" t="n">
        <f aca="false">BJ158-BJ165-BJ166</f>
        <v>0</v>
      </c>
      <c r="BK168" s="37" t="n">
        <f aca="false">BK158-BK165-BK166</f>
        <v>0</v>
      </c>
      <c r="BL168" s="37" t="n">
        <f aca="false">BL158-BL165-BL166</f>
        <v>0</v>
      </c>
      <c r="BM168" s="37" t="n">
        <f aca="false">BM158-BM165-BM166</f>
        <v>0</v>
      </c>
      <c r="BN168" s="37" t="n">
        <f aca="false">BN158-BN165-BN166</f>
        <v>0</v>
      </c>
      <c r="BO168" s="37" t="n">
        <f aca="false">BO158-BO165-BO166</f>
        <v>0</v>
      </c>
      <c r="BP168" s="37" t="n">
        <f aca="false">BP158-BP165-BP166</f>
        <v>0</v>
      </c>
      <c r="BQ168" s="37" t="n">
        <f aca="false">BQ158-BQ165-BQ166</f>
        <v>0</v>
      </c>
      <c r="BR168" s="37" t="n">
        <f aca="false">BR158-BR165-BR166</f>
        <v>0</v>
      </c>
      <c r="BS168" s="37" t="n">
        <f aca="false">BS158-BS165-BS166</f>
        <v>0</v>
      </c>
      <c r="BT168" s="37" t="n">
        <f aca="false">BT158-BT165-BT166</f>
        <v>0</v>
      </c>
      <c r="BU168" s="37" t="n">
        <f aca="false">BU158-BU165-BU166</f>
        <v>0</v>
      </c>
      <c r="BV168" s="37" t="n">
        <f aca="false">BV158-BV165-BV166</f>
        <v>0</v>
      </c>
      <c r="BW168" s="37" t="n">
        <f aca="false">BW158-BW165-BW166</f>
        <v>0</v>
      </c>
      <c r="BX168" s="37" t="n">
        <f aca="false">BX158-BX165-BX166</f>
        <v>0</v>
      </c>
      <c r="BY168" s="37" t="n">
        <f aca="false">BY158-BY165-BY166</f>
        <v>0</v>
      </c>
      <c r="BZ168" s="37" t="n">
        <f aca="false">BZ158-BZ165-BZ166</f>
        <v>0</v>
      </c>
      <c r="CA168" s="37" t="n">
        <f aca="false">CA158-CA165-CA166</f>
        <v>0</v>
      </c>
      <c r="CB168" s="37" t="n">
        <f aca="false">CB158-CB165-CB166</f>
        <v>0</v>
      </c>
      <c r="CC168" s="37" t="n">
        <f aca="false">CC158-CC165-CC166</f>
        <v>0</v>
      </c>
      <c r="CD168" s="37" t="n">
        <f aca="false">CD158-CD165-CD166</f>
        <v>0</v>
      </c>
      <c r="CE168" s="37" t="n">
        <f aca="false">CE158-CE165-CE166</f>
        <v>0</v>
      </c>
      <c r="CF168" s="37" t="n">
        <f aca="false">CF158-CF165-CF166</f>
        <v>0</v>
      </c>
      <c r="CG168" s="37" t="n">
        <f aca="false">CG158-CG165-CG166</f>
        <v>0</v>
      </c>
      <c r="CH168" s="37" t="n">
        <f aca="false">CH158-CH165-CH166</f>
        <v>0</v>
      </c>
      <c r="CI168" s="37" t="n">
        <f aca="false">CI158-CI165-CI166</f>
        <v>0</v>
      </c>
      <c r="CJ168" s="37" t="n">
        <f aca="false">CJ158-CJ165-CJ166</f>
        <v>0</v>
      </c>
      <c r="CK168" s="37" t="n">
        <f aca="false">CK158-CK165-CK166</f>
        <v>0</v>
      </c>
      <c r="CL168" s="37" t="n">
        <f aca="false">CL158-CL165-CL166</f>
        <v>0</v>
      </c>
      <c r="CM168" s="37" t="n">
        <f aca="false">CM158-CM165-CM166</f>
        <v>0</v>
      </c>
      <c r="CN168" s="37" t="n">
        <f aca="false">CN158-CN165-CN166</f>
        <v>0</v>
      </c>
      <c r="CO168" s="37" t="n">
        <f aca="false">CO158-CO165-CO166</f>
        <v>0</v>
      </c>
      <c r="CP168" s="37" t="n">
        <f aca="false">CP158-CP165-CP166</f>
        <v>0</v>
      </c>
      <c r="CQ168" s="37" t="n">
        <f aca="false">CQ158-CQ165-CQ166</f>
        <v>0</v>
      </c>
      <c r="CR168" s="37" t="n">
        <f aca="false">CR158-CR165-CR166</f>
        <v>0</v>
      </c>
      <c r="CS168" s="37" t="n">
        <f aca="false">CS158-CS165-CS166</f>
        <v>0</v>
      </c>
      <c r="CT168" s="37" t="n">
        <f aca="false">CT158-CT165-CT166</f>
        <v>0</v>
      </c>
      <c r="CU168" s="37" t="n">
        <f aca="false">CU158-CU165-CU166</f>
        <v>1411.87739333267</v>
      </c>
      <c r="CV168" s="37" t="n">
        <f aca="false">CV158-CV165-CV166</f>
        <v>1374.07899104932</v>
      </c>
      <c r="CW168" s="37" t="n">
        <f aca="false">CW158-CW165-CW166</f>
        <v>1769.80772390016</v>
      </c>
      <c r="CX168" s="37" t="n">
        <f aca="false">CX158-CX165-CX166</f>
        <v>1669.1052001366</v>
      </c>
      <c r="CY168" s="37" t="n">
        <f aca="false">CY158-CY165-CY166</f>
        <v>1769.80772390016</v>
      </c>
      <c r="CZ168" s="37" t="n">
        <f aca="false">CZ158-CZ165-CZ166</f>
        <v>1669.1052001366</v>
      </c>
      <c r="DA168" s="37" t="n">
        <f aca="false">DA158-DA165-DA166</f>
        <v>1769.80772390016</v>
      </c>
      <c r="DB168" s="37" t="n">
        <f aca="false">DB158-DB165-DB166</f>
        <v>1769.80772390016</v>
      </c>
      <c r="DC168" s="37" t="n">
        <f aca="false">DC158-DC165-DC166</f>
        <v>1669.1052001366</v>
      </c>
      <c r="DD168" s="37" t="n">
        <f aca="false">DD158-DD165-DD166</f>
        <v>1769.80772390016</v>
      </c>
      <c r="DE168" s="37" t="n">
        <f aca="false">DE158-DE165-DE166</f>
        <v>1669.1052001366</v>
      </c>
      <c r="DF168" s="37" t="n">
        <f aca="false">DF158-DF165-DF166</f>
        <v>1769.80772390016</v>
      </c>
      <c r="DG168" s="37" t="n">
        <f aca="false">DG158-DG165-DG166</f>
        <v>1769.80772390016</v>
      </c>
      <c r="DH168" s="37" t="n">
        <f aca="false">DH158-DH165-DH166</f>
        <v>1467.70015260947</v>
      </c>
      <c r="DI168" s="37" t="n">
        <f aca="false">DI158-DI165-DI166</f>
        <v>1871.34346011733</v>
      </c>
      <c r="DJ168" s="37" t="n">
        <f aca="false">DJ158-DJ165-DJ166</f>
        <v>1768.6268858785</v>
      </c>
      <c r="DK168" s="37" t="n">
        <f aca="false">DK158-DK165-DK166</f>
        <v>1871.34346011733</v>
      </c>
      <c r="DL168" s="37" t="n">
        <f aca="false">DL158-DL165-DL166</f>
        <v>1768.6268858785</v>
      </c>
      <c r="DM168" s="37" t="n">
        <f aca="false">DM158-DM165-DM166</f>
        <v>1871.34346011733</v>
      </c>
      <c r="DN168" s="37" t="n">
        <f aca="false">DN158-DN165-DN166</f>
        <v>1871.34346011733</v>
      </c>
      <c r="DO168" s="37" t="n">
        <f aca="false">DO158-DO165-DO166</f>
        <v>1768.6268858785</v>
      </c>
      <c r="DP168" s="37" t="n">
        <f aca="false">DP158-DP165-DP166</f>
        <v>1871.34346011733</v>
      </c>
      <c r="DQ168" s="37" t="n">
        <f aca="false">DQ158-DQ165-DQ166</f>
        <v>1768.6268858785</v>
      </c>
      <c r="DR168" s="37" t="n">
        <f aca="false">DR158-DR165-DR166</f>
        <v>1871.34346011733</v>
      </c>
      <c r="DS168" s="37" t="n">
        <f aca="false">DS158-DS165-DS166</f>
        <v>1871.34346011733</v>
      </c>
      <c r="DT168" s="37" t="n">
        <f aca="false">DT158-DT165-DT166</f>
        <v>0</v>
      </c>
      <c r="DU168" s="37" t="n">
        <f aca="false">DU158-DU165-DU166</f>
        <v>0</v>
      </c>
      <c r="DV168" s="37" t="n">
        <f aca="false">DV158-DV165-DV166</f>
        <v>0</v>
      </c>
      <c r="DW168" s="37" t="n">
        <f aca="false">DW158-DW165-DW166</f>
        <v>400270.503362827</v>
      </c>
      <c r="DX168" s="37" t="n">
        <f aca="false">DX158-DX165-DX166</f>
        <v>0</v>
      </c>
      <c r="DY168" s="37" t="n">
        <f aca="false">DY158-DY165-DY166</f>
        <v>0</v>
      </c>
      <c r="DZ168" s="37" t="n">
        <f aca="false">DZ158-DZ165-DZ166</f>
        <v>0</v>
      </c>
      <c r="EA168" s="37" t="n">
        <f aca="false">EA158-EA165-EA166</f>
        <v>0</v>
      </c>
      <c r="EB168" s="37" t="n">
        <f aca="false">EB158-EB165-EB166</f>
        <v>0</v>
      </c>
      <c r="EC168" s="37" t="n">
        <f aca="false">EC158-EC165-EC166</f>
        <v>0</v>
      </c>
      <c r="ED168" s="37" t="n">
        <f aca="false">ED158-ED165-ED166</f>
        <v>0</v>
      </c>
      <c r="EE168" s="37" t="n">
        <f aca="false">EE158-EE165-EE166</f>
        <v>0</v>
      </c>
      <c r="EF168" s="37" t="n">
        <f aca="false">EF158-EF165-EF166</f>
        <v>0</v>
      </c>
    </row>
    <row r="170" customFormat="false" ht="15" hidden="false" customHeight="false" outlineLevel="0" collapsed="false">
      <c r="A170" s="6" t="s">
        <v>698</v>
      </c>
      <c r="B170" s="7"/>
      <c r="C170" s="286" t="s">
        <v>699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</row>
    <row r="171" customFormat="false" ht="15" hidden="false" customHeight="false" outlineLevel="0" collapsed="false">
      <c r="A171" s="36" t="s">
        <v>700</v>
      </c>
      <c r="B171" s="278" t="s">
        <v>21</v>
      </c>
      <c r="C171" s="287" t="n">
        <f aca="false">IFERROR((1+IRR(E171:EF171,0.01))^12-1,IFERROR((1+IRR(E171:EF171,-0.05))^12-1,-1))</f>
        <v>0.203927870290846</v>
      </c>
      <c r="E171" s="37" t="n">
        <f aca="false">-E140+E168</f>
        <v>-15820.1801474049</v>
      </c>
      <c r="F171" s="37" t="n">
        <f aca="false">-F140+F168</f>
        <v>0</v>
      </c>
      <c r="G171" s="37" t="n">
        <f aca="false">-G140+G168</f>
        <v>0</v>
      </c>
      <c r="H171" s="37" t="n">
        <f aca="false">-H140+H168</f>
        <v>0</v>
      </c>
      <c r="I171" s="37" t="n">
        <f aca="false">-I140+I168</f>
        <v>0</v>
      </c>
      <c r="J171" s="37" t="n">
        <f aca="false">-J140+J168</f>
        <v>0</v>
      </c>
      <c r="K171" s="37" t="n">
        <f aca="false">-K140+K168</f>
        <v>0</v>
      </c>
      <c r="L171" s="37" t="n">
        <f aca="false">-L140+L168</f>
        <v>0</v>
      </c>
      <c r="M171" s="37" t="n">
        <f aca="false">-M140+M168</f>
        <v>0</v>
      </c>
      <c r="N171" s="37" t="n">
        <f aca="false">-N140+N168</f>
        <v>0</v>
      </c>
      <c r="O171" s="37" t="n">
        <f aca="false">-O140+O168</f>
        <v>0</v>
      </c>
      <c r="P171" s="37" t="n">
        <f aca="false">-P140+P168</f>
        <v>0</v>
      </c>
      <c r="Q171" s="37" t="n">
        <f aca="false">-Q140+Q168</f>
        <v>0</v>
      </c>
      <c r="R171" s="37" t="n">
        <f aca="false">-R140+R168</f>
        <v>0</v>
      </c>
      <c r="S171" s="37" t="n">
        <f aca="false">-S140+S168</f>
        <v>0</v>
      </c>
      <c r="T171" s="37" t="n">
        <f aca="false">-T140+T168</f>
        <v>0</v>
      </c>
      <c r="U171" s="37" t="n">
        <f aca="false">-U140+U168</f>
        <v>0</v>
      </c>
      <c r="V171" s="37" t="n">
        <f aca="false">-V140+V168</f>
        <v>0</v>
      </c>
      <c r="W171" s="37" t="n">
        <f aca="false">-W140+W168</f>
        <v>-70393.3356422675</v>
      </c>
      <c r="X171" s="37" t="n">
        <f aca="false">-X140+X168</f>
        <v>0</v>
      </c>
      <c r="Y171" s="37" t="n">
        <f aca="false">-Y140+Y168</f>
        <v>0</v>
      </c>
      <c r="Z171" s="37" t="n">
        <f aca="false">-Z140+Z168</f>
        <v>0</v>
      </c>
      <c r="AA171" s="37" t="n">
        <f aca="false">-AA140+AA168</f>
        <v>0</v>
      </c>
      <c r="AB171" s="37" t="n">
        <f aca="false">-AB140+AB168</f>
        <v>0</v>
      </c>
      <c r="AC171" s="37" t="n">
        <f aca="false">-AC140+AC168</f>
        <v>0</v>
      </c>
      <c r="AD171" s="37" t="n">
        <f aca="false">-AD140+AD168</f>
        <v>0</v>
      </c>
      <c r="AE171" s="37" t="n">
        <f aca="false">-AE140+AE168</f>
        <v>0</v>
      </c>
      <c r="AF171" s="37" t="n">
        <f aca="false">-AF140+AF168</f>
        <v>0</v>
      </c>
      <c r="AG171" s="37" t="n">
        <f aca="false">-AG140+AG168</f>
        <v>0</v>
      </c>
      <c r="AH171" s="37" t="n">
        <f aca="false">-AH140+AH168</f>
        <v>0</v>
      </c>
      <c r="AI171" s="37" t="n">
        <f aca="false">-AI140+AI168</f>
        <v>0</v>
      </c>
      <c r="AJ171" s="37" t="n">
        <f aca="false">-AJ140+AJ168</f>
        <v>0</v>
      </c>
      <c r="AK171" s="37" t="n">
        <f aca="false">-AK140+AK168</f>
        <v>0</v>
      </c>
      <c r="AL171" s="37" t="n">
        <f aca="false">-AL140+AL168</f>
        <v>0</v>
      </c>
      <c r="AM171" s="37" t="n">
        <f aca="false">-AM140+AM168</f>
        <v>0</v>
      </c>
      <c r="AN171" s="37" t="n">
        <f aca="false">-AN140+AN168</f>
        <v>0</v>
      </c>
      <c r="AO171" s="37" t="n">
        <f aca="false">-AO140+AO168</f>
        <v>0</v>
      </c>
      <c r="AP171" s="37" t="n">
        <f aca="false">-AP140+AP168</f>
        <v>0</v>
      </c>
      <c r="AQ171" s="37" t="n">
        <f aca="false">-AQ140+AQ168</f>
        <v>0</v>
      </c>
      <c r="AR171" s="37" t="n">
        <f aca="false">-AR140+AR168</f>
        <v>0</v>
      </c>
      <c r="AS171" s="37" t="n">
        <f aca="false">-AS140+AS168</f>
        <v>0</v>
      </c>
      <c r="AT171" s="37" t="n">
        <f aca="false">-AT140+AT168</f>
        <v>0</v>
      </c>
      <c r="AU171" s="37" t="n">
        <f aca="false">-AU140+AU168</f>
        <v>0</v>
      </c>
      <c r="AV171" s="37" t="n">
        <f aca="false">-AV140+AV168</f>
        <v>0</v>
      </c>
      <c r="AW171" s="37" t="n">
        <f aca="false">-AW140+AW168</f>
        <v>0</v>
      </c>
      <c r="AX171" s="37" t="n">
        <f aca="false">-AX140+AX168</f>
        <v>0</v>
      </c>
      <c r="AY171" s="37" t="n">
        <f aca="false">-AY140+AY168</f>
        <v>0</v>
      </c>
      <c r="AZ171" s="37" t="n">
        <f aca="false">-AZ140+AZ168</f>
        <v>0</v>
      </c>
      <c r="BA171" s="37" t="n">
        <f aca="false">-BA140+BA168</f>
        <v>0</v>
      </c>
      <c r="BB171" s="37" t="n">
        <f aca="false">-BB140+BB168</f>
        <v>0</v>
      </c>
      <c r="BC171" s="37" t="n">
        <f aca="false">-BC140+BC168</f>
        <v>0</v>
      </c>
      <c r="BD171" s="37" t="n">
        <f aca="false">-BD140+BD168</f>
        <v>0</v>
      </c>
      <c r="BE171" s="37" t="n">
        <f aca="false">-BE140+BE168</f>
        <v>0</v>
      </c>
      <c r="BF171" s="37" t="n">
        <f aca="false">-BF140+BF168</f>
        <v>0</v>
      </c>
      <c r="BG171" s="37" t="n">
        <f aca="false">-BG140+BG168</f>
        <v>0</v>
      </c>
      <c r="BH171" s="37" t="n">
        <f aca="false">-BH140+BH168</f>
        <v>0</v>
      </c>
      <c r="BI171" s="37" t="n">
        <f aca="false">-BI140+BI168</f>
        <v>0</v>
      </c>
      <c r="BJ171" s="37" t="n">
        <f aca="false">-BJ140+BJ168</f>
        <v>0</v>
      </c>
      <c r="BK171" s="37" t="n">
        <f aca="false">-BK140+BK168</f>
        <v>0</v>
      </c>
      <c r="BL171" s="37" t="n">
        <f aca="false">-BL140+BL168</f>
        <v>0</v>
      </c>
      <c r="BM171" s="37" t="n">
        <f aca="false">-BM140+BM168</f>
        <v>0</v>
      </c>
      <c r="BN171" s="37" t="n">
        <f aca="false">-BN140+BN168</f>
        <v>0</v>
      </c>
      <c r="BO171" s="37" t="n">
        <f aca="false">-BO140+BO168</f>
        <v>0</v>
      </c>
      <c r="BP171" s="37" t="n">
        <f aca="false">-BP140+BP168</f>
        <v>0</v>
      </c>
      <c r="BQ171" s="37" t="n">
        <f aca="false">-BQ140+BQ168</f>
        <v>0</v>
      </c>
      <c r="BR171" s="37" t="n">
        <f aca="false">-BR140+BR168</f>
        <v>0</v>
      </c>
      <c r="BS171" s="37" t="n">
        <f aca="false">-BS140+BS168</f>
        <v>0</v>
      </c>
      <c r="BT171" s="37" t="n">
        <f aca="false">-BT140+BT168</f>
        <v>0</v>
      </c>
      <c r="BU171" s="37" t="n">
        <f aca="false">-BU140+BU168</f>
        <v>0</v>
      </c>
      <c r="BV171" s="37" t="n">
        <f aca="false">-BV140+BV168</f>
        <v>0</v>
      </c>
      <c r="BW171" s="37" t="n">
        <f aca="false">-BW140+BW168</f>
        <v>0</v>
      </c>
      <c r="BX171" s="37" t="n">
        <f aca="false">-BX140+BX168</f>
        <v>0</v>
      </c>
      <c r="BY171" s="37" t="n">
        <f aca="false">-BY140+BY168</f>
        <v>0</v>
      </c>
      <c r="BZ171" s="37" t="n">
        <f aca="false">-BZ140+BZ168</f>
        <v>0</v>
      </c>
      <c r="CA171" s="37" t="n">
        <f aca="false">-CA140+CA168</f>
        <v>0</v>
      </c>
      <c r="CB171" s="37" t="n">
        <f aca="false">-CB140+CB168</f>
        <v>0</v>
      </c>
      <c r="CC171" s="37" t="n">
        <f aca="false">-CC140+CC168</f>
        <v>0</v>
      </c>
      <c r="CD171" s="37" t="n">
        <f aca="false">-CD140+CD168</f>
        <v>0</v>
      </c>
      <c r="CE171" s="37" t="n">
        <f aca="false">-CE140+CE168</f>
        <v>0</v>
      </c>
      <c r="CF171" s="37" t="n">
        <f aca="false">-CF140+CF168</f>
        <v>0</v>
      </c>
      <c r="CG171" s="37" t="n">
        <f aca="false">-CG140+CG168</f>
        <v>0</v>
      </c>
      <c r="CH171" s="37" t="n">
        <f aca="false">-CH140+CH168</f>
        <v>0</v>
      </c>
      <c r="CI171" s="37" t="n">
        <f aca="false">-CI140+CI168</f>
        <v>0</v>
      </c>
      <c r="CJ171" s="37" t="n">
        <f aca="false">-CJ140+CJ168</f>
        <v>0</v>
      </c>
      <c r="CK171" s="37" t="n">
        <f aca="false">-CK140+CK168</f>
        <v>0</v>
      </c>
      <c r="CL171" s="37" t="n">
        <f aca="false">-CL140+CL168</f>
        <v>0</v>
      </c>
      <c r="CM171" s="37" t="n">
        <f aca="false">-CM140+CM168</f>
        <v>0</v>
      </c>
      <c r="CN171" s="37" t="n">
        <f aca="false">-CN140+CN168</f>
        <v>0</v>
      </c>
      <c r="CO171" s="37" t="n">
        <f aca="false">-CO140+CO168</f>
        <v>0</v>
      </c>
      <c r="CP171" s="37" t="n">
        <f aca="false">-CP140+CP168</f>
        <v>0</v>
      </c>
      <c r="CQ171" s="37" t="n">
        <f aca="false">-CQ140+CQ168</f>
        <v>0</v>
      </c>
      <c r="CR171" s="37" t="n">
        <f aca="false">-CR140+CR168</f>
        <v>0</v>
      </c>
      <c r="CS171" s="37" t="n">
        <f aca="false">-CS140+CS168</f>
        <v>0</v>
      </c>
      <c r="CT171" s="37" t="n">
        <f aca="false">-CT140+CT168</f>
        <v>0</v>
      </c>
      <c r="CU171" s="37" t="n">
        <f aca="false">-CU140+CU168</f>
        <v>1411.87739333267</v>
      </c>
      <c r="CV171" s="37" t="n">
        <f aca="false">-CV140+CV168</f>
        <v>1374.07899104932</v>
      </c>
      <c r="CW171" s="37" t="n">
        <f aca="false">-CW140+CW168</f>
        <v>1769.80772390016</v>
      </c>
      <c r="CX171" s="37" t="n">
        <f aca="false">-CX140+CX168</f>
        <v>1669.1052001366</v>
      </c>
      <c r="CY171" s="37" t="n">
        <f aca="false">-CY140+CY168</f>
        <v>1769.80772390016</v>
      </c>
      <c r="CZ171" s="37" t="n">
        <f aca="false">-CZ140+CZ168</f>
        <v>1669.1052001366</v>
      </c>
      <c r="DA171" s="37" t="n">
        <f aca="false">-DA140+DA168</f>
        <v>1769.80772390016</v>
      </c>
      <c r="DB171" s="37" t="n">
        <f aca="false">-DB140+DB168</f>
        <v>1769.80772390016</v>
      </c>
      <c r="DC171" s="37" t="n">
        <f aca="false">-DC140+DC168</f>
        <v>1669.1052001366</v>
      </c>
      <c r="DD171" s="37" t="n">
        <f aca="false">-DD140+DD168</f>
        <v>1769.80772390016</v>
      </c>
      <c r="DE171" s="37" t="n">
        <f aca="false">-DE140+DE168</f>
        <v>1669.1052001366</v>
      </c>
      <c r="DF171" s="37" t="n">
        <f aca="false">-DF140+DF168</f>
        <v>1769.80772390016</v>
      </c>
      <c r="DG171" s="37" t="n">
        <f aca="false">-DG140+DG168</f>
        <v>1769.80772390016</v>
      </c>
      <c r="DH171" s="37" t="n">
        <f aca="false">-DH140+DH168</f>
        <v>1467.70015260947</v>
      </c>
      <c r="DI171" s="37" t="n">
        <f aca="false">-DI140+DI168</f>
        <v>1871.34346011733</v>
      </c>
      <c r="DJ171" s="37" t="n">
        <f aca="false">-DJ140+DJ168</f>
        <v>1768.6268858785</v>
      </c>
      <c r="DK171" s="37" t="n">
        <f aca="false">-DK140+DK168</f>
        <v>1871.34346011733</v>
      </c>
      <c r="DL171" s="37" t="n">
        <f aca="false">-DL140+DL168</f>
        <v>1768.6268858785</v>
      </c>
      <c r="DM171" s="37" t="n">
        <f aca="false">-DM140+DM168</f>
        <v>1871.34346011733</v>
      </c>
      <c r="DN171" s="37" t="n">
        <f aca="false">-DN140+DN168</f>
        <v>1871.34346011733</v>
      </c>
      <c r="DO171" s="37" t="n">
        <f aca="false">-DO140+DO168</f>
        <v>1768.6268858785</v>
      </c>
      <c r="DP171" s="37" t="n">
        <f aca="false">-DP140+DP168</f>
        <v>1871.34346011733</v>
      </c>
      <c r="DQ171" s="37" t="n">
        <f aca="false">-DQ140+DQ168</f>
        <v>1768.6268858785</v>
      </c>
      <c r="DR171" s="37" t="n">
        <f aca="false">-DR140+DR168</f>
        <v>1871.34346011733</v>
      </c>
      <c r="DS171" s="37" t="n">
        <f aca="false">-DS140+DS168</f>
        <v>1871.34346011733</v>
      </c>
      <c r="DT171" s="37" t="n">
        <f aca="false">-DT140+DT168</f>
        <v>0</v>
      </c>
      <c r="DU171" s="37" t="n">
        <f aca="false">-DU140+DU168</f>
        <v>0</v>
      </c>
      <c r="DV171" s="37" t="n">
        <f aca="false">-DV140+DV168</f>
        <v>0</v>
      </c>
      <c r="DW171" s="37" t="n">
        <f aca="false">-DW140+DW168</f>
        <v>400270.503362827</v>
      </c>
      <c r="DX171" s="37" t="n">
        <f aca="false">-DX140+DX168</f>
        <v>0</v>
      </c>
      <c r="DY171" s="37" t="n">
        <f aca="false">-DY140+DY168</f>
        <v>0</v>
      </c>
      <c r="DZ171" s="37" t="n">
        <f aca="false">-DZ140+DZ168</f>
        <v>0</v>
      </c>
      <c r="EA171" s="37" t="n">
        <f aca="false">-EA140+EA168</f>
        <v>0</v>
      </c>
      <c r="EB171" s="37" t="n">
        <f aca="false">-EB140+EB168</f>
        <v>0</v>
      </c>
      <c r="EC171" s="37" t="n">
        <f aca="false">-EC140+EC168</f>
        <v>0</v>
      </c>
      <c r="ED171" s="37" t="n">
        <f aca="false">-ED140+ED168</f>
        <v>0</v>
      </c>
      <c r="EE171" s="37" t="n">
        <f aca="false">-EE140+EE168</f>
        <v>0</v>
      </c>
      <c r="EF171" s="37" t="n">
        <f aca="false">-EF140+EF168</f>
        <v>0</v>
      </c>
    </row>
    <row r="172" customFormat="false" ht="15" hidden="false" customHeight="false" outlineLevel="0" collapsed="false">
      <c r="A172" s="36" t="s">
        <v>701</v>
      </c>
      <c r="B172" s="278" t="s">
        <v>21</v>
      </c>
      <c r="C172" s="287" t="n">
        <f aca="false">IFERROR((1+IRR(E172:EF172,0.01))^12-1,IFERROR((1+IRR(E172:EF172,-0.05))^12-1,-1))</f>
        <v>0.0499999999985936</v>
      </c>
      <c r="E172" s="37" t="n">
        <f aca="false">-E141+E165+E166</f>
        <v>0</v>
      </c>
      <c r="F172" s="37" t="n">
        <f aca="false">-F141+F165+F166</f>
        <v>0</v>
      </c>
      <c r="G172" s="37" t="n">
        <f aca="false">-G141+G165+G166</f>
        <v>0</v>
      </c>
      <c r="H172" s="37" t="n">
        <f aca="false">-H141+H165+H166</f>
        <v>0</v>
      </c>
      <c r="I172" s="37" t="n">
        <f aca="false">-I141+I165+I166</f>
        <v>0</v>
      </c>
      <c r="J172" s="37" t="n">
        <f aca="false">-J141+J165+J166</f>
        <v>0</v>
      </c>
      <c r="K172" s="37" t="n">
        <f aca="false">-K141+K165+K166</f>
        <v>0</v>
      </c>
      <c r="L172" s="37" t="n">
        <f aca="false">-L141+L165+L166</f>
        <v>0</v>
      </c>
      <c r="M172" s="37" t="n">
        <f aca="false">-M141+M165+M166</f>
        <v>0</v>
      </c>
      <c r="N172" s="37" t="n">
        <f aca="false">-N141+N165+N166</f>
        <v>0</v>
      </c>
      <c r="O172" s="37" t="n">
        <f aca="false">-O141+O165+O166</f>
        <v>0</v>
      </c>
      <c r="P172" s="37" t="n">
        <f aca="false">-P141+P165+P166</f>
        <v>0</v>
      </c>
      <c r="Q172" s="37" t="n">
        <f aca="false">-Q141+Q165+Q166</f>
        <v>0</v>
      </c>
      <c r="R172" s="37" t="n">
        <f aca="false">-R141+R165+R166</f>
        <v>0</v>
      </c>
      <c r="S172" s="37" t="n">
        <f aca="false">-S141+S165+S166</f>
        <v>0</v>
      </c>
      <c r="T172" s="37" t="n">
        <f aca="false">-T141+T165+T166</f>
        <v>0</v>
      </c>
      <c r="U172" s="37" t="n">
        <f aca="false">-U141+U165+U166</f>
        <v>0</v>
      </c>
      <c r="V172" s="37" t="n">
        <f aca="false">-V141+V165+V166</f>
        <v>0</v>
      </c>
      <c r="W172" s="37" t="n">
        <f aca="false">-W141+W165+W166</f>
        <v>-201164.870175902</v>
      </c>
      <c r="X172" s="37" t="n">
        <f aca="false">-X141+X165+X166</f>
        <v>0</v>
      </c>
      <c r="Y172" s="37" t="n">
        <f aca="false">-Y141+Y165+Y166</f>
        <v>0</v>
      </c>
      <c r="Z172" s="37" t="n">
        <f aca="false">-Z141+Z165+Z166</f>
        <v>0</v>
      </c>
      <c r="AA172" s="37" t="n">
        <f aca="false">-AA141+AA165+AA166</f>
        <v>0</v>
      </c>
      <c r="AB172" s="37" t="n">
        <f aca="false">-AB141+AB165+AB166</f>
        <v>0</v>
      </c>
      <c r="AC172" s="37" t="n">
        <f aca="false">-AC141+AC165+AC166</f>
        <v>0</v>
      </c>
      <c r="AD172" s="37" t="n">
        <f aca="false">-AD141+AD165+AD166</f>
        <v>0</v>
      </c>
      <c r="AE172" s="37" t="n">
        <f aca="false">-AE141+AE165+AE166</f>
        <v>0</v>
      </c>
      <c r="AF172" s="37" t="n">
        <f aca="false">-AF141+AF165+AF166</f>
        <v>0</v>
      </c>
      <c r="AG172" s="37" t="n">
        <f aca="false">-AG141+AG165+AG166</f>
        <v>0</v>
      </c>
      <c r="AH172" s="37" t="n">
        <f aca="false">-AH141+AH165+AH166</f>
        <v>0</v>
      </c>
      <c r="AI172" s="37" t="n">
        <f aca="false">-AI141+AI165+AI166</f>
        <v>0</v>
      </c>
      <c r="AJ172" s="37" t="n">
        <f aca="false">-AJ141+AJ165+AJ166</f>
        <v>0</v>
      </c>
      <c r="AK172" s="37" t="n">
        <f aca="false">-AK141+AK165+AK166</f>
        <v>0</v>
      </c>
      <c r="AL172" s="37" t="n">
        <f aca="false">-AL141+AL165+AL166</f>
        <v>0</v>
      </c>
      <c r="AM172" s="37" t="n">
        <f aca="false">-AM141+AM165+AM166</f>
        <v>0</v>
      </c>
      <c r="AN172" s="37" t="n">
        <f aca="false">-AN141+AN165+AN166</f>
        <v>0</v>
      </c>
      <c r="AO172" s="37" t="n">
        <f aca="false">-AO141+AO165+AO166</f>
        <v>0</v>
      </c>
      <c r="AP172" s="37" t="n">
        <f aca="false">-AP141+AP165+AP166</f>
        <v>0</v>
      </c>
      <c r="AQ172" s="37" t="n">
        <f aca="false">-AQ141+AQ165+AQ166</f>
        <v>0</v>
      </c>
      <c r="AR172" s="37" t="n">
        <f aca="false">-AR141+AR165+AR166</f>
        <v>0</v>
      </c>
      <c r="AS172" s="37" t="n">
        <f aca="false">-AS141+AS165+AS166</f>
        <v>0</v>
      </c>
      <c r="AT172" s="37" t="n">
        <f aca="false">-AT141+AT165+AT166</f>
        <v>0</v>
      </c>
      <c r="AU172" s="37" t="n">
        <f aca="false">-AU141+AU165+AU166</f>
        <v>0</v>
      </c>
      <c r="AV172" s="37" t="n">
        <f aca="false">-AV141+AV165+AV166</f>
        <v>0</v>
      </c>
      <c r="AW172" s="37" t="n">
        <f aca="false">-AW141+AW165+AW166</f>
        <v>0</v>
      </c>
      <c r="AX172" s="37" t="n">
        <f aca="false">-AX141+AX165+AX166</f>
        <v>0</v>
      </c>
      <c r="AY172" s="37" t="n">
        <f aca="false">-AY141+AY165+AY166</f>
        <v>0</v>
      </c>
      <c r="AZ172" s="37" t="n">
        <f aca="false">-AZ141+AZ165+AZ166</f>
        <v>0</v>
      </c>
      <c r="BA172" s="37" t="n">
        <f aca="false">-BA141+BA165+BA166</f>
        <v>0</v>
      </c>
      <c r="BB172" s="37" t="n">
        <f aca="false">-BB141+BB165+BB166</f>
        <v>0</v>
      </c>
      <c r="BC172" s="37" t="n">
        <f aca="false">-BC141+BC165+BC166</f>
        <v>0</v>
      </c>
      <c r="BD172" s="37" t="n">
        <f aca="false">-BD141+BD165+BD166</f>
        <v>0</v>
      </c>
      <c r="BE172" s="37" t="n">
        <f aca="false">-BE141+BE165+BE166</f>
        <v>0</v>
      </c>
      <c r="BF172" s="37" t="n">
        <f aca="false">-BF141+BF165+BF166</f>
        <v>0</v>
      </c>
      <c r="BG172" s="37" t="n">
        <f aca="false">-BG141+BG165+BG166</f>
        <v>0</v>
      </c>
      <c r="BH172" s="37" t="n">
        <f aca="false">-BH141+BH165+BH166</f>
        <v>0</v>
      </c>
      <c r="BI172" s="37" t="n">
        <f aca="false">-BI141+BI165+BI166</f>
        <v>0</v>
      </c>
      <c r="BJ172" s="37" t="n">
        <f aca="false">-BJ141+BJ165+BJ166</f>
        <v>0</v>
      </c>
      <c r="BK172" s="37" t="n">
        <f aca="false">-BK141+BK165+BK166</f>
        <v>0</v>
      </c>
      <c r="BL172" s="37" t="n">
        <f aca="false">-BL141+BL165+BL166</f>
        <v>0</v>
      </c>
      <c r="BM172" s="37" t="n">
        <f aca="false">-BM141+BM165+BM166</f>
        <v>5444.19228171014</v>
      </c>
      <c r="BN172" s="37" t="n">
        <f aca="false">-BN141+BN165+BN166</f>
        <v>880.111144401356</v>
      </c>
      <c r="BO172" s="37" t="n">
        <f aca="false">-BO141+BO165+BO166</f>
        <v>962.352816717327</v>
      </c>
      <c r="BP172" s="37" t="n">
        <f aca="false">-BP141+BP165+BP166</f>
        <v>880.111144401356</v>
      </c>
      <c r="BQ172" s="37" t="n">
        <f aca="false">-BQ141+BQ165+BQ166</f>
        <v>962.352816717327</v>
      </c>
      <c r="BR172" s="37" t="n">
        <f aca="false">-BR141+BR165+BR166</f>
        <v>962.352816717327</v>
      </c>
      <c r="BS172" s="37" t="n">
        <f aca="false">-BS141+BS165+BS166</f>
        <v>880.111144401356</v>
      </c>
      <c r="BT172" s="37" t="n">
        <f aca="false">-BT141+BT165+BT166</f>
        <v>962.352816717327</v>
      </c>
      <c r="BU172" s="37" t="n">
        <f aca="false">-BU141+BU165+BU166</f>
        <v>880.111144401356</v>
      </c>
      <c r="BV172" s="37" t="n">
        <f aca="false">-BV141+BV165+BV166</f>
        <v>962.352816717326</v>
      </c>
      <c r="BW172" s="37" t="n">
        <f aca="false">-BW141+BW165+BW166</f>
        <v>962.352816717326</v>
      </c>
      <c r="BX172" s="37" t="n">
        <f aca="false">-BX141+BX165+BX166</f>
        <v>797.869472085384</v>
      </c>
      <c r="BY172" s="37" t="n">
        <f aca="false">-BY141+BY165+BY166</f>
        <v>1958.19168665778</v>
      </c>
      <c r="BZ172" s="37" t="n">
        <f aca="false">-BZ141+BZ165+BZ166</f>
        <v>2266.29836462436</v>
      </c>
      <c r="CA172" s="37" t="n">
        <f aca="false">-CA141+CA165+CA166</f>
        <v>2363.09048665778</v>
      </c>
      <c r="CB172" s="37" t="n">
        <f aca="false">-CB141+CB165+CB166</f>
        <v>2266.29836462436</v>
      </c>
      <c r="CC172" s="37" t="n">
        <f aca="false">-CC141+CC165+CC166</f>
        <v>2363.09048665778</v>
      </c>
      <c r="CD172" s="37" t="n">
        <f aca="false">-CD141+CD165+CD166</f>
        <v>2363.09048665778</v>
      </c>
      <c r="CE172" s="37" t="n">
        <f aca="false">-CE141+CE165+CE166</f>
        <v>2266.29836462436</v>
      </c>
      <c r="CF172" s="37" t="n">
        <f aca="false">-CF141+CF165+CF166</f>
        <v>2363.09048665778</v>
      </c>
      <c r="CG172" s="37" t="n">
        <f aca="false">-CG141+CG165+CG166</f>
        <v>2266.29836462436</v>
      </c>
      <c r="CH172" s="37" t="n">
        <f aca="false">-CH141+CH165+CH166</f>
        <v>2363.09048665778</v>
      </c>
      <c r="CI172" s="37" t="n">
        <f aca="false">-CI141+CI165+CI166</f>
        <v>2363.09048665778</v>
      </c>
      <c r="CJ172" s="37" t="n">
        <f aca="false">-CJ141+CJ165+CJ166</f>
        <v>2072.71412055753</v>
      </c>
      <c r="CK172" s="37" t="n">
        <f aca="false">-CK141+CK165+CK166</f>
        <v>2460.68346648974</v>
      </c>
      <c r="CL172" s="37" t="n">
        <f aca="false">-CL141+CL165+CL166</f>
        <v>2391.10550201566</v>
      </c>
      <c r="CM172" s="37" t="n">
        <f aca="false">-CM141+CM165+CM166</f>
        <v>2489.83346648974</v>
      </c>
      <c r="CN172" s="37" t="n">
        <f aca="false">-CN141+CN165+CN166</f>
        <v>2391.10550201566</v>
      </c>
      <c r="CO172" s="37" t="n">
        <f aca="false">-CO141+CO165+CO166</f>
        <v>2489.83346648974</v>
      </c>
      <c r="CP172" s="37" t="n">
        <f aca="false">-CP141+CP165+CP166</f>
        <v>2489.83346648974</v>
      </c>
      <c r="CQ172" s="37" t="n">
        <f aca="false">-CQ141+CQ165+CQ166</f>
        <v>2391.10550201566</v>
      </c>
      <c r="CR172" s="37" t="n">
        <f aca="false">-CR141+CR165+CR166</f>
        <v>2489.83346648974</v>
      </c>
      <c r="CS172" s="37" t="n">
        <f aca="false">-CS141+CS165+CS166</f>
        <v>2391.10550201566</v>
      </c>
      <c r="CT172" s="37" t="n">
        <f aca="false">-CT141+CT165+CT166</f>
        <v>2489.83346648974</v>
      </c>
      <c r="CU172" s="37" t="n">
        <f aca="false">-CU141+CU165+CU166</f>
        <v>1077.95607315707</v>
      </c>
      <c r="CV172" s="37" t="n">
        <f aca="false">-CV141+CV165+CV166</f>
        <v>819.570582018177</v>
      </c>
      <c r="CW172" s="37" t="n">
        <f aca="false">-CW141+CW165+CW166</f>
        <v>819.570582018177</v>
      </c>
      <c r="CX172" s="37" t="n">
        <f aca="false">-CX141+CX165+CX166</f>
        <v>819.570582018177</v>
      </c>
      <c r="CY172" s="37" t="n">
        <f aca="false">-CY141+CY165+CY166</f>
        <v>819.570582018177</v>
      </c>
      <c r="CZ172" s="37" t="n">
        <f aca="false">-CZ141+CZ165+CZ166</f>
        <v>819.570582018177</v>
      </c>
      <c r="DA172" s="37" t="n">
        <f aca="false">-DA141+DA165+DA166</f>
        <v>819.570582018177</v>
      </c>
      <c r="DB172" s="37" t="n">
        <f aca="false">-DB141+DB165+DB166</f>
        <v>819.570582018177</v>
      </c>
      <c r="DC172" s="37" t="n">
        <f aca="false">-DC141+DC165+DC166</f>
        <v>819.570582018177</v>
      </c>
      <c r="DD172" s="37" t="n">
        <f aca="false">-DD141+DD165+DD166</f>
        <v>819.570582018177</v>
      </c>
      <c r="DE172" s="37" t="n">
        <f aca="false">-DE141+DE165+DE166</f>
        <v>819.570582018177</v>
      </c>
      <c r="DF172" s="37" t="n">
        <f aca="false">-DF141+DF165+DF166</f>
        <v>819.570582018177</v>
      </c>
      <c r="DG172" s="37" t="n">
        <f aca="false">-DG141+DG165+DG166</f>
        <v>819.570582018177</v>
      </c>
      <c r="DH172" s="37" t="n">
        <f aca="false">-DH141+DH165+DH166</f>
        <v>819.570582018177</v>
      </c>
      <c r="DI172" s="37" t="n">
        <f aca="false">-DI141+DI165+DI166</f>
        <v>819.570582018177</v>
      </c>
      <c r="DJ172" s="37" t="n">
        <f aca="false">-DJ141+DJ165+DJ166</f>
        <v>819.570582018177</v>
      </c>
      <c r="DK172" s="37" t="n">
        <f aca="false">-DK141+DK165+DK166</f>
        <v>819.570582018177</v>
      </c>
      <c r="DL172" s="37" t="n">
        <f aca="false">-DL141+DL165+DL166</f>
        <v>819.570582018177</v>
      </c>
      <c r="DM172" s="37" t="n">
        <f aca="false">-DM141+DM165+DM166</f>
        <v>819.570582018177</v>
      </c>
      <c r="DN172" s="37" t="n">
        <f aca="false">-DN141+DN165+DN166</f>
        <v>819.570582018177</v>
      </c>
      <c r="DO172" s="37" t="n">
        <f aca="false">-DO141+DO165+DO166</f>
        <v>819.570582018177</v>
      </c>
      <c r="DP172" s="37" t="n">
        <f aca="false">-DP141+DP165+DP166</f>
        <v>819.570582018177</v>
      </c>
      <c r="DQ172" s="37" t="n">
        <f aca="false">-DQ141+DQ165+DQ166</f>
        <v>819.570582018177</v>
      </c>
      <c r="DR172" s="37" t="n">
        <f aca="false">-DR141+DR165+DR166</f>
        <v>819.570582018177</v>
      </c>
      <c r="DS172" s="37" t="n">
        <f aca="false">-DS141+DS165+DS166</f>
        <v>819.570582018177</v>
      </c>
      <c r="DT172" s="37" t="n">
        <f aca="false">-DT141+DT165+DT166</f>
        <v>0</v>
      </c>
      <c r="DU172" s="37" t="n">
        <f aca="false">-DU141+DU165+DU166</f>
        <v>0</v>
      </c>
      <c r="DV172" s="37" t="n">
        <f aca="false">-DV141+DV165+DV166</f>
        <v>0</v>
      </c>
      <c r="DW172" s="37" t="n">
        <f aca="false">-DW141+DW165+DW166</f>
        <v>204463.24116592</v>
      </c>
      <c r="DX172" s="37" t="n">
        <f aca="false">-DX141+DX165+DX166</f>
        <v>0</v>
      </c>
      <c r="DY172" s="37" t="n">
        <f aca="false">-DY141+DY165+DY166</f>
        <v>0</v>
      </c>
      <c r="DZ172" s="37" t="n">
        <f aca="false">-DZ141+DZ165+DZ166</f>
        <v>0</v>
      </c>
      <c r="EA172" s="37" t="n">
        <f aca="false">-EA141+EA165+EA166</f>
        <v>0</v>
      </c>
      <c r="EB172" s="37" t="n">
        <f aca="false">-EB141+EB165+EB166</f>
        <v>0</v>
      </c>
      <c r="EC172" s="37" t="n">
        <f aca="false">-EC141+EC165+EC166</f>
        <v>0</v>
      </c>
      <c r="ED172" s="37" t="n">
        <f aca="false">-ED141+ED165+ED166</f>
        <v>0</v>
      </c>
      <c r="EE172" s="37" t="n">
        <f aca="false">-EE141+EE165+EE166</f>
        <v>0</v>
      </c>
      <c r="EF172" s="37" t="n">
        <f aca="false">-EF141+EF165+EF166</f>
        <v>0</v>
      </c>
    </row>
    <row r="173" customFormat="false" ht="15" hidden="false" customHeight="false" outlineLevel="0" collapsed="false">
      <c r="A173" s="280" t="s">
        <v>702</v>
      </c>
      <c r="B173" s="281" t="s">
        <v>21</v>
      </c>
      <c r="C173" s="288" t="n">
        <f aca="false">IFERROR((1+IRR(E173:EF173,0.01))^12-1,IFERROR((1+IRR(E173:EF173,-0.05))^12-1,-1))</f>
        <v>0.121116349565578</v>
      </c>
      <c r="D173" s="48"/>
      <c r="E173" s="283" t="n">
        <f aca="false">E171+E172</f>
        <v>-15820.1801474049</v>
      </c>
      <c r="F173" s="283" t="n">
        <f aca="false">F171+F172</f>
        <v>0</v>
      </c>
      <c r="G173" s="283" t="n">
        <f aca="false">G171+G172</f>
        <v>0</v>
      </c>
      <c r="H173" s="283" t="n">
        <f aca="false">H171+H172</f>
        <v>0</v>
      </c>
      <c r="I173" s="283" t="n">
        <f aca="false">I171+I172</f>
        <v>0</v>
      </c>
      <c r="J173" s="283" t="n">
        <f aca="false">J171+J172</f>
        <v>0</v>
      </c>
      <c r="K173" s="283" t="n">
        <f aca="false">K171+K172</f>
        <v>0</v>
      </c>
      <c r="L173" s="283" t="n">
        <f aca="false">L171+L172</f>
        <v>0</v>
      </c>
      <c r="M173" s="283" t="n">
        <f aca="false">M171+M172</f>
        <v>0</v>
      </c>
      <c r="N173" s="283" t="n">
        <f aca="false">N171+N172</f>
        <v>0</v>
      </c>
      <c r="O173" s="283" t="n">
        <f aca="false">O171+O172</f>
        <v>0</v>
      </c>
      <c r="P173" s="283" t="n">
        <f aca="false">P171+P172</f>
        <v>0</v>
      </c>
      <c r="Q173" s="283" t="n">
        <f aca="false">Q171+Q172</f>
        <v>0</v>
      </c>
      <c r="R173" s="283" t="n">
        <f aca="false">R171+R172</f>
        <v>0</v>
      </c>
      <c r="S173" s="283" t="n">
        <f aca="false">S171+S172</f>
        <v>0</v>
      </c>
      <c r="T173" s="283" t="n">
        <f aca="false">T171+T172</f>
        <v>0</v>
      </c>
      <c r="U173" s="283" t="n">
        <f aca="false">U171+U172</f>
        <v>0</v>
      </c>
      <c r="V173" s="283" t="n">
        <f aca="false">V171+V172</f>
        <v>0</v>
      </c>
      <c r="W173" s="283" t="n">
        <f aca="false">W171+W172</f>
        <v>-271558.20581817</v>
      </c>
      <c r="X173" s="283" t="n">
        <f aca="false">X171+X172</f>
        <v>0</v>
      </c>
      <c r="Y173" s="283" t="n">
        <f aca="false">Y171+Y172</f>
        <v>0</v>
      </c>
      <c r="Z173" s="283" t="n">
        <f aca="false">Z171+Z172</f>
        <v>0</v>
      </c>
      <c r="AA173" s="283" t="n">
        <f aca="false">AA171+AA172</f>
        <v>0</v>
      </c>
      <c r="AB173" s="283" t="n">
        <f aca="false">AB171+AB172</f>
        <v>0</v>
      </c>
      <c r="AC173" s="283" t="n">
        <f aca="false">AC171+AC172</f>
        <v>0</v>
      </c>
      <c r="AD173" s="283" t="n">
        <f aca="false">AD171+AD172</f>
        <v>0</v>
      </c>
      <c r="AE173" s="283" t="n">
        <f aca="false">AE171+AE172</f>
        <v>0</v>
      </c>
      <c r="AF173" s="283" t="n">
        <f aca="false">AF171+AF172</f>
        <v>0</v>
      </c>
      <c r="AG173" s="283" t="n">
        <f aca="false">AG171+AG172</f>
        <v>0</v>
      </c>
      <c r="AH173" s="283" t="n">
        <f aca="false">AH171+AH172</f>
        <v>0</v>
      </c>
      <c r="AI173" s="283" t="n">
        <f aca="false">AI171+AI172</f>
        <v>0</v>
      </c>
      <c r="AJ173" s="283" t="n">
        <f aca="false">AJ171+AJ172</f>
        <v>0</v>
      </c>
      <c r="AK173" s="283" t="n">
        <f aca="false">AK171+AK172</f>
        <v>0</v>
      </c>
      <c r="AL173" s="283" t="n">
        <f aca="false">AL171+AL172</f>
        <v>0</v>
      </c>
      <c r="AM173" s="283" t="n">
        <f aca="false">AM171+AM172</f>
        <v>0</v>
      </c>
      <c r="AN173" s="283" t="n">
        <f aca="false">AN171+AN172</f>
        <v>0</v>
      </c>
      <c r="AO173" s="283" t="n">
        <f aca="false">AO171+AO172</f>
        <v>0</v>
      </c>
      <c r="AP173" s="283" t="n">
        <f aca="false">AP171+AP172</f>
        <v>0</v>
      </c>
      <c r="AQ173" s="283" t="n">
        <f aca="false">AQ171+AQ172</f>
        <v>0</v>
      </c>
      <c r="AR173" s="283" t="n">
        <f aca="false">AR171+AR172</f>
        <v>0</v>
      </c>
      <c r="AS173" s="283" t="n">
        <f aca="false">AS171+AS172</f>
        <v>0</v>
      </c>
      <c r="AT173" s="283" t="n">
        <f aca="false">AT171+AT172</f>
        <v>0</v>
      </c>
      <c r="AU173" s="283" t="n">
        <f aca="false">AU171+AU172</f>
        <v>0</v>
      </c>
      <c r="AV173" s="283" t="n">
        <f aca="false">AV171+AV172</f>
        <v>0</v>
      </c>
      <c r="AW173" s="283" t="n">
        <f aca="false">AW171+AW172</f>
        <v>0</v>
      </c>
      <c r="AX173" s="283" t="n">
        <f aca="false">AX171+AX172</f>
        <v>0</v>
      </c>
      <c r="AY173" s="283" t="n">
        <f aca="false">AY171+AY172</f>
        <v>0</v>
      </c>
      <c r="AZ173" s="283" t="n">
        <f aca="false">AZ171+AZ172</f>
        <v>0</v>
      </c>
      <c r="BA173" s="283" t="n">
        <f aca="false">BA171+BA172</f>
        <v>0</v>
      </c>
      <c r="BB173" s="283" t="n">
        <f aca="false">BB171+BB172</f>
        <v>0</v>
      </c>
      <c r="BC173" s="283" t="n">
        <f aca="false">BC171+BC172</f>
        <v>0</v>
      </c>
      <c r="BD173" s="283" t="n">
        <f aca="false">BD171+BD172</f>
        <v>0</v>
      </c>
      <c r="BE173" s="283" t="n">
        <f aca="false">BE171+BE172</f>
        <v>0</v>
      </c>
      <c r="BF173" s="283" t="n">
        <f aca="false">BF171+BF172</f>
        <v>0</v>
      </c>
      <c r="BG173" s="283" t="n">
        <f aca="false">BG171+BG172</f>
        <v>0</v>
      </c>
      <c r="BH173" s="283" t="n">
        <f aca="false">BH171+BH172</f>
        <v>0</v>
      </c>
      <c r="BI173" s="283" t="n">
        <f aca="false">BI171+BI172</f>
        <v>0</v>
      </c>
      <c r="BJ173" s="283" t="n">
        <f aca="false">BJ171+BJ172</f>
        <v>0</v>
      </c>
      <c r="BK173" s="283" t="n">
        <f aca="false">BK171+BK172</f>
        <v>0</v>
      </c>
      <c r="BL173" s="283" t="n">
        <f aca="false">BL171+BL172</f>
        <v>0</v>
      </c>
      <c r="BM173" s="283" t="n">
        <f aca="false">BM171+BM172</f>
        <v>5444.19228171014</v>
      </c>
      <c r="BN173" s="283" t="n">
        <f aca="false">BN171+BN172</f>
        <v>880.111144401356</v>
      </c>
      <c r="BO173" s="283" t="n">
        <f aca="false">BO171+BO172</f>
        <v>962.352816717327</v>
      </c>
      <c r="BP173" s="283" t="n">
        <f aca="false">BP171+BP172</f>
        <v>880.111144401356</v>
      </c>
      <c r="BQ173" s="283" t="n">
        <f aca="false">BQ171+BQ172</f>
        <v>962.352816717327</v>
      </c>
      <c r="BR173" s="283" t="n">
        <f aca="false">BR171+BR172</f>
        <v>962.352816717327</v>
      </c>
      <c r="BS173" s="283" t="n">
        <f aca="false">BS171+BS172</f>
        <v>880.111144401356</v>
      </c>
      <c r="BT173" s="283" t="n">
        <f aca="false">BT171+BT172</f>
        <v>962.352816717327</v>
      </c>
      <c r="BU173" s="283" t="n">
        <f aca="false">BU171+BU172</f>
        <v>880.111144401356</v>
      </c>
      <c r="BV173" s="283" t="n">
        <f aca="false">BV171+BV172</f>
        <v>962.352816717326</v>
      </c>
      <c r="BW173" s="283" t="n">
        <f aca="false">BW171+BW172</f>
        <v>962.352816717326</v>
      </c>
      <c r="BX173" s="283" t="n">
        <f aca="false">BX171+BX172</f>
        <v>797.869472085384</v>
      </c>
      <c r="BY173" s="283" t="n">
        <f aca="false">BY171+BY172</f>
        <v>1958.19168665778</v>
      </c>
      <c r="BZ173" s="283" t="n">
        <f aca="false">BZ171+BZ172</f>
        <v>2266.29836462436</v>
      </c>
      <c r="CA173" s="283" t="n">
        <f aca="false">CA171+CA172</f>
        <v>2363.09048665778</v>
      </c>
      <c r="CB173" s="283" t="n">
        <f aca="false">CB171+CB172</f>
        <v>2266.29836462436</v>
      </c>
      <c r="CC173" s="283" t="n">
        <f aca="false">CC171+CC172</f>
        <v>2363.09048665778</v>
      </c>
      <c r="CD173" s="283" t="n">
        <f aca="false">CD171+CD172</f>
        <v>2363.09048665778</v>
      </c>
      <c r="CE173" s="283" t="n">
        <f aca="false">CE171+CE172</f>
        <v>2266.29836462436</v>
      </c>
      <c r="CF173" s="283" t="n">
        <f aca="false">CF171+CF172</f>
        <v>2363.09048665778</v>
      </c>
      <c r="CG173" s="283" t="n">
        <f aca="false">CG171+CG172</f>
        <v>2266.29836462436</v>
      </c>
      <c r="CH173" s="283" t="n">
        <f aca="false">CH171+CH172</f>
        <v>2363.09048665778</v>
      </c>
      <c r="CI173" s="283" t="n">
        <f aca="false">CI171+CI172</f>
        <v>2363.09048665778</v>
      </c>
      <c r="CJ173" s="283" t="n">
        <f aca="false">CJ171+CJ172</f>
        <v>2072.71412055753</v>
      </c>
      <c r="CK173" s="283" t="n">
        <f aca="false">CK171+CK172</f>
        <v>2460.68346648974</v>
      </c>
      <c r="CL173" s="283" t="n">
        <f aca="false">CL171+CL172</f>
        <v>2391.10550201566</v>
      </c>
      <c r="CM173" s="283" t="n">
        <f aca="false">CM171+CM172</f>
        <v>2489.83346648974</v>
      </c>
      <c r="CN173" s="283" t="n">
        <f aca="false">CN171+CN172</f>
        <v>2391.10550201566</v>
      </c>
      <c r="CO173" s="283" t="n">
        <f aca="false">CO171+CO172</f>
        <v>2489.83346648974</v>
      </c>
      <c r="CP173" s="283" t="n">
        <f aca="false">CP171+CP172</f>
        <v>2489.83346648974</v>
      </c>
      <c r="CQ173" s="283" t="n">
        <f aca="false">CQ171+CQ172</f>
        <v>2391.10550201566</v>
      </c>
      <c r="CR173" s="283" t="n">
        <f aca="false">CR171+CR172</f>
        <v>2489.83346648974</v>
      </c>
      <c r="CS173" s="283" t="n">
        <f aca="false">CS171+CS172</f>
        <v>2391.10550201566</v>
      </c>
      <c r="CT173" s="283" t="n">
        <f aca="false">CT171+CT172</f>
        <v>2489.83346648974</v>
      </c>
      <c r="CU173" s="283" t="n">
        <f aca="false">CU171+CU172</f>
        <v>2489.83346648974</v>
      </c>
      <c r="CV173" s="283" t="n">
        <f aca="false">CV171+CV172</f>
        <v>2193.64957306749</v>
      </c>
      <c r="CW173" s="283" t="n">
        <f aca="false">CW171+CW172</f>
        <v>2589.37830591834</v>
      </c>
      <c r="CX173" s="283" t="n">
        <f aca="false">CX171+CX172</f>
        <v>2488.67578215478</v>
      </c>
      <c r="CY173" s="283" t="n">
        <f aca="false">CY171+CY172</f>
        <v>2589.37830591834</v>
      </c>
      <c r="CZ173" s="283" t="n">
        <f aca="false">CZ171+CZ172</f>
        <v>2488.67578215478</v>
      </c>
      <c r="DA173" s="283" t="n">
        <f aca="false">DA171+DA172</f>
        <v>2589.37830591834</v>
      </c>
      <c r="DB173" s="283" t="n">
        <f aca="false">DB171+DB172</f>
        <v>2589.37830591834</v>
      </c>
      <c r="DC173" s="283" t="n">
        <f aca="false">DC171+DC172</f>
        <v>2488.67578215478</v>
      </c>
      <c r="DD173" s="283" t="n">
        <f aca="false">DD171+DD172</f>
        <v>2589.37830591834</v>
      </c>
      <c r="DE173" s="283" t="n">
        <f aca="false">DE171+DE172</f>
        <v>2488.67578215478</v>
      </c>
      <c r="DF173" s="283" t="n">
        <f aca="false">DF171+DF172</f>
        <v>2589.37830591834</v>
      </c>
      <c r="DG173" s="283" t="n">
        <f aca="false">DG171+DG172</f>
        <v>2589.37830591834</v>
      </c>
      <c r="DH173" s="283" t="n">
        <f aca="false">DH171+DH172</f>
        <v>2287.27073462765</v>
      </c>
      <c r="DI173" s="283" t="n">
        <f aca="false">DI171+DI172</f>
        <v>2690.91404213551</v>
      </c>
      <c r="DJ173" s="283" t="n">
        <f aca="false">DJ171+DJ172</f>
        <v>2588.19746789668</v>
      </c>
      <c r="DK173" s="283" t="n">
        <f aca="false">DK171+DK172</f>
        <v>2690.91404213551</v>
      </c>
      <c r="DL173" s="283" t="n">
        <f aca="false">DL171+DL172</f>
        <v>2588.19746789668</v>
      </c>
      <c r="DM173" s="283" t="n">
        <f aca="false">DM171+DM172</f>
        <v>2690.91404213551</v>
      </c>
      <c r="DN173" s="283" t="n">
        <f aca="false">DN171+DN172</f>
        <v>2690.91404213551</v>
      </c>
      <c r="DO173" s="283" t="n">
        <f aca="false">DO171+DO172</f>
        <v>2588.19746789668</v>
      </c>
      <c r="DP173" s="283" t="n">
        <f aca="false">DP171+DP172</f>
        <v>2690.91404213551</v>
      </c>
      <c r="DQ173" s="283" t="n">
        <f aca="false">DQ171+DQ172</f>
        <v>2588.19746789668</v>
      </c>
      <c r="DR173" s="283" t="n">
        <f aca="false">DR171+DR172</f>
        <v>2690.91404213551</v>
      </c>
      <c r="DS173" s="283" t="n">
        <f aca="false">DS171+DS172</f>
        <v>2690.91404213551</v>
      </c>
      <c r="DT173" s="283" t="n">
        <f aca="false">DT171+DT172</f>
        <v>0</v>
      </c>
      <c r="DU173" s="283" t="n">
        <f aca="false">DU171+DU172</f>
        <v>0</v>
      </c>
      <c r="DV173" s="283" t="n">
        <f aca="false">DV171+DV172</f>
        <v>0</v>
      </c>
      <c r="DW173" s="283" t="n">
        <f aca="false">DW171+DW172</f>
        <v>604733.744528747</v>
      </c>
      <c r="DX173" s="283" t="n">
        <f aca="false">DX171+DX172</f>
        <v>0</v>
      </c>
      <c r="DY173" s="283" t="n">
        <f aca="false">DY171+DY172</f>
        <v>0</v>
      </c>
      <c r="DZ173" s="283" t="n">
        <f aca="false">DZ171+DZ172</f>
        <v>0</v>
      </c>
      <c r="EA173" s="283" t="n">
        <f aca="false">EA171+EA172</f>
        <v>0</v>
      </c>
      <c r="EB173" s="283" t="n">
        <f aca="false">EB171+EB172</f>
        <v>0</v>
      </c>
      <c r="EC173" s="283" t="n">
        <f aca="false">EC171+EC172</f>
        <v>0</v>
      </c>
      <c r="ED173" s="283" t="n">
        <f aca="false">ED171+ED172</f>
        <v>0</v>
      </c>
      <c r="EE173" s="283" t="n">
        <f aca="false">EE171+EE172</f>
        <v>0</v>
      </c>
      <c r="EF173" s="283" t="n">
        <f aca="false">EF171+EF172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13" min="3" style="0" width="11"/>
  </cols>
  <sheetData>
    <row r="1" customFormat="false" ht="15" hidden="false" customHeight="false" outlineLevel="0" collapsed="false">
      <c r="A1" s="272" t="s">
        <v>703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05" t="s">
        <v>121</v>
      </c>
      <c r="B3" s="68" t="s">
        <v>155</v>
      </c>
      <c r="C3" s="289" t="n">
        <f aca="false">YEAR(①통합_가정!$E$8)</f>
        <v>2026</v>
      </c>
      <c r="D3" s="289" t="n">
        <f aca="false">C3+1</f>
        <v>2027</v>
      </c>
      <c r="E3" s="289" t="n">
        <f aca="false">D3+1</f>
        <v>2028</v>
      </c>
      <c r="F3" s="289" t="n">
        <f aca="false">E3+1</f>
        <v>2029</v>
      </c>
      <c r="G3" s="289" t="n">
        <f aca="false">F3+1</f>
        <v>2030</v>
      </c>
      <c r="H3" s="289" t="n">
        <f aca="false">G3+1</f>
        <v>2031</v>
      </c>
      <c r="I3" s="289" t="n">
        <f aca="false">H3+1</f>
        <v>2032</v>
      </c>
      <c r="J3" s="289" t="n">
        <f aca="false">I3+1</f>
        <v>2033</v>
      </c>
      <c r="K3" s="289" t="n">
        <f aca="false">J3+1</f>
        <v>2034</v>
      </c>
      <c r="L3" s="289" t="n">
        <f aca="false">K3+1</f>
        <v>2035</v>
      </c>
      <c r="M3" s="289" t="n">
        <f aca="false">L3+1</f>
        <v>2036</v>
      </c>
    </row>
    <row r="4" customFormat="false" ht="15" hidden="false" customHeight="false" outlineLevel="0" collapsed="false">
      <c r="A4" s="6" t="s">
        <v>704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Format="false" ht="15" hidden="false" customHeight="false" outlineLevel="0" collapsed="false">
      <c r="A5" s="32" t="s">
        <v>44</v>
      </c>
      <c r="B5" s="290" t="n">
        <f aca="false">SUM(C5:M5)</f>
        <v>1022866.31264512</v>
      </c>
      <c r="C5" s="291" t="n">
        <f aca="false">SUMIF(①통합_CF!$E$7:$EF$7,C$3,①통합_CF!$E$41:$EF$41)</f>
        <v>0</v>
      </c>
      <c r="D5" s="291" t="n">
        <f aca="false">SUMIF(①통합_CF!$E$7:$EF$7,D$3,①통합_CF!$E$41:$EF$41)</f>
        <v>0</v>
      </c>
      <c r="E5" s="291" t="n">
        <f aca="false">SUMIF(①통합_CF!$E$7:$EF$7,E$3,①통합_CF!$E$41:$EF$41)</f>
        <v>0</v>
      </c>
      <c r="F5" s="291" t="n">
        <f aca="false">SUMIF(①통합_CF!$E$7:$EF$7,F$3,①통합_CF!$E$41:$EF$41)</f>
        <v>0</v>
      </c>
      <c r="G5" s="291" t="n">
        <f aca="false">SUMIF(①통합_CF!$E$7:$EF$7,G$3,①통합_CF!$E$41:$EF$41)</f>
        <v>0</v>
      </c>
      <c r="H5" s="291" t="n">
        <f aca="false">SUMIF(①통합_CF!$E$7:$EF$7,H$3,①통합_CF!$E$41:$EF$41)</f>
        <v>145507.983609283</v>
      </c>
      <c r="I5" s="291" t="n">
        <f aca="false">SUMIF(①통합_CF!$E$7:$EF$7,I$3,①통합_CF!$E$41:$EF$41)</f>
        <v>200951.56552145</v>
      </c>
      <c r="J5" s="291" t="n">
        <f aca="false">SUMIF(①통합_CF!$E$7:$EF$7,J$3,①통합_CF!$E$41:$EF$41)</f>
        <v>209248.629594741</v>
      </c>
      <c r="K5" s="291" t="n">
        <f aca="false">SUMIF(①통합_CF!$E$7:$EF$7,K$3,①통합_CF!$E$41:$EF$41)</f>
        <v>213433.602186636</v>
      </c>
      <c r="L5" s="291" t="n">
        <f aca="false">SUMIF(①통합_CF!$E$7:$EF$7,L$3,①통합_CF!$E$41:$EF$41)</f>
        <v>217702.274230369</v>
      </c>
      <c r="M5" s="291" t="n">
        <f aca="false">SUMIF(①통합_CF!$E$7:$EF$7,M$3,①통합_CF!$E$41:$EF$41)</f>
        <v>36022.2575026365</v>
      </c>
    </row>
    <row r="6" customFormat="false" ht="15" hidden="false" customHeight="false" outlineLevel="0" collapsed="false">
      <c r="A6" s="32" t="s">
        <v>591</v>
      </c>
      <c r="B6" s="290" t="n">
        <f aca="false">SUM(C6:M6)</f>
        <v>706913.035153105</v>
      </c>
      <c r="C6" s="291" t="n">
        <f aca="false">SUMIF(①통합_CF!$E$7:$EF$7,C$3,①통합_CF!$E$56:$EF$56)</f>
        <v>0</v>
      </c>
      <c r="D6" s="291" t="n">
        <f aca="false">SUMIF(①통합_CF!$E$7:$EF$7,D$3,①통합_CF!$E$56:$EF$56)</f>
        <v>0</v>
      </c>
      <c r="E6" s="291" t="n">
        <f aca="false">SUMIF(①통합_CF!$E$7:$EF$7,E$3,①통합_CF!$E$56:$EF$56)</f>
        <v>0</v>
      </c>
      <c r="F6" s="291" t="n">
        <f aca="false">SUMIF(①통합_CF!$E$7:$EF$7,F$3,①통합_CF!$E$56:$EF$56)</f>
        <v>0</v>
      </c>
      <c r="G6" s="291" t="n">
        <f aca="false">SUMIF(①통합_CF!$E$7:$EF$7,G$3,①통합_CF!$E$56:$EF$56)</f>
        <v>0</v>
      </c>
      <c r="H6" s="291" t="n">
        <f aca="false">SUMIF(①통합_CF!$E$7:$EF$7,H$3,①통합_CF!$E$56:$EF$56)</f>
        <v>102004.834980596</v>
      </c>
      <c r="I6" s="291" t="n">
        <f aca="false">SUMIF(①통합_CF!$E$7:$EF$7,I$3,①통합_CF!$E$56:$EF$56)</f>
        <v>138846.409991242</v>
      </c>
      <c r="J6" s="291" t="n">
        <f aca="false">SUMIF(①통합_CF!$E$7:$EF$7,J$3,①통합_CF!$E$56:$EF$56)</f>
        <v>144187.64897349</v>
      </c>
      <c r="K6" s="291" t="n">
        <f aca="false">SUMIF(①통합_CF!$E$7:$EF$7,K$3,①통합_CF!$E$56:$EF$56)</f>
        <v>147071.40195296</v>
      </c>
      <c r="L6" s="291" t="n">
        <f aca="false">SUMIF(①통합_CF!$E$7:$EF$7,L$3,①통합_CF!$E$56:$EF$56)</f>
        <v>150012.829992019</v>
      </c>
      <c r="M6" s="291" t="n">
        <f aca="false">SUMIF(①통합_CF!$E$7:$EF$7,M$3,①통합_CF!$E$56:$EF$56)</f>
        <v>24789.9092627982</v>
      </c>
    </row>
    <row r="7" customFormat="false" ht="15" hidden="false" customHeight="false" outlineLevel="0" collapsed="false">
      <c r="A7" s="153" t="s">
        <v>606</v>
      </c>
      <c r="B7" s="290" t="n">
        <f aca="false">SUM(C7:M7)</f>
        <v>32621.51164802</v>
      </c>
      <c r="C7" s="216" t="n">
        <f aca="false">SUMIF(①통합_CF!$E$7:$EF$7,C$3,①통합_CF!$E$59:$EF$59)</f>
        <v>0</v>
      </c>
      <c r="D7" s="216" t="n">
        <f aca="false">SUMIF(①통합_CF!$E$7:$EF$7,D$3,①통합_CF!$E$59:$EF$59)</f>
        <v>0</v>
      </c>
      <c r="E7" s="216" t="n">
        <f aca="false">SUMIF(①통합_CF!$E$7:$EF$7,E$3,①통합_CF!$E$59:$EF$59)</f>
        <v>0</v>
      </c>
      <c r="F7" s="216" t="n">
        <f aca="false">SUMIF(①통합_CF!$E$7:$EF$7,F$3,①통합_CF!$E$59:$EF$59)</f>
        <v>0</v>
      </c>
      <c r="G7" s="216" t="n">
        <f aca="false">SUMIF(①통합_CF!$E$7:$EF$7,G$3,①통합_CF!$E$59:$EF$59)</f>
        <v>0</v>
      </c>
      <c r="H7" s="216" t="n">
        <f aca="false">SUMIF(①통합_CF!$E$7:$EF$7,H$3,①통합_CF!$E$59:$EF$59)</f>
        <v>4591.644</v>
      </c>
      <c r="I7" s="216" t="n">
        <f aca="false">SUMIF(①통합_CF!$E$7:$EF$7,I$3,①통합_CF!$E$59:$EF$59)</f>
        <v>6399.91488</v>
      </c>
      <c r="J7" s="216" t="n">
        <f aca="false">SUMIF(①통합_CF!$E$7:$EF$7,J$3,①통합_CF!$E$59:$EF$59)</f>
        <v>6687.5350176</v>
      </c>
      <c r="K7" s="216" t="n">
        <f aca="false">SUMIF(①통합_CF!$E$7:$EF$7,K$3,①통합_CF!$E$59:$EF$59)</f>
        <v>6821.285717952</v>
      </c>
      <c r="L7" s="216" t="n">
        <f aca="false">SUMIF(①통합_CF!$E$7:$EF$7,L$3,①통합_CF!$E$59:$EF$59)</f>
        <v>6957.71143231104</v>
      </c>
      <c r="M7" s="216" t="n">
        <f aca="false">SUMIF(①통합_CF!$E$7:$EF$7,M$3,①통합_CF!$E$59:$EF$59)</f>
        <v>1163.42060015693</v>
      </c>
    </row>
    <row r="8" customFormat="false" ht="15" hidden="false" customHeight="false" outlineLevel="0" collapsed="false">
      <c r="A8" s="153" t="s">
        <v>607</v>
      </c>
      <c r="B8" s="290" t="n">
        <f aca="false">SUM(C8:M8)</f>
        <v>42839.1665090576</v>
      </c>
      <c r="C8" s="216" t="n">
        <f aca="false">SUMIF(①통합_CF!$E$7:$EF$7,C$3,①통합_CF!$E$60:$EF$60)</f>
        <v>0</v>
      </c>
      <c r="D8" s="216" t="n">
        <f aca="false">SUMIF(①통합_CF!$E$7:$EF$7,D$3,①통합_CF!$E$60:$EF$60)</f>
        <v>0</v>
      </c>
      <c r="E8" s="216" t="n">
        <f aca="false">SUMIF(①통합_CF!$E$7:$EF$7,E$3,①통합_CF!$E$60:$EF$60)</f>
        <v>0</v>
      </c>
      <c r="F8" s="216" t="n">
        <f aca="false">SUMIF(①통합_CF!$E$7:$EF$7,F$3,①통합_CF!$E$60:$EF$60)</f>
        <v>0</v>
      </c>
      <c r="G8" s="216" t="n">
        <f aca="false">SUMIF(①통합_CF!$E$7:$EF$7,G$3,①통합_CF!$E$60:$EF$60)</f>
        <v>0</v>
      </c>
      <c r="H8" s="216" t="n">
        <f aca="false">SUMIF(①통합_CF!$E$7:$EF$7,H$3,①통합_CF!$E$60:$EF$60)</f>
        <v>6131.91390068743</v>
      </c>
      <c r="I8" s="216" t="n">
        <f aca="false">SUMIF(①통합_CF!$E$7:$EF$7,I$3,①통합_CF!$E$60:$EF$60)</f>
        <v>8419.12703438276</v>
      </c>
      <c r="J8" s="216" t="n">
        <f aca="false">SUMIF(①통합_CF!$E$7:$EF$7,J$3,①통합_CF!$E$60:$EF$60)</f>
        <v>8752.59956470431</v>
      </c>
      <c r="K8" s="216" t="n">
        <f aca="false">SUMIF(①통합_CF!$E$7:$EF$7,K$3,①통합_CF!$E$60:$EF$60)</f>
        <v>8927.6515559984</v>
      </c>
      <c r="L8" s="216" t="n">
        <f aca="false">SUMIF(①통합_CF!$E$7:$EF$7,L$3,①통합_CF!$E$60:$EF$60)</f>
        <v>9106.20458711836</v>
      </c>
      <c r="M8" s="216" t="n">
        <f aca="false">SUMIF(①통합_CF!$E$7:$EF$7,M$3,①통합_CF!$E$60:$EF$60)</f>
        <v>1501.66986616632</v>
      </c>
    </row>
    <row r="9" customFormat="false" ht="15" hidden="false" customHeight="false" outlineLevel="0" collapsed="false">
      <c r="A9" s="153" t="s">
        <v>608</v>
      </c>
      <c r="B9" s="290" t="n">
        <f aca="false">SUM(C9:M9)</f>
        <v>132976.804478938</v>
      </c>
      <c r="C9" s="216" t="n">
        <f aca="false">SUMIF(①통합_CF!$E$7:$EF$7,C$3,①통합_CF!$E$61:$EF$61)</f>
        <v>0</v>
      </c>
      <c r="D9" s="216" t="n">
        <f aca="false">SUMIF(①통합_CF!$E$7:$EF$7,D$3,①통합_CF!$E$61:$EF$61)</f>
        <v>0</v>
      </c>
      <c r="E9" s="216" t="n">
        <f aca="false">SUMIF(①통합_CF!$E$7:$EF$7,E$3,①통합_CF!$E$61:$EF$61)</f>
        <v>0</v>
      </c>
      <c r="F9" s="216" t="n">
        <f aca="false">SUMIF(①통합_CF!$E$7:$EF$7,F$3,①통합_CF!$E$61:$EF$61)</f>
        <v>0</v>
      </c>
      <c r="G9" s="216" t="n">
        <f aca="false">SUMIF(①통합_CF!$E$7:$EF$7,G$3,①통합_CF!$E$61:$EF$61)</f>
        <v>0</v>
      </c>
      <c r="H9" s="216" t="n">
        <f aca="false">SUMIF(①통합_CF!$E$7:$EF$7,H$3,①통합_CF!$E$61:$EF$61)</f>
        <v>19034.037828</v>
      </c>
      <c r="I9" s="216" t="n">
        <f aca="false">SUMIF(①통합_CF!$E$7:$EF$7,I$3,①통합_CF!$E$61:$EF$61)</f>
        <v>26133.7626468</v>
      </c>
      <c r="J9" s="216" t="n">
        <f aca="false">SUMIF(①통합_CF!$E$7:$EF$7,J$3,①통합_CF!$E$61:$EF$61)</f>
        <v>27168.892764336</v>
      </c>
      <c r="K9" s="216" t="n">
        <f aca="false">SUMIF(①통합_CF!$E$7:$EF$7,K$3,①통합_CF!$E$61:$EF$61)</f>
        <v>27712.2706196227</v>
      </c>
      <c r="L9" s="216" t="n">
        <f aca="false">SUMIF(①통합_CF!$E$7:$EF$7,L$3,①통합_CF!$E$61:$EF$61)</f>
        <v>28266.5160320152</v>
      </c>
      <c r="M9" s="216" t="n">
        <f aca="false">SUMIF(①통합_CF!$E$7:$EF$7,M$3,①통합_CF!$E$61:$EF$61)</f>
        <v>4661.32458816375</v>
      </c>
    </row>
    <row r="10" customFormat="false" ht="15" hidden="false" customHeight="false" outlineLevel="0" collapsed="false">
      <c r="A10" s="153" t="s">
        <v>609</v>
      </c>
      <c r="B10" s="290" t="n">
        <f aca="false">SUM(C10:M10)</f>
        <v>66369.0377920937</v>
      </c>
      <c r="C10" s="216" t="n">
        <f aca="false">SUMIF(①통합_CF!$E$7:$EF$7,C$3,①통합_CF!$E$62:$EF$62)</f>
        <v>0</v>
      </c>
      <c r="D10" s="216" t="n">
        <f aca="false">SUMIF(①통합_CF!$E$7:$EF$7,D$3,①통합_CF!$E$62:$EF$62)</f>
        <v>0</v>
      </c>
      <c r="E10" s="216" t="n">
        <f aca="false">SUMIF(①통합_CF!$E$7:$EF$7,E$3,①통합_CF!$E$62:$EF$62)</f>
        <v>0</v>
      </c>
      <c r="F10" s="216" t="n">
        <f aca="false">SUMIF(①통합_CF!$E$7:$EF$7,F$3,①통합_CF!$E$62:$EF$62)</f>
        <v>0</v>
      </c>
      <c r="G10" s="216" t="n">
        <f aca="false">SUMIF(①통합_CF!$E$7:$EF$7,G$3,①통합_CF!$E$62:$EF$62)</f>
        <v>0</v>
      </c>
      <c r="H10" s="216" t="n">
        <f aca="false">SUMIF(①통합_CF!$E$7:$EF$7,H$3,①통합_CF!$E$62:$EF$62)</f>
        <v>7156.6406</v>
      </c>
      <c r="I10" s="216" t="n">
        <f aca="false">SUMIF(①통합_CF!$E$7:$EF$7,I$3,①통합_CF!$E$62:$EF$62)</f>
        <v>13113.8779630252</v>
      </c>
      <c r="J10" s="216" t="n">
        <f aca="false">SUMIF(①통합_CF!$E$7:$EF$7,J$3,①통합_CF!$E$62:$EF$62)</f>
        <v>14252.7108084907</v>
      </c>
      <c r="K10" s="216" t="n">
        <f aca="false">SUMIF(①통합_CF!$E$7:$EF$7,K$3,①통합_CF!$E$62:$EF$62)</f>
        <v>14537.7650246606</v>
      </c>
      <c r="L10" s="216" t="n">
        <f aca="false">SUMIF(①통합_CF!$E$7:$EF$7,L$3,①통합_CF!$E$62:$EF$62)</f>
        <v>14828.5203251538</v>
      </c>
      <c r="M10" s="216" t="n">
        <f aca="false">SUMIF(①통합_CF!$E$7:$EF$7,M$3,①통합_CF!$E$62:$EF$62)</f>
        <v>2479.52307076342</v>
      </c>
    </row>
    <row r="11" customFormat="false" ht="15" hidden="false" customHeight="false" outlineLevel="0" collapsed="false">
      <c r="A11" s="153" t="s">
        <v>610</v>
      </c>
      <c r="B11" s="290" t="n">
        <f aca="false">SUM(C11:M11)</f>
        <v>41146.7570639016</v>
      </c>
      <c r="C11" s="216" t="n">
        <f aca="false">SUMIF(①통합_CF!$E$7:$EF$7,C$3,①통합_CF!$E$63:$EF$63)</f>
        <v>0</v>
      </c>
      <c r="D11" s="216" t="n">
        <f aca="false">SUMIF(①통합_CF!$E$7:$EF$7,D$3,①통합_CF!$E$63:$EF$63)</f>
        <v>0</v>
      </c>
      <c r="E11" s="216" t="n">
        <f aca="false">SUMIF(①통합_CF!$E$7:$EF$7,E$3,①통합_CF!$E$63:$EF$63)</f>
        <v>0</v>
      </c>
      <c r="F11" s="216" t="n">
        <f aca="false">SUMIF(①통합_CF!$E$7:$EF$7,F$3,①통합_CF!$E$63:$EF$63)</f>
        <v>0</v>
      </c>
      <c r="G11" s="216" t="n">
        <f aca="false">SUMIF(①통합_CF!$E$7:$EF$7,G$3,①통합_CF!$E$63:$EF$63)</f>
        <v>0</v>
      </c>
      <c r="H11" s="216" t="n">
        <f aca="false">SUMIF(①통합_CF!$E$7:$EF$7,H$3,①통합_CF!$E$63:$EF$63)</f>
        <v>6588.9123</v>
      </c>
      <c r="I11" s="216" t="n">
        <f aca="false">SUMIF(①통합_CF!$E$7:$EF$7,I$3,①통합_CF!$E$63:$EF$63)</f>
        <v>8038.473006</v>
      </c>
      <c r="J11" s="216" t="n">
        <f aca="false">SUMIF(①통합_CF!$E$7:$EF$7,J$3,①통합_CF!$E$63:$EF$63)</f>
        <v>8199.24246612</v>
      </c>
      <c r="K11" s="216" t="n">
        <f aca="false">SUMIF(①통합_CF!$E$7:$EF$7,K$3,①통합_CF!$E$63:$EF$63)</f>
        <v>8363.2273154424</v>
      </c>
      <c r="L11" s="216" t="n">
        <f aca="false">SUMIF(①통합_CF!$E$7:$EF$7,L$3,①통합_CF!$E$63:$EF$63)</f>
        <v>8530.49186175125</v>
      </c>
      <c r="M11" s="216" t="n">
        <f aca="false">SUMIF(①통합_CF!$E$7:$EF$7,M$3,①통합_CF!$E$63:$EF$63)</f>
        <v>1426.41011458791</v>
      </c>
    </row>
    <row r="12" customFormat="false" ht="15" hidden="false" customHeight="false" outlineLevel="0" collapsed="false">
      <c r="A12" s="87" t="s">
        <v>45</v>
      </c>
      <c r="B12" s="290" t="n">
        <f aca="false">SUM(C12:M12)</f>
        <v>315953.27749201</v>
      </c>
      <c r="C12" s="291" t="n">
        <f aca="false">SUMIF(①통합_CF!$E$7:$EF$7,C$3,①통합_CF!$E$64:$EF$64)</f>
        <v>0</v>
      </c>
      <c r="D12" s="291" t="n">
        <f aca="false">SUMIF(①통합_CF!$E$7:$EF$7,D$3,①통합_CF!$E$64:$EF$64)</f>
        <v>0</v>
      </c>
      <c r="E12" s="291" t="n">
        <f aca="false">SUMIF(①통합_CF!$E$7:$EF$7,E$3,①통합_CF!$E$64:$EF$64)</f>
        <v>0</v>
      </c>
      <c r="F12" s="291" t="n">
        <f aca="false">SUMIF(①통합_CF!$E$7:$EF$7,F$3,①통합_CF!$E$64:$EF$64)</f>
        <v>0</v>
      </c>
      <c r="G12" s="291" t="n">
        <f aca="false">SUMIF(①통합_CF!$E$7:$EF$7,G$3,①통합_CF!$E$64:$EF$64)</f>
        <v>0</v>
      </c>
      <c r="H12" s="291" t="n">
        <f aca="false">SUMIF(①통합_CF!$E$7:$EF$7,H$3,①통합_CF!$E$64:$EF$64)</f>
        <v>43503.1486286874</v>
      </c>
      <c r="I12" s="291" t="n">
        <f aca="false">SUMIF(①통합_CF!$E$7:$EF$7,I$3,①통합_CF!$E$64:$EF$64)</f>
        <v>62105.155530208</v>
      </c>
      <c r="J12" s="291" t="n">
        <f aca="false">SUMIF(①통합_CF!$E$7:$EF$7,J$3,①통합_CF!$E$64:$EF$64)</f>
        <v>65060.980621251</v>
      </c>
      <c r="K12" s="291" t="n">
        <f aca="false">SUMIF(①통합_CF!$E$7:$EF$7,K$3,①통합_CF!$E$64:$EF$64)</f>
        <v>66362.2002336761</v>
      </c>
      <c r="L12" s="291" t="n">
        <f aca="false">SUMIF(①통합_CF!$E$7:$EF$7,L$3,①통합_CF!$E$64:$EF$64)</f>
        <v>67689.4442383496</v>
      </c>
      <c r="M12" s="291" t="n">
        <f aca="false">SUMIF(①통합_CF!$E$7:$EF$7,M$3,①통합_CF!$E$64:$EF$64)</f>
        <v>11232.3482398383</v>
      </c>
    </row>
    <row r="13" customFormat="false" ht="15" hidden="false" customHeight="false" outlineLevel="0" collapsed="false">
      <c r="A13" s="32" t="s">
        <v>705</v>
      </c>
      <c r="B13" s="290" t="n">
        <f aca="false">SUM(C13:M13)</f>
        <v>63114.7895222759</v>
      </c>
      <c r="C13" s="291" t="n">
        <f aca="false">SUMIF(①통합_CF!$E$7:$EF$7,C$3,①통합_CF!$E$74:$EF$74)</f>
        <v>0</v>
      </c>
      <c r="D13" s="291" t="n">
        <f aca="false">SUMIF(①통합_CF!$E$7:$EF$7,D$3,①통합_CF!$E$74:$EF$74)</f>
        <v>0</v>
      </c>
      <c r="E13" s="291" t="n">
        <f aca="false">SUMIF(①통합_CF!$E$7:$EF$7,E$3,①통합_CF!$E$74:$EF$74)</f>
        <v>0</v>
      </c>
      <c r="F13" s="291" t="n">
        <f aca="false">SUMIF(①통합_CF!$E$7:$EF$7,F$3,①통합_CF!$E$74:$EF$74)</f>
        <v>0</v>
      </c>
      <c r="G13" s="291" t="n">
        <f aca="false">SUMIF(①통합_CF!$E$7:$EF$7,G$3,①통합_CF!$E$74:$EF$74)</f>
        <v>0</v>
      </c>
      <c r="H13" s="291" t="n">
        <f aca="false">SUMIF(①통합_CF!$E$7:$EF$7,H$3,①통합_CF!$E$74:$EF$74)</f>
        <v>8190.59829511748</v>
      </c>
      <c r="I13" s="291" t="n">
        <f aca="false">SUMIF(①통합_CF!$E$7:$EF$7,I$3,①통합_CF!$E$74:$EF$74)</f>
        <v>10504.0362041685</v>
      </c>
      <c r="J13" s="291" t="n">
        <f aca="false">SUMIF(①통합_CF!$E$7:$EF$7,J$3,①통합_CF!$E$74:$EF$74)</f>
        <v>10820.971748242</v>
      </c>
      <c r="K13" s="291" t="n">
        <f aca="false">SUMIF(①통합_CF!$E$7:$EF$7,K$3,①통합_CF!$E$74:$EF$74)</f>
        <v>10956.8127711971</v>
      </c>
      <c r="L13" s="291" t="n">
        <f aca="false">SUMIF(①통합_CF!$E$7:$EF$7,L$3,①통합_CF!$E$74:$EF$74)</f>
        <v>11083.5896146112</v>
      </c>
      <c r="M13" s="291" t="n">
        <f aca="false">SUMIF(①통합_CF!$E$7:$EF$7,M$3,①통합_CF!$E$74:$EF$74)</f>
        <v>11558.7808889397</v>
      </c>
    </row>
    <row r="14" customFormat="false" ht="15" hidden="false" customHeight="false" outlineLevel="0" collapsed="false">
      <c r="A14" s="32" t="s">
        <v>706</v>
      </c>
      <c r="B14" s="290" t="n">
        <f aca="false">SUM(C14:M14)</f>
        <v>252838.487969735</v>
      </c>
      <c r="C14" s="291" t="n">
        <f aca="false">SUMIF(①통합_CF!$E$7:$EF$7,C$3,①통합_CF!$E$75:$EF$75)</f>
        <v>0</v>
      </c>
      <c r="D14" s="291" t="n">
        <f aca="false">SUMIF(①통합_CF!$E$7:$EF$7,D$3,①통합_CF!$E$75:$EF$75)</f>
        <v>0</v>
      </c>
      <c r="E14" s="291" t="n">
        <f aca="false">SUMIF(①통합_CF!$E$7:$EF$7,E$3,①통합_CF!$E$75:$EF$75)</f>
        <v>0</v>
      </c>
      <c r="F14" s="291" t="n">
        <f aca="false">SUMIF(①통합_CF!$E$7:$EF$7,F$3,①통합_CF!$E$75:$EF$75)</f>
        <v>0</v>
      </c>
      <c r="G14" s="291" t="n">
        <f aca="false">SUMIF(①통합_CF!$E$7:$EF$7,G$3,①통합_CF!$E$75:$EF$75)</f>
        <v>0</v>
      </c>
      <c r="H14" s="291" t="n">
        <f aca="false">SUMIF(①통합_CF!$E$7:$EF$7,H$3,①통합_CF!$E$75:$EF$75)</f>
        <v>35312.5503335699</v>
      </c>
      <c r="I14" s="291" t="n">
        <f aca="false">SUMIF(①통합_CF!$E$7:$EF$7,I$3,①통합_CF!$E$75:$EF$75)</f>
        <v>51601.1193260395</v>
      </c>
      <c r="J14" s="291" t="n">
        <f aca="false">SUMIF(①통합_CF!$E$7:$EF$7,J$3,①통합_CF!$E$75:$EF$75)</f>
        <v>54240.008873009</v>
      </c>
      <c r="K14" s="291" t="n">
        <f aca="false">SUMIF(①통합_CF!$E$7:$EF$7,K$3,①통합_CF!$E$75:$EF$75)</f>
        <v>55405.387462479</v>
      </c>
      <c r="L14" s="291" t="n">
        <f aca="false">SUMIF(①통합_CF!$E$7:$EF$7,L$3,①통합_CF!$E$75:$EF$75)</f>
        <v>56605.8546237384</v>
      </c>
      <c r="M14" s="291" t="n">
        <f aca="false">SUMIF(①통합_CF!$E$7:$EF$7,M$3,①통합_CF!$E$75:$EF$75)</f>
        <v>-326.43264910133</v>
      </c>
    </row>
    <row r="15" customFormat="false" ht="15" hidden="false" customHeight="false" outlineLevel="0" collapsed="false">
      <c r="A15" s="6" t="s">
        <v>707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customFormat="false" ht="15" hidden="false" customHeight="false" outlineLevel="0" collapsed="false">
      <c r="A16" s="32" t="s">
        <v>708</v>
      </c>
      <c r="B16" s="290" t="n">
        <f aca="false">SUM(C16:M16)</f>
        <v>1401070.21428998</v>
      </c>
      <c r="C16" s="291" t="n">
        <f aca="false">SUMIF(①통합_CF!$E$7:$EF$7,C$3,①통합_CF!$E$100:$EF$100)</f>
        <v>13874.92388684</v>
      </c>
      <c r="D16" s="291" t="n">
        <f aca="false">SUMIF(①통합_CF!$E$7:$EF$7,D$3,①통합_CF!$E$100:$EF$100)</f>
        <v>253559.354104367</v>
      </c>
      <c r="E16" s="291" t="n">
        <f aca="false">SUMIF(①통합_CF!$E$7:$EF$7,E$3,①통합_CF!$E$100:$EF$100)</f>
        <v>315713.703303668</v>
      </c>
      <c r="F16" s="291" t="n">
        <f aca="false">SUMIF(①통합_CF!$E$7:$EF$7,F$3,①통합_CF!$E$100:$EF$100)</f>
        <v>457532.553799015</v>
      </c>
      <c r="G16" s="291" t="n">
        <f aca="false">SUMIF(①통합_CF!$E$7:$EF$7,G$3,①통합_CF!$E$100:$EF$100)</f>
        <v>263441.497721613</v>
      </c>
      <c r="H16" s="291" t="n">
        <f aca="false">SUMIF(①통합_CF!$E$7:$EF$7,H$3,①통합_CF!$E$100:$EF$100)</f>
        <v>96948.1814744797</v>
      </c>
      <c r="I16" s="291" t="n">
        <f aca="false">SUMIF(①통합_CF!$E$7:$EF$7,I$3,①통합_CF!$E$100:$EF$100)</f>
        <v>0</v>
      </c>
      <c r="J16" s="291" t="n">
        <f aca="false">SUMIF(①통합_CF!$E$7:$EF$7,J$3,①통합_CF!$E$100:$EF$100)</f>
        <v>0</v>
      </c>
      <c r="K16" s="291" t="n">
        <f aca="false">SUMIF(①통합_CF!$E$7:$EF$7,K$3,①통합_CF!$E$100:$EF$100)</f>
        <v>0</v>
      </c>
      <c r="L16" s="291" t="n">
        <f aca="false">SUMIF(①통합_CF!$E$7:$EF$7,L$3,①통합_CF!$E$100:$EF$100)</f>
        <v>0</v>
      </c>
      <c r="M16" s="291" t="n">
        <f aca="false">SUMIF(①통합_CF!$E$7:$EF$7,M$3,①통합_CF!$E$100:$EF$100)</f>
        <v>0</v>
      </c>
    </row>
    <row r="17" customFormat="false" ht="15" hidden="false" customHeight="false" outlineLevel="0" collapsed="false">
      <c r="A17" s="87" t="s">
        <v>709</v>
      </c>
      <c r="B17" s="290" t="n">
        <f aca="false">SUM(C17:M17)</f>
        <v>95505.6823353475</v>
      </c>
      <c r="C17" s="291" t="n">
        <f aca="false">SUMIF(①통합_CF!$E$7:$EF$7,C$3,①통합_CF!$E$112:$EF$112)</f>
        <v>0</v>
      </c>
      <c r="D17" s="291" t="n">
        <f aca="false">SUMIF(①통합_CF!$E$7:$EF$7,D$3,①통합_CF!$E$112:$EF$112)</f>
        <v>13410.9913450602</v>
      </c>
      <c r="E17" s="291" t="n">
        <f aca="false">SUMIF(①통합_CF!$E$7:$EF$7,E$3,①통합_CF!$E$112:$EF$112)</f>
        <v>6486.9754952657</v>
      </c>
      <c r="F17" s="291" t="n">
        <f aca="false">SUMIF(①통합_CF!$E$7:$EF$7,F$3,①통합_CF!$E$112:$EF$112)</f>
        <v>24417.0289018516</v>
      </c>
      <c r="G17" s="291" t="n">
        <f aca="false">SUMIF(①통합_CF!$E$7:$EF$7,G$3,①통합_CF!$E$112:$EF$112)</f>
        <v>43104.7457124163</v>
      </c>
      <c r="H17" s="291" t="n">
        <f aca="false">SUMIF(①통합_CF!$E$7:$EF$7,H$3,①통합_CF!$E$112:$EF$112)</f>
        <v>8085.94088075375</v>
      </c>
      <c r="I17" s="291" t="n">
        <f aca="false">SUMIF(①통합_CF!$E$7:$EF$7,I$3,①통합_CF!$E$112:$EF$112)</f>
        <v>0</v>
      </c>
      <c r="J17" s="291" t="n">
        <f aca="false">SUMIF(①통합_CF!$E$7:$EF$7,J$3,①통합_CF!$E$112:$EF$112)</f>
        <v>0</v>
      </c>
      <c r="K17" s="291" t="n">
        <f aca="false">SUMIF(①통합_CF!$E$7:$EF$7,K$3,①통합_CF!$E$112:$EF$112)</f>
        <v>0</v>
      </c>
      <c r="L17" s="291" t="n">
        <f aca="false">SUMIF(①통합_CF!$E$7:$EF$7,L$3,①통합_CF!$E$112:$EF$112)</f>
        <v>0</v>
      </c>
      <c r="M17" s="291" t="n">
        <f aca="false">SUMIF(①통합_CF!$E$7:$EF$7,M$3,①통합_CF!$E$112:$EF$112)</f>
        <v>0</v>
      </c>
    </row>
    <row r="18" customFormat="false" ht="15" hidden="false" customHeight="false" outlineLevel="0" collapsed="false">
      <c r="A18" s="36" t="s">
        <v>48</v>
      </c>
      <c r="B18" s="290" t="n">
        <f aca="false">SUM(C18:M18)</f>
        <v>198878.570275</v>
      </c>
      <c r="C18" s="216" t="n">
        <f aca="false">SUMIF(①통합_CF!$E$7:$EF$7,C$3,①통합_CF!$E$129:$EF$129)</f>
        <v>0</v>
      </c>
      <c r="D18" s="216" t="n">
        <f aca="false">SUMIF(①통합_CF!$E$7:$EF$7,D$3,①통합_CF!$E$129:$EF$129)</f>
        <v>0</v>
      </c>
      <c r="E18" s="216" t="n">
        <f aca="false">SUMIF(①통합_CF!$E$7:$EF$7,E$3,①통합_CF!$E$129:$EF$129)</f>
        <v>0</v>
      </c>
      <c r="F18" s="216" t="n">
        <f aca="false">SUMIF(①통합_CF!$E$7:$EF$7,F$3,①통합_CF!$E$129:$EF$129)</f>
        <v>0</v>
      </c>
      <c r="G18" s="216" t="n">
        <f aca="false">SUMIF(①통합_CF!$E$7:$EF$7,G$3,①통합_CF!$E$129:$EF$129)</f>
        <v>0</v>
      </c>
      <c r="H18" s="216" t="n">
        <f aca="false">SUMIF(①통합_CF!$E$7:$EF$7,H$3,①통합_CF!$E$129:$EF$129)</f>
        <v>33146.4283791667</v>
      </c>
      <c r="I18" s="216" t="n">
        <f aca="false">SUMIF(①통합_CF!$E$7:$EF$7,I$3,①통합_CF!$E$129:$EF$129)</f>
        <v>39775.714055</v>
      </c>
      <c r="J18" s="216" t="n">
        <f aca="false">SUMIF(①통합_CF!$E$7:$EF$7,J$3,①통합_CF!$E$129:$EF$129)</f>
        <v>39775.714055</v>
      </c>
      <c r="K18" s="216" t="n">
        <f aca="false">SUMIF(①통합_CF!$E$7:$EF$7,K$3,①통합_CF!$E$129:$EF$129)</f>
        <v>39775.714055</v>
      </c>
      <c r="L18" s="216" t="n">
        <f aca="false">SUMIF(①통합_CF!$E$7:$EF$7,L$3,①통합_CF!$E$129:$EF$129)</f>
        <v>39775.714055</v>
      </c>
      <c r="M18" s="216" t="n">
        <f aca="false">SUMIF(①통합_CF!$E$7:$EF$7,M$3,①통합_CF!$E$129:$EF$129)</f>
        <v>6629.28567583333</v>
      </c>
    </row>
    <row r="19" customFormat="false" ht="15" hidden="false" customHeight="false" outlineLevel="0" collapsed="false">
      <c r="A19" s="36" t="s">
        <v>665</v>
      </c>
      <c r="B19" s="290" t="n">
        <f aca="false">SUM(C19:M19)</f>
        <v>7596.6828</v>
      </c>
      <c r="C19" s="216" t="n">
        <f aca="false">SUMIF(①통합_CF!$E$7:$EF$7,C$3,①통합_CF!$E$128:$EF$128)</f>
        <v>0</v>
      </c>
      <c r="D19" s="216" t="n">
        <f aca="false">SUMIF(①통합_CF!$E$7:$EF$7,D$3,①통합_CF!$E$128:$EF$128)</f>
        <v>0</v>
      </c>
      <c r="E19" s="216" t="n">
        <f aca="false">SUMIF(①통합_CF!$E$7:$EF$7,E$3,①통합_CF!$E$128:$EF$128)</f>
        <v>0</v>
      </c>
      <c r="F19" s="216" t="n">
        <f aca="false">SUMIF(①통합_CF!$E$7:$EF$7,F$3,①통합_CF!$E$128:$EF$128)</f>
        <v>0</v>
      </c>
      <c r="G19" s="216" t="n">
        <f aca="false">SUMIF(①통합_CF!$E$7:$EF$7,G$3,①통합_CF!$E$128:$EF$128)</f>
        <v>0</v>
      </c>
      <c r="H19" s="216" t="n">
        <f aca="false">SUMIF(①통합_CF!$E$7:$EF$7,H$3,①통합_CF!$E$128:$EF$128)</f>
        <v>7596.6828</v>
      </c>
      <c r="I19" s="216" t="n">
        <f aca="false">SUMIF(①통합_CF!$E$7:$EF$7,I$3,①통합_CF!$E$128:$EF$128)</f>
        <v>0</v>
      </c>
      <c r="J19" s="216" t="n">
        <f aca="false">SUMIF(①통합_CF!$E$7:$EF$7,J$3,①통합_CF!$E$128:$EF$128)</f>
        <v>0</v>
      </c>
      <c r="K19" s="216" t="n">
        <f aca="false">SUMIF(①통합_CF!$E$7:$EF$7,K$3,①통합_CF!$E$128:$EF$128)</f>
        <v>0</v>
      </c>
      <c r="L19" s="216" t="n">
        <f aca="false">SUMIF(①통합_CF!$E$7:$EF$7,L$3,①통합_CF!$E$128:$EF$128)</f>
        <v>0</v>
      </c>
      <c r="M19" s="216" t="n">
        <f aca="false">SUMIF(①통합_CF!$E$7:$EF$7,M$3,①통합_CF!$E$128:$EF$128)</f>
        <v>0</v>
      </c>
    </row>
    <row r="20" customFormat="false" ht="15" hidden="false" customHeight="false" outlineLevel="0" collapsed="false">
      <c r="A20" s="6" t="s">
        <v>710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customFormat="false" ht="15" hidden="false" customHeight="false" outlineLevel="0" collapsed="false">
      <c r="A21" s="87" t="s">
        <v>711</v>
      </c>
      <c r="B21" s="290" t="n">
        <f aca="false">SUM(C21:M21)</f>
        <v>287378.385965575</v>
      </c>
      <c r="C21" s="291" t="n">
        <f aca="false">SUMIF(①통합_CF!$E$7:$EF$7,C$3,①통합_CF!$E$142:$EF$142)</f>
        <v>15820.1801474049</v>
      </c>
      <c r="D21" s="291" t="n">
        <f aca="false">SUMIF(①통합_CF!$E$7:$EF$7,D$3,①통합_CF!$E$142:$EF$142)</f>
        <v>271558.20581817</v>
      </c>
      <c r="E21" s="291" t="n">
        <f aca="false">SUMIF(①통합_CF!$E$7:$EF$7,E$3,①통합_CF!$E$142:$EF$142)</f>
        <v>0</v>
      </c>
      <c r="F21" s="291" t="n">
        <f aca="false">SUMIF(①통합_CF!$E$7:$EF$7,F$3,①통합_CF!$E$142:$EF$142)</f>
        <v>0</v>
      </c>
      <c r="G21" s="291" t="n">
        <f aca="false">SUMIF(①통합_CF!$E$7:$EF$7,G$3,①통합_CF!$E$142:$EF$142)</f>
        <v>0</v>
      </c>
      <c r="H21" s="291" t="n">
        <f aca="false">SUMIF(①통합_CF!$E$7:$EF$7,H$3,①통합_CF!$E$142:$EF$142)</f>
        <v>0</v>
      </c>
      <c r="I21" s="291" t="n">
        <f aca="false">SUMIF(①통합_CF!$E$7:$EF$7,I$3,①통합_CF!$E$142:$EF$142)</f>
        <v>0</v>
      </c>
      <c r="J21" s="291" t="n">
        <f aca="false">SUMIF(①통합_CF!$E$7:$EF$7,J$3,①통합_CF!$E$142:$EF$142)</f>
        <v>0</v>
      </c>
      <c r="K21" s="291" t="n">
        <f aca="false">SUMIF(①통합_CF!$E$7:$EF$7,K$3,①통합_CF!$E$142:$EF$142)</f>
        <v>0</v>
      </c>
      <c r="L21" s="291" t="n">
        <f aca="false">SUMIF(①통합_CF!$E$7:$EF$7,L$3,①통합_CF!$E$142:$EF$142)</f>
        <v>0</v>
      </c>
      <c r="M21" s="291" t="n">
        <f aca="false">SUMIF(①통합_CF!$E$7:$EF$7,M$3,①통합_CF!$E$142:$EF$142)</f>
        <v>0</v>
      </c>
    </row>
    <row r="22" customFormat="false" ht="15" hidden="false" customHeight="false" outlineLevel="0" collapsed="false">
      <c r="A22" s="32" t="s">
        <v>712</v>
      </c>
      <c r="B22" s="290" t="n">
        <f aca="false">SUM(C22:M22)</f>
        <v>941952</v>
      </c>
      <c r="C22" s="291" t="n">
        <f aca="false">SUMIF(①통합_CF!$E$7:$EF$7,C$3,①통합_CF!$E$84:$EF$84)</f>
        <v>0</v>
      </c>
      <c r="D22" s="291" t="n">
        <f aca="false">SUMIF(①통합_CF!$E$7:$EF$7,D$3,①통합_CF!$E$84:$EF$84)</f>
        <v>68060.16</v>
      </c>
      <c r="E22" s="291" t="n">
        <f aca="false">SUMIF(①통합_CF!$E$7:$EF$7,E$3,①통합_CF!$E$84:$EF$84)</f>
        <v>136120.32</v>
      </c>
      <c r="F22" s="291" t="n">
        <f aca="false">SUMIF(①통합_CF!$E$7:$EF$7,F$3,①통합_CF!$E$84:$EF$84)</f>
        <v>136120.32</v>
      </c>
      <c r="G22" s="291" t="n">
        <f aca="false">SUMIF(①통합_CF!$E$7:$EF$7,G$3,①통합_CF!$E$84:$EF$84)</f>
        <v>136120.32</v>
      </c>
      <c r="H22" s="291" t="n">
        <f aca="false">SUMIF(①통합_CF!$E$7:$EF$7,H$3,①통합_CF!$E$84:$EF$84)</f>
        <v>268980.48</v>
      </c>
      <c r="I22" s="291" t="n">
        <f aca="false">SUMIF(①통합_CF!$E$7:$EF$7,I$3,①통합_CF!$E$84:$EF$84)</f>
        <v>183350.4</v>
      </c>
      <c r="J22" s="291" t="n">
        <f aca="false">SUMIF(①통합_CF!$E$7:$EF$7,J$3,①통합_CF!$E$84:$EF$84)</f>
        <v>13200</v>
      </c>
      <c r="K22" s="291" t="n">
        <f aca="false">SUMIF(①통합_CF!$E$7:$EF$7,K$3,①통합_CF!$E$84:$EF$84)</f>
        <v>0</v>
      </c>
      <c r="L22" s="291" t="n">
        <f aca="false">SUMIF(①통합_CF!$E$7:$EF$7,L$3,①통합_CF!$E$84:$EF$84)</f>
        <v>0</v>
      </c>
      <c r="M22" s="291" t="n">
        <f aca="false">SUMIF(①통합_CF!$E$7:$EF$7,M$3,①통합_CF!$E$84:$EF$84)</f>
        <v>0</v>
      </c>
    </row>
    <row r="23" customFormat="false" ht="15" hidden="false" customHeight="false" outlineLevel="0" collapsed="false">
      <c r="A23" s="36" t="s">
        <v>713</v>
      </c>
      <c r="B23" s="290" t="n">
        <f aca="false">SUM(C23:M23)</f>
        <v>941952</v>
      </c>
      <c r="C23" s="216" t="n">
        <f aca="false">SUMIF(①통합_CF!$E$7:$EF$7,C$3,①통합_CF!$E$85:$EF$85)</f>
        <v>0</v>
      </c>
      <c r="D23" s="216" t="n">
        <f aca="false">SUMIF(①통합_CF!$E$7:$EF$7,D$3,①통합_CF!$E$85:$EF$85)</f>
        <v>0</v>
      </c>
      <c r="E23" s="216" t="n">
        <f aca="false">SUMIF(①통합_CF!$E$7:$EF$7,E$3,①통합_CF!$E$85:$EF$85)</f>
        <v>0</v>
      </c>
      <c r="F23" s="216" t="n">
        <f aca="false">SUMIF(①통합_CF!$E$7:$EF$7,F$3,①통합_CF!$E$85:$EF$85)</f>
        <v>0</v>
      </c>
      <c r="G23" s="216" t="n">
        <f aca="false">SUMIF(①통합_CF!$E$7:$EF$7,G$3,①통합_CF!$E$85:$EF$85)</f>
        <v>0</v>
      </c>
      <c r="H23" s="216" t="n">
        <f aca="false">SUMIF(①통합_CF!$E$7:$EF$7,H$3,①통합_CF!$E$85:$EF$85)</f>
        <v>0</v>
      </c>
      <c r="I23" s="216" t="n">
        <f aca="false">SUMIF(①통합_CF!$E$7:$EF$7,I$3,①통합_CF!$E$85:$EF$85)</f>
        <v>0</v>
      </c>
      <c r="J23" s="216" t="n">
        <f aca="false">SUMIF(①통합_CF!$E$7:$EF$7,J$3,①통합_CF!$E$85:$EF$85)</f>
        <v>0</v>
      </c>
      <c r="K23" s="216" t="n">
        <f aca="false">SUMIF(①통합_CF!$E$7:$EF$7,K$3,①통합_CF!$E$85:$EF$85)</f>
        <v>0</v>
      </c>
      <c r="L23" s="216" t="n">
        <f aca="false">SUMIF(①통합_CF!$E$7:$EF$7,L$3,①통합_CF!$E$85:$EF$85)</f>
        <v>0</v>
      </c>
      <c r="M23" s="216" t="n">
        <f aca="false">SUMIF(①통합_CF!$E$7:$EF$7,M$3,①통합_CF!$E$85:$EF$85)</f>
        <v>941952</v>
      </c>
    </row>
    <row r="24" customFormat="false" ht="15" hidden="false" customHeight="false" outlineLevel="0" collapsed="false">
      <c r="A24" s="87" t="s">
        <v>714</v>
      </c>
      <c r="B24" s="290" t="n">
        <f aca="false">SUM(C24:M24)</f>
        <v>632619.287228057</v>
      </c>
      <c r="C24" s="291" t="n">
        <f aca="false">SUMIF(①통합_CF!$E$7:$EF$7,C$3,①통합_CF!$E$116:$EF$116)</f>
        <v>0</v>
      </c>
      <c r="D24" s="291" t="n">
        <f aca="false">SUMIF(①통합_CF!$E$7:$EF$7,D$3,①통합_CF!$E$116:$EF$116)</f>
        <v>0</v>
      </c>
      <c r="E24" s="291" t="n">
        <f aca="false">SUMIF(①통합_CF!$E$7:$EF$7,E$3,①통합_CF!$E$116:$EF$116)</f>
        <v>108087.919500052</v>
      </c>
      <c r="F24" s="291" t="n">
        <f aca="false">SUMIF(①통합_CF!$E$7:$EF$7,F$3,①통합_CF!$E$116:$EF$116)</f>
        <v>345404.152223206</v>
      </c>
      <c r="G24" s="291" t="n">
        <f aca="false">SUMIF(①통합_CF!$E$7:$EF$7,G$3,①통합_CF!$E$116:$EF$116)</f>
        <v>169838.354328894</v>
      </c>
      <c r="H24" s="291" t="n">
        <f aca="false">SUMIF(①통합_CF!$E$7:$EF$7,H$3,①통합_CF!$E$116:$EF$116)</f>
        <v>9288.86117590425</v>
      </c>
      <c r="I24" s="291" t="n">
        <f aca="false">SUMIF(①통합_CF!$E$7:$EF$7,I$3,①통합_CF!$E$116:$EF$116)</f>
        <v>0</v>
      </c>
      <c r="J24" s="291" t="n">
        <f aca="false">SUMIF(①통합_CF!$E$7:$EF$7,J$3,①통합_CF!$E$116:$EF$116)</f>
        <v>0</v>
      </c>
      <c r="K24" s="291" t="n">
        <f aca="false">SUMIF(①통합_CF!$E$7:$EF$7,K$3,①통합_CF!$E$116:$EF$116)</f>
        <v>0</v>
      </c>
      <c r="L24" s="291" t="n">
        <f aca="false">SUMIF(①통합_CF!$E$7:$EF$7,L$3,①통합_CF!$E$116:$EF$116)</f>
        <v>0</v>
      </c>
      <c r="M24" s="291" t="n">
        <f aca="false">SUMIF(①통합_CF!$E$7:$EF$7,M$3,①통합_CF!$E$116:$EF$116)</f>
        <v>0</v>
      </c>
    </row>
    <row r="25" customFormat="false" ht="15" hidden="false" customHeight="false" outlineLevel="0" collapsed="false">
      <c r="A25" s="87" t="s">
        <v>715</v>
      </c>
      <c r="B25" s="290" t="n">
        <f aca="false">SUM(C25:M25)</f>
        <v>632619.287228057</v>
      </c>
      <c r="C25" s="291" t="n">
        <f aca="false">SUMIF(①통합_CF!$E$7:$EF$7,C$3,①통합_CF!$E$120:$EF$120)</f>
        <v>0</v>
      </c>
      <c r="D25" s="291" t="n">
        <f aca="false">SUMIF(①통합_CF!$E$7:$EF$7,D$3,①통합_CF!$E$120:$EF$120)</f>
        <v>0</v>
      </c>
      <c r="E25" s="291" t="n">
        <f aca="false">SUMIF(①통합_CF!$E$7:$EF$7,E$3,①통합_CF!$E$120:$EF$120)</f>
        <v>0</v>
      </c>
      <c r="F25" s="291" t="n">
        <f aca="false">SUMIF(①통합_CF!$E$7:$EF$7,F$3,①통합_CF!$E$120:$EF$120)</f>
        <v>0</v>
      </c>
      <c r="G25" s="291" t="n">
        <f aca="false">SUMIF(①통합_CF!$E$7:$EF$7,G$3,①통합_CF!$E$120:$EF$120)</f>
        <v>0</v>
      </c>
      <c r="H25" s="291" t="n">
        <f aca="false">SUMIF(①통합_CF!$E$7:$EF$7,H$3,①통합_CF!$E$120:$EF$120)</f>
        <v>632619.287228057</v>
      </c>
      <c r="I25" s="291" t="n">
        <f aca="false">SUMIF(①통합_CF!$E$7:$EF$7,I$3,①통합_CF!$E$120:$EF$120)</f>
        <v>0</v>
      </c>
      <c r="J25" s="291" t="n">
        <f aca="false">SUMIF(①통합_CF!$E$7:$EF$7,J$3,①통합_CF!$E$120:$EF$120)</f>
        <v>0</v>
      </c>
      <c r="K25" s="291" t="n">
        <f aca="false">SUMIF(①통합_CF!$E$7:$EF$7,K$3,①통합_CF!$E$120:$EF$120)</f>
        <v>0</v>
      </c>
      <c r="L25" s="291" t="n">
        <f aca="false">SUMIF(①통합_CF!$E$7:$EF$7,L$3,①통합_CF!$E$120:$EF$120)</f>
        <v>0</v>
      </c>
      <c r="M25" s="291" t="n">
        <f aca="false">SUMIF(①통합_CF!$E$7:$EF$7,M$3,①통합_CF!$E$120:$EF$120)</f>
        <v>0</v>
      </c>
    </row>
    <row r="26" customFormat="false" ht="15" hidden="false" customHeight="false" outlineLevel="0" collapsed="false">
      <c r="A26" s="36" t="s">
        <v>664</v>
      </c>
      <c r="B26" s="290" t="n">
        <f aca="false">SUM(C26:M26)</f>
        <v>759668.28</v>
      </c>
      <c r="C26" s="216" t="n">
        <f aca="false">SUMIF(①통합_CF!$E$7:$EF$7,C$3,①통합_CF!$E$127:$EF$127)</f>
        <v>0</v>
      </c>
      <c r="D26" s="216" t="n">
        <f aca="false">SUMIF(①통합_CF!$E$7:$EF$7,D$3,①통합_CF!$E$127:$EF$127)</f>
        <v>0</v>
      </c>
      <c r="E26" s="216" t="n">
        <f aca="false">SUMIF(①통합_CF!$E$7:$EF$7,E$3,①통합_CF!$E$127:$EF$127)</f>
        <v>0</v>
      </c>
      <c r="F26" s="216" t="n">
        <f aca="false">SUMIF(①통합_CF!$E$7:$EF$7,F$3,①통합_CF!$E$127:$EF$127)</f>
        <v>0</v>
      </c>
      <c r="G26" s="216" t="n">
        <f aca="false">SUMIF(①통합_CF!$E$7:$EF$7,G$3,①통합_CF!$E$127:$EF$127)</f>
        <v>0</v>
      </c>
      <c r="H26" s="216" t="n">
        <f aca="false">SUMIF(①통합_CF!$E$7:$EF$7,H$3,①통합_CF!$E$127:$EF$127)</f>
        <v>759668.28</v>
      </c>
      <c r="I26" s="216" t="n">
        <f aca="false">SUMIF(①통합_CF!$E$7:$EF$7,I$3,①통합_CF!$E$127:$EF$127)</f>
        <v>0</v>
      </c>
      <c r="J26" s="216" t="n">
        <f aca="false">SUMIF(①통합_CF!$E$7:$EF$7,J$3,①통합_CF!$E$127:$EF$127)</f>
        <v>0</v>
      </c>
      <c r="K26" s="216" t="n">
        <f aca="false">SUMIF(①통합_CF!$E$7:$EF$7,K$3,①통합_CF!$E$127:$EF$127)</f>
        <v>0</v>
      </c>
      <c r="L26" s="216" t="n">
        <f aca="false">SUMIF(①통합_CF!$E$7:$EF$7,L$3,①통합_CF!$E$127:$EF$127)</f>
        <v>0</v>
      </c>
      <c r="M26" s="216" t="n">
        <f aca="false">SUMIF(①통합_CF!$E$7:$EF$7,M$3,①통합_CF!$E$127:$EF$127)</f>
        <v>0</v>
      </c>
    </row>
    <row r="27" customFormat="false" ht="15" hidden="false" customHeight="false" outlineLevel="0" collapsed="false">
      <c r="A27" s="36" t="s">
        <v>666</v>
      </c>
      <c r="B27" s="290" t="n">
        <f aca="false">SUM(C27:M27)</f>
        <v>759668.28</v>
      </c>
      <c r="C27" s="216" t="n">
        <f aca="false">SUMIF(①통합_CF!$E$7:$EF$7,C$3,①통합_CF!$E$130:$EF$130)</f>
        <v>0</v>
      </c>
      <c r="D27" s="216" t="n">
        <f aca="false">SUMIF(①통합_CF!$E$7:$EF$7,D$3,①통합_CF!$E$130:$EF$130)</f>
        <v>0</v>
      </c>
      <c r="E27" s="216" t="n">
        <f aca="false">SUMIF(①통합_CF!$E$7:$EF$7,E$3,①통합_CF!$E$130:$EF$130)</f>
        <v>0</v>
      </c>
      <c r="F27" s="216" t="n">
        <f aca="false">SUMIF(①통합_CF!$E$7:$EF$7,F$3,①통합_CF!$E$130:$EF$130)</f>
        <v>0</v>
      </c>
      <c r="G27" s="216" t="n">
        <f aca="false">SUMIF(①통합_CF!$E$7:$EF$7,G$3,①통합_CF!$E$130:$EF$130)</f>
        <v>0</v>
      </c>
      <c r="H27" s="216" t="n">
        <f aca="false">SUMIF(①통합_CF!$E$7:$EF$7,H$3,①통합_CF!$E$130:$EF$130)</f>
        <v>0</v>
      </c>
      <c r="I27" s="216" t="n">
        <f aca="false">SUMIF(①통합_CF!$E$7:$EF$7,I$3,①통합_CF!$E$130:$EF$130)</f>
        <v>0</v>
      </c>
      <c r="J27" s="216" t="n">
        <f aca="false">SUMIF(①통합_CF!$E$7:$EF$7,J$3,①통합_CF!$E$130:$EF$130)</f>
        <v>0</v>
      </c>
      <c r="K27" s="216" t="n">
        <f aca="false">SUMIF(①통합_CF!$E$7:$EF$7,K$3,①통합_CF!$E$130:$EF$130)</f>
        <v>0</v>
      </c>
      <c r="L27" s="216" t="n">
        <f aca="false">SUMIF(①통합_CF!$E$7:$EF$7,L$3,①통합_CF!$E$130:$EF$130)</f>
        <v>0</v>
      </c>
      <c r="M27" s="216" t="n">
        <f aca="false">SUMIF(①통합_CF!$E$7:$EF$7,M$3,①통합_CF!$E$130:$EF$130)</f>
        <v>759668.28</v>
      </c>
    </row>
    <row r="28" customFormat="false" ht="15" hidden="false" customHeight="false" outlineLevel="0" collapsed="false">
      <c r="A28" s="36" t="s">
        <v>677</v>
      </c>
      <c r="B28" s="290" t="n">
        <f aca="false">SUM(C28:M28)</f>
        <v>1824235.87564974</v>
      </c>
      <c r="C28" s="216" t="n">
        <f aca="false">SUMIF(①통합_CF!$E$7:$EF$7,C$3,①통합_CF!$E$145:$EF$145)</f>
        <v>0</v>
      </c>
      <c r="D28" s="216" t="n">
        <f aca="false">SUMIF(①통합_CF!$E$7:$EF$7,D$3,①통합_CF!$E$145:$EF$145)</f>
        <v>0</v>
      </c>
      <c r="E28" s="216" t="n">
        <f aca="false">SUMIF(①통합_CF!$E$7:$EF$7,E$3,①통합_CF!$E$145:$EF$145)</f>
        <v>0</v>
      </c>
      <c r="F28" s="216" t="n">
        <f aca="false">SUMIF(①통합_CF!$E$7:$EF$7,F$3,①통합_CF!$E$145:$EF$145)</f>
        <v>0</v>
      </c>
      <c r="G28" s="216" t="n">
        <f aca="false">SUMIF(①통합_CF!$E$7:$EF$7,G$3,①통합_CF!$E$145:$EF$145)</f>
        <v>0</v>
      </c>
      <c r="H28" s="216" t="n">
        <f aca="false">SUMIF(①통합_CF!$E$7:$EF$7,H$3,①통합_CF!$E$145:$EF$145)</f>
        <v>0</v>
      </c>
      <c r="I28" s="216" t="n">
        <f aca="false">SUMIF(①통합_CF!$E$7:$EF$7,I$3,①통합_CF!$E$145:$EF$145)</f>
        <v>0</v>
      </c>
      <c r="J28" s="216" t="n">
        <f aca="false">SUMIF(①통합_CF!$E$7:$EF$7,J$3,①통합_CF!$E$145:$EF$145)</f>
        <v>0</v>
      </c>
      <c r="K28" s="216" t="n">
        <f aca="false">SUMIF(①통합_CF!$E$7:$EF$7,K$3,①통합_CF!$E$145:$EF$145)</f>
        <v>0</v>
      </c>
      <c r="L28" s="216" t="n">
        <f aca="false">SUMIF(①통합_CF!$E$7:$EF$7,L$3,①통합_CF!$E$145:$EF$145)</f>
        <v>0</v>
      </c>
      <c r="M28" s="216" t="n">
        <f aca="false">SUMIF(①통합_CF!$E$7:$EF$7,M$3,①통합_CF!$E$145:$EF$145)</f>
        <v>1824235.87564974</v>
      </c>
    </row>
    <row r="29" customFormat="false" ht="15" hidden="false" customHeight="false" outlineLevel="0" collapsed="false">
      <c r="A29" s="6" t="s">
        <v>716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customFormat="false" ht="15" hidden="false" customHeight="false" outlineLevel="0" collapsed="false">
      <c r="A30" s="36" t="s">
        <v>57</v>
      </c>
      <c r="B30" s="290" t="n">
        <f aca="false">SUM(C30:M30)</f>
        <v>91331.5592559765</v>
      </c>
      <c r="C30" s="216" t="n">
        <f aca="false">SUMIF(①통합_CF!$E$7:$EF$7,C$3,①통합_CF!$E$165:$EF$165)</f>
        <v>0</v>
      </c>
      <c r="D30" s="216" t="n">
        <f aca="false">SUMIF(①통합_CF!$E$7:$EF$7,D$3,①통합_CF!$E$165:$EF$165)</f>
        <v>0</v>
      </c>
      <c r="E30" s="216" t="n">
        <f aca="false">SUMIF(①통합_CF!$E$7:$EF$7,E$3,①통합_CF!$E$165:$EF$165)</f>
        <v>0</v>
      </c>
      <c r="F30" s="216" t="n">
        <f aca="false">SUMIF(①통합_CF!$E$7:$EF$7,F$3,①통합_CF!$E$165:$EF$165)</f>
        <v>0</v>
      </c>
      <c r="G30" s="216" t="n">
        <f aca="false">SUMIF(①통합_CF!$E$7:$EF$7,G$3,①통합_CF!$E$165:$EF$165)</f>
        <v>0</v>
      </c>
      <c r="H30" s="216" t="n">
        <f aca="false">SUMIF(①통합_CF!$E$7:$EF$7,H$3,①통합_CF!$E$165:$EF$165)</f>
        <v>13776.4009429022</v>
      </c>
      <c r="I30" s="216" t="n">
        <f aca="false">SUMIF(①통합_CF!$E$7:$EF$7,I$3,①통합_CF!$E$165:$EF$165)</f>
        <v>24599.0598672468</v>
      </c>
      <c r="J30" s="216" t="n">
        <f aca="false">SUMIF(①통합_CF!$E$7:$EF$7,J$3,①통합_CF!$E$165:$EF$165)</f>
        <v>28910.0774142164</v>
      </c>
      <c r="K30" s="216" t="n">
        <f aca="false">SUMIF(①통합_CF!$E$7:$EF$7,K$3,①통합_CF!$E$165:$EF$165)</f>
        <v>10093.232475357</v>
      </c>
      <c r="L30" s="216" t="n">
        <f aca="false">SUMIF(①통합_CF!$E$7:$EF$7,L$3,①통합_CF!$E$165:$EF$165)</f>
        <v>9834.84698421812</v>
      </c>
      <c r="M30" s="216" t="n">
        <f aca="false">SUMIF(①통합_CF!$E$7:$EF$7,M$3,①통합_CF!$E$165:$EF$165)</f>
        <v>4117.94157203598</v>
      </c>
    </row>
    <row r="31" customFormat="false" ht="15" hidden="false" customHeight="false" outlineLevel="0" collapsed="false">
      <c r="A31" s="36" t="s">
        <v>58</v>
      </c>
      <c r="B31" s="290" t="n">
        <f aca="false">SUM(C31:M31)</f>
        <v>201164.870175902</v>
      </c>
      <c r="C31" s="216" t="n">
        <f aca="false">SUMIF(①통합_CF!$E$7:$EF$7,C$3,①통합_CF!$E$166:$EF$166)</f>
        <v>0</v>
      </c>
      <c r="D31" s="216" t="n">
        <f aca="false">SUMIF(①통합_CF!$E$7:$EF$7,D$3,①통합_CF!$E$166:$EF$166)</f>
        <v>0</v>
      </c>
      <c r="E31" s="216" t="n">
        <f aca="false">SUMIF(①통합_CF!$E$7:$EF$7,E$3,①통합_CF!$E$166:$EF$166)</f>
        <v>0</v>
      </c>
      <c r="F31" s="216" t="n">
        <f aca="false">SUMIF(①통합_CF!$E$7:$EF$7,F$3,①통합_CF!$E$166:$EF$166)</f>
        <v>0</v>
      </c>
      <c r="G31" s="216" t="n">
        <f aca="false">SUMIF(①통합_CF!$E$7:$EF$7,G$3,①통합_CF!$E$166:$EF$166)</f>
        <v>0</v>
      </c>
      <c r="H31" s="216" t="n">
        <f aca="false">SUMIF(①통합_CF!$E$7:$EF$7,H$3,①통합_CF!$E$166:$EF$166)</f>
        <v>0</v>
      </c>
      <c r="I31" s="216" t="n">
        <f aca="false">SUMIF(①통합_CF!$E$7:$EF$7,I$3,①통합_CF!$E$166:$EF$166)</f>
        <v>0</v>
      </c>
      <c r="J31" s="216" t="n">
        <f aca="false">SUMIF(①통합_CF!$E$7:$EF$7,J$3,①통합_CF!$E$166:$EF$166)</f>
        <v>0</v>
      </c>
      <c r="K31" s="216" t="n">
        <f aca="false">SUMIF(①통합_CF!$E$7:$EF$7,K$3,①통합_CF!$E$166:$EF$166)</f>
        <v>0</v>
      </c>
      <c r="L31" s="216" t="n">
        <f aca="false">SUMIF(①통합_CF!$E$7:$EF$7,L$3,①통합_CF!$E$166:$EF$166)</f>
        <v>0</v>
      </c>
      <c r="M31" s="216" t="n">
        <f aca="false">SUMIF(①통합_CF!$E$7:$EF$7,M$3,①통합_CF!$E$166:$EF$166)</f>
        <v>201164.870175902</v>
      </c>
    </row>
    <row r="32" customFormat="false" ht="15" hidden="false" customHeight="false" outlineLevel="0" collapsed="false">
      <c r="A32" s="36" t="s">
        <v>59</v>
      </c>
      <c r="B32" s="290" t="n">
        <f aca="false">SUM(C32:M32)</f>
        <v>443763.146532001</v>
      </c>
      <c r="C32" s="216" t="n">
        <f aca="false">SUMIF(①통합_CF!$E$7:$EF$7,C$3,①통합_CF!$E$168:$EF$168)</f>
        <v>0</v>
      </c>
      <c r="D32" s="216" t="n">
        <f aca="false">SUMIF(①통합_CF!$E$7:$EF$7,D$3,①통합_CF!$E$168:$EF$168)</f>
        <v>0</v>
      </c>
      <c r="E32" s="216" t="n">
        <f aca="false">SUMIF(①통합_CF!$E$7:$EF$7,E$3,①통합_CF!$E$168:$EF$168)</f>
        <v>0</v>
      </c>
      <c r="F32" s="216" t="n">
        <f aca="false">SUMIF(①통합_CF!$E$7:$EF$7,F$3,①통합_CF!$E$168:$EF$168)</f>
        <v>0</v>
      </c>
      <c r="G32" s="216" t="n">
        <f aca="false">SUMIF(①통합_CF!$E$7:$EF$7,G$3,①통합_CF!$E$168:$EF$168)</f>
        <v>0</v>
      </c>
      <c r="H32" s="216" t="n">
        <f aca="false">SUMIF(①통합_CF!$E$7:$EF$7,H$3,①통합_CF!$E$168:$EF$168)</f>
        <v>0</v>
      </c>
      <c r="I32" s="216" t="n">
        <f aca="false">SUMIF(①통합_CF!$E$7:$EF$7,I$3,①통합_CF!$E$168:$EF$168)</f>
        <v>0</v>
      </c>
      <c r="J32" s="216" t="n">
        <f aca="false">SUMIF(①통합_CF!$E$7:$EF$7,J$3,①통합_CF!$E$168:$EF$168)</f>
        <v>0</v>
      </c>
      <c r="K32" s="216" t="n">
        <f aca="false">SUMIF(①통합_CF!$E$7:$EF$7,K$3,①통합_CF!$E$168:$EF$168)</f>
        <v>20081.2235283293</v>
      </c>
      <c r="L32" s="216" t="n">
        <f aca="false">SUMIF(①통합_CF!$E$7:$EF$7,L$3,①통합_CF!$E$168:$EF$168)</f>
        <v>21540.0761807276</v>
      </c>
      <c r="M32" s="216" t="n">
        <f aca="false">SUMIF(①통합_CF!$E$7:$EF$7,M$3,①통합_CF!$E$168:$EF$168)</f>
        <v>402141.846822944</v>
      </c>
    </row>
    <row r="33" customFormat="false" ht="15" hidden="false" customHeight="false" outlineLevel="0" collapsed="false">
      <c r="A33" s="36" t="s">
        <v>700</v>
      </c>
      <c r="B33" s="290" t="n">
        <f aca="false">SUM(C33:M33)</f>
        <v>357549.630742329</v>
      </c>
      <c r="C33" s="216" t="n">
        <f aca="false">SUMIF(①통합_CF!$E$7:$EF$7,C$3,①통합_CF!$E$171:$EF$171)</f>
        <v>-15820.1801474049</v>
      </c>
      <c r="D33" s="216" t="n">
        <f aca="false">SUMIF(①통합_CF!$E$7:$EF$7,D$3,①통합_CF!$E$171:$EF$171)</f>
        <v>-70393.3356422675</v>
      </c>
      <c r="E33" s="216" t="n">
        <f aca="false">SUMIF(①통합_CF!$E$7:$EF$7,E$3,①통합_CF!$E$171:$EF$171)</f>
        <v>0</v>
      </c>
      <c r="F33" s="216" t="n">
        <f aca="false">SUMIF(①통합_CF!$E$7:$EF$7,F$3,①통합_CF!$E$171:$EF$171)</f>
        <v>0</v>
      </c>
      <c r="G33" s="216" t="n">
        <f aca="false">SUMIF(①통합_CF!$E$7:$EF$7,G$3,①통합_CF!$E$171:$EF$171)</f>
        <v>0</v>
      </c>
      <c r="H33" s="216" t="n">
        <f aca="false">SUMIF(①통합_CF!$E$7:$EF$7,H$3,①통합_CF!$E$171:$EF$171)</f>
        <v>0</v>
      </c>
      <c r="I33" s="216" t="n">
        <f aca="false">SUMIF(①통합_CF!$E$7:$EF$7,I$3,①통합_CF!$E$171:$EF$171)</f>
        <v>0</v>
      </c>
      <c r="J33" s="216" t="n">
        <f aca="false">SUMIF(①통합_CF!$E$7:$EF$7,J$3,①통합_CF!$E$171:$EF$171)</f>
        <v>0</v>
      </c>
      <c r="K33" s="216" t="n">
        <f aca="false">SUMIF(①통합_CF!$E$7:$EF$7,K$3,①통합_CF!$E$171:$EF$171)</f>
        <v>20081.2235283293</v>
      </c>
      <c r="L33" s="216" t="n">
        <f aca="false">SUMIF(①통합_CF!$E$7:$EF$7,L$3,①통합_CF!$E$171:$EF$171)</f>
        <v>21540.0761807276</v>
      </c>
      <c r="M33" s="216" t="n">
        <f aca="false">SUMIF(①통합_CF!$E$7:$EF$7,M$3,①통합_CF!$E$171:$EF$171)</f>
        <v>402141.846822944</v>
      </c>
    </row>
    <row r="34" customFormat="false" ht="15" hidden="false" customHeight="false" outlineLevel="0" collapsed="false">
      <c r="A34" s="36" t="s">
        <v>701</v>
      </c>
      <c r="B34" s="290" t="n">
        <f aca="false">SUM(C34:M34)</f>
        <v>91331.5592559765</v>
      </c>
      <c r="C34" s="216" t="n">
        <f aca="false">SUMIF(①통합_CF!$E$7:$EF$7,C$3,①통합_CF!$E$172:$EF$172)</f>
        <v>0</v>
      </c>
      <c r="D34" s="216" t="n">
        <f aca="false">SUMIF(①통합_CF!$E$7:$EF$7,D$3,①통합_CF!$E$172:$EF$172)</f>
        <v>-201164.870175902</v>
      </c>
      <c r="E34" s="216" t="n">
        <f aca="false">SUMIF(①통합_CF!$E$7:$EF$7,E$3,①통합_CF!$E$172:$EF$172)</f>
        <v>0</v>
      </c>
      <c r="F34" s="216" t="n">
        <f aca="false">SUMIF(①통합_CF!$E$7:$EF$7,F$3,①통합_CF!$E$172:$EF$172)</f>
        <v>0</v>
      </c>
      <c r="G34" s="216" t="n">
        <f aca="false">SUMIF(①통합_CF!$E$7:$EF$7,G$3,①통합_CF!$E$172:$EF$172)</f>
        <v>0</v>
      </c>
      <c r="H34" s="216" t="n">
        <f aca="false">SUMIF(①통합_CF!$E$7:$EF$7,H$3,①통합_CF!$E$172:$EF$172)</f>
        <v>13776.4009429022</v>
      </c>
      <c r="I34" s="216" t="n">
        <f aca="false">SUMIF(①통합_CF!$E$7:$EF$7,I$3,①통합_CF!$E$172:$EF$172)</f>
        <v>24599.0598672468</v>
      </c>
      <c r="J34" s="216" t="n">
        <f aca="false">SUMIF(①통합_CF!$E$7:$EF$7,J$3,①통합_CF!$E$172:$EF$172)</f>
        <v>28910.0774142164</v>
      </c>
      <c r="K34" s="216" t="n">
        <f aca="false">SUMIF(①통합_CF!$E$7:$EF$7,K$3,①통합_CF!$E$172:$EF$172)</f>
        <v>10093.232475357</v>
      </c>
      <c r="L34" s="216" t="n">
        <f aca="false">SUMIF(①통합_CF!$E$7:$EF$7,L$3,①통합_CF!$E$172:$EF$172)</f>
        <v>9834.84698421812</v>
      </c>
      <c r="M34" s="216" t="n">
        <f aca="false">SUMIF(①통합_CF!$E$7:$EF$7,M$3,①통합_CF!$E$172:$EF$172)</f>
        <v>205282.811747938</v>
      </c>
    </row>
    <row r="35" customFormat="false" ht="15" hidden="false" customHeight="false" outlineLevel="0" collapsed="false">
      <c r="A35" s="32" t="s">
        <v>702</v>
      </c>
      <c r="B35" s="290" t="n">
        <f aca="false">SUM(C35:M35)</f>
        <v>448881.189998305</v>
      </c>
      <c r="C35" s="291" t="n">
        <f aca="false">SUMIF(①통합_CF!$E$7:$EF$7,C$3,①통합_CF!$E$173:$EF$173)</f>
        <v>-15820.1801474049</v>
      </c>
      <c r="D35" s="291" t="n">
        <f aca="false">SUMIF(①통합_CF!$E$7:$EF$7,D$3,①통합_CF!$E$173:$EF$173)</f>
        <v>-271558.20581817</v>
      </c>
      <c r="E35" s="291" t="n">
        <f aca="false">SUMIF(①통합_CF!$E$7:$EF$7,E$3,①통합_CF!$E$173:$EF$173)</f>
        <v>0</v>
      </c>
      <c r="F35" s="291" t="n">
        <f aca="false">SUMIF(①통합_CF!$E$7:$EF$7,F$3,①통합_CF!$E$173:$EF$173)</f>
        <v>0</v>
      </c>
      <c r="G35" s="291" t="n">
        <f aca="false">SUMIF(①통합_CF!$E$7:$EF$7,G$3,①통합_CF!$E$173:$EF$173)</f>
        <v>0</v>
      </c>
      <c r="H35" s="291" t="n">
        <f aca="false">SUMIF(①통합_CF!$E$7:$EF$7,H$3,①통합_CF!$E$173:$EF$173)</f>
        <v>13776.4009429022</v>
      </c>
      <c r="I35" s="291" t="n">
        <f aca="false">SUMIF(①통합_CF!$E$7:$EF$7,I$3,①통합_CF!$E$173:$EF$173)</f>
        <v>24599.0598672468</v>
      </c>
      <c r="J35" s="291" t="n">
        <f aca="false">SUMIF(①통합_CF!$E$7:$EF$7,J$3,①통합_CF!$E$173:$EF$173)</f>
        <v>28910.0774142164</v>
      </c>
      <c r="K35" s="291" t="n">
        <f aca="false">SUMIF(①통합_CF!$E$7:$EF$7,K$3,①통합_CF!$E$173:$EF$173)</f>
        <v>30174.4560036864</v>
      </c>
      <c r="L35" s="291" t="n">
        <f aca="false">SUMIF(①통합_CF!$E$7:$EF$7,L$3,①통합_CF!$E$173:$EF$173)</f>
        <v>31374.9231649458</v>
      </c>
      <c r="M35" s="291" t="n">
        <f aca="false">SUMIF(①통합_CF!$E$7:$EF$7,M$3,①통합_CF!$E$173:$EF$173)</f>
        <v>607424.658570882</v>
      </c>
    </row>
    <row r="36" customFormat="false" ht="15" hidden="false" customHeight="false" outlineLevel="0" collapsed="false">
      <c r="A36" s="32" t="s">
        <v>689</v>
      </c>
      <c r="C36" s="291" t="n">
        <f aca="false">SUMIF(①통합_CF!$E$6:$EF$6,MIN(DATE(C$3,12,31),①통합_가정!$E$24),①통합_CF!$E$159:$EF$159)*(C$3&lt;=YEAR(①통합_가정!$E$24))</f>
        <v>2084.0178705957</v>
      </c>
      <c r="D36" s="291" t="n">
        <f aca="false">SUMIF(①통합_CF!$E$6:$EF$6,MIN(DATE(D$3,12,31),①통합_가정!$E$24),①통합_CF!$E$159:$EF$159)*(D$3&lt;=YEAR(①통합_가정!$E$24))</f>
        <v>76511.5993653267</v>
      </c>
      <c r="E36" s="291" t="n">
        <f aca="false">SUMIF(①통합_CF!$E$6:$EF$6,MIN(DATE(E$3,12,31),①통합_가정!$E$24),①통합_CF!$E$159:$EF$159)*(E$3&lt;=YEAR(①통합_가정!$E$24))</f>
        <v>500</v>
      </c>
      <c r="F36" s="291" t="n">
        <f aca="false">SUMIF(①통합_CF!$E$6:$EF$6,MIN(DATE(F$3,12,31),①통합_가정!$E$24),①통합_CF!$E$159:$EF$159)*(F$3&lt;=YEAR(①통합_가정!$E$24))</f>
        <v>500</v>
      </c>
      <c r="G36" s="291" t="n">
        <f aca="false">SUMIF(①통합_CF!$E$6:$EF$6,MIN(DATE(G$3,12,31),①통합_가정!$E$24),①통합_CF!$E$159:$EF$159)*(G$3&lt;=YEAR(①통합_가정!$E$24))</f>
        <v>500</v>
      </c>
      <c r="H36" s="291" t="n">
        <f aca="false">SUMIF(①통합_CF!$E$6:$EF$6,MIN(DATE(H$3,12,31),①통합_가정!$E$24),①통합_CF!$E$159:$EF$159)*(H$3&lt;=YEAR(①통합_가정!$E$24))</f>
        <v>288275.686540244</v>
      </c>
      <c r="I36" s="291" t="n">
        <f aca="false">SUMIF(①통합_CF!$E$6:$EF$6,MIN(DATE(I$3,12,31),①통합_가정!$E$24),①통합_CF!$E$159:$EF$159)*(I$3&lt;=YEAR(①통합_가정!$E$24))</f>
        <v>471626.086540244</v>
      </c>
      <c r="J36" s="291" t="n">
        <f aca="false">SUMIF(①통합_CF!$E$6:$EF$6,MIN(DATE(J$3,12,31),①통합_가정!$E$24),①통합_CF!$E$159:$EF$159)*(J$3&lt;=YEAR(①통합_가정!$E$24))</f>
        <v>484826.086540245</v>
      </c>
      <c r="K36" s="291" t="n">
        <f aca="false">SUMIF(①통합_CF!$E$6:$EF$6,MIN(DATE(K$3,12,31),①통합_가정!$E$24),①통합_CF!$E$159:$EF$159)*(K$3&lt;=YEAR(①통합_가정!$E$24))</f>
        <v>484826.086540244</v>
      </c>
      <c r="L36" s="291" t="n">
        <f aca="false">SUMIF(①통합_CF!$E$6:$EF$6,MIN(DATE(L$3,12,31),①통합_가정!$E$24),①통합_CF!$E$159:$EF$159)*(L$3&lt;=YEAR(①통합_가정!$E$24))</f>
        <v>484826.086540244</v>
      </c>
      <c r="M36" s="291" t="n">
        <f aca="false">SUMIF(①통합_CF!$E$6:$EF$6,MIN(DATE(M$3,12,31),①통합_가정!$E$24),①통합_CF!$E$159:$EF$159)*(M$3&lt;=YEAR(①통합_가정!$E$24))</f>
        <v>0</v>
      </c>
    </row>
    <row r="38" customFormat="false" ht="15" hidden="false" customHeight="false" outlineLevel="0" collapsed="false">
      <c r="A38" s="87" t="s">
        <v>717</v>
      </c>
      <c r="B38" s="292" t="n">
        <f aca="false">①통합_CF!$C$171</f>
        <v>0.203927870290846</v>
      </c>
    </row>
    <row r="39" customFormat="false" ht="15" hidden="false" customHeight="false" outlineLevel="0" collapsed="false">
      <c r="A39" s="87" t="s">
        <v>718</v>
      </c>
      <c r="B39" s="292" t="n">
        <f aca="false">①통합_CF!$C$172</f>
        <v>0.0499999999985936</v>
      </c>
    </row>
    <row r="40" customFormat="false" ht="15" hidden="false" customHeight="false" outlineLevel="0" collapsed="false">
      <c r="A40" s="87" t="s">
        <v>719</v>
      </c>
      <c r="B40" s="292" t="n">
        <f aca="false">①통합_CF!$C$173</f>
        <v>0.121116349565578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27" min="4" style="0" width="13"/>
  </cols>
  <sheetData>
    <row r="1" customFormat="false" ht="16.4" hidden="false" customHeight="false" outlineLevel="0" collapsed="false">
      <c r="A1" s="1"/>
      <c r="B1" s="2" t="s">
        <v>79</v>
      </c>
      <c r="C1" s="1"/>
      <c r="D1" s="1"/>
      <c r="E1" s="1"/>
      <c r="F1" s="1"/>
      <c r="G1" s="1"/>
      <c r="H1" s="1"/>
      <c r="I1" s="38" t="s">
        <v>80</v>
      </c>
      <c r="J1" s="39" t="s">
        <v>81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1"/>
      <c r="B2" s="40" t="s">
        <v>720</v>
      </c>
      <c r="C2" s="1"/>
      <c r="D2" s="1"/>
      <c r="E2" s="1"/>
      <c r="F2" s="1"/>
      <c r="G2" s="1"/>
      <c r="H2" s="1"/>
      <c r="I2" s="41" t="s">
        <v>83</v>
      </c>
      <c r="J2" s="39" t="s">
        <v>84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customFormat="false" ht="15" hidden="false" customHeight="false" outlineLevel="0" collapsed="false">
      <c r="A3" s="1"/>
      <c r="B3" s="1"/>
      <c r="C3" s="42" t="str">
        <f aca="false">IF(ABS(②시니어_CF!$C$159)&lt;1,"OK","Error")</f>
        <v>Error</v>
      </c>
      <c r="D3" s="42" t="str">
        <f aca="false">IF(SUMPRODUCT(ABS($F$560:$F$569))&lt;1,"OK","Run Macro")</f>
        <v>OK</v>
      </c>
      <c r="E3" s="42" t="str">
        <f aca="false">IF(MIN(②시니어_CF!$E$159:$EF$159)&gt;-0.5,"OK","Shortage")</f>
        <v>Shortage</v>
      </c>
      <c r="F3" s="42" t="str">
        <f aca="false">IF(SUM(②시니어_CF!$E$153:$EF$153)-SUM(②시니어_CF!$E$116:$EF$116)&lt;1,"OK","PF한도부족")</f>
        <v>OK</v>
      </c>
      <c r="G3" s="1"/>
      <c r="H3" s="1"/>
      <c r="I3" s="43" t="s">
        <v>85</v>
      </c>
      <c r="J3" s="39" t="s">
        <v>86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customFormat="false" ht="15" hidden="false" customHeight="false" outlineLevel="0" collapsed="false">
      <c r="A4" s="1"/>
      <c r="B4" s="1"/>
      <c r="C4" s="44" t="s">
        <v>87</v>
      </c>
      <c r="D4" s="44" t="s">
        <v>88</v>
      </c>
      <c r="E4" s="44" t="s">
        <v>89</v>
      </c>
      <c r="F4" s="44" t="s">
        <v>90</v>
      </c>
      <c r="G4" s="1"/>
      <c r="H4" s="1"/>
      <c r="I4" s="45" t="s">
        <v>91</v>
      </c>
      <c r="J4" s="39" t="s">
        <v>92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6" customFormat="false" ht="15" hidden="false" customHeight="false" outlineLevel="0" collapsed="false">
      <c r="A6" s="46" t="s">
        <v>93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8" customFormat="false" ht="15" hidden="false" customHeight="false" outlineLevel="0" collapsed="false">
      <c r="B8" s="47" t="s">
        <v>94</v>
      </c>
      <c r="C8" s="48"/>
      <c r="D8" s="49" t="s">
        <v>95</v>
      </c>
      <c r="E8" s="50" t="n">
        <v>46112</v>
      </c>
    </row>
    <row r="9" customFormat="false" ht="15" hidden="false" customHeight="false" outlineLevel="0" collapsed="false">
      <c r="B9" s="51" t="s">
        <v>96</v>
      </c>
      <c r="C9" s="52"/>
      <c r="D9" s="53" t="s">
        <v>97</v>
      </c>
      <c r="E9" s="54" t="n">
        <v>3</v>
      </c>
    </row>
    <row r="10" customFormat="false" ht="15" hidden="false" customHeight="false" outlineLevel="0" collapsed="false">
      <c r="B10" s="51" t="s">
        <v>98</v>
      </c>
      <c r="C10" s="52"/>
      <c r="D10" s="53" t="s">
        <v>95</v>
      </c>
      <c r="E10" s="55" t="n">
        <f aca="false">EOMONTH($E$8,$E$9)</f>
        <v>46203</v>
      </c>
    </row>
    <row r="11" customFormat="false" ht="15" hidden="false" customHeight="false" outlineLevel="0" collapsed="false">
      <c r="B11" s="51" t="s">
        <v>99</v>
      </c>
      <c r="C11" s="52"/>
      <c r="D11" s="53" t="s">
        <v>97</v>
      </c>
      <c r="E11" s="54" t="n">
        <v>14</v>
      </c>
    </row>
    <row r="12" customFormat="false" ht="15" hidden="false" customHeight="false" outlineLevel="0" collapsed="false">
      <c r="B12" s="51" t="s">
        <v>100</v>
      </c>
      <c r="C12" s="52"/>
      <c r="D12" s="53" t="s">
        <v>95</v>
      </c>
      <c r="E12" s="55" t="n">
        <f aca="false">EOMONTH($E$10,$E$11)</f>
        <v>46630</v>
      </c>
    </row>
    <row r="13" customFormat="false" ht="15" hidden="false" customHeight="false" outlineLevel="0" collapsed="false">
      <c r="B13" s="51" t="s">
        <v>101</v>
      </c>
      <c r="C13" s="52"/>
      <c r="D13" s="53" t="s">
        <v>97</v>
      </c>
      <c r="E13" s="54" t="n">
        <v>1</v>
      </c>
    </row>
    <row r="14" customFormat="false" ht="15" hidden="false" customHeight="false" outlineLevel="0" collapsed="false">
      <c r="B14" s="51" t="s">
        <v>102</v>
      </c>
      <c r="C14" s="52"/>
      <c r="D14" s="53" t="s">
        <v>95</v>
      </c>
      <c r="E14" s="55" t="n">
        <f aca="false">EOMONTH($E$12,$E$13)</f>
        <v>46660</v>
      </c>
    </row>
    <row r="15" customFormat="false" ht="15" hidden="false" customHeight="false" outlineLevel="0" collapsed="false">
      <c r="B15" s="51" t="s">
        <v>103</v>
      </c>
      <c r="C15" s="52"/>
      <c r="D15" s="53" t="s">
        <v>97</v>
      </c>
      <c r="E15" s="54" t="n">
        <v>42</v>
      </c>
    </row>
    <row r="16" customFormat="false" ht="15" hidden="false" customHeight="false" outlineLevel="0" collapsed="false">
      <c r="B16" s="51" t="s">
        <v>104</v>
      </c>
      <c r="C16" s="52"/>
      <c r="D16" s="53" t="s">
        <v>95</v>
      </c>
      <c r="E16" s="55" t="n">
        <f aca="false">EOMONTH($E$14,$E$15-1)</f>
        <v>47907</v>
      </c>
    </row>
    <row r="17" customFormat="false" ht="15" hidden="false" customHeight="false" outlineLevel="0" collapsed="false">
      <c r="B17" s="51" t="s">
        <v>105</v>
      </c>
      <c r="C17" s="52"/>
      <c r="D17" s="53" t="s">
        <v>97</v>
      </c>
      <c r="E17" s="54" t="n">
        <v>1</v>
      </c>
    </row>
    <row r="18" customFormat="false" ht="15" hidden="false" customHeight="false" outlineLevel="0" collapsed="false">
      <c r="B18" s="51" t="s">
        <v>106</v>
      </c>
      <c r="C18" s="52"/>
      <c r="D18" s="53" t="s">
        <v>95</v>
      </c>
      <c r="E18" s="55" t="n">
        <f aca="false">EOMONTH($E$16,$E$17)</f>
        <v>47938</v>
      </c>
    </row>
    <row r="19" customFormat="false" ht="15" hidden="false" customHeight="false" outlineLevel="0" collapsed="false">
      <c r="B19" s="51" t="s">
        <v>107</v>
      </c>
      <c r="C19" s="52"/>
      <c r="D19" s="53" t="s">
        <v>97</v>
      </c>
      <c r="E19" s="54" t="n">
        <v>60</v>
      </c>
    </row>
    <row r="20" customFormat="false" ht="15" hidden="false" customHeight="false" outlineLevel="0" collapsed="false">
      <c r="B20" s="51" t="s">
        <v>108</v>
      </c>
      <c r="C20" s="52"/>
      <c r="D20" s="53" t="s">
        <v>95</v>
      </c>
      <c r="E20" s="55" t="n">
        <f aca="false">EOMONTH($E$18,$E$19-1)</f>
        <v>49734</v>
      </c>
    </row>
    <row r="21" customFormat="false" ht="15" hidden="false" customHeight="false" outlineLevel="0" collapsed="false">
      <c r="B21" s="51" t="s">
        <v>109</v>
      </c>
      <c r="C21" s="52"/>
      <c r="D21" s="53" t="s">
        <v>97</v>
      </c>
      <c r="E21" s="54" t="n">
        <v>0</v>
      </c>
    </row>
    <row r="22" customFormat="false" ht="15" hidden="false" customHeight="false" outlineLevel="0" collapsed="false">
      <c r="B22" s="51" t="s">
        <v>110</v>
      </c>
      <c r="C22" s="52"/>
      <c r="D22" s="53" t="s">
        <v>95</v>
      </c>
      <c r="E22" s="55" t="n">
        <f aca="false">EOMONTH($E$20,$E$21)</f>
        <v>49734</v>
      </c>
    </row>
    <row r="23" customFormat="false" ht="15" hidden="false" customHeight="false" outlineLevel="0" collapsed="false">
      <c r="B23" s="51" t="s">
        <v>111</v>
      </c>
      <c r="C23" s="52"/>
      <c r="D23" s="53" t="s">
        <v>97</v>
      </c>
      <c r="E23" s="54" t="n">
        <v>3</v>
      </c>
    </row>
    <row r="24" customFormat="false" ht="15" hidden="false" customHeight="false" outlineLevel="0" collapsed="false">
      <c r="B24" s="51" t="s">
        <v>112</v>
      </c>
      <c r="C24" s="52"/>
      <c r="D24" s="53" t="s">
        <v>95</v>
      </c>
      <c r="E24" s="55" t="n">
        <f aca="false">EOMONTH($E$22,$E$23)</f>
        <v>49826</v>
      </c>
    </row>
    <row r="25" customFormat="false" ht="15" hidden="false" customHeight="false" outlineLevel="0" collapsed="false">
      <c r="B25" s="51" t="s">
        <v>113</v>
      </c>
      <c r="C25" s="52"/>
      <c r="D25" s="53" t="s">
        <v>114</v>
      </c>
      <c r="E25" s="56" t="n">
        <f aca="false">((YEAR($E$16)-YEAR($E$8))*12+MONTH($E$16)-MONTH($E$8)+1)/12</f>
        <v>5</v>
      </c>
    </row>
    <row r="26" customFormat="false" ht="15" hidden="false" customHeight="false" outlineLevel="0" collapsed="false">
      <c r="B26" s="57" t="s">
        <v>115</v>
      </c>
      <c r="C26" s="58"/>
      <c r="D26" s="59" t="s">
        <v>114</v>
      </c>
      <c r="E26" s="60" t="n">
        <f aca="false">((YEAR($E$24)-YEAR($E$18))*12+MONTH($E$24)-MONTH($E$18)+1)/12</f>
        <v>5.25</v>
      </c>
    </row>
    <row r="28" customFormat="false" ht="15" hidden="false" customHeight="false" outlineLevel="0" collapsed="false">
      <c r="A28" s="61" t="s">
        <v>116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30" customFormat="false" ht="15" hidden="false" customHeight="false" outlineLevel="0" collapsed="false">
      <c r="B30" s="62" t="s">
        <v>117</v>
      </c>
      <c r="C30" s="48"/>
      <c r="D30" s="48"/>
      <c r="E30" s="63" t="n">
        <f aca="false">②시니어_CF!$C$171</f>
        <v>-0.10503089550599</v>
      </c>
    </row>
    <row r="31" customFormat="false" ht="15" hidden="false" customHeight="false" outlineLevel="0" collapsed="false">
      <c r="B31" s="64" t="s">
        <v>118</v>
      </c>
      <c r="C31" s="52"/>
      <c r="D31" s="52"/>
      <c r="E31" s="65" t="n">
        <f aca="false">②시니어_CF!$C$172</f>
        <v>-0.145471194570466</v>
      </c>
    </row>
    <row r="32" customFormat="false" ht="15" hidden="false" customHeight="false" outlineLevel="0" collapsed="false">
      <c r="B32" s="66" t="s">
        <v>119</v>
      </c>
      <c r="C32" s="58"/>
      <c r="D32" s="58"/>
      <c r="E32" s="67" t="n">
        <f aca="false">②시니어_CF!$C$173</f>
        <v>-0.12979711034386</v>
      </c>
    </row>
    <row r="34" customFormat="false" ht="15" hidden="false" customHeight="false" outlineLevel="0" collapsed="false">
      <c r="A34" s="61" t="s">
        <v>120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6" customFormat="false" ht="15" hidden="false" customHeight="false" outlineLevel="0" collapsed="false">
      <c r="B36" s="68" t="s">
        <v>121</v>
      </c>
      <c r="C36" s="68" t="s">
        <v>2</v>
      </c>
      <c r="D36" s="68" t="s">
        <v>122</v>
      </c>
      <c r="E36" s="68" t="s">
        <v>123</v>
      </c>
      <c r="F36" s="68" t="s">
        <v>124</v>
      </c>
      <c r="G36" s="68" t="s">
        <v>125</v>
      </c>
      <c r="H36" s="68" t="s">
        <v>126</v>
      </c>
      <c r="I36" s="44" t="s">
        <v>127</v>
      </c>
    </row>
    <row r="37" customFormat="false" ht="15" hidden="false" customHeight="false" outlineLevel="0" collapsed="false">
      <c r="B37" s="62" t="s">
        <v>128</v>
      </c>
      <c r="C37" s="69" t="s">
        <v>721</v>
      </c>
      <c r="D37" s="48"/>
      <c r="E37" s="48"/>
      <c r="F37" s="48"/>
      <c r="G37" s="48"/>
      <c r="H37" s="48"/>
      <c r="I37" s="70"/>
    </row>
    <row r="38" customFormat="false" ht="15" hidden="false" customHeight="false" outlineLevel="0" collapsed="false">
      <c r="B38" s="71" t="s">
        <v>130</v>
      </c>
      <c r="C38" s="72" t="s">
        <v>131</v>
      </c>
      <c r="D38" s="73" t="n">
        <v>1</v>
      </c>
      <c r="E38" s="73" t="n">
        <v>0</v>
      </c>
      <c r="F38" s="73" t="n">
        <v>0</v>
      </c>
      <c r="G38" s="73" t="n">
        <v>0</v>
      </c>
      <c r="H38" s="73" t="n">
        <v>0</v>
      </c>
      <c r="I38" s="74"/>
    </row>
    <row r="39" customFormat="false" ht="15" hidden="false" customHeight="false" outlineLevel="0" collapsed="false">
      <c r="B39" s="71" t="s">
        <v>132</v>
      </c>
      <c r="C39" s="75" t="s">
        <v>14</v>
      </c>
      <c r="D39" s="76" t="n">
        <f aca="false">$E$60</f>
        <v>23008.1742</v>
      </c>
      <c r="E39" s="76" t="n">
        <f aca="false">$E$61</f>
        <v>13519.907775</v>
      </c>
      <c r="F39" s="76" t="n">
        <f aca="false">$E$62</f>
        <v>21288.22575</v>
      </c>
      <c r="G39" s="76" t="n">
        <f aca="false">$E$63</f>
        <v>14046.003675</v>
      </c>
      <c r="H39" s="76" t="n">
        <f aca="false">$E$64</f>
        <v>9949.113075</v>
      </c>
      <c r="I39" s="77" t="n">
        <f aca="false">SUMPRODUCT(D38:H38,D39:H39)</f>
        <v>23008.1742</v>
      </c>
    </row>
    <row r="40" customFormat="false" ht="15" hidden="false" customHeight="false" outlineLevel="0" collapsed="false">
      <c r="B40" s="78"/>
      <c r="C40" s="75" t="s">
        <v>133</v>
      </c>
      <c r="D40" s="52"/>
      <c r="E40" s="52"/>
      <c r="F40" s="52"/>
      <c r="G40" s="52"/>
      <c r="H40" s="52"/>
      <c r="I40" s="79" t="n">
        <f aca="false">$D$38*$E$60</f>
        <v>23008.1742</v>
      </c>
    </row>
    <row r="41" customFormat="false" ht="15" hidden="false" customHeight="false" outlineLevel="0" collapsed="false">
      <c r="B41" s="78"/>
      <c r="C41" s="75" t="s">
        <v>134</v>
      </c>
      <c r="D41" s="52"/>
      <c r="E41" s="52"/>
      <c r="F41" s="52"/>
      <c r="G41" s="52"/>
      <c r="H41" s="52"/>
      <c r="I41" s="80" t="n">
        <f aca="false">$I$39/$C$69</f>
        <v>0.281234245065991</v>
      </c>
    </row>
    <row r="42" customFormat="false" ht="15" hidden="false" customHeight="false" outlineLevel="0" collapsed="false">
      <c r="B42" s="71" t="s">
        <v>15</v>
      </c>
      <c r="C42" s="72" t="s">
        <v>135</v>
      </c>
      <c r="D42" s="81" t="n">
        <f aca="false">$C$85</f>
        <v>0.281234245065991</v>
      </c>
      <c r="E42" s="81" t="n">
        <f aca="false">$C$86</f>
        <v>0.16525696578149</v>
      </c>
      <c r="F42" s="81" t="n">
        <f aca="false">$C$87</f>
        <v>0.260210916587882</v>
      </c>
      <c r="G42" s="81" t="n">
        <f aca="false">$C$88</f>
        <v>0.171687557882484</v>
      </c>
      <c r="H42" s="81" t="n">
        <f aca="false">$C$89</f>
        <v>0.121610314682154</v>
      </c>
      <c r="I42" s="80" t="n">
        <f aca="false">SUMPRODUCT(D38:H38,D42:H42)</f>
        <v>0.281234245065991</v>
      </c>
    </row>
    <row r="43" customFormat="false" ht="15" hidden="false" customHeight="false" outlineLevel="0" collapsed="false">
      <c r="B43" s="78"/>
      <c r="C43" s="75" t="s">
        <v>136</v>
      </c>
      <c r="D43" s="52"/>
      <c r="E43" s="52"/>
      <c r="F43" s="52"/>
      <c r="G43" s="52"/>
      <c r="H43" s="52"/>
      <c r="I43" s="82" t="n">
        <f aca="false">IFERROR(SUMPRODUCT($D$38:$H$38,$P$325:$T$325)/SUM($P$325:$T$325),0)</f>
        <v>0.333333333333333</v>
      </c>
    </row>
    <row r="44" customFormat="false" ht="15" hidden="false" customHeight="false" outlineLevel="0" collapsed="false">
      <c r="B44" s="78"/>
      <c r="C44" s="75" t="s">
        <v>137</v>
      </c>
      <c r="D44" s="52"/>
      <c r="E44" s="52"/>
      <c r="F44" s="52"/>
      <c r="G44" s="52"/>
      <c r="H44" s="52"/>
      <c r="I44" s="82" t="n">
        <f aca="false">IFERROR(SUMPRODUCT($D$38:$H$38,$P$323:$T$323)/SUM($P$323:$T$323),0)</f>
        <v>0.221029423235838</v>
      </c>
    </row>
    <row r="45" customFormat="false" ht="15" hidden="false" customHeight="false" outlineLevel="0" collapsed="false">
      <c r="B45" s="83"/>
      <c r="C45" s="84" t="s">
        <v>138</v>
      </c>
      <c r="D45" s="58"/>
      <c r="E45" s="58"/>
      <c r="F45" s="58"/>
      <c r="G45" s="58"/>
      <c r="H45" s="58"/>
      <c r="I45" s="85" t="n">
        <v>1</v>
      </c>
    </row>
    <row r="46" customFormat="false" ht="15" hidden="false" customHeight="false" outlineLevel="0" collapsed="false">
      <c r="B46" s="86" t="s">
        <v>139</v>
      </c>
    </row>
    <row r="48" customFormat="false" ht="15" hidden="false" customHeight="false" outlineLevel="0" collapsed="false">
      <c r="A48" s="46" t="s">
        <v>140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50" customFormat="false" ht="15" hidden="false" customHeight="false" outlineLevel="0" collapsed="false">
      <c r="B50" s="87" t="s">
        <v>141</v>
      </c>
      <c r="D50" s="88" t="s">
        <v>142</v>
      </c>
    </row>
    <row r="51" customFormat="false" ht="15" hidden="false" customHeight="false" outlineLevel="0" collapsed="false">
      <c r="B51" s="87" t="s">
        <v>143</v>
      </c>
      <c r="D51" s="88" t="s">
        <v>144</v>
      </c>
    </row>
    <row r="52" customFormat="false" ht="15" hidden="false" customHeight="false" outlineLevel="0" collapsed="false">
      <c r="B52" s="87" t="s">
        <v>145</v>
      </c>
      <c r="D52" s="88" t="s">
        <v>146</v>
      </c>
    </row>
    <row r="53" customFormat="false" ht="15" hidden="false" customHeight="false" outlineLevel="0" collapsed="false">
      <c r="B53" s="87" t="s">
        <v>147</v>
      </c>
      <c r="D53" s="88" t="s">
        <v>148</v>
      </c>
    </row>
    <row r="54" customFormat="false" ht="15" hidden="false" customHeight="false" outlineLevel="0" collapsed="false">
      <c r="B54" s="87" t="s">
        <v>149</v>
      </c>
      <c r="E54" s="36" t="s">
        <v>150</v>
      </c>
      <c r="F54" s="89" t="n">
        <v>0.3025</v>
      </c>
    </row>
    <row r="56" customFormat="false" ht="15" hidden="false" customHeight="false" outlineLevel="0" collapsed="false">
      <c r="B56" s="90" t="s">
        <v>132</v>
      </c>
      <c r="C56" s="91" t="s">
        <v>151</v>
      </c>
      <c r="D56" s="92" t="n">
        <v>178919.43</v>
      </c>
      <c r="E56" s="93" t="n">
        <f aca="false">$D$56*$F$54</f>
        <v>54123.127575</v>
      </c>
    </row>
    <row r="57" customFormat="false" ht="15" hidden="false" customHeight="false" outlineLevel="0" collapsed="false">
      <c r="B57" s="78"/>
      <c r="C57" s="75" t="s">
        <v>152</v>
      </c>
      <c r="D57" s="94" t="n">
        <v>91531.54</v>
      </c>
      <c r="E57" s="79" t="n">
        <f aca="false">$D$57*$F$54</f>
        <v>27688.29085</v>
      </c>
    </row>
    <row r="58" customFormat="false" ht="15" hidden="false" customHeight="false" outlineLevel="0" collapsed="false">
      <c r="B58" s="83"/>
      <c r="C58" s="95" t="s">
        <v>153</v>
      </c>
      <c r="D58" s="96" t="n">
        <f aca="false">$D$56+$D$57</f>
        <v>270450.97</v>
      </c>
      <c r="E58" s="97" t="n">
        <f aca="false">$D$58*$F$54</f>
        <v>81811.418425</v>
      </c>
      <c r="F58" s="98" t="b">
        <f aca="false">ABS($D$58-$C$70)&lt;1</f>
        <v>1</v>
      </c>
      <c r="G58" s="98" t="b">
        <f aca="false">ABS($D$58*$F$54-$C$69)&lt;1</f>
        <v>1</v>
      </c>
    </row>
    <row r="60" customFormat="false" ht="15" hidden="false" customHeight="false" outlineLevel="0" collapsed="false">
      <c r="B60" s="90" t="s">
        <v>154</v>
      </c>
      <c r="C60" s="99" t="s">
        <v>122</v>
      </c>
      <c r="D60" s="100" t="n">
        <f aca="false">SUMIF($D$67:$W$67,"시니어 레지던스",$D$70:$W$70)</f>
        <v>76060.08</v>
      </c>
      <c r="E60" s="93" t="n">
        <f aca="false">SUMIF($D$67:$W$67,"시니어 레지던스",$D$69:$W$69)</f>
        <v>23008.1742</v>
      </c>
    </row>
    <row r="61" customFormat="false" ht="15" hidden="false" customHeight="false" outlineLevel="0" collapsed="false">
      <c r="B61" s="78"/>
      <c r="C61" s="101" t="s">
        <v>123</v>
      </c>
      <c r="D61" s="102" t="n">
        <f aca="false">SUMIF($D$67:$W$67,"레지던스",$D$70:$W$70)</f>
        <v>44693.91</v>
      </c>
      <c r="E61" s="79" t="n">
        <f aca="false">SUMIF($D$67:$W$67,"레지던스",$D$69:$W$69)</f>
        <v>13519.907775</v>
      </c>
    </row>
    <row r="62" customFormat="false" ht="15" hidden="false" customHeight="false" outlineLevel="0" collapsed="false">
      <c r="B62" s="78"/>
      <c r="C62" s="101" t="s">
        <v>124</v>
      </c>
      <c r="D62" s="102" t="n">
        <f aca="false">SUMIF($D$67:$W$67,"호텔",$D$70:$W$70)</f>
        <v>70374.3</v>
      </c>
      <c r="E62" s="79" t="n">
        <f aca="false">SUMIF($D$67:$W$67,"호텔",$D$69:$W$69)</f>
        <v>21288.22575</v>
      </c>
    </row>
    <row r="63" customFormat="false" ht="15" hidden="false" customHeight="false" outlineLevel="0" collapsed="false">
      <c r="B63" s="78"/>
      <c r="C63" s="101" t="s">
        <v>125</v>
      </c>
      <c r="D63" s="102" t="n">
        <f aca="false">SUMIF($D$67:$W$67,"오피스",$D$70:$W$70)</f>
        <v>46433.07</v>
      </c>
      <c r="E63" s="79" t="n">
        <f aca="false">SUMIF($D$67:$W$67,"오피스",$D$69:$W$69)</f>
        <v>14046.003675</v>
      </c>
    </row>
    <row r="64" customFormat="false" ht="15" hidden="false" customHeight="false" outlineLevel="0" collapsed="false">
      <c r="B64" s="78"/>
      <c r="C64" s="101" t="s">
        <v>126</v>
      </c>
      <c r="D64" s="102" t="n">
        <f aca="false">SUMIF($D$67:$W$67,"부대시설",$D$70:$W$70)</f>
        <v>32889.63</v>
      </c>
      <c r="E64" s="79" t="n">
        <f aca="false">SUMIF($D$67:$W$67,"부대시설",$D$69:$W$69)</f>
        <v>9949.113075</v>
      </c>
    </row>
    <row r="65" customFormat="false" ht="15" hidden="false" customHeight="false" outlineLevel="0" collapsed="false">
      <c r="B65" s="83"/>
      <c r="C65" s="95" t="s">
        <v>155</v>
      </c>
      <c r="D65" s="96" t="n">
        <f aca="false">SUM(D60:D64)</f>
        <v>270450.99</v>
      </c>
      <c r="E65" s="97" t="n">
        <f aca="false">SUM(E60:E64)</f>
        <v>81811.424475</v>
      </c>
      <c r="F65" s="98" t="b">
        <f aca="false">ABS(D65-$D$58)&lt;1</f>
        <v>1</v>
      </c>
      <c r="G65" s="98" t="b">
        <f aca="false">ABS(E65-$C$69)&lt;0.1</f>
        <v>1</v>
      </c>
    </row>
    <row r="67" customFormat="false" ht="15" hidden="false" customHeight="false" outlineLevel="0" collapsed="false">
      <c r="D67" s="103" t="s">
        <v>122</v>
      </c>
      <c r="E67" s="103" t="s">
        <v>122</v>
      </c>
      <c r="F67" s="104" t="s">
        <v>126</v>
      </c>
      <c r="G67" s="104" t="s">
        <v>126</v>
      </c>
      <c r="H67" s="103" t="s">
        <v>122</v>
      </c>
      <c r="J67" s="105" t="s">
        <v>123</v>
      </c>
      <c r="K67" s="105" t="s">
        <v>123</v>
      </c>
      <c r="L67" s="106" t="s">
        <v>124</v>
      </c>
      <c r="M67" s="106" t="s">
        <v>124</v>
      </c>
      <c r="N67" s="106" t="s">
        <v>124</v>
      </c>
      <c r="O67" s="106" t="s">
        <v>124</v>
      </c>
      <c r="P67" s="106" t="s">
        <v>124</v>
      </c>
      <c r="Q67" s="106" t="s">
        <v>124</v>
      </c>
      <c r="R67" s="107" t="s">
        <v>125</v>
      </c>
      <c r="S67" s="106" t="s">
        <v>124</v>
      </c>
      <c r="U67" s="104" t="s">
        <v>126</v>
      </c>
      <c r="V67" s="104" t="s">
        <v>126</v>
      </c>
      <c r="W67" s="104" t="s">
        <v>126</v>
      </c>
    </row>
    <row r="68" customFormat="false" ht="15" hidden="false" customHeight="false" outlineLevel="0" collapsed="false">
      <c r="B68" s="108" t="s">
        <v>121</v>
      </c>
      <c r="C68" s="109" t="s">
        <v>156</v>
      </c>
      <c r="D68" s="109" t="s">
        <v>157</v>
      </c>
      <c r="E68" s="109" t="s">
        <v>158</v>
      </c>
      <c r="F68" s="109" t="s">
        <v>159</v>
      </c>
      <c r="G68" s="109" t="s">
        <v>160</v>
      </c>
      <c r="H68" s="110" t="s">
        <v>161</v>
      </c>
      <c r="I68" s="111" t="s">
        <v>162</v>
      </c>
      <c r="J68" s="109" t="s">
        <v>163</v>
      </c>
      <c r="K68" s="109" t="s">
        <v>164</v>
      </c>
      <c r="L68" s="109" t="s">
        <v>124</v>
      </c>
      <c r="M68" s="109" t="s">
        <v>165</v>
      </c>
      <c r="N68" s="109" t="s">
        <v>166</v>
      </c>
      <c r="O68" s="109" t="s">
        <v>167</v>
      </c>
      <c r="P68" s="109" t="s">
        <v>168</v>
      </c>
      <c r="Q68" s="109" t="s">
        <v>169</v>
      </c>
      <c r="R68" s="109" t="s">
        <v>125</v>
      </c>
      <c r="S68" s="110" t="s">
        <v>161</v>
      </c>
      <c r="T68" s="111" t="s">
        <v>170</v>
      </c>
      <c r="U68" s="109" t="s">
        <v>171</v>
      </c>
      <c r="V68" s="109" t="s">
        <v>172</v>
      </c>
      <c r="W68" s="109" t="s">
        <v>173</v>
      </c>
      <c r="X68" s="112" t="s">
        <v>174</v>
      </c>
      <c r="Y68" s="110" t="s">
        <v>175</v>
      </c>
      <c r="Z68" s="113" t="s">
        <v>176</v>
      </c>
    </row>
    <row r="69" customFormat="false" ht="15" hidden="false" customHeight="false" outlineLevel="0" collapsed="false">
      <c r="B69" s="71" t="s">
        <v>177</v>
      </c>
      <c r="C69" s="114" t="n">
        <f aca="false">I69+T69+X69</f>
        <v>81811.424475</v>
      </c>
      <c r="D69" s="76" t="n">
        <f aca="false">D70*$F$54</f>
        <v>20475.2449</v>
      </c>
      <c r="E69" s="76" t="n">
        <f aca="false">E70*$F$54</f>
        <v>2338.19795</v>
      </c>
      <c r="F69" s="76" t="n">
        <f aca="false">F70*$F$54</f>
        <v>1425.62805</v>
      </c>
      <c r="G69" s="76" t="n">
        <f aca="false">G70*$F$54</f>
        <v>597.16525</v>
      </c>
      <c r="H69" s="76" t="n">
        <f aca="false">H70*$F$54</f>
        <v>194.73135</v>
      </c>
      <c r="I69" s="115" t="n">
        <f aca="false">SUM(D69:H69)</f>
        <v>25030.9675</v>
      </c>
      <c r="J69" s="76" t="n">
        <f aca="false">J70*$F$54</f>
        <v>10714.913</v>
      </c>
      <c r="K69" s="76" t="n">
        <f aca="false">K70*$F$54</f>
        <v>2804.994775</v>
      </c>
      <c r="L69" s="76" t="n">
        <f aca="false">L70*$F$54</f>
        <v>11246.59305</v>
      </c>
      <c r="M69" s="76" t="n">
        <f aca="false">M70*$F$54</f>
        <v>2165.775975</v>
      </c>
      <c r="N69" s="76" t="n">
        <f aca="false">N70*$F$54</f>
        <v>1829.34455</v>
      </c>
      <c r="O69" s="76" t="n">
        <f aca="false">O70*$F$54</f>
        <v>1274.23285</v>
      </c>
      <c r="P69" s="76" t="n">
        <f aca="false">P70*$F$54</f>
        <v>1063.9651</v>
      </c>
      <c r="Q69" s="76" t="n">
        <f aca="false">Q70*$F$54</f>
        <v>3250.76785</v>
      </c>
      <c r="R69" s="76" t="n">
        <f aca="false">R70*$F$54</f>
        <v>14046.003675</v>
      </c>
      <c r="S69" s="76" t="n">
        <f aca="false">S70*$F$54</f>
        <v>457.546375</v>
      </c>
      <c r="T69" s="115" t="n">
        <f aca="false">SUM(J69:S69)</f>
        <v>48854.1372</v>
      </c>
      <c r="U69" s="76" t="n">
        <f aca="false">U70*$F$54</f>
        <v>1673.7446</v>
      </c>
      <c r="V69" s="76" t="n">
        <f aca="false">V70*$F$54</f>
        <v>2443.331825</v>
      </c>
      <c r="W69" s="76" t="n">
        <f aca="false">W70*$F$54</f>
        <v>3809.24335</v>
      </c>
      <c r="X69" s="115" t="n">
        <f aca="false">SUM(U69:W69)</f>
        <v>7926.319775</v>
      </c>
      <c r="Y69" s="52"/>
      <c r="Z69" s="74"/>
    </row>
    <row r="70" customFormat="false" ht="15" hidden="false" customHeight="false" outlineLevel="0" collapsed="false">
      <c r="B70" s="71" t="s">
        <v>178</v>
      </c>
      <c r="C70" s="116" t="n">
        <f aca="false">I70+T70+X70</f>
        <v>270450.99</v>
      </c>
      <c r="D70" s="94" t="n">
        <v>67686.76</v>
      </c>
      <c r="E70" s="94" t="n">
        <v>7729.58</v>
      </c>
      <c r="F70" s="94" t="n">
        <v>4712.82</v>
      </c>
      <c r="G70" s="94" t="n">
        <v>1974.1</v>
      </c>
      <c r="H70" s="94" t="n">
        <v>643.74</v>
      </c>
      <c r="I70" s="117" t="n">
        <f aca="false">SUM(D70:H70)</f>
        <v>82747</v>
      </c>
      <c r="J70" s="94" t="n">
        <v>35421.2</v>
      </c>
      <c r="K70" s="94" t="n">
        <v>9272.71</v>
      </c>
      <c r="L70" s="94" t="n">
        <v>37178.82</v>
      </c>
      <c r="M70" s="94" t="n">
        <v>7159.59</v>
      </c>
      <c r="N70" s="94" t="n">
        <v>6047.42</v>
      </c>
      <c r="O70" s="94" t="n">
        <v>4212.34</v>
      </c>
      <c r="P70" s="94" t="n">
        <v>3517.24</v>
      </c>
      <c r="Q70" s="94" t="n">
        <v>10746.34</v>
      </c>
      <c r="R70" s="94" t="n">
        <v>46433.07</v>
      </c>
      <c r="S70" s="94" t="n">
        <v>1512.55</v>
      </c>
      <c r="T70" s="117" t="n">
        <f aca="false">SUM(J70:S70)</f>
        <v>161501.28</v>
      </c>
      <c r="U70" s="94" t="n">
        <v>5533.04</v>
      </c>
      <c r="V70" s="94" t="n">
        <v>8077.13</v>
      </c>
      <c r="W70" s="94" t="n">
        <v>12592.54</v>
      </c>
      <c r="X70" s="117" t="n">
        <f aca="false">SUM(U70:W70)</f>
        <v>26202.71</v>
      </c>
      <c r="Y70" s="52"/>
      <c r="Z70" s="74"/>
    </row>
    <row r="71" customFormat="false" ht="15" hidden="false" customHeight="false" outlineLevel="0" collapsed="false">
      <c r="B71" s="71" t="s">
        <v>179</v>
      </c>
      <c r="C71" s="118" t="n">
        <f aca="false">C69/$C$69</f>
        <v>1</v>
      </c>
      <c r="D71" s="119" t="n">
        <f aca="false">D69/$C$69</f>
        <v>0.250273663261503</v>
      </c>
      <c r="E71" s="119" t="n">
        <f aca="false">E69/$C$69</f>
        <v>0.028580335387199</v>
      </c>
      <c r="F71" s="119" t="n">
        <f aca="false">F69/$C$69</f>
        <v>0.0174257820243143</v>
      </c>
      <c r="G71" s="119" t="n">
        <f aca="false">G69/$C$69</f>
        <v>0.00729928923536201</v>
      </c>
      <c r="H71" s="119" t="n">
        <f aca="false">H69/$C$69</f>
        <v>0.00238024641728988</v>
      </c>
      <c r="I71" s="120" t="n">
        <f aca="false">I69/$C$69</f>
        <v>0.305959316325668</v>
      </c>
      <c r="J71" s="119" t="n">
        <f aca="false">J69/$C$69</f>
        <v>0.130970864628745</v>
      </c>
      <c r="K71" s="119" t="n">
        <f aca="false">K69/$C$69</f>
        <v>0.0342861011527449</v>
      </c>
      <c r="L71" s="119" t="n">
        <f aca="false">L69/$C$69</f>
        <v>0.137469713089237</v>
      </c>
      <c r="M71" s="119" t="n">
        <f aca="false">M69/$C$69</f>
        <v>0.0264727816304167</v>
      </c>
      <c r="N71" s="119" t="n">
        <f aca="false">N69/$C$69</f>
        <v>0.0223605023594109</v>
      </c>
      <c r="O71" s="119" t="n">
        <f aca="false">O69/$C$69</f>
        <v>0.0155752434110151</v>
      </c>
      <c r="P71" s="119" t="n">
        <f aca="false">P69/$C$69</f>
        <v>0.0130050919761839</v>
      </c>
      <c r="Q71" s="119" t="n">
        <f aca="false">Q69/$C$69</f>
        <v>0.0397348887500837</v>
      </c>
      <c r="R71" s="119" t="n">
        <f aca="false">R69/$C$69</f>
        <v>0.171687557882484</v>
      </c>
      <c r="S71" s="119" t="n">
        <f aca="false">S69/$C$69</f>
        <v>0.00559269537153478</v>
      </c>
      <c r="T71" s="120" t="n">
        <f aca="false">T69/$C$69</f>
        <v>0.597155440251855</v>
      </c>
      <c r="U71" s="119" t="n">
        <f aca="false">U69/$C$69</f>
        <v>0.0204585681124702</v>
      </c>
      <c r="V71" s="119" t="n">
        <f aca="false">V69/$C$69</f>
        <v>0.0298654111046146</v>
      </c>
      <c r="W71" s="119" t="n">
        <f aca="false">W69/$C$69</f>
        <v>0.0465612642053926</v>
      </c>
      <c r="X71" s="120" t="n">
        <f aca="false">X69/$C$69</f>
        <v>0.0968852434224774</v>
      </c>
      <c r="Y71" s="52"/>
      <c r="Z71" s="74"/>
    </row>
    <row r="72" customFormat="false" ht="15" hidden="false" customHeight="false" outlineLevel="0" collapsed="false">
      <c r="B72" s="71" t="s">
        <v>180</v>
      </c>
      <c r="C72" s="114" t="n">
        <f aca="false">I72+T72+X72</f>
        <v>40534.76</v>
      </c>
      <c r="D72" s="121" t="n">
        <v>10848.89</v>
      </c>
      <c r="E72" s="121" t="n">
        <v>1218.17</v>
      </c>
      <c r="F72" s="121" t="n">
        <v>591.99</v>
      </c>
      <c r="G72" s="121" t="n">
        <v>213.87</v>
      </c>
      <c r="H72" s="121" t="n">
        <v>0</v>
      </c>
      <c r="I72" s="115" t="n">
        <f aca="false">SUM(D72:H72)</f>
        <v>12872.92</v>
      </c>
      <c r="J72" s="121" t="n">
        <v>5174.57</v>
      </c>
      <c r="K72" s="121" t="n">
        <v>1462.29</v>
      </c>
      <c r="L72" s="121" t="n">
        <v>5186.06</v>
      </c>
      <c r="M72" s="121" t="n">
        <v>847</v>
      </c>
      <c r="N72" s="121" t="n">
        <v>910.53</v>
      </c>
      <c r="O72" s="121" t="n">
        <v>535.43</v>
      </c>
      <c r="P72" s="121" t="n">
        <v>514.25</v>
      </c>
      <c r="Q72" s="121" t="n">
        <v>1870.66</v>
      </c>
      <c r="R72" s="121" t="n">
        <v>7377.98</v>
      </c>
      <c r="S72" s="121" t="n">
        <v>0</v>
      </c>
      <c r="T72" s="115" t="n">
        <f aca="false">SUM(J72:S72)</f>
        <v>23878.77</v>
      </c>
      <c r="U72" s="121" t="n">
        <v>948.64</v>
      </c>
      <c r="V72" s="121" t="n">
        <v>1270.5</v>
      </c>
      <c r="W72" s="121" t="n">
        <v>1563.93</v>
      </c>
      <c r="X72" s="115" t="n">
        <f aca="false">SUM(U72:W72)</f>
        <v>3783.07</v>
      </c>
      <c r="Y72" s="52"/>
      <c r="Z72" s="74"/>
    </row>
    <row r="73" customFormat="false" ht="15" hidden="false" customHeight="false" outlineLevel="0" collapsed="false">
      <c r="B73" s="71" t="s">
        <v>181</v>
      </c>
      <c r="C73" s="114" t="n">
        <f aca="false">I73+T73+X73</f>
        <v>18313.26</v>
      </c>
      <c r="D73" s="121" t="n">
        <v>3879.26</v>
      </c>
      <c r="E73" s="121" t="n">
        <v>463.73</v>
      </c>
      <c r="F73" s="121" t="n">
        <v>433.48</v>
      </c>
      <c r="G73" s="121" t="n">
        <v>215.68</v>
      </c>
      <c r="H73" s="121" t="n">
        <v>140.07</v>
      </c>
      <c r="I73" s="115" t="n">
        <f aca="false">SUM(D73:H73)</f>
        <v>5132.22</v>
      </c>
      <c r="J73" s="121" t="n">
        <v>2532.63</v>
      </c>
      <c r="K73" s="121" t="n">
        <v>555.39</v>
      </c>
      <c r="L73" s="121" t="n">
        <v>2903.78</v>
      </c>
      <c r="M73" s="121" t="n">
        <v>710.88</v>
      </c>
      <c r="N73" s="121" t="n">
        <v>405.35</v>
      </c>
      <c r="O73" s="121" t="n">
        <v>381.15</v>
      </c>
      <c r="P73" s="121" t="n">
        <v>251.08</v>
      </c>
      <c r="Q73" s="121" t="n">
        <v>467.67</v>
      </c>
      <c r="R73" s="121" t="n">
        <v>2725.53</v>
      </c>
      <c r="S73" s="121" t="n">
        <v>329.12</v>
      </c>
      <c r="T73" s="115" t="n">
        <f aca="false">SUM(J73:S73)</f>
        <v>11262.58</v>
      </c>
      <c r="U73" s="121" t="n">
        <v>255.31</v>
      </c>
      <c r="V73" s="121" t="n">
        <v>487.03</v>
      </c>
      <c r="W73" s="121" t="n">
        <v>1176.12</v>
      </c>
      <c r="X73" s="115" t="n">
        <f aca="false">SUM(U73:W73)</f>
        <v>1918.46</v>
      </c>
      <c r="Y73" s="52"/>
      <c r="Z73" s="74"/>
    </row>
    <row r="74" customFormat="false" ht="15" hidden="false" customHeight="false" outlineLevel="0" collapsed="false">
      <c r="B74" s="71" t="s">
        <v>182</v>
      </c>
      <c r="C74" s="114" t="n">
        <f aca="false">I74+T74+X74+Y74+Z74</f>
        <v>81811.424475</v>
      </c>
      <c r="D74" s="76" t="n">
        <f aca="false">D72+D73</f>
        <v>14728.15</v>
      </c>
      <c r="E74" s="76" t="n">
        <f aca="false">E72+E73</f>
        <v>1681.9</v>
      </c>
      <c r="F74" s="76" t="n">
        <f aca="false">F72+F73</f>
        <v>1025.47</v>
      </c>
      <c r="G74" s="76" t="n">
        <f aca="false">G72+G73</f>
        <v>429.55</v>
      </c>
      <c r="H74" s="76" t="n">
        <f aca="false">H72+H73</f>
        <v>140.07</v>
      </c>
      <c r="I74" s="115" t="n">
        <f aca="false">SUM(D74:H74)</f>
        <v>18005.14</v>
      </c>
      <c r="J74" s="76" t="n">
        <f aca="false">J72+J73</f>
        <v>7707.2</v>
      </c>
      <c r="K74" s="76" t="n">
        <f aca="false">K72+K73</f>
        <v>2017.68</v>
      </c>
      <c r="L74" s="76" t="n">
        <f aca="false">L72+L73</f>
        <v>8089.84</v>
      </c>
      <c r="M74" s="76" t="n">
        <f aca="false">M72+M73</f>
        <v>1557.88</v>
      </c>
      <c r="N74" s="76" t="n">
        <f aca="false">N72+N73</f>
        <v>1315.88</v>
      </c>
      <c r="O74" s="76" t="n">
        <f aca="false">O72+O73</f>
        <v>916.58</v>
      </c>
      <c r="P74" s="76" t="n">
        <f aca="false">P72+P73</f>
        <v>765.33</v>
      </c>
      <c r="Q74" s="76" t="n">
        <f aca="false">Q72+Q73</f>
        <v>2338.33</v>
      </c>
      <c r="R74" s="76" t="n">
        <f aca="false">R72+R73</f>
        <v>10103.51</v>
      </c>
      <c r="S74" s="76" t="n">
        <f aca="false">S72+S73</f>
        <v>329.12</v>
      </c>
      <c r="T74" s="115" t="n">
        <f aca="false">SUM(J74:S74)</f>
        <v>35141.35</v>
      </c>
      <c r="U74" s="76" t="n">
        <f aca="false">U72+U73</f>
        <v>1203.95</v>
      </c>
      <c r="V74" s="76" t="n">
        <f aca="false">V72+V73</f>
        <v>1757.53</v>
      </c>
      <c r="W74" s="76" t="n">
        <f aca="false">W72+W73</f>
        <v>2740.05</v>
      </c>
      <c r="X74" s="115" t="n">
        <f aca="false">SUM(U74:W74)</f>
        <v>5701.53</v>
      </c>
      <c r="Y74" s="121" t="n">
        <v>1585.81</v>
      </c>
      <c r="Z74" s="79" t="n">
        <f aca="false">$C$69-($I$74+$T$74+$X$74)-$Y$74</f>
        <v>21377.594475</v>
      </c>
    </row>
    <row r="75" customFormat="false" ht="15" hidden="false" customHeight="false" outlineLevel="0" collapsed="false">
      <c r="B75" s="71" t="s">
        <v>179</v>
      </c>
      <c r="C75" s="118" t="n">
        <f aca="false">C74/$C$74</f>
        <v>1</v>
      </c>
      <c r="D75" s="119" t="n">
        <f aca="false">D74/$C$74</f>
        <v>0.180025590490734</v>
      </c>
      <c r="E75" s="119" t="n">
        <f aca="false">E74/$C$74</f>
        <v>0.020558253456569</v>
      </c>
      <c r="F75" s="119" t="n">
        <f aca="false">F74/$C$74</f>
        <v>0.0125345574481882</v>
      </c>
      <c r="G75" s="119" t="n">
        <f aca="false">G74/$C$74</f>
        <v>0.00525048919214531</v>
      </c>
      <c r="H75" s="119" t="n">
        <f aca="false">H74/$C$74</f>
        <v>0.00171210806924408</v>
      </c>
      <c r="I75" s="120" t="n">
        <f aca="false">I74/$C$74</f>
        <v>0.220080998656881</v>
      </c>
      <c r="J75" s="119" t="n">
        <f aca="false">J74/$C$74</f>
        <v>0.0942068916347395</v>
      </c>
      <c r="K75" s="119" t="n">
        <f aca="false">K74/$C$74</f>
        <v>0.0246625702088412</v>
      </c>
      <c r="L75" s="119" t="n">
        <f aca="false">L74/$C$74</f>
        <v>0.0988839890261549</v>
      </c>
      <c r="M75" s="119" t="n">
        <f aca="false">M74/$C$74</f>
        <v>0.0190423282566857</v>
      </c>
      <c r="N75" s="119" t="n">
        <f aca="false">N74/$C$74</f>
        <v>0.0160843061766038</v>
      </c>
      <c r="O75" s="119" t="n">
        <f aca="false">O74/$C$74</f>
        <v>0.0112035697444687</v>
      </c>
      <c r="P75" s="119" t="n">
        <f aca="false">P74/$C$74</f>
        <v>0.00935480594441758</v>
      </c>
      <c r="Q75" s="119" t="n">
        <f aca="false">Q74/$C$74</f>
        <v>0.0285819494649497</v>
      </c>
      <c r="R75" s="119" t="n">
        <f aca="false">R74/$C$74</f>
        <v>0.123497544075735</v>
      </c>
      <c r="S75" s="119" t="n">
        <f aca="false">S74/$C$74</f>
        <v>0.00402291002891134</v>
      </c>
      <c r="T75" s="120" t="n">
        <f aca="false">T74/$C$74</f>
        <v>0.429540864561508</v>
      </c>
      <c r="U75" s="119" t="n">
        <f aca="false">U74/$C$74</f>
        <v>0.0147161598484073</v>
      </c>
      <c r="V75" s="119" t="n">
        <f aca="false">V74/$C$74</f>
        <v>0.0214826964727532</v>
      </c>
      <c r="W75" s="119" t="n">
        <f aca="false">W74/$C$74</f>
        <v>0.0334922661178856</v>
      </c>
      <c r="X75" s="120" t="n">
        <f aca="false">X74/$C$74</f>
        <v>0.0696911224390461</v>
      </c>
      <c r="Y75" s="119" t="n">
        <f aca="false">Y74/$C$74</f>
        <v>0.0193837231190687</v>
      </c>
      <c r="Z75" s="122" t="n">
        <f aca="false">Z74/$C$74</f>
        <v>0.261303291223496</v>
      </c>
    </row>
    <row r="76" customFormat="false" ht="15" hidden="false" customHeight="false" outlineLevel="0" collapsed="false">
      <c r="B76" s="71" t="s">
        <v>183</v>
      </c>
      <c r="C76" s="114" t="n">
        <f aca="false">I76+T76+X76</f>
        <v>21377.594475</v>
      </c>
      <c r="D76" s="76" t="n">
        <f aca="false">$Z$74*D74/($I$74+$T$74+$X$74)</f>
        <v>5350.26357840028</v>
      </c>
      <c r="E76" s="76" t="n">
        <f aca="false">$Z$74*E74/($I$74+$T$74+$X$74)</f>
        <v>610.980219003162</v>
      </c>
      <c r="F76" s="76" t="n">
        <f aca="false">$Z$74*F74/($I$74+$T$74+$X$74)</f>
        <v>372.520295606857</v>
      </c>
      <c r="G76" s="76" t="n">
        <f aca="false">$Z$74*G74/($I$74+$T$74+$X$74)</f>
        <v>156.041710608721</v>
      </c>
      <c r="H76" s="76" t="n">
        <f aca="false">$Z$74*H74/($I$74+$T$74+$X$74)</f>
        <v>50.8829295890201</v>
      </c>
      <c r="I76" s="115" t="n">
        <f aca="false">SUM(D76:H76)</f>
        <v>6540.68873320804</v>
      </c>
      <c r="J76" s="76" t="n">
        <f aca="false">$Z$74*J74/($I$74+$T$74+$X$74)</f>
        <v>2799.7780747376</v>
      </c>
      <c r="K76" s="76" t="n">
        <f aca="false">$Z$74*K74/($I$74+$T$74+$X$74)</f>
        <v>732.958302085915</v>
      </c>
      <c r="L76" s="76" t="n">
        <f aca="false">$Z$74*L74/($I$74+$T$74+$X$74)</f>
        <v>2938.77888988676</v>
      </c>
      <c r="M76" s="76" t="n">
        <f aca="false">$Z$74*M74/($I$74+$T$74+$X$74)</f>
        <v>565.927738617425</v>
      </c>
      <c r="N76" s="76" t="n">
        <f aca="false">$Z$74*N74/($I$74+$T$74+$X$74)</f>
        <v>478.016915739272</v>
      </c>
      <c r="O76" s="76" t="n">
        <f aca="false">$Z$74*O74/($I$74+$T$74+$X$74)</f>
        <v>332.96405799032</v>
      </c>
      <c r="P76" s="76" t="n">
        <f aca="false">$Z$74*P74/($I$74+$T$74+$X$74)</f>
        <v>278.019793691474</v>
      </c>
      <c r="Q76" s="76" t="n">
        <f aca="false">$Z$74*Q74/($I$74+$T$74+$X$74)</f>
        <v>849.440142399468</v>
      </c>
      <c r="R76" s="76" t="n">
        <f aca="false">$Z$74*R74/($I$74+$T$74+$X$74)</f>
        <v>3670.28048784151</v>
      </c>
      <c r="S76" s="76" t="n">
        <f aca="false">$Z$74*S74/($I$74+$T$74+$X$74)</f>
        <v>119.558719114288</v>
      </c>
      <c r="T76" s="115" t="n">
        <f aca="false">SUM(J76:S76)</f>
        <v>12765.723122104</v>
      </c>
      <c r="U76" s="76" t="n">
        <f aca="false">$Z$74*U74/($I$74+$T$74+$X$74)</f>
        <v>437.35634381881</v>
      </c>
      <c r="V76" s="76" t="n">
        <f aca="false">$Z$74*V74/($I$74+$T$74+$X$74)</f>
        <v>638.454167491901</v>
      </c>
      <c r="W76" s="76" t="n">
        <f aca="false">$Z$74*W74/($I$74+$T$74+$X$74)</f>
        <v>995.372108377201</v>
      </c>
      <c r="X76" s="115" t="n">
        <f aca="false">SUM(U76:W76)</f>
        <v>2071.18261968791</v>
      </c>
      <c r="Y76" s="52"/>
      <c r="Z76" s="74"/>
    </row>
    <row r="77" customFormat="false" ht="15" hidden="false" customHeight="false" outlineLevel="0" collapsed="false">
      <c r="B77" s="71" t="s">
        <v>184</v>
      </c>
      <c r="C77" s="114" t="n">
        <f aca="false">I77+T77+X77</f>
        <v>1585.81</v>
      </c>
      <c r="D77" s="76" t="n">
        <f aca="false">$Y$74*D74/($I$74+$T$74+$X$74)</f>
        <v>396.887568205353</v>
      </c>
      <c r="E77" s="76" t="n">
        <f aca="false">$Y$74*E74/($I$74+$T$74+$X$74)</f>
        <v>45.3230854496039</v>
      </c>
      <c r="F77" s="76" t="n">
        <f aca="false">$Y$74*F74/($I$74+$T$74+$X$74)</f>
        <v>27.6339047719872</v>
      </c>
      <c r="G77" s="76" t="n">
        <f aca="false">$Y$74*G74/($I$74+$T$74+$X$74)</f>
        <v>11.5753203846111</v>
      </c>
      <c r="H77" s="76" t="n">
        <f aca="false">$Y$74*H74/($I$74+$T$74+$X$74)</f>
        <v>3.77454342049231</v>
      </c>
      <c r="I77" s="115" t="n">
        <f aca="false">SUM(D77:H77)</f>
        <v>485.194422232048</v>
      </c>
      <c r="J77" s="76" t="n">
        <f aca="false">$Y$74*J74/($I$74+$T$74+$X$74)</f>
        <v>207.690162421777</v>
      </c>
      <c r="K77" s="76" t="n">
        <f aca="false">$Y$74*K74/($I$74+$T$74+$X$74)</f>
        <v>54.3715340091306</v>
      </c>
      <c r="L77" s="76" t="n">
        <f aca="false">$Y$74*L74/($I$74+$T$74+$X$74)</f>
        <v>218.00137320508</v>
      </c>
      <c r="M77" s="76" t="n">
        <f aca="false">$Y$74*M74/($I$74+$T$74+$X$74)</f>
        <v>41.9810502171526</v>
      </c>
      <c r="N77" s="76" t="n">
        <f aca="false">$Y$74*N74/($I$74+$T$74+$X$74)</f>
        <v>35.4597429582168</v>
      </c>
      <c r="O77" s="76" t="n">
        <f aca="false">$Y$74*O74/($I$74+$T$74+$X$74)</f>
        <v>24.6995859809727</v>
      </c>
      <c r="P77" s="76" t="n">
        <f aca="false">$Y$74*P74/($I$74+$T$74+$X$74)</f>
        <v>20.6237689441378</v>
      </c>
      <c r="Q77" s="76" t="n">
        <f aca="false">$Y$74*Q74/($I$74+$T$74+$X$74)</f>
        <v>63.0122661272206</v>
      </c>
      <c r="R77" s="76" t="n">
        <f aca="false">$Y$74*R74/($I$74+$T$74+$X$74)</f>
        <v>272.264847536077</v>
      </c>
      <c r="S77" s="76" t="n">
        <f aca="false">$Y$74*S74/($I$74+$T$74+$X$74)</f>
        <v>8.86897787215271</v>
      </c>
      <c r="T77" s="115" t="n">
        <f aca="false">SUM(J77:S77)</f>
        <v>946.973309271918</v>
      </c>
      <c r="U77" s="76" t="n">
        <f aca="false">$Y$74*U74/($I$74+$T$74+$X$74)</f>
        <v>32.4435036132057</v>
      </c>
      <c r="V77" s="76" t="n">
        <f aca="false">$Y$74*V74/($I$74+$T$74+$X$74)</f>
        <v>47.3611287057746</v>
      </c>
      <c r="W77" s="76" t="n">
        <f aca="false">$Y$74*W74/($I$74+$T$74+$X$74)</f>
        <v>73.8376361770541</v>
      </c>
      <c r="X77" s="115" t="n">
        <f aca="false">SUM(U77:W77)</f>
        <v>153.642268496034</v>
      </c>
      <c r="Y77" s="52"/>
      <c r="Z77" s="74"/>
    </row>
    <row r="78" customFormat="false" ht="15" hidden="false" customHeight="false" outlineLevel="0" collapsed="false">
      <c r="B78" s="71" t="s">
        <v>185</v>
      </c>
      <c r="C78" s="114" t="n">
        <f aca="false">I78+T78+X78</f>
        <v>41276.664475</v>
      </c>
      <c r="D78" s="76" t="n">
        <f aca="false">D73+D76+D77</f>
        <v>9626.41114660563</v>
      </c>
      <c r="E78" s="76" t="n">
        <f aca="false">E73+E76+E77</f>
        <v>1120.03330445277</v>
      </c>
      <c r="F78" s="76" t="n">
        <f aca="false">F73+F76+F77</f>
        <v>833.634200378844</v>
      </c>
      <c r="G78" s="76" t="n">
        <f aca="false">G73+G76+G77</f>
        <v>383.297030993332</v>
      </c>
      <c r="H78" s="76" t="n">
        <f aca="false">H73+H76+H77</f>
        <v>194.727473009512</v>
      </c>
      <c r="I78" s="115" t="n">
        <f aca="false">SUM(D78:H78)</f>
        <v>12158.1031554401</v>
      </c>
      <c r="J78" s="76" t="n">
        <f aca="false">J73+J76+J77</f>
        <v>5540.09823715938</v>
      </c>
      <c r="K78" s="76" t="n">
        <f aca="false">K73+K76+K77</f>
        <v>1342.71983609505</v>
      </c>
      <c r="L78" s="76" t="n">
        <f aca="false">L73+L76+L77</f>
        <v>6060.56026309184</v>
      </c>
      <c r="M78" s="76" t="n">
        <f aca="false">M73+M76+M77</f>
        <v>1318.78878883458</v>
      </c>
      <c r="N78" s="76" t="n">
        <f aca="false">N73+N76+N77</f>
        <v>918.826658697489</v>
      </c>
      <c r="O78" s="76" t="n">
        <f aca="false">O73+O76+O77</f>
        <v>738.813643971292</v>
      </c>
      <c r="P78" s="76" t="n">
        <f aca="false">P73+P76+P77</f>
        <v>549.723562635612</v>
      </c>
      <c r="Q78" s="76" t="n">
        <f aca="false">Q73+Q76+Q77</f>
        <v>1380.12240852669</v>
      </c>
      <c r="R78" s="76" t="n">
        <f aca="false">R73+R76+R77</f>
        <v>6668.07533537759</v>
      </c>
      <c r="S78" s="76" t="n">
        <f aca="false">S73+S76+S77</f>
        <v>457.547696986441</v>
      </c>
      <c r="T78" s="115" t="n">
        <f aca="false">SUM(J78:S78)</f>
        <v>24975.276431376</v>
      </c>
      <c r="U78" s="76" t="n">
        <f aca="false">U73+U76+U77</f>
        <v>725.109847432016</v>
      </c>
      <c r="V78" s="76" t="n">
        <f aca="false">V73+V76+V77</f>
        <v>1172.84529619768</v>
      </c>
      <c r="W78" s="76" t="n">
        <f aca="false">W73+W76+W77</f>
        <v>2245.32974455426</v>
      </c>
      <c r="X78" s="115" t="n">
        <f aca="false">SUM(U78:W78)</f>
        <v>4143.28488818395</v>
      </c>
      <c r="Y78" s="52"/>
      <c r="Z78" s="74"/>
    </row>
    <row r="79" customFormat="false" ht="15" hidden="false" customHeight="false" outlineLevel="0" collapsed="false">
      <c r="B79" s="71" t="s">
        <v>186</v>
      </c>
      <c r="C79" s="118" t="n">
        <f aca="false">C72/C69</f>
        <v>0.495465764838096</v>
      </c>
      <c r="D79" s="119" t="n">
        <f aca="false">IF(D69=0,0,D72/D69)</f>
        <v>0.529853979915034</v>
      </c>
      <c r="E79" s="119" t="n">
        <f aca="false">IF(E69=0,0,E72/E69)</f>
        <v>0.520986685494271</v>
      </c>
      <c r="F79" s="119" t="n">
        <f aca="false">IF(F69=0,0,F72/F69)</f>
        <v>0.415248563606756</v>
      </c>
      <c r="G79" s="119" t="n">
        <f aca="false">IF(G69=0,0,G72/G69)</f>
        <v>0.358142072064642</v>
      </c>
      <c r="H79" s="119" t="n">
        <f aca="false">IF(H69=0,0,H72/H69)</f>
        <v>0</v>
      </c>
      <c r="I79" s="120" t="n">
        <f aca="false">IF(I69=0,0,I72/I69)</f>
        <v>0.514279761659233</v>
      </c>
      <c r="J79" s="119" t="n">
        <f aca="false">IF(J69=0,0,J72/J69)</f>
        <v>0.48293159263169</v>
      </c>
      <c r="K79" s="119" t="n">
        <f aca="false">IF(K69=0,0,K72/K69)</f>
        <v>0.521316479101106</v>
      </c>
      <c r="L79" s="119" t="n">
        <f aca="false">IF(L69=0,0,L72/L69)</f>
        <v>0.461122757527001</v>
      </c>
      <c r="M79" s="119" t="n">
        <f aca="false">IF(M69=0,0,M72/M69)</f>
        <v>0.391083846980065</v>
      </c>
      <c r="N79" s="119" t="n">
        <f aca="false">IF(N69=0,0,N72/N69)</f>
        <v>0.497735650728016</v>
      </c>
      <c r="O79" s="119" t="n">
        <f aca="false">IF(O69=0,0,O72/O69)</f>
        <v>0.420197925363484</v>
      </c>
      <c r="P79" s="119" t="n">
        <f aca="false">IF(P69=0,0,P72/P69)</f>
        <v>0.483333522875891</v>
      </c>
      <c r="Q79" s="119" t="n">
        <f aca="false">IF(Q69=0,0,Q72/Q69)</f>
        <v>0.575451735195425</v>
      </c>
      <c r="R79" s="119" t="n">
        <f aca="false">IF(R69=0,0,R72/R69)</f>
        <v>0.525272538062325</v>
      </c>
      <c r="S79" s="119" t="n">
        <f aca="false">IF(S69=0,0,S72/S69)</f>
        <v>0</v>
      </c>
      <c r="T79" s="120" t="n">
        <f aca="false">IF(T69=0,0,T72/T69)</f>
        <v>0.488776823593151</v>
      </c>
      <c r="U79" s="119" t="n">
        <f aca="false">IF(U69=0,0,U72/U69)</f>
        <v>0.566777033963246</v>
      </c>
      <c r="V79" s="119" t="n">
        <f aca="false">IF(V69=0,0,V72/V69)</f>
        <v>0.519986678436524</v>
      </c>
      <c r="W79" s="119" t="n">
        <f aca="false">IF(W69=0,0,W72/W69)</f>
        <v>0.410561850820059</v>
      </c>
      <c r="X79" s="120" t="n">
        <f aca="false">IF(X69=0,0,X72/X69)</f>
        <v>0.477279507689305</v>
      </c>
      <c r="Y79" s="52"/>
      <c r="Z79" s="74"/>
    </row>
    <row r="80" customFormat="false" ht="15" hidden="false" customHeight="false" outlineLevel="0" collapsed="false">
      <c r="B80" s="123" t="s">
        <v>9</v>
      </c>
      <c r="C80" s="58"/>
      <c r="D80" s="124" t="s">
        <v>187</v>
      </c>
      <c r="E80" s="58"/>
      <c r="F80" s="58"/>
      <c r="G80" s="58"/>
      <c r="H80" s="58"/>
      <c r="I80" s="58"/>
      <c r="J80" s="124" t="s">
        <v>188</v>
      </c>
      <c r="K80" s="58"/>
      <c r="L80" s="124" t="s">
        <v>189</v>
      </c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125"/>
    </row>
    <row r="82" customFormat="false" ht="15" hidden="false" customHeight="false" outlineLevel="0" collapsed="false">
      <c r="B82" s="87" t="s">
        <v>190</v>
      </c>
      <c r="D82" s="126" t="n">
        <v>16515</v>
      </c>
      <c r="E82" s="127" t="n">
        <f aca="false">$D$82*$F$54</f>
        <v>4995.7875</v>
      </c>
    </row>
    <row r="84" customFormat="false" ht="15" hidden="false" customHeight="false" outlineLevel="0" collapsed="false">
      <c r="B84" s="108" t="s">
        <v>121</v>
      </c>
      <c r="C84" s="110" t="s">
        <v>135</v>
      </c>
      <c r="D84" s="109" t="s">
        <v>191</v>
      </c>
      <c r="E84" s="113" t="s">
        <v>192</v>
      </c>
    </row>
    <row r="85" customFormat="false" ht="15" hidden="false" customHeight="false" outlineLevel="0" collapsed="false">
      <c r="B85" s="51" t="s">
        <v>122</v>
      </c>
      <c r="C85" s="81" t="n">
        <f aca="false">$E$60/$C$69</f>
        <v>0.281234245065991</v>
      </c>
      <c r="D85" s="102" t="n">
        <f aca="false">C85*$D$82</f>
        <v>4644.58355726485</v>
      </c>
      <c r="E85" s="79" t="n">
        <f aca="false">C85*$E$82</f>
        <v>1404.98652607262</v>
      </c>
    </row>
    <row r="86" customFormat="false" ht="15" hidden="false" customHeight="false" outlineLevel="0" collapsed="false">
      <c r="B86" s="51" t="s">
        <v>193</v>
      </c>
      <c r="C86" s="81" t="n">
        <f aca="false">$E$61/$C$69</f>
        <v>0.16525696578149</v>
      </c>
      <c r="D86" s="102" t="n">
        <f aca="false">C86*$D$82</f>
        <v>2729.2187898813</v>
      </c>
      <c r="E86" s="79" t="n">
        <f aca="false">C86*$E$82</f>
        <v>825.588683939094</v>
      </c>
    </row>
    <row r="87" customFormat="false" ht="15" hidden="false" customHeight="false" outlineLevel="0" collapsed="false">
      <c r="B87" s="51" t="s">
        <v>124</v>
      </c>
      <c r="C87" s="81" t="n">
        <f aca="false">$E$62/$C$69</f>
        <v>0.260210916587882</v>
      </c>
      <c r="D87" s="102" t="n">
        <f aca="false">C87*$D$82</f>
        <v>4297.38328744886</v>
      </c>
      <c r="E87" s="79" t="n">
        <f aca="false">C87*$E$82</f>
        <v>1299.95844445328</v>
      </c>
    </row>
    <row r="88" customFormat="false" ht="15" hidden="false" customHeight="false" outlineLevel="0" collapsed="false">
      <c r="B88" s="51" t="s">
        <v>125</v>
      </c>
      <c r="C88" s="81" t="n">
        <f aca="false">$E$63/$C$69</f>
        <v>0.171687557882484</v>
      </c>
      <c r="D88" s="102" t="n">
        <f aca="false">C88*$D$82</f>
        <v>2835.42001842922</v>
      </c>
      <c r="E88" s="79" t="n">
        <f aca="false">C88*$E$82</f>
        <v>857.714555574838</v>
      </c>
    </row>
    <row r="89" customFormat="false" ht="15" hidden="false" customHeight="false" outlineLevel="0" collapsed="false">
      <c r="B89" s="51" t="s">
        <v>126</v>
      </c>
      <c r="C89" s="81" t="n">
        <f aca="false">$E$64/$C$69</f>
        <v>0.121610314682154</v>
      </c>
      <c r="D89" s="102" t="n">
        <f aca="false">C89*$D$82</f>
        <v>2008.39434697577</v>
      </c>
      <c r="E89" s="79" t="n">
        <f aca="false">C89*$E$82</f>
        <v>607.53928996017</v>
      </c>
    </row>
    <row r="90" customFormat="false" ht="15" hidden="false" customHeight="false" outlineLevel="0" collapsed="false">
      <c r="B90" s="123" t="s">
        <v>155</v>
      </c>
      <c r="C90" s="128" t="n">
        <f aca="false">SUM(C85:C89)</f>
        <v>1</v>
      </c>
      <c r="D90" s="96" t="n">
        <f aca="false">SUM(D85:D89)</f>
        <v>16515</v>
      </c>
      <c r="E90" s="97" t="n">
        <f aca="false">SUM(E85:E89)</f>
        <v>4995.7875</v>
      </c>
    </row>
    <row r="92" customFormat="false" ht="15" hidden="false" customHeight="false" outlineLevel="0" collapsed="false">
      <c r="A92" s="61" t="s">
        <v>194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customFormat="false" ht="15" hidden="false" customHeight="false" outlineLevel="0" collapsed="false">
      <c r="B93" s="129" t="s">
        <v>195</v>
      </c>
    </row>
    <row r="95" customFormat="false" ht="15" hidden="false" customHeight="false" outlineLevel="0" collapsed="false">
      <c r="A95" s="130" t="s">
        <v>122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customFormat="false" ht="15" hidden="false" customHeight="false" outlineLevel="0" collapsed="false">
      <c r="B96" s="131" t="s">
        <v>196</v>
      </c>
      <c r="C96" s="91" t="s">
        <v>197</v>
      </c>
      <c r="D96" s="91" t="s">
        <v>198</v>
      </c>
      <c r="E96" s="132" t="n">
        <v>270</v>
      </c>
      <c r="G96" s="108" t="s">
        <v>199</v>
      </c>
      <c r="H96" s="109" t="s">
        <v>200</v>
      </c>
      <c r="I96" s="109" t="s">
        <v>201</v>
      </c>
      <c r="J96" s="113" t="s">
        <v>202</v>
      </c>
    </row>
    <row r="97" customFormat="false" ht="15" hidden="false" customHeight="false" outlineLevel="0" collapsed="false">
      <c r="B97" s="78"/>
      <c r="C97" s="75" t="s">
        <v>199</v>
      </c>
      <c r="D97" s="75" t="s">
        <v>203</v>
      </c>
      <c r="E97" s="133" t="n">
        <v>2000</v>
      </c>
      <c r="G97" s="51" t="s">
        <v>204</v>
      </c>
      <c r="H97" s="134" t="n">
        <v>46477</v>
      </c>
      <c r="I97" s="135" t="n">
        <v>0.1</v>
      </c>
      <c r="J97" s="136" t="n">
        <f aca="false">EOMONTH(H97,0)</f>
        <v>46477</v>
      </c>
    </row>
    <row r="98" customFormat="false" ht="15" hidden="false" customHeight="false" outlineLevel="0" collapsed="false">
      <c r="B98" s="78"/>
      <c r="C98" s="75" t="s">
        <v>205</v>
      </c>
      <c r="D98" s="75" t="s">
        <v>21</v>
      </c>
      <c r="E98" s="137" t="n">
        <f aca="false">$E$96*$E$97</f>
        <v>540000</v>
      </c>
      <c r="G98" s="51" t="s">
        <v>206</v>
      </c>
      <c r="H98" s="134" t="n">
        <v>46842</v>
      </c>
      <c r="I98" s="135" t="n">
        <v>0.2</v>
      </c>
      <c r="J98" s="136" t="n">
        <f aca="false">EOMONTH(H98,0)</f>
        <v>46843</v>
      </c>
    </row>
    <row r="99" customFormat="false" ht="15" hidden="false" customHeight="false" outlineLevel="0" collapsed="false">
      <c r="B99" s="78"/>
      <c r="C99" s="75" t="s">
        <v>207</v>
      </c>
      <c r="D99" s="75" t="s">
        <v>208</v>
      </c>
      <c r="E99" s="133" t="n">
        <v>0</v>
      </c>
      <c r="G99" s="51" t="s">
        <v>209</v>
      </c>
      <c r="H99" s="134" t="n">
        <v>47208</v>
      </c>
      <c r="I99" s="135" t="n">
        <v>0.2</v>
      </c>
      <c r="J99" s="136" t="n">
        <f aca="false">EOMONTH(H99,0)</f>
        <v>47208</v>
      </c>
    </row>
    <row r="100" customFormat="false" ht="15" hidden="false" customHeight="false" outlineLevel="0" collapsed="false">
      <c r="B100" s="78"/>
      <c r="C100" s="75" t="s">
        <v>210</v>
      </c>
      <c r="D100" s="75" t="s">
        <v>208</v>
      </c>
      <c r="E100" s="133" t="n">
        <v>6000</v>
      </c>
      <c r="G100" s="51" t="s">
        <v>211</v>
      </c>
      <c r="H100" s="134" t="n">
        <v>47573</v>
      </c>
      <c r="I100" s="135" t="n">
        <v>0.2</v>
      </c>
      <c r="J100" s="136" t="n">
        <f aca="false">EOMONTH(H100,0)</f>
        <v>47573</v>
      </c>
    </row>
    <row r="101" customFormat="false" ht="15" hidden="false" customHeight="false" outlineLevel="0" collapsed="false">
      <c r="B101" s="78"/>
      <c r="C101" s="75" t="s">
        <v>212</v>
      </c>
      <c r="D101" s="72" t="s">
        <v>16</v>
      </c>
      <c r="E101" s="138" t="n">
        <v>0.02</v>
      </c>
      <c r="G101" s="51" t="s">
        <v>213</v>
      </c>
      <c r="H101" s="134" t="n">
        <v>47938</v>
      </c>
      <c r="I101" s="135" t="n">
        <v>0.3</v>
      </c>
      <c r="J101" s="136" t="n">
        <f aca="false">EOMONTH(H101,0)</f>
        <v>47938</v>
      </c>
    </row>
    <row r="102" customFormat="false" ht="15" hidden="false" customHeight="false" outlineLevel="0" collapsed="false">
      <c r="B102" s="78"/>
      <c r="C102" s="75" t="s">
        <v>214</v>
      </c>
      <c r="D102" s="75" t="s">
        <v>215</v>
      </c>
      <c r="E102" s="139" t="n">
        <v>12</v>
      </c>
      <c r="G102" s="123" t="s">
        <v>155</v>
      </c>
      <c r="H102" s="58"/>
      <c r="I102" s="140" t="n">
        <f aca="false">SUM(I97:I101)</f>
        <v>1</v>
      </c>
      <c r="J102" s="125"/>
    </row>
    <row r="103" customFormat="false" ht="15" hidden="false" customHeight="false" outlineLevel="0" collapsed="false">
      <c r="B103" s="78"/>
      <c r="C103" s="75" t="s">
        <v>216</v>
      </c>
      <c r="D103" s="72" t="s">
        <v>16</v>
      </c>
      <c r="E103" s="138" t="n">
        <v>0.02</v>
      </c>
    </row>
    <row r="104" customFormat="false" ht="15" hidden="false" customHeight="false" outlineLevel="0" collapsed="false">
      <c r="B104" s="78"/>
      <c r="C104" s="75" t="s">
        <v>217</v>
      </c>
      <c r="D104" s="72" t="s">
        <v>218</v>
      </c>
      <c r="E104" s="138" t="n">
        <v>0.8</v>
      </c>
    </row>
    <row r="105" customFormat="false" ht="15" hidden="false" customHeight="false" outlineLevel="0" collapsed="false">
      <c r="B105" s="78"/>
      <c r="C105" s="52"/>
      <c r="D105" s="72" t="s">
        <v>219</v>
      </c>
      <c r="E105" s="138" t="n">
        <v>1</v>
      </c>
    </row>
    <row r="106" customFormat="false" ht="15" hidden="false" customHeight="false" outlineLevel="0" collapsed="false">
      <c r="B106" s="78"/>
      <c r="C106" s="52"/>
      <c r="D106" s="72" t="s">
        <v>220</v>
      </c>
      <c r="E106" s="138" t="n">
        <v>1</v>
      </c>
    </row>
    <row r="107" customFormat="false" ht="15" hidden="false" customHeight="false" outlineLevel="0" collapsed="false">
      <c r="B107" s="78"/>
      <c r="C107" s="75" t="s">
        <v>221</v>
      </c>
      <c r="D107" s="75" t="s">
        <v>222</v>
      </c>
      <c r="E107" s="138" t="n">
        <v>0.15</v>
      </c>
    </row>
    <row r="108" customFormat="false" ht="15" hidden="false" customHeight="false" outlineLevel="0" collapsed="false">
      <c r="B108" s="71" t="s">
        <v>223</v>
      </c>
      <c r="C108" s="72" t="s">
        <v>224</v>
      </c>
      <c r="D108" s="75" t="s">
        <v>225</v>
      </c>
      <c r="E108" s="133" t="n">
        <v>200</v>
      </c>
    </row>
    <row r="109" customFormat="false" ht="15" hidden="false" customHeight="false" outlineLevel="0" collapsed="false">
      <c r="B109" s="78"/>
      <c r="C109" s="72" t="s">
        <v>226</v>
      </c>
      <c r="D109" s="72" t="s">
        <v>16</v>
      </c>
      <c r="E109" s="138" t="n">
        <v>0.9</v>
      </c>
    </row>
    <row r="110" customFormat="false" ht="15" hidden="false" customHeight="false" outlineLevel="0" collapsed="false">
      <c r="B110" s="78"/>
      <c r="C110" s="75" t="s">
        <v>227</v>
      </c>
      <c r="D110" s="75" t="s">
        <v>228</v>
      </c>
      <c r="E110" s="138" t="n">
        <v>0.75</v>
      </c>
    </row>
    <row r="111" customFormat="false" ht="15" hidden="false" customHeight="false" outlineLevel="0" collapsed="false">
      <c r="B111" s="83"/>
      <c r="C111" s="84" t="s">
        <v>229</v>
      </c>
      <c r="D111" s="84" t="s">
        <v>228</v>
      </c>
      <c r="E111" s="85" t="n">
        <v>0.04</v>
      </c>
    </row>
    <row r="113" customFormat="false" ht="15" hidden="false" customHeight="false" outlineLevel="0" collapsed="false">
      <c r="A113" s="130" t="s">
        <v>230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customFormat="false" ht="15" hidden="false" customHeight="false" outlineLevel="0" collapsed="false">
      <c r="B114" s="131" t="s">
        <v>196</v>
      </c>
      <c r="C114" s="91" t="s">
        <v>199</v>
      </c>
      <c r="D114" s="91" t="s">
        <v>21</v>
      </c>
      <c r="E114" s="132" t="n">
        <v>1500</v>
      </c>
    </row>
    <row r="115" customFormat="false" ht="15" hidden="false" customHeight="false" outlineLevel="0" collapsed="false">
      <c r="B115" s="78"/>
      <c r="C115" s="75" t="s">
        <v>231</v>
      </c>
      <c r="D115" s="75" t="s">
        <v>232</v>
      </c>
      <c r="E115" s="133" t="n">
        <v>120</v>
      </c>
    </row>
    <row r="116" customFormat="false" ht="15" hidden="false" customHeight="false" outlineLevel="0" collapsed="false">
      <c r="B116" s="78"/>
      <c r="C116" s="75" t="s">
        <v>180</v>
      </c>
      <c r="D116" s="75" t="s">
        <v>14</v>
      </c>
      <c r="E116" s="79" t="n">
        <f aca="false">$E$72</f>
        <v>1218.17</v>
      </c>
    </row>
    <row r="117" customFormat="false" ht="15" hidden="false" customHeight="false" outlineLevel="0" collapsed="false">
      <c r="B117" s="78"/>
      <c r="C117" s="75" t="s">
        <v>233</v>
      </c>
      <c r="D117" s="75" t="s">
        <v>234</v>
      </c>
      <c r="E117" s="137" t="n">
        <f aca="false">$E$115*$E$116/1000</f>
        <v>146.1804</v>
      </c>
    </row>
    <row r="118" customFormat="false" ht="15" hidden="false" customHeight="false" outlineLevel="0" collapsed="false">
      <c r="B118" s="78"/>
      <c r="C118" s="75" t="s">
        <v>212</v>
      </c>
      <c r="D118" s="72" t="s">
        <v>16</v>
      </c>
      <c r="E118" s="138" t="n">
        <v>0.02</v>
      </c>
    </row>
    <row r="119" customFormat="false" ht="15" hidden="false" customHeight="false" outlineLevel="0" collapsed="false">
      <c r="B119" s="78"/>
      <c r="C119" s="75" t="s">
        <v>214</v>
      </c>
      <c r="D119" s="75" t="s">
        <v>215</v>
      </c>
      <c r="E119" s="139" t="n">
        <v>12</v>
      </c>
    </row>
    <row r="120" customFormat="false" ht="15" hidden="false" customHeight="false" outlineLevel="0" collapsed="false">
      <c r="B120" s="83"/>
      <c r="C120" s="84" t="s">
        <v>216</v>
      </c>
      <c r="D120" s="141" t="s">
        <v>16</v>
      </c>
      <c r="E120" s="85" t="n">
        <v>0.02</v>
      </c>
    </row>
    <row r="122" customFormat="false" ht="15" hidden="false" customHeight="false" outlineLevel="0" collapsed="false">
      <c r="A122" s="130" t="s">
        <v>235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customFormat="false" ht="15" hidden="false" customHeight="false" outlineLevel="0" collapsed="false">
      <c r="B123" s="108" t="s">
        <v>236</v>
      </c>
      <c r="C123" s="109" t="s">
        <v>237</v>
      </c>
      <c r="D123" s="109" t="s">
        <v>238</v>
      </c>
      <c r="E123" s="109" t="s">
        <v>239</v>
      </c>
      <c r="F123" s="110" t="s">
        <v>240</v>
      </c>
      <c r="G123" s="142" t="s">
        <v>241</v>
      </c>
      <c r="I123" s="108" t="s">
        <v>199</v>
      </c>
      <c r="J123" s="109" t="s">
        <v>200</v>
      </c>
      <c r="K123" s="109" t="s">
        <v>201</v>
      </c>
      <c r="L123" s="113" t="s">
        <v>202</v>
      </c>
    </row>
    <row r="124" customFormat="false" ht="15" hidden="false" customHeight="false" outlineLevel="0" collapsed="false">
      <c r="B124" s="143" t="s">
        <v>242</v>
      </c>
      <c r="C124" s="144" t="n">
        <v>39</v>
      </c>
      <c r="D124" s="144" t="n">
        <v>24</v>
      </c>
      <c r="E124" s="144" t="n">
        <v>2364</v>
      </c>
      <c r="F124" s="144" t="n">
        <v>530888</v>
      </c>
      <c r="G124" s="137" t="n">
        <f aca="false">D124*F124</f>
        <v>12741312</v>
      </c>
      <c r="I124" s="51" t="s">
        <v>204</v>
      </c>
      <c r="J124" s="134" t="n">
        <v>46477</v>
      </c>
      <c r="K124" s="135" t="n">
        <v>0.1</v>
      </c>
      <c r="L124" s="136" t="n">
        <f aca="false">EOMONTH(J124,0)</f>
        <v>46477</v>
      </c>
    </row>
    <row r="125" customFormat="false" ht="15" hidden="false" customHeight="false" outlineLevel="0" collapsed="false">
      <c r="B125" s="143" t="s">
        <v>243</v>
      </c>
      <c r="C125" s="144" t="n">
        <v>43</v>
      </c>
      <c r="D125" s="144" t="n">
        <v>24</v>
      </c>
      <c r="E125" s="144" t="n">
        <v>2592</v>
      </c>
      <c r="F125" s="144" t="n">
        <v>583976</v>
      </c>
      <c r="G125" s="137" t="n">
        <f aca="false">D125*F125</f>
        <v>14015424</v>
      </c>
      <c r="I125" s="51" t="s">
        <v>206</v>
      </c>
      <c r="J125" s="134" t="n">
        <v>46842</v>
      </c>
      <c r="K125" s="135" t="n">
        <v>0.2</v>
      </c>
      <c r="L125" s="136" t="n">
        <f aca="false">EOMONTH(J125,0)</f>
        <v>46843</v>
      </c>
    </row>
    <row r="126" customFormat="false" ht="15" hidden="false" customHeight="false" outlineLevel="0" collapsed="false">
      <c r="B126" s="143" t="s">
        <v>244</v>
      </c>
      <c r="C126" s="144" t="n">
        <v>61</v>
      </c>
      <c r="D126" s="144" t="n">
        <v>40</v>
      </c>
      <c r="E126" s="144" t="n">
        <v>3636</v>
      </c>
      <c r="F126" s="144" t="n">
        <v>816750</v>
      </c>
      <c r="G126" s="137" t="n">
        <f aca="false">D126*F126</f>
        <v>32670000</v>
      </c>
      <c r="I126" s="51" t="s">
        <v>209</v>
      </c>
      <c r="J126" s="134" t="n">
        <v>47208</v>
      </c>
      <c r="K126" s="135" t="n">
        <v>0.2</v>
      </c>
      <c r="L126" s="136" t="n">
        <f aca="false">EOMONTH(J126,0)</f>
        <v>47208</v>
      </c>
    </row>
    <row r="127" customFormat="false" ht="15" hidden="false" customHeight="false" outlineLevel="0" collapsed="false">
      <c r="B127" s="143" t="s">
        <v>245</v>
      </c>
      <c r="C127" s="144" t="n">
        <v>157</v>
      </c>
      <c r="D127" s="144" t="n">
        <v>3</v>
      </c>
      <c r="E127" s="144" t="n">
        <v>9444</v>
      </c>
      <c r="F127" s="144" t="n">
        <v>2123550</v>
      </c>
      <c r="G127" s="137" t="n">
        <f aca="false">D127*F127</f>
        <v>6370650</v>
      </c>
      <c r="I127" s="51" t="s">
        <v>211</v>
      </c>
      <c r="J127" s="134" t="n">
        <v>47573</v>
      </c>
      <c r="K127" s="135" t="n">
        <v>0.2</v>
      </c>
      <c r="L127" s="136" t="n">
        <f aca="false">EOMONTH(J127,0)</f>
        <v>47573</v>
      </c>
    </row>
    <row r="128" customFormat="false" ht="15" hidden="false" customHeight="false" outlineLevel="0" collapsed="false">
      <c r="B128" s="143" t="s">
        <v>246</v>
      </c>
      <c r="C128" s="144" t="n">
        <v>301</v>
      </c>
      <c r="D128" s="144" t="n">
        <v>1</v>
      </c>
      <c r="E128" s="144" t="n">
        <v>18036</v>
      </c>
      <c r="F128" s="144" t="n">
        <v>4059248</v>
      </c>
      <c r="G128" s="137" t="n">
        <f aca="false">D128*F128</f>
        <v>4059248</v>
      </c>
      <c r="I128" s="51" t="s">
        <v>213</v>
      </c>
      <c r="J128" s="134" t="n">
        <v>47938</v>
      </c>
      <c r="K128" s="135" t="n">
        <v>0.3</v>
      </c>
      <c r="L128" s="136" t="n">
        <f aca="false">EOMONTH(J128,0)</f>
        <v>47938</v>
      </c>
    </row>
    <row r="129" customFormat="false" ht="15" hidden="false" customHeight="false" outlineLevel="0" collapsed="false">
      <c r="A129" s="145"/>
      <c r="B129" s="146" t="s">
        <v>155</v>
      </c>
      <c r="C129" s="147" t="n">
        <f aca="false">SUMPRODUCT(C124:C128,D124:D128)</f>
        <v>5180</v>
      </c>
      <c r="D129" s="147" t="n">
        <f aca="false">SUM(D124:D128)</f>
        <v>92</v>
      </c>
      <c r="E129" s="147" t="n">
        <f aca="false">SUMPRODUCT(D124:D128,E124:E128)</f>
        <v>310752</v>
      </c>
      <c r="F129" s="147" t="n">
        <f aca="false">G129/D129</f>
        <v>759311.239130435</v>
      </c>
      <c r="G129" s="147" t="n">
        <f aca="false">SUM(G124:G128)</f>
        <v>69856634</v>
      </c>
      <c r="I129" s="123" t="s">
        <v>155</v>
      </c>
      <c r="J129" s="58"/>
      <c r="K129" s="140" t="n">
        <f aca="false">SUM(K124:K128)</f>
        <v>1</v>
      </c>
      <c r="L129" s="125"/>
    </row>
    <row r="130" customFormat="false" ht="15" hidden="false" customHeight="false" outlineLevel="0" collapsed="false">
      <c r="B130" s="131" t="s">
        <v>247</v>
      </c>
      <c r="C130" s="91" t="s">
        <v>212</v>
      </c>
      <c r="D130" s="148" t="s">
        <v>16</v>
      </c>
      <c r="E130" s="149" t="n">
        <v>0.02</v>
      </c>
    </row>
    <row r="131" customFormat="false" ht="15" hidden="false" customHeight="false" outlineLevel="0" collapsed="false">
      <c r="B131" s="78"/>
      <c r="C131" s="75" t="s">
        <v>214</v>
      </c>
      <c r="D131" s="75" t="s">
        <v>215</v>
      </c>
      <c r="E131" s="139" t="n">
        <v>12</v>
      </c>
    </row>
    <row r="132" customFormat="false" ht="15" hidden="false" customHeight="false" outlineLevel="0" collapsed="false">
      <c r="B132" s="78"/>
      <c r="C132" s="75" t="s">
        <v>216</v>
      </c>
      <c r="D132" s="72" t="s">
        <v>16</v>
      </c>
      <c r="E132" s="138" t="n">
        <v>0.02</v>
      </c>
    </row>
    <row r="133" customFormat="false" ht="15" hidden="false" customHeight="false" outlineLevel="0" collapsed="false">
      <c r="B133" s="78"/>
      <c r="C133" s="75" t="s">
        <v>217</v>
      </c>
      <c r="D133" s="72" t="s">
        <v>218</v>
      </c>
      <c r="E133" s="138" t="n">
        <v>0.8</v>
      </c>
    </row>
    <row r="134" customFormat="false" ht="15" hidden="false" customHeight="false" outlineLevel="0" collapsed="false">
      <c r="B134" s="78"/>
      <c r="C134" s="52"/>
      <c r="D134" s="72" t="s">
        <v>219</v>
      </c>
      <c r="E134" s="138" t="n">
        <v>1</v>
      </c>
    </row>
    <row r="135" customFormat="false" ht="15" hidden="false" customHeight="false" outlineLevel="0" collapsed="false">
      <c r="B135" s="78"/>
      <c r="C135" s="52"/>
      <c r="D135" s="72" t="s">
        <v>220</v>
      </c>
      <c r="E135" s="138" t="n">
        <v>1</v>
      </c>
    </row>
    <row r="136" customFormat="false" ht="15" hidden="false" customHeight="false" outlineLevel="0" collapsed="false">
      <c r="B136" s="78"/>
      <c r="C136" s="72" t="s">
        <v>226</v>
      </c>
      <c r="D136" s="72" t="s">
        <v>218</v>
      </c>
      <c r="E136" s="138" t="n">
        <v>0.65</v>
      </c>
    </row>
    <row r="137" customFormat="false" ht="15" hidden="false" customHeight="false" outlineLevel="0" collapsed="false">
      <c r="B137" s="78"/>
      <c r="C137" s="52"/>
      <c r="D137" s="72" t="s">
        <v>219</v>
      </c>
      <c r="E137" s="138" t="n">
        <v>0.75</v>
      </c>
    </row>
    <row r="138" customFormat="false" ht="15" hidden="false" customHeight="false" outlineLevel="0" collapsed="false">
      <c r="B138" s="78"/>
      <c r="C138" s="52"/>
      <c r="D138" s="72" t="s">
        <v>220</v>
      </c>
      <c r="E138" s="138" t="n">
        <v>0.75</v>
      </c>
    </row>
    <row r="139" customFormat="false" ht="15" hidden="false" customHeight="false" outlineLevel="0" collapsed="false">
      <c r="B139" s="78"/>
      <c r="C139" s="75" t="s">
        <v>248</v>
      </c>
      <c r="D139" s="75" t="s">
        <v>249</v>
      </c>
      <c r="E139" s="138" t="n">
        <v>0.667</v>
      </c>
    </row>
    <row r="140" customFormat="false" ht="15" hidden="false" customHeight="false" outlineLevel="0" collapsed="false">
      <c r="B140" s="71" t="s">
        <v>223</v>
      </c>
      <c r="C140" s="75" t="s">
        <v>227</v>
      </c>
      <c r="D140" s="75" t="s">
        <v>228</v>
      </c>
      <c r="E140" s="138" t="n">
        <v>0.75</v>
      </c>
    </row>
    <row r="141" customFormat="false" ht="15" hidden="false" customHeight="false" outlineLevel="0" collapsed="false">
      <c r="B141" s="83"/>
      <c r="C141" s="84" t="s">
        <v>229</v>
      </c>
      <c r="D141" s="84" t="s">
        <v>228</v>
      </c>
      <c r="E141" s="85" t="n">
        <v>0.04</v>
      </c>
    </row>
    <row r="143" customFormat="false" ht="15" hidden="false" customHeight="false" outlineLevel="0" collapsed="false">
      <c r="A143" s="130" t="s">
        <v>250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customFormat="false" ht="15" hidden="false" customHeight="false" outlineLevel="0" collapsed="false">
      <c r="B144" s="131" t="s">
        <v>247</v>
      </c>
      <c r="C144" s="91" t="s">
        <v>249</v>
      </c>
      <c r="D144" s="148" t="s">
        <v>16</v>
      </c>
      <c r="E144" s="149" t="n">
        <v>0.365</v>
      </c>
    </row>
    <row r="145" customFormat="false" ht="15" hidden="false" customHeight="false" outlineLevel="0" collapsed="false">
      <c r="B145" s="123" t="s">
        <v>223</v>
      </c>
      <c r="C145" s="84" t="s">
        <v>251</v>
      </c>
      <c r="D145" s="141" t="s">
        <v>16</v>
      </c>
      <c r="E145" s="85" t="n">
        <v>0.75</v>
      </c>
    </row>
    <row r="147" customFormat="false" ht="15" hidden="false" customHeight="false" outlineLevel="0" collapsed="false">
      <c r="A147" s="130" t="s">
        <v>124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customFormat="false" ht="15" hidden="false" customHeight="false" outlineLevel="0" collapsed="false">
      <c r="B148" s="131" t="s">
        <v>196</v>
      </c>
      <c r="C148" s="91" t="s">
        <v>252</v>
      </c>
      <c r="D148" s="91" t="s">
        <v>253</v>
      </c>
      <c r="E148" s="132" t="n">
        <v>257</v>
      </c>
    </row>
    <row r="149" customFormat="false" ht="15" hidden="false" customHeight="false" outlineLevel="0" collapsed="false">
      <c r="B149" s="78"/>
      <c r="C149" s="75" t="s">
        <v>199</v>
      </c>
      <c r="D149" s="75" t="s">
        <v>254</v>
      </c>
      <c r="E149" s="133" t="n">
        <v>50</v>
      </c>
    </row>
    <row r="150" customFormat="false" ht="15" hidden="false" customHeight="false" outlineLevel="0" collapsed="false">
      <c r="B150" s="78"/>
      <c r="C150" s="75" t="s">
        <v>255</v>
      </c>
      <c r="D150" s="75" t="s">
        <v>256</v>
      </c>
      <c r="E150" s="133" t="n">
        <v>1320</v>
      </c>
    </row>
    <row r="151" customFormat="false" ht="15" hidden="false" customHeight="false" outlineLevel="0" collapsed="false">
      <c r="B151" s="78"/>
      <c r="C151" s="75" t="s">
        <v>205</v>
      </c>
      <c r="D151" s="75" t="s">
        <v>21</v>
      </c>
      <c r="E151" s="137" t="n">
        <f aca="false">$E$149*$E$150</f>
        <v>66000</v>
      </c>
    </row>
    <row r="152" customFormat="false" ht="15" hidden="false" customHeight="false" outlineLevel="0" collapsed="false">
      <c r="B152" s="78"/>
      <c r="C152" s="75" t="s">
        <v>207</v>
      </c>
      <c r="D152" s="75" t="s">
        <v>208</v>
      </c>
      <c r="E152" s="133" t="n">
        <v>0</v>
      </c>
    </row>
    <row r="153" customFormat="false" ht="15" hidden="false" customHeight="false" outlineLevel="0" collapsed="false">
      <c r="B153" s="78"/>
      <c r="C153" s="75" t="s">
        <v>212</v>
      </c>
      <c r="D153" s="72" t="s">
        <v>16</v>
      </c>
      <c r="E153" s="138" t="n">
        <v>0.02</v>
      </c>
    </row>
    <row r="154" customFormat="false" ht="15" hidden="false" customHeight="false" outlineLevel="0" collapsed="false">
      <c r="B154" s="78"/>
      <c r="C154" s="75" t="s">
        <v>214</v>
      </c>
      <c r="D154" s="75" t="s">
        <v>215</v>
      </c>
      <c r="E154" s="139" t="n">
        <v>12</v>
      </c>
    </row>
    <row r="155" customFormat="false" ht="15" hidden="false" customHeight="false" outlineLevel="0" collapsed="false">
      <c r="B155" s="78"/>
      <c r="C155" s="75" t="s">
        <v>216</v>
      </c>
      <c r="D155" s="72" t="s">
        <v>16</v>
      </c>
      <c r="E155" s="138" t="n">
        <v>0.02</v>
      </c>
    </row>
    <row r="156" customFormat="false" ht="15" hidden="false" customHeight="false" outlineLevel="0" collapsed="false">
      <c r="B156" s="78"/>
      <c r="C156" s="75" t="s">
        <v>257</v>
      </c>
      <c r="D156" s="72" t="s">
        <v>218</v>
      </c>
      <c r="E156" s="138" t="n">
        <v>0.6</v>
      </c>
    </row>
    <row r="157" customFormat="false" ht="15" hidden="false" customHeight="false" outlineLevel="0" collapsed="false">
      <c r="B157" s="78"/>
      <c r="C157" s="52"/>
      <c r="D157" s="72" t="s">
        <v>219</v>
      </c>
      <c r="E157" s="138" t="n">
        <v>0.8</v>
      </c>
    </row>
    <row r="158" customFormat="false" ht="15" hidden="false" customHeight="false" outlineLevel="0" collapsed="false">
      <c r="B158" s="78"/>
      <c r="C158" s="52"/>
      <c r="D158" s="72" t="s">
        <v>220</v>
      </c>
      <c r="E158" s="138" t="n">
        <v>1</v>
      </c>
    </row>
    <row r="159" customFormat="false" ht="15" hidden="false" customHeight="false" outlineLevel="0" collapsed="false">
      <c r="B159" s="78"/>
      <c r="C159" s="72" t="s">
        <v>224</v>
      </c>
      <c r="D159" s="75" t="s">
        <v>258</v>
      </c>
      <c r="E159" s="133" t="n">
        <v>600000</v>
      </c>
    </row>
    <row r="160" customFormat="false" ht="15" hidden="false" customHeight="false" outlineLevel="0" collapsed="false">
      <c r="B160" s="78"/>
      <c r="C160" s="72" t="s">
        <v>226</v>
      </c>
      <c r="D160" s="72" t="s">
        <v>218</v>
      </c>
      <c r="E160" s="138" t="n">
        <v>0.65</v>
      </c>
    </row>
    <row r="161" customFormat="false" ht="15" hidden="false" customHeight="false" outlineLevel="0" collapsed="false">
      <c r="B161" s="78"/>
      <c r="C161" s="52"/>
      <c r="D161" s="72" t="s">
        <v>219</v>
      </c>
      <c r="E161" s="138" t="n">
        <v>0.75</v>
      </c>
    </row>
    <row r="162" customFormat="false" ht="15" hidden="false" customHeight="false" outlineLevel="0" collapsed="false">
      <c r="B162" s="78"/>
      <c r="C162" s="52"/>
      <c r="D162" s="72" t="s">
        <v>220</v>
      </c>
      <c r="E162" s="138" t="n">
        <v>0.75</v>
      </c>
    </row>
    <row r="163" customFormat="false" ht="15" hidden="false" customHeight="false" outlineLevel="0" collapsed="false">
      <c r="B163" s="78"/>
      <c r="C163" s="75" t="s">
        <v>259</v>
      </c>
      <c r="D163" s="72" t="s">
        <v>16</v>
      </c>
      <c r="E163" s="138" t="n">
        <v>0.45</v>
      </c>
    </row>
    <row r="164" customFormat="false" ht="15" hidden="false" customHeight="false" outlineLevel="0" collapsed="false">
      <c r="B164" s="78"/>
      <c r="C164" s="75" t="s">
        <v>260</v>
      </c>
      <c r="D164" s="72" t="s">
        <v>16</v>
      </c>
      <c r="E164" s="138" t="n">
        <v>0.06</v>
      </c>
    </row>
    <row r="165" customFormat="false" ht="15" hidden="false" customHeight="false" outlineLevel="0" collapsed="false">
      <c r="B165" s="71" t="s">
        <v>223</v>
      </c>
      <c r="C165" s="75" t="s">
        <v>227</v>
      </c>
      <c r="D165" s="75" t="s">
        <v>228</v>
      </c>
      <c r="E165" s="138" t="n">
        <v>0.75</v>
      </c>
    </row>
    <row r="166" customFormat="false" ht="15" hidden="false" customHeight="false" outlineLevel="0" collapsed="false">
      <c r="B166" s="83"/>
      <c r="C166" s="84" t="s">
        <v>229</v>
      </c>
      <c r="D166" s="84" t="s">
        <v>228</v>
      </c>
      <c r="E166" s="85" t="n">
        <v>0.04</v>
      </c>
    </row>
    <row r="168" customFormat="false" ht="15" hidden="false" customHeight="false" outlineLevel="0" collapsed="false">
      <c r="A168" s="130" t="s">
        <v>261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customFormat="false" ht="15" hidden="false" customHeight="false" outlineLevel="0" collapsed="false">
      <c r="B169" s="131" t="s">
        <v>196</v>
      </c>
      <c r="C169" s="91" t="s">
        <v>262</v>
      </c>
      <c r="D169" s="91" t="s">
        <v>263</v>
      </c>
      <c r="E169" s="149" t="n">
        <v>0.36</v>
      </c>
    </row>
    <row r="170" customFormat="false" ht="15" hidden="false" customHeight="false" outlineLevel="0" collapsed="false">
      <c r="B170" s="78"/>
      <c r="C170" s="75" t="s">
        <v>264</v>
      </c>
      <c r="D170" s="75" t="s">
        <v>263</v>
      </c>
      <c r="E170" s="138" t="n">
        <v>0.14</v>
      </c>
    </row>
    <row r="171" customFormat="false" ht="15" hidden="false" customHeight="false" outlineLevel="0" collapsed="false">
      <c r="B171" s="78"/>
      <c r="C171" s="75" t="s">
        <v>265</v>
      </c>
      <c r="D171" s="75" t="s">
        <v>263</v>
      </c>
      <c r="E171" s="138" t="n">
        <v>0.45</v>
      </c>
    </row>
    <row r="172" customFormat="false" ht="15" hidden="false" customHeight="false" outlineLevel="0" collapsed="false">
      <c r="B172" s="78"/>
      <c r="C172" s="75" t="s">
        <v>266</v>
      </c>
      <c r="D172" s="75" t="s">
        <v>263</v>
      </c>
      <c r="E172" s="138" t="n">
        <v>0.2</v>
      </c>
    </row>
    <row r="173" customFormat="false" ht="15" hidden="false" customHeight="false" outlineLevel="0" collapsed="false">
      <c r="B173" s="78"/>
      <c r="C173" s="72" t="s">
        <v>267</v>
      </c>
      <c r="D173" s="75" t="s">
        <v>268</v>
      </c>
      <c r="E173" s="138" t="n">
        <v>0.2</v>
      </c>
    </row>
    <row r="174" customFormat="false" ht="15" hidden="false" customHeight="false" outlineLevel="0" collapsed="false">
      <c r="B174" s="78"/>
      <c r="C174" s="75" t="s">
        <v>216</v>
      </c>
      <c r="D174" s="72" t="s">
        <v>16</v>
      </c>
      <c r="E174" s="138" t="n">
        <v>0.02</v>
      </c>
    </row>
    <row r="175" customFormat="false" ht="15" hidden="false" customHeight="false" outlineLevel="0" collapsed="false">
      <c r="B175" s="71" t="s">
        <v>223</v>
      </c>
      <c r="C175" s="75" t="s">
        <v>262</v>
      </c>
      <c r="D175" s="75" t="s">
        <v>251</v>
      </c>
      <c r="E175" s="138" t="n">
        <v>0.75</v>
      </c>
    </row>
    <row r="176" customFormat="false" ht="15" hidden="false" customHeight="false" outlineLevel="0" collapsed="false">
      <c r="B176" s="78"/>
      <c r="C176" s="75" t="s">
        <v>264</v>
      </c>
      <c r="D176" s="75" t="s">
        <v>251</v>
      </c>
      <c r="E176" s="138" t="n">
        <v>0.75</v>
      </c>
    </row>
    <row r="177" customFormat="false" ht="15" hidden="false" customHeight="false" outlineLevel="0" collapsed="false">
      <c r="B177" s="78"/>
      <c r="C177" s="75" t="s">
        <v>265</v>
      </c>
      <c r="D177" s="75" t="s">
        <v>251</v>
      </c>
      <c r="E177" s="138" t="n">
        <v>0.75</v>
      </c>
    </row>
    <row r="178" customFormat="false" ht="15" hidden="false" customHeight="false" outlineLevel="0" collapsed="false">
      <c r="B178" s="78"/>
      <c r="C178" s="75" t="s">
        <v>266</v>
      </c>
      <c r="D178" s="75" t="s">
        <v>251</v>
      </c>
      <c r="E178" s="138" t="n">
        <v>0.7</v>
      </c>
    </row>
    <row r="179" customFormat="false" ht="15" hidden="false" customHeight="false" outlineLevel="0" collapsed="false">
      <c r="B179" s="83"/>
      <c r="C179" s="141" t="s">
        <v>267</v>
      </c>
      <c r="D179" s="84" t="s">
        <v>251</v>
      </c>
      <c r="E179" s="85" t="n">
        <v>0.85</v>
      </c>
    </row>
    <row r="181" customFormat="false" ht="15" hidden="false" customHeight="false" outlineLevel="0" collapsed="false">
      <c r="A181" s="130" t="s">
        <v>125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customFormat="false" ht="15" hidden="false" customHeight="false" outlineLevel="0" collapsed="false">
      <c r="B182" s="131" t="s">
        <v>196</v>
      </c>
      <c r="C182" s="91" t="s">
        <v>199</v>
      </c>
      <c r="D182" s="91" t="s">
        <v>21</v>
      </c>
      <c r="E182" s="132" t="n">
        <v>14400</v>
      </c>
    </row>
    <row r="183" customFormat="false" ht="15" hidden="false" customHeight="false" outlineLevel="0" collapsed="false">
      <c r="B183" s="78"/>
      <c r="C183" s="75" t="s">
        <v>269</v>
      </c>
      <c r="D183" s="75" t="s">
        <v>270</v>
      </c>
      <c r="E183" s="133" t="n">
        <v>195</v>
      </c>
    </row>
    <row r="184" customFormat="false" ht="15" hidden="false" customHeight="false" outlineLevel="0" collapsed="false">
      <c r="B184" s="78"/>
      <c r="C184" s="75" t="s">
        <v>180</v>
      </c>
      <c r="D184" s="75" t="s">
        <v>14</v>
      </c>
      <c r="E184" s="79" t="n">
        <f aca="false">$R$72</f>
        <v>7377.98</v>
      </c>
    </row>
    <row r="185" customFormat="false" ht="15" hidden="false" customHeight="false" outlineLevel="0" collapsed="false">
      <c r="B185" s="78"/>
      <c r="C185" s="75" t="s">
        <v>233</v>
      </c>
      <c r="D185" s="75" t="s">
        <v>234</v>
      </c>
      <c r="E185" s="137" t="n">
        <f aca="false">$E$183*$E$184/1000</f>
        <v>1438.7061</v>
      </c>
    </row>
    <row r="186" customFormat="false" ht="15" hidden="false" customHeight="false" outlineLevel="0" collapsed="false">
      <c r="B186" s="78"/>
      <c r="C186" s="75" t="s">
        <v>212</v>
      </c>
      <c r="D186" s="72" t="s">
        <v>16</v>
      </c>
      <c r="E186" s="138" t="n">
        <v>0.02</v>
      </c>
    </row>
    <row r="187" customFormat="false" ht="15" hidden="false" customHeight="false" outlineLevel="0" collapsed="false">
      <c r="B187" s="78"/>
      <c r="C187" s="75" t="s">
        <v>214</v>
      </c>
      <c r="D187" s="75" t="s">
        <v>215</v>
      </c>
      <c r="E187" s="139" t="n">
        <v>12</v>
      </c>
    </row>
    <row r="188" customFormat="false" ht="15" hidden="false" customHeight="false" outlineLevel="0" collapsed="false">
      <c r="B188" s="78"/>
      <c r="C188" s="75" t="s">
        <v>216</v>
      </c>
      <c r="D188" s="72" t="s">
        <v>16</v>
      </c>
      <c r="E188" s="138" t="n">
        <v>0.02</v>
      </c>
    </row>
    <row r="189" customFormat="false" ht="15" hidden="false" customHeight="false" outlineLevel="0" collapsed="false">
      <c r="B189" s="143"/>
      <c r="C189" s="75" t="s">
        <v>271</v>
      </c>
      <c r="D189" s="72" t="s">
        <v>218</v>
      </c>
      <c r="E189" s="138" t="n">
        <v>0.2</v>
      </c>
    </row>
    <row r="190" customFormat="false" ht="15" hidden="false" customHeight="false" outlineLevel="0" collapsed="false">
      <c r="B190" s="78"/>
      <c r="C190" s="52"/>
      <c r="D190" s="72" t="s">
        <v>219</v>
      </c>
      <c r="E190" s="138" t="n">
        <v>0.02</v>
      </c>
    </row>
    <row r="191" customFormat="false" ht="15" hidden="false" customHeight="false" outlineLevel="0" collapsed="false">
      <c r="B191" s="78"/>
      <c r="C191" s="52"/>
      <c r="D191" s="72" t="s">
        <v>220</v>
      </c>
      <c r="E191" s="138" t="n">
        <v>0.02</v>
      </c>
    </row>
    <row r="192" customFormat="false" ht="15" hidden="false" customHeight="false" outlineLevel="0" collapsed="false">
      <c r="B192" s="131" t="s">
        <v>223</v>
      </c>
      <c r="C192" s="91" t="s">
        <v>272</v>
      </c>
      <c r="D192" s="148" t="s">
        <v>218</v>
      </c>
      <c r="E192" s="149" t="n">
        <v>0.25</v>
      </c>
    </row>
    <row r="193" customFormat="false" ht="15" hidden="false" customHeight="false" outlineLevel="0" collapsed="false">
      <c r="B193" s="78"/>
      <c r="C193" s="52"/>
      <c r="D193" s="72" t="s">
        <v>219</v>
      </c>
      <c r="E193" s="138" t="n">
        <v>0.083</v>
      </c>
    </row>
    <row r="194" customFormat="false" ht="15" hidden="false" customHeight="false" outlineLevel="0" collapsed="false">
      <c r="B194" s="78"/>
      <c r="C194" s="52"/>
      <c r="D194" s="72" t="s">
        <v>220</v>
      </c>
      <c r="E194" s="138" t="n">
        <v>0.083</v>
      </c>
    </row>
    <row r="195" customFormat="false" ht="15" hidden="false" customHeight="false" outlineLevel="0" collapsed="false">
      <c r="B195" s="78"/>
      <c r="C195" s="75" t="s">
        <v>273</v>
      </c>
      <c r="D195" s="75" t="s">
        <v>270</v>
      </c>
      <c r="E195" s="133" t="n">
        <v>20</v>
      </c>
    </row>
    <row r="196" customFormat="false" ht="15" hidden="false" customHeight="false" outlineLevel="0" collapsed="false">
      <c r="B196" s="83"/>
      <c r="C196" s="84" t="s">
        <v>274</v>
      </c>
      <c r="D196" s="84" t="s">
        <v>234</v>
      </c>
      <c r="E196" s="150" t="n">
        <f aca="false">$E$195*$E$184/1000</f>
        <v>147.5596</v>
      </c>
    </row>
    <row r="198" customFormat="false" ht="15" hidden="false" customHeight="false" outlineLevel="0" collapsed="false">
      <c r="A198" s="130" t="s">
        <v>126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customFormat="false" ht="15" hidden="false" customHeight="false" outlineLevel="0" collapsed="false">
      <c r="A199" s="151" t="s">
        <v>171</v>
      </c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</row>
    <row r="200" customFormat="false" ht="15" hidden="false" customHeight="false" outlineLevel="0" collapsed="false">
      <c r="B200" s="131" t="s">
        <v>196</v>
      </c>
      <c r="C200" s="91" t="s">
        <v>199</v>
      </c>
      <c r="D200" s="91" t="s">
        <v>21</v>
      </c>
      <c r="E200" s="132" t="n">
        <v>1500</v>
      </c>
    </row>
    <row r="201" customFormat="false" ht="15" hidden="false" customHeight="false" outlineLevel="0" collapsed="false">
      <c r="B201" s="78"/>
      <c r="C201" s="75" t="s">
        <v>269</v>
      </c>
      <c r="D201" s="75" t="s">
        <v>270</v>
      </c>
      <c r="E201" s="133" t="n">
        <v>150</v>
      </c>
    </row>
    <row r="202" customFormat="false" ht="15" hidden="false" customHeight="false" outlineLevel="0" collapsed="false">
      <c r="B202" s="78"/>
      <c r="C202" s="75" t="s">
        <v>180</v>
      </c>
      <c r="D202" s="75" t="s">
        <v>14</v>
      </c>
      <c r="E202" s="79" t="n">
        <f aca="false">$U$72</f>
        <v>948.64</v>
      </c>
    </row>
    <row r="203" customFormat="false" ht="15" hidden="false" customHeight="false" outlineLevel="0" collapsed="false">
      <c r="B203" s="78"/>
      <c r="C203" s="75" t="s">
        <v>233</v>
      </c>
      <c r="D203" s="75" t="s">
        <v>234</v>
      </c>
      <c r="E203" s="137" t="n">
        <f aca="false">$E$201*$E$202/1000</f>
        <v>142.296</v>
      </c>
    </row>
    <row r="204" customFormat="false" ht="15" hidden="false" customHeight="false" outlineLevel="0" collapsed="false">
      <c r="B204" s="78"/>
      <c r="C204" s="75" t="s">
        <v>212</v>
      </c>
      <c r="D204" s="72" t="s">
        <v>16</v>
      </c>
      <c r="E204" s="138" t="n">
        <v>0.02</v>
      </c>
    </row>
    <row r="205" customFormat="false" ht="15" hidden="false" customHeight="false" outlineLevel="0" collapsed="false">
      <c r="B205" s="78"/>
      <c r="C205" s="75" t="s">
        <v>214</v>
      </c>
      <c r="D205" s="75" t="s">
        <v>215</v>
      </c>
      <c r="E205" s="139" t="n">
        <v>12</v>
      </c>
    </row>
    <row r="206" customFormat="false" ht="15" hidden="false" customHeight="false" outlineLevel="0" collapsed="false">
      <c r="B206" s="78"/>
      <c r="C206" s="75" t="s">
        <v>216</v>
      </c>
      <c r="D206" s="72" t="s">
        <v>16</v>
      </c>
      <c r="E206" s="138" t="n">
        <v>0.02</v>
      </c>
    </row>
    <row r="207" customFormat="false" ht="15" hidden="false" customHeight="false" outlineLevel="0" collapsed="false">
      <c r="B207" s="78"/>
      <c r="C207" s="75" t="s">
        <v>271</v>
      </c>
      <c r="D207" s="72" t="s">
        <v>218</v>
      </c>
      <c r="E207" s="138" t="n">
        <v>0</v>
      </c>
    </row>
    <row r="208" customFormat="false" ht="15" hidden="false" customHeight="false" outlineLevel="0" collapsed="false">
      <c r="B208" s="78"/>
      <c r="C208" s="52"/>
      <c r="D208" s="72" t="s">
        <v>219</v>
      </c>
      <c r="E208" s="138" t="n">
        <v>0</v>
      </c>
    </row>
    <row r="209" customFormat="false" ht="15" hidden="false" customHeight="false" outlineLevel="0" collapsed="false">
      <c r="B209" s="78"/>
      <c r="C209" s="52"/>
      <c r="D209" s="72" t="s">
        <v>220</v>
      </c>
      <c r="E209" s="138" t="n">
        <v>0</v>
      </c>
    </row>
    <row r="210" customFormat="false" ht="15" hidden="false" customHeight="false" outlineLevel="0" collapsed="false">
      <c r="B210" s="123" t="s">
        <v>223</v>
      </c>
      <c r="C210" s="84" t="s">
        <v>227</v>
      </c>
      <c r="D210" s="84" t="s">
        <v>228</v>
      </c>
      <c r="E210" s="85" t="n">
        <v>0</v>
      </c>
    </row>
    <row r="212" customFormat="false" ht="15" hidden="false" customHeight="false" outlineLevel="0" collapsed="false">
      <c r="A212" s="151" t="s">
        <v>275</v>
      </c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</row>
    <row r="213" customFormat="false" ht="15" hidden="false" customHeight="false" outlineLevel="0" collapsed="false">
      <c r="B213" s="131" t="s">
        <v>196</v>
      </c>
      <c r="C213" s="91" t="s">
        <v>199</v>
      </c>
      <c r="D213" s="91" t="s">
        <v>21</v>
      </c>
      <c r="E213" s="132" t="n">
        <v>1600</v>
      </c>
    </row>
    <row r="214" customFormat="false" ht="15" hidden="false" customHeight="false" outlineLevel="0" collapsed="false">
      <c r="B214" s="78"/>
      <c r="C214" s="75" t="s">
        <v>269</v>
      </c>
      <c r="D214" s="75" t="s">
        <v>270</v>
      </c>
      <c r="E214" s="133" t="n">
        <v>120</v>
      </c>
    </row>
    <row r="215" customFormat="false" ht="15" hidden="false" customHeight="false" outlineLevel="0" collapsed="false">
      <c r="B215" s="78"/>
      <c r="C215" s="75" t="s">
        <v>180</v>
      </c>
      <c r="D215" s="75" t="s">
        <v>14</v>
      </c>
      <c r="E215" s="79" t="n">
        <f aca="false">$V$72</f>
        <v>1270.5</v>
      </c>
    </row>
    <row r="216" customFormat="false" ht="15" hidden="false" customHeight="false" outlineLevel="0" collapsed="false">
      <c r="B216" s="78"/>
      <c r="C216" s="75" t="s">
        <v>233</v>
      </c>
      <c r="D216" s="75" t="s">
        <v>234</v>
      </c>
      <c r="E216" s="137" t="n">
        <f aca="false">$E$214*$E$215/1000</f>
        <v>152.46</v>
      </c>
    </row>
    <row r="217" customFormat="false" ht="15" hidden="false" customHeight="false" outlineLevel="0" collapsed="false">
      <c r="B217" s="78"/>
      <c r="C217" s="75" t="s">
        <v>212</v>
      </c>
      <c r="D217" s="72" t="s">
        <v>16</v>
      </c>
      <c r="E217" s="138" t="n">
        <v>0.02</v>
      </c>
    </row>
    <row r="218" customFormat="false" ht="15" hidden="false" customHeight="false" outlineLevel="0" collapsed="false">
      <c r="B218" s="78"/>
      <c r="C218" s="75" t="s">
        <v>214</v>
      </c>
      <c r="D218" s="75" t="s">
        <v>215</v>
      </c>
      <c r="E218" s="139" t="n">
        <v>12</v>
      </c>
    </row>
    <row r="219" customFormat="false" ht="15" hidden="false" customHeight="false" outlineLevel="0" collapsed="false">
      <c r="B219" s="78"/>
      <c r="C219" s="75" t="s">
        <v>216</v>
      </c>
      <c r="D219" s="72" t="s">
        <v>16</v>
      </c>
      <c r="E219" s="138" t="n">
        <v>0.02</v>
      </c>
    </row>
    <row r="220" customFormat="false" ht="15" hidden="false" customHeight="false" outlineLevel="0" collapsed="false">
      <c r="B220" s="78"/>
      <c r="C220" s="75" t="s">
        <v>271</v>
      </c>
      <c r="D220" s="72" t="s">
        <v>218</v>
      </c>
      <c r="E220" s="138" t="n">
        <v>0</v>
      </c>
    </row>
    <row r="221" customFormat="false" ht="15" hidden="false" customHeight="false" outlineLevel="0" collapsed="false">
      <c r="B221" s="78"/>
      <c r="C221" s="52"/>
      <c r="D221" s="72" t="s">
        <v>219</v>
      </c>
      <c r="E221" s="138" t="n">
        <v>0</v>
      </c>
    </row>
    <row r="222" customFormat="false" ht="15" hidden="false" customHeight="false" outlineLevel="0" collapsed="false">
      <c r="B222" s="78"/>
      <c r="C222" s="52"/>
      <c r="D222" s="72" t="s">
        <v>220</v>
      </c>
      <c r="E222" s="138" t="n">
        <v>0</v>
      </c>
    </row>
    <row r="223" customFormat="false" ht="15" hidden="false" customHeight="false" outlineLevel="0" collapsed="false">
      <c r="B223" s="123" t="s">
        <v>223</v>
      </c>
      <c r="C223" s="84" t="s">
        <v>227</v>
      </c>
      <c r="D223" s="84" t="s">
        <v>228</v>
      </c>
      <c r="E223" s="85" t="n">
        <v>0</v>
      </c>
    </row>
    <row r="225" customFormat="false" ht="15" hidden="false" customHeight="false" outlineLevel="0" collapsed="false">
      <c r="A225" s="151" t="s">
        <v>173</v>
      </c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</row>
    <row r="226" customFormat="false" ht="15" hidden="false" customHeight="false" outlineLevel="0" collapsed="false">
      <c r="B226" s="131" t="s">
        <v>196</v>
      </c>
      <c r="C226" s="91" t="s">
        <v>199</v>
      </c>
      <c r="D226" s="91" t="s">
        <v>21</v>
      </c>
      <c r="E226" s="132" t="n">
        <v>2700</v>
      </c>
    </row>
    <row r="227" customFormat="false" ht="15" hidden="false" customHeight="false" outlineLevel="0" collapsed="false">
      <c r="B227" s="78"/>
      <c r="C227" s="75" t="s">
        <v>269</v>
      </c>
      <c r="D227" s="75" t="s">
        <v>270</v>
      </c>
      <c r="E227" s="133" t="n">
        <v>171</v>
      </c>
    </row>
    <row r="228" customFormat="false" ht="15" hidden="false" customHeight="false" outlineLevel="0" collapsed="false">
      <c r="B228" s="78"/>
      <c r="C228" s="75" t="s">
        <v>180</v>
      </c>
      <c r="D228" s="75" t="s">
        <v>14</v>
      </c>
      <c r="E228" s="79" t="n">
        <f aca="false">$W$72</f>
        <v>1563.93</v>
      </c>
    </row>
    <row r="229" customFormat="false" ht="15" hidden="false" customHeight="false" outlineLevel="0" collapsed="false">
      <c r="B229" s="78"/>
      <c r="C229" s="75" t="s">
        <v>233</v>
      </c>
      <c r="D229" s="75" t="s">
        <v>234</v>
      </c>
      <c r="E229" s="137" t="n">
        <f aca="false">$E$227*$E$228/1000</f>
        <v>267.43203</v>
      </c>
    </row>
    <row r="230" customFormat="false" ht="15" hidden="false" customHeight="false" outlineLevel="0" collapsed="false">
      <c r="B230" s="78"/>
      <c r="C230" s="75" t="s">
        <v>212</v>
      </c>
      <c r="D230" s="72" t="s">
        <v>16</v>
      </c>
      <c r="E230" s="138" t="n">
        <v>0.02</v>
      </c>
    </row>
    <row r="231" customFormat="false" ht="15" hidden="false" customHeight="false" outlineLevel="0" collapsed="false">
      <c r="B231" s="78"/>
      <c r="C231" s="75" t="s">
        <v>214</v>
      </c>
      <c r="D231" s="75" t="s">
        <v>215</v>
      </c>
      <c r="E231" s="139" t="n">
        <v>12</v>
      </c>
    </row>
    <row r="232" customFormat="false" ht="15" hidden="false" customHeight="false" outlineLevel="0" collapsed="false">
      <c r="B232" s="78"/>
      <c r="C232" s="75" t="s">
        <v>216</v>
      </c>
      <c r="D232" s="72" t="s">
        <v>16</v>
      </c>
      <c r="E232" s="138" t="n">
        <v>0.02</v>
      </c>
    </row>
    <row r="233" customFormat="false" ht="15" hidden="false" customHeight="false" outlineLevel="0" collapsed="false">
      <c r="B233" s="78"/>
      <c r="C233" s="75" t="s">
        <v>271</v>
      </c>
      <c r="D233" s="72" t="s">
        <v>218</v>
      </c>
      <c r="E233" s="138" t="n">
        <v>0</v>
      </c>
    </row>
    <row r="234" customFormat="false" ht="15" hidden="false" customHeight="false" outlineLevel="0" collapsed="false">
      <c r="B234" s="78"/>
      <c r="C234" s="52"/>
      <c r="D234" s="72" t="s">
        <v>219</v>
      </c>
      <c r="E234" s="138" t="n">
        <v>0</v>
      </c>
    </row>
    <row r="235" customFormat="false" ht="15" hidden="false" customHeight="false" outlineLevel="0" collapsed="false">
      <c r="B235" s="78"/>
      <c r="C235" s="52"/>
      <c r="D235" s="72" t="s">
        <v>220</v>
      </c>
      <c r="E235" s="138" t="n">
        <v>0</v>
      </c>
    </row>
    <row r="236" customFormat="false" ht="15" hidden="false" customHeight="false" outlineLevel="0" collapsed="false">
      <c r="B236" s="123" t="s">
        <v>223</v>
      </c>
      <c r="C236" s="84" t="s">
        <v>227</v>
      </c>
      <c r="D236" s="84" t="s">
        <v>228</v>
      </c>
      <c r="E236" s="85" t="n">
        <v>0</v>
      </c>
    </row>
    <row r="238" customFormat="false" ht="15" hidden="false" customHeight="false" outlineLevel="0" collapsed="false">
      <c r="A238" s="151" t="s">
        <v>159</v>
      </c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</row>
    <row r="239" customFormat="false" ht="15" hidden="false" customHeight="false" outlineLevel="0" collapsed="false">
      <c r="B239" s="131" t="s">
        <v>196</v>
      </c>
      <c r="C239" s="91" t="s">
        <v>199</v>
      </c>
      <c r="D239" s="91" t="s">
        <v>21</v>
      </c>
      <c r="E239" s="132" t="n">
        <v>800</v>
      </c>
    </row>
    <row r="240" customFormat="false" ht="15" hidden="false" customHeight="false" outlineLevel="0" collapsed="false">
      <c r="B240" s="78"/>
      <c r="C240" s="75" t="s">
        <v>269</v>
      </c>
      <c r="D240" s="75" t="s">
        <v>270</v>
      </c>
      <c r="E240" s="133" t="n">
        <v>120</v>
      </c>
    </row>
    <row r="241" customFormat="false" ht="15" hidden="false" customHeight="false" outlineLevel="0" collapsed="false">
      <c r="B241" s="78"/>
      <c r="C241" s="75" t="s">
        <v>180</v>
      </c>
      <c r="D241" s="75" t="s">
        <v>14</v>
      </c>
      <c r="E241" s="79" t="n">
        <f aca="false">$F$72</f>
        <v>591.99</v>
      </c>
    </row>
    <row r="242" customFormat="false" ht="15" hidden="false" customHeight="false" outlineLevel="0" collapsed="false">
      <c r="B242" s="78"/>
      <c r="C242" s="75" t="s">
        <v>233</v>
      </c>
      <c r="D242" s="75" t="s">
        <v>234</v>
      </c>
      <c r="E242" s="137" t="n">
        <f aca="false">$E$240*$E$241/1000</f>
        <v>71.0388</v>
      </c>
    </row>
    <row r="243" customFormat="false" ht="15" hidden="false" customHeight="false" outlineLevel="0" collapsed="false">
      <c r="B243" s="78"/>
      <c r="C243" s="75" t="s">
        <v>212</v>
      </c>
      <c r="D243" s="72" t="s">
        <v>16</v>
      </c>
      <c r="E243" s="138" t="n">
        <v>0.02</v>
      </c>
    </row>
    <row r="244" customFormat="false" ht="15" hidden="false" customHeight="false" outlineLevel="0" collapsed="false">
      <c r="B244" s="78"/>
      <c r="C244" s="75" t="s">
        <v>214</v>
      </c>
      <c r="D244" s="75" t="s">
        <v>215</v>
      </c>
      <c r="E244" s="139" t="n">
        <v>12</v>
      </c>
    </row>
    <row r="245" customFormat="false" ht="15" hidden="false" customHeight="false" outlineLevel="0" collapsed="false">
      <c r="B245" s="78"/>
      <c r="C245" s="75" t="s">
        <v>216</v>
      </c>
      <c r="D245" s="72" t="s">
        <v>16</v>
      </c>
      <c r="E245" s="138" t="n">
        <v>0.02</v>
      </c>
    </row>
    <row r="246" customFormat="false" ht="15" hidden="false" customHeight="false" outlineLevel="0" collapsed="false">
      <c r="B246" s="78"/>
      <c r="C246" s="75" t="s">
        <v>271</v>
      </c>
      <c r="D246" s="72" t="s">
        <v>218</v>
      </c>
      <c r="E246" s="138" t="n">
        <v>0</v>
      </c>
    </row>
    <row r="247" customFormat="false" ht="15" hidden="false" customHeight="false" outlineLevel="0" collapsed="false">
      <c r="B247" s="78"/>
      <c r="C247" s="52"/>
      <c r="D247" s="72" t="s">
        <v>219</v>
      </c>
      <c r="E247" s="138" t="n">
        <v>0</v>
      </c>
    </row>
    <row r="248" customFormat="false" ht="15" hidden="false" customHeight="false" outlineLevel="0" collapsed="false">
      <c r="B248" s="78"/>
      <c r="C248" s="52"/>
      <c r="D248" s="72" t="s">
        <v>220</v>
      </c>
      <c r="E248" s="138" t="n">
        <v>0</v>
      </c>
    </row>
    <row r="249" customFormat="false" ht="15" hidden="false" customHeight="false" outlineLevel="0" collapsed="false">
      <c r="B249" s="123" t="s">
        <v>223</v>
      </c>
      <c r="C249" s="84" t="s">
        <v>227</v>
      </c>
      <c r="D249" s="84" t="s">
        <v>228</v>
      </c>
      <c r="E249" s="85" t="n">
        <v>0</v>
      </c>
    </row>
    <row r="251" customFormat="false" ht="15" hidden="false" customHeight="false" outlineLevel="0" collapsed="false">
      <c r="A251" s="151" t="s">
        <v>160</v>
      </c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</row>
    <row r="252" customFormat="false" ht="15" hidden="false" customHeight="false" outlineLevel="0" collapsed="false">
      <c r="B252" s="131" t="s">
        <v>196</v>
      </c>
      <c r="C252" s="91" t="s">
        <v>199</v>
      </c>
      <c r="D252" s="91" t="s">
        <v>21</v>
      </c>
      <c r="E252" s="132" t="n">
        <v>2700</v>
      </c>
    </row>
    <row r="253" customFormat="false" ht="15" hidden="false" customHeight="false" outlineLevel="0" collapsed="false">
      <c r="B253" s="78"/>
      <c r="C253" s="75" t="s">
        <v>269</v>
      </c>
      <c r="D253" s="75" t="s">
        <v>270</v>
      </c>
      <c r="E253" s="133" t="n">
        <v>120</v>
      </c>
    </row>
    <row r="254" customFormat="false" ht="15" hidden="false" customHeight="false" outlineLevel="0" collapsed="false">
      <c r="B254" s="78"/>
      <c r="C254" s="75" t="s">
        <v>180</v>
      </c>
      <c r="D254" s="75" t="s">
        <v>14</v>
      </c>
      <c r="E254" s="79" t="n">
        <f aca="false">$G$72</f>
        <v>213.87</v>
      </c>
    </row>
    <row r="255" customFormat="false" ht="15" hidden="false" customHeight="false" outlineLevel="0" collapsed="false">
      <c r="B255" s="78"/>
      <c r="C255" s="75" t="s">
        <v>233</v>
      </c>
      <c r="D255" s="75" t="s">
        <v>234</v>
      </c>
      <c r="E255" s="137" t="n">
        <f aca="false">$E$253*$E$254/1000</f>
        <v>25.6644</v>
      </c>
    </row>
    <row r="256" customFormat="false" ht="15" hidden="false" customHeight="false" outlineLevel="0" collapsed="false">
      <c r="B256" s="78"/>
      <c r="C256" s="75" t="s">
        <v>212</v>
      </c>
      <c r="D256" s="72" t="s">
        <v>16</v>
      </c>
      <c r="E256" s="138" t="n">
        <v>0.02</v>
      </c>
    </row>
    <row r="257" customFormat="false" ht="15" hidden="false" customHeight="false" outlineLevel="0" collapsed="false">
      <c r="B257" s="78"/>
      <c r="C257" s="75" t="s">
        <v>214</v>
      </c>
      <c r="D257" s="75" t="s">
        <v>215</v>
      </c>
      <c r="E257" s="139" t="n">
        <v>12</v>
      </c>
    </row>
    <row r="258" customFormat="false" ht="15" hidden="false" customHeight="false" outlineLevel="0" collapsed="false">
      <c r="B258" s="78"/>
      <c r="C258" s="75" t="s">
        <v>216</v>
      </c>
      <c r="D258" s="72" t="s">
        <v>16</v>
      </c>
      <c r="E258" s="138" t="n">
        <v>0.02</v>
      </c>
    </row>
    <row r="259" customFormat="false" ht="15" hidden="false" customHeight="false" outlineLevel="0" collapsed="false">
      <c r="B259" s="78"/>
      <c r="C259" s="75" t="s">
        <v>271</v>
      </c>
      <c r="D259" s="72" t="s">
        <v>218</v>
      </c>
      <c r="E259" s="138" t="n">
        <v>0</v>
      </c>
    </row>
    <row r="260" customFormat="false" ht="15" hidden="false" customHeight="false" outlineLevel="0" collapsed="false">
      <c r="B260" s="78"/>
      <c r="C260" s="52"/>
      <c r="D260" s="72" t="s">
        <v>219</v>
      </c>
      <c r="E260" s="138" t="n">
        <v>0</v>
      </c>
    </row>
    <row r="261" customFormat="false" ht="15" hidden="false" customHeight="false" outlineLevel="0" collapsed="false">
      <c r="B261" s="78"/>
      <c r="C261" s="52"/>
      <c r="D261" s="72" t="s">
        <v>220</v>
      </c>
      <c r="E261" s="138" t="n">
        <v>0</v>
      </c>
    </row>
    <row r="262" customFormat="false" ht="15" hidden="false" customHeight="false" outlineLevel="0" collapsed="false">
      <c r="B262" s="123" t="s">
        <v>223</v>
      </c>
      <c r="C262" s="84" t="s">
        <v>227</v>
      </c>
      <c r="D262" s="84" t="s">
        <v>228</v>
      </c>
      <c r="E262" s="85" t="n">
        <v>0</v>
      </c>
    </row>
    <row r="264" customFormat="false" ht="15" hidden="false" customHeight="false" outlineLevel="0" collapsed="false">
      <c r="A264" s="130" t="s">
        <v>276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customFormat="false" ht="15" hidden="false" customHeight="false" outlineLevel="0" collapsed="false">
      <c r="B265" s="131" t="s">
        <v>223</v>
      </c>
      <c r="C265" s="91" t="s">
        <v>277</v>
      </c>
      <c r="D265" s="91" t="s">
        <v>278</v>
      </c>
      <c r="E265" s="132" t="n">
        <v>1500</v>
      </c>
    </row>
    <row r="266" customFormat="false" ht="15" hidden="false" customHeight="false" outlineLevel="0" collapsed="false">
      <c r="B266" s="78"/>
      <c r="C266" s="75" t="s">
        <v>279</v>
      </c>
      <c r="D266" s="75" t="s">
        <v>278</v>
      </c>
      <c r="E266" s="133" t="n">
        <v>1500</v>
      </c>
    </row>
    <row r="267" customFormat="false" ht="15" hidden="false" customHeight="false" outlineLevel="0" collapsed="false">
      <c r="B267" s="78"/>
      <c r="C267" s="75" t="s">
        <v>280</v>
      </c>
      <c r="D267" s="75" t="s">
        <v>278</v>
      </c>
      <c r="E267" s="133" t="n">
        <v>1500</v>
      </c>
    </row>
    <row r="268" customFormat="false" ht="15" hidden="false" customHeight="false" outlineLevel="0" collapsed="false">
      <c r="B268" s="78"/>
      <c r="C268" s="75" t="s">
        <v>281</v>
      </c>
      <c r="D268" s="75" t="s">
        <v>282</v>
      </c>
      <c r="E268" s="133" t="n">
        <v>1575</v>
      </c>
    </row>
    <row r="269" customFormat="false" ht="15" hidden="false" customHeight="false" outlineLevel="0" collapsed="false">
      <c r="B269" s="78"/>
      <c r="C269" s="75" t="s">
        <v>283</v>
      </c>
      <c r="D269" s="72" t="s">
        <v>16</v>
      </c>
      <c r="E269" s="138" t="n">
        <v>0.035</v>
      </c>
    </row>
    <row r="270" customFormat="false" ht="15" hidden="false" customHeight="false" outlineLevel="0" collapsed="false">
      <c r="B270" s="83"/>
      <c r="C270" s="84" t="s">
        <v>284</v>
      </c>
      <c r="D270" s="141" t="s">
        <v>16</v>
      </c>
      <c r="E270" s="85" t="n">
        <v>0.02</v>
      </c>
    </row>
    <row r="272" customFormat="false" ht="15" hidden="false" customHeight="false" outlineLevel="0" collapsed="false">
      <c r="A272" s="46" t="s">
        <v>285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4" customFormat="false" ht="15" hidden="false" customHeight="false" outlineLevel="0" collapsed="false">
      <c r="B274" s="153" t="s">
        <v>286</v>
      </c>
      <c r="D274" s="36" t="s">
        <v>287</v>
      </c>
      <c r="E274" s="154" t="n">
        <v>5</v>
      </c>
    </row>
    <row r="275" customFormat="false" ht="15" hidden="false" customHeight="false" outlineLevel="0" collapsed="false">
      <c r="B275" s="36" t="s">
        <v>288</v>
      </c>
      <c r="D275" s="153" t="s">
        <v>16</v>
      </c>
      <c r="E275" s="155" t="n">
        <v>0</v>
      </c>
    </row>
    <row r="277" customFormat="false" ht="15" hidden="false" customHeight="false" outlineLevel="0" collapsed="false">
      <c r="B277" s="108" t="s">
        <v>121</v>
      </c>
      <c r="C277" s="110" t="s">
        <v>289</v>
      </c>
      <c r="D277" s="109" t="s">
        <v>290</v>
      </c>
      <c r="E277" s="109" t="s">
        <v>291</v>
      </c>
      <c r="F277" s="110" t="s">
        <v>292</v>
      </c>
      <c r="G277" s="113" t="s">
        <v>52</v>
      </c>
    </row>
    <row r="278" customFormat="false" ht="15" hidden="false" customHeight="false" outlineLevel="0" collapsed="false">
      <c r="B278" s="51" t="s">
        <v>122</v>
      </c>
      <c r="C278" s="156" t="n">
        <f aca="false">SUMIF(②시니어_CF!$E$16:$EF$16,$E$274,②시니어_CF!$E$59:$EF$59)</f>
        <v>6980.52360094157</v>
      </c>
      <c r="D278" s="157" t="n">
        <f aca="false">($E$98*$E$106+$E$114)*$D$38</f>
        <v>541500</v>
      </c>
      <c r="E278" s="157" t="n">
        <f aca="false">D278*$E$275</f>
        <v>0</v>
      </c>
      <c r="F278" s="158" t="n">
        <v>0.04</v>
      </c>
      <c r="G278" s="137" t="n">
        <f aca="false">IF(F278=0,0,(C278+E278)/F278)</f>
        <v>174513.090023539</v>
      </c>
    </row>
    <row r="279" customFormat="false" ht="15" hidden="false" customHeight="false" outlineLevel="0" collapsed="false">
      <c r="B279" s="51" t="s">
        <v>123</v>
      </c>
      <c r="C279" s="156" t="n">
        <f aca="false">SUMIF(②시니어_CF!$E$16:$EF$16,$E$274,②시니어_CF!$E$60:$EF$60)</f>
        <v>0</v>
      </c>
      <c r="D279" s="157" t="n">
        <f aca="false">$E$129*$E$135*$E$38</f>
        <v>0</v>
      </c>
      <c r="E279" s="157" t="n">
        <f aca="false">D279*$E$275</f>
        <v>0</v>
      </c>
      <c r="F279" s="158" t="n">
        <v>0.04</v>
      </c>
      <c r="G279" s="137" t="n">
        <f aca="false">IF(F279=0,0,(C279+E279)/F279)</f>
        <v>0</v>
      </c>
    </row>
    <row r="280" customFormat="false" ht="15" hidden="false" customHeight="false" outlineLevel="0" collapsed="false">
      <c r="B280" s="51" t="s">
        <v>124</v>
      </c>
      <c r="C280" s="156" t="n">
        <f aca="false">SUMIF(②시니어_CF!$E$16:$EF$16,$E$274,②시니어_CF!$E$61:$EF$61)</f>
        <v>0</v>
      </c>
      <c r="D280" s="157" t="n">
        <f aca="false">$E$151*$E$158*$F$38</f>
        <v>0</v>
      </c>
      <c r="E280" s="157" t="n">
        <f aca="false">D280*$E$275</f>
        <v>0</v>
      </c>
      <c r="F280" s="158" t="n">
        <v>0.04</v>
      </c>
      <c r="G280" s="137" t="n">
        <f aca="false">IF(F280=0,0,(C280+E280)/F280)</f>
        <v>0</v>
      </c>
    </row>
    <row r="281" customFormat="false" ht="15" hidden="false" customHeight="false" outlineLevel="0" collapsed="false">
      <c r="B281" s="51" t="s">
        <v>125</v>
      </c>
      <c r="C281" s="156" t="n">
        <f aca="false">SUMIF(②시니어_CF!$E$16:$EF$16,$E$274,②시니어_CF!$E$62:$EF$62)</f>
        <v>0</v>
      </c>
      <c r="D281" s="157" t="n">
        <f aca="false">$E$182*$G$38</f>
        <v>0</v>
      </c>
      <c r="E281" s="157" t="n">
        <f aca="false">D281*$E$275</f>
        <v>0</v>
      </c>
      <c r="F281" s="158" t="n">
        <v>0.03</v>
      </c>
      <c r="G281" s="137" t="n">
        <f aca="false">IF(F281=0,0,(C281+E281)/F281)</f>
        <v>0</v>
      </c>
    </row>
    <row r="282" customFormat="false" ht="15" hidden="false" customHeight="false" outlineLevel="0" collapsed="false">
      <c r="B282" s="51" t="s">
        <v>126</v>
      </c>
      <c r="C282" s="156" t="n">
        <f aca="false">SUMIF(②시니어_CF!$E$16:$EF$16,$E$274,②시니어_CF!$E$63:$EF$63)</f>
        <v>0</v>
      </c>
      <c r="D282" s="157" t="n">
        <f aca="false">($E$200+$E$213+$E$226+$E$239+$E$252)*$H$38</f>
        <v>0</v>
      </c>
      <c r="E282" s="157" t="n">
        <f aca="false">D282*$E$275</f>
        <v>0</v>
      </c>
      <c r="F282" s="158" t="n">
        <v>0.04</v>
      </c>
      <c r="G282" s="137" t="n">
        <f aca="false">IF(F282=0,0,(C282+E282)/F282)</f>
        <v>0</v>
      </c>
    </row>
    <row r="283" customFormat="false" ht="15" hidden="false" customHeight="false" outlineLevel="0" collapsed="false">
      <c r="B283" s="123" t="s">
        <v>155</v>
      </c>
      <c r="C283" s="159" t="n">
        <f aca="false">SUM(C278:C282)</f>
        <v>6980.52360094157</v>
      </c>
      <c r="D283" s="159" t="n">
        <f aca="false">SUM(D278:D282)</f>
        <v>541500</v>
      </c>
      <c r="E283" s="159" t="n">
        <f aca="false">SUM(E278:E282)</f>
        <v>0</v>
      </c>
      <c r="F283" s="58"/>
      <c r="G283" s="160" t="n">
        <f aca="false">SUM(G278:G282)</f>
        <v>174513.090023539</v>
      </c>
    </row>
    <row r="285" customFormat="false" ht="15" hidden="false" customHeight="false" outlineLevel="0" collapsed="false">
      <c r="A285" s="46" t="s">
        <v>293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7" customFormat="false" ht="15" hidden="false" customHeight="false" outlineLevel="0" collapsed="false">
      <c r="D287" s="103" t="s">
        <v>122</v>
      </c>
      <c r="E287" s="103" t="s">
        <v>122</v>
      </c>
      <c r="F287" s="104" t="s">
        <v>126</v>
      </c>
      <c r="G287" s="104" t="s">
        <v>126</v>
      </c>
      <c r="H287" s="103" t="s">
        <v>122</v>
      </c>
      <c r="J287" s="105" t="s">
        <v>123</v>
      </c>
      <c r="K287" s="105" t="s">
        <v>123</v>
      </c>
      <c r="L287" s="106" t="s">
        <v>124</v>
      </c>
      <c r="M287" s="106" t="s">
        <v>124</v>
      </c>
      <c r="N287" s="106" t="s">
        <v>124</v>
      </c>
      <c r="O287" s="106" t="s">
        <v>124</v>
      </c>
      <c r="P287" s="106" t="s">
        <v>124</v>
      </c>
      <c r="Q287" s="106" t="s">
        <v>124</v>
      </c>
      <c r="R287" s="107" t="s">
        <v>125</v>
      </c>
      <c r="S287" s="106" t="s">
        <v>124</v>
      </c>
      <c r="U287" s="104" t="s">
        <v>126</v>
      </c>
      <c r="V287" s="104" t="s">
        <v>126</v>
      </c>
      <c r="W287" s="104" t="s">
        <v>126</v>
      </c>
    </row>
    <row r="288" customFormat="false" ht="15" hidden="false" customHeight="false" outlineLevel="0" collapsed="false">
      <c r="B288" s="161" t="s">
        <v>294</v>
      </c>
      <c r="C288" s="112" t="s">
        <v>156</v>
      </c>
      <c r="D288" s="109" t="s">
        <v>157</v>
      </c>
      <c r="E288" s="109" t="s">
        <v>158</v>
      </c>
      <c r="F288" s="109" t="s">
        <v>159</v>
      </c>
      <c r="G288" s="109" t="s">
        <v>160</v>
      </c>
      <c r="H288" s="110" t="s">
        <v>161</v>
      </c>
      <c r="I288" s="111" t="s">
        <v>162</v>
      </c>
      <c r="J288" s="109" t="s">
        <v>163</v>
      </c>
      <c r="K288" s="109" t="s">
        <v>164</v>
      </c>
      <c r="L288" s="109" t="s">
        <v>124</v>
      </c>
      <c r="M288" s="109" t="s">
        <v>165</v>
      </c>
      <c r="N288" s="109" t="s">
        <v>166</v>
      </c>
      <c r="O288" s="109" t="s">
        <v>167</v>
      </c>
      <c r="P288" s="109" t="s">
        <v>168</v>
      </c>
      <c r="Q288" s="109" t="s">
        <v>169</v>
      </c>
      <c r="R288" s="109" t="s">
        <v>125</v>
      </c>
      <c r="S288" s="110" t="s">
        <v>161</v>
      </c>
      <c r="T288" s="111" t="s">
        <v>170</v>
      </c>
      <c r="U288" s="109" t="s">
        <v>171</v>
      </c>
      <c r="V288" s="109" t="s">
        <v>172</v>
      </c>
      <c r="W288" s="109" t="s">
        <v>173</v>
      </c>
      <c r="X288" s="112" t="s">
        <v>174</v>
      </c>
      <c r="Y288" s="110" t="s">
        <v>175</v>
      </c>
      <c r="Z288" s="113" t="s">
        <v>176</v>
      </c>
    </row>
    <row r="289" customFormat="false" ht="15" hidden="false" customHeight="false" outlineLevel="0" collapsed="false">
      <c r="B289" s="71" t="s">
        <v>22</v>
      </c>
      <c r="C289" s="162" t="n">
        <f aca="false">I289+T289+X289+Y289+Z289</f>
        <v>596838.992808495</v>
      </c>
      <c r="D289" s="157" t="n">
        <f aca="false">D302*D303/1000</f>
        <v>126404.052812</v>
      </c>
      <c r="E289" s="157" t="n">
        <f aca="false">E302*E303/1000</f>
        <v>11982.999292</v>
      </c>
      <c r="F289" s="157" t="n">
        <f aca="false">F302*F303/1000</f>
        <v>6322.0020406</v>
      </c>
      <c r="G289" s="157" t="n">
        <f aca="false">G302*G303/1000</f>
        <v>2647.9996345</v>
      </c>
      <c r="H289" s="157" t="n">
        <f aca="false">H302*H303/1000</f>
        <v>741.9998145</v>
      </c>
      <c r="I289" s="163" t="n">
        <f aca="false">SUM(D289:H289)</f>
        <v>148099.0535936</v>
      </c>
      <c r="J289" s="157" t="n">
        <f aca="false">J302*J303/1000</f>
        <v>68279.009664</v>
      </c>
      <c r="K289" s="157" t="n">
        <f aca="false">K302*K303/1000</f>
        <v>14410.9969248</v>
      </c>
      <c r="L289" s="157" t="n">
        <f aca="false">L302*L303/1000</f>
        <v>78140.978036</v>
      </c>
      <c r="M289" s="157" t="n">
        <f aca="false">M302*M303/1000</f>
        <v>10286.993216</v>
      </c>
      <c r="N289" s="157" t="n">
        <f aca="false">N302*N303/1000</f>
        <v>8633.0018044</v>
      </c>
      <c r="O289" s="157" t="n">
        <f aca="false">O302*O303/1000</f>
        <v>6547.0026188</v>
      </c>
      <c r="P289" s="157" t="n">
        <f aca="false">P302*P303/1000</f>
        <v>5052.9994854</v>
      </c>
      <c r="Q289" s="157" t="n">
        <f aca="false">Q302*Q303/1000</f>
        <v>14928.9977351</v>
      </c>
      <c r="R289" s="157" t="n">
        <f aca="false">R302*R303/1000</f>
        <v>78811.0152636</v>
      </c>
      <c r="S289" s="157" t="n">
        <f aca="false">S302*S303/1000</f>
        <v>1748.9996304</v>
      </c>
      <c r="T289" s="163" t="n">
        <f aca="false">SUM(J289:S289)</f>
        <v>286839.9943785</v>
      </c>
      <c r="U289" s="157" t="n">
        <f aca="false">U302*U303/1000</f>
        <v>8254.0042915</v>
      </c>
      <c r="V289" s="157" t="n">
        <f aca="false">V302*V303/1000</f>
        <v>10257.999598</v>
      </c>
      <c r="W289" s="157" t="n">
        <f aca="false">W302*W303/1000</f>
        <v>17494.013628</v>
      </c>
      <c r="X289" s="163" t="n">
        <f aca="false">SUM(U289:W289)</f>
        <v>36006.0175175</v>
      </c>
      <c r="Y289" s="157" t="n">
        <f aca="false">Y302*Y303/1000</f>
        <v>5148.9982052</v>
      </c>
      <c r="Z289" s="137" t="n">
        <f aca="false">Z302*Z303/1000</f>
        <v>120744.929113695</v>
      </c>
    </row>
    <row r="290" customFormat="false" ht="15" hidden="false" customHeight="false" outlineLevel="0" collapsed="false">
      <c r="B290" s="71" t="s">
        <v>295</v>
      </c>
      <c r="C290" s="162" t="n">
        <f aca="false">I290+T290+X290+Y290+Z290</f>
        <v>34475.334273765</v>
      </c>
      <c r="D290" s="157" t="n">
        <f aca="false">D302*D306/1000</f>
        <v>6206.44241</v>
      </c>
      <c r="E290" s="157" t="n">
        <f aca="false">E302*E306/1000</f>
        <v>708.75266</v>
      </c>
      <c r="F290" s="157" t="n">
        <f aca="false">F302*F306/1000</f>
        <v>432.133058</v>
      </c>
      <c r="G290" s="157" t="n">
        <f aca="false">G302*G306/1000</f>
        <v>181.01237</v>
      </c>
      <c r="H290" s="157" t="n">
        <f aca="false">H302*H306/1000</f>
        <v>59.025498</v>
      </c>
      <c r="I290" s="163" t="n">
        <f aca="false">SUM(D290:H290)</f>
        <v>7587.365996</v>
      </c>
      <c r="J290" s="157" t="n">
        <f aca="false">J302*J306/1000</f>
        <v>3247.81408</v>
      </c>
      <c r="K290" s="157" t="n">
        <f aca="false">K302*K306/1000</f>
        <v>850.250352</v>
      </c>
      <c r="L290" s="157" t="n">
        <f aca="false">L302*L306/1000</f>
        <v>3409.058576</v>
      </c>
      <c r="M290" s="157" t="n">
        <f aca="false">M302*M306/1000</f>
        <v>656.490632</v>
      </c>
      <c r="N290" s="157" t="n">
        <f aca="false">N302*N306/1000</f>
        <v>554.511832</v>
      </c>
      <c r="O290" s="157" t="n">
        <f aca="false">O302*O306/1000</f>
        <v>386.246812</v>
      </c>
      <c r="P290" s="157" t="n">
        <f aca="false">P302*P306/1000</f>
        <v>322.510062</v>
      </c>
      <c r="Q290" s="157" t="n">
        <f aca="false">Q302*Q306/1000</f>
        <v>985.372262</v>
      </c>
      <c r="R290" s="157" t="n">
        <f aca="false">R302*R306/1000</f>
        <v>4257.619114</v>
      </c>
      <c r="S290" s="157" t="n">
        <f aca="false">S302*S306/1000</f>
        <v>138.691168</v>
      </c>
      <c r="T290" s="163" t="n">
        <f aca="false">SUM(J290:S290)</f>
        <v>14808.56489</v>
      </c>
      <c r="U290" s="157" t="n">
        <f aca="false">U302*U306/1000</f>
        <v>507.34453</v>
      </c>
      <c r="V290" s="157" t="n">
        <f aca="false">V302*V306/1000</f>
        <v>740.623142</v>
      </c>
      <c r="W290" s="157" t="n">
        <f aca="false">W302*W306/1000</f>
        <v>1154.65707</v>
      </c>
      <c r="X290" s="163" t="n">
        <f aca="false">SUM(U290:W290)</f>
        <v>2402.624742</v>
      </c>
      <c r="Y290" s="157" t="n">
        <f aca="false">Y302*Y306/1000</f>
        <v>668.260334</v>
      </c>
      <c r="Z290" s="137" t="n">
        <f aca="false">Z302*Z306/1000</f>
        <v>9008.51831176499</v>
      </c>
    </row>
    <row r="291" customFormat="false" ht="15" hidden="false" customHeight="false" outlineLevel="0" collapsed="false">
      <c r="B291" s="71" t="s">
        <v>296</v>
      </c>
      <c r="C291" s="162" t="n">
        <f aca="false">I291+T291+X291+Y291+Z291</f>
        <v>315029.1045658</v>
      </c>
      <c r="D291" s="157" t="n">
        <f aca="false">D302*D304/1000</f>
        <v>66618.073517</v>
      </c>
      <c r="E291" s="157" t="n">
        <f aca="false">E302*E304/1000</f>
        <v>2017.994077</v>
      </c>
      <c r="F291" s="157" t="n">
        <f aca="false">F302*F304/1000</f>
        <v>1231.0049521</v>
      </c>
      <c r="G291" s="157" t="n">
        <f aca="false">G302*G304/1000</f>
        <v>515.0003815</v>
      </c>
      <c r="H291" s="157" t="n">
        <f aca="false">H302*H304/1000</f>
        <v>0</v>
      </c>
      <c r="I291" s="163" t="n">
        <f aca="false">SUM(D291:H291)</f>
        <v>70382.0729276</v>
      </c>
      <c r="J291" s="157" t="n">
        <f aca="false">J302*J304/1000</f>
        <v>78440.028</v>
      </c>
      <c r="K291" s="157" t="n">
        <f aca="false">K302*K304/1000</f>
        <v>17607.0020448</v>
      </c>
      <c r="L291" s="157" t="n">
        <f aca="false">L302*L304/1000</f>
        <v>82332.0005464</v>
      </c>
      <c r="M291" s="157" t="n">
        <f aca="false">M302*M304/1000</f>
        <v>7477.9953668</v>
      </c>
      <c r="N291" s="157" t="n">
        <f aca="false">N302*N304/1000</f>
        <v>11483.0005024</v>
      </c>
      <c r="O291" s="157" t="n">
        <f aca="false">O302*O304/1000</f>
        <v>8249.0000208</v>
      </c>
      <c r="P291" s="157" t="n">
        <f aca="false">P302*P304/1000</f>
        <v>3827.0020518</v>
      </c>
      <c r="Q291" s="157" t="n">
        <f aca="false">Q302*Q304/1000</f>
        <v>0</v>
      </c>
      <c r="R291" s="157" t="n">
        <f aca="false">R302*R304/1000</f>
        <v>12124.0099298</v>
      </c>
      <c r="S291" s="157" t="n">
        <f aca="false">S302*S304/1000</f>
        <v>0</v>
      </c>
      <c r="T291" s="163" t="n">
        <f aca="false">SUM(J291:S291)</f>
        <v>221540.0384628</v>
      </c>
      <c r="U291" s="157" t="n">
        <f aca="false">U302*U304/1000</f>
        <v>1445.004869</v>
      </c>
      <c r="V291" s="157" t="n">
        <f aca="false">V302*V304/1000</f>
        <v>11798.0001099</v>
      </c>
      <c r="W291" s="157" t="n">
        <f aca="false">W302*W304/1000</f>
        <v>9863.9881965</v>
      </c>
      <c r="X291" s="163" t="n">
        <f aca="false">SUM(U291:W291)</f>
        <v>23106.9931754</v>
      </c>
      <c r="Y291" s="157" t="n">
        <f aca="false">Y302*Y304/1000</f>
        <v>0</v>
      </c>
      <c r="Z291" s="137" t="n">
        <f aca="false">Z302*Z304/1000</f>
        <v>0</v>
      </c>
    </row>
    <row r="292" customFormat="false" ht="15" hidden="false" customHeight="false" outlineLevel="0" collapsed="false">
      <c r="B292" s="64" t="s">
        <v>297</v>
      </c>
      <c r="C292" s="162" t="n">
        <f aca="false">I292+T292+X292+Y292+Z292</f>
        <v>39526.035727</v>
      </c>
      <c r="D292" s="157" t="n">
        <f aca="false">D302*D305/1000</f>
        <v>8327.001447</v>
      </c>
      <c r="E292" s="157" t="n">
        <f aca="false">E302*E305/1000</f>
        <v>0</v>
      </c>
      <c r="F292" s="157" t="n">
        <f aca="false">F302*F305/1000</f>
        <v>0</v>
      </c>
      <c r="G292" s="157" t="n">
        <f aca="false">G302*G305/1000</f>
        <v>0</v>
      </c>
      <c r="H292" s="157" t="n">
        <f aca="false">H302*H305/1000</f>
        <v>0</v>
      </c>
      <c r="I292" s="163" t="n">
        <f aca="false">SUM(D292:H292)</f>
        <v>8327.001447</v>
      </c>
      <c r="J292" s="157" t="n">
        <f aca="false">J302*J305/1000</f>
        <v>4358.03624</v>
      </c>
      <c r="K292" s="157" t="n">
        <f aca="false">K302*K305/1000</f>
        <v>1140.99804</v>
      </c>
      <c r="L292" s="157" t="n">
        <f aca="false">$E$148*L305</f>
        <v>25700</v>
      </c>
      <c r="M292" s="157" t="n">
        <f aca="false">M302*M305/1000</f>
        <v>0</v>
      </c>
      <c r="N292" s="157" t="n">
        <f aca="false">N302*N305/1000</f>
        <v>0</v>
      </c>
      <c r="O292" s="157" t="n">
        <f aca="false">O302*O305/1000</f>
        <v>0</v>
      </c>
      <c r="P292" s="157" t="n">
        <f aca="false">P302*P305/1000</f>
        <v>0</v>
      </c>
      <c r="Q292" s="157" t="n">
        <f aca="false">Q302*Q305/1000</f>
        <v>0</v>
      </c>
      <c r="R292" s="157" t="n">
        <f aca="false">R302*R305/1000</f>
        <v>0</v>
      </c>
      <c r="S292" s="157" t="n">
        <f aca="false">S302*S305/1000</f>
        <v>0</v>
      </c>
      <c r="T292" s="163" t="n">
        <f aca="false">SUM(J292:S292)</f>
        <v>31199.03428</v>
      </c>
      <c r="U292" s="157" t="n">
        <f aca="false">U302*U305/1000</f>
        <v>0</v>
      </c>
      <c r="V292" s="157" t="n">
        <f aca="false">V302*V305/1000</f>
        <v>0</v>
      </c>
      <c r="W292" s="157" t="n">
        <f aca="false">W302*W305/1000</f>
        <v>0</v>
      </c>
      <c r="X292" s="163" t="n">
        <f aca="false">SUM(U292:W292)</f>
        <v>0</v>
      </c>
      <c r="Y292" s="157" t="n">
        <f aca="false">Y302*Y305/1000</f>
        <v>0</v>
      </c>
      <c r="Z292" s="137" t="n">
        <f aca="false">Z302*Z305/1000</f>
        <v>0</v>
      </c>
    </row>
    <row r="293" customFormat="false" ht="15" hidden="false" customHeight="false" outlineLevel="0" collapsed="false">
      <c r="B293" s="71" t="s">
        <v>298</v>
      </c>
      <c r="C293" s="162" t="n">
        <f aca="false">I293+T293+X293+Y293+Z293</f>
        <v>7363.02820275</v>
      </c>
      <c r="D293" s="157" t="n">
        <f aca="false">D302*D307/1000</f>
        <v>1325.5335</v>
      </c>
      <c r="E293" s="157" t="n">
        <f aca="false">E302*E307/1000</f>
        <v>151.371</v>
      </c>
      <c r="F293" s="157" t="n">
        <f aca="false">F302*F307/1000</f>
        <v>92.2923</v>
      </c>
      <c r="G293" s="157" t="n">
        <f aca="false">G302*G307/1000</f>
        <v>38.6595</v>
      </c>
      <c r="H293" s="157" t="n">
        <f aca="false">H302*H307/1000</f>
        <v>12.6063</v>
      </c>
      <c r="I293" s="163" t="n">
        <f aca="false">SUM(D293:H293)</f>
        <v>1620.4626</v>
      </c>
      <c r="J293" s="157" t="n">
        <f aca="false">J302*J307/1000</f>
        <v>693.648</v>
      </c>
      <c r="K293" s="157" t="n">
        <f aca="false">K302*K307/1000</f>
        <v>181.5912</v>
      </c>
      <c r="L293" s="157" t="n">
        <f aca="false">L302*L307/1000</f>
        <v>728.0856</v>
      </c>
      <c r="M293" s="157" t="n">
        <f aca="false">M302*M307/1000</f>
        <v>140.2092</v>
      </c>
      <c r="N293" s="157" t="n">
        <f aca="false">N302*N307/1000</f>
        <v>118.4292</v>
      </c>
      <c r="O293" s="157" t="n">
        <f aca="false">O302*O307/1000</f>
        <v>82.4922</v>
      </c>
      <c r="P293" s="157" t="n">
        <f aca="false">P302*P307/1000</f>
        <v>68.8797</v>
      </c>
      <c r="Q293" s="157" t="n">
        <f aca="false">Q302*Q307/1000</f>
        <v>210.4497</v>
      </c>
      <c r="R293" s="157" t="n">
        <f aca="false">R302*R307/1000</f>
        <v>909.3159</v>
      </c>
      <c r="S293" s="157" t="n">
        <f aca="false">S302*S307/1000</f>
        <v>29.6208</v>
      </c>
      <c r="T293" s="163" t="n">
        <f aca="false">SUM(J293:S293)</f>
        <v>3162.7215</v>
      </c>
      <c r="U293" s="157" t="n">
        <f aca="false">U302*U307/1000</f>
        <v>108.3555</v>
      </c>
      <c r="V293" s="157" t="n">
        <f aca="false">V302*V307/1000</f>
        <v>158.1777</v>
      </c>
      <c r="W293" s="157" t="n">
        <f aca="false">W302*W307/1000</f>
        <v>246.6045</v>
      </c>
      <c r="X293" s="163" t="n">
        <f aca="false">SUM(U293:W293)</f>
        <v>513.1377</v>
      </c>
      <c r="Y293" s="157" t="n">
        <f aca="false">Y302*Y307/1000</f>
        <v>142.7229</v>
      </c>
      <c r="Z293" s="137" t="n">
        <f aca="false">Z302*Z307/1000</f>
        <v>1923.98350275</v>
      </c>
    </row>
    <row r="294" customFormat="false" ht="15" hidden="false" customHeight="false" outlineLevel="0" collapsed="false">
      <c r="B294" s="71" t="s">
        <v>299</v>
      </c>
      <c r="C294" s="162" t="n">
        <f aca="false">I294+T294+X294+Y294+Z294</f>
        <v>29612.1556268715</v>
      </c>
      <c r="D294" s="157" t="n">
        <f aca="false">D308*(D289+D290+D291+D292+D293)</f>
        <v>4950.4821573582</v>
      </c>
      <c r="E294" s="157" t="n">
        <f aca="false">E308*(E289+E290+E291+E292+E293)</f>
        <v>352.2084735873</v>
      </c>
      <c r="F294" s="157" t="n">
        <f aca="false">F308*(F289+F290+F291+F292+F293)</f>
        <v>255.24686228212</v>
      </c>
      <c r="G294" s="157" t="n">
        <f aca="false">G308*(G289+G290+G291+G292+G293)</f>
        <v>106.8924315976</v>
      </c>
      <c r="H294" s="157" t="n">
        <f aca="false">H308*(H289+H290+H291+H292+H293)</f>
        <v>19.28306921625</v>
      </c>
      <c r="I294" s="163" t="n">
        <f aca="false">SUM(D294:H294)</f>
        <v>5684.11299404147</v>
      </c>
      <c r="J294" s="157" t="n">
        <f aca="false">J308*(J289+J290+J291+J292+J293)</f>
        <v>4898.5857370944</v>
      </c>
      <c r="K294" s="157" t="n">
        <f aca="false">K308*(K289+K290+K291+K292+K293)</f>
        <v>1080.43049854656</v>
      </c>
      <c r="L294" s="157" t="n">
        <f aca="false">L308*(L289+L290+L291+L292+L293)</f>
        <v>6013.79987916544</v>
      </c>
      <c r="M294" s="157" t="n">
        <f aca="false">M308*(M289+M290+M291+M292+M293)</f>
        <v>586.54935390768</v>
      </c>
      <c r="N294" s="157" t="n">
        <f aca="false">N308*(N289+N290+N291+N292+N293)</f>
        <v>656.93060950608</v>
      </c>
      <c r="O294" s="157" t="n">
        <f aca="false">O308*(O289+O290+O291+O292+O293)</f>
        <v>482.36583619056</v>
      </c>
      <c r="P294" s="157" t="n">
        <f aca="false">P308*(P289+P290+P291+P292+P293)</f>
        <v>292.97596505472</v>
      </c>
      <c r="Q294" s="157" t="n">
        <f aca="false">Q308*(Q289+Q290+Q291+Q292+Q293)</f>
        <v>509.54430242836</v>
      </c>
      <c r="R294" s="157" t="n">
        <f aca="false">R308*(R289+R290+R291+R292+R293)</f>
        <v>3036.82194255384</v>
      </c>
      <c r="S294" s="157" t="n">
        <f aca="false">S308*(S289+S290+S291+S292+S293)</f>
        <v>60.58704650944</v>
      </c>
      <c r="T294" s="163" t="n">
        <f aca="false">SUM(J294:S294)</f>
        <v>17618.5911709571</v>
      </c>
      <c r="U294" s="157" t="n">
        <f aca="false">U308*(U289+U290+U291+U292+U293)</f>
        <v>325.9448104198</v>
      </c>
      <c r="V294" s="157" t="n">
        <f aca="false">V308*(V289+V290+V291+V292+V293)</f>
        <v>725.37169737684</v>
      </c>
      <c r="W294" s="157" t="n">
        <f aca="false">W308*(W289+W290+W291+W292+W293)</f>
        <v>908.7927232662</v>
      </c>
      <c r="X294" s="163" t="n">
        <f aca="false">SUM(U294:W294)</f>
        <v>1960.10923106284</v>
      </c>
      <c r="Y294" s="157" t="n">
        <f aca="false">Y308*(Y289+Y290+Y291+Y292+Y293)</f>
        <v>188.33541347872</v>
      </c>
      <c r="Z294" s="137" t="n">
        <f aca="false">Z308*(Z289+Z290+Z291+Z292+Z293)</f>
        <v>4161.00681733143</v>
      </c>
    </row>
    <row r="295" customFormat="false" ht="15" hidden="false" customHeight="false" outlineLevel="0" collapsed="false">
      <c r="B295" s="71" t="s">
        <v>300</v>
      </c>
      <c r="C295" s="162" t="n">
        <f aca="false">I295+T295+X295+Y295+Z295</f>
        <v>11165.567323</v>
      </c>
      <c r="D295" s="157" t="n">
        <f aca="false">IFERROR($M$401*D312/$C$312,0)</f>
        <v>6482.56569139741</v>
      </c>
      <c r="E295" s="157" t="n">
        <f aca="false">IFERROR($M$401*E312/$C$312,0)</f>
        <v>445.625655464858</v>
      </c>
      <c r="F295" s="157" t="n">
        <f aca="false">IFERROR($M$401*F312/$C$312,0)</f>
        <v>0</v>
      </c>
      <c r="G295" s="157" t="n">
        <f aca="false">IFERROR($M$401*G312/$C$312,0)</f>
        <v>0</v>
      </c>
      <c r="H295" s="157" t="n">
        <f aca="false">IFERROR($M$401*H312/$C$312,0)</f>
        <v>24.7514074363649</v>
      </c>
      <c r="I295" s="163" t="n">
        <f aca="false">SUM(D295:H295)</f>
        <v>6952.94275429863</v>
      </c>
      <c r="J295" s="157" t="n">
        <f aca="false">IFERROR($M$401*J312/$C$312,0)</f>
        <v>0</v>
      </c>
      <c r="K295" s="157" t="n">
        <f aca="false">IFERROR($M$401*K312/$C$312,0)</f>
        <v>0</v>
      </c>
      <c r="L295" s="157" t="n">
        <f aca="false">IFERROR($M$401*L312/$C$312,0)</f>
        <v>0</v>
      </c>
      <c r="M295" s="157" t="n">
        <f aca="false">IFERROR($M$401*M312/$C$312,0)</f>
        <v>0</v>
      </c>
      <c r="N295" s="157" t="n">
        <f aca="false">IFERROR($M$401*N312/$C$312,0)</f>
        <v>0</v>
      </c>
      <c r="O295" s="157" t="n">
        <f aca="false">IFERROR($M$401*O312/$C$312,0)</f>
        <v>0</v>
      </c>
      <c r="P295" s="157" t="n">
        <f aca="false">IFERROR($M$401*P312/$C$312,0)</f>
        <v>0</v>
      </c>
      <c r="Q295" s="157" t="n">
        <f aca="false">IFERROR($M$401*Q312/$C$312,0)</f>
        <v>0</v>
      </c>
      <c r="R295" s="157" t="n">
        <f aca="false">IFERROR($M$401*R312/$C$312,0)</f>
        <v>0</v>
      </c>
      <c r="S295" s="157" t="n">
        <f aca="false">IFERROR($M$401*S312/$C$312,0)</f>
        <v>0</v>
      </c>
      <c r="T295" s="163" t="n">
        <f aca="false">SUM(J295:S295)</f>
        <v>0</v>
      </c>
      <c r="U295" s="157" t="n">
        <f aca="false">IFERROR($M$401*U312/$C$312,0)</f>
        <v>0</v>
      </c>
      <c r="V295" s="157" t="n">
        <f aca="false">IFERROR($M$401*V312/$C$312,0)</f>
        <v>0</v>
      </c>
      <c r="W295" s="157" t="n">
        <f aca="false">IFERROR($M$401*W312/$C$312,0)</f>
        <v>0</v>
      </c>
      <c r="X295" s="163" t="n">
        <f aca="false">SUM(U295:W295)</f>
        <v>0</v>
      </c>
      <c r="Y295" s="157" t="n">
        <f aca="false">IFERROR($M$401*Y312/$C$312,0)</f>
        <v>186.776325485185</v>
      </c>
      <c r="Z295" s="137" t="n">
        <f aca="false">IFERROR($M$401*Z312/$C$312,0)</f>
        <v>4025.84824321618</v>
      </c>
    </row>
    <row r="296" customFormat="false" ht="15" hidden="false" customHeight="false" outlineLevel="0" collapsed="false">
      <c r="B296" s="71" t="s">
        <v>301</v>
      </c>
      <c r="C296" s="162" t="n">
        <f aca="false">I296+T296+X296+Y296+Z296</f>
        <v>30000</v>
      </c>
      <c r="D296" s="144" t="n">
        <v>10000</v>
      </c>
      <c r="E296" s="144" t="n">
        <v>0</v>
      </c>
      <c r="F296" s="144" t="n">
        <v>0</v>
      </c>
      <c r="G296" s="144" t="n">
        <v>0</v>
      </c>
      <c r="H296" s="144" t="n">
        <v>0</v>
      </c>
      <c r="I296" s="163" t="n">
        <f aca="false">SUM(D296:H296)</f>
        <v>10000</v>
      </c>
      <c r="J296" s="144" t="n">
        <v>10000</v>
      </c>
      <c r="K296" s="144" t="n">
        <v>0</v>
      </c>
      <c r="L296" s="144" t="n">
        <v>10000</v>
      </c>
      <c r="M296" s="144" t="n">
        <v>0</v>
      </c>
      <c r="N296" s="144" t="n">
        <v>0</v>
      </c>
      <c r="O296" s="144" t="n">
        <v>0</v>
      </c>
      <c r="P296" s="144" t="n">
        <v>0</v>
      </c>
      <c r="Q296" s="144" t="n">
        <v>0</v>
      </c>
      <c r="R296" s="144" t="n">
        <v>0</v>
      </c>
      <c r="S296" s="144" t="n">
        <v>0</v>
      </c>
      <c r="T296" s="163" t="n">
        <f aca="false">SUM(J296:S296)</f>
        <v>20000</v>
      </c>
      <c r="U296" s="144" t="n">
        <v>0</v>
      </c>
      <c r="V296" s="144" t="n">
        <v>0</v>
      </c>
      <c r="W296" s="144" t="n">
        <v>0</v>
      </c>
      <c r="X296" s="163" t="n">
        <f aca="false">SUM(U296:W296)</f>
        <v>0</v>
      </c>
      <c r="Y296" s="144" t="n">
        <v>0</v>
      </c>
      <c r="Z296" s="133" t="n">
        <v>0</v>
      </c>
    </row>
    <row r="297" customFormat="false" ht="15" hidden="false" customHeight="false" outlineLevel="0" collapsed="false">
      <c r="B297" s="71" t="s">
        <v>302</v>
      </c>
      <c r="C297" s="162" t="n">
        <f aca="false">I297+T297+X297+Y297+Z297</f>
        <v>1497.29112073134</v>
      </c>
      <c r="D297" s="157" t="n">
        <f aca="false">$M$362*D302/$C$69</f>
        <v>269.550718146193</v>
      </c>
      <c r="E297" s="157" t="n">
        <f aca="false">$M$362*E302/$C$69</f>
        <v>30.7816903582651</v>
      </c>
      <c r="F297" s="157" t="n">
        <f aca="false">$M$362*F302/$C$69</f>
        <v>18.7678815694691</v>
      </c>
      <c r="G297" s="157" t="n">
        <f aca="false">$M$362*G302/$C$69</f>
        <v>7.86151084689504</v>
      </c>
      <c r="H297" s="157" t="n">
        <f aca="false">$M$362*H302/$C$69</f>
        <v>2.56352420981163</v>
      </c>
      <c r="I297" s="163" t="n">
        <f aca="false">SUM(D297:H297)</f>
        <v>329.525325130634</v>
      </c>
      <c r="J297" s="157" t="n">
        <f aca="false">$M$362*J302/$C$69</f>
        <v>141.055142356395</v>
      </c>
      <c r="K297" s="157" t="n">
        <f aca="false">$M$362*K302/$C$69</f>
        <v>36.9270473881112</v>
      </c>
      <c r="L297" s="157" t="n">
        <f aca="false">$M$362*L302/$C$69</f>
        <v>148.058118751357</v>
      </c>
      <c r="M297" s="157" t="n">
        <f aca="false">$M$362*M302/$C$69</f>
        <v>28.511909016787</v>
      </c>
      <c r="N297" s="157" t="n">
        <f aca="false">$M$362*N302/$C$69</f>
        <v>24.0828888213531</v>
      </c>
      <c r="O297" s="157" t="n">
        <f aca="false">$M$362*O302/$C$69</f>
        <v>16.7750054988873</v>
      </c>
      <c r="P297" s="157" t="n">
        <f aca="false">$M$362*P302/$C$69</f>
        <v>14.0068678767412</v>
      </c>
      <c r="Q297" s="157" t="n">
        <f aca="false">$M$362*Q302/$C$69</f>
        <v>42.795499147061</v>
      </c>
      <c r="R297" s="157" t="n">
        <f aca="false">$M$362*R302/$C$69</f>
        <v>184.911776176726</v>
      </c>
      <c r="S297" s="157" t="n">
        <f aca="false">$M$362*S302/$C$69</f>
        <v>6.02346746579</v>
      </c>
      <c r="T297" s="163" t="n">
        <f aca="false">SUM(J297:S297)</f>
        <v>643.147722499208</v>
      </c>
      <c r="U297" s="157" t="n">
        <f aca="false">$M$362*U302/$C$69</f>
        <v>22.0343754722833</v>
      </c>
      <c r="V297" s="157" t="n">
        <f aca="false">$M$362*V302/$C$69</f>
        <v>32.1658506780199</v>
      </c>
      <c r="W297" s="157" t="n">
        <f aca="false">$M$362*W302/$C$69</f>
        <v>50.1476726714812</v>
      </c>
      <c r="X297" s="163" t="n">
        <f aca="false">SUM(U297:W297)</f>
        <v>104.347898821784</v>
      </c>
      <c r="Y297" s="157" t="n">
        <f aca="false">$M$362*Y302/$C$69</f>
        <v>29.0230765128963</v>
      </c>
      <c r="Z297" s="137" t="n">
        <f aca="false">$M$362*Z302/$C$69</f>
        <v>391.247097766816</v>
      </c>
    </row>
    <row r="298" customFormat="false" ht="15" hidden="false" customHeight="false" outlineLevel="0" collapsed="false">
      <c r="B298" s="71" t="s">
        <v>303</v>
      </c>
      <c r="C298" s="162" t="n">
        <f aca="false">I298+T298+X298+Y298+Z298</f>
        <v>8437.02735197974</v>
      </c>
      <c r="D298" s="157" t="n">
        <f aca="false">$M$380*D302/$C$69</f>
        <v>1518.88083102663</v>
      </c>
      <c r="E298" s="157" t="n">
        <f aca="false">$M$380*E302/$C$69</f>
        <v>173.450546722005</v>
      </c>
      <c r="F298" s="157" t="n">
        <f aca="false">$M$380*F302/$C$69</f>
        <v>105.754404035326</v>
      </c>
      <c r="G298" s="157" t="n">
        <f aca="false">$M$380*G302/$C$69</f>
        <v>44.298520925404</v>
      </c>
      <c r="H298" s="157" t="n">
        <f aca="false">$M$380*H302/$C$69</f>
        <v>14.4451026097575</v>
      </c>
      <c r="I298" s="163" t="n">
        <f aca="false">SUM(D298:H298)</f>
        <v>1856.82940531912</v>
      </c>
      <c r="J298" s="157" t="n">
        <f aca="false">$M$380*J302/$C$69</f>
        <v>794.826121467289</v>
      </c>
      <c r="K298" s="157" t="n">
        <f aca="false">$M$380*K302/$C$69</f>
        <v>208.078779422114</v>
      </c>
      <c r="L298" s="157" t="n">
        <f aca="false">$M$380*L302/$C$69</f>
        <v>834.286920086534</v>
      </c>
      <c r="M298" s="157" t="n">
        <f aca="false">$M$380*M302/$C$69</f>
        <v>160.660644347034</v>
      </c>
      <c r="N298" s="157" t="n">
        <f aca="false">$M$380*N302/$C$69</f>
        <v>135.703731149623</v>
      </c>
      <c r="O298" s="157" t="n">
        <f aca="false">$M$380*O302/$C$69</f>
        <v>94.5248243738955</v>
      </c>
      <c r="P298" s="157" t="n">
        <f aca="false">$M$380*P302/$C$69</f>
        <v>78.9267536255138</v>
      </c>
      <c r="Q298" s="157" t="n">
        <f aca="false">$M$380*Q302/$C$69</f>
        <v>241.146689408684</v>
      </c>
      <c r="R298" s="157" t="n">
        <f aca="false">$M$380*R302/$C$69</f>
        <v>1041.9521572693</v>
      </c>
      <c r="S298" s="157" t="n">
        <f aca="false">$M$380*S302/$C$69</f>
        <v>33.9414019484786</v>
      </c>
      <c r="T298" s="163" t="n">
        <f aca="false">SUM(J298:S298)</f>
        <v>3624.04802309847</v>
      </c>
      <c r="U298" s="157" t="n">
        <f aca="false">$M$380*U302/$C$69</f>
        <v>124.160643157118</v>
      </c>
      <c r="V298" s="157" t="n">
        <f aca="false">$M$380*V302/$C$69</f>
        <v>181.250097734898</v>
      </c>
      <c r="W298" s="157" t="n">
        <f aca="false">$M$380*W302/$C$69</f>
        <v>282.575165316385</v>
      </c>
      <c r="X298" s="163" t="n">
        <f aca="false">SUM(U298:W298)</f>
        <v>587.985906208402</v>
      </c>
      <c r="Y298" s="157" t="n">
        <f aca="false">$M$380*Y302/$C$69</f>
        <v>163.541002138785</v>
      </c>
      <c r="Z298" s="137" t="n">
        <f aca="false">$M$380*Z302/$C$69</f>
        <v>2204.62301521497</v>
      </c>
    </row>
    <row r="299" customFormat="false" ht="15" hidden="false" customHeight="false" outlineLevel="0" collapsed="false">
      <c r="B299" s="64" t="s">
        <v>304</v>
      </c>
      <c r="C299" s="162" t="n">
        <f aca="false">I299+T299+X299+Y299+Z299</f>
        <v>11249.386611606</v>
      </c>
      <c r="D299" s="157" t="n">
        <f aca="false">($M$378+$M$379)*D302/$C$69</f>
        <v>2025.17746741293</v>
      </c>
      <c r="E299" s="157" t="n">
        <f aca="false">($M$378+$M$379)*E302/$C$69</f>
        <v>231.26774119233</v>
      </c>
      <c r="F299" s="157" t="n">
        <f aca="false">($M$378+$M$379)*F302/$C$69</f>
        <v>141.006082740055</v>
      </c>
      <c r="G299" s="157" t="n">
        <f aca="false">($M$378+$M$379)*G302/$C$69</f>
        <v>59.0647828225015</v>
      </c>
      <c r="H299" s="157" t="n">
        <f aca="false">($M$378+$M$379)*H302/$C$69</f>
        <v>19.2601655917769</v>
      </c>
      <c r="I299" s="163" t="n">
        <f aca="false">SUM(D299:H299)</f>
        <v>2475.7762397596</v>
      </c>
      <c r="J299" s="157" t="n">
        <f aca="false">($M$378+$M$379)*J302/$C$69</f>
        <v>1059.76974547686</v>
      </c>
      <c r="K299" s="157" t="n">
        <f aca="false">($M$378+$M$379)*K302/$C$69</f>
        <v>277.438787115132</v>
      </c>
      <c r="L299" s="157" t="n">
        <f aca="false">($M$378+$M$379)*L302/$C$69</f>
        <v>1112.38422225302</v>
      </c>
      <c r="M299" s="157" t="n">
        <f aca="false">($M$378+$M$379)*M302/$C$69</f>
        <v>214.214512544567</v>
      </c>
      <c r="N299" s="157" t="n">
        <f aca="false">($M$378+$M$379)*N302/$C$69</f>
        <v>180.938578560059</v>
      </c>
      <c r="O299" s="157" t="n">
        <f aca="false">($M$378+$M$379)*O302/$C$69</f>
        <v>126.033287485621</v>
      </c>
      <c r="P299" s="157" t="n">
        <f aca="false">($M$378+$M$379)*P302/$C$69</f>
        <v>105.235828745303</v>
      </c>
      <c r="Q299" s="157" t="n">
        <f aca="false">($M$378+$M$379)*Q302/$C$69</f>
        <v>321.529399644605</v>
      </c>
      <c r="R299" s="157" t="n">
        <f aca="false">($M$378+$M$379)*R302/$C$69</f>
        <v>1389.2716188918</v>
      </c>
      <c r="S299" s="157" t="n">
        <f aca="false">($M$378+$M$379)*S302/$C$69</f>
        <v>45.2552702189307</v>
      </c>
      <c r="T299" s="163" t="n">
        <f aca="false">SUM(J299:S299)</f>
        <v>4832.07125093589</v>
      </c>
      <c r="U299" s="157" t="n">
        <f aca="false">($M$378+$M$379)*U302/$C$69</f>
        <v>165.547771572927</v>
      </c>
      <c r="V299" s="157" t="n">
        <f aca="false">($M$378+$M$379)*V302/$C$69</f>
        <v>241.667158081786</v>
      </c>
      <c r="W299" s="157" t="n">
        <f aca="false">($M$378+$M$379)*W302/$C$69</f>
        <v>376.767450058888</v>
      </c>
      <c r="X299" s="163" t="n">
        <f aca="false">SUM(U299:W299)</f>
        <v>783.9823797136</v>
      </c>
      <c r="Y299" s="157" t="n">
        <f aca="false">($M$378+$M$379)*Y302/$C$69</f>
        <v>218.054995338729</v>
      </c>
      <c r="Z299" s="137" t="n">
        <f aca="false">($M$378+$M$379)*Z302/$C$69</f>
        <v>2939.50174585818</v>
      </c>
    </row>
    <row r="300" customFormat="false" ht="15" hidden="false" customHeight="false" outlineLevel="0" collapsed="false">
      <c r="B300" s="71" t="s">
        <v>155</v>
      </c>
      <c r="C300" s="162" t="n">
        <f aca="false">I300+T300+X300+Y300+Z300</f>
        <v>1085193.923612</v>
      </c>
      <c r="D300" s="164" t="n">
        <f aca="false">SUM(D289:D299)</f>
        <v>234127.760551341</v>
      </c>
      <c r="E300" s="164" t="n">
        <f aca="false">SUM(E289:E299)</f>
        <v>16094.4511363248</v>
      </c>
      <c r="F300" s="164" t="n">
        <f aca="false">SUM(F289:F299)</f>
        <v>8598.20758132697</v>
      </c>
      <c r="G300" s="164" t="n">
        <f aca="false">SUM(G289:G299)</f>
        <v>3600.7891321924</v>
      </c>
      <c r="H300" s="164" t="n">
        <f aca="false">SUM(H289:H299)</f>
        <v>893.934881563961</v>
      </c>
      <c r="I300" s="163" t="n">
        <f aca="false">SUM(D300:H300)</f>
        <v>263315.143282749</v>
      </c>
      <c r="J300" s="164" t="n">
        <f aca="false">SUM(J289:J299)</f>
        <v>171912.772730395</v>
      </c>
      <c r="K300" s="164" t="n">
        <f aca="false">SUM(K289:K299)</f>
        <v>35793.7136740719</v>
      </c>
      <c r="L300" s="164" t="n">
        <f aca="false">SUM(L289:L299)</f>
        <v>208418.651898656</v>
      </c>
      <c r="M300" s="164" t="n">
        <f aca="false">SUM(M289:M299)</f>
        <v>19551.6248346161</v>
      </c>
      <c r="N300" s="164" t="n">
        <f aca="false">SUM(N289:N299)</f>
        <v>21786.5991468371</v>
      </c>
      <c r="O300" s="164" t="n">
        <f aca="false">SUM(O289:O299)</f>
        <v>15984.440605149</v>
      </c>
      <c r="P300" s="164" t="n">
        <f aca="false">SUM(P289:P299)</f>
        <v>9762.53671450228</v>
      </c>
      <c r="Q300" s="164" t="n">
        <f aca="false">SUM(Q289:Q299)</f>
        <v>17239.8355877287</v>
      </c>
      <c r="R300" s="164" t="n">
        <f aca="false">SUM(R289:R299)</f>
        <v>101754.917702292</v>
      </c>
      <c r="S300" s="164" t="n">
        <f aca="false">SUM(S289:S299)</f>
        <v>2063.11878454264</v>
      </c>
      <c r="T300" s="163" t="n">
        <f aca="false">SUM(J300:S300)</f>
        <v>604268.211678791</v>
      </c>
      <c r="U300" s="164" t="n">
        <f aca="false">SUM(U289:U299)</f>
        <v>10952.3967911221</v>
      </c>
      <c r="V300" s="164" t="n">
        <f aca="false">SUM(V289:V299)</f>
        <v>24135.2553537715</v>
      </c>
      <c r="W300" s="164" t="n">
        <f aca="false">SUM(W289:W299)</f>
        <v>30377.546405813</v>
      </c>
      <c r="X300" s="163" t="n">
        <f aca="false">SUM(U300:W300)</f>
        <v>65465.1985507066</v>
      </c>
      <c r="Y300" s="164" t="n">
        <f aca="false">SUM(Y289:Y299)</f>
        <v>6745.71225215431</v>
      </c>
      <c r="Z300" s="165" t="n">
        <f aca="false">SUM(Z289:Z299)</f>
        <v>145399.657847598</v>
      </c>
    </row>
    <row r="301" customFormat="false" ht="15" hidden="false" customHeight="false" outlineLevel="0" collapsed="false">
      <c r="B301" s="166" t="s">
        <v>305</v>
      </c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74"/>
    </row>
    <row r="302" customFormat="false" ht="15" hidden="false" customHeight="false" outlineLevel="0" collapsed="false">
      <c r="B302" s="71" t="s">
        <v>182</v>
      </c>
      <c r="C302" s="114" t="n">
        <f aca="false">I302+T302+X302+Y302+Z302</f>
        <v>81811.424475</v>
      </c>
      <c r="D302" s="167" t="n">
        <f aca="false">$D$74</f>
        <v>14728.15</v>
      </c>
      <c r="E302" s="167" t="n">
        <f aca="false">$E$74</f>
        <v>1681.9</v>
      </c>
      <c r="F302" s="167" t="n">
        <f aca="false">$F$74</f>
        <v>1025.47</v>
      </c>
      <c r="G302" s="167" t="n">
        <f aca="false">$G$74</f>
        <v>429.55</v>
      </c>
      <c r="H302" s="167" t="n">
        <f aca="false">$H$74</f>
        <v>140.07</v>
      </c>
      <c r="I302" s="115" t="n">
        <f aca="false">SUM(D302:H302)</f>
        <v>18005.14</v>
      </c>
      <c r="J302" s="167" t="n">
        <f aca="false">$J$74</f>
        <v>7707.2</v>
      </c>
      <c r="K302" s="167" t="n">
        <f aca="false">$K$74</f>
        <v>2017.68</v>
      </c>
      <c r="L302" s="167" t="n">
        <f aca="false">$L$74</f>
        <v>8089.84</v>
      </c>
      <c r="M302" s="167" t="n">
        <f aca="false">$M$74</f>
        <v>1557.88</v>
      </c>
      <c r="N302" s="167" t="n">
        <f aca="false">$N$74</f>
        <v>1315.88</v>
      </c>
      <c r="O302" s="167" t="n">
        <f aca="false">$O$74</f>
        <v>916.58</v>
      </c>
      <c r="P302" s="167" t="n">
        <f aca="false">$P$74</f>
        <v>765.33</v>
      </c>
      <c r="Q302" s="167" t="n">
        <f aca="false">$Q$74</f>
        <v>2338.33</v>
      </c>
      <c r="R302" s="167" t="n">
        <f aca="false">$R$74</f>
        <v>10103.51</v>
      </c>
      <c r="S302" s="167" t="n">
        <f aca="false">$S$74</f>
        <v>329.12</v>
      </c>
      <c r="T302" s="115" t="n">
        <f aca="false">SUM(J302:S302)</f>
        <v>35141.35</v>
      </c>
      <c r="U302" s="167" t="n">
        <f aca="false">$U$74</f>
        <v>1203.95</v>
      </c>
      <c r="V302" s="167" t="n">
        <f aca="false">$V$74</f>
        <v>1757.53</v>
      </c>
      <c r="W302" s="167" t="n">
        <f aca="false">$W$74</f>
        <v>2740.05</v>
      </c>
      <c r="X302" s="115" t="n">
        <f aca="false">SUM(U302:W302)</f>
        <v>5701.53</v>
      </c>
      <c r="Y302" s="167" t="n">
        <f aca="false">$Y$74</f>
        <v>1585.81</v>
      </c>
      <c r="Z302" s="168" t="n">
        <f aca="false">$Z$74</f>
        <v>21377.594475</v>
      </c>
    </row>
    <row r="303" customFormat="false" ht="15" hidden="false" customHeight="false" outlineLevel="0" collapsed="false">
      <c r="B303" s="71" t="s">
        <v>22</v>
      </c>
      <c r="C303" s="52"/>
      <c r="D303" s="169" t="n">
        <v>8582.48</v>
      </c>
      <c r="E303" s="169" t="n">
        <v>7124.68</v>
      </c>
      <c r="F303" s="169" t="n">
        <v>6164.98</v>
      </c>
      <c r="G303" s="169" t="n">
        <v>6164.59</v>
      </c>
      <c r="H303" s="169" t="n">
        <v>5297.35</v>
      </c>
      <c r="I303" s="52"/>
      <c r="J303" s="169" t="n">
        <v>8859.12</v>
      </c>
      <c r="K303" s="169" t="n">
        <v>7142.36</v>
      </c>
      <c r="L303" s="169" t="n">
        <v>9659.15</v>
      </c>
      <c r="M303" s="169" t="n">
        <v>6603.2</v>
      </c>
      <c r="N303" s="169" t="n">
        <v>6560.63</v>
      </c>
      <c r="O303" s="169" t="n">
        <v>7142.86</v>
      </c>
      <c r="P303" s="169" t="n">
        <v>6602.38</v>
      </c>
      <c r="Q303" s="169" t="n">
        <v>6384.47</v>
      </c>
      <c r="R303" s="169" t="n">
        <v>7800.36</v>
      </c>
      <c r="S303" s="169" t="n">
        <v>5314.17</v>
      </c>
      <c r="T303" s="52"/>
      <c r="U303" s="169" t="n">
        <v>6855.77</v>
      </c>
      <c r="V303" s="169" t="n">
        <v>5836.6</v>
      </c>
      <c r="W303" s="169" t="n">
        <v>6384.56</v>
      </c>
      <c r="X303" s="52"/>
      <c r="Y303" s="169" t="n">
        <v>3246.92</v>
      </c>
      <c r="Z303" s="170" t="n">
        <v>5648.2</v>
      </c>
    </row>
    <row r="304" customFormat="false" ht="15" hidden="false" customHeight="false" outlineLevel="0" collapsed="false">
      <c r="B304" s="71" t="s">
        <v>296</v>
      </c>
      <c r="C304" s="52"/>
      <c r="D304" s="169" t="n">
        <v>4523.18</v>
      </c>
      <c r="E304" s="169" t="n">
        <v>1199.83</v>
      </c>
      <c r="F304" s="169" t="n">
        <v>1200.43</v>
      </c>
      <c r="G304" s="169" t="n">
        <v>1198.93</v>
      </c>
      <c r="H304" s="169" t="n">
        <v>0</v>
      </c>
      <c r="I304" s="52"/>
      <c r="J304" s="169" t="n">
        <v>10177.5</v>
      </c>
      <c r="K304" s="169" t="n">
        <v>8726.36</v>
      </c>
      <c r="L304" s="169" t="n">
        <v>10177.21</v>
      </c>
      <c r="M304" s="169" t="n">
        <v>4800.11</v>
      </c>
      <c r="N304" s="169" t="n">
        <v>8726.48</v>
      </c>
      <c r="O304" s="169" t="n">
        <v>8999.76</v>
      </c>
      <c r="P304" s="169" t="n">
        <v>5000.46</v>
      </c>
      <c r="Q304" s="169" t="n">
        <v>0</v>
      </c>
      <c r="R304" s="169" t="n">
        <v>1199.98</v>
      </c>
      <c r="S304" s="169" t="n">
        <v>0</v>
      </c>
      <c r="T304" s="52"/>
      <c r="U304" s="169" t="n">
        <v>1200.22</v>
      </c>
      <c r="V304" s="169" t="n">
        <v>6712.83</v>
      </c>
      <c r="W304" s="169" t="n">
        <v>3599.93</v>
      </c>
      <c r="X304" s="52"/>
      <c r="Y304" s="169" t="n">
        <v>0</v>
      </c>
      <c r="Z304" s="170" t="n">
        <v>0</v>
      </c>
    </row>
    <row r="305" customFormat="false" ht="15" hidden="false" customHeight="false" outlineLevel="0" collapsed="false">
      <c r="B305" s="64" t="s">
        <v>297</v>
      </c>
      <c r="C305" s="52"/>
      <c r="D305" s="169" t="n">
        <v>565.38</v>
      </c>
      <c r="E305" s="169" t="n">
        <v>0</v>
      </c>
      <c r="F305" s="169" t="n">
        <v>0</v>
      </c>
      <c r="G305" s="169" t="n">
        <v>0</v>
      </c>
      <c r="H305" s="169" t="n">
        <v>0</v>
      </c>
      <c r="I305" s="52"/>
      <c r="J305" s="169" t="n">
        <v>565.45</v>
      </c>
      <c r="K305" s="169" t="n">
        <v>565.5</v>
      </c>
      <c r="L305" s="171" t="n">
        <v>100</v>
      </c>
      <c r="M305" s="169" t="n">
        <v>0</v>
      </c>
      <c r="N305" s="169" t="n">
        <v>0</v>
      </c>
      <c r="O305" s="169" t="n">
        <v>0</v>
      </c>
      <c r="P305" s="169" t="n">
        <v>0</v>
      </c>
      <c r="Q305" s="169" t="n">
        <v>0</v>
      </c>
      <c r="R305" s="169" t="n">
        <v>0</v>
      </c>
      <c r="S305" s="169" t="n">
        <v>0</v>
      </c>
      <c r="T305" s="52"/>
      <c r="U305" s="169" t="n">
        <v>0</v>
      </c>
      <c r="V305" s="169" t="n">
        <v>0</v>
      </c>
      <c r="W305" s="169" t="n">
        <v>0</v>
      </c>
      <c r="X305" s="52"/>
      <c r="Y305" s="169" t="n">
        <v>0</v>
      </c>
      <c r="Z305" s="170" t="n">
        <v>0</v>
      </c>
    </row>
    <row r="306" customFormat="false" ht="15" hidden="false" customHeight="false" outlineLevel="0" collapsed="false">
      <c r="B306" s="71" t="s">
        <v>295</v>
      </c>
      <c r="C306" s="52"/>
      <c r="D306" s="172" t="n">
        <f aca="false">$L$368</f>
        <v>421.4</v>
      </c>
      <c r="E306" s="172" t="n">
        <f aca="false">$L$368</f>
        <v>421.4</v>
      </c>
      <c r="F306" s="172" t="n">
        <f aca="false">$L$368</f>
        <v>421.4</v>
      </c>
      <c r="G306" s="172" t="n">
        <f aca="false">$L$368</f>
        <v>421.4</v>
      </c>
      <c r="H306" s="172" t="n">
        <f aca="false">$L$368</f>
        <v>421.4</v>
      </c>
      <c r="I306" s="52"/>
      <c r="J306" s="172" t="n">
        <f aca="false">$L$368</f>
        <v>421.4</v>
      </c>
      <c r="K306" s="172" t="n">
        <f aca="false">$L$368</f>
        <v>421.4</v>
      </c>
      <c r="L306" s="172" t="n">
        <f aca="false">$L$368</f>
        <v>421.4</v>
      </c>
      <c r="M306" s="172" t="n">
        <f aca="false">$L$368</f>
        <v>421.4</v>
      </c>
      <c r="N306" s="172" t="n">
        <f aca="false">$L$368</f>
        <v>421.4</v>
      </c>
      <c r="O306" s="172" t="n">
        <f aca="false">$L$368</f>
        <v>421.4</v>
      </c>
      <c r="P306" s="172" t="n">
        <f aca="false">$L$368</f>
        <v>421.4</v>
      </c>
      <c r="Q306" s="172" t="n">
        <f aca="false">$L$368</f>
        <v>421.4</v>
      </c>
      <c r="R306" s="172" t="n">
        <f aca="false">$L$368</f>
        <v>421.4</v>
      </c>
      <c r="S306" s="172" t="n">
        <f aca="false">$L$368</f>
        <v>421.4</v>
      </c>
      <c r="T306" s="52"/>
      <c r="U306" s="172" t="n">
        <f aca="false">$L$368</f>
        <v>421.4</v>
      </c>
      <c r="V306" s="172" t="n">
        <f aca="false">$L$368</f>
        <v>421.4</v>
      </c>
      <c r="W306" s="172" t="n">
        <f aca="false">$L$368</f>
        <v>421.4</v>
      </c>
      <c r="X306" s="52"/>
      <c r="Y306" s="172" t="n">
        <f aca="false">$L$368</f>
        <v>421.4</v>
      </c>
      <c r="Z306" s="173" t="n">
        <f aca="false">$L$368</f>
        <v>421.4</v>
      </c>
    </row>
    <row r="307" customFormat="false" ht="15" hidden="false" customHeight="false" outlineLevel="0" collapsed="false">
      <c r="B307" s="71" t="s">
        <v>298</v>
      </c>
      <c r="C307" s="52"/>
      <c r="D307" s="172" t="n">
        <f aca="false">$L$374</f>
        <v>90</v>
      </c>
      <c r="E307" s="172" t="n">
        <f aca="false">$L$374</f>
        <v>90</v>
      </c>
      <c r="F307" s="172" t="n">
        <f aca="false">$L$374</f>
        <v>90</v>
      </c>
      <c r="G307" s="172" t="n">
        <f aca="false">$L$374</f>
        <v>90</v>
      </c>
      <c r="H307" s="172" t="n">
        <f aca="false">$L$374</f>
        <v>90</v>
      </c>
      <c r="I307" s="52"/>
      <c r="J307" s="172" t="n">
        <f aca="false">$L$374</f>
        <v>90</v>
      </c>
      <c r="K307" s="172" t="n">
        <f aca="false">$L$374</f>
        <v>90</v>
      </c>
      <c r="L307" s="172" t="n">
        <f aca="false">$L$374</f>
        <v>90</v>
      </c>
      <c r="M307" s="172" t="n">
        <f aca="false">$L$374</f>
        <v>90</v>
      </c>
      <c r="N307" s="172" t="n">
        <f aca="false">$L$374</f>
        <v>90</v>
      </c>
      <c r="O307" s="172" t="n">
        <f aca="false">$L$374</f>
        <v>90</v>
      </c>
      <c r="P307" s="172" t="n">
        <f aca="false">$L$374</f>
        <v>90</v>
      </c>
      <c r="Q307" s="172" t="n">
        <f aca="false">$L$374</f>
        <v>90</v>
      </c>
      <c r="R307" s="172" t="n">
        <f aca="false">$L$374</f>
        <v>90</v>
      </c>
      <c r="S307" s="172" t="n">
        <f aca="false">$L$374</f>
        <v>90</v>
      </c>
      <c r="T307" s="52"/>
      <c r="U307" s="172" t="n">
        <f aca="false">$L$374</f>
        <v>90</v>
      </c>
      <c r="V307" s="172" t="n">
        <f aca="false">$L$374</f>
        <v>90</v>
      </c>
      <c r="W307" s="172" t="n">
        <f aca="false">$L$374</f>
        <v>90</v>
      </c>
      <c r="X307" s="52"/>
      <c r="Y307" s="172" t="n">
        <f aca="false">$L$374</f>
        <v>90</v>
      </c>
      <c r="Z307" s="173" t="n">
        <f aca="false">$L$374</f>
        <v>90</v>
      </c>
    </row>
    <row r="308" customFormat="false" ht="15" hidden="false" customHeight="false" outlineLevel="0" collapsed="false">
      <c r="B308" s="71" t="s">
        <v>299</v>
      </c>
      <c r="C308" s="52"/>
      <c r="D308" s="158" t="n">
        <v>0.0237</v>
      </c>
      <c r="E308" s="158" t="n">
        <v>0.0237</v>
      </c>
      <c r="F308" s="158" t="n">
        <v>0.0316</v>
      </c>
      <c r="G308" s="158" t="n">
        <v>0.0316</v>
      </c>
      <c r="H308" s="158" t="n">
        <v>0.0237</v>
      </c>
      <c r="I308" s="52"/>
      <c r="J308" s="158" t="n">
        <v>0.0316</v>
      </c>
      <c r="K308" s="158" t="n">
        <v>0.0316</v>
      </c>
      <c r="L308" s="158" t="n">
        <v>0.0316</v>
      </c>
      <c r="M308" s="158" t="n">
        <v>0.0316</v>
      </c>
      <c r="N308" s="158" t="n">
        <v>0.0316</v>
      </c>
      <c r="O308" s="158" t="n">
        <v>0.0316</v>
      </c>
      <c r="P308" s="158" t="n">
        <v>0.0316</v>
      </c>
      <c r="Q308" s="158" t="n">
        <v>0.0316</v>
      </c>
      <c r="R308" s="158" t="n">
        <v>0.0316</v>
      </c>
      <c r="S308" s="158" t="n">
        <v>0.0316</v>
      </c>
      <c r="T308" s="52"/>
      <c r="U308" s="158" t="n">
        <v>0.0316</v>
      </c>
      <c r="V308" s="158" t="n">
        <v>0.0316</v>
      </c>
      <c r="W308" s="158" t="n">
        <v>0.0316</v>
      </c>
      <c r="X308" s="52"/>
      <c r="Y308" s="158" t="n">
        <v>0.0316</v>
      </c>
      <c r="Z308" s="174" t="n">
        <v>0.0316</v>
      </c>
    </row>
    <row r="309" customFormat="false" ht="15" hidden="false" customHeight="false" outlineLevel="0" collapsed="false">
      <c r="B309" s="71" t="s">
        <v>301</v>
      </c>
      <c r="C309" s="52"/>
      <c r="D309" s="175" t="s">
        <v>306</v>
      </c>
      <c r="E309" s="175" t="s">
        <v>306</v>
      </c>
      <c r="F309" s="175" t="s">
        <v>306</v>
      </c>
      <c r="G309" s="175" t="s">
        <v>306</v>
      </c>
      <c r="H309" s="175" t="s">
        <v>306</v>
      </c>
      <c r="I309" s="52"/>
      <c r="J309" s="175" t="s">
        <v>306</v>
      </c>
      <c r="K309" s="175" t="s">
        <v>306</v>
      </c>
      <c r="L309" s="175" t="s">
        <v>306</v>
      </c>
      <c r="M309" s="175" t="s">
        <v>306</v>
      </c>
      <c r="N309" s="175" t="s">
        <v>306</v>
      </c>
      <c r="O309" s="175" t="s">
        <v>306</v>
      </c>
      <c r="P309" s="175" t="s">
        <v>306</v>
      </c>
      <c r="Q309" s="175" t="s">
        <v>306</v>
      </c>
      <c r="R309" s="175" t="s">
        <v>306</v>
      </c>
      <c r="S309" s="175" t="s">
        <v>306</v>
      </c>
      <c r="T309" s="52"/>
      <c r="U309" s="175" t="s">
        <v>306</v>
      </c>
      <c r="V309" s="175" t="s">
        <v>306</v>
      </c>
      <c r="W309" s="175" t="s">
        <v>306</v>
      </c>
      <c r="X309" s="52"/>
      <c r="Y309" s="175" t="s">
        <v>306</v>
      </c>
      <c r="Z309" s="176" t="s">
        <v>306</v>
      </c>
    </row>
    <row r="310" customFormat="false" ht="15" hidden="false" customHeight="false" outlineLevel="0" collapsed="false">
      <c r="B310" s="71" t="s">
        <v>307</v>
      </c>
      <c r="C310" s="162" t="n">
        <f aca="false">C300</f>
        <v>1085193.923612</v>
      </c>
      <c r="D310" s="164" t="n">
        <f aca="false">D300</f>
        <v>234127.760551341</v>
      </c>
      <c r="E310" s="164" t="n">
        <f aca="false">E300</f>
        <v>16094.4511363248</v>
      </c>
      <c r="F310" s="164" t="n">
        <f aca="false">F300</f>
        <v>8598.20758132697</v>
      </c>
      <c r="G310" s="164" t="n">
        <f aca="false">G300</f>
        <v>3600.7891321924</v>
      </c>
      <c r="H310" s="164" t="n">
        <f aca="false">H300</f>
        <v>893.934881563961</v>
      </c>
      <c r="I310" s="163" t="n">
        <f aca="false">I300</f>
        <v>263315.143282749</v>
      </c>
      <c r="J310" s="164" t="n">
        <f aca="false">J300</f>
        <v>171912.772730395</v>
      </c>
      <c r="K310" s="164" t="n">
        <f aca="false">K300</f>
        <v>35793.7136740719</v>
      </c>
      <c r="L310" s="164" t="n">
        <f aca="false">L300</f>
        <v>208418.651898656</v>
      </c>
      <c r="M310" s="164" t="n">
        <f aca="false">M300</f>
        <v>19551.6248346161</v>
      </c>
      <c r="N310" s="164" t="n">
        <f aca="false">N300</f>
        <v>21786.5991468371</v>
      </c>
      <c r="O310" s="164" t="n">
        <f aca="false">O300</f>
        <v>15984.440605149</v>
      </c>
      <c r="P310" s="164" t="n">
        <f aca="false">P300</f>
        <v>9762.53671450228</v>
      </c>
      <c r="Q310" s="164" t="n">
        <f aca="false">Q300</f>
        <v>17239.8355877287</v>
      </c>
      <c r="R310" s="164" t="n">
        <f aca="false">R300</f>
        <v>101754.917702292</v>
      </c>
      <c r="S310" s="164" t="n">
        <f aca="false">S300</f>
        <v>2063.11878454264</v>
      </c>
      <c r="T310" s="163" t="n">
        <f aca="false">T300</f>
        <v>604268.211678791</v>
      </c>
      <c r="U310" s="164" t="n">
        <f aca="false">U300</f>
        <v>10952.3967911221</v>
      </c>
      <c r="V310" s="164" t="n">
        <f aca="false">V300</f>
        <v>24135.2553537715</v>
      </c>
      <c r="W310" s="164" t="n">
        <f aca="false">W300</f>
        <v>30377.546405813</v>
      </c>
      <c r="X310" s="163" t="n">
        <f aca="false">X300</f>
        <v>65465.1985507066</v>
      </c>
      <c r="Y310" s="164" t="n">
        <f aca="false">Y300</f>
        <v>6745.71225215431</v>
      </c>
      <c r="Z310" s="165" t="n">
        <f aca="false">Z300</f>
        <v>145399.657847598</v>
      </c>
    </row>
    <row r="311" customFormat="false" ht="15" hidden="false" customHeight="false" outlineLevel="0" collapsed="false">
      <c r="B311" s="71" t="s">
        <v>308</v>
      </c>
      <c r="C311" s="177" t="n">
        <f aca="false">C310/C310</f>
        <v>1</v>
      </c>
      <c r="D311" s="119" t="n">
        <f aca="false">D310/$C$310</f>
        <v>0.215747393582948</v>
      </c>
      <c r="E311" s="119" t="n">
        <f aca="false">E310/$C$310</f>
        <v>0.0148309447612418</v>
      </c>
      <c r="F311" s="119" t="n">
        <f aca="false">F310/$C$310</f>
        <v>0.0079231991575371</v>
      </c>
      <c r="G311" s="119" t="n">
        <f aca="false">G310/$C$310</f>
        <v>0.00331810661103538</v>
      </c>
      <c r="H311" s="119" t="n">
        <f aca="false">H310/$C$310</f>
        <v>0.00082375588557348</v>
      </c>
      <c r="I311" s="178" t="n">
        <f aca="false">I310/$C$310</f>
        <v>0.242643399998336</v>
      </c>
      <c r="J311" s="119" t="n">
        <f aca="false">J310/$C$310</f>
        <v>0.158416637791515</v>
      </c>
      <c r="K311" s="119" t="n">
        <f aca="false">K310/$C$310</f>
        <v>0.0329837026316318</v>
      </c>
      <c r="L311" s="119" t="n">
        <f aca="false">L310/$C$310</f>
        <v>0.192056596856853</v>
      </c>
      <c r="M311" s="119" t="n">
        <f aca="false">M310/$C$310</f>
        <v>0.0180167105705308</v>
      </c>
      <c r="N311" s="119" t="n">
        <f aca="false">N310/$C$310</f>
        <v>0.0200762266289898</v>
      </c>
      <c r="O311" s="119" t="n">
        <f aca="false">O310/$C$310</f>
        <v>0.0147295706853442</v>
      </c>
      <c r="P311" s="119" t="n">
        <f aca="false">P310/$C$310</f>
        <v>0.00899612180098493</v>
      </c>
      <c r="Q311" s="119" t="n">
        <f aca="false">Q310/$C$310</f>
        <v>0.0158864099886839</v>
      </c>
      <c r="R311" s="119" t="n">
        <f aca="false">R310/$C$310</f>
        <v>0.0937665752528423</v>
      </c>
      <c r="S311" s="119" t="n">
        <f aca="false">S310/$C$310</f>
        <v>0.00190115217165581</v>
      </c>
      <c r="T311" s="178" t="n">
        <f aca="false">T310/$C$310</f>
        <v>0.556829704379032</v>
      </c>
      <c r="U311" s="119" t="n">
        <f aca="false">U310/$C$310</f>
        <v>0.0100925710629376</v>
      </c>
      <c r="V311" s="119" t="n">
        <f aca="false">V310/$C$310</f>
        <v>0.0222404999038687</v>
      </c>
      <c r="W311" s="119" t="n">
        <f aca="false">W310/$C$310</f>
        <v>0.0279927354409645</v>
      </c>
      <c r="X311" s="178" t="n">
        <f aca="false">X310/$C$310</f>
        <v>0.0603258064077708</v>
      </c>
      <c r="Y311" s="119" t="n">
        <f aca="false">Y310/$C$310</f>
        <v>0.00621613529653911</v>
      </c>
      <c r="Z311" s="122" t="n">
        <f aca="false">Z310/$C$310</f>
        <v>0.133984953918323</v>
      </c>
    </row>
    <row r="312" customFormat="false" ht="15" hidden="false" customHeight="false" outlineLevel="0" collapsed="false">
      <c r="B312" s="179" t="s">
        <v>309</v>
      </c>
      <c r="C312" s="180" t="n">
        <f aca="false">SUM(D312:Z312)</f>
        <v>392095.949345982</v>
      </c>
      <c r="D312" s="180" t="n">
        <f aca="false">(D289+D290+D291+D292+D293+D294+D296+D297+D298+D299)*IFERROR(INDEX($D$38:$H$38,MATCH(D$287,$D$36:$H$36,0)),0)</f>
        <v>227645.194859944</v>
      </c>
      <c r="E312" s="180" t="n">
        <f aca="false">(E289+E290+E291+E292+E293+E294+E296+E297+E298+E299)*IFERROR(INDEX($D$38:$H$38,MATCH(E$287,$D$36:$H$36,0)),0)</f>
        <v>15648.8254808599</v>
      </c>
      <c r="F312" s="180" t="n">
        <f aca="false">(F289+F290+F291+F292+F293+F294+F296+F297+F298+F299)*IFERROR(INDEX($D$38:$H$38,MATCH(F$287,$D$36:$H$36,0)),0)</f>
        <v>0</v>
      </c>
      <c r="G312" s="180" t="n">
        <f aca="false">(G289+G290+G291+G292+G293+G294+G296+G297+G298+G299)*IFERROR(INDEX($D$38:$H$38,MATCH(G$287,$D$36:$H$36,0)),0)</f>
        <v>0</v>
      </c>
      <c r="H312" s="180" t="n">
        <f aca="false">(H289+H290+H291+H292+H293+H294+H296+H297+H298+H299)*IFERROR(INDEX($D$38:$H$38,MATCH(H$287,$D$36:$H$36,0)),0)</f>
        <v>869.183474127596</v>
      </c>
      <c r="I312" s="58"/>
      <c r="J312" s="180" t="n">
        <f aca="false">(J289+J290+J291+J292+J293+J294+J296+J297+J298+J299)*IFERROR(INDEX($D$38:$H$38,MATCH(J$287,$D$36:$H$36,0)),0)</f>
        <v>0</v>
      </c>
      <c r="K312" s="180" t="n">
        <f aca="false">(K289+K290+K291+K292+K293+K294+K296+K297+K298+K299)*IFERROR(INDEX($D$38:$H$38,MATCH(K$287,$D$36:$H$36,0)),0)</f>
        <v>0</v>
      </c>
      <c r="L312" s="180" t="n">
        <f aca="false">(L289+L290+L291+L292+L293+L294+L296+L297+L298+L299)*IFERROR(INDEX($D$38:$H$38,MATCH(L$287,$D$36:$H$36,0)),0)</f>
        <v>0</v>
      </c>
      <c r="M312" s="180" t="n">
        <f aca="false">(M289+M290+M291+M292+M293+M294+M296+M297+M298+M299)*IFERROR(INDEX($D$38:$H$38,MATCH(M$287,$D$36:$H$36,0)),0)</f>
        <v>0</v>
      </c>
      <c r="N312" s="180" t="n">
        <f aca="false">(N289+N290+N291+N292+N293+N294+N296+N297+N298+N299)*IFERROR(INDEX($D$38:$H$38,MATCH(N$287,$D$36:$H$36,0)),0)</f>
        <v>0</v>
      </c>
      <c r="O312" s="180" t="n">
        <f aca="false">(O289+O290+O291+O292+O293+O294+O296+O297+O298+O299)*IFERROR(INDEX($D$38:$H$38,MATCH(O$287,$D$36:$H$36,0)),0)</f>
        <v>0</v>
      </c>
      <c r="P312" s="180" t="n">
        <f aca="false">(P289+P290+P291+P292+P293+P294+P296+P297+P298+P299)*IFERROR(INDEX($D$38:$H$38,MATCH(P$287,$D$36:$H$36,0)),0)</f>
        <v>0</v>
      </c>
      <c r="Q312" s="180" t="n">
        <f aca="false">(Q289+Q290+Q291+Q292+Q293+Q294+Q296+Q297+Q298+Q299)*IFERROR(INDEX($D$38:$H$38,MATCH(Q$287,$D$36:$H$36,0)),0)</f>
        <v>0</v>
      </c>
      <c r="R312" s="180" t="n">
        <f aca="false">(R289+R290+R291+R292+R293+R294+R296+R297+R298+R299)*IFERROR(INDEX($D$38:$H$38,MATCH(R$287,$D$36:$H$36,0)),0)</f>
        <v>0</v>
      </c>
      <c r="S312" s="180" t="n">
        <f aca="false">(S289+S290+S291+S292+S293+S294+S296+S297+S298+S299)*IFERROR(INDEX($D$38:$H$38,MATCH(S$287,$D$36:$H$36,0)),0)</f>
        <v>0</v>
      </c>
      <c r="T312" s="58"/>
      <c r="U312" s="180" t="n">
        <f aca="false">(U289+U290+U291+U292+U293+U294+U296+U297+U298+U299)*IFERROR(INDEX($D$38:$H$38,MATCH(U$287,$D$36:$H$36,0)),0)</f>
        <v>0</v>
      </c>
      <c r="V312" s="180" t="n">
        <f aca="false">(V289+V290+V291+V292+V293+V294+V296+V297+V298+V299)*IFERROR(INDEX($D$38:$H$38,MATCH(V$287,$D$36:$H$36,0)),0)</f>
        <v>0</v>
      </c>
      <c r="W312" s="180" t="n">
        <f aca="false">(W289+W290+W291+W292+W293+W294+W296+W297+W298+W299)*IFERROR(INDEX($D$38:$H$38,MATCH(W$287,$D$36:$H$36,0)),0)</f>
        <v>0</v>
      </c>
      <c r="X312" s="58"/>
      <c r="Y312" s="180" t="n">
        <f aca="false">(Y289+Y290+Y291+Y292+Y293+Y294+Y296+Y297+Y298+Y299)*1</f>
        <v>6558.93592666913</v>
      </c>
      <c r="Z312" s="181" t="n">
        <f aca="false">(Z289+Z290+Z291+Z292+Z293+Z294+Z296+Z297+Z298+Z299)*1</f>
        <v>141373.809604381</v>
      </c>
    </row>
    <row r="314" customFormat="false" ht="15" hidden="false" customHeight="false" outlineLevel="0" collapsed="false">
      <c r="B314" s="32" t="s">
        <v>310</v>
      </c>
    </row>
    <row r="315" customFormat="false" ht="15" hidden="false" customHeight="false" outlineLevel="0" collapsed="false">
      <c r="C315" s="182" t="s">
        <v>311</v>
      </c>
      <c r="D315" s="182"/>
      <c r="E315" s="182"/>
      <c r="F315" s="182"/>
      <c r="G315" s="182"/>
      <c r="H315" s="182"/>
      <c r="I315" s="182" t="s">
        <v>312</v>
      </c>
      <c r="J315" s="182"/>
      <c r="K315" s="182"/>
      <c r="L315" s="182"/>
      <c r="M315" s="182"/>
      <c r="N315" s="182"/>
      <c r="O315" s="182" t="s">
        <v>313</v>
      </c>
      <c r="P315" s="182"/>
      <c r="Q315" s="182"/>
      <c r="R315" s="182"/>
      <c r="S315" s="182"/>
      <c r="T315" s="182"/>
    </row>
    <row r="316" customFormat="false" ht="15" hidden="false" customHeight="false" outlineLevel="0" collapsed="false">
      <c r="B316" s="161" t="s">
        <v>294</v>
      </c>
      <c r="C316" s="112" t="s">
        <v>156</v>
      </c>
      <c r="D316" s="183" t="s">
        <v>122</v>
      </c>
      <c r="E316" s="184" t="s">
        <v>123</v>
      </c>
      <c r="F316" s="185" t="s">
        <v>124</v>
      </c>
      <c r="G316" s="186" t="s">
        <v>125</v>
      </c>
      <c r="H316" s="187" t="s">
        <v>126</v>
      </c>
      <c r="I316" s="112" t="s">
        <v>156</v>
      </c>
      <c r="J316" s="183" t="s">
        <v>122</v>
      </c>
      <c r="K316" s="184" t="s">
        <v>123</v>
      </c>
      <c r="L316" s="185" t="s">
        <v>124</v>
      </c>
      <c r="M316" s="186" t="s">
        <v>125</v>
      </c>
      <c r="N316" s="187" t="s">
        <v>126</v>
      </c>
      <c r="O316" s="112" t="s">
        <v>156</v>
      </c>
      <c r="P316" s="183" t="s">
        <v>122</v>
      </c>
      <c r="Q316" s="184" t="s">
        <v>123</v>
      </c>
      <c r="R316" s="185" t="s">
        <v>124</v>
      </c>
      <c r="S316" s="186" t="s">
        <v>125</v>
      </c>
      <c r="T316" s="188" t="s">
        <v>126</v>
      </c>
    </row>
    <row r="317" customFormat="false" ht="15" hidden="false" customHeight="false" outlineLevel="0" collapsed="false">
      <c r="B317" s="71" t="s">
        <v>132</v>
      </c>
      <c r="C317" s="189" t="n">
        <f aca="false">SUM(D317:H317)</f>
        <v>81811.424475</v>
      </c>
      <c r="D317" s="76" t="n">
        <f aca="false">$E$60</f>
        <v>23008.1742</v>
      </c>
      <c r="E317" s="76" t="n">
        <f aca="false">$E$61</f>
        <v>13519.907775</v>
      </c>
      <c r="F317" s="76" t="n">
        <f aca="false">$E$62</f>
        <v>21288.22575</v>
      </c>
      <c r="G317" s="76" t="n">
        <f aca="false">$E$63</f>
        <v>14046.003675</v>
      </c>
      <c r="H317" s="76" t="n">
        <f aca="false">$E$64</f>
        <v>9949.113075</v>
      </c>
      <c r="I317" s="189" t="n">
        <f aca="false">SUM(J317:N317)</f>
        <v>81811.424475</v>
      </c>
      <c r="J317" s="76" t="n">
        <f aca="false">$E$60</f>
        <v>23008.1742</v>
      </c>
      <c r="K317" s="76" t="n">
        <f aca="false">$E$61</f>
        <v>13519.907775</v>
      </c>
      <c r="L317" s="76" t="n">
        <f aca="false">$E$62</f>
        <v>21288.22575</v>
      </c>
      <c r="M317" s="76" t="n">
        <f aca="false">$E$63</f>
        <v>14046.003675</v>
      </c>
      <c r="N317" s="76" t="n">
        <f aca="false">$E$64</f>
        <v>9949.113075</v>
      </c>
      <c r="O317" s="189" t="n">
        <f aca="false">SUM(P317:T317)</f>
        <v>81811.424475</v>
      </c>
      <c r="P317" s="76" t="n">
        <f aca="false">$E$60</f>
        <v>23008.1742</v>
      </c>
      <c r="Q317" s="76" t="n">
        <f aca="false">$E$61</f>
        <v>13519.907775</v>
      </c>
      <c r="R317" s="76" t="n">
        <f aca="false">$E$62</f>
        <v>21288.22575</v>
      </c>
      <c r="S317" s="76" t="n">
        <f aca="false">$E$63</f>
        <v>14046.003675</v>
      </c>
      <c r="T317" s="79" t="n">
        <f aca="false">$E$64</f>
        <v>9949.113075</v>
      </c>
    </row>
    <row r="318" customFormat="false" ht="15" hidden="false" customHeight="false" outlineLevel="0" collapsed="false">
      <c r="B318" s="71" t="s">
        <v>22</v>
      </c>
      <c r="C318" s="164" t="n">
        <f aca="false">SUM(D318:H318)</f>
        <v>470945.0654896</v>
      </c>
      <c r="D318" s="157" t="n">
        <f aca="false">SUMIF($D$67:$W$67,"시니어 레지던스",$D$289:$W$289)</f>
        <v>139129.0519185</v>
      </c>
      <c r="E318" s="157" t="n">
        <f aca="false">SUMIF($D$67:$W$67,"레지던스",$D$289:$W$289)</f>
        <v>82690.0065888</v>
      </c>
      <c r="F318" s="157" t="n">
        <f aca="false">SUMIF($D$67:$W$67,"호텔",$D$289:$W$289)</f>
        <v>125338.9725261</v>
      </c>
      <c r="G318" s="157" t="n">
        <f aca="false">SUMIF($D$67:$W$67,"오피스",$D$289:$W$289)</f>
        <v>78811.0152636</v>
      </c>
      <c r="H318" s="157" t="n">
        <f aca="false">SUMIF($D$67:$W$67,"부대시설",$D$289:$W$289)</f>
        <v>44976.0191926</v>
      </c>
      <c r="I318" s="164" t="n">
        <f aca="false">$Y$289+$Z$289</f>
        <v>125893.927318895</v>
      </c>
      <c r="J318" s="157" t="n">
        <f aca="false">$I318*D$317/$C$317</f>
        <v>35405.6836079222</v>
      </c>
      <c r="K318" s="157" t="n">
        <f aca="false">$I318*E$317/$C$317</f>
        <v>20804.848439036</v>
      </c>
      <c r="L318" s="157" t="n">
        <f aca="false">$I318*F$317/$C$317</f>
        <v>32758.9742204978</v>
      </c>
      <c r="M318" s="157" t="n">
        <f aca="false">$I318*G$317/$C$317</f>
        <v>21614.420933616</v>
      </c>
      <c r="N318" s="157" t="n">
        <f aca="false">$I318*H$317/$C$317</f>
        <v>15310.000117823</v>
      </c>
      <c r="O318" s="164" t="n">
        <f aca="false">SUM(P318:T318)</f>
        <v>596838.992808495</v>
      </c>
      <c r="P318" s="157" t="n">
        <f aca="false">D318+J318</f>
        <v>174534.735526422</v>
      </c>
      <c r="Q318" s="157" t="n">
        <f aca="false">E318+K318</f>
        <v>103494.855027836</v>
      </c>
      <c r="R318" s="157" t="n">
        <f aca="false">F318+L318</f>
        <v>158097.946746598</v>
      </c>
      <c r="S318" s="157" t="n">
        <f aca="false">G318+M318</f>
        <v>100425.436197216</v>
      </c>
      <c r="T318" s="137" t="n">
        <f aca="false">H318+N318</f>
        <v>60286.019310423</v>
      </c>
    </row>
    <row r="319" customFormat="false" ht="15" hidden="false" customHeight="false" outlineLevel="0" collapsed="false">
      <c r="B319" s="71" t="s">
        <v>295</v>
      </c>
      <c r="C319" s="164" t="n">
        <f aca="false">SUM(D319:H319)</f>
        <v>24798.555628</v>
      </c>
      <c r="D319" s="157" t="n">
        <f aca="false">SUMIF($D$67:$W$67,"시니어 레지던스",$D$290:$W$290)</f>
        <v>6974.220568</v>
      </c>
      <c r="E319" s="157" t="n">
        <f aca="false">SUMIF($D$67:$W$67,"레지던스",$D$290:$W$290)</f>
        <v>4098.064432</v>
      </c>
      <c r="F319" s="157" t="n">
        <f aca="false">SUMIF($D$67:$W$67,"호텔",$D$290:$W$290)</f>
        <v>6452.881344</v>
      </c>
      <c r="G319" s="157" t="n">
        <f aca="false">SUMIF($D$67:$W$67,"오피스",$D$290:$W$290)</f>
        <v>4257.619114</v>
      </c>
      <c r="H319" s="157" t="n">
        <f aca="false">SUMIF($D$67:$W$67,"부대시설",$D$290:$W$290)</f>
        <v>3015.77017</v>
      </c>
      <c r="I319" s="164" t="n">
        <f aca="false">$Y$290+$Z$290</f>
        <v>9676.778645765</v>
      </c>
      <c r="J319" s="157" t="n">
        <f aca="false">$I319*D$317/$C$317</f>
        <v>2721.44153711243</v>
      </c>
      <c r="K319" s="157" t="n">
        <f aca="false">$I319*E$317/$C$317</f>
        <v>1599.15507753824</v>
      </c>
      <c r="L319" s="157" t="n">
        <f aca="false">$I319*F$317/$C$317</f>
        <v>2518.00344103255</v>
      </c>
      <c r="M319" s="157" t="n">
        <f aca="false">$I319*G$317/$C$317</f>
        <v>1661.38249386076</v>
      </c>
      <c r="N319" s="157" t="n">
        <f aca="false">$I319*H$317/$C$317</f>
        <v>1176.79609622103</v>
      </c>
      <c r="O319" s="164" t="n">
        <f aca="false">SUM(P319:T319)</f>
        <v>34475.334273765</v>
      </c>
      <c r="P319" s="157" t="n">
        <f aca="false">D319+J319</f>
        <v>9695.66210511243</v>
      </c>
      <c r="Q319" s="157" t="n">
        <f aca="false">E319+K319</f>
        <v>5697.21950953824</v>
      </c>
      <c r="R319" s="157" t="n">
        <f aca="false">F319+L319</f>
        <v>8970.88478503255</v>
      </c>
      <c r="S319" s="157" t="n">
        <f aca="false">G319+M319</f>
        <v>5919.00160786076</v>
      </c>
      <c r="T319" s="137" t="n">
        <f aca="false">H319+N319</f>
        <v>4192.56626622103</v>
      </c>
    </row>
    <row r="320" customFormat="false" ht="15" hidden="false" customHeight="false" outlineLevel="0" collapsed="false">
      <c r="B320" s="71" t="s">
        <v>296</v>
      </c>
      <c r="C320" s="164" t="n">
        <f aca="false">SUM(D320:H320)</f>
        <v>315029.1045658</v>
      </c>
      <c r="D320" s="157" t="n">
        <f aca="false">SUMIF($D$67:$W$67,"시니어 레지던스",$D$291:$W$291)</f>
        <v>68636.067594</v>
      </c>
      <c r="E320" s="157" t="n">
        <f aca="false">SUMIF($D$67:$W$67,"레지던스",$D$291:$W$291)</f>
        <v>96047.0300448</v>
      </c>
      <c r="F320" s="157" t="n">
        <f aca="false">SUMIF($D$67:$W$67,"호텔",$D$291:$W$291)</f>
        <v>113368.9984882</v>
      </c>
      <c r="G320" s="157" t="n">
        <f aca="false">SUMIF($D$67:$W$67,"오피스",$D$291:$W$291)</f>
        <v>12124.0099298</v>
      </c>
      <c r="H320" s="157" t="n">
        <f aca="false">SUMIF($D$67:$W$67,"부대시설",$D$291:$W$291)</f>
        <v>24852.998509</v>
      </c>
      <c r="I320" s="164" t="n">
        <f aca="false">$Y$291+$Z$291</f>
        <v>0</v>
      </c>
      <c r="J320" s="157" t="n">
        <f aca="false">$I320*D$317/$C$317</f>
        <v>0</v>
      </c>
      <c r="K320" s="157" t="n">
        <f aca="false">$I320*E$317/$C$317</f>
        <v>0</v>
      </c>
      <c r="L320" s="157" t="n">
        <f aca="false">$I320*F$317/$C$317</f>
        <v>0</v>
      </c>
      <c r="M320" s="157" t="n">
        <f aca="false">$I320*G$317/$C$317</f>
        <v>0</v>
      </c>
      <c r="N320" s="157" t="n">
        <f aca="false">$I320*H$317/$C$317</f>
        <v>0</v>
      </c>
      <c r="O320" s="164" t="n">
        <f aca="false">SUM(P320:T320)</f>
        <v>315029.1045658</v>
      </c>
      <c r="P320" s="157" t="n">
        <f aca="false">D320+J320</f>
        <v>68636.067594</v>
      </c>
      <c r="Q320" s="157" t="n">
        <f aca="false">E320+K320</f>
        <v>96047.0300448</v>
      </c>
      <c r="R320" s="157" t="n">
        <f aca="false">F320+L320</f>
        <v>113368.9984882</v>
      </c>
      <c r="S320" s="157" t="n">
        <f aca="false">G320+M320</f>
        <v>12124.0099298</v>
      </c>
      <c r="T320" s="137" t="n">
        <f aca="false">H320+N320</f>
        <v>24852.998509</v>
      </c>
    </row>
    <row r="321" customFormat="false" ht="15" hidden="false" customHeight="false" outlineLevel="0" collapsed="false">
      <c r="B321" s="64" t="s">
        <v>297</v>
      </c>
      <c r="C321" s="164" t="n">
        <f aca="false">SUM(D321:H321)</f>
        <v>39526.035727</v>
      </c>
      <c r="D321" s="157" t="n">
        <f aca="false">SUMIF($D$67:$W$67,"시니어 레지던스",$D$292:$W$292)</f>
        <v>8327.001447</v>
      </c>
      <c r="E321" s="157" t="n">
        <f aca="false">SUMIF($D$67:$W$67,"레지던스",$D$292:$W$292)</f>
        <v>5499.03428</v>
      </c>
      <c r="F321" s="157" t="n">
        <f aca="false">SUMIF($D$67:$W$67,"호텔",$D$292:$W$292)</f>
        <v>25700</v>
      </c>
      <c r="G321" s="157" t="n">
        <f aca="false">SUMIF($D$67:$W$67,"오피스",$D$292:$W$292)</f>
        <v>0</v>
      </c>
      <c r="H321" s="157" t="n">
        <f aca="false">SUMIF($D$67:$W$67,"부대시설",$D$292:$W$292)</f>
        <v>0</v>
      </c>
      <c r="I321" s="164" t="n">
        <f aca="false">$Y$292+$Z$292</f>
        <v>0</v>
      </c>
      <c r="J321" s="157" t="n">
        <f aca="false">$I321*D$317/$C$317</f>
        <v>0</v>
      </c>
      <c r="K321" s="157" t="n">
        <f aca="false">$I321*E$317/$C$317</f>
        <v>0</v>
      </c>
      <c r="L321" s="157" t="n">
        <f aca="false">$I321*F$317/$C$317</f>
        <v>0</v>
      </c>
      <c r="M321" s="157" t="n">
        <f aca="false">$I321*G$317/$C$317</f>
        <v>0</v>
      </c>
      <c r="N321" s="157" t="n">
        <f aca="false">$I321*H$317/$C$317</f>
        <v>0</v>
      </c>
      <c r="O321" s="164" t="n">
        <f aca="false">SUM(P321:T321)</f>
        <v>39526.035727</v>
      </c>
      <c r="P321" s="157" t="n">
        <f aca="false">D321+J321</f>
        <v>8327.001447</v>
      </c>
      <c r="Q321" s="157" t="n">
        <f aca="false">E321+K321</f>
        <v>5499.03428</v>
      </c>
      <c r="R321" s="157" t="n">
        <f aca="false">F321+L321</f>
        <v>25700</v>
      </c>
      <c r="S321" s="157" t="n">
        <f aca="false">G321+M321</f>
        <v>0</v>
      </c>
      <c r="T321" s="137" t="n">
        <f aca="false">H321+N321</f>
        <v>0</v>
      </c>
    </row>
    <row r="322" customFormat="false" ht="15" hidden="false" customHeight="false" outlineLevel="0" collapsed="false">
      <c r="B322" s="71" t="s">
        <v>298</v>
      </c>
      <c r="C322" s="164" t="n">
        <f aca="false">SUM(D322:H322)</f>
        <v>5296.3218</v>
      </c>
      <c r="D322" s="157" t="n">
        <f aca="false">SUMIF($D$67:$W$67,"시니어 레지던스",$D$293:$W$293)</f>
        <v>1489.5108</v>
      </c>
      <c r="E322" s="157" t="n">
        <f aca="false">SUMIF($D$67:$W$67,"레지던스",$D$293:$W$293)</f>
        <v>875.2392</v>
      </c>
      <c r="F322" s="157" t="n">
        <f aca="false">SUMIF($D$67:$W$67,"호텔",$D$293:$W$293)</f>
        <v>1378.1664</v>
      </c>
      <c r="G322" s="157" t="n">
        <f aca="false">SUMIF($D$67:$W$67,"오피스",$D$293:$W$293)</f>
        <v>909.3159</v>
      </c>
      <c r="H322" s="157" t="n">
        <f aca="false">SUMIF($D$67:$W$67,"부대시설",$D$293:$W$293)</f>
        <v>644.0895</v>
      </c>
      <c r="I322" s="164" t="n">
        <f aca="false">$Y$293+$Z$293</f>
        <v>2066.70640275</v>
      </c>
      <c r="J322" s="157" t="n">
        <f aca="false">$I322*D$317/$C$317</f>
        <v>581.228614950447</v>
      </c>
      <c r="K322" s="157" t="n">
        <f aca="false">$I322*E$317/$C$317</f>
        <v>341.537629279642</v>
      </c>
      <c r="L322" s="157" t="n">
        <f aca="false">$I322*F$317/$C$317</f>
        <v>537.779567377621</v>
      </c>
      <c r="M322" s="157" t="n">
        <f aca="false">$I322*G$317/$C$317</f>
        <v>354.82777514824</v>
      </c>
      <c r="N322" s="157" t="n">
        <f aca="false">$I322*H$317/$C$317</f>
        <v>251.332815994049</v>
      </c>
      <c r="O322" s="164" t="n">
        <f aca="false">SUM(P322:T322)</f>
        <v>7363.02820275</v>
      </c>
      <c r="P322" s="157" t="n">
        <f aca="false">D322+J322</f>
        <v>2070.73941495045</v>
      </c>
      <c r="Q322" s="157" t="n">
        <f aca="false">E322+K322</f>
        <v>1216.77682927964</v>
      </c>
      <c r="R322" s="157" t="n">
        <f aca="false">F322+L322</f>
        <v>1915.94596737762</v>
      </c>
      <c r="S322" s="157" t="n">
        <f aca="false">G322+M322</f>
        <v>1264.14367514824</v>
      </c>
      <c r="T322" s="137" t="n">
        <f aca="false">H322+N322</f>
        <v>895.422315994049</v>
      </c>
    </row>
    <row r="323" customFormat="false" ht="15" hidden="false" customHeight="false" outlineLevel="0" collapsed="false">
      <c r="B323" s="71" t="s">
        <v>299</v>
      </c>
      <c r="C323" s="164" t="n">
        <f aca="false">SUM(D323:H323)</f>
        <v>25262.8133960614</v>
      </c>
      <c r="D323" s="157" t="n">
        <f aca="false">SUMIF($D$67:$W$67,"시니어 레지던스",$D$294:$W$294)</f>
        <v>5321.97370016175</v>
      </c>
      <c r="E323" s="157" t="n">
        <f aca="false">SUMIF($D$67:$W$67,"레지던스",$D$294:$W$294)</f>
        <v>5979.01623564096</v>
      </c>
      <c r="F323" s="157" t="n">
        <f aca="false">SUMIF($D$67:$W$67,"호텔",$D$294:$W$294)</f>
        <v>8602.75299276228</v>
      </c>
      <c r="G323" s="157" t="n">
        <f aca="false">SUMIF($D$67:$W$67,"오피스",$D$294:$W$294)</f>
        <v>3036.82194255384</v>
      </c>
      <c r="H323" s="157" t="n">
        <f aca="false">SUMIF($D$67:$W$67,"부대시설",$D$294:$W$294)</f>
        <v>2322.24852494256</v>
      </c>
      <c r="I323" s="164" t="n">
        <f aca="false">$Y$294+$Z$294</f>
        <v>4349.34223081015</v>
      </c>
      <c r="J323" s="157" t="n">
        <f aca="false">$I323*D$317/$C$317</f>
        <v>1223.18397881553</v>
      </c>
      <c r="K323" s="157" t="n">
        <f aca="false">$I323*E$317/$C$317</f>
        <v>718.759100208981</v>
      </c>
      <c r="L323" s="157" t="n">
        <f aca="false">$I323*F$317/$C$317</f>
        <v>1131.74632843349</v>
      </c>
      <c r="M323" s="157" t="n">
        <f aca="false">$I323*G$317/$C$317</f>
        <v>746.727946002949</v>
      </c>
      <c r="N323" s="157" t="n">
        <f aca="false">$I323*H$317/$C$317</f>
        <v>528.924877349203</v>
      </c>
      <c r="O323" s="164" t="n">
        <f aca="false">SUM(P323:T323)</f>
        <v>29612.1556268715</v>
      </c>
      <c r="P323" s="157" t="n">
        <f aca="false">D323+J323</f>
        <v>6545.15767897728</v>
      </c>
      <c r="Q323" s="157" t="n">
        <f aca="false">E323+K323</f>
        <v>6697.77533584994</v>
      </c>
      <c r="R323" s="157" t="n">
        <f aca="false">F323+L323</f>
        <v>9734.49932119577</v>
      </c>
      <c r="S323" s="157" t="n">
        <f aca="false">G323+M323</f>
        <v>3783.54988855679</v>
      </c>
      <c r="T323" s="137" t="n">
        <f aca="false">H323+N323</f>
        <v>2851.17340229176</v>
      </c>
    </row>
    <row r="324" customFormat="false" ht="15" hidden="false" customHeight="false" outlineLevel="0" collapsed="false">
      <c r="B324" s="71" t="s">
        <v>300</v>
      </c>
      <c r="C324" s="164" t="n">
        <f aca="false">SUM(D324:H324)</f>
        <v>6952.94275429863</v>
      </c>
      <c r="D324" s="157" t="n">
        <f aca="false">SUMIF($D$67:$W$67,"시니어 레지던스",$D$295:$W$295)</f>
        <v>6952.94275429863</v>
      </c>
      <c r="E324" s="157" t="n">
        <f aca="false">SUMIF($D$67:$W$67,"레지던스",$D$295:$W$295)</f>
        <v>0</v>
      </c>
      <c r="F324" s="157" t="n">
        <f aca="false">SUMIF($D$67:$W$67,"호텔",$D$295:$W$295)</f>
        <v>0</v>
      </c>
      <c r="G324" s="157" t="n">
        <f aca="false">SUMIF($D$67:$W$67,"오피스",$D$295:$W$295)</f>
        <v>0</v>
      </c>
      <c r="H324" s="157" t="n">
        <f aca="false">SUMIF($D$67:$W$67,"부대시설",$D$295:$W$295)</f>
        <v>0</v>
      </c>
      <c r="I324" s="164" t="n">
        <f aca="false">$Y$295+$Z$295</f>
        <v>4212.62456870137</v>
      </c>
      <c r="J324" s="157" t="n">
        <f aca="false">IFERROR($I324*D$317*$D$38/$I$39,0)</f>
        <v>4212.62456870137</v>
      </c>
      <c r="K324" s="157" t="n">
        <f aca="false">IFERROR($I324*E$317*$E$38/$I$39,0)</f>
        <v>0</v>
      </c>
      <c r="L324" s="157" t="n">
        <f aca="false">IFERROR($I324*F$317*$F$38/$I$39,0)</f>
        <v>0</v>
      </c>
      <c r="M324" s="157" t="n">
        <f aca="false">IFERROR($I324*G$317*$G$38/$I$39,0)</f>
        <v>0</v>
      </c>
      <c r="N324" s="157" t="n">
        <f aca="false">IFERROR($I324*H$317*$H$38/$I$39,0)</f>
        <v>0</v>
      </c>
      <c r="O324" s="164" t="n">
        <f aca="false">SUM(P324:T324)</f>
        <v>11165.567323</v>
      </c>
      <c r="P324" s="157" t="n">
        <f aca="false">D324+J324</f>
        <v>11165.567323</v>
      </c>
      <c r="Q324" s="157" t="n">
        <f aca="false">E324+K324</f>
        <v>0</v>
      </c>
      <c r="R324" s="157" t="n">
        <f aca="false">F324+L324</f>
        <v>0</v>
      </c>
      <c r="S324" s="157" t="n">
        <f aca="false">G324+M324</f>
        <v>0</v>
      </c>
      <c r="T324" s="137" t="n">
        <f aca="false">H324+N324</f>
        <v>0</v>
      </c>
    </row>
    <row r="325" customFormat="false" ht="15" hidden="false" customHeight="false" outlineLevel="0" collapsed="false">
      <c r="B325" s="71" t="s">
        <v>301</v>
      </c>
      <c r="C325" s="164" t="n">
        <f aca="false">SUM(D325:H325)</f>
        <v>30000</v>
      </c>
      <c r="D325" s="157" t="n">
        <f aca="false">SUMIF($D$67:$W$67,"시니어 레지던스",$D$296:$W$296)</f>
        <v>10000</v>
      </c>
      <c r="E325" s="157" t="n">
        <f aca="false">SUMIF($D$67:$W$67,"레지던스",$D$296:$W$296)</f>
        <v>10000</v>
      </c>
      <c r="F325" s="157" t="n">
        <f aca="false">SUMIF($D$67:$W$67,"호텔",$D$296:$W$296)</f>
        <v>10000</v>
      </c>
      <c r="G325" s="157" t="n">
        <f aca="false">SUMIF($D$67:$W$67,"오피스",$D$296:$W$296)</f>
        <v>0</v>
      </c>
      <c r="H325" s="157" t="n">
        <f aca="false">SUMIF($D$67:$W$67,"부대시설",$D$296:$W$296)</f>
        <v>0</v>
      </c>
      <c r="I325" s="164" t="n">
        <f aca="false">$Y$296+$Z$296</f>
        <v>0</v>
      </c>
      <c r="J325" s="157" t="n">
        <f aca="false">$I325*D$317/$C$317</f>
        <v>0</v>
      </c>
      <c r="K325" s="157" t="n">
        <f aca="false">$I325*E$317/$C$317</f>
        <v>0</v>
      </c>
      <c r="L325" s="157" t="n">
        <f aca="false">$I325*F$317/$C$317</f>
        <v>0</v>
      </c>
      <c r="M325" s="157" t="n">
        <f aca="false">$I325*G$317/$C$317</f>
        <v>0</v>
      </c>
      <c r="N325" s="157" t="n">
        <f aca="false">$I325*H$317/$C$317</f>
        <v>0</v>
      </c>
      <c r="O325" s="164" t="n">
        <f aca="false">SUM(P325:T325)</f>
        <v>30000</v>
      </c>
      <c r="P325" s="157" t="n">
        <f aca="false">D325+J325</f>
        <v>10000</v>
      </c>
      <c r="Q325" s="157" t="n">
        <f aca="false">E325+K325</f>
        <v>10000</v>
      </c>
      <c r="R325" s="157" t="n">
        <f aca="false">F325+L325</f>
        <v>10000</v>
      </c>
      <c r="S325" s="157" t="n">
        <f aca="false">G325+M325</f>
        <v>0</v>
      </c>
      <c r="T325" s="137" t="n">
        <f aca="false">H325+N325</f>
        <v>0</v>
      </c>
    </row>
    <row r="326" customFormat="false" ht="15" hidden="false" customHeight="false" outlineLevel="0" collapsed="false">
      <c r="B326" s="71" t="s">
        <v>302</v>
      </c>
      <c r="C326" s="164" t="n">
        <f aca="false">SUM(D326:H326)</f>
        <v>1077.02094645163</v>
      </c>
      <c r="D326" s="157" t="n">
        <f aca="false">SUMIF($D$67:$W$67,"시니어 레지던스",$D$297:$W$297)</f>
        <v>302.895932714269</v>
      </c>
      <c r="E326" s="157" t="n">
        <f aca="false">SUMIF($D$67:$W$67,"레지던스",$D$297:$W$297)</f>
        <v>177.982189744506</v>
      </c>
      <c r="F326" s="157" t="n">
        <f aca="false">SUMIF($D$67:$W$67,"호텔",$D$297:$W$297)</f>
        <v>280.253756577977</v>
      </c>
      <c r="G326" s="157" t="n">
        <f aca="false">SUMIF($D$67:$W$67,"오피스",$D$297:$W$297)</f>
        <v>184.911776176726</v>
      </c>
      <c r="H326" s="157" t="n">
        <f aca="false">SUMIF($D$67:$W$67,"부대시설",$D$297:$W$297)</f>
        <v>130.977291238148</v>
      </c>
      <c r="I326" s="164" t="n">
        <f aca="false">$Y$297+$Z$297</f>
        <v>420.270174279712</v>
      </c>
      <c r="J326" s="157" t="n">
        <f aca="false">$I326*D$317/$C$317</f>
        <v>118.194365187308</v>
      </c>
      <c r="K326" s="157" t="n">
        <f aca="false">$I326*E$317/$C$317</f>
        <v>69.4525738099231</v>
      </c>
      <c r="L326" s="157" t="n">
        <f aca="false">$I326*F$317/$C$317</f>
        <v>109.358887263873</v>
      </c>
      <c r="M326" s="157" t="n">
        <f aca="false">$I326*G$317/$C$317</f>
        <v>72.1551598729296</v>
      </c>
      <c r="N326" s="157" t="n">
        <f aca="false">$I326*H$317/$C$317</f>
        <v>51.1091881456794</v>
      </c>
      <c r="O326" s="164" t="n">
        <f aca="false">SUM(P326:T326)</f>
        <v>1497.29112073134</v>
      </c>
      <c r="P326" s="157" t="n">
        <f aca="false">D326+J326</f>
        <v>421.090297901577</v>
      </c>
      <c r="Q326" s="157" t="n">
        <f aca="false">E326+K326</f>
        <v>247.434763554429</v>
      </c>
      <c r="R326" s="157" t="n">
        <f aca="false">F326+L326</f>
        <v>389.612643841849</v>
      </c>
      <c r="S326" s="157" t="n">
        <f aca="false">G326+M326</f>
        <v>257.066936049655</v>
      </c>
      <c r="T326" s="137" t="n">
        <f aca="false">H326+N326</f>
        <v>182.086479383828</v>
      </c>
    </row>
    <row r="327" customFormat="false" ht="15" hidden="false" customHeight="false" outlineLevel="0" collapsed="false">
      <c r="B327" s="71" t="s">
        <v>303</v>
      </c>
      <c r="C327" s="164" t="n">
        <f aca="false">SUM(D327:H327)</f>
        <v>6068.86333462599</v>
      </c>
      <c r="D327" s="157" t="n">
        <f aca="false">SUMIF($D$67:$W$67,"시니어 레지던스",$D$298:$W$298)</f>
        <v>1706.77648035839</v>
      </c>
      <c r="E327" s="157" t="n">
        <f aca="false">SUMIF($D$67:$W$67,"레지던스",$D$298:$W$298)</f>
        <v>1002.9049008894</v>
      </c>
      <c r="F327" s="157" t="n">
        <f aca="false">SUMIF($D$67:$W$67,"호텔",$D$298:$W$298)</f>
        <v>1579.19096493976</v>
      </c>
      <c r="G327" s="157" t="n">
        <f aca="false">SUMIF($D$67:$W$67,"오피스",$D$298:$W$298)</f>
        <v>1041.9521572693</v>
      </c>
      <c r="H327" s="157" t="n">
        <f aca="false">SUMIF($D$67:$W$67,"부대시설",$D$298:$W$298)</f>
        <v>738.038831169131</v>
      </c>
      <c r="I327" s="164" t="n">
        <f aca="false">$Y$298+$Z$298</f>
        <v>2368.16401735375</v>
      </c>
      <c r="J327" s="157" t="n">
        <f aca="false">$I327*D$317/$C$317</f>
        <v>666.008819612927</v>
      </c>
      <c r="K327" s="157" t="n">
        <f aca="false">$I327*E$317/$C$317</f>
        <v>391.355599980784</v>
      </c>
      <c r="L327" s="157" t="n">
        <f aca="false">$I327*F$317/$C$317</f>
        <v>616.222129586059</v>
      </c>
      <c r="M327" s="157" t="n">
        <f aca="false">$I327*G$317/$C$317</f>
        <v>406.584296804637</v>
      </c>
      <c r="N327" s="157" t="n">
        <f aca="false">$I327*H$317/$C$317</f>
        <v>287.993171369343</v>
      </c>
      <c r="O327" s="164" t="n">
        <f aca="false">SUM(P327:T327)</f>
        <v>8437.02735197974</v>
      </c>
      <c r="P327" s="157" t="n">
        <f aca="false">D327+J327</f>
        <v>2372.78529997132</v>
      </c>
      <c r="Q327" s="157" t="n">
        <f aca="false">E327+K327</f>
        <v>1394.26050087019</v>
      </c>
      <c r="R327" s="157" t="n">
        <f aca="false">F327+L327</f>
        <v>2195.41309452582</v>
      </c>
      <c r="S327" s="157" t="n">
        <f aca="false">G327+M327</f>
        <v>1448.53645407394</v>
      </c>
      <c r="T327" s="137" t="n">
        <f aca="false">H327+N327</f>
        <v>1026.03200253847</v>
      </c>
    </row>
    <row r="328" customFormat="false" ht="15" hidden="false" customHeight="false" outlineLevel="0" collapsed="false">
      <c r="B328" s="64" t="s">
        <v>304</v>
      </c>
      <c r="C328" s="164" t="n">
        <f aca="false">SUM(D328:H328)</f>
        <v>8091.82987040909</v>
      </c>
      <c r="D328" s="157" t="n">
        <f aca="false">SUMIF($D$67:$W$67,"시니어 레지던스",$D$299:$W$299)</f>
        <v>2275.70537419704</v>
      </c>
      <c r="E328" s="157" t="n">
        <f aca="false">SUMIF($D$67:$W$67,"레지던스",$D$299:$W$299)</f>
        <v>1337.20853259199</v>
      </c>
      <c r="F328" s="157" t="n">
        <f aca="false">SUMIF($D$67:$W$67,"호텔",$D$299:$W$299)</f>
        <v>2105.59109945211</v>
      </c>
      <c r="G328" s="157" t="n">
        <f aca="false">SUMIF($D$67:$W$67,"오피스",$D$299:$W$299)</f>
        <v>1389.2716188918</v>
      </c>
      <c r="H328" s="157" t="n">
        <f aca="false">SUMIF($D$67:$W$67,"부대시설",$D$299:$W$299)</f>
        <v>984.053245276156</v>
      </c>
      <c r="I328" s="164" t="n">
        <f aca="false">$Y$299+$Z$299</f>
        <v>3157.55674119691</v>
      </c>
      <c r="J328" s="157" t="n">
        <f aca="false">$I328*D$317/$C$317</f>
        <v>888.013086363545</v>
      </c>
      <c r="K328" s="157" t="n">
        <f aca="false">$I328*E$317/$C$317</f>
        <v>521.80824633309</v>
      </c>
      <c r="L328" s="157" t="n">
        <f aca="false">$I328*F$317/$C$317</f>
        <v>821.630733805092</v>
      </c>
      <c r="M328" s="157" t="n">
        <f aca="false">$I328*G$317/$C$317</f>
        <v>542.113205771471</v>
      </c>
      <c r="N328" s="157" t="n">
        <f aca="false">$I328*H$317/$C$317</f>
        <v>383.991468923712</v>
      </c>
      <c r="O328" s="164" t="n">
        <f aca="false">SUM(P328:T328)</f>
        <v>11249.386611606</v>
      </c>
      <c r="P328" s="157" t="n">
        <f aca="false">D328+J328</f>
        <v>3163.71846056058</v>
      </c>
      <c r="Q328" s="157" t="n">
        <f aca="false">E328+K328</f>
        <v>1859.01677892508</v>
      </c>
      <c r="R328" s="157" t="n">
        <f aca="false">F328+L328</f>
        <v>2927.2218332572</v>
      </c>
      <c r="S328" s="157" t="n">
        <f aca="false">G328+M328</f>
        <v>1931.38482466327</v>
      </c>
      <c r="T328" s="137" t="n">
        <f aca="false">H328+N328</f>
        <v>1368.04471419987</v>
      </c>
    </row>
    <row r="329" customFormat="false" ht="15" hidden="false" customHeight="false" outlineLevel="0" collapsed="false">
      <c r="B329" s="123" t="s">
        <v>155</v>
      </c>
      <c r="C329" s="159" t="n">
        <f aca="false">SUM(C318:C328)</f>
        <v>933048.553512247</v>
      </c>
      <c r="D329" s="159" t="n">
        <f aca="false">SUM(D318:D328)</f>
        <v>251116.14656923</v>
      </c>
      <c r="E329" s="159" t="n">
        <f aca="false">SUM(E318:E328)</f>
        <v>207706.486404467</v>
      </c>
      <c r="F329" s="159" t="n">
        <f aca="false">SUM(F318:F328)</f>
        <v>294806.807572032</v>
      </c>
      <c r="G329" s="159" t="n">
        <f aca="false">SUM(G318:G328)</f>
        <v>101754.917702292</v>
      </c>
      <c r="H329" s="159" t="n">
        <f aca="false">SUM(H318:H328)</f>
        <v>77664.195264226</v>
      </c>
      <c r="I329" s="159" t="n">
        <f aca="false">SUM(I318:I328)</f>
        <v>152145.370099752</v>
      </c>
      <c r="J329" s="159" t="n">
        <f aca="false">SUM(J318:J328)</f>
        <v>45816.3785786658</v>
      </c>
      <c r="K329" s="159" t="n">
        <f aca="false">SUM(K318:K328)</f>
        <v>24446.9166661866</v>
      </c>
      <c r="L329" s="159" t="n">
        <f aca="false">SUM(L318:L328)</f>
        <v>38493.7153079965</v>
      </c>
      <c r="M329" s="159" t="n">
        <f aca="false">SUM(M318:M328)</f>
        <v>25398.2118110769</v>
      </c>
      <c r="N329" s="159" t="n">
        <f aca="false">SUM(N318:N328)</f>
        <v>17990.147735826</v>
      </c>
      <c r="O329" s="159" t="n">
        <f aca="false">SUM(O318:O328)</f>
        <v>1085193.923612</v>
      </c>
      <c r="P329" s="159" t="n">
        <f aca="false">SUM(P318:P328)</f>
        <v>296932.525147896</v>
      </c>
      <c r="Q329" s="159" t="n">
        <f aca="false">SUM(Q318:Q328)</f>
        <v>232153.403070654</v>
      </c>
      <c r="R329" s="159" t="n">
        <f aca="false">SUM(R318:R328)</f>
        <v>333300.522880029</v>
      </c>
      <c r="S329" s="159" t="n">
        <f aca="false">SUM(S318:S328)</f>
        <v>127153.129513369</v>
      </c>
      <c r="T329" s="160" t="n">
        <f aca="false">SUM(T318:T328)</f>
        <v>95654.343000052</v>
      </c>
    </row>
    <row r="330" customFormat="false" ht="15" hidden="false" customHeight="false" outlineLevel="0" collapsed="false">
      <c r="O330" s="98" t="b">
        <f aca="false">ABS(O329-$C$300)&lt;1</f>
        <v>1</v>
      </c>
    </row>
    <row r="332" customFormat="false" ht="15" hidden="false" customHeight="false" outlineLevel="0" collapsed="false">
      <c r="B332" s="87" t="s">
        <v>314</v>
      </c>
    </row>
    <row r="333" customFormat="false" ht="15" hidden="false" customHeight="false" outlineLevel="0" collapsed="false">
      <c r="C333" s="182" t="s">
        <v>315</v>
      </c>
      <c r="D333" s="182"/>
      <c r="E333" s="182"/>
      <c r="F333" s="182"/>
      <c r="G333" s="182"/>
      <c r="H333" s="182"/>
      <c r="K333" s="182" t="s">
        <v>316</v>
      </c>
      <c r="L333" s="182"/>
      <c r="M333" s="182"/>
      <c r="N333" s="182"/>
      <c r="O333" s="182"/>
      <c r="P333" s="182"/>
    </row>
    <row r="334" customFormat="false" ht="15" hidden="false" customHeight="false" outlineLevel="0" collapsed="false">
      <c r="B334" s="161" t="s">
        <v>294</v>
      </c>
      <c r="C334" s="112" t="s">
        <v>156</v>
      </c>
      <c r="D334" s="183" t="s">
        <v>122</v>
      </c>
      <c r="E334" s="184" t="s">
        <v>123</v>
      </c>
      <c r="F334" s="185" t="s">
        <v>124</v>
      </c>
      <c r="G334" s="186" t="s">
        <v>125</v>
      </c>
      <c r="H334" s="188" t="s">
        <v>126</v>
      </c>
      <c r="J334" s="161" t="s">
        <v>294</v>
      </c>
      <c r="K334" s="112" t="s">
        <v>156</v>
      </c>
      <c r="L334" s="183" t="s">
        <v>122</v>
      </c>
      <c r="M334" s="184" t="s">
        <v>123</v>
      </c>
      <c r="N334" s="185" t="s">
        <v>124</v>
      </c>
      <c r="O334" s="186" t="s">
        <v>125</v>
      </c>
      <c r="P334" s="188" t="s">
        <v>126</v>
      </c>
    </row>
    <row r="335" customFormat="false" ht="15" hidden="false" customHeight="false" outlineLevel="0" collapsed="false">
      <c r="B335" s="71" t="s">
        <v>132</v>
      </c>
      <c r="C335" s="115" t="n">
        <f aca="false">SUM(D335:H335)</f>
        <v>81811.424475</v>
      </c>
      <c r="D335" s="76" t="n">
        <f aca="false">$E$60</f>
        <v>23008.1742</v>
      </c>
      <c r="E335" s="76" t="n">
        <f aca="false">$E$61</f>
        <v>13519.907775</v>
      </c>
      <c r="F335" s="76" t="n">
        <f aca="false">$E$62</f>
        <v>21288.22575</v>
      </c>
      <c r="G335" s="76" t="n">
        <f aca="false">$E$63</f>
        <v>14046.003675</v>
      </c>
      <c r="H335" s="79" t="n">
        <f aca="false">$E$64</f>
        <v>9949.113075</v>
      </c>
      <c r="J335" s="71" t="s">
        <v>132</v>
      </c>
      <c r="K335" s="115" t="n">
        <f aca="false">SUM(L335:P335)</f>
        <v>81811.424475</v>
      </c>
      <c r="L335" s="76" t="n">
        <f aca="false">$E$60</f>
        <v>23008.1742</v>
      </c>
      <c r="M335" s="76" t="n">
        <f aca="false">$E$61</f>
        <v>13519.907775</v>
      </c>
      <c r="N335" s="76" t="n">
        <f aca="false">$E$62</f>
        <v>21288.22575</v>
      </c>
      <c r="O335" s="76" t="n">
        <f aca="false">$E$63</f>
        <v>14046.003675</v>
      </c>
      <c r="P335" s="79" t="n">
        <f aca="false">$E$64</f>
        <v>9949.113075</v>
      </c>
    </row>
    <row r="336" customFormat="false" ht="15" hidden="false" customHeight="false" outlineLevel="0" collapsed="false">
      <c r="B336" s="71" t="s">
        <v>20</v>
      </c>
      <c r="C336" s="163" t="n">
        <f aca="false">SUM(D336:H336)</f>
        <v>66833.6309344625</v>
      </c>
      <c r="D336" s="157" t="n">
        <f aca="false">IFERROR($R$363*$C$85*$D$38/$I$42,0)</f>
        <v>66833.6309344625</v>
      </c>
      <c r="E336" s="157" t="n">
        <f aca="false">IFERROR($R$363*$C$86*$E$38/$I$42,0)</f>
        <v>0</v>
      </c>
      <c r="F336" s="157" t="n">
        <f aca="false">IFERROR($R$363*$C$87*$F$38/$I$42,0)</f>
        <v>0</v>
      </c>
      <c r="G336" s="157" t="n">
        <f aca="false">IFERROR($R$363*$C$88*$G$38/$I$42,0)</f>
        <v>0</v>
      </c>
      <c r="H336" s="137" t="n">
        <f aca="false">IFERROR($R$363*$C$89*$H$38/$I$42,0)</f>
        <v>0</v>
      </c>
      <c r="J336" s="71" t="s">
        <v>20</v>
      </c>
      <c r="K336" s="163" t="n">
        <f aca="false">SUM(L336:P336)</f>
        <v>66833.6309344625</v>
      </c>
      <c r="L336" s="157" t="n">
        <f aca="false">IFERROR($R$363*$C$85*$D$38/$I$42,0)</f>
        <v>66833.6309344625</v>
      </c>
      <c r="M336" s="157" t="n">
        <f aca="false">IFERROR($R$363*$C$86*$E$38/$I$42,0)</f>
        <v>0</v>
      </c>
      <c r="N336" s="157" t="n">
        <f aca="false">IFERROR($R$363*$C$87*$F$38/$I$42,0)</f>
        <v>0</v>
      </c>
      <c r="O336" s="157" t="n">
        <f aca="false">IFERROR($R$363*$C$88*$G$38/$I$42,0)</f>
        <v>0</v>
      </c>
      <c r="P336" s="137" t="n">
        <f aca="false">IFERROR($R$363*$C$89*$H$38/$I$42,0)</f>
        <v>0</v>
      </c>
    </row>
    <row r="337" customFormat="false" ht="15" hidden="false" customHeight="false" outlineLevel="0" collapsed="false">
      <c r="B337" s="71" t="s">
        <v>22</v>
      </c>
      <c r="C337" s="163" t="n">
        <f aca="false">SUM(D337:H337)</f>
        <v>191988.189361247</v>
      </c>
      <c r="D337" s="157" t="n">
        <f aca="false">$R$365</f>
        <v>191988.189361247</v>
      </c>
      <c r="E337" s="157" t="n">
        <f aca="false">IFERROR($R$366*$E$61*$E$38/$I$366,0)</f>
        <v>0</v>
      </c>
      <c r="F337" s="157" t="n">
        <f aca="false">IFERROR($R$366*$E$62*$F$38/$I$366,0)</f>
        <v>0</v>
      </c>
      <c r="G337" s="157" t="n">
        <f aca="false">IFERROR($R$366*$E$63*$G$38/$I$366,0)</f>
        <v>0</v>
      </c>
      <c r="H337" s="137" t="n">
        <f aca="false">IFERROR($R$366*$E$64*$H$38/$I$366,0)</f>
        <v>0</v>
      </c>
      <c r="J337" s="71" t="s">
        <v>22</v>
      </c>
      <c r="K337" s="163" t="n">
        <f aca="false">SUM(L337:P337)</f>
        <v>191988.189361247</v>
      </c>
      <c r="L337" s="157" t="n">
        <f aca="false">$R$365</f>
        <v>191988.189361247</v>
      </c>
      <c r="M337" s="157" t="n">
        <f aca="false">IFERROR($R$366*$E$61*$E$38/$I$366,0)</f>
        <v>0</v>
      </c>
      <c r="N337" s="157" t="n">
        <f aca="false">IFERROR($R$366*$E$62*$F$38/$I$366,0)</f>
        <v>0</v>
      </c>
      <c r="O337" s="157" t="n">
        <f aca="false">IFERROR($R$366*$E$63*$G$38/$I$366,0)</f>
        <v>0</v>
      </c>
      <c r="P337" s="137" t="n">
        <f aca="false">IFERROR($R$366*$E$64*$H$38/$I$366,0)</f>
        <v>0</v>
      </c>
    </row>
    <row r="338" customFormat="false" ht="15" hidden="false" customHeight="false" outlineLevel="0" collapsed="false">
      <c r="B338" s="71" t="s">
        <v>24</v>
      </c>
      <c r="C338" s="163" t="n">
        <f aca="false">SUM(D338:H338)</f>
        <v>118414.719537528</v>
      </c>
      <c r="D338" s="157" t="n">
        <f aca="false">SUM(D339:D344)</f>
        <v>118414.719537528</v>
      </c>
      <c r="E338" s="157" t="n">
        <f aca="false">SUM(E339:E344)</f>
        <v>0</v>
      </c>
      <c r="F338" s="157" t="n">
        <f aca="false">SUM(F339:F344)</f>
        <v>0</v>
      </c>
      <c r="G338" s="157" t="n">
        <f aca="false">SUM(G339:G344)</f>
        <v>0</v>
      </c>
      <c r="H338" s="137" t="n">
        <f aca="false">SUM(H339:H344)</f>
        <v>0</v>
      </c>
      <c r="J338" s="71" t="s">
        <v>24</v>
      </c>
      <c r="K338" s="163" t="n">
        <f aca="false">SUM(L338:P338)</f>
        <v>118414.719537528</v>
      </c>
      <c r="L338" s="157" t="n">
        <f aca="false">SUM(L339:L344)</f>
        <v>118414.719537528</v>
      </c>
      <c r="M338" s="157" t="n">
        <f aca="false">SUM(M339:M344)</f>
        <v>0</v>
      </c>
      <c r="N338" s="157" t="n">
        <f aca="false">SUM(N339:N344)</f>
        <v>0</v>
      </c>
      <c r="O338" s="157" t="n">
        <f aca="false">SUM(O339:O344)</f>
        <v>0</v>
      </c>
      <c r="P338" s="137" t="n">
        <f aca="false">SUM(P339:P344)</f>
        <v>0</v>
      </c>
    </row>
    <row r="339" customFormat="false" ht="15" hidden="false" customHeight="false" outlineLevel="0" collapsed="false">
      <c r="B339" s="51" t="s">
        <v>317</v>
      </c>
      <c r="C339" s="163" t="n">
        <f aca="false">SUM(D339:H339)</f>
        <v>10665.209068668</v>
      </c>
      <c r="D339" s="157" t="n">
        <f aca="false">$R$368</f>
        <v>10665.209068668</v>
      </c>
      <c r="E339" s="157" t="n">
        <f aca="false">IFERROR($R$369*$E$61*$E$38/$I$366,0)</f>
        <v>0</v>
      </c>
      <c r="F339" s="157" t="n">
        <f aca="false">IFERROR($R$369*$E$62*$F$38/$I$366,0)</f>
        <v>0</v>
      </c>
      <c r="G339" s="157" t="n">
        <f aca="false">IFERROR($R$369*$E$63*$G$38/$I$366,0)</f>
        <v>0</v>
      </c>
      <c r="H339" s="137" t="n">
        <f aca="false">IFERROR($R$369*$E$64*$H$38/$I$366,0)</f>
        <v>0</v>
      </c>
      <c r="J339" s="51" t="s">
        <v>317</v>
      </c>
      <c r="K339" s="163" t="n">
        <f aca="false">SUM(L339:P339)</f>
        <v>10665.209068668</v>
      </c>
      <c r="L339" s="157" t="n">
        <f aca="false">$R$368</f>
        <v>10665.209068668</v>
      </c>
      <c r="M339" s="157" t="n">
        <f aca="false">IFERROR($R$369*$E$61*$E$38/$I$366,0)</f>
        <v>0</v>
      </c>
      <c r="N339" s="157" t="n">
        <f aca="false">IFERROR($R$369*$E$62*$F$38/$I$366,0)</f>
        <v>0</v>
      </c>
      <c r="O339" s="157" t="n">
        <f aca="false">IFERROR($R$369*$E$63*$G$38/$I$366,0)</f>
        <v>0</v>
      </c>
      <c r="P339" s="137" t="n">
        <f aca="false">IFERROR($R$369*$E$64*$H$38/$I$366,0)</f>
        <v>0</v>
      </c>
    </row>
    <row r="340" customFormat="false" ht="15" hidden="false" customHeight="false" outlineLevel="0" collapsed="false">
      <c r="B340" s="51" t="s">
        <v>318</v>
      </c>
      <c r="C340" s="163" t="n">
        <f aca="false">SUM(D340:H340)</f>
        <v>75500.2652612868</v>
      </c>
      <c r="D340" s="157" t="n">
        <f aca="false">$R$370</f>
        <v>75500.2652612868</v>
      </c>
      <c r="E340" s="157" t="n">
        <f aca="false">IFERROR($R$371*$E$61*$E$38/$I$366,0)</f>
        <v>0</v>
      </c>
      <c r="F340" s="157" t="n">
        <f aca="false">IFERROR($R$371*$E$62*$F$38/$I$366,0)</f>
        <v>0</v>
      </c>
      <c r="G340" s="157" t="n">
        <f aca="false">IFERROR($R$371*$E$63*$G$38/$I$366,0)</f>
        <v>0</v>
      </c>
      <c r="H340" s="137" t="n">
        <f aca="false">IFERROR($R$371*$E$64*$H$38/$I$366,0)</f>
        <v>0</v>
      </c>
      <c r="J340" s="51" t="s">
        <v>318</v>
      </c>
      <c r="K340" s="163" t="n">
        <f aca="false">SUM(L340:P340)</f>
        <v>75500.2652612868</v>
      </c>
      <c r="L340" s="157" t="n">
        <f aca="false">$R$370</f>
        <v>75500.2652612868</v>
      </c>
      <c r="M340" s="157" t="n">
        <f aca="false">IFERROR($R$371*$E$61*$E$38/$I$366,0)</f>
        <v>0</v>
      </c>
      <c r="N340" s="157" t="n">
        <f aca="false">IFERROR($R$371*$E$62*$F$38/$I$366,0)</f>
        <v>0</v>
      </c>
      <c r="O340" s="157" t="n">
        <f aca="false">IFERROR($R$371*$E$63*$G$38/$I$366,0)</f>
        <v>0</v>
      </c>
      <c r="P340" s="137" t="n">
        <f aca="false">IFERROR($R$371*$E$64*$H$38/$I$366,0)</f>
        <v>0</v>
      </c>
    </row>
    <row r="341" customFormat="false" ht="15" hidden="false" customHeight="false" outlineLevel="0" collapsed="false">
      <c r="B341" s="143" t="s">
        <v>319</v>
      </c>
      <c r="C341" s="163" t="n">
        <f aca="false">SUM(D341:H341)</f>
        <v>9160.0833370266</v>
      </c>
      <c r="D341" s="157" t="n">
        <f aca="false">$R$372</f>
        <v>9160.0833370266</v>
      </c>
      <c r="E341" s="157" t="n">
        <f aca="false">IFERROR($R$373*$E$61*$E$38/$I$366,0)</f>
        <v>0</v>
      </c>
      <c r="F341" s="157" t="n">
        <f aca="false">IFERROR($R$373*$E$62*$F$38/$I$366,0)</f>
        <v>0</v>
      </c>
      <c r="G341" s="157" t="n">
        <f aca="false">IFERROR($R$373*$E$63*$G$38/$I$366,0)</f>
        <v>0</v>
      </c>
      <c r="H341" s="137" t="n">
        <f aca="false">IFERROR($R$373*$E$64*$H$38/$I$366,0)</f>
        <v>0</v>
      </c>
      <c r="J341" s="143" t="s">
        <v>319</v>
      </c>
      <c r="K341" s="163" t="n">
        <f aca="false">SUM(L341:P341)</f>
        <v>9160.0833370266</v>
      </c>
      <c r="L341" s="157" t="n">
        <f aca="false">$R$372</f>
        <v>9160.0833370266</v>
      </c>
      <c r="M341" s="157" t="n">
        <f aca="false">IFERROR($R$373*$E$61*$E$38/$I$366,0)</f>
        <v>0</v>
      </c>
      <c r="N341" s="157" t="n">
        <f aca="false">IFERROR($R$373*$E$62*$F$38/$I$366,0)</f>
        <v>0</v>
      </c>
      <c r="O341" s="157" t="n">
        <f aca="false">IFERROR($R$373*$E$63*$G$38/$I$366,0)</f>
        <v>0</v>
      </c>
      <c r="P341" s="137" t="n">
        <f aca="false">IFERROR($R$373*$E$64*$H$38/$I$366,0)</f>
        <v>0</v>
      </c>
    </row>
    <row r="342" customFormat="false" ht="15" hidden="false" customHeight="false" outlineLevel="0" collapsed="false">
      <c r="B342" s="51" t="s">
        <v>320</v>
      </c>
      <c r="C342" s="163" t="n">
        <f aca="false">SUM(D342:H342)</f>
        <v>2277.8092458</v>
      </c>
      <c r="D342" s="157" t="n">
        <f aca="false">$R$374</f>
        <v>2277.8092458</v>
      </c>
      <c r="E342" s="157" t="n">
        <f aca="false">IFERROR($R$375*$E$61*$E$38/$I$366,0)</f>
        <v>0</v>
      </c>
      <c r="F342" s="157" t="n">
        <f aca="false">IFERROR($R$375*$E$62*$F$38/$I$366,0)</f>
        <v>0</v>
      </c>
      <c r="G342" s="157" t="n">
        <f aca="false">IFERROR($R$375*$E$63*$G$38/$I$366,0)</f>
        <v>0</v>
      </c>
      <c r="H342" s="137" t="n">
        <f aca="false">IFERROR($R$375*$E$64*$H$38/$I$366,0)</f>
        <v>0</v>
      </c>
      <c r="J342" s="51" t="s">
        <v>320</v>
      </c>
      <c r="K342" s="163" t="n">
        <f aca="false">SUM(L342:P342)</f>
        <v>2277.8092458</v>
      </c>
      <c r="L342" s="157" t="n">
        <f aca="false">$R$374</f>
        <v>2277.8092458</v>
      </c>
      <c r="M342" s="157" t="n">
        <f aca="false">IFERROR($R$375*$E$61*$E$38/$I$366,0)</f>
        <v>0</v>
      </c>
      <c r="N342" s="157" t="n">
        <f aca="false">IFERROR($R$375*$E$62*$F$38/$I$366,0)</f>
        <v>0</v>
      </c>
      <c r="O342" s="157" t="n">
        <f aca="false">IFERROR($R$375*$E$63*$G$38/$I$366,0)</f>
        <v>0</v>
      </c>
      <c r="P342" s="137" t="n">
        <f aca="false">IFERROR($R$375*$E$64*$H$38/$I$366,0)</f>
        <v>0</v>
      </c>
    </row>
    <row r="343" customFormat="false" ht="15" hidden="false" customHeight="false" outlineLevel="0" collapsed="false">
      <c r="B343" s="143" t="s">
        <v>321</v>
      </c>
      <c r="C343" s="163" t="n">
        <f aca="false">SUM(D343:H343)</f>
        <v>12374.3252727666</v>
      </c>
      <c r="D343" s="157" t="n">
        <f aca="false">$R$378</f>
        <v>12374.3252727666</v>
      </c>
      <c r="E343" s="157" t="n">
        <f aca="false">IFERROR($R$379*$E$61*$E$38/$I$366,0)</f>
        <v>0</v>
      </c>
      <c r="F343" s="157" t="n">
        <f aca="false">IFERROR($R$379*$E$62*$F$38/$I$366,0)</f>
        <v>0</v>
      </c>
      <c r="G343" s="157" t="n">
        <f aca="false">IFERROR($R$379*$E$63*$G$38/$I$366,0)</f>
        <v>0</v>
      </c>
      <c r="H343" s="137" t="n">
        <f aca="false">IFERROR($R$379*$E$64*$H$38/$I$366,0)</f>
        <v>0</v>
      </c>
      <c r="J343" s="143" t="s">
        <v>321</v>
      </c>
      <c r="K343" s="163" t="n">
        <f aca="false">SUM(L343:P343)</f>
        <v>12374.3252727666</v>
      </c>
      <c r="L343" s="157" t="n">
        <f aca="false">$R$378</f>
        <v>12374.3252727666</v>
      </c>
      <c r="M343" s="157" t="n">
        <f aca="false">IFERROR($R$379*$E$61*$E$38/$I$366,0)</f>
        <v>0</v>
      </c>
      <c r="N343" s="157" t="n">
        <f aca="false">IFERROR($R$379*$E$62*$F$38/$I$366,0)</f>
        <v>0</v>
      </c>
      <c r="O343" s="157" t="n">
        <f aca="false">IFERROR($R$379*$E$63*$G$38/$I$366,0)</f>
        <v>0</v>
      </c>
      <c r="P343" s="137" t="n">
        <f aca="false">IFERROR($R$379*$E$64*$H$38/$I$366,0)</f>
        <v>0</v>
      </c>
    </row>
    <row r="344" customFormat="false" ht="15" hidden="false" customHeight="false" outlineLevel="0" collapsed="false">
      <c r="B344" s="51" t="s">
        <v>322</v>
      </c>
      <c r="C344" s="163" t="n">
        <f aca="false">SUM(D344:H344)</f>
        <v>8437.02735197974</v>
      </c>
      <c r="D344" s="157" t="n">
        <f aca="false">IFERROR($R$380*$C$85*$D$38/$I$42,0)</f>
        <v>8437.02735197974</v>
      </c>
      <c r="E344" s="157" t="n">
        <f aca="false">IFERROR($R$380*$C$86*$E$38/$I$42,0)</f>
        <v>0</v>
      </c>
      <c r="F344" s="157" t="n">
        <f aca="false">IFERROR($R$380*$C$87*$F$38/$I$42,0)</f>
        <v>0</v>
      </c>
      <c r="G344" s="157" t="n">
        <f aca="false">IFERROR($R$380*$C$88*$G$38/$I$42,0)</f>
        <v>0</v>
      </c>
      <c r="H344" s="137" t="n">
        <f aca="false">IFERROR($R$380*$C$89*$H$38/$I$42,0)</f>
        <v>0</v>
      </c>
      <c r="J344" s="51" t="s">
        <v>322</v>
      </c>
      <c r="K344" s="163" t="n">
        <f aca="false">SUM(L344:P344)</f>
        <v>8437.02735197974</v>
      </c>
      <c r="L344" s="157" t="n">
        <f aca="false">IFERROR($R$380*$C$85*$D$38/$I$42,0)</f>
        <v>8437.02735197974</v>
      </c>
      <c r="M344" s="157" t="n">
        <f aca="false">IFERROR($R$380*$C$86*$E$38/$I$42,0)</f>
        <v>0</v>
      </c>
      <c r="N344" s="157" t="n">
        <f aca="false">IFERROR($R$380*$C$87*$F$38/$I$42,0)</f>
        <v>0</v>
      </c>
      <c r="O344" s="157" t="n">
        <f aca="false">IFERROR($R$380*$C$88*$G$38/$I$42,0)</f>
        <v>0</v>
      </c>
      <c r="P344" s="137" t="n">
        <f aca="false">IFERROR($R$380*$C$89*$H$38/$I$42,0)</f>
        <v>0</v>
      </c>
    </row>
    <row r="345" customFormat="false" ht="15" hidden="false" customHeight="false" outlineLevel="0" collapsed="false">
      <c r="B345" s="71" t="s">
        <v>323</v>
      </c>
      <c r="C345" s="163" t="n">
        <f aca="false">SUM(D345:H345)</f>
        <v>11000</v>
      </c>
      <c r="D345" s="157" t="n">
        <f aca="false">IFERROR($R$386*$C$85*$D$38/$I$42,0)</f>
        <v>11000</v>
      </c>
      <c r="E345" s="157" t="n">
        <f aca="false">IFERROR($R$386*$C$86*$E$38/$I$42,0)</f>
        <v>0</v>
      </c>
      <c r="F345" s="157" t="n">
        <f aca="false">IFERROR($R$386*$C$87*$F$38/$I$42,0)</f>
        <v>0</v>
      </c>
      <c r="G345" s="157" t="n">
        <f aca="false">IFERROR($R$386*$C$88*$G$38/$I$42,0)</f>
        <v>0</v>
      </c>
      <c r="H345" s="137" t="n">
        <f aca="false">IFERROR($R$386*$C$89*$H$38/$I$42,0)</f>
        <v>0</v>
      </c>
      <c r="J345" s="71" t="s">
        <v>323</v>
      </c>
      <c r="K345" s="163" t="n">
        <f aca="false">SUM(L345:P345)</f>
        <v>11000</v>
      </c>
      <c r="L345" s="157" t="n">
        <f aca="false">IFERROR($R$386*$C$85*$D$38/$I$42,0)</f>
        <v>11000</v>
      </c>
      <c r="M345" s="157" t="n">
        <f aca="false">IFERROR($R$386*$C$86*$E$38/$I$42,0)</f>
        <v>0</v>
      </c>
      <c r="N345" s="157" t="n">
        <f aca="false">IFERROR($R$386*$C$87*$F$38/$I$42,0)</f>
        <v>0</v>
      </c>
      <c r="O345" s="157" t="n">
        <f aca="false">IFERROR($R$386*$C$88*$G$38/$I$42,0)</f>
        <v>0</v>
      </c>
      <c r="P345" s="137" t="n">
        <f aca="false">IFERROR($R$386*$C$89*$H$38/$I$42,0)</f>
        <v>0</v>
      </c>
    </row>
    <row r="346" customFormat="false" ht="15" hidden="false" customHeight="false" outlineLevel="0" collapsed="false">
      <c r="B346" s="71" t="s">
        <v>324</v>
      </c>
      <c r="C346" s="163" t="n">
        <f aca="false">SUM(D346:H346)</f>
        <v>6542.09818376145</v>
      </c>
      <c r="D346" s="157" t="n">
        <f aca="false">IFERROR($R$389*$C$85*$D$38/$I$42,0)</f>
        <v>6542.09818376145</v>
      </c>
      <c r="E346" s="157" t="n">
        <f aca="false">IFERROR($R$389*$C$86*$E$38/$I$42,0)</f>
        <v>0</v>
      </c>
      <c r="F346" s="157" t="n">
        <f aca="false">IFERROR($R$389*$C$87*$F$38/$I$42,0)</f>
        <v>0</v>
      </c>
      <c r="G346" s="157" t="n">
        <f aca="false">IFERROR($R$389*$C$88*$G$38/$I$42,0)</f>
        <v>0</v>
      </c>
      <c r="H346" s="137" t="n">
        <f aca="false">IFERROR($R$389*$C$89*$H$38/$I$42,0)</f>
        <v>0</v>
      </c>
      <c r="J346" s="71" t="s">
        <v>324</v>
      </c>
      <c r="K346" s="163" t="n">
        <f aca="false">SUM(L346:P346)</f>
        <v>6542.09818376145</v>
      </c>
      <c r="L346" s="157" t="n">
        <f aca="false">IFERROR($R$389*$C$85*$D$38/$I$42,0)</f>
        <v>6542.09818376145</v>
      </c>
      <c r="M346" s="157" t="n">
        <f aca="false">IFERROR($R$389*$C$86*$E$38/$I$42,0)</f>
        <v>0</v>
      </c>
      <c r="N346" s="157" t="n">
        <f aca="false">IFERROR($R$389*$C$87*$F$38/$I$42,0)</f>
        <v>0</v>
      </c>
      <c r="O346" s="157" t="n">
        <f aca="false">IFERROR($R$389*$C$88*$G$38/$I$42,0)</f>
        <v>0</v>
      </c>
      <c r="P346" s="137" t="n">
        <f aca="false">IFERROR($R$389*$C$89*$H$38/$I$42,0)</f>
        <v>0</v>
      </c>
    </row>
    <row r="347" customFormat="false" ht="15" hidden="false" customHeight="false" outlineLevel="0" collapsed="false">
      <c r="B347" s="71" t="s">
        <v>300</v>
      </c>
      <c r="C347" s="163" t="n">
        <f aca="false">SUM(D347:H347)</f>
        <v>11165.567323</v>
      </c>
      <c r="D347" s="157" t="n">
        <f aca="false">$P$324</f>
        <v>11165.567323</v>
      </c>
      <c r="E347" s="157" t="n">
        <f aca="false">$Q$324</f>
        <v>0</v>
      </c>
      <c r="F347" s="157" t="n">
        <f aca="false">$R$324</f>
        <v>0</v>
      </c>
      <c r="G347" s="157" t="n">
        <f aca="false">$S$324</f>
        <v>0</v>
      </c>
      <c r="H347" s="137" t="n">
        <f aca="false">$T$324</f>
        <v>0</v>
      </c>
      <c r="J347" s="71" t="s">
        <v>300</v>
      </c>
      <c r="K347" s="163" t="n">
        <f aca="false">SUM(L347:P347)</f>
        <v>11165.567323</v>
      </c>
      <c r="L347" s="157" t="n">
        <f aca="false">$R$401*D352</f>
        <v>11165.567323</v>
      </c>
      <c r="M347" s="157" t="n">
        <f aca="false">$R$401*E352</f>
        <v>0</v>
      </c>
      <c r="N347" s="157" t="n">
        <f aca="false">$R$401*F352</f>
        <v>0</v>
      </c>
      <c r="O347" s="157" t="n">
        <f aca="false">$R$401*G352</f>
        <v>0</v>
      </c>
      <c r="P347" s="137" t="n">
        <f aca="false">$R$401*H352</f>
        <v>0</v>
      </c>
    </row>
    <row r="348" customFormat="false" ht="15" hidden="false" customHeight="false" outlineLevel="0" collapsed="false">
      <c r="B348" s="71" t="s">
        <v>325</v>
      </c>
      <c r="C348" s="163" t="n">
        <f aca="false">SUM(D348:H348)</f>
        <v>8331.72193142708</v>
      </c>
      <c r="D348" s="157" t="n">
        <f aca="false">IFERROR($R$412*$C$85*$D$38/$I$42,0)</f>
        <v>8331.72193142708</v>
      </c>
      <c r="E348" s="157" t="n">
        <f aca="false">IFERROR($R$412*$C$86*$E$38/$I$42,0)</f>
        <v>0</v>
      </c>
      <c r="F348" s="157" t="n">
        <f aca="false">IFERROR($R$412*$C$87*$F$38/$I$42,0)</f>
        <v>0</v>
      </c>
      <c r="G348" s="157" t="n">
        <f aca="false">IFERROR($R$412*$C$88*$G$38/$I$42,0)</f>
        <v>0</v>
      </c>
      <c r="H348" s="137" t="n">
        <f aca="false">IFERROR($R$412*$C$89*$H$38/$I$42,0)</f>
        <v>0</v>
      </c>
      <c r="J348" s="71" t="s">
        <v>325</v>
      </c>
      <c r="K348" s="163" t="n">
        <f aca="false">SUM(L348:P348)</f>
        <v>8331.72193142708</v>
      </c>
      <c r="L348" s="157" t="n">
        <f aca="false">IFERROR($R$412*$C$85*$D$38/$I$42,0)</f>
        <v>8331.72193142708</v>
      </c>
      <c r="M348" s="157" t="n">
        <f aca="false">IFERROR($R$412*$C$86*$E$38/$I$42,0)</f>
        <v>0</v>
      </c>
      <c r="N348" s="157" t="n">
        <f aca="false">IFERROR($R$412*$C$87*$F$38/$I$42,0)</f>
        <v>0</v>
      </c>
      <c r="O348" s="157" t="n">
        <f aca="false">IFERROR($R$412*$C$88*$G$38/$I$42,0)</f>
        <v>0</v>
      </c>
      <c r="P348" s="137" t="n">
        <f aca="false">IFERROR($R$412*$C$89*$H$38/$I$42,0)</f>
        <v>0</v>
      </c>
    </row>
    <row r="349" customFormat="false" ht="15" hidden="false" customHeight="false" outlineLevel="0" collapsed="false">
      <c r="B349" s="71" t="s">
        <v>155</v>
      </c>
      <c r="C349" s="163" t="n">
        <f aca="false">SUM(D349:H349)</f>
        <v>414275.927271426</v>
      </c>
      <c r="D349" s="164" t="n">
        <f aca="false">SUM(D336:D338)+SUM(D345:D348)</f>
        <v>414275.927271426</v>
      </c>
      <c r="E349" s="164" t="n">
        <f aca="false">SUM(E336:E338)+SUM(E345:E348)</f>
        <v>0</v>
      </c>
      <c r="F349" s="164" t="n">
        <f aca="false">SUM(F336:F338)+SUM(F345:F348)</f>
        <v>0</v>
      </c>
      <c r="G349" s="164" t="n">
        <f aca="false">SUM(G336:G338)+SUM(G345:G348)</f>
        <v>0</v>
      </c>
      <c r="H349" s="165" t="n">
        <f aca="false">SUM(H336:H338)+SUM(H345:H348)</f>
        <v>0</v>
      </c>
      <c r="J349" s="123" t="s">
        <v>155</v>
      </c>
      <c r="K349" s="190" t="n">
        <f aca="false">SUM(L349:P349)</f>
        <v>414275.927271426</v>
      </c>
      <c r="L349" s="159" t="n">
        <f aca="false">SUM(L336:L338)+SUM(L345:L348)</f>
        <v>414275.927271426</v>
      </c>
      <c r="M349" s="159" t="n">
        <f aca="false">SUM(M336:M338)+SUM(M345:M348)</f>
        <v>0</v>
      </c>
      <c r="N349" s="159" t="n">
        <f aca="false">SUM(N336:N338)+SUM(N345:N348)</f>
        <v>0</v>
      </c>
      <c r="O349" s="159" t="n">
        <f aca="false">SUM(O336:O338)+SUM(O345:O348)</f>
        <v>0</v>
      </c>
      <c r="P349" s="160" t="n">
        <f aca="false">SUM(P336:P338)+SUM(P345:P348)</f>
        <v>0</v>
      </c>
    </row>
    <row r="350" customFormat="false" ht="15" hidden="false" customHeight="false" outlineLevel="0" collapsed="false">
      <c r="B350" s="71" t="s">
        <v>326</v>
      </c>
      <c r="C350" s="163" t="n">
        <f aca="false">SUM(D350:H350)</f>
        <v>550800</v>
      </c>
      <c r="D350" s="157" t="n">
        <f aca="false">$E$98*(1+$E$101)*$D$38</f>
        <v>550800</v>
      </c>
      <c r="E350" s="157" t="n">
        <f aca="false">$E$129*(1+$E$130)*$E$38</f>
        <v>0</v>
      </c>
      <c r="F350" s="157" t="n">
        <v>0</v>
      </c>
      <c r="G350" s="157" t="n">
        <v>0</v>
      </c>
      <c r="H350" s="137" t="n">
        <v>0</v>
      </c>
    </row>
    <row r="351" customFormat="false" ht="15" hidden="false" customHeight="false" outlineLevel="0" collapsed="false">
      <c r="B351" s="71" t="s">
        <v>327</v>
      </c>
      <c r="C351" s="164" t="n">
        <f aca="false">C349-C350</f>
        <v>-136524.072728574</v>
      </c>
      <c r="D351" s="157" t="n">
        <f aca="false">D349-D350</f>
        <v>-136524.072728574</v>
      </c>
      <c r="E351" s="157" t="n">
        <f aca="false">E349-E350</f>
        <v>0</v>
      </c>
      <c r="F351" s="157" t="n">
        <f aca="false">F349-F350</f>
        <v>0</v>
      </c>
      <c r="G351" s="157" t="n">
        <f aca="false">G349-G350</f>
        <v>0</v>
      </c>
      <c r="H351" s="137" t="n">
        <f aca="false">H349-H350</f>
        <v>0</v>
      </c>
    </row>
    <row r="352" customFormat="false" ht="15" hidden="false" customHeight="false" outlineLevel="0" collapsed="false">
      <c r="B352" s="123" t="s">
        <v>201</v>
      </c>
      <c r="C352" s="140" t="n">
        <f aca="false">SUM(D352:H352)</f>
        <v>1</v>
      </c>
      <c r="D352" s="191" t="n">
        <f aca="false">IF(SUMIF($D$351:$H$351,"&gt;0")=0,IFERROR(D347/$C$347,0),MAX(0,D351)/SUMIF($D$351:$H$351,"&gt;0"))</f>
        <v>1</v>
      </c>
      <c r="E352" s="191" t="n">
        <f aca="false">IF(SUMIF($D$351:$H$351,"&gt;0")=0,IFERROR(E347/$C$347,0),MAX(0,E351)/SUMIF($D$351:$H$351,"&gt;0"))</f>
        <v>0</v>
      </c>
      <c r="F352" s="191" t="n">
        <f aca="false">IF(SUMIF($D$351:$H$351,"&gt;0")=0,IFERROR(F347/$C$347,0),MAX(0,F351)/SUMIF($D$351:$H$351,"&gt;0"))</f>
        <v>0</v>
      </c>
      <c r="G352" s="191" t="n">
        <f aca="false">IF(SUMIF($D$351:$H$351,"&gt;0")=0,IFERROR(G347/$C$347,0),MAX(0,G351)/SUMIF($D$351:$H$351,"&gt;0"))</f>
        <v>0</v>
      </c>
      <c r="H352" s="192" t="n">
        <f aca="false">IF(SUMIF($D$351:$H$351,"&gt;0")=0,IFERROR(H347/$C$347,0),MAX(0,H351)/SUMIF($D$351:$H$351,"&gt;0"))</f>
        <v>0</v>
      </c>
    </row>
    <row r="354" customFormat="false" ht="15" hidden="false" customHeight="false" outlineLevel="0" collapsed="false">
      <c r="A354" s="61" t="s">
        <v>328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customFormat="false" ht="15" hidden="false" customHeight="false" outlineLevel="0" collapsed="false">
      <c r="D355" s="193" t="s">
        <v>329</v>
      </c>
      <c r="E355" s="193" t="s">
        <v>330</v>
      </c>
      <c r="J355" s="153" t="s">
        <v>331</v>
      </c>
      <c r="N355" s="194" t="n">
        <f aca="false">IFERROR($I$366/$I$39,0)</f>
        <v>0</v>
      </c>
    </row>
    <row r="356" customFormat="false" ht="15" hidden="false" customHeight="false" outlineLevel="0" collapsed="false">
      <c r="B356" s="68" t="s">
        <v>121</v>
      </c>
      <c r="C356" s="68" t="s">
        <v>2</v>
      </c>
      <c r="D356" s="44" t="s">
        <v>332</v>
      </c>
      <c r="E356" s="44" t="s">
        <v>333</v>
      </c>
      <c r="F356" s="68" t="s">
        <v>334</v>
      </c>
      <c r="G356" s="68" t="s">
        <v>335</v>
      </c>
      <c r="H356" s="68" t="s">
        <v>336</v>
      </c>
      <c r="I356" s="68" t="s">
        <v>337</v>
      </c>
      <c r="J356" s="68"/>
      <c r="K356" s="68" t="s">
        <v>336</v>
      </c>
      <c r="L356" s="68" t="s">
        <v>338</v>
      </c>
      <c r="M356" s="68" t="s">
        <v>339</v>
      </c>
      <c r="N356" s="44" t="s">
        <v>340</v>
      </c>
      <c r="O356" s="68" t="s">
        <v>341</v>
      </c>
      <c r="P356" s="44" t="s">
        <v>342</v>
      </c>
      <c r="Q356" s="44" t="s">
        <v>343</v>
      </c>
      <c r="R356" s="68" t="s">
        <v>344</v>
      </c>
      <c r="S356" s="68" t="s">
        <v>345</v>
      </c>
    </row>
    <row r="357" customFormat="false" ht="15" hidden="false" customHeight="false" outlineLevel="0" collapsed="false">
      <c r="B357" s="151" t="s">
        <v>20</v>
      </c>
    </row>
    <row r="358" customFormat="false" ht="15" hidden="false" customHeight="false" outlineLevel="0" collapsed="false">
      <c r="B358" s="32" t="s">
        <v>20</v>
      </c>
      <c r="C358" s="36" t="s">
        <v>346</v>
      </c>
      <c r="D358" s="195" t="n">
        <v>0</v>
      </c>
      <c r="E358" s="196" t="n">
        <v>1</v>
      </c>
      <c r="F358" s="36" t="s">
        <v>347</v>
      </c>
      <c r="G358" s="197" t="n">
        <v>220000</v>
      </c>
      <c r="H358" s="198" t="s">
        <v>348</v>
      </c>
      <c r="I358" s="127" t="n">
        <f aca="false">$E$82</f>
        <v>4995.7875</v>
      </c>
      <c r="J358" s="199" t="s">
        <v>63</v>
      </c>
      <c r="K358" s="36" t="s">
        <v>349</v>
      </c>
      <c r="L358" s="200" t="n">
        <f aca="false">G358/I358*1000</f>
        <v>44037.1012578097</v>
      </c>
      <c r="M358" s="37" t="n">
        <f aca="false">G358*$I$42</f>
        <v>61871.5339145181</v>
      </c>
      <c r="N358" s="37" t="n">
        <f aca="false">IF(D358=1,M358*$D$555,0)</f>
        <v>0</v>
      </c>
      <c r="O358" s="37" t="n">
        <f aca="false">M358+N358</f>
        <v>61871.5339145181</v>
      </c>
      <c r="P358" s="194" t="n">
        <f aca="false">CHOOSE(E358,0,1,$N$355)</f>
        <v>0</v>
      </c>
      <c r="Q358" s="37" t="n">
        <f aca="false">N358*P358</f>
        <v>0</v>
      </c>
      <c r="R358" s="37" t="n">
        <f aca="false">O358-Q358</f>
        <v>61871.5339145181</v>
      </c>
      <c r="S358" s="201" t="s">
        <v>350</v>
      </c>
    </row>
    <row r="359" customFormat="false" ht="15" hidden="false" customHeight="false" outlineLevel="0" collapsed="false">
      <c r="C359" s="36" t="s">
        <v>351</v>
      </c>
      <c r="D359" s="195" t="n">
        <v>0</v>
      </c>
      <c r="E359" s="196" t="n">
        <v>1</v>
      </c>
      <c r="H359" s="198" t="s">
        <v>352</v>
      </c>
      <c r="I359" s="37" t="n">
        <f aca="false">$M$358</f>
        <v>61871.5339145181</v>
      </c>
      <c r="J359" s="199" t="s">
        <v>63</v>
      </c>
      <c r="K359" s="36" t="s">
        <v>353</v>
      </c>
      <c r="L359" s="202" t="n">
        <v>0.056</v>
      </c>
      <c r="M359" s="37" t="n">
        <f aca="false">I359*L359</f>
        <v>3464.80589921301</v>
      </c>
      <c r="N359" s="37" t="n">
        <f aca="false">IF(D359=1,M359*$D$555,0)</f>
        <v>0</v>
      </c>
      <c r="O359" s="37" t="n">
        <f aca="false">M359+N359</f>
        <v>3464.80589921301</v>
      </c>
      <c r="P359" s="194" t="n">
        <f aca="false">CHOOSE(E359,0,1,$N$355)</f>
        <v>0</v>
      </c>
      <c r="Q359" s="37" t="n">
        <f aca="false">N359*P359</f>
        <v>0</v>
      </c>
      <c r="R359" s="37" t="n">
        <f aca="false">O359-Q359</f>
        <v>3464.80589921301</v>
      </c>
      <c r="S359" s="201" t="s">
        <v>102</v>
      </c>
    </row>
    <row r="360" customFormat="false" ht="15" hidden="false" customHeight="false" outlineLevel="0" collapsed="false">
      <c r="C360" s="36" t="s">
        <v>354</v>
      </c>
      <c r="D360" s="195" t="n">
        <v>0</v>
      </c>
      <c r="E360" s="196" t="n">
        <v>1</v>
      </c>
      <c r="F360" s="36" t="s">
        <v>355</v>
      </c>
      <c r="G360" s="197" t="n">
        <v>250000</v>
      </c>
      <c r="H360" s="203" t="s">
        <v>356</v>
      </c>
      <c r="I360" s="202" t="n">
        <v>0</v>
      </c>
      <c r="J360" s="199" t="s">
        <v>63</v>
      </c>
      <c r="K360" s="36" t="s">
        <v>357</v>
      </c>
      <c r="L360" s="204" t="n">
        <v>10.17</v>
      </c>
      <c r="M360" s="37" t="n">
        <f aca="false">G360*I360*L360*$I$42</f>
        <v>0</v>
      </c>
      <c r="N360" s="37" t="n">
        <f aca="false">IF(D360=1,M360*$D$555,0)</f>
        <v>0</v>
      </c>
      <c r="O360" s="37" t="n">
        <f aca="false">M360+N360</f>
        <v>0</v>
      </c>
      <c r="P360" s="194" t="n">
        <f aca="false">CHOOSE(E360,0,1,$N$355)</f>
        <v>0</v>
      </c>
      <c r="Q360" s="37" t="n">
        <f aca="false">N360*P360</f>
        <v>0</v>
      </c>
      <c r="R360" s="37" t="n">
        <f aca="false">O360-Q360</f>
        <v>0</v>
      </c>
      <c r="S360" s="201" t="s">
        <v>102</v>
      </c>
    </row>
    <row r="361" customFormat="false" ht="15" hidden="false" customHeight="false" outlineLevel="0" collapsed="false">
      <c r="C361" s="36" t="s">
        <v>358</v>
      </c>
      <c r="D361" s="195" t="n">
        <v>0</v>
      </c>
      <c r="E361" s="196" t="n">
        <v>1</v>
      </c>
      <c r="H361" s="198" t="s">
        <v>306</v>
      </c>
      <c r="I361" s="197" t="n">
        <v>0</v>
      </c>
      <c r="M361" s="37" t="n">
        <f aca="false">I361*$I$42</f>
        <v>0</v>
      </c>
      <c r="N361" s="37" t="n">
        <f aca="false">IF(D361=1,M361*$D$555,0)</f>
        <v>0</v>
      </c>
      <c r="O361" s="37" t="n">
        <f aca="false">M361+N361</f>
        <v>0</v>
      </c>
      <c r="P361" s="194" t="n">
        <f aca="false">CHOOSE(E361,0,1,$N$355)</f>
        <v>0</v>
      </c>
      <c r="Q361" s="37" t="n">
        <f aca="false">N361*P361</f>
        <v>0</v>
      </c>
      <c r="R361" s="37" t="n">
        <f aca="false">O361-Q361</f>
        <v>0</v>
      </c>
      <c r="S361" s="201" t="s">
        <v>102</v>
      </c>
    </row>
    <row r="362" customFormat="false" ht="15" hidden="false" customHeight="false" outlineLevel="0" collapsed="false">
      <c r="C362" s="36" t="s">
        <v>359</v>
      </c>
      <c r="D362" s="195" t="n">
        <v>0</v>
      </c>
      <c r="E362" s="196" t="n">
        <v>1</v>
      </c>
      <c r="H362" s="198" t="s">
        <v>360</v>
      </c>
      <c r="I362" s="197" t="n">
        <v>5324</v>
      </c>
      <c r="M362" s="37" t="n">
        <f aca="false">I362*$I$42</f>
        <v>1497.29112073134</v>
      </c>
      <c r="N362" s="37" t="n">
        <f aca="false">IF(D362=1,M362*$D$555,0)</f>
        <v>0</v>
      </c>
      <c r="O362" s="37" t="n">
        <f aca="false">M362+N362</f>
        <v>1497.29112073134</v>
      </c>
      <c r="P362" s="194" t="n">
        <f aca="false">CHOOSE(E362,0,1,$N$355)</f>
        <v>0</v>
      </c>
      <c r="Q362" s="37" t="n">
        <f aca="false">N362*P362</f>
        <v>0</v>
      </c>
      <c r="R362" s="37" t="n">
        <f aca="false">O362-Q362</f>
        <v>1497.29112073134</v>
      </c>
      <c r="S362" s="201" t="s">
        <v>361</v>
      </c>
    </row>
    <row r="363" customFormat="false" ht="15" hidden="false" customHeight="false" outlineLevel="0" collapsed="false">
      <c r="B363" s="205" t="s">
        <v>362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06" t="n">
        <f aca="false">SUM(M358:M362)</f>
        <v>66833.6309344625</v>
      </c>
      <c r="N363" s="206" t="n">
        <f aca="false">SUM(N358:N362)</f>
        <v>0</v>
      </c>
      <c r="O363" s="206" t="n">
        <f aca="false">SUM(O358:O362)</f>
        <v>66833.6309344625</v>
      </c>
      <c r="P363" s="207" t="n">
        <f aca="false">SUM(P358:P362)</f>
        <v>0</v>
      </c>
      <c r="Q363" s="206" t="n">
        <f aca="false">SUM(Q358:Q362)</f>
        <v>0</v>
      </c>
      <c r="R363" s="206" t="n">
        <f aca="false">SUM(R358:R362)</f>
        <v>66833.6309344625</v>
      </c>
      <c r="S363" s="1"/>
    </row>
    <row r="364" customFormat="false" ht="15" hidden="false" customHeight="false" outlineLevel="0" collapsed="false">
      <c r="B364" s="151" t="s">
        <v>363</v>
      </c>
    </row>
    <row r="365" customFormat="false" ht="15" hidden="false" customHeight="false" outlineLevel="0" collapsed="false">
      <c r="B365" s="32" t="s">
        <v>22</v>
      </c>
      <c r="C365" s="36" t="s">
        <v>364</v>
      </c>
      <c r="D365" s="195" t="n">
        <v>1</v>
      </c>
      <c r="E365" s="196" t="n">
        <v>1</v>
      </c>
      <c r="H365" s="198" t="s">
        <v>365</v>
      </c>
      <c r="I365" s="127" t="n">
        <f aca="false">$I$40</f>
        <v>23008.1742</v>
      </c>
      <c r="J365" s="199" t="s">
        <v>63</v>
      </c>
      <c r="K365" s="36" t="s">
        <v>366</v>
      </c>
      <c r="L365" s="208" t="n">
        <v>7585.77</v>
      </c>
      <c r="M365" s="37" t="n">
        <f aca="false">I365*L365/1000</f>
        <v>174534.717601134</v>
      </c>
      <c r="N365" s="37" t="n">
        <f aca="false">IF(D365=1,M365*$D$555,0)</f>
        <v>17453.4717601134</v>
      </c>
      <c r="O365" s="37" t="n">
        <f aca="false">M365+N365</f>
        <v>191988.189361247</v>
      </c>
      <c r="P365" s="194" t="n">
        <f aca="false">CHOOSE(E365,0,1,$N$355)</f>
        <v>0</v>
      </c>
      <c r="Q365" s="37" t="n">
        <f aca="false">N365*P365</f>
        <v>0</v>
      </c>
      <c r="R365" s="37" t="n">
        <f aca="false">O365-Q365</f>
        <v>191988.189361247</v>
      </c>
      <c r="S365" s="209" t="s">
        <v>367</v>
      </c>
    </row>
    <row r="366" customFormat="false" ht="15" hidden="false" customHeight="false" outlineLevel="0" collapsed="false">
      <c r="C366" s="36" t="s">
        <v>368</v>
      </c>
      <c r="D366" s="195" t="n">
        <v>1</v>
      </c>
      <c r="E366" s="196" t="n">
        <v>2</v>
      </c>
      <c r="H366" s="198" t="s">
        <v>365</v>
      </c>
      <c r="I366" s="127" t="n">
        <f aca="false">$I$39-$I$40</f>
        <v>0</v>
      </c>
      <c r="J366" s="199" t="s">
        <v>63</v>
      </c>
      <c r="K366" s="36" t="s">
        <v>366</v>
      </c>
      <c r="L366" s="208" t="n">
        <v>7181.66</v>
      </c>
      <c r="M366" s="37" t="n">
        <f aca="false">I366*L366/1000</f>
        <v>0</v>
      </c>
      <c r="N366" s="37" t="n">
        <f aca="false">IF(D366=1,M366*$D$555,0)</f>
        <v>0</v>
      </c>
      <c r="O366" s="37" t="n">
        <f aca="false">M366+N366</f>
        <v>0</v>
      </c>
      <c r="P366" s="194" t="n">
        <f aca="false">CHOOSE(E366,0,1,$N$355)</f>
        <v>1</v>
      </c>
      <c r="Q366" s="37" t="n">
        <f aca="false">N366*P366</f>
        <v>0</v>
      </c>
      <c r="R366" s="37" t="n">
        <f aca="false">O366-Q366</f>
        <v>0</v>
      </c>
      <c r="S366" s="209" t="s">
        <v>367</v>
      </c>
    </row>
    <row r="367" customFormat="false" ht="15" hidden="false" customHeight="false" outlineLevel="0" collapsed="false">
      <c r="B367" s="210" t="s">
        <v>369</v>
      </c>
      <c r="C367" s="211"/>
      <c r="D367" s="211"/>
      <c r="E367" s="211"/>
      <c r="F367" s="211"/>
      <c r="G367" s="211"/>
      <c r="H367" s="211"/>
      <c r="I367" s="211"/>
      <c r="J367" s="211"/>
      <c r="K367" s="211"/>
      <c r="L367" s="211"/>
      <c r="M367" s="212" t="n">
        <f aca="false">SUM(M365:M366)</f>
        <v>174534.717601134</v>
      </c>
      <c r="N367" s="212" t="n">
        <f aca="false">SUM(N365:N366)</f>
        <v>17453.4717601134</v>
      </c>
      <c r="O367" s="212" t="n">
        <f aca="false">SUM(O365:O366)</f>
        <v>191988.189361247</v>
      </c>
      <c r="P367" s="213" t="n">
        <f aca="false">SUM(P365:P366)</f>
        <v>1</v>
      </c>
      <c r="Q367" s="212" t="n">
        <f aca="false">SUM(Q365:Q366)</f>
        <v>0</v>
      </c>
      <c r="R367" s="212" t="n">
        <f aca="false">SUM(R365:R366)</f>
        <v>191988.189361247</v>
      </c>
      <c r="S367" s="211"/>
    </row>
    <row r="368" customFormat="false" ht="15" hidden="false" customHeight="false" outlineLevel="0" collapsed="false">
      <c r="B368" s="32" t="s">
        <v>24</v>
      </c>
      <c r="C368" s="36" t="s">
        <v>370</v>
      </c>
      <c r="D368" s="195" t="n">
        <v>1</v>
      </c>
      <c r="E368" s="196" t="n">
        <v>1</v>
      </c>
      <c r="H368" s="198" t="s">
        <v>365</v>
      </c>
      <c r="I368" s="127" t="n">
        <f aca="false">$I$40</f>
        <v>23008.1742</v>
      </c>
      <c r="J368" s="199" t="s">
        <v>63</v>
      </c>
      <c r="K368" s="36" t="s">
        <v>371</v>
      </c>
      <c r="L368" s="208" t="n">
        <v>421.4</v>
      </c>
      <c r="M368" s="37" t="n">
        <f aca="false">I368*L368/1000</f>
        <v>9695.64460788</v>
      </c>
      <c r="N368" s="37" t="n">
        <f aca="false">IF(D368=1,M368*$D$555,0)</f>
        <v>969.564460788</v>
      </c>
      <c r="O368" s="37" t="n">
        <f aca="false">M368+N368</f>
        <v>10665.209068668</v>
      </c>
      <c r="P368" s="194" t="n">
        <f aca="false">CHOOSE(E368,0,1,$N$355)</f>
        <v>0</v>
      </c>
      <c r="Q368" s="37" t="n">
        <f aca="false">N368*P368</f>
        <v>0</v>
      </c>
      <c r="R368" s="37" t="n">
        <f aca="false">O368-Q368</f>
        <v>10665.209068668</v>
      </c>
      <c r="S368" s="209" t="s">
        <v>372</v>
      </c>
    </row>
    <row r="369" customFormat="false" ht="15" hidden="false" customHeight="false" outlineLevel="0" collapsed="false">
      <c r="C369" s="36" t="s">
        <v>373</v>
      </c>
      <c r="D369" s="195" t="n">
        <v>1</v>
      </c>
      <c r="E369" s="196" t="n">
        <v>2</v>
      </c>
      <c r="H369" s="198" t="s">
        <v>365</v>
      </c>
      <c r="I369" s="127" t="n">
        <f aca="false">$I$366</f>
        <v>0</v>
      </c>
      <c r="J369" s="199" t="s">
        <v>63</v>
      </c>
      <c r="K369" s="36" t="s">
        <v>371</v>
      </c>
      <c r="L369" s="208" t="n">
        <v>421.4</v>
      </c>
      <c r="M369" s="37" t="n">
        <f aca="false">I369*L369/1000</f>
        <v>0</v>
      </c>
      <c r="N369" s="37" t="n">
        <f aca="false">IF(D369=1,M369*$D$555,0)</f>
        <v>0</v>
      </c>
      <c r="O369" s="37" t="n">
        <f aca="false">M369+N369</f>
        <v>0</v>
      </c>
      <c r="P369" s="194" t="n">
        <f aca="false">CHOOSE(E369,0,1,$N$355)</f>
        <v>1</v>
      </c>
      <c r="Q369" s="37" t="n">
        <f aca="false">N369*P369</f>
        <v>0</v>
      </c>
      <c r="R369" s="37" t="n">
        <f aca="false">O369-Q369</f>
        <v>0</v>
      </c>
      <c r="S369" s="209" t="s">
        <v>372</v>
      </c>
    </row>
    <row r="370" customFormat="false" ht="15" hidden="false" customHeight="false" outlineLevel="0" collapsed="false">
      <c r="C370" s="36" t="s">
        <v>374</v>
      </c>
      <c r="D370" s="195" t="n">
        <v>1</v>
      </c>
      <c r="E370" s="196" t="n">
        <v>1</v>
      </c>
      <c r="H370" s="198" t="s">
        <v>365</v>
      </c>
      <c r="I370" s="127" t="n">
        <f aca="false">$I$40</f>
        <v>23008.1742</v>
      </c>
      <c r="J370" s="199" t="s">
        <v>63</v>
      </c>
      <c r="K370" s="36" t="s">
        <v>371</v>
      </c>
      <c r="L370" s="208" t="n">
        <v>2983.14</v>
      </c>
      <c r="M370" s="37" t="n">
        <f aca="false">I370*L370/1000</f>
        <v>68636.604782988</v>
      </c>
      <c r="N370" s="37" t="n">
        <f aca="false">IF(D370=1,M370*$D$555,0)</f>
        <v>6863.6604782988</v>
      </c>
      <c r="O370" s="37" t="n">
        <f aca="false">M370+N370</f>
        <v>75500.2652612868</v>
      </c>
      <c r="P370" s="194" t="n">
        <f aca="false">CHOOSE(E370,0,1,$N$355)</f>
        <v>0</v>
      </c>
      <c r="Q370" s="37" t="n">
        <f aca="false">N370*P370</f>
        <v>0</v>
      </c>
      <c r="R370" s="37" t="n">
        <f aca="false">O370-Q370</f>
        <v>75500.2652612868</v>
      </c>
      <c r="S370" s="209" t="s">
        <v>372</v>
      </c>
    </row>
    <row r="371" customFormat="false" ht="15" hidden="false" customHeight="false" outlineLevel="0" collapsed="false">
      <c r="C371" s="36" t="s">
        <v>375</v>
      </c>
      <c r="D371" s="195" t="n">
        <v>1</v>
      </c>
      <c r="E371" s="196" t="n">
        <v>2</v>
      </c>
      <c r="H371" s="198" t="s">
        <v>365</v>
      </c>
      <c r="I371" s="127" t="n">
        <f aca="false">$I$366</f>
        <v>0</v>
      </c>
      <c r="J371" s="199" t="s">
        <v>63</v>
      </c>
      <c r="K371" s="36" t="s">
        <v>371</v>
      </c>
      <c r="L371" s="208" t="n">
        <v>4190.11</v>
      </c>
      <c r="M371" s="37" t="n">
        <f aca="false">I371*L371/1000</f>
        <v>0</v>
      </c>
      <c r="N371" s="37" t="n">
        <f aca="false">IF(D371=1,M371*$D$555,0)</f>
        <v>0</v>
      </c>
      <c r="O371" s="37" t="n">
        <f aca="false">M371+N371</f>
        <v>0</v>
      </c>
      <c r="P371" s="194" t="n">
        <f aca="false">CHOOSE(E371,0,1,$N$355)</f>
        <v>1</v>
      </c>
      <c r="Q371" s="37" t="n">
        <f aca="false">N371*P371</f>
        <v>0</v>
      </c>
      <c r="R371" s="37" t="n">
        <f aca="false">O371-Q371</f>
        <v>0</v>
      </c>
      <c r="S371" s="209" t="s">
        <v>372</v>
      </c>
    </row>
    <row r="372" customFormat="false" ht="15" hidden="false" customHeight="false" outlineLevel="0" collapsed="false">
      <c r="C372" s="153" t="s">
        <v>376</v>
      </c>
      <c r="D372" s="195" t="n">
        <v>1</v>
      </c>
      <c r="E372" s="196" t="n">
        <v>1</v>
      </c>
      <c r="H372" s="198" t="s">
        <v>365</v>
      </c>
      <c r="I372" s="127" t="n">
        <f aca="false">$I$40</f>
        <v>23008.1742</v>
      </c>
      <c r="J372" s="199" t="s">
        <v>63</v>
      </c>
      <c r="K372" s="36" t="s">
        <v>371</v>
      </c>
      <c r="L372" s="208" t="n">
        <v>361.93</v>
      </c>
      <c r="M372" s="37" t="n">
        <f aca="false">I372*L372/1000</f>
        <v>8327.348488206</v>
      </c>
      <c r="N372" s="37" t="n">
        <f aca="false">IF(D372=1,M372*$D$555,0)</f>
        <v>832.7348488206</v>
      </c>
      <c r="O372" s="37" t="n">
        <f aca="false">M372+N372</f>
        <v>9160.0833370266</v>
      </c>
      <c r="P372" s="194" t="n">
        <f aca="false">CHOOSE(E372,0,1,$N$355)</f>
        <v>0</v>
      </c>
      <c r="Q372" s="37" t="n">
        <f aca="false">N372*P372</f>
        <v>0</v>
      </c>
      <c r="R372" s="37" t="n">
        <f aca="false">O372-Q372</f>
        <v>9160.0833370266</v>
      </c>
      <c r="S372" s="209" t="s">
        <v>372</v>
      </c>
    </row>
    <row r="373" customFormat="false" ht="15" hidden="false" customHeight="false" outlineLevel="0" collapsed="false">
      <c r="C373" s="153" t="s">
        <v>377</v>
      </c>
      <c r="D373" s="195" t="n">
        <v>1</v>
      </c>
      <c r="E373" s="196" t="n">
        <v>2</v>
      </c>
      <c r="H373" s="198" t="s">
        <v>365</v>
      </c>
      <c r="I373" s="127" t="n">
        <f aca="false">$I$366</f>
        <v>0</v>
      </c>
      <c r="J373" s="199" t="s">
        <v>63</v>
      </c>
      <c r="K373" s="36" t="s">
        <v>371</v>
      </c>
      <c r="L373" s="208" t="n">
        <v>530.56</v>
      </c>
      <c r="M373" s="37" t="n">
        <f aca="false">I373*L373/1000</f>
        <v>0</v>
      </c>
      <c r="N373" s="37" t="n">
        <f aca="false">IF(D373=1,M373*$D$555,0)</f>
        <v>0</v>
      </c>
      <c r="O373" s="37" t="n">
        <f aca="false">M373+N373</f>
        <v>0</v>
      </c>
      <c r="P373" s="194" t="n">
        <f aca="false">CHOOSE(E373,0,1,$N$355)</f>
        <v>1</v>
      </c>
      <c r="Q373" s="37" t="n">
        <f aca="false">N373*P373</f>
        <v>0</v>
      </c>
      <c r="R373" s="37" t="n">
        <f aca="false">O373-Q373</f>
        <v>0</v>
      </c>
      <c r="S373" s="209" t="s">
        <v>372</v>
      </c>
    </row>
    <row r="374" customFormat="false" ht="15" hidden="false" customHeight="false" outlineLevel="0" collapsed="false">
      <c r="C374" s="36" t="s">
        <v>378</v>
      </c>
      <c r="D374" s="195" t="n">
        <v>1</v>
      </c>
      <c r="E374" s="196" t="n">
        <v>1</v>
      </c>
      <c r="H374" s="198" t="s">
        <v>365</v>
      </c>
      <c r="I374" s="127" t="n">
        <f aca="false">$I$40</f>
        <v>23008.1742</v>
      </c>
      <c r="J374" s="199" t="s">
        <v>63</v>
      </c>
      <c r="K374" s="36" t="s">
        <v>371</v>
      </c>
      <c r="L374" s="208" t="n">
        <v>90</v>
      </c>
      <c r="M374" s="37" t="n">
        <f aca="false">I374*L374/1000</f>
        <v>2070.735678</v>
      </c>
      <c r="N374" s="37" t="n">
        <f aca="false">IF(D374=1,M374*$D$555,0)</f>
        <v>207.0735678</v>
      </c>
      <c r="O374" s="37" t="n">
        <f aca="false">M374+N374</f>
        <v>2277.8092458</v>
      </c>
      <c r="P374" s="194" t="n">
        <f aca="false">CHOOSE(E374,0,1,$N$355)</f>
        <v>0</v>
      </c>
      <c r="Q374" s="37" t="n">
        <f aca="false">N374*P374</f>
        <v>0</v>
      </c>
      <c r="R374" s="37" t="n">
        <f aca="false">O374-Q374</f>
        <v>2277.8092458</v>
      </c>
      <c r="S374" s="209" t="s">
        <v>372</v>
      </c>
    </row>
    <row r="375" customFormat="false" ht="15" hidden="false" customHeight="false" outlineLevel="0" collapsed="false">
      <c r="C375" s="36" t="s">
        <v>379</v>
      </c>
      <c r="D375" s="195" t="n">
        <v>1</v>
      </c>
      <c r="E375" s="196" t="n">
        <v>2</v>
      </c>
      <c r="H375" s="198" t="s">
        <v>365</v>
      </c>
      <c r="I375" s="127" t="n">
        <f aca="false">$I$366</f>
        <v>0</v>
      </c>
      <c r="J375" s="199" t="s">
        <v>63</v>
      </c>
      <c r="K375" s="36" t="s">
        <v>371</v>
      </c>
      <c r="L375" s="208" t="n">
        <v>90</v>
      </c>
      <c r="M375" s="37" t="n">
        <f aca="false">I375*L375/1000</f>
        <v>0</v>
      </c>
      <c r="N375" s="37" t="n">
        <f aca="false">IF(D375=1,M375*$D$555,0)</f>
        <v>0</v>
      </c>
      <c r="O375" s="37" t="n">
        <f aca="false">M375+N375</f>
        <v>0</v>
      </c>
      <c r="P375" s="194" t="n">
        <f aca="false">CHOOSE(E375,0,1,$N$355)</f>
        <v>1</v>
      </c>
      <c r="Q375" s="37" t="n">
        <f aca="false">N375*P375</f>
        <v>0</v>
      </c>
      <c r="R375" s="37" t="n">
        <f aca="false">O375-Q375</f>
        <v>0</v>
      </c>
      <c r="S375" s="209" t="s">
        <v>372</v>
      </c>
    </row>
    <row r="376" customFormat="false" ht="15" hidden="false" customHeight="false" outlineLevel="0" collapsed="false">
      <c r="C376" s="36" t="s">
        <v>380</v>
      </c>
      <c r="D376" s="195" t="n">
        <v>1</v>
      </c>
      <c r="E376" s="196" t="n">
        <v>1</v>
      </c>
      <c r="H376" s="198" t="s">
        <v>365</v>
      </c>
      <c r="I376" s="127" t="n">
        <f aca="false">$I$39</f>
        <v>23008.1742</v>
      </c>
      <c r="J376" s="199" t="s">
        <v>63</v>
      </c>
      <c r="K376" s="36" t="s">
        <v>381</v>
      </c>
      <c r="L376" s="208" t="n">
        <v>0</v>
      </c>
      <c r="M376" s="37" t="n">
        <f aca="false">I376*L376/1000</f>
        <v>0</v>
      </c>
      <c r="N376" s="37" t="n">
        <f aca="false">IF(D376=1,M376*$D$555,0)</f>
        <v>0</v>
      </c>
      <c r="O376" s="37" t="n">
        <f aca="false">M376+N376</f>
        <v>0</v>
      </c>
      <c r="P376" s="194" t="n">
        <f aca="false">CHOOSE(E376,0,1,$N$355)</f>
        <v>0</v>
      </c>
      <c r="Q376" s="37" t="n">
        <f aca="false">N376*P376</f>
        <v>0</v>
      </c>
      <c r="R376" s="37" t="n">
        <f aca="false">O376-Q376</f>
        <v>0</v>
      </c>
      <c r="S376" s="209" t="s">
        <v>372</v>
      </c>
    </row>
    <row r="377" customFormat="false" ht="15" hidden="false" customHeight="false" outlineLevel="0" collapsed="false">
      <c r="C377" s="36" t="s">
        <v>382</v>
      </c>
      <c r="D377" s="195" t="n">
        <v>1</v>
      </c>
      <c r="E377" s="196" t="n">
        <v>1</v>
      </c>
      <c r="H377" s="198" t="s">
        <v>306</v>
      </c>
      <c r="I377" s="197" t="n">
        <v>0</v>
      </c>
      <c r="M377" s="37" t="n">
        <f aca="false">I377</f>
        <v>0</v>
      </c>
      <c r="N377" s="37" t="n">
        <f aca="false">IF(D377=1,M377*$D$555,0)</f>
        <v>0</v>
      </c>
      <c r="O377" s="37" t="n">
        <f aca="false">M377+N377</f>
        <v>0</v>
      </c>
      <c r="P377" s="194" t="n">
        <f aca="false">CHOOSE(E377,0,1,$N$355)</f>
        <v>0</v>
      </c>
      <c r="Q377" s="37" t="n">
        <f aca="false">N377*P377</f>
        <v>0</v>
      </c>
      <c r="R377" s="37" t="n">
        <f aca="false">O377-Q377</f>
        <v>0</v>
      </c>
      <c r="S377" s="209" t="s">
        <v>372</v>
      </c>
    </row>
    <row r="378" customFormat="false" ht="15" hidden="false" customHeight="false" outlineLevel="0" collapsed="false">
      <c r="C378" s="153" t="s">
        <v>383</v>
      </c>
      <c r="D378" s="195" t="n">
        <v>1</v>
      </c>
      <c r="E378" s="196" t="n">
        <v>1</v>
      </c>
      <c r="H378" s="198" t="s">
        <v>365</v>
      </c>
      <c r="I378" s="127" t="n">
        <f aca="false">$I$40</f>
        <v>23008.1742</v>
      </c>
      <c r="J378" s="199" t="s">
        <v>63</v>
      </c>
      <c r="K378" s="36" t="s">
        <v>371</v>
      </c>
      <c r="L378" s="208" t="n">
        <v>488.93</v>
      </c>
      <c r="M378" s="37" t="n">
        <f aca="false">I378*L378/1000</f>
        <v>11249.386611606</v>
      </c>
      <c r="N378" s="37" t="n">
        <f aca="false">IF(D378=1,M378*$D$555,0)</f>
        <v>1124.9386611606</v>
      </c>
      <c r="O378" s="37" t="n">
        <f aca="false">M378+N378</f>
        <v>12374.3252727666</v>
      </c>
      <c r="P378" s="194" t="n">
        <f aca="false">CHOOSE(E378,0,1,$N$355)</f>
        <v>0</v>
      </c>
      <c r="Q378" s="37" t="n">
        <f aca="false">N378*P378</f>
        <v>0</v>
      </c>
      <c r="R378" s="37" t="n">
        <f aca="false">O378-Q378</f>
        <v>12374.3252727666</v>
      </c>
      <c r="S378" s="209" t="s">
        <v>372</v>
      </c>
    </row>
    <row r="379" customFormat="false" ht="15" hidden="false" customHeight="false" outlineLevel="0" collapsed="false">
      <c r="C379" s="153" t="s">
        <v>384</v>
      </c>
      <c r="D379" s="195" t="n">
        <v>1</v>
      </c>
      <c r="E379" s="196" t="n">
        <v>2</v>
      </c>
      <c r="H379" s="198" t="s">
        <v>365</v>
      </c>
      <c r="I379" s="127" t="n">
        <f aca="false">$I$366</f>
        <v>0</v>
      </c>
      <c r="J379" s="199" t="s">
        <v>63</v>
      </c>
      <c r="K379" s="36" t="s">
        <v>371</v>
      </c>
      <c r="L379" s="208" t="n">
        <v>488.93</v>
      </c>
      <c r="M379" s="37" t="n">
        <f aca="false">I379*L379/1000</f>
        <v>0</v>
      </c>
      <c r="N379" s="37" t="n">
        <f aca="false">IF(D379=1,M379*$D$555,0)</f>
        <v>0</v>
      </c>
      <c r="O379" s="37" t="n">
        <f aca="false">M379+N379</f>
        <v>0</v>
      </c>
      <c r="P379" s="194" t="n">
        <f aca="false">CHOOSE(E379,0,1,$N$355)</f>
        <v>1</v>
      </c>
      <c r="Q379" s="37" t="n">
        <f aca="false">N379*P379</f>
        <v>0</v>
      </c>
      <c r="R379" s="37" t="n">
        <f aca="false">O379-Q379</f>
        <v>0</v>
      </c>
      <c r="S379" s="209" t="s">
        <v>372</v>
      </c>
    </row>
    <row r="380" customFormat="false" ht="15" hidden="false" customHeight="false" outlineLevel="0" collapsed="false">
      <c r="C380" s="36" t="s">
        <v>303</v>
      </c>
      <c r="D380" s="195" t="n">
        <v>0</v>
      </c>
      <c r="E380" s="196" t="n">
        <v>1</v>
      </c>
      <c r="H380" s="198" t="s">
        <v>385</v>
      </c>
      <c r="I380" s="197" t="n">
        <v>30000</v>
      </c>
      <c r="M380" s="37" t="n">
        <f aca="false">I380*$I$41</f>
        <v>8437.02735197974</v>
      </c>
      <c r="N380" s="37" t="n">
        <f aca="false">IF(D380=1,M380*$D$555,0)</f>
        <v>0</v>
      </c>
      <c r="O380" s="37" t="n">
        <f aca="false">M380+N380</f>
        <v>8437.02735197974</v>
      </c>
      <c r="P380" s="194" t="n">
        <f aca="false">CHOOSE(E380,0,1,$N$355)</f>
        <v>0</v>
      </c>
      <c r="Q380" s="37" t="n">
        <f aca="false">N380*P380</f>
        <v>0</v>
      </c>
      <c r="R380" s="37" t="n">
        <f aca="false">O380-Q380</f>
        <v>8437.02735197974</v>
      </c>
      <c r="S380" s="209" t="s">
        <v>386</v>
      </c>
    </row>
    <row r="381" customFormat="false" ht="15" hidden="false" customHeight="false" outlineLevel="0" collapsed="false">
      <c r="B381" s="210" t="s">
        <v>387</v>
      </c>
      <c r="C381" s="211"/>
      <c r="D381" s="211"/>
      <c r="E381" s="211"/>
      <c r="F381" s="211"/>
      <c r="G381" s="211"/>
      <c r="H381" s="211"/>
      <c r="I381" s="211"/>
      <c r="J381" s="211"/>
      <c r="K381" s="211"/>
      <c r="L381" s="211"/>
      <c r="M381" s="212" t="n">
        <f aca="false">SUM(M368:M380)</f>
        <v>108416.74752066</v>
      </c>
      <c r="N381" s="212" t="n">
        <f aca="false">SUM(N368:N380)</f>
        <v>9997.972016868</v>
      </c>
      <c r="O381" s="212" t="n">
        <f aca="false">SUM(O368:O380)</f>
        <v>118414.719537528</v>
      </c>
      <c r="P381" s="213" t="n">
        <f aca="false">SUM(P368:P380)</f>
        <v>5</v>
      </c>
      <c r="Q381" s="212" t="n">
        <f aca="false">SUM(Q368:Q380)</f>
        <v>0</v>
      </c>
      <c r="R381" s="212" t="n">
        <f aca="false">SUM(R368:R380)</f>
        <v>118414.719537528</v>
      </c>
      <c r="S381" s="211"/>
    </row>
    <row r="382" customFormat="false" ht="15" hidden="false" customHeight="false" outlineLevel="0" collapsed="false">
      <c r="B382" s="32" t="s">
        <v>25</v>
      </c>
      <c r="C382" s="153" t="s">
        <v>388</v>
      </c>
      <c r="D382" s="195" t="n">
        <v>1</v>
      </c>
      <c r="E382" s="196" t="n">
        <v>1</v>
      </c>
      <c r="H382" s="198" t="s">
        <v>306</v>
      </c>
      <c r="I382" s="197" t="n">
        <v>0</v>
      </c>
      <c r="M382" s="37" t="n">
        <f aca="false">I382</f>
        <v>0</v>
      </c>
      <c r="N382" s="37" t="n">
        <f aca="false">IF(D382=1,M382*$D$555,0)</f>
        <v>0</v>
      </c>
      <c r="O382" s="37" t="n">
        <f aca="false">M382+N382</f>
        <v>0</v>
      </c>
      <c r="P382" s="194" t="n">
        <f aca="false">CHOOSE(E382,0,1,$N$355)</f>
        <v>0</v>
      </c>
      <c r="Q382" s="37" t="n">
        <f aca="false">N382*P382</f>
        <v>0</v>
      </c>
      <c r="R382" s="37" t="n">
        <f aca="false">O382-Q382</f>
        <v>0</v>
      </c>
      <c r="S382" s="201" t="s">
        <v>389</v>
      </c>
    </row>
    <row r="383" customFormat="false" ht="15" hidden="false" customHeight="false" outlineLevel="0" collapsed="false">
      <c r="C383" s="153" t="s">
        <v>390</v>
      </c>
      <c r="D383" s="195" t="n">
        <v>1</v>
      </c>
      <c r="E383" s="196" t="n">
        <v>1</v>
      </c>
      <c r="H383" s="198" t="s">
        <v>391</v>
      </c>
      <c r="I383" s="197" t="n">
        <v>0</v>
      </c>
      <c r="J383" s="199" t="s">
        <v>63</v>
      </c>
      <c r="K383" s="36" t="s">
        <v>107</v>
      </c>
      <c r="L383" s="197" t="n">
        <v>0</v>
      </c>
      <c r="M383" s="37" t="n">
        <f aca="false">I383*L383</f>
        <v>0</v>
      </c>
      <c r="N383" s="37" t="n">
        <f aca="false">IF(D383=1,M383*$D$555,0)</f>
        <v>0</v>
      </c>
      <c r="O383" s="37" t="n">
        <f aca="false">M383+N383</f>
        <v>0</v>
      </c>
      <c r="P383" s="194" t="n">
        <f aca="false">CHOOSE(E383,0,1,$N$355)</f>
        <v>0</v>
      </c>
      <c r="Q383" s="37" t="n">
        <f aca="false">N383*P383</f>
        <v>0</v>
      </c>
      <c r="R383" s="37" t="n">
        <f aca="false">O383-Q383</f>
        <v>0</v>
      </c>
      <c r="S383" s="201" t="s">
        <v>389</v>
      </c>
    </row>
    <row r="384" customFormat="false" ht="15" hidden="false" customHeight="false" outlineLevel="0" collapsed="false">
      <c r="C384" s="153" t="s">
        <v>392</v>
      </c>
      <c r="D384" s="195" t="n">
        <v>1</v>
      </c>
      <c r="E384" s="196" t="n">
        <v>1</v>
      </c>
      <c r="H384" s="198" t="s">
        <v>393</v>
      </c>
      <c r="I384" s="197" t="n">
        <v>0</v>
      </c>
      <c r="J384" s="199" t="s">
        <v>63</v>
      </c>
      <c r="K384" s="36" t="s">
        <v>107</v>
      </c>
      <c r="L384" s="197" t="n">
        <v>0</v>
      </c>
      <c r="M384" s="37" t="n">
        <f aca="false">I384*L384</f>
        <v>0</v>
      </c>
      <c r="N384" s="37" t="n">
        <f aca="false">IF(D384=1,M384*$D$555,0)</f>
        <v>0</v>
      </c>
      <c r="O384" s="37" t="n">
        <f aca="false">M384+N384</f>
        <v>0</v>
      </c>
      <c r="P384" s="194" t="n">
        <f aca="false">CHOOSE(E384,0,1,$N$355)</f>
        <v>0</v>
      </c>
      <c r="Q384" s="37" t="n">
        <f aca="false">N384*P384</f>
        <v>0</v>
      </c>
      <c r="R384" s="37" t="n">
        <f aca="false">O384-Q384</f>
        <v>0</v>
      </c>
      <c r="S384" s="201" t="s">
        <v>389</v>
      </c>
    </row>
    <row r="385" customFormat="false" ht="15" hidden="false" customHeight="false" outlineLevel="0" collapsed="false">
      <c r="C385" s="36" t="s">
        <v>394</v>
      </c>
      <c r="D385" s="195" t="n">
        <v>1</v>
      </c>
      <c r="E385" s="196" t="n">
        <v>3</v>
      </c>
      <c r="H385" s="198" t="s">
        <v>385</v>
      </c>
      <c r="I385" s="197" t="n">
        <v>30000</v>
      </c>
      <c r="M385" s="37" t="n">
        <f aca="false">I385*$I$43</f>
        <v>10000</v>
      </c>
      <c r="N385" s="37" t="n">
        <f aca="false">IF(D385=1,M385*$D$555,0)</f>
        <v>1000</v>
      </c>
      <c r="O385" s="37" t="n">
        <f aca="false">M385+N385</f>
        <v>11000</v>
      </c>
      <c r="P385" s="194" t="n">
        <f aca="false">CHOOSE(E385,0,1,$N$355)</f>
        <v>0</v>
      </c>
      <c r="Q385" s="37" t="n">
        <f aca="false">N385*P385</f>
        <v>0</v>
      </c>
      <c r="R385" s="37" t="n">
        <f aca="false">O385-Q385</f>
        <v>11000</v>
      </c>
      <c r="S385" s="201" t="s">
        <v>395</v>
      </c>
    </row>
    <row r="386" customFormat="false" ht="15" hidden="false" customHeight="false" outlineLevel="0" collapsed="false">
      <c r="B386" s="210" t="s">
        <v>396</v>
      </c>
      <c r="C386" s="211"/>
      <c r="D386" s="211"/>
      <c r="E386" s="211"/>
      <c r="F386" s="211"/>
      <c r="G386" s="211"/>
      <c r="H386" s="211"/>
      <c r="I386" s="211"/>
      <c r="J386" s="211"/>
      <c r="K386" s="211"/>
      <c r="L386" s="211"/>
      <c r="M386" s="212" t="n">
        <f aca="false">SUM(M382:M385)</f>
        <v>10000</v>
      </c>
      <c r="N386" s="212" t="n">
        <f aca="false">SUM(N382:N385)</f>
        <v>1000</v>
      </c>
      <c r="O386" s="212" t="n">
        <f aca="false">SUM(O382:O385)</f>
        <v>11000</v>
      </c>
      <c r="P386" s="213" t="n">
        <f aca="false">SUM(P382:P385)</f>
        <v>0</v>
      </c>
      <c r="Q386" s="212" t="n">
        <f aca="false">SUM(Q382:Q385)</f>
        <v>0</v>
      </c>
      <c r="R386" s="212" t="n">
        <f aca="false">SUM(R382:R385)</f>
        <v>11000</v>
      </c>
      <c r="S386" s="211"/>
    </row>
    <row r="387" customFormat="false" ht="15" hidden="false" customHeight="false" outlineLevel="0" collapsed="false">
      <c r="B387" s="32" t="s">
        <v>26</v>
      </c>
      <c r="C387" s="36" t="s">
        <v>397</v>
      </c>
      <c r="D387" s="195" t="n">
        <v>0</v>
      </c>
      <c r="E387" s="196" t="n">
        <v>1</v>
      </c>
      <c r="H387" s="198" t="s">
        <v>398</v>
      </c>
      <c r="I387" s="197" t="n">
        <v>993232</v>
      </c>
      <c r="J387" s="199" t="s">
        <v>63</v>
      </c>
      <c r="K387" s="36" t="s">
        <v>399</v>
      </c>
      <c r="L387" s="155" t="n">
        <v>0.0298</v>
      </c>
      <c r="M387" s="37" t="n">
        <f aca="false">I387*L387*$I$44</f>
        <v>6542.09818376145</v>
      </c>
      <c r="N387" s="37" t="n">
        <f aca="false">IF(D387=1,M387*$D$555,0)</f>
        <v>0</v>
      </c>
      <c r="O387" s="37" t="n">
        <f aca="false">M387+N387</f>
        <v>6542.09818376145</v>
      </c>
      <c r="P387" s="194" t="n">
        <f aca="false">CHOOSE(E387,0,1,$N$355)</f>
        <v>0</v>
      </c>
      <c r="Q387" s="37" t="n">
        <f aca="false">N387*P387</f>
        <v>0</v>
      </c>
      <c r="R387" s="37" t="n">
        <f aca="false">O387-Q387</f>
        <v>6542.09818376145</v>
      </c>
      <c r="S387" s="201" t="s">
        <v>104</v>
      </c>
    </row>
    <row r="388" customFormat="false" ht="15" hidden="false" customHeight="false" outlineLevel="0" collapsed="false">
      <c r="C388" s="36" t="s">
        <v>400</v>
      </c>
      <c r="D388" s="195" t="n">
        <v>0</v>
      </c>
      <c r="E388" s="196" t="n">
        <v>1</v>
      </c>
      <c r="H388" s="198" t="s">
        <v>306</v>
      </c>
      <c r="I388" s="197" t="n">
        <v>0</v>
      </c>
      <c r="M388" s="37" t="n">
        <f aca="false">I388</f>
        <v>0</v>
      </c>
      <c r="N388" s="37" t="n">
        <f aca="false">IF(D388=1,M388*$D$555,0)</f>
        <v>0</v>
      </c>
      <c r="O388" s="37" t="n">
        <f aca="false">M388+N388</f>
        <v>0</v>
      </c>
      <c r="P388" s="194" t="n">
        <f aca="false">CHOOSE(E388,0,1,$N$355)</f>
        <v>0</v>
      </c>
      <c r="Q388" s="37" t="n">
        <f aca="false">N388*P388</f>
        <v>0</v>
      </c>
      <c r="R388" s="37" t="n">
        <f aca="false">O388-Q388</f>
        <v>0</v>
      </c>
      <c r="S388" s="201" t="s">
        <v>104</v>
      </c>
    </row>
    <row r="389" customFormat="false" ht="15" hidden="false" customHeight="false" outlineLevel="0" collapsed="false">
      <c r="B389" s="210" t="s">
        <v>401</v>
      </c>
      <c r="C389" s="211"/>
      <c r="D389" s="211"/>
      <c r="E389" s="211"/>
      <c r="F389" s="211"/>
      <c r="G389" s="211"/>
      <c r="H389" s="211"/>
      <c r="I389" s="211"/>
      <c r="J389" s="211"/>
      <c r="K389" s="211"/>
      <c r="L389" s="211"/>
      <c r="M389" s="212" t="n">
        <f aca="false">SUM(M387:M388)</f>
        <v>6542.09818376145</v>
      </c>
      <c r="N389" s="212" t="n">
        <f aca="false">SUM(N387:N388)</f>
        <v>0</v>
      </c>
      <c r="O389" s="212" t="n">
        <f aca="false">SUM(O387:O388)</f>
        <v>6542.09818376145</v>
      </c>
      <c r="P389" s="213" t="n">
        <f aca="false">SUM(P387:P388)</f>
        <v>0</v>
      </c>
      <c r="Q389" s="212" t="n">
        <f aca="false">SUM(Q387:Q388)</f>
        <v>0</v>
      </c>
      <c r="R389" s="212" t="n">
        <f aca="false">SUM(R387:R388)</f>
        <v>6542.09818376145</v>
      </c>
      <c r="S389" s="211"/>
    </row>
    <row r="390" customFormat="false" ht="15" hidden="false" customHeight="false" outlineLevel="0" collapsed="false">
      <c r="B390" s="205" t="s">
        <v>402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06" t="n">
        <f aca="false">M363+M367+M381+M386+M389</f>
        <v>366327.194240018</v>
      </c>
      <c r="N390" s="206" t="n">
        <f aca="false">N363+N367+N381+N386+N389</f>
        <v>28451.4437769814</v>
      </c>
      <c r="O390" s="206" t="n">
        <f aca="false">O363+O367+O381+O386+O389</f>
        <v>394778.638016999</v>
      </c>
      <c r="P390" s="1"/>
      <c r="Q390" s="206" t="n">
        <f aca="false">Q363+Q367+Q381+Q386+Q389</f>
        <v>0</v>
      </c>
      <c r="R390" s="206" t="n">
        <f aca="false">R363+R367+R381+R386+R389</f>
        <v>394778.638016999</v>
      </c>
      <c r="S390" s="1"/>
    </row>
    <row r="391" customFormat="false" ht="15" hidden="false" customHeight="false" outlineLevel="0" collapsed="false">
      <c r="B391" s="151" t="s">
        <v>300</v>
      </c>
    </row>
    <row r="392" customFormat="false" ht="15" hidden="false" customHeight="false" outlineLevel="0" collapsed="false">
      <c r="B392" s="32" t="s">
        <v>300</v>
      </c>
      <c r="C392" s="153" t="s">
        <v>403</v>
      </c>
      <c r="D392" s="195" t="n">
        <v>0</v>
      </c>
      <c r="E392" s="196" t="n">
        <v>1</v>
      </c>
      <c r="H392" s="198" t="s">
        <v>306</v>
      </c>
      <c r="I392" s="37" t="n">
        <f aca="false">$E$561</f>
        <v>2582.18856</v>
      </c>
      <c r="K392" s="214" t="s">
        <v>404</v>
      </c>
      <c r="M392" s="37" t="n">
        <f aca="false">I392</f>
        <v>2582.18856</v>
      </c>
      <c r="N392" s="37" t="n">
        <f aca="false">IF(D392=1,M392*$D$555,0)</f>
        <v>0</v>
      </c>
      <c r="O392" s="37" t="n">
        <f aca="false">M392+N392</f>
        <v>2582.18856</v>
      </c>
      <c r="P392" s="194" t="n">
        <f aca="false">CHOOSE(E392,0,1,$N$355)</f>
        <v>0</v>
      </c>
      <c r="Q392" s="37" t="n">
        <f aca="false">N392*P392</f>
        <v>0</v>
      </c>
      <c r="R392" s="37" t="n">
        <f aca="false">O392-Q392</f>
        <v>2582.18856</v>
      </c>
      <c r="S392" s="209" t="s">
        <v>405</v>
      </c>
    </row>
    <row r="393" customFormat="false" ht="15" hidden="false" customHeight="false" outlineLevel="0" collapsed="false">
      <c r="C393" s="153" t="s">
        <v>406</v>
      </c>
      <c r="D393" s="195" t="n">
        <v>0</v>
      </c>
      <c r="E393" s="196" t="n">
        <v>1</v>
      </c>
      <c r="H393" s="198" t="s">
        <v>306</v>
      </c>
      <c r="I393" s="37" t="n">
        <f aca="false">$E$562</f>
        <v>0</v>
      </c>
      <c r="K393" s="214" t="s">
        <v>404</v>
      </c>
      <c r="M393" s="37" t="n">
        <f aca="false">I393</f>
        <v>0</v>
      </c>
      <c r="N393" s="37" t="n">
        <f aca="false">IF(D393=1,M393*$D$555,0)</f>
        <v>0</v>
      </c>
      <c r="O393" s="37" t="n">
        <f aca="false">M393+N393</f>
        <v>0</v>
      </c>
      <c r="P393" s="194" t="n">
        <f aca="false">CHOOSE(E393,0,1,$N$355)</f>
        <v>0</v>
      </c>
      <c r="Q393" s="37" t="n">
        <f aca="false">N393*P393</f>
        <v>0</v>
      </c>
      <c r="R393" s="37" t="n">
        <f aca="false">O393-Q393</f>
        <v>0</v>
      </c>
      <c r="S393" s="209" t="s">
        <v>405</v>
      </c>
    </row>
    <row r="394" customFormat="false" ht="15" hidden="false" customHeight="false" outlineLevel="0" collapsed="false">
      <c r="C394" s="153" t="s">
        <v>407</v>
      </c>
      <c r="D394" s="195" t="n">
        <v>0</v>
      </c>
      <c r="E394" s="196" t="n">
        <v>1</v>
      </c>
      <c r="H394" s="198" t="s">
        <v>306</v>
      </c>
      <c r="I394" s="37" t="n">
        <f aca="false">$E$563</f>
        <v>0</v>
      </c>
      <c r="K394" s="214" t="s">
        <v>404</v>
      </c>
      <c r="M394" s="37" t="n">
        <f aca="false">I394</f>
        <v>0</v>
      </c>
      <c r="N394" s="37" t="n">
        <f aca="false">IF(D394=1,M394*$D$555,0)</f>
        <v>0</v>
      </c>
      <c r="O394" s="37" t="n">
        <f aca="false">M394+N394</f>
        <v>0</v>
      </c>
      <c r="P394" s="194" t="n">
        <f aca="false">CHOOSE(E394,0,1,$N$355)</f>
        <v>0</v>
      </c>
      <c r="Q394" s="37" t="n">
        <f aca="false">N394*P394</f>
        <v>0</v>
      </c>
      <c r="R394" s="37" t="n">
        <f aca="false">O394-Q394</f>
        <v>0</v>
      </c>
      <c r="S394" s="209" t="s">
        <v>405</v>
      </c>
    </row>
    <row r="395" customFormat="false" ht="15" hidden="false" customHeight="false" outlineLevel="0" collapsed="false">
      <c r="C395" s="153" t="s">
        <v>408</v>
      </c>
      <c r="D395" s="195" t="n">
        <v>0</v>
      </c>
      <c r="E395" s="196" t="n">
        <v>1</v>
      </c>
      <c r="H395" s="198" t="s">
        <v>306</v>
      </c>
      <c r="I395" s="37" t="n">
        <f aca="false">$E$564</f>
        <v>646.612194</v>
      </c>
      <c r="K395" s="214" t="s">
        <v>404</v>
      </c>
      <c r="M395" s="37" t="n">
        <f aca="false">I395</f>
        <v>646.612194</v>
      </c>
      <c r="N395" s="37" t="n">
        <f aca="false">IF(D395=1,M395*$D$555,0)</f>
        <v>0</v>
      </c>
      <c r="O395" s="37" t="n">
        <f aca="false">M395+N395</f>
        <v>646.612194</v>
      </c>
      <c r="P395" s="194" t="n">
        <f aca="false">CHOOSE(E395,0,1,$N$355)</f>
        <v>0</v>
      </c>
      <c r="Q395" s="37" t="n">
        <f aca="false">N395*P395</f>
        <v>0</v>
      </c>
      <c r="R395" s="37" t="n">
        <f aca="false">O395-Q395</f>
        <v>646.612194</v>
      </c>
      <c r="S395" s="209" t="s">
        <v>405</v>
      </c>
    </row>
    <row r="396" customFormat="false" ht="15" hidden="false" customHeight="false" outlineLevel="0" collapsed="false">
      <c r="C396" s="153" t="s">
        <v>409</v>
      </c>
      <c r="D396" s="195" t="n">
        <v>0</v>
      </c>
      <c r="E396" s="196" t="n">
        <v>1</v>
      </c>
      <c r="H396" s="198" t="s">
        <v>306</v>
      </c>
      <c r="I396" s="37" t="n">
        <f aca="false">$E$565</f>
        <v>793.883005</v>
      </c>
      <c r="K396" s="214" t="s">
        <v>404</v>
      </c>
      <c r="M396" s="37" t="n">
        <f aca="false">I396</f>
        <v>793.883005</v>
      </c>
      <c r="N396" s="37" t="n">
        <f aca="false">IF(D396=1,M396*$D$555,0)</f>
        <v>0</v>
      </c>
      <c r="O396" s="37" t="n">
        <f aca="false">M396+N396</f>
        <v>793.883005</v>
      </c>
      <c r="P396" s="194" t="n">
        <f aca="false">CHOOSE(E396,0,1,$N$355)</f>
        <v>0</v>
      </c>
      <c r="Q396" s="37" t="n">
        <f aca="false">N396*P396</f>
        <v>0</v>
      </c>
      <c r="R396" s="37" t="n">
        <f aca="false">O396-Q396</f>
        <v>793.883005</v>
      </c>
      <c r="S396" s="209" t="s">
        <v>405</v>
      </c>
    </row>
    <row r="397" customFormat="false" ht="15" hidden="false" customHeight="false" outlineLevel="0" collapsed="false">
      <c r="C397" s="153" t="s">
        <v>410</v>
      </c>
      <c r="D397" s="195" t="n">
        <v>0</v>
      </c>
      <c r="E397" s="196" t="n">
        <v>1</v>
      </c>
      <c r="H397" s="198" t="s">
        <v>306</v>
      </c>
      <c r="I397" s="37" t="n">
        <f aca="false">$E$566</f>
        <v>3968.30392</v>
      </c>
      <c r="K397" s="214" t="s">
        <v>404</v>
      </c>
      <c r="M397" s="37" t="n">
        <f aca="false">I397</f>
        <v>3968.30392</v>
      </c>
      <c r="N397" s="37" t="n">
        <f aca="false">IF(D397=1,M397*$D$555,0)</f>
        <v>0</v>
      </c>
      <c r="O397" s="37" t="n">
        <f aca="false">M397+N397</f>
        <v>3968.30392</v>
      </c>
      <c r="P397" s="194" t="n">
        <f aca="false">CHOOSE(E397,0,1,$N$355)</f>
        <v>0</v>
      </c>
      <c r="Q397" s="37" t="n">
        <f aca="false">N397*P397</f>
        <v>0</v>
      </c>
      <c r="R397" s="37" t="n">
        <f aca="false">O397-Q397</f>
        <v>3968.30392</v>
      </c>
      <c r="S397" s="209" t="s">
        <v>405</v>
      </c>
    </row>
    <row r="398" customFormat="false" ht="15" hidden="false" customHeight="false" outlineLevel="0" collapsed="false">
      <c r="C398" s="153" t="s">
        <v>411</v>
      </c>
      <c r="D398" s="195" t="n">
        <v>0</v>
      </c>
      <c r="E398" s="196" t="n">
        <v>1</v>
      </c>
      <c r="H398" s="198" t="s">
        <v>306</v>
      </c>
      <c r="I398" s="37" t="n">
        <f aca="false">$E$567</f>
        <v>453.329973</v>
      </c>
      <c r="K398" s="214" t="s">
        <v>404</v>
      </c>
      <c r="M398" s="37" t="n">
        <f aca="false">I398</f>
        <v>453.329973</v>
      </c>
      <c r="N398" s="37" t="n">
        <f aca="false">IF(D398=1,M398*$D$555,0)</f>
        <v>0</v>
      </c>
      <c r="O398" s="37" t="n">
        <f aca="false">M398+N398</f>
        <v>453.329973</v>
      </c>
      <c r="P398" s="194" t="n">
        <f aca="false">CHOOSE(E398,0,1,$N$355)</f>
        <v>0</v>
      </c>
      <c r="Q398" s="37" t="n">
        <f aca="false">N398*P398</f>
        <v>0</v>
      </c>
      <c r="R398" s="37" t="n">
        <f aca="false">O398-Q398</f>
        <v>453.329973</v>
      </c>
      <c r="S398" s="209" t="s">
        <v>405</v>
      </c>
    </row>
    <row r="399" customFormat="false" ht="15" hidden="false" customHeight="false" outlineLevel="0" collapsed="false">
      <c r="C399" s="153" t="s">
        <v>412</v>
      </c>
      <c r="D399" s="195" t="n">
        <v>0</v>
      </c>
      <c r="E399" s="196" t="n">
        <v>1</v>
      </c>
      <c r="H399" s="198" t="s">
        <v>306</v>
      </c>
      <c r="I399" s="37" t="n">
        <f aca="false">$E$568</f>
        <v>453.647431</v>
      </c>
      <c r="K399" s="214" t="s">
        <v>404</v>
      </c>
      <c r="M399" s="37" t="n">
        <f aca="false">I399</f>
        <v>453.647431</v>
      </c>
      <c r="N399" s="37" t="n">
        <f aca="false">IF(D399=1,M399*$D$555,0)</f>
        <v>0</v>
      </c>
      <c r="O399" s="37" t="n">
        <f aca="false">M399+N399</f>
        <v>453.647431</v>
      </c>
      <c r="P399" s="194" t="n">
        <f aca="false">CHOOSE(E399,0,1,$N$355)</f>
        <v>0</v>
      </c>
      <c r="Q399" s="37" t="n">
        <f aca="false">N399*P399</f>
        <v>0</v>
      </c>
      <c r="R399" s="37" t="n">
        <f aca="false">O399-Q399</f>
        <v>453.647431</v>
      </c>
      <c r="S399" s="209" t="s">
        <v>405</v>
      </c>
    </row>
    <row r="400" customFormat="false" ht="15" hidden="false" customHeight="false" outlineLevel="0" collapsed="false">
      <c r="C400" s="153" t="s">
        <v>413</v>
      </c>
      <c r="D400" s="195" t="n">
        <v>0</v>
      </c>
      <c r="E400" s="196" t="n">
        <v>1</v>
      </c>
      <c r="H400" s="198" t="s">
        <v>306</v>
      </c>
      <c r="I400" s="37" t="n">
        <f aca="false">$E$569</f>
        <v>2267.60224</v>
      </c>
      <c r="K400" s="214" t="s">
        <v>404</v>
      </c>
      <c r="M400" s="37" t="n">
        <f aca="false">I400</f>
        <v>2267.60224</v>
      </c>
      <c r="N400" s="37" t="n">
        <f aca="false">IF(D400=1,M400*$D$555,0)</f>
        <v>0</v>
      </c>
      <c r="O400" s="37" t="n">
        <f aca="false">M400+N400</f>
        <v>2267.60224</v>
      </c>
      <c r="P400" s="194" t="n">
        <f aca="false">CHOOSE(E400,0,1,$N$355)</f>
        <v>0</v>
      </c>
      <c r="Q400" s="37" t="n">
        <f aca="false">N400*P400</f>
        <v>0</v>
      </c>
      <c r="R400" s="37" t="n">
        <f aca="false">O400-Q400</f>
        <v>2267.60224</v>
      </c>
      <c r="S400" s="209" t="s">
        <v>405</v>
      </c>
    </row>
    <row r="401" customFormat="false" ht="15" hidden="false" customHeight="false" outlineLevel="0" collapsed="false">
      <c r="B401" s="205" t="s">
        <v>414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06" t="n">
        <f aca="false">SUM(M392:M400)</f>
        <v>11165.567323</v>
      </c>
      <c r="N401" s="206" t="n">
        <f aca="false">SUM(N392:N400)</f>
        <v>0</v>
      </c>
      <c r="O401" s="206" t="n">
        <f aca="false">SUM(O392:O400)</f>
        <v>11165.567323</v>
      </c>
      <c r="P401" s="207" t="n">
        <f aca="false">SUM(P392:P400)</f>
        <v>0</v>
      </c>
      <c r="Q401" s="206" t="n">
        <f aca="false">SUM(Q392:Q400)</f>
        <v>0</v>
      </c>
      <c r="R401" s="206" t="n">
        <f aca="false">SUM(R392:R400)</f>
        <v>11165.567323</v>
      </c>
      <c r="S401" s="1"/>
    </row>
    <row r="402" customFormat="false" ht="15" hidden="false" customHeight="false" outlineLevel="0" collapsed="false">
      <c r="B402" s="151" t="s">
        <v>325</v>
      </c>
    </row>
    <row r="403" customFormat="false" ht="15" hidden="false" customHeight="false" outlineLevel="0" collapsed="false">
      <c r="B403" s="32" t="s">
        <v>325</v>
      </c>
      <c r="C403" s="36" t="s">
        <v>415</v>
      </c>
      <c r="D403" s="195" t="n">
        <v>1</v>
      </c>
      <c r="E403" s="196" t="n">
        <v>3</v>
      </c>
      <c r="H403" s="198" t="s">
        <v>416</v>
      </c>
      <c r="I403" s="197" t="n">
        <v>1000</v>
      </c>
      <c r="J403" s="199" t="s">
        <v>63</v>
      </c>
      <c r="K403" s="36" t="s">
        <v>417</v>
      </c>
      <c r="L403" s="215" t="n">
        <f aca="false">$E$25</f>
        <v>5</v>
      </c>
      <c r="M403" s="37" t="n">
        <f aca="false">I403*L403*$I$45</f>
        <v>5000</v>
      </c>
      <c r="N403" s="37" t="n">
        <f aca="false">IF(D403=1,M403*$D$555,0)</f>
        <v>500</v>
      </c>
      <c r="O403" s="37" t="n">
        <f aca="false">M403+N403</f>
        <v>5500</v>
      </c>
      <c r="P403" s="194" t="n">
        <f aca="false">CHOOSE(E403,0,1,$N$355)</f>
        <v>0</v>
      </c>
      <c r="Q403" s="37" t="n">
        <f aca="false">N403*P403</f>
        <v>0</v>
      </c>
      <c r="R403" s="37" t="n">
        <f aca="false">O403-Q403</f>
        <v>5500</v>
      </c>
      <c r="S403" s="201" t="s">
        <v>418</v>
      </c>
    </row>
    <row r="404" customFormat="false" ht="15" hidden="false" customHeight="false" outlineLevel="0" collapsed="false">
      <c r="C404" s="36" t="s">
        <v>419</v>
      </c>
      <c r="D404" s="195" t="n">
        <v>1</v>
      </c>
      <c r="E404" s="196" t="n">
        <v>3</v>
      </c>
      <c r="H404" s="198" t="s">
        <v>420</v>
      </c>
      <c r="I404" s="37" t="n">
        <f aca="false">$M$358+$M$359</f>
        <v>65336.3398137311</v>
      </c>
      <c r="J404" s="199" t="s">
        <v>63</v>
      </c>
      <c r="K404" s="36" t="s">
        <v>353</v>
      </c>
      <c r="L404" s="202" t="n">
        <v>0.02</v>
      </c>
      <c r="M404" s="37" t="n">
        <f aca="false">I404*L404</f>
        <v>1306.72679627462</v>
      </c>
      <c r="N404" s="37" t="n">
        <f aca="false">IF(D404=1,M404*$D$555,0)</f>
        <v>130.672679627462</v>
      </c>
      <c r="O404" s="37" t="n">
        <f aca="false">M404+N404</f>
        <v>1437.39947590208</v>
      </c>
      <c r="P404" s="194" t="n">
        <f aca="false">CHOOSE(E404,0,1,$N$355)</f>
        <v>0</v>
      </c>
      <c r="Q404" s="37" t="n">
        <f aca="false">N404*P404</f>
        <v>0</v>
      </c>
      <c r="R404" s="37" t="n">
        <f aca="false">O404-Q404</f>
        <v>1437.39947590208</v>
      </c>
      <c r="S404" s="201" t="s">
        <v>102</v>
      </c>
    </row>
    <row r="405" customFormat="false" ht="15" hidden="false" customHeight="false" outlineLevel="0" collapsed="false">
      <c r="C405" s="36" t="s">
        <v>421</v>
      </c>
      <c r="D405" s="195" t="n">
        <v>1</v>
      </c>
      <c r="E405" s="196" t="n">
        <v>3</v>
      </c>
      <c r="H405" s="198" t="s">
        <v>416</v>
      </c>
      <c r="I405" s="197" t="n">
        <v>20</v>
      </c>
      <c r="J405" s="199" t="s">
        <v>63</v>
      </c>
      <c r="K405" s="36" t="s">
        <v>417</v>
      </c>
      <c r="L405" s="215" t="n">
        <f aca="false">$E$25</f>
        <v>5</v>
      </c>
      <c r="M405" s="37" t="n">
        <f aca="false">I405*L405*$I$45</f>
        <v>100</v>
      </c>
      <c r="N405" s="37" t="n">
        <f aca="false">IF(D405=1,M405*$D$555,0)</f>
        <v>10</v>
      </c>
      <c r="O405" s="37" t="n">
        <f aca="false">M405+N405</f>
        <v>110</v>
      </c>
      <c r="P405" s="194" t="n">
        <f aca="false">CHOOSE(E405,0,1,$N$355)</f>
        <v>0</v>
      </c>
      <c r="Q405" s="37" t="n">
        <f aca="false">N405*P405</f>
        <v>0</v>
      </c>
      <c r="R405" s="37" t="n">
        <f aca="false">O405-Q405</f>
        <v>110</v>
      </c>
      <c r="S405" s="201" t="s">
        <v>418</v>
      </c>
    </row>
    <row r="406" customFormat="false" ht="15" hidden="false" customHeight="false" outlineLevel="0" collapsed="false">
      <c r="C406" s="36" t="s">
        <v>422</v>
      </c>
      <c r="D406" s="195" t="n">
        <v>1</v>
      </c>
      <c r="E406" s="196" t="n">
        <v>3</v>
      </c>
      <c r="H406" s="198" t="s">
        <v>416</v>
      </c>
      <c r="I406" s="197" t="n">
        <v>30</v>
      </c>
      <c r="J406" s="199" t="s">
        <v>63</v>
      </c>
      <c r="K406" s="36" t="s">
        <v>417</v>
      </c>
      <c r="L406" s="215" t="n">
        <f aca="false">$E$25</f>
        <v>5</v>
      </c>
      <c r="M406" s="37" t="n">
        <f aca="false">I406*L406*$I$45</f>
        <v>150</v>
      </c>
      <c r="N406" s="37" t="n">
        <f aca="false">IF(D406=1,M406*$D$555,0)</f>
        <v>15</v>
      </c>
      <c r="O406" s="37" t="n">
        <f aca="false">M406+N406</f>
        <v>165</v>
      </c>
      <c r="P406" s="194" t="n">
        <f aca="false">CHOOSE(E406,0,1,$N$355)</f>
        <v>0</v>
      </c>
      <c r="Q406" s="37" t="n">
        <f aca="false">N406*P406</f>
        <v>0</v>
      </c>
      <c r="R406" s="37" t="n">
        <f aca="false">O406-Q406</f>
        <v>165</v>
      </c>
      <c r="S406" s="201" t="s">
        <v>418</v>
      </c>
    </row>
    <row r="407" customFormat="false" ht="15" hidden="false" customHeight="false" outlineLevel="0" collapsed="false">
      <c r="C407" s="36" t="s">
        <v>423</v>
      </c>
      <c r="D407" s="195" t="n">
        <v>1</v>
      </c>
      <c r="E407" s="196" t="n">
        <v>3</v>
      </c>
      <c r="H407" s="198" t="s">
        <v>416</v>
      </c>
      <c r="I407" s="197" t="n">
        <v>30</v>
      </c>
      <c r="J407" s="199" t="s">
        <v>63</v>
      </c>
      <c r="K407" s="36" t="s">
        <v>424</v>
      </c>
      <c r="L407" s="215" t="n">
        <f aca="false">$E$25</f>
        <v>5</v>
      </c>
      <c r="M407" s="37" t="n">
        <f aca="false">I407*L407*$I$45</f>
        <v>150</v>
      </c>
      <c r="N407" s="37" t="n">
        <f aca="false">IF(D407=1,M407*$D$555,0)</f>
        <v>15</v>
      </c>
      <c r="O407" s="37" t="n">
        <f aca="false">M407+N407</f>
        <v>165</v>
      </c>
      <c r="P407" s="194" t="n">
        <f aca="false">CHOOSE(E407,0,1,$N$355)</f>
        <v>0</v>
      </c>
      <c r="Q407" s="37" t="n">
        <f aca="false">N407*P407</f>
        <v>0</v>
      </c>
      <c r="R407" s="37" t="n">
        <f aca="false">O407-Q407</f>
        <v>165</v>
      </c>
      <c r="S407" s="201" t="s">
        <v>418</v>
      </c>
    </row>
    <row r="408" customFormat="false" ht="15" hidden="false" customHeight="false" outlineLevel="0" collapsed="false">
      <c r="C408" s="36" t="s">
        <v>425</v>
      </c>
      <c r="D408" s="195" t="n">
        <v>1</v>
      </c>
      <c r="E408" s="196" t="n">
        <v>3</v>
      </c>
      <c r="H408" s="198" t="s">
        <v>416</v>
      </c>
      <c r="I408" s="197" t="n">
        <v>5</v>
      </c>
      <c r="J408" s="199" t="s">
        <v>63</v>
      </c>
      <c r="K408" s="36" t="s">
        <v>417</v>
      </c>
      <c r="L408" s="215" t="n">
        <f aca="false">$E$25</f>
        <v>5</v>
      </c>
      <c r="M408" s="37" t="n">
        <f aca="false">I408*L408*$I$45</f>
        <v>25</v>
      </c>
      <c r="N408" s="37" t="n">
        <f aca="false">IF(D408=1,M408*$D$555,0)</f>
        <v>2.5</v>
      </c>
      <c r="O408" s="37" t="n">
        <f aca="false">M408+N408</f>
        <v>27.5</v>
      </c>
      <c r="P408" s="194" t="n">
        <f aca="false">CHOOSE(E408,0,1,$N$355)</f>
        <v>0</v>
      </c>
      <c r="Q408" s="37" t="n">
        <f aca="false">N408*P408</f>
        <v>0</v>
      </c>
      <c r="R408" s="37" t="n">
        <f aca="false">O408-Q408</f>
        <v>27.5</v>
      </c>
      <c r="S408" s="201" t="s">
        <v>418</v>
      </c>
    </row>
    <row r="409" customFormat="false" ht="15" hidden="false" customHeight="false" outlineLevel="0" collapsed="false">
      <c r="C409" s="36" t="s">
        <v>426</v>
      </c>
      <c r="D409" s="195" t="n">
        <v>0</v>
      </c>
      <c r="E409" s="196" t="n">
        <v>1</v>
      </c>
      <c r="H409" s="198" t="s">
        <v>427</v>
      </c>
      <c r="I409" s="37" t="n">
        <f aca="false">$E$560</f>
        <v>79364.491105</v>
      </c>
      <c r="J409" s="199" t="s">
        <v>63</v>
      </c>
      <c r="K409" s="36" t="s">
        <v>353</v>
      </c>
      <c r="L409" s="155" t="n">
        <v>0.005</v>
      </c>
      <c r="M409" s="37" t="n">
        <f aca="false">I409*L409</f>
        <v>396.822455525</v>
      </c>
      <c r="N409" s="37" t="n">
        <f aca="false">IF(D409=1,M409*$D$555,0)</f>
        <v>0</v>
      </c>
      <c r="O409" s="37" t="n">
        <f aca="false">M409+N409</f>
        <v>396.822455525</v>
      </c>
      <c r="P409" s="194" t="n">
        <f aca="false">CHOOSE(E409,0,1,$N$355)</f>
        <v>0</v>
      </c>
      <c r="Q409" s="37" t="n">
        <f aca="false">N409*P409</f>
        <v>0</v>
      </c>
      <c r="R409" s="37" t="n">
        <f aca="false">O409-Q409</f>
        <v>396.822455525</v>
      </c>
      <c r="S409" s="201" t="s">
        <v>428</v>
      </c>
    </row>
    <row r="410" customFormat="false" ht="15" hidden="false" customHeight="false" outlineLevel="0" collapsed="false">
      <c r="C410" s="36" t="s">
        <v>429</v>
      </c>
      <c r="D410" s="195" t="n">
        <v>1</v>
      </c>
      <c r="E410" s="196" t="n">
        <v>3</v>
      </c>
      <c r="H410" s="198" t="s">
        <v>306</v>
      </c>
      <c r="I410" s="197" t="n">
        <v>300</v>
      </c>
      <c r="M410" s="37" t="n">
        <f aca="false">I410*$I$45</f>
        <v>300</v>
      </c>
      <c r="N410" s="37" t="n">
        <f aca="false">IF(D410=1,M410*$D$555,0)</f>
        <v>30</v>
      </c>
      <c r="O410" s="37" t="n">
        <f aca="false">M410+N410</f>
        <v>330</v>
      </c>
      <c r="P410" s="194" t="n">
        <f aca="false">CHOOSE(E410,0,1,$N$355)</f>
        <v>0</v>
      </c>
      <c r="Q410" s="37" t="n">
        <f aca="false">N410*P410</f>
        <v>0</v>
      </c>
      <c r="R410" s="37" t="n">
        <f aca="false">O410-Q410</f>
        <v>330</v>
      </c>
      <c r="S410" s="201" t="s">
        <v>428</v>
      </c>
    </row>
    <row r="411" customFormat="false" ht="15" hidden="false" customHeight="false" outlineLevel="0" collapsed="false">
      <c r="C411" s="36" t="s">
        <v>303</v>
      </c>
      <c r="D411" s="195" t="n">
        <v>0</v>
      </c>
      <c r="E411" s="196" t="n">
        <v>1</v>
      </c>
      <c r="H411" s="198" t="s">
        <v>306</v>
      </c>
      <c r="I411" s="197" t="n">
        <v>200</v>
      </c>
      <c r="M411" s="37" t="n">
        <f aca="false">I411*$I$45</f>
        <v>200</v>
      </c>
      <c r="N411" s="37" t="n">
        <f aca="false">IF(D411=1,M411*$D$555,0)</f>
        <v>0</v>
      </c>
      <c r="O411" s="37" t="n">
        <f aca="false">M411+N411</f>
        <v>200</v>
      </c>
      <c r="P411" s="194" t="n">
        <f aca="false">CHOOSE(E411,0,1,$N$355)</f>
        <v>0</v>
      </c>
      <c r="Q411" s="37" t="n">
        <f aca="false">N411*P411</f>
        <v>0</v>
      </c>
      <c r="R411" s="37" t="n">
        <f aca="false">O411-Q411</f>
        <v>200</v>
      </c>
      <c r="S411" s="201" t="s">
        <v>428</v>
      </c>
    </row>
    <row r="412" customFormat="false" ht="15" hidden="false" customHeight="false" outlineLevel="0" collapsed="false">
      <c r="B412" s="205" t="s">
        <v>430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06" t="n">
        <f aca="false">SUM(M403:M411)</f>
        <v>7628.54925179962</v>
      </c>
      <c r="N412" s="206" t="n">
        <f aca="false">SUM(N403:N411)</f>
        <v>703.172679627462</v>
      </c>
      <c r="O412" s="206" t="n">
        <f aca="false">SUM(O403:O411)</f>
        <v>8331.72193142708</v>
      </c>
      <c r="P412" s="207" t="n">
        <f aca="false">SUM(P403:P411)</f>
        <v>0</v>
      </c>
      <c r="Q412" s="206" t="n">
        <f aca="false">SUM(Q403:Q411)</f>
        <v>0</v>
      </c>
      <c r="R412" s="206" t="n">
        <f aca="false">SUM(R403:R411)</f>
        <v>8331.72193142708</v>
      </c>
      <c r="S412" s="1"/>
    </row>
    <row r="413" customFormat="false" ht="15" hidden="false" customHeight="false" outlineLevel="0" collapsed="false">
      <c r="B413" s="205" t="s">
        <v>431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06" t="n">
        <f aca="false">M390+M401+M412</f>
        <v>385121.310814817</v>
      </c>
      <c r="N413" s="206" t="n">
        <f aca="false">N390+N401+N412</f>
        <v>29154.6164566089</v>
      </c>
      <c r="O413" s="206" t="n">
        <f aca="false">O390+O401+O412</f>
        <v>414275.927271426</v>
      </c>
      <c r="P413" s="1"/>
      <c r="Q413" s="206" t="n">
        <f aca="false">Q390+Q401+Q412</f>
        <v>0</v>
      </c>
      <c r="R413" s="206" t="n">
        <f aca="false">R390+R401+R412</f>
        <v>414275.927271426</v>
      </c>
      <c r="S413" s="1"/>
    </row>
    <row r="416" customFormat="false" ht="15" hidden="false" customHeight="false" outlineLevel="0" collapsed="false">
      <c r="A416" s="46" t="s">
        <v>432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customFormat="false" ht="15" hidden="false" customHeight="false" outlineLevel="0" collapsed="false">
      <c r="D417" s="193" t="s">
        <v>329</v>
      </c>
      <c r="E417" s="193" t="s">
        <v>330</v>
      </c>
    </row>
    <row r="418" customFormat="false" ht="15" hidden="false" customHeight="false" outlineLevel="0" collapsed="false">
      <c r="B418" s="68" t="s">
        <v>121</v>
      </c>
      <c r="C418" s="68" t="s">
        <v>433</v>
      </c>
      <c r="D418" s="44" t="s">
        <v>332</v>
      </c>
      <c r="E418" s="44" t="s">
        <v>333</v>
      </c>
      <c r="F418" s="68" t="s">
        <v>434</v>
      </c>
      <c r="G418" s="68" t="s">
        <v>353</v>
      </c>
      <c r="H418" s="68" t="s">
        <v>336</v>
      </c>
      <c r="I418" s="68"/>
      <c r="J418" s="68"/>
      <c r="K418" s="68"/>
      <c r="L418" s="68"/>
      <c r="M418" s="68" t="s">
        <v>339</v>
      </c>
      <c r="N418" s="44" t="s">
        <v>340</v>
      </c>
      <c r="O418" s="68" t="s">
        <v>341</v>
      </c>
      <c r="P418" s="44" t="s">
        <v>342</v>
      </c>
      <c r="Q418" s="44" t="s">
        <v>343</v>
      </c>
      <c r="R418" s="68" t="s">
        <v>344</v>
      </c>
    </row>
    <row r="419" customFormat="false" ht="15" hidden="false" customHeight="false" outlineLevel="0" collapsed="false">
      <c r="B419" s="32" t="s">
        <v>325</v>
      </c>
      <c r="C419" s="36" t="s">
        <v>415</v>
      </c>
      <c r="D419" s="38" t="n">
        <v>1</v>
      </c>
      <c r="E419" s="38" t="n">
        <v>3</v>
      </c>
      <c r="F419" s="197" t="n">
        <v>1200</v>
      </c>
      <c r="H419" s="36" t="s">
        <v>435</v>
      </c>
      <c r="M419" s="37" t="n">
        <f aca="false">F419*$E$26*$I$45</f>
        <v>6300</v>
      </c>
      <c r="N419" s="37" t="n">
        <f aca="false">IF(D419=1,M419*$D$555,0)</f>
        <v>630</v>
      </c>
      <c r="O419" s="37" t="n">
        <f aca="false">M419+N419</f>
        <v>6930</v>
      </c>
      <c r="P419" s="194" t="n">
        <f aca="false">CHOOSE(E419,0,1,$N$355)</f>
        <v>0</v>
      </c>
      <c r="Q419" s="37" t="n">
        <f aca="false">N419*P419</f>
        <v>0</v>
      </c>
      <c r="R419" s="37" t="n">
        <f aca="false">O419-Q419</f>
        <v>6930</v>
      </c>
    </row>
    <row r="420" customFormat="false" ht="15" hidden="false" customHeight="false" outlineLevel="0" collapsed="false">
      <c r="C420" s="36" t="s">
        <v>436</v>
      </c>
      <c r="D420" s="38" t="n">
        <v>1</v>
      </c>
      <c r="E420" s="38" t="n">
        <v>3</v>
      </c>
      <c r="F420" s="216" t="n">
        <f aca="false">$G$283</f>
        <v>174513.090023539</v>
      </c>
      <c r="G420" s="202" t="n">
        <v>0.005</v>
      </c>
      <c r="H420" s="36" t="s">
        <v>437</v>
      </c>
      <c r="M420" s="37" t="n">
        <f aca="false">F420*G420</f>
        <v>872.565450117696</v>
      </c>
      <c r="N420" s="37" t="n">
        <f aca="false">IF(D420=1,M420*$D$555,0)</f>
        <v>87.2565450117696</v>
      </c>
      <c r="O420" s="37" t="n">
        <f aca="false">M420+N420</f>
        <v>959.821995129466</v>
      </c>
      <c r="P420" s="194" t="n">
        <f aca="false">CHOOSE(E420,0,1,$N$355)</f>
        <v>0</v>
      </c>
      <c r="Q420" s="37" t="n">
        <f aca="false">N420*P420</f>
        <v>0</v>
      </c>
      <c r="R420" s="37" t="n">
        <f aca="false">O420-Q420</f>
        <v>959.821995129466</v>
      </c>
    </row>
    <row r="421" customFormat="false" ht="15" hidden="false" customHeight="false" outlineLevel="0" collapsed="false">
      <c r="C421" s="36" t="s">
        <v>421</v>
      </c>
      <c r="D421" s="38" t="n">
        <v>1</v>
      </c>
      <c r="E421" s="38" t="n">
        <v>3</v>
      </c>
      <c r="F421" s="197" t="n">
        <v>20</v>
      </c>
      <c r="H421" s="36" t="s">
        <v>435</v>
      </c>
      <c r="M421" s="37" t="n">
        <f aca="false">F421*$E$26*$I$45</f>
        <v>105</v>
      </c>
      <c r="N421" s="37" t="n">
        <f aca="false">IF(D421=1,M421*$D$555,0)</f>
        <v>10.5</v>
      </c>
      <c r="O421" s="37" t="n">
        <f aca="false">M421+N421</f>
        <v>115.5</v>
      </c>
      <c r="P421" s="194" t="n">
        <f aca="false">CHOOSE(E421,0,1,$N$355)</f>
        <v>0</v>
      </c>
      <c r="Q421" s="37" t="n">
        <f aca="false">N421*P421</f>
        <v>0</v>
      </c>
      <c r="R421" s="37" t="n">
        <f aca="false">O421-Q421</f>
        <v>115.5</v>
      </c>
    </row>
    <row r="422" customFormat="false" ht="15" hidden="false" customHeight="false" outlineLevel="0" collapsed="false">
      <c r="C422" s="36" t="s">
        <v>422</v>
      </c>
      <c r="D422" s="38" t="n">
        <v>1</v>
      </c>
      <c r="E422" s="38" t="n">
        <v>3</v>
      </c>
      <c r="F422" s="197" t="n">
        <v>30</v>
      </c>
      <c r="H422" s="36" t="s">
        <v>435</v>
      </c>
      <c r="M422" s="37" t="n">
        <f aca="false">F422*$E$26*$I$45</f>
        <v>157.5</v>
      </c>
      <c r="N422" s="37" t="n">
        <f aca="false">IF(D422=1,M422*$D$555,0)</f>
        <v>15.75</v>
      </c>
      <c r="O422" s="37" t="n">
        <f aca="false">M422+N422</f>
        <v>173.25</v>
      </c>
      <c r="P422" s="194" t="n">
        <f aca="false">CHOOSE(E422,0,1,$N$355)</f>
        <v>0</v>
      </c>
      <c r="Q422" s="37" t="n">
        <f aca="false">N422*P422</f>
        <v>0</v>
      </c>
      <c r="R422" s="37" t="n">
        <f aca="false">O422-Q422</f>
        <v>173.25</v>
      </c>
    </row>
    <row r="423" customFormat="false" ht="15" hidden="false" customHeight="false" outlineLevel="0" collapsed="false">
      <c r="C423" s="36" t="s">
        <v>423</v>
      </c>
      <c r="D423" s="38" t="n">
        <v>1</v>
      </c>
      <c r="E423" s="38" t="n">
        <v>3</v>
      </c>
      <c r="F423" s="197" t="n">
        <v>30</v>
      </c>
      <c r="H423" s="36" t="s">
        <v>435</v>
      </c>
      <c r="M423" s="37" t="n">
        <f aca="false">F423*$E$26*$I$45</f>
        <v>157.5</v>
      </c>
      <c r="N423" s="37" t="n">
        <f aca="false">IF(D423=1,M423*$D$555,0)</f>
        <v>15.75</v>
      </c>
      <c r="O423" s="37" t="n">
        <f aca="false">M423+N423</f>
        <v>173.25</v>
      </c>
      <c r="P423" s="194" t="n">
        <f aca="false">CHOOSE(E423,0,1,$N$355)</f>
        <v>0</v>
      </c>
      <c r="Q423" s="37" t="n">
        <f aca="false">N423*P423</f>
        <v>0</v>
      </c>
      <c r="R423" s="37" t="n">
        <f aca="false">O423-Q423</f>
        <v>173.25</v>
      </c>
    </row>
    <row r="424" customFormat="false" ht="15" hidden="false" customHeight="false" outlineLevel="0" collapsed="false">
      <c r="C424" s="36" t="s">
        <v>425</v>
      </c>
      <c r="D424" s="38" t="n">
        <v>1</v>
      </c>
      <c r="E424" s="38" t="n">
        <v>3</v>
      </c>
      <c r="F424" s="197" t="n">
        <v>5</v>
      </c>
      <c r="H424" s="36" t="s">
        <v>435</v>
      </c>
      <c r="M424" s="37" t="n">
        <f aca="false">F424*$E$26*$I$45</f>
        <v>26.25</v>
      </c>
      <c r="N424" s="37" t="n">
        <f aca="false">IF(D424=1,M424*$D$555,0)</f>
        <v>2.625</v>
      </c>
      <c r="O424" s="37" t="n">
        <f aca="false">M424+N424</f>
        <v>28.875</v>
      </c>
      <c r="P424" s="194" t="n">
        <f aca="false">CHOOSE(E424,0,1,$N$355)</f>
        <v>0</v>
      </c>
      <c r="Q424" s="37" t="n">
        <f aca="false">N424*P424</f>
        <v>0</v>
      </c>
      <c r="R424" s="37" t="n">
        <f aca="false">O424-Q424</f>
        <v>28.875</v>
      </c>
    </row>
    <row r="425" customFormat="false" ht="15" hidden="false" customHeight="false" outlineLevel="0" collapsed="false">
      <c r="B425" s="6" t="s">
        <v>438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217" t="n">
        <f aca="false">SUM(M419:M424)</f>
        <v>7618.8154501177</v>
      </c>
      <c r="N425" s="217" t="n">
        <f aca="false">SUM(N419:N424)</f>
        <v>761.88154501177</v>
      </c>
      <c r="O425" s="217" t="n">
        <f aca="false">SUM(O419:O424)</f>
        <v>8380.69699512947</v>
      </c>
      <c r="P425" s="7"/>
      <c r="Q425" s="217" t="n">
        <f aca="false">SUM(Q419:Q424)</f>
        <v>0</v>
      </c>
      <c r="R425" s="217" t="n">
        <f aca="false">SUM(R419:R424)</f>
        <v>8380.69699512947</v>
      </c>
    </row>
    <row r="426" customFormat="false" ht="15" hidden="false" customHeight="false" outlineLevel="0" collapsed="false">
      <c r="C426" s="36" t="s">
        <v>439</v>
      </c>
      <c r="D426" s="36" t="s">
        <v>234</v>
      </c>
      <c r="E426" s="218" t="n">
        <f aca="false">($R$419+$R$421+$R$422+$R$423+$R$424)/($E$26*12)</f>
        <v>117.791666666667</v>
      </c>
    </row>
    <row r="429" customFormat="false" ht="15" hidden="false" customHeight="false" outlineLevel="0" collapsed="false">
      <c r="A429" s="46" t="s">
        <v>440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1" customFormat="false" ht="15" hidden="false" customHeight="false" outlineLevel="0" collapsed="false">
      <c r="B431" s="151" t="s">
        <v>441</v>
      </c>
    </row>
    <row r="432" customFormat="false" ht="15" hidden="false" customHeight="false" outlineLevel="0" collapsed="false">
      <c r="B432" s="47" t="s">
        <v>31</v>
      </c>
      <c r="C432" s="48"/>
      <c r="D432" s="48"/>
      <c r="E432" s="219" t="n">
        <f aca="false">$R$413</f>
        <v>414275.927271426</v>
      </c>
    </row>
    <row r="433" customFormat="false" ht="15" hidden="false" customHeight="false" outlineLevel="0" collapsed="false">
      <c r="B433" s="51" t="s">
        <v>442</v>
      </c>
      <c r="C433" s="157" t="n">
        <f aca="false">$M$367</f>
        <v>174534.717601134</v>
      </c>
      <c r="D433" s="220" t="n">
        <v>0.1</v>
      </c>
      <c r="E433" s="137" t="n">
        <f aca="false">C433*D433</f>
        <v>17453.4717601134</v>
      </c>
    </row>
    <row r="434" customFormat="false" ht="15" hidden="false" customHeight="false" outlineLevel="0" collapsed="false">
      <c r="B434" s="123" t="s">
        <v>33</v>
      </c>
      <c r="C434" s="58"/>
      <c r="D434" s="58"/>
      <c r="E434" s="160" t="n">
        <f aca="false">E432-E433</f>
        <v>396822.455511313</v>
      </c>
    </row>
    <row r="436" customFormat="false" ht="15" hidden="false" customHeight="false" outlineLevel="0" collapsed="false">
      <c r="B436" s="108" t="s">
        <v>443</v>
      </c>
      <c r="C436" s="109"/>
      <c r="D436" s="109" t="s">
        <v>444</v>
      </c>
      <c r="E436" s="109" t="s">
        <v>445</v>
      </c>
      <c r="F436" s="113" t="s">
        <v>446</v>
      </c>
    </row>
    <row r="437" customFormat="false" ht="15" hidden="false" customHeight="false" outlineLevel="0" collapsed="false">
      <c r="B437" s="71" t="s">
        <v>447</v>
      </c>
      <c r="C437" s="52"/>
      <c r="D437" s="52"/>
      <c r="E437" s="164" t="n">
        <f aca="false">$E$434</f>
        <v>396822.455511313</v>
      </c>
      <c r="F437" s="80" t="n">
        <f aca="false">E437/$E$434</f>
        <v>1</v>
      </c>
    </row>
    <row r="438" customFormat="false" ht="15" hidden="false" customHeight="false" outlineLevel="0" collapsed="false">
      <c r="B438" s="71" t="s">
        <v>448</v>
      </c>
      <c r="C438" s="52"/>
      <c r="D438" s="52"/>
      <c r="E438" s="164" t="n">
        <f aca="false">$E$434*$E$456</f>
        <v>79364.4911022626</v>
      </c>
      <c r="F438" s="80" t="n">
        <f aca="false">E438/$E$434</f>
        <v>0.2</v>
      </c>
    </row>
    <row r="439" customFormat="false" ht="15" hidden="false" customHeight="false" outlineLevel="0" collapsed="false">
      <c r="B439" s="78"/>
      <c r="C439" s="101" t="s">
        <v>449</v>
      </c>
      <c r="D439" s="158" t="n">
        <v>0.3</v>
      </c>
      <c r="E439" s="157" t="n">
        <f aca="false">$E$444*D439</f>
        <v>16666.5431314751</v>
      </c>
      <c r="F439" s="82" t="n">
        <f aca="false">E439/$E$434</f>
        <v>0.042</v>
      </c>
    </row>
    <row r="440" customFormat="false" ht="15" hidden="false" customHeight="false" outlineLevel="0" collapsed="false">
      <c r="B440" s="78"/>
      <c r="C440" s="101" t="s">
        <v>450</v>
      </c>
      <c r="D440" s="158" t="n">
        <v>0</v>
      </c>
      <c r="E440" s="157" t="n">
        <f aca="false">$E$444*D440</f>
        <v>0</v>
      </c>
      <c r="F440" s="82" t="n">
        <f aca="false">E440/$E$434</f>
        <v>0</v>
      </c>
    </row>
    <row r="441" customFormat="false" ht="15" hidden="false" customHeight="false" outlineLevel="0" collapsed="false">
      <c r="B441" s="78"/>
      <c r="C441" s="101" t="s">
        <v>451</v>
      </c>
      <c r="D441" s="158" t="n">
        <v>0.7</v>
      </c>
      <c r="E441" s="157" t="n">
        <f aca="false">$E$444*D441</f>
        <v>38888.6006401087</v>
      </c>
      <c r="F441" s="82" t="n">
        <f aca="false">E441/$E$434</f>
        <v>0.098</v>
      </c>
    </row>
    <row r="442" customFormat="false" ht="15" hidden="false" customHeight="false" outlineLevel="0" collapsed="false">
      <c r="B442" s="78"/>
      <c r="C442" s="101" t="s">
        <v>452</v>
      </c>
      <c r="D442" s="158" t="n">
        <v>0</v>
      </c>
      <c r="E442" s="157" t="n">
        <f aca="false">$E$444*D442</f>
        <v>0</v>
      </c>
      <c r="F442" s="82" t="n">
        <f aca="false">E442/$E$434</f>
        <v>0</v>
      </c>
    </row>
    <row r="443" customFormat="false" ht="15" hidden="false" customHeight="false" outlineLevel="0" collapsed="false">
      <c r="B443" s="78"/>
      <c r="C443" s="101" t="s">
        <v>453</v>
      </c>
      <c r="D443" s="158" t="n">
        <v>0</v>
      </c>
      <c r="E443" s="157" t="n">
        <f aca="false">$E$444*D443</f>
        <v>0</v>
      </c>
      <c r="F443" s="82" t="n">
        <f aca="false">E443/$E$434</f>
        <v>0</v>
      </c>
    </row>
    <row r="444" customFormat="false" ht="15" hidden="false" customHeight="false" outlineLevel="0" collapsed="false">
      <c r="B444" s="78"/>
      <c r="C444" s="221" t="s">
        <v>454</v>
      </c>
      <c r="D444" s="222" t="n">
        <f aca="false">$E$457</f>
        <v>0.7</v>
      </c>
      <c r="E444" s="164" t="n">
        <f aca="false">$E$438*D444</f>
        <v>55555.1437715838</v>
      </c>
      <c r="F444" s="80" t="n">
        <f aca="false">E444/$E$434</f>
        <v>0.14</v>
      </c>
      <c r="G444" s="223" t="b">
        <f aca="false">SUM(D439:D443)=1</f>
        <v>1</v>
      </c>
    </row>
    <row r="445" customFormat="false" ht="15" hidden="false" customHeight="false" outlineLevel="0" collapsed="false">
      <c r="B445" s="78"/>
      <c r="C445" s="101" t="s">
        <v>455</v>
      </c>
      <c r="D445" s="158" t="n">
        <v>0.055</v>
      </c>
      <c r="E445" s="157" t="n">
        <f aca="false">$E$450*D445</f>
        <v>1309.51410318733</v>
      </c>
      <c r="F445" s="82" t="n">
        <f aca="false">E445/$E$434</f>
        <v>0.0033</v>
      </c>
    </row>
    <row r="446" customFormat="false" ht="15" hidden="false" customHeight="false" outlineLevel="0" collapsed="false">
      <c r="B446" s="78"/>
      <c r="C446" s="101" t="s">
        <v>456</v>
      </c>
      <c r="D446" s="158" t="n">
        <v>0.245</v>
      </c>
      <c r="E446" s="157" t="n">
        <f aca="false">$E$450*D446</f>
        <v>5833.2900960163</v>
      </c>
      <c r="F446" s="82" t="n">
        <f aca="false">E446/$E$434</f>
        <v>0.0147</v>
      </c>
    </row>
    <row r="447" customFormat="false" ht="15" hidden="false" customHeight="false" outlineLevel="0" collapsed="false">
      <c r="B447" s="78"/>
      <c r="C447" s="101" t="s">
        <v>457</v>
      </c>
      <c r="D447" s="158" t="n">
        <v>0.1285</v>
      </c>
      <c r="E447" s="157" t="n">
        <f aca="false">$E$450*D447</f>
        <v>3059.50113199222</v>
      </c>
      <c r="F447" s="82" t="n">
        <f aca="false">E447/$E$434</f>
        <v>0.00771</v>
      </c>
    </row>
    <row r="448" customFormat="false" ht="15" hidden="false" customHeight="false" outlineLevel="0" collapsed="false">
      <c r="B448" s="78"/>
      <c r="C448" s="101" t="s">
        <v>458</v>
      </c>
      <c r="D448" s="158" t="n">
        <v>0.5715</v>
      </c>
      <c r="E448" s="157" t="n">
        <f aca="false">$E$450*D448</f>
        <v>13607.0419994829</v>
      </c>
      <c r="F448" s="82" t="n">
        <f aca="false">E448/$E$434</f>
        <v>0.03429</v>
      </c>
    </row>
    <row r="449" customFormat="false" ht="15" hidden="false" customHeight="false" outlineLevel="0" collapsed="false">
      <c r="B449" s="78"/>
      <c r="C449" s="101" t="s">
        <v>459</v>
      </c>
      <c r="D449" s="158" t="n">
        <v>0</v>
      </c>
      <c r="E449" s="157" t="n">
        <f aca="false">$E$450*D449</f>
        <v>0</v>
      </c>
      <c r="F449" s="82" t="n">
        <f aca="false">E449/$E$434</f>
        <v>0</v>
      </c>
    </row>
    <row r="450" customFormat="false" ht="15" hidden="false" customHeight="false" outlineLevel="0" collapsed="false">
      <c r="B450" s="78"/>
      <c r="C450" s="221" t="s">
        <v>460</v>
      </c>
      <c r="D450" s="222" t="n">
        <f aca="false">1-$E$457</f>
        <v>0.3</v>
      </c>
      <c r="E450" s="164" t="n">
        <f aca="false">$E$438*D450</f>
        <v>23809.3473306788</v>
      </c>
      <c r="F450" s="80" t="n">
        <f aca="false">E450/$E$434</f>
        <v>0.06</v>
      </c>
      <c r="G450" s="223" t="b">
        <f aca="false">SUM(D445:D449)=1</f>
        <v>1</v>
      </c>
    </row>
    <row r="451" customFormat="false" ht="15" hidden="false" customHeight="false" outlineLevel="0" collapsed="false">
      <c r="B451" s="71" t="s">
        <v>461</v>
      </c>
      <c r="C451" s="52"/>
      <c r="D451" s="52"/>
      <c r="E451" s="164" t="n">
        <f aca="false">$E$434-$E$438</f>
        <v>317457.96440905</v>
      </c>
      <c r="F451" s="80" t="n">
        <f aca="false">E451/$E$434</f>
        <v>0.8</v>
      </c>
    </row>
    <row r="452" customFormat="false" ht="15" hidden="false" customHeight="false" outlineLevel="0" collapsed="false">
      <c r="B452" s="78"/>
      <c r="C452" s="101" t="s">
        <v>462</v>
      </c>
      <c r="D452" s="158" t="n">
        <v>0.7143</v>
      </c>
      <c r="E452" s="157" t="n">
        <f aca="false">$E$451*D452</f>
        <v>226760.223977385</v>
      </c>
      <c r="F452" s="82" t="n">
        <f aca="false">E452/$E$434</f>
        <v>0.57144</v>
      </c>
    </row>
    <row r="453" customFormat="false" ht="15" hidden="false" customHeight="false" outlineLevel="0" collapsed="false">
      <c r="B453" s="78"/>
      <c r="C453" s="101" t="s">
        <v>463</v>
      </c>
      <c r="D453" s="158" t="n">
        <v>0.1429</v>
      </c>
      <c r="E453" s="157" t="n">
        <f aca="false">$E$451*D453</f>
        <v>45364.7431140533</v>
      </c>
      <c r="F453" s="82" t="n">
        <f aca="false">E453/$E$434</f>
        <v>0.11432</v>
      </c>
    </row>
    <row r="454" customFormat="false" ht="15" hidden="false" customHeight="false" outlineLevel="0" collapsed="false">
      <c r="B454" s="83"/>
      <c r="C454" s="224" t="s">
        <v>464</v>
      </c>
      <c r="D454" s="225" t="n">
        <f aca="false">1-D452-D453</f>
        <v>0.1428</v>
      </c>
      <c r="E454" s="226" t="n">
        <f aca="false">$E$451*D454</f>
        <v>45332.9973176124</v>
      </c>
      <c r="F454" s="227" t="n">
        <f aca="false">E454/$E$434</f>
        <v>0.11424</v>
      </c>
    </row>
    <row r="456" customFormat="false" ht="15" hidden="false" customHeight="false" outlineLevel="0" collapsed="false">
      <c r="B456" s="36" t="s">
        <v>465</v>
      </c>
      <c r="E456" s="155" t="n">
        <v>0.2</v>
      </c>
    </row>
    <row r="457" customFormat="false" ht="15" hidden="false" customHeight="false" outlineLevel="0" collapsed="false">
      <c r="B457" s="36" t="s">
        <v>466</v>
      </c>
      <c r="E457" s="155" t="n">
        <v>0.7</v>
      </c>
    </row>
    <row r="458" customFormat="false" ht="15" hidden="false" customHeight="false" outlineLevel="0" collapsed="false">
      <c r="B458" s="36" t="s">
        <v>467</v>
      </c>
      <c r="E458" s="194" t="n">
        <f aca="false">1-$E$457</f>
        <v>0.3</v>
      </c>
    </row>
    <row r="460" customFormat="false" ht="15" hidden="false" customHeight="false" outlineLevel="0" collapsed="false">
      <c r="B460" s="228" t="s">
        <v>468</v>
      </c>
    </row>
    <row r="461" customFormat="false" ht="15" hidden="false" customHeight="false" outlineLevel="0" collapsed="false">
      <c r="B461" s="108" t="s">
        <v>121</v>
      </c>
      <c r="C461" s="109" t="s">
        <v>469</v>
      </c>
      <c r="D461" s="109" t="s">
        <v>201</v>
      </c>
      <c r="E461" s="109" t="s">
        <v>470</v>
      </c>
      <c r="F461" s="109" t="s">
        <v>471</v>
      </c>
      <c r="G461" s="109" t="s">
        <v>472</v>
      </c>
      <c r="H461" s="109" t="s">
        <v>9</v>
      </c>
      <c r="I461" s="113" t="s">
        <v>202</v>
      </c>
    </row>
    <row r="462" customFormat="false" ht="15" hidden="false" customHeight="false" outlineLevel="0" collapsed="false">
      <c r="B462" s="71" t="s">
        <v>473</v>
      </c>
      <c r="C462" s="75" t="s">
        <v>455</v>
      </c>
      <c r="D462" s="119" t="n">
        <f aca="false">E462/$E$438</f>
        <v>0.0165</v>
      </c>
      <c r="E462" s="229" t="n">
        <f aca="false">$E$445</f>
        <v>1309.51410318733</v>
      </c>
      <c r="F462" s="134" t="n">
        <v>46112</v>
      </c>
      <c r="G462" s="230"/>
      <c r="H462" s="52"/>
      <c r="I462" s="136" t="n">
        <f aca="false">EOMONTH(F462,0)</f>
        <v>46112</v>
      </c>
    </row>
    <row r="463" customFormat="false" ht="15" hidden="false" customHeight="false" outlineLevel="0" collapsed="false">
      <c r="B463" s="78"/>
      <c r="C463" s="75" t="s">
        <v>456</v>
      </c>
      <c r="D463" s="119" t="n">
        <f aca="false">E463/$E$438</f>
        <v>0.0735</v>
      </c>
      <c r="E463" s="229" t="n">
        <f aca="false">$E$446</f>
        <v>5833.2900960163</v>
      </c>
      <c r="F463" s="134" t="n">
        <v>46660</v>
      </c>
      <c r="G463" s="230"/>
      <c r="H463" s="52"/>
      <c r="I463" s="136" t="n">
        <f aca="false">EOMONTH(F463,0)</f>
        <v>46660</v>
      </c>
    </row>
    <row r="464" customFormat="false" ht="15" hidden="false" customHeight="false" outlineLevel="0" collapsed="false">
      <c r="B464" s="78"/>
      <c r="C464" s="75" t="s">
        <v>457</v>
      </c>
      <c r="D464" s="119" t="n">
        <f aca="false">E464/$E$438</f>
        <v>0.03855</v>
      </c>
      <c r="E464" s="229" t="n">
        <f aca="false">$E$447</f>
        <v>3059.50113199222</v>
      </c>
      <c r="F464" s="134" t="n">
        <v>46112</v>
      </c>
      <c r="G464" s="230"/>
      <c r="H464" s="52"/>
      <c r="I464" s="136" t="n">
        <f aca="false">EOMONTH(F464,0)</f>
        <v>46112</v>
      </c>
    </row>
    <row r="465" customFormat="false" ht="15" hidden="false" customHeight="false" outlineLevel="0" collapsed="false">
      <c r="B465" s="78"/>
      <c r="C465" s="75" t="s">
        <v>458</v>
      </c>
      <c r="D465" s="119" t="n">
        <f aca="false">E465/$E$438</f>
        <v>0.17145</v>
      </c>
      <c r="E465" s="229" t="n">
        <f aca="false">$E$448</f>
        <v>13607.0419994829</v>
      </c>
      <c r="F465" s="134" t="n">
        <v>46660</v>
      </c>
      <c r="G465" s="230"/>
      <c r="H465" s="52"/>
      <c r="I465" s="136" t="n">
        <f aca="false">EOMONTH(F465,0)</f>
        <v>46660</v>
      </c>
    </row>
    <row r="466" customFormat="false" ht="15" hidden="false" customHeight="false" outlineLevel="0" collapsed="false">
      <c r="B466" s="78"/>
      <c r="C466" s="75" t="s">
        <v>459</v>
      </c>
      <c r="D466" s="119" t="n">
        <f aca="false">E466/$E$438</f>
        <v>0</v>
      </c>
      <c r="E466" s="229" t="n">
        <f aca="false">$E$449</f>
        <v>0</v>
      </c>
      <c r="F466" s="134" t="n">
        <v>47907</v>
      </c>
      <c r="G466" s="230"/>
      <c r="H466" s="52"/>
      <c r="I466" s="136" t="n">
        <f aca="false">EOMONTH(F466,0)</f>
        <v>47907</v>
      </c>
    </row>
    <row r="467" customFormat="false" ht="15" hidden="false" customHeight="false" outlineLevel="0" collapsed="false">
      <c r="B467" s="231" t="s">
        <v>474</v>
      </c>
      <c r="C467" s="52"/>
      <c r="D467" s="120" t="n">
        <f aca="false">SUM(D462:D466)</f>
        <v>0.3</v>
      </c>
      <c r="E467" s="232" t="n">
        <f aca="false">SUM(E462:E466)</f>
        <v>23809.3473306788</v>
      </c>
      <c r="F467" s="52"/>
      <c r="G467" s="52"/>
      <c r="H467" s="52"/>
      <c r="I467" s="74"/>
    </row>
    <row r="468" customFormat="false" ht="15" hidden="false" customHeight="false" outlineLevel="0" collapsed="false">
      <c r="B468" s="71" t="s">
        <v>475</v>
      </c>
      <c r="C468" s="75" t="s">
        <v>449</v>
      </c>
      <c r="D468" s="119" t="n">
        <f aca="false">E468/$E$438</f>
        <v>0.21</v>
      </c>
      <c r="E468" s="229" t="n">
        <f aca="false">$E$439</f>
        <v>16666.5431314751</v>
      </c>
      <c r="F468" s="134" t="n">
        <v>46660</v>
      </c>
      <c r="G468" s="135" t="n">
        <v>0.05</v>
      </c>
      <c r="H468" s="52"/>
      <c r="I468" s="136" t="n">
        <f aca="false">EOMONTH(F468,0)</f>
        <v>46660</v>
      </c>
    </row>
    <row r="469" customFormat="false" ht="15" hidden="false" customHeight="false" outlineLevel="0" collapsed="false">
      <c r="B469" s="78"/>
      <c r="C469" s="75" t="s">
        <v>450</v>
      </c>
      <c r="D469" s="119" t="n">
        <f aca="false">E469/$E$438</f>
        <v>0</v>
      </c>
      <c r="E469" s="229" t="n">
        <f aca="false">$E$440</f>
        <v>0</v>
      </c>
      <c r="F469" s="134" t="n">
        <v>46660</v>
      </c>
      <c r="G469" s="135" t="n">
        <v>0.05</v>
      </c>
      <c r="H469" s="52"/>
      <c r="I469" s="136" t="n">
        <f aca="false">EOMONTH(F469,0)</f>
        <v>46660</v>
      </c>
    </row>
    <row r="470" customFormat="false" ht="15" hidden="false" customHeight="false" outlineLevel="0" collapsed="false">
      <c r="B470" s="78"/>
      <c r="C470" s="75" t="s">
        <v>451</v>
      </c>
      <c r="D470" s="119" t="n">
        <f aca="false">E470/$E$438</f>
        <v>0.49</v>
      </c>
      <c r="E470" s="229" t="n">
        <f aca="false">$E$441</f>
        <v>38888.6006401087</v>
      </c>
      <c r="F470" s="134" t="n">
        <v>46660</v>
      </c>
      <c r="G470" s="135" t="n">
        <v>0.05</v>
      </c>
      <c r="H470" s="52"/>
      <c r="I470" s="136" t="n">
        <f aca="false">EOMONTH(F470,0)</f>
        <v>46660</v>
      </c>
    </row>
    <row r="471" customFormat="false" ht="15" hidden="false" customHeight="false" outlineLevel="0" collapsed="false">
      <c r="B471" s="78"/>
      <c r="C471" s="75" t="s">
        <v>452</v>
      </c>
      <c r="D471" s="119" t="n">
        <f aca="false">E471/$E$438</f>
        <v>0</v>
      </c>
      <c r="E471" s="229" t="n">
        <f aca="false">$E$442</f>
        <v>0</v>
      </c>
      <c r="F471" s="134" t="n">
        <v>46660</v>
      </c>
      <c r="G471" s="135" t="n">
        <v>0.05</v>
      </c>
      <c r="H471" s="52"/>
      <c r="I471" s="136" t="n">
        <f aca="false">EOMONTH(F471,0)</f>
        <v>46660</v>
      </c>
    </row>
    <row r="472" customFormat="false" ht="15" hidden="false" customHeight="false" outlineLevel="0" collapsed="false">
      <c r="B472" s="78"/>
      <c r="C472" s="75" t="s">
        <v>453</v>
      </c>
      <c r="D472" s="119" t="n">
        <f aca="false">E472/$E$438</f>
        <v>0</v>
      </c>
      <c r="E472" s="229" t="n">
        <f aca="false">$E$443</f>
        <v>0</v>
      </c>
      <c r="F472" s="134" t="n">
        <v>47907</v>
      </c>
      <c r="G472" s="135" t="n">
        <v>0.05</v>
      </c>
      <c r="H472" s="233" t="s">
        <v>476</v>
      </c>
      <c r="I472" s="136" t="n">
        <f aca="false">EOMONTH(F472,0)</f>
        <v>47907</v>
      </c>
    </row>
    <row r="473" customFormat="false" ht="15" hidden="false" customHeight="false" outlineLevel="0" collapsed="false">
      <c r="B473" s="231" t="s">
        <v>477</v>
      </c>
      <c r="C473" s="52"/>
      <c r="D473" s="120" t="n">
        <f aca="false">SUM(D468:D472)</f>
        <v>0.7</v>
      </c>
      <c r="E473" s="232" t="n">
        <f aca="false">SUM(E468:E472)</f>
        <v>55555.1437715838</v>
      </c>
      <c r="F473" s="52"/>
      <c r="G473" s="52"/>
      <c r="H473" s="52"/>
      <c r="I473" s="74"/>
    </row>
    <row r="474" customFormat="false" ht="15" hidden="false" customHeight="false" outlineLevel="0" collapsed="false">
      <c r="B474" s="234" t="s">
        <v>478</v>
      </c>
      <c r="C474" s="58"/>
      <c r="D474" s="235" t="n">
        <f aca="false">D473+D467</f>
        <v>1</v>
      </c>
      <c r="E474" s="236" t="n">
        <f aca="false">E473+E467</f>
        <v>79364.4911022626</v>
      </c>
      <c r="F474" s="58"/>
      <c r="G474" s="58"/>
      <c r="H474" s="58"/>
      <c r="I474" s="125"/>
    </row>
    <row r="475" customFormat="false" ht="15" hidden="false" customHeight="false" outlineLevel="0" collapsed="false">
      <c r="C475" s="36" t="s">
        <v>479</v>
      </c>
      <c r="E475" s="194" t="n">
        <f aca="false">IFERROR(SUMPRODUCT($E$468:$E$472,$G$468:$G$472)/SUM($E$468:$E$472),0)</f>
        <v>0.05</v>
      </c>
    </row>
    <row r="476" customFormat="false" ht="15" hidden="false" customHeight="false" outlineLevel="0" collapsed="false">
      <c r="C476" s="36" t="s">
        <v>480</v>
      </c>
      <c r="E476" s="237" t="n">
        <f aca="false">(1+$E$475)^(1/12)-1</f>
        <v>0.00407412378364835</v>
      </c>
      <c r="F476" s="86" t="s">
        <v>481</v>
      </c>
    </row>
    <row r="478" customFormat="false" ht="15" hidden="false" customHeight="false" outlineLevel="0" collapsed="false">
      <c r="B478" s="228" t="s">
        <v>482</v>
      </c>
    </row>
    <row r="479" customFormat="false" ht="15" hidden="false" customHeight="false" outlineLevel="0" collapsed="false">
      <c r="B479" s="36" t="s">
        <v>52</v>
      </c>
      <c r="C479" s="238" t="n">
        <f aca="false">$G$283</f>
        <v>174513.090023539</v>
      </c>
    </row>
    <row r="480" customFormat="false" ht="15" hidden="false" customHeight="false" outlineLevel="0" collapsed="false">
      <c r="B480" s="36" t="s">
        <v>483</v>
      </c>
      <c r="C480" s="239" t="n">
        <f aca="false">$E$14</f>
        <v>46660</v>
      </c>
    </row>
    <row r="482" customFormat="false" ht="15" hidden="false" customHeight="false" outlineLevel="0" collapsed="false">
      <c r="B482" s="108" t="s">
        <v>121</v>
      </c>
      <c r="C482" s="109" t="s">
        <v>484</v>
      </c>
      <c r="D482" s="109" t="s">
        <v>485</v>
      </c>
      <c r="E482" s="109" t="s">
        <v>486</v>
      </c>
      <c r="F482" s="109" t="s">
        <v>487</v>
      </c>
      <c r="G482" s="110" t="s">
        <v>488</v>
      </c>
      <c r="H482" s="109" t="s">
        <v>489</v>
      </c>
      <c r="I482" s="109" t="s">
        <v>490</v>
      </c>
      <c r="J482" s="109" t="s">
        <v>491</v>
      </c>
      <c r="K482" s="109" t="s">
        <v>492</v>
      </c>
      <c r="L482" s="110" t="s">
        <v>493</v>
      </c>
      <c r="M482" s="109" t="s">
        <v>494</v>
      </c>
      <c r="N482" s="110" t="s">
        <v>495</v>
      </c>
      <c r="O482" s="113" t="s">
        <v>496</v>
      </c>
    </row>
    <row r="483" customFormat="false" ht="15" hidden="false" customHeight="false" outlineLevel="0" collapsed="false">
      <c r="B483" s="143" t="s">
        <v>497</v>
      </c>
      <c r="C483" s="240" t="s">
        <v>498</v>
      </c>
      <c r="D483" s="229" t="n">
        <f aca="false">$E$452</f>
        <v>226760.223977385</v>
      </c>
      <c r="E483" s="241" t="n">
        <f aca="false">MAX(②시니어_CF!$E$121:$EF$121)</f>
        <v>0</v>
      </c>
      <c r="F483" s="119" t="n">
        <f aca="false">IFERROR(E483/SUM($E$483:$E$485),0)</f>
        <v>0</v>
      </c>
      <c r="G483" s="119" t="n">
        <f aca="false">SUM($E$483:E483)/$G$283</f>
        <v>0</v>
      </c>
      <c r="H483" s="242" t="n">
        <f aca="false">$E$16</f>
        <v>47907</v>
      </c>
      <c r="I483" s="243" t="s">
        <v>499</v>
      </c>
      <c r="J483" s="135" t="n">
        <v>0.01</v>
      </c>
      <c r="K483" s="135" t="n">
        <v>0.065</v>
      </c>
      <c r="L483" s="81" t="n">
        <f aca="false">K483+J483/($E$15/12)</f>
        <v>0.0678571428571429</v>
      </c>
      <c r="M483" s="244" t="s">
        <v>500</v>
      </c>
      <c r="N483" s="119" t="n">
        <f aca="false">SUM($D$483:D483)/$R$413</f>
        <v>0.547365195634009</v>
      </c>
      <c r="O483" s="138" t="n">
        <v>0.005</v>
      </c>
    </row>
    <row r="484" customFormat="false" ht="15" hidden="false" customHeight="false" outlineLevel="0" collapsed="false">
      <c r="B484" s="143" t="s">
        <v>501</v>
      </c>
      <c r="C484" s="240" t="s">
        <v>498</v>
      </c>
      <c r="D484" s="229" t="n">
        <f aca="false">$E$453</f>
        <v>45364.7431140533</v>
      </c>
      <c r="E484" s="241" t="n">
        <f aca="false">MAX(②시니어_CF!$E$122:$EF$122)</f>
        <v>0</v>
      </c>
      <c r="F484" s="119" t="n">
        <f aca="false">IFERROR(E484/SUM($E$483:$E$485),0)</f>
        <v>0</v>
      </c>
      <c r="G484" s="119" t="n">
        <f aca="false">SUM($E$483:E484)/$G$283</f>
        <v>0</v>
      </c>
      <c r="H484" s="242" t="n">
        <f aca="false">$E$16</f>
        <v>47907</v>
      </c>
      <c r="I484" s="243" t="s">
        <v>499</v>
      </c>
      <c r="J484" s="135" t="n">
        <v>0.01</v>
      </c>
      <c r="K484" s="135" t="n">
        <v>0.073</v>
      </c>
      <c r="L484" s="81" t="n">
        <f aca="false">K484+J484/($E$15/12)</f>
        <v>0.0758571428571429</v>
      </c>
      <c r="M484" s="244" t="s">
        <v>500</v>
      </c>
      <c r="N484" s="119" t="n">
        <f aca="false">SUM($D$483:D484)/$R$413</f>
        <v>0.656868886598729</v>
      </c>
      <c r="O484" s="138" t="n">
        <v>0.005</v>
      </c>
    </row>
    <row r="485" customFormat="false" ht="15" hidden="false" customHeight="false" outlineLevel="0" collapsed="false">
      <c r="B485" s="143" t="s">
        <v>502</v>
      </c>
      <c r="C485" s="240" t="s">
        <v>498</v>
      </c>
      <c r="D485" s="229" t="n">
        <f aca="false">$E$454</f>
        <v>45332.9973176124</v>
      </c>
      <c r="E485" s="241" t="n">
        <f aca="false">MAX(②시니어_CF!$E$123:$EF$123)</f>
        <v>27207.3003100127</v>
      </c>
      <c r="F485" s="119" t="n">
        <f aca="false">IFERROR(E485/SUM($E$483:$E$485),0)</f>
        <v>1</v>
      </c>
      <c r="G485" s="119" t="n">
        <f aca="false">SUM($E$483:E485)/$G$283</f>
        <v>0.155904066029333</v>
      </c>
      <c r="H485" s="242" t="n">
        <f aca="false">$E$16</f>
        <v>47907</v>
      </c>
      <c r="I485" s="243" t="s">
        <v>499</v>
      </c>
      <c r="J485" s="135" t="n">
        <v>0.01</v>
      </c>
      <c r="K485" s="135" t="n">
        <v>0.088</v>
      </c>
      <c r="L485" s="81" t="n">
        <f aca="false">K485+J485/($E$15/12)</f>
        <v>0.0908571428571429</v>
      </c>
      <c r="M485" s="244" t="s">
        <v>500</v>
      </c>
      <c r="N485" s="119" t="n">
        <f aca="false">SUM($D$483:D485)/$R$413</f>
        <v>0.766295947968653</v>
      </c>
      <c r="O485" s="138" t="n">
        <v>0.005</v>
      </c>
    </row>
    <row r="486" customFormat="false" ht="15" hidden="false" customHeight="false" outlineLevel="0" collapsed="false">
      <c r="B486" s="123" t="s">
        <v>155</v>
      </c>
      <c r="C486" s="95"/>
      <c r="D486" s="245" t="n">
        <f aca="false">SUM(D483:D485)</f>
        <v>317457.96440905</v>
      </c>
      <c r="E486" s="245" t="n">
        <f aca="false">SUM(E483:E485)</f>
        <v>27207.3003100127</v>
      </c>
      <c r="F486" s="140" t="n">
        <f aca="false">SUM(F483:F485)</f>
        <v>1</v>
      </c>
      <c r="G486" s="140" t="n">
        <f aca="false">G485</f>
        <v>0.155904066029333</v>
      </c>
      <c r="H486" s="95"/>
      <c r="I486" s="95"/>
      <c r="J486" s="95"/>
      <c r="K486" s="140" t="n">
        <f aca="false">SUMPRODUCT(D483:D485,K483:K485)/D486</f>
        <v>0.0694276</v>
      </c>
      <c r="L486" s="140" t="n">
        <f aca="false">SUMPRODUCT(D483:D485,L483:L485)/D486</f>
        <v>0.0722847428571429</v>
      </c>
      <c r="M486" s="95"/>
      <c r="N486" s="140" t="n">
        <f aca="false">N485</f>
        <v>0.766295947968653</v>
      </c>
      <c r="O486" s="246"/>
    </row>
    <row r="488" customFormat="false" ht="15" hidden="false" customHeight="false" outlineLevel="0" collapsed="false">
      <c r="B488" s="151" t="s">
        <v>40</v>
      </c>
    </row>
    <row r="489" customFormat="false" ht="15" hidden="false" customHeight="false" outlineLevel="0" collapsed="false">
      <c r="B489" s="108" t="s">
        <v>503</v>
      </c>
      <c r="C489" s="109" t="s">
        <v>504</v>
      </c>
      <c r="D489" s="110" t="s">
        <v>488</v>
      </c>
      <c r="E489" s="109" t="s">
        <v>505</v>
      </c>
      <c r="F489" s="109" t="s">
        <v>506</v>
      </c>
      <c r="G489" s="113" t="s">
        <v>507</v>
      </c>
    </row>
    <row r="490" customFormat="false" ht="15" hidden="false" customHeight="false" outlineLevel="0" collapsed="false">
      <c r="B490" s="51" t="s">
        <v>122</v>
      </c>
      <c r="C490" s="247" t="n">
        <v>499793</v>
      </c>
      <c r="D490" s="135" t="n">
        <v>0.7</v>
      </c>
      <c r="E490" s="248" t="n">
        <f aca="false">C490*D490*$D$38</f>
        <v>349855.1</v>
      </c>
      <c r="F490" s="249" t="n">
        <f aca="false">SUMIF(②시니어_CF!$E$6:$EF$6,"&lt;="&amp;$E$16,②시니어_CF!$E$78:$EF$78)</f>
        <v>302400</v>
      </c>
      <c r="G490" s="250" t="n">
        <f aca="false">MAX(0,E490-F490)</f>
        <v>47455.0999999999</v>
      </c>
    </row>
    <row r="491" customFormat="false" ht="15" hidden="false" customHeight="false" outlineLevel="0" collapsed="false">
      <c r="B491" s="51" t="s">
        <v>123</v>
      </c>
      <c r="C491" s="247" t="n">
        <v>294904</v>
      </c>
      <c r="D491" s="135" t="n">
        <v>0.7</v>
      </c>
      <c r="E491" s="248" t="n">
        <f aca="false">C491*D491*$E$38</f>
        <v>0</v>
      </c>
      <c r="F491" s="249" t="n">
        <f aca="false">SUMIF(②시니어_CF!$E$6:$EF$6,"&lt;="&amp;$E$16,②시니어_CF!$E$79:$EF$79)</f>
        <v>0</v>
      </c>
      <c r="G491" s="250" t="n">
        <f aca="false">MAX(0,E491-F491)</f>
        <v>0</v>
      </c>
    </row>
    <row r="492" customFormat="false" ht="15" hidden="false" customHeight="false" outlineLevel="0" collapsed="false">
      <c r="B492" s="51" t="s">
        <v>124</v>
      </c>
      <c r="C492" s="247" t="n">
        <v>461934</v>
      </c>
      <c r="D492" s="135" t="n">
        <v>0.7</v>
      </c>
      <c r="E492" s="248" t="n">
        <f aca="false">C492*D492*$F$38</f>
        <v>0</v>
      </c>
      <c r="F492" s="248" t="n">
        <v>0</v>
      </c>
      <c r="G492" s="250" t="n">
        <f aca="false">MAX(0,E492-F492)</f>
        <v>0</v>
      </c>
    </row>
    <row r="493" customFormat="false" ht="15" hidden="false" customHeight="false" outlineLevel="0" collapsed="false">
      <c r="B493" s="51" t="s">
        <v>125</v>
      </c>
      <c r="C493" s="247" t="n">
        <v>297831</v>
      </c>
      <c r="D493" s="135" t="n">
        <v>0.7</v>
      </c>
      <c r="E493" s="248" t="n">
        <f aca="false">C493*D493*$G$38</f>
        <v>0</v>
      </c>
      <c r="F493" s="248" t="n">
        <v>0</v>
      </c>
      <c r="G493" s="250" t="n">
        <f aca="false">MAX(0,E493-F493)</f>
        <v>0</v>
      </c>
    </row>
    <row r="494" customFormat="false" ht="15" hidden="false" customHeight="false" outlineLevel="0" collapsed="false">
      <c r="B494" s="51" t="s">
        <v>126</v>
      </c>
      <c r="C494" s="247" t="n">
        <v>211380</v>
      </c>
      <c r="D494" s="135" t="n">
        <v>0.7</v>
      </c>
      <c r="E494" s="248" t="n">
        <f aca="false">C494*D494*$H$38</f>
        <v>0</v>
      </c>
      <c r="F494" s="248" t="n">
        <v>0</v>
      </c>
      <c r="G494" s="250" t="n">
        <f aca="false">MAX(0,E494-F494)</f>
        <v>0</v>
      </c>
    </row>
    <row r="495" customFormat="false" ht="15" hidden="false" customHeight="false" outlineLevel="0" collapsed="false">
      <c r="B495" s="123" t="s">
        <v>155</v>
      </c>
      <c r="C495" s="251" t="n">
        <f aca="false">SUM(C490:C494)</f>
        <v>1765842</v>
      </c>
      <c r="D495" s="140" t="n">
        <f aca="false">E495/C495</f>
        <v>0.198123671313742</v>
      </c>
      <c r="E495" s="251" t="n">
        <f aca="false">SUM(E490:E494)</f>
        <v>349855.1</v>
      </c>
      <c r="F495" s="251" t="n">
        <f aca="false">SUM(F490:F494)</f>
        <v>302400</v>
      </c>
      <c r="G495" s="252" t="n">
        <f aca="false">SUM(G490:G494)</f>
        <v>47455.0999999999</v>
      </c>
    </row>
    <row r="497" customFormat="false" ht="15" hidden="false" customHeight="false" outlineLevel="0" collapsed="false">
      <c r="B497" s="47" t="s">
        <v>508</v>
      </c>
      <c r="C497" s="253" t="n">
        <f aca="false">MAX(0,-MIN(②시니어_CF!$E$159:$EF$159))</f>
        <v>161611.764449341</v>
      </c>
    </row>
    <row r="498" customFormat="false" ht="15" hidden="false" customHeight="false" outlineLevel="0" collapsed="false">
      <c r="B498" s="51" t="s">
        <v>509</v>
      </c>
      <c r="C498" s="250" t="n">
        <f aca="false">$E$438</f>
        <v>79364.4911022626</v>
      </c>
    </row>
    <row r="499" customFormat="false" ht="15" hidden="false" customHeight="false" outlineLevel="0" collapsed="false">
      <c r="B499" s="254" t="s">
        <v>510</v>
      </c>
      <c r="C499" s="255" t="n">
        <f aca="false">C498+C497</f>
        <v>240976.255551603</v>
      </c>
    </row>
    <row r="501" customFormat="false" ht="15" hidden="false" customHeight="false" outlineLevel="0" collapsed="false">
      <c r="B501" s="32" t="s">
        <v>122</v>
      </c>
    </row>
    <row r="502" customFormat="false" ht="15" hidden="false" customHeight="false" outlineLevel="0" collapsed="false">
      <c r="B502" s="108" t="s">
        <v>121</v>
      </c>
      <c r="C502" s="109" t="s">
        <v>484</v>
      </c>
      <c r="D502" s="109" t="s">
        <v>485</v>
      </c>
      <c r="E502" s="109" t="s">
        <v>505</v>
      </c>
      <c r="F502" s="109" t="s">
        <v>487</v>
      </c>
      <c r="G502" s="110" t="s">
        <v>488</v>
      </c>
      <c r="H502" s="109" t="s">
        <v>489</v>
      </c>
      <c r="I502" s="109" t="s">
        <v>490</v>
      </c>
      <c r="J502" s="109" t="s">
        <v>491</v>
      </c>
      <c r="K502" s="109" t="s">
        <v>492</v>
      </c>
      <c r="L502" s="110" t="s">
        <v>493</v>
      </c>
      <c r="M502" s="113" t="s">
        <v>494</v>
      </c>
    </row>
    <row r="503" customFormat="false" ht="15" hidden="false" customHeight="false" outlineLevel="0" collapsed="false">
      <c r="B503" s="143" t="s">
        <v>511</v>
      </c>
      <c r="C503" s="242" t="n">
        <f aca="false">$E$16</f>
        <v>47907</v>
      </c>
      <c r="D503" s="229" t="n">
        <f aca="false">E503</f>
        <v>26100.305</v>
      </c>
      <c r="E503" s="229" t="n">
        <f aca="false">$G$490*F503</f>
        <v>26100.305</v>
      </c>
      <c r="F503" s="135" t="n">
        <v>0.55</v>
      </c>
      <c r="G503" s="119" t="n">
        <f aca="false">IFERROR((SUM($E$503:E503)+$F$490)/$C$490,0)</f>
        <v>0.657272720906455</v>
      </c>
      <c r="H503" s="242" t="n">
        <f aca="false">$E$22</f>
        <v>49734</v>
      </c>
      <c r="I503" s="243" t="s">
        <v>499</v>
      </c>
      <c r="J503" s="135" t="n">
        <v>0.01</v>
      </c>
      <c r="K503" s="135" t="n">
        <v>0.045</v>
      </c>
      <c r="L503" s="81" t="n">
        <f aca="false">K503+J503/(($E$17+$E$19+$E$21)/12)</f>
        <v>0.0469672131147541</v>
      </c>
      <c r="M503" s="256" t="s">
        <v>500</v>
      </c>
    </row>
    <row r="504" customFormat="false" ht="15" hidden="false" customHeight="false" outlineLevel="0" collapsed="false">
      <c r="B504" s="143" t="s">
        <v>512</v>
      </c>
      <c r="C504" s="242" t="n">
        <f aca="false">$E$16</f>
        <v>47907</v>
      </c>
      <c r="D504" s="229" t="n">
        <f aca="false">E504</f>
        <v>21354.795</v>
      </c>
      <c r="E504" s="229" t="n">
        <f aca="false">$G$490*F504</f>
        <v>21354.795</v>
      </c>
      <c r="F504" s="135" t="n">
        <v>0.45</v>
      </c>
      <c r="G504" s="119" t="n">
        <f aca="false">IFERROR((SUM($E$503:E504)+$F$490)/$C$490,0)</f>
        <v>0.7</v>
      </c>
      <c r="H504" s="242" t="n">
        <f aca="false">$E$22</f>
        <v>49734</v>
      </c>
      <c r="I504" s="243" t="s">
        <v>499</v>
      </c>
      <c r="J504" s="135" t="n">
        <v>0.01</v>
      </c>
      <c r="K504" s="135" t="n">
        <v>0.065</v>
      </c>
      <c r="L504" s="81" t="n">
        <f aca="false">K504+J504/(($E$17+$E$19+$E$21)/12)</f>
        <v>0.0669672131147541</v>
      </c>
      <c r="M504" s="256" t="s">
        <v>500</v>
      </c>
    </row>
    <row r="505" customFormat="false" ht="15" hidden="false" customHeight="false" outlineLevel="0" collapsed="false">
      <c r="B505" s="143" t="s">
        <v>513</v>
      </c>
      <c r="C505" s="242" t="n">
        <f aca="false">$E$16</f>
        <v>47907</v>
      </c>
      <c r="D505" s="229" t="n">
        <f aca="false">E505</f>
        <v>0</v>
      </c>
      <c r="E505" s="229" t="n">
        <f aca="false">$G$490*F505</f>
        <v>0</v>
      </c>
      <c r="F505" s="119" t="n">
        <f aca="false">1-F503-F504</f>
        <v>0</v>
      </c>
      <c r="G505" s="119" t="n">
        <f aca="false">IFERROR((SUM($E$503:E505)+$F$490)/$C$490,0)</f>
        <v>0.7</v>
      </c>
      <c r="H505" s="242" t="n">
        <f aca="false">$E$22</f>
        <v>49734</v>
      </c>
      <c r="I505" s="243" t="s">
        <v>499</v>
      </c>
      <c r="J505" s="135" t="n">
        <v>0.01</v>
      </c>
      <c r="K505" s="135" t="n">
        <v>0.07</v>
      </c>
      <c r="L505" s="81" t="n">
        <f aca="false">K505+J505/(($E$17+$E$19+$E$21)/12)</f>
        <v>0.0719672131147541</v>
      </c>
      <c r="M505" s="256" t="s">
        <v>500</v>
      </c>
    </row>
    <row r="506" customFormat="false" ht="15" hidden="false" customHeight="false" outlineLevel="0" collapsed="false">
      <c r="B506" s="123" t="s">
        <v>155</v>
      </c>
      <c r="C506" s="95"/>
      <c r="D506" s="245" t="n">
        <f aca="false">SUM(D503:D505)</f>
        <v>47455.0999999999</v>
      </c>
      <c r="E506" s="245" t="n">
        <f aca="false">SUM(E503:E505)</f>
        <v>47455.0999999999</v>
      </c>
      <c r="F506" s="140" t="n">
        <f aca="false">SUM(F503:F505)</f>
        <v>1</v>
      </c>
      <c r="G506" s="140" t="n">
        <f aca="false">G505</f>
        <v>0.7</v>
      </c>
      <c r="H506" s="95"/>
      <c r="I506" s="95"/>
      <c r="J506" s="140" t="n">
        <f aca="false">IFERROR(SUMPRODUCT(E503:E505,J503:J505)/E506,0)</f>
        <v>0.01</v>
      </c>
      <c r="K506" s="140" t="n">
        <f aca="false">IFERROR(SUMPRODUCT(E503:E505,K503:K505)/E506,0)</f>
        <v>0.054</v>
      </c>
      <c r="L506" s="140" t="n">
        <f aca="false">IFERROR(SUMPRODUCT(E503:E505,L503:L505)/E506,0)</f>
        <v>0.0559672131147541</v>
      </c>
      <c r="M506" s="246"/>
    </row>
    <row r="508" customFormat="false" ht="15" hidden="false" customHeight="false" outlineLevel="0" collapsed="false">
      <c r="B508" s="32" t="s">
        <v>123</v>
      </c>
    </row>
    <row r="509" customFormat="false" ht="15" hidden="false" customHeight="false" outlineLevel="0" collapsed="false">
      <c r="B509" s="108" t="s">
        <v>121</v>
      </c>
      <c r="C509" s="109" t="s">
        <v>484</v>
      </c>
      <c r="D509" s="109" t="s">
        <v>485</v>
      </c>
      <c r="E509" s="109" t="s">
        <v>505</v>
      </c>
      <c r="F509" s="109" t="s">
        <v>487</v>
      </c>
      <c r="G509" s="110" t="s">
        <v>488</v>
      </c>
      <c r="H509" s="109" t="s">
        <v>489</v>
      </c>
      <c r="I509" s="109" t="s">
        <v>490</v>
      </c>
      <c r="J509" s="109" t="s">
        <v>491</v>
      </c>
      <c r="K509" s="109" t="s">
        <v>492</v>
      </c>
      <c r="L509" s="110" t="s">
        <v>493</v>
      </c>
      <c r="M509" s="113" t="s">
        <v>494</v>
      </c>
    </row>
    <row r="510" customFormat="false" ht="15" hidden="false" customHeight="false" outlineLevel="0" collapsed="false">
      <c r="B510" s="143" t="s">
        <v>511</v>
      </c>
      <c r="C510" s="242" t="n">
        <f aca="false">$E$16</f>
        <v>47907</v>
      </c>
      <c r="D510" s="229" t="n">
        <f aca="false">E510</f>
        <v>0</v>
      </c>
      <c r="E510" s="229" t="n">
        <f aca="false">$G$491*F510</f>
        <v>0</v>
      </c>
      <c r="F510" s="135" t="n">
        <v>0.85</v>
      </c>
      <c r="G510" s="119" t="n">
        <f aca="false">IFERROR((SUM($E$510:E510)+$F$491)/$C$491,0)</f>
        <v>0</v>
      </c>
      <c r="H510" s="242" t="n">
        <f aca="false">$E$22</f>
        <v>49734</v>
      </c>
      <c r="I510" s="243" t="s">
        <v>499</v>
      </c>
      <c r="J510" s="135" t="n">
        <v>0.01</v>
      </c>
      <c r="K510" s="135" t="n">
        <v>0.05</v>
      </c>
      <c r="L510" s="81" t="n">
        <f aca="false">K510+J510/(($E$17+$E$19+$E$21)/12)</f>
        <v>0.0519672131147541</v>
      </c>
      <c r="M510" s="256" t="s">
        <v>500</v>
      </c>
    </row>
    <row r="511" customFormat="false" ht="15" hidden="false" customHeight="false" outlineLevel="0" collapsed="false">
      <c r="B511" s="143" t="s">
        <v>512</v>
      </c>
      <c r="C511" s="242" t="n">
        <f aca="false">$E$16</f>
        <v>47907</v>
      </c>
      <c r="D511" s="229" t="n">
        <f aca="false">E511</f>
        <v>0</v>
      </c>
      <c r="E511" s="229" t="n">
        <f aca="false">$G$491*F511</f>
        <v>0</v>
      </c>
      <c r="F511" s="135" t="n">
        <v>0.15</v>
      </c>
      <c r="G511" s="119" t="n">
        <f aca="false">IFERROR((SUM($E$510:E511)+$F$491)/$C$491,0)</f>
        <v>0</v>
      </c>
      <c r="H511" s="242" t="n">
        <f aca="false">$E$22</f>
        <v>49734</v>
      </c>
      <c r="I511" s="243" t="s">
        <v>499</v>
      </c>
      <c r="J511" s="135" t="n">
        <v>0.01</v>
      </c>
      <c r="K511" s="135" t="n">
        <v>0.065</v>
      </c>
      <c r="L511" s="81" t="n">
        <f aca="false">K511+J511/(($E$17+$E$19+$E$21)/12)</f>
        <v>0.0669672131147541</v>
      </c>
      <c r="M511" s="256" t="s">
        <v>500</v>
      </c>
    </row>
    <row r="512" customFormat="false" ht="15" hidden="false" customHeight="false" outlineLevel="0" collapsed="false">
      <c r="B512" s="143" t="s">
        <v>513</v>
      </c>
      <c r="C512" s="242" t="n">
        <f aca="false">$E$16</f>
        <v>47907</v>
      </c>
      <c r="D512" s="229" t="n">
        <f aca="false">E512</f>
        <v>0</v>
      </c>
      <c r="E512" s="229" t="n">
        <f aca="false">$G$491*F512</f>
        <v>0</v>
      </c>
      <c r="F512" s="119" t="n">
        <f aca="false">1-F510-F511</f>
        <v>0</v>
      </c>
      <c r="G512" s="119" t="n">
        <f aca="false">IFERROR((SUM($E$510:E512)+$F$491)/$C$491,0)</f>
        <v>0</v>
      </c>
      <c r="H512" s="242" t="n">
        <f aca="false">$E$22</f>
        <v>49734</v>
      </c>
      <c r="I512" s="243" t="s">
        <v>499</v>
      </c>
      <c r="J512" s="135" t="n">
        <v>0.01</v>
      </c>
      <c r="K512" s="135" t="n">
        <v>0.07</v>
      </c>
      <c r="L512" s="81" t="n">
        <f aca="false">K512+J512/(($E$17+$E$19+$E$21)/12)</f>
        <v>0.0719672131147541</v>
      </c>
      <c r="M512" s="256" t="s">
        <v>500</v>
      </c>
    </row>
    <row r="513" customFormat="false" ht="15" hidden="false" customHeight="false" outlineLevel="0" collapsed="false">
      <c r="B513" s="123" t="s">
        <v>155</v>
      </c>
      <c r="C513" s="95"/>
      <c r="D513" s="245" t="n">
        <f aca="false">SUM(D510:D512)</f>
        <v>0</v>
      </c>
      <c r="E513" s="245" t="n">
        <f aca="false">SUM(E510:E512)</f>
        <v>0</v>
      </c>
      <c r="F513" s="140" t="n">
        <f aca="false">SUM(F510:F512)</f>
        <v>1</v>
      </c>
      <c r="G513" s="140" t="n">
        <f aca="false">G512</f>
        <v>0</v>
      </c>
      <c r="H513" s="95"/>
      <c r="I513" s="95"/>
      <c r="J513" s="140" t="n">
        <f aca="false">IFERROR(SUMPRODUCT(E510:E512,J510:J512)/E513,0)</f>
        <v>0</v>
      </c>
      <c r="K513" s="140" t="n">
        <f aca="false">IFERROR(SUMPRODUCT(E510:E512,K510:K512)/E513,0)</f>
        <v>0</v>
      </c>
      <c r="L513" s="140" t="n">
        <f aca="false">IFERROR(SUMPRODUCT(E510:E512,L510:L512)/E513,0)</f>
        <v>0</v>
      </c>
      <c r="M513" s="246"/>
    </row>
    <row r="515" customFormat="false" ht="15" hidden="false" customHeight="false" outlineLevel="0" collapsed="false">
      <c r="B515" s="32" t="s">
        <v>124</v>
      </c>
    </row>
    <row r="516" customFormat="false" ht="15" hidden="false" customHeight="false" outlineLevel="0" collapsed="false">
      <c r="B516" s="108" t="s">
        <v>121</v>
      </c>
      <c r="C516" s="109" t="s">
        <v>484</v>
      </c>
      <c r="D516" s="109" t="s">
        <v>485</v>
      </c>
      <c r="E516" s="109" t="s">
        <v>505</v>
      </c>
      <c r="F516" s="109" t="s">
        <v>487</v>
      </c>
      <c r="G516" s="110" t="s">
        <v>488</v>
      </c>
      <c r="H516" s="109" t="s">
        <v>489</v>
      </c>
      <c r="I516" s="109" t="s">
        <v>490</v>
      </c>
      <c r="J516" s="109" t="s">
        <v>491</v>
      </c>
      <c r="K516" s="109" t="s">
        <v>492</v>
      </c>
      <c r="L516" s="110" t="s">
        <v>493</v>
      </c>
      <c r="M516" s="113" t="s">
        <v>494</v>
      </c>
    </row>
    <row r="517" customFormat="false" ht="15" hidden="false" customHeight="false" outlineLevel="0" collapsed="false">
      <c r="B517" s="143" t="s">
        <v>511</v>
      </c>
      <c r="C517" s="242" t="n">
        <f aca="false">$E$16</f>
        <v>47907</v>
      </c>
      <c r="D517" s="229" t="n">
        <f aca="false">E517</f>
        <v>0</v>
      </c>
      <c r="E517" s="229" t="n">
        <f aca="false">$G$492*F517</f>
        <v>0</v>
      </c>
      <c r="F517" s="135" t="n">
        <v>0.85</v>
      </c>
      <c r="G517" s="119" t="n">
        <f aca="false">IFERROR((SUM($E$517:E517)+$F$492)/$C$492,0)</f>
        <v>0</v>
      </c>
      <c r="H517" s="242" t="n">
        <f aca="false">$E$22</f>
        <v>49734</v>
      </c>
      <c r="I517" s="243" t="s">
        <v>499</v>
      </c>
      <c r="J517" s="135" t="n">
        <v>0.01</v>
      </c>
      <c r="K517" s="135" t="n">
        <v>0.05</v>
      </c>
      <c r="L517" s="81" t="n">
        <f aca="false">K517+J517/(($E$17+$E$19+$E$21)/12)</f>
        <v>0.0519672131147541</v>
      </c>
      <c r="M517" s="256" t="s">
        <v>500</v>
      </c>
    </row>
    <row r="518" customFormat="false" ht="15" hidden="false" customHeight="false" outlineLevel="0" collapsed="false">
      <c r="B518" s="143" t="s">
        <v>512</v>
      </c>
      <c r="C518" s="242" t="n">
        <f aca="false">$E$16</f>
        <v>47907</v>
      </c>
      <c r="D518" s="229" t="n">
        <f aca="false">E518</f>
        <v>0</v>
      </c>
      <c r="E518" s="229" t="n">
        <f aca="false">$G$492*F518</f>
        <v>0</v>
      </c>
      <c r="F518" s="135" t="n">
        <v>0.15</v>
      </c>
      <c r="G518" s="119" t="n">
        <f aca="false">IFERROR((SUM($E$517:E518)+$F$492)/$C$492,0)</f>
        <v>0</v>
      </c>
      <c r="H518" s="242" t="n">
        <f aca="false">$E$22</f>
        <v>49734</v>
      </c>
      <c r="I518" s="243" t="s">
        <v>499</v>
      </c>
      <c r="J518" s="135" t="n">
        <v>0.01</v>
      </c>
      <c r="K518" s="135" t="n">
        <v>0.065</v>
      </c>
      <c r="L518" s="81" t="n">
        <f aca="false">K518+J518/(($E$17+$E$19+$E$21)/12)</f>
        <v>0.0669672131147541</v>
      </c>
      <c r="M518" s="256" t="s">
        <v>500</v>
      </c>
    </row>
    <row r="519" customFormat="false" ht="15" hidden="false" customHeight="false" outlineLevel="0" collapsed="false">
      <c r="B519" s="143" t="s">
        <v>513</v>
      </c>
      <c r="C519" s="242" t="n">
        <f aca="false">$E$16</f>
        <v>47907</v>
      </c>
      <c r="D519" s="229" t="n">
        <f aca="false">E519</f>
        <v>0</v>
      </c>
      <c r="E519" s="229" t="n">
        <f aca="false">$G$492*F519</f>
        <v>0</v>
      </c>
      <c r="F519" s="119" t="n">
        <f aca="false">1-F517-F518</f>
        <v>0</v>
      </c>
      <c r="G519" s="119" t="n">
        <f aca="false">IFERROR((SUM($E$517:E519)+$F$492)/$C$492,0)</f>
        <v>0</v>
      </c>
      <c r="H519" s="242" t="n">
        <f aca="false">$E$22</f>
        <v>49734</v>
      </c>
      <c r="I519" s="243" t="s">
        <v>499</v>
      </c>
      <c r="J519" s="135" t="n">
        <v>0.01</v>
      </c>
      <c r="K519" s="135" t="n">
        <v>0.07</v>
      </c>
      <c r="L519" s="81" t="n">
        <f aca="false">K519+J519/(($E$17+$E$19+$E$21)/12)</f>
        <v>0.0719672131147541</v>
      </c>
      <c r="M519" s="256" t="s">
        <v>500</v>
      </c>
    </row>
    <row r="520" customFormat="false" ht="15" hidden="false" customHeight="false" outlineLevel="0" collapsed="false">
      <c r="B520" s="123" t="s">
        <v>155</v>
      </c>
      <c r="C520" s="95"/>
      <c r="D520" s="245" t="n">
        <f aca="false">SUM(D517:D519)</f>
        <v>0</v>
      </c>
      <c r="E520" s="245" t="n">
        <f aca="false">SUM(E517:E519)</f>
        <v>0</v>
      </c>
      <c r="F520" s="140" t="n">
        <f aca="false">SUM(F517:F519)</f>
        <v>1</v>
      </c>
      <c r="G520" s="140" t="n">
        <f aca="false">G519</f>
        <v>0</v>
      </c>
      <c r="H520" s="95"/>
      <c r="I520" s="95"/>
      <c r="J520" s="140" t="n">
        <f aca="false">IFERROR(SUMPRODUCT(E517:E519,J517:J519)/E520,0)</f>
        <v>0</v>
      </c>
      <c r="K520" s="140" t="n">
        <f aca="false">IFERROR(SUMPRODUCT(E517:E519,K517:K519)/E520,0)</f>
        <v>0</v>
      </c>
      <c r="L520" s="140" t="n">
        <f aca="false">IFERROR(SUMPRODUCT(E517:E519,L517:L519)/E520,0)</f>
        <v>0</v>
      </c>
      <c r="M520" s="246"/>
    </row>
    <row r="522" customFormat="false" ht="15" hidden="false" customHeight="false" outlineLevel="0" collapsed="false">
      <c r="B522" s="32" t="s">
        <v>125</v>
      </c>
    </row>
    <row r="523" customFormat="false" ht="15" hidden="false" customHeight="false" outlineLevel="0" collapsed="false">
      <c r="B523" s="108" t="s">
        <v>121</v>
      </c>
      <c r="C523" s="109" t="s">
        <v>484</v>
      </c>
      <c r="D523" s="109" t="s">
        <v>485</v>
      </c>
      <c r="E523" s="109" t="s">
        <v>505</v>
      </c>
      <c r="F523" s="109" t="s">
        <v>487</v>
      </c>
      <c r="G523" s="110" t="s">
        <v>488</v>
      </c>
      <c r="H523" s="109" t="s">
        <v>489</v>
      </c>
      <c r="I523" s="109" t="s">
        <v>490</v>
      </c>
      <c r="J523" s="109" t="s">
        <v>491</v>
      </c>
      <c r="K523" s="109" t="s">
        <v>492</v>
      </c>
      <c r="L523" s="110" t="s">
        <v>493</v>
      </c>
      <c r="M523" s="113" t="s">
        <v>494</v>
      </c>
    </row>
    <row r="524" customFormat="false" ht="15" hidden="false" customHeight="false" outlineLevel="0" collapsed="false">
      <c r="B524" s="143" t="s">
        <v>511</v>
      </c>
      <c r="C524" s="242" t="n">
        <f aca="false">$E$16</f>
        <v>47907</v>
      </c>
      <c r="D524" s="229" t="n">
        <f aca="false">E524</f>
        <v>0</v>
      </c>
      <c r="E524" s="229" t="n">
        <f aca="false">$G$493*F524</f>
        <v>0</v>
      </c>
      <c r="F524" s="135" t="n">
        <v>0.85</v>
      </c>
      <c r="G524" s="119" t="n">
        <f aca="false">IFERROR((SUM($E$524:E524)+$F$493)/$C$493,0)</f>
        <v>0</v>
      </c>
      <c r="H524" s="242" t="n">
        <f aca="false">$E$22</f>
        <v>49734</v>
      </c>
      <c r="I524" s="243" t="s">
        <v>499</v>
      </c>
      <c r="J524" s="135" t="n">
        <v>0.01</v>
      </c>
      <c r="K524" s="135" t="n">
        <v>0.05</v>
      </c>
      <c r="L524" s="81" t="n">
        <f aca="false">K524+J524/(($E$17+$E$19+$E$21)/12)</f>
        <v>0.0519672131147541</v>
      </c>
      <c r="M524" s="256" t="s">
        <v>500</v>
      </c>
    </row>
    <row r="525" customFormat="false" ht="15" hidden="false" customHeight="false" outlineLevel="0" collapsed="false">
      <c r="B525" s="143" t="s">
        <v>512</v>
      </c>
      <c r="C525" s="242" t="n">
        <f aca="false">$E$16</f>
        <v>47907</v>
      </c>
      <c r="D525" s="229" t="n">
        <f aca="false">E525</f>
        <v>0</v>
      </c>
      <c r="E525" s="229" t="n">
        <f aca="false">$G$493*F525</f>
        <v>0</v>
      </c>
      <c r="F525" s="135" t="n">
        <v>0.15</v>
      </c>
      <c r="G525" s="119" t="n">
        <f aca="false">IFERROR((SUM($E$524:E525)+$F$493)/$C$493,0)</f>
        <v>0</v>
      </c>
      <c r="H525" s="242" t="n">
        <f aca="false">$E$22</f>
        <v>49734</v>
      </c>
      <c r="I525" s="243" t="s">
        <v>499</v>
      </c>
      <c r="J525" s="135" t="n">
        <v>0.01</v>
      </c>
      <c r="K525" s="135" t="n">
        <v>0.065</v>
      </c>
      <c r="L525" s="81" t="n">
        <f aca="false">K525+J525/(($E$17+$E$19+$E$21)/12)</f>
        <v>0.0669672131147541</v>
      </c>
      <c r="M525" s="256" t="s">
        <v>500</v>
      </c>
    </row>
    <row r="526" customFormat="false" ht="15" hidden="false" customHeight="false" outlineLevel="0" collapsed="false">
      <c r="B526" s="143" t="s">
        <v>513</v>
      </c>
      <c r="C526" s="242" t="n">
        <f aca="false">$E$16</f>
        <v>47907</v>
      </c>
      <c r="D526" s="229" t="n">
        <f aca="false">E526</f>
        <v>0</v>
      </c>
      <c r="E526" s="229" t="n">
        <f aca="false">$G$493*F526</f>
        <v>0</v>
      </c>
      <c r="F526" s="119" t="n">
        <f aca="false">1-F524-F525</f>
        <v>0</v>
      </c>
      <c r="G526" s="119" t="n">
        <f aca="false">IFERROR((SUM($E$524:E526)+$F$493)/$C$493,0)</f>
        <v>0</v>
      </c>
      <c r="H526" s="242" t="n">
        <f aca="false">$E$22</f>
        <v>49734</v>
      </c>
      <c r="I526" s="243" t="s">
        <v>499</v>
      </c>
      <c r="J526" s="135" t="n">
        <v>0.01</v>
      </c>
      <c r="K526" s="135" t="n">
        <v>0.07</v>
      </c>
      <c r="L526" s="81" t="n">
        <f aca="false">K526+J526/(($E$17+$E$19+$E$21)/12)</f>
        <v>0.0719672131147541</v>
      </c>
      <c r="M526" s="256" t="s">
        <v>500</v>
      </c>
    </row>
    <row r="527" customFormat="false" ht="15" hidden="false" customHeight="false" outlineLevel="0" collapsed="false">
      <c r="B527" s="123" t="s">
        <v>155</v>
      </c>
      <c r="C527" s="95"/>
      <c r="D527" s="245" t="n">
        <f aca="false">SUM(D524:D526)</f>
        <v>0</v>
      </c>
      <c r="E527" s="245" t="n">
        <f aca="false">SUM(E524:E526)</f>
        <v>0</v>
      </c>
      <c r="F527" s="140" t="n">
        <f aca="false">SUM(F524:F526)</f>
        <v>1</v>
      </c>
      <c r="G527" s="140" t="n">
        <f aca="false">G526</f>
        <v>0</v>
      </c>
      <c r="H527" s="95"/>
      <c r="I527" s="95"/>
      <c r="J527" s="140" t="n">
        <f aca="false">IFERROR(SUMPRODUCT(E524:E526,J524:J526)/E527,0)</f>
        <v>0</v>
      </c>
      <c r="K527" s="140" t="n">
        <f aca="false">IFERROR(SUMPRODUCT(E524:E526,K524:K526)/E527,0)</f>
        <v>0</v>
      </c>
      <c r="L527" s="140" t="n">
        <f aca="false">IFERROR(SUMPRODUCT(E524:E526,L524:L526)/E527,0)</f>
        <v>0</v>
      </c>
      <c r="M527" s="246"/>
    </row>
    <row r="529" customFormat="false" ht="15" hidden="false" customHeight="false" outlineLevel="0" collapsed="false">
      <c r="B529" s="32" t="s">
        <v>126</v>
      </c>
    </row>
    <row r="530" customFormat="false" ht="15" hidden="false" customHeight="false" outlineLevel="0" collapsed="false">
      <c r="B530" s="108" t="s">
        <v>121</v>
      </c>
      <c r="C530" s="109" t="s">
        <v>484</v>
      </c>
      <c r="D530" s="109" t="s">
        <v>485</v>
      </c>
      <c r="E530" s="109" t="s">
        <v>505</v>
      </c>
      <c r="F530" s="109" t="s">
        <v>487</v>
      </c>
      <c r="G530" s="110" t="s">
        <v>488</v>
      </c>
      <c r="H530" s="109" t="s">
        <v>489</v>
      </c>
      <c r="I530" s="109" t="s">
        <v>490</v>
      </c>
      <c r="J530" s="109" t="s">
        <v>491</v>
      </c>
      <c r="K530" s="109" t="s">
        <v>492</v>
      </c>
      <c r="L530" s="110" t="s">
        <v>493</v>
      </c>
      <c r="M530" s="113" t="s">
        <v>494</v>
      </c>
    </row>
    <row r="531" customFormat="false" ht="15" hidden="false" customHeight="false" outlineLevel="0" collapsed="false">
      <c r="B531" s="143" t="s">
        <v>511</v>
      </c>
      <c r="C531" s="242" t="n">
        <f aca="false">$E$16</f>
        <v>47907</v>
      </c>
      <c r="D531" s="229" t="n">
        <f aca="false">E531</f>
        <v>0</v>
      </c>
      <c r="E531" s="229" t="n">
        <f aca="false">$G$494*F531</f>
        <v>0</v>
      </c>
      <c r="F531" s="135" t="n">
        <v>0.85</v>
      </c>
      <c r="G531" s="119" t="n">
        <f aca="false">IFERROR((SUM($E$531:E531)+$F$494)/$C$494,0)</f>
        <v>0</v>
      </c>
      <c r="H531" s="242" t="n">
        <f aca="false">$E$22</f>
        <v>49734</v>
      </c>
      <c r="I531" s="243" t="s">
        <v>499</v>
      </c>
      <c r="J531" s="135" t="n">
        <v>0.01</v>
      </c>
      <c r="K531" s="135" t="n">
        <v>0.05</v>
      </c>
      <c r="L531" s="81" t="n">
        <f aca="false">K531+J531/(($E$17+$E$19+$E$21)/12)</f>
        <v>0.0519672131147541</v>
      </c>
      <c r="M531" s="256" t="s">
        <v>500</v>
      </c>
    </row>
    <row r="532" customFormat="false" ht="15" hidden="false" customHeight="false" outlineLevel="0" collapsed="false">
      <c r="B532" s="143" t="s">
        <v>512</v>
      </c>
      <c r="C532" s="242" t="n">
        <f aca="false">$E$16</f>
        <v>47907</v>
      </c>
      <c r="D532" s="229" t="n">
        <f aca="false">E532</f>
        <v>0</v>
      </c>
      <c r="E532" s="229" t="n">
        <f aca="false">$G$494*F532</f>
        <v>0</v>
      </c>
      <c r="F532" s="135" t="n">
        <v>0.15</v>
      </c>
      <c r="G532" s="119" t="n">
        <f aca="false">IFERROR((SUM($E$531:E532)+$F$494)/$C$494,0)</f>
        <v>0</v>
      </c>
      <c r="H532" s="242" t="n">
        <f aca="false">$E$22</f>
        <v>49734</v>
      </c>
      <c r="I532" s="243" t="s">
        <v>499</v>
      </c>
      <c r="J532" s="135" t="n">
        <v>0.01</v>
      </c>
      <c r="K532" s="135" t="n">
        <v>0.065</v>
      </c>
      <c r="L532" s="81" t="n">
        <f aca="false">K532+J532/(($E$17+$E$19+$E$21)/12)</f>
        <v>0.0669672131147541</v>
      </c>
      <c r="M532" s="256" t="s">
        <v>500</v>
      </c>
    </row>
    <row r="533" customFormat="false" ht="15" hidden="false" customHeight="false" outlineLevel="0" collapsed="false">
      <c r="B533" s="143" t="s">
        <v>513</v>
      </c>
      <c r="C533" s="242" t="n">
        <f aca="false">$E$16</f>
        <v>47907</v>
      </c>
      <c r="D533" s="229" t="n">
        <f aca="false">E533</f>
        <v>0</v>
      </c>
      <c r="E533" s="229" t="n">
        <f aca="false">$G$494*F533</f>
        <v>0</v>
      </c>
      <c r="F533" s="119" t="n">
        <f aca="false">1-F531-F532</f>
        <v>0</v>
      </c>
      <c r="G533" s="119" t="n">
        <f aca="false">IFERROR((SUM($E$531:E533)+$F$494)/$C$494,0)</f>
        <v>0</v>
      </c>
      <c r="H533" s="242" t="n">
        <f aca="false">$E$22</f>
        <v>49734</v>
      </c>
      <c r="I533" s="243" t="s">
        <v>499</v>
      </c>
      <c r="J533" s="135" t="n">
        <v>0.01</v>
      </c>
      <c r="K533" s="135" t="n">
        <v>0.07</v>
      </c>
      <c r="L533" s="81" t="n">
        <f aca="false">K533+J533/(($E$17+$E$19+$E$21)/12)</f>
        <v>0.0719672131147541</v>
      </c>
      <c r="M533" s="256" t="s">
        <v>500</v>
      </c>
    </row>
    <row r="534" customFormat="false" ht="15" hidden="false" customHeight="false" outlineLevel="0" collapsed="false">
      <c r="B534" s="123" t="s">
        <v>155</v>
      </c>
      <c r="C534" s="95"/>
      <c r="D534" s="245" t="n">
        <f aca="false">SUM(D531:D533)</f>
        <v>0</v>
      </c>
      <c r="E534" s="245" t="n">
        <f aca="false">SUM(E531:E533)</f>
        <v>0</v>
      </c>
      <c r="F534" s="140" t="n">
        <f aca="false">SUM(F531:F533)</f>
        <v>1</v>
      </c>
      <c r="G534" s="140" t="n">
        <f aca="false">G533</f>
        <v>0</v>
      </c>
      <c r="H534" s="95"/>
      <c r="I534" s="95"/>
      <c r="J534" s="140" t="n">
        <f aca="false">IFERROR(SUMPRODUCT(E531:E533,J531:J533)/E534,0)</f>
        <v>0</v>
      </c>
      <c r="K534" s="140" t="n">
        <f aca="false">IFERROR(SUMPRODUCT(E531:E533,K531:K533)/E534,0)</f>
        <v>0</v>
      </c>
      <c r="L534" s="140" t="n">
        <f aca="false">IFERROR(SUMPRODUCT(E531:E533,L531:L533)/E534,0)</f>
        <v>0</v>
      </c>
      <c r="M534" s="246"/>
    </row>
    <row r="536" customFormat="false" ht="15" hidden="false" customHeight="false" outlineLevel="0" collapsed="false">
      <c r="B536" s="131" t="s">
        <v>514</v>
      </c>
      <c r="C536" s="48"/>
      <c r="D536" s="48"/>
      <c r="E536" s="257" t="n">
        <f aca="false">SUM(E503:E505)+SUM(E510:E512)+SUM(E517:E519)+SUM(E524:E526)+SUM(E531:E533)</f>
        <v>47455.0999999999</v>
      </c>
    </row>
    <row r="537" customFormat="false" ht="15" hidden="false" customHeight="false" outlineLevel="0" collapsed="false">
      <c r="B537" s="51" t="s">
        <v>515</v>
      </c>
      <c r="C537" s="52"/>
      <c r="D537" s="52"/>
      <c r="E537" s="137" t="n">
        <f aca="false">SUMPRODUCT(E503:E505,K503:K505)+SUMPRODUCT(E510:E512,K510:K512)+SUMPRODUCT(E517:E519,K517:K519)+SUMPRODUCT(E524:E526,K524:K526)+SUMPRODUCT(E531:E533,K531:K533)</f>
        <v>2562.5754</v>
      </c>
    </row>
    <row r="538" customFormat="false" ht="15" hidden="false" customHeight="false" outlineLevel="0" collapsed="false">
      <c r="B538" s="51" t="s">
        <v>516</v>
      </c>
      <c r="C538" s="52"/>
      <c r="D538" s="52"/>
      <c r="E538" s="137" t="n">
        <f aca="false">SUMPRODUCT(E503:E505,J503:J505)+SUMPRODUCT(E510:E512,J510:J512)+SUMPRODUCT(E517:E519,J517:J519)+SUMPRODUCT(E524:E526,J524:J526)+SUMPRODUCT(E531:E533,J531:J533)</f>
        <v>474.550999999999</v>
      </c>
    </row>
    <row r="539" customFormat="false" ht="15" hidden="false" customHeight="false" outlineLevel="0" collapsed="false">
      <c r="B539" s="57" t="s">
        <v>517</v>
      </c>
      <c r="C539" s="58"/>
      <c r="D539" s="58"/>
      <c r="E539" s="258" t="n">
        <f aca="false">$E$22</f>
        <v>49734</v>
      </c>
    </row>
    <row r="541" customFormat="false" ht="15" hidden="false" customHeight="false" outlineLevel="0" collapsed="false">
      <c r="B541" s="151" t="s">
        <v>518</v>
      </c>
    </row>
    <row r="542" customFormat="false" ht="15" hidden="false" customHeight="false" outlineLevel="0" collapsed="false">
      <c r="B542" s="108" t="s">
        <v>121</v>
      </c>
      <c r="C542" s="109" t="s">
        <v>484</v>
      </c>
      <c r="D542" s="109" t="s">
        <v>485</v>
      </c>
      <c r="E542" s="109" t="s">
        <v>505</v>
      </c>
      <c r="F542" s="109" t="s">
        <v>487</v>
      </c>
      <c r="G542" s="110" t="s">
        <v>488</v>
      </c>
      <c r="H542" s="109" t="s">
        <v>489</v>
      </c>
      <c r="I542" s="109" t="s">
        <v>490</v>
      </c>
      <c r="J542" s="109" t="s">
        <v>491</v>
      </c>
      <c r="K542" s="109" t="s">
        <v>492</v>
      </c>
      <c r="L542" s="110" t="s">
        <v>493</v>
      </c>
      <c r="M542" s="109" t="s">
        <v>494</v>
      </c>
      <c r="N542" s="109" t="s">
        <v>519</v>
      </c>
      <c r="O542" s="113" t="s">
        <v>520</v>
      </c>
    </row>
    <row r="543" customFormat="false" ht="15" hidden="false" customHeight="false" outlineLevel="0" collapsed="false">
      <c r="B543" s="51" t="s">
        <v>521</v>
      </c>
      <c r="C543" s="134" t="n">
        <v>47907</v>
      </c>
      <c r="D543" s="259" t="n">
        <v>0</v>
      </c>
      <c r="E543" s="229" t="n">
        <f aca="false">D543</f>
        <v>0</v>
      </c>
      <c r="F543" s="119" t="n">
        <f aca="false">IFERROR(E543/SUM($E$543:$E$545),0)</f>
        <v>0</v>
      </c>
      <c r="G543" s="260"/>
      <c r="H543" s="134" t="n">
        <v>50221</v>
      </c>
      <c r="I543" s="243" t="s">
        <v>499</v>
      </c>
      <c r="J543" s="260"/>
      <c r="K543" s="135" t="n">
        <v>0.046</v>
      </c>
      <c r="L543" s="81" t="n">
        <f aca="false">K543</f>
        <v>0.046</v>
      </c>
      <c r="M543" s="244" t="s">
        <v>500</v>
      </c>
      <c r="N543" s="261" t="n">
        <f aca="false">EOMONTH(C543,0)</f>
        <v>47907</v>
      </c>
      <c r="O543" s="136" t="n">
        <f aca="false">EOMONTH(H543,0)</f>
        <v>50221</v>
      </c>
    </row>
    <row r="544" customFormat="false" ht="15" hidden="false" customHeight="false" outlineLevel="0" collapsed="false">
      <c r="B544" s="51" t="s">
        <v>522</v>
      </c>
      <c r="C544" s="134" t="n">
        <v>47907</v>
      </c>
      <c r="D544" s="259" t="n">
        <v>0</v>
      </c>
      <c r="E544" s="229" t="n">
        <f aca="false">D544</f>
        <v>0</v>
      </c>
      <c r="F544" s="119" t="n">
        <f aca="false">IFERROR(E544/SUM($E$543:$E$545),0)</f>
        <v>0</v>
      </c>
      <c r="G544" s="260"/>
      <c r="H544" s="134" t="n">
        <v>48395</v>
      </c>
      <c r="I544" s="243" t="s">
        <v>499</v>
      </c>
      <c r="J544" s="260"/>
      <c r="K544" s="135" t="n">
        <v>0.046</v>
      </c>
      <c r="L544" s="81" t="n">
        <f aca="false">K544</f>
        <v>0.046</v>
      </c>
      <c r="M544" s="244" t="s">
        <v>500</v>
      </c>
      <c r="N544" s="261" t="n">
        <f aca="false">EOMONTH(C544,0)</f>
        <v>47907</v>
      </c>
      <c r="O544" s="136" t="n">
        <f aca="false">EOMONTH(H544,0)</f>
        <v>48395</v>
      </c>
    </row>
    <row r="545" customFormat="false" ht="15" hidden="false" customHeight="false" outlineLevel="0" collapsed="false">
      <c r="B545" s="51" t="s">
        <v>523</v>
      </c>
      <c r="C545" s="134" t="n">
        <v>47907</v>
      </c>
      <c r="D545" s="259" t="n">
        <v>0</v>
      </c>
      <c r="E545" s="229" t="n">
        <f aca="false">D545</f>
        <v>0</v>
      </c>
      <c r="F545" s="119" t="n">
        <f aca="false">IFERROR(E545/SUM($E$543:$E$545),0)</f>
        <v>0</v>
      </c>
      <c r="G545" s="260"/>
      <c r="H545" s="134" t="n">
        <v>48760</v>
      </c>
      <c r="I545" s="243" t="s">
        <v>499</v>
      </c>
      <c r="J545" s="260"/>
      <c r="K545" s="135" t="n">
        <v>0.046</v>
      </c>
      <c r="L545" s="81" t="n">
        <f aca="false">K545</f>
        <v>0.046</v>
      </c>
      <c r="M545" s="244" t="s">
        <v>500</v>
      </c>
      <c r="N545" s="261" t="n">
        <f aca="false">EOMONTH(C545,0)</f>
        <v>47907</v>
      </c>
      <c r="O545" s="136" t="n">
        <f aca="false">EOMONTH(H545,0)</f>
        <v>48760</v>
      </c>
    </row>
    <row r="546" customFormat="false" ht="15" hidden="false" customHeight="false" outlineLevel="0" collapsed="false">
      <c r="B546" s="123" t="s">
        <v>155</v>
      </c>
      <c r="C546" s="95"/>
      <c r="D546" s="245" t="n">
        <f aca="false">SUM(D543:D545)</f>
        <v>0</v>
      </c>
      <c r="E546" s="245" t="n">
        <f aca="false">SUM(E543:E545)</f>
        <v>0</v>
      </c>
      <c r="F546" s="95"/>
      <c r="G546" s="95"/>
      <c r="H546" s="95"/>
      <c r="I546" s="95"/>
      <c r="J546" s="95"/>
      <c r="K546" s="95"/>
      <c r="L546" s="95"/>
      <c r="M546" s="95"/>
      <c r="N546" s="95"/>
      <c r="O546" s="246"/>
    </row>
    <row r="547" customFormat="false" ht="15" hidden="false" customHeight="false" outlineLevel="0" collapsed="false">
      <c r="B547" s="86" t="s">
        <v>524</v>
      </c>
    </row>
    <row r="549" customFormat="false" ht="15" hidden="false" customHeight="false" outlineLevel="0" collapsed="false">
      <c r="A549" s="46" t="s">
        <v>525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1" customFormat="false" ht="15" hidden="false" customHeight="false" outlineLevel="0" collapsed="false">
      <c r="B551" s="47" t="s">
        <v>526</v>
      </c>
      <c r="C551" s="262" t="s">
        <v>21</v>
      </c>
      <c r="D551" s="132" t="n">
        <v>500</v>
      </c>
    </row>
    <row r="552" customFormat="false" ht="15" hidden="false" customHeight="false" outlineLevel="0" collapsed="false">
      <c r="B552" s="51" t="s">
        <v>527</v>
      </c>
      <c r="C552" s="53" t="s">
        <v>528</v>
      </c>
      <c r="D552" s="133" t="n">
        <v>40</v>
      </c>
    </row>
    <row r="553" customFormat="false" ht="15" hidden="false" customHeight="false" outlineLevel="0" collapsed="false">
      <c r="B553" s="51" t="s">
        <v>529</v>
      </c>
      <c r="C553" s="53" t="s">
        <v>16</v>
      </c>
      <c r="D553" s="138" t="n">
        <v>0.03</v>
      </c>
    </row>
    <row r="554" customFormat="false" ht="15" hidden="false" customHeight="false" outlineLevel="0" collapsed="false">
      <c r="B554" s="51" t="s">
        <v>530</v>
      </c>
      <c r="C554" s="53" t="s">
        <v>16</v>
      </c>
      <c r="D554" s="138" t="n">
        <v>0.05</v>
      </c>
    </row>
    <row r="555" customFormat="false" ht="15" hidden="false" customHeight="false" outlineLevel="0" collapsed="false">
      <c r="B555" s="254" t="s">
        <v>531</v>
      </c>
      <c r="C555" s="59" t="s">
        <v>16</v>
      </c>
      <c r="D555" s="85" t="n">
        <v>0.1</v>
      </c>
    </row>
    <row r="557" customFormat="false" ht="15" hidden="false" customHeight="false" outlineLevel="0" collapsed="false">
      <c r="A557" s="61" t="s">
        <v>91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customFormat="false" ht="15" hidden="false" customHeight="false" outlineLevel="0" collapsed="false">
      <c r="B558" s="86" t="s">
        <v>532</v>
      </c>
    </row>
    <row r="559" customFormat="false" ht="15" hidden="false" customHeight="false" outlineLevel="0" collapsed="false">
      <c r="B559" s="108" t="s">
        <v>2</v>
      </c>
      <c r="C559" s="109"/>
      <c r="D559" s="110" t="s">
        <v>533</v>
      </c>
      <c r="E559" s="110" t="s">
        <v>534</v>
      </c>
      <c r="F559" s="142" t="s">
        <v>535</v>
      </c>
    </row>
    <row r="560" customFormat="false" ht="15" hidden="false" customHeight="false" outlineLevel="0" collapsed="false">
      <c r="B560" s="51" t="s">
        <v>427</v>
      </c>
      <c r="C560" s="52"/>
      <c r="D560" s="157" t="n">
        <f aca="false">$E$438</f>
        <v>79364.4911022626</v>
      </c>
      <c r="E560" s="263" t="n">
        <v>79364.491105</v>
      </c>
      <c r="F560" s="137" t="n">
        <f aca="false">D560-E560</f>
        <v>-2.737418981269E-006</v>
      </c>
    </row>
    <row r="561" customFormat="false" ht="15" hidden="false" customHeight="false" outlineLevel="0" collapsed="false">
      <c r="B561" s="143" t="s">
        <v>403</v>
      </c>
      <c r="C561" s="52"/>
      <c r="D561" s="156" t="n">
        <f aca="false">SUM(②시니어_CF!$E$108:$EF$108)</f>
        <v>2582.18856017783</v>
      </c>
      <c r="E561" s="263" t="n">
        <v>2582.18856</v>
      </c>
      <c r="F561" s="137" t="n">
        <f aca="false">D561-E561</f>
        <v>1.77830770553555E-007</v>
      </c>
    </row>
    <row r="562" customFormat="false" ht="15" hidden="false" customHeight="false" outlineLevel="0" collapsed="false">
      <c r="B562" s="143" t="s">
        <v>406</v>
      </c>
      <c r="C562" s="52"/>
      <c r="D562" s="156" t="n">
        <f aca="false">SUM(②시니어_CF!$E$107:$EF$107)</f>
        <v>0</v>
      </c>
      <c r="E562" s="263" t="n">
        <v>0</v>
      </c>
      <c r="F562" s="137" t="n">
        <f aca="false">D562-E562</f>
        <v>0</v>
      </c>
    </row>
    <row r="563" customFormat="false" ht="15" hidden="false" customHeight="false" outlineLevel="0" collapsed="false">
      <c r="B563" s="143" t="s">
        <v>407</v>
      </c>
      <c r="C563" s="52"/>
      <c r="D563" s="156" t="n">
        <f aca="false">SUM(②시니어_CF!$E$106:$EF$106)</f>
        <v>0</v>
      </c>
      <c r="E563" s="263" t="n">
        <v>0</v>
      </c>
      <c r="F563" s="137" t="n">
        <f aca="false">D563-E563</f>
        <v>0</v>
      </c>
    </row>
    <row r="564" customFormat="false" ht="15" hidden="false" customHeight="false" outlineLevel="0" collapsed="false">
      <c r="B564" s="143" t="s">
        <v>408</v>
      </c>
      <c r="C564" s="52"/>
      <c r="D564" s="156" t="n">
        <f aca="false">SUM(②시니어_CF!$E$111:$EF$111)</f>
        <v>646.612193957203</v>
      </c>
      <c r="E564" s="263" t="n">
        <v>646.612194</v>
      </c>
      <c r="F564" s="137" t="n">
        <f aca="false">D564-E564</f>
        <v>-4.27968416261137E-008</v>
      </c>
    </row>
    <row r="565" customFormat="false" ht="15" hidden="false" customHeight="false" outlineLevel="0" collapsed="false">
      <c r="B565" s="143" t="s">
        <v>409</v>
      </c>
      <c r="C565" s="52"/>
      <c r="D565" s="156" t="n">
        <f aca="false">SUM(②시니어_CF!$E$110:$EF$110)</f>
        <v>793.883004495932</v>
      </c>
      <c r="E565" s="263" t="n">
        <v>793.883005</v>
      </c>
      <c r="F565" s="137" t="n">
        <f aca="false">D565-E565</f>
        <v>-5.04067656947882E-007</v>
      </c>
    </row>
    <row r="566" customFormat="false" ht="15" hidden="false" customHeight="false" outlineLevel="0" collapsed="false">
      <c r="B566" s="143" t="s">
        <v>410</v>
      </c>
      <c r="C566" s="52"/>
      <c r="D566" s="156" t="n">
        <f aca="false">SUM(②시니어_CF!$E$109:$EF$109)</f>
        <v>3968.30391960423</v>
      </c>
      <c r="E566" s="263" t="n">
        <v>3968.30392</v>
      </c>
      <c r="F566" s="137" t="n">
        <f aca="false">D566-E566</f>
        <v>-3.95769347960595E-007</v>
      </c>
    </row>
    <row r="567" customFormat="false" ht="15" hidden="false" customHeight="false" outlineLevel="0" collapsed="false">
      <c r="B567" s="143" t="s">
        <v>411</v>
      </c>
      <c r="C567" s="52"/>
      <c r="D567" s="156" t="n">
        <f aca="false">SUM(②시니어_CF!$E$105:$EF$105)</f>
        <v>453.329973176124</v>
      </c>
      <c r="E567" s="263" t="n">
        <v>453.329973</v>
      </c>
      <c r="F567" s="137" t="n">
        <f aca="false">D567-E567</f>
        <v>1.76123592154909E-007</v>
      </c>
    </row>
    <row r="568" customFormat="false" ht="15" hidden="false" customHeight="false" outlineLevel="0" collapsed="false">
      <c r="B568" s="143" t="s">
        <v>412</v>
      </c>
      <c r="C568" s="52"/>
      <c r="D568" s="156" t="n">
        <f aca="false">SUM(②시니어_CF!$E$104:$EF$104)</f>
        <v>453.647431140533</v>
      </c>
      <c r="E568" s="263" t="n">
        <v>453.647431</v>
      </c>
      <c r="F568" s="137" t="n">
        <f aca="false">D568-E568</f>
        <v>1.4053279073778E-007</v>
      </c>
    </row>
    <row r="569" customFormat="false" ht="15" hidden="false" customHeight="false" outlineLevel="0" collapsed="false">
      <c r="B569" s="254" t="s">
        <v>413</v>
      </c>
      <c r="C569" s="58"/>
      <c r="D569" s="264" t="n">
        <f aca="false">SUM(②시니어_CF!$E$103:$EF$103)</f>
        <v>2267.60223977385</v>
      </c>
      <c r="E569" s="265" t="n">
        <v>2267.60224</v>
      </c>
      <c r="F569" s="150" t="n">
        <f aca="false">D569-E569</f>
        <v>-2.26154043048155E-007</v>
      </c>
    </row>
    <row r="572" customFormat="false" ht="15" hidden="false" customHeight="false" outlineLevel="0" collapsed="false">
      <c r="A572" s="46" t="s">
        <v>536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customFormat="false" ht="15" hidden="false" customHeight="false" outlineLevel="0" collapsed="false">
      <c r="C573" s="266" t="s">
        <v>537</v>
      </c>
      <c r="D573" s="266"/>
      <c r="E573" s="266"/>
      <c r="F573" s="266"/>
      <c r="G573" s="266"/>
      <c r="H573" s="266"/>
    </row>
    <row r="574" customFormat="false" ht="15" hidden="false" customHeight="false" outlineLevel="0" collapsed="false">
      <c r="B574" s="161" t="s">
        <v>294</v>
      </c>
      <c r="C574" s="112" t="s">
        <v>156</v>
      </c>
      <c r="D574" s="183" t="s">
        <v>122</v>
      </c>
      <c r="E574" s="184" t="s">
        <v>123</v>
      </c>
      <c r="F574" s="185" t="s">
        <v>124</v>
      </c>
      <c r="G574" s="186" t="s">
        <v>125</v>
      </c>
      <c r="H574" s="188" t="s">
        <v>126</v>
      </c>
    </row>
    <row r="575" customFormat="false" ht="15" hidden="false" customHeight="false" outlineLevel="0" collapsed="false">
      <c r="B575" s="71" t="s">
        <v>538</v>
      </c>
      <c r="C575" s="163" t="n">
        <f aca="false">SUM(D575:H575)</f>
        <v>414275.927271426</v>
      </c>
      <c r="D575" s="164" t="n">
        <f aca="false">$L$349</f>
        <v>414275.927271426</v>
      </c>
      <c r="E575" s="164" t="n">
        <f aca="false">$M$349</f>
        <v>0</v>
      </c>
      <c r="F575" s="164" t="n">
        <f aca="false">$N$349</f>
        <v>0</v>
      </c>
      <c r="G575" s="164" t="n">
        <f aca="false">$O$349</f>
        <v>0</v>
      </c>
      <c r="H575" s="165" t="n">
        <f aca="false">$P$349</f>
        <v>0</v>
      </c>
    </row>
    <row r="576" customFormat="false" ht="15" hidden="false" customHeight="false" outlineLevel="0" collapsed="false">
      <c r="B576" s="51" t="s">
        <v>539</v>
      </c>
      <c r="C576" s="163" t="n">
        <f aca="false">SUM(D576:H576)</f>
        <v>302400</v>
      </c>
      <c r="D576" s="156" t="n">
        <f aca="false">$F$490</f>
        <v>302400</v>
      </c>
      <c r="E576" s="156" t="n">
        <f aca="false">$F$491</f>
        <v>0</v>
      </c>
      <c r="F576" s="156" t="n">
        <f aca="false">$F$492</f>
        <v>0</v>
      </c>
      <c r="G576" s="156" t="n">
        <f aca="false">$F$493</f>
        <v>0</v>
      </c>
      <c r="H576" s="267" t="n">
        <f aca="false">$F$494</f>
        <v>0</v>
      </c>
    </row>
    <row r="577" customFormat="false" ht="15" hidden="false" customHeight="false" outlineLevel="0" collapsed="false">
      <c r="B577" s="71" t="s">
        <v>540</v>
      </c>
      <c r="C577" s="163" t="n">
        <f aca="false">SUM(D577:H577)</f>
        <v>111875.927271426</v>
      </c>
      <c r="D577" s="164" t="n">
        <f aca="false">D575-D576</f>
        <v>111875.927271426</v>
      </c>
      <c r="E577" s="164" t="n">
        <f aca="false">E575-E576</f>
        <v>0</v>
      </c>
      <c r="F577" s="164" t="n">
        <f aca="false">F575-F576</f>
        <v>0</v>
      </c>
      <c r="G577" s="164" t="n">
        <f aca="false">G575-G576</f>
        <v>0</v>
      </c>
      <c r="H577" s="165" t="n">
        <f aca="false">H575-H576</f>
        <v>0</v>
      </c>
    </row>
    <row r="578" customFormat="false" ht="15" hidden="false" customHeight="false" outlineLevel="0" collapsed="false">
      <c r="B578" s="268" t="s">
        <v>541</v>
      </c>
      <c r="C578" s="269" t="n">
        <f aca="false">SUM(D578:H578)</f>
        <v>1</v>
      </c>
      <c r="D578" s="119" t="n">
        <f aca="false">IFERROR(MAX(0,D577)/SUMIF($D$577:$H$577,"&gt;0"),0)</f>
        <v>1</v>
      </c>
      <c r="E578" s="119" t="n">
        <f aca="false">IFERROR(MAX(0,E577)/SUMIF($D$577:$H$577,"&gt;0"),0)</f>
        <v>0</v>
      </c>
      <c r="F578" s="119" t="n">
        <f aca="false">IFERROR(MAX(0,F577)/SUMIF($D$577:$H$577,"&gt;0"),0)</f>
        <v>0</v>
      </c>
      <c r="G578" s="119" t="n">
        <f aca="false">IFERROR(MAX(0,G577)/SUMIF($D$577:$H$577,"&gt;0"),0)</f>
        <v>0</v>
      </c>
      <c r="H578" s="122" t="n">
        <f aca="false">IFERROR(MAX(0,H577)/SUMIF($D$577:$H$577,"&gt;0"),0)</f>
        <v>0</v>
      </c>
    </row>
    <row r="579" customFormat="false" ht="15" hidden="false" customHeight="false" outlineLevel="0" collapsed="false">
      <c r="B579" s="143" t="s">
        <v>542</v>
      </c>
      <c r="C579" s="120" t="n">
        <f aca="false">SUM(D579:H579)</f>
        <v>1</v>
      </c>
      <c r="D579" s="135" t="n">
        <v>0.13007</v>
      </c>
      <c r="E579" s="135" t="n">
        <v>0.19969</v>
      </c>
      <c r="F579" s="135" t="n">
        <v>0.31625</v>
      </c>
      <c r="G579" s="135" t="n">
        <v>0.20717</v>
      </c>
      <c r="H579" s="122" t="n">
        <f aca="false">1-SUM(D579:G579)</f>
        <v>0.14682</v>
      </c>
    </row>
    <row r="580" customFormat="false" ht="15" hidden="false" customHeight="false" outlineLevel="0" collapsed="false">
      <c r="B580" s="143" t="s">
        <v>543</v>
      </c>
      <c r="C580" s="120" t="n">
        <f aca="false">SUM(D580:H580)</f>
        <v>1</v>
      </c>
      <c r="D580" s="119" t="n">
        <f aca="false">IFERROR(D579*$D$38/SUMPRODUCT($D$579:$H$579,$D$38:$H$38),0)</f>
        <v>1</v>
      </c>
      <c r="E580" s="119" t="n">
        <f aca="false">IFERROR(E579*$E$38/SUMPRODUCT($D$579:$H$579,$D$38:$H$38),0)</f>
        <v>0</v>
      </c>
      <c r="F580" s="119" t="n">
        <f aca="false">IFERROR(F579*$F$38/SUMPRODUCT($D$579:$H$579,$D$38:$H$38),0)</f>
        <v>0</v>
      </c>
      <c r="G580" s="119" t="n">
        <f aca="false">IFERROR(G579*$G$38/SUMPRODUCT($D$579:$H$579,$D$38:$H$38),0)</f>
        <v>0</v>
      </c>
      <c r="H580" s="122" t="n">
        <f aca="false">IFERROR(H579*$H$38/SUMPRODUCT($D$579:$H$579,$D$38:$H$38),0)</f>
        <v>0</v>
      </c>
    </row>
    <row r="581" customFormat="false" ht="15" hidden="false" customHeight="false" outlineLevel="0" collapsed="false">
      <c r="B581" s="64" t="s">
        <v>544</v>
      </c>
      <c r="C581" s="163" t="n">
        <f aca="false">SUM(D581:H581)</f>
        <v>79364.4911022626</v>
      </c>
      <c r="D581" s="164" t="n">
        <f aca="false">$E$438*D580</f>
        <v>79364.4911022626</v>
      </c>
      <c r="E581" s="164" t="n">
        <f aca="false">$E$438*E580</f>
        <v>0</v>
      </c>
      <c r="F581" s="164" t="n">
        <f aca="false">$E$438*F580</f>
        <v>0</v>
      </c>
      <c r="G581" s="164" t="n">
        <f aca="false">$E$438*G580</f>
        <v>0</v>
      </c>
      <c r="H581" s="165" t="n">
        <f aca="false">$E$438*H580</f>
        <v>0</v>
      </c>
    </row>
    <row r="582" customFormat="false" ht="15" hidden="false" customHeight="false" outlineLevel="0" collapsed="false">
      <c r="B582" s="143" t="s">
        <v>545</v>
      </c>
      <c r="C582" s="157" t="n">
        <f aca="false">$E$438</f>
        <v>79364.4911022626</v>
      </c>
      <c r="D582" s="52"/>
      <c r="E582" s="52"/>
      <c r="F582" s="52"/>
      <c r="G582" s="52"/>
      <c r="H582" s="74"/>
    </row>
    <row r="583" customFormat="false" ht="15" hidden="false" customHeight="false" outlineLevel="0" collapsed="false">
      <c r="B583" s="51" t="s">
        <v>546</v>
      </c>
      <c r="C583" s="157" t="n">
        <f aca="false">C581-C582</f>
        <v>0</v>
      </c>
      <c r="D583" s="270" t="str">
        <f aca="false">IF(ABS(C583)&lt;1,"OK","Error")</f>
        <v>OK</v>
      </c>
      <c r="E583" s="52"/>
      <c r="F583" s="52"/>
      <c r="G583" s="52"/>
      <c r="H583" s="74"/>
    </row>
    <row r="584" customFormat="false" ht="15" hidden="false" customHeight="false" outlineLevel="0" collapsed="false">
      <c r="B584" s="51" t="s">
        <v>547</v>
      </c>
      <c r="C584" s="163" t="n">
        <f aca="false">SUM(D584:H584)</f>
        <v>55555.1437715838</v>
      </c>
      <c r="D584" s="157" t="n">
        <f aca="false">$E$444*D580</f>
        <v>55555.1437715838</v>
      </c>
      <c r="E584" s="157" t="n">
        <f aca="false">$E$444*E580</f>
        <v>0</v>
      </c>
      <c r="F584" s="157" t="n">
        <f aca="false">$E$444*F580</f>
        <v>0</v>
      </c>
      <c r="G584" s="157" t="n">
        <f aca="false">$E$444*G580</f>
        <v>0</v>
      </c>
      <c r="H584" s="137" t="n">
        <f aca="false">$E$444*H580</f>
        <v>0</v>
      </c>
    </row>
    <row r="585" customFormat="false" ht="15" hidden="false" customHeight="false" outlineLevel="0" collapsed="false">
      <c r="B585" s="51" t="s">
        <v>548</v>
      </c>
      <c r="C585" s="163" t="n">
        <f aca="false">SUM(D585:H585)</f>
        <v>23809.3473306788</v>
      </c>
      <c r="D585" s="157" t="n">
        <f aca="false">$E$450*D580</f>
        <v>23809.3473306788</v>
      </c>
      <c r="E585" s="157" t="n">
        <f aca="false">$E$450*E580</f>
        <v>0</v>
      </c>
      <c r="F585" s="157" t="n">
        <f aca="false">$E$450*F580</f>
        <v>0</v>
      </c>
      <c r="G585" s="157" t="n">
        <f aca="false">$E$450*G580</f>
        <v>0</v>
      </c>
      <c r="H585" s="137" t="n">
        <f aca="false">$E$450*H580</f>
        <v>0</v>
      </c>
    </row>
    <row r="586" customFormat="false" ht="15" hidden="false" customHeight="false" outlineLevel="0" collapsed="false">
      <c r="B586" s="143" t="s">
        <v>549</v>
      </c>
      <c r="C586" s="163" t="n">
        <f aca="false">SUM(D586:H586)</f>
        <v>32511.4361691636</v>
      </c>
      <c r="D586" s="157" t="n">
        <f aca="false">D577-D581</f>
        <v>32511.4361691636</v>
      </c>
      <c r="E586" s="157" t="n">
        <f aca="false">E577-E581</f>
        <v>0</v>
      </c>
      <c r="F586" s="157" t="n">
        <f aca="false">F577-F581</f>
        <v>0</v>
      </c>
      <c r="G586" s="157" t="n">
        <f aca="false">G577-G581</f>
        <v>0</v>
      </c>
      <c r="H586" s="137" t="n">
        <f aca="false">H577-H581</f>
        <v>0</v>
      </c>
    </row>
    <row r="587" customFormat="false" ht="15" hidden="false" customHeight="false" outlineLevel="0" collapsed="false">
      <c r="B587" s="271" t="s">
        <v>550</v>
      </c>
      <c r="C587" s="269" t="n">
        <f aca="false">SUM(D587:H587)</f>
        <v>1</v>
      </c>
      <c r="D587" s="119" t="n">
        <f aca="false">IF(SUMIF($D$586:$H$586,"&gt;0")=0,D580,MAX(0,D586)/SUMIF($D$586:$H$586,"&gt;0"))</f>
        <v>1</v>
      </c>
      <c r="E587" s="119" t="n">
        <f aca="false">IF(SUMIF($D$586:$H$586,"&gt;0")=0,E580,MAX(0,E586)/SUMIF($D$586:$H$586,"&gt;0"))</f>
        <v>0</v>
      </c>
      <c r="F587" s="119" t="n">
        <f aca="false">IF(SUMIF($D$586:$H$586,"&gt;0")=0,F580,MAX(0,F586)/SUMIF($D$586:$H$586,"&gt;0"))</f>
        <v>0</v>
      </c>
      <c r="G587" s="119" t="n">
        <f aca="false">IF(SUMIF($D$586:$H$586,"&gt;0")=0,G580,MAX(0,G586)/SUMIF($D$586:$H$586,"&gt;0"))</f>
        <v>0</v>
      </c>
      <c r="H587" s="122" t="n">
        <f aca="false">IF(SUMIF($D$586:$H$586,"&gt;0")=0,H580,MAX(0,H586)/SUMIF($D$586:$H$586,"&gt;0"))</f>
        <v>0</v>
      </c>
    </row>
    <row r="588" customFormat="false" ht="15" hidden="false" customHeight="false" outlineLevel="0" collapsed="false">
      <c r="B588" s="64" t="s">
        <v>551</v>
      </c>
      <c r="C588" s="163" t="n">
        <f aca="false">SUM(D588:H588)</f>
        <v>27207.3003100127</v>
      </c>
      <c r="D588" s="164" t="n">
        <f aca="false">$E$486*D587</f>
        <v>27207.3003100127</v>
      </c>
      <c r="E588" s="164" t="n">
        <f aca="false">$E$486*E587</f>
        <v>0</v>
      </c>
      <c r="F588" s="164" t="n">
        <f aca="false">$E$486*F587</f>
        <v>0</v>
      </c>
      <c r="G588" s="164" t="n">
        <f aca="false">$E$486*G587</f>
        <v>0</v>
      </c>
      <c r="H588" s="165" t="n">
        <f aca="false">$E$486*H587</f>
        <v>0</v>
      </c>
    </row>
    <row r="589" customFormat="false" ht="15" hidden="false" customHeight="false" outlineLevel="0" collapsed="false">
      <c r="B589" s="143" t="s">
        <v>552</v>
      </c>
      <c r="C589" s="163" t="n">
        <f aca="false">SUM(D589:H589)</f>
        <v>0</v>
      </c>
      <c r="D589" s="157" t="n">
        <f aca="false">$E$483*D587</f>
        <v>0</v>
      </c>
      <c r="E589" s="157" t="n">
        <f aca="false">$E$483*E587</f>
        <v>0</v>
      </c>
      <c r="F589" s="157" t="n">
        <f aca="false">$E$483*F587</f>
        <v>0</v>
      </c>
      <c r="G589" s="157" t="n">
        <f aca="false">$E$483*G587</f>
        <v>0</v>
      </c>
      <c r="H589" s="137" t="n">
        <f aca="false">$E$483*H587</f>
        <v>0</v>
      </c>
    </row>
    <row r="590" customFormat="false" ht="15" hidden="false" customHeight="false" outlineLevel="0" collapsed="false">
      <c r="B590" s="143" t="s">
        <v>553</v>
      </c>
      <c r="C590" s="163" t="n">
        <f aca="false">SUM(D590:H590)</f>
        <v>0</v>
      </c>
      <c r="D590" s="157" t="n">
        <f aca="false">$E$484*D587</f>
        <v>0</v>
      </c>
      <c r="E590" s="157" t="n">
        <f aca="false">$E$484*E587</f>
        <v>0</v>
      </c>
      <c r="F590" s="157" t="n">
        <f aca="false">$E$484*F587</f>
        <v>0</v>
      </c>
      <c r="G590" s="157" t="n">
        <f aca="false">$E$484*G587</f>
        <v>0</v>
      </c>
      <c r="H590" s="137" t="n">
        <f aca="false">$E$484*H587</f>
        <v>0</v>
      </c>
    </row>
    <row r="591" customFormat="false" ht="15" hidden="false" customHeight="false" outlineLevel="0" collapsed="false">
      <c r="B591" s="143" t="s">
        <v>554</v>
      </c>
      <c r="C591" s="163" t="n">
        <f aca="false">SUM(D591:H591)</f>
        <v>27207.3003100127</v>
      </c>
      <c r="D591" s="157" t="n">
        <f aca="false">$E$485*D587</f>
        <v>27207.3003100127</v>
      </c>
      <c r="E591" s="157" t="n">
        <f aca="false">$E$485*E587</f>
        <v>0</v>
      </c>
      <c r="F591" s="157" t="n">
        <f aca="false">$E$485*F587</f>
        <v>0</v>
      </c>
      <c r="G591" s="157" t="n">
        <f aca="false">$E$485*G587</f>
        <v>0</v>
      </c>
      <c r="H591" s="137" t="n">
        <f aca="false">$E$485*H587</f>
        <v>0</v>
      </c>
    </row>
    <row r="592" customFormat="false" ht="15" hidden="false" customHeight="false" outlineLevel="0" collapsed="false">
      <c r="B592" s="71" t="s">
        <v>555</v>
      </c>
      <c r="C592" s="163" t="n">
        <f aca="false">SUM(D592:H592)</f>
        <v>408971.791412275</v>
      </c>
      <c r="D592" s="164" t="n">
        <f aca="false">D576+D581+D588</f>
        <v>408971.791412275</v>
      </c>
      <c r="E592" s="164" t="n">
        <f aca="false">E576+E581+E588</f>
        <v>0</v>
      </c>
      <c r="F592" s="164" t="n">
        <f aca="false">F576+F581+F588</f>
        <v>0</v>
      </c>
      <c r="G592" s="164" t="n">
        <f aca="false">G576+G581+G588</f>
        <v>0</v>
      </c>
      <c r="H592" s="165" t="n">
        <f aca="false">H576+H581+H588</f>
        <v>0</v>
      </c>
    </row>
    <row r="593" customFormat="false" ht="15" hidden="false" customHeight="false" outlineLevel="0" collapsed="false">
      <c r="B593" s="51" t="s">
        <v>556</v>
      </c>
      <c r="C593" s="163" t="n">
        <f aca="false">SUM(D593:H593)</f>
        <v>-5304.13585915085</v>
      </c>
      <c r="D593" s="157" t="n">
        <f aca="false">D592-D575</f>
        <v>-5304.13585915085</v>
      </c>
      <c r="E593" s="157" t="n">
        <f aca="false">E592-E575</f>
        <v>0</v>
      </c>
      <c r="F593" s="157" t="n">
        <f aca="false">F592-F575</f>
        <v>0</v>
      </c>
      <c r="G593" s="157" t="n">
        <f aca="false">G592-G575</f>
        <v>0</v>
      </c>
      <c r="H593" s="137" t="n">
        <f aca="false">H592-H575</f>
        <v>0</v>
      </c>
    </row>
    <row r="594" customFormat="false" ht="15" hidden="false" customHeight="false" outlineLevel="0" collapsed="false">
      <c r="B594" s="271" t="s">
        <v>557</v>
      </c>
      <c r="C594" s="52" t="n">
        <f aca="false">IFERROR(C581/C575,0)</f>
        <v>0.191573986992163</v>
      </c>
      <c r="D594" s="119" t="n">
        <f aca="false">IFERROR(D581/D575,0)</f>
        <v>0.191573986992163</v>
      </c>
      <c r="E594" s="119" t="n">
        <f aca="false">IFERROR(E581/E575,0)</f>
        <v>0</v>
      </c>
      <c r="F594" s="119" t="n">
        <f aca="false">IFERROR(F581/F575,0)</f>
        <v>0</v>
      </c>
      <c r="G594" s="119" t="n">
        <f aca="false">IFERROR(G581/G575,0)</f>
        <v>0</v>
      </c>
      <c r="H594" s="122" t="n">
        <f aca="false">IFERROR(H581/H575,0)</f>
        <v>0</v>
      </c>
    </row>
    <row r="595" customFormat="false" ht="15" hidden="false" customHeight="false" outlineLevel="0" collapsed="false">
      <c r="B595" s="51" t="s">
        <v>558</v>
      </c>
      <c r="C595" s="163" t="n">
        <f aca="false">SUM(D595:H595)</f>
        <v>47455.0999999999</v>
      </c>
      <c r="D595" s="157" t="n">
        <f aca="false">$G$490</f>
        <v>47455.0999999999</v>
      </c>
      <c r="E595" s="157" t="n">
        <f aca="false">$G$491</f>
        <v>0</v>
      </c>
      <c r="F595" s="157" t="n">
        <f aca="false">$G$492</f>
        <v>0</v>
      </c>
      <c r="G595" s="157" t="n">
        <f aca="false">$G$493</f>
        <v>0</v>
      </c>
      <c r="H595" s="137" t="n">
        <f aca="false">$G$494</f>
        <v>0</v>
      </c>
    </row>
    <row r="596" customFormat="false" ht="15" hidden="false" customHeight="false" outlineLevel="0" collapsed="false">
      <c r="B596" s="57" t="s">
        <v>559</v>
      </c>
      <c r="C596" s="190" t="n">
        <f aca="false">SUM(D596:H596)</f>
        <v>20247.7996899872</v>
      </c>
      <c r="D596" s="226" t="n">
        <f aca="false">D595-D588</f>
        <v>20247.7996899872</v>
      </c>
      <c r="E596" s="226" t="n">
        <f aca="false">E595-E588</f>
        <v>0</v>
      </c>
      <c r="F596" s="226" t="n">
        <f aca="false">F595-F588</f>
        <v>0</v>
      </c>
      <c r="G596" s="226" t="n">
        <f aca="false">G595-G588</f>
        <v>0</v>
      </c>
      <c r="H596" s="150" t="n">
        <f aca="false">H595-H588</f>
        <v>0</v>
      </c>
    </row>
    <row r="597" customFormat="false" ht="15" hidden="false" customHeight="false" outlineLevel="0" collapsed="false">
      <c r="B597" s="86" t="s">
        <v>560</v>
      </c>
    </row>
  </sheetData>
  <mergeCells count="6">
    <mergeCell ref="C315:H315"/>
    <mergeCell ref="I315:N315"/>
    <mergeCell ref="O315:T315"/>
    <mergeCell ref="C333:H333"/>
    <mergeCell ref="K333:P333"/>
    <mergeCell ref="C573:H5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F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2"/>
    <col collapsed="false" customWidth="true" hidden="false" outlineLevel="0" max="136" min="5" style="0" width="9.51"/>
  </cols>
  <sheetData>
    <row r="1" customFormat="false" ht="15" hidden="false" customHeight="false" outlineLevel="0" collapsed="false">
      <c r="A1" s="272" t="s">
        <v>561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3" customFormat="false" ht="15" hidden="false" customHeight="false" outlineLevel="0" collapsed="false">
      <c r="A3" s="86" t="s">
        <v>562</v>
      </c>
    </row>
    <row r="5" customFormat="false" ht="15" hidden="false" customHeight="false" outlineLevel="0" collapsed="false">
      <c r="A5" s="205" t="s">
        <v>121</v>
      </c>
      <c r="B5" s="68" t="s">
        <v>3</v>
      </c>
      <c r="C5" s="68" t="s">
        <v>155</v>
      </c>
    </row>
    <row r="6" customFormat="false" ht="15" hidden="false" customHeight="false" outlineLevel="0" collapsed="false">
      <c r="A6" s="36" t="s">
        <v>75</v>
      </c>
      <c r="B6" s="273"/>
      <c r="E6" s="274" t="n">
        <f aca="false">EOMONTH(②시니어_가정!$E$8,0)</f>
        <v>46112</v>
      </c>
      <c r="F6" s="274" t="n">
        <f aca="false">EOMONTH(E6,1)</f>
        <v>46142</v>
      </c>
      <c r="G6" s="274" t="n">
        <f aca="false">EOMONTH(F6,1)</f>
        <v>46173</v>
      </c>
      <c r="H6" s="274" t="n">
        <f aca="false">EOMONTH(G6,1)</f>
        <v>46203</v>
      </c>
      <c r="I6" s="274" t="n">
        <f aca="false">EOMONTH(H6,1)</f>
        <v>46234</v>
      </c>
      <c r="J6" s="274" t="n">
        <f aca="false">EOMONTH(I6,1)</f>
        <v>46265</v>
      </c>
      <c r="K6" s="274" t="n">
        <f aca="false">EOMONTH(J6,1)</f>
        <v>46295</v>
      </c>
      <c r="L6" s="274" t="n">
        <f aca="false">EOMONTH(K6,1)</f>
        <v>46326</v>
      </c>
      <c r="M6" s="274" t="n">
        <f aca="false">EOMONTH(L6,1)</f>
        <v>46356</v>
      </c>
      <c r="N6" s="274" t="n">
        <f aca="false">EOMONTH(M6,1)</f>
        <v>46387</v>
      </c>
      <c r="O6" s="274" t="n">
        <f aca="false">EOMONTH(N6,1)</f>
        <v>46418</v>
      </c>
      <c r="P6" s="274" t="n">
        <f aca="false">EOMONTH(O6,1)</f>
        <v>46446</v>
      </c>
      <c r="Q6" s="274" t="n">
        <f aca="false">EOMONTH(P6,1)</f>
        <v>46477</v>
      </c>
      <c r="R6" s="274" t="n">
        <f aca="false">EOMONTH(Q6,1)</f>
        <v>46507</v>
      </c>
      <c r="S6" s="274" t="n">
        <f aca="false">EOMONTH(R6,1)</f>
        <v>46538</v>
      </c>
      <c r="T6" s="274" t="n">
        <f aca="false">EOMONTH(S6,1)</f>
        <v>46568</v>
      </c>
      <c r="U6" s="274" t="n">
        <f aca="false">EOMONTH(T6,1)</f>
        <v>46599</v>
      </c>
      <c r="V6" s="274" t="n">
        <f aca="false">EOMONTH(U6,1)</f>
        <v>46630</v>
      </c>
      <c r="W6" s="274" t="n">
        <f aca="false">EOMONTH(V6,1)</f>
        <v>46660</v>
      </c>
      <c r="X6" s="274" t="n">
        <f aca="false">EOMONTH(W6,1)</f>
        <v>46691</v>
      </c>
      <c r="Y6" s="274" t="n">
        <f aca="false">EOMONTH(X6,1)</f>
        <v>46721</v>
      </c>
      <c r="Z6" s="274" t="n">
        <f aca="false">EOMONTH(Y6,1)</f>
        <v>46752</v>
      </c>
      <c r="AA6" s="274" t="n">
        <f aca="false">EOMONTH(Z6,1)</f>
        <v>46783</v>
      </c>
      <c r="AB6" s="274" t="n">
        <f aca="false">EOMONTH(AA6,1)</f>
        <v>46812</v>
      </c>
      <c r="AC6" s="274" t="n">
        <f aca="false">EOMONTH(AB6,1)</f>
        <v>46843</v>
      </c>
      <c r="AD6" s="274" t="n">
        <f aca="false">EOMONTH(AC6,1)</f>
        <v>46873</v>
      </c>
      <c r="AE6" s="274" t="n">
        <f aca="false">EOMONTH(AD6,1)</f>
        <v>46904</v>
      </c>
      <c r="AF6" s="274" t="n">
        <f aca="false">EOMONTH(AE6,1)</f>
        <v>46934</v>
      </c>
      <c r="AG6" s="274" t="n">
        <f aca="false">EOMONTH(AF6,1)</f>
        <v>46965</v>
      </c>
      <c r="AH6" s="274" t="n">
        <f aca="false">EOMONTH(AG6,1)</f>
        <v>46996</v>
      </c>
      <c r="AI6" s="274" t="n">
        <f aca="false">EOMONTH(AH6,1)</f>
        <v>47026</v>
      </c>
      <c r="AJ6" s="274" t="n">
        <f aca="false">EOMONTH(AI6,1)</f>
        <v>47057</v>
      </c>
      <c r="AK6" s="274" t="n">
        <f aca="false">EOMONTH(AJ6,1)</f>
        <v>47087</v>
      </c>
      <c r="AL6" s="274" t="n">
        <f aca="false">EOMONTH(AK6,1)</f>
        <v>47118</v>
      </c>
      <c r="AM6" s="274" t="n">
        <f aca="false">EOMONTH(AL6,1)</f>
        <v>47149</v>
      </c>
      <c r="AN6" s="274" t="n">
        <f aca="false">EOMONTH(AM6,1)</f>
        <v>47177</v>
      </c>
      <c r="AO6" s="274" t="n">
        <f aca="false">EOMONTH(AN6,1)</f>
        <v>47208</v>
      </c>
      <c r="AP6" s="274" t="n">
        <f aca="false">EOMONTH(AO6,1)</f>
        <v>47238</v>
      </c>
      <c r="AQ6" s="274" t="n">
        <f aca="false">EOMONTH(AP6,1)</f>
        <v>47269</v>
      </c>
      <c r="AR6" s="274" t="n">
        <f aca="false">EOMONTH(AQ6,1)</f>
        <v>47299</v>
      </c>
      <c r="AS6" s="274" t="n">
        <f aca="false">EOMONTH(AR6,1)</f>
        <v>47330</v>
      </c>
      <c r="AT6" s="274" t="n">
        <f aca="false">EOMONTH(AS6,1)</f>
        <v>47361</v>
      </c>
      <c r="AU6" s="274" t="n">
        <f aca="false">EOMONTH(AT6,1)</f>
        <v>47391</v>
      </c>
      <c r="AV6" s="274" t="n">
        <f aca="false">EOMONTH(AU6,1)</f>
        <v>47422</v>
      </c>
      <c r="AW6" s="274" t="n">
        <f aca="false">EOMONTH(AV6,1)</f>
        <v>47452</v>
      </c>
      <c r="AX6" s="274" t="n">
        <f aca="false">EOMONTH(AW6,1)</f>
        <v>47483</v>
      </c>
      <c r="AY6" s="274" t="n">
        <f aca="false">EOMONTH(AX6,1)</f>
        <v>47514</v>
      </c>
      <c r="AZ6" s="274" t="n">
        <f aca="false">EOMONTH(AY6,1)</f>
        <v>47542</v>
      </c>
      <c r="BA6" s="274" t="n">
        <f aca="false">EOMONTH(AZ6,1)</f>
        <v>47573</v>
      </c>
      <c r="BB6" s="274" t="n">
        <f aca="false">EOMONTH(BA6,1)</f>
        <v>47603</v>
      </c>
      <c r="BC6" s="274" t="n">
        <f aca="false">EOMONTH(BB6,1)</f>
        <v>47634</v>
      </c>
      <c r="BD6" s="274" t="n">
        <f aca="false">EOMONTH(BC6,1)</f>
        <v>47664</v>
      </c>
      <c r="BE6" s="274" t="n">
        <f aca="false">EOMONTH(BD6,1)</f>
        <v>47695</v>
      </c>
      <c r="BF6" s="274" t="n">
        <f aca="false">EOMONTH(BE6,1)</f>
        <v>47726</v>
      </c>
      <c r="BG6" s="274" t="n">
        <f aca="false">EOMONTH(BF6,1)</f>
        <v>47756</v>
      </c>
      <c r="BH6" s="274" t="n">
        <f aca="false">EOMONTH(BG6,1)</f>
        <v>47787</v>
      </c>
      <c r="BI6" s="274" t="n">
        <f aca="false">EOMONTH(BH6,1)</f>
        <v>47817</v>
      </c>
      <c r="BJ6" s="274" t="n">
        <f aca="false">EOMONTH(BI6,1)</f>
        <v>47848</v>
      </c>
      <c r="BK6" s="274" t="n">
        <f aca="false">EOMONTH(BJ6,1)</f>
        <v>47879</v>
      </c>
      <c r="BL6" s="274" t="n">
        <f aca="false">EOMONTH(BK6,1)</f>
        <v>47907</v>
      </c>
      <c r="BM6" s="274" t="n">
        <f aca="false">EOMONTH(BL6,1)</f>
        <v>47938</v>
      </c>
      <c r="BN6" s="274" t="n">
        <f aca="false">EOMONTH(BM6,1)</f>
        <v>47968</v>
      </c>
      <c r="BO6" s="274" t="n">
        <f aca="false">EOMONTH(BN6,1)</f>
        <v>47999</v>
      </c>
      <c r="BP6" s="274" t="n">
        <f aca="false">EOMONTH(BO6,1)</f>
        <v>48029</v>
      </c>
      <c r="BQ6" s="274" t="n">
        <f aca="false">EOMONTH(BP6,1)</f>
        <v>48060</v>
      </c>
      <c r="BR6" s="274" t="n">
        <f aca="false">EOMONTH(BQ6,1)</f>
        <v>48091</v>
      </c>
      <c r="BS6" s="274" t="n">
        <f aca="false">EOMONTH(BR6,1)</f>
        <v>48121</v>
      </c>
      <c r="BT6" s="274" t="n">
        <f aca="false">EOMONTH(BS6,1)</f>
        <v>48152</v>
      </c>
      <c r="BU6" s="274" t="n">
        <f aca="false">EOMONTH(BT6,1)</f>
        <v>48182</v>
      </c>
      <c r="BV6" s="274" t="n">
        <f aca="false">EOMONTH(BU6,1)</f>
        <v>48213</v>
      </c>
      <c r="BW6" s="274" t="n">
        <f aca="false">EOMONTH(BV6,1)</f>
        <v>48244</v>
      </c>
      <c r="BX6" s="274" t="n">
        <f aca="false">EOMONTH(BW6,1)</f>
        <v>48273</v>
      </c>
      <c r="BY6" s="274" t="n">
        <f aca="false">EOMONTH(BX6,1)</f>
        <v>48304</v>
      </c>
      <c r="BZ6" s="274" t="n">
        <f aca="false">EOMONTH(BY6,1)</f>
        <v>48334</v>
      </c>
      <c r="CA6" s="274" t="n">
        <f aca="false">EOMONTH(BZ6,1)</f>
        <v>48365</v>
      </c>
      <c r="CB6" s="274" t="n">
        <f aca="false">EOMONTH(CA6,1)</f>
        <v>48395</v>
      </c>
      <c r="CC6" s="274" t="n">
        <f aca="false">EOMONTH(CB6,1)</f>
        <v>48426</v>
      </c>
      <c r="CD6" s="274" t="n">
        <f aca="false">EOMONTH(CC6,1)</f>
        <v>48457</v>
      </c>
      <c r="CE6" s="274" t="n">
        <f aca="false">EOMONTH(CD6,1)</f>
        <v>48487</v>
      </c>
      <c r="CF6" s="274" t="n">
        <f aca="false">EOMONTH(CE6,1)</f>
        <v>48518</v>
      </c>
      <c r="CG6" s="274" t="n">
        <f aca="false">EOMONTH(CF6,1)</f>
        <v>48548</v>
      </c>
      <c r="CH6" s="274" t="n">
        <f aca="false">EOMONTH(CG6,1)</f>
        <v>48579</v>
      </c>
      <c r="CI6" s="274" t="n">
        <f aca="false">EOMONTH(CH6,1)</f>
        <v>48610</v>
      </c>
      <c r="CJ6" s="274" t="n">
        <f aca="false">EOMONTH(CI6,1)</f>
        <v>48638</v>
      </c>
      <c r="CK6" s="274" t="n">
        <f aca="false">EOMONTH(CJ6,1)</f>
        <v>48669</v>
      </c>
      <c r="CL6" s="274" t="n">
        <f aca="false">EOMONTH(CK6,1)</f>
        <v>48699</v>
      </c>
      <c r="CM6" s="274" t="n">
        <f aca="false">EOMONTH(CL6,1)</f>
        <v>48730</v>
      </c>
      <c r="CN6" s="274" t="n">
        <f aca="false">EOMONTH(CM6,1)</f>
        <v>48760</v>
      </c>
      <c r="CO6" s="274" t="n">
        <f aca="false">EOMONTH(CN6,1)</f>
        <v>48791</v>
      </c>
      <c r="CP6" s="274" t="n">
        <f aca="false">EOMONTH(CO6,1)</f>
        <v>48822</v>
      </c>
      <c r="CQ6" s="274" t="n">
        <f aca="false">EOMONTH(CP6,1)</f>
        <v>48852</v>
      </c>
      <c r="CR6" s="274" t="n">
        <f aca="false">EOMONTH(CQ6,1)</f>
        <v>48883</v>
      </c>
      <c r="CS6" s="274" t="n">
        <f aca="false">EOMONTH(CR6,1)</f>
        <v>48913</v>
      </c>
      <c r="CT6" s="274" t="n">
        <f aca="false">EOMONTH(CS6,1)</f>
        <v>48944</v>
      </c>
      <c r="CU6" s="274" t="n">
        <f aca="false">EOMONTH(CT6,1)</f>
        <v>48975</v>
      </c>
      <c r="CV6" s="274" t="n">
        <f aca="false">EOMONTH(CU6,1)</f>
        <v>49003</v>
      </c>
      <c r="CW6" s="274" t="n">
        <f aca="false">EOMONTH(CV6,1)</f>
        <v>49034</v>
      </c>
      <c r="CX6" s="274" t="n">
        <f aca="false">EOMONTH(CW6,1)</f>
        <v>49064</v>
      </c>
      <c r="CY6" s="274" t="n">
        <f aca="false">EOMONTH(CX6,1)</f>
        <v>49095</v>
      </c>
      <c r="CZ6" s="274" t="n">
        <f aca="false">EOMONTH(CY6,1)</f>
        <v>49125</v>
      </c>
      <c r="DA6" s="274" t="n">
        <f aca="false">EOMONTH(CZ6,1)</f>
        <v>49156</v>
      </c>
      <c r="DB6" s="274" t="n">
        <f aca="false">EOMONTH(DA6,1)</f>
        <v>49187</v>
      </c>
      <c r="DC6" s="274" t="n">
        <f aca="false">EOMONTH(DB6,1)</f>
        <v>49217</v>
      </c>
      <c r="DD6" s="274" t="n">
        <f aca="false">EOMONTH(DC6,1)</f>
        <v>49248</v>
      </c>
      <c r="DE6" s="274" t="n">
        <f aca="false">EOMONTH(DD6,1)</f>
        <v>49278</v>
      </c>
      <c r="DF6" s="274" t="n">
        <f aca="false">EOMONTH(DE6,1)</f>
        <v>49309</v>
      </c>
      <c r="DG6" s="274" t="n">
        <f aca="false">EOMONTH(DF6,1)</f>
        <v>49340</v>
      </c>
      <c r="DH6" s="274" t="n">
        <f aca="false">EOMONTH(DG6,1)</f>
        <v>49368</v>
      </c>
      <c r="DI6" s="274" t="n">
        <f aca="false">EOMONTH(DH6,1)</f>
        <v>49399</v>
      </c>
      <c r="DJ6" s="274" t="n">
        <f aca="false">EOMONTH(DI6,1)</f>
        <v>49429</v>
      </c>
      <c r="DK6" s="274" t="n">
        <f aca="false">EOMONTH(DJ6,1)</f>
        <v>49460</v>
      </c>
      <c r="DL6" s="274" t="n">
        <f aca="false">EOMONTH(DK6,1)</f>
        <v>49490</v>
      </c>
      <c r="DM6" s="274" t="n">
        <f aca="false">EOMONTH(DL6,1)</f>
        <v>49521</v>
      </c>
      <c r="DN6" s="274" t="n">
        <f aca="false">EOMONTH(DM6,1)</f>
        <v>49552</v>
      </c>
      <c r="DO6" s="274" t="n">
        <f aca="false">EOMONTH(DN6,1)</f>
        <v>49582</v>
      </c>
      <c r="DP6" s="274" t="n">
        <f aca="false">EOMONTH(DO6,1)</f>
        <v>49613</v>
      </c>
      <c r="DQ6" s="274" t="n">
        <f aca="false">EOMONTH(DP6,1)</f>
        <v>49643</v>
      </c>
      <c r="DR6" s="274" t="n">
        <f aca="false">EOMONTH(DQ6,1)</f>
        <v>49674</v>
      </c>
      <c r="DS6" s="274" t="n">
        <f aca="false">EOMONTH(DR6,1)</f>
        <v>49705</v>
      </c>
      <c r="DT6" s="274" t="n">
        <f aca="false">EOMONTH(DS6,1)</f>
        <v>49734</v>
      </c>
      <c r="DU6" s="274" t="n">
        <f aca="false">EOMONTH(DT6,1)</f>
        <v>49765</v>
      </c>
      <c r="DV6" s="274" t="n">
        <f aca="false">EOMONTH(DU6,1)</f>
        <v>49795</v>
      </c>
      <c r="DW6" s="274" t="n">
        <f aca="false">EOMONTH(DV6,1)</f>
        <v>49826</v>
      </c>
      <c r="DX6" s="274" t="n">
        <f aca="false">EOMONTH(DW6,1)</f>
        <v>49856</v>
      </c>
      <c r="DY6" s="274" t="n">
        <f aca="false">EOMONTH(DX6,1)</f>
        <v>49887</v>
      </c>
      <c r="DZ6" s="274" t="n">
        <f aca="false">EOMONTH(DY6,1)</f>
        <v>49918</v>
      </c>
      <c r="EA6" s="274" t="n">
        <f aca="false">EOMONTH(DZ6,1)</f>
        <v>49948</v>
      </c>
      <c r="EB6" s="274" t="n">
        <f aca="false">EOMONTH(EA6,1)</f>
        <v>49979</v>
      </c>
      <c r="EC6" s="274" t="n">
        <f aca="false">EOMONTH(EB6,1)</f>
        <v>50009</v>
      </c>
      <c r="ED6" s="274" t="n">
        <f aca="false">EOMONTH(EC6,1)</f>
        <v>50040</v>
      </c>
      <c r="EE6" s="274" t="n">
        <f aca="false">EOMONTH(ED6,1)</f>
        <v>50071</v>
      </c>
      <c r="EF6" s="274" t="n">
        <f aca="false">EOMONTH(EE6,1)</f>
        <v>50099</v>
      </c>
    </row>
    <row r="7" customFormat="false" ht="15" hidden="false" customHeight="false" outlineLevel="0" collapsed="false">
      <c r="A7" s="36" t="s">
        <v>563</v>
      </c>
      <c r="B7" s="273"/>
      <c r="E7" s="275" t="n">
        <f aca="false">YEAR(E6)</f>
        <v>2026</v>
      </c>
      <c r="F7" s="275" t="n">
        <f aca="false">YEAR(F6)</f>
        <v>2026</v>
      </c>
      <c r="G7" s="275" t="n">
        <f aca="false">YEAR(G6)</f>
        <v>2026</v>
      </c>
      <c r="H7" s="275" t="n">
        <f aca="false">YEAR(H6)</f>
        <v>2026</v>
      </c>
      <c r="I7" s="275" t="n">
        <f aca="false">YEAR(I6)</f>
        <v>2026</v>
      </c>
      <c r="J7" s="275" t="n">
        <f aca="false">YEAR(J6)</f>
        <v>2026</v>
      </c>
      <c r="K7" s="275" t="n">
        <f aca="false">YEAR(K6)</f>
        <v>2026</v>
      </c>
      <c r="L7" s="275" t="n">
        <f aca="false">YEAR(L6)</f>
        <v>2026</v>
      </c>
      <c r="M7" s="275" t="n">
        <f aca="false">YEAR(M6)</f>
        <v>2026</v>
      </c>
      <c r="N7" s="275" t="n">
        <f aca="false">YEAR(N6)</f>
        <v>2026</v>
      </c>
      <c r="O7" s="275" t="n">
        <f aca="false">YEAR(O6)</f>
        <v>2027</v>
      </c>
      <c r="P7" s="275" t="n">
        <f aca="false">YEAR(P6)</f>
        <v>2027</v>
      </c>
      <c r="Q7" s="275" t="n">
        <f aca="false">YEAR(Q6)</f>
        <v>2027</v>
      </c>
      <c r="R7" s="275" t="n">
        <f aca="false">YEAR(R6)</f>
        <v>2027</v>
      </c>
      <c r="S7" s="275" t="n">
        <f aca="false">YEAR(S6)</f>
        <v>2027</v>
      </c>
      <c r="T7" s="275" t="n">
        <f aca="false">YEAR(T6)</f>
        <v>2027</v>
      </c>
      <c r="U7" s="275" t="n">
        <f aca="false">YEAR(U6)</f>
        <v>2027</v>
      </c>
      <c r="V7" s="275" t="n">
        <f aca="false">YEAR(V6)</f>
        <v>2027</v>
      </c>
      <c r="W7" s="275" t="n">
        <f aca="false">YEAR(W6)</f>
        <v>2027</v>
      </c>
      <c r="X7" s="275" t="n">
        <f aca="false">YEAR(X6)</f>
        <v>2027</v>
      </c>
      <c r="Y7" s="275" t="n">
        <f aca="false">YEAR(Y6)</f>
        <v>2027</v>
      </c>
      <c r="Z7" s="275" t="n">
        <f aca="false">YEAR(Z6)</f>
        <v>2027</v>
      </c>
      <c r="AA7" s="275" t="n">
        <f aca="false">YEAR(AA6)</f>
        <v>2028</v>
      </c>
      <c r="AB7" s="275" t="n">
        <f aca="false">YEAR(AB6)</f>
        <v>2028</v>
      </c>
      <c r="AC7" s="275" t="n">
        <f aca="false">YEAR(AC6)</f>
        <v>2028</v>
      </c>
      <c r="AD7" s="275" t="n">
        <f aca="false">YEAR(AD6)</f>
        <v>2028</v>
      </c>
      <c r="AE7" s="275" t="n">
        <f aca="false">YEAR(AE6)</f>
        <v>2028</v>
      </c>
      <c r="AF7" s="275" t="n">
        <f aca="false">YEAR(AF6)</f>
        <v>2028</v>
      </c>
      <c r="AG7" s="275" t="n">
        <f aca="false">YEAR(AG6)</f>
        <v>2028</v>
      </c>
      <c r="AH7" s="275" t="n">
        <f aca="false">YEAR(AH6)</f>
        <v>2028</v>
      </c>
      <c r="AI7" s="275" t="n">
        <f aca="false">YEAR(AI6)</f>
        <v>2028</v>
      </c>
      <c r="AJ7" s="275" t="n">
        <f aca="false">YEAR(AJ6)</f>
        <v>2028</v>
      </c>
      <c r="AK7" s="275" t="n">
        <f aca="false">YEAR(AK6)</f>
        <v>2028</v>
      </c>
      <c r="AL7" s="275" t="n">
        <f aca="false">YEAR(AL6)</f>
        <v>2028</v>
      </c>
      <c r="AM7" s="275" t="n">
        <f aca="false">YEAR(AM6)</f>
        <v>2029</v>
      </c>
      <c r="AN7" s="275" t="n">
        <f aca="false">YEAR(AN6)</f>
        <v>2029</v>
      </c>
      <c r="AO7" s="275" t="n">
        <f aca="false">YEAR(AO6)</f>
        <v>2029</v>
      </c>
      <c r="AP7" s="275" t="n">
        <f aca="false">YEAR(AP6)</f>
        <v>2029</v>
      </c>
      <c r="AQ7" s="275" t="n">
        <f aca="false">YEAR(AQ6)</f>
        <v>2029</v>
      </c>
      <c r="AR7" s="275" t="n">
        <f aca="false">YEAR(AR6)</f>
        <v>2029</v>
      </c>
      <c r="AS7" s="275" t="n">
        <f aca="false">YEAR(AS6)</f>
        <v>2029</v>
      </c>
      <c r="AT7" s="275" t="n">
        <f aca="false">YEAR(AT6)</f>
        <v>2029</v>
      </c>
      <c r="AU7" s="275" t="n">
        <f aca="false">YEAR(AU6)</f>
        <v>2029</v>
      </c>
      <c r="AV7" s="275" t="n">
        <f aca="false">YEAR(AV6)</f>
        <v>2029</v>
      </c>
      <c r="AW7" s="275" t="n">
        <f aca="false">YEAR(AW6)</f>
        <v>2029</v>
      </c>
      <c r="AX7" s="275" t="n">
        <f aca="false">YEAR(AX6)</f>
        <v>2029</v>
      </c>
      <c r="AY7" s="275" t="n">
        <f aca="false">YEAR(AY6)</f>
        <v>2030</v>
      </c>
      <c r="AZ7" s="275" t="n">
        <f aca="false">YEAR(AZ6)</f>
        <v>2030</v>
      </c>
      <c r="BA7" s="275" t="n">
        <f aca="false">YEAR(BA6)</f>
        <v>2030</v>
      </c>
      <c r="BB7" s="275" t="n">
        <f aca="false">YEAR(BB6)</f>
        <v>2030</v>
      </c>
      <c r="BC7" s="275" t="n">
        <f aca="false">YEAR(BC6)</f>
        <v>2030</v>
      </c>
      <c r="BD7" s="275" t="n">
        <f aca="false">YEAR(BD6)</f>
        <v>2030</v>
      </c>
      <c r="BE7" s="275" t="n">
        <f aca="false">YEAR(BE6)</f>
        <v>2030</v>
      </c>
      <c r="BF7" s="275" t="n">
        <f aca="false">YEAR(BF6)</f>
        <v>2030</v>
      </c>
      <c r="BG7" s="275" t="n">
        <f aca="false">YEAR(BG6)</f>
        <v>2030</v>
      </c>
      <c r="BH7" s="275" t="n">
        <f aca="false">YEAR(BH6)</f>
        <v>2030</v>
      </c>
      <c r="BI7" s="275" t="n">
        <f aca="false">YEAR(BI6)</f>
        <v>2030</v>
      </c>
      <c r="BJ7" s="275" t="n">
        <f aca="false">YEAR(BJ6)</f>
        <v>2030</v>
      </c>
      <c r="BK7" s="275" t="n">
        <f aca="false">YEAR(BK6)</f>
        <v>2031</v>
      </c>
      <c r="BL7" s="275" t="n">
        <f aca="false">YEAR(BL6)</f>
        <v>2031</v>
      </c>
      <c r="BM7" s="275" t="n">
        <f aca="false">YEAR(BM6)</f>
        <v>2031</v>
      </c>
      <c r="BN7" s="275" t="n">
        <f aca="false">YEAR(BN6)</f>
        <v>2031</v>
      </c>
      <c r="BO7" s="275" t="n">
        <f aca="false">YEAR(BO6)</f>
        <v>2031</v>
      </c>
      <c r="BP7" s="275" t="n">
        <f aca="false">YEAR(BP6)</f>
        <v>2031</v>
      </c>
      <c r="BQ7" s="275" t="n">
        <f aca="false">YEAR(BQ6)</f>
        <v>2031</v>
      </c>
      <c r="BR7" s="275" t="n">
        <f aca="false">YEAR(BR6)</f>
        <v>2031</v>
      </c>
      <c r="BS7" s="275" t="n">
        <f aca="false">YEAR(BS6)</f>
        <v>2031</v>
      </c>
      <c r="BT7" s="275" t="n">
        <f aca="false">YEAR(BT6)</f>
        <v>2031</v>
      </c>
      <c r="BU7" s="275" t="n">
        <f aca="false">YEAR(BU6)</f>
        <v>2031</v>
      </c>
      <c r="BV7" s="275" t="n">
        <f aca="false">YEAR(BV6)</f>
        <v>2031</v>
      </c>
      <c r="BW7" s="275" t="n">
        <f aca="false">YEAR(BW6)</f>
        <v>2032</v>
      </c>
      <c r="BX7" s="275" t="n">
        <f aca="false">YEAR(BX6)</f>
        <v>2032</v>
      </c>
      <c r="BY7" s="275" t="n">
        <f aca="false">YEAR(BY6)</f>
        <v>2032</v>
      </c>
      <c r="BZ7" s="275" t="n">
        <f aca="false">YEAR(BZ6)</f>
        <v>2032</v>
      </c>
      <c r="CA7" s="275" t="n">
        <f aca="false">YEAR(CA6)</f>
        <v>2032</v>
      </c>
      <c r="CB7" s="275" t="n">
        <f aca="false">YEAR(CB6)</f>
        <v>2032</v>
      </c>
      <c r="CC7" s="275" t="n">
        <f aca="false">YEAR(CC6)</f>
        <v>2032</v>
      </c>
      <c r="CD7" s="275" t="n">
        <f aca="false">YEAR(CD6)</f>
        <v>2032</v>
      </c>
      <c r="CE7" s="275" t="n">
        <f aca="false">YEAR(CE6)</f>
        <v>2032</v>
      </c>
      <c r="CF7" s="275" t="n">
        <f aca="false">YEAR(CF6)</f>
        <v>2032</v>
      </c>
      <c r="CG7" s="275" t="n">
        <f aca="false">YEAR(CG6)</f>
        <v>2032</v>
      </c>
      <c r="CH7" s="275" t="n">
        <f aca="false">YEAR(CH6)</f>
        <v>2032</v>
      </c>
      <c r="CI7" s="275" t="n">
        <f aca="false">YEAR(CI6)</f>
        <v>2033</v>
      </c>
      <c r="CJ7" s="275" t="n">
        <f aca="false">YEAR(CJ6)</f>
        <v>2033</v>
      </c>
      <c r="CK7" s="275" t="n">
        <f aca="false">YEAR(CK6)</f>
        <v>2033</v>
      </c>
      <c r="CL7" s="275" t="n">
        <f aca="false">YEAR(CL6)</f>
        <v>2033</v>
      </c>
      <c r="CM7" s="275" t="n">
        <f aca="false">YEAR(CM6)</f>
        <v>2033</v>
      </c>
      <c r="CN7" s="275" t="n">
        <f aca="false">YEAR(CN6)</f>
        <v>2033</v>
      </c>
      <c r="CO7" s="275" t="n">
        <f aca="false">YEAR(CO6)</f>
        <v>2033</v>
      </c>
      <c r="CP7" s="275" t="n">
        <f aca="false">YEAR(CP6)</f>
        <v>2033</v>
      </c>
      <c r="CQ7" s="275" t="n">
        <f aca="false">YEAR(CQ6)</f>
        <v>2033</v>
      </c>
      <c r="CR7" s="275" t="n">
        <f aca="false">YEAR(CR6)</f>
        <v>2033</v>
      </c>
      <c r="CS7" s="275" t="n">
        <f aca="false">YEAR(CS6)</f>
        <v>2033</v>
      </c>
      <c r="CT7" s="275" t="n">
        <f aca="false">YEAR(CT6)</f>
        <v>2033</v>
      </c>
      <c r="CU7" s="275" t="n">
        <f aca="false">YEAR(CU6)</f>
        <v>2034</v>
      </c>
      <c r="CV7" s="275" t="n">
        <f aca="false">YEAR(CV6)</f>
        <v>2034</v>
      </c>
      <c r="CW7" s="275" t="n">
        <f aca="false">YEAR(CW6)</f>
        <v>2034</v>
      </c>
      <c r="CX7" s="275" t="n">
        <f aca="false">YEAR(CX6)</f>
        <v>2034</v>
      </c>
      <c r="CY7" s="275" t="n">
        <f aca="false">YEAR(CY6)</f>
        <v>2034</v>
      </c>
      <c r="CZ7" s="275" t="n">
        <f aca="false">YEAR(CZ6)</f>
        <v>2034</v>
      </c>
      <c r="DA7" s="275" t="n">
        <f aca="false">YEAR(DA6)</f>
        <v>2034</v>
      </c>
      <c r="DB7" s="275" t="n">
        <f aca="false">YEAR(DB6)</f>
        <v>2034</v>
      </c>
      <c r="DC7" s="275" t="n">
        <f aca="false">YEAR(DC6)</f>
        <v>2034</v>
      </c>
      <c r="DD7" s="275" t="n">
        <f aca="false">YEAR(DD6)</f>
        <v>2034</v>
      </c>
      <c r="DE7" s="275" t="n">
        <f aca="false">YEAR(DE6)</f>
        <v>2034</v>
      </c>
      <c r="DF7" s="275" t="n">
        <f aca="false">YEAR(DF6)</f>
        <v>2034</v>
      </c>
      <c r="DG7" s="275" t="n">
        <f aca="false">YEAR(DG6)</f>
        <v>2035</v>
      </c>
      <c r="DH7" s="275" t="n">
        <f aca="false">YEAR(DH6)</f>
        <v>2035</v>
      </c>
      <c r="DI7" s="275" t="n">
        <f aca="false">YEAR(DI6)</f>
        <v>2035</v>
      </c>
      <c r="DJ7" s="275" t="n">
        <f aca="false">YEAR(DJ6)</f>
        <v>2035</v>
      </c>
      <c r="DK7" s="275" t="n">
        <f aca="false">YEAR(DK6)</f>
        <v>2035</v>
      </c>
      <c r="DL7" s="275" t="n">
        <f aca="false">YEAR(DL6)</f>
        <v>2035</v>
      </c>
      <c r="DM7" s="275" t="n">
        <f aca="false">YEAR(DM6)</f>
        <v>2035</v>
      </c>
      <c r="DN7" s="275" t="n">
        <f aca="false">YEAR(DN6)</f>
        <v>2035</v>
      </c>
      <c r="DO7" s="275" t="n">
        <f aca="false">YEAR(DO6)</f>
        <v>2035</v>
      </c>
      <c r="DP7" s="275" t="n">
        <f aca="false">YEAR(DP6)</f>
        <v>2035</v>
      </c>
      <c r="DQ7" s="275" t="n">
        <f aca="false">YEAR(DQ6)</f>
        <v>2035</v>
      </c>
      <c r="DR7" s="275" t="n">
        <f aca="false">YEAR(DR6)</f>
        <v>2035</v>
      </c>
      <c r="DS7" s="275" t="n">
        <f aca="false">YEAR(DS6)</f>
        <v>2036</v>
      </c>
      <c r="DT7" s="275" t="n">
        <f aca="false">YEAR(DT6)</f>
        <v>2036</v>
      </c>
      <c r="DU7" s="275" t="n">
        <f aca="false">YEAR(DU6)</f>
        <v>2036</v>
      </c>
      <c r="DV7" s="275" t="n">
        <f aca="false">YEAR(DV6)</f>
        <v>2036</v>
      </c>
      <c r="DW7" s="275" t="n">
        <f aca="false">YEAR(DW6)</f>
        <v>2036</v>
      </c>
      <c r="DX7" s="275" t="n">
        <f aca="false">YEAR(DX6)</f>
        <v>2036</v>
      </c>
      <c r="DY7" s="275" t="n">
        <f aca="false">YEAR(DY6)</f>
        <v>2036</v>
      </c>
      <c r="DZ7" s="275" t="n">
        <f aca="false">YEAR(DZ6)</f>
        <v>2036</v>
      </c>
      <c r="EA7" s="275" t="n">
        <f aca="false">YEAR(EA6)</f>
        <v>2036</v>
      </c>
      <c r="EB7" s="275" t="n">
        <f aca="false">YEAR(EB6)</f>
        <v>2036</v>
      </c>
      <c r="EC7" s="275" t="n">
        <f aca="false">YEAR(EC6)</f>
        <v>2036</v>
      </c>
      <c r="ED7" s="275" t="n">
        <f aca="false">YEAR(ED6)</f>
        <v>2036</v>
      </c>
      <c r="EE7" s="275" t="n">
        <f aca="false">YEAR(EE6)</f>
        <v>2037</v>
      </c>
      <c r="EF7" s="275" t="n">
        <f aca="false">YEAR(EF6)</f>
        <v>2037</v>
      </c>
    </row>
    <row r="8" customFormat="false" ht="15" hidden="false" customHeight="false" outlineLevel="0" collapsed="false">
      <c r="A8" s="36" t="s">
        <v>564</v>
      </c>
      <c r="B8" s="273"/>
      <c r="E8" s="275" t="n">
        <f aca="false">1</f>
        <v>1</v>
      </c>
      <c r="F8" s="275" t="n">
        <f aca="false">E8+1</f>
        <v>2</v>
      </c>
      <c r="G8" s="275" t="n">
        <f aca="false">F8+1</f>
        <v>3</v>
      </c>
      <c r="H8" s="275" t="n">
        <f aca="false">G8+1</f>
        <v>4</v>
      </c>
      <c r="I8" s="275" t="n">
        <f aca="false">H8+1</f>
        <v>5</v>
      </c>
      <c r="J8" s="275" t="n">
        <f aca="false">I8+1</f>
        <v>6</v>
      </c>
      <c r="K8" s="275" t="n">
        <f aca="false">J8+1</f>
        <v>7</v>
      </c>
      <c r="L8" s="275" t="n">
        <f aca="false">K8+1</f>
        <v>8</v>
      </c>
      <c r="M8" s="275" t="n">
        <f aca="false">L8+1</f>
        <v>9</v>
      </c>
      <c r="N8" s="275" t="n">
        <f aca="false">M8+1</f>
        <v>10</v>
      </c>
      <c r="O8" s="275" t="n">
        <f aca="false">N8+1</f>
        <v>11</v>
      </c>
      <c r="P8" s="275" t="n">
        <f aca="false">O8+1</f>
        <v>12</v>
      </c>
      <c r="Q8" s="275" t="n">
        <f aca="false">P8+1</f>
        <v>13</v>
      </c>
      <c r="R8" s="275" t="n">
        <f aca="false">Q8+1</f>
        <v>14</v>
      </c>
      <c r="S8" s="275" t="n">
        <f aca="false">R8+1</f>
        <v>15</v>
      </c>
      <c r="T8" s="275" t="n">
        <f aca="false">S8+1</f>
        <v>16</v>
      </c>
      <c r="U8" s="275" t="n">
        <f aca="false">T8+1</f>
        <v>17</v>
      </c>
      <c r="V8" s="275" t="n">
        <f aca="false">U8+1</f>
        <v>18</v>
      </c>
      <c r="W8" s="275" t="n">
        <f aca="false">V8+1</f>
        <v>19</v>
      </c>
      <c r="X8" s="275" t="n">
        <f aca="false">W8+1</f>
        <v>20</v>
      </c>
      <c r="Y8" s="275" t="n">
        <f aca="false">X8+1</f>
        <v>21</v>
      </c>
      <c r="Z8" s="275" t="n">
        <f aca="false">Y8+1</f>
        <v>22</v>
      </c>
      <c r="AA8" s="275" t="n">
        <f aca="false">Z8+1</f>
        <v>23</v>
      </c>
      <c r="AB8" s="275" t="n">
        <f aca="false">AA8+1</f>
        <v>24</v>
      </c>
      <c r="AC8" s="275" t="n">
        <f aca="false">AB8+1</f>
        <v>25</v>
      </c>
      <c r="AD8" s="275" t="n">
        <f aca="false">AC8+1</f>
        <v>26</v>
      </c>
      <c r="AE8" s="275" t="n">
        <f aca="false">AD8+1</f>
        <v>27</v>
      </c>
      <c r="AF8" s="275" t="n">
        <f aca="false">AE8+1</f>
        <v>28</v>
      </c>
      <c r="AG8" s="275" t="n">
        <f aca="false">AF8+1</f>
        <v>29</v>
      </c>
      <c r="AH8" s="275" t="n">
        <f aca="false">AG8+1</f>
        <v>30</v>
      </c>
      <c r="AI8" s="275" t="n">
        <f aca="false">AH8+1</f>
        <v>31</v>
      </c>
      <c r="AJ8" s="275" t="n">
        <f aca="false">AI8+1</f>
        <v>32</v>
      </c>
      <c r="AK8" s="275" t="n">
        <f aca="false">AJ8+1</f>
        <v>33</v>
      </c>
      <c r="AL8" s="275" t="n">
        <f aca="false">AK8+1</f>
        <v>34</v>
      </c>
      <c r="AM8" s="275" t="n">
        <f aca="false">AL8+1</f>
        <v>35</v>
      </c>
      <c r="AN8" s="275" t="n">
        <f aca="false">AM8+1</f>
        <v>36</v>
      </c>
      <c r="AO8" s="275" t="n">
        <f aca="false">AN8+1</f>
        <v>37</v>
      </c>
      <c r="AP8" s="275" t="n">
        <f aca="false">AO8+1</f>
        <v>38</v>
      </c>
      <c r="AQ8" s="275" t="n">
        <f aca="false">AP8+1</f>
        <v>39</v>
      </c>
      <c r="AR8" s="275" t="n">
        <f aca="false">AQ8+1</f>
        <v>40</v>
      </c>
      <c r="AS8" s="275" t="n">
        <f aca="false">AR8+1</f>
        <v>41</v>
      </c>
      <c r="AT8" s="275" t="n">
        <f aca="false">AS8+1</f>
        <v>42</v>
      </c>
      <c r="AU8" s="275" t="n">
        <f aca="false">AT8+1</f>
        <v>43</v>
      </c>
      <c r="AV8" s="275" t="n">
        <f aca="false">AU8+1</f>
        <v>44</v>
      </c>
      <c r="AW8" s="275" t="n">
        <f aca="false">AV8+1</f>
        <v>45</v>
      </c>
      <c r="AX8" s="275" t="n">
        <f aca="false">AW8+1</f>
        <v>46</v>
      </c>
      <c r="AY8" s="275" t="n">
        <f aca="false">AX8+1</f>
        <v>47</v>
      </c>
      <c r="AZ8" s="275" t="n">
        <f aca="false">AY8+1</f>
        <v>48</v>
      </c>
      <c r="BA8" s="275" t="n">
        <f aca="false">AZ8+1</f>
        <v>49</v>
      </c>
      <c r="BB8" s="275" t="n">
        <f aca="false">BA8+1</f>
        <v>50</v>
      </c>
      <c r="BC8" s="275" t="n">
        <f aca="false">BB8+1</f>
        <v>51</v>
      </c>
      <c r="BD8" s="275" t="n">
        <f aca="false">BC8+1</f>
        <v>52</v>
      </c>
      <c r="BE8" s="275" t="n">
        <f aca="false">BD8+1</f>
        <v>53</v>
      </c>
      <c r="BF8" s="275" t="n">
        <f aca="false">BE8+1</f>
        <v>54</v>
      </c>
      <c r="BG8" s="275" t="n">
        <f aca="false">BF8+1</f>
        <v>55</v>
      </c>
      <c r="BH8" s="275" t="n">
        <f aca="false">BG8+1</f>
        <v>56</v>
      </c>
      <c r="BI8" s="275" t="n">
        <f aca="false">BH8+1</f>
        <v>57</v>
      </c>
      <c r="BJ8" s="275" t="n">
        <f aca="false">BI8+1</f>
        <v>58</v>
      </c>
      <c r="BK8" s="275" t="n">
        <f aca="false">BJ8+1</f>
        <v>59</v>
      </c>
      <c r="BL8" s="275" t="n">
        <f aca="false">BK8+1</f>
        <v>60</v>
      </c>
      <c r="BM8" s="275" t="n">
        <f aca="false">BL8+1</f>
        <v>61</v>
      </c>
      <c r="BN8" s="275" t="n">
        <f aca="false">BM8+1</f>
        <v>62</v>
      </c>
      <c r="BO8" s="275" t="n">
        <f aca="false">BN8+1</f>
        <v>63</v>
      </c>
      <c r="BP8" s="275" t="n">
        <f aca="false">BO8+1</f>
        <v>64</v>
      </c>
      <c r="BQ8" s="275" t="n">
        <f aca="false">BP8+1</f>
        <v>65</v>
      </c>
      <c r="BR8" s="275" t="n">
        <f aca="false">BQ8+1</f>
        <v>66</v>
      </c>
      <c r="BS8" s="275" t="n">
        <f aca="false">BR8+1</f>
        <v>67</v>
      </c>
      <c r="BT8" s="275" t="n">
        <f aca="false">BS8+1</f>
        <v>68</v>
      </c>
      <c r="BU8" s="275" t="n">
        <f aca="false">BT8+1</f>
        <v>69</v>
      </c>
      <c r="BV8" s="275" t="n">
        <f aca="false">BU8+1</f>
        <v>70</v>
      </c>
      <c r="BW8" s="275" t="n">
        <f aca="false">BV8+1</f>
        <v>71</v>
      </c>
      <c r="BX8" s="275" t="n">
        <f aca="false">BW8+1</f>
        <v>72</v>
      </c>
      <c r="BY8" s="275" t="n">
        <f aca="false">BX8+1</f>
        <v>73</v>
      </c>
      <c r="BZ8" s="275" t="n">
        <f aca="false">BY8+1</f>
        <v>74</v>
      </c>
      <c r="CA8" s="275" t="n">
        <f aca="false">BZ8+1</f>
        <v>75</v>
      </c>
      <c r="CB8" s="275" t="n">
        <f aca="false">CA8+1</f>
        <v>76</v>
      </c>
      <c r="CC8" s="275" t="n">
        <f aca="false">CB8+1</f>
        <v>77</v>
      </c>
      <c r="CD8" s="275" t="n">
        <f aca="false">CC8+1</f>
        <v>78</v>
      </c>
      <c r="CE8" s="275" t="n">
        <f aca="false">CD8+1</f>
        <v>79</v>
      </c>
      <c r="CF8" s="275" t="n">
        <f aca="false">CE8+1</f>
        <v>80</v>
      </c>
      <c r="CG8" s="275" t="n">
        <f aca="false">CF8+1</f>
        <v>81</v>
      </c>
      <c r="CH8" s="275" t="n">
        <f aca="false">CG8+1</f>
        <v>82</v>
      </c>
      <c r="CI8" s="275" t="n">
        <f aca="false">CH8+1</f>
        <v>83</v>
      </c>
      <c r="CJ8" s="275" t="n">
        <f aca="false">CI8+1</f>
        <v>84</v>
      </c>
      <c r="CK8" s="275" t="n">
        <f aca="false">CJ8+1</f>
        <v>85</v>
      </c>
      <c r="CL8" s="275" t="n">
        <f aca="false">CK8+1</f>
        <v>86</v>
      </c>
      <c r="CM8" s="275" t="n">
        <f aca="false">CL8+1</f>
        <v>87</v>
      </c>
      <c r="CN8" s="275" t="n">
        <f aca="false">CM8+1</f>
        <v>88</v>
      </c>
      <c r="CO8" s="275" t="n">
        <f aca="false">CN8+1</f>
        <v>89</v>
      </c>
      <c r="CP8" s="275" t="n">
        <f aca="false">CO8+1</f>
        <v>90</v>
      </c>
      <c r="CQ8" s="275" t="n">
        <f aca="false">CP8+1</f>
        <v>91</v>
      </c>
      <c r="CR8" s="275" t="n">
        <f aca="false">CQ8+1</f>
        <v>92</v>
      </c>
      <c r="CS8" s="275" t="n">
        <f aca="false">CR8+1</f>
        <v>93</v>
      </c>
      <c r="CT8" s="275" t="n">
        <f aca="false">CS8+1</f>
        <v>94</v>
      </c>
      <c r="CU8" s="275" t="n">
        <f aca="false">CT8+1</f>
        <v>95</v>
      </c>
      <c r="CV8" s="275" t="n">
        <f aca="false">CU8+1</f>
        <v>96</v>
      </c>
      <c r="CW8" s="275" t="n">
        <f aca="false">CV8+1</f>
        <v>97</v>
      </c>
      <c r="CX8" s="275" t="n">
        <f aca="false">CW8+1</f>
        <v>98</v>
      </c>
      <c r="CY8" s="275" t="n">
        <f aca="false">CX8+1</f>
        <v>99</v>
      </c>
      <c r="CZ8" s="275" t="n">
        <f aca="false">CY8+1</f>
        <v>100</v>
      </c>
      <c r="DA8" s="275" t="n">
        <f aca="false">CZ8+1</f>
        <v>101</v>
      </c>
      <c r="DB8" s="275" t="n">
        <f aca="false">DA8+1</f>
        <v>102</v>
      </c>
      <c r="DC8" s="275" t="n">
        <f aca="false">DB8+1</f>
        <v>103</v>
      </c>
      <c r="DD8" s="275" t="n">
        <f aca="false">DC8+1</f>
        <v>104</v>
      </c>
      <c r="DE8" s="275" t="n">
        <f aca="false">DD8+1</f>
        <v>105</v>
      </c>
      <c r="DF8" s="275" t="n">
        <f aca="false">DE8+1</f>
        <v>106</v>
      </c>
      <c r="DG8" s="275" t="n">
        <f aca="false">DF8+1</f>
        <v>107</v>
      </c>
      <c r="DH8" s="275" t="n">
        <f aca="false">DG8+1</f>
        <v>108</v>
      </c>
      <c r="DI8" s="275" t="n">
        <f aca="false">DH8+1</f>
        <v>109</v>
      </c>
      <c r="DJ8" s="275" t="n">
        <f aca="false">DI8+1</f>
        <v>110</v>
      </c>
      <c r="DK8" s="275" t="n">
        <f aca="false">DJ8+1</f>
        <v>111</v>
      </c>
      <c r="DL8" s="275" t="n">
        <f aca="false">DK8+1</f>
        <v>112</v>
      </c>
      <c r="DM8" s="275" t="n">
        <f aca="false">DL8+1</f>
        <v>113</v>
      </c>
      <c r="DN8" s="275" t="n">
        <f aca="false">DM8+1</f>
        <v>114</v>
      </c>
      <c r="DO8" s="275" t="n">
        <f aca="false">DN8+1</f>
        <v>115</v>
      </c>
      <c r="DP8" s="275" t="n">
        <f aca="false">DO8+1</f>
        <v>116</v>
      </c>
      <c r="DQ8" s="275" t="n">
        <f aca="false">DP8+1</f>
        <v>117</v>
      </c>
      <c r="DR8" s="275" t="n">
        <f aca="false">DQ8+1</f>
        <v>118</v>
      </c>
      <c r="DS8" s="275" t="n">
        <f aca="false">DR8+1</f>
        <v>119</v>
      </c>
      <c r="DT8" s="275" t="n">
        <f aca="false">DS8+1</f>
        <v>120</v>
      </c>
      <c r="DU8" s="275" t="n">
        <f aca="false">DT8+1</f>
        <v>121</v>
      </c>
      <c r="DV8" s="275" t="n">
        <f aca="false">DU8+1</f>
        <v>122</v>
      </c>
      <c r="DW8" s="275" t="n">
        <f aca="false">DV8+1</f>
        <v>123</v>
      </c>
      <c r="DX8" s="275" t="n">
        <f aca="false">DW8+1</f>
        <v>124</v>
      </c>
      <c r="DY8" s="275" t="n">
        <f aca="false">DX8+1</f>
        <v>125</v>
      </c>
      <c r="DZ8" s="275" t="n">
        <f aca="false">DY8+1</f>
        <v>126</v>
      </c>
      <c r="EA8" s="275" t="n">
        <f aca="false">DZ8+1</f>
        <v>127</v>
      </c>
      <c r="EB8" s="275" t="n">
        <f aca="false">EA8+1</f>
        <v>128</v>
      </c>
      <c r="EC8" s="275" t="n">
        <f aca="false">EB8+1</f>
        <v>129</v>
      </c>
      <c r="ED8" s="275" t="n">
        <f aca="false">EC8+1</f>
        <v>130</v>
      </c>
      <c r="EE8" s="275" t="n">
        <f aca="false">ED8+1</f>
        <v>131</v>
      </c>
      <c r="EF8" s="275" t="n">
        <f aca="false">EE8+1</f>
        <v>132</v>
      </c>
    </row>
    <row r="9" customFormat="false" ht="15" hidden="false" customHeight="false" outlineLevel="0" collapsed="false">
      <c r="A9" s="36" t="s">
        <v>565</v>
      </c>
      <c r="B9" s="273"/>
      <c r="E9" s="276" t="n">
        <f aca="false">IF(E6&lt;=②시니어_가정!$E$24,1,0)</f>
        <v>1</v>
      </c>
      <c r="F9" s="276" t="n">
        <f aca="false">IF(F6&lt;=②시니어_가정!$E$24,1,0)</f>
        <v>1</v>
      </c>
      <c r="G9" s="276" t="n">
        <f aca="false">IF(G6&lt;=②시니어_가정!$E$24,1,0)</f>
        <v>1</v>
      </c>
      <c r="H9" s="276" t="n">
        <f aca="false">IF(H6&lt;=②시니어_가정!$E$24,1,0)</f>
        <v>1</v>
      </c>
      <c r="I9" s="276" t="n">
        <f aca="false">IF(I6&lt;=②시니어_가정!$E$24,1,0)</f>
        <v>1</v>
      </c>
      <c r="J9" s="276" t="n">
        <f aca="false">IF(J6&lt;=②시니어_가정!$E$24,1,0)</f>
        <v>1</v>
      </c>
      <c r="K9" s="276" t="n">
        <f aca="false">IF(K6&lt;=②시니어_가정!$E$24,1,0)</f>
        <v>1</v>
      </c>
      <c r="L9" s="276" t="n">
        <f aca="false">IF(L6&lt;=②시니어_가정!$E$24,1,0)</f>
        <v>1</v>
      </c>
      <c r="M9" s="276" t="n">
        <f aca="false">IF(M6&lt;=②시니어_가정!$E$24,1,0)</f>
        <v>1</v>
      </c>
      <c r="N9" s="276" t="n">
        <f aca="false">IF(N6&lt;=②시니어_가정!$E$24,1,0)</f>
        <v>1</v>
      </c>
      <c r="O9" s="276" t="n">
        <f aca="false">IF(O6&lt;=②시니어_가정!$E$24,1,0)</f>
        <v>1</v>
      </c>
      <c r="P9" s="276" t="n">
        <f aca="false">IF(P6&lt;=②시니어_가정!$E$24,1,0)</f>
        <v>1</v>
      </c>
      <c r="Q9" s="276" t="n">
        <f aca="false">IF(Q6&lt;=②시니어_가정!$E$24,1,0)</f>
        <v>1</v>
      </c>
      <c r="R9" s="276" t="n">
        <f aca="false">IF(R6&lt;=②시니어_가정!$E$24,1,0)</f>
        <v>1</v>
      </c>
      <c r="S9" s="276" t="n">
        <f aca="false">IF(S6&lt;=②시니어_가정!$E$24,1,0)</f>
        <v>1</v>
      </c>
      <c r="T9" s="276" t="n">
        <f aca="false">IF(T6&lt;=②시니어_가정!$E$24,1,0)</f>
        <v>1</v>
      </c>
      <c r="U9" s="276" t="n">
        <f aca="false">IF(U6&lt;=②시니어_가정!$E$24,1,0)</f>
        <v>1</v>
      </c>
      <c r="V9" s="276" t="n">
        <f aca="false">IF(V6&lt;=②시니어_가정!$E$24,1,0)</f>
        <v>1</v>
      </c>
      <c r="W9" s="276" t="n">
        <f aca="false">IF(W6&lt;=②시니어_가정!$E$24,1,0)</f>
        <v>1</v>
      </c>
      <c r="X9" s="276" t="n">
        <f aca="false">IF(X6&lt;=②시니어_가정!$E$24,1,0)</f>
        <v>1</v>
      </c>
      <c r="Y9" s="276" t="n">
        <f aca="false">IF(Y6&lt;=②시니어_가정!$E$24,1,0)</f>
        <v>1</v>
      </c>
      <c r="Z9" s="276" t="n">
        <f aca="false">IF(Z6&lt;=②시니어_가정!$E$24,1,0)</f>
        <v>1</v>
      </c>
      <c r="AA9" s="276" t="n">
        <f aca="false">IF(AA6&lt;=②시니어_가정!$E$24,1,0)</f>
        <v>1</v>
      </c>
      <c r="AB9" s="276" t="n">
        <f aca="false">IF(AB6&lt;=②시니어_가정!$E$24,1,0)</f>
        <v>1</v>
      </c>
      <c r="AC9" s="276" t="n">
        <f aca="false">IF(AC6&lt;=②시니어_가정!$E$24,1,0)</f>
        <v>1</v>
      </c>
      <c r="AD9" s="276" t="n">
        <f aca="false">IF(AD6&lt;=②시니어_가정!$E$24,1,0)</f>
        <v>1</v>
      </c>
      <c r="AE9" s="276" t="n">
        <f aca="false">IF(AE6&lt;=②시니어_가정!$E$24,1,0)</f>
        <v>1</v>
      </c>
      <c r="AF9" s="276" t="n">
        <f aca="false">IF(AF6&lt;=②시니어_가정!$E$24,1,0)</f>
        <v>1</v>
      </c>
      <c r="AG9" s="276" t="n">
        <f aca="false">IF(AG6&lt;=②시니어_가정!$E$24,1,0)</f>
        <v>1</v>
      </c>
      <c r="AH9" s="276" t="n">
        <f aca="false">IF(AH6&lt;=②시니어_가정!$E$24,1,0)</f>
        <v>1</v>
      </c>
      <c r="AI9" s="276" t="n">
        <f aca="false">IF(AI6&lt;=②시니어_가정!$E$24,1,0)</f>
        <v>1</v>
      </c>
      <c r="AJ9" s="276" t="n">
        <f aca="false">IF(AJ6&lt;=②시니어_가정!$E$24,1,0)</f>
        <v>1</v>
      </c>
      <c r="AK9" s="276" t="n">
        <f aca="false">IF(AK6&lt;=②시니어_가정!$E$24,1,0)</f>
        <v>1</v>
      </c>
      <c r="AL9" s="276" t="n">
        <f aca="false">IF(AL6&lt;=②시니어_가정!$E$24,1,0)</f>
        <v>1</v>
      </c>
      <c r="AM9" s="276" t="n">
        <f aca="false">IF(AM6&lt;=②시니어_가정!$E$24,1,0)</f>
        <v>1</v>
      </c>
      <c r="AN9" s="276" t="n">
        <f aca="false">IF(AN6&lt;=②시니어_가정!$E$24,1,0)</f>
        <v>1</v>
      </c>
      <c r="AO9" s="276" t="n">
        <f aca="false">IF(AO6&lt;=②시니어_가정!$E$24,1,0)</f>
        <v>1</v>
      </c>
      <c r="AP9" s="276" t="n">
        <f aca="false">IF(AP6&lt;=②시니어_가정!$E$24,1,0)</f>
        <v>1</v>
      </c>
      <c r="AQ9" s="276" t="n">
        <f aca="false">IF(AQ6&lt;=②시니어_가정!$E$24,1,0)</f>
        <v>1</v>
      </c>
      <c r="AR9" s="276" t="n">
        <f aca="false">IF(AR6&lt;=②시니어_가정!$E$24,1,0)</f>
        <v>1</v>
      </c>
      <c r="AS9" s="276" t="n">
        <f aca="false">IF(AS6&lt;=②시니어_가정!$E$24,1,0)</f>
        <v>1</v>
      </c>
      <c r="AT9" s="276" t="n">
        <f aca="false">IF(AT6&lt;=②시니어_가정!$E$24,1,0)</f>
        <v>1</v>
      </c>
      <c r="AU9" s="276" t="n">
        <f aca="false">IF(AU6&lt;=②시니어_가정!$E$24,1,0)</f>
        <v>1</v>
      </c>
      <c r="AV9" s="276" t="n">
        <f aca="false">IF(AV6&lt;=②시니어_가정!$E$24,1,0)</f>
        <v>1</v>
      </c>
      <c r="AW9" s="276" t="n">
        <f aca="false">IF(AW6&lt;=②시니어_가정!$E$24,1,0)</f>
        <v>1</v>
      </c>
      <c r="AX9" s="276" t="n">
        <f aca="false">IF(AX6&lt;=②시니어_가정!$E$24,1,0)</f>
        <v>1</v>
      </c>
      <c r="AY9" s="276" t="n">
        <f aca="false">IF(AY6&lt;=②시니어_가정!$E$24,1,0)</f>
        <v>1</v>
      </c>
      <c r="AZ9" s="276" t="n">
        <f aca="false">IF(AZ6&lt;=②시니어_가정!$E$24,1,0)</f>
        <v>1</v>
      </c>
      <c r="BA9" s="276" t="n">
        <f aca="false">IF(BA6&lt;=②시니어_가정!$E$24,1,0)</f>
        <v>1</v>
      </c>
      <c r="BB9" s="276" t="n">
        <f aca="false">IF(BB6&lt;=②시니어_가정!$E$24,1,0)</f>
        <v>1</v>
      </c>
      <c r="BC9" s="276" t="n">
        <f aca="false">IF(BC6&lt;=②시니어_가정!$E$24,1,0)</f>
        <v>1</v>
      </c>
      <c r="BD9" s="276" t="n">
        <f aca="false">IF(BD6&lt;=②시니어_가정!$E$24,1,0)</f>
        <v>1</v>
      </c>
      <c r="BE9" s="276" t="n">
        <f aca="false">IF(BE6&lt;=②시니어_가정!$E$24,1,0)</f>
        <v>1</v>
      </c>
      <c r="BF9" s="276" t="n">
        <f aca="false">IF(BF6&lt;=②시니어_가정!$E$24,1,0)</f>
        <v>1</v>
      </c>
      <c r="BG9" s="276" t="n">
        <f aca="false">IF(BG6&lt;=②시니어_가정!$E$24,1,0)</f>
        <v>1</v>
      </c>
      <c r="BH9" s="276" t="n">
        <f aca="false">IF(BH6&lt;=②시니어_가정!$E$24,1,0)</f>
        <v>1</v>
      </c>
      <c r="BI9" s="276" t="n">
        <f aca="false">IF(BI6&lt;=②시니어_가정!$E$24,1,0)</f>
        <v>1</v>
      </c>
      <c r="BJ9" s="276" t="n">
        <f aca="false">IF(BJ6&lt;=②시니어_가정!$E$24,1,0)</f>
        <v>1</v>
      </c>
      <c r="BK9" s="276" t="n">
        <f aca="false">IF(BK6&lt;=②시니어_가정!$E$24,1,0)</f>
        <v>1</v>
      </c>
      <c r="BL9" s="276" t="n">
        <f aca="false">IF(BL6&lt;=②시니어_가정!$E$24,1,0)</f>
        <v>1</v>
      </c>
      <c r="BM9" s="276" t="n">
        <f aca="false">IF(BM6&lt;=②시니어_가정!$E$24,1,0)</f>
        <v>1</v>
      </c>
      <c r="BN9" s="276" t="n">
        <f aca="false">IF(BN6&lt;=②시니어_가정!$E$24,1,0)</f>
        <v>1</v>
      </c>
      <c r="BO9" s="276" t="n">
        <f aca="false">IF(BO6&lt;=②시니어_가정!$E$24,1,0)</f>
        <v>1</v>
      </c>
      <c r="BP9" s="276" t="n">
        <f aca="false">IF(BP6&lt;=②시니어_가정!$E$24,1,0)</f>
        <v>1</v>
      </c>
      <c r="BQ9" s="276" t="n">
        <f aca="false">IF(BQ6&lt;=②시니어_가정!$E$24,1,0)</f>
        <v>1</v>
      </c>
      <c r="BR9" s="276" t="n">
        <f aca="false">IF(BR6&lt;=②시니어_가정!$E$24,1,0)</f>
        <v>1</v>
      </c>
      <c r="BS9" s="276" t="n">
        <f aca="false">IF(BS6&lt;=②시니어_가정!$E$24,1,0)</f>
        <v>1</v>
      </c>
      <c r="BT9" s="276" t="n">
        <f aca="false">IF(BT6&lt;=②시니어_가정!$E$24,1,0)</f>
        <v>1</v>
      </c>
      <c r="BU9" s="276" t="n">
        <f aca="false">IF(BU6&lt;=②시니어_가정!$E$24,1,0)</f>
        <v>1</v>
      </c>
      <c r="BV9" s="276" t="n">
        <f aca="false">IF(BV6&lt;=②시니어_가정!$E$24,1,0)</f>
        <v>1</v>
      </c>
      <c r="BW9" s="276" t="n">
        <f aca="false">IF(BW6&lt;=②시니어_가정!$E$24,1,0)</f>
        <v>1</v>
      </c>
      <c r="BX9" s="276" t="n">
        <f aca="false">IF(BX6&lt;=②시니어_가정!$E$24,1,0)</f>
        <v>1</v>
      </c>
      <c r="BY9" s="276" t="n">
        <f aca="false">IF(BY6&lt;=②시니어_가정!$E$24,1,0)</f>
        <v>1</v>
      </c>
      <c r="BZ9" s="276" t="n">
        <f aca="false">IF(BZ6&lt;=②시니어_가정!$E$24,1,0)</f>
        <v>1</v>
      </c>
      <c r="CA9" s="276" t="n">
        <f aca="false">IF(CA6&lt;=②시니어_가정!$E$24,1,0)</f>
        <v>1</v>
      </c>
      <c r="CB9" s="276" t="n">
        <f aca="false">IF(CB6&lt;=②시니어_가정!$E$24,1,0)</f>
        <v>1</v>
      </c>
      <c r="CC9" s="276" t="n">
        <f aca="false">IF(CC6&lt;=②시니어_가정!$E$24,1,0)</f>
        <v>1</v>
      </c>
      <c r="CD9" s="276" t="n">
        <f aca="false">IF(CD6&lt;=②시니어_가정!$E$24,1,0)</f>
        <v>1</v>
      </c>
      <c r="CE9" s="276" t="n">
        <f aca="false">IF(CE6&lt;=②시니어_가정!$E$24,1,0)</f>
        <v>1</v>
      </c>
      <c r="CF9" s="276" t="n">
        <f aca="false">IF(CF6&lt;=②시니어_가정!$E$24,1,0)</f>
        <v>1</v>
      </c>
      <c r="CG9" s="276" t="n">
        <f aca="false">IF(CG6&lt;=②시니어_가정!$E$24,1,0)</f>
        <v>1</v>
      </c>
      <c r="CH9" s="276" t="n">
        <f aca="false">IF(CH6&lt;=②시니어_가정!$E$24,1,0)</f>
        <v>1</v>
      </c>
      <c r="CI9" s="276" t="n">
        <f aca="false">IF(CI6&lt;=②시니어_가정!$E$24,1,0)</f>
        <v>1</v>
      </c>
      <c r="CJ9" s="276" t="n">
        <f aca="false">IF(CJ6&lt;=②시니어_가정!$E$24,1,0)</f>
        <v>1</v>
      </c>
      <c r="CK9" s="276" t="n">
        <f aca="false">IF(CK6&lt;=②시니어_가정!$E$24,1,0)</f>
        <v>1</v>
      </c>
      <c r="CL9" s="276" t="n">
        <f aca="false">IF(CL6&lt;=②시니어_가정!$E$24,1,0)</f>
        <v>1</v>
      </c>
      <c r="CM9" s="276" t="n">
        <f aca="false">IF(CM6&lt;=②시니어_가정!$E$24,1,0)</f>
        <v>1</v>
      </c>
      <c r="CN9" s="276" t="n">
        <f aca="false">IF(CN6&lt;=②시니어_가정!$E$24,1,0)</f>
        <v>1</v>
      </c>
      <c r="CO9" s="276" t="n">
        <f aca="false">IF(CO6&lt;=②시니어_가정!$E$24,1,0)</f>
        <v>1</v>
      </c>
      <c r="CP9" s="276" t="n">
        <f aca="false">IF(CP6&lt;=②시니어_가정!$E$24,1,0)</f>
        <v>1</v>
      </c>
      <c r="CQ9" s="276" t="n">
        <f aca="false">IF(CQ6&lt;=②시니어_가정!$E$24,1,0)</f>
        <v>1</v>
      </c>
      <c r="CR9" s="276" t="n">
        <f aca="false">IF(CR6&lt;=②시니어_가정!$E$24,1,0)</f>
        <v>1</v>
      </c>
      <c r="CS9" s="276" t="n">
        <f aca="false">IF(CS6&lt;=②시니어_가정!$E$24,1,0)</f>
        <v>1</v>
      </c>
      <c r="CT9" s="276" t="n">
        <f aca="false">IF(CT6&lt;=②시니어_가정!$E$24,1,0)</f>
        <v>1</v>
      </c>
      <c r="CU9" s="276" t="n">
        <f aca="false">IF(CU6&lt;=②시니어_가정!$E$24,1,0)</f>
        <v>1</v>
      </c>
      <c r="CV9" s="276" t="n">
        <f aca="false">IF(CV6&lt;=②시니어_가정!$E$24,1,0)</f>
        <v>1</v>
      </c>
      <c r="CW9" s="276" t="n">
        <f aca="false">IF(CW6&lt;=②시니어_가정!$E$24,1,0)</f>
        <v>1</v>
      </c>
      <c r="CX9" s="276" t="n">
        <f aca="false">IF(CX6&lt;=②시니어_가정!$E$24,1,0)</f>
        <v>1</v>
      </c>
      <c r="CY9" s="276" t="n">
        <f aca="false">IF(CY6&lt;=②시니어_가정!$E$24,1,0)</f>
        <v>1</v>
      </c>
      <c r="CZ9" s="276" t="n">
        <f aca="false">IF(CZ6&lt;=②시니어_가정!$E$24,1,0)</f>
        <v>1</v>
      </c>
      <c r="DA9" s="276" t="n">
        <f aca="false">IF(DA6&lt;=②시니어_가정!$E$24,1,0)</f>
        <v>1</v>
      </c>
      <c r="DB9" s="276" t="n">
        <f aca="false">IF(DB6&lt;=②시니어_가정!$E$24,1,0)</f>
        <v>1</v>
      </c>
      <c r="DC9" s="276" t="n">
        <f aca="false">IF(DC6&lt;=②시니어_가정!$E$24,1,0)</f>
        <v>1</v>
      </c>
      <c r="DD9" s="276" t="n">
        <f aca="false">IF(DD6&lt;=②시니어_가정!$E$24,1,0)</f>
        <v>1</v>
      </c>
      <c r="DE9" s="276" t="n">
        <f aca="false">IF(DE6&lt;=②시니어_가정!$E$24,1,0)</f>
        <v>1</v>
      </c>
      <c r="DF9" s="276" t="n">
        <f aca="false">IF(DF6&lt;=②시니어_가정!$E$24,1,0)</f>
        <v>1</v>
      </c>
      <c r="DG9" s="276" t="n">
        <f aca="false">IF(DG6&lt;=②시니어_가정!$E$24,1,0)</f>
        <v>1</v>
      </c>
      <c r="DH9" s="276" t="n">
        <f aca="false">IF(DH6&lt;=②시니어_가정!$E$24,1,0)</f>
        <v>1</v>
      </c>
      <c r="DI9" s="276" t="n">
        <f aca="false">IF(DI6&lt;=②시니어_가정!$E$24,1,0)</f>
        <v>1</v>
      </c>
      <c r="DJ9" s="276" t="n">
        <f aca="false">IF(DJ6&lt;=②시니어_가정!$E$24,1,0)</f>
        <v>1</v>
      </c>
      <c r="DK9" s="276" t="n">
        <f aca="false">IF(DK6&lt;=②시니어_가정!$E$24,1,0)</f>
        <v>1</v>
      </c>
      <c r="DL9" s="276" t="n">
        <f aca="false">IF(DL6&lt;=②시니어_가정!$E$24,1,0)</f>
        <v>1</v>
      </c>
      <c r="DM9" s="276" t="n">
        <f aca="false">IF(DM6&lt;=②시니어_가정!$E$24,1,0)</f>
        <v>1</v>
      </c>
      <c r="DN9" s="276" t="n">
        <f aca="false">IF(DN6&lt;=②시니어_가정!$E$24,1,0)</f>
        <v>1</v>
      </c>
      <c r="DO9" s="276" t="n">
        <f aca="false">IF(DO6&lt;=②시니어_가정!$E$24,1,0)</f>
        <v>1</v>
      </c>
      <c r="DP9" s="276" t="n">
        <f aca="false">IF(DP6&lt;=②시니어_가정!$E$24,1,0)</f>
        <v>1</v>
      </c>
      <c r="DQ9" s="276" t="n">
        <f aca="false">IF(DQ6&lt;=②시니어_가정!$E$24,1,0)</f>
        <v>1</v>
      </c>
      <c r="DR9" s="276" t="n">
        <f aca="false">IF(DR6&lt;=②시니어_가정!$E$24,1,0)</f>
        <v>1</v>
      </c>
      <c r="DS9" s="276" t="n">
        <f aca="false">IF(DS6&lt;=②시니어_가정!$E$24,1,0)</f>
        <v>1</v>
      </c>
      <c r="DT9" s="276" t="n">
        <f aca="false">IF(DT6&lt;=②시니어_가정!$E$24,1,0)</f>
        <v>1</v>
      </c>
      <c r="DU9" s="276" t="n">
        <f aca="false">IF(DU6&lt;=②시니어_가정!$E$24,1,0)</f>
        <v>1</v>
      </c>
      <c r="DV9" s="276" t="n">
        <f aca="false">IF(DV6&lt;=②시니어_가정!$E$24,1,0)</f>
        <v>1</v>
      </c>
      <c r="DW9" s="276" t="n">
        <f aca="false">IF(DW6&lt;=②시니어_가정!$E$24,1,0)</f>
        <v>1</v>
      </c>
      <c r="DX9" s="276" t="n">
        <f aca="false">IF(DX6&lt;=②시니어_가정!$E$24,1,0)</f>
        <v>0</v>
      </c>
      <c r="DY9" s="276" t="n">
        <f aca="false">IF(DY6&lt;=②시니어_가정!$E$24,1,0)</f>
        <v>0</v>
      </c>
      <c r="DZ9" s="276" t="n">
        <f aca="false">IF(DZ6&lt;=②시니어_가정!$E$24,1,0)</f>
        <v>0</v>
      </c>
      <c r="EA9" s="276" t="n">
        <f aca="false">IF(EA6&lt;=②시니어_가정!$E$24,1,0)</f>
        <v>0</v>
      </c>
      <c r="EB9" s="276" t="n">
        <f aca="false">IF(EB6&lt;=②시니어_가정!$E$24,1,0)</f>
        <v>0</v>
      </c>
      <c r="EC9" s="276" t="n">
        <f aca="false">IF(EC6&lt;=②시니어_가정!$E$24,1,0)</f>
        <v>0</v>
      </c>
      <c r="ED9" s="276" t="n">
        <f aca="false">IF(ED6&lt;=②시니어_가정!$E$24,1,0)</f>
        <v>0</v>
      </c>
      <c r="EE9" s="276" t="n">
        <f aca="false">IF(EE6&lt;=②시니어_가정!$E$24,1,0)</f>
        <v>0</v>
      </c>
      <c r="EF9" s="276" t="n">
        <f aca="false">IF(EF6&lt;=②시니어_가정!$E$24,1,0)</f>
        <v>0</v>
      </c>
    </row>
    <row r="10" customFormat="false" ht="15" hidden="false" customHeight="false" outlineLevel="0" collapsed="false">
      <c r="A10" s="36" t="s">
        <v>566</v>
      </c>
      <c r="B10" s="273"/>
      <c r="E10" s="276" t="n">
        <f aca="false">IF(E6&lt;=②시니어_가정!$E$16,1,0)</f>
        <v>1</v>
      </c>
      <c r="F10" s="276" t="n">
        <f aca="false">IF(F6&lt;=②시니어_가정!$E$16,1,0)</f>
        <v>1</v>
      </c>
      <c r="G10" s="276" t="n">
        <f aca="false">IF(G6&lt;=②시니어_가정!$E$16,1,0)</f>
        <v>1</v>
      </c>
      <c r="H10" s="276" t="n">
        <f aca="false">IF(H6&lt;=②시니어_가정!$E$16,1,0)</f>
        <v>1</v>
      </c>
      <c r="I10" s="276" t="n">
        <f aca="false">IF(I6&lt;=②시니어_가정!$E$16,1,0)</f>
        <v>1</v>
      </c>
      <c r="J10" s="276" t="n">
        <f aca="false">IF(J6&lt;=②시니어_가정!$E$16,1,0)</f>
        <v>1</v>
      </c>
      <c r="K10" s="276" t="n">
        <f aca="false">IF(K6&lt;=②시니어_가정!$E$16,1,0)</f>
        <v>1</v>
      </c>
      <c r="L10" s="276" t="n">
        <f aca="false">IF(L6&lt;=②시니어_가정!$E$16,1,0)</f>
        <v>1</v>
      </c>
      <c r="M10" s="276" t="n">
        <f aca="false">IF(M6&lt;=②시니어_가정!$E$16,1,0)</f>
        <v>1</v>
      </c>
      <c r="N10" s="276" t="n">
        <f aca="false">IF(N6&lt;=②시니어_가정!$E$16,1,0)</f>
        <v>1</v>
      </c>
      <c r="O10" s="276" t="n">
        <f aca="false">IF(O6&lt;=②시니어_가정!$E$16,1,0)</f>
        <v>1</v>
      </c>
      <c r="P10" s="276" t="n">
        <f aca="false">IF(P6&lt;=②시니어_가정!$E$16,1,0)</f>
        <v>1</v>
      </c>
      <c r="Q10" s="276" t="n">
        <f aca="false">IF(Q6&lt;=②시니어_가정!$E$16,1,0)</f>
        <v>1</v>
      </c>
      <c r="R10" s="276" t="n">
        <f aca="false">IF(R6&lt;=②시니어_가정!$E$16,1,0)</f>
        <v>1</v>
      </c>
      <c r="S10" s="276" t="n">
        <f aca="false">IF(S6&lt;=②시니어_가정!$E$16,1,0)</f>
        <v>1</v>
      </c>
      <c r="T10" s="276" t="n">
        <f aca="false">IF(T6&lt;=②시니어_가정!$E$16,1,0)</f>
        <v>1</v>
      </c>
      <c r="U10" s="276" t="n">
        <f aca="false">IF(U6&lt;=②시니어_가정!$E$16,1,0)</f>
        <v>1</v>
      </c>
      <c r="V10" s="276" t="n">
        <f aca="false">IF(V6&lt;=②시니어_가정!$E$16,1,0)</f>
        <v>1</v>
      </c>
      <c r="W10" s="276" t="n">
        <f aca="false">IF(W6&lt;=②시니어_가정!$E$16,1,0)</f>
        <v>1</v>
      </c>
      <c r="X10" s="276" t="n">
        <f aca="false">IF(X6&lt;=②시니어_가정!$E$16,1,0)</f>
        <v>1</v>
      </c>
      <c r="Y10" s="276" t="n">
        <f aca="false">IF(Y6&lt;=②시니어_가정!$E$16,1,0)</f>
        <v>1</v>
      </c>
      <c r="Z10" s="276" t="n">
        <f aca="false">IF(Z6&lt;=②시니어_가정!$E$16,1,0)</f>
        <v>1</v>
      </c>
      <c r="AA10" s="276" t="n">
        <f aca="false">IF(AA6&lt;=②시니어_가정!$E$16,1,0)</f>
        <v>1</v>
      </c>
      <c r="AB10" s="276" t="n">
        <f aca="false">IF(AB6&lt;=②시니어_가정!$E$16,1,0)</f>
        <v>1</v>
      </c>
      <c r="AC10" s="276" t="n">
        <f aca="false">IF(AC6&lt;=②시니어_가정!$E$16,1,0)</f>
        <v>1</v>
      </c>
      <c r="AD10" s="276" t="n">
        <f aca="false">IF(AD6&lt;=②시니어_가정!$E$16,1,0)</f>
        <v>1</v>
      </c>
      <c r="AE10" s="276" t="n">
        <f aca="false">IF(AE6&lt;=②시니어_가정!$E$16,1,0)</f>
        <v>1</v>
      </c>
      <c r="AF10" s="276" t="n">
        <f aca="false">IF(AF6&lt;=②시니어_가정!$E$16,1,0)</f>
        <v>1</v>
      </c>
      <c r="AG10" s="276" t="n">
        <f aca="false">IF(AG6&lt;=②시니어_가정!$E$16,1,0)</f>
        <v>1</v>
      </c>
      <c r="AH10" s="276" t="n">
        <f aca="false">IF(AH6&lt;=②시니어_가정!$E$16,1,0)</f>
        <v>1</v>
      </c>
      <c r="AI10" s="276" t="n">
        <f aca="false">IF(AI6&lt;=②시니어_가정!$E$16,1,0)</f>
        <v>1</v>
      </c>
      <c r="AJ10" s="276" t="n">
        <f aca="false">IF(AJ6&lt;=②시니어_가정!$E$16,1,0)</f>
        <v>1</v>
      </c>
      <c r="AK10" s="276" t="n">
        <f aca="false">IF(AK6&lt;=②시니어_가정!$E$16,1,0)</f>
        <v>1</v>
      </c>
      <c r="AL10" s="276" t="n">
        <f aca="false">IF(AL6&lt;=②시니어_가정!$E$16,1,0)</f>
        <v>1</v>
      </c>
      <c r="AM10" s="276" t="n">
        <f aca="false">IF(AM6&lt;=②시니어_가정!$E$16,1,0)</f>
        <v>1</v>
      </c>
      <c r="AN10" s="276" t="n">
        <f aca="false">IF(AN6&lt;=②시니어_가정!$E$16,1,0)</f>
        <v>1</v>
      </c>
      <c r="AO10" s="276" t="n">
        <f aca="false">IF(AO6&lt;=②시니어_가정!$E$16,1,0)</f>
        <v>1</v>
      </c>
      <c r="AP10" s="276" t="n">
        <f aca="false">IF(AP6&lt;=②시니어_가정!$E$16,1,0)</f>
        <v>1</v>
      </c>
      <c r="AQ10" s="276" t="n">
        <f aca="false">IF(AQ6&lt;=②시니어_가정!$E$16,1,0)</f>
        <v>1</v>
      </c>
      <c r="AR10" s="276" t="n">
        <f aca="false">IF(AR6&lt;=②시니어_가정!$E$16,1,0)</f>
        <v>1</v>
      </c>
      <c r="AS10" s="276" t="n">
        <f aca="false">IF(AS6&lt;=②시니어_가정!$E$16,1,0)</f>
        <v>1</v>
      </c>
      <c r="AT10" s="276" t="n">
        <f aca="false">IF(AT6&lt;=②시니어_가정!$E$16,1,0)</f>
        <v>1</v>
      </c>
      <c r="AU10" s="276" t="n">
        <f aca="false">IF(AU6&lt;=②시니어_가정!$E$16,1,0)</f>
        <v>1</v>
      </c>
      <c r="AV10" s="276" t="n">
        <f aca="false">IF(AV6&lt;=②시니어_가정!$E$16,1,0)</f>
        <v>1</v>
      </c>
      <c r="AW10" s="276" t="n">
        <f aca="false">IF(AW6&lt;=②시니어_가정!$E$16,1,0)</f>
        <v>1</v>
      </c>
      <c r="AX10" s="276" t="n">
        <f aca="false">IF(AX6&lt;=②시니어_가정!$E$16,1,0)</f>
        <v>1</v>
      </c>
      <c r="AY10" s="276" t="n">
        <f aca="false">IF(AY6&lt;=②시니어_가정!$E$16,1,0)</f>
        <v>1</v>
      </c>
      <c r="AZ10" s="276" t="n">
        <f aca="false">IF(AZ6&lt;=②시니어_가정!$E$16,1,0)</f>
        <v>1</v>
      </c>
      <c r="BA10" s="276" t="n">
        <f aca="false">IF(BA6&lt;=②시니어_가정!$E$16,1,0)</f>
        <v>1</v>
      </c>
      <c r="BB10" s="276" t="n">
        <f aca="false">IF(BB6&lt;=②시니어_가정!$E$16,1,0)</f>
        <v>1</v>
      </c>
      <c r="BC10" s="276" t="n">
        <f aca="false">IF(BC6&lt;=②시니어_가정!$E$16,1,0)</f>
        <v>1</v>
      </c>
      <c r="BD10" s="276" t="n">
        <f aca="false">IF(BD6&lt;=②시니어_가정!$E$16,1,0)</f>
        <v>1</v>
      </c>
      <c r="BE10" s="276" t="n">
        <f aca="false">IF(BE6&lt;=②시니어_가정!$E$16,1,0)</f>
        <v>1</v>
      </c>
      <c r="BF10" s="276" t="n">
        <f aca="false">IF(BF6&lt;=②시니어_가정!$E$16,1,0)</f>
        <v>1</v>
      </c>
      <c r="BG10" s="276" t="n">
        <f aca="false">IF(BG6&lt;=②시니어_가정!$E$16,1,0)</f>
        <v>1</v>
      </c>
      <c r="BH10" s="276" t="n">
        <f aca="false">IF(BH6&lt;=②시니어_가정!$E$16,1,0)</f>
        <v>1</v>
      </c>
      <c r="BI10" s="276" t="n">
        <f aca="false">IF(BI6&lt;=②시니어_가정!$E$16,1,0)</f>
        <v>1</v>
      </c>
      <c r="BJ10" s="276" t="n">
        <f aca="false">IF(BJ6&lt;=②시니어_가정!$E$16,1,0)</f>
        <v>1</v>
      </c>
      <c r="BK10" s="276" t="n">
        <f aca="false">IF(BK6&lt;=②시니어_가정!$E$16,1,0)</f>
        <v>1</v>
      </c>
      <c r="BL10" s="276" t="n">
        <f aca="false">IF(BL6&lt;=②시니어_가정!$E$16,1,0)</f>
        <v>1</v>
      </c>
      <c r="BM10" s="276" t="n">
        <f aca="false">IF(BM6&lt;=②시니어_가정!$E$16,1,0)</f>
        <v>0</v>
      </c>
      <c r="BN10" s="276" t="n">
        <f aca="false">IF(BN6&lt;=②시니어_가정!$E$16,1,0)</f>
        <v>0</v>
      </c>
      <c r="BO10" s="276" t="n">
        <f aca="false">IF(BO6&lt;=②시니어_가정!$E$16,1,0)</f>
        <v>0</v>
      </c>
      <c r="BP10" s="276" t="n">
        <f aca="false">IF(BP6&lt;=②시니어_가정!$E$16,1,0)</f>
        <v>0</v>
      </c>
      <c r="BQ10" s="276" t="n">
        <f aca="false">IF(BQ6&lt;=②시니어_가정!$E$16,1,0)</f>
        <v>0</v>
      </c>
      <c r="BR10" s="276" t="n">
        <f aca="false">IF(BR6&lt;=②시니어_가정!$E$16,1,0)</f>
        <v>0</v>
      </c>
      <c r="BS10" s="276" t="n">
        <f aca="false">IF(BS6&lt;=②시니어_가정!$E$16,1,0)</f>
        <v>0</v>
      </c>
      <c r="BT10" s="276" t="n">
        <f aca="false">IF(BT6&lt;=②시니어_가정!$E$16,1,0)</f>
        <v>0</v>
      </c>
      <c r="BU10" s="276" t="n">
        <f aca="false">IF(BU6&lt;=②시니어_가정!$E$16,1,0)</f>
        <v>0</v>
      </c>
      <c r="BV10" s="276" t="n">
        <f aca="false">IF(BV6&lt;=②시니어_가정!$E$16,1,0)</f>
        <v>0</v>
      </c>
      <c r="BW10" s="276" t="n">
        <f aca="false">IF(BW6&lt;=②시니어_가정!$E$16,1,0)</f>
        <v>0</v>
      </c>
      <c r="BX10" s="276" t="n">
        <f aca="false">IF(BX6&lt;=②시니어_가정!$E$16,1,0)</f>
        <v>0</v>
      </c>
      <c r="BY10" s="276" t="n">
        <f aca="false">IF(BY6&lt;=②시니어_가정!$E$16,1,0)</f>
        <v>0</v>
      </c>
      <c r="BZ10" s="276" t="n">
        <f aca="false">IF(BZ6&lt;=②시니어_가정!$E$16,1,0)</f>
        <v>0</v>
      </c>
      <c r="CA10" s="276" t="n">
        <f aca="false">IF(CA6&lt;=②시니어_가정!$E$16,1,0)</f>
        <v>0</v>
      </c>
      <c r="CB10" s="276" t="n">
        <f aca="false">IF(CB6&lt;=②시니어_가정!$E$16,1,0)</f>
        <v>0</v>
      </c>
      <c r="CC10" s="276" t="n">
        <f aca="false">IF(CC6&lt;=②시니어_가정!$E$16,1,0)</f>
        <v>0</v>
      </c>
      <c r="CD10" s="276" t="n">
        <f aca="false">IF(CD6&lt;=②시니어_가정!$E$16,1,0)</f>
        <v>0</v>
      </c>
      <c r="CE10" s="276" t="n">
        <f aca="false">IF(CE6&lt;=②시니어_가정!$E$16,1,0)</f>
        <v>0</v>
      </c>
      <c r="CF10" s="276" t="n">
        <f aca="false">IF(CF6&lt;=②시니어_가정!$E$16,1,0)</f>
        <v>0</v>
      </c>
      <c r="CG10" s="276" t="n">
        <f aca="false">IF(CG6&lt;=②시니어_가정!$E$16,1,0)</f>
        <v>0</v>
      </c>
      <c r="CH10" s="276" t="n">
        <f aca="false">IF(CH6&lt;=②시니어_가정!$E$16,1,0)</f>
        <v>0</v>
      </c>
      <c r="CI10" s="276" t="n">
        <f aca="false">IF(CI6&lt;=②시니어_가정!$E$16,1,0)</f>
        <v>0</v>
      </c>
      <c r="CJ10" s="276" t="n">
        <f aca="false">IF(CJ6&lt;=②시니어_가정!$E$16,1,0)</f>
        <v>0</v>
      </c>
      <c r="CK10" s="276" t="n">
        <f aca="false">IF(CK6&lt;=②시니어_가정!$E$16,1,0)</f>
        <v>0</v>
      </c>
      <c r="CL10" s="276" t="n">
        <f aca="false">IF(CL6&lt;=②시니어_가정!$E$16,1,0)</f>
        <v>0</v>
      </c>
      <c r="CM10" s="276" t="n">
        <f aca="false">IF(CM6&lt;=②시니어_가정!$E$16,1,0)</f>
        <v>0</v>
      </c>
      <c r="CN10" s="276" t="n">
        <f aca="false">IF(CN6&lt;=②시니어_가정!$E$16,1,0)</f>
        <v>0</v>
      </c>
      <c r="CO10" s="276" t="n">
        <f aca="false">IF(CO6&lt;=②시니어_가정!$E$16,1,0)</f>
        <v>0</v>
      </c>
      <c r="CP10" s="276" t="n">
        <f aca="false">IF(CP6&lt;=②시니어_가정!$E$16,1,0)</f>
        <v>0</v>
      </c>
      <c r="CQ10" s="276" t="n">
        <f aca="false">IF(CQ6&lt;=②시니어_가정!$E$16,1,0)</f>
        <v>0</v>
      </c>
      <c r="CR10" s="276" t="n">
        <f aca="false">IF(CR6&lt;=②시니어_가정!$E$16,1,0)</f>
        <v>0</v>
      </c>
      <c r="CS10" s="276" t="n">
        <f aca="false">IF(CS6&lt;=②시니어_가정!$E$16,1,0)</f>
        <v>0</v>
      </c>
      <c r="CT10" s="276" t="n">
        <f aca="false">IF(CT6&lt;=②시니어_가정!$E$16,1,0)</f>
        <v>0</v>
      </c>
      <c r="CU10" s="276" t="n">
        <f aca="false">IF(CU6&lt;=②시니어_가정!$E$16,1,0)</f>
        <v>0</v>
      </c>
      <c r="CV10" s="276" t="n">
        <f aca="false">IF(CV6&lt;=②시니어_가정!$E$16,1,0)</f>
        <v>0</v>
      </c>
      <c r="CW10" s="276" t="n">
        <f aca="false">IF(CW6&lt;=②시니어_가정!$E$16,1,0)</f>
        <v>0</v>
      </c>
      <c r="CX10" s="276" t="n">
        <f aca="false">IF(CX6&lt;=②시니어_가정!$E$16,1,0)</f>
        <v>0</v>
      </c>
      <c r="CY10" s="276" t="n">
        <f aca="false">IF(CY6&lt;=②시니어_가정!$E$16,1,0)</f>
        <v>0</v>
      </c>
      <c r="CZ10" s="276" t="n">
        <f aca="false">IF(CZ6&lt;=②시니어_가정!$E$16,1,0)</f>
        <v>0</v>
      </c>
      <c r="DA10" s="276" t="n">
        <f aca="false">IF(DA6&lt;=②시니어_가정!$E$16,1,0)</f>
        <v>0</v>
      </c>
      <c r="DB10" s="276" t="n">
        <f aca="false">IF(DB6&lt;=②시니어_가정!$E$16,1,0)</f>
        <v>0</v>
      </c>
      <c r="DC10" s="276" t="n">
        <f aca="false">IF(DC6&lt;=②시니어_가정!$E$16,1,0)</f>
        <v>0</v>
      </c>
      <c r="DD10" s="276" t="n">
        <f aca="false">IF(DD6&lt;=②시니어_가정!$E$16,1,0)</f>
        <v>0</v>
      </c>
      <c r="DE10" s="276" t="n">
        <f aca="false">IF(DE6&lt;=②시니어_가정!$E$16,1,0)</f>
        <v>0</v>
      </c>
      <c r="DF10" s="276" t="n">
        <f aca="false">IF(DF6&lt;=②시니어_가정!$E$16,1,0)</f>
        <v>0</v>
      </c>
      <c r="DG10" s="276" t="n">
        <f aca="false">IF(DG6&lt;=②시니어_가정!$E$16,1,0)</f>
        <v>0</v>
      </c>
      <c r="DH10" s="276" t="n">
        <f aca="false">IF(DH6&lt;=②시니어_가정!$E$16,1,0)</f>
        <v>0</v>
      </c>
      <c r="DI10" s="276" t="n">
        <f aca="false">IF(DI6&lt;=②시니어_가정!$E$16,1,0)</f>
        <v>0</v>
      </c>
      <c r="DJ10" s="276" t="n">
        <f aca="false">IF(DJ6&lt;=②시니어_가정!$E$16,1,0)</f>
        <v>0</v>
      </c>
      <c r="DK10" s="276" t="n">
        <f aca="false">IF(DK6&lt;=②시니어_가정!$E$16,1,0)</f>
        <v>0</v>
      </c>
      <c r="DL10" s="276" t="n">
        <f aca="false">IF(DL6&lt;=②시니어_가정!$E$16,1,0)</f>
        <v>0</v>
      </c>
      <c r="DM10" s="276" t="n">
        <f aca="false">IF(DM6&lt;=②시니어_가정!$E$16,1,0)</f>
        <v>0</v>
      </c>
      <c r="DN10" s="276" t="n">
        <f aca="false">IF(DN6&lt;=②시니어_가정!$E$16,1,0)</f>
        <v>0</v>
      </c>
      <c r="DO10" s="276" t="n">
        <f aca="false">IF(DO6&lt;=②시니어_가정!$E$16,1,0)</f>
        <v>0</v>
      </c>
      <c r="DP10" s="276" t="n">
        <f aca="false">IF(DP6&lt;=②시니어_가정!$E$16,1,0)</f>
        <v>0</v>
      </c>
      <c r="DQ10" s="276" t="n">
        <f aca="false">IF(DQ6&lt;=②시니어_가정!$E$16,1,0)</f>
        <v>0</v>
      </c>
      <c r="DR10" s="276" t="n">
        <f aca="false">IF(DR6&lt;=②시니어_가정!$E$16,1,0)</f>
        <v>0</v>
      </c>
      <c r="DS10" s="276" t="n">
        <f aca="false">IF(DS6&lt;=②시니어_가정!$E$16,1,0)</f>
        <v>0</v>
      </c>
      <c r="DT10" s="276" t="n">
        <f aca="false">IF(DT6&lt;=②시니어_가정!$E$16,1,0)</f>
        <v>0</v>
      </c>
      <c r="DU10" s="276" t="n">
        <f aca="false">IF(DU6&lt;=②시니어_가정!$E$16,1,0)</f>
        <v>0</v>
      </c>
      <c r="DV10" s="276" t="n">
        <f aca="false">IF(DV6&lt;=②시니어_가정!$E$16,1,0)</f>
        <v>0</v>
      </c>
      <c r="DW10" s="276" t="n">
        <f aca="false">IF(DW6&lt;=②시니어_가정!$E$16,1,0)</f>
        <v>0</v>
      </c>
      <c r="DX10" s="276" t="n">
        <f aca="false">IF(DX6&lt;=②시니어_가정!$E$16,1,0)</f>
        <v>0</v>
      </c>
      <c r="DY10" s="276" t="n">
        <f aca="false">IF(DY6&lt;=②시니어_가정!$E$16,1,0)</f>
        <v>0</v>
      </c>
      <c r="DZ10" s="276" t="n">
        <f aca="false">IF(DZ6&lt;=②시니어_가정!$E$16,1,0)</f>
        <v>0</v>
      </c>
      <c r="EA10" s="276" t="n">
        <f aca="false">IF(EA6&lt;=②시니어_가정!$E$16,1,0)</f>
        <v>0</v>
      </c>
      <c r="EB10" s="276" t="n">
        <f aca="false">IF(EB6&lt;=②시니어_가정!$E$16,1,0)</f>
        <v>0</v>
      </c>
      <c r="EC10" s="276" t="n">
        <f aca="false">IF(EC6&lt;=②시니어_가정!$E$16,1,0)</f>
        <v>0</v>
      </c>
      <c r="ED10" s="276" t="n">
        <f aca="false">IF(ED6&lt;=②시니어_가정!$E$16,1,0)</f>
        <v>0</v>
      </c>
      <c r="EE10" s="276" t="n">
        <f aca="false">IF(EE6&lt;=②시니어_가정!$E$16,1,0)</f>
        <v>0</v>
      </c>
      <c r="EF10" s="276" t="n">
        <f aca="false">IF(EF6&lt;=②시니어_가정!$E$16,1,0)</f>
        <v>0</v>
      </c>
    </row>
    <row r="11" customFormat="false" ht="15" hidden="false" customHeight="false" outlineLevel="0" collapsed="false">
      <c r="A11" s="36" t="s">
        <v>567</v>
      </c>
      <c r="B11" s="273"/>
      <c r="E11" s="276" t="n">
        <f aca="false">IF(AND(E6&gt;=②시니어_가정!$E$14,E6&lt;=②시니어_가정!$E$16),1,0)</f>
        <v>0</v>
      </c>
      <c r="F11" s="276" t="n">
        <f aca="false">IF(AND(F6&gt;=②시니어_가정!$E$14,F6&lt;=②시니어_가정!$E$16),1,0)</f>
        <v>0</v>
      </c>
      <c r="G11" s="276" t="n">
        <f aca="false">IF(AND(G6&gt;=②시니어_가정!$E$14,G6&lt;=②시니어_가정!$E$16),1,0)</f>
        <v>0</v>
      </c>
      <c r="H11" s="276" t="n">
        <f aca="false">IF(AND(H6&gt;=②시니어_가정!$E$14,H6&lt;=②시니어_가정!$E$16),1,0)</f>
        <v>0</v>
      </c>
      <c r="I11" s="276" t="n">
        <f aca="false">IF(AND(I6&gt;=②시니어_가정!$E$14,I6&lt;=②시니어_가정!$E$16),1,0)</f>
        <v>0</v>
      </c>
      <c r="J11" s="276" t="n">
        <f aca="false">IF(AND(J6&gt;=②시니어_가정!$E$14,J6&lt;=②시니어_가정!$E$16),1,0)</f>
        <v>0</v>
      </c>
      <c r="K11" s="276" t="n">
        <f aca="false">IF(AND(K6&gt;=②시니어_가정!$E$14,K6&lt;=②시니어_가정!$E$16),1,0)</f>
        <v>0</v>
      </c>
      <c r="L11" s="276" t="n">
        <f aca="false">IF(AND(L6&gt;=②시니어_가정!$E$14,L6&lt;=②시니어_가정!$E$16),1,0)</f>
        <v>0</v>
      </c>
      <c r="M11" s="276" t="n">
        <f aca="false">IF(AND(M6&gt;=②시니어_가정!$E$14,M6&lt;=②시니어_가정!$E$16),1,0)</f>
        <v>0</v>
      </c>
      <c r="N11" s="276" t="n">
        <f aca="false">IF(AND(N6&gt;=②시니어_가정!$E$14,N6&lt;=②시니어_가정!$E$16),1,0)</f>
        <v>0</v>
      </c>
      <c r="O11" s="276" t="n">
        <f aca="false">IF(AND(O6&gt;=②시니어_가정!$E$14,O6&lt;=②시니어_가정!$E$16),1,0)</f>
        <v>0</v>
      </c>
      <c r="P11" s="276" t="n">
        <f aca="false">IF(AND(P6&gt;=②시니어_가정!$E$14,P6&lt;=②시니어_가정!$E$16),1,0)</f>
        <v>0</v>
      </c>
      <c r="Q11" s="276" t="n">
        <f aca="false">IF(AND(Q6&gt;=②시니어_가정!$E$14,Q6&lt;=②시니어_가정!$E$16),1,0)</f>
        <v>0</v>
      </c>
      <c r="R11" s="276" t="n">
        <f aca="false">IF(AND(R6&gt;=②시니어_가정!$E$14,R6&lt;=②시니어_가정!$E$16),1,0)</f>
        <v>0</v>
      </c>
      <c r="S11" s="276" t="n">
        <f aca="false">IF(AND(S6&gt;=②시니어_가정!$E$14,S6&lt;=②시니어_가정!$E$16),1,0)</f>
        <v>0</v>
      </c>
      <c r="T11" s="276" t="n">
        <f aca="false">IF(AND(T6&gt;=②시니어_가정!$E$14,T6&lt;=②시니어_가정!$E$16),1,0)</f>
        <v>0</v>
      </c>
      <c r="U11" s="276" t="n">
        <f aca="false">IF(AND(U6&gt;=②시니어_가정!$E$14,U6&lt;=②시니어_가정!$E$16),1,0)</f>
        <v>0</v>
      </c>
      <c r="V11" s="276" t="n">
        <f aca="false">IF(AND(V6&gt;=②시니어_가정!$E$14,V6&lt;=②시니어_가정!$E$16),1,0)</f>
        <v>0</v>
      </c>
      <c r="W11" s="276" t="n">
        <f aca="false">IF(AND(W6&gt;=②시니어_가정!$E$14,W6&lt;=②시니어_가정!$E$16),1,0)</f>
        <v>1</v>
      </c>
      <c r="X11" s="276" t="n">
        <f aca="false">IF(AND(X6&gt;=②시니어_가정!$E$14,X6&lt;=②시니어_가정!$E$16),1,0)</f>
        <v>1</v>
      </c>
      <c r="Y11" s="276" t="n">
        <f aca="false">IF(AND(Y6&gt;=②시니어_가정!$E$14,Y6&lt;=②시니어_가정!$E$16),1,0)</f>
        <v>1</v>
      </c>
      <c r="Z11" s="276" t="n">
        <f aca="false">IF(AND(Z6&gt;=②시니어_가정!$E$14,Z6&lt;=②시니어_가정!$E$16),1,0)</f>
        <v>1</v>
      </c>
      <c r="AA11" s="276" t="n">
        <f aca="false">IF(AND(AA6&gt;=②시니어_가정!$E$14,AA6&lt;=②시니어_가정!$E$16),1,0)</f>
        <v>1</v>
      </c>
      <c r="AB11" s="276" t="n">
        <f aca="false">IF(AND(AB6&gt;=②시니어_가정!$E$14,AB6&lt;=②시니어_가정!$E$16),1,0)</f>
        <v>1</v>
      </c>
      <c r="AC11" s="276" t="n">
        <f aca="false">IF(AND(AC6&gt;=②시니어_가정!$E$14,AC6&lt;=②시니어_가정!$E$16),1,0)</f>
        <v>1</v>
      </c>
      <c r="AD11" s="276" t="n">
        <f aca="false">IF(AND(AD6&gt;=②시니어_가정!$E$14,AD6&lt;=②시니어_가정!$E$16),1,0)</f>
        <v>1</v>
      </c>
      <c r="AE11" s="276" t="n">
        <f aca="false">IF(AND(AE6&gt;=②시니어_가정!$E$14,AE6&lt;=②시니어_가정!$E$16),1,0)</f>
        <v>1</v>
      </c>
      <c r="AF11" s="276" t="n">
        <f aca="false">IF(AND(AF6&gt;=②시니어_가정!$E$14,AF6&lt;=②시니어_가정!$E$16),1,0)</f>
        <v>1</v>
      </c>
      <c r="AG11" s="276" t="n">
        <f aca="false">IF(AND(AG6&gt;=②시니어_가정!$E$14,AG6&lt;=②시니어_가정!$E$16),1,0)</f>
        <v>1</v>
      </c>
      <c r="AH11" s="276" t="n">
        <f aca="false">IF(AND(AH6&gt;=②시니어_가정!$E$14,AH6&lt;=②시니어_가정!$E$16),1,0)</f>
        <v>1</v>
      </c>
      <c r="AI11" s="276" t="n">
        <f aca="false">IF(AND(AI6&gt;=②시니어_가정!$E$14,AI6&lt;=②시니어_가정!$E$16),1,0)</f>
        <v>1</v>
      </c>
      <c r="AJ11" s="276" t="n">
        <f aca="false">IF(AND(AJ6&gt;=②시니어_가정!$E$14,AJ6&lt;=②시니어_가정!$E$16),1,0)</f>
        <v>1</v>
      </c>
      <c r="AK11" s="276" t="n">
        <f aca="false">IF(AND(AK6&gt;=②시니어_가정!$E$14,AK6&lt;=②시니어_가정!$E$16),1,0)</f>
        <v>1</v>
      </c>
      <c r="AL11" s="276" t="n">
        <f aca="false">IF(AND(AL6&gt;=②시니어_가정!$E$14,AL6&lt;=②시니어_가정!$E$16),1,0)</f>
        <v>1</v>
      </c>
      <c r="AM11" s="276" t="n">
        <f aca="false">IF(AND(AM6&gt;=②시니어_가정!$E$14,AM6&lt;=②시니어_가정!$E$16),1,0)</f>
        <v>1</v>
      </c>
      <c r="AN11" s="276" t="n">
        <f aca="false">IF(AND(AN6&gt;=②시니어_가정!$E$14,AN6&lt;=②시니어_가정!$E$16),1,0)</f>
        <v>1</v>
      </c>
      <c r="AO11" s="276" t="n">
        <f aca="false">IF(AND(AO6&gt;=②시니어_가정!$E$14,AO6&lt;=②시니어_가정!$E$16),1,0)</f>
        <v>1</v>
      </c>
      <c r="AP11" s="276" t="n">
        <f aca="false">IF(AND(AP6&gt;=②시니어_가정!$E$14,AP6&lt;=②시니어_가정!$E$16),1,0)</f>
        <v>1</v>
      </c>
      <c r="AQ11" s="276" t="n">
        <f aca="false">IF(AND(AQ6&gt;=②시니어_가정!$E$14,AQ6&lt;=②시니어_가정!$E$16),1,0)</f>
        <v>1</v>
      </c>
      <c r="AR11" s="276" t="n">
        <f aca="false">IF(AND(AR6&gt;=②시니어_가정!$E$14,AR6&lt;=②시니어_가정!$E$16),1,0)</f>
        <v>1</v>
      </c>
      <c r="AS11" s="276" t="n">
        <f aca="false">IF(AND(AS6&gt;=②시니어_가정!$E$14,AS6&lt;=②시니어_가정!$E$16),1,0)</f>
        <v>1</v>
      </c>
      <c r="AT11" s="276" t="n">
        <f aca="false">IF(AND(AT6&gt;=②시니어_가정!$E$14,AT6&lt;=②시니어_가정!$E$16),1,0)</f>
        <v>1</v>
      </c>
      <c r="AU11" s="276" t="n">
        <f aca="false">IF(AND(AU6&gt;=②시니어_가정!$E$14,AU6&lt;=②시니어_가정!$E$16),1,0)</f>
        <v>1</v>
      </c>
      <c r="AV11" s="276" t="n">
        <f aca="false">IF(AND(AV6&gt;=②시니어_가정!$E$14,AV6&lt;=②시니어_가정!$E$16),1,0)</f>
        <v>1</v>
      </c>
      <c r="AW11" s="276" t="n">
        <f aca="false">IF(AND(AW6&gt;=②시니어_가정!$E$14,AW6&lt;=②시니어_가정!$E$16),1,0)</f>
        <v>1</v>
      </c>
      <c r="AX11" s="276" t="n">
        <f aca="false">IF(AND(AX6&gt;=②시니어_가정!$E$14,AX6&lt;=②시니어_가정!$E$16),1,0)</f>
        <v>1</v>
      </c>
      <c r="AY11" s="276" t="n">
        <f aca="false">IF(AND(AY6&gt;=②시니어_가정!$E$14,AY6&lt;=②시니어_가정!$E$16),1,0)</f>
        <v>1</v>
      </c>
      <c r="AZ11" s="276" t="n">
        <f aca="false">IF(AND(AZ6&gt;=②시니어_가정!$E$14,AZ6&lt;=②시니어_가정!$E$16),1,0)</f>
        <v>1</v>
      </c>
      <c r="BA11" s="276" t="n">
        <f aca="false">IF(AND(BA6&gt;=②시니어_가정!$E$14,BA6&lt;=②시니어_가정!$E$16),1,0)</f>
        <v>1</v>
      </c>
      <c r="BB11" s="276" t="n">
        <f aca="false">IF(AND(BB6&gt;=②시니어_가정!$E$14,BB6&lt;=②시니어_가정!$E$16),1,0)</f>
        <v>1</v>
      </c>
      <c r="BC11" s="276" t="n">
        <f aca="false">IF(AND(BC6&gt;=②시니어_가정!$E$14,BC6&lt;=②시니어_가정!$E$16),1,0)</f>
        <v>1</v>
      </c>
      <c r="BD11" s="276" t="n">
        <f aca="false">IF(AND(BD6&gt;=②시니어_가정!$E$14,BD6&lt;=②시니어_가정!$E$16),1,0)</f>
        <v>1</v>
      </c>
      <c r="BE11" s="276" t="n">
        <f aca="false">IF(AND(BE6&gt;=②시니어_가정!$E$14,BE6&lt;=②시니어_가정!$E$16),1,0)</f>
        <v>1</v>
      </c>
      <c r="BF11" s="276" t="n">
        <f aca="false">IF(AND(BF6&gt;=②시니어_가정!$E$14,BF6&lt;=②시니어_가정!$E$16),1,0)</f>
        <v>1</v>
      </c>
      <c r="BG11" s="276" t="n">
        <f aca="false">IF(AND(BG6&gt;=②시니어_가정!$E$14,BG6&lt;=②시니어_가정!$E$16),1,0)</f>
        <v>1</v>
      </c>
      <c r="BH11" s="276" t="n">
        <f aca="false">IF(AND(BH6&gt;=②시니어_가정!$E$14,BH6&lt;=②시니어_가정!$E$16),1,0)</f>
        <v>1</v>
      </c>
      <c r="BI11" s="276" t="n">
        <f aca="false">IF(AND(BI6&gt;=②시니어_가정!$E$14,BI6&lt;=②시니어_가정!$E$16),1,0)</f>
        <v>1</v>
      </c>
      <c r="BJ11" s="276" t="n">
        <f aca="false">IF(AND(BJ6&gt;=②시니어_가정!$E$14,BJ6&lt;=②시니어_가정!$E$16),1,0)</f>
        <v>1</v>
      </c>
      <c r="BK11" s="276" t="n">
        <f aca="false">IF(AND(BK6&gt;=②시니어_가정!$E$14,BK6&lt;=②시니어_가정!$E$16),1,0)</f>
        <v>1</v>
      </c>
      <c r="BL11" s="276" t="n">
        <f aca="false">IF(AND(BL6&gt;=②시니어_가정!$E$14,BL6&lt;=②시니어_가정!$E$16),1,0)</f>
        <v>1</v>
      </c>
      <c r="BM11" s="276" t="n">
        <f aca="false">IF(AND(BM6&gt;=②시니어_가정!$E$14,BM6&lt;=②시니어_가정!$E$16),1,0)</f>
        <v>0</v>
      </c>
      <c r="BN11" s="276" t="n">
        <f aca="false">IF(AND(BN6&gt;=②시니어_가정!$E$14,BN6&lt;=②시니어_가정!$E$16),1,0)</f>
        <v>0</v>
      </c>
      <c r="BO11" s="276" t="n">
        <f aca="false">IF(AND(BO6&gt;=②시니어_가정!$E$14,BO6&lt;=②시니어_가정!$E$16),1,0)</f>
        <v>0</v>
      </c>
      <c r="BP11" s="276" t="n">
        <f aca="false">IF(AND(BP6&gt;=②시니어_가정!$E$14,BP6&lt;=②시니어_가정!$E$16),1,0)</f>
        <v>0</v>
      </c>
      <c r="BQ11" s="276" t="n">
        <f aca="false">IF(AND(BQ6&gt;=②시니어_가정!$E$14,BQ6&lt;=②시니어_가정!$E$16),1,0)</f>
        <v>0</v>
      </c>
      <c r="BR11" s="276" t="n">
        <f aca="false">IF(AND(BR6&gt;=②시니어_가정!$E$14,BR6&lt;=②시니어_가정!$E$16),1,0)</f>
        <v>0</v>
      </c>
      <c r="BS11" s="276" t="n">
        <f aca="false">IF(AND(BS6&gt;=②시니어_가정!$E$14,BS6&lt;=②시니어_가정!$E$16),1,0)</f>
        <v>0</v>
      </c>
      <c r="BT11" s="276" t="n">
        <f aca="false">IF(AND(BT6&gt;=②시니어_가정!$E$14,BT6&lt;=②시니어_가정!$E$16),1,0)</f>
        <v>0</v>
      </c>
      <c r="BU11" s="276" t="n">
        <f aca="false">IF(AND(BU6&gt;=②시니어_가정!$E$14,BU6&lt;=②시니어_가정!$E$16),1,0)</f>
        <v>0</v>
      </c>
      <c r="BV11" s="276" t="n">
        <f aca="false">IF(AND(BV6&gt;=②시니어_가정!$E$14,BV6&lt;=②시니어_가정!$E$16),1,0)</f>
        <v>0</v>
      </c>
      <c r="BW11" s="276" t="n">
        <f aca="false">IF(AND(BW6&gt;=②시니어_가정!$E$14,BW6&lt;=②시니어_가정!$E$16),1,0)</f>
        <v>0</v>
      </c>
      <c r="BX11" s="276" t="n">
        <f aca="false">IF(AND(BX6&gt;=②시니어_가정!$E$14,BX6&lt;=②시니어_가정!$E$16),1,0)</f>
        <v>0</v>
      </c>
      <c r="BY11" s="276" t="n">
        <f aca="false">IF(AND(BY6&gt;=②시니어_가정!$E$14,BY6&lt;=②시니어_가정!$E$16),1,0)</f>
        <v>0</v>
      </c>
      <c r="BZ11" s="276" t="n">
        <f aca="false">IF(AND(BZ6&gt;=②시니어_가정!$E$14,BZ6&lt;=②시니어_가정!$E$16),1,0)</f>
        <v>0</v>
      </c>
      <c r="CA11" s="276" t="n">
        <f aca="false">IF(AND(CA6&gt;=②시니어_가정!$E$14,CA6&lt;=②시니어_가정!$E$16),1,0)</f>
        <v>0</v>
      </c>
      <c r="CB11" s="276" t="n">
        <f aca="false">IF(AND(CB6&gt;=②시니어_가정!$E$14,CB6&lt;=②시니어_가정!$E$16),1,0)</f>
        <v>0</v>
      </c>
      <c r="CC11" s="276" t="n">
        <f aca="false">IF(AND(CC6&gt;=②시니어_가정!$E$14,CC6&lt;=②시니어_가정!$E$16),1,0)</f>
        <v>0</v>
      </c>
      <c r="CD11" s="276" t="n">
        <f aca="false">IF(AND(CD6&gt;=②시니어_가정!$E$14,CD6&lt;=②시니어_가정!$E$16),1,0)</f>
        <v>0</v>
      </c>
      <c r="CE11" s="276" t="n">
        <f aca="false">IF(AND(CE6&gt;=②시니어_가정!$E$14,CE6&lt;=②시니어_가정!$E$16),1,0)</f>
        <v>0</v>
      </c>
      <c r="CF11" s="276" t="n">
        <f aca="false">IF(AND(CF6&gt;=②시니어_가정!$E$14,CF6&lt;=②시니어_가정!$E$16),1,0)</f>
        <v>0</v>
      </c>
      <c r="CG11" s="276" t="n">
        <f aca="false">IF(AND(CG6&gt;=②시니어_가정!$E$14,CG6&lt;=②시니어_가정!$E$16),1,0)</f>
        <v>0</v>
      </c>
      <c r="CH11" s="276" t="n">
        <f aca="false">IF(AND(CH6&gt;=②시니어_가정!$E$14,CH6&lt;=②시니어_가정!$E$16),1,0)</f>
        <v>0</v>
      </c>
      <c r="CI11" s="276" t="n">
        <f aca="false">IF(AND(CI6&gt;=②시니어_가정!$E$14,CI6&lt;=②시니어_가정!$E$16),1,0)</f>
        <v>0</v>
      </c>
      <c r="CJ11" s="276" t="n">
        <f aca="false">IF(AND(CJ6&gt;=②시니어_가정!$E$14,CJ6&lt;=②시니어_가정!$E$16),1,0)</f>
        <v>0</v>
      </c>
      <c r="CK11" s="276" t="n">
        <f aca="false">IF(AND(CK6&gt;=②시니어_가정!$E$14,CK6&lt;=②시니어_가정!$E$16),1,0)</f>
        <v>0</v>
      </c>
      <c r="CL11" s="276" t="n">
        <f aca="false">IF(AND(CL6&gt;=②시니어_가정!$E$14,CL6&lt;=②시니어_가정!$E$16),1,0)</f>
        <v>0</v>
      </c>
      <c r="CM11" s="276" t="n">
        <f aca="false">IF(AND(CM6&gt;=②시니어_가정!$E$14,CM6&lt;=②시니어_가정!$E$16),1,0)</f>
        <v>0</v>
      </c>
      <c r="CN11" s="276" t="n">
        <f aca="false">IF(AND(CN6&gt;=②시니어_가정!$E$14,CN6&lt;=②시니어_가정!$E$16),1,0)</f>
        <v>0</v>
      </c>
      <c r="CO11" s="276" t="n">
        <f aca="false">IF(AND(CO6&gt;=②시니어_가정!$E$14,CO6&lt;=②시니어_가정!$E$16),1,0)</f>
        <v>0</v>
      </c>
      <c r="CP11" s="276" t="n">
        <f aca="false">IF(AND(CP6&gt;=②시니어_가정!$E$14,CP6&lt;=②시니어_가정!$E$16),1,0)</f>
        <v>0</v>
      </c>
      <c r="CQ11" s="276" t="n">
        <f aca="false">IF(AND(CQ6&gt;=②시니어_가정!$E$14,CQ6&lt;=②시니어_가정!$E$16),1,0)</f>
        <v>0</v>
      </c>
      <c r="CR11" s="276" t="n">
        <f aca="false">IF(AND(CR6&gt;=②시니어_가정!$E$14,CR6&lt;=②시니어_가정!$E$16),1,0)</f>
        <v>0</v>
      </c>
      <c r="CS11" s="276" t="n">
        <f aca="false">IF(AND(CS6&gt;=②시니어_가정!$E$14,CS6&lt;=②시니어_가정!$E$16),1,0)</f>
        <v>0</v>
      </c>
      <c r="CT11" s="276" t="n">
        <f aca="false">IF(AND(CT6&gt;=②시니어_가정!$E$14,CT6&lt;=②시니어_가정!$E$16),1,0)</f>
        <v>0</v>
      </c>
      <c r="CU11" s="276" t="n">
        <f aca="false">IF(AND(CU6&gt;=②시니어_가정!$E$14,CU6&lt;=②시니어_가정!$E$16),1,0)</f>
        <v>0</v>
      </c>
      <c r="CV11" s="276" t="n">
        <f aca="false">IF(AND(CV6&gt;=②시니어_가정!$E$14,CV6&lt;=②시니어_가정!$E$16),1,0)</f>
        <v>0</v>
      </c>
      <c r="CW11" s="276" t="n">
        <f aca="false">IF(AND(CW6&gt;=②시니어_가정!$E$14,CW6&lt;=②시니어_가정!$E$16),1,0)</f>
        <v>0</v>
      </c>
      <c r="CX11" s="276" t="n">
        <f aca="false">IF(AND(CX6&gt;=②시니어_가정!$E$14,CX6&lt;=②시니어_가정!$E$16),1,0)</f>
        <v>0</v>
      </c>
      <c r="CY11" s="276" t="n">
        <f aca="false">IF(AND(CY6&gt;=②시니어_가정!$E$14,CY6&lt;=②시니어_가정!$E$16),1,0)</f>
        <v>0</v>
      </c>
      <c r="CZ11" s="276" t="n">
        <f aca="false">IF(AND(CZ6&gt;=②시니어_가정!$E$14,CZ6&lt;=②시니어_가정!$E$16),1,0)</f>
        <v>0</v>
      </c>
      <c r="DA11" s="276" t="n">
        <f aca="false">IF(AND(DA6&gt;=②시니어_가정!$E$14,DA6&lt;=②시니어_가정!$E$16),1,0)</f>
        <v>0</v>
      </c>
      <c r="DB11" s="276" t="n">
        <f aca="false">IF(AND(DB6&gt;=②시니어_가정!$E$14,DB6&lt;=②시니어_가정!$E$16),1,0)</f>
        <v>0</v>
      </c>
      <c r="DC11" s="276" t="n">
        <f aca="false">IF(AND(DC6&gt;=②시니어_가정!$E$14,DC6&lt;=②시니어_가정!$E$16),1,0)</f>
        <v>0</v>
      </c>
      <c r="DD11" s="276" t="n">
        <f aca="false">IF(AND(DD6&gt;=②시니어_가정!$E$14,DD6&lt;=②시니어_가정!$E$16),1,0)</f>
        <v>0</v>
      </c>
      <c r="DE11" s="276" t="n">
        <f aca="false">IF(AND(DE6&gt;=②시니어_가정!$E$14,DE6&lt;=②시니어_가정!$E$16),1,0)</f>
        <v>0</v>
      </c>
      <c r="DF11" s="276" t="n">
        <f aca="false">IF(AND(DF6&gt;=②시니어_가정!$E$14,DF6&lt;=②시니어_가정!$E$16),1,0)</f>
        <v>0</v>
      </c>
      <c r="DG11" s="276" t="n">
        <f aca="false">IF(AND(DG6&gt;=②시니어_가정!$E$14,DG6&lt;=②시니어_가정!$E$16),1,0)</f>
        <v>0</v>
      </c>
      <c r="DH11" s="276" t="n">
        <f aca="false">IF(AND(DH6&gt;=②시니어_가정!$E$14,DH6&lt;=②시니어_가정!$E$16),1,0)</f>
        <v>0</v>
      </c>
      <c r="DI11" s="276" t="n">
        <f aca="false">IF(AND(DI6&gt;=②시니어_가정!$E$14,DI6&lt;=②시니어_가정!$E$16),1,0)</f>
        <v>0</v>
      </c>
      <c r="DJ11" s="276" t="n">
        <f aca="false">IF(AND(DJ6&gt;=②시니어_가정!$E$14,DJ6&lt;=②시니어_가정!$E$16),1,0)</f>
        <v>0</v>
      </c>
      <c r="DK11" s="276" t="n">
        <f aca="false">IF(AND(DK6&gt;=②시니어_가정!$E$14,DK6&lt;=②시니어_가정!$E$16),1,0)</f>
        <v>0</v>
      </c>
      <c r="DL11" s="276" t="n">
        <f aca="false">IF(AND(DL6&gt;=②시니어_가정!$E$14,DL6&lt;=②시니어_가정!$E$16),1,0)</f>
        <v>0</v>
      </c>
      <c r="DM11" s="276" t="n">
        <f aca="false">IF(AND(DM6&gt;=②시니어_가정!$E$14,DM6&lt;=②시니어_가정!$E$16),1,0)</f>
        <v>0</v>
      </c>
      <c r="DN11" s="276" t="n">
        <f aca="false">IF(AND(DN6&gt;=②시니어_가정!$E$14,DN6&lt;=②시니어_가정!$E$16),1,0)</f>
        <v>0</v>
      </c>
      <c r="DO11" s="276" t="n">
        <f aca="false">IF(AND(DO6&gt;=②시니어_가정!$E$14,DO6&lt;=②시니어_가정!$E$16),1,0)</f>
        <v>0</v>
      </c>
      <c r="DP11" s="276" t="n">
        <f aca="false">IF(AND(DP6&gt;=②시니어_가정!$E$14,DP6&lt;=②시니어_가정!$E$16),1,0)</f>
        <v>0</v>
      </c>
      <c r="DQ11" s="276" t="n">
        <f aca="false">IF(AND(DQ6&gt;=②시니어_가정!$E$14,DQ6&lt;=②시니어_가정!$E$16),1,0)</f>
        <v>0</v>
      </c>
      <c r="DR11" s="276" t="n">
        <f aca="false">IF(AND(DR6&gt;=②시니어_가정!$E$14,DR6&lt;=②시니어_가정!$E$16),1,0)</f>
        <v>0</v>
      </c>
      <c r="DS11" s="276" t="n">
        <f aca="false">IF(AND(DS6&gt;=②시니어_가정!$E$14,DS6&lt;=②시니어_가정!$E$16),1,0)</f>
        <v>0</v>
      </c>
      <c r="DT11" s="276" t="n">
        <f aca="false">IF(AND(DT6&gt;=②시니어_가정!$E$14,DT6&lt;=②시니어_가정!$E$16),1,0)</f>
        <v>0</v>
      </c>
      <c r="DU11" s="276" t="n">
        <f aca="false">IF(AND(DU6&gt;=②시니어_가정!$E$14,DU6&lt;=②시니어_가정!$E$16),1,0)</f>
        <v>0</v>
      </c>
      <c r="DV11" s="276" t="n">
        <f aca="false">IF(AND(DV6&gt;=②시니어_가정!$E$14,DV6&lt;=②시니어_가정!$E$16),1,0)</f>
        <v>0</v>
      </c>
      <c r="DW11" s="276" t="n">
        <f aca="false">IF(AND(DW6&gt;=②시니어_가정!$E$14,DW6&lt;=②시니어_가정!$E$16),1,0)</f>
        <v>0</v>
      </c>
      <c r="DX11" s="276" t="n">
        <f aca="false">IF(AND(DX6&gt;=②시니어_가정!$E$14,DX6&lt;=②시니어_가정!$E$16),1,0)</f>
        <v>0</v>
      </c>
      <c r="DY11" s="276" t="n">
        <f aca="false">IF(AND(DY6&gt;=②시니어_가정!$E$14,DY6&lt;=②시니어_가정!$E$16),1,0)</f>
        <v>0</v>
      </c>
      <c r="DZ11" s="276" t="n">
        <f aca="false">IF(AND(DZ6&gt;=②시니어_가정!$E$14,DZ6&lt;=②시니어_가정!$E$16),1,0)</f>
        <v>0</v>
      </c>
      <c r="EA11" s="276" t="n">
        <f aca="false">IF(AND(EA6&gt;=②시니어_가정!$E$14,EA6&lt;=②시니어_가정!$E$16),1,0)</f>
        <v>0</v>
      </c>
      <c r="EB11" s="276" t="n">
        <f aca="false">IF(AND(EB6&gt;=②시니어_가정!$E$14,EB6&lt;=②시니어_가정!$E$16),1,0)</f>
        <v>0</v>
      </c>
      <c r="EC11" s="276" t="n">
        <f aca="false">IF(AND(EC6&gt;=②시니어_가정!$E$14,EC6&lt;=②시니어_가정!$E$16),1,0)</f>
        <v>0</v>
      </c>
      <c r="ED11" s="276" t="n">
        <f aca="false">IF(AND(ED6&gt;=②시니어_가정!$E$14,ED6&lt;=②시니어_가정!$E$16),1,0)</f>
        <v>0</v>
      </c>
      <c r="EE11" s="276" t="n">
        <f aca="false">IF(AND(EE6&gt;=②시니어_가정!$E$14,EE6&lt;=②시니어_가정!$E$16),1,0)</f>
        <v>0</v>
      </c>
      <c r="EF11" s="276" t="n">
        <f aca="false">IF(AND(EF6&gt;=②시니어_가정!$E$14,EF6&lt;=②시니어_가정!$E$16),1,0)</f>
        <v>0</v>
      </c>
    </row>
    <row r="12" customFormat="false" ht="15" hidden="false" customHeight="false" outlineLevel="0" collapsed="false">
      <c r="A12" s="36" t="s">
        <v>568</v>
      </c>
      <c r="B12" s="273"/>
      <c r="E12" s="275" t="n">
        <f aca="false">IF(E11=1,(YEAR(E6)-YEAR(②시니어_가정!$E$14))*12+MONTH(E6)-MONTH(②시니어_가정!$E$14)+1,0)</f>
        <v>0</v>
      </c>
      <c r="F12" s="275" t="n">
        <f aca="false">IF(F11=1,(YEAR(F6)-YEAR(②시니어_가정!$E$14))*12+MONTH(F6)-MONTH(②시니어_가정!$E$14)+1,0)</f>
        <v>0</v>
      </c>
      <c r="G12" s="275" t="n">
        <f aca="false">IF(G11=1,(YEAR(G6)-YEAR(②시니어_가정!$E$14))*12+MONTH(G6)-MONTH(②시니어_가정!$E$14)+1,0)</f>
        <v>0</v>
      </c>
      <c r="H12" s="275" t="n">
        <f aca="false">IF(H11=1,(YEAR(H6)-YEAR(②시니어_가정!$E$14))*12+MONTH(H6)-MONTH(②시니어_가정!$E$14)+1,0)</f>
        <v>0</v>
      </c>
      <c r="I12" s="275" t="n">
        <f aca="false">IF(I11=1,(YEAR(I6)-YEAR(②시니어_가정!$E$14))*12+MONTH(I6)-MONTH(②시니어_가정!$E$14)+1,0)</f>
        <v>0</v>
      </c>
      <c r="J12" s="275" t="n">
        <f aca="false">IF(J11=1,(YEAR(J6)-YEAR(②시니어_가정!$E$14))*12+MONTH(J6)-MONTH(②시니어_가정!$E$14)+1,0)</f>
        <v>0</v>
      </c>
      <c r="K12" s="275" t="n">
        <f aca="false">IF(K11=1,(YEAR(K6)-YEAR(②시니어_가정!$E$14))*12+MONTH(K6)-MONTH(②시니어_가정!$E$14)+1,0)</f>
        <v>0</v>
      </c>
      <c r="L12" s="275" t="n">
        <f aca="false">IF(L11=1,(YEAR(L6)-YEAR(②시니어_가정!$E$14))*12+MONTH(L6)-MONTH(②시니어_가정!$E$14)+1,0)</f>
        <v>0</v>
      </c>
      <c r="M12" s="275" t="n">
        <f aca="false">IF(M11=1,(YEAR(M6)-YEAR(②시니어_가정!$E$14))*12+MONTH(M6)-MONTH(②시니어_가정!$E$14)+1,0)</f>
        <v>0</v>
      </c>
      <c r="N12" s="275" t="n">
        <f aca="false">IF(N11=1,(YEAR(N6)-YEAR(②시니어_가정!$E$14))*12+MONTH(N6)-MONTH(②시니어_가정!$E$14)+1,0)</f>
        <v>0</v>
      </c>
      <c r="O12" s="275" t="n">
        <f aca="false">IF(O11=1,(YEAR(O6)-YEAR(②시니어_가정!$E$14))*12+MONTH(O6)-MONTH(②시니어_가정!$E$14)+1,0)</f>
        <v>0</v>
      </c>
      <c r="P12" s="275" t="n">
        <f aca="false">IF(P11=1,(YEAR(P6)-YEAR(②시니어_가정!$E$14))*12+MONTH(P6)-MONTH(②시니어_가정!$E$14)+1,0)</f>
        <v>0</v>
      </c>
      <c r="Q12" s="275" t="n">
        <f aca="false">IF(Q11=1,(YEAR(Q6)-YEAR(②시니어_가정!$E$14))*12+MONTH(Q6)-MONTH(②시니어_가정!$E$14)+1,0)</f>
        <v>0</v>
      </c>
      <c r="R12" s="275" t="n">
        <f aca="false">IF(R11=1,(YEAR(R6)-YEAR(②시니어_가정!$E$14))*12+MONTH(R6)-MONTH(②시니어_가정!$E$14)+1,0)</f>
        <v>0</v>
      </c>
      <c r="S12" s="275" t="n">
        <f aca="false">IF(S11=1,(YEAR(S6)-YEAR(②시니어_가정!$E$14))*12+MONTH(S6)-MONTH(②시니어_가정!$E$14)+1,0)</f>
        <v>0</v>
      </c>
      <c r="T12" s="275" t="n">
        <f aca="false">IF(T11=1,(YEAR(T6)-YEAR(②시니어_가정!$E$14))*12+MONTH(T6)-MONTH(②시니어_가정!$E$14)+1,0)</f>
        <v>0</v>
      </c>
      <c r="U12" s="275" t="n">
        <f aca="false">IF(U11=1,(YEAR(U6)-YEAR(②시니어_가정!$E$14))*12+MONTH(U6)-MONTH(②시니어_가정!$E$14)+1,0)</f>
        <v>0</v>
      </c>
      <c r="V12" s="275" t="n">
        <f aca="false">IF(V11=1,(YEAR(V6)-YEAR(②시니어_가정!$E$14))*12+MONTH(V6)-MONTH(②시니어_가정!$E$14)+1,0)</f>
        <v>0</v>
      </c>
      <c r="W12" s="275" t="n">
        <f aca="false">IF(W11=1,(YEAR(W6)-YEAR(②시니어_가정!$E$14))*12+MONTH(W6)-MONTH(②시니어_가정!$E$14)+1,0)</f>
        <v>1</v>
      </c>
      <c r="X12" s="275" t="n">
        <f aca="false">IF(X11=1,(YEAR(X6)-YEAR(②시니어_가정!$E$14))*12+MONTH(X6)-MONTH(②시니어_가정!$E$14)+1,0)</f>
        <v>2</v>
      </c>
      <c r="Y12" s="275" t="n">
        <f aca="false">IF(Y11=1,(YEAR(Y6)-YEAR(②시니어_가정!$E$14))*12+MONTH(Y6)-MONTH(②시니어_가정!$E$14)+1,0)</f>
        <v>3</v>
      </c>
      <c r="Z12" s="275" t="n">
        <f aca="false">IF(Z11=1,(YEAR(Z6)-YEAR(②시니어_가정!$E$14))*12+MONTH(Z6)-MONTH(②시니어_가정!$E$14)+1,0)</f>
        <v>4</v>
      </c>
      <c r="AA12" s="275" t="n">
        <f aca="false">IF(AA11=1,(YEAR(AA6)-YEAR(②시니어_가정!$E$14))*12+MONTH(AA6)-MONTH(②시니어_가정!$E$14)+1,0)</f>
        <v>5</v>
      </c>
      <c r="AB12" s="275" t="n">
        <f aca="false">IF(AB11=1,(YEAR(AB6)-YEAR(②시니어_가정!$E$14))*12+MONTH(AB6)-MONTH(②시니어_가정!$E$14)+1,0)</f>
        <v>6</v>
      </c>
      <c r="AC12" s="275" t="n">
        <f aca="false">IF(AC11=1,(YEAR(AC6)-YEAR(②시니어_가정!$E$14))*12+MONTH(AC6)-MONTH(②시니어_가정!$E$14)+1,0)</f>
        <v>7</v>
      </c>
      <c r="AD12" s="275" t="n">
        <f aca="false">IF(AD11=1,(YEAR(AD6)-YEAR(②시니어_가정!$E$14))*12+MONTH(AD6)-MONTH(②시니어_가정!$E$14)+1,0)</f>
        <v>8</v>
      </c>
      <c r="AE12" s="275" t="n">
        <f aca="false">IF(AE11=1,(YEAR(AE6)-YEAR(②시니어_가정!$E$14))*12+MONTH(AE6)-MONTH(②시니어_가정!$E$14)+1,0)</f>
        <v>9</v>
      </c>
      <c r="AF12" s="275" t="n">
        <f aca="false">IF(AF11=1,(YEAR(AF6)-YEAR(②시니어_가정!$E$14))*12+MONTH(AF6)-MONTH(②시니어_가정!$E$14)+1,0)</f>
        <v>10</v>
      </c>
      <c r="AG12" s="275" t="n">
        <f aca="false">IF(AG11=1,(YEAR(AG6)-YEAR(②시니어_가정!$E$14))*12+MONTH(AG6)-MONTH(②시니어_가정!$E$14)+1,0)</f>
        <v>11</v>
      </c>
      <c r="AH12" s="275" t="n">
        <f aca="false">IF(AH11=1,(YEAR(AH6)-YEAR(②시니어_가정!$E$14))*12+MONTH(AH6)-MONTH(②시니어_가정!$E$14)+1,0)</f>
        <v>12</v>
      </c>
      <c r="AI12" s="275" t="n">
        <f aca="false">IF(AI11=1,(YEAR(AI6)-YEAR(②시니어_가정!$E$14))*12+MONTH(AI6)-MONTH(②시니어_가정!$E$14)+1,0)</f>
        <v>13</v>
      </c>
      <c r="AJ12" s="275" t="n">
        <f aca="false">IF(AJ11=1,(YEAR(AJ6)-YEAR(②시니어_가정!$E$14))*12+MONTH(AJ6)-MONTH(②시니어_가정!$E$14)+1,0)</f>
        <v>14</v>
      </c>
      <c r="AK12" s="275" t="n">
        <f aca="false">IF(AK11=1,(YEAR(AK6)-YEAR(②시니어_가정!$E$14))*12+MONTH(AK6)-MONTH(②시니어_가정!$E$14)+1,0)</f>
        <v>15</v>
      </c>
      <c r="AL12" s="275" t="n">
        <f aca="false">IF(AL11=1,(YEAR(AL6)-YEAR(②시니어_가정!$E$14))*12+MONTH(AL6)-MONTH(②시니어_가정!$E$14)+1,0)</f>
        <v>16</v>
      </c>
      <c r="AM12" s="275" t="n">
        <f aca="false">IF(AM11=1,(YEAR(AM6)-YEAR(②시니어_가정!$E$14))*12+MONTH(AM6)-MONTH(②시니어_가정!$E$14)+1,0)</f>
        <v>17</v>
      </c>
      <c r="AN12" s="275" t="n">
        <f aca="false">IF(AN11=1,(YEAR(AN6)-YEAR(②시니어_가정!$E$14))*12+MONTH(AN6)-MONTH(②시니어_가정!$E$14)+1,0)</f>
        <v>18</v>
      </c>
      <c r="AO12" s="275" t="n">
        <f aca="false">IF(AO11=1,(YEAR(AO6)-YEAR(②시니어_가정!$E$14))*12+MONTH(AO6)-MONTH(②시니어_가정!$E$14)+1,0)</f>
        <v>19</v>
      </c>
      <c r="AP12" s="275" t="n">
        <f aca="false">IF(AP11=1,(YEAR(AP6)-YEAR(②시니어_가정!$E$14))*12+MONTH(AP6)-MONTH(②시니어_가정!$E$14)+1,0)</f>
        <v>20</v>
      </c>
      <c r="AQ12" s="275" t="n">
        <f aca="false">IF(AQ11=1,(YEAR(AQ6)-YEAR(②시니어_가정!$E$14))*12+MONTH(AQ6)-MONTH(②시니어_가정!$E$14)+1,0)</f>
        <v>21</v>
      </c>
      <c r="AR12" s="275" t="n">
        <f aca="false">IF(AR11=1,(YEAR(AR6)-YEAR(②시니어_가정!$E$14))*12+MONTH(AR6)-MONTH(②시니어_가정!$E$14)+1,0)</f>
        <v>22</v>
      </c>
      <c r="AS12" s="275" t="n">
        <f aca="false">IF(AS11=1,(YEAR(AS6)-YEAR(②시니어_가정!$E$14))*12+MONTH(AS6)-MONTH(②시니어_가정!$E$14)+1,0)</f>
        <v>23</v>
      </c>
      <c r="AT12" s="275" t="n">
        <f aca="false">IF(AT11=1,(YEAR(AT6)-YEAR(②시니어_가정!$E$14))*12+MONTH(AT6)-MONTH(②시니어_가정!$E$14)+1,0)</f>
        <v>24</v>
      </c>
      <c r="AU12" s="275" t="n">
        <f aca="false">IF(AU11=1,(YEAR(AU6)-YEAR(②시니어_가정!$E$14))*12+MONTH(AU6)-MONTH(②시니어_가정!$E$14)+1,0)</f>
        <v>25</v>
      </c>
      <c r="AV12" s="275" t="n">
        <f aca="false">IF(AV11=1,(YEAR(AV6)-YEAR(②시니어_가정!$E$14))*12+MONTH(AV6)-MONTH(②시니어_가정!$E$14)+1,0)</f>
        <v>26</v>
      </c>
      <c r="AW12" s="275" t="n">
        <f aca="false">IF(AW11=1,(YEAR(AW6)-YEAR(②시니어_가정!$E$14))*12+MONTH(AW6)-MONTH(②시니어_가정!$E$14)+1,0)</f>
        <v>27</v>
      </c>
      <c r="AX12" s="275" t="n">
        <f aca="false">IF(AX11=1,(YEAR(AX6)-YEAR(②시니어_가정!$E$14))*12+MONTH(AX6)-MONTH(②시니어_가정!$E$14)+1,0)</f>
        <v>28</v>
      </c>
      <c r="AY12" s="275" t="n">
        <f aca="false">IF(AY11=1,(YEAR(AY6)-YEAR(②시니어_가정!$E$14))*12+MONTH(AY6)-MONTH(②시니어_가정!$E$14)+1,0)</f>
        <v>29</v>
      </c>
      <c r="AZ12" s="275" t="n">
        <f aca="false">IF(AZ11=1,(YEAR(AZ6)-YEAR(②시니어_가정!$E$14))*12+MONTH(AZ6)-MONTH(②시니어_가정!$E$14)+1,0)</f>
        <v>30</v>
      </c>
      <c r="BA12" s="275" t="n">
        <f aca="false">IF(BA11=1,(YEAR(BA6)-YEAR(②시니어_가정!$E$14))*12+MONTH(BA6)-MONTH(②시니어_가정!$E$14)+1,0)</f>
        <v>31</v>
      </c>
      <c r="BB12" s="275" t="n">
        <f aca="false">IF(BB11=1,(YEAR(BB6)-YEAR(②시니어_가정!$E$14))*12+MONTH(BB6)-MONTH(②시니어_가정!$E$14)+1,0)</f>
        <v>32</v>
      </c>
      <c r="BC12" s="275" t="n">
        <f aca="false">IF(BC11=1,(YEAR(BC6)-YEAR(②시니어_가정!$E$14))*12+MONTH(BC6)-MONTH(②시니어_가정!$E$14)+1,0)</f>
        <v>33</v>
      </c>
      <c r="BD12" s="275" t="n">
        <f aca="false">IF(BD11=1,(YEAR(BD6)-YEAR(②시니어_가정!$E$14))*12+MONTH(BD6)-MONTH(②시니어_가정!$E$14)+1,0)</f>
        <v>34</v>
      </c>
      <c r="BE12" s="275" t="n">
        <f aca="false">IF(BE11=1,(YEAR(BE6)-YEAR(②시니어_가정!$E$14))*12+MONTH(BE6)-MONTH(②시니어_가정!$E$14)+1,0)</f>
        <v>35</v>
      </c>
      <c r="BF12" s="275" t="n">
        <f aca="false">IF(BF11=1,(YEAR(BF6)-YEAR(②시니어_가정!$E$14))*12+MONTH(BF6)-MONTH(②시니어_가정!$E$14)+1,0)</f>
        <v>36</v>
      </c>
      <c r="BG12" s="275" t="n">
        <f aca="false">IF(BG11=1,(YEAR(BG6)-YEAR(②시니어_가정!$E$14))*12+MONTH(BG6)-MONTH(②시니어_가정!$E$14)+1,0)</f>
        <v>37</v>
      </c>
      <c r="BH12" s="275" t="n">
        <f aca="false">IF(BH11=1,(YEAR(BH6)-YEAR(②시니어_가정!$E$14))*12+MONTH(BH6)-MONTH(②시니어_가정!$E$14)+1,0)</f>
        <v>38</v>
      </c>
      <c r="BI12" s="275" t="n">
        <f aca="false">IF(BI11=1,(YEAR(BI6)-YEAR(②시니어_가정!$E$14))*12+MONTH(BI6)-MONTH(②시니어_가정!$E$14)+1,0)</f>
        <v>39</v>
      </c>
      <c r="BJ12" s="275" t="n">
        <f aca="false">IF(BJ11=1,(YEAR(BJ6)-YEAR(②시니어_가정!$E$14))*12+MONTH(BJ6)-MONTH(②시니어_가정!$E$14)+1,0)</f>
        <v>40</v>
      </c>
      <c r="BK12" s="275" t="n">
        <f aca="false">IF(BK11=1,(YEAR(BK6)-YEAR(②시니어_가정!$E$14))*12+MONTH(BK6)-MONTH(②시니어_가정!$E$14)+1,0)</f>
        <v>41</v>
      </c>
      <c r="BL12" s="275" t="n">
        <f aca="false">IF(BL11=1,(YEAR(BL6)-YEAR(②시니어_가정!$E$14))*12+MONTH(BL6)-MONTH(②시니어_가정!$E$14)+1,0)</f>
        <v>42</v>
      </c>
      <c r="BM12" s="275" t="n">
        <f aca="false">IF(BM11=1,(YEAR(BM6)-YEAR(②시니어_가정!$E$14))*12+MONTH(BM6)-MONTH(②시니어_가정!$E$14)+1,0)</f>
        <v>0</v>
      </c>
      <c r="BN12" s="275" t="n">
        <f aca="false">IF(BN11=1,(YEAR(BN6)-YEAR(②시니어_가정!$E$14))*12+MONTH(BN6)-MONTH(②시니어_가정!$E$14)+1,0)</f>
        <v>0</v>
      </c>
      <c r="BO12" s="275" t="n">
        <f aca="false">IF(BO11=1,(YEAR(BO6)-YEAR(②시니어_가정!$E$14))*12+MONTH(BO6)-MONTH(②시니어_가정!$E$14)+1,0)</f>
        <v>0</v>
      </c>
      <c r="BP12" s="275" t="n">
        <f aca="false">IF(BP11=1,(YEAR(BP6)-YEAR(②시니어_가정!$E$14))*12+MONTH(BP6)-MONTH(②시니어_가정!$E$14)+1,0)</f>
        <v>0</v>
      </c>
      <c r="BQ12" s="275" t="n">
        <f aca="false">IF(BQ11=1,(YEAR(BQ6)-YEAR(②시니어_가정!$E$14))*12+MONTH(BQ6)-MONTH(②시니어_가정!$E$14)+1,0)</f>
        <v>0</v>
      </c>
      <c r="BR12" s="275" t="n">
        <f aca="false">IF(BR11=1,(YEAR(BR6)-YEAR(②시니어_가정!$E$14))*12+MONTH(BR6)-MONTH(②시니어_가정!$E$14)+1,0)</f>
        <v>0</v>
      </c>
      <c r="BS12" s="275" t="n">
        <f aca="false">IF(BS11=1,(YEAR(BS6)-YEAR(②시니어_가정!$E$14))*12+MONTH(BS6)-MONTH(②시니어_가정!$E$14)+1,0)</f>
        <v>0</v>
      </c>
      <c r="BT12" s="275" t="n">
        <f aca="false">IF(BT11=1,(YEAR(BT6)-YEAR(②시니어_가정!$E$14))*12+MONTH(BT6)-MONTH(②시니어_가정!$E$14)+1,0)</f>
        <v>0</v>
      </c>
      <c r="BU12" s="275" t="n">
        <f aca="false">IF(BU11=1,(YEAR(BU6)-YEAR(②시니어_가정!$E$14))*12+MONTH(BU6)-MONTH(②시니어_가정!$E$14)+1,0)</f>
        <v>0</v>
      </c>
      <c r="BV12" s="275" t="n">
        <f aca="false">IF(BV11=1,(YEAR(BV6)-YEAR(②시니어_가정!$E$14))*12+MONTH(BV6)-MONTH(②시니어_가정!$E$14)+1,0)</f>
        <v>0</v>
      </c>
      <c r="BW12" s="275" t="n">
        <f aca="false">IF(BW11=1,(YEAR(BW6)-YEAR(②시니어_가정!$E$14))*12+MONTH(BW6)-MONTH(②시니어_가정!$E$14)+1,0)</f>
        <v>0</v>
      </c>
      <c r="BX12" s="275" t="n">
        <f aca="false">IF(BX11=1,(YEAR(BX6)-YEAR(②시니어_가정!$E$14))*12+MONTH(BX6)-MONTH(②시니어_가정!$E$14)+1,0)</f>
        <v>0</v>
      </c>
      <c r="BY12" s="275" t="n">
        <f aca="false">IF(BY11=1,(YEAR(BY6)-YEAR(②시니어_가정!$E$14))*12+MONTH(BY6)-MONTH(②시니어_가정!$E$14)+1,0)</f>
        <v>0</v>
      </c>
      <c r="BZ12" s="275" t="n">
        <f aca="false">IF(BZ11=1,(YEAR(BZ6)-YEAR(②시니어_가정!$E$14))*12+MONTH(BZ6)-MONTH(②시니어_가정!$E$14)+1,0)</f>
        <v>0</v>
      </c>
      <c r="CA12" s="275" t="n">
        <f aca="false">IF(CA11=1,(YEAR(CA6)-YEAR(②시니어_가정!$E$14))*12+MONTH(CA6)-MONTH(②시니어_가정!$E$14)+1,0)</f>
        <v>0</v>
      </c>
      <c r="CB12" s="275" t="n">
        <f aca="false">IF(CB11=1,(YEAR(CB6)-YEAR(②시니어_가정!$E$14))*12+MONTH(CB6)-MONTH(②시니어_가정!$E$14)+1,0)</f>
        <v>0</v>
      </c>
      <c r="CC12" s="275" t="n">
        <f aca="false">IF(CC11=1,(YEAR(CC6)-YEAR(②시니어_가정!$E$14))*12+MONTH(CC6)-MONTH(②시니어_가정!$E$14)+1,0)</f>
        <v>0</v>
      </c>
      <c r="CD12" s="275" t="n">
        <f aca="false">IF(CD11=1,(YEAR(CD6)-YEAR(②시니어_가정!$E$14))*12+MONTH(CD6)-MONTH(②시니어_가정!$E$14)+1,0)</f>
        <v>0</v>
      </c>
      <c r="CE12" s="275" t="n">
        <f aca="false">IF(CE11=1,(YEAR(CE6)-YEAR(②시니어_가정!$E$14))*12+MONTH(CE6)-MONTH(②시니어_가정!$E$14)+1,0)</f>
        <v>0</v>
      </c>
      <c r="CF12" s="275" t="n">
        <f aca="false">IF(CF11=1,(YEAR(CF6)-YEAR(②시니어_가정!$E$14))*12+MONTH(CF6)-MONTH(②시니어_가정!$E$14)+1,0)</f>
        <v>0</v>
      </c>
      <c r="CG12" s="275" t="n">
        <f aca="false">IF(CG11=1,(YEAR(CG6)-YEAR(②시니어_가정!$E$14))*12+MONTH(CG6)-MONTH(②시니어_가정!$E$14)+1,0)</f>
        <v>0</v>
      </c>
      <c r="CH12" s="275" t="n">
        <f aca="false">IF(CH11=1,(YEAR(CH6)-YEAR(②시니어_가정!$E$14))*12+MONTH(CH6)-MONTH(②시니어_가정!$E$14)+1,0)</f>
        <v>0</v>
      </c>
      <c r="CI12" s="275" t="n">
        <f aca="false">IF(CI11=1,(YEAR(CI6)-YEAR(②시니어_가정!$E$14))*12+MONTH(CI6)-MONTH(②시니어_가정!$E$14)+1,0)</f>
        <v>0</v>
      </c>
      <c r="CJ12" s="275" t="n">
        <f aca="false">IF(CJ11=1,(YEAR(CJ6)-YEAR(②시니어_가정!$E$14))*12+MONTH(CJ6)-MONTH(②시니어_가정!$E$14)+1,0)</f>
        <v>0</v>
      </c>
      <c r="CK12" s="275" t="n">
        <f aca="false">IF(CK11=1,(YEAR(CK6)-YEAR(②시니어_가정!$E$14))*12+MONTH(CK6)-MONTH(②시니어_가정!$E$14)+1,0)</f>
        <v>0</v>
      </c>
      <c r="CL12" s="275" t="n">
        <f aca="false">IF(CL11=1,(YEAR(CL6)-YEAR(②시니어_가정!$E$14))*12+MONTH(CL6)-MONTH(②시니어_가정!$E$14)+1,0)</f>
        <v>0</v>
      </c>
      <c r="CM12" s="275" t="n">
        <f aca="false">IF(CM11=1,(YEAR(CM6)-YEAR(②시니어_가정!$E$14))*12+MONTH(CM6)-MONTH(②시니어_가정!$E$14)+1,0)</f>
        <v>0</v>
      </c>
      <c r="CN12" s="275" t="n">
        <f aca="false">IF(CN11=1,(YEAR(CN6)-YEAR(②시니어_가정!$E$14))*12+MONTH(CN6)-MONTH(②시니어_가정!$E$14)+1,0)</f>
        <v>0</v>
      </c>
      <c r="CO12" s="275" t="n">
        <f aca="false">IF(CO11=1,(YEAR(CO6)-YEAR(②시니어_가정!$E$14))*12+MONTH(CO6)-MONTH(②시니어_가정!$E$14)+1,0)</f>
        <v>0</v>
      </c>
      <c r="CP12" s="275" t="n">
        <f aca="false">IF(CP11=1,(YEAR(CP6)-YEAR(②시니어_가정!$E$14))*12+MONTH(CP6)-MONTH(②시니어_가정!$E$14)+1,0)</f>
        <v>0</v>
      </c>
      <c r="CQ12" s="275" t="n">
        <f aca="false">IF(CQ11=1,(YEAR(CQ6)-YEAR(②시니어_가정!$E$14))*12+MONTH(CQ6)-MONTH(②시니어_가정!$E$14)+1,0)</f>
        <v>0</v>
      </c>
      <c r="CR12" s="275" t="n">
        <f aca="false">IF(CR11=1,(YEAR(CR6)-YEAR(②시니어_가정!$E$14))*12+MONTH(CR6)-MONTH(②시니어_가정!$E$14)+1,0)</f>
        <v>0</v>
      </c>
      <c r="CS12" s="275" t="n">
        <f aca="false">IF(CS11=1,(YEAR(CS6)-YEAR(②시니어_가정!$E$14))*12+MONTH(CS6)-MONTH(②시니어_가정!$E$14)+1,0)</f>
        <v>0</v>
      </c>
      <c r="CT12" s="275" t="n">
        <f aca="false">IF(CT11=1,(YEAR(CT6)-YEAR(②시니어_가정!$E$14))*12+MONTH(CT6)-MONTH(②시니어_가정!$E$14)+1,0)</f>
        <v>0</v>
      </c>
      <c r="CU12" s="275" t="n">
        <f aca="false">IF(CU11=1,(YEAR(CU6)-YEAR(②시니어_가정!$E$14))*12+MONTH(CU6)-MONTH(②시니어_가정!$E$14)+1,0)</f>
        <v>0</v>
      </c>
      <c r="CV12" s="275" t="n">
        <f aca="false">IF(CV11=1,(YEAR(CV6)-YEAR(②시니어_가정!$E$14))*12+MONTH(CV6)-MONTH(②시니어_가정!$E$14)+1,0)</f>
        <v>0</v>
      </c>
      <c r="CW12" s="275" t="n">
        <f aca="false">IF(CW11=1,(YEAR(CW6)-YEAR(②시니어_가정!$E$14))*12+MONTH(CW6)-MONTH(②시니어_가정!$E$14)+1,0)</f>
        <v>0</v>
      </c>
      <c r="CX12" s="275" t="n">
        <f aca="false">IF(CX11=1,(YEAR(CX6)-YEAR(②시니어_가정!$E$14))*12+MONTH(CX6)-MONTH(②시니어_가정!$E$14)+1,0)</f>
        <v>0</v>
      </c>
      <c r="CY12" s="275" t="n">
        <f aca="false">IF(CY11=1,(YEAR(CY6)-YEAR(②시니어_가정!$E$14))*12+MONTH(CY6)-MONTH(②시니어_가정!$E$14)+1,0)</f>
        <v>0</v>
      </c>
      <c r="CZ12" s="275" t="n">
        <f aca="false">IF(CZ11=1,(YEAR(CZ6)-YEAR(②시니어_가정!$E$14))*12+MONTH(CZ6)-MONTH(②시니어_가정!$E$14)+1,0)</f>
        <v>0</v>
      </c>
      <c r="DA12" s="275" t="n">
        <f aca="false">IF(DA11=1,(YEAR(DA6)-YEAR(②시니어_가정!$E$14))*12+MONTH(DA6)-MONTH(②시니어_가정!$E$14)+1,0)</f>
        <v>0</v>
      </c>
      <c r="DB12" s="275" t="n">
        <f aca="false">IF(DB11=1,(YEAR(DB6)-YEAR(②시니어_가정!$E$14))*12+MONTH(DB6)-MONTH(②시니어_가정!$E$14)+1,0)</f>
        <v>0</v>
      </c>
      <c r="DC12" s="275" t="n">
        <f aca="false">IF(DC11=1,(YEAR(DC6)-YEAR(②시니어_가정!$E$14))*12+MONTH(DC6)-MONTH(②시니어_가정!$E$14)+1,0)</f>
        <v>0</v>
      </c>
      <c r="DD12" s="275" t="n">
        <f aca="false">IF(DD11=1,(YEAR(DD6)-YEAR(②시니어_가정!$E$14))*12+MONTH(DD6)-MONTH(②시니어_가정!$E$14)+1,0)</f>
        <v>0</v>
      </c>
      <c r="DE12" s="275" t="n">
        <f aca="false">IF(DE11=1,(YEAR(DE6)-YEAR(②시니어_가정!$E$14))*12+MONTH(DE6)-MONTH(②시니어_가정!$E$14)+1,0)</f>
        <v>0</v>
      </c>
      <c r="DF12" s="275" t="n">
        <f aca="false">IF(DF11=1,(YEAR(DF6)-YEAR(②시니어_가정!$E$14))*12+MONTH(DF6)-MONTH(②시니어_가정!$E$14)+1,0)</f>
        <v>0</v>
      </c>
      <c r="DG12" s="275" t="n">
        <f aca="false">IF(DG11=1,(YEAR(DG6)-YEAR(②시니어_가정!$E$14))*12+MONTH(DG6)-MONTH(②시니어_가정!$E$14)+1,0)</f>
        <v>0</v>
      </c>
      <c r="DH12" s="275" t="n">
        <f aca="false">IF(DH11=1,(YEAR(DH6)-YEAR(②시니어_가정!$E$14))*12+MONTH(DH6)-MONTH(②시니어_가정!$E$14)+1,0)</f>
        <v>0</v>
      </c>
      <c r="DI12" s="275" t="n">
        <f aca="false">IF(DI11=1,(YEAR(DI6)-YEAR(②시니어_가정!$E$14))*12+MONTH(DI6)-MONTH(②시니어_가정!$E$14)+1,0)</f>
        <v>0</v>
      </c>
      <c r="DJ12" s="275" t="n">
        <f aca="false">IF(DJ11=1,(YEAR(DJ6)-YEAR(②시니어_가정!$E$14))*12+MONTH(DJ6)-MONTH(②시니어_가정!$E$14)+1,0)</f>
        <v>0</v>
      </c>
      <c r="DK12" s="275" t="n">
        <f aca="false">IF(DK11=1,(YEAR(DK6)-YEAR(②시니어_가정!$E$14))*12+MONTH(DK6)-MONTH(②시니어_가정!$E$14)+1,0)</f>
        <v>0</v>
      </c>
      <c r="DL12" s="275" t="n">
        <f aca="false">IF(DL11=1,(YEAR(DL6)-YEAR(②시니어_가정!$E$14))*12+MONTH(DL6)-MONTH(②시니어_가정!$E$14)+1,0)</f>
        <v>0</v>
      </c>
      <c r="DM12" s="275" t="n">
        <f aca="false">IF(DM11=1,(YEAR(DM6)-YEAR(②시니어_가정!$E$14))*12+MONTH(DM6)-MONTH(②시니어_가정!$E$14)+1,0)</f>
        <v>0</v>
      </c>
      <c r="DN12" s="275" t="n">
        <f aca="false">IF(DN11=1,(YEAR(DN6)-YEAR(②시니어_가정!$E$14))*12+MONTH(DN6)-MONTH(②시니어_가정!$E$14)+1,0)</f>
        <v>0</v>
      </c>
      <c r="DO12" s="275" t="n">
        <f aca="false">IF(DO11=1,(YEAR(DO6)-YEAR(②시니어_가정!$E$14))*12+MONTH(DO6)-MONTH(②시니어_가정!$E$14)+1,0)</f>
        <v>0</v>
      </c>
      <c r="DP12" s="275" t="n">
        <f aca="false">IF(DP11=1,(YEAR(DP6)-YEAR(②시니어_가정!$E$14))*12+MONTH(DP6)-MONTH(②시니어_가정!$E$14)+1,0)</f>
        <v>0</v>
      </c>
      <c r="DQ12" s="275" t="n">
        <f aca="false">IF(DQ11=1,(YEAR(DQ6)-YEAR(②시니어_가정!$E$14))*12+MONTH(DQ6)-MONTH(②시니어_가정!$E$14)+1,0)</f>
        <v>0</v>
      </c>
      <c r="DR12" s="275" t="n">
        <f aca="false">IF(DR11=1,(YEAR(DR6)-YEAR(②시니어_가정!$E$14))*12+MONTH(DR6)-MONTH(②시니어_가정!$E$14)+1,0)</f>
        <v>0</v>
      </c>
      <c r="DS12" s="275" t="n">
        <f aca="false">IF(DS11=1,(YEAR(DS6)-YEAR(②시니어_가정!$E$14))*12+MONTH(DS6)-MONTH(②시니어_가정!$E$14)+1,0)</f>
        <v>0</v>
      </c>
      <c r="DT12" s="275" t="n">
        <f aca="false">IF(DT11=1,(YEAR(DT6)-YEAR(②시니어_가정!$E$14))*12+MONTH(DT6)-MONTH(②시니어_가정!$E$14)+1,0)</f>
        <v>0</v>
      </c>
      <c r="DU12" s="275" t="n">
        <f aca="false">IF(DU11=1,(YEAR(DU6)-YEAR(②시니어_가정!$E$14))*12+MONTH(DU6)-MONTH(②시니어_가정!$E$14)+1,0)</f>
        <v>0</v>
      </c>
      <c r="DV12" s="275" t="n">
        <f aca="false">IF(DV11=1,(YEAR(DV6)-YEAR(②시니어_가정!$E$14))*12+MONTH(DV6)-MONTH(②시니어_가정!$E$14)+1,0)</f>
        <v>0</v>
      </c>
      <c r="DW12" s="275" t="n">
        <f aca="false">IF(DW11=1,(YEAR(DW6)-YEAR(②시니어_가정!$E$14))*12+MONTH(DW6)-MONTH(②시니어_가정!$E$14)+1,0)</f>
        <v>0</v>
      </c>
      <c r="DX12" s="275" t="n">
        <f aca="false">IF(DX11=1,(YEAR(DX6)-YEAR(②시니어_가정!$E$14))*12+MONTH(DX6)-MONTH(②시니어_가정!$E$14)+1,0)</f>
        <v>0</v>
      </c>
      <c r="DY12" s="275" t="n">
        <f aca="false">IF(DY11=1,(YEAR(DY6)-YEAR(②시니어_가정!$E$14))*12+MONTH(DY6)-MONTH(②시니어_가정!$E$14)+1,0)</f>
        <v>0</v>
      </c>
      <c r="DZ12" s="275" t="n">
        <f aca="false">IF(DZ11=1,(YEAR(DZ6)-YEAR(②시니어_가정!$E$14))*12+MONTH(DZ6)-MONTH(②시니어_가정!$E$14)+1,0)</f>
        <v>0</v>
      </c>
      <c r="EA12" s="275" t="n">
        <f aca="false">IF(EA11=1,(YEAR(EA6)-YEAR(②시니어_가정!$E$14))*12+MONTH(EA6)-MONTH(②시니어_가정!$E$14)+1,0)</f>
        <v>0</v>
      </c>
      <c r="EB12" s="275" t="n">
        <f aca="false">IF(EB11=1,(YEAR(EB6)-YEAR(②시니어_가정!$E$14))*12+MONTH(EB6)-MONTH(②시니어_가정!$E$14)+1,0)</f>
        <v>0</v>
      </c>
      <c r="EC12" s="275" t="n">
        <f aca="false">IF(EC11=1,(YEAR(EC6)-YEAR(②시니어_가정!$E$14))*12+MONTH(EC6)-MONTH(②시니어_가정!$E$14)+1,0)</f>
        <v>0</v>
      </c>
      <c r="ED12" s="275" t="n">
        <f aca="false">IF(ED11=1,(YEAR(ED6)-YEAR(②시니어_가정!$E$14))*12+MONTH(ED6)-MONTH(②시니어_가정!$E$14)+1,0)</f>
        <v>0</v>
      </c>
      <c r="EE12" s="275" t="n">
        <f aca="false">IF(EE11=1,(YEAR(EE6)-YEAR(②시니어_가정!$E$14))*12+MONTH(EE6)-MONTH(②시니어_가정!$E$14)+1,0)</f>
        <v>0</v>
      </c>
      <c r="EF12" s="275" t="n">
        <f aca="false">IF(EF11=1,(YEAR(EF6)-YEAR(②시니어_가정!$E$14))*12+MONTH(EF6)-MONTH(②시니어_가정!$E$14)+1,0)</f>
        <v>0</v>
      </c>
    </row>
    <row r="13" customFormat="false" ht="15" hidden="false" customHeight="false" outlineLevel="0" collapsed="false">
      <c r="A13" s="153" t="s">
        <v>569</v>
      </c>
      <c r="B13" s="273" t="s">
        <v>16</v>
      </c>
      <c r="C13" s="277" t="n">
        <f aca="false">SUM(E13:EF13)</f>
        <v>1</v>
      </c>
      <c r="E13" s="194" t="n">
        <f aca="false">IF(E12&gt;0,(COS(PI()*(E12-1)/②시니어_가정!$E$15)-COS(PI()*E12/②시니어_가정!$E$15))/2,0)</f>
        <v>0</v>
      </c>
      <c r="F13" s="194" t="n">
        <f aca="false">IF(F12&gt;0,(COS(PI()*(F12-1)/②시니어_가정!$E$15)-COS(PI()*F12/②시니어_가정!$E$15))/2,0)</f>
        <v>0</v>
      </c>
      <c r="G13" s="194" t="n">
        <f aca="false">IF(G12&gt;0,(COS(PI()*(G12-1)/②시니어_가정!$E$15)-COS(PI()*G12/②시니어_가정!$E$15))/2,0)</f>
        <v>0</v>
      </c>
      <c r="H13" s="194" t="n">
        <f aca="false">IF(H12&gt;0,(COS(PI()*(H12-1)/②시니어_가정!$E$15)-COS(PI()*H12/②시니어_가정!$E$15))/2,0)</f>
        <v>0</v>
      </c>
      <c r="I13" s="194" t="n">
        <f aca="false">IF(I12&gt;0,(COS(PI()*(I12-1)/②시니어_가정!$E$15)-COS(PI()*I12/②시니어_가정!$E$15))/2,0)</f>
        <v>0</v>
      </c>
      <c r="J13" s="194" t="n">
        <f aca="false">IF(J12&gt;0,(COS(PI()*(J12-1)/②시니어_가정!$E$15)-COS(PI()*J12/②시니어_가정!$E$15))/2,0)</f>
        <v>0</v>
      </c>
      <c r="K13" s="194" t="n">
        <f aca="false">IF(K12&gt;0,(COS(PI()*(K12-1)/②시니어_가정!$E$15)-COS(PI()*K12/②시니어_가정!$E$15))/2,0)</f>
        <v>0</v>
      </c>
      <c r="L13" s="194" t="n">
        <f aca="false">IF(L12&gt;0,(COS(PI()*(L12-1)/②시니어_가정!$E$15)-COS(PI()*L12/②시니어_가정!$E$15))/2,0)</f>
        <v>0</v>
      </c>
      <c r="M13" s="194" t="n">
        <f aca="false">IF(M12&gt;0,(COS(PI()*(M12-1)/②시니어_가정!$E$15)-COS(PI()*M12/②시니어_가정!$E$15))/2,0)</f>
        <v>0</v>
      </c>
      <c r="N13" s="194" t="n">
        <f aca="false">IF(N12&gt;0,(COS(PI()*(N12-1)/②시니어_가정!$E$15)-COS(PI()*N12/②시니어_가정!$E$15))/2,0)</f>
        <v>0</v>
      </c>
      <c r="O13" s="194" t="n">
        <f aca="false">IF(O12&gt;0,(COS(PI()*(O12-1)/②시니어_가정!$E$15)-COS(PI()*O12/②시니어_가정!$E$15))/2,0)</f>
        <v>0</v>
      </c>
      <c r="P13" s="194" t="n">
        <f aca="false">IF(P12&gt;0,(COS(PI()*(P12-1)/②시니어_가정!$E$15)-COS(PI()*P12/②시니어_가정!$E$15))/2,0)</f>
        <v>0</v>
      </c>
      <c r="Q13" s="194" t="n">
        <f aca="false">IF(Q12&gt;0,(COS(PI()*(Q12-1)/②시니어_가정!$E$15)-COS(PI()*Q12/②시니어_가정!$E$15))/2,0)</f>
        <v>0</v>
      </c>
      <c r="R13" s="194" t="n">
        <f aca="false">IF(R12&gt;0,(COS(PI()*(R12-1)/②시니어_가정!$E$15)-COS(PI()*R12/②시니어_가정!$E$15))/2,0)</f>
        <v>0</v>
      </c>
      <c r="S13" s="194" t="n">
        <f aca="false">IF(S12&gt;0,(COS(PI()*(S12-1)/②시니어_가정!$E$15)-COS(PI()*S12/②시니어_가정!$E$15))/2,0)</f>
        <v>0</v>
      </c>
      <c r="T13" s="194" t="n">
        <f aca="false">IF(T12&gt;0,(COS(PI()*(T12-1)/②시니어_가정!$E$15)-COS(PI()*T12/②시니어_가정!$E$15))/2,0)</f>
        <v>0</v>
      </c>
      <c r="U13" s="194" t="n">
        <f aca="false">IF(U12&gt;0,(COS(PI()*(U12-1)/②시니어_가정!$E$15)-COS(PI()*U12/②시니어_가정!$E$15))/2,0)</f>
        <v>0</v>
      </c>
      <c r="V13" s="194" t="n">
        <f aca="false">IF(V12&gt;0,(COS(PI()*(V12-1)/②시니어_가정!$E$15)-COS(PI()*V12/②시니어_가정!$E$15))/2,0)</f>
        <v>0</v>
      </c>
      <c r="W13" s="194" t="n">
        <f aca="false">IF(W12&gt;0,(COS(PI()*(W12-1)/②시니어_가정!$E$15)-COS(PI()*W12/②시니어_가정!$E$15))/2,0)</f>
        <v>0.00139810140940994</v>
      </c>
      <c r="X13" s="194" t="n">
        <f aca="false">IF(X12&gt;0,(COS(PI()*(X12-1)/②시니어_가정!$E$15)-COS(PI()*X12/②시니어_가정!$E$15))/2,0)</f>
        <v>0.0041864854780258</v>
      </c>
      <c r="Y13" s="194" t="n">
        <f aca="false">IF(Y12&gt;0,(COS(PI()*(Y12-1)/②시니어_가정!$E$15)-COS(PI()*Y12/②시니어_가정!$E$15))/2,0)</f>
        <v>0.00695145702165245</v>
      </c>
      <c r="Z13" s="194" t="n">
        <f aca="false">IF(Z12&gt;0,(COS(PI()*(Z12-1)/②시니어_가정!$E$15)-COS(PI()*Z12/②시니어_가정!$E$15))/2,0)</f>
        <v>0.00967755319784147</v>
      </c>
      <c r="AA13" s="194" t="n">
        <f aca="false">IF(AA12&gt;0,(COS(PI()*(AA12-1)/②시니어_가정!$E$15)-COS(PI()*AA12/②시니어_가정!$E$15))/2,0)</f>
        <v>0.0123495285709682</v>
      </c>
      <c r="AB13" s="194" t="n">
        <f aca="false">IF(AB12&gt;0,(COS(PI()*(AB12-1)/②시니어_가정!$E$15)-COS(PI()*AB12/②시니어_가정!$E$15))/2,0)</f>
        <v>0.0149524403708926</v>
      </c>
      <c r="AC13" s="194" t="n">
        <f aca="false">IF(AC12&gt;0,(COS(PI()*(AC12-1)/②시니어_가정!$E$15)-COS(PI()*AC12/②시니어_가정!$E$15))/2,0)</f>
        <v>0.0174717320589902</v>
      </c>
      <c r="AD13" s="194" t="n">
        <f aca="false">IF(AD12&gt;0,(COS(PI()*(AD12-1)/②시니어_가정!$E$15)-COS(PI()*AD12/②시니어_가정!$E$15))/2,0)</f>
        <v>0.0198933147342219</v>
      </c>
      <c r="AE13" s="194" t="n">
        <f aca="false">IF(AE12&gt;0,(COS(PI()*(AE12-1)/②시니어_가정!$E$15)-COS(PI()*AE12/②시니어_가정!$E$15))/2,0)</f>
        <v>0.0222036459239826</v>
      </c>
      <c r="AF13" s="194" t="n">
        <f aca="false">IF(AF12&gt;0,(COS(PI()*(AF12-1)/②시니어_가정!$E$15)-COS(PI()*AF12/②시니어_가정!$E$15))/2,0)</f>
        <v>0.0243898053191017</v>
      </c>
      <c r="AG13" s="194" t="n">
        <f aca="false">IF(AG12&gt;0,(COS(PI()*(AG12-1)/②시니어_가정!$E$15)-COS(PI()*AG12/②시니어_가정!$E$15))/2,0)</f>
        <v>0.0264395670294534</v>
      </c>
      <c r="AH13" s="194" t="n">
        <f aca="false">IF(AH12&gt;0,(COS(PI()*(AH12-1)/②시니어_가정!$E$15)-COS(PI()*AH12/②시니어_가정!$E$15))/2,0)</f>
        <v>0.0283414679560929</v>
      </c>
      <c r="AI13" s="194" t="n">
        <f aca="false">IF(AI12&gt;0,(COS(PI()*(AI12-1)/②시니어_가정!$E$15)-COS(PI()*AI12/②시니어_가정!$E$15))/2,0)</f>
        <v>0.0300848718975558</v>
      </c>
      <c r="AJ13" s="194" t="n">
        <f aca="false">IF(AJ12&gt;0,(COS(PI()*(AJ12-1)/②시니어_가정!$E$15)-COS(PI()*AJ12/②시니어_가정!$E$15))/2,0)</f>
        <v>0.0316600290318109</v>
      </c>
      <c r="AK13" s="194" t="n">
        <f aca="false">IF(AK12&gt;0,(COS(PI()*(AK12-1)/②시니어_가정!$E$15)-COS(PI()*AK12/②시니어_가정!$E$15))/2,0)</f>
        <v>0.033058130441221</v>
      </c>
      <c r="AL13" s="194" t="n">
        <f aca="false">IF(AL12&gt;0,(COS(PI()*(AL12-1)/②시니어_가정!$E$15)-COS(PI()*AL12/②시니어_가정!$E$15))/2,0)</f>
        <v>0.0342713573755816</v>
      </c>
      <c r="AM13" s="194" t="n">
        <f aca="false">IF(AM12&gt;0,(COS(PI()*(AM12-1)/②시니어_가정!$E$15)-COS(PI()*AM12/②시니어_가정!$E$15))/2,0)</f>
        <v>0.0352929249777454</v>
      </c>
      <c r="AN13" s="194" t="n">
        <f aca="false">IF(AN12&gt;0,(COS(PI()*(AN12-1)/②시니어_가정!$E$15)-COS(PI()*AN12/②시니어_가정!$E$15))/2,0)</f>
        <v>0.0361171202272948</v>
      </c>
      <c r="AO13" s="194" t="n">
        <f aca="false">IF(AO12&gt;0,(COS(PI()*(AO12-1)/②시니어_가정!$E$15)-COS(PI()*AO12/②시니어_가정!$E$15))/2,0)</f>
        <v>0.0367393338900699</v>
      </c>
      <c r="AP13" s="194" t="n">
        <f aca="false">IF(AP12&gt;0,(COS(PI()*(AP12-1)/②시니어_가정!$E$15)-COS(PI()*AP12/②시니어_가정!$E$15))/2,0)</f>
        <v>0.0371560862948751</v>
      </c>
      <c r="AQ13" s="194" t="n">
        <f aca="false">IF(AQ12&gt;0,(COS(PI()*(AQ12-1)/②시니어_가정!$E$15)-COS(PI()*AQ12/②시니어_가정!$E$15))/2,0)</f>
        <v>0.0373650467932122</v>
      </c>
      <c r="AR13" s="194" t="n">
        <f aca="false">IF(AR12&gt;0,(COS(PI()*(AR12-1)/②시니어_가정!$E$15)-COS(PI()*AR12/②시니어_가정!$E$15))/2,0)</f>
        <v>0.0373650467932121</v>
      </c>
      <c r="AS13" s="194" t="n">
        <f aca="false">IF(AS12&gt;0,(COS(PI()*(AS12-1)/②시니어_가정!$E$15)-COS(PI()*AS12/②시니어_가정!$E$15))/2,0)</f>
        <v>0.0371560862948751</v>
      </c>
      <c r="AT13" s="194" t="n">
        <f aca="false">IF(AT12&gt;0,(COS(PI()*(AT12-1)/②시니어_가정!$E$15)-COS(PI()*AT12/②시니어_가정!$E$15))/2,0)</f>
        <v>0.03673933389007</v>
      </c>
      <c r="AU13" s="194" t="n">
        <f aca="false">IF(AU12&gt;0,(COS(PI()*(AU12-1)/②시니어_가정!$E$15)-COS(PI()*AU12/②시니어_가정!$E$15))/2,0)</f>
        <v>0.0361171202272949</v>
      </c>
      <c r="AV13" s="194" t="n">
        <f aca="false">IF(AV12&gt;0,(COS(PI()*(AV12-1)/②시니어_가정!$E$15)-COS(PI()*AV12/②시니어_가정!$E$15))/2,0)</f>
        <v>0.0352929249777454</v>
      </c>
      <c r="AW13" s="194" t="n">
        <f aca="false">IF(AW12&gt;0,(COS(PI()*(AW12-1)/②시니어_가정!$E$15)-COS(PI()*AW12/②시니어_가정!$E$15))/2,0)</f>
        <v>0.0342713573755815</v>
      </c>
      <c r="AX13" s="194" t="n">
        <f aca="false">IF(AX12&gt;0,(COS(PI()*(AX12-1)/②시니어_가정!$E$15)-COS(PI()*AX12/②시니어_가정!$E$15))/2,0)</f>
        <v>0.0330581304412209</v>
      </c>
      <c r="AY13" s="194" t="n">
        <f aca="false">IF(AY12&gt;0,(COS(PI()*(AY12-1)/②시니어_가정!$E$15)-COS(PI()*AY12/②시니어_가정!$E$15))/2,0)</f>
        <v>0.0316600290318111</v>
      </c>
      <c r="AZ13" s="194" t="n">
        <f aca="false">IF(AZ12&gt;0,(COS(PI()*(AZ12-1)/②시니어_가정!$E$15)-COS(PI()*AZ12/②시니어_가정!$E$15))/2,0)</f>
        <v>0.0300848718975557</v>
      </c>
      <c r="BA13" s="194" t="n">
        <f aca="false">IF(BA12&gt;0,(COS(PI()*(BA12-1)/②시니어_가정!$E$15)-COS(PI()*BA12/②시니어_가정!$E$15))/2,0)</f>
        <v>0.0283414679560929</v>
      </c>
      <c r="BB13" s="194" t="n">
        <f aca="false">IF(BB12&gt;0,(COS(PI()*(BB12-1)/②시니어_가정!$E$15)-COS(PI()*BB12/②시니어_가정!$E$15))/2,0)</f>
        <v>0.0264395670294535</v>
      </c>
      <c r="BC13" s="194" t="n">
        <f aca="false">IF(BC12&gt;0,(COS(PI()*(BC12-1)/②시니어_가정!$E$15)-COS(PI()*BC12/②시니어_가정!$E$15))/2,0)</f>
        <v>0.0243898053191017</v>
      </c>
      <c r="BD13" s="194" t="n">
        <f aca="false">IF(BD12&gt;0,(COS(PI()*(BD12-1)/②시니어_가정!$E$15)-COS(PI()*BD12/②시니어_가정!$E$15))/2,0)</f>
        <v>0.0222036459239826</v>
      </c>
      <c r="BE13" s="194" t="n">
        <f aca="false">IF(BE12&gt;0,(COS(PI()*(BE12-1)/②시니어_가정!$E$15)-COS(PI()*BE12/②시니어_가정!$E$15))/2,0)</f>
        <v>0.0198933147342217</v>
      </c>
      <c r="BF13" s="194" t="n">
        <f aca="false">IF(BF12&gt;0,(COS(PI()*(BF12-1)/②시니어_가정!$E$15)-COS(PI()*BF12/②시니어_가정!$E$15))/2,0)</f>
        <v>0.0174717320589903</v>
      </c>
      <c r="BG13" s="194" t="n">
        <f aca="false">IF(BG12&gt;0,(COS(PI()*(BG12-1)/②시니어_가정!$E$15)-COS(PI()*BG12/②시니어_가정!$E$15))/2,0)</f>
        <v>0.0149524403708927</v>
      </c>
      <c r="BH13" s="194" t="n">
        <f aca="false">IF(BH12&gt;0,(COS(PI()*(BH12-1)/②시니어_가정!$E$15)-COS(PI()*BH12/②시니어_가정!$E$15))/2,0)</f>
        <v>0.0123495285709681</v>
      </c>
      <c r="BI13" s="194" t="n">
        <f aca="false">IF(BI12&gt;0,(COS(PI()*(BI12-1)/②시니어_가정!$E$15)-COS(PI()*BI12/②시니어_가정!$E$15))/2,0)</f>
        <v>0.00967755319784153</v>
      </c>
      <c r="BJ13" s="194" t="n">
        <f aca="false">IF(BJ12&gt;0,(COS(PI()*(BJ12-1)/②시니어_가정!$E$15)-COS(PI()*BJ12/②시니어_가정!$E$15))/2,0)</f>
        <v>0.00695145702165245</v>
      </c>
      <c r="BK13" s="194" t="n">
        <f aca="false">IF(BK12&gt;0,(COS(PI()*(BK12-1)/②시니어_가정!$E$15)-COS(PI()*BK12/②시니어_가정!$E$15))/2,0)</f>
        <v>0.0041864854780258</v>
      </c>
      <c r="BL13" s="194" t="n">
        <f aca="false">IF(BL12&gt;0,(COS(PI()*(BL12-1)/②시니어_가정!$E$15)-COS(PI()*BL12/②시니어_가정!$E$15))/2,0)</f>
        <v>0.00139810140940994</v>
      </c>
      <c r="BM13" s="194" t="n">
        <f aca="false">IF(BM12&gt;0,(COS(PI()*(BM12-1)/②시니어_가정!$E$15)-COS(PI()*BM12/②시니어_가정!$E$15))/2,0)</f>
        <v>0</v>
      </c>
      <c r="BN13" s="194" t="n">
        <f aca="false">IF(BN12&gt;0,(COS(PI()*(BN12-1)/②시니어_가정!$E$15)-COS(PI()*BN12/②시니어_가정!$E$15))/2,0)</f>
        <v>0</v>
      </c>
      <c r="BO13" s="194" t="n">
        <f aca="false">IF(BO12&gt;0,(COS(PI()*(BO12-1)/②시니어_가정!$E$15)-COS(PI()*BO12/②시니어_가정!$E$15))/2,0)</f>
        <v>0</v>
      </c>
      <c r="BP13" s="194" t="n">
        <f aca="false">IF(BP12&gt;0,(COS(PI()*(BP12-1)/②시니어_가정!$E$15)-COS(PI()*BP12/②시니어_가정!$E$15))/2,0)</f>
        <v>0</v>
      </c>
      <c r="BQ13" s="194" t="n">
        <f aca="false">IF(BQ12&gt;0,(COS(PI()*(BQ12-1)/②시니어_가정!$E$15)-COS(PI()*BQ12/②시니어_가정!$E$15))/2,0)</f>
        <v>0</v>
      </c>
      <c r="BR13" s="194" t="n">
        <f aca="false">IF(BR12&gt;0,(COS(PI()*(BR12-1)/②시니어_가정!$E$15)-COS(PI()*BR12/②시니어_가정!$E$15))/2,0)</f>
        <v>0</v>
      </c>
      <c r="BS13" s="194" t="n">
        <f aca="false">IF(BS12&gt;0,(COS(PI()*(BS12-1)/②시니어_가정!$E$15)-COS(PI()*BS12/②시니어_가정!$E$15))/2,0)</f>
        <v>0</v>
      </c>
      <c r="BT13" s="194" t="n">
        <f aca="false">IF(BT12&gt;0,(COS(PI()*(BT12-1)/②시니어_가정!$E$15)-COS(PI()*BT12/②시니어_가정!$E$15))/2,0)</f>
        <v>0</v>
      </c>
      <c r="BU13" s="194" t="n">
        <f aca="false">IF(BU12&gt;0,(COS(PI()*(BU12-1)/②시니어_가정!$E$15)-COS(PI()*BU12/②시니어_가정!$E$15))/2,0)</f>
        <v>0</v>
      </c>
      <c r="BV13" s="194" t="n">
        <f aca="false">IF(BV12&gt;0,(COS(PI()*(BV12-1)/②시니어_가정!$E$15)-COS(PI()*BV12/②시니어_가정!$E$15))/2,0)</f>
        <v>0</v>
      </c>
      <c r="BW13" s="194" t="n">
        <f aca="false">IF(BW12&gt;0,(COS(PI()*(BW12-1)/②시니어_가정!$E$15)-COS(PI()*BW12/②시니어_가정!$E$15))/2,0)</f>
        <v>0</v>
      </c>
      <c r="BX13" s="194" t="n">
        <f aca="false">IF(BX12&gt;0,(COS(PI()*(BX12-1)/②시니어_가정!$E$15)-COS(PI()*BX12/②시니어_가정!$E$15))/2,0)</f>
        <v>0</v>
      </c>
      <c r="BY13" s="194" t="n">
        <f aca="false">IF(BY12&gt;0,(COS(PI()*(BY12-1)/②시니어_가정!$E$15)-COS(PI()*BY12/②시니어_가정!$E$15))/2,0)</f>
        <v>0</v>
      </c>
      <c r="BZ13" s="194" t="n">
        <f aca="false">IF(BZ12&gt;0,(COS(PI()*(BZ12-1)/②시니어_가정!$E$15)-COS(PI()*BZ12/②시니어_가정!$E$15))/2,0)</f>
        <v>0</v>
      </c>
      <c r="CA13" s="194" t="n">
        <f aca="false">IF(CA12&gt;0,(COS(PI()*(CA12-1)/②시니어_가정!$E$15)-COS(PI()*CA12/②시니어_가정!$E$15))/2,0)</f>
        <v>0</v>
      </c>
      <c r="CB13" s="194" t="n">
        <f aca="false">IF(CB12&gt;0,(COS(PI()*(CB12-1)/②시니어_가정!$E$15)-COS(PI()*CB12/②시니어_가정!$E$15))/2,0)</f>
        <v>0</v>
      </c>
      <c r="CC13" s="194" t="n">
        <f aca="false">IF(CC12&gt;0,(COS(PI()*(CC12-1)/②시니어_가정!$E$15)-COS(PI()*CC12/②시니어_가정!$E$15))/2,0)</f>
        <v>0</v>
      </c>
      <c r="CD13" s="194" t="n">
        <f aca="false">IF(CD12&gt;0,(COS(PI()*(CD12-1)/②시니어_가정!$E$15)-COS(PI()*CD12/②시니어_가정!$E$15))/2,0)</f>
        <v>0</v>
      </c>
      <c r="CE13" s="194" t="n">
        <f aca="false">IF(CE12&gt;0,(COS(PI()*(CE12-1)/②시니어_가정!$E$15)-COS(PI()*CE12/②시니어_가정!$E$15))/2,0)</f>
        <v>0</v>
      </c>
      <c r="CF13" s="194" t="n">
        <f aca="false">IF(CF12&gt;0,(COS(PI()*(CF12-1)/②시니어_가정!$E$15)-COS(PI()*CF12/②시니어_가정!$E$15))/2,0)</f>
        <v>0</v>
      </c>
      <c r="CG13" s="194" t="n">
        <f aca="false">IF(CG12&gt;0,(COS(PI()*(CG12-1)/②시니어_가정!$E$15)-COS(PI()*CG12/②시니어_가정!$E$15))/2,0)</f>
        <v>0</v>
      </c>
      <c r="CH13" s="194" t="n">
        <f aca="false">IF(CH12&gt;0,(COS(PI()*(CH12-1)/②시니어_가정!$E$15)-COS(PI()*CH12/②시니어_가정!$E$15))/2,0)</f>
        <v>0</v>
      </c>
      <c r="CI13" s="194" t="n">
        <f aca="false">IF(CI12&gt;0,(COS(PI()*(CI12-1)/②시니어_가정!$E$15)-COS(PI()*CI12/②시니어_가정!$E$15))/2,0)</f>
        <v>0</v>
      </c>
      <c r="CJ13" s="194" t="n">
        <f aca="false">IF(CJ12&gt;0,(COS(PI()*(CJ12-1)/②시니어_가정!$E$15)-COS(PI()*CJ12/②시니어_가정!$E$15))/2,0)</f>
        <v>0</v>
      </c>
      <c r="CK13" s="194" t="n">
        <f aca="false">IF(CK12&gt;0,(COS(PI()*(CK12-1)/②시니어_가정!$E$15)-COS(PI()*CK12/②시니어_가정!$E$15))/2,0)</f>
        <v>0</v>
      </c>
      <c r="CL13" s="194" t="n">
        <f aca="false">IF(CL12&gt;0,(COS(PI()*(CL12-1)/②시니어_가정!$E$15)-COS(PI()*CL12/②시니어_가정!$E$15))/2,0)</f>
        <v>0</v>
      </c>
      <c r="CM13" s="194" t="n">
        <f aca="false">IF(CM12&gt;0,(COS(PI()*(CM12-1)/②시니어_가정!$E$15)-COS(PI()*CM12/②시니어_가정!$E$15))/2,0)</f>
        <v>0</v>
      </c>
      <c r="CN13" s="194" t="n">
        <f aca="false">IF(CN12&gt;0,(COS(PI()*(CN12-1)/②시니어_가정!$E$15)-COS(PI()*CN12/②시니어_가정!$E$15))/2,0)</f>
        <v>0</v>
      </c>
      <c r="CO13" s="194" t="n">
        <f aca="false">IF(CO12&gt;0,(COS(PI()*(CO12-1)/②시니어_가정!$E$15)-COS(PI()*CO12/②시니어_가정!$E$15))/2,0)</f>
        <v>0</v>
      </c>
      <c r="CP13" s="194" t="n">
        <f aca="false">IF(CP12&gt;0,(COS(PI()*(CP12-1)/②시니어_가정!$E$15)-COS(PI()*CP12/②시니어_가정!$E$15))/2,0)</f>
        <v>0</v>
      </c>
      <c r="CQ13" s="194" t="n">
        <f aca="false">IF(CQ12&gt;0,(COS(PI()*(CQ12-1)/②시니어_가정!$E$15)-COS(PI()*CQ12/②시니어_가정!$E$15))/2,0)</f>
        <v>0</v>
      </c>
      <c r="CR13" s="194" t="n">
        <f aca="false">IF(CR12&gt;0,(COS(PI()*(CR12-1)/②시니어_가정!$E$15)-COS(PI()*CR12/②시니어_가정!$E$15))/2,0)</f>
        <v>0</v>
      </c>
      <c r="CS13" s="194" t="n">
        <f aca="false">IF(CS12&gt;0,(COS(PI()*(CS12-1)/②시니어_가정!$E$15)-COS(PI()*CS12/②시니어_가정!$E$15))/2,0)</f>
        <v>0</v>
      </c>
      <c r="CT13" s="194" t="n">
        <f aca="false">IF(CT12&gt;0,(COS(PI()*(CT12-1)/②시니어_가정!$E$15)-COS(PI()*CT12/②시니어_가정!$E$15))/2,0)</f>
        <v>0</v>
      </c>
      <c r="CU13" s="194" t="n">
        <f aca="false">IF(CU12&gt;0,(COS(PI()*(CU12-1)/②시니어_가정!$E$15)-COS(PI()*CU12/②시니어_가정!$E$15))/2,0)</f>
        <v>0</v>
      </c>
      <c r="CV13" s="194" t="n">
        <f aca="false">IF(CV12&gt;0,(COS(PI()*(CV12-1)/②시니어_가정!$E$15)-COS(PI()*CV12/②시니어_가정!$E$15))/2,0)</f>
        <v>0</v>
      </c>
      <c r="CW13" s="194" t="n">
        <f aca="false">IF(CW12&gt;0,(COS(PI()*(CW12-1)/②시니어_가정!$E$15)-COS(PI()*CW12/②시니어_가정!$E$15))/2,0)</f>
        <v>0</v>
      </c>
      <c r="CX13" s="194" t="n">
        <f aca="false">IF(CX12&gt;0,(COS(PI()*(CX12-1)/②시니어_가정!$E$15)-COS(PI()*CX12/②시니어_가정!$E$15))/2,0)</f>
        <v>0</v>
      </c>
      <c r="CY13" s="194" t="n">
        <f aca="false">IF(CY12&gt;0,(COS(PI()*(CY12-1)/②시니어_가정!$E$15)-COS(PI()*CY12/②시니어_가정!$E$15))/2,0)</f>
        <v>0</v>
      </c>
      <c r="CZ13" s="194" t="n">
        <f aca="false">IF(CZ12&gt;0,(COS(PI()*(CZ12-1)/②시니어_가정!$E$15)-COS(PI()*CZ12/②시니어_가정!$E$15))/2,0)</f>
        <v>0</v>
      </c>
      <c r="DA13" s="194" t="n">
        <f aca="false">IF(DA12&gt;0,(COS(PI()*(DA12-1)/②시니어_가정!$E$15)-COS(PI()*DA12/②시니어_가정!$E$15))/2,0)</f>
        <v>0</v>
      </c>
      <c r="DB13" s="194" t="n">
        <f aca="false">IF(DB12&gt;0,(COS(PI()*(DB12-1)/②시니어_가정!$E$15)-COS(PI()*DB12/②시니어_가정!$E$15))/2,0)</f>
        <v>0</v>
      </c>
      <c r="DC13" s="194" t="n">
        <f aca="false">IF(DC12&gt;0,(COS(PI()*(DC12-1)/②시니어_가정!$E$15)-COS(PI()*DC12/②시니어_가정!$E$15))/2,0)</f>
        <v>0</v>
      </c>
      <c r="DD13" s="194" t="n">
        <f aca="false">IF(DD12&gt;0,(COS(PI()*(DD12-1)/②시니어_가정!$E$15)-COS(PI()*DD12/②시니어_가정!$E$15))/2,0)</f>
        <v>0</v>
      </c>
      <c r="DE13" s="194" t="n">
        <f aca="false">IF(DE12&gt;0,(COS(PI()*(DE12-1)/②시니어_가정!$E$15)-COS(PI()*DE12/②시니어_가정!$E$15))/2,0)</f>
        <v>0</v>
      </c>
      <c r="DF13" s="194" t="n">
        <f aca="false">IF(DF12&gt;0,(COS(PI()*(DF12-1)/②시니어_가정!$E$15)-COS(PI()*DF12/②시니어_가정!$E$15))/2,0)</f>
        <v>0</v>
      </c>
      <c r="DG13" s="194" t="n">
        <f aca="false">IF(DG12&gt;0,(COS(PI()*(DG12-1)/②시니어_가정!$E$15)-COS(PI()*DG12/②시니어_가정!$E$15))/2,0)</f>
        <v>0</v>
      </c>
      <c r="DH13" s="194" t="n">
        <f aca="false">IF(DH12&gt;0,(COS(PI()*(DH12-1)/②시니어_가정!$E$15)-COS(PI()*DH12/②시니어_가정!$E$15))/2,0)</f>
        <v>0</v>
      </c>
      <c r="DI13" s="194" t="n">
        <f aca="false">IF(DI12&gt;0,(COS(PI()*(DI12-1)/②시니어_가정!$E$15)-COS(PI()*DI12/②시니어_가정!$E$15))/2,0)</f>
        <v>0</v>
      </c>
      <c r="DJ13" s="194" t="n">
        <f aca="false">IF(DJ12&gt;0,(COS(PI()*(DJ12-1)/②시니어_가정!$E$15)-COS(PI()*DJ12/②시니어_가정!$E$15))/2,0)</f>
        <v>0</v>
      </c>
      <c r="DK13" s="194" t="n">
        <f aca="false">IF(DK12&gt;0,(COS(PI()*(DK12-1)/②시니어_가정!$E$15)-COS(PI()*DK12/②시니어_가정!$E$15))/2,0)</f>
        <v>0</v>
      </c>
      <c r="DL13" s="194" t="n">
        <f aca="false">IF(DL12&gt;0,(COS(PI()*(DL12-1)/②시니어_가정!$E$15)-COS(PI()*DL12/②시니어_가정!$E$15))/2,0)</f>
        <v>0</v>
      </c>
      <c r="DM13" s="194" t="n">
        <f aca="false">IF(DM12&gt;0,(COS(PI()*(DM12-1)/②시니어_가정!$E$15)-COS(PI()*DM12/②시니어_가정!$E$15))/2,0)</f>
        <v>0</v>
      </c>
      <c r="DN13" s="194" t="n">
        <f aca="false">IF(DN12&gt;0,(COS(PI()*(DN12-1)/②시니어_가정!$E$15)-COS(PI()*DN12/②시니어_가정!$E$15))/2,0)</f>
        <v>0</v>
      </c>
      <c r="DO13" s="194" t="n">
        <f aca="false">IF(DO12&gt;0,(COS(PI()*(DO12-1)/②시니어_가정!$E$15)-COS(PI()*DO12/②시니어_가정!$E$15))/2,0)</f>
        <v>0</v>
      </c>
      <c r="DP13" s="194" t="n">
        <f aca="false">IF(DP12&gt;0,(COS(PI()*(DP12-1)/②시니어_가정!$E$15)-COS(PI()*DP12/②시니어_가정!$E$15))/2,0)</f>
        <v>0</v>
      </c>
      <c r="DQ13" s="194" t="n">
        <f aca="false">IF(DQ12&gt;0,(COS(PI()*(DQ12-1)/②시니어_가정!$E$15)-COS(PI()*DQ12/②시니어_가정!$E$15))/2,0)</f>
        <v>0</v>
      </c>
      <c r="DR13" s="194" t="n">
        <f aca="false">IF(DR12&gt;0,(COS(PI()*(DR12-1)/②시니어_가정!$E$15)-COS(PI()*DR12/②시니어_가정!$E$15))/2,0)</f>
        <v>0</v>
      </c>
      <c r="DS13" s="194" t="n">
        <f aca="false">IF(DS12&gt;0,(COS(PI()*(DS12-1)/②시니어_가정!$E$15)-COS(PI()*DS12/②시니어_가정!$E$15))/2,0)</f>
        <v>0</v>
      </c>
      <c r="DT13" s="194" t="n">
        <f aca="false">IF(DT12&gt;0,(COS(PI()*(DT12-1)/②시니어_가정!$E$15)-COS(PI()*DT12/②시니어_가정!$E$15))/2,0)</f>
        <v>0</v>
      </c>
      <c r="DU13" s="194" t="n">
        <f aca="false">IF(DU12&gt;0,(COS(PI()*(DU12-1)/②시니어_가정!$E$15)-COS(PI()*DU12/②시니어_가정!$E$15))/2,0)</f>
        <v>0</v>
      </c>
      <c r="DV13" s="194" t="n">
        <f aca="false">IF(DV12&gt;0,(COS(PI()*(DV12-1)/②시니어_가정!$E$15)-COS(PI()*DV12/②시니어_가정!$E$15))/2,0)</f>
        <v>0</v>
      </c>
      <c r="DW13" s="194" t="n">
        <f aca="false">IF(DW12&gt;0,(COS(PI()*(DW12-1)/②시니어_가정!$E$15)-COS(PI()*DW12/②시니어_가정!$E$15))/2,0)</f>
        <v>0</v>
      </c>
      <c r="DX13" s="194" t="n">
        <f aca="false">IF(DX12&gt;0,(COS(PI()*(DX12-1)/②시니어_가정!$E$15)-COS(PI()*DX12/②시니어_가정!$E$15))/2,0)</f>
        <v>0</v>
      </c>
      <c r="DY13" s="194" t="n">
        <f aca="false">IF(DY12&gt;0,(COS(PI()*(DY12-1)/②시니어_가정!$E$15)-COS(PI()*DY12/②시니어_가정!$E$15))/2,0)</f>
        <v>0</v>
      </c>
      <c r="DZ13" s="194" t="n">
        <f aca="false">IF(DZ12&gt;0,(COS(PI()*(DZ12-1)/②시니어_가정!$E$15)-COS(PI()*DZ12/②시니어_가정!$E$15))/2,0)</f>
        <v>0</v>
      </c>
      <c r="EA13" s="194" t="n">
        <f aca="false">IF(EA12&gt;0,(COS(PI()*(EA12-1)/②시니어_가정!$E$15)-COS(PI()*EA12/②시니어_가정!$E$15))/2,0)</f>
        <v>0</v>
      </c>
      <c r="EB13" s="194" t="n">
        <f aca="false">IF(EB12&gt;0,(COS(PI()*(EB12-1)/②시니어_가정!$E$15)-COS(PI()*EB12/②시니어_가정!$E$15))/2,0)</f>
        <v>0</v>
      </c>
      <c r="EC13" s="194" t="n">
        <f aca="false">IF(EC12&gt;0,(COS(PI()*(EC12-1)/②시니어_가정!$E$15)-COS(PI()*EC12/②시니어_가정!$E$15))/2,0)</f>
        <v>0</v>
      </c>
      <c r="ED13" s="194" t="n">
        <f aca="false">IF(ED12&gt;0,(COS(PI()*(ED12-1)/②시니어_가정!$E$15)-COS(PI()*ED12/②시니어_가정!$E$15))/2,0)</f>
        <v>0</v>
      </c>
      <c r="EE13" s="194" t="n">
        <f aca="false">IF(EE12&gt;0,(COS(PI()*(EE12-1)/②시니어_가정!$E$15)-COS(PI()*EE12/②시니어_가정!$E$15))/2,0)</f>
        <v>0</v>
      </c>
      <c r="EF13" s="194" t="n">
        <f aca="false">IF(EF12&gt;0,(COS(PI()*(EF12-1)/②시니어_가정!$E$15)-COS(PI()*EF12/②시니어_가정!$E$15))/2,0)</f>
        <v>0</v>
      </c>
    </row>
    <row r="14" customFormat="false" ht="15" hidden="false" customHeight="false" outlineLevel="0" collapsed="false">
      <c r="A14" s="36" t="s">
        <v>570</v>
      </c>
      <c r="B14" s="273"/>
      <c r="E14" s="276" t="n">
        <f aca="false">IF(AND(E6&gt;=②시니어_가정!$E$18,E6&lt;=②시니어_가정!$E$20),1,0)</f>
        <v>0</v>
      </c>
      <c r="F14" s="276" t="n">
        <f aca="false">IF(AND(F6&gt;=②시니어_가정!$E$18,F6&lt;=②시니어_가정!$E$20),1,0)</f>
        <v>0</v>
      </c>
      <c r="G14" s="276" t="n">
        <f aca="false">IF(AND(G6&gt;=②시니어_가정!$E$18,G6&lt;=②시니어_가정!$E$20),1,0)</f>
        <v>0</v>
      </c>
      <c r="H14" s="276" t="n">
        <f aca="false">IF(AND(H6&gt;=②시니어_가정!$E$18,H6&lt;=②시니어_가정!$E$20),1,0)</f>
        <v>0</v>
      </c>
      <c r="I14" s="276" t="n">
        <f aca="false">IF(AND(I6&gt;=②시니어_가정!$E$18,I6&lt;=②시니어_가정!$E$20),1,0)</f>
        <v>0</v>
      </c>
      <c r="J14" s="276" t="n">
        <f aca="false">IF(AND(J6&gt;=②시니어_가정!$E$18,J6&lt;=②시니어_가정!$E$20),1,0)</f>
        <v>0</v>
      </c>
      <c r="K14" s="276" t="n">
        <f aca="false">IF(AND(K6&gt;=②시니어_가정!$E$18,K6&lt;=②시니어_가정!$E$20),1,0)</f>
        <v>0</v>
      </c>
      <c r="L14" s="276" t="n">
        <f aca="false">IF(AND(L6&gt;=②시니어_가정!$E$18,L6&lt;=②시니어_가정!$E$20),1,0)</f>
        <v>0</v>
      </c>
      <c r="M14" s="276" t="n">
        <f aca="false">IF(AND(M6&gt;=②시니어_가정!$E$18,M6&lt;=②시니어_가정!$E$20),1,0)</f>
        <v>0</v>
      </c>
      <c r="N14" s="276" t="n">
        <f aca="false">IF(AND(N6&gt;=②시니어_가정!$E$18,N6&lt;=②시니어_가정!$E$20),1,0)</f>
        <v>0</v>
      </c>
      <c r="O14" s="276" t="n">
        <f aca="false">IF(AND(O6&gt;=②시니어_가정!$E$18,O6&lt;=②시니어_가정!$E$20),1,0)</f>
        <v>0</v>
      </c>
      <c r="P14" s="276" t="n">
        <f aca="false">IF(AND(P6&gt;=②시니어_가정!$E$18,P6&lt;=②시니어_가정!$E$20),1,0)</f>
        <v>0</v>
      </c>
      <c r="Q14" s="276" t="n">
        <f aca="false">IF(AND(Q6&gt;=②시니어_가정!$E$18,Q6&lt;=②시니어_가정!$E$20),1,0)</f>
        <v>0</v>
      </c>
      <c r="R14" s="276" t="n">
        <f aca="false">IF(AND(R6&gt;=②시니어_가정!$E$18,R6&lt;=②시니어_가정!$E$20),1,0)</f>
        <v>0</v>
      </c>
      <c r="S14" s="276" t="n">
        <f aca="false">IF(AND(S6&gt;=②시니어_가정!$E$18,S6&lt;=②시니어_가정!$E$20),1,0)</f>
        <v>0</v>
      </c>
      <c r="T14" s="276" t="n">
        <f aca="false">IF(AND(T6&gt;=②시니어_가정!$E$18,T6&lt;=②시니어_가정!$E$20),1,0)</f>
        <v>0</v>
      </c>
      <c r="U14" s="276" t="n">
        <f aca="false">IF(AND(U6&gt;=②시니어_가정!$E$18,U6&lt;=②시니어_가정!$E$20),1,0)</f>
        <v>0</v>
      </c>
      <c r="V14" s="276" t="n">
        <f aca="false">IF(AND(V6&gt;=②시니어_가정!$E$18,V6&lt;=②시니어_가정!$E$20),1,0)</f>
        <v>0</v>
      </c>
      <c r="W14" s="276" t="n">
        <f aca="false">IF(AND(W6&gt;=②시니어_가정!$E$18,W6&lt;=②시니어_가정!$E$20),1,0)</f>
        <v>0</v>
      </c>
      <c r="X14" s="276" t="n">
        <f aca="false">IF(AND(X6&gt;=②시니어_가정!$E$18,X6&lt;=②시니어_가정!$E$20),1,0)</f>
        <v>0</v>
      </c>
      <c r="Y14" s="276" t="n">
        <f aca="false">IF(AND(Y6&gt;=②시니어_가정!$E$18,Y6&lt;=②시니어_가정!$E$20),1,0)</f>
        <v>0</v>
      </c>
      <c r="Z14" s="276" t="n">
        <f aca="false">IF(AND(Z6&gt;=②시니어_가정!$E$18,Z6&lt;=②시니어_가정!$E$20),1,0)</f>
        <v>0</v>
      </c>
      <c r="AA14" s="276" t="n">
        <f aca="false">IF(AND(AA6&gt;=②시니어_가정!$E$18,AA6&lt;=②시니어_가정!$E$20),1,0)</f>
        <v>0</v>
      </c>
      <c r="AB14" s="276" t="n">
        <f aca="false">IF(AND(AB6&gt;=②시니어_가정!$E$18,AB6&lt;=②시니어_가정!$E$20),1,0)</f>
        <v>0</v>
      </c>
      <c r="AC14" s="276" t="n">
        <f aca="false">IF(AND(AC6&gt;=②시니어_가정!$E$18,AC6&lt;=②시니어_가정!$E$20),1,0)</f>
        <v>0</v>
      </c>
      <c r="AD14" s="276" t="n">
        <f aca="false">IF(AND(AD6&gt;=②시니어_가정!$E$18,AD6&lt;=②시니어_가정!$E$20),1,0)</f>
        <v>0</v>
      </c>
      <c r="AE14" s="276" t="n">
        <f aca="false">IF(AND(AE6&gt;=②시니어_가정!$E$18,AE6&lt;=②시니어_가정!$E$20),1,0)</f>
        <v>0</v>
      </c>
      <c r="AF14" s="276" t="n">
        <f aca="false">IF(AND(AF6&gt;=②시니어_가정!$E$18,AF6&lt;=②시니어_가정!$E$20),1,0)</f>
        <v>0</v>
      </c>
      <c r="AG14" s="276" t="n">
        <f aca="false">IF(AND(AG6&gt;=②시니어_가정!$E$18,AG6&lt;=②시니어_가정!$E$20),1,0)</f>
        <v>0</v>
      </c>
      <c r="AH14" s="276" t="n">
        <f aca="false">IF(AND(AH6&gt;=②시니어_가정!$E$18,AH6&lt;=②시니어_가정!$E$20),1,0)</f>
        <v>0</v>
      </c>
      <c r="AI14" s="276" t="n">
        <f aca="false">IF(AND(AI6&gt;=②시니어_가정!$E$18,AI6&lt;=②시니어_가정!$E$20),1,0)</f>
        <v>0</v>
      </c>
      <c r="AJ14" s="276" t="n">
        <f aca="false">IF(AND(AJ6&gt;=②시니어_가정!$E$18,AJ6&lt;=②시니어_가정!$E$20),1,0)</f>
        <v>0</v>
      </c>
      <c r="AK14" s="276" t="n">
        <f aca="false">IF(AND(AK6&gt;=②시니어_가정!$E$18,AK6&lt;=②시니어_가정!$E$20),1,0)</f>
        <v>0</v>
      </c>
      <c r="AL14" s="276" t="n">
        <f aca="false">IF(AND(AL6&gt;=②시니어_가정!$E$18,AL6&lt;=②시니어_가정!$E$20),1,0)</f>
        <v>0</v>
      </c>
      <c r="AM14" s="276" t="n">
        <f aca="false">IF(AND(AM6&gt;=②시니어_가정!$E$18,AM6&lt;=②시니어_가정!$E$20),1,0)</f>
        <v>0</v>
      </c>
      <c r="AN14" s="276" t="n">
        <f aca="false">IF(AND(AN6&gt;=②시니어_가정!$E$18,AN6&lt;=②시니어_가정!$E$20),1,0)</f>
        <v>0</v>
      </c>
      <c r="AO14" s="276" t="n">
        <f aca="false">IF(AND(AO6&gt;=②시니어_가정!$E$18,AO6&lt;=②시니어_가정!$E$20),1,0)</f>
        <v>0</v>
      </c>
      <c r="AP14" s="276" t="n">
        <f aca="false">IF(AND(AP6&gt;=②시니어_가정!$E$18,AP6&lt;=②시니어_가정!$E$20),1,0)</f>
        <v>0</v>
      </c>
      <c r="AQ14" s="276" t="n">
        <f aca="false">IF(AND(AQ6&gt;=②시니어_가정!$E$18,AQ6&lt;=②시니어_가정!$E$20),1,0)</f>
        <v>0</v>
      </c>
      <c r="AR14" s="276" t="n">
        <f aca="false">IF(AND(AR6&gt;=②시니어_가정!$E$18,AR6&lt;=②시니어_가정!$E$20),1,0)</f>
        <v>0</v>
      </c>
      <c r="AS14" s="276" t="n">
        <f aca="false">IF(AND(AS6&gt;=②시니어_가정!$E$18,AS6&lt;=②시니어_가정!$E$20),1,0)</f>
        <v>0</v>
      </c>
      <c r="AT14" s="276" t="n">
        <f aca="false">IF(AND(AT6&gt;=②시니어_가정!$E$18,AT6&lt;=②시니어_가정!$E$20),1,0)</f>
        <v>0</v>
      </c>
      <c r="AU14" s="276" t="n">
        <f aca="false">IF(AND(AU6&gt;=②시니어_가정!$E$18,AU6&lt;=②시니어_가정!$E$20),1,0)</f>
        <v>0</v>
      </c>
      <c r="AV14" s="276" t="n">
        <f aca="false">IF(AND(AV6&gt;=②시니어_가정!$E$18,AV6&lt;=②시니어_가정!$E$20),1,0)</f>
        <v>0</v>
      </c>
      <c r="AW14" s="276" t="n">
        <f aca="false">IF(AND(AW6&gt;=②시니어_가정!$E$18,AW6&lt;=②시니어_가정!$E$20),1,0)</f>
        <v>0</v>
      </c>
      <c r="AX14" s="276" t="n">
        <f aca="false">IF(AND(AX6&gt;=②시니어_가정!$E$18,AX6&lt;=②시니어_가정!$E$20),1,0)</f>
        <v>0</v>
      </c>
      <c r="AY14" s="276" t="n">
        <f aca="false">IF(AND(AY6&gt;=②시니어_가정!$E$18,AY6&lt;=②시니어_가정!$E$20),1,0)</f>
        <v>0</v>
      </c>
      <c r="AZ14" s="276" t="n">
        <f aca="false">IF(AND(AZ6&gt;=②시니어_가정!$E$18,AZ6&lt;=②시니어_가정!$E$20),1,0)</f>
        <v>0</v>
      </c>
      <c r="BA14" s="276" t="n">
        <f aca="false">IF(AND(BA6&gt;=②시니어_가정!$E$18,BA6&lt;=②시니어_가정!$E$20),1,0)</f>
        <v>0</v>
      </c>
      <c r="BB14" s="276" t="n">
        <f aca="false">IF(AND(BB6&gt;=②시니어_가정!$E$18,BB6&lt;=②시니어_가정!$E$20),1,0)</f>
        <v>0</v>
      </c>
      <c r="BC14" s="276" t="n">
        <f aca="false">IF(AND(BC6&gt;=②시니어_가정!$E$18,BC6&lt;=②시니어_가정!$E$20),1,0)</f>
        <v>0</v>
      </c>
      <c r="BD14" s="276" t="n">
        <f aca="false">IF(AND(BD6&gt;=②시니어_가정!$E$18,BD6&lt;=②시니어_가정!$E$20),1,0)</f>
        <v>0</v>
      </c>
      <c r="BE14" s="276" t="n">
        <f aca="false">IF(AND(BE6&gt;=②시니어_가정!$E$18,BE6&lt;=②시니어_가정!$E$20),1,0)</f>
        <v>0</v>
      </c>
      <c r="BF14" s="276" t="n">
        <f aca="false">IF(AND(BF6&gt;=②시니어_가정!$E$18,BF6&lt;=②시니어_가정!$E$20),1,0)</f>
        <v>0</v>
      </c>
      <c r="BG14" s="276" t="n">
        <f aca="false">IF(AND(BG6&gt;=②시니어_가정!$E$18,BG6&lt;=②시니어_가정!$E$20),1,0)</f>
        <v>0</v>
      </c>
      <c r="BH14" s="276" t="n">
        <f aca="false">IF(AND(BH6&gt;=②시니어_가정!$E$18,BH6&lt;=②시니어_가정!$E$20),1,0)</f>
        <v>0</v>
      </c>
      <c r="BI14" s="276" t="n">
        <f aca="false">IF(AND(BI6&gt;=②시니어_가정!$E$18,BI6&lt;=②시니어_가정!$E$20),1,0)</f>
        <v>0</v>
      </c>
      <c r="BJ14" s="276" t="n">
        <f aca="false">IF(AND(BJ6&gt;=②시니어_가정!$E$18,BJ6&lt;=②시니어_가정!$E$20),1,0)</f>
        <v>0</v>
      </c>
      <c r="BK14" s="276" t="n">
        <f aca="false">IF(AND(BK6&gt;=②시니어_가정!$E$18,BK6&lt;=②시니어_가정!$E$20),1,0)</f>
        <v>0</v>
      </c>
      <c r="BL14" s="276" t="n">
        <f aca="false">IF(AND(BL6&gt;=②시니어_가정!$E$18,BL6&lt;=②시니어_가정!$E$20),1,0)</f>
        <v>0</v>
      </c>
      <c r="BM14" s="276" t="n">
        <f aca="false">IF(AND(BM6&gt;=②시니어_가정!$E$18,BM6&lt;=②시니어_가정!$E$20),1,0)</f>
        <v>1</v>
      </c>
      <c r="BN14" s="276" t="n">
        <f aca="false">IF(AND(BN6&gt;=②시니어_가정!$E$18,BN6&lt;=②시니어_가정!$E$20),1,0)</f>
        <v>1</v>
      </c>
      <c r="BO14" s="276" t="n">
        <f aca="false">IF(AND(BO6&gt;=②시니어_가정!$E$18,BO6&lt;=②시니어_가정!$E$20),1,0)</f>
        <v>1</v>
      </c>
      <c r="BP14" s="276" t="n">
        <f aca="false">IF(AND(BP6&gt;=②시니어_가정!$E$18,BP6&lt;=②시니어_가정!$E$20),1,0)</f>
        <v>1</v>
      </c>
      <c r="BQ14" s="276" t="n">
        <f aca="false">IF(AND(BQ6&gt;=②시니어_가정!$E$18,BQ6&lt;=②시니어_가정!$E$20),1,0)</f>
        <v>1</v>
      </c>
      <c r="BR14" s="276" t="n">
        <f aca="false">IF(AND(BR6&gt;=②시니어_가정!$E$18,BR6&lt;=②시니어_가정!$E$20),1,0)</f>
        <v>1</v>
      </c>
      <c r="BS14" s="276" t="n">
        <f aca="false">IF(AND(BS6&gt;=②시니어_가정!$E$18,BS6&lt;=②시니어_가정!$E$20),1,0)</f>
        <v>1</v>
      </c>
      <c r="BT14" s="276" t="n">
        <f aca="false">IF(AND(BT6&gt;=②시니어_가정!$E$18,BT6&lt;=②시니어_가정!$E$20),1,0)</f>
        <v>1</v>
      </c>
      <c r="BU14" s="276" t="n">
        <f aca="false">IF(AND(BU6&gt;=②시니어_가정!$E$18,BU6&lt;=②시니어_가정!$E$20),1,0)</f>
        <v>1</v>
      </c>
      <c r="BV14" s="276" t="n">
        <f aca="false">IF(AND(BV6&gt;=②시니어_가정!$E$18,BV6&lt;=②시니어_가정!$E$20),1,0)</f>
        <v>1</v>
      </c>
      <c r="BW14" s="276" t="n">
        <f aca="false">IF(AND(BW6&gt;=②시니어_가정!$E$18,BW6&lt;=②시니어_가정!$E$20),1,0)</f>
        <v>1</v>
      </c>
      <c r="BX14" s="276" t="n">
        <f aca="false">IF(AND(BX6&gt;=②시니어_가정!$E$18,BX6&lt;=②시니어_가정!$E$20),1,0)</f>
        <v>1</v>
      </c>
      <c r="BY14" s="276" t="n">
        <f aca="false">IF(AND(BY6&gt;=②시니어_가정!$E$18,BY6&lt;=②시니어_가정!$E$20),1,0)</f>
        <v>1</v>
      </c>
      <c r="BZ14" s="276" t="n">
        <f aca="false">IF(AND(BZ6&gt;=②시니어_가정!$E$18,BZ6&lt;=②시니어_가정!$E$20),1,0)</f>
        <v>1</v>
      </c>
      <c r="CA14" s="276" t="n">
        <f aca="false">IF(AND(CA6&gt;=②시니어_가정!$E$18,CA6&lt;=②시니어_가정!$E$20),1,0)</f>
        <v>1</v>
      </c>
      <c r="CB14" s="276" t="n">
        <f aca="false">IF(AND(CB6&gt;=②시니어_가정!$E$18,CB6&lt;=②시니어_가정!$E$20),1,0)</f>
        <v>1</v>
      </c>
      <c r="CC14" s="276" t="n">
        <f aca="false">IF(AND(CC6&gt;=②시니어_가정!$E$18,CC6&lt;=②시니어_가정!$E$20),1,0)</f>
        <v>1</v>
      </c>
      <c r="CD14" s="276" t="n">
        <f aca="false">IF(AND(CD6&gt;=②시니어_가정!$E$18,CD6&lt;=②시니어_가정!$E$20),1,0)</f>
        <v>1</v>
      </c>
      <c r="CE14" s="276" t="n">
        <f aca="false">IF(AND(CE6&gt;=②시니어_가정!$E$18,CE6&lt;=②시니어_가정!$E$20),1,0)</f>
        <v>1</v>
      </c>
      <c r="CF14" s="276" t="n">
        <f aca="false">IF(AND(CF6&gt;=②시니어_가정!$E$18,CF6&lt;=②시니어_가정!$E$20),1,0)</f>
        <v>1</v>
      </c>
      <c r="CG14" s="276" t="n">
        <f aca="false">IF(AND(CG6&gt;=②시니어_가정!$E$18,CG6&lt;=②시니어_가정!$E$20),1,0)</f>
        <v>1</v>
      </c>
      <c r="CH14" s="276" t="n">
        <f aca="false">IF(AND(CH6&gt;=②시니어_가정!$E$18,CH6&lt;=②시니어_가정!$E$20),1,0)</f>
        <v>1</v>
      </c>
      <c r="CI14" s="276" t="n">
        <f aca="false">IF(AND(CI6&gt;=②시니어_가정!$E$18,CI6&lt;=②시니어_가정!$E$20),1,0)</f>
        <v>1</v>
      </c>
      <c r="CJ14" s="276" t="n">
        <f aca="false">IF(AND(CJ6&gt;=②시니어_가정!$E$18,CJ6&lt;=②시니어_가정!$E$20),1,0)</f>
        <v>1</v>
      </c>
      <c r="CK14" s="276" t="n">
        <f aca="false">IF(AND(CK6&gt;=②시니어_가정!$E$18,CK6&lt;=②시니어_가정!$E$20),1,0)</f>
        <v>1</v>
      </c>
      <c r="CL14" s="276" t="n">
        <f aca="false">IF(AND(CL6&gt;=②시니어_가정!$E$18,CL6&lt;=②시니어_가정!$E$20),1,0)</f>
        <v>1</v>
      </c>
      <c r="CM14" s="276" t="n">
        <f aca="false">IF(AND(CM6&gt;=②시니어_가정!$E$18,CM6&lt;=②시니어_가정!$E$20),1,0)</f>
        <v>1</v>
      </c>
      <c r="CN14" s="276" t="n">
        <f aca="false">IF(AND(CN6&gt;=②시니어_가정!$E$18,CN6&lt;=②시니어_가정!$E$20),1,0)</f>
        <v>1</v>
      </c>
      <c r="CO14" s="276" t="n">
        <f aca="false">IF(AND(CO6&gt;=②시니어_가정!$E$18,CO6&lt;=②시니어_가정!$E$20),1,0)</f>
        <v>1</v>
      </c>
      <c r="CP14" s="276" t="n">
        <f aca="false">IF(AND(CP6&gt;=②시니어_가정!$E$18,CP6&lt;=②시니어_가정!$E$20),1,0)</f>
        <v>1</v>
      </c>
      <c r="CQ14" s="276" t="n">
        <f aca="false">IF(AND(CQ6&gt;=②시니어_가정!$E$18,CQ6&lt;=②시니어_가정!$E$20),1,0)</f>
        <v>1</v>
      </c>
      <c r="CR14" s="276" t="n">
        <f aca="false">IF(AND(CR6&gt;=②시니어_가정!$E$18,CR6&lt;=②시니어_가정!$E$20),1,0)</f>
        <v>1</v>
      </c>
      <c r="CS14" s="276" t="n">
        <f aca="false">IF(AND(CS6&gt;=②시니어_가정!$E$18,CS6&lt;=②시니어_가정!$E$20),1,0)</f>
        <v>1</v>
      </c>
      <c r="CT14" s="276" t="n">
        <f aca="false">IF(AND(CT6&gt;=②시니어_가정!$E$18,CT6&lt;=②시니어_가정!$E$20),1,0)</f>
        <v>1</v>
      </c>
      <c r="CU14" s="276" t="n">
        <f aca="false">IF(AND(CU6&gt;=②시니어_가정!$E$18,CU6&lt;=②시니어_가정!$E$20),1,0)</f>
        <v>1</v>
      </c>
      <c r="CV14" s="276" t="n">
        <f aca="false">IF(AND(CV6&gt;=②시니어_가정!$E$18,CV6&lt;=②시니어_가정!$E$20),1,0)</f>
        <v>1</v>
      </c>
      <c r="CW14" s="276" t="n">
        <f aca="false">IF(AND(CW6&gt;=②시니어_가정!$E$18,CW6&lt;=②시니어_가정!$E$20),1,0)</f>
        <v>1</v>
      </c>
      <c r="CX14" s="276" t="n">
        <f aca="false">IF(AND(CX6&gt;=②시니어_가정!$E$18,CX6&lt;=②시니어_가정!$E$20),1,0)</f>
        <v>1</v>
      </c>
      <c r="CY14" s="276" t="n">
        <f aca="false">IF(AND(CY6&gt;=②시니어_가정!$E$18,CY6&lt;=②시니어_가정!$E$20),1,0)</f>
        <v>1</v>
      </c>
      <c r="CZ14" s="276" t="n">
        <f aca="false">IF(AND(CZ6&gt;=②시니어_가정!$E$18,CZ6&lt;=②시니어_가정!$E$20),1,0)</f>
        <v>1</v>
      </c>
      <c r="DA14" s="276" t="n">
        <f aca="false">IF(AND(DA6&gt;=②시니어_가정!$E$18,DA6&lt;=②시니어_가정!$E$20),1,0)</f>
        <v>1</v>
      </c>
      <c r="DB14" s="276" t="n">
        <f aca="false">IF(AND(DB6&gt;=②시니어_가정!$E$18,DB6&lt;=②시니어_가정!$E$20),1,0)</f>
        <v>1</v>
      </c>
      <c r="DC14" s="276" t="n">
        <f aca="false">IF(AND(DC6&gt;=②시니어_가정!$E$18,DC6&lt;=②시니어_가정!$E$20),1,0)</f>
        <v>1</v>
      </c>
      <c r="DD14" s="276" t="n">
        <f aca="false">IF(AND(DD6&gt;=②시니어_가정!$E$18,DD6&lt;=②시니어_가정!$E$20),1,0)</f>
        <v>1</v>
      </c>
      <c r="DE14" s="276" t="n">
        <f aca="false">IF(AND(DE6&gt;=②시니어_가정!$E$18,DE6&lt;=②시니어_가정!$E$20),1,0)</f>
        <v>1</v>
      </c>
      <c r="DF14" s="276" t="n">
        <f aca="false">IF(AND(DF6&gt;=②시니어_가정!$E$18,DF6&lt;=②시니어_가정!$E$20),1,0)</f>
        <v>1</v>
      </c>
      <c r="DG14" s="276" t="n">
        <f aca="false">IF(AND(DG6&gt;=②시니어_가정!$E$18,DG6&lt;=②시니어_가정!$E$20),1,0)</f>
        <v>1</v>
      </c>
      <c r="DH14" s="276" t="n">
        <f aca="false">IF(AND(DH6&gt;=②시니어_가정!$E$18,DH6&lt;=②시니어_가정!$E$20),1,0)</f>
        <v>1</v>
      </c>
      <c r="DI14" s="276" t="n">
        <f aca="false">IF(AND(DI6&gt;=②시니어_가정!$E$18,DI6&lt;=②시니어_가정!$E$20),1,0)</f>
        <v>1</v>
      </c>
      <c r="DJ14" s="276" t="n">
        <f aca="false">IF(AND(DJ6&gt;=②시니어_가정!$E$18,DJ6&lt;=②시니어_가정!$E$20),1,0)</f>
        <v>1</v>
      </c>
      <c r="DK14" s="276" t="n">
        <f aca="false">IF(AND(DK6&gt;=②시니어_가정!$E$18,DK6&lt;=②시니어_가정!$E$20),1,0)</f>
        <v>1</v>
      </c>
      <c r="DL14" s="276" t="n">
        <f aca="false">IF(AND(DL6&gt;=②시니어_가정!$E$18,DL6&lt;=②시니어_가정!$E$20),1,0)</f>
        <v>1</v>
      </c>
      <c r="DM14" s="276" t="n">
        <f aca="false">IF(AND(DM6&gt;=②시니어_가정!$E$18,DM6&lt;=②시니어_가정!$E$20),1,0)</f>
        <v>1</v>
      </c>
      <c r="DN14" s="276" t="n">
        <f aca="false">IF(AND(DN6&gt;=②시니어_가정!$E$18,DN6&lt;=②시니어_가정!$E$20),1,0)</f>
        <v>1</v>
      </c>
      <c r="DO14" s="276" t="n">
        <f aca="false">IF(AND(DO6&gt;=②시니어_가정!$E$18,DO6&lt;=②시니어_가정!$E$20),1,0)</f>
        <v>1</v>
      </c>
      <c r="DP14" s="276" t="n">
        <f aca="false">IF(AND(DP6&gt;=②시니어_가정!$E$18,DP6&lt;=②시니어_가정!$E$20),1,0)</f>
        <v>1</v>
      </c>
      <c r="DQ14" s="276" t="n">
        <f aca="false">IF(AND(DQ6&gt;=②시니어_가정!$E$18,DQ6&lt;=②시니어_가정!$E$20),1,0)</f>
        <v>1</v>
      </c>
      <c r="DR14" s="276" t="n">
        <f aca="false">IF(AND(DR6&gt;=②시니어_가정!$E$18,DR6&lt;=②시니어_가정!$E$20),1,0)</f>
        <v>1</v>
      </c>
      <c r="DS14" s="276" t="n">
        <f aca="false">IF(AND(DS6&gt;=②시니어_가정!$E$18,DS6&lt;=②시니어_가정!$E$20),1,0)</f>
        <v>1</v>
      </c>
      <c r="DT14" s="276" t="n">
        <f aca="false">IF(AND(DT6&gt;=②시니어_가정!$E$18,DT6&lt;=②시니어_가정!$E$20),1,0)</f>
        <v>1</v>
      </c>
      <c r="DU14" s="276" t="n">
        <f aca="false">IF(AND(DU6&gt;=②시니어_가정!$E$18,DU6&lt;=②시니어_가정!$E$20),1,0)</f>
        <v>0</v>
      </c>
      <c r="DV14" s="276" t="n">
        <f aca="false">IF(AND(DV6&gt;=②시니어_가정!$E$18,DV6&lt;=②시니어_가정!$E$20),1,0)</f>
        <v>0</v>
      </c>
      <c r="DW14" s="276" t="n">
        <f aca="false">IF(AND(DW6&gt;=②시니어_가정!$E$18,DW6&lt;=②시니어_가정!$E$20),1,0)</f>
        <v>0</v>
      </c>
      <c r="DX14" s="276" t="n">
        <f aca="false">IF(AND(DX6&gt;=②시니어_가정!$E$18,DX6&lt;=②시니어_가정!$E$20),1,0)</f>
        <v>0</v>
      </c>
      <c r="DY14" s="276" t="n">
        <f aca="false">IF(AND(DY6&gt;=②시니어_가정!$E$18,DY6&lt;=②시니어_가정!$E$20),1,0)</f>
        <v>0</v>
      </c>
      <c r="DZ14" s="276" t="n">
        <f aca="false">IF(AND(DZ6&gt;=②시니어_가정!$E$18,DZ6&lt;=②시니어_가정!$E$20),1,0)</f>
        <v>0</v>
      </c>
      <c r="EA14" s="276" t="n">
        <f aca="false">IF(AND(EA6&gt;=②시니어_가정!$E$18,EA6&lt;=②시니어_가정!$E$20),1,0)</f>
        <v>0</v>
      </c>
      <c r="EB14" s="276" t="n">
        <f aca="false">IF(AND(EB6&gt;=②시니어_가정!$E$18,EB6&lt;=②시니어_가정!$E$20),1,0)</f>
        <v>0</v>
      </c>
      <c r="EC14" s="276" t="n">
        <f aca="false">IF(AND(EC6&gt;=②시니어_가정!$E$18,EC6&lt;=②시니어_가정!$E$20),1,0)</f>
        <v>0</v>
      </c>
      <c r="ED14" s="276" t="n">
        <f aca="false">IF(AND(ED6&gt;=②시니어_가정!$E$18,ED6&lt;=②시니어_가정!$E$20),1,0)</f>
        <v>0</v>
      </c>
      <c r="EE14" s="276" t="n">
        <f aca="false">IF(AND(EE6&gt;=②시니어_가정!$E$18,EE6&lt;=②시니어_가정!$E$20),1,0)</f>
        <v>0</v>
      </c>
      <c r="EF14" s="276" t="n">
        <f aca="false">IF(AND(EF6&gt;=②시니어_가정!$E$18,EF6&lt;=②시니어_가정!$E$20),1,0)</f>
        <v>0</v>
      </c>
    </row>
    <row r="15" customFormat="false" ht="15" hidden="false" customHeight="false" outlineLevel="0" collapsed="false">
      <c r="A15" s="36" t="s">
        <v>571</v>
      </c>
      <c r="B15" s="273"/>
      <c r="E15" s="275" t="n">
        <f aca="false">IF(E14=1,(YEAR(E6)-YEAR(②시니어_가정!$E$18))*12+MONTH(E6)-MONTH(②시니어_가정!$E$18)+1,0)</f>
        <v>0</v>
      </c>
      <c r="F15" s="275" t="n">
        <f aca="false">IF(F14=1,(YEAR(F6)-YEAR(②시니어_가정!$E$18))*12+MONTH(F6)-MONTH(②시니어_가정!$E$18)+1,0)</f>
        <v>0</v>
      </c>
      <c r="G15" s="275" t="n">
        <f aca="false">IF(G14=1,(YEAR(G6)-YEAR(②시니어_가정!$E$18))*12+MONTH(G6)-MONTH(②시니어_가정!$E$18)+1,0)</f>
        <v>0</v>
      </c>
      <c r="H15" s="275" t="n">
        <f aca="false">IF(H14=1,(YEAR(H6)-YEAR(②시니어_가정!$E$18))*12+MONTH(H6)-MONTH(②시니어_가정!$E$18)+1,0)</f>
        <v>0</v>
      </c>
      <c r="I15" s="275" t="n">
        <f aca="false">IF(I14=1,(YEAR(I6)-YEAR(②시니어_가정!$E$18))*12+MONTH(I6)-MONTH(②시니어_가정!$E$18)+1,0)</f>
        <v>0</v>
      </c>
      <c r="J15" s="275" t="n">
        <f aca="false">IF(J14=1,(YEAR(J6)-YEAR(②시니어_가정!$E$18))*12+MONTH(J6)-MONTH(②시니어_가정!$E$18)+1,0)</f>
        <v>0</v>
      </c>
      <c r="K15" s="275" t="n">
        <f aca="false">IF(K14=1,(YEAR(K6)-YEAR(②시니어_가정!$E$18))*12+MONTH(K6)-MONTH(②시니어_가정!$E$18)+1,0)</f>
        <v>0</v>
      </c>
      <c r="L15" s="275" t="n">
        <f aca="false">IF(L14=1,(YEAR(L6)-YEAR(②시니어_가정!$E$18))*12+MONTH(L6)-MONTH(②시니어_가정!$E$18)+1,0)</f>
        <v>0</v>
      </c>
      <c r="M15" s="275" t="n">
        <f aca="false">IF(M14=1,(YEAR(M6)-YEAR(②시니어_가정!$E$18))*12+MONTH(M6)-MONTH(②시니어_가정!$E$18)+1,0)</f>
        <v>0</v>
      </c>
      <c r="N15" s="275" t="n">
        <f aca="false">IF(N14=1,(YEAR(N6)-YEAR(②시니어_가정!$E$18))*12+MONTH(N6)-MONTH(②시니어_가정!$E$18)+1,0)</f>
        <v>0</v>
      </c>
      <c r="O15" s="275" t="n">
        <f aca="false">IF(O14=1,(YEAR(O6)-YEAR(②시니어_가정!$E$18))*12+MONTH(O6)-MONTH(②시니어_가정!$E$18)+1,0)</f>
        <v>0</v>
      </c>
      <c r="P15" s="275" t="n">
        <f aca="false">IF(P14=1,(YEAR(P6)-YEAR(②시니어_가정!$E$18))*12+MONTH(P6)-MONTH(②시니어_가정!$E$18)+1,0)</f>
        <v>0</v>
      </c>
      <c r="Q15" s="275" t="n">
        <f aca="false">IF(Q14=1,(YEAR(Q6)-YEAR(②시니어_가정!$E$18))*12+MONTH(Q6)-MONTH(②시니어_가정!$E$18)+1,0)</f>
        <v>0</v>
      </c>
      <c r="R15" s="275" t="n">
        <f aca="false">IF(R14=1,(YEAR(R6)-YEAR(②시니어_가정!$E$18))*12+MONTH(R6)-MONTH(②시니어_가정!$E$18)+1,0)</f>
        <v>0</v>
      </c>
      <c r="S15" s="275" t="n">
        <f aca="false">IF(S14=1,(YEAR(S6)-YEAR(②시니어_가정!$E$18))*12+MONTH(S6)-MONTH(②시니어_가정!$E$18)+1,0)</f>
        <v>0</v>
      </c>
      <c r="T15" s="275" t="n">
        <f aca="false">IF(T14=1,(YEAR(T6)-YEAR(②시니어_가정!$E$18))*12+MONTH(T6)-MONTH(②시니어_가정!$E$18)+1,0)</f>
        <v>0</v>
      </c>
      <c r="U15" s="275" t="n">
        <f aca="false">IF(U14=1,(YEAR(U6)-YEAR(②시니어_가정!$E$18))*12+MONTH(U6)-MONTH(②시니어_가정!$E$18)+1,0)</f>
        <v>0</v>
      </c>
      <c r="V15" s="275" t="n">
        <f aca="false">IF(V14=1,(YEAR(V6)-YEAR(②시니어_가정!$E$18))*12+MONTH(V6)-MONTH(②시니어_가정!$E$18)+1,0)</f>
        <v>0</v>
      </c>
      <c r="W15" s="275" t="n">
        <f aca="false">IF(W14=1,(YEAR(W6)-YEAR(②시니어_가정!$E$18))*12+MONTH(W6)-MONTH(②시니어_가정!$E$18)+1,0)</f>
        <v>0</v>
      </c>
      <c r="X15" s="275" t="n">
        <f aca="false">IF(X14=1,(YEAR(X6)-YEAR(②시니어_가정!$E$18))*12+MONTH(X6)-MONTH(②시니어_가정!$E$18)+1,0)</f>
        <v>0</v>
      </c>
      <c r="Y15" s="275" t="n">
        <f aca="false">IF(Y14=1,(YEAR(Y6)-YEAR(②시니어_가정!$E$18))*12+MONTH(Y6)-MONTH(②시니어_가정!$E$18)+1,0)</f>
        <v>0</v>
      </c>
      <c r="Z15" s="275" t="n">
        <f aca="false">IF(Z14=1,(YEAR(Z6)-YEAR(②시니어_가정!$E$18))*12+MONTH(Z6)-MONTH(②시니어_가정!$E$18)+1,0)</f>
        <v>0</v>
      </c>
      <c r="AA15" s="275" t="n">
        <f aca="false">IF(AA14=1,(YEAR(AA6)-YEAR(②시니어_가정!$E$18))*12+MONTH(AA6)-MONTH(②시니어_가정!$E$18)+1,0)</f>
        <v>0</v>
      </c>
      <c r="AB15" s="275" t="n">
        <f aca="false">IF(AB14=1,(YEAR(AB6)-YEAR(②시니어_가정!$E$18))*12+MONTH(AB6)-MONTH(②시니어_가정!$E$18)+1,0)</f>
        <v>0</v>
      </c>
      <c r="AC15" s="275" t="n">
        <f aca="false">IF(AC14=1,(YEAR(AC6)-YEAR(②시니어_가정!$E$18))*12+MONTH(AC6)-MONTH(②시니어_가정!$E$18)+1,0)</f>
        <v>0</v>
      </c>
      <c r="AD15" s="275" t="n">
        <f aca="false">IF(AD14=1,(YEAR(AD6)-YEAR(②시니어_가정!$E$18))*12+MONTH(AD6)-MONTH(②시니어_가정!$E$18)+1,0)</f>
        <v>0</v>
      </c>
      <c r="AE15" s="275" t="n">
        <f aca="false">IF(AE14=1,(YEAR(AE6)-YEAR(②시니어_가정!$E$18))*12+MONTH(AE6)-MONTH(②시니어_가정!$E$18)+1,0)</f>
        <v>0</v>
      </c>
      <c r="AF15" s="275" t="n">
        <f aca="false">IF(AF14=1,(YEAR(AF6)-YEAR(②시니어_가정!$E$18))*12+MONTH(AF6)-MONTH(②시니어_가정!$E$18)+1,0)</f>
        <v>0</v>
      </c>
      <c r="AG15" s="275" t="n">
        <f aca="false">IF(AG14=1,(YEAR(AG6)-YEAR(②시니어_가정!$E$18))*12+MONTH(AG6)-MONTH(②시니어_가정!$E$18)+1,0)</f>
        <v>0</v>
      </c>
      <c r="AH15" s="275" t="n">
        <f aca="false">IF(AH14=1,(YEAR(AH6)-YEAR(②시니어_가정!$E$18))*12+MONTH(AH6)-MONTH(②시니어_가정!$E$18)+1,0)</f>
        <v>0</v>
      </c>
      <c r="AI15" s="275" t="n">
        <f aca="false">IF(AI14=1,(YEAR(AI6)-YEAR(②시니어_가정!$E$18))*12+MONTH(AI6)-MONTH(②시니어_가정!$E$18)+1,0)</f>
        <v>0</v>
      </c>
      <c r="AJ15" s="275" t="n">
        <f aca="false">IF(AJ14=1,(YEAR(AJ6)-YEAR(②시니어_가정!$E$18))*12+MONTH(AJ6)-MONTH(②시니어_가정!$E$18)+1,0)</f>
        <v>0</v>
      </c>
      <c r="AK15" s="275" t="n">
        <f aca="false">IF(AK14=1,(YEAR(AK6)-YEAR(②시니어_가정!$E$18))*12+MONTH(AK6)-MONTH(②시니어_가정!$E$18)+1,0)</f>
        <v>0</v>
      </c>
      <c r="AL15" s="275" t="n">
        <f aca="false">IF(AL14=1,(YEAR(AL6)-YEAR(②시니어_가정!$E$18))*12+MONTH(AL6)-MONTH(②시니어_가정!$E$18)+1,0)</f>
        <v>0</v>
      </c>
      <c r="AM15" s="275" t="n">
        <f aca="false">IF(AM14=1,(YEAR(AM6)-YEAR(②시니어_가정!$E$18))*12+MONTH(AM6)-MONTH(②시니어_가정!$E$18)+1,0)</f>
        <v>0</v>
      </c>
      <c r="AN15" s="275" t="n">
        <f aca="false">IF(AN14=1,(YEAR(AN6)-YEAR(②시니어_가정!$E$18))*12+MONTH(AN6)-MONTH(②시니어_가정!$E$18)+1,0)</f>
        <v>0</v>
      </c>
      <c r="AO15" s="275" t="n">
        <f aca="false">IF(AO14=1,(YEAR(AO6)-YEAR(②시니어_가정!$E$18))*12+MONTH(AO6)-MONTH(②시니어_가정!$E$18)+1,0)</f>
        <v>0</v>
      </c>
      <c r="AP15" s="275" t="n">
        <f aca="false">IF(AP14=1,(YEAR(AP6)-YEAR(②시니어_가정!$E$18))*12+MONTH(AP6)-MONTH(②시니어_가정!$E$18)+1,0)</f>
        <v>0</v>
      </c>
      <c r="AQ15" s="275" t="n">
        <f aca="false">IF(AQ14=1,(YEAR(AQ6)-YEAR(②시니어_가정!$E$18))*12+MONTH(AQ6)-MONTH(②시니어_가정!$E$18)+1,0)</f>
        <v>0</v>
      </c>
      <c r="AR15" s="275" t="n">
        <f aca="false">IF(AR14=1,(YEAR(AR6)-YEAR(②시니어_가정!$E$18))*12+MONTH(AR6)-MONTH(②시니어_가정!$E$18)+1,0)</f>
        <v>0</v>
      </c>
      <c r="AS15" s="275" t="n">
        <f aca="false">IF(AS14=1,(YEAR(AS6)-YEAR(②시니어_가정!$E$18))*12+MONTH(AS6)-MONTH(②시니어_가정!$E$18)+1,0)</f>
        <v>0</v>
      </c>
      <c r="AT15" s="275" t="n">
        <f aca="false">IF(AT14=1,(YEAR(AT6)-YEAR(②시니어_가정!$E$18))*12+MONTH(AT6)-MONTH(②시니어_가정!$E$18)+1,0)</f>
        <v>0</v>
      </c>
      <c r="AU15" s="275" t="n">
        <f aca="false">IF(AU14=1,(YEAR(AU6)-YEAR(②시니어_가정!$E$18))*12+MONTH(AU6)-MONTH(②시니어_가정!$E$18)+1,0)</f>
        <v>0</v>
      </c>
      <c r="AV15" s="275" t="n">
        <f aca="false">IF(AV14=1,(YEAR(AV6)-YEAR(②시니어_가정!$E$18))*12+MONTH(AV6)-MONTH(②시니어_가정!$E$18)+1,0)</f>
        <v>0</v>
      </c>
      <c r="AW15" s="275" t="n">
        <f aca="false">IF(AW14=1,(YEAR(AW6)-YEAR(②시니어_가정!$E$18))*12+MONTH(AW6)-MONTH(②시니어_가정!$E$18)+1,0)</f>
        <v>0</v>
      </c>
      <c r="AX15" s="275" t="n">
        <f aca="false">IF(AX14=1,(YEAR(AX6)-YEAR(②시니어_가정!$E$18))*12+MONTH(AX6)-MONTH(②시니어_가정!$E$18)+1,0)</f>
        <v>0</v>
      </c>
      <c r="AY15" s="275" t="n">
        <f aca="false">IF(AY14=1,(YEAR(AY6)-YEAR(②시니어_가정!$E$18))*12+MONTH(AY6)-MONTH(②시니어_가정!$E$18)+1,0)</f>
        <v>0</v>
      </c>
      <c r="AZ15" s="275" t="n">
        <f aca="false">IF(AZ14=1,(YEAR(AZ6)-YEAR(②시니어_가정!$E$18))*12+MONTH(AZ6)-MONTH(②시니어_가정!$E$18)+1,0)</f>
        <v>0</v>
      </c>
      <c r="BA15" s="275" t="n">
        <f aca="false">IF(BA14=1,(YEAR(BA6)-YEAR(②시니어_가정!$E$18))*12+MONTH(BA6)-MONTH(②시니어_가정!$E$18)+1,0)</f>
        <v>0</v>
      </c>
      <c r="BB15" s="275" t="n">
        <f aca="false">IF(BB14=1,(YEAR(BB6)-YEAR(②시니어_가정!$E$18))*12+MONTH(BB6)-MONTH(②시니어_가정!$E$18)+1,0)</f>
        <v>0</v>
      </c>
      <c r="BC15" s="275" t="n">
        <f aca="false">IF(BC14=1,(YEAR(BC6)-YEAR(②시니어_가정!$E$18))*12+MONTH(BC6)-MONTH(②시니어_가정!$E$18)+1,0)</f>
        <v>0</v>
      </c>
      <c r="BD15" s="275" t="n">
        <f aca="false">IF(BD14=1,(YEAR(BD6)-YEAR(②시니어_가정!$E$18))*12+MONTH(BD6)-MONTH(②시니어_가정!$E$18)+1,0)</f>
        <v>0</v>
      </c>
      <c r="BE15" s="275" t="n">
        <f aca="false">IF(BE14=1,(YEAR(BE6)-YEAR(②시니어_가정!$E$18))*12+MONTH(BE6)-MONTH(②시니어_가정!$E$18)+1,0)</f>
        <v>0</v>
      </c>
      <c r="BF15" s="275" t="n">
        <f aca="false">IF(BF14=1,(YEAR(BF6)-YEAR(②시니어_가정!$E$18))*12+MONTH(BF6)-MONTH(②시니어_가정!$E$18)+1,0)</f>
        <v>0</v>
      </c>
      <c r="BG15" s="275" t="n">
        <f aca="false">IF(BG14=1,(YEAR(BG6)-YEAR(②시니어_가정!$E$18))*12+MONTH(BG6)-MONTH(②시니어_가정!$E$18)+1,0)</f>
        <v>0</v>
      </c>
      <c r="BH15" s="275" t="n">
        <f aca="false">IF(BH14=1,(YEAR(BH6)-YEAR(②시니어_가정!$E$18))*12+MONTH(BH6)-MONTH(②시니어_가정!$E$18)+1,0)</f>
        <v>0</v>
      </c>
      <c r="BI15" s="275" t="n">
        <f aca="false">IF(BI14=1,(YEAR(BI6)-YEAR(②시니어_가정!$E$18))*12+MONTH(BI6)-MONTH(②시니어_가정!$E$18)+1,0)</f>
        <v>0</v>
      </c>
      <c r="BJ15" s="275" t="n">
        <f aca="false">IF(BJ14=1,(YEAR(BJ6)-YEAR(②시니어_가정!$E$18))*12+MONTH(BJ6)-MONTH(②시니어_가정!$E$18)+1,0)</f>
        <v>0</v>
      </c>
      <c r="BK15" s="275" t="n">
        <f aca="false">IF(BK14=1,(YEAR(BK6)-YEAR(②시니어_가정!$E$18))*12+MONTH(BK6)-MONTH(②시니어_가정!$E$18)+1,0)</f>
        <v>0</v>
      </c>
      <c r="BL15" s="275" t="n">
        <f aca="false">IF(BL14=1,(YEAR(BL6)-YEAR(②시니어_가정!$E$18))*12+MONTH(BL6)-MONTH(②시니어_가정!$E$18)+1,0)</f>
        <v>0</v>
      </c>
      <c r="BM15" s="275" t="n">
        <f aca="false">IF(BM14=1,(YEAR(BM6)-YEAR(②시니어_가정!$E$18))*12+MONTH(BM6)-MONTH(②시니어_가정!$E$18)+1,0)</f>
        <v>1</v>
      </c>
      <c r="BN15" s="275" t="n">
        <f aca="false">IF(BN14=1,(YEAR(BN6)-YEAR(②시니어_가정!$E$18))*12+MONTH(BN6)-MONTH(②시니어_가정!$E$18)+1,0)</f>
        <v>2</v>
      </c>
      <c r="BO15" s="275" t="n">
        <f aca="false">IF(BO14=1,(YEAR(BO6)-YEAR(②시니어_가정!$E$18))*12+MONTH(BO6)-MONTH(②시니어_가정!$E$18)+1,0)</f>
        <v>3</v>
      </c>
      <c r="BP15" s="275" t="n">
        <f aca="false">IF(BP14=1,(YEAR(BP6)-YEAR(②시니어_가정!$E$18))*12+MONTH(BP6)-MONTH(②시니어_가정!$E$18)+1,0)</f>
        <v>4</v>
      </c>
      <c r="BQ15" s="275" t="n">
        <f aca="false">IF(BQ14=1,(YEAR(BQ6)-YEAR(②시니어_가정!$E$18))*12+MONTH(BQ6)-MONTH(②시니어_가정!$E$18)+1,0)</f>
        <v>5</v>
      </c>
      <c r="BR15" s="275" t="n">
        <f aca="false">IF(BR14=1,(YEAR(BR6)-YEAR(②시니어_가정!$E$18))*12+MONTH(BR6)-MONTH(②시니어_가정!$E$18)+1,0)</f>
        <v>6</v>
      </c>
      <c r="BS15" s="275" t="n">
        <f aca="false">IF(BS14=1,(YEAR(BS6)-YEAR(②시니어_가정!$E$18))*12+MONTH(BS6)-MONTH(②시니어_가정!$E$18)+1,0)</f>
        <v>7</v>
      </c>
      <c r="BT15" s="275" t="n">
        <f aca="false">IF(BT14=1,(YEAR(BT6)-YEAR(②시니어_가정!$E$18))*12+MONTH(BT6)-MONTH(②시니어_가정!$E$18)+1,0)</f>
        <v>8</v>
      </c>
      <c r="BU15" s="275" t="n">
        <f aca="false">IF(BU14=1,(YEAR(BU6)-YEAR(②시니어_가정!$E$18))*12+MONTH(BU6)-MONTH(②시니어_가정!$E$18)+1,0)</f>
        <v>9</v>
      </c>
      <c r="BV15" s="275" t="n">
        <f aca="false">IF(BV14=1,(YEAR(BV6)-YEAR(②시니어_가정!$E$18))*12+MONTH(BV6)-MONTH(②시니어_가정!$E$18)+1,0)</f>
        <v>10</v>
      </c>
      <c r="BW15" s="275" t="n">
        <f aca="false">IF(BW14=1,(YEAR(BW6)-YEAR(②시니어_가정!$E$18))*12+MONTH(BW6)-MONTH(②시니어_가정!$E$18)+1,0)</f>
        <v>11</v>
      </c>
      <c r="BX15" s="275" t="n">
        <f aca="false">IF(BX14=1,(YEAR(BX6)-YEAR(②시니어_가정!$E$18))*12+MONTH(BX6)-MONTH(②시니어_가정!$E$18)+1,0)</f>
        <v>12</v>
      </c>
      <c r="BY15" s="275" t="n">
        <f aca="false">IF(BY14=1,(YEAR(BY6)-YEAR(②시니어_가정!$E$18))*12+MONTH(BY6)-MONTH(②시니어_가정!$E$18)+1,0)</f>
        <v>13</v>
      </c>
      <c r="BZ15" s="275" t="n">
        <f aca="false">IF(BZ14=1,(YEAR(BZ6)-YEAR(②시니어_가정!$E$18))*12+MONTH(BZ6)-MONTH(②시니어_가정!$E$18)+1,0)</f>
        <v>14</v>
      </c>
      <c r="CA15" s="275" t="n">
        <f aca="false">IF(CA14=1,(YEAR(CA6)-YEAR(②시니어_가정!$E$18))*12+MONTH(CA6)-MONTH(②시니어_가정!$E$18)+1,0)</f>
        <v>15</v>
      </c>
      <c r="CB15" s="275" t="n">
        <f aca="false">IF(CB14=1,(YEAR(CB6)-YEAR(②시니어_가정!$E$18))*12+MONTH(CB6)-MONTH(②시니어_가정!$E$18)+1,0)</f>
        <v>16</v>
      </c>
      <c r="CC15" s="275" t="n">
        <f aca="false">IF(CC14=1,(YEAR(CC6)-YEAR(②시니어_가정!$E$18))*12+MONTH(CC6)-MONTH(②시니어_가정!$E$18)+1,0)</f>
        <v>17</v>
      </c>
      <c r="CD15" s="275" t="n">
        <f aca="false">IF(CD14=1,(YEAR(CD6)-YEAR(②시니어_가정!$E$18))*12+MONTH(CD6)-MONTH(②시니어_가정!$E$18)+1,0)</f>
        <v>18</v>
      </c>
      <c r="CE15" s="275" t="n">
        <f aca="false">IF(CE14=1,(YEAR(CE6)-YEAR(②시니어_가정!$E$18))*12+MONTH(CE6)-MONTH(②시니어_가정!$E$18)+1,0)</f>
        <v>19</v>
      </c>
      <c r="CF15" s="275" t="n">
        <f aca="false">IF(CF14=1,(YEAR(CF6)-YEAR(②시니어_가정!$E$18))*12+MONTH(CF6)-MONTH(②시니어_가정!$E$18)+1,0)</f>
        <v>20</v>
      </c>
      <c r="CG15" s="275" t="n">
        <f aca="false">IF(CG14=1,(YEAR(CG6)-YEAR(②시니어_가정!$E$18))*12+MONTH(CG6)-MONTH(②시니어_가정!$E$18)+1,0)</f>
        <v>21</v>
      </c>
      <c r="CH15" s="275" t="n">
        <f aca="false">IF(CH14=1,(YEAR(CH6)-YEAR(②시니어_가정!$E$18))*12+MONTH(CH6)-MONTH(②시니어_가정!$E$18)+1,0)</f>
        <v>22</v>
      </c>
      <c r="CI15" s="275" t="n">
        <f aca="false">IF(CI14=1,(YEAR(CI6)-YEAR(②시니어_가정!$E$18))*12+MONTH(CI6)-MONTH(②시니어_가정!$E$18)+1,0)</f>
        <v>23</v>
      </c>
      <c r="CJ15" s="275" t="n">
        <f aca="false">IF(CJ14=1,(YEAR(CJ6)-YEAR(②시니어_가정!$E$18))*12+MONTH(CJ6)-MONTH(②시니어_가정!$E$18)+1,0)</f>
        <v>24</v>
      </c>
      <c r="CK15" s="275" t="n">
        <f aca="false">IF(CK14=1,(YEAR(CK6)-YEAR(②시니어_가정!$E$18))*12+MONTH(CK6)-MONTH(②시니어_가정!$E$18)+1,0)</f>
        <v>25</v>
      </c>
      <c r="CL15" s="275" t="n">
        <f aca="false">IF(CL14=1,(YEAR(CL6)-YEAR(②시니어_가정!$E$18))*12+MONTH(CL6)-MONTH(②시니어_가정!$E$18)+1,0)</f>
        <v>26</v>
      </c>
      <c r="CM15" s="275" t="n">
        <f aca="false">IF(CM14=1,(YEAR(CM6)-YEAR(②시니어_가정!$E$18))*12+MONTH(CM6)-MONTH(②시니어_가정!$E$18)+1,0)</f>
        <v>27</v>
      </c>
      <c r="CN15" s="275" t="n">
        <f aca="false">IF(CN14=1,(YEAR(CN6)-YEAR(②시니어_가정!$E$18))*12+MONTH(CN6)-MONTH(②시니어_가정!$E$18)+1,0)</f>
        <v>28</v>
      </c>
      <c r="CO15" s="275" t="n">
        <f aca="false">IF(CO14=1,(YEAR(CO6)-YEAR(②시니어_가정!$E$18))*12+MONTH(CO6)-MONTH(②시니어_가정!$E$18)+1,0)</f>
        <v>29</v>
      </c>
      <c r="CP15" s="275" t="n">
        <f aca="false">IF(CP14=1,(YEAR(CP6)-YEAR(②시니어_가정!$E$18))*12+MONTH(CP6)-MONTH(②시니어_가정!$E$18)+1,0)</f>
        <v>30</v>
      </c>
      <c r="CQ15" s="275" t="n">
        <f aca="false">IF(CQ14=1,(YEAR(CQ6)-YEAR(②시니어_가정!$E$18))*12+MONTH(CQ6)-MONTH(②시니어_가정!$E$18)+1,0)</f>
        <v>31</v>
      </c>
      <c r="CR15" s="275" t="n">
        <f aca="false">IF(CR14=1,(YEAR(CR6)-YEAR(②시니어_가정!$E$18))*12+MONTH(CR6)-MONTH(②시니어_가정!$E$18)+1,0)</f>
        <v>32</v>
      </c>
      <c r="CS15" s="275" t="n">
        <f aca="false">IF(CS14=1,(YEAR(CS6)-YEAR(②시니어_가정!$E$18))*12+MONTH(CS6)-MONTH(②시니어_가정!$E$18)+1,0)</f>
        <v>33</v>
      </c>
      <c r="CT15" s="275" t="n">
        <f aca="false">IF(CT14=1,(YEAR(CT6)-YEAR(②시니어_가정!$E$18))*12+MONTH(CT6)-MONTH(②시니어_가정!$E$18)+1,0)</f>
        <v>34</v>
      </c>
      <c r="CU15" s="275" t="n">
        <f aca="false">IF(CU14=1,(YEAR(CU6)-YEAR(②시니어_가정!$E$18))*12+MONTH(CU6)-MONTH(②시니어_가정!$E$18)+1,0)</f>
        <v>35</v>
      </c>
      <c r="CV15" s="275" t="n">
        <f aca="false">IF(CV14=1,(YEAR(CV6)-YEAR(②시니어_가정!$E$18))*12+MONTH(CV6)-MONTH(②시니어_가정!$E$18)+1,0)</f>
        <v>36</v>
      </c>
      <c r="CW15" s="275" t="n">
        <f aca="false">IF(CW14=1,(YEAR(CW6)-YEAR(②시니어_가정!$E$18))*12+MONTH(CW6)-MONTH(②시니어_가정!$E$18)+1,0)</f>
        <v>37</v>
      </c>
      <c r="CX15" s="275" t="n">
        <f aca="false">IF(CX14=1,(YEAR(CX6)-YEAR(②시니어_가정!$E$18))*12+MONTH(CX6)-MONTH(②시니어_가정!$E$18)+1,0)</f>
        <v>38</v>
      </c>
      <c r="CY15" s="275" t="n">
        <f aca="false">IF(CY14=1,(YEAR(CY6)-YEAR(②시니어_가정!$E$18))*12+MONTH(CY6)-MONTH(②시니어_가정!$E$18)+1,0)</f>
        <v>39</v>
      </c>
      <c r="CZ15" s="275" t="n">
        <f aca="false">IF(CZ14=1,(YEAR(CZ6)-YEAR(②시니어_가정!$E$18))*12+MONTH(CZ6)-MONTH(②시니어_가정!$E$18)+1,0)</f>
        <v>40</v>
      </c>
      <c r="DA15" s="275" t="n">
        <f aca="false">IF(DA14=1,(YEAR(DA6)-YEAR(②시니어_가정!$E$18))*12+MONTH(DA6)-MONTH(②시니어_가정!$E$18)+1,0)</f>
        <v>41</v>
      </c>
      <c r="DB15" s="275" t="n">
        <f aca="false">IF(DB14=1,(YEAR(DB6)-YEAR(②시니어_가정!$E$18))*12+MONTH(DB6)-MONTH(②시니어_가정!$E$18)+1,0)</f>
        <v>42</v>
      </c>
      <c r="DC15" s="275" t="n">
        <f aca="false">IF(DC14=1,(YEAR(DC6)-YEAR(②시니어_가정!$E$18))*12+MONTH(DC6)-MONTH(②시니어_가정!$E$18)+1,0)</f>
        <v>43</v>
      </c>
      <c r="DD15" s="275" t="n">
        <f aca="false">IF(DD14=1,(YEAR(DD6)-YEAR(②시니어_가정!$E$18))*12+MONTH(DD6)-MONTH(②시니어_가정!$E$18)+1,0)</f>
        <v>44</v>
      </c>
      <c r="DE15" s="275" t="n">
        <f aca="false">IF(DE14=1,(YEAR(DE6)-YEAR(②시니어_가정!$E$18))*12+MONTH(DE6)-MONTH(②시니어_가정!$E$18)+1,0)</f>
        <v>45</v>
      </c>
      <c r="DF15" s="275" t="n">
        <f aca="false">IF(DF14=1,(YEAR(DF6)-YEAR(②시니어_가정!$E$18))*12+MONTH(DF6)-MONTH(②시니어_가정!$E$18)+1,0)</f>
        <v>46</v>
      </c>
      <c r="DG15" s="275" t="n">
        <f aca="false">IF(DG14=1,(YEAR(DG6)-YEAR(②시니어_가정!$E$18))*12+MONTH(DG6)-MONTH(②시니어_가정!$E$18)+1,0)</f>
        <v>47</v>
      </c>
      <c r="DH15" s="275" t="n">
        <f aca="false">IF(DH14=1,(YEAR(DH6)-YEAR(②시니어_가정!$E$18))*12+MONTH(DH6)-MONTH(②시니어_가정!$E$18)+1,0)</f>
        <v>48</v>
      </c>
      <c r="DI15" s="275" t="n">
        <f aca="false">IF(DI14=1,(YEAR(DI6)-YEAR(②시니어_가정!$E$18))*12+MONTH(DI6)-MONTH(②시니어_가정!$E$18)+1,0)</f>
        <v>49</v>
      </c>
      <c r="DJ15" s="275" t="n">
        <f aca="false">IF(DJ14=1,(YEAR(DJ6)-YEAR(②시니어_가정!$E$18))*12+MONTH(DJ6)-MONTH(②시니어_가정!$E$18)+1,0)</f>
        <v>50</v>
      </c>
      <c r="DK15" s="275" t="n">
        <f aca="false">IF(DK14=1,(YEAR(DK6)-YEAR(②시니어_가정!$E$18))*12+MONTH(DK6)-MONTH(②시니어_가정!$E$18)+1,0)</f>
        <v>51</v>
      </c>
      <c r="DL15" s="275" t="n">
        <f aca="false">IF(DL14=1,(YEAR(DL6)-YEAR(②시니어_가정!$E$18))*12+MONTH(DL6)-MONTH(②시니어_가정!$E$18)+1,0)</f>
        <v>52</v>
      </c>
      <c r="DM15" s="275" t="n">
        <f aca="false">IF(DM14=1,(YEAR(DM6)-YEAR(②시니어_가정!$E$18))*12+MONTH(DM6)-MONTH(②시니어_가정!$E$18)+1,0)</f>
        <v>53</v>
      </c>
      <c r="DN15" s="275" t="n">
        <f aca="false">IF(DN14=1,(YEAR(DN6)-YEAR(②시니어_가정!$E$18))*12+MONTH(DN6)-MONTH(②시니어_가정!$E$18)+1,0)</f>
        <v>54</v>
      </c>
      <c r="DO15" s="275" t="n">
        <f aca="false">IF(DO14=1,(YEAR(DO6)-YEAR(②시니어_가정!$E$18))*12+MONTH(DO6)-MONTH(②시니어_가정!$E$18)+1,0)</f>
        <v>55</v>
      </c>
      <c r="DP15" s="275" t="n">
        <f aca="false">IF(DP14=1,(YEAR(DP6)-YEAR(②시니어_가정!$E$18))*12+MONTH(DP6)-MONTH(②시니어_가정!$E$18)+1,0)</f>
        <v>56</v>
      </c>
      <c r="DQ15" s="275" t="n">
        <f aca="false">IF(DQ14=1,(YEAR(DQ6)-YEAR(②시니어_가정!$E$18))*12+MONTH(DQ6)-MONTH(②시니어_가정!$E$18)+1,0)</f>
        <v>57</v>
      </c>
      <c r="DR15" s="275" t="n">
        <f aca="false">IF(DR14=1,(YEAR(DR6)-YEAR(②시니어_가정!$E$18))*12+MONTH(DR6)-MONTH(②시니어_가정!$E$18)+1,0)</f>
        <v>58</v>
      </c>
      <c r="DS15" s="275" t="n">
        <f aca="false">IF(DS14=1,(YEAR(DS6)-YEAR(②시니어_가정!$E$18))*12+MONTH(DS6)-MONTH(②시니어_가정!$E$18)+1,0)</f>
        <v>59</v>
      </c>
      <c r="DT15" s="275" t="n">
        <f aca="false">IF(DT14=1,(YEAR(DT6)-YEAR(②시니어_가정!$E$18))*12+MONTH(DT6)-MONTH(②시니어_가정!$E$18)+1,0)</f>
        <v>60</v>
      </c>
      <c r="DU15" s="275" t="n">
        <f aca="false">IF(DU14=1,(YEAR(DU6)-YEAR(②시니어_가정!$E$18))*12+MONTH(DU6)-MONTH(②시니어_가정!$E$18)+1,0)</f>
        <v>0</v>
      </c>
      <c r="DV15" s="275" t="n">
        <f aca="false">IF(DV14=1,(YEAR(DV6)-YEAR(②시니어_가정!$E$18))*12+MONTH(DV6)-MONTH(②시니어_가정!$E$18)+1,0)</f>
        <v>0</v>
      </c>
      <c r="DW15" s="275" t="n">
        <f aca="false">IF(DW14=1,(YEAR(DW6)-YEAR(②시니어_가정!$E$18))*12+MONTH(DW6)-MONTH(②시니어_가정!$E$18)+1,0)</f>
        <v>0</v>
      </c>
      <c r="DX15" s="275" t="n">
        <f aca="false">IF(DX14=1,(YEAR(DX6)-YEAR(②시니어_가정!$E$18))*12+MONTH(DX6)-MONTH(②시니어_가정!$E$18)+1,0)</f>
        <v>0</v>
      </c>
      <c r="DY15" s="275" t="n">
        <f aca="false">IF(DY14=1,(YEAR(DY6)-YEAR(②시니어_가정!$E$18))*12+MONTH(DY6)-MONTH(②시니어_가정!$E$18)+1,0)</f>
        <v>0</v>
      </c>
      <c r="DZ15" s="275" t="n">
        <f aca="false">IF(DZ14=1,(YEAR(DZ6)-YEAR(②시니어_가정!$E$18))*12+MONTH(DZ6)-MONTH(②시니어_가정!$E$18)+1,0)</f>
        <v>0</v>
      </c>
      <c r="EA15" s="275" t="n">
        <f aca="false">IF(EA14=1,(YEAR(EA6)-YEAR(②시니어_가정!$E$18))*12+MONTH(EA6)-MONTH(②시니어_가정!$E$18)+1,0)</f>
        <v>0</v>
      </c>
      <c r="EB15" s="275" t="n">
        <f aca="false">IF(EB14=1,(YEAR(EB6)-YEAR(②시니어_가정!$E$18))*12+MONTH(EB6)-MONTH(②시니어_가정!$E$18)+1,0)</f>
        <v>0</v>
      </c>
      <c r="EC15" s="275" t="n">
        <f aca="false">IF(EC14=1,(YEAR(EC6)-YEAR(②시니어_가정!$E$18))*12+MONTH(EC6)-MONTH(②시니어_가정!$E$18)+1,0)</f>
        <v>0</v>
      </c>
      <c r="ED15" s="275" t="n">
        <f aca="false">IF(ED14=1,(YEAR(ED6)-YEAR(②시니어_가정!$E$18))*12+MONTH(ED6)-MONTH(②시니어_가정!$E$18)+1,0)</f>
        <v>0</v>
      </c>
      <c r="EE15" s="275" t="n">
        <f aca="false">IF(EE14=1,(YEAR(EE6)-YEAR(②시니어_가정!$E$18))*12+MONTH(EE6)-MONTH(②시니어_가정!$E$18)+1,0)</f>
        <v>0</v>
      </c>
      <c r="EF15" s="275" t="n">
        <f aca="false">IF(EF14=1,(YEAR(EF6)-YEAR(②시니어_가정!$E$18))*12+MONTH(EF6)-MONTH(②시니어_가정!$E$18)+1,0)</f>
        <v>0</v>
      </c>
    </row>
    <row r="16" customFormat="false" ht="15" hidden="false" customHeight="false" outlineLevel="0" collapsed="false">
      <c r="A16" s="36" t="s">
        <v>572</v>
      </c>
      <c r="B16" s="273"/>
      <c r="E16" s="275" t="n">
        <f aca="false">IF(E15&gt;0,INT((E15-1)/12)+1,0)</f>
        <v>0</v>
      </c>
      <c r="F16" s="275" t="n">
        <f aca="false">IF(F15&gt;0,INT((F15-1)/12)+1,0)</f>
        <v>0</v>
      </c>
      <c r="G16" s="275" t="n">
        <f aca="false">IF(G15&gt;0,INT((G15-1)/12)+1,0)</f>
        <v>0</v>
      </c>
      <c r="H16" s="275" t="n">
        <f aca="false">IF(H15&gt;0,INT((H15-1)/12)+1,0)</f>
        <v>0</v>
      </c>
      <c r="I16" s="275" t="n">
        <f aca="false">IF(I15&gt;0,INT((I15-1)/12)+1,0)</f>
        <v>0</v>
      </c>
      <c r="J16" s="275" t="n">
        <f aca="false">IF(J15&gt;0,INT((J15-1)/12)+1,0)</f>
        <v>0</v>
      </c>
      <c r="K16" s="275" t="n">
        <f aca="false">IF(K15&gt;0,INT((K15-1)/12)+1,0)</f>
        <v>0</v>
      </c>
      <c r="L16" s="275" t="n">
        <f aca="false">IF(L15&gt;0,INT((L15-1)/12)+1,0)</f>
        <v>0</v>
      </c>
      <c r="M16" s="275" t="n">
        <f aca="false">IF(M15&gt;0,INT((M15-1)/12)+1,0)</f>
        <v>0</v>
      </c>
      <c r="N16" s="275" t="n">
        <f aca="false">IF(N15&gt;0,INT((N15-1)/12)+1,0)</f>
        <v>0</v>
      </c>
      <c r="O16" s="275" t="n">
        <f aca="false">IF(O15&gt;0,INT((O15-1)/12)+1,0)</f>
        <v>0</v>
      </c>
      <c r="P16" s="275" t="n">
        <f aca="false">IF(P15&gt;0,INT((P15-1)/12)+1,0)</f>
        <v>0</v>
      </c>
      <c r="Q16" s="275" t="n">
        <f aca="false">IF(Q15&gt;0,INT((Q15-1)/12)+1,0)</f>
        <v>0</v>
      </c>
      <c r="R16" s="275" t="n">
        <f aca="false">IF(R15&gt;0,INT((R15-1)/12)+1,0)</f>
        <v>0</v>
      </c>
      <c r="S16" s="275" t="n">
        <f aca="false">IF(S15&gt;0,INT((S15-1)/12)+1,0)</f>
        <v>0</v>
      </c>
      <c r="T16" s="275" t="n">
        <f aca="false">IF(T15&gt;0,INT((T15-1)/12)+1,0)</f>
        <v>0</v>
      </c>
      <c r="U16" s="275" t="n">
        <f aca="false">IF(U15&gt;0,INT((U15-1)/12)+1,0)</f>
        <v>0</v>
      </c>
      <c r="V16" s="275" t="n">
        <f aca="false">IF(V15&gt;0,INT((V15-1)/12)+1,0)</f>
        <v>0</v>
      </c>
      <c r="W16" s="275" t="n">
        <f aca="false">IF(W15&gt;0,INT((W15-1)/12)+1,0)</f>
        <v>0</v>
      </c>
      <c r="X16" s="275" t="n">
        <f aca="false">IF(X15&gt;0,INT((X15-1)/12)+1,0)</f>
        <v>0</v>
      </c>
      <c r="Y16" s="275" t="n">
        <f aca="false">IF(Y15&gt;0,INT((Y15-1)/12)+1,0)</f>
        <v>0</v>
      </c>
      <c r="Z16" s="275" t="n">
        <f aca="false">IF(Z15&gt;0,INT((Z15-1)/12)+1,0)</f>
        <v>0</v>
      </c>
      <c r="AA16" s="275" t="n">
        <f aca="false">IF(AA15&gt;0,INT((AA15-1)/12)+1,0)</f>
        <v>0</v>
      </c>
      <c r="AB16" s="275" t="n">
        <f aca="false">IF(AB15&gt;0,INT((AB15-1)/12)+1,0)</f>
        <v>0</v>
      </c>
      <c r="AC16" s="275" t="n">
        <f aca="false">IF(AC15&gt;0,INT((AC15-1)/12)+1,0)</f>
        <v>0</v>
      </c>
      <c r="AD16" s="275" t="n">
        <f aca="false">IF(AD15&gt;0,INT((AD15-1)/12)+1,0)</f>
        <v>0</v>
      </c>
      <c r="AE16" s="275" t="n">
        <f aca="false">IF(AE15&gt;0,INT((AE15-1)/12)+1,0)</f>
        <v>0</v>
      </c>
      <c r="AF16" s="275" t="n">
        <f aca="false">IF(AF15&gt;0,INT((AF15-1)/12)+1,0)</f>
        <v>0</v>
      </c>
      <c r="AG16" s="275" t="n">
        <f aca="false">IF(AG15&gt;0,INT((AG15-1)/12)+1,0)</f>
        <v>0</v>
      </c>
      <c r="AH16" s="275" t="n">
        <f aca="false">IF(AH15&gt;0,INT((AH15-1)/12)+1,0)</f>
        <v>0</v>
      </c>
      <c r="AI16" s="275" t="n">
        <f aca="false">IF(AI15&gt;0,INT((AI15-1)/12)+1,0)</f>
        <v>0</v>
      </c>
      <c r="AJ16" s="275" t="n">
        <f aca="false">IF(AJ15&gt;0,INT((AJ15-1)/12)+1,0)</f>
        <v>0</v>
      </c>
      <c r="AK16" s="275" t="n">
        <f aca="false">IF(AK15&gt;0,INT((AK15-1)/12)+1,0)</f>
        <v>0</v>
      </c>
      <c r="AL16" s="275" t="n">
        <f aca="false">IF(AL15&gt;0,INT((AL15-1)/12)+1,0)</f>
        <v>0</v>
      </c>
      <c r="AM16" s="275" t="n">
        <f aca="false">IF(AM15&gt;0,INT((AM15-1)/12)+1,0)</f>
        <v>0</v>
      </c>
      <c r="AN16" s="275" t="n">
        <f aca="false">IF(AN15&gt;0,INT((AN15-1)/12)+1,0)</f>
        <v>0</v>
      </c>
      <c r="AO16" s="275" t="n">
        <f aca="false">IF(AO15&gt;0,INT((AO15-1)/12)+1,0)</f>
        <v>0</v>
      </c>
      <c r="AP16" s="275" t="n">
        <f aca="false">IF(AP15&gt;0,INT((AP15-1)/12)+1,0)</f>
        <v>0</v>
      </c>
      <c r="AQ16" s="275" t="n">
        <f aca="false">IF(AQ15&gt;0,INT((AQ15-1)/12)+1,0)</f>
        <v>0</v>
      </c>
      <c r="AR16" s="275" t="n">
        <f aca="false">IF(AR15&gt;0,INT((AR15-1)/12)+1,0)</f>
        <v>0</v>
      </c>
      <c r="AS16" s="275" t="n">
        <f aca="false">IF(AS15&gt;0,INT((AS15-1)/12)+1,0)</f>
        <v>0</v>
      </c>
      <c r="AT16" s="275" t="n">
        <f aca="false">IF(AT15&gt;0,INT((AT15-1)/12)+1,0)</f>
        <v>0</v>
      </c>
      <c r="AU16" s="275" t="n">
        <f aca="false">IF(AU15&gt;0,INT((AU15-1)/12)+1,0)</f>
        <v>0</v>
      </c>
      <c r="AV16" s="275" t="n">
        <f aca="false">IF(AV15&gt;0,INT((AV15-1)/12)+1,0)</f>
        <v>0</v>
      </c>
      <c r="AW16" s="275" t="n">
        <f aca="false">IF(AW15&gt;0,INT((AW15-1)/12)+1,0)</f>
        <v>0</v>
      </c>
      <c r="AX16" s="275" t="n">
        <f aca="false">IF(AX15&gt;0,INT((AX15-1)/12)+1,0)</f>
        <v>0</v>
      </c>
      <c r="AY16" s="275" t="n">
        <f aca="false">IF(AY15&gt;0,INT((AY15-1)/12)+1,0)</f>
        <v>0</v>
      </c>
      <c r="AZ16" s="275" t="n">
        <f aca="false">IF(AZ15&gt;0,INT((AZ15-1)/12)+1,0)</f>
        <v>0</v>
      </c>
      <c r="BA16" s="275" t="n">
        <f aca="false">IF(BA15&gt;0,INT((BA15-1)/12)+1,0)</f>
        <v>0</v>
      </c>
      <c r="BB16" s="275" t="n">
        <f aca="false">IF(BB15&gt;0,INT((BB15-1)/12)+1,0)</f>
        <v>0</v>
      </c>
      <c r="BC16" s="275" t="n">
        <f aca="false">IF(BC15&gt;0,INT((BC15-1)/12)+1,0)</f>
        <v>0</v>
      </c>
      <c r="BD16" s="275" t="n">
        <f aca="false">IF(BD15&gt;0,INT((BD15-1)/12)+1,0)</f>
        <v>0</v>
      </c>
      <c r="BE16" s="275" t="n">
        <f aca="false">IF(BE15&gt;0,INT((BE15-1)/12)+1,0)</f>
        <v>0</v>
      </c>
      <c r="BF16" s="275" t="n">
        <f aca="false">IF(BF15&gt;0,INT((BF15-1)/12)+1,0)</f>
        <v>0</v>
      </c>
      <c r="BG16" s="275" t="n">
        <f aca="false">IF(BG15&gt;0,INT((BG15-1)/12)+1,0)</f>
        <v>0</v>
      </c>
      <c r="BH16" s="275" t="n">
        <f aca="false">IF(BH15&gt;0,INT((BH15-1)/12)+1,0)</f>
        <v>0</v>
      </c>
      <c r="BI16" s="275" t="n">
        <f aca="false">IF(BI15&gt;0,INT((BI15-1)/12)+1,0)</f>
        <v>0</v>
      </c>
      <c r="BJ16" s="275" t="n">
        <f aca="false">IF(BJ15&gt;0,INT((BJ15-1)/12)+1,0)</f>
        <v>0</v>
      </c>
      <c r="BK16" s="275" t="n">
        <f aca="false">IF(BK15&gt;0,INT((BK15-1)/12)+1,0)</f>
        <v>0</v>
      </c>
      <c r="BL16" s="275" t="n">
        <f aca="false">IF(BL15&gt;0,INT((BL15-1)/12)+1,0)</f>
        <v>0</v>
      </c>
      <c r="BM16" s="275" t="n">
        <f aca="false">IF(BM15&gt;0,INT((BM15-1)/12)+1,0)</f>
        <v>1</v>
      </c>
      <c r="BN16" s="275" t="n">
        <f aca="false">IF(BN15&gt;0,INT((BN15-1)/12)+1,0)</f>
        <v>1</v>
      </c>
      <c r="BO16" s="275" t="n">
        <f aca="false">IF(BO15&gt;0,INT((BO15-1)/12)+1,0)</f>
        <v>1</v>
      </c>
      <c r="BP16" s="275" t="n">
        <f aca="false">IF(BP15&gt;0,INT((BP15-1)/12)+1,0)</f>
        <v>1</v>
      </c>
      <c r="BQ16" s="275" t="n">
        <f aca="false">IF(BQ15&gt;0,INT((BQ15-1)/12)+1,0)</f>
        <v>1</v>
      </c>
      <c r="BR16" s="275" t="n">
        <f aca="false">IF(BR15&gt;0,INT((BR15-1)/12)+1,0)</f>
        <v>1</v>
      </c>
      <c r="BS16" s="275" t="n">
        <f aca="false">IF(BS15&gt;0,INT((BS15-1)/12)+1,0)</f>
        <v>1</v>
      </c>
      <c r="BT16" s="275" t="n">
        <f aca="false">IF(BT15&gt;0,INT((BT15-1)/12)+1,0)</f>
        <v>1</v>
      </c>
      <c r="BU16" s="275" t="n">
        <f aca="false">IF(BU15&gt;0,INT((BU15-1)/12)+1,0)</f>
        <v>1</v>
      </c>
      <c r="BV16" s="275" t="n">
        <f aca="false">IF(BV15&gt;0,INT((BV15-1)/12)+1,0)</f>
        <v>1</v>
      </c>
      <c r="BW16" s="275" t="n">
        <f aca="false">IF(BW15&gt;0,INT((BW15-1)/12)+1,0)</f>
        <v>1</v>
      </c>
      <c r="BX16" s="275" t="n">
        <f aca="false">IF(BX15&gt;0,INT((BX15-1)/12)+1,0)</f>
        <v>1</v>
      </c>
      <c r="BY16" s="275" t="n">
        <f aca="false">IF(BY15&gt;0,INT((BY15-1)/12)+1,0)</f>
        <v>2</v>
      </c>
      <c r="BZ16" s="275" t="n">
        <f aca="false">IF(BZ15&gt;0,INT((BZ15-1)/12)+1,0)</f>
        <v>2</v>
      </c>
      <c r="CA16" s="275" t="n">
        <f aca="false">IF(CA15&gt;0,INT((CA15-1)/12)+1,0)</f>
        <v>2</v>
      </c>
      <c r="CB16" s="275" t="n">
        <f aca="false">IF(CB15&gt;0,INT((CB15-1)/12)+1,0)</f>
        <v>2</v>
      </c>
      <c r="CC16" s="275" t="n">
        <f aca="false">IF(CC15&gt;0,INT((CC15-1)/12)+1,0)</f>
        <v>2</v>
      </c>
      <c r="CD16" s="275" t="n">
        <f aca="false">IF(CD15&gt;0,INT((CD15-1)/12)+1,0)</f>
        <v>2</v>
      </c>
      <c r="CE16" s="275" t="n">
        <f aca="false">IF(CE15&gt;0,INT((CE15-1)/12)+1,0)</f>
        <v>2</v>
      </c>
      <c r="CF16" s="275" t="n">
        <f aca="false">IF(CF15&gt;0,INT((CF15-1)/12)+1,0)</f>
        <v>2</v>
      </c>
      <c r="CG16" s="275" t="n">
        <f aca="false">IF(CG15&gt;0,INT((CG15-1)/12)+1,0)</f>
        <v>2</v>
      </c>
      <c r="CH16" s="275" t="n">
        <f aca="false">IF(CH15&gt;0,INT((CH15-1)/12)+1,0)</f>
        <v>2</v>
      </c>
      <c r="CI16" s="275" t="n">
        <f aca="false">IF(CI15&gt;0,INT((CI15-1)/12)+1,0)</f>
        <v>2</v>
      </c>
      <c r="CJ16" s="275" t="n">
        <f aca="false">IF(CJ15&gt;0,INT((CJ15-1)/12)+1,0)</f>
        <v>2</v>
      </c>
      <c r="CK16" s="275" t="n">
        <f aca="false">IF(CK15&gt;0,INT((CK15-1)/12)+1,0)</f>
        <v>3</v>
      </c>
      <c r="CL16" s="275" t="n">
        <f aca="false">IF(CL15&gt;0,INT((CL15-1)/12)+1,0)</f>
        <v>3</v>
      </c>
      <c r="CM16" s="275" t="n">
        <f aca="false">IF(CM15&gt;0,INT((CM15-1)/12)+1,0)</f>
        <v>3</v>
      </c>
      <c r="CN16" s="275" t="n">
        <f aca="false">IF(CN15&gt;0,INT((CN15-1)/12)+1,0)</f>
        <v>3</v>
      </c>
      <c r="CO16" s="275" t="n">
        <f aca="false">IF(CO15&gt;0,INT((CO15-1)/12)+1,0)</f>
        <v>3</v>
      </c>
      <c r="CP16" s="275" t="n">
        <f aca="false">IF(CP15&gt;0,INT((CP15-1)/12)+1,0)</f>
        <v>3</v>
      </c>
      <c r="CQ16" s="275" t="n">
        <f aca="false">IF(CQ15&gt;0,INT((CQ15-1)/12)+1,0)</f>
        <v>3</v>
      </c>
      <c r="CR16" s="275" t="n">
        <f aca="false">IF(CR15&gt;0,INT((CR15-1)/12)+1,0)</f>
        <v>3</v>
      </c>
      <c r="CS16" s="275" t="n">
        <f aca="false">IF(CS15&gt;0,INT((CS15-1)/12)+1,0)</f>
        <v>3</v>
      </c>
      <c r="CT16" s="275" t="n">
        <f aca="false">IF(CT15&gt;0,INT((CT15-1)/12)+1,0)</f>
        <v>3</v>
      </c>
      <c r="CU16" s="275" t="n">
        <f aca="false">IF(CU15&gt;0,INT((CU15-1)/12)+1,0)</f>
        <v>3</v>
      </c>
      <c r="CV16" s="275" t="n">
        <f aca="false">IF(CV15&gt;0,INT((CV15-1)/12)+1,0)</f>
        <v>3</v>
      </c>
      <c r="CW16" s="275" t="n">
        <f aca="false">IF(CW15&gt;0,INT((CW15-1)/12)+1,0)</f>
        <v>4</v>
      </c>
      <c r="CX16" s="275" t="n">
        <f aca="false">IF(CX15&gt;0,INT((CX15-1)/12)+1,0)</f>
        <v>4</v>
      </c>
      <c r="CY16" s="275" t="n">
        <f aca="false">IF(CY15&gt;0,INT((CY15-1)/12)+1,0)</f>
        <v>4</v>
      </c>
      <c r="CZ16" s="275" t="n">
        <f aca="false">IF(CZ15&gt;0,INT((CZ15-1)/12)+1,0)</f>
        <v>4</v>
      </c>
      <c r="DA16" s="275" t="n">
        <f aca="false">IF(DA15&gt;0,INT((DA15-1)/12)+1,0)</f>
        <v>4</v>
      </c>
      <c r="DB16" s="275" t="n">
        <f aca="false">IF(DB15&gt;0,INT((DB15-1)/12)+1,0)</f>
        <v>4</v>
      </c>
      <c r="DC16" s="275" t="n">
        <f aca="false">IF(DC15&gt;0,INT((DC15-1)/12)+1,0)</f>
        <v>4</v>
      </c>
      <c r="DD16" s="275" t="n">
        <f aca="false">IF(DD15&gt;0,INT((DD15-1)/12)+1,0)</f>
        <v>4</v>
      </c>
      <c r="DE16" s="275" t="n">
        <f aca="false">IF(DE15&gt;0,INT((DE15-1)/12)+1,0)</f>
        <v>4</v>
      </c>
      <c r="DF16" s="275" t="n">
        <f aca="false">IF(DF15&gt;0,INT((DF15-1)/12)+1,0)</f>
        <v>4</v>
      </c>
      <c r="DG16" s="275" t="n">
        <f aca="false">IF(DG15&gt;0,INT((DG15-1)/12)+1,0)</f>
        <v>4</v>
      </c>
      <c r="DH16" s="275" t="n">
        <f aca="false">IF(DH15&gt;0,INT((DH15-1)/12)+1,0)</f>
        <v>4</v>
      </c>
      <c r="DI16" s="275" t="n">
        <f aca="false">IF(DI15&gt;0,INT((DI15-1)/12)+1,0)</f>
        <v>5</v>
      </c>
      <c r="DJ16" s="275" t="n">
        <f aca="false">IF(DJ15&gt;0,INT((DJ15-1)/12)+1,0)</f>
        <v>5</v>
      </c>
      <c r="DK16" s="275" t="n">
        <f aca="false">IF(DK15&gt;0,INT((DK15-1)/12)+1,0)</f>
        <v>5</v>
      </c>
      <c r="DL16" s="275" t="n">
        <f aca="false">IF(DL15&gt;0,INT((DL15-1)/12)+1,0)</f>
        <v>5</v>
      </c>
      <c r="DM16" s="275" t="n">
        <f aca="false">IF(DM15&gt;0,INT((DM15-1)/12)+1,0)</f>
        <v>5</v>
      </c>
      <c r="DN16" s="275" t="n">
        <f aca="false">IF(DN15&gt;0,INT((DN15-1)/12)+1,0)</f>
        <v>5</v>
      </c>
      <c r="DO16" s="275" t="n">
        <f aca="false">IF(DO15&gt;0,INT((DO15-1)/12)+1,0)</f>
        <v>5</v>
      </c>
      <c r="DP16" s="275" t="n">
        <f aca="false">IF(DP15&gt;0,INT((DP15-1)/12)+1,0)</f>
        <v>5</v>
      </c>
      <c r="DQ16" s="275" t="n">
        <f aca="false">IF(DQ15&gt;0,INT((DQ15-1)/12)+1,0)</f>
        <v>5</v>
      </c>
      <c r="DR16" s="275" t="n">
        <f aca="false">IF(DR15&gt;0,INT((DR15-1)/12)+1,0)</f>
        <v>5</v>
      </c>
      <c r="DS16" s="275" t="n">
        <f aca="false">IF(DS15&gt;0,INT((DS15-1)/12)+1,0)</f>
        <v>5</v>
      </c>
      <c r="DT16" s="275" t="n">
        <f aca="false">IF(DT15&gt;0,INT((DT15-1)/12)+1,0)</f>
        <v>5</v>
      </c>
      <c r="DU16" s="275" t="n">
        <f aca="false">IF(DU15&gt;0,INT((DU15-1)/12)+1,0)</f>
        <v>0</v>
      </c>
      <c r="DV16" s="275" t="n">
        <f aca="false">IF(DV15&gt;0,INT((DV15-1)/12)+1,0)</f>
        <v>0</v>
      </c>
      <c r="DW16" s="275" t="n">
        <f aca="false">IF(DW15&gt;0,INT((DW15-1)/12)+1,0)</f>
        <v>0</v>
      </c>
      <c r="DX16" s="275" t="n">
        <f aca="false">IF(DX15&gt;0,INT((DX15-1)/12)+1,0)</f>
        <v>0</v>
      </c>
      <c r="DY16" s="275" t="n">
        <f aca="false">IF(DY15&gt;0,INT((DY15-1)/12)+1,0)</f>
        <v>0</v>
      </c>
      <c r="DZ16" s="275" t="n">
        <f aca="false">IF(DZ15&gt;0,INT((DZ15-1)/12)+1,0)</f>
        <v>0</v>
      </c>
      <c r="EA16" s="275" t="n">
        <f aca="false">IF(EA15&gt;0,INT((EA15-1)/12)+1,0)</f>
        <v>0</v>
      </c>
      <c r="EB16" s="275" t="n">
        <f aca="false">IF(EB15&gt;0,INT((EB15-1)/12)+1,0)</f>
        <v>0</v>
      </c>
      <c r="EC16" s="275" t="n">
        <f aca="false">IF(EC15&gt;0,INT((EC15-1)/12)+1,0)</f>
        <v>0</v>
      </c>
      <c r="ED16" s="275" t="n">
        <f aca="false">IF(ED15&gt;0,INT((ED15-1)/12)+1,0)</f>
        <v>0</v>
      </c>
      <c r="EE16" s="275" t="n">
        <f aca="false">IF(EE15&gt;0,INT((EE15-1)/12)+1,0)</f>
        <v>0</v>
      </c>
      <c r="EF16" s="275" t="n">
        <f aca="false">IF(EF15&gt;0,INT((EF15-1)/12)+1,0)</f>
        <v>0</v>
      </c>
    </row>
    <row r="17" customFormat="false" ht="15" hidden="false" customHeight="false" outlineLevel="0" collapsed="false">
      <c r="A17" s="36" t="s">
        <v>573</v>
      </c>
      <c r="B17" s="273"/>
      <c r="E17" s="276" t="n">
        <f aca="false">IF(AND(E6&gt;=②시니어_가정!$E$18,E6&lt;=②시니어_가정!$E$24),1,0)</f>
        <v>0</v>
      </c>
      <c r="F17" s="276" t="n">
        <f aca="false">IF(AND(F6&gt;=②시니어_가정!$E$18,F6&lt;=②시니어_가정!$E$24),1,0)</f>
        <v>0</v>
      </c>
      <c r="G17" s="276" t="n">
        <f aca="false">IF(AND(G6&gt;=②시니어_가정!$E$18,G6&lt;=②시니어_가정!$E$24),1,0)</f>
        <v>0</v>
      </c>
      <c r="H17" s="276" t="n">
        <f aca="false">IF(AND(H6&gt;=②시니어_가정!$E$18,H6&lt;=②시니어_가정!$E$24),1,0)</f>
        <v>0</v>
      </c>
      <c r="I17" s="276" t="n">
        <f aca="false">IF(AND(I6&gt;=②시니어_가정!$E$18,I6&lt;=②시니어_가정!$E$24),1,0)</f>
        <v>0</v>
      </c>
      <c r="J17" s="276" t="n">
        <f aca="false">IF(AND(J6&gt;=②시니어_가정!$E$18,J6&lt;=②시니어_가정!$E$24),1,0)</f>
        <v>0</v>
      </c>
      <c r="K17" s="276" t="n">
        <f aca="false">IF(AND(K6&gt;=②시니어_가정!$E$18,K6&lt;=②시니어_가정!$E$24),1,0)</f>
        <v>0</v>
      </c>
      <c r="L17" s="276" t="n">
        <f aca="false">IF(AND(L6&gt;=②시니어_가정!$E$18,L6&lt;=②시니어_가정!$E$24),1,0)</f>
        <v>0</v>
      </c>
      <c r="M17" s="276" t="n">
        <f aca="false">IF(AND(M6&gt;=②시니어_가정!$E$18,M6&lt;=②시니어_가정!$E$24),1,0)</f>
        <v>0</v>
      </c>
      <c r="N17" s="276" t="n">
        <f aca="false">IF(AND(N6&gt;=②시니어_가정!$E$18,N6&lt;=②시니어_가정!$E$24),1,0)</f>
        <v>0</v>
      </c>
      <c r="O17" s="276" t="n">
        <f aca="false">IF(AND(O6&gt;=②시니어_가정!$E$18,O6&lt;=②시니어_가정!$E$24),1,0)</f>
        <v>0</v>
      </c>
      <c r="P17" s="276" t="n">
        <f aca="false">IF(AND(P6&gt;=②시니어_가정!$E$18,P6&lt;=②시니어_가정!$E$24),1,0)</f>
        <v>0</v>
      </c>
      <c r="Q17" s="276" t="n">
        <f aca="false">IF(AND(Q6&gt;=②시니어_가정!$E$18,Q6&lt;=②시니어_가정!$E$24),1,0)</f>
        <v>0</v>
      </c>
      <c r="R17" s="276" t="n">
        <f aca="false">IF(AND(R6&gt;=②시니어_가정!$E$18,R6&lt;=②시니어_가정!$E$24),1,0)</f>
        <v>0</v>
      </c>
      <c r="S17" s="276" t="n">
        <f aca="false">IF(AND(S6&gt;=②시니어_가정!$E$18,S6&lt;=②시니어_가정!$E$24),1,0)</f>
        <v>0</v>
      </c>
      <c r="T17" s="276" t="n">
        <f aca="false">IF(AND(T6&gt;=②시니어_가정!$E$18,T6&lt;=②시니어_가정!$E$24),1,0)</f>
        <v>0</v>
      </c>
      <c r="U17" s="276" t="n">
        <f aca="false">IF(AND(U6&gt;=②시니어_가정!$E$18,U6&lt;=②시니어_가정!$E$24),1,0)</f>
        <v>0</v>
      </c>
      <c r="V17" s="276" t="n">
        <f aca="false">IF(AND(V6&gt;=②시니어_가정!$E$18,V6&lt;=②시니어_가정!$E$24),1,0)</f>
        <v>0</v>
      </c>
      <c r="W17" s="276" t="n">
        <f aca="false">IF(AND(W6&gt;=②시니어_가정!$E$18,W6&lt;=②시니어_가정!$E$24),1,0)</f>
        <v>0</v>
      </c>
      <c r="X17" s="276" t="n">
        <f aca="false">IF(AND(X6&gt;=②시니어_가정!$E$18,X6&lt;=②시니어_가정!$E$24),1,0)</f>
        <v>0</v>
      </c>
      <c r="Y17" s="276" t="n">
        <f aca="false">IF(AND(Y6&gt;=②시니어_가정!$E$18,Y6&lt;=②시니어_가정!$E$24),1,0)</f>
        <v>0</v>
      </c>
      <c r="Z17" s="276" t="n">
        <f aca="false">IF(AND(Z6&gt;=②시니어_가정!$E$18,Z6&lt;=②시니어_가정!$E$24),1,0)</f>
        <v>0</v>
      </c>
      <c r="AA17" s="276" t="n">
        <f aca="false">IF(AND(AA6&gt;=②시니어_가정!$E$18,AA6&lt;=②시니어_가정!$E$24),1,0)</f>
        <v>0</v>
      </c>
      <c r="AB17" s="276" t="n">
        <f aca="false">IF(AND(AB6&gt;=②시니어_가정!$E$18,AB6&lt;=②시니어_가정!$E$24),1,0)</f>
        <v>0</v>
      </c>
      <c r="AC17" s="276" t="n">
        <f aca="false">IF(AND(AC6&gt;=②시니어_가정!$E$18,AC6&lt;=②시니어_가정!$E$24),1,0)</f>
        <v>0</v>
      </c>
      <c r="AD17" s="276" t="n">
        <f aca="false">IF(AND(AD6&gt;=②시니어_가정!$E$18,AD6&lt;=②시니어_가정!$E$24),1,0)</f>
        <v>0</v>
      </c>
      <c r="AE17" s="276" t="n">
        <f aca="false">IF(AND(AE6&gt;=②시니어_가정!$E$18,AE6&lt;=②시니어_가정!$E$24),1,0)</f>
        <v>0</v>
      </c>
      <c r="AF17" s="276" t="n">
        <f aca="false">IF(AND(AF6&gt;=②시니어_가정!$E$18,AF6&lt;=②시니어_가정!$E$24),1,0)</f>
        <v>0</v>
      </c>
      <c r="AG17" s="276" t="n">
        <f aca="false">IF(AND(AG6&gt;=②시니어_가정!$E$18,AG6&lt;=②시니어_가정!$E$24),1,0)</f>
        <v>0</v>
      </c>
      <c r="AH17" s="276" t="n">
        <f aca="false">IF(AND(AH6&gt;=②시니어_가정!$E$18,AH6&lt;=②시니어_가정!$E$24),1,0)</f>
        <v>0</v>
      </c>
      <c r="AI17" s="276" t="n">
        <f aca="false">IF(AND(AI6&gt;=②시니어_가정!$E$18,AI6&lt;=②시니어_가정!$E$24),1,0)</f>
        <v>0</v>
      </c>
      <c r="AJ17" s="276" t="n">
        <f aca="false">IF(AND(AJ6&gt;=②시니어_가정!$E$18,AJ6&lt;=②시니어_가정!$E$24),1,0)</f>
        <v>0</v>
      </c>
      <c r="AK17" s="276" t="n">
        <f aca="false">IF(AND(AK6&gt;=②시니어_가정!$E$18,AK6&lt;=②시니어_가정!$E$24),1,0)</f>
        <v>0</v>
      </c>
      <c r="AL17" s="276" t="n">
        <f aca="false">IF(AND(AL6&gt;=②시니어_가정!$E$18,AL6&lt;=②시니어_가정!$E$24),1,0)</f>
        <v>0</v>
      </c>
      <c r="AM17" s="276" t="n">
        <f aca="false">IF(AND(AM6&gt;=②시니어_가정!$E$18,AM6&lt;=②시니어_가정!$E$24),1,0)</f>
        <v>0</v>
      </c>
      <c r="AN17" s="276" t="n">
        <f aca="false">IF(AND(AN6&gt;=②시니어_가정!$E$18,AN6&lt;=②시니어_가정!$E$24),1,0)</f>
        <v>0</v>
      </c>
      <c r="AO17" s="276" t="n">
        <f aca="false">IF(AND(AO6&gt;=②시니어_가정!$E$18,AO6&lt;=②시니어_가정!$E$24),1,0)</f>
        <v>0</v>
      </c>
      <c r="AP17" s="276" t="n">
        <f aca="false">IF(AND(AP6&gt;=②시니어_가정!$E$18,AP6&lt;=②시니어_가정!$E$24),1,0)</f>
        <v>0</v>
      </c>
      <c r="AQ17" s="276" t="n">
        <f aca="false">IF(AND(AQ6&gt;=②시니어_가정!$E$18,AQ6&lt;=②시니어_가정!$E$24),1,0)</f>
        <v>0</v>
      </c>
      <c r="AR17" s="276" t="n">
        <f aca="false">IF(AND(AR6&gt;=②시니어_가정!$E$18,AR6&lt;=②시니어_가정!$E$24),1,0)</f>
        <v>0</v>
      </c>
      <c r="AS17" s="276" t="n">
        <f aca="false">IF(AND(AS6&gt;=②시니어_가정!$E$18,AS6&lt;=②시니어_가정!$E$24),1,0)</f>
        <v>0</v>
      </c>
      <c r="AT17" s="276" t="n">
        <f aca="false">IF(AND(AT6&gt;=②시니어_가정!$E$18,AT6&lt;=②시니어_가정!$E$24),1,0)</f>
        <v>0</v>
      </c>
      <c r="AU17" s="276" t="n">
        <f aca="false">IF(AND(AU6&gt;=②시니어_가정!$E$18,AU6&lt;=②시니어_가정!$E$24),1,0)</f>
        <v>0</v>
      </c>
      <c r="AV17" s="276" t="n">
        <f aca="false">IF(AND(AV6&gt;=②시니어_가정!$E$18,AV6&lt;=②시니어_가정!$E$24),1,0)</f>
        <v>0</v>
      </c>
      <c r="AW17" s="276" t="n">
        <f aca="false">IF(AND(AW6&gt;=②시니어_가정!$E$18,AW6&lt;=②시니어_가정!$E$24),1,0)</f>
        <v>0</v>
      </c>
      <c r="AX17" s="276" t="n">
        <f aca="false">IF(AND(AX6&gt;=②시니어_가정!$E$18,AX6&lt;=②시니어_가정!$E$24),1,0)</f>
        <v>0</v>
      </c>
      <c r="AY17" s="276" t="n">
        <f aca="false">IF(AND(AY6&gt;=②시니어_가정!$E$18,AY6&lt;=②시니어_가정!$E$24),1,0)</f>
        <v>0</v>
      </c>
      <c r="AZ17" s="276" t="n">
        <f aca="false">IF(AND(AZ6&gt;=②시니어_가정!$E$18,AZ6&lt;=②시니어_가정!$E$24),1,0)</f>
        <v>0</v>
      </c>
      <c r="BA17" s="276" t="n">
        <f aca="false">IF(AND(BA6&gt;=②시니어_가정!$E$18,BA6&lt;=②시니어_가정!$E$24),1,0)</f>
        <v>0</v>
      </c>
      <c r="BB17" s="276" t="n">
        <f aca="false">IF(AND(BB6&gt;=②시니어_가정!$E$18,BB6&lt;=②시니어_가정!$E$24),1,0)</f>
        <v>0</v>
      </c>
      <c r="BC17" s="276" t="n">
        <f aca="false">IF(AND(BC6&gt;=②시니어_가정!$E$18,BC6&lt;=②시니어_가정!$E$24),1,0)</f>
        <v>0</v>
      </c>
      <c r="BD17" s="276" t="n">
        <f aca="false">IF(AND(BD6&gt;=②시니어_가정!$E$18,BD6&lt;=②시니어_가정!$E$24),1,0)</f>
        <v>0</v>
      </c>
      <c r="BE17" s="276" t="n">
        <f aca="false">IF(AND(BE6&gt;=②시니어_가정!$E$18,BE6&lt;=②시니어_가정!$E$24),1,0)</f>
        <v>0</v>
      </c>
      <c r="BF17" s="276" t="n">
        <f aca="false">IF(AND(BF6&gt;=②시니어_가정!$E$18,BF6&lt;=②시니어_가정!$E$24),1,0)</f>
        <v>0</v>
      </c>
      <c r="BG17" s="276" t="n">
        <f aca="false">IF(AND(BG6&gt;=②시니어_가정!$E$18,BG6&lt;=②시니어_가정!$E$24),1,0)</f>
        <v>0</v>
      </c>
      <c r="BH17" s="276" t="n">
        <f aca="false">IF(AND(BH6&gt;=②시니어_가정!$E$18,BH6&lt;=②시니어_가정!$E$24),1,0)</f>
        <v>0</v>
      </c>
      <c r="BI17" s="276" t="n">
        <f aca="false">IF(AND(BI6&gt;=②시니어_가정!$E$18,BI6&lt;=②시니어_가정!$E$24),1,0)</f>
        <v>0</v>
      </c>
      <c r="BJ17" s="276" t="n">
        <f aca="false">IF(AND(BJ6&gt;=②시니어_가정!$E$18,BJ6&lt;=②시니어_가정!$E$24),1,0)</f>
        <v>0</v>
      </c>
      <c r="BK17" s="276" t="n">
        <f aca="false">IF(AND(BK6&gt;=②시니어_가정!$E$18,BK6&lt;=②시니어_가정!$E$24),1,0)</f>
        <v>0</v>
      </c>
      <c r="BL17" s="276" t="n">
        <f aca="false">IF(AND(BL6&gt;=②시니어_가정!$E$18,BL6&lt;=②시니어_가정!$E$24),1,0)</f>
        <v>0</v>
      </c>
      <c r="BM17" s="276" t="n">
        <f aca="false">IF(AND(BM6&gt;=②시니어_가정!$E$18,BM6&lt;=②시니어_가정!$E$24),1,0)</f>
        <v>1</v>
      </c>
      <c r="BN17" s="276" t="n">
        <f aca="false">IF(AND(BN6&gt;=②시니어_가정!$E$18,BN6&lt;=②시니어_가정!$E$24),1,0)</f>
        <v>1</v>
      </c>
      <c r="BO17" s="276" t="n">
        <f aca="false">IF(AND(BO6&gt;=②시니어_가정!$E$18,BO6&lt;=②시니어_가정!$E$24),1,0)</f>
        <v>1</v>
      </c>
      <c r="BP17" s="276" t="n">
        <f aca="false">IF(AND(BP6&gt;=②시니어_가정!$E$18,BP6&lt;=②시니어_가정!$E$24),1,0)</f>
        <v>1</v>
      </c>
      <c r="BQ17" s="276" t="n">
        <f aca="false">IF(AND(BQ6&gt;=②시니어_가정!$E$18,BQ6&lt;=②시니어_가정!$E$24),1,0)</f>
        <v>1</v>
      </c>
      <c r="BR17" s="276" t="n">
        <f aca="false">IF(AND(BR6&gt;=②시니어_가정!$E$18,BR6&lt;=②시니어_가정!$E$24),1,0)</f>
        <v>1</v>
      </c>
      <c r="BS17" s="276" t="n">
        <f aca="false">IF(AND(BS6&gt;=②시니어_가정!$E$18,BS6&lt;=②시니어_가정!$E$24),1,0)</f>
        <v>1</v>
      </c>
      <c r="BT17" s="276" t="n">
        <f aca="false">IF(AND(BT6&gt;=②시니어_가정!$E$18,BT6&lt;=②시니어_가정!$E$24),1,0)</f>
        <v>1</v>
      </c>
      <c r="BU17" s="276" t="n">
        <f aca="false">IF(AND(BU6&gt;=②시니어_가정!$E$18,BU6&lt;=②시니어_가정!$E$24),1,0)</f>
        <v>1</v>
      </c>
      <c r="BV17" s="276" t="n">
        <f aca="false">IF(AND(BV6&gt;=②시니어_가정!$E$18,BV6&lt;=②시니어_가정!$E$24),1,0)</f>
        <v>1</v>
      </c>
      <c r="BW17" s="276" t="n">
        <f aca="false">IF(AND(BW6&gt;=②시니어_가정!$E$18,BW6&lt;=②시니어_가정!$E$24),1,0)</f>
        <v>1</v>
      </c>
      <c r="BX17" s="276" t="n">
        <f aca="false">IF(AND(BX6&gt;=②시니어_가정!$E$18,BX6&lt;=②시니어_가정!$E$24),1,0)</f>
        <v>1</v>
      </c>
      <c r="BY17" s="276" t="n">
        <f aca="false">IF(AND(BY6&gt;=②시니어_가정!$E$18,BY6&lt;=②시니어_가정!$E$24),1,0)</f>
        <v>1</v>
      </c>
      <c r="BZ17" s="276" t="n">
        <f aca="false">IF(AND(BZ6&gt;=②시니어_가정!$E$18,BZ6&lt;=②시니어_가정!$E$24),1,0)</f>
        <v>1</v>
      </c>
      <c r="CA17" s="276" t="n">
        <f aca="false">IF(AND(CA6&gt;=②시니어_가정!$E$18,CA6&lt;=②시니어_가정!$E$24),1,0)</f>
        <v>1</v>
      </c>
      <c r="CB17" s="276" t="n">
        <f aca="false">IF(AND(CB6&gt;=②시니어_가정!$E$18,CB6&lt;=②시니어_가정!$E$24),1,0)</f>
        <v>1</v>
      </c>
      <c r="CC17" s="276" t="n">
        <f aca="false">IF(AND(CC6&gt;=②시니어_가정!$E$18,CC6&lt;=②시니어_가정!$E$24),1,0)</f>
        <v>1</v>
      </c>
      <c r="CD17" s="276" t="n">
        <f aca="false">IF(AND(CD6&gt;=②시니어_가정!$E$18,CD6&lt;=②시니어_가정!$E$24),1,0)</f>
        <v>1</v>
      </c>
      <c r="CE17" s="276" t="n">
        <f aca="false">IF(AND(CE6&gt;=②시니어_가정!$E$18,CE6&lt;=②시니어_가정!$E$24),1,0)</f>
        <v>1</v>
      </c>
      <c r="CF17" s="276" t="n">
        <f aca="false">IF(AND(CF6&gt;=②시니어_가정!$E$18,CF6&lt;=②시니어_가정!$E$24),1,0)</f>
        <v>1</v>
      </c>
      <c r="CG17" s="276" t="n">
        <f aca="false">IF(AND(CG6&gt;=②시니어_가정!$E$18,CG6&lt;=②시니어_가정!$E$24),1,0)</f>
        <v>1</v>
      </c>
      <c r="CH17" s="276" t="n">
        <f aca="false">IF(AND(CH6&gt;=②시니어_가정!$E$18,CH6&lt;=②시니어_가정!$E$24),1,0)</f>
        <v>1</v>
      </c>
      <c r="CI17" s="276" t="n">
        <f aca="false">IF(AND(CI6&gt;=②시니어_가정!$E$18,CI6&lt;=②시니어_가정!$E$24),1,0)</f>
        <v>1</v>
      </c>
      <c r="CJ17" s="276" t="n">
        <f aca="false">IF(AND(CJ6&gt;=②시니어_가정!$E$18,CJ6&lt;=②시니어_가정!$E$24),1,0)</f>
        <v>1</v>
      </c>
      <c r="CK17" s="276" t="n">
        <f aca="false">IF(AND(CK6&gt;=②시니어_가정!$E$18,CK6&lt;=②시니어_가정!$E$24),1,0)</f>
        <v>1</v>
      </c>
      <c r="CL17" s="276" t="n">
        <f aca="false">IF(AND(CL6&gt;=②시니어_가정!$E$18,CL6&lt;=②시니어_가정!$E$24),1,0)</f>
        <v>1</v>
      </c>
      <c r="CM17" s="276" t="n">
        <f aca="false">IF(AND(CM6&gt;=②시니어_가정!$E$18,CM6&lt;=②시니어_가정!$E$24),1,0)</f>
        <v>1</v>
      </c>
      <c r="CN17" s="276" t="n">
        <f aca="false">IF(AND(CN6&gt;=②시니어_가정!$E$18,CN6&lt;=②시니어_가정!$E$24),1,0)</f>
        <v>1</v>
      </c>
      <c r="CO17" s="276" t="n">
        <f aca="false">IF(AND(CO6&gt;=②시니어_가정!$E$18,CO6&lt;=②시니어_가정!$E$24),1,0)</f>
        <v>1</v>
      </c>
      <c r="CP17" s="276" t="n">
        <f aca="false">IF(AND(CP6&gt;=②시니어_가정!$E$18,CP6&lt;=②시니어_가정!$E$24),1,0)</f>
        <v>1</v>
      </c>
      <c r="CQ17" s="276" t="n">
        <f aca="false">IF(AND(CQ6&gt;=②시니어_가정!$E$18,CQ6&lt;=②시니어_가정!$E$24),1,0)</f>
        <v>1</v>
      </c>
      <c r="CR17" s="276" t="n">
        <f aca="false">IF(AND(CR6&gt;=②시니어_가정!$E$18,CR6&lt;=②시니어_가정!$E$24),1,0)</f>
        <v>1</v>
      </c>
      <c r="CS17" s="276" t="n">
        <f aca="false">IF(AND(CS6&gt;=②시니어_가정!$E$18,CS6&lt;=②시니어_가정!$E$24),1,0)</f>
        <v>1</v>
      </c>
      <c r="CT17" s="276" t="n">
        <f aca="false">IF(AND(CT6&gt;=②시니어_가정!$E$18,CT6&lt;=②시니어_가정!$E$24),1,0)</f>
        <v>1</v>
      </c>
      <c r="CU17" s="276" t="n">
        <f aca="false">IF(AND(CU6&gt;=②시니어_가정!$E$18,CU6&lt;=②시니어_가정!$E$24),1,0)</f>
        <v>1</v>
      </c>
      <c r="CV17" s="276" t="n">
        <f aca="false">IF(AND(CV6&gt;=②시니어_가정!$E$18,CV6&lt;=②시니어_가정!$E$24),1,0)</f>
        <v>1</v>
      </c>
      <c r="CW17" s="276" t="n">
        <f aca="false">IF(AND(CW6&gt;=②시니어_가정!$E$18,CW6&lt;=②시니어_가정!$E$24),1,0)</f>
        <v>1</v>
      </c>
      <c r="CX17" s="276" t="n">
        <f aca="false">IF(AND(CX6&gt;=②시니어_가정!$E$18,CX6&lt;=②시니어_가정!$E$24),1,0)</f>
        <v>1</v>
      </c>
      <c r="CY17" s="276" t="n">
        <f aca="false">IF(AND(CY6&gt;=②시니어_가정!$E$18,CY6&lt;=②시니어_가정!$E$24),1,0)</f>
        <v>1</v>
      </c>
      <c r="CZ17" s="276" t="n">
        <f aca="false">IF(AND(CZ6&gt;=②시니어_가정!$E$18,CZ6&lt;=②시니어_가정!$E$24),1,0)</f>
        <v>1</v>
      </c>
      <c r="DA17" s="276" t="n">
        <f aca="false">IF(AND(DA6&gt;=②시니어_가정!$E$18,DA6&lt;=②시니어_가정!$E$24),1,0)</f>
        <v>1</v>
      </c>
      <c r="DB17" s="276" t="n">
        <f aca="false">IF(AND(DB6&gt;=②시니어_가정!$E$18,DB6&lt;=②시니어_가정!$E$24),1,0)</f>
        <v>1</v>
      </c>
      <c r="DC17" s="276" t="n">
        <f aca="false">IF(AND(DC6&gt;=②시니어_가정!$E$18,DC6&lt;=②시니어_가정!$E$24),1,0)</f>
        <v>1</v>
      </c>
      <c r="DD17" s="276" t="n">
        <f aca="false">IF(AND(DD6&gt;=②시니어_가정!$E$18,DD6&lt;=②시니어_가정!$E$24),1,0)</f>
        <v>1</v>
      </c>
      <c r="DE17" s="276" t="n">
        <f aca="false">IF(AND(DE6&gt;=②시니어_가정!$E$18,DE6&lt;=②시니어_가정!$E$24),1,0)</f>
        <v>1</v>
      </c>
      <c r="DF17" s="276" t="n">
        <f aca="false">IF(AND(DF6&gt;=②시니어_가정!$E$18,DF6&lt;=②시니어_가정!$E$24),1,0)</f>
        <v>1</v>
      </c>
      <c r="DG17" s="276" t="n">
        <f aca="false">IF(AND(DG6&gt;=②시니어_가정!$E$18,DG6&lt;=②시니어_가정!$E$24),1,0)</f>
        <v>1</v>
      </c>
      <c r="DH17" s="276" t="n">
        <f aca="false">IF(AND(DH6&gt;=②시니어_가정!$E$18,DH6&lt;=②시니어_가정!$E$24),1,0)</f>
        <v>1</v>
      </c>
      <c r="DI17" s="276" t="n">
        <f aca="false">IF(AND(DI6&gt;=②시니어_가정!$E$18,DI6&lt;=②시니어_가정!$E$24),1,0)</f>
        <v>1</v>
      </c>
      <c r="DJ17" s="276" t="n">
        <f aca="false">IF(AND(DJ6&gt;=②시니어_가정!$E$18,DJ6&lt;=②시니어_가정!$E$24),1,0)</f>
        <v>1</v>
      </c>
      <c r="DK17" s="276" t="n">
        <f aca="false">IF(AND(DK6&gt;=②시니어_가정!$E$18,DK6&lt;=②시니어_가정!$E$24),1,0)</f>
        <v>1</v>
      </c>
      <c r="DL17" s="276" t="n">
        <f aca="false">IF(AND(DL6&gt;=②시니어_가정!$E$18,DL6&lt;=②시니어_가정!$E$24),1,0)</f>
        <v>1</v>
      </c>
      <c r="DM17" s="276" t="n">
        <f aca="false">IF(AND(DM6&gt;=②시니어_가정!$E$18,DM6&lt;=②시니어_가정!$E$24),1,0)</f>
        <v>1</v>
      </c>
      <c r="DN17" s="276" t="n">
        <f aca="false">IF(AND(DN6&gt;=②시니어_가정!$E$18,DN6&lt;=②시니어_가정!$E$24),1,0)</f>
        <v>1</v>
      </c>
      <c r="DO17" s="276" t="n">
        <f aca="false">IF(AND(DO6&gt;=②시니어_가정!$E$18,DO6&lt;=②시니어_가정!$E$24),1,0)</f>
        <v>1</v>
      </c>
      <c r="DP17" s="276" t="n">
        <f aca="false">IF(AND(DP6&gt;=②시니어_가정!$E$18,DP6&lt;=②시니어_가정!$E$24),1,0)</f>
        <v>1</v>
      </c>
      <c r="DQ17" s="276" t="n">
        <f aca="false">IF(AND(DQ6&gt;=②시니어_가정!$E$18,DQ6&lt;=②시니어_가정!$E$24),1,0)</f>
        <v>1</v>
      </c>
      <c r="DR17" s="276" t="n">
        <f aca="false">IF(AND(DR6&gt;=②시니어_가정!$E$18,DR6&lt;=②시니어_가정!$E$24),1,0)</f>
        <v>1</v>
      </c>
      <c r="DS17" s="276" t="n">
        <f aca="false">IF(AND(DS6&gt;=②시니어_가정!$E$18,DS6&lt;=②시니어_가정!$E$24),1,0)</f>
        <v>1</v>
      </c>
      <c r="DT17" s="276" t="n">
        <f aca="false">IF(AND(DT6&gt;=②시니어_가정!$E$18,DT6&lt;=②시니어_가정!$E$24),1,0)</f>
        <v>1</v>
      </c>
      <c r="DU17" s="276" t="n">
        <f aca="false">IF(AND(DU6&gt;=②시니어_가정!$E$18,DU6&lt;=②시니어_가정!$E$24),1,0)</f>
        <v>1</v>
      </c>
      <c r="DV17" s="276" t="n">
        <f aca="false">IF(AND(DV6&gt;=②시니어_가정!$E$18,DV6&lt;=②시니어_가정!$E$24),1,0)</f>
        <v>1</v>
      </c>
      <c r="DW17" s="276" t="n">
        <f aca="false">IF(AND(DW6&gt;=②시니어_가정!$E$18,DW6&lt;=②시니어_가정!$E$24),1,0)</f>
        <v>1</v>
      </c>
      <c r="DX17" s="276" t="n">
        <f aca="false">IF(AND(DX6&gt;=②시니어_가정!$E$18,DX6&lt;=②시니어_가정!$E$24),1,0)</f>
        <v>0</v>
      </c>
      <c r="DY17" s="276" t="n">
        <f aca="false">IF(AND(DY6&gt;=②시니어_가정!$E$18,DY6&lt;=②시니어_가정!$E$24),1,0)</f>
        <v>0</v>
      </c>
      <c r="DZ17" s="276" t="n">
        <f aca="false">IF(AND(DZ6&gt;=②시니어_가정!$E$18,DZ6&lt;=②시니어_가정!$E$24),1,0)</f>
        <v>0</v>
      </c>
      <c r="EA17" s="276" t="n">
        <f aca="false">IF(AND(EA6&gt;=②시니어_가정!$E$18,EA6&lt;=②시니어_가정!$E$24),1,0)</f>
        <v>0</v>
      </c>
      <c r="EB17" s="276" t="n">
        <f aca="false">IF(AND(EB6&gt;=②시니어_가정!$E$18,EB6&lt;=②시니어_가정!$E$24),1,0)</f>
        <v>0</v>
      </c>
      <c r="EC17" s="276" t="n">
        <f aca="false">IF(AND(EC6&gt;=②시니어_가정!$E$18,EC6&lt;=②시니어_가정!$E$24),1,0)</f>
        <v>0</v>
      </c>
      <c r="ED17" s="276" t="n">
        <f aca="false">IF(AND(ED6&gt;=②시니어_가정!$E$18,ED6&lt;=②시니어_가정!$E$24),1,0)</f>
        <v>0</v>
      </c>
      <c r="EE17" s="276" t="n">
        <f aca="false">IF(AND(EE6&gt;=②시니어_가정!$E$18,EE6&lt;=②시니어_가정!$E$24),1,0)</f>
        <v>0</v>
      </c>
      <c r="EF17" s="276" t="n">
        <f aca="false">IF(AND(EF6&gt;=②시니어_가정!$E$18,EF6&lt;=②시니어_가정!$E$24),1,0)</f>
        <v>0</v>
      </c>
    </row>
    <row r="18" customFormat="false" ht="15" hidden="false" customHeight="false" outlineLevel="0" collapsed="false">
      <c r="A18" s="36" t="s">
        <v>574</v>
      </c>
      <c r="B18" s="278" t="s">
        <v>575</v>
      </c>
      <c r="E18" s="275" t="n">
        <f aca="false">DAY(E6)</f>
        <v>31</v>
      </c>
      <c r="F18" s="275" t="n">
        <f aca="false">DAY(F6)</f>
        <v>30</v>
      </c>
      <c r="G18" s="275" t="n">
        <f aca="false">DAY(G6)</f>
        <v>31</v>
      </c>
      <c r="H18" s="275" t="n">
        <f aca="false">DAY(H6)</f>
        <v>30</v>
      </c>
      <c r="I18" s="275" t="n">
        <f aca="false">DAY(I6)</f>
        <v>31</v>
      </c>
      <c r="J18" s="275" t="n">
        <f aca="false">DAY(J6)</f>
        <v>31</v>
      </c>
      <c r="K18" s="275" t="n">
        <f aca="false">DAY(K6)</f>
        <v>30</v>
      </c>
      <c r="L18" s="275" t="n">
        <f aca="false">DAY(L6)</f>
        <v>31</v>
      </c>
      <c r="M18" s="275" t="n">
        <f aca="false">DAY(M6)</f>
        <v>30</v>
      </c>
      <c r="N18" s="275" t="n">
        <f aca="false">DAY(N6)</f>
        <v>31</v>
      </c>
      <c r="O18" s="275" t="n">
        <f aca="false">DAY(O6)</f>
        <v>31</v>
      </c>
      <c r="P18" s="275" t="n">
        <f aca="false">DAY(P6)</f>
        <v>28</v>
      </c>
      <c r="Q18" s="275" t="n">
        <f aca="false">DAY(Q6)</f>
        <v>31</v>
      </c>
      <c r="R18" s="275" t="n">
        <f aca="false">DAY(R6)</f>
        <v>30</v>
      </c>
      <c r="S18" s="275" t="n">
        <f aca="false">DAY(S6)</f>
        <v>31</v>
      </c>
      <c r="T18" s="275" t="n">
        <f aca="false">DAY(T6)</f>
        <v>30</v>
      </c>
      <c r="U18" s="275" t="n">
        <f aca="false">DAY(U6)</f>
        <v>31</v>
      </c>
      <c r="V18" s="275" t="n">
        <f aca="false">DAY(V6)</f>
        <v>31</v>
      </c>
      <c r="W18" s="275" t="n">
        <f aca="false">DAY(W6)</f>
        <v>30</v>
      </c>
      <c r="X18" s="275" t="n">
        <f aca="false">DAY(X6)</f>
        <v>31</v>
      </c>
      <c r="Y18" s="275" t="n">
        <f aca="false">DAY(Y6)</f>
        <v>30</v>
      </c>
      <c r="Z18" s="275" t="n">
        <f aca="false">DAY(Z6)</f>
        <v>31</v>
      </c>
      <c r="AA18" s="275" t="n">
        <f aca="false">DAY(AA6)</f>
        <v>31</v>
      </c>
      <c r="AB18" s="275" t="n">
        <f aca="false">DAY(AB6)</f>
        <v>29</v>
      </c>
      <c r="AC18" s="275" t="n">
        <f aca="false">DAY(AC6)</f>
        <v>31</v>
      </c>
      <c r="AD18" s="275" t="n">
        <f aca="false">DAY(AD6)</f>
        <v>30</v>
      </c>
      <c r="AE18" s="275" t="n">
        <f aca="false">DAY(AE6)</f>
        <v>31</v>
      </c>
      <c r="AF18" s="275" t="n">
        <f aca="false">DAY(AF6)</f>
        <v>30</v>
      </c>
      <c r="AG18" s="275" t="n">
        <f aca="false">DAY(AG6)</f>
        <v>31</v>
      </c>
      <c r="AH18" s="275" t="n">
        <f aca="false">DAY(AH6)</f>
        <v>31</v>
      </c>
      <c r="AI18" s="275" t="n">
        <f aca="false">DAY(AI6)</f>
        <v>30</v>
      </c>
      <c r="AJ18" s="275" t="n">
        <f aca="false">DAY(AJ6)</f>
        <v>31</v>
      </c>
      <c r="AK18" s="275" t="n">
        <f aca="false">DAY(AK6)</f>
        <v>30</v>
      </c>
      <c r="AL18" s="275" t="n">
        <f aca="false">DAY(AL6)</f>
        <v>31</v>
      </c>
      <c r="AM18" s="275" t="n">
        <f aca="false">DAY(AM6)</f>
        <v>31</v>
      </c>
      <c r="AN18" s="275" t="n">
        <f aca="false">DAY(AN6)</f>
        <v>28</v>
      </c>
      <c r="AO18" s="275" t="n">
        <f aca="false">DAY(AO6)</f>
        <v>31</v>
      </c>
      <c r="AP18" s="275" t="n">
        <f aca="false">DAY(AP6)</f>
        <v>30</v>
      </c>
      <c r="AQ18" s="275" t="n">
        <f aca="false">DAY(AQ6)</f>
        <v>31</v>
      </c>
      <c r="AR18" s="275" t="n">
        <f aca="false">DAY(AR6)</f>
        <v>30</v>
      </c>
      <c r="AS18" s="275" t="n">
        <f aca="false">DAY(AS6)</f>
        <v>31</v>
      </c>
      <c r="AT18" s="275" t="n">
        <f aca="false">DAY(AT6)</f>
        <v>31</v>
      </c>
      <c r="AU18" s="275" t="n">
        <f aca="false">DAY(AU6)</f>
        <v>30</v>
      </c>
      <c r="AV18" s="275" t="n">
        <f aca="false">DAY(AV6)</f>
        <v>31</v>
      </c>
      <c r="AW18" s="275" t="n">
        <f aca="false">DAY(AW6)</f>
        <v>30</v>
      </c>
      <c r="AX18" s="275" t="n">
        <f aca="false">DAY(AX6)</f>
        <v>31</v>
      </c>
      <c r="AY18" s="275" t="n">
        <f aca="false">DAY(AY6)</f>
        <v>31</v>
      </c>
      <c r="AZ18" s="275" t="n">
        <f aca="false">DAY(AZ6)</f>
        <v>28</v>
      </c>
      <c r="BA18" s="275" t="n">
        <f aca="false">DAY(BA6)</f>
        <v>31</v>
      </c>
      <c r="BB18" s="275" t="n">
        <f aca="false">DAY(BB6)</f>
        <v>30</v>
      </c>
      <c r="BC18" s="275" t="n">
        <f aca="false">DAY(BC6)</f>
        <v>31</v>
      </c>
      <c r="BD18" s="275" t="n">
        <f aca="false">DAY(BD6)</f>
        <v>30</v>
      </c>
      <c r="BE18" s="275" t="n">
        <f aca="false">DAY(BE6)</f>
        <v>31</v>
      </c>
      <c r="BF18" s="275" t="n">
        <f aca="false">DAY(BF6)</f>
        <v>31</v>
      </c>
      <c r="BG18" s="275" t="n">
        <f aca="false">DAY(BG6)</f>
        <v>30</v>
      </c>
      <c r="BH18" s="275" t="n">
        <f aca="false">DAY(BH6)</f>
        <v>31</v>
      </c>
      <c r="BI18" s="275" t="n">
        <f aca="false">DAY(BI6)</f>
        <v>30</v>
      </c>
      <c r="BJ18" s="275" t="n">
        <f aca="false">DAY(BJ6)</f>
        <v>31</v>
      </c>
      <c r="BK18" s="275" t="n">
        <f aca="false">DAY(BK6)</f>
        <v>31</v>
      </c>
      <c r="BL18" s="275" t="n">
        <f aca="false">DAY(BL6)</f>
        <v>28</v>
      </c>
      <c r="BM18" s="275" t="n">
        <f aca="false">DAY(BM6)</f>
        <v>31</v>
      </c>
      <c r="BN18" s="275" t="n">
        <f aca="false">DAY(BN6)</f>
        <v>30</v>
      </c>
      <c r="BO18" s="275" t="n">
        <f aca="false">DAY(BO6)</f>
        <v>31</v>
      </c>
      <c r="BP18" s="275" t="n">
        <f aca="false">DAY(BP6)</f>
        <v>30</v>
      </c>
      <c r="BQ18" s="275" t="n">
        <f aca="false">DAY(BQ6)</f>
        <v>31</v>
      </c>
      <c r="BR18" s="275" t="n">
        <f aca="false">DAY(BR6)</f>
        <v>31</v>
      </c>
      <c r="BS18" s="275" t="n">
        <f aca="false">DAY(BS6)</f>
        <v>30</v>
      </c>
      <c r="BT18" s="275" t="n">
        <f aca="false">DAY(BT6)</f>
        <v>31</v>
      </c>
      <c r="BU18" s="275" t="n">
        <f aca="false">DAY(BU6)</f>
        <v>30</v>
      </c>
      <c r="BV18" s="275" t="n">
        <f aca="false">DAY(BV6)</f>
        <v>31</v>
      </c>
      <c r="BW18" s="275" t="n">
        <f aca="false">DAY(BW6)</f>
        <v>31</v>
      </c>
      <c r="BX18" s="275" t="n">
        <f aca="false">DAY(BX6)</f>
        <v>29</v>
      </c>
      <c r="BY18" s="275" t="n">
        <f aca="false">DAY(BY6)</f>
        <v>31</v>
      </c>
      <c r="BZ18" s="275" t="n">
        <f aca="false">DAY(BZ6)</f>
        <v>30</v>
      </c>
      <c r="CA18" s="275" t="n">
        <f aca="false">DAY(CA6)</f>
        <v>31</v>
      </c>
      <c r="CB18" s="275" t="n">
        <f aca="false">DAY(CB6)</f>
        <v>30</v>
      </c>
      <c r="CC18" s="275" t="n">
        <f aca="false">DAY(CC6)</f>
        <v>31</v>
      </c>
      <c r="CD18" s="275" t="n">
        <f aca="false">DAY(CD6)</f>
        <v>31</v>
      </c>
      <c r="CE18" s="275" t="n">
        <f aca="false">DAY(CE6)</f>
        <v>30</v>
      </c>
      <c r="CF18" s="275" t="n">
        <f aca="false">DAY(CF6)</f>
        <v>31</v>
      </c>
      <c r="CG18" s="275" t="n">
        <f aca="false">DAY(CG6)</f>
        <v>30</v>
      </c>
      <c r="CH18" s="275" t="n">
        <f aca="false">DAY(CH6)</f>
        <v>31</v>
      </c>
      <c r="CI18" s="275" t="n">
        <f aca="false">DAY(CI6)</f>
        <v>31</v>
      </c>
      <c r="CJ18" s="275" t="n">
        <f aca="false">DAY(CJ6)</f>
        <v>28</v>
      </c>
      <c r="CK18" s="275" t="n">
        <f aca="false">DAY(CK6)</f>
        <v>31</v>
      </c>
      <c r="CL18" s="275" t="n">
        <f aca="false">DAY(CL6)</f>
        <v>30</v>
      </c>
      <c r="CM18" s="275" t="n">
        <f aca="false">DAY(CM6)</f>
        <v>31</v>
      </c>
      <c r="CN18" s="275" t="n">
        <f aca="false">DAY(CN6)</f>
        <v>30</v>
      </c>
      <c r="CO18" s="275" t="n">
        <f aca="false">DAY(CO6)</f>
        <v>31</v>
      </c>
      <c r="CP18" s="275" t="n">
        <f aca="false">DAY(CP6)</f>
        <v>31</v>
      </c>
      <c r="CQ18" s="275" t="n">
        <f aca="false">DAY(CQ6)</f>
        <v>30</v>
      </c>
      <c r="CR18" s="275" t="n">
        <f aca="false">DAY(CR6)</f>
        <v>31</v>
      </c>
      <c r="CS18" s="275" t="n">
        <f aca="false">DAY(CS6)</f>
        <v>30</v>
      </c>
      <c r="CT18" s="275" t="n">
        <f aca="false">DAY(CT6)</f>
        <v>31</v>
      </c>
      <c r="CU18" s="275" t="n">
        <f aca="false">DAY(CU6)</f>
        <v>31</v>
      </c>
      <c r="CV18" s="275" t="n">
        <f aca="false">DAY(CV6)</f>
        <v>28</v>
      </c>
      <c r="CW18" s="275" t="n">
        <f aca="false">DAY(CW6)</f>
        <v>31</v>
      </c>
      <c r="CX18" s="275" t="n">
        <f aca="false">DAY(CX6)</f>
        <v>30</v>
      </c>
      <c r="CY18" s="275" t="n">
        <f aca="false">DAY(CY6)</f>
        <v>31</v>
      </c>
      <c r="CZ18" s="275" t="n">
        <f aca="false">DAY(CZ6)</f>
        <v>30</v>
      </c>
      <c r="DA18" s="275" t="n">
        <f aca="false">DAY(DA6)</f>
        <v>31</v>
      </c>
      <c r="DB18" s="275" t="n">
        <f aca="false">DAY(DB6)</f>
        <v>31</v>
      </c>
      <c r="DC18" s="275" t="n">
        <f aca="false">DAY(DC6)</f>
        <v>30</v>
      </c>
      <c r="DD18" s="275" t="n">
        <f aca="false">DAY(DD6)</f>
        <v>31</v>
      </c>
      <c r="DE18" s="275" t="n">
        <f aca="false">DAY(DE6)</f>
        <v>30</v>
      </c>
      <c r="DF18" s="275" t="n">
        <f aca="false">DAY(DF6)</f>
        <v>31</v>
      </c>
      <c r="DG18" s="275" t="n">
        <f aca="false">DAY(DG6)</f>
        <v>31</v>
      </c>
      <c r="DH18" s="275" t="n">
        <f aca="false">DAY(DH6)</f>
        <v>28</v>
      </c>
      <c r="DI18" s="275" t="n">
        <f aca="false">DAY(DI6)</f>
        <v>31</v>
      </c>
      <c r="DJ18" s="275" t="n">
        <f aca="false">DAY(DJ6)</f>
        <v>30</v>
      </c>
      <c r="DK18" s="275" t="n">
        <f aca="false">DAY(DK6)</f>
        <v>31</v>
      </c>
      <c r="DL18" s="275" t="n">
        <f aca="false">DAY(DL6)</f>
        <v>30</v>
      </c>
      <c r="DM18" s="275" t="n">
        <f aca="false">DAY(DM6)</f>
        <v>31</v>
      </c>
      <c r="DN18" s="275" t="n">
        <f aca="false">DAY(DN6)</f>
        <v>31</v>
      </c>
      <c r="DO18" s="275" t="n">
        <f aca="false">DAY(DO6)</f>
        <v>30</v>
      </c>
      <c r="DP18" s="275" t="n">
        <f aca="false">DAY(DP6)</f>
        <v>31</v>
      </c>
      <c r="DQ18" s="275" t="n">
        <f aca="false">DAY(DQ6)</f>
        <v>30</v>
      </c>
      <c r="DR18" s="275" t="n">
        <f aca="false">DAY(DR6)</f>
        <v>31</v>
      </c>
      <c r="DS18" s="275" t="n">
        <f aca="false">DAY(DS6)</f>
        <v>31</v>
      </c>
      <c r="DT18" s="275" t="n">
        <f aca="false">DAY(DT6)</f>
        <v>29</v>
      </c>
      <c r="DU18" s="275" t="n">
        <f aca="false">DAY(DU6)</f>
        <v>31</v>
      </c>
      <c r="DV18" s="275" t="n">
        <f aca="false">DAY(DV6)</f>
        <v>30</v>
      </c>
      <c r="DW18" s="275" t="n">
        <f aca="false">DAY(DW6)</f>
        <v>31</v>
      </c>
      <c r="DX18" s="275" t="n">
        <f aca="false">DAY(DX6)</f>
        <v>30</v>
      </c>
      <c r="DY18" s="275" t="n">
        <f aca="false">DAY(DY6)</f>
        <v>31</v>
      </c>
      <c r="DZ18" s="275" t="n">
        <f aca="false">DAY(DZ6)</f>
        <v>31</v>
      </c>
      <c r="EA18" s="275" t="n">
        <f aca="false">DAY(EA6)</f>
        <v>30</v>
      </c>
      <c r="EB18" s="275" t="n">
        <f aca="false">DAY(EB6)</f>
        <v>31</v>
      </c>
      <c r="EC18" s="275" t="n">
        <f aca="false">DAY(EC6)</f>
        <v>30</v>
      </c>
      <c r="ED18" s="275" t="n">
        <f aca="false">DAY(ED6)</f>
        <v>31</v>
      </c>
      <c r="EE18" s="275" t="n">
        <f aca="false">DAY(EE6)</f>
        <v>31</v>
      </c>
      <c r="EF18" s="275" t="n">
        <f aca="false">DAY(EF6)</f>
        <v>28</v>
      </c>
    </row>
    <row r="20" customFormat="false" ht="15" hidden="false" customHeight="false" outlineLevel="0" collapsed="false">
      <c r="A20" s="6" t="s">
        <v>196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</row>
    <row r="21" customFormat="false" ht="15" hidden="false" customHeight="false" outlineLevel="0" collapsed="false">
      <c r="A21" s="36" t="s">
        <v>576</v>
      </c>
      <c r="B21" s="278" t="s">
        <v>21</v>
      </c>
      <c r="C21" s="279" t="n">
        <f aca="false">SUM(E21:EF21)</f>
        <v>97278.5407104</v>
      </c>
      <c r="E21" s="37" t="n">
        <f aca="false">(E14=1)*②시니어_가정!$D$38*②시니어_가정!$E$96*CHOOSE(MIN(MAX(E16,1),3),②시니어_가정!$E$104,②시니어_가정!$E$105,②시니어_가정!$E$106)*(②시니어_가정!$E$100+②시니어_가정!$E$99)/1000*(1+②시니어_가정!$E$101)^INT((E15-1)/②시니어_가정!$E$102)</f>
        <v>0</v>
      </c>
      <c r="F21" s="37" t="n">
        <f aca="false">(F14=1)*②시니어_가정!$D$38*②시니어_가정!$E$96*CHOOSE(MIN(MAX(F16,1),3),②시니어_가정!$E$104,②시니어_가정!$E$105,②시니어_가정!$E$106)*(②시니어_가정!$E$100+②시니어_가정!$E$99)/1000*(1+②시니어_가정!$E$101)^INT((F15-1)/②시니어_가정!$E$102)</f>
        <v>0</v>
      </c>
      <c r="G21" s="37" t="n">
        <f aca="false">(G14=1)*②시니어_가정!$D$38*②시니어_가정!$E$96*CHOOSE(MIN(MAX(G16,1),3),②시니어_가정!$E$104,②시니어_가정!$E$105,②시니어_가정!$E$106)*(②시니어_가정!$E$100+②시니어_가정!$E$99)/1000*(1+②시니어_가정!$E$101)^INT((G15-1)/②시니어_가정!$E$102)</f>
        <v>0</v>
      </c>
      <c r="H21" s="37" t="n">
        <f aca="false">(H14=1)*②시니어_가정!$D$38*②시니어_가정!$E$96*CHOOSE(MIN(MAX(H16,1),3),②시니어_가정!$E$104,②시니어_가정!$E$105,②시니어_가정!$E$106)*(②시니어_가정!$E$100+②시니어_가정!$E$99)/1000*(1+②시니어_가정!$E$101)^INT((H15-1)/②시니어_가정!$E$102)</f>
        <v>0</v>
      </c>
      <c r="I21" s="37" t="n">
        <f aca="false">(I14=1)*②시니어_가정!$D$38*②시니어_가정!$E$96*CHOOSE(MIN(MAX(I16,1),3),②시니어_가정!$E$104,②시니어_가정!$E$105,②시니어_가정!$E$106)*(②시니어_가정!$E$100+②시니어_가정!$E$99)/1000*(1+②시니어_가정!$E$101)^INT((I15-1)/②시니어_가정!$E$102)</f>
        <v>0</v>
      </c>
      <c r="J21" s="37" t="n">
        <f aca="false">(J14=1)*②시니어_가정!$D$38*②시니어_가정!$E$96*CHOOSE(MIN(MAX(J16,1),3),②시니어_가정!$E$104,②시니어_가정!$E$105,②시니어_가정!$E$106)*(②시니어_가정!$E$100+②시니어_가정!$E$99)/1000*(1+②시니어_가정!$E$101)^INT((J15-1)/②시니어_가정!$E$102)</f>
        <v>0</v>
      </c>
      <c r="K21" s="37" t="n">
        <f aca="false">(K14=1)*②시니어_가정!$D$38*②시니어_가정!$E$96*CHOOSE(MIN(MAX(K16,1),3),②시니어_가정!$E$104,②시니어_가정!$E$105,②시니어_가정!$E$106)*(②시니어_가정!$E$100+②시니어_가정!$E$99)/1000*(1+②시니어_가정!$E$101)^INT((K15-1)/②시니어_가정!$E$102)</f>
        <v>0</v>
      </c>
      <c r="L21" s="37" t="n">
        <f aca="false">(L14=1)*②시니어_가정!$D$38*②시니어_가정!$E$96*CHOOSE(MIN(MAX(L16,1),3),②시니어_가정!$E$104,②시니어_가정!$E$105,②시니어_가정!$E$106)*(②시니어_가정!$E$100+②시니어_가정!$E$99)/1000*(1+②시니어_가정!$E$101)^INT((L15-1)/②시니어_가정!$E$102)</f>
        <v>0</v>
      </c>
      <c r="M21" s="37" t="n">
        <f aca="false">(M14=1)*②시니어_가정!$D$38*②시니어_가정!$E$96*CHOOSE(MIN(MAX(M16,1),3),②시니어_가정!$E$104,②시니어_가정!$E$105,②시니어_가정!$E$106)*(②시니어_가정!$E$100+②시니어_가정!$E$99)/1000*(1+②시니어_가정!$E$101)^INT((M15-1)/②시니어_가정!$E$102)</f>
        <v>0</v>
      </c>
      <c r="N21" s="37" t="n">
        <f aca="false">(N14=1)*②시니어_가정!$D$38*②시니어_가정!$E$96*CHOOSE(MIN(MAX(N16,1),3),②시니어_가정!$E$104,②시니어_가정!$E$105,②시니어_가정!$E$106)*(②시니어_가정!$E$100+②시니어_가정!$E$99)/1000*(1+②시니어_가정!$E$101)^INT((N15-1)/②시니어_가정!$E$102)</f>
        <v>0</v>
      </c>
      <c r="O21" s="37" t="n">
        <f aca="false">(O14=1)*②시니어_가정!$D$38*②시니어_가정!$E$96*CHOOSE(MIN(MAX(O16,1),3),②시니어_가정!$E$104,②시니어_가정!$E$105,②시니어_가정!$E$106)*(②시니어_가정!$E$100+②시니어_가정!$E$99)/1000*(1+②시니어_가정!$E$101)^INT((O15-1)/②시니어_가정!$E$102)</f>
        <v>0</v>
      </c>
      <c r="P21" s="37" t="n">
        <f aca="false">(P14=1)*②시니어_가정!$D$38*②시니어_가정!$E$96*CHOOSE(MIN(MAX(P16,1),3),②시니어_가정!$E$104,②시니어_가정!$E$105,②시니어_가정!$E$106)*(②시니어_가정!$E$100+②시니어_가정!$E$99)/1000*(1+②시니어_가정!$E$101)^INT((P15-1)/②시니어_가정!$E$102)</f>
        <v>0</v>
      </c>
      <c r="Q21" s="37" t="n">
        <f aca="false">(Q14=1)*②시니어_가정!$D$38*②시니어_가정!$E$96*CHOOSE(MIN(MAX(Q16,1),3),②시니어_가정!$E$104,②시니어_가정!$E$105,②시니어_가정!$E$106)*(②시니어_가정!$E$100+②시니어_가정!$E$99)/1000*(1+②시니어_가정!$E$101)^INT((Q15-1)/②시니어_가정!$E$102)</f>
        <v>0</v>
      </c>
      <c r="R21" s="37" t="n">
        <f aca="false">(R14=1)*②시니어_가정!$D$38*②시니어_가정!$E$96*CHOOSE(MIN(MAX(R16,1),3),②시니어_가정!$E$104,②시니어_가정!$E$105,②시니어_가정!$E$106)*(②시니어_가정!$E$100+②시니어_가정!$E$99)/1000*(1+②시니어_가정!$E$101)^INT((R15-1)/②시니어_가정!$E$102)</f>
        <v>0</v>
      </c>
      <c r="S21" s="37" t="n">
        <f aca="false">(S14=1)*②시니어_가정!$D$38*②시니어_가정!$E$96*CHOOSE(MIN(MAX(S16,1),3),②시니어_가정!$E$104,②시니어_가정!$E$105,②시니어_가정!$E$106)*(②시니어_가정!$E$100+②시니어_가정!$E$99)/1000*(1+②시니어_가정!$E$101)^INT((S15-1)/②시니어_가정!$E$102)</f>
        <v>0</v>
      </c>
      <c r="T21" s="37" t="n">
        <f aca="false">(T14=1)*②시니어_가정!$D$38*②시니어_가정!$E$96*CHOOSE(MIN(MAX(T16,1),3),②시니어_가정!$E$104,②시니어_가정!$E$105,②시니어_가정!$E$106)*(②시니어_가정!$E$100+②시니어_가정!$E$99)/1000*(1+②시니어_가정!$E$101)^INT((T15-1)/②시니어_가정!$E$102)</f>
        <v>0</v>
      </c>
      <c r="U21" s="37" t="n">
        <f aca="false">(U14=1)*②시니어_가정!$D$38*②시니어_가정!$E$96*CHOOSE(MIN(MAX(U16,1),3),②시니어_가정!$E$104,②시니어_가정!$E$105,②시니어_가정!$E$106)*(②시니어_가정!$E$100+②시니어_가정!$E$99)/1000*(1+②시니어_가정!$E$101)^INT((U15-1)/②시니어_가정!$E$102)</f>
        <v>0</v>
      </c>
      <c r="V21" s="37" t="n">
        <f aca="false">(V14=1)*②시니어_가정!$D$38*②시니어_가정!$E$96*CHOOSE(MIN(MAX(V16,1),3),②시니어_가정!$E$104,②시니어_가정!$E$105,②시니어_가정!$E$106)*(②시니어_가정!$E$100+②시니어_가정!$E$99)/1000*(1+②시니어_가정!$E$101)^INT((V15-1)/②시니어_가정!$E$102)</f>
        <v>0</v>
      </c>
      <c r="W21" s="37" t="n">
        <f aca="false">(W14=1)*②시니어_가정!$D$38*②시니어_가정!$E$96*CHOOSE(MIN(MAX(W16,1),3),②시니어_가정!$E$104,②시니어_가정!$E$105,②시니어_가정!$E$106)*(②시니어_가정!$E$100+②시니어_가정!$E$99)/1000*(1+②시니어_가정!$E$101)^INT((W15-1)/②시니어_가정!$E$102)</f>
        <v>0</v>
      </c>
      <c r="X21" s="37" t="n">
        <f aca="false">(X14=1)*②시니어_가정!$D$38*②시니어_가정!$E$96*CHOOSE(MIN(MAX(X16,1),3),②시니어_가정!$E$104,②시니어_가정!$E$105,②시니어_가정!$E$106)*(②시니어_가정!$E$100+②시니어_가정!$E$99)/1000*(1+②시니어_가정!$E$101)^INT((X15-1)/②시니어_가정!$E$102)</f>
        <v>0</v>
      </c>
      <c r="Y21" s="37" t="n">
        <f aca="false">(Y14=1)*②시니어_가정!$D$38*②시니어_가정!$E$96*CHOOSE(MIN(MAX(Y16,1),3),②시니어_가정!$E$104,②시니어_가정!$E$105,②시니어_가정!$E$106)*(②시니어_가정!$E$100+②시니어_가정!$E$99)/1000*(1+②시니어_가정!$E$101)^INT((Y15-1)/②시니어_가정!$E$102)</f>
        <v>0</v>
      </c>
      <c r="Z21" s="37" t="n">
        <f aca="false">(Z14=1)*②시니어_가정!$D$38*②시니어_가정!$E$96*CHOOSE(MIN(MAX(Z16,1),3),②시니어_가정!$E$104,②시니어_가정!$E$105,②시니어_가정!$E$106)*(②시니어_가정!$E$100+②시니어_가정!$E$99)/1000*(1+②시니어_가정!$E$101)^INT((Z15-1)/②시니어_가정!$E$102)</f>
        <v>0</v>
      </c>
      <c r="AA21" s="37" t="n">
        <f aca="false">(AA14=1)*②시니어_가정!$D$38*②시니어_가정!$E$96*CHOOSE(MIN(MAX(AA16,1),3),②시니어_가정!$E$104,②시니어_가정!$E$105,②시니어_가정!$E$106)*(②시니어_가정!$E$100+②시니어_가정!$E$99)/1000*(1+②시니어_가정!$E$101)^INT((AA15-1)/②시니어_가정!$E$102)</f>
        <v>0</v>
      </c>
      <c r="AB21" s="37" t="n">
        <f aca="false">(AB14=1)*②시니어_가정!$D$38*②시니어_가정!$E$96*CHOOSE(MIN(MAX(AB16,1),3),②시니어_가정!$E$104,②시니어_가정!$E$105,②시니어_가정!$E$106)*(②시니어_가정!$E$100+②시니어_가정!$E$99)/1000*(1+②시니어_가정!$E$101)^INT((AB15-1)/②시니어_가정!$E$102)</f>
        <v>0</v>
      </c>
      <c r="AC21" s="37" t="n">
        <f aca="false">(AC14=1)*②시니어_가정!$D$38*②시니어_가정!$E$96*CHOOSE(MIN(MAX(AC16,1),3),②시니어_가정!$E$104,②시니어_가정!$E$105,②시니어_가정!$E$106)*(②시니어_가정!$E$100+②시니어_가정!$E$99)/1000*(1+②시니어_가정!$E$101)^INT((AC15-1)/②시니어_가정!$E$102)</f>
        <v>0</v>
      </c>
      <c r="AD21" s="37" t="n">
        <f aca="false">(AD14=1)*②시니어_가정!$D$38*②시니어_가정!$E$96*CHOOSE(MIN(MAX(AD16,1),3),②시니어_가정!$E$104,②시니어_가정!$E$105,②시니어_가정!$E$106)*(②시니어_가정!$E$100+②시니어_가정!$E$99)/1000*(1+②시니어_가정!$E$101)^INT((AD15-1)/②시니어_가정!$E$102)</f>
        <v>0</v>
      </c>
      <c r="AE21" s="37" t="n">
        <f aca="false">(AE14=1)*②시니어_가정!$D$38*②시니어_가정!$E$96*CHOOSE(MIN(MAX(AE16,1),3),②시니어_가정!$E$104,②시니어_가정!$E$105,②시니어_가정!$E$106)*(②시니어_가정!$E$100+②시니어_가정!$E$99)/1000*(1+②시니어_가정!$E$101)^INT((AE15-1)/②시니어_가정!$E$102)</f>
        <v>0</v>
      </c>
      <c r="AF21" s="37" t="n">
        <f aca="false">(AF14=1)*②시니어_가정!$D$38*②시니어_가정!$E$96*CHOOSE(MIN(MAX(AF16,1),3),②시니어_가정!$E$104,②시니어_가정!$E$105,②시니어_가정!$E$106)*(②시니어_가정!$E$100+②시니어_가정!$E$99)/1000*(1+②시니어_가정!$E$101)^INT((AF15-1)/②시니어_가정!$E$102)</f>
        <v>0</v>
      </c>
      <c r="AG21" s="37" t="n">
        <f aca="false">(AG14=1)*②시니어_가정!$D$38*②시니어_가정!$E$96*CHOOSE(MIN(MAX(AG16,1),3),②시니어_가정!$E$104,②시니어_가정!$E$105,②시니어_가정!$E$106)*(②시니어_가정!$E$100+②시니어_가정!$E$99)/1000*(1+②시니어_가정!$E$101)^INT((AG15-1)/②시니어_가정!$E$102)</f>
        <v>0</v>
      </c>
      <c r="AH21" s="37" t="n">
        <f aca="false">(AH14=1)*②시니어_가정!$D$38*②시니어_가정!$E$96*CHOOSE(MIN(MAX(AH16,1),3),②시니어_가정!$E$104,②시니어_가정!$E$105,②시니어_가정!$E$106)*(②시니어_가정!$E$100+②시니어_가정!$E$99)/1000*(1+②시니어_가정!$E$101)^INT((AH15-1)/②시니어_가정!$E$102)</f>
        <v>0</v>
      </c>
      <c r="AI21" s="37" t="n">
        <f aca="false">(AI14=1)*②시니어_가정!$D$38*②시니어_가정!$E$96*CHOOSE(MIN(MAX(AI16,1),3),②시니어_가정!$E$104,②시니어_가정!$E$105,②시니어_가정!$E$106)*(②시니어_가정!$E$100+②시니어_가정!$E$99)/1000*(1+②시니어_가정!$E$101)^INT((AI15-1)/②시니어_가정!$E$102)</f>
        <v>0</v>
      </c>
      <c r="AJ21" s="37" t="n">
        <f aca="false">(AJ14=1)*②시니어_가정!$D$38*②시니어_가정!$E$96*CHOOSE(MIN(MAX(AJ16,1),3),②시니어_가정!$E$104,②시니어_가정!$E$105,②시니어_가정!$E$106)*(②시니어_가정!$E$100+②시니어_가정!$E$99)/1000*(1+②시니어_가정!$E$101)^INT((AJ15-1)/②시니어_가정!$E$102)</f>
        <v>0</v>
      </c>
      <c r="AK21" s="37" t="n">
        <f aca="false">(AK14=1)*②시니어_가정!$D$38*②시니어_가정!$E$96*CHOOSE(MIN(MAX(AK16,1),3),②시니어_가정!$E$104,②시니어_가정!$E$105,②시니어_가정!$E$106)*(②시니어_가정!$E$100+②시니어_가정!$E$99)/1000*(1+②시니어_가정!$E$101)^INT((AK15-1)/②시니어_가정!$E$102)</f>
        <v>0</v>
      </c>
      <c r="AL21" s="37" t="n">
        <f aca="false">(AL14=1)*②시니어_가정!$D$38*②시니어_가정!$E$96*CHOOSE(MIN(MAX(AL16,1),3),②시니어_가정!$E$104,②시니어_가정!$E$105,②시니어_가정!$E$106)*(②시니어_가정!$E$100+②시니어_가정!$E$99)/1000*(1+②시니어_가정!$E$101)^INT((AL15-1)/②시니어_가정!$E$102)</f>
        <v>0</v>
      </c>
      <c r="AM21" s="37" t="n">
        <f aca="false">(AM14=1)*②시니어_가정!$D$38*②시니어_가정!$E$96*CHOOSE(MIN(MAX(AM16,1),3),②시니어_가정!$E$104,②시니어_가정!$E$105,②시니어_가정!$E$106)*(②시니어_가정!$E$100+②시니어_가정!$E$99)/1000*(1+②시니어_가정!$E$101)^INT((AM15-1)/②시니어_가정!$E$102)</f>
        <v>0</v>
      </c>
      <c r="AN21" s="37" t="n">
        <f aca="false">(AN14=1)*②시니어_가정!$D$38*②시니어_가정!$E$96*CHOOSE(MIN(MAX(AN16,1),3),②시니어_가정!$E$104,②시니어_가정!$E$105,②시니어_가정!$E$106)*(②시니어_가정!$E$100+②시니어_가정!$E$99)/1000*(1+②시니어_가정!$E$101)^INT((AN15-1)/②시니어_가정!$E$102)</f>
        <v>0</v>
      </c>
      <c r="AO21" s="37" t="n">
        <f aca="false">(AO14=1)*②시니어_가정!$D$38*②시니어_가정!$E$96*CHOOSE(MIN(MAX(AO16,1),3),②시니어_가정!$E$104,②시니어_가정!$E$105,②시니어_가정!$E$106)*(②시니어_가정!$E$100+②시니어_가정!$E$99)/1000*(1+②시니어_가정!$E$101)^INT((AO15-1)/②시니어_가정!$E$102)</f>
        <v>0</v>
      </c>
      <c r="AP21" s="37" t="n">
        <f aca="false">(AP14=1)*②시니어_가정!$D$38*②시니어_가정!$E$96*CHOOSE(MIN(MAX(AP16,1),3),②시니어_가정!$E$104,②시니어_가정!$E$105,②시니어_가정!$E$106)*(②시니어_가정!$E$100+②시니어_가정!$E$99)/1000*(1+②시니어_가정!$E$101)^INT((AP15-1)/②시니어_가정!$E$102)</f>
        <v>0</v>
      </c>
      <c r="AQ21" s="37" t="n">
        <f aca="false">(AQ14=1)*②시니어_가정!$D$38*②시니어_가정!$E$96*CHOOSE(MIN(MAX(AQ16,1),3),②시니어_가정!$E$104,②시니어_가정!$E$105,②시니어_가정!$E$106)*(②시니어_가정!$E$100+②시니어_가정!$E$99)/1000*(1+②시니어_가정!$E$101)^INT((AQ15-1)/②시니어_가정!$E$102)</f>
        <v>0</v>
      </c>
      <c r="AR21" s="37" t="n">
        <f aca="false">(AR14=1)*②시니어_가정!$D$38*②시니어_가정!$E$96*CHOOSE(MIN(MAX(AR16,1),3),②시니어_가정!$E$104,②시니어_가정!$E$105,②시니어_가정!$E$106)*(②시니어_가정!$E$100+②시니어_가정!$E$99)/1000*(1+②시니어_가정!$E$101)^INT((AR15-1)/②시니어_가정!$E$102)</f>
        <v>0</v>
      </c>
      <c r="AS21" s="37" t="n">
        <f aca="false">(AS14=1)*②시니어_가정!$D$38*②시니어_가정!$E$96*CHOOSE(MIN(MAX(AS16,1),3),②시니어_가정!$E$104,②시니어_가정!$E$105,②시니어_가정!$E$106)*(②시니어_가정!$E$100+②시니어_가정!$E$99)/1000*(1+②시니어_가정!$E$101)^INT((AS15-1)/②시니어_가정!$E$102)</f>
        <v>0</v>
      </c>
      <c r="AT21" s="37" t="n">
        <f aca="false">(AT14=1)*②시니어_가정!$D$38*②시니어_가정!$E$96*CHOOSE(MIN(MAX(AT16,1),3),②시니어_가정!$E$104,②시니어_가정!$E$105,②시니어_가정!$E$106)*(②시니어_가정!$E$100+②시니어_가정!$E$99)/1000*(1+②시니어_가정!$E$101)^INT((AT15-1)/②시니어_가정!$E$102)</f>
        <v>0</v>
      </c>
      <c r="AU21" s="37" t="n">
        <f aca="false">(AU14=1)*②시니어_가정!$D$38*②시니어_가정!$E$96*CHOOSE(MIN(MAX(AU16,1),3),②시니어_가정!$E$104,②시니어_가정!$E$105,②시니어_가정!$E$106)*(②시니어_가정!$E$100+②시니어_가정!$E$99)/1000*(1+②시니어_가정!$E$101)^INT((AU15-1)/②시니어_가정!$E$102)</f>
        <v>0</v>
      </c>
      <c r="AV21" s="37" t="n">
        <f aca="false">(AV14=1)*②시니어_가정!$D$38*②시니어_가정!$E$96*CHOOSE(MIN(MAX(AV16,1),3),②시니어_가정!$E$104,②시니어_가정!$E$105,②시니어_가정!$E$106)*(②시니어_가정!$E$100+②시니어_가정!$E$99)/1000*(1+②시니어_가정!$E$101)^INT((AV15-1)/②시니어_가정!$E$102)</f>
        <v>0</v>
      </c>
      <c r="AW21" s="37" t="n">
        <f aca="false">(AW14=1)*②시니어_가정!$D$38*②시니어_가정!$E$96*CHOOSE(MIN(MAX(AW16,1),3),②시니어_가정!$E$104,②시니어_가정!$E$105,②시니어_가정!$E$106)*(②시니어_가정!$E$100+②시니어_가정!$E$99)/1000*(1+②시니어_가정!$E$101)^INT((AW15-1)/②시니어_가정!$E$102)</f>
        <v>0</v>
      </c>
      <c r="AX21" s="37" t="n">
        <f aca="false">(AX14=1)*②시니어_가정!$D$38*②시니어_가정!$E$96*CHOOSE(MIN(MAX(AX16,1),3),②시니어_가정!$E$104,②시니어_가정!$E$105,②시니어_가정!$E$106)*(②시니어_가정!$E$100+②시니어_가정!$E$99)/1000*(1+②시니어_가정!$E$101)^INT((AX15-1)/②시니어_가정!$E$102)</f>
        <v>0</v>
      </c>
      <c r="AY21" s="37" t="n">
        <f aca="false">(AY14=1)*②시니어_가정!$D$38*②시니어_가정!$E$96*CHOOSE(MIN(MAX(AY16,1),3),②시니어_가정!$E$104,②시니어_가정!$E$105,②시니어_가정!$E$106)*(②시니어_가정!$E$100+②시니어_가정!$E$99)/1000*(1+②시니어_가정!$E$101)^INT((AY15-1)/②시니어_가정!$E$102)</f>
        <v>0</v>
      </c>
      <c r="AZ21" s="37" t="n">
        <f aca="false">(AZ14=1)*②시니어_가정!$D$38*②시니어_가정!$E$96*CHOOSE(MIN(MAX(AZ16,1),3),②시니어_가정!$E$104,②시니어_가정!$E$105,②시니어_가정!$E$106)*(②시니어_가정!$E$100+②시니어_가정!$E$99)/1000*(1+②시니어_가정!$E$101)^INT((AZ15-1)/②시니어_가정!$E$102)</f>
        <v>0</v>
      </c>
      <c r="BA21" s="37" t="n">
        <f aca="false">(BA14=1)*②시니어_가정!$D$38*②시니어_가정!$E$96*CHOOSE(MIN(MAX(BA16,1),3),②시니어_가정!$E$104,②시니어_가정!$E$105,②시니어_가정!$E$106)*(②시니어_가정!$E$100+②시니어_가정!$E$99)/1000*(1+②시니어_가정!$E$101)^INT((BA15-1)/②시니어_가정!$E$102)</f>
        <v>0</v>
      </c>
      <c r="BB21" s="37" t="n">
        <f aca="false">(BB14=1)*②시니어_가정!$D$38*②시니어_가정!$E$96*CHOOSE(MIN(MAX(BB16,1),3),②시니어_가정!$E$104,②시니어_가정!$E$105,②시니어_가정!$E$106)*(②시니어_가정!$E$100+②시니어_가정!$E$99)/1000*(1+②시니어_가정!$E$101)^INT((BB15-1)/②시니어_가정!$E$102)</f>
        <v>0</v>
      </c>
      <c r="BC21" s="37" t="n">
        <f aca="false">(BC14=1)*②시니어_가정!$D$38*②시니어_가정!$E$96*CHOOSE(MIN(MAX(BC16,1),3),②시니어_가정!$E$104,②시니어_가정!$E$105,②시니어_가정!$E$106)*(②시니어_가정!$E$100+②시니어_가정!$E$99)/1000*(1+②시니어_가정!$E$101)^INT((BC15-1)/②시니어_가정!$E$102)</f>
        <v>0</v>
      </c>
      <c r="BD21" s="37" t="n">
        <f aca="false">(BD14=1)*②시니어_가정!$D$38*②시니어_가정!$E$96*CHOOSE(MIN(MAX(BD16,1),3),②시니어_가정!$E$104,②시니어_가정!$E$105,②시니어_가정!$E$106)*(②시니어_가정!$E$100+②시니어_가정!$E$99)/1000*(1+②시니어_가정!$E$101)^INT((BD15-1)/②시니어_가정!$E$102)</f>
        <v>0</v>
      </c>
      <c r="BE21" s="37" t="n">
        <f aca="false">(BE14=1)*②시니어_가정!$D$38*②시니어_가정!$E$96*CHOOSE(MIN(MAX(BE16,1),3),②시니어_가정!$E$104,②시니어_가정!$E$105,②시니어_가정!$E$106)*(②시니어_가정!$E$100+②시니어_가정!$E$99)/1000*(1+②시니어_가정!$E$101)^INT((BE15-1)/②시니어_가정!$E$102)</f>
        <v>0</v>
      </c>
      <c r="BF21" s="37" t="n">
        <f aca="false">(BF14=1)*②시니어_가정!$D$38*②시니어_가정!$E$96*CHOOSE(MIN(MAX(BF16,1),3),②시니어_가정!$E$104,②시니어_가정!$E$105,②시니어_가정!$E$106)*(②시니어_가정!$E$100+②시니어_가정!$E$99)/1000*(1+②시니어_가정!$E$101)^INT((BF15-1)/②시니어_가정!$E$102)</f>
        <v>0</v>
      </c>
      <c r="BG21" s="37" t="n">
        <f aca="false">(BG14=1)*②시니어_가정!$D$38*②시니어_가정!$E$96*CHOOSE(MIN(MAX(BG16,1),3),②시니어_가정!$E$104,②시니어_가정!$E$105,②시니어_가정!$E$106)*(②시니어_가정!$E$100+②시니어_가정!$E$99)/1000*(1+②시니어_가정!$E$101)^INT((BG15-1)/②시니어_가정!$E$102)</f>
        <v>0</v>
      </c>
      <c r="BH21" s="37" t="n">
        <f aca="false">(BH14=1)*②시니어_가정!$D$38*②시니어_가정!$E$96*CHOOSE(MIN(MAX(BH16,1),3),②시니어_가정!$E$104,②시니어_가정!$E$105,②시니어_가정!$E$106)*(②시니어_가정!$E$100+②시니어_가정!$E$99)/1000*(1+②시니어_가정!$E$101)^INT((BH15-1)/②시니어_가정!$E$102)</f>
        <v>0</v>
      </c>
      <c r="BI21" s="37" t="n">
        <f aca="false">(BI14=1)*②시니어_가정!$D$38*②시니어_가정!$E$96*CHOOSE(MIN(MAX(BI16,1),3),②시니어_가정!$E$104,②시니어_가정!$E$105,②시니어_가정!$E$106)*(②시니어_가정!$E$100+②시니어_가정!$E$99)/1000*(1+②시니어_가정!$E$101)^INT((BI15-1)/②시니어_가정!$E$102)</f>
        <v>0</v>
      </c>
      <c r="BJ21" s="37" t="n">
        <f aca="false">(BJ14=1)*②시니어_가정!$D$38*②시니어_가정!$E$96*CHOOSE(MIN(MAX(BJ16,1),3),②시니어_가정!$E$104,②시니어_가정!$E$105,②시니어_가정!$E$106)*(②시니어_가정!$E$100+②시니어_가정!$E$99)/1000*(1+②시니어_가정!$E$101)^INT((BJ15-1)/②시니어_가정!$E$102)</f>
        <v>0</v>
      </c>
      <c r="BK21" s="37" t="n">
        <f aca="false">(BK14=1)*②시니어_가정!$D$38*②시니어_가정!$E$96*CHOOSE(MIN(MAX(BK16,1),3),②시니어_가정!$E$104,②시니어_가정!$E$105,②시니어_가정!$E$106)*(②시니어_가정!$E$100+②시니어_가정!$E$99)/1000*(1+②시니어_가정!$E$101)^INT((BK15-1)/②시니어_가정!$E$102)</f>
        <v>0</v>
      </c>
      <c r="BL21" s="37" t="n">
        <f aca="false">(BL14=1)*②시니어_가정!$D$38*②시니어_가정!$E$96*CHOOSE(MIN(MAX(BL16,1),3),②시니어_가정!$E$104,②시니어_가정!$E$105,②시니어_가정!$E$106)*(②시니어_가정!$E$100+②시니어_가정!$E$99)/1000*(1+②시니어_가정!$E$101)^INT((BL15-1)/②시니어_가정!$E$102)</f>
        <v>0</v>
      </c>
      <c r="BM21" s="37" t="n">
        <f aca="false">(BM14=1)*②시니어_가정!$D$38*②시니어_가정!$E$96*CHOOSE(MIN(MAX(BM16,1),3),②시니어_가정!$E$104,②시니어_가정!$E$105,②시니어_가정!$E$106)*(②시니어_가정!$E$100+②시니어_가정!$E$99)/1000*(1+②시니어_가정!$E$101)^INT((BM15-1)/②시니어_가정!$E$102)</f>
        <v>1296</v>
      </c>
      <c r="BN21" s="37" t="n">
        <f aca="false">(BN14=1)*②시니어_가정!$D$38*②시니어_가정!$E$96*CHOOSE(MIN(MAX(BN16,1),3),②시니어_가정!$E$104,②시니어_가정!$E$105,②시니어_가정!$E$106)*(②시니어_가정!$E$100+②시니어_가정!$E$99)/1000*(1+②시니어_가정!$E$101)^INT((BN15-1)/②시니어_가정!$E$102)</f>
        <v>1296</v>
      </c>
      <c r="BO21" s="37" t="n">
        <f aca="false">(BO14=1)*②시니어_가정!$D$38*②시니어_가정!$E$96*CHOOSE(MIN(MAX(BO16,1),3),②시니어_가정!$E$104,②시니어_가정!$E$105,②시니어_가정!$E$106)*(②시니어_가정!$E$100+②시니어_가정!$E$99)/1000*(1+②시니어_가정!$E$101)^INT((BO15-1)/②시니어_가정!$E$102)</f>
        <v>1296</v>
      </c>
      <c r="BP21" s="37" t="n">
        <f aca="false">(BP14=1)*②시니어_가정!$D$38*②시니어_가정!$E$96*CHOOSE(MIN(MAX(BP16,1),3),②시니어_가정!$E$104,②시니어_가정!$E$105,②시니어_가정!$E$106)*(②시니어_가정!$E$100+②시니어_가정!$E$99)/1000*(1+②시니어_가정!$E$101)^INT((BP15-1)/②시니어_가정!$E$102)</f>
        <v>1296</v>
      </c>
      <c r="BQ21" s="37" t="n">
        <f aca="false">(BQ14=1)*②시니어_가정!$D$38*②시니어_가정!$E$96*CHOOSE(MIN(MAX(BQ16,1),3),②시니어_가정!$E$104,②시니어_가정!$E$105,②시니어_가정!$E$106)*(②시니어_가정!$E$100+②시니어_가정!$E$99)/1000*(1+②시니어_가정!$E$101)^INT((BQ15-1)/②시니어_가정!$E$102)</f>
        <v>1296</v>
      </c>
      <c r="BR21" s="37" t="n">
        <f aca="false">(BR14=1)*②시니어_가정!$D$38*②시니어_가정!$E$96*CHOOSE(MIN(MAX(BR16,1),3),②시니어_가정!$E$104,②시니어_가정!$E$105,②시니어_가정!$E$106)*(②시니어_가정!$E$100+②시니어_가정!$E$99)/1000*(1+②시니어_가정!$E$101)^INT((BR15-1)/②시니어_가정!$E$102)</f>
        <v>1296</v>
      </c>
      <c r="BS21" s="37" t="n">
        <f aca="false">(BS14=1)*②시니어_가정!$D$38*②시니어_가정!$E$96*CHOOSE(MIN(MAX(BS16,1),3),②시니어_가정!$E$104,②시니어_가정!$E$105,②시니어_가정!$E$106)*(②시니어_가정!$E$100+②시니어_가정!$E$99)/1000*(1+②시니어_가정!$E$101)^INT((BS15-1)/②시니어_가정!$E$102)</f>
        <v>1296</v>
      </c>
      <c r="BT21" s="37" t="n">
        <f aca="false">(BT14=1)*②시니어_가정!$D$38*②시니어_가정!$E$96*CHOOSE(MIN(MAX(BT16,1),3),②시니어_가정!$E$104,②시니어_가정!$E$105,②시니어_가정!$E$106)*(②시니어_가정!$E$100+②시니어_가정!$E$99)/1000*(1+②시니어_가정!$E$101)^INT((BT15-1)/②시니어_가정!$E$102)</f>
        <v>1296</v>
      </c>
      <c r="BU21" s="37" t="n">
        <f aca="false">(BU14=1)*②시니어_가정!$D$38*②시니어_가정!$E$96*CHOOSE(MIN(MAX(BU16,1),3),②시니어_가정!$E$104,②시니어_가정!$E$105,②시니어_가정!$E$106)*(②시니어_가정!$E$100+②시니어_가정!$E$99)/1000*(1+②시니어_가정!$E$101)^INT((BU15-1)/②시니어_가정!$E$102)</f>
        <v>1296</v>
      </c>
      <c r="BV21" s="37" t="n">
        <f aca="false">(BV14=1)*②시니어_가정!$D$38*②시니어_가정!$E$96*CHOOSE(MIN(MAX(BV16,1),3),②시니어_가정!$E$104,②시니어_가정!$E$105,②시니어_가정!$E$106)*(②시니어_가정!$E$100+②시니어_가정!$E$99)/1000*(1+②시니어_가정!$E$101)^INT((BV15-1)/②시니어_가정!$E$102)</f>
        <v>1296</v>
      </c>
      <c r="BW21" s="37" t="n">
        <f aca="false">(BW14=1)*②시니어_가정!$D$38*②시니어_가정!$E$96*CHOOSE(MIN(MAX(BW16,1),3),②시니어_가정!$E$104,②시니어_가정!$E$105,②시니어_가정!$E$106)*(②시니어_가정!$E$100+②시니어_가정!$E$99)/1000*(1+②시니어_가정!$E$101)^INT((BW15-1)/②시니어_가정!$E$102)</f>
        <v>1296</v>
      </c>
      <c r="BX21" s="37" t="n">
        <f aca="false">(BX14=1)*②시니어_가정!$D$38*②시니어_가정!$E$96*CHOOSE(MIN(MAX(BX16,1),3),②시니어_가정!$E$104,②시니어_가정!$E$105,②시니어_가정!$E$106)*(②시니어_가정!$E$100+②시니어_가정!$E$99)/1000*(1+②시니어_가정!$E$101)^INT((BX15-1)/②시니어_가정!$E$102)</f>
        <v>1296</v>
      </c>
      <c r="BY21" s="37" t="n">
        <f aca="false">(BY14=1)*②시니어_가정!$D$38*②시니어_가정!$E$96*CHOOSE(MIN(MAX(BY16,1),3),②시니어_가정!$E$104,②시니어_가정!$E$105,②시니어_가정!$E$106)*(②시니어_가정!$E$100+②시니어_가정!$E$99)/1000*(1+②시니어_가정!$E$101)^INT((BY15-1)/②시니어_가정!$E$102)</f>
        <v>1652.4</v>
      </c>
      <c r="BZ21" s="37" t="n">
        <f aca="false">(BZ14=1)*②시니어_가정!$D$38*②시니어_가정!$E$96*CHOOSE(MIN(MAX(BZ16,1),3),②시니어_가정!$E$104,②시니어_가정!$E$105,②시니어_가정!$E$106)*(②시니어_가정!$E$100+②시니어_가정!$E$99)/1000*(1+②시니어_가정!$E$101)^INT((BZ15-1)/②시니어_가정!$E$102)</f>
        <v>1652.4</v>
      </c>
      <c r="CA21" s="37" t="n">
        <f aca="false">(CA14=1)*②시니어_가정!$D$38*②시니어_가정!$E$96*CHOOSE(MIN(MAX(CA16,1),3),②시니어_가정!$E$104,②시니어_가정!$E$105,②시니어_가정!$E$106)*(②시니어_가정!$E$100+②시니어_가정!$E$99)/1000*(1+②시니어_가정!$E$101)^INT((CA15-1)/②시니어_가정!$E$102)</f>
        <v>1652.4</v>
      </c>
      <c r="CB21" s="37" t="n">
        <f aca="false">(CB14=1)*②시니어_가정!$D$38*②시니어_가정!$E$96*CHOOSE(MIN(MAX(CB16,1),3),②시니어_가정!$E$104,②시니어_가정!$E$105,②시니어_가정!$E$106)*(②시니어_가정!$E$100+②시니어_가정!$E$99)/1000*(1+②시니어_가정!$E$101)^INT((CB15-1)/②시니어_가정!$E$102)</f>
        <v>1652.4</v>
      </c>
      <c r="CC21" s="37" t="n">
        <f aca="false">(CC14=1)*②시니어_가정!$D$38*②시니어_가정!$E$96*CHOOSE(MIN(MAX(CC16,1),3),②시니어_가정!$E$104,②시니어_가정!$E$105,②시니어_가정!$E$106)*(②시니어_가정!$E$100+②시니어_가정!$E$99)/1000*(1+②시니어_가정!$E$101)^INT((CC15-1)/②시니어_가정!$E$102)</f>
        <v>1652.4</v>
      </c>
      <c r="CD21" s="37" t="n">
        <f aca="false">(CD14=1)*②시니어_가정!$D$38*②시니어_가정!$E$96*CHOOSE(MIN(MAX(CD16,1),3),②시니어_가정!$E$104,②시니어_가정!$E$105,②시니어_가정!$E$106)*(②시니어_가정!$E$100+②시니어_가정!$E$99)/1000*(1+②시니어_가정!$E$101)^INT((CD15-1)/②시니어_가정!$E$102)</f>
        <v>1652.4</v>
      </c>
      <c r="CE21" s="37" t="n">
        <f aca="false">(CE14=1)*②시니어_가정!$D$38*②시니어_가정!$E$96*CHOOSE(MIN(MAX(CE16,1),3),②시니어_가정!$E$104,②시니어_가정!$E$105,②시니어_가정!$E$106)*(②시니어_가정!$E$100+②시니어_가정!$E$99)/1000*(1+②시니어_가정!$E$101)^INT((CE15-1)/②시니어_가정!$E$102)</f>
        <v>1652.4</v>
      </c>
      <c r="CF21" s="37" t="n">
        <f aca="false">(CF14=1)*②시니어_가정!$D$38*②시니어_가정!$E$96*CHOOSE(MIN(MAX(CF16,1),3),②시니어_가정!$E$104,②시니어_가정!$E$105,②시니어_가정!$E$106)*(②시니어_가정!$E$100+②시니어_가정!$E$99)/1000*(1+②시니어_가정!$E$101)^INT((CF15-1)/②시니어_가정!$E$102)</f>
        <v>1652.4</v>
      </c>
      <c r="CG21" s="37" t="n">
        <f aca="false">(CG14=1)*②시니어_가정!$D$38*②시니어_가정!$E$96*CHOOSE(MIN(MAX(CG16,1),3),②시니어_가정!$E$104,②시니어_가정!$E$105,②시니어_가정!$E$106)*(②시니어_가정!$E$100+②시니어_가정!$E$99)/1000*(1+②시니어_가정!$E$101)^INT((CG15-1)/②시니어_가정!$E$102)</f>
        <v>1652.4</v>
      </c>
      <c r="CH21" s="37" t="n">
        <f aca="false">(CH14=1)*②시니어_가정!$D$38*②시니어_가정!$E$96*CHOOSE(MIN(MAX(CH16,1),3),②시니어_가정!$E$104,②시니어_가정!$E$105,②시니어_가정!$E$106)*(②시니어_가정!$E$100+②시니어_가정!$E$99)/1000*(1+②시니어_가정!$E$101)^INT((CH15-1)/②시니어_가정!$E$102)</f>
        <v>1652.4</v>
      </c>
      <c r="CI21" s="37" t="n">
        <f aca="false">(CI14=1)*②시니어_가정!$D$38*②시니어_가정!$E$96*CHOOSE(MIN(MAX(CI16,1),3),②시니어_가정!$E$104,②시니어_가정!$E$105,②시니어_가정!$E$106)*(②시니어_가정!$E$100+②시니어_가정!$E$99)/1000*(1+②시니어_가정!$E$101)^INT((CI15-1)/②시니어_가정!$E$102)</f>
        <v>1652.4</v>
      </c>
      <c r="CJ21" s="37" t="n">
        <f aca="false">(CJ14=1)*②시니어_가정!$D$38*②시니어_가정!$E$96*CHOOSE(MIN(MAX(CJ16,1),3),②시니어_가정!$E$104,②시니어_가정!$E$105,②시니어_가정!$E$106)*(②시니어_가정!$E$100+②시니어_가정!$E$99)/1000*(1+②시니어_가정!$E$101)^INT((CJ15-1)/②시니어_가정!$E$102)</f>
        <v>1652.4</v>
      </c>
      <c r="CK21" s="37" t="n">
        <f aca="false">(CK14=1)*②시니어_가정!$D$38*②시니어_가정!$E$96*CHOOSE(MIN(MAX(CK16,1),3),②시니어_가정!$E$104,②시니어_가정!$E$105,②시니어_가정!$E$106)*(②시니어_가정!$E$100+②시니어_가정!$E$99)/1000*(1+②시니어_가정!$E$101)^INT((CK15-1)/②시니어_가정!$E$102)</f>
        <v>1685.448</v>
      </c>
      <c r="CL21" s="37" t="n">
        <f aca="false">(CL14=1)*②시니어_가정!$D$38*②시니어_가정!$E$96*CHOOSE(MIN(MAX(CL16,1),3),②시니어_가정!$E$104,②시니어_가정!$E$105,②시니어_가정!$E$106)*(②시니어_가정!$E$100+②시니어_가정!$E$99)/1000*(1+②시니어_가정!$E$101)^INT((CL15-1)/②시니어_가정!$E$102)</f>
        <v>1685.448</v>
      </c>
      <c r="CM21" s="37" t="n">
        <f aca="false">(CM14=1)*②시니어_가정!$D$38*②시니어_가정!$E$96*CHOOSE(MIN(MAX(CM16,1),3),②시니어_가정!$E$104,②시니어_가정!$E$105,②시니어_가정!$E$106)*(②시니어_가정!$E$100+②시니어_가정!$E$99)/1000*(1+②시니어_가정!$E$101)^INT((CM15-1)/②시니어_가정!$E$102)</f>
        <v>1685.448</v>
      </c>
      <c r="CN21" s="37" t="n">
        <f aca="false">(CN14=1)*②시니어_가정!$D$38*②시니어_가정!$E$96*CHOOSE(MIN(MAX(CN16,1),3),②시니어_가정!$E$104,②시니어_가정!$E$105,②시니어_가정!$E$106)*(②시니어_가정!$E$100+②시니어_가정!$E$99)/1000*(1+②시니어_가정!$E$101)^INT((CN15-1)/②시니어_가정!$E$102)</f>
        <v>1685.448</v>
      </c>
      <c r="CO21" s="37" t="n">
        <f aca="false">(CO14=1)*②시니어_가정!$D$38*②시니어_가정!$E$96*CHOOSE(MIN(MAX(CO16,1),3),②시니어_가정!$E$104,②시니어_가정!$E$105,②시니어_가정!$E$106)*(②시니어_가정!$E$100+②시니어_가정!$E$99)/1000*(1+②시니어_가정!$E$101)^INT((CO15-1)/②시니어_가정!$E$102)</f>
        <v>1685.448</v>
      </c>
      <c r="CP21" s="37" t="n">
        <f aca="false">(CP14=1)*②시니어_가정!$D$38*②시니어_가정!$E$96*CHOOSE(MIN(MAX(CP16,1),3),②시니어_가정!$E$104,②시니어_가정!$E$105,②시니어_가정!$E$106)*(②시니어_가정!$E$100+②시니어_가정!$E$99)/1000*(1+②시니어_가정!$E$101)^INT((CP15-1)/②시니어_가정!$E$102)</f>
        <v>1685.448</v>
      </c>
      <c r="CQ21" s="37" t="n">
        <f aca="false">(CQ14=1)*②시니어_가정!$D$38*②시니어_가정!$E$96*CHOOSE(MIN(MAX(CQ16,1),3),②시니어_가정!$E$104,②시니어_가정!$E$105,②시니어_가정!$E$106)*(②시니어_가정!$E$100+②시니어_가정!$E$99)/1000*(1+②시니어_가정!$E$101)^INT((CQ15-1)/②시니어_가정!$E$102)</f>
        <v>1685.448</v>
      </c>
      <c r="CR21" s="37" t="n">
        <f aca="false">(CR14=1)*②시니어_가정!$D$38*②시니어_가정!$E$96*CHOOSE(MIN(MAX(CR16,1),3),②시니어_가정!$E$104,②시니어_가정!$E$105,②시니어_가정!$E$106)*(②시니어_가정!$E$100+②시니어_가정!$E$99)/1000*(1+②시니어_가정!$E$101)^INT((CR15-1)/②시니어_가정!$E$102)</f>
        <v>1685.448</v>
      </c>
      <c r="CS21" s="37" t="n">
        <f aca="false">(CS14=1)*②시니어_가정!$D$38*②시니어_가정!$E$96*CHOOSE(MIN(MAX(CS16,1),3),②시니어_가정!$E$104,②시니어_가정!$E$105,②시니어_가정!$E$106)*(②시니어_가정!$E$100+②시니어_가정!$E$99)/1000*(1+②시니어_가정!$E$101)^INT((CS15-1)/②시니어_가정!$E$102)</f>
        <v>1685.448</v>
      </c>
      <c r="CT21" s="37" t="n">
        <f aca="false">(CT14=1)*②시니어_가정!$D$38*②시니어_가정!$E$96*CHOOSE(MIN(MAX(CT16,1),3),②시니어_가정!$E$104,②시니어_가정!$E$105,②시니어_가정!$E$106)*(②시니어_가정!$E$100+②시니어_가정!$E$99)/1000*(1+②시니어_가정!$E$101)^INT((CT15-1)/②시니어_가정!$E$102)</f>
        <v>1685.448</v>
      </c>
      <c r="CU21" s="37" t="n">
        <f aca="false">(CU14=1)*②시니어_가정!$D$38*②시니어_가정!$E$96*CHOOSE(MIN(MAX(CU16,1),3),②시니어_가정!$E$104,②시니어_가정!$E$105,②시니어_가정!$E$106)*(②시니어_가정!$E$100+②시니어_가정!$E$99)/1000*(1+②시니어_가정!$E$101)^INT((CU15-1)/②시니어_가정!$E$102)</f>
        <v>1685.448</v>
      </c>
      <c r="CV21" s="37" t="n">
        <f aca="false">(CV14=1)*②시니어_가정!$D$38*②시니어_가정!$E$96*CHOOSE(MIN(MAX(CV16,1),3),②시니어_가정!$E$104,②시니어_가정!$E$105,②시니어_가정!$E$106)*(②시니어_가정!$E$100+②시니어_가정!$E$99)/1000*(1+②시니어_가정!$E$101)^INT((CV15-1)/②시니어_가정!$E$102)</f>
        <v>1685.448</v>
      </c>
      <c r="CW21" s="37" t="n">
        <f aca="false">(CW14=1)*②시니어_가정!$D$38*②시니어_가정!$E$96*CHOOSE(MIN(MAX(CW16,1),3),②시니어_가정!$E$104,②시니어_가정!$E$105,②시니어_가정!$E$106)*(②시니어_가정!$E$100+②시니어_가정!$E$99)/1000*(1+②시니어_가정!$E$101)^INT((CW15-1)/②시니어_가정!$E$102)</f>
        <v>1719.15696</v>
      </c>
      <c r="CX21" s="37" t="n">
        <f aca="false">(CX14=1)*②시니어_가정!$D$38*②시니어_가정!$E$96*CHOOSE(MIN(MAX(CX16,1),3),②시니어_가정!$E$104,②시니어_가정!$E$105,②시니어_가정!$E$106)*(②시니어_가정!$E$100+②시니어_가정!$E$99)/1000*(1+②시니어_가정!$E$101)^INT((CX15-1)/②시니어_가정!$E$102)</f>
        <v>1719.15696</v>
      </c>
      <c r="CY21" s="37" t="n">
        <f aca="false">(CY14=1)*②시니어_가정!$D$38*②시니어_가정!$E$96*CHOOSE(MIN(MAX(CY16,1),3),②시니어_가정!$E$104,②시니어_가정!$E$105,②시니어_가정!$E$106)*(②시니어_가정!$E$100+②시니어_가정!$E$99)/1000*(1+②시니어_가정!$E$101)^INT((CY15-1)/②시니어_가정!$E$102)</f>
        <v>1719.15696</v>
      </c>
      <c r="CZ21" s="37" t="n">
        <f aca="false">(CZ14=1)*②시니어_가정!$D$38*②시니어_가정!$E$96*CHOOSE(MIN(MAX(CZ16,1),3),②시니어_가정!$E$104,②시니어_가정!$E$105,②시니어_가정!$E$106)*(②시니어_가정!$E$100+②시니어_가정!$E$99)/1000*(1+②시니어_가정!$E$101)^INT((CZ15-1)/②시니어_가정!$E$102)</f>
        <v>1719.15696</v>
      </c>
      <c r="DA21" s="37" t="n">
        <f aca="false">(DA14=1)*②시니어_가정!$D$38*②시니어_가정!$E$96*CHOOSE(MIN(MAX(DA16,1),3),②시니어_가정!$E$104,②시니어_가정!$E$105,②시니어_가정!$E$106)*(②시니어_가정!$E$100+②시니어_가정!$E$99)/1000*(1+②시니어_가정!$E$101)^INT((DA15-1)/②시니어_가정!$E$102)</f>
        <v>1719.15696</v>
      </c>
      <c r="DB21" s="37" t="n">
        <f aca="false">(DB14=1)*②시니어_가정!$D$38*②시니어_가정!$E$96*CHOOSE(MIN(MAX(DB16,1),3),②시니어_가정!$E$104,②시니어_가정!$E$105,②시니어_가정!$E$106)*(②시니어_가정!$E$100+②시니어_가정!$E$99)/1000*(1+②시니어_가정!$E$101)^INT((DB15-1)/②시니어_가정!$E$102)</f>
        <v>1719.15696</v>
      </c>
      <c r="DC21" s="37" t="n">
        <f aca="false">(DC14=1)*②시니어_가정!$D$38*②시니어_가정!$E$96*CHOOSE(MIN(MAX(DC16,1),3),②시니어_가정!$E$104,②시니어_가정!$E$105,②시니어_가정!$E$106)*(②시니어_가정!$E$100+②시니어_가정!$E$99)/1000*(1+②시니어_가정!$E$101)^INT((DC15-1)/②시니어_가정!$E$102)</f>
        <v>1719.15696</v>
      </c>
      <c r="DD21" s="37" t="n">
        <f aca="false">(DD14=1)*②시니어_가정!$D$38*②시니어_가정!$E$96*CHOOSE(MIN(MAX(DD16,1),3),②시니어_가정!$E$104,②시니어_가정!$E$105,②시니어_가정!$E$106)*(②시니어_가정!$E$100+②시니어_가정!$E$99)/1000*(1+②시니어_가정!$E$101)^INT((DD15-1)/②시니어_가정!$E$102)</f>
        <v>1719.15696</v>
      </c>
      <c r="DE21" s="37" t="n">
        <f aca="false">(DE14=1)*②시니어_가정!$D$38*②시니어_가정!$E$96*CHOOSE(MIN(MAX(DE16,1),3),②시니어_가정!$E$104,②시니어_가정!$E$105,②시니어_가정!$E$106)*(②시니어_가정!$E$100+②시니어_가정!$E$99)/1000*(1+②시니어_가정!$E$101)^INT((DE15-1)/②시니어_가정!$E$102)</f>
        <v>1719.15696</v>
      </c>
      <c r="DF21" s="37" t="n">
        <f aca="false">(DF14=1)*②시니어_가정!$D$38*②시니어_가정!$E$96*CHOOSE(MIN(MAX(DF16,1),3),②시니어_가정!$E$104,②시니어_가정!$E$105,②시니어_가정!$E$106)*(②시니어_가정!$E$100+②시니어_가정!$E$99)/1000*(1+②시니어_가정!$E$101)^INT((DF15-1)/②시니어_가정!$E$102)</f>
        <v>1719.15696</v>
      </c>
      <c r="DG21" s="37" t="n">
        <f aca="false">(DG14=1)*②시니어_가정!$D$38*②시니어_가정!$E$96*CHOOSE(MIN(MAX(DG16,1),3),②시니어_가정!$E$104,②시니어_가정!$E$105,②시니어_가정!$E$106)*(②시니어_가정!$E$100+②시니어_가정!$E$99)/1000*(1+②시니어_가정!$E$101)^INT((DG15-1)/②시니어_가정!$E$102)</f>
        <v>1719.15696</v>
      </c>
      <c r="DH21" s="37" t="n">
        <f aca="false">(DH14=1)*②시니어_가정!$D$38*②시니어_가정!$E$96*CHOOSE(MIN(MAX(DH16,1),3),②시니어_가정!$E$104,②시니어_가정!$E$105,②시니어_가정!$E$106)*(②시니어_가정!$E$100+②시니어_가정!$E$99)/1000*(1+②시니어_가정!$E$101)^INT((DH15-1)/②시니어_가정!$E$102)</f>
        <v>1719.15696</v>
      </c>
      <c r="DI21" s="37" t="n">
        <f aca="false">(DI14=1)*②시니어_가정!$D$38*②시니어_가정!$E$96*CHOOSE(MIN(MAX(DI16,1),3),②시니어_가정!$E$104,②시니어_가정!$E$105,②시니어_가정!$E$106)*(②시니어_가정!$E$100+②시니어_가정!$E$99)/1000*(1+②시니어_가정!$E$101)^INT((DI15-1)/②시니어_가정!$E$102)</f>
        <v>1753.5400992</v>
      </c>
      <c r="DJ21" s="37" t="n">
        <f aca="false">(DJ14=1)*②시니어_가정!$D$38*②시니어_가정!$E$96*CHOOSE(MIN(MAX(DJ16,1),3),②시니어_가정!$E$104,②시니어_가정!$E$105,②시니어_가정!$E$106)*(②시니어_가정!$E$100+②시니어_가정!$E$99)/1000*(1+②시니어_가정!$E$101)^INT((DJ15-1)/②시니어_가정!$E$102)</f>
        <v>1753.5400992</v>
      </c>
      <c r="DK21" s="37" t="n">
        <f aca="false">(DK14=1)*②시니어_가정!$D$38*②시니어_가정!$E$96*CHOOSE(MIN(MAX(DK16,1),3),②시니어_가정!$E$104,②시니어_가정!$E$105,②시니어_가정!$E$106)*(②시니어_가정!$E$100+②시니어_가정!$E$99)/1000*(1+②시니어_가정!$E$101)^INT((DK15-1)/②시니어_가정!$E$102)</f>
        <v>1753.5400992</v>
      </c>
      <c r="DL21" s="37" t="n">
        <f aca="false">(DL14=1)*②시니어_가정!$D$38*②시니어_가정!$E$96*CHOOSE(MIN(MAX(DL16,1),3),②시니어_가정!$E$104,②시니어_가정!$E$105,②시니어_가정!$E$106)*(②시니어_가정!$E$100+②시니어_가정!$E$99)/1000*(1+②시니어_가정!$E$101)^INT((DL15-1)/②시니어_가정!$E$102)</f>
        <v>1753.5400992</v>
      </c>
      <c r="DM21" s="37" t="n">
        <f aca="false">(DM14=1)*②시니어_가정!$D$38*②시니어_가정!$E$96*CHOOSE(MIN(MAX(DM16,1),3),②시니어_가정!$E$104,②시니어_가정!$E$105,②시니어_가정!$E$106)*(②시니어_가정!$E$100+②시니어_가정!$E$99)/1000*(1+②시니어_가정!$E$101)^INT((DM15-1)/②시니어_가정!$E$102)</f>
        <v>1753.5400992</v>
      </c>
      <c r="DN21" s="37" t="n">
        <f aca="false">(DN14=1)*②시니어_가정!$D$38*②시니어_가정!$E$96*CHOOSE(MIN(MAX(DN16,1),3),②시니어_가정!$E$104,②시니어_가정!$E$105,②시니어_가정!$E$106)*(②시니어_가정!$E$100+②시니어_가정!$E$99)/1000*(1+②시니어_가정!$E$101)^INT((DN15-1)/②시니어_가정!$E$102)</f>
        <v>1753.5400992</v>
      </c>
      <c r="DO21" s="37" t="n">
        <f aca="false">(DO14=1)*②시니어_가정!$D$38*②시니어_가정!$E$96*CHOOSE(MIN(MAX(DO16,1),3),②시니어_가정!$E$104,②시니어_가정!$E$105,②시니어_가정!$E$106)*(②시니어_가정!$E$100+②시니어_가정!$E$99)/1000*(1+②시니어_가정!$E$101)^INT((DO15-1)/②시니어_가정!$E$102)</f>
        <v>1753.5400992</v>
      </c>
      <c r="DP21" s="37" t="n">
        <f aca="false">(DP14=1)*②시니어_가정!$D$38*②시니어_가정!$E$96*CHOOSE(MIN(MAX(DP16,1),3),②시니어_가정!$E$104,②시니어_가정!$E$105,②시니어_가정!$E$106)*(②시니어_가정!$E$100+②시니어_가정!$E$99)/1000*(1+②시니어_가정!$E$101)^INT((DP15-1)/②시니어_가정!$E$102)</f>
        <v>1753.5400992</v>
      </c>
      <c r="DQ21" s="37" t="n">
        <f aca="false">(DQ14=1)*②시니어_가정!$D$38*②시니어_가정!$E$96*CHOOSE(MIN(MAX(DQ16,1),3),②시니어_가정!$E$104,②시니어_가정!$E$105,②시니어_가정!$E$106)*(②시니어_가정!$E$100+②시니어_가정!$E$99)/1000*(1+②시니어_가정!$E$101)^INT((DQ15-1)/②시니어_가정!$E$102)</f>
        <v>1753.5400992</v>
      </c>
      <c r="DR21" s="37" t="n">
        <f aca="false">(DR14=1)*②시니어_가정!$D$38*②시니어_가정!$E$96*CHOOSE(MIN(MAX(DR16,1),3),②시니어_가정!$E$104,②시니어_가정!$E$105,②시니어_가정!$E$106)*(②시니어_가정!$E$100+②시니어_가정!$E$99)/1000*(1+②시니어_가정!$E$101)^INT((DR15-1)/②시니어_가정!$E$102)</f>
        <v>1753.5400992</v>
      </c>
      <c r="DS21" s="37" t="n">
        <f aca="false">(DS14=1)*②시니어_가정!$D$38*②시니어_가정!$E$96*CHOOSE(MIN(MAX(DS16,1),3),②시니어_가정!$E$104,②시니어_가정!$E$105,②시니어_가정!$E$106)*(②시니어_가정!$E$100+②시니어_가정!$E$99)/1000*(1+②시니어_가정!$E$101)^INT((DS15-1)/②시니어_가정!$E$102)</f>
        <v>1753.5400992</v>
      </c>
      <c r="DT21" s="37" t="n">
        <f aca="false">(DT14=1)*②시니어_가정!$D$38*②시니어_가정!$E$96*CHOOSE(MIN(MAX(DT16,1),3),②시니어_가정!$E$104,②시니어_가정!$E$105,②시니어_가정!$E$106)*(②시니어_가정!$E$100+②시니어_가정!$E$99)/1000*(1+②시니어_가정!$E$101)^INT((DT15-1)/②시니어_가정!$E$102)</f>
        <v>1753.5400992</v>
      </c>
      <c r="DU21" s="37" t="n">
        <f aca="false">(DU14=1)*②시니어_가정!$D$38*②시니어_가정!$E$96*CHOOSE(MIN(MAX(DU16,1),3),②시니어_가정!$E$104,②시니어_가정!$E$105,②시니어_가정!$E$106)*(②시니어_가정!$E$100+②시니어_가정!$E$99)/1000*(1+②시니어_가정!$E$101)^INT((DU15-1)/②시니어_가정!$E$102)</f>
        <v>0</v>
      </c>
      <c r="DV21" s="37" t="n">
        <f aca="false">(DV14=1)*②시니어_가정!$D$38*②시니어_가정!$E$96*CHOOSE(MIN(MAX(DV16,1),3),②시니어_가정!$E$104,②시니어_가정!$E$105,②시니어_가정!$E$106)*(②시니어_가정!$E$100+②시니어_가정!$E$99)/1000*(1+②시니어_가정!$E$101)^INT((DV15-1)/②시니어_가정!$E$102)</f>
        <v>0</v>
      </c>
      <c r="DW21" s="37" t="n">
        <f aca="false">(DW14=1)*②시니어_가정!$D$38*②시니어_가정!$E$96*CHOOSE(MIN(MAX(DW16,1),3),②시니어_가정!$E$104,②시니어_가정!$E$105,②시니어_가정!$E$106)*(②시니어_가정!$E$100+②시니어_가정!$E$99)/1000*(1+②시니어_가정!$E$101)^INT((DW15-1)/②시니어_가정!$E$102)</f>
        <v>0</v>
      </c>
      <c r="DX21" s="37" t="n">
        <f aca="false">(DX14=1)*②시니어_가정!$D$38*②시니어_가정!$E$96*CHOOSE(MIN(MAX(DX16,1),3),②시니어_가정!$E$104,②시니어_가정!$E$105,②시니어_가정!$E$106)*(②시니어_가정!$E$100+②시니어_가정!$E$99)/1000*(1+②시니어_가정!$E$101)^INT((DX15-1)/②시니어_가정!$E$102)</f>
        <v>0</v>
      </c>
      <c r="DY21" s="37" t="n">
        <f aca="false">(DY14=1)*②시니어_가정!$D$38*②시니어_가정!$E$96*CHOOSE(MIN(MAX(DY16,1),3),②시니어_가정!$E$104,②시니어_가정!$E$105,②시니어_가정!$E$106)*(②시니어_가정!$E$100+②시니어_가정!$E$99)/1000*(1+②시니어_가정!$E$101)^INT((DY15-1)/②시니어_가정!$E$102)</f>
        <v>0</v>
      </c>
      <c r="DZ21" s="37" t="n">
        <f aca="false">(DZ14=1)*②시니어_가정!$D$38*②시니어_가정!$E$96*CHOOSE(MIN(MAX(DZ16,1),3),②시니어_가정!$E$104,②시니어_가정!$E$105,②시니어_가정!$E$106)*(②시니어_가정!$E$100+②시니어_가정!$E$99)/1000*(1+②시니어_가정!$E$101)^INT((DZ15-1)/②시니어_가정!$E$102)</f>
        <v>0</v>
      </c>
      <c r="EA21" s="37" t="n">
        <f aca="false">(EA14=1)*②시니어_가정!$D$38*②시니어_가정!$E$96*CHOOSE(MIN(MAX(EA16,1),3),②시니어_가정!$E$104,②시니어_가정!$E$105,②시니어_가정!$E$106)*(②시니어_가정!$E$100+②시니어_가정!$E$99)/1000*(1+②시니어_가정!$E$101)^INT((EA15-1)/②시니어_가정!$E$102)</f>
        <v>0</v>
      </c>
      <c r="EB21" s="37" t="n">
        <f aca="false">(EB14=1)*②시니어_가정!$D$38*②시니어_가정!$E$96*CHOOSE(MIN(MAX(EB16,1),3),②시니어_가정!$E$104,②시니어_가정!$E$105,②시니어_가정!$E$106)*(②시니어_가정!$E$100+②시니어_가정!$E$99)/1000*(1+②시니어_가정!$E$101)^INT((EB15-1)/②시니어_가정!$E$102)</f>
        <v>0</v>
      </c>
      <c r="EC21" s="37" t="n">
        <f aca="false">(EC14=1)*②시니어_가정!$D$38*②시니어_가정!$E$96*CHOOSE(MIN(MAX(EC16,1),3),②시니어_가정!$E$104,②시니어_가정!$E$105,②시니어_가정!$E$106)*(②시니어_가정!$E$100+②시니어_가정!$E$99)/1000*(1+②시니어_가정!$E$101)^INT((EC15-1)/②시니어_가정!$E$102)</f>
        <v>0</v>
      </c>
      <c r="ED21" s="37" t="n">
        <f aca="false">(ED14=1)*②시니어_가정!$D$38*②시니어_가정!$E$96*CHOOSE(MIN(MAX(ED16,1),3),②시니어_가정!$E$104,②시니어_가정!$E$105,②시니어_가정!$E$106)*(②시니어_가정!$E$100+②시니어_가정!$E$99)/1000*(1+②시니어_가정!$E$101)^INT((ED15-1)/②시니어_가정!$E$102)</f>
        <v>0</v>
      </c>
      <c r="EE21" s="37" t="n">
        <f aca="false">(EE14=1)*②시니어_가정!$D$38*②시니어_가정!$E$96*CHOOSE(MIN(MAX(EE16,1),3),②시니어_가정!$E$104,②시니어_가정!$E$105,②시니어_가정!$E$106)*(②시니어_가정!$E$100+②시니어_가정!$E$99)/1000*(1+②시니어_가정!$E$101)^INT((EE15-1)/②시니어_가정!$E$102)</f>
        <v>0</v>
      </c>
      <c r="EF21" s="37" t="n">
        <f aca="false">(EF14=1)*②시니어_가정!$D$38*②시니어_가정!$E$96*CHOOSE(MIN(MAX(EF16,1),3),②시니어_가정!$E$104,②시니어_가정!$E$105,②시니어_가정!$E$106)*(②시니어_가정!$E$100+②시니어_가정!$E$99)/1000*(1+②시니어_가정!$E$101)^INT((EF15-1)/②시니어_가정!$E$102)</f>
        <v>0</v>
      </c>
    </row>
    <row r="22" customFormat="false" ht="15" hidden="false" customHeight="false" outlineLevel="0" collapsed="false">
      <c r="A22" s="36" t="s">
        <v>577</v>
      </c>
      <c r="B22" s="278" t="s">
        <v>21</v>
      </c>
      <c r="C22" s="279" t="n">
        <f aca="false">SUM(E22:EF22)</f>
        <v>14591.78110656</v>
      </c>
      <c r="E22" s="37" t="n">
        <f aca="false">E21*②시니어_가정!$E$107</f>
        <v>0</v>
      </c>
      <c r="F22" s="37" t="n">
        <f aca="false">F21*②시니어_가정!$E$107</f>
        <v>0</v>
      </c>
      <c r="G22" s="37" t="n">
        <f aca="false">G21*②시니어_가정!$E$107</f>
        <v>0</v>
      </c>
      <c r="H22" s="37" t="n">
        <f aca="false">H21*②시니어_가정!$E$107</f>
        <v>0</v>
      </c>
      <c r="I22" s="37" t="n">
        <f aca="false">I21*②시니어_가정!$E$107</f>
        <v>0</v>
      </c>
      <c r="J22" s="37" t="n">
        <f aca="false">J21*②시니어_가정!$E$107</f>
        <v>0</v>
      </c>
      <c r="K22" s="37" t="n">
        <f aca="false">K21*②시니어_가정!$E$107</f>
        <v>0</v>
      </c>
      <c r="L22" s="37" t="n">
        <f aca="false">L21*②시니어_가정!$E$107</f>
        <v>0</v>
      </c>
      <c r="M22" s="37" t="n">
        <f aca="false">M21*②시니어_가정!$E$107</f>
        <v>0</v>
      </c>
      <c r="N22" s="37" t="n">
        <f aca="false">N21*②시니어_가정!$E$107</f>
        <v>0</v>
      </c>
      <c r="O22" s="37" t="n">
        <f aca="false">O21*②시니어_가정!$E$107</f>
        <v>0</v>
      </c>
      <c r="P22" s="37" t="n">
        <f aca="false">P21*②시니어_가정!$E$107</f>
        <v>0</v>
      </c>
      <c r="Q22" s="37" t="n">
        <f aca="false">Q21*②시니어_가정!$E$107</f>
        <v>0</v>
      </c>
      <c r="R22" s="37" t="n">
        <f aca="false">R21*②시니어_가정!$E$107</f>
        <v>0</v>
      </c>
      <c r="S22" s="37" t="n">
        <f aca="false">S21*②시니어_가정!$E$107</f>
        <v>0</v>
      </c>
      <c r="T22" s="37" t="n">
        <f aca="false">T21*②시니어_가정!$E$107</f>
        <v>0</v>
      </c>
      <c r="U22" s="37" t="n">
        <f aca="false">U21*②시니어_가정!$E$107</f>
        <v>0</v>
      </c>
      <c r="V22" s="37" t="n">
        <f aca="false">V21*②시니어_가정!$E$107</f>
        <v>0</v>
      </c>
      <c r="W22" s="37" t="n">
        <f aca="false">W21*②시니어_가정!$E$107</f>
        <v>0</v>
      </c>
      <c r="X22" s="37" t="n">
        <f aca="false">X21*②시니어_가정!$E$107</f>
        <v>0</v>
      </c>
      <c r="Y22" s="37" t="n">
        <f aca="false">Y21*②시니어_가정!$E$107</f>
        <v>0</v>
      </c>
      <c r="Z22" s="37" t="n">
        <f aca="false">Z21*②시니어_가정!$E$107</f>
        <v>0</v>
      </c>
      <c r="AA22" s="37" t="n">
        <f aca="false">AA21*②시니어_가정!$E$107</f>
        <v>0</v>
      </c>
      <c r="AB22" s="37" t="n">
        <f aca="false">AB21*②시니어_가정!$E$107</f>
        <v>0</v>
      </c>
      <c r="AC22" s="37" t="n">
        <f aca="false">AC21*②시니어_가정!$E$107</f>
        <v>0</v>
      </c>
      <c r="AD22" s="37" t="n">
        <f aca="false">AD21*②시니어_가정!$E$107</f>
        <v>0</v>
      </c>
      <c r="AE22" s="37" t="n">
        <f aca="false">AE21*②시니어_가정!$E$107</f>
        <v>0</v>
      </c>
      <c r="AF22" s="37" t="n">
        <f aca="false">AF21*②시니어_가정!$E$107</f>
        <v>0</v>
      </c>
      <c r="AG22" s="37" t="n">
        <f aca="false">AG21*②시니어_가정!$E$107</f>
        <v>0</v>
      </c>
      <c r="AH22" s="37" t="n">
        <f aca="false">AH21*②시니어_가정!$E$107</f>
        <v>0</v>
      </c>
      <c r="AI22" s="37" t="n">
        <f aca="false">AI21*②시니어_가정!$E$107</f>
        <v>0</v>
      </c>
      <c r="AJ22" s="37" t="n">
        <f aca="false">AJ21*②시니어_가정!$E$107</f>
        <v>0</v>
      </c>
      <c r="AK22" s="37" t="n">
        <f aca="false">AK21*②시니어_가정!$E$107</f>
        <v>0</v>
      </c>
      <c r="AL22" s="37" t="n">
        <f aca="false">AL21*②시니어_가정!$E$107</f>
        <v>0</v>
      </c>
      <c r="AM22" s="37" t="n">
        <f aca="false">AM21*②시니어_가정!$E$107</f>
        <v>0</v>
      </c>
      <c r="AN22" s="37" t="n">
        <f aca="false">AN21*②시니어_가정!$E$107</f>
        <v>0</v>
      </c>
      <c r="AO22" s="37" t="n">
        <f aca="false">AO21*②시니어_가정!$E$107</f>
        <v>0</v>
      </c>
      <c r="AP22" s="37" t="n">
        <f aca="false">AP21*②시니어_가정!$E$107</f>
        <v>0</v>
      </c>
      <c r="AQ22" s="37" t="n">
        <f aca="false">AQ21*②시니어_가정!$E$107</f>
        <v>0</v>
      </c>
      <c r="AR22" s="37" t="n">
        <f aca="false">AR21*②시니어_가정!$E$107</f>
        <v>0</v>
      </c>
      <c r="AS22" s="37" t="n">
        <f aca="false">AS21*②시니어_가정!$E$107</f>
        <v>0</v>
      </c>
      <c r="AT22" s="37" t="n">
        <f aca="false">AT21*②시니어_가정!$E$107</f>
        <v>0</v>
      </c>
      <c r="AU22" s="37" t="n">
        <f aca="false">AU21*②시니어_가정!$E$107</f>
        <v>0</v>
      </c>
      <c r="AV22" s="37" t="n">
        <f aca="false">AV21*②시니어_가정!$E$107</f>
        <v>0</v>
      </c>
      <c r="AW22" s="37" t="n">
        <f aca="false">AW21*②시니어_가정!$E$107</f>
        <v>0</v>
      </c>
      <c r="AX22" s="37" t="n">
        <f aca="false">AX21*②시니어_가정!$E$107</f>
        <v>0</v>
      </c>
      <c r="AY22" s="37" t="n">
        <f aca="false">AY21*②시니어_가정!$E$107</f>
        <v>0</v>
      </c>
      <c r="AZ22" s="37" t="n">
        <f aca="false">AZ21*②시니어_가정!$E$107</f>
        <v>0</v>
      </c>
      <c r="BA22" s="37" t="n">
        <f aca="false">BA21*②시니어_가정!$E$107</f>
        <v>0</v>
      </c>
      <c r="BB22" s="37" t="n">
        <f aca="false">BB21*②시니어_가정!$E$107</f>
        <v>0</v>
      </c>
      <c r="BC22" s="37" t="n">
        <f aca="false">BC21*②시니어_가정!$E$107</f>
        <v>0</v>
      </c>
      <c r="BD22" s="37" t="n">
        <f aca="false">BD21*②시니어_가정!$E$107</f>
        <v>0</v>
      </c>
      <c r="BE22" s="37" t="n">
        <f aca="false">BE21*②시니어_가정!$E$107</f>
        <v>0</v>
      </c>
      <c r="BF22" s="37" t="n">
        <f aca="false">BF21*②시니어_가정!$E$107</f>
        <v>0</v>
      </c>
      <c r="BG22" s="37" t="n">
        <f aca="false">BG21*②시니어_가정!$E$107</f>
        <v>0</v>
      </c>
      <c r="BH22" s="37" t="n">
        <f aca="false">BH21*②시니어_가정!$E$107</f>
        <v>0</v>
      </c>
      <c r="BI22" s="37" t="n">
        <f aca="false">BI21*②시니어_가정!$E$107</f>
        <v>0</v>
      </c>
      <c r="BJ22" s="37" t="n">
        <f aca="false">BJ21*②시니어_가정!$E$107</f>
        <v>0</v>
      </c>
      <c r="BK22" s="37" t="n">
        <f aca="false">BK21*②시니어_가정!$E$107</f>
        <v>0</v>
      </c>
      <c r="BL22" s="37" t="n">
        <f aca="false">BL21*②시니어_가정!$E$107</f>
        <v>0</v>
      </c>
      <c r="BM22" s="37" t="n">
        <f aca="false">BM21*②시니어_가정!$E$107</f>
        <v>194.4</v>
      </c>
      <c r="BN22" s="37" t="n">
        <f aca="false">BN21*②시니어_가정!$E$107</f>
        <v>194.4</v>
      </c>
      <c r="BO22" s="37" t="n">
        <f aca="false">BO21*②시니어_가정!$E$107</f>
        <v>194.4</v>
      </c>
      <c r="BP22" s="37" t="n">
        <f aca="false">BP21*②시니어_가정!$E$107</f>
        <v>194.4</v>
      </c>
      <c r="BQ22" s="37" t="n">
        <f aca="false">BQ21*②시니어_가정!$E$107</f>
        <v>194.4</v>
      </c>
      <c r="BR22" s="37" t="n">
        <f aca="false">BR21*②시니어_가정!$E$107</f>
        <v>194.4</v>
      </c>
      <c r="BS22" s="37" t="n">
        <f aca="false">BS21*②시니어_가정!$E$107</f>
        <v>194.4</v>
      </c>
      <c r="BT22" s="37" t="n">
        <f aca="false">BT21*②시니어_가정!$E$107</f>
        <v>194.4</v>
      </c>
      <c r="BU22" s="37" t="n">
        <f aca="false">BU21*②시니어_가정!$E$107</f>
        <v>194.4</v>
      </c>
      <c r="BV22" s="37" t="n">
        <f aca="false">BV21*②시니어_가정!$E$107</f>
        <v>194.4</v>
      </c>
      <c r="BW22" s="37" t="n">
        <f aca="false">BW21*②시니어_가정!$E$107</f>
        <v>194.4</v>
      </c>
      <c r="BX22" s="37" t="n">
        <f aca="false">BX21*②시니어_가정!$E$107</f>
        <v>194.4</v>
      </c>
      <c r="BY22" s="37" t="n">
        <f aca="false">BY21*②시니어_가정!$E$107</f>
        <v>247.86</v>
      </c>
      <c r="BZ22" s="37" t="n">
        <f aca="false">BZ21*②시니어_가정!$E$107</f>
        <v>247.86</v>
      </c>
      <c r="CA22" s="37" t="n">
        <f aca="false">CA21*②시니어_가정!$E$107</f>
        <v>247.86</v>
      </c>
      <c r="CB22" s="37" t="n">
        <f aca="false">CB21*②시니어_가정!$E$107</f>
        <v>247.86</v>
      </c>
      <c r="CC22" s="37" t="n">
        <f aca="false">CC21*②시니어_가정!$E$107</f>
        <v>247.86</v>
      </c>
      <c r="CD22" s="37" t="n">
        <f aca="false">CD21*②시니어_가정!$E$107</f>
        <v>247.86</v>
      </c>
      <c r="CE22" s="37" t="n">
        <f aca="false">CE21*②시니어_가정!$E$107</f>
        <v>247.86</v>
      </c>
      <c r="CF22" s="37" t="n">
        <f aca="false">CF21*②시니어_가정!$E$107</f>
        <v>247.86</v>
      </c>
      <c r="CG22" s="37" t="n">
        <f aca="false">CG21*②시니어_가정!$E$107</f>
        <v>247.86</v>
      </c>
      <c r="CH22" s="37" t="n">
        <f aca="false">CH21*②시니어_가정!$E$107</f>
        <v>247.86</v>
      </c>
      <c r="CI22" s="37" t="n">
        <f aca="false">CI21*②시니어_가정!$E$107</f>
        <v>247.86</v>
      </c>
      <c r="CJ22" s="37" t="n">
        <f aca="false">CJ21*②시니어_가정!$E$107</f>
        <v>247.86</v>
      </c>
      <c r="CK22" s="37" t="n">
        <f aca="false">CK21*②시니어_가정!$E$107</f>
        <v>252.8172</v>
      </c>
      <c r="CL22" s="37" t="n">
        <f aca="false">CL21*②시니어_가정!$E$107</f>
        <v>252.8172</v>
      </c>
      <c r="CM22" s="37" t="n">
        <f aca="false">CM21*②시니어_가정!$E$107</f>
        <v>252.8172</v>
      </c>
      <c r="CN22" s="37" t="n">
        <f aca="false">CN21*②시니어_가정!$E$107</f>
        <v>252.8172</v>
      </c>
      <c r="CO22" s="37" t="n">
        <f aca="false">CO21*②시니어_가정!$E$107</f>
        <v>252.8172</v>
      </c>
      <c r="CP22" s="37" t="n">
        <f aca="false">CP21*②시니어_가정!$E$107</f>
        <v>252.8172</v>
      </c>
      <c r="CQ22" s="37" t="n">
        <f aca="false">CQ21*②시니어_가정!$E$107</f>
        <v>252.8172</v>
      </c>
      <c r="CR22" s="37" t="n">
        <f aca="false">CR21*②시니어_가정!$E$107</f>
        <v>252.8172</v>
      </c>
      <c r="CS22" s="37" t="n">
        <f aca="false">CS21*②시니어_가정!$E$107</f>
        <v>252.8172</v>
      </c>
      <c r="CT22" s="37" t="n">
        <f aca="false">CT21*②시니어_가정!$E$107</f>
        <v>252.8172</v>
      </c>
      <c r="CU22" s="37" t="n">
        <f aca="false">CU21*②시니어_가정!$E$107</f>
        <v>252.8172</v>
      </c>
      <c r="CV22" s="37" t="n">
        <f aca="false">CV21*②시니어_가정!$E$107</f>
        <v>252.8172</v>
      </c>
      <c r="CW22" s="37" t="n">
        <f aca="false">CW21*②시니어_가정!$E$107</f>
        <v>257.873544</v>
      </c>
      <c r="CX22" s="37" t="n">
        <f aca="false">CX21*②시니어_가정!$E$107</f>
        <v>257.873544</v>
      </c>
      <c r="CY22" s="37" t="n">
        <f aca="false">CY21*②시니어_가정!$E$107</f>
        <v>257.873544</v>
      </c>
      <c r="CZ22" s="37" t="n">
        <f aca="false">CZ21*②시니어_가정!$E$107</f>
        <v>257.873544</v>
      </c>
      <c r="DA22" s="37" t="n">
        <f aca="false">DA21*②시니어_가정!$E$107</f>
        <v>257.873544</v>
      </c>
      <c r="DB22" s="37" t="n">
        <f aca="false">DB21*②시니어_가정!$E$107</f>
        <v>257.873544</v>
      </c>
      <c r="DC22" s="37" t="n">
        <f aca="false">DC21*②시니어_가정!$E$107</f>
        <v>257.873544</v>
      </c>
      <c r="DD22" s="37" t="n">
        <f aca="false">DD21*②시니어_가정!$E$107</f>
        <v>257.873544</v>
      </c>
      <c r="DE22" s="37" t="n">
        <f aca="false">DE21*②시니어_가정!$E$107</f>
        <v>257.873544</v>
      </c>
      <c r="DF22" s="37" t="n">
        <f aca="false">DF21*②시니어_가정!$E$107</f>
        <v>257.873544</v>
      </c>
      <c r="DG22" s="37" t="n">
        <f aca="false">DG21*②시니어_가정!$E$107</f>
        <v>257.873544</v>
      </c>
      <c r="DH22" s="37" t="n">
        <f aca="false">DH21*②시니어_가정!$E$107</f>
        <v>257.873544</v>
      </c>
      <c r="DI22" s="37" t="n">
        <f aca="false">DI21*②시니어_가정!$E$107</f>
        <v>263.03101488</v>
      </c>
      <c r="DJ22" s="37" t="n">
        <f aca="false">DJ21*②시니어_가정!$E$107</f>
        <v>263.03101488</v>
      </c>
      <c r="DK22" s="37" t="n">
        <f aca="false">DK21*②시니어_가정!$E$107</f>
        <v>263.03101488</v>
      </c>
      <c r="DL22" s="37" t="n">
        <f aca="false">DL21*②시니어_가정!$E$107</f>
        <v>263.03101488</v>
      </c>
      <c r="DM22" s="37" t="n">
        <f aca="false">DM21*②시니어_가정!$E$107</f>
        <v>263.03101488</v>
      </c>
      <c r="DN22" s="37" t="n">
        <f aca="false">DN21*②시니어_가정!$E$107</f>
        <v>263.03101488</v>
      </c>
      <c r="DO22" s="37" t="n">
        <f aca="false">DO21*②시니어_가정!$E$107</f>
        <v>263.03101488</v>
      </c>
      <c r="DP22" s="37" t="n">
        <f aca="false">DP21*②시니어_가정!$E$107</f>
        <v>263.03101488</v>
      </c>
      <c r="DQ22" s="37" t="n">
        <f aca="false">DQ21*②시니어_가정!$E$107</f>
        <v>263.03101488</v>
      </c>
      <c r="DR22" s="37" t="n">
        <f aca="false">DR21*②시니어_가정!$E$107</f>
        <v>263.03101488</v>
      </c>
      <c r="DS22" s="37" t="n">
        <f aca="false">DS21*②시니어_가정!$E$107</f>
        <v>263.03101488</v>
      </c>
      <c r="DT22" s="37" t="n">
        <f aca="false">DT21*②시니어_가정!$E$107</f>
        <v>263.03101488</v>
      </c>
      <c r="DU22" s="37" t="n">
        <f aca="false">DU21*②시니어_가정!$E$107</f>
        <v>0</v>
      </c>
      <c r="DV22" s="37" t="n">
        <f aca="false">DV21*②시니어_가정!$E$107</f>
        <v>0</v>
      </c>
      <c r="DW22" s="37" t="n">
        <f aca="false">DW21*②시니어_가정!$E$107</f>
        <v>0</v>
      </c>
      <c r="DX22" s="37" t="n">
        <f aca="false">DX21*②시니어_가정!$E$107</f>
        <v>0</v>
      </c>
      <c r="DY22" s="37" t="n">
        <f aca="false">DY21*②시니어_가정!$E$107</f>
        <v>0</v>
      </c>
      <c r="DZ22" s="37" t="n">
        <f aca="false">DZ21*②시니어_가정!$E$107</f>
        <v>0</v>
      </c>
      <c r="EA22" s="37" t="n">
        <f aca="false">EA21*②시니어_가정!$E$107</f>
        <v>0</v>
      </c>
      <c r="EB22" s="37" t="n">
        <f aca="false">EB21*②시니어_가정!$E$107</f>
        <v>0</v>
      </c>
      <c r="EC22" s="37" t="n">
        <f aca="false">EC21*②시니어_가정!$E$107</f>
        <v>0</v>
      </c>
      <c r="ED22" s="37" t="n">
        <f aca="false">ED21*②시니어_가정!$E$107</f>
        <v>0</v>
      </c>
      <c r="EE22" s="37" t="n">
        <f aca="false">EE21*②시니어_가정!$E$107</f>
        <v>0</v>
      </c>
      <c r="EF22" s="37" t="n">
        <f aca="false">EF21*②시니어_가정!$E$107</f>
        <v>0</v>
      </c>
    </row>
    <row r="23" customFormat="false" ht="15" hidden="false" customHeight="false" outlineLevel="0" collapsed="false">
      <c r="A23" s="36" t="s">
        <v>578</v>
      </c>
      <c r="B23" s="278" t="s">
        <v>21</v>
      </c>
      <c r="C23" s="279" t="n">
        <f aca="false">SUM(E23:EF23)</f>
        <v>9128.74406645837</v>
      </c>
      <c r="E23" s="37" t="n">
        <f aca="false">(E14=1)*②시니어_가정!$D$38*②시니어_가정!$E$115*②시니어_가정!$E$116/1000*(1+②시니어_가정!$E$118)^INT((E15-1)/②시니어_가정!$E$119)</f>
        <v>0</v>
      </c>
      <c r="F23" s="37" t="n">
        <f aca="false">(F14=1)*②시니어_가정!$D$38*②시니어_가정!$E$115*②시니어_가정!$E$116/1000*(1+②시니어_가정!$E$118)^INT((F15-1)/②시니어_가정!$E$119)</f>
        <v>0</v>
      </c>
      <c r="G23" s="37" t="n">
        <f aca="false">(G14=1)*②시니어_가정!$D$38*②시니어_가정!$E$115*②시니어_가정!$E$116/1000*(1+②시니어_가정!$E$118)^INT((G15-1)/②시니어_가정!$E$119)</f>
        <v>0</v>
      </c>
      <c r="H23" s="37" t="n">
        <f aca="false">(H14=1)*②시니어_가정!$D$38*②시니어_가정!$E$115*②시니어_가정!$E$116/1000*(1+②시니어_가정!$E$118)^INT((H15-1)/②시니어_가정!$E$119)</f>
        <v>0</v>
      </c>
      <c r="I23" s="37" t="n">
        <f aca="false">(I14=1)*②시니어_가정!$D$38*②시니어_가정!$E$115*②시니어_가정!$E$116/1000*(1+②시니어_가정!$E$118)^INT((I15-1)/②시니어_가정!$E$119)</f>
        <v>0</v>
      </c>
      <c r="J23" s="37" t="n">
        <f aca="false">(J14=1)*②시니어_가정!$D$38*②시니어_가정!$E$115*②시니어_가정!$E$116/1000*(1+②시니어_가정!$E$118)^INT((J15-1)/②시니어_가정!$E$119)</f>
        <v>0</v>
      </c>
      <c r="K23" s="37" t="n">
        <f aca="false">(K14=1)*②시니어_가정!$D$38*②시니어_가정!$E$115*②시니어_가정!$E$116/1000*(1+②시니어_가정!$E$118)^INT((K15-1)/②시니어_가정!$E$119)</f>
        <v>0</v>
      </c>
      <c r="L23" s="37" t="n">
        <f aca="false">(L14=1)*②시니어_가정!$D$38*②시니어_가정!$E$115*②시니어_가정!$E$116/1000*(1+②시니어_가정!$E$118)^INT((L15-1)/②시니어_가정!$E$119)</f>
        <v>0</v>
      </c>
      <c r="M23" s="37" t="n">
        <f aca="false">(M14=1)*②시니어_가정!$D$38*②시니어_가정!$E$115*②시니어_가정!$E$116/1000*(1+②시니어_가정!$E$118)^INT((M15-1)/②시니어_가정!$E$119)</f>
        <v>0</v>
      </c>
      <c r="N23" s="37" t="n">
        <f aca="false">(N14=1)*②시니어_가정!$D$38*②시니어_가정!$E$115*②시니어_가정!$E$116/1000*(1+②시니어_가정!$E$118)^INT((N15-1)/②시니어_가정!$E$119)</f>
        <v>0</v>
      </c>
      <c r="O23" s="37" t="n">
        <f aca="false">(O14=1)*②시니어_가정!$D$38*②시니어_가정!$E$115*②시니어_가정!$E$116/1000*(1+②시니어_가정!$E$118)^INT((O15-1)/②시니어_가정!$E$119)</f>
        <v>0</v>
      </c>
      <c r="P23" s="37" t="n">
        <f aca="false">(P14=1)*②시니어_가정!$D$38*②시니어_가정!$E$115*②시니어_가정!$E$116/1000*(1+②시니어_가정!$E$118)^INT((P15-1)/②시니어_가정!$E$119)</f>
        <v>0</v>
      </c>
      <c r="Q23" s="37" t="n">
        <f aca="false">(Q14=1)*②시니어_가정!$D$38*②시니어_가정!$E$115*②시니어_가정!$E$116/1000*(1+②시니어_가정!$E$118)^INT((Q15-1)/②시니어_가정!$E$119)</f>
        <v>0</v>
      </c>
      <c r="R23" s="37" t="n">
        <f aca="false">(R14=1)*②시니어_가정!$D$38*②시니어_가정!$E$115*②시니어_가정!$E$116/1000*(1+②시니어_가정!$E$118)^INT((R15-1)/②시니어_가정!$E$119)</f>
        <v>0</v>
      </c>
      <c r="S23" s="37" t="n">
        <f aca="false">(S14=1)*②시니어_가정!$D$38*②시니어_가정!$E$115*②시니어_가정!$E$116/1000*(1+②시니어_가정!$E$118)^INT((S15-1)/②시니어_가정!$E$119)</f>
        <v>0</v>
      </c>
      <c r="T23" s="37" t="n">
        <f aca="false">(T14=1)*②시니어_가정!$D$38*②시니어_가정!$E$115*②시니어_가정!$E$116/1000*(1+②시니어_가정!$E$118)^INT((T15-1)/②시니어_가정!$E$119)</f>
        <v>0</v>
      </c>
      <c r="U23" s="37" t="n">
        <f aca="false">(U14=1)*②시니어_가정!$D$38*②시니어_가정!$E$115*②시니어_가정!$E$116/1000*(1+②시니어_가정!$E$118)^INT((U15-1)/②시니어_가정!$E$119)</f>
        <v>0</v>
      </c>
      <c r="V23" s="37" t="n">
        <f aca="false">(V14=1)*②시니어_가정!$D$38*②시니어_가정!$E$115*②시니어_가정!$E$116/1000*(1+②시니어_가정!$E$118)^INT((V15-1)/②시니어_가정!$E$119)</f>
        <v>0</v>
      </c>
      <c r="W23" s="37" t="n">
        <f aca="false">(W14=1)*②시니어_가정!$D$38*②시니어_가정!$E$115*②시니어_가정!$E$116/1000*(1+②시니어_가정!$E$118)^INT((W15-1)/②시니어_가정!$E$119)</f>
        <v>0</v>
      </c>
      <c r="X23" s="37" t="n">
        <f aca="false">(X14=1)*②시니어_가정!$D$38*②시니어_가정!$E$115*②시니어_가정!$E$116/1000*(1+②시니어_가정!$E$118)^INT((X15-1)/②시니어_가정!$E$119)</f>
        <v>0</v>
      </c>
      <c r="Y23" s="37" t="n">
        <f aca="false">(Y14=1)*②시니어_가정!$D$38*②시니어_가정!$E$115*②시니어_가정!$E$116/1000*(1+②시니어_가정!$E$118)^INT((Y15-1)/②시니어_가정!$E$119)</f>
        <v>0</v>
      </c>
      <c r="Z23" s="37" t="n">
        <f aca="false">(Z14=1)*②시니어_가정!$D$38*②시니어_가정!$E$115*②시니어_가정!$E$116/1000*(1+②시니어_가정!$E$118)^INT((Z15-1)/②시니어_가정!$E$119)</f>
        <v>0</v>
      </c>
      <c r="AA23" s="37" t="n">
        <f aca="false">(AA14=1)*②시니어_가정!$D$38*②시니어_가정!$E$115*②시니어_가정!$E$116/1000*(1+②시니어_가정!$E$118)^INT((AA15-1)/②시니어_가정!$E$119)</f>
        <v>0</v>
      </c>
      <c r="AB23" s="37" t="n">
        <f aca="false">(AB14=1)*②시니어_가정!$D$38*②시니어_가정!$E$115*②시니어_가정!$E$116/1000*(1+②시니어_가정!$E$118)^INT((AB15-1)/②시니어_가정!$E$119)</f>
        <v>0</v>
      </c>
      <c r="AC23" s="37" t="n">
        <f aca="false">(AC14=1)*②시니어_가정!$D$38*②시니어_가정!$E$115*②시니어_가정!$E$116/1000*(1+②시니어_가정!$E$118)^INT((AC15-1)/②시니어_가정!$E$119)</f>
        <v>0</v>
      </c>
      <c r="AD23" s="37" t="n">
        <f aca="false">(AD14=1)*②시니어_가정!$D$38*②시니어_가정!$E$115*②시니어_가정!$E$116/1000*(1+②시니어_가정!$E$118)^INT((AD15-1)/②시니어_가정!$E$119)</f>
        <v>0</v>
      </c>
      <c r="AE23" s="37" t="n">
        <f aca="false">(AE14=1)*②시니어_가정!$D$38*②시니어_가정!$E$115*②시니어_가정!$E$116/1000*(1+②시니어_가정!$E$118)^INT((AE15-1)/②시니어_가정!$E$119)</f>
        <v>0</v>
      </c>
      <c r="AF23" s="37" t="n">
        <f aca="false">(AF14=1)*②시니어_가정!$D$38*②시니어_가정!$E$115*②시니어_가정!$E$116/1000*(1+②시니어_가정!$E$118)^INT((AF15-1)/②시니어_가정!$E$119)</f>
        <v>0</v>
      </c>
      <c r="AG23" s="37" t="n">
        <f aca="false">(AG14=1)*②시니어_가정!$D$38*②시니어_가정!$E$115*②시니어_가정!$E$116/1000*(1+②시니어_가정!$E$118)^INT((AG15-1)/②시니어_가정!$E$119)</f>
        <v>0</v>
      </c>
      <c r="AH23" s="37" t="n">
        <f aca="false">(AH14=1)*②시니어_가정!$D$38*②시니어_가정!$E$115*②시니어_가정!$E$116/1000*(1+②시니어_가정!$E$118)^INT((AH15-1)/②시니어_가정!$E$119)</f>
        <v>0</v>
      </c>
      <c r="AI23" s="37" t="n">
        <f aca="false">(AI14=1)*②시니어_가정!$D$38*②시니어_가정!$E$115*②시니어_가정!$E$116/1000*(1+②시니어_가정!$E$118)^INT((AI15-1)/②시니어_가정!$E$119)</f>
        <v>0</v>
      </c>
      <c r="AJ23" s="37" t="n">
        <f aca="false">(AJ14=1)*②시니어_가정!$D$38*②시니어_가정!$E$115*②시니어_가정!$E$116/1000*(1+②시니어_가정!$E$118)^INT((AJ15-1)/②시니어_가정!$E$119)</f>
        <v>0</v>
      </c>
      <c r="AK23" s="37" t="n">
        <f aca="false">(AK14=1)*②시니어_가정!$D$38*②시니어_가정!$E$115*②시니어_가정!$E$116/1000*(1+②시니어_가정!$E$118)^INT((AK15-1)/②시니어_가정!$E$119)</f>
        <v>0</v>
      </c>
      <c r="AL23" s="37" t="n">
        <f aca="false">(AL14=1)*②시니어_가정!$D$38*②시니어_가정!$E$115*②시니어_가정!$E$116/1000*(1+②시니어_가정!$E$118)^INT((AL15-1)/②시니어_가정!$E$119)</f>
        <v>0</v>
      </c>
      <c r="AM23" s="37" t="n">
        <f aca="false">(AM14=1)*②시니어_가정!$D$38*②시니어_가정!$E$115*②시니어_가정!$E$116/1000*(1+②시니어_가정!$E$118)^INT((AM15-1)/②시니어_가정!$E$119)</f>
        <v>0</v>
      </c>
      <c r="AN23" s="37" t="n">
        <f aca="false">(AN14=1)*②시니어_가정!$D$38*②시니어_가정!$E$115*②시니어_가정!$E$116/1000*(1+②시니어_가정!$E$118)^INT((AN15-1)/②시니어_가정!$E$119)</f>
        <v>0</v>
      </c>
      <c r="AO23" s="37" t="n">
        <f aca="false">(AO14=1)*②시니어_가정!$D$38*②시니어_가정!$E$115*②시니어_가정!$E$116/1000*(1+②시니어_가정!$E$118)^INT((AO15-1)/②시니어_가정!$E$119)</f>
        <v>0</v>
      </c>
      <c r="AP23" s="37" t="n">
        <f aca="false">(AP14=1)*②시니어_가정!$D$38*②시니어_가정!$E$115*②시니어_가정!$E$116/1000*(1+②시니어_가정!$E$118)^INT((AP15-1)/②시니어_가정!$E$119)</f>
        <v>0</v>
      </c>
      <c r="AQ23" s="37" t="n">
        <f aca="false">(AQ14=1)*②시니어_가정!$D$38*②시니어_가정!$E$115*②시니어_가정!$E$116/1000*(1+②시니어_가정!$E$118)^INT((AQ15-1)/②시니어_가정!$E$119)</f>
        <v>0</v>
      </c>
      <c r="AR23" s="37" t="n">
        <f aca="false">(AR14=1)*②시니어_가정!$D$38*②시니어_가정!$E$115*②시니어_가정!$E$116/1000*(1+②시니어_가정!$E$118)^INT((AR15-1)/②시니어_가정!$E$119)</f>
        <v>0</v>
      </c>
      <c r="AS23" s="37" t="n">
        <f aca="false">(AS14=1)*②시니어_가정!$D$38*②시니어_가정!$E$115*②시니어_가정!$E$116/1000*(1+②시니어_가정!$E$118)^INT((AS15-1)/②시니어_가정!$E$119)</f>
        <v>0</v>
      </c>
      <c r="AT23" s="37" t="n">
        <f aca="false">(AT14=1)*②시니어_가정!$D$38*②시니어_가정!$E$115*②시니어_가정!$E$116/1000*(1+②시니어_가정!$E$118)^INT((AT15-1)/②시니어_가정!$E$119)</f>
        <v>0</v>
      </c>
      <c r="AU23" s="37" t="n">
        <f aca="false">(AU14=1)*②시니어_가정!$D$38*②시니어_가정!$E$115*②시니어_가정!$E$116/1000*(1+②시니어_가정!$E$118)^INT((AU15-1)/②시니어_가정!$E$119)</f>
        <v>0</v>
      </c>
      <c r="AV23" s="37" t="n">
        <f aca="false">(AV14=1)*②시니어_가정!$D$38*②시니어_가정!$E$115*②시니어_가정!$E$116/1000*(1+②시니어_가정!$E$118)^INT((AV15-1)/②시니어_가정!$E$119)</f>
        <v>0</v>
      </c>
      <c r="AW23" s="37" t="n">
        <f aca="false">(AW14=1)*②시니어_가정!$D$38*②시니어_가정!$E$115*②시니어_가정!$E$116/1000*(1+②시니어_가정!$E$118)^INT((AW15-1)/②시니어_가정!$E$119)</f>
        <v>0</v>
      </c>
      <c r="AX23" s="37" t="n">
        <f aca="false">(AX14=1)*②시니어_가정!$D$38*②시니어_가정!$E$115*②시니어_가정!$E$116/1000*(1+②시니어_가정!$E$118)^INT((AX15-1)/②시니어_가정!$E$119)</f>
        <v>0</v>
      </c>
      <c r="AY23" s="37" t="n">
        <f aca="false">(AY14=1)*②시니어_가정!$D$38*②시니어_가정!$E$115*②시니어_가정!$E$116/1000*(1+②시니어_가정!$E$118)^INT((AY15-1)/②시니어_가정!$E$119)</f>
        <v>0</v>
      </c>
      <c r="AZ23" s="37" t="n">
        <f aca="false">(AZ14=1)*②시니어_가정!$D$38*②시니어_가정!$E$115*②시니어_가정!$E$116/1000*(1+②시니어_가정!$E$118)^INT((AZ15-1)/②시니어_가정!$E$119)</f>
        <v>0</v>
      </c>
      <c r="BA23" s="37" t="n">
        <f aca="false">(BA14=1)*②시니어_가정!$D$38*②시니어_가정!$E$115*②시니어_가정!$E$116/1000*(1+②시니어_가정!$E$118)^INT((BA15-1)/②시니어_가정!$E$119)</f>
        <v>0</v>
      </c>
      <c r="BB23" s="37" t="n">
        <f aca="false">(BB14=1)*②시니어_가정!$D$38*②시니어_가정!$E$115*②시니어_가정!$E$116/1000*(1+②시니어_가정!$E$118)^INT((BB15-1)/②시니어_가정!$E$119)</f>
        <v>0</v>
      </c>
      <c r="BC23" s="37" t="n">
        <f aca="false">(BC14=1)*②시니어_가정!$D$38*②시니어_가정!$E$115*②시니어_가정!$E$116/1000*(1+②시니어_가정!$E$118)^INT((BC15-1)/②시니어_가정!$E$119)</f>
        <v>0</v>
      </c>
      <c r="BD23" s="37" t="n">
        <f aca="false">(BD14=1)*②시니어_가정!$D$38*②시니어_가정!$E$115*②시니어_가정!$E$116/1000*(1+②시니어_가정!$E$118)^INT((BD15-1)/②시니어_가정!$E$119)</f>
        <v>0</v>
      </c>
      <c r="BE23" s="37" t="n">
        <f aca="false">(BE14=1)*②시니어_가정!$D$38*②시니어_가정!$E$115*②시니어_가정!$E$116/1000*(1+②시니어_가정!$E$118)^INT((BE15-1)/②시니어_가정!$E$119)</f>
        <v>0</v>
      </c>
      <c r="BF23" s="37" t="n">
        <f aca="false">(BF14=1)*②시니어_가정!$D$38*②시니어_가정!$E$115*②시니어_가정!$E$116/1000*(1+②시니어_가정!$E$118)^INT((BF15-1)/②시니어_가정!$E$119)</f>
        <v>0</v>
      </c>
      <c r="BG23" s="37" t="n">
        <f aca="false">(BG14=1)*②시니어_가정!$D$38*②시니어_가정!$E$115*②시니어_가정!$E$116/1000*(1+②시니어_가정!$E$118)^INT((BG15-1)/②시니어_가정!$E$119)</f>
        <v>0</v>
      </c>
      <c r="BH23" s="37" t="n">
        <f aca="false">(BH14=1)*②시니어_가정!$D$38*②시니어_가정!$E$115*②시니어_가정!$E$116/1000*(1+②시니어_가정!$E$118)^INT((BH15-1)/②시니어_가정!$E$119)</f>
        <v>0</v>
      </c>
      <c r="BI23" s="37" t="n">
        <f aca="false">(BI14=1)*②시니어_가정!$D$38*②시니어_가정!$E$115*②시니어_가정!$E$116/1000*(1+②시니어_가정!$E$118)^INT((BI15-1)/②시니어_가정!$E$119)</f>
        <v>0</v>
      </c>
      <c r="BJ23" s="37" t="n">
        <f aca="false">(BJ14=1)*②시니어_가정!$D$38*②시니어_가정!$E$115*②시니어_가정!$E$116/1000*(1+②시니어_가정!$E$118)^INT((BJ15-1)/②시니어_가정!$E$119)</f>
        <v>0</v>
      </c>
      <c r="BK23" s="37" t="n">
        <f aca="false">(BK14=1)*②시니어_가정!$D$38*②시니어_가정!$E$115*②시니어_가정!$E$116/1000*(1+②시니어_가정!$E$118)^INT((BK15-1)/②시니어_가정!$E$119)</f>
        <v>0</v>
      </c>
      <c r="BL23" s="37" t="n">
        <f aca="false">(BL14=1)*②시니어_가정!$D$38*②시니어_가정!$E$115*②시니어_가정!$E$116/1000*(1+②시니어_가정!$E$118)^INT((BL15-1)/②시니어_가정!$E$119)</f>
        <v>0</v>
      </c>
      <c r="BM23" s="37" t="n">
        <f aca="false">(BM14=1)*②시니어_가정!$D$38*②시니어_가정!$E$115*②시니어_가정!$E$116/1000*(1+②시니어_가정!$E$118)^INT((BM15-1)/②시니어_가정!$E$119)</f>
        <v>146.1804</v>
      </c>
      <c r="BN23" s="37" t="n">
        <f aca="false">(BN14=1)*②시니어_가정!$D$38*②시니어_가정!$E$115*②시니어_가정!$E$116/1000*(1+②시니어_가정!$E$118)^INT((BN15-1)/②시니어_가정!$E$119)</f>
        <v>146.1804</v>
      </c>
      <c r="BO23" s="37" t="n">
        <f aca="false">(BO14=1)*②시니어_가정!$D$38*②시니어_가정!$E$115*②시니어_가정!$E$116/1000*(1+②시니어_가정!$E$118)^INT((BO15-1)/②시니어_가정!$E$119)</f>
        <v>146.1804</v>
      </c>
      <c r="BP23" s="37" t="n">
        <f aca="false">(BP14=1)*②시니어_가정!$D$38*②시니어_가정!$E$115*②시니어_가정!$E$116/1000*(1+②시니어_가정!$E$118)^INT((BP15-1)/②시니어_가정!$E$119)</f>
        <v>146.1804</v>
      </c>
      <c r="BQ23" s="37" t="n">
        <f aca="false">(BQ14=1)*②시니어_가정!$D$38*②시니어_가정!$E$115*②시니어_가정!$E$116/1000*(1+②시니어_가정!$E$118)^INT((BQ15-1)/②시니어_가정!$E$119)</f>
        <v>146.1804</v>
      </c>
      <c r="BR23" s="37" t="n">
        <f aca="false">(BR14=1)*②시니어_가정!$D$38*②시니어_가정!$E$115*②시니어_가정!$E$116/1000*(1+②시니어_가정!$E$118)^INT((BR15-1)/②시니어_가정!$E$119)</f>
        <v>146.1804</v>
      </c>
      <c r="BS23" s="37" t="n">
        <f aca="false">(BS14=1)*②시니어_가정!$D$38*②시니어_가정!$E$115*②시니어_가정!$E$116/1000*(1+②시니어_가정!$E$118)^INT((BS15-1)/②시니어_가정!$E$119)</f>
        <v>146.1804</v>
      </c>
      <c r="BT23" s="37" t="n">
        <f aca="false">(BT14=1)*②시니어_가정!$D$38*②시니어_가정!$E$115*②시니어_가정!$E$116/1000*(1+②시니어_가정!$E$118)^INT((BT15-1)/②시니어_가정!$E$119)</f>
        <v>146.1804</v>
      </c>
      <c r="BU23" s="37" t="n">
        <f aca="false">(BU14=1)*②시니어_가정!$D$38*②시니어_가정!$E$115*②시니어_가정!$E$116/1000*(1+②시니어_가정!$E$118)^INT((BU15-1)/②시니어_가정!$E$119)</f>
        <v>146.1804</v>
      </c>
      <c r="BV23" s="37" t="n">
        <f aca="false">(BV14=1)*②시니어_가정!$D$38*②시니어_가정!$E$115*②시니어_가정!$E$116/1000*(1+②시니어_가정!$E$118)^INT((BV15-1)/②시니어_가정!$E$119)</f>
        <v>146.1804</v>
      </c>
      <c r="BW23" s="37" t="n">
        <f aca="false">(BW14=1)*②시니어_가정!$D$38*②시니어_가정!$E$115*②시니어_가정!$E$116/1000*(1+②시니어_가정!$E$118)^INT((BW15-1)/②시니어_가정!$E$119)</f>
        <v>146.1804</v>
      </c>
      <c r="BX23" s="37" t="n">
        <f aca="false">(BX14=1)*②시니어_가정!$D$38*②시니어_가정!$E$115*②시니어_가정!$E$116/1000*(1+②시니어_가정!$E$118)^INT((BX15-1)/②시니어_가정!$E$119)</f>
        <v>146.1804</v>
      </c>
      <c r="BY23" s="37" t="n">
        <f aca="false">(BY14=1)*②시니어_가정!$D$38*②시니어_가정!$E$115*②시니어_가정!$E$116/1000*(1+②시니어_가정!$E$118)^INT((BY15-1)/②시니어_가정!$E$119)</f>
        <v>149.104008</v>
      </c>
      <c r="BZ23" s="37" t="n">
        <f aca="false">(BZ14=1)*②시니어_가정!$D$38*②시니어_가정!$E$115*②시니어_가정!$E$116/1000*(1+②시니어_가정!$E$118)^INT((BZ15-1)/②시니어_가정!$E$119)</f>
        <v>149.104008</v>
      </c>
      <c r="CA23" s="37" t="n">
        <f aca="false">(CA14=1)*②시니어_가정!$D$38*②시니어_가정!$E$115*②시니어_가정!$E$116/1000*(1+②시니어_가정!$E$118)^INT((CA15-1)/②시니어_가정!$E$119)</f>
        <v>149.104008</v>
      </c>
      <c r="CB23" s="37" t="n">
        <f aca="false">(CB14=1)*②시니어_가정!$D$38*②시니어_가정!$E$115*②시니어_가정!$E$116/1000*(1+②시니어_가정!$E$118)^INT((CB15-1)/②시니어_가정!$E$119)</f>
        <v>149.104008</v>
      </c>
      <c r="CC23" s="37" t="n">
        <f aca="false">(CC14=1)*②시니어_가정!$D$38*②시니어_가정!$E$115*②시니어_가정!$E$116/1000*(1+②시니어_가정!$E$118)^INT((CC15-1)/②시니어_가정!$E$119)</f>
        <v>149.104008</v>
      </c>
      <c r="CD23" s="37" t="n">
        <f aca="false">(CD14=1)*②시니어_가정!$D$38*②시니어_가정!$E$115*②시니어_가정!$E$116/1000*(1+②시니어_가정!$E$118)^INT((CD15-1)/②시니어_가정!$E$119)</f>
        <v>149.104008</v>
      </c>
      <c r="CE23" s="37" t="n">
        <f aca="false">(CE14=1)*②시니어_가정!$D$38*②시니어_가정!$E$115*②시니어_가정!$E$116/1000*(1+②시니어_가정!$E$118)^INT((CE15-1)/②시니어_가정!$E$119)</f>
        <v>149.104008</v>
      </c>
      <c r="CF23" s="37" t="n">
        <f aca="false">(CF14=1)*②시니어_가정!$D$38*②시니어_가정!$E$115*②시니어_가정!$E$116/1000*(1+②시니어_가정!$E$118)^INT((CF15-1)/②시니어_가정!$E$119)</f>
        <v>149.104008</v>
      </c>
      <c r="CG23" s="37" t="n">
        <f aca="false">(CG14=1)*②시니어_가정!$D$38*②시니어_가정!$E$115*②시니어_가정!$E$116/1000*(1+②시니어_가정!$E$118)^INT((CG15-1)/②시니어_가정!$E$119)</f>
        <v>149.104008</v>
      </c>
      <c r="CH23" s="37" t="n">
        <f aca="false">(CH14=1)*②시니어_가정!$D$38*②시니어_가정!$E$115*②시니어_가정!$E$116/1000*(1+②시니어_가정!$E$118)^INT((CH15-1)/②시니어_가정!$E$119)</f>
        <v>149.104008</v>
      </c>
      <c r="CI23" s="37" t="n">
        <f aca="false">(CI14=1)*②시니어_가정!$D$38*②시니어_가정!$E$115*②시니어_가정!$E$116/1000*(1+②시니어_가정!$E$118)^INT((CI15-1)/②시니어_가정!$E$119)</f>
        <v>149.104008</v>
      </c>
      <c r="CJ23" s="37" t="n">
        <f aca="false">(CJ14=1)*②시니어_가정!$D$38*②시니어_가정!$E$115*②시니어_가정!$E$116/1000*(1+②시니어_가정!$E$118)^INT((CJ15-1)/②시니어_가정!$E$119)</f>
        <v>149.104008</v>
      </c>
      <c r="CK23" s="37" t="n">
        <f aca="false">(CK14=1)*②시니어_가정!$D$38*②시니어_가정!$E$115*②시니어_가정!$E$116/1000*(1+②시니어_가정!$E$118)^INT((CK15-1)/②시니어_가정!$E$119)</f>
        <v>152.08608816</v>
      </c>
      <c r="CL23" s="37" t="n">
        <f aca="false">(CL14=1)*②시니어_가정!$D$38*②시니어_가정!$E$115*②시니어_가정!$E$116/1000*(1+②시니어_가정!$E$118)^INT((CL15-1)/②시니어_가정!$E$119)</f>
        <v>152.08608816</v>
      </c>
      <c r="CM23" s="37" t="n">
        <f aca="false">(CM14=1)*②시니어_가정!$D$38*②시니어_가정!$E$115*②시니어_가정!$E$116/1000*(1+②시니어_가정!$E$118)^INT((CM15-1)/②시니어_가정!$E$119)</f>
        <v>152.08608816</v>
      </c>
      <c r="CN23" s="37" t="n">
        <f aca="false">(CN14=1)*②시니어_가정!$D$38*②시니어_가정!$E$115*②시니어_가정!$E$116/1000*(1+②시니어_가정!$E$118)^INT((CN15-1)/②시니어_가정!$E$119)</f>
        <v>152.08608816</v>
      </c>
      <c r="CO23" s="37" t="n">
        <f aca="false">(CO14=1)*②시니어_가정!$D$38*②시니어_가정!$E$115*②시니어_가정!$E$116/1000*(1+②시니어_가정!$E$118)^INT((CO15-1)/②시니어_가정!$E$119)</f>
        <v>152.08608816</v>
      </c>
      <c r="CP23" s="37" t="n">
        <f aca="false">(CP14=1)*②시니어_가정!$D$38*②시니어_가정!$E$115*②시니어_가정!$E$116/1000*(1+②시니어_가정!$E$118)^INT((CP15-1)/②시니어_가정!$E$119)</f>
        <v>152.08608816</v>
      </c>
      <c r="CQ23" s="37" t="n">
        <f aca="false">(CQ14=1)*②시니어_가정!$D$38*②시니어_가정!$E$115*②시니어_가정!$E$116/1000*(1+②시니어_가정!$E$118)^INT((CQ15-1)/②시니어_가정!$E$119)</f>
        <v>152.08608816</v>
      </c>
      <c r="CR23" s="37" t="n">
        <f aca="false">(CR14=1)*②시니어_가정!$D$38*②시니어_가정!$E$115*②시니어_가정!$E$116/1000*(1+②시니어_가정!$E$118)^INT((CR15-1)/②시니어_가정!$E$119)</f>
        <v>152.08608816</v>
      </c>
      <c r="CS23" s="37" t="n">
        <f aca="false">(CS14=1)*②시니어_가정!$D$38*②시니어_가정!$E$115*②시니어_가정!$E$116/1000*(1+②시니어_가정!$E$118)^INT((CS15-1)/②시니어_가정!$E$119)</f>
        <v>152.08608816</v>
      </c>
      <c r="CT23" s="37" t="n">
        <f aca="false">(CT14=1)*②시니어_가정!$D$38*②시니어_가정!$E$115*②시니어_가정!$E$116/1000*(1+②시니어_가정!$E$118)^INT((CT15-1)/②시니어_가정!$E$119)</f>
        <v>152.08608816</v>
      </c>
      <c r="CU23" s="37" t="n">
        <f aca="false">(CU14=1)*②시니어_가정!$D$38*②시니어_가정!$E$115*②시니어_가정!$E$116/1000*(1+②시니어_가정!$E$118)^INT((CU15-1)/②시니어_가정!$E$119)</f>
        <v>152.08608816</v>
      </c>
      <c r="CV23" s="37" t="n">
        <f aca="false">(CV14=1)*②시니어_가정!$D$38*②시니어_가정!$E$115*②시니어_가정!$E$116/1000*(1+②시니어_가정!$E$118)^INT((CV15-1)/②시니어_가정!$E$119)</f>
        <v>152.08608816</v>
      </c>
      <c r="CW23" s="37" t="n">
        <f aca="false">(CW14=1)*②시니어_가정!$D$38*②시니어_가정!$E$115*②시니어_가정!$E$116/1000*(1+②시니어_가정!$E$118)^INT((CW15-1)/②시니어_가정!$E$119)</f>
        <v>155.1278099232</v>
      </c>
      <c r="CX23" s="37" t="n">
        <f aca="false">(CX14=1)*②시니어_가정!$D$38*②시니어_가정!$E$115*②시니어_가정!$E$116/1000*(1+②시니어_가정!$E$118)^INT((CX15-1)/②시니어_가정!$E$119)</f>
        <v>155.1278099232</v>
      </c>
      <c r="CY23" s="37" t="n">
        <f aca="false">(CY14=1)*②시니어_가정!$D$38*②시니어_가정!$E$115*②시니어_가정!$E$116/1000*(1+②시니어_가정!$E$118)^INT((CY15-1)/②시니어_가정!$E$119)</f>
        <v>155.1278099232</v>
      </c>
      <c r="CZ23" s="37" t="n">
        <f aca="false">(CZ14=1)*②시니어_가정!$D$38*②시니어_가정!$E$115*②시니어_가정!$E$116/1000*(1+②시니어_가정!$E$118)^INT((CZ15-1)/②시니어_가정!$E$119)</f>
        <v>155.1278099232</v>
      </c>
      <c r="DA23" s="37" t="n">
        <f aca="false">(DA14=1)*②시니어_가정!$D$38*②시니어_가정!$E$115*②시니어_가정!$E$116/1000*(1+②시니어_가정!$E$118)^INT((DA15-1)/②시니어_가정!$E$119)</f>
        <v>155.1278099232</v>
      </c>
      <c r="DB23" s="37" t="n">
        <f aca="false">(DB14=1)*②시니어_가정!$D$38*②시니어_가정!$E$115*②시니어_가정!$E$116/1000*(1+②시니어_가정!$E$118)^INT((DB15-1)/②시니어_가정!$E$119)</f>
        <v>155.1278099232</v>
      </c>
      <c r="DC23" s="37" t="n">
        <f aca="false">(DC14=1)*②시니어_가정!$D$38*②시니어_가정!$E$115*②시니어_가정!$E$116/1000*(1+②시니어_가정!$E$118)^INT((DC15-1)/②시니어_가정!$E$119)</f>
        <v>155.1278099232</v>
      </c>
      <c r="DD23" s="37" t="n">
        <f aca="false">(DD14=1)*②시니어_가정!$D$38*②시니어_가정!$E$115*②시니어_가정!$E$116/1000*(1+②시니어_가정!$E$118)^INT((DD15-1)/②시니어_가정!$E$119)</f>
        <v>155.1278099232</v>
      </c>
      <c r="DE23" s="37" t="n">
        <f aca="false">(DE14=1)*②시니어_가정!$D$38*②시니어_가정!$E$115*②시니어_가정!$E$116/1000*(1+②시니어_가정!$E$118)^INT((DE15-1)/②시니어_가정!$E$119)</f>
        <v>155.1278099232</v>
      </c>
      <c r="DF23" s="37" t="n">
        <f aca="false">(DF14=1)*②시니어_가정!$D$38*②시니어_가정!$E$115*②시니어_가정!$E$116/1000*(1+②시니어_가정!$E$118)^INT((DF15-1)/②시니어_가정!$E$119)</f>
        <v>155.1278099232</v>
      </c>
      <c r="DG23" s="37" t="n">
        <f aca="false">(DG14=1)*②시니어_가정!$D$38*②시니어_가정!$E$115*②시니어_가정!$E$116/1000*(1+②시니어_가정!$E$118)^INT((DG15-1)/②시니어_가정!$E$119)</f>
        <v>155.1278099232</v>
      </c>
      <c r="DH23" s="37" t="n">
        <f aca="false">(DH14=1)*②시니어_가정!$D$38*②시니어_가정!$E$115*②시니어_가정!$E$116/1000*(1+②시니어_가정!$E$118)^INT((DH15-1)/②시니어_가정!$E$119)</f>
        <v>155.1278099232</v>
      </c>
      <c r="DI23" s="37" t="n">
        <f aca="false">(DI14=1)*②시니어_가정!$D$38*②시니어_가정!$E$115*②시니어_가정!$E$116/1000*(1+②시니어_가정!$E$118)^INT((DI15-1)/②시니어_가정!$E$119)</f>
        <v>158.230366121664</v>
      </c>
      <c r="DJ23" s="37" t="n">
        <f aca="false">(DJ14=1)*②시니어_가정!$D$38*②시니어_가정!$E$115*②시니어_가정!$E$116/1000*(1+②시니어_가정!$E$118)^INT((DJ15-1)/②시니어_가정!$E$119)</f>
        <v>158.230366121664</v>
      </c>
      <c r="DK23" s="37" t="n">
        <f aca="false">(DK14=1)*②시니어_가정!$D$38*②시니어_가정!$E$115*②시니어_가정!$E$116/1000*(1+②시니어_가정!$E$118)^INT((DK15-1)/②시니어_가정!$E$119)</f>
        <v>158.230366121664</v>
      </c>
      <c r="DL23" s="37" t="n">
        <f aca="false">(DL14=1)*②시니어_가정!$D$38*②시니어_가정!$E$115*②시니어_가정!$E$116/1000*(1+②시니어_가정!$E$118)^INT((DL15-1)/②시니어_가정!$E$119)</f>
        <v>158.230366121664</v>
      </c>
      <c r="DM23" s="37" t="n">
        <f aca="false">(DM14=1)*②시니어_가정!$D$38*②시니어_가정!$E$115*②시니어_가정!$E$116/1000*(1+②시니어_가정!$E$118)^INT((DM15-1)/②시니어_가정!$E$119)</f>
        <v>158.230366121664</v>
      </c>
      <c r="DN23" s="37" t="n">
        <f aca="false">(DN14=1)*②시니어_가정!$D$38*②시니어_가정!$E$115*②시니어_가정!$E$116/1000*(1+②시니어_가정!$E$118)^INT((DN15-1)/②시니어_가정!$E$119)</f>
        <v>158.230366121664</v>
      </c>
      <c r="DO23" s="37" t="n">
        <f aca="false">(DO14=1)*②시니어_가정!$D$38*②시니어_가정!$E$115*②시니어_가정!$E$116/1000*(1+②시니어_가정!$E$118)^INT((DO15-1)/②시니어_가정!$E$119)</f>
        <v>158.230366121664</v>
      </c>
      <c r="DP23" s="37" t="n">
        <f aca="false">(DP14=1)*②시니어_가정!$D$38*②시니어_가정!$E$115*②시니어_가정!$E$116/1000*(1+②시니어_가정!$E$118)^INT((DP15-1)/②시니어_가정!$E$119)</f>
        <v>158.230366121664</v>
      </c>
      <c r="DQ23" s="37" t="n">
        <f aca="false">(DQ14=1)*②시니어_가정!$D$38*②시니어_가정!$E$115*②시니어_가정!$E$116/1000*(1+②시니어_가정!$E$118)^INT((DQ15-1)/②시니어_가정!$E$119)</f>
        <v>158.230366121664</v>
      </c>
      <c r="DR23" s="37" t="n">
        <f aca="false">(DR14=1)*②시니어_가정!$D$38*②시니어_가정!$E$115*②시니어_가정!$E$116/1000*(1+②시니어_가정!$E$118)^INT((DR15-1)/②시니어_가정!$E$119)</f>
        <v>158.230366121664</v>
      </c>
      <c r="DS23" s="37" t="n">
        <f aca="false">(DS14=1)*②시니어_가정!$D$38*②시니어_가정!$E$115*②시니어_가정!$E$116/1000*(1+②시니어_가정!$E$118)^INT((DS15-1)/②시니어_가정!$E$119)</f>
        <v>158.230366121664</v>
      </c>
      <c r="DT23" s="37" t="n">
        <f aca="false">(DT14=1)*②시니어_가정!$D$38*②시니어_가정!$E$115*②시니어_가정!$E$116/1000*(1+②시니어_가정!$E$118)^INT((DT15-1)/②시니어_가정!$E$119)</f>
        <v>158.230366121664</v>
      </c>
      <c r="DU23" s="37" t="n">
        <f aca="false">(DU14=1)*②시니어_가정!$D$38*②시니어_가정!$E$115*②시니어_가정!$E$116/1000*(1+②시니어_가정!$E$118)^INT((DU15-1)/②시니어_가정!$E$119)</f>
        <v>0</v>
      </c>
      <c r="DV23" s="37" t="n">
        <f aca="false">(DV14=1)*②시니어_가정!$D$38*②시니어_가정!$E$115*②시니어_가정!$E$116/1000*(1+②시니어_가정!$E$118)^INT((DV15-1)/②시니어_가정!$E$119)</f>
        <v>0</v>
      </c>
      <c r="DW23" s="37" t="n">
        <f aca="false">(DW14=1)*②시니어_가정!$D$38*②시니어_가정!$E$115*②시니어_가정!$E$116/1000*(1+②시니어_가정!$E$118)^INT((DW15-1)/②시니어_가정!$E$119)</f>
        <v>0</v>
      </c>
      <c r="DX23" s="37" t="n">
        <f aca="false">(DX14=1)*②시니어_가정!$D$38*②시니어_가정!$E$115*②시니어_가정!$E$116/1000*(1+②시니어_가정!$E$118)^INT((DX15-1)/②시니어_가정!$E$119)</f>
        <v>0</v>
      </c>
      <c r="DY23" s="37" t="n">
        <f aca="false">(DY14=1)*②시니어_가정!$D$38*②시니어_가정!$E$115*②시니어_가정!$E$116/1000*(1+②시니어_가정!$E$118)^INT((DY15-1)/②시니어_가정!$E$119)</f>
        <v>0</v>
      </c>
      <c r="DZ23" s="37" t="n">
        <f aca="false">(DZ14=1)*②시니어_가정!$D$38*②시니어_가정!$E$115*②시니어_가정!$E$116/1000*(1+②시니어_가정!$E$118)^INT((DZ15-1)/②시니어_가정!$E$119)</f>
        <v>0</v>
      </c>
      <c r="EA23" s="37" t="n">
        <f aca="false">(EA14=1)*②시니어_가정!$D$38*②시니어_가정!$E$115*②시니어_가정!$E$116/1000*(1+②시니어_가정!$E$118)^INT((EA15-1)/②시니어_가정!$E$119)</f>
        <v>0</v>
      </c>
      <c r="EB23" s="37" t="n">
        <f aca="false">(EB14=1)*②시니어_가정!$D$38*②시니어_가정!$E$115*②시니어_가정!$E$116/1000*(1+②시니어_가정!$E$118)^INT((EB15-1)/②시니어_가정!$E$119)</f>
        <v>0</v>
      </c>
      <c r="EC23" s="37" t="n">
        <f aca="false">(EC14=1)*②시니어_가정!$D$38*②시니어_가정!$E$115*②시니어_가정!$E$116/1000*(1+②시니어_가정!$E$118)^INT((EC15-1)/②시니어_가정!$E$119)</f>
        <v>0</v>
      </c>
      <c r="ED23" s="37" t="n">
        <f aca="false">(ED14=1)*②시니어_가정!$D$38*②시니어_가정!$E$115*②시니어_가정!$E$116/1000*(1+②시니어_가정!$E$118)^INT((ED15-1)/②시니어_가정!$E$119)</f>
        <v>0</v>
      </c>
      <c r="EE23" s="37" t="n">
        <f aca="false">(EE14=1)*②시니어_가정!$D$38*②시니어_가정!$E$115*②시니어_가정!$E$116/1000*(1+②시니어_가정!$E$118)^INT((EE15-1)/②시니어_가정!$E$119)</f>
        <v>0</v>
      </c>
      <c r="EF23" s="37" t="n">
        <f aca="false">(EF14=1)*②시니어_가정!$D$38*②시니어_가정!$E$115*②시니어_가정!$E$116/1000*(1+②시니어_가정!$E$118)^INT((EF15-1)/②시니어_가정!$E$119)</f>
        <v>0</v>
      </c>
    </row>
    <row r="24" customFormat="false" ht="15" hidden="false" customHeight="false" outlineLevel="0" collapsed="false">
      <c r="A24" s="36" t="s">
        <v>579</v>
      </c>
      <c r="B24" s="278" t="s">
        <v>21</v>
      </c>
      <c r="C24" s="279" t="n">
        <f aca="false">SUM(E24:EF24)</f>
        <v>0</v>
      </c>
      <c r="E24" s="37" t="n">
        <f aca="false">(E14=1)*②시니어_가정!$E$38*②시니어_가정!$G$129*CHOOSE(MIN(MAX(E16,1),3),②시니어_가정!$E$136,②시니어_가정!$E$137,②시니어_가정!$E$138)*E18/1000000*(1+②시니어_가정!$E$132)^(MAX(E16,1)-1)</f>
        <v>0</v>
      </c>
      <c r="F24" s="37" t="n">
        <f aca="false">(F14=1)*②시니어_가정!$E$38*②시니어_가정!$G$129*CHOOSE(MIN(MAX(F16,1),3),②시니어_가정!$E$136,②시니어_가정!$E$137,②시니어_가정!$E$138)*F18/1000000*(1+②시니어_가정!$E$132)^(MAX(F16,1)-1)</f>
        <v>0</v>
      </c>
      <c r="G24" s="37" t="n">
        <f aca="false">(G14=1)*②시니어_가정!$E$38*②시니어_가정!$G$129*CHOOSE(MIN(MAX(G16,1),3),②시니어_가정!$E$136,②시니어_가정!$E$137,②시니어_가정!$E$138)*G18/1000000*(1+②시니어_가정!$E$132)^(MAX(G16,1)-1)</f>
        <v>0</v>
      </c>
      <c r="H24" s="37" t="n">
        <f aca="false">(H14=1)*②시니어_가정!$E$38*②시니어_가정!$G$129*CHOOSE(MIN(MAX(H16,1),3),②시니어_가정!$E$136,②시니어_가정!$E$137,②시니어_가정!$E$138)*H18/1000000*(1+②시니어_가정!$E$132)^(MAX(H16,1)-1)</f>
        <v>0</v>
      </c>
      <c r="I24" s="37" t="n">
        <f aca="false">(I14=1)*②시니어_가정!$E$38*②시니어_가정!$G$129*CHOOSE(MIN(MAX(I16,1),3),②시니어_가정!$E$136,②시니어_가정!$E$137,②시니어_가정!$E$138)*I18/1000000*(1+②시니어_가정!$E$132)^(MAX(I16,1)-1)</f>
        <v>0</v>
      </c>
      <c r="J24" s="37" t="n">
        <f aca="false">(J14=1)*②시니어_가정!$E$38*②시니어_가정!$G$129*CHOOSE(MIN(MAX(J16,1),3),②시니어_가정!$E$136,②시니어_가정!$E$137,②시니어_가정!$E$138)*J18/1000000*(1+②시니어_가정!$E$132)^(MAX(J16,1)-1)</f>
        <v>0</v>
      </c>
      <c r="K24" s="37" t="n">
        <f aca="false">(K14=1)*②시니어_가정!$E$38*②시니어_가정!$G$129*CHOOSE(MIN(MAX(K16,1),3),②시니어_가정!$E$136,②시니어_가정!$E$137,②시니어_가정!$E$138)*K18/1000000*(1+②시니어_가정!$E$132)^(MAX(K16,1)-1)</f>
        <v>0</v>
      </c>
      <c r="L24" s="37" t="n">
        <f aca="false">(L14=1)*②시니어_가정!$E$38*②시니어_가정!$G$129*CHOOSE(MIN(MAX(L16,1),3),②시니어_가정!$E$136,②시니어_가정!$E$137,②시니어_가정!$E$138)*L18/1000000*(1+②시니어_가정!$E$132)^(MAX(L16,1)-1)</f>
        <v>0</v>
      </c>
      <c r="M24" s="37" t="n">
        <f aca="false">(M14=1)*②시니어_가정!$E$38*②시니어_가정!$G$129*CHOOSE(MIN(MAX(M16,1),3),②시니어_가정!$E$136,②시니어_가정!$E$137,②시니어_가정!$E$138)*M18/1000000*(1+②시니어_가정!$E$132)^(MAX(M16,1)-1)</f>
        <v>0</v>
      </c>
      <c r="N24" s="37" t="n">
        <f aca="false">(N14=1)*②시니어_가정!$E$38*②시니어_가정!$G$129*CHOOSE(MIN(MAX(N16,1),3),②시니어_가정!$E$136,②시니어_가정!$E$137,②시니어_가정!$E$138)*N18/1000000*(1+②시니어_가정!$E$132)^(MAX(N16,1)-1)</f>
        <v>0</v>
      </c>
      <c r="O24" s="37" t="n">
        <f aca="false">(O14=1)*②시니어_가정!$E$38*②시니어_가정!$G$129*CHOOSE(MIN(MAX(O16,1),3),②시니어_가정!$E$136,②시니어_가정!$E$137,②시니어_가정!$E$138)*O18/1000000*(1+②시니어_가정!$E$132)^(MAX(O16,1)-1)</f>
        <v>0</v>
      </c>
      <c r="P24" s="37" t="n">
        <f aca="false">(P14=1)*②시니어_가정!$E$38*②시니어_가정!$G$129*CHOOSE(MIN(MAX(P16,1),3),②시니어_가정!$E$136,②시니어_가정!$E$137,②시니어_가정!$E$138)*P18/1000000*(1+②시니어_가정!$E$132)^(MAX(P16,1)-1)</f>
        <v>0</v>
      </c>
      <c r="Q24" s="37" t="n">
        <f aca="false">(Q14=1)*②시니어_가정!$E$38*②시니어_가정!$G$129*CHOOSE(MIN(MAX(Q16,1),3),②시니어_가정!$E$136,②시니어_가정!$E$137,②시니어_가정!$E$138)*Q18/1000000*(1+②시니어_가정!$E$132)^(MAX(Q16,1)-1)</f>
        <v>0</v>
      </c>
      <c r="R24" s="37" t="n">
        <f aca="false">(R14=1)*②시니어_가정!$E$38*②시니어_가정!$G$129*CHOOSE(MIN(MAX(R16,1),3),②시니어_가정!$E$136,②시니어_가정!$E$137,②시니어_가정!$E$138)*R18/1000000*(1+②시니어_가정!$E$132)^(MAX(R16,1)-1)</f>
        <v>0</v>
      </c>
      <c r="S24" s="37" t="n">
        <f aca="false">(S14=1)*②시니어_가정!$E$38*②시니어_가정!$G$129*CHOOSE(MIN(MAX(S16,1),3),②시니어_가정!$E$136,②시니어_가정!$E$137,②시니어_가정!$E$138)*S18/1000000*(1+②시니어_가정!$E$132)^(MAX(S16,1)-1)</f>
        <v>0</v>
      </c>
      <c r="T24" s="37" t="n">
        <f aca="false">(T14=1)*②시니어_가정!$E$38*②시니어_가정!$G$129*CHOOSE(MIN(MAX(T16,1),3),②시니어_가정!$E$136,②시니어_가정!$E$137,②시니어_가정!$E$138)*T18/1000000*(1+②시니어_가정!$E$132)^(MAX(T16,1)-1)</f>
        <v>0</v>
      </c>
      <c r="U24" s="37" t="n">
        <f aca="false">(U14=1)*②시니어_가정!$E$38*②시니어_가정!$G$129*CHOOSE(MIN(MAX(U16,1),3),②시니어_가정!$E$136,②시니어_가정!$E$137,②시니어_가정!$E$138)*U18/1000000*(1+②시니어_가정!$E$132)^(MAX(U16,1)-1)</f>
        <v>0</v>
      </c>
      <c r="V24" s="37" t="n">
        <f aca="false">(V14=1)*②시니어_가정!$E$38*②시니어_가정!$G$129*CHOOSE(MIN(MAX(V16,1),3),②시니어_가정!$E$136,②시니어_가정!$E$137,②시니어_가정!$E$138)*V18/1000000*(1+②시니어_가정!$E$132)^(MAX(V16,1)-1)</f>
        <v>0</v>
      </c>
      <c r="W24" s="37" t="n">
        <f aca="false">(W14=1)*②시니어_가정!$E$38*②시니어_가정!$G$129*CHOOSE(MIN(MAX(W16,1),3),②시니어_가정!$E$136,②시니어_가정!$E$137,②시니어_가정!$E$138)*W18/1000000*(1+②시니어_가정!$E$132)^(MAX(W16,1)-1)</f>
        <v>0</v>
      </c>
      <c r="X24" s="37" t="n">
        <f aca="false">(X14=1)*②시니어_가정!$E$38*②시니어_가정!$G$129*CHOOSE(MIN(MAX(X16,1),3),②시니어_가정!$E$136,②시니어_가정!$E$137,②시니어_가정!$E$138)*X18/1000000*(1+②시니어_가정!$E$132)^(MAX(X16,1)-1)</f>
        <v>0</v>
      </c>
      <c r="Y24" s="37" t="n">
        <f aca="false">(Y14=1)*②시니어_가정!$E$38*②시니어_가정!$G$129*CHOOSE(MIN(MAX(Y16,1),3),②시니어_가정!$E$136,②시니어_가정!$E$137,②시니어_가정!$E$138)*Y18/1000000*(1+②시니어_가정!$E$132)^(MAX(Y16,1)-1)</f>
        <v>0</v>
      </c>
      <c r="Z24" s="37" t="n">
        <f aca="false">(Z14=1)*②시니어_가정!$E$38*②시니어_가정!$G$129*CHOOSE(MIN(MAX(Z16,1),3),②시니어_가정!$E$136,②시니어_가정!$E$137,②시니어_가정!$E$138)*Z18/1000000*(1+②시니어_가정!$E$132)^(MAX(Z16,1)-1)</f>
        <v>0</v>
      </c>
      <c r="AA24" s="37" t="n">
        <f aca="false">(AA14=1)*②시니어_가정!$E$38*②시니어_가정!$G$129*CHOOSE(MIN(MAX(AA16,1),3),②시니어_가정!$E$136,②시니어_가정!$E$137,②시니어_가정!$E$138)*AA18/1000000*(1+②시니어_가정!$E$132)^(MAX(AA16,1)-1)</f>
        <v>0</v>
      </c>
      <c r="AB24" s="37" t="n">
        <f aca="false">(AB14=1)*②시니어_가정!$E$38*②시니어_가정!$G$129*CHOOSE(MIN(MAX(AB16,1),3),②시니어_가정!$E$136,②시니어_가정!$E$137,②시니어_가정!$E$138)*AB18/1000000*(1+②시니어_가정!$E$132)^(MAX(AB16,1)-1)</f>
        <v>0</v>
      </c>
      <c r="AC24" s="37" t="n">
        <f aca="false">(AC14=1)*②시니어_가정!$E$38*②시니어_가정!$G$129*CHOOSE(MIN(MAX(AC16,1),3),②시니어_가정!$E$136,②시니어_가정!$E$137,②시니어_가정!$E$138)*AC18/1000000*(1+②시니어_가정!$E$132)^(MAX(AC16,1)-1)</f>
        <v>0</v>
      </c>
      <c r="AD24" s="37" t="n">
        <f aca="false">(AD14=1)*②시니어_가정!$E$38*②시니어_가정!$G$129*CHOOSE(MIN(MAX(AD16,1),3),②시니어_가정!$E$136,②시니어_가정!$E$137,②시니어_가정!$E$138)*AD18/1000000*(1+②시니어_가정!$E$132)^(MAX(AD16,1)-1)</f>
        <v>0</v>
      </c>
      <c r="AE24" s="37" t="n">
        <f aca="false">(AE14=1)*②시니어_가정!$E$38*②시니어_가정!$G$129*CHOOSE(MIN(MAX(AE16,1),3),②시니어_가정!$E$136,②시니어_가정!$E$137,②시니어_가정!$E$138)*AE18/1000000*(1+②시니어_가정!$E$132)^(MAX(AE16,1)-1)</f>
        <v>0</v>
      </c>
      <c r="AF24" s="37" t="n">
        <f aca="false">(AF14=1)*②시니어_가정!$E$38*②시니어_가정!$G$129*CHOOSE(MIN(MAX(AF16,1),3),②시니어_가정!$E$136,②시니어_가정!$E$137,②시니어_가정!$E$138)*AF18/1000000*(1+②시니어_가정!$E$132)^(MAX(AF16,1)-1)</f>
        <v>0</v>
      </c>
      <c r="AG24" s="37" t="n">
        <f aca="false">(AG14=1)*②시니어_가정!$E$38*②시니어_가정!$G$129*CHOOSE(MIN(MAX(AG16,1),3),②시니어_가정!$E$136,②시니어_가정!$E$137,②시니어_가정!$E$138)*AG18/1000000*(1+②시니어_가정!$E$132)^(MAX(AG16,1)-1)</f>
        <v>0</v>
      </c>
      <c r="AH24" s="37" t="n">
        <f aca="false">(AH14=1)*②시니어_가정!$E$38*②시니어_가정!$G$129*CHOOSE(MIN(MAX(AH16,1),3),②시니어_가정!$E$136,②시니어_가정!$E$137,②시니어_가정!$E$138)*AH18/1000000*(1+②시니어_가정!$E$132)^(MAX(AH16,1)-1)</f>
        <v>0</v>
      </c>
      <c r="AI24" s="37" t="n">
        <f aca="false">(AI14=1)*②시니어_가정!$E$38*②시니어_가정!$G$129*CHOOSE(MIN(MAX(AI16,1),3),②시니어_가정!$E$136,②시니어_가정!$E$137,②시니어_가정!$E$138)*AI18/1000000*(1+②시니어_가정!$E$132)^(MAX(AI16,1)-1)</f>
        <v>0</v>
      </c>
      <c r="AJ24" s="37" t="n">
        <f aca="false">(AJ14=1)*②시니어_가정!$E$38*②시니어_가정!$G$129*CHOOSE(MIN(MAX(AJ16,1),3),②시니어_가정!$E$136,②시니어_가정!$E$137,②시니어_가정!$E$138)*AJ18/1000000*(1+②시니어_가정!$E$132)^(MAX(AJ16,1)-1)</f>
        <v>0</v>
      </c>
      <c r="AK24" s="37" t="n">
        <f aca="false">(AK14=1)*②시니어_가정!$E$38*②시니어_가정!$G$129*CHOOSE(MIN(MAX(AK16,1),3),②시니어_가정!$E$136,②시니어_가정!$E$137,②시니어_가정!$E$138)*AK18/1000000*(1+②시니어_가정!$E$132)^(MAX(AK16,1)-1)</f>
        <v>0</v>
      </c>
      <c r="AL24" s="37" t="n">
        <f aca="false">(AL14=1)*②시니어_가정!$E$38*②시니어_가정!$G$129*CHOOSE(MIN(MAX(AL16,1),3),②시니어_가정!$E$136,②시니어_가정!$E$137,②시니어_가정!$E$138)*AL18/1000000*(1+②시니어_가정!$E$132)^(MAX(AL16,1)-1)</f>
        <v>0</v>
      </c>
      <c r="AM24" s="37" t="n">
        <f aca="false">(AM14=1)*②시니어_가정!$E$38*②시니어_가정!$G$129*CHOOSE(MIN(MAX(AM16,1),3),②시니어_가정!$E$136,②시니어_가정!$E$137,②시니어_가정!$E$138)*AM18/1000000*(1+②시니어_가정!$E$132)^(MAX(AM16,1)-1)</f>
        <v>0</v>
      </c>
      <c r="AN24" s="37" t="n">
        <f aca="false">(AN14=1)*②시니어_가정!$E$38*②시니어_가정!$G$129*CHOOSE(MIN(MAX(AN16,1),3),②시니어_가정!$E$136,②시니어_가정!$E$137,②시니어_가정!$E$138)*AN18/1000000*(1+②시니어_가정!$E$132)^(MAX(AN16,1)-1)</f>
        <v>0</v>
      </c>
      <c r="AO24" s="37" t="n">
        <f aca="false">(AO14=1)*②시니어_가정!$E$38*②시니어_가정!$G$129*CHOOSE(MIN(MAX(AO16,1),3),②시니어_가정!$E$136,②시니어_가정!$E$137,②시니어_가정!$E$138)*AO18/1000000*(1+②시니어_가정!$E$132)^(MAX(AO16,1)-1)</f>
        <v>0</v>
      </c>
      <c r="AP24" s="37" t="n">
        <f aca="false">(AP14=1)*②시니어_가정!$E$38*②시니어_가정!$G$129*CHOOSE(MIN(MAX(AP16,1),3),②시니어_가정!$E$136,②시니어_가정!$E$137,②시니어_가정!$E$138)*AP18/1000000*(1+②시니어_가정!$E$132)^(MAX(AP16,1)-1)</f>
        <v>0</v>
      </c>
      <c r="AQ24" s="37" t="n">
        <f aca="false">(AQ14=1)*②시니어_가정!$E$38*②시니어_가정!$G$129*CHOOSE(MIN(MAX(AQ16,1),3),②시니어_가정!$E$136,②시니어_가정!$E$137,②시니어_가정!$E$138)*AQ18/1000000*(1+②시니어_가정!$E$132)^(MAX(AQ16,1)-1)</f>
        <v>0</v>
      </c>
      <c r="AR24" s="37" t="n">
        <f aca="false">(AR14=1)*②시니어_가정!$E$38*②시니어_가정!$G$129*CHOOSE(MIN(MAX(AR16,1),3),②시니어_가정!$E$136,②시니어_가정!$E$137,②시니어_가정!$E$138)*AR18/1000000*(1+②시니어_가정!$E$132)^(MAX(AR16,1)-1)</f>
        <v>0</v>
      </c>
      <c r="AS24" s="37" t="n">
        <f aca="false">(AS14=1)*②시니어_가정!$E$38*②시니어_가정!$G$129*CHOOSE(MIN(MAX(AS16,1),3),②시니어_가정!$E$136,②시니어_가정!$E$137,②시니어_가정!$E$138)*AS18/1000000*(1+②시니어_가정!$E$132)^(MAX(AS16,1)-1)</f>
        <v>0</v>
      </c>
      <c r="AT24" s="37" t="n">
        <f aca="false">(AT14=1)*②시니어_가정!$E$38*②시니어_가정!$G$129*CHOOSE(MIN(MAX(AT16,1),3),②시니어_가정!$E$136,②시니어_가정!$E$137,②시니어_가정!$E$138)*AT18/1000000*(1+②시니어_가정!$E$132)^(MAX(AT16,1)-1)</f>
        <v>0</v>
      </c>
      <c r="AU24" s="37" t="n">
        <f aca="false">(AU14=1)*②시니어_가정!$E$38*②시니어_가정!$G$129*CHOOSE(MIN(MAX(AU16,1),3),②시니어_가정!$E$136,②시니어_가정!$E$137,②시니어_가정!$E$138)*AU18/1000000*(1+②시니어_가정!$E$132)^(MAX(AU16,1)-1)</f>
        <v>0</v>
      </c>
      <c r="AV24" s="37" t="n">
        <f aca="false">(AV14=1)*②시니어_가정!$E$38*②시니어_가정!$G$129*CHOOSE(MIN(MAX(AV16,1),3),②시니어_가정!$E$136,②시니어_가정!$E$137,②시니어_가정!$E$138)*AV18/1000000*(1+②시니어_가정!$E$132)^(MAX(AV16,1)-1)</f>
        <v>0</v>
      </c>
      <c r="AW24" s="37" t="n">
        <f aca="false">(AW14=1)*②시니어_가정!$E$38*②시니어_가정!$G$129*CHOOSE(MIN(MAX(AW16,1),3),②시니어_가정!$E$136,②시니어_가정!$E$137,②시니어_가정!$E$138)*AW18/1000000*(1+②시니어_가정!$E$132)^(MAX(AW16,1)-1)</f>
        <v>0</v>
      </c>
      <c r="AX24" s="37" t="n">
        <f aca="false">(AX14=1)*②시니어_가정!$E$38*②시니어_가정!$G$129*CHOOSE(MIN(MAX(AX16,1),3),②시니어_가정!$E$136,②시니어_가정!$E$137,②시니어_가정!$E$138)*AX18/1000000*(1+②시니어_가정!$E$132)^(MAX(AX16,1)-1)</f>
        <v>0</v>
      </c>
      <c r="AY24" s="37" t="n">
        <f aca="false">(AY14=1)*②시니어_가정!$E$38*②시니어_가정!$G$129*CHOOSE(MIN(MAX(AY16,1),3),②시니어_가정!$E$136,②시니어_가정!$E$137,②시니어_가정!$E$138)*AY18/1000000*(1+②시니어_가정!$E$132)^(MAX(AY16,1)-1)</f>
        <v>0</v>
      </c>
      <c r="AZ24" s="37" t="n">
        <f aca="false">(AZ14=1)*②시니어_가정!$E$38*②시니어_가정!$G$129*CHOOSE(MIN(MAX(AZ16,1),3),②시니어_가정!$E$136,②시니어_가정!$E$137,②시니어_가정!$E$138)*AZ18/1000000*(1+②시니어_가정!$E$132)^(MAX(AZ16,1)-1)</f>
        <v>0</v>
      </c>
      <c r="BA24" s="37" t="n">
        <f aca="false">(BA14=1)*②시니어_가정!$E$38*②시니어_가정!$G$129*CHOOSE(MIN(MAX(BA16,1),3),②시니어_가정!$E$136,②시니어_가정!$E$137,②시니어_가정!$E$138)*BA18/1000000*(1+②시니어_가정!$E$132)^(MAX(BA16,1)-1)</f>
        <v>0</v>
      </c>
      <c r="BB24" s="37" t="n">
        <f aca="false">(BB14=1)*②시니어_가정!$E$38*②시니어_가정!$G$129*CHOOSE(MIN(MAX(BB16,1),3),②시니어_가정!$E$136,②시니어_가정!$E$137,②시니어_가정!$E$138)*BB18/1000000*(1+②시니어_가정!$E$132)^(MAX(BB16,1)-1)</f>
        <v>0</v>
      </c>
      <c r="BC24" s="37" t="n">
        <f aca="false">(BC14=1)*②시니어_가정!$E$38*②시니어_가정!$G$129*CHOOSE(MIN(MAX(BC16,1),3),②시니어_가정!$E$136,②시니어_가정!$E$137,②시니어_가정!$E$138)*BC18/1000000*(1+②시니어_가정!$E$132)^(MAX(BC16,1)-1)</f>
        <v>0</v>
      </c>
      <c r="BD24" s="37" t="n">
        <f aca="false">(BD14=1)*②시니어_가정!$E$38*②시니어_가정!$G$129*CHOOSE(MIN(MAX(BD16,1),3),②시니어_가정!$E$136,②시니어_가정!$E$137,②시니어_가정!$E$138)*BD18/1000000*(1+②시니어_가정!$E$132)^(MAX(BD16,1)-1)</f>
        <v>0</v>
      </c>
      <c r="BE24" s="37" t="n">
        <f aca="false">(BE14=1)*②시니어_가정!$E$38*②시니어_가정!$G$129*CHOOSE(MIN(MAX(BE16,1),3),②시니어_가정!$E$136,②시니어_가정!$E$137,②시니어_가정!$E$138)*BE18/1000000*(1+②시니어_가정!$E$132)^(MAX(BE16,1)-1)</f>
        <v>0</v>
      </c>
      <c r="BF24" s="37" t="n">
        <f aca="false">(BF14=1)*②시니어_가정!$E$38*②시니어_가정!$G$129*CHOOSE(MIN(MAX(BF16,1),3),②시니어_가정!$E$136,②시니어_가정!$E$137,②시니어_가정!$E$138)*BF18/1000000*(1+②시니어_가정!$E$132)^(MAX(BF16,1)-1)</f>
        <v>0</v>
      </c>
      <c r="BG24" s="37" t="n">
        <f aca="false">(BG14=1)*②시니어_가정!$E$38*②시니어_가정!$G$129*CHOOSE(MIN(MAX(BG16,1),3),②시니어_가정!$E$136,②시니어_가정!$E$137,②시니어_가정!$E$138)*BG18/1000000*(1+②시니어_가정!$E$132)^(MAX(BG16,1)-1)</f>
        <v>0</v>
      </c>
      <c r="BH24" s="37" t="n">
        <f aca="false">(BH14=1)*②시니어_가정!$E$38*②시니어_가정!$G$129*CHOOSE(MIN(MAX(BH16,1),3),②시니어_가정!$E$136,②시니어_가정!$E$137,②시니어_가정!$E$138)*BH18/1000000*(1+②시니어_가정!$E$132)^(MAX(BH16,1)-1)</f>
        <v>0</v>
      </c>
      <c r="BI24" s="37" t="n">
        <f aca="false">(BI14=1)*②시니어_가정!$E$38*②시니어_가정!$G$129*CHOOSE(MIN(MAX(BI16,1),3),②시니어_가정!$E$136,②시니어_가정!$E$137,②시니어_가정!$E$138)*BI18/1000000*(1+②시니어_가정!$E$132)^(MAX(BI16,1)-1)</f>
        <v>0</v>
      </c>
      <c r="BJ24" s="37" t="n">
        <f aca="false">(BJ14=1)*②시니어_가정!$E$38*②시니어_가정!$G$129*CHOOSE(MIN(MAX(BJ16,1),3),②시니어_가정!$E$136,②시니어_가정!$E$137,②시니어_가정!$E$138)*BJ18/1000000*(1+②시니어_가정!$E$132)^(MAX(BJ16,1)-1)</f>
        <v>0</v>
      </c>
      <c r="BK24" s="37" t="n">
        <f aca="false">(BK14=1)*②시니어_가정!$E$38*②시니어_가정!$G$129*CHOOSE(MIN(MAX(BK16,1),3),②시니어_가정!$E$136,②시니어_가정!$E$137,②시니어_가정!$E$138)*BK18/1000000*(1+②시니어_가정!$E$132)^(MAX(BK16,1)-1)</f>
        <v>0</v>
      </c>
      <c r="BL24" s="37" t="n">
        <f aca="false">(BL14=1)*②시니어_가정!$E$38*②시니어_가정!$G$129*CHOOSE(MIN(MAX(BL16,1),3),②시니어_가정!$E$136,②시니어_가정!$E$137,②시니어_가정!$E$138)*BL18/1000000*(1+②시니어_가정!$E$132)^(MAX(BL16,1)-1)</f>
        <v>0</v>
      </c>
      <c r="BM24" s="37" t="n">
        <f aca="false">(BM14=1)*②시니어_가정!$E$38*②시니어_가정!$G$129*CHOOSE(MIN(MAX(BM16,1),3),②시니어_가정!$E$136,②시니어_가정!$E$137,②시니어_가정!$E$138)*BM18/1000000*(1+②시니어_가정!$E$132)^(MAX(BM16,1)-1)</f>
        <v>0</v>
      </c>
      <c r="BN24" s="37" t="n">
        <f aca="false">(BN14=1)*②시니어_가정!$E$38*②시니어_가정!$G$129*CHOOSE(MIN(MAX(BN16,1),3),②시니어_가정!$E$136,②시니어_가정!$E$137,②시니어_가정!$E$138)*BN18/1000000*(1+②시니어_가정!$E$132)^(MAX(BN16,1)-1)</f>
        <v>0</v>
      </c>
      <c r="BO24" s="37" t="n">
        <f aca="false">(BO14=1)*②시니어_가정!$E$38*②시니어_가정!$G$129*CHOOSE(MIN(MAX(BO16,1),3),②시니어_가정!$E$136,②시니어_가정!$E$137,②시니어_가정!$E$138)*BO18/1000000*(1+②시니어_가정!$E$132)^(MAX(BO16,1)-1)</f>
        <v>0</v>
      </c>
      <c r="BP24" s="37" t="n">
        <f aca="false">(BP14=1)*②시니어_가정!$E$38*②시니어_가정!$G$129*CHOOSE(MIN(MAX(BP16,1),3),②시니어_가정!$E$136,②시니어_가정!$E$137,②시니어_가정!$E$138)*BP18/1000000*(1+②시니어_가정!$E$132)^(MAX(BP16,1)-1)</f>
        <v>0</v>
      </c>
      <c r="BQ24" s="37" t="n">
        <f aca="false">(BQ14=1)*②시니어_가정!$E$38*②시니어_가정!$G$129*CHOOSE(MIN(MAX(BQ16,1),3),②시니어_가정!$E$136,②시니어_가정!$E$137,②시니어_가정!$E$138)*BQ18/1000000*(1+②시니어_가정!$E$132)^(MAX(BQ16,1)-1)</f>
        <v>0</v>
      </c>
      <c r="BR24" s="37" t="n">
        <f aca="false">(BR14=1)*②시니어_가정!$E$38*②시니어_가정!$G$129*CHOOSE(MIN(MAX(BR16,1),3),②시니어_가정!$E$136,②시니어_가정!$E$137,②시니어_가정!$E$138)*BR18/1000000*(1+②시니어_가정!$E$132)^(MAX(BR16,1)-1)</f>
        <v>0</v>
      </c>
      <c r="BS24" s="37" t="n">
        <f aca="false">(BS14=1)*②시니어_가정!$E$38*②시니어_가정!$G$129*CHOOSE(MIN(MAX(BS16,1),3),②시니어_가정!$E$136,②시니어_가정!$E$137,②시니어_가정!$E$138)*BS18/1000000*(1+②시니어_가정!$E$132)^(MAX(BS16,1)-1)</f>
        <v>0</v>
      </c>
      <c r="BT24" s="37" t="n">
        <f aca="false">(BT14=1)*②시니어_가정!$E$38*②시니어_가정!$G$129*CHOOSE(MIN(MAX(BT16,1),3),②시니어_가정!$E$136,②시니어_가정!$E$137,②시니어_가정!$E$138)*BT18/1000000*(1+②시니어_가정!$E$132)^(MAX(BT16,1)-1)</f>
        <v>0</v>
      </c>
      <c r="BU24" s="37" t="n">
        <f aca="false">(BU14=1)*②시니어_가정!$E$38*②시니어_가정!$G$129*CHOOSE(MIN(MAX(BU16,1),3),②시니어_가정!$E$136,②시니어_가정!$E$137,②시니어_가정!$E$138)*BU18/1000000*(1+②시니어_가정!$E$132)^(MAX(BU16,1)-1)</f>
        <v>0</v>
      </c>
      <c r="BV24" s="37" t="n">
        <f aca="false">(BV14=1)*②시니어_가정!$E$38*②시니어_가정!$G$129*CHOOSE(MIN(MAX(BV16,1),3),②시니어_가정!$E$136,②시니어_가정!$E$137,②시니어_가정!$E$138)*BV18/1000000*(1+②시니어_가정!$E$132)^(MAX(BV16,1)-1)</f>
        <v>0</v>
      </c>
      <c r="BW24" s="37" t="n">
        <f aca="false">(BW14=1)*②시니어_가정!$E$38*②시니어_가정!$G$129*CHOOSE(MIN(MAX(BW16,1),3),②시니어_가정!$E$136,②시니어_가정!$E$137,②시니어_가정!$E$138)*BW18/1000000*(1+②시니어_가정!$E$132)^(MAX(BW16,1)-1)</f>
        <v>0</v>
      </c>
      <c r="BX24" s="37" t="n">
        <f aca="false">(BX14=1)*②시니어_가정!$E$38*②시니어_가정!$G$129*CHOOSE(MIN(MAX(BX16,1),3),②시니어_가정!$E$136,②시니어_가정!$E$137,②시니어_가정!$E$138)*BX18/1000000*(1+②시니어_가정!$E$132)^(MAX(BX16,1)-1)</f>
        <v>0</v>
      </c>
      <c r="BY24" s="37" t="n">
        <f aca="false">(BY14=1)*②시니어_가정!$E$38*②시니어_가정!$G$129*CHOOSE(MIN(MAX(BY16,1),3),②시니어_가정!$E$136,②시니어_가정!$E$137,②시니어_가정!$E$138)*BY18/1000000*(1+②시니어_가정!$E$132)^(MAX(BY16,1)-1)</f>
        <v>0</v>
      </c>
      <c r="BZ24" s="37" t="n">
        <f aca="false">(BZ14=1)*②시니어_가정!$E$38*②시니어_가정!$G$129*CHOOSE(MIN(MAX(BZ16,1),3),②시니어_가정!$E$136,②시니어_가정!$E$137,②시니어_가정!$E$138)*BZ18/1000000*(1+②시니어_가정!$E$132)^(MAX(BZ16,1)-1)</f>
        <v>0</v>
      </c>
      <c r="CA24" s="37" t="n">
        <f aca="false">(CA14=1)*②시니어_가정!$E$38*②시니어_가정!$G$129*CHOOSE(MIN(MAX(CA16,1),3),②시니어_가정!$E$136,②시니어_가정!$E$137,②시니어_가정!$E$138)*CA18/1000000*(1+②시니어_가정!$E$132)^(MAX(CA16,1)-1)</f>
        <v>0</v>
      </c>
      <c r="CB24" s="37" t="n">
        <f aca="false">(CB14=1)*②시니어_가정!$E$38*②시니어_가정!$G$129*CHOOSE(MIN(MAX(CB16,1),3),②시니어_가정!$E$136,②시니어_가정!$E$137,②시니어_가정!$E$138)*CB18/1000000*(1+②시니어_가정!$E$132)^(MAX(CB16,1)-1)</f>
        <v>0</v>
      </c>
      <c r="CC24" s="37" t="n">
        <f aca="false">(CC14=1)*②시니어_가정!$E$38*②시니어_가정!$G$129*CHOOSE(MIN(MAX(CC16,1),3),②시니어_가정!$E$136,②시니어_가정!$E$137,②시니어_가정!$E$138)*CC18/1000000*(1+②시니어_가정!$E$132)^(MAX(CC16,1)-1)</f>
        <v>0</v>
      </c>
      <c r="CD24" s="37" t="n">
        <f aca="false">(CD14=1)*②시니어_가정!$E$38*②시니어_가정!$G$129*CHOOSE(MIN(MAX(CD16,1),3),②시니어_가정!$E$136,②시니어_가정!$E$137,②시니어_가정!$E$138)*CD18/1000000*(1+②시니어_가정!$E$132)^(MAX(CD16,1)-1)</f>
        <v>0</v>
      </c>
      <c r="CE24" s="37" t="n">
        <f aca="false">(CE14=1)*②시니어_가정!$E$38*②시니어_가정!$G$129*CHOOSE(MIN(MAX(CE16,1),3),②시니어_가정!$E$136,②시니어_가정!$E$137,②시니어_가정!$E$138)*CE18/1000000*(1+②시니어_가정!$E$132)^(MAX(CE16,1)-1)</f>
        <v>0</v>
      </c>
      <c r="CF24" s="37" t="n">
        <f aca="false">(CF14=1)*②시니어_가정!$E$38*②시니어_가정!$G$129*CHOOSE(MIN(MAX(CF16,1),3),②시니어_가정!$E$136,②시니어_가정!$E$137,②시니어_가정!$E$138)*CF18/1000000*(1+②시니어_가정!$E$132)^(MAX(CF16,1)-1)</f>
        <v>0</v>
      </c>
      <c r="CG24" s="37" t="n">
        <f aca="false">(CG14=1)*②시니어_가정!$E$38*②시니어_가정!$G$129*CHOOSE(MIN(MAX(CG16,1),3),②시니어_가정!$E$136,②시니어_가정!$E$137,②시니어_가정!$E$138)*CG18/1000000*(1+②시니어_가정!$E$132)^(MAX(CG16,1)-1)</f>
        <v>0</v>
      </c>
      <c r="CH24" s="37" t="n">
        <f aca="false">(CH14=1)*②시니어_가정!$E$38*②시니어_가정!$G$129*CHOOSE(MIN(MAX(CH16,1),3),②시니어_가정!$E$136,②시니어_가정!$E$137,②시니어_가정!$E$138)*CH18/1000000*(1+②시니어_가정!$E$132)^(MAX(CH16,1)-1)</f>
        <v>0</v>
      </c>
      <c r="CI24" s="37" t="n">
        <f aca="false">(CI14=1)*②시니어_가정!$E$38*②시니어_가정!$G$129*CHOOSE(MIN(MAX(CI16,1),3),②시니어_가정!$E$136,②시니어_가정!$E$137,②시니어_가정!$E$138)*CI18/1000000*(1+②시니어_가정!$E$132)^(MAX(CI16,1)-1)</f>
        <v>0</v>
      </c>
      <c r="CJ24" s="37" t="n">
        <f aca="false">(CJ14=1)*②시니어_가정!$E$38*②시니어_가정!$G$129*CHOOSE(MIN(MAX(CJ16,1),3),②시니어_가정!$E$136,②시니어_가정!$E$137,②시니어_가정!$E$138)*CJ18/1000000*(1+②시니어_가정!$E$132)^(MAX(CJ16,1)-1)</f>
        <v>0</v>
      </c>
      <c r="CK24" s="37" t="n">
        <f aca="false">(CK14=1)*②시니어_가정!$E$38*②시니어_가정!$G$129*CHOOSE(MIN(MAX(CK16,1),3),②시니어_가정!$E$136,②시니어_가정!$E$137,②시니어_가정!$E$138)*CK18/1000000*(1+②시니어_가정!$E$132)^(MAX(CK16,1)-1)</f>
        <v>0</v>
      </c>
      <c r="CL24" s="37" t="n">
        <f aca="false">(CL14=1)*②시니어_가정!$E$38*②시니어_가정!$G$129*CHOOSE(MIN(MAX(CL16,1),3),②시니어_가정!$E$136,②시니어_가정!$E$137,②시니어_가정!$E$138)*CL18/1000000*(1+②시니어_가정!$E$132)^(MAX(CL16,1)-1)</f>
        <v>0</v>
      </c>
      <c r="CM24" s="37" t="n">
        <f aca="false">(CM14=1)*②시니어_가정!$E$38*②시니어_가정!$G$129*CHOOSE(MIN(MAX(CM16,1),3),②시니어_가정!$E$136,②시니어_가정!$E$137,②시니어_가정!$E$138)*CM18/1000000*(1+②시니어_가정!$E$132)^(MAX(CM16,1)-1)</f>
        <v>0</v>
      </c>
      <c r="CN24" s="37" t="n">
        <f aca="false">(CN14=1)*②시니어_가정!$E$38*②시니어_가정!$G$129*CHOOSE(MIN(MAX(CN16,1),3),②시니어_가정!$E$136,②시니어_가정!$E$137,②시니어_가정!$E$138)*CN18/1000000*(1+②시니어_가정!$E$132)^(MAX(CN16,1)-1)</f>
        <v>0</v>
      </c>
      <c r="CO24" s="37" t="n">
        <f aca="false">(CO14=1)*②시니어_가정!$E$38*②시니어_가정!$G$129*CHOOSE(MIN(MAX(CO16,1),3),②시니어_가정!$E$136,②시니어_가정!$E$137,②시니어_가정!$E$138)*CO18/1000000*(1+②시니어_가정!$E$132)^(MAX(CO16,1)-1)</f>
        <v>0</v>
      </c>
      <c r="CP24" s="37" t="n">
        <f aca="false">(CP14=1)*②시니어_가정!$E$38*②시니어_가정!$G$129*CHOOSE(MIN(MAX(CP16,1),3),②시니어_가정!$E$136,②시니어_가정!$E$137,②시니어_가정!$E$138)*CP18/1000000*(1+②시니어_가정!$E$132)^(MAX(CP16,1)-1)</f>
        <v>0</v>
      </c>
      <c r="CQ24" s="37" t="n">
        <f aca="false">(CQ14=1)*②시니어_가정!$E$38*②시니어_가정!$G$129*CHOOSE(MIN(MAX(CQ16,1),3),②시니어_가정!$E$136,②시니어_가정!$E$137,②시니어_가정!$E$138)*CQ18/1000000*(1+②시니어_가정!$E$132)^(MAX(CQ16,1)-1)</f>
        <v>0</v>
      </c>
      <c r="CR24" s="37" t="n">
        <f aca="false">(CR14=1)*②시니어_가정!$E$38*②시니어_가정!$G$129*CHOOSE(MIN(MAX(CR16,1),3),②시니어_가정!$E$136,②시니어_가정!$E$137,②시니어_가정!$E$138)*CR18/1000000*(1+②시니어_가정!$E$132)^(MAX(CR16,1)-1)</f>
        <v>0</v>
      </c>
      <c r="CS24" s="37" t="n">
        <f aca="false">(CS14=1)*②시니어_가정!$E$38*②시니어_가정!$G$129*CHOOSE(MIN(MAX(CS16,1),3),②시니어_가정!$E$136,②시니어_가정!$E$137,②시니어_가정!$E$138)*CS18/1000000*(1+②시니어_가정!$E$132)^(MAX(CS16,1)-1)</f>
        <v>0</v>
      </c>
      <c r="CT24" s="37" t="n">
        <f aca="false">(CT14=1)*②시니어_가정!$E$38*②시니어_가정!$G$129*CHOOSE(MIN(MAX(CT16,1),3),②시니어_가정!$E$136,②시니어_가정!$E$137,②시니어_가정!$E$138)*CT18/1000000*(1+②시니어_가정!$E$132)^(MAX(CT16,1)-1)</f>
        <v>0</v>
      </c>
      <c r="CU24" s="37" t="n">
        <f aca="false">(CU14=1)*②시니어_가정!$E$38*②시니어_가정!$G$129*CHOOSE(MIN(MAX(CU16,1),3),②시니어_가정!$E$136,②시니어_가정!$E$137,②시니어_가정!$E$138)*CU18/1000000*(1+②시니어_가정!$E$132)^(MAX(CU16,1)-1)</f>
        <v>0</v>
      </c>
      <c r="CV24" s="37" t="n">
        <f aca="false">(CV14=1)*②시니어_가정!$E$38*②시니어_가정!$G$129*CHOOSE(MIN(MAX(CV16,1),3),②시니어_가정!$E$136,②시니어_가정!$E$137,②시니어_가정!$E$138)*CV18/1000000*(1+②시니어_가정!$E$132)^(MAX(CV16,1)-1)</f>
        <v>0</v>
      </c>
      <c r="CW24" s="37" t="n">
        <f aca="false">(CW14=1)*②시니어_가정!$E$38*②시니어_가정!$G$129*CHOOSE(MIN(MAX(CW16,1),3),②시니어_가정!$E$136,②시니어_가정!$E$137,②시니어_가정!$E$138)*CW18/1000000*(1+②시니어_가정!$E$132)^(MAX(CW16,1)-1)</f>
        <v>0</v>
      </c>
      <c r="CX24" s="37" t="n">
        <f aca="false">(CX14=1)*②시니어_가정!$E$38*②시니어_가정!$G$129*CHOOSE(MIN(MAX(CX16,1),3),②시니어_가정!$E$136,②시니어_가정!$E$137,②시니어_가정!$E$138)*CX18/1000000*(1+②시니어_가정!$E$132)^(MAX(CX16,1)-1)</f>
        <v>0</v>
      </c>
      <c r="CY24" s="37" t="n">
        <f aca="false">(CY14=1)*②시니어_가정!$E$38*②시니어_가정!$G$129*CHOOSE(MIN(MAX(CY16,1),3),②시니어_가정!$E$136,②시니어_가정!$E$137,②시니어_가정!$E$138)*CY18/1000000*(1+②시니어_가정!$E$132)^(MAX(CY16,1)-1)</f>
        <v>0</v>
      </c>
      <c r="CZ24" s="37" t="n">
        <f aca="false">(CZ14=1)*②시니어_가정!$E$38*②시니어_가정!$G$129*CHOOSE(MIN(MAX(CZ16,1),3),②시니어_가정!$E$136,②시니어_가정!$E$137,②시니어_가정!$E$138)*CZ18/1000000*(1+②시니어_가정!$E$132)^(MAX(CZ16,1)-1)</f>
        <v>0</v>
      </c>
      <c r="DA24" s="37" t="n">
        <f aca="false">(DA14=1)*②시니어_가정!$E$38*②시니어_가정!$G$129*CHOOSE(MIN(MAX(DA16,1),3),②시니어_가정!$E$136,②시니어_가정!$E$137,②시니어_가정!$E$138)*DA18/1000000*(1+②시니어_가정!$E$132)^(MAX(DA16,1)-1)</f>
        <v>0</v>
      </c>
      <c r="DB24" s="37" t="n">
        <f aca="false">(DB14=1)*②시니어_가정!$E$38*②시니어_가정!$G$129*CHOOSE(MIN(MAX(DB16,1),3),②시니어_가정!$E$136,②시니어_가정!$E$137,②시니어_가정!$E$138)*DB18/1000000*(1+②시니어_가정!$E$132)^(MAX(DB16,1)-1)</f>
        <v>0</v>
      </c>
      <c r="DC24" s="37" t="n">
        <f aca="false">(DC14=1)*②시니어_가정!$E$38*②시니어_가정!$G$129*CHOOSE(MIN(MAX(DC16,1),3),②시니어_가정!$E$136,②시니어_가정!$E$137,②시니어_가정!$E$138)*DC18/1000000*(1+②시니어_가정!$E$132)^(MAX(DC16,1)-1)</f>
        <v>0</v>
      </c>
      <c r="DD24" s="37" t="n">
        <f aca="false">(DD14=1)*②시니어_가정!$E$38*②시니어_가정!$G$129*CHOOSE(MIN(MAX(DD16,1),3),②시니어_가정!$E$136,②시니어_가정!$E$137,②시니어_가정!$E$138)*DD18/1000000*(1+②시니어_가정!$E$132)^(MAX(DD16,1)-1)</f>
        <v>0</v>
      </c>
      <c r="DE24" s="37" t="n">
        <f aca="false">(DE14=1)*②시니어_가정!$E$38*②시니어_가정!$G$129*CHOOSE(MIN(MAX(DE16,1),3),②시니어_가정!$E$136,②시니어_가정!$E$137,②시니어_가정!$E$138)*DE18/1000000*(1+②시니어_가정!$E$132)^(MAX(DE16,1)-1)</f>
        <v>0</v>
      </c>
      <c r="DF24" s="37" t="n">
        <f aca="false">(DF14=1)*②시니어_가정!$E$38*②시니어_가정!$G$129*CHOOSE(MIN(MAX(DF16,1),3),②시니어_가정!$E$136,②시니어_가정!$E$137,②시니어_가정!$E$138)*DF18/1000000*(1+②시니어_가정!$E$132)^(MAX(DF16,1)-1)</f>
        <v>0</v>
      </c>
      <c r="DG24" s="37" t="n">
        <f aca="false">(DG14=1)*②시니어_가정!$E$38*②시니어_가정!$G$129*CHOOSE(MIN(MAX(DG16,1),3),②시니어_가정!$E$136,②시니어_가정!$E$137,②시니어_가정!$E$138)*DG18/1000000*(1+②시니어_가정!$E$132)^(MAX(DG16,1)-1)</f>
        <v>0</v>
      </c>
      <c r="DH24" s="37" t="n">
        <f aca="false">(DH14=1)*②시니어_가정!$E$38*②시니어_가정!$G$129*CHOOSE(MIN(MAX(DH16,1),3),②시니어_가정!$E$136,②시니어_가정!$E$137,②시니어_가정!$E$138)*DH18/1000000*(1+②시니어_가정!$E$132)^(MAX(DH16,1)-1)</f>
        <v>0</v>
      </c>
      <c r="DI24" s="37" t="n">
        <f aca="false">(DI14=1)*②시니어_가정!$E$38*②시니어_가정!$G$129*CHOOSE(MIN(MAX(DI16,1),3),②시니어_가정!$E$136,②시니어_가정!$E$137,②시니어_가정!$E$138)*DI18/1000000*(1+②시니어_가정!$E$132)^(MAX(DI16,1)-1)</f>
        <v>0</v>
      </c>
      <c r="DJ24" s="37" t="n">
        <f aca="false">(DJ14=1)*②시니어_가정!$E$38*②시니어_가정!$G$129*CHOOSE(MIN(MAX(DJ16,1),3),②시니어_가정!$E$136,②시니어_가정!$E$137,②시니어_가정!$E$138)*DJ18/1000000*(1+②시니어_가정!$E$132)^(MAX(DJ16,1)-1)</f>
        <v>0</v>
      </c>
      <c r="DK24" s="37" t="n">
        <f aca="false">(DK14=1)*②시니어_가정!$E$38*②시니어_가정!$G$129*CHOOSE(MIN(MAX(DK16,1),3),②시니어_가정!$E$136,②시니어_가정!$E$137,②시니어_가정!$E$138)*DK18/1000000*(1+②시니어_가정!$E$132)^(MAX(DK16,1)-1)</f>
        <v>0</v>
      </c>
      <c r="DL24" s="37" t="n">
        <f aca="false">(DL14=1)*②시니어_가정!$E$38*②시니어_가정!$G$129*CHOOSE(MIN(MAX(DL16,1),3),②시니어_가정!$E$136,②시니어_가정!$E$137,②시니어_가정!$E$138)*DL18/1000000*(1+②시니어_가정!$E$132)^(MAX(DL16,1)-1)</f>
        <v>0</v>
      </c>
      <c r="DM24" s="37" t="n">
        <f aca="false">(DM14=1)*②시니어_가정!$E$38*②시니어_가정!$G$129*CHOOSE(MIN(MAX(DM16,1),3),②시니어_가정!$E$136,②시니어_가정!$E$137,②시니어_가정!$E$138)*DM18/1000000*(1+②시니어_가정!$E$132)^(MAX(DM16,1)-1)</f>
        <v>0</v>
      </c>
      <c r="DN24" s="37" t="n">
        <f aca="false">(DN14=1)*②시니어_가정!$E$38*②시니어_가정!$G$129*CHOOSE(MIN(MAX(DN16,1),3),②시니어_가정!$E$136,②시니어_가정!$E$137,②시니어_가정!$E$138)*DN18/1000000*(1+②시니어_가정!$E$132)^(MAX(DN16,1)-1)</f>
        <v>0</v>
      </c>
      <c r="DO24" s="37" t="n">
        <f aca="false">(DO14=1)*②시니어_가정!$E$38*②시니어_가정!$G$129*CHOOSE(MIN(MAX(DO16,1),3),②시니어_가정!$E$136,②시니어_가정!$E$137,②시니어_가정!$E$138)*DO18/1000000*(1+②시니어_가정!$E$132)^(MAX(DO16,1)-1)</f>
        <v>0</v>
      </c>
      <c r="DP24" s="37" t="n">
        <f aca="false">(DP14=1)*②시니어_가정!$E$38*②시니어_가정!$G$129*CHOOSE(MIN(MAX(DP16,1),3),②시니어_가정!$E$136,②시니어_가정!$E$137,②시니어_가정!$E$138)*DP18/1000000*(1+②시니어_가정!$E$132)^(MAX(DP16,1)-1)</f>
        <v>0</v>
      </c>
      <c r="DQ24" s="37" t="n">
        <f aca="false">(DQ14=1)*②시니어_가정!$E$38*②시니어_가정!$G$129*CHOOSE(MIN(MAX(DQ16,1),3),②시니어_가정!$E$136,②시니어_가정!$E$137,②시니어_가정!$E$138)*DQ18/1000000*(1+②시니어_가정!$E$132)^(MAX(DQ16,1)-1)</f>
        <v>0</v>
      </c>
      <c r="DR24" s="37" t="n">
        <f aca="false">(DR14=1)*②시니어_가정!$E$38*②시니어_가정!$G$129*CHOOSE(MIN(MAX(DR16,1),3),②시니어_가정!$E$136,②시니어_가정!$E$137,②시니어_가정!$E$138)*DR18/1000000*(1+②시니어_가정!$E$132)^(MAX(DR16,1)-1)</f>
        <v>0</v>
      </c>
      <c r="DS24" s="37" t="n">
        <f aca="false">(DS14=1)*②시니어_가정!$E$38*②시니어_가정!$G$129*CHOOSE(MIN(MAX(DS16,1),3),②시니어_가정!$E$136,②시니어_가정!$E$137,②시니어_가정!$E$138)*DS18/1000000*(1+②시니어_가정!$E$132)^(MAX(DS16,1)-1)</f>
        <v>0</v>
      </c>
      <c r="DT24" s="37" t="n">
        <f aca="false">(DT14=1)*②시니어_가정!$E$38*②시니어_가정!$G$129*CHOOSE(MIN(MAX(DT16,1),3),②시니어_가정!$E$136,②시니어_가정!$E$137,②시니어_가정!$E$138)*DT18/1000000*(1+②시니어_가정!$E$132)^(MAX(DT16,1)-1)</f>
        <v>0</v>
      </c>
      <c r="DU24" s="37" t="n">
        <f aca="false">(DU14=1)*②시니어_가정!$E$38*②시니어_가정!$G$129*CHOOSE(MIN(MAX(DU16,1),3),②시니어_가정!$E$136,②시니어_가정!$E$137,②시니어_가정!$E$138)*DU18/1000000*(1+②시니어_가정!$E$132)^(MAX(DU16,1)-1)</f>
        <v>0</v>
      </c>
      <c r="DV24" s="37" t="n">
        <f aca="false">(DV14=1)*②시니어_가정!$E$38*②시니어_가정!$G$129*CHOOSE(MIN(MAX(DV16,1),3),②시니어_가정!$E$136,②시니어_가정!$E$137,②시니어_가정!$E$138)*DV18/1000000*(1+②시니어_가정!$E$132)^(MAX(DV16,1)-1)</f>
        <v>0</v>
      </c>
      <c r="DW24" s="37" t="n">
        <f aca="false">(DW14=1)*②시니어_가정!$E$38*②시니어_가정!$G$129*CHOOSE(MIN(MAX(DW16,1),3),②시니어_가정!$E$136,②시니어_가정!$E$137,②시니어_가정!$E$138)*DW18/1000000*(1+②시니어_가정!$E$132)^(MAX(DW16,1)-1)</f>
        <v>0</v>
      </c>
      <c r="DX24" s="37" t="n">
        <f aca="false">(DX14=1)*②시니어_가정!$E$38*②시니어_가정!$G$129*CHOOSE(MIN(MAX(DX16,1),3),②시니어_가정!$E$136,②시니어_가정!$E$137,②시니어_가정!$E$138)*DX18/1000000*(1+②시니어_가정!$E$132)^(MAX(DX16,1)-1)</f>
        <v>0</v>
      </c>
      <c r="DY24" s="37" t="n">
        <f aca="false">(DY14=1)*②시니어_가정!$E$38*②시니어_가정!$G$129*CHOOSE(MIN(MAX(DY16,1),3),②시니어_가정!$E$136,②시니어_가정!$E$137,②시니어_가정!$E$138)*DY18/1000000*(1+②시니어_가정!$E$132)^(MAX(DY16,1)-1)</f>
        <v>0</v>
      </c>
      <c r="DZ24" s="37" t="n">
        <f aca="false">(DZ14=1)*②시니어_가정!$E$38*②시니어_가정!$G$129*CHOOSE(MIN(MAX(DZ16,1),3),②시니어_가정!$E$136,②시니어_가정!$E$137,②시니어_가정!$E$138)*DZ18/1000000*(1+②시니어_가정!$E$132)^(MAX(DZ16,1)-1)</f>
        <v>0</v>
      </c>
      <c r="EA24" s="37" t="n">
        <f aca="false">(EA14=1)*②시니어_가정!$E$38*②시니어_가정!$G$129*CHOOSE(MIN(MAX(EA16,1),3),②시니어_가정!$E$136,②시니어_가정!$E$137,②시니어_가정!$E$138)*EA18/1000000*(1+②시니어_가정!$E$132)^(MAX(EA16,1)-1)</f>
        <v>0</v>
      </c>
      <c r="EB24" s="37" t="n">
        <f aca="false">(EB14=1)*②시니어_가정!$E$38*②시니어_가정!$G$129*CHOOSE(MIN(MAX(EB16,1),3),②시니어_가정!$E$136,②시니어_가정!$E$137,②시니어_가정!$E$138)*EB18/1000000*(1+②시니어_가정!$E$132)^(MAX(EB16,1)-1)</f>
        <v>0</v>
      </c>
      <c r="EC24" s="37" t="n">
        <f aca="false">(EC14=1)*②시니어_가정!$E$38*②시니어_가정!$G$129*CHOOSE(MIN(MAX(EC16,1),3),②시니어_가정!$E$136,②시니어_가정!$E$137,②시니어_가정!$E$138)*EC18/1000000*(1+②시니어_가정!$E$132)^(MAX(EC16,1)-1)</f>
        <v>0</v>
      </c>
      <c r="ED24" s="37" t="n">
        <f aca="false">(ED14=1)*②시니어_가정!$E$38*②시니어_가정!$G$129*CHOOSE(MIN(MAX(ED16,1),3),②시니어_가정!$E$136,②시니어_가정!$E$137,②시니어_가정!$E$138)*ED18/1000000*(1+②시니어_가정!$E$132)^(MAX(ED16,1)-1)</f>
        <v>0</v>
      </c>
      <c r="EE24" s="37" t="n">
        <f aca="false">(EE14=1)*②시니어_가정!$E$38*②시니어_가정!$G$129*CHOOSE(MIN(MAX(EE16,1),3),②시니어_가정!$E$136,②시니어_가정!$E$137,②시니어_가정!$E$138)*EE18/1000000*(1+②시니어_가정!$E$132)^(MAX(EE16,1)-1)</f>
        <v>0</v>
      </c>
      <c r="EF24" s="37" t="n">
        <f aca="false">(EF14=1)*②시니어_가정!$E$38*②시니어_가정!$G$129*CHOOSE(MIN(MAX(EF16,1),3),②시니어_가정!$E$136,②시니어_가정!$E$137,②시니어_가정!$E$138)*EF18/1000000*(1+②시니어_가정!$E$132)^(MAX(EF16,1)-1)</f>
        <v>0</v>
      </c>
    </row>
    <row r="25" customFormat="false" ht="15" hidden="false" customHeight="false" outlineLevel="0" collapsed="false">
      <c r="A25" s="36" t="s">
        <v>580</v>
      </c>
      <c r="B25" s="278" t="s">
        <v>21</v>
      </c>
      <c r="C25" s="279" t="n">
        <f aca="false">SUM(E25:EF25)</f>
        <v>0</v>
      </c>
      <c r="E25" s="37" t="n">
        <f aca="false">E24*②시니어_가정!$E$139</f>
        <v>0</v>
      </c>
      <c r="F25" s="37" t="n">
        <f aca="false">F24*②시니어_가정!$E$139</f>
        <v>0</v>
      </c>
      <c r="G25" s="37" t="n">
        <f aca="false">G24*②시니어_가정!$E$139</f>
        <v>0</v>
      </c>
      <c r="H25" s="37" t="n">
        <f aca="false">H24*②시니어_가정!$E$139</f>
        <v>0</v>
      </c>
      <c r="I25" s="37" t="n">
        <f aca="false">I24*②시니어_가정!$E$139</f>
        <v>0</v>
      </c>
      <c r="J25" s="37" t="n">
        <f aca="false">J24*②시니어_가정!$E$139</f>
        <v>0</v>
      </c>
      <c r="K25" s="37" t="n">
        <f aca="false">K24*②시니어_가정!$E$139</f>
        <v>0</v>
      </c>
      <c r="L25" s="37" t="n">
        <f aca="false">L24*②시니어_가정!$E$139</f>
        <v>0</v>
      </c>
      <c r="M25" s="37" t="n">
        <f aca="false">M24*②시니어_가정!$E$139</f>
        <v>0</v>
      </c>
      <c r="N25" s="37" t="n">
        <f aca="false">N24*②시니어_가정!$E$139</f>
        <v>0</v>
      </c>
      <c r="O25" s="37" t="n">
        <f aca="false">O24*②시니어_가정!$E$139</f>
        <v>0</v>
      </c>
      <c r="P25" s="37" t="n">
        <f aca="false">P24*②시니어_가정!$E$139</f>
        <v>0</v>
      </c>
      <c r="Q25" s="37" t="n">
        <f aca="false">Q24*②시니어_가정!$E$139</f>
        <v>0</v>
      </c>
      <c r="R25" s="37" t="n">
        <f aca="false">R24*②시니어_가정!$E$139</f>
        <v>0</v>
      </c>
      <c r="S25" s="37" t="n">
        <f aca="false">S24*②시니어_가정!$E$139</f>
        <v>0</v>
      </c>
      <c r="T25" s="37" t="n">
        <f aca="false">T24*②시니어_가정!$E$139</f>
        <v>0</v>
      </c>
      <c r="U25" s="37" t="n">
        <f aca="false">U24*②시니어_가정!$E$139</f>
        <v>0</v>
      </c>
      <c r="V25" s="37" t="n">
        <f aca="false">V24*②시니어_가정!$E$139</f>
        <v>0</v>
      </c>
      <c r="W25" s="37" t="n">
        <f aca="false">W24*②시니어_가정!$E$139</f>
        <v>0</v>
      </c>
      <c r="X25" s="37" t="n">
        <f aca="false">X24*②시니어_가정!$E$139</f>
        <v>0</v>
      </c>
      <c r="Y25" s="37" t="n">
        <f aca="false">Y24*②시니어_가정!$E$139</f>
        <v>0</v>
      </c>
      <c r="Z25" s="37" t="n">
        <f aca="false">Z24*②시니어_가정!$E$139</f>
        <v>0</v>
      </c>
      <c r="AA25" s="37" t="n">
        <f aca="false">AA24*②시니어_가정!$E$139</f>
        <v>0</v>
      </c>
      <c r="AB25" s="37" t="n">
        <f aca="false">AB24*②시니어_가정!$E$139</f>
        <v>0</v>
      </c>
      <c r="AC25" s="37" t="n">
        <f aca="false">AC24*②시니어_가정!$E$139</f>
        <v>0</v>
      </c>
      <c r="AD25" s="37" t="n">
        <f aca="false">AD24*②시니어_가정!$E$139</f>
        <v>0</v>
      </c>
      <c r="AE25" s="37" t="n">
        <f aca="false">AE24*②시니어_가정!$E$139</f>
        <v>0</v>
      </c>
      <c r="AF25" s="37" t="n">
        <f aca="false">AF24*②시니어_가정!$E$139</f>
        <v>0</v>
      </c>
      <c r="AG25" s="37" t="n">
        <f aca="false">AG24*②시니어_가정!$E$139</f>
        <v>0</v>
      </c>
      <c r="AH25" s="37" t="n">
        <f aca="false">AH24*②시니어_가정!$E$139</f>
        <v>0</v>
      </c>
      <c r="AI25" s="37" t="n">
        <f aca="false">AI24*②시니어_가정!$E$139</f>
        <v>0</v>
      </c>
      <c r="AJ25" s="37" t="n">
        <f aca="false">AJ24*②시니어_가정!$E$139</f>
        <v>0</v>
      </c>
      <c r="AK25" s="37" t="n">
        <f aca="false">AK24*②시니어_가정!$E$139</f>
        <v>0</v>
      </c>
      <c r="AL25" s="37" t="n">
        <f aca="false">AL24*②시니어_가정!$E$139</f>
        <v>0</v>
      </c>
      <c r="AM25" s="37" t="n">
        <f aca="false">AM24*②시니어_가정!$E$139</f>
        <v>0</v>
      </c>
      <c r="AN25" s="37" t="n">
        <f aca="false">AN24*②시니어_가정!$E$139</f>
        <v>0</v>
      </c>
      <c r="AO25" s="37" t="n">
        <f aca="false">AO24*②시니어_가정!$E$139</f>
        <v>0</v>
      </c>
      <c r="AP25" s="37" t="n">
        <f aca="false">AP24*②시니어_가정!$E$139</f>
        <v>0</v>
      </c>
      <c r="AQ25" s="37" t="n">
        <f aca="false">AQ24*②시니어_가정!$E$139</f>
        <v>0</v>
      </c>
      <c r="AR25" s="37" t="n">
        <f aca="false">AR24*②시니어_가정!$E$139</f>
        <v>0</v>
      </c>
      <c r="AS25" s="37" t="n">
        <f aca="false">AS24*②시니어_가정!$E$139</f>
        <v>0</v>
      </c>
      <c r="AT25" s="37" t="n">
        <f aca="false">AT24*②시니어_가정!$E$139</f>
        <v>0</v>
      </c>
      <c r="AU25" s="37" t="n">
        <f aca="false">AU24*②시니어_가정!$E$139</f>
        <v>0</v>
      </c>
      <c r="AV25" s="37" t="n">
        <f aca="false">AV24*②시니어_가정!$E$139</f>
        <v>0</v>
      </c>
      <c r="AW25" s="37" t="n">
        <f aca="false">AW24*②시니어_가정!$E$139</f>
        <v>0</v>
      </c>
      <c r="AX25" s="37" t="n">
        <f aca="false">AX24*②시니어_가정!$E$139</f>
        <v>0</v>
      </c>
      <c r="AY25" s="37" t="n">
        <f aca="false">AY24*②시니어_가정!$E$139</f>
        <v>0</v>
      </c>
      <c r="AZ25" s="37" t="n">
        <f aca="false">AZ24*②시니어_가정!$E$139</f>
        <v>0</v>
      </c>
      <c r="BA25" s="37" t="n">
        <f aca="false">BA24*②시니어_가정!$E$139</f>
        <v>0</v>
      </c>
      <c r="BB25" s="37" t="n">
        <f aca="false">BB24*②시니어_가정!$E$139</f>
        <v>0</v>
      </c>
      <c r="BC25" s="37" t="n">
        <f aca="false">BC24*②시니어_가정!$E$139</f>
        <v>0</v>
      </c>
      <c r="BD25" s="37" t="n">
        <f aca="false">BD24*②시니어_가정!$E$139</f>
        <v>0</v>
      </c>
      <c r="BE25" s="37" t="n">
        <f aca="false">BE24*②시니어_가정!$E$139</f>
        <v>0</v>
      </c>
      <c r="BF25" s="37" t="n">
        <f aca="false">BF24*②시니어_가정!$E$139</f>
        <v>0</v>
      </c>
      <c r="BG25" s="37" t="n">
        <f aca="false">BG24*②시니어_가정!$E$139</f>
        <v>0</v>
      </c>
      <c r="BH25" s="37" t="n">
        <f aca="false">BH24*②시니어_가정!$E$139</f>
        <v>0</v>
      </c>
      <c r="BI25" s="37" t="n">
        <f aca="false">BI24*②시니어_가정!$E$139</f>
        <v>0</v>
      </c>
      <c r="BJ25" s="37" t="n">
        <f aca="false">BJ24*②시니어_가정!$E$139</f>
        <v>0</v>
      </c>
      <c r="BK25" s="37" t="n">
        <f aca="false">BK24*②시니어_가정!$E$139</f>
        <v>0</v>
      </c>
      <c r="BL25" s="37" t="n">
        <f aca="false">BL24*②시니어_가정!$E$139</f>
        <v>0</v>
      </c>
      <c r="BM25" s="37" t="n">
        <f aca="false">BM24*②시니어_가정!$E$139</f>
        <v>0</v>
      </c>
      <c r="BN25" s="37" t="n">
        <f aca="false">BN24*②시니어_가정!$E$139</f>
        <v>0</v>
      </c>
      <c r="BO25" s="37" t="n">
        <f aca="false">BO24*②시니어_가정!$E$139</f>
        <v>0</v>
      </c>
      <c r="BP25" s="37" t="n">
        <f aca="false">BP24*②시니어_가정!$E$139</f>
        <v>0</v>
      </c>
      <c r="BQ25" s="37" t="n">
        <f aca="false">BQ24*②시니어_가정!$E$139</f>
        <v>0</v>
      </c>
      <c r="BR25" s="37" t="n">
        <f aca="false">BR24*②시니어_가정!$E$139</f>
        <v>0</v>
      </c>
      <c r="BS25" s="37" t="n">
        <f aca="false">BS24*②시니어_가정!$E$139</f>
        <v>0</v>
      </c>
      <c r="BT25" s="37" t="n">
        <f aca="false">BT24*②시니어_가정!$E$139</f>
        <v>0</v>
      </c>
      <c r="BU25" s="37" t="n">
        <f aca="false">BU24*②시니어_가정!$E$139</f>
        <v>0</v>
      </c>
      <c r="BV25" s="37" t="n">
        <f aca="false">BV24*②시니어_가정!$E$139</f>
        <v>0</v>
      </c>
      <c r="BW25" s="37" t="n">
        <f aca="false">BW24*②시니어_가정!$E$139</f>
        <v>0</v>
      </c>
      <c r="BX25" s="37" t="n">
        <f aca="false">BX24*②시니어_가정!$E$139</f>
        <v>0</v>
      </c>
      <c r="BY25" s="37" t="n">
        <f aca="false">BY24*②시니어_가정!$E$139</f>
        <v>0</v>
      </c>
      <c r="BZ25" s="37" t="n">
        <f aca="false">BZ24*②시니어_가정!$E$139</f>
        <v>0</v>
      </c>
      <c r="CA25" s="37" t="n">
        <f aca="false">CA24*②시니어_가정!$E$139</f>
        <v>0</v>
      </c>
      <c r="CB25" s="37" t="n">
        <f aca="false">CB24*②시니어_가정!$E$139</f>
        <v>0</v>
      </c>
      <c r="CC25" s="37" t="n">
        <f aca="false">CC24*②시니어_가정!$E$139</f>
        <v>0</v>
      </c>
      <c r="CD25" s="37" t="n">
        <f aca="false">CD24*②시니어_가정!$E$139</f>
        <v>0</v>
      </c>
      <c r="CE25" s="37" t="n">
        <f aca="false">CE24*②시니어_가정!$E$139</f>
        <v>0</v>
      </c>
      <c r="CF25" s="37" t="n">
        <f aca="false">CF24*②시니어_가정!$E$139</f>
        <v>0</v>
      </c>
      <c r="CG25" s="37" t="n">
        <f aca="false">CG24*②시니어_가정!$E$139</f>
        <v>0</v>
      </c>
      <c r="CH25" s="37" t="n">
        <f aca="false">CH24*②시니어_가정!$E$139</f>
        <v>0</v>
      </c>
      <c r="CI25" s="37" t="n">
        <f aca="false">CI24*②시니어_가정!$E$139</f>
        <v>0</v>
      </c>
      <c r="CJ25" s="37" t="n">
        <f aca="false">CJ24*②시니어_가정!$E$139</f>
        <v>0</v>
      </c>
      <c r="CK25" s="37" t="n">
        <f aca="false">CK24*②시니어_가정!$E$139</f>
        <v>0</v>
      </c>
      <c r="CL25" s="37" t="n">
        <f aca="false">CL24*②시니어_가정!$E$139</f>
        <v>0</v>
      </c>
      <c r="CM25" s="37" t="n">
        <f aca="false">CM24*②시니어_가정!$E$139</f>
        <v>0</v>
      </c>
      <c r="CN25" s="37" t="n">
        <f aca="false">CN24*②시니어_가정!$E$139</f>
        <v>0</v>
      </c>
      <c r="CO25" s="37" t="n">
        <f aca="false">CO24*②시니어_가정!$E$139</f>
        <v>0</v>
      </c>
      <c r="CP25" s="37" t="n">
        <f aca="false">CP24*②시니어_가정!$E$139</f>
        <v>0</v>
      </c>
      <c r="CQ25" s="37" t="n">
        <f aca="false">CQ24*②시니어_가정!$E$139</f>
        <v>0</v>
      </c>
      <c r="CR25" s="37" t="n">
        <f aca="false">CR24*②시니어_가정!$E$139</f>
        <v>0</v>
      </c>
      <c r="CS25" s="37" t="n">
        <f aca="false">CS24*②시니어_가정!$E$139</f>
        <v>0</v>
      </c>
      <c r="CT25" s="37" t="n">
        <f aca="false">CT24*②시니어_가정!$E$139</f>
        <v>0</v>
      </c>
      <c r="CU25" s="37" t="n">
        <f aca="false">CU24*②시니어_가정!$E$139</f>
        <v>0</v>
      </c>
      <c r="CV25" s="37" t="n">
        <f aca="false">CV24*②시니어_가정!$E$139</f>
        <v>0</v>
      </c>
      <c r="CW25" s="37" t="n">
        <f aca="false">CW24*②시니어_가정!$E$139</f>
        <v>0</v>
      </c>
      <c r="CX25" s="37" t="n">
        <f aca="false">CX24*②시니어_가정!$E$139</f>
        <v>0</v>
      </c>
      <c r="CY25" s="37" t="n">
        <f aca="false">CY24*②시니어_가정!$E$139</f>
        <v>0</v>
      </c>
      <c r="CZ25" s="37" t="n">
        <f aca="false">CZ24*②시니어_가정!$E$139</f>
        <v>0</v>
      </c>
      <c r="DA25" s="37" t="n">
        <f aca="false">DA24*②시니어_가정!$E$139</f>
        <v>0</v>
      </c>
      <c r="DB25" s="37" t="n">
        <f aca="false">DB24*②시니어_가정!$E$139</f>
        <v>0</v>
      </c>
      <c r="DC25" s="37" t="n">
        <f aca="false">DC24*②시니어_가정!$E$139</f>
        <v>0</v>
      </c>
      <c r="DD25" s="37" t="n">
        <f aca="false">DD24*②시니어_가정!$E$139</f>
        <v>0</v>
      </c>
      <c r="DE25" s="37" t="n">
        <f aca="false">DE24*②시니어_가정!$E$139</f>
        <v>0</v>
      </c>
      <c r="DF25" s="37" t="n">
        <f aca="false">DF24*②시니어_가정!$E$139</f>
        <v>0</v>
      </c>
      <c r="DG25" s="37" t="n">
        <f aca="false">DG24*②시니어_가정!$E$139</f>
        <v>0</v>
      </c>
      <c r="DH25" s="37" t="n">
        <f aca="false">DH24*②시니어_가정!$E$139</f>
        <v>0</v>
      </c>
      <c r="DI25" s="37" t="n">
        <f aca="false">DI24*②시니어_가정!$E$139</f>
        <v>0</v>
      </c>
      <c r="DJ25" s="37" t="n">
        <f aca="false">DJ24*②시니어_가정!$E$139</f>
        <v>0</v>
      </c>
      <c r="DK25" s="37" t="n">
        <f aca="false">DK24*②시니어_가정!$E$139</f>
        <v>0</v>
      </c>
      <c r="DL25" s="37" t="n">
        <f aca="false">DL24*②시니어_가정!$E$139</f>
        <v>0</v>
      </c>
      <c r="DM25" s="37" t="n">
        <f aca="false">DM24*②시니어_가정!$E$139</f>
        <v>0</v>
      </c>
      <c r="DN25" s="37" t="n">
        <f aca="false">DN24*②시니어_가정!$E$139</f>
        <v>0</v>
      </c>
      <c r="DO25" s="37" t="n">
        <f aca="false">DO24*②시니어_가정!$E$139</f>
        <v>0</v>
      </c>
      <c r="DP25" s="37" t="n">
        <f aca="false">DP24*②시니어_가정!$E$139</f>
        <v>0</v>
      </c>
      <c r="DQ25" s="37" t="n">
        <f aca="false">DQ24*②시니어_가정!$E$139</f>
        <v>0</v>
      </c>
      <c r="DR25" s="37" t="n">
        <f aca="false">DR24*②시니어_가정!$E$139</f>
        <v>0</v>
      </c>
      <c r="DS25" s="37" t="n">
        <f aca="false">DS24*②시니어_가정!$E$139</f>
        <v>0</v>
      </c>
      <c r="DT25" s="37" t="n">
        <f aca="false">DT24*②시니어_가정!$E$139</f>
        <v>0</v>
      </c>
      <c r="DU25" s="37" t="n">
        <f aca="false">DU24*②시니어_가정!$E$139</f>
        <v>0</v>
      </c>
      <c r="DV25" s="37" t="n">
        <f aca="false">DV24*②시니어_가정!$E$139</f>
        <v>0</v>
      </c>
      <c r="DW25" s="37" t="n">
        <f aca="false">DW24*②시니어_가정!$E$139</f>
        <v>0</v>
      </c>
      <c r="DX25" s="37" t="n">
        <f aca="false">DX24*②시니어_가정!$E$139</f>
        <v>0</v>
      </c>
      <c r="DY25" s="37" t="n">
        <f aca="false">DY24*②시니어_가정!$E$139</f>
        <v>0</v>
      </c>
      <c r="DZ25" s="37" t="n">
        <f aca="false">DZ24*②시니어_가정!$E$139</f>
        <v>0</v>
      </c>
      <c r="EA25" s="37" t="n">
        <f aca="false">EA24*②시니어_가정!$E$139</f>
        <v>0</v>
      </c>
      <c r="EB25" s="37" t="n">
        <f aca="false">EB24*②시니어_가정!$E$139</f>
        <v>0</v>
      </c>
      <c r="EC25" s="37" t="n">
        <f aca="false">EC24*②시니어_가정!$E$139</f>
        <v>0</v>
      </c>
      <c r="ED25" s="37" t="n">
        <f aca="false">ED24*②시니어_가정!$E$139</f>
        <v>0</v>
      </c>
      <c r="EE25" s="37" t="n">
        <f aca="false">EE24*②시니어_가정!$E$139</f>
        <v>0</v>
      </c>
      <c r="EF25" s="37" t="n">
        <f aca="false">EF24*②시니어_가정!$E$139</f>
        <v>0</v>
      </c>
    </row>
    <row r="26" customFormat="false" ht="15" hidden="false" customHeight="false" outlineLevel="0" collapsed="false">
      <c r="A26" s="36" t="s">
        <v>581</v>
      </c>
      <c r="B26" s="278" t="s">
        <v>21</v>
      </c>
      <c r="C26" s="279" t="n">
        <f aca="false">SUM(E26:EF26)</f>
        <v>0</v>
      </c>
      <c r="E26" s="37" t="n">
        <f aca="false">E24*②시니어_가정!$E$144</f>
        <v>0</v>
      </c>
      <c r="F26" s="37" t="n">
        <f aca="false">F24*②시니어_가정!$E$144</f>
        <v>0</v>
      </c>
      <c r="G26" s="37" t="n">
        <f aca="false">G24*②시니어_가정!$E$144</f>
        <v>0</v>
      </c>
      <c r="H26" s="37" t="n">
        <f aca="false">H24*②시니어_가정!$E$144</f>
        <v>0</v>
      </c>
      <c r="I26" s="37" t="n">
        <f aca="false">I24*②시니어_가정!$E$144</f>
        <v>0</v>
      </c>
      <c r="J26" s="37" t="n">
        <f aca="false">J24*②시니어_가정!$E$144</f>
        <v>0</v>
      </c>
      <c r="K26" s="37" t="n">
        <f aca="false">K24*②시니어_가정!$E$144</f>
        <v>0</v>
      </c>
      <c r="L26" s="37" t="n">
        <f aca="false">L24*②시니어_가정!$E$144</f>
        <v>0</v>
      </c>
      <c r="M26" s="37" t="n">
        <f aca="false">M24*②시니어_가정!$E$144</f>
        <v>0</v>
      </c>
      <c r="N26" s="37" t="n">
        <f aca="false">N24*②시니어_가정!$E$144</f>
        <v>0</v>
      </c>
      <c r="O26" s="37" t="n">
        <f aca="false">O24*②시니어_가정!$E$144</f>
        <v>0</v>
      </c>
      <c r="P26" s="37" t="n">
        <f aca="false">P24*②시니어_가정!$E$144</f>
        <v>0</v>
      </c>
      <c r="Q26" s="37" t="n">
        <f aca="false">Q24*②시니어_가정!$E$144</f>
        <v>0</v>
      </c>
      <c r="R26" s="37" t="n">
        <f aca="false">R24*②시니어_가정!$E$144</f>
        <v>0</v>
      </c>
      <c r="S26" s="37" t="n">
        <f aca="false">S24*②시니어_가정!$E$144</f>
        <v>0</v>
      </c>
      <c r="T26" s="37" t="n">
        <f aca="false">T24*②시니어_가정!$E$144</f>
        <v>0</v>
      </c>
      <c r="U26" s="37" t="n">
        <f aca="false">U24*②시니어_가정!$E$144</f>
        <v>0</v>
      </c>
      <c r="V26" s="37" t="n">
        <f aca="false">V24*②시니어_가정!$E$144</f>
        <v>0</v>
      </c>
      <c r="W26" s="37" t="n">
        <f aca="false">W24*②시니어_가정!$E$144</f>
        <v>0</v>
      </c>
      <c r="X26" s="37" t="n">
        <f aca="false">X24*②시니어_가정!$E$144</f>
        <v>0</v>
      </c>
      <c r="Y26" s="37" t="n">
        <f aca="false">Y24*②시니어_가정!$E$144</f>
        <v>0</v>
      </c>
      <c r="Z26" s="37" t="n">
        <f aca="false">Z24*②시니어_가정!$E$144</f>
        <v>0</v>
      </c>
      <c r="AA26" s="37" t="n">
        <f aca="false">AA24*②시니어_가정!$E$144</f>
        <v>0</v>
      </c>
      <c r="AB26" s="37" t="n">
        <f aca="false">AB24*②시니어_가정!$E$144</f>
        <v>0</v>
      </c>
      <c r="AC26" s="37" t="n">
        <f aca="false">AC24*②시니어_가정!$E$144</f>
        <v>0</v>
      </c>
      <c r="AD26" s="37" t="n">
        <f aca="false">AD24*②시니어_가정!$E$144</f>
        <v>0</v>
      </c>
      <c r="AE26" s="37" t="n">
        <f aca="false">AE24*②시니어_가정!$E$144</f>
        <v>0</v>
      </c>
      <c r="AF26" s="37" t="n">
        <f aca="false">AF24*②시니어_가정!$E$144</f>
        <v>0</v>
      </c>
      <c r="AG26" s="37" t="n">
        <f aca="false">AG24*②시니어_가정!$E$144</f>
        <v>0</v>
      </c>
      <c r="AH26" s="37" t="n">
        <f aca="false">AH24*②시니어_가정!$E$144</f>
        <v>0</v>
      </c>
      <c r="AI26" s="37" t="n">
        <f aca="false">AI24*②시니어_가정!$E$144</f>
        <v>0</v>
      </c>
      <c r="AJ26" s="37" t="n">
        <f aca="false">AJ24*②시니어_가정!$E$144</f>
        <v>0</v>
      </c>
      <c r="AK26" s="37" t="n">
        <f aca="false">AK24*②시니어_가정!$E$144</f>
        <v>0</v>
      </c>
      <c r="AL26" s="37" t="n">
        <f aca="false">AL24*②시니어_가정!$E$144</f>
        <v>0</v>
      </c>
      <c r="AM26" s="37" t="n">
        <f aca="false">AM24*②시니어_가정!$E$144</f>
        <v>0</v>
      </c>
      <c r="AN26" s="37" t="n">
        <f aca="false">AN24*②시니어_가정!$E$144</f>
        <v>0</v>
      </c>
      <c r="AO26" s="37" t="n">
        <f aca="false">AO24*②시니어_가정!$E$144</f>
        <v>0</v>
      </c>
      <c r="AP26" s="37" t="n">
        <f aca="false">AP24*②시니어_가정!$E$144</f>
        <v>0</v>
      </c>
      <c r="AQ26" s="37" t="n">
        <f aca="false">AQ24*②시니어_가정!$E$144</f>
        <v>0</v>
      </c>
      <c r="AR26" s="37" t="n">
        <f aca="false">AR24*②시니어_가정!$E$144</f>
        <v>0</v>
      </c>
      <c r="AS26" s="37" t="n">
        <f aca="false">AS24*②시니어_가정!$E$144</f>
        <v>0</v>
      </c>
      <c r="AT26" s="37" t="n">
        <f aca="false">AT24*②시니어_가정!$E$144</f>
        <v>0</v>
      </c>
      <c r="AU26" s="37" t="n">
        <f aca="false">AU24*②시니어_가정!$E$144</f>
        <v>0</v>
      </c>
      <c r="AV26" s="37" t="n">
        <f aca="false">AV24*②시니어_가정!$E$144</f>
        <v>0</v>
      </c>
      <c r="AW26" s="37" t="n">
        <f aca="false">AW24*②시니어_가정!$E$144</f>
        <v>0</v>
      </c>
      <c r="AX26" s="37" t="n">
        <f aca="false">AX24*②시니어_가정!$E$144</f>
        <v>0</v>
      </c>
      <c r="AY26" s="37" t="n">
        <f aca="false">AY24*②시니어_가정!$E$144</f>
        <v>0</v>
      </c>
      <c r="AZ26" s="37" t="n">
        <f aca="false">AZ24*②시니어_가정!$E$144</f>
        <v>0</v>
      </c>
      <c r="BA26" s="37" t="n">
        <f aca="false">BA24*②시니어_가정!$E$144</f>
        <v>0</v>
      </c>
      <c r="BB26" s="37" t="n">
        <f aca="false">BB24*②시니어_가정!$E$144</f>
        <v>0</v>
      </c>
      <c r="BC26" s="37" t="n">
        <f aca="false">BC24*②시니어_가정!$E$144</f>
        <v>0</v>
      </c>
      <c r="BD26" s="37" t="n">
        <f aca="false">BD24*②시니어_가정!$E$144</f>
        <v>0</v>
      </c>
      <c r="BE26" s="37" t="n">
        <f aca="false">BE24*②시니어_가정!$E$144</f>
        <v>0</v>
      </c>
      <c r="BF26" s="37" t="n">
        <f aca="false">BF24*②시니어_가정!$E$144</f>
        <v>0</v>
      </c>
      <c r="BG26" s="37" t="n">
        <f aca="false">BG24*②시니어_가정!$E$144</f>
        <v>0</v>
      </c>
      <c r="BH26" s="37" t="n">
        <f aca="false">BH24*②시니어_가정!$E$144</f>
        <v>0</v>
      </c>
      <c r="BI26" s="37" t="n">
        <f aca="false">BI24*②시니어_가정!$E$144</f>
        <v>0</v>
      </c>
      <c r="BJ26" s="37" t="n">
        <f aca="false">BJ24*②시니어_가정!$E$144</f>
        <v>0</v>
      </c>
      <c r="BK26" s="37" t="n">
        <f aca="false">BK24*②시니어_가정!$E$144</f>
        <v>0</v>
      </c>
      <c r="BL26" s="37" t="n">
        <f aca="false">BL24*②시니어_가정!$E$144</f>
        <v>0</v>
      </c>
      <c r="BM26" s="37" t="n">
        <f aca="false">BM24*②시니어_가정!$E$144</f>
        <v>0</v>
      </c>
      <c r="BN26" s="37" t="n">
        <f aca="false">BN24*②시니어_가정!$E$144</f>
        <v>0</v>
      </c>
      <c r="BO26" s="37" t="n">
        <f aca="false">BO24*②시니어_가정!$E$144</f>
        <v>0</v>
      </c>
      <c r="BP26" s="37" t="n">
        <f aca="false">BP24*②시니어_가정!$E$144</f>
        <v>0</v>
      </c>
      <c r="BQ26" s="37" t="n">
        <f aca="false">BQ24*②시니어_가정!$E$144</f>
        <v>0</v>
      </c>
      <c r="BR26" s="37" t="n">
        <f aca="false">BR24*②시니어_가정!$E$144</f>
        <v>0</v>
      </c>
      <c r="BS26" s="37" t="n">
        <f aca="false">BS24*②시니어_가정!$E$144</f>
        <v>0</v>
      </c>
      <c r="BT26" s="37" t="n">
        <f aca="false">BT24*②시니어_가정!$E$144</f>
        <v>0</v>
      </c>
      <c r="BU26" s="37" t="n">
        <f aca="false">BU24*②시니어_가정!$E$144</f>
        <v>0</v>
      </c>
      <c r="BV26" s="37" t="n">
        <f aca="false">BV24*②시니어_가정!$E$144</f>
        <v>0</v>
      </c>
      <c r="BW26" s="37" t="n">
        <f aca="false">BW24*②시니어_가정!$E$144</f>
        <v>0</v>
      </c>
      <c r="BX26" s="37" t="n">
        <f aca="false">BX24*②시니어_가정!$E$144</f>
        <v>0</v>
      </c>
      <c r="BY26" s="37" t="n">
        <f aca="false">BY24*②시니어_가정!$E$144</f>
        <v>0</v>
      </c>
      <c r="BZ26" s="37" t="n">
        <f aca="false">BZ24*②시니어_가정!$E$144</f>
        <v>0</v>
      </c>
      <c r="CA26" s="37" t="n">
        <f aca="false">CA24*②시니어_가정!$E$144</f>
        <v>0</v>
      </c>
      <c r="CB26" s="37" t="n">
        <f aca="false">CB24*②시니어_가정!$E$144</f>
        <v>0</v>
      </c>
      <c r="CC26" s="37" t="n">
        <f aca="false">CC24*②시니어_가정!$E$144</f>
        <v>0</v>
      </c>
      <c r="CD26" s="37" t="n">
        <f aca="false">CD24*②시니어_가정!$E$144</f>
        <v>0</v>
      </c>
      <c r="CE26" s="37" t="n">
        <f aca="false">CE24*②시니어_가정!$E$144</f>
        <v>0</v>
      </c>
      <c r="CF26" s="37" t="n">
        <f aca="false">CF24*②시니어_가정!$E$144</f>
        <v>0</v>
      </c>
      <c r="CG26" s="37" t="n">
        <f aca="false">CG24*②시니어_가정!$E$144</f>
        <v>0</v>
      </c>
      <c r="CH26" s="37" t="n">
        <f aca="false">CH24*②시니어_가정!$E$144</f>
        <v>0</v>
      </c>
      <c r="CI26" s="37" t="n">
        <f aca="false">CI24*②시니어_가정!$E$144</f>
        <v>0</v>
      </c>
      <c r="CJ26" s="37" t="n">
        <f aca="false">CJ24*②시니어_가정!$E$144</f>
        <v>0</v>
      </c>
      <c r="CK26" s="37" t="n">
        <f aca="false">CK24*②시니어_가정!$E$144</f>
        <v>0</v>
      </c>
      <c r="CL26" s="37" t="n">
        <f aca="false">CL24*②시니어_가정!$E$144</f>
        <v>0</v>
      </c>
      <c r="CM26" s="37" t="n">
        <f aca="false">CM24*②시니어_가정!$E$144</f>
        <v>0</v>
      </c>
      <c r="CN26" s="37" t="n">
        <f aca="false">CN24*②시니어_가정!$E$144</f>
        <v>0</v>
      </c>
      <c r="CO26" s="37" t="n">
        <f aca="false">CO24*②시니어_가정!$E$144</f>
        <v>0</v>
      </c>
      <c r="CP26" s="37" t="n">
        <f aca="false">CP24*②시니어_가정!$E$144</f>
        <v>0</v>
      </c>
      <c r="CQ26" s="37" t="n">
        <f aca="false">CQ24*②시니어_가정!$E$144</f>
        <v>0</v>
      </c>
      <c r="CR26" s="37" t="n">
        <f aca="false">CR24*②시니어_가정!$E$144</f>
        <v>0</v>
      </c>
      <c r="CS26" s="37" t="n">
        <f aca="false">CS24*②시니어_가정!$E$144</f>
        <v>0</v>
      </c>
      <c r="CT26" s="37" t="n">
        <f aca="false">CT24*②시니어_가정!$E$144</f>
        <v>0</v>
      </c>
      <c r="CU26" s="37" t="n">
        <f aca="false">CU24*②시니어_가정!$E$144</f>
        <v>0</v>
      </c>
      <c r="CV26" s="37" t="n">
        <f aca="false">CV24*②시니어_가정!$E$144</f>
        <v>0</v>
      </c>
      <c r="CW26" s="37" t="n">
        <f aca="false">CW24*②시니어_가정!$E$144</f>
        <v>0</v>
      </c>
      <c r="CX26" s="37" t="n">
        <f aca="false">CX24*②시니어_가정!$E$144</f>
        <v>0</v>
      </c>
      <c r="CY26" s="37" t="n">
        <f aca="false">CY24*②시니어_가정!$E$144</f>
        <v>0</v>
      </c>
      <c r="CZ26" s="37" t="n">
        <f aca="false">CZ24*②시니어_가정!$E$144</f>
        <v>0</v>
      </c>
      <c r="DA26" s="37" t="n">
        <f aca="false">DA24*②시니어_가정!$E$144</f>
        <v>0</v>
      </c>
      <c r="DB26" s="37" t="n">
        <f aca="false">DB24*②시니어_가정!$E$144</f>
        <v>0</v>
      </c>
      <c r="DC26" s="37" t="n">
        <f aca="false">DC24*②시니어_가정!$E$144</f>
        <v>0</v>
      </c>
      <c r="DD26" s="37" t="n">
        <f aca="false">DD24*②시니어_가정!$E$144</f>
        <v>0</v>
      </c>
      <c r="DE26" s="37" t="n">
        <f aca="false">DE24*②시니어_가정!$E$144</f>
        <v>0</v>
      </c>
      <c r="DF26" s="37" t="n">
        <f aca="false">DF24*②시니어_가정!$E$144</f>
        <v>0</v>
      </c>
      <c r="DG26" s="37" t="n">
        <f aca="false">DG24*②시니어_가정!$E$144</f>
        <v>0</v>
      </c>
      <c r="DH26" s="37" t="n">
        <f aca="false">DH24*②시니어_가정!$E$144</f>
        <v>0</v>
      </c>
      <c r="DI26" s="37" t="n">
        <f aca="false">DI24*②시니어_가정!$E$144</f>
        <v>0</v>
      </c>
      <c r="DJ26" s="37" t="n">
        <f aca="false">DJ24*②시니어_가정!$E$144</f>
        <v>0</v>
      </c>
      <c r="DK26" s="37" t="n">
        <f aca="false">DK24*②시니어_가정!$E$144</f>
        <v>0</v>
      </c>
      <c r="DL26" s="37" t="n">
        <f aca="false">DL24*②시니어_가정!$E$144</f>
        <v>0</v>
      </c>
      <c r="DM26" s="37" t="n">
        <f aca="false">DM24*②시니어_가정!$E$144</f>
        <v>0</v>
      </c>
      <c r="DN26" s="37" t="n">
        <f aca="false">DN24*②시니어_가정!$E$144</f>
        <v>0</v>
      </c>
      <c r="DO26" s="37" t="n">
        <f aca="false">DO24*②시니어_가정!$E$144</f>
        <v>0</v>
      </c>
      <c r="DP26" s="37" t="n">
        <f aca="false">DP24*②시니어_가정!$E$144</f>
        <v>0</v>
      </c>
      <c r="DQ26" s="37" t="n">
        <f aca="false">DQ24*②시니어_가정!$E$144</f>
        <v>0</v>
      </c>
      <c r="DR26" s="37" t="n">
        <f aca="false">DR24*②시니어_가정!$E$144</f>
        <v>0</v>
      </c>
      <c r="DS26" s="37" t="n">
        <f aca="false">DS24*②시니어_가정!$E$144</f>
        <v>0</v>
      </c>
      <c r="DT26" s="37" t="n">
        <f aca="false">DT24*②시니어_가정!$E$144</f>
        <v>0</v>
      </c>
      <c r="DU26" s="37" t="n">
        <f aca="false">DU24*②시니어_가정!$E$144</f>
        <v>0</v>
      </c>
      <c r="DV26" s="37" t="n">
        <f aca="false">DV24*②시니어_가정!$E$144</f>
        <v>0</v>
      </c>
      <c r="DW26" s="37" t="n">
        <f aca="false">DW24*②시니어_가정!$E$144</f>
        <v>0</v>
      </c>
      <c r="DX26" s="37" t="n">
        <f aca="false">DX24*②시니어_가정!$E$144</f>
        <v>0</v>
      </c>
      <c r="DY26" s="37" t="n">
        <f aca="false">DY24*②시니어_가정!$E$144</f>
        <v>0</v>
      </c>
      <c r="DZ26" s="37" t="n">
        <f aca="false">DZ24*②시니어_가정!$E$144</f>
        <v>0</v>
      </c>
      <c r="EA26" s="37" t="n">
        <f aca="false">EA24*②시니어_가정!$E$144</f>
        <v>0</v>
      </c>
      <c r="EB26" s="37" t="n">
        <f aca="false">EB24*②시니어_가정!$E$144</f>
        <v>0</v>
      </c>
      <c r="EC26" s="37" t="n">
        <f aca="false">EC24*②시니어_가정!$E$144</f>
        <v>0</v>
      </c>
      <c r="ED26" s="37" t="n">
        <f aca="false">ED24*②시니어_가정!$E$144</f>
        <v>0</v>
      </c>
      <c r="EE26" s="37" t="n">
        <f aca="false">EE24*②시니어_가정!$E$144</f>
        <v>0</v>
      </c>
      <c r="EF26" s="37" t="n">
        <f aca="false">EF24*②시니어_가정!$E$144</f>
        <v>0</v>
      </c>
    </row>
    <row r="27" customFormat="false" ht="15" hidden="false" customHeight="false" outlineLevel="0" collapsed="false">
      <c r="A27" s="36" t="s">
        <v>582</v>
      </c>
      <c r="B27" s="278" t="s">
        <v>21</v>
      </c>
      <c r="C27" s="279" t="n">
        <f aca="false">SUM(E27:EF27)</f>
        <v>0</v>
      </c>
      <c r="E27" s="37" t="n">
        <f aca="false">(E14=1)*②시니어_가정!$F$38*②시니어_가정!$E$148*②시니어_가정!$E$159*CHOOSE(MIN(MAX(E16,1),3),②시니어_가정!$E$160,②시니어_가정!$E$161,②시니어_가정!$E$162)*E18/1000000*(1+②시니어_가정!$E$155)^(MAX(E16,1)-1)</f>
        <v>0</v>
      </c>
      <c r="F27" s="37" t="n">
        <f aca="false">(F14=1)*②시니어_가정!$F$38*②시니어_가정!$E$148*②시니어_가정!$E$159*CHOOSE(MIN(MAX(F16,1),3),②시니어_가정!$E$160,②시니어_가정!$E$161,②시니어_가정!$E$162)*F18/1000000*(1+②시니어_가정!$E$155)^(MAX(F16,1)-1)</f>
        <v>0</v>
      </c>
      <c r="G27" s="37" t="n">
        <f aca="false">(G14=1)*②시니어_가정!$F$38*②시니어_가정!$E$148*②시니어_가정!$E$159*CHOOSE(MIN(MAX(G16,1),3),②시니어_가정!$E$160,②시니어_가정!$E$161,②시니어_가정!$E$162)*G18/1000000*(1+②시니어_가정!$E$155)^(MAX(G16,1)-1)</f>
        <v>0</v>
      </c>
      <c r="H27" s="37" t="n">
        <f aca="false">(H14=1)*②시니어_가정!$F$38*②시니어_가정!$E$148*②시니어_가정!$E$159*CHOOSE(MIN(MAX(H16,1),3),②시니어_가정!$E$160,②시니어_가정!$E$161,②시니어_가정!$E$162)*H18/1000000*(1+②시니어_가정!$E$155)^(MAX(H16,1)-1)</f>
        <v>0</v>
      </c>
      <c r="I27" s="37" t="n">
        <f aca="false">(I14=1)*②시니어_가정!$F$38*②시니어_가정!$E$148*②시니어_가정!$E$159*CHOOSE(MIN(MAX(I16,1),3),②시니어_가정!$E$160,②시니어_가정!$E$161,②시니어_가정!$E$162)*I18/1000000*(1+②시니어_가정!$E$155)^(MAX(I16,1)-1)</f>
        <v>0</v>
      </c>
      <c r="J27" s="37" t="n">
        <f aca="false">(J14=1)*②시니어_가정!$F$38*②시니어_가정!$E$148*②시니어_가정!$E$159*CHOOSE(MIN(MAX(J16,1),3),②시니어_가정!$E$160,②시니어_가정!$E$161,②시니어_가정!$E$162)*J18/1000000*(1+②시니어_가정!$E$155)^(MAX(J16,1)-1)</f>
        <v>0</v>
      </c>
      <c r="K27" s="37" t="n">
        <f aca="false">(K14=1)*②시니어_가정!$F$38*②시니어_가정!$E$148*②시니어_가정!$E$159*CHOOSE(MIN(MAX(K16,1),3),②시니어_가정!$E$160,②시니어_가정!$E$161,②시니어_가정!$E$162)*K18/1000000*(1+②시니어_가정!$E$155)^(MAX(K16,1)-1)</f>
        <v>0</v>
      </c>
      <c r="L27" s="37" t="n">
        <f aca="false">(L14=1)*②시니어_가정!$F$38*②시니어_가정!$E$148*②시니어_가정!$E$159*CHOOSE(MIN(MAX(L16,1),3),②시니어_가정!$E$160,②시니어_가정!$E$161,②시니어_가정!$E$162)*L18/1000000*(1+②시니어_가정!$E$155)^(MAX(L16,1)-1)</f>
        <v>0</v>
      </c>
      <c r="M27" s="37" t="n">
        <f aca="false">(M14=1)*②시니어_가정!$F$38*②시니어_가정!$E$148*②시니어_가정!$E$159*CHOOSE(MIN(MAX(M16,1),3),②시니어_가정!$E$160,②시니어_가정!$E$161,②시니어_가정!$E$162)*M18/1000000*(1+②시니어_가정!$E$155)^(MAX(M16,1)-1)</f>
        <v>0</v>
      </c>
      <c r="N27" s="37" t="n">
        <f aca="false">(N14=1)*②시니어_가정!$F$38*②시니어_가정!$E$148*②시니어_가정!$E$159*CHOOSE(MIN(MAX(N16,1),3),②시니어_가정!$E$160,②시니어_가정!$E$161,②시니어_가정!$E$162)*N18/1000000*(1+②시니어_가정!$E$155)^(MAX(N16,1)-1)</f>
        <v>0</v>
      </c>
      <c r="O27" s="37" t="n">
        <f aca="false">(O14=1)*②시니어_가정!$F$38*②시니어_가정!$E$148*②시니어_가정!$E$159*CHOOSE(MIN(MAX(O16,1),3),②시니어_가정!$E$160,②시니어_가정!$E$161,②시니어_가정!$E$162)*O18/1000000*(1+②시니어_가정!$E$155)^(MAX(O16,1)-1)</f>
        <v>0</v>
      </c>
      <c r="P27" s="37" t="n">
        <f aca="false">(P14=1)*②시니어_가정!$F$38*②시니어_가정!$E$148*②시니어_가정!$E$159*CHOOSE(MIN(MAX(P16,1),3),②시니어_가정!$E$160,②시니어_가정!$E$161,②시니어_가정!$E$162)*P18/1000000*(1+②시니어_가정!$E$155)^(MAX(P16,1)-1)</f>
        <v>0</v>
      </c>
      <c r="Q27" s="37" t="n">
        <f aca="false">(Q14=1)*②시니어_가정!$F$38*②시니어_가정!$E$148*②시니어_가정!$E$159*CHOOSE(MIN(MAX(Q16,1),3),②시니어_가정!$E$160,②시니어_가정!$E$161,②시니어_가정!$E$162)*Q18/1000000*(1+②시니어_가정!$E$155)^(MAX(Q16,1)-1)</f>
        <v>0</v>
      </c>
      <c r="R27" s="37" t="n">
        <f aca="false">(R14=1)*②시니어_가정!$F$38*②시니어_가정!$E$148*②시니어_가정!$E$159*CHOOSE(MIN(MAX(R16,1),3),②시니어_가정!$E$160,②시니어_가정!$E$161,②시니어_가정!$E$162)*R18/1000000*(1+②시니어_가정!$E$155)^(MAX(R16,1)-1)</f>
        <v>0</v>
      </c>
      <c r="S27" s="37" t="n">
        <f aca="false">(S14=1)*②시니어_가정!$F$38*②시니어_가정!$E$148*②시니어_가정!$E$159*CHOOSE(MIN(MAX(S16,1),3),②시니어_가정!$E$160,②시니어_가정!$E$161,②시니어_가정!$E$162)*S18/1000000*(1+②시니어_가정!$E$155)^(MAX(S16,1)-1)</f>
        <v>0</v>
      </c>
      <c r="T27" s="37" t="n">
        <f aca="false">(T14=1)*②시니어_가정!$F$38*②시니어_가정!$E$148*②시니어_가정!$E$159*CHOOSE(MIN(MAX(T16,1),3),②시니어_가정!$E$160,②시니어_가정!$E$161,②시니어_가정!$E$162)*T18/1000000*(1+②시니어_가정!$E$155)^(MAX(T16,1)-1)</f>
        <v>0</v>
      </c>
      <c r="U27" s="37" t="n">
        <f aca="false">(U14=1)*②시니어_가정!$F$38*②시니어_가정!$E$148*②시니어_가정!$E$159*CHOOSE(MIN(MAX(U16,1),3),②시니어_가정!$E$160,②시니어_가정!$E$161,②시니어_가정!$E$162)*U18/1000000*(1+②시니어_가정!$E$155)^(MAX(U16,1)-1)</f>
        <v>0</v>
      </c>
      <c r="V27" s="37" t="n">
        <f aca="false">(V14=1)*②시니어_가정!$F$38*②시니어_가정!$E$148*②시니어_가정!$E$159*CHOOSE(MIN(MAX(V16,1),3),②시니어_가정!$E$160,②시니어_가정!$E$161,②시니어_가정!$E$162)*V18/1000000*(1+②시니어_가정!$E$155)^(MAX(V16,1)-1)</f>
        <v>0</v>
      </c>
      <c r="W27" s="37" t="n">
        <f aca="false">(W14=1)*②시니어_가정!$F$38*②시니어_가정!$E$148*②시니어_가정!$E$159*CHOOSE(MIN(MAX(W16,1),3),②시니어_가정!$E$160,②시니어_가정!$E$161,②시니어_가정!$E$162)*W18/1000000*(1+②시니어_가정!$E$155)^(MAX(W16,1)-1)</f>
        <v>0</v>
      </c>
      <c r="X27" s="37" t="n">
        <f aca="false">(X14=1)*②시니어_가정!$F$38*②시니어_가정!$E$148*②시니어_가정!$E$159*CHOOSE(MIN(MAX(X16,1),3),②시니어_가정!$E$160,②시니어_가정!$E$161,②시니어_가정!$E$162)*X18/1000000*(1+②시니어_가정!$E$155)^(MAX(X16,1)-1)</f>
        <v>0</v>
      </c>
      <c r="Y27" s="37" t="n">
        <f aca="false">(Y14=1)*②시니어_가정!$F$38*②시니어_가정!$E$148*②시니어_가정!$E$159*CHOOSE(MIN(MAX(Y16,1),3),②시니어_가정!$E$160,②시니어_가정!$E$161,②시니어_가정!$E$162)*Y18/1000000*(1+②시니어_가정!$E$155)^(MAX(Y16,1)-1)</f>
        <v>0</v>
      </c>
      <c r="Z27" s="37" t="n">
        <f aca="false">(Z14=1)*②시니어_가정!$F$38*②시니어_가정!$E$148*②시니어_가정!$E$159*CHOOSE(MIN(MAX(Z16,1),3),②시니어_가정!$E$160,②시니어_가정!$E$161,②시니어_가정!$E$162)*Z18/1000000*(1+②시니어_가정!$E$155)^(MAX(Z16,1)-1)</f>
        <v>0</v>
      </c>
      <c r="AA27" s="37" t="n">
        <f aca="false">(AA14=1)*②시니어_가정!$F$38*②시니어_가정!$E$148*②시니어_가정!$E$159*CHOOSE(MIN(MAX(AA16,1),3),②시니어_가정!$E$160,②시니어_가정!$E$161,②시니어_가정!$E$162)*AA18/1000000*(1+②시니어_가정!$E$155)^(MAX(AA16,1)-1)</f>
        <v>0</v>
      </c>
      <c r="AB27" s="37" t="n">
        <f aca="false">(AB14=1)*②시니어_가정!$F$38*②시니어_가정!$E$148*②시니어_가정!$E$159*CHOOSE(MIN(MAX(AB16,1),3),②시니어_가정!$E$160,②시니어_가정!$E$161,②시니어_가정!$E$162)*AB18/1000000*(1+②시니어_가정!$E$155)^(MAX(AB16,1)-1)</f>
        <v>0</v>
      </c>
      <c r="AC27" s="37" t="n">
        <f aca="false">(AC14=1)*②시니어_가정!$F$38*②시니어_가정!$E$148*②시니어_가정!$E$159*CHOOSE(MIN(MAX(AC16,1),3),②시니어_가정!$E$160,②시니어_가정!$E$161,②시니어_가정!$E$162)*AC18/1000000*(1+②시니어_가정!$E$155)^(MAX(AC16,1)-1)</f>
        <v>0</v>
      </c>
      <c r="AD27" s="37" t="n">
        <f aca="false">(AD14=1)*②시니어_가정!$F$38*②시니어_가정!$E$148*②시니어_가정!$E$159*CHOOSE(MIN(MAX(AD16,1),3),②시니어_가정!$E$160,②시니어_가정!$E$161,②시니어_가정!$E$162)*AD18/1000000*(1+②시니어_가정!$E$155)^(MAX(AD16,1)-1)</f>
        <v>0</v>
      </c>
      <c r="AE27" s="37" t="n">
        <f aca="false">(AE14=1)*②시니어_가정!$F$38*②시니어_가정!$E$148*②시니어_가정!$E$159*CHOOSE(MIN(MAX(AE16,1),3),②시니어_가정!$E$160,②시니어_가정!$E$161,②시니어_가정!$E$162)*AE18/1000000*(1+②시니어_가정!$E$155)^(MAX(AE16,1)-1)</f>
        <v>0</v>
      </c>
      <c r="AF27" s="37" t="n">
        <f aca="false">(AF14=1)*②시니어_가정!$F$38*②시니어_가정!$E$148*②시니어_가정!$E$159*CHOOSE(MIN(MAX(AF16,1),3),②시니어_가정!$E$160,②시니어_가정!$E$161,②시니어_가정!$E$162)*AF18/1000000*(1+②시니어_가정!$E$155)^(MAX(AF16,1)-1)</f>
        <v>0</v>
      </c>
      <c r="AG27" s="37" t="n">
        <f aca="false">(AG14=1)*②시니어_가정!$F$38*②시니어_가정!$E$148*②시니어_가정!$E$159*CHOOSE(MIN(MAX(AG16,1),3),②시니어_가정!$E$160,②시니어_가정!$E$161,②시니어_가정!$E$162)*AG18/1000000*(1+②시니어_가정!$E$155)^(MAX(AG16,1)-1)</f>
        <v>0</v>
      </c>
      <c r="AH27" s="37" t="n">
        <f aca="false">(AH14=1)*②시니어_가정!$F$38*②시니어_가정!$E$148*②시니어_가정!$E$159*CHOOSE(MIN(MAX(AH16,1),3),②시니어_가정!$E$160,②시니어_가정!$E$161,②시니어_가정!$E$162)*AH18/1000000*(1+②시니어_가정!$E$155)^(MAX(AH16,1)-1)</f>
        <v>0</v>
      </c>
      <c r="AI27" s="37" t="n">
        <f aca="false">(AI14=1)*②시니어_가정!$F$38*②시니어_가정!$E$148*②시니어_가정!$E$159*CHOOSE(MIN(MAX(AI16,1),3),②시니어_가정!$E$160,②시니어_가정!$E$161,②시니어_가정!$E$162)*AI18/1000000*(1+②시니어_가정!$E$155)^(MAX(AI16,1)-1)</f>
        <v>0</v>
      </c>
      <c r="AJ27" s="37" t="n">
        <f aca="false">(AJ14=1)*②시니어_가정!$F$38*②시니어_가정!$E$148*②시니어_가정!$E$159*CHOOSE(MIN(MAX(AJ16,1),3),②시니어_가정!$E$160,②시니어_가정!$E$161,②시니어_가정!$E$162)*AJ18/1000000*(1+②시니어_가정!$E$155)^(MAX(AJ16,1)-1)</f>
        <v>0</v>
      </c>
      <c r="AK27" s="37" t="n">
        <f aca="false">(AK14=1)*②시니어_가정!$F$38*②시니어_가정!$E$148*②시니어_가정!$E$159*CHOOSE(MIN(MAX(AK16,1),3),②시니어_가정!$E$160,②시니어_가정!$E$161,②시니어_가정!$E$162)*AK18/1000000*(1+②시니어_가정!$E$155)^(MAX(AK16,1)-1)</f>
        <v>0</v>
      </c>
      <c r="AL27" s="37" t="n">
        <f aca="false">(AL14=1)*②시니어_가정!$F$38*②시니어_가정!$E$148*②시니어_가정!$E$159*CHOOSE(MIN(MAX(AL16,1),3),②시니어_가정!$E$160,②시니어_가정!$E$161,②시니어_가정!$E$162)*AL18/1000000*(1+②시니어_가정!$E$155)^(MAX(AL16,1)-1)</f>
        <v>0</v>
      </c>
      <c r="AM27" s="37" t="n">
        <f aca="false">(AM14=1)*②시니어_가정!$F$38*②시니어_가정!$E$148*②시니어_가정!$E$159*CHOOSE(MIN(MAX(AM16,1),3),②시니어_가정!$E$160,②시니어_가정!$E$161,②시니어_가정!$E$162)*AM18/1000000*(1+②시니어_가정!$E$155)^(MAX(AM16,1)-1)</f>
        <v>0</v>
      </c>
      <c r="AN27" s="37" t="n">
        <f aca="false">(AN14=1)*②시니어_가정!$F$38*②시니어_가정!$E$148*②시니어_가정!$E$159*CHOOSE(MIN(MAX(AN16,1),3),②시니어_가정!$E$160,②시니어_가정!$E$161,②시니어_가정!$E$162)*AN18/1000000*(1+②시니어_가정!$E$155)^(MAX(AN16,1)-1)</f>
        <v>0</v>
      </c>
      <c r="AO27" s="37" t="n">
        <f aca="false">(AO14=1)*②시니어_가정!$F$38*②시니어_가정!$E$148*②시니어_가정!$E$159*CHOOSE(MIN(MAX(AO16,1),3),②시니어_가정!$E$160,②시니어_가정!$E$161,②시니어_가정!$E$162)*AO18/1000000*(1+②시니어_가정!$E$155)^(MAX(AO16,1)-1)</f>
        <v>0</v>
      </c>
      <c r="AP27" s="37" t="n">
        <f aca="false">(AP14=1)*②시니어_가정!$F$38*②시니어_가정!$E$148*②시니어_가정!$E$159*CHOOSE(MIN(MAX(AP16,1),3),②시니어_가정!$E$160,②시니어_가정!$E$161,②시니어_가정!$E$162)*AP18/1000000*(1+②시니어_가정!$E$155)^(MAX(AP16,1)-1)</f>
        <v>0</v>
      </c>
      <c r="AQ27" s="37" t="n">
        <f aca="false">(AQ14=1)*②시니어_가정!$F$38*②시니어_가정!$E$148*②시니어_가정!$E$159*CHOOSE(MIN(MAX(AQ16,1),3),②시니어_가정!$E$160,②시니어_가정!$E$161,②시니어_가정!$E$162)*AQ18/1000000*(1+②시니어_가정!$E$155)^(MAX(AQ16,1)-1)</f>
        <v>0</v>
      </c>
      <c r="AR27" s="37" t="n">
        <f aca="false">(AR14=1)*②시니어_가정!$F$38*②시니어_가정!$E$148*②시니어_가정!$E$159*CHOOSE(MIN(MAX(AR16,1),3),②시니어_가정!$E$160,②시니어_가정!$E$161,②시니어_가정!$E$162)*AR18/1000000*(1+②시니어_가정!$E$155)^(MAX(AR16,1)-1)</f>
        <v>0</v>
      </c>
      <c r="AS27" s="37" t="n">
        <f aca="false">(AS14=1)*②시니어_가정!$F$38*②시니어_가정!$E$148*②시니어_가정!$E$159*CHOOSE(MIN(MAX(AS16,1),3),②시니어_가정!$E$160,②시니어_가정!$E$161,②시니어_가정!$E$162)*AS18/1000000*(1+②시니어_가정!$E$155)^(MAX(AS16,1)-1)</f>
        <v>0</v>
      </c>
      <c r="AT27" s="37" t="n">
        <f aca="false">(AT14=1)*②시니어_가정!$F$38*②시니어_가정!$E$148*②시니어_가정!$E$159*CHOOSE(MIN(MAX(AT16,1),3),②시니어_가정!$E$160,②시니어_가정!$E$161,②시니어_가정!$E$162)*AT18/1000000*(1+②시니어_가정!$E$155)^(MAX(AT16,1)-1)</f>
        <v>0</v>
      </c>
      <c r="AU27" s="37" t="n">
        <f aca="false">(AU14=1)*②시니어_가정!$F$38*②시니어_가정!$E$148*②시니어_가정!$E$159*CHOOSE(MIN(MAX(AU16,1),3),②시니어_가정!$E$160,②시니어_가정!$E$161,②시니어_가정!$E$162)*AU18/1000000*(1+②시니어_가정!$E$155)^(MAX(AU16,1)-1)</f>
        <v>0</v>
      </c>
      <c r="AV27" s="37" t="n">
        <f aca="false">(AV14=1)*②시니어_가정!$F$38*②시니어_가정!$E$148*②시니어_가정!$E$159*CHOOSE(MIN(MAX(AV16,1),3),②시니어_가정!$E$160,②시니어_가정!$E$161,②시니어_가정!$E$162)*AV18/1000000*(1+②시니어_가정!$E$155)^(MAX(AV16,1)-1)</f>
        <v>0</v>
      </c>
      <c r="AW27" s="37" t="n">
        <f aca="false">(AW14=1)*②시니어_가정!$F$38*②시니어_가정!$E$148*②시니어_가정!$E$159*CHOOSE(MIN(MAX(AW16,1),3),②시니어_가정!$E$160,②시니어_가정!$E$161,②시니어_가정!$E$162)*AW18/1000000*(1+②시니어_가정!$E$155)^(MAX(AW16,1)-1)</f>
        <v>0</v>
      </c>
      <c r="AX27" s="37" t="n">
        <f aca="false">(AX14=1)*②시니어_가정!$F$38*②시니어_가정!$E$148*②시니어_가정!$E$159*CHOOSE(MIN(MAX(AX16,1),3),②시니어_가정!$E$160,②시니어_가정!$E$161,②시니어_가정!$E$162)*AX18/1000000*(1+②시니어_가정!$E$155)^(MAX(AX16,1)-1)</f>
        <v>0</v>
      </c>
      <c r="AY27" s="37" t="n">
        <f aca="false">(AY14=1)*②시니어_가정!$F$38*②시니어_가정!$E$148*②시니어_가정!$E$159*CHOOSE(MIN(MAX(AY16,1),3),②시니어_가정!$E$160,②시니어_가정!$E$161,②시니어_가정!$E$162)*AY18/1000000*(1+②시니어_가정!$E$155)^(MAX(AY16,1)-1)</f>
        <v>0</v>
      </c>
      <c r="AZ27" s="37" t="n">
        <f aca="false">(AZ14=1)*②시니어_가정!$F$38*②시니어_가정!$E$148*②시니어_가정!$E$159*CHOOSE(MIN(MAX(AZ16,1),3),②시니어_가정!$E$160,②시니어_가정!$E$161,②시니어_가정!$E$162)*AZ18/1000000*(1+②시니어_가정!$E$155)^(MAX(AZ16,1)-1)</f>
        <v>0</v>
      </c>
      <c r="BA27" s="37" t="n">
        <f aca="false">(BA14=1)*②시니어_가정!$F$38*②시니어_가정!$E$148*②시니어_가정!$E$159*CHOOSE(MIN(MAX(BA16,1),3),②시니어_가정!$E$160,②시니어_가정!$E$161,②시니어_가정!$E$162)*BA18/1000000*(1+②시니어_가정!$E$155)^(MAX(BA16,1)-1)</f>
        <v>0</v>
      </c>
      <c r="BB27" s="37" t="n">
        <f aca="false">(BB14=1)*②시니어_가정!$F$38*②시니어_가정!$E$148*②시니어_가정!$E$159*CHOOSE(MIN(MAX(BB16,1),3),②시니어_가정!$E$160,②시니어_가정!$E$161,②시니어_가정!$E$162)*BB18/1000000*(1+②시니어_가정!$E$155)^(MAX(BB16,1)-1)</f>
        <v>0</v>
      </c>
      <c r="BC27" s="37" t="n">
        <f aca="false">(BC14=1)*②시니어_가정!$F$38*②시니어_가정!$E$148*②시니어_가정!$E$159*CHOOSE(MIN(MAX(BC16,1),3),②시니어_가정!$E$160,②시니어_가정!$E$161,②시니어_가정!$E$162)*BC18/1000000*(1+②시니어_가정!$E$155)^(MAX(BC16,1)-1)</f>
        <v>0</v>
      </c>
      <c r="BD27" s="37" t="n">
        <f aca="false">(BD14=1)*②시니어_가정!$F$38*②시니어_가정!$E$148*②시니어_가정!$E$159*CHOOSE(MIN(MAX(BD16,1),3),②시니어_가정!$E$160,②시니어_가정!$E$161,②시니어_가정!$E$162)*BD18/1000000*(1+②시니어_가정!$E$155)^(MAX(BD16,1)-1)</f>
        <v>0</v>
      </c>
      <c r="BE27" s="37" t="n">
        <f aca="false">(BE14=1)*②시니어_가정!$F$38*②시니어_가정!$E$148*②시니어_가정!$E$159*CHOOSE(MIN(MAX(BE16,1),3),②시니어_가정!$E$160,②시니어_가정!$E$161,②시니어_가정!$E$162)*BE18/1000000*(1+②시니어_가정!$E$155)^(MAX(BE16,1)-1)</f>
        <v>0</v>
      </c>
      <c r="BF27" s="37" t="n">
        <f aca="false">(BF14=1)*②시니어_가정!$F$38*②시니어_가정!$E$148*②시니어_가정!$E$159*CHOOSE(MIN(MAX(BF16,1),3),②시니어_가정!$E$160,②시니어_가정!$E$161,②시니어_가정!$E$162)*BF18/1000000*(1+②시니어_가정!$E$155)^(MAX(BF16,1)-1)</f>
        <v>0</v>
      </c>
      <c r="BG27" s="37" t="n">
        <f aca="false">(BG14=1)*②시니어_가정!$F$38*②시니어_가정!$E$148*②시니어_가정!$E$159*CHOOSE(MIN(MAX(BG16,1),3),②시니어_가정!$E$160,②시니어_가정!$E$161,②시니어_가정!$E$162)*BG18/1000000*(1+②시니어_가정!$E$155)^(MAX(BG16,1)-1)</f>
        <v>0</v>
      </c>
      <c r="BH27" s="37" t="n">
        <f aca="false">(BH14=1)*②시니어_가정!$F$38*②시니어_가정!$E$148*②시니어_가정!$E$159*CHOOSE(MIN(MAX(BH16,1),3),②시니어_가정!$E$160,②시니어_가정!$E$161,②시니어_가정!$E$162)*BH18/1000000*(1+②시니어_가정!$E$155)^(MAX(BH16,1)-1)</f>
        <v>0</v>
      </c>
      <c r="BI27" s="37" t="n">
        <f aca="false">(BI14=1)*②시니어_가정!$F$38*②시니어_가정!$E$148*②시니어_가정!$E$159*CHOOSE(MIN(MAX(BI16,1),3),②시니어_가정!$E$160,②시니어_가정!$E$161,②시니어_가정!$E$162)*BI18/1000000*(1+②시니어_가정!$E$155)^(MAX(BI16,1)-1)</f>
        <v>0</v>
      </c>
      <c r="BJ27" s="37" t="n">
        <f aca="false">(BJ14=1)*②시니어_가정!$F$38*②시니어_가정!$E$148*②시니어_가정!$E$159*CHOOSE(MIN(MAX(BJ16,1),3),②시니어_가정!$E$160,②시니어_가정!$E$161,②시니어_가정!$E$162)*BJ18/1000000*(1+②시니어_가정!$E$155)^(MAX(BJ16,1)-1)</f>
        <v>0</v>
      </c>
      <c r="BK27" s="37" t="n">
        <f aca="false">(BK14=1)*②시니어_가정!$F$38*②시니어_가정!$E$148*②시니어_가정!$E$159*CHOOSE(MIN(MAX(BK16,1),3),②시니어_가정!$E$160,②시니어_가정!$E$161,②시니어_가정!$E$162)*BK18/1000000*(1+②시니어_가정!$E$155)^(MAX(BK16,1)-1)</f>
        <v>0</v>
      </c>
      <c r="BL27" s="37" t="n">
        <f aca="false">(BL14=1)*②시니어_가정!$F$38*②시니어_가정!$E$148*②시니어_가정!$E$159*CHOOSE(MIN(MAX(BL16,1),3),②시니어_가정!$E$160,②시니어_가정!$E$161,②시니어_가정!$E$162)*BL18/1000000*(1+②시니어_가정!$E$155)^(MAX(BL16,1)-1)</f>
        <v>0</v>
      </c>
      <c r="BM27" s="37" t="n">
        <f aca="false">(BM14=1)*②시니어_가정!$F$38*②시니어_가정!$E$148*②시니어_가정!$E$159*CHOOSE(MIN(MAX(BM16,1),3),②시니어_가정!$E$160,②시니어_가정!$E$161,②시니어_가정!$E$162)*BM18/1000000*(1+②시니어_가정!$E$155)^(MAX(BM16,1)-1)</f>
        <v>0</v>
      </c>
      <c r="BN27" s="37" t="n">
        <f aca="false">(BN14=1)*②시니어_가정!$F$38*②시니어_가정!$E$148*②시니어_가정!$E$159*CHOOSE(MIN(MAX(BN16,1),3),②시니어_가정!$E$160,②시니어_가정!$E$161,②시니어_가정!$E$162)*BN18/1000000*(1+②시니어_가정!$E$155)^(MAX(BN16,1)-1)</f>
        <v>0</v>
      </c>
      <c r="BO27" s="37" t="n">
        <f aca="false">(BO14=1)*②시니어_가정!$F$38*②시니어_가정!$E$148*②시니어_가정!$E$159*CHOOSE(MIN(MAX(BO16,1),3),②시니어_가정!$E$160,②시니어_가정!$E$161,②시니어_가정!$E$162)*BO18/1000000*(1+②시니어_가정!$E$155)^(MAX(BO16,1)-1)</f>
        <v>0</v>
      </c>
      <c r="BP27" s="37" t="n">
        <f aca="false">(BP14=1)*②시니어_가정!$F$38*②시니어_가정!$E$148*②시니어_가정!$E$159*CHOOSE(MIN(MAX(BP16,1),3),②시니어_가정!$E$160,②시니어_가정!$E$161,②시니어_가정!$E$162)*BP18/1000000*(1+②시니어_가정!$E$155)^(MAX(BP16,1)-1)</f>
        <v>0</v>
      </c>
      <c r="BQ27" s="37" t="n">
        <f aca="false">(BQ14=1)*②시니어_가정!$F$38*②시니어_가정!$E$148*②시니어_가정!$E$159*CHOOSE(MIN(MAX(BQ16,1),3),②시니어_가정!$E$160,②시니어_가정!$E$161,②시니어_가정!$E$162)*BQ18/1000000*(1+②시니어_가정!$E$155)^(MAX(BQ16,1)-1)</f>
        <v>0</v>
      </c>
      <c r="BR27" s="37" t="n">
        <f aca="false">(BR14=1)*②시니어_가정!$F$38*②시니어_가정!$E$148*②시니어_가정!$E$159*CHOOSE(MIN(MAX(BR16,1),3),②시니어_가정!$E$160,②시니어_가정!$E$161,②시니어_가정!$E$162)*BR18/1000000*(1+②시니어_가정!$E$155)^(MAX(BR16,1)-1)</f>
        <v>0</v>
      </c>
      <c r="BS27" s="37" t="n">
        <f aca="false">(BS14=1)*②시니어_가정!$F$38*②시니어_가정!$E$148*②시니어_가정!$E$159*CHOOSE(MIN(MAX(BS16,1),3),②시니어_가정!$E$160,②시니어_가정!$E$161,②시니어_가정!$E$162)*BS18/1000000*(1+②시니어_가정!$E$155)^(MAX(BS16,1)-1)</f>
        <v>0</v>
      </c>
      <c r="BT27" s="37" t="n">
        <f aca="false">(BT14=1)*②시니어_가정!$F$38*②시니어_가정!$E$148*②시니어_가정!$E$159*CHOOSE(MIN(MAX(BT16,1),3),②시니어_가정!$E$160,②시니어_가정!$E$161,②시니어_가정!$E$162)*BT18/1000000*(1+②시니어_가정!$E$155)^(MAX(BT16,1)-1)</f>
        <v>0</v>
      </c>
      <c r="BU27" s="37" t="n">
        <f aca="false">(BU14=1)*②시니어_가정!$F$38*②시니어_가정!$E$148*②시니어_가정!$E$159*CHOOSE(MIN(MAX(BU16,1),3),②시니어_가정!$E$160,②시니어_가정!$E$161,②시니어_가정!$E$162)*BU18/1000000*(1+②시니어_가정!$E$155)^(MAX(BU16,1)-1)</f>
        <v>0</v>
      </c>
      <c r="BV27" s="37" t="n">
        <f aca="false">(BV14=1)*②시니어_가정!$F$38*②시니어_가정!$E$148*②시니어_가정!$E$159*CHOOSE(MIN(MAX(BV16,1),3),②시니어_가정!$E$160,②시니어_가정!$E$161,②시니어_가정!$E$162)*BV18/1000000*(1+②시니어_가정!$E$155)^(MAX(BV16,1)-1)</f>
        <v>0</v>
      </c>
      <c r="BW27" s="37" t="n">
        <f aca="false">(BW14=1)*②시니어_가정!$F$38*②시니어_가정!$E$148*②시니어_가정!$E$159*CHOOSE(MIN(MAX(BW16,1),3),②시니어_가정!$E$160,②시니어_가정!$E$161,②시니어_가정!$E$162)*BW18/1000000*(1+②시니어_가정!$E$155)^(MAX(BW16,1)-1)</f>
        <v>0</v>
      </c>
      <c r="BX27" s="37" t="n">
        <f aca="false">(BX14=1)*②시니어_가정!$F$38*②시니어_가정!$E$148*②시니어_가정!$E$159*CHOOSE(MIN(MAX(BX16,1),3),②시니어_가정!$E$160,②시니어_가정!$E$161,②시니어_가정!$E$162)*BX18/1000000*(1+②시니어_가정!$E$155)^(MAX(BX16,1)-1)</f>
        <v>0</v>
      </c>
      <c r="BY27" s="37" t="n">
        <f aca="false">(BY14=1)*②시니어_가정!$F$38*②시니어_가정!$E$148*②시니어_가정!$E$159*CHOOSE(MIN(MAX(BY16,1),3),②시니어_가정!$E$160,②시니어_가정!$E$161,②시니어_가정!$E$162)*BY18/1000000*(1+②시니어_가정!$E$155)^(MAX(BY16,1)-1)</f>
        <v>0</v>
      </c>
      <c r="BZ27" s="37" t="n">
        <f aca="false">(BZ14=1)*②시니어_가정!$F$38*②시니어_가정!$E$148*②시니어_가정!$E$159*CHOOSE(MIN(MAX(BZ16,1),3),②시니어_가정!$E$160,②시니어_가정!$E$161,②시니어_가정!$E$162)*BZ18/1000000*(1+②시니어_가정!$E$155)^(MAX(BZ16,1)-1)</f>
        <v>0</v>
      </c>
      <c r="CA27" s="37" t="n">
        <f aca="false">(CA14=1)*②시니어_가정!$F$38*②시니어_가정!$E$148*②시니어_가정!$E$159*CHOOSE(MIN(MAX(CA16,1),3),②시니어_가정!$E$160,②시니어_가정!$E$161,②시니어_가정!$E$162)*CA18/1000000*(1+②시니어_가정!$E$155)^(MAX(CA16,1)-1)</f>
        <v>0</v>
      </c>
      <c r="CB27" s="37" t="n">
        <f aca="false">(CB14=1)*②시니어_가정!$F$38*②시니어_가정!$E$148*②시니어_가정!$E$159*CHOOSE(MIN(MAX(CB16,1),3),②시니어_가정!$E$160,②시니어_가정!$E$161,②시니어_가정!$E$162)*CB18/1000000*(1+②시니어_가정!$E$155)^(MAX(CB16,1)-1)</f>
        <v>0</v>
      </c>
      <c r="CC27" s="37" t="n">
        <f aca="false">(CC14=1)*②시니어_가정!$F$38*②시니어_가정!$E$148*②시니어_가정!$E$159*CHOOSE(MIN(MAX(CC16,1),3),②시니어_가정!$E$160,②시니어_가정!$E$161,②시니어_가정!$E$162)*CC18/1000000*(1+②시니어_가정!$E$155)^(MAX(CC16,1)-1)</f>
        <v>0</v>
      </c>
      <c r="CD27" s="37" t="n">
        <f aca="false">(CD14=1)*②시니어_가정!$F$38*②시니어_가정!$E$148*②시니어_가정!$E$159*CHOOSE(MIN(MAX(CD16,1),3),②시니어_가정!$E$160,②시니어_가정!$E$161,②시니어_가정!$E$162)*CD18/1000000*(1+②시니어_가정!$E$155)^(MAX(CD16,1)-1)</f>
        <v>0</v>
      </c>
      <c r="CE27" s="37" t="n">
        <f aca="false">(CE14=1)*②시니어_가정!$F$38*②시니어_가정!$E$148*②시니어_가정!$E$159*CHOOSE(MIN(MAX(CE16,1),3),②시니어_가정!$E$160,②시니어_가정!$E$161,②시니어_가정!$E$162)*CE18/1000000*(1+②시니어_가정!$E$155)^(MAX(CE16,1)-1)</f>
        <v>0</v>
      </c>
      <c r="CF27" s="37" t="n">
        <f aca="false">(CF14=1)*②시니어_가정!$F$38*②시니어_가정!$E$148*②시니어_가정!$E$159*CHOOSE(MIN(MAX(CF16,1),3),②시니어_가정!$E$160,②시니어_가정!$E$161,②시니어_가정!$E$162)*CF18/1000000*(1+②시니어_가정!$E$155)^(MAX(CF16,1)-1)</f>
        <v>0</v>
      </c>
      <c r="CG27" s="37" t="n">
        <f aca="false">(CG14=1)*②시니어_가정!$F$38*②시니어_가정!$E$148*②시니어_가정!$E$159*CHOOSE(MIN(MAX(CG16,1),3),②시니어_가정!$E$160,②시니어_가정!$E$161,②시니어_가정!$E$162)*CG18/1000000*(1+②시니어_가정!$E$155)^(MAX(CG16,1)-1)</f>
        <v>0</v>
      </c>
      <c r="CH27" s="37" t="n">
        <f aca="false">(CH14=1)*②시니어_가정!$F$38*②시니어_가정!$E$148*②시니어_가정!$E$159*CHOOSE(MIN(MAX(CH16,1),3),②시니어_가정!$E$160,②시니어_가정!$E$161,②시니어_가정!$E$162)*CH18/1000000*(1+②시니어_가정!$E$155)^(MAX(CH16,1)-1)</f>
        <v>0</v>
      </c>
      <c r="CI27" s="37" t="n">
        <f aca="false">(CI14=1)*②시니어_가정!$F$38*②시니어_가정!$E$148*②시니어_가정!$E$159*CHOOSE(MIN(MAX(CI16,1),3),②시니어_가정!$E$160,②시니어_가정!$E$161,②시니어_가정!$E$162)*CI18/1000000*(1+②시니어_가정!$E$155)^(MAX(CI16,1)-1)</f>
        <v>0</v>
      </c>
      <c r="CJ27" s="37" t="n">
        <f aca="false">(CJ14=1)*②시니어_가정!$F$38*②시니어_가정!$E$148*②시니어_가정!$E$159*CHOOSE(MIN(MAX(CJ16,1),3),②시니어_가정!$E$160,②시니어_가정!$E$161,②시니어_가정!$E$162)*CJ18/1000000*(1+②시니어_가정!$E$155)^(MAX(CJ16,1)-1)</f>
        <v>0</v>
      </c>
      <c r="CK27" s="37" t="n">
        <f aca="false">(CK14=1)*②시니어_가정!$F$38*②시니어_가정!$E$148*②시니어_가정!$E$159*CHOOSE(MIN(MAX(CK16,1),3),②시니어_가정!$E$160,②시니어_가정!$E$161,②시니어_가정!$E$162)*CK18/1000000*(1+②시니어_가정!$E$155)^(MAX(CK16,1)-1)</f>
        <v>0</v>
      </c>
      <c r="CL27" s="37" t="n">
        <f aca="false">(CL14=1)*②시니어_가정!$F$38*②시니어_가정!$E$148*②시니어_가정!$E$159*CHOOSE(MIN(MAX(CL16,1),3),②시니어_가정!$E$160,②시니어_가정!$E$161,②시니어_가정!$E$162)*CL18/1000000*(1+②시니어_가정!$E$155)^(MAX(CL16,1)-1)</f>
        <v>0</v>
      </c>
      <c r="CM27" s="37" t="n">
        <f aca="false">(CM14=1)*②시니어_가정!$F$38*②시니어_가정!$E$148*②시니어_가정!$E$159*CHOOSE(MIN(MAX(CM16,1),3),②시니어_가정!$E$160,②시니어_가정!$E$161,②시니어_가정!$E$162)*CM18/1000000*(1+②시니어_가정!$E$155)^(MAX(CM16,1)-1)</f>
        <v>0</v>
      </c>
      <c r="CN27" s="37" t="n">
        <f aca="false">(CN14=1)*②시니어_가정!$F$38*②시니어_가정!$E$148*②시니어_가정!$E$159*CHOOSE(MIN(MAX(CN16,1),3),②시니어_가정!$E$160,②시니어_가정!$E$161,②시니어_가정!$E$162)*CN18/1000000*(1+②시니어_가정!$E$155)^(MAX(CN16,1)-1)</f>
        <v>0</v>
      </c>
      <c r="CO27" s="37" t="n">
        <f aca="false">(CO14=1)*②시니어_가정!$F$38*②시니어_가정!$E$148*②시니어_가정!$E$159*CHOOSE(MIN(MAX(CO16,1),3),②시니어_가정!$E$160,②시니어_가정!$E$161,②시니어_가정!$E$162)*CO18/1000000*(1+②시니어_가정!$E$155)^(MAX(CO16,1)-1)</f>
        <v>0</v>
      </c>
      <c r="CP27" s="37" t="n">
        <f aca="false">(CP14=1)*②시니어_가정!$F$38*②시니어_가정!$E$148*②시니어_가정!$E$159*CHOOSE(MIN(MAX(CP16,1),3),②시니어_가정!$E$160,②시니어_가정!$E$161,②시니어_가정!$E$162)*CP18/1000000*(1+②시니어_가정!$E$155)^(MAX(CP16,1)-1)</f>
        <v>0</v>
      </c>
      <c r="CQ27" s="37" t="n">
        <f aca="false">(CQ14=1)*②시니어_가정!$F$38*②시니어_가정!$E$148*②시니어_가정!$E$159*CHOOSE(MIN(MAX(CQ16,1),3),②시니어_가정!$E$160,②시니어_가정!$E$161,②시니어_가정!$E$162)*CQ18/1000000*(1+②시니어_가정!$E$155)^(MAX(CQ16,1)-1)</f>
        <v>0</v>
      </c>
      <c r="CR27" s="37" t="n">
        <f aca="false">(CR14=1)*②시니어_가정!$F$38*②시니어_가정!$E$148*②시니어_가정!$E$159*CHOOSE(MIN(MAX(CR16,1),3),②시니어_가정!$E$160,②시니어_가정!$E$161,②시니어_가정!$E$162)*CR18/1000000*(1+②시니어_가정!$E$155)^(MAX(CR16,1)-1)</f>
        <v>0</v>
      </c>
      <c r="CS27" s="37" t="n">
        <f aca="false">(CS14=1)*②시니어_가정!$F$38*②시니어_가정!$E$148*②시니어_가정!$E$159*CHOOSE(MIN(MAX(CS16,1),3),②시니어_가정!$E$160,②시니어_가정!$E$161,②시니어_가정!$E$162)*CS18/1000000*(1+②시니어_가정!$E$155)^(MAX(CS16,1)-1)</f>
        <v>0</v>
      </c>
      <c r="CT27" s="37" t="n">
        <f aca="false">(CT14=1)*②시니어_가정!$F$38*②시니어_가정!$E$148*②시니어_가정!$E$159*CHOOSE(MIN(MAX(CT16,1),3),②시니어_가정!$E$160,②시니어_가정!$E$161,②시니어_가정!$E$162)*CT18/1000000*(1+②시니어_가정!$E$155)^(MAX(CT16,1)-1)</f>
        <v>0</v>
      </c>
      <c r="CU27" s="37" t="n">
        <f aca="false">(CU14=1)*②시니어_가정!$F$38*②시니어_가정!$E$148*②시니어_가정!$E$159*CHOOSE(MIN(MAX(CU16,1),3),②시니어_가정!$E$160,②시니어_가정!$E$161,②시니어_가정!$E$162)*CU18/1000000*(1+②시니어_가정!$E$155)^(MAX(CU16,1)-1)</f>
        <v>0</v>
      </c>
      <c r="CV27" s="37" t="n">
        <f aca="false">(CV14=1)*②시니어_가정!$F$38*②시니어_가정!$E$148*②시니어_가정!$E$159*CHOOSE(MIN(MAX(CV16,1),3),②시니어_가정!$E$160,②시니어_가정!$E$161,②시니어_가정!$E$162)*CV18/1000000*(1+②시니어_가정!$E$155)^(MAX(CV16,1)-1)</f>
        <v>0</v>
      </c>
      <c r="CW27" s="37" t="n">
        <f aca="false">(CW14=1)*②시니어_가정!$F$38*②시니어_가정!$E$148*②시니어_가정!$E$159*CHOOSE(MIN(MAX(CW16,1),3),②시니어_가정!$E$160,②시니어_가정!$E$161,②시니어_가정!$E$162)*CW18/1000000*(1+②시니어_가정!$E$155)^(MAX(CW16,1)-1)</f>
        <v>0</v>
      </c>
      <c r="CX27" s="37" t="n">
        <f aca="false">(CX14=1)*②시니어_가정!$F$38*②시니어_가정!$E$148*②시니어_가정!$E$159*CHOOSE(MIN(MAX(CX16,1),3),②시니어_가정!$E$160,②시니어_가정!$E$161,②시니어_가정!$E$162)*CX18/1000000*(1+②시니어_가정!$E$155)^(MAX(CX16,1)-1)</f>
        <v>0</v>
      </c>
      <c r="CY27" s="37" t="n">
        <f aca="false">(CY14=1)*②시니어_가정!$F$38*②시니어_가정!$E$148*②시니어_가정!$E$159*CHOOSE(MIN(MAX(CY16,1),3),②시니어_가정!$E$160,②시니어_가정!$E$161,②시니어_가정!$E$162)*CY18/1000000*(1+②시니어_가정!$E$155)^(MAX(CY16,1)-1)</f>
        <v>0</v>
      </c>
      <c r="CZ27" s="37" t="n">
        <f aca="false">(CZ14=1)*②시니어_가정!$F$38*②시니어_가정!$E$148*②시니어_가정!$E$159*CHOOSE(MIN(MAX(CZ16,1),3),②시니어_가정!$E$160,②시니어_가정!$E$161,②시니어_가정!$E$162)*CZ18/1000000*(1+②시니어_가정!$E$155)^(MAX(CZ16,1)-1)</f>
        <v>0</v>
      </c>
      <c r="DA27" s="37" t="n">
        <f aca="false">(DA14=1)*②시니어_가정!$F$38*②시니어_가정!$E$148*②시니어_가정!$E$159*CHOOSE(MIN(MAX(DA16,1),3),②시니어_가정!$E$160,②시니어_가정!$E$161,②시니어_가정!$E$162)*DA18/1000000*(1+②시니어_가정!$E$155)^(MAX(DA16,1)-1)</f>
        <v>0</v>
      </c>
      <c r="DB27" s="37" t="n">
        <f aca="false">(DB14=1)*②시니어_가정!$F$38*②시니어_가정!$E$148*②시니어_가정!$E$159*CHOOSE(MIN(MAX(DB16,1),3),②시니어_가정!$E$160,②시니어_가정!$E$161,②시니어_가정!$E$162)*DB18/1000000*(1+②시니어_가정!$E$155)^(MAX(DB16,1)-1)</f>
        <v>0</v>
      </c>
      <c r="DC27" s="37" t="n">
        <f aca="false">(DC14=1)*②시니어_가정!$F$38*②시니어_가정!$E$148*②시니어_가정!$E$159*CHOOSE(MIN(MAX(DC16,1),3),②시니어_가정!$E$160,②시니어_가정!$E$161,②시니어_가정!$E$162)*DC18/1000000*(1+②시니어_가정!$E$155)^(MAX(DC16,1)-1)</f>
        <v>0</v>
      </c>
      <c r="DD27" s="37" t="n">
        <f aca="false">(DD14=1)*②시니어_가정!$F$38*②시니어_가정!$E$148*②시니어_가정!$E$159*CHOOSE(MIN(MAX(DD16,1),3),②시니어_가정!$E$160,②시니어_가정!$E$161,②시니어_가정!$E$162)*DD18/1000000*(1+②시니어_가정!$E$155)^(MAX(DD16,1)-1)</f>
        <v>0</v>
      </c>
      <c r="DE27" s="37" t="n">
        <f aca="false">(DE14=1)*②시니어_가정!$F$38*②시니어_가정!$E$148*②시니어_가정!$E$159*CHOOSE(MIN(MAX(DE16,1),3),②시니어_가정!$E$160,②시니어_가정!$E$161,②시니어_가정!$E$162)*DE18/1000000*(1+②시니어_가정!$E$155)^(MAX(DE16,1)-1)</f>
        <v>0</v>
      </c>
      <c r="DF27" s="37" t="n">
        <f aca="false">(DF14=1)*②시니어_가정!$F$38*②시니어_가정!$E$148*②시니어_가정!$E$159*CHOOSE(MIN(MAX(DF16,1),3),②시니어_가정!$E$160,②시니어_가정!$E$161,②시니어_가정!$E$162)*DF18/1000000*(1+②시니어_가정!$E$155)^(MAX(DF16,1)-1)</f>
        <v>0</v>
      </c>
      <c r="DG27" s="37" t="n">
        <f aca="false">(DG14=1)*②시니어_가정!$F$38*②시니어_가정!$E$148*②시니어_가정!$E$159*CHOOSE(MIN(MAX(DG16,1),3),②시니어_가정!$E$160,②시니어_가정!$E$161,②시니어_가정!$E$162)*DG18/1000000*(1+②시니어_가정!$E$155)^(MAX(DG16,1)-1)</f>
        <v>0</v>
      </c>
      <c r="DH27" s="37" t="n">
        <f aca="false">(DH14=1)*②시니어_가정!$F$38*②시니어_가정!$E$148*②시니어_가정!$E$159*CHOOSE(MIN(MAX(DH16,1),3),②시니어_가정!$E$160,②시니어_가정!$E$161,②시니어_가정!$E$162)*DH18/1000000*(1+②시니어_가정!$E$155)^(MAX(DH16,1)-1)</f>
        <v>0</v>
      </c>
      <c r="DI27" s="37" t="n">
        <f aca="false">(DI14=1)*②시니어_가정!$F$38*②시니어_가정!$E$148*②시니어_가정!$E$159*CHOOSE(MIN(MAX(DI16,1),3),②시니어_가정!$E$160,②시니어_가정!$E$161,②시니어_가정!$E$162)*DI18/1000000*(1+②시니어_가정!$E$155)^(MAX(DI16,1)-1)</f>
        <v>0</v>
      </c>
      <c r="DJ27" s="37" t="n">
        <f aca="false">(DJ14=1)*②시니어_가정!$F$38*②시니어_가정!$E$148*②시니어_가정!$E$159*CHOOSE(MIN(MAX(DJ16,1),3),②시니어_가정!$E$160,②시니어_가정!$E$161,②시니어_가정!$E$162)*DJ18/1000000*(1+②시니어_가정!$E$155)^(MAX(DJ16,1)-1)</f>
        <v>0</v>
      </c>
      <c r="DK27" s="37" t="n">
        <f aca="false">(DK14=1)*②시니어_가정!$F$38*②시니어_가정!$E$148*②시니어_가정!$E$159*CHOOSE(MIN(MAX(DK16,1),3),②시니어_가정!$E$160,②시니어_가정!$E$161,②시니어_가정!$E$162)*DK18/1000000*(1+②시니어_가정!$E$155)^(MAX(DK16,1)-1)</f>
        <v>0</v>
      </c>
      <c r="DL27" s="37" t="n">
        <f aca="false">(DL14=1)*②시니어_가정!$F$38*②시니어_가정!$E$148*②시니어_가정!$E$159*CHOOSE(MIN(MAX(DL16,1),3),②시니어_가정!$E$160,②시니어_가정!$E$161,②시니어_가정!$E$162)*DL18/1000000*(1+②시니어_가정!$E$155)^(MAX(DL16,1)-1)</f>
        <v>0</v>
      </c>
      <c r="DM27" s="37" t="n">
        <f aca="false">(DM14=1)*②시니어_가정!$F$38*②시니어_가정!$E$148*②시니어_가정!$E$159*CHOOSE(MIN(MAX(DM16,1),3),②시니어_가정!$E$160,②시니어_가정!$E$161,②시니어_가정!$E$162)*DM18/1000000*(1+②시니어_가정!$E$155)^(MAX(DM16,1)-1)</f>
        <v>0</v>
      </c>
      <c r="DN27" s="37" t="n">
        <f aca="false">(DN14=1)*②시니어_가정!$F$38*②시니어_가정!$E$148*②시니어_가정!$E$159*CHOOSE(MIN(MAX(DN16,1),3),②시니어_가정!$E$160,②시니어_가정!$E$161,②시니어_가정!$E$162)*DN18/1000000*(1+②시니어_가정!$E$155)^(MAX(DN16,1)-1)</f>
        <v>0</v>
      </c>
      <c r="DO27" s="37" t="n">
        <f aca="false">(DO14=1)*②시니어_가정!$F$38*②시니어_가정!$E$148*②시니어_가정!$E$159*CHOOSE(MIN(MAX(DO16,1),3),②시니어_가정!$E$160,②시니어_가정!$E$161,②시니어_가정!$E$162)*DO18/1000000*(1+②시니어_가정!$E$155)^(MAX(DO16,1)-1)</f>
        <v>0</v>
      </c>
      <c r="DP27" s="37" t="n">
        <f aca="false">(DP14=1)*②시니어_가정!$F$38*②시니어_가정!$E$148*②시니어_가정!$E$159*CHOOSE(MIN(MAX(DP16,1),3),②시니어_가정!$E$160,②시니어_가정!$E$161,②시니어_가정!$E$162)*DP18/1000000*(1+②시니어_가정!$E$155)^(MAX(DP16,1)-1)</f>
        <v>0</v>
      </c>
      <c r="DQ27" s="37" t="n">
        <f aca="false">(DQ14=1)*②시니어_가정!$F$38*②시니어_가정!$E$148*②시니어_가정!$E$159*CHOOSE(MIN(MAX(DQ16,1),3),②시니어_가정!$E$160,②시니어_가정!$E$161,②시니어_가정!$E$162)*DQ18/1000000*(1+②시니어_가정!$E$155)^(MAX(DQ16,1)-1)</f>
        <v>0</v>
      </c>
      <c r="DR27" s="37" t="n">
        <f aca="false">(DR14=1)*②시니어_가정!$F$38*②시니어_가정!$E$148*②시니어_가정!$E$159*CHOOSE(MIN(MAX(DR16,1),3),②시니어_가정!$E$160,②시니어_가정!$E$161,②시니어_가정!$E$162)*DR18/1000000*(1+②시니어_가정!$E$155)^(MAX(DR16,1)-1)</f>
        <v>0</v>
      </c>
      <c r="DS27" s="37" t="n">
        <f aca="false">(DS14=1)*②시니어_가정!$F$38*②시니어_가정!$E$148*②시니어_가정!$E$159*CHOOSE(MIN(MAX(DS16,1),3),②시니어_가정!$E$160,②시니어_가정!$E$161,②시니어_가정!$E$162)*DS18/1000000*(1+②시니어_가정!$E$155)^(MAX(DS16,1)-1)</f>
        <v>0</v>
      </c>
      <c r="DT27" s="37" t="n">
        <f aca="false">(DT14=1)*②시니어_가정!$F$38*②시니어_가정!$E$148*②시니어_가정!$E$159*CHOOSE(MIN(MAX(DT16,1),3),②시니어_가정!$E$160,②시니어_가정!$E$161,②시니어_가정!$E$162)*DT18/1000000*(1+②시니어_가정!$E$155)^(MAX(DT16,1)-1)</f>
        <v>0</v>
      </c>
      <c r="DU27" s="37" t="n">
        <f aca="false">(DU14=1)*②시니어_가정!$F$38*②시니어_가정!$E$148*②시니어_가정!$E$159*CHOOSE(MIN(MAX(DU16,1),3),②시니어_가정!$E$160,②시니어_가정!$E$161,②시니어_가정!$E$162)*DU18/1000000*(1+②시니어_가정!$E$155)^(MAX(DU16,1)-1)</f>
        <v>0</v>
      </c>
      <c r="DV27" s="37" t="n">
        <f aca="false">(DV14=1)*②시니어_가정!$F$38*②시니어_가정!$E$148*②시니어_가정!$E$159*CHOOSE(MIN(MAX(DV16,1),3),②시니어_가정!$E$160,②시니어_가정!$E$161,②시니어_가정!$E$162)*DV18/1000000*(1+②시니어_가정!$E$155)^(MAX(DV16,1)-1)</f>
        <v>0</v>
      </c>
      <c r="DW27" s="37" t="n">
        <f aca="false">(DW14=1)*②시니어_가정!$F$38*②시니어_가정!$E$148*②시니어_가정!$E$159*CHOOSE(MIN(MAX(DW16,1),3),②시니어_가정!$E$160,②시니어_가정!$E$161,②시니어_가정!$E$162)*DW18/1000000*(1+②시니어_가정!$E$155)^(MAX(DW16,1)-1)</f>
        <v>0</v>
      </c>
      <c r="DX27" s="37" t="n">
        <f aca="false">(DX14=1)*②시니어_가정!$F$38*②시니어_가정!$E$148*②시니어_가정!$E$159*CHOOSE(MIN(MAX(DX16,1),3),②시니어_가정!$E$160,②시니어_가정!$E$161,②시니어_가정!$E$162)*DX18/1000000*(1+②시니어_가정!$E$155)^(MAX(DX16,1)-1)</f>
        <v>0</v>
      </c>
      <c r="DY27" s="37" t="n">
        <f aca="false">(DY14=1)*②시니어_가정!$F$38*②시니어_가정!$E$148*②시니어_가정!$E$159*CHOOSE(MIN(MAX(DY16,1),3),②시니어_가정!$E$160,②시니어_가정!$E$161,②시니어_가정!$E$162)*DY18/1000000*(1+②시니어_가정!$E$155)^(MAX(DY16,1)-1)</f>
        <v>0</v>
      </c>
      <c r="DZ27" s="37" t="n">
        <f aca="false">(DZ14=1)*②시니어_가정!$F$38*②시니어_가정!$E$148*②시니어_가정!$E$159*CHOOSE(MIN(MAX(DZ16,1),3),②시니어_가정!$E$160,②시니어_가정!$E$161,②시니어_가정!$E$162)*DZ18/1000000*(1+②시니어_가정!$E$155)^(MAX(DZ16,1)-1)</f>
        <v>0</v>
      </c>
      <c r="EA27" s="37" t="n">
        <f aca="false">(EA14=1)*②시니어_가정!$F$38*②시니어_가정!$E$148*②시니어_가정!$E$159*CHOOSE(MIN(MAX(EA16,1),3),②시니어_가정!$E$160,②시니어_가정!$E$161,②시니어_가정!$E$162)*EA18/1000000*(1+②시니어_가정!$E$155)^(MAX(EA16,1)-1)</f>
        <v>0</v>
      </c>
      <c r="EB27" s="37" t="n">
        <f aca="false">(EB14=1)*②시니어_가정!$F$38*②시니어_가정!$E$148*②시니어_가정!$E$159*CHOOSE(MIN(MAX(EB16,1),3),②시니어_가정!$E$160,②시니어_가정!$E$161,②시니어_가정!$E$162)*EB18/1000000*(1+②시니어_가정!$E$155)^(MAX(EB16,1)-1)</f>
        <v>0</v>
      </c>
      <c r="EC27" s="37" t="n">
        <f aca="false">(EC14=1)*②시니어_가정!$F$38*②시니어_가정!$E$148*②시니어_가정!$E$159*CHOOSE(MIN(MAX(EC16,1),3),②시니어_가정!$E$160,②시니어_가정!$E$161,②시니어_가정!$E$162)*EC18/1000000*(1+②시니어_가정!$E$155)^(MAX(EC16,1)-1)</f>
        <v>0</v>
      </c>
      <c r="ED27" s="37" t="n">
        <f aca="false">(ED14=1)*②시니어_가정!$F$38*②시니어_가정!$E$148*②시니어_가정!$E$159*CHOOSE(MIN(MAX(ED16,1),3),②시니어_가정!$E$160,②시니어_가정!$E$161,②시니어_가정!$E$162)*ED18/1000000*(1+②시니어_가정!$E$155)^(MAX(ED16,1)-1)</f>
        <v>0</v>
      </c>
      <c r="EE27" s="37" t="n">
        <f aca="false">(EE14=1)*②시니어_가정!$F$38*②시니어_가정!$E$148*②시니어_가정!$E$159*CHOOSE(MIN(MAX(EE16,1),3),②시니어_가정!$E$160,②시니어_가정!$E$161,②시니어_가정!$E$162)*EE18/1000000*(1+②시니어_가정!$E$155)^(MAX(EE16,1)-1)</f>
        <v>0</v>
      </c>
      <c r="EF27" s="37" t="n">
        <f aca="false">(EF14=1)*②시니어_가정!$F$38*②시니어_가정!$E$148*②시니어_가정!$E$159*CHOOSE(MIN(MAX(EF16,1),3),②시니어_가정!$E$160,②시니어_가정!$E$161,②시니어_가정!$E$162)*EF18/1000000*(1+②시니어_가정!$E$155)^(MAX(EF16,1)-1)</f>
        <v>0</v>
      </c>
    </row>
    <row r="28" customFormat="false" ht="15" hidden="false" customHeight="false" outlineLevel="0" collapsed="false">
      <c r="A28" s="36" t="s">
        <v>583</v>
      </c>
      <c r="B28" s="278" t="s">
        <v>21</v>
      </c>
      <c r="C28" s="279" t="n">
        <f aca="false">SUM(E28:EF28)</f>
        <v>0</v>
      </c>
      <c r="E28" s="37" t="n">
        <f aca="false">E27*②시니어_가정!$E$163</f>
        <v>0</v>
      </c>
      <c r="F28" s="37" t="n">
        <f aca="false">F27*②시니어_가정!$E$163</f>
        <v>0</v>
      </c>
      <c r="G28" s="37" t="n">
        <f aca="false">G27*②시니어_가정!$E$163</f>
        <v>0</v>
      </c>
      <c r="H28" s="37" t="n">
        <f aca="false">H27*②시니어_가정!$E$163</f>
        <v>0</v>
      </c>
      <c r="I28" s="37" t="n">
        <f aca="false">I27*②시니어_가정!$E$163</f>
        <v>0</v>
      </c>
      <c r="J28" s="37" t="n">
        <f aca="false">J27*②시니어_가정!$E$163</f>
        <v>0</v>
      </c>
      <c r="K28" s="37" t="n">
        <f aca="false">K27*②시니어_가정!$E$163</f>
        <v>0</v>
      </c>
      <c r="L28" s="37" t="n">
        <f aca="false">L27*②시니어_가정!$E$163</f>
        <v>0</v>
      </c>
      <c r="M28" s="37" t="n">
        <f aca="false">M27*②시니어_가정!$E$163</f>
        <v>0</v>
      </c>
      <c r="N28" s="37" t="n">
        <f aca="false">N27*②시니어_가정!$E$163</f>
        <v>0</v>
      </c>
      <c r="O28" s="37" t="n">
        <f aca="false">O27*②시니어_가정!$E$163</f>
        <v>0</v>
      </c>
      <c r="P28" s="37" t="n">
        <f aca="false">P27*②시니어_가정!$E$163</f>
        <v>0</v>
      </c>
      <c r="Q28" s="37" t="n">
        <f aca="false">Q27*②시니어_가정!$E$163</f>
        <v>0</v>
      </c>
      <c r="R28" s="37" t="n">
        <f aca="false">R27*②시니어_가정!$E$163</f>
        <v>0</v>
      </c>
      <c r="S28" s="37" t="n">
        <f aca="false">S27*②시니어_가정!$E$163</f>
        <v>0</v>
      </c>
      <c r="T28" s="37" t="n">
        <f aca="false">T27*②시니어_가정!$E$163</f>
        <v>0</v>
      </c>
      <c r="U28" s="37" t="n">
        <f aca="false">U27*②시니어_가정!$E$163</f>
        <v>0</v>
      </c>
      <c r="V28" s="37" t="n">
        <f aca="false">V27*②시니어_가정!$E$163</f>
        <v>0</v>
      </c>
      <c r="W28" s="37" t="n">
        <f aca="false">W27*②시니어_가정!$E$163</f>
        <v>0</v>
      </c>
      <c r="X28" s="37" t="n">
        <f aca="false">X27*②시니어_가정!$E$163</f>
        <v>0</v>
      </c>
      <c r="Y28" s="37" t="n">
        <f aca="false">Y27*②시니어_가정!$E$163</f>
        <v>0</v>
      </c>
      <c r="Z28" s="37" t="n">
        <f aca="false">Z27*②시니어_가정!$E$163</f>
        <v>0</v>
      </c>
      <c r="AA28" s="37" t="n">
        <f aca="false">AA27*②시니어_가정!$E$163</f>
        <v>0</v>
      </c>
      <c r="AB28" s="37" t="n">
        <f aca="false">AB27*②시니어_가정!$E$163</f>
        <v>0</v>
      </c>
      <c r="AC28" s="37" t="n">
        <f aca="false">AC27*②시니어_가정!$E$163</f>
        <v>0</v>
      </c>
      <c r="AD28" s="37" t="n">
        <f aca="false">AD27*②시니어_가정!$E$163</f>
        <v>0</v>
      </c>
      <c r="AE28" s="37" t="n">
        <f aca="false">AE27*②시니어_가정!$E$163</f>
        <v>0</v>
      </c>
      <c r="AF28" s="37" t="n">
        <f aca="false">AF27*②시니어_가정!$E$163</f>
        <v>0</v>
      </c>
      <c r="AG28" s="37" t="n">
        <f aca="false">AG27*②시니어_가정!$E$163</f>
        <v>0</v>
      </c>
      <c r="AH28" s="37" t="n">
        <f aca="false">AH27*②시니어_가정!$E$163</f>
        <v>0</v>
      </c>
      <c r="AI28" s="37" t="n">
        <f aca="false">AI27*②시니어_가정!$E$163</f>
        <v>0</v>
      </c>
      <c r="AJ28" s="37" t="n">
        <f aca="false">AJ27*②시니어_가정!$E$163</f>
        <v>0</v>
      </c>
      <c r="AK28" s="37" t="n">
        <f aca="false">AK27*②시니어_가정!$E$163</f>
        <v>0</v>
      </c>
      <c r="AL28" s="37" t="n">
        <f aca="false">AL27*②시니어_가정!$E$163</f>
        <v>0</v>
      </c>
      <c r="AM28" s="37" t="n">
        <f aca="false">AM27*②시니어_가정!$E$163</f>
        <v>0</v>
      </c>
      <c r="AN28" s="37" t="n">
        <f aca="false">AN27*②시니어_가정!$E$163</f>
        <v>0</v>
      </c>
      <c r="AO28" s="37" t="n">
        <f aca="false">AO27*②시니어_가정!$E$163</f>
        <v>0</v>
      </c>
      <c r="AP28" s="37" t="n">
        <f aca="false">AP27*②시니어_가정!$E$163</f>
        <v>0</v>
      </c>
      <c r="AQ28" s="37" t="n">
        <f aca="false">AQ27*②시니어_가정!$E$163</f>
        <v>0</v>
      </c>
      <c r="AR28" s="37" t="n">
        <f aca="false">AR27*②시니어_가정!$E$163</f>
        <v>0</v>
      </c>
      <c r="AS28" s="37" t="n">
        <f aca="false">AS27*②시니어_가정!$E$163</f>
        <v>0</v>
      </c>
      <c r="AT28" s="37" t="n">
        <f aca="false">AT27*②시니어_가정!$E$163</f>
        <v>0</v>
      </c>
      <c r="AU28" s="37" t="n">
        <f aca="false">AU27*②시니어_가정!$E$163</f>
        <v>0</v>
      </c>
      <c r="AV28" s="37" t="n">
        <f aca="false">AV27*②시니어_가정!$E$163</f>
        <v>0</v>
      </c>
      <c r="AW28" s="37" t="n">
        <f aca="false">AW27*②시니어_가정!$E$163</f>
        <v>0</v>
      </c>
      <c r="AX28" s="37" t="n">
        <f aca="false">AX27*②시니어_가정!$E$163</f>
        <v>0</v>
      </c>
      <c r="AY28" s="37" t="n">
        <f aca="false">AY27*②시니어_가정!$E$163</f>
        <v>0</v>
      </c>
      <c r="AZ28" s="37" t="n">
        <f aca="false">AZ27*②시니어_가정!$E$163</f>
        <v>0</v>
      </c>
      <c r="BA28" s="37" t="n">
        <f aca="false">BA27*②시니어_가정!$E$163</f>
        <v>0</v>
      </c>
      <c r="BB28" s="37" t="n">
        <f aca="false">BB27*②시니어_가정!$E$163</f>
        <v>0</v>
      </c>
      <c r="BC28" s="37" t="n">
        <f aca="false">BC27*②시니어_가정!$E$163</f>
        <v>0</v>
      </c>
      <c r="BD28" s="37" t="n">
        <f aca="false">BD27*②시니어_가정!$E$163</f>
        <v>0</v>
      </c>
      <c r="BE28" s="37" t="n">
        <f aca="false">BE27*②시니어_가정!$E$163</f>
        <v>0</v>
      </c>
      <c r="BF28" s="37" t="n">
        <f aca="false">BF27*②시니어_가정!$E$163</f>
        <v>0</v>
      </c>
      <c r="BG28" s="37" t="n">
        <f aca="false">BG27*②시니어_가정!$E$163</f>
        <v>0</v>
      </c>
      <c r="BH28" s="37" t="n">
        <f aca="false">BH27*②시니어_가정!$E$163</f>
        <v>0</v>
      </c>
      <c r="BI28" s="37" t="n">
        <f aca="false">BI27*②시니어_가정!$E$163</f>
        <v>0</v>
      </c>
      <c r="BJ28" s="37" t="n">
        <f aca="false">BJ27*②시니어_가정!$E$163</f>
        <v>0</v>
      </c>
      <c r="BK28" s="37" t="n">
        <f aca="false">BK27*②시니어_가정!$E$163</f>
        <v>0</v>
      </c>
      <c r="BL28" s="37" t="n">
        <f aca="false">BL27*②시니어_가정!$E$163</f>
        <v>0</v>
      </c>
      <c r="BM28" s="37" t="n">
        <f aca="false">BM27*②시니어_가정!$E$163</f>
        <v>0</v>
      </c>
      <c r="BN28" s="37" t="n">
        <f aca="false">BN27*②시니어_가정!$E$163</f>
        <v>0</v>
      </c>
      <c r="BO28" s="37" t="n">
        <f aca="false">BO27*②시니어_가정!$E$163</f>
        <v>0</v>
      </c>
      <c r="BP28" s="37" t="n">
        <f aca="false">BP27*②시니어_가정!$E$163</f>
        <v>0</v>
      </c>
      <c r="BQ28" s="37" t="n">
        <f aca="false">BQ27*②시니어_가정!$E$163</f>
        <v>0</v>
      </c>
      <c r="BR28" s="37" t="n">
        <f aca="false">BR27*②시니어_가정!$E$163</f>
        <v>0</v>
      </c>
      <c r="BS28" s="37" t="n">
        <f aca="false">BS27*②시니어_가정!$E$163</f>
        <v>0</v>
      </c>
      <c r="BT28" s="37" t="n">
        <f aca="false">BT27*②시니어_가정!$E$163</f>
        <v>0</v>
      </c>
      <c r="BU28" s="37" t="n">
        <f aca="false">BU27*②시니어_가정!$E$163</f>
        <v>0</v>
      </c>
      <c r="BV28" s="37" t="n">
        <f aca="false">BV27*②시니어_가정!$E$163</f>
        <v>0</v>
      </c>
      <c r="BW28" s="37" t="n">
        <f aca="false">BW27*②시니어_가정!$E$163</f>
        <v>0</v>
      </c>
      <c r="BX28" s="37" t="n">
        <f aca="false">BX27*②시니어_가정!$E$163</f>
        <v>0</v>
      </c>
      <c r="BY28" s="37" t="n">
        <f aca="false">BY27*②시니어_가정!$E$163</f>
        <v>0</v>
      </c>
      <c r="BZ28" s="37" t="n">
        <f aca="false">BZ27*②시니어_가정!$E$163</f>
        <v>0</v>
      </c>
      <c r="CA28" s="37" t="n">
        <f aca="false">CA27*②시니어_가정!$E$163</f>
        <v>0</v>
      </c>
      <c r="CB28" s="37" t="n">
        <f aca="false">CB27*②시니어_가정!$E$163</f>
        <v>0</v>
      </c>
      <c r="CC28" s="37" t="n">
        <f aca="false">CC27*②시니어_가정!$E$163</f>
        <v>0</v>
      </c>
      <c r="CD28" s="37" t="n">
        <f aca="false">CD27*②시니어_가정!$E$163</f>
        <v>0</v>
      </c>
      <c r="CE28" s="37" t="n">
        <f aca="false">CE27*②시니어_가정!$E$163</f>
        <v>0</v>
      </c>
      <c r="CF28" s="37" t="n">
        <f aca="false">CF27*②시니어_가정!$E$163</f>
        <v>0</v>
      </c>
      <c r="CG28" s="37" t="n">
        <f aca="false">CG27*②시니어_가정!$E$163</f>
        <v>0</v>
      </c>
      <c r="CH28" s="37" t="n">
        <f aca="false">CH27*②시니어_가정!$E$163</f>
        <v>0</v>
      </c>
      <c r="CI28" s="37" t="n">
        <f aca="false">CI27*②시니어_가정!$E$163</f>
        <v>0</v>
      </c>
      <c r="CJ28" s="37" t="n">
        <f aca="false">CJ27*②시니어_가정!$E$163</f>
        <v>0</v>
      </c>
      <c r="CK28" s="37" t="n">
        <f aca="false">CK27*②시니어_가정!$E$163</f>
        <v>0</v>
      </c>
      <c r="CL28" s="37" t="n">
        <f aca="false">CL27*②시니어_가정!$E$163</f>
        <v>0</v>
      </c>
      <c r="CM28" s="37" t="n">
        <f aca="false">CM27*②시니어_가정!$E$163</f>
        <v>0</v>
      </c>
      <c r="CN28" s="37" t="n">
        <f aca="false">CN27*②시니어_가정!$E$163</f>
        <v>0</v>
      </c>
      <c r="CO28" s="37" t="n">
        <f aca="false">CO27*②시니어_가정!$E$163</f>
        <v>0</v>
      </c>
      <c r="CP28" s="37" t="n">
        <f aca="false">CP27*②시니어_가정!$E$163</f>
        <v>0</v>
      </c>
      <c r="CQ28" s="37" t="n">
        <f aca="false">CQ27*②시니어_가정!$E$163</f>
        <v>0</v>
      </c>
      <c r="CR28" s="37" t="n">
        <f aca="false">CR27*②시니어_가정!$E$163</f>
        <v>0</v>
      </c>
      <c r="CS28" s="37" t="n">
        <f aca="false">CS27*②시니어_가정!$E$163</f>
        <v>0</v>
      </c>
      <c r="CT28" s="37" t="n">
        <f aca="false">CT27*②시니어_가정!$E$163</f>
        <v>0</v>
      </c>
      <c r="CU28" s="37" t="n">
        <f aca="false">CU27*②시니어_가정!$E$163</f>
        <v>0</v>
      </c>
      <c r="CV28" s="37" t="n">
        <f aca="false">CV27*②시니어_가정!$E$163</f>
        <v>0</v>
      </c>
      <c r="CW28" s="37" t="n">
        <f aca="false">CW27*②시니어_가정!$E$163</f>
        <v>0</v>
      </c>
      <c r="CX28" s="37" t="n">
        <f aca="false">CX27*②시니어_가정!$E$163</f>
        <v>0</v>
      </c>
      <c r="CY28" s="37" t="n">
        <f aca="false">CY27*②시니어_가정!$E$163</f>
        <v>0</v>
      </c>
      <c r="CZ28" s="37" t="n">
        <f aca="false">CZ27*②시니어_가정!$E$163</f>
        <v>0</v>
      </c>
      <c r="DA28" s="37" t="n">
        <f aca="false">DA27*②시니어_가정!$E$163</f>
        <v>0</v>
      </c>
      <c r="DB28" s="37" t="n">
        <f aca="false">DB27*②시니어_가정!$E$163</f>
        <v>0</v>
      </c>
      <c r="DC28" s="37" t="n">
        <f aca="false">DC27*②시니어_가정!$E$163</f>
        <v>0</v>
      </c>
      <c r="DD28" s="37" t="n">
        <f aca="false">DD27*②시니어_가정!$E$163</f>
        <v>0</v>
      </c>
      <c r="DE28" s="37" t="n">
        <f aca="false">DE27*②시니어_가정!$E$163</f>
        <v>0</v>
      </c>
      <c r="DF28" s="37" t="n">
        <f aca="false">DF27*②시니어_가정!$E$163</f>
        <v>0</v>
      </c>
      <c r="DG28" s="37" t="n">
        <f aca="false">DG27*②시니어_가정!$E$163</f>
        <v>0</v>
      </c>
      <c r="DH28" s="37" t="n">
        <f aca="false">DH27*②시니어_가정!$E$163</f>
        <v>0</v>
      </c>
      <c r="DI28" s="37" t="n">
        <f aca="false">DI27*②시니어_가정!$E$163</f>
        <v>0</v>
      </c>
      <c r="DJ28" s="37" t="n">
        <f aca="false">DJ27*②시니어_가정!$E$163</f>
        <v>0</v>
      </c>
      <c r="DK28" s="37" t="n">
        <f aca="false">DK27*②시니어_가정!$E$163</f>
        <v>0</v>
      </c>
      <c r="DL28" s="37" t="n">
        <f aca="false">DL27*②시니어_가정!$E$163</f>
        <v>0</v>
      </c>
      <c r="DM28" s="37" t="n">
        <f aca="false">DM27*②시니어_가정!$E$163</f>
        <v>0</v>
      </c>
      <c r="DN28" s="37" t="n">
        <f aca="false">DN27*②시니어_가정!$E$163</f>
        <v>0</v>
      </c>
      <c r="DO28" s="37" t="n">
        <f aca="false">DO27*②시니어_가정!$E$163</f>
        <v>0</v>
      </c>
      <c r="DP28" s="37" t="n">
        <f aca="false">DP27*②시니어_가정!$E$163</f>
        <v>0</v>
      </c>
      <c r="DQ28" s="37" t="n">
        <f aca="false">DQ27*②시니어_가정!$E$163</f>
        <v>0</v>
      </c>
      <c r="DR28" s="37" t="n">
        <f aca="false">DR27*②시니어_가정!$E$163</f>
        <v>0</v>
      </c>
      <c r="DS28" s="37" t="n">
        <f aca="false">DS27*②시니어_가정!$E$163</f>
        <v>0</v>
      </c>
      <c r="DT28" s="37" t="n">
        <f aca="false">DT27*②시니어_가정!$E$163</f>
        <v>0</v>
      </c>
      <c r="DU28" s="37" t="n">
        <f aca="false">DU27*②시니어_가정!$E$163</f>
        <v>0</v>
      </c>
      <c r="DV28" s="37" t="n">
        <f aca="false">DV27*②시니어_가정!$E$163</f>
        <v>0</v>
      </c>
      <c r="DW28" s="37" t="n">
        <f aca="false">DW27*②시니어_가정!$E$163</f>
        <v>0</v>
      </c>
      <c r="DX28" s="37" t="n">
        <f aca="false">DX27*②시니어_가정!$E$163</f>
        <v>0</v>
      </c>
      <c r="DY28" s="37" t="n">
        <f aca="false">DY27*②시니어_가정!$E$163</f>
        <v>0</v>
      </c>
      <c r="DZ28" s="37" t="n">
        <f aca="false">DZ27*②시니어_가정!$E$163</f>
        <v>0</v>
      </c>
      <c r="EA28" s="37" t="n">
        <f aca="false">EA27*②시니어_가정!$E$163</f>
        <v>0</v>
      </c>
      <c r="EB28" s="37" t="n">
        <f aca="false">EB27*②시니어_가정!$E$163</f>
        <v>0</v>
      </c>
      <c r="EC28" s="37" t="n">
        <f aca="false">EC27*②시니어_가정!$E$163</f>
        <v>0</v>
      </c>
      <c r="ED28" s="37" t="n">
        <f aca="false">ED27*②시니어_가정!$E$163</f>
        <v>0</v>
      </c>
      <c r="EE28" s="37" t="n">
        <f aca="false">EE27*②시니어_가정!$E$163</f>
        <v>0</v>
      </c>
      <c r="EF28" s="37" t="n">
        <f aca="false">EF27*②시니어_가정!$E$163</f>
        <v>0</v>
      </c>
    </row>
    <row r="29" customFormat="false" ht="15" hidden="false" customHeight="false" outlineLevel="0" collapsed="false">
      <c r="A29" s="36" t="s">
        <v>584</v>
      </c>
      <c r="B29" s="278" t="s">
        <v>21</v>
      </c>
      <c r="C29" s="279" t="n">
        <f aca="false">SUM(E29:EF29)</f>
        <v>0</v>
      </c>
      <c r="E29" s="37" t="n">
        <f aca="false">E27*②시니어_가정!$E$164</f>
        <v>0</v>
      </c>
      <c r="F29" s="37" t="n">
        <f aca="false">F27*②시니어_가정!$E$164</f>
        <v>0</v>
      </c>
      <c r="G29" s="37" t="n">
        <f aca="false">G27*②시니어_가정!$E$164</f>
        <v>0</v>
      </c>
      <c r="H29" s="37" t="n">
        <f aca="false">H27*②시니어_가정!$E$164</f>
        <v>0</v>
      </c>
      <c r="I29" s="37" t="n">
        <f aca="false">I27*②시니어_가정!$E$164</f>
        <v>0</v>
      </c>
      <c r="J29" s="37" t="n">
        <f aca="false">J27*②시니어_가정!$E$164</f>
        <v>0</v>
      </c>
      <c r="K29" s="37" t="n">
        <f aca="false">K27*②시니어_가정!$E$164</f>
        <v>0</v>
      </c>
      <c r="L29" s="37" t="n">
        <f aca="false">L27*②시니어_가정!$E$164</f>
        <v>0</v>
      </c>
      <c r="M29" s="37" t="n">
        <f aca="false">M27*②시니어_가정!$E$164</f>
        <v>0</v>
      </c>
      <c r="N29" s="37" t="n">
        <f aca="false">N27*②시니어_가정!$E$164</f>
        <v>0</v>
      </c>
      <c r="O29" s="37" t="n">
        <f aca="false">O27*②시니어_가정!$E$164</f>
        <v>0</v>
      </c>
      <c r="P29" s="37" t="n">
        <f aca="false">P27*②시니어_가정!$E$164</f>
        <v>0</v>
      </c>
      <c r="Q29" s="37" t="n">
        <f aca="false">Q27*②시니어_가정!$E$164</f>
        <v>0</v>
      </c>
      <c r="R29" s="37" t="n">
        <f aca="false">R27*②시니어_가정!$E$164</f>
        <v>0</v>
      </c>
      <c r="S29" s="37" t="n">
        <f aca="false">S27*②시니어_가정!$E$164</f>
        <v>0</v>
      </c>
      <c r="T29" s="37" t="n">
        <f aca="false">T27*②시니어_가정!$E$164</f>
        <v>0</v>
      </c>
      <c r="U29" s="37" t="n">
        <f aca="false">U27*②시니어_가정!$E$164</f>
        <v>0</v>
      </c>
      <c r="V29" s="37" t="n">
        <f aca="false">V27*②시니어_가정!$E$164</f>
        <v>0</v>
      </c>
      <c r="W29" s="37" t="n">
        <f aca="false">W27*②시니어_가정!$E$164</f>
        <v>0</v>
      </c>
      <c r="X29" s="37" t="n">
        <f aca="false">X27*②시니어_가정!$E$164</f>
        <v>0</v>
      </c>
      <c r="Y29" s="37" t="n">
        <f aca="false">Y27*②시니어_가정!$E$164</f>
        <v>0</v>
      </c>
      <c r="Z29" s="37" t="n">
        <f aca="false">Z27*②시니어_가정!$E$164</f>
        <v>0</v>
      </c>
      <c r="AA29" s="37" t="n">
        <f aca="false">AA27*②시니어_가정!$E$164</f>
        <v>0</v>
      </c>
      <c r="AB29" s="37" t="n">
        <f aca="false">AB27*②시니어_가정!$E$164</f>
        <v>0</v>
      </c>
      <c r="AC29" s="37" t="n">
        <f aca="false">AC27*②시니어_가정!$E$164</f>
        <v>0</v>
      </c>
      <c r="AD29" s="37" t="n">
        <f aca="false">AD27*②시니어_가정!$E$164</f>
        <v>0</v>
      </c>
      <c r="AE29" s="37" t="n">
        <f aca="false">AE27*②시니어_가정!$E$164</f>
        <v>0</v>
      </c>
      <c r="AF29" s="37" t="n">
        <f aca="false">AF27*②시니어_가정!$E$164</f>
        <v>0</v>
      </c>
      <c r="AG29" s="37" t="n">
        <f aca="false">AG27*②시니어_가정!$E$164</f>
        <v>0</v>
      </c>
      <c r="AH29" s="37" t="n">
        <f aca="false">AH27*②시니어_가정!$E$164</f>
        <v>0</v>
      </c>
      <c r="AI29" s="37" t="n">
        <f aca="false">AI27*②시니어_가정!$E$164</f>
        <v>0</v>
      </c>
      <c r="AJ29" s="37" t="n">
        <f aca="false">AJ27*②시니어_가정!$E$164</f>
        <v>0</v>
      </c>
      <c r="AK29" s="37" t="n">
        <f aca="false">AK27*②시니어_가정!$E$164</f>
        <v>0</v>
      </c>
      <c r="AL29" s="37" t="n">
        <f aca="false">AL27*②시니어_가정!$E$164</f>
        <v>0</v>
      </c>
      <c r="AM29" s="37" t="n">
        <f aca="false">AM27*②시니어_가정!$E$164</f>
        <v>0</v>
      </c>
      <c r="AN29" s="37" t="n">
        <f aca="false">AN27*②시니어_가정!$E$164</f>
        <v>0</v>
      </c>
      <c r="AO29" s="37" t="n">
        <f aca="false">AO27*②시니어_가정!$E$164</f>
        <v>0</v>
      </c>
      <c r="AP29" s="37" t="n">
        <f aca="false">AP27*②시니어_가정!$E$164</f>
        <v>0</v>
      </c>
      <c r="AQ29" s="37" t="n">
        <f aca="false">AQ27*②시니어_가정!$E$164</f>
        <v>0</v>
      </c>
      <c r="AR29" s="37" t="n">
        <f aca="false">AR27*②시니어_가정!$E$164</f>
        <v>0</v>
      </c>
      <c r="AS29" s="37" t="n">
        <f aca="false">AS27*②시니어_가정!$E$164</f>
        <v>0</v>
      </c>
      <c r="AT29" s="37" t="n">
        <f aca="false">AT27*②시니어_가정!$E$164</f>
        <v>0</v>
      </c>
      <c r="AU29" s="37" t="n">
        <f aca="false">AU27*②시니어_가정!$E$164</f>
        <v>0</v>
      </c>
      <c r="AV29" s="37" t="n">
        <f aca="false">AV27*②시니어_가정!$E$164</f>
        <v>0</v>
      </c>
      <c r="AW29" s="37" t="n">
        <f aca="false">AW27*②시니어_가정!$E$164</f>
        <v>0</v>
      </c>
      <c r="AX29" s="37" t="n">
        <f aca="false">AX27*②시니어_가정!$E$164</f>
        <v>0</v>
      </c>
      <c r="AY29" s="37" t="n">
        <f aca="false">AY27*②시니어_가정!$E$164</f>
        <v>0</v>
      </c>
      <c r="AZ29" s="37" t="n">
        <f aca="false">AZ27*②시니어_가정!$E$164</f>
        <v>0</v>
      </c>
      <c r="BA29" s="37" t="n">
        <f aca="false">BA27*②시니어_가정!$E$164</f>
        <v>0</v>
      </c>
      <c r="BB29" s="37" t="n">
        <f aca="false">BB27*②시니어_가정!$E$164</f>
        <v>0</v>
      </c>
      <c r="BC29" s="37" t="n">
        <f aca="false">BC27*②시니어_가정!$E$164</f>
        <v>0</v>
      </c>
      <c r="BD29" s="37" t="n">
        <f aca="false">BD27*②시니어_가정!$E$164</f>
        <v>0</v>
      </c>
      <c r="BE29" s="37" t="n">
        <f aca="false">BE27*②시니어_가정!$E$164</f>
        <v>0</v>
      </c>
      <c r="BF29" s="37" t="n">
        <f aca="false">BF27*②시니어_가정!$E$164</f>
        <v>0</v>
      </c>
      <c r="BG29" s="37" t="n">
        <f aca="false">BG27*②시니어_가정!$E$164</f>
        <v>0</v>
      </c>
      <c r="BH29" s="37" t="n">
        <f aca="false">BH27*②시니어_가정!$E$164</f>
        <v>0</v>
      </c>
      <c r="BI29" s="37" t="n">
        <f aca="false">BI27*②시니어_가정!$E$164</f>
        <v>0</v>
      </c>
      <c r="BJ29" s="37" t="n">
        <f aca="false">BJ27*②시니어_가정!$E$164</f>
        <v>0</v>
      </c>
      <c r="BK29" s="37" t="n">
        <f aca="false">BK27*②시니어_가정!$E$164</f>
        <v>0</v>
      </c>
      <c r="BL29" s="37" t="n">
        <f aca="false">BL27*②시니어_가정!$E$164</f>
        <v>0</v>
      </c>
      <c r="BM29" s="37" t="n">
        <f aca="false">BM27*②시니어_가정!$E$164</f>
        <v>0</v>
      </c>
      <c r="BN29" s="37" t="n">
        <f aca="false">BN27*②시니어_가정!$E$164</f>
        <v>0</v>
      </c>
      <c r="BO29" s="37" t="n">
        <f aca="false">BO27*②시니어_가정!$E$164</f>
        <v>0</v>
      </c>
      <c r="BP29" s="37" t="n">
        <f aca="false">BP27*②시니어_가정!$E$164</f>
        <v>0</v>
      </c>
      <c r="BQ29" s="37" t="n">
        <f aca="false">BQ27*②시니어_가정!$E$164</f>
        <v>0</v>
      </c>
      <c r="BR29" s="37" t="n">
        <f aca="false">BR27*②시니어_가정!$E$164</f>
        <v>0</v>
      </c>
      <c r="BS29" s="37" t="n">
        <f aca="false">BS27*②시니어_가정!$E$164</f>
        <v>0</v>
      </c>
      <c r="BT29" s="37" t="n">
        <f aca="false">BT27*②시니어_가정!$E$164</f>
        <v>0</v>
      </c>
      <c r="BU29" s="37" t="n">
        <f aca="false">BU27*②시니어_가정!$E$164</f>
        <v>0</v>
      </c>
      <c r="BV29" s="37" t="n">
        <f aca="false">BV27*②시니어_가정!$E$164</f>
        <v>0</v>
      </c>
      <c r="BW29" s="37" t="n">
        <f aca="false">BW27*②시니어_가정!$E$164</f>
        <v>0</v>
      </c>
      <c r="BX29" s="37" t="n">
        <f aca="false">BX27*②시니어_가정!$E$164</f>
        <v>0</v>
      </c>
      <c r="BY29" s="37" t="n">
        <f aca="false">BY27*②시니어_가정!$E$164</f>
        <v>0</v>
      </c>
      <c r="BZ29" s="37" t="n">
        <f aca="false">BZ27*②시니어_가정!$E$164</f>
        <v>0</v>
      </c>
      <c r="CA29" s="37" t="n">
        <f aca="false">CA27*②시니어_가정!$E$164</f>
        <v>0</v>
      </c>
      <c r="CB29" s="37" t="n">
        <f aca="false">CB27*②시니어_가정!$E$164</f>
        <v>0</v>
      </c>
      <c r="CC29" s="37" t="n">
        <f aca="false">CC27*②시니어_가정!$E$164</f>
        <v>0</v>
      </c>
      <c r="CD29" s="37" t="n">
        <f aca="false">CD27*②시니어_가정!$E$164</f>
        <v>0</v>
      </c>
      <c r="CE29" s="37" t="n">
        <f aca="false">CE27*②시니어_가정!$E$164</f>
        <v>0</v>
      </c>
      <c r="CF29" s="37" t="n">
        <f aca="false">CF27*②시니어_가정!$E$164</f>
        <v>0</v>
      </c>
      <c r="CG29" s="37" t="n">
        <f aca="false">CG27*②시니어_가정!$E$164</f>
        <v>0</v>
      </c>
      <c r="CH29" s="37" t="n">
        <f aca="false">CH27*②시니어_가정!$E$164</f>
        <v>0</v>
      </c>
      <c r="CI29" s="37" t="n">
        <f aca="false">CI27*②시니어_가정!$E$164</f>
        <v>0</v>
      </c>
      <c r="CJ29" s="37" t="n">
        <f aca="false">CJ27*②시니어_가정!$E$164</f>
        <v>0</v>
      </c>
      <c r="CK29" s="37" t="n">
        <f aca="false">CK27*②시니어_가정!$E$164</f>
        <v>0</v>
      </c>
      <c r="CL29" s="37" t="n">
        <f aca="false">CL27*②시니어_가정!$E$164</f>
        <v>0</v>
      </c>
      <c r="CM29" s="37" t="n">
        <f aca="false">CM27*②시니어_가정!$E$164</f>
        <v>0</v>
      </c>
      <c r="CN29" s="37" t="n">
        <f aca="false">CN27*②시니어_가정!$E$164</f>
        <v>0</v>
      </c>
      <c r="CO29" s="37" t="n">
        <f aca="false">CO27*②시니어_가정!$E$164</f>
        <v>0</v>
      </c>
      <c r="CP29" s="37" t="n">
        <f aca="false">CP27*②시니어_가정!$E$164</f>
        <v>0</v>
      </c>
      <c r="CQ29" s="37" t="n">
        <f aca="false">CQ27*②시니어_가정!$E$164</f>
        <v>0</v>
      </c>
      <c r="CR29" s="37" t="n">
        <f aca="false">CR27*②시니어_가정!$E$164</f>
        <v>0</v>
      </c>
      <c r="CS29" s="37" t="n">
        <f aca="false">CS27*②시니어_가정!$E$164</f>
        <v>0</v>
      </c>
      <c r="CT29" s="37" t="n">
        <f aca="false">CT27*②시니어_가정!$E$164</f>
        <v>0</v>
      </c>
      <c r="CU29" s="37" t="n">
        <f aca="false">CU27*②시니어_가정!$E$164</f>
        <v>0</v>
      </c>
      <c r="CV29" s="37" t="n">
        <f aca="false">CV27*②시니어_가정!$E$164</f>
        <v>0</v>
      </c>
      <c r="CW29" s="37" t="n">
        <f aca="false">CW27*②시니어_가정!$E$164</f>
        <v>0</v>
      </c>
      <c r="CX29" s="37" t="n">
        <f aca="false">CX27*②시니어_가정!$E$164</f>
        <v>0</v>
      </c>
      <c r="CY29" s="37" t="n">
        <f aca="false">CY27*②시니어_가정!$E$164</f>
        <v>0</v>
      </c>
      <c r="CZ29" s="37" t="n">
        <f aca="false">CZ27*②시니어_가정!$E$164</f>
        <v>0</v>
      </c>
      <c r="DA29" s="37" t="n">
        <f aca="false">DA27*②시니어_가정!$E$164</f>
        <v>0</v>
      </c>
      <c r="DB29" s="37" t="n">
        <f aca="false">DB27*②시니어_가정!$E$164</f>
        <v>0</v>
      </c>
      <c r="DC29" s="37" t="n">
        <f aca="false">DC27*②시니어_가정!$E$164</f>
        <v>0</v>
      </c>
      <c r="DD29" s="37" t="n">
        <f aca="false">DD27*②시니어_가정!$E$164</f>
        <v>0</v>
      </c>
      <c r="DE29" s="37" t="n">
        <f aca="false">DE27*②시니어_가정!$E$164</f>
        <v>0</v>
      </c>
      <c r="DF29" s="37" t="n">
        <f aca="false">DF27*②시니어_가정!$E$164</f>
        <v>0</v>
      </c>
      <c r="DG29" s="37" t="n">
        <f aca="false">DG27*②시니어_가정!$E$164</f>
        <v>0</v>
      </c>
      <c r="DH29" s="37" t="n">
        <f aca="false">DH27*②시니어_가정!$E$164</f>
        <v>0</v>
      </c>
      <c r="DI29" s="37" t="n">
        <f aca="false">DI27*②시니어_가정!$E$164</f>
        <v>0</v>
      </c>
      <c r="DJ29" s="37" t="n">
        <f aca="false">DJ27*②시니어_가정!$E$164</f>
        <v>0</v>
      </c>
      <c r="DK29" s="37" t="n">
        <f aca="false">DK27*②시니어_가정!$E$164</f>
        <v>0</v>
      </c>
      <c r="DL29" s="37" t="n">
        <f aca="false">DL27*②시니어_가정!$E$164</f>
        <v>0</v>
      </c>
      <c r="DM29" s="37" t="n">
        <f aca="false">DM27*②시니어_가정!$E$164</f>
        <v>0</v>
      </c>
      <c r="DN29" s="37" t="n">
        <f aca="false">DN27*②시니어_가정!$E$164</f>
        <v>0</v>
      </c>
      <c r="DO29" s="37" t="n">
        <f aca="false">DO27*②시니어_가정!$E$164</f>
        <v>0</v>
      </c>
      <c r="DP29" s="37" t="n">
        <f aca="false">DP27*②시니어_가정!$E$164</f>
        <v>0</v>
      </c>
      <c r="DQ29" s="37" t="n">
        <f aca="false">DQ27*②시니어_가정!$E$164</f>
        <v>0</v>
      </c>
      <c r="DR29" s="37" t="n">
        <f aca="false">DR27*②시니어_가정!$E$164</f>
        <v>0</v>
      </c>
      <c r="DS29" s="37" t="n">
        <f aca="false">DS27*②시니어_가정!$E$164</f>
        <v>0</v>
      </c>
      <c r="DT29" s="37" t="n">
        <f aca="false">DT27*②시니어_가정!$E$164</f>
        <v>0</v>
      </c>
      <c r="DU29" s="37" t="n">
        <f aca="false">DU27*②시니어_가정!$E$164</f>
        <v>0</v>
      </c>
      <c r="DV29" s="37" t="n">
        <f aca="false">DV27*②시니어_가정!$E$164</f>
        <v>0</v>
      </c>
      <c r="DW29" s="37" t="n">
        <f aca="false">DW27*②시니어_가정!$E$164</f>
        <v>0</v>
      </c>
      <c r="DX29" s="37" t="n">
        <f aca="false">DX27*②시니어_가정!$E$164</f>
        <v>0</v>
      </c>
      <c r="DY29" s="37" t="n">
        <f aca="false">DY27*②시니어_가정!$E$164</f>
        <v>0</v>
      </c>
      <c r="DZ29" s="37" t="n">
        <f aca="false">DZ27*②시니어_가정!$E$164</f>
        <v>0</v>
      </c>
      <c r="EA29" s="37" t="n">
        <f aca="false">EA27*②시니어_가정!$E$164</f>
        <v>0</v>
      </c>
      <c r="EB29" s="37" t="n">
        <f aca="false">EB27*②시니어_가정!$E$164</f>
        <v>0</v>
      </c>
      <c r="EC29" s="37" t="n">
        <f aca="false">EC27*②시니어_가정!$E$164</f>
        <v>0</v>
      </c>
      <c r="ED29" s="37" t="n">
        <f aca="false">ED27*②시니어_가정!$E$164</f>
        <v>0</v>
      </c>
      <c r="EE29" s="37" t="n">
        <f aca="false">EE27*②시니어_가정!$E$164</f>
        <v>0</v>
      </c>
      <c r="EF29" s="37" t="n">
        <f aca="false">EF27*②시니어_가정!$E$164</f>
        <v>0</v>
      </c>
    </row>
    <row r="30" customFormat="false" ht="15" hidden="false" customHeight="false" outlineLevel="0" collapsed="false">
      <c r="A30" s="36" t="s">
        <v>262</v>
      </c>
      <c r="B30" s="278" t="s">
        <v>21</v>
      </c>
      <c r="C30" s="279" t="n">
        <f aca="false">SUM(E30:EF30)</f>
        <v>0</v>
      </c>
      <c r="E30" s="37" t="n">
        <f aca="false">E27*②시니어_가정!$E$169</f>
        <v>0</v>
      </c>
      <c r="F30" s="37" t="n">
        <f aca="false">F27*②시니어_가정!$E$169</f>
        <v>0</v>
      </c>
      <c r="G30" s="37" t="n">
        <f aca="false">G27*②시니어_가정!$E$169</f>
        <v>0</v>
      </c>
      <c r="H30" s="37" t="n">
        <f aca="false">H27*②시니어_가정!$E$169</f>
        <v>0</v>
      </c>
      <c r="I30" s="37" t="n">
        <f aca="false">I27*②시니어_가정!$E$169</f>
        <v>0</v>
      </c>
      <c r="J30" s="37" t="n">
        <f aca="false">J27*②시니어_가정!$E$169</f>
        <v>0</v>
      </c>
      <c r="K30" s="37" t="n">
        <f aca="false">K27*②시니어_가정!$E$169</f>
        <v>0</v>
      </c>
      <c r="L30" s="37" t="n">
        <f aca="false">L27*②시니어_가정!$E$169</f>
        <v>0</v>
      </c>
      <c r="M30" s="37" t="n">
        <f aca="false">M27*②시니어_가정!$E$169</f>
        <v>0</v>
      </c>
      <c r="N30" s="37" t="n">
        <f aca="false">N27*②시니어_가정!$E$169</f>
        <v>0</v>
      </c>
      <c r="O30" s="37" t="n">
        <f aca="false">O27*②시니어_가정!$E$169</f>
        <v>0</v>
      </c>
      <c r="P30" s="37" t="n">
        <f aca="false">P27*②시니어_가정!$E$169</f>
        <v>0</v>
      </c>
      <c r="Q30" s="37" t="n">
        <f aca="false">Q27*②시니어_가정!$E$169</f>
        <v>0</v>
      </c>
      <c r="R30" s="37" t="n">
        <f aca="false">R27*②시니어_가정!$E$169</f>
        <v>0</v>
      </c>
      <c r="S30" s="37" t="n">
        <f aca="false">S27*②시니어_가정!$E$169</f>
        <v>0</v>
      </c>
      <c r="T30" s="37" t="n">
        <f aca="false">T27*②시니어_가정!$E$169</f>
        <v>0</v>
      </c>
      <c r="U30" s="37" t="n">
        <f aca="false">U27*②시니어_가정!$E$169</f>
        <v>0</v>
      </c>
      <c r="V30" s="37" t="n">
        <f aca="false">V27*②시니어_가정!$E$169</f>
        <v>0</v>
      </c>
      <c r="W30" s="37" t="n">
        <f aca="false">W27*②시니어_가정!$E$169</f>
        <v>0</v>
      </c>
      <c r="X30" s="37" t="n">
        <f aca="false">X27*②시니어_가정!$E$169</f>
        <v>0</v>
      </c>
      <c r="Y30" s="37" t="n">
        <f aca="false">Y27*②시니어_가정!$E$169</f>
        <v>0</v>
      </c>
      <c r="Z30" s="37" t="n">
        <f aca="false">Z27*②시니어_가정!$E$169</f>
        <v>0</v>
      </c>
      <c r="AA30" s="37" t="n">
        <f aca="false">AA27*②시니어_가정!$E$169</f>
        <v>0</v>
      </c>
      <c r="AB30" s="37" t="n">
        <f aca="false">AB27*②시니어_가정!$E$169</f>
        <v>0</v>
      </c>
      <c r="AC30" s="37" t="n">
        <f aca="false">AC27*②시니어_가정!$E$169</f>
        <v>0</v>
      </c>
      <c r="AD30" s="37" t="n">
        <f aca="false">AD27*②시니어_가정!$E$169</f>
        <v>0</v>
      </c>
      <c r="AE30" s="37" t="n">
        <f aca="false">AE27*②시니어_가정!$E$169</f>
        <v>0</v>
      </c>
      <c r="AF30" s="37" t="n">
        <f aca="false">AF27*②시니어_가정!$E$169</f>
        <v>0</v>
      </c>
      <c r="AG30" s="37" t="n">
        <f aca="false">AG27*②시니어_가정!$E$169</f>
        <v>0</v>
      </c>
      <c r="AH30" s="37" t="n">
        <f aca="false">AH27*②시니어_가정!$E$169</f>
        <v>0</v>
      </c>
      <c r="AI30" s="37" t="n">
        <f aca="false">AI27*②시니어_가정!$E$169</f>
        <v>0</v>
      </c>
      <c r="AJ30" s="37" t="n">
        <f aca="false">AJ27*②시니어_가정!$E$169</f>
        <v>0</v>
      </c>
      <c r="AK30" s="37" t="n">
        <f aca="false">AK27*②시니어_가정!$E$169</f>
        <v>0</v>
      </c>
      <c r="AL30" s="37" t="n">
        <f aca="false">AL27*②시니어_가정!$E$169</f>
        <v>0</v>
      </c>
      <c r="AM30" s="37" t="n">
        <f aca="false">AM27*②시니어_가정!$E$169</f>
        <v>0</v>
      </c>
      <c r="AN30" s="37" t="n">
        <f aca="false">AN27*②시니어_가정!$E$169</f>
        <v>0</v>
      </c>
      <c r="AO30" s="37" t="n">
        <f aca="false">AO27*②시니어_가정!$E$169</f>
        <v>0</v>
      </c>
      <c r="AP30" s="37" t="n">
        <f aca="false">AP27*②시니어_가정!$E$169</f>
        <v>0</v>
      </c>
      <c r="AQ30" s="37" t="n">
        <f aca="false">AQ27*②시니어_가정!$E$169</f>
        <v>0</v>
      </c>
      <c r="AR30" s="37" t="n">
        <f aca="false">AR27*②시니어_가정!$E$169</f>
        <v>0</v>
      </c>
      <c r="AS30" s="37" t="n">
        <f aca="false">AS27*②시니어_가정!$E$169</f>
        <v>0</v>
      </c>
      <c r="AT30" s="37" t="n">
        <f aca="false">AT27*②시니어_가정!$E$169</f>
        <v>0</v>
      </c>
      <c r="AU30" s="37" t="n">
        <f aca="false">AU27*②시니어_가정!$E$169</f>
        <v>0</v>
      </c>
      <c r="AV30" s="37" t="n">
        <f aca="false">AV27*②시니어_가정!$E$169</f>
        <v>0</v>
      </c>
      <c r="AW30" s="37" t="n">
        <f aca="false">AW27*②시니어_가정!$E$169</f>
        <v>0</v>
      </c>
      <c r="AX30" s="37" t="n">
        <f aca="false">AX27*②시니어_가정!$E$169</f>
        <v>0</v>
      </c>
      <c r="AY30" s="37" t="n">
        <f aca="false">AY27*②시니어_가정!$E$169</f>
        <v>0</v>
      </c>
      <c r="AZ30" s="37" t="n">
        <f aca="false">AZ27*②시니어_가정!$E$169</f>
        <v>0</v>
      </c>
      <c r="BA30" s="37" t="n">
        <f aca="false">BA27*②시니어_가정!$E$169</f>
        <v>0</v>
      </c>
      <c r="BB30" s="37" t="n">
        <f aca="false">BB27*②시니어_가정!$E$169</f>
        <v>0</v>
      </c>
      <c r="BC30" s="37" t="n">
        <f aca="false">BC27*②시니어_가정!$E$169</f>
        <v>0</v>
      </c>
      <c r="BD30" s="37" t="n">
        <f aca="false">BD27*②시니어_가정!$E$169</f>
        <v>0</v>
      </c>
      <c r="BE30" s="37" t="n">
        <f aca="false">BE27*②시니어_가정!$E$169</f>
        <v>0</v>
      </c>
      <c r="BF30" s="37" t="n">
        <f aca="false">BF27*②시니어_가정!$E$169</f>
        <v>0</v>
      </c>
      <c r="BG30" s="37" t="n">
        <f aca="false">BG27*②시니어_가정!$E$169</f>
        <v>0</v>
      </c>
      <c r="BH30" s="37" t="n">
        <f aca="false">BH27*②시니어_가정!$E$169</f>
        <v>0</v>
      </c>
      <c r="BI30" s="37" t="n">
        <f aca="false">BI27*②시니어_가정!$E$169</f>
        <v>0</v>
      </c>
      <c r="BJ30" s="37" t="n">
        <f aca="false">BJ27*②시니어_가정!$E$169</f>
        <v>0</v>
      </c>
      <c r="BK30" s="37" t="n">
        <f aca="false">BK27*②시니어_가정!$E$169</f>
        <v>0</v>
      </c>
      <c r="BL30" s="37" t="n">
        <f aca="false">BL27*②시니어_가정!$E$169</f>
        <v>0</v>
      </c>
      <c r="BM30" s="37" t="n">
        <f aca="false">BM27*②시니어_가정!$E$169</f>
        <v>0</v>
      </c>
      <c r="BN30" s="37" t="n">
        <f aca="false">BN27*②시니어_가정!$E$169</f>
        <v>0</v>
      </c>
      <c r="BO30" s="37" t="n">
        <f aca="false">BO27*②시니어_가정!$E$169</f>
        <v>0</v>
      </c>
      <c r="BP30" s="37" t="n">
        <f aca="false">BP27*②시니어_가정!$E$169</f>
        <v>0</v>
      </c>
      <c r="BQ30" s="37" t="n">
        <f aca="false">BQ27*②시니어_가정!$E$169</f>
        <v>0</v>
      </c>
      <c r="BR30" s="37" t="n">
        <f aca="false">BR27*②시니어_가정!$E$169</f>
        <v>0</v>
      </c>
      <c r="BS30" s="37" t="n">
        <f aca="false">BS27*②시니어_가정!$E$169</f>
        <v>0</v>
      </c>
      <c r="BT30" s="37" t="n">
        <f aca="false">BT27*②시니어_가정!$E$169</f>
        <v>0</v>
      </c>
      <c r="BU30" s="37" t="n">
        <f aca="false">BU27*②시니어_가정!$E$169</f>
        <v>0</v>
      </c>
      <c r="BV30" s="37" t="n">
        <f aca="false">BV27*②시니어_가정!$E$169</f>
        <v>0</v>
      </c>
      <c r="BW30" s="37" t="n">
        <f aca="false">BW27*②시니어_가정!$E$169</f>
        <v>0</v>
      </c>
      <c r="BX30" s="37" t="n">
        <f aca="false">BX27*②시니어_가정!$E$169</f>
        <v>0</v>
      </c>
      <c r="BY30" s="37" t="n">
        <f aca="false">BY27*②시니어_가정!$E$169</f>
        <v>0</v>
      </c>
      <c r="BZ30" s="37" t="n">
        <f aca="false">BZ27*②시니어_가정!$E$169</f>
        <v>0</v>
      </c>
      <c r="CA30" s="37" t="n">
        <f aca="false">CA27*②시니어_가정!$E$169</f>
        <v>0</v>
      </c>
      <c r="CB30" s="37" t="n">
        <f aca="false">CB27*②시니어_가정!$E$169</f>
        <v>0</v>
      </c>
      <c r="CC30" s="37" t="n">
        <f aca="false">CC27*②시니어_가정!$E$169</f>
        <v>0</v>
      </c>
      <c r="CD30" s="37" t="n">
        <f aca="false">CD27*②시니어_가정!$E$169</f>
        <v>0</v>
      </c>
      <c r="CE30" s="37" t="n">
        <f aca="false">CE27*②시니어_가정!$E$169</f>
        <v>0</v>
      </c>
      <c r="CF30" s="37" t="n">
        <f aca="false">CF27*②시니어_가정!$E$169</f>
        <v>0</v>
      </c>
      <c r="CG30" s="37" t="n">
        <f aca="false">CG27*②시니어_가정!$E$169</f>
        <v>0</v>
      </c>
      <c r="CH30" s="37" t="n">
        <f aca="false">CH27*②시니어_가정!$E$169</f>
        <v>0</v>
      </c>
      <c r="CI30" s="37" t="n">
        <f aca="false">CI27*②시니어_가정!$E$169</f>
        <v>0</v>
      </c>
      <c r="CJ30" s="37" t="n">
        <f aca="false">CJ27*②시니어_가정!$E$169</f>
        <v>0</v>
      </c>
      <c r="CK30" s="37" t="n">
        <f aca="false">CK27*②시니어_가정!$E$169</f>
        <v>0</v>
      </c>
      <c r="CL30" s="37" t="n">
        <f aca="false">CL27*②시니어_가정!$E$169</f>
        <v>0</v>
      </c>
      <c r="CM30" s="37" t="n">
        <f aca="false">CM27*②시니어_가정!$E$169</f>
        <v>0</v>
      </c>
      <c r="CN30" s="37" t="n">
        <f aca="false">CN27*②시니어_가정!$E$169</f>
        <v>0</v>
      </c>
      <c r="CO30" s="37" t="n">
        <f aca="false">CO27*②시니어_가정!$E$169</f>
        <v>0</v>
      </c>
      <c r="CP30" s="37" t="n">
        <f aca="false">CP27*②시니어_가정!$E$169</f>
        <v>0</v>
      </c>
      <c r="CQ30" s="37" t="n">
        <f aca="false">CQ27*②시니어_가정!$E$169</f>
        <v>0</v>
      </c>
      <c r="CR30" s="37" t="n">
        <f aca="false">CR27*②시니어_가정!$E$169</f>
        <v>0</v>
      </c>
      <c r="CS30" s="37" t="n">
        <f aca="false">CS27*②시니어_가정!$E$169</f>
        <v>0</v>
      </c>
      <c r="CT30" s="37" t="n">
        <f aca="false">CT27*②시니어_가정!$E$169</f>
        <v>0</v>
      </c>
      <c r="CU30" s="37" t="n">
        <f aca="false">CU27*②시니어_가정!$E$169</f>
        <v>0</v>
      </c>
      <c r="CV30" s="37" t="n">
        <f aca="false">CV27*②시니어_가정!$E$169</f>
        <v>0</v>
      </c>
      <c r="CW30" s="37" t="n">
        <f aca="false">CW27*②시니어_가정!$E$169</f>
        <v>0</v>
      </c>
      <c r="CX30" s="37" t="n">
        <f aca="false">CX27*②시니어_가정!$E$169</f>
        <v>0</v>
      </c>
      <c r="CY30" s="37" t="n">
        <f aca="false">CY27*②시니어_가정!$E$169</f>
        <v>0</v>
      </c>
      <c r="CZ30" s="37" t="n">
        <f aca="false">CZ27*②시니어_가정!$E$169</f>
        <v>0</v>
      </c>
      <c r="DA30" s="37" t="n">
        <f aca="false">DA27*②시니어_가정!$E$169</f>
        <v>0</v>
      </c>
      <c r="DB30" s="37" t="n">
        <f aca="false">DB27*②시니어_가정!$E$169</f>
        <v>0</v>
      </c>
      <c r="DC30" s="37" t="n">
        <f aca="false">DC27*②시니어_가정!$E$169</f>
        <v>0</v>
      </c>
      <c r="DD30" s="37" t="n">
        <f aca="false">DD27*②시니어_가정!$E$169</f>
        <v>0</v>
      </c>
      <c r="DE30" s="37" t="n">
        <f aca="false">DE27*②시니어_가정!$E$169</f>
        <v>0</v>
      </c>
      <c r="DF30" s="37" t="n">
        <f aca="false">DF27*②시니어_가정!$E$169</f>
        <v>0</v>
      </c>
      <c r="DG30" s="37" t="n">
        <f aca="false">DG27*②시니어_가정!$E$169</f>
        <v>0</v>
      </c>
      <c r="DH30" s="37" t="n">
        <f aca="false">DH27*②시니어_가정!$E$169</f>
        <v>0</v>
      </c>
      <c r="DI30" s="37" t="n">
        <f aca="false">DI27*②시니어_가정!$E$169</f>
        <v>0</v>
      </c>
      <c r="DJ30" s="37" t="n">
        <f aca="false">DJ27*②시니어_가정!$E$169</f>
        <v>0</v>
      </c>
      <c r="DK30" s="37" t="n">
        <f aca="false">DK27*②시니어_가정!$E$169</f>
        <v>0</v>
      </c>
      <c r="DL30" s="37" t="n">
        <f aca="false">DL27*②시니어_가정!$E$169</f>
        <v>0</v>
      </c>
      <c r="DM30" s="37" t="n">
        <f aca="false">DM27*②시니어_가정!$E$169</f>
        <v>0</v>
      </c>
      <c r="DN30" s="37" t="n">
        <f aca="false">DN27*②시니어_가정!$E$169</f>
        <v>0</v>
      </c>
      <c r="DO30" s="37" t="n">
        <f aca="false">DO27*②시니어_가정!$E$169</f>
        <v>0</v>
      </c>
      <c r="DP30" s="37" t="n">
        <f aca="false">DP27*②시니어_가정!$E$169</f>
        <v>0</v>
      </c>
      <c r="DQ30" s="37" t="n">
        <f aca="false">DQ27*②시니어_가정!$E$169</f>
        <v>0</v>
      </c>
      <c r="DR30" s="37" t="n">
        <f aca="false">DR27*②시니어_가정!$E$169</f>
        <v>0</v>
      </c>
      <c r="DS30" s="37" t="n">
        <f aca="false">DS27*②시니어_가정!$E$169</f>
        <v>0</v>
      </c>
      <c r="DT30" s="37" t="n">
        <f aca="false">DT27*②시니어_가정!$E$169</f>
        <v>0</v>
      </c>
      <c r="DU30" s="37" t="n">
        <f aca="false">DU27*②시니어_가정!$E$169</f>
        <v>0</v>
      </c>
      <c r="DV30" s="37" t="n">
        <f aca="false">DV27*②시니어_가정!$E$169</f>
        <v>0</v>
      </c>
      <c r="DW30" s="37" t="n">
        <f aca="false">DW27*②시니어_가정!$E$169</f>
        <v>0</v>
      </c>
      <c r="DX30" s="37" t="n">
        <f aca="false">DX27*②시니어_가정!$E$169</f>
        <v>0</v>
      </c>
      <c r="DY30" s="37" t="n">
        <f aca="false">DY27*②시니어_가정!$E$169</f>
        <v>0</v>
      </c>
      <c r="DZ30" s="37" t="n">
        <f aca="false">DZ27*②시니어_가정!$E$169</f>
        <v>0</v>
      </c>
      <c r="EA30" s="37" t="n">
        <f aca="false">EA27*②시니어_가정!$E$169</f>
        <v>0</v>
      </c>
      <c r="EB30" s="37" t="n">
        <f aca="false">EB27*②시니어_가정!$E$169</f>
        <v>0</v>
      </c>
      <c r="EC30" s="37" t="n">
        <f aca="false">EC27*②시니어_가정!$E$169</f>
        <v>0</v>
      </c>
      <c r="ED30" s="37" t="n">
        <f aca="false">ED27*②시니어_가정!$E$169</f>
        <v>0</v>
      </c>
      <c r="EE30" s="37" t="n">
        <f aca="false">EE27*②시니어_가정!$E$169</f>
        <v>0</v>
      </c>
      <c r="EF30" s="37" t="n">
        <f aca="false">EF27*②시니어_가정!$E$169</f>
        <v>0</v>
      </c>
    </row>
    <row r="31" customFormat="false" ht="15" hidden="false" customHeight="false" outlineLevel="0" collapsed="false">
      <c r="A31" s="36" t="s">
        <v>264</v>
      </c>
      <c r="B31" s="278" t="s">
        <v>21</v>
      </c>
      <c r="C31" s="279" t="n">
        <f aca="false">SUM(E31:EF31)</f>
        <v>0</v>
      </c>
      <c r="E31" s="37" t="n">
        <f aca="false">E27*②시니어_가정!$E$170</f>
        <v>0</v>
      </c>
      <c r="F31" s="37" t="n">
        <f aca="false">F27*②시니어_가정!$E$170</f>
        <v>0</v>
      </c>
      <c r="G31" s="37" t="n">
        <f aca="false">G27*②시니어_가정!$E$170</f>
        <v>0</v>
      </c>
      <c r="H31" s="37" t="n">
        <f aca="false">H27*②시니어_가정!$E$170</f>
        <v>0</v>
      </c>
      <c r="I31" s="37" t="n">
        <f aca="false">I27*②시니어_가정!$E$170</f>
        <v>0</v>
      </c>
      <c r="J31" s="37" t="n">
        <f aca="false">J27*②시니어_가정!$E$170</f>
        <v>0</v>
      </c>
      <c r="K31" s="37" t="n">
        <f aca="false">K27*②시니어_가정!$E$170</f>
        <v>0</v>
      </c>
      <c r="L31" s="37" t="n">
        <f aca="false">L27*②시니어_가정!$E$170</f>
        <v>0</v>
      </c>
      <c r="M31" s="37" t="n">
        <f aca="false">M27*②시니어_가정!$E$170</f>
        <v>0</v>
      </c>
      <c r="N31" s="37" t="n">
        <f aca="false">N27*②시니어_가정!$E$170</f>
        <v>0</v>
      </c>
      <c r="O31" s="37" t="n">
        <f aca="false">O27*②시니어_가정!$E$170</f>
        <v>0</v>
      </c>
      <c r="P31" s="37" t="n">
        <f aca="false">P27*②시니어_가정!$E$170</f>
        <v>0</v>
      </c>
      <c r="Q31" s="37" t="n">
        <f aca="false">Q27*②시니어_가정!$E$170</f>
        <v>0</v>
      </c>
      <c r="R31" s="37" t="n">
        <f aca="false">R27*②시니어_가정!$E$170</f>
        <v>0</v>
      </c>
      <c r="S31" s="37" t="n">
        <f aca="false">S27*②시니어_가정!$E$170</f>
        <v>0</v>
      </c>
      <c r="T31" s="37" t="n">
        <f aca="false">T27*②시니어_가정!$E$170</f>
        <v>0</v>
      </c>
      <c r="U31" s="37" t="n">
        <f aca="false">U27*②시니어_가정!$E$170</f>
        <v>0</v>
      </c>
      <c r="V31" s="37" t="n">
        <f aca="false">V27*②시니어_가정!$E$170</f>
        <v>0</v>
      </c>
      <c r="W31" s="37" t="n">
        <f aca="false">W27*②시니어_가정!$E$170</f>
        <v>0</v>
      </c>
      <c r="X31" s="37" t="n">
        <f aca="false">X27*②시니어_가정!$E$170</f>
        <v>0</v>
      </c>
      <c r="Y31" s="37" t="n">
        <f aca="false">Y27*②시니어_가정!$E$170</f>
        <v>0</v>
      </c>
      <c r="Z31" s="37" t="n">
        <f aca="false">Z27*②시니어_가정!$E$170</f>
        <v>0</v>
      </c>
      <c r="AA31" s="37" t="n">
        <f aca="false">AA27*②시니어_가정!$E$170</f>
        <v>0</v>
      </c>
      <c r="AB31" s="37" t="n">
        <f aca="false">AB27*②시니어_가정!$E$170</f>
        <v>0</v>
      </c>
      <c r="AC31" s="37" t="n">
        <f aca="false">AC27*②시니어_가정!$E$170</f>
        <v>0</v>
      </c>
      <c r="AD31" s="37" t="n">
        <f aca="false">AD27*②시니어_가정!$E$170</f>
        <v>0</v>
      </c>
      <c r="AE31" s="37" t="n">
        <f aca="false">AE27*②시니어_가정!$E$170</f>
        <v>0</v>
      </c>
      <c r="AF31" s="37" t="n">
        <f aca="false">AF27*②시니어_가정!$E$170</f>
        <v>0</v>
      </c>
      <c r="AG31" s="37" t="n">
        <f aca="false">AG27*②시니어_가정!$E$170</f>
        <v>0</v>
      </c>
      <c r="AH31" s="37" t="n">
        <f aca="false">AH27*②시니어_가정!$E$170</f>
        <v>0</v>
      </c>
      <c r="AI31" s="37" t="n">
        <f aca="false">AI27*②시니어_가정!$E$170</f>
        <v>0</v>
      </c>
      <c r="AJ31" s="37" t="n">
        <f aca="false">AJ27*②시니어_가정!$E$170</f>
        <v>0</v>
      </c>
      <c r="AK31" s="37" t="n">
        <f aca="false">AK27*②시니어_가정!$E$170</f>
        <v>0</v>
      </c>
      <c r="AL31" s="37" t="n">
        <f aca="false">AL27*②시니어_가정!$E$170</f>
        <v>0</v>
      </c>
      <c r="AM31" s="37" t="n">
        <f aca="false">AM27*②시니어_가정!$E$170</f>
        <v>0</v>
      </c>
      <c r="AN31" s="37" t="n">
        <f aca="false">AN27*②시니어_가정!$E$170</f>
        <v>0</v>
      </c>
      <c r="AO31" s="37" t="n">
        <f aca="false">AO27*②시니어_가정!$E$170</f>
        <v>0</v>
      </c>
      <c r="AP31" s="37" t="n">
        <f aca="false">AP27*②시니어_가정!$E$170</f>
        <v>0</v>
      </c>
      <c r="AQ31" s="37" t="n">
        <f aca="false">AQ27*②시니어_가정!$E$170</f>
        <v>0</v>
      </c>
      <c r="AR31" s="37" t="n">
        <f aca="false">AR27*②시니어_가정!$E$170</f>
        <v>0</v>
      </c>
      <c r="AS31" s="37" t="n">
        <f aca="false">AS27*②시니어_가정!$E$170</f>
        <v>0</v>
      </c>
      <c r="AT31" s="37" t="n">
        <f aca="false">AT27*②시니어_가정!$E$170</f>
        <v>0</v>
      </c>
      <c r="AU31" s="37" t="n">
        <f aca="false">AU27*②시니어_가정!$E$170</f>
        <v>0</v>
      </c>
      <c r="AV31" s="37" t="n">
        <f aca="false">AV27*②시니어_가정!$E$170</f>
        <v>0</v>
      </c>
      <c r="AW31" s="37" t="n">
        <f aca="false">AW27*②시니어_가정!$E$170</f>
        <v>0</v>
      </c>
      <c r="AX31" s="37" t="n">
        <f aca="false">AX27*②시니어_가정!$E$170</f>
        <v>0</v>
      </c>
      <c r="AY31" s="37" t="n">
        <f aca="false">AY27*②시니어_가정!$E$170</f>
        <v>0</v>
      </c>
      <c r="AZ31" s="37" t="n">
        <f aca="false">AZ27*②시니어_가정!$E$170</f>
        <v>0</v>
      </c>
      <c r="BA31" s="37" t="n">
        <f aca="false">BA27*②시니어_가정!$E$170</f>
        <v>0</v>
      </c>
      <c r="BB31" s="37" t="n">
        <f aca="false">BB27*②시니어_가정!$E$170</f>
        <v>0</v>
      </c>
      <c r="BC31" s="37" t="n">
        <f aca="false">BC27*②시니어_가정!$E$170</f>
        <v>0</v>
      </c>
      <c r="BD31" s="37" t="n">
        <f aca="false">BD27*②시니어_가정!$E$170</f>
        <v>0</v>
      </c>
      <c r="BE31" s="37" t="n">
        <f aca="false">BE27*②시니어_가정!$E$170</f>
        <v>0</v>
      </c>
      <c r="BF31" s="37" t="n">
        <f aca="false">BF27*②시니어_가정!$E$170</f>
        <v>0</v>
      </c>
      <c r="BG31" s="37" t="n">
        <f aca="false">BG27*②시니어_가정!$E$170</f>
        <v>0</v>
      </c>
      <c r="BH31" s="37" t="n">
        <f aca="false">BH27*②시니어_가정!$E$170</f>
        <v>0</v>
      </c>
      <c r="BI31" s="37" t="n">
        <f aca="false">BI27*②시니어_가정!$E$170</f>
        <v>0</v>
      </c>
      <c r="BJ31" s="37" t="n">
        <f aca="false">BJ27*②시니어_가정!$E$170</f>
        <v>0</v>
      </c>
      <c r="BK31" s="37" t="n">
        <f aca="false">BK27*②시니어_가정!$E$170</f>
        <v>0</v>
      </c>
      <c r="BL31" s="37" t="n">
        <f aca="false">BL27*②시니어_가정!$E$170</f>
        <v>0</v>
      </c>
      <c r="BM31" s="37" t="n">
        <f aca="false">BM27*②시니어_가정!$E$170</f>
        <v>0</v>
      </c>
      <c r="BN31" s="37" t="n">
        <f aca="false">BN27*②시니어_가정!$E$170</f>
        <v>0</v>
      </c>
      <c r="BO31" s="37" t="n">
        <f aca="false">BO27*②시니어_가정!$E$170</f>
        <v>0</v>
      </c>
      <c r="BP31" s="37" t="n">
        <f aca="false">BP27*②시니어_가정!$E$170</f>
        <v>0</v>
      </c>
      <c r="BQ31" s="37" t="n">
        <f aca="false">BQ27*②시니어_가정!$E$170</f>
        <v>0</v>
      </c>
      <c r="BR31" s="37" t="n">
        <f aca="false">BR27*②시니어_가정!$E$170</f>
        <v>0</v>
      </c>
      <c r="BS31" s="37" t="n">
        <f aca="false">BS27*②시니어_가정!$E$170</f>
        <v>0</v>
      </c>
      <c r="BT31" s="37" t="n">
        <f aca="false">BT27*②시니어_가정!$E$170</f>
        <v>0</v>
      </c>
      <c r="BU31" s="37" t="n">
        <f aca="false">BU27*②시니어_가정!$E$170</f>
        <v>0</v>
      </c>
      <c r="BV31" s="37" t="n">
        <f aca="false">BV27*②시니어_가정!$E$170</f>
        <v>0</v>
      </c>
      <c r="BW31" s="37" t="n">
        <f aca="false">BW27*②시니어_가정!$E$170</f>
        <v>0</v>
      </c>
      <c r="BX31" s="37" t="n">
        <f aca="false">BX27*②시니어_가정!$E$170</f>
        <v>0</v>
      </c>
      <c r="BY31" s="37" t="n">
        <f aca="false">BY27*②시니어_가정!$E$170</f>
        <v>0</v>
      </c>
      <c r="BZ31" s="37" t="n">
        <f aca="false">BZ27*②시니어_가정!$E$170</f>
        <v>0</v>
      </c>
      <c r="CA31" s="37" t="n">
        <f aca="false">CA27*②시니어_가정!$E$170</f>
        <v>0</v>
      </c>
      <c r="CB31" s="37" t="n">
        <f aca="false">CB27*②시니어_가정!$E$170</f>
        <v>0</v>
      </c>
      <c r="CC31" s="37" t="n">
        <f aca="false">CC27*②시니어_가정!$E$170</f>
        <v>0</v>
      </c>
      <c r="CD31" s="37" t="n">
        <f aca="false">CD27*②시니어_가정!$E$170</f>
        <v>0</v>
      </c>
      <c r="CE31" s="37" t="n">
        <f aca="false">CE27*②시니어_가정!$E$170</f>
        <v>0</v>
      </c>
      <c r="CF31" s="37" t="n">
        <f aca="false">CF27*②시니어_가정!$E$170</f>
        <v>0</v>
      </c>
      <c r="CG31" s="37" t="n">
        <f aca="false">CG27*②시니어_가정!$E$170</f>
        <v>0</v>
      </c>
      <c r="CH31" s="37" t="n">
        <f aca="false">CH27*②시니어_가정!$E$170</f>
        <v>0</v>
      </c>
      <c r="CI31" s="37" t="n">
        <f aca="false">CI27*②시니어_가정!$E$170</f>
        <v>0</v>
      </c>
      <c r="CJ31" s="37" t="n">
        <f aca="false">CJ27*②시니어_가정!$E$170</f>
        <v>0</v>
      </c>
      <c r="CK31" s="37" t="n">
        <f aca="false">CK27*②시니어_가정!$E$170</f>
        <v>0</v>
      </c>
      <c r="CL31" s="37" t="n">
        <f aca="false">CL27*②시니어_가정!$E$170</f>
        <v>0</v>
      </c>
      <c r="CM31" s="37" t="n">
        <f aca="false">CM27*②시니어_가정!$E$170</f>
        <v>0</v>
      </c>
      <c r="CN31" s="37" t="n">
        <f aca="false">CN27*②시니어_가정!$E$170</f>
        <v>0</v>
      </c>
      <c r="CO31" s="37" t="n">
        <f aca="false">CO27*②시니어_가정!$E$170</f>
        <v>0</v>
      </c>
      <c r="CP31" s="37" t="n">
        <f aca="false">CP27*②시니어_가정!$E$170</f>
        <v>0</v>
      </c>
      <c r="CQ31" s="37" t="n">
        <f aca="false">CQ27*②시니어_가정!$E$170</f>
        <v>0</v>
      </c>
      <c r="CR31" s="37" t="n">
        <f aca="false">CR27*②시니어_가정!$E$170</f>
        <v>0</v>
      </c>
      <c r="CS31" s="37" t="n">
        <f aca="false">CS27*②시니어_가정!$E$170</f>
        <v>0</v>
      </c>
      <c r="CT31" s="37" t="n">
        <f aca="false">CT27*②시니어_가정!$E$170</f>
        <v>0</v>
      </c>
      <c r="CU31" s="37" t="n">
        <f aca="false">CU27*②시니어_가정!$E$170</f>
        <v>0</v>
      </c>
      <c r="CV31" s="37" t="n">
        <f aca="false">CV27*②시니어_가정!$E$170</f>
        <v>0</v>
      </c>
      <c r="CW31" s="37" t="n">
        <f aca="false">CW27*②시니어_가정!$E$170</f>
        <v>0</v>
      </c>
      <c r="CX31" s="37" t="n">
        <f aca="false">CX27*②시니어_가정!$E$170</f>
        <v>0</v>
      </c>
      <c r="CY31" s="37" t="n">
        <f aca="false">CY27*②시니어_가정!$E$170</f>
        <v>0</v>
      </c>
      <c r="CZ31" s="37" t="n">
        <f aca="false">CZ27*②시니어_가정!$E$170</f>
        <v>0</v>
      </c>
      <c r="DA31" s="37" t="n">
        <f aca="false">DA27*②시니어_가정!$E$170</f>
        <v>0</v>
      </c>
      <c r="DB31" s="37" t="n">
        <f aca="false">DB27*②시니어_가정!$E$170</f>
        <v>0</v>
      </c>
      <c r="DC31" s="37" t="n">
        <f aca="false">DC27*②시니어_가정!$E$170</f>
        <v>0</v>
      </c>
      <c r="DD31" s="37" t="n">
        <f aca="false">DD27*②시니어_가정!$E$170</f>
        <v>0</v>
      </c>
      <c r="DE31" s="37" t="n">
        <f aca="false">DE27*②시니어_가정!$E$170</f>
        <v>0</v>
      </c>
      <c r="DF31" s="37" t="n">
        <f aca="false">DF27*②시니어_가정!$E$170</f>
        <v>0</v>
      </c>
      <c r="DG31" s="37" t="n">
        <f aca="false">DG27*②시니어_가정!$E$170</f>
        <v>0</v>
      </c>
      <c r="DH31" s="37" t="n">
        <f aca="false">DH27*②시니어_가정!$E$170</f>
        <v>0</v>
      </c>
      <c r="DI31" s="37" t="n">
        <f aca="false">DI27*②시니어_가정!$E$170</f>
        <v>0</v>
      </c>
      <c r="DJ31" s="37" t="n">
        <f aca="false">DJ27*②시니어_가정!$E$170</f>
        <v>0</v>
      </c>
      <c r="DK31" s="37" t="n">
        <f aca="false">DK27*②시니어_가정!$E$170</f>
        <v>0</v>
      </c>
      <c r="DL31" s="37" t="n">
        <f aca="false">DL27*②시니어_가정!$E$170</f>
        <v>0</v>
      </c>
      <c r="DM31" s="37" t="n">
        <f aca="false">DM27*②시니어_가정!$E$170</f>
        <v>0</v>
      </c>
      <c r="DN31" s="37" t="n">
        <f aca="false">DN27*②시니어_가정!$E$170</f>
        <v>0</v>
      </c>
      <c r="DO31" s="37" t="n">
        <f aca="false">DO27*②시니어_가정!$E$170</f>
        <v>0</v>
      </c>
      <c r="DP31" s="37" t="n">
        <f aca="false">DP27*②시니어_가정!$E$170</f>
        <v>0</v>
      </c>
      <c r="DQ31" s="37" t="n">
        <f aca="false">DQ27*②시니어_가정!$E$170</f>
        <v>0</v>
      </c>
      <c r="DR31" s="37" t="n">
        <f aca="false">DR27*②시니어_가정!$E$170</f>
        <v>0</v>
      </c>
      <c r="DS31" s="37" t="n">
        <f aca="false">DS27*②시니어_가정!$E$170</f>
        <v>0</v>
      </c>
      <c r="DT31" s="37" t="n">
        <f aca="false">DT27*②시니어_가정!$E$170</f>
        <v>0</v>
      </c>
      <c r="DU31" s="37" t="n">
        <f aca="false">DU27*②시니어_가정!$E$170</f>
        <v>0</v>
      </c>
      <c r="DV31" s="37" t="n">
        <f aca="false">DV27*②시니어_가정!$E$170</f>
        <v>0</v>
      </c>
      <c r="DW31" s="37" t="n">
        <f aca="false">DW27*②시니어_가정!$E$170</f>
        <v>0</v>
      </c>
      <c r="DX31" s="37" t="n">
        <f aca="false">DX27*②시니어_가정!$E$170</f>
        <v>0</v>
      </c>
      <c r="DY31" s="37" t="n">
        <f aca="false">DY27*②시니어_가정!$E$170</f>
        <v>0</v>
      </c>
      <c r="DZ31" s="37" t="n">
        <f aca="false">DZ27*②시니어_가정!$E$170</f>
        <v>0</v>
      </c>
      <c r="EA31" s="37" t="n">
        <f aca="false">EA27*②시니어_가정!$E$170</f>
        <v>0</v>
      </c>
      <c r="EB31" s="37" t="n">
        <f aca="false">EB27*②시니어_가정!$E$170</f>
        <v>0</v>
      </c>
      <c r="EC31" s="37" t="n">
        <f aca="false">EC27*②시니어_가정!$E$170</f>
        <v>0</v>
      </c>
      <c r="ED31" s="37" t="n">
        <f aca="false">ED27*②시니어_가정!$E$170</f>
        <v>0</v>
      </c>
      <c r="EE31" s="37" t="n">
        <f aca="false">EE27*②시니어_가정!$E$170</f>
        <v>0</v>
      </c>
      <c r="EF31" s="37" t="n">
        <f aca="false">EF27*②시니어_가정!$E$170</f>
        <v>0</v>
      </c>
    </row>
    <row r="32" customFormat="false" ht="15" hidden="false" customHeight="false" outlineLevel="0" collapsed="false">
      <c r="A32" s="36" t="s">
        <v>265</v>
      </c>
      <c r="B32" s="278" t="s">
        <v>21</v>
      </c>
      <c r="C32" s="279" t="n">
        <f aca="false">SUM(E32:EF32)</f>
        <v>0</v>
      </c>
      <c r="E32" s="37" t="n">
        <f aca="false">E27*②시니어_가정!$E$171</f>
        <v>0</v>
      </c>
      <c r="F32" s="37" t="n">
        <f aca="false">F27*②시니어_가정!$E$171</f>
        <v>0</v>
      </c>
      <c r="G32" s="37" t="n">
        <f aca="false">G27*②시니어_가정!$E$171</f>
        <v>0</v>
      </c>
      <c r="H32" s="37" t="n">
        <f aca="false">H27*②시니어_가정!$E$171</f>
        <v>0</v>
      </c>
      <c r="I32" s="37" t="n">
        <f aca="false">I27*②시니어_가정!$E$171</f>
        <v>0</v>
      </c>
      <c r="J32" s="37" t="n">
        <f aca="false">J27*②시니어_가정!$E$171</f>
        <v>0</v>
      </c>
      <c r="K32" s="37" t="n">
        <f aca="false">K27*②시니어_가정!$E$171</f>
        <v>0</v>
      </c>
      <c r="L32" s="37" t="n">
        <f aca="false">L27*②시니어_가정!$E$171</f>
        <v>0</v>
      </c>
      <c r="M32" s="37" t="n">
        <f aca="false">M27*②시니어_가정!$E$171</f>
        <v>0</v>
      </c>
      <c r="N32" s="37" t="n">
        <f aca="false">N27*②시니어_가정!$E$171</f>
        <v>0</v>
      </c>
      <c r="O32" s="37" t="n">
        <f aca="false">O27*②시니어_가정!$E$171</f>
        <v>0</v>
      </c>
      <c r="P32" s="37" t="n">
        <f aca="false">P27*②시니어_가정!$E$171</f>
        <v>0</v>
      </c>
      <c r="Q32" s="37" t="n">
        <f aca="false">Q27*②시니어_가정!$E$171</f>
        <v>0</v>
      </c>
      <c r="R32" s="37" t="n">
        <f aca="false">R27*②시니어_가정!$E$171</f>
        <v>0</v>
      </c>
      <c r="S32" s="37" t="n">
        <f aca="false">S27*②시니어_가정!$E$171</f>
        <v>0</v>
      </c>
      <c r="T32" s="37" t="n">
        <f aca="false">T27*②시니어_가정!$E$171</f>
        <v>0</v>
      </c>
      <c r="U32" s="37" t="n">
        <f aca="false">U27*②시니어_가정!$E$171</f>
        <v>0</v>
      </c>
      <c r="V32" s="37" t="n">
        <f aca="false">V27*②시니어_가정!$E$171</f>
        <v>0</v>
      </c>
      <c r="W32" s="37" t="n">
        <f aca="false">W27*②시니어_가정!$E$171</f>
        <v>0</v>
      </c>
      <c r="X32" s="37" t="n">
        <f aca="false">X27*②시니어_가정!$E$171</f>
        <v>0</v>
      </c>
      <c r="Y32" s="37" t="n">
        <f aca="false">Y27*②시니어_가정!$E$171</f>
        <v>0</v>
      </c>
      <c r="Z32" s="37" t="n">
        <f aca="false">Z27*②시니어_가정!$E$171</f>
        <v>0</v>
      </c>
      <c r="AA32" s="37" t="n">
        <f aca="false">AA27*②시니어_가정!$E$171</f>
        <v>0</v>
      </c>
      <c r="AB32" s="37" t="n">
        <f aca="false">AB27*②시니어_가정!$E$171</f>
        <v>0</v>
      </c>
      <c r="AC32" s="37" t="n">
        <f aca="false">AC27*②시니어_가정!$E$171</f>
        <v>0</v>
      </c>
      <c r="AD32" s="37" t="n">
        <f aca="false">AD27*②시니어_가정!$E$171</f>
        <v>0</v>
      </c>
      <c r="AE32" s="37" t="n">
        <f aca="false">AE27*②시니어_가정!$E$171</f>
        <v>0</v>
      </c>
      <c r="AF32" s="37" t="n">
        <f aca="false">AF27*②시니어_가정!$E$171</f>
        <v>0</v>
      </c>
      <c r="AG32" s="37" t="n">
        <f aca="false">AG27*②시니어_가정!$E$171</f>
        <v>0</v>
      </c>
      <c r="AH32" s="37" t="n">
        <f aca="false">AH27*②시니어_가정!$E$171</f>
        <v>0</v>
      </c>
      <c r="AI32" s="37" t="n">
        <f aca="false">AI27*②시니어_가정!$E$171</f>
        <v>0</v>
      </c>
      <c r="AJ32" s="37" t="n">
        <f aca="false">AJ27*②시니어_가정!$E$171</f>
        <v>0</v>
      </c>
      <c r="AK32" s="37" t="n">
        <f aca="false">AK27*②시니어_가정!$E$171</f>
        <v>0</v>
      </c>
      <c r="AL32" s="37" t="n">
        <f aca="false">AL27*②시니어_가정!$E$171</f>
        <v>0</v>
      </c>
      <c r="AM32" s="37" t="n">
        <f aca="false">AM27*②시니어_가정!$E$171</f>
        <v>0</v>
      </c>
      <c r="AN32" s="37" t="n">
        <f aca="false">AN27*②시니어_가정!$E$171</f>
        <v>0</v>
      </c>
      <c r="AO32" s="37" t="n">
        <f aca="false">AO27*②시니어_가정!$E$171</f>
        <v>0</v>
      </c>
      <c r="AP32" s="37" t="n">
        <f aca="false">AP27*②시니어_가정!$E$171</f>
        <v>0</v>
      </c>
      <c r="AQ32" s="37" t="n">
        <f aca="false">AQ27*②시니어_가정!$E$171</f>
        <v>0</v>
      </c>
      <c r="AR32" s="37" t="n">
        <f aca="false">AR27*②시니어_가정!$E$171</f>
        <v>0</v>
      </c>
      <c r="AS32" s="37" t="n">
        <f aca="false">AS27*②시니어_가정!$E$171</f>
        <v>0</v>
      </c>
      <c r="AT32" s="37" t="n">
        <f aca="false">AT27*②시니어_가정!$E$171</f>
        <v>0</v>
      </c>
      <c r="AU32" s="37" t="n">
        <f aca="false">AU27*②시니어_가정!$E$171</f>
        <v>0</v>
      </c>
      <c r="AV32" s="37" t="n">
        <f aca="false">AV27*②시니어_가정!$E$171</f>
        <v>0</v>
      </c>
      <c r="AW32" s="37" t="n">
        <f aca="false">AW27*②시니어_가정!$E$171</f>
        <v>0</v>
      </c>
      <c r="AX32" s="37" t="n">
        <f aca="false">AX27*②시니어_가정!$E$171</f>
        <v>0</v>
      </c>
      <c r="AY32" s="37" t="n">
        <f aca="false">AY27*②시니어_가정!$E$171</f>
        <v>0</v>
      </c>
      <c r="AZ32" s="37" t="n">
        <f aca="false">AZ27*②시니어_가정!$E$171</f>
        <v>0</v>
      </c>
      <c r="BA32" s="37" t="n">
        <f aca="false">BA27*②시니어_가정!$E$171</f>
        <v>0</v>
      </c>
      <c r="BB32" s="37" t="n">
        <f aca="false">BB27*②시니어_가정!$E$171</f>
        <v>0</v>
      </c>
      <c r="BC32" s="37" t="n">
        <f aca="false">BC27*②시니어_가정!$E$171</f>
        <v>0</v>
      </c>
      <c r="BD32" s="37" t="n">
        <f aca="false">BD27*②시니어_가정!$E$171</f>
        <v>0</v>
      </c>
      <c r="BE32" s="37" t="n">
        <f aca="false">BE27*②시니어_가정!$E$171</f>
        <v>0</v>
      </c>
      <c r="BF32" s="37" t="n">
        <f aca="false">BF27*②시니어_가정!$E$171</f>
        <v>0</v>
      </c>
      <c r="BG32" s="37" t="n">
        <f aca="false">BG27*②시니어_가정!$E$171</f>
        <v>0</v>
      </c>
      <c r="BH32" s="37" t="n">
        <f aca="false">BH27*②시니어_가정!$E$171</f>
        <v>0</v>
      </c>
      <c r="BI32" s="37" t="n">
        <f aca="false">BI27*②시니어_가정!$E$171</f>
        <v>0</v>
      </c>
      <c r="BJ32" s="37" t="n">
        <f aca="false">BJ27*②시니어_가정!$E$171</f>
        <v>0</v>
      </c>
      <c r="BK32" s="37" t="n">
        <f aca="false">BK27*②시니어_가정!$E$171</f>
        <v>0</v>
      </c>
      <c r="BL32" s="37" t="n">
        <f aca="false">BL27*②시니어_가정!$E$171</f>
        <v>0</v>
      </c>
      <c r="BM32" s="37" t="n">
        <f aca="false">BM27*②시니어_가정!$E$171</f>
        <v>0</v>
      </c>
      <c r="BN32" s="37" t="n">
        <f aca="false">BN27*②시니어_가정!$E$171</f>
        <v>0</v>
      </c>
      <c r="BO32" s="37" t="n">
        <f aca="false">BO27*②시니어_가정!$E$171</f>
        <v>0</v>
      </c>
      <c r="BP32" s="37" t="n">
        <f aca="false">BP27*②시니어_가정!$E$171</f>
        <v>0</v>
      </c>
      <c r="BQ32" s="37" t="n">
        <f aca="false">BQ27*②시니어_가정!$E$171</f>
        <v>0</v>
      </c>
      <c r="BR32" s="37" t="n">
        <f aca="false">BR27*②시니어_가정!$E$171</f>
        <v>0</v>
      </c>
      <c r="BS32" s="37" t="n">
        <f aca="false">BS27*②시니어_가정!$E$171</f>
        <v>0</v>
      </c>
      <c r="BT32" s="37" t="n">
        <f aca="false">BT27*②시니어_가정!$E$171</f>
        <v>0</v>
      </c>
      <c r="BU32" s="37" t="n">
        <f aca="false">BU27*②시니어_가정!$E$171</f>
        <v>0</v>
      </c>
      <c r="BV32" s="37" t="n">
        <f aca="false">BV27*②시니어_가정!$E$171</f>
        <v>0</v>
      </c>
      <c r="BW32" s="37" t="n">
        <f aca="false">BW27*②시니어_가정!$E$171</f>
        <v>0</v>
      </c>
      <c r="BX32" s="37" t="n">
        <f aca="false">BX27*②시니어_가정!$E$171</f>
        <v>0</v>
      </c>
      <c r="BY32" s="37" t="n">
        <f aca="false">BY27*②시니어_가정!$E$171</f>
        <v>0</v>
      </c>
      <c r="BZ32" s="37" t="n">
        <f aca="false">BZ27*②시니어_가정!$E$171</f>
        <v>0</v>
      </c>
      <c r="CA32" s="37" t="n">
        <f aca="false">CA27*②시니어_가정!$E$171</f>
        <v>0</v>
      </c>
      <c r="CB32" s="37" t="n">
        <f aca="false">CB27*②시니어_가정!$E$171</f>
        <v>0</v>
      </c>
      <c r="CC32" s="37" t="n">
        <f aca="false">CC27*②시니어_가정!$E$171</f>
        <v>0</v>
      </c>
      <c r="CD32" s="37" t="n">
        <f aca="false">CD27*②시니어_가정!$E$171</f>
        <v>0</v>
      </c>
      <c r="CE32" s="37" t="n">
        <f aca="false">CE27*②시니어_가정!$E$171</f>
        <v>0</v>
      </c>
      <c r="CF32" s="37" t="n">
        <f aca="false">CF27*②시니어_가정!$E$171</f>
        <v>0</v>
      </c>
      <c r="CG32" s="37" t="n">
        <f aca="false">CG27*②시니어_가정!$E$171</f>
        <v>0</v>
      </c>
      <c r="CH32" s="37" t="n">
        <f aca="false">CH27*②시니어_가정!$E$171</f>
        <v>0</v>
      </c>
      <c r="CI32" s="37" t="n">
        <f aca="false">CI27*②시니어_가정!$E$171</f>
        <v>0</v>
      </c>
      <c r="CJ32" s="37" t="n">
        <f aca="false">CJ27*②시니어_가정!$E$171</f>
        <v>0</v>
      </c>
      <c r="CK32" s="37" t="n">
        <f aca="false">CK27*②시니어_가정!$E$171</f>
        <v>0</v>
      </c>
      <c r="CL32" s="37" t="n">
        <f aca="false">CL27*②시니어_가정!$E$171</f>
        <v>0</v>
      </c>
      <c r="CM32" s="37" t="n">
        <f aca="false">CM27*②시니어_가정!$E$171</f>
        <v>0</v>
      </c>
      <c r="CN32" s="37" t="n">
        <f aca="false">CN27*②시니어_가정!$E$171</f>
        <v>0</v>
      </c>
      <c r="CO32" s="37" t="n">
        <f aca="false">CO27*②시니어_가정!$E$171</f>
        <v>0</v>
      </c>
      <c r="CP32" s="37" t="n">
        <f aca="false">CP27*②시니어_가정!$E$171</f>
        <v>0</v>
      </c>
      <c r="CQ32" s="37" t="n">
        <f aca="false">CQ27*②시니어_가정!$E$171</f>
        <v>0</v>
      </c>
      <c r="CR32" s="37" t="n">
        <f aca="false">CR27*②시니어_가정!$E$171</f>
        <v>0</v>
      </c>
      <c r="CS32" s="37" t="n">
        <f aca="false">CS27*②시니어_가정!$E$171</f>
        <v>0</v>
      </c>
      <c r="CT32" s="37" t="n">
        <f aca="false">CT27*②시니어_가정!$E$171</f>
        <v>0</v>
      </c>
      <c r="CU32" s="37" t="n">
        <f aca="false">CU27*②시니어_가정!$E$171</f>
        <v>0</v>
      </c>
      <c r="CV32" s="37" t="n">
        <f aca="false">CV27*②시니어_가정!$E$171</f>
        <v>0</v>
      </c>
      <c r="CW32" s="37" t="n">
        <f aca="false">CW27*②시니어_가정!$E$171</f>
        <v>0</v>
      </c>
      <c r="CX32" s="37" t="n">
        <f aca="false">CX27*②시니어_가정!$E$171</f>
        <v>0</v>
      </c>
      <c r="CY32" s="37" t="n">
        <f aca="false">CY27*②시니어_가정!$E$171</f>
        <v>0</v>
      </c>
      <c r="CZ32" s="37" t="n">
        <f aca="false">CZ27*②시니어_가정!$E$171</f>
        <v>0</v>
      </c>
      <c r="DA32" s="37" t="n">
        <f aca="false">DA27*②시니어_가정!$E$171</f>
        <v>0</v>
      </c>
      <c r="DB32" s="37" t="n">
        <f aca="false">DB27*②시니어_가정!$E$171</f>
        <v>0</v>
      </c>
      <c r="DC32" s="37" t="n">
        <f aca="false">DC27*②시니어_가정!$E$171</f>
        <v>0</v>
      </c>
      <c r="DD32" s="37" t="n">
        <f aca="false">DD27*②시니어_가정!$E$171</f>
        <v>0</v>
      </c>
      <c r="DE32" s="37" t="n">
        <f aca="false">DE27*②시니어_가정!$E$171</f>
        <v>0</v>
      </c>
      <c r="DF32" s="37" t="n">
        <f aca="false">DF27*②시니어_가정!$E$171</f>
        <v>0</v>
      </c>
      <c r="DG32" s="37" t="n">
        <f aca="false">DG27*②시니어_가정!$E$171</f>
        <v>0</v>
      </c>
      <c r="DH32" s="37" t="n">
        <f aca="false">DH27*②시니어_가정!$E$171</f>
        <v>0</v>
      </c>
      <c r="DI32" s="37" t="n">
        <f aca="false">DI27*②시니어_가정!$E$171</f>
        <v>0</v>
      </c>
      <c r="DJ32" s="37" t="n">
        <f aca="false">DJ27*②시니어_가정!$E$171</f>
        <v>0</v>
      </c>
      <c r="DK32" s="37" t="n">
        <f aca="false">DK27*②시니어_가정!$E$171</f>
        <v>0</v>
      </c>
      <c r="DL32" s="37" t="n">
        <f aca="false">DL27*②시니어_가정!$E$171</f>
        <v>0</v>
      </c>
      <c r="DM32" s="37" t="n">
        <f aca="false">DM27*②시니어_가정!$E$171</f>
        <v>0</v>
      </c>
      <c r="DN32" s="37" t="n">
        <f aca="false">DN27*②시니어_가정!$E$171</f>
        <v>0</v>
      </c>
      <c r="DO32" s="37" t="n">
        <f aca="false">DO27*②시니어_가정!$E$171</f>
        <v>0</v>
      </c>
      <c r="DP32" s="37" t="n">
        <f aca="false">DP27*②시니어_가정!$E$171</f>
        <v>0</v>
      </c>
      <c r="DQ32" s="37" t="n">
        <f aca="false">DQ27*②시니어_가정!$E$171</f>
        <v>0</v>
      </c>
      <c r="DR32" s="37" t="n">
        <f aca="false">DR27*②시니어_가정!$E$171</f>
        <v>0</v>
      </c>
      <c r="DS32" s="37" t="n">
        <f aca="false">DS27*②시니어_가정!$E$171</f>
        <v>0</v>
      </c>
      <c r="DT32" s="37" t="n">
        <f aca="false">DT27*②시니어_가정!$E$171</f>
        <v>0</v>
      </c>
      <c r="DU32" s="37" t="n">
        <f aca="false">DU27*②시니어_가정!$E$171</f>
        <v>0</v>
      </c>
      <c r="DV32" s="37" t="n">
        <f aca="false">DV27*②시니어_가정!$E$171</f>
        <v>0</v>
      </c>
      <c r="DW32" s="37" t="n">
        <f aca="false">DW27*②시니어_가정!$E$171</f>
        <v>0</v>
      </c>
      <c r="DX32" s="37" t="n">
        <f aca="false">DX27*②시니어_가정!$E$171</f>
        <v>0</v>
      </c>
      <c r="DY32" s="37" t="n">
        <f aca="false">DY27*②시니어_가정!$E$171</f>
        <v>0</v>
      </c>
      <c r="DZ32" s="37" t="n">
        <f aca="false">DZ27*②시니어_가정!$E$171</f>
        <v>0</v>
      </c>
      <c r="EA32" s="37" t="n">
        <f aca="false">EA27*②시니어_가정!$E$171</f>
        <v>0</v>
      </c>
      <c r="EB32" s="37" t="n">
        <f aca="false">EB27*②시니어_가정!$E$171</f>
        <v>0</v>
      </c>
      <c r="EC32" s="37" t="n">
        <f aca="false">EC27*②시니어_가정!$E$171</f>
        <v>0</v>
      </c>
      <c r="ED32" s="37" t="n">
        <f aca="false">ED27*②시니어_가정!$E$171</f>
        <v>0</v>
      </c>
      <c r="EE32" s="37" t="n">
        <f aca="false">EE27*②시니어_가정!$E$171</f>
        <v>0</v>
      </c>
      <c r="EF32" s="37" t="n">
        <f aca="false">EF27*②시니어_가정!$E$171</f>
        <v>0</v>
      </c>
    </row>
    <row r="33" customFormat="false" ht="15" hidden="false" customHeight="false" outlineLevel="0" collapsed="false">
      <c r="A33" s="36" t="s">
        <v>266</v>
      </c>
      <c r="B33" s="278" t="s">
        <v>21</v>
      </c>
      <c r="C33" s="279" t="n">
        <f aca="false">SUM(E33:EF33)</f>
        <v>0</v>
      </c>
      <c r="E33" s="37" t="n">
        <f aca="false">E27*②시니어_가정!$E$172</f>
        <v>0</v>
      </c>
      <c r="F33" s="37" t="n">
        <f aca="false">F27*②시니어_가정!$E$172</f>
        <v>0</v>
      </c>
      <c r="G33" s="37" t="n">
        <f aca="false">G27*②시니어_가정!$E$172</f>
        <v>0</v>
      </c>
      <c r="H33" s="37" t="n">
        <f aca="false">H27*②시니어_가정!$E$172</f>
        <v>0</v>
      </c>
      <c r="I33" s="37" t="n">
        <f aca="false">I27*②시니어_가정!$E$172</f>
        <v>0</v>
      </c>
      <c r="J33" s="37" t="n">
        <f aca="false">J27*②시니어_가정!$E$172</f>
        <v>0</v>
      </c>
      <c r="K33" s="37" t="n">
        <f aca="false">K27*②시니어_가정!$E$172</f>
        <v>0</v>
      </c>
      <c r="L33" s="37" t="n">
        <f aca="false">L27*②시니어_가정!$E$172</f>
        <v>0</v>
      </c>
      <c r="M33" s="37" t="n">
        <f aca="false">M27*②시니어_가정!$E$172</f>
        <v>0</v>
      </c>
      <c r="N33" s="37" t="n">
        <f aca="false">N27*②시니어_가정!$E$172</f>
        <v>0</v>
      </c>
      <c r="O33" s="37" t="n">
        <f aca="false">O27*②시니어_가정!$E$172</f>
        <v>0</v>
      </c>
      <c r="P33" s="37" t="n">
        <f aca="false">P27*②시니어_가정!$E$172</f>
        <v>0</v>
      </c>
      <c r="Q33" s="37" t="n">
        <f aca="false">Q27*②시니어_가정!$E$172</f>
        <v>0</v>
      </c>
      <c r="R33" s="37" t="n">
        <f aca="false">R27*②시니어_가정!$E$172</f>
        <v>0</v>
      </c>
      <c r="S33" s="37" t="n">
        <f aca="false">S27*②시니어_가정!$E$172</f>
        <v>0</v>
      </c>
      <c r="T33" s="37" t="n">
        <f aca="false">T27*②시니어_가정!$E$172</f>
        <v>0</v>
      </c>
      <c r="U33" s="37" t="n">
        <f aca="false">U27*②시니어_가정!$E$172</f>
        <v>0</v>
      </c>
      <c r="V33" s="37" t="n">
        <f aca="false">V27*②시니어_가정!$E$172</f>
        <v>0</v>
      </c>
      <c r="W33" s="37" t="n">
        <f aca="false">W27*②시니어_가정!$E$172</f>
        <v>0</v>
      </c>
      <c r="X33" s="37" t="n">
        <f aca="false">X27*②시니어_가정!$E$172</f>
        <v>0</v>
      </c>
      <c r="Y33" s="37" t="n">
        <f aca="false">Y27*②시니어_가정!$E$172</f>
        <v>0</v>
      </c>
      <c r="Z33" s="37" t="n">
        <f aca="false">Z27*②시니어_가정!$E$172</f>
        <v>0</v>
      </c>
      <c r="AA33" s="37" t="n">
        <f aca="false">AA27*②시니어_가정!$E$172</f>
        <v>0</v>
      </c>
      <c r="AB33" s="37" t="n">
        <f aca="false">AB27*②시니어_가정!$E$172</f>
        <v>0</v>
      </c>
      <c r="AC33" s="37" t="n">
        <f aca="false">AC27*②시니어_가정!$E$172</f>
        <v>0</v>
      </c>
      <c r="AD33" s="37" t="n">
        <f aca="false">AD27*②시니어_가정!$E$172</f>
        <v>0</v>
      </c>
      <c r="AE33" s="37" t="n">
        <f aca="false">AE27*②시니어_가정!$E$172</f>
        <v>0</v>
      </c>
      <c r="AF33" s="37" t="n">
        <f aca="false">AF27*②시니어_가정!$E$172</f>
        <v>0</v>
      </c>
      <c r="AG33" s="37" t="n">
        <f aca="false">AG27*②시니어_가정!$E$172</f>
        <v>0</v>
      </c>
      <c r="AH33" s="37" t="n">
        <f aca="false">AH27*②시니어_가정!$E$172</f>
        <v>0</v>
      </c>
      <c r="AI33" s="37" t="n">
        <f aca="false">AI27*②시니어_가정!$E$172</f>
        <v>0</v>
      </c>
      <c r="AJ33" s="37" t="n">
        <f aca="false">AJ27*②시니어_가정!$E$172</f>
        <v>0</v>
      </c>
      <c r="AK33" s="37" t="n">
        <f aca="false">AK27*②시니어_가정!$E$172</f>
        <v>0</v>
      </c>
      <c r="AL33" s="37" t="n">
        <f aca="false">AL27*②시니어_가정!$E$172</f>
        <v>0</v>
      </c>
      <c r="AM33" s="37" t="n">
        <f aca="false">AM27*②시니어_가정!$E$172</f>
        <v>0</v>
      </c>
      <c r="AN33" s="37" t="n">
        <f aca="false">AN27*②시니어_가정!$E$172</f>
        <v>0</v>
      </c>
      <c r="AO33" s="37" t="n">
        <f aca="false">AO27*②시니어_가정!$E$172</f>
        <v>0</v>
      </c>
      <c r="AP33" s="37" t="n">
        <f aca="false">AP27*②시니어_가정!$E$172</f>
        <v>0</v>
      </c>
      <c r="AQ33" s="37" t="n">
        <f aca="false">AQ27*②시니어_가정!$E$172</f>
        <v>0</v>
      </c>
      <c r="AR33" s="37" t="n">
        <f aca="false">AR27*②시니어_가정!$E$172</f>
        <v>0</v>
      </c>
      <c r="AS33" s="37" t="n">
        <f aca="false">AS27*②시니어_가정!$E$172</f>
        <v>0</v>
      </c>
      <c r="AT33" s="37" t="n">
        <f aca="false">AT27*②시니어_가정!$E$172</f>
        <v>0</v>
      </c>
      <c r="AU33" s="37" t="n">
        <f aca="false">AU27*②시니어_가정!$E$172</f>
        <v>0</v>
      </c>
      <c r="AV33" s="37" t="n">
        <f aca="false">AV27*②시니어_가정!$E$172</f>
        <v>0</v>
      </c>
      <c r="AW33" s="37" t="n">
        <f aca="false">AW27*②시니어_가정!$E$172</f>
        <v>0</v>
      </c>
      <c r="AX33" s="37" t="n">
        <f aca="false">AX27*②시니어_가정!$E$172</f>
        <v>0</v>
      </c>
      <c r="AY33" s="37" t="n">
        <f aca="false">AY27*②시니어_가정!$E$172</f>
        <v>0</v>
      </c>
      <c r="AZ33" s="37" t="n">
        <f aca="false">AZ27*②시니어_가정!$E$172</f>
        <v>0</v>
      </c>
      <c r="BA33" s="37" t="n">
        <f aca="false">BA27*②시니어_가정!$E$172</f>
        <v>0</v>
      </c>
      <c r="BB33" s="37" t="n">
        <f aca="false">BB27*②시니어_가정!$E$172</f>
        <v>0</v>
      </c>
      <c r="BC33" s="37" t="n">
        <f aca="false">BC27*②시니어_가정!$E$172</f>
        <v>0</v>
      </c>
      <c r="BD33" s="37" t="n">
        <f aca="false">BD27*②시니어_가정!$E$172</f>
        <v>0</v>
      </c>
      <c r="BE33" s="37" t="n">
        <f aca="false">BE27*②시니어_가정!$E$172</f>
        <v>0</v>
      </c>
      <c r="BF33" s="37" t="n">
        <f aca="false">BF27*②시니어_가정!$E$172</f>
        <v>0</v>
      </c>
      <c r="BG33" s="37" t="n">
        <f aca="false">BG27*②시니어_가정!$E$172</f>
        <v>0</v>
      </c>
      <c r="BH33" s="37" t="n">
        <f aca="false">BH27*②시니어_가정!$E$172</f>
        <v>0</v>
      </c>
      <c r="BI33" s="37" t="n">
        <f aca="false">BI27*②시니어_가정!$E$172</f>
        <v>0</v>
      </c>
      <c r="BJ33" s="37" t="n">
        <f aca="false">BJ27*②시니어_가정!$E$172</f>
        <v>0</v>
      </c>
      <c r="BK33" s="37" t="n">
        <f aca="false">BK27*②시니어_가정!$E$172</f>
        <v>0</v>
      </c>
      <c r="BL33" s="37" t="n">
        <f aca="false">BL27*②시니어_가정!$E$172</f>
        <v>0</v>
      </c>
      <c r="BM33" s="37" t="n">
        <f aca="false">BM27*②시니어_가정!$E$172</f>
        <v>0</v>
      </c>
      <c r="BN33" s="37" t="n">
        <f aca="false">BN27*②시니어_가정!$E$172</f>
        <v>0</v>
      </c>
      <c r="BO33" s="37" t="n">
        <f aca="false">BO27*②시니어_가정!$E$172</f>
        <v>0</v>
      </c>
      <c r="BP33" s="37" t="n">
        <f aca="false">BP27*②시니어_가정!$E$172</f>
        <v>0</v>
      </c>
      <c r="BQ33" s="37" t="n">
        <f aca="false">BQ27*②시니어_가정!$E$172</f>
        <v>0</v>
      </c>
      <c r="BR33" s="37" t="n">
        <f aca="false">BR27*②시니어_가정!$E$172</f>
        <v>0</v>
      </c>
      <c r="BS33" s="37" t="n">
        <f aca="false">BS27*②시니어_가정!$E$172</f>
        <v>0</v>
      </c>
      <c r="BT33" s="37" t="n">
        <f aca="false">BT27*②시니어_가정!$E$172</f>
        <v>0</v>
      </c>
      <c r="BU33" s="37" t="n">
        <f aca="false">BU27*②시니어_가정!$E$172</f>
        <v>0</v>
      </c>
      <c r="BV33" s="37" t="n">
        <f aca="false">BV27*②시니어_가정!$E$172</f>
        <v>0</v>
      </c>
      <c r="BW33" s="37" t="n">
        <f aca="false">BW27*②시니어_가정!$E$172</f>
        <v>0</v>
      </c>
      <c r="BX33" s="37" t="n">
        <f aca="false">BX27*②시니어_가정!$E$172</f>
        <v>0</v>
      </c>
      <c r="BY33" s="37" t="n">
        <f aca="false">BY27*②시니어_가정!$E$172</f>
        <v>0</v>
      </c>
      <c r="BZ33" s="37" t="n">
        <f aca="false">BZ27*②시니어_가정!$E$172</f>
        <v>0</v>
      </c>
      <c r="CA33" s="37" t="n">
        <f aca="false">CA27*②시니어_가정!$E$172</f>
        <v>0</v>
      </c>
      <c r="CB33" s="37" t="n">
        <f aca="false">CB27*②시니어_가정!$E$172</f>
        <v>0</v>
      </c>
      <c r="CC33" s="37" t="n">
        <f aca="false">CC27*②시니어_가정!$E$172</f>
        <v>0</v>
      </c>
      <c r="CD33" s="37" t="n">
        <f aca="false">CD27*②시니어_가정!$E$172</f>
        <v>0</v>
      </c>
      <c r="CE33" s="37" t="n">
        <f aca="false">CE27*②시니어_가정!$E$172</f>
        <v>0</v>
      </c>
      <c r="CF33" s="37" t="n">
        <f aca="false">CF27*②시니어_가정!$E$172</f>
        <v>0</v>
      </c>
      <c r="CG33" s="37" t="n">
        <f aca="false">CG27*②시니어_가정!$E$172</f>
        <v>0</v>
      </c>
      <c r="CH33" s="37" t="n">
        <f aca="false">CH27*②시니어_가정!$E$172</f>
        <v>0</v>
      </c>
      <c r="CI33" s="37" t="n">
        <f aca="false">CI27*②시니어_가정!$E$172</f>
        <v>0</v>
      </c>
      <c r="CJ33" s="37" t="n">
        <f aca="false">CJ27*②시니어_가정!$E$172</f>
        <v>0</v>
      </c>
      <c r="CK33" s="37" t="n">
        <f aca="false">CK27*②시니어_가정!$E$172</f>
        <v>0</v>
      </c>
      <c r="CL33" s="37" t="n">
        <f aca="false">CL27*②시니어_가정!$E$172</f>
        <v>0</v>
      </c>
      <c r="CM33" s="37" t="n">
        <f aca="false">CM27*②시니어_가정!$E$172</f>
        <v>0</v>
      </c>
      <c r="CN33" s="37" t="n">
        <f aca="false">CN27*②시니어_가정!$E$172</f>
        <v>0</v>
      </c>
      <c r="CO33" s="37" t="n">
        <f aca="false">CO27*②시니어_가정!$E$172</f>
        <v>0</v>
      </c>
      <c r="CP33" s="37" t="n">
        <f aca="false">CP27*②시니어_가정!$E$172</f>
        <v>0</v>
      </c>
      <c r="CQ33" s="37" t="n">
        <f aca="false">CQ27*②시니어_가정!$E$172</f>
        <v>0</v>
      </c>
      <c r="CR33" s="37" t="n">
        <f aca="false">CR27*②시니어_가정!$E$172</f>
        <v>0</v>
      </c>
      <c r="CS33" s="37" t="n">
        <f aca="false">CS27*②시니어_가정!$E$172</f>
        <v>0</v>
      </c>
      <c r="CT33" s="37" t="n">
        <f aca="false">CT27*②시니어_가정!$E$172</f>
        <v>0</v>
      </c>
      <c r="CU33" s="37" t="n">
        <f aca="false">CU27*②시니어_가정!$E$172</f>
        <v>0</v>
      </c>
      <c r="CV33" s="37" t="n">
        <f aca="false">CV27*②시니어_가정!$E$172</f>
        <v>0</v>
      </c>
      <c r="CW33" s="37" t="n">
        <f aca="false">CW27*②시니어_가정!$E$172</f>
        <v>0</v>
      </c>
      <c r="CX33" s="37" t="n">
        <f aca="false">CX27*②시니어_가정!$E$172</f>
        <v>0</v>
      </c>
      <c r="CY33" s="37" t="n">
        <f aca="false">CY27*②시니어_가정!$E$172</f>
        <v>0</v>
      </c>
      <c r="CZ33" s="37" t="n">
        <f aca="false">CZ27*②시니어_가정!$E$172</f>
        <v>0</v>
      </c>
      <c r="DA33" s="37" t="n">
        <f aca="false">DA27*②시니어_가정!$E$172</f>
        <v>0</v>
      </c>
      <c r="DB33" s="37" t="n">
        <f aca="false">DB27*②시니어_가정!$E$172</f>
        <v>0</v>
      </c>
      <c r="DC33" s="37" t="n">
        <f aca="false">DC27*②시니어_가정!$E$172</f>
        <v>0</v>
      </c>
      <c r="DD33" s="37" t="n">
        <f aca="false">DD27*②시니어_가정!$E$172</f>
        <v>0</v>
      </c>
      <c r="DE33" s="37" t="n">
        <f aca="false">DE27*②시니어_가정!$E$172</f>
        <v>0</v>
      </c>
      <c r="DF33" s="37" t="n">
        <f aca="false">DF27*②시니어_가정!$E$172</f>
        <v>0</v>
      </c>
      <c r="DG33" s="37" t="n">
        <f aca="false">DG27*②시니어_가정!$E$172</f>
        <v>0</v>
      </c>
      <c r="DH33" s="37" t="n">
        <f aca="false">DH27*②시니어_가정!$E$172</f>
        <v>0</v>
      </c>
      <c r="DI33" s="37" t="n">
        <f aca="false">DI27*②시니어_가정!$E$172</f>
        <v>0</v>
      </c>
      <c r="DJ33" s="37" t="n">
        <f aca="false">DJ27*②시니어_가정!$E$172</f>
        <v>0</v>
      </c>
      <c r="DK33" s="37" t="n">
        <f aca="false">DK27*②시니어_가정!$E$172</f>
        <v>0</v>
      </c>
      <c r="DL33" s="37" t="n">
        <f aca="false">DL27*②시니어_가정!$E$172</f>
        <v>0</v>
      </c>
      <c r="DM33" s="37" t="n">
        <f aca="false">DM27*②시니어_가정!$E$172</f>
        <v>0</v>
      </c>
      <c r="DN33" s="37" t="n">
        <f aca="false">DN27*②시니어_가정!$E$172</f>
        <v>0</v>
      </c>
      <c r="DO33" s="37" t="n">
        <f aca="false">DO27*②시니어_가정!$E$172</f>
        <v>0</v>
      </c>
      <c r="DP33" s="37" t="n">
        <f aca="false">DP27*②시니어_가정!$E$172</f>
        <v>0</v>
      </c>
      <c r="DQ33" s="37" t="n">
        <f aca="false">DQ27*②시니어_가정!$E$172</f>
        <v>0</v>
      </c>
      <c r="DR33" s="37" t="n">
        <f aca="false">DR27*②시니어_가정!$E$172</f>
        <v>0</v>
      </c>
      <c r="DS33" s="37" t="n">
        <f aca="false">DS27*②시니어_가정!$E$172</f>
        <v>0</v>
      </c>
      <c r="DT33" s="37" t="n">
        <f aca="false">DT27*②시니어_가정!$E$172</f>
        <v>0</v>
      </c>
      <c r="DU33" s="37" t="n">
        <f aca="false">DU27*②시니어_가정!$E$172</f>
        <v>0</v>
      </c>
      <c r="DV33" s="37" t="n">
        <f aca="false">DV27*②시니어_가정!$E$172</f>
        <v>0</v>
      </c>
      <c r="DW33" s="37" t="n">
        <f aca="false">DW27*②시니어_가정!$E$172</f>
        <v>0</v>
      </c>
      <c r="DX33" s="37" t="n">
        <f aca="false">DX27*②시니어_가정!$E$172</f>
        <v>0</v>
      </c>
      <c r="DY33" s="37" t="n">
        <f aca="false">DY27*②시니어_가정!$E$172</f>
        <v>0</v>
      </c>
      <c r="DZ33" s="37" t="n">
        <f aca="false">DZ27*②시니어_가정!$E$172</f>
        <v>0</v>
      </c>
      <c r="EA33" s="37" t="n">
        <f aca="false">EA27*②시니어_가정!$E$172</f>
        <v>0</v>
      </c>
      <c r="EB33" s="37" t="n">
        <f aca="false">EB27*②시니어_가정!$E$172</f>
        <v>0</v>
      </c>
      <c r="EC33" s="37" t="n">
        <f aca="false">EC27*②시니어_가정!$E$172</f>
        <v>0</v>
      </c>
      <c r="ED33" s="37" t="n">
        <f aca="false">ED27*②시니어_가정!$E$172</f>
        <v>0</v>
      </c>
      <c r="EE33" s="37" t="n">
        <f aca="false">EE27*②시니어_가정!$E$172</f>
        <v>0</v>
      </c>
      <c r="EF33" s="37" t="n">
        <f aca="false">EF27*②시니어_가정!$E$172</f>
        <v>0</v>
      </c>
    </row>
    <row r="34" customFormat="false" ht="15" hidden="false" customHeight="false" outlineLevel="0" collapsed="false">
      <c r="A34" s="153" t="s">
        <v>267</v>
      </c>
      <c r="B34" s="278" t="s">
        <v>21</v>
      </c>
      <c r="C34" s="279" t="n">
        <f aca="false">SUM(E34:EF34)</f>
        <v>0</v>
      </c>
      <c r="E34" s="37" t="n">
        <f aca="false">E33*②시니어_가정!$E$173</f>
        <v>0</v>
      </c>
      <c r="F34" s="37" t="n">
        <f aca="false">F33*②시니어_가정!$E$173</f>
        <v>0</v>
      </c>
      <c r="G34" s="37" t="n">
        <f aca="false">G33*②시니어_가정!$E$173</f>
        <v>0</v>
      </c>
      <c r="H34" s="37" t="n">
        <f aca="false">H33*②시니어_가정!$E$173</f>
        <v>0</v>
      </c>
      <c r="I34" s="37" t="n">
        <f aca="false">I33*②시니어_가정!$E$173</f>
        <v>0</v>
      </c>
      <c r="J34" s="37" t="n">
        <f aca="false">J33*②시니어_가정!$E$173</f>
        <v>0</v>
      </c>
      <c r="K34" s="37" t="n">
        <f aca="false">K33*②시니어_가정!$E$173</f>
        <v>0</v>
      </c>
      <c r="L34" s="37" t="n">
        <f aca="false">L33*②시니어_가정!$E$173</f>
        <v>0</v>
      </c>
      <c r="M34" s="37" t="n">
        <f aca="false">M33*②시니어_가정!$E$173</f>
        <v>0</v>
      </c>
      <c r="N34" s="37" t="n">
        <f aca="false">N33*②시니어_가정!$E$173</f>
        <v>0</v>
      </c>
      <c r="O34" s="37" t="n">
        <f aca="false">O33*②시니어_가정!$E$173</f>
        <v>0</v>
      </c>
      <c r="P34" s="37" t="n">
        <f aca="false">P33*②시니어_가정!$E$173</f>
        <v>0</v>
      </c>
      <c r="Q34" s="37" t="n">
        <f aca="false">Q33*②시니어_가정!$E$173</f>
        <v>0</v>
      </c>
      <c r="R34" s="37" t="n">
        <f aca="false">R33*②시니어_가정!$E$173</f>
        <v>0</v>
      </c>
      <c r="S34" s="37" t="n">
        <f aca="false">S33*②시니어_가정!$E$173</f>
        <v>0</v>
      </c>
      <c r="T34" s="37" t="n">
        <f aca="false">T33*②시니어_가정!$E$173</f>
        <v>0</v>
      </c>
      <c r="U34" s="37" t="n">
        <f aca="false">U33*②시니어_가정!$E$173</f>
        <v>0</v>
      </c>
      <c r="V34" s="37" t="n">
        <f aca="false">V33*②시니어_가정!$E$173</f>
        <v>0</v>
      </c>
      <c r="W34" s="37" t="n">
        <f aca="false">W33*②시니어_가정!$E$173</f>
        <v>0</v>
      </c>
      <c r="X34" s="37" t="n">
        <f aca="false">X33*②시니어_가정!$E$173</f>
        <v>0</v>
      </c>
      <c r="Y34" s="37" t="n">
        <f aca="false">Y33*②시니어_가정!$E$173</f>
        <v>0</v>
      </c>
      <c r="Z34" s="37" t="n">
        <f aca="false">Z33*②시니어_가정!$E$173</f>
        <v>0</v>
      </c>
      <c r="AA34" s="37" t="n">
        <f aca="false">AA33*②시니어_가정!$E$173</f>
        <v>0</v>
      </c>
      <c r="AB34" s="37" t="n">
        <f aca="false">AB33*②시니어_가정!$E$173</f>
        <v>0</v>
      </c>
      <c r="AC34" s="37" t="n">
        <f aca="false">AC33*②시니어_가정!$E$173</f>
        <v>0</v>
      </c>
      <c r="AD34" s="37" t="n">
        <f aca="false">AD33*②시니어_가정!$E$173</f>
        <v>0</v>
      </c>
      <c r="AE34" s="37" t="n">
        <f aca="false">AE33*②시니어_가정!$E$173</f>
        <v>0</v>
      </c>
      <c r="AF34" s="37" t="n">
        <f aca="false">AF33*②시니어_가정!$E$173</f>
        <v>0</v>
      </c>
      <c r="AG34" s="37" t="n">
        <f aca="false">AG33*②시니어_가정!$E$173</f>
        <v>0</v>
      </c>
      <c r="AH34" s="37" t="n">
        <f aca="false">AH33*②시니어_가정!$E$173</f>
        <v>0</v>
      </c>
      <c r="AI34" s="37" t="n">
        <f aca="false">AI33*②시니어_가정!$E$173</f>
        <v>0</v>
      </c>
      <c r="AJ34" s="37" t="n">
        <f aca="false">AJ33*②시니어_가정!$E$173</f>
        <v>0</v>
      </c>
      <c r="AK34" s="37" t="n">
        <f aca="false">AK33*②시니어_가정!$E$173</f>
        <v>0</v>
      </c>
      <c r="AL34" s="37" t="n">
        <f aca="false">AL33*②시니어_가정!$E$173</f>
        <v>0</v>
      </c>
      <c r="AM34" s="37" t="n">
        <f aca="false">AM33*②시니어_가정!$E$173</f>
        <v>0</v>
      </c>
      <c r="AN34" s="37" t="n">
        <f aca="false">AN33*②시니어_가정!$E$173</f>
        <v>0</v>
      </c>
      <c r="AO34" s="37" t="n">
        <f aca="false">AO33*②시니어_가정!$E$173</f>
        <v>0</v>
      </c>
      <c r="AP34" s="37" t="n">
        <f aca="false">AP33*②시니어_가정!$E$173</f>
        <v>0</v>
      </c>
      <c r="AQ34" s="37" t="n">
        <f aca="false">AQ33*②시니어_가정!$E$173</f>
        <v>0</v>
      </c>
      <c r="AR34" s="37" t="n">
        <f aca="false">AR33*②시니어_가정!$E$173</f>
        <v>0</v>
      </c>
      <c r="AS34" s="37" t="n">
        <f aca="false">AS33*②시니어_가정!$E$173</f>
        <v>0</v>
      </c>
      <c r="AT34" s="37" t="n">
        <f aca="false">AT33*②시니어_가정!$E$173</f>
        <v>0</v>
      </c>
      <c r="AU34" s="37" t="n">
        <f aca="false">AU33*②시니어_가정!$E$173</f>
        <v>0</v>
      </c>
      <c r="AV34" s="37" t="n">
        <f aca="false">AV33*②시니어_가정!$E$173</f>
        <v>0</v>
      </c>
      <c r="AW34" s="37" t="n">
        <f aca="false">AW33*②시니어_가정!$E$173</f>
        <v>0</v>
      </c>
      <c r="AX34" s="37" t="n">
        <f aca="false">AX33*②시니어_가정!$E$173</f>
        <v>0</v>
      </c>
      <c r="AY34" s="37" t="n">
        <f aca="false">AY33*②시니어_가정!$E$173</f>
        <v>0</v>
      </c>
      <c r="AZ34" s="37" t="n">
        <f aca="false">AZ33*②시니어_가정!$E$173</f>
        <v>0</v>
      </c>
      <c r="BA34" s="37" t="n">
        <f aca="false">BA33*②시니어_가정!$E$173</f>
        <v>0</v>
      </c>
      <c r="BB34" s="37" t="n">
        <f aca="false">BB33*②시니어_가정!$E$173</f>
        <v>0</v>
      </c>
      <c r="BC34" s="37" t="n">
        <f aca="false">BC33*②시니어_가정!$E$173</f>
        <v>0</v>
      </c>
      <c r="BD34" s="37" t="n">
        <f aca="false">BD33*②시니어_가정!$E$173</f>
        <v>0</v>
      </c>
      <c r="BE34" s="37" t="n">
        <f aca="false">BE33*②시니어_가정!$E$173</f>
        <v>0</v>
      </c>
      <c r="BF34" s="37" t="n">
        <f aca="false">BF33*②시니어_가정!$E$173</f>
        <v>0</v>
      </c>
      <c r="BG34" s="37" t="n">
        <f aca="false">BG33*②시니어_가정!$E$173</f>
        <v>0</v>
      </c>
      <c r="BH34" s="37" t="n">
        <f aca="false">BH33*②시니어_가정!$E$173</f>
        <v>0</v>
      </c>
      <c r="BI34" s="37" t="n">
        <f aca="false">BI33*②시니어_가정!$E$173</f>
        <v>0</v>
      </c>
      <c r="BJ34" s="37" t="n">
        <f aca="false">BJ33*②시니어_가정!$E$173</f>
        <v>0</v>
      </c>
      <c r="BK34" s="37" t="n">
        <f aca="false">BK33*②시니어_가정!$E$173</f>
        <v>0</v>
      </c>
      <c r="BL34" s="37" t="n">
        <f aca="false">BL33*②시니어_가정!$E$173</f>
        <v>0</v>
      </c>
      <c r="BM34" s="37" t="n">
        <f aca="false">BM33*②시니어_가정!$E$173</f>
        <v>0</v>
      </c>
      <c r="BN34" s="37" t="n">
        <f aca="false">BN33*②시니어_가정!$E$173</f>
        <v>0</v>
      </c>
      <c r="BO34" s="37" t="n">
        <f aca="false">BO33*②시니어_가정!$E$173</f>
        <v>0</v>
      </c>
      <c r="BP34" s="37" t="n">
        <f aca="false">BP33*②시니어_가정!$E$173</f>
        <v>0</v>
      </c>
      <c r="BQ34" s="37" t="n">
        <f aca="false">BQ33*②시니어_가정!$E$173</f>
        <v>0</v>
      </c>
      <c r="BR34" s="37" t="n">
        <f aca="false">BR33*②시니어_가정!$E$173</f>
        <v>0</v>
      </c>
      <c r="BS34" s="37" t="n">
        <f aca="false">BS33*②시니어_가정!$E$173</f>
        <v>0</v>
      </c>
      <c r="BT34" s="37" t="n">
        <f aca="false">BT33*②시니어_가정!$E$173</f>
        <v>0</v>
      </c>
      <c r="BU34" s="37" t="n">
        <f aca="false">BU33*②시니어_가정!$E$173</f>
        <v>0</v>
      </c>
      <c r="BV34" s="37" t="n">
        <f aca="false">BV33*②시니어_가정!$E$173</f>
        <v>0</v>
      </c>
      <c r="BW34" s="37" t="n">
        <f aca="false">BW33*②시니어_가정!$E$173</f>
        <v>0</v>
      </c>
      <c r="BX34" s="37" t="n">
        <f aca="false">BX33*②시니어_가정!$E$173</f>
        <v>0</v>
      </c>
      <c r="BY34" s="37" t="n">
        <f aca="false">BY33*②시니어_가정!$E$173</f>
        <v>0</v>
      </c>
      <c r="BZ34" s="37" t="n">
        <f aca="false">BZ33*②시니어_가정!$E$173</f>
        <v>0</v>
      </c>
      <c r="CA34" s="37" t="n">
        <f aca="false">CA33*②시니어_가정!$E$173</f>
        <v>0</v>
      </c>
      <c r="CB34" s="37" t="n">
        <f aca="false">CB33*②시니어_가정!$E$173</f>
        <v>0</v>
      </c>
      <c r="CC34" s="37" t="n">
        <f aca="false">CC33*②시니어_가정!$E$173</f>
        <v>0</v>
      </c>
      <c r="CD34" s="37" t="n">
        <f aca="false">CD33*②시니어_가정!$E$173</f>
        <v>0</v>
      </c>
      <c r="CE34" s="37" t="n">
        <f aca="false">CE33*②시니어_가정!$E$173</f>
        <v>0</v>
      </c>
      <c r="CF34" s="37" t="n">
        <f aca="false">CF33*②시니어_가정!$E$173</f>
        <v>0</v>
      </c>
      <c r="CG34" s="37" t="n">
        <f aca="false">CG33*②시니어_가정!$E$173</f>
        <v>0</v>
      </c>
      <c r="CH34" s="37" t="n">
        <f aca="false">CH33*②시니어_가정!$E$173</f>
        <v>0</v>
      </c>
      <c r="CI34" s="37" t="n">
        <f aca="false">CI33*②시니어_가정!$E$173</f>
        <v>0</v>
      </c>
      <c r="CJ34" s="37" t="n">
        <f aca="false">CJ33*②시니어_가정!$E$173</f>
        <v>0</v>
      </c>
      <c r="CK34" s="37" t="n">
        <f aca="false">CK33*②시니어_가정!$E$173</f>
        <v>0</v>
      </c>
      <c r="CL34" s="37" t="n">
        <f aca="false">CL33*②시니어_가정!$E$173</f>
        <v>0</v>
      </c>
      <c r="CM34" s="37" t="n">
        <f aca="false">CM33*②시니어_가정!$E$173</f>
        <v>0</v>
      </c>
      <c r="CN34" s="37" t="n">
        <f aca="false">CN33*②시니어_가정!$E$173</f>
        <v>0</v>
      </c>
      <c r="CO34" s="37" t="n">
        <f aca="false">CO33*②시니어_가정!$E$173</f>
        <v>0</v>
      </c>
      <c r="CP34" s="37" t="n">
        <f aca="false">CP33*②시니어_가정!$E$173</f>
        <v>0</v>
      </c>
      <c r="CQ34" s="37" t="n">
        <f aca="false">CQ33*②시니어_가정!$E$173</f>
        <v>0</v>
      </c>
      <c r="CR34" s="37" t="n">
        <f aca="false">CR33*②시니어_가정!$E$173</f>
        <v>0</v>
      </c>
      <c r="CS34" s="37" t="n">
        <f aca="false">CS33*②시니어_가정!$E$173</f>
        <v>0</v>
      </c>
      <c r="CT34" s="37" t="n">
        <f aca="false">CT33*②시니어_가정!$E$173</f>
        <v>0</v>
      </c>
      <c r="CU34" s="37" t="n">
        <f aca="false">CU33*②시니어_가정!$E$173</f>
        <v>0</v>
      </c>
      <c r="CV34" s="37" t="n">
        <f aca="false">CV33*②시니어_가정!$E$173</f>
        <v>0</v>
      </c>
      <c r="CW34" s="37" t="n">
        <f aca="false">CW33*②시니어_가정!$E$173</f>
        <v>0</v>
      </c>
      <c r="CX34" s="37" t="n">
        <f aca="false">CX33*②시니어_가정!$E$173</f>
        <v>0</v>
      </c>
      <c r="CY34" s="37" t="n">
        <f aca="false">CY33*②시니어_가정!$E$173</f>
        <v>0</v>
      </c>
      <c r="CZ34" s="37" t="n">
        <f aca="false">CZ33*②시니어_가정!$E$173</f>
        <v>0</v>
      </c>
      <c r="DA34" s="37" t="n">
        <f aca="false">DA33*②시니어_가정!$E$173</f>
        <v>0</v>
      </c>
      <c r="DB34" s="37" t="n">
        <f aca="false">DB33*②시니어_가정!$E$173</f>
        <v>0</v>
      </c>
      <c r="DC34" s="37" t="n">
        <f aca="false">DC33*②시니어_가정!$E$173</f>
        <v>0</v>
      </c>
      <c r="DD34" s="37" t="n">
        <f aca="false">DD33*②시니어_가정!$E$173</f>
        <v>0</v>
      </c>
      <c r="DE34" s="37" t="n">
        <f aca="false">DE33*②시니어_가정!$E$173</f>
        <v>0</v>
      </c>
      <c r="DF34" s="37" t="n">
        <f aca="false">DF33*②시니어_가정!$E$173</f>
        <v>0</v>
      </c>
      <c r="DG34" s="37" t="n">
        <f aca="false">DG33*②시니어_가정!$E$173</f>
        <v>0</v>
      </c>
      <c r="DH34" s="37" t="n">
        <f aca="false">DH33*②시니어_가정!$E$173</f>
        <v>0</v>
      </c>
      <c r="DI34" s="37" t="n">
        <f aca="false">DI33*②시니어_가정!$E$173</f>
        <v>0</v>
      </c>
      <c r="DJ34" s="37" t="n">
        <f aca="false">DJ33*②시니어_가정!$E$173</f>
        <v>0</v>
      </c>
      <c r="DK34" s="37" t="n">
        <f aca="false">DK33*②시니어_가정!$E$173</f>
        <v>0</v>
      </c>
      <c r="DL34" s="37" t="n">
        <f aca="false">DL33*②시니어_가정!$E$173</f>
        <v>0</v>
      </c>
      <c r="DM34" s="37" t="n">
        <f aca="false">DM33*②시니어_가정!$E$173</f>
        <v>0</v>
      </c>
      <c r="DN34" s="37" t="n">
        <f aca="false">DN33*②시니어_가정!$E$173</f>
        <v>0</v>
      </c>
      <c r="DO34" s="37" t="n">
        <f aca="false">DO33*②시니어_가정!$E$173</f>
        <v>0</v>
      </c>
      <c r="DP34" s="37" t="n">
        <f aca="false">DP33*②시니어_가정!$E$173</f>
        <v>0</v>
      </c>
      <c r="DQ34" s="37" t="n">
        <f aca="false">DQ33*②시니어_가정!$E$173</f>
        <v>0</v>
      </c>
      <c r="DR34" s="37" t="n">
        <f aca="false">DR33*②시니어_가정!$E$173</f>
        <v>0</v>
      </c>
      <c r="DS34" s="37" t="n">
        <f aca="false">DS33*②시니어_가정!$E$173</f>
        <v>0</v>
      </c>
      <c r="DT34" s="37" t="n">
        <f aca="false">DT33*②시니어_가정!$E$173</f>
        <v>0</v>
      </c>
      <c r="DU34" s="37" t="n">
        <f aca="false">DU33*②시니어_가정!$E$173</f>
        <v>0</v>
      </c>
      <c r="DV34" s="37" t="n">
        <f aca="false">DV33*②시니어_가정!$E$173</f>
        <v>0</v>
      </c>
      <c r="DW34" s="37" t="n">
        <f aca="false">DW33*②시니어_가정!$E$173</f>
        <v>0</v>
      </c>
      <c r="DX34" s="37" t="n">
        <f aca="false">DX33*②시니어_가정!$E$173</f>
        <v>0</v>
      </c>
      <c r="DY34" s="37" t="n">
        <f aca="false">DY33*②시니어_가정!$E$173</f>
        <v>0</v>
      </c>
      <c r="DZ34" s="37" t="n">
        <f aca="false">DZ33*②시니어_가정!$E$173</f>
        <v>0</v>
      </c>
      <c r="EA34" s="37" t="n">
        <f aca="false">EA33*②시니어_가정!$E$173</f>
        <v>0</v>
      </c>
      <c r="EB34" s="37" t="n">
        <f aca="false">EB33*②시니어_가정!$E$173</f>
        <v>0</v>
      </c>
      <c r="EC34" s="37" t="n">
        <f aca="false">EC33*②시니어_가정!$E$173</f>
        <v>0</v>
      </c>
      <c r="ED34" s="37" t="n">
        <f aca="false">ED33*②시니어_가정!$E$173</f>
        <v>0</v>
      </c>
      <c r="EE34" s="37" t="n">
        <f aca="false">EE33*②시니어_가정!$E$173</f>
        <v>0</v>
      </c>
      <c r="EF34" s="37" t="n">
        <f aca="false">EF33*②시니어_가정!$E$173</f>
        <v>0</v>
      </c>
    </row>
    <row r="35" customFormat="false" ht="15" hidden="false" customHeight="false" outlineLevel="0" collapsed="false">
      <c r="A35" s="36" t="s">
        <v>585</v>
      </c>
      <c r="B35" s="278" t="s">
        <v>21</v>
      </c>
      <c r="C35" s="279" t="n">
        <f aca="false">SUM(E35:EF35)</f>
        <v>0</v>
      </c>
      <c r="E35" s="37" t="n">
        <f aca="false">(E14=1)*②시니어_가정!$G$38*②시니어_가정!$E$183*②시니어_가정!$E$184/1000*(1+②시니어_가정!$E$186)^INT((E15-1)/②시니어_가정!$E$187)*(1-CHOOSE(MIN(MAX(E16,1),3),②시니어_가정!$E$189,②시니어_가정!$E$190,②시니어_가정!$E$191))</f>
        <v>0</v>
      </c>
      <c r="F35" s="37" t="n">
        <f aca="false">(F14=1)*②시니어_가정!$G$38*②시니어_가정!$E$183*②시니어_가정!$E$184/1000*(1+②시니어_가정!$E$186)^INT((F15-1)/②시니어_가정!$E$187)*(1-CHOOSE(MIN(MAX(F16,1),3),②시니어_가정!$E$189,②시니어_가정!$E$190,②시니어_가정!$E$191))</f>
        <v>0</v>
      </c>
      <c r="G35" s="37" t="n">
        <f aca="false">(G14=1)*②시니어_가정!$G$38*②시니어_가정!$E$183*②시니어_가정!$E$184/1000*(1+②시니어_가정!$E$186)^INT((G15-1)/②시니어_가정!$E$187)*(1-CHOOSE(MIN(MAX(G16,1),3),②시니어_가정!$E$189,②시니어_가정!$E$190,②시니어_가정!$E$191))</f>
        <v>0</v>
      </c>
      <c r="H35" s="37" t="n">
        <f aca="false">(H14=1)*②시니어_가정!$G$38*②시니어_가정!$E$183*②시니어_가정!$E$184/1000*(1+②시니어_가정!$E$186)^INT((H15-1)/②시니어_가정!$E$187)*(1-CHOOSE(MIN(MAX(H16,1),3),②시니어_가정!$E$189,②시니어_가정!$E$190,②시니어_가정!$E$191))</f>
        <v>0</v>
      </c>
      <c r="I35" s="37" t="n">
        <f aca="false">(I14=1)*②시니어_가정!$G$38*②시니어_가정!$E$183*②시니어_가정!$E$184/1000*(1+②시니어_가정!$E$186)^INT((I15-1)/②시니어_가정!$E$187)*(1-CHOOSE(MIN(MAX(I16,1),3),②시니어_가정!$E$189,②시니어_가정!$E$190,②시니어_가정!$E$191))</f>
        <v>0</v>
      </c>
      <c r="J35" s="37" t="n">
        <f aca="false">(J14=1)*②시니어_가정!$G$38*②시니어_가정!$E$183*②시니어_가정!$E$184/1000*(1+②시니어_가정!$E$186)^INT((J15-1)/②시니어_가정!$E$187)*(1-CHOOSE(MIN(MAX(J16,1),3),②시니어_가정!$E$189,②시니어_가정!$E$190,②시니어_가정!$E$191))</f>
        <v>0</v>
      </c>
      <c r="K35" s="37" t="n">
        <f aca="false">(K14=1)*②시니어_가정!$G$38*②시니어_가정!$E$183*②시니어_가정!$E$184/1000*(1+②시니어_가정!$E$186)^INT((K15-1)/②시니어_가정!$E$187)*(1-CHOOSE(MIN(MAX(K16,1),3),②시니어_가정!$E$189,②시니어_가정!$E$190,②시니어_가정!$E$191))</f>
        <v>0</v>
      </c>
      <c r="L35" s="37" t="n">
        <f aca="false">(L14=1)*②시니어_가정!$G$38*②시니어_가정!$E$183*②시니어_가정!$E$184/1000*(1+②시니어_가정!$E$186)^INT((L15-1)/②시니어_가정!$E$187)*(1-CHOOSE(MIN(MAX(L16,1),3),②시니어_가정!$E$189,②시니어_가정!$E$190,②시니어_가정!$E$191))</f>
        <v>0</v>
      </c>
      <c r="M35" s="37" t="n">
        <f aca="false">(M14=1)*②시니어_가정!$G$38*②시니어_가정!$E$183*②시니어_가정!$E$184/1000*(1+②시니어_가정!$E$186)^INT((M15-1)/②시니어_가정!$E$187)*(1-CHOOSE(MIN(MAX(M16,1),3),②시니어_가정!$E$189,②시니어_가정!$E$190,②시니어_가정!$E$191))</f>
        <v>0</v>
      </c>
      <c r="N35" s="37" t="n">
        <f aca="false">(N14=1)*②시니어_가정!$G$38*②시니어_가정!$E$183*②시니어_가정!$E$184/1000*(1+②시니어_가정!$E$186)^INT((N15-1)/②시니어_가정!$E$187)*(1-CHOOSE(MIN(MAX(N16,1),3),②시니어_가정!$E$189,②시니어_가정!$E$190,②시니어_가정!$E$191))</f>
        <v>0</v>
      </c>
      <c r="O35" s="37" t="n">
        <f aca="false">(O14=1)*②시니어_가정!$G$38*②시니어_가정!$E$183*②시니어_가정!$E$184/1000*(1+②시니어_가정!$E$186)^INT((O15-1)/②시니어_가정!$E$187)*(1-CHOOSE(MIN(MAX(O16,1),3),②시니어_가정!$E$189,②시니어_가정!$E$190,②시니어_가정!$E$191))</f>
        <v>0</v>
      </c>
      <c r="P35" s="37" t="n">
        <f aca="false">(P14=1)*②시니어_가정!$G$38*②시니어_가정!$E$183*②시니어_가정!$E$184/1000*(1+②시니어_가정!$E$186)^INT((P15-1)/②시니어_가정!$E$187)*(1-CHOOSE(MIN(MAX(P16,1),3),②시니어_가정!$E$189,②시니어_가정!$E$190,②시니어_가정!$E$191))</f>
        <v>0</v>
      </c>
      <c r="Q35" s="37" t="n">
        <f aca="false">(Q14=1)*②시니어_가정!$G$38*②시니어_가정!$E$183*②시니어_가정!$E$184/1000*(1+②시니어_가정!$E$186)^INT((Q15-1)/②시니어_가정!$E$187)*(1-CHOOSE(MIN(MAX(Q16,1),3),②시니어_가정!$E$189,②시니어_가정!$E$190,②시니어_가정!$E$191))</f>
        <v>0</v>
      </c>
      <c r="R35" s="37" t="n">
        <f aca="false">(R14=1)*②시니어_가정!$G$38*②시니어_가정!$E$183*②시니어_가정!$E$184/1000*(1+②시니어_가정!$E$186)^INT((R15-1)/②시니어_가정!$E$187)*(1-CHOOSE(MIN(MAX(R16,1),3),②시니어_가정!$E$189,②시니어_가정!$E$190,②시니어_가정!$E$191))</f>
        <v>0</v>
      </c>
      <c r="S35" s="37" t="n">
        <f aca="false">(S14=1)*②시니어_가정!$G$38*②시니어_가정!$E$183*②시니어_가정!$E$184/1000*(1+②시니어_가정!$E$186)^INT((S15-1)/②시니어_가정!$E$187)*(1-CHOOSE(MIN(MAX(S16,1),3),②시니어_가정!$E$189,②시니어_가정!$E$190,②시니어_가정!$E$191))</f>
        <v>0</v>
      </c>
      <c r="T35" s="37" t="n">
        <f aca="false">(T14=1)*②시니어_가정!$G$38*②시니어_가정!$E$183*②시니어_가정!$E$184/1000*(1+②시니어_가정!$E$186)^INT((T15-1)/②시니어_가정!$E$187)*(1-CHOOSE(MIN(MAX(T16,1),3),②시니어_가정!$E$189,②시니어_가정!$E$190,②시니어_가정!$E$191))</f>
        <v>0</v>
      </c>
      <c r="U35" s="37" t="n">
        <f aca="false">(U14=1)*②시니어_가정!$G$38*②시니어_가정!$E$183*②시니어_가정!$E$184/1000*(1+②시니어_가정!$E$186)^INT((U15-1)/②시니어_가정!$E$187)*(1-CHOOSE(MIN(MAX(U16,1),3),②시니어_가정!$E$189,②시니어_가정!$E$190,②시니어_가정!$E$191))</f>
        <v>0</v>
      </c>
      <c r="V35" s="37" t="n">
        <f aca="false">(V14=1)*②시니어_가정!$G$38*②시니어_가정!$E$183*②시니어_가정!$E$184/1000*(1+②시니어_가정!$E$186)^INT((V15-1)/②시니어_가정!$E$187)*(1-CHOOSE(MIN(MAX(V16,1),3),②시니어_가정!$E$189,②시니어_가정!$E$190,②시니어_가정!$E$191))</f>
        <v>0</v>
      </c>
      <c r="W35" s="37" t="n">
        <f aca="false">(W14=1)*②시니어_가정!$G$38*②시니어_가정!$E$183*②시니어_가정!$E$184/1000*(1+②시니어_가정!$E$186)^INT((W15-1)/②시니어_가정!$E$187)*(1-CHOOSE(MIN(MAX(W16,1),3),②시니어_가정!$E$189,②시니어_가정!$E$190,②시니어_가정!$E$191))</f>
        <v>0</v>
      </c>
      <c r="X35" s="37" t="n">
        <f aca="false">(X14=1)*②시니어_가정!$G$38*②시니어_가정!$E$183*②시니어_가정!$E$184/1000*(1+②시니어_가정!$E$186)^INT((X15-1)/②시니어_가정!$E$187)*(1-CHOOSE(MIN(MAX(X16,1),3),②시니어_가정!$E$189,②시니어_가정!$E$190,②시니어_가정!$E$191))</f>
        <v>0</v>
      </c>
      <c r="Y35" s="37" t="n">
        <f aca="false">(Y14=1)*②시니어_가정!$G$38*②시니어_가정!$E$183*②시니어_가정!$E$184/1000*(1+②시니어_가정!$E$186)^INT((Y15-1)/②시니어_가정!$E$187)*(1-CHOOSE(MIN(MAX(Y16,1),3),②시니어_가정!$E$189,②시니어_가정!$E$190,②시니어_가정!$E$191))</f>
        <v>0</v>
      </c>
      <c r="Z35" s="37" t="n">
        <f aca="false">(Z14=1)*②시니어_가정!$G$38*②시니어_가정!$E$183*②시니어_가정!$E$184/1000*(1+②시니어_가정!$E$186)^INT((Z15-1)/②시니어_가정!$E$187)*(1-CHOOSE(MIN(MAX(Z16,1),3),②시니어_가정!$E$189,②시니어_가정!$E$190,②시니어_가정!$E$191))</f>
        <v>0</v>
      </c>
      <c r="AA35" s="37" t="n">
        <f aca="false">(AA14=1)*②시니어_가정!$G$38*②시니어_가정!$E$183*②시니어_가정!$E$184/1000*(1+②시니어_가정!$E$186)^INT((AA15-1)/②시니어_가정!$E$187)*(1-CHOOSE(MIN(MAX(AA16,1),3),②시니어_가정!$E$189,②시니어_가정!$E$190,②시니어_가정!$E$191))</f>
        <v>0</v>
      </c>
      <c r="AB35" s="37" t="n">
        <f aca="false">(AB14=1)*②시니어_가정!$G$38*②시니어_가정!$E$183*②시니어_가정!$E$184/1000*(1+②시니어_가정!$E$186)^INT((AB15-1)/②시니어_가정!$E$187)*(1-CHOOSE(MIN(MAX(AB16,1),3),②시니어_가정!$E$189,②시니어_가정!$E$190,②시니어_가정!$E$191))</f>
        <v>0</v>
      </c>
      <c r="AC35" s="37" t="n">
        <f aca="false">(AC14=1)*②시니어_가정!$G$38*②시니어_가정!$E$183*②시니어_가정!$E$184/1000*(1+②시니어_가정!$E$186)^INT((AC15-1)/②시니어_가정!$E$187)*(1-CHOOSE(MIN(MAX(AC16,1),3),②시니어_가정!$E$189,②시니어_가정!$E$190,②시니어_가정!$E$191))</f>
        <v>0</v>
      </c>
      <c r="AD35" s="37" t="n">
        <f aca="false">(AD14=1)*②시니어_가정!$G$38*②시니어_가정!$E$183*②시니어_가정!$E$184/1000*(1+②시니어_가정!$E$186)^INT((AD15-1)/②시니어_가정!$E$187)*(1-CHOOSE(MIN(MAX(AD16,1),3),②시니어_가정!$E$189,②시니어_가정!$E$190,②시니어_가정!$E$191))</f>
        <v>0</v>
      </c>
      <c r="AE35" s="37" t="n">
        <f aca="false">(AE14=1)*②시니어_가정!$G$38*②시니어_가정!$E$183*②시니어_가정!$E$184/1000*(1+②시니어_가정!$E$186)^INT((AE15-1)/②시니어_가정!$E$187)*(1-CHOOSE(MIN(MAX(AE16,1),3),②시니어_가정!$E$189,②시니어_가정!$E$190,②시니어_가정!$E$191))</f>
        <v>0</v>
      </c>
      <c r="AF35" s="37" t="n">
        <f aca="false">(AF14=1)*②시니어_가정!$G$38*②시니어_가정!$E$183*②시니어_가정!$E$184/1000*(1+②시니어_가정!$E$186)^INT((AF15-1)/②시니어_가정!$E$187)*(1-CHOOSE(MIN(MAX(AF16,1),3),②시니어_가정!$E$189,②시니어_가정!$E$190,②시니어_가정!$E$191))</f>
        <v>0</v>
      </c>
      <c r="AG35" s="37" t="n">
        <f aca="false">(AG14=1)*②시니어_가정!$G$38*②시니어_가정!$E$183*②시니어_가정!$E$184/1000*(1+②시니어_가정!$E$186)^INT((AG15-1)/②시니어_가정!$E$187)*(1-CHOOSE(MIN(MAX(AG16,1),3),②시니어_가정!$E$189,②시니어_가정!$E$190,②시니어_가정!$E$191))</f>
        <v>0</v>
      </c>
      <c r="AH35" s="37" t="n">
        <f aca="false">(AH14=1)*②시니어_가정!$G$38*②시니어_가정!$E$183*②시니어_가정!$E$184/1000*(1+②시니어_가정!$E$186)^INT((AH15-1)/②시니어_가정!$E$187)*(1-CHOOSE(MIN(MAX(AH16,1),3),②시니어_가정!$E$189,②시니어_가정!$E$190,②시니어_가정!$E$191))</f>
        <v>0</v>
      </c>
      <c r="AI35" s="37" t="n">
        <f aca="false">(AI14=1)*②시니어_가정!$G$38*②시니어_가정!$E$183*②시니어_가정!$E$184/1000*(1+②시니어_가정!$E$186)^INT((AI15-1)/②시니어_가정!$E$187)*(1-CHOOSE(MIN(MAX(AI16,1),3),②시니어_가정!$E$189,②시니어_가정!$E$190,②시니어_가정!$E$191))</f>
        <v>0</v>
      </c>
      <c r="AJ35" s="37" t="n">
        <f aca="false">(AJ14=1)*②시니어_가정!$G$38*②시니어_가정!$E$183*②시니어_가정!$E$184/1000*(1+②시니어_가정!$E$186)^INT((AJ15-1)/②시니어_가정!$E$187)*(1-CHOOSE(MIN(MAX(AJ16,1),3),②시니어_가정!$E$189,②시니어_가정!$E$190,②시니어_가정!$E$191))</f>
        <v>0</v>
      </c>
      <c r="AK35" s="37" t="n">
        <f aca="false">(AK14=1)*②시니어_가정!$G$38*②시니어_가정!$E$183*②시니어_가정!$E$184/1000*(1+②시니어_가정!$E$186)^INT((AK15-1)/②시니어_가정!$E$187)*(1-CHOOSE(MIN(MAX(AK16,1),3),②시니어_가정!$E$189,②시니어_가정!$E$190,②시니어_가정!$E$191))</f>
        <v>0</v>
      </c>
      <c r="AL35" s="37" t="n">
        <f aca="false">(AL14=1)*②시니어_가정!$G$38*②시니어_가정!$E$183*②시니어_가정!$E$184/1000*(1+②시니어_가정!$E$186)^INT((AL15-1)/②시니어_가정!$E$187)*(1-CHOOSE(MIN(MAX(AL16,1),3),②시니어_가정!$E$189,②시니어_가정!$E$190,②시니어_가정!$E$191))</f>
        <v>0</v>
      </c>
      <c r="AM35" s="37" t="n">
        <f aca="false">(AM14=1)*②시니어_가정!$G$38*②시니어_가정!$E$183*②시니어_가정!$E$184/1000*(1+②시니어_가정!$E$186)^INT((AM15-1)/②시니어_가정!$E$187)*(1-CHOOSE(MIN(MAX(AM16,1),3),②시니어_가정!$E$189,②시니어_가정!$E$190,②시니어_가정!$E$191))</f>
        <v>0</v>
      </c>
      <c r="AN35" s="37" t="n">
        <f aca="false">(AN14=1)*②시니어_가정!$G$38*②시니어_가정!$E$183*②시니어_가정!$E$184/1000*(1+②시니어_가정!$E$186)^INT((AN15-1)/②시니어_가정!$E$187)*(1-CHOOSE(MIN(MAX(AN16,1),3),②시니어_가정!$E$189,②시니어_가정!$E$190,②시니어_가정!$E$191))</f>
        <v>0</v>
      </c>
      <c r="AO35" s="37" t="n">
        <f aca="false">(AO14=1)*②시니어_가정!$G$38*②시니어_가정!$E$183*②시니어_가정!$E$184/1000*(1+②시니어_가정!$E$186)^INT((AO15-1)/②시니어_가정!$E$187)*(1-CHOOSE(MIN(MAX(AO16,1),3),②시니어_가정!$E$189,②시니어_가정!$E$190,②시니어_가정!$E$191))</f>
        <v>0</v>
      </c>
      <c r="AP35" s="37" t="n">
        <f aca="false">(AP14=1)*②시니어_가정!$G$38*②시니어_가정!$E$183*②시니어_가정!$E$184/1000*(1+②시니어_가정!$E$186)^INT((AP15-1)/②시니어_가정!$E$187)*(1-CHOOSE(MIN(MAX(AP16,1),3),②시니어_가정!$E$189,②시니어_가정!$E$190,②시니어_가정!$E$191))</f>
        <v>0</v>
      </c>
      <c r="AQ35" s="37" t="n">
        <f aca="false">(AQ14=1)*②시니어_가정!$G$38*②시니어_가정!$E$183*②시니어_가정!$E$184/1000*(1+②시니어_가정!$E$186)^INT((AQ15-1)/②시니어_가정!$E$187)*(1-CHOOSE(MIN(MAX(AQ16,1),3),②시니어_가정!$E$189,②시니어_가정!$E$190,②시니어_가정!$E$191))</f>
        <v>0</v>
      </c>
      <c r="AR35" s="37" t="n">
        <f aca="false">(AR14=1)*②시니어_가정!$G$38*②시니어_가정!$E$183*②시니어_가정!$E$184/1000*(1+②시니어_가정!$E$186)^INT((AR15-1)/②시니어_가정!$E$187)*(1-CHOOSE(MIN(MAX(AR16,1),3),②시니어_가정!$E$189,②시니어_가정!$E$190,②시니어_가정!$E$191))</f>
        <v>0</v>
      </c>
      <c r="AS35" s="37" t="n">
        <f aca="false">(AS14=1)*②시니어_가정!$G$38*②시니어_가정!$E$183*②시니어_가정!$E$184/1000*(1+②시니어_가정!$E$186)^INT((AS15-1)/②시니어_가정!$E$187)*(1-CHOOSE(MIN(MAX(AS16,1),3),②시니어_가정!$E$189,②시니어_가정!$E$190,②시니어_가정!$E$191))</f>
        <v>0</v>
      </c>
      <c r="AT35" s="37" t="n">
        <f aca="false">(AT14=1)*②시니어_가정!$G$38*②시니어_가정!$E$183*②시니어_가정!$E$184/1000*(1+②시니어_가정!$E$186)^INT((AT15-1)/②시니어_가정!$E$187)*(1-CHOOSE(MIN(MAX(AT16,1),3),②시니어_가정!$E$189,②시니어_가정!$E$190,②시니어_가정!$E$191))</f>
        <v>0</v>
      </c>
      <c r="AU35" s="37" t="n">
        <f aca="false">(AU14=1)*②시니어_가정!$G$38*②시니어_가정!$E$183*②시니어_가정!$E$184/1000*(1+②시니어_가정!$E$186)^INT((AU15-1)/②시니어_가정!$E$187)*(1-CHOOSE(MIN(MAX(AU16,1),3),②시니어_가정!$E$189,②시니어_가정!$E$190,②시니어_가정!$E$191))</f>
        <v>0</v>
      </c>
      <c r="AV35" s="37" t="n">
        <f aca="false">(AV14=1)*②시니어_가정!$G$38*②시니어_가정!$E$183*②시니어_가정!$E$184/1000*(1+②시니어_가정!$E$186)^INT((AV15-1)/②시니어_가정!$E$187)*(1-CHOOSE(MIN(MAX(AV16,1),3),②시니어_가정!$E$189,②시니어_가정!$E$190,②시니어_가정!$E$191))</f>
        <v>0</v>
      </c>
      <c r="AW35" s="37" t="n">
        <f aca="false">(AW14=1)*②시니어_가정!$G$38*②시니어_가정!$E$183*②시니어_가정!$E$184/1000*(1+②시니어_가정!$E$186)^INT((AW15-1)/②시니어_가정!$E$187)*(1-CHOOSE(MIN(MAX(AW16,1),3),②시니어_가정!$E$189,②시니어_가정!$E$190,②시니어_가정!$E$191))</f>
        <v>0</v>
      </c>
      <c r="AX35" s="37" t="n">
        <f aca="false">(AX14=1)*②시니어_가정!$G$38*②시니어_가정!$E$183*②시니어_가정!$E$184/1000*(1+②시니어_가정!$E$186)^INT((AX15-1)/②시니어_가정!$E$187)*(1-CHOOSE(MIN(MAX(AX16,1),3),②시니어_가정!$E$189,②시니어_가정!$E$190,②시니어_가정!$E$191))</f>
        <v>0</v>
      </c>
      <c r="AY35" s="37" t="n">
        <f aca="false">(AY14=1)*②시니어_가정!$G$38*②시니어_가정!$E$183*②시니어_가정!$E$184/1000*(1+②시니어_가정!$E$186)^INT((AY15-1)/②시니어_가정!$E$187)*(1-CHOOSE(MIN(MAX(AY16,1),3),②시니어_가정!$E$189,②시니어_가정!$E$190,②시니어_가정!$E$191))</f>
        <v>0</v>
      </c>
      <c r="AZ35" s="37" t="n">
        <f aca="false">(AZ14=1)*②시니어_가정!$G$38*②시니어_가정!$E$183*②시니어_가정!$E$184/1000*(1+②시니어_가정!$E$186)^INT((AZ15-1)/②시니어_가정!$E$187)*(1-CHOOSE(MIN(MAX(AZ16,1),3),②시니어_가정!$E$189,②시니어_가정!$E$190,②시니어_가정!$E$191))</f>
        <v>0</v>
      </c>
      <c r="BA35" s="37" t="n">
        <f aca="false">(BA14=1)*②시니어_가정!$G$38*②시니어_가정!$E$183*②시니어_가정!$E$184/1000*(1+②시니어_가정!$E$186)^INT((BA15-1)/②시니어_가정!$E$187)*(1-CHOOSE(MIN(MAX(BA16,1),3),②시니어_가정!$E$189,②시니어_가정!$E$190,②시니어_가정!$E$191))</f>
        <v>0</v>
      </c>
      <c r="BB35" s="37" t="n">
        <f aca="false">(BB14=1)*②시니어_가정!$G$38*②시니어_가정!$E$183*②시니어_가정!$E$184/1000*(1+②시니어_가정!$E$186)^INT((BB15-1)/②시니어_가정!$E$187)*(1-CHOOSE(MIN(MAX(BB16,1),3),②시니어_가정!$E$189,②시니어_가정!$E$190,②시니어_가정!$E$191))</f>
        <v>0</v>
      </c>
      <c r="BC35" s="37" t="n">
        <f aca="false">(BC14=1)*②시니어_가정!$G$38*②시니어_가정!$E$183*②시니어_가정!$E$184/1000*(1+②시니어_가정!$E$186)^INT((BC15-1)/②시니어_가정!$E$187)*(1-CHOOSE(MIN(MAX(BC16,1),3),②시니어_가정!$E$189,②시니어_가정!$E$190,②시니어_가정!$E$191))</f>
        <v>0</v>
      </c>
      <c r="BD35" s="37" t="n">
        <f aca="false">(BD14=1)*②시니어_가정!$G$38*②시니어_가정!$E$183*②시니어_가정!$E$184/1000*(1+②시니어_가정!$E$186)^INT((BD15-1)/②시니어_가정!$E$187)*(1-CHOOSE(MIN(MAX(BD16,1),3),②시니어_가정!$E$189,②시니어_가정!$E$190,②시니어_가정!$E$191))</f>
        <v>0</v>
      </c>
      <c r="BE35" s="37" t="n">
        <f aca="false">(BE14=1)*②시니어_가정!$G$38*②시니어_가정!$E$183*②시니어_가정!$E$184/1000*(1+②시니어_가정!$E$186)^INT((BE15-1)/②시니어_가정!$E$187)*(1-CHOOSE(MIN(MAX(BE16,1),3),②시니어_가정!$E$189,②시니어_가정!$E$190,②시니어_가정!$E$191))</f>
        <v>0</v>
      </c>
      <c r="BF35" s="37" t="n">
        <f aca="false">(BF14=1)*②시니어_가정!$G$38*②시니어_가정!$E$183*②시니어_가정!$E$184/1000*(1+②시니어_가정!$E$186)^INT((BF15-1)/②시니어_가정!$E$187)*(1-CHOOSE(MIN(MAX(BF16,1),3),②시니어_가정!$E$189,②시니어_가정!$E$190,②시니어_가정!$E$191))</f>
        <v>0</v>
      </c>
      <c r="BG35" s="37" t="n">
        <f aca="false">(BG14=1)*②시니어_가정!$G$38*②시니어_가정!$E$183*②시니어_가정!$E$184/1000*(1+②시니어_가정!$E$186)^INT((BG15-1)/②시니어_가정!$E$187)*(1-CHOOSE(MIN(MAX(BG16,1),3),②시니어_가정!$E$189,②시니어_가정!$E$190,②시니어_가정!$E$191))</f>
        <v>0</v>
      </c>
      <c r="BH35" s="37" t="n">
        <f aca="false">(BH14=1)*②시니어_가정!$G$38*②시니어_가정!$E$183*②시니어_가정!$E$184/1000*(1+②시니어_가정!$E$186)^INT((BH15-1)/②시니어_가정!$E$187)*(1-CHOOSE(MIN(MAX(BH16,1),3),②시니어_가정!$E$189,②시니어_가정!$E$190,②시니어_가정!$E$191))</f>
        <v>0</v>
      </c>
      <c r="BI35" s="37" t="n">
        <f aca="false">(BI14=1)*②시니어_가정!$G$38*②시니어_가정!$E$183*②시니어_가정!$E$184/1000*(1+②시니어_가정!$E$186)^INT((BI15-1)/②시니어_가정!$E$187)*(1-CHOOSE(MIN(MAX(BI16,1),3),②시니어_가정!$E$189,②시니어_가정!$E$190,②시니어_가정!$E$191))</f>
        <v>0</v>
      </c>
      <c r="BJ35" s="37" t="n">
        <f aca="false">(BJ14=1)*②시니어_가정!$G$38*②시니어_가정!$E$183*②시니어_가정!$E$184/1000*(1+②시니어_가정!$E$186)^INT((BJ15-1)/②시니어_가정!$E$187)*(1-CHOOSE(MIN(MAX(BJ16,1),3),②시니어_가정!$E$189,②시니어_가정!$E$190,②시니어_가정!$E$191))</f>
        <v>0</v>
      </c>
      <c r="BK35" s="37" t="n">
        <f aca="false">(BK14=1)*②시니어_가정!$G$38*②시니어_가정!$E$183*②시니어_가정!$E$184/1000*(1+②시니어_가정!$E$186)^INT((BK15-1)/②시니어_가정!$E$187)*(1-CHOOSE(MIN(MAX(BK16,1),3),②시니어_가정!$E$189,②시니어_가정!$E$190,②시니어_가정!$E$191))</f>
        <v>0</v>
      </c>
      <c r="BL35" s="37" t="n">
        <f aca="false">(BL14=1)*②시니어_가정!$G$38*②시니어_가정!$E$183*②시니어_가정!$E$184/1000*(1+②시니어_가정!$E$186)^INT((BL15-1)/②시니어_가정!$E$187)*(1-CHOOSE(MIN(MAX(BL16,1),3),②시니어_가정!$E$189,②시니어_가정!$E$190,②시니어_가정!$E$191))</f>
        <v>0</v>
      </c>
      <c r="BM35" s="37" t="n">
        <f aca="false">(BM14=1)*②시니어_가정!$G$38*②시니어_가정!$E$183*②시니어_가정!$E$184/1000*(1+②시니어_가정!$E$186)^INT((BM15-1)/②시니어_가정!$E$187)*(1-CHOOSE(MIN(MAX(BM16,1),3),②시니어_가정!$E$189,②시니어_가정!$E$190,②시니어_가정!$E$191))</f>
        <v>0</v>
      </c>
      <c r="BN35" s="37" t="n">
        <f aca="false">(BN14=1)*②시니어_가정!$G$38*②시니어_가정!$E$183*②시니어_가정!$E$184/1000*(1+②시니어_가정!$E$186)^INT((BN15-1)/②시니어_가정!$E$187)*(1-CHOOSE(MIN(MAX(BN16,1),3),②시니어_가정!$E$189,②시니어_가정!$E$190,②시니어_가정!$E$191))</f>
        <v>0</v>
      </c>
      <c r="BO35" s="37" t="n">
        <f aca="false">(BO14=1)*②시니어_가정!$G$38*②시니어_가정!$E$183*②시니어_가정!$E$184/1000*(1+②시니어_가정!$E$186)^INT((BO15-1)/②시니어_가정!$E$187)*(1-CHOOSE(MIN(MAX(BO16,1),3),②시니어_가정!$E$189,②시니어_가정!$E$190,②시니어_가정!$E$191))</f>
        <v>0</v>
      </c>
      <c r="BP35" s="37" t="n">
        <f aca="false">(BP14=1)*②시니어_가정!$G$38*②시니어_가정!$E$183*②시니어_가정!$E$184/1000*(1+②시니어_가정!$E$186)^INT((BP15-1)/②시니어_가정!$E$187)*(1-CHOOSE(MIN(MAX(BP16,1),3),②시니어_가정!$E$189,②시니어_가정!$E$190,②시니어_가정!$E$191))</f>
        <v>0</v>
      </c>
      <c r="BQ35" s="37" t="n">
        <f aca="false">(BQ14=1)*②시니어_가정!$G$38*②시니어_가정!$E$183*②시니어_가정!$E$184/1000*(1+②시니어_가정!$E$186)^INT((BQ15-1)/②시니어_가정!$E$187)*(1-CHOOSE(MIN(MAX(BQ16,1),3),②시니어_가정!$E$189,②시니어_가정!$E$190,②시니어_가정!$E$191))</f>
        <v>0</v>
      </c>
      <c r="BR35" s="37" t="n">
        <f aca="false">(BR14=1)*②시니어_가정!$G$38*②시니어_가정!$E$183*②시니어_가정!$E$184/1000*(1+②시니어_가정!$E$186)^INT((BR15-1)/②시니어_가정!$E$187)*(1-CHOOSE(MIN(MAX(BR16,1),3),②시니어_가정!$E$189,②시니어_가정!$E$190,②시니어_가정!$E$191))</f>
        <v>0</v>
      </c>
      <c r="BS35" s="37" t="n">
        <f aca="false">(BS14=1)*②시니어_가정!$G$38*②시니어_가정!$E$183*②시니어_가정!$E$184/1000*(1+②시니어_가정!$E$186)^INT((BS15-1)/②시니어_가정!$E$187)*(1-CHOOSE(MIN(MAX(BS16,1),3),②시니어_가정!$E$189,②시니어_가정!$E$190,②시니어_가정!$E$191))</f>
        <v>0</v>
      </c>
      <c r="BT35" s="37" t="n">
        <f aca="false">(BT14=1)*②시니어_가정!$G$38*②시니어_가정!$E$183*②시니어_가정!$E$184/1000*(1+②시니어_가정!$E$186)^INT((BT15-1)/②시니어_가정!$E$187)*(1-CHOOSE(MIN(MAX(BT16,1),3),②시니어_가정!$E$189,②시니어_가정!$E$190,②시니어_가정!$E$191))</f>
        <v>0</v>
      </c>
      <c r="BU35" s="37" t="n">
        <f aca="false">(BU14=1)*②시니어_가정!$G$38*②시니어_가정!$E$183*②시니어_가정!$E$184/1000*(1+②시니어_가정!$E$186)^INT((BU15-1)/②시니어_가정!$E$187)*(1-CHOOSE(MIN(MAX(BU16,1),3),②시니어_가정!$E$189,②시니어_가정!$E$190,②시니어_가정!$E$191))</f>
        <v>0</v>
      </c>
      <c r="BV35" s="37" t="n">
        <f aca="false">(BV14=1)*②시니어_가정!$G$38*②시니어_가정!$E$183*②시니어_가정!$E$184/1000*(1+②시니어_가정!$E$186)^INT((BV15-1)/②시니어_가정!$E$187)*(1-CHOOSE(MIN(MAX(BV16,1),3),②시니어_가정!$E$189,②시니어_가정!$E$190,②시니어_가정!$E$191))</f>
        <v>0</v>
      </c>
      <c r="BW35" s="37" t="n">
        <f aca="false">(BW14=1)*②시니어_가정!$G$38*②시니어_가정!$E$183*②시니어_가정!$E$184/1000*(1+②시니어_가정!$E$186)^INT((BW15-1)/②시니어_가정!$E$187)*(1-CHOOSE(MIN(MAX(BW16,1),3),②시니어_가정!$E$189,②시니어_가정!$E$190,②시니어_가정!$E$191))</f>
        <v>0</v>
      </c>
      <c r="BX35" s="37" t="n">
        <f aca="false">(BX14=1)*②시니어_가정!$G$38*②시니어_가정!$E$183*②시니어_가정!$E$184/1000*(1+②시니어_가정!$E$186)^INT((BX15-1)/②시니어_가정!$E$187)*(1-CHOOSE(MIN(MAX(BX16,1),3),②시니어_가정!$E$189,②시니어_가정!$E$190,②시니어_가정!$E$191))</f>
        <v>0</v>
      </c>
      <c r="BY35" s="37" t="n">
        <f aca="false">(BY14=1)*②시니어_가정!$G$38*②시니어_가정!$E$183*②시니어_가정!$E$184/1000*(1+②시니어_가정!$E$186)^INT((BY15-1)/②시니어_가정!$E$187)*(1-CHOOSE(MIN(MAX(BY16,1),3),②시니어_가정!$E$189,②시니어_가정!$E$190,②시니어_가정!$E$191))</f>
        <v>0</v>
      </c>
      <c r="BZ35" s="37" t="n">
        <f aca="false">(BZ14=1)*②시니어_가정!$G$38*②시니어_가정!$E$183*②시니어_가정!$E$184/1000*(1+②시니어_가정!$E$186)^INT((BZ15-1)/②시니어_가정!$E$187)*(1-CHOOSE(MIN(MAX(BZ16,1),3),②시니어_가정!$E$189,②시니어_가정!$E$190,②시니어_가정!$E$191))</f>
        <v>0</v>
      </c>
      <c r="CA35" s="37" t="n">
        <f aca="false">(CA14=1)*②시니어_가정!$G$38*②시니어_가정!$E$183*②시니어_가정!$E$184/1000*(1+②시니어_가정!$E$186)^INT((CA15-1)/②시니어_가정!$E$187)*(1-CHOOSE(MIN(MAX(CA16,1),3),②시니어_가정!$E$189,②시니어_가정!$E$190,②시니어_가정!$E$191))</f>
        <v>0</v>
      </c>
      <c r="CB35" s="37" t="n">
        <f aca="false">(CB14=1)*②시니어_가정!$G$38*②시니어_가정!$E$183*②시니어_가정!$E$184/1000*(1+②시니어_가정!$E$186)^INT((CB15-1)/②시니어_가정!$E$187)*(1-CHOOSE(MIN(MAX(CB16,1),3),②시니어_가정!$E$189,②시니어_가정!$E$190,②시니어_가정!$E$191))</f>
        <v>0</v>
      </c>
      <c r="CC35" s="37" t="n">
        <f aca="false">(CC14=1)*②시니어_가정!$G$38*②시니어_가정!$E$183*②시니어_가정!$E$184/1000*(1+②시니어_가정!$E$186)^INT((CC15-1)/②시니어_가정!$E$187)*(1-CHOOSE(MIN(MAX(CC16,1),3),②시니어_가정!$E$189,②시니어_가정!$E$190,②시니어_가정!$E$191))</f>
        <v>0</v>
      </c>
      <c r="CD35" s="37" t="n">
        <f aca="false">(CD14=1)*②시니어_가정!$G$38*②시니어_가정!$E$183*②시니어_가정!$E$184/1000*(1+②시니어_가정!$E$186)^INT((CD15-1)/②시니어_가정!$E$187)*(1-CHOOSE(MIN(MAX(CD16,1),3),②시니어_가정!$E$189,②시니어_가정!$E$190,②시니어_가정!$E$191))</f>
        <v>0</v>
      </c>
      <c r="CE35" s="37" t="n">
        <f aca="false">(CE14=1)*②시니어_가정!$G$38*②시니어_가정!$E$183*②시니어_가정!$E$184/1000*(1+②시니어_가정!$E$186)^INT((CE15-1)/②시니어_가정!$E$187)*(1-CHOOSE(MIN(MAX(CE16,1),3),②시니어_가정!$E$189,②시니어_가정!$E$190,②시니어_가정!$E$191))</f>
        <v>0</v>
      </c>
      <c r="CF35" s="37" t="n">
        <f aca="false">(CF14=1)*②시니어_가정!$G$38*②시니어_가정!$E$183*②시니어_가정!$E$184/1000*(1+②시니어_가정!$E$186)^INT((CF15-1)/②시니어_가정!$E$187)*(1-CHOOSE(MIN(MAX(CF16,1),3),②시니어_가정!$E$189,②시니어_가정!$E$190,②시니어_가정!$E$191))</f>
        <v>0</v>
      </c>
      <c r="CG35" s="37" t="n">
        <f aca="false">(CG14=1)*②시니어_가정!$G$38*②시니어_가정!$E$183*②시니어_가정!$E$184/1000*(1+②시니어_가정!$E$186)^INT((CG15-1)/②시니어_가정!$E$187)*(1-CHOOSE(MIN(MAX(CG16,1),3),②시니어_가정!$E$189,②시니어_가정!$E$190,②시니어_가정!$E$191))</f>
        <v>0</v>
      </c>
      <c r="CH35" s="37" t="n">
        <f aca="false">(CH14=1)*②시니어_가정!$G$38*②시니어_가정!$E$183*②시니어_가정!$E$184/1000*(1+②시니어_가정!$E$186)^INT((CH15-1)/②시니어_가정!$E$187)*(1-CHOOSE(MIN(MAX(CH16,1),3),②시니어_가정!$E$189,②시니어_가정!$E$190,②시니어_가정!$E$191))</f>
        <v>0</v>
      </c>
      <c r="CI35" s="37" t="n">
        <f aca="false">(CI14=1)*②시니어_가정!$G$38*②시니어_가정!$E$183*②시니어_가정!$E$184/1000*(1+②시니어_가정!$E$186)^INT((CI15-1)/②시니어_가정!$E$187)*(1-CHOOSE(MIN(MAX(CI16,1),3),②시니어_가정!$E$189,②시니어_가정!$E$190,②시니어_가정!$E$191))</f>
        <v>0</v>
      </c>
      <c r="CJ35" s="37" t="n">
        <f aca="false">(CJ14=1)*②시니어_가정!$G$38*②시니어_가정!$E$183*②시니어_가정!$E$184/1000*(1+②시니어_가정!$E$186)^INT((CJ15-1)/②시니어_가정!$E$187)*(1-CHOOSE(MIN(MAX(CJ16,1),3),②시니어_가정!$E$189,②시니어_가정!$E$190,②시니어_가정!$E$191))</f>
        <v>0</v>
      </c>
      <c r="CK35" s="37" t="n">
        <f aca="false">(CK14=1)*②시니어_가정!$G$38*②시니어_가정!$E$183*②시니어_가정!$E$184/1000*(1+②시니어_가정!$E$186)^INT((CK15-1)/②시니어_가정!$E$187)*(1-CHOOSE(MIN(MAX(CK16,1),3),②시니어_가정!$E$189,②시니어_가정!$E$190,②시니어_가정!$E$191))</f>
        <v>0</v>
      </c>
      <c r="CL35" s="37" t="n">
        <f aca="false">(CL14=1)*②시니어_가정!$G$38*②시니어_가정!$E$183*②시니어_가정!$E$184/1000*(1+②시니어_가정!$E$186)^INT((CL15-1)/②시니어_가정!$E$187)*(1-CHOOSE(MIN(MAX(CL16,1),3),②시니어_가정!$E$189,②시니어_가정!$E$190,②시니어_가정!$E$191))</f>
        <v>0</v>
      </c>
      <c r="CM35" s="37" t="n">
        <f aca="false">(CM14=1)*②시니어_가정!$G$38*②시니어_가정!$E$183*②시니어_가정!$E$184/1000*(1+②시니어_가정!$E$186)^INT((CM15-1)/②시니어_가정!$E$187)*(1-CHOOSE(MIN(MAX(CM16,1),3),②시니어_가정!$E$189,②시니어_가정!$E$190,②시니어_가정!$E$191))</f>
        <v>0</v>
      </c>
      <c r="CN35" s="37" t="n">
        <f aca="false">(CN14=1)*②시니어_가정!$G$38*②시니어_가정!$E$183*②시니어_가정!$E$184/1000*(1+②시니어_가정!$E$186)^INT((CN15-1)/②시니어_가정!$E$187)*(1-CHOOSE(MIN(MAX(CN16,1),3),②시니어_가정!$E$189,②시니어_가정!$E$190,②시니어_가정!$E$191))</f>
        <v>0</v>
      </c>
      <c r="CO35" s="37" t="n">
        <f aca="false">(CO14=1)*②시니어_가정!$G$38*②시니어_가정!$E$183*②시니어_가정!$E$184/1000*(1+②시니어_가정!$E$186)^INT((CO15-1)/②시니어_가정!$E$187)*(1-CHOOSE(MIN(MAX(CO16,1),3),②시니어_가정!$E$189,②시니어_가정!$E$190,②시니어_가정!$E$191))</f>
        <v>0</v>
      </c>
      <c r="CP35" s="37" t="n">
        <f aca="false">(CP14=1)*②시니어_가정!$G$38*②시니어_가정!$E$183*②시니어_가정!$E$184/1000*(1+②시니어_가정!$E$186)^INT((CP15-1)/②시니어_가정!$E$187)*(1-CHOOSE(MIN(MAX(CP16,1),3),②시니어_가정!$E$189,②시니어_가정!$E$190,②시니어_가정!$E$191))</f>
        <v>0</v>
      </c>
      <c r="CQ35" s="37" t="n">
        <f aca="false">(CQ14=1)*②시니어_가정!$G$38*②시니어_가정!$E$183*②시니어_가정!$E$184/1000*(1+②시니어_가정!$E$186)^INT((CQ15-1)/②시니어_가정!$E$187)*(1-CHOOSE(MIN(MAX(CQ16,1),3),②시니어_가정!$E$189,②시니어_가정!$E$190,②시니어_가정!$E$191))</f>
        <v>0</v>
      </c>
      <c r="CR35" s="37" t="n">
        <f aca="false">(CR14=1)*②시니어_가정!$G$38*②시니어_가정!$E$183*②시니어_가정!$E$184/1000*(1+②시니어_가정!$E$186)^INT((CR15-1)/②시니어_가정!$E$187)*(1-CHOOSE(MIN(MAX(CR16,1),3),②시니어_가정!$E$189,②시니어_가정!$E$190,②시니어_가정!$E$191))</f>
        <v>0</v>
      </c>
      <c r="CS35" s="37" t="n">
        <f aca="false">(CS14=1)*②시니어_가정!$G$38*②시니어_가정!$E$183*②시니어_가정!$E$184/1000*(1+②시니어_가정!$E$186)^INT((CS15-1)/②시니어_가정!$E$187)*(1-CHOOSE(MIN(MAX(CS16,1),3),②시니어_가정!$E$189,②시니어_가정!$E$190,②시니어_가정!$E$191))</f>
        <v>0</v>
      </c>
      <c r="CT35" s="37" t="n">
        <f aca="false">(CT14=1)*②시니어_가정!$G$38*②시니어_가정!$E$183*②시니어_가정!$E$184/1000*(1+②시니어_가정!$E$186)^INT((CT15-1)/②시니어_가정!$E$187)*(1-CHOOSE(MIN(MAX(CT16,1),3),②시니어_가정!$E$189,②시니어_가정!$E$190,②시니어_가정!$E$191))</f>
        <v>0</v>
      </c>
      <c r="CU35" s="37" t="n">
        <f aca="false">(CU14=1)*②시니어_가정!$G$38*②시니어_가정!$E$183*②시니어_가정!$E$184/1000*(1+②시니어_가정!$E$186)^INT((CU15-1)/②시니어_가정!$E$187)*(1-CHOOSE(MIN(MAX(CU16,1),3),②시니어_가정!$E$189,②시니어_가정!$E$190,②시니어_가정!$E$191))</f>
        <v>0</v>
      </c>
      <c r="CV35" s="37" t="n">
        <f aca="false">(CV14=1)*②시니어_가정!$G$38*②시니어_가정!$E$183*②시니어_가정!$E$184/1000*(1+②시니어_가정!$E$186)^INT((CV15-1)/②시니어_가정!$E$187)*(1-CHOOSE(MIN(MAX(CV16,1),3),②시니어_가정!$E$189,②시니어_가정!$E$190,②시니어_가정!$E$191))</f>
        <v>0</v>
      </c>
      <c r="CW35" s="37" t="n">
        <f aca="false">(CW14=1)*②시니어_가정!$G$38*②시니어_가정!$E$183*②시니어_가정!$E$184/1000*(1+②시니어_가정!$E$186)^INT((CW15-1)/②시니어_가정!$E$187)*(1-CHOOSE(MIN(MAX(CW16,1),3),②시니어_가정!$E$189,②시니어_가정!$E$190,②시니어_가정!$E$191))</f>
        <v>0</v>
      </c>
      <c r="CX35" s="37" t="n">
        <f aca="false">(CX14=1)*②시니어_가정!$G$38*②시니어_가정!$E$183*②시니어_가정!$E$184/1000*(1+②시니어_가정!$E$186)^INT((CX15-1)/②시니어_가정!$E$187)*(1-CHOOSE(MIN(MAX(CX16,1),3),②시니어_가정!$E$189,②시니어_가정!$E$190,②시니어_가정!$E$191))</f>
        <v>0</v>
      </c>
      <c r="CY35" s="37" t="n">
        <f aca="false">(CY14=1)*②시니어_가정!$G$38*②시니어_가정!$E$183*②시니어_가정!$E$184/1000*(1+②시니어_가정!$E$186)^INT((CY15-1)/②시니어_가정!$E$187)*(1-CHOOSE(MIN(MAX(CY16,1),3),②시니어_가정!$E$189,②시니어_가정!$E$190,②시니어_가정!$E$191))</f>
        <v>0</v>
      </c>
      <c r="CZ35" s="37" t="n">
        <f aca="false">(CZ14=1)*②시니어_가정!$G$38*②시니어_가정!$E$183*②시니어_가정!$E$184/1000*(1+②시니어_가정!$E$186)^INT((CZ15-1)/②시니어_가정!$E$187)*(1-CHOOSE(MIN(MAX(CZ16,1),3),②시니어_가정!$E$189,②시니어_가정!$E$190,②시니어_가정!$E$191))</f>
        <v>0</v>
      </c>
      <c r="DA35" s="37" t="n">
        <f aca="false">(DA14=1)*②시니어_가정!$G$38*②시니어_가정!$E$183*②시니어_가정!$E$184/1000*(1+②시니어_가정!$E$186)^INT((DA15-1)/②시니어_가정!$E$187)*(1-CHOOSE(MIN(MAX(DA16,1),3),②시니어_가정!$E$189,②시니어_가정!$E$190,②시니어_가정!$E$191))</f>
        <v>0</v>
      </c>
      <c r="DB35" s="37" t="n">
        <f aca="false">(DB14=1)*②시니어_가정!$G$38*②시니어_가정!$E$183*②시니어_가정!$E$184/1000*(1+②시니어_가정!$E$186)^INT((DB15-1)/②시니어_가정!$E$187)*(1-CHOOSE(MIN(MAX(DB16,1),3),②시니어_가정!$E$189,②시니어_가정!$E$190,②시니어_가정!$E$191))</f>
        <v>0</v>
      </c>
      <c r="DC35" s="37" t="n">
        <f aca="false">(DC14=1)*②시니어_가정!$G$38*②시니어_가정!$E$183*②시니어_가정!$E$184/1000*(1+②시니어_가정!$E$186)^INT((DC15-1)/②시니어_가정!$E$187)*(1-CHOOSE(MIN(MAX(DC16,1),3),②시니어_가정!$E$189,②시니어_가정!$E$190,②시니어_가정!$E$191))</f>
        <v>0</v>
      </c>
      <c r="DD35" s="37" t="n">
        <f aca="false">(DD14=1)*②시니어_가정!$G$38*②시니어_가정!$E$183*②시니어_가정!$E$184/1000*(1+②시니어_가정!$E$186)^INT((DD15-1)/②시니어_가정!$E$187)*(1-CHOOSE(MIN(MAX(DD16,1),3),②시니어_가정!$E$189,②시니어_가정!$E$190,②시니어_가정!$E$191))</f>
        <v>0</v>
      </c>
      <c r="DE35" s="37" t="n">
        <f aca="false">(DE14=1)*②시니어_가정!$G$38*②시니어_가정!$E$183*②시니어_가정!$E$184/1000*(1+②시니어_가정!$E$186)^INT((DE15-1)/②시니어_가정!$E$187)*(1-CHOOSE(MIN(MAX(DE16,1),3),②시니어_가정!$E$189,②시니어_가정!$E$190,②시니어_가정!$E$191))</f>
        <v>0</v>
      </c>
      <c r="DF35" s="37" t="n">
        <f aca="false">(DF14=1)*②시니어_가정!$G$38*②시니어_가정!$E$183*②시니어_가정!$E$184/1000*(1+②시니어_가정!$E$186)^INT((DF15-1)/②시니어_가정!$E$187)*(1-CHOOSE(MIN(MAX(DF16,1),3),②시니어_가정!$E$189,②시니어_가정!$E$190,②시니어_가정!$E$191))</f>
        <v>0</v>
      </c>
      <c r="DG35" s="37" t="n">
        <f aca="false">(DG14=1)*②시니어_가정!$G$38*②시니어_가정!$E$183*②시니어_가정!$E$184/1000*(1+②시니어_가정!$E$186)^INT((DG15-1)/②시니어_가정!$E$187)*(1-CHOOSE(MIN(MAX(DG16,1),3),②시니어_가정!$E$189,②시니어_가정!$E$190,②시니어_가정!$E$191))</f>
        <v>0</v>
      </c>
      <c r="DH35" s="37" t="n">
        <f aca="false">(DH14=1)*②시니어_가정!$G$38*②시니어_가정!$E$183*②시니어_가정!$E$184/1000*(1+②시니어_가정!$E$186)^INT((DH15-1)/②시니어_가정!$E$187)*(1-CHOOSE(MIN(MAX(DH16,1),3),②시니어_가정!$E$189,②시니어_가정!$E$190,②시니어_가정!$E$191))</f>
        <v>0</v>
      </c>
      <c r="DI35" s="37" t="n">
        <f aca="false">(DI14=1)*②시니어_가정!$G$38*②시니어_가정!$E$183*②시니어_가정!$E$184/1000*(1+②시니어_가정!$E$186)^INT((DI15-1)/②시니어_가정!$E$187)*(1-CHOOSE(MIN(MAX(DI16,1),3),②시니어_가정!$E$189,②시니어_가정!$E$190,②시니어_가정!$E$191))</f>
        <v>0</v>
      </c>
      <c r="DJ35" s="37" t="n">
        <f aca="false">(DJ14=1)*②시니어_가정!$G$38*②시니어_가정!$E$183*②시니어_가정!$E$184/1000*(1+②시니어_가정!$E$186)^INT((DJ15-1)/②시니어_가정!$E$187)*(1-CHOOSE(MIN(MAX(DJ16,1),3),②시니어_가정!$E$189,②시니어_가정!$E$190,②시니어_가정!$E$191))</f>
        <v>0</v>
      </c>
      <c r="DK35" s="37" t="n">
        <f aca="false">(DK14=1)*②시니어_가정!$G$38*②시니어_가정!$E$183*②시니어_가정!$E$184/1000*(1+②시니어_가정!$E$186)^INT((DK15-1)/②시니어_가정!$E$187)*(1-CHOOSE(MIN(MAX(DK16,1),3),②시니어_가정!$E$189,②시니어_가정!$E$190,②시니어_가정!$E$191))</f>
        <v>0</v>
      </c>
      <c r="DL35" s="37" t="n">
        <f aca="false">(DL14=1)*②시니어_가정!$G$38*②시니어_가정!$E$183*②시니어_가정!$E$184/1000*(1+②시니어_가정!$E$186)^INT((DL15-1)/②시니어_가정!$E$187)*(1-CHOOSE(MIN(MAX(DL16,1),3),②시니어_가정!$E$189,②시니어_가정!$E$190,②시니어_가정!$E$191))</f>
        <v>0</v>
      </c>
      <c r="DM35" s="37" t="n">
        <f aca="false">(DM14=1)*②시니어_가정!$G$38*②시니어_가정!$E$183*②시니어_가정!$E$184/1000*(1+②시니어_가정!$E$186)^INT((DM15-1)/②시니어_가정!$E$187)*(1-CHOOSE(MIN(MAX(DM16,1),3),②시니어_가정!$E$189,②시니어_가정!$E$190,②시니어_가정!$E$191))</f>
        <v>0</v>
      </c>
      <c r="DN35" s="37" t="n">
        <f aca="false">(DN14=1)*②시니어_가정!$G$38*②시니어_가정!$E$183*②시니어_가정!$E$184/1000*(1+②시니어_가정!$E$186)^INT((DN15-1)/②시니어_가정!$E$187)*(1-CHOOSE(MIN(MAX(DN16,1),3),②시니어_가정!$E$189,②시니어_가정!$E$190,②시니어_가정!$E$191))</f>
        <v>0</v>
      </c>
      <c r="DO35" s="37" t="n">
        <f aca="false">(DO14=1)*②시니어_가정!$G$38*②시니어_가정!$E$183*②시니어_가정!$E$184/1000*(1+②시니어_가정!$E$186)^INT((DO15-1)/②시니어_가정!$E$187)*(1-CHOOSE(MIN(MAX(DO16,1),3),②시니어_가정!$E$189,②시니어_가정!$E$190,②시니어_가정!$E$191))</f>
        <v>0</v>
      </c>
      <c r="DP35" s="37" t="n">
        <f aca="false">(DP14=1)*②시니어_가정!$G$38*②시니어_가정!$E$183*②시니어_가정!$E$184/1000*(1+②시니어_가정!$E$186)^INT((DP15-1)/②시니어_가정!$E$187)*(1-CHOOSE(MIN(MAX(DP16,1),3),②시니어_가정!$E$189,②시니어_가정!$E$190,②시니어_가정!$E$191))</f>
        <v>0</v>
      </c>
      <c r="DQ35" s="37" t="n">
        <f aca="false">(DQ14=1)*②시니어_가정!$G$38*②시니어_가정!$E$183*②시니어_가정!$E$184/1000*(1+②시니어_가정!$E$186)^INT((DQ15-1)/②시니어_가정!$E$187)*(1-CHOOSE(MIN(MAX(DQ16,1),3),②시니어_가정!$E$189,②시니어_가정!$E$190,②시니어_가정!$E$191))</f>
        <v>0</v>
      </c>
      <c r="DR35" s="37" t="n">
        <f aca="false">(DR14=1)*②시니어_가정!$G$38*②시니어_가정!$E$183*②시니어_가정!$E$184/1000*(1+②시니어_가정!$E$186)^INT((DR15-1)/②시니어_가정!$E$187)*(1-CHOOSE(MIN(MAX(DR16,1),3),②시니어_가정!$E$189,②시니어_가정!$E$190,②시니어_가정!$E$191))</f>
        <v>0</v>
      </c>
      <c r="DS35" s="37" t="n">
        <f aca="false">(DS14=1)*②시니어_가정!$G$38*②시니어_가정!$E$183*②시니어_가정!$E$184/1000*(1+②시니어_가정!$E$186)^INT((DS15-1)/②시니어_가정!$E$187)*(1-CHOOSE(MIN(MAX(DS16,1),3),②시니어_가정!$E$189,②시니어_가정!$E$190,②시니어_가정!$E$191))</f>
        <v>0</v>
      </c>
      <c r="DT35" s="37" t="n">
        <f aca="false">(DT14=1)*②시니어_가정!$G$38*②시니어_가정!$E$183*②시니어_가정!$E$184/1000*(1+②시니어_가정!$E$186)^INT((DT15-1)/②시니어_가정!$E$187)*(1-CHOOSE(MIN(MAX(DT16,1),3),②시니어_가정!$E$189,②시니어_가정!$E$190,②시니어_가정!$E$191))</f>
        <v>0</v>
      </c>
      <c r="DU35" s="37" t="n">
        <f aca="false">(DU14=1)*②시니어_가정!$G$38*②시니어_가정!$E$183*②시니어_가정!$E$184/1000*(1+②시니어_가정!$E$186)^INT((DU15-1)/②시니어_가정!$E$187)*(1-CHOOSE(MIN(MAX(DU16,1),3),②시니어_가정!$E$189,②시니어_가정!$E$190,②시니어_가정!$E$191))</f>
        <v>0</v>
      </c>
      <c r="DV35" s="37" t="n">
        <f aca="false">(DV14=1)*②시니어_가정!$G$38*②시니어_가정!$E$183*②시니어_가정!$E$184/1000*(1+②시니어_가정!$E$186)^INT((DV15-1)/②시니어_가정!$E$187)*(1-CHOOSE(MIN(MAX(DV16,1),3),②시니어_가정!$E$189,②시니어_가정!$E$190,②시니어_가정!$E$191))</f>
        <v>0</v>
      </c>
      <c r="DW35" s="37" t="n">
        <f aca="false">(DW14=1)*②시니어_가정!$G$38*②시니어_가정!$E$183*②시니어_가정!$E$184/1000*(1+②시니어_가정!$E$186)^INT((DW15-1)/②시니어_가정!$E$187)*(1-CHOOSE(MIN(MAX(DW16,1),3),②시니어_가정!$E$189,②시니어_가정!$E$190,②시니어_가정!$E$191))</f>
        <v>0</v>
      </c>
      <c r="DX35" s="37" t="n">
        <f aca="false">(DX14=1)*②시니어_가정!$G$38*②시니어_가정!$E$183*②시니어_가정!$E$184/1000*(1+②시니어_가정!$E$186)^INT((DX15-1)/②시니어_가정!$E$187)*(1-CHOOSE(MIN(MAX(DX16,1),3),②시니어_가정!$E$189,②시니어_가정!$E$190,②시니어_가정!$E$191))</f>
        <v>0</v>
      </c>
      <c r="DY35" s="37" t="n">
        <f aca="false">(DY14=1)*②시니어_가정!$G$38*②시니어_가정!$E$183*②시니어_가정!$E$184/1000*(1+②시니어_가정!$E$186)^INT((DY15-1)/②시니어_가정!$E$187)*(1-CHOOSE(MIN(MAX(DY16,1),3),②시니어_가정!$E$189,②시니어_가정!$E$190,②시니어_가정!$E$191))</f>
        <v>0</v>
      </c>
      <c r="DZ35" s="37" t="n">
        <f aca="false">(DZ14=1)*②시니어_가정!$G$38*②시니어_가정!$E$183*②시니어_가정!$E$184/1000*(1+②시니어_가정!$E$186)^INT((DZ15-1)/②시니어_가정!$E$187)*(1-CHOOSE(MIN(MAX(DZ16,1),3),②시니어_가정!$E$189,②시니어_가정!$E$190,②시니어_가정!$E$191))</f>
        <v>0</v>
      </c>
      <c r="EA35" s="37" t="n">
        <f aca="false">(EA14=1)*②시니어_가정!$G$38*②시니어_가정!$E$183*②시니어_가정!$E$184/1000*(1+②시니어_가정!$E$186)^INT((EA15-1)/②시니어_가정!$E$187)*(1-CHOOSE(MIN(MAX(EA16,1),3),②시니어_가정!$E$189,②시니어_가정!$E$190,②시니어_가정!$E$191))</f>
        <v>0</v>
      </c>
      <c r="EB35" s="37" t="n">
        <f aca="false">(EB14=1)*②시니어_가정!$G$38*②시니어_가정!$E$183*②시니어_가정!$E$184/1000*(1+②시니어_가정!$E$186)^INT((EB15-1)/②시니어_가정!$E$187)*(1-CHOOSE(MIN(MAX(EB16,1),3),②시니어_가정!$E$189,②시니어_가정!$E$190,②시니어_가정!$E$191))</f>
        <v>0</v>
      </c>
      <c r="EC35" s="37" t="n">
        <f aca="false">(EC14=1)*②시니어_가정!$G$38*②시니어_가정!$E$183*②시니어_가정!$E$184/1000*(1+②시니어_가정!$E$186)^INT((EC15-1)/②시니어_가정!$E$187)*(1-CHOOSE(MIN(MAX(EC16,1),3),②시니어_가정!$E$189,②시니어_가정!$E$190,②시니어_가정!$E$191))</f>
        <v>0</v>
      </c>
      <c r="ED35" s="37" t="n">
        <f aca="false">(ED14=1)*②시니어_가정!$G$38*②시니어_가정!$E$183*②시니어_가정!$E$184/1000*(1+②시니어_가정!$E$186)^INT((ED15-1)/②시니어_가정!$E$187)*(1-CHOOSE(MIN(MAX(ED16,1),3),②시니어_가정!$E$189,②시니어_가정!$E$190,②시니어_가정!$E$191))</f>
        <v>0</v>
      </c>
      <c r="EE35" s="37" t="n">
        <f aca="false">(EE14=1)*②시니어_가정!$G$38*②시니어_가정!$E$183*②시니어_가정!$E$184/1000*(1+②시니어_가정!$E$186)^INT((EE15-1)/②시니어_가정!$E$187)*(1-CHOOSE(MIN(MAX(EE16,1),3),②시니어_가정!$E$189,②시니어_가정!$E$190,②시니어_가정!$E$191))</f>
        <v>0</v>
      </c>
      <c r="EF35" s="37" t="n">
        <f aca="false">(EF14=1)*②시니어_가정!$G$38*②시니어_가정!$E$183*②시니어_가정!$E$184/1000*(1+②시니어_가정!$E$186)^INT((EF15-1)/②시니어_가정!$E$187)*(1-CHOOSE(MIN(MAX(EF16,1),3),②시니어_가정!$E$189,②시니어_가정!$E$190,②시니어_가정!$E$191))</f>
        <v>0</v>
      </c>
    </row>
    <row r="36" customFormat="false" ht="15" hidden="false" customHeight="false" outlineLevel="0" collapsed="false">
      <c r="A36" s="36" t="s">
        <v>586</v>
      </c>
      <c r="B36" s="278" t="s">
        <v>21</v>
      </c>
      <c r="C36" s="279" t="n">
        <f aca="false">SUM(E36:EF36)</f>
        <v>0</v>
      </c>
      <c r="E36" s="37" t="n">
        <f aca="false">(E14=1)*②시니어_가정!$H$38*②시니어_가정!$E$201*②시니어_가정!$E$202/1000*(1+②시니어_가정!$E$204)^INT((E15-1)/②시니어_가정!$E$205)*(1-CHOOSE(MIN(MAX(E16,1),3),②시니어_가정!$E$207,②시니어_가정!$E$208,②시니어_가정!$E$209))</f>
        <v>0</v>
      </c>
      <c r="F36" s="37" t="n">
        <f aca="false">(F14=1)*②시니어_가정!$H$38*②시니어_가정!$E$201*②시니어_가정!$E$202/1000*(1+②시니어_가정!$E$204)^INT((F15-1)/②시니어_가정!$E$205)*(1-CHOOSE(MIN(MAX(F16,1),3),②시니어_가정!$E$207,②시니어_가정!$E$208,②시니어_가정!$E$209))</f>
        <v>0</v>
      </c>
      <c r="G36" s="37" t="n">
        <f aca="false">(G14=1)*②시니어_가정!$H$38*②시니어_가정!$E$201*②시니어_가정!$E$202/1000*(1+②시니어_가정!$E$204)^INT((G15-1)/②시니어_가정!$E$205)*(1-CHOOSE(MIN(MAX(G16,1),3),②시니어_가정!$E$207,②시니어_가정!$E$208,②시니어_가정!$E$209))</f>
        <v>0</v>
      </c>
      <c r="H36" s="37" t="n">
        <f aca="false">(H14=1)*②시니어_가정!$H$38*②시니어_가정!$E$201*②시니어_가정!$E$202/1000*(1+②시니어_가정!$E$204)^INT((H15-1)/②시니어_가정!$E$205)*(1-CHOOSE(MIN(MAX(H16,1),3),②시니어_가정!$E$207,②시니어_가정!$E$208,②시니어_가정!$E$209))</f>
        <v>0</v>
      </c>
      <c r="I36" s="37" t="n">
        <f aca="false">(I14=1)*②시니어_가정!$H$38*②시니어_가정!$E$201*②시니어_가정!$E$202/1000*(1+②시니어_가정!$E$204)^INT((I15-1)/②시니어_가정!$E$205)*(1-CHOOSE(MIN(MAX(I16,1),3),②시니어_가정!$E$207,②시니어_가정!$E$208,②시니어_가정!$E$209))</f>
        <v>0</v>
      </c>
      <c r="J36" s="37" t="n">
        <f aca="false">(J14=1)*②시니어_가정!$H$38*②시니어_가정!$E$201*②시니어_가정!$E$202/1000*(1+②시니어_가정!$E$204)^INT((J15-1)/②시니어_가정!$E$205)*(1-CHOOSE(MIN(MAX(J16,1),3),②시니어_가정!$E$207,②시니어_가정!$E$208,②시니어_가정!$E$209))</f>
        <v>0</v>
      </c>
      <c r="K36" s="37" t="n">
        <f aca="false">(K14=1)*②시니어_가정!$H$38*②시니어_가정!$E$201*②시니어_가정!$E$202/1000*(1+②시니어_가정!$E$204)^INT((K15-1)/②시니어_가정!$E$205)*(1-CHOOSE(MIN(MAX(K16,1),3),②시니어_가정!$E$207,②시니어_가정!$E$208,②시니어_가정!$E$209))</f>
        <v>0</v>
      </c>
      <c r="L36" s="37" t="n">
        <f aca="false">(L14=1)*②시니어_가정!$H$38*②시니어_가정!$E$201*②시니어_가정!$E$202/1000*(1+②시니어_가정!$E$204)^INT((L15-1)/②시니어_가정!$E$205)*(1-CHOOSE(MIN(MAX(L16,1),3),②시니어_가정!$E$207,②시니어_가정!$E$208,②시니어_가정!$E$209))</f>
        <v>0</v>
      </c>
      <c r="M36" s="37" t="n">
        <f aca="false">(M14=1)*②시니어_가정!$H$38*②시니어_가정!$E$201*②시니어_가정!$E$202/1000*(1+②시니어_가정!$E$204)^INT((M15-1)/②시니어_가정!$E$205)*(1-CHOOSE(MIN(MAX(M16,1),3),②시니어_가정!$E$207,②시니어_가정!$E$208,②시니어_가정!$E$209))</f>
        <v>0</v>
      </c>
      <c r="N36" s="37" t="n">
        <f aca="false">(N14=1)*②시니어_가정!$H$38*②시니어_가정!$E$201*②시니어_가정!$E$202/1000*(1+②시니어_가정!$E$204)^INT((N15-1)/②시니어_가정!$E$205)*(1-CHOOSE(MIN(MAX(N16,1),3),②시니어_가정!$E$207,②시니어_가정!$E$208,②시니어_가정!$E$209))</f>
        <v>0</v>
      </c>
      <c r="O36" s="37" t="n">
        <f aca="false">(O14=1)*②시니어_가정!$H$38*②시니어_가정!$E$201*②시니어_가정!$E$202/1000*(1+②시니어_가정!$E$204)^INT((O15-1)/②시니어_가정!$E$205)*(1-CHOOSE(MIN(MAX(O16,1),3),②시니어_가정!$E$207,②시니어_가정!$E$208,②시니어_가정!$E$209))</f>
        <v>0</v>
      </c>
      <c r="P36" s="37" t="n">
        <f aca="false">(P14=1)*②시니어_가정!$H$38*②시니어_가정!$E$201*②시니어_가정!$E$202/1000*(1+②시니어_가정!$E$204)^INT((P15-1)/②시니어_가정!$E$205)*(1-CHOOSE(MIN(MAX(P16,1),3),②시니어_가정!$E$207,②시니어_가정!$E$208,②시니어_가정!$E$209))</f>
        <v>0</v>
      </c>
      <c r="Q36" s="37" t="n">
        <f aca="false">(Q14=1)*②시니어_가정!$H$38*②시니어_가정!$E$201*②시니어_가정!$E$202/1000*(1+②시니어_가정!$E$204)^INT((Q15-1)/②시니어_가정!$E$205)*(1-CHOOSE(MIN(MAX(Q16,1),3),②시니어_가정!$E$207,②시니어_가정!$E$208,②시니어_가정!$E$209))</f>
        <v>0</v>
      </c>
      <c r="R36" s="37" t="n">
        <f aca="false">(R14=1)*②시니어_가정!$H$38*②시니어_가정!$E$201*②시니어_가정!$E$202/1000*(1+②시니어_가정!$E$204)^INT((R15-1)/②시니어_가정!$E$205)*(1-CHOOSE(MIN(MAX(R16,1),3),②시니어_가정!$E$207,②시니어_가정!$E$208,②시니어_가정!$E$209))</f>
        <v>0</v>
      </c>
      <c r="S36" s="37" t="n">
        <f aca="false">(S14=1)*②시니어_가정!$H$38*②시니어_가정!$E$201*②시니어_가정!$E$202/1000*(1+②시니어_가정!$E$204)^INT((S15-1)/②시니어_가정!$E$205)*(1-CHOOSE(MIN(MAX(S16,1),3),②시니어_가정!$E$207,②시니어_가정!$E$208,②시니어_가정!$E$209))</f>
        <v>0</v>
      </c>
      <c r="T36" s="37" t="n">
        <f aca="false">(T14=1)*②시니어_가정!$H$38*②시니어_가정!$E$201*②시니어_가정!$E$202/1000*(1+②시니어_가정!$E$204)^INT((T15-1)/②시니어_가정!$E$205)*(1-CHOOSE(MIN(MAX(T16,1),3),②시니어_가정!$E$207,②시니어_가정!$E$208,②시니어_가정!$E$209))</f>
        <v>0</v>
      </c>
      <c r="U36" s="37" t="n">
        <f aca="false">(U14=1)*②시니어_가정!$H$38*②시니어_가정!$E$201*②시니어_가정!$E$202/1000*(1+②시니어_가정!$E$204)^INT((U15-1)/②시니어_가정!$E$205)*(1-CHOOSE(MIN(MAX(U16,1),3),②시니어_가정!$E$207,②시니어_가정!$E$208,②시니어_가정!$E$209))</f>
        <v>0</v>
      </c>
      <c r="V36" s="37" t="n">
        <f aca="false">(V14=1)*②시니어_가정!$H$38*②시니어_가정!$E$201*②시니어_가정!$E$202/1000*(1+②시니어_가정!$E$204)^INT((V15-1)/②시니어_가정!$E$205)*(1-CHOOSE(MIN(MAX(V16,1),3),②시니어_가정!$E$207,②시니어_가정!$E$208,②시니어_가정!$E$209))</f>
        <v>0</v>
      </c>
      <c r="W36" s="37" t="n">
        <f aca="false">(W14=1)*②시니어_가정!$H$38*②시니어_가정!$E$201*②시니어_가정!$E$202/1000*(1+②시니어_가정!$E$204)^INT((W15-1)/②시니어_가정!$E$205)*(1-CHOOSE(MIN(MAX(W16,1),3),②시니어_가정!$E$207,②시니어_가정!$E$208,②시니어_가정!$E$209))</f>
        <v>0</v>
      </c>
      <c r="X36" s="37" t="n">
        <f aca="false">(X14=1)*②시니어_가정!$H$38*②시니어_가정!$E$201*②시니어_가정!$E$202/1000*(1+②시니어_가정!$E$204)^INT((X15-1)/②시니어_가정!$E$205)*(1-CHOOSE(MIN(MAX(X16,1),3),②시니어_가정!$E$207,②시니어_가정!$E$208,②시니어_가정!$E$209))</f>
        <v>0</v>
      </c>
      <c r="Y36" s="37" t="n">
        <f aca="false">(Y14=1)*②시니어_가정!$H$38*②시니어_가정!$E$201*②시니어_가정!$E$202/1000*(1+②시니어_가정!$E$204)^INT((Y15-1)/②시니어_가정!$E$205)*(1-CHOOSE(MIN(MAX(Y16,1),3),②시니어_가정!$E$207,②시니어_가정!$E$208,②시니어_가정!$E$209))</f>
        <v>0</v>
      </c>
      <c r="Z36" s="37" t="n">
        <f aca="false">(Z14=1)*②시니어_가정!$H$38*②시니어_가정!$E$201*②시니어_가정!$E$202/1000*(1+②시니어_가정!$E$204)^INT((Z15-1)/②시니어_가정!$E$205)*(1-CHOOSE(MIN(MAX(Z16,1),3),②시니어_가정!$E$207,②시니어_가정!$E$208,②시니어_가정!$E$209))</f>
        <v>0</v>
      </c>
      <c r="AA36" s="37" t="n">
        <f aca="false">(AA14=1)*②시니어_가정!$H$38*②시니어_가정!$E$201*②시니어_가정!$E$202/1000*(1+②시니어_가정!$E$204)^INT((AA15-1)/②시니어_가정!$E$205)*(1-CHOOSE(MIN(MAX(AA16,1),3),②시니어_가정!$E$207,②시니어_가정!$E$208,②시니어_가정!$E$209))</f>
        <v>0</v>
      </c>
      <c r="AB36" s="37" t="n">
        <f aca="false">(AB14=1)*②시니어_가정!$H$38*②시니어_가정!$E$201*②시니어_가정!$E$202/1000*(1+②시니어_가정!$E$204)^INT((AB15-1)/②시니어_가정!$E$205)*(1-CHOOSE(MIN(MAX(AB16,1),3),②시니어_가정!$E$207,②시니어_가정!$E$208,②시니어_가정!$E$209))</f>
        <v>0</v>
      </c>
      <c r="AC36" s="37" t="n">
        <f aca="false">(AC14=1)*②시니어_가정!$H$38*②시니어_가정!$E$201*②시니어_가정!$E$202/1000*(1+②시니어_가정!$E$204)^INT((AC15-1)/②시니어_가정!$E$205)*(1-CHOOSE(MIN(MAX(AC16,1),3),②시니어_가정!$E$207,②시니어_가정!$E$208,②시니어_가정!$E$209))</f>
        <v>0</v>
      </c>
      <c r="AD36" s="37" t="n">
        <f aca="false">(AD14=1)*②시니어_가정!$H$38*②시니어_가정!$E$201*②시니어_가정!$E$202/1000*(1+②시니어_가정!$E$204)^INT((AD15-1)/②시니어_가정!$E$205)*(1-CHOOSE(MIN(MAX(AD16,1),3),②시니어_가정!$E$207,②시니어_가정!$E$208,②시니어_가정!$E$209))</f>
        <v>0</v>
      </c>
      <c r="AE36" s="37" t="n">
        <f aca="false">(AE14=1)*②시니어_가정!$H$38*②시니어_가정!$E$201*②시니어_가정!$E$202/1000*(1+②시니어_가정!$E$204)^INT((AE15-1)/②시니어_가정!$E$205)*(1-CHOOSE(MIN(MAX(AE16,1),3),②시니어_가정!$E$207,②시니어_가정!$E$208,②시니어_가정!$E$209))</f>
        <v>0</v>
      </c>
      <c r="AF36" s="37" t="n">
        <f aca="false">(AF14=1)*②시니어_가정!$H$38*②시니어_가정!$E$201*②시니어_가정!$E$202/1000*(1+②시니어_가정!$E$204)^INT((AF15-1)/②시니어_가정!$E$205)*(1-CHOOSE(MIN(MAX(AF16,1),3),②시니어_가정!$E$207,②시니어_가정!$E$208,②시니어_가정!$E$209))</f>
        <v>0</v>
      </c>
      <c r="AG36" s="37" t="n">
        <f aca="false">(AG14=1)*②시니어_가정!$H$38*②시니어_가정!$E$201*②시니어_가정!$E$202/1000*(1+②시니어_가정!$E$204)^INT((AG15-1)/②시니어_가정!$E$205)*(1-CHOOSE(MIN(MAX(AG16,1),3),②시니어_가정!$E$207,②시니어_가정!$E$208,②시니어_가정!$E$209))</f>
        <v>0</v>
      </c>
      <c r="AH36" s="37" t="n">
        <f aca="false">(AH14=1)*②시니어_가정!$H$38*②시니어_가정!$E$201*②시니어_가정!$E$202/1000*(1+②시니어_가정!$E$204)^INT((AH15-1)/②시니어_가정!$E$205)*(1-CHOOSE(MIN(MAX(AH16,1),3),②시니어_가정!$E$207,②시니어_가정!$E$208,②시니어_가정!$E$209))</f>
        <v>0</v>
      </c>
      <c r="AI36" s="37" t="n">
        <f aca="false">(AI14=1)*②시니어_가정!$H$38*②시니어_가정!$E$201*②시니어_가정!$E$202/1000*(1+②시니어_가정!$E$204)^INT((AI15-1)/②시니어_가정!$E$205)*(1-CHOOSE(MIN(MAX(AI16,1),3),②시니어_가정!$E$207,②시니어_가정!$E$208,②시니어_가정!$E$209))</f>
        <v>0</v>
      </c>
      <c r="AJ36" s="37" t="n">
        <f aca="false">(AJ14=1)*②시니어_가정!$H$38*②시니어_가정!$E$201*②시니어_가정!$E$202/1000*(1+②시니어_가정!$E$204)^INT((AJ15-1)/②시니어_가정!$E$205)*(1-CHOOSE(MIN(MAX(AJ16,1),3),②시니어_가정!$E$207,②시니어_가정!$E$208,②시니어_가정!$E$209))</f>
        <v>0</v>
      </c>
      <c r="AK36" s="37" t="n">
        <f aca="false">(AK14=1)*②시니어_가정!$H$38*②시니어_가정!$E$201*②시니어_가정!$E$202/1000*(1+②시니어_가정!$E$204)^INT((AK15-1)/②시니어_가정!$E$205)*(1-CHOOSE(MIN(MAX(AK16,1),3),②시니어_가정!$E$207,②시니어_가정!$E$208,②시니어_가정!$E$209))</f>
        <v>0</v>
      </c>
      <c r="AL36" s="37" t="n">
        <f aca="false">(AL14=1)*②시니어_가정!$H$38*②시니어_가정!$E$201*②시니어_가정!$E$202/1000*(1+②시니어_가정!$E$204)^INT((AL15-1)/②시니어_가정!$E$205)*(1-CHOOSE(MIN(MAX(AL16,1),3),②시니어_가정!$E$207,②시니어_가정!$E$208,②시니어_가정!$E$209))</f>
        <v>0</v>
      </c>
      <c r="AM36" s="37" t="n">
        <f aca="false">(AM14=1)*②시니어_가정!$H$38*②시니어_가정!$E$201*②시니어_가정!$E$202/1000*(1+②시니어_가정!$E$204)^INT((AM15-1)/②시니어_가정!$E$205)*(1-CHOOSE(MIN(MAX(AM16,1),3),②시니어_가정!$E$207,②시니어_가정!$E$208,②시니어_가정!$E$209))</f>
        <v>0</v>
      </c>
      <c r="AN36" s="37" t="n">
        <f aca="false">(AN14=1)*②시니어_가정!$H$38*②시니어_가정!$E$201*②시니어_가정!$E$202/1000*(1+②시니어_가정!$E$204)^INT((AN15-1)/②시니어_가정!$E$205)*(1-CHOOSE(MIN(MAX(AN16,1),3),②시니어_가정!$E$207,②시니어_가정!$E$208,②시니어_가정!$E$209))</f>
        <v>0</v>
      </c>
      <c r="AO36" s="37" t="n">
        <f aca="false">(AO14=1)*②시니어_가정!$H$38*②시니어_가정!$E$201*②시니어_가정!$E$202/1000*(1+②시니어_가정!$E$204)^INT((AO15-1)/②시니어_가정!$E$205)*(1-CHOOSE(MIN(MAX(AO16,1),3),②시니어_가정!$E$207,②시니어_가정!$E$208,②시니어_가정!$E$209))</f>
        <v>0</v>
      </c>
      <c r="AP36" s="37" t="n">
        <f aca="false">(AP14=1)*②시니어_가정!$H$38*②시니어_가정!$E$201*②시니어_가정!$E$202/1000*(1+②시니어_가정!$E$204)^INT((AP15-1)/②시니어_가정!$E$205)*(1-CHOOSE(MIN(MAX(AP16,1),3),②시니어_가정!$E$207,②시니어_가정!$E$208,②시니어_가정!$E$209))</f>
        <v>0</v>
      </c>
      <c r="AQ36" s="37" t="n">
        <f aca="false">(AQ14=1)*②시니어_가정!$H$38*②시니어_가정!$E$201*②시니어_가정!$E$202/1000*(1+②시니어_가정!$E$204)^INT((AQ15-1)/②시니어_가정!$E$205)*(1-CHOOSE(MIN(MAX(AQ16,1),3),②시니어_가정!$E$207,②시니어_가정!$E$208,②시니어_가정!$E$209))</f>
        <v>0</v>
      </c>
      <c r="AR36" s="37" t="n">
        <f aca="false">(AR14=1)*②시니어_가정!$H$38*②시니어_가정!$E$201*②시니어_가정!$E$202/1000*(1+②시니어_가정!$E$204)^INT((AR15-1)/②시니어_가정!$E$205)*(1-CHOOSE(MIN(MAX(AR16,1),3),②시니어_가정!$E$207,②시니어_가정!$E$208,②시니어_가정!$E$209))</f>
        <v>0</v>
      </c>
      <c r="AS36" s="37" t="n">
        <f aca="false">(AS14=1)*②시니어_가정!$H$38*②시니어_가정!$E$201*②시니어_가정!$E$202/1000*(1+②시니어_가정!$E$204)^INT((AS15-1)/②시니어_가정!$E$205)*(1-CHOOSE(MIN(MAX(AS16,1),3),②시니어_가정!$E$207,②시니어_가정!$E$208,②시니어_가정!$E$209))</f>
        <v>0</v>
      </c>
      <c r="AT36" s="37" t="n">
        <f aca="false">(AT14=1)*②시니어_가정!$H$38*②시니어_가정!$E$201*②시니어_가정!$E$202/1000*(1+②시니어_가정!$E$204)^INT((AT15-1)/②시니어_가정!$E$205)*(1-CHOOSE(MIN(MAX(AT16,1),3),②시니어_가정!$E$207,②시니어_가정!$E$208,②시니어_가정!$E$209))</f>
        <v>0</v>
      </c>
      <c r="AU36" s="37" t="n">
        <f aca="false">(AU14=1)*②시니어_가정!$H$38*②시니어_가정!$E$201*②시니어_가정!$E$202/1000*(1+②시니어_가정!$E$204)^INT((AU15-1)/②시니어_가정!$E$205)*(1-CHOOSE(MIN(MAX(AU16,1),3),②시니어_가정!$E$207,②시니어_가정!$E$208,②시니어_가정!$E$209))</f>
        <v>0</v>
      </c>
      <c r="AV36" s="37" t="n">
        <f aca="false">(AV14=1)*②시니어_가정!$H$38*②시니어_가정!$E$201*②시니어_가정!$E$202/1000*(1+②시니어_가정!$E$204)^INT((AV15-1)/②시니어_가정!$E$205)*(1-CHOOSE(MIN(MAX(AV16,1),3),②시니어_가정!$E$207,②시니어_가정!$E$208,②시니어_가정!$E$209))</f>
        <v>0</v>
      </c>
      <c r="AW36" s="37" t="n">
        <f aca="false">(AW14=1)*②시니어_가정!$H$38*②시니어_가정!$E$201*②시니어_가정!$E$202/1000*(1+②시니어_가정!$E$204)^INT((AW15-1)/②시니어_가정!$E$205)*(1-CHOOSE(MIN(MAX(AW16,1),3),②시니어_가정!$E$207,②시니어_가정!$E$208,②시니어_가정!$E$209))</f>
        <v>0</v>
      </c>
      <c r="AX36" s="37" t="n">
        <f aca="false">(AX14=1)*②시니어_가정!$H$38*②시니어_가정!$E$201*②시니어_가정!$E$202/1000*(1+②시니어_가정!$E$204)^INT((AX15-1)/②시니어_가정!$E$205)*(1-CHOOSE(MIN(MAX(AX16,1),3),②시니어_가정!$E$207,②시니어_가정!$E$208,②시니어_가정!$E$209))</f>
        <v>0</v>
      </c>
      <c r="AY36" s="37" t="n">
        <f aca="false">(AY14=1)*②시니어_가정!$H$38*②시니어_가정!$E$201*②시니어_가정!$E$202/1000*(1+②시니어_가정!$E$204)^INT((AY15-1)/②시니어_가정!$E$205)*(1-CHOOSE(MIN(MAX(AY16,1),3),②시니어_가정!$E$207,②시니어_가정!$E$208,②시니어_가정!$E$209))</f>
        <v>0</v>
      </c>
      <c r="AZ36" s="37" t="n">
        <f aca="false">(AZ14=1)*②시니어_가정!$H$38*②시니어_가정!$E$201*②시니어_가정!$E$202/1000*(1+②시니어_가정!$E$204)^INT((AZ15-1)/②시니어_가정!$E$205)*(1-CHOOSE(MIN(MAX(AZ16,1),3),②시니어_가정!$E$207,②시니어_가정!$E$208,②시니어_가정!$E$209))</f>
        <v>0</v>
      </c>
      <c r="BA36" s="37" t="n">
        <f aca="false">(BA14=1)*②시니어_가정!$H$38*②시니어_가정!$E$201*②시니어_가정!$E$202/1000*(1+②시니어_가정!$E$204)^INT((BA15-1)/②시니어_가정!$E$205)*(1-CHOOSE(MIN(MAX(BA16,1),3),②시니어_가정!$E$207,②시니어_가정!$E$208,②시니어_가정!$E$209))</f>
        <v>0</v>
      </c>
      <c r="BB36" s="37" t="n">
        <f aca="false">(BB14=1)*②시니어_가정!$H$38*②시니어_가정!$E$201*②시니어_가정!$E$202/1000*(1+②시니어_가정!$E$204)^INT((BB15-1)/②시니어_가정!$E$205)*(1-CHOOSE(MIN(MAX(BB16,1),3),②시니어_가정!$E$207,②시니어_가정!$E$208,②시니어_가정!$E$209))</f>
        <v>0</v>
      </c>
      <c r="BC36" s="37" t="n">
        <f aca="false">(BC14=1)*②시니어_가정!$H$38*②시니어_가정!$E$201*②시니어_가정!$E$202/1000*(1+②시니어_가정!$E$204)^INT((BC15-1)/②시니어_가정!$E$205)*(1-CHOOSE(MIN(MAX(BC16,1),3),②시니어_가정!$E$207,②시니어_가정!$E$208,②시니어_가정!$E$209))</f>
        <v>0</v>
      </c>
      <c r="BD36" s="37" t="n">
        <f aca="false">(BD14=1)*②시니어_가정!$H$38*②시니어_가정!$E$201*②시니어_가정!$E$202/1000*(1+②시니어_가정!$E$204)^INT((BD15-1)/②시니어_가정!$E$205)*(1-CHOOSE(MIN(MAX(BD16,1),3),②시니어_가정!$E$207,②시니어_가정!$E$208,②시니어_가정!$E$209))</f>
        <v>0</v>
      </c>
      <c r="BE36" s="37" t="n">
        <f aca="false">(BE14=1)*②시니어_가정!$H$38*②시니어_가정!$E$201*②시니어_가정!$E$202/1000*(1+②시니어_가정!$E$204)^INT((BE15-1)/②시니어_가정!$E$205)*(1-CHOOSE(MIN(MAX(BE16,1),3),②시니어_가정!$E$207,②시니어_가정!$E$208,②시니어_가정!$E$209))</f>
        <v>0</v>
      </c>
      <c r="BF36" s="37" t="n">
        <f aca="false">(BF14=1)*②시니어_가정!$H$38*②시니어_가정!$E$201*②시니어_가정!$E$202/1000*(1+②시니어_가정!$E$204)^INT((BF15-1)/②시니어_가정!$E$205)*(1-CHOOSE(MIN(MAX(BF16,1),3),②시니어_가정!$E$207,②시니어_가정!$E$208,②시니어_가정!$E$209))</f>
        <v>0</v>
      </c>
      <c r="BG36" s="37" t="n">
        <f aca="false">(BG14=1)*②시니어_가정!$H$38*②시니어_가정!$E$201*②시니어_가정!$E$202/1000*(1+②시니어_가정!$E$204)^INT((BG15-1)/②시니어_가정!$E$205)*(1-CHOOSE(MIN(MAX(BG16,1),3),②시니어_가정!$E$207,②시니어_가정!$E$208,②시니어_가정!$E$209))</f>
        <v>0</v>
      </c>
      <c r="BH36" s="37" t="n">
        <f aca="false">(BH14=1)*②시니어_가정!$H$38*②시니어_가정!$E$201*②시니어_가정!$E$202/1000*(1+②시니어_가정!$E$204)^INT((BH15-1)/②시니어_가정!$E$205)*(1-CHOOSE(MIN(MAX(BH16,1),3),②시니어_가정!$E$207,②시니어_가정!$E$208,②시니어_가정!$E$209))</f>
        <v>0</v>
      </c>
      <c r="BI36" s="37" t="n">
        <f aca="false">(BI14=1)*②시니어_가정!$H$38*②시니어_가정!$E$201*②시니어_가정!$E$202/1000*(1+②시니어_가정!$E$204)^INT((BI15-1)/②시니어_가정!$E$205)*(1-CHOOSE(MIN(MAX(BI16,1),3),②시니어_가정!$E$207,②시니어_가정!$E$208,②시니어_가정!$E$209))</f>
        <v>0</v>
      </c>
      <c r="BJ36" s="37" t="n">
        <f aca="false">(BJ14=1)*②시니어_가정!$H$38*②시니어_가정!$E$201*②시니어_가정!$E$202/1000*(1+②시니어_가정!$E$204)^INT((BJ15-1)/②시니어_가정!$E$205)*(1-CHOOSE(MIN(MAX(BJ16,1),3),②시니어_가정!$E$207,②시니어_가정!$E$208,②시니어_가정!$E$209))</f>
        <v>0</v>
      </c>
      <c r="BK36" s="37" t="n">
        <f aca="false">(BK14=1)*②시니어_가정!$H$38*②시니어_가정!$E$201*②시니어_가정!$E$202/1000*(1+②시니어_가정!$E$204)^INT((BK15-1)/②시니어_가정!$E$205)*(1-CHOOSE(MIN(MAX(BK16,1),3),②시니어_가정!$E$207,②시니어_가정!$E$208,②시니어_가정!$E$209))</f>
        <v>0</v>
      </c>
      <c r="BL36" s="37" t="n">
        <f aca="false">(BL14=1)*②시니어_가정!$H$38*②시니어_가정!$E$201*②시니어_가정!$E$202/1000*(1+②시니어_가정!$E$204)^INT((BL15-1)/②시니어_가정!$E$205)*(1-CHOOSE(MIN(MAX(BL16,1),3),②시니어_가정!$E$207,②시니어_가정!$E$208,②시니어_가정!$E$209))</f>
        <v>0</v>
      </c>
      <c r="BM36" s="37" t="n">
        <f aca="false">(BM14=1)*②시니어_가정!$H$38*②시니어_가정!$E$201*②시니어_가정!$E$202/1000*(1+②시니어_가정!$E$204)^INT((BM15-1)/②시니어_가정!$E$205)*(1-CHOOSE(MIN(MAX(BM16,1),3),②시니어_가정!$E$207,②시니어_가정!$E$208,②시니어_가정!$E$209))</f>
        <v>0</v>
      </c>
      <c r="BN36" s="37" t="n">
        <f aca="false">(BN14=1)*②시니어_가정!$H$38*②시니어_가정!$E$201*②시니어_가정!$E$202/1000*(1+②시니어_가정!$E$204)^INT((BN15-1)/②시니어_가정!$E$205)*(1-CHOOSE(MIN(MAX(BN16,1),3),②시니어_가정!$E$207,②시니어_가정!$E$208,②시니어_가정!$E$209))</f>
        <v>0</v>
      </c>
      <c r="BO36" s="37" t="n">
        <f aca="false">(BO14=1)*②시니어_가정!$H$38*②시니어_가정!$E$201*②시니어_가정!$E$202/1000*(1+②시니어_가정!$E$204)^INT((BO15-1)/②시니어_가정!$E$205)*(1-CHOOSE(MIN(MAX(BO16,1),3),②시니어_가정!$E$207,②시니어_가정!$E$208,②시니어_가정!$E$209))</f>
        <v>0</v>
      </c>
      <c r="BP36" s="37" t="n">
        <f aca="false">(BP14=1)*②시니어_가정!$H$38*②시니어_가정!$E$201*②시니어_가정!$E$202/1000*(1+②시니어_가정!$E$204)^INT((BP15-1)/②시니어_가정!$E$205)*(1-CHOOSE(MIN(MAX(BP16,1),3),②시니어_가정!$E$207,②시니어_가정!$E$208,②시니어_가정!$E$209))</f>
        <v>0</v>
      </c>
      <c r="BQ36" s="37" t="n">
        <f aca="false">(BQ14=1)*②시니어_가정!$H$38*②시니어_가정!$E$201*②시니어_가정!$E$202/1000*(1+②시니어_가정!$E$204)^INT((BQ15-1)/②시니어_가정!$E$205)*(1-CHOOSE(MIN(MAX(BQ16,1),3),②시니어_가정!$E$207,②시니어_가정!$E$208,②시니어_가정!$E$209))</f>
        <v>0</v>
      </c>
      <c r="BR36" s="37" t="n">
        <f aca="false">(BR14=1)*②시니어_가정!$H$38*②시니어_가정!$E$201*②시니어_가정!$E$202/1000*(1+②시니어_가정!$E$204)^INT((BR15-1)/②시니어_가정!$E$205)*(1-CHOOSE(MIN(MAX(BR16,1),3),②시니어_가정!$E$207,②시니어_가정!$E$208,②시니어_가정!$E$209))</f>
        <v>0</v>
      </c>
      <c r="BS36" s="37" t="n">
        <f aca="false">(BS14=1)*②시니어_가정!$H$38*②시니어_가정!$E$201*②시니어_가정!$E$202/1000*(1+②시니어_가정!$E$204)^INT((BS15-1)/②시니어_가정!$E$205)*(1-CHOOSE(MIN(MAX(BS16,1),3),②시니어_가정!$E$207,②시니어_가정!$E$208,②시니어_가정!$E$209))</f>
        <v>0</v>
      </c>
      <c r="BT36" s="37" t="n">
        <f aca="false">(BT14=1)*②시니어_가정!$H$38*②시니어_가정!$E$201*②시니어_가정!$E$202/1000*(1+②시니어_가정!$E$204)^INT((BT15-1)/②시니어_가정!$E$205)*(1-CHOOSE(MIN(MAX(BT16,1),3),②시니어_가정!$E$207,②시니어_가정!$E$208,②시니어_가정!$E$209))</f>
        <v>0</v>
      </c>
      <c r="BU36" s="37" t="n">
        <f aca="false">(BU14=1)*②시니어_가정!$H$38*②시니어_가정!$E$201*②시니어_가정!$E$202/1000*(1+②시니어_가정!$E$204)^INT((BU15-1)/②시니어_가정!$E$205)*(1-CHOOSE(MIN(MAX(BU16,1),3),②시니어_가정!$E$207,②시니어_가정!$E$208,②시니어_가정!$E$209))</f>
        <v>0</v>
      </c>
      <c r="BV36" s="37" t="n">
        <f aca="false">(BV14=1)*②시니어_가정!$H$38*②시니어_가정!$E$201*②시니어_가정!$E$202/1000*(1+②시니어_가정!$E$204)^INT((BV15-1)/②시니어_가정!$E$205)*(1-CHOOSE(MIN(MAX(BV16,1),3),②시니어_가정!$E$207,②시니어_가정!$E$208,②시니어_가정!$E$209))</f>
        <v>0</v>
      </c>
      <c r="BW36" s="37" t="n">
        <f aca="false">(BW14=1)*②시니어_가정!$H$38*②시니어_가정!$E$201*②시니어_가정!$E$202/1000*(1+②시니어_가정!$E$204)^INT((BW15-1)/②시니어_가정!$E$205)*(1-CHOOSE(MIN(MAX(BW16,1),3),②시니어_가정!$E$207,②시니어_가정!$E$208,②시니어_가정!$E$209))</f>
        <v>0</v>
      </c>
      <c r="BX36" s="37" t="n">
        <f aca="false">(BX14=1)*②시니어_가정!$H$38*②시니어_가정!$E$201*②시니어_가정!$E$202/1000*(1+②시니어_가정!$E$204)^INT((BX15-1)/②시니어_가정!$E$205)*(1-CHOOSE(MIN(MAX(BX16,1),3),②시니어_가정!$E$207,②시니어_가정!$E$208,②시니어_가정!$E$209))</f>
        <v>0</v>
      </c>
      <c r="BY36" s="37" t="n">
        <f aca="false">(BY14=1)*②시니어_가정!$H$38*②시니어_가정!$E$201*②시니어_가정!$E$202/1000*(1+②시니어_가정!$E$204)^INT((BY15-1)/②시니어_가정!$E$205)*(1-CHOOSE(MIN(MAX(BY16,1),3),②시니어_가정!$E$207,②시니어_가정!$E$208,②시니어_가정!$E$209))</f>
        <v>0</v>
      </c>
      <c r="BZ36" s="37" t="n">
        <f aca="false">(BZ14=1)*②시니어_가정!$H$38*②시니어_가정!$E$201*②시니어_가정!$E$202/1000*(1+②시니어_가정!$E$204)^INT((BZ15-1)/②시니어_가정!$E$205)*(1-CHOOSE(MIN(MAX(BZ16,1),3),②시니어_가정!$E$207,②시니어_가정!$E$208,②시니어_가정!$E$209))</f>
        <v>0</v>
      </c>
      <c r="CA36" s="37" t="n">
        <f aca="false">(CA14=1)*②시니어_가정!$H$38*②시니어_가정!$E$201*②시니어_가정!$E$202/1000*(1+②시니어_가정!$E$204)^INT((CA15-1)/②시니어_가정!$E$205)*(1-CHOOSE(MIN(MAX(CA16,1),3),②시니어_가정!$E$207,②시니어_가정!$E$208,②시니어_가정!$E$209))</f>
        <v>0</v>
      </c>
      <c r="CB36" s="37" t="n">
        <f aca="false">(CB14=1)*②시니어_가정!$H$38*②시니어_가정!$E$201*②시니어_가정!$E$202/1000*(1+②시니어_가정!$E$204)^INT((CB15-1)/②시니어_가정!$E$205)*(1-CHOOSE(MIN(MAX(CB16,1),3),②시니어_가정!$E$207,②시니어_가정!$E$208,②시니어_가정!$E$209))</f>
        <v>0</v>
      </c>
      <c r="CC36" s="37" t="n">
        <f aca="false">(CC14=1)*②시니어_가정!$H$38*②시니어_가정!$E$201*②시니어_가정!$E$202/1000*(1+②시니어_가정!$E$204)^INT((CC15-1)/②시니어_가정!$E$205)*(1-CHOOSE(MIN(MAX(CC16,1),3),②시니어_가정!$E$207,②시니어_가정!$E$208,②시니어_가정!$E$209))</f>
        <v>0</v>
      </c>
      <c r="CD36" s="37" t="n">
        <f aca="false">(CD14=1)*②시니어_가정!$H$38*②시니어_가정!$E$201*②시니어_가정!$E$202/1000*(1+②시니어_가정!$E$204)^INT((CD15-1)/②시니어_가정!$E$205)*(1-CHOOSE(MIN(MAX(CD16,1),3),②시니어_가정!$E$207,②시니어_가정!$E$208,②시니어_가정!$E$209))</f>
        <v>0</v>
      </c>
      <c r="CE36" s="37" t="n">
        <f aca="false">(CE14=1)*②시니어_가정!$H$38*②시니어_가정!$E$201*②시니어_가정!$E$202/1000*(1+②시니어_가정!$E$204)^INT((CE15-1)/②시니어_가정!$E$205)*(1-CHOOSE(MIN(MAX(CE16,1),3),②시니어_가정!$E$207,②시니어_가정!$E$208,②시니어_가정!$E$209))</f>
        <v>0</v>
      </c>
      <c r="CF36" s="37" t="n">
        <f aca="false">(CF14=1)*②시니어_가정!$H$38*②시니어_가정!$E$201*②시니어_가정!$E$202/1000*(1+②시니어_가정!$E$204)^INT((CF15-1)/②시니어_가정!$E$205)*(1-CHOOSE(MIN(MAX(CF16,1),3),②시니어_가정!$E$207,②시니어_가정!$E$208,②시니어_가정!$E$209))</f>
        <v>0</v>
      </c>
      <c r="CG36" s="37" t="n">
        <f aca="false">(CG14=1)*②시니어_가정!$H$38*②시니어_가정!$E$201*②시니어_가정!$E$202/1000*(1+②시니어_가정!$E$204)^INT((CG15-1)/②시니어_가정!$E$205)*(1-CHOOSE(MIN(MAX(CG16,1),3),②시니어_가정!$E$207,②시니어_가정!$E$208,②시니어_가정!$E$209))</f>
        <v>0</v>
      </c>
      <c r="CH36" s="37" t="n">
        <f aca="false">(CH14=1)*②시니어_가정!$H$38*②시니어_가정!$E$201*②시니어_가정!$E$202/1000*(1+②시니어_가정!$E$204)^INT((CH15-1)/②시니어_가정!$E$205)*(1-CHOOSE(MIN(MAX(CH16,1),3),②시니어_가정!$E$207,②시니어_가정!$E$208,②시니어_가정!$E$209))</f>
        <v>0</v>
      </c>
      <c r="CI36" s="37" t="n">
        <f aca="false">(CI14=1)*②시니어_가정!$H$38*②시니어_가정!$E$201*②시니어_가정!$E$202/1000*(1+②시니어_가정!$E$204)^INT((CI15-1)/②시니어_가정!$E$205)*(1-CHOOSE(MIN(MAX(CI16,1),3),②시니어_가정!$E$207,②시니어_가정!$E$208,②시니어_가정!$E$209))</f>
        <v>0</v>
      </c>
      <c r="CJ36" s="37" t="n">
        <f aca="false">(CJ14=1)*②시니어_가정!$H$38*②시니어_가정!$E$201*②시니어_가정!$E$202/1000*(1+②시니어_가정!$E$204)^INT((CJ15-1)/②시니어_가정!$E$205)*(1-CHOOSE(MIN(MAX(CJ16,1),3),②시니어_가정!$E$207,②시니어_가정!$E$208,②시니어_가정!$E$209))</f>
        <v>0</v>
      </c>
      <c r="CK36" s="37" t="n">
        <f aca="false">(CK14=1)*②시니어_가정!$H$38*②시니어_가정!$E$201*②시니어_가정!$E$202/1000*(1+②시니어_가정!$E$204)^INT((CK15-1)/②시니어_가정!$E$205)*(1-CHOOSE(MIN(MAX(CK16,1),3),②시니어_가정!$E$207,②시니어_가정!$E$208,②시니어_가정!$E$209))</f>
        <v>0</v>
      </c>
      <c r="CL36" s="37" t="n">
        <f aca="false">(CL14=1)*②시니어_가정!$H$38*②시니어_가정!$E$201*②시니어_가정!$E$202/1000*(1+②시니어_가정!$E$204)^INT((CL15-1)/②시니어_가정!$E$205)*(1-CHOOSE(MIN(MAX(CL16,1),3),②시니어_가정!$E$207,②시니어_가정!$E$208,②시니어_가정!$E$209))</f>
        <v>0</v>
      </c>
      <c r="CM36" s="37" t="n">
        <f aca="false">(CM14=1)*②시니어_가정!$H$38*②시니어_가정!$E$201*②시니어_가정!$E$202/1000*(1+②시니어_가정!$E$204)^INT((CM15-1)/②시니어_가정!$E$205)*(1-CHOOSE(MIN(MAX(CM16,1),3),②시니어_가정!$E$207,②시니어_가정!$E$208,②시니어_가정!$E$209))</f>
        <v>0</v>
      </c>
      <c r="CN36" s="37" t="n">
        <f aca="false">(CN14=1)*②시니어_가정!$H$38*②시니어_가정!$E$201*②시니어_가정!$E$202/1000*(1+②시니어_가정!$E$204)^INT((CN15-1)/②시니어_가정!$E$205)*(1-CHOOSE(MIN(MAX(CN16,1),3),②시니어_가정!$E$207,②시니어_가정!$E$208,②시니어_가정!$E$209))</f>
        <v>0</v>
      </c>
      <c r="CO36" s="37" t="n">
        <f aca="false">(CO14=1)*②시니어_가정!$H$38*②시니어_가정!$E$201*②시니어_가정!$E$202/1000*(1+②시니어_가정!$E$204)^INT((CO15-1)/②시니어_가정!$E$205)*(1-CHOOSE(MIN(MAX(CO16,1),3),②시니어_가정!$E$207,②시니어_가정!$E$208,②시니어_가정!$E$209))</f>
        <v>0</v>
      </c>
      <c r="CP36" s="37" t="n">
        <f aca="false">(CP14=1)*②시니어_가정!$H$38*②시니어_가정!$E$201*②시니어_가정!$E$202/1000*(1+②시니어_가정!$E$204)^INT((CP15-1)/②시니어_가정!$E$205)*(1-CHOOSE(MIN(MAX(CP16,1),3),②시니어_가정!$E$207,②시니어_가정!$E$208,②시니어_가정!$E$209))</f>
        <v>0</v>
      </c>
      <c r="CQ36" s="37" t="n">
        <f aca="false">(CQ14=1)*②시니어_가정!$H$38*②시니어_가정!$E$201*②시니어_가정!$E$202/1000*(1+②시니어_가정!$E$204)^INT((CQ15-1)/②시니어_가정!$E$205)*(1-CHOOSE(MIN(MAX(CQ16,1),3),②시니어_가정!$E$207,②시니어_가정!$E$208,②시니어_가정!$E$209))</f>
        <v>0</v>
      </c>
      <c r="CR36" s="37" t="n">
        <f aca="false">(CR14=1)*②시니어_가정!$H$38*②시니어_가정!$E$201*②시니어_가정!$E$202/1000*(1+②시니어_가정!$E$204)^INT((CR15-1)/②시니어_가정!$E$205)*(1-CHOOSE(MIN(MAX(CR16,1),3),②시니어_가정!$E$207,②시니어_가정!$E$208,②시니어_가정!$E$209))</f>
        <v>0</v>
      </c>
      <c r="CS36" s="37" t="n">
        <f aca="false">(CS14=1)*②시니어_가정!$H$38*②시니어_가정!$E$201*②시니어_가정!$E$202/1000*(1+②시니어_가정!$E$204)^INT((CS15-1)/②시니어_가정!$E$205)*(1-CHOOSE(MIN(MAX(CS16,1),3),②시니어_가정!$E$207,②시니어_가정!$E$208,②시니어_가정!$E$209))</f>
        <v>0</v>
      </c>
      <c r="CT36" s="37" t="n">
        <f aca="false">(CT14=1)*②시니어_가정!$H$38*②시니어_가정!$E$201*②시니어_가정!$E$202/1000*(1+②시니어_가정!$E$204)^INT((CT15-1)/②시니어_가정!$E$205)*(1-CHOOSE(MIN(MAX(CT16,1),3),②시니어_가정!$E$207,②시니어_가정!$E$208,②시니어_가정!$E$209))</f>
        <v>0</v>
      </c>
      <c r="CU36" s="37" t="n">
        <f aca="false">(CU14=1)*②시니어_가정!$H$38*②시니어_가정!$E$201*②시니어_가정!$E$202/1000*(1+②시니어_가정!$E$204)^INT((CU15-1)/②시니어_가정!$E$205)*(1-CHOOSE(MIN(MAX(CU16,1),3),②시니어_가정!$E$207,②시니어_가정!$E$208,②시니어_가정!$E$209))</f>
        <v>0</v>
      </c>
      <c r="CV36" s="37" t="n">
        <f aca="false">(CV14=1)*②시니어_가정!$H$38*②시니어_가정!$E$201*②시니어_가정!$E$202/1000*(1+②시니어_가정!$E$204)^INT((CV15-1)/②시니어_가정!$E$205)*(1-CHOOSE(MIN(MAX(CV16,1),3),②시니어_가정!$E$207,②시니어_가정!$E$208,②시니어_가정!$E$209))</f>
        <v>0</v>
      </c>
      <c r="CW36" s="37" t="n">
        <f aca="false">(CW14=1)*②시니어_가정!$H$38*②시니어_가정!$E$201*②시니어_가정!$E$202/1000*(1+②시니어_가정!$E$204)^INT((CW15-1)/②시니어_가정!$E$205)*(1-CHOOSE(MIN(MAX(CW16,1),3),②시니어_가정!$E$207,②시니어_가정!$E$208,②시니어_가정!$E$209))</f>
        <v>0</v>
      </c>
      <c r="CX36" s="37" t="n">
        <f aca="false">(CX14=1)*②시니어_가정!$H$38*②시니어_가정!$E$201*②시니어_가정!$E$202/1000*(1+②시니어_가정!$E$204)^INT((CX15-1)/②시니어_가정!$E$205)*(1-CHOOSE(MIN(MAX(CX16,1),3),②시니어_가정!$E$207,②시니어_가정!$E$208,②시니어_가정!$E$209))</f>
        <v>0</v>
      </c>
      <c r="CY36" s="37" t="n">
        <f aca="false">(CY14=1)*②시니어_가정!$H$38*②시니어_가정!$E$201*②시니어_가정!$E$202/1000*(1+②시니어_가정!$E$204)^INT((CY15-1)/②시니어_가정!$E$205)*(1-CHOOSE(MIN(MAX(CY16,1),3),②시니어_가정!$E$207,②시니어_가정!$E$208,②시니어_가정!$E$209))</f>
        <v>0</v>
      </c>
      <c r="CZ36" s="37" t="n">
        <f aca="false">(CZ14=1)*②시니어_가정!$H$38*②시니어_가정!$E$201*②시니어_가정!$E$202/1000*(1+②시니어_가정!$E$204)^INT((CZ15-1)/②시니어_가정!$E$205)*(1-CHOOSE(MIN(MAX(CZ16,1),3),②시니어_가정!$E$207,②시니어_가정!$E$208,②시니어_가정!$E$209))</f>
        <v>0</v>
      </c>
      <c r="DA36" s="37" t="n">
        <f aca="false">(DA14=1)*②시니어_가정!$H$38*②시니어_가정!$E$201*②시니어_가정!$E$202/1000*(1+②시니어_가정!$E$204)^INT((DA15-1)/②시니어_가정!$E$205)*(1-CHOOSE(MIN(MAX(DA16,1),3),②시니어_가정!$E$207,②시니어_가정!$E$208,②시니어_가정!$E$209))</f>
        <v>0</v>
      </c>
      <c r="DB36" s="37" t="n">
        <f aca="false">(DB14=1)*②시니어_가정!$H$38*②시니어_가정!$E$201*②시니어_가정!$E$202/1000*(1+②시니어_가정!$E$204)^INT((DB15-1)/②시니어_가정!$E$205)*(1-CHOOSE(MIN(MAX(DB16,1),3),②시니어_가정!$E$207,②시니어_가정!$E$208,②시니어_가정!$E$209))</f>
        <v>0</v>
      </c>
      <c r="DC36" s="37" t="n">
        <f aca="false">(DC14=1)*②시니어_가정!$H$38*②시니어_가정!$E$201*②시니어_가정!$E$202/1000*(1+②시니어_가정!$E$204)^INT((DC15-1)/②시니어_가정!$E$205)*(1-CHOOSE(MIN(MAX(DC16,1),3),②시니어_가정!$E$207,②시니어_가정!$E$208,②시니어_가정!$E$209))</f>
        <v>0</v>
      </c>
      <c r="DD36" s="37" t="n">
        <f aca="false">(DD14=1)*②시니어_가정!$H$38*②시니어_가정!$E$201*②시니어_가정!$E$202/1000*(1+②시니어_가정!$E$204)^INT((DD15-1)/②시니어_가정!$E$205)*(1-CHOOSE(MIN(MAX(DD16,1),3),②시니어_가정!$E$207,②시니어_가정!$E$208,②시니어_가정!$E$209))</f>
        <v>0</v>
      </c>
      <c r="DE36" s="37" t="n">
        <f aca="false">(DE14=1)*②시니어_가정!$H$38*②시니어_가정!$E$201*②시니어_가정!$E$202/1000*(1+②시니어_가정!$E$204)^INT((DE15-1)/②시니어_가정!$E$205)*(1-CHOOSE(MIN(MAX(DE16,1),3),②시니어_가정!$E$207,②시니어_가정!$E$208,②시니어_가정!$E$209))</f>
        <v>0</v>
      </c>
      <c r="DF36" s="37" t="n">
        <f aca="false">(DF14=1)*②시니어_가정!$H$38*②시니어_가정!$E$201*②시니어_가정!$E$202/1000*(1+②시니어_가정!$E$204)^INT((DF15-1)/②시니어_가정!$E$205)*(1-CHOOSE(MIN(MAX(DF16,1),3),②시니어_가정!$E$207,②시니어_가정!$E$208,②시니어_가정!$E$209))</f>
        <v>0</v>
      </c>
      <c r="DG36" s="37" t="n">
        <f aca="false">(DG14=1)*②시니어_가정!$H$38*②시니어_가정!$E$201*②시니어_가정!$E$202/1000*(1+②시니어_가정!$E$204)^INT((DG15-1)/②시니어_가정!$E$205)*(1-CHOOSE(MIN(MAX(DG16,1),3),②시니어_가정!$E$207,②시니어_가정!$E$208,②시니어_가정!$E$209))</f>
        <v>0</v>
      </c>
      <c r="DH36" s="37" t="n">
        <f aca="false">(DH14=1)*②시니어_가정!$H$38*②시니어_가정!$E$201*②시니어_가정!$E$202/1000*(1+②시니어_가정!$E$204)^INT((DH15-1)/②시니어_가정!$E$205)*(1-CHOOSE(MIN(MAX(DH16,1),3),②시니어_가정!$E$207,②시니어_가정!$E$208,②시니어_가정!$E$209))</f>
        <v>0</v>
      </c>
      <c r="DI36" s="37" t="n">
        <f aca="false">(DI14=1)*②시니어_가정!$H$38*②시니어_가정!$E$201*②시니어_가정!$E$202/1000*(1+②시니어_가정!$E$204)^INT((DI15-1)/②시니어_가정!$E$205)*(1-CHOOSE(MIN(MAX(DI16,1),3),②시니어_가정!$E$207,②시니어_가정!$E$208,②시니어_가정!$E$209))</f>
        <v>0</v>
      </c>
      <c r="DJ36" s="37" t="n">
        <f aca="false">(DJ14=1)*②시니어_가정!$H$38*②시니어_가정!$E$201*②시니어_가정!$E$202/1000*(1+②시니어_가정!$E$204)^INT((DJ15-1)/②시니어_가정!$E$205)*(1-CHOOSE(MIN(MAX(DJ16,1),3),②시니어_가정!$E$207,②시니어_가정!$E$208,②시니어_가정!$E$209))</f>
        <v>0</v>
      </c>
      <c r="DK36" s="37" t="n">
        <f aca="false">(DK14=1)*②시니어_가정!$H$38*②시니어_가정!$E$201*②시니어_가정!$E$202/1000*(1+②시니어_가정!$E$204)^INT((DK15-1)/②시니어_가정!$E$205)*(1-CHOOSE(MIN(MAX(DK16,1),3),②시니어_가정!$E$207,②시니어_가정!$E$208,②시니어_가정!$E$209))</f>
        <v>0</v>
      </c>
      <c r="DL36" s="37" t="n">
        <f aca="false">(DL14=1)*②시니어_가정!$H$38*②시니어_가정!$E$201*②시니어_가정!$E$202/1000*(1+②시니어_가정!$E$204)^INT((DL15-1)/②시니어_가정!$E$205)*(1-CHOOSE(MIN(MAX(DL16,1),3),②시니어_가정!$E$207,②시니어_가정!$E$208,②시니어_가정!$E$209))</f>
        <v>0</v>
      </c>
      <c r="DM36" s="37" t="n">
        <f aca="false">(DM14=1)*②시니어_가정!$H$38*②시니어_가정!$E$201*②시니어_가정!$E$202/1000*(1+②시니어_가정!$E$204)^INT((DM15-1)/②시니어_가정!$E$205)*(1-CHOOSE(MIN(MAX(DM16,1),3),②시니어_가정!$E$207,②시니어_가정!$E$208,②시니어_가정!$E$209))</f>
        <v>0</v>
      </c>
      <c r="DN36" s="37" t="n">
        <f aca="false">(DN14=1)*②시니어_가정!$H$38*②시니어_가정!$E$201*②시니어_가정!$E$202/1000*(1+②시니어_가정!$E$204)^INT((DN15-1)/②시니어_가정!$E$205)*(1-CHOOSE(MIN(MAX(DN16,1),3),②시니어_가정!$E$207,②시니어_가정!$E$208,②시니어_가정!$E$209))</f>
        <v>0</v>
      </c>
      <c r="DO36" s="37" t="n">
        <f aca="false">(DO14=1)*②시니어_가정!$H$38*②시니어_가정!$E$201*②시니어_가정!$E$202/1000*(1+②시니어_가정!$E$204)^INT((DO15-1)/②시니어_가정!$E$205)*(1-CHOOSE(MIN(MAX(DO16,1),3),②시니어_가정!$E$207,②시니어_가정!$E$208,②시니어_가정!$E$209))</f>
        <v>0</v>
      </c>
      <c r="DP36" s="37" t="n">
        <f aca="false">(DP14=1)*②시니어_가정!$H$38*②시니어_가정!$E$201*②시니어_가정!$E$202/1000*(1+②시니어_가정!$E$204)^INT((DP15-1)/②시니어_가정!$E$205)*(1-CHOOSE(MIN(MAX(DP16,1),3),②시니어_가정!$E$207,②시니어_가정!$E$208,②시니어_가정!$E$209))</f>
        <v>0</v>
      </c>
      <c r="DQ36" s="37" t="n">
        <f aca="false">(DQ14=1)*②시니어_가정!$H$38*②시니어_가정!$E$201*②시니어_가정!$E$202/1000*(1+②시니어_가정!$E$204)^INT((DQ15-1)/②시니어_가정!$E$205)*(1-CHOOSE(MIN(MAX(DQ16,1),3),②시니어_가정!$E$207,②시니어_가정!$E$208,②시니어_가정!$E$209))</f>
        <v>0</v>
      </c>
      <c r="DR36" s="37" t="n">
        <f aca="false">(DR14=1)*②시니어_가정!$H$38*②시니어_가정!$E$201*②시니어_가정!$E$202/1000*(1+②시니어_가정!$E$204)^INT((DR15-1)/②시니어_가정!$E$205)*(1-CHOOSE(MIN(MAX(DR16,1),3),②시니어_가정!$E$207,②시니어_가정!$E$208,②시니어_가정!$E$209))</f>
        <v>0</v>
      </c>
      <c r="DS36" s="37" t="n">
        <f aca="false">(DS14=1)*②시니어_가정!$H$38*②시니어_가정!$E$201*②시니어_가정!$E$202/1000*(1+②시니어_가정!$E$204)^INT((DS15-1)/②시니어_가정!$E$205)*(1-CHOOSE(MIN(MAX(DS16,1),3),②시니어_가정!$E$207,②시니어_가정!$E$208,②시니어_가정!$E$209))</f>
        <v>0</v>
      </c>
      <c r="DT36" s="37" t="n">
        <f aca="false">(DT14=1)*②시니어_가정!$H$38*②시니어_가정!$E$201*②시니어_가정!$E$202/1000*(1+②시니어_가정!$E$204)^INT((DT15-1)/②시니어_가정!$E$205)*(1-CHOOSE(MIN(MAX(DT16,1),3),②시니어_가정!$E$207,②시니어_가정!$E$208,②시니어_가정!$E$209))</f>
        <v>0</v>
      </c>
      <c r="DU36" s="37" t="n">
        <f aca="false">(DU14=1)*②시니어_가정!$H$38*②시니어_가정!$E$201*②시니어_가정!$E$202/1000*(1+②시니어_가정!$E$204)^INT((DU15-1)/②시니어_가정!$E$205)*(1-CHOOSE(MIN(MAX(DU16,1),3),②시니어_가정!$E$207,②시니어_가정!$E$208,②시니어_가정!$E$209))</f>
        <v>0</v>
      </c>
      <c r="DV36" s="37" t="n">
        <f aca="false">(DV14=1)*②시니어_가정!$H$38*②시니어_가정!$E$201*②시니어_가정!$E$202/1000*(1+②시니어_가정!$E$204)^INT((DV15-1)/②시니어_가정!$E$205)*(1-CHOOSE(MIN(MAX(DV16,1),3),②시니어_가정!$E$207,②시니어_가정!$E$208,②시니어_가정!$E$209))</f>
        <v>0</v>
      </c>
      <c r="DW36" s="37" t="n">
        <f aca="false">(DW14=1)*②시니어_가정!$H$38*②시니어_가정!$E$201*②시니어_가정!$E$202/1000*(1+②시니어_가정!$E$204)^INT((DW15-1)/②시니어_가정!$E$205)*(1-CHOOSE(MIN(MAX(DW16,1),3),②시니어_가정!$E$207,②시니어_가정!$E$208,②시니어_가정!$E$209))</f>
        <v>0</v>
      </c>
      <c r="DX36" s="37" t="n">
        <f aca="false">(DX14=1)*②시니어_가정!$H$38*②시니어_가정!$E$201*②시니어_가정!$E$202/1000*(1+②시니어_가정!$E$204)^INT((DX15-1)/②시니어_가정!$E$205)*(1-CHOOSE(MIN(MAX(DX16,1),3),②시니어_가정!$E$207,②시니어_가정!$E$208,②시니어_가정!$E$209))</f>
        <v>0</v>
      </c>
      <c r="DY36" s="37" t="n">
        <f aca="false">(DY14=1)*②시니어_가정!$H$38*②시니어_가정!$E$201*②시니어_가정!$E$202/1000*(1+②시니어_가정!$E$204)^INT((DY15-1)/②시니어_가정!$E$205)*(1-CHOOSE(MIN(MAX(DY16,1),3),②시니어_가정!$E$207,②시니어_가정!$E$208,②시니어_가정!$E$209))</f>
        <v>0</v>
      </c>
      <c r="DZ36" s="37" t="n">
        <f aca="false">(DZ14=1)*②시니어_가정!$H$38*②시니어_가정!$E$201*②시니어_가정!$E$202/1000*(1+②시니어_가정!$E$204)^INT((DZ15-1)/②시니어_가정!$E$205)*(1-CHOOSE(MIN(MAX(DZ16,1),3),②시니어_가정!$E$207,②시니어_가정!$E$208,②시니어_가정!$E$209))</f>
        <v>0</v>
      </c>
      <c r="EA36" s="37" t="n">
        <f aca="false">(EA14=1)*②시니어_가정!$H$38*②시니어_가정!$E$201*②시니어_가정!$E$202/1000*(1+②시니어_가정!$E$204)^INT((EA15-1)/②시니어_가정!$E$205)*(1-CHOOSE(MIN(MAX(EA16,1),3),②시니어_가정!$E$207,②시니어_가정!$E$208,②시니어_가정!$E$209))</f>
        <v>0</v>
      </c>
      <c r="EB36" s="37" t="n">
        <f aca="false">(EB14=1)*②시니어_가정!$H$38*②시니어_가정!$E$201*②시니어_가정!$E$202/1000*(1+②시니어_가정!$E$204)^INT((EB15-1)/②시니어_가정!$E$205)*(1-CHOOSE(MIN(MAX(EB16,1),3),②시니어_가정!$E$207,②시니어_가정!$E$208,②시니어_가정!$E$209))</f>
        <v>0</v>
      </c>
      <c r="EC36" s="37" t="n">
        <f aca="false">(EC14=1)*②시니어_가정!$H$38*②시니어_가정!$E$201*②시니어_가정!$E$202/1000*(1+②시니어_가정!$E$204)^INT((EC15-1)/②시니어_가정!$E$205)*(1-CHOOSE(MIN(MAX(EC16,1),3),②시니어_가정!$E$207,②시니어_가정!$E$208,②시니어_가정!$E$209))</f>
        <v>0</v>
      </c>
      <c r="ED36" s="37" t="n">
        <f aca="false">(ED14=1)*②시니어_가정!$H$38*②시니어_가정!$E$201*②시니어_가정!$E$202/1000*(1+②시니어_가정!$E$204)^INT((ED15-1)/②시니어_가정!$E$205)*(1-CHOOSE(MIN(MAX(ED16,1),3),②시니어_가정!$E$207,②시니어_가정!$E$208,②시니어_가정!$E$209))</f>
        <v>0</v>
      </c>
      <c r="EE36" s="37" t="n">
        <f aca="false">(EE14=1)*②시니어_가정!$H$38*②시니어_가정!$E$201*②시니어_가정!$E$202/1000*(1+②시니어_가정!$E$204)^INT((EE15-1)/②시니어_가정!$E$205)*(1-CHOOSE(MIN(MAX(EE16,1),3),②시니어_가정!$E$207,②시니어_가정!$E$208,②시니어_가정!$E$209))</f>
        <v>0</v>
      </c>
      <c r="EF36" s="37" t="n">
        <f aca="false">(EF14=1)*②시니어_가정!$H$38*②시니어_가정!$E$201*②시니어_가정!$E$202/1000*(1+②시니어_가정!$E$204)^INT((EF15-1)/②시니어_가정!$E$205)*(1-CHOOSE(MIN(MAX(EF16,1),3),②시니어_가정!$E$207,②시니어_가정!$E$208,②시니어_가정!$E$209))</f>
        <v>0</v>
      </c>
    </row>
    <row r="37" customFormat="false" ht="15" hidden="false" customHeight="false" outlineLevel="0" collapsed="false">
      <c r="A37" s="36" t="s">
        <v>587</v>
      </c>
      <c r="B37" s="278" t="s">
        <v>21</v>
      </c>
      <c r="C37" s="279" t="n">
        <f aca="false">SUM(E37:EF37)</f>
        <v>0</v>
      </c>
      <c r="E37" s="37" t="n">
        <f aca="false">(E14=1)*②시니어_가정!$H$38*②시니어_가정!$E$214*②시니어_가정!$E$215/1000*(1+②시니어_가정!$E$217)^INT((E15-1)/②시니어_가정!$E$218)*(1-CHOOSE(MIN(MAX(E16,1),3),②시니어_가정!$E$220,②시니어_가정!$E$221,②시니어_가정!$E$222))</f>
        <v>0</v>
      </c>
      <c r="F37" s="37" t="n">
        <f aca="false">(F14=1)*②시니어_가정!$H$38*②시니어_가정!$E$214*②시니어_가정!$E$215/1000*(1+②시니어_가정!$E$217)^INT((F15-1)/②시니어_가정!$E$218)*(1-CHOOSE(MIN(MAX(F16,1),3),②시니어_가정!$E$220,②시니어_가정!$E$221,②시니어_가정!$E$222))</f>
        <v>0</v>
      </c>
      <c r="G37" s="37" t="n">
        <f aca="false">(G14=1)*②시니어_가정!$H$38*②시니어_가정!$E$214*②시니어_가정!$E$215/1000*(1+②시니어_가정!$E$217)^INT((G15-1)/②시니어_가정!$E$218)*(1-CHOOSE(MIN(MAX(G16,1),3),②시니어_가정!$E$220,②시니어_가정!$E$221,②시니어_가정!$E$222))</f>
        <v>0</v>
      </c>
      <c r="H37" s="37" t="n">
        <f aca="false">(H14=1)*②시니어_가정!$H$38*②시니어_가정!$E$214*②시니어_가정!$E$215/1000*(1+②시니어_가정!$E$217)^INT((H15-1)/②시니어_가정!$E$218)*(1-CHOOSE(MIN(MAX(H16,1),3),②시니어_가정!$E$220,②시니어_가정!$E$221,②시니어_가정!$E$222))</f>
        <v>0</v>
      </c>
      <c r="I37" s="37" t="n">
        <f aca="false">(I14=1)*②시니어_가정!$H$38*②시니어_가정!$E$214*②시니어_가정!$E$215/1000*(1+②시니어_가정!$E$217)^INT((I15-1)/②시니어_가정!$E$218)*(1-CHOOSE(MIN(MAX(I16,1),3),②시니어_가정!$E$220,②시니어_가정!$E$221,②시니어_가정!$E$222))</f>
        <v>0</v>
      </c>
      <c r="J37" s="37" t="n">
        <f aca="false">(J14=1)*②시니어_가정!$H$38*②시니어_가정!$E$214*②시니어_가정!$E$215/1000*(1+②시니어_가정!$E$217)^INT((J15-1)/②시니어_가정!$E$218)*(1-CHOOSE(MIN(MAX(J16,1),3),②시니어_가정!$E$220,②시니어_가정!$E$221,②시니어_가정!$E$222))</f>
        <v>0</v>
      </c>
      <c r="K37" s="37" t="n">
        <f aca="false">(K14=1)*②시니어_가정!$H$38*②시니어_가정!$E$214*②시니어_가정!$E$215/1000*(1+②시니어_가정!$E$217)^INT((K15-1)/②시니어_가정!$E$218)*(1-CHOOSE(MIN(MAX(K16,1),3),②시니어_가정!$E$220,②시니어_가정!$E$221,②시니어_가정!$E$222))</f>
        <v>0</v>
      </c>
      <c r="L37" s="37" t="n">
        <f aca="false">(L14=1)*②시니어_가정!$H$38*②시니어_가정!$E$214*②시니어_가정!$E$215/1000*(1+②시니어_가정!$E$217)^INT((L15-1)/②시니어_가정!$E$218)*(1-CHOOSE(MIN(MAX(L16,1),3),②시니어_가정!$E$220,②시니어_가정!$E$221,②시니어_가정!$E$222))</f>
        <v>0</v>
      </c>
      <c r="M37" s="37" t="n">
        <f aca="false">(M14=1)*②시니어_가정!$H$38*②시니어_가정!$E$214*②시니어_가정!$E$215/1000*(1+②시니어_가정!$E$217)^INT((M15-1)/②시니어_가정!$E$218)*(1-CHOOSE(MIN(MAX(M16,1),3),②시니어_가정!$E$220,②시니어_가정!$E$221,②시니어_가정!$E$222))</f>
        <v>0</v>
      </c>
      <c r="N37" s="37" t="n">
        <f aca="false">(N14=1)*②시니어_가정!$H$38*②시니어_가정!$E$214*②시니어_가정!$E$215/1000*(1+②시니어_가정!$E$217)^INT((N15-1)/②시니어_가정!$E$218)*(1-CHOOSE(MIN(MAX(N16,1),3),②시니어_가정!$E$220,②시니어_가정!$E$221,②시니어_가정!$E$222))</f>
        <v>0</v>
      </c>
      <c r="O37" s="37" t="n">
        <f aca="false">(O14=1)*②시니어_가정!$H$38*②시니어_가정!$E$214*②시니어_가정!$E$215/1000*(1+②시니어_가정!$E$217)^INT((O15-1)/②시니어_가정!$E$218)*(1-CHOOSE(MIN(MAX(O16,1),3),②시니어_가정!$E$220,②시니어_가정!$E$221,②시니어_가정!$E$222))</f>
        <v>0</v>
      </c>
      <c r="P37" s="37" t="n">
        <f aca="false">(P14=1)*②시니어_가정!$H$38*②시니어_가정!$E$214*②시니어_가정!$E$215/1000*(1+②시니어_가정!$E$217)^INT((P15-1)/②시니어_가정!$E$218)*(1-CHOOSE(MIN(MAX(P16,1),3),②시니어_가정!$E$220,②시니어_가정!$E$221,②시니어_가정!$E$222))</f>
        <v>0</v>
      </c>
      <c r="Q37" s="37" t="n">
        <f aca="false">(Q14=1)*②시니어_가정!$H$38*②시니어_가정!$E$214*②시니어_가정!$E$215/1000*(1+②시니어_가정!$E$217)^INT((Q15-1)/②시니어_가정!$E$218)*(1-CHOOSE(MIN(MAX(Q16,1),3),②시니어_가정!$E$220,②시니어_가정!$E$221,②시니어_가정!$E$222))</f>
        <v>0</v>
      </c>
      <c r="R37" s="37" t="n">
        <f aca="false">(R14=1)*②시니어_가정!$H$38*②시니어_가정!$E$214*②시니어_가정!$E$215/1000*(1+②시니어_가정!$E$217)^INT((R15-1)/②시니어_가정!$E$218)*(1-CHOOSE(MIN(MAX(R16,1),3),②시니어_가정!$E$220,②시니어_가정!$E$221,②시니어_가정!$E$222))</f>
        <v>0</v>
      </c>
      <c r="S37" s="37" t="n">
        <f aca="false">(S14=1)*②시니어_가정!$H$38*②시니어_가정!$E$214*②시니어_가정!$E$215/1000*(1+②시니어_가정!$E$217)^INT((S15-1)/②시니어_가정!$E$218)*(1-CHOOSE(MIN(MAX(S16,1),3),②시니어_가정!$E$220,②시니어_가정!$E$221,②시니어_가정!$E$222))</f>
        <v>0</v>
      </c>
      <c r="T37" s="37" t="n">
        <f aca="false">(T14=1)*②시니어_가정!$H$38*②시니어_가정!$E$214*②시니어_가정!$E$215/1000*(1+②시니어_가정!$E$217)^INT((T15-1)/②시니어_가정!$E$218)*(1-CHOOSE(MIN(MAX(T16,1),3),②시니어_가정!$E$220,②시니어_가정!$E$221,②시니어_가정!$E$222))</f>
        <v>0</v>
      </c>
      <c r="U37" s="37" t="n">
        <f aca="false">(U14=1)*②시니어_가정!$H$38*②시니어_가정!$E$214*②시니어_가정!$E$215/1000*(1+②시니어_가정!$E$217)^INT((U15-1)/②시니어_가정!$E$218)*(1-CHOOSE(MIN(MAX(U16,1),3),②시니어_가정!$E$220,②시니어_가정!$E$221,②시니어_가정!$E$222))</f>
        <v>0</v>
      </c>
      <c r="V37" s="37" t="n">
        <f aca="false">(V14=1)*②시니어_가정!$H$38*②시니어_가정!$E$214*②시니어_가정!$E$215/1000*(1+②시니어_가정!$E$217)^INT((V15-1)/②시니어_가정!$E$218)*(1-CHOOSE(MIN(MAX(V16,1),3),②시니어_가정!$E$220,②시니어_가정!$E$221,②시니어_가정!$E$222))</f>
        <v>0</v>
      </c>
      <c r="W37" s="37" t="n">
        <f aca="false">(W14=1)*②시니어_가정!$H$38*②시니어_가정!$E$214*②시니어_가정!$E$215/1000*(1+②시니어_가정!$E$217)^INT((W15-1)/②시니어_가정!$E$218)*(1-CHOOSE(MIN(MAX(W16,1),3),②시니어_가정!$E$220,②시니어_가정!$E$221,②시니어_가정!$E$222))</f>
        <v>0</v>
      </c>
      <c r="X37" s="37" t="n">
        <f aca="false">(X14=1)*②시니어_가정!$H$38*②시니어_가정!$E$214*②시니어_가정!$E$215/1000*(1+②시니어_가정!$E$217)^INT((X15-1)/②시니어_가정!$E$218)*(1-CHOOSE(MIN(MAX(X16,1),3),②시니어_가정!$E$220,②시니어_가정!$E$221,②시니어_가정!$E$222))</f>
        <v>0</v>
      </c>
      <c r="Y37" s="37" t="n">
        <f aca="false">(Y14=1)*②시니어_가정!$H$38*②시니어_가정!$E$214*②시니어_가정!$E$215/1000*(1+②시니어_가정!$E$217)^INT((Y15-1)/②시니어_가정!$E$218)*(1-CHOOSE(MIN(MAX(Y16,1),3),②시니어_가정!$E$220,②시니어_가정!$E$221,②시니어_가정!$E$222))</f>
        <v>0</v>
      </c>
      <c r="Z37" s="37" t="n">
        <f aca="false">(Z14=1)*②시니어_가정!$H$38*②시니어_가정!$E$214*②시니어_가정!$E$215/1000*(1+②시니어_가정!$E$217)^INT((Z15-1)/②시니어_가정!$E$218)*(1-CHOOSE(MIN(MAX(Z16,1),3),②시니어_가정!$E$220,②시니어_가정!$E$221,②시니어_가정!$E$222))</f>
        <v>0</v>
      </c>
      <c r="AA37" s="37" t="n">
        <f aca="false">(AA14=1)*②시니어_가정!$H$38*②시니어_가정!$E$214*②시니어_가정!$E$215/1000*(1+②시니어_가정!$E$217)^INT((AA15-1)/②시니어_가정!$E$218)*(1-CHOOSE(MIN(MAX(AA16,1),3),②시니어_가정!$E$220,②시니어_가정!$E$221,②시니어_가정!$E$222))</f>
        <v>0</v>
      </c>
      <c r="AB37" s="37" t="n">
        <f aca="false">(AB14=1)*②시니어_가정!$H$38*②시니어_가정!$E$214*②시니어_가정!$E$215/1000*(1+②시니어_가정!$E$217)^INT((AB15-1)/②시니어_가정!$E$218)*(1-CHOOSE(MIN(MAX(AB16,1),3),②시니어_가정!$E$220,②시니어_가정!$E$221,②시니어_가정!$E$222))</f>
        <v>0</v>
      </c>
      <c r="AC37" s="37" t="n">
        <f aca="false">(AC14=1)*②시니어_가정!$H$38*②시니어_가정!$E$214*②시니어_가정!$E$215/1000*(1+②시니어_가정!$E$217)^INT((AC15-1)/②시니어_가정!$E$218)*(1-CHOOSE(MIN(MAX(AC16,1),3),②시니어_가정!$E$220,②시니어_가정!$E$221,②시니어_가정!$E$222))</f>
        <v>0</v>
      </c>
      <c r="AD37" s="37" t="n">
        <f aca="false">(AD14=1)*②시니어_가정!$H$38*②시니어_가정!$E$214*②시니어_가정!$E$215/1000*(1+②시니어_가정!$E$217)^INT((AD15-1)/②시니어_가정!$E$218)*(1-CHOOSE(MIN(MAX(AD16,1),3),②시니어_가정!$E$220,②시니어_가정!$E$221,②시니어_가정!$E$222))</f>
        <v>0</v>
      </c>
      <c r="AE37" s="37" t="n">
        <f aca="false">(AE14=1)*②시니어_가정!$H$38*②시니어_가정!$E$214*②시니어_가정!$E$215/1000*(1+②시니어_가정!$E$217)^INT((AE15-1)/②시니어_가정!$E$218)*(1-CHOOSE(MIN(MAX(AE16,1),3),②시니어_가정!$E$220,②시니어_가정!$E$221,②시니어_가정!$E$222))</f>
        <v>0</v>
      </c>
      <c r="AF37" s="37" t="n">
        <f aca="false">(AF14=1)*②시니어_가정!$H$38*②시니어_가정!$E$214*②시니어_가정!$E$215/1000*(1+②시니어_가정!$E$217)^INT((AF15-1)/②시니어_가정!$E$218)*(1-CHOOSE(MIN(MAX(AF16,1),3),②시니어_가정!$E$220,②시니어_가정!$E$221,②시니어_가정!$E$222))</f>
        <v>0</v>
      </c>
      <c r="AG37" s="37" t="n">
        <f aca="false">(AG14=1)*②시니어_가정!$H$38*②시니어_가정!$E$214*②시니어_가정!$E$215/1000*(1+②시니어_가정!$E$217)^INT((AG15-1)/②시니어_가정!$E$218)*(1-CHOOSE(MIN(MAX(AG16,1),3),②시니어_가정!$E$220,②시니어_가정!$E$221,②시니어_가정!$E$222))</f>
        <v>0</v>
      </c>
      <c r="AH37" s="37" t="n">
        <f aca="false">(AH14=1)*②시니어_가정!$H$38*②시니어_가정!$E$214*②시니어_가정!$E$215/1000*(1+②시니어_가정!$E$217)^INT((AH15-1)/②시니어_가정!$E$218)*(1-CHOOSE(MIN(MAX(AH16,1),3),②시니어_가정!$E$220,②시니어_가정!$E$221,②시니어_가정!$E$222))</f>
        <v>0</v>
      </c>
      <c r="AI37" s="37" t="n">
        <f aca="false">(AI14=1)*②시니어_가정!$H$38*②시니어_가정!$E$214*②시니어_가정!$E$215/1000*(1+②시니어_가정!$E$217)^INT((AI15-1)/②시니어_가정!$E$218)*(1-CHOOSE(MIN(MAX(AI16,1),3),②시니어_가정!$E$220,②시니어_가정!$E$221,②시니어_가정!$E$222))</f>
        <v>0</v>
      </c>
      <c r="AJ37" s="37" t="n">
        <f aca="false">(AJ14=1)*②시니어_가정!$H$38*②시니어_가정!$E$214*②시니어_가정!$E$215/1000*(1+②시니어_가정!$E$217)^INT((AJ15-1)/②시니어_가정!$E$218)*(1-CHOOSE(MIN(MAX(AJ16,1),3),②시니어_가정!$E$220,②시니어_가정!$E$221,②시니어_가정!$E$222))</f>
        <v>0</v>
      </c>
      <c r="AK37" s="37" t="n">
        <f aca="false">(AK14=1)*②시니어_가정!$H$38*②시니어_가정!$E$214*②시니어_가정!$E$215/1000*(1+②시니어_가정!$E$217)^INT((AK15-1)/②시니어_가정!$E$218)*(1-CHOOSE(MIN(MAX(AK16,1),3),②시니어_가정!$E$220,②시니어_가정!$E$221,②시니어_가정!$E$222))</f>
        <v>0</v>
      </c>
      <c r="AL37" s="37" t="n">
        <f aca="false">(AL14=1)*②시니어_가정!$H$38*②시니어_가정!$E$214*②시니어_가정!$E$215/1000*(1+②시니어_가정!$E$217)^INT((AL15-1)/②시니어_가정!$E$218)*(1-CHOOSE(MIN(MAX(AL16,1),3),②시니어_가정!$E$220,②시니어_가정!$E$221,②시니어_가정!$E$222))</f>
        <v>0</v>
      </c>
      <c r="AM37" s="37" t="n">
        <f aca="false">(AM14=1)*②시니어_가정!$H$38*②시니어_가정!$E$214*②시니어_가정!$E$215/1000*(1+②시니어_가정!$E$217)^INT((AM15-1)/②시니어_가정!$E$218)*(1-CHOOSE(MIN(MAX(AM16,1),3),②시니어_가정!$E$220,②시니어_가정!$E$221,②시니어_가정!$E$222))</f>
        <v>0</v>
      </c>
      <c r="AN37" s="37" t="n">
        <f aca="false">(AN14=1)*②시니어_가정!$H$38*②시니어_가정!$E$214*②시니어_가정!$E$215/1000*(1+②시니어_가정!$E$217)^INT((AN15-1)/②시니어_가정!$E$218)*(1-CHOOSE(MIN(MAX(AN16,1),3),②시니어_가정!$E$220,②시니어_가정!$E$221,②시니어_가정!$E$222))</f>
        <v>0</v>
      </c>
      <c r="AO37" s="37" t="n">
        <f aca="false">(AO14=1)*②시니어_가정!$H$38*②시니어_가정!$E$214*②시니어_가정!$E$215/1000*(1+②시니어_가정!$E$217)^INT((AO15-1)/②시니어_가정!$E$218)*(1-CHOOSE(MIN(MAX(AO16,1),3),②시니어_가정!$E$220,②시니어_가정!$E$221,②시니어_가정!$E$222))</f>
        <v>0</v>
      </c>
      <c r="AP37" s="37" t="n">
        <f aca="false">(AP14=1)*②시니어_가정!$H$38*②시니어_가정!$E$214*②시니어_가정!$E$215/1000*(1+②시니어_가정!$E$217)^INT((AP15-1)/②시니어_가정!$E$218)*(1-CHOOSE(MIN(MAX(AP16,1),3),②시니어_가정!$E$220,②시니어_가정!$E$221,②시니어_가정!$E$222))</f>
        <v>0</v>
      </c>
      <c r="AQ37" s="37" t="n">
        <f aca="false">(AQ14=1)*②시니어_가정!$H$38*②시니어_가정!$E$214*②시니어_가정!$E$215/1000*(1+②시니어_가정!$E$217)^INT((AQ15-1)/②시니어_가정!$E$218)*(1-CHOOSE(MIN(MAX(AQ16,1),3),②시니어_가정!$E$220,②시니어_가정!$E$221,②시니어_가정!$E$222))</f>
        <v>0</v>
      </c>
      <c r="AR37" s="37" t="n">
        <f aca="false">(AR14=1)*②시니어_가정!$H$38*②시니어_가정!$E$214*②시니어_가정!$E$215/1000*(1+②시니어_가정!$E$217)^INT((AR15-1)/②시니어_가정!$E$218)*(1-CHOOSE(MIN(MAX(AR16,1),3),②시니어_가정!$E$220,②시니어_가정!$E$221,②시니어_가정!$E$222))</f>
        <v>0</v>
      </c>
      <c r="AS37" s="37" t="n">
        <f aca="false">(AS14=1)*②시니어_가정!$H$38*②시니어_가정!$E$214*②시니어_가정!$E$215/1000*(1+②시니어_가정!$E$217)^INT((AS15-1)/②시니어_가정!$E$218)*(1-CHOOSE(MIN(MAX(AS16,1),3),②시니어_가정!$E$220,②시니어_가정!$E$221,②시니어_가정!$E$222))</f>
        <v>0</v>
      </c>
      <c r="AT37" s="37" t="n">
        <f aca="false">(AT14=1)*②시니어_가정!$H$38*②시니어_가정!$E$214*②시니어_가정!$E$215/1000*(1+②시니어_가정!$E$217)^INT((AT15-1)/②시니어_가정!$E$218)*(1-CHOOSE(MIN(MAX(AT16,1),3),②시니어_가정!$E$220,②시니어_가정!$E$221,②시니어_가정!$E$222))</f>
        <v>0</v>
      </c>
      <c r="AU37" s="37" t="n">
        <f aca="false">(AU14=1)*②시니어_가정!$H$38*②시니어_가정!$E$214*②시니어_가정!$E$215/1000*(1+②시니어_가정!$E$217)^INT((AU15-1)/②시니어_가정!$E$218)*(1-CHOOSE(MIN(MAX(AU16,1),3),②시니어_가정!$E$220,②시니어_가정!$E$221,②시니어_가정!$E$222))</f>
        <v>0</v>
      </c>
      <c r="AV37" s="37" t="n">
        <f aca="false">(AV14=1)*②시니어_가정!$H$38*②시니어_가정!$E$214*②시니어_가정!$E$215/1000*(1+②시니어_가정!$E$217)^INT((AV15-1)/②시니어_가정!$E$218)*(1-CHOOSE(MIN(MAX(AV16,1),3),②시니어_가정!$E$220,②시니어_가정!$E$221,②시니어_가정!$E$222))</f>
        <v>0</v>
      </c>
      <c r="AW37" s="37" t="n">
        <f aca="false">(AW14=1)*②시니어_가정!$H$38*②시니어_가정!$E$214*②시니어_가정!$E$215/1000*(1+②시니어_가정!$E$217)^INT((AW15-1)/②시니어_가정!$E$218)*(1-CHOOSE(MIN(MAX(AW16,1),3),②시니어_가정!$E$220,②시니어_가정!$E$221,②시니어_가정!$E$222))</f>
        <v>0</v>
      </c>
      <c r="AX37" s="37" t="n">
        <f aca="false">(AX14=1)*②시니어_가정!$H$38*②시니어_가정!$E$214*②시니어_가정!$E$215/1000*(1+②시니어_가정!$E$217)^INT((AX15-1)/②시니어_가정!$E$218)*(1-CHOOSE(MIN(MAX(AX16,1),3),②시니어_가정!$E$220,②시니어_가정!$E$221,②시니어_가정!$E$222))</f>
        <v>0</v>
      </c>
      <c r="AY37" s="37" t="n">
        <f aca="false">(AY14=1)*②시니어_가정!$H$38*②시니어_가정!$E$214*②시니어_가정!$E$215/1000*(1+②시니어_가정!$E$217)^INT((AY15-1)/②시니어_가정!$E$218)*(1-CHOOSE(MIN(MAX(AY16,1),3),②시니어_가정!$E$220,②시니어_가정!$E$221,②시니어_가정!$E$222))</f>
        <v>0</v>
      </c>
      <c r="AZ37" s="37" t="n">
        <f aca="false">(AZ14=1)*②시니어_가정!$H$38*②시니어_가정!$E$214*②시니어_가정!$E$215/1000*(1+②시니어_가정!$E$217)^INT((AZ15-1)/②시니어_가정!$E$218)*(1-CHOOSE(MIN(MAX(AZ16,1),3),②시니어_가정!$E$220,②시니어_가정!$E$221,②시니어_가정!$E$222))</f>
        <v>0</v>
      </c>
      <c r="BA37" s="37" t="n">
        <f aca="false">(BA14=1)*②시니어_가정!$H$38*②시니어_가정!$E$214*②시니어_가정!$E$215/1000*(1+②시니어_가정!$E$217)^INT((BA15-1)/②시니어_가정!$E$218)*(1-CHOOSE(MIN(MAX(BA16,1),3),②시니어_가정!$E$220,②시니어_가정!$E$221,②시니어_가정!$E$222))</f>
        <v>0</v>
      </c>
      <c r="BB37" s="37" t="n">
        <f aca="false">(BB14=1)*②시니어_가정!$H$38*②시니어_가정!$E$214*②시니어_가정!$E$215/1000*(1+②시니어_가정!$E$217)^INT((BB15-1)/②시니어_가정!$E$218)*(1-CHOOSE(MIN(MAX(BB16,1),3),②시니어_가정!$E$220,②시니어_가정!$E$221,②시니어_가정!$E$222))</f>
        <v>0</v>
      </c>
      <c r="BC37" s="37" t="n">
        <f aca="false">(BC14=1)*②시니어_가정!$H$38*②시니어_가정!$E$214*②시니어_가정!$E$215/1000*(1+②시니어_가정!$E$217)^INT((BC15-1)/②시니어_가정!$E$218)*(1-CHOOSE(MIN(MAX(BC16,1),3),②시니어_가정!$E$220,②시니어_가정!$E$221,②시니어_가정!$E$222))</f>
        <v>0</v>
      </c>
      <c r="BD37" s="37" t="n">
        <f aca="false">(BD14=1)*②시니어_가정!$H$38*②시니어_가정!$E$214*②시니어_가정!$E$215/1000*(1+②시니어_가정!$E$217)^INT((BD15-1)/②시니어_가정!$E$218)*(1-CHOOSE(MIN(MAX(BD16,1),3),②시니어_가정!$E$220,②시니어_가정!$E$221,②시니어_가정!$E$222))</f>
        <v>0</v>
      </c>
      <c r="BE37" s="37" t="n">
        <f aca="false">(BE14=1)*②시니어_가정!$H$38*②시니어_가정!$E$214*②시니어_가정!$E$215/1000*(1+②시니어_가정!$E$217)^INT((BE15-1)/②시니어_가정!$E$218)*(1-CHOOSE(MIN(MAX(BE16,1),3),②시니어_가정!$E$220,②시니어_가정!$E$221,②시니어_가정!$E$222))</f>
        <v>0</v>
      </c>
      <c r="BF37" s="37" t="n">
        <f aca="false">(BF14=1)*②시니어_가정!$H$38*②시니어_가정!$E$214*②시니어_가정!$E$215/1000*(1+②시니어_가정!$E$217)^INT((BF15-1)/②시니어_가정!$E$218)*(1-CHOOSE(MIN(MAX(BF16,1),3),②시니어_가정!$E$220,②시니어_가정!$E$221,②시니어_가정!$E$222))</f>
        <v>0</v>
      </c>
      <c r="BG37" s="37" t="n">
        <f aca="false">(BG14=1)*②시니어_가정!$H$38*②시니어_가정!$E$214*②시니어_가정!$E$215/1000*(1+②시니어_가정!$E$217)^INT((BG15-1)/②시니어_가정!$E$218)*(1-CHOOSE(MIN(MAX(BG16,1),3),②시니어_가정!$E$220,②시니어_가정!$E$221,②시니어_가정!$E$222))</f>
        <v>0</v>
      </c>
      <c r="BH37" s="37" t="n">
        <f aca="false">(BH14=1)*②시니어_가정!$H$38*②시니어_가정!$E$214*②시니어_가정!$E$215/1000*(1+②시니어_가정!$E$217)^INT((BH15-1)/②시니어_가정!$E$218)*(1-CHOOSE(MIN(MAX(BH16,1),3),②시니어_가정!$E$220,②시니어_가정!$E$221,②시니어_가정!$E$222))</f>
        <v>0</v>
      </c>
      <c r="BI37" s="37" t="n">
        <f aca="false">(BI14=1)*②시니어_가정!$H$38*②시니어_가정!$E$214*②시니어_가정!$E$215/1000*(1+②시니어_가정!$E$217)^INT((BI15-1)/②시니어_가정!$E$218)*(1-CHOOSE(MIN(MAX(BI16,1),3),②시니어_가정!$E$220,②시니어_가정!$E$221,②시니어_가정!$E$222))</f>
        <v>0</v>
      </c>
      <c r="BJ37" s="37" t="n">
        <f aca="false">(BJ14=1)*②시니어_가정!$H$38*②시니어_가정!$E$214*②시니어_가정!$E$215/1000*(1+②시니어_가정!$E$217)^INT((BJ15-1)/②시니어_가정!$E$218)*(1-CHOOSE(MIN(MAX(BJ16,1),3),②시니어_가정!$E$220,②시니어_가정!$E$221,②시니어_가정!$E$222))</f>
        <v>0</v>
      </c>
      <c r="BK37" s="37" t="n">
        <f aca="false">(BK14=1)*②시니어_가정!$H$38*②시니어_가정!$E$214*②시니어_가정!$E$215/1000*(1+②시니어_가정!$E$217)^INT((BK15-1)/②시니어_가정!$E$218)*(1-CHOOSE(MIN(MAX(BK16,1),3),②시니어_가정!$E$220,②시니어_가정!$E$221,②시니어_가정!$E$222))</f>
        <v>0</v>
      </c>
      <c r="BL37" s="37" t="n">
        <f aca="false">(BL14=1)*②시니어_가정!$H$38*②시니어_가정!$E$214*②시니어_가정!$E$215/1000*(1+②시니어_가정!$E$217)^INT((BL15-1)/②시니어_가정!$E$218)*(1-CHOOSE(MIN(MAX(BL16,1),3),②시니어_가정!$E$220,②시니어_가정!$E$221,②시니어_가정!$E$222))</f>
        <v>0</v>
      </c>
      <c r="BM37" s="37" t="n">
        <f aca="false">(BM14=1)*②시니어_가정!$H$38*②시니어_가정!$E$214*②시니어_가정!$E$215/1000*(1+②시니어_가정!$E$217)^INT((BM15-1)/②시니어_가정!$E$218)*(1-CHOOSE(MIN(MAX(BM16,1),3),②시니어_가정!$E$220,②시니어_가정!$E$221,②시니어_가정!$E$222))</f>
        <v>0</v>
      </c>
      <c r="BN37" s="37" t="n">
        <f aca="false">(BN14=1)*②시니어_가정!$H$38*②시니어_가정!$E$214*②시니어_가정!$E$215/1000*(1+②시니어_가정!$E$217)^INT((BN15-1)/②시니어_가정!$E$218)*(1-CHOOSE(MIN(MAX(BN16,1),3),②시니어_가정!$E$220,②시니어_가정!$E$221,②시니어_가정!$E$222))</f>
        <v>0</v>
      </c>
      <c r="BO37" s="37" t="n">
        <f aca="false">(BO14=1)*②시니어_가정!$H$38*②시니어_가정!$E$214*②시니어_가정!$E$215/1000*(1+②시니어_가정!$E$217)^INT((BO15-1)/②시니어_가정!$E$218)*(1-CHOOSE(MIN(MAX(BO16,1),3),②시니어_가정!$E$220,②시니어_가정!$E$221,②시니어_가정!$E$222))</f>
        <v>0</v>
      </c>
      <c r="BP37" s="37" t="n">
        <f aca="false">(BP14=1)*②시니어_가정!$H$38*②시니어_가정!$E$214*②시니어_가정!$E$215/1000*(1+②시니어_가정!$E$217)^INT((BP15-1)/②시니어_가정!$E$218)*(1-CHOOSE(MIN(MAX(BP16,1),3),②시니어_가정!$E$220,②시니어_가정!$E$221,②시니어_가정!$E$222))</f>
        <v>0</v>
      </c>
      <c r="BQ37" s="37" t="n">
        <f aca="false">(BQ14=1)*②시니어_가정!$H$38*②시니어_가정!$E$214*②시니어_가정!$E$215/1000*(1+②시니어_가정!$E$217)^INT((BQ15-1)/②시니어_가정!$E$218)*(1-CHOOSE(MIN(MAX(BQ16,1),3),②시니어_가정!$E$220,②시니어_가정!$E$221,②시니어_가정!$E$222))</f>
        <v>0</v>
      </c>
      <c r="BR37" s="37" t="n">
        <f aca="false">(BR14=1)*②시니어_가정!$H$38*②시니어_가정!$E$214*②시니어_가정!$E$215/1000*(1+②시니어_가정!$E$217)^INT((BR15-1)/②시니어_가정!$E$218)*(1-CHOOSE(MIN(MAX(BR16,1),3),②시니어_가정!$E$220,②시니어_가정!$E$221,②시니어_가정!$E$222))</f>
        <v>0</v>
      </c>
      <c r="BS37" s="37" t="n">
        <f aca="false">(BS14=1)*②시니어_가정!$H$38*②시니어_가정!$E$214*②시니어_가정!$E$215/1000*(1+②시니어_가정!$E$217)^INT((BS15-1)/②시니어_가정!$E$218)*(1-CHOOSE(MIN(MAX(BS16,1),3),②시니어_가정!$E$220,②시니어_가정!$E$221,②시니어_가정!$E$222))</f>
        <v>0</v>
      </c>
      <c r="BT37" s="37" t="n">
        <f aca="false">(BT14=1)*②시니어_가정!$H$38*②시니어_가정!$E$214*②시니어_가정!$E$215/1000*(1+②시니어_가정!$E$217)^INT((BT15-1)/②시니어_가정!$E$218)*(1-CHOOSE(MIN(MAX(BT16,1),3),②시니어_가정!$E$220,②시니어_가정!$E$221,②시니어_가정!$E$222))</f>
        <v>0</v>
      </c>
      <c r="BU37" s="37" t="n">
        <f aca="false">(BU14=1)*②시니어_가정!$H$38*②시니어_가정!$E$214*②시니어_가정!$E$215/1000*(1+②시니어_가정!$E$217)^INT((BU15-1)/②시니어_가정!$E$218)*(1-CHOOSE(MIN(MAX(BU16,1),3),②시니어_가정!$E$220,②시니어_가정!$E$221,②시니어_가정!$E$222))</f>
        <v>0</v>
      </c>
      <c r="BV37" s="37" t="n">
        <f aca="false">(BV14=1)*②시니어_가정!$H$38*②시니어_가정!$E$214*②시니어_가정!$E$215/1000*(1+②시니어_가정!$E$217)^INT((BV15-1)/②시니어_가정!$E$218)*(1-CHOOSE(MIN(MAX(BV16,1),3),②시니어_가정!$E$220,②시니어_가정!$E$221,②시니어_가정!$E$222))</f>
        <v>0</v>
      </c>
      <c r="BW37" s="37" t="n">
        <f aca="false">(BW14=1)*②시니어_가정!$H$38*②시니어_가정!$E$214*②시니어_가정!$E$215/1000*(1+②시니어_가정!$E$217)^INT((BW15-1)/②시니어_가정!$E$218)*(1-CHOOSE(MIN(MAX(BW16,1),3),②시니어_가정!$E$220,②시니어_가정!$E$221,②시니어_가정!$E$222))</f>
        <v>0</v>
      </c>
      <c r="BX37" s="37" t="n">
        <f aca="false">(BX14=1)*②시니어_가정!$H$38*②시니어_가정!$E$214*②시니어_가정!$E$215/1000*(1+②시니어_가정!$E$217)^INT((BX15-1)/②시니어_가정!$E$218)*(1-CHOOSE(MIN(MAX(BX16,1),3),②시니어_가정!$E$220,②시니어_가정!$E$221,②시니어_가정!$E$222))</f>
        <v>0</v>
      </c>
      <c r="BY37" s="37" t="n">
        <f aca="false">(BY14=1)*②시니어_가정!$H$38*②시니어_가정!$E$214*②시니어_가정!$E$215/1000*(1+②시니어_가정!$E$217)^INT((BY15-1)/②시니어_가정!$E$218)*(1-CHOOSE(MIN(MAX(BY16,1),3),②시니어_가정!$E$220,②시니어_가정!$E$221,②시니어_가정!$E$222))</f>
        <v>0</v>
      </c>
      <c r="BZ37" s="37" t="n">
        <f aca="false">(BZ14=1)*②시니어_가정!$H$38*②시니어_가정!$E$214*②시니어_가정!$E$215/1000*(1+②시니어_가정!$E$217)^INT((BZ15-1)/②시니어_가정!$E$218)*(1-CHOOSE(MIN(MAX(BZ16,1),3),②시니어_가정!$E$220,②시니어_가정!$E$221,②시니어_가정!$E$222))</f>
        <v>0</v>
      </c>
      <c r="CA37" s="37" t="n">
        <f aca="false">(CA14=1)*②시니어_가정!$H$38*②시니어_가정!$E$214*②시니어_가정!$E$215/1000*(1+②시니어_가정!$E$217)^INT((CA15-1)/②시니어_가정!$E$218)*(1-CHOOSE(MIN(MAX(CA16,1),3),②시니어_가정!$E$220,②시니어_가정!$E$221,②시니어_가정!$E$222))</f>
        <v>0</v>
      </c>
      <c r="CB37" s="37" t="n">
        <f aca="false">(CB14=1)*②시니어_가정!$H$38*②시니어_가정!$E$214*②시니어_가정!$E$215/1000*(1+②시니어_가정!$E$217)^INT((CB15-1)/②시니어_가정!$E$218)*(1-CHOOSE(MIN(MAX(CB16,1),3),②시니어_가정!$E$220,②시니어_가정!$E$221,②시니어_가정!$E$222))</f>
        <v>0</v>
      </c>
      <c r="CC37" s="37" t="n">
        <f aca="false">(CC14=1)*②시니어_가정!$H$38*②시니어_가정!$E$214*②시니어_가정!$E$215/1000*(1+②시니어_가정!$E$217)^INT((CC15-1)/②시니어_가정!$E$218)*(1-CHOOSE(MIN(MAX(CC16,1),3),②시니어_가정!$E$220,②시니어_가정!$E$221,②시니어_가정!$E$222))</f>
        <v>0</v>
      </c>
      <c r="CD37" s="37" t="n">
        <f aca="false">(CD14=1)*②시니어_가정!$H$38*②시니어_가정!$E$214*②시니어_가정!$E$215/1000*(1+②시니어_가정!$E$217)^INT((CD15-1)/②시니어_가정!$E$218)*(1-CHOOSE(MIN(MAX(CD16,1),3),②시니어_가정!$E$220,②시니어_가정!$E$221,②시니어_가정!$E$222))</f>
        <v>0</v>
      </c>
      <c r="CE37" s="37" t="n">
        <f aca="false">(CE14=1)*②시니어_가정!$H$38*②시니어_가정!$E$214*②시니어_가정!$E$215/1000*(1+②시니어_가정!$E$217)^INT((CE15-1)/②시니어_가정!$E$218)*(1-CHOOSE(MIN(MAX(CE16,1),3),②시니어_가정!$E$220,②시니어_가정!$E$221,②시니어_가정!$E$222))</f>
        <v>0</v>
      </c>
      <c r="CF37" s="37" t="n">
        <f aca="false">(CF14=1)*②시니어_가정!$H$38*②시니어_가정!$E$214*②시니어_가정!$E$215/1000*(1+②시니어_가정!$E$217)^INT((CF15-1)/②시니어_가정!$E$218)*(1-CHOOSE(MIN(MAX(CF16,1),3),②시니어_가정!$E$220,②시니어_가정!$E$221,②시니어_가정!$E$222))</f>
        <v>0</v>
      </c>
      <c r="CG37" s="37" t="n">
        <f aca="false">(CG14=1)*②시니어_가정!$H$38*②시니어_가정!$E$214*②시니어_가정!$E$215/1000*(1+②시니어_가정!$E$217)^INT((CG15-1)/②시니어_가정!$E$218)*(1-CHOOSE(MIN(MAX(CG16,1),3),②시니어_가정!$E$220,②시니어_가정!$E$221,②시니어_가정!$E$222))</f>
        <v>0</v>
      </c>
      <c r="CH37" s="37" t="n">
        <f aca="false">(CH14=1)*②시니어_가정!$H$38*②시니어_가정!$E$214*②시니어_가정!$E$215/1000*(1+②시니어_가정!$E$217)^INT((CH15-1)/②시니어_가정!$E$218)*(1-CHOOSE(MIN(MAX(CH16,1),3),②시니어_가정!$E$220,②시니어_가정!$E$221,②시니어_가정!$E$222))</f>
        <v>0</v>
      </c>
      <c r="CI37" s="37" t="n">
        <f aca="false">(CI14=1)*②시니어_가정!$H$38*②시니어_가정!$E$214*②시니어_가정!$E$215/1000*(1+②시니어_가정!$E$217)^INT((CI15-1)/②시니어_가정!$E$218)*(1-CHOOSE(MIN(MAX(CI16,1),3),②시니어_가정!$E$220,②시니어_가정!$E$221,②시니어_가정!$E$222))</f>
        <v>0</v>
      </c>
      <c r="CJ37" s="37" t="n">
        <f aca="false">(CJ14=1)*②시니어_가정!$H$38*②시니어_가정!$E$214*②시니어_가정!$E$215/1000*(1+②시니어_가정!$E$217)^INT((CJ15-1)/②시니어_가정!$E$218)*(1-CHOOSE(MIN(MAX(CJ16,1),3),②시니어_가정!$E$220,②시니어_가정!$E$221,②시니어_가정!$E$222))</f>
        <v>0</v>
      </c>
      <c r="CK37" s="37" t="n">
        <f aca="false">(CK14=1)*②시니어_가정!$H$38*②시니어_가정!$E$214*②시니어_가정!$E$215/1000*(1+②시니어_가정!$E$217)^INT((CK15-1)/②시니어_가정!$E$218)*(1-CHOOSE(MIN(MAX(CK16,1),3),②시니어_가정!$E$220,②시니어_가정!$E$221,②시니어_가정!$E$222))</f>
        <v>0</v>
      </c>
      <c r="CL37" s="37" t="n">
        <f aca="false">(CL14=1)*②시니어_가정!$H$38*②시니어_가정!$E$214*②시니어_가정!$E$215/1000*(1+②시니어_가정!$E$217)^INT((CL15-1)/②시니어_가정!$E$218)*(1-CHOOSE(MIN(MAX(CL16,1),3),②시니어_가정!$E$220,②시니어_가정!$E$221,②시니어_가정!$E$222))</f>
        <v>0</v>
      </c>
      <c r="CM37" s="37" t="n">
        <f aca="false">(CM14=1)*②시니어_가정!$H$38*②시니어_가정!$E$214*②시니어_가정!$E$215/1000*(1+②시니어_가정!$E$217)^INT((CM15-1)/②시니어_가정!$E$218)*(1-CHOOSE(MIN(MAX(CM16,1),3),②시니어_가정!$E$220,②시니어_가정!$E$221,②시니어_가정!$E$222))</f>
        <v>0</v>
      </c>
      <c r="CN37" s="37" t="n">
        <f aca="false">(CN14=1)*②시니어_가정!$H$38*②시니어_가정!$E$214*②시니어_가정!$E$215/1000*(1+②시니어_가정!$E$217)^INT((CN15-1)/②시니어_가정!$E$218)*(1-CHOOSE(MIN(MAX(CN16,1),3),②시니어_가정!$E$220,②시니어_가정!$E$221,②시니어_가정!$E$222))</f>
        <v>0</v>
      </c>
      <c r="CO37" s="37" t="n">
        <f aca="false">(CO14=1)*②시니어_가정!$H$38*②시니어_가정!$E$214*②시니어_가정!$E$215/1000*(1+②시니어_가정!$E$217)^INT((CO15-1)/②시니어_가정!$E$218)*(1-CHOOSE(MIN(MAX(CO16,1),3),②시니어_가정!$E$220,②시니어_가정!$E$221,②시니어_가정!$E$222))</f>
        <v>0</v>
      </c>
      <c r="CP37" s="37" t="n">
        <f aca="false">(CP14=1)*②시니어_가정!$H$38*②시니어_가정!$E$214*②시니어_가정!$E$215/1000*(1+②시니어_가정!$E$217)^INT((CP15-1)/②시니어_가정!$E$218)*(1-CHOOSE(MIN(MAX(CP16,1),3),②시니어_가정!$E$220,②시니어_가정!$E$221,②시니어_가정!$E$222))</f>
        <v>0</v>
      </c>
      <c r="CQ37" s="37" t="n">
        <f aca="false">(CQ14=1)*②시니어_가정!$H$38*②시니어_가정!$E$214*②시니어_가정!$E$215/1000*(1+②시니어_가정!$E$217)^INT((CQ15-1)/②시니어_가정!$E$218)*(1-CHOOSE(MIN(MAX(CQ16,1),3),②시니어_가정!$E$220,②시니어_가정!$E$221,②시니어_가정!$E$222))</f>
        <v>0</v>
      </c>
      <c r="CR37" s="37" t="n">
        <f aca="false">(CR14=1)*②시니어_가정!$H$38*②시니어_가정!$E$214*②시니어_가정!$E$215/1000*(1+②시니어_가정!$E$217)^INT((CR15-1)/②시니어_가정!$E$218)*(1-CHOOSE(MIN(MAX(CR16,1),3),②시니어_가정!$E$220,②시니어_가정!$E$221,②시니어_가정!$E$222))</f>
        <v>0</v>
      </c>
      <c r="CS37" s="37" t="n">
        <f aca="false">(CS14=1)*②시니어_가정!$H$38*②시니어_가정!$E$214*②시니어_가정!$E$215/1000*(1+②시니어_가정!$E$217)^INT((CS15-1)/②시니어_가정!$E$218)*(1-CHOOSE(MIN(MAX(CS16,1),3),②시니어_가정!$E$220,②시니어_가정!$E$221,②시니어_가정!$E$222))</f>
        <v>0</v>
      </c>
      <c r="CT37" s="37" t="n">
        <f aca="false">(CT14=1)*②시니어_가정!$H$38*②시니어_가정!$E$214*②시니어_가정!$E$215/1000*(1+②시니어_가정!$E$217)^INT((CT15-1)/②시니어_가정!$E$218)*(1-CHOOSE(MIN(MAX(CT16,1),3),②시니어_가정!$E$220,②시니어_가정!$E$221,②시니어_가정!$E$222))</f>
        <v>0</v>
      </c>
      <c r="CU37" s="37" t="n">
        <f aca="false">(CU14=1)*②시니어_가정!$H$38*②시니어_가정!$E$214*②시니어_가정!$E$215/1000*(1+②시니어_가정!$E$217)^INT((CU15-1)/②시니어_가정!$E$218)*(1-CHOOSE(MIN(MAX(CU16,1),3),②시니어_가정!$E$220,②시니어_가정!$E$221,②시니어_가정!$E$222))</f>
        <v>0</v>
      </c>
      <c r="CV37" s="37" t="n">
        <f aca="false">(CV14=1)*②시니어_가정!$H$38*②시니어_가정!$E$214*②시니어_가정!$E$215/1000*(1+②시니어_가정!$E$217)^INT((CV15-1)/②시니어_가정!$E$218)*(1-CHOOSE(MIN(MAX(CV16,1),3),②시니어_가정!$E$220,②시니어_가정!$E$221,②시니어_가정!$E$222))</f>
        <v>0</v>
      </c>
      <c r="CW37" s="37" t="n">
        <f aca="false">(CW14=1)*②시니어_가정!$H$38*②시니어_가정!$E$214*②시니어_가정!$E$215/1000*(1+②시니어_가정!$E$217)^INT((CW15-1)/②시니어_가정!$E$218)*(1-CHOOSE(MIN(MAX(CW16,1),3),②시니어_가정!$E$220,②시니어_가정!$E$221,②시니어_가정!$E$222))</f>
        <v>0</v>
      </c>
      <c r="CX37" s="37" t="n">
        <f aca="false">(CX14=1)*②시니어_가정!$H$38*②시니어_가정!$E$214*②시니어_가정!$E$215/1000*(1+②시니어_가정!$E$217)^INT((CX15-1)/②시니어_가정!$E$218)*(1-CHOOSE(MIN(MAX(CX16,1),3),②시니어_가정!$E$220,②시니어_가정!$E$221,②시니어_가정!$E$222))</f>
        <v>0</v>
      </c>
      <c r="CY37" s="37" t="n">
        <f aca="false">(CY14=1)*②시니어_가정!$H$38*②시니어_가정!$E$214*②시니어_가정!$E$215/1000*(1+②시니어_가정!$E$217)^INT((CY15-1)/②시니어_가정!$E$218)*(1-CHOOSE(MIN(MAX(CY16,1),3),②시니어_가정!$E$220,②시니어_가정!$E$221,②시니어_가정!$E$222))</f>
        <v>0</v>
      </c>
      <c r="CZ37" s="37" t="n">
        <f aca="false">(CZ14=1)*②시니어_가정!$H$38*②시니어_가정!$E$214*②시니어_가정!$E$215/1000*(1+②시니어_가정!$E$217)^INT((CZ15-1)/②시니어_가정!$E$218)*(1-CHOOSE(MIN(MAX(CZ16,1),3),②시니어_가정!$E$220,②시니어_가정!$E$221,②시니어_가정!$E$222))</f>
        <v>0</v>
      </c>
      <c r="DA37" s="37" t="n">
        <f aca="false">(DA14=1)*②시니어_가정!$H$38*②시니어_가정!$E$214*②시니어_가정!$E$215/1000*(1+②시니어_가정!$E$217)^INT((DA15-1)/②시니어_가정!$E$218)*(1-CHOOSE(MIN(MAX(DA16,1),3),②시니어_가정!$E$220,②시니어_가정!$E$221,②시니어_가정!$E$222))</f>
        <v>0</v>
      </c>
      <c r="DB37" s="37" t="n">
        <f aca="false">(DB14=1)*②시니어_가정!$H$38*②시니어_가정!$E$214*②시니어_가정!$E$215/1000*(1+②시니어_가정!$E$217)^INT((DB15-1)/②시니어_가정!$E$218)*(1-CHOOSE(MIN(MAX(DB16,1),3),②시니어_가정!$E$220,②시니어_가정!$E$221,②시니어_가정!$E$222))</f>
        <v>0</v>
      </c>
      <c r="DC37" s="37" t="n">
        <f aca="false">(DC14=1)*②시니어_가정!$H$38*②시니어_가정!$E$214*②시니어_가정!$E$215/1000*(1+②시니어_가정!$E$217)^INT((DC15-1)/②시니어_가정!$E$218)*(1-CHOOSE(MIN(MAX(DC16,1),3),②시니어_가정!$E$220,②시니어_가정!$E$221,②시니어_가정!$E$222))</f>
        <v>0</v>
      </c>
      <c r="DD37" s="37" t="n">
        <f aca="false">(DD14=1)*②시니어_가정!$H$38*②시니어_가정!$E$214*②시니어_가정!$E$215/1000*(1+②시니어_가정!$E$217)^INT((DD15-1)/②시니어_가정!$E$218)*(1-CHOOSE(MIN(MAX(DD16,1),3),②시니어_가정!$E$220,②시니어_가정!$E$221,②시니어_가정!$E$222))</f>
        <v>0</v>
      </c>
      <c r="DE37" s="37" t="n">
        <f aca="false">(DE14=1)*②시니어_가정!$H$38*②시니어_가정!$E$214*②시니어_가정!$E$215/1000*(1+②시니어_가정!$E$217)^INT((DE15-1)/②시니어_가정!$E$218)*(1-CHOOSE(MIN(MAX(DE16,1),3),②시니어_가정!$E$220,②시니어_가정!$E$221,②시니어_가정!$E$222))</f>
        <v>0</v>
      </c>
      <c r="DF37" s="37" t="n">
        <f aca="false">(DF14=1)*②시니어_가정!$H$38*②시니어_가정!$E$214*②시니어_가정!$E$215/1000*(1+②시니어_가정!$E$217)^INT((DF15-1)/②시니어_가정!$E$218)*(1-CHOOSE(MIN(MAX(DF16,1),3),②시니어_가정!$E$220,②시니어_가정!$E$221,②시니어_가정!$E$222))</f>
        <v>0</v>
      </c>
      <c r="DG37" s="37" t="n">
        <f aca="false">(DG14=1)*②시니어_가정!$H$38*②시니어_가정!$E$214*②시니어_가정!$E$215/1000*(1+②시니어_가정!$E$217)^INT((DG15-1)/②시니어_가정!$E$218)*(1-CHOOSE(MIN(MAX(DG16,1),3),②시니어_가정!$E$220,②시니어_가정!$E$221,②시니어_가정!$E$222))</f>
        <v>0</v>
      </c>
      <c r="DH37" s="37" t="n">
        <f aca="false">(DH14=1)*②시니어_가정!$H$38*②시니어_가정!$E$214*②시니어_가정!$E$215/1000*(1+②시니어_가정!$E$217)^INT((DH15-1)/②시니어_가정!$E$218)*(1-CHOOSE(MIN(MAX(DH16,1),3),②시니어_가정!$E$220,②시니어_가정!$E$221,②시니어_가정!$E$222))</f>
        <v>0</v>
      </c>
      <c r="DI37" s="37" t="n">
        <f aca="false">(DI14=1)*②시니어_가정!$H$38*②시니어_가정!$E$214*②시니어_가정!$E$215/1000*(1+②시니어_가정!$E$217)^INT((DI15-1)/②시니어_가정!$E$218)*(1-CHOOSE(MIN(MAX(DI16,1),3),②시니어_가정!$E$220,②시니어_가정!$E$221,②시니어_가정!$E$222))</f>
        <v>0</v>
      </c>
      <c r="DJ37" s="37" t="n">
        <f aca="false">(DJ14=1)*②시니어_가정!$H$38*②시니어_가정!$E$214*②시니어_가정!$E$215/1000*(1+②시니어_가정!$E$217)^INT((DJ15-1)/②시니어_가정!$E$218)*(1-CHOOSE(MIN(MAX(DJ16,1),3),②시니어_가정!$E$220,②시니어_가정!$E$221,②시니어_가정!$E$222))</f>
        <v>0</v>
      </c>
      <c r="DK37" s="37" t="n">
        <f aca="false">(DK14=1)*②시니어_가정!$H$38*②시니어_가정!$E$214*②시니어_가정!$E$215/1000*(1+②시니어_가정!$E$217)^INT((DK15-1)/②시니어_가정!$E$218)*(1-CHOOSE(MIN(MAX(DK16,1),3),②시니어_가정!$E$220,②시니어_가정!$E$221,②시니어_가정!$E$222))</f>
        <v>0</v>
      </c>
      <c r="DL37" s="37" t="n">
        <f aca="false">(DL14=1)*②시니어_가정!$H$38*②시니어_가정!$E$214*②시니어_가정!$E$215/1000*(1+②시니어_가정!$E$217)^INT((DL15-1)/②시니어_가정!$E$218)*(1-CHOOSE(MIN(MAX(DL16,1),3),②시니어_가정!$E$220,②시니어_가정!$E$221,②시니어_가정!$E$222))</f>
        <v>0</v>
      </c>
      <c r="DM37" s="37" t="n">
        <f aca="false">(DM14=1)*②시니어_가정!$H$38*②시니어_가정!$E$214*②시니어_가정!$E$215/1000*(1+②시니어_가정!$E$217)^INT((DM15-1)/②시니어_가정!$E$218)*(1-CHOOSE(MIN(MAX(DM16,1),3),②시니어_가정!$E$220,②시니어_가정!$E$221,②시니어_가정!$E$222))</f>
        <v>0</v>
      </c>
      <c r="DN37" s="37" t="n">
        <f aca="false">(DN14=1)*②시니어_가정!$H$38*②시니어_가정!$E$214*②시니어_가정!$E$215/1000*(1+②시니어_가정!$E$217)^INT((DN15-1)/②시니어_가정!$E$218)*(1-CHOOSE(MIN(MAX(DN16,1),3),②시니어_가정!$E$220,②시니어_가정!$E$221,②시니어_가정!$E$222))</f>
        <v>0</v>
      </c>
      <c r="DO37" s="37" t="n">
        <f aca="false">(DO14=1)*②시니어_가정!$H$38*②시니어_가정!$E$214*②시니어_가정!$E$215/1000*(1+②시니어_가정!$E$217)^INT((DO15-1)/②시니어_가정!$E$218)*(1-CHOOSE(MIN(MAX(DO16,1),3),②시니어_가정!$E$220,②시니어_가정!$E$221,②시니어_가정!$E$222))</f>
        <v>0</v>
      </c>
      <c r="DP37" s="37" t="n">
        <f aca="false">(DP14=1)*②시니어_가정!$H$38*②시니어_가정!$E$214*②시니어_가정!$E$215/1000*(1+②시니어_가정!$E$217)^INT((DP15-1)/②시니어_가정!$E$218)*(1-CHOOSE(MIN(MAX(DP16,1),3),②시니어_가정!$E$220,②시니어_가정!$E$221,②시니어_가정!$E$222))</f>
        <v>0</v>
      </c>
      <c r="DQ37" s="37" t="n">
        <f aca="false">(DQ14=1)*②시니어_가정!$H$38*②시니어_가정!$E$214*②시니어_가정!$E$215/1000*(1+②시니어_가정!$E$217)^INT((DQ15-1)/②시니어_가정!$E$218)*(1-CHOOSE(MIN(MAX(DQ16,1),3),②시니어_가정!$E$220,②시니어_가정!$E$221,②시니어_가정!$E$222))</f>
        <v>0</v>
      </c>
      <c r="DR37" s="37" t="n">
        <f aca="false">(DR14=1)*②시니어_가정!$H$38*②시니어_가정!$E$214*②시니어_가정!$E$215/1000*(1+②시니어_가정!$E$217)^INT((DR15-1)/②시니어_가정!$E$218)*(1-CHOOSE(MIN(MAX(DR16,1),3),②시니어_가정!$E$220,②시니어_가정!$E$221,②시니어_가정!$E$222))</f>
        <v>0</v>
      </c>
      <c r="DS37" s="37" t="n">
        <f aca="false">(DS14=1)*②시니어_가정!$H$38*②시니어_가정!$E$214*②시니어_가정!$E$215/1000*(1+②시니어_가정!$E$217)^INT((DS15-1)/②시니어_가정!$E$218)*(1-CHOOSE(MIN(MAX(DS16,1),3),②시니어_가정!$E$220,②시니어_가정!$E$221,②시니어_가정!$E$222))</f>
        <v>0</v>
      </c>
      <c r="DT37" s="37" t="n">
        <f aca="false">(DT14=1)*②시니어_가정!$H$38*②시니어_가정!$E$214*②시니어_가정!$E$215/1000*(1+②시니어_가정!$E$217)^INT((DT15-1)/②시니어_가정!$E$218)*(1-CHOOSE(MIN(MAX(DT16,1),3),②시니어_가정!$E$220,②시니어_가정!$E$221,②시니어_가정!$E$222))</f>
        <v>0</v>
      </c>
      <c r="DU37" s="37" t="n">
        <f aca="false">(DU14=1)*②시니어_가정!$H$38*②시니어_가정!$E$214*②시니어_가정!$E$215/1000*(1+②시니어_가정!$E$217)^INT((DU15-1)/②시니어_가정!$E$218)*(1-CHOOSE(MIN(MAX(DU16,1),3),②시니어_가정!$E$220,②시니어_가정!$E$221,②시니어_가정!$E$222))</f>
        <v>0</v>
      </c>
      <c r="DV37" s="37" t="n">
        <f aca="false">(DV14=1)*②시니어_가정!$H$38*②시니어_가정!$E$214*②시니어_가정!$E$215/1000*(1+②시니어_가정!$E$217)^INT((DV15-1)/②시니어_가정!$E$218)*(1-CHOOSE(MIN(MAX(DV16,1),3),②시니어_가정!$E$220,②시니어_가정!$E$221,②시니어_가정!$E$222))</f>
        <v>0</v>
      </c>
      <c r="DW37" s="37" t="n">
        <f aca="false">(DW14=1)*②시니어_가정!$H$38*②시니어_가정!$E$214*②시니어_가정!$E$215/1000*(1+②시니어_가정!$E$217)^INT((DW15-1)/②시니어_가정!$E$218)*(1-CHOOSE(MIN(MAX(DW16,1),3),②시니어_가정!$E$220,②시니어_가정!$E$221,②시니어_가정!$E$222))</f>
        <v>0</v>
      </c>
      <c r="DX37" s="37" t="n">
        <f aca="false">(DX14=1)*②시니어_가정!$H$38*②시니어_가정!$E$214*②시니어_가정!$E$215/1000*(1+②시니어_가정!$E$217)^INT((DX15-1)/②시니어_가정!$E$218)*(1-CHOOSE(MIN(MAX(DX16,1),3),②시니어_가정!$E$220,②시니어_가정!$E$221,②시니어_가정!$E$222))</f>
        <v>0</v>
      </c>
      <c r="DY37" s="37" t="n">
        <f aca="false">(DY14=1)*②시니어_가정!$H$38*②시니어_가정!$E$214*②시니어_가정!$E$215/1000*(1+②시니어_가정!$E$217)^INT((DY15-1)/②시니어_가정!$E$218)*(1-CHOOSE(MIN(MAX(DY16,1),3),②시니어_가정!$E$220,②시니어_가정!$E$221,②시니어_가정!$E$222))</f>
        <v>0</v>
      </c>
      <c r="DZ37" s="37" t="n">
        <f aca="false">(DZ14=1)*②시니어_가정!$H$38*②시니어_가정!$E$214*②시니어_가정!$E$215/1000*(1+②시니어_가정!$E$217)^INT((DZ15-1)/②시니어_가정!$E$218)*(1-CHOOSE(MIN(MAX(DZ16,1),3),②시니어_가정!$E$220,②시니어_가정!$E$221,②시니어_가정!$E$222))</f>
        <v>0</v>
      </c>
      <c r="EA37" s="37" t="n">
        <f aca="false">(EA14=1)*②시니어_가정!$H$38*②시니어_가정!$E$214*②시니어_가정!$E$215/1000*(1+②시니어_가정!$E$217)^INT((EA15-1)/②시니어_가정!$E$218)*(1-CHOOSE(MIN(MAX(EA16,1),3),②시니어_가정!$E$220,②시니어_가정!$E$221,②시니어_가정!$E$222))</f>
        <v>0</v>
      </c>
      <c r="EB37" s="37" t="n">
        <f aca="false">(EB14=1)*②시니어_가정!$H$38*②시니어_가정!$E$214*②시니어_가정!$E$215/1000*(1+②시니어_가정!$E$217)^INT((EB15-1)/②시니어_가정!$E$218)*(1-CHOOSE(MIN(MAX(EB16,1),3),②시니어_가정!$E$220,②시니어_가정!$E$221,②시니어_가정!$E$222))</f>
        <v>0</v>
      </c>
      <c r="EC37" s="37" t="n">
        <f aca="false">(EC14=1)*②시니어_가정!$H$38*②시니어_가정!$E$214*②시니어_가정!$E$215/1000*(1+②시니어_가정!$E$217)^INT((EC15-1)/②시니어_가정!$E$218)*(1-CHOOSE(MIN(MAX(EC16,1),3),②시니어_가정!$E$220,②시니어_가정!$E$221,②시니어_가정!$E$222))</f>
        <v>0</v>
      </c>
      <c r="ED37" s="37" t="n">
        <f aca="false">(ED14=1)*②시니어_가정!$H$38*②시니어_가정!$E$214*②시니어_가정!$E$215/1000*(1+②시니어_가정!$E$217)^INT((ED15-1)/②시니어_가정!$E$218)*(1-CHOOSE(MIN(MAX(ED16,1),3),②시니어_가정!$E$220,②시니어_가정!$E$221,②시니어_가정!$E$222))</f>
        <v>0</v>
      </c>
      <c r="EE37" s="37" t="n">
        <f aca="false">(EE14=1)*②시니어_가정!$H$38*②시니어_가정!$E$214*②시니어_가정!$E$215/1000*(1+②시니어_가정!$E$217)^INT((EE15-1)/②시니어_가정!$E$218)*(1-CHOOSE(MIN(MAX(EE16,1),3),②시니어_가정!$E$220,②시니어_가정!$E$221,②시니어_가정!$E$222))</f>
        <v>0</v>
      </c>
      <c r="EF37" s="37" t="n">
        <f aca="false">(EF14=1)*②시니어_가정!$H$38*②시니어_가정!$E$214*②시니어_가정!$E$215/1000*(1+②시니어_가정!$E$217)^INT((EF15-1)/②시니어_가정!$E$218)*(1-CHOOSE(MIN(MAX(EF16,1),3),②시니어_가정!$E$220,②시니어_가정!$E$221,②시니어_가정!$E$222))</f>
        <v>0</v>
      </c>
    </row>
    <row r="38" customFormat="false" ht="15" hidden="false" customHeight="false" outlineLevel="0" collapsed="false">
      <c r="A38" s="36" t="s">
        <v>588</v>
      </c>
      <c r="B38" s="278" t="s">
        <v>21</v>
      </c>
      <c r="C38" s="279" t="n">
        <f aca="false">SUM(E38:EF38)</f>
        <v>0</v>
      </c>
      <c r="E38" s="37" t="n">
        <f aca="false">(E14=1)*②시니어_가정!$H$38*②시니어_가정!$E$227*②시니어_가정!$E$228/1000*(1+②시니어_가정!$E$230)^INT((E15-1)/②시니어_가정!$E$231)*(1-CHOOSE(MIN(MAX(E16,1),3),②시니어_가정!$E$233,②시니어_가정!$E$234,②시니어_가정!$E$235))</f>
        <v>0</v>
      </c>
      <c r="F38" s="37" t="n">
        <f aca="false">(F14=1)*②시니어_가정!$H$38*②시니어_가정!$E$227*②시니어_가정!$E$228/1000*(1+②시니어_가정!$E$230)^INT((F15-1)/②시니어_가정!$E$231)*(1-CHOOSE(MIN(MAX(F16,1),3),②시니어_가정!$E$233,②시니어_가정!$E$234,②시니어_가정!$E$235))</f>
        <v>0</v>
      </c>
      <c r="G38" s="37" t="n">
        <f aca="false">(G14=1)*②시니어_가정!$H$38*②시니어_가정!$E$227*②시니어_가정!$E$228/1000*(1+②시니어_가정!$E$230)^INT((G15-1)/②시니어_가정!$E$231)*(1-CHOOSE(MIN(MAX(G16,1),3),②시니어_가정!$E$233,②시니어_가정!$E$234,②시니어_가정!$E$235))</f>
        <v>0</v>
      </c>
      <c r="H38" s="37" t="n">
        <f aca="false">(H14=1)*②시니어_가정!$H$38*②시니어_가정!$E$227*②시니어_가정!$E$228/1000*(1+②시니어_가정!$E$230)^INT((H15-1)/②시니어_가정!$E$231)*(1-CHOOSE(MIN(MAX(H16,1),3),②시니어_가정!$E$233,②시니어_가정!$E$234,②시니어_가정!$E$235))</f>
        <v>0</v>
      </c>
      <c r="I38" s="37" t="n">
        <f aca="false">(I14=1)*②시니어_가정!$H$38*②시니어_가정!$E$227*②시니어_가정!$E$228/1000*(1+②시니어_가정!$E$230)^INT((I15-1)/②시니어_가정!$E$231)*(1-CHOOSE(MIN(MAX(I16,1),3),②시니어_가정!$E$233,②시니어_가정!$E$234,②시니어_가정!$E$235))</f>
        <v>0</v>
      </c>
      <c r="J38" s="37" t="n">
        <f aca="false">(J14=1)*②시니어_가정!$H$38*②시니어_가정!$E$227*②시니어_가정!$E$228/1000*(1+②시니어_가정!$E$230)^INT((J15-1)/②시니어_가정!$E$231)*(1-CHOOSE(MIN(MAX(J16,1),3),②시니어_가정!$E$233,②시니어_가정!$E$234,②시니어_가정!$E$235))</f>
        <v>0</v>
      </c>
      <c r="K38" s="37" t="n">
        <f aca="false">(K14=1)*②시니어_가정!$H$38*②시니어_가정!$E$227*②시니어_가정!$E$228/1000*(1+②시니어_가정!$E$230)^INT((K15-1)/②시니어_가정!$E$231)*(1-CHOOSE(MIN(MAX(K16,1),3),②시니어_가정!$E$233,②시니어_가정!$E$234,②시니어_가정!$E$235))</f>
        <v>0</v>
      </c>
      <c r="L38" s="37" t="n">
        <f aca="false">(L14=1)*②시니어_가정!$H$38*②시니어_가정!$E$227*②시니어_가정!$E$228/1000*(1+②시니어_가정!$E$230)^INT((L15-1)/②시니어_가정!$E$231)*(1-CHOOSE(MIN(MAX(L16,1),3),②시니어_가정!$E$233,②시니어_가정!$E$234,②시니어_가정!$E$235))</f>
        <v>0</v>
      </c>
      <c r="M38" s="37" t="n">
        <f aca="false">(M14=1)*②시니어_가정!$H$38*②시니어_가정!$E$227*②시니어_가정!$E$228/1000*(1+②시니어_가정!$E$230)^INT((M15-1)/②시니어_가정!$E$231)*(1-CHOOSE(MIN(MAX(M16,1),3),②시니어_가정!$E$233,②시니어_가정!$E$234,②시니어_가정!$E$235))</f>
        <v>0</v>
      </c>
      <c r="N38" s="37" t="n">
        <f aca="false">(N14=1)*②시니어_가정!$H$38*②시니어_가정!$E$227*②시니어_가정!$E$228/1000*(1+②시니어_가정!$E$230)^INT((N15-1)/②시니어_가정!$E$231)*(1-CHOOSE(MIN(MAX(N16,1),3),②시니어_가정!$E$233,②시니어_가정!$E$234,②시니어_가정!$E$235))</f>
        <v>0</v>
      </c>
      <c r="O38" s="37" t="n">
        <f aca="false">(O14=1)*②시니어_가정!$H$38*②시니어_가정!$E$227*②시니어_가정!$E$228/1000*(1+②시니어_가정!$E$230)^INT((O15-1)/②시니어_가정!$E$231)*(1-CHOOSE(MIN(MAX(O16,1),3),②시니어_가정!$E$233,②시니어_가정!$E$234,②시니어_가정!$E$235))</f>
        <v>0</v>
      </c>
      <c r="P38" s="37" t="n">
        <f aca="false">(P14=1)*②시니어_가정!$H$38*②시니어_가정!$E$227*②시니어_가정!$E$228/1000*(1+②시니어_가정!$E$230)^INT((P15-1)/②시니어_가정!$E$231)*(1-CHOOSE(MIN(MAX(P16,1),3),②시니어_가정!$E$233,②시니어_가정!$E$234,②시니어_가정!$E$235))</f>
        <v>0</v>
      </c>
      <c r="Q38" s="37" t="n">
        <f aca="false">(Q14=1)*②시니어_가정!$H$38*②시니어_가정!$E$227*②시니어_가정!$E$228/1000*(1+②시니어_가정!$E$230)^INT((Q15-1)/②시니어_가정!$E$231)*(1-CHOOSE(MIN(MAX(Q16,1),3),②시니어_가정!$E$233,②시니어_가정!$E$234,②시니어_가정!$E$235))</f>
        <v>0</v>
      </c>
      <c r="R38" s="37" t="n">
        <f aca="false">(R14=1)*②시니어_가정!$H$38*②시니어_가정!$E$227*②시니어_가정!$E$228/1000*(1+②시니어_가정!$E$230)^INT((R15-1)/②시니어_가정!$E$231)*(1-CHOOSE(MIN(MAX(R16,1),3),②시니어_가정!$E$233,②시니어_가정!$E$234,②시니어_가정!$E$235))</f>
        <v>0</v>
      </c>
      <c r="S38" s="37" t="n">
        <f aca="false">(S14=1)*②시니어_가정!$H$38*②시니어_가정!$E$227*②시니어_가정!$E$228/1000*(1+②시니어_가정!$E$230)^INT((S15-1)/②시니어_가정!$E$231)*(1-CHOOSE(MIN(MAX(S16,1),3),②시니어_가정!$E$233,②시니어_가정!$E$234,②시니어_가정!$E$235))</f>
        <v>0</v>
      </c>
      <c r="T38" s="37" t="n">
        <f aca="false">(T14=1)*②시니어_가정!$H$38*②시니어_가정!$E$227*②시니어_가정!$E$228/1000*(1+②시니어_가정!$E$230)^INT((T15-1)/②시니어_가정!$E$231)*(1-CHOOSE(MIN(MAX(T16,1),3),②시니어_가정!$E$233,②시니어_가정!$E$234,②시니어_가정!$E$235))</f>
        <v>0</v>
      </c>
      <c r="U38" s="37" t="n">
        <f aca="false">(U14=1)*②시니어_가정!$H$38*②시니어_가정!$E$227*②시니어_가정!$E$228/1000*(1+②시니어_가정!$E$230)^INT((U15-1)/②시니어_가정!$E$231)*(1-CHOOSE(MIN(MAX(U16,1),3),②시니어_가정!$E$233,②시니어_가정!$E$234,②시니어_가정!$E$235))</f>
        <v>0</v>
      </c>
      <c r="V38" s="37" t="n">
        <f aca="false">(V14=1)*②시니어_가정!$H$38*②시니어_가정!$E$227*②시니어_가정!$E$228/1000*(1+②시니어_가정!$E$230)^INT((V15-1)/②시니어_가정!$E$231)*(1-CHOOSE(MIN(MAX(V16,1),3),②시니어_가정!$E$233,②시니어_가정!$E$234,②시니어_가정!$E$235))</f>
        <v>0</v>
      </c>
      <c r="W38" s="37" t="n">
        <f aca="false">(W14=1)*②시니어_가정!$H$38*②시니어_가정!$E$227*②시니어_가정!$E$228/1000*(1+②시니어_가정!$E$230)^INT((W15-1)/②시니어_가정!$E$231)*(1-CHOOSE(MIN(MAX(W16,1),3),②시니어_가정!$E$233,②시니어_가정!$E$234,②시니어_가정!$E$235))</f>
        <v>0</v>
      </c>
      <c r="X38" s="37" t="n">
        <f aca="false">(X14=1)*②시니어_가정!$H$38*②시니어_가정!$E$227*②시니어_가정!$E$228/1000*(1+②시니어_가정!$E$230)^INT((X15-1)/②시니어_가정!$E$231)*(1-CHOOSE(MIN(MAX(X16,1),3),②시니어_가정!$E$233,②시니어_가정!$E$234,②시니어_가정!$E$235))</f>
        <v>0</v>
      </c>
      <c r="Y38" s="37" t="n">
        <f aca="false">(Y14=1)*②시니어_가정!$H$38*②시니어_가정!$E$227*②시니어_가정!$E$228/1000*(1+②시니어_가정!$E$230)^INT((Y15-1)/②시니어_가정!$E$231)*(1-CHOOSE(MIN(MAX(Y16,1),3),②시니어_가정!$E$233,②시니어_가정!$E$234,②시니어_가정!$E$235))</f>
        <v>0</v>
      </c>
      <c r="Z38" s="37" t="n">
        <f aca="false">(Z14=1)*②시니어_가정!$H$38*②시니어_가정!$E$227*②시니어_가정!$E$228/1000*(1+②시니어_가정!$E$230)^INT((Z15-1)/②시니어_가정!$E$231)*(1-CHOOSE(MIN(MAX(Z16,1),3),②시니어_가정!$E$233,②시니어_가정!$E$234,②시니어_가정!$E$235))</f>
        <v>0</v>
      </c>
      <c r="AA38" s="37" t="n">
        <f aca="false">(AA14=1)*②시니어_가정!$H$38*②시니어_가정!$E$227*②시니어_가정!$E$228/1000*(1+②시니어_가정!$E$230)^INT((AA15-1)/②시니어_가정!$E$231)*(1-CHOOSE(MIN(MAX(AA16,1),3),②시니어_가정!$E$233,②시니어_가정!$E$234,②시니어_가정!$E$235))</f>
        <v>0</v>
      </c>
      <c r="AB38" s="37" t="n">
        <f aca="false">(AB14=1)*②시니어_가정!$H$38*②시니어_가정!$E$227*②시니어_가정!$E$228/1000*(1+②시니어_가정!$E$230)^INT((AB15-1)/②시니어_가정!$E$231)*(1-CHOOSE(MIN(MAX(AB16,1),3),②시니어_가정!$E$233,②시니어_가정!$E$234,②시니어_가정!$E$235))</f>
        <v>0</v>
      </c>
      <c r="AC38" s="37" t="n">
        <f aca="false">(AC14=1)*②시니어_가정!$H$38*②시니어_가정!$E$227*②시니어_가정!$E$228/1000*(1+②시니어_가정!$E$230)^INT((AC15-1)/②시니어_가정!$E$231)*(1-CHOOSE(MIN(MAX(AC16,1),3),②시니어_가정!$E$233,②시니어_가정!$E$234,②시니어_가정!$E$235))</f>
        <v>0</v>
      </c>
      <c r="AD38" s="37" t="n">
        <f aca="false">(AD14=1)*②시니어_가정!$H$38*②시니어_가정!$E$227*②시니어_가정!$E$228/1000*(1+②시니어_가정!$E$230)^INT((AD15-1)/②시니어_가정!$E$231)*(1-CHOOSE(MIN(MAX(AD16,1),3),②시니어_가정!$E$233,②시니어_가정!$E$234,②시니어_가정!$E$235))</f>
        <v>0</v>
      </c>
      <c r="AE38" s="37" t="n">
        <f aca="false">(AE14=1)*②시니어_가정!$H$38*②시니어_가정!$E$227*②시니어_가정!$E$228/1000*(1+②시니어_가정!$E$230)^INT((AE15-1)/②시니어_가정!$E$231)*(1-CHOOSE(MIN(MAX(AE16,1),3),②시니어_가정!$E$233,②시니어_가정!$E$234,②시니어_가정!$E$235))</f>
        <v>0</v>
      </c>
      <c r="AF38" s="37" t="n">
        <f aca="false">(AF14=1)*②시니어_가정!$H$38*②시니어_가정!$E$227*②시니어_가정!$E$228/1000*(1+②시니어_가정!$E$230)^INT((AF15-1)/②시니어_가정!$E$231)*(1-CHOOSE(MIN(MAX(AF16,1),3),②시니어_가정!$E$233,②시니어_가정!$E$234,②시니어_가정!$E$235))</f>
        <v>0</v>
      </c>
      <c r="AG38" s="37" t="n">
        <f aca="false">(AG14=1)*②시니어_가정!$H$38*②시니어_가정!$E$227*②시니어_가정!$E$228/1000*(1+②시니어_가정!$E$230)^INT((AG15-1)/②시니어_가정!$E$231)*(1-CHOOSE(MIN(MAX(AG16,1),3),②시니어_가정!$E$233,②시니어_가정!$E$234,②시니어_가정!$E$235))</f>
        <v>0</v>
      </c>
      <c r="AH38" s="37" t="n">
        <f aca="false">(AH14=1)*②시니어_가정!$H$38*②시니어_가정!$E$227*②시니어_가정!$E$228/1000*(1+②시니어_가정!$E$230)^INT((AH15-1)/②시니어_가정!$E$231)*(1-CHOOSE(MIN(MAX(AH16,1),3),②시니어_가정!$E$233,②시니어_가정!$E$234,②시니어_가정!$E$235))</f>
        <v>0</v>
      </c>
      <c r="AI38" s="37" t="n">
        <f aca="false">(AI14=1)*②시니어_가정!$H$38*②시니어_가정!$E$227*②시니어_가정!$E$228/1000*(1+②시니어_가정!$E$230)^INT((AI15-1)/②시니어_가정!$E$231)*(1-CHOOSE(MIN(MAX(AI16,1),3),②시니어_가정!$E$233,②시니어_가정!$E$234,②시니어_가정!$E$235))</f>
        <v>0</v>
      </c>
      <c r="AJ38" s="37" t="n">
        <f aca="false">(AJ14=1)*②시니어_가정!$H$38*②시니어_가정!$E$227*②시니어_가정!$E$228/1000*(1+②시니어_가정!$E$230)^INT((AJ15-1)/②시니어_가정!$E$231)*(1-CHOOSE(MIN(MAX(AJ16,1),3),②시니어_가정!$E$233,②시니어_가정!$E$234,②시니어_가정!$E$235))</f>
        <v>0</v>
      </c>
      <c r="AK38" s="37" t="n">
        <f aca="false">(AK14=1)*②시니어_가정!$H$38*②시니어_가정!$E$227*②시니어_가정!$E$228/1000*(1+②시니어_가정!$E$230)^INT((AK15-1)/②시니어_가정!$E$231)*(1-CHOOSE(MIN(MAX(AK16,1),3),②시니어_가정!$E$233,②시니어_가정!$E$234,②시니어_가정!$E$235))</f>
        <v>0</v>
      </c>
      <c r="AL38" s="37" t="n">
        <f aca="false">(AL14=1)*②시니어_가정!$H$38*②시니어_가정!$E$227*②시니어_가정!$E$228/1000*(1+②시니어_가정!$E$230)^INT((AL15-1)/②시니어_가정!$E$231)*(1-CHOOSE(MIN(MAX(AL16,1),3),②시니어_가정!$E$233,②시니어_가정!$E$234,②시니어_가정!$E$235))</f>
        <v>0</v>
      </c>
      <c r="AM38" s="37" t="n">
        <f aca="false">(AM14=1)*②시니어_가정!$H$38*②시니어_가정!$E$227*②시니어_가정!$E$228/1000*(1+②시니어_가정!$E$230)^INT((AM15-1)/②시니어_가정!$E$231)*(1-CHOOSE(MIN(MAX(AM16,1),3),②시니어_가정!$E$233,②시니어_가정!$E$234,②시니어_가정!$E$235))</f>
        <v>0</v>
      </c>
      <c r="AN38" s="37" t="n">
        <f aca="false">(AN14=1)*②시니어_가정!$H$38*②시니어_가정!$E$227*②시니어_가정!$E$228/1000*(1+②시니어_가정!$E$230)^INT((AN15-1)/②시니어_가정!$E$231)*(1-CHOOSE(MIN(MAX(AN16,1),3),②시니어_가정!$E$233,②시니어_가정!$E$234,②시니어_가정!$E$235))</f>
        <v>0</v>
      </c>
      <c r="AO38" s="37" t="n">
        <f aca="false">(AO14=1)*②시니어_가정!$H$38*②시니어_가정!$E$227*②시니어_가정!$E$228/1000*(1+②시니어_가정!$E$230)^INT((AO15-1)/②시니어_가정!$E$231)*(1-CHOOSE(MIN(MAX(AO16,1),3),②시니어_가정!$E$233,②시니어_가정!$E$234,②시니어_가정!$E$235))</f>
        <v>0</v>
      </c>
      <c r="AP38" s="37" t="n">
        <f aca="false">(AP14=1)*②시니어_가정!$H$38*②시니어_가정!$E$227*②시니어_가정!$E$228/1000*(1+②시니어_가정!$E$230)^INT((AP15-1)/②시니어_가정!$E$231)*(1-CHOOSE(MIN(MAX(AP16,1),3),②시니어_가정!$E$233,②시니어_가정!$E$234,②시니어_가정!$E$235))</f>
        <v>0</v>
      </c>
      <c r="AQ38" s="37" t="n">
        <f aca="false">(AQ14=1)*②시니어_가정!$H$38*②시니어_가정!$E$227*②시니어_가정!$E$228/1000*(1+②시니어_가정!$E$230)^INT((AQ15-1)/②시니어_가정!$E$231)*(1-CHOOSE(MIN(MAX(AQ16,1),3),②시니어_가정!$E$233,②시니어_가정!$E$234,②시니어_가정!$E$235))</f>
        <v>0</v>
      </c>
      <c r="AR38" s="37" t="n">
        <f aca="false">(AR14=1)*②시니어_가정!$H$38*②시니어_가정!$E$227*②시니어_가정!$E$228/1000*(1+②시니어_가정!$E$230)^INT((AR15-1)/②시니어_가정!$E$231)*(1-CHOOSE(MIN(MAX(AR16,1),3),②시니어_가정!$E$233,②시니어_가정!$E$234,②시니어_가정!$E$235))</f>
        <v>0</v>
      </c>
      <c r="AS38" s="37" t="n">
        <f aca="false">(AS14=1)*②시니어_가정!$H$38*②시니어_가정!$E$227*②시니어_가정!$E$228/1000*(1+②시니어_가정!$E$230)^INT((AS15-1)/②시니어_가정!$E$231)*(1-CHOOSE(MIN(MAX(AS16,1),3),②시니어_가정!$E$233,②시니어_가정!$E$234,②시니어_가정!$E$235))</f>
        <v>0</v>
      </c>
      <c r="AT38" s="37" t="n">
        <f aca="false">(AT14=1)*②시니어_가정!$H$38*②시니어_가정!$E$227*②시니어_가정!$E$228/1000*(1+②시니어_가정!$E$230)^INT((AT15-1)/②시니어_가정!$E$231)*(1-CHOOSE(MIN(MAX(AT16,1),3),②시니어_가정!$E$233,②시니어_가정!$E$234,②시니어_가정!$E$235))</f>
        <v>0</v>
      </c>
      <c r="AU38" s="37" t="n">
        <f aca="false">(AU14=1)*②시니어_가정!$H$38*②시니어_가정!$E$227*②시니어_가정!$E$228/1000*(1+②시니어_가정!$E$230)^INT((AU15-1)/②시니어_가정!$E$231)*(1-CHOOSE(MIN(MAX(AU16,1),3),②시니어_가정!$E$233,②시니어_가정!$E$234,②시니어_가정!$E$235))</f>
        <v>0</v>
      </c>
      <c r="AV38" s="37" t="n">
        <f aca="false">(AV14=1)*②시니어_가정!$H$38*②시니어_가정!$E$227*②시니어_가정!$E$228/1000*(1+②시니어_가정!$E$230)^INT((AV15-1)/②시니어_가정!$E$231)*(1-CHOOSE(MIN(MAX(AV16,1),3),②시니어_가정!$E$233,②시니어_가정!$E$234,②시니어_가정!$E$235))</f>
        <v>0</v>
      </c>
      <c r="AW38" s="37" t="n">
        <f aca="false">(AW14=1)*②시니어_가정!$H$38*②시니어_가정!$E$227*②시니어_가정!$E$228/1000*(1+②시니어_가정!$E$230)^INT((AW15-1)/②시니어_가정!$E$231)*(1-CHOOSE(MIN(MAX(AW16,1),3),②시니어_가정!$E$233,②시니어_가정!$E$234,②시니어_가정!$E$235))</f>
        <v>0</v>
      </c>
      <c r="AX38" s="37" t="n">
        <f aca="false">(AX14=1)*②시니어_가정!$H$38*②시니어_가정!$E$227*②시니어_가정!$E$228/1000*(1+②시니어_가정!$E$230)^INT((AX15-1)/②시니어_가정!$E$231)*(1-CHOOSE(MIN(MAX(AX16,1),3),②시니어_가정!$E$233,②시니어_가정!$E$234,②시니어_가정!$E$235))</f>
        <v>0</v>
      </c>
      <c r="AY38" s="37" t="n">
        <f aca="false">(AY14=1)*②시니어_가정!$H$38*②시니어_가정!$E$227*②시니어_가정!$E$228/1000*(1+②시니어_가정!$E$230)^INT((AY15-1)/②시니어_가정!$E$231)*(1-CHOOSE(MIN(MAX(AY16,1),3),②시니어_가정!$E$233,②시니어_가정!$E$234,②시니어_가정!$E$235))</f>
        <v>0</v>
      </c>
      <c r="AZ38" s="37" t="n">
        <f aca="false">(AZ14=1)*②시니어_가정!$H$38*②시니어_가정!$E$227*②시니어_가정!$E$228/1000*(1+②시니어_가정!$E$230)^INT((AZ15-1)/②시니어_가정!$E$231)*(1-CHOOSE(MIN(MAX(AZ16,1),3),②시니어_가정!$E$233,②시니어_가정!$E$234,②시니어_가정!$E$235))</f>
        <v>0</v>
      </c>
      <c r="BA38" s="37" t="n">
        <f aca="false">(BA14=1)*②시니어_가정!$H$38*②시니어_가정!$E$227*②시니어_가정!$E$228/1000*(1+②시니어_가정!$E$230)^INT((BA15-1)/②시니어_가정!$E$231)*(1-CHOOSE(MIN(MAX(BA16,1),3),②시니어_가정!$E$233,②시니어_가정!$E$234,②시니어_가정!$E$235))</f>
        <v>0</v>
      </c>
      <c r="BB38" s="37" t="n">
        <f aca="false">(BB14=1)*②시니어_가정!$H$38*②시니어_가정!$E$227*②시니어_가정!$E$228/1000*(1+②시니어_가정!$E$230)^INT((BB15-1)/②시니어_가정!$E$231)*(1-CHOOSE(MIN(MAX(BB16,1),3),②시니어_가정!$E$233,②시니어_가정!$E$234,②시니어_가정!$E$235))</f>
        <v>0</v>
      </c>
      <c r="BC38" s="37" t="n">
        <f aca="false">(BC14=1)*②시니어_가정!$H$38*②시니어_가정!$E$227*②시니어_가정!$E$228/1000*(1+②시니어_가정!$E$230)^INT((BC15-1)/②시니어_가정!$E$231)*(1-CHOOSE(MIN(MAX(BC16,1),3),②시니어_가정!$E$233,②시니어_가정!$E$234,②시니어_가정!$E$235))</f>
        <v>0</v>
      </c>
      <c r="BD38" s="37" t="n">
        <f aca="false">(BD14=1)*②시니어_가정!$H$38*②시니어_가정!$E$227*②시니어_가정!$E$228/1000*(1+②시니어_가정!$E$230)^INT((BD15-1)/②시니어_가정!$E$231)*(1-CHOOSE(MIN(MAX(BD16,1),3),②시니어_가정!$E$233,②시니어_가정!$E$234,②시니어_가정!$E$235))</f>
        <v>0</v>
      </c>
      <c r="BE38" s="37" t="n">
        <f aca="false">(BE14=1)*②시니어_가정!$H$38*②시니어_가정!$E$227*②시니어_가정!$E$228/1000*(1+②시니어_가정!$E$230)^INT((BE15-1)/②시니어_가정!$E$231)*(1-CHOOSE(MIN(MAX(BE16,1),3),②시니어_가정!$E$233,②시니어_가정!$E$234,②시니어_가정!$E$235))</f>
        <v>0</v>
      </c>
      <c r="BF38" s="37" t="n">
        <f aca="false">(BF14=1)*②시니어_가정!$H$38*②시니어_가정!$E$227*②시니어_가정!$E$228/1000*(1+②시니어_가정!$E$230)^INT((BF15-1)/②시니어_가정!$E$231)*(1-CHOOSE(MIN(MAX(BF16,1),3),②시니어_가정!$E$233,②시니어_가정!$E$234,②시니어_가정!$E$235))</f>
        <v>0</v>
      </c>
      <c r="BG38" s="37" t="n">
        <f aca="false">(BG14=1)*②시니어_가정!$H$38*②시니어_가정!$E$227*②시니어_가정!$E$228/1000*(1+②시니어_가정!$E$230)^INT((BG15-1)/②시니어_가정!$E$231)*(1-CHOOSE(MIN(MAX(BG16,1),3),②시니어_가정!$E$233,②시니어_가정!$E$234,②시니어_가정!$E$235))</f>
        <v>0</v>
      </c>
      <c r="BH38" s="37" t="n">
        <f aca="false">(BH14=1)*②시니어_가정!$H$38*②시니어_가정!$E$227*②시니어_가정!$E$228/1000*(1+②시니어_가정!$E$230)^INT((BH15-1)/②시니어_가정!$E$231)*(1-CHOOSE(MIN(MAX(BH16,1),3),②시니어_가정!$E$233,②시니어_가정!$E$234,②시니어_가정!$E$235))</f>
        <v>0</v>
      </c>
      <c r="BI38" s="37" t="n">
        <f aca="false">(BI14=1)*②시니어_가정!$H$38*②시니어_가정!$E$227*②시니어_가정!$E$228/1000*(1+②시니어_가정!$E$230)^INT((BI15-1)/②시니어_가정!$E$231)*(1-CHOOSE(MIN(MAX(BI16,1),3),②시니어_가정!$E$233,②시니어_가정!$E$234,②시니어_가정!$E$235))</f>
        <v>0</v>
      </c>
      <c r="BJ38" s="37" t="n">
        <f aca="false">(BJ14=1)*②시니어_가정!$H$38*②시니어_가정!$E$227*②시니어_가정!$E$228/1000*(1+②시니어_가정!$E$230)^INT((BJ15-1)/②시니어_가정!$E$231)*(1-CHOOSE(MIN(MAX(BJ16,1),3),②시니어_가정!$E$233,②시니어_가정!$E$234,②시니어_가정!$E$235))</f>
        <v>0</v>
      </c>
      <c r="BK38" s="37" t="n">
        <f aca="false">(BK14=1)*②시니어_가정!$H$38*②시니어_가정!$E$227*②시니어_가정!$E$228/1000*(1+②시니어_가정!$E$230)^INT((BK15-1)/②시니어_가정!$E$231)*(1-CHOOSE(MIN(MAX(BK16,1),3),②시니어_가정!$E$233,②시니어_가정!$E$234,②시니어_가정!$E$235))</f>
        <v>0</v>
      </c>
      <c r="BL38" s="37" t="n">
        <f aca="false">(BL14=1)*②시니어_가정!$H$38*②시니어_가정!$E$227*②시니어_가정!$E$228/1000*(1+②시니어_가정!$E$230)^INT((BL15-1)/②시니어_가정!$E$231)*(1-CHOOSE(MIN(MAX(BL16,1),3),②시니어_가정!$E$233,②시니어_가정!$E$234,②시니어_가정!$E$235))</f>
        <v>0</v>
      </c>
      <c r="BM38" s="37" t="n">
        <f aca="false">(BM14=1)*②시니어_가정!$H$38*②시니어_가정!$E$227*②시니어_가정!$E$228/1000*(1+②시니어_가정!$E$230)^INT((BM15-1)/②시니어_가정!$E$231)*(1-CHOOSE(MIN(MAX(BM16,1),3),②시니어_가정!$E$233,②시니어_가정!$E$234,②시니어_가정!$E$235))</f>
        <v>0</v>
      </c>
      <c r="BN38" s="37" t="n">
        <f aca="false">(BN14=1)*②시니어_가정!$H$38*②시니어_가정!$E$227*②시니어_가정!$E$228/1000*(1+②시니어_가정!$E$230)^INT((BN15-1)/②시니어_가정!$E$231)*(1-CHOOSE(MIN(MAX(BN16,1),3),②시니어_가정!$E$233,②시니어_가정!$E$234,②시니어_가정!$E$235))</f>
        <v>0</v>
      </c>
      <c r="BO38" s="37" t="n">
        <f aca="false">(BO14=1)*②시니어_가정!$H$38*②시니어_가정!$E$227*②시니어_가정!$E$228/1000*(1+②시니어_가정!$E$230)^INT((BO15-1)/②시니어_가정!$E$231)*(1-CHOOSE(MIN(MAX(BO16,1),3),②시니어_가정!$E$233,②시니어_가정!$E$234,②시니어_가정!$E$235))</f>
        <v>0</v>
      </c>
      <c r="BP38" s="37" t="n">
        <f aca="false">(BP14=1)*②시니어_가정!$H$38*②시니어_가정!$E$227*②시니어_가정!$E$228/1000*(1+②시니어_가정!$E$230)^INT((BP15-1)/②시니어_가정!$E$231)*(1-CHOOSE(MIN(MAX(BP16,1),3),②시니어_가정!$E$233,②시니어_가정!$E$234,②시니어_가정!$E$235))</f>
        <v>0</v>
      </c>
      <c r="BQ38" s="37" t="n">
        <f aca="false">(BQ14=1)*②시니어_가정!$H$38*②시니어_가정!$E$227*②시니어_가정!$E$228/1000*(1+②시니어_가정!$E$230)^INT((BQ15-1)/②시니어_가정!$E$231)*(1-CHOOSE(MIN(MAX(BQ16,1),3),②시니어_가정!$E$233,②시니어_가정!$E$234,②시니어_가정!$E$235))</f>
        <v>0</v>
      </c>
      <c r="BR38" s="37" t="n">
        <f aca="false">(BR14=1)*②시니어_가정!$H$38*②시니어_가정!$E$227*②시니어_가정!$E$228/1000*(1+②시니어_가정!$E$230)^INT((BR15-1)/②시니어_가정!$E$231)*(1-CHOOSE(MIN(MAX(BR16,1),3),②시니어_가정!$E$233,②시니어_가정!$E$234,②시니어_가정!$E$235))</f>
        <v>0</v>
      </c>
      <c r="BS38" s="37" t="n">
        <f aca="false">(BS14=1)*②시니어_가정!$H$38*②시니어_가정!$E$227*②시니어_가정!$E$228/1000*(1+②시니어_가정!$E$230)^INT((BS15-1)/②시니어_가정!$E$231)*(1-CHOOSE(MIN(MAX(BS16,1),3),②시니어_가정!$E$233,②시니어_가정!$E$234,②시니어_가정!$E$235))</f>
        <v>0</v>
      </c>
      <c r="BT38" s="37" t="n">
        <f aca="false">(BT14=1)*②시니어_가정!$H$38*②시니어_가정!$E$227*②시니어_가정!$E$228/1000*(1+②시니어_가정!$E$230)^INT((BT15-1)/②시니어_가정!$E$231)*(1-CHOOSE(MIN(MAX(BT16,1),3),②시니어_가정!$E$233,②시니어_가정!$E$234,②시니어_가정!$E$235))</f>
        <v>0</v>
      </c>
      <c r="BU38" s="37" t="n">
        <f aca="false">(BU14=1)*②시니어_가정!$H$38*②시니어_가정!$E$227*②시니어_가정!$E$228/1000*(1+②시니어_가정!$E$230)^INT((BU15-1)/②시니어_가정!$E$231)*(1-CHOOSE(MIN(MAX(BU16,1),3),②시니어_가정!$E$233,②시니어_가정!$E$234,②시니어_가정!$E$235))</f>
        <v>0</v>
      </c>
      <c r="BV38" s="37" t="n">
        <f aca="false">(BV14=1)*②시니어_가정!$H$38*②시니어_가정!$E$227*②시니어_가정!$E$228/1000*(1+②시니어_가정!$E$230)^INT((BV15-1)/②시니어_가정!$E$231)*(1-CHOOSE(MIN(MAX(BV16,1),3),②시니어_가정!$E$233,②시니어_가정!$E$234,②시니어_가정!$E$235))</f>
        <v>0</v>
      </c>
      <c r="BW38" s="37" t="n">
        <f aca="false">(BW14=1)*②시니어_가정!$H$38*②시니어_가정!$E$227*②시니어_가정!$E$228/1000*(1+②시니어_가정!$E$230)^INT((BW15-1)/②시니어_가정!$E$231)*(1-CHOOSE(MIN(MAX(BW16,1),3),②시니어_가정!$E$233,②시니어_가정!$E$234,②시니어_가정!$E$235))</f>
        <v>0</v>
      </c>
      <c r="BX38" s="37" t="n">
        <f aca="false">(BX14=1)*②시니어_가정!$H$38*②시니어_가정!$E$227*②시니어_가정!$E$228/1000*(1+②시니어_가정!$E$230)^INT((BX15-1)/②시니어_가정!$E$231)*(1-CHOOSE(MIN(MAX(BX16,1),3),②시니어_가정!$E$233,②시니어_가정!$E$234,②시니어_가정!$E$235))</f>
        <v>0</v>
      </c>
      <c r="BY38" s="37" t="n">
        <f aca="false">(BY14=1)*②시니어_가정!$H$38*②시니어_가정!$E$227*②시니어_가정!$E$228/1000*(1+②시니어_가정!$E$230)^INT((BY15-1)/②시니어_가정!$E$231)*(1-CHOOSE(MIN(MAX(BY16,1),3),②시니어_가정!$E$233,②시니어_가정!$E$234,②시니어_가정!$E$235))</f>
        <v>0</v>
      </c>
      <c r="BZ38" s="37" t="n">
        <f aca="false">(BZ14=1)*②시니어_가정!$H$38*②시니어_가정!$E$227*②시니어_가정!$E$228/1000*(1+②시니어_가정!$E$230)^INT((BZ15-1)/②시니어_가정!$E$231)*(1-CHOOSE(MIN(MAX(BZ16,1),3),②시니어_가정!$E$233,②시니어_가정!$E$234,②시니어_가정!$E$235))</f>
        <v>0</v>
      </c>
      <c r="CA38" s="37" t="n">
        <f aca="false">(CA14=1)*②시니어_가정!$H$38*②시니어_가정!$E$227*②시니어_가정!$E$228/1000*(1+②시니어_가정!$E$230)^INT((CA15-1)/②시니어_가정!$E$231)*(1-CHOOSE(MIN(MAX(CA16,1),3),②시니어_가정!$E$233,②시니어_가정!$E$234,②시니어_가정!$E$235))</f>
        <v>0</v>
      </c>
      <c r="CB38" s="37" t="n">
        <f aca="false">(CB14=1)*②시니어_가정!$H$38*②시니어_가정!$E$227*②시니어_가정!$E$228/1000*(1+②시니어_가정!$E$230)^INT((CB15-1)/②시니어_가정!$E$231)*(1-CHOOSE(MIN(MAX(CB16,1),3),②시니어_가정!$E$233,②시니어_가정!$E$234,②시니어_가정!$E$235))</f>
        <v>0</v>
      </c>
      <c r="CC38" s="37" t="n">
        <f aca="false">(CC14=1)*②시니어_가정!$H$38*②시니어_가정!$E$227*②시니어_가정!$E$228/1000*(1+②시니어_가정!$E$230)^INT((CC15-1)/②시니어_가정!$E$231)*(1-CHOOSE(MIN(MAX(CC16,1),3),②시니어_가정!$E$233,②시니어_가정!$E$234,②시니어_가정!$E$235))</f>
        <v>0</v>
      </c>
      <c r="CD38" s="37" t="n">
        <f aca="false">(CD14=1)*②시니어_가정!$H$38*②시니어_가정!$E$227*②시니어_가정!$E$228/1000*(1+②시니어_가정!$E$230)^INT((CD15-1)/②시니어_가정!$E$231)*(1-CHOOSE(MIN(MAX(CD16,1),3),②시니어_가정!$E$233,②시니어_가정!$E$234,②시니어_가정!$E$235))</f>
        <v>0</v>
      </c>
      <c r="CE38" s="37" t="n">
        <f aca="false">(CE14=1)*②시니어_가정!$H$38*②시니어_가정!$E$227*②시니어_가정!$E$228/1000*(1+②시니어_가정!$E$230)^INT((CE15-1)/②시니어_가정!$E$231)*(1-CHOOSE(MIN(MAX(CE16,1),3),②시니어_가정!$E$233,②시니어_가정!$E$234,②시니어_가정!$E$235))</f>
        <v>0</v>
      </c>
      <c r="CF38" s="37" t="n">
        <f aca="false">(CF14=1)*②시니어_가정!$H$38*②시니어_가정!$E$227*②시니어_가정!$E$228/1000*(1+②시니어_가정!$E$230)^INT((CF15-1)/②시니어_가정!$E$231)*(1-CHOOSE(MIN(MAX(CF16,1),3),②시니어_가정!$E$233,②시니어_가정!$E$234,②시니어_가정!$E$235))</f>
        <v>0</v>
      </c>
      <c r="CG38" s="37" t="n">
        <f aca="false">(CG14=1)*②시니어_가정!$H$38*②시니어_가정!$E$227*②시니어_가정!$E$228/1000*(1+②시니어_가정!$E$230)^INT((CG15-1)/②시니어_가정!$E$231)*(1-CHOOSE(MIN(MAX(CG16,1),3),②시니어_가정!$E$233,②시니어_가정!$E$234,②시니어_가정!$E$235))</f>
        <v>0</v>
      </c>
      <c r="CH38" s="37" t="n">
        <f aca="false">(CH14=1)*②시니어_가정!$H$38*②시니어_가정!$E$227*②시니어_가정!$E$228/1000*(1+②시니어_가정!$E$230)^INT((CH15-1)/②시니어_가정!$E$231)*(1-CHOOSE(MIN(MAX(CH16,1),3),②시니어_가정!$E$233,②시니어_가정!$E$234,②시니어_가정!$E$235))</f>
        <v>0</v>
      </c>
      <c r="CI38" s="37" t="n">
        <f aca="false">(CI14=1)*②시니어_가정!$H$38*②시니어_가정!$E$227*②시니어_가정!$E$228/1000*(1+②시니어_가정!$E$230)^INT((CI15-1)/②시니어_가정!$E$231)*(1-CHOOSE(MIN(MAX(CI16,1),3),②시니어_가정!$E$233,②시니어_가정!$E$234,②시니어_가정!$E$235))</f>
        <v>0</v>
      </c>
      <c r="CJ38" s="37" t="n">
        <f aca="false">(CJ14=1)*②시니어_가정!$H$38*②시니어_가정!$E$227*②시니어_가정!$E$228/1000*(1+②시니어_가정!$E$230)^INT((CJ15-1)/②시니어_가정!$E$231)*(1-CHOOSE(MIN(MAX(CJ16,1),3),②시니어_가정!$E$233,②시니어_가정!$E$234,②시니어_가정!$E$235))</f>
        <v>0</v>
      </c>
      <c r="CK38" s="37" t="n">
        <f aca="false">(CK14=1)*②시니어_가정!$H$38*②시니어_가정!$E$227*②시니어_가정!$E$228/1000*(1+②시니어_가정!$E$230)^INT((CK15-1)/②시니어_가정!$E$231)*(1-CHOOSE(MIN(MAX(CK16,1),3),②시니어_가정!$E$233,②시니어_가정!$E$234,②시니어_가정!$E$235))</f>
        <v>0</v>
      </c>
      <c r="CL38" s="37" t="n">
        <f aca="false">(CL14=1)*②시니어_가정!$H$38*②시니어_가정!$E$227*②시니어_가정!$E$228/1000*(1+②시니어_가정!$E$230)^INT((CL15-1)/②시니어_가정!$E$231)*(1-CHOOSE(MIN(MAX(CL16,1),3),②시니어_가정!$E$233,②시니어_가정!$E$234,②시니어_가정!$E$235))</f>
        <v>0</v>
      </c>
      <c r="CM38" s="37" t="n">
        <f aca="false">(CM14=1)*②시니어_가정!$H$38*②시니어_가정!$E$227*②시니어_가정!$E$228/1000*(1+②시니어_가정!$E$230)^INT((CM15-1)/②시니어_가정!$E$231)*(1-CHOOSE(MIN(MAX(CM16,1),3),②시니어_가정!$E$233,②시니어_가정!$E$234,②시니어_가정!$E$235))</f>
        <v>0</v>
      </c>
      <c r="CN38" s="37" t="n">
        <f aca="false">(CN14=1)*②시니어_가정!$H$38*②시니어_가정!$E$227*②시니어_가정!$E$228/1000*(1+②시니어_가정!$E$230)^INT((CN15-1)/②시니어_가정!$E$231)*(1-CHOOSE(MIN(MAX(CN16,1),3),②시니어_가정!$E$233,②시니어_가정!$E$234,②시니어_가정!$E$235))</f>
        <v>0</v>
      </c>
      <c r="CO38" s="37" t="n">
        <f aca="false">(CO14=1)*②시니어_가정!$H$38*②시니어_가정!$E$227*②시니어_가정!$E$228/1000*(1+②시니어_가정!$E$230)^INT((CO15-1)/②시니어_가정!$E$231)*(1-CHOOSE(MIN(MAX(CO16,1),3),②시니어_가정!$E$233,②시니어_가정!$E$234,②시니어_가정!$E$235))</f>
        <v>0</v>
      </c>
      <c r="CP38" s="37" t="n">
        <f aca="false">(CP14=1)*②시니어_가정!$H$38*②시니어_가정!$E$227*②시니어_가정!$E$228/1000*(1+②시니어_가정!$E$230)^INT((CP15-1)/②시니어_가정!$E$231)*(1-CHOOSE(MIN(MAX(CP16,1),3),②시니어_가정!$E$233,②시니어_가정!$E$234,②시니어_가정!$E$235))</f>
        <v>0</v>
      </c>
      <c r="CQ38" s="37" t="n">
        <f aca="false">(CQ14=1)*②시니어_가정!$H$38*②시니어_가정!$E$227*②시니어_가정!$E$228/1000*(1+②시니어_가정!$E$230)^INT((CQ15-1)/②시니어_가정!$E$231)*(1-CHOOSE(MIN(MAX(CQ16,1),3),②시니어_가정!$E$233,②시니어_가정!$E$234,②시니어_가정!$E$235))</f>
        <v>0</v>
      </c>
      <c r="CR38" s="37" t="n">
        <f aca="false">(CR14=1)*②시니어_가정!$H$38*②시니어_가정!$E$227*②시니어_가정!$E$228/1000*(1+②시니어_가정!$E$230)^INT((CR15-1)/②시니어_가정!$E$231)*(1-CHOOSE(MIN(MAX(CR16,1),3),②시니어_가정!$E$233,②시니어_가정!$E$234,②시니어_가정!$E$235))</f>
        <v>0</v>
      </c>
      <c r="CS38" s="37" t="n">
        <f aca="false">(CS14=1)*②시니어_가정!$H$38*②시니어_가정!$E$227*②시니어_가정!$E$228/1000*(1+②시니어_가정!$E$230)^INT((CS15-1)/②시니어_가정!$E$231)*(1-CHOOSE(MIN(MAX(CS16,1),3),②시니어_가정!$E$233,②시니어_가정!$E$234,②시니어_가정!$E$235))</f>
        <v>0</v>
      </c>
      <c r="CT38" s="37" t="n">
        <f aca="false">(CT14=1)*②시니어_가정!$H$38*②시니어_가정!$E$227*②시니어_가정!$E$228/1000*(1+②시니어_가정!$E$230)^INT((CT15-1)/②시니어_가정!$E$231)*(1-CHOOSE(MIN(MAX(CT16,1),3),②시니어_가정!$E$233,②시니어_가정!$E$234,②시니어_가정!$E$235))</f>
        <v>0</v>
      </c>
      <c r="CU38" s="37" t="n">
        <f aca="false">(CU14=1)*②시니어_가정!$H$38*②시니어_가정!$E$227*②시니어_가정!$E$228/1000*(1+②시니어_가정!$E$230)^INT((CU15-1)/②시니어_가정!$E$231)*(1-CHOOSE(MIN(MAX(CU16,1),3),②시니어_가정!$E$233,②시니어_가정!$E$234,②시니어_가정!$E$235))</f>
        <v>0</v>
      </c>
      <c r="CV38" s="37" t="n">
        <f aca="false">(CV14=1)*②시니어_가정!$H$38*②시니어_가정!$E$227*②시니어_가정!$E$228/1000*(1+②시니어_가정!$E$230)^INT((CV15-1)/②시니어_가정!$E$231)*(1-CHOOSE(MIN(MAX(CV16,1),3),②시니어_가정!$E$233,②시니어_가정!$E$234,②시니어_가정!$E$235))</f>
        <v>0</v>
      </c>
      <c r="CW38" s="37" t="n">
        <f aca="false">(CW14=1)*②시니어_가정!$H$38*②시니어_가정!$E$227*②시니어_가정!$E$228/1000*(1+②시니어_가정!$E$230)^INT((CW15-1)/②시니어_가정!$E$231)*(1-CHOOSE(MIN(MAX(CW16,1),3),②시니어_가정!$E$233,②시니어_가정!$E$234,②시니어_가정!$E$235))</f>
        <v>0</v>
      </c>
      <c r="CX38" s="37" t="n">
        <f aca="false">(CX14=1)*②시니어_가정!$H$38*②시니어_가정!$E$227*②시니어_가정!$E$228/1000*(1+②시니어_가정!$E$230)^INT((CX15-1)/②시니어_가정!$E$231)*(1-CHOOSE(MIN(MAX(CX16,1),3),②시니어_가정!$E$233,②시니어_가정!$E$234,②시니어_가정!$E$235))</f>
        <v>0</v>
      </c>
      <c r="CY38" s="37" t="n">
        <f aca="false">(CY14=1)*②시니어_가정!$H$38*②시니어_가정!$E$227*②시니어_가정!$E$228/1000*(1+②시니어_가정!$E$230)^INT((CY15-1)/②시니어_가정!$E$231)*(1-CHOOSE(MIN(MAX(CY16,1),3),②시니어_가정!$E$233,②시니어_가정!$E$234,②시니어_가정!$E$235))</f>
        <v>0</v>
      </c>
      <c r="CZ38" s="37" t="n">
        <f aca="false">(CZ14=1)*②시니어_가정!$H$38*②시니어_가정!$E$227*②시니어_가정!$E$228/1000*(1+②시니어_가정!$E$230)^INT((CZ15-1)/②시니어_가정!$E$231)*(1-CHOOSE(MIN(MAX(CZ16,1),3),②시니어_가정!$E$233,②시니어_가정!$E$234,②시니어_가정!$E$235))</f>
        <v>0</v>
      </c>
      <c r="DA38" s="37" t="n">
        <f aca="false">(DA14=1)*②시니어_가정!$H$38*②시니어_가정!$E$227*②시니어_가정!$E$228/1000*(1+②시니어_가정!$E$230)^INT((DA15-1)/②시니어_가정!$E$231)*(1-CHOOSE(MIN(MAX(DA16,1),3),②시니어_가정!$E$233,②시니어_가정!$E$234,②시니어_가정!$E$235))</f>
        <v>0</v>
      </c>
      <c r="DB38" s="37" t="n">
        <f aca="false">(DB14=1)*②시니어_가정!$H$38*②시니어_가정!$E$227*②시니어_가정!$E$228/1000*(1+②시니어_가정!$E$230)^INT((DB15-1)/②시니어_가정!$E$231)*(1-CHOOSE(MIN(MAX(DB16,1),3),②시니어_가정!$E$233,②시니어_가정!$E$234,②시니어_가정!$E$235))</f>
        <v>0</v>
      </c>
      <c r="DC38" s="37" t="n">
        <f aca="false">(DC14=1)*②시니어_가정!$H$38*②시니어_가정!$E$227*②시니어_가정!$E$228/1000*(1+②시니어_가정!$E$230)^INT((DC15-1)/②시니어_가정!$E$231)*(1-CHOOSE(MIN(MAX(DC16,1),3),②시니어_가정!$E$233,②시니어_가정!$E$234,②시니어_가정!$E$235))</f>
        <v>0</v>
      </c>
      <c r="DD38" s="37" t="n">
        <f aca="false">(DD14=1)*②시니어_가정!$H$38*②시니어_가정!$E$227*②시니어_가정!$E$228/1000*(1+②시니어_가정!$E$230)^INT((DD15-1)/②시니어_가정!$E$231)*(1-CHOOSE(MIN(MAX(DD16,1),3),②시니어_가정!$E$233,②시니어_가정!$E$234,②시니어_가정!$E$235))</f>
        <v>0</v>
      </c>
      <c r="DE38" s="37" t="n">
        <f aca="false">(DE14=1)*②시니어_가정!$H$38*②시니어_가정!$E$227*②시니어_가정!$E$228/1000*(1+②시니어_가정!$E$230)^INT((DE15-1)/②시니어_가정!$E$231)*(1-CHOOSE(MIN(MAX(DE16,1),3),②시니어_가정!$E$233,②시니어_가정!$E$234,②시니어_가정!$E$235))</f>
        <v>0</v>
      </c>
      <c r="DF38" s="37" t="n">
        <f aca="false">(DF14=1)*②시니어_가정!$H$38*②시니어_가정!$E$227*②시니어_가정!$E$228/1000*(1+②시니어_가정!$E$230)^INT((DF15-1)/②시니어_가정!$E$231)*(1-CHOOSE(MIN(MAX(DF16,1),3),②시니어_가정!$E$233,②시니어_가정!$E$234,②시니어_가정!$E$235))</f>
        <v>0</v>
      </c>
      <c r="DG38" s="37" t="n">
        <f aca="false">(DG14=1)*②시니어_가정!$H$38*②시니어_가정!$E$227*②시니어_가정!$E$228/1000*(1+②시니어_가정!$E$230)^INT((DG15-1)/②시니어_가정!$E$231)*(1-CHOOSE(MIN(MAX(DG16,1),3),②시니어_가정!$E$233,②시니어_가정!$E$234,②시니어_가정!$E$235))</f>
        <v>0</v>
      </c>
      <c r="DH38" s="37" t="n">
        <f aca="false">(DH14=1)*②시니어_가정!$H$38*②시니어_가정!$E$227*②시니어_가정!$E$228/1000*(1+②시니어_가정!$E$230)^INT((DH15-1)/②시니어_가정!$E$231)*(1-CHOOSE(MIN(MAX(DH16,1),3),②시니어_가정!$E$233,②시니어_가정!$E$234,②시니어_가정!$E$235))</f>
        <v>0</v>
      </c>
      <c r="DI38" s="37" t="n">
        <f aca="false">(DI14=1)*②시니어_가정!$H$38*②시니어_가정!$E$227*②시니어_가정!$E$228/1000*(1+②시니어_가정!$E$230)^INT((DI15-1)/②시니어_가정!$E$231)*(1-CHOOSE(MIN(MAX(DI16,1),3),②시니어_가정!$E$233,②시니어_가정!$E$234,②시니어_가정!$E$235))</f>
        <v>0</v>
      </c>
      <c r="DJ38" s="37" t="n">
        <f aca="false">(DJ14=1)*②시니어_가정!$H$38*②시니어_가정!$E$227*②시니어_가정!$E$228/1000*(1+②시니어_가정!$E$230)^INT((DJ15-1)/②시니어_가정!$E$231)*(1-CHOOSE(MIN(MAX(DJ16,1),3),②시니어_가정!$E$233,②시니어_가정!$E$234,②시니어_가정!$E$235))</f>
        <v>0</v>
      </c>
      <c r="DK38" s="37" t="n">
        <f aca="false">(DK14=1)*②시니어_가정!$H$38*②시니어_가정!$E$227*②시니어_가정!$E$228/1000*(1+②시니어_가정!$E$230)^INT((DK15-1)/②시니어_가정!$E$231)*(1-CHOOSE(MIN(MAX(DK16,1),3),②시니어_가정!$E$233,②시니어_가정!$E$234,②시니어_가정!$E$235))</f>
        <v>0</v>
      </c>
      <c r="DL38" s="37" t="n">
        <f aca="false">(DL14=1)*②시니어_가정!$H$38*②시니어_가정!$E$227*②시니어_가정!$E$228/1000*(1+②시니어_가정!$E$230)^INT((DL15-1)/②시니어_가정!$E$231)*(1-CHOOSE(MIN(MAX(DL16,1),3),②시니어_가정!$E$233,②시니어_가정!$E$234,②시니어_가정!$E$235))</f>
        <v>0</v>
      </c>
      <c r="DM38" s="37" t="n">
        <f aca="false">(DM14=1)*②시니어_가정!$H$38*②시니어_가정!$E$227*②시니어_가정!$E$228/1000*(1+②시니어_가정!$E$230)^INT((DM15-1)/②시니어_가정!$E$231)*(1-CHOOSE(MIN(MAX(DM16,1),3),②시니어_가정!$E$233,②시니어_가정!$E$234,②시니어_가정!$E$235))</f>
        <v>0</v>
      </c>
      <c r="DN38" s="37" t="n">
        <f aca="false">(DN14=1)*②시니어_가정!$H$38*②시니어_가정!$E$227*②시니어_가정!$E$228/1000*(1+②시니어_가정!$E$230)^INT((DN15-1)/②시니어_가정!$E$231)*(1-CHOOSE(MIN(MAX(DN16,1),3),②시니어_가정!$E$233,②시니어_가정!$E$234,②시니어_가정!$E$235))</f>
        <v>0</v>
      </c>
      <c r="DO38" s="37" t="n">
        <f aca="false">(DO14=1)*②시니어_가정!$H$38*②시니어_가정!$E$227*②시니어_가정!$E$228/1000*(1+②시니어_가정!$E$230)^INT((DO15-1)/②시니어_가정!$E$231)*(1-CHOOSE(MIN(MAX(DO16,1),3),②시니어_가정!$E$233,②시니어_가정!$E$234,②시니어_가정!$E$235))</f>
        <v>0</v>
      </c>
      <c r="DP38" s="37" t="n">
        <f aca="false">(DP14=1)*②시니어_가정!$H$38*②시니어_가정!$E$227*②시니어_가정!$E$228/1000*(1+②시니어_가정!$E$230)^INT((DP15-1)/②시니어_가정!$E$231)*(1-CHOOSE(MIN(MAX(DP16,1),3),②시니어_가정!$E$233,②시니어_가정!$E$234,②시니어_가정!$E$235))</f>
        <v>0</v>
      </c>
      <c r="DQ38" s="37" t="n">
        <f aca="false">(DQ14=1)*②시니어_가정!$H$38*②시니어_가정!$E$227*②시니어_가정!$E$228/1000*(1+②시니어_가정!$E$230)^INT((DQ15-1)/②시니어_가정!$E$231)*(1-CHOOSE(MIN(MAX(DQ16,1),3),②시니어_가정!$E$233,②시니어_가정!$E$234,②시니어_가정!$E$235))</f>
        <v>0</v>
      </c>
      <c r="DR38" s="37" t="n">
        <f aca="false">(DR14=1)*②시니어_가정!$H$38*②시니어_가정!$E$227*②시니어_가정!$E$228/1000*(1+②시니어_가정!$E$230)^INT((DR15-1)/②시니어_가정!$E$231)*(1-CHOOSE(MIN(MAX(DR16,1),3),②시니어_가정!$E$233,②시니어_가정!$E$234,②시니어_가정!$E$235))</f>
        <v>0</v>
      </c>
      <c r="DS38" s="37" t="n">
        <f aca="false">(DS14=1)*②시니어_가정!$H$38*②시니어_가정!$E$227*②시니어_가정!$E$228/1000*(1+②시니어_가정!$E$230)^INT((DS15-1)/②시니어_가정!$E$231)*(1-CHOOSE(MIN(MAX(DS16,1),3),②시니어_가정!$E$233,②시니어_가정!$E$234,②시니어_가정!$E$235))</f>
        <v>0</v>
      </c>
      <c r="DT38" s="37" t="n">
        <f aca="false">(DT14=1)*②시니어_가정!$H$38*②시니어_가정!$E$227*②시니어_가정!$E$228/1000*(1+②시니어_가정!$E$230)^INT((DT15-1)/②시니어_가정!$E$231)*(1-CHOOSE(MIN(MAX(DT16,1),3),②시니어_가정!$E$233,②시니어_가정!$E$234,②시니어_가정!$E$235))</f>
        <v>0</v>
      </c>
      <c r="DU38" s="37" t="n">
        <f aca="false">(DU14=1)*②시니어_가정!$H$38*②시니어_가정!$E$227*②시니어_가정!$E$228/1000*(1+②시니어_가정!$E$230)^INT((DU15-1)/②시니어_가정!$E$231)*(1-CHOOSE(MIN(MAX(DU16,1),3),②시니어_가정!$E$233,②시니어_가정!$E$234,②시니어_가정!$E$235))</f>
        <v>0</v>
      </c>
      <c r="DV38" s="37" t="n">
        <f aca="false">(DV14=1)*②시니어_가정!$H$38*②시니어_가정!$E$227*②시니어_가정!$E$228/1000*(1+②시니어_가정!$E$230)^INT((DV15-1)/②시니어_가정!$E$231)*(1-CHOOSE(MIN(MAX(DV16,1),3),②시니어_가정!$E$233,②시니어_가정!$E$234,②시니어_가정!$E$235))</f>
        <v>0</v>
      </c>
      <c r="DW38" s="37" t="n">
        <f aca="false">(DW14=1)*②시니어_가정!$H$38*②시니어_가정!$E$227*②시니어_가정!$E$228/1000*(1+②시니어_가정!$E$230)^INT((DW15-1)/②시니어_가정!$E$231)*(1-CHOOSE(MIN(MAX(DW16,1),3),②시니어_가정!$E$233,②시니어_가정!$E$234,②시니어_가정!$E$235))</f>
        <v>0</v>
      </c>
      <c r="DX38" s="37" t="n">
        <f aca="false">(DX14=1)*②시니어_가정!$H$38*②시니어_가정!$E$227*②시니어_가정!$E$228/1000*(1+②시니어_가정!$E$230)^INT((DX15-1)/②시니어_가정!$E$231)*(1-CHOOSE(MIN(MAX(DX16,1),3),②시니어_가정!$E$233,②시니어_가정!$E$234,②시니어_가정!$E$235))</f>
        <v>0</v>
      </c>
      <c r="DY38" s="37" t="n">
        <f aca="false">(DY14=1)*②시니어_가정!$H$38*②시니어_가정!$E$227*②시니어_가정!$E$228/1000*(1+②시니어_가정!$E$230)^INT((DY15-1)/②시니어_가정!$E$231)*(1-CHOOSE(MIN(MAX(DY16,1),3),②시니어_가정!$E$233,②시니어_가정!$E$234,②시니어_가정!$E$235))</f>
        <v>0</v>
      </c>
      <c r="DZ38" s="37" t="n">
        <f aca="false">(DZ14=1)*②시니어_가정!$H$38*②시니어_가정!$E$227*②시니어_가정!$E$228/1000*(1+②시니어_가정!$E$230)^INT((DZ15-1)/②시니어_가정!$E$231)*(1-CHOOSE(MIN(MAX(DZ16,1),3),②시니어_가정!$E$233,②시니어_가정!$E$234,②시니어_가정!$E$235))</f>
        <v>0</v>
      </c>
      <c r="EA38" s="37" t="n">
        <f aca="false">(EA14=1)*②시니어_가정!$H$38*②시니어_가정!$E$227*②시니어_가정!$E$228/1000*(1+②시니어_가정!$E$230)^INT((EA15-1)/②시니어_가정!$E$231)*(1-CHOOSE(MIN(MAX(EA16,1),3),②시니어_가정!$E$233,②시니어_가정!$E$234,②시니어_가정!$E$235))</f>
        <v>0</v>
      </c>
      <c r="EB38" s="37" t="n">
        <f aca="false">(EB14=1)*②시니어_가정!$H$38*②시니어_가정!$E$227*②시니어_가정!$E$228/1000*(1+②시니어_가정!$E$230)^INT((EB15-1)/②시니어_가정!$E$231)*(1-CHOOSE(MIN(MAX(EB16,1),3),②시니어_가정!$E$233,②시니어_가정!$E$234,②시니어_가정!$E$235))</f>
        <v>0</v>
      </c>
      <c r="EC38" s="37" t="n">
        <f aca="false">(EC14=1)*②시니어_가정!$H$38*②시니어_가정!$E$227*②시니어_가정!$E$228/1000*(1+②시니어_가정!$E$230)^INT((EC15-1)/②시니어_가정!$E$231)*(1-CHOOSE(MIN(MAX(EC16,1),3),②시니어_가정!$E$233,②시니어_가정!$E$234,②시니어_가정!$E$235))</f>
        <v>0</v>
      </c>
      <c r="ED38" s="37" t="n">
        <f aca="false">(ED14=1)*②시니어_가정!$H$38*②시니어_가정!$E$227*②시니어_가정!$E$228/1000*(1+②시니어_가정!$E$230)^INT((ED15-1)/②시니어_가정!$E$231)*(1-CHOOSE(MIN(MAX(ED16,1),3),②시니어_가정!$E$233,②시니어_가정!$E$234,②시니어_가정!$E$235))</f>
        <v>0</v>
      </c>
      <c r="EE38" s="37" t="n">
        <f aca="false">(EE14=1)*②시니어_가정!$H$38*②시니어_가정!$E$227*②시니어_가정!$E$228/1000*(1+②시니어_가정!$E$230)^INT((EE15-1)/②시니어_가정!$E$231)*(1-CHOOSE(MIN(MAX(EE16,1),3),②시니어_가정!$E$233,②시니어_가정!$E$234,②시니어_가정!$E$235))</f>
        <v>0</v>
      </c>
      <c r="EF38" s="37" t="n">
        <f aca="false">(EF14=1)*②시니어_가정!$H$38*②시니어_가정!$E$227*②시니어_가정!$E$228/1000*(1+②시니어_가정!$E$230)^INT((EF15-1)/②시니어_가정!$E$231)*(1-CHOOSE(MIN(MAX(EF16,1),3),②시니어_가정!$E$233,②시니어_가정!$E$234,②시니어_가정!$E$235))</f>
        <v>0</v>
      </c>
    </row>
    <row r="39" customFormat="false" ht="15" hidden="false" customHeight="false" outlineLevel="0" collapsed="false">
      <c r="A39" s="36" t="s">
        <v>589</v>
      </c>
      <c r="B39" s="278" t="s">
        <v>21</v>
      </c>
      <c r="C39" s="279" t="n">
        <f aca="false">SUM(E39:EF39)</f>
        <v>0</v>
      </c>
      <c r="E39" s="37" t="n">
        <f aca="false">(E14=1)*②시니어_가정!$H$38*②시니어_가정!$E$240*②시니어_가정!$E$241/1000*(1+②시니어_가정!$E$243)^INT((E15-1)/②시니어_가정!$E$244)*(1-CHOOSE(MIN(MAX(E16,1),3),②시니어_가정!$E$246,②시니어_가정!$E$247,②시니어_가정!$E$248))</f>
        <v>0</v>
      </c>
      <c r="F39" s="37" t="n">
        <f aca="false">(F14=1)*②시니어_가정!$H$38*②시니어_가정!$E$240*②시니어_가정!$E$241/1000*(1+②시니어_가정!$E$243)^INT((F15-1)/②시니어_가정!$E$244)*(1-CHOOSE(MIN(MAX(F16,1),3),②시니어_가정!$E$246,②시니어_가정!$E$247,②시니어_가정!$E$248))</f>
        <v>0</v>
      </c>
      <c r="G39" s="37" t="n">
        <f aca="false">(G14=1)*②시니어_가정!$H$38*②시니어_가정!$E$240*②시니어_가정!$E$241/1000*(1+②시니어_가정!$E$243)^INT((G15-1)/②시니어_가정!$E$244)*(1-CHOOSE(MIN(MAX(G16,1),3),②시니어_가정!$E$246,②시니어_가정!$E$247,②시니어_가정!$E$248))</f>
        <v>0</v>
      </c>
      <c r="H39" s="37" t="n">
        <f aca="false">(H14=1)*②시니어_가정!$H$38*②시니어_가정!$E$240*②시니어_가정!$E$241/1000*(1+②시니어_가정!$E$243)^INT((H15-1)/②시니어_가정!$E$244)*(1-CHOOSE(MIN(MAX(H16,1),3),②시니어_가정!$E$246,②시니어_가정!$E$247,②시니어_가정!$E$248))</f>
        <v>0</v>
      </c>
      <c r="I39" s="37" t="n">
        <f aca="false">(I14=1)*②시니어_가정!$H$38*②시니어_가정!$E$240*②시니어_가정!$E$241/1000*(1+②시니어_가정!$E$243)^INT((I15-1)/②시니어_가정!$E$244)*(1-CHOOSE(MIN(MAX(I16,1),3),②시니어_가정!$E$246,②시니어_가정!$E$247,②시니어_가정!$E$248))</f>
        <v>0</v>
      </c>
      <c r="J39" s="37" t="n">
        <f aca="false">(J14=1)*②시니어_가정!$H$38*②시니어_가정!$E$240*②시니어_가정!$E$241/1000*(1+②시니어_가정!$E$243)^INT((J15-1)/②시니어_가정!$E$244)*(1-CHOOSE(MIN(MAX(J16,1),3),②시니어_가정!$E$246,②시니어_가정!$E$247,②시니어_가정!$E$248))</f>
        <v>0</v>
      </c>
      <c r="K39" s="37" t="n">
        <f aca="false">(K14=1)*②시니어_가정!$H$38*②시니어_가정!$E$240*②시니어_가정!$E$241/1000*(1+②시니어_가정!$E$243)^INT((K15-1)/②시니어_가정!$E$244)*(1-CHOOSE(MIN(MAX(K16,1),3),②시니어_가정!$E$246,②시니어_가정!$E$247,②시니어_가정!$E$248))</f>
        <v>0</v>
      </c>
      <c r="L39" s="37" t="n">
        <f aca="false">(L14=1)*②시니어_가정!$H$38*②시니어_가정!$E$240*②시니어_가정!$E$241/1000*(1+②시니어_가정!$E$243)^INT((L15-1)/②시니어_가정!$E$244)*(1-CHOOSE(MIN(MAX(L16,1),3),②시니어_가정!$E$246,②시니어_가정!$E$247,②시니어_가정!$E$248))</f>
        <v>0</v>
      </c>
      <c r="M39" s="37" t="n">
        <f aca="false">(M14=1)*②시니어_가정!$H$38*②시니어_가정!$E$240*②시니어_가정!$E$241/1000*(1+②시니어_가정!$E$243)^INT((M15-1)/②시니어_가정!$E$244)*(1-CHOOSE(MIN(MAX(M16,1),3),②시니어_가정!$E$246,②시니어_가정!$E$247,②시니어_가정!$E$248))</f>
        <v>0</v>
      </c>
      <c r="N39" s="37" t="n">
        <f aca="false">(N14=1)*②시니어_가정!$H$38*②시니어_가정!$E$240*②시니어_가정!$E$241/1000*(1+②시니어_가정!$E$243)^INT((N15-1)/②시니어_가정!$E$244)*(1-CHOOSE(MIN(MAX(N16,1),3),②시니어_가정!$E$246,②시니어_가정!$E$247,②시니어_가정!$E$248))</f>
        <v>0</v>
      </c>
      <c r="O39" s="37" t="n">
        <f aca="false">(O14=1)*②시니어_가정!$H$38*②시니어_가정!$E$240*②시니어_가정!$E$241/1000*(1+②시니어_가정!$E$243)^INT((O15-1)/②시니어_가정!$E$244)*(1-CHOOSE(MIN(MAX(O16,1),3),②시니어_가정!$E$246,②시니어_가정!$E$247,②시니어_가정!$E$248))</f>
        <v>0</v>
      </c>
      <c r="P39" s="37" t="n">
        <f aca="false">(P14=1)*②시니어_가정!$H$38*②시니어_가정!$E$240*②시니어_가정!$E$241/1000*(1+②시니어_가정!$E$243)^INT((P15-1)/②시니어_가정!$E$244)*(1-CHOOSE(MIN(MAX(P16,1),3),②시니어_가정!$E$246,②시니어_가정!$E$247,②시니어_가정!$E$248))</f>
        <v>0</v>
      </c>
      <c r="Q39" s="37" t="n">
        <f aca="false">(Q14=1)*②시니어_가정!$H$38*②시니어_가정!$E$240*②시니어_가정!$E$241/1000*(1+②시니어_가정!$E$243)^INT((Q15-1)/②시니어_가정!$E$244)*(1-CHOOSE(MIN(MAX(Q16,1),3),②시니어_가정!$E$246,②시니어_가정!$E$247,②시니어_가정!$E$248))</f>
        <v>0</v>
      </c>
      <c r="R39" s="37" t="n">
        <f aca="false">(R14=1)*②시니어_가정!$H$38*②시니어_가정!$E$240*②시니어_가정!$E$241/1000*(1+②시니어_가정!$E$243)^INT((R15-1)/②시니어_가정!$E$244)*(1-CHOOSE(MIN(MAX(R16,1),3),②시니어_가정!$E$246,②시니어_가정!$E$247,②시니어_가정!$E$248))</f>
        <v>0</v>
      </c>
      <c r="S39" s="37" t="n">
        <f aca="false">(S14=1)*②시니어_가정!$H$38*②시니어_가정!$E$240*②시니어_가정!$E$241/1000*(1+②시니어_가정!$E$243)^INT((S15-1)/②시니어_가정!$E$244)*(1-CHOOSE(MIN(MAX(S16,1),3),②시니어_가정!$E$246,②시니어_가정!$E$247,②시니어_가정!$E$248))</f>
        <v>0</v>
      </c>
      <c r="T39" s="37" t="n">
        <f aca="false">(T14=1)*②시니어_가정!$H$38*②시니어_가정!$E$240*②시니어_가정!$E$241/1000*(1+②시니어_가정!$E$243)^INT((T15-1)/②시니어_가정!$E$244)*(1-CHOOSE(MIN(MAX(T16,1),3),②시니어_가정!$E$246,②시니어_가정!$E$247,②시니어_가정!$E$248))</f>
        <v>0</v>
      </c>
      <c r="U39" s="37" t="n">
        <f aca="false">(U14=1)*②시니어_가정!$H$38*②시니어_가정!$E$240*②시니어_가정!$E$241/1000*(1+②시니어_가정!$E$243)^INT((U15-1)/②시니어_가정!$E$244)*(1-CHOOSE(MIN(MAX(U16,1),3),②시니어_가정!$E$246,②시니어_가정!$E$247,②시니어_가정!$E$248))</f>
        <v>0</v>
      </c>
      <c r="V39" s="37" t="n">
        <f aca="false">(V14=1)*②시니어_가정!$H$38*②시니어_가정!$E$240*②시니어_가정!$E$241/1000*(1+②시니어_가정!$E$243)^INT((V15-1)/②시니어_가정!$E$244)*(1-CHOOSE(MIN(MAX(V16,1),3),②시니어_가정!$E$246,②시니어_가정!$E$247,②시니어_가정!$E$248))</f>
        <v>0</v>
      </c>
      <c r="W39" s="37" t="n">
        <f aca="false">(W14=1)*②시니어_가정!$H$38*②시니어_가정!$E$240*②시니어_가정!$E$241/1000*(1+②시니어_가정!$E$243)^INT((W15-1)/②시니어_가정!$E$244)*(1-CHOOSE(MIN(MAX(W16,1),3),②시니어_가정!$E$246,②시니어_가정!$E$247,②시니어_가정!$E$248))</f>
        <v>0</v>
      </c>
      <c r="X39" s="37" t="n">
        <f aca="false">(X14=1)*②시니어_가정!$H$38*②시니어_가정!$E$240*②시니어_가정!$E$241/1000*(1+②시니어_가정!$E$243)^INT((X15-1)/②시니어_가정!$E$244)*(1-CHOOSE(MIN(MAX(X16,1),3),②시니어_가정!$E$246,②시니어_가정!$E$247,②시니어_가정!$E$248))</f>
        <v>0</v>
      </c>
      <c r="Y39" s="37" t="n">
        <f aca="false">(Y14=1)*②시니어_가정!$H$38*②시니어_가정!$E$240*②시니어_가정!$E$241/1000*(1+②시니어_가정!$E$243)^INT((Y15-1)/②시니어_가정!$E$244)*(1-CHOOSE(MIN(MAX(Y16,1),3),②시니어_가정!$E$246,②시니어_가정!$E$247,②시니어_가정!$E$248))</f>
        <v>0</v>
      </c>
      <c r="Z39" s="37" t="n">
        <f aca="false">(Z14=1)*②시니어_가정!$H$38*②시니어_가정!$E$240*②시니어_가정!$E$241/1000*(1+②시니어_가정!$E$243)^INT((Z15-1)/②시니어_가정!$E$244)*(1-CHOOSE(MIN(MAX(Z16,1),3),②시니어_가정!$E$246,②시니어_가정!$E$247,②시니어_가정!$E$248))</f>
        <v>0</v>
      </c>
      <c r="AA39" s="37" t="n">
        <f aca="false">(AA14=1)*②시니어_가정!$H$38*②시니어_가정!$E$240*②시니어_가정!$E$241/1000*(1+②시니어_가정!$E$243)^INT((AA15-1)/②시니어_가정!$E$244)*(1-CHOOSE(MIN(MAX(AA16,1),3),②시니어_가정!$E$246,②시니어_가정!$E$247,②시니어_가정!$E$248))</f>
        <v>0</v>
      </c>
      <c r="AB39" s="37" t="n">
        <f aca="false">(AB14=1)*②시니어_가정!$H$38*②시니어_가정!$E$240*②시니어_가정!$E$241/1000*(1+②시니어_가정!$E$243)^INT((AB15-1)/②시니어_가정!$E$244)*(1-CHOOSE(MIN(MAX(AB16,1),3),②시니어_가정!$E$246,②시니어_가정!$E$247,②시니어_가정!$E$248))</f>
        <v>0</v>
      </c>
      <c r="AC39" s="37" t="n">
        <f aca="false">(AC14=1)*②시니어_가정!$H$38*②시니어_가정!$E$240*②시니어_가정!$E$241/1000*(1+②시니어_가정!$E$243)^INT((AC15-1)/②시니어_가정!$E$244)*(1-CHOOSE(MIN(MAX(AC16,1),3),②시니어_가정!$E$246,②시니어_가정!$E$247,②시니어_가정!$E$248))</f>
        <v>0</v>
      </c>
      <c r="AD39" s="37" t="n">
        <f aca="false">(AD14=1)*②시니어_가정!$H$38*②시니어_가정!$E$240*②시니어_가정!$E$241/1000*(1+②시니어_가정!$E$243)^INT((AD15-1)/②시니어_가정!$E$244)*(1-CHOOSE(MIN(MAX(AD16,1),3),②시니어_가정!$E$246,②시니어_가정!$E$247,②시니어_가정!$E$248))</f>
        <v>0</v>
      </c>
      <c r="AE39" s="37" t="n">
        <f aca="false">(AE14=1)*②시니어_가정!$H$38*②시니어_가정!$E$240*②시니어_가정!$E$241/1000*(1+②시니어_가정!$E$243)^INT((AE15-1)/②시니어_가정!$E$244)*(1-CHOOSE(MIN(MAX(AE16,1),3),②시니어_가정!$E$246,②시니어_가정!$E$247,②시니어_가정!$E$248))</f>
        <v>0</v>
      </c>
      <c r="AF39" s="37" t="n">
        <f aca="false">(AF14=1)*②시니어_가정!$H$38*②시니어_가정!$E$240*②시니어_가정!$E$241/1000*(1+②시니어_가정!$E$243)^INT((AF15-1)/②시니어_가정!$E$244)*(1-CHOOSE(MIN(MAX(AF16,1),3),②시니어_가정!$E$246,②시니어_가정!$E$247,②시니어_가정!$E$248))</f>
        <v>0</v>
      </c>
      <c r="AG39" s="37" t="n">
        <f aca="false">(AG14=1)*②시니어_가정!$H$38*②시니어_가정!$E$240*②시니어_가정!$E$241/1000*(1+②시니어_가정!$E$243)^INT((AG15-1)/②시니어_가정!$E$244)*(1-CHOOSE(MIN(MAX(AG16,1),3),②시니어_가정!$E$246,②시니어_가정!$E$247,②시니어_가정!$E$248))</f>
        <v>0</v>
      </c>
      <c r="AH39" s="37" t="n">
        <f aca="false">(AH14=1)*②시니어_가정!$H$38*②시니어_가정!$E$240*②시니어_가정!$E$241/1000*(1+②시니어_가정!$E$243)^INT((AH15-1)/②시니어_가정!$E$244)*(1-CHOOSE(MIN(MAX(AH16,1),3),②시니어_가정!$E$246,②시니어_가정!$E$247,②시니어_가정!$E$248))</f>
        <v>0</v>
      </c>
      <c r="AI39" s="37" t="n">
        <f aca="false">(AI14=1)*②시니어_가정!$H$38*②시니어_가정!$E$240*②시니어_가정!$E$241/1000*(1+②시니어_가정!$E$243)^INT((AI15-1)/②시니어_가정!$E$244)*(1-CHOOSE(MIN(MAX(AI16,1),3),②시니어_가정!$E$246,②시니어_가정!$E$247,②시니어_가정!$E$248))</f>
        <v>0</v>
      </c>
      <c r="AJ39" s="37" t="n">
        <f aca="false">(AJ14=1)*②시니어_가정!$H$38*②시니어_가정!$E$240*②시니어_가정!$E$241/1000*(1+②시니어_가정!$E$243)^INT((AJ15-1)/②시니어_가정!$E$244)*(1-CHOOSE(MIN(MAX(AJ16,1),3),②시니어_가정!$E$246,②시니어_가정!$E$247,②시니어_가정!$E$248))</f>
        <v>0</v>
      </c>
      <c r="AK39" s="37" t="n">
        <f aca="false">(AK14=1)*②시니어_가정!$H$38*②시니어_가정!$E$240*②시니어_가정!$E$241/1000*(1+②시니어_가정!$E$243)^INT((AK15-1)/②시니어_가정!$E$244)*(1-CHOOSE(MIN(MAX(AK16,1),3),②시니어_가정!$E$246,②시니어_가정!$E$247,②시니어_가정!$E$248))</f>
        <v>0</v>
      </c>
      <c r="AL39" s="37" t="n">
        <f aca="false">(AL14=1)*②시니어_가정!$H$38*②시니어_가정!$E$240*②시니어_가정!$E$241/1000*(1+②시니어_가정!$E$243)^INT((AL15-1)/②시니어_가정!$E$244)*(1-CHOOSE(MIN(MAX(AL16,1),3),②시니어_가정!$E$246,②시니어_가정!$E$247,②시니어_가정!$E$248))</f>
        <v>0</v>
      </c>
      <c r="AM39" s="37" t="n">
        <f aca="false">(AM14=1)*②시니어_가정!$H$38*②시니어_가정!$E$240*②시니어_가정!$E$241/1000*(1+②시니어_가정!$E$243)^INT((AM15-1)/②시니어_가정!$E$244)*(1-CHOOSE(MIN(MAX(AM16,1),3),②시니어_가정!$E$246,②시니어_가정!$E$247,②시니어_가정!$E$248))</f>
        <v>0</v>
      </c>
      <c r="AN39" s="37" t="n">
        <f aca="false">(AN14=1)*②시니어_가정!$H$38*②시니어_가정!$E$240*②시니어_가정!$E$241/1000*(1+②시니어_가정!$E$243)^INT((AN15-1)/②시니어_가정!$E$244)*(1-CHOOSE(MIN(MAX(AN16,1),3),②시니어_가정!$E$246,②시니어_가정!$E$247,②시니어_가정!$E$248))</f>
        <v>0</v>
      </c>
      <c r="AO39" s="37" t="n">
        <f aca="false">(AO14=1)*②시니어_가정!$H$38*②시니어_가정!$E$240*②시니어_가정!$E$241/1000*(1+②시니어_가정!$E$243)^INT((AO15-1)/②시니어_가정!$E$244)*(1-CHOOSE(MIN(MAX(AO16,1),3),②시니어_가정!$E$246,②시니어_가정!$E$247,②시니어_가정!$E$248))</f>
        <v>0</v>
      </c>
      <c r="AP39" s="37" t="n">
        <f aca="false">(AP14=1)*②시니어_가정!$H$38*②시니어_가정!$E$240*②시니어_가정!$E$241/1000*(1+②시니어_가정!$E$243)^INT((AP15-1)/②시니어_가정!$E$244)*(1-CHOOSE(MIN(MAX(AP16,1),3),②시니어_가정!$E$246,②시니어_가정!$E$247,②시니어_가정!$E$248))</f>
        <v>0</v>
      </c>
      <c r="AQ39" s="37" t="n">
        <f aca="false">(AQ14=1)*②시니어_가정!$H$38*②시니어_가정!$E$240*②시니어_가정!$E$241/1000*(1+②시니어_가정!$E$243)^INT((AQ15-1)/②시니어_가정!$E$244)*(1-CHOOSE(MIN(MAX(AQ16,1),3),②시니어_가정!$E$246,②시니어_가정!$E$247,②시니어_가정!$E$248))</f>
        <v>0</v>
      </c>
      <c r="AR39" s="37" t="n">
        <f aca="false">(AR14=1)*②시니어_가정!$H$38*②시니어_가정!$E$240*②시니어_가정!$E$241/1000*(1+②시니어_가정!$E$243)^INT((AR15-1)/②시니어_가정!$E$244)*(1-CHOOSE(MIN(MAX(AR16,1),3),②시니어_가정!$E$246,②시니어_가정!$E$247,②시니어_가정!$E$248))</f>
        <v>0</v>
      </c>
      <c r="AS39" s="37" t="n">
        <f aca="false">(AS14=1)*②시니어_가정!$H$38*②시니어_가정!$E$240*②시니어_가정!$E$241/1000*(1+②시니어_가정!$E$243)^INT((AS15-1)/②시니어_가정!$E$244)*(1-CHOOSE(MIN(MAX(AS16,1),3),②시니어_가정!$E$246,②시니어_가정!$E$247,②시니어_가정!$E$248))</f>
        <v>0</v>
      </c>
      <c r="AT39" s="37" t="n">
        <f aca="false">(AT14=1)*②시니어_가정!$H$38*②시니어_가정!$E$240*②시니어_가정!$E$241/1000*(1+②시니어_가정!$E$243)^INT((AT15-1)/②시니어_가정!$E$244)*(1-CHOOSE(MIN(MAX(AT16,1),3),②시니어_가정!$E$246,②시니어_가정!$E$247,②시니어_가정!$E$248))</f>
        <v>0</v>
      </c>
      <c r="AU39" s="37" t="n">
        <f aca="false">(AU14=1)*②시니어_가정!$H$38*②시니어_가정!$E$240*②시니어_가정!$E$241/1000*(1+②시니어_가정!$E$243)^INT((AU15-1)/②시니어_가정!$E$244)*(1-CHOOSE(MIN(MAX(AU16,1),3),②시니어_가정!$E$246,②시니어_가정!$E$247,②시니어_가정!$E$248))</f>
        <v>0</v>
      </c>
      <c r="AV39" s="37" t="n">
        <f aca="false">(AV14=1)*②시니어_가정!$H$38*②시니어_가정!$E$240*②시니어_가정!$E$241/1000*(1+②시니어_가정!$E$243)^INT((AV15-1)/②시니어_가정!$E$244)*(1-CHOOSE(MIN(MAX(AV16,1),3),②시니어_가정!$E$246,②시니어_가정!$E$247,②시니어_가정!$E$248))</f>
        <v>0</v>
      </c>
      <c r="AW39" s="37" t="n">
        <f aca="false">(AW14=1)*②시니어_가정!$H$38*②시니어_가정!$E$240*②시니어_가정!$E$241/1000*(1+②시니어_가정!$E$243)^INT((AW15-1)/②시니어_가정!$E$244)*(1-CHOOSE(MIN(MAX(AW16,1),3),②시니어_가정!$E$246,②시니어_가정!$E$247,②시니어_가정!$E$248))</f>
        <v>0</v>
      </c>
      <c r="AX39" s="37" t="n">
        <f aca="false">(AX14=1)*②시니어_가정!$H$38*②시니어_가정!$E$240*②시니어_가정!$E$241/1000*(1+②시니어_가정!$E$243)^INT((AX15-1)/②시니어_가정!$E$244)*(1-CHOOSE(MIN(MAX(AX16,1),3),②시니어_가정!$E$246,②시니어_가정!$E$247,②시니어_가정!$E$248))</f>
        <v>0</v>
      </c>
      <c r="AY39" s="37" t="n">
        <f aca="false">(AY14=1)*②시니어_가정!$H$38*②시니어_가정!$E$240*②시니어_가정!$E$241/1000*(1+②시니어_가정!$E$243)^INT((AY15-1)/②시니어_가정!$E$244)*(1-CHOOSE(MIN(MAX(AY16,1),3),②시니어_가정!$E$246,②시니어_가정!$E$247,②시니어_가정!$E$248))</f>
        <v>0</v>
      </c>
      <c r="AZ39" s="37" t="n">
        <f aca="false">(AZ14=1)*②시니어_가정!$H$38*②시니어_가정!$E$240*②시니어_가정!$E$241/1000*(1+②시니어_가정!$E$243)^INT((AZ15-1)/②시니어_가정!$E$244)*(1-CHOOSE(MIN(MAX(AZ16,1),3),②시니어_가정!$E$246,②시니어_가정!$E$247,②시니어_가정!$E$248))</f>
        <v>0</v>
      </c>
      <c r="BA39" s="37" t="n">
        <f aca="false">(BA14=1)*②시니어_가정!$H$38*②시니어_가정!$E$240*②시니어_가정!$E$241/1000*(1+②시니어_가정!$E$243)^INT((BA15-1)/②시니어_가정!$E$244)*(1-CHOOSE(MIN(MAX(BA16,1),3),②시니어_가정!$E$246,②시니어_가정!$E$247,②시니어_가정!$E$248))</f>
        <v>0</v>
      </c>
      <c r="BB39" s="37" t="n">
        <f aca="false">(BB14=1)*②시니어_가정!$H$38*②시니어_가정!$E$240*②시니어_가정!$E$241/1000*(1+②시니어_가정!$E$243)^INT((BB15-1)/②시니어_가정!$E$244)*(1-CHOOSE(MIN(MAX(BB16,1),3),②시니어_가정!$E$246,②시니어_가정!$E$247,②시니어_가정!$E$248))</f>
        <v>0</v>
      </c>
      <c r="BC39" s="37" t="n">
        <f aca="false">(BC14=1)*②시니어_가정!$H$38*②시니어_가정!$E$240*②시니어_가정!$E$241/1000*(1+②시니어_가정!$E$243)^INT((BC15-1)/②시니어_가정!$E$244)*(1-CHOOSE(MIN(MAX(BC16,1),3),②시니어_가정!$E$246,②시니어_가정!$E$247,②시니어_가정!$E$248))</f>
        <v>0</v>
      </c>
      <c r="BD39" s="37" t="n">
        <f aca="false">(BD14=1)*②시니어_가정!$H$38*②시니어_가정!$E$240*②시니어_가정!$E$241/1000*(1+②시니어_가정!$E$243)^INT((BD15-1)/②시니어_가정!$E$244)*(1-CHOOSE(MIN(MAX(BD16,1),3),②시니어_가정!$E$246,②시니어_가정!$E$247,②시니어_가정!$E$248))</f>
        <v>0</v>
      </c>
      <c r="BE39" s="37" t="n">
        <f aca="false">(BE14=1)*②시니어_가정!$H$38*②시니어_가정!$E$240*②시니어_가정!$E$241/1000*(1+②시니어_가정!$E$243)^INT((BE15-1)/②시니어_가정!$E$244)*(1-CHOOSE(MIN(MAX(BE16,1),3),②시니어_가정!$E$246,②시니어_가정!$E$247,②시니어_가정!$E$248))</f>
        <v>0</v>
      </c>
      <c r="BF39" s="37" t="n">
        <f aca="false">(BF14=1)*②시니어_가정!$H$38*②시니어_가정!$E$240*②시니어_가정!$E$241/1000*(1+②시니어_가정!$E$243)^INT((BF15-1)/②시니어_가정!$E$244)*(1-CHOOSE(MIN(MAX(BF16,1),3),②시니어_가정!$E$246,②시니어_가정!$E$247,②시니어_가정!$E$248))</f>
        <v>0</v>
      </c>
      <c r="BG39" s="37" t="n">
        <f aca="false">(BG14=1)*②시니어_가정!$H$38*②시니어_가정!$E$240*②시니어_가정!$E$241/1000*(1+②시니어_가정!$E$243)^INT((BG15-1)/②시니어_가정!$E$244)*(1-CHOOSE(MIN(MAX(BG16,1),3),②시니어_가정!$E$246,②시니어_가정!$E$247,②시니어_가정!$E$248))</f>
        <v>0</v>
      </c>
      <c r="BH39" s="37" t="n">
        <f aca="false">(BH14=1)*②시니어_가정!$H$38*②시니어_가정!$E$240*②시니어_가정!$E$241/1000*(1+②시니어_가정!$E$243)^INT((BH15-1)/②시니어_가정!$E$244)*(1-CHOOSE(MIN(MAX(BH16,1),3),②시니어_가정!$E$246,②시니어_가정!$E$247,②시니어_가정!$E$248))</f>
        <v>0</v>
      </c>
      <c r="BI39" s="37" t="n">
        <f aca="false">(BI14=1)*②시니어_가정!$H$38*②시니어_가정!$E$240*②시니어_가정!$E$241/1000*(1+②시니어_가정!$E$243)^INT((BI15-1)/②시니어_가정!$E$244)*(1-CHOOSE(MIN(MAX(BI16,1),3),②시니어_가정!$E$246,②시니어_가정!$E$247,②시니어_가정!$E$248))</f>
        <v>0</v>
      </c>
      <c r="BJ39" s="37" t="n">
        <f aca="false">(BJ14=1)*②시니어_가정!$H$38*②시니어_가정!$E$240*②시니어_가정!$E$241/1000*(1+②시니어_가정!$E$243)^INT((BJ15-1)/②시니어_가정!$E$244)*(1-CHOOSE(MIN(MAX(BJ16,1),3),②시니어_가정!$E$246,②시니어_가정!$E$247,②시니어_가정!$E$248))</f>
        <v>0</v>
      </c>
      <c r="BK39" s="37" t="n">
        <f aca="false">(BK14=1)*②시니어_가정!$H$38*②시니어_가정!$E$240*②시니어_가정!$E$241/1000*(1+②시니어_가정!$E$243)^INT((BK15-1)/②시니어_가정!$E$244)*(1-CHOOSE(MIN(MAX(BK16,1),3),②시니어_가정!$E$246,②시니어_가정!$E$247,②시니어_가정!$E$248))</f>
        <v>0</v>
      </c>
      <c r="BL39" s="37" t="n">
        <f aca="false">(BL14=1)*②시니어_가정!$H$38*②시니어_가정!$E$240*②시니어_가정!$E$241/1000*(1+②시니어_가정!$E$243)^INT((BL15-1)/②시니어_가정!$E$244)*(1-CHOOSE(MIN(MAX(BL16,1),3),②시니어_가정!$E$246,②시니어_가정!$E$247,②시니어_가정!$E$248))</f>
        <v>0</v>
      </c>
      <c r="BM39" s="37" t="n">
        <f aca="false">(BM14=1)*②시니어_가정!$H$38*②시니어_가정!$E$240*②시니어_가정!$E$241/1000*(1+②시니어_가정!$E$243)^INT((BM15-1)/②시니어_가정!$E$244)*(1-CHOOSE(MIN(MAX(BM16,1),3),②시니어_가정!$E$246,②시니어_가정!$E$247,②시니어_가정!$E$248))</f>
        <v>0</v>
      </c>
      <c r="BN39" s="37" t="n">
        <f aca="false">(BN14=1)*②시니어_가정!$H$38*②시니어_가정!$E$240*②시니어_가정!$E$241/1000*(1+②시니어_가정!$E$243)^INT((BN15-1)/②시니어_가정!$E$244)*(1-CHOOSE(MIN(MAX(BN16,1),3),②시니어_가정!$E$246,②시니어_가정!$E$247,②시니어_가정!$E$248))</f>
        <v>0</v>
      </c>
      <c r="BO39" s="37" t="n">
        <f aca="false">(BO14=1)*②시니어_가정!$H$38*②시니어_가정!$E$240*②시니어_가정!$E$241/1000*(1+②시니어_가정!$E$243)^INT((BO15-1)/②시니어_가정!$E$244)*(1-CHOOSE(MIN(MAX(BO16,1),3),②시니어_가정!$E$246,②시니어_가정!$E$247,②시니어_가정!$E$248))</f>
        <v>0</v>
      </c>
      <c r="BP39" s="37" t="n">
        <f aca="false">(BP14=1)*②시니어_가정!$H$38*②시니어_가정!$E$240*②시니어_가정!$E$241/1000*(1+②시니어_가정!$E$243)^INT((BP15-1)/②시니어_가정!$E$244)*(1-CHOOSE(MIN(MAX(BP16,1),3),②시니어_가정!$E$246,②시니어_가정!$E$247,②시니어_가정!$E$248))</f>
        <v>0</v>
      </c>
      <c r="BQ39" s="37" t="n">
        <f aca="false">(BQ14=1)*②시니어_가정!$H$38*②시니어_가정!$E$240*②시니어_가정!$E$241/1000*(1+②시니어_가정!$E$243)^INT((BQ15-1)/②시니어_가정!$E$244)*(1-CHOOSE(MIN(MAX(BQ16,1),3),②시니어_가정!$E$246,②시니어_가정!$E$247,②시니어_가정!$E$248))</f>
        <v>0</v>
      </c>
      <c r="BR39" s="37" t="n">
        <f aca="false">(BR14=1)*②시니어_가정!$H$38*②시니어_가정!$E$240*②시니어_가정!$E$241/1000*(1+②시니어_가정!$E$243)^INT((BR15-1)/②시니어_가정!$E$244)*(1-CHOOSE(MIN(MAX(BR16,1),3),②시니어_가정!$E$246,②시니어_가정!$E$247,②시니어_가정!$E$248))</f>
        <v>0</v>
      </c>
      <c r="BS39" s="37" t="n">
        <f aca="false">(BS14=1)*②시니어_가정!$H$38*②시니어_가정!$E$240*②시니어_가정!$E$241/1000*(1+②시니어_가정!$E$243)^INT((BS15-1)/②시니어_가정!$E$244)*(1-CHOOSE(MIN(MAX(BS16,1),3),②시니어_가정!$E$246,②시니어_가정!$E$247,②시니어_가정!$E$248))</f>
        <v>0</v>
      </c>
      <c r="BT39" s="37" t="n">
        <f aca="false">(BT14=1)*②시니어_가정!$H$38*②시니어_가정!$E$240*②시니어_가정!$E$241/1000*(1+②시니어_가정!$E$243)^INT((BT15-1)/②시니어_가정!$E$244)*(1-CHOOSE(MIN(MAX(BT16,1),3),②시니어_가정!$E$246,②시니어_가정!$E$247,②시니어_가정!$E$248))</f>
        <v>0</v>
      </c>
      <c r="BU39" s="37" t="n">
        <f aca="false">(BU14=1)*②시니어_가정!$H$38*②시니어_가정!$E$240*②시니어_가정!$E$241/1000*(1+②시니어_가정!$E$243)^INT((BU15-1)/②시니어_가정!$E$244)*(1-CHOOSE(MIN(MAX(BU16,1),3),②시니어_가정!$E$246,②시니어_가정!$E$247,②시니어_가정!$E$248))</f>
        <v>0</v>
      </c>
      <c r="BV39" s="37" t="n">
        <f aca="false">(BV14=1)*②시니어_가정!$H$38*②시니어_가정!$E$240*②시니어_가정!$E$241/1000*(1+②시니어_가정!$E$243)^INT((BV15-1)/②시니어_가정!$E$244)*(1-CHOOSE(MIN(MAX(BV16,1),3),②시니어_가정!$E$246,②시니어_가정!$E$247,②시니어_가정!$E$248))</f>
        <v>0</v>
      </c>
      <c r="BW39" s="37" t="n">
        <f aca="false">(BW14=1)*②시니어_가정!$H$38*②시니어_가정!$E$240*②시니어_가정!$E$241/1000*(1+②시니어_가정!$E$243)^INT((BW15-1)/②시니어_가정!$E$244)*(1-CHOOSE(MIN(MAX(BW16,1),3),②시니어_가정!$E$246,②시니어_가정!$E$247,②시니어_가정!$E$248))</f>
        <v>0</v>
      </c>
      <c r="BX39" s="37" t="n">
        <f aca="false">(BX14=1)*②시니어_가정!$H$38*②시니어_가정!$E$240*②시니어_가정!$E$241/1000*(1+②시니어_가정!$E$243)^INT((BX15-1)/②시니어_가정!$E$244)*(1-CHOOSE(MIN(MAX(BX16,1),3),②시니어_가정!$E$246,②시니어_가정!$E$247,②시니어_가정!$E$248))</f>
        <v>0</v>
      </c>
      <c r="BY39" s="37" t="n">
        <f aca="false">(BY14=1)*②시니어_가정!$H$38*②시니어_가정!$E$240*②시니어_가정!$E$241/1000*(1+②시니어_가정!$E$243)^INT((BY15-1)/②시니어_가정!$E$244)*(1-CHOOSE(MIN(MAX(BY16,1),3),②시니어_가정!$E$246,②시니어_가정!$E$247,②시니어_가정!$E$248))</f>
        <v>0</v>
      </c>
      <c r="BZ39" s="37" t="n">
        <f aca="false">(BZ14=1)*②시니어_가정!$H$38*②시니어_가정!$E$240*②시니어_가정!$E$241/1000*(1+②시니어_가정!$E$243)^INT((BZ15-1)/②시니어_가정!$E$244)*(1-CHOOSE(MIN(MAX(BZ16,1),3),②시니어_가정!$E$246,②시니어_가정!$E$247,②시니어_가정!$E$248))</f>
        <v>0</v>
      </c>
      <c r="CA39" s="37" t="n">
        <f aca="false">(CA14=1)*②시니어_가정!$H$38*②시니어_가정!$E$240*②시니어_가정!$E$241/1000*(1+②시니어_가정!$E$243)^INT((CA15-1)/②시니어_가정!$E$244)*(1-CHOOSE(MIN(MAX(CA16,1),3),②시니어_가정!$E$246,②시니어_가정!$E$247,②시니어_가정!$E$248))</f>
        <v>0</v>
      </c>
      <c r="CB39" s="37" t="n">
        <f aca="false">(CB14=1)*②시니어_가정!$H$38*②시니어_가정!$E$240*②시니어_가정!$E$241/1000*(1+②시니어_가정!$E$243)^INT((CB15-1)/②시니어_가정!$E$244)*(1-CHOOSE(MIN(MAX(CB16,1),3),②시니어_가정!$E$246,②시니어_가정!$E$247,②시니어_가정!$E$248))</f>
        <v>0</v>
      </c>
      <c r="CC39" s="37" t="n">
        <f aca="false">(CC14=1)*②시니어_가정!$H$38*②시니어_가정!$E$240*②시니어_가정!$E$241/1000*(1+②시니어_가정!$E$243)^INT((CC15-1)/②시니어_가정!$E$244)*(1-CHOOSE(MIN(MAX(CC16,1),3),②시니어_가정!$E$246,②시니어_가정!$E$247,②시니어_가정!$E$248))</f>
        <v>0</v>
      </c>
      <c r="CD39" s="37" t="n">
        <f aca="false">(CD14=1)*②시니어_가정!$H$38*②시니어_가정!$E$240*②시니어_가정!$E$241/1000*(1+②시니어_가정!$E$243)^INT((CD15-1)/②시니어_가정!$E$244)*(1-CHOOSE(MIN(MAX(CD16,1),3),②시니어_가정!$E$246,②시니어_가정!$E$247,②시니어_가정!$E$248))</f>
        <v>0</v>
      </c>
      <c r="CE39" s="37" t="n">
        <f aca="false">(CE14=1)*②시니어_가정!$H$38*②시니어_가정!$E$240*②시니어_가정!$E$241/1000*(1+②시니어_가정!$E$243)^INT((CE15-1)/②시니어_가정!$E$244)*(1-CHOOSE(MIN(MAX(CE16,1),3),②시니어_가정!$E$246,②시니어_가정!$E$247,②시니어_가정!$E$248))</f>
        <v>0</v>
      </c>
      <c r="CF39" s="37" t="n">
        <f aca="false">(CF14=1)*②시니어_가정!$H$38*②시니어_가정!$E$240*②시니어_가정!$E$241/1000*(1+②시니어_가정!$E$243)^INT((CF15-1)/②시니어_가정!$E$244)*(1-CHOOSE(MIN(MAX(CF16,1),3),②시니어_가정!$E$246,②시니어_가정!$E$247,②시니어_가정!$E$248))</f>
        <v>0</v>
      </c>
      <c r="CG39" s="37" t="n">
        <f aca="false">(CG14=1)*②시니어_가정!$H$38*②시니어_가정!$E$240*②시니어_가정!$E$241/1000*(1+②시니어_가정!$E$243)^INT((CG15-1)/②시니어_가정!$E$244)*(1-CHOOSE(MIN(MAX(CG16,1),3),②시니어_가정!$E$246,②시니어_가정!$E$247,②시니어_가정!$E$248))</f>
        <v>0</v>
      </c>
      <c r="CH39" s="37" t="n">
        <f aca="false">(CH14=1)*②시니어_가정!$H$38*②시니어_가정!$E$240*②시니어_가정!$E$241/1000*(1+②시니어_가정!$E$243)^INT((CH15-1)/②시니어_가정!$E$244)*(1-CHOOSE(MIN(MAX(CH16,1),3),②시니어_가정!$E$246,②시니어_가정!$E$247,②시니어_가정!$E$248))</f>
        <v>0</v>
      </c>
      <c r="CI39" s="37" t="n">
        <f aca="false">(CI14=1)*②시니어_가정!$H$38*②시니어_가정!$E$240*②시니어_가정!$E$241/1000*(1+②시니어_가정!$E$243)^INT((CI15-1)/②시니어_가정!$E$244)*(1-CHOOSE(MIN(MAX(CI16,1),3),②시니어_가정!$E$246,②시니어_가정!$E$247,②시니어_가정!$E$248))</f>
        <v>0</v>
      </c>
      <c r="CJ39" s="37" t="n">
        <f aca="false">(CJ14=1)*②시니어_가정!$H$38*②시니어_가정!$E$240*②시니어_가정!$E$241/1000*(1+②시니어_가정!$E$243)^INT((CJ15-1)/②시니어_가정!$E$244)*(1-CHOOSE(MIN(MAX(CJ16,1),3),②시니어_가정!$E$246,②시니어_가정!$E$247,②시니어_가정!$E$248))</f>
        <v>0</v>
      </c>
      <c r="CK39" s="37" t="n">
        <f aca="false">(CK14=1)*②시니어_가정!$H$38*②시니어_가정!$E$240*②시니어_가정!$E$241/1000*(1+②시니어_가정!$E$243)^INT((CK15-1)/②시니어_가정!$E$244)*(1-CHOOSE(MIN(MAX(CK16,1),3),②시니어_가정!$E$246,②시니어_가정!$E$247,②시니어_가정!$E$248))</f>
        <v>0</v>
      </c>
      <c r="CL39" s="37" t="n">
        <f aca="false">(CL14=1)*②시니어_가정!$H$38*②시니어_가정!$E$240*②시니어_가정!$E$241/1000*(1+②시니어_가정!$E$243)^INT((CL15-1)/②시니어_가정!$E$244)*(1-CHOOSE(MIN(MAX(CL16,1),3),②시니어_가정!$E$246,②시니어_가정!$E$247,②시니어_가정!$E$248))</f>
        <v>0</v>
      </c>
      <c r="CM39" s="37" t="n">
        <f aca="false">(CM14=1)*②시니어_가정!$H$38*②시니어_가정!$E$240*②시니어_가정!$E$241/1000*(1+②시니어_가정!$E$243)^INT((CM15-1)/②시니어_가정!$E$244)*(1-CHOOSE(MIN(MAX(CM16,1),3),②시니어_가정!$E$246,②시니어_가정!$E$247,②시니어_가정!$E$248))</f>
        <v>0</v>
      </c>
      <c r="CN39" s="37" t="n">
        <f aca="false">(CN14=1)*②시니어_가정!$H$38*②시니어_가정!$E$240*②시니어_가정!$E$241/1000*(1+②시니어_가정!$E$243)^INT((CN15-1)/②시니어_가정!$E$244)*(1-CHOOSE(MIN(MAX(CN16,1),3),②시니어_가정!$E$246,②시니어_가정!$E$247,②시니어_가정!$E$248))</f>
        <v>0</v>
      </c>
      <c r="CO39" s="37" t="n">
        <f aca="false">(CO14=1)*②시니어_가정!$H$38*②시니어_가정!$E$240*②시니어_가정!$E$241/1000*(1+②시니어_가정!$E$243)^INT((CO15-1)/②시니어_가정!$E$244)*(1-CHOOSE(MIN(MAX(CO16,1),3),②시니어_가정!$E$246,②시니어_가정!$E$247,②시니어_가정!$E$248))</f>
        <v>0</v>
      </c>
      <c r="CP39" s="37" t="n">
        <f aca="false">(CP14=1)*②시니어_가정!$H$38*②시니어_가정!$E$240*②시니어_가정!$E$241/1000*(1+②시니어_가정!$E$243)^INT((CP15-1)/②시니어_가정!$E$244)*(1-CHOOSE(MIN(MAX(CP16,1),3),②시니어_가정!$E$246,②시니어_가정!$E$247,②시니어_가정!$E$248))</f>
        <v>0</v>
      </c>
      <c r="CQ39" s="37" t="n">
        <f aca="false">(CQ14=1)*②시니어_가정!$H$38*②시니어_가정!$E$240*②시니어_가정!$E$241/1000*(1+②시니어_가정!$E$243)^INT((CQ15-1)/②시니어_가정!$E$244)*(1-CHOOSE(MIN(MAX(CQ16,1),3),②시니어_가정!$E$246,②시니어_가정!$E$247,②시니어_가정!$E$248))</f>
        <v>0</v>
      </c>
      <c r="CR39" s="37" t="n">
        <f aca="false">(CR14=1)*②시니어_가정!$H$38*②시니어_가정!$E$240*②시니어_가정!$E$241/1000*(1+②시니어_가정!$E$243)^INT((CR15-1)/②시니어_가정!$E$244)*(1-CHOOSE(MIN(MAX(CR16,1),3),②시니어_가정!$E$246,②시니어_가정!$E$247,②시니어_가정!$E$248))</f>
        <v>0</v>
      </c>
      <c r="CS39" s="37" t="n">
        <f aca="false">(CS14=1)*②시니어_가정!$H$38*②시니어_가정!$E$240*②시니어_가정!$E$241/1000*(1+②시니어_가정!$E$243)^INT((CS15-1)/②시니어_가정!$E$244)*(1-CHOOSE(MIN(MAX(CS16,1),3),②시니어_가정!$E$246,②시니어_가정!$E$247,②시니어_가정!$E$248))</f>
        <v>0</v>
      </c>
      <c r="CT39" s="37" t="n">
        <f aca="false">(CT14=1)*②시니어_가정!$H$38*②시니어_가정!$E$240*②시니어_가정!$E$241/1000*(1+②시니어_가정!$E$243)^INT((CT15-1)/②시니어_가정!$E$244)*(1-CHOOSE(MIN(MAX(CT16,1),3),②시니어_가정!$E$246,②시니어_가정!$E$247,②시니어_가정!$E$248))</f>
        <v>0</v>
      </c>
      <c r="CU39" s="37" t="n">
        <f aca="false">(CU14=1)*②시니어_가정!$H$38*②시니어_가정!$E$240*②시니어_가정!$E$241/1000*(1+②시니어_가정!$E$243)^INT((CU15-1)/②시니어_가정!$E$244)*(1-CHOOSE(MIN(MAX(CU16,1),3),②시니어_가정!$E$246,②시니어_가정!$E$247,②시니어_가정!$E$248))</f>
        <v>0</v>
      </c>
      <c r="CV39" s="37" t="n">
        <f aca="false">(CV14=1)*②시니어_가정!$H$38*②시니어_가정!$E$240*②시니어_가정!$E$241/1000*(1+②시니어_가정!$E$243)^INT((CV15-1)/②시니어_가정!$E$244)*(1-CHOOSE(MIN(MAX(CV16,1),3),②시니어_가정!$E$246,②시니어_가정!$E$247,②시니어_가정!$E$248))</f>
        <v>0</v>
      </c>
      <c r="CW39" s="37" t="n">
        <f aca="false">(CW14=1)*②시니어_가정!$H$38*②시니어_가정!$E$240*②시니어_가정!$E$241/1000*(1+②시니어_가정!$E$243)^INT((CW15-1)/②시니어_가정!$E$244)*(1-CHOOSE(MIN(MAX(CW16,1),3),②시니어_가정!$E$246,②시니어_가정!$E$247,②시니어_가정!$E$248))</f>
        <v>0</v>
      </c>
      <c r="CX39" s="37" t="n">
        <f aca="false">(CX14=1)*②시니어_가정!$H$38*②시니어_가정!$E$240*②시니어_가정!$E$241/1000*(1+②시니어_가정!$E$243)^INT((CX15-1)/②시니어_가정!$E$244)*(1-CHOOSE(MIN(MAX(CX16,1),3),②시니어_가정!$E$246,②시니어_가정!$E$247,②시니어_가정!$E$248))</f>
        <v>0</v>
      </c>
      <c r="CY39" s="37" t="n">
        <f aca="false">(CY14=1)*②시니어_가정!$H$38*②시니어_가정!$E$240*②시니어_가정!$E$241/1000*(1+②시니어_가정!$E$243)^INT((CY15-1)/②시니어_가정!$E$244)*(1-CHOOSE(MIN(MAX(CY16,1),3),②시니어_가정!$E$246,②시니어_가정!$E$247,②시니어_가정!$E$248))</f>
        <v>0</v>
      </c>
      <c r="CZ39" s="37" t="n">
        <f aca="false">(CZ14=1)*②시니어_가정!$H$38*②시니어_가정!$E$240*②시니어_가정!$E$241/1000*(1+②시니어_가정!$E$243)^INT((CZ15-1)/②시니어_가정!$E$244)*(1-CHOOSE(MIN(MAX(CZ16,1),3),②시니어_가정!$E$246,②시니어_가정!$E$247,②시니어_가정!$E$248))</f>
        <v>0</v>
      </c>
      <c r="DA39" s="37" t="n">
        <f aca="false">(DA14=1)*②시니어_가정!$H$38*②시니어_가정!$E$240*②시니어_가정!$E$241/1000*(1+②시니어_가정!$E$243)^INT((DA15-1)/②시니어_가정!$E$244)*(1-CHOOSE(MIN(MAX(DA16,1),3),②시니어_가정!$E$246,②시니어_가정!$E$247,②시니어_가정!$E$248))</f>
        <v>0</v>
      </c>
      <c r="DB39" s="37" t="n">
        <f aca="false">(DB14=1)*②시니어_가정!$H$38*②시니어_가정!$E$240*②시니어_가정!$E$241/1000*(1+②시니어_가정!$E$243)^INT((DB15-1)/②시니어_가정!$E$244)*(1-CHOOSE(MIN(MAX(DB16,1),3),②시니어_가정!$E$246,②시니어_가정!$E$247,②시니어_가정!$E$248))</f>
        <v>0</v>
      </c>
      <c r="DC39" s="37" t="n">
        <f aca="false">(DC14=1)*②시니어_가정!$H$38*②시니어_가정!$E$240*②시니어_가정!$E$241/1000*(1+②시니어_가정!$E$243)^INT((DC15-1)/②시니어_가정!$E$244)*(1-CHOOSE(MIN(MAX(DC16,1),3),②시니어_가정!$E$246,②시니어_가정!$E$247,②시니어_가정!$E$248))</f>
        <v>0</v>
      </c>
      <c r="DD39" s="37" t="n">
        <f aca="false">(DD14=1)*②시니어_가정!$H$38*②시니어_가정!$E$240*②시니어_가정!$E$241/1000*(1+②시니어_가정!$E$243)^INT((DD15-1)/②시니어_가정!$E$244)*(1-CHOOSE(MIN(MAX(DD16,1),3),②시니어_가정!$E$246,②시니어_가정!$E$247,②시니어_가정!$E$248))</f>
        <v>0</v>
      </c>
      <c r="DE39" s="37" t="n">
        <f aca="false">(DE14=1)*②시니어_가정!$H$38*②시니어_가정!$E$240*②시니어_가정!$E$241/1000*(1+②시니어_가정!$E$243)^INT((DE15-1)/②시니어_가정!$E$244)*(1-CHOOSE(MIN(MAX(DE16,1),3),②시니어_가정!$E$246,②시니어_가정!$E$247,②시니어_가정!$E$248))</f>
        <v>0</v>
      </c>
      <c r="DF39" s="37" t="n">
        <f aca="false">(DF14=1)*②시니어_가정!$H$38*②시니어_가정!$E$240*②시니어_가정!$E$241/1000*(1+②시니어_가정!$E$243)^INT((DF15-1)/②시니어_가정!$E$244)*(1-CHOOSE(MIN(MAX(DF16,1),3),②시니어_가정!$E$246,②시니어_가정!$E$247,②시니어_가정!$E$248))</f>
        <v>0</v>
      </c>
      <c r="DG39" s="37" t="n">
        <f aca="false">(DG14=1)*②시니어_가정!$H$38*②시니어_가정!$E$240*②시니어_가정!$E$241/1000*(1+②시니어_가정!$E$243)^INT((DG15-1)/②시니어_가정!$E$244)*(1-CHOOSE(MIN(MAX(DG16,1),3),②시니어_가정!$E$246,②시니어_가정!$E$247,②시니어_가정!$E$248))</f>
        <v>0</v>
      </c>
      <c r="DH39" s="37" t="n">
        <f aca="false">(DH14=1)*②시니어_가정!$H$38*②시니어_가정!$E$240*②시니어_가정!$E$241/1000*(1+②시니어_가정!$E$243)^INT((DH15-1)/②시니어_가정!$E$244)*(1-CHOOSE(MIN(MAX(DH16,1),3),②시니어_가정!$E$246,②시니어_가정!$E$247,②시니어_가정!$E$248))</f>
        <v>0</v>
      </c>
      <c r="DI39" s="37" t="n">
        <f aca="false">(DI14=1)*②시니어_가정!$H$38*②시니어_가정!$E$240*②시니어_가정!$E$241/1000*(1+②시니어_가정!$E$243)^INT((DI15-1)/②시니어_가정!$E$244)*(1-CHOOSE(MIN(MAX(DI16,1),3),②시니어_가정!$E$246,②시니어_가정!$E$247,②시니어_가정!$E$248))</f>
        <v>0</v>
      </c>
      <c r="DJ39" s="37" t="n">
        <f aca="false">(DJ14=1)*②시니어_가정!$H$38*②시니어_가정!$E$240*②시니어_가정!$E$241/1000*(1+②시니어_가정!$E$243)^INT((DJ15-1)/②시니어_가정!$E$244)*(1-CHOOSE(MIN(MAX(DJ16,1),3),②시니어_가정!$E$246,②시니어_가정!$E$247,②시니어_가정!$E$248))</f>
        <v>0</v>
      </c>
      <c r="DK39" s="37" t="n">
        <f aca="false">(DK14=1)*②시니어_가정!$H$38*②시니어_가정!$E$240*②시니어_가정!$E$241/1000*(1+②시니어_가정!$E$243)^INT((DK15-1)/②시니어_가정!$E$244)*(1-CHOOSE(MIN(MAX(DK16,1),3),②시니어_가정!$E$246,②시니어_가정!$E$247,②시니어_가정!$E$248))</f>
        <v>0</v>
      </c>
      <c r="DL39" s="37" t="n">
        <f aca="false">(DL14=1)*②시니어_가정!$H$38*②시니어_가정!$E$240*②시니어_가정!$E$241/1000*(1+②시니어_가정!$E$243)^INT((DL15-1)/②시니어_가정!$E$244)*(1-CHOOSE(MIN(MAX(DL16,1),3),②시니어_가정!$E$246,②시니어_가정!$E$247,②시니어_가정!$E$248))</f>
        <v>0</v>
      </c>
      <c r="DM39" s="37" t="n">
        <f aca="false">(DM14=1)*②시니어_가정!$H$38*②시니어_가정!$E$240*②시니어_가정!$E$241/1000*(1+②시니어_가정!$E$243)^INT((DM15-1)/②시니어_가정!$E$244)*(1-CHOOSE(MIN(MAX(DM16,1),3),②시니어_가정!$E$246,②시니어_가정!$E$247,②시니어_가정!$E$248))</f>
        <v>0</v>
      </c>
      <c r="DN39" s="37" t="n">
        <f aca="false">(DN14=1)*②시니어_가정!$H$38*②시니어_가정!$E$240*②시니어_가정!$E$241/1000*(1+②시니어_가정!$E$243)^INT((DN15-1)/②시니어_가정!$E$244)*(1-CHOOSE(MIN(MAX(DN16,1),3),②시니어_가정!$E$246,②시니어_가정!$E$247,②시니어_가정!$E$248))</f>
        <v>0</v>
      </c>
      <c r="DO39" s="37" t="n">
        <f aca="false">(DO14=1)*②시니어_가정!$H$38*②시니어_가정!$E$240*②시니어_가정!$E$241/1000*(1+②시니어_가정!$E$243)^INT((DO15-1)/②시니어_가정!$E$244)*(1-CHOOSE(MIN(MAX(DO16,1),3),②시니어_가정!$E$246,②시니어_가정!$E$247,②시니어_가정!$E$248))</f>
        <v>0</v>
      </c>
      <c r="DP39" s="37" t="n">
        <f aca="false">(DP14=1)*②시니어_가정!$H$38*②시니어_가정!$E$240*②시니어_가정!$E$241/1000*(1+②시니어_가정!$E$243)^INT((DP15-1)/②시니어_가정!$E$244)*(1-CHOOSE(MIN(MAX(DP16,1),3),②시니어_가정!$E$246,②시니어_가정!$E$247,②시니어_가정!$E$248))</f>
        <v>0</v>
      </c>
      <c r="DQ39" s="37" t="n">
        <f aca="false">(DQ14=1)*②시니어_가정!$H$38*②시니어_가정!$E$240*②시니어_가정!$E$241/1000*(1+②시니어_가정!$E$243)^INT((DQ15-1)/②시니어_가정!$E$244)*(1-CHOOSE(MIN(MAX(DQ16,1),3),②시니어_가정!$E$246,②시니어_가정!$E$247,②시니어_가정!$E$248))</f>
        <v>0</v>
      </c>
      <c r="DR39" s="37" t="n">
        <f aca="false">(DR14=1)*②시니어_가정!$H$38*②시니어_가정!$E$240*②시니어_가정!$E$241/1000*(1+②시니어_가정!$E$243)^INT((DR15-1)/②시니어_가정!$E$244)*(1-CHOOSE(MIN(MAX(DR16,1),3),②시니어_가정!$E$246,②시니어_가정!$E$247,②시니어_가정!$E$248))</f>
        <v>0</v>
      </c>
      <c r="DS39" s="37" t="n">
        <f aca="false">(DS14=1)*②시니어_가정!$H$38*②시니어_가정!$E$240*②시니어_가정!$E$241/1000*(1+②시니어_가정!$E$243)^INT((DS15-1)/②시니어_가정!$E$244)*(1-CHOOSE(MIN(MAX(DS16,1),3),②시니어_가정!$E$246,②시니어_가정!$E$247,②시니어_가정!$E$248))</f>
        <v>0</v>
      </c>
      <c r="DT39" s="37" t="n">
        <f aca="false">(DT14=1)*②시니어_가정!$H$38*②시니어_가정!$E$240*②시니어_가정!$E$241/1000*(1+②시니어_가정!$E$243)^INT((DT15-1)/②시니어_가정!$E$244)*(1-CHOOSE(MIN(MAX(DT16,1),3),②시니어_가정!$E$246,②시니어_가정!$E$247,②시니어_가정!$E$248))</f>
        <v>0</v>
      </c>
      <c r="DU39" s="37" t="n">
        <f aca="false">(DU14=1)*②시니어_가정!$H$38*②시니어_가정!$E$240*②시니어_가정!$E$241/1000*(1+②시니어_가정!$E$243)^INT((DU15-1)/②시니어_가정!$E$244)*(1-CHOOSE(MIN(MAX(DU16,1),3),②시니어_가정!$E$246,②시니어_가정!$E$247,②시니어_가정!$E$248))</f>
        <v>0</v>
      </c>
      <c r="DV39" s="37" t="n">
        <f aca="false">(DV14=1)*②시니어_가정!$H$38*②시니어_가정!$E$240*②시니어_가정!$E$241/1000*(1+②시니어_가정!$E$243)^INT((DV15-1)/②시니어_가정!$E$244)*(1-CHOOSE(MIN(MAX(DV16,1),3),②시니어_가정!$E$246,②시니어_가정!$E$247,②시니어_가정!$E$248))</f>
        <v>0</v>
      </c>
      <c r="DW39" s="37" t="n">
        <f aca="false">(DW14=1)*②시니어_가정!$H$38*②시니어_가정!$E$240*②시니어_가정!$E$241/1000*(1+②시니어_가정!$E$243)^INT((DW15-1)/②시니어_가정!$E$244)*(1-CHOOSE(MIN(MAX(DW16,1),3),②시니어_가정!$E$246,②시니어_가정!$E$247,②시니어_가정!$E$248))</f>
        <v>0</v>
      </c>
      <c r="DX39" s="37" t="n">
        <f aca="false">(DX14=1)*②시니어_가정!$H$38*②시니어_가정!$E$240*②시니어_가정!$E$241/1000*(1+②시니어_가정!$E$243)^INT((DX15-1)/②시니어_가정!$E$244)*(1-CHOOSE(MIN(MAX(DX16,1),3),②시니어_가정!$E$246,②시니어_가정!$E$247,②시니어_가정!$E$248))</f>
        <v>0</v>
      </c>
      <c r="DY39" s="37" t="n">
        <f aca="false">(DY14=1)*②시니어_가정!$H$38*②시니어_가정!$E$240*②시니어_가정!$E$241/1000*(1+②시니어_가정!$E$243)^INT((DY15-1)/②시니어_가정!$E$244)*(1-CHOOSE(MIN(MAX(DY16,1),3),②시니어_가정!$E$246,②시니어_가정!$E$247,②시니어_가정!$E$248))</f>
        <v>0</v>
      </c>
      <c r="DZ39" s="37" t="n">
        <f aca="false">(DZ14=1)*②시니어_가정!$H$38*②시니어_가정!$E$240*②시니어_가정!$E$241/1000*(1+②시니어_가정!$E$243)^INT((DZ15-1)/②시니어_가정!$E$244)*(1-CHOOSE(MIN(MAX(DZ16,1),3),②시니어_가정!$E$246,②시니어_가정!$E$247,②시니어_가정!$E$248))</f>
        <v>0</v>
      </c>
      <c r="EA39" s="37" t="n">
        <f aca="false">(EA14=1)*②시니어_가정!$H$38*②시니어_가정!$E$240*②시니어_가정!$E$241/1000*(1+②시니어_가정!$E$243)^INT((EA15-1)/②시니어_가정!$E$244)*(1-CHOOSE(MIN(MAX(EA16,1),3),②시니어_가정!$E$246,②시니어_가정!$E$247,②시니어_가정!$E$248))</f>
        <v>0</v>
      </c>
      <c r="EB39" s="37" t="n">
        <f aca="false">(EB14=1)*②시니어_가정!$H$38*②시니어_가정!$E$240*②시니어_가정!$E$241/1000*(1+②시니어_가정!$E$243)^INT((EB15-1)/②시니어_가정!$E$244)*(1-CHOOSE(MIN(MAX(EB16,1),3),②시니어_가정!$E$246,②시니어_가정!$E$247,②시니어_가정!$E$248))</f>
        <v>0</v>
      </c>
      <c r="EC39" s="37" t="n">
        <f aca="false">(EC14=1)*②시니어_가정!$H$38*②시니어_가정!$E$240*②시니어_가정!$E$241/1000*(1+②시니어_가정!$E$243)^INT((EC15-1)/②시니어_가정!$E$244)*(1-CHOOSE(MIN(MAX(EC16,1),3),②시니어_가정!$E$246,②시니어_가정!$E$247,②시니어_가정!$E$248))</f>
        <v>0</v>
      </c>
      <c r="ED39" s="37" t="n">
        <f aca="false">(ED14=1)*②시니어_가정!$H$38*②시니어_가정!$E$240*②시니어_가정!$E$241/1000*(1+②시니어_가정!$E$243)^INT((ED15-1)/②시니어_가정!$E$244)*(1-CHOOSE(MIN(MAX(ED16,1),3),②시니어_가정!$E$246,②시니어_가정!$E$247,②시니어_가정!$E$248))</f>
        <v>0</v>
      </c>
      <c r="EE39" s="37" t="n">
        <f aca="false">(EE14=1)*②시니어_가정!$H$38*②시니어_가정!$E$240*②시니어_가정!$E$241/1000*(1+②시니어_가정!$E$243)^INT((EE15-1)/②시니어_가정!$E$244)*(1-CHOOSE(MIN(MAX(EE16,1),3),②시니어_가정!$E$246,②시니어_가정!$E$247,②시니어_가정!$E$248))</f>
        <v>0</v>
      </c>
      <c r="EF39" s="37" t="n">
        <f aca="false">(EF14=1)*②시니어_가정!$H$38*②시니어_가정!$E$240*②시니어_가정!$E$241/1000*(1+②시니어_가정!$E$243)^INT((EF15-1)/②시니어_가정!$E$244)*(1-CHOOSE(MIN(MAX(EF16,1),3),②시니어_가정!$E$246,②시니어_가정!$E$247,②시니어_가정!$E$248))</f>
        <v>0</v>
      </c>
    </row>
    <row r="40" customFormat="false" ht="15" hidden="false" customHeight="false" outlineLevel="0" collapsed="false">
      <c r="A40" s="36" t="s">
        <v>590</v>
      </c>
      <c r="B40" s="278" t="s">
        <v>21</v>
      </c>
      <c r="C40" s="279" t="n">
        <f aca="false">SUM(E40:EF40)</f>
        <v>0</v>
      </c>
      <c r="E40" s="37" t="n">
        <f aca="false">(E14=1)*②시니어_가정!$H$38*②시니어_가정!$E$253*②시니어_가정!$E$254/1000*(1+②시니어_가정!$E$256)^INT((E15-1)/②시니어_가정!$E$257)*(1-CHOOSE(MIN(MAX(E16,1),3),②시니어_가정!$E$259,②시니어_가정!$E$260,②시니어_가정!$E$261))</f>
        <v>0</v>
      </c>
      <c r="F40" s="37" t="n">
        <f aca="false">(F14=1)*②시니어_가정!$H$38*②시니어_가정!$E$253*②시니어_가정!$E$254/1000*(1+②시니어_가정!$E$256)^INT((F15-1)/②시니어_가정!$E$257)*(1-CHOOSE(MIN(MAX(F16,1),3),②시니어_가정!$E$259,②시니어_가정!$E$260,②시니어_가정!$E$261))</f>
        <v>0</v>
      </c>
      <c r="G40" s="37" t="n">
        <f aca="false">(G14=1)*②시니어_가정!$H$38*②시니어_가정!$E$253*②시니어_가정!$E$254/1000*(1+②시니어_가정!$E$256)^INT((G15-1)/②시니어_가정!$E$257)*(1-CHOOSE(MIN(MAX(G16,1),3),②시니어_가정!$E$259,②시니어_가정!$E$260,②시니어_가정!$E$261))</f>
        <v>0</v>
      </c>
      <c r="H40" s="37" t="n">
        <f aca="false">(H14=1)*②시니어_가정!$H$38*②시니어_가정!$E$253*②시니어_가정!$E$254/1000*(1+②시니어_가정!$E$256)^INT((H15-1)/②시니어_가정!$E$257)*(1-CHOOSE(MIN(MAX(H16,1),3),②시니어_가정!$E$259,②시니어_가정!$E$260,②시니어_가정!$E$261))</f>
        <v>0</v>
      </c>
      <c r="I40" s="37" t="n">
        <f aca="false">(I14=1)*②시니어_가정!$H$38*②시니어_가정!$E$253*②시니어_가정!$E$254/1000*(1+②시니어_가정!$E$256)^INT((I15-1)/②시니어_가정!$E$257)*(1-CHOOSE(MIN(MAX(I16,1),3),②시니어_가정!$E$259,②시니어_가정!$E$260,②시니어_가정!$E$261))</f>
        <v>0</v>
      </c>
      <c r="J40" s="37" t="n">
        <f aca="false">(J14=1)*②시니어_가정!$H$38*②시니어_가정!$E$253*②시니어_가정!$E$254/1000*(1+②시니어_가정!$E$256)^INT((J15-1)/②시니어_가정!$E$257)*(1-CHOOSE(MIN(MAX(J16,1),3),②시니어_가정!$E$259,②시니어_가정!$E$260,②시니어_가정!$E$261))</f>
        <v>0</v>
      </c>
      <c r="K40" s="37" t="n">
        <f aca="false">(K14=1)*②시니어_가정!$H$38*②시니어_가정!$E$253*②시니어_가정!$E$254/1000*(1+②시니어_가정!$E$256)^INT((K15-1)/②시니어_가정!$E$257)*(1-CHOOSE(MIN(MAX(K16,1),3),②시니어_가정!$E$259,②시니어_가정!$E$260,②시니어_가정!$E$261))</f>
        <v>0</v>
      </c>
      <c r="L40" s="37" t="n">
        <f aca="false">(L14=1)*②시니어_가정!$H$38*②시니어_가정!$E$253*②시니어_가정!$E$254/1000*(1+②시니어_가정!$E$256)^INT((L15-1)/②시니어_가정!$E$257)*(1-CHOOSE(MIN(MAX(L16,1),3),②시니어_가정!$E$259,②시니어_가정!$E$260,②시니어_가정!$E$261))</f>
        <v>0</v>
      </c>
      <c r="M40" s="37" t="n">
        <f aca="false">(M14=1)*②시니어_가정!$H$38*②시니어_가정!$E$253*②시니어_가정!$E$254/1000*(1+②시니어_가정!$E$256)^INT((M15-1)/②시니어_가정!$E$257)*(1-CHOOSE(MIN(MAX(M16,1),3),②시니어_가정!$E$259,②시니어_가정!$E$260,②시니어_가정!$E$261))</f>
        <v>0</v>
      </c>
      <c r="N40" s="37" t="n">
        <f aca="false">(N14=1)*②시니어_가정!$H$38*②시니어_가정!$E$253*②시니어_가정!$E$254/1000*(1+②시니어_가정!$E$256)^INT((N15-1)/②시니어_가정!$E$257)*(1-CHOOSE(MIN(MAX(N16,1),3),②시니어_가정!$E$259,②시니어_가정!$E$260,②시니어_가정!$E$261))</f>
        <v>0</v>
      </c>
      <c r="O40" s="37" t="n">
        <f aca="false">(O14=1)*②시니어_가정!$H$38*②시니어_가정!$E$253*②시니어_가정!$E$254/1000*(1+②시니어_가정!$E$256)^INT((O15-1)/②시니어_가정!$E$257)*(1-CHOOSE(MIN(MAX(O16,1),3),②시니어_가정!$E$259,②시니어_가정!$E$260,②시니어_가정!$E$261))</f>
        <v>0</v>
      </c>
      <c r="P40" s="37" t="n">
        <f aca="false">(P14=1)*②시니어_가정!$H$38*②시니어_가정!$E$253*②시니어_가정!$E$254/1000*(1+②시니어_가정!$E$256)^INT((P15-1)/②시니어_가정!$E$257)*(1-CHOOSE(MIN(MAX(P16,1),3),②시니어_가정!$E$259,②시니어_가정!$E$260,②시니어_가정!$E$261))</f>
        <v>0</v>
      </c>
      <c r="Q40" s="37" t="n">
        <f aca="false">(Q14=1)*②시니어_가정!$H$38*②시니어_가정!$E$253*②시니어_가정!$E$254/1000*(1+②시니어_가정!$E$256)^INT((Q15-1)/②시니어_가정!$E$257)*(1-CHOOSE(MIN(MAX(Q16,1),3),②시니어_가정!$E$259,②시니어_가정!$E$260,②시니어_가정!$E$261))</f>
        <v>0</v>
      </c>
      <c r="R40" s="37" t="n">
        <f aca="false">(R14=1)*②시니어_가정!$H$38*②시니어_가정!$E$253*②시니어_가정!$E$254/1000*(1+②시니어_가정!$E$256)^INT((R15-1)/②시니어_가정!$E$257)*(1-CHOOSE(MIN(MAX(R16,1),3),②시니어_가정!$E$259,②시니어_가정!$E$260,②시니어_가정!$E$261))</f>
        <v>0</v>
      </c>
      <c r="S40" s="37" t="n">
        <f aca="false">(S14=1)*②시니어_가정!$H$38*②시니어_가정!$E$253*②시니어_가정!$E$254/1000*(1+②시니어_가정!$E$256)^INT((S15-1)/②시니어_가정!$E$257)*(1-CHOOSE(MIN(MAX(S16,1),3),②시니어_가정!$E$259,②시니어_가정!$E$260,②시니어_가정!$E$261))</f>
        <v>0</v>
      </c>
      <c r="T40" s="37" t="n">
        <f aca="false">(T14=1)*②시니어_가정!$H$38*②시니어_가정!$E$253*②시니어_가정!$E$254/1000*(1+②시니어_가정!$E$256)^INT((T15-1)/②시니어_가정!$E$257)*(1-CHOOSE(MIN(MAX(T16,1),3),②시니어_가정!$E$259,②시니어_가정!$E$260,②시니어_가정!$E$261))</f>
        <v>0</v>
      </c>
      <c r="U40" s="37" t="n">
        <f aca="false">(U14=1)*②시니어_가정!$H$38*②시니어_가정!$E$253*②시니어_가정!$E$254/1000*(1+②시니어_가정!$E$256)^INT((U15-1)/②시니어_가정!$E$257)*(1-CHOOSE(MIN(MAX(U16,1),3),②시니어_가정!$E$259,②시니어_가정!$E$260,②시니어_가정!$E$261))</f>
        <v>0</v>
      </c>
      <c r="V40" s="37" t="n">
        <f aca="false">(V14=1)*②시니어_가정!$H$38*②시니어_가정!$E$253*②시니어_가정!$E$254/1000*(1+②시니어_가정!$E$256)^INT((V15-1)/②시니어_가정!$E$257)*(1-CHOOSE(MIN(MAX(V16,1),3),②시니어_가정!$E$259,②시니어_가정!$E$260,②시니어_가정!$E$261))</f>
        <v>0</v>
      </c>
      <c r="W40" s="37" t="n">
        <f aca="false">(W14=1)*②시니어_가정!$H$38*②시니어_가정!$E$253*②시니어_가정!$E$254/1000*(1+②시니어_가정!$E$256)^INT((W15-1)/②시니어_가정!$E$257)*(1-CHOOSE(MIN(MAX(W16,1),3),②시니어_가정!$E$259,②시니어_가정!$E$260,②시니어_가정!$E$261))</f>
        <v>0</v>
      </c>
      <c r="X40" s="37" t="n">
        <f aca="false">(X14=1)*②시니어_가정!$H$38*②시니어_가정!$E$253*②시니어_가정!$E$254/1000*(1+②시니어_가정!$E$256)^INT((X15-1)/②시니어_가정!$E$257)*(1-CHOOSE(MIN(MAX(X16,1),3),②시니어_가정!$E$259,②시니어_가정!$E$260,②시니어_가정!$E$261))</f>
        <v>0</v>
      </c>
      <c r="Y40" s="37" t="n">
        <f aca="false">(Y14=1)*②시니어_가정!$H$38*②시니어_가정!$E$253*②시니어_가정!$E$254/1000*(1+②시니어_가정!$E$256)^INT((Y15-1)/②시니어_가정!$E$257)*(1-CHOOSE(MIN(MAX(Y16,1),3),②시니어_가정!$E$259,②시니어_가정!$E$260,②시니어_가정!$E$261))</f>
        <v>0</v>
      </c>
      <c r="Z40" s="37" t="n">
        <f aca="false">(Z14=1)*②시니어_가정!$H$38*②시니어_가정!$E$253*②시니어_가정!$E$254/1000*(1+②시니어_가정!$E$256)^INT((Z15-1)/②시니어_가정!$E$257)*(1-CHOOSE(MIN(MAX(Z16,1),3),②시니어_가정!$E$259,②시니어_가정!$E$260,②시니어_가정!$E$261))</f>
        <v>0</v>
      </c>
      <c r="AA40" s="37" t="n">
        <f aca="false">(AA14=1)*②시니어_가정!$H$38*②시니어_가정!$E$253*②시니어_가정!$E$254/1000*(1+②시니어_가정!$E$256)^INT((AA15-1)/②시니어_가정!$E$257)*(1-CHOOSE(MIN(MAX(AA16,1),3),②시니어_가정!$E$259,②시니어_가정!$E$260,②시니어_가정!$E$261))</f>
        <v>0</v>
      </c>
      <c r="AB40" s="37" t="n">
        <f aca="false">(AB14=1)*②시니어_가정!$H$38*②시니어_가정!$E$253*②시니어_가정!$E$254/1000*(1+②시니어_가정!$E$256)^INT((AB15-1)/②시니어_가정!$E$257)*(1-CHOOSE(MIN(MAX(AB16,1),3),②시니어_가정!$E$259,②시니어_가정!$E$260,②시니어_가정!$E$261))</f>
        <v>0</v>
      </c>
      <c r="AC40" s="37" t="n">
        <f aca="false">(AC14=1)*②시니어_가정!$H$38*②시니어_가정!$E$253*②시니어_가정!$E$254/1000*(1+②시니어_가정!$E$256)^INT((AC15-1)/②시니어_가정!$E$257)*(1-CHOOSE(MIN(MAX(AC16,1),3),②시니어_가정!$E$259,②시니어_가정!$E$260,②시니어_가정!$E$261))</f>
        <v>0</v>
      </c>
      <c r="AD40" s="37" t="n">
        <f aca="false">(AD14=1)*②시니어_가정!$H$38*②시니어_가정!$E$253*②시니어_가정!$E$254/1000*(1+②시니어_가정!$E$256)^INT((AD15-1)/②시니어_가정!$E$257)*(1-CHOOSE(MIN(MAX(AD16,1),3),②시니어_가정!$E$259,②시니어_가정!$E$260,②시니어_가정!$E$261))</f>
        <v>0</v>
      </c>
      <c r="AE40" s="37" t="n">
        <f aca="false">(AE14=1)*②시니어_가정!$H$38*②시니어_가정!$E$253*②시니어_가정!$E$254/1000*(1+②시니어_가정!$E$256)^INT((AE15-1)/②시니어_가정!$E$257)*(1-CHOOSE(MIN(MAX(AE16,1),3),②시니어_가정!$E$259,②시니어_가정!$E$260,②시니어_가정!$E$261))</f>
        <v>0</v>
      </c>
      <c r="AF40" s="37" t="n">
        <f aca="false">(AF14=1)*②시니어_가정!$H$38*②시니어_가정!$E$253*②시니어_가정!$E$254/1000*(1+②시니어_가정!$E$256)^INT((AF15-1)/②시니어_가정!$E$257)*(1-CHOOSE(MIN(MAX(AF16,1),3),②시니어_가정!$E$259,②시니어_가정!$E$260,②시니어_가정!$E$261))</f>
        <v>0</v>
      </c>
      <c r="AG40" s="37" t="n">
        <f aca="false">(AG14=1)*②시니어_가정!$H$38*②시니어_가정!$E$253*②시니어_가정!$E$254/1000*(1+②시니어_가정!$E$256)^INT((AG15-1)/②시니어_가정!$E$257)*(1-CHOOSE(MIN(MAX(AG16,1),3),②시니어_가정!$E$259,②시니어_가정!$E$260,②시니어_가정!$E$261))</f>
        <v>0</v>
      </c>
      <c r="AH40" s="37" t="n">
        <f aca="false">(AH14=1)*②시니어_가정!$H$38*②시니어_가정!$E$253*②시니어_가정!$E$254/1000*(1+②시니어_가정!$E$256)^INT((AH15-1)/②시니어_가정!$E$257)*(1-CHOOSE(MIN(MAX(AH16,1),3),②시니어_가정!$E$259,②시니어_가정!$E$260,②시니어_가정!$E$261))</f>
        <v>0</v>
      </c>
      <c r="AI40" s="37" t="n">
        <f aca="false">(AI14=1)*②시니어_가정!$H$38*②시니어_가정!$E$253*②시니어_가정!$E$254/1000*(1+②시니어_가정!$E$256)^INT((AI15-1)/②시니어_가정!$E$257)*(1-CHOOSE(MIN(MAX(AI16,1),3),②시니어_가정!$E$259,②시니어_가정!$E$260,②시니어_가정!$E$261))</f>
        <v>0</v>
      </c>
      <c r="AJ40" s="37" t="n">
        <f aca="false">(AJ14=1)*②시니어_가정!$H$38*②시니어_가정!$E$253*②시니어_가정!$E$254/1000*(1+②시니어_가정!$E$256)^INT((AJ15-1)/②시니어_가정!$E$257)*(1-CHOOSE(MIN(MAX(AJ16,1),3),②시니어_가정!$E$259,②시니어_가정!$E$260,②시니어_가정!$E$261))</f>
        <v>0</v>
      </c>
      <c r="AK40" s="37" t="n">
        <f aca="false">(AK14=1)*②시니어_가정!$H$38*②시니어_가정!$E$253*②시니어_가정!$E$254/1000*(1+②시니어_가정!$E$256)^INT((AK15-1)/②시니어_가정!$E$257)*(1-CHOOSE(MIN(MAX(AK16,1),3),②시니어_가정!$E$259,②시니어_가정!$E$260,②시니어_가정!$E$261))</f>
        <v>0</v>
      </c>
      <c r="AL40" s="37" t="n">
        <f aca="false">(AL14=1)*②시니어_가정!$H$38*②시니어_가정!$E$253*②시니어_가정!$E$254/1000*(1+②시니어_가정!$E$256)^INT((AL15-1)/②시니어_가정!$E$257)*(1-CHOOSE(MIN(MAX(AL16,1),3),②시니어_가정!$E$259,②시니어_가정!$E$260,②시니어_가정!$E$261))</f>
        <v>0</v>
      </c>
      <c r="AM40" s="37" t="n">
        <f aca="false">(AM14=1)*②시니어_가정!$H$38*②시니어_가정!$E$253*②시니어_가정!$E$254/1000*(1+②시니어_가정!$E$256)^INT((AM15-1)/②시니어_가정!$E$257)*(1-CHOOSE(MIN(MAX(AM16,1),3),②시니어_가정!$E$259,②시니어_가정!$E$260,②시니어_가정!$E$261))</f>
        <v>0</v>
      </c>
      <c r="AN40" s="37" t="n">
        <f aca="false">(AN14=1)*②시니어_가정!$H$38*②시니어_가정!$E$253*②시니어_가정!$E$254/1000*(1+②시니어_가정!$E$256)^INT((AN15-1)/②시니어_가정!$E$257)*(1-CHOOSE(MIN(MAX(AN16,1),3),②시니어_가정!$E$259,②시니어_가정!$E$260,②시니어_가정!$E$261))</f>
        <v>0</v>
      </c>
      <c r="AO40" s="37" t="n">
        <f aca="false">(AO14=1)*②시니어_가정!$H$38*②시니어_가정!$E$253*②시니어_가정!$E$254/1000*(1+②시니어_가정!$E$256)^INT((AO15-1)/②시니어_가정!$E$257)*(1-CHOOSE(MIN(MAX(AO16,1),3),②시니어_가정!$E$259,②시니어_가정!$E$260,②시니어_가정!$E$261))</f>
        <v>0</v>
      </c>
      <c r="AP40" s="37" t="n">
        <f aca="false">(AP14=1)*②시니어_가정!$H$38*②시니어_가정!$E$253*②시니어_가정!$E$254/1000*(1+②시니어_가정!$E$256)^INT((AP15-1)/②시니어_가정!$E$257)*(1-CHOOSE(MIN(MAX(AP16,1),3),②시니어_가정!$E$259,②시니어_가정!$E$260,②시니어_가정!$E$261))</f>
        <v>0</v>
      </c>
      <c r="AQ40" s="37" t="n">
        <f aca="false">(AQ14=1)*②시니어_가정!$H$38*②시니어_가정!$E$253*②시니어_가정!$E$254/1000*(1+②시니어_가정!$E$256)^INT((AQ15-1)/②시니어_가정!$E$257)*(1-CHOOSE(MIN(MAX(AQ16,1),3),②시니어_가정!$E$259,②시니어_가정!$E$260,②시니어_가정!$E$261))</f>
        <v>0</v>
      </c>
      <c r="AR40" s="37" t="n">
        <f aca="false">(AR14=1)*②시니어_가정!$H$38*②시니어_가정!$E$253*②시니어_가정!$E$254/1000*(1+②시니어_가정!$E$256)^INT((AR15-1)/②시니어_가정!$E$257)*(1-CHOOSE(MIN(MAX(AR16,1),3),②시니어_가정!$E$259,②시니어_가정!$E$260,②시니어_가정!$E$261))</f>
        <v>0</v>
      </c>
      <c r="AS40" s="37" t="n">
        <f aca="false">(AS14=1)*②시니어_가정!$H$38*②시니어_가정!$E$253*②시니어_가정!$E$254/1000*(1+②시니어_가정!$E$256)^INT((AS15-1)/②시니어_가정!$E$257)*(1-CHOOSE(MIN(MAX(AS16,1),3),②시니어_가정!$E$259,②시니어_가정!$E$260,②시니어_가정!$E$261))</f>
        <v>0</v>
      </c>
      <c r="AT40" s="37" t="n">
        <f aca="false">(AT14=1)*②시니어_가정!$H$38*②시니어_가정!$E$253*②시니어_가정!$E$254/1000*(1+②시니어_가정!$E$256)^INT((AT15-1)/②시니어_가정!$E$257)*(1-CHOOSE(MIN(MAX(AT16,1),3),②시니어_가정!$E$259,②시니어_가정!$E$260,②시니어_가정!$E$261))</f>
        <v>0</v>
      </c>
      <c r="AU40" s="37" t="n">
        <f aca="false">(AU14=1)*②시니어_가정!$H$38*②시니어_가정!$E$253*②시니어_가정!$E$254/1000*(1+②시니어_가정!$E$256)^INT((AU15-1)/②시니어_가정!$E$257)*(1-CHOOSE(MIN(MAX(AU16,1),3),②시니어_가정!$E$259,②시니어_가정!$E$260,②시니어_가정!$E$261))</f>
        <v>0</v>
      </c>
      <c r="AV40" s="37" t="n">
        <f aca="false">(AV14=1)*②시니어_가정!$H$38*②시니어_가정!$E$253*②시니어_가정!$E$254/1000*(1+②시니어_가정!$E$256)^INT((AV15-1)/②시니어_가정!$E$257)*(1-CHOOSE(MIN(MAX(AV16,1),3),②시니어_가정!$E$259,②시니어_가정!$E$260,②시니어_가정!$E$261))</f>
        <v>0</v>
      </c>
      <c r="AW40" s="37" t="n">
        <f aca="false">(AW14=1)*②시니어_가정!$H$38*②시니어_가정!$E$253*②시니어_가정!$E$254/1000*(1+②시니어_가정!$E$256)^INT((AW15-1)/②시니어_가정!$E$257)*(1-CHOOSE(MIN(MAX(AW16,1),3),②시니어_가정!$E$259,②시니어_가정!$E$260,②시니어_가정!$E$261))</f>
        <v>0</v>
      </c>
      <c r="AX40" s="37" t="n">
        <f aca="false">(AX14=1)*②시니어_가정!$H$38*②시니어_가정!$E$253*②시니어_가정!$E$254/1000*(1+②시니어_가정!$E$256)^INT((AX15-1)/②시니어_가정!$E$257)*(1-CHOOSE(MIN(MAX(AX16,1),3),②시니어_가정!$E$259,②시니어_가정!$E$260,②시니어_가정!$E$261))</f>
        <v>0</v>
      </c>
      <c r="AY40" s="37" t="n">
        <f aca="false">(AY14=1)*②시니어_가정!$H$38*②시니어_가정!$E$253*②시니어_가정!$E$254/1000*(1+②시니어_가정!$E$256)^INT((AY15-1)/②시니어_가정!$E$257)*(1-CHOOSE(MIN(MAX(AY16,1),3),②시니어_가정!$E$259,②시니어_가정!$E$260,②시니어_가정!$E$261))</f>
        <v>0</v>
      </c>
      <c r="AZ40" s="37" t="n">
        <f aca="false">(AZ14=1)*②시니어_가정!$H$38*②시니어_가정!$E$253*②시니어_가정!$E$254/1000*(1+②시니어_가정!$E$256)^INT((AZ15-1)/②시니어_가정!$E$257)*(1-CHOOSE(MIN(MAX(AZ16,1),3),②시니어_가정!$E$259,②시니어_가정!$E$260,②시니어_가정!$E$261))</f>
        <v>0</v>
      </c>
      <c r="BA40" s="37" t="n">
        <f aca="false">(BA14=1)*②시니어_가정!$H$38*②시니어_가정!$E$253*②시니어_가정!$E$254/1000*(1+②시니어_가정!$E$256)^INT((BA15-1)/②시니어_가정!$E$257)*(1-CHOOSE(MIN(MAX(BA16,1),3),②시니어_가정!$E$259,②시니어_가정!$E$260,②시니어_가정!$E$261))</f>
        <v>0</v>
      </c>
      <c r="BB40" s="37" t="n">
        <f aca="false">(BB14=1)*②시니어_가정!$H$38*②시니어_가정!$E$253*②시니어_가정!$E$254/1000*(1+②시니어_가정!$E$256)^INT((BB15-1)/②시니어_가정!$E$257)*(1-CHOOSE(MIN(MAX(BB16,1),3),②시니어_가정!$E$259,②시니어_가정!$E$260,②시니어_가정!$E$261))</f>
        <v>0</v>
      </c>
      <c r="BC40" s="37" t="n">
        <f aca="false">(BC14=1)*②시니어_가정!$H$38*②시니어_가정!$E$253*②시니어_가정!$E$254/1000*(1+②시니어_가정!$E$256)^INT((BC15-1)/②시니어_가정!$E$257)*(1-CHOOSE(MIN(MAX(BC16,1),3),②시니어_가정!$E$259,②시니어_가정!$E$260,②시니어_가정!$E$261))</f>
        <v>0</v>
      </c>
      <c r="BD40" s="37" t="n">
        <f aca="false">(BD14=1)*②시니어_가정!$H$38*②시니어_가정!$E$253*②시니어_가정!$E$254/1000*(1+②시니어_가정!$E$256)^INT((BD15-1)/②시니어_가정!$E$257)*(1-CHOOSE(MIN(MAX(BD16,1),3),②시니어_가정!$E$259,②시니어_가정!$E$260,②시니어_가정!$E$261))</f>
        <v>0</v>
      </c>
      <c r="BE40" s="37" t="n">
        <f aca="false">(BE14=1)*②시니어_가정!$H$38*②시니어_가정!$E$253*②시니어_가정!$E$254/1000*(1+②시니어_가정!$E$256)^INT((BE15-1)/②시니어_가정!$E$257)*(1-CHOOSE(MIN(MAX(BE16,1),3),②시니어_가정!$E$259,②시니어_가정!$E$260,②시니어_가정!$E$261))</f>
        <v>0</v>
      </c>
      <c r="BF40" s="37" t="n">
        <f aca="false">(BF14=1)*②시니어_가정!$H$38*②시니어_가정!$E$253*②시니어_가정!$E$254/1000*(1+②시니어_가정!$E$256)^INT((BF15-1)/②시니어_가정!$E$257)*(1-CHOOSE(MIN(MAX(BF16,1),3),②시니어_가정!$E$259,②시니어_가정!$E$260,②시니어_가정!$E$261))</f>
        <v>0</v>
      </c>
      <c r="BG40" s="37" t="n">
        <f aca="false">(BG14=1)*②시니어_가정!$H$38*②시니어_가정!$E$253*②시니어_가정!$E$254/1000*(1+②시니어_가정!$E$256)^INT((BG15-1)/②시니어_가정!$E$257)*(1-CHOOSE(MIN(MAX(BG16,1),3),②시니어_가정!$E$259,②시니어_가정!$E$260,②시니어_가정!$E$261))</f>
        <v>0</v>
      </c>
      <c r="BH40" s="37" t="n">
        <f aca="false">(BH14=1)*②시니어_가정!$H$38*②시니어_가정!$E$253*②시니어_가정!$E$254/1000*(1+②시니어_가정!$E$256)^INT((BH15-1)/②시니어_가정!$E$257)*(1-CHOOSE(MIN(MAX(BH16,1),3),②시니어_가정!$E$259,②시니어_가정!$E$260,②시니어_가정!$E$261))</f>
        <v>0</v>
      </c>
      <c r="BI40" s="37" t="n">
        <f aca="false">(BI14=1)*②시니어_가정!$H$38*②시니어_가정!$E$253*②시니어_가정!$E$254/1000*(1+②시니어_가정!$E$256)^INT((BI15-1)/②시니어_가정!$E$257)*(1-CHOOSE(MIN(MAX(BI16,1),3),②시니어_가정!$E$259,②시니어_가정!$E$260,②시니어_가정!$E$261))</f>
        <v>0</v>
      </c>
      <c r="BJ40" s="37" t="n">
        <f aca="false">(BJ14=1)*②시니어_가정!$H$38*②시니어_가정!$E$253*②시니어_가정!$E$254/1000*(1+②시니어_가정!$E$256)^INT((BJ15-1)/②시니어_가정!$E$257)*(1-CHOOSE(MIN(MAX(BJ16,1),3),②시니어_가정!$E$259,②시니어_가정!$E$260,②시니어_가정!$E$261))</f>
        <v>0</v>
      </c>
      <c r="BK40" s="37" t="n">
        <f aca="false">(BK14=1)*②시니어_가정!$H$38*②시니어_가정!$E$253*②시니어_가정!$E$254/1000*(1+②시니어_가정!$E$256)^INT((BK15-1)/②시니어_가정!$E$257)*(1-CHOOSE(MIN(MAX(BK16,1),3),②시니어_가정!$E$259,②시니어_가정!$E$260,②시니어_가정!$E$261))</f>
        <v>0</v>
      </c>
      <c r="BL40" s="37" t="n">
        <f aca="false">(BL14=1)*②시니어_가정!$H$38*②시니어_가정!$E$253*②시니어_가정!$E$254/1000*(1+②시니어_가정!$E$256)^INT((BL15-1)/②시니어_가정!$E$257)*(1-CHOOSE(MIN(MAX(BL16,1),3),②시니어_가정!$E$259,②시니어_가정!$E$260,②시니어_가정!$E$261))</f>
        <v>0</v>
      </c>
      <c r="BM40" s="37" t="n">
        <f aca="false">(BM14=1)*②시니어_가정!$H$38*②시니어_가정!$E$253*②시니어_가정!$E$254/1000*(1+②시니어_가정!$E$256)^INT((BM15-1)/②시니어_가정!$E$257)*(1-CHOOSE(MIN(MAX(BM16,1),3),②시니어_가정!$E$259,②시니어_가정!$E$260,②시니어_가정!$E$261))</f>
        <v>0</v>
      </c>
      <c r="BN40" s="37" t="n">
        <f aca="false">(BN14=1)*②시니어_가정!$H$38*②시니어_가정!$E$253*②시니어_가정!$E$254/1000*(1+②시니어_가정!$E$256)^INT((BN15-1)/②시니어_가정!$E$257)*(1-CHOOSE(MIN(MAX(BN16,1),3),②시니어_가정!$E$259,②시니어_가정!$E$260,②시니어_가정!$E$261))</f>
        <v>0</v>
      </c>
      <c r="BO40" s="37" t="n">
        <f aca="false">(BO14=1)*②시니어_가정!$H$38*②시니어_가정!$E$253*②시니어_가정!$E$254/1000*(1+②시니어_가정!$E$256)^INT((BO15-1)/②시니어_가정!$E$257)*(1-CHOOSE(MIN(MAX(BO16,1),3),②시니어_가정!$E$259,②시니어_가정!$E$260,②시니어_가정!$E$261))</f>
        <v>0</v>
      </c>
      <c r="BP40" s="37" t="n">
        <f aca="false">(BP14=1)*②시니어_가정!$H$38*②시니어_가정!$E$253*②시니어_가정!$E$254/1000*(1+②시니어_가정!$E$256)^INT((BP15-1)/②시니어_가정!$E$257)*(1-CHOOSE(MIN(MAX(BP16,1),3),②시니어_가정!$E$259,②시니어_가정!$E$260,②시니어_가정!$E$261))</f>
        <v>0</v>
      </c>
      <c r="BQ40" s="37" t="n">
        <f aca="false">(BQ14=1)*②시니어_가정!$H$38*②시니어_가정!$E$253*②시니어_가정!$E$254/1000*(1+②시니어_가정!$E$256)^INT((BQ15-1)/②시니어_가정!$E$257)*(1-CHOOSE(MIN(MAX(BQ16,1),3),②시니어_가정!$E$259,②시니어_가정!$E$260,②시니어_가정!$E$261))</f>
        <v>0</v>
      </c>
      <c r="BR40" s="37" t="n">
        <f aca="false">(BR14=1)*②시니어_가정!$H$38*②시니어_가정!$E$253*②시니어_가정!$E$254/1000*(1+②시니어_가정!$E$256)^INT((BR15-1)/②시니어_가정!$E$257)*(1-CHOOSE(MIN(MAX(BR16,1),3),②시니어_가정!$E$259,②시니어_가정!$E$260,②시니어_가정!$E$261))</f>
        <v>0</v>
      </c>
      <c r="BS40" s="37" t="n">
        <f aca="false">(BS14=1)*②시니어_가정!$H$38*②시니어_가정!$E$253*②시니어_가정!$E$254/1000*(1+②시니어_가정!$E$256)^INT((BS15-1)/②시니어_가정!$E$257)*(1-CHOOSE(MIN(MAX(BS16,1),3),②시니어_가정!$E$259,②시니어_가정!$E$260,②시니어_가정!$E$261))</f>
        <v>0</v>
      </c>
      <c r="BT40" s="37" t="n">
        <f aca="false">(BT14=1)*②시니어_가정!$H$38*②시니어_가정!$E$253*②시니어_가정!$E$254/1000*(1+②시니어_가정!$E$256)^INT((BT15-1)/②시니어_가정!$E$257)*(1-CHOOSE(MIN(MAX(BT16,1),3),②시니어_가정!$E$259,②시니어_가정!$E$260,②시니어_가정!$E$261))</f>
        <v>0</v>
      </c>
      <c r="BU40" s="37" t="n">
        <f aca="false">(BU14=1)*②시니어_가정!$H$38*②시니어_가정!$E$253*②시니어_가정!$E$254/1000*(1+②시니어_가정!$E$256)^INT((BU15-1)/②시니어_가정!$E$257)*(1-CHOOSE(MIN(MAX(BU16,1),3),②시니어_가정!$E$259,②시니어_가정!$E$260,②시니어_가정!$E$261))</f>
        <v>0</v>
      </c>
      <c r="BV40" s="37" t="n">
        <f aca="false">(BV14=1)*②시니어_가정!$H$38*②시니어_가정!$E$253*②시니어_가정!$E$254/1000*(1+②시니어_가정!$E$256)^INT((BV15-1)/②시니어_가정!$E$257)*(1-CHOOSE(MIN(MAX(BV16,1),3),②시니어_가정!$E$259,②시니어_가정!$E$260,②시니어_가정!$E$261))</f>
        <v>0</v>
      </c>
      <c r="BW40" s="37" t="n">
        <f aca="false">(BW14=1)*②시니어_가정!$H$38*②시니어_가정!$E$253*②시니어_가정!$E$254/1000*(1+②시니어_가정!$E$256)^INT((BW15-1)/②시니어_가정!$E$257)*(1-CHOOSE(MIN(MAX(BW16,1),3),②시니어_가정!$E$259,②시니어_가정!$E$260,②시니어_가정!$E$261))</f>
        <v>0</v>
      </c>
      <c r="BX40" s="37" t="n">
        <f aca="false">(BX14=1)*②시니어_가정!$H$38*②시니어_가정!$E$253*②시니어_가정!$E$254/1000*(1+②시니어_가정!$E$256)^INT((BX15-1)/②시니어_가정!$E$257)*(1-CHOOSE(MIN(MAX(BX16,1),3),②시니어_가정!$E$259,②시니어_가정!$E$260,②시니어_가정!$E$261))</f>
        <v>0</v>
      </c>
      <c r="BY40" s="37" t="n">
        <f aca="false">(BY14=1)*②시니어_가정!$H$38*②시니어_가정!$E$253*②시니어_가정!$E$254/1000*(1+②시니어_가정!$E$256)^INT((BY15-1)/②시니어_가정!$E$257)*(1-CHOOSE(MIN(MAX(BY16,1),3),②시니어_가정!$E$259,②시니어_가정!$E$260,②시니어_가정!$E$261))</f>
        <v>0</v>
      </c>
      <c r="BZ40" s="37" t="n">
        <f aca="false">(BZ14=1)*②시니어_가정!$H$38*②시니어_가정!$E$253*②시니어_가정!$E$254/1000*(1+②시니어_가정!$E$256)^INT((BZ15-1)/②시니어_가정!$E$257)*(1-CHOOSE(MIN(MAX(BZ16,1),3),②시니어_가정!$E$259,②시니어_가정!$E$260,②시니어_가정!$E$261))</f>
        <v>0</v>
      </c>
      <c r="CA40" s="37" t="n">
        <f aca="false">(CA14=1)*②시니어_가정!$H$38*②시니어_가정!$E$253*②시니어_가정!$E$254/1000*(1+②시니어_가정!$E$256)^INT((CA15-1)/②시니어_가정!$E$257)*(1-CHOOSE(MIN(MAX(CA16,1),3),②시니어_가정!$E$259,②시니어_가정!$E$260,②시니어_가정!$E$261))</f>
        <v>0</v>
      </c>
      <c r="CB40" s="37" t="n">
        <f aca="false">(CB14=1)*②시니어_가정!$H$38*②시니어_가정!$E$253*②시니어_가정!$E$254/1000*(1+②시니어_가정!$E$256)^INT((CB15-1)/②시니어_가정!$E$257)*(1-CHOOSE(MIN(MAX(CB16,1),3),②시니어_가정!$E$259,②시니어_가정!$E$260,②시니어_가정!$E$261))</f>
        <v>0</v>
      </c>
      <c r="CC40" s="37" t="n">
        <f aca="false">(CC14=1)*②시니어_가정!$H$38*②시니어_가정!$E$253*②시니어_가정!$E$254/1000*(1+②시니어_가정!$E$256)^INT((CC15-1)/②시니어_가정!$E$257)*(1-CHOOSE(MIN(MAX(CC16,1),3),②시니어_가정!$E$259,②시니어_가정!$E$260,②시니어_가정!$E$261))</f>
        <v>0</v>
      </c>
      <c r="CD40" s="37" t="n">
        <f aca="false">(CD14=1)*②시니어_가정!$H$38*②시니어_가정!$E$253*②시니어_가정!$E$254/1000*(1+②시니어_가정!$E$256)^INT((CD15-1)/②시니어_가정!$E$257)*(1-CHOOSE(MIN(MAX(CD16,1),3),②시니어_가정!$E$259,②시니어_가정!$E$260,②시니어_가정!$E$261))</f>
        <v>0</v>
      </c>
      <c r="CE40" s="37" t="n">
        <f aca="false">(CE14=1)*②시니어_가정!$H$38*②시니어_가정!$E$253*②시니어_가정!$E$254/1000*(1+②시니어_가정!$E$256)^INT((CE15-1)/②시니어_가정!$E$257)*(1-CHOOSE(MIN(MAX(CE16,1),3),②시니어_가정!$E$259,②시니어_가정!$E$260,②시니어_가정!$E$261))</f>
        <v>0</v>
      </c>
      <c r="CF40" s="37" t="n">
        <f aca="false">(CF14=1)*②시니어_가정!$H$38*②시니어_가정!$E$253*②시니어_가정!$E$254/1000*(1+②시니어_가정!$E$256)^INT((CF15-1)/②시니어_가정!$E$257)*(1-CHOOSE(MIN(MAX(CF16,1),3),②시니어_가정!$E$259,②시니어_가정!$E$260,②시니어_가정!$E$261))</f>
        <v>0</v>
      </c>
      <c r="CG40" s="37" t="n">
        <f aca="false">(CG14=1)*②시니어_가정!$H$38*②시니어_가정!$E$253*②시니어_가정!$E$254/1000*(1+②시니어_가정!$E$256)^INT((CG15-1)/②시니어_가정!$E$257)*(1-CHOOSE(MIN(MAX(CG16,1),3),②시니어_가정!$E$259,②시니어_가정!$E$260,②시니어_가정!$E$261))</f>
        <v>0</v>
      </c>
      <c r="CH40" s="37" t="n">
        <f aca="false">(CH14=1)*②시니어_가정!$H$38*②시니어_가정!$E$253*②시니어_가정!$E$254/1000*(1+②시니어_가정!$E$256)^INT((CH15-1)/②시니어_가정!$E$257)*(1-CHOOSE(MIN(MAX(CH16,1),3),②시니어_가정!$E$259,②시니어_가정!$E$260,②시니어_가정!$E$261))</f>
        <v>0</v>
      </c>
      <c r="CI40" s="37" t="n">
        <f aca="false">(CI14=1)*②시니어_가정!$H$38*②시니어_가정!$E$253*②시니어_가정!$E$254/1000*(1+②시니어_가정!$E$256)^INT((CI15-1)/②시니어_가정!$E$257)*(1-CHOOSE(MIN(MAX(CI16,1),3),②시니어_가정!$E$259,②시니어_가정!$E$260,②시니어_가정!$E$261))</f>
        <v>0</v>
      </c>
      <c r="CJ40" s="37" t="n">
        <f aca="false">(CJ14=1)*②시니어_가정!$H$38*②시니어_가정!$E$253*②시니어_가정!$E$254/1000*(1+②시니어_가정!$E$256)^INT((CJ15-1)/②시니어_가정!$E$257)*(1-CHOOSE(MIN(MAX(CJ16,1),3),②시니어_가정!$E$259,②시니어_가정!$E$260,②시니어_가정!$E$261))</f>
        <v>0</v>
      </c>
      <c r="CK40" s="37" t="n">
        <f aca="false">(CK14=1)*②시니어_가정!$H$38*②시니어_가정!$E$253*②시니어_가정!$E$254/1000*(1+②시니어_가정!$E$256)^INT((CK15-1)/②시니어_가정!$E$257)*(1-CHOOSE(MIN(MAX(CK16,1),3),②시니어_가정!$E$259,②시니어_가정!$E$260,②시니어_가정!$E$261))</f>
        <v>0</v>
      </c>
      <c r="CL40" s="37" t="n">
        <f aca="false">(CL14=1)*②시니어_가정!$H$38*②시니어_가정!$E$253*②시니어_가정!$E$254/1000*(1+②시니어_가정!$E$256)^INT((CL15-1)/②시니어_가정!$E$257)*(1-CHOOSE(MIN(MAX(CL16,1),3),②시니어_가정!$E$259,②시니어_가정!$E$260,②시니어_가정!$E$261))</f>
        <v>0</v>
      </c>
      <c r="CM40" s="37" t="n">
        <f aca="false">(CM14=1)*②시니어_가정!$H$38*②시니어_가정!$E$253*②시니어_가정!$E$254/1000*(1+②시니어_가정!$E$256)^INT((CM15-1)/②시니어_가정!$E$257)*(1-CHOOSE(MIN(MAX(CM16,1),3),②시니어_가정!$E$259,②시니어_가정!$E$260,②시니어_가정!$E$261))</f>
        <v>0</v>
      </c>
      <c r="CN40" s="37" t="n">
        <f aca="false">(CN14=1)*②시니어_가정!$H$38*②시니어_가정!$E$253*②시니어_가정!$E$254/1000*(1+②시니어_가정!$E$256)^INT((CN15-1)/②시니어_가정!$E$257)*(1-CHOOSE(MIN(MAX(CN16,1),3),②시니어_가정!$E$259,②시니어_가정!$E$260,②시니어_가정!$E$261))</f>
        <v>0</v>
      </c>
      <c r="CO40" s="37" t="n">
        <f aca="false">(CO14=1)*②시니어_가정!$H$38*②시니어_가정!$E$253*②시니어_가정!$E$254/1000*(1+②시니어_가정!$E$256)^INT((CO15-1)/②시니어_가정!$E$257)*(1-CHOOSE(MIN(MAX(CO16,1),3),②시니어_가정!$E$259,②시니어_가정!$E$260,②시니어_가정!$E$261))</f>
        <v>0</v>
      </c>
      <c r="CP40" s="37" t="n">
        <f aca="false">(CP14=1)*②시니어_가정!$H$38*②시니어_가정!$E$253*②시니어_가정!$E$254/1000*(1+②시니어_가정!$E$256)^INT((CP15-1)/②시니어_가정!$E$257)*(1-CHOOSE(MIN(MAX(CP16,1),3),②시니어_가정!$E$259,②시니어_가정!$E$260,②시니어_가정!$E$261))</f>
        <v>0</v>
      </c>
      <c r="CQ40" s="37" t="n">
        <f aca="false">(CQ14=1)*②시니어_가정!$H$38*②시니어_가정!$E$253*②시니어_가정!$E$254/1000*(1+②시니어_가정!$E$256)^INT((CQ15-1)/②시니어_가정!$E$257)*(1-CHOOSE(MIN(MAX(CQ16,1),3),②시니어_가정!$E$259,②시니어_가정!$E$260,②시니어_가정!$E$261))</f>
        <v>0</v>
      </c>
      <c r="CR40" s="37" t="n">
        <f aca="false">(CR14=1)*②시니어_가정!$H$38*②시니어_가정!$E$253*②시니어_가정!$E$254/1000*(1+②시니어_가정!$E$256)^INT((CR15-1)/②시니어_가정!$E$257)*(1-CHOOSE(MIN(MAX(CR16,1),3),②시니어_가정!$E$259,②시니어_가정!$E$260,②시니어_가정!$E$261))</f>
        <v>0</v>
      </c>
      <c r="CS40" s="37" t="n">
        <f aca="false">(CS14=1)*②시니어_가정!$H$38*②시니어_가정!$E$253*②시니어_가정!$E$254/1000*(1+②시니어_가정!$E$256)^INT((CS15-1)/②시니어_가정!$E$257)*(1-CHOOSE(MIN(MAX(CS16,1),3),②시니어_가정!$E$259,②시니어_가정!$E$260,②시니어_가정!$E$261))</f>
        <v>0</v>
      </c>
      <c r="CT40" s="37" t="n">
        <f aca="false">(CT14=1)*②시니어_가정!$H$38*②시니어_가정!$E$253*②시니어_가정!$E$254/1000*(1+②시니어_가정!$E$256)^INT((CT15-1)/②시니어_가정!$E$257)*(1-CHOOSE(MIN(MAX(CT16,1),3),②시니어_가정!$E$259,②시니어_가정!$E$260,②시니어_가정!$E$261))</f>
        <v>0</v>
      </c>
      <c r="CU40" s="37" t="n">
        <f aca="false">(CU14=1)*②시니어_가정!$H$38*②시니어_가정!$E$253*②시니어_가정!$E$254/1000*(1+②시니어_가정!$E$256)^INT((CU15-1)/②시니어_가정!$E$257)*(1-CHOOSE(MIN(MAX(CU16,1),3),②시니어_가정!$E$259,②시니어_가정!$E$260,②시니어_가정!$E$261))</f>
        <v>0</v>
      </c>
      <c r="CV40" s="37" t="n">
        <f aca="false">(CV14=1)*②시니어_가정!$H$38*②시니어_가정!$E$253*②시니어_가정!$E$254/1000*(1+②시니어_가정!$E$256)^INT((CV15-1)/②시니어_가정!$E$257)*(1-CHOOSE(MIN(MAX(CV16,1),3),②시니어_가정!$E$259,②시니어_가정!$E$260,②시니어_가정!$E$261))</f>
        <v>0</v>
      </c>
      <c r="CW40" s="37" t="n">
        <f aca="false">(CW14=1)*②시니어_가정!$H$38*②시니어_가정!$E$253*②시니어_가정!$E$254/1000*(1+②시니어_가정!$E$256)^INT((CW15-1)/②시니어_가정!$E$257)*(1-CHOOSE(MIN(MAX(CW16,1),3),②시니어_가정!$E$259,②시니어_가정!$E$260,②시니어_가정!$E$261))</f>
        <v>0</v>
      </c>
      <c r="CX40" s="37" t="n">
        <f aca="false">(CX14=1)*②시니어_가정!$H$38*②시니어_가정!$E$253*②시니어_가정!$E$254/1000*(1+②시니어_가정!$E$256)^INT((CX15-1)/②시니어_가정!$E$257)*(1-CHOOSE(MIN(MAX(CX16,1),3),②시니어_가정!$E$259,②시니어_가정!$E$260,②시니어_가정!$E$261))</f>
        <v>0</v>
      </c>
      <c r="CY40" s="37" t="n">
        <f aca="false">(CY14=1)*②시니어_가정!$H$38*②시니어_가정!$E$253*②시니어_가정!$E$254/1000*(1+②시니어_가정!$E$256)^INT((CY15-1)/②시니어_가정!$E$257)*(1-CHOOSE(MIN(MAX(CY16,1),3),②시니어_가정!$E$259,②시니어_가정!$E$260,②시니어_가정!$E$261))</f>
        <v>0</v>
      </c>
      <c r="CZ40" s="37" t="n">
        <f aca="false">(CZ14=1)*②시니어_가정!$H$38*②시니어_가정!$E$253*②시니어_가정!$E$254/1000*(1+②시니어_가정!$E$256)^INT((CZ15-1)/②시니어_가정!$E$257)*(1-CHOOSE(MIN(MAX(CZ16,1),3),②시니어_가정!$E$259,②시니어_가정!$E$260,②시니어_가정!$E$261))</f>
        <v>0</v>
      </c>
      <c r="DA40" s="37" t="n">
        <f aca="false">(DA14=1)*②시니어_가정!$H$38*②시니어_가정!$E$253*②시니어_가정!$E$254/1000*(1+②시니어_가정!$E$256)^INT((DA15-1)/②시니어_가정!$E$257)*(1-CHOOSE(MIN(MAX(DA16,1),3),②시니어_가정!$E$259,②시니어_가정!$E$260,②시니어_가정!$E$261))</f>
        <v>0</v>
      </c>
      <c r="DB40" s="37" t="n">
        <f aca="false">(DB14=1)*②시니어_가정!$H$38*②시니어_가정!$E$253*②시니어_가정!$E$254/1000*(1+②시니어_가정!$E$256)^INT((DB15-1)/②시니어_가정!$E$257)*(1-CHOOSE(MIN(MAX(DB16,1),3),②시니어_가정!$E$259,②시니어_가정!$E$260,②시니어_가정!$E$261))</f>
        <v>0</v>
      </c>
      <c r="DC40" s="37" t="n">
        <f aca="false">(DC14=1)*②시니어_가정!$H$38*②시니어_가정!$E$253*②시니어_가정!$E$254/1000*(1+②시니어_가정!$E$256)^INT((DC15-1)/②시니어_가정!$E$257)*(1-CHOOSE(MIN(MAX(DC16,1),3),②시니어_가정!$E$259,②시니어_가정!$E$260,②시니어_가정!$E$261))</f>
        <v>0</v>
      </c>
      <c r="DD40" s="37" t="n">
        <f aca="false">(DD14=1)*②시니어_가정!$H$38*②시니어_가정!$E$253*②시니어_가정!$E$254/1000*(1+②시니어_가정!$E$256)^INT((DD15-1)/②시니어_가정!$E$257)*(1-CHOOSE(MIN(MAX(DD16,1),3),②시니어_가정!$E$259,②시니어_가정!$E$260,②시니어_가정!$E$261))</f>
        <v>0</v>
      </c>
      <c r="DE40" s="37" t="n">
        <f aca="false">(DE14=1)*②시니어_가정!$H$38*②시니어_가정!$E$253*②시니어_가정!$E$254/1000*(1+②시니어_가정!$E$256)^INT((DE15-1)/②시니어_가정!$E$257)*(1-CHOOSE(MIN(MAX(DE16,1),3),②시니어_가정!$E$259,②시니어_가정!$E$260,②시니어_가정!$E$261))</f>
        <v>0</v>
      </c>
      <c r="DF40" s="37" t="n">
        <f aca="false">(DF14=1)*②시니어_가정!$H$38*②시니어_가정!$E$253*②시니어_가정!$E$254/1000*(1+②시니어_가정!$E$256)^INT((DF15-1)/②시니어_가정!$E$257)*(1-CHOOSE(MIN(MAX(DF16,1),3),②시니어_가정!$E$259,②시니어_가정!$E$260,②시니어_가정!$E$261))</f>
        <v>0</v>
      </c>
      <c r="DG40" s="37" t="n">
        <f aca="false">(DG14=1)*②시니어_가정!$H$38*②시니어_가정!$E$253*②시니어_가정!$E$254/1000*(1+②시니어_가정!$E$256)^INT((DG15-1)/②시니어_가정!$E$257)*(1-CHOOSE(MIN(MAX(DG16,1),3),②시니어_가정!$E$259,②시니어_가정!$E$260,②시니어_가정!$E$261))</f>
        <v>0</v>
      </c>
      <c r="DH40" s="37" t="n">
        <f aca="false">(DH14=1)*②시니어_가정!$H$38*②시니어_가정!$E$253*②시니어_가정!$E$254/1000*(1+②시니어_가정!$E$256)^INT((DH15-1)/②시니어_가정!$E$257)*(1-CHOOSE(MIN(MAX(DH16,1),3),②시니어_가정!$E$259,②시니어_가정!$E$260,②시니어_가정!$E$261))</f>
        <v>0</v>
      </c>
      <c r="DI40" s="37" t="n">
        <f aca="false">(DI14=1)*②시니어_가정!$H$38*②시니어_가정!$E$253*②시니어_가정!$E$254/1000*(1+②시니어_가정!$E$256)^INT((DI15-1)/②시니어_가정!$E$257)*(1-CHOOSE(MIN(MAX(DI16,1),3),②시니어_가정!$E$259,②시니어_가정!$E$260,②시니어_가정!$E$261))</f>
        <v>0</v>
      </c>
      <c r="DJ40" s="37" t="n">
        <f aca="false">(DJ14=1)*②시니어_가정!$H$38*②시니어_가정!$E$253*②시니어_가정!$E$254/1000*(1+②시니어_가정!$E$256)^INT((DJ15-1)/②시니어_가정!$E$257)*(1-CHOOSE(MIN(MAX(DJ16,1),3),②시니어_가정!$E$259,②시니어_가정!$E$260,②시니어_가정!$E$261))</f>
        <v>0</v>
      </c>
      <c r="DK40" s="37" t="n">
        <f aca="false">(DK14=1)*②시니어_가정!$H$38*②시니어_가정!$E$253*②시니어_가정!$E$254/1000*(1+②시니어_가정!$E$256)^INT((DK15-1)/②시니어_가정!$E$257)*(1-CHOOSE(MIN(MAX(DK16,1),3),②시니어_가정!$E$259,②시니어_가정!$E$260,②시니어_가정!$E$261))</f>
        <v>0</v>
      </c>
      <c r="DL40" s="37" t="n">
        <f aca="false">(DL14=1)*②시니어_가정!$H$38*②시니어_가정!$E$253*②시니어_가정!$E$254/1000*(1+②시니어_가정!$E$256)^INT((DL15-1)/②시니어_가정!$E$257)*(1-CHOOSE(MIN(MAX(DL16,1),3),②시니어_가정!$E$259,②시니어_가정!$E$260,②시니어_가정!$E$261))</f>
        <v>0</v>
      </c>
      <c r="DM40" s="37" t="n">
        <f aca="false">(DM14=1)*②시니어_가정!$H$38*②시니어_가정!$E$253*②시니어_가정!$E$254/1000*(1+②시니어_가정!$E$256)^INT((DM15-1)/②시니어_가정!$E$257)*(1-CHOOSE(MIN(MAX(DM16,1),3),②시니어_가정!$E$259,②시니어_가정!$E$260,②시니어_가정!$E$261))</f>
        <v>0</v>
      </c>
      <c r="DN40" s="37" t="n">
        <f aca="false">(DN14=1)*②시니어_가정!$H$38*②시니어_가정!$E$253*②시니어_가정!$E$254/1000*(1+②시니어_가정!$E$256)^INT((DN15-1)/②시니어_가정!$E$257)*(1-CHOOSE(MIN(MAX(DN16,1),3),②시니어_가정!$E$259,②시니어_가정!$E$260,②시니어_가정!$E$261))</f>
        <v>0</v>
      </c>
      <c r="DO40" s="37" t="n">
        <f aca="false">(DO14=1)*②시니어_가정!$H$38*②시니어_가정!$E$253*②시니어_가정!$E$254/1000*(1+②시니어_가정!$E$256)^INT((DO15-1)/②시니어_가정!$E$257)*(1-CHOOSE(MIN(MAX(DO16,1),3),②시니어_가정!$E$259,②시니어_가정!$E$260,②시니어_가정!$E$261))</f>
        <v>0</v>
      </c>
      <c r="DP40" s="37" t="n">
        <f aca="false">(DP14=1)*②시니어_가정!$H$38*②시니어_가정!$E$253*②시니어_가정!$E$254/1000*(1+②시니어_가정!$E$256)^INT((DP15-1)/②시니어_가정!$E$257)*(1-CHOOSE(MIN(MAX(DP16,1),3),②시니어_가정!$E$259,②시니어_가정!$E$260,②시니어_가정!$E$261))</f>
        <v>0</v>
      </c>
      <c r="DQ40" s="37" t="n">
        <f aca="false">(DQ14=1)*②시니어_가정!$H$38*②시니어_가정!$E$253*②시니어_가정!$E$254/1000*(1+②시니어_가정!$E$256)^INT((DQ15-1)/②시니어_가정!$E$257)*(1-CHOOSE(MIN(MAX(DQ16,1),3),②시니어_가정!$E$259,②시니어_가정!$E$260,②시니어_가정!$E$261))</f>
        <v>0</v>
      </c>
      <c r="DR40" s="37" t="n">
        <f aca="false">(DR14=1)*②시니어_가정!$H$38*②시니어_가정!$E$253*②시니어_가정!$E$254/1000*(1+②시니어_가정!$E$256)^INT((DR15-1)/②시니어_가정!$E$257)*(1-CHOOSE(MIN(MAX(DR16,1),3),②시니어_가정!$E$259,②시니어_가정!$E$260,②시니어_가정!$E$261))</f>
        <v>0</v>
      </c>
      <c r="DS40" s="37" t="n">
        <f aca="false">(DS14=1)*②시니어_가정!$H$38*②시니어_가정!$E$253*②시니어_가정!$E$254/1000*(1+②시니어_가정!$E$256)^INT((DS15-1)/②시니어_가정!$E$257)*(1-CHOOSE(MIN(MAX(DS16,1),3),②시니어_가정!$E$259,②시니어_가정!$E$260,②시니어_가정!$E$261))</f>
        <v>0</v>
      </c>
      <c r="DT40" s="37" t="n">
        <f aca="false">(DT14=1)*②시니어_가정!$H$38*②시니어_가정!$E$253*②시니어_가정!$E$254/1000*(1+②시니어_가정!$E$256)^INT((DT15-1)/②시니어_가정!$E$257)*(1-CHOOSE(MIN(MAX(DT16,1),3),②시니어_가정!$E$259,②시니어_가정!$E$260,②시니어_가정!$E$261))</f>
        <v>0</v>
      </c>
      <c r="DU40" s="37" t="n">
        <f aca="false">(DU14=1)*②시니어_가정!$H$38*②시니어_가정!$E$253*②시니어_가정!$E$254/1000*(1+②시니어_가정!$E$256)^INT((DU15-1)/②시니어_가정!$E$257)*(1-CHOOSE(MIN(MAX(DU16,1),3),②시니어_가정!$E$259,②시니어_가정!$E$260,②시니어_가정!$E$261))</f>
        <v>0</v>
      </c>
      <c r="DV40" s="37" t="n">
        <f aca="false">(DV14=1)*②시니어_가정!$H$38*②시니어_가정!$E$253*②시니어_가정!$E$254/1000*(1+②시니어_가정!$E$256)^INT((DV15-1)/②시니어_가정!$E$257)*(1-CHOOSE(MIN(MAX(DV16,1),3),②시니어_가정!$E$259,②시니어_가정!$E$260,②시니어_가정!$E$261))</f>
        <v>0</v>
      </c>
      <c r="DW40" s="37" t="n">
        <f aca="false">(DW14=1)*②시니어_가정!$H$38*②시니어_가정!$E$253*②시니어_가정!$E$254/1000*(1+②시니어_가정!$E$256)^INT((DW15-1)/②시니어_가정!$E$257)*(1-CHOOSE(MIN(MAX(DW16,1),3),②시니어_가정!$E$259,②시니어_가정!$E$260,②시니어_가정!$E$261))</f>
        <v>0</v>
      </c>
      <c r="DX40" s="37" t="n">
        <f aca="false">(DX14=1)*②시니어_가정!$H$38*②시니어_가정!$E$253*②시니어_가정!$E$254/1000*(1+②시니어_가정!$E$256)^INT((DX15-1)/②시니어_가정!$E$257)*(1-CHOOSE(MIN(MAX(DX16,1),3),②시니어_가정!$E$259,②시니어_가정!$E$260,②시니어_가정!$E$261))</f>
        <v>0</v>
      </c>
      <c r="DY40" s="37" t="n">
        <f aca="false">(DY14=1)*②시니어_가정!$H$38*②시니어_가정!$E$253*②시니어_가정!$E$254/1000*(1+②시니어_가정!$E$256)^INT((DY15-1)/②시니어_가정!$E$257)*(1-CHOOSE(MIN(MAX(DY16,1),3),②시니어_가정!$E$259,②시니어_가정!$E$260,②시니어_가정!$E$261))</f>
        <v>0</v>
      </c>
      <c r="DZ40" s="37" t="n">
        <f aca="false">(DZ14=1)*②시니어_가정!$H$38*②시니어_가정!$E$253*②시니어_가정!$E$254/1000*(1+②시니어_가정!$E$256)^INT((DZ15-1)/②시니어_가정!$E$257)*(1-CHOOSE(MIN(MAX(DZ16,1),3),②시니어_가정!$E$259,②시니어_가정!$E$260,②시니어_가정!$E$261))</f>
        <v>0</v>
      </c>
      <c r="EA40" s="37" t="n">
        <f aca="false">(EA14=1)*②시니어_가정!$H$38*②시니어_가정!$E$253*②시니어_가정!$E$254/1000*(1+②시니어_가정!$E$256)^INT((EA15-1)/②시니어_가정!$E$257)*(1-CHOOSE(MIN(MAX(EA16,1),3),②시니어_가정!$E$259,②시니어_가정!$E$260,②시니어_가정!$E$261))</f>
        <v>0</v>
      </c>
      <c r="EB40" s="37" t="n">
        <f aca="false">(EB14=1)*②시니어_가정!$H$38*②시니어_가정!$E$253*②시니어_가정!$E$254/1000*(1+②시니어_가정!$E$256)^INT((EB15-1)/②시니어_가정!$E$257)*(1-CHOOSE(MIN(MAX(EB16,1),3),②시니어_가정!$E$259,②시니어_가정!$E$260,②시니어_가정!$E$261))</f>
        <v>0</v>
      </c>
      <c r="EC40" s="37" t="n">
        <f aca="false">(EC14=1)*②시니어_가정!$H$38*②시니어_가정!$E$253*②시니어_가정!$E$254/1000*(1+②시니어_가정!$E$256)^INT((EC15-1)/②시니어_가정!$E$257)*(1-CHOOSE(MIN(MAX(EC16,1),3),②시니어_가정!$E$259,②시니어_가정!$E$260,②시니어_가정!$E$261))</f>
        <v>0</v>
      </c>
      <c r="ED40" s="37" t="n">
        <f aca="false">(ED14=1)*②시니어_가정!$H$38*②시니어_가정!$E$253*②시니어_가정!$E$254/1000*(1+②시니어_가정!$E$256)^INT((ED15-1)/②시니어_가정!$E$257)*(1-CHOOSE(MIN(MAX(ED16,1),3),②시니어_가정!$E$259,②시니어_가정!$E$260,②시니어_가정!$E$261))</f>
        <v>0</v>
      </c>
      <c r="EE40" s="37" t="n">
        <f aca="false">(EE14=1)*②시니어_가정!$H$38*②시니어_가정!$E$253*②시니어_가정!$E$254/1000*(1+②시니어_가정!$E$256)^INT((EE15-1)/②시니어_가정!$E$257)*(1-CHOOSE(MIN(MAX(EE16,1),3),②시니어_가정!$E$259,②시니어_가정!$E$260,②시니어_가정!$E$261))</f>
        <v>0</v>
      </c>
      <c r="EF40" s="37" t="n">
        <f aca="false">(EF14=1)*②시니어_가정!$H$38*②시니어_가정!$E$253*②시니어_가정!$E$254/1000*(1+②시니어_가정!$E$256)^INT((EF15-1)/②시니어_가정!$E$257)*(1-CHOOSE(MIN(MAX(EF16,1),3),②시니어_가정!$E$259,②시니어_가정!$E$260,②시니어_가정!$E$261))</f>
        <v>0</v>
      </c>
    </row>
    <row r="41" customFormat="false" ht="15" hidden="false" customHeight="false" outlineLevel="0" collapsed="false">
      <c r="A41" s="280" t="s">
        <v>44</v>
      </c>
      <c r="B41" s="281" t="s">
        <v>21</v>
      </c>
      <c r="C41" s="282" t="n">
        <f aca="false">SUM(E41:EF41)</f>
        <v>120999.065883418</v>
      </c>
      <c r="D41" s="48"/>
      <c r="E41" s="283" t="n">
        <f aca="false">SUM(E21:E40)</f>
        <v>0</v>
      </c>
      <c r="F41" s="283" t="n">
        <f aca="false">SUM(F21:F40)</f>
        <v>0</v>
      </c>
      <c r="G41" s="283" t="n">
        <f aca="false">SUM(G21:G40)</f>
        <v>0</v>
      </c>
      <c r="H41" s="283" t="n">
        <f aca="false">SUM(H21:H40)</f>
        <v>0</v>
      </c>
      <c r="I41" s="283" t="n">
        <f aca="false">SUM(I21:I40)</f>
        <v>0</v>
      </c>
      <c r="J41" s="283" t="n">
        <f aca="false">SUM(J21:J40)</f>
        <v>0</v>
      </c>
      <c r="K41" s="283" t="n">
        <f aca="false">SUM(K21:K40)</f>
        <v>0</v>
      </c>
      <c r="L41" s="283" t="n">
        <f aca="false">SUM(L21:L40)</f>
        <v>0</v>
      </c>
      <c r="M41" s="283" t="n">
        <f aca="false">SUM(M21:M40)</f>
        <v>0</v>
      </c>
      <c r="N41" s="283" t="n">
        <f aca="false">SUM(N21:N40)</f>
        <v>0</v>
      </c>
      <c r="O41" s="283" t="n">
        <f aca="false">SUM(O21:O40)</f>
        <v>0</v>
      </c>
      <c r="P41" s="283" t="n">
        <f aca="false">SUM(P21:P40)</f>
        <v>0</v>
      </c>
      <c r="Q41" s="283" t="n">
        <f aca="false">SUM(Q21:Q40)</f>
        <v>0</v>
      </c>
      <c r="R41" s="283" t="n">
        <f aca="false">SUM(R21:R40)</f>
        <v>0</v>
      </c>
      <c r="S41" s="283" t="n">
        <f aca="false">SUM(S21:S40)</f>
        <v>0</v>
      </c>
      <c r="T41" s="283" t="n">
        <f aca="false">SUM(T21:T40)</f>
        <v>0</v>
      </c>
      <c r="U41" s="283" t="n">
        <f aca="false">SUM(U21:U40)</f>
        <v>0</v>
      </c>
      <c r="V41" s="283" t="n">
        <f aca="false">SUM(V21:V40)</f>
        <v>0</v>
      </c>
      <c r="W41" s="283" t="n">
        <f aca="false">SUM(W21:W40)</f>
        <v>0</v>
      </c>
      <c r="X41" s="283" t="n">
        <f aca="false">SUM(X21:X40)</f>
        <v>0</v>
      </c>
      <c r="Y41" s="283" t="n">
        <f aca="false">SUM(Y21:Y40)</f>
        <v>0</v>
      </c>
      <c r="Z41" s="283" t="n">
        <f aca="false">SUM(Z21:Z40)</f>
        <v>0</v>
      </c>
      <c r="AA41" s="283" t="n">
        <f aca="false">SUM(AA21:AA40)</f>
        <v>0</v>
      </c>
      <c r="AB41" s="283" t="n">
        <f aca="false">SUM(AB21:AB40)</f>
        <v>0</v>
      </c>
      <c r="AC41" s="283" t="n">
        <f aca="false">SUM(AC21:AC40)</f>
        <v>0</v>
      </c>
      <c r="AD41" s="283" t="n">
        <f aca="false">SUM(AD21:AD40)</f>
        <v>0</v>
      </c>
      <c r="AE41" s="283" t="n">
        <f aca="false">SUM(AE21:AE40)</f>
        <v>0</v>
      </c>
      <c r="AF41" s="283" t="n">
        <f aca="false">SUM(AF21:AF40)</f>
        <v>0</v>
      </c>
      <c r="AG41" s="283" t="n">
        <f aca="false">SUM(AG21:AG40)</f>
        <v>0</v>
      </c>
      <c r="AH41" s="283" t="n">
        <f aca="false">SUM(AH21:AH40)</f>
        <v>0</v>
      </c>
      <c r="AI41" s="283" t="n">
        <f aca="false">SUM(AI21:AI40)</f>
        <v>0</v>
      </c>
      <c r="AJ41" s="283" t="n">
        <f aca="false">SUM(AJ21:AJ40)</f>
        <v>0</v>
      </c>
      <c r="AK41" s="283" t="n">
        <f aca="false">SUM(AK21:AK40)</f>
        <v>0</v>
      </c>
      <c r="AL41" s="283" t="n">
        <f aca="false">SUM(AL21:AL40)</f>
        <v>0</v>
      </c>
      <c r="AM41" s="283" t="n">
        <f aca="false">SUM(AM21:AM40)</f>
        <v>0</v>
      </c>
      <c r="AN41" s="283" t="n">
        <f aca="false">SUM(AN21:AN40)</f>
        <v>0</v>
      </c>
      <c r="AO41" s="283" t="n">
        <f aca="false">SUM(AO21:AO40)</f>
        <v>0</v>
      </c>
      <c r="AP41" s="283" t="n">
        <f aca="false">SUM(AP21:AP40)</f>
        <v>0</v>
      </c>
      <c r="AQ41" s="283" t="n">
        <f aca="false">SUM(AQ21:AQ40)</f>
        <v>0</v>
      </c>
      <c r="AR41" s="283" t="n">
        <f aca="false">SUM(AR21:AR40)</f>
        <v>0</v>
      </c>
      <c r="AS41" s="283" t="n">
        <f aca="false">SUM(AS21:AS40)</f>
        <v>0</v>
      </c>
      <c r="AT41" s="283" t="n">
        <f aca="false">SUM(AT21:AT40)</f>
        <v>0</v>
      </c>
      <c r="AU41" s="283" t="n">
        <f aca="false">SUM(AU21:AU40)</f>
        <v>0</v>
      </c>
      <c r="AV41" s="283" t="n">
        <f aca="false">SUM(AV21:AV40)</f>
        <v>0</v>
      </c>
      <c r="AW41" s="283" t="n">
        <f aca="false">SUM(AW21:AW40)</f>
        <v>0</v>
      </c>
      <c r="AX41" s="283" t="n">
        <f aca="false">SUM(AX21:AX40)</f>
        <v>0</v>
      </c>
      <c r="AY41" s="283" t="n">
        <f aca="false">SUM(AY21:AY40)</f>
        <v>0</v>
      </c>
      <c r="AZ41" s="283" t="n">
        <f aca="false">SUM(AZ21:AZ40)</f>
        <v>0</v>
      </c>
      <c r="BA41" s="283" t="n">
        <f aca="false">SUM(BA21:BA40)</f>
        <v>0</v>
      </c>
      <c r="BB41" s="283" t="n">
        <f aca="false">SUM(BB21:BB40)</f>
        <v>0</v>
      </c>
      <c r="BC41" s="283" t="n">
        <f aca="false">SUM(BC21:BC40)</f>
        <v>0</v>
      </c>
      <c r="BD41" s="283" t="n">
        <f aca="false">SUM(BD21:BD40)</f>
        <v>0</v>
      </c>
      <c r="BE41" s="283" t="n">
        <f aca="false">SUM(BE21:BE40)</f>
        <v>0</v>
      </c>
      <c r="BF41" s="283" t="n">
        <f aca="false">SUM(BF21:BF40)</f>
        <v>0</v>
      </c>
      <c r="BG41" s="283" t="n">
        <f aca="false">SUM(BG21:BG40)</f>
        <v>0</v>
      </c>
      <c r="BH41" s="283" t="n">
        <f aca="false">SUM(BH21:BH40)</f>
        <v>0</v>
      </c>
      <c r="BI41" s="283" t="n">
        <f aca="false">SUM(BI21:BI40)</f>
        <v>0</v>
      </c>
      <c r="BJ41" s="283" t="n">
        <f aca="false">SUM(BJ21:BJ40)</f>
        <v>0</v>
      </c>
      <c r="BK41" s="283" t="n">
        <f aca="false">SUM(BK21:BK40)</f>
        <v>0</v>
      </c>
      <c r="BL41" s="283" t="n">
        <f aca="false">SUM(BL21:BL40)</f>
        <v>0</v>
      </c>
      <c r="BM41" s="283" t="n">
        <f aca="false">SUM(BM21:BM40)</f>
        <v>1636.5804</v>
      </c>
      <c r="BN41" s="283" t="n">
        <f aca="false">SUM(BN21:BN40)</f>
        <v>1636.5804</v>
      </c>
      <c r="BO41" s="283" t="n">
        <f aca="false">SUM(BO21:BO40)</f>
        <v>1636.5804</v>
      </c>
      <c r="BP41" s="283" t="n">
        <f aca="false">SUM(BP21:BP40)</f>
        <v>1636.5804</v>
      </c>
      <c r="BQ41" s="283" t="n">
        <f aca="false">SUM(BQ21:BQ40)</f>
        <v>1636.5804</v>
      </c>
      <c r="BR41" s="283" t="n">
        <f aca="false">SUM(BR21:BR40)</f>
        <v>1636.5804</v>
      </c>
      <c r="BS41" s="283" t="n">
        <f aca="false">SUM(BS21:BS40)</f>
        <v>1636.5804</v>
      </c>
      <c r="BT41" s="283" t="n">
        <f aca="false">SUM(BT21:BT40)</f>
        <v>1636.5804</v>
      </c>
      <c r="BU41" s="283" t="n">
        <f aca="false">SUM(BU21:BU40)</f>
        <v>1636.5804</v>
      </c>
      <c r="BV41" s="283" t="n">
        <f aca="false">SUM(BV21:BV40)</f>
        <v>1636.5804</v>
      </c>
      <c r="BW41" s="283" t="n">
        <f aca="false">SUM(BW21:BW40)</f>
        <v>1636.5804</v>
      </c>
      <c r="BX41" s="283" t="n">
        <f aca="false">SUM(BX21:BX40)</f>
        <v>1636.5804</v>
      </c>
      <c r="BY41" s="283" t="n">
        <f aca="false">SUM(BY21:BY40)</f>
        <v>2049.364008</v>
      </c>
      <c r="BZ41" s="283" t="n">
        <f aca="false">SUM(BZ21:BZ40)</f>
        <v>2049.364008</v>
      </c>
      <c r="CA41" s="283" t="n">
        <f aca="false">SUM(CA21:CA40)</f>
        <v>2049.364008</v>
      </c>
      <c r="CB41" s="283" t="n">
        <f aca="false">SUM(CB21:CB40)</f>
        <v>2049.364008</v>
      </c>
      <c r="CC41" s="283" t="n">
        <f aca="false">SUM(CC21:CC40)</f>
        <v>2049.364008</v>
      </c>
      <c r="CD41" s="283" t="n">
        <f aca="false">SUM(CD21:CD40)</f>
        <v>2049.364008</v>
      </c>
      <c r="CE41" s="283" t="n">
        <f aca="false">SUM(CE21:CE40)</f>
        <v>2049.364008</v>
      </c>
      <c r="CF41" s="283" t="n">
        <f aca="false">SUM(CF21:CF40)</f>
        <v>2049.364008</v>
      </c>
      <c r="CG41" s="283" t="n">
        <f aca="false">SUM(CG21:CG40)</f>
        <v>2049.364008</v>
      </c>
      <c r="CH41" s="283" t="n">
        <f aca="false">SUM(CH21:CH40)</f>
        <v>2049.364008</v>
      </c>
      <c r="CI41" s="283" t="n">
        <f aca="false">SUM(CI21:CI40)</f>
        <v>2049.364008</v>
      </c>
      <c r="CJ41" s="283" t="n">
        <f aca="false">SUM(CJ21:CJ40)</f>
        <v>2049.364008</v>
      </c>
      <c r="CK41" s="283" t="n">
        <f aca="false">SUM(CK21:CK40)</f>
        <v>2090.35128816</v>
      </c>
      <c r="CL41" s="283" t="n">
        <f aca="false">SUM(CL21:CL40)</f>
        <v>2090.35128816</v>
      </c>
      <c r="CM41" s="283" t="n">
        <f aca="false">SUM(CM21:CM40)</f>
        <v>2090.35128816</v>
      </c>
      <c r="CN41" s="283" t="n">
        <f aca="false">SUM(CN21:CN40)</f>
        <v>2090.35128816</v>
      </c>
      <c r="CO41" s="283" t="n">
        <f aca="false">SUM(CO21:CO40)</f>
        <v>2090.35128816</v>
      </c>
      <c r="CP41" s="283" t="n">
        <f aca="false">SUM(CP21:CP40)</f>
        <v>2090.35128816</v>
      </c>
      <c r="CQ41" s="283" t="n">
        <f aca="false">SUM(CQ21:CQ40)</f>
        <v>2090.35128816</v>
      </c>
      <c r="CR41" s="283" t="n">
        <f aca="false">SUM(CR21:CR40)</f>
        <v>2090.35128816</v>
      </c>
      <c r="CS41" s="283" t="n">
        <f aca="false">SUM(CS21:CS40)</f>
        <v>2090.35128816</v>
      </c>
      <c r="CT41" s="283" t="n">
        <f aca="false">SUM(CT21:CT40)</f>
        <v>2090.35128816</v>
      </c>
      <c r="CU41" s="283" t="n">
        <f aca="false">SUM(CU21:CU40)</f>
        <v>2090.35128816</v>
      </c>
      <c r="CV41" s="283" t="n">
        <f aca="false">SUM(CV21:CV40)</f>
        <v>2090.35128816</v>
      </c>
      <c r="CW41" s="283" t="n">
        <f aca="false">SUM(CW21:CW40)</f>
        <v>2132.1583139232</v>
      </c>
      <c r="CX41" s="283" t="n">
        <f aca="false">SUM(CX21:CX40)</f>
        <v>2132.1583139232</v>
      </c>
      <c r="CY41" s="283" t="n">
        <f aca="false">SUM(CY21:CY40)</f>
        <v>2132.1583139232</v>
      </c>
      <c r="CZ41" s="283" t="n">
        <f aca="false">SUM(CZ21:CZ40)</f>
        <v>2132.1583139232</v>
      </c>
      <c r="DA41" s="283" t="n">
        <f aca="false">SUM(DA21:DA40)</f>
        <v>2132.1583139232</v>
      </c>
      <c r="DB41" s="283" t="n">
        <f aca="false">SUM(DB21:DB40)</f>
        <v>2132.1583139232</v>
      </c>
      <c r="DC41" s="283" t="n">
        <f aca="false">SUM(DC21:DC40)</f>
        <v>2132.1583139232</v>
      </c>
      <c r="DD41" s="283" t="n">
        <f aca="false">SUM(DD21:DD40)</f>
        <v>2132.1583139232</v>
      </c>
      <c r="DE41" s="283" t="n">
        <f aca="false">SUM(DE21:DE40)</f>
        <v>2132.1583139232</v>
      </c>
      <c r="DF41" s="283" t="n">
        <f aca="false">SUM(DF21:DF40)</f>
        <v>2132.1583139232</v>
      </c>
      <c r="DG41" s="283" t="n">
        <f aca="false">SUM(DG21:DG40)</f>
        <v>2132.1583139232</v>
      </c>
      <c r="DH41" s="283" t="n">
        <f aca="false">SUM(DH21:DH40)</f>
        <v>2132.1583139232</v>
      </c>
      <c r="DI41" s="283" t="n">
        <f aca="false">SUM(DI21:DI40)</f>
        <v>2174.80148020166</v>
      </c>
      <c r="DJ41" s="283" t="n">
        <f aca="false">SUM(DJ21:DJ40)</f>
        <v>2174.80148020166</v>
      </c>
      <c r="DK41" s="283" t="n">
        <f aca="false">SUM(DK21:DK40)</f>
        <v>2174.80148020166</v>
      </c>
      <c r="DL41" s="283" t="n">
        <f aca="false">SUM(DL21:DL40)</f>
        <v>2174.80148020166</v>
      </c>
      <c r="DM41" s="283" t="n">
        <f aca="false">SUM(DM21:DM40)</f>
        <v>2174.80148020166</v>
      </c>
      <c r="DN41" s="283" t="n">
        <f aca="false">SUM(DN21:DN40)</f>
        <v>2174.80148020166</v>
      </c>
      <c r="DO41" s="283" t="n">
        <f aca="false">SUM(DO21:DO40)</f>
        <v>2174.80148020166</v>
      </c>
      <c r="DP41" s="283" t="n">
        <f aca="false">SUM(DP21:DP40)</f>
        <v>2174.80148020166</v>
      </c>
      <c r="DQ41" s="283" t="n">
        <f aca="false">SUM(DQ21:DQ40)</f>
        <v>2174.80148020166</v>
      </c>
      <c r="DR41" s="283" t="n">
        <f aca="false">SUM(DR21:DR40)</f>
        <v>2174.80148020166</v>
      </c>
      <c r="DS41" s="283" t="n">
        <f aca="false">SUM(DS21:DS40)</f>
        <v>2174.80148020166</v>
      </c>
      <c r="DT41" s="283" t="n">
        <f aca="false">SUM(DT21:DT40)</f>
        <v>2174.80148020166</v>
      </c>
      <c r="DU41" s="283" t="n">
        <f aca="false">SUM(DU21:DU40)</f>
        <v>0</v>
      </c>
      <c r="DV41" s="283" t="n">
        <f aca="false">SUM(DV21:DV40)</f>
        <v>0</v>
      </c>
      <c r="DW41" s="283" t="n">
        <f aca="false">SUM(DW21:DW40)</f>
        <v>0</v>
      </c>
      <c r="DX41" s="283" t="n">
        <f aca="false">SUM(DX21:DX40)</f>
        <v>0</v>
      </c>
      <c r="DY41" s="283" t="n">
        <f aca="false">SUM(DY21:DY40)</f>
        <v>0</v>
      </c>
      <c r="DZ41" s="283" t="n">
        <f aca="false">SUM(DZ21:DZ40)</f>
        <v>0</v>
      </c>
      <c r="EA41" s="283" t="n">
        <f aca="false">SUM(EA21:EA40)</f>
        <v>0</v>
      </c>
      <c r="EB41" s="283" t="n">
        <f aca="false">SUM(EB21:EB40)</f>
        <v>0</v>
      </c>
      <c r="EC41" s="283" t="n">
        <f aca="false">SUM(EC21:EC40)</f>
        <v>0</v>
      </c>
      <c r="ED41" s="283" t="n">
        <f aca="false">SUM(ED21:ED40)</f>
        <v>0</v>
      </c>
      <c r="EE41" s="283" t="n">
        <f aca="false">SUM(EE21:EE40)</f>
        <v>0</v>
      </c>
      <c r="EF41" s="283" t="n">
        <f aca="false">SUM(EF21:EF40)</f>
        <v>0</v>
      </c>
    </row>
    <row r="43" customFormat="false" ht="15" hidden="false" customHeight="false" outlineLevel="0" collapsed="false">
      <c r="A43" s="6" t="s">
        <v>591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</row>
    <row r="44" customFormat="false" ht="15" hidden="false" customHeight="false" outlineLevel="0" collapsed="false">
      <c r="A44" s="36" t="s">
        <v>592</v>
      </c>
      <c r="B44" s="278" t="s">
        <v>21</v>
      </c>
      <c r="C44" s="279" t="n">
        <f aca="false">SUM(E44:EF44)</f>
        <v>88377.5542353984</v>
      </c>
      <c r="E44" s="37" t="n">
        <f aca="false">(E21+E22)*(②시니어_가정!$E$110+②시니어_가정!$E$111)</f>
        <v>0</v>
      </c>
      <c r="F44" s="37" t="n">
        <f aca="false">(F21+F22)*(②시니어_가정!$E$110+②시니어_가정!$E$111)</f>
        <v>0</v>
      </c>
      <c r="G44" s="37" t="n">
        <f aca="false">(G21+G22)*(②시니어_가정!$E$110+②시니어_가정!$E$111)</f>
        <v>0</v>
      </c>
      <c r="H44" s="37" t="n">
        <f aca="false">(H21+H22)*(②시니어_가정!$E$110+②시니어_가정!$E$111)</f>
        <v>0</v>
      </c>
      <c r="I44" s="37" t="n">
        <f aca="false">(I21+I22)*(②시니어_가정!$E$110+②시니어_가정!$E$111)</f>
        <v>0</v>
      </c>
      <c r="J44" s="37" t="n">
        <f aca="false">(J21+J22)*(②시니어_가정!$E$110+②시니어_가정!$E$111)</f>
        <v>0</v>
      </c>
      <c r="K44" s="37" t="n">
        <f aca="false">(K21+K22)*(②시니어_가정!$E$110+②시니어_가정!$E$111)</f>
        <v>0</v>
      </c>
      <c r="L44" s="37" t="n">
        <f aca="false">(L21+L22)*(②시니어_가정!$E$110+②시니어_가정!$E$111)</f>
        <v>0</v>
      </c>
      <c r="M44" s="37" t="n">
        <f aca="false">(M21+M22)*(②시니어_가정!$E$110+②시니어_가정!$E$111)</f>
        <v>0</v>
      </c>
      <c r="N44" s="37" t="n">
        <f aca="false">(N21+N22)*(②시니어_가정!$E$110+②시니어_가정!$E$111)</f>
        <v>0</v>
      </c>
      <c r="O44" s="37" t="n">
        <f aca="false">(O21+O22)*(②시니어_가정!$E$110+②시니어_가정!$E$111)</f>
        <v>0</v>
      </c>
      <c r="P44" s="37" t="n">
        <f aca="false">(P21+P22)*(②시니어_가정!$E$110+②시니어_가정!$E$111)</f>
        <v>0</v>
      </c>
      <c r="Q44" s="37" t="n">
        <f aca="false">(Q21+Q22)*(②시니어_가정!$E$110+②시니어_가정!$E$111)</f>
        <v>0</v>
      </c>
      <c r="R44" s="37" t="n">
        <f aca="false">(R21+R22)*(②시니어_가정!$E$110+②시니어_가정!$E$111)</f>
        <v>0</v>
      </c>
      <c r="S44" s="37" t="n">
        <f aca="false">(S21+S22)*(②시니어_가정!$E$110+②시니어_가정!$E$111)</f>
        <v>0</v>
      </c>
      <c r="T44" s="37" t="n">
        <f aca="false">(T21+T22)*(②시니어_가정!$E$110+②시니어_가정!$E$111)</f>
        <v>0</v>
      </c>
      <c r="U44" s="37" t="n">
        <f aca="false">(U21+U22)*(②시니어_가정!$E$110+②시니어_가정!$E$111)</f>
        <v>0</v>
      </c>
      <c r="V44" s="37" t="n">
        <f aca="false">(V21+V22)*(②시니어_가정!$E$110+②시니어_가정!$E$111)</f>
        <v>0</v>
      </c>
      <c r="W44" s="37" t="n">
        <f aca="false">(W21+W22)*(②시니어_가정!$E$110+②시니어_가정!$E$111)</f>
        <v>0</v>
      </c>
      <c r="X44" s="37" t="n">
        <f aca="false">(X21+X22)*(②시니어_가정!$E$110+②시니어_가정!$E$111)</f>
        <v>0</v>
      </c>
      <c r="Y44" s="37" t="n">
        <f aca="false">(Y21+Y22)*(②시니어_가정!$E$110+②시니어_가정!$E$111)</f>
        <v>0</v>
      </c>
      <c r="Z44" s="37" t="n">
        <f aca="false">(Z21+Z22)*(②시니어_가정!$E$110+②시니어_가정!$E$111)</f>
        <v>0</v>
      </c>
      <c r="AA44" s="37" t="n">
        <f aca="false">(AA21+AA22)*(②시니어_가정!$E$110+②시니어_가정!$E$111)</f>
        <v>0</v>
      </c>
      <c r="AB44" s="37" t="n">
        <f aca="false">(AB21+AB22)*(②시니어_가정!$E$110+②시니어_가정!$E$111)</f>
        <v>0</v>
      </c>
      <c r="AC44" s="37" t="n">
        <f aca="false">(AC21+AC22)*(②시니어_가정!$E$110+②시니어_가정!$E$111)</f>
        <v>0</v>
      </c>
      <c r="AD44" s="37" t="n">
        <f aca="false">(AD21+AD22)*(②시니어_가정!$E$110+②시니어_가정!$E$111)</f>
        <v>0</v>
      </c>
      <c r="AE44" s="37" t="n">
        <f aca="false">(AE21+AE22)*(②시니어_가정!$E$110+②시니어_가정!$E$111)</f>
        <v>0</v>
      </c>
      <c r="AF44" s="37" t="n">
        <f aca="false">(AF21+AF22)*(②시니어_가정!$E$110+②시니어_가정!$E$111)</f>
        <v>0</v>
      </c>
      <c r="AG44" s="37" t="n">
        <f aca="false">(AG21+AG22)*(②시니어_가정!$E$110+②시니어_가정!$E$111)</f>
        <v>0</v>
      </c>
      <c r="AH44" s="37" t="n">
        <f aca="false">(AH21+AH22)*(②시니어_가정!$E$110+②시니어_가정!$E$111)</f>
        <v>0</v>
      </c>
      <c r="AI44" s="37" t="n">
        <f aca="false">(AI21+AI22)*(②시니어_가정!$E$110+②시니어_가정!$E$111)</f>
        <v>0</v>
      </c>
      <c r="AJ44" s="37" t="n">
        <f aca="false">(AJ21+AJ22)*(②시니어_가정!$E$110+②시니어_가정!$E$111)</f>
        <v>0</v>
      </c>
      <c r="AK44" s="37" t="n">
        <f aca="false">(AK21+AK22)*(②시니어_가정!$E$110+②시니어_가정!$E$111)</f>
        <v>0</v>
      </c>
      <c r="AL44" s="37" t="n">
        <f aca="false">(AL21+AL22)*(②시니어_가정!$E$110+②시니어_가정!$E$111)</f>
        <v>0</v>
      </c>
      <c r="AM44" s="37" t="n">
        <f aca="false">(AM21+AM22)*(②시니어_가정!$E$110+②시니어_가정!$E$111)</f>
        <v>0</v>
      </c>
      <c r="AN44" s="37" t="n">
        <f aca="false">(AN21+AN22)*(②시니어_가정!$E$110+②시니어_가정!$E$111)</f>
        <v>0</v>
      </c>
      <c r="AO44" s="37" t="n">
        <f aca="false">(AO21+AO22)*(②시니어_가정!$E$110+②시니어_가정!$E$111)</f>
        <v>0</v>
      </c>
      <c r="AP44" s="37" t="n">
        <f aca="false">(AP21+AP22)*(②시니어_가정!$E$110+②시니어_가정!$E$111)</f>
        <v>0</v>
      </c>
      <c r="AQ44" s="37" t="n">
        <f aca="false">(AQ21+AQ22)*(②시니어_가정!$E$110+②시니어_가정!$E$111)</f>
        <v>0</v>
      </c>
      <c r="AR44" s="37" t="n">
        <f aca="false">(AR21+AR22)*(②시니어_가정!$E$110+②시니어_가정!$E$111)</f>
        <v>0</v>
      </c>
      <c r="AS44" s="37" t="n">
        <f aca="false">(AS21+AS22)*(②시니어_가정!$E$110+②시니어_가정!$E$111)</f>
        <v>0</v>
      </c>
      <c r="AT44" s="37" t="n">
        <f aca="false">(AT21+AT22)*(②시니어_가정!$E$110+②시니어_가정!$E$111)</f>
        <v>0</v>
      </c>
      <c r="AU44" s="37" t="n">
        <f aca="false">(AU21+AU22)*(②시니어_가정!$E$110+②시니어_가정!$E$111)</f>
        <v>0</v>
      </c>
      <c r="AV44" s="37" t="n">
        <f aca="false">(AV21+AV22)*(②시니어_가정!$E$110+②시니어_가정!$E$111)</f>
        <v>0</v>
      </c>
      <c r="AW44" s="37" t="n">
        <f aca="false">(AW21+AW22)*(②시니어_가정!$E$110+②시니어_가정!$E$111)</f>
        <v>0</v>
      </c>
      <c r="AX44" s="37" t="n">
        <f aca="false">(AX21+AX22)*(②시니어_가정!$E$110+②시니어_가정!$E$111)</f>
        <v>0</v>
      </c>
      <c r="AY44" s="37" t="n">
        <f aca="false">(AY21+AY22)*(②시니어_가정!$E$110+②시니어_가정!$E$111)</f>
        <v>0</v>
      </c>
      <c r="AZ44" s="37" t="n">
        <f aca="false">(AZ21+AZ22)*(②시니어_가정!$E$110+②시니어_가정!$E$111)</f>
        <v>0</v>
      </c>
      <c r="BA44" s="37" t="n">
        <f aca="false">(BA21+BA22)*(②시니어_가정!$E$110+②시니어_가정!$E$111)</f>
        <v>0</v>
      </c>
      <c r="BB44" s="37" t="n">
        <f aca="false">(BB21+BB22)*(②시니어_가정!$E$110+②시니어_가정!$E$111)</f>
        <v>0</v>
      </c>
      <c r="BC44" s="37" t="n">
        <f aca="false">(BC21+BC22)*(②시니어_가정!$E$110+②시니어_가정!$E$111)</f>
        <v>0</v>
      </c>
      <c r="BD44" s="37" t="n">
        <f aca="false">(BD21+BD22)*(②시니어_가정!$E$110+②시니어_가정!$E$111)</f>
        <v>0</v>
      </c>
      <c r="BE44" s="37" t="n">
        <f aca="false">(BE21+BE22)*(②시니어_가정!$E$110+②시니어_가정!$E$111)</f>
        <v>0</v>
      </c>
      <c r="BF44" s="37" t="n">
        <f aca="false">(BF21+BF22)*(②시니어_가정!$E$110+②시니어_가정!$E$111)</f>
        <v>0</v>
      </c>
      <c r="BG44" s="37" t="n">
        <f aca="false">(BG21+BG22)*(②시니어_가정!$E$110+②시니어_가정!$E$111)</f>
        <v>0</v>
      </c>
      <c r="BH44" s="37" t="n">
        <f aca="false">(BH21+BH22)*(②시니어_가정!$E$110+②시니어_가정!$E$111)</f>
        <v>0</v>
      </c>
      <c r="BI44" s="37" t="n">
        <f aca="false">(BI21+BI22)*(②시니어_가정!$E$110+②시니어_가정!$E$111)</f>
        <v>0</v>
      </c>
      <c r="BJ44" s="37" t="n">
        <f aca="false">(BJ21+BJ22)*(②시니어_가정!$E$110+②시니어_가정!$E$111)</f>
        <v>0</v>
      </c>
      <c r="BK44" s="37" t="n">
        <f aca="false">(BK21+BK22)*(②시니어_가정!$E$110+②시니어_가정!$E$111)</f>
        <v>0</v>
      </c>
      <c r="BL44" s="37" t="n">
        <f aca="false">(BL21+BL22)*(②시니어_가정!$E$110+②시니어_가정!$E$111)</f>
        <v>0</v>
      </c>
      <c r="BM44" s="37" t="n">
        <f aca="false">(BM21+BM22)*(②시니어_가정!$E$110+②시니어_가정!$E$111)</f>
        <v>1177.416</v>
      </c>
      <c r="BN44" s="37" t="n">
        <f aca="false">(BN21+BN22)*(②시니어_가정!$E$110+②시니어_가정!$E$111)</f>
        <v>1177.416</v>
      </c>
      <c r="BO44" s="37" t="n">
        <f aca="false">(BO21+BO22)*(②시니어_가정!$E$110+②시니어_가정!$E$111)</f>
        <v>1177.416</v>
      </c>
      <c r="BP44" s="37" t="n">
        <f aca="false">(BP21+BP22)*(②시니어_가정!$E$110+②시니어_가정!$E$111)</f>
        <v>1177.416</v>
      </c>
      <c r="BQ44" s="37" t="n">
        <f aca="false">(BQ21+BQ22)*(②시니어_가정!$E$110+②시니어_가정!$E$111)</f>
        <v>1177.416</v>
      </c>
      <c r="BR44" s="37" t="n">
        <f aca="false">(BR21+BR22)*(②시니어_가정!$E$110+②시니어_가정!$E$111)</f>
        <v>1177.416</v>
      </c>
      <c r="BS44" s="37" t="n">
        <f aca="false">(BS21+BS22)*(②시니어_가정!$E$110+②시니어_가정!$E$111)</f>
        <v>1177.416</v>
      </c>
      <c r="BT44" s="37" t="n">
        <f aca="false">(BT21+BT22)*(②시니어_가정!$E$110+②시니어_가정!$E$111)</f>
        <v>1177.416</v>
      </c>
      <c r="BU44" s="37" t="n">
        <f aca="false">(BU21+BU22)*(②시니어_가정!$E$110+②시니어_가정!$E$111)</f>
        <v>1177.416</v>
      </c>
      <c r="BV44" s="37" t="n">
        <f aca="false">(BV21+BV22)*(②시니어_가정!$E$110+②시니어_가정!$E$111)</f>
        <v>1177.416</v>
      </c>
      <c r="BW44" s="37" t="n">
        <f aca="false">(BW21+BW22)*(②시니어_가정!$E$110+②시니어_가정!$E$111)</f>
        <v>1177.416</v>
      </c>
      <c r="BX44" s="37" t="n">
        <f aca="false">(BX21+BX22)*(②시니어_가정!$E$110+②시니어_가정!$E$111)</f>
        <v>1177.416</v>
      </c>
      <c r="BY44" s="37" t="n">
        <f aca="false">(BY21+BY22)*(②시니어_가정!$E$110+②시니어_가정!$E$111)</f>
        <v>1501.2054</v>
      </c>
      <c r="BZ44" s="37" t="n">
        <f aca="false">(BZ21+BZ22)*(②시니어_가정!$E$110+②시니어_가정!$E$111)</f>
        <v>1501.2054</v>
      </c>
      <c r="CA44" s="37" t="n">
        <f aca="false">(CA21+CA22)*(②시니어_가정!$E$110+②시니어_가정!$E$111)</f>
        <v>1501.2054</v>
      </c>
      <c r="CB44" s="37" t="n">
        <f aca="false">(CB21+CB22)*(②시니어_가정!$E$110+②시니어_가정!$E$111)</f>
        <v>1501.2054</v>
      </c>
      <c r="CC44" s="37" t="n">
        <f aca="false">(CC21+CC22)*(②시니어_가정!$E$110+②시니어_가정!$E$111)</f>
        <v>1501.2054</v>
      </c>
      <c r="CD44" s="37" t="n">
        <f aca="false">(CD21+CD22)*(②시니어_가정!$E$110+②시니어_가정!$E$111)</f>
        <v>1501.2054</v>
      </c>
      <c r="CE44" s="37" t="n">
        <f aca="false">(CE21+CE22)*(②시니어_가정!$E$110+②시니어_가정!$E$111)</f>
        <v>1501.2054</v>
      </c>
      <c r="CF44" s="37" t="n">
        <f aca="false">(CF21+CF22)*(②시니어_가정!$E$110+②시니어_가정!$E$111)</f>
        <v>1501.2054</v>
      </c>
      <c r="CG44" s="37" t="n">
        <f aca="false">(CG21+CG22)*(②시니어_가정!$E$110+②시니어_가정!$E$111)</f>
        <v>1501.2054</v>
      </c>
      <c r="CH44" s="37" t="n">
        <f aca="false">(CH21+CH22)*(②시니어_가정!$E$110+②시니어_가정!$E$111)</f>
        <v>1501.2054</v>
      </c>
      <c r="CI44" s="37" t="n">
        <f aca="false">(CI21+CI22)*(②시니어_가정!$E$110+②시니어_가정!$E$111)</f>
        <v>1501.2054</v>
      </c>
      <c r="CJ44" s="37" t="n">
        <f aca="false">(CJ21+CJ22)*(②시니어_가정!$E$110+②시니어_가정!$E$111)</f>
        <v>1501.2054</v>
      </c>
      <c r="CK44" s="37" t="n">
        <f aca="false">(CK21+CK22)*(②시니어_가정!$E$110+②시니어_가정!$E$111)</f>
        <v>1531.229508</v>
      </c>
      <c r="CL44" s="37" t="n">
        <f aca="false">(CL21+CL22)*(②시니어_가정!$E$110+②시니어_가정!$E$111)</f>
        <v>1531.229508</v>
      </c>
      <c r="CM44" s="37" t="n">
        <f aca="false">(CM21+CM22)*(②시니어_가정!$E$110+②시니어_가정!$E$111)</f>
        <v>1531.229508</v>
      </c>
      <c r="CN44" s="37" t="n">
        <f aca="false">(CN21+CN22)*(②시니어_가정!$E$110+②시니어_가정!$E$111)</f>
        <v>1531.229508</v>
      </c>
      <c r="CO44" s="37" t="n">
        <f aca="false">(CO21+CO22)*(②시니어_가정!$E$110+②시니어_가정!$E$111)</f>
        <v>1531.229508</v>
      </c>
      <c r="CP44" s="37" t="n">
        <f aca="false">(CP21+CP22)*(②시니어_가정!$E$110+②시니어_가정!$E$111)</f>
        <v>1531.229508</v>
      </c>
      <c r="CQ44" s="37" t="n">
        <f aca="false">(CQ21+CQ22)*(②시니어_가정!$E$110+②시니어_가정!$E$111)</f>
        <v>1531.229508</v>
      </c>
      <c r="CR44" s="37" t="n">
        <f aca="false">(CR21+CR22)*(②시니어_가정!$E$110+②시니어_가정!$E$111)</f>
        <v>1531.229508</v>
      </c>
      <c r="CS44" s="37" t="n">
        <f aca="false">(CS21+CS22)*(②시니어_가정!$E$110+②시니어_가정!$E$111)</f>
        <v>1531.229508</v>
      </c>
      <c r="CT44" s="37" t="n">
        <f aca="false">(CT21+CT22)*(②시니어_가정!$E$110+②시니어_가정!$E$111)</f>
        <v>1531.229508</v>
      </c>
      <c r="CU44" s="37" t="n">
        <f aca="false">(CU21+CU22)*(②시니어_가정!$E$110+②시니어_가정!$E$111)</f>
        <v>1531.229508</v>
      </c>
      <c r="CV44" s="37" t="n">
        <f aca="false">(CV21+CV22)*(②시니어_가정!$E$110+②시니어_가정!$E$111)</f>
        <v>1531.229508</v>
      </c>
      <c r="CW44" s="37" t="n">
        <f aca="false">(CW21+CW22)*(②시니어_가정!$E$110+②시니어_가정!$E$111)</f>
        <v>1561.85409816</v>
      </c>
      <c r="CX44" s="37" t="n">
        <f aca="false">(CX21+CX22)*(②시니어_가정!$E$110+②시니어_가정!$E$111)</f>
        <v>1561.85409816</v>
      </c>
      <c r="CY44" s="37" t="n">
        <f aca="false">(CY21+CY22)*(②시니어_가정!$E$110+②시니어_가정!$E$111)</f>
        <v>1561.85409816</v>
      </c>
      <c r="CZ44" s="37" t="n">
        <f aca="false">(CZ21+CZ22)*(②시니어_가정!$E$110+②시니어_가정!$E$111)</f>
        <v>1561.85409816</v>
      </c>
      <c r="DA44" s="37" t="n">
        <f aca="false">(DA21+DA22)*(②시니어_가정!$E$110+②시니어_가정!$E$111)</f>
        <v>1561.85409816</v>
      </c>
      <c r="DB44" s="37" t="n">
        <f aca="false">(DB21+DB22)*(②시니어_가정!$E$110+②시니어_가정!$E$111)</f>
        <v>1561.85409816</v>
      </c>
      <c r="DC44" s="37" t="n">
        <f aca="false">(DC21+DC22)*(②시니어_가정!$E$110+②시니어_가정!$E$111)</f>
        <v>1561.85409816</v>
      </c>
      <c r="DD44" s="37" t="n">
        <f aca="false">(DD21+DD22)*(②시니어_가정!$E$110+②시니어_가정!$E$111)</f>
        <v>1561.85409816</v>
      </c>
      <c r="DE44" s="37" t="n">
        <f aca="false">(DE21+DE22)*(②시니어_가정!$E$110+②시니어_가정!$E$111)</f>
        <v>1561.85409816</v>
      </c>
      <c r="DF44" s="37" t="n">
        <f aca="false">(DF21+DF22)*(②시니어_가정!$E$110+②시니어_가정!$E$111)</f>
        <v>1561.85409816</v>
      </c>
      <c r="DG44" s="37" t="n">
        <f aca="false">(DG21+DG22)*(②시니어_가정!$E$110+②시니어_가정!$E$111)</f>
        <v>1561.85409816</v>
      </c>
      <c r="DH44" s="37" t="n">
        <f aca="false">(DH21+DH22)*(②시니어_가정!$E$110+②시니어_가정!$E$111)</f>
        <v>1561.85409816</v>
      </c>
      <c r="DI44" s="37" t="n">
        <f aca="false">(DI21+DI22)*(②시니어_가정!$E$110+②시니어_가정!$E$111)</f>
        <v>1593.0911801232</v>
      </c>
      <c r="DJ44" s="37" t="n">
        <f aca="false">(DJ21+DJ22)*(②시니어_가정!$E$110+②시니어_가정!$E$111)</f>
        <v>1593.0911801232</v>
      </c>
      <c r="DK44" s="37" t="n">
        <f aca="false">(DK21+DK22)*(②시니어_가정!$E$110+②시니어_가정!$E$111)</f>
        <v>1593.0911801232</v>
      </c>
      <c r="DL44" s="37" t="n">
        <f aca="false">(DL21+DL22)*(②시니어_가정!$E$110+②시니어_가정!$E$111)</f>
        <v>1593.0911801232</v>
      </c>
      <c r="DM44" s="37" t="n">
        <f aca="false">(DM21+DM22)*(②시니어_가정!$E$110+②시니어_가정!$E$111)</f>
        <v>1593.0911801232</v>
      </c>
      <c r="DN44" s="37" t="n">
        <f aca="false">(DN21+DN22)*(②시니어_가정!$E$110+②시니어_가정!$E$111)</f>
        <v>1593.0911801232</v>
      </c>
      <c r="DO44" s="37" t="n">
        <f aca="false">(DO21+DO22)*(②시니어_가정!$E$110+②시니어_가정!$E$111)</f>
        <v>1593.0911801232</v>
      </c>
      <c r="DP44" s="37" t="n">
        <f aca="false">(DP21+DP22)*(②시니어_가정!$E$110+②시니어_가정!$E$111)</f>
        <v>1593.0911801232</v>
      </c>
      <c r="DQ44" s="37" t="n">
        <f aca="false">(DQ21+DQ22)*(②시니어_가정!$E$110+②시니어_가정!$E$111)</f>
        <v>1593.0911801232</v>
      </c>
      <c r="DR44" s="37" t="n">
        <f aca="false">(DR21+DR22)*(②시니어_가정!$E$110+②시니어_가정!$E$111)</f>
        <v>1593.0911801232</v>
      </c>
      <c r="DS44" s="37" t="n">
        <f aca="false">(DS21+DS22)*(②시니어_가정!$E$110+②시니어_가정!$E$111)</f>
        <v>1593.0911801232</v>
      </c>
      <c r="DT44" s="37" t="n">
        <f aca="false">(DT21+DT22)*(②시니어_가정!$E$110+②시니어_가정!$E$111)</f>
        <v>1593.0911801232</v>
      </c>
      <c r="DU44" s="37" t="n">
        <f aca="false">(DU21+DU22)*(②시니어_가정!$E$110+②시니어_가정!$E$111)</f>
        <v>0</v>
      </c>
      <c r="DV44" s="37" t="n">
        <f aca="false">(DV21+DV22)*(②시니어_가정!$E$110+②시니어_가정!$E$111)</f>
        <v>0</v>
      </c>
      <c r="DW44" s="37" t="n">
        <f aca="false">(DW21+DW22)*(②시니어_가정!$E$110+②시니어_가정!$E$111)</f>
        <v>0</v>
      </c>
      <c r="DX44" s="37" t="n">
        <f aca="false">(DX21+DX22)*(②시니어_가정!$E$110+②시니어_가정!$E$111)</f>
        <v>0</v>
      </c>
      <c r="DY44" s="37" t="n">
        <f aca="false">(DY21+DY22)*(②시니어_가정!$E$110+②시니어_가정!$E$111)</f>
        <v>0</v>
      </c>
      <c r="DZ44" s="37" t="n">
        <f aca="false">(DZ21+DZ22)*(②시니어_가정!$E$110+②시니어_가정!$E$111)</f>
        <v>0</v>
      </c>
      <c r="EA44" s="37" t="n">
        <f aca="false">(EA21+EA22)*(②시니어_가정!$E$110+②시니어_가정!$E$111)</f>
        <v>0</v>
      </c>
      <c r="EB44" s="37" t="n">
        <f aca="false">(EB21+EB22)*(②시니어_가정!$E$110+②시니어_가정!$E$111)</f>
        <v>0</v>
      </c>
      <c r="EC44" s="37" t="n">
        <f aca="false">(EC21+EC22)*(②시니어_가정!$E$110+②시니어_가정!$E$111)</f>
        <v>0</v>
      </c>
      <c r="ED44" s="37" t="n">
        <f aca="false">(ED21+ED22)*(②시니어_가정!$E$110+②시니어_가정!$E$111)</f>
        <v>0</v>
      </c>
      <c r="EE44" s="37" t="n">
        <f aca="false">(EE21+EE22)*(②시니어_가정!$E$110+②시니어_가정!$E$111)</f>
        <v>0</v>
      </c>
      <c r="EF44" s="37" t="n">
        <f aca="false">(EF21+EF22)*(②시니어_가정!$E$110+②시니어_가정!$E$111)</f>
        <v>0</v>
      </c>
    </row>
    <row r="45" customFormat="false" ht="15" hidden="false" customHeight="false" outlineLevel="0" collapsed="false">
      <c r="A45" s="36" t="s">
        <v>593</v>
      </c>
      <c r="B45" s="278" t="s">
        <v>21</v>
      </c>
      <c r="C45" s="279" t="n">
        <f aca="false">SUM(E45:EF45)</f>
        <v>0</v>
      </c>
      <c r="E45" s="37" t="n">
        <f aca="false">(E24+E25)*(②시니어_가정!$E$140+②시니어_가정!$E$141)</f>
        <v>0</v>
      </c>
      <c r="F45" s="37" t="n">
        <f aca="false">(F24+F25)*(②시니어_가정!$E$140+②시니어_가정!$E$141)</f>
        <v>0</v>
      </c>
      <c r="G45" s="37" t="n">
        <f aca="false">(G24+G25)*(②시니어_가정!$E$140+②시니어_가정!$E$141)</f>
        <v>0</v>
      </c>
      <c r="H45" s="37" t="n">
        <f aca="false">(H24+H25)*(②시니어_가정!$E$140+②시니어_가정!$E$141)</f>
        <v>0</v>
      </c>
      <c r="I45" s="37" t="n">
        <f aca="false">(I24+I25)*(②시니어_가정!$E$140+②시니어_가정!$E$141)</f>
        <v>0</v>
      </c>
      <c r="J45" s="37" t="n">
        <f aca="false">(J24+J25)*(②시니어_가정!$E$140+②시니어_가정!$E$141)</f>
        <v>0</v>
      </c>
      <c r="K45" s="37" t="n">
        <f aca="false">(K24+K25)*(②시니어_가정!$E$140+②시니어_가정!$E$141)</f>
        <v>0</v>
      </c>
      <c r="L45" s="37" t="n">
        <f aca="false">(L24+L25)*(②시니어_가정!$E$140+②시니어_가정!$E$141)</f>
        <v>0</v>
      </c>
      <c r="M45" s="37" t="n">
        <f aca="false">(M24+M25)*(②시니어_가정!$E$140+②시니어_가정!$E$141)</f>
        <v>0</v>
      </c>
      <c r="N45" s="37" t="n">
        <f aca="false">(N24+N25)*(②시니어_가정!$E$140+②시니어_가정!$E$141)</f>
        <v>0</v>
      </c>
      <c r="O45" s="37" t="n">
        <f aca="false">(O24+O25)*(②시니어_가정!$E$140+②시니어_가정!$E$141)</f>
        <v>0</v>
      </c>
      <c r="P45" s="37" t="n">
        <f aca="false">(P24+P25)*(②시니어_가정!$E$140+②시니어_가정!$E$141)</f>
        <v>0</v>
      </c>
      <c r="Q45" s="37" t="n">
        <f aca="false">(Q24+Q25)*(②시니어_가정!$E$140+②시니어_가정!$E$141)</f>
        <v>0</v>
      </c>
      <c r="R45" s="37" t="n">
        <f aca="false">(R24+R25)*(②시니어_가정!$E$140+②시니어_가정!$E$141)</f>
        <v>0</v>
      </c>
      <c r="S45" s="37" t="n">
        <f aca="false">(S24+S25)*(②시니어_가정!$E$140+②시니어_가정!$E$141)</f>
        <v>0</v>
      </c>
      <c r="T45" s="37" t="n">
        <f aca="false">(T24+T25)*(②시니어_가정!$E$140+②시니어_가정!$E$141)</f>
        <v>0</v>
      </c>
      <c r="U45" s="37" t="n">
        <f aca="false">(U24+U25)*(②시니어_가정!$E$140+②시니어_가정!$E$141)</f>
        <v>0</v>
      </c>
      <c r="V45" s="37" t="n">
        <f aca="false">(V24+V25)*(②시니어_가정!$E$140+②시니어_가정!$E$141)</f>
        <v>0</v>
      </c>
      <c r="W45" s="37" t="n">
        <f aca="false">(W24+W25)*(②시니어_가정!$E$140+②시니어_가정!$E$141)</f>
        <v>0</v>
      </c>
      <c r="X45" s="37" t="n">
        <f aca="false">(X24+X25)*(②시니어_가정!$E$140+②시니어_가정!$E$141)</f>
        <v>0</v>
      </c>
      <c r="Y45" s="37" t="n">
        <f aca="false">(Y24+Y25)*(②시니어_가정!$E$140+②시니어_가정!$E$141)</f>
        <v>0</v>
      </c>
      <c r="Z45" s="37" t="n">
        <f aca="false">(Z24+Z25)*(②시니어_가정!$E$140+②시니어_가정!$E$141)</f>
        <v>0</v>
      </c>
      <c r="AA45" s="37" t="n">
        <f aca="false">(AA24+AA25)*(②시니어_가정!$E$140+②시니어_가정!$E$141)</f>
        <v>0</v>
      </c>
      <c r="AB45" s="37" t="n">
        <f aca="false">(AB24+AB25)*(②시니어_가정!$E$140+②시니어_가정!$E$141)</f>
        <v>0</v>
      </c>
      <c r="AC45" s="37" t="n">
        <f aca="false">(AC24+AC25)*(②시니어_가정!$E$140+②시니어_가정!$E$141)</f>
        <v>0</v>
      </c>
      <c r="AD45" s="37" t="n">
        <f aca="false">(AD24+AD25)*(②시니어_가정!$E$140+②시니어_가정!$E$141)</f>
        <v>0</v>
      </c>
      <c r="AE45" s="37" t="n">
        <f aca="false">(AE24+AE25)*(②시니어_가정!$E$140+②시니어_가정!$E$141)</f>
        <v>0</v>
      </c>
      <c r="AF45" s="37" t="n">
        <f aca="false">(AF24+AF25)*(②시니어_가정!$E$140+②시니어_가정!$E$141)</f>
        <v>0</v>
      </c>
      <c r="AG45" s="37" t="n">
        <f aca="false">(AG24+AG25)*(②시니어_가정!$E$140+②시니어_가정!$E$141)</f>
        <v>0</v>
      </c>
      <c r="AH45" s="37" t="n">
        <f aca="false">(AH24+AH25)*(②시니어_가정!$E$140+②시니어_가정!$E$141)</f>
        <v>0</v>
      </c>
      <c r="AI45" s="37" t="n">
        <f aca="false">(AI24+AI25)*(②시니어_가정!$E$140+②시니어_가정!$E$141)</f>
        <v>0</v>
      </c>
      <c r="AJ45" s="37" t="n">
        <f aca="false">(AJ24+AJ25)*(②시니어_가정!$E$140+②시니어_가정!$E$141)</f>
        <v>0</v>
      </c>
      <c r="AK45" s="37" t="n">
        <f aca="false">(AK24+AK25)*(②시니어_가정!$E$140+②시니어_가정!$E$141)</f>
        <v>0</v>
      </c>
      <c r="AL45" s="37" t="n">
        <f aca="false">(AL24+AL25)*(②시니어_가정!$E$140+②시니어_가정!$E$141)</f>
        <v>0</v>
      </c>
      <c r="AM45" s="37" t="n">
        <f aca="false">(AM24+AM25)*(②시니어_가정!$E$140+②시니어_가정!$E$141)</f>
        <v>0</v>
      </c>
      <c r="AN45" s="37" t="n">
        <f aca="false">(AN24+AN25)*(②시니어_가정!$E$140+②시니어_가정!$E$141)</f>
        <v>0</v>
      </c>
      <c r="AO45" s="37" t="n">
        <f aca="false">(AO24+AO25)*(②시니어_가정!$E$140+②시니어_가정!$E$141)</f>
        <v>0</v>
      </c>
      <c r="AP45" s="37" t="n">
        <f aca="false">(AP24+AP25)*(②시니어_가정!$E$140+②시니어_가정!$E$141)</f>
        <v>0</v>
      </c>
      <c r="AQ45" s="37" t="n">
        <f aca="false">(AQ24+AQ25)*(②시니어_가정!$E$140+②시니어_가정!$E$141)</f>
        <v>0</v>
      </c>
      <c r="AR45" s="37" t="n">
        <f aca="false">(AR24+AR25)*(②시니어_가정!$E$140+②시니어_가정!$E$141)</f>
        <v>0</v>
      </c>
      <c r="AS45" s="37" t="n">
        <f aca="false">(AS24+AS25)*(②시니어_가정!$E$140+②시니어_가정!$E$141)</f>
        <v>0</v>
      </c>
      <c r="AT45" s="37" t="n">
        <f aca="false">(AT24+AT25)*(②시니어_가정!$E$140+②시니어_가정!$E$141)</f>
        <v>0</v>
      </c>
      <c r="AU45" s="37" t="n">
        <f aca="false">(AU24+AU25)*(②시니어_가정!$E$140+②시니어_가정!$E$141)</f>
        <v>0</v>
      </c>
      <c r="AV45" s="37" t="n">
        <f aca="false">(AV24+AV25)*(②시니어_가정!$E$140+②시니어_가정!$E$141)</f>
        <v>0</v>
      </c>
      <c r="AW45" s="37" t="n">
        <f aca="false">(AW24+AW25)*(②시니어_가정!$E$140+②시니어_가정!$E$141)</f>
        <v>0</v>
      </c>
      <c r="AX45" s="37" t="n">
        <f aca="false">(AX24+AX25)*(②시니어_가정!$E$140+②시니어_가정!$E$141)</f>
        <v>0</v>
      </c>
      <c r="AY45" s="37" t="n">
        <f aca="false">(AY24+AY25)*(②시니어_가정!$E$140+②시니어_가정!$E$141)</f>
        <v>0</v>
      </c>
      <c r="AZ45" s="37" t="n">
        <f aca="false">(AZ24+AZ25)*(②시니어_가정!$E$140+②시니어_가정!$E$141)</f>
        <v>0</v>
      </c>
      <c r="BA45" s="37" t="n">
        <f aca="false">(BA24+BA25)*(②시니어_가정!$E$140+②시니어_가정!$E$141)</f>
        <v>0</v>
      </c>
      <c r="BB45" s="37" t="n">
        <f aca="false">(BB24+BB25)*(②시니어_가정!$E$140+②시니어_가정!$E$141)</f>
        <v>0</v>
      </c>
      <c r="BC45" s="37" t="n">
        <f aca="false">(BC24+BC25)*(②시니어_가정!$E$140+②시니어_가정!$E$141)</f>
        <v>0</v>
      </c>
      <c r="BD45" s="37" t="n">
        <f aca="false">(BD24+BD25)*(②시니어_가정!$E$140+②시니어_가정!$E$141)</f>
        <v>0</v>
      </c>
      <c r="BE45" s="37" t="n">
        <f aca="false">(BE24+BE25)*(②시니어_가정!$E$140+②시니어_가정!$E$141)</f>
        <v>0</v>
      </c>
      <c r="BF45" s="37" t="n">
        <f aca="false">(BF24+BF25)*(②시니어_가정!$E$140+②시니어_가정!$E$141)</f>
        <v>0</v>
      </c>
      <c r="BG45" s="37" t="n">
        <f aca="false">(BG24+BG25)*(②시니어_가정!$E$140+②시니어_가정!$E$141)</f>
        <v>0</v>
      </c>
      <c r="BH45" s="37" t="n">
        <f aca="false">(BH24+BH25)*(②시니어_가정!$E$140+②시니어_가정!$E$141)</f>
        <v>0</v>
      </c>
      <c r="BI45" s="37" t="n">
        <f aca="false">(BI24+BI25)*(②시니어_가정!$E$140+②시니어_가정!$E$141)</f>
        <v>0</v>
      </c>
      <c r="BJ45" s="37" t="n">
        <f aca="false">(BJ24+BJ25)*(②시니어_가정!$E$140+②시니어_가정!$E$141)</f>
        <v>0</v>
      </c>
      <c r="BK45" s="37" t="n">
        <f aca="false">(BK24+BK25)*(②시니어_가정!$E$140+②시니어_가정!$E$141)</f>
        <v>0</v>
      </c>
      <c r="BL45" s="37" t="n">
        <f aca="false">(BL24+BL25)*(②시니어_가정!$E$140+②시니어_가정!$E$141)</f>
        <v>0</v>
      </c>
      <c r="BM45" s="37" t="n">
        <f aca="false">(BM24+BM25)*(②시니어_가정!$E$140+②시니어_가정!$E$141)</f>
        <v>0</v>
      </c>
      <c r="BN45" s="37" t="n">
        <f aca="false">(BN24+BN25)*(②시니어_가정!$E$140+②시니어_가정!$E$141)</f>
        <v>0</v>
      </c>
      <c r="BO45" s="37" t="n">
        <f aca="false">(BO24+BO25)*(②시니어_가정!$E$140+②시니어_가정!$E$141)</f>
        <v>0</v>
      </c>
      <c r="BP45" s="37" t="n">
        <f aca="false">(BP24+BP25)*(②시니어_가정!$E$140+②시니어_가정!$E$141)</f>
        <v>0</v>
      </c>
      <c r="BQ45" s="37" t="n">
        <f aca="false">(BQ24+BQ25)*(②시니어_가정!$E$140+②시니어_가정!$E$141)</f>
        <v>0</v>
      </c>
      <c r="BR45" s="37" t="n">
        <f aca="false">(BR24+BR25)*(②시니어_가정!$E$140+②시니어_가정!$E$141)</f>
        <v>0</v>
      </c>
      <c r="BS45" s="37" t="n">
        <f aca="false">(BS24+BS25)*(②시니어_가정!$E$140+②시니어_가정!$E$141)</f>
        <v>0</v>
      </c>
      <c r="BT45" s="37" t="n">
        <f aca="false">(BT24+BT25)*(②시니어_가정!$E$140+②시니어_가정!$E$141)</f>
        <v>0</v>
      </c>
      <c r="BU45" s="37" t="n">
        <f aca="false">(BU24+BU25)*(②시니어_가정!$E$140+②시니어_가정!$E$141)</f>
        <v>0</v>
      </c>
      <c r="BV45" s="37" t="n">
        <f aca="false">(BV24+BV25)*(②시니어_가정!$E$140+②시니어_가정!$E$141)</f>
        <v>0</v>
      </c>
      <c r="BW45" s="37" t="n">
        <f aca="false">(BW24+BW25)*(②시니어_가정!$E$140+②시니어_가정!$E$141)</f>
        <v>0</v>
      </c>
      <c r="BX45" s="37" t="n">
        <f aca="false">(BX24+BX25)*(②시니어_가정!$E$140+②시니어_가정!$E$141)</f>
        <v>0</v>
      </c>
      <c r="BY45" s="37" t="n">
        <f aca="false">(BY24+BY25)*(②시니어_가정!$E$140+②시니어_가정!$E$141)</f>
        <v>0</v>
      </c>
      <c r="BZ45" s="37" t="n">
        <f aca="false">(BZ24+BZ25)*(②시니어_가정!$E$140+②시니어_가정!$E$141)</f>
        <v>0</v>
      </c>
      <c r="CA45" s="37" t="n">
        <f aca="false">(CA24+CA25)*(②시니어_가정!$E$140+②시니어_가정!$E$141)</f>
        <v>0</v>
      </c>
      <c r="CB45" s="37" t="n">
        <f aca="false">(CB24+CB25)*(②시니어_가정!$E$140+②시니어_가정!$E$141)</f>
        <v>0</v>
      </c>
      <c r="CC45" s="37" t="n">
        <f aca="false">(CC24+CC25)*(②시니어_가정!$E$140+②시니어_가정!$E$141)</f>
        <v>0</v>
      </c>
      <c r="CD45" s="37" t="n">
        <f aca="false">(CD24+CD25)*(②시니어_가정!$E$140+②시니어_가정!$E$141)</f>
        <v>0</v>
      </c>
      <c r="CE45" s="37" t="n">
        <f aca="false">(CE24+CE25)*(②시니어_가정!$E$140+②시니어_가정!$E$141)</f>
        <v>0</v>
      </c>
      <c r="CF45" s="37" t="n">
        <f aca="false">(CF24+CF25)*(②시니어_가정!$E$140+②시니어_가정!$E$141)</f>
        <v>0</v>
      </c>
      <c r="CG45" s="37" t="n">
        <f aca="false">(CG24+CG25)*(②시니어_가정!$E$140+②시니어_가정!$E$141)</f>
        <v>0</v>
      </c>
      <c r="CH45" s="37" t="n">
        <f aca="false">(CH24+CH25)*(②시니어_가정!$E$140+②시니어_가정!$E$141)</f>
        <v>0</v>
      </c>
      <c r="CI45" s="37" t="n">
        <f aca="false">(CI24+CI25)*(②시니어_가정!$E$140+②시니어_가정!$E$141)</f>
        <v>0</v>
      </c>
      <c r="CJ45" s="37" t="n">
        <f aca="false">(CJ24+CJ25)*(②시니어_가정!$E$140+②시니어_가정!$E$141)</f>
        <v>0</v>
      </c>
      <c r="CK45" s="37" t="n">
        <f aca="false">(CK24+CK25)*(②시니어_가정!$E$140+②시니어_가정!$E$141)</f>
        <v>0</v>
      </c>
      <c r="CL45" s="37" t="n">
        <f aca="false">(CL24+CL25)*(②시니어_가정!$E$140+②시니어_가정!$E$141)</f>
        <v>0</v>
      </c>
      <c r="CM45" s="37" t="n">
        <f aca="false">(CM24+CM25)*(②시니어_가정!$E$140+②시니어_가정!$E$141)</f>
        <v>0</v>
      </c>
      <c r="CN45" s="37" t="n">
        <f aca="false">(CN24+CN25)*(②시니어_가정!$E$140+②시니어_가정!$E$141)</f>
        <v>0</v>
      </c>
      <c r="CO45" s="37" t="n">
        <f aca="false">(CO24+CO25)*(②시니어_가정!$E$140+②시니어_가정!$E$141)</f>
        <v>0</v>
      </c>
      <c r="CP45" s="37" t="n">
        <f aca="false">(CP24+CP25)*(②시니어_가정!$E$140+②시니어_가정!$E$141)</f>
        <v>0</v>
      </c>
      <c r="CQ45" s="37" t="n">
        <f aca="false">(CQ24+CQ25)*(②시니어_가정!$E$140+②시니어_가정!$E$141)</f>
        <v>0</v>
      </c>
      <c r="CR45" s="37" t="n">
        <f aca="false">(CR24+CR25)*(②시니어_가정!$E$140+②시니어_가정!$E$141)</f>
        <v>0</v>
      </c>
      <c r="CS45" s="37" t="n">
        <f aca="false">(CS24+CS25)*(②시니어_가정!$E$140+②시니어_가정!$E$141)</f>
        <v>0</v>
      </c>
      <c r="CT45" s="37" t="n">
        <f aca="false">(CT24+CT25)*(②시니어_가정!$E$140+②시니어_가정!$E$141)</f>
        <v>0</v>
      </c>
      <c r="CU45" s="37" t="n">
        <f aca="false">(CU24+CU25)*(②시니어_가정!$E$140+②시니어_가정!$E$141)</f>
        <v>0</v>
      </c>
      <c r="CV45" s="37" t="n">
        <f aca="false">(CV24+CV25)*(②시니어_가정!$E$140+②시니어_가정!$E$141)</f>
        <v>0</v>
      </c>
      <c r="CW45" s="37" t="n">
        <f aca="false">(CW24+CW25)*(②시니어_가정!$E$140+②시니어_가정!$E$141)</f>
        <v>0</v>
      </c>
      <c r="CX45" s="37" t="n">
        <f aca="false">(CX24+CX25)*(②시니어_가정!$E$140+②시니어_가정!$E$141)</f>
        <v>0</v>
      </c>
      <c r="CY45" s="37" t="n">
        <f aca="false">(CY24+CY25)*(②시니어_가정!$E$140+②시니어_가정!$E$141)</f>
        <v>0</v>
      </c>
      <c r="CZ45" s="37" t="n">
        <f aca="false">(CZ24+CZ25)*(②시니어_가정!$E$140+②시니어_가정!$E$141)</f>
        <v>0</v>
      </c>
      <c r="DA45" s="37" t="n">
        <f aca="false">(DA24+DA25)*(②시니어_가정!$E$140+②시니어_가정!$E$141)</f>
        <v>0</v>
      </c>
      <c r="DB45" s="37" t="n">
        <f aca="false">(DB24+DB25)*(②시니어_가정!$E$140+②시니어_가정!$E$141)</f>
        <v>0</v>
      </c>
      <c r="DC45" s="37" t="n">
        <f aca="false">(DC24+DC25)*(②시니어_가정!$E$140+②시니어_가정!$E$141)</f>
        <v>0</v>
      </c>
      <c r="DD45" s="37" t="n">
        <f aca="false">(DD24+DD25)*(②시니어_가정!$E$140+②시니어_가정!$E$141)</f>
        <v>0</v>
      </c>
      <c r="DE45" s="37" t="n">
        <f aca="false">(DE24+DE25)*(②시니어_가정!$E$140+②시니어_가정!$E$141)</f>
        <v>0</v>
      </c>
      <c r="DF45" s="37" t="n">
        <f aca="false">(DF24+DF25)*(②시니어_가정!$E$140+②시니어_가정!$E$141)</f>
        <v>0</v>
      </c>
      <c r="DG45" s="37" t="n">
        <f aca="false">(DG24+DG25)*(②시니어_가정!$E$140+②시니어_가정!$E$141)</f>
        <v>0</v>
      </c>
      <c r="DH45" s="37" t="n">
        <f aca="false">(DH24+DH25)*(②시니어_가정!$E$140+②시니어_가정!$E$141)</f>
        <v>0</v>
      </c>
      <c r="DI45" s="37" t="n">
        <f aca="false">(DI24+DI25)*(②시니어_가정!$E$140+②시니어_가정!$E$141)</f>
        <v>0</v>
      </c>
      <c r="DJ45" s="37" t="n">
        <f aca="false">(DJ24+DJ25)*(②시니어_가정!$E$140+②시니어_가정!$E$141)</f>
        <v>0</v>
      </c>
      <c r="DK45" s="37" t="n">
        <f aca="false">(DK24+DK25)*(②시니어_가정!$E$140+②시니어_가정!$E$141)</f>
        <v>0</v>
      </c>
      <c r="DL45" s="37" t="n">
        <f aca="false">(DL24+DL25)*(②시니어_가정!$E$140+②시니어_가정!$E$141)</f>
        <v>0</v>
      </c>
      <c r="DM45" s="37" t="n">
        <f aca="false">(DM24+DM25)*(②시니어_가정!$E$140+②시니어_가정!$E$141)</f>
        <v>0</v>
      </c>
      <c r="DN45" s="37" t="n">
        <f aca="false">(DN24+DN25)*(②시니어_가정!$E$140+②시니어_가정!$E$141)</f>
        <v>0</v>
      </c>
      <c r="DO45" s="37" t="n">
        <f aca="false">(DO24+DO25)*(②시니어_가정!$E$140+②시니어_가정!$E$141)</f>
        <v>0</v>
      </c>
      <c r="DP45" s="37" t="n">
        <f aca="false">(DP24+DP25)*(②시니어_가정!$E$140+②시니어_가정!$E$141)</f>
        <v>0</v>
      </c>
      <c r="DQ45" s="37" t="n">
        <f aca="false">(DQ24+DQ25)*(②시니어_가정!$E$140+②시니어_가정!$E$141)</f>
        <v>0</v>
      </c>
      <c r="DR45" s="37" t="n">
        <f aca="false">(DR24+DR25)*(②시니어_가정!$E$140+②시니어_가정!$E$141)</f>
        <v>0</v>
      </c>
      <c r="DS45" s="37" t="n">
        <f aca="false">(DS24+DS25)*(②시니어_가정!$E$140+②시니어_가정!$E$141)</f>
        <v>0</v>
      </c>
      <c r="DT45" s="37" t="n">
        <f aca="false">(DT24+DT25)*(②시니어_가정!$E$140+②시니어_가정!$E$141)</f>
        <v>0</v>
      </c>
      <c r="DU45" s="37" t="n">
        <f aca="false">(DU24+DU25)*(②시니어_가정!$E$140+②시니어_가정!$E$141)</f>
        <v>0</v>
      </c>
      <c r="DV45" s="37" t="n">
        <f aca="false">(DV24+DV25)*(②시니어_가정!$E$140+②시니어_가정!$E$141)</f>
        <v>0</v>
      </c>
      <c r="DW45" s="37" t="n">
        <f aca="false">(DW24+DW25)*(②시니어_가정!$E$140+②시니어_가정!$E$141)</f>
        <v>0</v>
      </c>
      <c r="DX45" s="37" t="n">
        <f aca="false">(DX24+DX25)*(②시니어_가정!$E$140+②시니어_가정!$E$141)</f>
        <v>0</v>
      </c>
      <c r="DY45" s="37" t="n">
        <f aca="false">(DY24+DY25)*(②시니어_가정!$E$140+②시니어_가정!$E$141)</f>
        <v>0</v>
      </c>
      <c r="DZ45" s="37" t="n">
        <f aca="false">(DZ24+DZ25)*(②시니어_가정!$E$140+②시니어_가정!$E$141)</f>
        <v>0</v>
      </c>
      <c r="EA45" s="37" t="n">
        <f aca="false">(EA24+EA25)*(②시니어_가정!$E$140+②시니어_가정!$E$141)</f>
        <v>0</v>
      </c>
      <c r="EB45" s="37" t="n">
        <f aca="false">(EB24+EB25)*(②시니어_가정!$E$140+②시니어_가정!$E$141)</f>
        <v>0</v>
      </c>
      <c r="EC45" s="37" t="n">
        <f aca="false">(EC24+EC25)*(②시니어_가정!$E$140+②시니어_가정!$E$141)</f>
        <v>0</v>
      </c>
      <c r="ED45" s="37" t="n">
        <f aca="false">(ED24+ED25)*(②시니어_가정!$E$140+②시니어_가정!$E$141)</f>
        <v>0</v>
      </c>
      <c r="EE45" s="37" t="n">
        <f aca="false">(EE24+EE25)*(②시니어_가정!$E$140+②시니어_가정!$E$141)</f>
        <v>0</v>
      </c>
      <c r="EF45" s="37" t="n">
        <f aca="false">(EF24+EF25)*(②시니어_가정!$E$140+②시니어_가정!$E$141)</f>
        <v>0</v>
      </c>
    </row>
    <row r="46" customFormat="false" ht="15" hidden="false" customHeight="false" outlineLevel="0" collapsed="false">
      <c r="A46" s="36" t="s">
        <v>594</v>
      </c>
      <c r="B46" s="278" t="s">
        <v>21</v>
      </c>
      <c r="C46" s="279" t="n">
        <f aca="false">SUM(E46:EF46)</f>
        <v>0</v>
      </c>
      <c r="E46" s="37" t="n">
        <f aca="false">E26*②시니어_가정!$E$145</f>
        <v>0</v>
      </c>
      <c r="F46" s="37" t="n">
        <f aca="false">F26*②시니어_가정!$E$145</f>
        <v>0</v>
      </c>
      <c r="G46" s="37" t="n">
        <f aca="false">G26*②시니어_가정!$E$145</f>
        <v>0</v>
      </c>
      <c r="H46" s="37" t="n">
        <f aca="false">H26*②시니어_가정!$E$145</f>
        <v>0</v>
      </c>
      <c r="I46" s="37" t="n">
        <f aca="false">I26*②시니어_가정!$E$145</f>
        <v>0</v>
      </c>
      <c r="J46" s="37" t="n">
        <f aca="false">J26*②시니어_가정!$E$145</f>
        <v>0</v>
      </c>
      <c r="K46" s="37" t="n">
        <f aca="false">K26*②시니어_가정!$E$145</f>
        <v>0</v>
      </c>
      <c r="L46" s="37" t="n">
        <f aca="false">L26*②시니어_가정!$E$145</f>
        <v>0</v>
      </c>
      <c r="M46" s="37" t="n">
        <f aca="false">M26*②시니어_가정!$E$145</f>
        <v>0</v>
      </c>
      <c r="N46" s="37" t="n">
        <f aca="false">N26*②시니어_가정!$E$145</f>
        <v>0</v>
      </c>
      <c r="O46" s="37" t="n">
        <f aca="false">O26*②시니어_가정!$E$145</f>
        <v>0</v>
      </c>
      <c r="P46" s="37" t="n">
        <f aca="false">P26*②시니어_가정!$E$145</f>
        <v>0</v>
      </c>
      <c r="Q46" s="37" t="n">
        <f aca="false">Q26*②시니어_가정!$E$145</f>
        <v>0</v>
      </c>
      <c r="R46" s="37" t="n">
        <f aca="false">R26*②시니어_가정!$E$145</f>
        <v>0</v>
      </c>
      <c r="S46" s="37" t="n">
        <f aca="false">S26*②시니어_가정!$E$145</f>
        <v>0</v>
      </c>
      <c r="T46" s="37" t="n">
        <f aca="false">T26*②시니어_가정!$E$145</f>
        <v>0</v>
      </c>
      <c r="U46" s="37" t="n">
        <f aca="false">U26*②시니어_가정!$E$145</f>
        <v>0</v>
      </c>
      <c r="V46" s="37" t="n">
        <f aca="false">V26*②시니어_가정!$E$145</f>
        <v>0</v>
      </c>
      <c r="W46" s="37" t="n">
        <f aca="false">W26*②시니어_가정!$E$145</f>
        <v>0</v>
      </c>
      <c r="X46" s="37" t="n">
        <f aca="false">X26*②시니어_가정!$E$145</f>
        <v>0</v>
      </c>
      <c r="Y46" s="37" t="n">
        <f aca="false">Y26*②시니어_가정!$E$145</f>
        <v>0</v>
      </c>
      <c r="Z46" s="37" t="n">
        <f aca="false">Z26*②시니어_가정!$E$145</f>
        <v>0</v>
      </c>
      <c r="AA46" s="37" t="n">
        <f aca="false">AA26*②시니어_가정!$E$145</f>
        <v>0</v>
      </c>
      <c r="AB46" s="37" t="n">
        <f aca="false">AB26*②시니어_가정!$E$145</f>
        <v>0</v>
      </c>
      <c r="AC46" s="37" t="n">
        <f aca="false">AC26*②시니어_가정!$E$145</f>
        <v>0</v>
      </c>
      <c r="AD46" s="37" t="n">
        <f aca="false">AD26*②시니어_가정!$E$145</f>
        <v>0</v>
      </c>
      <c r="AE46" s="37" t="n">
        <f aca="false">AE26*②시니어_가정!$E$145</f>
        <v>0</v>
      </c>
      <c r="AF46" s="37" t="n">
        <f aca="false">AF26*②시니어_가정!$E$145</f>
        <v>0</v>
      </c>
      <c r="AG46" s="37" t="n">
        <f aca="false">AG26*②시니어_가정!$E$145</f>
        <v>0</v>
      </c>
      <c r="AH46" s="37" t="n">
        <f aca="false">AH26*②시니어_가정!$E$145</f>
        <v>0</v>
      </c>
      <c r="AI46" s="37" t="n">
        <f aca="false">AI26*②시니어_가정!$E$145</f>
        <v>0</v>
      </c>
      <c r="AJ46" s="37" t="n">
        <f aca="false">AJ26*②시니어_가정!$E$145</f>
        <v>0</v>
      </c>
      <c r="AK46" s="37" t="n">
        <f aca="false">AK26*②시니어_가정!$E$145</f>
        <v>0</v>
      </c>
      <c r="AL46" s="37" t="n">
        <f aca="false">AL26*②시니어_가정!$E$145</f>
        <v>0</v>
      </c>
      <c r="AM46" s="37" t="n">
        <f aca="false">AM26*②시니어_가정!$E$145</f>
        <v>0</v>
      </c>
      <c r="AN46" s="37" t="n">
        <f aca="false">AN26*②시니어_가정!$E$145</f>
        <v>0</v>
      </c>
      <c r="AO46" s="37" t="n">
        <f aca="false">AO26*②시니어_가정!$E$145</f>
        <v>0</v>
      </c>
      <c r="AP46" s="37" t="n">
        <f aca="false">AP26*②시니어_가정!$E$145</f>
        <v>0</v>
      </c>
      <c r="AQ46" s="37" t="n">
        <f aca="false">AQ26*②시니어_가정!$E$145</f>
        <v>0</v>
      </c>
      <c r="AR46" s="37" t="n">
        <f aca="false">AR26*②시니어_가정!$E$145</f>
        <v>0</v>
      </c>
      <c r="AS46" s="37" t="n">
        <f aca="false">AS26*②시니어_가정!$E$145</f>
        <v>0</v>
      </c>
      <c r="AT46" s="37" t="n">
        <f aca="false">AT26*②시니어_가정!$E$145</f>
        <v>0</v>
      </c>
      <c r="AU46" s="37" t="n">
        <f aca="false">AU26*②시니어_가정!$E$145</f>
        <v>0</v>
      </c>
      <c r="AV46" s="37" t="n">
        <f aca="false">AV26*②시니어_가정!$E$145</f>
        <v>0</v>
      </c>
      <c r="AW46" s="37" t="n">
        <f aca="false">AW26*②시니어_가정!$E$145</f>
        <v>0</v>
      </c>
      <c r="AX46" s="37" t="n">
        <f aca="false">AX26*②시니어_가정!$E$145</f>
        <v>0</v>
      </c>
      <c r="AY46" s="37" t="n">
        <f aca="false">AY26*②시니어_가정!$E$145</f>
        <v>0</v>
      </c>
      <c r="AZ46" s="37" t="n">
        <f aca="false">AZ26*②시니어_가정!$E$145</f>
        <v>0</v>
      </c>
      <c r="BA46" s="37" t="n">
        <f aca="false">BA26*②시니어_가정!$E$145</f>
        <v>0</v>
      </c>
      <c r="BB46" s="37" t="n">
        <f aca="false">BB26*②시니어_가정!$E$145</f>
        <v>0</v>
      </c>
      <c r="BC46" s="37" t="n">
        <f aca="false">BC26*②시니어_가정!$E$145</f>
        <v>0</v>
      </c>
      <c r="BD46" s="37" t="n">
        <f aca="false">BD26*②시니어_가정!$E$145</f>
        <v>0</v>
      </c>
      <c r="BE46" s="37" t="n">
        <f aca="false">BE26*②시니어_가정!$E$145</f>
        <v>0</v>
      </c>
      <c r="BF46" s="37" t="n">
        <f aca="false">BF26*②시니어_가정!$E$145</f>
        <v>0</v>
      </c>
      <c r="BG46" s="37" t="n">
        <f aca="false">BG26*②시니어_가정!$E$145</f>
        <v>0</v>
      </c>
      <c r="BH46" s="37" t="n">
        <f aca="false">BH26*②시니어_가정!$E$145</f>
        <v>0</v>
      </c>
      <c r="BI46" s="37" t="n">
        <f aca="false">BI26*②시니어_가정!$E$145</f>
        <v>0</v>
      </c>
      <c r="BJ46" s="37" t="n">
        <f aca="false">BJ26*②시니어_가정!$E$145</f>
        <v>0</v>
      </c>
      <c r="BK46" s="37" t="n">
        <f aca="false">BK26*②시니어_가정!$E$145</f>
        <v>0</v>
      </c>
      <c r="BL46" s="37" t="n">
        <f aca="false">BL26*②시니어_가정!$E$145</f>
        <v>0</v>
      </c>
      <c r="BM46" s="37" t="n">
        <f aca="false">BM26*②시니어_가정!$E$145</f>
        <v>0</v>
      </c>
      <c r="BN46" s="37" t="n">
        <f aca="false">BN26*②시니어_가정!$E$145</f>
        <v>0</v>
      </c>
      <c r="BO46" s="37" t="n">
        <f aca="false">BO26*②시니어_가정!$E$145</f>
        <v>0</v>
      </c>
      <c r="BP46" s="37" t="n">
        <f aca="false">BP26*②시니어_가정!$E$145</f>
        <v>0</v>
      </c>
      <c r="BQ46" s="37" t="n">
        <f aca="false">BQ26*②시니어_가정!$E$145</f>
        <v>0</v>
      </c>
      <c r="BR46" s="37" t="n">
        <f aca="false">BR26*②시니어_가정!$E$145</f>
        <v>0</v>
      </c>
      <c r="BS46" s="37" t="n">
        <f aca="false">BS26*②시니어_가정!$E$145</f>
        <v>0</v>
      </c>
      <c r="BT46" s="37" t="n">
        <f aca="false">BT26*②시니어_가정!$E$145</f>
        <v>0</v>
      </c>
      <c r="BU46" s="37" t="n">
        <f aca="false">BU26*②시니어_가정!$E$145</f>
        <v>0</v>
      </c>
      <c r="BV46" s="37" t="n">
        <f aca="false">BV26*②시니어_가정!$E$145</f>
        <v>0</v>
      </c>
      <c r="BW46" s="37" t="n">
        <f aca="false">BW26*②시니어_가정!$E$145</f>
        <v>0</v>
      </c>
      <c r="BX46" s="37" t="n">
        <f aca="false">BX26*②시니어_가정!$E$145</f>
        <v>0</v>
      </c>
      <c r="BY46" s="37" t="n">
        <f aca="false">BY26*②시니어_가정!$E$145</f>
        <v>0</v>
      </c>
      <c r="BZ46" s="37" t="n">
        <f aca="false">BZ26*②시니어_가정!$E$145</f>
        <v>0</v>
      </c>
      <c r="CA46" s="37" t="n">
        <f aca="false">CA26*②시니어_가정!$E$145</f>
        <v>0</v>
      </c>
      <c r="CB46" s="37" t="n">
        <f aca="false">CB26*②시니어_가정!$E$145</f>
        <v>0</v>
      </c>
      <c r="CC46" s="37" t="n">
        <f aca="false">CC26*②시니어_가정!$E$145</f>
        <v>0</v>
      </c>
      <c r="CD46" s="37" t="n">
        <f aca="false">CD26*②시니어_가정!$E$145</f>
        <v>0</v>
      </c>
      <c r="CE46" s="37" t="n">
        <f aca="false">CE26*②시니어_가정!$E$145</f>
        <v>0</v>
      </c>
      <c r="CF46" s="37" t="n">
        <f aca="false">CF26*②시니어_가정!$E$145</f>
        <v>0</v>
      </c>
      <c r="CG46" s="37" t="n">
        <f aca="false">CG26*②시니어_가정!$E$145</f>
        <v>0</v>
      </c>
      <c r="CH46" s="37" t="n">
        <f aca="false">CH26*②시니어_가정!$E$145</f>
        <v>0</v>
      </c>
      <c r="CI46" s="37" t="n">
        <f aca="false">CI26*②시니어_가정!$E$145</f>
        <v>0</v>
      </c>
      <c r="CJ46" s="37" t="n">
        <f aca="false">CJ26*②시니어_가정!$E$145</f>
        <v>0</v>
      </c>
      <c r="CK46" s="37" t="n">
        <f aca="false">CK26*②시니어_가정!$E$145</f>
        <v>0</v>
      </c>
      <c r="CL46" s="37" t="n">
        <f aca="false">CL26*②시니어_가정!$E$145</f>
        <v>0</v>
      </c>
      <c r="CM46" s="37" t="n">
        <f aca="false">CM26*②시니어_가정!$E$145</f>
        <v>0</v>
      </c>
      <c r="CN46" s="37" t="n">
        <f aca="false">CN26*②시니어_가정!$E$145</f>
        <v>0</v>
      </c>
      <c r="CO46" s="37" t="n">
        <f aca="false">CO26*②시니어_가정!$E$145</f>
        <v>0</v>
      </c>
      <c r="CP46" s="37" t="n">
        <f aca="false">CP26*②시니어_가정!$E$145</f>
        <v>0</v>
      </c>
      <c r="CQ46" s="37" t="n">
        <f aca="false">CQ26*②시니어_가정!$E$145</f>
        <v>0</v>
      </c>
      <c r="CR46" s="37" t="n">
        <f aca="false">CR26*②시니어_가정!$E$145</f>
        <v>0</v>
      </c>
      <c r="CS46" s="37" t="n">
        <f aca="false">CS26*②시니어_가정!$E$145</f>
        <v>0</v>
      </c>
      <c r="CT46" s="37" t="n">
        <f aca="false">CT26*②시니어_가정!$E$145</f>
        <v>0</v>
      </c>
      <c r="CU46" s="37" t="n">
        <f aca="false">CU26*②시니어_가정!$E$145</f>
        <v>0</v>
      </c>
      <c r="CV46" s="37" t="n">
        <f aca="false">CV26*②시니어_가정!$E$145</f>
        <v>0</v>
      </c>
      <c r="CW46" s="37" t="n">
        <f aca="false">CW26*②시니어_가정!$E$145</f>
        <v>0</v>
      </c>
      <c r="CX46" s="37" t="n">
        <f aca="false">CX26*②시니어_가정!$E$145</f>
        <v>0</v>
      </c>
      <c r="CY46" s="37" t="n">
        <f aca="false">CY26*②시니어_가정!$E$145</f>
        <v>0</v>
      </c>
      <c r="CZ46" s="37" t="n">
        <f aca="false">CZ26*②시니어_가정!$E$145</f>
        <v>0</v>
      </c>
      <c r="DA46" s="37" t="n">
        <f aca="false">DA26*②시니어_가정!$E$145</f>
        <v>0</v>
      </c>
      <c r="DB46" s="37" t="n">
        <f aca="false">DB26*②시니어_가정!$E$145</f>
        <v>0</v>
      </c>
      <c r="DC46" s="37" t="n">
        <f aca="false">DC26*②시니어_가정!$E$145</f>
        <v>0</v>
      </c>
      <c r="DD46" s="37" t="n">
        <f aca="false">DD26*②시니어_가정!$E$145</f>
        <v>0</v>
      </c>
      <c r="DE46" s="37" t="n">
        <f aca="false">DE26*②시니어_가정!$E$145</f>
        <v>0</v>
      </c>
      <c r="DF46" s="37" t="n">
        <f aca="false">DF26*②시니어_가정!$E$145</f>
        <v>0</v>
      </c>
      <c r="DG46" s="37" t="n">
        <f aca="false">DG26*②시니어_가정!$E$145</f>
        <v>0</v>
      </c>
      <c r="DH46" s="37" t="n">
        <f aca="false">DH26*②시니어_가정!$E$145</f>
        <v>0</v>
      </c>
      <c r="DI46" s="37" t="n">
        <f aca="false">DI26*②시니어_가정!$E$145</f>
        <v>0</v>
      </c>
      <c r="DJ46" s="37" t="n">
        <f aca="false">DJ26*②시니어_가정!$E$145</f>
        <v>0</v>
      </c>
      <c r="DK46" s="37" t="n">
        <f aca="false">DK26*②시니어_가정!$E$145</f>
        <v>0</v>
      </c>
      <c r="DL46" s="37" t="n">
        <f aca="false">DL26*②시니어_가정!$E$145</f>
        <v>0</v>
      </c>
      <c r="DM46" s="37" t="n">
        <f aca="false">DM26*②시니어_가정!$E$145</f>
        <v>0</v>
      </c>
      <c r="DN46" s="37" t="n">
        <f aca="false">DN26*②시니어_가정!$E$145</f>
        <v>0</v>
      </c>
      <c r="DO46" s="37" t="n">
        <f aca="false">DO26*②시니어_가정!$E$145</f>
        <v>0</v>
      </c>
      <c r="DP46" s="37" t="n">
        <f aca="false">DP26*②시니어_가정!$E$145</f>
        <v>0</v>
      </c>
      <c r="DQ46" s="37" t="n">
        <f aca="false">DQ26*②시니어_가정!$E$145</f>
        <v>0</v>
      </c>
      <c r="DR46" s="37" t="n">
        <f aca="false">DR26*②시니어_가정!$E$145</f>
        <v>0</v>
      </c>
      <c r="DS46" s="37" t="n">
        <f aca="false">DS26*②시니어_가정!$E$145</f>
        <v>0</v>
      </c>
      <c r="DT46" s="37" t="n">
        <f aca="false">DT26*②시니어_가정!$E$145</f>
        <v>0</v>
      </c>
      <c r="DU46" s="37" t="n">
        <f aca="false">DU26*②시니어_가정!$E$145</f>
        <v>0</v>
      </c>
      <c r="DV46" s="37" t="n">
        <f aca="false">DV26*②시니어_가정!$E$145</f>
        <v>0</v>
      </c>
      <c r="DW46" s="37" t="n">
        <f aca="false">DW26*②시니어_가정!$E$145</f>
        <v>0</v>
      </c>
      <c r="DX46" s="37" t="n">
        <f aca="false">DX26*②시니어_가정!$E$145</f>
        <v>0</v>
      </c>
      <c r="DY46" s="37" t="n">
        <f aca="false">DY26*②시니어_가정!$E$145</f>
        <v>0</v>
      </c>
      <c r="DZ46" s="37" t="n">
        <f aca="false">DZ26*②시니어_가정!$E$145</f>
        <v>0</v>
      </c>
      <c r="EA46" s="37" t="n">
        <f aca="false">EA26*②시니어_가정!$E$145</f>
        <v>0</v>
      </c>
      <c r="EB46" s="37" t="n">
        <f aca="false">EB26*②시니어_가정!$E$145</f>
        <v>0</v>
      </c>
      <c r="EC46" s="37" t="n">
        <f aca="false">EC26*②시니어_가정!$E$145</f>
        <v>0</v>
      </c>
      <c r="ED46" s="37" t="n">
        <f aca="false">ED26*②시니어_가정!$E$145</f>
        <v>0</v>
      </c>
      <c r="EE46" s="37" t="n">
        <f aca="false">EE26*②시니어_가정!$E$145</f>
        <v>0</v>
      </c>
      <c r="EF46" s="37" t="n">
        <f aca="false">EF26*②시니어_가정!$E$145</f>
        <v>0</v>
      </c>
    </row>
    <row r="47" customFormat="false" ht="15" hidden="false" customHeight="false" outlineLevel="0" collapsed="false">
      <c r="A47" s="36" t="s">
        <v>595</v>
      </c>
      <c r="B47" s="278" t="s">
        <v>21</v>
      </c>
      <c r="C47" s="279" t="n">
        <f aca="false">SUM(E47:EF47)</f>
        <v>0</v>
      </c>
      <c r="E47" s="37" t="n">
        <f aca="false">(E27+E28+E29)*(②시니어_가정!$E$165+②시니어_가정!$E$166)</f>
        <v>0</v>
      </c>
      <c r="F47" s="37" t="n">
        <f aca="false">(F27+F28+F29)*(②시니어_가정!$E$165+②시니어_가정!$E$166)</f>
        <v>0</v>
      </c>
      <c r="G47" s="37" t="n">
        <f aca="false">(G27+G28+G29)*(②시니어_가정!$E$165+②시니어_가정!$E$166)</f>
        <v>0</v>
      </c>
      <c r="H47" s="37" t="n">
        <f aca="false">(H27+H28+H29)*(②시니어_가정!$E$165+②시니어_가정!$E$166)</f>
        <v>0</v>
      </c>
      <c r="I47" s="37" t="n">
        <f aca="false">(I27+I28+I29)*(②시니어_가정!$E$165+②시니어_가정!$E$166)</f>
        <v>0</v>
      </c>
      <c r="J47" s="37" t="n">
        <f aca="false">(J27+J28+J29)*(②시니어_가정!$E$165+②시니어_가정!$E$166)</f>
        <v>0</v>
      </c>
      <c r="K47" s="37" t="n">
        <f aca="false">(K27+K28+K29)*(②시니어_가정!$E$165+②시니어_가정!$E$166)</f>
        <v>0</v>
      </c>
      <c r="L47" s="37" t="n">
        <f aca="false">(L27+L28+L29)*(②시니어_가정!$E$165+②시니어_가정!$E$166)</f>
        <v>0</v>
      </c>
      <c r="M47" s="37" t="n">
        <f aca="false">(M27+M28+M29)*(②시니어_가정!$E$165+②시니어_가정!$E$166)</f>
        <v>0</v>
      </c>
      <c r="N47" s="37" t="n">
        <f aca="false">(N27+N28+N29)*(②시니어_가정!$E$165+②시니어_가정!$E$166)</f>
        <v>0</v>
      </c>
      <c r="O47" s="37" t="n">
        <f aca="false">(O27+O28+O29)*(②시니어_가정!$E$165+②시니어_가정!$E$166)</f>
        <v>0</v>
      </c>
      <c r="P47" s="37" t="n">
        <f aca="false">(P27+P28+P29)*(②시니어_가정!$E$165+②시니어_가정!$E$166)</f>
        <v>0</v>
      </c>
      <c r="Q47" s="37" t="n">
        <f aca="false">(Q27+Q28+Q29)*(②시니어_가정!$E$165+②시니어_가정!$E$166)</f>
        <v>0</v>
      </c>
      <c r="R47" s="37" t="n">
        <f aca="false">(R27+R28+R29)*(②시니어_가정!$E$165+②시니어_가정!$E$166)</f>
        <v>0</v>
      </c>
      <c r="S47" s="37" t="n">
        <f aca="false">(S27+S28+S29)*(②시니어_가정!$E$165+②시니어_가정!$E$166)</f>
        <v>0</v>
      </c>
      <c r="T47" s="37" t="n">
        <f aca="false">(T27+T28+T29)*(②시니어_가정!$E$165+②시니어_가정!$E$166)</f>
        <v>0</v>
      </c>
      <c r="U47" s="37" t="n">
        <f aca="false">(U27+U28+U29)*(②시니어_가정!$E$165+②시니어_가정!$E$166)</f>
        <v>0</v>
      </c>
      <c r="V47" s="37" t="n">
        <f aca="false">(V27+V28+V29)*(②시니어_가정!$E$165+②시니어_가정!$E$166)</f>
        <v>0</v>
      </c>
      <c r="W47" s="37" t="n">
        <f aca="false">(W27+W28+W29)*(②시니어_가정!$E$165+②시니어_가정!$E$166)</f>
        <v>0</v>
      </c>
      <c r="X47" s="37" t="n">
        <f aca="false">(X27+X28+X29)*(②시니어_가정!$E$165+②시니어_가정!$E$166)</f>
        <v>0</v>
      </c>
      <c r="Y47" s="37" t="n">
        <f aca="false">(Y27+Y28+Y29)*(②시니어_가정!$E$165+②시니어_가정!$E$166)</f>
        <v>0</v>
      </c>
      <c r="Z47" s="37" t="n">
        <f aca="false">(Z27+Z28+Z29)*(②시니어_가정!$E$165+②시니어_가정!$E$166)</f>
        <v>0</v>
      </c>
      <c r="AA47" s="37" t="n">
        <f aca="false">(AA27+AA28+AA29)*(②시니어_가정!$E$165+②시니어_가정!$E$166)</f>
        <v>0</v>
      </c>
      <c r="AB47" s="37" t="n">
        <f aca="false">(AB27+AB28+AB29)*(②시니어_가정!$E$165+②시니어_가정!$E$166)</f>
        <v>0</v>
      </c>
      <c r="AC47" s="37" t="n">
        <f aca="false">(AC27+AC28+AC29)*(②시니어_가정!$E$165+②시니어_가정!$E$166)</f>
        <v>0</v>
      </c>
      <c r="AD47" s="37" t="n">
        <f aca="false">(AD27+AD28+AD29)*(②시니어_가정!$E$165+②시니어_가정!$E$166)</f>
        <v>0</v>
      </c>
      <c r="AE47" s="37" t="n">
        <f aca="false">(AE27+AE28+AE29)*(②시니어_가정!$E$165+②시니어_가정!$E$166)</f>
        <v>0</v>
      </c>
      <c r="AF47" s="37" t="n">
        <f aca="false">(AF27+AF28+AF29)*(②시니어_가정!$E$165+②시니어_가정!$E$166)</f>
        <v>0</v>
      </c>
      <c r="AG47" s="37" t="n">
        <f aca="false">(AG27+AG28+AG29)*(②시니어_가정!$E$165+②시니어_가정!$E$166)</f>
        <v>0</v>
      </c>
      <c r="AH47" s="37" t="n">
        <f aca="false">(AH27+AH28+AH29)*(②시니어_가정!$E$165+②시니어_가정!$E$166)</f>
        <v>0</v>
      </c>
      <c r="AI47" s="37" t="n">
        <f aca="false">(AI27+AI28+AI29)*(②시니어_가정!$E$165+②시니어_가정!$E$166)</f>
        <v>0</v>
      </c>
      <c r="AJ47" s="37" t="n">
        <f aca="false">(AJ27+AJ28+AJ29)*(②시니어_가정!$E$165+②시니어_가정!$E$166)</f>
        <v>0</v>
      </c>
      <c r="AK47" s="37" t="n">
        <f aca="false">(AK27+AK28+AK29)*(②시니어_가정!$E$165+②시니어_가정!$E$166)</f>
        <v>0</v>
      </c>
      <c r="AL47" s="37" t="n">
        <f aca="false">(AL27+AL28+AL29)*(②시니어_가정!$E$165+②시니어_가정!$E$166)</f>
        <v>0</v>
      </c>
      <c r="AM47" s="37" t="n">
        <f aca="false">(AM27+AM28+AM29)*(②시니어_가정!$E$165+②시니어_가정!$E$166)</f>
        <v>0</v>
      </c>
      <c r="AN47" s="37" t="n">
        <f aca="false">(AN27+AN28+AN29)*(②시니어_가정!$E$165+②시니어_가정!$E$166)</f>
        <v>0</v>
      </c>
      <c r="AO47" s="37" t="n">
        <f aca="false">(AO27+AO28+AO29)*(②시니어_가정!$E$165+②시니어_가정!$E$166)</f>
        <v>0</v>
      </c>
      <c r="AP47" s="37" t="n">
        <f aca="false">(AP27+AP28+AP29)*(②시니어_가정!$E$165+②시니어_가정!$E$166)</f>
        <v>0</v>
      </c>
      <c r="AQ47" s="37" t="n">
        <f aca="false">(AQ27+AQ28+AQ29)*(②시니어_가정!$E$165+②시니어_가정!$E$166)</f>
        <v>0</v>
      </c>
      <c r="AR47" s="37" t="n">
        <f aca="false">(AR27+AR28+AR29)*(②시니어_가정!$E$165+②시니어_가정!$E$166)</f>
        <v>0</v>
      </c>
      <c r="AS47" s="37" t="n">
        <f aca="false">(AS27+AS28+AS29)*(②시니어_가정!$E$165+②시니어_가정!$E$166)</f>
        <v>0</v>
      </c>
      <c r="AT47" s="37" t="n">
        <f aca="false">(AT27+AT28+AT29)*(②시니어_가정!$E$165+②시니어_가정!$E$166)</f>
        <v>0</v>
      </c>
      <c r="AU47" s="37" t="n">
        <f aca="false">(AU27+AU28+AU29)*(②시니어_가정!$E$165+②시니어_가정!$E$166)</f>
        <v>0</v>
      </c>
      <c r="AV47" s="37" t="n">
        <f aca="false">(AV27+AV28+AV29)*(②시니어_가정!$E$165+②시니어_가정!$E$166)</f>
        <v>0</v>
      </c>
      <c r="AW47" s="37" t="n">
        <f aca="false">(AW27+AW28+AW29)*(②시니어_가정!$E$165+②시니어_가정!$E$166)</f>
        <v>0</v>
      </c>
      <c r="AX47" s="37" t="n">
        <f aca="false">(AX27+AX28+AX29)*(②시니어_가정!$E$165+②시니어_가정!$E$166)</f>
        <v>0</v>
      </c>
      <c r="AY47" s="37" t="n">
        <f aca="false">(AY27+AY28+AY29)*(②시니어_가정!$E$165+②시니어_가정!$E$166)</f>
        <v>0</v>
      </c>
      <c r="AZ47" s="37" t="n">
        <f aca="false">(AZ27+AZ28+AZ29)*(②시니어_가정!$E$165+②시니어_가정!$E$166)</f>
        <v>0</v>
      </c>
      <c r="BA47" s="37" t="n">
        <f aca="false">(BA27+BA28+BA29)*(②시니어_가정!$E$165+②시니어_가정!$E$166)</f>
        <v>0</v>
      </c>
      <c r="BB47" s="37" t="n">
        <f aca="false">(BB27+BB28+BB29)*(②시니어_가정!$E$165+②시니어_가정!$E$166)</f>
        <v>0</v>
      </c>
      <c r="BC47" s="37" t="n">
        <f aca="false">(BC27+BC28+BC29)*(②시니어_가정!$E$165+②시니어_가정!$E$166)</f>
        <v>0</v>
      </c>
      <c r="BD47" s="37" t="n">
        <f aca="false">(BD27+BD28+BD29)*(②시니어_가정!$E$165+②시니어_가정!$E$166)</f>
        <v>0</v>
      </c>
      <c r="BE47" s="37" t="n">
        <f aca="false">(BE27+BE28+BE29)*(②시니어_가정!$E$165+②시니어_가정!$E$166)</f>
        <v>0</v>
      </c>
      <c r="BF47" s="37" t="n">
        <f aca="false">(BF27+BF28+BF29)*(②시니어_가정!$E$165+②시니어_가정!$E$166)</f>
        <v>0</v>
      </c>
      <c r="BG47" s="37" t="n">
        <f aca="false">(BG27+BG28+BG29)*(②시니어_가정!$E$165+②시니어_가정!$E$166)</f>
        <v>0</v>
      </c>
      <c r="BH47" s="37" t="n">
        <f aca="false">(BH27+BH28+BH29)*(②시니어_가정!$E$165+②시니어_가정!$E$166)</f>
        <v>0</v>
      </c>
      <c r="BI47" s="37" t="n">
        <f aca="false">(BI27+BI28+BI29)*(②시니어_가정!$E$165+②시니어_가정!$E$166)</f>
        <v>0</v>
      </c>
      <c r="BJ47" s="37" t="n">
        <f aca="false">(BJ27+BJ28+BJ29)*(②시니어_가정!$E$165+②시니어_가정!$E$166)</f>
        <v>0</v>
      </c>
      <c r="BK47" s="37" t="n">
        <f aca="false">(BK27+BK28+BK29)*(②시니어_가정!$E$165+②시니어_가정!$E$166)</f>
        <v>0</v>
      </c>
      <c r="BL47" s="37" t="n">
        <f aca="false">(BL27+BL28+BL29)*(②시니어_가정!$E$165+②시니어_가정!$E$166)</f>
        <v>0</v>
      </c>
      <c r="BM47" s="37" t="n">
        <f aca="false">(BM27+BM28+BM29)*(②시니어_가정!$E$165+②시니어_가정!$E$166)</f>
        <v>0</v>
      </c>
      <c r="BN47" s="37" t="n">
        <f aca="false">(BN27+BN28+BN29)*(②시니어_가정!$E$165+②시니어_가정!$E$166)</f>
        <v>0</v>
      </c>
      <c r="BO47" s="37" t="n">
        <f aca="false">(BO27+BO28+BO29)*(②시니어_가정!$E$165+②시니어_가정!$E$166)</f>
        <v>0</v>
      </c>
      <c r="BP47" s="37" t="n">
        <f aca="false">(BP27+BP28+BP29)*(②시니어_가정!$E$165+②시니어_가정!$E$166)</f>
        <v>0</v>
      </c>
      <c r="BQ47" s="37" t="n">
        <f aca="false">(BQ27+BQ28+BQ29)*(②시니어_가정!$E$165+②시니어_가정!$E$166)</f>
        <v>0</v>
      </c>
      <c r="BR47" s="37" t="n">
        <f aca="false">(BR27+BR28+BR29)*(②시니어_가정!$E$165+②시니어_가정!$E$166)</f>
        <v>0</v>
      </c>
      <c r="BS47" s="37" t="n">
        <f aca="false">(BS27+BS28+BS29)*(②시니어_가정!$E$165+②시니어_가정!$E$166)</f>
        <v>0</v>
      </c>
      <c r="BT47" s="37" t="n">
        <f aca="false">(BT27+BT28+BT29)*(②시니어_가정!$E$165+②시니어_가정!$E$166)</f>
        <v>0</v>
      </c>
      <c r="BU47" s="37" t="n">
        <f aca="false">(BU27+BU28+BU29)*(②시니어_가정!$E$165+②시니어_가정!$E$166)</f>
        <v>0</v>
      </c>
      <c r="BV47" s="37" t="n">
        <f aca="false">(BV27+BV28+BV29)*(②시니어_가정!$E$165+②시니어_가정!$E$166)</f>
        <v>0</v>
      </c>
      <c r="BW47" s="37" t="n">
        <f aca="false">(BW27+BW28+BW29)*(②시니어_가정!$E$165+②시니어_가정!$E$166)</f>
        <v>0</v>
      </c>
      <c r="BX47" s="37" t="n">
        <f aca="false">(BX27+BX28+BX29)*(②시니어_가정!$E$165+②시니어_가정!$E$166)</f>
        <v>0</v>
      </c>
      <c r="BY47" s="37" t="n">
        <f aca="false">(BY27+BY28+BY29)*(②시니어_가정!$E$165+②시니어_가정!$E$166)</f>
        <v>0</v>
      </c>
      <c r="BZ47" s="37" t="n">
        <f aca="false">(BZ27+BZ28+BZ29)*(②시니어_가정!$E$165+②시니어_가정!$E$166)</f>
        <v>0</v>
      </c>
      <c r="CA47" s="37" t="n">
        <f aca="false">(CA27+CA28+CA29)*(②시니어_가정!$E$165+②시니어_가정!$E$166)</f>
        <v>0</v>
      </c>
      <c r="CB47" s="37" t="n">
        <f aca="false">(CB27+CB28+CB29)*(②시니어_가정!$E$165+②시니어_가정!$E$166)</f>
        <v>0</v>
      </c>
      <c r="CC47" s="37" t="n">
        <f aca="false">(CC27+CC28+CC29)*(②시니어_가정!$E$165+②시니어_가정!$E$166)</f>
        <v>0</v>
      </c>
      <c r="CD47" s="37" t="n">
        <f aca="false">(CD27+CD28+CD29)*(②시니어_가정!$E$165+②시니어_가정!$E$166)</f>
        <v>0</v>
      </c>
      <c r="CE47" s="37" t="n">
        <f aca="false">(CE27+CE28+CE29)*(②시니어_가정!$E$165+②시니어_가정!$E$166)</f>
        <v>0</v>
      </c>
      <c r="CF47" s="37" t="n">
        <f aca="false">(CF27+CF28+CF29)*(②시니어_가정!$E$165+②시니어_가정!$E$166)</f>
        <v>0</v>
      </c>
      <c r="CG47" s="37" t="n">
        <f aca="false">(CG27+CG28+CG29)*(②시니어_가정!$E$165+②시니어_가정!$E$166)</f>
        <v>0</v>
      </c>
      <c r="CH47" s="37" t="n">
        <f aca="false">(CH27+CH28+CH29)*(②시니어_가정!$E$165+②시니어_가정!$E$166)</f>
        <v>0</v>
      </c>
      <c r="CI47" s="37" t="n">
        <f aca="false">(CI27+CI28+CI29)*(②시니어_가정!$E$165+②시니어_가정!$E$166)</f>
        <v>0</v>
      </c>
      <c r="CJ47" s="37" t="n">
        <f aca="false">(CJ27+CJ28+CJ29)*(②시니어_가정!$E$165+②시니어_가정!$E$166)</f>
        <v>0</v>
      </c>
      <c r="CK47" s="37" t="n">
        <f aca="false">(CK27+CK28+CK29)*(②시니어_가정!$E$165+②시니어_가정!$E$166)</f>
        <v>0</v>
      </c>
      <c r="CL47" s="37" t="n">
        <f aca="false">(CL27+CL28+CL29)*(②시니어_가정!$E$165+②시니어_가정!$E$166)</f>
        <v>0</v>
      </c>
      <c r="CM47" s="37" t="n">
        <f aca="false">(CM27+CM28+CM29)*(②시니어_가정!$E$165+②시니어_가정!$E$166)</f>
        <v>0</v>
      </c>
      <c r="CN47" s="37" t="n">
        <f aca="false">(CN27+CN28+CN29)*(②시니어_가정!$E$165+②시니어_가정!$E$166)</f>
        <v>0</v>
      </c>
      <c r="CO47" s="37" t="n">
        <f aca="false">(CO27+CO28+CO29)*(②시니어_가정!$E$165+②시니어_가정!$E$166)</f>
        <v>0</v>
      </c>
      <c r="CP47" s="37" t="n">
        <f aca="false">(CP27+CP28+CP29)*(②시니어_가정!$E$165+②시니어_가정!$E$166)</f>
        <v>0</v>
      </c>
      <c r="CQ47" s="37" t="n">
        <f aca="false">(CQ27+CQ28+CQ29)*(②시니어_가정!$E$165+②시니어_가정!$E$166)</f>
        <v>0</v>
      </c>
      <c r="CR47" s="37" t="n">
        <f aca="false">(CR27+CR28+CR29)*(②시니어_가정!$E$165+②시니어_가정!$E$166)</f>
        <v>0</v>
      </c>
      <c r="CS47" s="37" t="n">
        <f aca="false">(CS27+CS28+CS29)*(②시니어_가정!$E$165+②시니어_가정!$E$166)</f>
        <v>0</v>
      </c>
      <c r="CT47" s="37" t="n">
        <f aca="false">(CT27+CT28+CT29)*(②시니어_가정!$E$165+②시니어_가정!$E$166)</f>
        <v>0</v>
      </c>
      <c r="CU47" s="37" t="n">
        <f aca="false">(CU27+CU28+CU29)*(②시니어_가정!$E$165+②시니어_가정!$E$166)</f>
        <v>0</v>
      </c>
      <c r="CV47" s="37" t="n">
        <f aca="false">(CV27+CV28+CV29)*(②시니어_가정!$E$165+②시니어_가정!$E$166)</f>
        <v>0</v>
      </c>
      <c r="CW47" s="37" t="n">
        <f aca="false">(CW27+CW28+CW29)*(②시니어_가정!$E$165+②시니어_가정!$E$166)</f>
        <v>0</v>
      </c>
      <c r="CX47" s="37" t="n">
        <f aca="false">(CX27+CX28+CX29)*(②시니어_가정!$E$165+②시니어_가정!$E$166)</f>
        <v>0</v>
      </c>
      <c r="CY47" s="37" t="n">
        <f aca="false">(CY27+CY28+CY29)*(②시니어_가정!$E$165+②시니어_가정!$E$166)</f>
        <v>0</v>
      </c>
      <c r="CZ47" s="37" t="n">
        <f aca="false">(CZ27+CZ28+CZ29)*(②시니어_가정!$E$165+②시니어_가정!$E$166)</f>
        <v>0</v>
      </c>
      <c r="DA47" s="37" t="n">
        <f aca="false">(DA27+DA28+DA29)*(②시니어_가정!$E$165+②시니어_가정!$E$166)</f>
        <v>0</v>
      </c>
      <c r="DB47" s="37" t="n">
        <f aca="false">(DB27+DB28+DB29)*(②시니어_가정!$E$165+②시니어_가정!$E$166)</f>
        <v>0</v>
      </c>
      <c r="DC47" s="37" t="n">
        <f aca="false">(DC27+DC28+DC29)*(②시니어_가정!$E$165+②시니어_가정!$E$166)</f>
        <v>0</v>
      </c>
      <c r="DD47" s="37" t="n">
        <f aca="false">(DD27+DD28+DD29)*(②시니어_가정!$E$165+②시니어_가정!$E$166)</f>
        <v>0</v>
      </c>
      <c r="DE47" s="37" t="n">
        <f aca="false">(DE27+DE28+DE29)*(②시니어_가정!$E$165+②시니어_가정!$E$166)</f>
        <v>0</v>
      </c>
      <c r="DF47" s="37" t="n">
        <f aca="false">(DF27+DF28+DF29)*(②시니어_가정!$E$165+②시니어_가정!$E$166)</f>
        <v>0</v>
      </c>
      <c r="DG47" s="37" t="n">
        <f aca="false">(DG27+DG28+DG29)*(②시니어_가정!$E$165+②시니어_가정!$E$166)</f>
        <v>0</v>
      </c>
      <c r="DH47" s="37" t="n">
        <f aca="false">(DH27+DH28+DH29)*(②시니어_가정!$E$165+②시니어_가정!$E$166)</f>
        <v>0</v>
      </c>
      <c r="DI47" s="37" t="n">
        <f aca="false">(DI27+DI28+DI29)*(②시니어_가정!$E$165+②시니어_가정!$E$166)</f>
        <v>0</v>
      </c>
      <c r="DJ47" s="37" t="n">
        <f aca="false">(DJ27+DJ28+DJ29)*(②시니어_가정!$E$165+②시니어_가정!$E$166)</f>
        <v>0</v>
      </c>
      <c r="DK47" s="37" t="n">
        <f aca="false">(DK27+DK28+DK29)*(②시니어_가정!$E$165+②시니어_가정!$E$166)</f>
        <v>0</v>
      </c>
      <c r="DL47" s="37" t="n">
        <f aca="false">(DL27+DL28+DL29)*(②시니어_가정!$E$165+②시니어_가정!$E$166)</f>
        <v>0</v>
      </c>
      <c r="DM47" s="37" t="n">
        <f aca="false">(DM27+DM28+DM29)*(②시니어_가정!$E$165+②시니어_가정!$E$166)</f>
        <v>0</v>
      </c>
      <c r="DN47" s="37" t="n">
        <f aca="false">(DN27+DN28+DN29)*(②시니어_가정!$E$165+②시니어_가정!$E$166)</f>
        <v>0</v>
      </c>
      <c r="DO47" s="37" t="n">
        <f aca="false">(DO27+DO28+DO29)*(②시니어_가정!$E$165+②시니어_가정!$E$166)</f>
        <v>0</v>
      </c>
      <c r="DP47" s="37" t="n">
        <f aca="false">(DP27+DP28+DP29)*(②시니어_가정!$E$165+②시니어_가정!$E$166)</f>
        <v>0</v>
      </c>
      <c r="DQ47" s="37" t="n">
        <f aca="false">(DQ27+DQ28+DQ29)*(②시니어_가정!$E$165+②시니어_가정!$E$166)</f>
        <v>0</v>
      </c>
      <c r="DR47" s="37" t="n">
        <f aca="false">(DR27+DR28+DR29)*(②시니어_가정!$E$165+②시니어_가정!$E$166)</f>
        <v>0</v>
      </c>
      <c r="DS47" s="37" t="n">
        <f aca="false">(DS27+DS28+DS29)*(②시니어_가정!$E$165+②시니어_가정!$E$166)</f>
        <v>0</v>
      </c>
      <c r="DT47" s="37" t="n">
        <f aca="false">(DT27+DT28+DT29)*(②시니어_가정!$E$165+②시니어_가정!$E$166)</f>
        <v>0</v>
      </c>
      <c r="DU47" s="37" t="n">
        <f aca="false">(DU27+DU28+DU29)*(②시니어_가정!$E$165+②시니어_가정!$E$166)</f>
        <v>0</v>
      </c>
      <c r="DV47" s="37" t="n">
        <f aca="false">(DV27+DV28+DV29)*(②시니어_가정!$E$165+②시니어_가정!$E$166)</f>
        <v>0</v>
      </c>
      <c r="DW47" s="37" t="n">
        <f aca="false">(DW27+DW28+DW29)*(②시니어_가정!$E$165+②시니어_가정!$E$166)</f>
        <v>0</v>
      </c>
      <c r="DX47" s="37" t="n">
        <f aca="false">(DX27+DX28+DX29)*(②시니어_가정!$E$165+②시니어_가정!$E$166)</f>
        <v>0</v>
      </c>
      <c r="DY47" s="37" t="n">
        <f aca="false">(DY27+DY28+DY29)*(②시니어_가정!$E$165+②시니어_가정!$E$166)</f>
        <v>0</v>
      </c>
      <c r="DZ47" s="37" t="n">
        <f aca="false">(DZ27+DZ28+DZ29)*(②시니어_가정!$E$165+②시니어_가정!$E$166)</f>
        <v>0</v>
      </c>
      <c r="EA47" s="37" t="n">
        <f aca="false">(EA27+EA28+EA29)*(②시니어_가정!$E$165+②시니어_가정!$E$166)</f>
        <v>0</v>
      </c>
      <c r="EB47" s="37" t="n">
        <f aca="false">(EB27+EB28+EB29)*(②시니어_가정!$E$165+②시니어_가정!$E$166)</f>
        <v>0</v>
      </c>
      <c r="EC47" s="37" t="n">
        <f aca="false">(EC27+EC28+EC29)*(②시니어_가정!$E$165+②시니어_가정!$E$166)</f>
        <v>0</v>
      </c>
      <c r="ED47" s="37" t="n">
        <f aca="false">(ED27+ED28+ED29)*(②시니어_가정!$E$165+②시니어_가정!$E$166)</f>
        <v>0</v>
      </c>
      <c r="EE47" s="37" t="n">
        <f aca="false">(EE27+EE28+EE29)*(②시니어_가정!$E$165+②시니어_가정!$E$166)</f>
        <v>0</v>
      </c>
      <c r="EF47" s="37" t="n">
        <f aca="false">(EF27+EF28+EF29)*(②시니어_가정!$E$165+②시니어_가정!$E$166)</f>
        <v>0</v>
      </c>
    </row>
    <row r="48" customFormat="false" ht="15" hidden="false" customHeight="false" outlineLevel="0" collapsed="false">
      <c r="A48" s="36" t="s">
        <v>596</v>
      </c>
      <c r="B48" s="278" t="s">
        <v>21</v>
      </c>
      <c r="C48" s="279" t="n">
        <f aca="false">SUM(E48:EF48)</f>
        <v>0</v>
      </c>
      <c r="E48" s="37" t="n">
        <f aca="false">E30*②시니어_가정!$E$175</f>
        <v>0</v>
      </c>
      <c r="F48" s="37" t="n">
        <f aca="false">F30*②시니어_가정!$E$175</f>
        <v>0</v>
      </c>
      <c r="G48" s="37" t="n">
        <f aca="false">G30*②시니어_가정!$E$175</f>
        <v>0</v>
      </c>
      <c r="H48" s="37" t="n">
        <f aca="false">H30*②시니어_가정!$E$175</f>
        <v>0</v>
      </c>
      <c r="I48" s="37" t="n">
        <f aca="false">I30*②시니어_가정!$E$175</f>
        <v>0</v>
      </c>
      <c r="J48" s="37" t="n">
        <f aca="false">J30*②시니어_가정!$E$175</f>
        <v>0</v>
      </c>
      <c r="K48" s="37" t="n">
        <f aca="false">K30*②시니어_가정!$E$175</f>
        <v>0</v>
      </c>
      <c r="L48" s="37" t="n">
        <f aca="false">L30*②시니어_가정!$E$175</f>
        <v>0</v>
      </c>
      <c r="M48" s="37" t="n">
        <f aca="false">M30*②시니어_가정!$E$175</f>
        <v>0</v>
      </c>
      <c r="N48" s="37" t="n">
        <f aca="false">N30*②시니어_가정!$E$175</f>
        <v>0</v>
      </c>
      <c r="O48" s="37" t="n">
        <f aca="false">O30*②시니어_가정!$E$175</f>
        <v>0</v>
      </c>
      <c r="P48" s="37" t="n">
        <f aca="false">P30*②시니어_가정!$E$175</f>
        <v>0</v>
      </c>
      <c r="Q48" s="37" t="n">
        <f aca="false">Q30*②시니어_가정!$E$175</f>
        <v>0</v>
      </c>
      <c r="R48" s="37" t="n">
        <f aca="false">R30*②시니어_가정!$E$175</f>
        <v>0</v>
      </c>
      <c r="S48" s="37" t="n">
        <f aca="false">S30*②시니어_가정!$E$175</f>
        <v>0</v>
      </c>
      <c r="T48" s="37" t="n">
        <f aca="false">T30*②시니어_가정!$E$175</f>
        <v>0</v>
      </c>
      <c r="U48" s="37" t="n">
        <f aca="false">U30*②시니어_가정!$E$175</f>
        <v>0</v>
      </c>
      <c r="V48" s="37" t="n">
        <f aca="false">V30*②시니어_가정!$E$175</f>
        <v>0</v>
      </c>
      <c r="W48" s="37" t="n">
        <f aca="false">W30*②시니어_가정!$E$175</f>
        <v>0</v>
      </c>
      <c r="X48" s="37" t="n">
        <f aca="false">X30*②시니어_가정!$E$175</f>
        <v>0</v>
      </c>
      <c r="Y48" s="37" t="n">
        <f aca="false">Y30*②시니어_가정!$E$175</f>
        <v>0</v>
      </c>
      <c r="Z48" s="37" t="n">
        <f aca="false">Z30*②시니어_가정!$E$175</f>
        <v>0</v>
      </c>
      <c r="AA48" s="37" t="n">
        <f aca="false">AA30*②시니어_가정!$E$175</f>
        <v>0</v>
      </c>
      <c r="AB48" s="37" t="n">
        <f aca="false">AB30*②시니어_가정!$E$175</f>
        <v>0</v>
      </c>
      <c r="AC48" s="37" t="n">
        <f aca="false">AC30*②시니어_가정!$E$175</f>
        <v>0</v>
      </c>
      <c r="AD48" s="37" t="n">
        <f aca="false">AD30*②시니어_가정!$E$175</f>
        <v>0</v>
      </c>
      <c r="AE48" s="37" t="n">
        <f aca="false">AE30*②시니어_가정!$E$175</f>
        <v>0</v>
      </c>
      <c r="AF48" s="37" t="n">
        <f aca="false">AF30*②시니어_가정!$E$175</f>
        <v>0</v>
      </c>
      <c r="AG48" s="37" t="n">
        <f aca="false">AG30*②시니어_가정!$E$175</f>
        <v>0</v>
      </c>
      <c r="AH48" s="37" t="n">
        <f aca="false">AH30*②시니어_가정!$E$175</f>
        <v>0</v>
      </c>
      <c r="AI48" s="37" t="n">
        <f aca="false">AI30*②시니어_가정!$E$175</f>
        <v>0</v>
      </c>
      <c r="AJ48" s="37" t="n">
        <f aca="false">AJ30*②시니어_가정!$E$175</f>
        <v>0</v>
      </c>
      <c r="AK48" s="37" t="n">
        <f aca="false">AK30*②시니어_가정!$E$175</f>
        <v>0</v>
      </c>
      <c r="AL48" s="37" t="n">
        <f aca="false">AL30*②시니어_가정!$E$175</f>
        <v>0</v>
      </c>
      <c r="AM48" s="37" t="n">
        <f aca="false">AM30*②시니어_가정!$E$175</f>
        <v>0</v>
      </c>
      <c r="AN48" s="37" t="n">
        <f aca="false">AN30*②시니어_가정!$E$175</f>
        <v>0</v>
      </c>
      <c r="AO48" s="37" t="n">
        <f aca="false">AO30*②시니어_가정!$E$175</f>
        <v>0</v>
      </c>
      <c r="AP48" s="37" t="n">
        <f aca="false">AP30*②시니어_가정!$E$175</f>
        <v>0</v>
      </c>
      <c r="AQ48" s="37" t="n">
        <f aca="false">AQ30*②시니어_가정!$E$175</f>
        <v>0</v>
      </c>
      <c r="AR48" s="37" t="n">
        <f aca="false">AR30*②시니어_가정!$E$175</f>
        <v>0</v>
      </c>
      <c r="AS48" s="37" t="n">
        <f aca="false">AS30*②시니어_가정!$E$175</f>
        <v>0</v>
      </c>
      <c r="AT48" s="37" t="n">
        <f aca="false">AT30*②시니어_가정!$E$175</f>
        <v>0</v>
      </c>
      <c r="AU48" s="37" t="n">
        <f aca="false">AU30*②시니어_가정!$E$175</f>
        <v>0</v>
      </c>
      <c r="AV48" s="37" t="n">
        <f aca="false">AV30*②시니어_가정!$E$175</f>
        <v>0</v>
      </c>
      <c r="AW48" s="37" t="n">
        <f aca="false">AW30*②시니어_가정!$E$175</f>
        <v>0</v>
      </c>
      <c r="AX48" s="37" t="n">
        <f aca="false">AX30*②시니어_가정!$E$175</f>
        <v>0</v>
      </c>
      <c r="AY48" s="37" t="n">
        <f aca="false">AY30*②시니어_가정!$E$175</f>
        <v>0</v>
      </c>
      <c r="AZ48" s="37" t="n">
        <f aca="false">AZ30*②시니어_가정!$E$175</f>
        <v>0</v>
      </c>
      <c r="BA48" s="37" t="n">
        <f aca="false">BA30*②시니어_가정!$E$175</f>
        <v>0</v>
      </c>
      <c r="BB48" s="37" t="n">
        <f aca="false">BB30*②시니어_가정!$E$175</f>
        <v>0</v>
      </c>
      <c r="BC48" s="37" t="n">
        <f aca="false">BC30*②시니어_가정!$E$175</f>
        <v>0</v>
      </c>
      <c r="BD48" s="37" t="n">
        <f aca="false">BD30*②시니어_가정!$E$175</f>
        <v>0</v>
      </c>
      <c r="BE48" s="37" t="n">
        <f aca="false">BE30*②시니어_가정!$E$175</f>
        <v>0</v>
      </c>
      <c r="BF48" s="37" t="n">
        <f aca="false">BF30*②시니어_가정!$E$175</f>
        <v>0</v>
      </c>
      <c r="BG48" s="37" t="n">
        <f aca="false">BG30*②시니어_가정!$E$175</f>
        <v>0</v>
      </c>
      <c r="BH48" s="37" t="n">
        <f aca="false">BH30*②시니어_가정!$E$175</f>
        <v>0</v>
      </c>
      <c r="BI48" s="37" t="n">
        <f aca="false">BI30*②시니어_가정!$E$175</f>
        <v>0</v>
      </c>
      <c r="BJ48" s="37" t="n">
        <f aca="false">BJ30*②시니어_가정!$E$175</f>
        <v>0</v>
      </c>
      <c r="BK48" s="37" t="n">
        <f aca="false">BK30*②시니어_가정!$E$175</f>
        <v>0</v>
      </c>
      <c r="BL48" s="37" t="n">
        <f aca="false">BL30*②시니어_가정!$E$175</f>
        <v>0</v>
      </c>
      <c r="BM48" s="37" t="n">
        <f aca="false">BM30*②시니어_가정!$E$175</f>
        <v>0</v>
      </c>
      <c r="BN48" s="37" t="n">
        <f aca="false">BN30*②시니어_가정!$E$175</f>
        <v>0</v>
      </c>
      <c r="BO48" s="37" t="n">
        <f aca="false">BO30*②시니어_가정!$E$175</f>
        <v>0</v>
      </c>
      <c r="BP48" s="37" t="n">
        <f aca="false">BP30*②시니어_가정!$E$175</f>
        <v>0</v>
      </c>
      <c r="BQ48" s="37" t="n">
        <f aca="false">BQ30*②시니어_가정!$E$175</f>
        <v>0</v>
      </c>
      <c r="BR48" s="37" t="n">
        <f aca="false">BR30*②시니어_가정!$E$175</f>
        <v>0</v>
      </c>
      <c r="BS48" s="37" t="n">
        <f aca="false">BS30*②시니어_가정!$E$175</f>
        <v>0</v>
      </c>
      <c r="BT48" s="37" t="n">
        <f aca="false">BT30*②시니어_가정!$E$175</f>
        <v>0</v>
      </c>
      <c r="BU48" s="37" t="n">
        <f aca="false">BU30*②시니어_가정!$E$175</f>
        <v>0</v>
      </c>
      <c r="BV48" s="37" t="n">
        <f aca="false">BV30*②시니어_가정!$E$175</f>
        <v>0</v>
      </c>
      <c r="BW48" s="37" t="n">
        <f aca="false">BW30*②시니어_가정!$E$175</f>
        <v>0</v>
      </c>
      <c r="BX48" s="37" t="n">
        <f aca="false">BX30*②시니어_가정!$E$175</f>
        <v>0</v>
      </c>
      <c r="BY48" s="37" t="n">
        <f aca="false">BY30*②시니어_가정!$E$175</f>
        <v>0</v>
      </c>
      <c r="BZ48" s="37" t="n">
        <f aca="false">BZ30*②시니어_가정!$E$175</f>
        <v>0</v>
      </c>
      <c r="CA48" s="37" t="n">
        <f aca="false">CA30*②시니어_가정!$E$175</f>
        <v>0</v>
      </c>
      <c r="CB48" s="37" t="n">
        <f aca="false">CB30*②시니어_가정!$E$175</f>
        <v>0</v>
      </c>
      <c r="CC48" s="37" t="n">
        <f aca="false">CC30*②시니어_가정!$E$175</f>
        <v>0</v>
      </c>
      <c r="CD48" s="37" t="n">
        <f aca="false">CD30*②시니어_가정!$E$175</f>
        <v>0</v>
      </c>
      <c r="CE48" s="37" t="n">
        <f aca="false">CE30*②시니어_가정!$E$175</f>
        <v>0</v>
      </c>
      <c r="CF48" s="37" t="n">
        <f aca="false">CF30*②시니어_가정!$E$175</f>
        <v>0</v>
      </c>
      <c r="CG48" s="37" t="n">
        <f aca="false">CG30*②시니어_가정!$E$175</f>
        <v>0</v>
      </c>
      <c r="CH48" s="37" t="n">
        <f aca="false">CH30*②시니어_가정!$E$175</f>
        <v>0</v>
      </c>
      <c r="CI48" s="37" t="n">
        <f aca="false">CI30*②시니어_가정!$E$175</f>
        <v>0</v>
      </c>
      <c r="CJ48" s="37" t="n">
        <f aca="false">CJ30*②시니어_가정!$E$175</f>
        <v>0</v>
      </c>
      <c r="CK48" s="37" t="n">
        <f aca="false">CK30*②시니어_가정!$E$175</f>
        <v>0</v>
      </c>
      <c r="CL48" s="37" t="n">
        <f aca="false">CL30*②시니어_가정!$E$175</f>
        <v>0</v>
      </c>
      <c r="CM48" s="37" t="n">
        <f aca="false">CM30*②시니어_가정!$E$175</f>
        <v>0</v>
      </c>
      <c r="CN48" s="37" t="n">
        <f aca="false">CN30*②시니어_가정!$E$175</f>
        <v>0</v>
      </c>
      <c r="CO48" s="37" t="n">
        <f aca="false">CO30*②시니어_가정!$E$175</f>
        <v>0</v>
      </c>
      <c r="CP48" s="37" t="n">
        <f aca="false">CP30*②시니어_가정!$E$175</f>
        <v>0</v>
      </c>
      <c r="CQ48" s="37" t="n">
        <f aca="false">CQ30*②시니어_가정!$E$175</f>
        <v>0</v>
      </c>
      <c r="CR48" s="37" t="n">
        <f aca="false">CR30*②시니어_가정!$E$175</f>
        <v>0</v>
      </c>
      <c r="CS48" s="37" t="n">
        <f aca="false">CS30*②시니어_가정!$E$175</f>
        <v>0</v>
      </c>
      <c r="CT48" s="37" t="n">
        <f aca="false">CT30*②시니어_가정!$E$175</f>
        <v>0</v>
      </c>
      <c r="CU48" s="37" t="n">
        <f aca="false">CU30*②시니어_가정!$E$175</f>
        <v>0</v>
      </c>
      <c r="CV48" s="37" t="n">
        <f aca="false">CV30*②시니어_가정!$E$175</f>
        <v>0</v>
      </c>
      <c r="CW48" s="37" t="n">
        <f aca="false">CW30*②시니어_가정!$E$175</f>
        <v>0</v>
      </c>
      <c r="CX48" s="37" t="n">
        <f aca="false">CX30*②시니어_가정!$E$175</f>
        <v>0</v>
      </c>
      <c r="CY48" s="37" t="n">
        <f aca="false">CY30*②시니어_가정!$E$175</f>
        <v>0</v>
      </c>
      <c r="CZ48" s="37" t="n">
        <f aca="false">CZ30*②시니어_가정!$E$175</f>
        <v>0</v>
      </c>
      <c r="DA48" s="37" t="n">
        <f aca="false">DA30*②시니어_가정!$E$175</f>
        <v>0</v>
      </c>
      <c r="DB48" s="37" t="n">
        <f aca="false">DB30*②시니어_가정!$E$175</f>
        <v>0</v>
      </c>
      <c r="DC48" s="37" t="n">
        <f aca="false">DC30*②시니어_가정!$E$175</f>
        <v>0</v>
      </c>
      <c r="DD48" s="37" t="n">
        <f aca="false">DD30*②시니어_가정!$E$175</f>
        <v>0</v>
      </c>
      <c r="DE48" s="37" t="n">
        <f aca="false">DE30*②시니어_가정!$E$175</f>
        <v>0</v>
      </c>
      <c r="DF48" s="37" t="n">
        <f aca="false">DF30*②시니어_가정!$E$175</f>
        <v>0</v>
      </c>
      <c r="DG48" s="37" t="n">
        <f aca="false">DG30*②시니어_가정!$E$175</f>
        <v>0</v>
      </c>
      <c r="DH48" s="37" t="n">
        <f aca="false">DH30*②시니어_가정!$E$175</f>
        <v>0</v>
      </c>
      <c r="DI48" s="37" t="n">
        <f aca="false">DI30*②시니어_가정!$E$175</f>
        <v>0</v>
      </c>
      <c r="DJ48" s="37" t="n">
        <f aca="false">DJ30*②시니어_가정!$E$175</f>
        <v>0</v>
      </c>
      <c r="DK48" s="37" t="n">
        <f aca="false">DK30*②시니어_가정!$E$175</f>
        <v>0</v>
      </c>
      <c r="DL48" s="37" t="n">
        <f aca="false">DL30*②시니어_가정!$E$175</f>
        <v>0</v>
      </c>
      <c r="DM48" s="37" t="n">
        <f aca="false">DM30*②시니어_가정!$E$175</f>
        <v>0</v>
      </c>
      <c r="DN48" s="37" t="n">
        <f aca="false">DN30*②시니어_가정!$E$175</f>
        <v>0</v>
      </c>
      <c r="DO48" s="37" t="n">
        <f aca="false">DO30*②시니어_가정!$E$175</f>
        <v>0</v>
      </c>
      <c r="DP48" s="37" t="n">
        <f aca="false">DP30*②시니어_가정!$E$175</f>
        <v>0</v>
      </c>
      <c r="DQ48" s="37" t="n">
        <f aca="false">DQ30*②시니어_가정!$E$175</f>
        <v>0</v>
      </c>
      <c r="DR48" s="37" t="n">
        <f aca="false">DR30*②시니어_가정!$E$175</f>
        <v>0</v>
      </c>
      <c r="DS48" s="37" t="n">
        <f aca="false">DS30*②시니어_가정!$E$175</f>
        <v>0</v>
      </c>
      <c r="DT48" s="37" t="n">
        <f aca="false">DT30*②시니어_가정!$E$175</f>
        <v>0</v>
      </c>
      <c r="DU48" s="37" t="n">
        <f aca="false">DU30*②시니어_가정!$E$175</f>
        <v>0</v>
      </c>
      <c r="DV48" s="37" t="n">
        <f aca="false">DV30*②시니어_가정!$E$175</f>
        <v>0</v>
      </c>
      <c r="DW48" s="37" t="n">
        <f aca="false">DW30*②시니어_가정!$E$175</f>
        <v>0</v>
      </c>
      <c r="DX48" s="37" t="n">
        <f aca="false">DX30*②시니어_가정!$E$175</f>
        <v>0</v>
      </c>
      <c r="DY48" s="37" t="n">
        <f aca="false">DY30*②시니어_가정!$E$175</f>
        <v>0</v>
      </c>
      <c r="DZ48" s="37" t="n">
        <f aca="false">DZ30*②시니어_가정!$E$175</f>
        <v>0</v>
      </c>
      <c r="EA48" s="37" t="n">
        <f aca="false">EA30*②시니어_가정!$E$175</f>
        <v>0</v>
      </c>
      <c r="EB48" s="37" t="n">
        <f aca="false">EB30*②시니어_가정!$E$175</f>
        <v>0</v>
      </c>
      <c r="EC48" s="37" t="n">
        <f aca="false">EC30*②시니어_가정!$E$175</f>
        <v>0</v>
      </c>
      <c r="ED48" s="37" t="n">
        <f aca="false">ED30*②시니어_가정!$E$175</f>
        <v>0</v>
      </c>
      <c r="EE48" s="37" t="n">
        <f aca="false">EE30*②시니어_가정!$E$175</f>
        <v>0</v>
      </c>
      <c r="EF48" s="37" t="n">
        <f aca="false">EF30*②시니어_가정!$E$175</f>
        <v>0</v>
      </c>
    </row>
    <row r="49" customFormat="false" ht="15" hidden="false" customHeight="false" outlineLevel="0" collapsed="false">
      <c r="A49" s="36" t="s">
        <v>597</v>
      </c>
      <c r="B49" s="278" t="s">
        <v>21</v>
      </c>
      <c r="C49" s="279" t="n">
        <f aca="false">SUM(E49:EF49)</f>
        <v>0</v>
      </c>
      <c r="E49" s="37" t="n">
        <f aca="false">E31*②시니어_가정!$E$176</f>
        <v>0</v>
      </c>
      <c r="F49" s="37" t="n">
        <f aca="false">F31*②시니어_가정!$E$176</f>
        <v>0</v>
      </c>
      <c r="G49" s="37" t="n">
        <f aca="false">G31*②시니어_가정!$E$176</f>
        <v>0</v>
      </c>
      <c r="H49" s="37" t="n">
        <f aca="false">H31*②시니어_가정!$E$176</f>
        <v>0</v>
      </c>
      <c r="I49" s="37" t="n">
        <f aca="false">I31*②시니어_가정!$E$176</f>
        <v>0</v>
      </c>
      <c r="J49" s="37" t="n">
        <f aca="false">J31*②시니어_가정!$E$176</f>
        <v>0</v>
      </c>
      <c r="K49" s="37" t="n">
        <f aca="false">K31*②시니어_가정!$E$176</f>
        <v>0</v>
      </c>
      <c r="L49" s="37" t="n">
        <f aca="false">L31*②시니어_가정!$E$176</f>
        <v>0</v>
      </c>
      <c r="M49" s="37" t="n">
        <f aca="false">M31*②시니어_가정!$E$176</f>
        <v>0</v>
      </c>
      <c r="N49" s="37" t="n">
        <f aca="false">N31*②시니어_가정!$E$176</f>
        <v>0</v>
      </c>
      <c r="O49" s="37" t="n">
        <f aca="false">O31*②시니어_가정!$E$176</f>
        <v>0</v>
      </c>
      <c r="P49" s="37" t="n">
        <f aca="false">P31*②시니어_가정!$E$176</f>
        <v>0</v>
      </c>
      <c r="Q49" s="37" t="n">
        <f aca="false">Q31*②시니어_가정!$E$176</f>
        <v>0</v>
      </c>
      <c r="R49" s="37" t="n">
        <f aca="false">R31*②시니어_가정!$E$176</f>
        <v>0</v>
      </c>
      <c r="S49" s="37" t="n">
        <f aca="false">S31*②시니어_가정!$E$176</f>
        <v>0</v>
      </c>
      <c r="T49" s="37" t="n">
        <f aca="false">T31*②시니어_가정!$E$176</f>
        <v>0</v>
      </c>
      <c r="U49" s="37" t="n">
        <f aca="false">U31*②시니어_가정!$E$176</f>
        <v>0</v>
      </c>
      <c r="V49" s="37" t="n">
        <f aca="false">V31*②시니어_가정!$E$176</f>
        <v>0</v>
      </c>
      <c r="W49" s="37" t="n">
        <f aca="false">W31*②시니어_가정!$E$176</f>
        <v>0</v>
      </c>
      <c r="X49" s="37" t="n">
        <f aca="false">X31*②시니어_가정!$E$176</f>
        <v>0</v>
      </c>
      <c r="Y49" s="37" t="n">
        <f aca="false">Y31*②시니어_가정!$E$176</f>
        <v>0</v>
      </c>
      <c r="Z49" s="37" t="n">
        <f aca="false">Z31*②시니어_가정!$E$176</f>
        <v>0</v>
      </c>
      <c r="AA49" s="37" t="n">
        <f aca="false">AA31*②시니어_가정!$E$176</f>
        <v>0</v>
      </c>
      <c r="AB49" s="37" t="n">
        <f aca="false">AB31*②시니어_가정!$E$176</f>
        <v>0</v>
      </c>
      <c r="AC49" s="37" t="n">
        <f aca="false">AC31*②시니어_가정!$E$176</f>
        <v>0</v>
      </c>
      <c r="AD49" s="37" t="n">
        <f aca="false">AD31*②시니어_가정!$E$176</f>
        <v>0</v>
      </c>
      <c r="AE49" s="37" t="n">
        <f aca="false">AE31*②시니어_가정!$E$176</f>
        <v>0</v>
      </c>
      <c r="AF49" s="37" t="n">
        <f aca="false">AF31*②시니어_가정!$E$176</f>
        <v>0</v>
      </c>
      <c r="AG49" s="37" t="n">
        <f aca="false">AG31*②시니어_가정!$E$176</f>
        <v>0</v>
      </c>
      <c r="AH49" s="37" t="n">
        <f aca="false">AH31*②시니어_가정!$E$176</f>
        <v>0</v>
      </c>
      <c r="AI49" s="37" t="n">
        <f aca="false">AI31*②시니어_가정!$E$176</f>
        <v>0</v>
      </c>
      <c r="AJ49" s="37" t="n">
        <f aca="false">AJ31*②시니어_가정!$E$176</f>
        <v>0</v>
      </c>
      <c r="AK49" s="37" t="n">
        <f aca="false">AK31*②시니어_가정!$E$176</f>
        <v>0</v>
      </c>
      <c r="AL49" s="37" t="n">
        <f aca="false">AL31*②시니어_가정!$E$176</f>
        <v>0</v>
      </c>
      <c r="AM49" s="37" t="n">
        <f aca="false">AM31*②시니어_가정!$E$176</f>
        <v>0</v>
      </c>
      <c r="AN49" s="37" t="n">
        <f aca="false">AN31*②시니어_가정!$E$176</f>
        <v>0</v>
      </c>
      <c r="AO49" s="37" t="n">
        <f aca="false">AO31*②시니어_가정!$E$176</f>
        <v>0</v>
      </c>
      <c r="AP49" s="37" t="n">
        <f aca="false">AP31*②시니어_가정!$E$176</f>
        <v>0</v>
      </c>
      <c r="AQ49" s="37" t="n">
        <f aca="false">AQ31*②시니어_가정!$E$176</f>
        <v>0</v>
      </c>
      <c r="AR49" s="37" t="n">
        <f aca="false">AR31*②시니어_가정!$E$176</f>
        <v>0</v>
      </c>
      <c r="AS49" s="37" t="n">
        <f aca="false">AS31*②시니어_가정!$E$176</f>
        <v>0</v>
      </c>
      <c r="AT49" s="37" t="n">
        <f aca="false">AT31*②시니어_가정!$E$176</f>
        <v>0</v>
      </c>
      <c r="AU49" s="37" t="n">
        <f aca="false">AU31*②시니어_가정!$E$176</f>
        <v>0</v>
      </c>
      <c r="AV49" s="37" t="n">
        <f aca="false">AV31*②시니어_가정!$E$176</f>
        <v>0</v>
      </c>
      <c r="AW49" s="37" t="n">
        <f aca="false">AW31*②시니어_가정!$E$176</f>
        <v>0</v>
      </c>
      <c r="AX49" s="37" t="n">
        <f aca="false">AX31*②시니어_가정!$E$176</f>
        <v>0</v>
      </c>
      <c r="AY49" s="37" t="n">
        <f aca="false">AY31*②시니어_가정!$E$176</f>
        <v>0</v>
      </c>
      <c r="AZ49" s="37" t="n">
        <f aca="false">AZ31*②시니어_가정!$E$176</f>
        <v>0</v>
      </c>
      <c r="BA49" s="37" t="n">
        <f aca="false">BA31*②시니어_가정!$E$176</f>
        <v>0</v>
      </c>
      <c r="BB49" s="37" t="n">
        <f aca="false">BB31*②시니어_가정!$E$176</f>
        <v>0</v>
      </c>
      <c r="BC49" s="37" t="n">
        <f aca="false">BC31*②시니어_가정!$E$176</f>
        <v>0</v>
      </c>
      <c r="BD49" s="37" t="n">
        <f aca="false">BD31*②시니어_가정!$E$176</f>
        <v>0</v>
      </c>
      <c r="BE49" s="37" t="n">
        <f aca="false">BE31*②시니어_가정!$E$176</f>
        <v>0</v>
      </c>
      <c r="BF49" s="37" t="n">
        <f aca="false">BF31*②시니어_가정!$E$176</f>
        <v>0</v>
      </c>
      <c r="BG49" s="37" t="n">
        <f aca="false">BG31*②시니어_가정!$E$176</f>
        <v>0</v>
      </c>
      <c r="BH49" s="37" t="n">
        <f aca="false">BH31*②시니어_가정!$E$176</f>
        <v>0</v>
      </c>
      <c r="BI49" s="37" t="n">
        <f aca="false">BI31*②시니어_가정!$E$176</f>
        <v>0</v>
      </c>
      <c r="BJ49" s="37" t="n">
        <f aca="false">BJ31*②시니어_가정!$E$176</f>
        <v>0</v>
      </c>
      <c r="BK49" s="37" t="n">
        <f aca="false">BK31*②시니어_가정!$E$176</f>
        <v>0</v>
      </c>
      <c r="BL49" s="37" t="n">
        <f aca="false">BL31*②시니어_가정!$E$176</f>
        <v>0</v>
      </c>
      <c r="BM49" s="37" t="n">
        <f aca="false">BM31*②시니어_가정!$E$176</f>
        <v>0</v>
      </c>
      <c r="BN49" s="37" t="n">
        <f aca="false">BN31*②시니어_가정!$E$176</f>
        <v>0</v>
      </c>
      <c r="BO49" s="37" t="n">
        <f aca="false">BO31*②시니어_가정!$E$176</f>
        <v>0</v>
      </c>
      <c r="BP49" s="37" t="n">
        <f aca="false">BP31*②시니어_가정!$E$176</f>
        <v>0</v>
      </c>
      <c r="BQ49" s="37" t="n">
        <f aca="false">BQ31*②시니어_가정!$E$176</f>
        <v>0</v>
      </c>
      <c r="BR49" s="37" t="n">
        <f aca="false">BR31*②시니어_가정!$E$176</f>
        <v>0</v>
      </c>
      <c r="BS49" s="37" t="n">
        <f aca="false">BS31*②시니어_가정!$E$176</f>
        <v>0</v>
      </c>
      <c r="BT49" s="37" t="n">
        <f aca="false">BT31*②시니어_가정!$E$176</f>
        <v>0</v>
      </c>
      <c r="BU49" s="37" t="n">
        <f aca="false">BU31*②시니어_가정!$E$176</f>
        <v>0</v>
      </c>
      <c r="BV49" s="37" t="n">
        <f aca="false">BV31*②시니어_가정!$E$176</f>
        <v>0</v>
      </c>
      <c r="BW49" s="37" t="n">
        <f aca="false">BW31*②시니어_가정!$E$176</f>
        <v>0</v>
      </c>
      <c r="BX49" s="37" t="n">
        <f aca="false">BX31*②시니어_가정!$E$176</f>
        <v>0</v>
      </c>
      <c r="BY49" s="37" t="n">
        <f aca="false">BY31*②시니어_가정!$E$176</f>
        <v>0</v>
      </c>
      <c r="BZ49" s="37" t="n">
        <f aca="false">BZ31*②시니어_가정!$E$176</f>
        <v>0</v>
      </c>
      <c r="CA49" s="37" t="n">
        <f aca="false">CA31*②시니어_가정!$E$176</f>
        <v>0</v>
      </c>
      <c r="CB49" s="37" t="n">
        <f aca="false">CB31*②시니어_가정!$E$176</f>
        <v>0</v>
      </c>
      <c r="CC49" s="37" t="n">
        <f aca="false">CC31*②시니어_가정!$E$176</f>
        <v>0</v>
      </c>
      <c r="CD49" s="37" t="n">
        <f aca="false">CD31*②시니어_가정!$E$176</f>
        <v>0</v>
      </c>
      <c r="CE49" s="37" t="n">
        <f aca="false">CE31*②시니어_가정!$E$176</f>
        <v>0</v>
      </c>
      <c r="CF49" s="37" t="n">
        <f aca="false">CF31*②시니어_가정!$E$176</f>
        <v>0</v>
      </c>
      <c r="CG49" s="37" t="n">
        <f aca="false">CG31*②시니어_가정!$E$176</f>
        <v>0</v>
      </c>
      <c r="CH49" s="37" t="n">
        <f aca="false">CH31*②시니어_가정!$E$176</f>
        <v>0</v>
      </c>
      <c r="CI49" s="37" t="n">
        <f aca="false">CI31*②시니어_가정!$E$176</f>
        <v>0</v>
      </c>
      <c r="CJ49" s="37" t="n">
        <f aca="false">CJ31*②시니어_가정!$E$176</f>
        <v>0</v>
      </c>
      <c r="CK49" s="37" t="n">
        <f aca="false">CK31*②시니어_가정!$E$176</f>
        <v>0</v>
      </c>
      <c r="CL49" s="37" t="n">
        <f aca="false">CL31*②시니어_가정!$E$176</f>
        <v>0</v>
      </c>
      <c r="CM49" s="37" t="n">
        <f aca="false">CM31*②시니어_가정!$E$176</f>
        <v>0</v>
      </c>
      <c r="CN49" s="37" t="n">
        <f aca="false">CN31*②시니어_가정!$E$176</f>
        <v>0</v>
      </c>
      <c r="CO49" s="37" t="n">
        <f aca="false">CO31*②시니어_가정!$E$176</f>
        <v>0</v>
      </c>
      <c r="CP49" s="37" t="n">
        <f aca="false">CP31*②시니어_가정!$E$176</f>
        <v>0</v>
      </c>
      <c r="CQ49" s="37" t="n">
        <f aca="false">CQ31*②시니어_가정!$E$176</f>
        <v>0</v>
      </c>
      <c r="CR49" s="37" t="n">
        <f aca="false">CR31*②시니어_가정!$E$176</f>
        <v>0</v>
      </c>
      <c r="CS49" s="37" t="n">
        <f aca="false">CS31*②시니어_가정!$E$176</f>
        <v>0</v>
      </c>
      <c r="CT49" s="37" t="n">
        <f aca="false">CT31*②시니어_가정!$E$176</f>
        <v>0</v>
      </c>
      <c r="CU49" s="37" t="n">
        <f aca="false">CU31*②시니어_가정!$E$176</f>
        <v>0</v>
      </c>
      <c r="CV49" s="37" t="n">
        <f aca="false">CV31*②시니어_가정!$E$176</f>
        <v>0</v>
      </c>
      <c r="CW49" s="37" t="n">
        <f aca="false">CW31*②시니어_가정!$E$176</f>
        <v>0</v>
      </c>
      <c r="CX49" s="37" t="n">
        <f aca="false">CX31*②시니어_가정!$E$176</f>
        <v>0</v>
      </c>
      <c r="CY49" s="37" t="n">
        <f aca="false">CY31*②시니어_가정!$E$176</f>
        <v>0</v>
      </c>
      <c r="CZ49" s="37" t="n">
        <f aca="false">CZ31*②시니어_가정!$E$176</f>
        <v>0</v>
      </c>
      <c r="DA49" s="37" t="n">
        <f aca="false">DA31*②시니어_가정!$E$176</f>
        <v>0</v>
      </c>
      <c r="DB49" s="37" t="n">
        <f aca="false">DB31*②시니어_가정!$E$176</f>
        <v>0</v>
      </c>
      <c r="DC49" s="37" t="n">
        <f aca="false">DC31*②시니어_가정!$E$176</f>
        <v>0</v>
      </c>
      <c r="DD49" s="37" t="n">
        <f aca="false">DD31*②시니어_가정!$E$176</f>
        <v>0</v>
      </c>
      <c r="DE49" s="37" t="n">
        <f aca="false">DE31*②시니어_가정!$E$176</f>
        <v>0</v>
      </c>
      <c r="DF49" s="37" t="n">
        <f aca="false">DF31*②시니어_가정!$E$176</f>
        <v>0</v>
      </c>
      <c r="DG49" s="37" t="n">
        <f aca="false">DG31*②시니어_가정!$E$176</f>
        <v>0</v>
      </c>
      <c r="DH49" s="37" t="n">
        <f aca="false">DH31*②시니어_가정!$E$176</f>
        <v>0</v>
      </c>
      <c r="DI49" s="37" t="n">
        <f aca="false">DI31*②시니어_가정!$E$176</f>
        <v>0</v>
      </c>
      <c r="DJ49" s="37" t="n">
        <f aca="false">DJ31*②시니어_가정!$E$176</f>
        <v>0</v>
      </c>
      <c r="DK49" s="37" t="n">
        <f aca="false">DK31*②시니어_가정!$E$176</f>
        <v>0</v>
      </c>
      <c r="DL49" s="37" t="n">
        <f aca="false">DL31*②시니어_가정!$E$176</f>
        <v>0</v>
      </c>
      <c r="DM49" s="37" t="n">
        <f aca="false">DM31*②시니어_가정!$E$176</f>
        <v>0</v>
      </c>
      <c r="DN49" s="37" t="n">
        <f aca="false">DN31*②시니어_가정!$E$176</f>
        <v>0</v>
      </c>
      <c r="DO49" s="37" t="n">
        <f aca="false">DO31*②시니어_가정!$E$176</f>
        <v>0</v>
      </c>
      <c r="DP49" s="37" t="n">
        <f aca="false">DP31*②시니어_가정!$E$176</f>
        <v>0</v>
      </c>
      <c r="DQ49" s="37" t="n">
        <f aca="false">DQ31*②시니어_가정!$E$176</f>
        <v>0</v>
      </c>
      <c r="DR49" s="37" t="n">
        <f aca="false">DR31*②시니어_가정!$E$176</f>
        <v>0</v>
      </c>
      <c r="DS49" s="37" t="n">
        <f aca="false">DS31*②시니어_가정!$E$176</f>
        <v>0</v>
      </c>
      <c r="DT49" s="37" t="n">
        <f aca="false">DT31*②시니어_가정!$E$176</f>
        <v>0</v>
      </c>
      <c r="DU49" s="37" t="n">
        <f aca="false">DU31*②시니어_가정!$E$176</f>
        <v>0</v>
      </c>
      <c r="DV49" s="37" t="n">
        <f aca="false">DV31*②시니어_가정!$E$176</f>
        <v>0</v>
      </c>
      <c r="DW49" s="37" t="n">
        <f aca="false">DW31*②시니어_가정!$E$176</f>
        <v>0</v>
      </c>
      <c r="DX49" s="37" t="n">
        <f aca="false">DX31*②시니어_가정!$E$176</f>
        <v>0</v>
      </c>
      <c r="DY49" s="37" t="n">
        <f aca="false">DY31*②시니어_가정!$E$176</f>
        <v>0</v>
      </c>
      <c r="DZ49" s="37" t="n">
        <f aca="false">DZ31*②시니어_가정!$E$176</f>
        <v>0</v>
      </c>
      <c r="EA49" s="37" t="n">
        <f aca="false">EA31*②시니어_가정!$E$176</f>
        <v>0</v>
      </c>
      <c r="EB49" s="37" t="n">
        <f aca="false">EB31*②시니어_가정!$E$176</f>
        <v>0</v>
      </c>
      <c r="EC49" s="37" t="n">
        <f aca="false">EC31*②시니어_가정!$E$176</f>
        <v>0</v>
      </c>
      <c r="ED49" s="37" t="n">
        <f aca="false">ED31*②시니어_가정!$E$176</f>
        <v>0</v>
      </c>
      <c r="EE49" s="37" t="n">
        <f aca="false">EE31*②시니어_가정!$E$176</f>
        <v>0</v>
      </c>
      <c r="EF49" s="37" t="n">
        <f aca="false">EF31*②시니어_가정!$E$176</f>
        <v>0</v>
      </c>
    </row>
    <row r="50" customFormat="false" ht="15" hidden="false" customHeight="false" outlineLevel="0" collapsed="false">
      <c r="A50" s="36" t="s">
        <v>598</v>
      </c>
      <c r="B50" s="278" t="s">
        <v>21</v>
      </c>
      <c r="C50" s="279" t="n">
        <f aca="false">SUM(E50:EF50)</f>
        <v>0</v>
      </c>
      <c r="E50" s="37" t="n">
        <f aca="false">E32*②시니어_가정!$E$177</f>
        <v>0</v>
      </c>
      <c r="F50" s="37" t="n">
        <f aca="false">F32*②시니어_가정!$E$177</f>
        <v>0</v>
      </c>
      <c r="G50" s="37" t="n">
        <f aca="false">G32*②시니어_가정!$E$177</f>
        <v>0</v>
      </c>
      <c r="H50" s="37" t="n">
        <f aca="false">H32*②시니어_가정!$E$177</f>
        <v>0</v>
      </c>
      <c r="I50" s="37" t="n">
        <f aca="false">I32*②시니어_가정!$E$177</f>
        <v>0</v>
      </c>
      <c r="J50" s="37" t="n">
        <f aca="false">J32*②시니어_가정!$E$177</f>
        <v>0</v>
      </c>
      <c r="K50" s="37" t="n">
        <f aca="false">K32*②시니어_가정!$E$177</f>
        <v>0</v>
      </c>
      <c r="L50" s="37" t="n">
        <f aca="false">L32*②시니어_가정!$E$177</f>
        <v>0</v>
      </c>
      <c r="M50" s="37" t="n">
        <f aca="false">M32*②시니어_가정!$E$177</f>
        <v>0</v>
      </c>
      <c r="N50" s="37" t="n">
        <f aca="false">N32*②시니어_가정!$E$177</f>
        <v>0</v>
      </c>
      <c r="O50" s="37" t="n">
        <f aca="false">O32*②시니어_가정!$E$177</f>
        <v>0</v>
      </c>
      <c r="P50" s="37" t="n">
        <f aca="false">P32*②시니어_가정!$E$177</f>
        <v>0</v>
      </c>
      <c r="Q50" s="37" t="n">
        <f aca="false">Q32*②시니어_가정!$E$177</f>
        <v>0</v>
      </c>
      <c r="R50" s="37" t="n">
        <f aca="false">R32*②시니어_가정!$E$177</f>
        <v>0</v>
      </c>
      <c r="S50" s="37" t="n">
        <f aca="false">S32*②시니어_가정!$E$177</f>
        <v>0</v>
      </c>
      <c r="T50" s="37" t="n">
        <f aca="false">T32*②시니어_가정!$E$177</f>
        <v>0</v>
      </c>
      <c r="U50" s="37" t="n">
        <f aca="false">U32*②시니어_가정!$E$177</f>
        <v>0</v>
      </c>
      <c r="V50" s="37" t="n">
        <f aca="false">V32*②시니어_가정!$E$177</f>
        <v>0</v>
      </c>
      <c r="W50" s="37" t="n">
        <f aca="false">W32*②시니어_가정!$E$177</f>
        <v>0</v>
      </c>
      <c r="X50" s="37" t="n">
        <f aca="false">X32*②시니어_가정!$E$177</f>
        <v>0</v>
      </c>
      <c r="Y50" s="37" t="n">
        <f aca="false">Y32*②시니어_가정!$E$177</f>
        <v>0</v>
      </c>
      <c r="Z50" s="37" t="n">
        <f aca="false">Z32*②시니어_가정!$E$177</f>
        <v>0</v>
      </c>
      <c r="AA50" s="37" t="n">
        <f aca="false">AA32*②시니어_가정!$E$177</f>
        <v>0</v>
      </c>
      <c r="AB50" s="37" t="n">
        <f aca="false">AB32*②시니어_가정!$E$177</f>
        <v>0</v>
      </c>
      <c r="AC50" s="37" t="n">
        <f aca="false">AC32*②시니어_가정!$E$177</f>
        <v>0</v>
      </c>
      <c r="AD50" s="37" t="n">
        <f aca="false">AD32*②시니어_가정!$E$177</f>
        <v>0</v>
      </c>
      <c r="AE50" s="37" t="n">
        <f aca="false">AE32*②시니어_가정!$E$177</f>
        <v>0</v>
      </c>
      <c r="AF50" s="37" t="n">
        <f aca="false">AF32*②시니어_가정!$E$177</f>
        <v>0</v>
      </c>
      <c r="AG50" s="37" t="n">
        <f aca="false">AG32*②시니어_가정!$E$177</f>
        <v>0</v>
      </c>
      <c r="AH50" s="37" t="n">
        <f aca="false">AH32*②시니어_가정!$E$177</f>
        <v>0</v>
      </c>
      <c r="AI50" s="37" t="n">
        <f aca="false">AI32*②시니어_가정!$E$177</f>
        <v>0</v>
      </c>
      <c r="AJ50" s="37" t="n">
        <f aca="false">AJ32*②시니어_가정!$E$177</f>
        <v>0</v>
      </c>
      <c r="AK50" s="37" t="n">
        <f aca="false">AK32*②시니어_가정!$E$177</f>
        <v>0</v>
      </c>
      <c r="AL50" s="37" t="n">
        <f aca="false">AL32*②시니어_가정!$E$177</f>
        <v>0</v>
      </c>
      <c r="AM50" s="37" t="n">
        <f aca="false">AM32*②시니어_가정!$E$177</f>
        <v>0</v>
      </c>
      <c r="AN50" s="37" t="n">
        <f aca="false">AN32*②시니어_가정!$E$177</f>
        <v>0</v>
      </c>
      <c r="AO50" s="37" t="n">
        <f aca="false">AO32*②시니어_가정!$E$177</f>
        <v>0</v>
      </c>
      <c r="AP50" s="37" t="n">
        <f aca="false">AP32*②시니어_가정!$E$177</f>
        <v>0</v>
      </c>
      <c r="AQ50" s="37" t="n">
        <f aca="false">AQ32*②시니어_가정!$E$177</f>
        <v>0</v>
      </c>
      <c r="AR50" s="37" t="n">
        <f aca="false">AR32*②시니어_가정!$E$177</f>
        <v>0</v>
      </c>
      <c r="AS50" s="37" t="n">
        <f aca="false">AS32*②시니어_가정!$E$177</f>
        <v>0</v>
      </c>
      <c r="AT50" s="37" t="n">
        <f aca="false">AT32*②시니어_가정!$E$177</f>
        <v>0</v>
      </c>
      <c r="AU50" s="37" t="n">
        <f aca="false">AU32*②시니어_가정!$E$177</f>
        <v>0</v>
      </c>
      <c r="AV50" s="37" t="n">
        <f aca="false">AV32*②시니어_가정!$E$177</f>
        <v>0</v>
      </c>
      <c r="AW50" s="37" t="n">
        <f aca="false">AW32*②시니어_가정!$E$177</f>
        <v>0</v>
      </c>
      <c r="AX50" s="37" t="n">
        <f aca="false">AX32*②시니어_가정!$E$177</f>
        <v>0</v>
      </c>
      <c r="AY50" s="37" t="n">
        <f aca="false">AY32*②시니어_가정!$E$177</f>
        <v>0</v>
      </c>
      <c r="AZ50" s="37" t="n">
        <f aca="false">AZ32*②시니어_가정!$E$177</f>
        <v>0</v>
      </c>
      <c r="BA50" s="37" t="n">
        <f aca="false">BA32*②시니어_가정!$E$177</f>
        <v>0</v>
      </c>
      <c r="BB50" s="37" t="n">
        <f aca="false">BB32*②시니어_가정!$E$177</f>
        <v>0</v>
      </c>
      <c r="BC50" s="37" t="n">
        <f aca="false">BC32*②시니어_가정!$E$177</f>
        <v>0</v>
      </c>
      <c r="BD50" s="37" t="n">
        <f aca="false">BD32*②시니어_가정!$E$177</f>
        <v>0</v>
      </c>
      <c r="BE50" s="37" t="n">
        <f aca="false">BE32*②시니어_가정!$E$177</f>
        <v>0</v>
      </c>
      <c r="BF50" s="37" t="n">
        <f aca="false">BF32*②시니어_가정!$E$177</f>
        <v>0</v>
      </c>
      <c r="BG50" s="37" t="n">
        <f aca="false">BG32*②시니어_가정!$E$177</f>
        <v>0</v>
      </c>
      <c r="BH50" s="37" t="n">
        <f aca="false">BH32*②시니어_가정!$E$177</f>
        <v>0</v>
      </c>
      <c r="BI50" s="37" t="n">
        <f aca="false">BI32*②시니어_가정!$E$177</f>
        <v>0</v>
      </c>
      <c r="BJ50" s="37" t="n">
        <f aca="false">BJ32*②시니어_가정!$E$177</f>
        <v>0</v>
      </c>
      <c r="BK50" s="37" t="n">
        <f aca="false">BK32*②시니어_가정!$E$177</f>
        <v>0</v>
      </c>
      <c r="BL50" s="37" t="n">
        <f aca="false">BL32*②시니어_가정!$E$177</f>
        <v>0</v>
      </c>
      <c r="BM50" s="37" t="n">
        <f aca="false">BM32*②시니어_가정!$E$177</f>
        <v>0</v>
      </c>
      <c r="BN50" s="37" t="n">
        <f aca="false">BN32*②시니어_가정!$E$177</f>
        <v>0</v>
      </c>
      <c r="BO50" s="37" t="n">
        <f aca="false">BO32*②시니어_가정!$E$177</f>
        <v>0</v>
      </c>
      <c r="BP50" s="37" t="n">
        <f aca="false">BP32*②시니어_가정!$E$177</f>
        <v>0</v>
      </c>
      <c r="BQ50" s="37" t="n">
        <f aca="false">BQ32*②시니어_가정!$E$177</f>
        <v>0</v>
      </c>
      <c r="BR50" s="37" t="n">
        <f aca="false">BR32*②시니어_가정!$E$177</f>
        <v>0</v>
      </c>
      <c r="BS50" s="37" t="n">
        <f aca="false">BS32*②시니어_가정!$E$177</f>
        <v>0</v>
      </c>
      <c r="BT50" s="37" t="n">
        <f aca="false">BT32*②시니어_가정!$E$177</f>
        <v>0</v>
      </c>
      <c r="BU50" s="37" t="n">
        <f aca="false">BU32*②시니어_가정!$E$177</f>
        <v>0</v>
      </c>
      <c r="BV50" s="37" t="n">
        <f aca="false">BV32*②시니어_가정!$E$177</f>
        <v>0</v>
      </c>
      <c r="BW50" s="37" t="n">
        <f aca="false">BW32*②시니어_가정!$E$177</f>
        <v>0</v>
      </c>
      <c r="BX50" s="37" t="n">
        <f aca="false">BX32*②시니어_가정!$E$177</f>
        <v>0</v>
      </c>
      <c r="BY50" s="37" t="n">
        <f aca="false">BY32*②시니어_가정!$E$177</f>
        <v>0</v>
      </c>
      <c r="BZ50" s="37" t="n">
        <f aca="false">BZ32*②시니어_가정!$E$177</f>
        <v>0</v>
      </c>
      <c r="CA50" s="37" t="n">
        <f aca="false">CA32*②시니어_가정!$E$177</f>
        <v>0</v>
      </c>
      <c r="CB50" s="37" t="n">
        <f aca="false">CB32*②시니어_가정!$E$177</f>
        <v>0</v>
      </c>
      <c r="CC50" s="37" t="n">
        <f aca="false">CC32*②시니어_가정!$E$177</f>
        <v>0</v>
      </c>
      <c r="CD50" s="37" t="n">
        <f aca="false">CD32*②시니어_가정!$E$177</f>
        <v>0</v>
      </c>
      <c r="CE50" s="37" t="n">
        <f aca="false">CE32*②시니어_가정!$E$177</f>
        <v>0</v>
      </c>
      <c r="CF50" s="37" t="n">
        <f aca="false">CF32*②시니어_가정!$E$177</f>
        <v>0</v>
      </c>
      <c r="CG50" s="37" t="n">
        <f aca="false">CG32*②시니어_가정!$E$177</f>
        <v>0</v>
      </c>
      <c r="CH50" s="37" t="n">
        <f aca="false">CH32*②시니어_가정!$E$177</f>
        <v>0</v>
      </c>
      <c r="CI50" s="37" t="n">
        <f aca="false">CI32*②시니어_가정!$E$177</f>
        <v>0</v>
      </c>
      <c r="CJ50" s="37" t="n">
        <f aca="false">CJ32*②시니어_가정!$E$177</f>
        <v>0</v>
      </c>
      <c r="CK50" s="37" t="n">
        <f aca="false">CK32*②시니어_가정!$E$177</f>
        <v>0</v>
      </c>
      <c r="CL50" s="37" t="n">
        <f aca="false">CL32*②시니어_가정!$E$177</f>
        <v>0</v>
      </c>
      <c r="CM50" s="37" t="n">
        <f aca="false">CM32*②시니어_가정!$E$177</f>
        <v>0</v>
      </c>
      <c r="CN50" s="37" t="n">
        <f aca="false">CN32*②시니어_가정!$E$177</f>
        <v>0</v>
      </c>
      <c r="CO50" s="37" t="n">
        <f aca="false">CO32*②시니어_가정!$E$177</f>
        <v>0</v>
      </c>
      <c r="CP50" s="37" t="n">
        <f aca="false">CP32*②시니어_가정!$E$177</f>
        <v>0</v>
      </c>
      <c r="CQ50" s="37" t="n">
        <f aca="false">CQ32*②시니어_가정!$E$177</f>
        <v>0</v>
      </c>
      <c r="CR50" s="37" t="n">
        <f aca="false">CR32*②시니어_가정!$E$177</f>
        <v>0</v>
      </c>
      <c r="CS50" s="37" t="n">
        <f aca="false">CS32*②시니어_가정!$E$177</f>
        <v>0</v>
      </c>
      <c r="CT50" s="37" t="n">
        <f aca="false">CT32*②시니어_가정!$E$177</f>
        <v>0</v>
      </c>
      <c r="CU50" s="37" t="n">
        <f aca="false">CU32*②시니어_가정!$E$177</f>
        <v>0</v>
      </c>
      <c r="CV50" s="37" t="n">
        <f aca="false">CV32*②시니어_가정!$E$177</f>
        <v>0</v>
      </c>
      <c r="CW50" s="37" t="n">
        <f aca="false">CW32*②시니어_가정!$E$177</f>
        <v>0</v>
      </c>
      <c r="CX50" s="37" t="n">
        <f aca="false">CX32*②시니어_가정!$E$177</f>
        <v>0</v>
      </c>
      <c r="CY50" s="37" t="n">
        <f aca="false">CY32*②시니어_가정!$E$177</f>
        <v>0</v>
      </c>
      <c r="CZ50" s="37" t="n">
        <f aca="false">CZ32*②시니어_가정!$E$177</f>
        <v>0</v>
      </c>
      <c r="DA50" s="37" t="n">
        <f aca="false">DA32*②시니어_가정!$E$177</f>
        <v>0</v>
      </c>
      <c r="DB50" s="37" t="n">
        <f aca="false">DB32*②시니어_가정!$E$177</f>
        <v>0</v>
      </c>
      <c r="DC50" s="37" t="n">
        <f aca="false">DC32*②시니어_가정!$E$177</f>
        <v>0</v>
      </c>
      <c r="DD50" s="37" t="n">
        <f aca="false">DD32*②시니어_가정!$E$177</f>
        <v>0</v>
      </c>
      <c r="DE50" s="37" t="n">
        <f aca="false">DE32*②시니어_가정!$E$177</f>
        <v>0</v>
      </c>
      <c r="DF50" s="37" t="n">
        <f aca="false">DF32*②시니어_가정!$E$177</f>
        <v>0</v>
      </c>
      <c r="DG50" s="37" t="n">
        <f aca="false">DG32*②시니어_가정!$E$177</f>
        <v>0</v>
      </c>
      <c r="DH50" s="37" t="n">
        <f aca="false">DH32*②시니어_가정!$E$177</f>
        <v>0</v>
      </c>
      <c r="DI50" s="37" t="n">
        <f aca="false">DI32*②시니어_가정!$E$177</f>
        <v>0</v>
      </c>
      <c r="DJ50" s="37" t="n">
        <f aca="false">DJ32*②시니어_가정!$E$177</f>
        <v>0</v>
      </c>
      <c r="DK50" s="37" t="n">
        <f aca="false">DK32*②시니어_가정!$E$177</f>
        <v>0</v>
      </c>
      <c r="DL50" s="37" t="n">
        <f aca="false">DL32*②시니어_가정!$E$177</f>
        <v>0</v>
      </c>
      <c r="DM50" s="37" t="n">
        <f aca="false">DM32*②시니어_가정!$E$177</f>
        <v>0</v>
      </c>
      <c r="DN50" s="37" t="n">
        <f aca="false">DN32*②시니어_가정!$E$177</f>
        <v>0</v>
      </c>
      <c r="DO50" s="37" t="n">
        <f aca="false">DO32*②시니어_가정!$E$177</f>
        <v>0</v>
      </c>
      <c r="DP50" s="37" t="n">
        <f aca="false">DP32*②시니어_가정!$E$177</f>
        <v>0</v>
      </c>
      <c r="DQ50" s="37" t="n">
        <f aca="false">DQ32*②시니어_가정!$E$177</f>
        <v>0</v>
      </c>
      <c r="DR50" s="37" t="n">
        <f aca="false">DR32*②시니어_가정!$E$177</f>
        <v>0</v>
      </c>
      <c r="DS50" s="37" t="n">
        <f aca="false">DS32*②시니어_가정!$E$177</f>
        <v>0</v>
      </c>
      <c r="DT50" s="37" t="n">
        <f aca="false">DT32*②시니어_가정!$E$177</f>
        <v>0</v>
      </c>
      <c r="DU50" s="37" t="n">
        <f aca="false">DU32*②시니어_가정!$E$177</f>
        <v>0</v>
      </c>
      <c r="DV50" s="37" t="n">
        <f aca="false">DV32*②시니어_가정!$E$177</f>
        <v>0</v>
      </c>
      <c r="DW50" s="37" t="n">
        <f aca="false">DW32*②시니어_가정!$E$177</f>
        <v>0</v>
      </c>
      <c r="DX50" s="37" t="n">
        <f aca="false">DX32*②시니어_가정!$E$177</f>
        <v>0</v>
      </c>
      <c r="DY50" s="37" t="n">
        <f aca="false">DY32*②시니어_가정!$E$177</f>
        <v>0</v>
      </c>
      <c r="DZ50" s="37" t="n">
        <f aca="false">DZ32*②시니어_가정!$E$177</f>
        <v>0</v>
      </c>
      <c r="EA50" s="37" t="n">
        <f aca="false">EA32*②시니어_가정!$E$177</f>
        <v>0</v>
      </c>
      <c r="EB50" s="37" t="n">
        <f aca="false">EB32*②시니어_가정!$E$177</f>
        <v>0</v>
      </c>
      <c r="EC50" s="37" t="n">
        <f aca="false">EC32*②시니어_가정!$E$177</f>
        <v>0</v>
      </c>
      <c r="ED50" s="37" t="n">
        <f aca="false">ED32*②시니어_가정!$E$177</f>
        <v>0</v>
      </c>
      <c r="EE50" s="37" t="n">
        <f aca="false">EE32*②시니어_가정!$E$177</f>
        <v>0</v>
      </c>
      <c r="EF50" s="37" t="n">
        <f aca="false">EF32*②시니어_가정!$E$177</f>
        <v>0</v>
      </c>
    </row>
    <row r="51" customFormat="false" ht="15" hidden="false" customHeight="false" outlineLevel="0" collapsed="false">
      <c r="A51" s="36" t="s">
        <v>599</v>
      </c>
      <c r="B51" s="278" t="s">
        <v>21</v>
      </c>
      <c r="C51" s="279" t="n">
        <f aca="false">SUM(E51:EF51)</f>
        <v>0</v>
      </c>
      <c r="E51" s="37" t="n">
        <f aca="false">E33*②시니어_가정!$E$178</f>
        <v>0</v>
      </c>
      <c r="F51" s="37" t="n">
        <f aca="false">F33*②시니어_가정!$E$178</f>
        <v>0</v>
      </c>
      <c r="G51" s="37" t="n">
        <f aca="false">G33*②시니어_가정!$E$178</f>
        <v>0</v>
      </c>
      <c r="H51" s="37" t="n">
        <f aca="false">H33*②시니어_가정!$E$178</f>
        <v>0</v>
      </c>
      <c r="I51" s="37" t="n">
        <f aca="false">I33*②시니어_가정!$E$178</f>
        <v>0</v>
      </c>
      <c r="J51" s="37" t="n">
        <f aca="false">J33*②시니어_가정!$E$178</f>
        <v>0</v>
      </c>
      <c r="K51" s="37" t="n">
        <f aca="false">K33*②시니어_가정!$E$178</f>
        <v>0</v>
      </c>
      <c r="L51" s="37" t="n">
        <f aca="false">L33*②시니어_가정!$E$178</f>
        <v>0</v>
      </c>
      <c r="M51" s="37" t="n">
        <f aca="false">M33*②시니어_가정!$E$178</f>
        <v>0</v>
      </c>
      <c r="N51" s="37" t="n">
        <f aca="false">N33*②시니어_가정!$E$178</f>
        <v>0</v>
      </c>
      <c r="O51" s="37" t="n">
        <f aca="false">O33*②시니어_가정!$E$178</f>
        <v>0</v>
      </c>
      <c r="P51" s="37" t="n">
        <f aca="false">P33*②시니어_가정!$E$178</f>
        <v>0</v>
      </c>
      <c r="Q51" s="37" t="n">
        <f aca="false">Q33*②시니어_가정!$E$178</f>
        <v>0</v>
      </c>
      <c r="R51" s="37" t="n">
        <f aca="false">R33*②시니어_가정!$E$178</f>
        <v>0</v>
      </c>
      <c r="S51" s="37" t="n">
        <f aca="false">S33*②시니어_가정!$E$178</f>
        <v>0</v>
      </c>
      <c r="T51" s="37" t="n">
        <f aca="false">T33*②시니어_가정!$E$178</f>
        <v>0</v>
      </c>
      <c r="U51" s="37" t="n">
        <f aca="false">U33*②시니어_가정!$E$178</f>
        <v>0</v>
      </c>
      <c r="V51" s="37" t="n">
        <f aca="false">V33*②시니어_가정!$E$178</f>
        <v>0</v>
      </c>
      <c r="W51" s="37" t="n">
        <f aca="false">W33*②시니어_가정!$E$178</f>
        <v>0</v>
      </c>
      <c r="X51" s="37" t="n">
        <f aca="false">X33*②시니어_가정!$E$178</f>
        <v>0</v>
      </c>
      <c r="Y51" s="37" t="n">
        <f aca="false">Y33*②시니어_가정!$E$178</f>
        <v>0</v>
      </c>
      <c r="Z51" s="37" t="n">
        <f aca="false">Z33*②시니어_가정!$E$178</f>
        <v>0</v>
      </c>
      <c r="AA51" s="37" t="n">
        <f aca="false">AA33*②시니어_가정!$E$178</f>
        <v>0</v>
      </c>
      <c r="AB51" s="37" t="n">
        <f aca="false">AB33*②시니어_가정!$E$178</f>
        <v>0</v>
      </c>
      <c r="AC51" s="37" t="n">
        <f aca="false">AC33*②시니어_가정!$E$178</f>
        <v>0</v>
      </c>
      <c r="AD51" s="37" t="n">
        <f aca="false">AD33*②시니어_가정!$E$178</f>
        <v>0</v>
      </c>
      <c r="AE51" s="37" t="n">
        <f aca="false">AE33*②시니어_가정!$E$178</f>
        <v>0</v>
      </c>
      <c r="AF51" s="37" t="n">
        <f aca="false">AF33*②시니어_가정!$E$178</f>
        <v>0</v>
      </c>
      <c r="AG51" s="37" t="n">
        <f aca="false">AG33*②시니어_가정!$E$178</f>
        <v>0</v>
      </c>
      <c r="AH51" s="37" t="n">
        <f aca="false">AH33*②시니어_가정!$E$178</f>
        <v>0</v>
      </c>
      <c r="AI51" s="37" t="n">
        <f aca="false">AI33*②시니어_가정!$E$178</f>
        <v>0</v>
      </c>
      <c r="AJ51" s="37" t="n">
        <f aca="false">AJ33*②시니어_가정!$E$178</f>
        <v>0</v>
      </c>
      <c r="AK51" s="37" t="n">
        <f aca="false">AK33*②시니어_가정!$E$178</f>
        <v>0</v>
      </c>
      <c r="AL51" s="37" t="n">
        <f aca="false">AL33*②시니어_가정!$E$178</f>
        <v>0</v>
      </c>
      <c r="AM51" s="37" t="n">
        <f aca="false">AM33*②시니어_가정!$E$178</f>
        <v>0</v>
      </c>
      <c r="AN51" s="37" t="n">
        <f aca="false">AN33*②시니어_가정!$E$178</f>
        <v>0</v>
      </c>
      <c r="AO51" s="37" t="n">
        <f aca="false">AO33*②시니어_가정!$E$178</f>
        <v>0</v>
      </c>
      <c r="AP51" s="37" t="n">
        <f aca="false">AP33*②시니어_가정!$E$178</f>
        <v>0</v>
      </c>
      <c r="AQ51" s="37" t="n">
        <f aca="false">AQ33*②시니어_가정!$E$178</f>
        <v>0</v>
      </c>
      <c r="AR51" s="37" t="n">
        <f aca="false">AR33*②시니어_가정!$E$178</f>
        <v>0</v>
      </c>
      <c r="AS51" s="37" t="n">
        <f aca="false">AS33*②시니어_가정!$E$178</f>
        <v>0</v>
      </c>
      <c r="AT51" s="37" t="n">
        <f aca="false">AT33*②시니어_가정!$E$178</f>
        <v>0</v>
      </c>
      <c r="AU51" s="37" t="n">
        <f aca="false">AU33*②시니어_가정!$E$178</f>
        <v>0</v>
      </c>
      <c r="AV51" s="37" t="n">
        <f aca="false">AV33*②시니어_가정!$E$178</f>
        <v>0</v>
      </c>
      <c r="AW51" s="37" t="n">
        <f aca="false">AW33*②시니어_가정!$E$178</f>
        <v>0</v>
      </c>
      <c r="AX51" s="37" t="n">
        <f aca="false">AX33*②시니어_가정!$E$178</f>
        <v>0</v>
      </c>
      <c r="AY51" s="37" t="n">
        <f aca="false">AY33*②시니어_가정!$E$178</f>
        <v>0</v>
      </c>
      <c r="AZ51" s="37" t="n">
        <f aca="false">AZ33*②시니어_가정!$E$178</f>
        <v>0</v>
      </c>
      <c r="BA51" s="37" t="n">
        <f aca="false">BA33*②시니어_가정!$E$178</f>
        <v>0</v>
      </c>
      <c r="BB51" s="37" t="n">
        <f aca="false">BB33*②시니어_가정!$E$178</f>
        <v>0</v>
      </c>
      <c r="BC51" s="37" t="n">
        <f aca="false">BC33*②시니어_가정!$E$178</f>
        <v>0</v>
      </c>
      <c r="BD51" s="37" t="n">
        <f aca="false">BD33*②시니어_가정!$E$178</f>
        <v>0</v>
      </c>
      <c r="BE51" s="37" t="n">
        <f aca="false">BE33*②시니어_가정!$E$178</f>
        <v>0</v>
      </c>
      <c r="BF51" s="37" t="n">
        <f aca="false">BF33*②시니어_가정!$E$178</f>
        <v>0</v>
      </c>
      <c r="BG51" s="37" t="n">
        <f aca="false">BG33*②시니어_가정!$E$178</f>
        <v>0</v>
      </c>
      <c r="BH51" s="37" t="n">
        <f aca="false">BH33*②시니어_가정!$E$178</f>
        <v>0</v>
      </c>
      <c r="BI51" s="37" t="n">
        <f aca="false">BI33*②시니어_가정!$E$178</f>
        <v>0</v>
      </c>
      <c r="BJ51" s="37" t="n">
        <f aca="false">BJ33*②시니어_가정!$E$178</f>
        <v>0</v>
      </c>
      <c r="BK51" s="37" t="n">
        <f aca="false">BK33*②시니어_가정!$E$178</f>
        <v>0</v>
      </c>
      <c r="BL51" s="37" t="n">
        <f aca="false">BL33*②시니어_가정!$E$178</f>
        <v>0</v>
      </c>
      <c r="BM51" s="37" t="n">
        <f aca="false">BM33*②시니어_가정!$E$178</f>
        <v>0</v>
      </c>
      <c r="BN51" s="37" t="n">
        <f aca="false">BN33*②시니어_가정!$E$178</f>
        <v>0</v>
      </c>
      <c r="BO51" s="37" t="n">
        <f aca="false">BO33*②시니어_가정!$E$178</f>
        <v>0</v>
      </c>
      <c r="BP51" s="37" t="n">
        <f aca="false">BP33*②시니어_가정!$E$178</f>
        <v>0</v>
      </c>
      <c r="BQ51" s="37" t="n">
        <f aca="false">BQ33*②시니어_가정!$E$178</f>
        <v>0</v>
      </c>
      <c r="BR51" s="37" t="n">
        <f aca="false">BR33*②시니어_가정!$E$178</f>
        <v>0</v>
      </c>
      <c r="BS51" s="37" t="n">
        <f aca="false">BS33*②시니어_가정!$E$178</f>
        <v>0</v>
      </c>
      <c r="BT51" s="37" t="n">
        <f aca="false">BT33*②시니어_가정!$E$178</f>
        <v>0</v>
      </c>
      <c r="BU51" s="37" t="n">
        <f aca="false">BU33*②시니어_가정!$E$178</f>
        <v>0</v>
      </c>
      <c r="BV51" s="37" t="n">
        <f aca="false">BV33*②시니어_가정!$E$178</f>
        <v>0</v>
      </c>
      <c r="BW51" s="37" t="n">
        <f aca="false">BW33*②시니어_가정!$E$178</f>
        <v>0</v>
      </c>
      <c r="BX51" s="37" t="n">
        <f aca="false">BX33*②시니어_가정!$E$178</f>
        <v>0</v>
      </c>
      <c r="BY51" s="37" t="n">
        <f aca="false">BY33*②시니어_가정!$E$178</f>
        <v>0</v>
      </c>
      <c r="BZ51" s="37" t="n">
        <f aca="false">BZ33*②시니어_가정!$E$178</f>
        <v>0</v>
      </c>
      <c r="CA51" s="37" t="n">
        <f aca="false">CA33*②시니어_가정!$E$178</f>
        <v>0</v>
      </c>
      <c r="CB51" s="37" t="n">
        <f aca="false">CB33*②시니어_가정!$E$178</f>
        <v>0</v>
      </c>
      <c r="CC51" s="37" t="n">
        <f aca="false">CC33*②시니어_가정!$E$178</f>
        <v>0</v>
      </c>
      <c r="CD51" s="37" t="n">
        <f aca="false">CD33*②시니어_가정!$E$178</f>
        <v>0</v>
      </c>
      <c r="CE51" s="37" t="n">
        <f aca="false">CE33*②시니어_가정!$E$178</f>
        <v>0</v>
      </c>
      <c r="CF51" s="37" t="n">
        <f aca="false">CF33*②시니어_가정!$E$178</f>
        <v>0</v>
      </c>
      <c r="CG51" s="37" t="n">
        <f aca="false">CG33*②시니어_가정!$E$178</f>
        <v>0</v>
      </c>
      <c r="CH51" s="37" t="n">
        <f aca="false">CH33*②시니어_가정!$E$178</f>
        <v>0</v>
      </c>
      <c r="CI51" s="37" t="n">
        <f aca="false">CI33*②시니어_가정!$E$178</f>
        <v>0</v>
      </c>
      <c r="CJ51" s="37" t="n">
        <f aca="false">CJ33*②시니어_가정!$E$178</f>
        <v>0</v>
      </c>
      <c r="CK51" s="37" t="n">
        <f aca="false">CK33*②시니어_가정!$E$178</f>
        <v>0</v>
      </c>
      <c r="CL51" s="37" t="n">
        <f aca="false">CL33*②시니어_가정!$E$178</f>
        <v>0</v>
      </c>
      <c r="CM51" s="37" t="n">
        <f aca="false">CM33*②시니어_가정!$E$178</f>
        <v>0</v>
      </c>
      <c r="CN51" s="37" t="n">
        <f aca="false">CN33*②시니어_가정!$E$178</f>
        <v>0</v>
      </c>
      <c r="CO51" s="37" t="n">
        <f aca="false">CO33*②시니어_가정!$E$178</f>
        <v>0</v>
      </c>
      <c r="CP51" s="37" t="n">
        <f aca="false">CP33*②시니어_가정!$E$178</f>
        <v>0</v>
      </c>
      <c r="CQ51" s="37" t="n">
        <f aca="false">CQ33*②시니어_가정!$E$178</f>
        <v>0</v>
      </c>
      <c r="CR51" s="37" t="n">
        <f aca="false">CR33*②시니어_가정!$E$178</f>
        <v>0</v>
      </c>
      <c r="CS51" s="37" t="n">
        <f aca="false">CS33*②시니어_가정!$E$178</f>
        <v>0</v>
      </c>
      <c r="CT51" s="37" t="n">
        <f aca="false">CT33*②시니어_가정!$E$178</f>
        <v>0</v>
      </c>
      <c r="CU51" s="37" t="n">
        <f aca="false">CU33*②시니어_가정!$E$178</f>
        <v>0</v>
      </c>
      <c r="CV51" s="37" t="n">
        <f aca="false">CV33*②시니어_가정!$E$178</f>
        <v>0</v>
      </c>
      <c r="CW51" s="37" t="n">
        <f aca="false">CW33*②시니어_가정!$E$178</f>
        <v>0</v>
      </c>
      <c r="CX51" s="37" t="n">
        <f aca="false">CX33*②시니어_가정!$E$178</f>
        <v>0</v>
      </c>
      <c r="CY51" s="37" t="n">
        <f aca="false">CY33*②시니어_가정!$E$178</f>
        <v>0</v>
      </c>
      <c r="CZ51" s="37" t="n">
        <f aca="false">CZ33*②시니어_가정!$E$178</f>
        <v>0</v>
      </c>
      <c r="DA51" s="37" t="n">
        <f aca="false">DA33*②시니어_가정!$E$178</f>
        <v>0</v>
      </c>
      <c r="DB51" s="37" t="n">
        <f aca="false">DB33*②시니어_가정!$E$178</f>
        <v>0</v>
      </c>
      <c r="DC51" s="37" t="n">
        <f aca="false">DC33*②시니어_가정!$E$178</f>
        <v>0</v>
      </c>
      <c r="DD51" s="37" t="n">
        <f aca="false">DD33*②시니어_가정!$E$178</f>
        <v>0</v>
      </c>
      <c r="DE51" s="37" t="n">
        <f aca="false">DE33*②시니어_가정!$E$178</f>
        <v>0</v>
      </c>
      <c r="DF51" s="37" t="n">
        <f aca="false">DF33*②시니어_가정!$E$178</f>
        <v>0</v>
      </c>
      <c r="DG51" s="37" t="n">
        <f aca="false">DG33*②시니어_가정!$E$178</f>
        <v>0</v>
      </c>
      <c r="DH51" s="37" t="n">
        <f aca="false">DH33*②시니어_가정!$E$178</f>
        <v>0</v>
      </c>
      <c r="DI51" s="37" t="n">
        <f aca="false">DI33*②시니어_가정!$E$178</f>
        <v>0</v>
      </c>
      <c r="DJ51" s="37" t="n">
        <f aca="false">DJ33*②시니어_가정!$E$178</f>
        <v>0</v>
      </c>
      <c r="DK51" s="37" t="n">
        <f aca="false">DK33*②시니어_가정!$E$178</f>
        <v>0</v>
      </c>
      <c r="DL51" s="37" t="n">
        <f aca="false">DL33*②시니어_가정!$E$178</f>
        <v>0</v>
      </c>
      <c r="DM51" s="37" t="n">
        <f aca="false">DM33*②시니어_가정!$E$178</f>
        <v>0</v>
      </c>
      <c r="DN51" s="37" t="n">
        <f aca="false">DN33*②시니어_가정!$E$178</f>
        <v>0</v>
      </c>
      <c r="DO51" s="37" t="n">
        <f aca="false">DO33*②시니어_가정!$E$178</f>
        <v>0</v>
      </c>
      <c r="DP51" s="37" t="n">
        <f aca="false">DP33*②시니어_가정!$E$178</f>
        <v>0</v>
      </c>
      <c r="DQ51" s="37" t="n">
        <f aca="false">DQ33*②시니어_가정!$E$178</f>
        <v>0</v>
      </c>
      <c r="DR51" s="37" t="n">
        <f aca="false">DR33*②시니어_가정!$E$178</f>
        <v>0</v>
      </c>
      <c r="DS51" s="37" t="n">
        <f aca="false">DS33*②시니어_가정!$E$178</f>
        <v>0</v>
      </c>
      <c r="DT51" s="37" t="n">
        <f aca="false">DT33*②시니어_가정!$E$178</f>
        <v>0</v>
      </c>
      <c r="DU51" s="37" t="n">
        <f aca="false">DU33*②시니어_가정!$E$178</f>
        <v>0</v>
      </c>
      <c r="DV51" s="37" t="n">
        <f aca="false">DV33*②시니어_가정!$E$178</f>
        <v>0</v>
      </c>
      <c r="DW51" s="37" t="n">
        <f aca="false">DW33*②시니어_가정!$E$178</f>
        <v>0</v>
      </c>
      <c r="DX51" s="37" t="n">
        <f aca="false">DX33*②시니어_가정!$E$178</f>
        <v>0</v>
      </c>
      <c r="DY51" s="37" t="n">
        <f aca="false">DY33*②시니어_가정!$E$178</f>
        <v>0</v>
      </c>
      <c r="DZ51" s="37" t="n">
        <f aca="false">DZ33*②시니어_가정!$E$178</f>
        <v>0</v>
      </c>
      <c r="EA51" s="37" t="n">
        <f aca="false">EA33*②시니어_가정!$E$178</f>
        <v>0</v>
      </c>
      <c r="EB51" s="37" t="n">
        <f aca="false">EB33*②시니어_가정!$E$178</f>
        <v>0</v>
      </c>
      <c r="EC51" s="37" t="n">
        <f aca="false">EC33*②시니어_가정!$E$178</f>
        <v>0</v>
      </c>
      <c r="ED51" s="37" t="n">
        <f aca="false">ED33*②시니어_가정!$E$178</f>
        <v>0</v>
      </c>
      <c r="EE51" s="37" t="n">
        <f aca="false">EE33*②시니어_가정!$E$178</f>
        <v>0</v>
      </c>
      <c r="EF51" s="37" t="n">
        <f aca="false">EF33*②시니어_가정!$E$178</f>
        <v>0</v>
      </c>
    </row>
    <row r="52" customFormat="false" ht="15" hidden="false" customHeight="false" outlineLevel="0" collapsed="false">
      <c r="A52" s="153" t="s">
        <v>600</v>
      </c>
      <c r="B52" s="278" t="s">
        <v>21</v>
      </c>
      <c r="C52" s="279" t="n">
        <f aca="false">SUM(E52:EF52)</f>
        <v>0</v>
      </c>
      <c r="E52" s="37" t="n">
        <f aca="false">E34*②시니어_가정!$E$179</f>
        <v>0</v>
      </c>
      <c r="F52" s="37" t="n">
        <f aca="false">F34*②시니어_가정!$E$179</f>
        <v>0</v>
      </c>
      <c r="G52" s="37" t="n">
        <f aca="false">G34*②시니어_가정!$E$179</f>
        <v>0</v>
      </c>
      <c r="H52" s="37" t="n">
        <f aca="false">H34*②시니어_가정!$E$179</f>
        <v>0</v>
      </c>
      <c r="I52" s="37" t="n">
        <f aca="false">I34*②시니어_가정!$E$179</f>
        <v>0</v>
      </c>
      <c r="J52" s="37" t="n">
        <f aca="false">J34*②시니어_가정!$E$179</f>
        <v>0</v>
      </c>
      <c r="K52" s="37" t="n">
        <f aca="false">K34*②시니어_가정!$E$179</f>
        <v>0</v>
      </c>
      <c r="L52" s="37" t="n">
        <f aca="false">L34*②시니어_가정!$E$179</f>
        <v>0</v>
      </c>
      <c r="M52" s="37" t="n">
        <f aca="false">M34*②시니어_가정!$E$179</f>
        <v>0</v>
      </c>
      <c r="N52" s="37" t="n">
        <f aca="false">N34*②시니어_가정!$E$179</f>
        <v>0</v>
      </c>
      <c r="O52" s="37" t="n">
        <f aca="false">O34*②시니어_가정!$E$179</f>
        <v>0</v>
      </c>
      <c r="P52" s="37" t="n">
        <f aca="false">P34*②시니어_가정!$E$179</f>
        <v>0</v>
      </c>
      <c r="Q52" s="37" t="n">
        <f aca="false">Q34*②시니어_가정!$E$179</f>
        <v>0</v>
      </c>
      <c r="R52" s="37" t="n">
        <f aca="false">R34*②시니어_가정!$E$179</f>
        <v>0</v>
      </c>
      <c r="S52" s="37" t="n">
        <f aca="false">S34*②시니어_가정!$E$179</f>
        <v>0</v>
      </c>
      <c r="T52" s="37" t="n">
        <f aca="false">T34*②시니어_가정!$E$179</f>
        <v>0</v>
      </c>
      <c r="U52" s="37" t="n">
        <f aca="false">U34*②시니어_가정!$E$179</f>
        <v>0</v>
      </c>
      <c r="V52" s="37" t="n">
        <f aca="false">V34*②시니어_가정!$E$179</f>
        <v>0</v>
      </c>
      <c r="W52" s="37" t="n">
        <f aca="false">W34*②시니어_가정!$E$179</f>
        <v>0</v>
      </c>
      <c r="X52" s="37" t="n">
        <f aca="false">X34*②시니어_가정!$E$179</f>
        <v>0</v>
      </c>
      <c r="Y52" s="37" t="n">
        <f aca="false">Y34*②시니어_가정!$E$179</f>
        <v>0</v>
      </c>
      <c r="Z52" s="37" t="n">
        <f aca="false">Z34*②시니어_가정!$E$179</f>
        <v>0</v>
      </c>
      <c r="AA52" s="37" t="n">
        <f aca="false">AA34*②시니어_가정!$E$179</f>
        <v>0</v>
      </c>
      <c r="AB52" s="37" t="n">
        <f aca="false">AB34*②시니어_가정!$E$179</f>
        <v>0</v>
      </c>
      <c r="AC52" s="37" t="n">
        <f aca="false">AC34*②시니어_가정!$E$179</f>
        <v>0</v>
      </c>
      <c r="AD52" s="37" t="n">
        <f aca="false">AD34*②시니어_가정!$E$179</f>
        <v>0</v>
      </c>
      <c r="AE52" s="37" t="n">
        <f aca="false">AE34*②시니어_가정!$E$179</f>
        <v>0</v>
      </c>
      <c r="AF52" s="37" t="n">
        <f aca="false">AF34*②시니어_가정!$E$179</f>
        <v>0</v>
      </c>
      <c r="AG52" s="37" t="n">
        <f aca="false">AG34*②시니어_가정!$E$179</f>
        <v>0</v>
      </c>
      <c r="AH52" s="37" t="n">
        <f aca="false">AH34*②시니어_가정!$E$179</f>
        <v>0</v>
      </c>
      <c r="AI52" s="37" t="n">
        <f aca="false">AI34*②시니어_가정!$E$179</f>
        <v>0</v>
      </c>
      <c r="AJ52" s="37" t="n">
        <f aca="false">AJ34*②시니어_가정!$E$179</f>
        <v>0</v>
      </c>
      <c r="AK52" s="37" t="n">
        <f aca="false">AK34*②시니어_가정!$E$179</f>
        <v>0</v>
      </c>
      <c r="AL52" s="37" t="n">
        <f aca="false">AL34*②시니어_가정!$E$179</f>
        <v>0</v>
      </c>
      <c r="AM52" s="37" t="n">
        <f aca="false">AM34*②시니어_가정!$E$179</f>
        <v>0</v>
      </c>
      <c r="AN52" s="37" t="n">
        <f aca="false">AN34*②시니어_가정!$E$179</f>
        <v>0</v>
      </c>
      <c r="AO52" s="37" t="n">
        <f aca="false">AO34*②시니어_가정!$E$179</f>
        <v>0</v>
      </c>
      <c r="AP52" s="37" t="n">
        <f aca="false">AP34*②시니어_가정!$E$179</f>
        <v>0</v>
      </c>
      <c r="AQ52" s="37" t="n">
        <f aca="false">AQ34*②시니어_가정!$E$179</f>
        <v>0</v>
      </c>
      <c r="AR52" s="37" t="n">
        <f aca="false">AR34*②시니어_가정!$E$179</f>
        <v>0</v>
      </c>
      <c r="AS52" s="37" t="n">
        <f aca="false">AS34*②시니어_가정!$E$179</f>
        <v>0</v>
      </c>
      <c r="AT52" s="37" t="n">
        <f aca="false">AT34*②시니어_가정!$E$179</f>
        <v>0</v>
      </c>
      <c r="AU52" s="37" t="n">
        <f aca="false">AU34*②시니어_가정!$E$179</f>
        <v>0</v>
      </c>
      <c r="AV52" s="37" t="n">
        <f aca="false">AV34*②시니어_가정!$E$179</f>
        <v>0</v>
      </c>
      <c r="AW52" s="37" t="n">
        <f aca="false">AW34*②시니어_가정!$E$179</f>
        <v>0</v>
      </c>
      <c r="AX52" s="37" t="n">
        <f aca="false">AX34*②시니어_가정!$E$179</f>
        <v>0</v>
      </c>
      <c r="AY52" s="37" t="n">
        <f aca="false">AY34*②시니어_가정!$E$179</f>
        <v>0</v>
      </c>
      <c r="AZ52" s="37" t="n">
        <f aca="false">AZ34*②시니어_가정!$E$179</f>
        <v>0</v>
      </c>
      <c r="BA52" s="37" t="n">
        <f aca="false">BA34*②시니어_가정!$E$179</f>
        <v>0</v>
      </c>
      <c r="BB52" s="37" t="n">
        <f aca="false">BB34*②시니어_가정!$E$179</f>
        <v>0</v>
      </c>
      <c r="BC52" s="37" t="n">
        <f aca="false">BC34*②시니어_가정!$E$179</f>
        <v>0</v>
      </c>
      <c r="BD52" s="37" t="n">
        <f aca="false">BD34*②시니어_가정!$E$179</f>
        <v>0</v>
      </c>
      <c r="BE52" s="37" t="n">
        <f aca="false">BE34*②시니어_가정!$E$179</f>
        <v>0</v>
      </c>
      <c r="BF52" s="37" t="n">
        <f aca="false">BF34*②시니어_가정!$E$179</f>
        <v>0</v>
      </c>
      <c r="BG52" s="37" t="n">
        <f aca="false">BG34*②시니어_가정!$E$179</f>
        <v>0</v>
      </c>
      <c r="BH52" s="37" t="n">
        <f aca="false">BH34*②시니어_가정!$E$179</f>
        <v>0</v>
      </c>
      <c r="BI52" s="37" t="n">
        <f aca="false">BI34*②시니어_가정!$E$179</f>
        <v>0</v>
      </c>
      <c r="BJ52" s="37" t="n">
        <f aca="false">BJ34*②시니어_가정!$E$179</f>
        <v>0</v>
      </c>
      <c r="BK52" s="37" t="n">
        <f aca="false">BK34*②시니어_가정!$E$179</f>
        <v>0</v>
      </c>
      <c r="BL52" s="37" t="n">
        <f aca="false">BL34*②시니어_가정!$E$179</f>
        <v>0</v>
      </c>
      <c r="BM52" s="37" t="n">
        <f aca="false">BM34*②시니어_가정!$E$179</f>
        <v>0</v>
      </c>
      <c r="BN52" s="37" t="n">
        <f aca="false">BN34*②시니어_가정!$E$179</f>
        <v>0</v>
      </c>
      <c r="BO52" s="37" t="n">
        <f aca="false">BO34*②시니어_가정!$E$179</f>
        <v>0</v>
      </c>
      <c r="BP52" s="37" t="n">
        <f aca="false">BP34*②시니어_가정!$E$179</f>
        <v>0</v>
      </c>
      <c r="BQ52" s="37" t="n">
        <f aca="false">BQ34*②시니어_가정!$E$179</f>
        <v>0</v>
      </c>
      <c r="BR52" s="37" t="n">
        <f aca="false">BR34*②시니어_가정!$E$179</f>
        <v>0</v>
      </c>
      <c r="BS52" s="37" t="n">
        <f aca="false">BS34*②시니어_가정!$E$179</f>
        <v>0</v>
      </c>
      <c r="BT52" s="37" t="n">
        <f aca="false">BT34*②시니어_가정!$E$179</f>
        <v>0</v>
      </c>
      <c r="BU52" s="37" t="n">
        <f aca="false">BU34*②시니어_가정!$E$179</f>
        <v>0</v>
      </c>
      <c r="BV52" s="37" t="n">
        <f aca="false">BV34*②시니어_가정!$E$179</f>
        <v>0</v>
      </c>
      <c r="BW52" s="37" t="n">
        <f aca="false">BW34*②시니어_가정!$E$179</f>
        <v>0</v>
      </c>
      <c r="BX52" s="37" t="n">
        <f aca="false">BX34*②시니어_가정!$E$179</f>
        <v>0</v>
      </c>
      <c r="BY52" s="37" t="n">
        <f aca="false">BY34*②시니어_가정!$E$179</f>
        <v>0</v>
      </c>
      <c r="BZ52" s="37" t="n">
        <f aca="false">BZ34*②시니어_가정!$E$179</f>
        <v>0</v>
      </c>
      <c r="CA52" s="37" t="n">
        <f aca="false">CA34*②시니어_가정!$E$179</f>
        <v>0</v>
      </c>
      <c r="CB52" s="37" t="n">
        <f aca="false">CB34*②시니어_가정!$E$179</f>
        <v>0</v>
      </c>
      <c r="CC52" s="37" t="n">
        <f aca="false">CC34*②시니어_가정!$E$179</f>
        <v>0</v>
      </c>
      <c r="CD52" s="37" t="n">
        <f aca="false">CD34*②시니어_가정!$E$179</f>
        <v>0</v>
      </c>
      <c r="CE52" s="37" t="n">
        <f aca="false">CE34*②시니어_가정!$E$179</f>
        <v>0</v>
      </c>
      <c r="CF52" s="37" t="n">
        <f aca="false">CF34*②시니어_가정!$E$179</f>
        <v>0</v>
      </c>
      <c r="CG52" s="37" t="n">
        <f aca="false">CG34*②시니어_가정!$E$179</f>
        <v>0</v>
      </c>
      <c r="CH52" s="37" t="n">
        <f aca="false">CH34*②시니어_가정!$E$179</f>
        <v>0</v>
      </c>
      <c r="CI52" s="37" t="n">
        <f aca="false">CI34*②시니어_가정!$E$179</f>
        <v>0</v>
      </c>
      <c r="CJ52" s="37" t="n">
        <f aca="false">CJ34*②시니어_가정!$E$179</f>
        <v>0</v>
      </c>
      <c r="CK52" s="37" t="n">
        <f aca="false">CK34*②시니어_가정!$E$179</f>
        <v>0</v>
      </c>
      <c r="CL52" s="37" t="n">
        <f aca="false">CL34*②시니어_가정!$E$179</f>
        <v>0</v>
      </c>
      <c r="CM52" s="37" t="n">
        <f aca="false">CM34*②시니어_가정!$E$179</f>
        <v>0</v>
      </c>
      <c r="CN52" s="37" t="n">
        <f aca="false">CN34*②시니어_가정!$E$179</f>
        <v>0</v>
      </c>
      <c r="CO52" s="37" t="n">
        <f aca="false">CO34*②시니어_가정!$E$179</f>
        <v>0</v>
      </c>
      <c r="CP52" s="37" t="n">
        <f aca="false">CP34*②시니어_가정!$E$179</f>
        <v>0</v>
      </c>
      <c r="CQ52" s="37" t="n">
        <f aca="false">CQ34*②시니어_가정!$E$179</f>
        <v>0</v>
      </c>
      <c r="CR52" s="37" t="n">
        <f aca="false">CR34*②시니어_가정!$E$179</f>
        <v>0</v>
      </c>
      <c r="CS52" s="37" t="n">
        <f aca="false">CS34*②시니어_가정!$E$179</f>
        <v>0</v>
      </c>
      <c r="CT52" s="37" t="n">
        <f aca="false">CT34*②시니어_가정!$E$179</f>
        <v>0</v>
      </c>
      <c r="CU52" s="37" t="n">
        <f aca="false">CU34*②시니어_가정!$E$179</f>
        <v>0</v>
      </c>
      <c r="CV52" s="37" t="n">
        <f aca="false">CV34*②시니어_가정!$E$179</f>
        <v>0</v>
      </c>
      <c r="CW52" s="37" t="n">
        <f aca="false">CW34*②시니어_가정!$E$179</f>
        <v>0</v>
      </c>
      <c r="CX52" s="37" t="n">
        <f aca="false">CX34*②시니어_가정!$E$179</f>
        <v>0</v>
      </c>
      <c r="CY52" s="37" t="n">
        <f aca="false">CY34*②시니어_가정!$E$179</f>
        <v>0</v>
      </c>
      <c r="CZ52" s="37" t="n">
        <f aca="false">CZ34*②시니어_가정!$E$179</f>
        <v>0</v>
      </c>
      <c r="DA52" s="37" t="n">
        <f aca="false">DA34*②시니어_가정!$E$179</f>
        <v>0</v>
      </c>
      <c r="DB52" s="37" t="n">
        <f aca="false">DB34*②시니어_가정!$E$179</f>
        <v>0</v>
      </c>
      <c r="DC52" s="37" t="n">
        <f aca="false">DC34*②시니어_가정!$E$179</f>
        <v>0</v>
      </c>
      <c r="DD52" s="37" t="n">
        <f aca="false">DD34*②시니어_가정!$E$179</f>
        <v>0</v>
      </c>
      <c r="DE52" s="37" t="n">
        <f aca="false">DE34*②시니어_가정!$E$179</f>
        <v>0</v>
      </c>
      <c r="DF52" s="37" t="n">
        <f aca="false">DF34*②시니어_가정!$E$179</f>
        <v>0</v>
      </c>
      <c r="DG52" s="37" t="n">
        <f aca="false">DG34*②시니어_가정!$E$179</f>
        <v>0</v>
      </c>
      <c r="DH52" s="37" t="n">
        <f aca="false">DH34*②시니어_가정!$E$179</f>
        <v>0</v>
      </c>
      <c r="DI52" s="37" t="n">
        <f aca="false">DI34*②시니어_가정!$E$179</f>
        <v>0</v>
      </c>
      <c r="DJ52" s="37" t="n">
        <f aca="false">DJ34*②시니어_가정!$E$179</f>
        <v>0</v>
      </c>
      <c r="DK52" s="37" t="n">
        <f aca="false">DK34*②시니어_가정!$E$179</f>
        <v>0</v>
      </c>
      <c r="DL52" s="37" t="n">
        <f aca="false">DL34*②시니어_가정!$E$179</f>
        <v>0</v>
      </c>
      <c r="DM52" s="37" t="n">
        <f aca="false">DM34*②시니어_가정!$E$179</f>
        <v>0</v>
      </c>
      <c r="DN52" s="37" t="n">
        <f aca="false">DN34*②시니어_가정!$E$179</f>
        <v>0</v>
      </c>
      <c r="DO52" s="37" t="n">
        <f aca="false">DO34*②시니어_가정!$E$179</f>
        <v>0</v>
      </c>
      <c r="DP52" s="37" t="n">
        <f aca="false">DP34*②시니어_가정!$E$179</f>
        <v>0</v>
      </c>
      <c r="DQ52" s="37" t="n">
        <f aca="false">DQ34*②시니어_가정!$E$179</f>
        <v>0</v>
      </c>
      <c r="DR52" s="37" t="n">
        <f aca="false">DR34*②시니어_가정!$E$179</f>
        <v>0</v>
      </c>
      <c r="DS52" s="37" t="n">
        <f aca="false">DS34*②시니어_가정!$E$179</f>
        <v>0</v>
      </c>
      <c r="DT52" s="37" t="n">
        <f aca="false">DT34*②시니어_가정!$E$179</f>
        <v>0</v>
      </c>
      <c r="DU52" s="37" t="n">
        <f aca="false">DU34*②시니어_가정!$E$179</f>
        <v>0</v>
      </c>
      <c r="DV52" s="37" t="n">
        <f aca="false">DV34*②시니어_가정!$E$179</f>
        <v>0</v>
      </c>
      <c r="DW52" s="37" t="n">
        <f aca="false">DW34*②시니어_가정!$E$179</f>
        <v>0</v>
      </c>
      <c r="DX52" s="37" t="n">
        <f aca="false">DX34*②시니어_가정!$E$179</f>
        <v>0</v>
      </c>
      <c r="DY52" s="37" t="n">
        <f aca="false">DY34*②시니어_가정!$E$179</f>
        <v>0</v>
      </c>
      <c r="DZ52" s="37" t="n">
        <f aca="false">DZ34*②시니어_가정!$E$179</f>
        <v>0</v>
      </c>
      <c r="EA52" s="37" t="n">
        <f aca="false">EA34*②시니어_가정!$E$179</f>
        <v>0</v>
      </c>
      <c r="EB52" s="37" t="n">
        <f aca="false">EB34*②시니어_가정!$E$179</f>
        <v>0</v>
      </c>
      <c r="EC52" s="37" t="n">
        <f aca="false">EC34*②시니어_가정!$E$179</f>
        <v>0</v>
      </c>
      <c r="ED52" s="37" t="n">
        <f aca="false">ED34*②시니어_가정!$E$179</f>
        <v>0</v>
      </c>
      <c r="EE52" s="37" t="n">
        <f aca="false">EE34*②시니어_가정!$E$179</f>
        <v>0</v>
      </c>
      <c r="EF52" s="37" t="n">
        <f aca="false">EF34*②시니어_가정!$E$179</f>
        <v>0</v>
      </c>
    </row>
    <row r="53" customFormat="false" ht="15" hidden="false" customHeight="false" outlineLevel="0" collapsed="false">
      <c r="A53" s="36" t="s">
        <v>601</v>
      </c>
      <c r="B53" s="278" t="s">
        <v>21</v>
      </c>
      <c r="C53" s="279" t="n">
        <f aca="false">SUM(E53:EF53)</f>
        <v>0</v>
      </c>
      <c r="E53" s="37" t="n">
        <f aca="false">E35*CHOOSE(MIN(MAX(E16,1),3),②시니어_가정!$E$192,②시니어_가정!$E$193,②시니어_가정!$E$194)</f>
        <v>0</v>
      </c>
      <c r="F53" s="37" t="n">
        <f aca="false">F35*CHOOSE(MIN(MAX(F16,1),3),②시니어_가정!$E$192,②시니어_가정!$E$193,②시니어_가정!$E$194)</f>
        <v>0</v>
      </c>
      <c r="G53" s="37" t="n">
        <f aca="false">G35*CHOOSE(MIN(MAX(G16,1),3),②시니어_가정!$E$192,②시니어_가정!$E$193,②시니어_가정!$E$194)</f>
        <v>0</v>
      </c>
      <c r="H53" s="37" t="n">
        <f aca="false">H35*CHOOSE(MIN(MAX(H16,1),3),②시니어_가정!$E$192,②시니어_가정!$E$193,②시니어_가정!$E$194)</f>
        <v>0</v>
      </c>
      <c r="I53" s="37" t="n">
        <f aca="false">I35*CHOOSE(MIN(MAX(I16,1),3),②시니어_가정!$E$192,②시니어_가정!$E$193,②시니어_가정!$E$194)</f>
        <v>0</v>
      </c>
      <c r="J53" s="37" t="n">
        <f aca="false">J35*CHOOSE(MIN(MAX(J16,1),3),②시니어_가정!$E$192,②시니어_가정!$E$193,②시니어_가정!$E$194)</f>
        <v>0</v>
      </c>
      <c r="K53" s="37" t="n">
        <f aca="false">K35*CHOOSE(MIN(MAX(K16,1),3),②시니어_가정!$E$192,②시니어_가정!$E$193,②시니어_가정!$E$194)</f>
        <v>0</v>
      </c>
      <c r="L53" s="37" t="n">
        <f aca="false">L35*CHOOSE(MIN(MAX(L16,1),3),②시니어_가정!$E$192,②시니어_가정!$E$193,②시니어_가정!$E$194)</f>
        <v>0</v>
      </c>
      <c r="M53" s="37" t="n">
        <f aca="false">M35*CHOOSE(MIN(MAX(M16,1),3),②시니어_가정!$E$192,②시니어_가정!$E$193,②시니어_가정!$E$194)</f>
        <v>0</v>
      </c>
      <c r="N53" s="37" t="n">
        <f aca="false">N35*CHOOSE(MIN(MAX(N16,1),3),②시니어_가정!$E$192,②시니어_가정!$E$193,②시니어_가정!$E$194)</f>
        <v>0</v>
      </c>
      <c r="O53" s="37" t="n">
        <f aca="false">O35*CHOOSE(MIN(MAX(O16,1),3),②시니어_가정!$E$192,②시니어_가정!$E$193,②시니어_가정!$E$194)</f>
        <v>0</v>
      </c>
      <c r="P53" s="37" t="n">
        <f aca="false">P35*CHOOSE(MIN(MAX(P16,1),3),②시니어_가정!$E$192,②시니어_가정!$E$193,②시니어_가정!$E$194)</f>
        <v>0</v>
      </c>
      <c r="Q53" s="37" t="n">
        <f aca="false">Q35*CHOOSE(MIN(MAX(Q16,1),3),②시니어_가정!$E$192,②시니어_가정!$E$193,②시니어_가정!$E$194)</f>
        <v>0</v>
      </c>
      <c r="R53" s="37" t="n">
        <f aca="false">R35*CHOOSE(MIN(MAX(R16,1),3),②시니어_가정!$E$192,②시니어_가정!$E$193,②시니어_가정!$E$194)</f>
        <v>0</v>
      </c>
      <c r="S53" s="37" t="n">
        <f aca="false">S35*CHOOSE(MIN(MAX(S16,1),3),②시니어_가정!$E$192,②시니어_가정!$E$193,②시니어_가정!$E$194)</f>
        <v>0</v>
      </c>
      <c r="T53" s="37" t="n">
        <f aca="false">T35*CHOOSE(MIN(MAX(T16,1),3),②시니어_가정!$E$192,②시니어_가정!$E$193,②시니어_가정!$E$194)</f>
        <v>0</v>
      </c>
      <c r="U53" s="37" t="n">
        <f aca="false">U35*CHOOSE(MIN(MAX(U16,1),3),②시니어_가정!$E$192,②시니어_가정!$E$193,②시니어_가정!$E$194)</f>
        <v>0</v>
      </c>
      <c r="V53" s="37" t="n">
        <f aca="false">V35*CHOOSE(MIN(MAX(V16,1),3),②시니어_가정!$E$192,②시니어_가정!$E$193,②시니어_가정!$E$194)</f>
        <v>0</v>
      </c>
      <c r="W53" s="37" t="n">
        <f aca="false">W35*CHOOSE(MIN(MAX(W16,1),3),②시니어_가정!$E$192,②시니어_가정!$E$193,②시니어_가정!$E$194)</f>
        <v>0</v>
      </c>
      <c r="X53" s="37" t="n">
        <f aca="false">X35*CHOOSE(MIN(MAX(X16,1),3),②시니어_가정!$E$192,②시니어_가정!$E$193,②시니어_가정!$E$194)</f>
        <v>0</v>
      </c>
      <c r="Y53" s="37" t="n">
        <f aca="false">Y35*CHOOSE(MIN(MAX(Y16,1),3),②시니어_가정!$E$192,②시니어_가정!$E$193,②시니어_가정!$E$194)</f>
        <v>0</v>
      </c>
      <c r="Z53" s="37" t="n">
        <f aca="false">Z35*CHOOSE(MIN(MAX(Z16,1),3),②시니어_가정!$E$192,②시니어_가정!$E$193,②시니어_가정!$E$194)</f>
        <v>0</v>
      </c>
      <c r="AA53" s="37" t="n">
        <f aca="false">AA35*CHOOSE(MIN(MAX(AA16,1),3),②시니어_가정!$E$192,②시니어_가정!$E$193,②시니어_가정!$E$194)</f>
        <v>0</v>
      </c>
      <c r="AB53" s="37" t="n">
        <f aca="false">AB35*CHOOSE(MIN(MAX(AB16,1),3),②시니어_가정!$E$192,②시니어_가정!$E$193,②시니어_가정!$E$194)</f>
        <v>0</v>
      </c>
      <c r="AC53" s="37" t="n">
        <f aca="false">AC35*CHOOSE(MIN(MAX(AC16,1),3),②시니어_가정!$E$192,②시니어_가정!$E$193,②시니어_가정!$E$194)</f>
        <v>0</v>
      </c>
      <c r="AD53" s="37" t="n">
        <f aca="false">AD35*CHOOSE(MIN(MAX(AD16,1),3),②시니어_가정!$E$192,②시니어_가정!$E$193,②시니어_가정!$E$194)</f>
        <v>0</v>
      </c>
      <c r="AE53" s="37" t="n">
        <f aca="false">AE35*CHOOSE(MIN(MAX(AE16,1),3),②시니어_가정!$E$192,②시니어_가정!$E$193,②시니어_가정!$E$194)</f>
        <v>0</v>
      </c>
      <c r="AF53" s="37" t="n">
        <f aca="false">AF35*CHOOSE(MIN(MAX(AF16,1),3),②시니어_가정!$E$192,②시니어_가정!$E$193,②시니어_가정!$E$194)</f>
        <v>0</v>
      </c>
      <c r="AG53" s="37" t="n">
        <f aca="false">AG35*CHOOSE(MIN(MAX(AG16,1),3),②시니어_가정!$E$192,②시니어_가정!$E$193,②시니어_가정!$E$194)</f>
        <v>0</v>
      </c>
      <c r="AH53" s="37" t="n">
        <f aca="false">AH35*CHOOSE(MIN(MAX(AH16,1),3),②시니어_가정!$E$192,②시니어_가정!$E$193,②시니어_가정!$E$194)</f>
        <v>0</v>
      </c>
      <c r="AI53" s="37" t="n">
        <f aca="false">AI35*CHOOSE(MIN(MAX(AI16,1),3),②시니어_가정!$E$192,②시니어_가정!$E$193,②시니어_가정!$E$194)</f>
        <v>0</v>
      </c>
      <c r="AJ53" s="37" t="n">
        <f aca="false">AJ35*CHOOSE(MIN(MAX(AJ16,1),3),②시니어_가정!$E$192,②시니어_가정!$E$193,②시니어_가정!$E$194)</f>
        <v>0</v>
      </c>
      <c r="AK53" s="37" t="n">
        <f aca="false">AK35*CHOOSE(MIN(MAX(AK16,1),3),②시니어_가정!$E$192,②시니어_가정!$E$193,②시니어_가정!$E$194)</f>
        <v>0</v>
      </c>
      <c r="AL53" s="37" t="n">
        <f aca="false">AL35*CHOOSE(MIN(MAX(AL16,1),3),②시니어_가정!$E$192,②시니어_가정!$E$193,②시니어_가정!$E$194)</f>
        <v>0</v>
      </c>
      <c r="AM53" s="37" t="n">
        <f aca="false">AM35*CHOOSE(MIN(MAX(AM16,1),3),②시니어_가정!$E$192,②시니어_가정!$E$193,②시니어_가정!$E$194)</f>
        <v>0</v>
      </c>
      <c r="AN53" s="37" t="n">
        <f aca="false">AN35*CHOOSE(MIN(MAX(AN16,1),3),②시니어_가정!$E$192,②시니어_가정!$E$193,②시니어_가정!$E$194)</f>
        <v>0</v>
      </c>
      <c r="AO53" s="37" t="n">
        <f aca="false">AO35*CHOOSE(MIN(MAX(AO16,1),3),②시니어_가정!$E$192,②시니어_가정!$E$193,②시니어_가정!$E$194)</f>
        <v>0</v>
      </c>
      <c r="AP53" s="37" t="n">
        <f aca="false">AP35*CHOOSE(MIN(MAX(AP16,1),3),②시니어_가정!$E$192,②시니어_가정!$E$193,②시니어_가정!$E$194)</f>
        <v>0</v>
      </c>
      <c r="AQ53" s="37" t="n">
        <f aca="false">AQ35*CHOOSE(MIN(MAX(AQ16,1),3),②시니어_가정!$E$192,②시니어_가정!$E$193,②시니어_가정!$E$194)</f>
        <v>0</v>
      </c>
      <c r="AR53" s="37" t="n">
        <f aca="false">AR35*CHOOSE(MIN(MAX(AR16,1),3),②시니어_가정!$E$192,②시니어_가정!$E$193,②시니어_가정!$E$194)</f>
        <v>0</v>
      </c>
      <c r="AS53" s="37" t="n">
        <f aca="false">AS35*CHOOSE(MIN(MAX(AS16,1),3),②시니어_가정!$E$192,②시니어_가정!$E$193,②시니어_가정!$E$194)</f>
        <v>0</v>
      </c>
      <c r="AT53" s="37" t="n">
        <f aca="false">AT35*CHOOSE(MIN(MAX(AT16,1),3),②시니어_가정!$E$192,②시니어_가정!$E$193,②시니어_가정!$E$194)</f>
        <v>0</v>
      </c>
      <c r="AU53" s="37" t="n">
        <f aca="false">AU35*CHOOSE(MIN(MAX(AU16,1),3),②시니어_가정!$E$192,②시니어_가정!$E$193,②시니어_가정!$E$194)</f>
        <v>0</v>
      </c>
      <c r="AV53" s="37" t="n">
        <f aca="false">AV35*CHOOSE(MIN(MAX(AV16,1),3),②시니어_가정!$E$192,②시니어_가정!$E$193,②시니어_가정!$E$194)</f>
        <v>0</v>
      </c>
      <c r="AW53" s="37" t="n">
        <f aca="false">AW35*CHOOSE(MIN(MAX(AW16,1),3),②시니어_가정!$E$192,②시니어_가정!$E$193,②시니어_가정!$E$194)</f>
        <v>0</v>
      </c>
      <c r="AX53" s="37" t="n">
        <f aca="false">AX35*CHOOSE(MIN(MAX(AX16,1),3),②시니어_가정!$E$192,②시니어_가정!$E$193,②시니어_가정!$E$194)</f>
        <v>0</v>
      </c>
      <c r="AY53" s="37" t="n">
        <f aca="false">AY35*CHOOSE(MIN(MAX(AY16,1),3),②시니어_가정!$E$192,②시니어_가정!$E$193,②시니어_가정!$E$194)</f>
        <v>0</v>
      </c>
      <c r="AZ53" s="37" t="n">
        <f aca="false">AZ35*CHOOSE(MIN(MAX(AZ16,1),3),②시니어_가정!$E$192,②시니어_가정!$E$193,②시니어_가정!$E$194)</f>
        <v>0</v>
      </c>
      <c r="BA53" s="37" t="n">
        <f aca="false">BA35*CHOOSE(MIN(MAX(BA16,1),3),②시니어_가정!$E$192,②시니어_가정!$E$193,②시니어_가정!$E$194)</f>
        <v>0</v>
      </c>
      <c r="BB53" s="37" t="n">
        <f aca="false">BB35*CHOOSE(MIN(MAX(BB16,1),3),②시니어_가정!$E$192,②시니어_가정!$E$193,②시니어_가정!$E$194)</f>
        <v>0</v>
      </c>
      <c r="BC53" s="37" t="n">
        <f aca="false">BC35*CHOOSE(MIN(MAX(BC16,1),3),②시니어_가정!$E$192,②시니어_가정!$E$193,②시니어_가정!$E$194)</f>
        <v>0</v>
      </c>
      <c r="BD53" s="37" t="n">
        <f aca="false">BD35*CHOOSE(MIN(MAX(BD16,1),3),②시니어_가정!$E$192,②시니어_가정!$E$193,②시니어_가정!$E$194)</f>
        <v>0</v>
      </c>
      <c r="BE53" s="37" t="n">
        <f aca="false">BE35*CHOOSE(MIN(MAX(BE16,1),3),②시니어_가정!$E$192,②시니어_가정!$E$193,②시니어_가정!$E$194)</f>
        <v>0</v>
      </c>
      <c r="BF53" s="37" t="n">
        <f aca="false">BF35*CHOOSE(MIN(MAX(BF16,1),3),②시니어_가정!$E$192,②시니어_가정!$E$193,②시니어_가정!$E$194)</f>
        <v>0</v>
      </c>
      <c r="BG53" s="37" t="n">
        <f aca="false">BG35*CHOOSE(MIN(MAX(BG16,1),3),②시니어_가정!$E$192,②시니어_가정!$E$193,②시니어_가정!$E$194)</f>
        <v>0</v>
      </c>
      <c r="BH53" s="37" t="n">
        <f aca="false">BH35*CHOOSE(MIN(MAX(BH16,1),3),②시니어_가정!$E$192,②시니어_가정!$E$193,②시니어_가정!$E$194)</f>
        <v>0</v>
      </c>
      <c r="BI53" s="37" t="n">
        <f aca="false">BI35*CHOOSE(MIN(MAX(BI16,1),3),②시니어_가정!$E$192,②시니어_가정!$E$193,②시니어_가정!$E$194)</f>
        <v>0</v>
      </c>
      <c r="BJ53" s="37" t="n">
        <f aca="false">BJ35*CHOOSE(MIN(MAX(BJ16,1),3),②시니어_가정!$E$192,②시니어_가정!$E$193,②시니어_가정!$E$194)</f>
        <v>0</v>
      </c>
      <c r="BK53" s="37" t="n">
        <f aca="false">BK35*CHOOSE(MIN(MAX(BK16,1),3),②시니어_가정!$E$192,②시니어_가정!$E$193,②시니어_가정!$E$194)</f>
        <v>0</v>
      </c>
      <c r="BL53" s="37" t="n">
        <f aca="false">BL35*CHOOSE(MIN(MAX(BL16,1),3),②시니어_가정!$E$192,②시니어_가정!$E$193,②시니어_가정!$E$194)</f>
        <v>0</v>
      </c>
      <c r="BM53" s="37" t="n">
        <f aca="false">BM35*CHOOSE(MIN(MAX(BM16,1),3),②시니어_가정!$E$192,②시니어_가정!$E$193,②시니어_가정!$E$194)</f>
        <v>0</v>
      </c>
      <c r="BN53" s="37" t="n">
        <f aca="false">BN35*CHOOSE(MIN(MAX(BN16,1),3),②시니어_가정!$E$192,②시니어_가정!$E$193,②시니어_가정!$E$194)</f>
        <v>0</v>
      </c>
      <c r="BO53" s="37" t="n">
        <f aca="false">BO35*CHOOSE(MIN(MAX(BO16,1),3),②시니어_가정!$E$192,②시니어_가정!$E$193,②시니어_가정!$E$194)</f>
        <v>0</v>
      </c>
      <c r="BP53" s="37" t="n">
        <f aca="false">BP35*CHOOSE(MIN(MAX(BP16,1),3),②시니어_가정!$E$192,②시니어_가정!$E$193,②시니어_가정!$E$194)</f>
        <v>0</v>
      </c>
      <c r="BQ53" s="37" t="n">
        <f aca="false">BQ35*CHOOSE(MIN(MAX(BQ16,1),3),②시니어_가정!$E$192,②시니어_가정!$E$193,②시니어_가정!$E$194)</f>
        <v>0</v>
      </c>
      <c r="BR53" s="37" t="n">
        <f aca="false">BR35*CHOOSE(MIN(MAX(BR16,1),3),②시니어_가정!$E$192,②시니어_가정!$E$193,②시니어_가정!$E$194)</f>
        <v>0</v>
      </c>
      <c r="BS53" s="37" t="n">
        <f aca="false">BS35*CHOOSE(MIN(MAX(BS16,1),3),②시니어_가정!$E$192,②시니어_가정!$E$193,②시니어_가정!$E$194)</f>
        <v>0</v>
      </c>
      <c r="BT53" s="37" t="n">
        <f aca="false">BT35*CHOOSE(MIN(MAX(BT16,1),3),②시니어_가정!$E$192,②시니어_가정!$E$193,②시니어_가정!$E$194)</f>
        <v>0</v>
      </c>
      <c r="BU53" s="37" t="n">
        <f aca="false">BU35*CHOOSE(MIN(MAX(BU16,1),3),②시니어_가정!$E$192,②시니어_가정!$E$193,②시니어_가정!$E$194)</f>
        <v>0</v>
      </c>
      <c r="BV53" s="37" t="n">
        <f aca="false">BV35*CHOOSE(MIN(MAX(BV16,1),3),②시니어_가정!$E$192,②시니어_가정!$E$193,②시니어_가정!$E$194)</f>
        <v>0</v>
      </c>
      <c r="BW53" s="37" t="n">
        <f aca="false">BW35*CHOOSE(MIN(MAX(BW16,1),3),②시니어_가정!$E$192,②시니어_가정!$E$193,②시니어_가정!$E$194)</f>
        <v>0</v>
      </c>
      <c r="BX53" s="37" t="n">
        <f aca="false">BX35*CHOOSE(MIN(MAX(BX16,1),3),②시니어_가정!$E$192,②시니어_가정!$E$193,②시니어_가정!$E$194)</f>
        <v>0</v>
      </c>
      <c r="BY53" s="37" t="n">
        <f aca="false">BY35*CHOOSE(MIN(MAX(BY16,1),3),②시니어_가정!$E$192,②시니어_가정!$E$193,②시니어_가정!$E$194)</f>
        <v>0</v>
      </c>
      <c r="BZ53" s="37" t="n">
        <f aca="false">BZ35*CHOOSE(MIN(MAX(BZ16,1),3),②시니어_가정!$E$192,②시니어_가정!$E$193,②시니어_가정!$E$194)</f>
        <v>0</v>
      </c>
      <c r="CA53" s="37" t="n">
        <f aca="false">CA35*CHOOSE(MIN(MAX(CA16,1),3),②시니어_가정!$E$192,②시니어_가정!$E$193,②시니어_가정!$E$194)</f>
        <v>0</v>
      </c>
      <c r="CB53" s="37" t="n">
        <f aca="false">CB35*CHOOSE(MIN(MAX(CB16,1),3),②시니어_가정!$E$192,②시니어_가정!$E$193,②시니어_가정!$E$194)</f>
        <v>0</v>
      </c>
      <c r="CC53" s="37" t="n">
        <f aca="false">CC35*CHOOSE(MIN(MAX(CC16,1),3),②시니어_가정!$E$192,②시니어_가정!$E$193,②시니어_가정!$E$194)</f>
        <v>0</v>
      </c>
      <c r="CD53" s="37" t="n">
        <f aca="false">CD35*CHOOSE(MIN(MAX(CD16,1),3),②시니어_가정!$E$192,②시니어_가정!$E$193,②시니어_가정!$E$194)</f>
        <v>0</v>
      </c>
      <c r="CE53" s="37" t="n">
        <f aca="false">CE35*CHOOSE(MIN(MAX(CE16,1),3),②시니어_가정!$E$192,②시니어_가정!$E$193,②시니어_가정!$E$194)</f>
        <v>0</v>
      </c>
      <c r="CF53" s="37" t="n">
        <f aca="false">CF35*CHOOSE(MIN(MAX(CF16,1),3),②시니어_가정!$E$192,②시니어_가정!$E$193,②시니어_가정!$E$194)</f>
        <v>0</v>
      </c>
      <c r="CG53" s="37" t="n">
        <f aca="false">CG35*CHOOSE(MIN(MAX(CG16,1),3),②시니어_가정!$E$192,②시니어_가정!$E$193,②시니어_가정!$E$194)</f>
        <v>0</v>
      </c>
      <c r="CH53" s="37" t="n">
        <f aca="false">CH35*CHOOSE(MIN(MAX(CH16,1),3),②시니어_가정!$E$192,②시니어_가정!$E$193,②시니어_가정!$E$194)</f>
        <v>0</v>
      </c>
      <c r="CI53" s="37" t="n">
        <f aca="false">CI35*CHOOSE(MIN(MAX(CI16,1),3),②시니어_가정!$E$192,②시니어_가정!$E$193,②시니어_가정!$E$194)</f>
        <v>0</v>
      </c>
      <c r="CJ53" s="37" t="n">
        <f aca="false">CJ35*CHOOSE(MIN(MAX(CJ16,1),3),②시니어_가정!$E$192,②시니어_가정!$E$193,②시니어_가정!$E$194)</f>
        <v>0</v>
      </c>
      <c r="CK53" s="37" t="n">
        <f aca="false">CK35*CHOOSE(MIN(MAX(CK16,1),3),②시니어_가정!$E$192,②시니어_가정!$E$193,②시니어_가정!$E$194)</f>
        <v>0</v>
      </c>
      <c r="CL53" s="37" t="n">
        <f aca="false">CL35*CHOOSE(MIN(MAX(CL16,1),3),②시니어_가정!$E$192,②시니어_가정!$E$193,②시니어_가정!$E$194)</f>
        <v>0</v>
      </c>
      <c r="CM53" s="37" t="n">
        <f aca="false">CM35*CHOOSE(MIN(MAX(CM16,1),3),②시니어_가정!$E$192,②시니어_가정!$E$193,②시니어_가정!$E$194)</f>
        <v>0</v>
      </c>
      <c r="CN53" s="37" t="n">
        <f aca="false">CN35*CHOOSE(MIN(MAX(CN16,1),3),②시니어_가정!$E$192,②시니어_가정!$E$193,②시니어_가정!$E$194)</f>
        <v>0</v>
      </c>
      <c r="CO53" s="37" t="n">
        <f aca="false">CO35*CHOOSE(MIN(MAX(CO16,1),3),②시니어_가정!$E$192,②시니어_가정!$E$193,②시니어_가정!$E$194)</f>
        <v>0</v>
      </c>
      <c r="CP53" s="37" t="n">
        <f aca="false">CP35*CHOOSE(MIN(MAX(CP16,1),3),②시니어_가정!$E$192,②시니어_가정!$E$193,②시니어_가정!$E$194)</f>
        <v>0</v>
      </c>
      <c r="CQ53" s="37" t="n">
        <f aca="false">CQ35*CHOOSE(MIN(MAX(CQ16,1),3),②시니어_가정!$E$192,②시니어_가정!$E$193,②시니어_가정!$E$194)</f>
        <v>0</v>
      </c>
      <c r="CR53" s="37" t="n">
        <f aca="false">CR35*CHOOSE(MIN(MAX(CR16,1),3),②시니어_가정!$E$192,②시니어_가정!$E$193,②시니어_가정!$E$194)</f>
        <v>0</v>
      </c>
      <c r="CS53" s="37" t="n">
        <f aca="false">CS35*CHOOSE(MIN(MAX(CS16,1),3),②시니어_가정!$E$192,②시니어_가정!$E$193,②시니어_가정!$E$194)</f>
        <v>0</v>
      </c>
      <c r="CT53" s="37" t="n">
        <f aca="false">CT35*CHOOSE(MIN(MAX(CT16,1),3),②시니어_가정!$E$192,②시니어_가정!$E$193,②시니어_가정!$E$194)</f>
        <v>0</v>
      </c>
      <c r="CU53" s="37" t="n">
        <f aca="false">CU35*CHOOSE(MIN(MAX(CU16,1),3),②시니어_가정!$E$192,②시니어_가정!$E$193,②시니어_가정!$E$194)</f>
        <v>0</v>
      </c>
      <c r="CV53" s="37" t="n">
        <f aca="false">CV35*CHOOSE(MIN(MAX(CV16,1),3),②시니어_가정!$E$192,②시니어_가정!$E$193,②시니어_가정!$E$194)</f>
        <v>0</v>
      </c>
      <c r="CW53" s="37" t="n">
        <f aca="false">CW35*CHOOSE(MIN(MAX(CW16,1),3),②시니어_가정!$E$192,②시니어_가정!$E$193,②시니어_가정!$E$194)</f>
        <v>0</v>
      </c>
      <c r="CX53" s="37" t="n">
        <f aca="false">CX35*CHOOSE(MIN(MAX(CX16,1),3),②시니어_가정!$E$192,②시니어_가정!$E$193,②시니어_가정!$E$194)</f>
        <v>0</v>
      </c>
      <c r="CY53" s="37" t="n">
        <f aca="false">CY35*CHOOSE(MIN(MAX(CY16,1),3),②시니어_가정!$E$192,②시니어_가정!$E$193,②시니어_가정!$E$194)</f>
        <v>0</v>
      </c>
      <c r="CZ53" s="37" t="n">
        <f aca="false">CZ35*CHOOSE(MIN(MAX(CZ16,1),3),②시니어_가정!$E$192,②시니어_가정!$E$193,②시니어_가정!$E$194)</f>
        <v>0</v>
      </c>
      <c r="DA53" s="37" t="n">
        <f aca="false">DA35*CHOOSE(MIN(MAX(DA16,1),3),②시니어_가정!$E$192,②시니어_가정!$E$193,②시니어_가정!$E$194)</f>
        <v>0</v>
      </c>
      <c r="DB53" s="37" t="n">
        <f aca="false">DB35*CHOOSE(MIN(MAX(DB16,1),3),②시니어_가정!$E$192,②시니어_가정!$E$193,②시니어_가정!$E$194)</f>
        <v>0</v>
      </c>
      <c r="DC53" s="37" t="n">
        <f aca="false">DC35*CHOOSE(MIN(MAX(DC16,1),3),②시니어_가정!$E$192,②시니어_가정!$E$193,②시니어_가정!$E$194)</f>
        <v>0</v>
      </c>
      <c r="DD53" s="37" t="n">
        <f aca="false">DD35*CHOOSE(MIN(MAX(DD16,1),3),②시니어_가정!$E$192,②시니어_가정!$E$193,②시니어_가정!$E$194)</f>
        <v>0</v>
      </c>
      <c r="DE53" s="37" t="n">
        <f aca="false">DE35*CHOOSE(MIN(MAX(DE16,1),3),②시니어_가정!$E$192,②시니어_가정!$E$193,②시니어_가정!$E$194)</f>
        <v>0</v>
      </c>
      <c r="DF53" s="37" t="n">
        <f aca="false">DF35*CHOOSE(MIN(MAX(DF16,1),3),②시니어_가정!$E$192,②시니어_가정!$E$193,②시니어_가정!$E$194)</f>
        <v>0</v>
      </c>
      <c r="DG53" s="37" t="n">
        <f aca="false">DG35*CHOOSE(MIN(MAX(DG16,1),3),②시니어_가정!$E$192,②시니어_가정!$E$193,②시니어_가정!$E$194)</f>
        <v>0</v>
      </c>
      <c r="DH53" s="37" t="n">
        <f aca="false">DH35*CHOOSE(MIN(MAX(DH16,1),3),②시니어_가정!$E$192,②시니어_가정!$E$193,②시니어_가정!$E$194)</f>
        <v>0</v>
      </c>
      <c r="DI53" s="37" t="n">
        <f aca="false">DI35*CHOOSE(MIN(MAX(DI16,1),3),②시니어_가정!$E$192,②시니어_가정!$E$193,②시니어_가정!$E$194)</f>
        <v>0</v>
      </c>
      <c r="DJ53" s="37" t="n">
        <f aca="false">DJ35*CHOOSE(MIN(MAX(DJ16,1),3),②시니어_가정!$E$192,②시니어_가정!$E$193,②시니어_가정!$E$194)</f>
        <v>0</v>
      </c>
      <c r="DK53" s="37" t="n">
        <f aca="false">DK35*CHOOSE(MIN(MAX(DK16,1),3),②시니어_가정!$E$192,②시니어_가정!$E$193,②시니어_가정!$E$194)</f>
        <v>0</v>
      </c>
      <c r="DL53" s="37" t="n">
        <f aca="false">DL35*CHOOSE(MIN(MAX(DL16,1),3),②시니어_가정!$E$192,②시니어_가정!$E$193,②시니어_가정!$E$194)</f>
        <v>0</v>
      </c>
      <c r="DM53" s="37" t="n">
        <f aca="false">DM35*CHOOSE(MIN(MAX(DM16,1),3),②시니어_가정!$E$192,②시니어_가정!$E$193,②시니어_가정!$E$194)</f>
        <v>0</v>
      </c>
      <c r="DN53" s="37" t="n">
        <f aca="false">DN35*CHOOSE(MIN(MAX(DN16,1),3),②시니어_가정!$E$192,②시니어_가정!$E$193,②시니어_가정!$E$194)</f>
        <v>0</v>
      </c>
      <c r="DO53" s="37" t="n">
        <f aca="false">DO35*CHOOSE(MIN(MAX(DO16,1),3),②시니어_가정!$E$192,②시니어_가정!$E$193,②시니어_가정!$E$194)</f>
        <v>0</v>
      </c>
      <c r="DP53" s="37" t="n">
        <f aca="false">DP35*CHOOSE(MIN(MAX(DP16,1),3),②시니어_가정!$E$192,②시니어_가정!$E$193,②시니어_가정!$E$194)</f>
        <v>0</v>
      </c>
      <c r="DQ53" s="37" t="n">
        <f aca="false">DQ35*CHOOSE(MIN(MAX(DQ16,1),3),②시니어_가정!$E$192,②시니어_가정!$E$193,②시니어_가정!$E$194)</f>
        <v>0</v>
      </c>
      <c r="DR53" s="37" t="n">
        <f aca="false">DR35*CHOOSE(MIN(MAX(DR16,1),3),②시니어_가정!$E$192,②시니어_가정!$E$193,②시니어_가정!$E$194)</f>
        <v>0</v>
      </c>
      <c r="DS53" s="37" t="n">
        <f aca="false">DS35*CHOOSE(MIN(MAX(DS16,1),3),②시니어_가정!$E$192,②시니어_가정!$E$193,②시니어_가정!$E$194)</f>
        <v>0</v>
      </c>
      <c r="DT53" s="37" t="n">
        <f aca="false">DT35*CHOOSE(MIN(MAX(DT16,1),3),②시니어_가정!$E$192,②시니어_가정!$E$193,②시니어_가정!$E$194)</f>
        <v>0</v>
      </c>
      <c r="DU53" s="37" t="n">
        <f aca="false">DU35*CHOOSE(MIN(MAX(DU16,1),3),②시니어_가정!$E$192,②시니어_가정!$E$193,②시니어_가정!$E$194)</f>
        <v>0</v>
      </c>
      <c r="DV53" s="37" t="n">
        <f aca="false">DV35*CHOOSE(MIN(MAX(DV16,1),3),②시니어_가정!$E$192,②시니어_가정!$E$193,②시니어_가정!$E$194)</f>
        <v>0</v>
      </c>
      <c r="DW53" s="37" t="n">
        <f aca="false">DW35*CHOOSE(MIN(MAX(DW16,1),3),②시니어_가정!$E$192,②시니어_가정!$E$193,②시니어_가정!$E$194)</f>
        <v>0</v>
      </c>
      <c r="DX53" s="37" t="n">
        <f aca="false">DX35*CHOOSE(MIN(MAX(DX16,1),3),②시니어_가정!$E$192,②시니어_가정!$E$193,②시니어_가정!$E$194)</f>
        <v>0</v>
      </c>
      <c r="DY53" s="37" t="n">
        <f aca="false">DY35*CHOOSE(MIN(MAX(DY16,1),3),②시니어_가정!$E$192,②시니어_가정!$E$193,②시니어_가정!$E$194)</f>
        <v>0</v>
      </c>
      <c r="DZ53" s="37" t="n">
        <f aca="false">DZ35*CHOOSE(MIN(MAX(DZ16,1),3),②시니어_가정!$E$192,②시니어_가정!$E$193,②시니어_가정!$E$194)</f>
        <v>0</v>
      </c>
      <c r="EA53" s="37" t="n">
        <f aca="false">EA35*CHOOSE(MIN(MAX(EA16,1),3),②시니어_가정!$E$192,②시니어_가정!$E$193,②시니어_가정!$E$194)</f>
        <v>0</v>
      </c>
      <c r="EB53" s="37" t="n">
        <f aca="false">EB35*CHOOSE(MIN(MAX(EB16,1),3),②시니어_가정!$E$192,②시니어_가정!$E$193,②시니어_가정!$E$194)</f>
        <v>0</v>
      </c>
      <c r="EC53" s="37" t="n">
        <f aca="false">EC35*CHOOSE(MIN(MAX(EC16,1),3),②시니어_가정!$E$192,②시니어_가정!$E$193,②시니어_가정!$E$194)</f>
        <v>0</v>
      </c>
      <c r="ED53" s="37" t="n">
        <f aca="false">ED35*CHOOSE(MIN(MAX(ED16,1),3),②시니어_가정!$E$192,②시니어_가정!$E$193,②시니어_가정!$E$194)</f>
        <v>0</v>
      </c>
      <c r="EE53" s="37" t="n">
        <f aca="false">EE35*CHOOSE(MIN(MAX(EE16,1),3),②시니어_가정!$E$192,②시니어_가정!$E$193,②시니어_가정!$E$194)</f>
        <v>0</v>
      </c>
      <c r="EF53" s="37" t="n">
        <f aca="false">EF35*CHOOSE(MIN(MAX(EF16,1),3),②시니어_가정!$E$192,②시니어_가정!$E$193,②시니어_가정!$E$194)</f>
        <v>0</v>
      </c>
    </row>
    <row r="54" customFormat="false" ht="15" hidden="false" customHeight="false" outlineLevel="0" collapsed="false">
      <c r="A54" s="36" t="s">
        <v>602</v>
      </c>
      <c r="B54" s="278" t="s">
        <v>21</v>
      </c>
      <c r="C54" s="279" t="n">
        <f aca="false">SUM(E54:EF54)</f>
        <v>0</v>
      </c>
      <c r="E54" s="37" t="n">
        <f aca="false">(E14=1)*②시니어_가정!$G$38*②시니어_가정!$E$195*②시니어_가정!$E$184/1000*(1+②시니어_가정!$E$188)^(MAX(E16,1)-1)</f>
        <v>0</v>
      </c>
      <c r="F54" s="37" t="n">
        <f aca="false">(F14=1)*②시니어_가정!$G$38*②시니어_가정!$E$195*②시니어_가정!$E$184/1000*(1+②시니어_가정!$E$188)^(MAX(F16,1)-1)</f>
        <v>0</v>
      </c>
      <c r="G54" s="37" t="n">
        <f aca="false">(G14=1)*②시니어_가정!$G$38*②시니어_가정!$E$195*②시니어_가정!$E$184/1000*(1+②시니어_가정!$E$188)^(MAX(G16,1)-1)</f>
        <v>0</v>
      </c>
      <c r="H54" s="37" t="n">
        <f aca="false">(H14=1)*②시니어_가정!$G$38*②시니어_가정!$E$195*②시니어_가정!$E$184/1000*(1+②시니어_가정!$E$188)^(MAX(H16,1)-1)</f>
        <v>0</v>
      </c>
      <c r="I54" s="37" t="n">
        <f aca="false">(I14=1)*②시니어_가정!$G$38*②시니어_가정!$E$195*②시니어_가정!$E$184/1000*(1+②시니어_가정!$E$188)^(MAX(I16,1)-1)</f>
        <v>0</v>
      </c>
      <c r="J54" s="37" t="n">
        <f aca="false">(J14=1)*②시니어_가정!$G$38*②시니어_가정!$E$195*②시니어_가정!$E$184/1000*(1+②시니어_가정!$E$188)^(MAX(J16,1)-1)</f>
        <v>0</v>
      </c>
      <c r="K54" s="37" t="n">
        <f aca="false">(K14=1)*②시니어_가정!$G$38*②시니어_가정!$E$195*②시니어_가정!$E$184/1000*(1+②시니어_가정!$E$188)^(MAX(K16,1)-1)</f>
        <v>0</v>
      </c>
      <c r="L54" s="37" t="n">
        <f aca="false">(L14=1)*②시니어_가정!$G$38*②시니어_가정!$E$195*②시니어_가정!$E$184/1000*(1+②시니어_가정!$E$188)^(MAX(L16,1)-1)</f>
        <v>0</v>
      </c>
      <c r="M54" s="37" t="n">
        <f aca="false">(M14=1)*②시니어_가정!$G$38*②시니어_가정!$E$195*②시니어_가정!$E$184/1000*(1+②시니어_가정!$E$188)^(MAX(M16,1)-1)</f>
        <v>0</v>
      </c>
      <c r="N54" s="37" t="n">
        <f aca="false">(N14=1)*②시니어_가정!$G$38*②시니어_가정!$E$195*②시니어_가정!$E$184/1000*(1+②시니어_가정!$E$188)^(MAX(N16,1)-1)</f>
        <v>0</v>
      </c>
      <c r="O54" s="37" t="n">
        <f aca="false">(O14=1)*②시니어_가정!$G$38*②시니어_가정!$E$195*②시니어_가정!$E$184/1000*(1+②시니어_가정!$E$188)^(MAX(O16,1)-1)</f>
        <v>0</v>
      </c>
      <c r="P54" s="37" t="n">
        <f aca="false">(P14=1)*②시니어_가정!$G$38*②시니어_가정!$E$195*②시니어_가정!$E$184/1000*(1+②시니어_가정!$E$188)^(MAX(P16,1)-1)</f>
        <v>0</v>
      </c>
      <c r="Q54" s="37" t="n">
        <f aca="false">(Q14=1)*②시니어_가정!$G$38*②시니어_가정!$E$195*②시니어_가정!$E$184/1000*(1+②시니어_가정!$E$188)^(MAX(Q16,1)-1)</f>
        <v>0</v>
      </c>
      <c r="R54" s="37" t="n">
        <f aca="false">(R14=1)*②시니어_가정!$G$38*②시니어_가정!$E$195*②시니어_가정!$E$184/1000*(1+②시니어_가정!$E$188)^(MAX(R16,1)-1)</f>
        <v>0</v>
      </c>
      <c r="S54" s="37" t="n">
        <f aca="false">(S14=1)*②시니어_가정!$G$38*②시니어_가정!$E$195*②시니어_가정!$E$184/1000*(1+②시니어_가정!$E$188)^(MAX(S16,1)-1)</f>
        <v>0</v>
      </c>
      <c r="T54" s="37" t="n">
        <f aca="false">(T14=1)*②시니어_가정!$G$38*②시니어_가정!$E$195*②시니어_가정!$E$184/1000*(1+②시니어_가정!$E$188)^(MAX(T16,1)-1)</f>
        <v>0</v>
      </c>
      <c r="U54" s="37" t="n">
        <f aca="false">(U14=1)*②시니어_가정!$G$38*②시니어_가정!$E$195*②시니어_가정!$E$184/1000*(1+②시니어_가정!$E$188)^(MAX(U16,1)-1)</f>
        <v>0</v>
      </c>
      <c r="V54" s="37" t="n">
        <f aca="false">(V14=1)*②시니어_가정!$G$38*②시니어_가정!$E$195*②시니어_가정!$E$184/1000*(1+②시니어_가정!$E$188)^(MAX(V16,1)-1)</f>
        <v>0</v>
      </c>
      <c r="W54" s="37" t="n">
        <f aca="false">(W14=1)*②시니어_가정!$G$38*②시니어_가정!$E$195*②시니어_가정!$E$184/1000*(1+②시니어_가정!$E$188)^(MAX(W16,1)-1)</f>
        <v>0</v>
      </c>
      <c r="X54" s="37" t="n">
        <f aca="false">(X14=1)*②시니어_가정!$G$38*②시니어_가정!$E$195*②시니어_가정!$E$184/1000*(1+②시니어_가정!$E$188)^(MAX(X16,1)-1)</f>
        <v>0</v>
      </c>
      <c r="Y54" s="37" t="n">
        <f aca="false">(Y14=1)*②시니어_가정!$G$38*②시니어_가정!$E$195*②시니어_가정!$E$184/1000*(1+②시니어_가정!$E$188)^(MAX(Y16,1)-1)</f>
        <v>0</v>
      </c>
      <c r="Z54" s="37" t="n">
        <f aca="false">(Z14=1)*②시니어_가정!$G$38*②시니어_가정!$E$195*②시니어_가정!$E$184/1000*(1+②시니어_가정!$E$188)^(MAX(Z16,1)-1)</f>
        <v>0</v>
      </c>
      <c r="AA54" s="37" t="n">
        <f aca="false">(AA14=1)*②시니어_가정!$G$38*②시니어_가정!$E$195*②시니어_가정!$E$184/1000*(1+②시니어_가정!$E$188)^(MAX(AA16,1)-1)</f>
        <v>0</v>
      </c>
      <c r="AB54" s="37" t="n">
        <f aca="false">(AB14=1)*②시니어_가정!$G$38*②시니어_가정!$E$195*②시니어_가정!$E$184/1000*(1+②시니어_가정!$E$188)^(MAX(AB16,1)-1)</f>
        <v>0</v>
      </c>
      <c r="AC54" s="37" t="n">
        <f aca="false">(AC14=1)*②시니어_가정!$G$38*②시니어_가정!$E$195*②시니어_가정!$E$184/1000*(1+②시니어_가정!$E$188)^(MAX(AC16,1)-1)</f>
        <v>0</v>
      </c>
      <c r="AD54" s="37" t="n">
        <f aca="false">(AD14=1)*②시니어_가정!$G$38*②시니어_가정!$E$195*②시니어_가정!$E$184/1000*(1+②시니어_가정!$E$188)^(MAX(AD16,1)-1)</f>
        <v>0</v>
      </c>
      <c r="AE54" s="37" t="n">
        <f aca="false">(AE14=1)*②시니어_가정!$G$38*②시니어_가정!$E$195*②시니어_가정!$E$184/1000*(1+②시니어_가정!$E$188)^(MAX(AE16,1)-1)</f>
        <v>0</v>
      </c>
      <c r="AF54" s="37" t="n">
        <f aca="false">(AF14=1)*②시니어_가정!$G$38*②시니어_가정!$E$195*②시니어_가정!$E$184/1000*(1+②시니어_가정!$E$188)^(MAX(AF16,1)-1)</f>
        <v>0</v>
      </c>
      <c r="AG54" s="37" t="n">
        <f aca="false">(AG14=1)*②시니어_가정!$G$38*②시니어_가정!$E$195*②시니어_가정!$E$184/1000*(1+②시니어_가정!$E$188)^(MAX(AG16,1)-1)</f>
        <v>0</v>
      </c>
      <c r="AH54" s="37" t="n">
        <f aca="false">(AH14=1)*②시니어_가정!$G$38*②시니어_가정!$E$195*②시니어_가정!$E$184/1000*(1+②시니어_가정!$E$188)^(MAX(AH16,1)-1)</f>
        <v>0</v>
      </c>
      <c r="AI54" s="37" t="n">
        <f aca="false">(AI14=1)*②시니어_가정!$G$38*②시니어_가정!$E$195*②시니어_가정!$E$184/1000*(1+②시니어_가정!$E$188)^(MAX(AI16,1)-1)</f>
        <v>0</v>
      </c>
      <c r="AJ54" s="37" t="n">
        <f aca="false">(AJ14=1)*②시니어_가정!$G$38*②시니어_가정!$E$195*②시니어_가정!$E$184/1000*(1+②시니어_가정!$E$188)^(MAX(AJ16,1)-1)</f>
        <v>0</v>
      </c>
      <c r="AK54" s="37" t="n">
        <f aca="false">(AK14=1)*②시니어_가정!$G$38*②시니어_가정!$E$195*②시니어_가정!$E$184/1000*(1+②시니어_가정!$E$188)^(MAX(AK16,1)-1)</f>
        <v>0</v>
      </c>
      <c r="AL54" s="37" t="n">
        <f aca="false">(AL14=1)*②시니어_가정!$G$38*②시니어_가정!$E$195*②시니어_가정!$E$184/1000*(1+②시니어_가정!$E$188)^(MAX(AL16,1)-1)</f>
        <v>0</v>
      </c>
      <c r="AM54" s="37" t="n">
        <f aca="false">(AM14=1)*②시니어_가정!$G$38*②시니어_가정!$E$195*②시니어_가정!$E$184/1000*(1+②시니어_가정!$E$188)^(MAX(AM16,1)-1)</f>
        <v>0</v>
      </c>
      <c r="AN54" s="37" t="n">
        <f aca="false">(AN14=1)*②시니어_가정!$G$38*②시니어_가정!$E$195*②시니어_가정!$E$184/1000*(1+②시니어_가정!$E$188)^(MAX(AN16,1)-1)</f>
        <v>0</v>
      </c>
      <c r="AO54" s="37" t="n">
        <f aca="false">(AO14=1)*②시니어_가정!$G$38*②시니어_가정!$E$195*②시니어_가정!$E$184/1000*(1+②시니어_가정!$E$188)^(MAX(AO16,1)-1)</f>
        <v>0</v>
      </c>
      <c r="AP54" s="37" t="n">
        <f aca="false">(AP14=1)*②시니어_가정!$G$38*②시니어_가정!$E$195*②시니어_가정!$E$184/1000*(1+②시니어_가정!$E$188)^(MAX(AP16,1)-1)</f>
        <v>0</v>
      </c>
      <c r="AQ54" s="37" t="n">
        <f aca="false">(AQ14=1)*②시니어_가정!$G$38*②시니어_가정!$E$195*②시니어_가정!$E$184/1000*(1+②시니어_가정!$E$188)^(MAX(AQ16,1)-1)</f>
        <v>0</v>
      </c>
      <c r="AR54" s="37" t="n">
        <f aca="false">(AR14=1)*②시니어_가정!$G$38*②시니어_가정!$E$195*②시니어_가정!$E$184/1000*(1+②시니어_가정!$E$188)^(MAX(AR16,1)-1)</f>
        <v>0</v>
      </c>
      <c r="AS54" s="37" t="n">
        <f aca="false">(AS14=1)*②시니어_가정!$G$38*②시니어_가정!$E$195*②시니어_가정!$E$184/1000*(1+②시니어_가정!$E$188)^(MAX(AS16,1)-1)</f>
        <v>0</v>
      </c>
      <c r="AT54" s="37" t="n">
        <f aca="false">(AT14=1)*②시니어_가정!$G$38*②시니어_가정!$E$195*②시니어_가정!$E$184/1000*(1+②시니어_가정!$E$188)^(MAX(AT16,1)-1)</f>
        <v>0</v>
      </c>
      <c r="AU54" s="37" t="n">
        <f aca="false">(AU14=1)*②시니어_가정!$G$38*②시니어_가정!$E$195*②시니어_가정!$E$184/1000*(1+②시니어_가정!$E$188)^(MAX(AU16,1)-1)</f>
        <v>0</v>
      </c>
      <c r="AV54" s="37" t="n">
        <f aca="false">(AV14=1)*②시니어_가정!$G$38*②시니어_가정!$E$195*②시니어_가정!$E$184/1000*(1+②시니어_가정!$E$188)^(MAX(AV16,1)-1)</f>
        <v>0</v>
      </c>
      <c r="AW54" s="37" t="n">
        <f aca="false">(AW14=1)*②시니어_가정!$G$38*②시니어_가정!$E$195*②시니어_가정!$E$184/1000*(1+②시니어_가정!$E$188)^(MAX(AW16,1)-1)</f>
        <v>0</v>
      </c>
      <c r="AX54" s="37" t="n">
        <f aca="false">(AX14=1)*②시니어_가정!$G$38*②시니어_가정!$E$195*②시니어_가정!$E$184/1000*(1+②시니어_가정!$E$188)^(MAX(AX16,1)-1)</f>
        <v>0</v>
      </c>
      <c r="AY54" s="37" t="n">
        <f aca="false">(AY14=1)*②시니어_가정!$G$38*②시니어_가정!$E$195*②시니어_가정!$E$184/1000*(1+②시니어_가정!$E$188)^(MAX(AY16,1)-1)</f>
        <v>0</v>
      </c>
      <c r="AZ54" s="37" t="n">
        <f aca="false">(AZ14=1)*②시니어_가정!$G$38*②시니어_가정!$E$195*②시니어_가정!$E$184/1000*(1+②시니어_가정!$E$188)^(MAX(AZ16,1)-1)</f>
        <v>0</v>
      </c>
      <c r="BA54" s="37" t="n">
        <f aca="false">(BA14=1)*②시니어_가정!$G$38*②시니어_가정!$E$195*②시니어_가정!$E$184/1000*(1+②시니어_가정!$E$188)^(MAX(BA16,1)-1)</f>
        <v>0</v>
      </c>
      <c r="BB54" s="37" t="n">
        <f aca="false">(BB14=1)*②시니어_가정!$G$38*②시니어_가정!$E$195*②시니어_가정!$E$184/1000*(1+②시니어_가정!$E$188)^(MAX(BB16,1)-1)</f>
        <v>0</v>
      </c>
      <c r="BC54" s="37" t="n">
        <f aca="false">(BC14=1)*②시니어_가정!$G$38*②시니어_가정!$E$195*②시니어_가정!$E$184/1000*(1+②시니어_가정!$E$188)^(MAX(BC16,1)-1)</f>
        <v>0</v>
      </c>
      <c r="BD54" s="37" t="n">
        <f aca="false">(BD14=1)*②시니어_가정!$G$38*②시니어_가정!$E$195*②시니어_가정!$E$184/1000*(1+②시니어_가정!$E$188)^(MAX(BD16,1)-1)</f>
        <v>0</v>
      </c>
      <c r="BE54" s="37" t="n">
        <f aca="false">(BE14=1)*②시니어_가정!$G$38*②시니어_가정!$E$195*②시니어_가정!$E$184/1000*(1+②시니어_가정!$E$188)^(MAX(BE16,1)-1)</f>
        <v>0</v>
      </c>
      <c r="BF54" s="37" t="n">
        <f aca="false">(BF14=1)*②시니어_가정!$G$38*②시니어_가정!$E$195*②시니어_가정!$E$184/1000*(1+②시니어_가정!$E$188)^(MAX(BF16,1)-1)</f>
        <v>0</v>
      </c>
      <c r="BG54" s="37" t="n">
        <f aca="false">(BG14=1)*②시니어_가정!$G$38*②시니어_가정!$E$195*②시니어_가정!$E$184/1000*(1+②시니어_가정!$E$188)^(MAX(BG16,1)-1)</f>
        <v>0</v>
      </c>
      <c r="BH54" s="37" t="n">
        <f aca="false">(BH14=1)*②시니어_가정!$G$38*②시니어_가정!$E$195*②시니어_가정!$E$184/1000*(1+②시니어_가정!$E$188)^(MAX(BH16,1)-1)</f>
        <v>0</v>
      </c>
      <c r="BI54" s="37" t="n">
        <f aca="false">(BI14=1)*②시니어_가정!$G$38*②시니어_가정!$E$195*②시니어_가정!$E$184/1000*(1+②시니어_가정!$E$188)^(MAX(BI16,1)-1)</f>
        <v>0</v>
      </c>
      <c r="BJ54" s="37" t="n">
        <f aca="false">(BJ14=1)*②시니어_가정!$G$38*②시니어_가정!$E$195*②시니어_가정!$E$184/1000*(1+②시니어_가정!$E$188)^(MAX(BJ16,1)-1)</f>
        <v>0</v>
      </c>
      <c r="BK54" s="37" t="n">
        <f aca="false">(BK14=1)*②시니어_가정!$G$38*②시니어_가정!$E$195*②시니어_가정!$E$184/1000*(1+②시니어_가정!$E$188)^(MAX(BK16,1)-1)</f>
        <v>0</v>
      </c>
      <c r="BL54" s="37" t="n">
        <f aca="false">(BL14=1)*②시니어_가정!$G$38*②시니어_가정!$E$195*②시니어_가정!$E$184/1000*(1+②시니어_가정!$E$188)^(MAX(BL16,1)-1)</f>
        <v>0</v>
      </c>
      <c r="BM54" s="37" t="n">
        <f aca="false">(BM14=1)*②시니어_가정!$G$38*②시니어_가정!$E$195*②시니어_가정!$E$184/1000*(1+②시니어_가정!$E$188)^(MAX(BM16,1)-1)</f>
        <v>0</v>
      </c>
      <c r="BN54" s="37" t="n">
        <f aca="false">(BN14=1)*②시니어_가정!$G$38*②시니어_가정!$E$195*②시니어_가정!$E$184/1000*(1+②시니어_가정!$E$188)^(MAX(BN16,1)-1)</f>
        <v>0</v>
      </c>
      <c r="BO54" s="37" t="n">
        <f aca="false">(BO14=1)*②시니어_가정!$G$38*②시니어_가정!$E$195*②시니어_가정!$E$184/1000*(1+②시니어_가정!$E$188)^(MAX(BO16,1)-1)</f>
        <v>0</v>
      </c>
      <c r="BP54" s="37" t="n">
        <f aca="false">(BP14=1)*②시니어_가정!$G$38*②시니어_가정!$E$195*②시니어_가정!$E$184/1000*(1+②시니어_가정!$E$188)^(MAX(BP16,1)-1)</f>
        <v>0</v>
      </c>
      <c r="BQ54" s="37" t="n">
        <f aca="false">(BQ14=1)*②시니어_가정!$G$38*②시니어_가정!$E$195*②시니어_가정!$E$184/1000*(1+②시니어_가정!$E$188)^(MAX(BQ16,1)-1)</f>
        <v>0</v>
      </c>
      <c r="BR54" s="37" t="n">
        <f aca="false">(BR14=1)*②시니어_가정!$G$38*②시니어_가정!$E$195*②시니어_가정!$E$184/1000*(1+②시니어_가정!$E$188)^(MAX(BR16,1)-1)</f>
        <v>0</v>
      </c>
      <c r="BS54" s="37" t="n">
        <f aca="false">(BS14=1)*②시니어_가정!$G$38*②시니어_가정!$E$195*②시니어_가정!$E$184/1000*(1+②시니어_가정!$E$188)^(MAX(BS16,1)-1)</f>
        <v>0</v>
      </c>
      <c r="BT54" s="37" t="n">
        <f aca="false">(BT14=1)*②시니어_가정!$G$38*②시니어_가정!$E$195*②시니어_가정!$E$184/1000*(1+②시니어_가정!$E$188)^(MAX(BT16,1)-1)</f>
        <v>0</v>
      </c>
      <c r="BU54" s="37" t="n">
        <f aca="false">(BU14=1)*②시니어_가정!$G$38*②시니어_가정!$E$195*②시니어_가정!$E$184/1000*(1+②시니어_가정!$E$188)^(MAX(BU16,1)-1)</f>
        <v>0</v>
      </c>
      <c r="BV54" s="37" t="n">
        <f aca="false">(BV14=1)*②시니어_가정!$G$38*②시니어_가정!$E$195*②시니어_가정!$E$184/1000*(1+②시니어_가정!$E$188)^(MAX(BV16,1)-1)</f>
        <v>0</v>
      </c>
      <c r="BW54" s="37" t="n">
        <f aca="false">(BW14=1)*②시니어_가정!$G$38*②시니어_가정!$E$195*②시니어_가정!$E$184/1000*(1+②시니어_가정!$E$188)^(MAX(BW16,1)-1)</f>
        <v>0</v>
      </c>
      <c r="BX54" s="37" t="n">
        <f aca="false">(BX14=1)*②시니어_가정!$G$38*②시니어_가정!$E$195*②시니어_가정!$E$184/1000*(1+②시니어_가정!$E$188)^(MAX(BX16,1)-1)</f>
        <v>0</v>
      </c>
      <c r="BY54" s="37" t="n">
        <f aca="false">(BY14=1)*②시니어_가정!$G$38*②시니어_가정!$E$195*②시니어_가정!$E$184/1000*(1+②시니어_가정!$E$188)^(MAX(BY16,1)-1)</f>
        <v>0</v>
      </c>
      <c r="BZ54" s="37" t="n">
        <f aca="false">(BZ14=1)*②시니어_가정!$G$38*②시니어_가정!$E$195*②시니어_가정!$E$184/1000*(1+②시니어_가정!$E$188)^(MAX(BZ16,1)-1)</f>
        <v>0</v>
      </c>
      <c r="CA54" s="37" t="n">
        <f aca="false">(CA14=1)*②시니어_가정!$G$38*②시니어_가정!$E$195*②시니어_가정!$E$184/1000*(1+②시니어_가정!$E$188)^(MAX(CA16,1)-1)</f>
        <v>0</v>
      </c>
      <c r="CB54" s="37" t="n">
        <f aca="false">(CB14=1)*②시니어_가정!$G$38*②시니어_가정!$E$195*②시니어_가정!$E$184/1000*(1+②시니어_가정!$E$188)^(MAX(CB16,1)-1)</f>
        <v>0</v>
      </c>
      <c r="CC54" s="37" t="n">
        <f aca="false">(CC14=1)*②시니어_가정!$G$38*②시니어_가정!$E$195*②시니어_가정!$E$184/1000*(1+②시니어_가정!$E$188)^(MAX(CC16,1)-1)</f>
        <v>0</v>
      </c>
      <c r="CD54" s="37" t="n">
        <f aca="false">(CD14=1)*②시니어_가정!$G$38*②시니어_가정!$E$195*②시니어_가정!$E$184/1000*(1+②시니어_가정!$E$188)^(MAX(CD16,1)-1)</f>
        <v>0</v>
      </c>
      <c r="CE54" s="37" t="n">
        <f aca="false">(CE14=1)*②시니어_가정!$G$38*②시니어_가정!$E$195*②시니어_가정!$E$184/1000*(1+②시니어_가정!$E$188)^(MAX(CE16,1)-1)</f>
        <v>0</v>
      </c>
      <c r="CF54" s="37" t="n">
        <f aca="false">(CF14=1)*②시니어_가정!$G$38*②시니어_가정!$E$195*②시니어_가정!$E$184/1000*(1+②시니어_가정!$E$188)^(MAX(CF16,1)-1)</f>
        <v>0</v>
      </c>
      <c r="CG54" s="37" t="n">
        <f aca="false">(CG14=1)*②시니어_가정!$G$38*②시니어_가정!$E$195*②시니어_가정!$E$184/1000*(1+②시니어_가정!$E$188)^(MAX(CG16,1)-1)</f>
        <v>0</v>
      </c>
      <c r="CH54" s="37" t="n">
        <f aca="false">(CH14=1)*②시니어_가정!$G$38*②시니어_가정!$E$195*②시니어_가정!$E$184/1000*(1+②시니어_가정!$E$188)^(MAX(CH16,1)-1)</f>
        <v>0</v>
      </c>
      <c r="CI54" s="37" t="n">
        <f aca="false">(CI14=1)*②시니어_가정!$G$38*②시니어_가정!$E$195*②시니어_가정!$E$184/1000*(1+②시니어_가정!$E$188)^(MAX(CI16,1)-1)</f>
        <v>0</v>
      </c>
      <c r="CJ54" s="37" t="n">
        <f aca="false">(CJ14=1)*②시니어_가정!$G$38*②시니어_가정!$E$195*②시니어_가정!$E$184/1000*(1+②시니어_가정!$E$188)^(MAX(CJ16,1)-1)</f>
        <v>0</v>
      </c>
      <c r="CK54" s="37" t="n">
        <f aca="false">(CK14=1)*②시니어_가정!$G$38*②시니어_가정!$E$195*②시니어_가정!$E$184/1000*(1+②시니어_가정!$E$188)^(MAX(CK16,1)-1)</f>
        <v>0</v>
      </c>
      <c r="CL54" s="37" t="n">
        <f aca="false">(CL14=1)*②시니어_가정!$G$38*②시니어_가정!$E$195*②시니어_가정!$E$184/1000*(1+②시니어_가정!$E$188)^(MAX(CL16,1)-1)</f>
        <v>0</v>
      </c>
      <c r="CM54" s="37" t="n">
        <f aca="false">(CM14=1)*②시니어_가정!$G$38*②시니어_가정!$E$195*②시니어_가정!$E$184/1000*(1+②시니어_가정!$E$188)^(MAX(CM16,1)-1)</f>
        <v>0</v>
      </c>
      <c r="CN54" s="37" t="n">
        <f aca="false">(CN14=1)*②시니어_가정!$G$38*②시니어_가정!$E$195*②시니어_가정!$E$184/1000*(1+②시니어_가정!$E$188)^(MAX(CN16,1)-1)</f>
        <v>0</v>
      </c>
      <c r="CO54" s="37" t="n">
        <f aca="false">(CO14=1)*②시니어_가정!$G$38*②시니어_가정!$E$195*②시니어_가정!$E$184/1000*(1+②시니어_가정!$E$188)^(MAX(CO16,1)-1)</f>
        <v>0</v>
      </c>
      <c r="CP54" s="37" t="n">
        <f aca="false">(CP14=1)*②시니어_가정!$G$38*②시니어_가정!$E$195*②시니어_가정!$E$184/1000*(1+②시니어_가정!$E$188)^(MAX(CP16,1)-1)</f>
        <v>0</v>
      </c>
      <c r="CQ54" s="37" t="n">
        <f aca="false">(CQ14=1)*②시니어_가정!$G$38*②시니어_가정!$E$195*②시니어_가정!$E$184/1000*(1+②시니어_가정!$E$188)^(MAX(CQ16,1)-1)</f>
        <v>0</v>
      </c>
      <c r="CR54" s="37" t="n">
        <f aca="false">(CR14=1)*②시니어_가정!$G$38*②시니어_가정!$E$195*②시니어_가정!$E$184/1000*(1+②시니어_가정!$E$188)^(MAX(CR16,1)-1)</f>
        <v>0</v>
      </c>
      <c r="CS54" s="37" t="n">
        <f aca="false">(CS14=1)*②시니어_가정!$G$38*②시니어_가정!$E$195*②시니어_가정!$E$184/1000*(1+②시니어_가정!$E$188)^(MAX(CS16,1)-1)</f>
        <v>0</v>
      </c>
      <c r="CT54" s="37" t="n">
        <f aca="false">(CT14=1)*②시니어_가정!$G$38*②시니어_가정!$E$195*②시니어_가정!$E$184/1000*(1+②시니어_가정!$E$188)^(MAX(CT16,1)-1)</f>
        <v>0</v>
      </c>
      <c r="CU54" s="37" t="n">
        <f aca="false">(CU14=1)*②시니어_가정!$G$38*②시니어_가정!$E$195*②시니어_가정!$E$184/1000*(1+②시니어_가정!$E$188)^(MAX(CU16,1)-1)</f>
        <v>0</v>
      </c>
      <c r="CV54" s="37" t="n">
        <f aca="false">(CV14=1)*②시니어_가정!$G$38*②시니어_가정!$E$195*②시니어_가정!$E$184/1000*(1+②시니어_가정!$E$188)^(MAX(CV16,1)-1)</f>
        <v>0</v>
      </c>
      <c r="CW54" s="37" t="n">
        <f aca="false">(CW14=1)*②시니어_가정!$G$38*②시니어_가정!$E$195*②시니어_가정!$E$184/1000*(1+②시니어_가정!$E$188)^(MAX(CW16,1)-1)</f>
        <v>0</v>
      </c>
      <c r="CX54" s="37" t="n">
        <f aca="false">(CX14=1)*②시니어_가정!$G$38*②시니어_가정!$E$195*②시니어_가정!$E$184/1000*(1+②시니어_가정!$E$188)^(MAX(CX16,1)-1)</f>
        <v>0</v>
      </c>
      <c r="CY54" s="37" t="n">
        <f aca="false">(CY14=1)*②시니어_가정!$G$38*②시니어_가정!$E$195*②시니어_가정!$E$184/1000*(1+②시니어_가정!$E$188)^(MAX(CY16,1)-1)</f>
        <v>0</v>
      </c>
      <c r="CZ54" s="37" t="n">
        <f aca="false">(CZ14=1)*②시니어_가정!$G$38*②시니어_가정!$E$195*②시니어_가정!$E$184/1000*(1+②시니어_가정!$E$188)^(MAX(CZ16,1)-1)</f>
        <v>0</v>
      </c>
      <c r="DA54" s="37" t="n">
        <f aca="false">(DA14=1)*②시니어_가정!$G$38*②시니어_가정!$E$195*②시니어_가정!$E$184/1000*(1+②시니어_가정!$E$188)^(MAX(DA16,1)-1)</f>
        <v>0</v>
      </c>
      <c r="DB54" s="37" t="n">
        <f aca="false">(DB14=1)*②시니어_가정!$G$38*②시니어_가정!$E$195*②시니어_가정!$E$184/1000*(1+②시니어_가정!$E$188)^(MAX(DB16,1)-1)</f>
        <v>0</v>
      </c>
      <c r="DC54" s="37" t="n">
        <f aca="false">(DC14=1)*②시니어_가정!$G$38*②시니어_가정!$E$195*②시니어_가정!$E$184/1000*(1+②시니어_가정!$E$188)^(MAX(DC16,1)-1)</f>
        <v>0</v>
      </c>
      <c r="DD54" s="37" t="n">
        <f aca="false">(DD14=1)*②시니어_가정!$G$38*②시니어_가정!$E$195*②시니어_가정!$E$184/1000*(1+②시니어_가정!$E$188)^(MAX(DD16,1)-1)</f>
        <v>0</v>
      </c>
      <c r="DE54" s="37" t="n">
        <f aca="false">(DE14=1)*②시니어_가정!$G$38*②시니어_가정!$E$195*②시니어_가정!$E$184/1000*(1+②시니어_가정!$E$188)^(MAX(DE16,1)-1)</f>
        <v>0</v>
      </c>
      <c r="DF54" s="37" t="n">
        <f aca="false">(DF14=1)*②시니어_가정!$G$38*②시니어_가정!$E$195*②시니어_가정!$E$184/1000*(1+②시니어_가정!$E$188)^(MAX(DF16,1)-1)</f>
        <v>0</v>
      </c>
      <c r="DG54" s="37" t="n">
        <f aca="false">(DG14=1)*②시니어_가정!$G$38*②시니어_가정!$E$195*②시니어_가정!$E$184/1000*(1+②시니어_가정!$E$188)^(MAX(DG16,1)-1)</f>
        <v>0</v>
      </c>
      <c r="DH54" s="37" t="n">
        <f aca="false">(DH14=1)*②시니어_가정!$G$38*②시니어_가정!$E$195*②시니어_가정!$E$184/1000*(1+②시니어_가정!$E$188)^(MAX(DH16,1)-1)</f>
        <v>0</v>
      </c>
      <c r="DI54" s="37" t="n">
        <f aca="false">(DI14=1)*②시니어_가정!$G$38*②시니어_가정!$E$195*②시니어_가정!$E$184/1000*(1+②시니어_가정!$E$188)^(MAX(DI16,1)-1)</f>
        <v>0</v>
      </c>
      <c r="DJ54" s="37" t="n">
        <f aca="false">(DJ14=1)*②시니어_가정!$G$38*②시니어_가정!$E$195*②시니어_가정!$E$184/1000*(1+②시니어_가정!$E$188)^(MAX(DJ16,1)-1)</f>
        <v>0</v>
      </c>
      <c r="DK54" s="37" t="n">
        <f aca="false">(DK14=1)*②시니어_가정!$G$38*②시니어_가정!$E$195*②시니어_가정!$E$184/1000*(1+②시니어_가정!$E$188)^(MAX(DK16,1)-1)</f>
        <v>0</v>
      </c>
      <c r="DL54" s="37" t="n">
        <f aca="false">(DL14=1)*②시니어_가정!$G$38*②시니어_가정!$E$195*②시니어_가정!$E$184/1000*(1+②시니어_가정!$E$188)^(MAX(DL16,1)-1)</f>
        <v>0</v>
      </c>
      <c r="DM54" s="37" t="n">
        <f aca="false">(DM14=1)*②시니어_가정!$G$38*②시니어_가정!$E$195*②시니어_가정!$E$184/1000*(1+②시니어_가정!$E$188)^(MAX(DM16,1)-1)</f>
        <v>0</v>
      </c>
      <c r="DN54" s="37" t="n">
        <f aca="false">(DN14=1)*②시니어_가정!$G$38*②시니어_가정!$E$195*②시니어_가정!$E$184/1000*(1+②시니어_가정!$E$188)^(MAX(DN16,1)-1)</f>
        <v>0</v>
      </c>
      <c r="DO54" s="37" t="n">
        <f aca="false">(DO14=1)*②시니어_가정!$G$38*②시니어_가정!$E$195*②시니어_가정!$E$184/1000*(1+②시니어_가정!$E$188)^(MAX(DO16,1)-1)</f>
        <v>0</v>
      </c>
      <c r="DP54" s="37" t="n">
        <f aca="false">(DP14=1)*②시니어_가정!$G$38*②시니어_가정!$E$195*②시니어_가정!$E$184/1000*(1+②시니어_가정!$E$188)^(MAX(DP16,1)-1)</f>
        <v>0</v>
      </c>
      <c r="DQ54" s="37" t="n">
        <f aca="false">(DQ14=1)*②시니어_가정!$G$38*②시니어_가정!$E$195*②시니어_가정!$E$184/1000*(1+②시니어_가정!$E$188)^(MAX(DQ16,1)-1)</f>
        <v>0</v>
      </c>
      <c r="DR54" s="37" t="n">
        <f aca="false">(DR14=1)*②시니어_가정!$G$38*②시니어_가정!$E$195*②시니어_가정!$E$184/1000*(1+②시니어_가정!$E$188)^(MAX(DR16,1)-1)</f>
        <v>0</v>
      </c>
      <c r="DS54" s="37" t="n">
        <f aca="false">(DS14=1)*②시니어_가정!$G$38*②시니어_가정!$E$195*②시니어_가정!$E$184/1000*(1+②시니어_가정!$E$188)^(MAX(DS16,1)-1)</f>
        <v>0</v>
      </c>
      <c r="DT54" s="37" t="n">
        <f aca="false">(DT14=1)*②시니어_가정!$G$38*②시니어_가정!$E$195*②시니어_가정!$E$184/1000*(1+②시니어_가정!$E$188)^(MAX(DT16,1)-1)</f>
        <v>0</v>
      </c>
      <c r="DU54" s="37" t="n">
        <f aca="false">(DU14=1)*②시니어_가정!$G$38*②시니어_가정!$E$195*②시니어_가정!$E$184/1000*(1+②시니어_가정!$E$188)^(MAX(DU16,1)-1)</f>
        <v>0</v>
      </c>
      <c r="DV54" s="37" t="n">
        <f aca="false">(DV14=1)*②시니어_가정!$G$38*②시니어_가정!$E$195*②시니어_가정!$E$184/1000*(1+②시니어_가정!$E$188)^(MAX(DV16,1)-1)</f>
        <v>0</v>
      </c>
      <c r="DW54" s="37" t="n">
        <f aca="false">(DW14=1)*②시니어_가정!$G$38*②시니어_가정!$E$195*②시니어_가정!$E$184/1000*(1+②시니어_가정!$E$188)^(MAX(DW16,1)-1)</f>
        <v>0</v>
      </c>
      <c r="DX54" s="37" t="n">
        <f aca="false">(DX14=1)*②시니어_가정!$G$38*②시니어_가정!$E$195*②시니어_가정!$E$184/1000*(1+②시니어_가정!$E$188)^(MAX(DX16,1)-1)</f>
        <v>0</v>
      </c>
      <c r="DY54" s="37" t="n">
        <f aca="false">(DY14=1)*②시니어_가정!$G$38*②시니어_가정!$E$195*②시니어_가정!$E$184/1000*(1+②시니어_가정!$E$188)^(MAX(DY16,1)-1)</f>
        <v>0</v>
      </c>
      <c r="DZ54" s="37" t="n">
        <f aca="false">(DZ14=1)*②시니어_가정!$G$38*②시니어_가정!$E$195*②시니어_가정!$E$184/1000*(1+②시니어_가정!$E$188)^(MAX(DZ16,1)-1)</f>
        <v>0</v>
      </c>
      <c r="EA54" s="37" t="n">
        <f aca="false">(EA14=1)*②시니어_가정!$G$38*②시니어_가정!$E$195*②시니어_가정!$E$184/1000*(1+②시니어_가정!$E$188)^(MAX(EA16,1)-1)</f>
        <v>0</v>
      </c>
      <c r="EB54" s="37" t="n">
        <f aca="false">(EB14=1)*②시니어_가정!$G$38*②시니어_가정!$E$195*②시니어_가정!$E$184/1000*(1+②시니어_가정!$E$188)^(MAX(EB16,1)-1)</f>
        <v>0</v>
      </c>
      <c r="EC54" s="37" t="n">
        <f aca="false">(EC14=1)*②시니어_가정!$G$38*②시니어_가정!$E$195*②시니어_가정!$E$184/1000*(1+②시니어_가정!$E$188)^(MAX(EC16,1)-1)</f>
        <v>0</v>
      </c>
      <c r="ED54" s="37" t="n">
        <f aca="false">(ED14=1)*②시니어_가정!$G$38*②시니어_가정!$E$195*②시니어_가정!$E$184/1000*(1+②시니어_가정!$E$188)^(MAX(ED16,1)-1)</f>
        <v>0</v>
      </c>
      <c r="EE54" s="37" t="n">
        <f aca="false">(EE14=1)*②시니어_가정!$G$38*②시니어_가정!$E$195*②시니어_가정!$E$184/1000*(1+②시니어_가정!$E$188)^(MAX(EE16,1)-1)</f>
        <v>0</v>
      </c>
      <c r="EF54" s="37" t="n">
        <f aca="false">(EF14=1)*②시니어_가정!$G$38*②시니어_가정!$E$195*②시니어_가정!$E$184/1000*(1+②시니어_가정!$E$188)^(MAX(EF16,1)-1)</f>
        <v>0</v>
      </c>
    </row>
    <row r="55" customFormat="false" ht="15" hidden="false" customHeight="false" outlineLevel="0" collapsed="false">
      <c r="A55" s="36" t="s">
        <v>603</v>
      </c>
      <c r="B55" s="278" t="s">
        <v>21</v>
      </c>
      <c r="C55" s="279" t="n">
        <f aca="false">SUM(E55:EF55)</f>
        <v>0</v>
      </c>
      <c r="E55" s="37" t="n">
        <f aca="false">E36*②시니어_가정!$E$210+E37*②시니어_가정!$E$223+E38*②시니어_가정!$E$236+E39*②시니어_가정!$E$249+E40*②시니어_가정!$E$262</f>
        <v>0</v>
      </c>
      <c r="F55" s="37" t="n">
        <f aca="false">F36*②시니어_가정!$E$210+F37*②시니어_가정!$E$223+F38*②시니어_가정!$E$236+F39*②시니어_가정!$E$249+F40*②시니어_가정!$E$262</f>
        <v>0</v>
      </c>
      <c r="G55" s="37" t="n">
        <f aca="false">G36*②시니어_가정!$E$210+G37*②시니어_가정!$E$223+G38*②시니어_가정!$E$236+G39*②시니어_가정!$E$249+G40*②시니어_가정!$E$262</f>
        <v>0</v>
      </c>
      <c r="H55" s="37" t="n">
        <f aca="false">H36*②시니어_가정!$E$210+H37*②시니어_가정!$E$223+H38*②시니어_가정!$E$236+H39*②시니어_가정!$E$249+H40*②시니어_가정!$E$262</f>
        <v>0</v>
      </c>
      <c r="I55" s="37" t="n">
        <f aca="false">I36*②시니어_가정!$E$210+I37*②시니어_가정!$E$223+I38*②시니어_가정!$E$236+I39*②시니어_가정!$E$249+I40*②시니어_가정!$E$262</f>
        <v>0</v>
      </c>
      <c r="J55" s="37" t="n">
        <f aca="false">J36*②시니어_가정!$E$210+J37*②시니어_가정!$E$223+J38*②시니어_가정!$E$236+J39*②시니어_가정!$E$249+J40*②시니어_가정!$E$262</f>
        <v>0</v>
      </c>
      <c r="K55" s="37" t="n">
        <f aca="false">K36*②시니어_가정!$E$210+K37*②시니어_가정!$E$223+K38*②시니어_가정!$E$236+K39*②시니어_가정!$E$249+K40*②시니어_가정!$E$262</f>
        <v>0</v>
      </c>
      <c r="L55" s="37" t="n">
        <f aca="false">L36*②시니어_가정!$E$210+L37*②시니어_가정!$E$223+L38*②시니어_가정!$E$236+L39*②시니어_가정!$E$249+L40*②시니어_가정!$E$262</f>
        <v>0</v>
      </c>
      <c r="M55" s="37" t="n">
        <f aca="false">M36*②시니어_가정!$E$210+M37*②시니어_가정!$E$223+M38*②시니어_가정!$E$236+M39*②시니어_가정!$E$249+M40*②시니어_가정!$E$262</f>
        <v>0</v>
      </c>
      <c r="N55" s="37" t="n">
        <f aca="false">N36*②시니어_가정!$E$210+N37*②시니어_가정!$E$223+N38*②시니어_가정!$E$236+N39*②시니어_가정!$E$249+N40*②시니어_가정!$E$262</f>
        <v>0</v>
      </c>
      <c r="O55" s="37" t="n">
        <f aca="false">O36*②시니어_가정!$E$210+O37*②시니어_가정!$E$223+O38*②시니어_가정!$E$236+O39*②시니어_가정!$E$249+O40*②시니어_가정!$E$262</f>
        <v>0</v>
      </c>
      <c r="P55" s="37" t="n">
        <f aca="false">P36*②시니어_가정!$E$210+P37*②시니어_가정!$E$223+P38*②시니어_가정!$E$236+P39*②시니어_가정!$E$249+P40*②시니어_가정!$E$262</f>
        <v>0</v>
      </c>
      <c r="Q55" s="37" t="n">
        <f aca="false">Q36*②시니어_가정!$E$210+Q37*②시니어_가정!$E$223+Q38*②시니어_가정!$E$236+Q39*②시니어_가정!$E$249+Q40*②시니어_가정!$E$262</f>
        <v>0</v>
      </c>
      <c r="R55" s="37" t="n">
        <f aca="false">R36*②시니어_가정!$E$210+R37*②시니어_가정!$E$223+R38*②시니어_가정!$E$236+R39*②시니어_가정!$E$249+R40*②시니어_가정!$E$262</f>
        <v>0</v>
      </c>
      <c r="S55" s="37" t="n">
        <f aca="false">S36*②시니어_가정!$E$210+S37*②시니어_가정!$E$223+S38*②시니어_가정!$E$236+S39*②시니어_가정!$E$249+S40*②시니어_가정!$E$262</f>
        <v>0</v>
      </c>
      <c r="T55" s="37" t="n">
        <f aca="false">T36*②시니어_가정!$E$210+T37*②시니어_가정!$E$223+T38*②시니어_가정!$E$236+T39*②시니어_가정!$E$249+T40*②시니어_가정!$E$262</f>
        <v>0</v>
      </c>
      <c r="U55" s="37" t="n">
        <f aca="false">U36*②시니어_가정!$E$210+U37*②시니어_가정!$E$223+U38*②시니어_가정!$E$236+U39*②시니어_가정!$E$249+U40*②시니어_가정!$E$262</f>
        <v>0</v>
      </c>
      <c r="V55" s="37" t="n">
        <f aca="false">V36*②시니어_가정!$E$210+V37*②시니어_가정!$E$223+V38*②시니어_가정!$E$236+V39*②시니어_가정!$E$249+V40*②시니어_가정!$E$262</f>
        <v>0</v>
      </c>
      <c r="W55" s="37" t="n">
        <f aca="false">W36*②시니어_가정!$E$210+W37*②시니어_가정!$E$223+W38*②시니어_가정!$E$236+W39*②시니어_가정!$E$249+W40*②시니어_가정!$E$262</f>
        <v>0</v>
      </c>
      <c r="X55" s="37" t="n">
        <f aca="false">X36*②시니어_가정!$E$210+X37*②시니어_가정!$E$223+X38*②시니어_가정!$E$236+X39*②시니어_가정!$E$249+X40*②시니어_가정!$E$262</f>
        <v>0</v>
      </c>
      <c r="Y55" s="37" t="n">
        <f aca="false">Y36*②시니어_가정!$E$210+Y37*②시니어_가정!$E$223+Y38*②시니어_가정!$E$236+Y39*②시니어_가정!$E$249+Y40*②시니어_가정!$E$262</f>
        <v>0</v>
      </c>
      <c r="Z55" s="37" t="n">
        <f aca="false">Z36*②시니어_가정!$E$210+Z37*②시니어_가정!$E$223+Z38*②시니어_가정!$E$236+Z39*②시니어_가정!$E$249+Z40*②시니어_가정!$E$262</f>
        <v>0</v>
      </c>
      <c r="AA55" s="37" t="n">
        <f aca="false">AA36*②시니어_가정!$E$210+AA37*②시니어_가정!$E$223+AA38*②시니어_가정!$E$236+AA39*②시니어_가정!$E$249+AA40*②시니어_가정!$E$262</f>
        <v>0</v>
      </c>
      <c r="AB55" s="37" t="n">
        <f aca="false">AB36*②시니어_가정!$E$210+AB37*②시니어_가정!$E$223+AB38*②시니어_가정!$E$236+AB39*②시니어_가정!$E$249+AB40*②시니어_가정!$E$262</f>
        <v>0</v>
      </c>
      <c r="AC55" s="37" t="n">
        <f aca="false">AC36*②시니어_가정!$E$210+AC37*②시니어_가정!$E$223+AC38*②시니어_가정!$E$236+AC39*②시니어_가정!$E$249+AC40*②시니어_가정!$E$262</f>
        <v>0</v>
      </c>
      <c r="AD55" s="37" t="n">
        <f aca="false">AD36*②시니어_가정!$E$210+AD37*②시니어_가정!$E$223+AD38*②시니어_가정!$E$236+AD39*②시니어_가정!$E$249+AD40*②시니어_가정!$E$262</f>
        <v>0</v>
      </c>
      <c r="AE55" s="37" t="n">
        <f aca="false">AE36*②시니어_가정!$E$210+AE37*②시니어_가정!$E$223+AE38*②시니어_가정!$E$236+AE39*②시니어_가정!$E$249+AE40*②시니어_가정!$E$262</f>
        <v>0</v>
      </c>
      <c r="AF55" s="37" t="n">
        <f aca="false">AF36*②시니어_가정!$E$210+AF37*②시니어_가정!$E$223+AF38*②시니어_가정!$E$236+AF39*②시니어_가정!$E$249+AF40*②시니어_가정!$E$262</f>
        <v>0</v>
      </c>
      <c r="AG55" s="37" t="n">
        <f aca="false">AG36*②시니어_가정!$E$210+AG37*②시니어_가정!$E$223+AG38*②시니어_가정!$E$236+AG39*②시니어_가정!$E$249+AG40*②시니어_가정!$E$262</f>
        <v>0</v>
      </c>
      <c r="AH55" s="37" t="n">
        <f aca="false">AH36*②시니어_가정!$E$210+AH37*②시니어_가정!$E$223+AH38*②시니어_가정!$E$236+AH39*②시니어_가정!$E$249+AH40*②시니어_가정!$E$262</f>
        <v>0</v>
      </c>
      <c r="AI55" s="37" t="n">
        <f aca="false">AI36*②시니어_가정!$E$210+AI37*②시니어_가정!$E$223+AI38*②시니어_가정!$E$236+AI39*②시니어_가정!$E$249+AI40*②시니어_가정!$E$262</f>
        <v>0</v>
      </c>
      <c r="AJ55" s="37" t="n">
        <f aca="false">AJ36*②시니어_가정!$E$210+AJ37*②시니어_가정!$E$223+AJ38*②시니어_가정!$E$236+AJ39*②시니어_가정!$E$249+AJ40*②시니어_가정!$E$262</f>
        <v>0</v>
      </c>
      <c r="AK55" s="37" t="n">
        <f aca="false">AK36*②시니어_가정!$E$210+AK37*②시니어_가정!$E$223+AK38*②시니어_가정!$E$236+AK39*②시니어_가정!$E$249+AK40*②시니어_가정!$E$262</f>
        <v>0</v>
      </c>
      <c r="AL55" s="37" t="n">
        <f aca="false">AL36*②시니어_가정!$E$210+AL37*②시니어_가정!$E$223+AL38*②시니어_가정!$E$236+AL39*②시니어_가정!$E$249+AL40*②시니어_가정!$E$262</f>
        <v>0</v>
      </c>
      <c r="AM55" s="37" t="n">
        <f aca="false">AM36*②시니어_가정!$E$210+AM37*②시니어_가정!$E$223+AM38*②시니어_가정!$E$236+AM39*②시니어_가정!$E$249+AM40*②시니어_가정!$E$262</f>
        <v>0</v>
      </c>
      <c r="AN55" s="37" t="n">
        <f aca="false">AN36*②시니어_가정!$E$210+AN37*②시니어_가정!$E$223+AN38*②시니어_가정!$E$236+AN39*②시니어_가정!$E$249+AN40*②시니어_가정!$E$262</f>
        <v>0</v>
      </c>
      <c r="AO55" s="37" t="n">
        <f aca="false">AO36*②시니어_가정!$E$210+AO37*②시니어_가정!$E$223+AO38*②시니어_가정!$E$236+AO39*②시니어_가정!$E$249+AO40*②시니어_가정!$E$262</f>
        <v>0</v>
      </c>
      <c r="AP55" s="37" t="n">
        <f aca="false">AP36*②시니어_가정!$E$210+AP37*②시니어_가정!$E$223+AP38*②시니어_가정!$E$236+AP39*②시니어_가정!$E$249+AP40*②시니어_가정!$E$262</f>
        <v>0</v>
      </c>
      <c r="AQ55" s="37" t="n">
        <f aca="false">AQ36*②시니어_가정!$E$210+AQ37*②시니어_가정!$E$223+AQ38*②시니어_가정!$E$236+AQ39*②시니어_가정!$E$249+AQ40*②시니어_가정!$E$262</f>
        <v>0</v>
      </c>
      <c r="AR55" s="37" t="n">
        <f aca="false">AR36*②시니어_가정!$E$210+AR37*②시니어_가정!$E$223+AR38*②시니어_가정!$E$236+AR39*②시니어_가정!$E$249+AR40*②시니어_가정!$E$262</f>
        <v>0</v>
      </c>
      <c r="AS55" s="37" t="n">
        <f aca="false">AS36*②시니어_가정!$E$210+AS37*②시니어_가정!$E$223+AS38*②시니어_가정!$E$236+AS39*②시니어_가정!$E$249+AS40*②시니어_가정!$E$262</f>
        <v>0</v>
      </c>
      <c r="AT55" s="37" t="n">
        <f aca="false">AT36*②시니어_가정!$E$210+AT37*②시니어_가정!$E$223+AT38*②시니어_가정!$E$236+AT39*②시니어_가정!$E$249+AT40*②시니어_가정!$E$262</f>
        <v>0</v>
      </c>
      <c r="AU55" s="37" t="n">
        <f aca="false">AU36*②시니어_가정!$E$210+AU37*②시니어_가정!$E$223+AU38*②시니어_가정!$E$236+AU39*②시니어_가정!$E$249+AU40*②시니어_가정!$E$262</f>
        <v>0</v>
      </c>
      <c r="AV55" s="37" t="n">
        <f aca="false">AV36*②시니어_가정!$E$210+AV37*②시니어_가정!$E$223+AV38*②시니어_가정!$E$236+AV39*②시니어_가정!$E$249+AV40*②시니어_가정!$E$262</f>
        <v>0</v>
      </c>
      <c r="AW55" s="37" t="n">
        <f aca="false">AW36*②시니어_가정!$E$210+AW37*②시니어_가정!$E$223+AW38*②시니어_가정!$E$236+AW39*②시니어_가정!$E$249+AW40*②시니어_가정!$E$262</f>
        <v>0</v>
      </c>
      <c r="AX55" s="37" t="n">
        <f aca="false">AX36*②시니어_가정!$E$210+AX37*②시니어_가정!$E$223+AX38*②시니어_가정!$E$236+AX39*②시니어_가정!$E$249+AX40*②시니어_가정!$E$262</f>
        <v>0</v>
      </c>
      <c r="AY55" s="37" t="n">
        <f aca="false">AY36*②시니어_가정!$E$210+AY37*②시니어_가정!$E$223+AY38*②시니어_가정!$E$236+AY39*②시니어_가정!$E$249+AY40*②시니어_가정!$E$262</f>
        <v>0</v>
      </c>
      <c r="AZ55" s="37" t="n">
        <f aca="false">AZ36*②시니어_가정!$E$210+AZ37*②시니어_가정!$E$223+AZ38*②시니어_가정!$E$236+AZ39*②시니어_가정!$E$249+AZ40*②시니어_가정!$E$262</f>
        <v>0</v>
      </c>
      <c r="BA55" s="37" t="n">
        <f aca="false">BA36*②시니어_가정!$E$210+BA37*②시니어_가정!$E$223+BA38*②시니어_가정!$E$236+BA39*②시니어_가정!$E$249+BA40*②시니어_가정!$E$262</f>
        <v>0</v>
      </c>
      <c r="BB55" s="37" t="n">
        <f aca="false">BB36*②시니어_가정!$E$210+BB37*②시니어_가정!$E$223+BB38*②시니어_가정!$E$236+BB39*②시니어_가정!$E$249+BB40*②시니어_가정!$E$262</f>
        <v>0</v>
      </c>
      <c r="BC55" s="37" t="n">
        <f aca="false">BC36*②시니어_가정!$E$210+BC37*②시니어_가정!$E$223+BC38*②시니어_가정!$E$236+BC39*②시니어_가정!$E$249+BC40*②시니어_가정!$E$262</f>
        <v>0</v>
      </c>
      <c r="BD55" s="37" t="n">
        <f aca="false">BD36*②시니어_가정!$E$210+BD37*②시니어_가정!$E$223+BD38*②시니어_가정!$E$236+BD39*②시니어_가정!$E$249+BD40*②시니어_가정!$E$262</f>
        <v>0</v>
      </c>
      <c r="BE55" s="37" t="n">
        <f aca="false">BE36*②시니어_가정!$E$210+BE37*②시니어_가정!$E$223+BE38*②시니어_가정!$E$236+BE39*②시니어_가정!$E$249+BE40*②시니어_가정!$E$262</f>
        <v>0</v>
      </c>
      <c r="BF55" s="37" t="n">
        <f aca="false">BF36*②시니어_가정!$E$210+BF37*②시니어_가정!$E$223+BF38*②시니어_가정!$E$236+BF39*②시니어_가정!$E$249+BF40*②시니어_가정!$E$262</f>
        <v>0</v>
      </c>
      <c r="BG55" s="37" t="n">
        <f aca="false">BG36*②시니어_가정!$E$210+BG37*②시니어_가정!$E$223+BG38*②시니어_가정!$E$236+BG39*②시니어_가정!$E$249+BG40*②시니어_가정!$E$262</f>
        <v>0</v>
      </c>
      <c r="BH55" s="37" t="n">
        <f aca="false">BH36*②시니어_가정!$E$210+BH37*②시니어_가정!$E$223+BH38*②시니어_가정!$E$236+BH39*②시니어_가정!$E$249+BH40*②시니어_가정!$E$262</f>
        <v>0</v>
      </c>
      <c r="BI55" s="37" t="n">
        <f aca="false">BI36*②시니어_가정!$E$210+BI37*②시니어_가정!$E$223+BI38*②시니어_가정!$E$236+BI39*②시니어_가정!$E$249+BI40*②시니어_가정!$E$262</f>
        <v>0</v>
      </c>
      <c r="BJ55" s="37" t="n">
        <f aca="false">BJ36*②시니어_가정!$E$210+BJ37*②시니어_가정!$E$223+BJ38*②시니어_가정!$E$236+BJ39*②시니어_가정!$E$249+BJ40*②시니어_가정!$E$262</f>
        <v>0</v>
      </c>
      <c r="BK55" s="37" t="n">
        <f aca="false">BK36*②시니어_가정!$E$210+BK37*②시니어_가정!$E$223+BK38*②시니어_가정!$E$236+BK39*②시니어_가정!$E$249+BK40*②시니어_가정!$E$262</f>
        <v>0</v>
      </c>
      <c r="BL55" s="37" t="n">
        <f aca="false">BL36*②시니어_가정!$E$210+BL37*②시니어_가정!$E$223+BL38*②시니어_가정!$E$236+BL39*②시니어_가정!$E$249+BL40*②시니어_가정!$E$262</f>
        <v>0</v>
      </c>
      <c r="BM55" s="37" t="n">
        <f aca="false">BM36*②시니어_가정!$E$210+BM37*②시니어_가정!$E$223+BM38*②시니어_가정!$E$236+BM39*②시니어_가정!$E$249+BM40*②시니어_가정!$E$262</f>
        <v>0</v>
      </c>
      <c r="BN55" s="37" t="n">
        <f aca="false">BN36*②시니어_가정!$E$210+BN37*②시니어_가정!$E$223+BN38*②시니어_가정!$E$236+BN39*②시니어_가정!$E$249+BN40*②시니어_가정!$E$262</f>
        <v>0</v>
      </c>
      <c r="BO55" s="37" t="n">
        <f aca="false">BO36*②시니어_가정!$E$210+BO37*②시니어_가정!$E$223+BO38*②시니어_가정!$E$236+BO39*②시니어_가정!$E$249+BO40*②시니어_가정!$E$262</f>
        <v>0</v>
      </c>
      <c r="BP55" s="37" t="n">
        <f aca="false">BP36*②시니어_가정!$E$210+BP37*②시니어_가정!$E$223+BP38*②시니어_가정!$E$236+BP39*②시니어_가정!$E$249+BP40*②시니어_가정!$E$262</f>
        <v>0</v>
      </c>
      <c r="BQ55" s="37" t="n">
        <f aca="false">BQ36*②시니어_가정!$E$210+BQ37*②시니어_가정!$E$223+BQ38*②시니어_가정!$E$236+BQ39*②시니어_가정!$E$249+BQ40*②시니어_가정!$E$262</f>
        <v>0</v>
      </c>
      <c r="BR55" s="37" t="n">
        <f aca="false">BR36*②시니어_가정!$E$210+BR37*②시니어_가정!$E$223+BR38*②시니어_가정!$E$236+BR39*②시니어_가정!$E$249+BR40*②시니어_가정!$E$262</f>
        <v>0</v>
      </c>
      <c r="BS55" s="37" t="n">
        <f aca="false">BS36*②시니어_가정!$E$210+BS37*②시니어_가정!$E$223+BS38*②시니어_가정!$E$236+BS39*②시니어_가정!$E$249+BS40*②시니어_가정!$E$262</f>
        <v>0</v>
      </c>
      <c r="BT55" s="37" t="n">
        <f aca="false">BT36*②시니어_가정!$E$210+BT37*②시니어_가정!$E$223+BT38*②시니어_가정!$E$236+BT39*②시니어_가정!$E$249+BT40*②시니어_가정!$E$262</f>
        <v>0</v>
      </c>
      <c r="BU55" s="37" t="n">
        <f aca="false">BU36*②시니어_가정!$E$210+BU37*②시니어_가정!$E$223+BU38*②시니어_가정!$E$236+BU39*②시니어_가정!$E$249+BU40*②시니어_가정!$E$262</f>
        <v>0</v>
      </c>
      <c r="BV55" s="37" t="n">
        <f aca="false">BV36*②시니어_가정!$E$210+BV37*②시니어_가정!$E$223+BV38*②시니어_가정!$E$236+BV39*②시니어_가정!$E$249+BV40*②시니어_가정!$E$262</f>
        <v>0</v>
      </c>
      <c r="BW55" s="37" t="n">
        <f aca="false">BW36*②시니어_가정!$E$210+BW37*②시니어_가정!$E$223+BW38*②시니어_가정!$E$236+BW39*②시니어_가정!$E$249+BW40*②시니어_가정!$E$262</f>
        <v>0</v>
      </c>
      <c r="BX55" s="37" t="n">
        <f aca="false">BX36*②시니어_가정!$E$210+BX37*②시니어_가정!$E$223+BX38*②시니어_가정!$E$236+BX39*②시니어_가정!$E$249+BX40*②시니어_가정!$E$262</f>
        <v>0</v>
      </c>
      <c r="BY55" s="37" t="n">
        <f aca="false">BY36*②시니어_가정!$E$210+BY37*②시니어_가정!$E$223+BY38*②시니어_가정!$E$236+BY39*②시니어_가정!$E$249+BY40*②시니어_가정!$E$262</f>
        <v>0</v>
      </c>
      <c r="BZ55" s="37" t="n">
        <f aca="false">BZ36*②시니어_가정!$E$210+BZ37*②시니어_가정!$E$223+BZ38*②시니어_가정!$E$236+BZ39*②시니어_가정!$E$249+BZ40*②시니어_가정!$E$262</f>
        <v>0</v>
      </c>
      <c r="CA55" s="37" t="n">
        <f aca="false">CA36*②시니어_가정!$E$210+CA37*②시니어_가정!$E$223+CA38*②시니어_가정!$E$236+CA39*②시니어_가정!$E$249+CA40*②시니어_가정!$E$262</f>
        <v>0</v>
      </c>
      <c r="CB55" s="37" t="n">
        <f aca="false">CB36*②시니어_가정!$E$210+CB37*②시니어_가정!$E$223+CB38*②시니어_가정!$E$236+CB39*②시니어_가정!$E$249+CB40*②시니어_가정!$E$262</f>
        <v>0</v>
      </c>
      <c r="CC55" s="37" t="n">
        <f aca="false">CC36*②시니어_가정!$E$210+CC37*②시니어_가정!$E$223+CC38*②시니어_가정!$E$236+CC39*②시니어_가정!$E$249+CC40*②시니어_가정!$E$262</f>
        <v>0</v>
      </c>
      <c r="CD55" s="37" t="n">
        <f aca="false">CD36*②시니어_가정!$E$210+CD37*②시니어_가정!$E$223+CD38*②시니어_가정!$E$236+CD39*②시니어_가정!$E$249+CD40*②시니어_가정!$E$262</f>
        <v>0</v>
      </c>
      <c r="CE55" s="37" t="n">
        <f aca="false">CE36*②시니어_가정!$E$210+CE37*②시니어_가정!$E$223+CE38*②시니어_가정!$E$236+CE39*②시니어_가정!$E$249+CE40*②시니어_가정!$E$262</f>
        <v>0</v>
      </c>
      <c r="CF55" s="37" t="n">
        <f aca="false">CF36*②시니어_가정!$E$210+CF37*②시니어_가정!$E$223+CF38*②시니어_가정!$E$236+CF39*②시니어_가정!$E$249+CF40*②시니어_가정!$E$262</f>
        <v>0</v>
      </c>
      <c r="CG55" s="37" t="n">
        <f aca="false">CG36*②시니어_가정!$E$210+CG37*②시니어_가정!$E$223+CG38*②시니어_가정!$E$236+CG39*②시니어_가정!$E$249+CG40*②시니어_가정!$E$262</f>
        <v>0</v>
      </c>
      <c r="CH55" s="37" t="n">
        <f aca="false">CH36*②시니어_가정!$E$210+CH37*②시니어_가정!$E$223+CH38*②시니어_가정!$E$236+CH39*②시니어_가정!$E$249+CH40*②시니어_가정!$E$262</f>
        <v>0</v>
      </c>
      <c r="CI55" s="37" t="n">
        <f aca="false">CI36*②시니어_가정!$E$210+CI37*②시니어_가정!$E$223+CI38*②시니어_가정!$E$236+CI39*②시니어_가정!$E$249+CI40*②시니어_가정!$E$262</f>
        <v>0</v>
      </c>
      <c r="CJ55" s="37" t="n">
        <f aca="false">CJ36*②시니어_가정!$E$210+CJ37*②시니어_가정!$E$223+CJ38*②시니어_가정!$E$236+CJ39*②시니어_가정!$E$249+CJ40*②시니어_가정!$E$262</f>
        <v>0</v>
      </c>
      <c r="CK55" s="37" t="n">
        <f aca="false">CK36*②시니어_가정!$E$210+CK37*②시니어_가정!$E$223+CK38*②시니어_가정!$E$236+CK39*②시니어_가정!$E$249+CK40*②시니어_가정!$E$262</f>
        <v>0</v>
      </c>
      <c r="CL55" s="37" t="n">
        <f aca="false">CL36*②시니어_가정!$E$210+CL37*②시니어_가정!$E$223+CL38*②시니어_가정!$E$236+CL39*②시니어_가정!$E$249+CL40*②시니어_가정!$E$262</f>
        <v>0</v>
      </c>
      <c r="CM55" s="37" t="n">
        <f aca="false">CM36*②시니어_가정!$E$210+CM37*②시니어_가정!$E$223+CM38*②시니어_가정!$E$236+CM39*②시니어_가정!$E$249+CM40*②시니어_가정!$E$262</f>
        <v>0</v>
      </c>
      <c r="CN55" s="37" t="n">
        <f aca="false">CN36*②시니어_가정!$E$210+CN37*②시니어_가정!$E$223+CN38*②시니어_가정!$E$236+CN39*②시니어_가정!$E$249+CN40*②시니어_가정!$E$262</f>
        <v>0</v>
      </c>
      <c r="CO55" s="37" t="n">
        <f aca="false">CO36*②시니어_가정!$E$210+CO37*②시니어_가정!$E$223+CO38*②시니어_가정!$E$236+CO39*②시니어_가정!$E$249+CO40*②시니어_가정!$E$262</f>
        <v>0</v>
      </c>
      <c r="CP55" s="37" t="n">
        <f aca="false">CP36*②시니어_가정!$E$210+CP37*②시니어_가정!$E$223+CP38*②시니어_가정!$E$236+CP39*②시니어_가정!$E$249+CP40*②시니어_가정!$E$262</f>
        <v>0</v>
      </c>
      <c r="CQ55" s="37" t="n">
        <f aca="false">CQ36*②시니어_가정!$E$210+CQ37*②시니어_가정!$E$223+CQ38*②시니어_가정!$E$236+CQ39*②시니어_가정!$E$249+CQ40*②시니어_가정!$E$262</f>
        <v>0</v>
      </c>
      <c r="CR55" s="37" t="n">
        <f aca="false">CR36*②시니어_가정!$E$210+CR37*②시니어_가정!$E$223+CR38*②시니어_가정!$E$236+CR39*②시니어_가정!$E$249+CR40*②시니어_가정!$E$262</f>
        <v>0</v>
      </c>
      <c r="CS55" s="37" t="n">
        <f aca="false">CS36*②시니어_가정!$E$210+CS37*②시니어_가정!$E$223+CS38*②시니어_가정!$E$236+CS39*②시니어_가정!$E$249+CS40*②시니어_가정!$E$262</f>
        <v>0</v>
      </c>
      <c r="CT55" s="37" t="n">
        <f aca="false">CT36*②시니어_가정!$E$210+CT37*②시니어_가정!$E$223+CT38*②시니어_가정!$E$236+CT39*②시니어_가정!$E$249+CT40*②시니어_가정!$E$262</f>
        <v>0</v>
      </c>
      <c r="CU55" s="37" t="n">
        <f aca="false">CU36*②시니어_가정!$E$210+CU37*②시니어_가정!$E$223+CU38*②시니어_가정!$E$236+CU39*②시니어_가정!$E$249+CU40*②시니어_가정!$E$262</f>
        <v>0</v>
      </c>
      <c r="CV55" s="37" t="n">
        <f aca="false">CV36*②시니어_가정!$E$210+CV37*②시니어_가정!$E$223+CV38*②시니어_가정!$E$236+CV39*②시니어_가정!$E$249+CV40*②시니어_가정!$E$262</f>
        <v>0</v>
      </c>
      <c r="CW55" s="37" t="n">
        <f aca="false">CW36*②시니어_가정!$E$210+CW37*②시니어_가정!$E$223+CW38*②시니어_가정!$E$236+CW39*②시니어_가정!$E$249+CW40*②시니어_가정!$E$262</f>
        <v>0</v>
      </c>
      <c r="CX55" s="37" t="n">
        <f aca="false">CX36*②시니어_가정!$E$210+CX37*②시니어_가정!$E$223+CX38*②시니어_가정!$E$236+CX39*②시니어_가정!$E$249+CX40*②시니어_가정!$E$262</f>
        <v>0</v>
      </c>
      <c r="CY55" s="37" t="n">
        <f aca="false">CY36*②시니어_가정!$E$210+CY37*②시니어_가정!$E$223+CY38*②시니어_가정!$E$236+CY39*②시니어_가정!$E$249+CY40*②시니어_가정!$E$262</f>
        <v>0</v>
      </c>
      <c r="CZ55" s="37" t="n">
        <f aca="false">CZ36*②시니어_가정!$E$210+CZ37*②시니어_가정!$E$223+CZ38*②시니어_가정!$E$236+CZ39*②시니어_가정!$E$249+CZ40*②시니어_가정!$E$262</f>
        <v>0</v>
      </c>
      <c r="DA55" s="37" t="n">
        <f aca="false">DA36*②시니어_가정!$E$210+DA37*②시니어_가정!$E$223+DA38*②시니어_가정!$E$236+DA39*②시니어_가정!$E$249+DA40*②시니어_가정!$E$262</f>
        <v>0</v>
      </c>
      <c r="DB55" s="37" t="n">
        <f aca="false">DB36*②시니어_가정!$E$210+DB37*②시니어_가정!$E$223+DB38*②시니어_가정!$E$236+DB39*②시니어_가정!$E$249+DB40*②시니어_가정!$E$262</f>
        <v>0</v>
      </c>
      <c r="DC55" s="37" t="n">
        <f aca="false">DC36*②시니어_가정!$E$210+DC37*②시니어_가정!$E$223+DC38*②시니어_가정!$E$236+DC39*②시니어_가정!$E$249+DC40*②시니어_가정!$E$262</f>
        <v>0</v>
      </c>
      <c r="DD55" s="37" t="n">
        <f aca="false">DD36*②시니어_가정!$E$210+DD37*②시니어_가정!$E$223+DD38*②시니어_가정!$E$236+DD39*②시니어_가정!$E$249+DD40*②시니어_가정!$E$262</f>
        <v>0</v>
      </c>
      <c r="DE55" s="37" t="n">
        <f aca="false">DE36*②시니어_가정!$E$210+DE37*②시니어_가정!$E$223+DE38*②시니어_가정!$E$236+DE39*②시니어_가정!$E$249+DE40*②시니어_가정!$E$262</f>
        <v>0</v>
      </c>
      <c r="DF55" s="37" t="n">
        <f aca="false">DF36*②시니어_가정!$E$210+DF37*②시니어_가정!$E$223+DF38*②시니어_가정!$E$236+DF39*②시니어_가정!$E$249+DF40*②시니어_가정!$E$262</f>
        <v>0</v>
      </c>
      <c r="DG55" s="37" t="n">
        <f aca="false">DG36*②시니어_가정!$E$210+DG37*②시니어_가정!$E$223+DG38*②시니어_가정!$E$236+DG39*②시니어_가정!$E$249+DG40*②시니어_가정!$E$262</f>
        <v>0</v>
      </c>
      <c r="DH55" s="37" t="n">
        <f aca="false">DH36*②시니어_가정!$E$210+DH37*②시니어_가정!$E$223+DH38*②시니어_가정!$E$236+DH39*②시니어_가정!$E$249+DH40*②시니어_가정!$E$262</f>
        <v>0</v>
      </c>
      <c r="DI55" s="37" t="n">
        <f aca="false">DI36*②시니어_가정!$E$210+DI37*②시니어_가정!$E$223+DI38*②시니어_가정!$E$236+DI39*②시니어_가정!$E$249+DI40*②시니어_가정!$E$262</f>
        <v>0</v>
      </c>
      <c r="DJ55" s="37" t="n">
        <f aca="false">DJ36*②시니어_가정!$E$210+DJ37*②시니어_가정!$E$223+DJ38*②시니어_가정!$E$236+DJ39*②시니어_가정!$E$249+DJ40*②시니어_가정!$E$262</f>
        <v>0</v>
      </c>
      <c r="DK55" s="37" t="n">
        <f aca="false">DK36*②시니어_가정!$E$210+DK37*②시니어_가정!$E$223+DK38*②시니어_가정!$E$236+DK39*②시니어_가정!$E$249+DK40*②시니어_가정!$E$262</f>
        <v>0</v>
      </c>
      <c r="DL55" s="37" t="n">
        <f aca="false">DL36*②시니어_가정!$E$210+DL37*②시니어_가정!$E$223+DL38*②시니어_가정!$E$236+DL39*②시니어_가정!$E$249+DL40*②시니어_가정!$E$262</f>
        <v>0</v>
      </c>
      <c r="DM55" s="37" t="n">
        <f aca="false">DM36*②시니어_가정!$E$210+DM37*②시니어_가정!$E$223+DM38*②시니어_가정!$E$236+DM39*②시니어_가정!$E$249+DM40*②시니어_가정!$E$262</f>
        <v>0</v>
      </c>
      <c r="DN55" s="37" t="n">
        <f aca="false">DN36*②시니어_가정!$E$210+DN37*②시니어_가정!$E$223+DN38*②시니어_가정!$E$236+DN39*②시니어_가정!$E$249+DN40*②시니어_가정!$E$262</f>
        <v>0</v>
      </c>
      <c r="DO55" s="37" t="n">
        <f aca="false">DO36*②시니어_가정!$E$210+DO37*②시니어_가정!$E$223+DO38*②시니어_가정!$E$236+DO39*②시니어_가정!$E$249+DO40*②시니어_가정!$E$262</f>
        <v>0</v>
      </c>
      <c r="DP55" s="37" t="n">
        <f aca="false">DP36*②시니어_가정!$E$210+DP37*②시니어_가정!$E$223+DP38*②시니어_가정!$E$236+DP39*②시니어_가정!$E$249+DP40*②시니어_가정!$E$262</f>
        <v>0</v>
      </c>
      <c r="DQ55" s="37" t="n">
        <f aca="false">DQ36*②시니어_가정!$E$210+DQ37*②시니어_가정!$E$223+DQ38*②시니어_가정!$E$236+DQ39*②시니어_가정!$E$249+DQ40*②시니어_가정!$E$262</f>
        <v>0</v>
      </c>
      <c r="DR55" s="37" t="n">
        <f aca="false">DR36*②시니어_가정!$E$210+DR37*②시니어_가정!$E$223+DR38*②시니어_가정!$E$236+DR39*②시니어_가정!$E$249+DR40*②시니어_가정!$E$262</f>
        <v>0</v>
      </c>
      <c r="DS55" s="37" t="n">
        <f aca="false">DS36*②시니어_가정!$E$210+DS37*②시니어_가정!$E$223+DS38*②시니어_가정!$E$236+DS39*②시니어_가정!$E$249+DS40*②시니어_가정!$E$262</f>
        <v>0</v>
      </c>
      <c r="DT55" s="37" t="n">
        <f aca="false">DT36*②시니어_가정!$E$210+DT37*②시니어_가정!$E$223+DT38*②시니어_가정!$E$236+DT39*②시니어_가정!$E$249+DT40*②시니어_가정!$E$262</f>
        <v>0</v>
      </c>
      <c r="DU55" s="37" t="n">
        <f aca="false">DU36*②시니어_가정!$E$210+DU37*②시니어_가정!$E$223+DU38*②시니어_가정!$E$236+DU39*②시니어_가정!$E$249+DU40*②시니어_가정!$E$262</f>
        <v>0</v>
      </c>
      <c r="DV55" s="37" t="n">
        <f aca="false">DV36*②시니어_가정!$E$210+DV37*②시니어_가정!$E$223+DV38*②시니어_가정!$E$236+DV39*②시니어_가정!$E$249+DV40*②시니어_가정!$E$262</f>
        <v>0</v>
      </c>
      <c r="DW55" s="37" t="n">
        <f aca="false">DW36*②시니어_가정!$E$210+DW37*②시니어_가정!$E$223+DW38*②시니어_가정!$E$236+DW39*②시니어_가정!$E$249+DW40*②시니어_가정!$E$262</f>
        <v>0</v>
      </c>
      <c r="DX55" s="37" t="n">
        <f aca="false">DX36*②시니어_가정!$E$210+DX37*②시니어_가정!$E$223+DX38*②시니어_가정!$E$236+DX39*②시니어_가정!$E$249+DX40*②시니어_가정!$E$262</f>
        <v>0</v>
      </c>
      <c r="DY55" s="37" t="n">
        <f aca="false">DY36*②시니어_가정!$E$210+DY37*②시니어_가정!$E$223+DY38*②시니어_가정!$E$236+DY39*②시니어_가정!$E$249+DY40*②시니어_가정!$E$262</f>
        <v>0</v>
      </c>
      <c r="DZ55" s="37" t="n">
        <f aca="false">DZ36*②시니어_가정!$E$210+DZ37*②시니어_가정!$E$223+DZ38*②시니어_가정!$E$236+DZ39*②시니어_가정!$E$249+DZ40*②시니어_가정!$E$262</f>
        <v>0</v>
      </c>
      <c r="EA55" s="37" t="n">
        <f aca="false">EA36*②시니어_가정!$E$210+EA37*②시니어_가정!$E$223+EA38*②시니어_가정!$E$236+EA39*②시니어_가정!$E$249+EA40*②시니어_가정!$E$262</f>
        <v>0</v>
      </c>
      <c r="EB55" s="37" t="n">
        <f aca="false">EB36*②시니어_가정!$E$210+EB37*②시니어_가정!$E$223+EB38*②시니어_가정!$E$236+EB39*②시니어_가정!$E$249+EB40*②시니어_가정!$E$262</f>
        <v>0</v>
      </c>
      <c r="EC55" s="37" t="n">
        <f aca="false">EC36*②시니어_가정!$E$210+EC37*②시니어_가정!$E$223+EC38*②시니어_가정!$E$236+EC39*②시니어_가정!$E$249+EC40*②시니어_가정!$E$262</f>
        <v>0</v>
      </c>
      <c r="ED55" s="37" t="n">
        <f aca="false">ED36*②시니어_가정!$E$210+ED37*②시니어_가정!$E$223+ED38*②시니어_가정!$E$236+ED39*②시니어_가정!$E$249+ED40*②시니어_가정!$E$262</f>
        <v>0</v>
      </c>
      <c r="EE55" s="37" t="n">
        <f aca="false">EE36*②시니어_가정!$E$210+EE37*②시니어_가정!$E$223+EE38*②시니어_가정!$E$236+EE39*②시니어_가정!$E$249+EE40*②시니어_가정!$E$262</f>
        <v>0</v>
      </c>
      <c r="EF55" s="37" t="n">
        <f aca="false">EF36*②시니어_가정!$E$210+EF37*②시니어_가정!$E$223+EF38*②시니어_가정!$E$236+EF39*②시니어_가정!$E$249+EF40*②시니어_가정!$E$262</f>
        <v>0</v>
      </c>
    </row>
    <row r="56" customFormat="false" ht="15" hidden="false" customHeight="false" outlineLevel="0" collapsed="false">
      <c r="A56" s="280" t="s">
        <v>604</v>
      </c>
      <c r="B56" s="281" t="s">
        <v>21</v>
      </c>
      <c r="C56" s="282" t="n">
        <f aca="false">SUM(E56:EF56)</f>
        <v>88377.5542353984</v>
      </c>
      <c r="D56" s="48"/>
      <c r="E56" s="283" t="n">
        <f aca="false">SUM(E44:E55)</f>
        <v>0</v>
      </c>
      <c r="F56" s="283" t="n">
        <f aca="false">SUM(F44:F55)</f>
        <v>0</v>
      </c>
      <c r="G56" s="283" t="n">
        <f aca="false">SUM(G44:G55)</f>
        <v>0</v>
      </c>
      <c r="H56" s="283" t="n">
        <f aca="false">SUM(H44:H55)</f>
        <v>0</v>
      </c>
      <c r="I56" s="283" t="n">
        <f aca="false">SUM(I44:I55)</f>
        <v>0</v>
      </c>
      <c r="J56" s="283" t="n">
        <f aca="false">SUM(J44:J55)</f>
        <v>0</v>
      </c>
      <c r="K56" s="283" t="n">
        <f aca="false">SUM(K44:K55)</f>
        <v>0</v>
      </c>
      <c r="L56" s="283" t="n">
        <f aca="false">SUM(L44:L55)</f>
        <v>0</v>
      </c>
      <c r="M56" s="283" t="n">
        <f aca="false">SUM(M44:M55)</f>
        <v>0</v>
      </c>
      <c r="N56" s="283" t="n">
        <f aca="false">SUM(N44:N55)</f>
        <v>0</v>
      </c>
      <c r="O56" s="283" t="n">
        <f aca="false">SUM(O44:O55)</f>
        <v>0</v>
      </c>
      <c r="P56" s="283" t="n">
        <f aca="false">SUM(P44:P55)</f>
        <v>0</v>
      </c>
      <c r="Q56" s="283" t="n">
        <f aca="false">SUM(Q44:Q55)</f>
        <v>0</v>
      </c>
      <c r="R56" s="283" t="n">
        <f aca="false">SUM(R44:R55)</f>
        <v>0</v>
      </c>
      <c r="S56" s="283" t="n">
        <f aca="false">SUM(S44:S55)</f>
        <v>0</v>
      </c>
      <c r="T56" s="283" t="n">
        <f aca="false">SUM(T44:T55)</f>
        <v>0</v>
      </c>
      <c r="U56" s="283" t="n">
        <f aca="false">SUM(U44:U55)</f>
        <v>0</v>
      </c>
      <c r="V56" s="283" t="n">
        <f aca="false">SUM(V44:V55)</f>
        <v>0</v>
      </c>
      <c r="W56" s="283" t="n">
        <f aca="false">SUM(W44:W55)</f>
        <v>0</v>
      </c>
      <c r="X56" s="283" t="n">
        <f aca="false">SUM(X44:X55)</f>
        <v>0</v>
      </c>
      <c r="Y56" s="283" t="n">
        <f aca="false">SUM(Y44:Y55)</f>
        <v>0</v>
      </c>
      <c r="Z56" s="283" t="n">
        <f aca="false">SUM(Z44:Z55)</f>
        <v>0</v>
      </c>
      <c r="AA56" s="283" t="n">
        <f aca="false">SUM(AA44:AA55)</f>
        <v>0</v>
      </c>
      <c r="AB56" s="283" t="n">
        <f aca="false">SUM(AB44:AB55)</f>
        <v>0</v>
      </c>
      <c r="AC56" s="283" t="n">
        <f aca="false">SUM(AC44:AC55)</f>
        <v>0</v>
      </c>
      <c r="AD56" s="283" t="n">
        <f aca="false">SUM(AD44:AD55)</f>
        <v>0</v>
      </c>
      <c r="AE56" s="283" t="n">
        <f aca="false">SUM(AE44:AE55)</f>
        <v>0</v>
      </c>
      <c r="AF56" s="283" t="n">
        <f aca="false">SUM(AF44:AF55)</f>
        <v>0</v>
      </c>
      <c r="AG56" s="283" t="n">
        <f aca="false">SUM(AG44:AG55)</f>
        <v>0</v>
      </c>
      <c r="AH56" s="283" t="n">
        <f aca="false">SUM(AH44:AH55)</f>
        <v>0</v>
      </c>
      <c r="AI56" s="283" t="n">
        <f aca="false">SUM(AI44:AI55)</f>
        <v>0</v>
      </c>
      <c r="AJ56" s="283" t="n">
        <f aca="false">SUM(AJ44:AJ55)</f>
        <v>0</v>
      </c>
      <c r="AK56" s="283" t="n">
        <f aca="false">SUM(AK44:AK55)</f>
        <v>0</v>
      </c>
      <c r="AL56" s="283" t="n">
        <f aca="false">SUM(AL44:AL55)</f>
        <v>0</v>
      </c>
      <c r="AM56" s="283" t="n">
        <f aca="false">SUM(AM44:AM55)</f>
        <v>0</v>
      </c>
      <c r="AN56" s="283" t="n">
        <f aca="false">SUM(AN44:AN55)</f>
        <v>0</v>
      </c>
      <c r="AO56" s="283" t="n">
        <f aca="false">SUM(AO44:AO55)</f>
        <v>0</v>
      </c>
      <c r="AP56" s="283" t="n">
        <f aca="false">SUM(AP44:AP55)</f>
        <v>0</v>
      </c>
      <c r="AQ56" s="283" t="n">
        <f aca="false">SUM(AQ44:AQ55)</f>
        <v>0</v>
      </c>
      <c r="AR56" s="283" t="n">
        <f aca="false">SUM(AR44:AR55)</f>
        <v>0</v>
      </c>
      <c r="AS56" s="283" t="n">
        <f aca="false">SUM(AS44:AS55)</f>
        <v>0</v>
      </c>
      <c r="AT56" s="283" t="n">
        <f aca="false">SUM(AT44:AT55)</f>
        <v>0</v>
      </c>
      <c r="AU56" s="283" t="n">
        <f aca="false">SUM(AU44:AU55)</f>
        <v>0</v>
      </c>
      <c r="AV56" s="283" t="n">
        <f aca="false">SUM(AV44:AV55)</f>
        <v>0</v>
      </c>
      <c r="AW56" s="283" t="n">
        <f aca="false">SUM(AW44:AW55)</f>
        <v>0</v>
      </c>
      <c r="AX56" s="283" t="n">
        <f aca="false">SUM(AX44:AX55)</f>
        <v>0</v>
      </c>
      <c r="AY56" s="283" t="n">
        <f aca="false">SUM(AY44:AY55)</f>
        <v>0</v>
      </c>
      <c r="AZ56" s="283" t="n">
        <f aca="false">SUM(AZ44:AZ55)</f>
        <v>0</v>
      </c>
      <c r="BA56" s="283" t="n">
        <f aca="false">SUM(BA44:BA55)</f>
        <v>0</v>
      </c>
      <c r="BB56" s="283" t="n">
        <f aca="false">SUM(BB44:BB55)</f>
        <v>0</v>
      </c>
      <c r="BC56" s="283" t="n">
        <f aca="false">SUM(BC44:BC55)</f>
        <v>0</v>
      </c>
      <c r="BD56" s="283" t="n">
        <f aca="false">SUM(BD44:BD55)</f>
        <v>0</v>
      </c>
      <c r="BE56" s="283" t="n">
        <f aca="false">SUM(BE44:BE55)</f>
        <v>0</v>
      </c>
      <c r="BF56" s="283" t="n">
        <f aca="false">SUM(BF44:BF55)</f>
        <v>0</v>
      </c>
      <c r="BG56" s="283" t="n">
        <f aca="false">SUM(BG44:BG55)</f>
        <v>0</v>
      </c>
      <c r="BH56" s="283" t="n">
        <f aca="false">SUM(BH44:BH55)</f>
        <v>0</v>
      </c>
      <c r="BI56" s="283" t="n">
        <f aca="false">SUM(BI44:BI55)</f>
        <v>0</v>
      </c>
      <c r="BJ56" s="283" t="n">
        <f aca="false">SUM(BJ44:BJ55)</f>
        <v>0</v>
      </c>
      <c r="BK56" s="283" t="n">
        <f aca="false">SUM(BK44:BK55)</f>
        <v>0</v>
      </c>
      <c r="BL56" s="283" t="n">
        <f aca="false">SUM(BL44:BL55)</f>
        <v>0</v>
      </c>
      <c r="BM56" s="283" t="n">
        <f aca="false">SUM(BM44:BM55)</f>
        <v>1177.416</v>
      </c>
      <c r="BN56" s="283" t="n">
        <f aca="false">SUM(BN44:BN55)</f>
        <v>1177.416</v>
      </c>
      <c r="BO56" s="283" t="n">
        <f aca="false">SUM(BO44:BO55)</f>
        <v>1177.416</v>
      </c>
      <c r="BP56" s="283" t="n">
        <f aca="false">SUM(BP44:BP55)</f>
        <v>1177.416</v>
      </c>
      <c r="BQ56" s="283" t="n">
        <f aca="false">SUM(BQ44:BQ55)</f>
        <v>1177.416</v>
      </c>
      <c r="BR56" s="283" t="n">
        <f aca="false">SUM(BR44:BR55)</f>
        <v>1177.416</v>
      </c>
      <c r="BS56" s="283" t="n">
        <f aca="false">SUM(BS44:BS55)</f>
        <v>1177.416</v>
      </c>
      <c r="BT56" s="283" t="n">
        <f aca="false">SUM(BT44:BT55)</f>
        <v>1177.416</v>
      </c>
      <c r="BU56" s="283" t="n">
        <f aca="false">SUM(BU44:BU55)</f>
        <v>1177.416</v>
      </c>
      <c r="BV56" s="283" t="n">
        <f aca="false">SUM(BV44:BV55)</f>
        <v>1177.416</v>
      </c>
      <c r="BW56" s="283" t="n">
        <f aca="false">SUM(BW44:BW55)</f>
        <v>1177.416</v>
      </c>
      <c r="BX56" s="283" t="n">
        <f aca="false">SUM(BX44:BX55)</f>
        <v>1177.416</v>
      </c>
      <c r="BY56" s="283" t="n">
        <f aca="false">SUM(BY44:BY55)</f>
        <v>1501.2054</v>
      </c>
      <c r="BZ56" s="283" t="n">
        <f aca="false">SUM(BZ44:BZ55)</f>
        <v>1501.2054</v>
      </c>
      <c r="CA56" s="283" t="n">
        <f aca="false">SUM(CA44:CA55)</f>
        <v>1501.2054</v>
      </c>
      <c r="CB56" s="283" t="n">
        <f aca="false">SUM(CB44:CB55)</f>
        <v>1501.2054</v>
      </c>
      <c r="CC56" s="283" t="n">
        <f aca="false">SUM(CC44:CC55)</f>
        <v>1501.2054</v>
      </c>
      <c r="CD56" s="283" t="n">
        <f aca="false">SUM(CD44:CD55)</f>
        <v>1501.2054</v>
      </c>
      <c r="CE56" s="283" t="n">
        <f aca="false">SUM(CE44:CE55)</f>
        <v>1501.2054</v>
      </c>
      <c r="CF56" s="283" t="n">
        <f aca="false">SUM(CF44:CF55)</f>
        <v>1501.2054</v>
      </c>
      <c r="CG56" s="283" t="n">
        <f aca="false">SUM(CG44:CG55)</f>
        <v>1501.2054</v>
      </c>
      <c r="CH56" s="283" t="n">
        <f aca="false">SUM(CH44:CH55)</f>
        <v>1501.2054</v>
      </c>
      <c r="CI56" s="283" t="n">
        <f aca="false">SUM(CI44:CI55)</f>
        <v>1501.2054</v>
      </c>
      <c r="CJ56" s="283" t="n">
        <f aca="false">SUM(CJ44:CJ55)</f>
        <v>1501.2054</v>
      </c>
      <c r="CK56" s="283" t="n">
        <f aca="false">SUM(CK44:CK55)</f>
        <v>1531.229508</v>
      </c>
      <c r="CL56" s="283" t="n">
        <f aca="false">SUM(CL44:CL55)</f>
        <v>1531.229508</v>
      </c>
      <c r="CM56" s="283" t="n">
        <f aca="false">SUM(CM44:CM55)</f>
        <v>1531.229508</v>
      </c>
      <c r="CN56" s="283" t="n">
        <f aca="false">SUM(CN44:CN55)</f>
        <v>1531.229508</v>
      </c>
      <c r="CO56" s="283" t="n">
        <f aca="false">SUM(CO44:CO55)</f>
        <v>1531.229508</v>
      </c>
      <c r="CP56" s="283" t="n">
        <f aca="false">SUM(CP44:CP55)</f>
        <v>1531.229508</v>
      </c>
      <c r="CQ56" s="283" t="n">
        <f aca="false">SUM(CQ44:CQ55)</f>
        <v>1531.229508</v>
      </c>
      <c r="CR56" s="283" t="n">
        <f aca="false">SUM(CR44:CR55)</f>
        <v>1531.229508</v>
      </c>
      <c r="CS56" s="283" t="n">
        <f aca="false">SUM(CS44:CS55)</f>
        <v>1531.229508</v>
      </c>
      <c r="CT56" s="283" t="n">
        <f aca="false">SUM(CT44:CT55)</f>
        <v>1531.229508</v>
      </c>
      <c r="CU56" s="283" t="n">
        <f aca="false">SUM(CU44:CU55)</f>
        <v>1531.229508</v>
      </c>
      <c r="CV56" s="283" t="n">
        <f aca="false">SUM(CV44:CV55)</f>
        <v>1531.229508</v>
      </c>
      <c r="CW56" s="283" t="n">
        <f aca="false">SUM(CW44:CW55)</f>
        <v>1561.85409816</v>
      </c>
      <c r="CX56" s="283" t="n">
        <f aca="false">SUM(CX44:CX55)</f>
        <v>1561.85409816</v>
      </c>
      <c r="CY56" s="283" t="n">
        <f aca="false">SUM(CY44:CY55)</f>
        <v>1561.85409816</v>
      </c>
      <c r="CZ56" s="283" t="n">
        <f aca="false">SUM(CZ44:CZ55)</f>
        <v>1561.85409816</v>
      </c>
      <c r="DA56" s="283" t="n">
        <f aca="false">SUM(DA44:DA55)</f>
        <v>1561.85409816</v>
      </c>
      <c r="DB56" s="283" t="n">
        <f aca="false">SUM(DB44:DB55)</f>
        <v>1561.85409816</v>
      </c>
      <c r="DC56" s="283" t="n">
        <f aca="false">SUM(DC44:DC55)</f>
        <v>1561.85409816</v>
      </c>
      <c r="DD56" s="283" t="n">
        <f aca="false">SUM(DD44:DD55)</f>
        <v>1561.85409816</v>
      </c>
      <c r="DE56" s="283" t="n">
        <f aca="false">SUM(DE44:DE55)</f>
        <v>1561.85409816</v>
      </c>
      <c r="DF56" s="283" t="n">
        <f aca="false">SUM(DF44:DF55)</f>
        <v>1561.85409816</v>
      </c>
      <c r="DG56" s="283" t="n">
        <f aca="false">SUM(DG44:DG55)</f>
        <v>1561.85409816</v>
      </c>
      <c r="DH56" s="283" t="n">
        <f aca="false">SUM(DH44:DH55)</f>
        <v>1561.85409816</v>
      </c>
      <c r="DI56" s="283" t="n">
        <f aca="false">SUM(DI44:DI55)</f>
        <v>1593.0911801232</v>
      </c>
      <c r="DJ56" s="283" t="n">
        <f aca="false">SUM(DJ44:DJ55)</f>
        <v>1593.0911801232</v>
      </c>
      <c r="DK56" s="283" t="n">
        <f aca="false">SUM(DK44:DK55)</f>
        <v>1593.0911801232</v>
      </c>
      <c r="DL56" s="283" t="n">
        <f aca="false">SUM(DL44:DL55)</f>
        <v>1593.0911801232</v>
      </c>
      <c r="DM56" s="283" t="n">
        <f aca="false">SUM(DM44:DM55)</f>
        <v>1593.0911801232</v>
      </c>
      <c r="DN56" s="283" t="n">
        <f aca="false">SUM(DN44:DN55)</f>
        <v>1593.0911801232</v>
      </c>
      <c r="DO56" s="283" t="n">
        <f aca="false">SUM(DO44:DO55)</f>
        <v>1593.0911801232</v>
      </c>
      <c r="DP56" s="283" t="n">
        <f aca="false">SUM(DP44:DP55)</f>
        <v>1593.0911801232</v>
      </c>
      <c r="DQ56" s="283" t="n">
        <f aca="false">SUM(DQ44:DQ55)</f>
        <v>1593.0911801232</v>
      </c>
      <c r="DR56" s="283" t="n">
        <f aca="false">SUM(DR44:DR55)</f>
        <v>1593.0911801232</v>
      </c>
      <c r="DS56" s="283" t="n">
        <f aca="false">SUM(DS44:DS55)</f>
        <v>1593.0911801232</v>
      </c>
      <c r="DT56" s="283" t="n">
        <f aca="false">SUM(DT44:DT55)</f>
        <v>1593.0911801232</v>
      </c>
      <c r="DU56" s="283" t="n">
        <f aca="false">SUM(DU44:DU55)</f>
        <v>0</v>
      </c>
      <c r="DV56" s="283" t="n">
        <f aca="false">SUM(DV44:DV55)</f>
        <v>0</v>
      </c>
      <c r="DW56" s="283" t="n">
        <f aca="false">SUM(DW44:DW55)</f>
        <v>0</v>
      </c>
      <c r="DX56" s="283" t="n">
        <f aca="false">SUM(DX44:DX55)</f>
        <v>0</v>
      </c>
      <c r="DY56" s="283" t="n">
        <f aca="false">SUM(DY44:DY55)</f>
        <v>0</v>
      </c>
      <c r="DZ56" s="283" t="n">
        <f aca="false">SUM(DZ44:DZ55)</f>
        <v>0</v>
      </c>
      <c r="EA56" s="283" t="n">
        <f aca="false">SUM(EA44:EA55)</f>
        <v>0</v>
      </c>
      <c r="EB56" s="283" t="n">
        <f aca="false">SUM(EB44:EB55)</f>
        <v>0</v>
      </c>
      <c r="EC56" s="283" t="n">
        <f aca="false">SUM(EC44:EC55)</f>
        <v>0</v>
      </c>
      <c r="ED56" s="283" t="n">
        <f aca="false">SUM(ED44:ED55)</f>
        <v>0</v>
      </c>
      <c r="EE56" s="283" t="n">
        <f aca="false">SUM(EE44:EE55)</f>
        <v>0</v>
      </c>
      <c r="EF56" s="283" t="n">
        <f aca="false">SUM(EF44:EF55)</f>
        <v>0</v>
      </c>
    </row>
    <row r="58" customFormat="false" ht="15" hidden="false" customHeight="false" outlineLevel="0" collapsed="false">
      <c r="A58" s="6" t="s">
        <v>605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</row>
    <row r="59" customFormat="false" ht="15" hidden="false" customHeight="false" outlineLevel="0" collapsed="false">
      <c r="A59" s="153" t="s">
        <v>606</v>
      </c>
      <c r="B59" s="278" t="s">
        <v>21</v>
      </c>
      <c r="C59" s="279" t="n">
        <f aca="false">SUM(E59:EF59)</f>
        <v>32621.51164802</v>
      </c>
      <c r="E59" s="37" t="n">
        <f aca="false">E21+E22+E23-E44</f>
        <v>0</v>
      </c>
      <c r="F59" s="37" t="n">
        <f aca="false">F21+F22+F23-F44</f>
        <v>0</v>
      </c>
      <c r="G59" s="37" t="n">
        <f aca="false">G21+G22+G23-G44</f>
        <v>0</v>
      </c>
      <c r="H59" s="37" t="n">
        <f aca="false">H21+H22+H23-H44</f>
        <v>0</v>
      </c>
      <c r="I59" s="37" t="n">
        <f aca="false">I21+I22+I23-I44</f>
        <v>0</v>
      </c>
      <c r="J59" s="37" t="n">
        <f aca="false">J21+J22+J23-J44</f>
        <v>0</v>
      </c>
      <c r="K59" s="37" t="n">
        <f aca="false">K21+K22+K23-K44</f>
        <v>0</v>
      </c>
      <c r="L59" s="37" t="n">
        <f aca="false">L21+L22+L23-L44</f>
        <v>0</v>
      </c>
      <c r="M59" s="37" t="n">
        <f aca="false">M21+M22+M23-M44</f>
        <v>0</v>
      </c>
      <c r="N59" s="37" t="n">
        <f aca="false">N21+N22+N23-N44</f>
        <v>0</v>
      </c>
      <c r="O59" s="37" t="n">
        <f aca="false">O21+O22+O23-O44</f>
        <v>0</v>
      </c>
      <c r="P59" s="37" t="n">
        <f aca="false">P21+P22+P23-P44</f>
        <v>0</v>
      </c>
      <c r="Q59" s="37" t="n">
        <f aca="false">Q21+Q22+Q23-Q44</f>
        <v>0</v>
      </c>
      <c r="R59" s="37" t="n">
        <f aca="false">R21+R22+R23-R44</f>
        <v>0</v>
      </c>
      <c r="S59" s="37" t="n">
        <f aca="false">S21+S22+S23-S44</f>
        <v>0</v>
      </c>
      <c r="T59" s="37" t="n">
        <f aca="false">T21+T22+T23-T44</f>
        <v>0</v>
      </c>
      <c r="U59" s="37" t="n">
        <f aca="false">U21+U22+U23-U44</f>
        <v>0</v>
      </c>
      <c r="V59" s="37" t="n">
        <f aca="false">V21+V22+V23-V44</f>
        <v>0</v>
      </c>
      <c r="W59" s="37" t="n">
        <f aca="false">W21+W22+W23-W44</f>
        <v>0</v>
      </c>
      <c r="X59" s="37" t="n">
        <f aca="false">X21+X22+X23-X44</f>
        <v>0</v>
      </c>
      <c r="Y59" s="37" t="n">
        <f aca="false">Y21+Y22+Y23-Y44</f>
        <v>0</v>
      </c>
      <c r="Z59" s="37" t="n">
        <f aca="false">Z21+Z22+Z23-Z44</f>
        <v>0</v>
      </c>
      <c r="AA59" s="37" t="n">
        <f aca="false">AA21+AA22+AA23-AA44</f>
        <v>0</v>
      </c>
      <c r="AB59" s="37" t="n">
        <f aca="false">AB21+AB22+AB23-AB44</f>
        <v>0</v>
      </c>
      <c r="AC59" s="37" t="n">
        <f aca="false">AC21+AC22+AC23-AC44</f>
        <v>0</v>
      </c>
      <c r="AD59" s="37" t="n">
        <f aca="false">AD21+AD22+AD23-AD44</f>
        <v>0</v>
      </c>
      <c r="AE59" s="37" t="n">
        <f aca="false">AE21+AE22+AE23-AE44</f>
        <v>0</v>
      </c>
      <c r="AF59" s="37" t="n">
        <f aca="false">AF21+AF22+AF23-AF44</f>
        <v>0</v>
      </c>
      <c r="AG59" s="37" t="n">
        <f aca="false">AG21+AG22+AG23-AG44</f>
        <v>0</v>
      </c>
      <c r="AH59" s="37" t="n">
        <f aca="false">AH21+AH22+AH23-AH44</f>
        <v>0</v>
      </c>
      <c r="AI59" s="37" t="n">
        <f aca="false">AI21+AI22+AI23-AI44</f>
        <v>0</v>
      </c>
      <c r="AJ59" s="37" t="n">
        <f aca="false">AJ21+AJ22+AJ23-AJ44</f>
        <v>0</v>
      </c>
      <c r="AK59" s="37" t="n">
        <f aca="false">AK21+AK22+AK23-AK44</f>
        <v>0</v>
      </c>
      <c r="AL59" s="37" t="n">
        <f aca="false">AL21+AL22+AL23-AL44</f>
        <v>0</v>
      </c>
      <c r="AM59" s="37" t="n">
        <f aca="false">AM21+AM22+AM23-AM44</f>
        <v>0</v>
      </c>
      <c r="AN59" s="37" t="n">
        <f aca="false">AN21+AN22+AN23-AN44</f>
        <v>0</v>
      </c>
      <c r="AO59" s="37" t="n">
        <f aca="false">AO21+AO22+AO23-AO44</f>
        <v>0</v>
      </c>
      <c r="AP59" s="37" t="n">
        <f aca="false">AP21+AP22+AP23-AP44</f>
        <v>0</v>
      </c>
      <c r="AQ59" s="37" t="n">
        <f aca="false">AQ21+AQ22+AQ23-AQ44</f>
        <v>0</v>
      </c>
      <c r="AR59" s="37" t="n">
        <f aca="false">AR21+AR22+AR23-AR44</f>
        <v>0</v>
      </c>
      <c r="AS59" s="37" t="n">
        <f aca="false">AS21+AS22+AS23-AS44</f>
        <v>0</v>
      </c>
      <c r="AT59" s="37" t="n">
        <f aca="false">AT21+AT22+AT23-AT44</f>
        <v>0</v>
      </c>
      <c r="AU59" s="37" t="n">
        <f aca="false">AU21+AU22+AU23-AU44</f>
        <v>0</v>
      </c>
      <c r="AV59" s="37" t="n">
        <f aca="false">AV21+AV22+AV23-AV44</f>
        <v>0</v>
      </c>
      <c r="AW59" s="37" t="n">
        <f aca="false">AW21+AW22+AW23-AW44</f>
        <v>0</v>
      </c>
      <c r="AX59" s="37" t="n">
        <f aca="false">AX21+AX22+AX23-AX44</f>
        <v>0</v>
      </c>
      <c r="AY59" s="37" t="n">
        <f aca="false">AY21+AY22+AY23-AY44</f>
        <v>0</v>
      </c>
      <c r="AZ59" s="37" t="n">
        <f aca="false">AZ21+AZ22+AZ23-AZ44</f>
        <v>0</v>
      </c>
      <c r="BA59" s="37" t="n">
        <f aca="false">BA21+BA22+BA23-BA44</f>
        <v>0</v>
      </c>
      <c r="BB59" s="37" t="n">
        <f aca="false">BB21+BB22+BB23-BB44</f>
        <v>0</v>
      </c>
      <c r="BC59" s="37" t="n">
        <f aca="false">BC21+BC22+BC23-BC44</f>
        <v>0</v>
      </c>
      <c r="BD59" s="37" t="n">
        <f aca="false">BD21+BD22+BD23-BD44</f>
        <v>0</v>
      </c>
      <c r="BE59" s="37" t="n">
        <f aca="false">BE21+BE22+BE23-BE44</f>
        <v>0</v>
      </c>
      <c r="BF59" s="37" t="n">
        <f aca="false">BF21+BF22+BF23-BF44</f>
        <v>0</v>
      </c>
      <c r="BG59" s="37" t="n">
        <f aca="false">BG21+BG22+BG23-BG44</f>
        <v>0</v>
      </c>
      <c r="BH59" s="37" t="n">
        <f aca="false">BH21+BH22+BH23-BH44</f>
        <v>0</v>
      </c>
      <c r="BI59" s="37" t="n">
        <f aca="false">BI21+BI22+BI23-BI44</f>
        <v>0</v>
      </c>
      <c r="BJ59" s="37" t="n">
        <f aca="false">BJ21+BJ22+BJ23-BJ44</f>
        <v>0</v>
      </c>
      <c r="BK59" s="37" t="n">
        <f aca="false">BK21+BK22+BK23-BK44</f>
        <v>0</v>
      </c>
      <c r="BL59" s="37" t="n">
        <f aca="false">BL21+BL22+BL23-BL44</f>
        <v>0</v>
      </c>
      <c r="BM59" s="37" t="n">
        <f aca="false">BM21+BM22+BM23-BM44</f>
        <v>459.1644</v>
      </c>
      <c r="BN59" s="37" t="n">
        <f aca="false">BN21+BN22+BN23-BN44</f>
        <v>459.1644</v>
      </c>
      <c r="BO59" s="37" t="n">
        <f aca="false">BO21+BO22+BO23-BO44</f>
        <v>459.1644</v>
      </c>
      <c r="BP59" s="37" t="n">
        <f aca="false">BP21+BP22+BP23-BP44</f>
        <v>459.1644</v>
      </c>
      <c r="BQ59" s="37" t="n">
        <f aca="false">BQ21+BQ22+BQ23-BQ44</f>
        <v>459.1644</v>
      </c>
      <c r="BR59" s="37" t="n">
        <f aca="false">BR21+BR22+BR23-BR44</f>
        <v>459.1644</v>
      </c>
      <c r="BS59" s="37" t="n">
        <f aca="false">BS21+BS22+BS23-BS44</f>
        <v>459.1644</v>
      </c>
      <c r="BT59" s="37" t="n">
        <f aca="false">BT21+BT22+BT23-BT44</f>
        <v>459.1644</v>
      </c>
      <c r="BU59" s="37" t="n">
        <f aca="false">BU21+BU22+BU23-BU44</f>
        <v>459.1644</v>
      </c>
      <c r="BV59" s="37" t="n">
        <f aca="false">BV21+BV22+BV23-BV44</f>
        <v>459.1644</v>
      </c>
      <c r="BW59" s="37" t="n">
        <f aca="false">BW21+BW22+BW23-BW44</f>
        <v>459.1644</v>
      </c>
      <c r="BX59" s="37" t="n">
        <f aca="false">BX21+BX22+BX23-BX44</f>
        <v>459.1644</v>
      </c>
      <c r="BY59" s="37" t="n">
        <f aca="false">BY21+BY22+BY23-BY44</f>
        <v>548.158608</v>
      </c>
      <c r="BZ59" s="37" t="n">
        <f aca="false">BZ21+BZ22+BZ23-BZ44</f>
        <v>548.158608</v>
      </c>
      <c r="CA59" s="37" t="n">
        <f aca="false">CA21+CA22+CA23-CA44</f>
        <v>548.158608</v>
      </c>
      <c r="CB59" s="37" t="n">
        <f aca="false">CB21+CB22+CB23-CB44</f>
        <v>548.158608</v>
      </c>
      <c r="CC59" s="37" t="n">
        <f aca="false">CC21+CC22+CC23-CC44</f>
        <v>548.158608</v>
      </c>
      <c r="CD59" s="37" t="n">
        <f aca="false">CD21+CD22+CD23-CD44</f>
        <v>548.158608</v>
      </c>
      <c r="CE59" s="37" t="n">
        <f aca="false">CE21+CE22+CE23-CE44</f>
        <v>548.158608</v>
      </c>
      <c r="CF59" s="37" t="n">
        <f aca="false">CF21+CF22+CF23-CF44</f>
        <v>548.158608</v>
      </c>
      <c r="CG59" s="37" t="n">
        <f aca="false">CG21+CG22+CG23-CG44</f>
        <v>548.158608</v>
      </c>
      <c r="CH59" s="37" t="n">
        <f aca="false">CH21+CH22+CH23-CH44</f>
        <v>548.158608</v>
      </c>
      <c r="CI59" s="37" t="n">
        <f aca="false">CI21+CI22+CI23-CI44</f>
        <v>548.158608</v>
      </c>
      <c r="CJ59" s="37" t="n">
        <f aca="false">CJ21+CJ22+CJ23-CJ44</f>
        <v>548.158608</v>
      </c>
      <c r="CK59" s="37" t="n">
        <f aca="false">CK21+CK22+CK23-CK44</f>
        <v>559.12178016</v>
      </c>
      <c r="CL59" s="37" t="n">
        <f aca="false">CL21+CL22+CL23-CL44</f>
        <v>559.12178016</v>
      </c>
      <c r="CM59" s="37" t="n">
        <f aca="false">CM21+CM22+CM23-CM44</f>
        <v>559.12178016</v>
      </c>
      <c r="CN59" s="37" t="n">
        <f aca="false">CN21+CN22+CN23-CN44</f>
        <v>559.12178016</v>
      </c>
      <c r="CO59" s="37" t="n">
        <f aca="false">CO21+CO22+CO23-CO44</f>
        <v>559.12178016</v>
      </c>
      <c r="CP59" s="37" t="n">
        <f aca="false">CP21+CP22+CP23-CP44</f>
        <v>559.12178016</v>
      </c>
      <c r="CQ59" s="37" t="n">
        <f aca="false">CQ21+CQ22+CQ23-CQ44</f>
        <v>559.12178016</v>
      </c>
      <c r="CR59" s="37" t="n">
        <f aca="false">CR21+CR22+CR23-CR44</f>
        <v>559.12178016</v>
      </c>
      <c r="CS59" s="37" t="n">
        <f aca="false">CS21+CS22+CS23-CS44</f>
        <v>559.12178016</v>
      </c>
      <c r="CT59" s="37" t="n">
        <f aca="false">CT21+CT22+CT23-CT44</f>
        <v>559.12178016</v>
      </c>
      <c r="CU59" s="37" t="n">
        <f aca="false">CU21+CU22+CU23-CU44</f>
        <v>559.12178016</v>
      </c>
      <c r="CV59" s="37" t="n">
        <f aca="false">CV21+CV22+CV23-CV44</f>
        <v>559.12178016</v>
      </c>
      <c r="CW59" s="37" t="n">
        <f aca="false">CW21+CW22+CW23-CW44</f>
        <v>570.3042157632</v>
      </c>
      <c r="CX59" s="37" t="n">
        <f aca="false">CX21+CX22+CX23-CX44</f>
        <v>570.3042157632</v>
      </c>
      <c r="CY59" s="37" t="n">
        <f aca="false">CY21+CY22+CY23-CY44</f>
        <v>570.3042157632</v>
      </c>
      <c r="CZ59" s="37" t="n">
        <f aca="false">CZ21+CZ22+CZ23-CZ44</f>
        <v>570.3042157632</v>
      </c>
      <c r="DA59" s="37" t="n">
        <f aca="false">DA21+DA22+DA23-DA44</f>
        <v>570.3042157632</v>
      </c>
      <c r="DB59" s="37" t="n">
        <f aca="false">DB21+DB22+DB23-DB44</f>
        <v>570.3042157632</v>
      </c>
      <c r="DC59" s="37" t="n">
        <f aca="false">DC21+DC22+DC23-DC44</f>
        <v>570.3042157632</v>
      </c>
      <c r="DD59" s="37" t="n">
        <f aca="false">DD21+DD22+DD23-DD44</f>
        <v>570.3042157632</v>
      </c>
      <c r="DE59" s="37" t="n">
        <f aca="false">DE21+DE22+DE23-DE44</f>
        <v>570.3042157632</v>
      </c>
      <c r="DF59" s="37" t="n">
        <f aca="false">DF21+DF22+DF23-DF44</f>
        <v>570.3042157632</v>
      </c>
      <c r="DG59" s="37" t="n">
        <f aca="false">DG21+DG22+DG23-DG44</f>
        <v>570.3042157632</v>
      </c>
      <c r="DH59" s="37" t="n">
        <f aca="false">DH21+DH22+DH23-DH44</f>
        <v>570.3042157632</v>
      </c>
      <c r="DI59" s="37" t="n">
        <f aca="false">DI21+DI22+DI23-DI44</f>
        <v>581.710300078464</v>
      </c>
      <c r="DJ59" s="37" t="n">
        <f aca="false">DJ21+DJ22+DJ23-DJ44</f>
        <v>581.710300078464</v>
      </c>
      <c r="DK59" s="37" t="n">
        <f aca="false">DK21+DK22+DK23-DK44</f>
        <v>581.710300078464</v>
      </c>
      <c r="DL59" s="37" t="n">
        <f aca="false">DL21+DL22+DL23-DL44</f>
        <v>581.710300078464</v>
      </c>
      <c r="DM59" s="37" t="n">
        <f aca="false">DM21+DM22+DM23-DM44</f>
        <v>581.710300078464</v>
      </c>
      <c r="DN59" s="37" t="n">
        <f aca="false">DN21+DN22+DN23-DN44</f>
        <v>581.710300078464</v>
      </c>
      <c r="DO59" s="37" t="n">
        <f aca="false">DO21+DO22+DO23-DO44</f>
        <v>581.710300078464</v>
      </c>
      <c r="DP59" s="37" t="n">
        <f aca="false">DP21+DP22+DP23-DP44</f>
        <v>581.710300078464</v>
      </c>
      <c r="DQ59" s="37" t="n">
        <f aca="false">DQ21+DQ22+DQ23-DQ44</f>
        <v>581.710300078464</v>
      </c>
      <c r="DR59" s="37" t="n">
        <f aca="false">DR21+DR22+DR23-DR44</f>
        <v>581.710300078464</v>
      </c>
      <c r="DS59" s="37" t="n">
        <f aca="false">DS21+DS22+DS23-DS44</f>
        <v>581.710300078464</v>
      </c>
      <c r="DT59" s="37" t="n">
        <f aca="false">DT21+DT22+DT23-DT44</f>
        <v>581.710300078464</v>
      </c>
      <c r="DU59" s="37" t="n">
        <f aca="false">DU21+DU22+DU23-DU44</f>
        <v>0</v>
      </c>
      <c r="DV59" s="37" t="n">
        <f aca="false">DV21+DV22+DV23-DV44</f>
        <v>0</v>
      </c>
      <c r="DW59" s="37" t="n">
        <f aca="false">DW21+DW22+DW23-DW44</f>
        <v>0</v>
      </c>
      <c r="DX59" s="37" t="n">
        <f aca="false">DX21+DX22+DX23-DX44</f>
        <v>0</v>
      </c>
      <c r="DY59" s="37" t="n">
        <f aca="false">DY21+DY22+DY23-DY44</f>
        <v>0</v>
      </c>
      <c r="DZ59" s="37" t="n">
        <f aca="false">DZ21+DZ22+DZ23-DZ44</f>
        <v>0</v>
      </c>
      <c r="EA59" s="37" t="n">
        <f aca="false">EA21+EA22+EA23-EA44</f>
        <v>0</v>
      </c>
      <c r="EB59" s="37" t="n">
        <f aca="false">EB21+EB22+EB23-EB44</f>
        <v>0</v>
      </c>
      <c r="EC59" s="37" t="n">
        <f aca="false">EC21+EC22+EC23-EC44</f>
        <v>0</v>
      </c>
      <c r="ED59" s="37" t="n">
        <f aca="false">ED21+ED22+ED23-ED44</f>
        <v>0</v>
      </c>
      <c r="EE59" s="37" t="n">
        <f aca="false">EE21+EE22+EE23-EE44</f>
        <v>0</v>
      </c>
      <c r="EF59" s="37" t="n">
        <f aca="false">EF21+EF22+EF23-EF44</f>
        <v>0</v>
      </c>
    </row>
    <row r="60" customFormat="false" ht="15" hidden="false" customHeight="false" outlineLevel="0" collapsed="false">
      <c r="A60" s="153" t="s">
        <v>607</v>
      </c>
      <c r="B60" s="278" t="s">
        <v>21</v>
      </c>
      <c r="C60" s="279" t="n">
        <f aca="false">SUM(E60:EF60)</f>
        <v>0</v>
      </c>
      <c r="E60" s="37" t="n">
        <f aca="false">E24+E25+E26-E45-E46</f>
        <v>0</v>
      </c>
      <c r="F60" s="37" t="n">
        <f aca="false">F24+F25+F26-F45-F46</f>
        <v>0</v>
      </c>
      <c r="G60" s="37" t="n">
        <f aca="false">G24+G25+G26-G45-G46</f>
        <v>0</v>
      </c>
      <c r="H60" s="37" t="n">
        <f aca="false">H24+H25+H26-H45-H46</f>
        <v>0</v>
      </c>
      <c r="I60" s="37" t="n">
        <f aca="false">I24+I25+I26-I45-I46</f>
        <v>0</v>
      </c>
      <c r="J60" s="37" t="n">
        <f aca="false">J24+J25+J26-J45-J46</f>
        <v>0</v>
      </c>
      <c r="K60" s="37" t="n">
        <f aca="false">K24+K25+K26-K45-K46</f>
        <v>0</v>
      </c>
      <c r="L60" s="37" t="n">
        <f aca="false">L24+L25+L26-L45-L46</f>
        <v>0</v>
      </c>
      <c r="M60" s="37" t="n">
        <f aca="false">M24+M25+M26-M45-M46</f>
        <v>0</v>
      </c>
      <c r="N60" s="37" t="n">
        <f aca="false">N24+N25+N26-N45-N46</f>
        <v>0</v>
      </c>
      <c r="O60" s="37" t="n">
        <f aca="false">O24+O25+O26-O45-O46</f>
        <v>0</v>
      </c>
      <c r="P60" s="37" t="n">
        <f aca="false">P24+P25+P26-P45-P46</f>
        <v>0</v>
      </c>
      <c r="Q60" s="37" t="n">
        <f aca="false">Q24+Q25+Q26-Q45-Q46</f>
        <v>0</v>
      </c>
      <c r="R60" s="37" t="n">
        <f aca="false">R24+R25+R26-R45-R46</f>
        <v>0</v>
      </c>
      <c r="S60" s="37" t="n">
        <f aca="false">S24+S25+S26-S45-S46</f>
        <v>0</v>
      </c>
      <c r="T60" s="37" t="n">
        <f aca="false">T24+T25+T26-T45-T46</f>
        <v>0</v>
      </c>
      <c r="U60" s="37" t="n">
        <f aca="false">U24+U25+U26-U45-U46</f>
        <v>0</v>
      </c>
      <c r="V60" s="37" t="n">
        <f aca="false">V24+V25+V26-V45-V46</f>
        <v>0</v>
      </c>
      <c r="W60" s="37" t="n">
        <f aca="false">W24+W25+W26-W45-W46</f>
        <v>0</v>
      </c>
      <c r="X60" s="37" t="n">
        <f aca="false">X24+X25+X26-X45-X46</f>
        <v>0</v>
      </c>
      <c r="Y60" s="37" t="n">
        <f aca="false">Y24+Y25+Y26-Y45-Y46</f>
        <v>0</v>
      </c>
      <c r="Z60" s="37" t="n">
        <f aca="false">Z24+Z25+Z26-Z45-Z46</f>
        <v>0</v>
      </c>
      <c r="AA60" s="37" t="n">
        <f aca="false">AA24+AA25+AA26-AA45-AA46</f>
        <v>0</v>
      </c>
      <c r="AB60" s="37" t="n">
        <f aca="false">AB24+AB25+AB26-AB45-AB46</f>
        <v>0</v>
      </c>
      <c r="AC60" s="37" t="n">
        <f aca="false">AC24+AC25+AC26-AC45-AC46</f>
        <v>0</v>
      </c>
      <c r="AD60" s="37" t="n">
        <f aca="false">AD24+AD25+AD26-AD45-AD46</f>
        <v>0</v>
      </c>
      <c r="AE60" s="37" t="n">
        <f aca="false">AE24+AE25+AE26-AE45-AE46</f>
        <v>0</v>
      </c>
      <c r="AF60" s="37" t="n">
        <f aca="false">AF24+AF25+AF26-AF45-AF46</f>
        <v>0</v>
      </c>
      <c r="AG60" s="37" t="n">
        <f aca="false">AG24+AG25+AG26-AG45-AG46</f>
        <v>0</v>
      </c>
      <c r="AH60" s="37" t="n">
        <f aca="false">AH24+AH25+AH26-AH45-AH46</f>
        <v>0</v>
      </c>
      <c r="AI60" s="37" t="n">
        <f aca="false">AI24+AI25+AI26-AI45-AI46</f>
        <v>0</v>
      </c>
      <c r="AJ60" s="37" t="n">
        <f aca="false">AJ24+AJ25+AJ26-AJ45-AJ46</f>
        <v>0</v>
      </c>
      <c r="AK60" s="37" t="n">
        <f aca="false">AK24+AK25+AK26-AK45-AK46</f>
        <v>0</v>
      </c>
      <c r="AL60" s="37" t="n">
        <f aca="false">AL24+AL25+AL26-AL45-AL46</f>
        <v>0</v>
      </c>
      <c r="AM60" s="37" t="n">
        <f aca="false">AM24+AM25+AM26-AM45-AM46</f>
        <v>0</v>
      </c>
      <c r="AN60" s="37" t="n">
        <f aca="false">AN24+AN25+AN26-AN45-AN46</f>
        <v>0</v>
      </c>
      <c r="AO60" s="37" t="n">
        <f aca="false">AO24+AO25+AO26-AO45-AO46</f>
        <v>0</v>
      </c>
      <c r="AP60" s="37" t="n">
        <f aca="false">AP24+AP25+AP26-AP45-AP46</f>
        <v>0</v>
      </c>
      <c r="AQ60" s="37" t="n">
        <f aca="false">AQ24+AQ25+AQ26-AQ45-AQ46</f>
        <v>0</v>
      </c>
      <c r="AR60" s="37" t="n">
        <f aca="false">AR24+AR25+AR26-AR45-AR46</f>
        <v>0</v>
      </c>
      <c r="AS60" s="37" t="n">
        <f aca="false">AS24+AS25+AS26-AS45-AS46</f>
        <v>0</v>
      </c>
      <c r="AT60" s="37" t="n">
        <f aca="false">AT24+AT25+AT26-AT45-AT46</f>
        <v>0</v>
      </c>
      <c r="AU60" s="37" t="n">
        <f aca="false">AU24+AU25+AU26-AU45-AU46</f>
        <v>0</v>
      </c>
      <c r="AV60" s="37" t="n">
        <f aca="false">AV24+AV25+AV26-AV45-AV46</f>
        <v>0</v>
      </c>
      <c r="AW60" s="37" t="n">
        <f aca="false">AW24+AW25+AW26-AW45-AW46</f>
        <v>0</v>
      </c>
      <c r="AX60" s="37" t="n">
        <f aca="false">AX24+AX25+AX26-AX45-AX46</f>
        <v>0</v>
      </c>
      <c r="AY60" s="37" t="n">
        <f aca="false">AY24+AY25+AY26-AY45-AY46</f>
        <v>0</v>
      </c>
      <c r="AZ60" s="37" t="n">
        <f aca="false">AZ24+AZ25+AZ26-AZ45-AZ46</f>
        <v>0</v>
      </c>
      <c r="BA60" s="37" t="n">
        <f aca="false">BA24+BA25+BA26-BA45-BA46</f>
        <v>0</v>
      </c>
      <c r="BB60" s="37" t="n">
        <f aca="false">BB24+BB25+BB26-BB45-BB46</f>
        <v>0</v>
      </c>
      <c r="BC60" s="37" t="n">
        <f aca="false">BC24+BC25+BC26-BC45-BC46</f>
        <v>0</v>
      </c>
      <c r="BD60" s="37" t="n">
        <f aca="false">BD24+BD25+BD26-BD45-BD46</f>
        <v>0</v>
      </c>
      <c r="BE60" s="37" t="n">
        <f aca="false">BE24+BE25+BE26-BE45-BE46</f>
        <v>0</v>
      </c>
      <c r="BF60" s="37" t="n">
        <f aca="false">BF24+BF25+BF26-BF45-BF46</f>
        <v>0</v>
      </c>
      <c r="BG60" s="37" t="n">
        <f aca="false">BG24+BG25+BG26-BG45-BG46</f>
        <v>0</v>
      </c>
      <c r="BH60" s="37" t="n">
        <f aca="false">BH24+BH25+BH26-BH45-BH46</f>
        <v>0</v>
      </c>
      <c r="BI60" s="37" t="n">
        <f aca="false">BI24+BI25+BI26-BI45-BI46</f>
        <v>0</v>
      </c>
      <c r="BJ60" s="37" t="n">
        <f aca="false">BJ24+BJ25+BJ26-BJ45-BJ46</f>
        <v>0</v>
      </c>
      <c r="BK60" s="37" t="n">
        <f aca="false">BK24+BK25+BK26-BK45-BK46</f>
        <v>0</v>
      </c>
      <c r="BL60" s="37" t="n">
        <f aca="false">BL24+BL25+BL26-BL45-BL46</f>
        <v>0</v>
      </c>
      <c r="BM60" s="37" t="n">
        <f aca="false">BM24+BM25+BM26-BM45-BM46</f>
        <v>0</v>
      </c>
      <c r="BN60" s="37" t="n">
        <f aca="false">BN24+BN25+BN26-BN45-BN46</f>
        <v>0</v>
      </c>
      <c r="BO60" s="37" t="n">
        <f aca="false">BO24+BO25+BO26-BO45-BO46</f>
        <v>0</v>
      </c>
      <c r="BP60" s="37" t="n">
        <f aca="false">BP24+BP25+BP26-BP45-BP46</f>
        <v>0</v>
      </c>
      <c r="BQ60" s="37" t="n">
        <f aca="false">BQ24+BQ25+BQ26-BQ45-BQ46</f>
        <v>0</v>
      </c>
      <c r="BR60" s="37" t="n">
        <f aca="false">BR24+BR25+BR26-BR45-BR46</f>
        <v>0</v>
      </c>
      <c r="BS60" s="37" t="n">
        <f aca="false">BS24+BS25+BS26-BS45-BS46</f>
        <v>0</v>
      </c>
      <c r="BT60" s="37" t="n">
        <f aca="false">BT24+BT25+BT26-BT45-BT46</f>
        <v>0</v>
      </c>
      <c r="BU60" s="37" t="n">
        <f aca="false">BU24+BU25+BU26-BU45-BU46</f>
        <v>0</v>
      </c>
      <c r="BV60" s="37" t="n">
        <f aca="false">BV24+BV25+BV26-BV45-BV46</f>
        <v>0</v>
      </c>
      <c r="BW60" s="37" t="n">
        <f aca="false">BW24+BW25+BW26-BW45-BW46</f>
        <v>0</v>
      </c>
      <c r="BX60" s="37" t="n">
        <f aca="false">BX24+BX25+BX26-BX45-BX46</f>
        <v>0</v>
      </c>
      <c r="BY60" s="37" t="n">
        <f aca="false">BY24+BY25+BY26-BY45-BY46</f>
        <v>0</v>
      </c>
      <c r="BZ60" s="37" t="n">
        <f aca="false">BZ24+BZ25+BZ26-BZ45-BZ46</f>
        <v>0</v>
      </c>
      <c r="CA60" s="37" t="n">
        <f aca="false">CA24+CA25+CA26-CA45-CA46</f>
        <v>0</v>
      </c>
      <c r="CB60" s="37" t="n">
        <f aca="false">CB24+CB25+CB26-CB45-CB46</f>
        <v>0</v>
      </c>
      <c r="CC60" s="37" t="n">
        <f aca="false">CC24+CC25+CC26-CC45-CC46</f>
        <v>0</v>
      </c>
      <c r="CD60" s="37" t="n">
        <f aca="false">CD24+CD25+CD26-CD45-CD46</f>
        <v>0</v>
      </c>
      <c r="CE60" s="37" t="n">
        <f aca="false">CE24+CE25+CE26-CE45-CE46</f>
        <v>0</v>
      </c>
      <c r="CF60" s="37" t="n">
        <f aca="false">CF24+CF25+CF26-CF45-CF46</f>
        <v>0</v>
      </c>
      <c r="CG60" s="37" t="n">
        <f aca="false">CG24+CG25+CG26-CG45-CG46</f>
        <v>0</v>
      </c>
      <c r="CH60" s="37" t="n">
        <f aca="false">CH24+CH25+CH26-CH45-CH46</f>
        <v>0</v>
      </c>
      <c r="CI60" s="37" t="n">
        <f aca="false">CI24+CI25+CI26-CI45-CI46</f>
        <v>0</v>
      </c>
      <c r="CJ60" s="37" t="n">
        <f aca="false">CJ24+CJ25+CJ26-CJ45-CJ46</f>
        <v>0</v>
      </c>
      <c r="CK60" s="37" t="n">
        <f aca="false">CK24+CK25+CK26-CK45-CK46</f>
        <v>0</v>
      </c>
      <c r="CL60" s="37" t="n">
        <f aca="false">CL24+CL25+CL26-CL45-CL46</f>
        <v>0</v>
      </c>
      <c r="CM60" s="37" t="n">
        <f aca="false">CM24+CM25+CM26-CM45-CM46</f>
        <v>0</v>
      </c>
      <c r="CN60" s="37" t="n">
        <f aca="false">CN24+CN25+CN26-CN45-CN46</f>
        <v>0</v>
      </c>
      <c r="CO60" s="37" t="n">
        <f aca="false">CO24+CO25+CO26-CO45-CO46</f>
        <v>0</v>
      </c>
      <c r="CP60" s="37" t="n">
        <f aca="false">CP24+CP25+CP26-CP45-CP46</f>
        <v>0</v>
      </c>
      <c r="CQ60" s="37" t="n">
        <f aca="false">CQ24+CQ25+CQ26-CQ45-CQ46</f>
        <v>0</v>
      </c>
      <c r="CR60" s="37" t="n">
        <f aca="false">CR24+CR25+CR26-CR45-CR46</f>
        <v>0</v>
      </c>
      <c r="CS60" s="37" t="n">
        <f aca="false">CS24+CS25+CS26-CS45-CS46</f>
        <v>0</v>
      </c>
      <c r="CT60" s="37" t="n">
        <f aca="false">CT24+CT25+CT26-CT45-CT46</f>
        <v>0</v>
      </c>
      <c r="CU60" s="37" t="n">
        <f aca="false">CU24+CU25+CU26-CU45-CU46</f>
        <v>0</v>
      </c>
      <c r="CV60" s="37" t="n">
        <f aca="false">CV24+CV25+CV26-CV45-CV46</f>
        <v>0</v>
      </c>
      <c r="CW60" s="37" t="n">
        <f aca="false">CW24+CW25+CW26-CW45-CW46</f>
        <v>0</v>
      </c>
      <c r="CX60" s="37" t="n">
        <f aca="false">CX24+CX25+CX26-CX45-CX46</f>
        <v>0</v>
      </c>
      <c r="CY60" s="37" t="n">
        <f aca="false">CY24+CY25+CY26-CY45-CY46</f>
        <v>0</v>
      </c>
      <c r="CZ60" s="37" t="n">
        <f aca="false">CZ24+CZ25+CZ26-CZ45-CZ46</f>
        <v>0</v>
      </c>
      <c r="DA60" s="37" t="n">
        <f aca="false">DA24+DA25+DA26-DA45-DA46</f>
        <v>0</v>
      </c>
      <c r="DB60" s="37" t="n">
        <f aca="false">DB24+DB25+DB26-DB45-DB46</f>
        <v>0</v>
      </c>
      <c r="DC60" s="37" t="n">
        <f aca="false">DC24+DC25+DC26-DC45-DC46</f>
        <v>0</v>
      </c>
      <c r="DD60" s="37" t="n">
        <f aca="false">DD24+DD25+DD26-DD45-DD46</f>
        <v>0</v>
      </c>
      <c r="DE60" s="37" t="n">
        <f aca="false">DE24+DE25+DE26-DE45-DE46</f>
        <v>0</v>
      </c>
      <c r="DF60" s="37" t="n">
        <f aca="false">DF24+DF25+DF26-DF45-DF46</f>
        <v>0</v>
      </c>
      <c r="DG60" s="37" t="n">
        <f aca="false">DG24+DG25+DG26-DG45-DG46</f>
        <v>0</v>
      </c>
      <c r="DH60" s="37" t="n">
        <f aca="false">DH24+DH25+DH26-DH45-DH46</f>
        <v>0</v>
      </c>
      <c r="DI60" s="37" t="n">
        <f aca="false">DI24+DI25+DI26-DI45-DI46</f>
        <v>0</v>
      </c>
      <c r="DJ60" s="37" t="n">
        <f aca="false">DJ24+DJ25+DJ26-DJ45-DJ46</f>
        <v>0</v>
      </c>
      <c r="DK60" s="37" t="n">
        <f aca="false">DK24+DK25+DK26-DK45-DK46</f>
        <v>0</v>
      </c>
      <c r="DL60" s="37" t="n">
        <f aca="false">DL24+DL25+DL26-DL45-DL46</f>
        <v>0</v>
      </c>
      <c r="DM60" s="37" t="n">
        <f aca="false">DM24+DM25+DM26-DM45-DM46</f>
        <v>0</v>
      </c>
      <c r="DN60" s="37" t="n">
        <f aca="false">DN24+DN25+DN26-DN45-DN46</f>
        <v>0</v>
      </c>
      <c r="DO60" s="37" t="n">
        <f aca="false">DO24+DO25+DO26-DO45-DO46</f>
        <v>0</v>
      </c>
      <c r="DP60" s="37" t="n">
        <f aca="false">DP24+DP25+DP26-DP45-DP46</f>
        <v>0</v>
      </c>
      <c r="DQ60" s="37" t="n">
        <f aca="false">DQ24+DQ25+DQ26-DQ45-DQ46</f>
        <v>0</v>
      </c>
      <c r="DR60" s="37" t="n">
        <f aca="false">DR24+DR25+DR26-DR45-DR46</f>
        <v>0</v>
      </c>
      <c r="DS60" s="37" t="n">
        <f aca="false">DS24+DS25+DS26-DS45-DS46</f>
        <v>0</v>
      </c>
      <c r="DT60" s="37" t="n">
        <f aca="false">DT24+DT25+DT26-DT45-DT46</f>
        <v>0</v>
      </c>
      <c r="DU60" s="37" t="n">
        <f aca="false">DU24+DU25+DU26-DU45-DU46</f>
        <v>0</v>
      </c>
      <c r="DV60" s="37" t="n">
        <f aca="false">DV24+DV25+DV26-DV45-DV46</f>
        <v>0</v>
      </c>
      <c r="DW60" s="37" t="n">
        <f aca="false">DW24+DW25+DW26-DW45-DW46</f>
        <v>0</v>
      </c>
      <c r="DX60" s="37" t="n">
        <f aca="false">DX24+DX25+DX26-DX45-DX46</f>
        <v>0</v>
      </c>
      <c r="DY60" s="37" t="n">
        <f aca="false">DY24+DY25+DY26-DY45-DY46</f>
        <v>0</v>
      </c>
      <c r="DZ60" s="37" t="n">
        <f aca="false">DZ24+DZ25+DZ26-DZ45-DZ46</f>
        <v>0</v>
      </c>
      <c r="EA60" s="37" t="n">
        <f aca="false">EA24+EA25+EA26-EA45-EA46</f>
        <v>0</v>
      </c>
      <c r="EB60" s="37" t="n">
        <f aca="false">EB24+EB25+EB26-EB45-EB46</f>
        <v>0</v>
      </c>
      <c r="EC60" s="37" t="n">
        <f aca="false">EC24+EC25+EC26-EC45-EC46</f>
        <v>0</v>
      </c>
      <c r="ED60" s="37" t="n">
        <f aca="false">ED24+ED25+ED26-ED45-ED46</f>
        <v>0</v>
      </c>
      <c r="EE60" s="37" t="n">
        <f aca="false">EE24+EE25+EE26-EE45-EE46</f>
        <v>0</v>
      </c>
      <c r="EF60" s="37" t="n">
        <f aca="false">EF24+EF25+EF26-EF45-EF46</f>
        <v>0</v>
      </c>
    </row>
    <row r="61" customFormat="false" ht="15" hidden="false" customHeight="false" outlineLevel="0" collapsed="false">
      <c r="A61" s="153" t="s">
        <v>608</v>
      </c>
      <c r="B61" s="278" t="s">
        <v>21</v>
      </c>
      <c r="C61" s="279" t="n">
        <f aca="false">SUM(E61:EF61)</f>
        <v>0</v>
      </c>
      <c r="E61" s="37" t="n">
        <f aca="false">SUM(E27:E34)-SUM(E47:E52)</f>
        <v>0</v>
      </c>
      <c r="F61" s="37" t="n">
        <f aca="false">SUM(F27:F34)-SUM(F47:F52)</f>
        <v>0</v>
      </c>
      <c r="G61" s="37" t="n">
        <f aca="false">SUM(G27:G34)-SUM(G47:G52)</f>
        <v>0</v>
      </c>
      <c r="H61" s="37" t="n">
        <f aca="false">SUM(H27:H34)-SUM(H47:H52)</f>
        <v>0</v>
      </c>
      <c r="I61" s="37" t="n">
        <f aca="false">SUM(I27:I34)-SUM(I47:I52)</f>
        <v>0</v>
      </c>
      <c r="J61" s="37" t="n">
        <f aca="false">SUM(J27:J34)-SUM(J47:J52)</f>
        <v>0</v>
      </c>
      <c r="K61" s="37" t="n">
        <f aca="false">SUM(K27:K34)-SUM(K47:K52)</f>
        <v>0</v>
      </c>
      <c r="L61" s="37" t="n">
        <f aca="false">SUM(L27:L34)-SUM(L47:L52)</f>
        <v>0</v>
      </c>
      <c r="M61" s="37" t="n">
        <f aca="false">SUM(M27:M34)-SUM(M47:M52)</f>
        <v>0</v>
      </c>
      <c r="N61" s="37" t="n">
        <f aca="false">SUM(N27:N34)-SUM(N47:N52)</f>
        <v>0</v>
      </c>
      <c r="O61" s="37" t="n">
        <f aca="false">SUM(O27:O34)-SUM(O47:O52)</f>
        <v>0</v>
      </c>
      <c r="P61" s="37" t="n">
        <f aca="false">SUM(P27:P34)-SUM(P47:P52)</f>
        <v>0</v>
      </c>
      <c r="Q61" s="37" t="n">
        <f aca="false">SUM(Q27:Q34)-SUM(Q47:Q52)</f>
        <v>0</v>
      </c>
      <c r="R61" s="37" t="n">
        <f aca="false">SUM(R27:R34)-SUM(R47:R52)</f>
        <v>0</v>
      </c>
      <c r="S61" s="37" t="n">
        <f aca="false">SUM(S27:S34)-SUM(S47:S52)</f>
        <v>0</v>
      </c>
      <c r="T61" s="37" t="n">
        <f aca="false">SUM(T27:T34)-SUM(T47:T52)</f>
        <v>0</v>
      </c>
      <c r="U61" s="37" t="n">
        <f aca="false">SUM(U27:U34)-SUM(U47:U52)</f>
        <v>0</v>
      </c>
      <c r="V61" s="37" t="n">
        <f aca="false">SUM(V27:V34)-SUM(V47:V52)</f>
        <v>0</v>
      </c>
      <c r="W61" s="37" t="n">
        <f aca="false">SUM(W27:W34)-SUM(W47:W52)</f>
        <v>0</v>
      </c>
      <c r="X61" s="37" t="n">
        <f aca="false">SUM(X27:X34)-SUM(X47:X52)</f>
        <v>0</v>
      </c>
      <c r="Y61" s="37" t="n">
        <f aca="false">SUM(Y27:Y34)-SUM(Y47:Y52)</f>
        <v>0</v>
      </c>
      <c r="Z61" s="37" t="n">
        <f aca="false">SUM(Z27:Z34)-SUM(Z47:Z52)</f>
        <v>0</v>
      </c>
      <c r="AA61" s="37" t="n">
        <f aca="false">SUM(AA27:AA34)-SUM(AA47:AA52)</f>
        <v>0</v>
      </c>
      <c r="AB61" s="37" t="n">
        <f aca="false">SUM(AB27:AB34)-SUM(AB47:AB52)</f>
        <v>0</v>
      </c>
      <c r="AC61" s="37" t="n">
        <f aca="false">SUM(AC27:AC34)-SUM(AC47:AC52)</f>
        <v>0</v>
      </c>
      <c r="AD61" s="37" t="n">
        <f aca="false">SUM(AD27:AD34)-SUM(AD47:AD52)</f>
        <v>0</v>
      </c>
      <c r="AE61" s="37" t="n">
        <f aca="false">SUM(AE27:AE34)-SUM(AE47:AE52)</f>
        <v>0</v>
      </c>
      <c r="AF61" s="37" t="n">
        <f aca="false">SUM(AF27:AF34)-SUM(AF47:AF52)</f>
        <v>0</v>
      </c>
      <c r="AG61" s="37" t="n">
        <f aca="false">SUM(AG27:AG34)-SUM(AG47:AG52)</f>
        <v>0</v>
      </c>
      <c r="AH61" s="37" t="n">
        <f aca="false">SUM(AH27:AH34)-SUM(AH47:AH52)</f>
        <v>0</v>
      </c>
      <c r="AI61" s="37" t="n">
        <f aca="false">SUM(AI27:AI34)-SUM(AI47:AI52)</f>
        <v>0</v>
      </c>
      <c r="AJ61" s="37" t="n">
        <f aca="false">SUM(AJ27:AJ34)-SUM(AJ47:AJ52)</f>
        <v>0</v>
      </c>
      <c r="AK61" s="37" t="n">
        <f aca="false">SUM(AK27:AK34)-SUM(AK47:AK52)</f>
        <v>0</v>
      </c>
      <c r="AL61" s="37" t="n">
        <f aca="false">SUM(AL27:AL34)-SUM(AL47:AL52)</f>
        <v>0</v>
      </c>
      <c r="AM61" s="37" t="n">
        <f aca="false">SUM(AM27:AM34)-SUM(AM47:AM52)</f>
        <v>0</v>
      </c>
      <c r="AN61" s="37" t="n">
        <f aca="false">SUM(AN27:AN34)-SUM(AN47:AN52)</f>
        <v>0</v>
      </c>
      <c r="AO61" s="37" t="n">
        <f aca="false">SUM(AO27:AO34)-SUM(AO47:AO52)</f>
        <v>0</v>
      </c>
      <c r="AP61" s="37" t="n">
        <f aca="false">SUM(AP27:AP34)-SUM(AP47:AP52)</f>
        <v>0</v>
      </c>
      <c r="AQ61" s="37" t="n">
        <f aca="false">SUM(AQ27:AQ34)-SUM(AQ47:AQ52)</f>
        <v>0</v>
      </c>
      <c r="AR61" s="37" t="n">
        <f aca="false">SUM(AR27:AR34)-SUM(AR47:AR52)</f>
        <v>0</v>
      </c>
      <c r="AS61" s="37" t="n">
        <f aca="false">SUM(AS27:AS34)-SUM(AS47:AS52)</f>
        <v>0</v>
      </c>
      <c r="AT61" s="37" t="n">
        <f aca="false">SUM(AT27:AT34)-SUM(AT47:AT52)</f>
        <v>0</v>
      </c>
      <c r="AU61" s="37" t="n">
        <f aca="false">SUM(AU27:AU34)-SUM(AU47:AU52)</f>
        <v>0</v>
      </c>
      <c r="AV61" s="37" t="n">
        <f aca="false">SUM(AV27:AV34)-SUM(AV47:AV52)</f>
        <v>0</v>
      </c>
      <c r="AW61" s="37" t="n">
        <f aca="false">SUM(AW27:AW34)-SUM(AW47:AW52)</f>
        <v>0</v>
      </c>
      <c r="AX61" s="37" t="n">
        <f aca="false">SUM(AX27:AX34)-SUM(AX47:AX52)</f>
        <v>0</v>
      </c>
      <c r="AY61" s="37" t="n">
        <f aca="false">SUM(AY27:AY34)-SUM(AY47:AY52)</f>
        <v>0</v>
      </c>
      <c r="AZ61" s="37" t="n">
        <f aca="false">SUM(AZ27:AZ34)-SUM(AZ47:AZ52)</f>
        <v>0</v>
      </c>
      <c r="BA61" s="37" t="n">
        <f aca="false">SUM(BA27:BA34)-SUM(BA47:BA52)</f>
        <v>0</v>
      </c>
      <c r="BB61" s="37" t="n">
        <f aca="false">SUM(BB27:BB34)-SUM(BB47:BB52)</f>
        <v>0</v>
      </c>
      <c r="BC61" s="37" t="n">
        <f aca="false">SUM(BC27:BC34)-SUM(BC47:BC52)</f>
        <v>0</v>
      </c>
      <c r="BD61" s="37" t="n">
        <f aca="false">SUM(BD27:BD34)-SUM(BD47:BD52)</f>
        <v>0</v>
      </c>
      <c r="BE61" s="37" t="n">
        <f aca="false">SUM(BE27:BE34)-SUM(BE47:BE52)</f>
        <v>0</v>
      </c>
      <c r="BF61" s="37" t="n">
        <f aca="false">SUM(BF27:BF34)-SUM(BF47:BF52)</f>
        <v>0</v>
      </c>
      <c r="BG61" s="37" t="n">
        <f aca="false">SUM(BG27:BG34)-SUM(BG47:BG52)</f>
        <v>0</v>
      </c>
      <c r="BH61" s="37" t="n">
        <f aca="false">SUM(BH27:BH34)-SUM(BH47:BH52)</f>
        <v>0</v>
      </c>
      <c r="BI61" s="37" t="n">
        <f aca="false">SUM(BI27:BI34)-SUM(BI47:BI52)</f>
        <v>0</v>
      </c>
      <c r="BJ61" s="37" t="n">
        <f aca="false">SUM(BJ27:BJ34)-SUM(BJ47:BJ52)</f>
        <v>0</v>
      </c>
      <c r="BK61" s="37" t="n">
        <f aca="false">SUM(BK27:BK34)-SUM(BK47:BK52)</f>
        <v>0</v>
      </c>
      <c r="BL61" s="37" t="n">
        <f aca="false">SUM(BL27:BL34)-SUM(BL47:BL52)</f>
        <v>0</v>
      </c>
      <c r="BM61" s="37" t="n">
        <f aca="false">SUM(BM27:BM34)-SUM(BM47:BM52)</f>
        <v>0</v>
      </c>
      <c r="BN61" s="37" t="n">
        <f aca="false">SUM(BN27:BN34)-SUM(BN47:BN52)</f>
        <v>0</v>
      </c>
      <c r="BO61" s="37" t="n">
        <f aca="false">SUM(BO27:BO34)-SUM(BO47:BO52)</f>
        <v>0</v>
      </c>
      <c r="BP61" s="37" t="n">
        <f aca="false">SUM(BP27:BP34)-SUM(BP47:BP52)</f>
        <v>0</v>
      </c>
      <c r="BQ61" s="37" t="n">
        <f aca="false">SUM(BQ27:BQ34)-SUM(BQ47:BQ52)</f>
        <v>0</v>
      </c>
      <c r="BR61" s="37" t="n">
        <f aca="false">SUM(BR27:BR34)-SUM(BR47:BR52)</f>
        <v>0</v>
      </c>
      <c r="BS61" s="37" t="n">
        <f aca="false">SUM(BS27:BS34)-SUM(BS47:BS52)</f>
        <v>0</v>
      </c>
      <c r="BT61" s="37" t="n">
        <f aca="false">SUM(BT27:BT34)-SUM(BT47:BT52)</f>
        <v>0</v>
      </c>
      <c r="BU61" s="37" t="n">
        <f aca="false">SUM(BU27:BU34)-SUM(BU47:BU52)</f>
        <v>0</v>
      </c>
      <c r="BV61" s="37" t="n">
        <f aca="false">SUM(BV27:BV34)-SUM(BV47:BV52)</f>
        <v>0</v>
      </c>
      <c r="BW61" s="37" t="n">
        <f aca="false">SUM(BW27:BW34)-SUM(BW47:BW52)</f>
        <v>0</v>
      </c>
      <c r="BX61" s="37" t="n">
        <f aca="false">SUM(BX27:BX34)-SUM(BX47:BX52)</f>
        <v>0</v>
      </c>
      <c r="BY61" s="37" t="n">
        <f aca="false">SUM(BY27:BY34)-SUM(BY47:BY52)</f>
        <v>0</v>
      </c>
      <c r="BZ61" s="37" t="n">
        <f aca="false">SUM(BZ27:BZ34)-SUM(BZ47:BZ52)</f>
        <v>0</v>
      </c>
      <c r="CA61" s="37" t="n">
        <f aca="false">SUM(CA27:CA34)-SUM(CA47:CA52)</f>
        <v>0</v>
      </c>
      <c r="CB61" s="37" t="n">
        <f aca="false">SUM(CB27:CB34)-SUM(CB47:CB52)</f>
        <v>0</v>
      </c>
      <c r="CC61" s="37" t="n">
        <f aca="false">SUM(CC27:CC34)-SUM(CC47:CC52)</f>
        <v>0</v>
      </c>
      <c r="CD61" s="37" t="n">
        <f aca="false">SUM(CD27:CD34)-SUM(CD47:CD52)</f>
        <v>0</v>
      </c>
      <c r="CE61" s="37" t="n">
        <f aca="false">SUM(CE27:CE34)-SUM(CE47:CE52)</f>
        <v>0</v>
      </c>
      <c r="CF61" s="37" t="n">
        <f aca="false">SUM(CF27:CF34)-SUM(CF47:CF52)</f>
        <v>0</v>
      </c>
      <c r="CG61" s="37" t="n">
        <f aca="false">SUM(CG27:CG34)-SUM(CG47:CG52)</f>
        <v>0</v>
      </c>
      <c r="CH61" s="37" t="n">
        <f aca="false">SUM(CH27:CH34)-SUM(CH47:CH52)</f>
        <v>0</v>
      </c>
      <c r="CI61" s="37" t="n">
        <f aca="false">SUM(CI27:CI34)-SUM(CI47:CI52)</f>
        <v>0</v>
      </c>
      <c r="CJ61" s="37" t="n">
        <f aca="false">SUM(CJ27:CJ34)-SUM(CJ47:CJ52)</f>
        <v>0</v>
      </c>
      <c r="CK61" s="37" t="n">
        <f aca="false">SUM(CK27:CK34)-SUM(CK47:CK52)</f>
        <v>0</v>
      </c>
      <c r="CL61" s="37" t="n">
        <f aca="false">SUM(CL27:CL34)-SUM(CL47:CL52)</f>
        <v>0</v>
      </c>
      <c r="CM61" s="37" t="n">
        <f aca="false">SUM(CM27:CM34)-SUM(CM47:CM52)</f>
        <v>0</v>
      </c>
      <c r="CN61" s="37" t="n">
        <f aca="false">SUM(CN27:CN34)-SUM(CN47:CN52)</f>
        <v>0</v>
      </c>
      <c r="CO61" s="37" t="n">
        <f aca="false">SUM(CO27:CO34)-SUM(CO47:CO52)</f>
        <v>0</v>
      </c>
      <c r="CP61" s="37" t="n">
        <f aca="false">SUM(CP27:CP34)-SUM(CP47:CP52)</f>
        <v>0</v>
      </c>
      <c r="CQ61" s="37" t="n">
        <f aca="false">SUM(CQ27:CQ34)-SUM(CQ47:CQ52)</f>
        <v>0</v>
      </c>
      <c r="CR61" s="37" t="n">
        <f aca="false">SUM(CR27:CR34)-SUM(CR47:CR52)</f>
        <v>0</v>
      </c>
      <c r="CS61" s="37" t="n">
        <f aca="false">SUM(CS27:CS34)-SUM(CS47:CS52)</f>
        <v>0</v>
      </c>
      <c r="CT61" s="37" t="n">
        <f aca="false">SUM(CT27:CT34)-SUM(CT47:CT52)</f>
        <v>0</v>
      </c>
      <c r="CU61" s="37" t="n">
        <f aca="false">SUM(CU27:CU34)-SUM(CU47:CU52)</f>
        <v>0</v>
      </c>
      <c r="CV61" s="37" t="n">
        <f aca="false">SUM(CV27:CV34)-SUM(CV47:CV52)</f>
        <v>0</v>
      </c>
      <c r="CW61" s="37" t="n">
        <f aca="false">SUM(CW27:CW34)-SUM(CW47:CW52)</f>
        <v>0</v>
      </c>
      <c r="CX61" s="37" t="n">
        <f aca="false">SUM(CX27:CX34)-SUM(CX47:CX52)</f>
        <v>0</v>
      </c>
      <c r="CY61" s="37" t="n">
        <f aca="false">SUM(CY27:CY34)-SUM(CY47:CY52)</f>
        <v>0</v>
      </c>
      <c r="CZ61" s="37" t="n">
        <f aca="false">SUM(CZ27:CZ34)-SUM(CZ47:CZ52)</f>
        <v>0</v>
      </c>
      <c r="DA61" s="37" t="n">
        <f aca="false">SUM(DA27:DA34)-SUM(DA47:DA52)</f>
        <v>0</v>
      </c>
      <c r="DB61" s="37" t="n">
        <f aca="false">SUM(DB27:DB34)-SUM(DB47:DB52)</f>
        <v>0</v>
      </c>
      <c r="DC61" s="37" t="n">
        <f aca="false">SUM(DC27:DC34)-SUM(DC47:DC52)</f>
        <v>0</v>
      </c>
      <c r="DD61" s="37" t="n">
        <f aca="false">SUM(DD27:DD34)-SUM(DD47:DD52)</f>
        <v>0</v>
      </c>
      <c r="DE61" s="37" t="n">
        <f aca="false">SUM(DE27:DE34)-SUM(DE47:DE52)</f>
        <v>0</v>
      </c>
      <c r="DF61" s="37" t="n">
        <f aca="false">SUM(DF27:DF34)-SUM(DF47:DF52)</f>
        <v>0</v>
      </c>
      <c r="DG61" s="37" t="n">
        <f aca="false">SUM(DG27:DG34)-SUM(DG47:DG52)</f>
        <v>0</v>
      </c>
      <c r="DH61" s="37" t="n">
        <f aca="false">SUM(DH27:DH34)-SUM(DH47:DH52)</f>
        <v>0</v>
      </c>
      <c r="DI61" s="37" t="n">
        <f aca="false">SUM(DI27:DI34)-SUM(DI47:DI52)</f>
        <v>0</v>
      </c>
      <c r="DJ61" s="37" t="n">
        <f aca="false">SUM(DJ27:DJ34)-SUM(DJ47:DJ52)</f>
        <v>0</v>
      </c>
      <c r="DK61" s="37" t="n">
        <f aca="false">SUM(DK27:DK34)-SUM(DK47:DK52)</f>
        <v>0</v>
      </c>
      <c r="DL61" s="37" t="n">
        <f aca="false">SUM(DL27:DL34)-SUM(DL47:DL52)</f>
        <v>0</v>
      </c>
      <c r="DM61" s="37" t="n">
        <f aca="false">SUM(DM27:DM34)-SUM(DM47:DM52)</f>
        <v>0</v>
      </c>
      <c r="DN61" s="37" t="n">
        <f aca="false">SUM(DN27:DN34)-SUM(DN47:DN52)</f>
        <v>0</v>
      </c>
      <c r="DO61" s="37" t="n">
        <f aca="false">SUM(DO27:DO34)-SUM(DO47:DO52)</f>
        <v>0</v>
      </c>
      <c r="DP61" s="37" t="n">
        <f aca="false">SUM(DP27:DP34)-SUM(DP47:DP52)</f>
        <v>0</v>
      </c>
      <c r="DQ61" s="37" t="n">
        <f aca="false">SUM(DQ27:DQ34)-SUM(DQ47:DQ52)</f>
        <v>0</v>
      </c>
      <c r="DR61" s="37" t="n">
        <f aca="false">SUM(DR27:DR34)-SUM(DR47:DR52)</f>
        <v>0</v>
      </c>
      <c r="DS61" s="37" t="n">
        <f aca="false">SUM(DS27:DS34)-SUM(DS47:DS52)</f>
        <v>0</v>
      </c>
      <c r="DT61" s="37" t="n">
        <f aca="false">SUM(DT27:DT34)-SUM(DT47:DT52)</f>
        <v>0</v>
      </c>
      <c r="DU61" s="37" t="n">
        <f aca="false">SUM(DU27:DU34)-SUM(DU47:DU52)</f>
        <v>0</v>
      </c>
      <c r="DV61" s="37" t="n">
        <f aca="false">SUM(DV27:DV34)-SUM(DV47:DV52)</f>
        <v>0</v>
      </c>
      <c r="DW61" s="37" t="n">
        <f aca="false">SUM(DW27:DW34)-SUM(DW47:DW52)</f>
        <v>0</v>
      </c>
      <c r="DX61" s="37" t="n">
        <f aca="false">SUM(DX27:DX34)-SUM(DX47:DX52)</f>
        <v>0</v>
      </c>
      <c r="DY61" s="37" t="n">
        <f aca="false">SUM(DY27:DY34)-SUM(DY47:DY52)</f>
        <v>0</v>
      </c>
      <c r="DZ61" s="37" t="n">
        <f aca="false">SUM(DZ27:DZ34)-SUM(DZ47:DZ52)</f>
        <v>0</v>
      </c>
      <c r="EA61" s="37" t="n">
        <f aca="false">SUM(EA27:EA34)-SUM(EA47:EA52)</f>
        <v>0</v>
      </c>
      <c r="EB61" s="37" t="n">
        <f aca="false">SUM(EB27:EB34)-SUM(EB47:EB52)</f>
        <v>0</v>
      </c>
      <c r="EC61" s="37" t="n">
        <f aca="false">SUM(EC27:EC34)-SUM(EC47:EC52)</f>
        <v>0</v>
      </c>
      <c r="ED61" s="37" t="n">
        <f aca="false">SUM(ED27:ED34)-SUM(ED47:ED52)</f>
        <v>0</v>
      </c>
      <c r="EE61" s="37" t="n">
        <f aca="false">SUM(EE27:EE34)-SUM(EE47:EE52)</f>
        <v>0</v>
      </c>
      <c r="EF61" s="37" t="n">
        <f aca="false">SUM(EF27:EF34)-SUM(EF47:EF52)</f>
        <v>0</v>
      </c>
    </row>
    <row r="62" customFormat="false" ht="15" hidden="false" customHeight="false" outlineLevel="0" collapsed="false">
      <c r="A62" s="153" t="s">
        <v>609</v>
      </c>
      <c r="B62" s="278" t="s">
        <v>21</v>
      </c>
      <c r="C62" s="279" t="n">
        <f aca="false">SUM(E62:EF62)</f>
        <v>0</v>
      </c>
      <c r="E62" s="37" t="n">
        <f aca="false">E35-E53-E54</f>
        <v>0</v>
      </c>
      <c r="F62" s="37" t="n">
        <f aca="false">F35-F53-F54</f>
        <v>0</v>
      </c>
      <c r="G62" s="37" t="n">
        <f aca="false">G35-G53-G54</f>
        <v>0</v>
      </c>
      <c r="H62" s="37" t="n">
        <f aca="false">H35-H53-H54</f>
        <v>0</v>
      </c>
      <c r="I62" s="37" t="n">
        <f aca="false">I35-I53-I54</f>
        <v>0</v>
      </c>
      <c r="J62" s="37" t="n">
        <f aca="false">J35-J53-J54</f>
        <v>0</v>
      </c>
      <c r="K62" s="37" t="n">
        <f aca="false">K35-K53-K54</f>
        <v>0</v>
      </c>
      <c r="L62" s="37" t="n">
        <f aca="false">L35-L53-L54</f>
        <v>0</v>
      </c>
      <c r="M62" s="37" t="n">
        <f aca="false">M35-M53-M54</f>
        <v>0</v>
      </c>
      <c r="N62" s="37" t="n">
        <f aca="false">N35-N53-N54</f>
        <v>0</v>
      </c>
      <c r="O62" s="37" t="n">
        <f aca="false">O35-O53-O54</f>
        <v>0</v>
      </c>
      <c r="P62" s="37" t="n">
        <f aca="false">P35-P53-P54</f>
        <v>0</v>
      </c>
      <c r="Q62" s="37" t="n">
        <f aca="false">Q35-Q53-Q54</f>
        <v>0</v>
      </c>
      <c r="R62" s="37" t="n">
        <f aca="false">R35-R53-R54</f>
        <v>0</v>
      </c>
      <c r="S62" s="37" t="n">
        <f aca="false">S35-S53-S54</f>
        <v>0</v>
      </c>
      <c r="T62" s="37" t="n">
        <f aca="false">T35-T53-T54</f>
        <v>0</v>
      </c>
      <c r="U62" s="37" t="n">
        <f aca="false">U35-U53-U54</f>
        <v>0</v>
      </c>
      <c r="V62" s="37" t="n">
        <f aca="false">V35-V53-V54</f>
        <v>0</v>
      </c>
      <c r="W62" s="37" t="n">
        <f aca="false">W35-W53-W54</f>
        <v>0</v>
      </c>
      <c r="X62" s="37" t="n">
        <f aca="false">X35-X53-X54</f>
        <v>0</v>
      </c>
      <c r="Y62" s="37" t="n">
        <f aca="false">Y35-Y53-Y54</f>
        <v>0</v>
      </c>
      <c r="Z62" s="37" t="n">
        <f aca="false">Z35-Z53-Z54</f>
        <v>0</v>
      </c>
      <c r="AA62" s="37" t="n">
        <f aca="false">AA35-AA53-AA54</f>
        <v>0</v>
      </c>
      <c r="AB62" s="37" t="n">
        <f aca="false">AB35-AB53-AB54</f>
        <v>0</v>
      </c>
      <c r="AC62" s="37" t="n">
        <f aca="false">AC35-AC53-AC54</f>
        <v>0</v>
      </c>
      <c r="AD62" s="37" t="n">
        <f aca="false">AD35-AD53-AD54</f>
        <v>0</v>
      </c>
      <c r="AE62" s="37" t="n">
        <f aca="false">AE35-AE53-AE54</f>
        <v>0</v>
      </c>
      <c r="AF62" s="37" t="n">
        <f aca="false">AF35-AF53-AF54</f>
        <v>0</v>
      </c>
      <c r="AG62" s="37" t="n">
        <f aca="false">AG35-AG53-AG54</f>
        <v>0</v>
      </c>
      <c r="AH62" s="37" t="n">
        <f aca="false">AH35-AH53-AH54</f>
        <v>0</v>
      </c>
      <c r="AI62" s="37" t="n">
        <f aca="false">AI35-AI53-AI54</f>
        <v>0</v>
      </c>
      <c r="AJ62" s="37" t="n">
        <f aca="false">AJ35-AJ53-AJ54</f>
        <v>0</v>
      </c>
      <c r="AK62" s="37" t="n">
        <f aca="false">AK35-AK53-AK54</f>
        <v>0</v>
      </c>
      <c r="AL62" s="37" t="n">
        <f aca="false">AL35-AL53-AL54</f>
        <v>0</v>
      </c>
      <c r="AM62" s="37" t="n">
        <f aca="false">AM35-AM53-AM54</f>
        <v>0</v>
      </c>
      <c r="AN62" s="37" t="n">
        <f aca="false">AN35-AN53-AN54</f>
        <v>0</v>
      </c>
      <c r="AO62" s="37" t="n">
        <f aca="false">AO35-AO53-AO54</f>
        <v>0</v>
      </c>
      <c r="AP62" s="37" t="n">
        <f aca="false">AP35-AP53-AP54</f>
        <v>0</v>
      </c>
      <c r="AQ62" s="37" t="n">
        <f aca="false">AQ35-AQ53-AQ54</f>
        <v>0</v>
      </c>
      <c r="AR62" s="37" t="n">
        <f aca="false">AR35-AR53-AR54</f>
        <v>0</v>
      </c>
      <c r="AS62" s="37" t="n">
        <f aca="false">AS35-AS53-AS54</f>
        <v>0</v>
      </c>
      <c r="AT62" s="37" t="n">
        <f aca="false">AT35-AT53-AT54</f>
        <v>0</v>
      </c>
      <c r="AU62" s="37" t="n">
        <f aca="false">AU35-AU53-AU54</f>
        <v>0</v>
      </c>
      <c r="AV62" s="37" t="n">
        <f aca="false">AV35-AV53-AV54</f>
        <v>0</v>
      </c>
      <c r="AW62" s="37" t="n">
        <f aca="false">AW35-AW53-AW54</f>
        <v>0</v>
      </c>
      <c r="AX62" s="37" t="n">
        <f aca="false">AX35-AX53-AX54</f>
        <v>0</v>
      </c>
      <c r="AY62" s="37" t="n">
        <f aca="false">AY35-AY53-AY54</f>
        <v>0</v>
      </c>
      <c r="AZ62" s="37" t="n">
        <f aca="false">AZ35-AZ53-AZ54</f>
        <v>0</v>
      </c>
      <c r="BA62" s="37" t="n">
        <f aca="false">BA35-BA53-BA54</f>
        <v>0</v>
      </c>
      <c r="BB62" s="37" t="n">
        <f aca="false">BB35-BB53-BB54</f>
        <v>0</v>
      </c>
      <c r="BC62" s="37" t="n">
        <f aca="false">BC35-BC53-BC54</f>
        <v>0</v>
      </c>
      <c r="BD62" s="37" t="n">
        <f aca="false">BD35-BD53-BD54</f>
        <v>0</v>
      </c>
      <c r="BE62" s="37" t="n">
        <f aca="false">BE35-BE53-BE54</f>
        <v>0</v>
      </c>
      <c r="BF62" s="37" t="n">
        <f aca="false">BF35-BF53-BF54</f>
        <v>0</v>
      </c>
      <c r="BG62" s="37" t="n">
        <f aca="false">BG35-BG53-BG54</f>
        <v>0</v>
      </c>
      <c r="BH62" s="37" t="n">
        <f aca="false">BH35-BH53-BH54</f>
        <v>0</v>
      </c>
      <c r="BI62" s="37" t="n">
        <f aca="false">BI35-BI53-BI54</f>
        <v>0</v>
      </c>
      <c r="BJ62" s="37" t="n">
        <f aca="false">BJ35-BJ53-BJ54</f>
        <v>0</v>
      </c>
      <c r="BK62" s="37" t="n">
        <f aca="false">BK35-BK53-BK54</f>
        <v>0</v>
      </c>
      <c r="BL62" s="37" t="n">
        <f aca="false">BL35-BL53-BL54</f>
        <v>0</v>
      </c>
      <c r="BM62" s="37" t="n">
        <f aca="false">BM35-BM53-BM54</f>
        <v>0</v>
      </c>
      <c r="BN62" s="37" t="n">
        <f aca="false">BN35-BN53-BN54</f>
        <v>0</v>
      </c>
      <c r="BO62" s="37" t="n">
        <f aca="false">BO35-BO53-BO54</f>
        <v>0</v>
      </c>
      <c r="BP62" s="37" t="n">
        <f aca="false">BP35-BP53-BP54</f>
        <v>0</v>
      </c>
      <c r="BQ62" s="37" t="n">
        <f aca="false">BQ35-BQ53-BQ54</f>
        <v>0</v>
      </c>
      <c r="BR62" s="37" t="n">
        <f aca="false">BR35-BR53-BR54</f>
        <v>0</v>
      </c>
      <c r="BS62" s="37" t="n">
        <f aca="false">BS35-BS53-BS54</f>
        <v>0</v>
      </c>
      <c r="BT62" s="37" t="n">
        <f aca="false">BT35-BT53-BT54</f>
        <v>0</v>
      </c>
      <c r="BU62" s="37" t="n">
        <f aca="false">BU35-BU53-BU54</f>
        <v>0</v>
      </c>
      <c r="BV62" s="37" t="n">
        <f aca="false">BV35-BV53-BV54</f>
        <v>0</v>
      </c>
      <c r="BW62" s="37" t="n">
        <f aca="false">BW35-BW53-BW54</f>
        <v>0</v>
      </c>
      <c r="BX62" s="37" t="n">
        <f aca="false">BX35-BX53-BX54</f>
        <v>0</v>
      </c>
      <c r="BY62" s="37" t="n">
        <f aca="false">BY35-BY53-BY54</f>
        <v>0</v>
      </c>
      <c r="BZ62" s="37" t="n">
        <f aca="false">BZ35-BZ53-BZ54</f>
        <v>0</v>
      </c>
      <c r="CA62" s="37" t="n">
        <f aca="false">CA35-CA53-CA54</f>
        <v>0</v>
      </c>
      <c r="CB62" s="37" t="n">
        <f aca="false">CB35-CB53-CB54</f>
        <v>0</v>
      </c>
      <c r="CC62" s="37" t="n">
        <f aca="false">CC35-CC53-CC54</f>
        <v>0</v>
      </c>
      <c r="CD62" s="37" t="n">
        <f aca="false">CD35-CD53-CD54</f>
        <v>0</v>
      </c>
      <c r="CE62" s="37" t="n">
        <f aca="false">CE35-CE53-CE54</f>
        <v>0</v>
      </c>
      <c r="CF62" s="37" t="n">
        <f aca="false">CF35-CF53-CF54</f>
        <v>0</v>
      </c>
      <c r="CG62" s="37" t="n">
        <f aca="false">CG35-CG53-CG54</f>
        <v>0</v>
      </c>
      <c r="CH62" s="37" t="n">
        <f aca="false">CH35-CH53-CH54</f>
        <v>0</v>
      </c>
      <c r="CI62" s="37" t="n">
        <f aca="false">CI35-CI53-CI54</f>
        <v>0</v>
      </c>
      <c r="CJ62" s="37" t="n">
        <f aca="false">CJ35-CJ53-CJ54</f>
        <v>0</v>
      </c>
      <c r="CK62" s="37" t="n">
        <f aca="false">CK35-CK53-CK54</f>
        <v>0</v>
      </c>
      <c r="CL62" s="37" t="n">
        <f aca="false">CL35-CL53-CL54</f>
        <v>0</v>
      </c>
      <c r="CM62" s="37" t="n">
        <f aca="false">CM35-CM53-CM54</f>
        <v>0</v>
      </c>
      <c r="CN62" s="37" t="n">
        <f aca="false">CN35-CN53-CN54</f>
        <v>0</v>
      </c>
      <c r="CO62" s="37" t="n">
        <f aca="false">CO35-CO53-CO54</f>
        <v>0</v>
      </c>
      <c r="CP62" s="37" t="n">
        <f aca="false">CP35-CP53-CP54</f>
        <v>0</v>
      </c>
      <c r="CQ62" s="37" t="n">
        <f aca="false">CQ35-CQ53-CQ54</f>
        <v>0</v>
      </c>
      <c r="CR62" s="37" t="n">
        <f aca="false">CR35-CR53-CR54</f>
        <v>0</v>
      </c>
      <c r="CS62" s="37" t="n">
        <f aca="false">CS35-CS53-CS54</f>
        <v>0</v>
      </c>
      <c r="CT62" s="37" t="n">
        <f aca="false">CT35-CT53-CT54</f>
        <v>0</v>
      </c>
      <c r="CU62" s="37" t="n">
        <f aca="false">CU35-CU53-CU54</f>
        <v>0</v>
      </c>
      <c r="CV62" s="37" t="n">
        <f aca="false">CV35-CV53-CV54</f>
        <v>0</v>
      </c>
      <c r="CW62" s="37" t="n">
        <f aca="false">CW35-CW53-CW54</f>
        <v>0</v>
      </c>
      <c r="CX62" s="37" t="n">
        <f aca="false">CX35-CX53-CX54</f>
        <v>0</v>
      </c>
      <c r="CY62" s="37" t="n">
        <f aca="false">CY35-CY53-CY54</f>
        <v>0</v>
      </c>
      <c r="CZ62" s="37" t="n">
        <f aca="false">CZ35-CZ53-CZ54</f>
        <v>0</v>
      </c>
      <c r="DA62" s="37" t="n">
        <f aca="false">DA35-DA53-DA54</f>
        <v>0</v>
      </c>
      <c r="DB62" s="37" t="n">
        <f aca="false">DB35-DB53-DB54</f>
        <v>0</v>
      </c>
      <c r="DC62" s="37" t="n">
        <f aca="false">DC35-DC53-DC54</f>
        <v>0</v>
      </c>
      <c r="DD62" s="37" t="n">
        <f aca="false">DD35-DD53-DD54</f>
        <v>0</v>
      </c>
      <c r="DE62" s="37" t="n">
        <f aca="false">DE35-DE53-DE54</f>
        <v>0</v>
      </c>
      <c r="DF62" s="37" t="n">
        <f aca="false">DF35-DF53-DF54</f>
        <v>0</v>
      </c>
      <c r="DG62" s="37" t="n">
        <f aca="false">DG35-DG53-DG54</f>
        <v>0</v>
      </c>
      <c r="DH62" s="37" t="n">
        <f aca="false">DH35-DH53-DH54</f>
        <v>0</v>
      </c>
      <c r="DI62" s="37" t="n">
        <f aca="false">DI35-DI53-DI54</f>
        <v>0</v>
      </c>
      <c r="DJ62" s="37" t="n">
        <f aca="false">DJ35-DJ53-DJ54</f>
        <v>0</v>
      </c>
      <c r="DK62" s="37" t="n">
        <f aca="false">DK35-DK53-DK54</f>
        <v>0</v>
      </c>
      <c r="DL62" s="37" t="n">
        <f aca="false">DL35-DL53-DL54</f>
        <v>0</v>
      </c>
      <c r="DM62" s="37" t="n">
        <f aca="false">DM35-DM53-DM54</f>
        <v>0</v>
      </c>
      <c r="DN62" s="37" t="n">
        <f aca="false">DN35-DN53-DN54</f>
        <v>0</v>
      </c>
      <c r="DO62" s="37" t="n">
        <f aca="false">DO35-DO53-DO54</f>
        <v>0</v>
      </c>
      <c r="DP62" s="37" t="n">
        <f aca="false">DP35-DP53-DP54</f>
        <v>0</v>
      </c>
      <c r="DQ62" s="37" t="n">
        <f aca="false">DQ35-DQ53-DQ54</f>
        <v>0</v>
      </c>
      <c r="DR62" s="37" t="n">
        <f aca="false">DR35-DR53-DR54</f>
        <v>0</v>
      </c>
      <c r="DS62" s="37" t="n">
        <f aca="false">DS35-DS53-DS54</f>
        <v>0</v>
      </c>
      <c r="DT62" s="37" t="n">
        <f aca="false">DT35-DT53-DT54</f>
        <v>0</v>
      </c>
      <c r="DU62" s="37" t="n">
        <f aca="false">DU35-DU53-DU54</f>
        <v>0</v>
      </c>
      <c r="DV62" s="37" t="n">
        <f aca="false">DV35-DV53-DV54</f>
        <v>0</v>
      </c>
      <c r="DW62" s="37" t="n">
        <f aca="false">DW35-DW53-DW54</f>
        <v>0</v>
      </c>
      <c r="DX62" s="37" t="n">
        <f aca="false">DX35-DX53-DX54</f>
        <v>0</v>
      </c>
      <c r="DY62" s="37" t="n">
        <f aca="false">DY35-DY53-DY54</f>
        <v>0</v>
      </c>
      <c r="DZ62" s="37" t="n">
        <f aca="false">DZ35-DZ53-DZ54</f>
        <v>0</v>
      </c>
      <c r="EA62" s="37" t="n">
        <f aca="false">EA35-EA53-EA54</f>
        <v>0</v>
      </c>
      <c r="EB62" s="37" t="n">
        <f aca="false">EB35-EB53-EB54</f>
        <v>0</v>
      </c>
      <c r="EC62" s="37" t="n">
        <f aca="false">EC35-EC53-EC54</f>
        <v>0</v>
      </c>
      <c r="ED62" s="37" t="n">
        <f aca="false">ED35-ED53-ED54</f>
        <v>0</v>
      </c>
      <c r="EE62" s="37" t="n">
        <f aca="false">EE35-EE53-EE54</f>
        <v>0</v>
      </c>
      <c r="EF62" s="37" t="n">
        <f aca="false">EF35-EF53-EF54</f>
        <v>0</v>
      </c>
    </row>
    <row r="63" customFormat="false" ht="15" hidden="false" customHeight="false" outlineLevel="0" collapsed="false">
      <c r="A63" s="153" t="s">
        <v>610</v>
      </c>
      <c r="B63" s="278" t="s">
        <v>21</v>
      </c>
      <c r="C63" s="279" t="n">
        <f aca="false">SUM(E63:EF63)</f>
        <v>0</v>
      </c>
      <c r="E63" s="37" t="n">
        <f aca="false">SUM(E36:E40)-E55</f>
        <v>0</v>
      </c>
      <c r="F63" s="37" t="n">
        <f aca="false">SUM(F36:F40)-F55</f>
        <v>0</v>
      </c>
      <c r="G63" s="37" t="n">
        <f aca="false">SUM(G36:G40)-G55</f>
        <v>0</v>
      </c>
      <c r="H63" s="37" t="n">
        <f aca="false">SUM(H36:H40)-H55</f>
        <v>0</v>
      </c>
      <c r="I63" s="37" t="n">
        <f aca="false">SUM(I36:I40)-I55</f>
        <v>0</v>
      </c>
      <c r="J63" s="37" t="n">
        <f aca="false">SUM(J36:J40)-J55</f>
        <v>0</v>
      </c>
      <c r="K63" s="37" t="n">
        <f aca="false">SUM(K36:K40)-K55</f>
        <v>0</v>
      </c>
      <c r="L63" s="37" t="n">
        <f aca="false">SUM(L36:L40)-L55</f>
        <v>0</v>
      </c>
      <c r="M63" s="37" t="n">
        <f aca="false">SUM(M36:M40)-M55</f>
        <v>0</v>
      </c>
      <c r="N63" s="37" t="n">
        <f aca="false">SUM(N36:N40)-N55</f>
        <v>0</v>
      </c>
      <c r="O63" s="37" t="n">
        <f aca="false">SUM(O36:O40)-O55</f>
        <v>0</v>
      </c>
      <c r="P63" s="37" t="n">
        <f aca="false">SUM(P36:P40)-P55</f>
        <v>0</v>
      </c>
      <c r="Q63" s="37" t="n">
        <f aca="false">SUM(Q36:Q40)-Q55</f>
        <v>0</v>
      </c>
      <c r="R63" s="37" t="n">
        <f aca="false">SUM(R36:R40)-R55</f>
        <v>0</v>
      </c>
      <c r="S63" s="37" t="n">
        <f aca="false">SUM(S36:S40)-S55</f>
        <v>0</v>
      </c>
      <c r="T63" s="37" t="n">
        <f aca="false">SUM(T36:T40)-T55</f>
        <v>0</v>
      </c>
      <c r="U63" s="37" t="n">
        <f aca="false">SUM(U36:U40)-U55</f>
        <v>0</v>
      </c>
      <c r="V63" s="37" t="n">
        <f aca="false">SUM(V36:V40)-V55</f>
        <v>0</v>
      </c>
      <c r="W63" s="37" t="n">
        <f aca="false">SUM(W36:W40)-W55</f>
        <v>0</v>
      </c>
      <c r="X63" s="37" t="n">
        <f aca="false">SUM(X36:X40)-X55</f>
        <v>0</v>
      </c>
      <c r="Y63" s="37" t="n">
        <f aca="false">SUM(Y36:Y40)-Y55</f>
        <v>0</v>
      </c>
      <c r="Z63" s="37" t="n">
        <f aca="false">SUM(Z36:Z40)-Z55</f>
        <v>0</v>
      </c>
      <c r="AA63" s="37" t="n">
        <f aca="false">SUM(AA36:AA40)-AA55</f>
        <v>0</v>
      </c>
      <c r="AB63" s="37" t="n">
        <f aca="false">SUM(AB36:AB40)-AB55</f>
        <v>0</v>
      </c>
      <c r="AC63" s="37" t="n">
        <f aca="false">SUM(AC36:AC40)-AC55</f>
        <v>0</v>
      </c>
      <c r="AD63" s="37" t="n">
        <f aca="false">SUM(AD36:AD40)-AD55</f>
        <v>0</v>
      </c>
      <c r="AE63" s="37" t="n">
        <f aca="false">SUM(AE36:AE40)-AE55</f>
        <v>0</v>
      </c>
      <c r="AF63" s="37" t="n">
        <f aca="false">SUM(AF36:AF40)-AF55</f>
        <v>0</v>
      </c>
      <c r="AG63" s="37" t="n">
        <f aca="false">SUM(AG36:AG40)-AG55</f>
        <v>0</v>
      </c>
      <c r="AH63" s="37" t="n">
        <f aca="false">SUM(AH36:AH40)-AH55</f>
        <v>0</v>
      </c>
      <c r="AI63" s="37" t="n">
        <f aca="false">SUM(AI36:AI40)-AI55</f>
        <v>0</v>
      </c>
      <c r="AJ63" s="37" t="n">
        <f aca="false">SUM(AJ36:AJ40)-AJ55</f>
        <v>0</v>
      </c>
      <c r="AK63" s="37" t="n">
        <f aca="false">SUM(AK36:AK40)-AK55</f>
        <v>0</v>
      </c>
      <c r="AL63" s="37" t="n">
        <f aca="false">SUM(AL36:AL40)-AL55</f>
        <v>0</v>
      </c>
      <c r="AM63" s="37" t="n">
        <f aca="false">SUM(AM36:AM40)-AM55</f>
        <v>0</v>
      </c>
      <c r="AN63" s="37" t="n">
        <f aca="false">SUM(AN36:AN40)-AN55</f>
        <v>0</v>
      </c>
      <c r="AO63" s="37" t="n">
        <f aca="false">SUM(AO36:AO40)-AO55</f>
        <v>0</v>
      </c>
      <c r="AP63" s="37" t="n">
        <f aca="false">SUM(AP36:AP40)-AP55</f>
        <v>0</v>
      </c>
      <c r="AQ63" s="37" t="n">
        <f aca="false">SUM(AQ36:AQ40)-AQ55</f>
        <v>0</v>
      </c>
      <c r="AR63" s="37" t="n">
        <f aca="false">SUM(AR36:AR40)-AR55</f>
        <v>0</v>
      </c>
      <c r="AS63" s="37" t="n">
        <f aca="false">SUM(AS36:AS40)-AS55</f>
        <v>0</v>
      </c>
      <c r="AT63" s="37" t="n">
        <f aca="false">SUM(AT36:AT40)-AT55</f>
        <v>0</v>
      </c>
      <c r="AU63" s="37" t="n">
        <f aca="false">SUM(AU36:AU40)-AU55</f>
        <v>0</v>
      </c>
      <c r="AV63" s="37" t="n">
        <f aca="false">SUM(AV36:AV40)-AV55</f>
        <v>0</v>
      </c>
      <c r="AW63" s="37" t="n">
        <f aca="false">SUM(AW36:AW40)-AW55</f>
        <v>0</v>
      </c>
      <c r="AX63" s="37" t="n">
        <f aca="false">SUM(AX36:AX40)-AX55</f>
        <v>0</v>
      </c>
      <c r="AY63" s="37" t="n">
        <f aca="false">SUM(AY36:AY40)-AY55</f>
        <v>0</v>
      </c>
      <c r="AZ63" s="37" t="n">
        <f aca="false">SUM(AZ36:AZ40)-AZ55</f>
        <v>0</v>
      </c>
      <c r="BA63" s="37" t="n">
        <f aca="false">SUM(BA36:BA40)-BA55</f>
        <v>0</v>
      </c>
      <c r="BB63" s="37" t="n">
        <f aca="false">SUM(BB36:BB40)-BB55</f>
        <v>0</v>
      </c>
      <c r="BC63" s="37" t="n">
        <f aca="false">SUM(BC36:BC40)-BC55</f>
        <v>0</v>
      </c>
      <c r="BD63" s="37" t="n">
        <f aca="false">SUM(BD36:BD40)-BD55</f>
        <v>0</v>
      </c>
      <c r="BE63" s="37" t="n">
        <f aca="false">SUM(BE36:BE40)-BE55</f>
        <v>0</v>
      </c>
      <c r="BF63" s="37" t="n">
        <f aca="false">SUM(BF36:BF40)-BF55</f>
        <v>0</v>
      </c>
      <c r="BG63" s="37" t="n">
        <f aca="false">SUM(BG36:BG40)-BG55</f>
        <v>0</v>
      </c>
      <c r="BH63" s="37" t="n">
        <f aca="false">SUM(BH36:BH40)-BH55</f>
        <v>0</v>
      </c>
      <c r="BI63" s="37" t="n">
        <f aca="false">SUM(BI36:BI40)-BI55</f>
        <v>0</v>
      </c>
      <c r="BJ63" s="37" t="n">
        <f aca="false">SUM(BJ36:BJ40)-BJ55</f>
        <v>0</v>
      </c>
      <c r="BK63" s="37" t="n">
        <f aca="false">SUM(BK36:BK40)-BK55</f>
        <v>0</v>
      </c>
      <c r="BL63" s="37" t="n">
        <f aca="false">SUM(BL36:BL40)-BL55</f>
        <v>0</v>
      </c>
      <c r="BM63" s="37" t="n">
        <f aca="false">SUM(BM36:BM40)-BM55</f>
        <v>0</v>
      </c>
      <c r="BN63" s="37" t="n">
        <f aca="false">SUM(BN36:BN40)-BN55</f>
        <v>0</v>
      </c>
      <c r="BO63" s="37" t="n">
        <f aca="false">SUM(BO36:BO40)-BO55</f>
        <v>0</v>
      </c>
      <c r="BP63" s="37" t="n">
        <f aca="false">SUM(BP36:BP40)-BP55</f>
        <v>0</v>
      </c>
      <c r="BQ63" s="37" t="n">
        <f aca="false">SUM(BQ36:BQ40)-BQ55</f>
        <v>0</v>
      </c>
      <c r="BR63" s="37" t="n">
        <f aca="false">SUM(BR36:BR40)-BR55</f>
        <v>0</v>
      </c>
      <c r="BS63" s="37" t="n">
        <f aca="false">SUM(BS36:BS40)-BS55</f>
        <v>0</v>
      </c>
      <c r="BT63" s="37" t="n">
        <f aca="false">SUM(BT36:BT40)-BT55</f>
        <v>0</v>
      </c>
      <c r="BU63" s="37" t="n">
        <f aca="false">SUM(BU36:BU40)-BU55</f>
        <v>0</v>
      </c>
      <c r="BV63" s="37" t="n">
        <f aca="false">SUM(BV36:BV40)-BV55</f>
        <v>0</v>
      </c>
      <c r="BW63" s="37" t="n">
        <f aca="false">SUM(BW36:BW40)-BW55</f>
        <v>0</v>
      </c>
      <c r="BX63" s="37" t="n">
        <f aca="false">SUM(BX36:BX40)-BX55</f>
        <v>0</v>
      </c>
      <c r="BY63" s="37" t="n">
        <f aca="false">SUM(BY36:BY40)-BY55</f>
        <v>0</v>
      </c>
      <c r="BZ63" s="37" t="n">
        <f aca="false">SUM(BZ36:BZ40)-BZ55</f>
        <v>0</v>
      </c>
      <c r="CA63" s="37" t="n">
        <f aca="false">SUM(CA36:CA40)-CA55</f>
        <v>0</v>
      </c>
      <c r="CB63" s="37" t="n">
        <f aca="false">SUM(CB36:CB40)-CB55</f>
        <v>0</v>
      </c>
      <c r="CC63" s="37" t="n">
        <f aca="false">SUM(CC36:CC40)-CC55</f>
        <v>0</v>
      </c>
      <c r="CD63" s="37" t="n">
        <f aca="false">SUM(CD36:CD40)-CD55</f>
        <v>0</v>
      </c>
      <c r="CE63" s="37" t="n">
        <f aca="false">SUM(CE36:CE40)-CE55</f>
        <v>0</v>
      </c>
      <c r="CF63" s="37" t="n">
        <f aca="false">SUM(CF36:CF40)-CF55</f>
        <v>0</v>
      </c>
      <c r="CG63" s="37" t="n">
        <f aca="false">SUM(CG36:CG40)-CG55</f>
        <v>0</v>
      </c>
      <c r="CH63" s="37" t="n">
        <f aca="false">SUM(CH36:CH40)-CH55</f>
        <v>0</v>
      </c>
      <c r="CI63" s="37" t="n">
        <f aca="false">SUM(CI36:CI40)-CI55</f>
        <v>0</v>
      </c>
      <c r="CJ63" s="37" t="n">
        <f aca="false">SUM(CJ36:CJ40)-CJ55</f>
        <v>0</v>
      </c>
      <c r="CK63" s="37" t="n">
        <f aca="false">SUM(CK36:CK40)-CK55</f>
        <v>0</v>
      </c>
      <c r="CL63" s="37" t="n">
        <f aca="false">SUM(CL36:CL40)-CL55</f>
        <v>0</v>
      </c>
      <c r="CM63" s="37" t="n">
        <f aca="false">SUM(CM36:CM40)-CM55</f>
        <v>0</v>
      </c>
      <c r="CN63" s="37" t="n">
        <f aca="false">SUM(CN36:CN40)-CN55</f>
        <v>0</v>
      </c>
      <c r="CO63" s="37" t="n">
        <f aca="false">SUM(CO36:CO40)-CO55</f>
        <v>0</v>
      </c>
      <c r="CP63" s="37" t="n">
        <f aca="false">SUM(CP36:CP40)-CP55</f>
        <v>0</v>
      </c>
      <c r="CQ63" s="37" t="n">
        <f aca="false">SUM(CQ36:CQ40)-CQ55</f>
        <v>0</v>
      </c>
      <c r="CR63" s="37" t="n">
        <f aca="false">SUM(CR36:CR40)-CR55</f>
        <v>0</v>
      </c>
      <c r="CS63" s="37" t="n">
        <f aca="false">SUM(CS36:CS40)-CS55</f>
        <v>0</v>
      </c>
      <c r="CT63" s="37" t="n">
        <f aca="false">SUM(CT36:CT40)-CT55</f>
        <v>0</v>
      </c>
      <c r="CU63" s="37" t="n">
        <f aca="false">SUM(CU36:CU40)-CU55</f>
        <v>0</v>
      </c>
      <c r="CV63" s="37" t="n">
        <f aca="false">SUM(CV36:CV40)-CV55</f>
        <v>0</v>
      </c>
      <c r="CW63" s="37" t="n">
        <f aca="false">SUM(CW36:CW40)-CW55</f>
        <v>0</v>
      </c>
      <c r="CX63" s="37" t="n">
        <f aca="false">SUM(CX36:CX40)-CX55</f>
        <v>0</v>
      </c>
      <c r="CY63" s="37" t="n">
        <f aca="false">SUM(CY36:CY40)-CY55</f>
        <v>0</v>
      </c>
      <c r="CZ63" s="37" t="n">
        <f aca="false">SUM(CZ36:CZ40)-CZ55</f>
        <v>0</v>
      </c>
      <c r="DA63" s="37" t="n">
        <f aca="false">SUM(DA36:DA40)-DA55</f>
        <v>0</v>
      </c>
      <c r="DB63" s="37" t="n">
        <f aca="false">SUM(DB36:DB40)-DB55</f>
        <v>0</v>
      </c>
      <c r="DC63" s="37" t="n">
        <f aca="false">SUM(DC36:DC40)-DC55</f>
        <v>0</v>
      </c>
      <c r="DD63" s="37" t="n">
        <f aca="false">SUM(DD36:DD40)-DD55</f>
        <v>0</v>
      </c>
      <c r="DE63" s="37" t="n">
        <f aca="false">SUM(DE36:DE40)-DE55</f>
        <v>0</v>
      </c>
      <c r="DF63" s="37" t="n">
        <f aca="false">SUM(DF36:DF40)-DF55</f>
        <v>0</v>
      </c>
      <c r="DG63" s="37" t="n">
        <f aca="false">SUM(DG36:DG40)-DG55</f>
        <v>0</v>
      </c>
      <c r="DH63" s="37" t="n">
        <f aca="false">SUM(DH36:DH40)-DH55</f>
        <v>0</v>
      </c>
      <c r="DI63" s="37" t="n">
        <f aca="false">SUM(DI36:DI40)-DI55</f>
        <v>0</v>
      </c>
      <c r="DJ63" s="37" t="n">
        <f aca="false">SUM(DJ36:DJ40)-DJ55</f>
        <v>0</v>
      </c>
      <c r="DK63" s="37" t="n">
        <f aca="false">SUM(DK36:DK40)-DK55</f>
        <v>0</v>
      </c>
      <c r="DL63" s="37" t="n">
        <f aca="false">SUM(DL36:DL40)-DL55</f>
        <v>0</v>
      </c>
      <c r="DM63" s="37" t="n">
        <f aca="false">SUM(DM36:DM40)-DM55</f>
        <v>0</v>
      </c>
      <c r="DN63" s="37" t="n">
        <f aca="false">SUM(DN36:DN40)-DN55</f>
        <v>0</v>
      </c>
      <c r="DO63" s="37" t="n">
        <f aca="false">SUM(DO36:DO40)-DO55</f>
        <v>0</v>
      </c>
      <c r="DP63" s="37" t="n">
        <f aca="false">SUM(DP36:DP40)-DP55</f>
        <v>0</v>
      </c>
      <c r="DQ63" s="37" t="n">
        <f aca="false">SUM(DQ36:DQ40)-DQ55</f>
        <v>0</v>
      </c>
      <c r="DR63" s="37" t="n">
        <f aca="false">SUM(DR36:DR40)-DR55</f>
        <v>0</v>
      </c>
      <c r="DS63" s="37" t="n">
        <f aca="false">SUM(DS36:DS40)-DS55</f>
        <v>0</v>
      </c>
      <c r="DT63" s="37" t="n">
        <f aca="false">SUM(DT36:DT40)-DT55</f>
        <v>0</v>
      </c>
      <c r="DU63" s="37" t="n">
        <f aca="false">SUM(DU36:DU40)-DU55</f>
        <v>0</v>
      </c>
      <c r="DV63" s="37" t="n">
        <f aca="false">SUM(DV36:DV40)-DV55</f>
        <v>0</v>
      </c>
      <c r="DW63" s="37" t="n">
        <f aca="false">SUM(DW36:DW40)-DW55</f>
        <v>0</v>
      </c>
      <c r="DX63" s="37" t="n">
        <f aca="false">SUM(DX36:DX40)-DX55</f>
        <v>0</v>
      </c>
      <c r="DY63" s="37" t="n">
        <f aca="false">SUM(DY36:DY40)-DY55</f>
        <v>0</v>
      </c>
      <c r="DZ63" s="37" t="n">
        <f aca="false">SUM(DZ36:DZ40)-DZ55</f>
        <v>0</v>
      </c>
      <c r="EA63" s="37" t="n">
        <f aca="false">SUM(EA36:EA40)-EA55</f>
        <v>0</v>
      </c>
      <c r="EB63" s="37" t="n">
        <f aca="false">SUM(EB36:EB40)-EB55</f>
        <v>0</v>
      </c>
      <c r="EC63" s="37" t="n">
        <f aca="false">SUM(EC36:EC40)-EC55</f>
        <v>0</v>
      </c>
      <c r="ED63" s="37" t="n">
        <f aca="false">SUM(ED36:ED40)-ED55</f>
        <v>0</v>
      </c>
      <c r="EE63" s="37" t="n">
        <f aca="false">SUM(EE36:EE40)-EE55</f>
        <v>0</v>
      </c>
      <c r="EF63" s="37" t="n">
        <f aca="false">SUM(EF36:EF40)-EF55</f>
        <v>0</v>
      </c>
    </row>
    <row r="64" customFormat="false" ht="15" hidden="false" customHeight="false" outlineLevel="0" collapsed="false">
      <c r="A64" s="284" t="s">
        <v>45</v>
      </c>
      <c r="B64" s="281" t="s">
        <v>21</v>
      </c>
      <c r="C64" s="282" t="n">
        <f aca="false">SUM(E64:EF64)</f>
        <v>32621.51164802</v>
      </c>
      <c r="D64" s="48"/>
      <c r="E64" s="283" t="n">
        <f aca="false">SUM(E59:E63)</f>
        <v>0</v>
      </c>
      <c r="F64" s="283" t="n">
        <f aca="false">SUM(F59:F63)</f>
        <v>0</v>
      </c>
      <c r="G64" s="283" t="n">
        <f aca="false">SUM(G59:G63)</f>
        <v>0</v>
      </c>
      <c r="H64" s="283" t="n">
        <f aca="false">SUM(H59:H63)</f>
        <v>0</v>
      </c>
      <c r="I64" s="283" t="n">
        <f aca="false">SUM(I59:I63)</f>
        <v>0</v>
      </c>
      <c r="J64" s="283" t="n">
        <f aca="false">SUM(J59:J63)</f>
        <v>0</v>
      </c>
      <c r="K64" s="283" t="n">
        <f aca="false">SUM(K59:K63)</f>
        <v>0</v>
      </c>
      <c r="L64" s="283" t="n">
        <f aca="false">SUM(L59:L63)</f>
        <v>0</v>
      </c>
      <c r="M64" s="283" t="n">
        <f aca="false">SUM(M59:M63)</f>
        <v>0</v>
      </c>
      <c r="N64" s="283" t="n">
        <f aca="false">SUM(N59:N63)</f>
        <v>0</v>
      </c>
      <c r="O64" s="283" t="n">
        <f aca="false">SUM(O59:O63)</f>
        <v>0</v>
      </c>
      <c r="P64" s="283" t="n">
        <f aca="false">SUM(P59:P63)</f>
        <v>0</v>
      </c>
      <c r="Q64" s="283" t="n">
        <f aca="false">SUM(Q59:Q63)</f>
        <v>0</v>
      </c>
      <c r="R64" s="283" t="n">
        <f aca="false">SUM(R59:R63)</f>
        <v>0</v>
      </c>
      <c r="S64" s="283" t="n">
        <f aca="false">SUM(S59:S63)</f>
        <v>0</v>
      </c>
      <c r="T64" s="283" t="n">
        <f aca="false">SUM(T59:T63)</f>
        <v>0</v>
      </c>
      <c r="U64" s="283" t="n">
        <f aca="false">SUM(U59:U63)</f>
        <v>0</v>
      </c>
      <c r="V64" s="283" t="n">
        <f aca="false">SUM(V59:V63)</f>
        <v>0</v>
      </c>
      <c r="W64" s="283" t="n">
        <f aca="false">SUM(W59:W63)</f>
        <v>0</v>
      </c>
      <c r="X64" s="283" t="n">
        <f aca="false">SUM(X59:X63)</f>
        <v>0</v>
      </c>
      <c r="Y64" s="283" t="n">
        <f aca="false">SUM(Y59:Y63)</f>
        <v>0</v>
      </c>
      <c r="Z64" s="283" t="n">
        <f aca="false">SUM(Z59:Z63)</f>
        <v>0</v>
      </c>
      <c r="AA64" s="283" t="n">
        <f aca="false">SUM(AA59:AA63)</f>
        <v>0</v>
      </c>
      <c r="AB64" s="283" t="n">
        <f aca="false">SUM(AB59:AB63)</f>
        <v>0</v>
      </c>
      <c r="AC64" s="283" t="n">
        <f aca="false">SUM(AC59:AC63)</f>
        <v>0</v>
      </c>
      <c r="AD64" s="283" t="n">
        <f aca="false">SUM(AD59:AD63)</f>
        <v>0</v>
      </c>
      <c r="AE64" s="283" t="n">
        <f aca="false">SUM(AE59:AE63)</f>
        <v>0</v>
      </c>
      <c r="AF64" s="283" t="n">
        <f aca="false">SUM(AF59:AF63)</f>
        <v>0</v>
      </c>
      <c r="AG64" s="283" t="n">
        <f aca="false">SUM(AG59:AG63)</f>
        <v>0</v>
      </c>
      <c r="AH64" s="283" t="n">
        <f aca="false">SUM(AH59:AH63)</f>
        <v>0</v>
      </c>
      <c r="AI64" s="283" t="n">
        <f aca="false">SUM(AI59:AI63)</f>
        <v>0</v>
      </c>
      <c r="AJ64" s="283" t="n">
        <f aca="false">SUM(AJ59:AJ63)</f>
        <v>0</v>
      </c>
      <c r="AK64" s="283" t="n">
        <f aca="false">SUM(AK59:AK63)</f>
        <v>0</v>
      </c>
      <c r="AL64" s="283" t="n">
        <f aca="false">SUM(AL59:AL63)</f>
        <v>0</v>
      </c>
      <c r="AM64" s="283" t="n">
        <f aca="false">SUM(AM59:AM63)</f>
        <v>0</v>
      </c>
      <c r="AN64" s="283" t="n">
        <f aca="false">SUM(AN59:AN63)</f>
        <v>0</v>
      </c>
      <c r="AO64" s="283" t="n">
        <f aca="false">SUM(AO59:AO63)</f>
        <v>0</v>
      </c>
      <c r="AP64" s="283" t="n">
        <f aca="false">SUM(AP59:AP63)</f>
        <v>0</v>
      </c>
      <c r="AQ64" s="283" t="n">
        <f aca="false">SUM(AQ59:AQ63)</f>
        <v>0</v>
      </c>
      <c r="AR64" s="283" t="n">
        <f aca="false">SUM(AR59:AR63)</f>
        <v>0</v>
      </c>
      <c r="AS64" s="283" t="n">
        <f aca="false">SUM(AS59:AS63)</f>
        <v>0</v>
      </c>
      <c r="AT64" s="283" t="n">
        <f aca="false">SUM(AT59:AT63)</f>
        <v>0</v>
      </c>
      <c r="AU64" s="283" t="n">
        <f aca="false">SUM(AU59:AU63)</f>
        <v>0</v>
      </c>
      <c r="AV64" s="283" t="n">
        <f aca="false">SUM(AV59:AV63)</f>
        <v>0</v>
      </c>
      <c r="AW64" s="283" t="n">
        <f aca="false">SUM(AW59:AW63)</f>
        <v>0</v>
      </c>
      <c r="AX64" s="283" t="n">
        <f aca="false">SUM(AX59:AX63)</f>
        <v>0</v>
      </c>
      <c r="AY64" s="283" t="n">
        <f aca="false">SUM(AY59:AY63)</f>
        <v>0</v>
      </c>
      <c r="AZ64" s="283" t="n">
        <f aca="false">SUM(AZ59:AZ63)</f>
        <v>0</v>
      </c>
      <c r="BA64" s="283" t="n">
        <f aca="false">SUM(BA59:BA63)</f>
        <v>0</v>
      </c>
      <c r="BB64" s="283" t="n">
        <f aca="false">SUM(BB59:BB63)</f>
        <v>0</v>
      </c>
      <c r="BC64" s="283" t="n">
        <f aca="false">SUM(BC59:BC63)</f>
        <v>0</v>
      </c>
      <c r="BD64" s="283" t="n">
        <f aca="false">SUM(BD59:BD63)</f>
        <v>0</v>
      </c>
      <c r="BE64" s="283" t="n">
        <f aca="false">SUM(BE59:BE63)</f>
        <v>0</v>
      </c>
      <c r="BF64" s="283" t="n">
        <f aca="false">SUM(BF59:BF63)</f>
        <v>0</v>
      </c>
      <c r="BG64" s="283" t="n">
        <f aca="false">SUM(BG59:BG63)</f>
        <v>0</v>
      </c>
      <c r="BH64" s="283" t="n">
        <f aca="false">SUM(BH59:BH63)</f>
        <v>0</v>
      </c>
      <c r="BI64" s="283" t="n">
        <f aca="false">SUM(BI59:BI63)</f>
        <v>0</v>
      </c>
      <c r="BJ64" s="283" t="n">
        <f aca="false">SUM(BJ59:BJ63)</f>
        <v>0</v>
      </c>
      <c r="BK64" s="283" t="n">
        <f aca="false">SUM(BK59:BK63)</f>
        <v>0</v>
      </c>
      <c r="BL64" s="283" t="n">
        <f aca="false">SUM(BL59:BL63)</f>
        <v>0</v>
      </c>
      <c r="BM64" s="283" t="n">
        <f aca="false">SUM(BM59:BM63)</f>
        <v>459.1644</v>
      </c>
      <c r="BN64" s="283" t="n">
        <f aca="false">SUM(BN59:BN63)</f>
        <v>459.1644</v>
      </c>
      <c r="BO64" s="283" t="n">
        <f aca="false">SUM(BO59:BO63)</f>
        <v>459.1644</v>
      </c>
      <c r="BP64" s="283" t="n">
        <f aca="false">SUM(BP59:BP63)</f>
        <v>459.1644</v>
      </c>
      <c r="BQ64" s="283" t="n">
        <f aca="false">SUM(BQ59:BQ63)</f>
        <v>459.1644</v>
      </c>
      <c r="BR64" s="283" t="n">
        <f aca="false">SUM(BR59:BR63)</f>
        <v>459.1644</v>
      </c>
      <c r="BS64" s="283" t="n">
        <f aca="false">SUM(BS59:BS63)</f>
        <v>459.1644</v>
      </c>
      <c r="BT64" s="283" t="n">
        <f aca="false">SUM(BT59:BT63)</f>
        <v>459.1644</v>
      </c>
      <c r="BU64" s="283" t="n">
        <f aca="false">SUM(BU59:BU63)</f>
        <v>459.1644</v>
      </c>
      <c r="BV64" s="283" t="n">
        <f aca="false">SUM(BV59:BV63)</f>
        <v>459.1644</v>
      </c>
      <c r="BW64" s="283" t="n">
        <f aca="false">SUM(BW59:BW63)</f>
        <v>459.1644</v>
      </c>
      <c r="BX64" s="283" t="n">
        <f aca="false">SUM(BX59:BX63)</f>
        <v>459.1644</v>
      </c>
      <c r="BY64" s="283" t="n">
        <f aca="false">SUM(BY59:BY63)</f>
        <v>548.158608</v>
      </c>
      <c r="BZ64" s="283" t="n">
        <f aca="false">SUM(BZ59:BZ63)</f>
        <v>548.158608</v>
      </c>
      <c r="CA64" s="283" t="n">
        <f aca="false">SUM(CA59:CA63)</f>
        <v>548.158608</v>
      </c>
      <c r="CB64" s="283" t="n">
        <f aca="false">SUM(CB59:CB63)</f>
        <v>548.158608</v>
      </c>
      <c r="CC64" s="283" t="n">
        <f aca="false">SUM(CC59:CC63)</f>
        <v>548.158608</v>
      </c>
      <c r="CD64" s="283" t="n">
        <f aca="false">SUM(CD59:CD63)</f>
        <v>548.158608</v>
      </c>
      <c r="CE64" s="283" t="n">
        <f aca="false">SUM(CE59:CE63)</f>
        <v>548.158608</v>
      </c>
      <c r="CF64" s="283" t="n">
        <f aca="false">SUM(CF59:CF63)</f>
        <v>548.158608</v>
      </c>
      <c r="CG64" s="283" t="n">
        <f aca="false">SUM(CG59:CG63)</f>
        <v>548.158608</v>
      </c>
      <c r="CH64" s="283" t="n">
        <f aca="false">SUM(CH59:CH63)</f>
        <v>548.158608</v>
      </c>
      <c r="CI64" s="283" t="n">
        <f aca="false">SUM(CI59:CI63)</f>
        <v>548.158608</v>
      </c>
      <c r="CJ64" s="283" t="n">
        <f aca="false">SUM(CJ59:CJ63)</f>
        <v>548.158608</v>
      </c>
      <c r="CK64" s="283" t="n">
        <f aca="false">SUM(CK59:CK63)</f>
        <v>559.12178016</v>
      </c>
      <c r="CL64" s="283" t="n">
        <f aca="false">SUM(CL59:CL63)</f>
        <v>559.12178016</v>
      </c>
      <c r="CM64" s="283" t="n">
        <f aca="false">SUM(CM59:CM63)</f>
        <v>559.12178016</v>
      </c>
      <c r="CN64" s="283" t="n">
        <f aca="false">SUM(CN59:CN63)</f>
        <v>559.12178016</v>
      </c>
      <c r="CO64" s="283" t="n">
        <f aca="false">SUM(CO59:CO63)</f>
        <v>559.12178016</v>
      </c>
      <c r="CP64" s="283" t="n">
        <f aca="false">SUM(CP59:CP63)</f>
        <v>559.12178016</v>
      </c>
      <c r="CQ64" s="283" t="n">
        <f aca="false">SUM(CQ59:CQ63)</f>
        <v>559.12178016</v>
      </c>
      <c r="CR64" s="283" t="n">
        <f aca="false">SUM(CR59:CR63)</f>
        <v>559.12178016</v>
      </c>
      <c r="CS64" s="283" t="n">
        <f aca="false">SUM(CS59:CS63)</f>
        <v>559.12178016</v>
      </c>
      <c r="CT64" s="283" t="n">
        <f aca="false">SUM(CT59:CT63)</f>
        <v>559.12178016</v>
      </c>
      <c r="CU64" s="283" t="n">
        <f aca="false">SUM(CU59:CU63)</f>
        <v>559.12178016</v>
      </c>
      <c r="CV64" s="283" t="n">
        <f aca="false">SUM(CV59:CV63)</f>
        <v>559.12178016</v>
      </c>
      <c r="CW64" s="283" t="n">
        <f aca="false">SUM(CW59:CW63)</f>
        <v>570.3042157632</v>
      </c>
      <c r="CX64" s="283" t="n">
        <f aca="false">SUM(CX59:CX63)</f>
        <v>570.3042157632</v>
      </c>
      <c r="CY64" s="283" t="n">
        <f aca="false">SUM(CY59:CY63)</f>
        <v>570.3042157632</v>
      </c>
      <c r="CZ64" s="283" t="n">
        <f aca="false">SUM(CZ59:CZ63)</f>
        <v>570.3042157632</v>
      </c>
      <c r="DA64" s="283" t="n">
        <f aca="false">SUM(DA59:DA63)</f>
        <v>570.3042157632</v>
      </c>
      <c r="DB64" s="283" t="n">
        <f aca="false">SUM(DB59:DB63)</f>
        <v>570.3042157632</v>
      </c>
      <c r="DC64" s="283" t="n">
        <f aca="false">SUM(DC59:DC63)</f>
        <v>570.3042157632</v>
      </c>
      <c r="DD64" s="283" t="n">
        <f aca="false">SUM(DD59:DD63)</f>
        <v>570.3042157632</v>
      </c>
      <c r="DE64" s="283" t="n">
        <f aca="false">SUM(DE59:DE63)</f>
        <v>570.3042157632</v>
      </c>
      <c r="DF64" s="283" t="n">
        <f aca="false">SUM(DF59:DF63)</f>
        <v>570.3042157632</v>
      </c>
      <c r="DG64" s="283" t="n">
        <f aca="false">SUM(DG59:DG63)</f>
        <v>570.3042157632</v>
      </c>
      <c r="DH64" s="283" t="n">
        <f aca="false">SUM(DH59:DH63)</f>
        <v>570.3042157632</v>
      </c>
      <c r="DI64" s="283" t="n">
        <f aca="false">SUM(DI59:DI63)</f>
        <v>581.710300078464</v>
      </c>
      <c r="DJ64" s="283" t="n">
        <f aca="false">SUM(DJ59:DJ63)</f>
        <v>581.710300078464</v>
      </c>
      <c r="DK64" s="283" t="n">
        <f aca="false">SUM(DK59:DK63)</f>
        <v>581.710300078464</v>
      </c>
      <c r="DL64" s="283" t="n">
        <f aca="false">SUM(DL59:DL63)</f>
        <v>581.710300078464</v>
      </c>
      <c r="DM64" s="283" t="n">
        <f aca="false">SUM(DM59:DM63)</f>
        <v>581.710300078464</v>
      </c>
      <c r="DN64" s="283" t="n">
        <f aca="false">SUM(DN59:DN63)</f>
        <v>581.710300078464</v>
      </c>
      <c r="DO64" s="283" t="n">
        <f aca="false">SUM(DO59:DO63)</f>
        <v>581.710300078464</v>
      </c>
      <c r="DP64" s="283" t="n">
        <f aca="false">SUM(DP59:DP63)</f>
        <v>581.710300078464</v>
      </c>
      <c r="DQ64" s="283" t="n">
        <f aca="false">SUM(DQ59:DQ63)</f>
        <v>581.710300078464</v>
      </c>
      <c r="DR64" s="283" t="n">
        <f aca="false">SUM(DR59:DR63)</f>
        <v>581.710300078464</v>
      </c>
      <c r="DS64" s="283" t="n">
        <f aca="false">SUM(DS59:DS63)</f>
        <v>581.710300078464</v>
      </c>
      <c r="DT64" s="283" t="n">
        <f aca="false">SUM(DT59:DT63)</f>
        <v>581.710300078464</v>
      </c>
      <c r="DU64" s="283" t="n">
        <f aca="false">SUM(DU59:DU63)</f>
        <v>0</v>
      </c>
      <c r="DV64" s="283" t="n">
        <f aca="false">SUM(DV59:DV63)</f>
        <v>0</v>
      </c>
      <c r="DW64" s="283" t="n">
        <f aca="false">SUM(DW59:DW63)</f>
        <v>0</v>
      </c>
      <c r="DX64" s="283" t="n">
        <f aca="false">SUM(DX59:DX63)</f>
        <v>0</v>
      </c>
      <c r="DY64" s="283" t="n">
        <f aca="false">SUM(DY59:DY63)</f>
        <v>0</v>
      </c>
      <c r="DZ64" s="283" t="n">
        <f aca="false">SUM(DZ59:DZ63)</f>
        <v>0</v>
      </c>
      <c r="EA64" s="283" t="n">
        <f aca="false">SUM(EA59:EA63)</f>
        <v>0</v>
      </c>
      <c r="EB64" s="283" t="n">
        <f aca="false">SUM(EB59:EB63)</f>
        <v>0</v>
      </c>
      <c r="EC64" s="283" t="n">
        <f aca="false">SUM(EC59:EC63)</f>
        <v>0</v>
      </c>
      <c r="ED64" s="283" t="n">
        <f aca="false">SUM(ED59:ED63)</f>
        <v>0</v>
      </c>
      <c r="EE64" s="283" t="n">
        <f aca="false">SUM(EE59:EE63)</f>
        <v>0</v>
      </c>
      <c r="EF64" s="283" t="n">
        <f aca="false">SUM(EF59:EF63)</f>
        <v>0</v>
      </c>
    </row>
    <row r="66" customFormat="false" ht="15" hidden="false" customHeight="false" outlineLevel="0" collapsed="false">
      <c r="A66" s="6" t="s">
        <v>611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</row>
    <row r="67" customFormat="false" ht="15" hidden="false" customHeight="false" outlineLevel="0" collapsed="false">
      <c r="A67" s="36" t="s">
        <v>612</v>
      </c>
      <c r="B67" s="278" t="s">
        <v>21</v>
      </c>
      <c r="C67" s="279" t="n">
        <f aca="false">SUM(E67:EF67)</f>
        <v>2155.23832581137</v>
      </c>
      <c r="E67" s="37" t="n">
        <f aca="false">(E14=1)*②시니어_가정!$E$265*②시니어_가정!$I$39/1000000*(1+②시니어_가정!$E$270)^(MAX(E16,1)-1)</f>
        <v>0</v>
      </c>
      <c r="F67" s="37" t="n">
        <f aca="false">(F14=1)*②시니어_가정!$E$265*②시니어_가정!$I$39/1000000*(1+②시니어_가정!$E$270)^(MAX(F16,1)-1)</f>
        <v>0</v>
      </c>
      <c r="G67" s="37" t="n">
        <f aca="false">(G14=1)*②시니어_가정!$E$265*②시니어_가정!$I$39/1000000*(1+②시니어_가정!$E$270)^(MAX(G16,1)-1)</f>
        <v>0</v>
      </c>
      <c r="H67" s="37" t="n">
        <f aca="false">(H14=1)*②시니어_가정!$E$265*②시니어_가정!$I$39/1000000*(1+②시니어_가정!$E$270)^(MAX(H16,1)-1)</f>
        <v>0</v>
      </c>
      <c r="I67" s="37" t="n">
        <f aca="false">(I14=1)*②시니어_가정!$E$265*②시니어_가정!$I$39/1000000*(1+②시니어_가정!$E$270)^(MAX(I16,1)-1)</f>
        <v>0</v>
      </c>
      <c r="J67" s="37" t="n">
        <f aca="false">(J14=1)*②시니어_가정!$E$265*②시니어_가정!$I$39/1000000*(1+②시니어_가정!$E$270)^(MAX(J16,1)-1)</f>
        <v>0</v>
      </c>
      <c r="K67" s="37" t="n">
        <f aca="false">(K14=1)*②시니어_가정!$E$265*②시니어_가정!$I$39/1000000*(1+②시니어_가정!$E$270)^(MAX(K16,1)-1)</f>
        <v>0</v>
      </c>
      <c r="L67" s="37" t="n">
        <f aca="false">(L14=1)*②시니어_가정!$E$265*②시니어_가정!$I$39/1000000*(1+②시니어_가정!$E$270)^(MAX(L16,1)-1)</f>
        <v>0</v>
      </c>
      <c r="M67" s="37" t="n">
        <f aca="false">(M14=1)*②시니어_가정!$E$265*②시니어_가정!$I$39/1000000*(1+②시니어_가정!$E$270)^(MAX(M16,1)-1)</f>
        <v>0</v>
      </c>
      <c r="N67" s="37" t="n">
        <f aca="false">(N14=1)*②시니어_가정!$E$265*②시니어_가정!$I$39/1000000*(1+②시니어_가정!$E$270)^(MAX(N16,1)-1)</f>
        <v>0</v>
      </c>
      <c r="O67" s="37" t="n">
        <f aca="false">(O14=1)*②시니어_가정!$E$265*②시니어_가정!$I$39/1000000*(1+②시니어_가정!$E$270)^(MAX(O16,1)-1)</f>
        <v>0</v>
      </c>
      <c r="P67" s="37" t="n">
        <f aca="false">(P14=1)*②시니어_가정!$E$265*②시니어_가정!$I$39/1000000*(1+②시니어_가정!$E$270)^(MAX(P16,1)-1)</f>
        <v>0</v>
      </c>
      <c r="Q67" s="37" t="n">
        <f aca="false">(Q14=1)*②시니어_가정!$E$265*②시니어_가정!$I$39/1000000*(1+②시니어_가정!$E$270)^(MAX(Q16,1)-1)</f>
        <v>0</v>
      </c>
      <c r="R67" s="37" t="n">
        <f aca="false">(R14=1)*②시니어_가정!$E$265*②시니어_가정!$I$39/1000000*(1+②시니어_가정!$E$270)^(MAX(R16,1)-1)</f>
        <v>0</v>
      </c>
      <c r="S67" s="37" t="n">
        <f aca="false">(S14=1)*②시니어_가정!$E$265*②시니어_가정!$I$39/1000000*(1+②시니어_가정!$E$270)^(MAX(S16,1)-1)</f>
        <v>0</v>
      </c>
      <c r="T67" s="37" t="n">
        <f aca="false">(T14=1)*②시니어_가정!$E$265*②시니어_가정!$I$39/1000000*(1+②시니어_가정!$E$270)^(MAX(T16,1)-1)</f>
        <v>0</v>
      </c>
      <c r="U67" s="37" t="n">
        <f aca="false">(U14=1)*②시니어_가정!$E$265*②시니어_가정!$I$39/1000000*(1+②시니어_가정!$E$270)^(MAX(U16,1)-1)</f>
        <v>0</v>
      </c>
      <c r="V67" s="37" t="n">
        <f aca="false">(V14=1)*②시니어_가정!$E$265*②시니어_가정!$I$39/1000000*(1+②시니어_가정!$E$270)^(MAX(V16,1)-1)</f>
        <v>0</v>
      </c>
      <c r="W67" s="37" t="n">
        <f aca="false">(W14=1)*②시니어_가정!$E$265*②시니어_가정!$I$39/1000000*(1+②시니어_가정!$E$270)^(MAX(W16,1)-1)</f>
        <v>0</v>
      </c>
      <c r="X67" s="37" t="n">
        <f aca="false">(X14=1)*②시니어_가정!$E$265*②시니어_가정!$I$39/1000000*(1+②시니어_가정!$E$270)^(MAX(X16,1)-1)</f>
        <v>0</v>
      </c>
      <c r="Y67" s="37" t="n">
        <f aca="false">(Y14=1)*②시니어_가정!$E$265*②시니어_가정!$I$39/1000000*(1+②시니어_가정!$E$270)^(MAX(Y16,1)-1)</f>
        <v>0</v>
      </c>
      <c r="Z67" s="37" t="n">
        <f aca="false">(Z14=1)*②시니어_가정!$E$265*②시니어_가정!$I$39/1000000*(1+②시니어_가정!$E$270)^(MAX(Z16,1)-1)</f>
        <v>0</v>
      </c>
      <c r="AA67" s="37" t="n">
        <f aca="false">(AA14=1)*②시니어_가정!$E$265*②시니어_가정!$I$39/1000000*(1+②시니어_가정!$E$270)^(MAX(AA16,1)-1)</f>
        <v>0</v>
      </c>
      <c r="AB67" s="37" t="n">
        <f aca="false">(AB14=1)*②시니어_가정!$E$265*②시니어_가정!$I$39/1000000*(1+②시니어_가정!$E$270)^(MAX(AB16,1)-1)</f>
        <v>0</v>
      </c>
      <c r="AC67" s="37" t="n">
        <f aca="false">(AC14=1)*②시니어_가정!$E$265*②시니어_가정!$I$39/1000000*(1+②시니어_가정!$E$270)^(MAX(AC16,1)-1)</f>
        <v>0</v>
      </c>
      <c r="AD67" s="37" t="n">
        <f aca="false">(AD14=1)*②시니어_가정!$E$265*②시니어_가정!$I$39/1000000*(1+②시니어_가정!$E$270)^(MAX(AD16,1)-1)</f>
        <v>0</v>
      </c>
      <c r="AE67" s="37" t="n">
        <f aca="false">(AE14=1)*②시니어_가정!$E$265*②시니어_가정!$I$39/1000000*(1+②시니어_가정!$E$270)^(MAX(AE16,1)-1)</f>
        <v>0</v>
      </c>
      <c r="AF67" s="37" t="n">
        <f aca="false">(AF14=1)*②시니어_가정!$E$265*②시니어_가정!$I$39/1000000*(1+②시니어_가정!$E$270)^(MAX(AF16,1)-1)</f>
        <v>0</v>
      </c>
      <c r="AG67" s="37" t="n">
        <f aca="false">(AG14=1)*②시니어_가정!$E$265*②시니어_가정!$I$39/1000000*(1+②시니어_가정!$E$270)^(MAX(AG16,1)-1)</f>
        <v>0</v>
      </c>
      <c r="AH67" s="37" t="n">
        <f aca="false">(AH14=1)*②시니어_가정!$E$265*②시니어_가정!$I$39/1000000*(1+②시니어_가정!$E$270)^(MAX(AH16,1)-1)</f>
        <v>0</v>
      </c>
      <c r="AI67" s="37" t="n">
        <f aca="false">(AI14=1)*②시니어_가정!$E$265*②시니어_가정!$I$39/1000000*(1+②시니어_가정!$E$270)^(MAX(AI16,1)-1)</f>
        <v>0</v>
      </c>
      <c r="AJ67" s="37" t="n">
        <f aca="false">(AJ14=1)*②시니어_가정!$E$265*②시니어_가정!$I$39/1000000*(1+②시니어_가정!$E$270)^(MAX(AJ16,1)-1)</f>
        <v>0</v>
      </c>
      <c r="AK67" s="37" t="n">
        <f aca="false">(AK14=1)*②시니어_가정!$E$265*②시니어_가정!$I$39/1000000*(1+②시니어_가정!$E$270)^(MAX(AK16,1)-1)</f>
        <v>0</v>
      </c>
      <c r="AL67" s="37" t="n">
        <f aca="false">(AL14=1)*②시니어_가정!$E$265*②시니어_가정!$I$39/1000000*(1+②시니어_가정!$E$270)^(MAX(AL16,1)-1)</f>
        <v>0</v>
      </c>
      <c r="AM67" s="37" t="n">
        <f aca="false">(AM14=1)*②시니어_가정!$E$265*②시니어_가정!$I$39/1000000*(1+②시니어_가정!$E$270)^(MAX(AM16,1)-1)</f>
        <v>0</v>
      </c>
      <c r="AN67" s="37" t="n">
        <f aca="false">(AN14=1)*②시니어_가정!$E$265*②시니어_가정!$I$39/1000000*(1+②시니어_가정!$E$270)^(MAX(AN16,1)-1)</f>
        <v>0</v>
      </c>
      <c r="AO67" s="37" t="n">
        <f aca="false">(AO14=1)*②시니어_가정!$E$265*②시니어_가정!$I$39/1000000*(1+②시니어_가정!$E$270)^(MAX(AO16,1)-1)</f>
        <v>0</v>
      </c>
      <c r="AP67" s="37" t="n">
        <f aca="false">(AP14=1)*②시니어_가정!$E$265*②시니어_가정!$I$39/1000000*(1+②시니어_가정!$E$270)^(MAX(AP16,1)-1)</f>
        <v>0</v>
      </c>
      <c r="AQ67" s="37" t="n">
        <f aca="false">(AQ14=1)*②시니어_가정!$E$265*②시니어_가정!$I$39/1000000*(1+②시니어_가정!$E$270)^(MAX(AQ16,1)-1)</f>
        <v>0</v>
      </c>
      <c r="AR67" s="37" t="n">
        <f aca="false">(AR14=1)*②시니어_가정!$E$265*②시니어_가정!$I$39/1000000*(1+②시니어_가정!$E$270)^(MAX(AR16,1)-1)</f>
        <v>0</v>
      </c>
      <c r="AS67" s="37" t="n">
        <f aca="false">(AS14=1)*②시니어_가정!$E$265*②시니어_가정!$I$39/1000000*(1+②시니어_가정!$E$270)^(MAX(AS16,1)-1)</f>
        <v>0</v>
      </c>
      <c r="AT67" s="37" t="n">
        <f aca="false">(AT14=1)*②시니어_가정!$E$265*②시니어_가정!$I$39/1000000*(1+②시니어_가정!$E$270)^(MAX(AT16,1)-1)</f>
        <v>0</v>
      </c>
      <c r="AU67" s="37" t="n">
        <f aca="false">(AU14=1)*②시니어_가정!$E$265*②시니어_가정!$I$39/1000000*(1+②시니어_가정!$E$270)^(MAX(AU16,1)-1)</f>
        <v>0</v>
      </c>
      <c r="AV67" s="37" t="n">
        <f aca="false">(AV14=1)*②시니어_가정!$E$265*②시니어_가정!$I$39/1000000*(1+②시니어_가정!$E$270)^(MAX(AV16,1)-1)</f>
        <v>0</v>
      </c>
      <c r="AW67" s="37" t="n">
        <f aca="false">(AW14=1)*②시니어_가정!$E$265*②시니어_가정!$I$39/1000000*(1+②시니어_가정!$E$270)^(MAX(AW16,1)-1)</f>
        <v>0</v>
      </c>
      <c r="AX67" s="37" t="n">
        <f aca="false">(AX14=1)*②시니어_가정!$E$265*②시니어_가정!$I$39/1000000*(1+②시니어_가정!$E$270)^(MAX(AX16,1)-1)</f>
        <v>0</v>
      </c>
      <c r="AY67" s="37" t="n">
        <f aca="false">(AY14=1)*②시니어_가정!$E$265*②시니어_가정!$I$39/1000000*(1+②시니어_가정!$E$270)^(MAX(AY16,1)-1)</f>
        <v>0</v>
      </c>
      <c r="AZ67" s="37" t="n">
        <f aca="false">(AZ14=1)*②시니어_가정!$E$265*②시니어_가정!$I$39/1000000*(1+②시니어_가정!$E$270)^(MAX(AZ16,1)-1)</f>
        <v>0</v>
      </c>
      <c r="BA67" s="37" t="n">
        <f aca="false">(BA14=1)*②시니어_가정!$E$265*②시니어_가정!$I$39/1000000*(1+②시니어_가정!$E$270)^(MAX(BA16,1)-1)</f>
        <v>0</v>
      </c>
      <c r="BB67" s="37" t="n">
        <f aca="false">(BB14=1)*②시니어_가정!$E$265*②시니어_가정!$I$39/1000000*(1+②시니어_가정!$E$270)^(MAX(BB16,1)-1)</f>
        <v>0</v>
      </c>
      <c r="BC67" s="37" t="n">
        <f aca="false">(BC14=1)*②시니어_가정!$E$265*②시니어_가정!$I$39/1000000*(1+②시니어_가정!$E$270)^(MAX(BC16,1)-1)</f>
        <v>0</v>
      </c>
      <c r="BD67" s="37" t="n">
        <f aca="false">(BD14=1)*②시니어_가정!$E$265*②시니어_가정!$I$39/1000000*(1+②시니어_가정!$E$270)^(MAX(BD16,1)-1)</f>
        <v>0</v>
      </c>
      <c r="BE67" s="37" t="n">
        <f aca="false">(BE14=1)*②시니어_가정!$E$265*②시니어_가정!$I$39/1000000*(1+②시니어_가정!$E$270)^(MAX(BE16,1)-1)</f>
        <v>0</v>
      </c>
      <c r="BF67" s="37" t="n">
        <f aca="false">(BF14=1)*②시니어_가정!$E$265*②시니어_가정!$I$39/1000000*(1+②시니어_가정!$E$270)^(MAX(BF16,1)-1)</f>
        <v>0</v>
      </c>
      <c r="BG67" s="37" t="n">
        <f aca="false">(BG14=1)*②시니어_가정!$E$265*②시니어_가정!$I$39/1000000*(1+②시니어_가정!$E$270)^(MAX(BG16,1)-1)</f>
        <v>0</v>
      </c>
      <c r="BH67" s="37" t="n">
        <f aca="false">(BH14=1)*②시니어_가정!$E$265*②시니어_가정!$I$39/1000000*(1+②시니어_가정!$E$270)^(MAX(BH16,1)-1)</f>
        <v>0</v>
      </c>
      <c r="BI67" s="37" t="n">
        <f aca="false">(BI14=1)*②시니어_가정!$E$265*②시니어_가정!$I$39/1000000*(1+②시니어_가정!$E$270)^(MAX(BI16,1)-1)</f>
        <v>0</v>
      </c>
      <c r="BJ67" s="37" t="n">
        <f aca="false">(BJ14=1)*②시니어_가정!$E$265*②시니어_가정!$I$39/1000000*(1+②시니어_가정!$E$270)^(MAX(BJ16,1)-1)</f>
        <v>0</v>
      </c>
      <c r="BK67" s="37" t="n">
        <f aca="false">(BK14=1)*②시니어_가정!$E$265*②시니어_가정!$I$39/1000000*(1+②시니어_가정!$E$270)^(MAX(BK16,1)-1)</f>
        <v>0</v>
      </c>
      <c r="BL67" s="37" t="n">
        <f aca="false">(BL14=1)*②시니어_가정!$E$265*②시니어_가정!$I$39/1000000*(1+②시니어_가정!$E$270)^(MAX(BL16,1)-1)</f>
        <v>0</v>
      </c>
      <c r="BM67" s="37" t="n">
        <f aca="false">(BM14=1)*②시니어_가정!$E$265*②시니어_가정!$I$39/1000000*(1+②시니어_가정!$E$270)^(MAX(BM16,1)-1)</f>
        <v>34.5122613</v>
      </c>
      <c r="BN67" s="37" t="n">
        <f aca="false">(BN14=1)*②시니어_가정!$E$265*②시니어_가정!$I$39/1000000*(1+②시니어_가정!$E$270)^(MAX(BN16,1)-1)</f>
        <v>34.5122613</v>
      </c>
      <c r="BO67" s="37" t="n">
        <f aca="false">(BO14=1)*②시니어_가정!$E$265*②시니어_가정!$I$39/1000000*(1+②시니어_가정!$E$270)^(MAX(BO16,1)-1)</f>
        <v>34.5122613</v>
      </c>
      <c r="BP67" s="37" t="n">
        <f aca="false">(BP14=1)*②시니어_가정!$E$265*②시니어_가정!$I$39/1000000*(1+②시니어_가정!$E$270)^(MAX(BP16,1)-1)</f>
        <v>34.5122613</v>
      </c>
      <c r="BQ67" s="37" t="n">
        <f aca="false">(BQ14=1)*②시니어_가정!$E$265*②시니어_가정!$I$39/1000000*(1+②시니어_가정!$E$270)^(MAX(BQ16,1)-1)</f>
        <v>34.5122613</v>
      </c>
      <c r="BR67" s="37" t="n">
        <f aca="false">(BR14=1)*②시니어_가정!$E$265*②시니어_가정!$I$39/1000000*(1+②시니어_가정!$E$270)^(MAX(BR16,1)-1)</f>
        <v>34.5122613</v>
      </c>
      <c r="BS67" s="37" t="n">
        <f aca="false">(BS14=1)*②시니어_가정!$E$265*②시니어_가정!$I$39/1000000*(1+②시니어_가정!$E$270)^(MAX(BS16,1)-1)</f>
        <v>34.5122613</v>
      </c>
      <c r="BT67" s="37" t="n">
        <f aca="false">(BT14=1)*②시니어_가정!$E$265*②시니어_가정!$I$39/1000000*(1+②시니어_가정!$E$270)^(MAX(BT16,1)-1)</f>
        <v>34.5122613</v>
      </c>
      <c r="BU67" s="37" t="n">
        <f aca="false">(BU14=1)*②시니어_가정!$E$265*②시니어_가정!$I$39/1000000*(1+②시니어_가정!$E$270)^(MAX(BU16,1)-1)</f>
        <v>34.5122613</v>
      </c>
      <c r="BV67" s="37" t="n">
        <f aca="false">(BV14=1)*②시니어_가정!$E$265*②시니어_가정!$I$39/1000000*(1+②시니어_가정!$E$270)^(MAX(BV16,1)-1)</f>
        <v>34.5122613</v>
      </c>
      <c r="BW67" s="37" t="n">
        <f aca="false">(BW14=1)*②시니어_가정!$E$265*②시니어_가정!$I$39/1000000*(1+②시니어_가정!$E$270)^(MAX(BW16,1)-1)</f>
        <v>34.5122613</v>
      </c>
      <c r="BX67" s="37" t="n">
        <f aca="false">(BX14=1)*②시니어_가정!$E$265*②시니어_가정!$I$39/1000000*(1+②시니어_가정!$E$270)^(MAX(BX16,1)-1)</f>
        <v>34.5122613</v>
      </c>
      <c r="BY67" s="37" t="n">
        <f aca="false">(BY14=1)*②시니어_가정!$E$265*②시니어_가정!$I$39/1000000*(1+②시니어_가정!$E$270)^(MAX(BY16,1)-1)</f>
        <v>35.202506526</v>
      </c>
      <c r="BZ67" s="37" t="n">
        <f aca="false">(BZ14=1)*②시니어_가정!$E$265*②시니어_가정!$I$39/1000000*(1+②시니어_가정!$E$270)^(MAX(BZ16,1)-1)</f>
        <v>35.202506526</v>
      </c>
      <c r="CA67" s="37" t="n">
        <f aca="false">(CA14=1)*②시니어_가정!$E$265*②시니어_가정!$I$39/1000000*(1+②시니어_가정!$E$270)^(MAX(CA16,1)-1)</f>
        <v>35.202506526</v>
      </c>
      <c r="CB67" s="37" t="n">
        <f aca="false">(CB14=1)*②시니어_가정!$E$265*②시니어_가정!$I$39/1000000*(1+②시니어_가정!$E$270)^(MAX(CB16,1)-1)</f>
        <v>35.202506526</v>
      </c>
      <c r="CC67" s="37" t="n">
        <f aca="false">(CC14=1)*②시니어_가정!$E$265*②시니어_가정!$I$39/1000000*(1+②시니어_가정!$E$270)^(MAX(CC16,1)-1)</f>
        <v>35.202506526</v>
      </c>
      <c r="CD67" s="37" t="n">
        <f aca="false">(CD14=1)*②시니어_가정!$E$265*②시니어_가정!$I$39/1000000*(1+②시니어_가정!$E$270)^(MAX(CD16,1)-1)</f>
        <v>35.202506526</v>
      </c>
      <c r="CE67" s="37" t="n">
        <f aca="false">(CE14=1)*②시니어_가정!$E$265*②시니어_가정!$I$39/1000000*(1+②시니어_가정!$E$270)^(MAX(CE16,1)-1)</f>
        <v>35.202506526</v>
      </c>
      <c r="CF67" s="37" t="n">
        <f aca="false">(CF14=1)*②시니어_가정!$E$265*②시니어_가정!$I$39/1000000*(1+②시니어_가정!$E$270)^(MAX(CF16,1)-1)</f>
        <v>35.202506526</v>
      </c>
      <c r="CG67" s="37" t="n">
        <f aca="false">(CG14=1)*②시니어_가정!$E$265*②시니어_가정!$I$39/1000000*(1+②시니어_가정!$E$270)^(MAX(CG16,1)-1)</f>
        <v>35.202506526</v>
      </c>
      <c r="CH67" s="37" t="n">
        <f aca="false">(CH14=1)*②시니어_가정!$E$265*②시니어_가정!$I$39/1000000*(1+②시니어_가정!$E$270)^(MAX(CH16,1)-1)</f>
        <v>35.202506526</v>
      </c>
      <c r="CI67" s="37" t="n">
        <f aca="false">(CI14=1)*②시니어_가정!$E$265*②시니어_가정!$I$39/1000000*(1+②시니어_가정!$E$270)^(MAX(CI16,1)-1)</f>
        <v>35.202506526</v>
      </c>
      <c r="CJ67" s="37" t="n">
        <f aca="false">(CJ14=1)*②시니어_가정!$E$265*②시니어_가정!$I$39/1000000*(1+②시니어_가정!$E$270)^(MAX(CJ16,1)-1)</f>
        <v>35.202506526</v>
      </c>
      <c r="CK67" s="37" t="n">
        <f aca="false">(CK14=1)*②시니어_가정!$E$265*②시니어_가정!$I$39/1000000*(1+②시니어_가정!$E$270)^(MAX(CK16,1)-1)</f>
        <v>35.90655665652</v>
      </c>
      <c r="CL67" s="37" t="n">
        <f aca="false">(CL14=1)*②시니어_가정!$E$265*②시니어_가정!$I$39/1000000*(1+②시니어_가정!$E$270)^(MAX(CL16,1)-1)</f>
        <v>35.90655665652</v>
      </c>
      <c r="CM67" s="37" t="n">
        <f aca="false">(CM14=1)*②시니어_가정!$E$265*②시니어_가정!$I$39/1000000*(1+②시니어_가정!$E$270)^(MAX(CM16,1)-1)</f>
        <v>35.90655665652</v>
      </c>
      <c r="CN67" s="37" t="n">
        <f aca="false">(CN14=1)*②시니어_가정!$E$265*②시니어_가정!$I$39/1000000*(1+②시니어_가정!$E$270)^(MAX(CN16,1)-1)</f>
        <v>35.90655665652</v>
      </c>
      <c r="CO67" s="37" t="n">
        <f aca="false">(CO14=1)*②시니어_가정!$E$265*②시니어_가정!$I$39/1000000*(1+②시니어_가정!$E$270)^(MAX(CO16,1)-1)</f>
        <v>35.90655665652</v>
      </c>
      <c r="CP67" s="37" t="n">
        <f aca="false">(CP14=1)*②시니어_가정!$E$265*②시니어_가정!$I$39/1000000*(1+②시니어_가정!$E$270)^(MAX(CP16,1)-1)</f>
        <v>35.90655665652</v>
      </c>
      <c r="CQ67" s="37" t="n">
        <f aca="false">(CQ14=1)*②시니어_가정!$E$265*②시니어_가정!$I$39/1000000*(1+②시니어_가정!$E$270)^(MAX(CQ16,1)-1)</f>
        <v>35.90655665652</v>
      </c>
      <c r="CR67" s="37" t="n">
        <f aca="false">(CR14=1)*②시니어_가정!$E$265*②시니어_가정!$I$39/1000000*(1+②시니어_가정!$E$270)^(MAX(CR16,1)-1)</f>
        <v>35.90655665652</v>
      </c>
      <c r="CS67" s="37" t="n">
        <f aca="false">(CS14=1)*②시니어_가정!$E$265*②시니어_가정!$I$39/1000000*(1+②시니어_가정!$E$270)^(MAX(CS16,1)-1)</f>
        <v>35.90655665652</v>
      </c>
      <c r="CT67" s="37" t="n">
        <f aca="false">(CT14=1)*②시니어_가정!$E$265*②시니어_가정!$I$39/1000000*(1+②시니어_가정!$E$270)^(MAX(CT16,1)-1)</f>
        <v>35.90655665652</v>
      </c>
      <c r="CU67" s="37" t="n">
        <f aca="false">(CU14=1)*②시니어_가정!$E$265*②시니어_가정!$I$39/1000000*(1+②시니어_가정!$E$270)^(MAX(CU16,1)-1)</f>
        <v>35.90655665652</v>
      </c>
      <c r="CV67" s="37" t="n">
        <f aca="false">(CV14=1)*②시니어_가정!$E$265*②시니어_가정!$I$39/1000000*(1+②시니어_가정!$E$270)^(MAX(CV16,1)-1)</f>
        <v>35.90655665652</v>
      </c>
      <c r="CW67" s="37" t="n">
        <f aca="false">(CW14=1)*②시니어_가정!$E$265*②시니어_가정!$I$39/1000000*(1+②시니어_가정!$E$270)^(MAX(CW16,1)-1)</f>
        <v>36.6246877896504</v>
      </c>
      <c r="CX67" s="37" t="n">
        <f aca="false">(CX14=1)*②시니어_가정!$E$265*②시니어_가정!$I$39/1000000*(1+②시니어_가정!$E$270)^(MAX(CX16,1)-1)</f>
        <v>36.6246877896504</v>
      </c>
      <c r="CY67" s="37" t="n">
        <f aca="false">(CY14=1)*②시니어_가정!$E$265*②시니어_가정!$I$39/1000000*(1+②시니어_가정!$E$270)^(MAX(CY16,1)-1)</f>
        <v>36.6246877896504</v>
      </c>
      <c r="CZ67" s="37" t="n">
        <f aca="false">(CZ14=1)*②시니어_가정!$E$265*②시니어_가정!$I$39/1000000*(1+②시니어_가정!$E$270)^(MAX(CZ16,1)-1)</f>
        <v>36.6246877896504</v>
      </c>
      <c r="DA67" s="37" t="n">
        <f aca="false">(DA14=1)*②시니어_가정!$E$265*②시니어_가정!$I$39/1000000*(1+②시니어_가정!$E$270)^(MAX(DA16,1)-1)</f>
        <v>36.6246877896504</v>
      </c>
      <c r="DB67" s="37" t="n">
        <f aca="false">(DB14=1)*②시니어_가정!$E$265*②시니어_가정!$I$39/1000000*(1+②시니어_가정!$E$270)^(MAX(DB16,1)-1)</f>
        <v>36.6246877896504</v>
      </c>
      <c r="DC67" s="37" t="n">
        <f aca="false">(DC14=1)*②시니어_가정!$E$265*②시니어_가정!$I$39/1000000*(1+②시니어_가정!$E$270)^(MAX(DC16,1)-1)</f>
        <v>36.6246877896504</v>
      </c>
      <c r="DD67" s="37" t="n">
        <f aca="false">(DD14=1)*②시니어_가정!$E$265*②시니어_가정!$I$39/1000000*(1+②시니어_가정!$E$270)^(MAX(DD16,1)-1)</f>
        <v>36.6246877896504</v>
      </c>
      <c r="DE67" s="37" t="n">
        <f aca="false">(DE14=1)*②시니어_가정!$E$265*②시니어_가정!$I$39/1000000*(1+②시니어_가정!$E$270)^(MAX(DE16,1)-1)</f>
        <v>36.6246877896504</v>
      </c>
      <c r="DF67" s="37" t="n">
        <f aca="false">(DF14=1)*②시니어_가정!$E$265*②시니어_가정!$I$39/1000000*(1+②시니어_가정!$E$270)^(MAX(DF16,1)-1)</f>
        <v>36.6246877896504</v>
      </c>
      <c r="DG67" s="37" t="n">
        <f aca="false">(DG14=1)*②시니어_가정!$E$265*②시니어_가정!$I$39/1000000*(1+②시니어_가정!$E$270)^(MAX(DG16,1)-1)</f>
        <v>36.6246877896504</v>
      </c>
      <c r="DH67" s="37" t="n">
        <f aca="false">(DH14=1)*②시니어_가정!$E$265*②시니어_가정!$I$39/1000000*(1+②시니어_가정!$E$270)^(MAX(DH16,1)-1)</f>
        <v>36.6246877896504</v>
      </c>
      <c r="DI67" s="37" t="n">
        <f aca="false">(DI14=1)*②시니어_가정!$E$265*②시니어_가정!$I$39/1000000*(1+②시니어_가정!$E$270)^(MAX(DI16,1)-1)</f>
        <v>37.3571815454434</v>
      </c>
      <c r="DJ67" s="37" t="n">
        <f aca="false">(DJ14=1)*②시니어_가정!$E$265*②시니어_가정!$I$39/1000000*(1+②시니어_가정!$E$270)^(MAX(DJ16,1)-1)</f>
        <v>37.3571815454434</v>
      </c>
      <c r="DK67" s="37" t="n">
        <f aca="false">(DK14=1)*②시니어_가정!$E$265*②시니어_가정!$I$39/1000000*(1+②시니어_가정!$E$270)^(MAX(DK16,1)-1)</f>
        <v>37.3571815454434</v>
      </c>
      <c r="DL67" s="37" t="n">
        <f aca="false">(DL14=1)*②시니어_가정!$E$265*②시니어_가정!$I$39/1000000*(1+②시니어_가정!$E$270)^(MAX(DL16,1)-1)</f>
        <v>37.3571815454434</v>
      </c>
      <c r="DM67" s="37" t="n">
        <f aca="false">(DM14=1)*②시니어_가정!$E$265*②시니어_가정!$I$39/1000000*(1+②시니어_가정!$E$270)^(MAX(DM16,1)-1)</f>
        <v>37.3571815454434</v>
      </c>
      <c r="DN67" s="37" t="n">
        <f aca="false">(DN14=1)*②시니어_가정!$E$265*②시니어_가정!$I$39/1000000*(1+②시니어_가정!$E$270)^(MAX(DN16,1)-1)</f>
        <v>37.3571815454434</v>
      </c>
      <c r="DO67" s="37" t="n">
        <f aca="false">(DO14=1)*②시니어_가정!$E$265*②시니어_가정!$I$39/1000000*(1+②시니어_가정!$E$270)^(MAX(DO16,1)-1)</f>
        <v>37.3571815454434</v>
      </c>
      <c r="DP67" s="37" t="n">
        <f aca="false">(DP14=1)*②시니어_가정!$E$265*②시니어_가정!$I$39/1000000*(1+②시니어_가정!$E$270)^(MAX(DP16,1)-1)</f>
        <v>37.3571815454434</v>
      </c>
      <c r="DQ67" s="37" t="n">
        <f aca="false">(DQ14=1)*②시니어_가정!$E$265*②시니어_가정!$I$39/1000000*(1+②시니어_가정!$E$270)^(MAX(DQ16,1)-1)</f>
        <v>37.3571815454434</v>
      </c>
      <c r="DR67" s="37" t="n">
        <f aca="false">(DR14=1)*②시니어_가정!$E$265*②시니어_가정!$I$39/1000000*(1+②시니어_가정!$E$270)^(MAX(DR16,1)-1)</f>
        <v>37.3571815454434</v>
      </c>
      <c r="DS67" s="37" t="n">
        <f aca="false">(DS14=1)*②시니어_가정!$E$265*②시니어_가정!$I$39/1000000*(1+②시니어_가정!$E$270)^(MAX(DS16,1)-1)</f>
        <v>37.3571815454434</v>
      </c>
      <c r="DT67" s="37" t="n">
        <f aca="false">(DT14=1)*②시니어_가정!$E$265*②시니어_가정!$I$39/1000000*(1+②시니어_가정!$E$270)^(MAX(DT16,1)-1)</f>
        <v>37.3571815454434</v>
      </c>
      <c r="DU67" s="37" t="n">
        <f aca="false">(DU14=1)*②시니어_가정!$E$265*②시니어_가정!$I$39/1000000*(1+②시니어_가정!$E$270)^(MAX(DU16,1)-1)</f>
        <v>0</v>
      </c>
      <c r="DV67" s="37" t="n">
        <f aca="false">(DV14=1)*②시니어_가정!$E$265*②시니어_가정!$I$39/1000000*(1+②시니어_가정!$E$270)^(MAX(DV16,1)-1)</f>
        <v>0</v>
      </c>
      <c r="DW67" s="37" t="n">
        <f aca="false">(DW14=1)*②시니어_가정!$E$265*②시니어_가정!$I$39/1000000*(1+②시니어_가정!$E$270)^(MAX(DW16,1)-1)</f>
        <v>0</v>
      </c>
      <c r="DX67" s="37" t="n">
        <f aca="false">(DX14=1)*②시니어_가정!$E$265*②시니어_가정!$I$39/1000000*(1+②시니어_가정!$E$270)^(MAX(DX16,1)-1)</f>
        <v>0</v>
      </c>
      <c r="DY67" s="37" t="n">
        <f aca="false">(DY14=1)*②시니어_가정!$E$265*②시니어_가정!$I$39/1000000*(1+②시니어_가정!$E$270)^(MAX(DY16,1)-1)</f>
        <v>0</v>
      </c>
      <c r="DZ67" s="37" t="n">
        <f aca="false">(DZ14=1)*②시니어_가정!$E$265*②시니어_가정!$I$39/1000000*(1+②시니어_가정!$E$270)^(MAX(DZ16,1)-1)</f>
        <v>0</v>
      </c>
      <c r="EA67" s="37" t="n">
        <f aca="false">(EA14=1)*②시니어_가정!$E$265*②시니어_가정!$I$39/1000000*(1+②시니어_가정!$E$270)^(MAX(EA16,1)-1)</f>
        <v>0</v>
      </c>
      <c r="EB67" s="37" t="n">
        <f aca="false">(EB14=1)*②시니어_가정!$E$265*②시니어_가정!$I$39/1000000*(1+②시니어_가정!$E$270)^(MAX(EB16,1)-1)</f>
        <v>0</v>
      </c>
      <c r="EC67" s="37" t="n">
        <f aca="false">(EC14=1)*②시니어_가정!$E$265*②시니어_가정!$I$39/1000000*(1+②시니어_가정!$E$270)^(MAX(EC16,1)-1)</f>
        <v>0</v>
      </c>
      <c r="ED67" s="37" t="n">
        <f aca="false">(ED14=1)*②시니어_가정!$E$265*②시니어_가정!$I$39/1000000*(1+②시니어_가정!$E$270)^(MAX(ED16,1)-1)</f>
        <v>0</v>
      </c>
      <c r="EE67" s="37" t="n">
        <f aca="false">(EE14=1)*②시니어_가정!$E$265*②시니어_가정!$I$39/1000000*(1+②시니어_가정!$E$270)^(MAX(EE16,1)-1)</f>
        <v>0</v>
      </c>
      <c r="EF67" s="37" t="n">
        <f aca="false">(EF14=1)*②시니어_가정!$E$265*②시니어_가정!$I$39/1000000*(1+②시니어_가정!$E$270)^(MAX(EF16,1)-1)</f>
        <v>0</v>
      </c>
    </row>
    <row r="68" customFormat="false" ht="15" hidden="false" customHeight="false" outlineLevel="0" collapsed="false">
      <c r="A68" s="36" t="s">
        <v>613</v>
      </c>
      <c r="B68" s="278" t="s">
        <v>21</v>
      </c>
      <c r="C68" s="279" t="n">
        <f aca="false">SUM(E68:EF68)</f>
        <v>2155.23832581137</v>
      </c>
      <c r="E68" s="37" t="n">
        <f aca="false">(E14=1)*②시니어_가정!$E$266*②시니어_가정!$I$39/1000000*(1+②시니어_가정!$E$270)^(MAX(E16,1)-1)</f>
        <v>0</v>
      </c>
      <c r="F68" s="37" t="n">
        <f aca="false">(F14=1)*②시니어_가정!$E$266*②시니어_가정!$I$39/1000000*(1+②시니어_가정!$E$270)^(MAX(F16,1)-1)</f>
        <v>0</v>
      </c>
      <c r="G68" s="37" t="n">
        <f aca="false">(G14=1)*②시니어_가정!$E$266*②시니어_가정!$I$39/1000000*(1+②시니어_가정!$E$270)^(MAX(G16,1)-1)</f>
        <v>0</v>
      </c>
      <c r="H68" s="37" t="n">
        <f aca="false">(H14=1)*②시니어_가정!$E$266*②시니어_가정!$I$39/1000000*(1+②시니어_가정!$E$270)^(MAX(H16,1)-1)</f>
        <v>0</v>
      </c>
      <c r="I68" s="37" t="n">
        <f aca="false">(I14=1)*②시니어_가정!$E$266*②시니어_가정!$I$39/1000000*(1+②시니어_가정!$E$270)^(MAX(I16,1)-1)</f>
        <v>0</v>
      </c>
      <c r="J68" s="37" t="n">
        <f aca="false">(J14=1)*②시니어_가정!$E$266*②시니어_가정!$I$39/1000000*(1+②시니어_가정!$E$270)^(MAX(J16,1)-1)</f>
        <v>0</v>
      </c>
      <c r="K68" s="37" t="n">
        <f aca="false">(K14=1)*②시니어_가정!$E$266*②시니어_가정!$I$39/1000000*(1+②시니어_가정!$E$270)^(MAX(K16,1)-1)</f>
        <v>0</v>
      </c>
      <c r="L68" s="37" t="n">
        <f aca="false">(L14=1)*②시니어_가정!$E$266*②시니어_가정!$I$39/1000000*(1+②시니어_가정!$E$270)^(MAX(L16,1)-1)</f>
        <v>0</v>
      </c>
      <c r="M68" s="37" t="n">
        <f aca="false">(M14=1)*②시니어_가정!$E$266*②시니어_가정!$I$39/1000000*(1+②시니어_가정!$E$270)^(MAX(M16,1)-1)</f>
        <v>0</v>
      </c>
      <c r="N68" s="37" t="n">
        <f aca="false">(N14=1)*②시니어_가정!$E$266*②시니어_가정!$I$39/1000000*(1+②시니어_가정!$E$270)^(MAX(N16,1)-1)</f>
        <v>0</v>
      </c>
      <c r="O68" s="37" t="n">
        <f aca="false">(O14=1)*②시니어_가정!$E$266*②시니어_가정!$I$39/1000000*(1+②시니어_가정!$E$270)^(MAX(O16,1)-1)</f>
        <v>0</v>
      </c>
      <c r="P68" s="37" t="n">
        <f aca="false">(P14=1)*②시니어_가정!$E$266*②시니어_가정!$I$39/1000000*(1+②시니어_가정!$E$270)^(MAX(P16,1)-1)</f>
        <v>0</v>
      </c>
      <c r="Q68" s="37" t="n">
        <f aca="false">(Q14=1)*②시니어_가정!$E$266*②시니어_가정!$I$39/1000000*(1+②시니어_가정!$E$270)^(MAX(Q16,1)-1)</f>
        <v>0</v>
      </c>
      <c r="R68" s="37" t="n">
        <f aca="false">(R14=1)*②시니어_가정!$E$266*②시니어_가정!$I$39/1000000*(1+②시니어_가정!$E$270)^(MAX(R16,1)-1)</f>
        <v>0</v>
      </c>
      <c r="S68" s="37" t="n">
        <f aca="false">(S14=1)*②시니어_가정!$E$266*②시니어_가정!$I$39/1000000*(1+②시니어_가정!$E$270)^(MAX(S16,1)-1)</f>
        <v>0</v>
      </c>
      <c r="T68" s="37" t="n">
        <f aca="false">(T14=1)*②시니어_가정!$E$266*②시니어_가정!$I$39/1000000*(1+②시니어_가정!$E$270)^(MAX(T16,1)-1)</f>
        <v>0</v>
      </c>
      <c r="U68" s="37" t="n">
        <f aca="false">(U14=1)*②시니어_가정!$E$266*②시니어_가정!$I$39/1000000*(1+②시니어_가정!$E$270)^(MAX(U16,1)-1)</f>
        <v>0</v>
      </c>
      <c r="V68" s="37" t="n">
        <f aca="false">(V14=1)*②시니어_가정!$E$266*②시니어_가정!$I$39/1000000*(1+②시니어_가정!$E$270)^(MAX(V16,1)-1)</f>
        <v>0</v>
      </c>
      <c r="W68" s="37" t="n">
        <f aca="false">(W14=1)*②시니어_가정!$E$266*②시니어_가정!$I$39/1000000*(1+②시니어_가정!$E$270)^(MAX(W16,1)-1)</f>
        <v>0</v>
      </c>
      <c r="X68" s="37" t="n">
        <f aca="false">(X14=1)*②시니어_가정!$E$266*②시니어_가정!$I$39/1000000*(1+②시니어_가정!$E$270)^(MAX(X16,1)-1)</f>
        <v>0</v>
      </c>
      <c r="Y68" s="37" t="n">
        <f aca="false">(Y14=1)*②시니어_가정!$E$266*②시니어_가정!$I$39/1000000*(1+②시니어_가정!$E$270)^(MAX(Y16,1)-1)</f>
        <v>0</v>
      </c>
      <c r="Z68" s="37" t="n">
        <f aca="false">(Z14=1)*②시니어_가정!$E$266*②시니어_가정!$I$39/1000000*(1+②시니어_가정!$E$270)^(MAX(Z16,1)-1)</f>
        <v>0</v>
      </c>
      <c r="AA68" s="37" t="n">
        <f aca="false">(AA14=1)*②시니어_가정!$E$266*②시니어_가정!$I$39/1000000*(1+②시니어_가정!$E$270)^(MAX(AA16,1)-1)</f>
        <v>0</v>
      </c>
      <c r="AB68" s="37" t="n">
        <f aca="false">(AB14=1)*②시니어_가정!$E$266*②시니어_가정!$I$39/1000000*(1+②시니어_가정!$E$270)^(MAX(AB16,1)-1)</f>
        <v>0</v>
      </c>
      <c r="AC68" s="37" t="n">
        <f aca="false">(AC14=1)*②시니어_가정!$E$266*②시니어_가정!$I$39/1000000*(1+②시니어_가정!$E$270)^(MAX(AC16,1)-1)</f>
        <v>0</v>
      </c>
      <c r="AD68" s="37" t="n">
        <f aca="false">(AD14=1)*②시니어_가정!$E$266*②시니어_가정!$I$39/1000000*(1+②시니어_가정!$E$270)^(MAX(AD16,1)-1)</f>
        <v>0</v>
      </c>
      <c r="AE68" s="37" t="n">
        <f aca="false">(AE14=1)*②시니어_가정!$E$266*②시니어_가정!$I$39/1000000*(1+②시니어_가정!$E$270)^(MAX(AE16,1)-1)</f>
        <v>0</v>
      </c>
      <c r="AF68" s="37" t="n">
        <f aca="false">(AF14=1)*②시니어_가정!$E$266*②시니어_가정!$I$39/1000000*(1+②시니어_가정!$E$270)^(MAX(AF16,1)-1)</f>
        <v>0</v>
      </c>
      <c r="AG68" s="37" t="n">
        <f aca="false">(AG14=1)*②시니어_가정!$E$266*②시니어_가정!$I$39/1000000*(1+②시니어_가정!$E$270)^(MAX(AG16,1)-1)</f>
        <v>0</v>
      </c>
      <c r="AH68" s="37" t="n">
        <f aca="false">(AH14=1)*②시니어_가정!$E$266*②시니어_가정!$I$39/1000000*(1+②시니어_가정!$E$270)^(MAX(AH16,1)-1)</f>
        <v>0</v>
      </c>
      <c r="AI68" s="37" t="n">
        <f aca="false">(AI14=1)*②시니어_가정!$E$266*②시니어_가정!$I$39/1000000*(1+②시니어_가정!$E$270)^(MAX(AI16,1)-1)</f>
        <v>0</v>
      </c>
      <c r="AJ68" s="37" t="n">
        <f aca="false">(AJ14=1)*②시니어_가정!$E$266*②시니어_가정!$I$39/1000000*(1+②시니어_가정!$E$270)^(MAX(AJ16,1)-1)</f>
        <v>0</v>
      </c>
      <c r="AK68" s="37" t="n">
        <f aca="false">(AK14=1)*②시니어_가정!$E$266*②시니어_가정!$I$39/1000000*(1+②시니어_가정!$E$270)^(MAX(AK16,1)-1)</f>
        <v>0</v>
      </c>
      <c r="AL68" s="37" t="n">
        <f aca="false">(AL14=1)*②시니어_가정!$E$266*②시니어_가정!$I$39/1000000*(1+②시니어_가정!$E$270)^(MAX(AL16,1)-1)</f>
        <v>0</v>
      </c>
      <c r="AM68" s="37" t="n">
        <f aca="false">(AM14=1)*②시니어_가정!$E$266*②시니어_가정!$I$39/1000000*(1+②시니어_가정!$E$270)^(MAX(AM16,1)-1)</f>
        <v>0</v>
      </c>
      <c r="AN68" s="37" t="n">
        <f aca="false">(AN14=1)*②시니어_가정!$E$266*②시니어_가정!$I$39/1000000*(1+②시니어_가정!$E$270)^(MAX(AN16,1)-1)</f>
        <v>0</v>
      </c>
      <c r="AO68" s="37" t="n">
        <f aca="false">(AO14=1)*②시니어_가정!$E$266*②시니어_가정!$I$39/1000000*(1+②시니어_가정!$E$270)^(MAX(AO16,1)-1)</f>
        <v>0</v>
      </c>
      <c r="AP68" s="37" t="n">
        <f aca="false">(AP14=1)*②시니어_가정!$E$266*②시니어_가정!$I$39/1000000*(1+②시니어_가정!$E$270)^(MAX(AP16,1)-1)</f>
        <v>0</v>
      </c>
      <c r="AQ68" s="37" t="n">
        <f aca="false">(AQ14=1)*②시니어_가정!$E$266*②시니어_가정!$I$39/1000000*(1+②시니어_가정!$E$270)^(MAX(AQ16,1)-1)</f>
        <v>0</v>
      </c>
      <c r="AR68" s="37" t="n">
        <f aca="false">(AR14=1)*②시니어_가정!$E$266*②시니어_가정!$I$39/1000000*(1+②시니어_가정!$E$270)^(MAX(AR16,1)-1)</f>
        <v>0</v>
      </c>
      <c r="AS68" s="37" t="n">
        <f aca="false">(AS14=1)*②시니어_가정!$E$266*②시니어_가정!$I$39/1000000*(1+②시니어_가정!$E$270)^(MAX(AS16,1)-1)</f>
        <v>0</v>
      </c>
      <c r="AT68" s="37" t="n">
        <f aca="false">(AT14=1)*②시니어_가정!$E$266*②시니어_가정!$I$39/1000000*(1+②시니어_가정!$E$270)^(MAX(AT16,1)-1)</f>
        <v>0</v>
      </c>
      <c r="AU68" s="37" t="n">
        <f aca="false">(AU14=1)*②시니어_가정!$E$266*②시니어_가정!$I$39/1000000*(1+②시니어_가정!$E$270)^(MAX(AU16,1)-1)</f>
        <v>0</v>
      </c>
      <c r="AV68" s="37" t="n">
        <f aca="false">(AV14=1)*②시니어_가정!$E$266*②시니어_가정!$I$39/1000000*(1+②시니어_가정!$E$270)^(MAX(AV16,1)-1)</f>
        <v>0</v>
      </c>
      <c r="AW68" s="37" t="n">
        <f aca="false">(AW14=1)*②시니어_가정!$E$266*②시니어_가정!$I$39/1000000*(1+②시니어_가정!$E$270)^(MAX(AW16,1)-1)</f>
        <v>0</v>
      </c>
      <c r="AX68" s="37" t="n">
        <f aca="false">(AX14=1)*②시니어_가정!$E$266*②시니어_가정!$I$39/1000000*(1+②시니어_가정!$E$270)^(MAX(AX16,1)-1)</f>
        <v>0</v>
      </c>
      <c r="AY68" s="37" t="n">
        <f aca="false">(AY14=1)*②시니어_가정!$E$266*②시니어_가정!$I$39/1000000*(1+②시니어_가정!$E$270)^(MAX(AY16,1)-1)</f>
        <v>0</v>
      </c>
      <c r="AZ68" s="37" t="n">
        <f aca="false">(AZ14=1)*②시니어_가정!$E$266*②시니어_가정!$I$39/1000000*(1+②시니어_가정!$E$270)^(MAX(AZ16,1)-1)</f>
        <v>0</v>
      </c>
      <c r="BA68" s="37" t="n">
        <f aca="false">(BA14=1)*②시니어_가정!$E$266*②시니어_가정!$I$39/1000000*(1+②시니어_가정!$E$270)^(MAX(BA16,1)-1)</f>
        <v>0</v>
      </c>
      <c r="BB68" s="37" t="n">
        <f aca="false">(BB14=1)*②시니어_가정!$E$266*②시니어_가정!$I$39/1000000*(1+②시니어_가정!$E$270)^(MAX(BB16,1)-1)</f>
        <v>0</v>
      </c>
      <c r="BC68" s="37" t="n">
        <f aca="false">(BC14=1)*②시니어_가정!$E$266*②시니어_가정!$I$39/1000000*(1+②시니어_가정!$E$270)^(MAX(BC16,1)-1)</f>
        <v>0</v>
      </c>
      <c r="BD68" s="37" t="n">
        <f aca="false">(BD14=1)*②시니어_가정!$E$266*②시니어_가정!$I$39/1000000*(1+②시니어_가정!$E$270)^(MAX(BD16,1)-1)</f>
        <v>0</v>
      </c>
      <c r="BE68" s="37" t="n">
        <f aca="false">(BE14=1)*②시니어_가정!$E$266*②시니어_가정!$I$39/1000000*(1+②시니어_가정!$E$270)^(MAX(BE16,1)-1)</f>
        <v>0</v>
      </c>
      <c r="BF68" s="37" t="n">
        <f aca="false">(BF14=1)*②시니어_가정!$E$266*②시니어_가정!$I$39/1000000*(1+②시니어_가정!$E$270)^(MAX(BF16,1)-1)</f>
        <v>0</v>
      </c>
      <c r="BG68" s="37" t="n">
        <f aca="false">(BG14=1)*②시니어_가정!$E$266*②시니어_가정!$I$39/1000000*(1+②시니어_가정!$E$270)^(MAX(BG16,1)-1)</f>
        <v>0</v>
      </c>
      <c r="BH68" s="37" t="n">
        <f aca="false">(BH14=1)*②시니어_가정!$E$266*②시니어_가정!$I$39/1000000*(1+②시니어_가정!$E$270)^(MAX(BH16,1)-1)</f>
        <v>0</v>
      </c>
      <c r="BI68" s="37" t="n">
        <f aca="false">(BI14=1)*②시니어_가정!$E$266*②시니어_가정!$I$39/1000000*(1+②시니어_가정!$E$270)^(MAX(BI16,1)-1)</f>
        <v>0</v>
      </c>
      <c r="BJ68" s="37" t="n">
        <f aca="false">(BJ14=1)*②시니어_가정!$E$266*②시니어_가정!$I$39/1000000*(1+②시니어_가정!$E$270)^(MAX(BJ16,1)-1)</f>
        <v>0</v>
      </c>
      <c r="BK68" s="37" t="n">
        <f aca="false">(BK14=1)*②시니어_가정!$E$266*②시니어_가정!$I$39/1000000*(1+②시니어_가정!$E$270)^(MAX(BK16,1)-1)</f>
        <v>0</v>
      </c>
      <c r="BL68" s="37" t="n">
        <f aca="false">(BL14=1)*②시니어_가정!$E$266*②시니어_가정!$I$39/1000000*(1+②시니어_가정!$E$270)^(MAX(BL16,1)-1)</f>
        <v>0</v>
      </c>
      <c r="BM68" s="37" t="n">
        <f aca="false">(BM14=1)*②시니어_가정!$E$266*②시니어_가정!$I$39/1000000*(1+②시니어_가정!$E$270)^(MAX(BM16,1)-1)</f>
        <v>34.5122613</v>
      </c>
      <c r="BN68" s="37" t="n">
        <f aca="false">(BN14=1)*②시니어_가정!$E$266*②시니어_가정!$I$39/1000000*(1+②시니어_가정!$E$270)^(MAX(BN16,1)-1)</f>
        <v>34.5122613</v>
      </c>
      <c r="BO68" s="37" t="n">
        <f aca="false">(BO14=1)*②시니어_가정!$E$266*②시니어_가정!$I$39/1000000*(1+②시니어_가정!$E$270)^(MAX(BO16,1)-1)</f>
        <v>34.5122613</v>
      </c>
      <c r="BP68" s="37" t="n">
        <f aca="false">(BP14=1)*②시니어_가정!$E$266*②시니어_가정!$I$39/1000000*(1+②시니어_가정!$E$270)^(MAX(BP16,1)-1)</f>
        <v>34.5122613</v>
      </c>
      <c r="BQ68" s="37" t="n">
        <f aca="false">(BQ14=1)*②시니어_가정!$E$266*②시니어_가정!$I$39/1000000*(1+②시니어_가정!$E$270)^(MAX(BQ16,1)-1)</f>
        <v>34.5122613</v>
      </c>
      <c r="BR68" s="37" t="n">
        <f aca="false">(BR14=1)*②시니어_가정!$E$266*②시니어_가정!$I$39/1000000*(1+②시니어_가정!$E$270)^(MAX(BR16,1)-1)</f>
        <v>34.5122613</v>
      </c>
      <c r="BS68" s="37" t="n">
        <f aca="false">(BS14=1)*②시니어_가정!$E$266*②시니어_가정!$I$39/1000000*(1+②시니어_가정!$E$270)^(MAX(BS16,1)-1)</f>
        <v>34.5122613</v>
      </c>
      <c r="BT68" s="37" t="n">
        <f aca="false">(BT14=1)*②시니어_가정!$E$266*②시니어_가정!$I$39/1000000*(1+②시니어_가정!$E$270)^(MAX(BT16,1)-1)</f>
        <v>34.5122613</v>
      </c>
      <c r="BU68" s="37" t="n">
        <f aca="false">(BU14=1)*②시니어_가정!$E$266*②시니어_가정!$I$39/1000000*(1+②시니어_가정!$E$270)^(MAX(BU16,1)-1)</f>
        <v>34.5122613</v>
      </c>
      <c r="BV68" s="37" t="n">
        <f aca="false">(BV14=1)*②시니어_가정!$E$266*②시니어_가정!$I$39/1000000*(1+②시니어_가정!$E$270)^(MAX(BV16,1)-1)</f>
        <v>34.5122613</v>
      </c>
      <c r="BW68" s="37" t="n">
        <f aca="false">(BW14=1)*②시니어_가정!$E$266*②시니어_가정!$I$39/1000000*(1+②시니어_가정!$E$270)^(MAX(BW16,1)-1)</f>
        <v>34.5122613</v>
      </c>
      <c r="BX68" s="37" t="n">
        <f aca="false">(BX14=1)*②시니어_가정!$E$266*②시니어_가정!$I$39/1000000*(1+②시니어_가정!$E$270)^(MAX(BX16,1)-1)</f>
        <v>34.5122613</v>
      </c>
      <c r="BY68" s="37" t="n">
        <f aca="false">(BY14=1)*②시니어_가정!$E$266*②시니어_가정!$I$39/1000000*(1+②시니어_가정!$E$270)^(MAX(BY16,1)-1)</f>
        <v>35.202506526</v>
      </c>
      <c r="BZ68" s="37" t="n">
        <f aca="false">(BZ14=1)*②시니어_가정!$E$266*②시니어_가정!$I$39/1000000*(1+②시니어_가정!$E$270)^(MAX(BZ16,1)-1)</f>
        <v>35.202506526</v>
      </c>
      <c r="CA68" s="37" t="n">
        <f aca="false">(CA14=1)*②시니어_가정!$E$266*②시니어_가정!$I$39/1000000*(1+②시니어_가정!$E$270)^(MAX(CA16,1)-1)</f>
        <v>35.202506526</v>
      </c>
      <c r="CB68" s="37" t="n">
        <f aca="false">(CB14=1)*②시니어_가정!$E$266*②시니어_가정!$I$39/1000000*(1+②시니어_가정!$E$270)^(MAX(CB16,1)-1)</f>
        <v>35.202506526</v>
      </c>
      <c r="CC68" s="37" t="n">
        <f aca="false">(CC14=1)*②시니어_가정!$E$266*②시니어_가정!$I$39/1000000*(1+②시니어_가정!$E$270)^(MAX(CC16,1)-1)</f>
        <v>35.202506526</v>
      </c>
      <c r="CD68" s="37" t="n">
        <f aca="false">(CD14=1)*②시니어_가정!$E$266*②시니어_가정!$I$39/1000000*(1+②시니어_가정!$E$270)^(MAX(CD16,1)-1)</f>
        <v>35.202506526</v>
      </c>
      <c r="CE68" s="37" t="n">
        <f aca="false">(CE14=1)*②시니어_가정!$E$266*②시니어_가정!$I$39/1000000*(1+②시니어_가정!$E$270)^(MAX(CE16,1)-1)</f>
        <v>35.202506526</v>
      </c>
      <c r="CF68" s="37" t="n">
        <f aca="false">(CF14=1)*②시니어_가정!$E$266*②시니어_가정!$I$39/1000000*(1+②시니어_가정!$E$270)^(MAX(CF16,1)-1)</f>
        <v>35.202506526</v>
      </c>
      <c r="CG68" s="37" t="n">
        <f aca="false">(CG14=1)*②시니어_가정!$E$266*②시니어_가정!$I$39/1000000*(1+②시니어_가정!$E$270)^(MAX(CG16,1)-1)</f>
        <v>35.202506526</v>
      </c>
      <c r="CH68" s="37" t="n">
        <f aca="false">(CH14=1)*②시니어_가정!$E$266*②시니어_가정!$I$39/1000000*(1+②시니어_가정!$E$270)^(MAX(CH16,1)-1)</f>
        <v>35.202506526</v>
      </c>
      <c r="CI68" s="37" t="n">
        <f aca="false">(CI14=1)*②시니어_가정!$E$266*②시니어_가정!$I$39/1000000*(1+②시니어_가정!$E$270)^(MAX(CI16,1)-1)</f>
        <v>35.202506526</v>
      </c>
      <c r="CJ68" s="37" t="n">
        <f aca="false">(CJ14=1)*②시니어_가정!$E$266*②시니어_가정!$I$39/1000000*(1+②시니어_가정!$E$270)^(MAX(CJ16,1)-1)</f>
        <v>35.202506526</v>
      </c>
      <c r="CK68" s="37" t="n">
        <f aca="false">(CK14=1)*②시니어_가정!$E$266*②시니어_가정!$I$39/1000000*(1+②시니어_가정!$E$270)^(MAX(CK16,1)-1)</f>
        <v>35.90655665652</v>
      </c>
      <c r="CL68" s="37" t="n">
        <f aca="false">(CL14=1)*②시니어_가정!$E$266*②시니어_가정!$I$39/1000000*(1+②시니어_가정!$E$270)^(MAX(CL16,1)-1)</f>
        <v>35.90655665652</v>
      </c>
      <c r="CM68" s="37" t="n">
        <f aca="false">(CM14=1)*②시니어_가정!$E$266*②시니어_가정!$I$39/1000000*(1+②시니어_가정!$E$270)^(MAX(CM16,1)-1)</f>
        <v>35.90655665652</v>
      </c>
      <c r="CN68" s="37" t="n">
        <f aca="false">(CN14=1)*②시니어_가정!$E$266*②시니어_가정!$I$39/1000000*(1+②시니어_가정!$E$270)^(MAX(CN16,1)-1)</f>
        <v>35.90655665652</v>
      </c>
      <c r="CO68" s="37" t="n">
        <f aca="false">(CO14=1)*②시니어_가정!$E$266*②시니어_가정!$I$39/1000000*(1+②시니어_가정!$E$270)^(MAX(CO16,1)-1)</f>
        <v>35.90655665652</v>
      </c>
      <c r="CP68" s="37" t="n">
        <f aca="false">(CP14=1)*②시니어_가정!$E$266*②시니어_가정!$I$39/1000000*(1+②시니어_가정!$E$270)^(MAX(CP16,1)-1)</f>
        <v>35.90655665652</v>
      </c>
      <c r="CQ68" s="37" t="n">
        <f aca="false">(CQ14=1)*②시니어_가정!$E$266*②시니어_가정!$I$39/1000000*(1+②시니어_가정!$E$270)^(MAX(CQ16,1)-1)</f>
        <v>35.90655665652</v>
      </c>
      <c r="CR68" s="37" t="n">
        <f aca="false">(CR14=1)*②시니어_가정!$E$266*②시니어_가정!$I$39/1000000*(1+②시니어_가정!$E$270)^(MAX(CR16,1)-1)</f>
        <v>35.90655665652</v>
      </c>
      <c r="CS68" s="37" t="n">
        <f aca="false">(CS14=1)*②시니어_가정!$E$266*②시니어_가정!$I$39/1000000*(1+②시니어_가정!$E$270)^(MAX(CS16,1)-1)</f>
        <v>35.90655665652</v>
      </c>
      <c r="CT68" s="37" t="n">
        <f aca="false">(CT14=1)*②시니어_가정!$E$266*②시니어_가정!$I$39/1000000*(1+②시니어_가정!$E$270)^(MAX(CT16,1)-1)</f>
        <v>35.90655665652</v>
      </c>
      <c r="CU68" s="37" t="n">
        <f aca="false">(CU14=1)*②시니어_가정!$E$266*②시니어_가정!$I$39/1000000*(1+②시니어_가정!$E$270)^(MAX(CU16,1)-1)</f>
        <v>35.90655665652</v>
      </c>
      <c r="CV68" s="37" t="n">
        <f aca="false">(CV14=1)*②시니어_가정!$E$266*②시니어_가정!$I$39/1000000*(1+②시니어_가정!$E$270)^(MAX(CV16,1)-1)</f>
        <v>35.90655665652</v>
      </c>
      <c r="CW68" s="37" t="n">
        <f aca="false">(CW14=1)*②시니어_가정!$E$266*②시니어_가정!$I$39/1000000*(1+②시니어_가정!$E$270)^(MAX(CW16,1)-1)</f>
        <v>36.6246877896504</v>
      </c>
      <c r="CX68" s="37" t="n">
        <f aca="false">(CX14=1)*②시니어_가정!$E$266*②시니어_가정!$I$39/1000000*(1+②시니어_가정!$E$270)^(MAX(CX16,1)-1)</f>
        <v>36.6246877896504</v>
      </c>
      <c r="CY68" s="37" t="n">
        <f aca="false">(CY14=1)*②시니어_가정!$E$266*②시니어_가정!$I$39/1000000*(1+②시니어_가정!$E$270)^(MAX(CY16,1)-1)</f>
        <v>36.6246877896504</v>
      </c>
      <c r="CZ68" s="37" t="n">
        <f aca="false">(CZ14=1)*②시니어_가정!$E$266*②시니어_가정!$I$39/1000000*(1+②시니어_가정!$E$270)^(MAX(CZ16,1)-1)</f>
        <v>36.6246877896504</v>
      </c>
      <c r="DA68" s="37" t="n">
        <f aca="false">(DA14=1)*②시니어_가정!$E$266*②시니어_가정!$I$39/1000000*(1+②시니어_가정!$E$270)^(MAX(DA16,1)-1)</f>
        <v>36.6246877896504</v>
      </c>
      <c r="DB68" s="37" t="n">
        <f aca="false">(DB14=1)*②시니어_가정!$E$266*②시니어_가정!$I$39/1000000*(1+②시니어_가정!$E$270)^(MAX(DB16,1)-1)</f>
        <v>36.6246877896504</v>
      </c>
      <c r="DC68" s="37" t="n">
        <f aca="false">(DC14=1)*②시니어_가정!$E$266*②시니어_가정!$I$39/1000000*(1+②시니어_가정!$E$270)^(MAX(DC16,1)-1)</f>
        <v>36.6246877896504</v>
      </c>
      <c r="DD68" s="37" t="n">
        <f aca="false">(DD14=1)*②시니어_가정!$E$266*②시니어_가정!$I$39/1000000*(1+②시니어_가정!$E$270)^(MAX(DD16,1)-1)</f>
        <v>36.6246877896504</v>
      </c>
      <c r="DE68" s="37" t="n">
        <f aca="false">(DE14=1)*②시니어_가정!$E$266*②시니어_가정!$I$39/1000000*(1+②시니어_가정!$E$270)^(MAX(DE16,1)-1)</f>
        <v>36.6246877896504</v>
      </c>
      <c r="DF68" s="37" t="n">
        <f aca="false">(DF14=1)*②시니어_가정!$E$266*②시니어_가정!$I$39/1000000*(1+②시니어_가정!$E$270)^(MAX(DF16,1)-1)</f>
        <v>36.6246877896504</v>
      </c>
      <c r="DG68" s="37" t="n">
        <f aca="false">(DG14=1)*②시니어_가정!$E$266*②시니어_가정!$I$39/1000000*(1+②시니어_가정!$E$270)^(MAX(DG16,1)-1)</f>
        <v>36.6246877896504</v>
      </c>
      <c r="DH68" s="37" t="n">
        <f aca="false">(DH14=1)*②시니어_가정!$E$266*②시니어_가정!$I$39/1000000*(1+②시니어_가정!$E$270)^(MAX(DH16,1)-1)</f>
        <v>36.6246877896504</v>
      </c>
      <c r="DI68" s="37" t="n">
        <f aca="false">(DI14=1)*②시니어_가정!$E$266*②시니어_가정!$I$39/1000000*(1+②시니어_가정!$E$270)^(MAX(DI16,1)-1)</f>
        <v>37.3571815454434</v>
      </c>
      <c r="DJ68" s="37" t="n">
        <f aca="false">(DJ14=1)*②시니어_가정!$E$266*②시니어_가정!$I$39/1000000*(1+②시니어_가정!$E$270)^(MAX(DJ16,1)-1)</f>
        <v>37.3571815454434</v>
      </c>
      <c r="DK68" s="37" t="n">
        <f aca="false">(DK14=1)*②시니어_가정!$E$266*②시니어_가정!$I$39/1000000*(1+②시니어_가정!$E$270)^(MAX(DK16,1)-1)</f>
        <v>37.3571815454434</v>
      </c>
      <c r="DL68" s="37" t="n">
        <f aca="false">(DL14=1)*②시니어_가정!$E$266*②시니어_가정!$I$39/1000000*(1+②시니어_가정!$E$270)^(MAX(DL16,1)-1)</f>
        <v>37.3571815454434</v>
      </c>
      <c r="DM68" s="37" t="n">
        <f aca="false">(DM14=1)*②시니어_가정!$E$266*②시니어_가정!$I$39/1000000*(1+②시니어_가정!$E$270)^(MAX(DM16,1)-1)</f>
        <v>37.3571815454434</v>
      </c>
      <c r="DN68" s="37" t="n">
        <f aca="false">(DN14=1)*②시니어_가정!$E$266*②시니어_가정!$I$39/1000000*(1+②시니어_가정!$E$270)^(MAX(DN16,1)-1)</f>
        <v>37.3571815454434</v>
      </c>
      <c r="DO68" s="37" t="n">
        <f aca="false">(DO14=1)*②시니어_가정!$E$266*②시니어_가정!$I$39/1000000*(1+②시니어_가정!$E$270)^(MAX(DO16,1)-1)</f>
        <v>37.3571815454434</v>
      </c>
      <c r="DP68" s="37" t="n">
        <f aca="false">(DP14=1)*②시니어_가정!$E$266*②시니어_가정!$I$39/1000000*(1+②시니어_가정!$E$270)^(MAX(DP16,1)-1)</f>
        <v>37.3571815454434</v>
      </c>
      <c r="DQ68" s="37" t="n">
        <f aca="false">(DQ14=1)*②시니어_가정!$E$266*②시니어_가정!$I$39/1000000*(1+②시니어_가정!$E$270)^(MAX(DQ16,1)-1)</f>
        <v>37.3571815454434</v>
      </c>
      <c r="DR68" s="37" t="n">
        <f aca="false">(DR14=1)*②시니어_가정!$E$266*②시니어_가정!$I$39/1000000*(1+②시니어_가정!$E$270)^(MAX(DR16,1)-1)</f>
        <v>37.3571815454434</v>
      </c>
      <c r="DS68" s="37" t="n">
        <f aca="false">(DS14=1)*②시니어_가정!$E$266*②시니어_가정!$I$39/1000000*(1+②시니어_가정!$E$270)^(MAX(DS16,1)-1)</f>
        <v>37.3571815454434</v>
      </c>
      <c r="DT68" s="37" t="n">
        <f aca="false">(DT14=1)*②시니어_가정!$E$266*②시니어_가정!$I$39/1000000*(1+②시니어_가정!$E$270)^(MAX(DT16,1)-1)</f>
        <v>37.3571815454434</v>
      </c>
      <c r="DU68" s="37" t="n">
        <f aca="false">(DU14=1)*②시니어_가정!$E$266*②시니어_가정!$I$39/1000000*(1+②시니어_가정!$E$270)^(MAX(DU16,1)-1)</f>
        <v>0</v>
      </c>
      <c r="DV68" s="37" t="n">
        <f aca="false">(DV14=1)*②시니어_가정!$E$266*②시니어_가정!$I$39/1000000*(1+②시니어_가정!$E$270)^(MAX(DV16,1)-1)</f>
        <v>0</v>
      </c>
      <c r="DW68" s="37" t="n">
        <f aca="false">(DW14=1)*②시니어_가정!$E$266*②시니어_가정!$I$39/1000000*(1+②시니어_가정!$E$270)^(MAX(DW16,1)-1)</f>
        <v>0</v>
      </c>
      <c r="DX68" s="37" t="n">
        <f aca="false">(DX14=1)*②시니어_가정!$E$266*②시니어_가정!$I$39/1000000*(1+②시니어_가정!$E$270)^(MAX(DX16,1)-1)</f>
        <v>0</v>
      </c>
      <c r="DY68" s="37" t="n">
        <f aca="false">(DY14=1)*②시니어_가정!$E$266*②시니어_가정!$I$39/1000000*(1+②시니어_가정!$E$270)^(MAX(DY16,1)-1)</f>
        <v>0</v>
      </c>
      <c r="DZ68" s="37" t="n">
        <f aca="false">(DZ14=1)*②시니어_가정!$E$266*②시니어_가정!$I$39/1000000*(1+②시니어_가정!$E$270)^(MAX(DZ16,1)-1)</f>
        <v>0</v>
      </c>
      <c r="EA68" s="37" t="n">
        <f aca="false">(EA14=1)*②시니어_가정!$E$266*②시니어_가정!$I$39/1000000*(1+②시니어_가정!$E$270)^(MAX(EA16,1)-1)</f>
        <v>0</v>
      </c>
      <c r="EB68" s="37" t="n">
        <f aca="false">(EB14=1)*②시니어_가정!$E$266*②시니어_가정!$I$39/1000000*(1+②시니어_가정!$E$270)^(MAX(EB16,1)-1)</f>
        <v>0</v>
      </c>
      <c r="EC68" s="37" t="n">
        <f aca="false">(EC14=1)*②시니어_가정!$E$266*②시니어_가정!$I$39/1000000*(1+②시니어_가정!$E$270)^(MAX(EC16,1)-1)</f>
        <v>0</v>
      </c>
      <c r="ED68" s="37" t="n">
        <f aca="false">(ED14=1)*②시니어_가정!$E$266*②시니어_가정!$I$39/1000000*(1+②시니어_가정!$E$270)^(MAX(ED16,1)-1)</f>
        <v>0</v>
      </c>
      <c r="EE68" s="37" t="n">
        <f aca="false">(EE14=1)*②시니어_가정!$E$266*②시니어_가정!$I$39/1000000*(1+②시니어_가정!$E$270)^(MAX(EE16,1)-1)</f>
        <v>0</v>
      </c>
      <c r="EF68" s="37" t="n">
        <f aca="false">(EF14=1)*②시니어_가정!$E$266*②시니어_가정!$I$39/1000000*(1+②시니어_가정!$E$270)^(MAX(EF16,1)-1)</f>
        <v>0</v>
      </c>
    </row>
    <row r="69" customFormat="false" ht="15" hidden="false" customHeight="false" outlineLevel="0" collapsed="false">
      <c r="A69" s="153" t="s">
        <v>614</v>
      </c>
      <c r="B69" s="278" t="s">
        <v>21</v>
      </c>
      <c r="C69" s="279" t="n">
        <f aca="false">SUM(E69:EF69)</f>
        <v>2155.23832581137</v>
      </c>
      <c r="E69" s="37" t="n">
        <f aca="false">(E14=1)*②시니어_가정!$E$267*②시니어_가정!$I$39/1000000*(1+②시니어_가정!$E$270)^(MAX(E16,1)-1)</f>
        <v>0</v>
      </c>
      <c r="F69" s="37" t="n">
        <f aca="false">(F14=1)*②시니어_가정!$E$267*②시니어_가정!$I$39/1000000*(1+②시니어_가정!$E$270)^(MAX(F16,1)-1)</f>
        <v>0</v>
      </c>
      <c r="G69" s="37" t="n">
        <f aca="false">(G14=1)*②시니어_가정!$E$267*②시니어_가정!$I$39/1000000*(1+②시니어_가정!$E$270)^(MAX(G16,1)-1)</f>
        <v>0</v>
      </c>
      <c r="H69" s="37" t="n">
        <f aca="false">(H14=1)*②시니어_가정!$E$267*②시니어_가정!$I$39/1000000*(1+②시니어_가정!$E$270)^(MAX(H16,1)-1)</f>
        <v>0</v>
      </c>
      <c r="I69" s="37" t="n">
        <f aca="false">(I14=1)*②시니어_가정!$E$267*②시니어_가정!$I$39/1000000*(1+②시니어_가정!$E$270)^(MAX(I16,1)-1)</f>
        <v>0</v>
      </c>
      <c r="J69" s="37" t="n">
        <f aca="false">(J14=1)*②시니어_가정!$E$267*②시니어_가정!$I$39/1000000*(1+②시니어_가정!$E$270)^(MAX(J16,1)-1)</f>
        <v>0</v>
      </c>
      <c r="K69" s="37" t="n">
        <f aca="false">(K14=1)*②시니어_가정!$E$267*②시니어_가정!$I$39/1000000*(1+②시니어_가정!$E$270)^(MAX(K16,1)-1)</f>
        <v>0</v>
      </c>
      <c r="L69" s="37" t="n">
        <f aca="false">(L14=1)*②시니어_가정!$E$267*②시니어_가정!$I$39/1000000*(1+②시니어_가정!$E$270)^(MAX(L16,1)-1)</f>
        <v>0</v>
      </c>
      <c r="M69" s="37" t="n">
        <f aca="false">(M14=1)*②시니어_가정!$E$267*②시니어_가정!$I$39/1000000*(1+②시니어_가정!$E$270)^(MAX(M16,1)-1)</f>
        <v>0</v>
      </c>
      <c r="N69" s="37" t="n">
        <f aca="false">(N14=1)*②시니어_가정!$E$267*②시니어_가정!$I$39/1000000*(1+②시니어_가정!$E$270)^(MAX(N16,1)-1)</f>
        <v>0</v>
      </c>
      <c r="O69" s="37" t="n">
        <f aca="false">(O14=1)*②시니어_가정!$E$267*②시니어_가정!$I$39/1000000*(1+②시니어_가정!$E$270)^(MAX(O16,1)-1)</f>
        <v>0</v>
      </c>
      <c r="P69" s="37" t="n">
        <f aca="false">(P14=1)*②시니어_가정!$E$267*②시니어_가정!$I$39/1000000*(1+②시니어_가정!$E$270)^(MAX(P16,1)-1)</f>
        <v>0</v>
      </c>
      <c r="Q69" s="37" t="n">
        <f aca="false">(Q14=1)*②시니어_가정!$E$267*②시니어_가정!$I$39/1000000*(1+②시니어_가정!$E$270)^(MAX(Q16,1)-1)</f>
        <v>0</v>
      </c>
      <c r="R69" s="37" t="n">
        <f aca="false">(R14=1)*②시니어_가정!$E$267*②시니어_가정!$I$39/1000000*(1+②시니어_가정!$E$270)^(MAX(R16,1)-1)</f>
        <v>0</v>
      </c>
      <c r="S69" s="37" t="n">
        <f aca="false">(S14=1)*②시니어_가정!$E$267*②시니어_가정!$I$39/1000000*(1+②시니어_가정!$E$270)^(MAX(S16,1)-1)</f>
        <v>0</v>
      </c>
      <c r="T69" s="37" t="n">
        <f aca="false">(T14=1)*②시니어_가정!$E$267*②시니어_가정!$I$39/1000000*(1+②시니어_가정!$E$270)^(MAX(T16,1)-1)</f>
        <v>0</v>
      </c>
      <c r="U69" s="37" t="n">
        <f aca="false">(U14=1)*②시니어_가정!$E$267*②시니어_가정!$I$39/1000000*(1+②시니어_가정!$E$270)^(MAX(U16,1)-1)</f>
        <v>0</v>
      </c>
      <c r="V69" s="37" t="n">
        <f aca="false">(V14=1)*②시니어_가정!$E$267*②시니어_가정!$I$39/1000000*(1+②시니어_가정!$E$270)^(MAX(V16,1)-1)</f>
        <v>0</v>
      </c>
      <c r="W69" s="37" t="n">
        <f aca="false">(W14=1)*②시니어_가정!$E$267*②시니어_가정!$I$39/1000000*(1+②시니어_가정!$E$270)^(MAX(W16,1)-1)</f>
        <v>0</v>
      </c>
      <c r="X69" s="37" t="n">
        <f aca="false">(X14=1)*②시니어_가정!$E$267*②시니어_가정!$I$39/1000000*(1+②시니어_가정!$E$270)^(MAX(X16,1)-1)</f>
        <v>0</v>
      </c>
      <c r="Y69" s="37" t="n">
        <f aca="false">(Y14=1)*②시니어_가정!$E$267*②시니어_가정!$I$39/1000000*(1+②시니어_가정!$E$270)^(MAX(Y16,1)-1)</f>
        <v>0</v>
      </c>
      <c r="Z69" s="37" t="n">
        <f aca="false">(Z14=1)*②시니어_가정!$E$267*②시니어_가정!$I$39/1000000*(1+②시니어_가정!$E$270)^(MAX(Z16,1)-1)</f>
        <v>0</v>
      </c>
      <c r="AA69" s="37" t="n">
        <f aca="false">(AA14=1)*②시니어_가정!$E$267*②시니어_가정!$I$39/1000000*(1+②시니어_가정!$E$270)^(MAX(AA16,1)-1)</f>
        <v>0</v>
      </c>
      <c r="AB69" s="37" t="n">
        <f aca="false">(AB14=1)*②시니어_가정!$E$267*②시니어_가정!$I$39/1000000*(1+②시니어_가정!$E$270)^(MAX(AB16,1)-1)</f>
        <v>0</v>
      </c>
      <c r="AC69" s="37" t="n">
        <f aca="false">(AC14=1)*②시니어_가정!$E$267*②시니어_가정!$I$39/1000000*(1+②시니어_가정!$E$270)^(MAX(AC16,1)-1)</f>
        <v>0</v>
      </c>
      <c r="AD69" s="37" t="n">
        <f aca="false">(AD14=1)*②시니어_가정!$E$267*②시니어_가정!$I$39/1000000*(1+②시니어_가정!$E$270)^(MAX(AD16,1)-1)</f>
        <v>0</v>
      </c>
      <c r="AE69" s="37" t="n">
        <f aca="false">(AE14=1)*②시니어_가정!$E$267*②시니어_가정!$I$39/1000000*(1+②시니어_가정!$E$270)^(MAX(AE16,1)-1)</f>
        <v>0</v>
      </c>
      <c r="AF69" s="37" t="n">
        <f aca="false">(AF14=1)*②시니어_가정!$E$267*②시니어_가정!$I$39/1000000*(1+②시니어_가정!$E$270)^(MAX(AF16,1)-1)</f>
        <v>0</v>
      </c>
      <c r="AG69" s="37" t="n">
        <f aca="false">(AG14=1)*②시니어_가정!$E$267*②시니어_가정!$I$39/1000000*(1+②시니어_가정!$E$270)^(MAX(AG16,1)-1)</f>
        <v>0</v>
      </c>
      <c r="AH69" s="37" t="n">
        <f aca="false">(AH14=1)*②시니어_가정!$E$267*②시니어_가정!$I$39/1000000*(1+②시니어_가정!$E$270)^(MAX(AH16,1)-1)</f>
        <v>0</v>
      </c>
      <c r="AI69" s="37" t="n">
        <f aca="false">(AI14=1)*②시니어_가정!$E$267*②시니어_가정!$I$39/1000000*(1+②시니어_가정!$E$270)^(MAX(AI16,1)-1)</f>
        <v>0</v>
      </c>
      <c r="AJ69" s="37" t="n">
        <f aca="false">(AJ14=1)*②시니어_가정!$E$267*②시니어_가정!$I$39/1000000*(1+②시니어_가정!$E$270)^(MAX(AJ16,1)-1)</f>
        <v>0</v>
      </c>
      <c r="AK69" s="37" t="n">
        <f aca="false">(AK14=1)*②시니어_가정!$E$267*②시니어_가정!$I$39/1000000*(1+②시니어_가정!$E$270)^(MAX(AK16,1)-1)</f>
        <v>0</v>
      </c>
      <c r="AL69" s="37" t="n">
        <f aca="false">(AL14=1)*②시니어_가정!$E$267*②시니어_가정!$I$39/1000000*(1+②시니어_가정!$E$270)^(MAX(AL16,1)-1)</f>
        <v>0</v>
      </c>
      <c r="AM69" s="37" t="n">
        <f aca="false">(AM14=1)*②시니어_가정!$E$267*②시니어_가정!$I$39/1000000*(1+②시니어_가정!$E$270)^(MAX(AM16,1)-1)</f>
        <v>0</v>
      </c>
      <c r="AN69" s="37" t="n">
        <f aca="false">(AN14=1)*②시니어_가정!$E$267*②시니어_가정!$I$39/1000000*(1+②시니어_가정!$E$270)^(MAX(AN16,1)-1)</f>
        <v>0</v>
      </c>
      <c r="AO69" s="37" t="n">
        <f aca="false">(AO14=1)*②시니어_가정!$E$267*②시니어_가정!$I$39/1000000*(1+②시니어_가정!$E$270)^(MAX(AO16,1)-1)</f>
        <v>0</v>
      </c>
      <c r="AP69" s="37" t="n">
        <f aca="false">(AP14=1)*②시니어_가정!$E$267*②시니어_가정!$I$39/1000000*(1+②시니어_가정!$E$270)^(MAX(AP16,1)-1)</f>
        <v>0</v>
      </c>
      <c r="AQ69" s="37" t="n">
        <f aca="false">(AQ14=1)*②시니어_가정!$E$267*②시니어_가정!$I$39/1000000*(1+②시니어_가정!$E$270)^(MAX(AQ16,1)-1)</f>
        <v>0</v>
      </c>
      <c r="AR69" s="37" t="n">
        <f aca="false">(AR14=1)*②시니어_가정!$E$267*②시니어_가정!$I$39/1000000*(1+②시니어_가정!$E$270)^(MAX(AR16,1)-1)</f>
        <v>0</v>
      </c>
      <c r="AS69" s="37" t="n">
        <f aca="false">(AS14=1)*②시니어_가정!$E$267*②시니어_가정!$I$39/1000000*(1+②시니어_가정!$E$270)^(MAX(AS16,1)-1)</f>
        <v>0</v>
      </c>
      <c r="AT69" s="37" t="n">
        <f aca="false">(AT14=1)*②시니어_가정!$E$267*②시니어_가정!$I$39/1000000*(1+②시니어_가정!$E$270)^(MAX(AT16,1)-1)</f>
        <v>0</v>
      </c>
      <c r="AU69" s="37" t="n">
        <f aca="false">(AU14=1)*②시니어_가정!$E$267*②시니어_가정!$I$39/1000000*(1+②시니어_가정!$E$270)^(MAX(AU16,1)-1)</f>
        <v>0</v>
      </c>
      <c r="AV69" s="37" t="n">
        <f aca="false">(AV14=1)*②시니어_가정!$E$267*②시니어_가정!$I$39/1000000*(1+②시니어_가정!$E$270)^(MAX(AV16,1)-1)</f>
        <v>0</v>
      </c>
      <c r="AW69" s="37" t="n">
        <f aca="false">(AW14=1)*②시니어_가정!$E$267*②시니어_가정!$I$39/1000000*(1+②시니어_가정!$E$270)^(MAX(AW16,1)-1)</f>
        <v>0</v>
      </c>
      <c r="AX69" s="37" t="n">
        <f aca="false">(AX14=1)*②시니어_가정!$E$267*②시니어_가정!$I$39/1000000*(1+②시니어_가정!$E$270)^(MAX(AX16,1)-1)</f>
        <v>0</v>
      </c>
      <c r="AY69" s="37" t="n">
        <f aca="false">(AY14=1)*②시니어_가정!$E$267*②시니어_가정!$I$39/1000000*(1+②시니어_가정!$E$270)^(MAX(AY16,1)-1)</f>
        <v>0</v>
      </c>
      <c r="AZ69" s="37" t="n">
        <f aca="false">(AZ14=1)*②시니어_가정!$E$267*②시니어_가정!$I$39/1000000*(1+②시니어_가정!$E$270)^(MAX(AZ16,1)-1)</f>
        <v>0</v>
      </c>
      <c r="BA69" s="37" t="n">
        <f aca="false">(BA14=1)*②시니어_가정!$E$267*②시니어_가정!$I$39/1000000*(1+②시니어_가정!$E$270)^(MAX(BA16,1)-1)</f>
        <v>0</v>
      </c>
      <c r="BB69" s="37" t="n">
        <f aca="false">(BB14=1)*②시니어_가정!$E$267*②시니어_가정!$I$39/1000000*(1+②시니어_가정!$E$270)^(MAX(BB16,1)-1)</f>
        <v>0</v>
      </c>
      <c r="BC69" s="37" t="n">
        <f aca="false">(BC14=1)*②시니어_가정!$E$267*②시니어_가정!$I$39/1000000*(1+②시니어_가정!$E$270)^(MAX(BC16,1)-1)</f>
        <v>0</v>
      </c>
      <c r="BD69" s="37" t="n">
        <f aca="false">(BD14=1)*②시니어_가정!$E$267*②시니어_가정!$I$39/1000000*(1+②시니어_가정!$E$270)^(MAX(BD16,1)-1)</f>
        <v>0</v>
      </c>
      <c r="BE69" s="37" t="n">
        <f aca="false">(BE14=1)*②시니어_가정!$E$267*②시니어_가정!$I$39/1000000*(1+②시니어_가정!$E$270)^(MAX(BE16,1)-1)</f>
        <v>0</v>
      </c>
      <c r="BF69" s="37" t="n">
        <f aca="false">(BF14=1)*②시니어_가정!$E$267*②시니어_가정!$I$39/1000000*(1+②시니어_가정!$E$270)^(MAX(BF16,1)-1)</f>
        <v>0</v>
      </c>
      <c r="BG69" s="37" t="n">
        <f aca="false">(BG14=1)*②시니어_가정!$E$267*②시니어_가정!$I$39/1000000*(1+②시니어_가정!$E$270)^(MAX(BG16,1)-1)</f>
        <v>0</v>
      </c>
      <c r="BH69" s="37" t="n">
        <f aca="false">(BH14=1)*②시니어_가정!$E$267*②시니어_가정!$I$39/1000000*(1+②시니어_가정!$E$270)^(MAX(BH16,1)-1)</f>
        <v>0</v>
      </c>
      <c r="BI69" s="37" t="n">
        <f aca="false">(BI14=1)*②시니어_가정!$E$267*②시니어_가정!$I$39/1000000*(1+②시니어_가정!$E$270)^(MAX(BI16,1)-1)</f>
        <v>0</v>
      </c>
      <c r="BJ69" s="37" t="n">
        <f aca="false">(BJ14=1)*②시니어_가정!$E$267*②시니어_가정!$I$39/1000000*(1+②시니어_가정!$E$270)^(MAX(BJ16,1)-1)</f>
        <v>0</v>
      </c>
      <c r="BK69" s="37" t="n">
        <f aca="false">(BK14=1)*②시니어_가정!$E$267*②시니어_가정!$I$39/1000000*(1+②시니어_가정!$E$270)^(MAX(BK16,1)-1)</f>
        <v>0</v>
      </c>
      <c r="BL69" s="37" t="n">
        <f aca="false">(BL14=1)*②시니어_가정!$E$267*②시니어_가정!$I$39/1000000*(1+②시니어_가정!$E$270)^(MAX(BL16,1)-1)</f>
        <v>0</v>
      </c>
      <c r="BM69" s="37" t="n">
        <f aca="false">(BM14=1)*②시니어_가정!$E$267*②시니어_가정!$I$39/1000000*(1+②시니어_가정!$E$270)^(MAX(BM16,1)-1)</f>
        <v>34.5122613</v>
      </c>
      <c r="BN69" s="37" t="n">
        <f aca="false">(BN14=1)*②시니어_가정!$E$267*②시니어_가정!$I$39/1000000*(1+②시니어_가정!$E$270)^(MAX(BN16,1)-1)</f>
        <v>34.5122613</v>
      </c>
      <c r="BO69" s="37" t="n">
        <f aca="false">(BO14=1)*②시니어_가정!$E$267*②시니어_가정!$I$39/1000000*(1+②시니어_가정!$E$270)^(MAX(BO16,1)-1)</f>
        <v>34.5122613</v>
      </c>
      <c r="BP69" s="37" t="n">
        <f aca="false">(BP14=1)*②시니어_가정!$E$267*②시니어_가정!$I$39/1000000*(1+②시니어_가정!$E$270)^(MAX(BP16,1)-1)</f>
        <v>34.5122613</v>
      </c>
      <c r="BQ69" s="37" t="n">
        <f aca="false">(BQ14=1)*②시니어_가정!$E$267*②시니어_가정!$I$39/1000000*(1+②시니어_가정!$E$270)^(MAX(BQ16,1)-1)</f>
        <v>34.5122613</v>
      </c>
      <c r="BR69" s="37" t="n">
        <f aca="false">(BR14=1)*②시니어_가정!$E$267*②시니어_가정!$I$39/1000000*(1+②시니어_가정!$E$270)^(MAX(BR16,1)-1)</f>
        <v>34.5122613</v>
      </c>
      <c r="BS69" s="37" t="n">
        <f aca="false">(BS14=1)*②시니어_가정!$E$267*②시니어_가정!$I$39/1000000*(1+②시니어_가정!$E$270)^(MAX(BS16,1)-1)</f>
        <v>34.5122613</v>
      </c>
      <c r="BT69" s="37" t="n">
        <f aca="false">(BT14=1)*②시니어_가정!$E$267*②시니어_가정!$I$39/1000000*(1+②시니어_가정!$E$270)^(MAX(BT16,1)-1)</f>
        <v>34.5122613</v>
      </c>
      <c r="BU69" s="37" t="n">
        <f aca="false">(BU14=1)*②시니어_가정!$E$267*②시니어_가정!$I$39/1000000*(1+②시니어_가정!$E$270)^(MAX(BU16,1)-1)</f>
        <v>34.5122613</v>
      </c>
      <c r="BV69" s="37" t="n">
        <f aca="false">(BV14=1)*②시니어_가정!$E$267*②시니어_가정!$I$39/1000000*(1+②시니어_가정!$E$270)^(MAX(BV16,1)-1)</f>
        <v>34.5122613</v>
      </c>
      <c r="BW69" s="37" t="n">
        <f aca="false">(BW14=1)*②시니어_가정!$E$267*②시니어_가정!$I$39/1000000*(1+②시니어_가정!$E$270)^(MAX(BW16,1)-1)</f>
        <v>34.5122613</v>
      </c>
      <c r="BX69" s="37" t="n">
        <f aca="false">(BX14=1)*②시니어_가정!$E$267*②시니어_가정!$I$39/1000000*(1+②시니어_가정!$E$270)^(MAX(BX16,1)-1)</f>
        <v>34.5122613</v>
      </c>
      <c r="BY69" s="37" t="n">
        <f aca="false">(BY14=1)*②시니어_가정!$E$267*②시니어_가정!$I$39/1000000*(1+②시니어_가정!$E$270)^(MAX(BY16,1)-1)</f>
        <v>35.202506526</v>
      </c>
      <c r="BZ69" s="37" t="n">
        <f aca="false">(BZ14=1)*②시니어_가정!$E$267*②시니어_가정!$I$39/1000000*(1+②시니어_가정!$E$270)^(MAX(BZ16,1)-1)</f>
        <v>35.202506526</v>
      </c>
      <c r="CA69" s="37" t="n">
        <f aca="false">(CA14=1)*②시니어_가정!$E$267*②시니어_가정!$I$39/1000000*(1+②시니어_가정!$E$270)^(MAX(CA16,1)-1)</f>
        <v>35.202506526</v>
      </c>
      <c r="CB69" s="37" t="n">
        <f aca="false">(CB14=1)*②시니어_가정!$E$267*②시니어_가정!$I$39/1000000*(1+②시니어_가정!$E$270)^(MAX(CB16,1)-1)</f>
        <v>35.202506526</v>
      </c>
      <c r="CC69" s="37" t="n">
        <f aca="false">(CC14=1)*②시니어_가정!$E$267*②시니어_가정!$I$39/1000000*(1+②시니어_가정!$E$270)^(MAX(CC16,1)-1)</f>
        <v>35.202506526</v>
      </c>
      <c r="CD69" s="37" t="n">
        <f aca="false">(CD14=1)*②시니어_가정!$E$267*②시니어_가정!$I$39/1000000*(1+②시니어_가정!$E$270)^(MAX(CD16,1)-1)</f>
        <v>35.202506526</v>
      </c>
      <c r="CE69" s="37" t="n">
        <f aca="false">(CE14=1)*②시니어_가정!$E$267*②시니어_가정!$I$39/1000000*(1+②시니어_가정!$E$270)^(MAX(CE16,1)-1)</f>
        <v>35.202506526</v>
      </c>
      <c r="CF69" s="37" t="n">
        <f aca="false">(CF14=1)*②시니어_가정!$E$267*②시니어_가정!$I$39/1000000*(1+②시니어_가정!$E$270)^(MAX(CF16,1)-1)</f>
        <v>35.202506526</v>
      </c>
      <c r="CG69" s="37" t="n">
        <f aca="false">(CG14=1)*②시니어_가정!$E$267*②시니어_가정!$I$39/1000000*(1+②시니어_가정!$E$270)^(MAX(CG16,1)-1)</f>
        <v>35.202506526</v>
      </c>
      <c r="CH69" s="37" t="n">
        <f aca="false">(CH14=1)*②시니어_가정!$E$267*②시니어_가정!$I$39/1000000*(1+②시니어_가정!$E$270)^(MAX(CH16,1)-1)</f>
        <v>35.202506526</v>
      </c>
      <c r="CI69" s="37" t="n">
        <f aca="false">(CI14=1)*②시니어_가정!$E$267*②시니어_가정!$I$39/1000000*(1+②시니어_가정!$E$270)^(MAX(CI16,1)-1)</f>
        <v>35.202506526</v>
      </c>
      <c r="CJ69" s="37" t="n">
        <f aca="false">(CJ14=1)*②시니어_가정!$E$267*②시니어_가정!$I$39/1000000*(1+②시니어_가정!$E$270)^(MAX(CJ16,1)-1)</f>
        <v>35.202506526</v>
      </c>
      <c r="CK69" s="37" t="n">
        <f aca="false">(CK14=1)*②시니어_가정!$E$267*②시니어_가정!$I$39/1000000*(1+②시니어_가정!$E$270)^(MAX(CK16,1)-1)</f>
        <v>35.90655665652</v>
      </c>
      <c r="CL69" s="37" t="n">
        <f aca="false">(CL14=1)*②시니어_가정!$E$267*②시니어_가정!$I$39/1000000*(1+②시니어_가정!$E$270)^(MAX(CL16,1)-1)</f>
        <v>35.90655665652</v>
      </c>
      <c r="CM69" s="37" t="n">
        <f aca="false">(CM14=1)*②시니어_가정!$E$267*②시니어_가정!$I$39/1000000*(1+②시니어_가정!$E$270)^(MAX(CM16,1)-1)</f>
        <v>35.90655665652</v>
      </c>
      <c r="CN69" s="37" t="n">
        <f aca="false">(CN14=1)*②시니어_가정!$E$267*②시니어_가정!$I$39/1000000*(1+②시니어_가정!$E$270)^(MAX(CN16,1)-1)</f>
        <v>35.90655665652</v>
      </c>
      <c r="CO69" s="37" t="n">
        <f aca="false">(CO14=1)*②시니어_가정!$E$267*②시니어_가정!$I$39/1000000*(1+②시니어_가정!$E$270)^(MAX(CO16,1)-1)</f>
        <v>35.90655665652</v>
      </c>
      <c r="CP69" s="37" t="n">
        <f aca="false">(CP14=1)*②시니어_가정!$E$267*②시니어_가정!$I$39/1000000*(1+②시니어_가정!$E$270)^(MAX(CP16,1)-1)</f>
        <v>35.90655665652</v>
      </c>
      <c r="CQ69" s="37" t="n">
        <f aca="false">(CQ14=1)*②시니어_가정!$E$267*②시니어_가정!$I$39/1000000*(1+②시니어_가정!$E$270)^(MAX(CQ16,1)-1)</f>
        <v>35.90655665652</v>
      </c>
      <c r="CR69" s="37" t="n">
        <f aca="false">(CR14=1)*②시니어_가정!$E$267*②시니어_가정!$I$39/1000000*(1+②시니어_가정!$E$270)^(MAX(CR16,1)-1)</f>
        <v>35.90655665652</v>
      </c>
      <c r="CS69" s="37" t="n">
        <f aca="false">(CS14=1)*②시니어_가정!$E$267*②시니어_가정!$I$39/1000000*(1+②시니어_가정!$E$270)^(MAX(CS16,1)-1)</f>
        <v>35.90655665652</v>
      </c>
      <c r="CT69" s="37" t="n">
        <f aca="false">(CT14=1)*②시니어_가정!$E$267*②시니어_가정!$I$39/1000000*(1+②시니어_가정!$E$270)^(MAX(CT16,1)-1)</f>
        <v>35.90655665652</v>
      </c>
      <c r="CU69" s="37" t="n">
        <f aca="false">(CU14=1)*②시니어_가정!$E$267*②시니어_가정!$I$39/1000000*(1+②시니어_가정!$E$270)^(MAX(CU16,1)-1)</f>
        <v>35.90655665652</v>
      </c>
      <c r="CV69" s="37" t="n">
        <f aca="false">(CV14=1)*②시니어_가정!$E$267*②시니어_가정!$I$39/1000000*(1+②시니어_가정!$E$270)^(MAX(CV16,1)-1)</f>
        <v>35.90655665652</v>
      </c>
      <c r="CW69" s="37" t="n">
        <f aca="false">(CW14=1)*②시니어_가정!$E$267*②시니어_가정!$I$39/1000000*(1+②시니어_가정!$E$270)^(MAX(CW16,1)-1)</f>
        <v>36.6246877896504</v>
      </c>
      <c r="CX69" s="37" t="n">
        <f aca="false">(CX14=1)*②시니어_가정!$E$267*②시니어_가정!$I$39/1000000*(1+②시니어_가정!$E$270)^(MAX(CX16,1)-1)</f>
        <v>36.6246877896504</v>
      </c>
      <c r="CY69" s="37" t="n">
        <f aca="false">(CY14=1)*②시니어_가정!$E$267*②시니어_가정!$I$39/1000000*(1+②시니어_가정!$E$270)^(MAX(CY16,1)-1)</f>
        <v>36.6246877896504</v>
      </c>
      <c r="CZ69" s="37" t="n">
        <f aca="false">(CZ14=1)*②시니어_가정!$E$267*②시니어_가정!$I$39/1000000*(1+②시니어_가정!$E$270)^(MAX(CZ16,1)-1)</f>
        <v>36.6246877896504</v>
      </c>
      <c r="DA69" s="37" t="n">
        <f aca="false">(DA14=1)*②시니어_가정!$E$267*②시니어_가정!$I$39/1000000*(1+②시니어_가정!$E$270)^(MAX(DA16,1)-1)</f>
        <v>36.6246877896504</v>
      </c>
      <c r="DB69" s="37" t="n">
        <f aca="false">(DB14=1)*②시니어_가정!$E$267*②시니어_가정!$I$39/1000000*(1+②시니어_가정!$E$270)^(MAX(DB16,1)-1)</f>
        <v>36.6246877896504</v>
      </c>
      <c r="DC69" s="37" t="n">
        <f aca="false">(DC14=1)*②시니어_가정!$E$267*②시니어_가정!$I$39/1000000*(1+②시니어_가정!$E$270)^(MAX(DC16,1)-1)</f>
        <v>36.6246877896504</v>
      </c>
      <c r="DD69" s="37" t="n">
        <f aca="false">(DD14=1)*②시니어_가정!$E$267*②시니어_가정!$I$39/1000000*(1+②시니어_가정!$E$270)^(MAX(DD16,1)-1)</f>
        <v>36.6246877896504</v>
      </c>
      <c r="DE69" s="37" t="n">
        <f aca="false">(DE14=1)*②시니어_가정!$E$267*②시니어_가정!$I$39/1000000*(1+②시니어_가정!$E$270)^(MAX(DE16,1)-1)</f>
        <v>36.6246877896504</v>
      </c>
      <c r="DF69" s="37" t="n">
        <f aca="false">(DF14=1)*②시니어_가정!$E$267*②시니어_가정!$I$39/1000000*(1+②시니어_가정!$E$270)^(MAX(DF16,1)-1)</f>
        <v>36.6246877896504</v>
      </c>
      <c r="DG69" s="37" t="n">
        <f aca="false">(DG14=1)*②시니어_가정!$E$267*②시니어_가정!$I$39/1000000*(1+②시니어_가정!$E$270)^(MAX(DG16,1)-1)</f>
        <v>36.6246877896504</v>
      </c>
      <c r="DH69" s="37" t="n">
        <f aca="false">(DH14=1)*②시니어_가정!$E$267*②시니어_가정!$I$39/1000000*(1+②시니어_가정!$E$270)^(MAX(DH16,1)-1)</f>
        <v>36.6246877896504</v>
      </c>
      <c r="DI69" s="37" t="n">
        <f aca="false">(DI14=1)*②시니어_가정!$E$267*②시니어_가정!$I$39/1000000*(1+②시니어_가정!$E$270)^(MAX(DI16,1)-1)</f>
        <v>37.3571815454434</v>
      </c>
      <c r="DJ69" s="37" t="n">
        <f aca="false">(DJ14=1)*②시니어_가정!$E$267*②시니어_가정!$I$39/1000000*(1+②시니어_가정!$E$270)^(MAX(DJ16,1)-1)</f>
        <v>37.3571815454434</v>
      </c>
      <c r="DK69" s="37" t="n">
        <f aca="false">(DK14=1)*②시니어_가정!$E$267*②시니어_가정!$I$39/1000000*(1+②시니어_가정!$E$270)^(MAX(DK16,1)-1)</f>
        <v>37.3571815454434</v>
      </c>
      <c r="DL69" s="37" t="n">
        <f aca="false">(DL14=1)*②시니어_가정!$E$267*②시니어_가정!$I$39/1000000*(1+②시니어_가정!$E$270)^(MAX(DL16,1)-1)</f>
        <v>37.3571815454434</v>
      </c>
      <c r="DM69" s="37" t="n">
        <f aca="false">(DM14=1)*②시니어_가정!$E$267*②시니어_가정!$I$39/1000000*(1+②시니어_가정!$E$270)^(MAX(DM16,1)-1)</f>
        <v>37.3571815454434</v>
      </c>
      <c r="DN69" s="37" t="n">
        <f aca="false">(DN14=1)*②시니어_가정!$E$267*②시니어_가정!$I$39/1000000*(1+②시니어_가정!$E$270)^(MAX(DN16,1)-1)</f>
        <v>37.3571815454434</v>
      </c>
      <c r="DO69" s="37" t="n">
        <f aca="false">(DO14=1)*②시니어_가정!$E$267*②시니어_가정!$I$39/1000000*(1+②시니어_가정!$E$270)^(MAX(DO16,1)-1)</f>
        <v>37.3571815454434</v>
      </c>
      <c r="DP69" s="37" t="n">
        <f aca="false">(DP14=1)*②시니어_가정!$E$267*②시니어_가정!$I$39/1000000*(1+②시니어_가정!$E$270)^(MAX(DP16,1)-1)</f>
        <v>37.3571815454434</v>
      </c>
      <c r="DQ69" s="37" t="n">
        <f aca="false">(DQ14=1)*②시니어_가정!$E$267*②시니어_가정!$I$39/1000000*(1+②시니어_가정!$E$270)^(MAX(DQ16,1)-1)</f>
        <v>37.3571815454434</v>
      </c>
      <c r="DR69" s="37" t="n">
        <f aca="false">(DR14=1)*②시니어_가정!$E$267*②시니어_가정!$I$39/1000000*(1+②시니어_가정!$E$270)^(MAX(DR16,1)-1)</f>
        <v>37.3571815454434</v>
      </c>
      <c r="DS69" s="37" t="n">
        <f aca="false">(DS14=1)*②시니어_가정!$E$267*②시니어_가정!$I$39/1000000*(1+②시니어_가정!$E$270)^(MAX(DS16,1)-1)</f>
        <v>37.3571815454434</v>
      </c>
      <c r="DT69" s="37" t="n">
        <f aca="false">(DT14=1)*②시니어_가정!$E$267*②시니어_가정!$I$39/1000000*(1+②시니어_가정!$E$270)^(MAX(DT16,1)-1)</f>
        <v>37.3571815454434</v>
      </c>
      <c r="DU69" s="37" t="n">
        <f aca="false">(DU14=1)*②시니어_가정!$E$267*②시니어_가정!$I$39/1000000*(1+②시니어_가정!$E$270)^(MAX(DU16,1)-1)</f>
        <v>0</v>
      </c>
      <c r="DV69" s="37" t="n">
        <f aca="false">(DV14=1)*②시니어_가정!$E$267*②시니어_가정!$I$39/1000000*(1+②시니어_가정!$E$270)^(MAX(DV16,1)-1)</f>
        <v>0</v>
      </c>
      <c r="DW69" s="37" t="n">
        <f aca="false">(DW14=1)*②시니어_가정!$E$267*②시니어_가정!$I$39/1000000*(1+②시니어_가정!$E$270)^(MAX(DW16,1)-1)</f>
        <v>0</v>
      </c>
      <c r="DX69" s="37" t="n">
        <f aca="false">(DX14=1)*②시니어_가정!$E$267*②시니어_가정!$I$39/1000000*(1+②시니어_가정!$E$270)^(MAX(DX16,1)-1)</f>
        <v>0</v>
      </c>
      <c r="DY69" s="37" t="n">
        <f aca="false">(DY14=1)*②시니어_가정!$E$267*②시니어_가정!$I$39/1000000*(1+②시니어_가정!$E$270)^(MAX(DY16,1)-1)</f>
        <v>0</v>
      </c>
      <c r="DZ69" s="37" t="n">
        <f aca="false">(DZ14=1)*②시니어_가정!$E$267*②시니어_가정!$I$39/1000000*(1+②시니어_가정!$E$270)^(MAX(DZ16,1)-1)</f>
        <v>0</v>
      </c>
      <c r="EA69" s="37" t="n">
        <f aca="false">(EA14=1)*②시니어_가정!$E$267*②시니어_가정!$I$39/1000000*(1+②시니어_가정!$E$270)^(MAX(EA16,1)-1)</f>
        <v>0</v>
      </c>
      <c r="EB69" s="37" t="n">
        <f aca="false">(EB14=1)*②시니어_가정!$E$267*②시니어_가정!$I$39/1000000*(1+②시니어_가정!$E$270)^(MAX(EB16,1)-1)</f>
        <v>0</v>
      </c>
      <c r="EC69" s="37" t="n">
        <f aca="false">(EC14=1)*②시니어_가정!$E$267*②시니어_가정!$I$39/1000000*(1+②시니어_가정!$E$270)^(MAX(EC16,1)-1)</f>
        <v>0</v>
      </c>
      <c r="ED69" s="37" t="n">
        <f aca="false">(ED14=1)*②시니어_가정!$E$267*②시니어_가정!$I$39/1000000*(1+②시니어_가정!$E$270)^(MAX(ED16,1)-1)</f>
        <v>0</v>
      </c>
      <c r="EE69" s="37" t="n">
        <f aca="false">(EE14=1)*②시니어_가정!$E$267*②시니어_가정!$I$39/1000000*(1+②시니어_가정!$E$270)^(MAX(EE16,1)-1)</f>
        <v>0</v>
      </c>
      <c r="EF69" s="37" t="n">
        <f aca="false">(EF14=1)*②시니어_가정!$E$267*②시니어_가정!$I$39/1000000*(1+②시니어_가정!$E$270)^(MAX(EF16,1)-1)</f>
        <v>0</v>
      </c>
    </row>
    <row r="70" customFormat="false" ht="15" hidden="false" customHeight="false" outlineLevel="0" collapsed="false">
      <c r="A70" s="36" t="s">
        <v>281</v>
      </c>
      <c r="B70" s="278" t="s">
        <v>21</v>
      </c>
      <c r="C70" s="279" t="n">
        <f aca="false">SUM(E70:EF70)</f>
        <v>2305.09803146285</v>
      </c>
      <c r="E70" s="37" t="n">
        <f aca="false">(E14=1)*②시니어_가정!$E$268*②시니어_가정!$I$41/12*(1+②시니어_가정!$E$270)^(MAX(E16,1)-1)</f>
        <v>0</v>
      </c>
      <c r="F70" s="37" t="n">
        <f aca="false">(F14=1)*②시니어_가정!$E$268*②시니어_가정!$I$41/12*(1+②시니어_가정!$E$270)^(MAX(F16,1)-1)</f>
        <v>0</v>
      </c>
      <c r="G70" s="37" t="n">
        <f aca="false">(G14=1)*②시니어_가정!$E$268*②시니어_가정!$I$41/12*(1+②시니어_가정!$E$270)^(MAX(G16,1)-1)</f>
        <v>0</v>
      </c>
      <c r="H70" s="37" t="n">
        <f aca="false">(H14=1)*②시니어_가정!$E$268*②시니어_가정!$I$41/12*(1+②시니어_가정!$E$270)^(MAX(H16,1)-1)</f>
        <v>0</v>
      </c>
      <c r="I70" s="37" t="n">
        <f aca="false">(I14=1)*②시니어_가정!$E$268*②시니어_가정!$I$41/12*(1+②시니어_가정!$E$270)^(MAX(I16,1)-1)</f>
        <v>0</v>
      </c>
      <c r="J70" s="37" t="n">
        <f aca="false">(J14=1)*②시니어_가정!$E$268*②시니어_가정!$I$41/12*(1+②시니어_가정!$E$270)^(MAX(J16,1)-1)</f>
        <v>0</v>
      </c>
      <c r="K70" s="37" t="n">
        <f aca="false">(K14=1)*②시니어_가정!$E$268*②시니어_가정!$I$41/12*(1+②시니어_가정!$E$270)^(MAX(K16,1)-1)</f>
        <v>0</v>
      </c>
      <c r="L70" s="37" t="n">
        <f aca="false">(L14=1)*②시니어_가정!$E$268*②시니어_가정!$I$41/12*(1+②시니어_가정!$E$270)^(MAX(L16,1)-1)</f>
        <v>0</v>
      </c>
      <c r="M70" s="37" t="n">
        <f aca="false">(M14=1)*②시니어_가정!$E$268*②시니어_가정!$I$41/12*(1+②시니어_가정!$E$270)^(MAX(M16,1)-1)</f>
        <v>0</v>
      </c>
      <c r="N70" s="37" t="n">
        <f aca="false">(N14=1)*②시니어_가정!$E$268*②시니어_가정!$I$41/12*(1+②시니어_가정!$E$270)^(MAX(N16,1)-1)</f>
        <v>0</v>
      </c>
      <c r="O70" s="37" t="n">
        <f aca="false">(O14=1)*②시니어_가정!$E$268*②시니어_가정!$I$41/12*(1+②시니어_가정!$E$270)^(MAX(O16,1)-1)</f>
        <v>0</v>
      </c>
      <c r="P70" s="37" t="n">
        <f aca="false">(P14=1)*②시니어_가정!$E$268*②시니어_가정!$I$41/12*(1+②시니어_가정!$E$270)^(MAX(P16,1)-1)</f>
        <v>0</v>
      </c>
      <c r="Q70" s="37" t="n">
        <f aca="false">(Q14=1)*②시니어_가정!$E$268*②시니어_가정!$I$41/12*(1+②시니어_가정!$E$270)^(MAX(Q16,1)-1)</f>
        <v>0</v>
      </c>
      <c r="R70" s="37" t="n">
        <f aca="false">(R14=1)*②시니어_가정!$E$268*②시니어_가정!$I$41/12*(1+②시니어_가정!$E$270)^(MAX(R16,1)-1)</f>
        <v>0</v>
      </c>
      <c r="S70" s="37" t="n">
        <f aca="false">(S14=1)*②시니어_가정!$E$268*②시니어_가정!$I$41/12*(1+②시니어_가정!$E$270)^(MAX(S16,1)-1)</f>
        <v>0</v>
      </c>
      <c r="T70" s="37" t="n">
        <f aca="false">(T14=1)*②시니어_가정!$E$268*②시니어_가정!$I$41/12*(1+②시니어_가정!$E$270)^(MAX(T16,1)-1)</f>
        <v>0</v>
      </c>
      <c r="U70" s="37" t="n">
        <f aca="false">(U14=1)*②시니어_가정!$E$268*②시니어_가정!$I$41/12*(1+②시니어_가정!$E$270)^(MAX(U16,1)-1)</f>
        <v>0</v>
      </c>
      <c r="V70" s="37" t="n">
        <f aca="false">(V14=1)*②시니어_가정!$E$268*②시니어_가정!$I$41/12*(1+②시니어_가정!$E$270)^(MAX(V16,1)-1)</f>
        <v>0</v>
      </c>
      <c r="W70" s="37" t="n">
        <f aca="false">(W14=1)*②시니어_가정!$E$268*②시니어_가정!$I$41/12*(1+②시니어_가정!$E$270)^(MAX(W16,1)-1)</f>
        <v>0</v>
      </c>
      <c r="X70" s="37" t="n">
        <f aca="false">(X14=1)*②시니어_가정!$E$268*②시니어_가정!$I$41/12*(1+②시니어_가정!$E$270)^(MAX(X16,1)-1)</f>
        <v>0</v>
      </c>
      <c r="Y70" s="37" t="n">
        <f aca="false">(Y14=1)*②시니어_가정!$E$268*②시니어_가정!$I$41/12*(1+②시니어_가정!$E$270)^(MAX(Y16,1)-1)</f>
        <v>0</v>
      </c>
      <c r="Z70" s="37" t="n">
        <f aca="false">(Z14=1)*②시니어_가정!$E$268*②시니어_가정!$I$41/12*(1+②시니어_가정!$E$270)^(MAX(Z16,1)-1)</f>
        <v>0</v>
      </c>
      <c r="AA70" s="37" t="n">
        <f aca="false">(AA14=1)*②시니어_가정!$E$268*②시니어_가정!$I$41/12*(1+②시니어_가정!$E$270)^(MAX(AA16,1)-1)</f>
        <v>0</v>
      </c>
      <c r="AB70" s="37" t="n">
        <f aca="false">(AB14=1)*②시니어_가정!$E$268*②시니어_가정!$I$41/12*(1+②시니어_가정!$E$270)^(MAX(AB16,1)-1)</f>
        <v>0</v>
      </c>
      <c r="AC70" s="37" t="n">
        <f aca="false">(AC14=1)*②시니어_가정!$E$268*②시니어_가정!$I$41/12*(1+②시니어_가정!$E$270)^(MAX(AC16,1)-1)</f>
        <v>0</v>
      </c>
      <c r="AD70" s="37" t="n">
        <f aca="false">(AD14=1)*②시니어_가정!$E$268*②시니어_가정!$I$41/12*(1+②시니어_가정!$E$270)^(MAX(AD16,1)-1)</f>
        <v>0</v>
      </c>
      <c r="AE70" s="37" t="n">
        <f aca="false">(AE14=1)*②시니어_가정!$E$268*②시니어_가정!$I$41/12*(1+②시니어_가정!$E$270)^(MAX(AE16,1)-1)</f>
        <v>0</v>
      </c>
      <c r="AF70" s="37" t="n">
        <f aca="false">(AF14=1)*②시니어_가정!$E$268*②시니어_가정!$I$41/12*(1+②시니어_가정!$E$270)^(MAX(AF16,1)-1)</f>
        <v>0</v>
      </c>
      <c r="AG70" s="37" t="n">
        <f aca="false">(AG14=1)*②시니어_가정!$E$268*②시니어_가정!$I$41/12*(1+②시니어_가정!$E$270)^(MAX(AG16,1)-1)</f>
        <v>0</v>
      </c>
      <c r="AH70" s="37" t="n">
        <f aca="false">(AH14=1)*②시니어_가정!$E$268*②시니어_가정!$I$41/12*(1+②시니어_가정!$E$270)^(MAX(AH16,1)-1)</f>
        <v>0</v>
      </c>
      <c r="AI70" s="37" t="n">
        <f aca="false">(AI14=1)*②시니어_가정!$E$268*②시니어_가정!$I$41/12*(1+②시니어_가정!$E$270)^(MAX(AI16,1)-1)</f>
        <v>0</v>
      </c>
      <c r="AJ70" s="37" t="n">
        <f aca="false">(AJ14=1)*②시니어_가정!$E$268*②시니어_가정!$I$41/12*(1+②시니어_가정!$E$270)^(MAX(AJ16,1)-1)</f>
        <v>0</v>
      </c>
      <c r="AK70" s="37" t="n">
        <f aca="false">(AK14=1)*②시니어_가정!$E$268*②시니어_가정!$I$41/12*(1+②시니어_가정!$E$270)^(MAX(AK16,1)-1)</f>
        <v>0</v>
      </c>
      <c r="AL70" s="37" t="n">
        <f aca="false">(AL14=1)*②시니어_가정!$E$268*②시니어_가정!$I$41/12*(1+②시니어_가정!$E$270)^(MAX(AL16,1)-1)</f>
        <v>0</v>
      </c>
      <c r="AM70" s="37" t="n">
        <f aca="false">(AM14=1)*②시니어_가정!$E$268*②시니어_가정!$I$41/12*(1+②시니어_가정!$E$270)^(MAX(AM16,1)-1)</f>
        <v>0</v>
      </c>
      <c r="AN70" s="37" t="n">
        <f aca="false">(AN14=1)*②시니어_가정!$E$268*②시니어_가정!$I$41/12*(1+②시니어_가정!$E$270)^(MAX(AN16,1)-1)</f>
        <v>0</v>
      </c>
      <c r="AO70" s="37" t="n">
        <f aca="false">(AO14=1)*②시니어_가정!$E$268*②시니어_가정!$I$41/12*(1+②시니어_가정!$E$270)^(MAX(AO16,1)-1)</f>
        <v>0</v>
      </c>
      <c r="AP70" s="37" t="n">
        <f aca="false">(AP14=1)*②시니어_가정!$E$268*②시니어_가정!$I$41/12*(1+②시니어_가정!$E$270)^(MAX(AP16,1)-1)</f>
        <v>0</v>
      </c>
      <c r="AQ70" s="37" t="n">
        <f aca="false">(AQ14=1)*②시니어_가정!$E$268*②시니어_가정!$I$41/12*(1+②시니어_가정!$E$270)^(MAX(AQ16,1)-1)</f>
        <v>0</v>
      </c>
      <c r="AR70" s="37" t="n">
        <f aca="false">(AR14=1)*②시니어_가정!$E$268*②시니어_가정!$I$41/12*(1+②시니어_가정!$E$270)^(MAX(AR16,1)-1)</f>
        <v>0</v>
      </c>
      <c r="AS70" s="37" t="n">
        <f aca="false">(AS14=1)*②시니어_가정!$E$268*②시니어_가정!$I$41/12*(1+②시니어_가정!$E$270)^(MAX(AS16,1)-1)</f>
        <v>0</v>
      </c>
      <c r="AT70" s="37" t="n">
        <f aca="false">(AT14=1)*②시니어_가정!$E$268*②시니어_가정!$I$41/12*(1+②시니어_가정!$E$270)^(MAX(AT16,1)-1)</f>
        <v>0</v>
      </c>
      <c r="AU70" s="37" t="n">
        <f aca="false">(AU14=1)*②시니어_가정!$E$268*②시니어_가정!$I$41/12*(1+②시니어_가정!$E$270)^(MAX(AU16,1)-1)</f>
        <v>0</v>
      </c>
      <c r="AV70" s="37" t="n">
        <f aca="false">(AV14=1)*②시니어_가정!$E$268*②시니어_가정!$I$41/12*(1+②시니어_가정!$E$270)^(MAX(AV16,1)-1)</f>
        <v>0</v>
      </c>
      <c r="AW70" s="37" t="n">
        <f aca="false">(AW14=1)*②시니어_가정!$E$268*②시니어_가정!$I$41/12*(1+②시니어_가정!$E$270)^(MAX(AW16,1)-1)</f>
        <v>0</v>
      </c>
      <c r="AX70" s="37" t="n">
        <f aca="false">(AX14=1)*②시니어_가정!$E$268*②시니어_가정!$I$41/12*(1+②시니어_가정!$E$270)^(MAX(AX16,1)-1)</f>
        <v>0</v>
      </c>
      <c r="AY70" s="37" t="n">
        <f aca="false">(AY14=1)*②시니어_가정!$E$268*②시니어_가정!$I$41/12*(1+②시니어_가정!$E$270)^(MAX(AY16,1)-1)</f>
        <v>0</v>
      </c>
      <c r="AZ70" s="37" t="n">
        <f aca="false">(AZ14=1)*②시니어_가정!$E$268*②시니어_가정!$I$41/12*(1+②시니어_가정!$E$270)^(MAX(AZ16,1)-1)</f>
        <v>0</v>
      </c>
      <c r="BA70" s="37" t="n">
        <f aca="false">(BA14=1)*②시니어_가정!$E$268*②시니어_가정!$I$41/12*(1+②시니어_가정!$E$270)^(MAX(BA16,1)-1)</f>
        <v>0</v>
      </c>
      <c r="BB70" s="37" t="n">
        <f aca="false">(BB14=1)*②시니어_가정!$E$268*②시니어_가정!$I$41/12*(1+②시니어_가정!$E$270)^(MAX(BB16,1)-1)</f>
        <v>0</v>
      </c>
      <c r="BC70" s="37" t="n">
        <f aca="false">(BC14=1)*②시니어_가정!$E$268*②시니어_가정!$I$41/12*(1+②시니어_가정!$E$270)^(MAX(BC16,1)-1)</f>
        <v>0</v>
      </c>
      <c r="BD70" s="37" t="n">
        <f aca="false">(BD14=1)*②시니어_가정!$E$268*②시니어_가정!$I$41/12*(1+②시니어_가정!$E$270)^(MAX(BD16,1)-1)</f>
        <v>0</v>
      </c>
      <c r="BE70" s="37" t="n">
        <f aca="false">(BE14=1)*②시니어_가정!$E$268*②시니어_가정!$I$41/12*(1+②시니어_가정!$E$270)^(MAX(BE16,1)-1)</f>
        <v>0</v>
      </c>
      <c r="BF70" s="37" t="n">
        <f aca="false">(BF14=1)*②시니어_가정!$E$268*②시니어_가정!$I$41/12*(1+②시니어_가정!$E$270)^(MAX(BF16,1)-1)</f>
        <v>0</v>
      </c>
      <c r="BG70" s="37" t="n">
        <f aca="false">(BG14=1)*②시니어_가정!$E$268*②시니어_가정!$I$41/12*(1+②시니어_가정!$E$270)^(MAX(BG16,1)-1)</f>
        <v>0</v>
      </c>
      <c r="BH70" s="37" t="n">
        <f aca="false">(BH14=1)*②시니어_가정!$E$268*②시니어_가정!$I$41/12*(1+②시니어_가정!$E$270)^(MAX(BH16,1)-1)</f>
        <v>0</v>
      </c>
      <c r="BI70" s="37" t="n">
        <f aca="false">(BI14=1)*②시니어_가정!$E$268*②시니어_가정!$I$41/12*(1+②시니어_가정!$E$270)^(MAX(BI16,1)-1)</f>
        <v>0</v>
      </c>
      <c r="BJ70" s="37" t="n">
        <f aca="false">(BJ14=1)*②시니어_가정!$E$268*②시니어_가정!$I$41/12*(1+②시니어_가정!$E$270)^(MAX(BJ16,1)-1)</f>
        <v>0</v>
      </c>
      <c r="BK70" s="37" t="n">
        <f aca="false">(BK14=1)*②시니어_가정!$E$268*②시니어_가정!$I$41/12*(1+②시니어_가정!$E$270)^(MAX(BK16,1)-1)</f>
        <v>0</v>
      </c>
      <c r="BL70" s="37" t="n">
        <f aca="false">(BL14=1)*②시니어_가정!$E$268*②시니어_가정!$I$41/12*(1+②시니어_가정!$E$270)^(MAX(BL16,1)-1)</f>
        <v>0</v>
      </c>
      <c r="BM70" s="37" t="n">
        <f aca="false">(BM14=1)*②시니어_가정!$E$268*②시니어_가정!$I$41/12*(1+②시니어_가정!$E$270)^(MAX(BM16,1)-1)</f>
        <v>36.9119946649114</v>
      </c>
      <c r="BN70" s="37" t="n">
        <f aca="false">(BN14=1)*②시니어_가정!$E$268*②시니어_가정!$I$41/12*(1+②시니어_가정!$E$270)^(MAX(BN16,1)-1)</f>
        <v>36.9119946649114</v>
      </c>
      <c r="BO70" s="37" t="n">
        <f aca="false">(BO14=1)*②시니어_가정!$E$268*②시니어_가정!$I$41/12*(1+②시니어_가정!$E$270)^(MAX(BO16,1)-1)</f>
        <v>36.9119946649114</v>
      </c>
      <c r="BP70" s="37" t="n">
        <f aca="false">(BP14=1)*②시니어_가정!$E$268*②시니어_가정!$I$41/12*(1+②시니어_가정!$E$270)^(MAX(BP16,1)-1)</f>
        <v>36.9119946649114</v>
      </c>
      <c r="BQ70" s="37" t="n">
        <f aca="false">(BQ14=1)*②시니어_가정!$E$268*②시니어_가정!$I$41/12*(1+②시니어_가정!$E$270)^(MAX(BQ16,1)-1)</f>
        <v>36.9119946649114</v>
      </c>
      <c r="BR70" s="37" t="n">
        <f aca="false">(BR14=1)*②시니어_가정!$E$268*②시니어_가정!$I$41/12*(1+②시니어_가정!$E$270)^(MAX(BR16,1)-1)</f>
        <v>36.9119946649114</v>
      </c>
      <c r="BS70" s="37" t="n">
        <f aca="false">(BS14=1)*②시니어_가정!$E$268*②시니어_가정!$I$41/12*(1+②시니어_가정!$E$270)^(MAX(BS16,1)-1)</f>
        <v>36.9119946649114</v>
      </c>
      <c r="BT70" s="37" t="n">
        <f aca="false">(BT14=1)*②시니어_가정!$E$268*②시니어_가정!$I$41/12*(1+②시니어_가정!$E$270)^(MAX(BT16,1)-1)</f>
        <v>36.9119946649114</v>
      </c>
      <c r="BU70" s="37" t="n">
        <f aca="false">(BU14=1)*②시니어_가정!$E$268*②시니어_가정!$I$41/12*(1+②시니어_가정!$E$270)^(MAX(BU16,1)-1)</f>
        <v>36.9119946649114</v>
      </c>
      <c r="BV70" s="37" t="n">
        <f aca="false">(BV14=1)*②시니어_가정!$E$268*②시니어_가정!$I$41/12*(1+②시니어_가정!$E$270)^(MAX(BV16,1)-1)</f>
        <v>36.9119946649114</v>
      </c>
      <c r="BW70" s="37" t="n">
        <f aca="false">(BW14=1)*②시니어_가정!$E$268*②시니어_가정!$I$41/12*(1+②시니어_가정!$E$270)^(MAX(BW16,1)-1)</f>
        <v>36.9119946649114</v>
      </c>
      <c r="BX70" s="37" t="n">
        <f aca="false">(BX14=1)*②시니어_가정!$E$268*②시니어_가정!$I$41/12*(1+②시니어_가정!$E$270)^(MAX(BX16,1)-1)</f>
        <v>36.9119946649114</v>
      </c>
      <c r="BY70" s="37" t="n">
        <f aca="false">(BY14=1)*②시니어_가정!$E$268*②시니어_가정!$I$41/12*(1+②시니어_가정!$E$270)^(MAX(BY16,1)-1)</f>
        <v>37.6502345582096</v>
      </c>
      <c r="BZ70" s="37" t="n">
        <f aca="false">(BZ14=1)*②시니어_가정!$E$268*②시니어_가정!$I$41/12*(1+②시니어_가정!$E$270)^(MAX(BZ16,1)-1)</f>
        <v>37.6502345582096</v>
      </c>
      <c r="CA70" s="37" t="n">
        <f aca="false">(CA14=1)*②시니어_가정!$E$268*②시니어_가정!$I$41/12*(1+②시니어_가정!$E$270)^(MAX(CA16,1)-1)</f>
        <v>37.6502345582096</v>
      </c>
      <c r="CB70" s="37" t="n">
        <f aca="false">(CB14=1)*②시니어_가정!$E$268*②시니어_가정!$I$41/12*(1+②시니어_가정!$E$270)^(MAX(CB16,1)-1)</f>
        <v>37.6502345582096</v>
      </c>
      <c r="CC70" s="37" t="n">
        <f aca="false">(CC14=1)*②시니어_가정!$E$268*②시니어_가정!$I$41/12*(1+②시니어_가정!$E$270)^(MAX(CC16,1)-1)</f>
        <v>37.6502345582096</v>
      </c>
      <c r="CD70" s="37" t="n">
        <f aca="false">(CD14=1)*②시니어_가정!$E$268*②시니어_가정!$I$41/12*(1+②시니어_가정!$E$270)^(MAX(CD16,1)-1)</f>
        <v>37.6502345582096</v>
      </c>
      <c r="CE70" s="37" t="n">
        <f aca="false">(CE14=1)*②시니어_가정!$E$268*②시니어_가정!$I$41/12*(1+②시니어_가정!$E$270)^(MAX(CE16,1)-1)</f>
        <v>37.6502345582096</v>
      </c>
      <c r="CF70" s="37" t="n">
        <f aca="false">(CF14=1)*②시니어_가정!$E$268*②시니어_가정!$I$41/12*(1+②시니어_가정!$E$270)^(MAX(CF16,1)-1)</f>
        <v>37.6502345582096</v>
      </c>
      <c r="CG70" s="37" t="n">
        <f aca="false">(CG14=1)*②시니어_가정!$E$268*②시니어_가정!$I$41/12*(1+②시니어_가정!$E$270)^(MAX(CG16,1)-1)</f>
        <v>37.6502345582096</v>
      </c>
      <c r="CH70" s="37" t="n">
        <f aca="false">(CH14=1)*②시니어_가정!$E$268*②시니어_가정!$I$41/12*(1+②시니어_가정!$E$270)^(MAX(CH16,1)-1)</f>
        <v>37.6502345582096</v>
      </c>
      <c r="CI70" s="37" t="n">
        <f aca="false">(CI14=1)*②시니어_가정!$E$268*②시니어_가정!$I$41/12*(1+②시니어_가정!$E$270)^(MAX(CI16,1)-1)</f>
        <v>37.6502345582096</v>
      </c>
      <c r="CJ70" s="37" t="n">
        <f aca="false">(CJ14=1)*②시니어_가정!$E$268*②시니어_가정!$I$41/12*(1+②시니어_가정!$E$270)^(MAX(CJ16,1)-1)</f>
        <v>37.6502345582096</v>
      </c>
      <c r="CK70" s="37" t="n">
        <f aca="false">(CK14=1)*②시니어_가정!$E$268*②시니어_가정!$I$41/12*(1+②시니어_가정!$E$270)^(MAX(CK16,1)-1)</f>
        <v>38.4032392493738</v>
      </c>
      <c r="CL70" s="37" t="n">
        <f aca="false">(CL14=1)*②시니어_가정!$E$268*②시니어_가정!$I$41/12*(1+②시니어_가정!$E$270)^(MAX(CL16,1)-1)</f>
        <v>38.4032392493738</v>
      </c>
      <c r="CM70" s="37" t="n">
        <f aca="false">(CM14=1)*②시니어_가정!$E$268*②시니어_가정!$I$41/12*(1+②시니어_가정!$E$270)^(MAX(CM16,1)-1)</f>
        <v>38.4032392493738</v>
      </c>
      <c r="CN70" s="37" t="n">
        <f aca="false">(CN14=1)*②시니어_가정!$E$268*②시니어_가정!$I$41/12*(1+②시니어_가정!$E$270)^(MAX(CN16,1)-1)</f>
        <v>38.4032392493738</v>
      </c>
      <c r="CO70" s="37" t="n">
        <f aca="false">(CO14=1)*②시니어_가정!$E$268*②시니어_가정!$I$41/12*(1+②시니어_가정!$E$270)^(MAX(CO16,1)-1)</f>
        <v>38.4032392493738</v>
      </c>
      <c r="CP70" s="37" t="n">
        <f aca="false">(CP14=1)*②시니어_가정!$E$268*②시니어_가정!$I$41/12*(1+②시니어_가정!$E$270)^(MAX(CP16,1)-1)</f>
        <v>38.4032392493738</v>
      </c>
      <c r="CQ70" s="37" t="n">
        <f aca="false">(CQ14=1)*②시니어_가정!$E$268*②시니어_가정!$I$41/12*(1+②시니어_가정!$E$270)^(MAX(CQ16,1)-1)</f>
        <v>38.4032392493738</v>
      </c>
      <c r="CR70" s="37" t="n">
        <f aca="false">(CR14=1)*②시니어_가정!$E$268*②시니어_가정!$I$41/12*(1+②시니어_가정!$E$270)^(MAX(CR16,1)-1)</f>
        <v>38.4032392493738</v>
      </c>
      <c r="CS70" s="37" t="n">
        <f aca="false">(CS14=1)*②시니어_가정!$E$268*②시니어_가정!$I$41/12*(1+②시니어_가정!$E$270)^(MAX(CS16,1)-1)</f>
        <v>38.4032392493738</v>
      </c>
      <c r="CT70" s="37" t="n">
        <f aca="false">(CT14=1)*②시니어_가정!$E$268*②시니어_가정!$I$41/12*(1+②시니어_가정!$E$270)^(MAX(CT16,1)-1)</f>
        <v>38.4032392493738</v>
      </c>
      <c r="CU70" s="37" t="n">
        <f aca="false">(CU14=1)*②시니어_가정!$E$268*②시니어_가정!$I$41/12*(1+②시니어_가정!$E$270)^(MAX(CU16,1)-1)</f>
        <v>38.4032392493738</v>
      </c>
      <c r="CV70" s="37" t="n">
        <f aca="false">(CV14=1)*②시니어_가정!$E$268*②시니어_가정!$I$41/12*(1+②시니어_가정!$E$270)^(MAX(CV16,1)-1)</f>
        <v>38.4032392493738</v>
      </c>
      <c r="CW70" s="37" t="n">
        <f aca="false">(CW14=1)*②시니어_가정!$E$268*②시니어_가정!$I$41/12*(1+②시니어_가정!$E$270)^(MAX(CW16,1)-1)</f>
        <v>39.1713040343613</v>
      </c>
      <c r="CX70" s="37" t="n">
        <f aca="false">(CX14=1)*②시니어_가정!$E$268*②시니어_가정!$I$41/12*(1+②시니어_가정!$E$270)^(MAX(CX16,1)-1)</f>
        <v>39.1713040343613</v>
      </c>
      <c r="CY70" s="37" t="n">
        <f aca="false">(CY14=1)*②시니어_가정!$E$268*②시니어_가정!$I$41/12*(1+②시니어_가정!$E$270)^(MAX(CY16,1)-1)</f>
        <v>39.1713040343613</v>
      </c>
      <c r="CZ70" s="37" t="n">
        <f aca="false">(CZ14=1)*②시니어_가정!$E$268*②시니어_가정!$I$41/12*(1+②시니어_가정!$E$270)^(MAX(CZ16,1)-1)</f>
        <v>39.1713040343613</v>
      </c>
      <c r="DA70" s="37" t="n">
        <f aca="false">(DA14=1)*②시니어_가정!$E$268*②시니어_가정!$I$41/12*(1+②시니어_가정!$E$270)^(MAX(DA16,1)-1)</f>
        <v>39.1713040343613</v>
      </c>
      <c r="DB70" s="37" t="n">
        <f aca="false">(DB14=1)*②시니어_가정!$E$268*②시니어_가정!$I$41/12*(1+②시니어_가정!$E$270)^(MAX(DB16,1)-1)</f>
        <v>39.1713040343613</v>
      </c>
      <c r="DC70" s="37" t="n">
        <f aca="false">(DC14=1)*②시니어_가정!$E$268*②시니어_가정!$I$41/12*(1+②시니어_가정!$E$270)^(MAX(DC16,1)-1)</f>
        <v>39.1713040343613</v>
      </c>
      <c r="DD70" s="37" t="n">
        <f aca="false">(DD14=1)*②시니어_가정!$E$268*②시니어_가정!$I$41/12*(1+②시니어_가정!$E$270)^(MAX(DD16,1)-1)</f>
        <v>39.1713040343613</v>
      </c>
      <c r="DE70" s="37" t="n">
        <f aca="false">(DE14=1)*②시니어_가정!$E$268*②시니어_가정!$I$41/12*(1+②시니어_가정!$E$270)^(MAX(DE16,1)-1)</f>
        <v>39.1713040343613</v>
      </c>
      <c r="DF70" s="37" t="n">
        <f aca="false">(DF14=1)*②시니어_가정!$E$268*②시니어_가정!$I$41/12*(1+②시니어_가정!$E$270)^(MAX(DF16,1)-1)</f>
        <v>39.1713040343613</v>
      </c>
      <c r="DG70" s="37" t="n">
        <f aca="false">(DG14=1)*②시니어_가정!$E$268*②시니어_가정!$I$41/12*(1+②시니어_가정!$E$270)^(MAX(DG16,1)-1)</f>
        <v>39.1713040343613</v>
      </c>
      <c r="DH70" s="37" t="n">
        <f aca="false">(DH14=1)*②시니어_가정!$E$268*②시니어_가정!$I$41/12*(1+②시니어_가정!$E$270)^(MAX(DH16,1)-1)</f>
        <v>39.1713040343613</v>
      </c>
      <c r="DI70" s="37" t="n">
        <f aca="false">(DI14=1)*②시니어_가정!$E$268*②시니어_가정!$I$41/12*(1+②시니어_가정!$E$270)^(MAX(DI16,1)-1)</f>
        <v>39.9547301150485</v>
      </c>
      <c r="DJ70" s="37" t="n">
        <f aca="false">(DJ14=1)*②시니어_가정!$E$268*②시니어_가정!$I$41/12*(1+②시니어_가정!$E$270)^(MAX(DJ16,1)-1)</f>
        <v>39.9547301150485</v>
      </c>
      <c r="DK70" s="37" t="n">
        <f aca="false">(DK14=1)*②시니어_가정!$E$268*②시니어_가정!$I$41/12*(1+②시니어_가정!$E$270)^(MAX(DK16,1)-1)</f>
        <v>39.9547301150485</v>
      </c>
      <c r="DL70" s="37" t="n">
        <f aca="false">(DL14=1)*②시니어_가정!$E$268*②시니어_가정!$I$41/12*(1+②시니어_가정!$E$270)^(MAX(DL16,1)-1)</f>
        <v>39.9547301150485</v>
      </c>
      <c r="DM70" s="37" t="n">
        <f aca="false">(DM14=1)*②시니어_가정!$E$268*②시니어_가정!$I$41/12*(1+②시니어_가정!$E$270)^(MAX(DM16,1)-1)</f>
        <v>39.9547301150485</v>
      </c>
      <c r="DN70" s="37" t="n">
        <f aca="false">(DN14=1)*②시니어_가정!$E$268*②시니어_가정!$I$41/12*(1+②시니어_가정!$E$270)^(MAX(DN16,1)-1)</f>
        <v>39.9547301150485</v>
      </c>
      <c r="DO70" s="37" t="n">
        <f aca="false">(DO14=1)*②시니어_가정!$E$268*②시니어_가정!$I$41/12*(1+②시니어_가정!$E$270)^(MAX(DO16,1)-1)</f>
        <v>39.9547301150485</v>
      </c>
      <c r="DP70" s="37" t="n">
        <f aca="false">(DP14=1)*②시니어_가정!$E$268*②시니어_가정!$I$41/12*(1+②시니어_가정!$E$270)^(MAX(DP16,1)-1)</f>
        <v>39.9547301150485</v>
      </c>
      <c r="DQ70" s="37" t="n">
        <f aca="false">(DQ14=1)*②시니어_가정!$E$268*②시니어_가정!$I$41/12*(1+②시니어_가정!$E$270)^(MAX(DQ16,1)-1)</f>
        <v>39.9547301150485</v>
      </c>
      <c r="DR70" s="37" t="n">
        <f aca="false">(DR14=1)*②시니어_가정!$E$268*②시니어_가정!$I$41/12*(1+②시니어_가정!$E$270)^(MAX(DR16,1)-1)</f>
        <v>39.9547301150485</v>
      </c>
      <c r="DS70" s="37" t="n">
        <f aca="false">(DS14=1)*②시니어_가정!$E$268*②시니어_가정!$I$41/12*(1+②시니어_가정!$E$270)^(MAX(DS16,1)-1)</f>
        <v>39.9547301150485</v>
      </c>
      <c r="DT70" s="37" t="n">
        <f aca="false">(DT14=1)*②시니어_가정!$E$268*②시니어_가정!$I$41/12*(1+②시니어_가정!$E$270)^(MAX(DT16,1)-1)</f>
        <v>39.9547301150485</v>
      </c>
      <c r="DU70" s="37" t="n">
        <f aca="false">(DU14=1)*②시니어_가정!$E$268*②시니어_가정!$I$41/12*(1+②시니어_가정!$E$270)^(MAX(DU16,1)-1)</f>
        <v>0</v>
      </c>
      <c r="DV70" s="37" t="n">
        <f aca="false">(DV14=1)*②시니어_가정!$E$268*②시니어_가정!$I$41/12*(1+②시니어_가정!$E$270)^(MAX(DV16,1)-1)</f>
        <v>0</v>
      </c>
      <c r="DW70" s="37" t="n">
        <f aca="false">(DW14=1)*②시니어_가정!$E$268*②시니어_가정!$I$41/12*(1+②시니어_가정!$E$270)^(MAX(DW16,1)-1)</f>
        <v>0</v>
      </c>
      <c r="DX70" s="37" t="n">
        <f aca="false">(DX14=1)*②시니어_가정!$E$268*②시니어_가정!$I$41/12*(1+②시니어_가정!$E$270)^(MAX(DX16,1)-1)</f>
        <v>0</v>
      </c>
      <c r="DY70" s="37" t="n">
        <f aca="false">(DY14=1)*②시니어_가정!$E$268*②시니어_가정!$I$41/12*(1+②시니어_가정!$E$270)^(MAX(DY16,1)-1)</f>
        <v>0</v>
      </c>
      <c r="DZ70" s="37" t="n">
        <f aca="false">(DZ14=1)*②시니어_가정!$E$268*②시니어_가정!$I$41/12*(1+②시니어_가정!$E$270)^(MAX(DZ16,1)-1)</f>
        <v>0</v>
      </c>
      <c r="EA70" s="37" t="n">
        <f aca="false">(EA14=1)*②시니어_가정!$E$268*②시니어_가정!$I$41/12*(1+②시니어_가정!$E$270)^(MAX(EA16,1)-1)</f>
        <v>0</v>
      </c>
      <c r="EB70" s="37" t="n">
        <f aca="false">(EB14=1)*②시니어_가정!$E$268*②시니어_가정!$I$41/12*(1+②시니어_가정!$E$270)^(MAX(EB16,1)-1)</f>
        <v>0</v>
      </c>
      <c r="EC70" s="37" t="n">
        <f aca="false">(EC14=1)*②시니어_가정!$E$268*②시니어_가정!$I$41/12*(1+②시니어_가정!$E$270)^(MAX(EC16,1)-1)</f>
        <v>0</v>
      </c>
      <c r="ED70" s="37" t="n">
        <f aca="false">(ED14=1)*②시니어_가정!$E$268*②시니어_가정!$I$41/12*(1+②시니어_가정!$E$270)^(MAX(ED16,1)-1)</f>
        <v>0</v>
      </c>
      <c r="EE70" s="37" t="n">
        <f aca="false">(EE14=1)*②시니어_가정!$E$268*②시니어_가정!$I$41/12*(1+②시니어_가정!$E$270)^(MAX(EE16,1)-1)</f>
        <v>0</v>
      </c>
      <c r="EF70" s="37" t="n">
        <f aca="false">(EF14=1)*②시니어_가정!$E$268*②시니어_가정!$I$41/12*(1+②시니어_가정!$E$270)^(MAX(EF16,1)-1)</f>
        <v>0</v>
      </c>
    </row>
    <row r="71" customFormat="false" ht="15" hidden="false" customHeight="false" outlineLevel="0" collapsed="false">
      <c r="A71" s="36" t="s">
        <v>615</v>
      </c>
      <c r="B71" s="278" t="s">
        <v>21</v>
      </c>
      <c r="C71" s="279" t="n">
        <f aca="false">SUM(E71:EF71)</f>
        <v>9028.5125</v>
      </c>
      <c r="E71" s="37" t="n">
        <f aca="false">(E14=1)*0*②시니어_가정!$E$269/12*②시니어_가정!$D$555</f>
        <v>0</v>
      </c>
      <c r="F71" s="37" t="n">
        <f aca="false">(F14=1)*E86*②시니어_가정!$E$269/12*②시니어_가정!$D$555</f>
        <v>0</v>
      </c>
      <c r="G71" s="37" t="n">
        <f aca="false">(G14=1)*F86*②시니어_가정!$E$269/12*②시니어_가정!$D$555</f>
        <v>0</v>
      </c>
      <c r="H71" s="37" t="n">
        <f aca="false">(H14=1)*G86*②시니어_가정!$E$269/12*②시니어_가정!$D$555</f>
        <v>0</v>
      </c>
      <c r="I71" s="37" t="n">
        <f aca="false">(I14=1)*H86*②시니어_가정!$E$269/12*②시니어_가정!$D$555</f>
        <v>0</v>
      </c>
      <c r="J71" s="37" t="n">
        <f aca="false">(J14=1)*I86*②시니어_가정!$E$269/12*②시니어_가정!$D$555</f>
        <v>0</v>
      </c>
      <c r="K71" s="37" t="n">
        <f aca="false">(K14=1)*J86*②시니어_가정!$E$269/12*②시니어_가정!$D$555</f>
        <v>0</v>
      </c>
      <c r="L71" s="37" t="n">
        <f aca="false">(L14=1)*K86*②시니어_가정!$E$269/12*②시니어_가정!$D$555</f>
        <v>0</v>
      </c>
      <c r="M71" s="37" t="n">
        <f aca="false">(M14=1)*L86*②시니어_가정!$E$269/12*②시니어_가정!$D$555</f>
        <v>0</v>
      </c>
      <c r="N71" s="37" t="n">
        <f aca="false">(N14=1)*M86*②시니어_가정!$E$269/12*②시니어_가정!$D$555</f>
        <v>0</v>
      </c>
      <c r="O71" s="37" t="n">
        <f aca="false">(O14=1)*N86*②시니어_가정!$E$269/12*②시니어_가정!$D$555</f>
        <v>0</v>
      </c>
      <c r="P71" s="37" t="n">
        <f aca="false">(P14=1)*O86*②시니어_가정!$E$269/12*②시니어_가정!$D$555</f>
        <v>0</v>
      </c>
      <c r="Q71" s="37" t="n">
        <f aca="false">(Q14=1)*P86*②시니어_가정!$E$269/12*②시니어_가정!$D$555</f>
        <v>0</v>
      </c>
      <c r="R71" s="37" t="n">
        <f aca="false">(R14=1)*Q86*②시니어_가정!$E$269/12*②시니어_가정!$D$555</f>
        <v>0</v>
      </c>
      <c r="S71" s="37" t="n">
        <f aca="false">(S14=1)*R86*②시니어_가정!$E$269/12*②시니어_가정!$D$555</f>
        <v>0</v>
      </c>
      <c r="T71" s="37" t="n">
        <f aca="false">(T14=1)*S86*②시니어_가정!$E$269/12*②시니어_가정!$D$555</f>
        <v>0</v>
      </c>
      <c r="U71" s="37" t="n">
        <f aca="false">(U14=1)*T86*②시니어_가정!$E$269/12*②시니어_가정!$D$555</f>
        <v>0</v>
      </c>
      <c r="V71" s="37" t="n">
        <f aca="false">(V14=1)*U86*②시니어_가정!$E$269/12*②시니어_가정!$D$555</f>
        <v>0</v>
      </c>
      <c r="W71" s="37" t="n">
        <f aca="false">(W14=1)*V86*②시니어_가정!$E$269/12*②시니어_가정!$D$555</f>
        <v>0</v>
      </c>
      <c r="X71" s="37" t="n">
        <f aca="false">(X14=1)*W86*②시니어_가정!$E$269/12*②시니어_가정!$D$555</f>
        <v>0</v>
      </c>
      <c r="Y71" s="37" t="n">
        <f aca="false">(Y14=1)*X86*②시니어_가정!$E$269/12*②시니어_가정!$D$555</f>
        <v>0</v>
      </c>
      <c r="Z71" s="37" t="n">
        <f aca="false">(Z14=1)*Y86*②시니어_가정!$E$269/12*②시니어_가정!$D$555</f>
        <v>0</v>
      </c>
      <c r="AA71" s="37" t="n">
        <f aca="false">(AA14=1)*Z86*②시니어_가정!$E$269/12*②시니어_가정!$D$555</f>
        <v>0</v>
      </c>
      <c r="AB71" s="37" t="n">
        <f aca="false">(AB14=1)*AA86*②시니어_가정!$E$269/12*②시니어_가정!$D$555</f>
        <v>0</v>
      </c>
      <c r="AC71" s="37" t="n">
        <f aca="false">(AC14=1)*AB86*②시니어_가정!$E$269/12*②시니어_가정!$D$555</f>
        <v>0</v>
      </c>
      <c r="AD71" s="37" t="n">
        <f aca="false">(AD14=1)*AC86*②시니어_가정!$E$269/12*②시니어_가정!$D$555</f>
        <v>0</v>
      </c>
      <c r="AE71" s="37" t="n">
        <f aca="false">(AE14=1)*AD86*②시니어_가정!$E$269/12*②시니어_가정!$D$555</f>
        <v>0</v>
      </c>
      <c r="AF71" s="37" t="n">
        <f aca="false">(AF14=1)*AE86*②시니어_가정!$E$269/12*②시니어_가정!$D$555</f>
        <v>0</v>
      </c>
      <c r="AG71" s="37" t="n">
        <f aca="false">(AG14=1)*AF86*②시니어_가정!$E$269/12*②시니어_가정!$D$555</f>
        <v>0</v>
      </c>
      <c r="AH71" s="37" t="n">
        <f aca="false">(AH14=1)*AG86*②시니어_가정!$E$269/12*②시니어_가정!$D$555</f>
        <v>0</v>
      </c>
      <c r="AI71" s="37" t="n">
        <f aca="false">(AI14=1)*AH86*②시니어_가정!$E$269/12*②시니어_가정!$D$555</f>
        <v>0</v>
      </c>
      <c r="AJ71" s="37" t="n">
        <f aca="false">(AJ14=1)*AI86*②시니어_가정!$E$269/12*②시니어_가정!$D$555</f>
        <v>0</v>
      </c>
      <c r="AK71" s="37" t="n">
        <f aca="false">(AK14=1)*AJ86*②시니어_가정!$E$269/12*②시니어_가정!$D$555</f>
        <v>0</v>
      </c>
      <c r="AL71" s="37" t="n">
        <f aca="false">(AL14=1)*AK86*②시니어_가정!$E$269/12*②시니어_가정!$D$555</f>
        <v>0</v>
      </c>
      <c r="AM71" s="37" t="n">
        <f aca="false">(AM14=1)*AL86*②시니어_가정!$E$269/12*②시니어_가정!$D$555</f>
        <v>0</v>
      </c>
      <c r="AN71" s="37" t="n">
        <f aca="false">(AN14=1)*AM86*②시니어_가정!$E$269/12*②시니어_가정!$D$555</f>
        <v>0</v>
      </c>
      <c r="AO71" s="37" t="n">
        <f aca="false">(AO14=1)*AN86*②시니어_가정!$E$269/12*②시니어_가정!$D$555</f>
        <v>0</v>
      </c>
      <c r="AP71" s="37" t="n">
        <f aca="false">(AP14=1)*AO86*②시니어_가정!$E$269/12*②시니어_가정!$D$555</f>
        <v>0</v>
      </c>
      <c r="AQ71" s="37" t="n">
        <f aca="false">(AQ14=1)*AP86*②시니어_가정!$E$269/12*②시니어_가정!$D$555</f>
        <v>0</v>
      </c>
      <c r="AR71" s="37" t="n">
        <f aca="false">(AR14=1)*AQ86*②시니어_가정!$E$269/12*②시니어_가정!$D$555</f>
        <v>0</v>
      </c>
      <c r="AS71" s="37" t="n">
        <f aca="false">(AS14=1)*AR86*②시니어_가정!$E$269/12*②시니어_가정!$D$555</f>
        <v>0</v>
      </c>
      <c r="AT71" s="37" t="n">
        <f aca="false">(AT14=1)*AS86*②시니어_가정!$E$269/12*②시니어_가정!$D$555</f>
        <v>0</v>
      </c>
      <c r="AU71" s="37" t="n">
        <f aca="false">(AU14=1)*AT86*②시니어_가정!$E$269/12*②시니어_가정!$D$555</f>
        <v>0</v>
      </c>
      <c r="AV71" s="37" t="n">
        <f aca="false">(AV14=1)*AU86*②시니어_가정!$E$269/12*②시니어_가정!$D$555</f>
        <v>0</v>
      </c>
      <c r="AW71" s="37" t="n">
        <f aca="false">(AW14=1)*AV86*②시니어_가정!$E$269/12*②시니어_가정!$D$555</f>
        <v>0</v>
      </c>
      <c r="AX71" s="37" t="n">
        <f aca="false">(AX14=1)*AW86*②시니어_가정!$E$269/12*②시니어_가정!$D$555</f>
        <v>0</v>
      </c>
      <c r="AY71" s="37" t="n">
        <f aca="false">(AY14=1)*AX86*②시니어_가정!$E$269/12*②시니어_가정!$D$555</f>
        <v>0</v>
      </c>
      <c r="AZ71" s="37" t="n">
        <f aca="false">(AZ14=1)*AY86*②시니어_가정!$E$269/12*②시니어_가정!$D$555</f>
        <v>0</v>
      </c>
      <c r="BA71" s="37" t="n">
        <f aca="false">(BA14=1)*AZ86*②시니어_가정!$E$269/12*②시니어_가정!$D$555</f>
        <v>0</v>
      </c>
      <c r="BB71" s="37" t="n">
        <f aca="false">(BB14=1)*BA86*②시니어_가정!$E$269/12*②시니어_가정!$D$555</f>
        <v>0</v>
      </c>
      <c r="BC71" s="37" t="n">
        <f aca="false">(BC14=1)*BB86*②시니어_가정!$E$269/12*②시니어_가정!$D$555</f>
        <v>0</v>
      </c>
      <c r="BD71" s="37" t="n">
        <f aca="false">(BD14=1)*BC86*②시니어_가정!$E$269/12*②시니어_가정!$D$555</f>
        <v>0</v>
      </c>
      <c r="BE71" s="37" t="n">
        <f aca="false">(BE14=1)*BD86*②시니어_가정!$E$269/12*②시니어_가정!$D$555</f>
        <v>0</v>
      </c>
      <c r="BF71" s="37" t="n">
        <f aca="false">(BF14=1)*BE86*②시니어_가정!$E$269/12*②시니어_가정!$D$555</f>
        <v>0</v>
      </c>
      <c r="BG71" s="37" t="n">
        <f aca="false">(BG14=1)*BF86*②시니어_가정!$E$269/12*②시니어_가정!$D$555</f>
        <v>0</v>
      </c>
      <c r="BH71" s="37" t="n">
        <f aca="false">(BH14=1)*BG86*②시니어_가정!$E$269/12*②시니어_가정!$D$555</f>
        <v>0</v>
      </c>
      <c r="BI71" s="37" t="n">
        <f aca="false">(BI14=1)*BH86*②시니어_가정!$E$269/12*②시니어_가정!$D$555</f>
        <v>0</v>
      </c>
      <c r="BJ71" s="37" t="n">
        <f aca="false">(BJ14=1)*BI86*②시니어_가정!$E$269/12*②시니어_가정!$D$555</f>
        <v>0</v>
      </c>
      <c r="BK71" s="37" t="n">
        <f aca="false">(BK14=1)*BJ86*②시니어_가정!$E$269/12*②시니어_가정!$D$555</f>
        <v>0</v>
      </c>
      <c r="BL71" s="37" t="n">
        <f aca="false">(BL14=1)*BK86*②시니어_가정!$E$269/12*②시니어_가정!$D$555</f>
        <v>0</v>
      </c>
      <c r="BM71" s="37" t="n">
        <f aca="false">(BM14=1)*BL86*②시니어_가정!$E$269/12*②시니어_가정!$D$555</f>
        <v>88.2000000000001</v>
      </c>
      <c r="BN71" s="37" t="n">
        <f aca="false">(BN14=1)*BM86*②시니어_가정!$E$269/12*②시니어_가정!$D$555</f>
        <v>126.4375</v>
      </c>
      <c r="BO71" s="37" t="n">
        <f aca="false">(BO14=1)*BN86*②시니어_가정!$E$269/12*②시니어_가정!$D$555</f>
        <v>126.4375</v>
      </c>
      <c r="BP71" s="37" t="n">
        <f aca="false">(BP14=1)*BO86*②시니어_가정!$E$269/12*②시니어_가정!$D$555</f>
        <v>126.4375</v>
      </c>
      <c r="BQ71" s="37" t="n">
        <f aca="false">(BQ14=1)*BP86*②시니어_가정!$E$269/12*②시니어_가정!$D$555</f>
        <v>126.4375</v>
      </c>
      <c r="BR71" s="37" t="n">
        <f aca="false">(BR14=1)*BQ86*②시니어_가정!$E$269/12*②시니어_가정!$D$555</f>
        <v>126.4375</v>
      </c>
      <c r="BS71" s="37" t="n">
        <f aca="false">(BS14=1)*BR86*②시니어_가정!$E$269/12*②시니어_가정!$D$555</f>
        <v>126.4375</v>
      </c>
      <c r="BT71" s="37" t="n">
        <f aca="false">(BT14=1)*BS86*②시니어_가정!$E$269/12*②시니어_가정!$D$555</f>
        <v>126.4375</v>
      </c>
      <c r="BU71" s="37" t="n">
        <f aca="false">(BU14=1)*BT86*②시니어_가정!$E$269/12*②시니어_가정!$D$555</f>
        <v>126.4375</v>
      </c>
      <c r="BV71" s="37" t="n">
        <f aca="false">(BV14=1)*BU86*②시니어_가정!$E$269/12*②시니어_가정!$D$555</f>
        <v>126.4375</v>
      </c>
      <c r="BW71" s="37" t="n">
        <f aca="false">(BW14=1)*BV86*②시니어_가정!$E$269/12*②시니어_가정!$D$555</f>
        <v>126.4375</v>
      </c>
      <c r="BX71" s="37" t="n">
        <f aca="false">(BX14=1)*BW86*②시니어_가정!$E$269/12*②시니어_가정!$D$555</f>
        <v>126.4375</v>
      </c>
      <c r="BY71" s="37" t="n">
        <f aca="false">(BY14=1)*BX86*②시니어_가정!$E$269/12*②시니어_가정!$D$555</f>
        <v>126.4375</v>
      </c>
      <c r="BZ71" s="37" t="n">
        <f aca="false">(BZ14=1)*BY86*②시니어_가정!$E$269/12*②시니어_가정!$D$555</f>
        <v>157.9375</v>
      </c>
      <c r="CA71" s="37" t="n">
        <f aca="false">(CA14=1)*BZ86*②시니어_가정!$E$269/12*②시니어_가정!$D$555</f>
        <v>157.9375</v>
      </c>
      <c r="CB71" s="37" t="n">
        <f aca="false">(CB14=1)*CA86*②시니어_가정!$E$269/12*②시니어_가정!$D$555</f>
        <v>157.9375</v>
      </c>
      <c r="CC71" s="37" t="n">
        <f aca="false">(CC14=1)*CB86*②시니어_가정!$E$269/12*②시니어_가정!$D$555</f>
        <v>157.9375</v>
      </c>
      <c r="CD71" s="37" t="n">
        <f aca="false">(CD14=1)*CC86*②시니어_가정!$E$269/12*②시니어_가정!$D$555</f>
        <v>157.9375</v>
      </c>
      <c r="CE71" s="37" t="n">
        <f aca="false">(CE14=1)*CD86*②시니어_가정!$E$269/12*②시니어_가정!$D$555</f>
        <v>157.9375</v>
      </c>
      <c r="CF71" s="37" t="n">
        <f aca="false">(CF14=1)*CE86*②시니어_가정!$E$269/12*②시니어_가정!$D$555</f>
        <v>157.9375</v>
      </c>
      <c r="CG71" s="37" t="n">
        <f aca="false">(CG14=1)*CF86*②시니어_가정!$E$269/12*②시니어_가정!$D$555</f>
        <v>157.9375</v>
      </c>
      <c r="CH71" s="37" t="n">
        <f aca="false">(CH14=1)*CG86*②시니어_가정!$E$269/12*②시니어_가정!$D$555</f>
        <v>157.9375</v>
      </c>
      <c r="CI71" s="37" t="n">
        <f aca="false">(CI14=1)*CH86*②시니어_가정!$E$269/12*②시니어_가정!$D$555</f>
        <v>157.9375</v>
      </c>
      <c r="CJ71" s="37" t="n">
        <f aca="false">(CJ14=1)*CI86*②시니어_가정!$E$269/12*②시니어_가정!$D$555</f>
        <v>157.9375</v>
      </c>
      <c r="CK71" s="37" t="n">
        <f aca="false">(CK14=1)*CJ86*②시니어_가정!$E$269/12*②시니어_가정!$D$555</f>
        <v>157.9375</v>
      </c>
      <c r="CL71" s="37" t="n">
        <f aca="false">(CL14=1)*CK86*②시니어_가정!$E$269/12*②시니어_가정!$D$555</f>
        <v>157.9375</v>
      </c>
      <c r="CM71" s="37" t="n">
        <f aca="false">(CM14=1)*CL86*②시니어_가정!$E$269/12*②시니어_가정!$D$555</f>
        <v>157.9375</v>
      </c>
      <c r="CN71" s="37" t="n">
        <f aca="false">(CN14=1)*CM86*②시니어_가정!$E$269/12*②시니어_가정!$D$555</f>
        <v>157.9375</v>
      </c>
      <c r="CO71" s="37" t="n">
        <f aca="false">(CO14=1)*CN86*②시니어_가정!$E$269/12*②시니어_가정!$D$555</f>
        <v>157.9375</v>
      </c>
      <c r="CP71" s="37" t="n">
        <f aca="false">(CP14=1)*CO86*②시니어_가정!$E$269/12*②시니어_가정!$D$555</f>
        <v>157.9375</v>
      </c>
      <c r="CQ71" s="37" t="n">
        <f aca="false">(CQ14=1)*CP86*②시니어_가정!$E$269/12*②시니어_가정!$D$555</f>
        <v>157.9375</v>
      </c>
      <c r="CR71" s="37" t="n">
        <f aca="false">(CR14=1)*CQ86*②시니어_가정!$E$269/12*②시니어_가정!$D$555</f>
        <v>157.9375</v>
      </c>
      <c r="CS71" s="37" t="n">
        <f aca="false">(CS14=1)*CR86*②시니어_가정!$E$269/12*②시니어_가정!$D$555</f>
        <v>157.9375</v>
      </c>
      <c r="CT71" s="37" t="n">
        <f aca="false">(CT14=1)*CS86*②시니어_가정!$E$269/12*②시니어_가정!$D$555</f>
        <v>157.9375</v>
      </c>
      <c r="CU71" s="37" t="n">
        <f aca="false">(CU14=1)*CT86*②시니어_가정!$E$269/12*②시니어_가정!$D$555</f>
        <v>157.9375</v>
      </c>
      <c r="CV71" s="37" t="n">
        <f aca="false">(CV14=1)*CU86*②시니어_가정!$E$269/12*②시니어_가정!$D$555</f>
        <v>157.9375</v>
      </c>
      <c r="CW71" s="37" t="n">
        <f aca="false">(CW14=1)*CV86*②시니어_가정!$E$269/12*②시니어_가정!$D$555</f>
        <v>157.9375</v>
      </c>
      <c r="CX71" s="37" t="n">
        <f aca="false">(CX14=1)*CW86*②시니어_가정!$E$269/12*②시니어_가정!$D$555</f>
        <v>157.9375</v>
      </c>
      <c r="CY71" s="37" t="n">
        <f aca="false">(CY14=1)*CX86*②시니어_가정!$E$269/12*②시니어_가정!$D$555</f>
        <v>157.9375</v>
      </c>
      <c r="CZ71" s="37" t="n">
        <f aca="false">(CZ14=1)*CY86*②시니어_가정!$E$269/12*②시니어_가정!$D$555</f>
        <v>157.9375</v>
      </c>
      <c r="DA71" s="37" t="n">
        <f aca="false">(DA14=1)*CZ86*②시니어_가정!$E$269/12*②시니어_가정!$D$555</f>
        <v>157.9375</v>
      </c>
      <c r="DB71" s="37" t="n">
        <f aca="false">(DB14=1)*DA86*②시니어_가정!$E$269/12*②시니어_가정!$D$555</f>
        <v>157.9375</v>
      </c>
      <c r="DC71" s="37" t="n">
        <f aca="false">(DC14=1)*DB86*②시니어_가정!$E$269/12*②시니어_가정!$D$555</f>
        <v>157.9375</v>
      </c>
      <c r="DD71" s="37" t="n">
        <f aca="false">(DD14=1)*DC86*②시니어_가정!$E$269/12*②시니어_가정!$D$555</f>
        <v>157.9375</v>
      </c>
      <c r="DE71" s="37" t="n">
        <f aca="false">(DE14=1)*DD86*②시니어_가정!$E$269/12*②시니어_가정!$D$555</f>
        <v>157.9375</v>
      </c>
      <c r="DF71" s="37" t="n">
        <f aca="false">(DF14=1)*DE86*②시니어_가정!$E$269/12*②시니어_가정!$D$555</f>
        <v>157.9375</v>
      </c>
      <c r="DG71" s="37" t="n">
        <f aca="false">(DG14=1)*DF86*②시니어_가정!$E$269/12*②시니어_가정!$D$555</f>
        <v>157.9375</v>
      </c>
      <c r="DH71" s="37" t="n">
        <f aca="false">(DH14=1)*DG86*②시니어_가정!$E$269/12*②시니어_가정!$D$555</f>
        <v>157.9375</v>
      </c>
      <c r="DI71" s="37" t="n">
        <f aca="false">(DI14=1)*DH86*②시니어_가정!$E$269/12*②시니어_가정!$D$555</f>
        <v>157.9375</v>
      </c>
      <c r="DJ71" s="37" t="n">
        <f aca="false">(DJ14=1)*DI86*②시니어_가정!$E$269/12*②시니어_가정!$D$555</f>
        <v>157.9375</v>
      </c>
      <c r="DK71" s="37" t="n">
        <f aca="false">(DK14=1)*DJ86*②시니어_가정!$E$269/12*②시니어_가정!$D$555</f>
        <v>157.9375</v>
      </c>
      <c r="DL71" s="37" t="n">
        <f aca="false">(DL14=1)*DK86*②시니어_가정!$E$269/12*②시니어_가정!$D$555</f>
        <v>157.9375</v>
      </c>
      <c r="DM71" s="37" t="n">
        <f aca="false">(DM14=1)*DL86*②시니어_가정!$E$269/12*②시니어_가정!$D$555</f>
        <v>157.9375</v>
      </c>
      <c r="DN71" s="37" t="n">
        <f aca="false">(DN14=1)*DM86*②시니어_가정!$E$269/12*②시니어_가정!$D$555</f>
        <v>157.9375</v>
      </c>
      <c r="DO71" s="37" t="n">
        <f aca="false">(DO14=1)*DN86*②시니어_가정!$E$269/12*②시니어_가정!$D$555</f>
        <v>157.9375</v>
      </c>
      <c r="DP71" s="37" t="n">
        <f aca="false">(DP14=1)*DO86*②시니어_가정!$E$269/12*②시니어_가정!$D$555</f>
        <v>157.9375</v>
      </c>
      <c r="DQ71" s="37" t="n">
        <f aca="false">(DQ14=1)*DP86*②시니어_가정!$E$269/12*②시니어_가정!$D$555</f>
        <v>157.9375</v>
      </c>
      <c r="DR71" s="37" t="n">
        <f aca="false">(DR14=1)*DQ86*②시니어_가정!$E$269/12*②시니어_가정!$D$555</f>
        <v>157.9375</v>
      </c>
      <c r="DS71" s="37" t="n">
        <f aca="false">(DS14=1)*DR86*②시니어_가정!$E$269/12*②시니어_가정!$D$555</f>
        <v>157.9375</v>
      </c>
      <c r="DT71" s="37" t="n">
        <f aca="false">(DT14=1)*DS86*②시니어_가정!$E$269/12*②시니어_가정!$D$555</f>
        <v>157.9375</v>
      </c>
      <c r="DU71" s="37" t="n">
        <f aca="false">(DU14=1)*DT86*②시니어_가정!$E$269/12*②시니어_가정!$D$555</f>
        <v>0</v>
      </c>
      <c r="DV71" s="37" t="n">
        <f aca="false">(DV14=1)*DU86*②시니어_가정!$E$269/12*②시니어_가정!$D$555</f>
        <v>0</v>
      </c>
      <c r="DW71" s="37" t="n">
        <f aca="false">(DW14=1)*DV86*②시니어_가정!$E$269/12*②시니어_가정!$D$555</f>
        <v>0</v>
      </c>
      <c r="DX71" s="37" t="n">
        <f aca="false">(DX14=1)*DW86*②시니어_가정!$E$269/12*②시니어_가정!$D$555</f>
        <v>0</v>
      </c>
      <c r="DY71" s="37" t="n">
        <f aca="false">(DY14=1)*DX86*②시니어_가정!$E$269/12*②시니어_가정!$D$555</f>
        <v>0</v>
      </c>
      <c r="DZ71" s="37" t="n">
        <f aca="false">(DZ14=1)*DY86*②시니어_가정!$E$269/12*②시니어_가정!$D$555</f>
        <v>0</v>
      </c>
      <c r="EA71" s="37" t="n">
        <f aca="false">(EA14=1)*DZ86*②시니어_가정!$E$269/12*②시니어_가정!$D$555</f>
        <v>0</v>
      </c>
      <c r="EB71" s="37" t="n">
        <f aca="false">(EB14=1)*EA86*②시니어_가정!$E$269/12*②시니어_가정!$D$555</f>
        <v>0</v>
      </c>
      <c r="EC71" s="37" t="n">
        <f aca="false">(EC14=1)*EB86*②시니어_가정!$E$269/12*②시니어_가정!$D$555</f>
        <v>0</v>
      </c>
      <c r="ED71" s="37" t="n">
        <f aca="false">(ED14=1)*EC86*②시니어_가정!$E$269/12*②시니어_가정!$D$555</f>
        <v>0</v>
      </c>
      <c r="EE71" s="37" t="n">
        <f aca="false">(EE14=1)*ED86*②시니어_가정!$E$269/12*②시니어_가정!$D$555</f>
        <v>0</v>
      </c>
      <c r="EF71" s="37" t="n">
        <f aca="false">(EF14=1)*EE86*②시니어_가정!$E$269/12*②시니어_가정!$D$555</f>
        <v>0</v>
      </c>
    </row>
    <row r="72" customFormat="false" ht="15" hidden="false" customHeight="false" outlineLevel="0" collapsed="false">
      <c r="A72" s="36" t="s">
        <v>616</v>
      </c>
      <c r="B72" s="278" t="s">
        <v>21</v>
      </c>
      <c r="C72" s="279" t="n">
        <f aca="false">SUM(E72:EF72)</f>
        <v>7420.875</v>
      </c>
      <c r="E72" s="37" t="n">
        <f aca="false">E17*②시니어_가정!$E$426</f>
        <v>0</v>
      </c>
      <c r="F72" s="37" t="n">
        <f aca="false">F17*②시니어_가정!$E$426</f>
        <v>0</v>
      </c>
      <c r="G72" s="37" t="n">
        <f aca="false">G17*②시니어_가정!$E$426</f>
        <v>0</v>
      </c>
      <c r="H72" s="37" t="n">
        <f aca="false">H17*②시니어_가정!$E$426</f>
        <v>0</v>
      </c>
      <c r="I72" s="37" t="n">
        <f aca="false">I17*②시니어_가정!$E$426</f>
        <v>0</v>
      </c>
      <c r="J72" s="37" t="n">
        <f aca="false">J17*②시니어_가정!$E$426</f>
        <v>0</v>
      </c>
      <c r="K72" s="37" t="n">
        <f aca="false">K17*②시니어_가정!$E$426</f>
        <v>0</v>
      </c>
      <c r="L72" s="37" t="n">
        <f aca="false">L17*②시니어_가정!$E$426</f>
        <v>0</v>
      </c>
      <c r="M72" s="37" t="n">
        <f aca="false">M17*②시니어_가정!$E$426</f>
        <v>0</v>
      </c>
      <c r="N72" s="37" t="n">
        <f aca="false">N17*②시니어_가정!$E$426</f>
        <v>0</v>
      </c>
      <c r="O72" s="37" t="n">
        <f aca="false">O17*②시니어_가정!$E$426</f>
        <v>0</v>
      </c>
      <c r="P72" s="37" t="n">
        <f aca="false">P17*②시니어_가정!$E$426</f>
        <v>0</v>
      </c>
      <c r="Q72" s="37" t="n">
        <f aca="false">Q17*②시니어_가정!$E$426</f>
        <v>0</v>
      </c>
      <c r="R72" s="37" t="n">
        <f aca="false">R17*②시니어_가정!$E$426</f>
        <v>0</v>
      </c>
      <c r="S72" s="37" t="n">
        <f aca="false">S17*②시니어_가정!$E$426</f>
        <v>0</v>
      </c>
      <c r="T72" s="37" t="n">
        <f aca="false">T17*②시니어_가정!$E$426</f>
        <v>0</v>
      </c>
      <c r="U72" s="37" t="n">
        <f aca="false">U17*②시니어_가정!$E$426</f>
        <v>0</v>
      </c>
      <c r="V72" s="37" t="n">
        <f aca="false">V17*②시니어_가정!$E$426</f>
        <v>0</v>
      </c>
      <c r="W72" s="37" t="n">
        <f aca="false">W17*②시니어_가정!$E$426</f>
        <v>0</v>
      </c>
      <c r="X72" s="37" t="n">
        <f aca="false">X17*②시니어_가정!$E$426</f>
        <v>0</v>
      </c>
      <c r="Y72" s="37" t="n">
        <f aca="false">Y17*②시니어_가정!$E$426</f>
        <v>0</v>
      </c>
      <c r="Z72" s="37" t="n">
        <f aca="false">Z17*②시니어_가정!$E$426</f>
        <v>0</v>
      </c>
      <c r="AA72" s="37" t="n">
        <f aca="false">AA17*②시니어_가정!$E$426</f>
        <v>0</v>
      </c>
      <c r="AB72" s="37" t="n">
        <f aca="false">AB17*②시니어_가정!$E$426</f>
        <v>0</v>
      </c>
      <c r="AC72" s="37" t="n">
        <f aca="false">AC17*②시니어_가정!$E$426</f>
        <v>0</v>
      </c>
      <c r="AD72" s="37" t="n">
        <f aca="false">AD17*②시니어_가정!$E$426</f>
        <v>0</v>
      </c>
      <c r="AE72" s="37" t="n">
        <f aca="false">AE17*②시니어_가정!$E$426</f>
        <v>0</v>
      </c>
      <c r="AF72" s="37" t="n">
        <f aca="false">AF17*②시니어_가정!$E$426</f>
        <v>0</v>
      </c>
      <c r="AG72" s="37" t="n">
        <f aca="false">AG17*②시니어_가정!$E$426</f>
        <v>0</v>
      </c>
      <c r="AH72" s="37" t="n">
        <f aca="false">AH17*②시니어_가정!$E$426</f>
        <v>0</v>
      </c>
      <c r="AI72" s="37" t="n">
        <f aca="false">AI17*②시니어_가정!$E$426</f>
        <v>0</v>
      </c>
      <c r="AJ72" s="37" t="n">
        <f aca="false">AJ17*②시니어_가정!$E$426</f>
        <v>0</v>
      </c>
      <c r="AK72" s="37" t="n">
        <f aca="false">AK17*②시니어_가정!$E$426</f>
        <v>0</v>
      </c>
      <c r="AL72" s="37" t="n">
        <f aca="false">AL17*②시니어_가정!$E$426</f>
        <v>0</v>
      </c>
      <c r="AM72" s="37" t="n">
        <f aca="false">AM17*②시니어_가정!$E$426</f>
        <v>0</v>
      </c>
      <c r="AN72" s="37" t="n">
        <f aca="false">AN17*②시니어_가정!$E$426</f>
        <v>0</v>
      </c>
      <c r="AO72" s="37" t="n">
        <f aca="false">AO17*②시니어_가정!$E$426</f>
        <v>0</v>
      </c>
      <c r="AP72" s="37" t="n">
        <f aca="false">AP17*②시니어_가정!$E$426</f>
        <v>0</v>
      </c>
      <c r="AQ72" s="37" t="n">
        <f aca="false">AQ17*②시니어_가정!$E$426</f>
        <v>0</v>
      </c>
      <c r="AR72" s="37" t="n">
        <f aca="false">AR17*②시니어_가정!$E$426</f>
        <v>0</v>
      </c>
      <c r="AS72" s="37" t="n">
        <f aca="false">AS17*②시니어_가정!$E$426</f>
        <v>0</v>
      </c>
      <c r="AT72" s="37" t="n">
        <f aca="false">AT17*②시니어_가정!$E$426</f>
        <v>0</v>
      </c>
      <c r="AU72" s="37" t="n">
        <f aca="false">AU17*②시니어_가정!$E$426</f>
        <v>0</v>
      </c>
      <c r="AV72" s="37" t="n">
        <f aca="false">AV17*②시니어_가정!$E$426</f>
        <v>0</v>
      </c>
      <c r="AW72" s="37" t="n">
        <f aca="false">AW17*②시니어_가정!$E$426</f>
        <v>0</v>
      </c>
      <c r="AX72" s="37" t="n">
        <f aca="false">AX17*②시니어_가정!$E$426</f>
        <v>0</v>
      </c>
      <c r="AY72" s="37" t="n">
        <f aca="false">AY17*②시니어_가정!$E$426</f>
        <v>0</v>
      </c>
      <c r="AZ72" s="37" t="n">
        <f aca="false">AZ17*②시니어_가정!$E$426</f>
        <v>0</v>
      </c>
      <c r="BA72" s="37" t="n">
        <f aca="false">BA17*②시니어_가정!$E$426</f>
        <v>0</v>
      </c>
      <c r="BB72" s="37" t="n">
        <f aca="false">BB17*②시니어_가정!$E$426</f>
        <v>0</v>
      </c>
      <c r="BC72" s="37" t="n">
        <f aca="false">BC17*②시니어_가정!$E$426</f>
        <v>0</v>
      </c>
      <c r="BD72" s="37" t="n">
        <f aca="false">BD17*②시니어_가정!$E$426</f>
        <v>0</v>
      </c>
      <c r="BE72" s="37" t="n">
        <f aca="false">BE17*②시니어_가정!$E$426</f>
        <v>0</v>
      </c>
      <c r="BF72" s="37" t="n">
        <f aca="false">BF17*②시니어_가정!$E$426</f>
        <v>0</v>
      </c>
      <c r="BG72" s="37" t="n">
        <f aca="false">BG17*②시니어_가정!$E$426</f>
        <v>0</v>
      </c>
      <c r="BH72" s="37" t="n">
        <f aca="false">BH17*②시니어_가정!$E$426</f>
        <v>0</v>
      </c>
      <c r="BI72" s="37" t="n">
        <f aca="false">BI17*②시니어_가정!$E$426</f>
        <v>0</v>
      </c>
      <c r="BJ72" s="37" t="n">
        <f aca="false">BJ17*②시니어_가정!$E$426</f>
        <v>0</v>
      </c>
      <c r="BK72" s="37" t="n">
        <f aca="false">BK17*②시니어_가정!$E$426</f>
        <v>0</v>
      </c>
      <c r="BL72" s="37" t="n">
        <f aca="false">BL17*②시니어_가정!$E$426</f>
        <v>0</v>
      </c>
      <c r="BM72" s="37" t="n">
        <f aca="false">BM17*②시니어_가정!$E$426</f>
        <v>117.791666666667</v>
      </c>
      <c r="BN72" s="37" t="n">
        <f aca="false">BN17*②시니어_가정!$E$426</f>
        <v>117.791666666667</v>
      </c>
      <c r="BO72" s="37" t="n">
        <f aca="false">BO17*②시니어_가정!$E$426</f>
        <v>117.791666666667</v>
      </c>
      <c r="BP72" s="37" t="n">
        <f aca="false">BP17*②시니어_가정!$E$426</f>
        <v>117.791666666667</v>
      </c>
      <c r="BQ72" s="37" t="n">
        <f aca="false">BQ17*②시니어_가정!$E$426</f>
        <v>117.791666666667</v>
      </c>
      <c r="BR72" s="37" t="n">
        <f aca="false">BR17*②시니어_가정!$E$426</f>
        <v>117.791666666667</v>
      </c>
      <c r="BS72" s="37" t="n">
        <f aca="false">BS17*②시니어_가정!$E$426</f>
        <v>117.791666666667</v>
      </c>
      <c r="BT72" s="37" t="n">
        <f aca="false">BT17*②시니어_가정!$E$426</f>
        <v>117.791666666667</v>
      </c>
      <c r="BU72" s="37" t="n">
        <f aca="false">BU17*②시니어_가정!$E$426</f>
        <v>117.791666666667</v>
      </c>
      <c r="BV72" s="37" t="n">
        <f aca="false">BV17*②시니어_가정!$E$426</f>
        <v>117.791666666667</v>
      </c>
      <c r="BW72" s="37" t="n">
        <f aca="false">BW17*②시니어_가정!$E$426</f>
        <v>117.791666666667</v>
      </c>
      <c r="BX72" s="37" t="n">
        <f aca="false">BX17*②시니어_가정!$E$426</f>
        <v>117.791666666667</v>
      </c>
      <c r="BY72" s="37" t="n">
        <f aca="false">BY17*②시니어_가정!$E$426</f>
        <v>117.791666666667</v>
      </c>
      <c r="BZ72" s="37" t="n">
        <f aca="false">BZ17*②시니어_가정!$E$426</f>
        <v>117.791666666667</v>
      </c>
      <c r="CA72" s="37" t="n">
        <f aca="false">CA17*②시니어_가정!$E$426</f>
        <v>117.791666666667</v>
      </c>
      <c r="CB72" s="37" t="n">
        <f aca="false">CB17*②시니어_가정!$E$426</f>
        <v>117.791666666667</v>
      </c>
      <c r="CC72" s="37" t="n">
        <f aca="false">CC17*②시니어_가정!$E$426</f>
        <v>117.791666666667</v>
      </c>
      <c r="CD72" s="37" t="n">
        <f aca="false">CD17*②시니어_가정!$E$426</f>
        <v>117.791666666667</v>
      </c>
      <c r="CE72" s="37" t="n">
        <f aca="false">CE17*②시니어_가정!$E$426</f>
        <v>117.791666666667</v>
      </c>
      <c r="CF72" s="37" t="n">
        <f aca="false">CF17*②시니어_가정!$E$426</f>
        <v>117.791666666667</v>
      </c>
      <c r="CG72" s="37" t="n">
        <f aca="false">CG17*②시니어_가정!$E$426</f>
        <v>117.791666666667</v>
      </c>
      <c r="CH72" s="37" t="n">
        <f aca="false">CH17*②시니어_가정!$E$426</f>
        <v>117.791666666667</v>
      </c>
      <c r="CI72" s="37" t="n">
        <f aca="false">CI17*②시니어_가정!$E$426</f>
        <v>117.791666666667</v>
      </c>
      <c r="CJ72" s="37" t="n">
        <f aca="false">CJ17*②시니어_가정!$E$426</f>
        <v>117.791666666667</v>
      </c>
      <c r="CK72" s="37" t="n">
        <f aca="false">CK17*②시니어_가정!$E$426</f>
        <v>117.791666666667</v>
      </c>
      <c r="CL72" s="37" t="n">
        <f aca="false">CL17*②시니어_가정!$E$426</f>
        <v>117.791666666667</v>
      </c>
      <c r="CM72" s="37" t="n">
        <f aca="false">CM17*②시니어_가정!$E$426</f>
        <v>117.791666666667</v>
      </c>
      <c r="CN72" s="37" t="n">
        <f aca="false">CN17*②시니어_가정!$E$426</f>
        <v>117.791666666667</v>
      </c>
      <c r="CO72" s="37" t="n">
        <f aca="false">CO17*②시니어_가정!$E$426</f>
        <v>117.791666666667</v>
      </c>
      <c r="CP72" s="37" t="n">
        <f aca="false">CP17*②시니어_가정!$E$426</f>
        <v>117.791666666667</v>
      </c>
      <c r="CQ72" s="37" t="n">
        <f aca="false">CQ17*②시니어_가정!$E$426</f>
        <v>117.791666666667</v>
      </c>
      <c r="CR72" s="37" t="n">
        <f aca="false">CR17*②시니어_가정!$E$426</f>
        <v>117.791666666667</v>
      </c>
      <c r="CS72" s="37" t="n">
        <f aca="false">CS17*②시니어_가정!$E$426</f>
        <v>117.791666666667</v>
      </c>
      <c r="CT72" s="37" t="n">
        <f aca="false">CT17*②시니어_가정!$E$426</f>
        <v>117.791666666667</v>
      </c>
      <c r="CU72" s="37" t="n">
        <f aca="false">CU17*②시니어_가정!$E$426</f>
        <v>117.791666666667</v>
      </c>
      <c r="CV72" s="37" t="n">
        <f aca="false">CV17*②시니어_가정!$E$426</f>
        <v>117.791666666667</v>
      </c>
      <c r="CW72" s="37" t="n">
        <f aca="false">CW17*②시니어_가정!$E$426</f>
        <v>117.791666666667</v>
      </c>
      <c r="CX72" s="37" t="n">
        <f aca="false">CX17*②시니어_가정!$E$426</f>
        <v>117.791666666667</v>
      </c>
      <c r="CY72" s="37" t="n">
        <f aca="false">CY17*②시니어_가정!$E$426</f>
        <v>117.791666666667</v>
      </c>
      <c r="CZ72" s="37" t="n">
        <f aca="false">CZ17*②시니어_가정!$E$426</f>
        <v>117.791666666667</v>
      </c>
      <c r="DA72" s="37" t="n">
        <f aca="false">DA17*②시니어_가정!$E$426</f>
        <v>117.791666666667</v>
      </c>
      <c r="DB72" s="37" t="n">
        <f aca="false">DB17*②시니어_가정!$E$426</f>
        <v>117.791666666667</v>
      </c>
      <c r="DC72" s="37" t="n">
        <f aca="false">DC17*②시니어_가정!$E$426</f>
        <v>117.791666666667</v>
      </c>
      <c r="DD72" s="37" t="n">
        <f aca="false">DD17*②시니어_가정!$E$426</f>
        <v>117.791666666667</v>
      </c>
      <c r="DE72" s="37" t="n">
        <f aca="false">DE17*②시니어_가정!$E$426</f>
        <v>117.791666666667</v>
      </c>
      <c r="DF72" s="37" t="n">
        <f aca="false">DF17*②시니어_가정!$E$426</f>
        <v>117.791666666667</v>
      </c>
      <c r="DG72" s="37" t="n">
        <f aca="false">DG17*②시니어_가정!$E$426</f>
        <v>117.791666666667</v>
      </c>
      <c r="DH72" s="37" t="n">
        <f aca="false">DH17*②시니어_가정!$E$426</f>
        <v>117.791666666667</v>
      </c>
      <c r="DI72" s="37" t="n">
        <f aca="false">DI17*②시니어_가정!$E$426</f>
        <v>117.791666666667</v>
      </c>
      <c r="DJ72" s="37" t="n">
        <f aca="false">DJ17*②시니어_가정!$E$426</f>
        <v>117.791666666667</v>
      </c>
      <c r="DK72" s="37" t="n">
        <f aca="false">DK17*②시니어_가정!$E$426</f>
        <v>117.791666666667</v>
      </c>
      <c r="DL72" s="37" t="n">
        <f aca="false">DL17*②시니어_가정!$E$426</f>
        <v>117.791666666667</v>
      </c>
      <c r="DM72" s="37" t="n">
        <f aca="false">DM17*②시니어_가정!$E$426</f>
        <v>117.791666666667</v>
      </c>
      <c r="DN72" s="37" t="n">
        <f aca="false">DN17*②시니어_가정!$E$426</f>
        <v>117.791666666667</v>
      </c>
      <c r="DO72" s="37" t="n">
        <f aca="false">DO17*②시니어_가정!$E$426</f>
        <v>117.791666666667</v>
      </c>
      <c r="DP72" s="37" t="n">
        <f aca="false">DP17*②시니어_가정!$E$426</f>
        <v>117.791666666667</v>
      </c>
      <c r="DQ72" s="37" t="n">
        <f aca="false">DQ17*②시니어_가정!$E$426</f>
        <v>117.791666666667</v>
      </c>
      <c r="DR72" s="37" t="n">
        <f aca="false">DR17*②시니어_가정!$E$426</f>
        <v>117.791666666667</v>
      </c>
      <c r="DS72" s="37" t="n">
        <f aca="false">DS17*②시니어_가정!$E$426</f>
        <v>117.791666666667</v>
      </c>
      <c r="DT72" s="37" t="n">
        <f aca="false">DT17*②시니어_가정!$E$426</f>
        <v>117.791666666667</v>
      </c>
      <c r="DU72" s="37" t="n">
        <f aca="false">DU17*②시니어_가정!$E$426</f>
        <v>117.791666666667</v>
      </c>
      <c r="DV72" s="37" t="n">
        <f aca="false">DV17*②시니어_가정!$E$426</f>
        <v>117.791666666667</v>
      </c>
      <c r="DW72" s="37" t="n">
        <f aca="false">DW17*②시니어_가정!$E$426</f>
        <v>117.791666666667</v>
      </c>
      <c r="DX72" s="37" t="n">
        <f aca="false">DX17*②시니어_가정!$E$426</f>
        <v>0</v>
      </c>
      <c r="DY72" s="37" t="n">
        <f aca="false">DY17*②시니어_가정!$E$426</f>
        <v>0</v>
      </c>
      <c r="DZ72" s="37" t="n">
        <f aca="false">DZ17*②시니어_가정!$E$426</f>
        <v>0</v>
      </c>
      <c r="EA72" s="37" t="n">
        <f aca="false">EA17*②시니어_가정!$E$426</f>
        <v>0</v>
      </c>
      <c r="EB72" s="37" t="n">
        <f aca="false">EB17*②시니어_가정!$E$426</f>
        <v>0</v>
      </c>
      <c r="EC72" s="37" t="n">
        <f aca="false">EC17*②시니어_가정!$E$426</f>
        <v>0</v>
      </c>
      <c r="ED72" s="37" t="n">
        <f aca="false">ED17*②시니어_가정!$E$426</f>
        <v>0</v>
      </c>
      <c r="EE72" s="37" t="n">
        <f aca="false">EE17*②시니어_가정!$E$426</f>
        <v>0</v>
      </c>
      <c r="EF72" s="37" t="n">
        <f aca="false">EF17*②시니어_가정!$E$426</f>
        <v>0</v>
      </c>
    </row>
    <row r="73" customFormat="false" ht="15" hidden="false" customHeight="false" outlineLevel="0" collapsed="false">
      <c r="A73" s="36" t="s">
        <v>436</v>
      </c>
      <c r="B73" s="278" t="s">
        <v>21</v>
      </c>
      <c r="C73" s="279" t="n">
        <f aca="false">SUM(E73:EF73)</f>
        <v>959.821995129466</v>
      </c>
      <c r="E73" s="37" t="n">
        <f aca="false">IF(E6=②시니어_가정!$E$22,②시니어_가정!$R$420,0)</f>
        <v>0</v>
      </c>
      <c r="F73" s="37" t="n">
        <f aca="false">IF(F6=②시니어_가정!$E$22,②시니어_가정!$R$420,0)</f>
        <v>0</v>
      </c>
      <c r="G73" s="37" t="n">
        <f aca="false">IF(G6=②시니어_가정!$E$22,②시니어_가정!$R$420,0)</f>
        <v>0</v>
      </c>
      <c r="H73" s="37" t="n">
        <f aca="false">IF(H6=②시니어_가정!$E$22,②시니어_가정!$R$420,0)</f>
        <v>0</v>
      </c>
      <c r="I73" s="37" t="n">
        <f aca="false">IF(I6=②시니어_가정!$E$22,②시니어_가정!$R$420,0)</f>
        <v>0</v>
      </c>
      <c r="J73" s="37" t="n">
        <f aca="false">IF(J6=②시니어_가정!$E$22,②시니어_가정!$R$420,0)</f>
        <v>0</v>
      </c>
      <c r="K73" s="37" t="n">
        <f aca="false">IF(K6=②시니어_가정!$E$22,②시니어_가정!$R$420,0)</f>
        <v>0</v>
      </c>
      <c r="L73" s="37" t="n">
        <f aca="false">IF(L6=②시니어_가정!$E$22,②시니어_가정!$R$420,0)</f>
        <v>0</v>
      </c>
      <c r="M73" s="37" t="n">
        <f aca="false">IF(M6=②시니어_가정!$E$22,②시니어_가정!$R$420,0)</f>
        <v>0</v>
      </c>
      <c r="N73" s="37" t="n">
        <f aca="false">IF(N6=②시니어_가정!$E$22,②시니어_가정!$R$420,0)</f>
        <v>0</v>
      </c>
      <c r="O73" s="37" t="n">
        <f aca="false">IF(O6=②시니어_가정!$E$22,②시니어_가정!$R$420,0)</f>
        <v>0</v>
      </c>
      <c r="P73" s="37" t="n">
        <f aca="false">IF(P6=②시니어_가정!$E$22,②시니어_가정!$R$420,0)</f>
        <v>0</v>
      </c>
      <c r="Q73" s="37" t="n">
        <f aca="false">IF(Q6=②시니어_가정!$E$22,②시니어_가정!$R$420,0)</f>
        <v>0</v>
      </c>
      <c r="R73" s="37" t="n">
        <f aca="false">IF(R6=②시니어_가정!$E$22,②시니어_가정!$R$420,0)</f>
        <v>0</v>
      </c>
      <c r="S73" s="37" t="n">
        <f aca="false">IF(S6=②시니어_가정!$E$22,②시니어_가정!$R$420,0)</f>
        <v>0</v>
      </c>
      <c r="T73" s="37" t="n">
        <f aca="false">IF(T6=②시니어_가정!$E$22,②시니어_가정!$R$420,0)</f>
        <v>0</v>
      </c>
      <c r="U73" s="37" t="n">
        <f aca="false">IF(U6=②시니어_가정!$E$22,②시니어_가정!$R$420,0)</f>
        <v>0</v>
      </c>
      <c r="V73" s="37" t="n">
        <f aca="false">IF(V6=②시니어_가정!$E$22,②시니어_가정!$R$420,0)</f>
        <v>0</v>
      </c>
      <c r="W73" s="37" t="n">
        <f aca="false">IF(W6=②시니어_가정!$E$22,②시니어_가정!$R$420,0)</f>
        <v>0</v>
      </c>
      <c r="X73" s="37" t="n">
        <f aca="false">IF(X6=②시니어_가정!$E$22,②시니어_가정!$R$420,0)</f>
        <v>0</v>
      </c>
      <c r="Y73" s="37" t="n">
        <f aca="false">IF(Y6=②시니어_가정!$E$22,②시니어_가정!$R$420,0)</f>
        <v>0</v>
      </c>
      <c r="Z73" s="37" t="n">
        <f aca="false">IF(Z6=②시니어_가정!$E$22,②시니어_가정!$R$420,0)</f>
        <v>0</v>
      </c>
      <c r="AA73" s="37" t="n">
        <f aca="false">IF(AA6=②시니어_가정!$E$22,②시니어_가정!$R$420,0)</f>
        <v>0</v>
      </c>
      <c r="AB73" s="37" t="n">
        <f aca="false">IF(AB6=②시니어_가정!$E$22,②시니어_가정!$R$420,0)</f>
        <v>0</v>
      </c>
      <c r="AC73" s="37" t="n">
        <f aca="false">IF(AC6=②시니어_가정!$E$22,②시니어_가정!$R$420,0)</f>
        <v>0</v>
      </c>
      <c r="AD73" s="37" t="n">
        <f aca="false">IF(AD6=②시니어_가정!$E$22,②시니어_가정!$R$420,0)</f>
        <v>0</v>
      </c>
      <c r="AE73" s="37" t="n">
        <f aca="false">IF(AE6=②시니어_가정!$E$22,②시니어_가정!$R$420,0)</f>
        <v>0</v>
      </c>
      <c r="AF73" s="37" t="n">
        <f aca="false">IF(AF6=②시니어_가정!$E$22,②시니어_가정!$R$420,0)</f>
        <v>0</v>
      </c>
      <c r="AG73" s="37" t="n">
        <f aca="false">IF(AG6=②시니어_가정!$E$22,②시니어_가정!$R$420,0)</f>
        <v>0</v>
      </c>
      <c r="AH73" s="37" t="n">
        <f aca="false">IF(AH6=②시니어_가정!$E$22,②시니어_가정!$R$420,0)</f>
        <v>0</v>
      </c>
      <c r="AI73" s="37" t="n">
        <f aca="false">IF(AI6=②시니어_가정!$E$22,②시니어_가정!$R$420,0)</f>
        <v>0</v>
      </c>
      <c r="AJ73" s="37" t="n">
        <f aca="false">IF(AJ6=②시니어_가정!$E$22,②시니어_가정!$R$420,0)</f>
        <v>0</v>
      </c>
      <c r="AK73" s="37" t="n">
        <f aca="false">IF(AK6=②시니어_가정!$E$22,②시니어_가정!$R$420,0)</f>
        <v>0</v>
      </c>
      <c r="AL73" s="37" t="n">
        <f aca="false">IF(AL6=②시니어_가정!$E$22,②시니어_가정!$R$420,0)</f>
        <v>0</v>
      </c>
      <c r="AM73" s="37" t="n">
        <f aca="false">IF(AM6=②시니어_가정!$E$22,②시니어_가정!$R$420,0)</f>
        <v>0</v>
      </c>
      <c r="AN73" s="37" t="n">
        <f aca="false">IF(AN6=②시니어_가정!$E$22,②시니어_가정!$R$420,0)</f>
        <v>0</v>
      </c>
      <c r="AO73" s="37" t="n">
        <f aca="false">IF(AO6=②시니어_가정!$E$22,②시니어_가정!$R$420,0)</f>
        <v>0</v>
      </c>
      <c r="AP73" s="37" t="n">
        <f aca="false">IF(AP6=②시니어_가정!$E$22,②시니어_가정!$R$420,0)</f>
        <v>0</v>
      </c>
      <c r="AQ73" s="37" t="n">
        <f aca="false">IF(AQ6=②시니어_가정!$E$22,②시니어_가정!$R$420,0)</f>
        <v>0</v>
      </c>
      <c r="AR73" s="37" t="n">
        <f aca="false">IF(AR6=②시니어_가정!$E$22,②시니어_가정!$R$420,0)</f>
        <v>0</v>
      </c>
      <c r="AS73" s="37" t="n">
        <f aca="false">IF(AS6=②시니어_가정!$E$22,②시니어_가정!$R$420,0)</f>
        <v>0</v>
      </c>
      <c r="AT73" s="37" t="n">
        <f aca="false">IF(AT6=②시니어_가정!$E$22,②시니어_가정!$R$420,0)</f>
        <v>0</v>
      </c>
      <c r="AU73" s="37" t="n">
        <f aca="false">IF(AU6=②시니어_가정!$E$22,②시니어_가정!$R$420,0)</f>
        <v>0</v>
      </c>
      <c r="AV73" s="37" t="n">
        <f aca="false">IF(AV6=②시니어_가정!$E$22,②시니어_가정!$R$420,0)</f>
        <v>0</v>
      </c>
      <c r="AW73" s="37" t="n">
        <f aca="false">IF(AW6=②시니어_가정!$E$22,②시니어_가정!$R$420,0)</f>
        <v>0</v>
      </c>
      <c r="AX73" s="37" t="n">
        <f aca="false">IF(AX6=②시니어_가정!$E$22,②시니어_가정!$R$420,0)</f>
        <v>0</v>
      </c>
      <c r="AY73" s="37" t="n">
        <f aca="false">IF(AY6=②시니어_가정!$E$22,②시니어_가정!$R$420,0)</f>
        <v>0</v>
      </c>
      <c r="AZ73" s="37" t="n">
        <f aca="false">IF(AZ6=②시니어_가정!$E$22,②시니어_가정!$R$420,0)</f>
        <v>0</v>
      </c>
      <c r="BA73" s="37" t="n">
        <f aca="false">IF(BA6=②시니어_가정!$E$22,②시니어_가정!$R$420,0)</f>
        <v>0</v>
      </c>
      <c r="BB73" s="37" t="n">
        <f aca="false">IF(BB6=②시니어_가정!$E$22,②시니어_가정!$R$420,0)</f>
        <v>0</v>
      </c>
      <c r="BC73" s="37" t="n">
        <f aca="false">IF(BC6=②시니어_가정!$E$22,②시니어_가정!$R$420,0)</f>
        <v>0</v>
      </c>
      <c r="BD73" s="37" t="n">
        <f aca="false">IF(BD6=②시니어_가정!$E$22,②시니어_가정!$R$420,0)</f>
        <v>0</v>
      </c>
      <c r="BE73" s="37" t="n">
        <f aca="false">IF(BE6=②시니어_가정!$E$22,②시니어_가정!$R$420,0)</f>
        <v>0</v>
      </c>
      <c r="BF73" s="37" t="n">
        <f aca="false">IF(BF6=②시니어_가정!$E$22,②시니어_가정!$R$420,0)</f>
        <v>0</v>
      </c>
      <c r="BG73" s="37" t="n">
        <f aca="false">IF(BG6=②시니어_가정!$E$22,②시니어_가정!$R$420,0)</f>
        <v>0</v>
      </c>
      <c r="BH73" s="37" t="n">
        <f aca="false">IF(BH6=②시니어_가정!$E$22,②시니어_가정!$R$420,0)</f>
        <v>0</v>
      </c>
      <c r="BI73" s="37" t="n">
        <f aca="false">IF(BI6=②시니어_가정!$E$22,②시니어_가정!$R$420,0)</f>
        <v>0</v>
      </c>
      <c r="BJ73" s="37" t="n">
        <f aca="false">IF(BJ6=②시니어_가정!$E$22,②시니어_가정!$R$420,0)</f>
        <v>0</v>
      </c>
      <c r="BK73" s="37" t="n">
        <f aca="false">IF(BK6=②시니어_가정!$E$22,②시니어_가정!$R$420,0)</f>
        <v>0</v>
      </c>
      <c r="BL73" s="37" t="n">
        <f aca="false">IF(BL6=②시니어_가정!$E$22,②시니어_가정!$R$420,0)</f>
        <v>0</v>
      </c>
      <c r="BM73" s="37" t="n">
        <f aca="false">IF(BM6=②시니어_가정!$E$22,②시니어_가정!$R$420,0)</f>
        <v>0</v>
      </c>
      <c r="BN73" s="37" t="n">
        <f aca="false">IF(BN6=②시니어_가정!$E$22,②시니어_가정!$R$420,0)</f>
        <v>0</v>
      </c>
      <c r="BO73" s="37" t="n">
        <f aca="false">IF(BO6=②시니어_가정!$E$22,②시니어_가정!$R$420,0)</f>
        <v>0</v>
      </c>
      <c r="BP73" s="37" t="n">
        <f aca="false">IF(BP6=②시니어_가정!$E$22,②시니어_가정!$R$420,0)</f>
        <v>0</v>
      </c>
      <c r="BQ73" s="37" t="n">
        <f aca="false">IF(BQ6=②시니어_가정!$E$22,②시니어_가정!$R$420,0)</f>
        <v>0</v>
      </c>
      <c r="BR73" s="37" t="n">
        <f aca="false">IF(BR6=②시니어_가정!$E$22,②시니어_가정!$R$420,0)</f>
        <v>0</v>
      </c>
      <c r="BS73" s="37" t="n">
        <f aca="false">IF(BS6=②시니어_가정!$E$22,②시니어_가정!$R$420,0)</f>
        <v>0</v>
      </c>
      <c r="BT73" s="37" t="n">
        <f aca="false">IF(BT6=②시니어_가정!$E$22,②시니어_가정!$R$420,0)</f>
        <v>0</v>
      </c>
      <c r="BU73" s="37" t="n">
        <f aca="false">IF(BU6=②시니어_가정!$E$22,②시니어_가정!$R$420,0)</f>
        <v>0</v>
      </c>
      <c r="BV73" s="37" t="n">
        <f aca="false">IF(BV6=②시니어_가정!$E$22,②시니어_가정!$R$420,0)</f>
        <v>0</v>
      </c>
      <c r="BW73" s="37" t="n">
        <f aca="false">IF(BW6=②시니어_가정!$E$22,②시니어_가정!$R$420,0)</f>
        <v>0</v>
      </c>
      <c r="BX73" s="37" t="n">
        <f aca="false">IF(BX6=②시니어_가정!$E$22,②시니어_가정!$R$420,0)</f>
        <v>0</v>
      </c>
      <c r="BY73" s="37" t="n">
        <f aca="false">IF(BY6=②시니어_가정!$E$22,②시니어_가정!$R$420,0)</f>
        <v>0</v>
      </c>
      <c r="BZ73" s="37" t="n">
        <f aca="false">IF(BZ6=②시니어_가정!$E$22,②시니어_가정!$R$420,0)</f>
        <v>0</v>
      </c>
      <c r="CA73" s="37" t="n">
        <f aca="false">IF(CA6=②시니어_가정!$E$22,②시니어_가정!$R$420,0)</f>
        <v>0</v>
      </c>
      <c r="CB73" s="37" t="n">
        <f aca="false">IF(CB6=②시니어_가정!$E$22,②시니어_가정!$R$420,0)</f>
        <v>0</v>
      </c>
      <c r="CC73" s="37" t="n">
        <f aca="false">IF(CC6=②시니어_가정!$E$22,②시니어_가정!$R$420,0)</f>
        <v>0</v>
      </c>
      <c r="CD73" s="37" t="n">
        <f aca="false">IF(CD6=②시니어_가정!$E$22,②시니어_가정!$R$420,0)</f>
        <v>0</v>
      </c>
      <c r="CE73" s="37" t="n">
        <f aca="false">IF(CE6=②시니어_가정!$E$22,②시니어_가정!$R$420,0)</f>
        <v>0</v>
      </c>
      <c r="CF73" s="37" t="n">
        <f aca="false">IF(CF6=②시니어_가정!$E$22,②시니어_가정!$R$420,0)</f>
        <v>0</v>
      </c>
      <c r="CG73" s="37" t="n">
        <f aca="false">IF(CG6=②시니어_가정!$E$22,②시니어_가정!$R$420,0)</f>
        <v>0</v>
      </c>
      <c r="CH73" s="37" t="n">
        <f aca="false">IF(CH6=②시니어_가정!$E$22,②시니어_가정!$R$420,0)</f>
        <v>0</v>
      </c>
      <c r="CI73" s="37" t="n">
        <f aca="false">IF(CI6=②시니어_가정!$E$22,②시니어_가정!$R$420,0)</f>
        <v>0</v>
      </c>
      <c r="CJ73" s="37" t="n">
        <f aca="false">IF(CJ6=②시니어_가정!$E$22,②시니어_가정!$R$420,0)</f>
        <v>0</v>
      </c>
      <c r="CK73" s="37" t="n">
        <f aca="false">IF(CK6=②시니어_가정!$E$22,②시니어_가정!$R$420,0)</f>
        <v>0</v>
      </c>
      <c r="CL73" s="37" t="n">
        <f aca="false">IF(CL6=②시니어_가정!$E$22,②시니어_가정!$R$420,0)</f>
        <v>0</v>
      </c>
      <c r="CM73" s="37" t="n">
        <f aca="false">IF(CM6=②시니어_가정!$E$22,②시니어_가정!$R$420,0)</f>
        <v>0</v>
      </c>
      <c r="CN73" s="37" t="n">
        <f aca="false">IF(CN6=②시니어_가정!$E$22,②시니어_가정!$R$420,0)</f>
        <v>0</v>
      </c>
      <c r="CO73" s="37" t="n">
        <f aca="false">IF(CO6=②시니어_가정!$E$22,②시니어_가정!$R$420,0)</f>
        <v>0</v>
      </c>
      <c r="CP73" s="37" t="n">
        <f aca="false">IF(CP6=②시니어_가정!$E$22,②시니어_가정!$R$420,0)</f>
        <v>0</v>
      </c>
      <c r="CQ73" s="37" t="n">
        <f aca="false">IF(CQ6=②시니어_가정!$E$22,②시니어_가정!$R$420,0)</f>
        <v>0</v>
      </c>
      <c r="CR73" s="37" t="n">
        <f aca="false">IF(CR6=②시니어_가정!$E$22,②시니어_가정!$R$420,0)</f>
        <v>0</v>
      </c>
      <c r="CS73" s="37" t="n">
        <f aca="false">IF(CS6=②시니어_가정!$E$22,②시니어_가정!$R$420,0)</f>
        <v>0</v>
      </c>
      <c r="CT73" s="37" t="n">
        <f aca="false">IF(CT6=②시니어_가정!$E$22,②시니어_가정!$R$420,0)</f>
        <v>0</v>
      </c>
      <c r="CU73" s="37" t="n">
        <f aca="false">IF(CU6=②시니어_가정!$E$22,②시니어_가정!$R$420,0)</f>
        <v>0</v>
      </c>
      <c r="CV73" s="37" t="n">
        <f aca="false">IF(CV6=②시니어_가정!$E$22,②시니어_가정!$R$420,0)</f>
        <v>0</v>
      </c>
      <c r="CW73" s="37" t="n">
        <f aca="false">IF(CW6=②시니어_가정!$E$22,②시니어_가정!$R$420,0)</f>
        <v>0</v>
      </c>
      <c r="CX73" s="37" t="n">
        <f aca="false">IF(CX6=②시니어_가정!$E$22,②시니어_가정!$R$420,0)</f>
        <v>0</v>
      </c>
      <c r="CY73" s="37" t="n">
        <f aca="false">IF(CY6=②시니어_가정!$E$22,②시니어_가정!$R$420,0)</f>
        <v>0</v>
      </c>
      <c r="CZ73" s="37" t="n">
        <f aca="false">IF(CZ6=②시니어_가정!$E$22,②시니어_가정!$R$420,0)</f>
        <v>0</v>
      </c>
      <c r="DA73" s="37" t="n">
        <f aca="false">IF(DA6=②시니어_가정!$E$22,②시니어_가정!$R$420,0)</f>
        <v>0</v>
      </c>
      <c r="DB73" s="37" t="n">
        <f aca="false">IF(DB6=②시니어_가정!$E$22,②시니어_가정!$R$420,0)</f>
        <v>0</v>
      </c>
      <c r="DC73" s="37" t="n">
        <f aca="false">IF(DC6=②시니어_가정!$E$22,②시니어_가정!$R$420,0)</f>
        <v>0</v>
      </c>
      <c r="DD73" s="37" t="n">
        <f aca="false">IF(DD6=②시니어_가정!$E$22,②시니어_가정!$R$420,0)</f>
        <v>0</v>
      </c>
      <c r="DE73" s="37" t="n">
        <f aca="false">IF(DE6=②시니어_가정!$E$22,②시니어_가정!$R$420,0)</f>
        <v>0</v>
      </c>
      <c r="DF73" s="37" t="n">
        <f aca="false">IF(DF6=②시니어_가정!$E$22,②시니어_가정!$R$420,0)</f>
        <v>0</v>
      </c>
      <c r="DG73" s="37" t="n">
        <f aca="false">IF(DG6=②시니어_가정!$E$22,②시니어_가정!$R$420,0)</f>
        <v>0</v>
      </c>
      <c r="DH73" s="37" t="n">
        <f aca="false">IF(DH6=②시니어_가정!$E$22,②시니어_가정!$R$420,0)</f>
        <v>0</v>
      </c>
      <c r="DI73" s="37" t="n">
        <f aca="false">IF(DI6=②시니어_가정!$E$22,②시니어_가정!$R$420,0)</f>
        <v>0</v>
      </c>
      <c r="DJ73" s="37" t="n">
        <f aca="false">IF(DJ6=②시니어_가정!$E$22,②시니어_가정!$R$420,0)</f>
        <v>0</v>
      </c>
      <c r="DK73" s="37" t="n">
        <f aca="false">IF(DK6=②시니어_가정!$E$22,②시니어_가정!$R$420,0)</f>
        <v>0</v>
      </c>
      <c r="DL73" s="37" t="n">
        <f aca="false">IF(DL6=②시니어_가정!$E$22,②시니어_가정!$R$420,0)</f>
        <v>0</v>
      </c>
      <c r="DM73" s="37" t="n">
        <f aca="false">IF(DM6=②시니어_가정!$E$22,②시니어_가정!$R$420,0)</f>
        <v>0</v>
      </c>
      <c r="DN73" s="37" t="n">
        <f aca="false">IF(DN6=②시니어_가정!$E$22,②시니어_가정!$R$420,0)</f>
        <v>0</v>
      </c>
      <c r="DO73" s="37" t="n">
        <f aca="false">IF(DO6=②시니어_가정!$E$22,②시니어_가정!$R$420,0)</f>
        <v>0</v>
      </c>
      <c r="DP73" s="37" t="n">
        <f aca="false">IF(DP6=②시니어_가정!$E$22,②시니어_가정!$R$420,0)</f>
        <v>0</v>
      </c>
      <c r="DQ73" s="37" t="n">
        <f aca="false">IF(DQ6=②시니어_가정!$E$22,②시니어_가정!$R$420,0)</f>
        <v>0</v>
      </c>
      <c r="DR73" s="37" t="n">
        <f aca="false">IF(DR6=②시니어_가정!$E$22,②시니어_가정!$R$420,0)</f>
        <v>0</v>
      </c>
      <c r="DS73" s="37" t="n">
        <f aca="false">IF(DS6=②시니어_가정!$E$22,②시니어_가정!$R$420,0)</f>
        <v>0</v>
      </c>
      <c r="DT73" s="37" t="n">
        <f aca="false">IF(DT6=②시니어_가정!$E$22,②시니어_가정!$R$420,0)</f>
        <v>959.821995129466</v>
      </c>
      <c r="DU73" s="37" t="n">
        <f aca="false">IF(DU6=②시니어_가정!$E$22,②시니어_가정!$R$420,0)</f>
        <v>0</v>
      </c>
      <c r="DV73" s="37" t="n">
        <f aca="false">IF(DV6=②시니어_가정!$E$22,②시니어_가정!$R$420,0)</f>
        <v>0</v>
      </c>
      <c r="DW73" s="37" t="n">
        <f aca="false">IF(DW6=②시니어_가정!$E$22,②시니어_가정!$R$420,0)</f>
        <v>0</v>
      </c>
      <c r="DX73" s="37" t="n">
        <f aca="false">IF(DX6=②시니어_가정!$E$22,②시니어_가정!$R$420,0)</f>
        <v>0</v>
      </c>
      <c r="DY73" s="37" t="n">
        <f aca="false">IF(DY6=②시니어_가정!$E$22,②시니어_가정!$R$420,0)</f>
        <v>0</v>
      </c>
      <c r="DZ73" s="37" t="n">
        <f aca="false">IF(DZ6=②시니어_가정!$E$22,②시니어_가정!$R$420,0)</f>
        <v>0</v>
      </c>
      <c r="EA73" s="37" t="n">
        <f aca="false">IF(EA6=②시니어_가정!$E$22,②시니어_가정!$R$420,0)</f>
        <v>0</v>
      </c>
      <c r="EB73" s="37" t="n">
        <f aca="false">IF(EB6=②시니어_가정!$E$22,②시니어_가정!$R$420,0)</f>
        <v>0</v>
      </c>
      <c r="EC73" s="37" t="n">
        <f aca="false">IF(EC6=②시니어_가정!$E$22,②시니어_가정!$R$420,0)</f>
        <v>0</v>
      </c>
      <c r="ED73" s="37" t="n">
        <f aca="false">IF(ED6=②시니어_가정!$E$22,②시니어_가정!$R$420,0)</f>
        <v>0</v>
      </c>
      <c r="EE73" s="37" t="n">
        <f aca="false">IF(EE6=②시니어_가정!$E$22,②시니어_가정!$R$420,0)</f>
        <v>0</v>
      </c>
      <c r="EF73" s="37" t="n">
        <f aca="false">IF(EF6=②시니어_가정!$E$22,②시니어_가정!$R$420,0)</f>
        <v>0</v>
      </c>
    </row>
    <row r="74" customFormat="false" ht="15" hidden="false" customHeight="false" outlineLevel="0" collapsed="false">
      <c r="A74" s="280" t="s">
        <v>617</v>
      </c>
      <c r="B74" s="281" t="s">
        <v>21</v>
      </c>
      <c r="C74" s="282" t="n">
        <f aca="false">SUM(E74:EF74)</f>
        <v>26180.0225040264</v>
      </c>
      <c r="D74" s="48"/>
      <c r="E74" s="283" t="n">
        <f aca="false">SUM(E67:E73)</f>
        <v>0</v>
      </c>
      <c r="F74" s="283" t="n">
        <f aca="false">SUM(F67:F73)</f>
        <v>0</v>
      </c>
      <c r="G74" s="283" t="n">
        <f aca="false">SUM(G67:G73)</f>
        <v>0</v>
      </c>
      <c r="H74" s="283" t="n">
        <f aca="false">SUM(H67:H73)</f>
        <v>0</v>
      </c>
      <c r="I74" s="283" t="n">
        <f aca="false">SUM(I67:I73)</f>
        <v>0</v>
      </c>
      <c r="J74" s="283" t="n">
        <f aca="false">SUM(J67:J73)</f>
        <v>0</v>
      </c>
      <c r="K74" s="283" t="n">
        <f aca="false">SUM(K67:K73)</f>
        <v>0</v>
      </c>
      <c r="L74" s="283" t="n">
        <f aca="false">SUM(L67:L73)</f>
        <v>0</v>
      </c>
      <c r="M74" s="283" t="n">
        <f aca="false">SUM(M67:M73)</f>
        <v>0</v>
      </c>
      <c r="N74" s="283" t="n">
        <f aca="false">SUM(N67:N73)</f>
        <v>0</v>
      </c>
      <c r="O74" s="283" t="n">
        <f aca="false">SUM(O67:O73)</f>
        <v>0</v>
      </c>
      <c r="P74" s="283" t="n">
        <f aca="false">SUM(P67:P73)</f>
        <v>0</v>
      </c>
      <c r="Q74" s="283" t="n">
        <f aca="false">SUM(Q67:Q73)</f>
        <v>0</v>
      </c>
      <c r="R74" s="283" t="n">
        <f aca="false">SUM(R67:R73)</f>
        <v>0</v>
      </c>
      <c r="S74" s="283" t="n">
        <f aca="false">SUM(S67:S73)</f>
        <v>0</v>
      </c>
      <c r="T74" s="283" t="n">
        <f aca="false">SUM(T67:T73)</f>
        <v>0</v>
      </c>
      <c r="U74" s="283" t="n">
        <f aca="false">SUM(U67:U73)</f>
        <v>0</v>
      </c>
      <c r="V74" s="283" t="n">
        <f aca="false">SUM(V67:V73)</f>
        <v>0</v>
      </c>
      <c r="W74" s="283" t="n">
        <f aca="false">SUM(W67:W73)</f>
        <v>0</v>
      </c>
      <c r="X74" s="283" t="n">
        <f aca="false">SUM(X67:X73)</f>
        <v>0</v>
      </c>
      <c r="Y74" s="283" t="n">
        <f aca="false">SUM(Y67:Y73)</f>
        <v>0</v>
      </c>
      <c r="Z74" s="283" t="n">
        <f aca="false">SUM(Z67:Z73)</f>
        <v>0</v>
      </c>
      <c r="AA74" s="283" t="n">
        <f aca="false">SUM(AA67:AA73)</f>
        <v>0</v>
      </c>
      <c r="AB74" s="283" t="n">
        <f aca="false">SUM(AB67:AB73)</f>
        <v>0</v>
      </c>
      <c r="AC74" s="283" t="n">
        <f aca="false">SUM(AC67:AC73)</f>
        <v>0</v>
      </c>
      <c r="AD74" s="283" t="n">
        <f aca="false">SUM(AD67:AD73)</f>
        <v>0</v>
      </c>
      <c r="AE74" s="283" t="n">
        <f aca="false">SUM(AE67:AE73)</f>
        <v>0</v>
      </c>
      <c r="AF74" s="283" t="n">
        <f aca="false">SUM(AF67:AF73)</f>
        <v>0</v>
      </c>
      <c r="AG74" s="283" t="n">
        <f aca="false">SUM(AG67:AG73)</f>
        <v>0</v>
      </c>
      <c r="AH74" s="283" t="n">
        <f aca="false">SUM(AH67:AH73)</f>
        <v>0</v>
      </c>
      <c r="AI74" s="283" t="n">
        <f aca="false">SUM(AI67:AI73)</f>
        <v>0</v>
      </c>
      <c r="AJ74" s="283" t="n">
        <f aca="false">SUM(AJ67:AJ73)</f>
        <v>0</v>
      </c>
      <c r="AK74" s="283" t="n">
        <f aca="false">SUM(AK67:AK73)</f>
        <v>0</v>
      </c>
      <c r="AL74" s="283" t="n">
        <f aca="false">SUM(AL67:AL73)</f>
        <v>0</v>
      </c>
      <c r="AM74" s="283" t="n">
        <f aca="false">SUM(AM67:AM73)</f>
        <v>0</v>
      </c>
      <c r="AN74" s="283" t="n">
        <f aca="false">SUM(AN67:AN73)</f>
        <v>0</v>
      </c>
      <c r="AO74" s="283" t="n">
        <f aca="false">SUM(AO67:AO73)</f>
        <v>0</v>
      </c>
      <c r="AP74" s="283" t="n">
        <f aca="false">SUM(AP67:AP73)</f>
        <v>0</v>
      </c>
      <c r="AQ74" s="283" t="n">
        <f aca="false">SUM(AQ67:AQ73)</f>
        <v>0</v>
      </c>
      <c r="AR74" s="283" t="n">
        <f aca="false">SUM(AR67:AR73)</f>
        <v>0</v>
      </c>
      <c r="AS74" s="283" t="n">
        <f aca="false">SUM(AS67:AS73)</f>
        <v>0</v>
      </c>
      <c r="AT74" s="283" t="n">
        <f aca="false">SUM(AT67:AT73)</f>
        <v>0</v>
      </c>
      <c r="AU74" s="283" t="n">
        <f aca="false">SUM(AU67:AU73)</f>
        <v>0</v>
      </c>
      <c r="AV74" s="283" t="n">
        <f aca="false">SUM(AV67:AV73)</f>
        <v>0</v>
      </c>
      <c r="AW74" s="283" t="n">
        <f aca="false">SUM(AW67:AW73)</f>
        <v>0</v>
      </c>
      <c r="AX74" s="283" t="n">
        <f aca="false">SUM(AX67:AX73)</f>
        <v>0</v>
      </c>
      <c r="AY74" s="283" t="n">
        <f aca="false">SUM(AY67:AY73)</f>
        <v>0</v>
      </c>
      <c r="AZ74" s="283" t="n">
        <f aca="false">SUM(AZ67:AZ73)</f>
        <v>0</v>
      </c>
      <c r="BA74" s="283" t="n">
        <f aca="false">SUM(BA67:BA73)</f>
        <v>0</v>
      </c>
      <c r="BB74" s="283" t="n">
        <f aca="false">SUM(BB67:BB73)</f>
        <v>0</v>
      </c>
      <c r="BC74" s="283" t="n">
        <f aca="false">SUM(BC67:BC73)</f>
        <v>0</v>
      </c>
      <c r="BD74" s="283" t="n">
        <f aca="false">SUM(BD67:BD73)</f>
        <v>0</v>
      </c>
      <c r="BE74" s="283" t="n">
        <f aca="false">SUM(BE67:BE73)</f>
        <v>0</v>
      </c>
      <c r="BF74" s="283" t="n">
        <f aca="false">SUM(BF67:BF73)</f>
        <v>0</v>
      </c>
      <c r="BG74" s="283" t="n">
        <f aca="false">SUM(BG67:BG73)</f>
        <v>0</v>
      </c>
      <c r="BH74" s="283" t="n">
        <f aca="false">SUM(BH67:BH73)</f>
        <v>0</v>
      </c>
      <c r="BI74" s="283" t="n">
        <f aca="false">SUM(BI67:BI73)</f>
        <v>0</v>
      </c>
      <c r="BJ74" s="283" t="n">
        <f aca="false">SUM(BJ67:BJ73)</f>
        <v>0</v>
      </c>
      <c r="BK74" s="283" t="n">
        <f aca="false">SUM(BK67:BK73)</f>
        <v>0</v>
      </c>
      <c r="BL74" s="283" t="n">
        <f aca="false">SUM(BL67:BL73)</f>
        <v>0</v>
      </c>
      <c r="BM74" s="283" t="n">
        <f aca="false">SUM(BM67:BM73)</f>
        <v>346.440445231578</v>
      </c>
      <c r="BN74" s="283" t="n">
        <f aca="false">SUM(BN67:BN73)</f>
        <v>384.677945231578</v>
      </c>
      <c r="BO74" s="283" t="n">
        <f aca="false">SUM(BO67:BO73)</f>
        <v>384.677945231578</v>
      </c>
      <c r="BP74" s="283" t="n">
        <f aca="false">SUM(BP67:BP73)</f>
        <v>384.677945231578</v>
      </c>
      <c r="BQ74" s="283" t="n">
        <f aca="false">SUM(BQ67:BQ73)</f>
        <v>384.677945231578</v>
      </c>
      <c r="BR74" s="283" t="n">
        <f aca="false">SUM(BR67:BR73)</f>
        <v>384.677945231578</v>
      </c>
      <c r="BS74" s="283" t="n">
        <f aca="false">SUM(BS67:BS73)</f>
        <v>384.677945231578</v>
      </c>
      <c r="BT74" s="283" t="n">
        <f aca="false">SUM(BT67:BT73)</f>
        <v>384.677945231578</v>
      </c>
      <c r="BU74" s="283" t="n">
        <f aca="false">SUM(BU67:BU73)</f>
        <v>384.677945231578</v>
      </c>
      <c r="BV74" s="283" t="n">
        <f aca="false">SUM(BV67:BV73)</f>
        <v>384.677945231578</v>
      </c>
      <c r="BW74" s="283" t="n">
        <f aca="false">SUM(BW67:BW73)</f>
        <v>384.677945231578</v>
      </c>
      <c r="BX74" s="283" t="n">
        <f aca="false">SUM(BX67:BX73)</f>
        <v>384.677945231578</v>
      </c>
      <c r="BY74" s="283" t="n">
        <f aca="false">SUM(BY67:BY73)</f>
        <v>387.486920802876</v>
      </c>
      <c r="BZ74" s="283" t="n">
        <f aca="false">SUM(BZ67:BZ73)</f>
        <v>418.986920802876</v>
      </c>
      <c r="CA74" s="283" t="n">
        <f aca="false">SUM(CA67:CA73)</f>
        <v>418.986920802876</v>
      </c>
      <c r="CB74" s="283" t="n">
        <f aca="false">SUM(CB67:CB73)</f>
        <v>418.986920802876</v>
      </c>
      <c r="CC74" s="283" t="n">
        <f aca="false">SUM(CC67:CC73)</f>
        <v>418.986920802876</v>
      </c>
      <c r="CD74" s="283" t="n">
        <f aca="false">SUM(CD67:CD73)</f>
        <v>418.986920802876</v>
      </c>
      <c r="CE74" s="283" t="n">
        <f aca="false">SUM(CE67:CE73)</f>
        <v>418.986920802876</v>
      </c>
      <c r="CF74" s="283" t="n">
        <f aca="false">SUM(CF67:CF73)</f>
        <v>418.986920802876</v>
      </c>
      <c r="CG74" s="283" t="n">
        <f aca="false">SUM(CG67:CG73)</f>
        <v>418.986920802876</v>
      </c>
      <c r="CH74" s="283" t="n">
        <f aca="false">SUM(CH67:CH73)</f>
        <v>418.986920802876</v>
      </c>
      <c r="CI74" s="283" t="n">
        <f aca="false">SUM(CI67:CI73)</f>
        <v>418.986920802876</v>
      </c>
      <c r="CJ74" s="283" t="n">
        <f aca="false">SUM(CJ67:CJ73)</f>
        <v>418.986920802876</v>
      </c>
      <c r="CK74" s="283" t="n">
        <f aca="false">SUM(CK67:CK73)</f>
        <v>421.8520758856</v>
      </c>
      <c r="CL74" s="283" t="n">
        <f aca="false">SUM(CL67:CL73)</f>
        <v>421.8520758856</v>
      </c>
      <c r="CM74" s="283" t="n">
        <f aca="false">SUM(CM67:CM73)</f>
        <v>421.8520758856</v>
      </c>
      <c r="CN74" s="283" t="n">
        <f aca="false">SUM(CN67:CN73)</f>
        <v>421.8520758856</v>
      </c>
      <c r="CO74" s="283" t="n">
        <f aca="false">SUM(CO67:CO73)</f>
        <v>421.8520758856</v>
      </c>
      <c r="CP74" s="283" t="n">
        <f aca="false">SUM(CP67:CP73)</f>
        <v>421.8520758856</v>
      </c>
      <c r="CQ74" s="283" t="n">
        <f aca="false">SUM(CQ67:CQ73)</f>
        <v>421.8520758856</v>
      </c>
      <c r="CR74" s="283" t="n">
        <f aca="false">SUM(CR67:CR73)</f>
        <v>421.8520758856</v>
      </c>
      <c r="CS74" s="283" t="n">
        <f aca="false">SUM(CS67:CS73)</f>
        <v>421.8520758856</v>
      </c>
      <c r="CT74" s="283" t="n">
        <f aca="false">SUM(CT67:CT73)</f>
        <v>421.8520758856</v>
      </c>
      <c r="CU74" s="283" t="n">
        <f aca="false">SUM(CU67:CU73)</f>
        <v>421.8520758856</v>
      </c>
      <c r="CV74" s="283" t="n">
        <f aca="false">SUM(CV67:CV73)</f>
        <v>421.8520758856</v>
      </c>
      <c r="CW74" s="283" t="n">
        <f aca="false">SUM(CW67:CW73)</f>
        <v>424.774534069979</v>
      </c>
      <c r="CX74" s="283" t="n">
        <f aca="false">SUM(CX67:CX73)</f>
        <v>424.774534069979</v>
      </c>
      <c r="CY74" s="283" t="n">
        <f aca="false">SUM(CY67:CY73)</f>
        <v>424.774534069979</v>
      </c>
      <c r="CZ74" s="283" t="n">
        <f aca="false">SUM(CZ67:CZ73)</f>
        <v>424.774534069979</v>
      </c>
      <c r="DA74" s="283" t="n">
        <f aca="false">SUM(DA67:DA73)</f>
        <v>424.774534069979</v>
      </c>
      <c r="DB74" s="283" t="n">
        <f aca="false">SUM(DB67:DB73)</f>
        <v>424.774534069979</v>
      </c>
      <c r="DC74" s="283" t="n">
        <f aca="false">SUM(DC67:DC73)</f>
        <v>424.774534069979</v>
      </c>
      <c r="DD74" s="283" t="n">
        <f aca="false">SUM(DD67:DD73)</f>
        <v>424.774534069979</v>
      </c>
      <c r="DE74" s="283" t="n">
        <f aca="false">SUM(DE67:DE73)</f>
        <v>424.774534069979</v>
      </c>
      <c r="DF74" s="283" t="n">
        <f aca="false">SUM(DF67:DF73)</f>
        <v>424.774534069979</v>
      </c>
      <c r="DG74" s="283" t="n">
        <f aca="false">SUM(DG67:DG73)</f>
        <v>424.774534069979</v>
      </c>
      <c r="DH74" s="283" t="n">
        <f aca="false">SUM(DH67:DH73)</f>
        <v>424.774534069979</v>
      </c>
      <c r="DI74" s="283" t="n">
        <f aca="false">SUM(DI67:DI73)</f>
        <v>427.755441418045</v>
      </c>
      <c r="DJ74" s="283" t="n">
        <f aca="false">SUM(DJ67:DJ73)</f>
        <v>427.755441418045</v>
      </c>
      <c r="DK74" s="283" t="n">
        <f aca="false">SUM(DK67:DK73)</f>
        <v>427.755441418045</v>
      </c>
      <c r="DL74" s="283" t="n">
        <f aca="false">SUM(DL67:DL73)</f>
        <v>427.755441418045</v>
      </c>
      <c r="DM74" s="283" t="n">
        <f aca="false">SUM(DM67:DM73)</f>
        <v>427.755441418045</v>
      </c>
      <c r="DN74" s="283" t="n">
        <f aca="false">SUM(DN67:DN73)</f>
        <v>427.755441418045</v>
      </c>
      <c r="DO74" s="283" t="n">
        <f aca="false">SUM(DO67:DO73)</f>
        <v>427.755441418045</v>
      </c>
      <c r="DP74" s="283" t="n">
        <f aca="false">SUM(DP67:DP73)</f>
        <v>427.755441418045</v>
      </c>
      <c r="DQ74" s="283" t="n">
        <f aca="false">SUM(DQ67:DQ73)</f>
        <v>427.755441418045</v>
      </c>
      <c r="DR74" s="283" t="n">
        <f aca="false">SUM(DR67:DR73)</f>
        <v>427.755441418045</v>
      </c>
      <c r="DS74" s="283" t="n">
        <f aca="false">SUM(DS67:DS73)</f>
        <v>427.755441418045</v>
      </c>
      <c r="DT74" s="283" t="n">
        <f aca="false">SUM(DT67:DT73)</f>
        <v>1387.57743654751</v>
      </c>
      <c r="DU74" s="283" t="n">
        <f aca="false">SUM(DU67:DU73)</f>
        <v>117.791666666667</v>
      </c>
      <c r="DV74" s="283" t="n">
        <f aca="false">SUM(DV67:DV73)</f>
        <v>117.791666666667</v>
      </c>
      <c r="DW74" s="283" t="n">
        <f aca="false">SUM(DW67:DW73)</f>
        <v>117.791666666667</v>
      </c>
      <c r="DX74" s="283" t="n">
        <f aca="false">SUM(DX67:DX73)</f>
        <v>0</v>
      </c>
      <c r="DY74" s="283" t="n">
        <f aca="false">SUM(DY67:DY73)</f>
        <v>0</v>
      </c>
      <c r="DZ74" s="283" t="n">
        <f aca="false">SUM(DZ67:DZ73)</f>
        <v>0</v>
      </c>
      <c r="EA74" s="283" t="n">
        <f aca="false">SUM(EA67:EA73)</f>
        <v>0</v>
      </c>
      <c r="EB74" s="283" t="n">
        <f aca="false">SUM(EB67:EB73)</f>
        <v>0</v>
      </c>
      <c r="EC74" s="283" t="n">
        <f aca="false">SUM(EC67:EC73)</f>
        <v>0</v>
      </c>
      <c r="ED74" s="283" t="n">
        <f aca="false">SUM(ED67:ED73)</f>
        <v>0</v>
      </c>
      <c r="EE74" s="283" t="n">
        <f aca="false">SUM(EE67:EE73)</f>
        <v>0</v>
      </c>
      <c r="EF74" s="283" t="n">
        <f aca="false">SUM(EF67:EF73)</f>
        <v>0</v>
      </c>
    </row>
    <row r="75" customFormat="false" ht="15" hidden="false" customHeight="false" outlineLevel="0" collapsed="false">
      <c r="A75" s="280" t="s">
        <v>618</v>
      </c>
      <c r="B75" s="281" t="s">
        <v>21</v>
      </c>
      <c r="C75" s="282" t="n">
        <f aca="false">SUM(E75:EF75)</f>
        <v>6441.48914399355</v>
      </c>
      <c r="D75" s="48"/>
      <c r="E75" s="283" t="n">
        <f aca="false">E64-E74</f>
        <v>0</v>
      </c>
      <c r="F75" s="283" t="n">
        <f aca="false">F64-F74</f>
        <v>0</v>
      </c>
      <c r="G75" s="283" t="n">
        <f aca="false">G64-G74</f>
        <v>0</v>
      </c>
      <c r="H75" s="283" t="n">
        <f aca="false">H64-H74</f>
        <v>0</v>
      </c>
      <c r="I75" s="283" t="n">
        <f aca="false">I64-I74</f>
        <v>0</v>
      </c>
      <c r="J75" s="283" t="n">
        <f aca="false">J64-J74</f>
        <v>0</v>
      </c>
      <c r="K75" s="283" t="n">
        <f aca="false">K64-K74</f>
        <v>0</v>
      </c>
      <c r="L75" s="283" t="n">
        <f aca="false">L64-L74</f>
        <v>0</v>
      </c>
      <c r="M75" s="283" t="n">
        <f aca="false">M64-M74</f>
        <v>0</v>
      </c>
      <c r="N75" s="283" t="n">
        <f aca="false">N64-N74</f>
        <v>0</v>
      </c>
      <c r="O75" s="283" t="n">
        <f aca="false">O64-O74</f>
        <v>0</v>
      </c>
      <c r="P75" s="283" t="n">
        <f aca="false">P64-P74</f>
        <v>0</v>
      </c>
      <c r="Q75" s="283" t="n">
        <f aca="false">Q64-Q74</f>
        <v>0</v>
      </c>
      <c r="R75" s="283" t="n">
        <f aca="false">R64-R74</f>
        <v>0</v>
      </c>
      <c r="S75" s="283" t="n">
        <f aca="false">S64-S74</f>
        <v>0</v>
      </c>
      <c r="T75" s="283" t="n">
        <f aca="false">T64-T74</f>
        <v>0</v>
      </c>
      <c r="U75" s="283" t="n">
        <f aca="false">U64-U74</f>
        <v>0</v>
      </c>
      <c r="V75" s="283" t="n">
        <f aca="false">V64-V74</f>
        <v>0</v>
      </c>
      <c r="W75" s="283" t="n">
        <f aca="false">W64-W74</f>
        <v>0</v>
      </c>
      <c r="X75" s="283" t="n">
        <f aca="false">X64-X74</f>
        <v>0</v>
      </c>
      <c r="Y75" s="283" t="n">
        <f aca="false">Y64-Y74</f>
        <v>0</v>
      </c>
      <c r="Z75" s="283" t="n">
        <f aca="false">Z64-Z74</f>
        <v>0</v>
      </c>
      <c r="AA75" s="283" t="n">
        <f aca="false">AA64-AA74</f>
        <v>0</v>
      </c>
      <c r="AB75" s="283" t="n">
        <f aca="false">AB64-AB74</f>
        <v>0</v>
      </c>
      <c r="AC75" s="283" t="n">
        <f aca="false">AC64-AC74</f>
        <v>0</v>
      </c>
      <c r="AD75" s="283" t="n">
        <f aca="false">AD64-AD74</f>
        <v>0</v>
      </c>
      <c r="AE75" s="283" t="n">
        <f aca="false">AE64-AE74</f>
        <v>0</v>
      </c>
      <c r="AF75" s="283" t="n">
        <f aca="false">AF64-AF74</f>
        <v>0</v>
      </c>
      <c r="AG75" s="283" t="n">
        <f aca="false">AG64-AG74</f>
        <v>0</v>
      </c>
      <c r="AH75" s="283" t="n">
        <f aca="false">AH64-AH74</f>
        <v>0</v>
      </c>
      <c r="AI75" s="283" t="n">
        <f aca="false">AI64-AI74</f>
        <v>0</v>
      </c>
      <c r="AJ75" s="283" t="n">
        <f aca="false">AJ64-AJ74</f>
        <v>0</v>
      </c>
      <c r="AK75" s="283" t="n">
        <f aca="false">AK64-AK74</f>
        <v>0</v>
      </c>
      <c r="AL75" s="283" t="n">
        <f aca="false">AL64-AL74</f>
        <v>0</v>
      </c>
      <c r="AM75" s="283" t="n">
        <f aca="false">AM64-AM74</f>
        <v>0</v>
      </c>
      <c r="AN75" s="283" t="n">
        <f aca="false">AN64-AN74</f>
        <v>0</v>
      </c>
      <c r="AO75" s="283" t="n">
        <f aca="false">AO64-AO74</f>
        <v>0</v>
      </c>
      <c r="AP75" s="283" t="n">
        <f aca="false">AP64-AP74</f>
        <v>0</v>
      </c>
      <c r="AQ75" s="283" t="n">
        <f aca="false">AQ64-AQ74</f>
        <v>0</v>
      </c>
      <c r="AR75" s="283" t="n">
        <f aca="false">AR64-AR74</f>
        <v>0</v>
      </c>
      <c r="AS75" s="283" t="n">
        <f aca="false">AS64-AS74</f>
        <v>0</v>
      </c>
      <c r="AT75" s="283" t="n">
        <f aca="false">AT64-AT74</f>
        <v>0</v>
      </c>
      <c r="AU75" s="283" t="n">
        <f aca="false">AU64-AU74</f>
        <v>0</v>
      </c>
      <c r="AV75" s="283" t="n">
        <f aca="false">AV64-AV74</f>
        <v>0</v>
      </c>
      <c r="AW75" s="283" t="n">
        <f aca="false">AW64-AW74</f>
        <v>0</v>
      </c>
      <c r="AX75" s="283" t="n">
        <f aca="false">AX64-AX74</f>
        <v>0</v>
      </c>
      <c r="AY75" s="283" t="n">
        <f aca="false">AY64-AY74</f>
        <v>0</v>
      </c>
      <c r="AZ75" s="283" t="n">
        <f aca="false">AZ64-AZ74</f>
        <v>0</v>
      </c>
      <c r="BA75" s="283" t="n">
        <f aca="false">BA64-BA74</f>
        <v>0</v>
      </c>
      <c r="BB75" s="283" t="n">
        <f aca="false">BB64-BB74</f>
        <v>0</v>
      </c>
      <c r="BC75" s="283" t="n">
        <f aca="false">BC64-BC74</f>
        <v>0</v>
      </c>
      <c r="BD75" s="283" t="n">
        <f aca="false">BD64-BD74</f>
        <v>0</v>
      </c>
      <c r="BE75" s="283" t="n">
        <f aca="false">BE64-BE74</f>
        <v>0</v>
      </c>
      <c r="BF75" s="283" t="n">
        <f aca="false">BF64-BF74</f>
        <v>0</v>
      </c>
      <c r="BG75" s="283" t="n">
        <f aca="false">BG64-BG74</f>
        <v>0</v>
      </c>
      <c r="BH75" s="283" t="n">
        <f aca="false">BH64-BH74</f>
        <v>0</v>
      </c>
      <c r="BI75" s="283" t="n">
        <f aca="false">BI64-BI74</f>
        <v>0</v>
      </c>
      <c r="BJ75" s="283" t="n">
        <f aca="false">BJ64-BJ74</f>
        <v>0</v>
      </c>
      <c r="BK75" s="283" t="n">
        <f aca="false">BK64-BK74</f>
        <v>0</v>
      </c>
      <c r="BL75" s="283" t="n">
        <f aca="false">BL64-BL74</f>
        <v>0</v>
      </c>
      <c r="BM75" s="283" t="n">
        <f aca="false">BM64-BM74</f>
        <v>112.723954768422</v>
      </c>
      <c r="BN75" s="283" t="n">
        <f aca="false">BN64-BN74</f>
        <v>74.4864547684218</v>
      </c>
      <c r="BO75" s="283" t="n">
        <f aca="false">BO64-BO74</f>
        <v>74.4864547684218</v>
      </c>
      <c r="BP75" s="283" t="n">
        <f aca="false">BP64-BP74</f>
        <v>74.4864547684218</v>
      </c>
      <c r="BQ75" s="283" t="n">
        <f aca="false">BQ64-BQ74</f>
        <v>74.4864547684218</v>
      </c>
      <c r="BR75" s="283" t="n">
        <f aca="false">BR64-BR74</f>
        <v>74.4864547684218</v>
      </c>
      <c r="BS75" s="283" t="n">
        <f aca="false">BS64-BS74</f>
        <v>74.4864547684218</v>
      </c>
      <c r="BT75" s="283" t="n">
        <f aca="false">BT64-BT74</f>
        <v>74.4864547684218</v>
      </c>
      <c r="BU75" s="283" t="n">
        <f aca="false">BU64-BU74</f>
        <v>74.4864547684218</v>
      </c>
      <c r="BV75" s="283" t="n">
        <f aca="false">BV64-BV74</f>
        <v>74.4864547684218</v>
      </c>
      <c r="BW75" s="283" t="n">
        <f aca="false">BW64-BW74</f>
        <v>74.4864547684218</v>
      </c>
      <c r="BX75" s="283" t="n">
        <f aca="false">BX64-BX74</f>
        <v>74.4864547684218</v>
      </c>
      <c r="BY75" s="283" t="n">
        <f aca="false">BY64-BY74</f>
        <v>160.671687197124</v>
      </c>
      <c r="BZ75" s="283" t="n">
        <f aca="false">BZ64-BZ74</f>
        <v>129.171687197124</v>
      </c>
      <c r="CA75" s="283" t="n">
        <f aca="false">CA64-CA74</f>
        <v>129.171687197124</v>
      </c>
      <c r="CB75" s="283" t="n">
        <f aca="false">CB64-CB74</f>
        <v>129.171687197124</v>
      </c>
      <c r="CC75" s="283" t="n">
        <f aca="false">CC64-CC74</f>
        <v>129.171687197124</v>
      </c>
      <c r="CD75" s="283" t="n">
        <f aca="false">CD64-CD74</f>
        <v>129.171687197124</v>
      </c>
      <c r="CE75" s="283" t="n">
        <f aca="false">CE64-CE74</f>
        <v>129.171687197124</v>
      </c>
      <c r="CF75" s="283" t="n">
        <f aca="false">CF64-CF74</f>
        <v>129.171687197124</v>
      </c>
      <c r="CG75" s="283" t="n">
        <f aca="false">CG64-CG74</f>
        <v>129.171687197124</v>
      </c>
      <c r="CH75" s="283" t="n">
        <f aca="false">CH64-CH74</f>
        <v>129.171687197124</v>
      </c>
      <c r="CI75" s="283" t="n">
        <f aca="false">CI64-CI74</f>
        <v>129.171687197124</v>
      </c>
      <c r="CJ75" s="283" t="n">
        <f aca="false">CJ64-CJ74</f>
        <v>129.171687197124</v>
      </c>
      <c r="CK75" s="283" t="n">
        <f aca="false">CK64-CK74</f>
        <v>137.269704274399</v>
      </c>
      <c r="CL75" s="283" t="n">
        <f aca="false">CL64-CL74</f>
        <v>137.269704274399</v>
      </c>
      <c r="CM75" s="283" t="n">
        <f aca="false">CM64-CM74</f>
        <v>137.269704274399</v>
      </c>
      <c r="CN75" s="283" t="n">
        <f aca="false">CN64-CN74</f>
        <v>137.269704274399</v>
      </c>
      <c r="CO75" s="283" t="n">
        <f aca="false">CO64-CO74</f>
        <v>137.269704274399</v>
      </c>
      <c r="CP75" s="283" t="n">
        <f aca="false">CP64-CP74</f>
        <v>137.269704274399</v>
      </c>
      <c r="CQ75" s="283" t="n">
        <f aca="false">CQ64-CQ74</f>
        <v>137.269704274399</v>
      </c>
      <c r="CR75" s="283" t="n">
        <f aca="false">CR64-CR74</f>
        <v>137.269704274399</v>
      </c>
      <c r="CS75" s="283" t="n">
        <f aca="false">CS64-CS74</f>
        <v>137.269704274399</v>
      </c>
      <c r="CT75" s="283" t="n">
        <f aca="false">CT64-CT74</f>
        <v>137.269704274399</v>
      </c>
      <c r="CU75" s="283" t="n">
        <f aca="false">CU64-CU74</f>
        <v>137.269704274399</v>
      </c>
      <c r="CV75" s="283" t="n">
        <f aca="false">CV64-CV74</f>
        <v>137.269704274399</v>
      </c>
      <c r="CW75" s="283" t="n">
        <f aca="false">CW64-CW74</f>
        <v>145.529681693221</v>
      </c>
      <c r="CX75" s="283" t="n">
        <f aca="false">CX64-CX74</f>
        <v>145.529681693221</v>
      </c>
      <c r="CY75" s="283" t="n">
        <f aca="false">CY64-CY74</f>
        <v>145.529681693221</v>
      </c>
      <c r="CZ75" s="283" t="n">
        <f aca="false">CZ64-CZ74</f>
        <v>145.529681693221</v>
      </c>
      <c r="DA75" s="283" t="n">
        <f aca="false">DA64-DA74</f>
        <v>145.529681693221</v>
      </c>
      <c r="DB75" s="283" t="n">
        <f aca="false">DB64-DB74</f>
        <v>145.529681693221</v>
      </c>
      <c r="DC75" s="283" t="n">
        <f aca="false">DC64-DC74</f>
        <v>145.529681693221</v>
      </c>
      <c r="DD75" s="283" t="n">
        <f aca="false">DD64-DD74</f>
        <v>145.529681693221</v>
      </c>
      <c r="DE75" s="283" t="n">
        <f aca="false">DE64-DE74</f>
        <v>145.529681693221</v>
      </c>
      <c r="DF75" s="283" t="n">
        <f aca="false">DF64-DF74</f>
        <v>145.529681693221</v>
      </c>
      <c r="DG75" s="283" t="n">
        <f aca="false">DG64-DG74</f>
        <v>145.529681693221</v>
      </c>
      <c r="DH75" s="283" t="n">
        <f aca="false">DH64-DH74</f>
        <v>145.529681693221</v>
      </c>
      <c r="DI75" s="283" t="n">
        <f aca="false">DI64-DI74</f>
        <v>153.954858660419</v>
      </c>
      <c r="DJ75" s="283" t="n">
        <f aca="false">DJ64-DJ74</f>
        <v>153.954858660419</v>
      </c>
      <c r="DK75" s="283" t="n">
        <f aca="false">DK64-DK74</f>
        <v>153.954858660419</v>
      </c>
      <c r="DL75" s="283" t="n">
        <f aca="false">DL64-DL74</f>
        <v>153.954858660419</v>
      </c>
      <c r="DM75" s="283" t="n">
        <f aca="false">DM64-DM74</f>
        <v>153.954858660419</v>
      </c>
      <c r="DN75" s="283" t="n">
        <f aca="false">DN64-DN74</f>
        <v>153.954858660419</v>
      </c>
      <c r="DO75" s="283" t="n">
        <f aca="false">DO64-DO74</f>
        <v>153.954858660419</v>
      </c>
      <c r="DP75" s="283" t="n">
        <f aca="false">DP64-DP74</f>
        <v>153.954858660419</v>
      </c>
      <c r="DQ75" s="283" t="n">
        <f aca="false">DQ64-DQ74</f>
        <v>153.954858660419</v>
      </c>
      <c r="DR75" s="283" t="n">
        <f aca="false">DR64-DR74</f>
        <v>153.954858660419</v>
      </c>
      <c r="DS75" s="283" t="n">
        <f aca="false">DS64-DS74</f>
        <v>153.954858660419</v>
      </c>
      <c r="DT75" s="283" t="n">
        <f aca="false">DT64-DT74</f>
        <v>-805.867136469047</v>
      </c>
      <c r="DU75" s="283" t="n">
        <f aca="false">DU64-DU74</f>
        <v>-117.791666666667</v>
      </c>
      <c r="DV75" s="283" t="n">
        <f aca="false">DV64-DV74</f>
        <v>-117.791666666667</v>
      </c>
      <c r="DW75" s="283" t="n">
        <f aca="false">DW64-DW74</f>
        <v>-117.791666666667</v>
      </c>
      <c r="DX75" s="283" t="n">
        <f aca="false">DX64-DX74</f>
        <v>0</v>
      </c>
      <c r="DY75" s="283" t="n">
        <f aca="false">DY64-DY74</f>
        <v>0</v>
      </c>
      <c r="DZ75" s="283" t="n">
        <f aca="false">DZ64-DZ74</f>
        <v>0</v>
      </c>
      <c r="EA75" s="283" t="n">
        <f aca="false">EA64-EA74</f>
        <v>0</v>
      </c>
      <c r="EB75" s="283" t="n">
        <f aca="false">EB64-EB74</f>
        <v>0</v>
      </c>
      <c r="EC75" s="283" t="n">
        <f aca="false">EC64-EC74</f>
        <v>0</v>
      </c>
      <c r="ED75" s="283" t="n">
        <f aca="false">ED64-ED74</f>
        <v>0</v>
      </c>
      <c r="EE75" s="283" t="n">
        <f aca="false">EE64-EE74</f>
        <v>0</v>
      </c>
      <c r="EF75" s="283" t="n">
        <f aca="false">EF64-EF74</f>
        <v>0</v>
      </c>
    </row>
    <row r="77" customFormat="false" ht="15" hidden="false" customHeight="false" outlineLevel="0" collapsed="false">
      <c r="A77" s="6" t="s">
        <v>619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</row>
    <row r="78" customFormat="false" ht="15" hidden="false" customHeight="false" outlineLevel="0" collapsed="false">
      <c r="A78" s="36" t="s">
        <v>620</v>
      </c>
      <c r="B78" s="278" t="s">
        <v>21</v>
      </c>
      <c r="C78" s="279" t="n">
        <f aca="false">SUM(E78:EF78)</f>
        <v>540000</v>
      </c>
      <c r="E78" s="37" t="n">
        <f aca="false">②시니어_가정!$D$38*②시니어_가정!$E$98*(②시니어_가정!$E$104*SUMIF(②시니어_가정!$J$97:$J$101,E6,②시니어_가정!$I$97:$I$101)+IF(E15=13,②시니어_가정!$E$105-②시니어_가정!$E$104,0)+IF(E15=25,②시니어_가정!$E$106-②시니어_가정!$E$105,0))</f>
        <v>0</v>
      </c>
      <c r="F78" s="37" t="n">
        <f aca="false">②시니어_가정!$D$38*②시니어_가정!$E$98*(②시니어_가정!$E$104*SUMIF(②시니어_가정!$J$97:$J$101,F6,②시니어_가정!$I$97:$I$101)+IF(F15=13,②시니어_가정!$E$105-②시니어_가정!$E$104,0)+IF(F15=25,②시니어_가정!$E$106-②시니어_가정!$E$105,0))</f>
        <v>0</v>
      </c>
      <c r="G78" s="37" t="n">
        <f aca="false">②시니어_가정!$D$38*②시니어_가정!$E$98*(②시니어_가정!$E$104*SUMIF(②시니어_가정!$J$97:$J$101,G6,②시니어_가정!$I$97:$I$101)+IF(G15=13,②시니어_가정!$E$105-②시니어_가정!$E$104,0)+IF(G15=25,②시니어_가정!$E$106-②시니어_가정!$E$105,0))</f>
        <v>0</v>
      </c>
      <c r="H78" s="37" t="n">
        <f aca="false">②시니어_가정!$D$38*②시니어_가정!$E$98*(②시니어_가정!$E$104*SUMIF(②시니어_가정!$J$97:$J$101,H6,②시니어_가정!$I$97:$I$101)+IF(H15=13,②시니어_가정!$E$105-②시니어_가정!$E$104,0)+IF(H15=25,②시니어_가정!$E$106-②시니어_가정!$E$105,0))</f>
        <v>0</v>
      </c>
      <c r="I78" s="37" t="n">
        <f aca="false">②시니어_가정!$D$38*②시니어_가정!$E$98*(②시니어_가정!$E$104*SUMIF(②시니어_가정!$J$97:$J$101,I6,②시니어_가정!$I$97:$I$101)+IF(I15=13,②시니어_가정!$E$105-②시니어_가정!$E$104,0)+IF(I15=25,②시니어_가정!$E$106-②시니어_가정!$E$105,0))</f>
        <v>0</v>
      </c>
      <c r="J78" s="37" t="n">
        <f aca="false">②시니어_가정!$D$38*②시니어_가정!$E$98*(②시니어_가정!$E$104*SUMIF(②시니어_가정!$J$97:$J$101,J6,②시니어_가정!$I$97:$I$101)+IF(J15=13,②시니어_가정!$E$105-②시니어_가정!$E$104,0)+IF(J15=25,②시니어_가정!$E$106-②시니어_가정!$E$105,0))</f>
        <v>0</v>
      </c>
      <c r="K78" s="37" t="n">
        <f aca="false">②시니어_가정!$D$38*②시니어_가정!$E$98*(②시니어_가정!$E$104*SUMIF(②시니어_가정!$J$97:$J$101,K6,②시니어_가정!$I$97:$I$101)+IF(K15=13,②시니어_가정!$E$105-②시니어_가정!$E$104,0)+IF(K15=25,②시니어_가정!$E$106-②시니어_가정!$E$105,0))</f>
        <v>0</v>
      </c>
      <c r="L78" s="37" t="n">
        <f aca="false">②시니어_가정!$D$38*②시니어_가정!$E$98*(②시니어_가정!$E$104*SUMIF(②시니어_가정!$J$97:$J$101,L6,②시니어_가정!$I$97:$I$101)+IF(L15=13,②시니어_가정!$E$105-②시니어_가정!$E$104,0)+IF(L15=25,②시니어_가정!$E$106-②시니어_가정!$E$105,0))</f>
        <v>0</v>
      </c>
      <c r="M78" s="37" t="n">
        <f aca="false">②시니어_가정!$D$38*②시니어_가정!$E$98*(②시니어_가정!$E$104*SUMIF(②시니어_가정!$J$97:$J$101,M6,②시니어_가정!$I$97:$I$101)+IF(M15=13,②시니어_가정!$E$105-②시니어_가정!$E$104,0)+IF(M15=25,②시니어_가정!$E$106-②시니어_가정!$E$105,0))</f>
        <v>0</v>
      </c>
      <c r="N78" s="37" t="n">
        <f aca="false">②시니어_가정!$D$38*②시니어_가정!$E$98*(②시니어_가정!$E$104*SUMIF(②시니어_가정!$J$97:$J$101,N6,②시니어_가정!$I$97:$I$101)+IF(N15=13,②시니어_가정!$E$105-②시니어_가정!$E$104,0)+IF(N15=25,②시니어_가정!$E$106-②시니어_가정!$E$105,0))</f>
        <v>0</v>
      </c>
      <c r="O78" s="37" t="n">
        <f aca="false">②시니어_가정!$D$38*②시니어_가정!$E$98*(②시니어_가정!$E$104*SUMIF(②시니어_가정!$J$97:$J$101,O6,②시니어_가정!$I$97:$I$101)+IF(O15=13,②시니어_가정!$E$105-②시니어_가정!$E$104,0)+IF(O15=25,②시니어_가정!$E$106-②시니어_가정!$E$105,0))</f>
        <v>0</v>
      </c>
      <c r="P78" s="37" t="n">
        <f aca="false">②시니어_가정!$D$38*②시니어_가정!$E$98*(②시니어_가정!$E$104*SUMIF(②시니어_가정!$J$97:$J$101,P6,②시니어_가정!$I$97:$I$101)+IF(P15=13,②시니어_가정!$E$105-②시니어_가정!$E$104,0)+IF(P15=25,②시니어_가정!$E$106-②시니어_가정!$E$105,0))</f>
        <v>0</v>
      </c>
      <c r="Q78" s="37" t="n">
        <f aca="false">②시니어_가정!$D$38*②시니어_가정!$E$98*(②시니어_가정!$E$104*SUMIF(②시니어_가정!$J$97:$J$101,Q6,②시니어_가정!$I$97:$I$101)+IF(Q15=13,②시니어_가정!$E$105-②시니어_가정!$E$104,0)+IF(Q15=25,②시니어_가정!$E$106-②시니어_가정!$E$105,0))</f>
        <v>43200</v>
      </c>
      <c r="R78" s="37" t="n">
        <f aca="false">②시니어_가정!$D$38*②시니어_가정!$E$98*(②시니어_가정!$E$104*SUMIF(②시니어_가정!$J$97:$J$101,R6,②시니어_가정!$I$97:$I$101)+IF(R15=13,②시니어_가정!$E$105-②시니어_가정!$E$104,0)+IF(R15=25,②시니어_가정!$E$106-②시니어_가정!$E$105,0))</f>
        <v>0</v>
      </c>
      <c r="S78" s="37" t="n">
        <f aca="false">②시니어_가정!$D$38*②시니어_가정!$E$98*(②시니어_가정!$E$104*SUMIF(②시니어_가정!$J$97:$J$101,S6,②시니어_가정!$I$97:$I$101)+IF(S15=13,②시니어_가정!$E$105-②시니어_가정!$E$104,0)+IF(S15=25,②시니어_가정!$E$106-②시니어_가정!$E$105,0))</f>
        <v>0</v>
      </c>
      <c r="T78" s="37" t="n">
        <f aca="false">②시니어_가정!$D$38*②시니어_가정!$E$98*(②시니어_가정!$E$104*SUMIF(②시니어_가정!$J$97:$J$101,T6,②시니어_가정!$I$97:$I$101)+IF(T15=13,②시니어_가정!$E$105-②시니어_가정!$E$104,0)+IF(T15=25,②시니어_가정!$E$106-②시니어_가정!$E$105,0))</f>
        <v>0</v>
      </c>
      <c r="U78" s="37" t="n">
        <f aca="false">②시니어_가정!$D$38*②시니어_가정!$E$98*(②시니어_가정!$E$104*SUMIF(②시니어_가정!$J$97:$J$101,U6,②시니어_가정!$I$97:$I$101)+IF(U15=13,②시니어_가정!$E$105-②시니어_가정!$E$104,0)+IF(U15=25,②시니어_가정!$E$106-②시니어_가정!$E$105,0))</f>
        <v>0</v>
      </c>
      <c r="V78" s="37" t="n">
        <f aca="false">②시니어_가정!$D$38*②시니어_가정!$E$98*(②시니어_가정!$E$104*SUMIF(②시니어_가정!$J$97:$J$101,V6,②시니어_가정!$I$97:$I$101)+IF(V15=13,②시니어_가정!$E$105-②시니어_가정!$E$104,0)+IF(V15=25,②시니어_가정!$E$106-②시니어_가정!$E$105,0))</f>
        <v>0</v>
      </c>
      <c r="W78" s="37" t="n">
        <f aca="false">②시니어_가정!$D$38*②시니어_가정!$E$98*(②시니어_가정!$E$104*SUMIF(②시니어_가정!$J$97:$J$101,W6,②시니어_가정!$I$97:$I$101)+IF(W15=13,②시니어_가정!$E$105-②시니어_가정!$E$104,0)+IF(W15=25,②시니어_가정!$E$106-②시니어_가정!$E$105,0))</f>
        <v>0</v>
      </c>
      <c r="X78" s="37" t="n">
        <f aca="false">②시니어_가정!$D$38*②시니어_가정!$E$98*(②시니어_가정!$E$104*SUMIF(②시니어_가정!$J$97:$J$101,X6,②시니어_가정!$I$97:$I$101)+IF(X15=13,②시니어_가정!$E$105-②시니어_가정!$E$104,0)+IF(X15=25,②시니어_가정!$E$106-②시니어_가정!$E$105,0))</f>
        <v>0</v>
      </c>
      <c r="Y78" s="37" t="n">
        <f aca="false">②시니어_가정!$D$38*②시니어_가정!$E$98*(②시니어_가정!$E$104*SUMIF(②시니어_가정!$J$97:$J$101,Y6,②시니어_가정!$I$97:$I$101)+IF(Y15=13,②시니어_가정!$E$105-②시니어_가정!$E$104,0)+IF(Y15=25,②시니어_가정!$E$106-②시니어_가정!$E$105,0))</f>
        <v>0</v>
      </c>
      <c r="Z78" s="37" t="n">
        <f aca="false">②시니어_가정!$D$38*②시니어_가정!$E$98*(②시니어_가정!$E$104*SUMIF(②시니어_가정!$J$97:$J$101,Z6,②시니어_가정!$I$97:$I$101)+IF(Z15=13,②시니어_가정!$E$105-②시니어_가정!$E$104,0)+IF(Z15=25,②시니어_가정!$E$106-②시니어_가정!$E$105,0))</f>
        <v>0</v>
      </c>
      <c r="AA78" s="37" t="n">
        <f aca="false">②시니어_가정!$D$38*②시니어_가정!$E$98*(②시니어_가정!$E$104*SUMIF(②시니어_가정!$J$97:$J$101,AA6,②시니어_가정!$I$97:$I$101)+IF(AA15=13,②시니어_가정!$E$105-②시니어_가정!$E$104,0)+IF(AA15=25,②시니어_가정!$E$106-②시니어_가정!$E$105,0))</f>
        <v>0</v>
      </c>
      <c r="AB78" s="37" t="n">
        <f aca="false">②시니어_가정!$D$38*②시니어_가정!$E$98*(②시니어_가정!$E$104*SUMIF(②시니어_가정!$J$97:$J$101,AB6,②시니어_가정!$I$97:$I$101)+IF(AB15=13,②시니어_가정!$E$105-②시니어_가정!$E$104,0)+IF(AB15=25,②시니어_가정!$E$106-②시니어_가정!$E$105,0))</f>
        <v>0</v>
      </c>
      <c r="AC78" s="37" t="n">
        <f aca="false">②시니어_가정!$D$38*②시니어_가정!$E$98*(②시니어_가정!$E$104*SUMIF(②시니어_가정!$J$97:$J$101,AC6,②시니어_가정!$I$97:$I$101)+IF(AC15=13,②시니어_가정!$E$105-②시니어_가정!$E$104,0)+IF(AC15=25,②시니어_가정!$E$106-②시니어_가정!$E$105,0))</f>
        <v>86400</v>
      </c>
      <c r="AD78" s="37" t="n">
        <f aca="false">②시니어_가정!$D$38*②시니어_가정!$E$98*(②시니어_가정!$E$104*SUMIF(②시니어_가정!$J$97:$J$101,AD6,②시니어_가정!$I$97:$I$101)+IF(AD15=13,②시니어_가정!$E$105-②시니어_가정!$E$104,0)+IF(AD15=25,②시니어_가정!$E$106-②시니어_가정!$E$105,0))</f>
        <v>0</v>
      </c>
      <c r="AE78" s="37" t="n">
        <f aca="false">②시니어_가정!$D$38*②시니어_가정!$E$98*(②시니어_가정!$E$104*SUMIF(②시니어_가정!$J$97:$J$101,AE6,②시니어_가정!$I$97:$I$101)+IF(AE15=13,②시니어_가정!$E$105-②시니어_가정!$E$104,0)+IF(AE15=25,②시니어_가정!$E$106-②시니어_가정!$E$105,0))</f>
        <v>0</v>
      </c>
      <c r="AF78" s="37" t="n">
        <f aca="false">②시니어_가정!$D$38*②시니어_가정!$E$98*(②시니어_가정!$E$104*SUMIF(②시니어_가정!$J$97:$J$101,AF6,②시니어_가정!$I$97:$I$101)+IF(AF15=13,②시니어_가정!$E$105-②시니어_가정!$E$104,0)+IF(AF15=25,②시니어_가정!$E$106-②시니어_가정!$E$105,0))</f>
        <v>0</v>
      </c>
      <c r="AG78" s="37" t="n">
        <f aca="false">②시니어_가정!$D$38*②시니어_가정!$E$98*(②시니어_가정!$E$104*SUMIF(②시니어_가정!$J$97:$J$101,AG6,②시니어_가정!$I$97:$I$101)+IF(AG15=13,②시니어_가정!$E$105-②시니어_가정!$E$104,0)+IF(AG15=25,②시니어_가정!$E$106-②시니어_가정!$E$105,0))</f>
        <v>0</v>
      </c>
      <c r="AH78" s="37" t="n">
        <f aca="false">②시니어_가정!$D$38*②시니어_가정!$E$98*(②시니어_가정!$E$104*SUMIF(②시니어_가정!$J$97:$J$101,AH6,②시니어_가정!$I$97:$I$101)+IF(AH15=13,②시니어_가정!$E$105-②시니어_가정!$E$104,0)+IF(AH15=25,②시니어_가정!$E$106-②시니어_가정!$E$105,0))</f>
        <v>0</v>
      </c>
      <c r="AI78" s="37" t="n">
        <f aca="false">②시니어_가정!$D$38*②시니어_가정!$E$98*(②시니어_가정!$E$104*SUMIF(②시니어_가정!$J$97:$J$101,AI6,②시니어_가정!$I$97:$I$101)+IF(AI15=13,②시니어_가정!$E$105-②시니어_가정!$E$104,0)+IF(AI15=25,②시니어_가정!$E$106-②시니어_가정!$E$105,0))</f>
        <v>0</v>
      </c>
      <c r="AJ78" s="37" t="n">
        <f aca="false">②시니어_가정!$D$38*②시니어_가정!$E$98*(②시니어_가정!$E$104*SUMIF(②시니어_가정!$J$97:$J$101,AJ6,②시니어_가정!$I$97:$I$101)+IF(AJ15=13,②시니어_가정!$E$105-②시니어_가정!$E$104,0)+IF(AJ15=25,②시니어_가정!$E$106-②시니어_가정!$E$105,0))</f>
        <v>0</v>
      </c>
      <c r="AK78" s="37" t="n">
        <f aca="false">②시니어_가정!$D$38*②시니어_가정!$E$98*(②시니어_가정!$E$104*SUMIF(②시니어_가정!$J$97:$J$101,AK6,②시니어_가정!$I$97:$I$101)+IF(AK15=13,②시니어_가정!$E$105-②시니어_가정!$E$104,0)+IF(AK15=25,②시니어_가정!$E$106-②시니어_가정!$E$105,0))</f>
        <v>0</v>
      </c>
      <c r="AL78" s="37" t="n">
        <f aca="false">②시니어_가정!$D$38*②시니어_가정!$E$98*(②시니어_가정!$E$104*SUMIF(②시니어_가정!$J$97:$J$101,AL6,②시니어_가정!$I$97:$I$101)+IF(AL15=13,②시니어_가정!$E$105-②시니어_가정!$E$104,0)+IF(AL15=25,②시니어_가정!$E$106-②시니어_가정!$E$105,0))</f>
        <v>0</v>
      </c>
      <c r="AM78" s="37" t="n">
        <f aca="false">②시니어_가정!$D$38*②시니어_가정!$E$98*(②시니어_가정!$E$104*SUMIF(②시니어_가정!$J$97:$J$101,AM6,②시니어_가정!$I$97:$I$101)+IF(AM15=13,②시니어_가정!$E$105-②시니어_가정!$E$104,0)+IF(AM15=25,②시니어_가정!$E$106-②시니어_가정!$E$105,0))</f>
        <v>0</v>
      </c>
      <c r="AN78" s="37" t="n">
        <f aca="false">②시니어_가정!$D$38*②시니어_가정!$E$98*(②시니어_가정!$E$104*SUMIF(②시니어_가정!$J$97:$J$101,AN6,②시니어_가정!$I$97:$I$101)+IF(AN15=13,②시니어_가정!$E$105-②시니어_가정!$E$104,0)+IF(AN15=25,②시니어_가정!$E$106-②시니어_가정!$E$105,0))</f>
        <v>0</v>
      </c>
      <c r="AO78" s="37" t="n">
        <f aca="false">②시니어_가정!$D$38*②시니어_가정!$E$98*(②시니어_가정!$E$104*SUMIF(②시니어_가정!$J$97:$J$101,AO6,②시니어_가정!$I$97:$I$101)+IF(AO15=13,②시니어_가정!$E$105-②시니어_가정!$E$104,0)+IF(AO15=25,②시니어_가정!$E$106-②시니어_가정!$E$105,0))</f>
        <v>86400</v>
      </c>
      <c r="AP78" s="37" t="n">
        <f aca="false">②시니어_가정!$D$38*②시니어_가정!$E$98*(②시니어_가정!$E$104*SUMIF(②시니어_가정!$J$97:$J$101,AP6,②시니어_가정!$I$97:$I$101)+IF(AP15=13,②시니어_가정!$E$105-②시니어_가정!$E$104,0)+IF(AP15=25,②시니어_가정!$E$106-②시니어_가정!$E$105,0))</f>
        <v>0</v>
      </c>
      <c r="AQ78" s="37" t="n">
        <f aca="false">②시니어_가정!$D$38*②시니어_가정!$E$98*(②시니어_가정!$E$104*SUMIF(②시니어_가정!$J$97:$J$101,AQ6,②시니어_가정!$I$97:$I$101)+IF(AQ15=13,②시니어_가정!$E$105-②시니어_가정!$E$104,0)+IF(AQ15=25,②시니어_가정!$E$106-②시니어_가정!$E$105,0))</f>
        <v>0</v>
      </c>
      <c r="AR78" s="37" t="n">
        <f aca="false">②시니어_가정!$D$38*②시니어_가정!$E$98*(②시니어_가정!$E$104*SUMIF(②시니어_가정!$J$97:$J$101,AR6,②시니어_가정!$I$97:$I$101)+IF(AR15=13,②시니어_가정!$E$105-②시니어_가정!$E$104,0)+IF(AR15=25,②시니어_가정!$E$106-②시니어_가정!$E$105,0))</f>
        <v>0</v>
      </c>
      <c r="AS78" s="37" t="n">
        <f aca="false">②시니어_가정!$D$38*②시니어_가정!$E$98*(②시니어_가정!$E$104*SUMIF(②시니어_가정!$J$97:$J$101,AS6,②시니어_가정!$I$97:$I$101)+IF(AS15=13,②시니어_가정!$E$105-②시니어_가정!$E$104,0)+IF(AS15=25,②시니어_가정!$E$106-②시니어_가정!$E$105,0))</f>
        <v>0</v>
      </c>
      <c r="AT78" s="37" t="n">
        <f aca="false">②시니어_가정!$D$38*②시니어_가정!$E$98*(②시니어_가정!$E$104*SUMIF(②시니어_가정!$J$97:$J$101,AT6,②시니어_가정!$I$97:$I$101)+IF(AT15=13,②시니어_가정!$E$105-②시니어_가정!$E$104,0)+IF(AT15=25,②시니어_가정!$E$106-②시니어_가정!$E$105,0))</f>
        <v>0</v>
      </c>
      <c r="AU78" s="37" t="n">
        <f aca="false">②시니어_가정!$D$38*②시니어_가정!$E$98*(②시니어_가정!$E$104*SUMIF(②시니어_가정!$J$97:$J$101,AU6,②시니어_가정!$I$97:$I$101)+IF(AU15=13,②시니어_가정!$E$105-②시니어_가정!$E$104,0)+IF(AU15=25,②시니어_가정!$E$106-②시니어_가정!$E$105,0))</f>
        <v>0</v>
      </c>
      <c r="AV78" s="37" t="n">
        <f aca="false">②시니어_가정!$D$38*②시니어_가정!$E$98*(②시니어_가정!$E$104*SUMIF(②시니어_가정!$J$97:$J$101,AV6,②시니어_가정!$I$97:$I$101)+IF(AV15=13,②시니어_가정!$E$105-②시니어_가정!$E$104,0)+IF(AV15=25,②시니어_가정!$E$106-②시니어_가정!$E$105,0))</f>
        <v>0</v>
      </c>
      <c r="AW78" s="37" t="n">
        <f aca="false">②시니어_가정!$D$38*②시니어_가정!$E$98*(②시니어_가정!$E$104*SUMIF(②시니어_가정!$J$97:$J$101,AW6,②시니어_가정!$I$97:$I$101)+IF(AW15=13,②시니어_가정!$E$105-②시니어_가정!$E$104,0)+IF(AW15=25,②시니어_가정!$E$106-②시니어_가정!$E$105,0))</f>
        <v>0</v>
      </c>
      <c r="AX78" s="37" t="n">
        <f aca="false">②시니어_가정!$D$38*②시니어_가정!$E$98*(②시니어_가정!$E$104*SUMIF(②시니어_가정!$J$97:$J$101,AX6,②시니어_가정!$I$97:$I$101)+IF(AX15=13,②시니어_가정!$E$105-②시니어_가정!$E$104,0)+IF(AX15=25,②시니어_가정!$E$106-②시니어_가정!$E$105,0))</f>
        <v>0</v>
      </c>
      <c r="AY78" s="37" t="n">
        <f aca="false">②시니어_가정!$D$38*②시니어_가정!$E$98*(②시니어_가정!$E$104*SUMIF(②시니어_가정!$J$97:$J$101,AY6,②시니어_가정!$I$97:$I$101)+IF(AY15=13,②시니어_가정!$E$105-②시니어_가정!$E$104,0)+IF(AY15=25,②시니어_가정!$E$106-②시니어_가정!$E$105,0))</f>
        <v>0</v>
      </c>
      <c r="AZ78" s="37" t="n">
        <f aca="false">②시니어_가정!$D$38*②시니어_가정!$E$98*(②시니어_가정!$E$104*SUMIF(②시니어_가정!$J$97:$J$101,AZ6,②시니어_가정!$I$97:$I$101)+IF(AZ15=13,②시니어_가정!$E$105-②시니어_가정!$E$104,0)+IF(AZ15=25,②시니어_가정!$E$106-②시니어_가정!$E$105,0))</f>
        <v>0</v>
      </c>
      <c r="BA78" s="37" t="n">
        <f aca="false">②시니어_가정!$D$38*②시니어_가정!$E$98*(②시니어_가정!$E$104*SUMIF(②시니어_가정!$J$97:$J$101,BA6,②시니어_가정!$I$97:$I$101)+IF(BA15=13,②시니어_가정!$E$105-②시니어_가정!$E$104,0)+IF(BA15=25,②시니어_가정!$E$106-②시니어_가정!$E$105,0))</f>
        <v>86400</v>
      </c>
      <c r="BB78" s="37" t="n">
        <f aca="false">②시니어_가정!$D$38*②시니어_가정!$E$98*(②시니어_가정!$E$104*SUMIF(②시니어_가정!$J$97:$J$101,BB6,②시니어_가정!$I$97:$I$101)+IF(BB15=13,②시니어_가정!$E$105-②시니어_가정!$E$104,0)+IF(BB15=25,②시니어_가정!$E$106-②시니어_가정!$E$105,0))</f>
        <v>0</v>
      </c>
      <c r="BC78" s="37" t="n">
        <f aca="false">②시니어_가정!$D$38*②시니어_가정!$E$98*(②시니어_가정!$E$104*SUMIF(②시니어_가정!$J$97:$J$101,BC6,②시니어_가정!$I$97:$I$101)+IF(BC15=13,②시니어_가정!$E$105-②시니어_가정!$E$104,0)+IF(BC15=25,②시니어_가정!$E$106-②시니어_가정!$E$105,0))</f>
        <v>0</v>
      </c>
      <c r="BD78" s="37" t="n">
        <f aca="false">②시니어_가정!$D$38*②시니어_가정!$E$98*(②시니어_가정!$E$104*SUMIF(②시니어_가정!$J$97:$J$101,BD6,②시니어_가정!$I$97:$I$101)+IF(BD15=13,②시니어_가정!$E$105-②시니어_가정!$E$104,0)+IF(BD15=25,②시니어_가정!$E$106-②시니어_가정!$E$105,0))</f>
        <v>0</v>
      </c>
      <c r="BE78" s="37" t="n">
        <f aca="false">②시니어_가정!$D$38*②시니어_가정!$E$98*(②시니어_가정!$E$104*SUMIF(②시니어_가정!$J$97:$J$101,BE6,②시니어_가정!$I$97:$I$101)+IF(BE15=13,②시니어_가정!$E$105-②시니어_가정!$E$104,0)+IF(BE15=25,②시니어_가정!$E$106-②시니어_가정!$E$105,0))</f>
        <v>0</v>
      </c>
      <c r="BF78" s="37" t="n">
        <f aca="false">②시니어_가정!$D$38*②시니어_가정!$E$98*(②시니어_가정!$E$104*SUMIF(②시니어_가정!$J$97:$J$101,BF6,②시니어_가정!$I$97:$I$101)+IF(BF15=13,②시니어_가정!$E$105-②시니어_가정!$E$104,0)+IF(BF15=25,②시니어_가정!$E$106-②시니어_가정!$E$105,0))</f>
        <v>0</v>
      </c>
      <c r="BG78" s="37" t="n">
        <f aca="false">②시니어_가정!$D$38*②시니어_가정!$E$98*(②시니어_가정!$E$104*SUMIF(②시니어_가정!$J$97:$J$101,BG6,②시니어_가정!$I$97:$I$101)+IF(BG15=13,②시니어_가정!$E$105-②시니어_가정!$E$104,0)+IF(BG15=25,②시니어_가정!$E$106-②시니어_가정!$E$105,0))</f>
        <v>0</v>
      </c>
      <c r="BH78" s="37" t="n">
        <f aca="false">②시니어_가정!$D$38*②시니어_가정!$E$98*(②시니어_가정!$E$104*SUMIF(②시니어_가정!$J$97:$J$101,BH6,②시니어_가정!$I$97:$I$101)+IF(BH15=13,②시니어_가정!$E$105-②시니어_가정!$E$104,0)+IF(BH15=25,②시니어_가정!$E$106-②시니어_가정!$E$105,0))</f>
        <v>0</v>
      </c>
      <c r="BI78" s="37" t="n">
        <f aca="false">②시니어_가정!$D$38*②시니어_가정!$E$98*(②시니어_가정!$E$104*SUMIF(②시니어_가정!$J$97:$J$101,BI6,②시니어_가정!$I$97:$I$101)+IF(BI15=13,②시니어_가정!$E$105-②시니어_가정!$E$104,0)+IF(BI15=25,②시니어_가정!$E$106-②시니어_가정!$E$105,0))</f>
        <v>0</v>
      </c>
      <c r="BJ78" s="37" t="n">
        <f aca="false">②시니어_가정!$D$38*②시니어_가정!$E$98*(②시니어_가정!$E$104*SUMIF(②시니어_가정!$J$97:$J$101,BJ6,②시니어_가정!$I$97:$I$101)+IF(BJ15=13,②시니어_가정!$E$105-②시니어_가정!$E$104,0)+IF(BJ15=25,②시니어_가정!$E$106-②시니어_가정!$E$105,0))</f>
        <v>0</v>
      </c>
      <c r="BK78" s="37" t="n">
        <f aca="false">②시니어_가정!$D$38*②시니어_가정!$E$98*(②시니어_가정!$E$104*SUMIF(②시니어_가정!$J$97:$J$101,BK6,②시니어_가정!$I$97:$I$101)+IF(BK15=13,②시니어_가정!$E$105-②시니어_가정!$E$104,0)+IF(BK15=25,②시니어_가정!$E$106-②시니어_가정!$E$105,0))</f>
        <v>0</v>
      </c>
      <c r="BL78" s="37" t="n">
        <f aca="false">②시니어_가정!$D$38*②시니어_가정!$E$98*(②시니어_가정!$E$104*SUMIF(②시니어_가정!$J$97:$J$101,BL6,②시니어_가정!$I$97:$I$101)+IF(BL15=13,②시니어_가정!$E$105-②시니어_가정!$E$104,0)+IF(BL15=25,②시니어_가정!$E$106-②시니어_가정!$E$105,0))</f>
        <v>0</v>
      </c>
      <c r="BM78" s="37" t="n">
        <f aca="false">②시니어_가정!$D$38*②시니어_가정!$E$98*(②시니어_가정!$E$104*SUMIF(②시니어_가정!$J$97:$J$101,BM6,②시니어_가정!$I$97:$I$101)+IF(BM15=13,②시니어_가정!$E$105-②시니어_가정!$E$104,0)+IF(BM15=25,②시니어_가정!$E$106-②시니어_가정!$E$105,0))</f>
        <v>129600</v>
      </c>
      <c r="BN78" s="37" t="n">
        <f aca="false">②시니어_가정!$D$38*②시니어_가정!$E$98*(②시니어_가정!$E$104*SUMIF(②시니어_가정!$J$97:$J$101,BN6,②시니어_가정!$I$97:$I$101)+IF(BN15=13,②시니어_가정!$E$105-②시니어_가정!$E$104,0)+IF(BN15=25,②시니어_가정!$E$106-②시니어_가정!$E$105,0))</f>
        <v>0</v>
      </c>
      <c r="BO78" s="37" t="n">
        <f aca="false">②시니어_가정!$D$38*②시니어_가정!$E$98*(②시니어_가정!$E$104*SUMIF(②시니어_가정!$J$97:$J$101,BO6,②시니어_가정!$I$97:$I$101)+IF(BO15=13,②시니어_가정!$E$105-②시니어_가정!$E$104,0)+IF(BO15=25,②시니어_가정!$E$106-②시니어_가정!$E$105,0))</f>
        <v>0</v>
      </c>
      <c r="BP78" s="37" t="n">
        <f aca="false">②시니어_가정!$D$38*②시니어_가정!$E$98*(②시니어_가정!$E$104*SUMIF(②시니어_가정!$J$97:$J$101,BP6,②시니어_가정!$I$97:$I$101)+IF(BP15=13,②시니어_가정!$E$105-②시니어_가정!$E$104,0)+IF(BP15=25,②시니어_가정!$E$106-②시니어_가정!$E$105,0))</f>
        <v>0</v>
      </c>
      <c r="BQ78" s="37" t="n">
        <f aca="false">②시니어_가정!$D$38*②시니어_가정!$E$98*(②시니어_가정!$E$104*SUMIF(②시니어_가정!$J$97:$J$101,BQ6,②시니어_가정!$I$97:$I$101)+IF(BQ15=13,②시니어_가정!$E$105-②시니어_가정!$E$104,0)+IF(BQ15=25,②시니어_가정!$E$106-②시니어_가정!$E$105,0))</f>
        <v>0</v>
      </c>
      <c r="BR78" s="37" t="n">
        <f aca="false">②시니어_가정!$D$38*②시니어_가정!$E$98*(②시니어_가정!$E$104*SUMIF(②시니어_가정!$J$97:$J$101,BR6,②시니어_가정!$I$97:$I$101)+IF(BR15=13,②시니어_가정!$E$105-②시니어_가정!$E$104,0)+IF(BR15=25,②시니어_가정!$E$106-②시니어_가정!$E$105,0))</f>
        <v>0</v>
      </c>
      <c r="BS78" s="37" t="n">
        <f aca="false">②시니어_가정!$D$38*②시니어_가정!$E$98*(②시니어_가정!$E$104*SUMIF(②시니어_가정!$J$97:$J$101,BS6,②시니어_가정!$I$97:$I$101)+IF(BS15=13,②시니어_가정!$E$105-②시니어_가정!$E$104,0)+IF(BS15=25,②시니어_가정!$E$106-②시니어_가정!$E$105,0))</f>
        <v>0</v>
      </c>
      <c r="BT78" s="37" t="n">
        <f aca="false">②시니어_가정!$D$38*②시니어_가정!$E$98*(②시니어_가정!$E$104*SUMIF(②시니어_가정!$J$97:$J$101,BT6,②시니어_가정!$I$97:$I$101)+IF(BT15=13,②시니어_가정!$E$105-②시니어_가정!$E$104,0)+IF(BT15=25,②시니어_가정!$E$106-②시니어_가정!$E$105,0))</f>
        <v>0</v>
      </c>
      <c r="BU78" s="37" t="n">
        <f aca="false">②시니어_가정!$D$38*②시니어_가정!$E$98*(②시니어_가정!$E$104*SUMIF(②시니어_가정!$J$97:$J$101,BU6,②시니어_가정!$I$97:$I$101)+IF(BU15=13,②시니어_가정!$E$105-②시니어_가정!$E$104,0)+IF(BU15=25,②시니어_가정!$E$106-②시니어_가정!$E$105,0))</f>
        <v>0</v>
      </c>
      <c r="BV78" s="37" t="n">
        <f aca="false">②시니어_가정!$D$38*②시니어_가정!$E$98*(②시니어_가정!$E$104*SUMIF(②시니어_가정!$J$97:$J$101,BV6,②시니어_가정!$I$97:$I$101)+IF(BV15=13,②시니어_가정!$E$105-②시니어_가정!$E$104,0)+IF(BV15=25,②시니어_가정!$E$106-②시니어_가정!$E$105,0))</f>
        <v>0</v>
      </c>
      <c r="BW78" s="37" t="n">
        <f aca="false">②시니어_가정!$D$38*②시니어_가정!$E$98*(②시니어_가정!$E$104*SUMIF(②시니어_가정!$J$97:$J$101,BW6,②시니어_가정!$I$97:$I$101)+IF(BW15=13,②시니어_가정!$E$105-②시니어_가정!$E$104,0)+IF(BW15=25,②시니어_가정!$E$106-②시니어_가정!$E$105,0))</f>
        <v>0</v>
      </c>
      <c r="BX78" s="37" t="n">
        <f aca="false">②시니어_가정!$D$38*②시니어_가정!$E$98*(②시니어_가정!$E$104*SUMIF(②시니어_가정!$J$97:$J$101,BX6,②시니어_가정!$I$97:$I$101)+IF(BX15=13,②시니어_가정!$E$105-②시니어_가정!$E$104,0)+IF(BX15=25,②시니어_가정!$E$106-②시니어_가정!$E$105,0))</f>
        <v>0</v>
      </c>
      <c r="BY78" s="37" t="n">
        <f aca="false">②시니어_가정!$D$38*②시니어_가정!$E$98*(②시니어_가정!$E$104*SUMIF(②시니어_가정!$J$97:$J$101,BY6,②시니어_가정!$I$97:$I$101)+IF(BY15=13,②시니어_가정!$E$105-②시니어_가정!$E$104,0)+IF(BY15=25,②시니어_가정!$E$106-②시니어_가정!$E$105,0))</f>
        <v>108000</v>
      </c>
      <c r="BZ78" s="37" t="n">
        <f aca="false">②시니어_가정!$D$38*②시니어_가정!$E$98*(②시니어_가정!$E$104*SUMIF(②시니어_가정!$J$97:$J$101,BZ6,②시니어_가정!$I$97:$I$101)+IF(BZ15=13,②시니어_가정!$E$105-②시니어_가정!$E$104,0)+IF(BZ15=25,②시니어_가정!$E$106-②시니어_가정!$E$105,0))</f>
        <v>0</v>
      </c>
      <c r="CA78" s="37" t="n">
        <f aca="false">②시니어_가정!$D$38*②시니어_가정!$E$98*(②시니어_가정!$E$104*SUMIF(②시니어_가정!$J$97:$J$101,CA6,②시니어_가정!$I$97:$I$101)+IF(CA15=13,②시니어_가정!$E$105-②시니어_가정!$E$104,0)+IF(CA15=25,②시니어_가정!$E$106-②시니어_가정!$E$105,0))</f>
        <v>0</v>
      </c>
      <c r="CB78" s="37" t="n">
        <f aca="false">②시니어_가정!$D$38*②시니어_가정!$E$98*(②시니어_가정!$E$104*SUMIF(②시니어_가정!$J$97:$J$101,CB6,②시니어_가정!$I$97:$I$101)+IF(CB15=13,②시니어_가정!$E$105-②시니어_가정!$E$104,0)+IF(CB15=25,②시니어_가정!$E$106-②시니어_가정!$E$105,0))</f>
        <v>0</v>
      </c>
      <c r="CC78" s="37" t="n">
        <f aca="false">②시니어_가정!$D$38*②시니어_가정!$E$98*(②시니어_가정!$E$104*SUMIF(②시니어_가정!$J$97:$J$101,CC6,②시니어_가정!$I$97:$I$101)+IF(CC15=13,②시니어_가정!$E$105-②시니어_가정!$E$104,0)+IF(CC15=25,②시니어_가정!$E$106-②시니어_가정!$E$105,0))</f>
        <v>0</v>
      </c>
      <c r="CD78" s="37" t="n">
        <f aca="false">②시니어_가정!$D$38*②시니어_가정!$E$98*(②시니어_가정!$E$104*SUMIF(②시니어_가정!$J$97:$J$101,CD6,②시니어_가정!$I$97:$I$101)+IF(CD15=13,②시니어_가정!$E$105-②시니어_가정!$E$104,0)+IF(CD15=25,②시니어_가정!$E$106-②시니어_가정!$E$105,0))</f>
        <v>0</v>
      </c>
      <c r="CE78" s="37" t="n">
        <f aca="false">②시니어_가정!$D$38*②시니어_가정!$E$98*(②시니어_가정!$E$104*SUMIF(②시니어_가정!$J$97:$J$101,CE6,②시니어_가정!$I$97:$I$101)+IF(CE15=13,②시니어_가정!$E$105-②시니어_가정!$E$104,0)+IF(CE15=25,②시니어_가정!$E$106-②시니어_가정!$E$105,0))</f>
        <v>0</v>
      </c>
      <c r="CF78" s="37" t="n">
        <f aca="false">②시니어_가정!$D$38*②시니어_가정!$E$98*(②시니어_가정!$E$104*SUMIF(②시니어_가정!$J$97:$J$101,CF6,②시니어_가정!$I$97:$I$101)+IF(CF15=13,②시니어_가정!$E$105-②시니어_가정!$E$104,0)+IF(CF15=25,②시니어_가정!$E$106-②시니어_가정!$E$105,0))</f>
        <v>0</v>
      </c>
      <c r="CG78" s="37" t="n">
        <f aca="false">②시니어_가정!$D$38*②시니어_가정!$E$98*(②시니어_가정!$E$104*SUMIF(②시니어_가정!$J$97:$J$101,CG6,②시니어_가정!$I$97:$I$101)+IF(CG15=13,②시니어_가정!$E$105-②시니어_가정!$E$104,0)+IF(CG15=25,②시니어_가정!$E$106-②시니어_가정!$E$105,0))</f>
        <v>0</v>
      </c>
      <c r="CH78" s="37" t="n">
        <f aca="false">②시니어_가정!$D$38*②시니어_가정!$E$98*(②시니어_가정!$E$104*SUMIF(②시니어_가정!$J$97:$J$101,CH6,②시니어_가정!$I$97:$I$101)+IF(CH15=13,②시니어_가정!$E$105-②시니어_가정!$E$104,0)+IF(CH15=25,②시니어_가정!$E$106-②시니어_가정!$E$105,0))</f>
        <v>0</v>
      </c>
      <c r="CI78" s="37" t="n">
        <f aca="false">②시니어_가정!$D$38*②시니어_가정!$E$98*(②시니어_가정!$E$104*SUMIF(②시니어_가정!$J$97:$J$101,CI6,②시니어_가정!$I$97:$I$101)+IF(CI15=13,②시니어_가정!$E$105-②시니어_가정!$E$104,0)+IF(CI15=25,②시니어_가정!$E$106-②시니어_가정!$E$105,0))</f>
        <v>0</v>
      </c>
      <c r="CJ78" s="37" t="n">
        <f aca="false">②시니어_가정!$D$38*②시니어_가정!$E$98*(②시니어_가정!$E$104*SUMIF(②시니어_가정!$J$97:$J$101,CJ6,②시니어_가정!$I$97:$I$101)+IF(CJ15=13,②시니어_가정!$E$105-②시니어_가정!$E$104,0)+IF(CJ15=25,②시니어_가정!$E$106-②시니어_가정!$E$105,0))</f>
        <v>0</v>
      </c>
      <c r="CK78" s="37" t="n">
        <f aca="false">②시니어_가정!$D$38*②시니어_가정!$E$98*(②시니어_가정!$E$104*SUMIF(②시니어_가정!$J$97:$J$101,CK6,②시니어_가정!$I$97:$I$101)+IF(CK15=13,②시니어_가정!$E$105-②시니어_가정!$E$104,0)+IF(CK15=25,②시니어_가정!$E$106-②시니어_가정!$E$105,0))</f>
        <v>0</v>
      </c>
      <c r="CL78" s="37" t="n">
        <f aca="false">②시니어_가정!$D$38*②시니어_가정!$E$98*(②시니어_가정!$E$104*SUMIF(②시니어_가정!$J$97:$J$101,CL6,②시니어_가정!$I$97:$I$101)+IF(CL15=13,②시니어_가정!$E$105-②시니어_가정!$E$104,0)+IF(CL15=25,②시니어_가정!$E$106-②시니어_가정!$E$105,0))</f>
        <v>0</v>
      </c>
      <c r="CM78" s="37" t="n">
        <f aca="false">②시니어_가정!$D$38*②시니어_가정!$E$98*(②시니어_가정!$E$104*SUMIF(②시니어_가정!$J$97:$J$101,CM6,②시니어_가정!$I$97:$I$101)+IF(CM15=13,②시니어_가정!$E$105-②시니어_가정!$E$104,0)+IF(CM15=25,②시니어_가정!$E$106-②시니어_가정!$E$105,0))</f>
        <v>0</v>
      </c>
      <c r="CN78" s="37" t="n">
        <f aca="false">②시니어_가정!$D$38*②시니어_가정!$E$98*(②시니어_가정!$E$104*SUMIF(②시니어_가정!$J$97:$J$101,CN6,②시니어_가정!$I$97:$I$101)+IF(CN15=13,②시니어_가정!$E$105-②시니어_가정!$E$104,0)+IF(CN15=25,②시니어_가정!$E$106-②시니어_가정!$E$105,0))</f>
        <v>0</v>
      </c>
      <c r="CO78" s="37" t="n">
        <f aca="false">②시니어_가정!$D$38*②시니어_가정!$E$98*(②시니어_가정!$E$104*SUMIF(②시니어_가정!$J$97:$J$101,CO6,②시니어_가정!$I$97:$I$101)+IF(CO15=13,②시니어_가정!$E$105-②시니어_가정!$E$104,0)+IF(CO15=25,②시니어_가정!$E$106-②시니어_가정!$E$105,0))</f>
        <v>0</v>
      </c>
      <c r="CP78" s="37" t="n">
        <f aca="false">②시니어_가정!$D$38*②시니어_가정!$E$98*(②시니어_가정!$E$104*SUMIF(②시니어_가정!$J$97:$J$101,CP6,②시니어_가정!$I$97:$I$101)+IF(CP15=13,②시니어_가정!$E$105-②시니어_가정!$E$104,0)+IF(CP15=25,②시니어_가정!$E$106-②시니어_가정!$E$105,0))</f>
        <v>0</v>
      </c>
      <c r="CQ78" s="37" t="n">
        <f aca="false">②시니어_가정!$D$38*②시니어_가정!$E$98*(②시니어_가정!$E$104*SUMIF(②시니어_가정!$J$97:$J$101,CQ6,②시니어_가정!$I$97:$I$101)+IF(CQ15=13,②시니어_가정!$E$105-②시니어_가정!$E$104,0)+IF(CQ15=25,②시니어_가정!$E$106-②시니어_가정!$E$105,0))</f>
        <v>0</v>
      </c>
      <c r="CR78" s="37" t="n">
        <f aca="false">②시니어_가정!$D$38*②시니어_가정!$E$98*(②시니어_가정!$E$104*SUMIF(②시니어_가정!$J$97:$J$101,CR6,②시니어_가정!$I$97:$I$101)+IF(CR15=13,②시니어_가정!$E$105-②시니어_가정!$E$104,0)+IF(CR15=25,②시니어_가정!$E$106-②시니어_가정!$E$105,0))</f>
        <v>0</v>
      </c>
      <c r="CS78" s="37" t="n">
        <f aca="false">②시니어_가정!$D$38*②시니어_가정!$E$98*(②시니어_가정!$E$104*SUMIF(②시니어_가정!$J$97:$J$101,CS6,②시니어_가정!$I$97:$I$101)+IF(CS15=13,②시니어_가정!$E$105-②시니어_가정!$E$104,0)+IF(CS15=25,②시니어_가정!$E$106-②시니어_가정!$E$105,0))</f>
        <v>0</v>
      </c>
      <c r="CT78" s="37" t="n">
        <f aca="false">②시니어_가정!$D$38*②시니어_가정!$E$98*(②시니어_가정!$E$104*SUMIF(②시니어_가정!$J$97:$J$101,CT6,②시니어_가정!$I$97:$I$101)+IF(CT15=13,②시니어_가정!$E$105-②시니어_가정!$E$104,0)+IF(CT15=25,②시니어_가정!$E$106-②시니어_가정!$E$105,0))</f>
        <v>0</v>
      </c>
      <c r="CU78" s="37" t="n">
        <f aca="false">②시니어_가정!$D$38*②시니어_가정!$E$98*(②시니어_가정!$E$104*SUMIF(②시니어_가정!$J$97:$J$101,CU6,②시니어_가정!$I$97:$I$101)+IF(CU15=13,②시니어_가정!$E$105-②시니어_가정!$E$104,0)+IF(CU15=25,②시니어_가정!$E$106-②시니어_가정!$E$105,0))</f>
        <v>0</v>
      </c>
      <c r="CV78" s="37" t="n">
        <f aca="false">②시니어_가정!$D$38*②시니어_가정!$E$98*(②시니어_가정!$E$104*SUMIF(②시니어_가정!$J$97:$J$101,CV6,②시니어_가정!$I$97:$I$101)+IF(CV15=13,②시니어_가정!$E$105-②시니어_가정!$E$104,0)+IF(CV15=25,②시니어_가정!$E$106-②시니어_가정!$E$105,0))</f>
        <v>0</v>
      </c>
      <c r="CW78" s="37" t="n">
        <f aca="false">②시니어_가정!$D$38*②시니어_가정!$E$98*(②시니어_가정!$E$104*SUMIF(②시니어_가정!$J$97:$J$101,CW6,②시니어_가정!$I$97:$I$101)+IF(CW15=13,②시니어_가정!$E$105-②시니어_가정!$E$104,0)+IF(CW15=25,②시니어_가정!$E$106-②시니어_가정!$E$105,0))</f>
        <v>0</v>
      </c>
      <c r="CX78" s="37" t="n">
        <f aca="false">②시니어_가정!$D$38*②시니어_가정!$E$98*(②시니어_가정!$E$104*SUMIF(②시니어_가정!$J$97:$J$101,CX6,②시니어_가정!$I$97:$I$101)+IF(CX15=13,②시니어_가정!$E$105-②시니어_가정!$E$104,0)+IF(CX15=25,②시니어_가정!$E$106-②시니어_가정!$E$105,0))</f>
        <v>0</v>
      </c>
      <c r="CY78" s="37" t="n">
        <f aca="false">②시니어_가정!$D$38*②시니어_가정!$E$98*(②시니어_가정!$E$104*SUMIF(②시니어_가정!$J$97:$J$101,CY6,②시니어_가정!$I$97:$I$101)+IF(CY15=13,②시니어_가정!$E$105-②시니어_가정!$E$104,0)+IF(CY15=25,②시니어_가정!$E$106-②시니어_가정!$E$105,0))</f>
        <v>0</v>
      </c>
      <c r="CZ78" s="37" t="n">
        <f aca="false">②시니어_가정!$D$38*②시니어_가정!$E$98*(②시니어_가정!$E$104*SUMIF(②시니어_가정!$J$97:$J$101,CZ6,②시니어_가정!$I$97:$I$101)+IF(CZ15=13,②시니어_가정!$E$105-②시니어_가정!$E$104,0)+IF(CZ15=25,②시니어_가정!$E$106-②시니어_가정!$E$105,0))</f>
        <v>0</v>
      </c>
      <c r="DA78" s="37" t="n">
        <f aca="false">②시니어_가정!$D$38*②시니어_가정!$E$98*(②시니어_가정!$E$104*SUMIF(②시니어_가정!$J$97:$J$101,DA6,②시니어_가정!$I$97:$I$101)+IF(DA15=13,②시니어_가정!$E$105-②시니어_가정!$E$104,0)+IF(DA15=25,②시니어_가정!$E$106-②시니어_가정!$E$105,0))</f>
        <v>0</v>
      </c>
      <c r="DB78" s="37" t="n">
        <f aca="false">②시니어_가정!$D$38*②시니어_가정!$E$98*(②시니어_가정!$E$104*SUMIF(②시니어_가정!$J$97:$J$101,DB6,②시니어_가정!$I$97:$I$101)+IF(DB15=13,②시니어_가정!$E$105-②시니어_가정!$E$104,0)+IF(DB15=25,②시니어_가정!$E$106-②시니어_가정!$E$105,0))</f>
        <v>0</v>
      </c>
      <c r="DC78" s="37" t="n">
        <f aca="false">②시니어_가정!$D$38*②시니어_가정!$E$98*(②시니어_가정!$E$104*SUMIF(②시니어_가정!$J$97:$J$101,DC6,②시니어_가정!$I$97:$I$101)+IF(DC15=13,②시니어_가정!$E$105-②시니어_가정!$E$104,0)+IF(DC15=25,②시니어_가정!$E$106-②시니어_가정!$E$105,0))</f>
        <v>0</v>
      </c>
      <c r="DD78" s="37" t="n">
        <f aca="false">②시니어_가정!$D$38*②시니어_가정!$E$98*(②시니어_가정!$E$104*SUMIF(②시니어_가정!$J$97:$J$101,DD6,②시니어_가정!$I$97:$I$101)+IF(DD15=13,②시니어_가정!$E$105-②시니어_가정!$E$104,0)+IF(DD15=25,②시니어_가정!$E$106-②시니어_가정!$E$105,0))</f>
        <v>0</v>
      </c>
      <c r="DE78" s="37" t="n">
        <f aca="false">②시니어_가정!$D$38*②시니어_가정!$E$98*(②시니어_가정!$E$104*SUMIF(②시니어_가정!$J$97:$J$101,DE6,②시니어_가정!$I$97:$I$101)+IF(DE15=13,②시니어_가정!$E$105-②시니어_가정!$E$104,0)+IF(DE15=25,②시니어_가정!$E$106-②시니어_가정!$E$105,0))</f>
        <v>0</v>
      </c>
      <c r="DF78" s="37" t="n">
        <f aca="false">②시니어_가정!$D$38*②시니어_가정!$E$98*(②시니어_가정!$E$104*SUMIF(②시니어_가정!$J$97:$J$101,DF6,②시니어_가정!$I$97:$I$101)+IF(DF15=13,②시니어_가정!$E$105-②시니어_가정!$E$104,0)+IF(DF15=25,②시니어_가정!$E$106-②시니어_가정!$E$105,0))</f>
        <v>0</v>
      </c>
      <c r="DG78" s="37" t="n">
        <f aca="false">②시니어_가정!$D$38*②시니어_가정!$E$98*(②시니어_가정!$E$104*SUMIF(②시니어_가정!$J$97:$J$101,DG6,②시니어_가정!$I$97:$I$101)+IF(DG15=13,②시니어_가정!$E$105-②시니어_가정!$E$104,0)+IF(DG15=25,②시니어_가정!$E$106-②시니어_가정!$E$105,0))</f>
        <v>0</v>
      </c>
      <c r="DH78" s="37" t="n">
        <f aca="false">②시니어_가정!$D$38*②시니어_가정!$E$98*(②시니어_가정!$E$104*SUMIF(②시니어_가정!$J$97:$J$101,DH6,②시니어_가정!$I$97:$I$101)+IF(DH15=13,②시니어_가정!$E$105-②시니어_가정!$E$104,0)+IF(DH15=25,②시니어_가정!$E$106-②시니어_가정!$E$105,0))</f>
        <v>0</v>
      </c>
      <c r="DI78" s="37" t="n">
        <f aca="false">②시니어_가정!$D$38*②시니어_가정!$E$98*(②시니어_가정!$E$104*SUMIF(②시니어_가정!$J$97:$J$101,DI6,②시니어_가정!$I$97:$I$101)+IF(DI15=13,②시니어_가정!$E$105-②시니어_가정!$E$104,0)+IF(DI15=25,②시니어_가정!$E$106-②시니어_가정!$E$105,0))</f>
        <v>0</v>
      </c>
      <c r="DJ78" s="37" t="n">
        <f aca="false">②시니어_가정!$D$38*②시니어_가정!$E$98*(②시니어_가정!$E$104*SUMIF(②시니어_가정!$J$97:$J$101,DJ6,②시니어_가정!$I$97:$I$101)+IF(DJ15=13,②시니어_가정!$E$105-②시니어_가정!$E$104,0)+IF(DJ15=25,②시니어_가정!$E$106-②시니어_가정!$E$105,0))</f>
        <v>0</v>
      </c>
      <c r="DK78" s="37" t="n">
        <f aca="false">②시니어_가정!$D$38*②시니어_가정!$E$98*(②시니어_가정!$E$104*SUMIF(②시니어_가정!$J$97:$J$101,DK6,②시니어_가정!$I$97:$I$101)+IF(DK15=13,②시니어_가정!$E$105-②시니어_가정!$E$104,0)+IF(DK15=25,②시니어_가정!$E$106-②시니어_가정!$E$105,0))</f>
        <v>0</v>
      </c>
      <c r="DL78" s="37" t="n">
        <f aca="false">②시니어_가정!$D$38*②시니어_가정!$E$98*(②시니어_가정!$E$104*SUMIF(②시니어_가정!$J$97:$J$101,DL6,②시니어_가정!$I$97:$I$101)+IF(DL15=13,②시니어_가정!$E$105-②시니어_가정!$E$104,0)+IF(DL15=25,②시니어_가정!$E$106-②시니어_가정!$E$105,0))</f>
        <v>0</v>
      </c>
      <c r="DM78" s="37" t="n">
        <f aca="false">②시니어_가정!$D$38*②시니어_가정!$E$98*(②시니어_가정!$E$104*SUMIF(②시니어_가정!$J$97:$J$101,DM6,②시니어_가정!$I$97:$I$101)+IF(DM15=13,②시니어_가정!$E$105-②시니어_가정!$E$104,0)+IF(DM15=25,②시니어_가정!$E$106-②시니어_가정!$E$105,0))</f>
        <v>0</v>
      </c>
      <c r="DN78" s="37" t="n">
        <f aca="false">②시니어_가정!$D$38*②시니어_가정!$E$98*(②시니어_가정!$E$104*SUMIF(②시니어_가정!$J$97:$J$101,DN6,②시니어_가정!$I$97:$I$101)+IF(DN15=13,②시니어_가정!$E$105-②시니어_가정!$E$104,0)+IF(DN15=25,②시니어_가정!$E$106-②시니어_가정!$E$105,0))</f>
        <v>0</v>
      </c>
      <c r="DO78" s="37" t="n">
        <f aca="false">②시니어_가정!$D$38*②시니어_가정!$E$98*(②시니어_가정!$E$104*SUMIF(②시니어_가정!$J$97:$J$101,DO6,②시니어_가정!$I$97:$I$101)+IF(DO15=13,②시니어_가정!$E$105-②시니어_가정!$E$104,0)+IF(DO15=25,②시니어_가정!$E$106-②시니어_가정!$E$105,0))</f>
        <v>0</v>
      </c>
      <c r="DP78" s="37" t="n">
        <f aca="false">②시니어_가정!$D$38*②시니어_가정!$E$98*(②시니어_가정!$E$104*SUMIF(②시니어_가정!$J$97:$J$101,DP6,②시니어_가정!$I$97:$I$101)+IF(DP15=13,②시니어_가정!$E$105-②시니어_가정!$E$104,0)+IF(DP15=25,②시니어_가정!$E$106-②시니어_가정!$E$105,0))</f>
        <v>0</v>
      </c>
      <c r="DQ78" s="37" t="n">
        <f aca="false">②시니어_가정!$D$38*②시니어_가정!$E$98*(②시니어_가정!$E$104*SUMIF(②시니어_가정!$J$97:$J$101,DQ6,②시니어_가정!$I$97:$I$101)+IF(DQ15=13,②시니어_가정!$E$105-②시니어_가정!$E$104,0)+IF(DQ15=25,②시니어_가정!$E$106-②시니어_가정!$E$105,0))</f>
        <v>0</v>
      </c>
      <c r="DR78" s="37" t="n">
        <f aca="false">②시니어_가정!$D$38*②시니어_가정!$E$98*(②시니어_가정!$E$104*SUMIF(②시니어_가정!$J$97:$J$101,DR6,②시니어_가정!$I$97:$I$101)+IF(DR15=13,②시니어_가정!$E$105-②시니어_가정!$E$104,0)+IF(DR15=25,②시니어_가정!$E$106-②시니어_가정!$E$105,0))</f>
        <v>0</v>
      </c>
      <c r="DS78" s="37" t="n">
        <f aca="false">②시니어_가정!$D$38*②시니어_가정!$E$98*(②시니어_가정!$E$104*SUMIF(②시니어_가정!$J$97:$J$101,DS6,②시니어_가정!$I$97:$I$101)+IF(DS15=13,②시니어_가정!$E$105-②시니어_가정!$E$104,0)+IF(DS15=25,②시니어_가정!$E$106-②시니어_가정!$E$105,0))</f>
        <v>0</v>
      </c>
      <c r="DT78" s="37" t="n">
        <f aca="false">②시니어_가정!$D$38*②시니어_가정!$E$98*(②시니어_가정!$E$104*SUMIF(②시니어_가정!$J$97:$J$101,DT6,②시니어_가정!$I$97:$I$101)+IF(DT15=13,②시니어_가정!$E$105-②시니어_가정!$E$104,0)+IF(DT15=25,②시니어_가정!$E$106-②시니어_가정!$E$105,0))</f>
        <v>0</v>
      </c>
      <c r="DU78" s="37" t="n">
        <f aca="false">②시니어_가정!$D$38*②시니어_가정!$E$98*(②시니어_가정!$E$104*SUMIF(②시니어_가정!$J$97:$J$101,DU6,②시니어_가정!$I$97:$I$101)+IF(DU15=13,②시니어_가정!$E$105-②시니어_가정!$E$104,0)+IF(DU15=25,②시니어_가정!$E$106-②시니어_가정!$E$105,0))</f>
        <v>0</v>
      </c>
      <c r="DV78" s="37" t="n">
        <f aca="false">②시니어_가정!$D$38*②시니어_가정!$E$98*(②시니어_가정!$E$104*SUMIF(②시니어_가정!$J$97:$J$101,DV6,②시니어_가정!$I$97:$I$101)+IF(DV15=13,②시니어_가정!$E$105-②시니어_가정!$E$104,0)+IF(DV15=25,②시니어_가정!$E$106-②시니어_가정!$E$105,0))</f>
        <v>0</v>
      </c>
      <c r="DW78" s="37" t="n">
        <f aca="false">②시니어_가정!$D$38*②시니어_가정!$E$98*(②시니어_가정!$E$104*SUMIF(②시니어_가정!$J$97:$J$101,DW6,②시니어_가정!$I$97:$I$101)+IF(DW15=13,②시니어_가정!$E$105-②시니어_가정!$E$104,0)+IF(DW15=25,②시니어_가정!$E$106-②시니어_가정!$E$105,0))</f>
        <v>0</v>
      </c>
      <c r="DX78" s="37" t="n">
        <f aca="false">②시니어_가정!$D$38*②시니어_가정!$E$98*(②시니어_가정!$E$104*SUMIF(②시니어_가정!$J$97:$J$101,DX6,②시니어_가정!$I$97:$I$101)+IF(DX15=13,②시니어_가정!$E$105-②시니어_가정!$E$104,0)+IF(DX15=25,②시니어_가정!$E$106-②시니어_가정!$E$105,0))</f>
        <v>0</v>
      </c>
      <c r="DY78" s="37" t="n">
        <f aca="false">②시니어_가정!$D$38*②시니어_가정!$E$98*(②시니어_가정!$E$104*SUMIF(②시니어_가정!$J$97:$J$101,DY6,②시니어_가정!$I$97:$I$101)+IF(DY15=13,②시니어_가정!$E$105-②시니어_가정!$E$104,0)+IF(DY15=25,②시니어_가정!$E$106-②시니어_가정!$E$105,0))</f>
        <v>0</v>
      </c>
      <c r="DZ78" s="37" t="n">
        <f aca="false">②시니어_가정!$D$38*②시니어_가정!$E$98*(②시니어_가정!$E$104*SUMIF(②시니어_가정!$J$97:$J$101,DZ6,②시니어_가정!$I$97:$I$101)+IF(DZ15=13,②시니어_가정!$E$105-②시니어_가정!$E$104,0)+IF(DZ15=25,②시니어_가정!$E$106-②시니어_가정!$E$105,0))</f>
        <v>0</v>
      </c>
      <c r="EA78" s="37" t="n">
        <f aca="false">②시니어_가정!$D$38*②시니어_가정!$E$98*(②시니어_가정!$E$104*SUMIF(②시니어_가정!$J$97:$J$101,EA6,②시니어_가정!$I$97:$I$101)+IF(EA15=13,②시니어_가정!$E$105-②시니어_가정!$E$104,0)+IF(EA15=25,②시니어_가정!$E$106-②시니어_가정!$E$105,0))</f>
        <v>0</v>
      </c>
      <c r="EB78" s="37" t="n">
        <f aca="false">②시니어_가정!$D$38*②시니어_가정!$E$98*(②시니어_가정!$E$104*SUMIF(②시니어_가정!$J$97:$J$101,EB6,②시니어_가정!$I$97:$I$101)+IF(EB15=13,②시니어_가정!$E$105-②시니어_가정!$E$104,0)+IF(EB15=25,②시니어_가정!$E$106-②시니어_가정!$E$105,0))</f>
        <v>0</v>
      </c>
      <c r="EC78" s="37" t="n">
        <f aca="false">②시니어_가정!$D$38*②시니어_가정!$E$98*(②시니어_가정!$E$104*SUMIF(②시니어_가정!$J$97:$J$101,EC6,②시니어_가정!$I$97:$I$101)+IF(EC15=13,②시니어_가정!$E$105-②시니어_가정!$E$104,0)+IF(EC15=25,②시니어_가정!$E$106-②시니어_가정!$E$105,0))</f>
        <v>0</v>
      </c>
      <c r="ED78" s="37" t="n">
        <f aca="false">②시니어_가정!$D$38*②시니어_가정!$E$98*(②시니어_가정!$E$104*SUMIF(②시니어_가정!$J$97:$J$101,ED6,②시니어_가정!$I$97:$I$101)+IF(ED15=13,②시니어_가정!$E$105-②시니어_가정!$E$104,0)+IF(ED15=25,②시니어_가정!$E$106-②시니어_가정!$E$105,0))</f>
        <v>0</v>
      </c>
      <c r="EE78" s="37" t="n">
        <f aca="false">②시니어_가정!$D$38*②시니어_가정!$E$98*(②시니어_가정!$E$104*SUMIF(②시니어_가정!$J$97:$J$101,EE6,②시니어_가정!$I$97:$I$101)+IF(EE15=13,②시니어_가정!$E$105-②시니어_가정!$E$104,0)+IF(EE15=25,②시니어_가정!$E$106-②시니어_가정!$E$105,0))</f>
        <v>0</v>
      </c>
      <c r="EF78" s="37" t="n">
        <f aca="false">②시니어_가정!$D$38*②시니어_가정!$E$98*(②시니어_가정!$E$104*SUMIF(②시니어_가정!$J$97:$J$101,EF6,②시니어_가정!$I$97:$I$101)+IF(EF15=13,②시니어_가정!$E$105-②시니어_가정!$E$104,0)+IF(EF15=25,②시니어_가정!$E$106-②시니어_가정!$E$105,0))</f>
        <v>0</v>
      </c>
    </row>
    <row r="79" customFormat="false" ht="15" hidden="false" customHeight="false" outlineLevel="0" collapsed="false">
      <c r="A79" s="36" t="s">
        <v>621</v>
      </c>
      <c r="B79" s="278" t="s">
        <v>21</v>
      </c>
      <c r="C79" s="279" t="n">
        <f aca="false">SUM(E79:EF79)</f>
        <v>0</v>
      </c>
      <c r="E79" s="37" t="n">
        <f aca="false">②시니어_가정!$E$38*②시니어_가정!$E$129*(②시니어_가정!$E$133*SUMIF(②시니어_가정!$L$124:$L$128,E6,②시니어_가정!$K$124:$K$128)+IF(E15=13,②시니어_가정!$E$134-②시니어_가정!$E$133,0)+IF(E15=25,②시니어_가정!$E$135-②시니어_가정!$E$134,0))</f>
        <v>0</v>
      </c>
      <c r="F79" s="37" t="n">
        <f aca="false">②시니어_가정!$E$38*②시니어_가정!$E$129*(②시니어_가정!$E$133*SUMIF(②시니어_가정!$L$124:$L$128,F6,②시니어_가정!$K$124:$K$128)+IF(F15=13,②시니어_가정!$E$134-②시니어_가정!$E$133,0)+IF(F15=25,②시니어_가정!$E$135-②시니어_가정!$E$134,0))</f>
        <v>0</v>
      </c>
      <c r="G79" s="37" t="n">
        <f aca="false">②시니어_가정!$E$38*②시니어_가정!$E$129*(②시니어_가정!$E$133*SUMIF(②시니어_가정!$L$124:$L$128,G6,②시니어_가정!$K$124:$K$128)+IF(G15=13,②시니어_가정!$E$134-②시니어_가정!$E$133,0)+IF(G15=25,②시니어_가정!$E$135-②시니어_가정!$E$134,0))</f>
        <v>0</v>
      </c>
      <c r="H79" s="37" t="n">
        <f aca="false">②시니어_가정!$E$38*②시니어_가정!$E$129*(②시니어_가정!$E$133*SUMIF(②시니어_가정!$L$124:$L$128,H6,②시니어_가정!$K$124:$K$128)+IF(H15=13,②시니어_가정!$E$134-②시니어_가정!$E$133,0)+IF(H15=25,②시니어_가정!$E$135-②시니어_가정!$E$134,0))</f>
        <v>0</v>
      </c>
      <c r="I79" s="37" t="n">
        <f aca="false">②시니어_가정!$E$38*②시니어_가정!$E$129*(②시니어_가정!$E$133*SUMIF(②시니어_가정!$L$124:$L$128,I6,②시니어_가정!$K$124:$K$128)+IF(I15=13,②시니어_가정!$E$134-②시니어_가정!$E$133,0)+IF(I15=25,②시니어_가정!$E$135-②시니어_가정!$E$134,0))</f>
        <v>0</v>
      </c>
      <c r="J79" s="37" t="n">
        <f aca="false">②시니어_가정!$E$38*②시니어_가정!$E$129*(②시니어_가정!$E$133*SUMIF(②시니어_가정!$L$124:$L$128,J6,②시니어_가정!$K$124:$K$128)+IF(J15=13,②시니어_가정!$E$134-②시니어_가정!$E$133,0)+IF(J15=25,②시니어_가정!$E$135-②시니어_가정!$E$134,0))</f>
        <v>0</v>
      </c>
      <c r="K79" s="37" t="n">
        <f aca="false">②시니어_가정!$E$38*②시니어_가정!$E$129*(②시니어_가정!$E$133*SUMIF(②시니어_가정!$L$124:$L$128,K6,②시니어_가정!$K$124:$K$128)+IF(K15=13,②시니어_가정!$E$134-②시니어_가정!$E$133,0)+IF(K15=25,②시니어_가정!$E$135-②시니어_가정!$E$134,0))</f>
        <v>0</v>
      </c>
      <c r="L79" s="37" t="n">
        <f aca="false">②시니어_가정!$E$38*②시니어_가정!$E$129*(②시니어_가정!$E$133*SUMIF(②시니어_가정!$L$124:$L$128,L6,②시니어_가정!$K$124:$K$128)+IF(L15=13,②시니어_가정!$E$134-②시니어_가정!$E$133,0)+IF(L15=25,②시니어_가정!$E$135-②시니어_가정!$E$134,0))</f>
        <v>0</v>
      </c>
      <c r="M79" s="37" t="n">
        <f aca="false">②시니어_가정!$E$38*②시니어_가정!$E$129*(②시니어_가정!$E$133*SUMIF(②시니어_가정!$L$124:$L$128,M6,②시니어_가정!$K$124:$K$128)+IF(M15=13,②시니어_가정!$E$134-②시니어_가정!$E$133,0)+IF(M15=25,②시니어_가정!$E$135-②시니어_가정!$E$134,0))</f>
        <v>0</v>
      </c>
      <c r="N79" s="37" t="n">
        <f aca="false">②시니어_가정!$E$38*②시니어_가정!$E$129*(②시니어_가정!$E$133*SUMIF(②시니어_가정!$L$124:$L$128,N6,②시니어_가정!$K$124:$K$128)+IF(N15=13,②시니어_가정!$E$134-②시니어_가정!$E$133,0)+IF(N15=25,②시니어_가정!$E$135-②시니어_가정!$E$134,0))</f>
        <v>0</v>
      </c>
      <c r="O79" s="37" t="n">
        <f aca="false">②시니어_가정!$E$38*②시니어_가정!$E$129*(②시니어_가정!$E$133*SUMIF(②시니어_가정!$L$124:$L$128,O6,②시니어_가정!$K$124:$K$128)+IF(O15=13,②시니어_가정!$E$134-②시니어_가정!$E$133,0)+IF(O15=25,②시니어_가정!$E$135-②시니어_가정!$E$134,0))</f>
        <v>0</v>
      </c>
      <c r="P79" s="37" t="n">
        <f aca="false">②시니어_가정!$E$38*②시니어_가정!$E$129*(②시니어_가정!$E$133*SUMIF(②시니어_가정!$L$124:$L$128,P6,②시니어_가정!$K$124:$K$128)+IF(P15=13,②시니어_가정!$E$134-②시니어_가정!$E$133,0)+IF(P15=25,②시니어_가정!$E$135-②시니어_가정!$E$134,0))</f>
        <v>0</v>
      </c>
      <c r="Q79" s="37" t="n">
        <f aca="false">②시니어_가정!$E$38*②시니어_가정!$E$129*(②시니어_가정!$E$133*SUMIF(②시니어_가정!$L$124:$L$128,Q6,②시니어_가정!$K$124:$K$128)+IF(Q15=13,②시니어_가정!$E$134-②시니어_가정!$E$133,0)+IF(Q15=25,②시니어_가정!$E$135-②시니어_가정!$E$134,0))</f>
        <v>0</v>
      </c>
      <c r="R79" s="37" t="n">
        <f aca="false">②시니어_가정!$E$38*②시니어_가정!$E$129*(②시니어_가정!$E$133*SUMIF(②시니어_가정!$L$124:$L$128,R6,②시니어_가정!$K$124:$K$128)+IF(R15=13,②시니어_가정!$E$134-②시니어_가정!$E$133,0)+IF(R15=25,②시니어_가정!$E$135-②시니어_가정!$E$134,0))</f>
        <v>0</v>
      </c>
      <c r="S79" s="37" t="n">
        <f aca="false">②시니어_가정!$E$38*②시니어_가정!$E$129*(②시니어_가정!$E$133*SUMIF(②시니어_가정!$L$124:$L$128,S6,②시니어_가정!$K$124:$K$128)+IF(S15=13,②시니어_가정!$E$134-②시니어_가정!$E$133,0)+IF(S15=25,②시니어_가정!$E$135-②시니어_가정!$E$134,0))</f>
        <v>0</v>
      </c>
      <c r="T79" s="37" t="n">
        <f aca="false">②시니어_가정!$E$38*②시니어_가정!$E$129*(②시니어_가정!$E$133*SUMIF(②시니어_가정!$L$124:$L$128,T6,②시니어_가정!$K$124:$K$128)+IF(T15=13,②시니어_가정!$E$134-②시니어_가정!$E$133,0)+IF(T15=25,②시니어_가정!$E$135-②시니어_가정!$E$134,0))</f>
        <v>0</v>
      </c>
      <c r="U79" s="37" t="n">
        <f aca="false">②시니어_가정!$E$38*②시니어_가정!$E$129*(②시니어_가정!$E$133*SUMIF(②시니어_가정!$L$124:$L$128,U6,②시니어_가정!$K$124:$K$128)+IF(U15=13,②시니어_가정!$E$134-②시니어_가정!$E$133,0)+IF(U15=25,②시니어_가정!$E$135-②시니어_가정!$E$134,0))</f>
        <v>0</v>
      </c>
      <c r="V79" s="37" t="n">
        <f aca="false">②시니어_가정!$E$38*②시니어_가정!$E$129*(②시니어_가정!$E$133*SUMIF(②시니어_가정!$L$124:$L$128,V6,②시니어_가정!$K$124:$K$128)+IF(V15=13,②시니어_가정!$E$134-②시니어_가정!$E$133,0)+IF(V15=25,②시니어_가정!$E$135-②시니어_가정!$E$134,0))</f>
        <v>0</v>
      </c>
      <c r="W79" s="37" t="n">
        <f aca="false">②시니어_가정!$E$38*②시니어_가정!$E$129*(②시니어_가정!$E$133*SUMIF(②시니어_가정!$L$124:$L$128,W6,②시니어_가정!$K$124:$K$128)+IF(W15=13,②시니어_가정!$E$134-②시니어_가정!$E$133,0)+IF(W15=25,②시니어_가정!$E$135-②시니어_가정!$E$134,0))</f>
        <v>0</v>
      </c>
      <c r="X79" s="37" t="n">
        <f aca="false">②시니어_가정!$E$38*②시니어_가정!$E$129*(②시니어_가정!$E$133*SUMIF(②시니어_가정!$L$124:$L$128,X6,②시니어_가정!$K$124:$K$128)+IF(X15=13,②시니어_가정!$E$134-②시니어_가정!$E$133,0)+IF(X15=25,②시니어_가정!$E$135-②시니어_가정!$E$134,0))</f>
        <v>0</v>
      </c>
      <c r="Y79" s="37" t="n">
        <f aca="false">②시니어_가정!$E$38*②시니어_가정!$E$129*(②시니어_가정!$E$133*SUMIF(②시니어_가정!$L$124:$L$128,Y6,②시니어_가정!$K$124:$K$128)+IF(Y15=13,②시니어_가정!$E$134-②시니어_가정!$E$133,0)+IF(Y15=25,②시니어_가정!$E$135-②시니어_가정!$E$134,0))</f>
        <v>0</v>
      </c>
      <c r="Z79" s="37" t="n">
        <f aca="false">②시니어_가정!$E$38*②시니어_가정!$E$129*(②시니어_가정!$E$133*SUMIF(②시니어_가정!$L$124:$L$128,Z6,②시니어_가정!$K$124:$K$128)+IF(Z15=13,②시니어_가정!$E$134-②시니어_가정!$E$133,0)+IF(Z15=25,②시니어_가정!$E$135-②시니어_가정!$E$134,0))</f>
        <v>0</v>
      </c>
      <c r="AA79" s="37" t="n">
        <f aca="false">②시니어_가정!$E$38*②시니어_가정!$E$129*(②시니어_가정!$E$133*SUMIF(②시니어_가정!$L$124:$L$128,AA6,②시니어_가정!$K$124:$K$128)+IF(AA15=13,②시니어_가정!$E$134-②시니어_가정!$E$133,0)+IF(AA15=25,②시니어_가정!$E$135-②시니어_가정!$E$134,0))</f>
        <v>0</v>
      </c>
      <c r="AB79" s="37" t="n">
        <f aca="false">②시니어_가정!$E$38*②시니어_가정!$E$129*(②시니어_가정!$E$133*SUMIF(②시니어_가정!$L$124:$L$128,AB6,②시니어_가정!$K$124:$K$128)+IF(AB15=13,②시니어_가정!$E$134-②시니어_가정!$E$133,0)+IF(AB15=25,②시니어_가정!$E$135-②시니어_가정!$E$134,0))</f>
        <v>0</v>
      </c>
      <c r="AC79" s="37" t="n">
        <f aca="false">②시니어_가정!$E$38*②시니어_가정!$E$129*(②시니어_가정!$E$133*SUMIF(②시니어_가정!$L$124:$L$128,AC6,②시니어_가정!$K$124:$K$128)+IF(AC15=13,②시니어_가정!$E$134-②시니어_가정!$E$133,0)+IF(AC15=25,②시니어_가정!$E$135-②시니어_가정!$E$134,0))</f>
        <v>0</v>
      </c>
      <c r="AD79" s="37" t="n">
        <f aca="false">②시니어_가정!$E$38*②시니어_가정!$E$129*(②시니어_가정!$E$133*SUMIF(②시니어_가정!$L$124:$L$128,AD6,②시니어_가정!$K$124:$K$128)+IF(AD15=13,②시니어_가정!$E$134-②시니어_가정!$E$133,0)+IF(AD15=25,②시니어_가정!$E$135-②시니어_가정!$E$134,0))</f>
        <v>0</v>
      </c>
      <c r="AE79" s="37" t="n">
        <f aca="false">②시니어_가정!$E$38*②시니어_가정!$E$129*(②시니어_가정!$E$133*SUMIF(②시니어_가정!$L$124:$L$128,AE6,②시니어_가정!$K$124:$K$128)+IF(AE15=13,②시니어_가정!$E$134-②시니어_가정!$E$133,0)+IF(AE15=25,②시니어_가정!$E$135-②시니어_가정!$E$134,0))</f>
        <v>0</v>
      </c>
      <c r="AF79" s="37" t="n">
        <f aca="false">②시니어_가정!$E$38*②시니어_가정!$E$129*(②시니어_가정!$E$133*SUMIF(②시니어_가정!$L$124:$L$128,AF6,②시니어_가정!$K$124:$K$128)+IF(AF15=13,②시니어_가정!$E$134-②시니어_가정!$E$133,0)+IF(AF15=25,②시니어_가정!$E$135-②시니어_가정!$E$134,0))</f>
        <v>0</v>
      </c>
      <c r="AG79" s="37" t="n">
        <f aca="false">②시니어_가정!$E$38*②시니어_가정!$E$129*(②시니어_가정!$E$133*SUMIF(②시니어_가정!$L$124:$L$128,AG6,②시니어_가정!$K$124:$K$128)+IF(AG15=13,②시니어_가정!$E$134-②시니어_가정!$E$133,0)+IF(AG15=25,②시니어_가정!$E$135-②시니어_가정!$E$134,0))</f>
        <v>0</v>
      </c>
      <c r="AH79" s="37" t="n">
        <f aca="false">②시니어_가정!$E$38*②시니어_가정!$E$129*(②시니어_가정!$E$133*SUMIF(②시니어_가정!$L$124:$L$128,AH6,②시니어_가정!$K$124:$K$128)+IF(AH15=13,②시니어_가정!$E$134-②시니어_가정!$E$133,0)+IF(AH15=25,②시니어_가정!$E$135-②시니어_가정!$E$134,0))</f>
        <v>0</v>
      </c>
      <c r="AI79" s="37" t="n">
        <f aca="false">②시니어_가정!$E$38*②시니어_가정!$E$129*(②시니어_가정!$E$133*SUMIF(②시니어_가정!$L$124:$L$128,AI6,②시니어_가정!$K$124:$K$128)+IF(AI15=13,②시니어_가정!$E$134-②시니어_가정!$E$133,0)+IF(AI15=25,②시니어_가정!$E$135-②시니어_가정!$E$134,0))</f>
        <v>0</v>
      </c>
      <c r="AJ79" s="37" t="n">
        <f aca="false">②시니어_가정!$E$38*②시니어_가정!$E$129*(②시니어_가정!$E$133*SUMIF(②시니어_가정!$L$124:$L$128,AJ6,②시니어_가정!$K$124:$K$128)+IF(AJ15=13,②시니어_가정!$E$134-②시니어_가정!$E$133,0)+IF(AJ15=25,②시니어_가정!$E$135-②시니어_가정!$E$134,0))</f>
        <v>0</v>
      </c>
      <c r="AK79" s="37" t="n">
        <f aca="false">②시니어_가정!$E$38*②시니어_가정!$E$129*(②시니어_가정!$E$133*SUMIF(②시니어_가정!$L$124:$L$128,AK6,②시니어_가정!$K$124:$K$128)+IF(AK15=13,②시니어_가정!$E$134-②시니어_가정!$E$133,0)+IF(AK15=25,②시니어_가정!$E$135-②시니어_가정!$E$134,0))</f>
        <v>0</v>
      </c>
      <c r="AL79" s="37" t="n">
        <f aca="false">②시니어_가정!$E$38*②시니어_가정!$E$129*(②시니어_가정!$E$133*SUMIF(②시니어_가정!$L$124:$L$128,AL6,②시니어_가정!$K$124:$K$128)+IF(AL15=13,②시니어_가정!$E$134-②시니어_가정!$E$133,0)+IF(AL15=25,②시니어_가정!$E$135-②시니어_가정!$E$134,0))</f>
        <v>0</v>
      </c>
      <c r="AM79" s="37" t="n">
        <f aca="false">②시니어_가정!$E$38*②시니어_가정!$E$129*(②시니어_가정!$E$133*SUMIF(②시니어_가정!$L$124:$L$128,AM6,②시니어_가정!$K$124:$K$128)+IF(AM15=13,②시니어_가정!$E$134-②시니어_가정!$E$133,0)+IF(AM15=25,②시니어_가정!$E$135-②시니어_가정!$E$134,0))</f>
        <v>0</v>
      </c>
      <c r="AN79" s="37" t="n">
        <f aca="false">②시니어_가정!$E$38*②시니어_가정!$E$129*(②시니어_가정!$E$133*SUMIF(②시니어_가정!$L$124:$L$128,AN6,②시니어_가정!$K$124:$K$128)+IF(AN15=13,②시니어_가정!$E$134-②시니어_가정!$E$133,0)+IF(AN15=25,②시니어_가정!$E$135-②시니어_가정!$E$134,0))</f>
        <v>0</v>
      </c>
      <c r="AO79" s="37" t="n">
        <f aca="false">②시니어_가정!$E$38*②시니어_가정!$E$129*(②시니어_가정!$E$133*SUMIF(②시니어_가정!$L$124:$L$128,AO6,②시니어_가정!$K$124:$K$128)+IF(AO15=13,②시니어_가정!$E$134-②시니어_가정!$E$133,0)+IF(AO15=25,②시니어_가정!$E$135-②시니어_가정!$E$134,0))</f>
        <v>0</v>
      </c>
      <c r="AP79" s="37" t="n">
        <f aca="false">②시니어_가정!$E$38*②시니어_가정!$E$129*(②시니어_가정!$E$133*SUMIF(②시니어_가정!$L$124:$L$128,AP6,②시니어_가정!$K$124:$K$128)+IF(AP15=13,②시니어_가정!$E$134-②시니어_가정!$E$133,0)+IF(AP15=25,②시니어_가정!$E$135-②시니어_가정!$E$134,0))</f>
        <v>0</v>
      </c>
      <c r="AQ79" s="37" t="n">
        <f aca="false">②시니어_가정!$E$38*②시니어_가정!$E$129*(②시니어_가정!$E$133*SUMIF(②시니어_가정!$L$124:$L$128,AQ6,②시니어_가정!$K$124:$K$128)+IF(AQ15=13,②시니어_가정!$E$134-②시니어_가정!$E$133,0)+IF(AQ15=25,②시니어_가정!$E$135-②시니어_가정!$E$134,0))</f>
        <v>0</v>
      </c>
      <c r="AR79" s="37" t="n">
        <f aca="false">②시니어_가정!$E$38*②시니어_가정!$E$129*(②시니어_가정!$E$133*SUMIF(②시니어_가정!$L$124:$L$128,AR6,②시니어_가정!$K$124:$K$128)+IF(AR15=13,②시니어_가정!$E$134-②시니어_가정!$E$133,0)+IF(AR15=25,②시니어_가정!$E$135-②시니어_가정!$E$134,0))</f>
        <v>0</v>
      </c>
      <c r="AS79" s="37" t="n">
        <f aca="false">②시니어_가정!$E$38*②시니어_가정!$E$129*(②시니어_가정!$E$133*SUMIF(②시니어_가정!$L$124:$L$128,AS6,②시니어_가정!$K$124:$K$128)+IF(AS15=13,②시니어_가정!$E$134-②시니어_가정!$E$133,0)+IF(AS15=25,②시니어_가정!$E$135-②시니어_가정!$E$134,0))</f>
        <v>0</v>
      </c>
      <c r="AT79" s="37" t="n">
        <f aca="false">②시니어_가정!$E$38*②시니어_가정!$E$129*(②시니어_가정!$E$133*SUMIF(②시니어_가정!$L$124:$L$128,AT6,②시니어_가정!$K$124:$K$128)+IF(AT15=13,②시니어_가정!$E$134-②시니어_가정!$E$133,0)+IF(AT15=25,②시니어_가정!$E$135-②시니어_가정!$E$134,0))</f>
        <v>0</v>
      </c>
      <c r="AU79" s="37" t="n">
        <f aca="false">②시니어_가정!$E$38*②시니어_가정!$E$129*(②시니어_가정!$E$133*SUMIF(②시니어_가정!$L$124:$L$128,AU6,②시니어_가정!$K$124:$K$128)+IF(AU15=13,②시니어_가정!$E$134-②시니어_가정!$E$133,0)+IF(AU15=25,②시니어_가정!$E$135-②시니어_가정!$E$134,0))</f>
        <v>0</v>
      </c>
      <c r="AV79" s="37" t="n">
        <f aca="false">②시니어_가정!$E$38*②시니어_가정!$E$129*(②시니어_가정!$E$133*SUMIF(②시니어_가정!$L$124:$L$128,AV6,②시니어_가정!$K$124:$K$128)+IF(AV15=13,②시니어_가정!$E$134-②시니어_가정!$E$133,0)+IF(AV15=25,②시니어_가정!$E$135-②시니어_가정!$E$134,0))</f>
        <v>0</v>
      </c>
      <c r="AW79" s="37" t="n">
        <f aca="false">②시니어_가정!$E$38*②시니어_가정!$E$129*(②시니어_가정!$E$133*SUMIF(②시니어_가정!$L$124:$L$128,AW6,②시니어_가정!$K$124:$K$128)+IF(AW15=13,②시니어_가정!$E$134-②시니어_가정!$E$133,0)+IF(AW15=25,②시니어_가정!$E$135-②시니어_가정!$E$134,0))</f>
        <v>0</v>
      </c>
      <c r="AX79" s="37" t="n">
        <f aca="false">②시니어_가정!$E$38*②시니어_가정!$E$129*(②시니어_가정!$E$133*SUMIF(②시니어_가정!$L$124:$L$128,AX6,②시니어_가정!$K$124:$K$128)+IF(AX15=13,②시니어_가정!$E$134-②시니어_가정!$E$133,0)+IF(AX15=25,②시니어_가정!$E$135-②시니어_가정!$E$134,0))</f>
        <v>0</v>
      </c>
      <c r="AY79" s="37" t="n">
        <f aca="false">②시니어_가정!$E$38*②시니어_가정!$E$129*(②시니어_가정!$E$133*SUMIF(②시니어_가정!$L$124:$L$128,AY6,②시니어_가정!$K$124:$K$128)+IF(AY15=13,②시니어_가정!$E$134-②시니어_가정!$E$133,0)+IF(AY15=25,②시니어_가정!$E$135-②시니어_가정!$E$134,0))</f>
        <v>0</v>
      </c>
      <c r="AZ79" s="37" t="n">
        <f aca="false">②시니어_가정!$E$38*②시니어_가정!$E$129*(②시니어_가정!$E$133*SUMIF(②시니어_가정!$L$124:$L$128,AZ6,②시니어_가정!$K$124:$K$128)+IF(AZ15=13,②시니어_가정!$E$134-②시니어_가정!$E$133,0)+IF(AZ15=25,②시니어_가정!$E$135-②시니어_가정!$E$134,0))</f>
        <v>0</v>
      </c>
      <c r="BA79" s="37" t="n">
        <f aca="false">②시니어_가정!$E$38*②시니어_가정!$E$129*(②시니어_가정!$E$133*SUMIF(②시니어_가정!$L$124:$L$128,BA6,②시니어_가정!$K$124:$K$128)+IF(BA15=13,②시니어_가정!$E$134-②시니어_가정!$E$133,0)+IF(BA15=25,②시니어_가정!$E$135-②시니어_가정!$E$134,0))</f>
        <v>0</v>
      </c>
      <c r="BB79" s="37" t="n">
        <f aca="false">②시니어_가정!$E$38*②시니어_가정!$E$129*(②시니어_가정!$E$133*SUMIF(②시니어_가정!$L$124:$L$128,BB6,②시니어_가정!$K$124:$K$128)+IF(BB15=13,②시니어_가정!$E$134-②시니어_가정!$E$133,0)+IF(BB15=25,②시니어_가정!$E$135-②시니어_가정!$E$134,0))</f>
        <v>0</v>
      </c>
      <c r="BC79" s="37" t="n">
        <f aca="false">②시니어_가정!$E$38*②시니어_가정!$E$129*(②시니어_가정!$E$133*SUMIF(②시니어_가정!$L$124:$L$128,BC6,②시니어_가정!$K$124:$K$128)+IF(BC15=13,②시니어_가정!$E$134-②시니어_가정!$E$133,0)+IF(BC15=25,②시니어_가정!$E$135-②시니어_가정!$E$134,0))</f>
        <v>0</v>
      </c>
      <c r="BD79" s="37" t="n">
        <f aca="false">②시니어_가정!$E$38*②시니어_가정!$E$129*(②시니어_가정!$E$133*SUMIF(②시니어_가정!$L$124:$L$128,BD6,②시니어_가정!$K$124:$K$128)+IF(BD15=13,②시니어_가정!$E$134-②시니어_가정!$E$133,0)+IF(BD15=25,②시니어_가정!$E$135-②시니어_가정!$E$134,0))</f>
        <v>0</v>
      </c>
      <c r="BE79" s="37" t="n">
        <f aca="false">②시니어_가정!$E$38*②시니어_가정!$E$129*(②시니어_가정!$E$133*SUMIF(②시니어_가정!$L$124:$L$128,BE6,②시니어_가정!$K$124:$K$128)+IF(BE15=13,②시니어_가정!$E$134-②시니어_가정!$E$133,0)+IF(BE15=25,②시니어_가정!$E$135-②시니어_가정!$E$134,0))</f>
        <v>0</v>
      </c>
      <c r="BF79" s="37" t="n">
        <f aca="false">②시니어_가정!$E$38*②시니어_가정!$E$129*(②시니어_가정!$E$133*SUMIF(②시니어_가정!$L$124:$L$128,BF6,②시니어_가정!$K$124:$K$128)+IF(BF15=13,②시니어_가정!$E$134-②시니어_가정!$E$133,0)+IF(BF15=25,②시니어_가정!$E$135-②시니어_가정!$E$134,0))</f>
        <v>0</v>
      </c>
      <c r="BG79" s="37" t="n">
        <f aca="false">②시니어_가정!$E$38*②시니어_가정!$E$129*(②시니어_가정!$E$133*SUMIF(②시니어_가정!$L$124:$L$128,BG6,②시니어_가정!$K$124:$K$128)+IF(BG15=13,②시니어_가정!$E$134-②시니어_가정!$E$133,0)+IF(BG15=25,②시니어_가정!$E$135-②시니어_가정!$E$134,0))</f>
        <v>0</v>
      </c>
      <c r="BH79" s="37" t="n">
        <f aca="false">②시니어_가정!$E$38*②시니어_가정!$E$129*(②시니어_가정!$E$133*SUMIF(②시니어_가정!$L$124:$L$128,BH6,②시니어_가정!$K$124:$K$128)+IF(BH15=13,②시니어_가정!$E$134-②시니어_가정!$E$133,0)+IF(BH15=25,②시니어_가정!$E$135-②시니어_가정!$E$134,0))</f>
        <v>0</v>
      </c>
      <c r="BI79" s="37" t="n">
        <f aca="false">②시니어_가정!$E$38*②시니어_가정!$E$129*(②시니어_가정!$E$133*SUMIF(②시니어_가정!$L$124:$L$128,BI6,②시니어_가정!$K$124:$K$128)+IF(BI15=13,②시니어_가정!$E$134-②시니어_가정!$E$133,0)+IF(BI15=25,②시니어_가정!$E$135-②시니어_가정!$E$134,0))</f>
        <v>0</v>
      </c>
      <c r="BJ79" s="37" t="n">
        <f aca="false">②시니어_가정!$E$38*②시니어_가정!$E$129*(②시니어_가정!$E$133*SUMIF(②시니어_가정!$L$124:$L$128,BJ6,②시니어_가정!$K$124:$K$128)+IF(BJ15=13,②시니어_가정!$E$134-②시니어_가정!$E$133,0)+IF(BJ15=25,②시니어_가정!$E$135-②시니어_가정!$E$134,0))</f>
        <v>0</v>
      </c>
      <c r="BK79" s="37" t="n">
        <f aca="false">②시니어_가정!$E$38*②시니어_가정!$E$129*(②시니어_가정!$E$133*SUMIF(②시니어_가정!$L$124:$L$128,BK6,②시니어_가정!$K$124:$K$128)+IF(BK15=13,②시니어_가정!$E$134-②시니어_가정!$E$133,0)+IF(BK15=25,②시니어_가정!$E$135-②시니어_가정!$E$134,0))</f>
        <v>0</v>
      </c>
      <c r="BL79" s="37" t="n">
        <f aca="false">②시니어_가정!$E$38*②시니어_가정!$E$129*(②시니어_가정!$E$133*SUMIF(②시니어_가정!$L$124:$L$128,BL6,②시니어_가정!$K$124:$K$128)+IF(BL15=13,②시니어_가정!$E$134-②시니어_가정!$E$133,0)+IF(BL15=25,②시니어_가정!$E$135-②시니어_가정!$E$134,0))</f>
        <v>0</v>
      </c>
      <c r="BM79" s="37" t="n">
        <f aca="false">②시니어_가정!$E$38*②시니어_가정!$E$129*(②시니어_가정!$E$133*SUMIF(②시니어_가정!$L$124:$L$128,BM6,②시니어_가정!$K$124:$K$128)+IF(BM15=13,②시니어_가정!$E$134-②시니어_가정!$E$133,0)+IF(BM15=25,②시니어_가정!$E$135-②시니어_가정!$E$134,0))</f>
        <v>0</v>
      </c>
      <c r="BN79" s="37" t="n">
        <f aca="false">②시니어_가정!$E$38*②시니어_가정!$E$129*(②시니어_가정!$E$133*SUMIF(②시니어_가정!$L$124:$L$128,BN6,②시니어_가정!$K$124:$K$128)+IF(BN15=13,②시니어_가정!$E$134-②시니어_가정!$E$133,0)+IF(BN15=25,②시니어_가정!$E$135-②시니어_가정!$E$134,0))</f>
        <v>0</v>
      </c>
      <c r="BO79" s="37" t="n">
        <f aca="false">②시니어_가정!$E$38*②시니어_가정!$E$129*(②시니어_가정!$E$133*SUMIF(②시니어_가정!$L$124:$L$128,BO6,②시니어_가정!$K$124:$K$128)+IF(BO15=13,②시니어_가정!$E$134-②시니어_가정!$E$133,0)+IF(BO15=25,②시니어_가정!$E$135-②시니어_가정!$E$134,0))</f>
        <v>0</v>
      </c>
      <c r="BP79" s="37" t="n">
        <f aca="false">②시니어_가정!$E$38*②시니어_가정!$E$129*(②시니어_가정!$E$133*SUMIF(②시니어_가정!$L$124:$L$128,BP6,②시니어_가정!$K$124:$K$128)+IF(BP15=13,②시니어_가정!$E$134-②시니어_가정!$E$133,0)+IF(BP15=25,②시니어_가정!$E$135-②시니어_가정!$E$134,0))</f>
        <v>0</v>
      </c>
      <c r="BQ79" s="37" t="n">
        <f aca="false">②시니어_가정!$E$38*②시니어_가정!$E$129*(②시니어_가정!$E$133*SUMIF(②시니어_가정!$L$124:$L$128,BQ6,②시니어_가정!$K$124:$K$128)+IF(BQ15=13,②시니어_가정!$E$134-②시니어_가정!$E$133,0)+IF(BQ15=25,②시니어_가정!$E$135-②시니어_가정!$E$134,0))</f>
        <v>0</v>
      </c>
      <c r="BR79" s="37" t="n">
        <f aca="false">②시니어_가정!$E$38*②시니어_가정!$E$129*(②시니어_가정!$E$133*SUMIF(②시니어_가정!$L$124:$L$128,BR6,②시니어_가정!$K$124:$K$128)+IF(BR15=13,②시니어_가정!$E$134-②시니어_가정!$E$133,0)+IF(BR15=25,②시니어_가정!$E$135-②시니어_가정!$E$134,0))</f>
        <v>0</v>
      </c>
      <c r="BS79" s="37" t="n">
        <f aca="false">②시니어_가정!$E$38*②시니어_가정!$E$129*(②시니어_가정!$E$133*SUMIF(②시니어_가정!$L$124:$L$128,BS6,②시니어_가정!$K$124:$K$128)+IF(BS15=13,②시니어_가정!$E$134-②시니어_가정!$E$133,0)+IF(BS15=25,②시니어_가정!$E$135-②시니어_가정!$E$134,0))</f>
        <v>0</v>
      </c>
      <c r="BT79" s="37" t="n">
        <f aca="false">②시니어_가정!$E$38*②시니어_가정!$E$129*(②시니어_가정!$E$133*SUMIF(②시니어_가정!$L$124:$L$128,BT6,②시니어_가정!$K$124:$K$128)+IF(BT15=13,②시니어_가정!$E$134-②시니어_가정!$E$133,0)+IF(BT15=25,②시니어_가정!$E$135-②시니어_가정!$E$134,0))</f>
        <v>0</v>
      </c>
      <c r="BU79" s="37" t="n">
        <f aca="false">②시니어_가정!$E$38*②시니어_가정!$E$129*(②시니어_가정!$E$133*SUMIF(②시니어_가정!$L$124:$L$128,BU6,②시니어_가정!$K$124:$K$128)+IF(BU15=13,②시니어_가정!$E$134-②시니어_가정!$E$133,0)+IF(BU15=25,②시니어_가정!$E$135-②시니어_가정!$E$134,0))</f>
        <v>0</v>
      </c>
      <c r="BV79" s="37" t="n">
        <f aca="false">②시니어_가정!$E$38*②시니어_가정!$E$129*(②시니어_가정!$E$133*SUMIF(②시니어_가정!$L$124:$L$128,BV6,②시니어_가정!$K$124:$K$128)+IF(BV15=13,②시니어_가정!$E$134-②시니어_가정!$E$133,0)+IF(BV15=25,②시니어_가정!$E$135-②시니어_가정!$E$134,0))</f>
        <v>0</v>
      </c>
      <c r="BW79" s="37" t="n">
        <f aca="false">②시니어_가정!$E$38*②시니어_가정!$E$129*(②시니어_가정!$E$133*SUMIF(②시니어_가정!$L$124:$L$128,BW6,②시니어_가정!$K$124:$K$128)+IF(BW15=13,②시니어_가정!$E$134-②시니어_가정!$E$133,0)+IF(BW15=25,②시니어_가정!$E$135-②시니어_가정!$E$134,0))</f>
        <v>0</v>
      </c>
      <c r="BX79" s="37" t="n">
        <f aca="false">②시니어_가정!$E$38*②시니어_가정!$E$129*(②시니어_가정!$E$133*SUMIF(②시니어_가정!$L$124:$L$128,BX6,②시니어_가정!$K$124:$K$128)+IF(BX15=13,②시니어_가정!$E$134-②시니어_가정!$E$133,0)+IF(BX15=25,②시니어_가정!$E$135-②시니어_가정!$E$134,0))</f>
        <v>0</v>
      </c>
      <c r="BY79" s="37" t="n">
        <f aca="false">②시니어_가정!$E$38*②시니어_가정!$E$129*(②시니어_가정!$E$133*SUMIF(②시니어_가정!$L$124:$L$128,BY6,②시니어_가정!$K$124:$K$128)+IF(BY15=13,②시니어_가정!$E$134-②시니어_가정!$E$133,0)+IF(BY15=25,②시니어_가정!$E$135-②시니어_가정!$E$134,0))</f>
        <v>0</v>
      </c>
      <c r="BZ79" s="37" t="n">
        <f aca="false">②시니어_가정!$E$38*②시니어_가정!$E$129*(②시니어_가정!$E$133*SUMIF(②시니어_가정!$L$124:$L$128,BZ6,②시니어_가정!$K$124:$K$128)+IF(BZ15=13,②시니어_가정!$E$134-②시니어_가정!$E$133,0)+IF(BZ15=25,②시니어_가정!$E$135-②시니어_가정!$E$134,0))</f>
        <v>0</v>
      </c>
      <c r="CA79" s="37" t="n">
        <f aca="false">②시니어_가정!$E$38*②시니어_가정!$E$129*(②시니어_가정!$E$133*SUMIF(②시니어_가정!$L$124:$L$128,CA6,②시니어_가정!$K$124:$K$128)+IF(CA15=13,②시니어_가정!$E$134-②시니어_가정!$E$133,0)+IF(CA15=25,②시니어_가정!$E$135-②시니어_가정!$E$134,0))</f>
        <v>0</v>
      </c>
      <c r="CB79" s="37" t="n">
        <f aca="false">②시니어_가정!$E$38*②시니어_가정!$E$129*(②시니어_가정!$E$133*SUMIF(②시니어_가정!$L$124:$L$128,CB6,②시니어_가정!$K$124:$K$128)+IF(CB15=13,②시니어_가정!$E$134-②시니어_가정!$E$133,0)+IF(CB15=25,②시니어_가정!$E$135-②시니어_가정!$E$134,0))</f>
        <v>0</v>
      </c>
      <c r="CC79" s="37" t="n">
        <f aca="false">②시니어_가정!$E$38*②시니어_가정!$E$129*(②시니어_가정!$E$133*SUMIF(②시니어_가정!$L$124:$L$128,CC6,②시니어_가정!$K$124:$K$128)+IF(CC15=13,②시니어_가정!$E$134-②시니어_가정!$E$133,0)+IF(CC15=25,②시니어_가정!$E$135-②시니어_가정!$E$134,0))</f>
        <v>0</v>
      </c>
      <c r="CD79" s="37" t="n">
        <f aca="false">②시니어_가정!$E$38*②시니어_가정!$E$129*(②시니어_가정!$E$133*SUMIF(②시니어_가정!$L$124:$L$128,CD6,②시니어_가정!$K$124:$K$128)+IF(CD15=13,②시니어_가정!$E$134-②시니어_가정!$E$133,0)+IF(CD15=25,②시니어_가정!$E$135-②시니어_가정!$E$134,0))</f>
        <v>0</v>
      </c>
      <c r="CE79" s="37" t="n">
        <f aca="false">②시니어_가정!$E$38*②시니어_가정!$E$129*(②시니어_가정!$E$133*SUMIF(②시니어_가정!$L$124:$L$128,CE6,②시니어_가정!$K$124:$K$128)+IF(CE15=13,②시니어_가정!$E$134-②시니어_가정!$E$133,0)+IF(CE15=25,②시니어_가정!$E$135-②시니어_가정!$E$134,0))</f>
        <v>0</v>
      </c>
      <c r="CF79" s="37" t="n">
        <f aca="false">②시니어_가정!$E$38*②시니어_가정!$E$129*(②시니어_가정!$E$133*SUMIF(②시니어_가정!$L$124:$L$128,CF6,②시니어_가정!$K$124:$K$128)+IF(CF15=13,②시니어_가정!$E$134-②시니어_가정!$E$133,0)+IF(CF15=25,②시니어_가정!$E$135-②시니어_가정!$E$134,0))</f>
        <v>0</v>
      </c>
      <c r="CG79" s="37" t="n">
        <f aca="false">②시니어_가정!$E$38*②시니어_가정!$E$129*(②시니어_가정!$E$133*SUMIF(②시니어_가정!$L$124:$L$128,CG6,②시니어_가정!$K$124:$K$128)+IF(CG15=13,②시니어_가정!$E$134-②시니어_가정!$E$133,0)+IF(CG15=25,②시니어_가정!$E$135-②시니어_가정!$E$134,0))</f>
        <v>0</v>
      </c>
      <c r="CH79" s="37" t="n">
        <f aca="false">②시니어_가정!$E$38*②시니어_가정!$E$129*(②시니어_가정!$E$133*SUMIF(②시니어_가정!$L$124:$L$128,CH6,②시니어_가정!$K$124:$K$128)+IF(CH15=13,②시니어_가정!$E$134-②시니어_가정!$E$133,0)+IF(CH15=25,②시니어_가정!$E$135-②시니어_가정!$E$134,0))</f>
        <v>0</v>
      </c>
      <c r="CI79" s="37" t="n">
        <f aca="false">②시니어_가정!$E$38*②시니어_가정!$E$129*(②시니어_가정!$E$133*SUMIF(②시니어_가정!$L$124:$L$128,CI6,②시니어_가정!$K$124:$K$128)+IF(CI15=13,②시니어_가정!$E$134-②시니어_가정!$E$133,0)+IF(CI15=25,②시니어_가정!$E$135-②시니어_가정!$E$134,0))</f>
        <v>0</v>
      </c>
      <c r="CJ79" s="37" t="n">
        <f aca="false">②시니어_가정!$E$38*②시니어_가정!$E$129*(②시니어_가정!$E$133*SUMIF(②시니어_가정!$L$124:$L$128,CJ6,②시니어_가정!$K$124:$K$128)+IF(CJ15=13,②시니어_가정!$E$134-②시니어_가정!$E$133,0)+IF(CJ15=25,②시니어_가정!$E$135-②시니어_가정!$E$134,0))</f>
        <v>0</v>
      </c>
      <c r="CK79" s="37" t="n">
        <f aca="false">②시니어_가정!$E$38*②시니어_가정!$E$129*(②시니어_가정!$E$133*SUMIF(②시니어_가정!$L$124:$L$128,CK6,②시니어_가정!$K$124:$K$128)+IF(CK15=13,②시니어_가정!$E$134-②시니어_가정!$E$133,0)+IF(CK15=25,②시니어_가정!$E$135-②시니어_가정!$E$134,0))</f>
        <v>0</v>
      </c>
      <c r="CL79" s="37" t="n">
        <f aca="false">②시니어_가정!$E$38*②시니어_가정!$E$129*(②시니어_가정!$E$133*SUMIF(②시니어_가정!$L$124:$L$128,CL6,②시니어_가정!$K$124:$K$128)+IF(CL15=13,②시니어_가정!$E$134-②시니어_가정!$E$133,0)+IF(CL15=25,②시니어_가정!$E$135-②시니어_가정!$E$134,0))</f>
        <v>0</v>
      </c>
      <c r="CM79" s="37" t="n">
        <f aca="false">②시니어_가정!$E$38*②시니어_가정!$E$129*(②시니어_가정!$E$133*SUMIF(②시니어_가정!$L$124:$L$128,CM6,②시니어_가정!$K$124:$K$128)+IF(CM15=13,②시니어_가정!$E$134-②시니어_가정!$E$133,0)+IF(CM15=25,②시니어_가정!$E$135-②시니어_가정!$E$134,0))</f>
        <v>0</v>
      </c>
      <c r="CN79" s="37" t="n">
        <f aca="false">②시니어_가정!$E$38*②시니어_가정!$E$129*(②시니어_가정!$E$133*SUMIF(②시니어_가정!$L$124:$L$128,CN6,②시니어_가정!$K$124:$K$128)+IF(CN15=13,②시니어_가정!$E$134-②시니어_가정!$E$133,0)+IF(CN15=25,②시니어_가정!$E$135-②시니어_가정!$E$134,0))</f>
        <v>0</v>
      </c>
      <c r="CO79" s="37" t="n">
        <f aca="false">②시니어_가정!$E$38*②시니어_가정!$E$129*(②시니어_가정!$E$133*SUMIF(②시니어_가정!$L$124:$L$128,CO6,②시니어_가정!$K$124:$K$128)+IF(CO15=13,②시니어_가정!$E$134-②시니어_가정!$E$133,0)+IF(CO15=25,②시니어_가정!$E$135-②시니어_가정!$E$134,0))</f>
        <v>0</v>
      </c>
      <c r="CP79" s="37" t="n">
        <f aca="false">②시니어_가정!$E$38*②시니어_가정!$E$129*(②시니어_가정!$E$133*SUMIF(②시니어_가정!$L$124:$L$128,CP6,②시니어_가정!$K$124:$K$128)+IF(CP15=13,②시니어_가정!$E$134-②시니어_가정!$E$133,0)+IF(CP15=25,②시니어_가정!$E$135-②시니어_가정!$E$134,0))</f>
        <v>0</v>
      </c>
      <c r="CQ79" s="37" t="n">
        <f aca="false">②시니어_가정!$E$38*②시니어_가정!$E$129*(②시니어_가정!$E$133*SUMIF(②시니어_가정!$L$124:$L$128,CQ6,②시니어_가정!$K$124:$K$128)+IF(CQ15=13,②시니어_가정!$E$134-②시니어_가정!$E$133,0)+IF(CQ15=25,②시니어_가정!$E$135-②시니어_가정!$E$134,0))</f>
        <v>0</v>
      </c>
      <c r="CR79" s="37" t="n">
        <f aca="false">②시니어_가정!$E$38*②시니어_가정!$E$129*(②시니어_가정!$E$133*SUMIF(②시니어_가정!$L$124:$L$128,CR6,②시니어_가정!$K$124:$K$128)+IF(CR15=13,②시니어_가정!$E$134-②시니어_가정!$E$133,0)+IF(CR15=25,②시니어_가정!$E$135-②시니어_가정!$E$134,0))</f>
        <v>0</v>
      </c>
      <c r="CS79" s="37" t="n">
        <f aca="false">②시니어_가정!$E$38*②시니어_가정!$E$129*(②시니어_가정!$E$133*SUMIF(②시니어_가정!$L$124:$L$128,CS6,②시니어_가정!$K$124:$K$128)+IF(CS15=13,②시니어_가정!$E$134-②시니어_가정!$E$133,0)+IF(CS15=25,②시니어_가정!$E$135-②시니어_가정!$E$134,0))</f>
        <v>0</v>
      </c>
      <c r="CT79" s="37" t="n">
        <f aca="false">②시니어_가정!$E$38*②시니어_가정!$E$129*(②시니어_가정!$E$133*SUMIF(②시니어_가정!$L$124:$L$128,CT6,②시니어_가정!$K$124:$K$128)+IF(CT15=13,②시니어_가정!$E$134-②시니어_가정!$E$133,0)+IF(CT15=25,②시니어_가정!$E$135-②시니어_가정!$E$134,0))</f>
        <v>0</v>
      </c>
      <c r="CU79" s="37" t="n">
        <f aca="false">②시니어_가정!$E$38*②시니어_가정!$E$129*(②시니어_가정!$E$133*SUMIF(②시니어_가정!$L$124:$L$128,CU6,②시니어_가정!$K$124:$K$128)+IF(CU15=13,②시니어_가정!$E$134-②시니어_가정!$E$133,0)+IF(CU15=25,②시니어_가정!$E$135-②시니어_가정!$E$134,0))</f>
        <v>0</v>
      </c>
      <c r="CV79" s="37" t="n">
        <f aca="false">②시니어_가정!$E$38*②시니어_가정!$E$129*(②시니어_가정!$E$133*SUMIF(②시니어_가정!$L$124:$L$128,CV6,②시니어_가정!$K$124:$K$128)+IF(CV15=13,②시니어_가정!$E$134-②시니어_가정!$E$133,0)+IF(CV15=25,②시니어_가정!$E$135-②시니어_가정!$E$134,0))</f>
        <v>0</v>
      </c>
      <c r="CW79" s="37" t="n">
        <f aca="false">②시니어_가정!$E$38*②시니어_가정!$E$129*(②시니어_가정!$E$133*SUMIF(②시니어_가정!$L$124:$L$128,CW6,②시니어_가정!$K$124:$K$128)+IF(CW15=13,②시니어_가정!$E$134-②시니어_가정!$E$133,0)+IF(CW15=25,②시니어_가정!$E$135-②시니어_가정!$E$134,0))</f>
        <v>0</v>
      </c>
      <c r="CX79" s="37" t="n">
        <f aca="false">②시니어_가정!$E$38*②시니어_가정!$E$129*(②시니어_가정!$E$133*SUMIF(②시니어_가정!$L$124:$L$128,CX6,②시니어_가정!$K$124:$K$128)+IF(CX15=13,②시니어_가정!$E$134-②시니어_가정!$E$133,0)+IF(CX15=25,②시니어_가정!$E$135-②시니어_가정!$E$134,0))</f>
        <v>0</v>
      </c>
      <c r="CY79" s="37" t="n">
        <f aca="false">②시니어_가정!$E$38*②시니어_가정!$E$129*(②시니어_가정!$E$133*SUMIF(②시니어_가정!$L$124:$L$128,CY6,②시니어_가정!$K$124:$K$128)+IF(CY15=13,②시니어_가정!$E$134-②시니어_가정!$E$133,0)+IF(CY15=25,②시니어_가정!$E$135-②시니어_가정!$E$134,0))</f>
        <v>0</v>
      </c>
      <c r="CZ79" s="37" t="n">
        <f aca="false">②시니어_가정!$E$38*②시니어_가정!$E$129*(②시니어_가정!$E$133*SUMIF(②시니어_가정!$L$124:$L$128,CZ6,②시니어_가정!$K$124:$K$128)+IF(CZ15=13,②시니어_가정!$E$134-②시니어_가정!$E$133,0)+IF(CZ15=25,②시니어_가정!$E$135-②시니어_가정!$E$134,0))</f>
        <v>0</v>
      </c>
      <c r="DA79" s="37" t="n">
        <f aca="false">②시니어_가정!$E$38*②시니어_가정!$E$129*(②시니어_가정!$E$133*SUMIF(②시니어_가정!$L$124:$L$128,DA6,②시니어_가정!$K$124:$K$128)+IF(DA15=13,②시니어_가정!$E$134-②시니어_가정!$E$133,0)+IF(DA15=25,②시니어_가정!$E$135-②시니어_가정!$E$134,0))</f>
        <v>0</v>
      </c>
      <c r="DB79" s="37" t="n">
        <f aca="false">②시니어_가정!$E$38*②시니어_가정!$E$129*(②시니어_가정!$E$133*SUMIF(②시니어_가정!$L$124:$L$128,DB6,②시니어_가정!$K$124:$K$128)+IF(DB15=13,②시니어_가정!$E$134-②시니어_가정!$E$133,0)+IF(DB15=25,②시니어_가정!$E$135-②시니어_가정!$E$134,0))</f>
        <v>0</v>
      </c>
      <c r="DC79" s="37" t="n">
        <f aca="false">②시니어_가정!$E$38*②시니어_가정!$E$129*(②시니어_가정!$E$133*SUMIF(②시니어_가정!$L$124:$L$128,DC6,②시니어_가정!$K$124:$K$128)+IF(DC15=13,②시니어_가정!$E$134-②시니어_가정!$E$133,0)+IF(DC15=25,②시니어_가정!$E$135-②시니어_가정!$E$134,0))</f>
        <v>0</v>
      </c>
      <c r="DD79" s="37" t="n">
        <f aca="false">②시니어_가정!$E$38*②시니어_가정!$E$129*(②시니어_가정!$E$133*SUMIF(②시니어_가정!$L$124:$L$128,DD6,②시니어_가정!$K$124:$K$128)+IF(DD15=13,②시니어_가정!$E$134-②시니어_가정!$E$133,0)+IF(DD15=25,②시니어_가정!$E$135-②시니어_가정!$E$134,0))</f>
        <v>0</v>
      </c>
      <c r="DE79" s="37" t="n">
        <f aca="false">②시니어_가정!$E$38*②시니어_가정!$E$129*(②시니어_가정!$E$133*SUMIF(②시니어_가정!$L$124:$L$128,DE6,②시니어_가정!$K$124:$K$128)+IF(DE15=13,②시니어_가정!$E$134-②시니어_가정!$E$133,0)+IF(DE15=25,②시니어_가정!$E$135-②시니어_가정!$E$134,0))</f>
        <v>0</v>
      </c>
      <c r="DF79" s="37" t="n">
        <f aca="false">②시니어_가정!$E$38*②시니어_가정!$E$129*(②시니어_가정!$E$133*SUMIF(②시니어_가정!$L$124:$L$128,DF6,②시니어_가정!$K$124:$K$128)+IF(DF15=13,②시니어_가정!$E$134-②시니어_가정!$E$133,0)+IF(DF15=25,②시니어_가정!$E$135-②시니어_가정!$E$134,0))</f>
        <v>0</v>
      </c>
      <c r="DG79" s="37" t="n">
        <f aca="false">②시니어_가정!$E$38*②시니어_가정!$E$129*(②시니어_가정!$E$133*SUMIF(②시니어_가정!$L$124:$L$128,DG6,②시니어_가정!$K$124:$K$128)+IF(DG15=13,②시니어_가정!$E$134-②시니어_가정!$E$133,0)+IF(DG15=25,②시니어_가정!$E$135-②시니어_가정!$E$134,0))</f>
        <v>0</v>
      </c>
      <c r="DH79" s="37" t="n">
        <f aca="false">②시니어_가정!$E$38*②시니어_가정!$E$129*(②시니어_가정!$E$133*SUMIF(②시니어_가정!$L$124:$L$128,DH6,②시니어_가정!$K$124:$K$128)+IF(DH15=13,②시니어_가정!$E$134-②시니어_가정!$E$133,0)+IF(DH15=25,②시니어_가정!$E$135-②시니어_가정!$E$134,0))</f>
        <v>0</v>
      </c>
      <c r="DI79" s="37" t="n">
        <f aca="false">②시니어_가정!$E$38*②시니어_가정!$E$129*(②시니어_가정!$E$133*SUMIF(②시니어_가정!$L$124:$L$128,DI6,②시니어_가정!$K$124:$K$128)+IF(DI15=13,②시니어_가정!$E$134-②시니어_가정!$E$133,0)+IF(DI15=25,②시니어_가정!$E$135-②시니어_가정!$E$134,0))</f>
        <v>0</v>
      </c>
      <c r="DJ79" s="37" t="n">
        <f aca="false">②시니어_가정!$E$38*②시니어_가정!$E$129*(②시니어_가정!$E$133*SUMIF(②시니어_가정!$L$124:$L$128,DJ6,②시니어_가정!$K$124:$K$128)+IF(DJ15=13,②시니어_가정!$E$134-②시니어_가정!$E$133,0)+IF(DJ15=25,②시니어_가정!$E$135-②시니어_가정!$E$134,0))</f>
        <v>0</v>
      </c>
      <c r="DK79" s="37" t="n">
        <f aca="false">②시니어_가정!$E$38*②시니어_가정!$E$129*(②시니어_가정!$E$133*SUMIF(②시니어_가정!$L$124:$L$128,DK6,②시니어_가정!$K$124:$K$128)+IF(DK15=13,②시니어_가정!$E$134-②시니어_가정!$E$133,0)+IF(DK15=25,②시니어_가정!$E$135-②시니어_가정!$E$134,0))</f>
        <v>0</v>
      </c>
      <c r="DL79" s="37" t="n">
        <f aca="false">②시니어_가정!$E$38*②시니어_가정!$E$129*(②시니어_가정!$E$133*SUMIF(②시니어_가정!$L$124:$L$128,DL6,②시니어_가정!$K$124:$K$128)+IF(DL15=13,②시니어_가정!$E$134-②시니어_가정!$E$133,0)+IF(DL15=25,②시니어_가정!$E$135-②시니어_가정!$E$134,0))</f>
        <v>0</v>
      </c>
      <c r="DM79" s="37" t="n">
        <f aca="false">②시니어_가정!$E$38*②시니어_가정!$E$129*(②시니어_가정!$E$133*SUMIF(②시니어_가정!$L$124:$L$128,DM6,②시니어_가정!$K$124:$K$128)+IF(DM15=13,②시니어_가정!$E$134-②시니어_가정!$E$133,0)+IF(DM15=25,②시니어_가정!$E$135-②시니어_가정!$E$134,0))</f>
        <v>0</v>
      </c>
      <c r="DN79" s="37" t="n">
        <f aca="false">②시니어_가정!$E$38*②시니어_가정!$E$129*(②시니어_가정!$E$133*SUMIF(②시니어_가정!$L$124:$L$128,DN6,②시니어_가정!$K$124:$K$128)+IF(DN15=13,②시니어_가정!$E$134-②시니어_가정!$E$133,0)+IF(DN15=25,②시니어_가정!$E$135-②시니어_가정!$E$134,0))</f>
        <v>0</v>
      </c>
      <c r="DO79" s="37" t="n">
        <f aca="false">②시니어_가정!$E$38*②시니어_가정!$E$129*(②시니어_가정!$E$133*SUMIF(②시니어_가정!$L$124:$L$128,DO6,②시니어_가정!$K$124:$K$128)+IF(DO15=13,②시니어_가정!$E$134-②시니어_가정!$E$133,0)+IF(DO15=25,②시니어_가정!$E$135-②시니어_가정!$E$134,0))</f>
        <v>0</v>
      </c>
      <c r="DP79" s="37" t="n">
        <f aca="false">②시니어_가정!$E$38*②시니어_가정!$E$129*(②시니어_가정!$E$133*SUMIF(②시니어_가정!$L$124:$L$128,DP6,②시니어_가정!$K$124:$K$128)+IF(DP15=13,②시니어_가정!$E$134-②시니어_가정!$E$133,0)+IF(DP15=25,②시니어_가정!$E$135-②시니어_가정!$E$134,0))</f>
        <v>0</v>
      </c>
      <c r="DQ79" s="37" t="n">
        <f aca="false">②시니어_가정!$E$38*②시니어_가정!$E$129*(②시니어_가정!$E$133*SUMIF(②시니어_가정!$L$124:$L$128,DQ6,②시니어_가정!$K$124:$K$128)+IF(DQ15=13,②시니어_가정!$E$134-②시니어_가정!$E$133,0)+IF(DQ15=25,②시니어_가정!$E$135-②시니어_가정!$E$134,0))</f>
        <v>0</v>
      </c>
      <c r="DR79" s="37" t="n">
        <f aca="false">②시니어_가정!$E$38*②시니어_가정!$E$129*(②시니어_가정!$E$133*SUMIF(②시니어_가정!$L$124:$L$128,DR6,②시니어_가정!$K$124:$K$128)+IF(DR15=13,②시니어_가정!$E$134-②시니어_가정!$E$133,0)+IF(DR15=25,②시니어_가정!$E$135-②시니어_가정!$E$134,0))</f>
        <v>0</v>
      </c>
      <c r="DS79" s="37" t="n">
        <f aca="false">②시니어_가정!$E$38*②시니어_가정!$E$129*(②시니어_가정!$E$133*SUMIF(②시니어_가정!$L$124:$L$128,DS6,②시니어_가정!$K$124:$K$128)+IF(DS15=13,②시니어_가정!$E$134-②시니어_가정!$E$133,0)+IF(DS15=25,②시니어_가정!$E$135-②시니어_가정!$E$134,0))</f>
        <v>0</v>
      </c>
      <c r="DT79" s="37" t="n">
        <f aca="false">②시니어_가정!$E$38*②시니어_가정!$E$129*(②시니어_가정!$E$133*SUMIF(②시니어_가정!$L$124:$L$128,DT6,②시니어_가정!$K$124:$K$128)+IF(DT15=13,②시니어_가정!$E$134-②시니어_가정!$E$133,0)+IF(DT15=25,②시니어_가정!$E$135-②시니어_가정!$E$134,0))</f>
        <v>0</v>
      </c>
      <c r="DU79" s="37" t="n">
        <f aca="false">②시니어_가정!$E$38*②시니어_가정!$E$129*(②시니어_가정!$E$133*SUMIF(②시니어_가정!$L$124:$L$128,DU6,②시니어_가정!$K$124:$K$128)+IF(DU15=13,②시니어_가정!$E$134-②시니어_가정!$E$133,0)+IF(DU15=25,②시니어_가정!$E$135-②시니어_가정!$E$134,0))</f>
        <v>0</v>
      </c>
      <c r="DV79" s="37" t="n">
        <f aca="false">②시니어_가정!$E$38*②시니어_가정!$E$129*(②시니어_가정!$E$133*SUMIF(②시니어_가정!$L$124:$L$128,DV6,②시니어_가정!$K$124:$K$128)+IF(DV15=13,②시니어_가정!$E$134-②시니어_가정!$E$133,0)+IF(DV15=25,②시니어_가정!$E$135-②시니어_가정!$E$134,0))</f>
        <v>0</v>
      </c>
      <c r="DW79" s="37" t="n">
        <f aca="false">②시니어_가정!$E$38*②시니어_가정!$E$129*(②시니어_가정!$E$133*SUMIF(②시니어_가정!$L$124:$L$128,DW6,②시니어_가정!$K$124:$K$128)+IF(DW15=13,②시니어_가정!$E$134-②시니어_가정!$E$133,0)+IF(DW15=25,②시니어_가정!$E$135-②시니어_가정!$E$134,0))</f>
        <v>0</v>
      </c>
      <c r="DX79" s="37" t="n">
        <f aca="false">②시니어_가정!$E$38*②시니어_가정!$E$129*(②시니어_가정!$E$133*SUMIF(②시니어_가정!$L$124:$L$128,DX6,②시니어_가정!$K$124:$K$128)+IF(DX15=13,②시니어_가정!$E$134-②시니어_가정!$E$133,0)+IF(DX15=25,②시니어_가정!$E$135-②시니어_가정!$E$134,0))</f>
        <v>0</v>
      </c>
      <c r="DY79" s="37" t="n">
        <f aca="false">②시니어_가정!$E$38*②시니어_가정!$E$129*(②시니어_가정!$E$133*SUMIF(②시니어_가정!$L$124:$L$128,DY6,②시니어_가정!$K$124:$K$128)+IF(DY15=13,②시니어_가정!$E$134-②시니어_가정!$E$133,0)+IF(DY15=25,②시니어_가정!$E$135-②시니어_가정!$E$134,0))</f>
        <v>0</v>
      </c>
      <c r="DZ79" s="37" t="n">
        <f aca="false">②시니어_가정!$E$38*②시니어_가정!$E$129*(②시니어_가정!$E$133*SUMIF(②시니어_가정!$L$124:$L$128,DZ6,②시니어_가정!$K$124:$K$128)+IF(DZ15=13,②시니어_가정!$E$134-②시니어_가정!$E$133,0)+IF(DZ15=25,②시니어_가정!$E$135-②시니어_가정!$E$134,0))</f>
        <v>0</v>
      </c>
      <c r="EA79" s="37" t="n">
        <f aca="false">②시니어_가정!$E$38*②시니어_가정!$E$129*(②시니어_가정!$E$133*SUMIF(②시니어_가정!$L$124:$L$128,EA6,②시니어_가정!$K$124:$K$128)+IF(EA15=13,②시니어_가정!$E$134-②시니어_가정!$E$133,0)+IF(EA15=25,②시니어_가정!$E$135-②시니어_가정!$E$134,0))</f>
        <v>0</v>
      </c>
      <c r="EB79" s="37" t="n">
        <f aca="false">②시니어_가정!$E$38*②시니어_가정!$E$129*(②시니어_가정!$E$133*SUMIF(②시니어_가정!$L$124:$L$128,EB6,②시니어_가정!$K$124:$K$128)+IF(EB15=13,②시니어_가정!$E$134-②시니어_가정!$E$133,0)+IF(EB15=25,②시니어_가정!$E$135-②시니어_가정!$E$134,0))</f>
        <v>0</v>
      </c>
      <c r="EC79" s="37" t="n">
        <f aca="false">②시니어_가정!$E$38*②시니어_가정!$E$129*(②시니어_가정!$E$133*SUMIF(②시니어_가정!$L$124:$L$128,EC6,②시니어_가정!$K$124:$K$128)+IF(EC15=13,②시니어_가정!$E$134-②시니어_가정!$E$133,0)+IF(EC15=25,②시니어_가정!$E$135-②시니어_가정!$E$134,0))</f>
        <v>0</v>
      </c>
      <c r="ED79" s="37" t="n">
        <f aca="false">②시니어_가정!$E$38*②시니어_가정!$E$129*(②시니어_가정!$E$133*SUMIF(②시니어_가정!$L$124:$L$128,ED6,②시니어_가정!$K$124:$K$128)+IF(ED15=13,②시니어_가정!$E$134-②시니어_가정!$E$133,0)+IF(ED15=25,②시니어_가정!$E$135-②시니어_가정!$E$134,0))</f>
        <v>0</v>
      </c>
      <c r="EE79" s="37" t="n">
        <f aca="false">②시니어_가정!$E$38*②시니어_가정!$E$129*(②시니어_가정!$E$133*SUMIF(②시니어_가정!$L$124:$L$128,EE6,②시니어_가정!$K$124:$K$128)+IF(EE15=13,②시니어_가정!$E$134-②시니어_가정!$E$133,0)+IF(EE15=25,②시니어_가정!$E$135-②시니어_가정!$E$134,0))</f>
        <v>0</v>
      </c>
      <c r="EF79" s="37" t="n">
        <f aca="false">②시니어_가정!$E$38*②시니어_가정!$E$129*(②시니어_가정!$E$133*SUMIF(②시니어_가정!$L$124:$L$128,EF6,②시니어_가정!$K$124:$K$128)+IF(EF15=13,②시니어_가정!$E$134-②시니어_가정!$E$133,0)+IF(EF15=25,②시니어_가정!$E$135-②시니어_가정!$E$134,0))</f>
        <v>0</v>
      </c>
    </row>
    <row r="80" customFormat="false" ht="15" hidden="false" customHeight="false" outlineLevel="0" collapsed="false">
      <c r="A80" s="36" t="s">
        <v>622</v>
      </c>
      <c r="B80" s="278" t="s">
        <v>21</v>
      </c>
      <c r="C80" s="279" t="n">
        <f aca="false">SUM(E80:EF80)</f>
        <v>0</v>
      </c>
      <c r="E80" s="37" t="n">
        <f aca="false">②시니어_가정!$F$38*②시니어_가정!$E$151*(IF(E15=1,②시니어_가정!$E$156,0)+IF(E15=13,②시니어_가정!$E$157-②시니어_가정!$E$156,0)+IF(E15=25,②시니어_가정!$E$158-②시니어_가정!$E$157,0))</f>
        <v>0</v>
      </c>
      <c r="F80" s="37" t="n">
        <f aca="false">②시니어_가정!$F$38*②시니어_가정!$E$151*(IF(F15=1,②시니어_가정!$E$156,0)+IF(F15=13,②시니어_가정!$E$157-②시니어_가정!$E$156,0)+IF(F15=25,②시니어_가정!$E$158-②시니어_가정!$E$157,0))</f>
        <v>0</v>
      </c>
      <c r="G80" s="37" t="n">
        <f aca="false">②시니어_가정!$F$38*②시니어_가정!$E$151*(IF(G15=1,②시니어_가정!$E$156,0)+IF(G15=13,②시니어_가정!$E$157-②시니어_가정!$E$156,0)+IF(G15=25,②시니어_가정!$E$158-②시니어_가정!$E$157,0))</f>
        <v>0</v>
      </c>
      <c r="H80" s="37" t="n">
        <f aca="false">②시니어_가정!$F$38*②시니어_가정!$E$151*(IF(H15=1,②시니어_가정!$E$156,0)+IF(H15=13,②시니어_가정!$E$157-②시니어_가정!$E$156,0)+IF(H15=25,②시니어_가정!$E$158-②시니어_가정!$E$157,0))</f>
        <v>0</v>
      </c>
      <c r="I80" s="37" t="n">
        <f aca="false">②시니어_가정!$F$38*②시니어_가정!$E$151*(IF(I15=1,②시니어_가정!$E$156,0)+IF(I15=13,②시니어_가정!$E$157-②시니어_가정!$E$156,0)+IF(I15=25,②시니어_가정!$E$158-②시니어_가정!$E$157,0))</f>
        <v>0</v>
      </c>
      <c r="J80" s="37" t="n">
        <f aca="false">②시니어_가정!$F$38*②시니어_가정!$E$151*(IF(J15=1,②시니어_가정!$E$156,0)+IF(J15=13,②시니어_가정!$E$157-②시니어_가정!$E$156,0)+IF(J15=25,②시니어_가정!$E$158-②시니어_가정!$E$157,0))</f>
        <v>0</v>
      </c>
      <c r="K80" s="37" t="n">
        <f aca="false">②시니어_가정!$F$38*②시니어_가정!$E$151*(IF(K15=1,②시니어_가정!$E$156,0)+IF(K15=13,②시니어_가정!$E$157-②시니어_가정!$E$156,0)+IF(K15=25,②시니어_가정!$E$158-②시니어_가정!$E$157,0))</f>
        <v>0</v>
      </c>
      <c r="L80" s="37" t="n">
        <f aca="false">②시니어_가정!$F$38*②시니어_가정!$E$151*(IF(L15=1,②시니어_가정!$E$156,0)+IF(L15=13,②시니어_가정!$E$157-②시니어_가정!$E$156,0)+IF(L15=25,②시니어_가정!$E$158-②시니어_가정!$E$157,0))</f>
        <v>0</v>
      </c>
      <c r="M80" s="37" t="n">
        <f aca="false">②시니어_가정!$F$38*②시니어_가정!$E$151*(IF(M15=1,②시니어_가정!$E$156,0)+IF(M15=13,②시니어_가정!$E$157-②시니어_가정!$E$156,0)+IF(M15=25,②시니어_가정!$E$158-②시니어_가정!$E$157,0))</f>
        <v>0</v>
      </c>
      <c r="N80" s="37" t="n">
        <f aca="false">②시니어_가정!$F$38*②시니어_가정!$E$151*(IF(N15=1,②시니어_가정!$E$156,0)+IF(N15=13,②시니어_가정!$E$157-②시니어_가정!$E$156,0)+IF(N15=25,②시니어_가정!$E$158-②시니어_가정!$E$157,0))</f>
        <v>0</v>
      </c>
      <c r="O80" s="37" t="n">
        <f aca="false">②시니어_가정!$F$38*②시니어_가정!$E$151*(IF(O15=1,②시니어_가정!$E$156,0)+IF(O15=13,②시니어_가정!$E$157-②시니어_가정!$E$156,0)+IF(O15=25,②시니어_가정!$E$158-②시니어_가정!$E$157,0))</f>
        <v>0</v>
      </c>
      <c r="P80" s="37" t="n">
        <f aca="false">②시니어_가정!$F$38*②시니어_가정!$E$151*(IF(P15=1,②시니어_가정!$E$156,0)+IF(P15=13,②시니어_가정!$E$157-②시니어_가정!$E$156,0)+IF(P15=25,②시니어_가정!$E$158-②시니어_가정!$E$157,0))</f>
        <v>0</v>
      </c>
      <c r="Q80" s="37" t="n">
        <f aca="false">②시니어_가정!$F$38*②시니어_가정!$E$151*(IF(Q15=1,②시니어_가정!$E$156,0)+IF(Q15=13,②시니어_가정!$E$157-②시니어_가정!$E$156,0)+IF(Q15=25,②시니어_가정!$E$158-②시니어_가정!$E$157,0))</f>
        <v>0</v>
      </c>
      <c r="R80" s="37" t="n">
        <f aca="false">②시니어_가정!$F$38*②시니어_가정!$E$151*(IF(R15=1,②시니어_가정!$E$156,0)+IF(R15=13,②시니어_가정!$E$157-②시니어_가정!$E$156,0)+IF(R15=25,②시니어_가정!$E$158-②시니어_가정!$E$157,0))</f>
        <v>0</v>
      </c>
      <c r="S80" s="37" t="n">
        <f aca="false">②시니어_가정!$F$38*②시니어_가정!$E$151*(IF(S15=1,②시니어_가정!$E$156,0)+IF(S15=13,②시니어_가정!$E$157-②시니어_가정!$E$156,0)+IF(S15=25,②시니어_가정!$E$158-②시니어_가정!$E$157,0))</f>
        <v>0</v>
      </c>
      <c r="T80" s="37" t="n">
        <f aca="false">②시니어_가정!$F$38*②시니어_가정!$E$151*(IF(T15=1,②시니어_가정!$E$156,0)+IF(T15=13,②시니어_가정!$E$157-②시니어_가정!$E$156,0)+IF(T15=25,②시니어_가정!$E$158-②시니어_가정!$E$157,0))</f>
        <v>0</v>
      </c>
      <c r="U80" s="37" t="n">
        <f aca="false">②시니어_가정!$F$38*②시니어_가정!$E$151*(IF(U15=1,②시니어_가정!$E$156,0)+IF(U15=13,②시니어_가정!$E$157-②시니어_가정!$E$156,0)+IF(U15=25,②시니어_가정!$E$158-②시니어_가정!$E$157,0))</f>
        <v>0</v>
      </c>
      <c r="V80" s="37" t="n">
        <f aca="false">②시니어_가정!$F$38*②시니어_가정!$E$151*(IF(V15=1,②시니어_가정!$E$156,0)+IF(V15=13,②시니어_가정!$E$157-②시니어_가정!$E$156,0)+IF(V15=25,②시니어_가정!$E$158-②시니어_가정!$E$157,0))</f>
        <v>0</v>
      </c>
      <c r="W80" s="37" t="n">
        <f aca="false">②시니어_가정!$F$38*②시니어_가정!$E$151*(IF(W15=1,②시니어_가정!$E$156,0)+IF(W15=13,②시니어_가정!$E$157-②시니어_가정!$E$156,0)+IF(W15=25,②시니어_가정!$E$158-②시니어_가정!$E$157,0))</f>
        <v>0</v>
      </c>
      <c r="X80" s="37" t="n">
        <f aca="false">②시니어_가정!$F$38*②시니어_가정!$E$151*(IF(X15=1,②시니어_가정!$E$156,0)+IF(X15=13,②시니어_가정!$E$157-②시니어_가정!$E$156,0)+IF(X15=25,②시니어_가정!$E$158-②시니어_가정!$E$157,0))</f>
        <v>0</v>
      </c>
      <c r="Y80" s="37" t="n">
        <f aca="false">②시니어_가정!$F$38*②시니어_가정!$E$151*(IF(Y15=1,②시니어_가정!$E$156,0)+IF(Y15=13,②시니어_가정!$E$157-②시니어_가정!$E$156,0)+IF(Y15=25,②시니어_가정!$E$158-②시니어_가정!$E$157,0))</f>
        <v>0</v>
      </c>
      <c r="Z80" s="37" t="n">
        <f aca="false">②시니어_가정!$F$38*②시니어_가정!$E$151*(IF(Z15=1,②시니어_가정!$E$156,0)+IF(Z15=13,②시니어_가정!$E$157-②시니어_가정!$E$156,0)+IF(Z15=25,②시니어_가정!$E$158-②시니어_가정!$E$157,0))</f>
        <v>0</v>
      </c>
      <c r="AA80" s="37" t="n">
        <f aca="false">②시니어_가정!$F$38*②시니어_가정!$E$151*(IF(AA15=1,②시니어_가정!$E$156,0)+IF(AA15=13,②시니어_가정!$E$157-②시니어_가정!$E$156,0)+IF(AA15=25,②시니어_가정!$E$158-②시니어_가정!$E$157,0))</f>
        <v>0</v>
      </c>
      <c r="AB80" s="37" t="n">
        <f aca="false">②시니어_가정!$F$38*②시니어_가정!$E$151*(IF(AB15=1,②시니어_가정!$E$156,0)+IF(AB15=13,②시니어_가정!$E$157-②시니어_가정!$E$156,0)+IF(AB15=25,②시니어_가정!$E$158-②시니어_가정!$E$157,0))</f>
        <v>0</v>
      </c>
      <c r="AC80" s="37" t="n">
        <f aca="false">②시니어_가정!$F$38*②시니어_가정!$E$151*(IF(AC15=1,②시니어_가정!$E$156,0)+IF(AC15=13,②시니어_가정!$E$157-②시니어_가정!$E$156,0)+IF(AC15=25,②시니어_가정!$E$158-②시니어_가정!$E$157,0))</f>
        <v>0</v>
      </c>
      <c r="AD80" s="37" t="n">
        <f aca="false">②시니어_가정!$F$38*②시니어_가정!$E$151*(IF(AD15=1,②시니어_가정!$E$156,0)+IF(AD15=13,②시니어_가정!$E$157-②시니어_가정!$E$156,0)+IF(AD15=25,②시니어_가정!$E$158-②시니어_가정!$E$157,0))</f>
        <v>0</v>
      </c>
      <c r="AE80" s="37" t="n">
        <f aca="false">②시니어_가정!$F$38*②시니어_가정!$E$151*(IF(AE15=1,②시니어_가정!$E$156,0)+IF(AE15=13,②시니어_가정!$E$157-②시니어_가정!$E$156,0)+IF(AE15=25,②시니어_가정!$E$158-②시니어_가정!$E$157,0))</f>
        <v>0</v>
      </c>
      <c r="AF80" s="37" t="n">
        <f aca="false">②시니어_가정!$F$38*②시니어_가정!$E$151*(IF(AF15=1,②시니어_가정!$E$156,0)+IF(AF15=13,②시니어_가정!$E$157-②시니어_가정!$E$156,0)+IF(AF15=25,②시니어_가정!$E$158-②시니어_가정!$E$157,0))</f>
        <v>0</v>
      </c>
      <c r="AG80" s="37" t="n">
        <f aca="false">②시니어_가정!$F$38*②시니어_가정!$E$151*(IF(AG15=1,②시니어_가정!$E$156,0)+IF(AG15=13,②시니어_가정!$E$157-②시니어_가정!$E$156,0)+IF(AG15=25,②시니어_가정!$E$158-②시니어_가정!$E$157,0))</f>
        <v>0</v>
      </c>
      <c r="AH80" s="37" t="n">
        <f aca="false">②시니어_가정!$F$38*②시니어_가정!$E$151*(IF(AH15=1,②시니어_가정!$E$156,0)+IF(AH15=13,②시니어_가정!$E$157-②시니어_가정!$E$156,0)+IF(AH15=25,②시니어_가정!$E$158-②시니어_가정!$E$157,0))</f>
        <v>0</v>
      </c>
      <c r="AI80" s="37" t="n">
        <f aca="false">②시니어_가정!$F$38*②시니어_가정!$E$151*(IF(AI15=1,②시니어_가정!$E$156,0)+IF(AI15=13,②시니어_가정!$E$157-②시니어_가정!$E$156,0)+IF(AI15=25,②시니어_가정!$E$158-②시니어_가정!$E$157,0))</f>
        <v>0</v>
      </c>
      <c r="AJ80" s="37" t="n">
        <f aca="false">②시니어_가정!$F$38*②시니어_가정!$E$151*(IF(AJ15=1,②시니어_가정!$E$156,0)+IF(AJ15=13,②시니어_가정!$E$157-②시니어_가정!$E$156,0)+IF(AJ15=25,②시니어_가정!$E$158-②시니어_가정!$E$157,0))</f>
        <v>0</v>
      </c>
      <c r="AK80" s="37" t="n">
        <f aca="false">②시니어_가정!$F$38*②시니어_가정!$E$151*(IF(AK15=1,②시니어_가정!$E$156,0)+IF(AK15=13,②시니어_가정!$E$157-②시니어_가정!$E$156,0)+IF(AK15=25,②시니어_가정!$E$158-②시니어_가정!$E$157,0))</f>
        <v>0</v>
      </c>
      <c r="AL80" s="37" t="n">
        <f aca="false">②시니어_가정!$F$38*②시니어_가정!$E$151*(IF(AL15=1,②시니어_가정!$E$156,0)+IF(AL15=13,②시니어_가정!$E$157-②시니어_가정!$E$156,0)+IF(AL15=25,②시니어_가정!$E$158-②시니어_가정!$E$157,0))</f>
        <v>0</v>
      </c>
      <c r="AM80" s="37" t="n">
        <f aca="false">②시니어_가정!$F$38*②시니어_가정!$E$151*(IF(AM15=1,②시니어_가정!$E$156,0)+IF(AM15=13,②시니어_가정!$E$157-②시니어_가정!$E$156,0)+IF(AM15=25,②시니어_가정!$E$158-②시니어_가정!$E$157,0))</f>
        <v>0</v>
      </c>
      <c r="AN80" s="37" t="n">
        <f aca="false">②시니어_가정!$F$38*②시니어_가정!$E$151*(IF(AN15=1,②시니어_가정!$E$156,0)+IF(AN15=13,②시니어_가정!$E$157-②시니어_가정!$E$156,0)+IF(AN15=25,②시니어_가정!$E$158-②시니어_가정!$E$157,0))</f>
        <v>0</v>
      </c>
      <c r="AO80" s="37" t="n">
        <f aca="false">②시니어_가정!$F$38*②시니어_가정!$E$151*(IF(AO15=1,②시니어_가정!$E$156,0)+IF(AO15=13,②시니어_가정!$E$157-②시니어_가정!$E$156,0)+IF(AO15=25,②시니어_가정!$E$158-②시니어_가정!$E$157,0))</f>
        <v>0</v>
      </c>
      <c r="AP80" s="37" t="n">
        <f aca="false">②시니어_가정!$F$38*②시니어_가정!$E$151*(IF(AP15=1,②시니어_가정!$E$156,0)+IF(AP15=13,②시니어_가정!$E$157-②시니어_가정!$E$156,0)+IF(AP15=25,②시니어_가정!$E$158-②시니어_가정!$E$157,0))</f>
        <v>0</v>
      </c>
      <c r="AQ80" s="37" t="n">
        <f aca="false">②시니어_가정!$F$38*②시니어_가정!$E$151*(IF(AQ15=1,②시니어_가정!$E$156,0)+IF(AQ15=13,②시니어_가정!$E$157-②시니어_가정!$E$156,0)+IF(AQ15=25,②시니어_가정!$E$158-②시니어_가정!$E$157,0))</f>
        <v>0</v>
      </c>
      <c r="AR80" s="37" t="n">
        <f aca="false">②시니어_가정!$F$38*②시니어_가정!$E$151*(IF(AR15=1,②시니어_가정!$E$156,0)+IF(AR15=13,②시니어_가정!$E$157-②시니어_가정!$E$156,0)+IF(AR15=25,②시니어_가정!$E$158-②시니어_가정!$E$157,0))</f>
        <v>0</v>
      </c>
      <c r="AS80" s="37" t="n">
        <f aca="false">②시니어_가정!$F$38*②시니어_가정!$E$151*(IF(AS15=1,②시니어_가정!$E$156,0)+IF(AS15=13,②시니어_가정!$E$157-②시니어_가정!$E$156,0)+IF(AS15=25,②시니어_가정!$E$158-②시니어_가정!$E$157,0))</f>
        <v>0</v>
      </c>
      <c r="AT80" s="37" t="n">
        <f aca="false">②시니어_가정!$F$38*②시니어_가정!$E$151*(IF(AT15=1,②시니어_가정!$E$156,0)+IF(AT15=13,②시니어_가정!$E$157-②시니어_가정!$E$156,0)+IF(AT15=25,②시니어_가정!$E$158-②시니어_가정!$E$157,0))</f>
        <v>0</v>
      </c>
      <c r="AU80" s="37" t="n">
        <f aca="false">②시니어_가정!$F$38*②시니어_가정!$E$151*(IF(AU15=1,②시니어_가정!$E$156,0)+IF(AU15=13,②시니어_가정!$E$157-②시니어_가정!$E$156,0)+IF(AU15=25,②시니어_가정!$E$158-②시니어_가정!$E$157,0))</f>
        <v>0</v>
      </c>
      <c r="AV80" s="37" t="n">
        <f aca="false">②시니어_가정!$F$38*②시니어_가정!$E$151*(IF(AV15=1,②시니어_가정!$E$156,0)+IF(AV15=13,②시니어_가정!$E$157-②시니어_가정!$E$156,0)+IF(AV15=25,②시니어_가정!$E$158-②시니어_가정!$E$157,0))</f>
        <v>0</v>
      </c>
      <c r="AW80" s="37" t="n">
        <f aca="false">②시니어_가정!$F$38*②시니어_가정!$E$151*(IF(AW15=1,②시니어_가정!$E$156,0)+IF(AW15=13,②시니어_가정!$E$157-②시니어_가정!$E$156,0)+IF(AW15=25,②시니어_가정!$E$158-②시니어_가정!$E$157,0))</f>
        <v>0</v>
      </c>
      <c r="AX80" s="37" t="n">
        <f aca="false">②시니어_가정!$F$38*②시니어_가정!$E$151*(IF(AX15=1,②시니어_가정!$E$156,0)+IF(AX15=13,②시니어_가정!$E$157-②시니어_가정!$E$156,0)+IF(AX15=25,②시니어_가정!$E$158-②시니어_가정!$E$157,0))</f>
        <v>0</v>
      </c>
      <c r="AY80" s="37" t="n">
        <f aca="false">②시니어_가정!$F$38*②시니어_가정!$E$151*(IF(AY15=1,②시니어_가정!$E$156,0)+IF(AY15=13,②시니어_가정!$E$157-②시니어_가정!$E$156,0)+IF(AY15=25,②시니어_가정!$E$158-②시니어_가정!$E$157,0))</f>
        <v>0</v>
      </c>
      <c r="AZ80" s="37" t="n">
        <f aca="false">②시니어_가정!$F$38*②시니어_가정!$E$151*(IF(AZ15=1,②시니어_가정!$E$156,0)+IF(AZ15=13,②시니어_가정!$E$157-②시니어_가정!$E$156,0)+IF(AZ15=25,②시니어_가정!$E$158-②시니어_가정!$E$157,0))</f>
        <v>0</v>
      </c>
      <c r="BA80" s="37" t="n">
        <f aca="false">②시니어_가정!$F$38*②시니어_가정!$E$151*(IF(BA15=1,②시니어_가정!$E$156,0)+IF(BA15=13,②시니어_가정!$E$157-②시니어_가정!$E$156,0)+IF(BA15=25,②시니어_가정!$E$158-②시니어_가정!$E$157,0))</f>
        <v>0</v>
      </c>
      <c r="BB80" s="37" t="n">
        <f aca="false">②시니어_가정!$F$38*②시니어_가정!$E$151*(IF(BB15=1,②시니어_가정!$E$156,0)+IF(BB15=13,②시니어_가정!$E$157-②시니어_가정!$E$156,0)+IF(BB15=25,②시니어_가정!$E$158-②시니어_가정!$E$157,0))</f>
        <v>0</v>
      </c>
      <c r="BC80" s="37" t="n">
        <f aca="false">②시니어_가정!$F$38*②시니어_가정!$E$151*(IF(BC15=1,②시니어_가정!$E$156,0)+IF(BC15=13,②시니어_가정!$E$157-②시니어_가정!$E$156,0)+IF(BC15=25,②시니어_가정!$E$158-②시니어_가정!$E$157,0))</f>
        <v>0</v>
      </c>
      <c r="BD80" s="37" t="n">
        <f aca="false">②시니어_가정!$F$38*②시니어_가정!$E$151*(IF(BD15=1,②시니어_가정!$E$156,0)+IF(BD15=13,②시니어_가정!$E$157-②시니어_가정!$E$156,0)+IF(BD15=25,②시니어_가정!$E$158-②시니어_가정!$E$157,0))</f>
        <v>0</v>
      </c>
      <c r="BE80" s="37" t="n">
        <f aca="false">②시니어_가정!$F$38*②시니어_가정!$E$151*(IF(BE15=1,②시니어_가정!$E$156,0)+IF(BE15=13,②시니어_가정!$E$157-②시니어_가정!$E$156,0)+IF(BE15=25,②시니어_가정!$E$158-②시니어_가정!$E$157,0))</f>
        <v>0</v>
      </c>
      <c r="BF80" s="37" t="n">
        <f aca="false">②시니어_가정!$F$38*②시니어_가정!$E$151*(IF(BF15=1,②시니어_가정!$E$156,0)+IF(BF15=13,②시니어_가정!$E$157-②시니어_가정!$E$156,0)+IF(BF15=25,②시니어_가정!$E$158-②시니어_가정!$E$157,0))</f>
        <v>0</v>
      </c>
      <c r="BG80" s="37" t="n">
        <f aca="false">②시니어_가정!$F$38*②시니어_가정!$E$151*(IF(BG15=1,②시니어_가정!$E$156,0)+IF(BG15=13,②시니어_가정!$E$157-②시니어_가정!$E$156,0)+IF(BG15=25,②시니어_가정!$E$158-②시니어_가정!$E$157,0))</f>
        <v>0</v>
      </c>
      <c r="BH80" s="37" t="n">
        <f aca="false">②시니어_가정!$F$38*②시니어_가정!$E$151*(IF(BH15=1,②시니어_가정!$E$156,0)+IF(BH15=13,②시니어_가정!$E$157-②시니어_가정!$E$156,0)+IF(BH15=25,②시니어_가정!$E$158-②시니어_가정!$E$157,0))</f>
        <v>0</v>
      </c>
      <c r="BI80" s="37" t="n">
        <f aca="false">②시니어_가정!$F$38*②시니어_가정!$E$151*(IF(BI15=1,②시니어_가정!$E$156,0)+IF(BI15=13,②시니어_가정!$E$157-②시니어_가정!$E$156,0)+IF(BI15=25,②시니어_가정!$E$158-②시니어_가정!$E$157,0))</f>
        <v>0</v>
      </c>
      <c r="BJ80" s="37" t="n">
        <f aca="false">②시니어_가정!$F$38*②시니어_가정!$E$151*(IF(BJ15=1,②시니어_가정!$E$156,0)+IF(BJ15=13,②시니어_가정!$E$157-②시니어_가정!$E$156,0)+IF(BJ15=25,②시니어_가정!$E$158-②시니어_가정!$E$157,0))</f>
        <v>0</v>
      </c>
      <c r="BK80" s="37" t="n">
        <f aca="false">②시니어_가정!$F$38*②시니어_가정!$E$151*(IF(BK15=1,②시니어_가정!$E$156,0)+IF(BK15=13,②시니어_가정!$E$157-②시니어_가정!$E$156,0)+IF(BK15=25,②시니어_가정!$E$158-②시니어_가정!$E$157,0))</f>
        <v>0</v>
      </c>
      <c r="BL80" s="37" t="n">
        <f aca="false">②시니어_가정!$F$38*②시니어_가정!$E$151*(IF(BL15=1,②시니어_가정!$E$156,0)+IF(BL15=13,②시니어_가정!$E$157-②시니어_가정!$E$156,0)+IF(BL15=25,②시니어_가정!$E$158-②시니어_가정!$E$157,0))</f>
        <v>0</v>
      </c>
      <c r="BM80" s="37" t="n">
        <f aca="false">②시니어_가정!$F$38*②시니어_가정!$E$151*(IF(BM15=1,②시니어_가정!$E$156,0)+IF(BM15=13,②시니어_가정!$E$157-②시니어_가정!$E$156,0)+IF(BM15=25,②시니어_가정!$E$158-②시니어_가정!$E$157,0))</f>
        <v>0</v>
      </c>
      <c r="BN80" s="37" t="n">
        <f aca="false">②시니어_가정!$F$38*②시니어_가정!$E$151*(IF(BN15=1,②시니어_가정!$E$156,0)+IF(BN15=13,②시니어_가정!$E$157-②시니어_가정!$E$156,0)+IF(BN15=25,②시니어_가정!$E$158-②시니어_가정!$E$157,0))</f>
        <v>0</v>
      </c>
      <c r="BO80" s="37" t="n">
        <f aca="false">②시니어_가정!$F$38*②시니어_가정!$E$151*(IF(BO15=1,②시니어_가정!$E$156,0)+IF(BO15=13,②시니어_가정!$E$157-②시니어_가정!$E$156,0)+IF(BO15=25,②시니어_가정!$E$158-②시니어_가정!$E$157,0))</f>
        <v>0</v>
      </c>
      <c r="BP80" s="37" t="n">
        <f aca="false">②시니어_가정!$F$38*②시니어_가정!$E$151*(IF(BP15=1,②시니어_가정!$E$156,0)+IF(BP15=13,②시니어_가정!$E$157-②시니어_가정!$E$156,0)+IF(BP15=25,②시니어_가정!$E$158-②시니어_가정!$E$157,0))</f>
        <v>0</v>
      </c>
      <c r="BQ80" s="37" t="n">
        <f aca="false">②시니어_가정!$F$38*②시니어_가정!$E$151*(IF(BQ15=1,②시니어_가정!$E$156,0)+IF(BQ15=13,②시니어_가정!$E$157-②시니어_가정!$E$156,0)+IF(BQ15=25,②시니어_가정!$E$158-②시니어_가정!$E$157,0))</f>
        <v>0</v>
      </c>
      <c r="BR80" s="37" t="n">
        <f aca="false">②시니어_가정!$F$38*②시니어_가정!$E$151*(IF(BR15=1,②시니어_가정!$E$156,0)+IF(BR15=13,②시니어_가정!$E$157-②시니어_가정!$E$156,0)+IF(BR15=25,②시니어_가정!$E$158-②시니어_가정!$E$157,0))</f>
        <v>0</v>
      </c>
      <c r="BS80" s="37" t="n">
        <f aca="false">②시니어_가정!$F$38*②시니어_가정!$E$151*(IF(BS15=1,②시니어_가정!$E$156,0)+IF(BS15=13,②시니어_가정!$E$157-②시니어_가정!$E$156,0)+IF(BS15=25,②시니어_가정!$E$158-②시니어_가정!$E$157,0))</f>
        <v>0</v>
      </c>
      <c r="BT80" s="37" t="n">
        <f aca="false">②시니어_가정!$F$38*②시니어_가정!$E$151*(IF(BT15=1,②시니어_가정!$E$156,0)+IF(BT15=13,②시니어_가정!$E$157-②시니어_가정!$E$156,0)+IF(BT15=25,②시니어_가정!$E$158-②시니어_가정!$E$157,0))</f>
        <v>0</v>
      </c>
      <c r="BU80" s="37" t="n">
        <f aca="false">②시니어_가정!$F$38*②시니어_가정!$E$151*(IF(BU15=1,②시니어_가정!$E$156,0)+IF(BU15=13,②시니어_가정!$E$157-②시니어_가정!$E$156,0)+IF(BU15=25,②시니어_가정!$E$158-②시니어_가정!$E$157,0))</f>
        <v>0</v>
      </c>
      <c r="BV80" s="37" t="n">
        <f aca="false">②시니어_가정!$F$38*②시니어_가정!$E$151*(IF(BV15=1,②시니어_가정!$E$156,0)+IF(BV15=13,②시니어_가정!$E$157-②시니어_가정!$E$156,0)+IF(BV15=25,②시니어_가정!$E$158-②시니어_가정!$E$157,0))</f>
        <v>0</v>
      </c>
      <c r="BW80" s="37" t="n">
        <f aca="false">②시니어_가정!$F$38*②시니어_가정!$E$151*(IF(BW15=1,②시니어_가정!$E$156,0)+IF(BW15=13,②시니어_가정!$E$157-②시니어_가정!$E$156,0)+IF(BW15=25,②시니어_가정!$E$158-②시니어_가정!$E$157,0))</f>
        <v>0</v>
      </c>
      <c r="BX80" s="37" t="n">
        <f aca="false">②시니어_가정!$F$38*②시니어_가정!$E$151*(IF(BX15=1,②시니어_가정!$E$156,0)+IF(BX15=13,②시니어_가정!$E$157-②시니어_가정!$E$156,0)+IF(BX15=25,②시니어_가정!$E$158-②시니어_가정!$E$157,0))</f>
        <v>0</v>
      </c>
      <c r="BY80" s="37" t="n">
        <f aca="false">②시니어_가정!$F$38*②시니어_가정!$E$151*(IF(BY15=1,②시니어_가정!$E$156,0)+IF(BY15=13,②시니어_가정!$E$157-②시니어_가정!$E$156,0)+IF(BY15=25,②시니어_가정!$E$158-②시니어_가정!$E$157,0))</f>
        <v>0</v>
      </c>
      <c r="BZ80" s="37" t="n">
        <f aca="false">②시니어_가정!$F$38*②시니어_가정!$E$151*(IF(BZ15=1,②시니어_가정!$E$156,0)+IF(BZ15=13,②시니어_가정!$E$157-②시니어_가정!$E$156,0)+IF(BZ15=25,②시니어_가정!$E$158-②시니어_가정!$E$157,0))</f>
        <v>0</v>
      </c>
      <c r="CA80" s="37" t="n">
        <f aca="false">②시니어_가정!$F$38*②시니어_가정!$E$151*(IF(CA15=1,②시니어_가정!$E$156,0)+IF(CA15=13,②시니어_가정!$E$157-②시니어_가정!$E$156,0)+IF(CA15=25,②시니어_가정!$E$158-②시니어_가정!$E$157,0))</f>
        <v>0</v>
      </c>
      <c r="CB80" s="37" t="n">
        <f aca="false">②시니어_가정!$F$38*②시니어_가정!$E$151*(IF(CB15=1,②시니어_가정!$E$156,0)+IF(CB15=13,②시니어_가정!$E$157-②시니어_가정!$E$156,0)+IF(CB15=25,②시니어_가정!$E$158-②시니어_가정!$E$157,0))</f>
        <v>0</v>
      </c>
      <c r="CC80" s="37" t="n">
        <f aca="false">②시니어_가정!$F$38*②시니어_가정!$E$151*(IF(CC15=1,②시니어_가정!$E$156,0)+IF(CC15=13,②시니어_가정!$E$157-②시니어_가정!$E$156,0)+IF(CC15=25,②시니어_가정!$E$158-②시니어_가정!$E$157,0))</f>
        <v>0</v>
      </c>
      <c r="CD80" s="37" t="n">
        <f aca="false">②시니어_가정!$F$38*②시니어_가정!$E$151*(IF(CD15=1,②시니어_가정!$E$156,0)+IF(CD15=13,②시니어_가정!$E$157-②시니어_가정!$E$156,0)+IF(CD15=25,②시니어_가정!$E$158-②시니어_가정!$E$157,0))</f>
        <v>0</v>
      </c>
      <c r="CE80" s="37" t="n">
        <f aca="false">②시니어_가정!$F$38*②시니어_가정!$E$151*(IF(CE15=1,②시니어_가정!$E$156,0)+IF(CE15=13,②시니어_가정!$E$157-②시니어_가정!$E$156,0)+IF(CE15=25,②시니어_가정!$E$158-②시니어_가정!$E$157,0))</f>
        <v>0</v>
      </c>
      <c r="CF80" s="37" t="n">
        <f aca="false">②시니어_가정!$F$38*②시니어_가정!$E$151*(IF(CF15=1,②시니어_가정!$E$156,0)+IF(CF15=13,②시니어_가정!$E$157-②시니어_가정!$E$156,0)+IF(CF15=25,②시니어_가정!$E$158-②시니어_가정!$E$157,0))</f>
        <v>0</v>
      </c>
      <c r="CG80" s="37" t="n">
        <f aca="false">②시니어_가정!$F$38*②시니어_가정!$E$151*(IF(CG15=1,②시니어_가정!$E$156,0)+IF(CG15=13,②시니어_가정!$E$157-②시니어_가정!$E$156,0)+IF(CG15=25,②시니어_가정!$E$158-②시니어_가정!$E$157,0))</f>
        <v>0</v>
      </c>
      <c r="CH80" s="37" t="n">
        <f aca="false">②시니어_가정!$F$38*②시니어_가정!$E$151*(IF(CH15=1,②시니어_가정!$E$156,0)+IF(CH15=13,②시니어_가정!$E$157-②시니어_가정!$E$156,0)+IF(CH15=25,②시니어_가정!$E$158-②시니어_가정!$E$157,0))</f>
        <v>0</v>
      </c>
      <c r="CI80" s="37" t="n">
        <f aca="false">②시니어_가정!$F$38*②시니어_가정!$E$151*(IF(CI15=1,②시니어_가정!$E$156,0)+IF(CI15=13,②시니어_가정!$E$157-②시니어_가정!$E$156,0)+IF(CI15=25,②시니어_가정!$E$158-②시니어_가정!$E$157,0))</f>
        <v>0</v>
      </c>
      <c r="CJ80" s="37" t="n">
        <f aca="false">②시니어_가정!$F$38*②시니어_가정!$E$151*(IF(CJ15=1,②시니어_가정!$E$156,0)+IF(CJ15=13,②시니어_가정!$E$157-②시니어_가정!$E$156,0)+IF(CJ15=25,②시니어_가정!$E$158-②시니어_가정!$E$157,0))</f>
        <v>0</v>
      </c>
      <c r="CK80" s="37" t="n">
        <f aca="false">②시니어_가정!$F$38*②시니어_가정!$E$151*(IF(CK15=1,②시니어_가정!$E$156,0)+IF(CK15=13,②시니어_가정!$E$157-②시니어_가정!$E$156,0)+IF(CK15=25,②시니어_가정!$E$158-②시니어_가정!$E$157,0))</f>
        <v>0</v>
      </c>
      <c r="CL80" s="37" t="n">
        <f aca="false">②시니어_가정!$F$38*②시니어_가정!$E$151*(IF(CL15=1,②시니어_가정!$E$156,0)+IF(CL15=13,②시니어_가정!$E$157-②시니어_가정!$E$156,0)+IF(CL15=25,②시니어_가정!$E$158-②시니어_가정!$E$157,0))</f>
        <v>0</v>
      </c>
      <c r="CM80" s="37" t="n">
        <f aca="false">②시니어_가정!$F$38*②시니어_가정!$E$151*(IF(CM15=1,②시니어_가정!$E$156,0)+IF(CM15=13,②시니어_가정!$E$157-②시니어_가정!$E$156,0)+IF(CM15=25,②시니어_가정!$E$158-②시니어_가정!$E$157,0))</f>
        <v>0</v>
      </c>
      <c r="CN80" s="37" t="n">
        <f aca="false">②시니어_가정!$F$38*②시니어_가정!$E$151*(IF(CN15=1,②시니어_가정!$E$156,0)+IF(CN15=13,②시니어_가정!$E$157-②시니어_가정!$E$156,0)+IF(CN15=25,②시니어_가정!$E$158-②시니어_가정!$E$157,0))</f>
        <v>0</v>
      </c>
      <c r="CO80" s="37" t="n">
        <f aca="false">②시니어_가정!$F$38*②시니어_가정!$E$151*(IF(CO15=1,②시니어_가정!$E$156,0)+IF(CO15=13,②시니어_가정!$E$157-②시니어_가정!$E$156,0)+IF(CO15=25,②시니어_가정!$E$158-②시니어_가정!$E$157,0))</f>
        <v>0</v>
      </c>
      <c r="CP80" s="37" t="n">
        <f aca="false">②시니어_가정!$F$38*②시니어_가정!$E$151*(IF(CP15=1,②시니어_가정!$E$156,0)+IF(CP15=13,②시니어_가정!$E$157-②시니어_가정!$E$156,0)+IF(CP15=25,②시니어_가정!$E$158-②시니어_가정!$E$157,0))</f>
        <v>0</v>
      </c>
      <c r="CQ80" s="37" t="n">
        <f aca="false">②시니어_가정!$F$38*②시니어_가정!$E$151*(IF(CQ15=1,②시니어_가정!$E$156,0)+IF(CQ15=13,②시니어_가정!$E$157-②시니어_가정!$E$156,0)+IF(CQ15=25,②시니어_가정!$E$158-②시니어_가정!$E$157,0))</f>
        <v>0</v>
      </c>
      <c r="CR80" s="37" t="n">
        <f aca="false">②시니어_가정!$F$38*②시니어_가정!$E$151*(IF(CR15=1,②시니어_가정!$E$156,0)+IF(CR15=13,②시니어_가정!$E$157-②시니어_가정!$E$156,0)+IF(CR15=25,②시니어_가정!$E$158-②시니어_가정!$E$157,0))</f>
        <v>0</v>
      </c>
      <c r="CS80" s="37" t="n">
        <f aca="false">②시니어_가정!$F$38*②시니어_가정!$E$151*(IF(CS15=1,②시니어_가정!$E$156,0)+IF(CS15=13,②시니어_가정!$E$157-②시니어_가정!$E$156,0)+IF(CS15=25,②시니어_가정!$E$158-②시니어_가정!$E$157,0))</f>
        <v>0</v>
      </c>
      <c r="CT80" s="37" t="n">
        <f aca="false">②시니어_가정!$F$38*②시니어_가정!$E$151*(IF(CT15=1,②시니어_가정!$E$156,0)+IF(CT15=13,②시니어_가정!$E$157-②시니어_가정!$E$156,0)+IF(CT15=25,②시니어_가정!$E$158-②시니어_가정!$E$157,0))</f>
        <v>0</v>
      </c>
      <c r="CU80" s="37" t="n">
        <f aca="false">②시니어_가정!$F$38*②시니어_가정!$E$151*(IF(CU15=1,②시니어_가정!$E$156,0)+IF(CU15=13,②시니어_가정!$E$157-②시니어_가정!$E$156,0)+IF(CU15=25,②시니어_가정!$E$158-②시니어_가정!$E$157,0))</f>
        <v>0</v>
      </c>
      <c r="CV80" s="37" t="n">
        <f aca="false">②시니어_가정!$F$38*②시니어_가정!$E$151*(IF(CV15=1,②시니어_가정!$E$156,0)+IF(CV15=13,②시니어_가정!$E$157-②시니어_가정!$E$156,0)+IF(CV15=25,②시니어_가정!$E$158-②시니어_가정!$E$157,0))</f>
        <v>0</v>
      </c>
      <c r="CW80" s="37" t="n">
        <f aca="false">②시니어_가정!$F$38*②시니어_가정!$E$151*(IF(CW15=1,②시니어_가정!$E$156,0)+IF(CW15=13,②시니어_가정!$E$157-②시니어_가정!$E$156,0)+IF(CW15=25,②시니어_가정!$E$158-②시니어_가정!$E$157,0))</f>
        <v>0</v>
      </c>
      <c r="CX80" s="37" t="n">
        <f aca="false">②시니어_가정!$F$38*②시니어_가정!$E$151*(IF(CX15=1,②시니어_가정!$E$156,0)+IF(CX15=13,②시니어_가정!$E$157-②시니어_가정!$E$156,0)+IF(CX15=25,②시니어_가정!$E$158-②시니어_가정!$E$157,0))</f>
        <v>0</v>
      </c>
      <c r="CY80" s="37" t="n">
        <f aca="false">②시니어_가정!$F$38*②시니어_가정!$E$151*(IF(CY15=1,②시니어_가정!$E$156,0)+IF(CY15=13,②시니어_가정!$E$157-②시니어_가정!$E$156,0)+IF(CY15=25,②시니어_가정!$E$158-②시니어_가정!$E$157,0))</f>
        <v>0</v>
      </c>
      <c r="CZ80" s="37" t="n">
        <f aca="false">②시니어_가정!$F$38*②시니어_가정!$E$151*(IF(CZ15=1,②시니어_가정!$E$156,0)+IF(CZ15=13,②시니어_가정!$E$157-②시니어_가정!$E$156,0)+IF(CZ15=25,②시니어_가정!$E$158-②시니어_가정!$E$157,0))</f>
        <v>0</v>
      </c>
      <c r="DA80" s="37" t="n">
        <f aca="false">②시니어_가정!$F$38*②시니어_가정!$E$151*(IF(DA15=1,②시니어_가정!$E$156,0)+IF(DA15=13,②시니어_가정!$E$157-②시니어_가정!$E$156,0)+IF(DA15=25,②시니어_가정!$E$158-②시니어_가정!$E$157,0))</f>
        <v>0</v>
      </c>
      <c r="DB80" s="37" t="n">
        <f aca="false">②시니어_가정!$F$38*②시니어_가정!$E$151*(IF(DB15=1,②시니어_가정!$E$156,0)+IF(DB15=13,②시니어_가정!$E$157-②시니어_가정!$E$156,0)+IF(DB15=25,②시니어_가정!$E$158-②시니어_가정!$E$157,0))</f>
        <v>0</v>
      </c>
      <c r="DC80" s="37" t="n">
        <f aca="false">②시니어_가정!$F$38*②시니어_가정!$E$151*(IF(DC15=1,②시니어_가정!$E$156,0)+IF(DC15=13,②시니어_가정!$E$157-②시니어_가정!$E$156,0)+IF(DC15=25,②시니어_가정!$E$158-②시니어_가정!$E$157,0))</f>
        <v>0</v>
      </c>
      <c r="DD80" s="37" t="n">
        <f aca="false">②시니어_가정!$F$38*②시니어_가정!$E$151*(IF(DD15=1,②시니어_가정!$E$156,0)+IF(DD15=13,②시니어_가정!$E$157-②시니어_가정!$E$156,0)+IF(DD15=25,②시니어_가정!$E$158-②시니어_가정!$E$157,0))</f>
        <v>0</v>
      </c>
      <c r="DE80" s="37" t="n">
        <f aca="false">②시니어_가정!$F$38*②시니어_가정!$E$151*(IF(DE15=1,②시니어_가정!$E$156,0)+IF(DE15=13,②시니어_가정!$E$157-②시니어_가정!$E$156,0)+IF(DE15=25,②시니어_가정!$E$158-②시니어_가정!$E$157,0))</f>
        <v>0</v>
      </c>
      <c r="DF80" s="37" t="n">
        <f aca="false">②시니어_가정!$F$38*②시니어_가정!$E$151*(IF(DF15=1,②시니어_가정!$E$156,0)+IF(DF15=13,②시니어_가정!$E$157-②시니어_가정!$E$156,0)+IF(DF15=25,②시니어_가정!$E$158-②시니어_가정!$E$157,0))</f>
        <v>0</v>
      </c>
      <c r="DG80" s="37" t="n">
        <f aca="false">②시니어_가정!$F$38*②시니어_가정!$E$151*(IF(DG15=1,②시니어_가정!$E$156,0)+IF(DG15=13,②시니어_가정!$E$157-②시니어_가정!$E$156,0)+IF(DG15=25,②시니어_가정!$E$158-②시니어_가정!$E$157,0))</f>
        <v>0</v>
      </c>
      <c r="DH80" s="37" t="n">
        <f aca="false">②시니어_가정!$F$38*②시니어_가정!$E$151*(IF(DH15=1,②시니어_가정!$E$156,0)+IF(DH15=13,②시니어_가정!$E$157-②시니어_가정!$E$156,0)+IF(DH15=25,②시니어_가정!$E$158-②시니어_가정!$E$157,0))</f>
        <v>0</v>
      </c>
      <c r="DI80" s="37" t="n">
        <f aca="false">②시니어_가정!$F$38*②시니어_가정!$E$151*(IF(DI15=1,②시니어_가정!$E$156,0)+IF(DI15=13,②시니어_가정!$E$157-②시니어_가정!$E$156,0)+IF(DI15=25,②시니어_가정!$E$158-②시니어_가정!$E$157,0))</f>
        <v>0</v>
      </c>
      <c r="DJ80" s="37" t="n">
        <f aca="false">②시니어_가정!$F$38*②시니어_가정!$E$151*(IF(DJ15=1,②시니어_가정!$E$156,0)+IF(DJ15=13,②시니어_가정!$E$157-②시니어_가정!$E$156,0)+IF(DJ15=25,②시니어_가정!$E$158-②시니어_가정!$E$157,0))</f>
        <v>0</v>
      </c>
      <c r="DK80" s="37" t="n">
        <f aca="false">②시니어_가정!$F$38*②시니어_가정!$E$151*(IF(DK15=1,②시니어_가정!$E$156,0)+IF(DK15=13,②시니어_가정!$E$157-②시니어_가정!$E$156,0)+IF(DK15=25,②시니어_가정!$E$158-②시니어_가정!$E$157,0))</f>
        <v>0</v>
      </c>
      <c r="DL80" s="37" t="n">
        <f aca="false">②시니어_가정!$F$38*②시니어_가정!$E$151*(IF(DL15=1,②시니어_가정!$E$156,0)+IF(DL15=13,②시니어_가정!$E$157-②시니어_가정!$E$156,0)+IF(DL15=25,②시니어_가정!$E$158-②시니어_가정!$E$157,0))</f>
        <v>0</v>
      </c>
      <c r="DM80" s="37" t="n">
        <f aca="false">②시니어_가정!$F$38*②시니어_가정!$E$151*(IF(DM15=1,②시니어_가정!$E$156,0)+IF(DM15=13,②시니어_가정!$E$157-②시니어_가정!$E$156,0)+IF(DM15=25,②시니어_가정!$E$158-②시니어_가정!$E$157,0))</f>
        <v>0</v>
      </c>
      <c r="DN80" s="37" t="n">
        <f aca="false">②시니어_가정!$F$38*②시니어_가정!$E$151*(IF(DN15=1,②시니어_가정!$E$156,0)+IF(DN15=13,②시니어_가정!$E$157-②시니어_가정!$E$156,0)+IF(DN15=25,②시니어_가정!$E$158-②시니어_가정!$E$157,0))</f>
        <v>0</v>
      </c>
      <c r="DO80" s="37" t="n">
        <f aca="false">②시니어_가정!$F$38*②시니어_가정!$E$151*(IF(DO15=1,②시니어_가정!$E$156,0)+IF(DO15=13,②시니어_가정!$E$157-②시니어_가정!$E$156,0)+IF(DO15=25,②시니어_가정!$E$158-②시니어_가정!$E$157,0))</f>
        <v>0</v>
      </c>
      <c r="DP80" s="37" t="n">
        <f aca="false">②시니어_가정!$F$38*②시니어_가정!$E$151*(IF(DP15=1,②시니어_가정!$E$156,0)+IF(DP15=13,②시니어_가정!$E$157-②시니어_가정!$E$156,0)+IF(DP15=25,②시니어_가정!$E$158-②시니어_가정!$E$157,0))</f>
        <v>0</v>
      </c>
      <c r="DQ80" s="37" t="n">
        <f aca="false">②시니어_가정!$F$38*②시니어_가정!$E$151*(IF(DQ15=1,②시니어_가정!$E$156,0)+IF(DQ15=13,②시니어_가정!$E$157-②시니어_가정!$E$156,0)+IF(DQ15=25,②시니어_가정!$E$158-②시니어_가정!$E$157,0))</f>
        <v>0</v>
      </c>
      <c r="DR80" s="37" t="n">
        <f aca="false">②시니어_가정!$F$38*②시니어_가정!$E$151*(IF(DR15=1,②시니어_가정!$E$156,0)+IF(DR15=13,②시니어_가정!$E$157-②시니어_가정!$E$156,0)+IF(DR15=25,②시니어_가정!$E$158-②시니어_가정!$E$157,0))</f>
        <v>0</v>
      </c>
      <c r="DS80" s="37" t="n">
        <f aca="false">②시니어_가정!$F$38*②시니어_가정!$E$151*(IF(DS15=1,②시니어_가정!$E$156,0)+IF(DS15=13,②시니어_가정!$E$157-②시니어_가정!$E$156,0)+IF(DS15=25,②시니어_가정!$E$158-②시니어_가정!$E$157,0))</f>
        <v>0</v>
      </c>
      <c r="DT80" s="37" t="n">
        <f aca="false">②시니어_가정!$F$38*②시니어_가정!$E$151*(IF(DT15=1,②시니어_가정!$E$156,0)+IF(DT15=13,②시니어_가정!$E$157-②시니어_가정!$E$156,0)+IF(DT15=25,②시니어_가정!$E$158-②시니어_가정!$E$157,0))</f>
        <v>0</v>
      </c>
      <c r="DU80" s="37" t="n">
        <f aca="false">②시니어_가정!$F$38*②시니어_가정!$E$151*(IF(DU15=1,②시니어_가정!$E$156,0)+IF(DU15=13,②시니어_가정!$E$157-②시니어_가정!$E$156,0)+IF(DU15=25,②시니어_가정!$E$158-②시니어_가정!$E$157,0))</f>
        <v>0</v>
      </c>
      <c r="DV80" s="37" t="n">
        <f aca="false">②시니어_가정!$F$38*②시니어_가정!$E$151*(IF(DV15=1,②시니어_가정!$E$156,0)+IF(DV15=13,②시니어_가정!$E$157-②시니어_가정!$E$156,0)+IF(DV15=25,②시니어_가정!$E$158-②시니어_가정!$E$157,0))</f>
        <v>0</v>
      </c>
      <c r="DW80" s="37" t="n">
        <f aca="false">②시니어_가정!$F$38*②시니어_가정!$E$151*(IF(DW15=1,②시니어_가정!$E$156,0)+IF(DW15=13,②시니어_가정!$E$157-②시니어_가정!$E$156,0)+IF(DW15=25,②시니어_가정!$E$158-②시니어_가정!$E$157,0))</f>
        <v>0</v>
      </c>
      <c r="DX80" s="37" t="n">
        <f aca="false">②시니어_가정!$F$38*②시니어_가정!$E$151*(IF(DX15=1,②시니어_가정!$E$156,0)+IF(DX15=13,②시니어_가정!$E$157-②시니어_가정!$E$156,0)+IF(DX15=25,②시니어_가정!$E$158-②시니어_가정!$E$157,0))</f>
        <v>0</v>
      </c>
      <c r="DY80" s="37" t="n">
        <f aca="false">②시니어_가정!$F$38*②시니어_가정!$E$151*(IF(DY15=1,②시니어_가정!$E$156,0)+IF(DY15=13,②시니어_가정!$E$157-②시니어_가정!$E$156,0)+IF(DY15=25,②시니어_가정!$E$158-②시니어_가정!$E$157,0))</f>
        <v>0</v>
      </c>
      <c r="DZ80" s="37" t="n">
        <f aca="false">②시니어_가정!$F$38*②시니어_가정!$E$151*(IF(DZ15=1,②시니어_가정!$E$156,0)+IF(DZ15=13,②시니어_가정!$E$157-②시니어_가정!$E$156,0)+IF(DZ15=25,②시니어_가정!$E$158-②시니어_가정!$E$157,0))</f>
        <v>0</v>
      </c>
      <c r="EA80" s="37" t="n">
        <f aca="false">②시니어_가정!$F$38*②시니어_가정!$E$151*(IF(EA15=1,②시니어_가정!$E$156,0)+IF(EA15=13,②시니어_가정!$E$157-②시니어_가정!$E$156,0)+IF(EA15=25,②시니어_가정!$E$158-②시니어_가정!$E$157,0))</f>
        <v>0</v>
      </c>
      <c r="EB80" s="37" t="n">
        <f aca="false">②시니어_가정!$F$38*②시니어_가정!$E$151*(IF(EB15=1,②시니어_가정!$E$156,0)+IF(EB15=13,②시니어_가정!$E$157-②시니어_가정!$E$156,0)+IF(EB15=25,②시니어_가정!$E$158-②시니어_가정!$E$157,0))</f>
        <v>0</v>
      </c>
      <c r="EC80" s="37" t="n">
        <f aca="false">②시니어_가정!$F$38*②시니어_가정!$E$151*(IF(EC15=1,②시니어_가정!$E$156,0)+IF(EC15=13,②시니어_가정!$E$157-②시니어_가정!$E$156,0)+IF(EC15=25,②시니어_가정!$E$158-②시니어_가정!$E$157,0))</f>
        <v>0</v>
      </c>
      <c r="ED80" s="37" t="n">
        <f aca="false">②시니어_가정!$F$38*②시니어_가정!$E$151*(IF(ED15=1,②시니어_가정!$E$156,0)+IF(ED15=13,②시니어_가정!$E$157-②시니어_가정!$E$156,0)+IF(ED15=25,②시니어_가정!$E$158-②시니어_가정!$E$157,0))</f>
        <v>0</v>
      </c>
      <c r="EE80" s="37" t="n">
        <f aca="false">②시니어_가정!$F$38*②시니어_가정!$E$151*(IF(EE15=1,②시니어_가정!$E$156,0)+IF(EE15=13,②시니어_가정!$E$157-②시니어_가정!$E$156,0)+IF(EE15=25,②시니어_가정!$E$158-②시니어_가정!$E$157,0))</f>
        <v>0</v>
      </c>
      <c r="EF80" s="37" t="n">
        <f aca="false">②시니어_가정!$F$38*②시니어_가정!$E$151*(IF(EF15=1,②시니어_가정!$E$156,0)+IF(EF15=13,②시니어_가정!$E$157-②시니어_가정!$E$156,0)+IF(EF15=25,②시니어_가정!$E$158-②시니어_가정!$E$157,0))</f>
        <v>0</v>
      </c>
    </row>
    <row r="81" customFormat="false" ht="15" hidden="false" customHeight="false" outlineLevel="0" collapsed="false">
      <c r="A81" s="36" t="s">
        <v>623</v>
      </c>
      <c r="B81" s="278" t="s">
        <v>21</v>
      </c>
      <c r="C81" s="279" t="n">
        <f aca="false">SUM(E81:EF81)</f>
        <v>1500</v>
      </c>
      <c r="E81" s="37" t="n">
        <f aca="false">IF(E15=1,②시니어_가정!$D$38*②시니어_가정!$E$114,0)</f>
        <v>0</v>
      </c>
      <c r="F81" s="37" t="n">
        <f aca="false">IF(F15=1,②시니어_가정!$D$38*②시니어_가정!$E$114,0)</f>
        <v>0</v>
      </c>
      <c r="G81" s="37" t="n">
        <f aca="false">IF(G15=1,②시니어_가정!$D$38*②시니어_가정!$E$114,0)</f>
        <v>0</v>
      </c>
      <c r="H81" s="37" t="n">
        <f aca="false">IF(H15=1,②시니어_가정!$D$38*②시니어_가정!$E$114,0)</f>
        <v>0</v>
      </c>
      <c r="I81" s="37" t="n">
        <f aca="false">IF(I15=1,②시니어_가정!$D$38*②시니어_가정!$E$114,0)</f>
        <v>0</v>
      </c>
      <c r="J81" s="37" t="n">
        <f aca="false">IF(J15=1,②시니어_가정!$D$38*②시니어_가정!$E$114,0)</f>
        <v>0</v>
      </c>
      <c r="K81" s="37" t="n">
        <f aca="false">IF(K15=1,②시니어_가정!$D$38*②시니어_가정!$E$114,0)</f>
        <v>0</v>
      </c>
      <c r="L81" s="37" t="n">
        <f aca="false">IF(L15=1,②시니어_가정!$D$38*②시니어_가정!$E$114,0)</f>
        <v>0</v>
      </c>
      <c r="M81" s="37" t="n">
        <f aca="false">IF(M15=1,②시니어_가정!$D$38*②시니어_가정!$E$114,0)</f>
        <v>0</v>
      </c>
      <c r="N81" s="37" t="n">
        <f aca="false">IF(N15=1,②시니어_가정!$D$38*②시니어_가정!$E$114,0)</f>
        <v>0</v>
      </c>
      <c r="O81" s="37" t="n">
        <f aca="false">IF(O15=1,②시니어_가정!$D$38*②시니어_가정!$E$114,0)</f>
        <v>0</v>
      </c>
      <c r="P81" s="37" t="n">
        <f aca="false">IF(P15=1,②시니어_가정!$D$38*②시니어_가정!$E$114,0)</f>
        <v>0</v>
      </c>
      <c r="Q81" s="37" t="n">
        <f aca="false">IF(Q15=1,②시니어_가정!$D$38*②시니어_가정!$E$114,0)</f>
        <v>0</v>
      </c>
      <c r="R81" s="37" t="n">
        <f aca="false">IF(R15=1,②시니어_가정!$D$38*②시니어_가정!$E$114,0)</f>
        <v>0</v>
      </c>
      <c r="S81" s="37" t="n">
        <f aca="false">IF(S15=1,②시니어_가정!$D$38*②시니어_가정!$E$114,0)</f>
        <v>0</v>
      </c>
      <c r="T81" s="37" t="n">
        <f aca="false">IF(T15=1,②시니어_가정!$D$38*②시니어_가정!$E$114,0)</f>
        <v>0</v>
      </c>
      <c r="U81" s="37" t="n">
        <f aca="false">IF(U15=1,②시니어_가정!$D$38*②시니어_가정!$E$114,0)</f>
        <v>0</v>
      </c>
      <c r="V81" s="37" t="n">
        <f aca="false">IF(V15=1,②시니어_가정!$D$38*②시니어_가정!$E$114,0)</f>
        <v>0</v>
      </c>
      <c r="W81" s="37" t="n">
        <f aca="false">IF(W15=1,②시니어_가정!$D$38*②시니어_가정!$E$114,0)</f>
        <v>0</v>
      </c>
      <c r="X81" s="37" t="n">
        <f aca="false">IF(X15=1,②시니어_가정!$D$38*②시니어_가정!$E$114,0)</f>
        <v>0</v>
      </c>
      <c r="Y81" s="37" t="n">
        <f aca="false">IF(Y15=1,②시니어_가정!$D$38*②시니어_가정!$E$114,0)</f>
        <v>0</v>
      </c>
      <c r="Z81" s="37" t="n">
        <f aca="false">IF(Z15=1,②시니어_가정!$D$38*②시니어_가정!$E$114,0)</f>
        <v>0</v>
      </c>
      <c r="AA81" s="37" t="n">
        <f aca="false">IF(AA15=1,②시니어_가정!$D$38*②시니어_가정!$E$114,0)</f>
        <v>0</v>
      </c>
      <c r="AB81" s="37" t="n">
        <f aca="false">IF(AB15=1,②시니어_가정!$D$38*②시니어_가정!$E$114,0)</f>
        <v>0</v>
      </c>
      <c r="AC81" s="37" t="n">
        <f aca="false">IF(AC15=1,②시니어_가정!$D$38*②시니어_가정!$E$114,0)</f>
        <v>0</v>
      </c>
      <c r="AD81" s="37" t="n">
        <f aca="false">IF(AD15=1,②시니어_가정!$D$38*②시니어_가정!$E$114,0)</f>
        <v>0</v>
      </c>
      <c r="AE81" s="37" t="n">
        <f aca="false">IF(AE15=1,②시니어_가정!$D$38*②시니어_가정!$E$114,0)</f>
        <v>0</v>
      </c>
      <c r="AF81" s="37" t="n">
        <f aca="false">IF(AF15=1,②시니어_가정!$D$38*②시니어_가정!$E$114,0)</f>
        <v>0</v>
      </c>
      <c r="AG81" s="37" t="n">
        <f aca="false">IF(AG15=1,②시니어_가정!$D$38*②시니어_가정!$E$114,0)</f>
        <v>0</v>
      </c>
      <c r="AH81" s="37" t="n">
        <f aca="false">IF(AH15=1,②시니어_가정!$D$38*②시니어_가정!$E$114,0)</f>
        <v>0</v>
      </c>
      <c r="AI81" s="37" t="n">
        <f aca="false">IF(AI15=1,②시니어_가정!$D$38*②시니어_가정!$E$114,0)</f>
        <v>0</v>
      </c>
      <c r="AJ81" s="37" t="n">
        <f aca="false">IF(AJ15=1,②시니어_가정!$D$38*②시니어_가정!$E$114,0)</f>
        <v>0</v>
      </c>
      <c r="AK81" s="37" t="n">
        <f aca="false">IF(AK15=1,②시니어_가정!$D$38*②시니어_가정!$E$114,0)</f>
        <v>0</v>
      </c>
      <c r="AL81" s="37" t="n">
        <f aca="false">IF(AL15=1,②시니어_가정!$D$38*②시니어_가정!$E$114,0)</f>
        <v>0</v>
      </c>
      <c r="AM81" s="37" t="n">
        <f aca="false">IF(AM15=1,②시니어_가정!$D$38*②시니어_가정!$E$114,0)</f>
        <v>0</v>
      </c>
      <c r="AN81" s="37" t="n">
        <f aca="false">IF(AN15=1,②시니어_가정!$D$38*②시니어_가정!$E$114,0)</f>
        <v>0</v>
      </c>
      <c r="AO81" s="37" t="n">
        <f aca="false">IF(AO15=1,②시니어_가정!$D$38*②시니어_가정!$E$114,0)</f>
        <v>0</v>
      </c>
      <c r="AP81" s="37" t="n">
        <f aca="false">IF(AP15=1,②시니어_가정!$D$38*②시니어_가정!$E$114,0)</f>
        <v>0</v>
      </c>
      <c r="AQ81" s="37" t="n">
        <f aca="false">IF(AQ15=1,②시니어_가정!$D$38*②시니어_가정!$E$114,0)</f>
        <v>0</v>
      </c>
      <c r="AR81" s="37" t="n">
        <f aca="false">IF(AR15=1,②시니어_가정!$D$38*②시니어_가정!$E$114,0)</f>
        <v>0</v>
      </c>
      <c r="AS81" s="37" t="n">
        <f aca="false">IF(AS15=1,②시니어_가정!$D$38*②시니어_가정!$E$114,0)</f>
        <v>0</v>
      </c>
      <c r="AT81" s="37" t="n">
        <f aca="false">IF(AT15=1,②시니어_가정!$D$38*②시니어_가정!$E$114,0)</f>
        <v>0</v>
      </c>
      <c r="AU81" s="37" t="n">
        <f aca="false">IF(AU15=1,②시니어_가정!$D$38*②시니어_가정!$E$114,0)</f>
        <v>0</v>
      </c>
      <c r="AV81" s="37" t="n">
        <f aca="false">IF(AV15=1,②시니어_가정!$D$38*②시니어_가정!$E$114,0)</f>
        <v>0</v>
      </c>
      <c r="AW81" s="37" t="n">
        <f aca="false">IF(AW15=1,②시니어_가정!$D$38*②시니어_가정!$E$114,0)</f>
        <v>0</v>
      </c>
      <c r="AX81" s="37" t="n">
        <f aca="false">IF(AX15=1,②시니어_가정!$D$38*②시니어_가정!$E$114,0)</f>
        <v>0</v>
      </c>
      <c r="AY81" s="37" t="n">
        <f aca="false">IF(AY15=1,②시니어_가정!$D$38*②시니어_가정!$E$114,0)</f>
        <v>0</v>
      </c>
      <c r="AZ81" s="37" t="n">
        <f aca="false">IF(AZ15=1,②시니어_가정!$D$38*②시니어_가정!$E$114,0)</f>
        <v>0</v>
      </c>
      <c r="BA81" s="37" t="n">
        <f aca="false">IF(BA15=1,②시니어_가정!$D$38*②시니어_가정!$E$114,0)</f>
        <v>0</v>
      </c>
      <c r="BB81" s="37" t="n">
        <f aca="false">IF(BB15=1,②시니어_가정!$D$38*②시니어_가정!$E$114,0)</f>
        <v>0</v>
      </c>
      <c r="BC81" s="37" t="n">
        <f aca="false">IF(BC15=1,②시니어_가정!$D$38*②시니어_가정!$E$114,0)</f>
        <v>0</v>
      </c>
      <c r="BD81" s="37" t="n">
        <f aca="false">IF(BD15=1,②시니어_가정!$D$38*②시니어_가정!$E$114,0)</f>
        <v>0</v>
      </c>
      <c r="BE81" s="37" t="n">
        <f aca="false">IF(BE15=1,②시니어_가정!$D$38*②시니어_가정!$E$114,0)</f>
        <v>0</v>
      </c>
      <c r="BF81" s="37" t="n">
        <f aca="false">IF(BF15=1,②시니어_가정!$D$38*②시니어_가정!$E$114,0)</f>
        <v>0</v>
      </c>
      <c r="BG81" s="37" t="n">
        <f aca="false">IF(BG15=1,②시니어_가정!$D$38*②시니어_가정!$E$114,0)</f>
        <v>0</v>
      </c>
      <c r="BH81" s="37" t="n">
        <f aca="false">IF(BH15=1,②시니어_가정!$D$38*②시니어_가정!$E$114,0)</f>
        <v>0</v>
      </c>
      <c r="BI81" s="37" t="n">
        <f aca="false">IF(BI15=1,②시니어_가정!$D$38*②시니어_가정!$E$114,0)</f>
        <v>0</v>
      </c>
      <c r="BJ81" s="37" t="n">
        <f aca="false">IF(BJ15=1,②시니어_가정!$D$38*②시니어_가정!$E$114,0)</f>
        <v>0</v>
      </c>
      <c r="BK81" s="37" t="n">
        <f aca="false">IF(BK15=1,②시니어_가정!$D$38*②시니어_가정!$E$114,0)</f>
        <v>0</v>
      </c>
      <c r="BL81" s="37" t="n">
        <f aca="false">IF(BL15=1,②시니어_가정!$D$38*②시니어_가정!$E$114,0)</f>
        <v>0</v>
      </c>
      <c r="BM81" s="37" t="n">
        <f aca="false">IF(BM15=1,②시니어_가정!$D$38*②시니어_가정!$E$114,0)</f>
        <v>1500</v>
      </c>
      <c r="BN81" s="37" t="n">
        <f aca="false">IF(BN15=1,②시니어_가정!$D$38*②시니어_가정!$E$114,0)</f>
        <v>0</v>
      </c>
      <c r="BO81" s="37" t="n">
        <f aca="false">IF(BO15=1,②시니어_가정!$D$38*②시니어_가정!$E$114,0)</f>
        <v>0</v>
      </c>
      <c r="BP81" s="37" t="n">
        <f aca="false">IF(BP15=1,②시니어_가정!$D$38*②시니어_가정!$E$114,0)</f>
        <v>0</v>
      </c>
      <c r="BQ81" s="37" t="n">
        <f aca="false">IF(BQ15=1,②시니어_가정!$D$38*②시니어_가정!$E$114,0)</f>
        <v>0</v>
      </c>
      <c r="BR81" s="37" t="n">
        <f aca="false">IF(BR15=1,②시니어_가정!$D$38*②시니어_가정!$E$114,0)</f>
        <v>0</v>
      </c>
      <c r="BS81" s="37" t="n">
        <f aca="false">IF(BS15=1,②시니어_가정!$D$38*②시니어_가정!$E$114,0)</f>
        <v>0</v>
      </c>
      <c r="BT81" s="37" t="n">
        <f aca="false">IF(BT15=1,②시니어_가정!$D$38*②시니어_가정!$E$114,0)</f>
        <v>0</v>
      </c>
      <c r="BU81" s="37" t="n">
        <f aca="false">IF(BU15=1,②시니어_가정!$D$38*②시니어_가정!$E$114,0)</f>
        <v>0</v>
      </c>
      <c r="BV81" s="37" t="n">
        <f aca="false">IF(BV15=1,②시니어_가정!$D$38*②시니어_가정!$E$114,0)</f>
        <v>0</v>
      </c>
      <c r="BW81" s="37" t="n">
        <f aca="false">IF(BW15=1,②시니어_가정!$D$38*②시니어_가정!$E$114,0)</f>
        <v>0</v>
      </c>
      <c r="BX81" s="37" t="n">
        <f aca="false">IF(BX15=1,②시니어_가정!$D$38*②시니어_가정!$E$114,0)</f>
        <v>0</v>
      </c>
      <c r="BY81" s="37" t="n">
        <f aca="false">IF(BY15=1,②시니어_가정!$D$38*②시니어_가정!$E$114,0)</f>
        <v>0</v>
      </c>
      <c r="BZ81" s="37" t="n">
        <f aca="false">IF(BZ15=1,②시니어_가정!$D$38*②시니어_가정!$E$114,0)</f>
        <v>0</v>
      </c>
      <c r="CA81" s="37" t="n">
        <f aca="false">IF(CA15=1,②시니어_가정!$D$38*②시니어_가정!$E$114,0)</f>
        <v>0</v>
      </c>
      <c r="CB81" s="37" t="n">
        <f aca="false">IF(CB15=1,②시니어_가정!$D$38*②시니어_가정!$E$114,0)</f>
        <v>0</v>
      </c>
      <c r="CC81" s="37" t="n">
        <f aca="false">IF(CC15=1,②시니어_가정!$D$38*②시니어_가정!$E$114,0)</f>
        <v>0</v>
      </c>
      <c r="CD81" s="37" t="n">
        <f aca="false">IF(CD15=1,②시니어_가정!$D$38*②시니어_가정!$E$114,0)</f>
        <v>0</v>
      </c>
      <c r="CE81" s="37" t="n">
        <f aca="false">IF(CE15=1,②시니어_가정!$D$38*②시니어_가정!$E$114,0)</f>
        <v>0</v>
      </c>
      <c r="CF81" s="37" t="n">
        <f aca="false">IF(CF15=1,②시니어_가정!$D$38*②시니어_가정!$E$114,0)</f>
        <v>0</v>
      </c>
      <c r="CG81" s="37" t="n">
        <f aca="false">IF(CG15=1,②시니어_가정!$D$38*②시니어_가정!$E$114,0)</f>
        <v>0</v>
      </c>
      <c r="CH81" s="37" t="n">
        <f aca="false">IF(CH15=1,②시니어_가정!$D$38*②시니어_가정!$E$114,0)</f>
        <v>0</v>
      </c>
      <c r="CI81" s="37" t="n">
        <f aca="false">IF(CI15=1,②시니어_가정!$D$38*②시니어_가정!$E$114,0)</f>
        <v>0</v>
      </c>
      <c r="CJ81" s="37" t="n">
        <f aca="false">IF(CJ15=1,②시니어_가정!$D$38*②시니어_가정!$E$114,0)</f>
        <v>0</v>
      </c>
      <c r="CK81" s="37" t="n">
        <f aca="false">IF(CK15=1,②시니어_가정!$D$38*②시니어_가정!$E$114,0)</f>
        <v>0</v>
      </c>
      <c r="CL81" s="37" t="n">
        <f aca="false">IF(CL15=1,②시니어_가정!$D$38*②시니어_가정!$E$114,0)</f>
        <v>0</v>
      </c>
      <c r="CM81" s="37" t="n">
        <f aca="false">IF(CM15=1,②시니어_가정!$D$38*②시니어_가정!$E$114,0)</f>
        <v>0</v>
      </c>
      <c r="CN81" s="37" t="n">
        <f aca="false">IF(CN15=1,②시니어_가정!$D$38*②시니어_가정!$E$114,0)</f>
        <v>0</v>
      </c>
      <c r="CO81" s="37" t="n">
        <f aca="false">IF(CO15=1,②시니어_가정!$D$38*②시니어_가정!$E$114,0)</f>
        <v>0</v>
      </c>
      <c r="CP81" s="37" t="n">
        <f aca="false">IF(CP15=1,②시니어_가정!$D$38*②시니어_가정!$E$114,0)</f>
        <v>0</v>
      </c>
      <c r="CQ81" s="37" t="n">
        <f aca="false">IF(CQ15=1,②시니어_가정!$D$38*②시니어_가정!$E$114,0)</f>
        <v>0</v>
      </c>
      <c r="CR81" s="37" t="n">
        <f aca="false">IF(CR15=1,②시니어_가정!$D$38*②시니어_가정!$E$114,0)</f>
        <v>0</v>
      </c>
      <c r="CS81" s="37" t="n">
        <f aca="false">IF(CS15=1,②시니어_가정!$D$38*②시니어_가정!$E$114,0)</f>
        <v>0</v>
      </c>
      <c r="CT81" s="37" t="n">
        <f aca="false">IF(CT15=1,②시니어_가정!$D$38*②시니어_가정!$E$114,0)</f>
        <v>0</v>
      </c>
      <c r="CU81" s="37" t="n">
        <f aca="false">IF(CU15=1,②시니어_가정!$D$38*②시니어_가정!$E$114,0)</f>
        <v>0</v>
      </c>
      <c r="CV81" s="37" t="n">
        <f aca="false">IF(CV15=1,②시니어_가정!$D$38*②시니어_가정!$E$114,0)</f>
        <v>0</v>
      </c>
      <c r="CW81" s="37" t="n">
        <f aca="false">IF(CW15=1,②시니어_가정!$D$38*②시니어_가정!$E$114,0)</f>
        <v>0</v>
      </c>
      <c r="CX81" s="37" t="n">
        <f aca="false">IF(CX15=1,②시니어_가정!$D$38*②시니어_가정!$E$114,0)</f>
        <v>0</v>
      </c>
      <c r="CY81" s="37" t="n">
        <f aca="false">IF(CY15=1,②시니어_가정!$D$38*②시니어_가정!$E$114,0)</f>
        <v>0</v>
      </c>
      <c r="CZ81" s="37" t="n">
        <f aca="false">IF(CZ15=1,②시니어_가정!$D$38*②시니어_가정!$E$114,0)</f>
        <v>0</v>
      </c>
      <c r="DA81" s="37" t="n">
        <f aca="false">IF(DA15=1,②시니어_가정!$D$38*②시니어_가정!$E$114,0)</f>
        <v>0</v>
      </c>
      <c r="DB81" s="37" t="n">
        <f aca="false">IF(DB15=1,②시니어_가정!$D$38*②시니어_가정!$E$114,0)</f>
        <v>0</v>
      </c>
      <c r="DC81" s="37" t="n">
        <f aca="false">IF(DC15=1,②시니어_가정!$D$38*②시니어_가정!$E$114,0)</f>
        <v>0</v>
      </c>
      <c r="DD81" s="37" t="n">
        <f aca="false">IF(DD15=1,②시니어_가정!$D$38*②시니어_가정!$E$114,0)</f>
        <v>0</v>
      </c>
      <c r="DE81" s="37" t="n">
        <f aca="false">IF(DE15=1,②시니어_가정!$D$38*②시니어_가정!$E$114,0)</f>
        <v>0</v>
      </c>
      <c r="DF81" s="37" t="n">
        <f aca="false">IF(DF15=1,②시니어_가정!$D$38*②시니어_가정!$E$114,0)</f>
        <v>0</v>
      </c>
      <c r="DG81" s="37" t="n">
        <f aca="false">IF(DG15=1,②시니어_가정!$D$38*②시니어_가정!$E$114,0)</f>
        <v>0</v>
      </c>
      <c r="DH81" s="37" t="n">
        <f aca="false">IF(DH15=1,②시니어_가정!$D$38*②시니어_가정!$E$114,0)</f>
        <v>0</v>
      </c>
      <c r="DI81" s="37" t="n">
        <f aca="false">IF(DI15=1,②시니어_가정!$D$38*②시니어_가정!$E$114,0)</f>
        <v>0</v>
      </c>
      <c r="DJ81" s="37" t="n">
        <f aca="false">IF(DJ15=1,②시니어_가정!$D$38*②시니어_가정!$E$114,0)</f>
        <v>0</v>
      </c>
      <c r="DK81" s="37" t="n">
        <f aca="false">IF(DK15=1,②시니어_가정!$D$38*②시니어_가정!$E$114,0)</f>
        <v>0</v>
      </c>
      <c r="DL81" s="37" t="n">
        <f aca="false">IF(DL15=1,②시니어_가정!$D$38*②시니어_가정!$E$114,0)</f>
        <v>0</v>
      </c>
      <c r="DM81" s="37" t="n">
        <f aca="false">IF(DM15=1,②시니어_가정!$D$38*②시니어_가정!$E$114,0)</f>
        <v>0</v>
      </c>
      <c r="DN81" s="37" t="n">
        <f aca="false">IF(DN15=1,②시니어_가정!$D$38*②시니어_가정!$E$114,0)</f>
        <v>0</v>
      </c>
      <c r="DO81" s="37" t="n">
        <f aca="false">IF(DO15=1,②시니어_가정!$D$38*②시니어_가정!$E$114,0)</f>
        <v>0</v>
      </c>
      <c r="DP81" s="37" t="n">
        <f aca="false">IF(DP15=1,②시니어_가정!$D$38*②시니어_가정!$E$114,0)</f>
        <v>0</v>
      </c>
      <c r="DQ81" s="37" t="n">
        <f aca="false">IF(DQ15=1,②시니어_가정!$D$38*②시니어_가정!$E$114,0)</f>
        <v>0</v>
      </c>
      <c r="DR81" s="37" t="n">
        <f aca="false">IF(DR15=1,②시니어_가정!$D$38*②시니어_가정!$E$114,0)</f>
        <v>0</v>
      </c>
      <c r="DS81" s="37" t="n">
        <f aca="false">IF(DS15=1,②시니어_가정!$D$38*②시니어_가정!$E$114,0)</f>
        <v>0</v>
      </c>
      <c r="DT81" s="37" t="n">
        <f aca="false">IF(DT15=1,②시니어_가정!$D$38*②시니어_가정!$E$114,0)</f>
        <v>0</v>
      </c>
      <c r="DU81" s="37" t="n">
        <f aca="false">IF(DU15=1,②시니어_가정!$D$38*②시니어_가정!$E$114,0)</f>
        <v>0</v>
      </c>
      <c r="DV81" s="37" t="n">
        <f aca="false">IF(DV15=1,②시니어_가정!$D$38*②시니어_가정!$E$114,0)</f>
        <v>0</v>
      </c>
      <c r="DW81" s="37" t="n">
        <f aca="false">IF(DW15=1,②시니어_가정!$D$38*②시니어_가정!$E$114,0)</f>
        <v>0</v>
      </c>
      <c r="DX81" s="37" t="n">
        <f aca="false">IF(DX15=1,②시니어_가정!$D$38*②시니어_가정!$E$114,0)</f>
        <v>0</v>
      </c>
      <c r="DY81" s="37" t="n">
        <f aca="false">IF(DY15=1,②시니어_가정!$D$38*②시니어_가정!$E$114,0)</f>
        <v>0</v>
      </c>
      <c r="DZ81" s="37" t="n">
        <f aca="false">IF(DZ15=1,②시니어_가정!$D$38*②시니어_가정!$E$114,0)</f>
        <v>0</v>
      </c>
      <c r="EA81" s="37" t="n">
        <f aca="false">IF(EA15=1,②시니어_가정!$D$38*②시니어_가정!$E$114,0)</f>
        <v>0</v>
      </c>
      <c r="EB81" s="37" t="n">
        <f aca="false">IF(EB15=1,②시니어_가정!$D$38*②시니어_가정!$E$114,0)</f>
        <v>0</v>
      </c>
      <c r="EC81" s="37" t="n">
        <f aca="false">IF(EC15=1,②시니어_가정!$D$38*②시니어_가정!$E$114,0)</f>
        <v>0</v>
      </c>
      <c r="ED81" s="37" t="n">
        <f aca="false">IF(ED15=1,②시니어_가정!$D$38*②시니어_가정!$E$114,0)</f>
        <v>0</v>
      </c>
      <c r="EE81" s="37" t="n">
        <f aca="false">IF(EE15=1,②시니어_가정!$D$38*②시니어_가정!$E$114,0)</f>
        <v>0</v>
      </c>
      <c r="EF81" s="37" t="n">
        <f aca="false">IF(EF15=1,②시니어_가정!$D$38*②시니어_가정!$E$114,0)</f>
        <v>0</v>
      </c>
    </row>
    <row r="82" customFormat="false" ht="15" hidden="false" customHeight="false" outlineLevel="0" collapsed="false">
      <c r="A82" s="36" t="s">
        <v>624</v>
      </c>
      <c r="B82" s="278" t="s">
        <v>21</v>
      </c>
      <c r="C82" s="279" t="n">
        <f aca="false">SUM(E82:EF82)</f>
        <v>0</v>
      </c>
      <c r="E82" s="37" t="n">
        <f aca="false">IF(E15=1,②시니어_가정!$G$38*②시니어_가정!$E$182,0)</f>
        <v>0</v>
      </c>
      <c r="F82" s="37" t="n">
        <f aca="false">IF(F15=1,②시니어_가정!$G$38*②시니어_가정!$E$182,0)</f>
        <v>0</v>
      </c>
      <c r="G82" s="37" t="n">
        <f aca="false">IF(G15=1,②시니어_가정!$G$38*②시니어_가정!$E$182,0)</f>
        <v>0</v>
      </c>
      <c r="H82" s="37" t="n">
        <f aca="false">IF(H15=1,②시니어_가정!$G$38*②시니어_가정!$E$182,0)</f>
        <v>0</v>
      </c>
      <c r="I82" s="37" t="n">
        <f aca="false">IF(I15=1,②시니어_가정!$G$38*②시니어_가정!$E$182,0)</f>
        <v>0</v>
      </c>
      <c r="J82" s="37" t="n">
        <f aca="false">IF(J15=1,②시니어_가정!$G$38*②시니어_가정!$E$182,0)</f>
        <v>0</v>
      </c>
      <c r="K82" s="37" t="n">
        <f aca="false">IF(K15=1,②시니어_가정!$G$38*②시니어_가정!$E$182,0)</f>
        <v>0</v>
      </c>
      <c r="L82" s="37" t="n">
        <f aca="false">IF(L15=1,②시니어_가정!$G$38*②시니어_가정!$E$182,0)</f>
        <v>0</v>
      </c>
      <c r="M82" s="37" t="n">
        <f aca="false">IF(M15=1,②시니어_가정!$G$38*②시니어_가정!$E$182,0)</f>
        <v>0</v>
      </c>
      <c r="N82" s="37" t="n">
        <f aca="false">IF(N15=1,②시니어_가정!$G$38*②시니어_가정!$E$182,0)</f>
        <v>0</v>
      </c>
      <c r="O82" s="37" t="n">
        <f aca="false">IF(O15=1,②시니어_가정!$G$38*②시니어_가정!$E$182,0)</f>
        <v>0</v>
      </c>
      <c r="P82" s="37" t="n">
        <f aca="false">IF(P15=1,②시니어_가정!$G$38*②시니어_가정!$E$182,0)</f>
        <v>0</v>
      </c>
      <c r="Q82" s="37" t="n">
        <f aca="false">IF(Q15=1,②시니어_가정!$G$38*②시니어_가정!$E$182,0)</f>
        <v>0</v>
      </c>
      <c r="R82" s="37" t="n">
        <f aca="false">IF(R15=1,②시니어_가정!$G$38*②시니어_가정!$E$182,0)</f>
        <v>0</v>
      </c>
      <c r="S82" s="37" t="n">
        <f aca="false">IF(S15=1,②시니어_가정!$G$38*②시니어_가정!$E$182,0)</f>
        <v>0</v>
      </c>
      <c r="T82" s="37" t="n">
        <f aca="false">IF(T15=1,②시니어_가정!$G$38*②시니어_가정!$E$182,0)</f>
        <v>0</v>
      </c>
      <c r="U82" s="37" t="n">
        <f aca="false">IF(U15=1,②시니어_가정!$G$38*②시니어_가정!$E$182,0)</f>
        <v>0</v>
      </c>
      <c r="V82" s="37" t="n">
        <f aca="false">IF(V15=1,②시니어_가정!$G$38*②시니어_가정!$E$182,0)</f>
        <v>0</v>
      </c>
      <c r="W82" s="37" t="n">
        <f aca="false">IF(W15=1,②시니어_가정!$G$38*②시니어_가정!$E$182,0)</f>
        <v>0</v>
      </c>
      <c r="X82" s="37" t="n">
        <f aca="false">IF(X15=1,②시니어_가정!$G$38*②시니어_가정!$E$182,0)</f>
        <v>0</v>
      </c>
      <c r="Y82" s="37" t="n">
        <f aca="false">IF(Y15=1,②시니어_가정!$G$38*②시니어_가정!$E$182,0)</f>
        <v>0</v>
      </c>
      <c r="Z82" s="37" t="n">
        <f aca="false">IF(Z15=1,②시니어_가정!$G$38*②시니어_가정!$E$182,0)</f>
        <v>0</v>
      </c>
      <c r="AA82" s="37" t="n">
        <f aca="false">IF(AA15=1,②시니어_가정!$G$38*②시니어_가정!$E$182,0)</f>
        <v>0</v>
      </c>
      <c r="AB82" s="37" t="n">
        <f aca="false">IF(AB15=1,②시니어_가정!$G$38*②시니어_가정!$E$182,0)</f>
        <v>0</v>
      </c>
      <c r="AC82" s="37" t="n">
        <f aca="false">IF(AC15=1,②시니어_가정!$G$38*②시니어_가정!$E$182,0)</f>
        <v>0</v>
      </c>
      <c r="AD82" s="37" t="n">
        <f aca="false">IF(AD15=1,②시니어_가정!$G$38*②시니어_가정!$E$182,0)</f>
        <v>0</v>
      </c>
      <c r="AE82" s="37" t="n">
        <f aca="false">IF(AE15=1,②시니어_가정!$G$38*②시니어_가정!$E$182,0)</f>
        <v>0</v>
      </c>
      <c r="AF82" s="37" t="n">
        <f aca="false">IF(AF15=1,②시니어_가정!$G$38*②시니어_가정!$E$182,0)</f>
        <v>0</v>
      </c>
      <c r="AG82" s="37" t="n">
        <f aca="false">IF(AG15=1,②시니어_가정!$G$38*②시니어_가정!$E$182,0)</f>
        <v>0</v>
      </c>
      <c r="AH82" s="37" t="n">
        <f aca="false">IF(AH15=1,②시니어_가정!$G$38*②시니어_가정!$E$182,0)</f>
        <v>0</v>
      </c>
      <c r="AI82" s="37" t="n">
        <f aca="false">IF(AI15=1,②시니어_가정!$G$38*②시니어_가정!$E$182,0)</f>
        <v>0</v>
      </c>
      <c r="AJ82" s="37" t="n">
        <f aca="false">IF(AJ15=1,②시니어_가정!$G$38*②시니어_가정!$E$182,0)</f>
        <v>0</v>
      </c>
      <c r="AK82" s="37" t="n">
        <f aca="false">IF(AK15=1,②시니어_가정!$G$38*②시니어_가정!$E$182,0)</f>
        <v>0</v>
      </c>
      <c r="AL82" s="37" t="n">
        <f aca="false">IF(AL15=1,②시니어_가정!$G$38*②시니어_가정!$E$182,0)</f>
        <v>0</v>
      </c>
      <c r="AM82" s="37" t="n">
        <f aca="false">IF(AM15=1,②시니어_가정!$G$38*②시니어_가정!$E$182,0)</f>
        <v>0</v>
      </c>
      <c r="AN82" s="37" t="n">
        <f aca="false">IF(AN15=1,②시니어_가정!$G$38*②시니어_가정!$E$182,0)</f>
        <v>0</v>
      </c>
      <c r="AO82" s="37" t="n">
        <f aca="false">IF(AO15=1,②시니어_가정!$G$38*②시니어_가정!$E$182,0)</f>
        <v>0</v>
      </c>
      <c r="AP82" s="37" t="n">
        <f aca="false">IF(AP15=1,②시니어_가정!$G$38*②시니어_가정!$E$182,0)</f>
        <v>0</v>
      </c>
      <c r="AQ82" s="37" t="n">
        <f aca="false">IF(AQ15=1,②시니어_가정!$G$38*②시니어_가정!$E$182,0)</f>
        <v>0</v>
      </c>
      <c r="AR82" s="37" t="n">
        <f aca="false">IF(AR15=1,②시니어_가정!$G$38*②시니어_가정!$E$182,0)</f>
        <v>0</v>
      </c>
      <c r="AS82" s="37" t="n">
        <f aca="false">IF(AS15=1,②시니어_가정!$G$38*②시니어_가정!$E$182,0)</f>
        <v>0</v>
      </c>
      <c r="AT82" s="37" t="n">
        <f aca="false">IF(AT15=1,②시니어_가정!$G$38*②시니어_가정!$E$182,0)</f>
        <v>0</v>
      </c>
      <c r="AU82" s="37" t="n">
        <f aca="false">IF(AU15=1,②시니어_가정!$G$38*②시니어_가정!$E$182,0)</f>
        <v>0</v>
      </c>
      <c r="AV82" s="37" t="n">
        <f aca="false">IF(AV15=1,②시니어_가정!$G$38*②시니어_가정!$E$182,0)</f>
        <v>0</v>
      </c>
      <c r="AW82" s="37" t="n">
        <f aca="false">IF(AW15=1,②시니어_가정!$G$38*②시니어_가정!$E$182,0)</f>
        <v>0</v>
      </c>
      <c r="AX82" s="37" t="n">
        <f aca="false">IF(AX15=1,②시니어_가정!$G$38*②시니어_가정!$E$182,0)</f>
        <v>0</v>
      </c>
      <c r="AY82" s="37" t="n">
        <f aca="false">IF(AY15=1,②시니어_가정!$G$38*②시니어_가정!$E$182,0)</f>
        <v>0</v>
      </c>
      <c r="AZ82" s="37" t="n">
        <f aca="false">IF(AZ15=1,②시니어_가정!$G$38*②시니어_가정!$E$182,0)</f>
        <v>0</v>
      </c>
      <c r="BA82" s="37" t="n">
        <f aca="false">IF(BA15=1,②시니어_가정!$G$38*②시니어_가정!$E$182,0)</f>
        <v>0</v>
      </c>
      <c r="BB82" s="37" t="n">
        <f aca="false">IF(BB15=1,②시니어_가정!$G$38*②시니어_가정!$E$182,0)</f>
        <v>0</v>
      </c>
      <c r="BC82" s="37" t="n">
        <f aca="false">IF(BC15=1,②시니어_가정!$G$38*②시니어_가정!$E$182,0)</f>
        <v>0</v>
      </c>
      <c r="BD82" s="37" t="n">
        <f aca="false">IF(BD15=1,②시니어_가정!$G$38*②시니어_가정!$E$182,0)</f>
        <v>0</v>
      </c>
      <c r="BE82" s="37" t="n">
        <f aca="false">IF(BE15=1,②시니어_가정!$G$38*②시니어_가정!$E$182,0)</f>
        <v>0</v>
      </c>
      <c r="BF82" s="37" t="n">
        <f aca="false">IF(BF15=1,②시니어_가정!$G$38*②시니어_가정!$E$182,0)</f>
        <v>0</v>
      </c>
      <c r="BG82" s="37" t="n">
        <f aca="false">IF(BG15=1,②시니어_가정!$G$38*②시니어_가정!$E$182,0)</f>
        <v>0</v>
      </c>
      <c r="BH82" s="37" t="n">
        <f aca="false">IF(BH15=1,②시니어_가정!$G$38*②시니어_가정!$E$182,0)</f>
        <v>0</v>
      </c>
      <c r="BI82" s="37" t="n">
        <f aca="false">IF(BI15=1,②시니어_가정!$G$38*②시니어_가정!$E$182,0)</f>
        <v>0</v>
      </c>
      <c r="BJ82" s="37" t="n">
        <f aca="false">IF(BJ15=1,②시니어_가정!$G$38*②시니어_가정!$E$182,0)</f>
        <v>0</v>
      </c>
      <c r="BK82" s="37" t="n">
        <f aca="false">IF(BK15=1,②시니어_가정!$G$38*②시니어_가정!$E$182,0)</f>
        <v>0</v>
      </c>
      <c r="BL82" s="37" t="n">
        <f aca="false">IF(BL15=1,②시니어_가정!$G$38*②시니어_가정!$E$182,0)</f>
        <v>0</v>
      </c>
      <c r="BM82" s="37" t="n">
        <f aca="false">IF(BM15=1,②시니어_가정!$G$38*②시니어_가정!$E$182,0)</f>
        <v>0</v>
      </c>
      <c r="BN82" s="37" t="n">
        <f aca="false">IF(BN15=1,②시니어_가정!$G$38*②시니어_가정!$E$182,0)</f>
        <v>0</v>
      </c>
      <c r="BO82" s="37" t="n">
        <f aca="false">IF(BO15=1,②시니어_가정!$G$38*②시니어_가정!$E$182,0)</f>
        <v>0</v>
      </c>
      <c r="BP82" s="37" t="n">
        <f aca="false">IF(BP15=1,②시니어_가정!$G$38*②시니어_가정!$E$182,0)</f>
        <v>0</v>
      </c>
      <c r="BQ82" s="37" t="n">
        <f aca="false">IF(BQ15=1,②시니어_가정!$G$38*②시니어_가정!$E$182,0)</f>
        <v>0</v>
      </c>
      <c r="BR82" s="37" t="n">
        <f aca="false">IF(BR15=1,②시니어_가정!$G$38*②시니어_가정!$E$182,0)</f>
        <v>0</v>
      </c>
      <c r="BS82" s="37" t="n">
        <f aca="false">IF(BS15=1,②시니어_가정!$G$38*②시니어_가정!$E$182,0)</f>
        <v>0</v>
      </c>
      <c r="BT82" s="37" t="n">
        <f aca="false">IF(BT15=1,②시니어_가정!$G$38*②시니어_가정!$E$182,0)</f>
        <v>0</v>
      </c>
      <c r="BU82" s="37" t="n">
        <f aca="false">IF(BU15=1,②시니어_가정!$G$38*②시니어_가정!$E$182,0)</f>
        <v>0</v>
      </c>
      <c r="BV82" s="37" t="n">
        <f aca="false">IF(BV15=1,②시니어_가정!$G$38*②시니어_가정!$E$182,0)</f>
        <v>0</v>
      </c>
      <c r="BW82" s="37" t="n">
        <f aca="false">IF(BW15=1,②시니어_가정!$G$38*②시니어_가정!$E$182,0)</f>
        <v>0</v>
      </c>
      <c r="BX82" s="37" t="n">
        <f aca="false">IF(BX15=1,②시니어_가정!$G$38*②시니어_가정!$E$182,0)</f>
        <v>0</v>
      </c>
      <c r="BY82" s="37" t="n">
        <f aca="false">IF(BY15=1,②시니어_가정!$G$38*②시니어_가정!$E$182,0)</f>
        <v>0</v>
      </c>
      <c r="BZ82" s="37" t="n">
        <f aca="false">IF(BZ15=1,②시니어_가정!$G$38*②시니어_가정!$E$182,0)</f>
        <v>0</v>
      </c>
      <c r="CA82" s="37" t="n">
        <f aca="false">IF(CA15=1,②시니어_가정!$G$38*②시니어_가정!$E$182,0)</f>
        <v>0</v>
      </c>
      <c r="CB82" s="37" t="n">
        <f aca="false">IF(CB15=1,②시니어_가정!$G$38*②시니어_가정!$E$182,0)</f>
        <v>0</v>
      </c>
      <c r="CC82" s="37" t="n">
        <f aca="false">IF(CC15=1,②시니어_가정!$G$38*②시니어_가정!$E$182,0)</f>
        <v>0</v>
      </c>
      <c r="CD82" s="37" t="n">
        <f aca="false">IF(CD15=1,②시니어_가정!$G$38*②시니어_가정!$E$182,0)</f>
        <v>0</v>
      </c>
      <c r="CE82" s="37" t="n">
        <f aca="false">IF(CE15=1,②시니어_가정!$G$38*②시니어_가정!$E$182,0)</f>
        <v>0</v>
      </c>
      <c r="CF82" s="37" t="n">
        <f aca="false">IF(CF15=1,②시니어_가정!$G$38*②시니어_가정!$E$182,0)</f>
        <v>0</v>
      </c>
      <c r="CG82" s="37" t="n">
        <f aca="false">IF(CG15=1,②시니어_가정!$G$38*②시니어_가정!$E$182,0)</f>
        <v>0</v>
      </c>
      <c r="CH82" s="37" t="n">
        <f aca="false">IF(CH15=1,②시니어_가정!$G$38*②시니어_가정!$E$182,0)</f>
        <v>0</v>
      </c>
      <c r="CI82" s="37" t="n">
        <f aca="false">IF(CI15=1,②시니어_가정!$G$38*②시니어_가정!$E$182,0)</f>
        <v>0</v>
      </c>
      <c r="CJ82" s="37" t="n">
        <f aca="false">IF(CJ15=1,②시니어_가정!$G$38*②시니어_가정!$E$182,0)</f>
        <v>0</v>
      </c>
      <c r="CK82" s="37" t="n">
        <f aca="false">IF(CK15=1,②시니어_가정!$G$38*②시니어_가정!$E$182,0)</f>
        <v>0</v>
      </c>
      <c r="CL82" s="37" t="n">
        <f aca="false">IF(CL15=1,②시니어_가정!$G$38*②시니어_가정!$E$182,0)</f>
        <v>0</v>
      </c>
      <c r="CM82" s="37" t="n">
        <f aca="false">IF(CM15=1,②시니어_가정!$G$38*②시니어_가정!$E$182,0)</f>
        <v>0</v>
      </c>
      <c r="CN82" s="37" t="n">
        <f aca="false">IF(CN15=1,②시니어_가정!$G$38*②시니어_가정!$E$182,0)</f>
        <v>0</v>
      </c>
      <c r="CO82" s="37" t="n">
        <f aca="false">IF(CO15=1,②시니어_가정!$G$38*②시니어_가정!$E$182,0)</f>
        <v>0</v>
      </c>
      <c r="CP82" s="37" t="n">
        <f aca="false">IF(CP15=1,②시니어_가정!$G$38*②시니어_가정!$E$182,0)</f>
        <v>0</v>
      </c>
      <c r="CQ82" s="37" t="n">
        <f aca="false">IF(CQ15=1,②시니어_가정!$G$38*②시니어_가정!$E$182,0)</f>
        <v>0</v>
      </c>
      <c r="CR82" s="37" t="n">
        <f aca="false">IF(CR15=1,②시니어_가정!$G$38*②시니어_가정!$E$182,0)</f>
        <v>0</v>
      </c>
      <c r="CS82" s="37" t="n">
        <f aca="false">IF(CS15=1,②시니어_가정!$G$38*②시니어_가정!$E$182,0)</f>
        <v>0</v>
      </c>
      <c r="CT82" s="37" t="n">
        <f aca="false">IF(CT15=1,②시니어_가정!$G$38*②시니어_가정!$E$182,0)</f>
        <v>0</v>
      </c>
      <c r="CU82" s="37" t="n">
        <f aca="false">IF(CU15=1,②시니어_가정!$G$38*②시니어_가정!$E$182,0)</f>
        <v>0</v>
      </c>
      <c r="CV82" s="37" t="n">
        <f aca="false">IF(CV15=1,②시니어_가정!$G$38*②시니어_가정!$E$182,0)</f>
        <v>0</v>
      </c>
      <c r="CW82" s="37" t="n">
        <f aca="false">IF(CW15=1,②시니어_가정!$G$38*②시니어_가정!$E$182,0)</f>
        <v>0</v>
      </c>
      <c r="CX82" s="37" t="n">
        <f aca="false">IF(CX15=1,②시니어_가정!$G$38*②시니어_가정!$E$182,0)</f>
        <v>0</v>
      </c>
      <c r="CY82" s="37" t="n">
        <f aca="false">IF(CY15=1,②시니어_가정!$G$38*②시니어_가정!$E$182,0)</f>
        <v>0</v>
      </c>
      <c r="CZ82" s="37" t="n">
        <f aca="false">IF(CZ15=1,②시니어_가정!$G$38*②시니어_가정!$E$182,0)</f>
        <v>0</v>
      </c>
      <c r="DA82" s="37" t="n">
        <f aca="false">IF(DA15=1,②시니어_가정!$G$38*②시니어_가정!$E$182,0)</f>
        <v>0</v>
      </c>
      <c r="DB82" s="37" t="n">
        <f aca="false">IF(DB15=1,②시니어_가정!$G$38*②시니어_가정!$E$182,0)</f>
        <v>0</v>
      </c>
      <c r="DC82" s="37" t="n">
        <f aca="false">IF(DC15=1,②시니어_가정!$G$38*②시니어_가정!$E$182,0)</f>
        <v>0</v>
      </c>
      <c r="DD82" s="37" t="n">
        <f aca="false">IF(DD15=1,②시니어_가정!$G$38*②시니어_가정!$E$182,0)</f>
        <v>0</v>
      </c>
      <c r="DE82" s="37" t="n">
        <f aca="false">IF(DE15=1,②시니어_가정!$G$38*②시니어_가정!$E$182,0)</f>
        <v>0</v>
      </c>
      <c r="DF82" s="37" t="n">
        <f aca="false">IF(DF15=1,②시니어_가정!$G$38*②시니어_가정!$E$182,0)</f>
        <v>0</v>
      </c>
      <c r="DG82" s="37" t="n">
        <f aca="false">IF(DG15=1,②시니어_가정!$G$38*②시니어_가정!$E$182,0)</f>
        <v>0</v>
      </c>
      <c r="DH82" s="37" t="n">
        <f aca="false">IF(DH15=1,②시니어_가정!$G$38*②시니어_가정!$E$182,0)</f>
        <v>0</v>
      </c>
      <c r="DI82" s="37" t="n">
        <f aca="false">IF(DI15=1,②시니어_가정!$G$38*②시니어_가정!$E$182,0)</f>
        <v>0</v>
      </c>
      <c r="DJ82" s="37" t="n">
        <f aca="false">IF(DJ15=1,②시니어_가정!$G$38*②시니어_가정!$E$182,0)</f>
        <v>0</v>
      </c>
      <c r="DK82" s="37" t="n">
        <f aca="false">IF(DK15=1,②시니어_가정!$G$38*②시니어_가정!$E$182,0)</f>
        <v>0</v>
      </c>
      <c r="DL82" s="37" t="n">
        <f aca="false">IF(DL15=1,②시니어_가정!$G$38*②시니어_가정!$E$182,0)</f>
        <v>0</v>
      </c>
      <c r="DM82" s="37" t="n">
        <f aca="false">IF(DM15=1,②시니어_가정!$G$38*②시니어_가정!$E$182,0)</f>
        <v>0</v>
      </c>
      <c r="DN82" s="37" t="n">
        <f aca="false">IF(DN15=1,②시니어_가정!$G$38*②시니어_가정!$E$182,0)</f>
        <v>0</v>
      </c>
      <c r="DO82" s="37" t="n">
        <f aca="false">IF(DO15=1,②시니어_가정!$G$38*②시니어_가정!$E$182,0)</f>
        <v>0</v>
      </c>
      <c r="DP82" s="37" t="n">
        <f aca="false">IF(DP15=1,②시니어_가정!$G$38*②시니어_가정!$E$182,0)</f>
        <v>0</v>
      </c>
      <c r="DQ82" s="37" t="n">
        <f aca="false">IF(DQ15=1,②시니어_가정!$G$38*②시니어_가정!$E$182,0)</f>
        <v>0</v>
      </c>
      <c r="DR82" s="37" t="n">
        <f aca="false">IF(DR15=1,②시니어_가정!$G$38*②시니어_가정!$E$182,0)</f>
        <v>0</v>
      </c>
      <c r="DS82" s="37" t="n">
        <f aca="false">IF(DS15=1,②시니어_가정!$G$38*②시니어_가정!$E$182,0)</f>
        <v>0</v>
      </c>
      <c r="DT82" s="37" t="n">
        <f aca="false">IF(DT15=1,②시니어_가정!$G$38*②시니어_가정!$E$182,0)</f>
        <v>0</v>
      </c>
      <c r="DU82" s="37" t="n">
        <f aca="false">IF(DU15=1,②시니어_가정!$G$38*②시니어_가정!$E$182,0)</f>
        <v>0</v>
      </c>
      <c r="DV82" s="37" t="n">
        <f aca="false">IF(DV15=1,②시니어_가정!$G$38*②시니어_가정!$E$182,0)</f>
        <v>0</v>
      </c>
      <c r="DW82" s="37" t="n">
        <f aca="false">IF(DW15=1,②시니어_가정!$G$38*②시니어_가정!$E$182,0)</f>
        <v>0</v>
      </c>
      <c r="DX82" s="37" t="n">
        <f aca="false">IF(DX15=1,②시니어_가정!$G$38*②시니어_가정!$E$182,0)</f>
        <v>0</v>
      </c>
      <c r="DY82" s="37" t="n">
        <f aca="false">IF(DY15=1,②시니어_가정!$G$38*②시니어_가정!$E$182,0)</f>
        <v>0</v>
      </c>
      <c r="DZ82" s="37" t="n">
        <f aca="false">IF(DZ15=1,②시니어_가정!$G$38*②시니어_가정!$E$182,0)</f>
        <v>0</v>
      </c>
      <c r="EA82" s="37" t="n">
        <f aca="false">IF(EA15=1,②시니어_가정!$G$38*②시니어_가정!$E$182,0)</f>
        <v>0</v>
      </c>
      <c r="EB82" s="37" t="n">
        <f aca="false">IF(EB15=1,②시니어_가정!$G$38*②시니어_가정!$E$182,0)</f>
        <v>0</v>
      </c>
      <c r="EC82" s="37" t="n">
        <f aca="false">IF(EC15=1,②시니어_가정!$G$38*②시니어_가정!$E$182,0)</f>
        <v>0</v>
      </c>
      <c r="ED82" s="37" t="n">
        <f aca="false">IF(ED15=1,②시니어_가정!$G$38*②시니어_가정!$E$182,0)</f>
        <v>0</v>
      </c>
      <c r="EE82" s="37" t="n">
        <f aca="false">IF(EE15=1,②시니어_가정!$G$38*②시니어_가정!$E$182,0)</f>
        <v>0</v>
      </c>
      <c r="EF82" s="37" t="n">
        <f aca="false">IF(EF15=1,②시니어_가정!$G$38*②시니어_가정!$E$182,0)</f>
        <v>0</v>
      </c>
    </row>
    <row r="83" customFormat="false" ht="15" hidden="false" customHeight="false" outlineLevel="0" collapsed="false">
      <c r="A83" s="36" t="s">
        <v>625</v>
      </c>
      <c r="B83" s="278" t="s">
        <v>21</v>
      </c>
      <c r="C83" s="279" t="n">
        <f aca="false">SUM(E83:EF83)</f>
        <v>0</v>
      </c>
      <c r="E83" s="37" t="n">
        <f aca="false">IF(E15=1,②시니어_가정!$H$38*(②시니어_가정!$E$200+②시니어_가정!$E$213+②시니어_가정!$E$226+②시니어_가정!$E$239+②시니어_가정!$E$252),0)</f>
        <v>0</v>
      </c>
      <c r="F83" s="37" t="n">
        <f aca="false">IF(F15=1,②시니어_가정!$H$38*(②시니어_가정!$E$200+②시니어_가정!$E$213+②시니어_가정!$E$226+②시니어_가정!$E$239+②시니어_가정!$E$252),0)</f>
        <v>0</v>
      </c>
      <c r="G83" s="37" t="n">
        <f aca="false">IF(G15=1,②시니어_가정!$H$38*(②시니어_가정!$E$200+②시니어_가정!$E$213+②시니어_가정!$E$226+②시니어_가정!$E$239+②시니어_가정!$E$252),0)</f>
        <v>0</v>
      </c>
      <c r="H83" s="37" t="n">
        <f aca="false">IF(H15=1,②시니어_가정!$H$38*(②시니어_가정!$E$200+②시니어_가정!$E$213+②시니어_가정!$E$226+②시니어_가정!$E$239+②시니어_가정!$E$252),0)</f>
        <v>0</v>
      </c>
      <c r="I83" s="37" t="n">
        <f aca="false">IF(I15=1,②시니어_가정!$H$38*(②시니어_가정!$E$200+②시니어_가정!$E$213+②시니어_가정!$E$226+②시니어_가정!$E$239+②시니어_가정!$E$252),0)</f>
        <v>0</v>
      </c>
      <c r="J83" s="37" t="n">
        <f aca="false">IF(J15=1,②시니어_가정!$H$38*(②시니어_가정!$E$200+②시니어_가정!$E$213+②시니어_가정!$E$226+②시니어_가정!$E$239+②시니어_가정!$E$252),0)</f>
        <v>0</v>
      </c>
      <c r="K83" s="37" t="n">
        <f aca="false">IF(K15=1,②시니어_가정!$H$38*(②시니어_가정!$E$200+②시니어_가정!$E$213+②시니어_가정!$E$226+②시니어_가정!$E$239+②시니어_가정!$E$252),0)</f>
        <v>0</v>
      </c>
      <c r="L83" s="37" t="n">
        <f aca="false">IF(L15=1,②시니어_가정!$H$38*(②시니어_가정!$E$200+②시니어_가정!$E$213+②시니어_가정!$E$226+②시니어_가정!$E$239+②시니어_가정!$E$252),0)</f>
        <v>0</v>
      </c>
      <c r="M83" s="37" t="n">
        <f aca="false">IF(M15=1,②시니어_가정!$H$38*(②시니어_가정!$E$200+②시니어_가정!$E$213+②시니어_가정!$E$226+②시니어_가정!$E$239+②시니어_가정!$E$252),0)</f>
        <v>0</v>
      </c>
      <c r="N83" s="37" t="n">
        <f aca="false">IF(N15=1,②시니어_가정!$H$38*(②시니어_가정!$E$200+②시니어_가정!$E$213+②시니어_가정!$E$226+②시니어_가정!$E$239+②시니어_가정!$E$252),0)</f>
        <v>0</v>
      </c>
      <c r="O83" s="37" t="n">
        <f aca="false">IF(O15=1,②시니어_가정!$H$38*(②시니어_가정!$E$200+②시니어_가정!$E$213+②시니어_가정!$E$226+②시니어_가정!$E$239+②시니어_가정!$E$252),0)</f>
        <v>0</v>
      </c>
      <c r="P83" s="37" t="n">
        <f aca="false">IF(P15=1,②시니어_가정!$H$38*(②시니어_가정!$E$200+②시니어_가정!$E$213+②시니어_가정!$E$226+②시니어_가정!$E$239+②시니어_가정!$E$252),0)</f>
        <v>0</v>
      </c>
      <c r="Q83" s="37" t="n">
        <f aca="false">IF(Q15=1,②시니어_가정!$H$38*(②시니어_가정!$E$200+②시니어_가정!$E$213+②시니어_가정!$E$226+②시니어_가정!$E$239+②시니어_가정!$E$252),0)</f>
        <v>0</v>
      </c>
      <c r="R83" s="37" t="n">
        <f aca="false">IF(R15=1,②시니어_가정!$H$38*(②시니어_가정!$E$200+②시니어_가정!$E$213+②시니어_가정!$E$226+②시니어_가정!$E$239+②시니어_가정!$E$252),0)</f>
        <v>0</v>
      </c>
      <c r="S83" s="37" t="n">
        <f aca="false">IF(S15=1,②시니어_가정!$H$38*(②시니어_가정!$E$200+②시니어_가정!$E$213+②시니어_가정!$E$226+②시니어_가정!$E$239+②시니어_가정!$E$252),0)</f>
        <v>0</v>
      </c>
      <c r="T83" s="37" t="n">
        <f aca="false">IF(T15=1,②시니어_가정!$H$38*(②시니어_가정!$E$200+②시니어_가정!$E$213+②시니어_가정!$E$226+②시니어_가정!$E$239+②시니어_가정!$E$252),0)</f>
        <v>0</v>
      </c>
      <c r="U83" s="37" t="n">
        <f aca="false">IF(U15=1,②시니어_가정!$H$38*(②시니어_가정!$E$200+②시니어_가정!$E$213+②시니어_가정!$E$226+②시니어_가정!$E$239+②시니어_가정!$E$252),0)</f>
        <v>0</v>
      </c>
      <c r="V83" s="37" t="n">
        <f aca="false">IF(V15=1,②시니어_가정!$H$38*(②시니어_가정!$E$200+②시니어_가정!$E$213+②시니어_가정!$E$226+②시니어_가정!$E$239+②시니어_가정!$E$252),0)</f>
        <v>0</v>
      </c>
      <c r="W83" s="37" t="n">
        <f aca="false">IF(W15=1,②시니어_가정!$H$38*(②시니어_가정!$E$200+②시니어_가정!$E$213+②시니어_가정!$E$226+②시니어_가정!$E$239+②시니어_가정!$E$252),0)</f>
        <v>0</v>
      </c>
      <c r="X83" s="37" t="n">
        <f aca="false">IF(X15=1,②시니어_가정!$H$38*(②시니어_가정!$E$200+②시니어_가정!$E$213+②시니어_가정!$E$226+②시니어_가정!$E$239+②시니어_가정!$E$252),0)</f>
        <v>0</v>
      </c>
      <c r="Y83" s="37" t="n">
        <f aca="false">IF(Y15=1,②시니어_가정!$H$38*(②시니어_가정!$E$200+②시니어_가정!$E$213+②시니어_가정!$E$226+②시니어_가정!$E$239+②시니어_가정!$E$252),0)</f>
        <v>0</v>
      </c>
      <c r="Z83" s="37" t="n">
        <f aca="false">IF(Z15=1,②시니어_가정!$H$38*(②시니어_가정!$E$200+②시니어_가정!$E$213+②시니어_가정!$E$226+②시니어_가정!$E$239+②시니어_가정!$E$252),0)</f>
        <v>0</v>
      </c>
      <c r="AA83" s="37" t="n">
        <f aca="false">IF(AA15=1,②시니어_가정!$H$38*(②시니어_가정!$E$200+②시니어_가정!$E$213+②시니어_가정!$E$226+②시니어_가정!$E$239+②시니어_가정!$E$252),0)</f>
        <v>0</v>
      </c>
      <c r="AB83" s="37" t="n">
        <f aca="false">IF(AB15=1,②시니어_가정!$H$38*(②시니어_가정!$E$200+②시니어_가정!$E$213+②시니어_가정!$E$226+②시니어_가정!$E$239+②시니어_가정!$E$252),0)</f>
        <v>0</v>
      </c>
      <c r="AC83" s="37" t="n">
        <f aca="false">IF(AC15=1,②시니어_가정!$H$38*(②시니어_가정!$E$200+②시니어_가정!$E$213+②시니어_가정!$E$226+②시니어_가정!$E$239+②시니어_가정!$E$252),0)</f>
        <v>0</v>
      </c>
      <c r="AD83" s="37" t="n">
        <f aca="false">IF(AD15=1,②시니어_가정!$H$38*(②시니어_가정!$E$200+②시니어_가정!$E$213+②시니어_가정!$E$226+②시니어_가정!$E$239+②시니어_가정!$E$252),0)</f>
        <v>0</v>
      </c>
      <c r="AE83" s="37" t="n">
        <f aca="false">IF(AE15=1,②시니어_가정!$H$38*(②시니어_가정!$E$200+②시니어_가정!$E$213+②시니어_가정!$E$226+②시니어_가정!$E$239+②시니어_가정!$E$252),0)</f>
        <v>0</v>
      </c>
      <c r="AF83" s="37" t="n">
        <f aca="false">IF(AF15=1,②시니어_가정!$H$38*(②시니어_가정!$E$200+②시니어_가정!$E$213+②시니어_가정!$E$226+②시니어_가정!$E$239+②시니어_가정!$E$252),0)</f>
        <v>0</v>
      </c>
      <c r="AG83" s="37" t="n">
        <f aca="false">IF(AG15=1,②시니어_가정!$H$38*(②시니어_가정!$E$200+②시니어_가정!$E$213+②시니어_가정!$E$226+②시니어_가정!$E$239+②시니어_가정!$E$252),0)</f>
        <v>0</v>
      </c>
      <c r="AH83" s="37" t="n">
        <f aca="false">IF(AH15=1,②시니어_가정!$H$38*(②시니어_가정!$E$200+②시니어_가정!$E$213+②시니어_가정!$E$226+②시니어_가정!$E$239+②시니어_가정!$E$252),0)</f>
        <v>0</v>
      </c>
      <c r="AI83" s="37" t="n">
        <f aca="false">IF(AI15=1,②시니어_가정!$H$38*(②시니어_가정!$E$200+②시니어_가정!$E$213+②시니어_가정!$E$226+②시니어_가정!$E$239+②시니어_가정!$E$252),0)</f>
        <v>0</v>
      </c>
      <c r="AJ83" s="37" t="n">
        <f aca="false">IF(AJ15=1,②시니어_가정!$H$38*(②시니어_가정!$E$200+②시니어_가정!$E$213+②시니어_가정!$E$226+②시니어_가정!$E$239+②시니어_가정!$E$252),0)</f>
        <v>0</v>
      </c>
      <c r="AK83" s="37" t="n">
        <f aca="false">IF(AK15=1,②시니어_가정!$H$38*(②시니어_가정!$E$200+②시니어_가정!$E$213+②시니어_가정!$E$226+②시니어_가정!$E$239+②시니어_가정!$E$252),0)</f>
        <v>0</v>
      </c>
      <c r="AL83" s="37" t="n">
        <f aca="false">IF(AL15=1,②시니어_가정!$H$38*(②시니어_가정!$E$200+②시니어_가정!$E$213+②시니어_가정!$E$226+②시니어_가정!$E$239+②시니어_가정!$E$252),0)</f>
        <v>0</v>
      </c>
      <c r="AM83" s="37" t="n">
        <f aca="false">IF(AM15=1,②시니어_가정!$H$38*(②시니어_가정!$E$200+②시니어_가정!$E$213+②시니어_가정!$E$226+②시니어_가정!$E$239+②시니어_가정!$E$252),0)</f>
        <v>0</v>
      </c>
      <c r="AN83" s="37" t="n">
        <f aca="false">IF(AN15=1,②시니어_가정!$H$38*(②시니어_가정!$E$200+②시니어_가정!$E$213+②시니어_가정!$E$226+②시니어_가정!$E$239+②시니어_가정!$E$252),0)</f>
        <v>0</v>
      </c>
      <c r="AO83" s="37" t="n">
        <f aca="false">IF(AO15=1,②시니어_가정!$H$38*(②시니어_가정!$E$200+②시니어_가정!$E$213+②시니어_가정!$E$226+②시니어_가정!$E$239+②시니어_가정!$E$252),0)</f>
        <v>0</v>
      </c>
      <c r="AP83" s="37" t="n">
        <f aca="false">IF(AP15=1,②시니어_가정!$H$38*(②시니어_가정!$E$200+②시니어_가정!$E$213+②시니어_가정!$E$226+②시니어_가정!$E$239+②시니어_가정!$E$252),0)</f>
        <v>0</v>
      </c>
      <c r="AQ83" s="37" t="n">
        <f aca="false">IF(AQ15=1,②시니어_가정!$H$38*(②시니어_가정!$E$200+②시니어_가정!$E$213+②시니어_가정!$E$226+②시니어_가정!$E$239+②시니어_가정!$E$252),0)</f>
        <v>0</v>
      </c>
      <c r="AR83" s="37" t="n">
        <f aca="false">IF(AR15=1,②시니어_가정!$H$38*(②시니어_가정!$E$200+②시니어_가정!$E$213+②시니어_가정!$E$226+②시니어_가정!$E$239+②시니어_가정!$E$252),0)</f>
        <v>0</v>
      </c>
      <c r="AS83" s="37" t="n">
        <f aca="false">IF(AS15=1,②시니어_가정!$H$38*(②시니어_가정!$E$200+②시니어_가정!$E$213+②시니어_가정!$E$226+②시니어_가정!$E$239+②시니어_가정!$E$252),0)</f>
        <v>0</v>
      </c>
      <c r="AT83" s="37" t="n">
        <f aca="false">IF(AT15=1,②시니어_가정!$H$38*(②시니어_가정!$E$200+②시니어_가정!$E$213+②시니어_가정!$E$226+②시니어_가정!$E$239+②시니어_가정!$E$252),0)</f>
        <v>0</v>
      </c>
      <c r="AU83" s="37" t="n">
        <f aca="false">IF(AU15=1,②시니어_가정!$H$38*(②시니어_가정!$E$200+②시니어_가정!$E$213+②시니어_가정!$E$226+②시니어_가정!$E$239+②시니어_가정!$E$252),0)</f>
        <v>0</v>
      </c>
      <c r="AV83" s="37" t="n">
        <f aca="false">IF(AV15=1,②시니어_가정!$H$38*(②시니어_가정!$E$200+②시니어_가정!$E$213+②시니어_가정!$E$226+②시니어_가정!$E$239+②시니어_가정!$E$252),0)</f>
        <v>0</v>
      </c>
      <c r="AW83" s="37" t="n">
        <f aca="false">IF(AW15=1,②시니어_가정!$H$38*(②시니어_가정!$E$200+②시니어_가정!$E$213+②시니어_가정!$E$226+②시니어_가정!$E$239+②시니어_가정!$E$252),0)</f>
        <v>0</v>
      </c>
      <c r="AX83" s="37" t="n">
        <f aca="false">IF(AX15=1,②시니어_가정!$H$38*(②시니어_가정!$E$200+②시니어_가정!$E$213+②시니어_가정!$E$226+②시니어_가정!$E$239+②시니어_가정!$E$252),0)</f>
        <v>0</v>
      </c>
      <c r="AY83" s="37" t="n">
        <f aca="false">IF(AY15=1,②시니어_가정!$H$38*(②시니어_가정!$E$200+②시니어_가정!$E$213+②시니어_가정!$E$226+②시니어_가정!$E$239+②시니어_가정!$E$252),0)</f>
        <v>0</v>
      </c>
      <c r="AZ83" s="37" t="n">
        <f aca="false">IF(AZ15=1,②시니어_가정!$H$38*(②시니어_가정!$E$200+②시니어_가정!$E$213+②시니어_가정!$E$226+②시니어_가정!$E$239+②시니어_가정!$E$252),0)</f>
        <v>0</v>
      </c>
      <c r="BA83" s="37" t="n">
        <f aca="false">IF(BA15=1,②시니어_가정!$H$38*(②시니어_가정!$E$200+②시니어_가정!$E$213+②시니어_가정!$E$226+②시니어_가정!$E$239+②시니어_가정!$E$252),0)</f>
        <v>0</v>
      </c>
      <c r="BB83" s="37" t="n">
        <f aca="false">IF(BB15=1,②시니어_가정!$H$38*(②시니어_가정!$E$200+②시니어_가정!$E$213+②시니어_가정!$E$226+②시니어_가정!$E$239+②시니어_가정!$E$252),0)</f>
        <v>0</v>
      </c>
      <c r="BC83" s="37" t="n">
        <f aca="false">IF(BC15=1,②시니어_가정!$H$38*(②시니어_가정!$E$200+②시니어_가정!$E$213+②시니어_가정!$E$226+②시니어_가정!$E$239+②시니어_가정!$E$252),0)</f>
        <v>0</v>
      </c>
      <c r="BD83" s="37" t="n">
        <f aca="false">IF(BD15=1,②시니어_가정!$H$38*(②시니어_가정!$E$200+②시니어_가정!$E$213+②시니어_가정!$E$226+②시니어_가정!$E$239+②시니어_가정!$E$252),0)</f>
        <v>0</v>
      </c>
      <c r="BE83" s="37" t="n">
        <f aca="false">IF(BE15=1,②시니어_가정!$H$38*(②시니어_가정!$E$200+②시니어_가정!$E$213+②시니어_가정!$E$226+②시니어_가정!$E$239+②시니어_가정!$E$252),0)</f>
        <v>0</v>
      </c>
      <c r="BF83" s="37" t="n">
        <f aca="false">IF(BF15=1,②시니어_가정!$H$38*(②시니어_가정!$E$200+②시니어_가정!$E$213+②시니어_가정!$E$226+②시니어_가정!$E$239+②시니어_가정!$E$252),0)</f>
        <v>0</v>
      </c>
      <c r="BG83" s="37" t="n">
        <f aca="false">IF(BG15=1,②시니어_가정!$H$38*(②시니어_가정!$E$200+②시니어_가정!$E$213+②시니어_가정!$E$226+②시니어_가정!$E$239+②시니어_가정!$E$252),0)</f>
        <v>0</v>
      </c>
      <c r="BH83" s="37" t="n">
        <f aca="false">IF(BH15=1,②시니어_가정!$H$38*(②시니어_가정!$E$200+②시니어_가정!$E$213+②시니어_가정!$E$226+②시니어_가정!$E$239+②시니어_가정!$E$252),0)</f>
        <v>0</v>
      </c>
      <c r="BI83" s="37" t="n">
        <f aca="false">IF(BI15=1,②시니어_가정!$H$38*(②시니어_가정!$E$200+②시니어_가정!$E$213+②시니어_가정!$E$226+②시니어_가정!$E$239+②시니어_가정!$E$252),0)</f>
        <v>0</v>
      </c>
      <c r="BJ83" s="37" t="n">
        <f aca="false">IF(BJ15=1,②시니어_가정!$H$38*(②시니어_가정!$E$200+②시니어_가정!$E$213+②시니어_가정!$E$226+②시니어_가정!$E$239+②시니어_가정!$E$252),0)</f>
        <v>0</v>
      </c>
      <c r="BK83" s="37" t="n">
        <f aca="false">IF(BK15=1,②시니어_가정!$H$38*(②시니어_가정!$E$200+②시니어_가정!$E$213+②시니어_가정!$E$226+②시니어_가정!$E$239+②시니어_가정!$E$252),0)</f>
        <v>0</v>
      </c>
      <c r="BL83" s="37" t="n">
        <f aca="false">IF(BL15=1,②시니어_가정!$H$38*(②시니어_가정!$E$200+②시니어_가정!$E$213+②시니어_가정!$E$226+②시니어_가정!$E$239+②시니어_가정!$E$252),0)</f>
        <v>0</v>
      </c>
      <c r="BM83" s="37" t="n">
        <f aca="false">IF(BM15=1,②시니어_가정!$H$38*(②시니어_가정!$E$200+②시니어_가정!$E$213+②시니어_가정!$E$226+②시니어_가정!$E$239+②시니어_가정!$E$252),0)</f>
        <v>0</v>
      </c>
      <c r="BN83" s="37" t="n">
        <f aca="false">IF(BN15=1,②시니어_가정!$H$38*(②시니어_가정!$E$200+②시니어_가정!$E$213+②시니어_가정!$E$226+②시니어_가정!$E$239+②시니어_가정!$E$252),0)</f>
        <v>0</v>
      </c>
      <c r="BO83" s="37" t="n">
        <f aca="false">IF(BO15=1,②시니어_가정!$H$38*(②시니어_가정!$E$200+②시니어_가정!$E$213+②시니어_가정!$E$226+②시니어_가정!$E$239+②시니어_가정!$E$252),0)</f>
        <v>0</v>
      </c>
      <c r="BP83" s="37" t="n">
        <f aca="false">IF(BP15=1,②시니어_가정!$H$38*(②시니어_가정!$E$200+②시니어_가정!$E$213+②시니어_가정!$E$226+②시니어_가정!$E$239+②시니어_가정!$E$252),0)</f>
        <v>0</v>
      </c>
      <c r="BQ83" s="37" t="n">
        <f aca="false">IF(BQ15=1,②시니어_가정!$H$38*(②시니어_가정!$E$200+②시니어_가정!$E$213+②시니어_가정!$E$226+②시니어_가정!$E$239+②시니어_가정!$E$252),0)</f>
        <v>0</v>
      </c>
      <c r="BR83" s="37" t="n">
        <f aca="false">IF(BR15=1,②시니어_가정!$H$38*(②시니어_가정!$E$200+②시니어_가정!$E$213+②시니어_가정!$E$226+②시니어_가정!$E$239+②시니어_가정!$E$252),0)</f>
        <v>0</v>
      </c>
      <c r="BS83" s="37" t="n">
        <f aca="false">IF(BS15=1,②시니어_가정!$H$38*(②시니어_가정!$E$200+②시니어_가정!$E$213+②시니어_가정!$E$226+②시니어_가정!$E$239+②시니어_가정!$E$252),0)</f>
        <v>0</v>
      </c>
      <c r="BT83" s="37" t="n">
        <f aca="false">IF(BT15=1,②시니어_가정!$H$38*(②시니어_가정!$E$200+②시니어_가정!$E$213+②시니어_가정!$E$226+②시니어_가정!$E$239+②시니어_가정!$E$252),0)</f>
        <v>0</v>
      </c>
      <c r="BU83" s="37" t="n">
        <f aca="false">IF(BU15=1,②시니어_가정!$H$38*(②시니어_가정!$E$200+②시니어_가정!$E$213+②시니어_가정!$E$226+②시니어_가정!$E$239+②시니어_가정!$E$252),0)</f>
        <v>0</v>
      </c>
      <c r="BV83" s="37" t="n">
        <f aca="false">IF(BV15=1,②시니어_가정!$H$38*(②시니어_가정!$E$200+②시니어_가정!$E$213+②시니어_가정!$E$226+②시니어_가정!$E$239+②시니어_가정!$E$252),0)</f>
        <v>0</v>
      </c>
      <c r="BW83" s="37" t="n">
        <f aca="false">IF(BW15=1,②시니어_가정!$H$38*(②시니어_가정!$E$200+②시니어_가정!$E$213+②시니어_가정!$E$226+②시니어_가정!$E$239+②시니어_가정!$E$252),0)</f>
        <v>0</v>
      </c>
      <c r="BX83" s="37" t="n">
        <f aca="false">IF(BX15=1,②시니어_가정!$H$38*(②시니어_가정!$E$200+②시니어_가정!$E$213+②시니어_가정!$E$226+②시니어_가정!$E$239+②시니어_가정!$E$252),0)</f>
        <v>0</v>
      </c>
      <c r="BY83" s="37" t="n">
        <f aca="false">IF(BY15=1,②시니어_가정!$H$38*(②시니어_가정!$E$200+②시니어_가정!$E$213+②시니어_가정!$E$226+②시니어_가정!$E$239+②시니어_가정!$E$252),0)</f>
        <v>0</v>
      </c>
      <c r="BZ83" s="37" t="n">
        <f aca="false">IF(BZ15=1,②시니어_가정!$H$38*(②시니어_가정!$E$200+②시니어_가정!$E$213+②시니어_가정!$E$226+②시니어_가정!$E$239+②시니어_가정!$E$252),0)</f>
        <v>0</v>
      </c>
      <c r="CA83" s="37" t="n">
        <f aca="false">IF(CA15=1,②시니어_가정!$H$38*(②시니어_가정!$E$200+②시니어_가정!$E$213+②시니어_가정!$E$226+②시니어_가정!$E$239+②시니어_가정!$E$252),0)</f>
        <v>0</v>
      </c>
      <c r="CB83" s="37" t="n">
        <f aca="false">IF(CB15=1,②시니어_가정!$H$38*(②시니어_가정!$E$200+②시니어_가정!$E$213+②시니어_가정!$E$226+②시니어_가정!$E$239+②시니어_가정!$E$252),0)</f>
        <v>0</v>
      </c>
      <c r="CC83" s="37" t="n">
        <f aca="false">IF(CC15=1,②시니어_가정!$H$38*(②시니어_가정!$E$200+②시니어_가정!$E$213+②시니어_가정!$E$226+②시니어_가정!$E$239+②시니어_가정!$E$252),0)</f>
        <v>0</v>
      </c>
      <c r="CD83" s="37" t="n">
        <f aca="false">IF(CD15=1,②시니어_가정!$H$38*(②시니어_가정!$E$200+②시니어_가정!$E$213+②시니어_가정!$E$226+②시니어_가정!$E$239+②시니어_가정!$E$252),0)</f>
        <v>0</v>
      </c>
      <c r="CE83" s="37" t="n">
        <f aca="false">IF(CE15=1,②시니어_가정!$H$38*(②시니어_가정!$E$200+②시니어_가정!$E$213+②시니어_가정!$E$226+②시니어_가정!$E$239+②시니어_가정!$E$252),0)</f>
        <v>0</v>
      </c>
      <c r="CF83" s="37" t="n">
        <f aca="false">IF(CF15=1,②시니어_가정!$H$38*(②시니어_가정!$E$200+②시니어_가정!$E$213+②시니어_가정!$E$226+②시니어_가정!$E$239+②시니어_가정!$E$252),0)</f>
        <v>0</v>
      </c>
      <c r="CG83" s="37" t="n">
        <f aca="false">IF(CG15=1,②시니어_가정!$H$38*(②시니어_가정!$E$200+②시니어_가정!$E$213+②시니어_가정!$E$226+②시니어_가정!$E$239+②시니어_가정!$E$252),0)</f>
        <v>0</v>
      </c>
      <c r="CH83" s="37" t="n">
        <f aca="false">IF(CH15=1,②시니어_가정!$H$38*(②시니어_가정!$E$200+②시니어_가정!$E$213+②시니어_가정!$E$226+②시니어_가정!$E$239+②시니어_가정!$E$252),0)</f>
        <v>0</v>
      </c>
      <c r="CI83" s="37" t="n">
        <f aca="false">IF(CI15=1,②시니어_가정!$H$38*(②시니어_가정!$E$200+②시니어_가정!$E$213+②시니어_가정!$E$226+②시니어_가정!$E$239+②시니어_가정!$E$252),0)</f>
        <v>0</v>
      </c>
      <c r="CJ83" s="37" t="n">
        <f aca="false">IF(CJ15=1,②시니어_가정!$H$38*(②시니어_가정!$E$200+②시니어_가정!$E$213+②시니어_가정!$E$226+②시니어_가정!$E$239+②시니어_가정!$E$252),0)</f>
        <v>0</v>
      </c>
      <c r="CK83" s="37" t="n">
        <f aca="false">IF(CK15=1,②시니어_가정!$H$38*(②시니어_가정!$E$200+②시니어_가정!$E$213+②시니어_가정!$E$226+②시니어_가정!$E$239+②시니어_가정!$E$252),0)</f>
        <v>0</v>
      </c>
      <c r="CL83" s="37" t="n">
        <f aca="false">IF(CL15=1,②시니어_가정!$H$38*(②시니어_가정!$E$200+②시니어_가정!$E$213+②시니어_가정!$E$226+②시니어_가정!$E$239+②시니어_가정!$E$252),0)</f>
        <v>0</v>
      </c>
      <c r="CM83" s="37" t="n">
        <f aca="false">IF(CM15=1,②시니어_가정!$H$38*(②시니어_가정!$E$200+②시니어_가정!$E$213+②시니어_가정!$E$226+②시니어_가정!$E$239+②시니어_가정!$E$252),0)</f>
        <v>0</v>
      </c>
      <c r="CN83" s="37" t="n">
        <f aca="false">IF(CN15=1,②시니어_가정!$H$38*(②시니어_가정!$E$200+②시니어_가정!$E$213+②시니어_가정!$E$226+②시니어_가정!$E$239+②시니어_가정!$E$252),0)</f>
        <v>0</v>
      </c>
      <c r="CO83" s="37" t="n">
        <f aca="false">IF(CO15=1,②시니어_가정!$H$38*(②시니어_가정!$E$200+②시니어_가정!$E$213+②시니어_가정!$E$226+②시니어_가정!$E$239+②시니어_가정!$E$252),0)</f>
        <v>0</v>
      </c>
      <c r="CP83" s="37" t="n">
        <f aca="false">IF(CP15=1,②시니어_가정!$H$38*(②시니어_가정!$E$200+②시니어_가정!$E$213+②시니어_가정!$E$226+②시니어_가정!$E$239+②시니어_가정!$E$252),0)</f>
        <v>0</v>
      </c>
      <c r="CQ83" s="37" t="n">
        <f aca="false">IF(CQ15=1,②시니어_가정!$H$38*(②시니어_가정!$E$200+②시니어_가정!$E$213+②시니어_가정!$E$226+②시니어_가정!$E$239+②시니어_가정!$E$252),0)</f>
        <v>0</v>
      </c>
      <c r="CR83" s="37" t="n">
        <f aca="false">IF(CR15=1,②시니어_가정!$H$38*(②시니어_가정!$E$200+②시니어_가정!$E$213+②시니어_가정!$E$226+②시니어_가정!$E$239+②시니어_가정!$E$252),0)</f>
        <v>0</v>
      </c>
      <c r="CS83" s="37" t="n">
        <f aca="false">IF(CS15=1,②시니어_가정!$H$38*(②시니어_가정!$E$200+②시니어_가정!$E$213+②시니어_가정!$E$226+②시니어_가정!$E$239+②시니어_가정!$E$252),0)</f>
        <v>0</v>
      </c>
      <c r="CT83" s="37" t="n">
        <f aca="false">IF(CT15=1,②시니어_가정!$H$38*(②시니어_가정!$E$200+②시니어_가정!$E$213+②시니어_가정!$E$226+②시니어_가정!$E$239+②시니어_가정!$E$252),0)</f>
        <v>0</v>
      </c>
      <c r="CU83" s="37" t="n">
        <f aca="false">IF(CU15=1,②시니어_가정!$H$38*(②시니어_가정!$E$200+②시니어_가정!$E$213+②시니어_가정!$E$226+②시니어_가정!$E$239+②시니어_가정!$E$252),0)</f>
        <v>0</v>
      </c>
      <c r="CV83" s="37" t="n">
        <f aca="false">IF(CV15=1,②시니어_가정!$H$38*(②시니어_가정!$E$200+②시니어_가정!$E$213+②시니어_가정!$E$226+②시니어_가정!$E$239+②시니어_가정!$E$252),0)</f>
        <v>0</v>
      </c>
      <c r="CW83" s="37" t="n">
        <f aca="false">IF(CW15=1,②시니어_가정!$H$38*(②시니어_가정!$E$200+②시니어_가정!$E$213+②시니어_가정!$E$226+②시니어_가정!$E$239+②시니어_가정!$E$252),0)</f>
        <v>0</v>
      </c>
      <c r="CX83" s="37" t="n">
        <f aca="false">IF(CX15=1,②시니어_가정!$H$38*(②시니어_가정!$E$200+②시니어_가정!$E$213+②시니어_가정!$E$226+②시니어_가정!$E$239+②시니어_가정!$E$252),0)</f>
        <v>0</v>
      </c>
      <c r="CY83" s="37" t="n">
        <f aca="false">IF(CY15=1,②시니어_가정!$H$38*(②시니어_가정!$E$200+②시니어_가정!$E$213+②시니어_가정!$E$226+②시니어_가정!$E$239+②시니어_가정!$E$252),0)</f>
        <v>0</v>
      </c>
      <c r="CZ83" s="37" t="n">
        <f aca="false">IF(CZ15=1,②시니어_가정!$H$38*(②시니어_가정!$E$200+②시니어_가정!$E$213+②시니어_가정!$E$226+②시니어_가정!$E$239+②시니어_가정!$E$252),0)</f>
        <v>0</v>
      </c>
      <c r="DA83" s="37" t="n">
        <f aca="false">IF(DA15=1,②시니어_가정!$H$38*(②시니어_가정!$E$200+②시니어_가정!$E$213+②시니어_가정!$E$226+②시니어_가정!$E$239+②시니어_가정!$E$252),0)</f>
        <v>0</v>
      </c>
      <c r="DB83" s="37" t="n">
        <f aca="false">IF(DB15=1,②시니어_가정!$H$38*(②시니어_가정!$E$200+②시니어_가정!$E$213+②시니어_가정!$E$226+②시니어_가정!$E$239+②시니어_가정!$E$252),0)</f>
        <v>0</v>
      </c>
      <c r="DC83" s="37" t="n">
        <f aca="false">IF(DC15=1,②시니어_가정!$H$38*(②시니어_가정!$E$200+②시니어_가정!$E$213+②시니어_가정!$E$226+②시니어_가정!$E$239+②시니어_가정!$E$252),0)</f>
        <v>0</v>
      </c>
      <c r="DD83" s="37" t="n">
        <f aca="false">IF(DD15=1,②시니어_가정!$H$38*(②시니어_가정!$E$200+②시니어_가정!$E$213+②시니어_가정!$E$226+②시니어_가정!$E$239+②시니어_가정!$E$252),0)</f>
        <v>0</v>
      </c>
      <c r="DE83" s="37" t="n">
        <f aca="false">IF(DE15=1,②시니어_가정!$H$38*(②시니어_가정!$E$200+②시니어_가정!$E$213+②시니어_가정!$E$226+②시니어_가정!$E$239+②시니어_가정!$E$252),0)</f>
        <v>0</v>
      </c>
      <c r="DF83" s="37" t="n">
        <f aca="false">IF(DF15=1,②시니어_가정!$H$38*(②시니어_가정!$E$200+②시니어_가정!$E$213+②시니어_가정!$E$226+②시니어_가정!$E$239+②시니어_가정!$E$252),0)</f>
        <v>0</v>
      </c>
      <c r="DG83" s="37" t="n">
        <f aca="false">IF(DG15=1,②시니어_가정!$H$38*(②시니어_가정!$E$200+②시니어_가정!$E$213+②시니어_가정!$E$226+②시니어_가정!$E$239+②시니어_가정!$E$252),0)</f>
        <v>0</v>
      </c>
      <c r="DH83" s="37" t="n">
        <f aca="false">IF(DH15=1,②시니어_가정!$H$38*(②시니어_가정!$E$200+②시니어_가정!$E$213+②시니어_가정!$E$226+②시니어_가정!$E$239+②시니어_가정!$E$252),0)</f>
        <v>0</v>
      </c>
      <c r="DI83" s="37" t="n">
        <f aca="false">IF(DI15=1,②시니어_가정!$H$38*(②시니어_가정!$E$200+②시니어_가정!$E$213+②시니어_가정!$E$226+②시니어_가정!$E$239+②시니어_가정!$E$252),0)</f>
        <v>0</v>
      </c>
      <c r="DJ83" s="37" t="n">
        <f aca="false">IF(DJ15=1,②시니어_가정!$H$38*(②시니어_가정!$E$200+②시니어_가정!$E$213+②시니어_가정!$E$226+②시니어_가정!$E$239+②시니어_가정!$E$252),0)</f>
        <v>0</v>
      </c>
      <c r="DK83" s="37" t="n">
        <f aca="false">IF(DK15=1,②시니어_가정!$H$38*(②시니어_가정!$E$200+②시니어_가정!$E$213+②시니어_가정!$E$226+②시니어_가정!$E$239+②시니어_가정!$E$252),0)</f>
        <v>0</v>
      </c>
      <c r="DL83" s="37" t="n">
        <f aca="false">IF(DL15=1,②시니어_가정!$H$38*(②시니어_가정!$E$200+②시니어_가정!$E$213+②시니어_가정!$E$226+②시니어_가정!$E$239+②시니어_가정!$E$252),0)</f>
        <v>0</v>
      </c>
      <c r="DM83" s="37" t="n">
        <f aca="false">IF(DM15=1,②시니어_가정!$H$38*(②시니어_가정!$E$200+②시니어_가정!$E$213+②시니어_가정!$E$226+②시니어_가정!$E$239+②시니어_가정!$E$252),0)</f>
        <v>0</v>
      </c>
      <c r="DN83" s="37" t="n">
        <f aca="false">IF(DN15=1,②시니어_가정!$H$38*(②시니어_가정!$E$200+②시니어_가정!$E$213+②시니어_가정!$E$226+②시니어_가정!$E$239+②시니어_가정!$E$252),0)</f>
        <v>0</v>
      </c>
      <c r="DO83" s="37" t="n">
        <f aca="false">IF(DO15=1,②시니어_가정!$H$38*(②시니어_가정!$E$200+②시니어_가정!$E$213+②시니어_가정!$E$226+②시니어_가정!$E$239+②시니어_가정!$E$252),0)</f>
        <v>0</v>
      </c>
      <c r="DP83" s="37" t="n">
        <f aca="false">IF(DP15=1,②시니어_가정!$H$38*(②시니어_가정!$E$200+②시니어_가정!$E$213+②시니어_가정!$E$226+②시니어_가정!$E$239+②시니어_가정!$E$252),0)</f>
        <v>0</v>
      </c>
      <c r="DQ83" s="37" t="n">
        <f aca="false">IF(DQ15=1,②시니어_가정!$H$38*(②시니어_가정!$E$200+②시니어_가정!$E$213+②시니어_가정!$E$226+②시니어_가정!$E$239+②시니어_가정!$E$252),0)</f>
        <v>0</v>
      </c>
      <c r="DR83" s="37" t="n">
        <f aca="false">IF(DR15=1,②시니어_가정!$H$38*(②시니어_가정!$E$200+②시니어_가정!$E$213+②시니어_가정!$E$226+②시니어_가정!$E$239+②시니어_가정!$E$252),0)</f>
        <v>0</v>
      </c>
      <c r="DS83" s="37" t="n">
        <f aca="false">IF(DS15=1,②시니어_가정!$H$38*(②시니어_가정!$E$200+②시니어_가정!$E$213+②시니어_가정!$E$226+②시니어_가정!$E$239+②시니어_가정!$E$252),0)</f>
        <v>0</v>
      </c>
      <c r="DT83" s="37" t="n">
        <f aca="false">IF(DT15=1,②시니어_가정!$H$38*(②시니어_가정!$E$200+②시니어_가정!$E$213+②시니어_가정!$E$226+②시니어_가정!$E$239+②시니어_가정!$E$252),0)</f>
        <v>0</v>
      </c>
      <c r="DU83" s="37" t="n">
        <f aca="false">IF(DU15=1,②시니어_가정!$H$38*(②시니어_가정!$E$200+②시니어_가정!$E$213+②시니어_가정!$E$226+②시니어_가정!$E$239+②시니어_가정!$E$252),0)</f>
        <v>0</v>
      </c>
      <c r="DV83" s="37" t="n">
        <f aca="false">IF(DV15=1,②시니어_가정!$H$38*(②시니어_가정!$E$200+②시니어_가정!$E$213+②시니어_가정!$E$226+②시니어_가정!$E$239+②시니어_가정!$E$252),0)</f>
        <v>0</v>
      </c>
      <c r="DW83" s="37" t="n">
        <f aca="false">IF(DW15=1,②시니어_가정!$H$38*(②시니어_가정!$E$200+②시니어_가정!$E$213+②시니어_가정!$E$226+②시니어_가정!$E$239+②시니어_가정!$E$252),0)</f>
        <v>0</v>
      </c>
      <c r="DX83" s="37" t="n">
        <f aca="false">IF(DX15=1,②시니어_가정!$H$38*(②시니어_가정!$E$200+②시니어_가정!$E$213+②시니어_가정!$E$226+②시니어_가정!$E$239+②시니어_가정!$E$252),0)</f>
        <v>0</v>
      </c>
      <c r="DY83" s="37" t="n">
        <f aca="false">IF(DY15=1,②시니어_가정!$H$38*(②시니어_가정!$E$200+②시니어_가정!$E$213+②시니어_가정!$E$226+②시니어_가정!$E$239+②시니어_가정!$E$252),0)</f>
        <v>0</v>
      </c>
      <c r="DZ83" s="37" t="n">
        <f aca="false">IF(DZ15=1,②시니어_가정!$H$38*(②시니어_가정!$E$200+②시니어_가정!$E$213+②시니어_가정!$E$226+②시니어_가정!$E$239+②시니어_가정!$E$252),0)</f>
        <v>0</v>
      </c>
      <c r="EA83" s="37" t="n">
        <f aca="false">IF(EA15=1,②시니어_가정!$H$38*(②시니어_가정!$E$200+②시니어_가정!$E$213+②시니어_가정!$E$226+②시니어_가정!$E$239+②시니어_가정!$E$252),0)</f>
        <v>0</v>
      </c>
      <c r="EB83" s="37" t="n">
        <f aca="false">IF(EB15=1,②시니어_가정!$H$38*(②시니어_가정!$E$200+②시니어_가정!$E$213+②시니어_가정!$E$226+②시니어_가정!$E$239+②시니어_가정!$E$252),0)</f>
        <v>0</v>
      </c>
      <c r="EC83" s="37" t="n">
        <f aca="false">IF(EC15=1,②시니어_가정!$H$38*(②시니어_가정!$E$200+②시니어_가정!$E$213+②시니어_가정!$E$226+②시니어_가정!$E$239+②시니어_가정!$E$252),0)</f>
        <v>0</v>
      </c>
      <c r="ED83" s="37" t="n">
        <f aca="false">IF(ED15=1,②시니어_가정!$H$38*(②시니어_가정!$E$200+②시니어_가정!$E$213+②시니어_가정!$E$226+②시니어_가정!$E$239+②시니어_가정!$E$252),0)</f>
        <v>0</v>
      </c>
      <c r="EE83" s="37" t="n">
        <f aca="false">IF(EE15=1,②시니어_가정!$H$38*(②시니어_가정!$E$200+②시니어_가정!$E$213+②시니어_가정!$E$226+②시니어_가정!$E$239+②시니어_가정!$E$252),0)</f>
        <v>0</v>
      </c>
      <c r="EF83" s="37" t="n">
        <f aca="false">IF(EF15=1,②시니어_가정!$H$38*(②시니어_가정!$E$200+②시니어_가정!$E$213+②시니어_가정!$E$226+②시니어_가정!$E$239+②시니어_가정!$E$252),0)</f>
        <v>0</v>
      </c>
    </row>
    <row r="84" customFormat="false" ht="15" hidden="false" customHeight="false" outlineLevel="0" collapsed="false">
      <c r="A84" s="280" t="s">
        <v>626</v>
      </c>
      <c r="B84" s="281" t="s">
        <v>21</v>
      </c>
      <c r="C84" s="282" t="n">
        <f aca="false">SUM(E84:EF84)</f>
        <v>541500</v>
      </c>
      <c r="D84" s="48"/>
      <c r="E84" s="283" t="n">
        <f aca="false">SUM(E78:E83)</f>
        <v>0</v>
      </c>
      <c r="F84" s="283" t="n">
        <f aca="false">SUM(F78:F83)</f>
        <v>0</v>
      </c>
      <c r="G84" s="283" t="n">
        <f aca="false">SUM(G78:G83)</f>
        <v>0</v>
      </c>
      <c r="H84" s="283" t="n">
        <f aca="false">SUM(H78:H83)</f>
        <v>0</v>
      </c>
      <c r="I84" s="283" t="n">
        <f aca="false">SUM(I78:I83)</f>
        <v>0</v>
      </c>
      <c r="J84" s="283" t="n">
        <f aca="false">SUM(J78:J83)</f>
        <v>0</v>
      </c>
      <c r="K84" s="283" t="n">
        <f aca="false">SUM(K78:K83)</f>
        <v>0</v>
      </c>
      <c r="L84" s="283" t="n">
        <f aca="false">SUM(L78:L83)</f>
        <v>0</v>
      </c>
      <c r="M84" s="283" t="n">
        <f aca="false">SUM(M78:M83)</f>
        <v>0</v>
      </c>
      <c r="N84" s="283" t="n">
        <f aca="false">SUM(N78:N83)</f>
        <v>0</v>
      </c>
      <c r="O84" s="283" t="n">
        <f aca="false">SUM(O78:O83)</f>
        <v>0</v>
      </c>
      <c r="P84" s="283" t="n">
        <f aca="false">SUM(P78:P83)</f>
        <v>0</v>
      </c>
      <c r="Q84" s="283" t="n">
        <f aca="false">SUM(Q78:Q83)</f>
        <v>43200</v>
      </c>
      <c r="R84" s="283" t="n">
        <f aca="false">SUM(R78:R83)</f>
        <v>0</v>
      </c>
      <c r="S84" s="283" t="n">
        <f aca="false">SUM(S78:S83)</f>
        <v>0</v>
      </c>
      <c r="T84" s="283" t="n">
        <f aca="false">SUM(T78:T83)</f>
        <v>0</v>
      </c>
      <c r="U84" s="283" t="n">
        <f aca="false">SUM(U78:U83)</f>
        <v>0</v>
      </c>
      <c r="V84" s="283" t="n">
        <f aca="false">SUM(V78:V83)</f>
        <v>0</v>
      </c>
      <c r="W84" s="283" t="n">
        <f aca="false">SUM(W78:W83)</f>
        <v>0</v>
      </c>
      <c r="X84" s="283" t="n">
        <f aca="false">SUM(X78:X83)</f>
        <v>0</v>
      </c>
      <c r="Y84" s="283" t="n">
        <f aca="false">SUM(Y78:Y83)</f>
        <v>0</v>
      </c>
      <c r="Z84" s="283" t="n">
        <f aca="false">SUM(Z78:Z83)</f>
        <v>0</v>
      </c>
      <c r="AA84" s="283" t="n">
        <f aca="false">SUM(AA78:AA83)</f>
        <v>0</v>
      </c>
      <c r="AB84" s="283" t="n">
        <f aca="false">SUM(AB78:AB83)</f>
        <v>0</v>
      </c>
      <c r="AC84" s="283" t="n">
        <f aca="false">SUM(AC78:AC83)</f>
        <v>86400</v>
      </c>
      <c r="AD84" s="283" t="n">
        <f aca="false">SUM(AD78:AD83)</f>
        <v>0</v>
      </c>
      <c r="AE84" s="283" t="n">
        <f aca="false">SUM(AE78:AE83)</f>
        <v>0</v>
      </c>
      <c r="AF84" s="283" t="n">
        <f aca="false">SUM(AF78:AF83)</f>
        <v>0</v>
      </c>
      <c r="AG84" s="283" t="n">
        <f aca="false">SUM(AG78:AG83)</f>
        <v>0</v>
      </c>
      <c r="AH84" s="283" t="n">
        <f aca="false">SUM(AH78:AH83)</f>
        <v>0</v>
      </c>
      <c r="AI84" s="283" t="n">
        <f aca="false">SUM(AI78:AI83)</f>
        <v>0</v>
      </c>
      <c r="AJ84" s="283" t="n">
        <f aca="false">SUM(AJ78:AJ83)</f>
        <v>0</v>
      </c>
      <c r="AK84" s="283" t="n">
        <f aca="false">SUM(AK78:AK83)</f>
        <v>0</v>
      </c>
      <c r="AL84" s="283" t="n">
        <f aca="false">SUM(AL78:AL83)</f>
        <v>0</v>
      </c>
      <c r="AM84" s="283" t="n">
        <f aca="false">SUM(AM78:AM83)</f>
        <v>0</v>
      </c>
      <c r="AN84" s="283" t="n">
        <f aca="false">SUM(AN78:AN83)</f>
        <v>0</v>
      </c>
      <c r="AO84" s="283" t="n">
        <f aca="false">SUM(AO78:AO83)</f>
        <v>86400</v>
      </c>
      <c r="AP84" s="283" t="n">
        <f aca="false">SUM(AP78:AP83)</f>
        <v>0</v>
      </c>
      <c r="AQ84" s="283" t="n">
        <f aca="false">SUM(AQ78:AQ83)</f>
        <v>0</v>
      </c>
      <c r="AR84" s="283" t="n">
        <f aca="false">SUM(AR78:AR83)</f>
        <v>0</v>
      </c>
      <c r="AS84" s="283" t="n">
        <f aca="false">SUM(AS78:AS83)</f>
        <v>0</v>
      </c>
      <c r="AT84" s="283" t="n">
        <f aca="false">SUM(AT78:AT83)</f>
        <v>0</v>
      </c>
      <c r="AU84" s="283" t="n">
        <f aca="false">SUM(AU78:AU83)</f>
        <v>0</v>
      </c>
      <c r="AV84" s="283" t="n">
        <f aca="false">SUM(AV78:AV83)</f>
        <v>0</v>
      </c>
      <c r="AW84" s="283" t="n">
        <f aca="false">SUM(AW78:AW83)</f>
        <v>0</v>
      </c>
      <c r="AX84" s="283" t="n">
        <f aca="false">SUM(AX78:AX83)</f>
        <v>0</v>
      </c>
      <c r="AY84" s="283" t="n">
        <f aca="false">SUM(AY78:AY83)</f>
        <v>0</v>
      </c>
      <c r="AZ84" s="283" t="n">
        <f aca="false">SUM(AZ78:AZ83)</f>
        <v>0</v>
      </c>
      <c r="BA84" s="283" t="n">
        <f aca="false">SUM(BA78:BA83)</f>
        <v>86400</v>
      </c>
      <c r="BB84" s="283" t="n">
        <f aca="false">SUM(BB78:BB83)</f>
        <v>0</v>
      </c>
      <c r="BC84" s="283" t="n">
        <f aca="false">SUM(BC78:BC83)</f>
        <v>0</v>
      </c>
      <c r="BD84" s="283" t="n">
        <f aca="false">SUM(BD78:BD83)</f>
        <v>0</v>
      </c>
      <c r="BE84" s="283" t="n">
        <f aca="false">SUM(BE78:BE83)</f>
        <v>0</v>
      </c>
      <c r="BF84" s="283" t="n">
        <f aca="false">SUM(BF78:BF83)</f>
        <v>0</v>
      </c>
      <c r="BG84" s="283" t="n">
        <f aca="false">SUM(BG78:BG83)</f>
        <v>0</v>
      </c>
      <c r="BH84" s="283" t="n">
        <f aca="false">SUM(BH78:BH83)</f>
        <v>0</v>
      </c>
      <c r="BI84" s="283" t="n">
        <f aca="false">SUM(BI78:BI83)</f>
        <v>0</v>
      </c>
      <c r="BJ84" s="283" t="n">
        <f aca="false">SUM(BJ78:BJ83)</f>
        <v>0</v>
      </c>
      <c r="BK84" s="283" t="n">
        <f aca="false">SUM(BK78:BK83)</f>
        <v>0</v>
      </c>
      <c r="BL84" s="283" t="n">
        <f aca="false">SUM(BL78:BL83)</f>
        <v>0</v>
      </c>
      <c r="BM84" s="283" t="n">
        <f aca="false">SUM(BM78:BM83)</f>
        <v>131100</v>
      </c>
      <c r="BN84" s="283" t="n">
        <f aca="false">SUM(BN78:BN83)</f>
        <v>0</v>
      </c>
      <c r="BO84" s="283" t="n">
        <f aca="false">SUM(BO78:BO83)</f>
        <v>0</v>
      </c>
      <c r="BP84" s="283" t="n">
        <f aca="false">SUM(BP78:BP83)</f>
        <v>0</v>
      </c>
      <c r="BQ84" s="283" t="n">
        <f aca="false">SUM(BQ78:BQ83)</f>
        <v>0</v>
      </c>
      <c r="BR84" s="283" t="n">
        <f aca="false">SUM(BR78:BR83)</f>
        <v>0</v>
      </c>
      <c r="BS84" s="283" t="n">
        <f aca="false">SUM(BS78:BS83)</f>
        <v>0</v>
      </c>
      <c r="BT84" s="283" t="n">
        <f aca="false">SUM(BT78:BT83)</f>
        <v>0</v>
      </c>
      <c r="BU84" s="283" t="n">
        <f aca="false">SUM(BU78:BU83)</f>
        <v>0</v>
      </c>
      <c r="BV84" s="283" t="n">
        <f aca="false">SUM(BV78:BV83)</f>
        <v>0</v>
      </c>
      <c r="BW84" s="283" t="n">
        <f aca="false">SUM(BW78:BW83)</f>
        <v>0</v>
      </c>
      <c r="BX84" s="283" t="n">
        <f aca="false">SUM(BX78:BX83)</f>
        <v>0</v>
      </c>
      <c r="BY84" s="283" t="n">
        <f aca="false">SUM(BY78:BY83)</f>
        <v>108000</v>
      </c>
      <c r="BZ84" s="283" t="n">
        <f aca="false">SUM(BZ78:BZ83)</f>
        <v>0</v>
      </c>
      <c r="CA84" s="283" t="n">
        <f aca="false">SUM(CA78:CA83)</f>
        <v>0</v>
      </c>
      <c r="CB84" s="283" t="n">
        <f aca="false">SUM(CB78:CB83)</f>
        <v>0</v>
      </c>
      <c r="CC84" s="283" t="n">
        <f aca="false">SUM(CC78:CC83)</f>
        <v>0</v>
      </c>
      <c r="CD84" s="283" t="n">
        <f aca="false">SUM(CD78:CD83)</f>
        <v>0</v>
      </c>
      <c r="CE84" s="283" t="n">
        <f aca="false">SUM(CE78:CE83)</f>
        <v>0</v>
      </c>
      <c r="CF84" s="283" t="n">
        <f aca="false">SUM(CF78:CF83)</f>
        <v>0</v>
      </c>
      <c r="CG84" s="283" t="n">
        <f aca="false">SUM(CG78:CG83)</f>
        <v>0</v>
      </c>
      <c r="CH84" s="283" t="n">
        <f aca="false">SUM(CH78:CH83)</f>
        <v>0</v>
      </c>
      <c r="CI84" s="283" t="n">
        <f aca="false">SUM(CI78:CI83)</f>
        <v>0</v>
      </c>
      <c r="CJ84" s="283" t="n">
        <f aca="false">SUM(CJ78:CJ83)</f>
        <v>0</v>
      </c>
      <c r="CK84" s="283" t="n">
        <f aca="false">SUM(CK78:CK83)</f>
        <v>0</v>
      </c>
      <c r="CL84" s="283" t="n">
        <f aca="false">SUM(CL78:CL83)</f>
        <v>0</v>
      </c>
      <c r="CM84" s="283" t="n">
        <f aca="false">SUM(CM78:CM83)</f>
        <v>0</v>
      </c>
      <c r="CN84" s="283" t="n">
        <f aca="false">SUM(CN78:CN83)</f>
        <v>0</v>
      </c>
      <c r="CO84" s="283" t="n">
        <f aca="false">SUM(CO78:CO83)</f>
        <v>0</v>
      </c>
      <c r="CP84" s="283" t="n">
        <f aca="false">SUM(CP78:CP83)</f>
        <v>0</v>
      </c>
      <c r="CQ84" s="283" t="n">
        <f aca="false">SUM(CQ78:CQ83)</f>
        <v>0</v>
      </c>
      <c r="CR84" s="283" t="n">
        <f aca="false">SUM(CR78:CR83)</f>
        <v>0</v>
      </c>
      <c r="CS84" s="283" t="n">
        <f aca="false">SUM(CS78:CS83)</f>
        <v>0</v>
      </c>
      <c r="CT84" s="283" t="n">
        <f aca="false">SUM(CT78:CT83)</f>
        <v>0</v>
      </c>
      <c r="CU84" s="283" t="n">
        <f aca="false">SUM(CU78:CU83)</f>
        <v>0</v>
      </c>
      <c r="CV84" s="283" t="n">
        <f aca="false">SUM(CV78:CV83)</f>
        <v>0</v>
      </c>
      <c r="CW84" s="283" t="n">
        <f aca="false">SUM(CW78:CW83)</f>
        <v>0</v>
      </c>
      <c r="CX84" s="283" t="n">
        <f aca="false">SUM(CX78:CX83)</f>
        <v>0</v>
      </c>
      <c r="CY84" s="283" t="n">
        <f aca="false">SUM(CY78:CY83)</f>
        <v>0</v>
      </c>
      <c r="CZ84" s="283" t="n">
        <f aca="false">SUM(CZ78:CZ83)</f>
        <v>0</v>
      </c>
      <c r="DA84" s="283" t="n">
        <f aca="false">SUM(DA78:DA83)</f>
        <v>0</v>
      </c>
      <c r="DB84" s="283" t="n">
        <f aca="false">SUM(DB78:DB83)</f>
        <v>0</v>
      </c>
      <c r="DC84" s="283" t="n">
        <f aca="false">SUM(DC78:DC83)</f>
        <v>0</v>
      </c>
      <c r="DD84" s="283" t="n">
        <f aca="false">SUM(DD78:DD83)</f>
        <v>0</v>
      </c>
      <c r="DE84" s="283" t="n">
        <f aca="false">SUM(DE78:DE83)</f>
        <v>0</v>
      </c>
      <c r="DF84" s="283" t="n">
        <f aca="false">SUM(DF78:DF83)</f>
        <v>0</v>
      </c>
      <c r="DG84" s="283" t="n">
        <f aca="false">SUM(DG78:DG83)</f>
        <v>0</v>
      </c>
      <c r="DH84" s="283" t="n">
        <f aca="false">SUM(DH78:DH83)</f>
        <v>0</v>
      </c>
      <c r="DI84" s="283" t="n">
        <f aca="false">SUM(DI78:DI83)</f>
        <v>0</v>
      </c>
      <c r="DJ84" s="283" t="n">
        <f aca="false">SUM(DJ78:DJ83)</f>
        <v>0</v>
      </c>
      <c r="DK84" s="283" t="n">
        <f aca="false">SUM(DK78:DK83)</f>
        <v>0</v>
      </c>
      <c r="DL84" s="283" t="n">
        <f aca="false">SUM(DL78:DL83)</f>
        <v>0</v>
      </c>
      <c r="DM84" s="283" t="n">
        <f aca="false">SUM(DM78:DM83)</f>
        <v>0</v>
      </c>
      <c r="DN84" s="283" t="n">
        <f aca="false">SUM(DN78:DN83)</f>
        <v>0</v>
      </c>
      <c r="DO84" s="283" t="n">
        <f aca="false">SUM(DO78:DO83)</f>
        <v>0</v>
      </c>
      <c r="DP84" s="283" t="n">
        <f aca="false">SUM(DP78:DP83)</f>
        <v>0</v>
      </c>
      <c r="DQ84" s="283" t="n">
        <f aca="false">SUM(DQ78:DQ83)</f>
        <v>0</v>
      </c>
      <c r="DR84" s="283" t="n">
        <f aca="false">SUM(DR78:DR83)</f>
        <v>0</v>
      </c>
      <c r="DS84" s="283" t="n">
        <f aca="false">SUM(DS78:DS83)</f>
        <v>0</v>
      </c>
      <c r="DT84" s="283" t="n">
        <f aca="false">SUM(DT78:DT83)</f>
        <v>0</v>
      </c>
      <c r="DU84" s="283" t="n">
        <f aca="false">SUM(DU78:DU83)</f>
        <v>0</v>
      </c>
      <c r="DV84" s="283" t="n">
        <f aca="false">SUM(DV78:DV83)</f>
        <v>0</v>
      </c>
      <c r="DW84" s="283" t="n">
        <f aca="false">SUM(DW78:DW83)</f>
        <v>0</v>
      </c>
      <c r="DX84" s="283" t="n">
        <f aca="false">SUM(DX78:DX83)</f>
        <v>0</v>
      </c>
      <c r="DY84" s="283" t="n">
        <f aca="false">SUM(DY78:DY83)</f>
        <v>0</v>
      </c>
      <c r="DZ84" s="283" t="n">
        <f aca="false">SUM(DZ78:DZ83)</f>
        <v>0</v>
      </c>
      <c r="EA84" s="283" t="n">
        <f aca="false">SUM(EA78:EA83)</f>
        <v>0</v>
      </c>
      <c r="EB84" s="283" t="n">
        <f aca="false">SUM(EB78:EB83)</f>
        <v>0</v>
      </c>
      <c r="EC84" s="283" t="n">
        <f aca="false">SUM(EC78:EC83)</f>
        <v>0</v>
      </c>
      <c r="ED84" s="283" t="n">
        <f aca="false">SUM(ED78:ED83)</f>
        <v>0</v>
      </c>
      <c r="EE84" s="283" t="n">
        <f aca="false">SUM(EE78:EE83)</f>
        <v>0</v>
      </c>
      <c r="EF84" s="283" t="n">
        <f aca="false">SUM(EF78:EF83)</f>
        <v>0</v>
      </c>
    </row>
    <row r="85" customFormat="false" ht="15" hidden="false" customHeight="false" outlineLevel="0" collapsed="false">
      <c r="A85" s="36" t="s">
        <v>627</v>
      </c>
      <c r="B85" s="278" t="s">
        <v>21</v>
      </c>
      <c r="C85" s="279" t="n">
        <f aca="false">SUM(E85:EF85)</f>
        <v>541500</v>
      </c>
      <c r="E85" s="37" t="n">
        <f aca="false">IF(E6=②시니어_가정!$E$22,0+E84,0)</f>
        <v>0</v>
      </c>
      <c r="F85" s="37" t="n">
        <f aca="false">IF(F6=②시니어_가정!$E$22,E86+F84,0)</f>
        <v>0</v>
      </c>
      <c r="G85" s="37" t="n">
        <f aca="false">IF(G6=②시니어_가정!$E$22,F86+G84,0)</f>
        <v>0</v>
      </c>
      <c r="H85" s="37" t="n">
        <f aca="false">IF(H6=②시니어_가정!$E$22,G86+H84,0)</f>
        <v>0</v>
      </c>
      <c r="I85" s="37" t="n">
        <f aca="false">IF(I6=②시니어_가정!$E$22,H86+I84,0)</f>
        <v>0</v>
      </c>
      <c r="J85" s="37" t="n">
        <f aca="false">IF(J6=②시니어_가정!$E$22,I86+J84,0)</f>
        <v>0</v>
      </c>
      <c r="K85" s="37" t="n">
        <f aca="false">IF(K6=②시니어_가정!$E$22,J86+K84,0)</f>
        <v>0</v>
      </c>
      <c r="L85" s="37" t="n">
        <f aca="false">IF(L6=②시니어_가정!$E$22,K86+L84,0)</f>
        <v>0</v>
      </c>
      <c r="M85" s="37" t="n">
        <f aca="false">IF(M6=②시니어_가정!$E$22,L86+M84,0)</f>
        <v>0</v>
      </c>
      <c r="N85" s="37" t="n">
        <f aca="false">IF(N6=②시니어_가정!$E$22,M86+N84,0)</f>
        <v>0</v>
      </c>
      <c r="O85" s="37" t="n">
        <f aca="false">IF(O6=②시니어_가정!$E$22,N86+O84,0)</f>
        <v>0</v>
      </c>
      <c r="P85" s="37" t="n">
        <f aca="false">IF(P6=②시니어_가정!$E$22,O86+P84,0)</f>
        <v>0</v>
      </c>
      <c r="Q85" s="37" t="n">
        <f aca="false">IF(Q6=②시니어_가정!$E$22,P86+Q84,0)</f>
        <v>0</v>
      </c>
      <c r="R85" s="37" t="n">
        <f aca="false">IF(R6=②시니어_가정!$E$22,Q86+R84,0)</f>
        <v>0</v>
      </c>
      <c r="S85" s="37" t="n">
        <f aca="false">IF(S6=②시니어_가정!$E$22,R86+S84,0)</f>
        <v>0</v>
      </c>
      <c r="T85" s="37" t="n">
        <f aca="false">IF(T6=②시니어_가정!$E$22,S86+T84,0)</f>
        <v>0</v>
      </c>
      <c r="U85" s="37" t="n">
        <f aca="false">IF(U6=②시니어_가정!$E$22,T86+U84,0)</f>
        <v>0</v>
      </c>
      <c r="V85" s="37" t="n">
        <f aca="false">IF(V6=②시니어_가정!$E$22,U86+V84,0)</f>
        <v>0</v>
      </c>
      <c r="W85" s="37" t="n">
        <f aca="false">IF(W6=②시니어_가정!$E$22,V86+W84,0)</f>
        <v>0</v>
      </c>
      <c r="X85" s="37" t="n">
        <f aca="false">IF(X6=②시니어_가정!$E$22,W86+X84,0)</f>
        <v>0</v>
      </c>
      <c r="Y85" s="37" t="n">
        <f aca="false">IF(Y6=②시니어_가정!$E$22,X86+Y84,0)</f>
        <v>0</v>
      </c>
      <c r="Z85" s="37" t="n">
        <f aca="false">IF(Z6=②시니어_가정!$E$22,Y86+Z84,0)</f>
        <v>0</v>
      </c>
      <c r="AA85" s="37" t="n">
        <f aca="false">IF(AA6=②시니어_가정!$E$22,Z86+AA84,0)</f>
        <v>0</v>
      </c>
      <c r="AB85" s="37" t="n">
        <f aca="false">IF(AB6=②시니어_가정!$E$22,AA86+AB84,0)</f>
        <v>0</v>
      </c>
      <c r="AC85" s="37" t="n">
        <f aca="false">IF(AC6=②시니어_가정!$E$22,AB86+AC84,0)</f>
        <v>0</v>
      </c>
      <c r="AD85" s="37" t="n">
        <f aca="false">IF(AD6=②시니어_가정!$E$22,AC86+AD84,0)</f>
        <v>0</v>
      </c>
      <c r="AE85" s="37" t="n">
        <f aca="false">IF(AE6=②시니어_가정!$E$22,AD86+AE84,0)</f>
        <v>0</v>
      </c>
      <c r="AF85" s="37" t="n">
        <f aca="false">IF(AF6=②시니어_가정!$E$22,AE86+AF84,0)</f>
        <v>0</v>
      </c>
      <c r="AG85" s="37" t="n">
        <f aca="false">IF(AG6=②시니어_가정!$E$22,AF86+AG84,0)</f>
        <v>0</v>
      </c>
      <c r="AH85" s="37" t="n">
        <f aca="false">IF(AH6=②시니어_가정!$E$22,AG86+AH84,0)</f>
        <v>0</v>
      </c>
      <c r="AI85" s="37" t="n">
        <f aca="false">IF(AI6=②시니어_가정!$E$22,AH86+AI84,0)</f>
        <v>0</v>
      </c>
      <c r="AJ85" s="37" t="n">
        <f aca="false">IF(AJ6=②시니어_가정!$E$22,AI86+AJ84,0)</f>
        <v>0</v>
      </c>
      <c r="AK85" s="37" t="n">
        <f aca="false">IF(AK6=②시니어_가정!$E$22,AJ86+AK84,0)</f>
        <v>0</v>
      </c>
      <c r="AL85" s="37" t="n">
        <f aca="false">IF(AL6=②시니어_가정!$E$22,AK86+AL84,0)</f>
        <v>0</v>
      </c>
      <c r="AM85" s="37" t="n">
        <f aca="false">IF(AM6=②시니어_가정!$E$22,AL86+AM84,0)</f>
        <v>0</v>
      </c>
      <c r="AN85" s="37" t="n">
        <f aca="false">IF(AN6=②시니어_가정!$E$22,AM86+AN84,0)</f>
        <v>0</v>
      </c>
      <c r="AO85" s="37" t="n">
        <f aca="false">IF(AO6=②시니어_가정!$E$22,AN86+AO84,0)</f>
        <v>0</v>
      </c>
      <c r="AP85" s="37" t="n">
        <f aca="false">IF(AP6=②시니어_가정!$E$22,AO86+AP84,0)</f>
        <v>0</v>
      </c>
      <c r="AQ85" s="37" t="n">
        <f aca="false">IF(AQ6=②시니어_가정!$E$22,AP86+AQ84,0)</f>
        <v>0</v>
      </c>
      <c r="AR85" s="37" t="n">
        <f aca="false">IF(AR6=②시니어_가정!$E$22,AQ86+AR84,0)</f>
        <v>0</v>
      </c>
      <c r="AS85" s="37" t="n">
        <f aca="false">IF(AS6=②시니어_가정!$E$22,AR86+AS84,0)</f>
        <v>0</v>
      </c>
      <c r="AT85" s="37" t="n">
        <f aca="false">IF(AT6=②시니어_가정!$E$22,AS86+AT84,0)</f>
        <v>0</v>
      </c>
      <c r="AU85" s="37" t="n">
        <f aca="false">IF(AU6=②시니어_가정!$E$22,AT86+AU84,0)</f>
        <v>0</v>
      </c>
      <c r="AV85" s="37" t="n">
        <f aca="false">IF(AV6=②시니어_가정!$E$22,AU86+AV84,0)</f>
        <v>0</v>
      </c>
      <c r="AW85" s="37" t="n">
        <f aca="false">IF(AW6=②시니어_가정!$E$22,AV86+AW84,0)</f>
        <v>0</v>
      </c>
      <c r="AX85" s="37" t="n">
        <f aca="false">IF(AX6=②시니어_가정!$E$22,AW86+AX84,0)</f>
        <v>0</v>
      </c>
      <c r="AY85" s="37" t="n">
        <f aca="false">IF(AY6=②시니어_가정!$E$22,AX86+AY84,0)</f>
        <v>0</v>
      </c>
      <c r="AZ85" s="37" t="n">
        <f aca="false">IF(AZ6=②시니어_가정!$E$22,AY86+AZ84,0)</f>
        <v>0</v>
      </c>
      <c r="BA85" s="37" t="n">
        <f aca="false">IF(BA6=②시니어_가정!$E$22,AZ86+BA84,0)</f>
        <v>0</v>
      </c>
      <c r="BB85" s="37" t="n">
        <f aca="false">IF(BB6=②시니어_가정!$E$22,BA86+BB84,0)</f>
        <v>0</v>
      </c>
      <c r="BC85" s="37" t="n">
        <f aca="false">IF(BC6=②시니어_가정!$E$22,BB86+BC84,0)</f>
        <v>0</v>
      </c>
      <c r="BD85" s="37" t="n">
        <f aca="false">IF(BD6=②시니어_가정!$E$22,BC86+BD84,0)</f>
        <v>0</v>
      </c>
      <c r="BE85" s="37" t="n">
        <f aca="false">IF(BE6=②시니어_가정!$E$22,BD86+BE84,0)</f>
        <v>0</v>
      </c>
      <c r="BF85" s="37" t="n">
        <f aca="false">IF(BF6=②시니어_가정!$E$22,BE86+BF84,0)</f>
        <v>0</v>
      </c>
      <c r="BG85" s="37" t="n">
        <f aca="false">IF(BG6=②시니어_가정!$E$22,BF86+BG84,0)</f>
        <v>0</v>
      </c>
      <c r="BH85" s="37" t="n">
        <f aca="false">IF(BH6=②시니어_가정!$E$22,BG86+BH84,0)</f>
        <v>0</v>
      </c>
      <c r="BI85" s="37" t="n">
        <f aca="false">IF(BI6=②시니어_가정!$E$22,BH86+BI84,0)</f>
        <v>0</v>
      </c>
      <c r="BJ85" s="37" t="n">
        <f aca="false">IF(BJ6=②시니어_가정!$E$22,BI86+BJ84,0)</f>
        <v>0</v>
      </c>
      <c r="BK85" s="37" t="n">
        <f aca="false">IF(BK6=②시니어_가정!$E$22,BJ86+BK84,0)</f>
        <v>0</v>
      </c>
      <c r="BL85" s="37" t="n">
        <f aca="false">IF(BL6=②시니어_가정!$E$22,BK86+BL84,0)</f>
        <v>0</v>
      </c>
      <c r="BM85" s="37" t="n">
        <f aca="false">IF(BM6=②시니어_가정!$E$22,BL86+BM84,0)</f>
        <v>0</v>
      </c>
      <c r="BN85" s="37" t="n">
        <f aca="false">IF(BN6=②시니어_가정!$E$22,BM86+BN84,0)</f>
        <v>0</v>
      </c>
      <c r="BO85" s="37" t="n">
        <f aca="false">IF(BO6=②시니어_가정!$E$22,BN86+BO84,0)</f>
        <v>0</v>
      </c>
      <c r="BP85" s="37" t="n">
        <f aca="false">IF(BP6=②시니어_가정!$E$22,BO86+BP84,0)</f>
        <v>0</v>
      </c>
      <c r="BQ85" s="37" t="n">
        <f aca="false">IF(BQ6=②시니어_가정!$E$22,BP86+BQ84,0)</f>
        <v>0</v>
      </c>
      <c r="BR85" s="37" t="n">
        <f aca="false">IF(BR6=②시니어_가정!$E$22,BQ86+BR84,0)</f>
        <v>0</v>
      </c>
      <c r="BS85" s="37" t="n">
        <f aca="false">IF(BS6=②시니어_가정!$E$22,BR86+BS84,0)</f>
        <v>0</v>
      </c>
      <c r="BT85" s="37" t="n">
        <f aca="false">IF(BT6=②시니어_가정!$E$22,BS86+BT84,0)</f>
        <v>0</v>
      </c>
      <c r="BU85" s="37" t="n">
        <f aca="false">IF(BU6=②시니어_가정!$E$22,BT86+BU84,0)</f>
        <v>0</v>
      </c>
      <c r="BV85" s="37" t="n">
        <f aca="false">IF(BV6=②시니어_가정!$E$22,BU86+BV84,0)</f>
        <v>0</v>
      </c>
      <c r="BW85" s="37" t="n">
        <f aca="false">IF(BW6=②시니어_가정!$E$22,BV86+BW84,0)</f>
        <v>0</v>
      </c>
      <c r="BX85" s="37" t="n">
        <f aca="false">IF(BX6=②시니어_가정!$E$22,BW86+BX84,0)</f>
        <v>0</v>
      </c>
      <c r="BY85" s="37" t="n">
        <f aca="false">IF(BY6=②시니어_가정!$E$22,BX86+BY84,0)</f>
        <v>0</v>
      </c>
      <c r="BZ85" s="37" t="n">
        <f aca="false">IF(BZ6=②시니어_가정!$E$22,BY86+BZ84,0)</f>
        <v>0</v>
      </c>
      <c r="CA85" s="37" t="n">
        <f aca="false">IF(CA6=②시니어_가정!$E$22,BZ86+CA84,0)</f>
        <v>0</v>
      </c>
      <c r="CB85" s="37" t="n">
        <f aca="false">IF(CB6=②시니어_가정!$E$22,CA86+CB84,0)</f>
        <v>0</v>
      </c>
      <c r="CC85" s="37" t="n">
        <f aca="false">IF(CC6=②시니어_가정!$E$22,CB86+CC84,0)</f>
        <v>0</v>
      </c>
      <c r="CD85" s="37" t="n">
        <f aca="false">IF(CD6=②시니어_가정!$E$22,CC86+CD84,0)</f>
        <v>0</v>
      </c>
      <c r="CE85" s="37" t="n">
        <f aca="false">IF(CE6=②시니어_가정!$E$22,CD86+CE84,0)</f>
        <v>0</v>
      </c>
      <c r="CF85" s="37" t="n">
        <f aca="false">IF(CF6=②시니어_가정!$E$22,CE86+CF84,0)</f>
        <v>0</v>
      </c>
      <c r="CG85" s="37" t="n">
        <f aca="false">IF(CG6=②시니어_가정!$E$22,CF86+CG84,0)</f>
        <v>0</v>
      </c>
      <c r="CH85" s="37" t="n">
        <f aca="false">IF(CH6=②시니어_가정!$E$22,CG86+CH84,0)</f>
        <v>0</v>
      </c>
      <c r="CI85" s="37" t="n">
        <f aca="false">IF(CI6=②시니어_가정!$E$22,CH86+CI84,0)</f>
        <v>0</v>
      </c>
      <c r="CJ85" s="37" t="n">
        <f aca="false">IF(CJ6=②시니어_가정!$E$22,CI86+CJ84,0)</f>
        <v>0</v>
      </c>
      <c r="CK85" s="37" t="n">
        <f aca="false">IF(CK6=②시니어_가정!$E$22,CJ86+CK84,0)</f>
        <v>0</v>
      </c>
      <c r="CL85" s="37" t="n">
        <f aca="false">IF(CL6=②시니어_가정!$E$22,CK86+CL84,0)</f>
        <v>0</v>
      </c>
      <c r="CM85" s="37" t="n">
        <f aca="false">IF(CM6=②시니어_가정!$E$22,CL86+CM84,0)</f>
        <v>0</v>
      </c>
      <c r="CN85" s="37" t="n">
        <f aca="false">IF(CN6=②시니어_가정!$E$22,CM86+CN84,0)</f>
        <v>0</v>
      </c>
      <c r="CO85" s="37" t="n">
        <f aca="false">IF(CO6=②시니어_가정!$E$22,CN86+CO84,0)</f>
        <v>0</v>
      </c>
      <c r="CP85" s="37" t="n">
        <f aca="false">IF(CP6=②시니어_가정!$E$22,CO86+CP84,0)</f>
        <v>0</v>
      </c>
      <c r="CQ85" s="37" t="n">
        <f aca="false">IF(CQ6=②시니어_가정!$E$22,CP86+CQ84,0)</f>
        <v>0</v>
      </c>
      <c r="CR85" s="37" t="n">
        <f aca="false">IF(CR6=②시니어_가정!$E$22,CQ86+CR84,0)</f>
        <v>0</v>
      </c>
      <c r="CS85" s="37" t="n">
        <f aca="false">IF(CS6=②시니어_가정!$E$22,CR86+CS84,0)</f>
        <v>0</v>
      </c>
      <c r="CT85" s="37" t="n">
        <f aca="false">IF(CT6=②시니어_가정!$E$22,CS86+CT84,0)</f>
        <v>0</v>
      </c>
      <c r="CU85" s="37" t="n">
        <f aca="false">IF(CU6=②시니어_가정!$E$22,CT86+CU84,0)</f>
        <v>0</v>
      </c>
      <c r="CV85" s="37" t="n">
        <f aca="false">IF(CV6=②시니어_가정!$E$22,CU86+CV84,0)</f>
        <v>0</v>
      </c>
      <c r="CW85" s="37" t="n">
        <f aca="false">IF(CW6=②시니어_가정!$E$22,CV86+CW84,0)</f>
        <v>0</v>
      </c>
      <c r="CX85" s="37" t="n">
        <f aca="false">IF(CX6=②시니어_가정!$E$22,CW86+CX84,0)</f>
        <v>0</v>
      </c>
      <c r="CY85" s="37" t="n">
        <f aca="false">IF(CY6=②시니어_가정!$E$22,CX86+CY84,0)</f>
        <v>0</v>
      </c>
      <c r="CZ85" s="37" t="n">
        <f aca="false">IF(CZ6=②시니어_가정!$E$22,CY86+CZ84,0)</f>
        <v>0</v>
      </c>
      <c r="DA85" s="37" t="n">
        <f aca="false">IF(DA6=②시니어_가정!$E$22,CZ86+DA84,0)</f>
        <v>0</v>
      </c>
      <c r="DB85" s="37" t="n">
        <f aca="false">IF(DB6=②시니어_가정!$E$22,DA86+DB84,0)</f>
        <v>0</v>
      </c>
      <c r="DC85" s="37" t="n">
        <f aca="false">IF(DC6=②시니어_가정!$E$22,DB86+DC84,0)</f>
        <v>0</v>
      </c>
      <c r="DD85" s="37" t="n">
        <f aca="false">IF(DD6=②시니어_가정!$E$22,DC86+DD84,0)</f>
        <v>0</v>
      </c>
      <c r="DE85" s="37" t="n">
        <f aca="false">IF(DE6=②시니어_가정!$E$22,DD86+DE84,0)</f>
        <v>0</v>
      </c>
      <c r="DF85" s="37" t="n">
        <f aca="false">IF(DF6=②시니어_가정!$E$22,DE86+DF84,0)</f>
        <v>0</v>
      </c>
      <c r="DG85" s="37" t="n">
        <f aca="false">IF(DG6=②시니어_가정!$E$22,DF86+DG84,0)</f>
        <v>0</v>
      </c>
      <c r="DH85" s="37" t="n">
        <f aca="false">IF(DH6=②시니어_가정!$E$22,DG86+DH84,0)</f>
        <v>0</v>
      </c>
      <c r="DI85" s="37" t="n">
        <f aca="false">IF(DI6=②시니어_가정!$E$22,DH86+DI84,0)</f>
        <v>0</v>
      </c>
      <c r="DJ85" s="37" t="n">
        <f aca="false">IF(DJ6=②시니어_가정!$E$22,DI86+DJ84,0)</f>
        <v>0</v>
      </c>
      <c r="DK85" s="37" t="n">
        <f aca="false">IF(DK6=②시니어_가정!$E$22,DJ86+DK84,0)</f>
        <v>0</v>
      </c>
      <c r="DL85" s="37" t="n">
        <f aca="false">IF(DL6=②시니어_가정!$E$22,DK86+DL84,0)</f>
        <v>0</v>
      </c>
      <c r="DM85" s="37" t="n">
        <f aca="false">IF(DM6=②시니어_가정!$E$22,DL86+DM84,0)</f>
        <v>0</v>
      </c>
      <c r="DN85" s="37" t="n">
        <f aca="false">IF(DN6=②시니어_가정!$E$22,DM86+DN84,0)</f>
        <v>0</v>
      </c>
      <c r="DO85" s="37" t="n">
        <f aca="false">IF(DO6=②시니어_가정!$E$22,DN86+DO84,0)</f>
        <v>0</v>
      </c>
      <c r="DP85" s="37" t="n">
        <f aca="false">IF(DP6=②시니어_가정!$E$22,DO86+DP84,0)</f>
        <v>0</v>
      </c>
      <c r="DQ85" s="37" t="n">
        <f aca="false">IF(DQ6=②시니어_가정!$E$22,DP86+DQ84,0)</f>
        <v>0</v>
      </c>
      <c r="DR85" s="37" t="n">
        <f aca="false">IF(DR6=②시니어_가정!$E$22,DQ86+DR84,0)</f>
        <v>0</v>
      </c>
      <c r="DS85" s="37" t="n">
        <f aca="false">IF(DS6=②시니어_가정!$E$22,DR86+DS84,0)</f>
        <v>0</v>
      </c>
      <c r="DT85" s="37" t="n">
        <f aca="false">IF(DT6=②시니어_가정!$E$22,DS86+DT84,0)</f>
        <v>541500</v>
      </c>
      <c r="DU85" s="37" t="n">
        <f aca="false">IF(DU6=②시니어_가정!$E$22,DT86+DU84,0)</f>
        <v>0</v>
      </c>
      <c r="DV85" s="37" t="n">
        <f aca="false">IF(DV6=②시니어_가정!$E$22,DU86+DV84,0)</f>
        <v>0</v>
      </c>
      <c r="DW85" s="37" t="n">
        <f aca="false">IF(DW6=②시니어_가정!$E$22,DV86+DW84,0)</f>
        <v>0</v>
      </c>
      <c r="DX85" s="37" t="n">
        <f aca="false">IF(DX6=②시니어_가정!$E$22,DW86+DX84,0)</f>
        <v>0</v>
      </c>
      <c r="DY85" s="37" t="n">
        <f aca="false">IF(DY6=②시니어_가정!$E$22,DX86+DY84,0)</f>
        <v>0</v>
      </c>
      <c r="DZ85" s="37" t="n">
        <f aca="false">IF(DZ6=②시니어_가정!$E$22,DY86+DZ84,0)</f>
        <v>0</v>
      </c>
      <c r="EA85" s="37" t="n">
        <f aca="false">IF(EA6=②시니어_가정!$E$22,DZ86+EA84,0)</f>
        <v>0</v>
      </c>
      <c r="EB85" s="37" t="n">
        <f aca="false">IF(EB6=②시니어_가정!$E$22,EA86+EB84,0)</f>
        <v>0</v>
      </c>
      <c r="EC85" s="37" t="n">
        <f aca="false">IF(EC6=②시니어_가정!$E$22,EB86+EC84,0)</f>
        <v>0</v>
      </c>
      <c r="ED85" s="37" t="n">
        <f aca="false">IF(ED6=②시니어_가정!$E$22,EC86+ED84,0)</f>
        <v>0</v>
      </c>
      <c r="EE85" s="37" t="n">
        <f aca="false">IF(EE6=②시니어_가정!$E$22,ED86+EE84,0)</f>
        <v>0</v>
      </c>
      <c r="EF85" s="37" t="n">
        <f aca="false">IF(EF6=②시니어_가정!$E$22,EE86+EF84,0)</f>
        <v>0</v>
      </c>
    </row>
    <row r="86" customFormat="false" ht="15" hidden="false" customHeight="false" outlineLevel="0" collapsed="false">
      <c r="A86" s="36" t="s">
        <v>628</v>
      </c>
      <c r="B86" s="278" t="s">
        <v>21</v>
      </c>
      <c r="C86" s="279" t="n">
        <f aca="false">MAX(E86:EF86)</f>
        <v>541500</v>
      </c>
      <c r="E86" s="37" t="n">
        <f aca="false">0+E84-E85</f>
        <v>0</v>
      </c>
      <c r="F86" s="37" t="n">
        <f aca="false">E86+F84-F85</f>
        <v>0</v>
      </c>
      <c r="G86" s="37" t="n">
        <f aca="false">F86+G84-G85</f>
        <v>0</v>
      </c>
      <c r="H86" s="37" t="n">
        <f aca="false">G86+H84-H85</f>
        <v>0</v>
      </c>
      <c r="I86" s="37" t="n">
        <f aca="false">H86+I84-I85</f>
        <v>0</v>
      </c>
      <c r="J86" s="37" t="n">
        <f aca="false">I86+J84-J85</f>
        <v>0</v>
      </c>
      <c r="K86" s="37" t="n">
        <f aca="false">J86+K84-K85</f>
        <v>0</v>
      </c>
      <c r="L86" s="37" t="n">
        <f aca="false">K86+L84-L85</f>
        <v>0</v>
      </c>
      <c r="M86" s="37" t="n">
        <f aca="false">L86+M84-M85</f>
        <v>0</v>
      </c>
      <c r="N86" s="37" t="n">
        <f aca="false">M86+N84-N85</f>
        <v>0</v>
      </c>
      <c r="O86" s="37" t="n">
        <f aca="false">N86+O84-O85</f>
        <v>0</v>
      </c>
      <c r="P86" s="37" t="n">
        <f aca="false">O86+P84-P85</f>
        <v>0</v>
      </c>
      <c r="Q86" s="37" t="n">
        <f aca="false">P86+Q84-Q85</f>
        <v>43200</v>
      </c>
      <c r="R86" s="37" t="n">
        <f aca="false">Q86+R84-R85</f>
        <v>43200</v>
      </c>
      <c r="S86" s="37" t="n">
        <f aca="false">R86+S84-S85</f>
        <v>43200</v>
      </c>
      <c r="T86" s="37" t="n">
        <f aca="false">S86+T84-T85</f>
        <v>43200</v>
      </c>
      <c r="U86" s="37" t="n">
        <f aca="false">T86+U84-U85</f>
        <v>43200</v>
      </c>
      <c r="V86" s="37" t="n">
        <f aca="false">U86+V84-V85</f>
        <v>43200</v>
      </c>
      <c r="W86" s="37" t="n">
        <f aca="false">V86+W84-W85</f>
        <v>43200</v>
      </c>
      <c r="X86" s="37" t="n">
        <f aca="false">W86+X84-X85</f>
        <v>43200</v>
      </c>
      <c r="Y86" s="37" t="n">
        <f aca="false">X86+Y84-Y85</f>
        <v>43200</v>
      </c>
      <c r="Z86" s="37" t="n">
        <f aca="false">Y86+Z84-Z85</f>
        <v>43200</v>
      </c>
      <c r="AA86" s="37" t="n">
        <f aca="false">Z86+AA84-AA85</f>
        <v>43200</v>
      </c>
      <c r="AB86" s="37" t="n">
        <f aca="false">AA86+AB84-AB85</f>
        <v>43200</v>
      </c>
      <c r="AC86" s="37" t="n">
        <f aca="false">AB86+AC84-AC85</f>
        <v>129600</v>
      </c>
      <c r="AD86" s="37" t="n">
        <f aca="false">AC86+AD84-AD85</f>
        <v>129600</v>
      </c>
      <c r="AE86" s="37" t="n">
        <f aca="false">AD86+AE84-AE85</f>
        <v>129600</v>
      </c>
      <c r="AF86" s="37" t="n">
        <f aca="false">AE86+AF84-AF85</f>
        <v>129600</v>
      </c>
      <c r="AG86" s="37" t="n">
        <f aca="false">AF86+AG84-AG85</f>
        <v>129600</v>
      </c>
      <c r="AH86" s="37" t="n">
        <f aca="false">AG86+AH84-AH85</f>
        <v>129600</v>
      </c>
      <c r="AI86" s="37" t="n">
        <f aca="false">AH86+AI84-AI85</f>
        <v>129600</v>
      </c>
      <c r="AJ86" s="37" t="n">
        <f aca="false">AI86+AJ84-AJ85</f>
        <v>129600</v>
      </c>
      <c r="AK86" s="37" t="n">
        <f aca="false">AJ86+AK84-AK85</f>
        <v>129600</v>
      </c>
      <c r="AL86" s="37" t="n">
        <f aca="false">AK86+AL84-AL85</f>
        <v>129600</v>
      </c>
      <c r="AM86" s="37" t="n">
        <f aca="false">AL86+AM84-AM85</f>
        <v>129600</v>
      </c>
      <c r="AN86" s="37" t="n">
        <f aca="false">AM86+AN84-AN85</f>
        <v>129600</v>
      </c>
      <c r="AO86" s="37" t="n">
        <f aca="false">AN86+AO84-AO85</f>
        <v>216000</v>
      </c>
      <c r="AP86" s="37" t="n">
        <f aca="false">AO86+AP84-AP85</f>
        <v>216000</v>
      </c>
      <c r="AQ86" s="37" t="n">
        <f aca="false">AP86+AQ84-AQ85</f>
        <v>216000</v>
      </c>
      <c r="AR86" s="37" t="n">
        <f aca="false">AQ86+AR84-AR85</f>
        <v>216000</v>
      </c>
      <c r="AS86" s="37" t="n">
        <f aca="false">AR86+AS84-AS85</f>
        <v>216000</v>
      </c>
      <c r="AT86" s="37" t="n">
        <f aca="false">AS86+AT84-AT85</f>
        <v>216000</v>
      </c>
      <c r="AU86" s="37" t="n">
        <f aca="false">AT86+AU84-AU85</f>
        <v>216000</v>
      </c>
      <c r="AV86" s="37" t="n">
        <f aca="false">AU86+AV84-AV85</f>
        <v>216000</v>
      </c>
      <c r="AW86" s="37" t="n">
        <f aca="false">AV86+AW84-AW85</f>
        <v>216000</v>
      </c>
      <c r="AX86" s="37" t="n">
        <f aca="false">AW86+AX84-AX85</f>
        <v>216000</v>
      </c>
      <c r="AY86" s="37" t="n">
        <f aca="false">AX86+AY84-AY85</f>
        <v>216000</v>
      </c>
      <c r="AZ86" s="37" t="n">
        <f aca="false">AY86+AZ84-AZ85</f>
        <v>216000</v>
      </c>
      <c r="BA86" s="37" t="n">
        <f aca="false">AZ86+BA84-BA85</f>
        <v>302400</v>
      </c>
      <c r="BB86" s="37" t="n">
        <f aca="false">BA86+BB84-BB85</f>
        <v>302400</v>
      </c>
      <c r="BC86" s="37" t="n">
        <f aca="false">BB86+BC84-BC85</f>
        <v>302400</v>
      </c>
      <c r="BD86" s="37" t="n">
        <f aca="false">BC86+BD84-BD85</f>
        <v>302400</v>
      </c>
      <c r="BE86" s="37" t="n">
        <f aca="false">BD86+BE84-BE85</f>
        <v>302400</v>
      </c>
      <c r="BF86" s="37" t="n">
        <f aca="false">BE86+BF84-BF85</f>
        <v>302400</v>
      </c>
      <c r="BG86" s="37" t="n">
        <f aca="false">BF86+BG84-BG85</f>
        <v>302400</v>
      </c>
      <c r="BH86" s="37" t="n">
        <f aca="false">BG86+BH84-BH85</f>
        <v>302400</v>
      </c>
      <c r="BI86" s="37" t="n">
        <f aca="false">BH86+BI84-BI85</f>
        <v>302400</v>
      </c>
      <c r="BJ86" s="37" t="n">
        <f aca="false">BI86+BJ84-BJ85</f>
        <v>302400</v>
      </c>
      <c r="BK86" s="37" t="n">
        <f aca="false">BJ86+BK84-BK85</f>
        <v>302400</v>
      </c>
      <c r="BL86" s="37" t="n">
        <f aca="false">BK86+BL84-BL85</f>
        <v>302400</v>
      </c>
      <c r="BM86" s="37" t="n">
        <f aca="false">BL86+BM84-BM85</f>
        <v>433500</v>
      </c>
      <c r="BN86" s="37" t="n">
        <f aca="false">BM86+BN84-BN85</f>
        <v>433500</v>
      </c>
      <c r="BO86" s="37" t="n">
        <f aca="false">BN86+BO84-BO85</f>
        <v>433500</v>
      </c>
      <c r="BP86" s="37" t="n">
        <f aca="false">BO86+BP84-BP85</f>
        <v>433500</v>
      </c>
      <c r="BQ86" s="37" t="n">
        <f aca="false">BP86+BQ84-BQ85</f>
        <v>433500</v>
      </c>
      <c r="BR86" s="37" t="n">
        <f aca="false">BQ86+BR84-BR85</f>
        <v>433500</v>
      </c>
      <c r="BS86" s="37" t="n">
        <f aca="false">BR86+BS84-BS85</f>
        <v>433500</v>
      </c>
      <c r="BT86" s="37" t="n">
        <f aca="false">BS86+BT84-BT85</f>
        <v>433500</v>
      </c>
      <c r="BU86" s="37" t="n">
        <f aca="false">BT86+BU84-BU85</f>
        <v>433500</v>
      </c>
      <c r="BV86" s="37" t="n">
        <f aca="false">BU86+BV84-BV85</f>
        <v>433500</v>
      </c>
      <c r="BW86" s="37" t="n">
        <f aca="false">BV86+BW84-BW85</f>
        <v>433500</v>
      </c>
      <c r="BX86" s="37" t="n">
        <f aca="false">BW86+BX84-BX85</f>
        <v>433500</v>
      </c>
      <c r="BY86" s="37" t="n">
        <f aca="false">BX86+BY84-BY85</f>
        <v>541500</v>
      </c>
      <c r="BZ86" s="37" t="n">
        <f aca="false">BY86+BZ84-BZ85</f>
        <v>541500</v>
      </c>
      <c r="CA86" s="37" t="n">
        <f aca="false">BZ86+CA84-CA85</f>
        <v>541500</v>
      </c>
      <c r="CB86" s="37" t="n">
        <f aca="false">CA86+CB84-CB85</f>
        <v>541500</v>
      </c>
      <c r="CC86" s="37" t="n">
        <f aca="false">CB86+CC84-CC85</f>
        <v>541500</v>
      </c>
      <c r="CD86" s="37" t="n">
        <f aca="false">CC86+CD84-CD85</f>
        <v>541500</v>
      </c>
      <c r="CE86" s="37" t="n">
        <f aca="false">CD86+CE84-CE85</f>
        <v>541500</v>
      </c>
      <c r="CF86" s="37" t="n">
        <f aca="false">CE86+CF84-CF85</f>
        <v>541500</v>
      </c>
      <c r="CG86" s="37" t="n">
        <f aca="false">CF86+CG84-CG85</f>
        <v>541500</v>
      </c>
      <c r="CH86" s="37" t="n">
        <f aca="false">CG86+CH84-CH85</f>
        <v>541500</v>
      </c>
      <c r="CI86" s="37" t="n">
        <f aca="false">CH86+CI84-CI85</f>
        <v>541500</v>
      </c>
      <c r="CJ86" s="37" t="n">
        <f aca="false">CI86+CJ84-CJ85</f>
        <v>541500</v>
      </c>
      <c r="CK86" s="37" t="n">
        <f aca="false">CJ86+CK84-CK85</f>
        <v>541500</v>
      </c>
      <c r="CL86" s="37" t="n">
        <f aca="false">CK86+CL84-CL85</f>
        <v>541500</v>
      </c>
      <c r="CM86" s="37" t="n">
        <f aca="false">CL86+CM84-CM85</f>
        <v>541500</v>
      </c>
      <c r="CN86" s="37" t="n">
        <f aca="false">CM86+CN84-CN85</f>
        <v>541500</v>
      </c>
      <c r="CO86" s="37" t="n">
        <f aca="false">CN86+CO84-CO85</f>
        <v>541500</v>
      </c>
      <c r="CP86" s="37" t="n">
        <f aca="false">CO86+CP84-CP85</f>
        <v>541500</v>
      </c>
      <c r="CQ86" s="37" t="n">
        <f aca="false">CP86+CQ84-CQ85</f>
        <v>541500</v>
      </c>
      <c r="CR86" s="37" t="n">
        <f aca="false">CQ86+CR84-CR85</f>
        <v>541500</v>
      </c>
      <c r="CS86" s="37" t="n">
        <f aca="false">CR86+CS84-CS85</f>
        <v>541500</v>
      </c>
      <c r="CT86" s="37" t="n">
        <f aca="false">CS86+CT84-CT85</f>
        <v>541500</v>
      </c>
      <c r="CU86" s="37" t="n">
        <f aca="false">CT86+CU84-CU85</f>
        <v>541500</v>
      </c>
      <c r="CV86" s="37" t="n">
        <f aca="false">CU86+CV84-CV85</f>
        <v>541500</v>
      </c>
      <c r="CW86" s="37" t="n">
        <f aca="false">CV86+CW84-CW85</f>
        <v>541500</v>
      </c>
      <c r="CX86" s="37" t="n">
        <f aca="false">CW86+CX84-CX85</f>
        <v>541500</v>
      </c>
      <c r="CY86" s="37" t="n">
        <f aca="false">CX86+CY84-CY85</f>
        <v>541500</v>
      </c>
      <c r="CZ86" s="37" t="n">
        <f aca="false">CY86+CZ84-CZ85</f>
        <v>541500</v>
      </c>
      <c r="DA86" s="37" t="n">
        <f aca="false">CZ86+DA84-DA85</f>
        <v>541500</v>
      </c>
      <c r="DB86" s="37" t="n">
        <f aca="false">DA86+DB84-DB85</f>
        <v>541500</v>
      </c>
      <c r="DC86" s="37" t="n">
        <f aca="false">DB86+DC84-DC85</f>
        <v>541500</v>
      </c>
      <c r="DD86" s="37" t="n">
        <f aca="false">DC86+DD84-DD85</f>
        <v>541500</v>
      </c>
      <c r="DE86" s="37" t="n">
        <f aca="false">DD86+DE84-DE85</f>
        <v>541500</v>
      </c>
      <c r="DF86" s="37" t="n">
        <f aca="false">DE86+DF84-DF85</f>
        <v>541500</v>
      </c>
      <c r="DG86" s="37" t="n">
        <f aca="false">DF86+DG84-DG85</f>
        <v>541500</v>
      </c>
      <c r="DH86" s="37" t="n">
        <f aca="false">DG86+DH84-DH85</f>
        <v>541500</v>
      </c>
      <c r="DI86" s="37" t="n">
        <f aca="false">DH86+DI84-DI85</f>
        <v>541500</v>
      </c>
      <c r="DJ86" s="37" t="n">
        <f aca="false">DI86+DJ84-DJ85</f>
        <v>541500</v>
      </c>
      <c r="DK86" s="37" t="n">
        <f aca="false">DJ86+DK84-DK85</f>
        <v>541500</v>
      </c>
      <c r="DL86" s="37" t="n">
        <f aca="false">DK86+DL84-DL85</f>
        <v>541500</v>
      </c>
      <c r="DM86" s="37" t="n">
        <f aca="false">DL86+DM84-DM85</f>
        <v>541500</v>
      </c>
      <c r="DN86" s="37" t="n">
        <f aca="false">DM86+DN84-DN85</f>
        <v>541500</v>
      </c>
      <c r="DO86" s="37" t="n">
        <f aca="false">DN86+DO84-DO85</f>
        <v>541500</v>
      </c>
      <c r="DP86" s="37" t="n">
        <f aca="false">DO86+DP84-DP85</f>
        <v>541500</v>
      </c>
      <c r="DQ86" s="37" t="n">
        <f aca="false">DP86+DQ84-DQ85</f>
        <v>541500</v>
      </c>
      <c r="DR86" s="37" t="n">
        <f aca="false">DQ86+DR84-DR85</f>
        <v>541500</v>
      </c>
      <c r="DS86" s="37" t="n">
        <f aca="false">DR86+DS84-DS85</f>
        <v>541500</v>
      </c>
      <c r="DT86" s="37" t="n">
        <f aca="false">DS86+DT84-DT85</f>
        <v>0</v>
      </c>
      <c r="DU86" s="37" t="n">
        <f aca="false">DT86+DU84-DU85</f>
        <v>0</v>
      </c>
      <c r="DV86" s="37" t="n">
        <f aca="false">DU86+DV84-DV85</f>
        <v>0</v>
      </c>
      <c r="DW86" s="37" t="n">
        <f aca="false">DV86+DW84-DW85</f>
        <v>0</v>
      </c>
      <c r="DX86" s="37" t="n">
        <f aca="false">DW86+DX84-DX85</f>
        <v>0</v>
      </c>
      <c r="DY86" s="37" t="n">
        <f aca="false">DX86+DY84-DY85</f>
        <v>0</v>
      </c>
      <c r="DZ86" s="37" t="n">
        <f aca="false">DY86+DZ84-DZ85</f>
        <v>0</v>
      </c>
      <c r="EA86" s="37" t="n">
        <f aca="false">DZ86+EA84-EA85</f>
        <v>0</v>
      </c>
      <c r="EB86" s="37" t="n">
        <f aca="false">EA86+EB84-EB85</f>
        <v>0</v>
      </c>
      <c r="EC86" s="37" t="n">
        <f aca="false">EB86+EC84-EC85</f>
        <v>0</v>
      </c>
      <c r="ED86" s="37" t="n">
        <f aca="false">EC86+ED84-ED85</f>
        <v>0</v>
      </c>
      <c r="EE86" s="37" t="n">
        <f aca="false">ED86+EE84-EE85</f>
        <v>0</v>
      </c>
      <c r="EF86" s="37" t="n">
        <f aca="false">EE86+EF84-EF85</f>
        <v>0</v>
      </c>
    </row>
    <row r="88" customFormat="false" ht="15" hidden="false" customHeight="false" outlineLevel="0" collapsed="false">
      <c r="A88" s="6" t="s">
        <v>629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</row>
    <row r="89" customFormat="false" ht="15" hidden="false" customHeight="false" outlineLevel="0" collapsed="false">
      <c r="A89" s="36" t="s">
        <v>630</v>
      </c>
      <c r="B89" s="278" t="s">
        <v>21</v>
      </c>
      <c r="C89" s="279" t="n">
        <f aca="false">SUM(E89:EF89)</f>
        <v>3093.57669572591</v>
      </c>
      <c r="E89" s="37" t="n">
        <f aca="false">IF(E6=②시니어_가정!$E$10,②시니어_가정!$R$358*②시니어_가정!$D$554,0)</f>
        <v>0</v>
      </c>
      <c r="F89" s="37" t="n">
        <f aca="false">IF(F6=②시니어_가정!$E$10,②시니어_가정!$R$358*②시니어_가정!$D$554,0)</f>
        <v>0</v>
      </c>
      <c r="G89" s="37" t="n">
        <f aca="false">IF(G6=②시니어_가정!$E$10,②시니어_가정!$R$358*②시니어_가정!$D$554,0)</f>
        <v>0</v>
      </c>
      <c r="H89" s="37" t="n">
        <f aca="false">IF(H6=②시니어_가정!$E$10,②시니어_가정!$R$358*②시니어_가정!$D$554,0)</f>
        <v>3093.57669572591</v>
      </c>
      <c r="I89" s="37" t="n">
        <f aca="false">IF(I6=②시니어_가정!$E$10,②시니어_가정!$R$358*②시니어_가정!$D$554,0)</f>
        <v>0</v>
      </c>
      <c r="J89" s="37" t="n">
        <f aca="false">IF(J6=②시니어_가정!$E$10,②시니어_가정!$R$358*②시니어_가정!$D$554,0)</f>
        <v>0</v>
      </c>
      <c r="K89" s="37" t="n">
        <f aca="false">IF(K6=②시니어_가정!$E$10,②시니어_가정!$R$358*②시니어_가정!$D$554,0)</f>
        <v>0</v>
      </c>
      <c r="L89" s="37" t="n">
        <f aca="false">IF(L6=②시니어_가정!$E$10,②시니어_가정!$R$358*②시니어_가정!$D$554,0)</f>
        <v>0</v>
      </c>
      <c r="M89" s="37" t="n">
        <f aca="false">IF(M6=②시니어_가정!$E$10,②시니어_가정!$R$358*②시니어_가정!$D$554,0)</f>
        <v>0</v>
      </c>
      <c r="N89" s="37" t="n">
        <f aca="false">IF(N6=②시니어_가정!$E$10,②시니어_가정!$R$358*②시니어_가정!$D$554,0)</f>
        <v>0</v>
      </c>
      <c r="O89" s="37" t="n">
        <f aca="false">IF(O6=②시니어_가정!$E$10,②시니어_가정!$R$358*②시니어_가정!$D$554,0)</f>
        <v>0</v>
      </c>
      <c r="P89" s="37" t="n">
        <f aca="false">IF(P6=②시니어_가정!$E$10,②시니어_가정!$R$358*②시니어_가정!$D$554,0)</f>
        <v>0</v>
      </c>
      <c r="Q89" s="37" t="n">
        <f aca="false">IF(Q6=②시니어_가정!$E$10,②시니어_가정!$R$358*②시니어_가정!$D$554,0)</f>
        <v>0</v>
      </c>
      <c r="R89" s="37" t="n">
        <f aca="false">IF(R6=②시니어_가정!$E$10,②시니어_가정!$R$358*②시니어_가정!$D$554,0)</f>
        <v>0</v>
      </c>
      <c r="S89" s="37" t="n">
        <f aca="false">IF(S6=②시니어_가정!$E$10,②시니어_가정!$R$358*②시니어_가정!$D$554,0)</f>
        <v>0</v>
      </c>
      <c r="T89" s="37" t="n">
        <f aca="false">IF(T6=②시니어_가정!$E$10,②시니어_가정!$R$358*②시니어_가정!$D$554,0)</f>
        <v>0</v>
      </c>
      <c r="U89" s="37" t="n">
        <f aca="false">IF(U6=②시니어_가정!$E$10,②시니어_가정!$R$358*②시니어_가정!$D$554,0)</f>
        <v>0</v>
      </c>
      <c r="V89" s="37" t="n">
        <f aca="false">IF(V6=②시니어_가정!$E$10,②시니어_가정!$R$358*②시니어_가정!$D$554,0)</f>
        <v>0</v>
      </c>
      <c r="W89" s="37" t="n">
        <f aca="false">IF(W6=②시니어_가정!$E$10,②시니어_가정!$R$358*②시니어_가정!$D$554,0)</f>
        <v>0</v>
      </c>
      <c r="X89" s="37" t="n">
        <f aca="false">IF(X6=②시니어_가정!$E$10,②시니어_가정!$R$358*②시니어_가정!$D$554,0)</f>
        <v>0</v>
      </c>
      <c r="Y89" s="37" t="n">
        <f aca="false">IF(Y6=②시니어_가정!$E$10,②시니어_가정!$R$358*②시니어_가정!$D$554,0)</f>
        <v>0</v>
      </c>
      <c r="Z89" s="37" t="n">
        <f aca="false">IF(Z6=②시니어_가정!$E$10,②시니어_가정!$R$358*②시니어_가정!$D$554,0)</f>
        <v>0</v>
      </c>
      <c r="AA89" s="37" t="n">
        <f aca="false">IF(AA6=②시니어_가정!$E$10,②시니어_가정!$R$358*②시니어_가정!$D$554,0)</f>
        <v>0</v>
      </c>
      <c r="AB89" s="37" t="n">
        <f aca="false">IF(AB6=②시니어_가정!$E$10,②시니어_가정!$R$358*②시니어_가정!$D$554,0)</f>
        <v>0</v>
      </c>
      <c r="AC89" s="37" t="n">
        <f aca="false">IF(AC6=②시니어_가정!$E$10,②시니어_가정!$R$358*②시니어_가정!$D$554,0)</f>
        <v>0</v>
      </c>
      <c r="AD89" s="37" t="n">
        <f aca="false">IF(AD6=②시니어_가정!$E$10,②시니어_가정!$R$358*②시니어_가정!$D$554,0)</f>
        <v>0</v>
      </c>
      <c r="AE89" s="37" t="n">
        <f aca="false">IF(AE6=②시니어_가정!$E$10,②시니어_가정!$R$358*②시니어_가정!$D$554,0)</f>
        <v>0</v>
      </c>
      <c r="AF89" s="37" t="n">
        <f aca="false">IF(AF6=②시니어_가정!$E$10,②시니어_가정!$R$358*②시니어_가정!$D$554,0)</f>
        <v>0</v>
      </c>
      <c r="AG89" s="37" t="n">
        <f aca="false">IF(AG6=②시니어_가정!$E$10,②시니어_가정!$R$358*②시니어_가정!$D$554,0)</f>
        <v>0</v>
      </c>
      <c r="AH89" s="37" t="n">
        <f aca="false">IF(AH6=②시니어_가정!$E$10,②시니어_가정!$R$358*②시니어_가정!$D$554,0)</f>
        <v>0</v>
      </c>
      <c r="AI89" s="37" t="n">
        <f aca="false">IF(AI6=②시니어_가정!$E$10,②시니어_가정!$R$358*②시니어_가정!$D$554,0)</f>
        <v>0</v>
      </c>
      <c r="AJ89" s="37" t="n">
        <f aca="false">IF(AJ6=②시니어_가정!$E$10,②시니어_가정!$R$358*②시니어_가정!$D$554,0)</f>
        <v>0</v>
      </c>
      <c r="AK89" s="37" t="n">
        <f aca="false">IF(AK6=②시니어_가정!$E$10,②시니어_가정!$R$358*②시니어_가정!$D$554,0)</f>
        <v>0</v>
      </c>
      <c r="AL89" s="37" t="n">
        <f aca="false">IF(AL6=②시니어_가정!$E$10,②시니어_가정!$R$358*②시니어_가정!$D$554,0)</f>
        <v>0</v>
      </c>
      <c r="AM89" s="37" t="n">
        <f aca="false">IF(AM6=②시니어_가정!$E$10,②시니어_가정!$R$358*②시니어_가정!$D$554,0)</f>
        <v>0</v>
      </c>
      <c r="AN89" s="37" t="n">
        <f aca="false">IF(AN6=②시니어_가정!$E$10,②시니어_가정!$R$358*②시니어_가정!$D$554,0)</f>
        <v>0</v>
      </c>
      <c r="AO89" s="37" t="n">
        <f aca="false">IF(AO6=②시니어_가정!$E$10,②시니어_가정!$R$358*②시니어_가정!$D$554,0)</f>
        <v>0</v>
      </c>
      <c r="AP89" s="37" t="n">
        <f aca="false">IF(AP6=②시니어_가정!$E$10,②시니어_가정!$R$358*②시니어_가정!$D$554,0)</f>
        <v>0</v>
      </c>
      <c r="AQ89" s="37" t="n">
        <f aca="false">IF(AQ6=②시니어_가정!$E$10,②시니어_가정!$R$358*②시니어_가정!$D$554,0)</f>
        <v>0</v>
      </c>
      <c r="AR89" s="37" t="n">
        <f aca="false">IF(AR6=②시니어_가정!$E$10,②시니어_가정!$R$358*②시니어_가정!$D$554,0)</f>
        <v>0</v>
      </c>
      <c r="AS89" s="37" t="n">
        <f aca="false">IF(AS6=②시니어_가정!$E$10,②시니어_가정!$R$358*②시니어_가정!$D$554,0)</f>
        <v>0</v>
      </c>
      <c r="AT89" s="37" t="n">
        <f aca="false">IF(AT6=②시니어_가정!$E$10,②시니어_가정!$R$358*②시니어_가정!$D$554,0)</f>
        <v>0</v>
      </c>
      <c r="AU89" s="37" t="n">
        <f aca="false">IF(AU6=②시니어_가정!$E$10,②시니어_가정!$R$358*②시니어_가정!$D$554,0)</f>
        <v>0</v>
      </c>
      <c r="AV89" s="37" t="n">
        <f aca="false">IF(AV6=②시니어_가정!$E$10,②시니어_가정!$R$358*②시니어_가정!$D$554,0)</f>
        <v>0</v>
      </c>
      <c r="AW89" s="37" t="n">
        <f aca="false">IF(AW6=②시니어_가정!$E$10,②시니어_가정!$R$358*②시니어_가정!$D$554,0)</f>
        <v>0</v>
      </c>
      <c r="AX89" s="37" t="n">
        <f aca="false">IF(AX6=②시니어_가정!$E$10,②시니어_가정!$R$358*②시니어_가정!$D$554,0)</f>
        <v>0</v>
      </c>
      <c r="AY89" s="37" t="n">
        <f aca="false">IF(AY6=②시니어_가정!$E$10,②시니어_가정!$R$358*②시니어_가정!$D$554,0)</f>
        <v>0</v>
      </c>
      <c r="AZ89" s="37" t="n">
        <f aca="false">IF(AZ6=②시니어_가정!$E$10,②시니어_가정!$R$358*②시니어_가정!$D$554,0)</f>
        <v>0</v>
      </c>
      <c r="BA89" s="37" t="n">
        <f aca="false">IF(BA6=②시니어_가정!$E$10,②시니어_가정!$R$358*②시니어_가정!$D$554,0)</f>
        <v>0</v>
      </c>
      <c r="BB89" s="37" t="n">
        <f aca="false">IF(BB6=②시니어_가정!$E$10,②시니어_가정!$R$358*②시니어_가정!$D$554,0)</f>
        <v>0</v>
      </c>
      <c r="BC89" s="37" t="n">
        <f aca="false">IF(BC6=②시니어_가정!$E$10,②시니어_가정!$R$358*②시니어_가정!$D$554,0)</f>
        <v>0</v>
      </c>
      <c r="BD89" s="37" t="n">
        <f aca="false">IF(BD6=②시니어_가정!$E$10,②시니어_가정!$R$358*②시니어_가정!$D$554,0)</f>
        <v>0</v>
      </c>
      <c r="BE89" s="37" t="n">
        <f aca="false">IF(BE6=②시니어_가정!$E$10,②시니어_가정!$R$358*②시니어_가정!$D$554,0)</f>
        <v>0</v>
      </c>
      <c r="BF89" s="37" t="n">
        <f aca="false">IF(BF6=②시니어_가정!$E$10,②시니어_가정!$R$358*②시니어_가정!$D$554,0)</f>
        <v>0</v>
      </c>
      <c r="BG89" s="37" t="n">
        <f aca="false">IF(BG6=②시니어_가정!$E$10,②시니어_가정!$R$358*②시니어_가정!$D$554,0)</f>
        <v>0</v>
      </c>
      <c r="BH89" s="37" t="n">
        <f aca="false">IF(BH6=②시니어_가정!$E$10,②시니어_가정!$R$358*②시니어_가정!$D$554,0)</f>
        <v>0</v>
      </c>
      <c r="BI89" s="37" t="n">
        <f aca="false">IF(BI6=②시니어_가정!$E$10,②시니어_가정!$R$358*②시니어_가정!$D$554,0)</f>
        <v>0</v>
      </c>
      <c r="BJ89" s="37" t="n">
        <f aca="false">IF(BJ6=②시니어_가정!$E$10,②시니어_가정!$R$358*②시니어_가정!$D$554,0)</f>
        <v>0</v>
      </c>
      <c r="BK89" s="37" t="n">
        <f aca="false">IF(BK6=②시니어_가정!$E$10,②시니어_가정!$R$358*②시니어_가정!$D$554,0)</f>
        <v>0</v>
      </c>
      <c r="BL89" s="37" t="n">
        <f aca="false">IF(BL6=②시니어_가정!$E$10,②시니어_가정!$R$358*②시니어_가정!$D$554,0)</f>
        <v>0</v>
      </c>
      <c r="BM89" s="37" t="n">
        <f aca="false">IF(BM6=②시니어_가정!$E$10,②시니어_가정!$R$358*②시니어_가정!$D$554,0)</f>
        <v>0</v>
      </c>
      <c r="BN89" s="37" t="n">
        <f aca="false">IF(BN6=②시니어_가정!$E$10,②시니어_가정!$R$358*②시니어_가정!$D$554,0)</f>
        <v>0</v>
      </c>
      <c r="BO89" s="37" t="n">
        <f aca="false">IF(BO6=②시니어_가정!$E$10,②시니어_가정!$R$358*②시니어_가정!$D$554,0)</f>
        <v>0</v>
      </c>
      <c r="BP89" s="37" t="n">
        <f aca="false">IF(BP6=②시니어_가정!$E$10,②시니어_가정!$R$358*②시니어_가정!$D$554,0)</f>
        <v>0</v>
      </c>
      <c r="BQ89" s="37" t="n">
        <f aca="false">IF(BQ6=②시니어_가정!$E$10,②시니어_가정!$R$358*②시니어_가정!$D$554,0)</f>
        <v>0</v>
      </c>
      <c r="BR89" s="37" t="n">
        <f aca="false">IF(BR6=②시니어_가정!$E$10,②시니어_가정!$R$358*②시니어_가정!$D$554,0)</f>
        <v>0</v>
      </c>
      <c r="BS89" s="37" t="n">
        <f aca="false">IF(BS6=②시니어_가정!$E$10,②시니어_가정!$R$358*②시니어_가정!$D$554,0)</f>
        <v>0</v>
      </c>
      <c r="BT89" s="37" t="n">
        <f aca="false">IF(BT6=②시니어_가정!$E$10,②시니어_가정!$R$358*②시니어_가정!$D$554,0)</f>
        <v>0</v>
      </c>
      <c r="BU89" s="37" t="n">
        <f aca="false">IF(BU6=②시니어_가정!$E$10,②시니어_가정!$R$358*②시니어_가정!$D$554,0)</f>
        <v>0</v>
      </c>
      <c r="BV89" s="37" t="n">
        <f aca="false">IF(BV6=②시니어_가정!$E$10,②시니어_가정!$R$358*②시니어_가정!$D$554,0)</f>
        <v>0</v>
      </c>
      <c r="BW89" s="37" t="n">
        <f aca="false">IF(BW6=②시니어_가정!$E$10,②시니어_가정!$R$358*②시니어_가정!$D$554,0)</f>
        <v>0</v>
      </c>
      <c r="BX89" s="37" t="n">
        <f aca="false">IF(BX6=②시니어_가정!$E$10,②시니어_가정!$R$358*②시니어_가정!$D$554,0)</f>
        <v>0</v>
      </c>
      <c r="BY89" s="37" t="n">
        <f aca="false">IF(BY6=②시니어_가정!$E$10,②시니어_가정!$R$358*②시니어_가정!$D$554,0)</f>
        <v>0</v>
      </c>
      <c r="BZ89" s="37" t="n">
        <f aca="false">IF(BZ6=②시니어_가정!$E$10,②시니어_가정!$R$358*②시니어_가정!$D$554,0)</f>
        <v>0</v>
      </c>
      <c r="CA89" s="37" t="n">
        <f aca="false">IF(CA6=②시니어_가정!$E$10,②시니어_가정!$R$358*②시니어_가정!$D$554,0)</f>
        <v>0</v>
      </c>
      <c r="CB89" s="37" t="n">
        <f aca="false">IF(CB6=②시니어_가정!$E$10,②시니어_가정!$R$358*②시니어_가정!$D$554,0)</f>
        <v>0</v>
      </c>
      <c r="CC89" s="37" t="n">
        <f aca="false">IF(CC6=②시니어_가정!$E$10,②시니어_가정!$R$358*②시니어_가정!$D$554,0)</f>
        <v>0</v>
      </c>
      <c r="CD89" s="37" t="n">
        <f aca="false">IF(CD6=②시니어_가정!$E$10,②시니어_가정!$R$358*②시니어_가정!$D$554,0)</f>
        <v>0</v>
      </c>
      <c r="CE89" s="37" t="n">
        <f aca="false">IF(CE6=②시니어_가정!$E$10,②시니어_가정!$R$358*②시니어_가정!$D$554,0)</f>
        <v>0</v>
      </c>
      <c r="CF89" s="37" t="n">
        <f aca="false">IF(CF6=②시니어_가정!$E$10,②시니어_가정!$R$358*②시니어_가정!$D$554,0)</f>
        <v>0</v>
      </c>
      <c r="CG89" s="37" t="n">
        <f aca="false">IF(CG6=②시니어_가정!$E$10,②시니어_가정!$R$358*②시니어_가정!$D$554,0)</f>
        <v>0</v>
      </c>
      <c r="CH89" s="37" t="n">
        <f aca="false">IF(CH6=②시니어_가정!$E$10,②시니어_가정!$R$358*②시니어_가정!$D$554,0)</f>
        <v>0</v>
      </c>
      <c r="CI89" s="37" t="n">
        <f aca="false">IF(CI6=②시니어_가정!$E$10,②시니어_가정!$R$358*②시니어_가정!$D$554,0)</f>
        <v>0</v>
      </c>
      <c r="CJ89" s="37" t="n">
        <f aca="false">IF(CJ6=②시니어_가정!$E$10,②시니어_가정!$R$358*②시니어_가정!$D$554,0)</f>
        <v>0</v>
      </c>
      <c r="CK89" s="37" t="n">
        <f aca="false">IF(CK6=②시니어_가정!$E$10,②시니어_가정!$R$358*②시니어_가정!$D$554,0)</f>
        <v>0</v>
      </c>
      <c r="CL89" s="37" t="n">
        <f aca="false">IF(CL6=②시니어_가정!$E$10,②시니어_가정!$R$358*②시니어_가정!$D$554,0)</f>
        <v>0</v>
      </c>
      <c r="CM89" s="37" t="n">
        <f aca="false">IF(CM6=②시니어_가정!$E$10,②시니어_가정!$R$358*②시니어_가정!$D$554,0)</f>
        <v>0</v>
      </c>
      <c r="CN89" s="37" t="n">
        <f aca="false">IF(CN6=②시니어_가정!$E$10,②시니어_가정!$R$358*②시니어_가정!$D$554,0)</f>
        <v>0</v>
      </c>
      <c r="CO89" s="37" t="n">
        <f aca="false">IF(CO6=②시니어_가정!$E$10,②시니어_가정!$R$358*②시니어_가정!$D$554,0)</f>
        <v>0</v>
      </c>
      <c r="CP89" s="37" t="n">
        <f aca="false">IF(CP6=②시니어_가정!$E$10,②시니어_가정!$R$358*②시니어_가정!$D$554,0)</f>
        <v>0</v>
      </c>
      <c r="CQ89" s="37" t="n">
        <f aca="false">IF(CQ6=②시니어_가정!$E$10,②시니어_가정!$R$358*②시니어_가정!$D$554,0)</f>
        <v>0</v>
      </c>
      <c r="CR89" s="37" t="n">
        <f aca="false">IF(CR6=②시니어_가정!$E$10,②시니어_가정!$R$358*②시니어_가정!$D$554,0)</f>
        <v>0</v>
      </c>
      <c r="CS89" s="37" t="n">
        <f aca="false">IF(CS6=②시니어_가정!$E$10,②시니어_가정!$R$358*②시니어_가정!$D$554,0)</f>
        <v>0</v>
      </c>
      <c r="CT89" s="37" t="n">
        <f aca="false">IF(CT6=②시니어_가정!$E$10,②시니어_가정!$R$358*②시니어_가정!$D$554,0)</f>
        <v>0</v>
      </c>
      <c r="CU89" s="37" t="n">
        <f aca="false">IF(CU6=②시니어_가정!$E$10,②시니어_가정!$R$358*②시니어_가정!$D$554,0)</f>
        <v>0</v>
      </c>
      <c r="CV89" s="37" t="n">
        <f aca="false">IF(CV6=②시니어_가정!$E$10,②시니어_가정!$R$358*②시니어_가정!$D$554,0)</f>
        <v>0</v>
      </c>
      <c r="CW89" s="37" t="n">
        <f aca="false">IF(CW6=②시니어_가정!$E$10,②시니어_가정!$R$358*②시니어_가정!$D$554,0)</f>
        <v>0</v>
      </c>
      <c r="CX89" s="37" t="n">
        <f aca="false">IF(CX6=②시니어_가정!$E$10,②시니어_가정!$R$358*②시니어_가정!$D$554,0)</f>
        <v>0</v>
      </c>
      <c r="CY89" s="37" t="n">
        <f aca="false">IF(CY6=②시니어_가정!$E$10,②시니어_가정!$R$358*②시니어_가정!$D$554,0)</f>
        <v>0</v>
      </c>
      <c r="CZ89" s="37" t="n">
        <f aca="false">IF(CZ6=②시니어_가정!$E$10,②시니어_가정!$R$358*②시니어_가정!$D$554,0)</f>
        <v>0</v>
      </c>
      <c r="DA89" s="37" t="n">
        <f aca="false">IF(DA6=②시니어_가정!$E$10,②시니어_가정!$R$358*②시니어_가정!$D$554,0)</f>
        <v>0</v>
      </c>
      <c r="DB89" s="37" t="n">
        <f aca="false">IF(DB6=②시니어_가정!$E$10,②시니어_가정!$R$358*②시니어_가정!$D$554,0)</f>
        <v>0</v>
      </c>
      <c r="DC89" s="37" t="n">
        <f aca="false">IF(DC6=②시니어_가정!$E$10,②시니어_가정!$R$358*②시니어_가정!$D$554,0)</f>
        <v>0</v>
      </c>
      <c r="DD89" s="37" t="n">
        <f aca="false">IF(DD6=②시니어_가정!$E$10,②시니어_가정!$R$358*②시니어_가정!$D$554,0)</f>
        <v>0</v>
      </c>
      <c r="DE89" s="37" t="n">
        <f aca="false">IF(DE6=②시니어_가정!$E$10,②시니어_가정!$R$358*②시니어_가정!$D$554,0)</f>
        <v>0</v>
      </c>
      <c r="DF89" s="37" t="n">
        <f aca="false">IF(DF6=②시니어_가정!$E$10,②시니어_가정!$R$358*②시니어_가정!$D$554,0)</f>
        <v>0</v>
      </c>
      <c r="DG89" s="37" t="n">
        <f aca="false">IF(DG6=②시니어_가정!$E$10,②시니어_가정!$R$358*②시니어_가정!$D$554,0)</f>
        <v>0</v>
      </c>
      <c r="DH89" s="37" t="n">
        <f aca="false">IF(DH6=②시니어_가정!$E$10,②시니어_가정!$R$358*②시니어_가정!$D$554,0)</f>
        <v>0</v>
      </c>
      <c r="DI89" s="37" t="n">
        <f aca="false">IF(DI6=②시니어_가정!$E$10,②시니어_가정!$R$358*②시니어_가정!$D$554,0)</f>
        <v>0</v>
      </c>
      <c r="DJ89" s="37" t="n">
        <f aca="false">IF(DJ6=②시니어_가정!$E$10,②시니어_가정!$R$358*②시니어_가정!$D$554,0)</f>
        <v>0</v>
      </c>
      <c r="DK89" s="37" t="n">
        <f aca="false">IF(DK6=②시니어_가정!$E$10,②시니어_가정!$R$358*②시니어_가정!$D$554,0)</f>
        <v>0</v>
      </c>
      <c r="DL89" s="37" t="n">
        <f aca="false">IF(DL6=②시니어_가정!$E$10,②시니어_가정!$R$358*②시니어_가정!$D$554,0)</f>
        <v>0</v>
      </c>
      <c r="DM89" s="37" t="n">
        <f aca="false">IF(DM6=②시니어_가정!$E$10,②시니어_가정!$R$358*②시니어_가정!$D$554,0)</f>
        <v>0</v>
      </c>
      <c r="DN89" s="37" t="n">
        <f aca="false">IF(DN6=②시니어_가정!$E$10,②시니어_가정!$R$358*②시니어_가정!$D$554,0)</f>
        <v>0</v>
      </c>
      <c r="DO89" s="37" t="n">
        <f aca="false">IF(DO6=②시니어_가정!$E$10,②시니어_가정!$R$358*②시니어_가정!$D$554,0)</f>
        <v>0</v>
      </c>
      <c r="DP89" s="37" t="n">
        <f aca="false">IF(DP6=②시니어_가정!$E$10,②시니어_가정!$R$358*②시니어_가정!$D$554,0)</f>
        <v>0</v>
      </c>
      <c r="DQ89" s="37" t="n">
        <f aca="false">IF(DQ6=②시니어_가정!$E$10,②시니어_가정!$R$358*②시니어_가정!$D$554,0)</f>
        <v>0</v>
      </c>
      <c r="DR89" s="37" t="n">
        <f aca="false">IF(DR6=②시니어_가정!$E$10,②시니어_가정!$R$358*②시니어_가정!$D$554,0)</f>
        <v>0</v>
      </c>
      <c r="DS89" s="37" t="n">
        <f aca="false">IF(DS6=②시니어_가정!$E$10,②시니어_가정!$R$358*②시니어_가정!$D$554,0)</f>
        <v>0</v>
      </c>
      <c r="DT89" s="37" t="n">
        <f aca="false">IF(DT6=②시니어_가정!$E$10,②시니어_가정!$R$358*②시니어_가정!$D$554,0)</f>
        <v>0</v>
      </c>
      <c r="DU89" s="37" t="n">
        <f aca="false">IF(DU6=②시니어_가정!$E$10,②시니어_가정!$R$358*②시니어_가정!$D$554,0)</f>
        <v>0</v>
      </c>
      <c r="DV89" s="37" t="n">
        <f aca="false">IF(DV6=②시니어_가정!$E$10,②시니어_가정!$R$358*②시니어_가정!$D$554,0)</f>
        <v>0</v>
      </c>
      <c r="DW89" s="37" t="n">
        <f aca="false">IF(DW6=②시니어_가정!$E$10,②시니어_가정!$R$358*②시니어_가정!$D$554,0)</f>
        <v>0</v>
      </c>
      <c r="DX89" s="37" t="n">
        <f aca="false">IF(DX6=②시니어_가정!$E$10,②시니어_가정!$R$358*②시니어_가정!$D$554,0)</f>
        <v>0</v>
      </c>
      <c r="DY89" s="37" t="n">
        <f aca="false">IF(DY6=②시니어_가정!$E$10,②시니어_가정!$R$358*②시니어_가정!$D$554,0)</f>
        <v>0</v>
      </c>
      <c r="DZ89" s="37" t="n">
        <f aca="false">IF(DZ6=②시니어_가정!$E$10,②시니어_가정!$R$358*②시니어_가정!$D$554,0)</f>
        <v>0</v>
      </c>
      <c r="EA89" s="37" t="n">
        <f aca="false">IF(EA6=②시니어_가정!$E$10,②시니어_가정!$R$358*②시니어_가정!$D$554,0)</f>
        <v>0</v>
      </c>
      <c r="EB89" s="37" t="n">
        <f aca="false">IF(EB6=②시니어_가정!$E$10,②시니어_가정!$R$358*②시니어_가정!$D$554,0)</f>
        <v>0</v>
      </c>
      <c r="EC89" s="37" t="n">
        <f aca="false">IF(EC6=②시니어_가정!$E$10,②시니어_가정!$R$358*②시니어_가정!$D$554,0)</f>
        <v>0</v>
      </c>
      <c r="ED89" s="37" t="n">
        <f aca="false">IF(ED6=②시니어_가정!$E$10,②시니어_가정!$R$358*②시니어_가정!$D$554,0)</f>
        <v>0</v>
      </c>
      <c r="EE89" s="37" t="n">
        <f aca="false">IF(EE6=②시니어_가정!$E$10,②시니어_가정!$R$358*②시니어_가정!$D$554,0)</f>
        <v>0</v>
      </c>
      <c r="EF89" s="37" t="n">
        <f aca="false">IF(EF6=②시니어_가정!$E$10,②시니어_가정!$R$358*②시니어_가정!$D$554,0)</f>
        <v>0</v>
      </c>
    </row>
    <row r="90" customFormat="false" ht="15" hidden="false" customHeight="false" outlineLevel="0" collapsed="false">
      <c r="A90" s="36" t="s">
        <v>631</v>
      </c>
      <c r="B90" s="278" t="s">
        <v>21</v>
      </c>
      <c r="C90" s="279" t="n">
        <f aca="false">SUM(E90:EF90)</f>
        <v>62242.7631180052</v>
      </c>
      <c r="E90" s="37" t="n">
        <f aca="false">IF(E6=②시니어_가정!$E$14,②시니어_가정!$R$358*(1-②시니어_가정!$D$554)+②시니어_가정!$R$359+②시니어_가정!$R$360+②시니어_가정!$R$361,0)</f>
        <v>0</v>
      </c>
      <c r="F90" s="37" t="n">
        <f aca="false">IF(F6=②시니어_가정!$E$14,②시니어_가정!$R$358*(1-②시니어_가정!$D$554)+②시니어_가정!$R$359+②시니어_가정!$R$360+②시니어_가정!$R$361,0)</f>
        <v>0</v>
      </c>
      <c r="G90" s="37" t="n">
        <f aca="false">IF(G6=②시니어_가정!$E$14,②시니어_가정!$R$358*(1-②시니어_가정!$D$554)+②시니어_가정!$R$359+②시니어_가정!$R$360+②시니어_가정!$R$361,0)</f>
        <v>0</v>
      </c>
      <c r="H90" s="37" t="n">
        <f aca="false">IF(H6=②시니어_가정!$E$14,②시니어_가정!$R$358*(1-②시니어_가정!$D$554)+②시니어_가정!$R$359+②시니어_가정!$R$360+②시니어_가정!$R$361,0)</f>
        <v>0</v>
      </c>
      <c r="I90" s="37" t="n">
        <f aca="false">IF(I6=②시니어_가정!$E$14,②시니어_가정!$R$358*(1-②시니어_가정!$D$554)+②시니어_가정!$R$359+②시니어_가정!$R$360+②시니어_가정!$R$361,0)</f>
        <v>0</v>
      </c>
      <c r="J90" s="37" t="n">
        <f aca="false">IF(J6=②시니어_가정!$E$14,②시니어_가정!$R$358*(1-②시니어_가정!$D$554)+②시니어_가정!$R$359+②시니어_가정!$R$360+②시니어_가정!$R$361,0)</f>
        <v>0</v>
      </c>
      <c r="K90" s="37" t="n">
        <f aca="false">IF(K6=②시니어_가정!$E$14,②시니어_가정!$R$358*(1-②시니어_가정!$D$554)+②시니어_가정!$R$359+②시니어_가정!$R$360+②시니어_가정!$R$361,0)</f>
        <v>0</v>
      </c>
      <c r="L90" s="37" t="n">
        <f aca="false">IF(L6=②시니어_가정!$E$14,②시니어_가정!$R$358*(1-②시니어_가정!$D$554)+②시니어_가정!$R$359+②시니어_가정!$R$360+②시니어_가정!$R$361,0)</f>
        <v>0</v>
      </c>
      <c r="M90" s="37" t="n">
        <f aca="false">IF(M6=②시니어_가정!$E$14,②시니어_가정!$R$358*(1-②시니어_가정!$D$554)+②시니어_가정!$R$359+②시니어_가정!$R$360+②시니어_가정!$R$361,0)</f>
        <v>0</v>
      </c>
      <c r="N90" s="37" t="n">
        <f aca="false">IF(N6=②시니어_가정!$E$14,②시니어_가정!$R$358*(1-②시니어_가정!$D$554)+②시니어_가정!$R$359+②시니어_가정!$R$360+②시니어_가정!$R$361,0)</f>
        <v>0</v>
      </c>
      <c r="O90" s="37" t="n">
        <f aca="false">IF(O6=②시니어_가정!$E$14,②시니어_가정!$R$358*(1-②시니어_가정!$D$554)+②시니어_가정!$R$359+②시니어_가정!$R$360+②시니어_가정!$R$361,0)</f>
        <v>0</v>
      </c>
      <c r="P90" s="37" t="n">
        <f aca="false">IF(P6=②시니어_가정!$E$14,②시니어_가정!$R$358*(1-②시니어_가정!$D$554)+②시니어_가정!$R$359+②시니어_가정!$R$360+②시니어_가정!$R$361,0)</f>
        <v>0</v>
      </c>
      <c r="Q90" s="37" t="n">
        <f aca="false">IF(Q6=②시니어_가정!$E$14,②시니어_가정!$R$358*(1-②시니어_가정!$D$554)+②시니어_가정!$R$359+②시니어_가정!$R$360+②시니어_가정!$R$361,0)</f>
        <v>0</v>
      </c>
      <c r="R90" s="37" t="n">
        <f aca="false">IF(R6=②시니어_가정!$E$14,②시니어_가정!$R$358*(1-②시니어_가정!$D$554)+②시니어_가정!$R$359+②시니어_가정!$R$360+②시니어_가정!$R$361,0)</f>
        <v>0</v>
      </c>
      <c r="S90" s="37" t="n">
        <f aca="false">IF(S6=②시니어_가정!$E$14,②시니어_가정!$R$358*(1-②시니어_가정!$D$554)+②시니어_가정!$R$359+②시니어_가정!$R$360+②시니어_가정!$R$361,0)</f>
        <v>0</v>
      </c>
      <c r="T90" s="37" t="n">
        <f aca="false">IF(T6=②시니어_가정!$E$14,②시니어_가정!$R$358*(1-②시니어_가정!$D$554)+②시니어_가정!$R$359+②시니어_가정!$R$360+②시니어_가정!$R$361,0)</f>
        <v>0</v>
      </c>
      <c r="U90" s="37" t="n">
        <f aca="false">IF(U6=②시니어_가정!$E$14,②시니어_가정!$R$358*(1-②시니어_가정!$D$554)+②시니어_가정!$R$359+②시니어_가정!$R$360+②시니어_가정!$R$361,0)</f>
        <v>0</v>
      </c>
      <c r="V90" s="37" t="n">
        <f aca="false">IF(V6=②시니어_가정!$E$14,②시니어_가정!$R$358*(1-②시니어_가정!$D$554)+②시니어_가정!$R$359+②시니어_가정!$R$360+②시니어_가정!$R$361,0)</f>
        <v>0</v>
      </c>
      <c r="W90" s="37" t="n">
        <f aca="false">IF(W6=②시니어_가정!$E$14,②시니어_가정!$R$358*(1-②시니어_가정!$D$554)+②시니어_가정!$R$359+②시니어_가정!$R$360+②시니어_가정!$R$361,0)</f>
        <v>62242.7631180052</v>
      </c>
      <c r="X90" s="37" t="n">
        <f aca="false">IF(X6=②시니어_가정!$E$14,②시니어_가정!$R$358*(1-②시니어_가정!$D$554)+②시니어_가정!$R$359+②시니어_가정!$R$360+②시니어_가정!$R$361,0)</f>
        <v>0</v>
      </c>
      <c r="Y90" s="37" t="n">
        <f aca="false">IF(Y6=②시니어_가정!$E$14,②시니어_가정!$R$358*(1-②시니어_가정!$D$554)+②시니어_가정!$R$359+②시니어_가정!$R$360+②시니어_가정!$R$361,0)</f>
        <v>0</v>
      </c>
      <c r="Z90" s="37" t="n">
        <f aca="false">IF(Z6=②시니어_가정!$E$14,②시니어_가정!$R$358*(1-②시니어_가정!$D$554)+②시니어_가정!$R$359+②시니어_가정!$R$360+②시니어_가정!$R$361,0)</f>
        <v>0</v>
      </c>
      <c r="AA90" s="37" t="n">
        <f aca="false">IF(AA6=②시니어_가정!$E$14,②시니어_가정!$R$358*(1-②시니어_가정!$D$554)+②시니어_가정!$R$359+②시니어_가정!$R$360+②시니어_가정!$R$361,0)</f>
        <v>0</v>
      </c>
      <c r="AB90" s="37" t="n">
        <f aca="false">IF(AB6=②시니어_가정!$E$14,②시니어_가정!$R$358*(1-②시니어_가정!$D$554)+②시니어_가정!$R$359+②시니어_가정!$R$360+②시니어_가정!$R$361,0)</f>
        <v>0</v>
      </c>
      <c r="AC90" s="37" t="n">
        <f aca="false">IF(AC6=②시니어_가정!$E$14,②시니어_가정!$R$358*(1-②시니어_가정!$D$554)+②시니어_가정!$R$359+②시니어_가정!$R$360+②시니어_가정!$R$361,0)</f>
        <v>0</v>
      </c>
      <c r="AD90" s="37" t="n">
        <f aca="false">IF(AD6=②시니어_가정!$E$14,②시니어_가정!$R$358*(1-②시니어_가정!$D$554)+②시니어_가정!$R$359+②시니어_가정!$R$360+②시니어_가정!$R$361,0)</f>
        <v>0</v>
      </c>
      <c r="AE90" s="37" t="n">
        <f aca="false">IF(AE6=②시니어_가정!$E$14,②시니어_가정!$R$358*(1-②시니어_가정!$D$554)+②시니어_가정!$R$359+②시니어_가정!$R$360+②시니어_가정!$R$361,0)</f>
        <v>0</v>
      </c>
      <c r="AF90" s="37" t="n">
        <f aca="false">IF(AF6=②시니어_가정!$E$14,②시니어_가정!$R$358*(1-②시니어_가정!$D$554)+②시니어_가정!$R$359+②시니어_가정!$R$360+②시니어_가정!$R$361,0)</f>
        <v>0</v>
      </c>
      <c r="AG90" s="37" t="n">
        <f aca="false">IF(AG6=②시니어_가정!$E$14,②시니어_가정!$R$358*(1-②시니어_가정!$D$554)+②시니어_가정!$R$359+②시니어_가정!$R$360+②시니어_가정!$R$361,0)</f>
        <v>0</v>
      </c>
      <c r="AH90" s="37" t="n">
        <f aca="false">IF(AH6=②시니어_가정!$E$14,②시니어_가정!$R$358*(1-②시니어_가정!$D$554)+②시니어_가정!$R$359+②시니어_가정!$R$360+②시니어_가정!$R$361,0)</f>
        <v>0</v>
      </c>
      <c r="AI90" s="37" t="n">
        <f aca="false">IF(AI6=②시니어_가정!$E$14,②시니어_가정!$R$358*(1-②시니어_가정!$D$554)+②시니어_가정!$R$359+②시니어_가정!$R$360+②시니어_가정!$R$361,0)</f>
        <v>0</v>
      </c>
      <c r="AJ90" s="37" t="n">
        <f aca="false">IF(AJ6=②시니어_가정!$E$14,②시니어_가정!$R$358*(1-②시니어_가정!$D$554)+②시니어_가정!$R$359+②시니어_가정!$R$360+②시니어_가정!$R$361,0)</f>
        <v>0</v>
      </c>
      <c r="AK90" s="37" t="n">
        <f aca="false">IF(AK6=②시니어_가정!$E$14,②시니어_가정!$R$358*(1-②시니어_가정!$D$554)+②시니어_가정!$R$359+②시니어_가정!$R$360+②시니어_가정!$R$361,0)</f>
        <v>0</v>
      </c>
      <c r="AL90" s="37" t="n">
        <f aca="false">IF(AL6=②시니어_가정!$E$14,②시니어_가정!$R$358*(1-②시니어_가정!$D$554)+②시니어_가정!$R$359+②시니어_가정!$R$360+②시니어_가정!$R$361,0)</f>
        <v>0</v>
      </c>
      <c r="AM90" s="37" t="n">
        <f aca="false">IF(AM6=②시니어_가정!$E$14,②시니어_가정!$R$358*(1-②시니어_가정!$D$554)+②시니어_가정!$R$359+②시니어_가정!$R$360+②시니어_가정!$R$361,0)</f>
        <v>0</v>
      </c>
      <c r="AN90" s="37" t="n">
        <f aca="false">IF(AN6=②시니어_가정!$E$14,②시니어_가정!$R$358*(1-②시니어_가정!$D$554)+②시니어_가정!$R$359+②시니어_가정!$R$360+②시니어_가정!$R$361,0)</f>
        <v>0</v>
      </c>
      <c r="AO90" s="37" t="n">
        <f aca="false">IF(AO6=②시니어_가정!$E$14,②시니어_가정!$R$358*(1-②시니어_가정!$D$554)+②시니어_가정!$R$359+②시니어_가정!$R$360+②시니어_가정!$R$361,0)</f>
        <v>0</v>
      </c>
      <c r="AP90" s="37" t="n">
        <f aca="false">IF(AP6=②시니어_가정!$E$14,②시니어_가정!$R$358*(1-②시니어_가정!$D$554)+②시니어_가정!$R$359+②시니어_가정!$R$360+②시니어_가정!$R$361,0)</f>
        <v>0</v>
      </c>
      <c r="AQ90" s="37" t="n">
        <f aca="false">IF(AQ6=②시니어_가정!$E$14,②시니어_가정!$R$358*(1-②시니어_가정!$D$554)+②시니어_가정!$R$359+②시니어_가정!$R$360+②시니어_가정!$R$361,0)</f>
        <v>0</v>
      </c>
      <c r="AR90" s="37" t="n">
        <f aca="false">IF(AR6=②시니어_가정!$E$14,②시니어_가정!$R$358*(1-②시니어_가정!$D$554)+②시니어_가정!$R$359+②시니어_가정!$R$360+②시니어_가정!$R$361,0)</f>
        <v>0</v>
      </c>
      <c r="AS90" s="37" t="n">
        <f aca="false">IF(AS6=②시니어_가정!$E$14,②시니어_가정!$R$358*(1-②시니어_가정!$D$554)+②시니어_가정!$R$359+②시니어_가정!$R$360+②시니어_가정!$R$361,0)</f>
        <v>0</v>
      </c>
      <c r="AT90" s="37" t="n">
        <f aca="false">IF(AT6=②시니어_가정!$E$14,②시니어_가정!$R$358*(1-②시니어_가정!$D$554)+②시니어_가정!$R$359+②시니어_가정!$R$360+②시니어_가정!$R$361,0)</f>
        <v>0</v>
      </c>
      <c r="AU90" s="37" t="n">
        <f aca="false">IF(AU6=②시니어_가정!$E$14,②시니어_가정!$R$358*(1-②시니어_가정!$D$554)+②시니어_가정!$R$359+②시니어_가정!$R$360+②시니어_가정!$R$361,0)</f>
        <v>0</v>
      </c>
      <c r="AV90" s="37" t="n">
        <f aca="false">IF(AV6=②시니어_가정!$E$14,②시니어_가정!$R$358*(1-②시니어_가정!$D$554)+②시니어_가정!$R$359+②시니어_가정!$R$360+②시니어_가정!$R$361,0)</f>
        <v>0</v>
      </c>
      <c r="AW90" s="37" t="n">
        <f aca="false">IF(AW6=②시니어_가정!$E$14,②시니어_가정!$R$358*(1-②시니어_가정!$D$554)+②시니어_가정!$R$359+②시니어_가정!$R$360+②시니어_가정!$R$361,0)</f>
        <v>0</v>
      </c>
      <c r="AX90" s="37" t="n">
        <f aca="false">IF(AX6=②시니어_가정!$E$14,②시니어_가정!$R$358*(1-②시니어_가정!$D$554)+②시니어_가정!$R$359+②시니어_가정!$R$360+②시니어_가정!$R$361,0)</f>
        <v>0</v>
      </c>
      <c r="AY90" s="37" t="n">
        <f aca="false">IF(AY6=②시니어_가정!$E$14,②시니어_가정!$R$358*(1-②시니어_가정!$D$554)+②시니어_가정!$R$359+②시니어_가정!$R$360+②시니어_가정!$R$361,0)</f>
        <v>0</v>
      </c>
      <c r="AZ90" s="37" t="n">
        <f aca="false">IF(AZ6=②시니어_가정!$E$14,②시니어_가정!$R$358*(1-②시니어_가정!$D$554)+②시니어_가정!$R$359+②시니어_가정!$R$360+②시니어_가정!$R$361,0)</f>
        <v>0</v>
      </c>
      <c r="BA90" s="37" t="n">
        <f aca="false">IF(BA6=②시니어_가정!$E$14,②시니어_가정!$R$358*(1-②시니어_가정!$D$554)+②시니어_가정!$R$359+②시니어_가정!$R$360+②시니어_가정!$R$361,0)</f>
        <v>0</v>
      </c>
      <c r="BB90" s="37" t="n">
        <f aca="false">IF(BB6=②시니어_가정!$E$14,②시니어_가정!$R$358*(1-②시니어_가정!$D$554)+②시니어_가정!$R$359+②시니어_가정!$R$360+②시니어_가정!$R$361,0)</f>
        <v>0</v>
      </c>
      <c r="BC90" s="37" t="n">
        <f aca="false">IF(BC6=②시니어_가정!$E$14,②시니어_가정!$R$358*(1-②시니어_가정!$D$554)+②시니어_가정!$R$359+②시니어_가정!$R$360+②시니어_가정!$R$361,0)</f>
        <v>0</v>
      </c>
      <c r="BD90" s="37" t="n">
        <f aca="false">IF(BD6=②시니어_가정!$E$14,②시니어_가정!$R$358*(1-②시니어_가정!$D$554)+②시니어_가정!$R$359+②시니어_가정!$R$360+②시니어_가정!$R$361,0)</f>
        <v>0</v>
      </c>
      <c r="BE90" s="37" t="n">
        <f aca="false">IF(BE6=②시니어_가정!$E$14,②시니어_가정!$R$358*(1-②시니어_가정!$D$554)+②시니어_가정!$R$359+②시니어_가정!$R$360+②시니어_가정!$R$361,0)</f>
        <v>0</v>
      </c>
      <c r="BF90" s="37" t="n">
        <f aca="false">IF(BF6=②시니어_가정!$E$14,②시니어_가정!$R$358*(1-②시니어_가정!$D$554)+②시니어_가정!$R$359+②시니어_가정!$R$360+②시니어_가정!$R$361,0)</f>
        <v>0</v>
      </c>
      <c r="BG90" s="37" t="n">
        <f aca="false">IF(BG6=②시니어_가정!$E$14,②시니어_가정!$R$358*(1-②시니어_가정!$D$554)+②시니어_가정!$R$359+②시니어_가정!$R$360+②시니어_가정!$R$361,0)</f>
        <v>0</v>
      </c>
      <c r="BH90" s="37" t="n">
        <f aca="false">IF(BH6=②시니어_가정!$E$14,②시니어_가정!$R$358*(1-②시니어_가정!$D$554)+②시니어_가정!$R$359+②시니어_가정!$R$360+②시니어_가정!$R$361,0)</f>
        <v>0</v>
      </c>
      <c r="BI90" s="37" t="n">
        <f aca="false">IF(BI6=②시니어_가정!$E$14,②시니어_가정!$R$358*(1-②시니어_가정!$D$554)+②시니어_가정!$R$359+②시니어_가정!$R$360+②시니어_가정!$R$361,0)</f>
        <v>0</v>
      </c>
      <c r="BJ90" s="37" t="n">
        <f aca="false">IF(BJ6=②시니어_가정!$E$14,②시니어_가정!$R$358*(1-②시니어_가정!$D$554)+②시니어_가정!$R$359+②시니어_가정!$R$360+②시니어_가정!$R$361,0)</f>
        <v>0</v>
      </c>
      <c r="BK90" s="37" t="n">
        <f aca="false">IF(BK6=②시니어_가정!$E$14,②시니어_가정!$R$358*(1-②시니어_가정!$D$554)+②시니어_가정!$R$359+②시니어_가정!$R$360+②시니어_가정!$R$361,0)</f>
        <v>0</v>
      </c>
      <c r="BL90" s="37" t="n">
        <f aca="false">IF(BL6=②시니어_가정!$E$14,②시니어_가정!$R$358*(1-②시니어_가정!$D$554)+②시니어_가정!$R$359+②시니어_가정!$R$360+②시니어_가정!$R$361,0)</f>
        <v>0</v>
      </c>
      <c r="BM90" s="37" t="n">
        <f aca="false">IF(BM6=②시니어_가정!$E$14,②시니어_가정!$R$358*(1-②시니어_가정!$D$554)+②시니어_가정!$R$359+②시니어_가정!$R$360+②시니어_가정!$R$361,0)</f>
        <v>0</v>
      </c>
      <c r="BN90" s="37" t="n">
        <f aca="false">IF(BN6=②시니어_가정!$E$14,②시니어_가정!$R$358*(1-②시니어_가정!$D$554)+②시니어_가정!$R$359+②시니어_가정!$R$360+②시니어_가정!$R$361,0)</f>
        <v>0</v>
      </c>
      <c r="BO90" s="37" t="n">
        <f aca="false">IF(BO6=②시니어_가정!$E$14,②시니어_가정!$R$358*(1-②시니어_가정!$D$554)+②시니어_가정!$R$359+②시니어_가정!$R$360+②시니어_가정!$R$361,0)</f>
        <v>0</v>
      </c>
      <c r="BP90" s="37" t="n">
        <f aca="false">IF(BP6=②시니어_가정!$E$14,②시니어_가정!$R$358*(1-②시니어_가정!$D$554)+②시니어_가정!$R$359+②시니어_가정!$R$360+②시니어_가정!$R$361,0)</f>
        <v>0</v>
      </c>
      <c r="BQ90" s="37" t="n">
        <f aca="false">IF(BQ6=②시니어_가정!$E$14,②시니어_가정!$R$358*(1-②시니어_가정!$D$554)+②시니어_가정!$R$359+②시니어_가정!$R$360+②시니어_가정!$R$361,0)</f>
        <v>0</v>
      </c>
      <c r="BR90" s="37" t="n">
        <f aca="false">IF(BR6=②시니어_가정!$E$14,②시니어_가정!$R$358*(1-②시니어_가정!$D$554)+②시니어_가정!$R$359+②시니어_가정!$R$360+②시니어_가정!$R$361,0)</f>
        <v>0</v>
      </c>
      <c r="BS90" s="37" t="n">
        <f aca="false">IF(BS6=②시니어_가정!$E$14,②시니어_가정!$R$358*(1-②시니어_가정!$D$554)+②시니어_가정!$R$359+②시니어_가정!$R$360+②시니어_가정!$R$361,0)</f>
        <v>0</v>
      </c>
      <c r="BT90" s="37" t="n">
        <f aca="false">IF(BT6=②시니어_가정!$E$14,②시니어_가정!$R$358*(1-②시니어_가정!$D$554)+②시니어_가정!$R$359+②시니어_가정!$R$360+②시니어_가정!$R$361,0)</f>
        <v>0</v>
      </c>
      <c r="BU90" s="37" t="n">
        <f aca="false">IF(BU6=②시니어_가정!$E$14,②시니어_가정!$R$358*(1-②시니어_가정!$D$554)+②시니어_가정!$R$359+②시니어_가정!$R$360+②시니어_가정!$R$361,0)</f>
        <v>0</v>
      </c>
      <c r="BV90" s="37" t="n">
        <f aca="false">IF(BV6=②시니어_가정!$E$14,②시니어_가정!$R$358*(1-②시니어_가정!$D$554)+②시니어_가정!$R$359+②시니어_가정!$R$360+②시니어_가정!$R$361,0)</f>
        <v>0</v>
      </c>
      <c r="BW90" s="37" t="n">
        <f aca="false">IF(BW6=②시니어_가정!$E$14,②시니어_가정!$R$358*(1-②시니어_가정!$D$554)+②시니어_가정!$R$359+②시니어_가정!$R$360+②시니어_가정!$R$361,0)</f>
        <v>0</v>
      </c>
      <c r="BX90" s="37" t="n">
        <f aca="false">IF(BX6=②시니어_가정!$E$14,②시니어_가정!$R$358*(1-②시니어_가정!$D$554)+②시니어_가정!$R$359+②시니어_가정!$R$360+②시니어_가정!$R$361,0)</f>
        <v>0</v>
      </c>
      <c r="BY90" s="37" t="n">
        <f aca="false">IF(BY6=②시니어_가정!$E$14,②시니어_가정!$R$358*(1-②시니어_가정!$D$554)+②시니어_가정!$R$359+②시니어_가정!$R$360+②시니어_가정!$R$361,0)</f>
        <v>0</v>
      </c>
      <c r="BZ90" s="37" t="n">
        <f aca="false">IF(BZ6=②시니어_가정!$E$14,②시니어_가정!$R$358*(1-②시니어_가정!$D$554)+②시니어_가정!$R$359+②시니어_가정!$R$360+②시니어_가정!$R$361,0)</f>
        <v>0</v>
      </c>
      <c r="CA90" s="37" t="n">
        <f aca="false">IF(CA6=②시니어_가정!$E$14,②시니어_가정!$R$358*(1-②시니어_가정!$D$554)+②시니어_가정!$R$359+②시니어_가정!$R$360+②시니어_가정!$R$361,0)</f>
        <v>0</v>
      </c>
      <c r="CB90" s="37" t="n">
        <f aca="false">IF(CB6=②시니어_가정!$E$14,②시니어_가정!$R$358*(1-②시니어_가정!$D$554)+②시니어_가정!$R$359+②시니어_가정!$R$360+②시니어_가정!$R$361,0)</f>
        <v>0</v>
      </c>
      <c r="CC90" s="37" t="n">
        <f aca="false">IF(CC6=②시니어_가정!$E$14,②시니어_가정!$R$358*(1-②시니어_가정!$D$554)+②시니어_가정!$R$359+②시니어_가정!$R$360+②시니어_가정!$R$361,0)</f>
        <v>0</v>
      </c>
      <c r="CD90" s="37" t="n">
        <f aca="false">IF(CD6=②시니어_가정!$E$14,②시니어_가정!$R$358*(1-②시니어_가정!$D$554)+②시니어_가정!$R$359+②시니어_가정!$R$360+②시니어_가정!$R$361,0)</f>
        <v>0</v>
      </c>
      <c r="CE90" s="37" t="n">
        <f aca="false">IF(CE6=②시니어_가정!$E$14,②시니어_가정!$R$358*(1-②시니어_가정!$D$554)+②시니어_가정!$R$359+②시니어_가정!$R$360+②시니어_가정!$R$361,0)</f>
        <v>0</v>
      </c>
      <c r="CF90" s="37" t="n">
        <f aca="false">IF(CF6=②시니어_가정!$E$14,②시니어_가정!$R$358*(1-②시니어_가정!$D$554)+②시니어_가정!$R$359+②시니어_가정!$R$360+②시니어_가정!$R$361,0)</f>
        <v>0</v>
      </c>
      <c r="CG90" s="37" t="n">
        <f aca="false">IF(CG6=②시니어_가정!$E$14,②시니어_가정!$R$358*(1-②시니어_가정!$D$554)+②시니어_가정!$R$359+②시니어_가정!$R$360+②시니어_가정!$R$361,0)</f>
        <v>0</v>
      </c>
      <c r="CH90" s="37" t="n">
        <f aca="false">IF(CH6=②시니어_가정!$E$14,②시니어_가정!$R$358*(1-②시니어_가정!$D$554)+②시니어_가정!$R$359+②시니어_가정!$R$360+②시니어_가정!$R$361,0)</f>
        <v>0</v>
      </c>
      <c r="CI90" s="37" t="n">
        <f aca="false">IF(CI6=②시니어_가정!$E$14,②시니어_가정!$R$358*(1-②시니어_가정!$D$554)+②시니어_가정!$R$359+②시니어_가정!$R$360+②시니어_가정!$R$361,0)</f>
        <v>0</v>
      </c>
      <c r="CJ90" s="37" t="n">
        <f aca="false">IF(CJ6=②시니어_가정!$E$14,②시니어_가정!$R$358*(1-②시니어_가정!$D$554)+②시니어_가정!$R$359+②시니어_가정!$R$360+②시니어_가정!$R$361,0)</f>
        <v>0</v>
      </c>
      <c r="CK90" s="37" t="n">
        <f aca="false">IF(CK6=②시니어_가정!$E$14,②시니어_가정!$R$358*(1-②시니어_가정!$D$554)+②시니어_가정!$R$359+②시니어_가정!$R$360+②시니어_가정!$R$361,0)</f>
        <v>0</v>
      </c>
      <c r="CL90" s="37" t="n">
        <f aca="false">IF(CL6=②시니어_가정!$E$14,②시니어_가정!$R$358*(1-②시니어_가정!$D$554)+②시니어_가정!$R$359+②시니어_가정!$R$360+②시니어_가정!$R$361,0)</f>
        <v>0</v>
      </c>
      <c r="CM90" s="37" t="n">
        <f aca="false">IF(CM6=②시니어_가정!$E$14,②시니어_가정!$R$358*(1-②시니어_가정!$D$554)+②시니어_가정!$R$359+②시니어_가정!$R$360+②시니어_가정!$R$361,0)</f>
        <v>0</v>
      </c>
      <c r="CN90" s="37" t="n">
        <f aca="false">IF(CN6=②시니어_가정!$E$14,②시니어_가정!$R$358*(1-②시니어_가정!$D$554)+②시니어_가정!$R$359+②시니어_가정!$R$360+②시니어_가정!$R$361,0)</f>
        <v>0</v>
      </c>
      <c r="CO90" s="37" t="n">
        <f aca="false">IF(CO6=②시니어_가정!$E$14,②시니어_가정!$R$358*(1-②시니어_가정!$D$554)+②시니어_가정!$R$359+②시니어_가정!$R$360+②시니어_가정!$R$361,0)</f>
        <v>0</v>
      </c>
      <c r="CP90" s="37" t="n">
        <f aca="false">IF(CP6=②시니어_가정!$E$14,②시니어_가정!$R$358*(1-②시니어_가정!$D$554)+②시니어_가정!$R$359+②시니어_가정!$R$360+②시니어_가정!$R$361,0)</f>
        <v>0</v>
      </c>
      <c r="CQ90" s="37" t="n">
        <f aca="false">IF(CQ6=②시니어_가정!$E$14,②시니어_가정!$R$358*(1-②시니어_가정!$D$554)+②시니어_가정!$R$359+②시니어_가정!$R$360+②시니어_가정!$R$361,0)</f>
        <v>0</v>
      </c>
      <c r="CR90" s="37" t="n">
        <f aca="false">IF(CR6=②시니어_가정!$E$14,②시니어_가정!$R$358*(1-②시니어_가정!$D$554)+②시니어_가정!$R$359+②시니어_가정!$R$360+②시니어_가정!$R$361,0)</f>
        <v>0</v>
      </c>
      <c r="CS90" s="37" t="n">
        <f aca="false">IF(CS6=②시니어_가정!$E$14,②시니어_가정!$R$358*(1-②시니어_가정!$D$554)+②시니어_가정!$R$359+②시니어_가정!$R$360+②시니어_가정!$R$361,0)</f>
        <v>0</v>
      </c>
      <c r="CT90" s="37" t="n">
        <f aca="false">IF(CT6=②시니어_가정!$E$14,②시니어_가정!$R$358*(1-②시니어_가정!$D$554)+②시니어_가정!$R$359+②시니어_가정!$R$360+②시니어_가정!$R$361,0)</f>
        <v>0</v>
      </c>
      <c r="CU90" s="37" t="n">
        <f aca="false">IF(CU6=②시니어_가정!$E$14,②시니어_가정!$R$358*(1-②시니어_가정!$D$554)+②시니어_가정!$R$359+②시니어_가정!$R$360+②시니어_가정!$R$361,0)</f>
        <v>0</v>
      </c>
      <c r="CV90" s="37" t="n">
        <f aca="false">IF(CV6=②시니어_가정!$E$14,②시니어_가정!$R$358*(1-②시니어_가정!$D$554)+②시니어_가정!$R$359+②시니어_가정!$R$360+②시니어_가정!$R$361,0)</f>
        <v>0</v>
      </c>
      <c r="CW90" s="37" t="n">
        <f aca="false">IF(CW6=②시니어_가정!$E$14,②시니어_가정!$R$358*(1-②시니어_가정!$D$554)+②시니어_가정!$R$359+②시니어_가정!$R$360+②시니어_가정!$R$361,0)</f>
        <v>0</v>
      </c>
      <c r="CX90" s="37" t="n">
        <f aca="false">IF(CX6=②시니어_가정!$E$14,②시니어_가정!$R$358*(1-②시니어_가정!$D$554)+②시니어_가정!$R$359+②시니어_가정!$R$360+②시니어_가정!$R$361,0)</f>
        <v>0</v>
      </c>
      <c r="CY90" s="37" t="n">
        <f aca="false">IF(CY6=②시니어_가정!$E$14,②시니어_가정!$R$358*(1-②시니어_가정!$D$554)+②시니어_가정!$R$359+②시니어_가정!$R$360+②시니어_가정!$R$361,0)</f>
        <v>0</v>
      </c>
      <c r="CZ90" s="37" t="n">
        <f aca="false">IF(CZ6=②시니어_가정!$E$14,②시니어_가정!$R$358*(1-②시니어_가정!$D$554)+②시니어_가정!$R$359+②시니어_가정!$R$360+②시니어_가정!$R$361,0)</f>
        <v>0</v>
      </c>
      <c r="DA90" s="37" t="n">
        <f aca="false">IF(DA6=②시니어_가정!$E$14,②시니어_가정!$R$358*(1-②시니어_가정!$D$554)+②시니어_가정!$R$359+②시니어_가정!$R$360+②시니어_가정!$R$361,0)</f>
        <v>0</v>
      </c>
      <c r="DB90" s="37" t="n">
        <f aca="false">IF(DB6=②시니어_가정!$E$14,②시니어_가정!$R$358*(1-②시니어_가정!$D$554)+②시니어_가정!$R$359+②시니어_가정!$R$360+②시니어_가정!$R$361,0)</f>
        <v>0</v>
      </c>
      <c r="DC90" s="37" t="n">
        <f aca="false">IF(DC6=②시니어_가정!$E$14,②시니어_가정!$R$358*(1-②시니어_가정!$D$554)+②시니어_가정!$R$359+②시니어_가정!$R$360+②시니어_가정!$R$361,0)</f>
        <v>0</v>
      </c>
      <c r="DD90" s="37" t="n">
        <f aca="false">IF(DD6=②시니어_가정!$E$14,②시니어_가정!$R$358*(1-②시니어_가정!$D$554)+②시니어_가정!$R$359+②시니어_가정!$R$360+②시니어_가정!$R$361,0)</f>
        <v>0</v>
      </c>
      <c r="DE90" s="37" t="n">
        <f aca="false">IF(DE6=②시니어_가정!$E$14,②시니어_가정!$R$358*(1-②시니어_가정!$D$554)+②시니어_가정!$R$359+②시니어_가정!$R$360+②시니어_가정!$R$361,0)</f>
        <v>0</v>
      </c>
      <c r="DF90" s="37" t="n">
        <f aca="false">IF(DF6=②시니어_가정!$E$14,②시니어_가정!$R$358*(1-②시니어_가정!$D$554)+②시니어_가정!$R$359+②시니어_가정!$R$360+②시니어_가정!$R$361,0)</f>
        <v>0</v>
      </c>
      <c r="DG90" s="37" t="n">
        <f aca="false">IF(DG6=②시니어_가정!$E$14,②시니어_가정!$R$358*(1-②시니어_가정!$D$554)+②시니어_가정!$R$359+②시니어_가정!$R$360+②시니어_가정!$R$361,0)</f>
        <v>0</v>
      </c>
      <c r="DH90" s="37" t="n">
        <f aca="false">IF(DH6=②시니어_가정!$E$14,②시니어_가정!$R$358*(1-②시니어_가정!$D$554)+②시니어_가정!$R$359+②시니어_가정!$R$360+②시니어_가정!$R$361,0)</f>
        <v>0</v>
      </c>
      <c r="DI90" s="37" t="n">
        <f aca="false">IF(DI6=②시니어_가정!$E$14,②시니어_가정!$R$358*(1-②시니어_가정!$D$554)+②시니어_가정!$R$359+②시니어_가정!$R$360+②시니어_가정!$R$361,0)</f>
        <v>0</v>
      </c>
      <c r="DJ90" s="37" t="n">
        <f aca="false">IF(DJ6=②시니어_가정!$E$14,②시니어_가정!$R$358*(1-②시니어_가정!$D$554)+②시니어_가정!$R$359+②시니어_가정!$R$360+②시니어_가정!$R$361,0)</f>
        <v>0</v>
      </c>
      <c r="DK90" s="37" t="n">
        <f aca="false">IF(DK6=②시니어_가정!$E$14,②시니어_가정!$R$358*(1-②시니어_가정!$D$554)+②시니어_가정!$R$359+②시니어_가정!$R$360+②시니어_가정!$R$361,0)</f>
        <v>0</v>
      </c>
      <c r="DL90" s="37" t="n">
        <f aca="false">IF(DL6=②시니어_가정!$E$14,②시니어_가정!$R$358*(1-②시니어_가정!$D$554)+②시니어_가정!$R$359+②시니어_가정!$R$360+②시니어_가정!$R$361,0)</f>
        <v>0</v>
      </c>
      <c r="DM90" s="37" t="n">
        <f aca="false">IF(DM6=②시니어_가정!$E$14,②시니어_가정!$R$358*(1-②시니어_가정!$D$554)+②시니어_가정!$R$359+②시니어_가정!$R$360+②시니어_가정!$R$361,0)</f>
        <v>0</v>
      </c>
      <c r="DN90" s="37" t="n">
        <f aca="false">IF(DN6=②시니어_가정!$E$14,②시니어_가정!$R$358*(1-②시니어_가정!$D$554)+②시니어_가정!$R$359+②시니어_가정!$R$360+②시니어_가정!$R$361,0)</f>
        <v>0</v>
      </c>
      <c r="DO90" s="37" t="n">
        <f aca="false">IF(DO6=②시니어_가정!$E$14,②시니어_가정!$R$358*(1-②시니어_가정!$D$554)+②시니어_가정!$R$359+②시니어_가정!$R$360+②시니어_가정!$R$361,0)</f>
        <v>0</v>
      </c>
      <c r="DP90" s="37" t="n">
        <f aca="false">IF(DP6=②시니어_가정!$E$14,②시니어_가정!$R$358*(1-②시니어_가정!$D$554)+②시니어_가정!$R$359+②시니어_가정!$R$360+②시니어_가정!$R$361,0)</f>
        <v>0</v>
      </c>
      <c r="DQ90" s="37" t="n">
        <f aca="false">IF(DQ6=②시니어_가정!$E$14,②시니어_가정!$R$358*(1-②시니어_가정!$D$554)+②시니어_가정!$R$359+②시니어_가정!$R$360+②시니어_가정!$R$361,0)</f>
        <v>0</v>
      </c>
      <c r="DR90" s="37" t="n">
        <f aca="false">IF(DR6=②시니어_가정!$E$14,②시니어_가정!$R$358*(1-②시니어_가정!$D$554)+②시니어_가정!$R$359+②시니어_가정!$R$360+②시니어_가정!$R$361,0)</f>
        <v>0</v>
      </c>
      <c r="DS90" s="37" t="n">
        <f aca="false">IF(DS6=②시니어_가정!$E$14,②시니어_가정!$R$358*(1-②시니어_가정!$D$554)+②시니어_가정!$R$359+②시니어_가정!$R$360+②시니어_가정!$R$361,0)</f>
        <v>0</v>
      </c>
      <c r="DT90" s="37" t="n">
        <f aca="false">IF(DT6=②시니어_가정!$E$14,②시니어_가정!$R$358*(1-②시니어_가정!$D$554)+②시니어_가정!$R$359+②시니어_가정!$R$360+②시니어_가정!$R$361,0)</f>
        <v>0</v>
      </c>
      <c r="DU90" s="37" t="n">
        <f aca="false">IF(DU6=②시니어_가정!$E$14,②시니어_가정!$R$358*(1-②시니어_가정!$D$554)+②시니어_가정!$R$359+②시니어_가정!$R$360+②시니어_가정!$R$361,0)</f>
        <v>0</v>
      </c>
      <c r="DV90" s="37" t="n">
        <f aca="false">IF(DV6=②시니어_가정!$E$14,②시니어_가정!$R$358*(1-②시니어_가정!$D$554)+②시니어_가정!$R$359+②시니어_가정!$R$360+②시니어_가정!$R$361,0)</f>
        <v>0</v>
      </c>
      <c r="DW90" s="37" t="n">
        <f aca="false">IF(DW6=②시니어_가정!$E$14,②시니어_가정!$R$358*(1-②시니어_가정!$D$554)+②시니어_가정!$R$359+②시니어_가정!$R$360+②시니어_가정!$R$361,0)</f>
        <v>0</v>
      </c>
      <c r="DX90" s="37" t="n">
        <f aca="false">IF(DX6=②시니어_가정!$E$14,②시니어_가정!$R$358*(1-②시니어_가정!$D$554)+②시니어_가정!$R$359+②시니어_가정!$R$360+②시니어_가정!$R$361,0)</f>
        <v>0</v>
      </c>
      <c r="DY90" s="37" t="n">
        <f aca="false">IF(DY6=②시니어_가정!$E$14,②시니어_가정!$R$358*(1-②시니어_가정!$D$554)+②시니어_가정!$R$359+②시니어_가정!$R$360+②시니어_가정!$R$361,0)</f>
        <v>0</v>
      </c>
      <c r="DZ90" s="37" t="n">
        <f aca="false">IF(DZ6=②시니어_가정!$E$14,②시니어_가정!$R$358*(1-②시니어_가정!$D$554)+②시니어_가정!$R$359+②시니어_가정!$R$360+②시니어_가정!$R$361,0)</f>
        <v>0</v>
      </c>
      <c r="EA90" s="37" t="n">
        <f aca="false">IF(EA6=②시니어_가정!$E$14,②시니어_가정!$R$358*(1-②시니어_가정!$D$554)+②시니어_가정!$R$359+②시니어_가정!$R$360+②시니어_가정!$R$361,0)</f>
        <v>0</v>
      </c>
      <c r="EB90" s="37" t="n">
        <f aca="false">IF(EB6=②시니어_가정!$E$14,②시니어_가정!$R$358*(1-②시니어_가정!$D$554)+②시니어_가정!$R$359+②시니어_가정!$R$360+②시니어_가정!$R$361,0)</f>
        <v>0</v>
      </c>
      <c r="EC90" s="37" t="n">
        <f aca="false">IF(EC6=②시니어_가정!$E$14,②시니어_가정!$R$358*(1-②시니어_가정!$D$554)+②시니어_가정!$R$359+②시니어_가정!$R$360+②시니어_가정!$R$361,0)</f>
        <v>0</v>
      </c>
      <c r="ED90" s="37" t="n">
        <f aca="false">IF(ED6=②시니어_가정!$E$14,②시니어_가정!$R$358*(1-②시니어_가정!$D$554)+②시니어_가정!$R$359+②시니어_가정!$R$360+②시니어_가정!$R$361,0)</f>
        <v>0</v>
      </c>
      <c r="EE90" s="37" t="n">
        <f aca="false">IF(EE6=②시니어_가정!$E$14,②시니어_가정!$R$358*(1-②시니어_가정!$D$554)+②시니어_가정!$R$359+②시니어_가정!$R$360+②시니어_가정!$R$361,0)</f>
        <v>0</v>
      </c>
      <c r="EF90" s="37" t="n">
        <f aca="false">IF(EF6=②시니어_가정!$E$14,②시니어_가정!$R$358*(1-②시니어_가정!$D$554)+②시니어_가정!$R$359+②시니어_가정!$R$360+②시니어_가정!$R$361,0)</f>
        <v>0</v>
      </c>
    </row>
    <row r="91" customFormat="false" ht="15" hidden="false" customHeight="false" outlineLevel="0" collapsed="false">
      <c r="A91" s="36" t="s">
        <v>632</v>
      </c>
      <c r="B91" s="278" t="s">
        <v>21</v>
      </c>
      <c r="C91" s="279" t="n">
        <f aca="false">SUM(E91:EF91)</f>
        <v>1497.29112073134</v>
      </c>
      <c r="E91" s="37" t="n">
        <f aca="false">E11*②시니어_가정!$R$362/②시니어_가정!$E$15</f>
        <v>0</v>
      </c>
      <c r="F91" s="37" t="n">
        <f aca="false">F11*②시니어_가정!$R$362/②시니어_가정!$E$15</f>
        <v>0</v>
      </c>
      <c r="G91" s="37" t="n">
        <f aca="false">G11*②시니어_가정!$R$362/②시니어_가정!$E$15</f>
        <v>0</v>
      </c>
      <c r="H91" s="37" t="n">
        <f aca="false">H11*②시니어_가정!$R$362/②시니어_가정!$E$15</f>
        <v>0</v>
      </c>
      <c r="I91" s="37" t="n">
        <f aca="false">I11*②시니어_가정!$R$362/②시니어_가정!$E$15</f>
        <v>0</v>
      </c>
      <c r="J91" s="37" t="n">
        <f aca="false">J11*②시니어_가정!$R$362/②시니어_가정!$E$15</f>
        <v>0</v>
      </c>
      <c r="K91" s="37" t="n">
        <f aca="false">K11*②시니어_가정!$R$362/②시니어_가정!$E$15</f>
        <v>0</v>
      </c>
      <c r="L91" s="37" t="n">
        <f aca="false">L11*②시니어_가정!$R$362/②시니어_가정!$E$15</f>
        <v>0</v>
      </c>
      <c r="M91" s="37" t="n">
        <f aca="false">M11*②시니어_가정!$R$362/②시니어_가정!$E$15</f>
        <v>0</v>
      </c>
      <c r="N91" s="37" t="n">
        <f aca="false">N11*②시니어_가정!$R$362/②시니어_가정!$E$15</f>
        <v>0</v>
      </c>
      <c r="O91" s="37" t="n">
        <f aca="false">O11*②시니어_가정!$R$362/②시니어_가정!$E$15</f>
        <v>0</v>
      </c>
      <c r="P91" s="37" t="n">
        <f aca="false">P11*②시니어_가정!$R$362/②시니어_가정!$E$15</f>
        <v>0</v>
      </c>
      <c r="Q91" s="37" t="n">
        <f aca="false">Q11*②시니어_가정!$R$362/②시니어_가정!$E$15</f>
        <v>0</v>
      </c>
      <c r="R91" s="37" t="n">
        <f aca="false">R11*②시니어_가정!$R$362/②시니어_가정!$E$15</f>
        <v>0</v>
      </c>
      <c r="S91" s="37" t="n">
        <f aca="false">S11*②시니어_가정!$R$362/②시니어_가정!$E$15</f>
        <v>0</v>
      </c>
      <c r="T91" s="37" t="n">
        <f aca="false">T11*②시니어_가정!$R$362/②시니어_가정!$E$15</f>
        <v>0</v>
      </c>
      <c r="U91" s="37" t="n">
        <f aca="false">U11*②시니어_가정!$R$362/②시니어_가정!$E$15</f>
        <v>0</v>
      </c>
      <c r="V91" s="37" t="n">
        <f aca="false">V11*②시니어_가정!$R$362/②시니어_가정!$E$15</f>
        <v>0</v>
      </c>
      <c r="W91" s="37" t="n">
        <f aca="false">W11*②시니어_가정!$R$362/②시니어_가정!$E$15</f>
        <v>35.6497885888414</v>
      </c>
      <c r="X91" s="37" t="n">
        <f aca="false">X11*②시니어_가정!$R$362/②시니어_가정!$E$15</f>
        <v>35.6497885888414</v>
      </c>
      <c r="Y91" s="37" t="n">
        <f aca="false">Y11*②시니어_가정!$R$362/②시니어_가정!$E$15</f>
        <v>35.6497885888414</v>
      </c>
      <c r="Z91" s="37" t="n">
        <f aca="false">Z11*②시니어_가정!$R$362/②시니어_가정!$E$15</f>
        <v>35.6497885888414</v>
      </c>
      <c r="AA91" s="37" t="n">
        <f aca="false">AA11*②시니어_가정!$R$362/②시니어_가정!$E$15</f>
        <v>35.6497885888414</v>
      </c>
      <c r="AB91" s="37" t="n">
        <f aca="false">AB11*②시니어_가정!$R$362/②시니어_가정!$E$15</f>
        <v>35.6497885888414</v>
      </c>
      <c r="AC91" s="37" t="n">
        <f aca="false">AC11*②시니어_가정!$R$362/②시니어_가정!$E$15</f>
        <v>35.6497885888414</v>
      </c>
      <c r="AD91" s="37" t="n">
        <f aca="false">AD11*②시니어_가정!$R$362/②시니어_가정!$E$15</f>
        <v>35.6497885888414</v>
      </c>
      <c r="AE91" s="37" t="n">
        <f aca="false">AE11*②시니어_가정!$R$362/②시니어_가정!$E$15</f>
        <v>35.6497885888414</v>
      </c>
      <c r="AF91" s="37" t="n">
        <f aca="false">AF11*②시니어_가정!$R$362/②시니어_가정!$E$15</f>
        <v>35.6497885888414</v>
      </c>
      <c r="AG91" s="37" t="n">
        <f aca="false">AG11*②시니어_가정!$R$362/②시니어_가정!$E$15</f>
        <v>35.6497885888414</v>
      </c>
      <c r="AH91" s="37" t="n">
        <f aca="false">AH11*②시니어_가정!$R$362/②시니어_가정!$E$15</f>
        <v>35.6497885888414</v>
      </c>
      <c r="AI91" s="37" t="n">
        <f aca="false">AI11*②시니어_가정!$R$362/②시니어_가정!$E$15</f>
        <v>35.6497885888414</v>
      </c>
      <c r="AJ91" s="37" t="n">
        <f aca="false">AJ11*②시니어_가정!$R$362/②시니어_가정!$E$15</f>
        <v>35.6497885888414</v>
      </c>
      <c r="AK91" s="37" t="n">
        <f aca="false">AK11*②시니어_가정!$R$362/②시니어_가정!$E$15</f>
        <v>35.6497885888414</v>
      </c>
      <c r="AL91" s="37" t="n">
        <f aca="false">AL11*②시니어_가정!$R$362/②시니어_가정!$E$15</f>
        <v>35.6497885888414</v>
      </c>
      <c r="AM91" s="37" t="n">
        <f aca="false">AM11*②시니어_가정!$R$362/②시니어_가정!$E$15</f>
        <v>35.6497885888414</v>
      </c>
      <c r="AN91" s="37" t="n">
        <f aca="false">AN11*②시니어_가정!$R$362/②시니어_가정!$E$15</f>
        <v>35.6497885888414</v>
      </c>
      <c r="AO91" s="37" t="n">
        <f aca="false">AO11*②시니어_가정!$R$362/②시니어_가정!$E$15</f>
        <v>35.6497885888414</v>
      </c>
      <c r="AP91" s="37" t="n">
        <f aca="false">AP11*②시니어_가정!$R$362/②시니어_가정!$E$15</f>
        <v>35.6497885888414</v>
      </c>
      <c r="AQ91" s="37" t="n">
        <f aca="false">AQ11*②시니어_가정!$R$362/②시니어_가정!$E$15</f>
        <v>35.6497885888414</v>
      </c>
      <c r="AR91" s="37" t="n">
        <f aca="false">AR11*②시니어_가정!$R$362/②시니어_가정!$E$15</f>
        <v>35.6497885888414</v>
      </c>
      <c r="AS91" s="37" t="n">
        <f aca="false">AS11*②시니어_가정!$R$362/②시니어_가정!$E$15</f>
        <v>35.6497885888414</v>
      </c>
      <c r="AT91" s="37" t="n">
        <f aca="false">AT11*②시니어_가정!$R$362/②시니어_가정!$E$15</f>
        <v>35.6497885888414</v>
      </c>
      <c r="AU91" s="37" t="n">
        <f aca="false">AU11*②시니어_가정!$R$362/②시니어_가정!$E$15</f>
        <v>35.6497885888414</v>
      </c>
      <c r="AV91" s="37" t="n">
        <f aca="false">AV11*②시니어_가정!$R$362/②시니어_가정!$E$15</f>
        <v>35.6497885888414</v>
      </c>
      <c r="AW91" s="37" t="n">
        <f aca="false">AW11*②시니어_가정!$R$362/②시니어_가정!$E$15</f>
        <v>35.6497885888414</v>
      </c>
      <c r="AX91" s="37" t="n">
        <f aca="false">AX11*②시니어_가정!$R$362/②시니어_가정!$E$15</f>
        <v>35.6497885888414</v>
      </c>
      <c r="AY91" s="37" t="n">
        <f aca="false">AY11*②시니어_가정!$R$362/②시니어_가정!$E$15</f>
        <v>35.6497885888414</v>
      </c>
      <c r="AZ91" s="37" t="n">
        <f aca="false">AZ11*②시니어_가정!$R$362/②시니어_가정!$E$15</f>
        <v>35.6497885888414</v>
      </c>
      <c r="BA91" s="37" t="n">
        <f aca="false">BA11*②시니어_가정!$R$362/②시니어_가정!$E$15</f>
        <v>35.6497885888414</v>
      </c>
      <c r="BB91" s="37" t="n">
        <f aca="false">BB11*②시니어_가정!$R$362/②시니어_가정!$E$15</f>
        <v>35.6497885888414</v>
      </c>
      <c r="BC91" s="37" t="n">
        <f aca="false">BC11*②시니어_가정!$R$362/②시니어_가정!$E$15</f>
        <v>35.6497885888414</v>
      </c>
      <c r="BD91" s="37" t="n">
        <f aca="false">BD11*②시니어_가정!$R$362/②시니어_가정!$E$15</f>
        <v>35.6497885888414</v>
      </c>
      <c r="BE91" s="37" t="n">
        <f aca="false">BE11*②시니어_가정!$R$362/②시니어_가정!$E$15</f>
        <v>35.6497885888414</v>
      </c>
      <c r="BF91" s="37" t="n">
        <f aca="false">BF11*②시니어_가정!$R$362/②시니어_가정!$E$15</f>
        <v>35.6497885888414</v>
      </c>
      <c r="BG91" s="37" t="n">
        <f aca="false">BG11*②시니어_가정!$R$362/②시니어_가정!$E$15</f>
        <v>35.6497885888414</v>
      </c>
      <c r="BH91" s="37" t="n">
        <f aca="false">BH11*②시니어_가정!$R$362/②시니어_가정!$E$15</f>
        <v>35.6497885888414</v>
      </c>
      <c r="BI91" s="37" t="n">
        <f aca="false">BI11*②시니어_가정!$R$362/②시니어_가정!$E$15</f>
        <v>35.6497885888414</v>
      </c>
      <c r="BJ91" s="37" t="n">
        <f aca="false">BJ11*②시니어_가정!$R$362/②시니어_가정!$E$15</f>
        <v>35.6497885888414</v>
      </c>
      <c r="BK91" s="37" t="n">
        <f aca="false">BK11*②시니어_가정!$R$362/②시니어_가정!$E$15</f>
        <v>35.6497885888414</v>
      </c>
      <c r="BL91" s="37" t="n">
        <f aca="false">BL11*②시니어_가정!$R$362/②시니어_가정!$E$15</f>
        <v>35.6497885888414</v>
      </c>
      <c r="BM91" s="37" t="n">
        <f aca="false">BM11*②시니어_가정!$R$362/②시니어_가정!$E$15</f>
        <v>0</v>
      </c>
      <c r="BN91" s="37" t="n">
        <f aca="false">BN11*②시니어_가정!$R$362/②시니어_가정!$E$15</f>
        <v>0</v>
      </c>
      <c r="BO91" s="37" t="n">
        <f aca="false">BO11*②시니어_가정!$R$362/②시니어_가정!$E$15</f>
        <v>0</v>
      </c>
      <c r="BP91" s="37" t="n">
        <f aca="false">BP11*②시니어_가정!$R$362/②시니어_가정!$E$15</f>
        <v>0</v>
      </c>
      <c r="BQ91" s="37" t="n">
        <f aca="false">BQ11*②시니어_가정!$R$362/②시니어_가정!$E$15</f>
        <v>0</v>
      </c>
      <c r="BR91" s="37" t="n">
        <f aca="false">BR11*②시니어_가정!$R$362/②시니어_가정!$E$15</f>
        <v>0</v>
      </c>
      <c r="BS91" s="37" t="n">
        <f aca="false">BS11*②시니어_가정!$R$362/②시니어_가정!$E$15</f>
        <v>0</v>
      </c>
      <c r="BT91" s="37" t="n">
        <f aca="false">BT11*②시니어_가정!$R$362/②시니어_가정!$E$15</f>
        <v>0</v>
      </c>
      <c r="BU91" s="37" t="n">
        <f aca="false">BU11*②시니어_가정!$R$362/②시니어_가정!$E$15</f>
        <v>0</v>
      </c>
      <c r="BV91" s="37" t="n">
        <f aca="false">BV11*②시니어_가정!$R$362/②시니어_가정!$E$15</f>
        <v>0</v>
      </c>
      <c r="BW91" s="37" t="n">
        <f aca="false">BW11*②시니어_가정!$R$362/②시니어_가정!$E$15</f>
        <v>0</v>
      </c>
      <c r="BX91" s="37" t="n">
        <f aca="false">BX11*②시니어_가정!$R$362/②시니어_가정!$E$15</f>
        <v>0</v>
      </c>
      <c r="BY91" s="37" t="n">
        <f aca="false">BY11*②시니어_가정!$R$362/②시니어_가정!$E$15</f>
        <v>0</v>
      </c>
      <c r="BZ91" s="37" t="n">
        <f aca="false">BZ11*②시니어_가정!$R$362/②시니어_가정!$E$15</f>
        <v>0</v>
      </c>
      <c r="CA91" s="37" t="n">
        <f aca="false">CA11*②시니어_가정!$R$362/②시니어_가정!$E$15</f>
        <v>0</v>
      </c>
      <c r="CB91" s="37" t="n">
        <f aca="false">CB11*②시니어_가정!$R$362/②시니어_가정!$E$15</f>
        <v>0</v>
      </c>
      <c r="CC91" s="37" t="n">
        <f aca="false">CC11*②시니어_가정!$R$362/②시니어_가정!$E$15</f>
        <v>0</v>
      </c>
      <c r="CD91" s="37" t="n">
        <f aca="false">CD11*②시니어_가정!$R$362/②시니어_가정!$E$15</f>
        <v>0</v>
      </c>
      <c r="CE91" s="37" t="n">
        <f aca="false">CE11*②시니어_가정!$R$362/②시니어_가정!$E$15</f>
        <v>0</v>
      </c>
      <c r="CF91" s="37" t="n">
        <f aca="false">CF11*②시니어_가정!$R$362/②시니어_가정!$E$15</f>
        <v>0</v>
      </c>
      <c r="CG91" s="37" t="n">
        <f aca="false">CG11*②시니어_가정!$R$362/②시니어_가정!$E$15</f>
        <v>0</v>
      </c>
      <c r="CH91" s="37" t="n">
        <f aca="false">CH11*②시니어_가정!$R$362/②시니어_가정!$E$15</f>
        <v>0</v>
      </c>
      <c r="CI91" s="37" t="n">
        <f aca="false">CI11*②시니어_가정!$R$362/②시니어_가정!$E$15</f>
        <v>0</v>
      </c>
      <c r="CJ91" s="37" t="n">
        <f aca="false">CJ11*②시니어_가정!$R$362/②시니어_가정!$E$15</f>
        <v>0</v>
      </c>
      <c r="CK91" s="37" t="n">
        <f aca="false">CK11*②시니어_가정!$R$362/②시니어_가정!$E$15</f>
        <v>0</v>
      </c>
      <c r="CL91" s="37" t="n">
        <f aca="false">CL11*②시니어_가정!$R$362/②시니어_가정!$E$15</f>
        <v>0</v>
      </c>
      <c r="CM91" s="37" t="n">
        <f aca="false">CM11*②시니어_가정!$R$362/②시니어_가정!$E$15</f>
        <v>0</v>
      </c>
      <c r="CN91" s="37" t="n">
        <f aca="false">CN11*②시니어_가정!$R$362/②시니어_가정!$E$15</f>
        <v>0</v>
      </c>
      <c r="CO91" s="37" t="n">
        <f aca="false">CO11*②시니어_가정!$R$362/②시니어_가정!$E$15</f>
        <v>0</v>
      </c>
      <c r="CP91" s="37" t="n">
        <f aca="false">CP11*②시니어_가정!$R$362/②시니어_가정!$E$15</f>
        <v>0</v>
      </c>
      <c r="CQ91" s="37" t="n">
        <f aca="false">CQ11*②시니어_가정!$R$362/②시니어_가정!$E$15</f>
        <v>0</v>
      </c>
      <c r="CR91" s="37" t="n">
        <f aca="false">CR11*②시니어_가정!$R$362/②시니어_가정!$E$15</f>
        <v>0</v>
      </c>
      <c r="CS91" s="37" t="n">
        <f aca="false">CS11*②시니어_가정!$R$362/②시니어_가정!$E$15</f>
        <v>0</v>
      </c>
      <c r="CT91" s="37" t="n">
        <f aca="false">CT11*②시니어_가정!$R$362/②시니어_가정!$E$15</f>
        <v>0</v>
      </c>
      <c r="CU91" s="37" t="n">
        <f aca="false">CU11*②시니어_가정!$R$362/②시니어_가정!$E$15</f>
        <v>0</v>
      </c>
      <c r="CV91" s="37" t="n">
        <f aca="false">CV11*②시니어_가정!$R$362/②시니어_가정!$E$15</f>
        <v>0</v>
      </c>
      <c r="CW91" s="37" t="n">
        <f aca="false">CW11*②시니어_가정!$R$362/②시니어_가정!$E$15</f>
        <v>0</v>
      </c>
      <c r="CX91" s="37" t="n">
        <f aca="false">CX11*②시니어_가정!$R$362/②시니어_가정!$E$15</f>
        <v>0</v>
      </c>
      <c r="CY91" s="37" t="n">
        <f aca="false">CY11*②시니어_가정!$R$362/②시니어_가정!$E$15</f>
        <v>0</v>
      </c>
      <c r="CZ91" s="37" t="n">
        <f aca="false">CZ11*②시니어_가정!$R$362/②시니어_가정!$E$15</f>
        <v>0</v>
      </c>
      <c r="DA91" s="37" t="n">
        <f aca="false">DA11*②시니어_가정!$R$362/②시니어_가정!$E$15</f>
        <v>0</v>
      </c>
      <c r="DB91" s="37" t="n">
        <f aca="false">DB11*②시니어_가정!$R$362/②시니어_가정!$E$15</f>
        <v>0</v>
      </c>
      <c r="DC91" s="37" t="n">
        <f aca="false">DC11*②시니어_가정!$R$362/②시니어_가정!$E$15</f>
        <v>0</v>
      </c>
      <c r="DD91" s="37" t="n">
        <f aca="false">DD11*②시니어_가정!$R$362/②시니어_가정!$E$15</f>
        <v>0</v>
      </c>
      <c r="DE91" s="37" t="n">
        <f aca="false">DE11*②시니어_가정!$R$362/②시니어_가정!$E$15</f>
        <v>0</v>
      </c>
      <c r="DF91" s="37" t="n">
        <f aca="false">DF11*②시니어_가정!$R$362/②시니어_가정!$E$15</f>
        <v>0</v>
      </c>
      <c r="DG91" s="37" t="n">
        <f aca="false">DG11*②시니어_가정!$R$362/②시니어_가정!$E$15</f>
        <v>0</v>
      </c>
      <c r="DH91" s="37" t="n">
        <f aca="false">DH11*②시니어_가정!$R$362/②시니어_가정!$E$15</f>
        <v>0</v>
      </c>
      <c r="DI91" s="37" t="n">
        <f aca="false">DI11*②시니어_가정!$R$362/②시니어_가정!$E$15</f>
        <v>0</v>
      </c>
      <c r="DJ91" s="37" t="n">
        <f aca="false">DJ11*②시니어_가정!$R$362/②시니어_가정!$E$15</f>
        <v>0</v>
      </c>
      <c r="DK91" s="37" t="n">
        <f aca="false">DK11*②시니어_가정!$R$362/②시니어_가정!$E$15</f>
        <v>0</v>
      </c>
      <c r="DL91" s="37" t="n">
        <f aca="false">DL11*②시니어_가정!$R$362/②시니어_가정!$E$15</f>
        <v>0</v>
      </c>
      <c r="DM91" s="37" t="n">
        <f aca="false">DM11*②시니어_가정!$R$362/②시니어_가정!$E$15</f>
        <v>0</v>
      </c>
      <c r="DN91" s="37" t="n">
        <f aca="false">DN11*②시니어_가정!$R$362/②시니어_가정!$E$15</f>
        <v>0</v>
      </c>
      <c r="DO91" s="37" t="n">
        <f aca="false">DO11*②시니어_가정!$R$362/②시니어_가정!$E$15</f>
        <v>0</v>
      </c>
      <c r="DP91" s="37" t="n">
        <f aca="false">DP11*②시니어_가정!$R$362/②시니어_가정!$E$15</f>
        <v>0</v>
      </c>
      <c r="DQ91" s="37" t="n">
        <f aca="false">DQ11*②시니어_가정!$R$362/②시니어_가정!$E$15</f>
        <v>0</v>
      </c>
      <c r="DR91" s="37" t="n">
        <f aca="false">DR11*②시니어_가정!$R$362/②시니어_가정!$E$15</f>
        <v>0</v>
      </c>
      <c r="DS91" s="37" t="n">
        <f aca="false">DS11*②시니어_가정!$R$362/②시니어_가정!$E$15</f>
        <v>0</v>
      </c>
      <c r="DT91" s="37" t="n">
        <f aca="false">DT11*②시니어_가정!$R$362/②시니어_가정!$E$15</f>
        <v>0</v>
      </c>
      <c r="DU91" s="37" t="n">
        <f aca="false">DU11*②시니어_가정!$R$362/②시니어_가정!$E$15</f>
        <v>0</v>
      </c>
      <c r="DV91" s="37" t="n">
        <f aca="false">DV11*②시니어_가정!$R$362/②시니어_가정!$E$15</f>
        <v>0</v>
      </c>
      <c r="DW91" s="37" t="n">
        <f aca="false">DW11*②시니어_가정!$R$362/②시니어_가정!$E$15</f>
        <v>0</v>
      </c>
      <c r="DX91" s="37" t="n">
        <f aca="false">DX11*②시니어_가정!$R$362/②시니어_가정!$E$15</f>
        <v>0</v>
      </c>
      <c r="DY91" s="37" t="n">
        <f aca="false">DY11*②시니어_가정!$R$362/②시니어_가정!$E$15</f>
        <v>0</v>
      </c>
      <c r="DZ91" s="37" t="n">
        <f aca="false">DZ11*②시니어_가정!$R$362/②시니어_가정!$E$15</f>
        <v>0</v>
      </c>
      <c r="EA91" s="37" t="n">
        <f aca="false">EA11*②시니어_가정!$R$362/②시니어_가정!$E$15</f>
        <v>0</v>
      </c>
      <c r="EB91" s="37" t="n">
        <f aca="false">EB11*②시니어_가정!$R$362/②시니어_가정!$E$15</f>
        <v>0</v>
      </c>
      <c r="EC91" s="37" t="n">
        <f aca="false">EC11*②시니어_가정!$R$362/②시니어_가정!$E$15</f>
        <v>0</v>
      </c>
      <c r="ED91" s="37" t="n">
        <f aca="false">ED11*②시니어_가정!$R$362/②시니어_가정!$E$15</f>
        <v>0</v>
      </c>
      <c r="EE91" s="37" t="n">
        <f aca="false">EE11*②시니어_가정!$R$362/②시니어_가정!$E$15</f>
        <v>0</v>
      </c>
      <c r="EF91" s="37" t="n">
        <f aca="false">EF11*②시니어_가정!$R$362/②시니어_가정!$E$15</f>
        <v>0</v>
      </c>
    </row>
    <row r="92" customFormat="false" ht="15" hidden="false" customHeight="false" outlineLevel="0" collapsed="false">
      <c r="A92" s="36" t="s">
        <v>633</v>
      </c>
      <c r="B92" s="278" t="s">
        <v>21</v>
      </c>
      <c r="C92" s="279" t="n">
        <f aca="false">SUM(E92:EF92)</f>
        <v>174534.717601134</v>
      </c>
      <c r="E92" s="37" t="n">
        <f aca="false">E13*(②시니어_가정!$R$367-②시니어_가정!$E$433)</f>
        <v>0</v>
      </c>
      <c r="F92" s="37" t="n">
        <f aca="false">F13*(②시니어_가정!$R$367-②시니어_가정!$E$433)</f>
        <v>0</v>
      </c>
      <c r="G92" s="37" t="n">
        <f aca="false">G13*(②시니어_가정!$R$367-②시니어_가정!$E$433)</f>
        <v>0</v>
      </c>
      <c r="H92" s="37" t="n">
        <f aca="false">H13*(②시니어_가정!$R$367-②시니어_가정!$E$433)</f>
        <v>0</v>
      </c>
      <c r="I92" s="37" t="n">
        <f aca="false">I13*(②시니어_가정!$R$367-②시니어_가정!$E$433)</f>
        <v>0</v>
      </c>
      <c r="J92" s="37" t="n">
        <f aca="false">J13*(②시니어_가정!$R$367-②시니어_가정!$E$433)</f>
        <v>0</v>
      </c>
      <c r="K92" s="37" t="n">
        <f aca="false">K13*(②시니어_가정!$R$367-②시니어_가정!$E$433)</f>
        <v>0</v>
      </c>
      <c r="L92" s="37" t="n">
        <f aca="false">L13*(②시니어_가정!$R$367-②시니어_가정!$E$433)</f>
        <v>0</v>
      </c>
      <c r="M92" s="37" t="n">
        <f aca="false">M13*(②시니어_가정!$R$367-②시니어_가정!$E$433)</f>
        <v>0</v>
      </c>
      <c r="N92" s="37" t="n">
        <f aca="false">N13*(②시니어_가정!$R$367-②시니어_가정!$E$433)</f>
        <v>0</v>
      </c>
      <c r="O92" s="37" t="n">
        <f aca="false">O13*(②시니어_가정!$R$367-②시니어_가정!$E$433)</f>
        <v>0</v>
      </c>
      <c r="P92" s="37" t="n">
        <f aca="false">P13*(②시니어_가정!$R$367-②시니어_가정!$E$433)</f>
        <v>0</v>
      </c>
      <c r="Q92" s="37" t="n">
        <f aca="false">Q13*(②시니어_가정!$R$367-②시니어_가정!$E$433)</f>
        <v>0</v>
      </c>
      <c r="R92" s="37" t="n">
        <f aca="false">R13*(②시니어_가정!$R$367-②시니어_가정!$E$433)</f>
        <v>0</v>
      </c>
      <c r="S92" s="37" t="n">
        <f aca="false">S13*(②시니어_가정!$R$367-②시니어_가정!$E$433)</f>
        <v>0</v>
      </c>
      <c r="T92" s="37" t="n">
        <f aca="false">T13*(②시니어_가정!$R$367-②시니어_가정!$E$433)</f>
        <v>0</v>
      </c>
      <c r="U92" s="37" t="n">
        <f aca="false">U13*(②시니어_가정!$R$367-②시니어_가정!$E$433)</f>
        <v>0</v>
      </c>
      <c r="V92" s="37" t="n">
        <f aca="false">V13*(②시니어_가정!$R$367-②시니어_가정!$E$433)</f>
        <v>0</v>
      </c>
      <c r="W92" s="37" t="n">
        <f aca="false">W13*(②시니어_가정!$R$367-②시니어_가정!$E$433)</f>
        <v>244.017234669111</v>
      </c>
      <c r="X92" s="37" t="n">
        <f aca="false">X13*(②시니어_가정!$R$367-②시니어_가정!$E$433)</f>
        <v>730.687060648482</v>
      </c>
      <c r="Y92" s="37" t="n">
        <f aca="false">Y13*(②시니어_가정!$R$367-②시니어_가정!$E$433)</f>
        <v>1213.27058819053</v>
      </c>
      <c r="Z92" s="37" t="n">
        <f aca="false">Z13*(②시니어_가정!$R$367-②시니어_가정!$E$433)</f>
        <v>1689.06901445521</v>
      </c>
      <c r="AA92" s="37" t="n">
        <f aca="false">AA13*(②시니어_가정!$R$367-②시니어_가정!$E$433)</f>
        <v>2155.42148164107</v>
      </c>
      <c r="AB92" s="37" t="n">
        <f aca="false">AB13*(②시니어_가정!$R$367-②시니어_가정!$E$433)</f>
        <v>2609.71995758153</v>
      </c>
      <c r="AC92" s="37" t="n">
        <f aca="false">AC13*(②시니어_가정!$R$367-②시니어_가정!$E$433)</f>
        <v>3049.42382091854</v>
      </c>
      <c r="AD92" s="37" t="n">
        <f aca="false">AD13*(②시니어_가정!$R$367-②시니어_가정!$E$433)</f>
        <v>3472.0740692879</v>
      </c>
      <c r="AE92" s="37" t="n">
        <f aca="false">AE13*(②시니어_가정!$R$367-②시니어_가정!$E$433)</f>
        <v>3875.30707105786</v>
      </c>
      <c r="AF92" s="37" t="n">
        <f aca="false">AF13*(②시니어_가정!$R$367-②시니어_가정!$E$433)</f>
        <v>4256.86778371606</v>
      </c>
      <c r="AG92" s="37" t="n">
        <f aca="false">AG13*(②시니어_가정!$R$367-②시니어_가정!$E$433)</f>
        <v>4614.62236498191</v>
      </c>
      <c r="AH92" s="37" t="n">
        <f aca="false">AH13*(②시니어_가정!$R$367-②시니어_가정!$E$433)</f>
        <v>4946.57010611827</v>
      </c>
      <c r="AI92" s="37" t="n">
        <f aca="false">AI13*(②시니어_가정!$R$367-②시니어_가정!$E$433)</f>
        <v>5250.8546207062</v>
      </c>
      <c r="AJ92" s="37" t="n">
        <f aca="false">AJ13*(②시니어_가정!$R$367-②시니어_가정!$E$433)</f>
        <v>5525.77422631082</v>
      </c>
      <c r="AK92" s="37" t="n">
        <f aca="false">AK13*(②시니어_가정!$R$367-②시니어_가정!$E$433)</f>
        <v>5769.79146097995</v>
      </c>
      <c r="AL92" s="37" t="n">
        <f aca="false">AL13*(②시니어_가정!$R$367-②시니어_가정!$E$433)</f>
        <v>5981.54168135467</v>
      </c>
      <c r="AM92" s="37" t="n">
        <f aca="false">AM13*(②시니어_가정!$R$367-②시니어_가정!$E$433)</f>
        <v>6159.84069430881</v>
      </c>
      <c r="AN92" s="37" t="n">
        <f aca="false">AN13*(②시니어_가정!$R$367-②시니어_가정!$E$433)</f>
        <v>6303.69137943711</v>
      </c>
      <c r="AO92" s="37" t="n">
        <f aca="false">AO13*(②시니어_가정!$R$367-②시니어_가정!$E$433)</f>
        <v>6412.28926535712</v>
      </c>
      <c r="AP92" s="37" t="n">
        <f aca="false">AP13*(②시니어_가정!$R$367-②시니어_가정!$E$433)</f>
        <v>6485.0270286394</v>
      </c>
      <c r="AQ92" s="37" t="n">
        <f aca="false">AQ13*(②시니어_가정!$R$367-②시니어_가정!$E$433)</f>
        <v>6521.49789020644</v>
      </c>
      <c r="AR92" s="37" t="n">
        <f aca="false">AR13*(②시니어_가정!$R$367-②시니어_가정!$E$433)</f>
        <v>6521.49789020642</v>
      </c>
      <c r="AS92" s="37" t="n">
        <f aca="false">AS13*(②시니어_가정!$R$367-②시니어_가정!$E$433)</f>
        <v>6485.0270286394</v>
      </c>
      <c r="AT92" s="37" t="n">
        <f aca="false">AT13*(②시니어_가정!$R$367-②시니어_가정!$E$433)</f>
        <v>6412.28926535714</v>
      </c>
      <c r="AU92" s="37" t="n">
        <f aca="false">AU13*(②시니어_가정!$R$367-②시니어_가정!$E$433)</f>
        <v>6303.69137943713</v>
      </c>
      <c r="AV92" s="37" t="n">
        <f aca="false">AV13*(②시니어_가정!$R$367-②시니어_가정!$E$433)</f>
        <v>6159.84069430881</v>
      </c>
      <c r="AW92" s="37" t="n">
        <f aca="false">AW13*(②시니어_가정!$R$367-②시니어_가정!$E$433)</f>
        <v>5981.54168135466</v>
      </c>
      <c r="AX92" s="37" t="n">
        <f aca="false">AX13*(②시니어_가정!$R$367-②시니어_가정!$E$433)</f>
        <v>5769.79146097993</v>
      </c>
      <c r="AY92" s="37" t="n">
        <f aca="false">AY13*(②시니어_가정!$R$367-②시니어_가정!$E$433)</f>
        <v>5525.77422631086</v>
      </c>
      <c r="AZ92" s="37" t="n">
        <f aca="false">AZ13*(②시니어_가정!$R$367-②시니어_가정!$E$433)</f>
        <v>5250.85462070618</v>
      </c>
      <c r="BA92" s="37" t="n">
        <f aca="false">BA13*(②시니어_가정!$R$367-②시니어_가정!$E$433)</f>
        <v>4946.57010611826</v>
      </c>
      <c r="BB92" s="37" t="n">
        <f aca="false">BB13*(②시니어_가정!$R$367-②시니어_가정!$E$433)</f>
        <v>4614.62236498193</v>
      </c>
      <c r="BC92" s="37" t="n">
        <f aca="false">BC13*(②시니어_가정!$R$367-②시니어_가정!$E$433)</f>
        <v>4256.86778371606</v>
      </c>
      <c r="BD92" s="37" t="n">
        <f aca="false">BD13*(②시니어_가정!$R$367-②시니어_가정!$E$433)</f>
        <v>3875.30707105787</v>
      </c>
      <c r="BE92" s="37" t="n">
        <f aca="false">BE13*(②시니어_가정!$R$367-②시니어_가정!$E$433)</f>
        <v>3472.07406928787</v>
      </c>
      <c r="BF92" s="37" t="n">
        <f aca="false">BF13*(②시니어_가정!$R$367-②시니어_가정!$E$433)</f>
        <v>3049.42382091855</v>
      </c>
      <c r="BG92" s="37" t="n">
        <f aca="false">BG13*(②시니어_가정!$R$367-②시니어_가정!$E$433)</f>
        <v>2609.71995758155</v>
      </c>
      <c r="BH92" s="37" t="n">
        <f aca="false">BH13*(②시니어_가정!$R$367-②시니어_가정!$E$433)</f>
        <v>2155.42148164105</v>
      </c>
      <c r="BI92" s="37" t="n">
        <f aca="false">BI13*(②시니어_가정!$R$367-②시니어_가정!$E$433)</f>
        <v>1689.06901445522</v>
      </c>
      <c r="BJ92" s="37" t="n">
        <f aca="false">BJ13*(②시니어_가정!$R$367-②시니어_가정!$E$433)</f>
        <v>1213.27058819053</v>
      </c>
      <c r="BK92" s="37" t="n">
        <f aca="false">BK13*(②시니어_가정!$R$367-②시니어_가정!$E$433)</f>
        <v>730.687060648482</v>
      </c>
      <c r="BL92" s="37" t="n">
        <f aca="false">BL13*(②시니어_가정!$R$367-②시니어_가정!$E$433)</f>
        <v>244.017234669111</v>
      </c>
      <c r="BM92" s="37" t="n">
        <f aca="false">BM13*(②시니어_가정!$R$367-②시니어_가정!$E$433)</f>
        <v>0</v>
      </c>
      <c r="BN92" s="37" t="n">
        <f aca="false">BN13*(②시니어_가정!$R$367-②시니어_가정!$E$433)</f>
        <v>0</v>
      </c>
      <c r="BO92" s="37" t="n">
        <f aca="false">BO13*(②시니어_가정!$R$367-②시니어_가정!$E$433)</f>
        <v>0</v>
      </c>
      <c r="BP92" s="37" t="n">
        <f aca="false">BP13*(②시니어_가정!$R$367-②시니어_가정!$E$433)</f>
        <v>0</v>
      </c>
      <c r="BQ92" s="37" t="n">
        <f aca="false">BQ13*(②시니어_가정!$R$367-②시니어_가정!$E$433)</f>
        <v>0</v>
      </c>
      <c r="BR92" s="37" t="n">
        <f aca="false">BR13*(②시니어_가정!$R$367-②시니어_가정!$E$433)</f>
        <v>0</v>
      </c>
      <c r="BS92" s="37" t="n">
        <f aca="false">BS13*(②시니어_가정!$R$367-②시니어_가정!$E$433)</f>
        <v>0</v>
      </c>
      <c r="BT92" s="37" t="n">
        <f aca="false">BT13*(②시니어_가정!$R$367-②시니어_가정!$E$433)</f>
        <v>0</v>
      </c>
      <c r="BU92" s="37" t="n">
        <f aca="false">BU13*(②시니어_가정!$R$367-②시니어_가정!$E$433)</f>
        <v>0</v>
      </c>
      <c r="BV92" s="37" t="n">
        <f aca="false">BV13*(②시니어_가정!$R$367-②시니어_가정!$E$433)</f>
        <v>0</v>
      </c>
      <c r="BW92" s="37" t="n">
        <f aca="false">BW13*(②시니어_가정!$R$367-②시니어_가정!$E$433)</f>
        <v>0</v>
      </c>
      <c r="BX92" s="37" t="n">
        <f aca="false">BX13*(②시니어_가정!$R$367-②시니어_가정!$E$433)</f>
        <v>0</v>
      </c>
      <c r="BY92" s="37" t="n">
        <f aca="false">BY13*(②시니어_가정!$R$367-②시니어_가정!$E$433)</f>
        <v>0</v>
      </c>
      <c r="BZ92" s="37" t="n">
        <f aca="false">BZ13*(②시니어_가정!$R$367-②시니어_가정!$E$433)</f>
        <v>0</v>
      </c>
      <c r="CA92" s="37" t="n">
        <f aca="false">CA13*(②시니어_가정!$R$367-②시니어_가정!$E$433)</f>
        <v>0</v>
      </c>
      <c r="CB92" s="37" t="n">
        <f aca="false">CB13*(②시니어_가정!$R$367-②시니어_가정!$E$433)</f>
        <v>0</v>
      </c>
      <c r="CC92" s="37" t="n">
        <f aca="false">CC13*(②시니어_가정!$R$367-②시니어_가정!$E$433)</f>
        <v>0</v>
      </c>
      <c r="CD92" s="37" t="n">
        <f aca="false">CD13*(②시니어_가정!$R$367-②시니어_가정!$E$433)</f>
        <v>0</v>
      </c>
      <c r="CE92" s="37" t="n">
        <f aca="false">CE13*(②시니어_가정!$R$367-②시니어_가정!$E$433)</f>
        <v>0</v>
      </c>
      <c r="CF92" s="37" t="n">
        <f aca="false">CF13*(②시니어_가정!$R$367-②시니어_가정!$E$433)</f>
        <v>0</v>
      </c>
      <c r="CG92" s="37" t="n">
        <f aca="false">CG13*(②시니어_가정!$R$367-②시니어_가정!$E$433)</f>
        <v>0</v>
      </c>
      <c r="CH92" s="37" t="n">
        <f aca="false">CH13*(②시니어_가정!$R$367-②시니어_가정!$E$433)</f>
        <v>0</v>
      </c>
      <c r="CI92" s="37" t="n">
        <f aca="false">CI13*(②시니어_가정!$R$367-②시니어_가정!$E$433)</f>
        <v>0</v>
      </c>
      <c r="CJ92" s="37" t="n">
        <f aca="false">CJ13*(②시니어_가정!$R$367-②시니어_가정!$E$433)</f>
        <v>0</v>
      </c>
      <c r="CK92" s="37" t="n">
        <f aca="false">CK13*(②시니어_가정!$R$367-②시니어_가정!$E$433)</f>
        <v>0</v>
      </c>
      <c r="CL92" s="37" t="n">
        <f aca="false">CL13*(②시니어_가정!$R$367-②시니어_가정!$E$433)</f>
        <v>0</v>
      </c>
      <c r="CM92" s="37" t="n">
        <f aca="false">CM13*(②시니어_가정!$R$367-②시니어_가정!$E$433)</f>
        <v>0</v>
      </c>
      <c r="CN92" s="37" t="n">
        <f aca="false">CN13*(②시니어_가정!$R$367-②시니어_가정!$E$433)</f>
        <v>0</v>
      </c>
      <c r="CO92" s="37" t="n">
        <f aca="false">CO13*(②시니어_가정!$R$367-②시니어_가정!$E$433)</f>
        <v>0</v>
      </c>
      <c r="CP92" s="37" t="n">
        <f aca="false">CP13*(②시니어_가정!$R$367-②시니어_가정!$E$433)</f>
        <v>0</v>
      </c>
      <c r="CQ92" s="37" t="n">
        <f aca="false">CQ13*(②시니어_가정!$R$367-②시니어_가정!$E$433)</f>
        <v>0</v>
      </c>
      <c r="CR92" s="37" t="n">
        <f aca="false">CR13*(②시니어_가정!$R$367-②시니어_가정!$E$433)</f>
        <v>0</v>
      </c>
      <c r="CS92" s="37" t="n">
        <f aca="false">CS13*(②시니어_가정!$R$367-②시니어_가정!$E$433)</f>
        <v>0</v>
      </c>
      <c r="CT92" s="37" t="n">
        <f aca="false">CT13*(②시니어_가정!$R$367-②시니어_가정!$E$433)</f>
        <v>0</v>
      </c>
      <c r="CU92" s="37" t="n">
        <f aca="false">CU13*(②시니어_가정!$R$367-②시니어_가정!$E$433)</f>
        <v>0</v>
      </c>
      <c r="CV92" s="37" t="n">
        <f aca="false">CV13*(②시니어_가정!$R$367-②시니어_가정!$E$433)</f>
        <v>0</v>
      </c>
      <c r="CW92" s="37" t="n">
        <f aca="false">CW13*(②시니어_가정!$R$367-②시니어_가정!$E$433)</f>
        <v>0</v>
      </c>
      <c r="CX92" s="37" t="n">
        <f aca="false">CX13*(②시니어_가정!$R$367-②시니어_가정!$E$433)</f>
        <v>0</v>
      </c>
      <c r="CY92" s="37" t="n">
        <f aca="false">CY13*(②시니어_가정!$R$367-②시니어_가정!$E$433)</f>
        <v>0</v>
      </c>
      <c r="CZ92" s="37" t="n">
        <f aca="false">CZ13*(②시니어_가정!$R$367-②시니어_가정!$E$433)</f>
        <v>0</v>
      </c>
      <c r="DA92" s="37" t="n">
        <f aca="false">DA13*(②시니어_가정!$R$367-②시니어_가정!$E$433)</f>
        <v>0</v>
      </c>
      <c r="DB92" s="37" t="n">
        <f aca="false">DB13*(②시니어_가정!$R$367-②시니어_가정!$E$433)</f>
        <v>0</v>
      </c>
      <c r="DC92" s="37" t="n">
        <f aca="false">DC13*(②시니어_가정!$R$367-②시니어_가정!$E$433)</f>
        <v>0</v>
      </c>
      <c r="DD92" s="37" t="n">
        <f aca="false">DD13*(②시니어_가정!$R$367-②시니어_가정!$E$433)</f>
        <v>0</v>
      </c>
      <c r="DE92" s="37" t="n">
        <f aca="false">DE13*(②시니어_가정!$R$367-②시니어_가정!$E$433)</f>
        <v>0</v>
      </c>
      <c r="DF92" s="37" t="n">
        <f aca="false">DF13*(②시니어_가정!$R$367-②시니어_가정!$E$433)</f>
        <v>0</v>
      </c>
      <c r="DG92" s="37" t="n">
        <f aca="false">DG13*(②시니어_가정!$R$367-②시니어_가정!$E$433)</f>
        <v>0</v>
      </c>
      <c r="DH92" s="37" t="n">
        <f aca="false">DH13*(②시니어_가정!$R$367-②시니어_가정!$E$433)</f>
        <v>0</v>
      </c>
      <c r="DI92" s="37" t="n">
        <f aca="false">DI13*(②시니어_가정!$R$367-②시니어_가정!$E$433)</f>
        <v>0</v>
      </c>
      <c r="DJ92" s="37" t="n">
        <f aca="false">DJ13*(②시니어_가정!$R$367-②시니어_가정!$E$433)</f>
        <v>0</v>
      </c>
      <c r="DK92" s="37" t="n">
        <f aca="false">DK13*(②시니어_가정!$R$367-②시니어_가정!$E$433)</f>
        <v>0</v>
      </c>
      <c r="DL92" s="37" t="n">
        <f aca="false">DL13*(②시니어_가정!$R$367-②시니어_가정!$E$433)</f>
        <v>0</v>
      </c>
      <c r="DM92" s="37" t="n">
        <f aca="false">DM13*(②시니어_가정!$R$367-②시니어_가정!$E$433)</f>
        <v>0</v>
      </c>
      <c r="DN92" s="37" t="n">
        <f aca="false">DN13*(②시니어_가정!$R$367-②시니어_가정!$E$433)</f>
        <v>0</v>
      </c>
      <c r="DO92" s="37" t="n">
        <f aca="false">DO13*(②시니어_가정!$R$367-②시니어_가정!$E$433)</f>
        <v>0</v>
      </c>
      <c r="DP92" s="37" t="n">
        <f aca="false">DP13*(②시니어_가정!$R$367-②시니어_가정!$E$433)</f>
        <v>0</v>
      </c>
      <c r="DQ92" s="37" t="n">
        <f aca="false">DQ13*(②시니어_가정!$R$367-②시니어_가정!$E$433)</f>
        <v>0</v>
      </c>
      <c r="DR92" s="37" t="n">
        <f aca="false">DR13*(②시니어_가정!$R$367-②시니어_가정!$E$433)</f>
        <v>0</v>
      </c>
      <c r="DS92" s="37" t="n">
        <f aca="false">DS13*(②시니어_가정!$R$367-②시니어_가정!$E$433)</f>
        <v>0</v>
      </c>
      <c r="DT92" s="37" t="n">
        <f aca="false">DT13*(②시니어_가정!$R$367-②시니어_가정!$E$433)</f>
        <v>0</v>
      </c>
      <c r="DU92" s="37" t="n">
        <f aca="false">DU13*(②시니어_가정!$R$367-②시니어_가정!$E$433)</f>
        <v>0</v>
      </c>
      <c r="DV92" s="37" t="n">
        <f aca="false">DV13*(②시니어_가정!$R$367-②시니어_가정!$E$433)</f>
        <v>0</v>
      </c>
      <c r="DW92" s="37" t="n">
        <f aca="false">DW13*(②시니어_가정!$R$367-②시니어_가정!$E$433)</f>
        <v>0</v>
      </c>
      <c r="DX92" s="37" t="n">
        <f aca="false">DX13*(②시니어_가정!$R$367-②시니어_가정!$E$433)</f>
        <v>0</v>
      </c>
      <c r="DY92" s="37" t="n">
        <f aca="false">DY13*(②시니어_가정!$R$367-②시니어_가정!$E$433)</f>
        <v>0</v>
      </c>
      <c r="DZ92" s="37" t="n">
        <f aca="false">DZ13*(②시니어_가정!$R$367-②시니어_가정!$E$433)</f>
        <v>0</v>
      </c>
      <c r="EA92" s="37" t="n">
        <f aca="false">EA13*(②시니어_가정!$R$367-②시니어_가정!$E$433)</f>
        <v>0</v>
      </c>
      <c r="EB92" s="37" t="n">
        <f aca="false">EB13*(②시니어_가정!$R$367-②시니어_가정!$E$433)</f>
        <v>0</v>
      </c>
      <c r="EC92" s="37" t="n">
        <f aca="false">EC13*(②시니어_가정!$R$367-②시니어_가정!$E$433)</f>
        <v>0</v>
      </c>
      <c r="ED92" s="37" t="n">
        <f aca="false">ED13*(②시니어_가정!$R$367-②시니어_가정!$E$433)</f>
        <v>0</v>
      </c>
      <c r="EE92" s="37" t="n">
        <f aca="false">EE13*(②시니어_가정!$R$367-②시니어_가정!$E$433)</f>
        <v>0</v>
      </c>
      <c r="EF92" s="37" t="n">
        <f aca="false">EF13*(②시니어_가정!$R$367-②시니어_가정!$E$433)</f>
        <v>0</v>
      </c>
    </row>
    <row r="93" customFormat="false" ht="15" hidden="false" customHeight="false" outlineLevel="0" collapsed="false">
      <c r="A93" s="36" t="s">
        <v>634</v>
      </c>
      <c r="B93" s="278" t="s">
        <v>21</v>
      </c>
      <c r="C93" s="279" t="n">
        <f aca="false">SUM(E93:EF93)</f>
        <v>17453.4717601134</v>
      </c>
      <c r="E93" s="37" t="n">
        <f aca="false">IF(E6=②시니어_가정!$E$18,②시니어_가정!$E$433,0)</f>
        <v>0</v>
      </c>
      <c r="F93" s="37" t="n">
        <f aca="false">IF(F6=②시니어_가정!$E$18,②시니어_가정!$E$433,0)</f>
        <v>0</v>
      </c>
      <c r="G93" s="37" t="n">
        <f aca="false">IF(G6=②시니어_가정!$E$18,②시니어_가정!$E$433,0)</f>
        <v>0</v>
      </c>
      <c r="H93" s="37" t="n">
        <f aca="false">IF(H6=②시니어_가정!$E$18,②시니어_가정!$E$433,0)</f>
        <v>0</v>
      </c>
      <c r="I93" s="37" t="n">
        <f aca="false">IF(I6=②시니어_가정!$E$18,②시니어_가정!$E$433,0)</f>
        <v>0</v>
      </c>
      <c r="J93" s="37" t="n">
        <f aca="false">IF(J6=②시니어_가정!$E$18,②시니어_가정!$E$433,0)</f>
        <v>0</v>
      </c>
      <c r="K93" s="37" t="n">
        <f aca="false">IF(K6=②시니어_가정!$E$18,②시니어_가정!$E$433,0)</f>
        <v>0</v>
      </c>
      <c r="L93" s="37" t="n">
        <f aca="false">IF(L6=②시니어_가정!$E$18,②시니어_가정!$E$433,0)</f>
        <v>0</v>
      </c>
      <c r="M93" s="37" t="n">
        <f aca="false">IF(M6=②시니어_가정!$E$18,②시니어_가정!$E$433,0)</f>
        <v>0</v>
      </c>
      <c r="N93" s="37" t="n">
        <f aca="false">IF(N6=②시니어_가정!$E$18,②시니어_가정!$E$433,0)</f>
        <v>0</v>
      </c>
      <c r="O93" s="37" t="n">
        <f aca="false">IF(O6=②시니어_가정!$E$18,②시니어_가정!$E$433,0)</f>
        <v>0</v>
      </c>
      <c r="P93" s="37" t="n">
        <f aca="false">IF(P6=②시니어_가정!$E$18,②시니어_가정!$E$433,0)</f>
        <v>0</v>
      </c>
      <c r="Q93" s="37" t="n">
        <f aca="false">IF(Q6=②시니어_가정!$E$18,②시니어_가정!$E$433,0)</f>
        <v>0</v>
      </c>
      <c r="R93" s="37" t="n">
        <f aca="false">IF(R6=②시니어_가정!$E$18,②시니어_가정!$E$433,0)</f>
        <v>0</v>
      </c>
      <c r="S93" s="37" t="n">
        <f aca="false">IF(S6=②시니어_가정!$E$18,②시니어_가정!$E$433,0)</f>
        <v>0</v>
      </c>
      <c r="T93" s="37" t="n">
        <f aca="false">IF(T6=②시니어_가정!$E$18,②시니어_가정!$E$433,0)</f>
        <v>0</v>
      </c>
      <c r="U93" s="37" t="n">
        <f aca="false">IF(U6=②시니어_가정!$E$18,②시니어_가정!$E$433,0)</f>
        <v>0</v>
      </c>
      <c r="V93" s="37" t="n">
        <f aca="false">IF(V6=②시니어_가정!$E$18,②시니어_가정!$E$433,0)</f>
        <v>0</v>
      </c>
      <c r="W93" s="37" t="n">
        <f aca="false">IF(W6=②시니어_가정!$E$18,②시니어_가정!$E$433,0)</f>
        <v>0</v>
      </c>
      <c r="X93" s="37" t="n">
        <f aca="false">IF(X6=②시니어_가정!$E$18,②시니어_가정!$E$433,0)</f>
        <v>0</v>
      </c>
      <c r="Y93" s="37" t="n">
        <f aca="false">IF(Y6=②시니어_가정!$E$18,②시니어_가정!$E$433,0)</f>
        <v>0</v>
      </c>
      <c r="Z93" s="37" t="n">
        <f aca="false">IF(Z6=②시니어_가정!$E$18,②시니어_가정!$E$433,0)</f>
        <v>0</v>
      </c>
      <c r="AA93" s="37" t="n">
        <f aca="false">IF(AA6=②시니어_가정!$E$18,②시니어_가정!$E$433,0)</f>
        <v>0</v>
      </c>
      <c r="AB93" s="37" t="n">
        <f aca="false">IF(AB6=②시니어_가정!$E$18,②시니어_가정!$E$433,0)</f>
        <v>0</v>
      </c>
      <c r="AC93" s="37" t="n">
        <f aca="false">IF(AC6=②시니어_가정!$E$18,②시니어_가정!$E$433,0)</f>
        <v>0</v>
      </c>
      <c r="AD93" s="37" t="n">
        <f aca="false">IF(AD6=②시니어_가정!$E$18,②시니어_가정!$E$433,0)</f>
        <v>0</v>
      </c>
      <c r="AE93" s="37" t="n">
        <f aca="false">IF(AE6=②시니어_가정!$E$18,②시니어_가정!$E$433,0)</f>
        <v>0</v>
      </c>
      <c r="AF93" s="37" t="n">
        <f aca="false">IF(AF6=②시니어_가정!$E$18,②시니어_가정!$E$433,0)</f>
        <v>0</v>
      </c>
      <c r="AG93" s="37" t="n">
        <f aca="false">IF(AG6=②시니어_가정!$E$18,②시니어_가정!$E$433,0)</f>
        <v>0</v>
      </c>
      <c r="AH93" s="37" t="n">
        <f aca="false">IF(AH6=②시니어_가정!$E$18,②시니어_가정!$E$433,0)</f>
        <v>0</v>
      </c>
      <c r="AI93" s="37" t="n">
        <f aca="false">IF(AI6=②시니어_가정!$E$18,②시니어_가정!$E$433,0)</f>
        <v>0</v>
      </c>
      <c r="AJ93" s="37" t="n">
        <f aca="false">IF(AJ6=②시니어_가정!$E$18,②시니어_가정!$E$433,0)</f>
        <v>0</v>
      </c>
      <c r="AK93" s="37" t="n">
        <f aca="false">IF(AK6=②시니어_가정!$E$18,②시니어_가정!$E$433,0)</f>
        <v>0</v>
      </c>
      <c r="AL93" s="37" t="n">
        <f aca="false">IF(AL6=②시니어_가정!$E$18,②시니어_가정!$E$433,0)</f>
        <v>0</v>
      </c>
      <c r="AM93" s="37" t="n">
        <f aca="false">IF(AM6=②시니어_가정!$E$18,②시니어_가정!$E$433,0)</f>
        <v>0</v>
      </c>
      <c r="AN93" s="37" t="n">
        <f aca="false">IF(AN6=②시니어_가정!$E$18,②시니어_가정!$E$433,0)</f>
        <v>0</v>
      </c>
      <c r="AO93" s="37" t="n">
        <f aca="false">IF(AO6=②시니어_가정!$E$18,②시니어_가정!$E$433,0)</f>
        <v>0</v>
      </c>
      <c r="AP93" s="37" t="n">
        <f aca="false">IF(AP6=②시니어_가정!$E$18,②시니어_가정!$E$433,0)</f>
        <v>0</v>
      </c>
      <c r="AQ93" s="37" t="n">
        <f aca="false">IF(AQ6=②시니어_가정!$E$18,②시니어_가정!$E$433,0)</f>
        <v>0</v>
      </c>
      <c r="AR93" s="37" t="n">
        <f aca="false">IF(AR6=②시니어_가정!$E$18,②시니어_가정!$E$433,0)</f>
        <v>0</v>
      </c>
      <c r="AS93" s="37" t="n">
        <f aca="false">IF(AS6=②시니어_가정!$E$18,②시니어_가정!$E$433,0)</f>
        <v>0</v>
      </c>
      <c r="AT93" s="37" t="n">
        <f aca="false">IF(AT6=②시니어_가정!$E$18,②시니어_가정!$E$433,0)</f>
        <v>0</v>
      </c>
      <c r="AU93" s="37" t="n">
        <f aca="false">IF(AU6=②시니어_가정!$E$18,②시니어_가정!$E$433,0)</f>
        <v>0</v>
      </c>
      <c r="AV93" s="37" t="n">
        <f aca="false">IF(AV6=②시니어_가정!$E$18,②시니어_가정!$E$433,0)</f>
        <v>0</v>
      </c>
      <c r="AW93" s="37" t="n">
        <f aca="false">IF(AW6=②시니어_가정!$E$18,②시니어_가정!$E$433,0)</f>
        <v>0</v>
      </c>
      <c r="AX93" s="37" t="n">
        <f aca="false">IF(AX6=②시니어_가정!$E$18,②시니어_가정!$E$433,0)</f>
        <v>0</v>
      </c>
      <c r="AY93" s="37" t="n">
        <f aca="false">IF(AY6=②시니어_가정!$E$18,②시니어_가정!$E$433,0)</f>
        <v>0</v>
      </c>
      <c r="AZ93" s="37" t="n">
        <f aca="false">IF(AZ6=②시니어_가정!$E$18,②시니어_가정!$E$433,0)</f>
        <v>0</v>
      </c>
      <c r="BA93" s="37" t="n">
        <f aca="false">IF(BA6=②시니어_가정!$E$18,②시니어_가정!$E$433,0)</f>
        <v>0</v>
      </c>
      <c r="BB93" s="37" t="n">
        <f aca="false">IF(BB6=②시니어_가정!$E$18,②시니어_가정!$E$433,0)</f>
        <v>0</v>
      </c>
      <c r="BC93" s="37" t="n">
        <f aca="false">IF(BC6=②시니어_가정!$E$18,②시니어_가정!$E$433,0)</f>
        <v>0</v>
      </c>
      <c r="BD93" s="37" t="n">
        <f aca="false">IF(BD6=②시니어_가정!$E$18,②시니어_가정!$E$433,0)</f>
        <v>0</v>
      </c>
      <c r="BE93" s="37" t="n">
        <f aca="false">IF(BE6=②시니어_가정!$E$18,②시니어_가정!$E$433,0)</f>
        <v>0</v>
      </c>
      <c r="BF93" s="37" t="n">
        <f aca="false">IF(BF6=②시니어_가정!$E$18,②시니어_가정!$E$433,0)</f>
        <v>0</v>
      </c>
      <c r="BG93" s="37" t="n">
        <f aca="false">IF(BG6=②시니어_가정!$E$18,②시니어_가정!$E$433,0)</f>
        <v>0</v>
      </c>
      <c r="BH93" s="37" t="n">
        <f aca="false">IF(BH6=②시니어_가정!$E$18,②시니어_가정!$E$433,0)</f>
        <v>0</v>
      </c>
      <c r="BI93" s="37" t="n">
        <f aca="false">IF(BI6=②시니어_가정!$E$18,②시니어_가정!$E$433,0)</f>
        <v>0</v>
      </c>
      <c r="BJ93" s="37" t="n">
        <f aca="false">IF(BJ6=②시니어_가정!$E$18,②시니어_가정!$E$433,0)</f>
        <v>0</v>
      </c>
      <c r="BK93" s="37" t="n">
        <f aca="false">IF(BK6=②시니어_가정!$E$18,②시니어_가정!$E$433,0)</f>
        <v>0</v>
      </c>
      <c r="BL93" s="37" t="n">
        <f aca="false">IF(BL6=②시니어_가정!$E$18,②시니어_가정!$E$433,0)</f>
        <v>0</v>
      </c>
      <c r="BM93" s="37" t="n">
        <f aca="false">IF(BM6=②시니어_가정!$E$18,②시니어_가정!$E$433,0)</f>
        <v>17453.4717601134</v>
      </c>
      <c r="BN93" s="37" t="n">
        <f aca="false">IF(BN6=②시니어_가정!$E$18,②시니어_가정!$E$433,0)</f>
        <v>0</v>
      </c>
      <c r="BO93" s="37" t="n">
        <f aca="false">IF(BO6=②시니어_가정!$E$18,②시니어_가정!$E$433,0)</f>
        <v>0</v>
      </c>
      <c r="BP93" s="37" t="n">
        <f aca="false">IF(BP6=②시니어_가정!$E$18,②시니어_가정!$E$433,0)</f>
        <v>0</v>
      </c>
      <c r="BQ93" s="37" t="n">
        <f aca="false">IF(BQ6=②시니어_가정!$E$18,②시니어_가정!$E$433,0)</f>
        <v>0</v>
      </c>
      <c r="BR93" s="37" t="n">
        <f aca="false">IF(BR6=②시니어_가정!$E$18,②시니어_가정!$E$433,0)</f>
        <v>0</v>
      </c>
      <c r="BS93" s="37" t="n">
        <f aca="false">IF(BS6=②시니어_가정!$E$18,②시니어_가정!$E$433,0)</f>
        <v>0</v>
      </c>
      <c r="BT93" s="37" t="n">
        <f aca="false">IF(BT6=②시니어_가정!$E$18,②시니어_가정!$E$433,0)</f>
        <v>0</v>
      </c>
      <c r="BU93" s="37" t="n">
        <f aca="false">IF(BU6=②시니어_가정!$E$18,②시니어_가정!$E$433,0)</f>
        <v>0</v>
      </c>
      <c r="BV93" s="37" t="n">
        <f aca="false">IF(BV6=②시니어_가정!$E$18,②시니어_가정!$E$433,0)</f>
        <v>0</v>
      </c>
      <c r="BW93" s="37" t="n">
        <f aca="false">IF(BW6=②시니어_가정!$E$18,②시니어_가정!$E$433,0)</f>
        <v>0</v>
      </c>
      <c r="BX93" s="37" t="n">
        <f aca="false">IF(BX6=②시니어_가정!$E$18,②시니어_가정!$E$433,0)</f>
        <v>0</v>
      </c>
      <c r="BY93" s="37" t="n">
        <f aca="false">IF(BY6=②시니어_가정!$E$18,②시니어_가정!$E$433,0)</f>
        <v>0</v>
      </c>
      <c r="BZ93" s="37" t="n">
        <f aca="false">IF(BZ6=②시니어_가정!$E$18,②시니어_가정!$E$433,0)</f>
        <v>0</v>
      </c>
      <c r="CA93" s="37" t="n">
        <f aca="false">IF(CA6=②시니어_가정!$E$18,②시니어_가정!$E$433,0)</f>
        <v>0</v>
      </c>
      <c r="CB93" s="37" t="n">
        <f aca="false">IF(CB6=②시니어_가정!$E$18,②시니어_가정!$E$433,0)</f>
        <v>0</v>
      </c>
      <c r="CC93" s="37" t="n">
        <f aca="false">IF(CC6=②시니어_가정!$E$18,②시니어_가정!$E$433,0)</f>
        <v>0</v>
      </c>
      <c r="CD93" s="37" t="n">
        <f aca="false">IF(CD6=②시니어_가정!$E$18,②시니어_가정!$E$433,0)</f>
        <v>0</v>
      </c>
      <c r="CE93" s="37" t="n">
        <f aca="false">IF(CE6=②시니어_가정!$E$18,②시니어_가정!$E$433,0)</f>
        <v>0</v>
      </c>
      <c r="CF93" s="37" t="n">
        <f aca="false">IF(CF6=②시니어_가정!$E$18,②시니어_가정!$E$433,0)</f>
        <v>0</v>
      </c>
      <c r="CG93" s="37" t="n">
        <f aca="false">IF(CG6=②시니어_가정!$E$18,②시니어_가정!$E$433,0)</f>
        <v>0</v>
      </c>
      <c r="CH93" s="37" t="n">
        <f aca="false">IF(CH6=②시니어_가정!$E$18,②시니어_가정!$E$433,0)</f>
        <v>0</v>
      </c>
      <c r="CI93" s="37" t="n">
        <f aca="false">IF(CI6=②시니어_가정!$E$18,②시니어_가정!$E$433,0)</f>
        <v>0</v>
      </c>
      <c r="CJ93" s="37" t="n">
        <f aca="false">IF(CJ6=②시니어_가정!$E$18,②시니어_가정!$E$433,0)</f>
        <v>0</v>
      </c>
      <c r="CK93" s="37" t="n">
        <f aca="false">IF(CK6=②시니어_가정!$E$18,②시니어_가정!$E$433,0)</f>
        <v>0</v>
      </c>
      <c r="CL93" s="37" t="n">
        <f aca="false">IF(CL6=②시니어_가정!$E$18,②시니어_가정!$E$433,0)</f>
        <v>0</v>
      </c>
      <c r="CM93" s="37" t="n">
        <f aca="false">IF(CM6=②시니어_가정!$E$18,②시니어_가정!$E$433,0)</f>
        <v>0</v>
      </c>
      <c r="CN93" s="37" t="n">
        <f aca="false">IF(CN6=②시니어_가정!$E$18,②시니어_가정!$E$433,0)</f>
        <v>0</v>
      </c>
      <c r="CO93" s="37" t="n">
        <f aca="false">IF(CO6=②시니어_가정!$E$18,②시니어_가정!$E$433,0)</f>
        <v>0</v>
      </c>
      <c r="CP93" s="37" t="n">
        <f aca="false">IF(CP6=②시니어_가정!$E$18,②시니어_가정!$E$433,0)</f>
        <v>0</v>
      </c>
      <c r="CQ93" s="37" t="n">
        <f aca="false">IF(CQ6=②시니어_가정!$E$18,②시니어_가정!$E$433,0)</f>
        <v>0</v>
      </c>
      <c r="CR93" s="37" t="n">
        <f aca="false">IF(CR6=②시니어_가정!$E$18,②시니어_가정!$E$433,0)</f>
        <v>0</v>
      </c>
      <c r="CS93" s="37" t="n">
        <f aca="false">IF(CS6=②시니어_가정!$E$18,②시니어_가정!$E$433,0)</f>
        <v>0</v>
      </c>
      <c r="CT93" s="37" t="n">
        <f aca="false">IF(CT6=②시니어_가정!$E$18,②시니어_가정!$E$433,0)</f>
        <v>0</v>
      </c>
      <c r="CU93" s="37" t="n">
        <f aca="false">IF(CU6=②시니어_가정!$E$18,②시니어_가정!$E$433,0)</f>
        <v>0</v>
      </c>
      <c r="CV93" s="37" t="n">
        <f aca="false">IF(CV6=②시니어_가정!$E$18,②시니어_가정!$E$433,0)</f>
        <v>0</v>
      </c>
      <c r="CW93" s="37" t="n">
        <f aca="false">IF(CW6=②시니어_가정!$E$18,②시니어_가정!$E$433,0)</f>
        <v>0</v>
      </c>
      <c r="CX93" s="37" t="n">
        <f aca="false">IF(CX6=②시니어_가정!$E$18,②시니어_가정!$E$433,0)</f>
        <v>0</v>
      </c>
      <c r="CY93" s="37" t="n">
        <f aca="false">IF(CY6=②시니어_가정!$E$18,②시니어_가정!$E$433,0)</f>
        <v>0</v>
      </c>
      <c r="CZ93" s="37" t="n">
        <f aca="false">IF(CZ6=②시니어_가정!$E$18,②시니어_가정!$E$433,0)</f>
        <v>0</v>
      </c>
      <c r="DA93" s="37" t="n">
        <f aca="false">IF(DA6=②시니어_가정!$E$18,②시니어_가정!$E$433,0)</f>
        <v>0</v>
      </c>
      <c r="DB93" s="37" t="n">
        <f aca="false">IF(DB6=②시니어_가정!$E$18,②시니어_가정!$E$433,0)</f>
        <v>0</v>
      </c>
      <c r="DC93" s="37" t="n">
        <f aca="false">IF(DC6=②시니어_가정!$E$18,②시니어_가정!$E$433,0)</f>
        <v>0</v>
      </c>
      <c r="DD93" s="37" t="n">
        <f aca="false">IF(DD6=②시니어_가정!$E$18,②시니어_가정!$E$433,0)</f>
        <v>0</v>
      </c>
      <c r="DE93" s="37" t="n">
        <f aca="false">IF(DE6=②시니어_가정!$E$18,②시니어_가정!$E$433,0)</f>
        <v>0</v>
      </c>
      <c r="DF93" s="37" t="n">
        <f aca="false">IF(DF6=②시니어_가정!$E$18,②시니어_가정!$E$433,0)</f>
        <v>0</v>
      </c>
      <c r="DG93" s="37" t="n">
        <f aca="false">IF(DG6=②시니어_가정!$E$18,②시니어_가정!$E$433,0)</f>
        <v>0</v>
      </c>
      <c r="DH93" s="37" t="n">
        <f aca="false">IF(DH6=②시니어_가정!$E$18,②시니어_가정!$E$433,0)</f>
        <v>0</v>
      </c>
      <c r="DI93" s="37" t="n">
        <f aca="false">IF(DI6=②시니어_가정!$E$18,②시니어_가정!$E$433,0)</f>
        <v>0</v>
      </c>
      <c r="DJ93" s="37" t="n">
        <f aca="false">IF(DJ6=②시니어_가정!$E$18,②시니어_가정!$E$433,0)</f>
        <v>0</v>
      </c>
      <c r="DK93" s="37" t="n">
        <f aca="false">IF(DK6=②시니어_가정!$E$18,②시니어_가정!$E$433,0)</f>
        <v>0</v>
      </c>
      <c r="DL93" s="37" t="n">
        <f aca="false">IF(DL6=②시니어_가정!$E$18,②시니어_가정!$E$433,0)</f>
        <v>0</v>
      </c>
      <c r="DM93" s="37" t="n">
        <f aca="false">IF(DM6=②시니어_가정!$E$18,②시니어_가정!$E$433,0)</f>
        <v>0</v>
      </c>
      <c r="DN93" s="37" t="n">
        <f aca="false">IF(DN6=②시니어_가정!$E$18,②시니어_가정!$E$433,0)</f>
        <v>0</v>
      </c>
      <c r="DO93" s="37" t="n">
        <f aca="false">IF(DO6=②시니어_가정!$E$18,②시니어_가정!$E$433,0)</f>
        <v>0</v>
      </c>
      <c r="DP93" s="37" t="n">
        <f aca="false">IF(DP6=②시니어_가정!$E$18,②시니어_가정!$E$433,0)</f>
        <v>0</v>
      </c>
      <c r="DQ93" s="37" t="n">
        <f aca="false">IF(DQ6=②시니어_가정!$E$18,②시니어_가정!$E$433,0)</f>
        <v>0</v>
      </c>
      <c r="DR93" s="37" t="n">
        <f aca="false">IF(DR6=②시니어_가정!$E$18,②시니어_가정!$E$433,0)</f>
        <v>0</v>
      </c>
      <c r="DS93" s="37" t="n">
        <f aca="false">IF(DS6=②시니어_가정!$E$18,②시니어_가정!$E$433,0)</f>
        <v>0</v>
      </c>
      <c r="DT93" s="37" t="n">
        <f aca="false">IF(DT6=②시니어_가정!$E$18,②시니어_가정!$E$433,0)</f>
        <v>0</v>
      </c>
      <c r="DU93" s="37" t="n">
        <f aca="false">IF(DU6=②시니어_가정!$E$18,②시니어_가정!$E$433,0)</f>
        <v>0</v>
      </c>
      <c r="DV93" s="37" t="n">
        <f aca="false">IF(DV6=②시니어_가정!$E$18,②시니어_가정!$E$433,0)</f>
        <v>0</v>
      </c>
      <c r="DW93" s="37" t="n">
        <f aca="false">IF(DW6=②시니어_가정!$E$18,②시니어_가정!$E$433,0)</f>
        <v>0</v>
      </c>
      <c r="DX93" s="37" t="n">
        <f aca="false">IF(DX6=②시니어_가정!$E$18,②시니어_가정!$E$433,0)</f>
        <v>0</v>
      </c>
      <c r="DY93" s="37" t="n">
        <f aca="false">IF(DY6=②시니어_가정!$E$18,②시니어_가정!$E$433,0)</f>
        <v>0</v>
      </c>
      <c r="DZ93" s="37" t="n">
        <f aca="false">IF(DZ6=②시니어_가정!$E$18,②시니어_가정!$E$433,0)</f>
        <v>0</v>
      </c>
      <c r="EA93" s="37" t="n">
        <f aca="false">IF(EA6=②시니어_가정!$E$18,②시니어_가정!$E$433,0)</f>
        <v>0</v>
      </c>
      <c r="EB93" s="37" t="n">
        <f aca="false">IF(EB6=②시니어_가정!$E$18,②시니어_가정!$E$433,0)</f>
        <v>0</v>
      </c>
      <c r="EC93" s="37" t="n">
        <f aca="false">IF(EC6=②시니어_가정!$E$18,②시니어_가정!$E$433,0)</f>
        <v>0</v>
      </c>
      <c r="ED93" s="37" t="n">
        <f aca="false">IF(ED6=②시니어_가정!$E$18,②시니어_가정!$E$433,0)</f>
        <v>0</v>
      </c>
      <c r="EE93" s="37" t="n">
        <f aca="false">IF(EE6=②시니어_가정!$E$18,②시니어_가정!$E$433,0)</f>
        <v>0</v>
      </c>
      <c r="EF93" s="37" t="n">
        <f aca="false">IF(EF6=②시니어_가정!$E$18,②시니어_가정!$E$433,0)</f>
        <v>0</v>
      </c>
    </row>
    <row r="94" customFormat="false" ht="15" hidden="false" customHeight="false" outlineLevel="0" collapsed="false">
      <c r="A94" s="36" t="s">
        <v>635</v>
      </c>
      <c r="B94" s="278" t="s">
        <v>21</v>
      </c>
      <c r="C94" s="279" t="n">
        <f aca="false">SUM(E94:EF94)</f>
        <v>118414.719537528</v>
      </c>
      <c r="E94" s="37" t="n">
        <f aca="false">E13*②시니어_가정!$R$381</f>
        <v>0</v>
      </c>
      <c r="F94" s="37" t="n">
        <f aca="false">F13*②시니어_가정!$R$381</f>
        <v>0</v>
      </c>
      <c r="G94" s="37" t="n">
        <f aca="false">G13*②시니어_가정!$R$381</f>
        <v>0</v>
      </c>
      <c r="H94" s="37" t="n">
        <f aca="false">H13*②시니어_가정!$R$381</f>
        <v>0</v>
      </c>
      <c r="I94" s="37" t="n">
        <f aca="false">I13*②시니어_가정!$R$381</f>
        <v>0</v>
      </c>
      <c r="J94" s="37" t="n">
        <f aca="false">J13*②시니어_가정!$R$381</f>
        <v>0</v>
      </c>
      <c r="K94" s="37" t="n">
        <f aca="false">K13*②시니어_가정!$R$381</f>
        <v>0</v>
      </c>
      <c r="L94" s="37" t="n">
        <f aca="false">L13*②시니어_가정!$R$381</f>
        <v>0</v>
      </c>
      <c r="M94" s="37" t="n">
        <f aca="false">M13*②시니어_가정!$R$381</f>
        <v>0</v>
      </c>
      <c r="N94" s="37" t="n">
        <f aca="false">N13*②시니어_가정!$R$381</f>
        <v>0</v>
      </c>
      <c r="O94" s="37" t="n">
        <f aca="false">O13*②시니어_가정!$R$381</f>
        <v>0</v>
      </c>
      <c r="P94" s="37" t="n">
        <f aca="false">P13*②시니어_가정!$R$381</f>
        <v>0</v>
      </c>
      <c r="Q94" s="37" t="n">
        <f aca="false">Q13*②시니어_가정!$R$381</f>
        <v>0</v>
      </c>
      <c r="R94" s="37" t="n">
        <f aca="false">R13*②시니어_가정!$R$381</f>
        <v>0</v>
      </c>
      <c r="S94" s="37" t="n">
        <f aca="false">S13*②시니어_가정!$R$381</f>
        <v>0</v>
      </c>
      <c r="T94" s="37" t="n">
        <f aca="false">T13*②시니어_가정!$R$381</f>
        <v>0</v>
      </c>
      <c r="U94" s="37" t="n">
        <f aca="false">U13*②시니어_가정!$R$381</f>
        <v>0</v>
      </c>
      <c r="V94" s="37" t="n">
        <f aca="false">V13*②시니어_가정!$R$381</f>
        <v>0</v>
      </c>
      <c r="W94" s="37" t="n">
        <f aca="false">W13*②시니어_가정!$R$381</f>
        <v>165.5557862803</v>
      </c>
      <c r="X94" s="37" t="n">
        <f aca="false">X13*②시니어_가정!$R$381</f>
        <v>495.741503728358</v>
      </c>
      <c r="Y94" s="37" t="n">
        <f aca="false">Y13*②시니어_가정!$R$381</f>
        <v>823.154833596153</v>
      </c>
      <c r="Z94" s="37" t="n">
        <f aca="false">Z13*②시니어_가정!$R$381</f>
        <v>1145.9647477319</v>
      </c>
      <c r="AA94" s="37" t="n">
        <f aca="false">AA13*②시니어_가정!$R$381</f>
        <v>1462.36596215189</v>
      </c>
      <c r="AB94" s="37" t="n">
        <f aca="false">AB13*②시니어_가정!$R$381</f>
        <v>1770.58903292085</v>
      </c>
      <c r="AC94" s="37" t="n">
        <f aca="false">AC13*②시니어_가정!$R$381</f>
        <v>2068.91025160016</v>
      </c>
      <c r="AD94" s="37" t="n">
        <f aca="false">AD13*②시니어_가정!$R$381</f>
        <v>2355.66128492465</v>
      </c>
      <c r="AE94" s="37" t="n">
        <f aca="false">AE13*②시니어_가정!$R$381</f>
        <v>2629.23850479896</v>
      </c>
      <c r="AF94" s="37" t="n">
        <f aca="false">AF13*②시니어_가정!$R$381</f>
        <v>2888.11195643633</v>
      </c>
      <c r="AG94" s="37" t="n">
        <f aca="false">AG13*②시니어_가정!$R$381</f>
        <v>3130.83391448639</v>
      </c>
      <c r="AH94" s="37" t="n">
        <f aca="false">AH13*②시니어_가정!$R$381</f>
        <v>3356.04697930257</v>
      </c>
      <c r="AI94" s="37" t="n">
        <f aca="false">AI13*②시니어_가정!$R$381</f>
        <v>3562.49166807152</v>
      </c>
      <c r="AJ94" s="37" t="n">
        <f aca="false">AJ13*②시니어_가정!$R$381</f>
        <v>3749.01345835188</v>
      </c>
      <c r="AK94" s="37" t="n">
        <f aca="false">AK13*②시니어_가정!$R$381</f>
        <v>3914.56924463219</v>
      </c>
      <c r="AL94" s="37" t="n">
        <f aca="false">AL13*②시니어_가정!$R$381</f>
        <v>4058.23317179988</v>
      </c>
      <c r="AM94" s="37" t="n">
        <f aca="false">AM13*②시니어_가정!$R$381</f>
        <v>4179.20181289873</v>
      </c>
      <c r="AN94" s="37" t="n">
        <f aca="false">AN13*②시니어_가정!$R$381</f>
        <v>4276.79866221829</v>
      </c>
      <c r="AO94" s="37" t="n">
        <f aca="false">AO13*②시니어_가정!$R$381</f>
        <v>4350.47791858822</v>
      </c>
      <c r="AP94" s="37" t="n">
        <f aca="false">AP13*②시니어_가정!$R$381</f>
        <v>4399.82753771982</v>
      </c>
      <c r="AQ94" s="37" t="n">
        <f aca="false">AQ13*②시니어_가정!$R$381</f>
        <v>4424.57153652482</v>
      </c>
      <c r="AR94" s="37" t="n">
        <f aca="false">AR13*②시니어_가정!$R$381</f>
        <v>4424.57153652481</v>
      </c>
      <c r="AS94" s="37" t="n">
        <f aca="false">AS13*②시니어_가정!$R$381</f>
        <v>4399.82753771982</v>
      </c>
      <c r="AT94" s="37" t="n">
        <f aca="false">AT13*②시니어_가정!$R$381</f>
        <v>4350.47791858823</v>
      </c>
      <c r="AU94" s="37" t="n">
        <f aca="false">AU13*②시니어_가정!$R$381</f>
        <v>4276.7986622183</v>
      </c>
      <c r="AV94" s="37" t="n">
        <f aca="false">AV13*②시니어_가정!$R$381</f>
        <v>4179.20181289873</v>
      </c>
      <c r="AW94" s="37" t="n">
        <f aca="false">AW13*②시니어_가정!$R$381</f>
        <v>4058.23317179986</v>
      </c>
      <c r="AX94" s="37" t="n">
        <f aca="false">AX13*②시니어_가정!$R$381</f>
        <v>3914.56924463218</v>
      </c>
      <c r="AY94" s="37" t="n">
        <f aca="false">AY13*②시니어_가정!$R$381</f>
        <v>3749.0134583519</v>
      </c>
      <c r="AZ94" s="37" t="n">
        <f aca="false">AZ13*②시니어_가정!$R$381</f>
        <v>3562.49166807151</v>
      </c>
      <c r="BA94" s="37" t="n">
        <f aca="false">BA13*②시니어_가정!$R$381</f>
        <v>3356.04697930257</v>
      </c>
      <c r="BB94" s="37" t="n">
        <f aca="false">BB13*②시니어_가정!$R$381</f>
        <v>3130.83391448641</v>
      </c>
      <c r="BC94" s="37" t="n">
        <f aca="false">BC13*②시니어_가정!$R$381</f>
        <v>2888.11195643633</v>
      </c>
      <c r="BD94" s="37" t="n">
        <f aca="false">BD13*②시니어_가정!$R$381</f>
        <v>2629.23850479897</v>
      </c>
      <c r="BE94" s="37" t="n">
        <f aca="false">BE13*②시니어_가정!$R$381</f>
        <v>2355.66128492464</v>
      </c>
      <c r="BF94" s="37" t="n">
        <f aca="false">BF13*②시니어_가정!$R$381</f>
        <v>2068.91025160017</v>
      </c>
      <c r="BG94" s="37" t="n">
        <f aca="false">BG13*②시니어_가정!$R$381</f>
        <v>1770.58903292086</v>
      </c>
      <c r="BH94" s="37" t="n">
        <f aca="false">BH13*②시니어_가정!$R$381</f>
        <v>1462.36596215187</v>
      </c>
      <c r="BI94" s="37" t="n">
        <f aca="false">BI13*②시니어_가정!$R$381</f>
        <v>1145.96474773191</v>
      </c>
      <c r="BJ94" s="37" t="n">
        <f aca="false">BJ13*②시니어_가정!$R$381</f>
        <v>823.154833596153</v>
      </c>
      <c r="BK94" s="37" t="n">
        <f aca="false">BK13*②시니어_가정!$R$381</f>
        <v>495.741503728358</v>
      </c>
      <c r="BL94" s="37" t="n">
        <f aca="false">BL13*②시니어_가정!$R$381</f>
        <v>165.5557862803</v>
      </c>
      <c r="BM94" s="37" t="n">
        <f aca="false">BM13*②시니어_가정!$R$381</f>
        <v>0</v>
      </c>
      <c r="BN94" s="37" t="n">
        <f aca="false">BN13*②시니어_가정!$R$381</f>
        <v>0</v>
      </c>
      <c r="BO94" s="37" t="n">
        <f aca="false">BO13*②시니어_가정!$R$381</f>
        <v>0</v>
      </c>
      <c r="BP94" s="37" t="n">
        <f aca="false">BP13*②시니어_가정!$R$381</f>
        <v>0</v>
      </c>
      <c r="BQ94" s="37" t="n">
        <f aca="false">BQ13*②시니어_가정!$R$381</f>
        <v>0</v>
      </c>
      <c r="BR94" s="37" t="n">
        <f aca="false">BR13*②시니어_가정!$R$381</f>
        <v>0</v>
      </c>
      <c r="BS94" s="37" t="n">
        <f aca="false">BS13*②시니어_가정!$R$381</f>
        <v>0</v>
      </c>
      <c r="BT94" s="37" t="n">
        <f aca="false">BT13*②시니어_가정!$R$381</f>
        <v>0</v>
      </c>
      <c r="BU94" s="37" t="n">
        <f aca="false">BU13*②시니어_가정!$R$381</f>
        <v>0</v>
      </c>
      <c r="BV94" s="37" t="n">
        <f aca="false">BV13*②시니어_가정!$R$381</f>
        <v>0</v>
      </c>
      <c r="BW94" s="37" t="n">
        <f aca="false">BW13*②시니어_가정!$R$381</f>
        <v>0</v>
      </c>
      <c r="BX94" s="37" t="n">
        <f aca="false">BX13*②시니어_가정!$R$381</f>
        <v>0</v>
      </c>
      <c r="BY94" s="37" t="n">
        <f aca="false">BY13*②시니어_가정!$R$381</f>
        <v>0</v>
      </c>
      <c r="BZ94" s="37" t="n">
        <f aca="false">BZ13*②시니어_가정!$R$381</f>
        <v>0</v>
      </c>
      <c r="CA94" s="37" t="n">
        <f aca="false">CA13*②시니어_가정!$R$381</f>
        <v>0</v>
      </c>
      <c r="CB94" s="37" t="n">
        <f aca="false">CB13*②시니어_가정!$R$381</f>
        <v>0</v>
      </c>
      <c r="CC94" s="37" t="n">
        <f aca="false">CC13*②시니어_가정!$R$381</f>
        <v>0</v>
      </c>
      <c r="CD94" s="37" t="n">
        <f aca="false">CD13*②시니어_가정!$R$381</f>
        <v>0</v>
      </c>
      <c r="CE94" s="37" t="n">
        <f aca="false">CE13*②시니어_가정!$R$381</f>
        <v>0</v>
      </c>
      <c r="CF94" s="37" t="n">
        <f aca="false">CF13*②시니어_가정!$R$381</f>
        <v>0</v>
      </c>
      <c r="CG94" s="37" t="n">
        <f aca="false">CG13*②시니어_가정!$R$381</f>
        <v>0</v>
      </c>
      <c r="CH94" s="37" t="n">
        <f aca="false">CH13*②시니어_가정!$R$381</f>
        <v>0</v>
      </c>
      <c r="CI94" s="37" t="n">
        <f aca="false">CI13*②시니어_가정!$R$381</f>
        <v>0</v>
      </c>
      <c r="CJ94" s="37" t="n">
        <f aca="false">CJ13*②시니어_가정!$R$381</f>
        <v>0</v>
      </c>
      <c r="CK94" s="37" t="n">
        <f aca="false">CK13*②시니어_가정!$R$381</f>
        <v>0</v>
      </c>
      <c r="CL94" s="37" t="n">
        <f aca="false">CL13*②시니어_가정!$R$381</f>
        <v>0</v>
      </c>
      <c r="CM94" s="37" t="n">
        <f aca="false">CM13*②시니어_가정!$R$381</f>
        <v>0</v>
      </c>
      <c r="CN94" s="37" t="n">
        <f aca="false">CN13*②시니어_가정!$R$381</f>
        <v>0</v>
      </c>
      <c r="CO94" s="37" t="n">
        <f aca="false">CO13*②시니어_가정!$R$381</f>
        <v>0</v>
      </c>
      <c r="CP94" s="37" t="n">
        <f aca="false">CP13*②시니어_가정!$R$381</f>
        <v>0</v>
      </c>
      <c r="CQ94" s="37" t="n">
        <f aca="false">CQ13*②시니어_가정!$R$381</f>
        <v>0</v>
      </c>
      <c r="CR94" s="37" t="n">
        <f aca="false">CR13*②시니어_가정!$R$381</f>
        <v>0</v>
      </c>
      <c r="CS94" s="37" t="n">
        <f aca="false">CS13*②시니어_가정!$R$381</f>
        <v>0</v>
      </c>
      <c r="CT94" s="37" t="n">
        <f aca="false">CT13*②시니어_가정!$R$381</f>
        <v>0</v>
      </c>
      <c r="CU94" s="37" t="n">
        <f aca="false">CU13*②시니어_가정!$R$381</f>
        <v>0</v>
      </c>
      <c r="CV94" s="37" t="n">
        <f aca="false">CV13*②시니어_가정!$R$381</f>
        <v>0</v>
      </c>
      <c r="CW94" s="37" t="n">
        <f aca="false">CW13*②시니어_가정!$R$381</f>
        <v>0</v>
      </c>
      <c r="CX94" s="37" t="n">
        <f aca="false">CX13*②시니어_가정!$R$381</f>
        <v>0</v>
      </c>
      <c r="CY94" s="37" t="n">
        <f aca="false">CY13*②시니어_가정!$R$381</f>
        <v>0</v>
      </c>
      <c r="CZ94" s="37" t="n">
        <f aca="false">CZ13*②시니어_가정!$R$381</f>
        <v>0</v>
      </c>
      <c r="DA94" s="37" t="n">
        <f aca="false">DA13*②시니어_가정!$R$381</f>
        <v>0</v>
      </c>
      <c r="DB94" s="37" t="n">
        <f aca="false">DB13*②시니어_가정!$R$381</f>
        <v>0</v>
      </c>
      <c r="DC94" s="37" t="n">
        <f aca="false">DC13*②시니어_가정!$R$381</f>
        <v>0</v>
      </c>
      <c r="DD94" s="37" t="n">
        <f aca="false">DD13*②시니어_가정!$R$381</f>
        <v>0</v>
      </c>
      <c r="DE94" s="37" t="n">
        <f aca="false">DE13*②시니어_가정!$R$381</f>
        <v>0</v>
      </c>
      <c r="DF94" s="37" t="n">
        <f aca="false">DF13*②시니어_가정!$R$381</f>
        <v>0</v>
      </c>
      <c r="DG94" s="37" t="n">
        <f aca="false">DG13*②시니어_가정!$R$381</f>
        <v>0</v>
      </c>
      <c r="DH94" s="37" t="n">
        <f aca="false">DH13*②시니어_가정!$R$381</f>
        <v>0</v>
      </c>
      <c r="DI94" s="37" t="n">
        <f aca="false">DI13*②시니어_가정!$R$381</f>
        <v>0</v>
      </c>
      <c r="DJ94" s="37" t="n">
        <f aca="false">DJ13*②시니어_가정!$R$381</f>
        <v>0</v>
      </c>
      <c r="DK94" s="37" t="n">
        <f aca="false">DK13*②시니어_가정!$R$381</f>
        <v>0</v>
      </c>
      <c r="DL94" s="37" t="n">
        <f aca="false">DL13*②시니어_가정!$R$381</f>
        <v>0</v>
      </c>
      <c r="DM94" s="37" t="n">
        <f aca="false">DM13*②시니어_가정!$R$381</f>
        <v>0</v>
      </c>
      <c r="DN94" s="37" t="n">
        <f aca="false">DN13*②시니어_가정!$R$381</f>
        <v>0</v>
      </c>
      <c r="DO94" s="37" t="n">
        <f aca="false">DO13*②시니어_가정!$R$381</f>
        <v>0</v>
      </c>
      <c r="DP94" s="37" t="n">
        <f aca="false">DP13*②시니어_가정!$R$381</f>
        <v>0</v>
      </c>
      <c r="DQ94" s="37" t="n">
        <f aca="false">DQ13*②시니어_가정!$R$381</f>
        <v>0</v>
      </c>
      <c r="DR94" s="37" t="n">
        <f aca="false">DR13*②시니어_가정!$R$381</f>
        <v>0</v>
      </c>
      <c r="DS94" s="37" t="n">
        <f aca="false">DS13*②시니어_가정!$R$381</f>
        <v>0</v>
      </c>
      <c r="DT94" s="37" t="n">
        <f aca="false">DT13*②시니어_가정!$R$381</f>
        <v>0</v>
      </c>
      <c r="DU94" s="37" t="n">
        <f aca="false">DU13*②시니어_가정!$R$381</f>
        <v>0</v>
      </c>
      <c r="DV94" s="37" t="n">
        <f aca="false">DV13*②시니어_가정!$R$381</f>
        <v>0</v>
      </c>
      <c r="DW94" s="37" t="n">
        <f aca="false">DW13*②시니어_가정!$R$381</f>
        <v>0</v>
      </c>
      <c r="DX94" s="37" t="n">
        <f aca="false">DX13*②시니어_가정!$R$381</f>
        <v>0</v>
      </c>
      <c r="DY94" s="37" t="n">
        <f aca="false">DY13*②시니어_가정!$R$381</f>
        <v>0</v>
      </c>
      <c r="DZ94" s="37" t="n">
        <f aca="false">DZ13*②시니어_가정!$R$381</f>
        <v>0</v>
      </c>
      <c r="EA94" s="37" t="n">
        <f aca="false">EA13*②시니어_가정!$R$381</f>
        <v>0</v>
      </c>
      <c r="EB94" s="37" t="n">
        <f aca="false">EB13*②시니어_가정!$R$381</f>
        <v>0</v>
      </c>
      <c r="EC94" s="37" t="n">
        <f aca="false">EC13*②시니어_가정!$R$381</f>
        <v>0</v>
      </c>
      <c r="ED94" s="37" t="n">
        <f aca="false">ED13*②시니어_가정!$R$381</f>
        <v>0</v>
      </c>
      <c r="EE94" s="37" t="n">
        <f aca="false">EE13*②시니어_가정!$R$381</f>
        <v>0</v>
      </c>
      <c r="EF94" s="37" t="n">
        <f aca="false">EF13*②시니어_가정!$R$381</f>
        <v>0</v>
      </c>
    </row>
    <row r="95" customFormat="false" ht="15" hidden="false" customHeight="false" outlineLevel="0" collapsed="false">
      <c r="A95" s="36" t="s">
        <v>25</v>
      </c>
      <c r="B95" s="278" t="s">
        <v>21</v>
      </c>
      <c r="C95" s="279" t="n">
        <f aca="false">SUM(E95:EF95)</f>
        <v>11000</v>
      </c>
      <c r="E95" s="37" t="n">
        <f aca="false">E11*②시니어_가정!$R$386/②시니어_가정!$E$15</f>
        <v>0</v>
      </c>
      <c r="F95" s="37" t="n">
        <f aca="false">F11*②시니어_가정!$R$386/②시니어_가정!$E$15</f>
        <v>0</v>
      </c>
      <c r="G95" s="37" t="n">
        <f aca="false">G11*②시니어_가정!$R$386/②시니어_가정!$E$15</f>
        <v>0</v>
      </c>
      <c r="H95" s="37" t="n">
        <f aca="false">H11*②시니어_가정!$R$386/②시니어_가정!$E$15</f>
        <v>0</v>
      </c>
      <c r="I95" s="37" t="n">
        <f aca="false">I11*②시니어_가정!$R$386/②시니어_가정!$E$15</f>
        <v>0</v>
      </c>
      <c r="J95" s="37" t="n">
        <f aca="false">J11*②시니어_가정!$R$386/②시니어_가정!$E$15</f>
        <v>0</v>
      </c>
      <c r="K95" s="37" t="n">
        <f aca="false">K11*②시니어_가정!$R$386/②시니어_가정!$E$15</f>
        <v>0</v>
      </c>
      <c r="L95" s="37" t="n">
        <f aca="false">L11*②시니어_가정!$R$386/②시니어_가정!$E$15</f>
        <v>0</v>
      </c>
      <c r="M95" s="37" t="n">
        <f aca="false">M11*②시니어_가정!$R$386/②시니어_가정!$E$15</f>
        <v>0</v>
      </c>
      <c r="N95" s="37" t="n">
        <f aca="false">N11*②시니어_가정!$R$386/②시니어_가정!$E$15</f>
        <v>0</v>
      </c>
      <c r="O95" s="37" t="n">
        <f aca="false">O11*②시니어_가정!$R$386/②시니어_가정!$E$15</f>
        <v>0</v>
      </c>
      <c r="P95" s="37" t="n">
        <f aca="false">P11*②시니어_가정!$R$386/②시니어_가정!$E$15</f>
        <v>0</v>
      </c>
      <c r="Q95" s="37" t="n">
        <f aca="false">Q11*②시니어_가정!$R$386/②시니어_가정!$E$15</f>
        <v>0</v>
      </c>
      <c r="R95" s="37" t="n">
        <f aca="false">R11*②시니어_가정!$R$386/②시니어_가정!$E$15</f>
        <v>0</v>
      </c>
      <c r="S95" s="37" t="n">
        <f aca="false">S11*②시니어_가정!$R$386/②시니어_가정!$E$15</f>
        <v>0</v>
      </c>
      <c r="T95" s="37" t="n">
        <f aca="false">T11*②시니어_가정!$R$386/②시니어_가정!$E$15</f>
        <v>0</v>
      </c>
      <c r="U95" s="37" t="n">
        <f aca="false">U11*②시니어_가정!$R$386/②시니어_가정!$E$15</f>
        <v>0</v>
      </c>
      <c r="V95" s="37" t="n">
        <f aca="false">V11*②시니어_가정!$R$386/②시니어_가정!$E$15</f>
        <v>0</v>
      </c>
      <c r="W95" s="37" t="n">
        <f aca="false">W11*②시니어_가정!$R$386/②시니어_가정!$E$15</f>
        <v>261.904761904762</v>
      </c>
      <c r="X95" s="37" t="n">
        <f aca="false">X11*②시니어_가정!$R$386/②시니어_가정!$E$15</f>
        <v>261.904761904762</v>
      </c>
      <c r="Y95" s="37" t="n">
        <f aca="false">Y11*②시니어_가정!$R$386/②시니어_가정!$E$15</f>
        <v>261.904761904762</v>
      </c>
      <c r="Z95" s="37" t="n">
        <f aca="false">Z11*②시니어_가정!$R$386/②시니어_가정!$E$15</f>
        <v>261.904761904762</v>
      </c>
      <c r="AA95" s="37" t="n">
        <f aca="false">AA11*②시니어_가정!$R$386/②시니어_가정!$E$15</f>
        <v>261.904761904762</v>
      </c>
      <c r="AB95" s="37" t="n">
        <f aca="false">AB11*②시니어_가정!$R$386/②시니어_가정!$E$15</f>
        <v>261.904761904762</v>
      </c>
      <c r="AC95" s="37" t="n">
        <f aca="false">AC11*②시니어_가정!$R$386/②시니어_가정!$E$15</f>
        <v>261.904761904762</v>
      </c>
      <c r="AD95" s="37" t="n">
        <f aca="false">AD11*②시니어_가정!$R$386/②시니어_가정!$E$15</f>
        <v>261.904761904762</v>
      </c>
      <c r="AE95" s="37" t="n">
        <f aca="false">AE11*②시니어_가정!$R$386/②시니어_가정!$E$15</f>
        <v>261.904761904762</v>
      </c>
      <c r="AF95" s="37" t="n">
        <f aca="false">AF11*②시니어_가정!$R$386/②시니어_가정!$E$15</f>
        <v>261.904761904762</v>
      </c>
      <c r="AG95" s="37" t="n">
        <f aca="false">AG11*②시니어_가정!$R$386/②시니어_가정!$E$15</f>
        <v>261.904761904762</v>
      </c>
      <c r="AH95" s="37" t="n">
        <f aca="false">AH11*②시니어_가정!$R$386/②시니어_가정!$E$15</f>
        <v>261.904761904762</v>
      </c>
      <c r="AI95" s="37" t="n">
        <f aca="false">AI11*②시니어_가정!$R$386/②시니어_가정!$E$15</f>
        <v>261.904761904762</v>
      </c>
      <c r="AJ95" s="37" t="n">
        <f aca="false">AJ11*②시니어_가정!$R$386/②시니어_가정!$E$15</f>
        <v>261.904761904762</v>
      </c>
      <c r="AK95" s="37" t="n">
        <f aca="false">AK11*②시니어_가정!$R$386/②시니어_가정!$E$15</f>
        <v>261.904761904762</v>
      </c>
      <c r="AL95" s="37" t="n">
        <f aca="false">AL11*②시니어_가정!$R$386/②시니어_가정!$E$15</f>
        <v>261.904761904762</v>
      </c>
      <c r="AM95" s="37" t="n">
        <f aca="false">AM11*②시니어_가정!$R$386/②시니어_가정!$E$15</f>
        <v>261.904761904762</v>
      </c>
      <c r="AN95" s="37" t="n">
        <f aca="false">AN11*②시니어_가정!$R$386/②시니어_가정!$E$15</f>
        <v>261.904761904762</v>
      </c>
      <c r="AO95" s="37" t="n">
        <f aca="false">AO11*②시니어_가정!$R$386/②시니어_가정!$E$15</f>
        <v>261.904761904762</v>
      </c>
      <c r="AP95" s="37" t="n">
        <f aca="false">AP11*②시니어_가정!$R$386/②시니어_가정!$E$15</f>
        <v>261.904761904762</v>
      </c>
      <c r="AQ95" s="37" t="n">
        <f aca="false">AQ11*②시니어_가정!$R$386/②시니어_가정!$E$15</f>
        <v>261.904761904762</v>
      </c>
      <c r="AR95" s="37" t="n">
        <f aca="false">AR11*②시니어_가정!$R$386/②시니어_가정!$E$15</f>
        <v>261.904761904762</v>
      </c>
      <c r="AS95" s="37" t="n">
        <f aca="false">AS11*②시니어_가정!$R$386/②시니어_가정!$E$15</f>
        <v>261.904761904762</v>
      </c>
      <c r="AT95" s="37" t="n">
        <f aca="false">AT11*②시니어_가정!$R$386/②시니어_가정!$E$15</f>
        <v>261.904761904762</v>
      </c>
      <c r="AU95" s="37" t="n">
        <f aca="false">AU11*②시니어_가정!$R$386/②시니어_가정!$E$15</f>
        <v>261.904761904762</v>
      </c>
      <c r="AV95" s="37" t="n">
        <f aca="false">AV11*②시니어_가정!$R$386/②시니어_가정!$E$15</f>
        <v>261.904761904762</v>
      </c>
      <c r="AW95" s="37" t="n">
        <f aca="false">AW11*②시니어_가정!$R$386/②시니어_가정!$E$15</f>
        <v>261.904761904762</v>
      </c>
      <c r="AX95" s="37" t="n">
        <f aca="false">AX11*②시니어_가정!$R$386/②시니어_가정!$E$15</f>
        <v>261.904761904762</v>
      </c>
      <c r="AY95" s="37" t="n">
        <f aca="false">AY11*②시니어_가정!$R$386/②시니어_가정!$E$15</f>
        <v>261.904761904762</v>
      </c>
      <c r="AZ95" s="37" t="n">
        <f aca="false">AZ11*②시니어_가정!$R$386/②시니어_가정!$E$15</f>
        <v>261.904761904762</v>
      </c>
      <c r="BA95" s="37" t="n">
        <f aca="false">BA11*②시니어_가정!$R$386/②시니어_가정!$E$15</f>
        <v>261.904761904762</v>
      </c>
      <c r="BB95" s="37" t="n">
        <f aca="false">BB11*②시니어_가정!$R$386/②시니어_가정!$E$15</f>
        <v>261.904761904762</v>
      </c>
      <c r="BC95" s="37" t="n">
        <f aca="false">BC11*②시니어_가정!$R$386/②시니어_가정!$E$15</f>
        <v>261.904761904762</v>
      </c>
      <c r="BD95" s="37" t="n">
        <f aca="false">BD11*②시니어_가정!$R$386/②시니어_가정!$E$15</f>
        <v>261.904761904762</v>
      </c>
      <c r="BE95" s="37" t="n">
        <f aca="false">BE11*②시니어_가정!$R$386/②시니어_가정!$E$15</f>
        <v>261.904761904762</v>
      </c>
      <c r="BF95" s="37" t="n">
        <f aca="false">BF11*②시니어_가정!$R$386/②시니어_가정!$E$15</f>
        <v>261.904761904762</v>
      </c>
      <c r="BG95" s="37" t="n">
        <f aca="false">BG11*②시니어_가정!$R$386/②시니어_가정!$E$15</f>
        <v>261.904761904762</v>
      </c>
      <c r="BH95" s="37" t="n">
        <f aca="false">BH11*②시니어_가정!$R$386/②시니어_가정!$E$15</f>
        <v>261.904761904762</v>
      </c>
      <c r="BI95" s="37" t="n">
        <f aca="false">BI11*②시니어_가정!$R$386/②시니어_가정!$E$15</f>
        <v>261.904761904762</v>
      </c>
      <c r="BJ95" s="37" t="n">
        <f aca="false">BJ11*②시니어_가정!$R$386/②시니어_가정!$E$15</f>
        <v>261.904761904762</v>
      </c>
      <c r="BK95" s="37" t="n">
        <f aca="false">BK11*②시니어_가정!$R$386/②시니어_가정!$E$15</f>
        <v>261.904761904762</v>
      </c>
      <c r="BL95" s="37" t="n">
        <f aca="false">BL11*②시니어_가정!$R$386/②시니어_가정!$E$15</f>
        <v>261.904761904762</v>
      </c>
      <c r="BM95" s="37" t="n">
        <f aca="false">BM11*②시니어_가정!$R$386/②시니어_가정!$E$15</f>
        <v>0</v>
      </c>
      <c r="BN95" s="37" t="n">
        <f aca="false">BN11*②시니어_가정!$R$386/②시니어_가정!$E$15</f>
        <v>0</v>
      </c>
      <c r="BO95" s="37" t="n">
        <f aca="false">BO11*②시니어_가정!$R$386/②시니어_가정!$E$15</f>
        <v>0</v>
      </c>
      <c r="BP95" s="37" t="n">
        <f aca="false">BP11*②시니어_가정!$R$386/②시니어_가정!$E$15</f>
        <v>0</v>
      </c>
      <c r="BQ95" s="37" t="n">
        <f aca="false">BQ11*②시니어_가정!$R$386/②시니어_가정!$E$15</f>
        <v>0</v>
      </c>
      <c r="BR95" s="37" t="n">
        <f aca="false">BR11*②시니어_가정!$R$386/②시니어_가정!$E$15</f>
        <v>0</v>
      </c>
      <c r="BS95" s="37" t="n">
        <f aca="false">BS11*②시니어_가정!$R$386/②시니어_가정!$E$15</f>
        <v>0</v>
      </c>
      <c r="BT95" s="37" t="n">
        <f aca="false">BT11*②시니어_가정!$R$386/②시니어_가정!$E$15</f>
        <v>0</v>
      </c>
      <c r="BU95" s="37" t="n">
        <f aca="false">BU11*②시니어_가정!$R$386/②시니어_가정!$E$15</f>
        <v>0</v>
      </c>
      <c r="BV95" s="37" t="n">
        <f aca="false">BV11*②시니어_가정!$R$386/②시니어_가정!$E$15</f>
        <v>0</v>
      </c>
      <c r="BW95" s="37" t="n">
        <f aca="false">BW11*②시니어_가정!$R$386/②시니어_가정!$E$15</f>
        <v>0</v>
      </c>
      <c r="BX95" s="37" t="n">
        <f aca="false">BX11*②시니어_가정!$R$386/②시니어_가정!$E$15</f>
        <v>0</v>
      </c>
      <c r="BY95" s="37" t="n">
        <f aca="false">BY11*②시니어_가정!$R$386/②시니어_가정!$E$15</f>
        <v>0</v>
      </c>
      <c r="BZ95" s="37" t="n">
        <f aca="false">BZ11*②시니어_가정!$R$386/②시니어_가정!$E$15</f>
        <v>0</v>
      </c>
      <c r="CA95" s="37" t="n">
        <f aca="false">CA11*②시니어_가정!$R$386/②시니어_가정!$E$15</f>
        <v>0</v>
      </c>
      <c r="CB95" s="37" t="n">
        <f aca="false">CB11*②시니어_가정!$R$386/②시니어_가정!$E$15</f>
        <v>0</v>
      </c>
      <c r="CC95" s="37" t="n">
        <f aca="false">CC11*②시니어_가정!$R$386/②시니어_가정!$E$15</f>
        <v>0</v>
      </c>
      <c r="CD95" s="37" t="n">
        <f aca="false">CD11*②시니어_가정!$R$386/②시니어_가정!$E$15</f>
        <v>0</v>
      </c>
      <c r="CE95" s="37" t="n">
        <f aca="false">CE11*②시니어_가정!$R$386/②시니어_가정!$E$15</f>
        <v>0</v>
      </c>
      <c r="CF95" s="37" t="n">
        <f aca="false">CF11*②시니어_가정!$R$386/②시니어_가정!$E$15</f>
        <v>0</v>
      </c>
      <c r="CG95" s="37" t="n">
        <f aca="false">CG11*②시니어_가정!$R$386/②시니어_가정!$E$15</f>
        <v>0</v>
      </c>
      <c r="CH95" s="37" t="n">
        <f aca="false">CH11*②시니어_가정!$R$386/②시니어_가정!$E$15</f>
        <v>0</v>
      </c>
      <c r="CI95" s="37" t="n">
        <f aca="false">CI11*②시니어_가정!$R$386/②시니어_가정!$E$15</f>
        <v>0</v>
      </c>
      <c r="CJ95" s="37" t="n">
        <f aca="false">CJ11*②시니어_가정!$R$386/②시니어_가정!$E$15</f>
        <v>0</v>
      </c>
      <c r="CK95" s="37" t="n">
        <f aca="false">CK11*②시니어_가정!$R$386/②시니어_가정!$E$15</f>
        <v>0</v>
      </c>
      <c r="CL95" s="37" t="n">
        <f aca="false">CL11*②시니어_가정!$R$386/②시니어_가정!$E$15</f>
        <v>0</v>
      </c>
      <c r="CM95" s="37" t="n">
        <f aca="false">CM11*②시니어_가정!$R$386/②시니어_가정!$E$15</f>
        <v>0</v>
      </c>
      <c r="CN95" s="37" t="n">
        <f aca="false">CN11*②시니어_가정!$R$386/②시니어_가정!$E$15</f>
        <v>0</v>
      </c>
      <c r="CO95" s="37" t="n">
        <f aca="false">CO11*②시니어_가정!$R$386/②시니어_가정!$E$15</f>
        <v>0</v>
      </c>
      <c r="CP95" s="37" t="n">
        <f aca="false">CP11*②시니어_가정!$R$386/②시니어_가정!$E$15</f>
        <v>0</v>
      </c>
      <c r="CQ95" s="37" t="n">
        <f aca="false">CQ11*②시니어_가정!$R$386/②시니어_가정!$E$15</f>
        <v>0</v>
      </c>
      <c r="CR95" s="37" t="n">
        <f aca="false">CR11*②시니어_가정!$R$386/②시니어_가정!$E$15</f>
        <v>0</v>
      </c>
      <c r="CS95" s="37" t="n">
        <f aca="false">CS11*②시니어_가정!$R$386/②시니어_가정!$E$15</f>
        <v>0</v>
      </c>
      <c r="CT95" s="37" t="n">
        <f aca="false">CT11*②시니어_가정!$R$386/②시니어_가정!$E$15</f>
        <v>0</v>
      </c>
      <c r="CU95" s="37" t="n">
        <f aca="false">CU11*②시니어_가정!$R$386/②시니어_가정!$E$15</f>
        <v>0</v>
      </c>
      <c r="CV95" s="37" t="n">
        <f aca="false">CV11*②시니어_가정!$R$386/②시니어_가정!$E$15</f>
        <v>0</v>
      </c>
      <c r="CW95" s="37" t="n">
        <f aca="false">CW11*②시니어_가정!$R$386/②시니어_가정!$E$15</f>
        <v>0</v>
      </c>
      <c r="CX95" s="37" t="n">
        <f aca="false">CX11*②시니어_가정!$R$386/②시니어_가정!$E$15</f>
        <v>0</v>
      </c>
      <c r="CY95" s="37" t="n">
        <f aca="false">CY11*②시니어_가정!$R$386/②시니어_가정!$E$15</f>
        <v>0</v>
      </c>
      <c r="CZ95" s="37" t="n">
        <f aca="false">CZ11*②시니어_가정!$R$386/②시니어_가정!$E$15</f>
        <v>0</v>
      </c>
      <c r="DA95" s="37" t="n">
        <f aca="false">DA11*②시니어_가정!$R$386/②시니어_가정!$E$15</f>
        <v>0</v>
      </c>
      <c r="DB95" s="37" t="n">
        <f aca="false">DB11*②시니어_가정!$R$386/②시니어_가정!$E$15</f>
        <v>0</v>
      </c>
      <c r="DC95" s="37" t="n">
        <f aca="false">DC11*②시니어_가정!$R$386/②시니어_가정!$E$15</f>
        <v>0</v>
      </c>
      <c r="DD95" s="37" t="n">
        <f aca="false">DD11*②시니어_가정!$R$386/②시니어_가정!$E$15</f>
        <v>0</v>
      </c>
      <c r="DE95" s="37" t="n">
        <f aca="false">DE11*②시니어_가정!$R$386/②시니어_가정!$E$15</f>
        <v>0</v>
      </c>
      <c r="DF95" s="37" t="n">
        <f aca="false">DF11*②시니어_가정!$R$386/②시니어_가정!$E$15</f>
        <v>0</v>
      </c>
      <c r="DG95" s="37" t="n">
        <f aca="false">DG11*②시니어_가정!$R$386/②시니어_가정!$E$15</f>
        <v>0</v>
      </c>
      <c r="DH95" s="37" t="n">
        <f aca="false">DH11*②시니어_가정!$R$386/②시니어_가정!$E$15</f>
        <v>0</v>
      </c>
      <c r="DI95" s="37" t="n">
        <f aca="false">DI11*②시니어_가정!$R$386/②시니어_가정!$E$15</f>
        <v>0</v>
      </c>
      <c r="DJ95" s="37" t="n">
        <f aca="false">DJ11*②시니어_가정!$R$386/②시니어_가정!$E$15</f>
        <v>0</v>
      </c>
      <c r="DK95" s="37" t="n">
        <f aca="false">DK11*②시니어_가정!$R$386/②시니어_가정!$E$15</f>
        <v>0</v>
      </c>
      <c r="DL95" s="37" t="n">
        <f aca="false">DL11*②시니어_가정!$R$386/②시니어_가정!$E$15</f>
        <v>0</v>
      </c>
      <c r="DM95" s="37" t="n">
        <f aca="false">DM11*②시니어_가정!$R$386/②시니어_가정!$E$15</f>
        <v>0</v>
      </c>
      <c r="DN95" s="37" t="n">
        <f aca="false">DN11*②시니어_가정!$R$386/②시니어_가정!$E$15</f>
        <v>0</v>
      </c>
      <c r="DO95" s="37" t="n">
        <f aca="false">DO11*②시니어_가정!$R$386/②시니어_가정!$E$15</f>
        <v>0</v>
      </c>
      <c r="DP95" s="37" t="n">
        <f aca="false">DP11*②시니어_가정!$R$386/②시니어_가정!$E$15</f>
        <v>0</v>
      </c>
      <c r="DQ95" s="37" t="n">
        <f aca="false">DQ11*②시니어_가정!$R$386/②시니어_가정!$E$15</f>
        <v>0</v>
      </c>
      <c r="DR95" s="37" t="n">
        <f aca="false">DR11*②시니어_가정!$R$386/②시니어_가정!$E$15</f>
        <v>0</v>
      </c>
      <c r="DS95" s="37" t="n">
        <f aca="false">DS11*②시니어_가정!$R$386/②시니어_가정!$E$15</f>
        <v>0</v>
      </c>
      <c r="DT95" s="37" t="n">
        <f aca="false">DT11*②시니어_가정!$R$386/②시니어_가정!$E$15</f>
        <v>0</v>
      </c>
      <c r="DU95" s="37" t="n">
        <f aca="false">DU11*②시니어_가정!$R$386/②시니어_가정!$E$15</f>
        <v>0</v>
      </c>
      <c r="DV95" s="37" t="n">
        <f aca="false">DV11*②시니어_가정!$R$386/②시니어_가정!$E$15</f>
        <v>0</v>
      </c>
      <c r="DW95" s="37" t="n">
        <f aca="false">DW11*②시니어_가정!$R$386/②시니어_가정!$E$15</f>
        <v>0</v>
      </c>
      <c r="DX95" s="37" t="n">
        <f aca="false">DX11*②시니어_가정!$R$386/②시니어_가정!$E$15</f>
        <v>0</v>
      </c>
      <c r="DY95" s="37" t="n">
        <f aca="false">DY11*②시니어_가정!$R$386/②시니어_가정!$E$15</f>
        <v>0</v>
      </c>
      <c r="DZ95" s="37" t="n">
        <f aca="false">DZ11*②시니어_가정!$R$386/②시니어_가정!$E$15</f>
        <v>0</v>
      </c>
      <c r="EA95" s="37" t="n">
        <f aca="false">EA11*②시니어_가정!$R$386/②시니어_가정!$E$15</f>
        <v>0</v>
      </c>
      <c r="EB95" s="37" t="n">
        <f aca="false">EB11*②시니어_가정!$R$386/②시니어_가정!$E$15</f>
        <v>0</v>
      </c>
      <c r="EC95" s="37" t="n">
        <f aca="false">EC11*②시니어_가정!$R$386/②시니어_가정!$E$15</f>
        <v>0</v>
      </c>
      <c r="ED95" s="37" t="n">
        <f aca="false">ED11*②시니어_가정!$R$386/②시니어_가정!$E$15</f>
        <v>0</v>
      </c>
      <c r="EE95" s="37" t="n">
        <f aca="false">EE11*②시니어_가정!$R$386/②시니어_가정!$E$15</f>
        <v>0</v>
      </c>
      <c r="EF95" s="37" t="n">
        <f aca="false">EF11*②시니어_가정!$R$386/②시니어_가정!$E$15</f>
        <v>0</v>
      </c>
    </row>
    <row r="96" customFormat="false" ht="15" hidden="false" customHeight="false" outlineLevel="0" collapsed="false">
      <c r="A96" s="36" t="s">
        <v>636</v>
      </c>
      <c r="B96" s="278" t="s">
        <v>21</v>
      </c>
      <c r="C96" s="279" t="n">
        <f aca="false">SUM(E96:EF96)</f>
        <v>6542.09818376145</v>
      </c>
      <c r="E96" s="37" t="n">
        <f aca="false">IF(E6=②시니어_가정!$E$16,②시니어_가정!$R$389,0)</f>
        <v>0</v>
      </c>
      <c r="F96" s="37" t="n">
        <f aca="false">IF(F6=②시니어_가정!$E$16,②시니어_가정!$R$389,0)</f>
        <v>0</v>
      </c>
      <c r="G96" s="37" t="n">
        <f aca="false">IF(G6=②시니어_가정!$E$16,②시니어_가정!$R$389,0)</f>
        <v>0</v>
      </c>
      <c r="H96" s="37" t="n">
        <f aca="false">IF(H6=②시니어_가정!$E$16,②시니어_가정!$R$389,0)</f>
        <v>0</v>
      </c>
      <c r="I96" s="37" t="n">
        <f aca="false">IF(I6=②시니어_가정!$E$16,②시니어_가정!$R$389,0)</f>
        <v>0</v>
      </c>
      <c r="J96" s="37" t="n">
        <f aca="false">IF(J6=②시니어_가정!$E$16,②시니어_가정!$R$389,0)</f>
        <v>0</v>
      </c>
      <c r="K96" s="37" t="n">
        <f aca="false">IF(K6=②시니어_가정!$E$16,②시니어_가정!$R$389,0)</f>
        <v>0</v>
      </c>
      <c r="L96" s="37" t="n">
        <f aca="false">IF(L6=②시니어_가정!$E$16,②시니어_가정!$R$389,0)</f>
        <v>0</v>
      </c>
      <c r="M96" s="37" t="n">
        <f aca="false">IF(M6=②시니어_가정!$E$16,②시니어_가정!$R$389,0)</f>
        <v>0</v>
      </c>
      <c r="N96" s="37" t="n">
        <f aca="false">IF(N6=②시니어_가정!$E$16,②시니어_가정!$R$389,0)</f>
        <v>0</v>
      </c>
      <c r="O96" s="37" t="n">
        <f aca="false">IF(O6=②시니어_가정!$E$16,②시니어_가정!$R$389,0)</f>
        <v>0</v>
      </c>
      <c r="P96" s="37" t="n">
        <f aca="false">IF(P6=②시니어_가정!$E$16,②시니어_가정!$R$389,0)</f>
        <v>0</v>
      </c>
      <c r="Q96" s="37" t="n">
        <f aca="false">IF(Q6=②시니어_가정!$E$16,②시니어_가정!$R$389,0)</f>
        <v>0</v>
      </c>
      <c r="R96" s="37" t="n">
        <f aca="false">IF(R6=②시니어_가정!$E$16,②시니어_가정!$R$389,0)</f>
        <v>0</v>
      </c>
      <c r="S96" s="37" t="n">
        <f aca="false">IF(S6=②시니어_가정!$E$16,②시니어_가정!$R$389,0)</f>
        <v>0</v>
      </c>
      <c r="T96" s="37" t="n">
        <f aca="false">IF(T6=②시니어_가정!$E$16,②시니어_가정!$R$389,0)</f>
        <v>0</v>
      </c>
      <c r="U96" s="37" t="n">
        <f aca="false">IF(U6=②시니어_가정!$E$16,②시니어_가정!$R$389,0)</f>
        <v>0</v>
      </c>
      <c r="V96" s="37" t="n">
        <f aca="false">IF(V6=②시니어_가정!$E$16,②시니어_가정!$R$389,0)</f>
        <v>0</v>
      </c>
      <c r="W96" s="37" t="n">
        <f aca="false">IF(W6=②시니어_가정!$E$16,②시니어_가정!$R$389,0)</f>
        <v>0</v>
      </c>
      <c r="X96" s="37" t="n">
        <f aca="false">IF(X6=②시니어_가정!$E$16,②시니어_가정!$R$389,0)</f>
        <v>0</v>
      </c>
      <c r="Y96" s="37" t="n">
        <f aca="false">IF(Y6=②시니어_가정!$E$16,②시니어_가정!$R$389,0)</f>
        <v>0</v>
      </c>
      <c r="Z96" s="37" t="n">
        <f aca="false">IF(Z6=②시니어_가정!$E$16,②시니어_가정!$R$389,0)</f>
        <v>0</v>
      </c>
      <c r="AA96" s="37" t="n">
        <f aca="false">IF(AA6=②시니어_가정!$E$16,②시니어_가정!$R$389,0)</f>
        <v>0</v>
      </c>
      <c r="AB96" s="37" t="n">
        <f aca="false">IF(AB6=②시니어_가정!$E$16,②시니어_가정!$R$389,0)</f>
        <v>0</v>
      </c>
      <c r="AC96" s="37" t="n">
        <f aca="false">IF(AC6=②시니어_가정!$E$16,②시니어_가정!$R$389,0)</f>
        <v>0</v>
      </c>
      <c r="AD96" s="37" t="n">
        <f aca="false">IF(AD6=②시니어_가정!$E$16,②시니어_가정!$R$389,0)</f>
        <v>0</v>
      </c>
      <c r="AE96" s="37" t="n">
        <f aca="false">IF(AE6=②시니어_가정!$E$16,②시니어_가정!$R$389,0)</f>
        <v>0</v>
      </c>
      <c r="AF96" s="37" t="n">
        <f aca="false">IF(AF6=②시니어_가정!$E$16,②시니어_가정!$R$389,0)</f>
        <v>0</v>
      </c>
      <c r="AG96" s="37" t="n">
        <f aca="false">IF(AG6=②시니어_가정!$E$16,②시니어_가정!$R$389,0)</f>
        <v>0</v>
      </c>
      <c r="AH96" s="37" t="n">
        <f aca="false">IF(AH6=②시니어_가정!$E$16,②시니어_가정!$R$389,0)</f>
        <v>0</v>
      </c>
      <c r="AI96" s="37" t="n">
        <f aca="false">IF(AI6=②시니어_가정!$E$16,②시니어_가정!$R$389,0)</f>
        <v>0</v>
      </c>
      <c r="AJ96" s="37" t="n">
        <f aca="false">IF(AJ6=②시니어_가정!$E$16,②시니어_가정!$R$389,0)</f>
        <v>0</v>
      </c>
      <c r="AK96" s="37" t="n">
        <f aca="false">IF(AK6=②시니어_가정!$E$16,②시니어_가정!$R$389,0)</f>
        <v>0</v>
      </c>
      <c r="AL96" s="37" t="n">
        <f aca="false">IF(AL6=②시니어_가정!$E$16,②시니어_가정!$R$389,0)</f>
        <v>0</v>
      </c>
      <c r="AM96" s="37" t="n">
        <f aca="false">IF(AM6=②시니어_가정!$E$16,②시니어_가정!$R$389,0)</f>
        <v>0</v>
      </c>
      <c r="AN96" s="37" t="n">
        <f aca="false">IF(AN6=②시니어_가정!$E$16,②시니어_가정!$R$389,0)</f>
        <v>0</v>
      </c>
      <c r="AO96" s="37" t="n">
        <f aca="false">IF(AO6=②시니어_가정!$E$16,②시니어_가정!$R$389,0)</f>
        <v>0</v>
      </c>
      <c r="AP96" s="37" t="n">
        <f aca="false">IF(AP6=②시니어_가정!$E$16,②시니어_가정!$R$389,0)</f>
        <v>0</v>
      </c>
      <c r="AQ96" s="37" t="n">
        <f aca="false">IF(AQ6=②시니어_가정!$E$16,②시니어_가정!$R$389,0)</f>
        <v>0</v>
      </c>
      <c r="AR96" s="37" t="n">
        <f aca="false">IF(AR6=②시니어_가정!$E$16,②시니어_가정!$R$389,0)</f>
        <v>0</v>
      </c>
      <c r="AS96" s="37" t="n">
        <f aca="false">IF(AS6=②시니어_가정!$E$16,②시니어_가정!$R$389,0)</f>
        <v>0</v>
      </c>
      <c r="AT96" s="37" t="n">
        <f aca="false">IF(AT6=②시니어_가정!$E$16,②시니어_가정!$R$389,0)</f>
        <v>0</v>
      </c>
      <c r="AU96" s="37" t="n">
        <f aca="false">IF(AU6=②시니어_가정!$E$16,②시니어_가정!$R$389,0)</f>
        <v>0</v>
      </c>
      <c r="AV96" s="37" t="n">
        <f aca="false">IF(AV6=②시니어_가정!$E$16,②시니어_가정!$R$389,0)</f>
        <v>0</v>
      </c>
      <c r="AW96" s="37" t="n">
        <f aca="false">IF(AW6=②시니어_가정!$E$16,②시니어_가정!$R$389,0)</f>
        <v>0</v>
      </c>
      <c r="AX96" s="37" t="n">
        <f aca="false">IF(AX6=②시니어_가정!$E$16,②시니어_가정!$R$389,0)</f>
        <v>0</v>
      </c>
      <c r="AY96" s="37" t="n">
        <f aca="false">IF(AY6=②시니어_가정!$E$16,②시니어_가정!$R$389,0)</f>
        <v>0</v>
      </c>
      <c r="AZ96" s="37" t="n">
        <f aca="false">IF(AZ6=②시니어_가정!$E$16,②시니어_가정!$R$389,0)</f>
        <v>0</v>
      </c>
      <c r="BA96" s="37" t="n">
        <f aca="false">IF(BA6=②시니어_가정!$E$16,②시니어_가정!$R$389,0)</f>
        <v>0</v>
      </c>
      <c r="BB96" s="37" t="n">
        <f aca="false">IF(BB6=②시니어_가정!$E$16,②시니어_가정!$R$389,0)</f>
        <v>0</v>
      </c>
      <c r="BC96" s="37" t="n">
        <f aca="false">IF(BC6=②시니어_가정!$E$16,②시니어_가정!$R$389,0)</f>
        <v>0</v>
      </c>
      <c r="BD96" s="37" t="n">
        <f aca="false">IF(BD6=②시니어_가정!$E$16,②시니어_가정!$R$389,0)</f>
        <v>0</v>
      </c>
      <c r="BE96" s="37" t="n">
        <f aca="false">IF(BE6=②시니어_가정!$E$16,②시니어_가정!$R$389,0)</f>
        <v>0</v>
      </c>
      <c r="BF96" s="37" t="n">
        <f aca="false">IF(BF6=②시니어_가정!$E$16,②시니어_가정!$R$389,0)</f>
        <v>0</v>
      </c>
      <c r="BG96" s="37" t="n">
        <f aca="false">IF(BG6=②시니어_가정!$E$16,②시니어_가정!$R$389,0)</f>
        <v>0</v>
      </c>
      <c r="BH96" s="37" t="n">
        <f aca="false">IF(BH6=②시니어_가정!$E$16,②시니어_가정!$R$389,0)</f>
        <v>0</v>
      </c>
      <c r="BI96" s="37" t="n">
        <f aca="false">IF(BI6=②시니어_가정!$E$16,②시니어_가정!$R$389,0)</f>
        <v>0</v>
      </c>
      <c r="BJ96" s="37" t="n">
        <f aca="false">IF(BJ6=②시니어_가정!$E$16,②시니어_가정!$R$389,0)</f>
        <v>0</v>
      </c>
      <c r="BK96" s="37" t="n">
        <f aca="false">IF(BK6=②시니어_가정!$E$16,②시니어_가정!$R$389,0)</f>
        <v>0</v>
      </c>
      <c r="BL96" s="37" t="n">
        <f aca="false">IF(BL6=②시니어_가정!$E$16,②시니어_가정!$R$389,0)</f>
        <v>6542.09818376145</v>
      </c>
      <c r="BM96" s="37" t="n">
        <f aca="false">IF(BM6=②시니어_가정!$E$16,②시니어_가정!$R$389,0)</f>
        <v>0</v>
      </c>
      <c r="BN96" s="37" t="n">
        <f aca="false">IF(BN6=②시니어_가정!$E$16,②시니어_가정!$R$389,0)</f>
        <v>0</v>
      </c>
      <c r="BO96" s="37" t="n">
        <f aca="false">IF(BO6=②시니어_가정!$E$16,②시니어_가정!$R$389,0)</f>
        <v>0</v>
      </c>
      <c r="BP96" s="37" t="n">
        <f aca="false">IF(BP6=②시니어_가정!$E$16,②시니어_가정!$R$389,0)</f>
        <v>0</v>
      </c>
      <c r="BQ96" s="37" t="n">
        <f aca="false">IF(BQ6=②시니어_가정!$E$16,②시니어_가정!$R$389,0)</f>
        <v>0</v>
      </c>
      <c r="BR96" s="37" t="n">
        <f aca="false">IF(BR6=②시니어_가정!$E$16,②시니어_가정!$R$389,0)</f>
        <v>0</v>
      </c>
      <c r="BS96" s="37" t="n">
        <f aca="false">IF(BS6=②시니어_가정!$E$16,②시니어_가정!$R$389,0)</f>
        <v>0</v>
      </c>
      <c r="BT96" s="37" t="n">
        <f aca="false">IF(BT6=②시니어_가정!$E$16,②시니어_가정!$R$389,0)</f>
        <v>0</v>
      </c>
      <c r="BU96" s="37" t="n">
        <f aca="false">IF(BU6=②시니어_가정!$E$16,②시니어_가정!$R$389,0)</f>
        <v>0</v>
      </c>
      <c r="BV96" s="37" t="n">
        <f aca="false">IF(BV6=②시니어_가정!$E$16,②시니어_가정!$R$389,0)</f>
        <v>0</v>
      </c>
      <c r="BW96" s="37" t="n">
        <f aca="false">IF(BW6=②시니어_가정!$E$16,②시니어_가정!$R$389,0)</f>
        <v>0</v>
      </c>
      <c r="BX96" s="37" t="n">
        <f aca="false">IF(BX6=②시니어_가정!$E$16,②시니어_가정!$R$389,0)</f>
        <v>0</v>
      </c>
      <c r="BY96" s="37" t="n">
        <f aca="false">IF(BY6=②시니어_가정!$E$16,②시니어_가정!$R$389,0)</f>
        <v>0</v>
      </c>
      <c r="BZ96" s="37" t="n">
        <f aca="false">IF(BZ6=②시니어_가정!$E$16,②시니어_가정!$R$389,0)</f>
        <v>0</v>
      </c>
      <c r="CA96" s="37" t="n">
        <f aca="false">IF(CA6=②시니어_가정!$E$16,②시니어_가정!$R$389,0)</f>
        <v>0</v>
      </c>
      <c r="CB96" s="37" t="n">
        <f aca="false">IF(CB6=②시니어_가정!$E$16,②시니어_가정!$R$389,0)</f>
        <v>0</v>
      </c>
      <c r="CC96" s="37" t="n">
        <f aca="false">IF(CC6=②시니어_가정!$E$16,②시니어_가정!$R$389,0)</f>
        <v>0</v>
      </c>
      <c r="CD96" s="37" t="n">
        <f aca="false">IF(CD6=②시니어_가정!$E$16,②시니어_가정!$R$389,0)</f>
        <v>0</v>
      </c>
      <c r="CE96" s="37" t="n">
        <f aca="false">IF(CE6=②시니어_가정!$E$16,②시니어_가정!$R$389,0)</f>
        <v>0</v>
      </c>
      <c r="CF96" s="37" t="n">
        <f aca="false">IF(CF6=②시니어_가정!$E$16,②시니어_가정!$R$389,0)</f>
        <v>0</v>
      </c>
      <c r="CG96" s="37" t="n">
        <f aca="false">IF(CG6=②시니어_가정!$E$16,②시니어_가정!$R$389,0)</f>
        <v>0</v>
      </c>
      <c r="CH96" s="37" t="n">
        <f aca="false">IF(CH6=②시니어_가정!$E$16,②시니어_가정!$R$389,0)</f>
        <v>0</v>
      </c>
      <c r="CI96" s="37" t="n">
        <f aca="false">IF(CI6=②시니어_가정!$E$16,②시니어_가정!$R$389,0)</f>
        <v>0</v>
      </c>
      <c r="CJ96" s="37" t="n">
        <f aca="false">IF(CJ6=②시니어_가정!$E$16,②시니어_가정!$R$389,0)</f>
        <v>0</v>
      </c>
      <c r="CK96" s="37" t="n">
        <f aca="false">IF(CK6=②시니어_가정!$E$16,②시니어_가정!$R$389,0)</f>
        <v>0</v>
      </c>
      <c r="CL96" s="37" t="n">
        <f aca="false">IF(CL6=②시니어_가정!$E$16,②시니어_가정!$R$389,0)</f>
        <v>0</v>
      </c>
      <c r="CM96" s="37" t="n">
        <f aca="false">IF(CM6=②시니어_가정!$E$16,②시니어_가정!$R$389,0)</f>
        <v>0</v>
      </c>
      <c r="CN96" s="37" t="n">
        <f aca="false">IF(CN6=②시니어_가정!$E$16,②시니어_가정!$R$389,0)</f>
        <v>0</v>
      </c>
      <c r="CO96" s="37" t="n">
        <f aca="false">IF(CO6=②시니어_가정!$E$16,②시니어_가정!$R$389,0)</f>
        <v>0</v>
      </c>
      <c r="CP96" s="37" t="n">
        <f aca="false">IF(CP6=②시니어_가정!$E$16,②시니어_가정!$R$389,0)</f>
        <v>0</v>
      </c>
      <c r="CQ96" s="37" t="n">
        <f aca="false">IF(CQ6=②시니어_가정!$E$16,②시니어_가정!$R$389,0)</f>
        <v>0</v>
      </c>
      <c r="CR96" s="37" t="n">
        <f aca="false">IF(CR6=②시니어_가정!$E$16,②시니어_가정!$R$389,0)</f>
        <v>0</v>
      </c>
      <c r="CS96" s="37" t="n">
        <f aca="false">IF(CS6=②시니어_가정!$E$16,②시니어_가정!$R$389,0)</f>
        <v>0</v>
      </c>
      <c r="CT96" s="37" t="n">
        <f aca="false">IF(CT6=②시니어_가정!$E$16,②시니어_가정!$R$389,0)</f>
        <v>0</v>
      </c>
      <c r="CU96" s="37" t="n">
        <f aca="false">IF(CU6=②시니어_가정!$E$16,②시니어_가정!$R$389,0)</f>
        <v>0</v>
      </c>
      <c r="CV96" s="37" t="n">
        <f aca="false">IF(CV6=②시니어_가정!$E$16,②시니어_가정!$R$389,0)</f>
        <v>0</v>
      </c>
      <c r="CW96" s="37" t="n">
        <f aca="false">IF(CW6=②시니어_가정!$E$16,②시니어_가정!$R$389,0)</f>
        <v>0</v>
      </c>
      <c r="CX96" s="37" t="n">
        <f aca="false">IF(CX6=②시니어_가정!$E$16,②시니어_가정!$R$389,0)</f>
        <v>0</v>
      </c>
      <c r="CY96" s="37" t="n">
        <f aca="false">IF(CY6=②시니어_가정!$E$16,②시니어_가정!$R$389,0)</f>
        <v>0</v>
      </c>
      <c r="CZ96" s="37" t="n">
        <f aca="false">IF(CZ6=②시니어_가정!$E$16,②시니어_가정!$R$389,0)</f>
        <v>0</v>
      </c>
      <c r="DA96" s="37" t="n">
        <f aca="false">IF(DA6=②시니어_가정!$E$16,②시니어_가정!$R$389,0)</f>
        <v>0</v>
      </c>
      <c r="DB96" s="37" t="n">
        <f aca="false">IF(DB6=②시니어_가정!$E$16,②시니어_가정!$R$389,0)</f>
        <v>0</v>
      </c>
      <c r="DC96" s="37" t="n">
        <f aca="false">IF(DC6=②시니어_가정!$E$16,②시니어_가정!$R$389,0)</f>
        <v>0</v>
      </c>
      <c r="DD96" s="37" t="n">
        <f aca="false">IF(DD6=②시니어_가정!$E$16,②시니어_가정!$R$389,0)</f>
        <v>0</v>
      </c>
      <c r="DE96" s="37" t="n">
        <f aca="false">IF(DE6=②시니어_가정!$E$16,②시니어_가정!$R$389,0)</f>
        <v>0</v>
      </c>
      <c r="DF96" s="37" t="n">
        <f aca="false">IF(DF6=②시니어_가정!$E$16,②시니어_가정!$R$389,0)</f>
        <v>0</v>
      </c>
      <c r="DG96" s="37" t="n">
        <f aca="false">IF(DG6=②시니어_가정!$E$16,②시니어_가정!$R$389,0)</f>
        <v>0</v>
      </c>
      <c r="DH96" s="37" t="n">
        <f aca="false">IF(DH6=②시니어_가정!$E$16,②시니어_가정!$R$389,0)</f>
        <v>0</v>
      </c>
      <c r="DI96" s="37" t="n">
        <f aca="false">IF(DI6=②시니어_가정!$E$16,②시니어_가정!$R$389,0)</f>
        <v>0</v>
      </c>
      <c r="DJ96" s="37" t="n">
        <f aca="false">IF(DJ6=②시니어_가정!$E$16,②시니어_가정!$R$389,0)</f>
        <v>0</v>
      </c>
      <c r="DK96" s="37" t="n">
        <f aca="false">IF(DK6=②시니어_가정!$E$16,②시니어_가정!$R$389,0)</f>
        <v>0</v>
      </c>
      <c r="DL96" s="37" t="n">
        <f aca="false">IF(DL6=②시니어_가정!$E$16,②시니어_가정!$R$389,0)</f>
        <v>0</v>
      </c>
      <c r="DM96" s="37" t="n">
        <f aca="false">IF(DM6=②시니어_가정!$E$16,②시니어_가정!$R$389,0)</f>
        <v>0</v>
      </c>
      <c r="DN96" s="37" t="n">
        <f aca="false">IF(DN6=②시니어_가정!$E$16,②시니어_가정!$R$389,0)</f>
        <v>0</v>
      </c>
      <c r="DO96" s="37" t="n">
        <f aca="false">IF(DO6=②시니어_가정!$E$16,②시니어_가정!$R$389,0)</f>
        <v>0</v>
      </c>
      <c r="DP96" s="37" t="n">
        <f aca="false">IF(DP6=②시니어_가정!$E$16,②시니어_가정!$R$389,0)</f>
        <v>0</v>
      </c>
      <c r="DQ96" s="37" t="n">
        <f aca="false">IF(DQ6=②시니어_가정!$E$16,②시니어_가정!$R$389,0)</f>
        <v>0</v>
      </c>
      <c r="DR96" s="37" t="n">
        <f aca="false">IF(DR6=②시니어_가정!$E$16,②시니어_가정!$R$389,0)</f>
        <v>0</v>
      </c>
      <c r="DS96" s="37" t="n">
        <f aca="false">IF(DS6=②시니어_가정!$E$16,②시니어_가정!$R$389,0)</f>
        <v>0</v>
      </c>
      <c r="DT96" s="37" t="n">
        <f aca="false">IF(DT6=②시니어_가정!$E$16,②시니어_가정!$R$389,0)</f>
        <v>0</v>
      </c>
      <c r="DU96" s="37" t="n">
        <f aca="false">IF(DU6=②시니어_가정!$E$16,②시니어_가정!$R$389,0)</f>
        <v>0</v>
      </c>
      <c r="DV96" s="37" t="n">
        <f aca="false">IF(DV6=②시니어_가정!$E$16,②시니어_가정!$R$389,0)</f>
        <v>0</v>
      </c>
      <c r="DW96" s="37" t="n">
        <f aca="false">IF(DW6=②시니어_가정!$E$16,②시니어_가정!$R$389,0)</f>
        <v>0</v>
      </c>
      <c r="DX96" s="37" t="n">
        <f aca="false">IF(DX6=②시니어_가정!$E$16,②시니어_가정!$R$389,0)</f>
        <v>0</v>
      </c>
      <c r="DY96" s="37" t="n">
        <f aca="false">IF(DY6=②시니어_가정!$E$16,②시니어_가정!$R$389,0)</f>
        <v>0</v>
      </c>
      <c r="DZ96" s="37" t="n">
        <f aca="false">IF(DZ6=②시니어_가정!$E$16,②시니어_가정!$R$389,0)</f>
        <v>0</v>
      </c>
      <c r="EA96" s="37" t="n">
        <f aca="false">IF(EA6=②시니어_가정!$E$16,②시니어_가정!$R$389,0)</f>
        <v>0</v>
      </c>
      <c r="EB96" s="37" t="n">
        <f aca="false">IF(EB6=②시니어_가정!$E$16,②시니어_가정!$R$389,0)</f>
        <v>0</v>
      </c>
      <c r="EC96" s="37" t="n">
        <f aca="false">IF(EC6=②시니어_가정!$E$16,②시니어_가정!$R$389,0)</f>
        <v>0</v>
      </c>
      <c r="ED96" s="37" t="n">
        <f aca="false">IF(ED6=②시니어_가정!$E$16,②시니어_가정!$R$389,0)</f>
        <v>0</v>
      </c>
      <c r="EE96" s="37" t="n">
        <f aca="false">IF(EE6=②시니어_가정!$E$16,②시니어_가정!$R$389,0)</f>
        <v>0</v>
      </c>
      <c r="EF96" s="37" t="n">
        <f aca="false">IF(EF6=②시니어_가정!$E$16,②시니어_가정!$R$389,0)</f>
        <v>0</v>
      </c>
    </row>
    <row r="97" customFormat="false" ht="15" hidden="false" customHeight="false" outlineLevel="0" collapsed="false">
      <c r="A97" s="36" t="s">
        <v>637</v>
      </c>
      <c r="B97" s="278" t="s">
        <v>21</v>
      </c>
      <c r="C97" s="279" t="n">
        <f aca="false">SUM(E97:EF97)</f>
        <v>926.822455525</v>
      </c>
      <c r="E97" s="37" t="n">
        <f aca="false">IF(E6=②시니어_가정!$E$8,②시니어_가정!$R$409+②시니어_가정!$R$410+②시니어_가정!$R$411,0)</f>
        <v>926.822455525</v>
      </c>
      <c r="F97" s="37" t="n">
        <f aca="false">IF(F6=②시니어_가정!$E$8,②시니어_가정!$R$409+②시니어_가정!$R$410+②시니어_가정!$R$411,0)</f>
        <v>0</v>
      </c>
      <c r="G97" s="37" t="n">
        <f aca="false">IF(G6=②시니어_가정!$E$8,②시니어_가정!$R$409+②시니어_가정!$R$410+②시니어_가정!$R$411,0)</f>
        <v>0</v>
      </c>
      <c r="H97" s="37" t="n">
        <f aca="false">IF(H6=②시니어_가정!$E$8,②시니어_가정!$R$409+②시니어_가정!$R$410+②시니어_가정!$R$411,0)</f>
        <v>0</v>
      </c>
      <c r="I97" s="37" t="n">
        <f aca="false">IF(I6=②시니어_가정!$E$8,②시니어_가정!$R$409+②시니어_가정!$R$410+②시니어_가정!$R$411,0)</f>
        <v>0</v>
      </c>
      <c r="J97" s="37" t="n">
        <f aca="false">IF(J6=②시니어_가정!$E$8,②시니어_가정!$R$409+②시니어_가정!$R$410+②시니어_가정!$R$411,0)</f>
        <v>0</v>
      </c>
      <c r="K97" s="37" t="n">
        <f aca="false">IF(K6=②시니어_가정!$E$8,②시니어_가정!$R$409+②시니어_가정!$R$410+②시니어_가정!$R$411,0)</f>
        <v>0</v>
      </c>
      <c r="L97" s="37" t="n">
        <f aca="false">IF(L6=②시니어_가정!$E$8,②시니어_가정!$R$409+②시니어_가정!$R$410+②시니어_가정!$R$411,0)</f>
        <v>0</v>
      </c>
      <c r="M97" s="37" t="n">
        <f aca="false">IF(M6=②시니어_가정!$E$8,②시니어_가정!$R$409+②시니어_가정!$R$410+②시니어_가정!$R$411,0)</f>
        <v>0</v>
      </c>
      <c r="N97" s="37" t="n">
        <f aca="false">IF(N6=②시니어_가정!$E$8,②시니어_가정!$R$409+②시니어_가정!$R$410+②시니어_가정!$R$411,0)</f>
        <v>0</v>
      </c>
      <c r="O97" s="37" t="n">
        <f aca="false">IF(O6=②시니어_가정!$E$8,②시니어_가정!$R$409+②시니어_가정!$R$410+②시니어_가정!$R$411,0)</f>
        <v>0</v>
      </c>
      <c r="P97" s="37" t="n">
        <f aca="false">IF(P6=②시니어_가정!$E$8,②시니어_가정!$R$409+②시니어_가정!$R$410+②시니어_가정!$R$411,0)</f>
        <v>0</v>
      </c>
      <c r="Q97" s="37" t="n">
        <f aca="false">IF(Q6=②시니어_가정!$E$8,②시니어_가정!$R$409+②시니어_가정!$R$410+②시니어_가정!$R$411,0)</f>
        <v>0</v>
      </c>
      <c r="R97" s="37" t="n">
        <f aca="false">IF(R6=②시니어_가정!$E$8,②시니어_가정!$R$409+②시니어_가정!$R$410+②시니어_가정!$R$411,0)</f>
        <v>0</v>
      </c>
      <c r="S97" s="37" t="n">
        <f aca="false">IF(S6=②시니어_가정!$E$8,②시니어_가정!$R$409+②시니어_가정!$R$410+②시니어_가정!$R$411,0)</f>
        <v>0</v>
      </c>
      <c r="T97" s="37" t="n">
        <f aca="false">IF(T6=②시니어_가정!$E$8,②시니어_가정!$R$409+②시니어_가정!$R$410+②시니어_가정!$R$411,0)</f>
        <v>0</v>
      </c>
      <c r="U97" s="37" t="n">
        <f aca="false">IF(U6=②시니어_가정!$E$8,②시니어_가정!$R$409+②시니어_가정!$R$410+②시니어_가정!$R$411,0)</f>
        <v>0</v>
      </c>
      <c r="V97" s="37" t="n">
        <f aca="false">IF(V6=②시니어_가정!$E$8,②시니어_가정!$R$409+②시니어_가정!$R$410+②시니어_가정!$R$411,0)</f>
        <v>0</v>
      </c>
      <c r="W97" s="37" t="n">
        <f aca="false">IF(W6=②시니어_가정!$E$8,②시니어_가정!$R$409+②시니어_가정!$R$410+②시니어_가정!$R$411,0)</f>
        <v>0</v>
      </c>
      <c r="X97" s="37" t="n">
        <f aca="false">IF(X6=②시니어_가정!$E$8,②시니어_가정!$R$409+②시니어_가정!$R$410+②시니어_가정!$R$411,0)</f>
        <v>0</v>
      </c>
      <c r="Y97" s="37" t="n">
        <f aca="false">IF(Y6=②시니어_가정!$E$8,②시니어_가정!$R$409+②시니어_가정!$R$410+②시니어_가정!$R$411,0)</f>
        <v>0</v>
      </c>
      <c r="Z97" s="37" t="n">
        <f aca="false">IF(Z6=②시니어_가정!$E$8,②시니어_가정!$R$409+②시니어_가정!$R$410+②시니어_가정!$R$411,0)</f>
        <v>0</v>
      </c>
      <c r="AA97" s="37" t="n">
        <f aca="false">IF(AA6=②시니어_가정!$E$8,②시니어_가정!$R$409+②시니어_가정!$R$410+②시니어_가정!$R$411,0)</f>
        <v>0</v>
      </c>
      <c r="AB97" s="37" t="n">
        <f aca="false">IF(AB6=②시니어_가정!$E$8,②시니어_가정!$R$409+②시니어_가정!$R$410+②시니어_가정!$R$411,0)</f>
        <v>0</v>
      </c>
      <c r="AC97" s="37" t="n">
        <f aca="false">IF(AC6=②시니어_가정!$E$8,②시니어_가정!$R$409+②시니어_가정!$R$410+②시니어_가정!$R$411,0)</f>
        <v>0</v>
      </c>
      <c r="AD97" s="37" t="n">
        <f aca="false">IF(AD6=②시니어_가정!$E$8,②시니어_가정!$R$409+②시니어_가정!$R$410+②시니어_가정!$R$411,0)</f>
        <v>0</v>
      </c>
      <c r="AE97" s="37" t="n">
        <f aca="false">IF(AE6=②시니어_가정!$E$8,②시니어_가정!$R$409+②시니어_가정!$R$410+②시니어_가정!$R$411,0)</f>
        <v>0</v>
      </c>
      <c r="AF97" s="37" t="n">
        <f aca="false">IF(AF6=②시니어_가정!$E$8,②시니어_가정!$R$409+②시니어_가정!$R$410+②시니어_가정!$R$411,0)</f>
        <v>0</v>
      </c>
      <c r="AG97" s="37" t="n">
        <f aca="false">IF(AG6=②시니어_가정!$E$8,②시니어_가정!$R$409+②시니어_가정!$R$410+②시니어_가정!$R$411,0)</f>
        <v>0</v>
      </c>
      <c r="AH97" s="37" t="n">
        <f aca="false">IF(AH6=②시니어_가정!$E$8,②시니어_가정!$R$409+②시니어_가정!$R$410+②시니어_가정!$R$411,0)</f>
        <v>0</v>
      </c>
      <c r="AI97" s="37" t="n">
        <f aca="false">IF(AI6=②시니어_가정!$E$8,②시니어_가정!$R$409+②시니어_가정!$R$410+②시니어_가정!$R$411,0)</f>
        <v>0</v>
      </c>
      <c r="AJ97" s="37" t="n">
        <f aca="false">IF(AJ6=②시니어_가정!$E$8,②시니어_가정!$R$409+②시니어_가정!$R$410+②시니어_가정!$R$411,0)</f>
        <v>0</v>
      </c>
      <c r="AK97" s="37" t="n">
        <f aca="false">IF(AK6=②시니어_가정!$E$8,②시니어_가정!$R$409+②시니어_가정!$R$410+②시니어_가정!$R$411,0)</f>
        <v>0</v>
      </c>
      <c r="AL97" s="37" t="n">
        <f aca="false">IF(AL6=②시니어_가정!$E$8,②시니어_가정!$R$409+②시니어_가정!$R$410+②시니어_가정!$R$411,0)</f>
        <v>0</v>
      </c>
      <c r="AM97" s="37" t="n">
        <f aca="false">IF(AM6=②시니어_가정!$E$8,②시니어_가정!$R$409+②시니어_가정!$R$410+②시니어_가정!$R$411,0)</f>
        <v>0</v>
      </c>
      <c r="AN97" s="37" t="n">
        <f aca="false">IF(AN6=②시니어_가정!$E$8,②시니어_가정!$R$409+②시니어_가정!$R$410+②시니어_가정!$R$411,0)</f>
        <v>0</v>
      </c>
      <c r="AO97" s="37" t="n">
        <f aca="false">IF(AO6=②시니어_가정!$E$8,②시니어_가정!$R$409+②시니어_가정!$R$410+②시니어_가정!$R$411,0)</f>
        <v>0</v>
      </c>
      <c r="AP97" s="37" t="n">
        <f aca="false">IF(AP6=②시니어_가정!$E$8,②시니어_가정!$R$409+②시니어_가정!$R$410+②시니어_가정!$R$411,0)</f>
        <v>0</v>
      </c>
      <c r="AQ97" s="37" t="n">
        <f aca="false">IF(AQ6=②시니어_가정!$E$8,②시니어_가정!$R$409+②시니어_가정!$R$410+②시니어_가정!$R$411,0)</f>
        <v>0</v>
      </c>
      <c r="AR97" s="37" t="n">
        <f aca="false">IF(AR6=②시니어_가정!$E$8,②시니어_가정!$R$409+②시니어_가정!$R$410+②시니어_가정!$R$411,0)</f>
        <v>0</v>
      </c>
      <c r="AS97" s="37" t="n">
        <f aca="false">IF(AS6=②시니어_가정!$E$8,②시니어_가정!$R$409+②시니어_가정!$R$410+②시니어_가정!$R$411,0)</f>
        <v>0</v>
      </c>
      <c r="AT97" s="37" t="n">
        <f aca="false">IF(AT6=②시니어_가정!$E$8,②시니어_가정!$R$409+②시니어_가정!$R$410+②시니어_가정!$R$411,0)</f>
        <v>0</v>
      </c>
      <c r="AU97" s="37" t="n">
        <f aca="false">IF(AU6=②시니어_가정!$E$8,②시니어_가정!$R$409+②시니어_가정!$R$410+②시니어_가정!$R$411,0)</f>
        <v>0</v>
      </c>
      <c r="AV97" s="37" t="n">
        <f aca="false">IF(AV6=②시니어_가정!$E$8,②시니어_가정!$R$409+②시니어_가정!$R$410+②시니어_가정!$R$411,0)</f>
        <v>0</v>
      </c>
      <c r="AW97" s="37" t="n">
        <f aca="false">IF(AW6=②시니어_가정!$E$8,②시니어_가정!$R$409+②시니어_가정!$R$410+②시니어_가정!$R$411,0)</f>
        <v>0</v>
      </c>
      <c r="AX97" s="37" t="n">
        <f aca="false">IF(AX6=②시니어_가정!$E$8,②시니어_가정!$R$409+②시니어_가정!$R$410+②시니어_가정!$R$411,0)</f>
        <v>0</v>
      </c>
      <c r="AY97" s="37" t="n">
        <f aca="false">IF(AY6=②시니어_가정!$E$8,②시니어_가정!$R$409+②시니어_가정!$R$410+②시니어_가정!$R$411,0)</f>
        <v>0</v>
      </c>
      <c r="AZ97" s="37" t="n">
        <f aca="false">IF(AZ6=②시니어_가정!$E$8,②시니어_가정!$R$409+②시니어_가정!$R$410+②시니어_가정!$R$411,0)</f>
        <v>0</v>
      </c>
      <c r="BA97" s="37" t="n">
        <f aca="false">IF(BA6=②시니어_가정!$E$8,②시니어_가정!$R$409+②시니어_가정!$R$410+②시니어_가정!$R$411,0)</f>
        <v>0</v>
      </c>
      <c r="BB97" s="37" t="n">
        <f aca="false">IF(BB6=②시니어_가정!$E$8,②시니어_가정!$R$409+②시니어_가정!$R$410+②시니어_가정!$R$411,0)</f>
        <v>0</v>
      </c>
      <c r="BC97" s="37" t="n">
        <f aca="false">IF(BC6=②시니어_가정!$E$8,②시니어_가정!$R$409+②시니어_가정!$R$410+②시니어_가정!$R$411,0)</f>
        <v>0</v>
      </c>
      <c r="BD97" s="37" t="n">
        <f aca="false">IF(BD6=②시니어_가정!$E$8,②시니어_가정!$R$409+②시니어_가정!$R$410+②시니어_가정!$R$411,0)</f>
        <v>0</v>
      </c>
      <c r="BE97" s="37" t="n">
        <f aca="false">IF(BE6=②시니어_가정!$E$8,②시니어_가정!$R$409+②시니어_가정!$R$410+②시니어_가정!$R$411,0)</f>
        <v>0</v>
      </c>
      <c r="BF97" s="37" t="n">
        <f aca="false">IF(BF6=②시니어_가정!$E$8,②시니어_가정!$R$409+②시니어_가정!$R$410+②시니어_가정!$R$411,0)</f>
        <v>0</v>
      </c>
      <c r="BG97" s="37" t="n">
        <f aca="false">IF(BG6=②시니어_가정!$E$8,②시니어_가정!$R$409+②시니어_가정!$R$410+②시니어_가정!$R$411,0)</f>
        <v>0</v>
      </c>
      <c r="BH97" s="37" t="n">
        <f aca="false">IF(BH6=②시니어_가정!$E$8,②시니어_가정!$R$409+②시니어_가정!$R$410+②시니어_가정!$R$411,0)</f>
        <v>0</v>
      </c>
      <c r="BI97" s="37" t="n">
        <f aca="false">IF(BI6=②시니어_가정!$E$8,②시니어_가정!$R$409+②시니어_가정!$R$410+②시니어_가정!$R$411,0)</f>
        <v>0</v>
      </c>
      <c r="BJ97" s="37" t="n">
        <f aca="false">IF(BJ6=②시니어_가정!$E$8,②시니어_가정!$R$409+②시니어_가정!$R$410+②시니어_가정!$R$411,0)</f>
        <v>0</v>
      </c>
      <c r="BK97" s="37" t="n">
        <f aca="false">IF(BK6=②시니어_가정!$E$8,②시니어_가정!$R$409+②시니어_가정!$R$410+②시니어_가정!$R$411,0)</f>
        <v>0</v>
      </c>
      <c r="BL97" s="37" t="n">
        <f aca="false">IF(BL6=②시니어_가정!$E$8,②시니어_가정!$R$409+②시니어_가정!$R$410+②시니어_가정!$R$411,0)</f>
        <v>0</v>
      </c>
      <c r="BM97" s="37" t="n">
        <f aca="false">IF(BM6=②시니어_가정!$E$8,②시니어_가정!$R$409+②시니어_가정!$R$410+②시니어_가정!$R$411,0)</f>
        <v>0</v>
      </c>
      <c r="BN97" s="37" t="n">
        <f aca="false">IF(BN6=②시니어_가정!$E$8,②시니어_가정!$R$409+②시니어_가정!$R$410+②시니어_가정!$R$411,0)</f>
        <v>0</v>
      </c>
      <c r="BO97" s="37" t="n">
        <f aca="false">IF(BO6=②시니어_가정!$E$8,②시니어_가정!$R$409+②시니어_가정!$R$410+②시니어_가정!$R$411,0)</f>
        <v>0</v>
      </c>
      <c r="BP97" s="37" t="n">
        <f aca="false">IF(BP6=②시니어_가정!$E$8,②시니어_가정!$R$409+②시니어_가정!$R$410+②시니어_가정!$R$411,0)</f>
        <v>0</v>
      </c>
      <c r="BQ97" s="37" t="n">
        <f aca="false">IF(BQ6=②시니어_가정!$E$8,②시니어_가정!$R$409+②시니어_가정!$R$410+②시니어_가정!$R$411,0)</f>
        <v>0</v>
      </c>
      <c r="BR97" s="37" t="n">
        <f aca="false">IF(BR6=②시니어_가정!$E$8,②시니어_가정!$R$409+②시니어_가정!$R$410+②시니어_가정!$R$411,0)</f>
        <v>0</v>
      </c>
      <c r="BS97" s="37" t="n">
        <f aca="false">IF(BS6=②시니어_가정!$E$8,②시니어_가정!$R$409+②시니어_가정!$R$410+②시니어_가정!$R$411,0)</f>
        <v>0</v>
      </c>
      <c r="BT97" s="37" t="n">
        <f aca="false">IF(BT6=②시니어_가정!$E$8,②시니어_가정!$R$409+②시니어_가정!$R$410+②시니어_가정!$R$411,0)</f>
        <v>0</v>
      </c>
      <c r="BU97" s="37" t="n">
        <f aca="false">IF(BU6=②시니어_가정!$E$8,②시니어_가정!$R$409+②시니어_가정!$R$410+②시니어_가정!$R$411,0)</f>
        <v>0</v>
      </c>
      <c r="BV97" s="37" t="n">
        <f aca="false">IF(BV6=②시니어_가정!$E$8,②시니어_가정!$R$409+②시니어_가정!$R$410+②시니어_가정!$R$411,0)</f>
        <v>0</v>
      </c>
      <c r="BW97" s="37" t="n">
        <f aca="false">IF(BW6=②시니어_가정!$E$8,②시니어_가정!$R$409+②시니어_가정!$R$410+②시니어_가정!$R$411,0)</f>
        <v>0</v>
      </c>
      <c r="BX97" s="37" t="n">
        <f aca="false">IF(BX6=②시니어_가정!$E$8,②시니어_가정!$R$409+②시니어_가정!$R$410+②시니어_가정!$R$411,0)</f>
        <v>0</v>
      </c>
      <c r="BY97" s="37" t="n">
        <f aca="false">IF(BY6=②시니어_가정!$E$8,②시니어_가정!$R$409+②시니어_가정!$R$410+②시니어_가정!$R$411,0)</f>
        <v>0</v>
      </c>
      <c r="BZ97" s="37" t="n">
        <f aca="false">IF(BZ6=②시니어_가정!$E$8,②시니어_가정!$R$409+②시니어_가정!$R$410+②시니어_가정!$R$411,0)</f>
        <v>0</v>
      </c>
      <c r="CA97" s="37" t="n">
        <f aca="false">IF(CA6=②시니어_가정!$E$8,②시니어_가정!$R$409+②시니어_가정!$R$410+②시니어_가정!$R$411,0)</f>
        <v>0</v>
      </c>
      <c r="CB97" s="37" t="n">
        <f aca="false">IF(CB6=②시니어_가정!$E$8,②시니어_가정!$R$409+②시니어_가정!$R$410+②시니어_가정!$R$411,0)</f>
        <v>0</v>
      </c>
      <c r="CC97" s="37" t="n">
        <f aca="false">IF(CC6=②시니어_가정!$E$8,②시니어_가정!$R$409+②시니어_가정!$R$410+②시니어_가정!$R$411,0)</f>
        <v>0</v>
      </c>
      <c r="CD97" s="37" t="n">
        <f aca="false">IF(CD6=②시니어_가정!$E$8,②시니어_가정!$R$409+②시니어_가정!$R$410+②시니어_가정!$R$411,0)</f>
        <v>0</v>
      </c>
      <c r="CE97" s="37" t="n">
        <f aca="false">IF(CE6=②시니어_가정!$E$8,②시니어_가정!$R$409+②시니어_가정!$R$410+②시니어_가정!$R$411,0)</f>
        <v>0</v>
      </c>
      <c r="CF97" s="37" t="n">
        <f aca="false">IF(CF6=②시니어_가정!$E$8,②시니어_가정!$R$409+②시니어_가정!$R$410+②시니어_가정!$R$411,0)</f>
        <v>0</v>
      </c>
      <c r="CG97" s="37" t="n">
        <f aca="false">IF(CG6=②시니어_가정!$E$8,②시니어_가정!$R$409+②시니어_가정!$R$410+②시니어_가정!$R$411,0)</f>
        <v>0</v>
      </c>
      <c r="CH97" s="37" t="n">
        <f aca="false">IF(CH6=②시니어_가정!$E$8,②시니어_가정!$R$409+②시니어_가정!$R$410+②시니어_가정!$R$411,0)</f>
        <v>0</v>
      </c>
      <c r="CI97" s="37" t="n">
        <f aca="false">IF(CI6=②시니어_가정!$E$8,②시니어_가정!$R$409+②시니어_가정!$R$410+②시니어_가정!$R$411,0)</f>
        <v>0</v>
      </c>
      <c r="CJ97" s="37" t="n">
        <f aca="false">IF(CJ6=②시니어_가정!$E$8,②시니어_가정!$R$409+②시니어_가정!$R$410+②시니어_가정!$R$411,0)</f>
        <v>0</v>
      </c>
      <c r="CK97" s="37" t="n">
        <f aca="false">IF(CK6=②시니어_가정!$E$8,②시니어_가정!$R$409+②시니어_가정!$R$410+②시니어_가정!$R$411,0)</f>
        <v>0</v>
      </c>
      <c r="CL97" s="37" t="n">
        <f aca="false">IF(CL6=②시니어_가정!$E$8,②시니어_가정!$R$409+②시니어_가정!$R$410+②시니어_가정!$R$411,0)</f>
        <v>0</v>
      </c>
      <c r="CM97" s="37" t="n">
        <f aca="false">IF(CM6=②시니어_가정!$E$8,②시니어_가정!$R$409+②시니어_가정!$R$410+②시니어_가정!$R$411,0)</f>
        <v>0</v>
      </c>
      <c r="CN97" s="37" t="n">
        <f aca="false">IF(CN6=②시니어_가정!$E$8,②시니어_가정!$R$409+②시니어_가정!$R$410+②시니어_가정!$R$411,0)</f>
        <v>0</v>
      </c>
      <c r="CO97" s="37" t="n">
        <f aca="false">IF(CO6=②시니어_가정!$E$8,②시니어_가정!$R$409+②시니어_가정!$R$410+②시니어_가정!$R$411,0)</f>
        <v>0</v>
      </c>
      <c r="CP97" s="37" t="n">
        <f aca="false">IF(CP6=②시니어_가정!$E$8,②시니어_가정!$R$409+②시니어_가정!$R$410+②시니어_가정!$R$411,0)</f>
        <v>0</v>
      </c>
      <c r="CQ97" s="37" t="n">
        <f aca="false">IF(CQ6=②시니어_가정!$E$8,②시니어_가정!$R$409+②시니어_가정!$R$410+②시니어_가정!$R$411,0)</f>
        <v>0</v>
      </c>
      <c r="CR97" s="37" t="n">
        <f aca="false">IF(CR6=②시니어_가정!$E$8,②시니어_가정!$R$409+②시니어_가정!$R$410+②시니어_가정!$R$411,0)</f>
        <v>0</v>
      </c>
      <c r="CS97" s="37" t="n">
        <f aca="false">IF(CS6=②시니어_가정!$E$8,②시니어_가정!$R$409+②시니어_가정!$R$410+②시니어_가정!$R$411,0)</f>
        <v>0</v>
      </c>
      <c r="CT97" s="37" t="n">
        <f aca="false">IF(CT6=②시니어_가정!$E$8,②시니어_가정!$R$409+②시니어_가정!$R$410+②시니어_가정!$R$411,0)</f>
        <v>0</v>
      </c>
      <c r="CU97" s="37" t="n">
        <f aca="false">IF(CU6=②시니어_가정!$E$8,②시니어_가정!$R$409+②시니어_가정!$R$410+②시니어_가정!$R$411,0)</f>
        <v>0</v>
      </c>
      <c r="CV97" s="37" t="n">
        <f aca="false">IF(CV6=②시니어_가정!$E$8,②시니어_가정!$R$409+②시니어_가정!$R$410+②시니어_가정!$R$411,0)</f>
        <v>0</v>
      </c>
      <c r="CW97" s="37" t="n">
        <f aca="false">IF(CW6=②시니어_가정!$E$8,②시니어_가정!$R$409+②시니어_가정!$R$410+②시니어_가정!$R$411,0)</f>
        <v>0</v>
      </c>
      <c r="CX97" s="37" t="n">
        <f aca="false">IF(CX6=②시니어_가정!$E$8,②시니어_가정!$R$409+②시니어_가정!$R$410+②시니어_가정!$R$411,0)</f>
        <v>0</v>
      </c>
      <c r="CY97" s="37" t="n">
        <f aca="false">IF(CY6=②시니어_가정!$E$8,②시니어_가정!$R$409+②시니어_가정!$R$410+②시니어_가정!$R$411,0)</f>
        <v>0</v>
      </c>
      <c r="CZ97" s="37" t="n">
        <f aca="false">IF(CZ6=②시니어_가정!$E$8,②시니어_가정!$R$409+②시니어_가정!$R$410+②시니어_가정!$R$411,0)</f>
        <v>0</v>
      </c>
      <c r="DA97" s="37" t="n">
        <f aca="false">IF(DA6=②시니어_가정!$E$8,②시니어_가정!$R$409+②시니어_가정!$R$410+②시니어_가정!$R$411,0)</f>
        <v>0</v>
      </c>
      <c r="DB97" s="37" t="n">
        <f aca="false">IF(DB6=②시니어_가정!$E$8,②시니어_가정!$R$409+②시니어_가정!$R$410+②시니어_가정!$R$411,0)</f>
        <v>0</v>
      </c>
      <c r="DC97" s="37" t="n">
        <f aca="false">IF(DC6=②시니어_가정!$E$8,②시니어_가정!$R$409+②시니어_가정!$R$410+②시니어_가정!$R$411,0)</f>
        <v>0</v>
      </c>
      <c r="DD97" s="37" t="n">
        <f aca="false">IF(DD6=②시니어_가정!$E$8,②시니어_가정!$R$409+②시니어_가정!$R$410+②시니어_가정!$R$411,0)</f>
        <v>0</v>
      </c>
      <c r="DE97" s="37" t="n">
        <f aca="false">IF(DE6=②시니어_가정!$E$8,②시니어_가정!$R$409+②시니어_가정!$R$410+②시니어_가정!$R$411,0)</f>
        <v>0</v>
      </c>
      <c r="DF97" s="37" t="n">
        <f aca="false">IF(DF6=②시니어_가정!$E$8,②시니어_가정!$R$409+②시니어_가정!$R$410+②시니어_가정!$R$411,0)</f>
        <v>0</v>
      </c>
      <c r="DG97" s="37" t="n">
        <f aca="false">IF(DG6=②시니어_가정!$E$8,②시니어_가정!$R$409+②시니어_가정!$R$410+②시니어_가정!$R$411,0)</f>
        <v>0</v>
      </c>
      <c r="DH97" s="37" t="n">
        <f aca="false">IF(DH6=②시니어_가정!$E$8,②시니어_가정!$R$409+②시니어_가정!$R$410+②시니어_가정!$R$411,0)</f>
        <v>0</v>
      </c>
      <c r="DI97" s="37" t="n">
        <f aca="false">IF(DI6=②시니어_가정!$E$8,②시니어_가정!$R$409+②시니어_가정!$R$410+②시니어_가정!$R$411,0)</f>
        <v>0</v>
      </c>
      <c r="DJ97" s="37" t="n">
        <f aca="false">IF(DJ6=②시니어_가정!$E$8,②시니어_가정!$R$409+②시니어_가정!$R$410+②시니어_가정!$R$411,0)</f>
        <v>0</v>
      </c>
      <c r="DK97" s="37" t="n">
        <f aca="false">IF(DK6=②시니어_가정!$E$8,②시니어_가정!$R$409+②시니어_가정!$R$410+②시니어_가정!$R$411,0)</f>
        <v>0</v>
      </c>
      <c r="DL97" s="37" t="n">
        <f aca="false">IF(DL6=②시니어_가정!$E$8,②시니어_가정!$R$409+②시니어_가정!$R$410+②시니어_가정!$R$411,0)</f>
        <v>0</v>
      </c>
      <c r="DM97" s="37" t="n">
        <f aca="false">IF(DM6=②시니어_가정!$E$8,②시니어_가정!$R$409+②시니어_가정!$R$410+②시니어_가정!$R$411,0)</f>
        <v>0</v>
      </c>
      <c r="DN97" s="37" t="n">
        <f aca="false">IF(DN6=②시니어_가정!$E$8,②시니어_가정!$R$409+②시니어_가정!$R$410+②시니어_가정!$R$411,0)</f>
        <v>0</v>
      </c>
      <c r="DO97" s="37" t="n">
        <f aca="false">IF(DO6=②시니어_가정!$E$8,②시니어_가정!$R$409+②시니어_가정!$R$410+②시니어_가정!$R$411,0)</f>
        <v>0</v>
      </c>
      <c r="DP97" s="37" t="n">
        <f aca="false">IF(DP6=②시니어_가정!$E$8,②시니어_가정!$R$409+②시니어_가정!$R$410+②시니어_가정!$R$411,0)</f>
        <v>0</v>
      </c>
      <c r="DQ97" s="37" t="n">
        <f aca="false">IF(DQ6=②시니어_가정!$E$8,②시니어_가정!$R$409+②시니어_가정!$R$410+②시니어_가정!$R$411,0)</f>
        <v>0</v>
      </c>
      <c r="DR97" s="37" t="n">
        <f aca="false">IF(DR6=②시니어_가정!$E$8,②시니어_가정!$R$409+②시니어_가정!$R$410+②시니어_가정!$R$411,0)</f>
        <v>0</v>
      </c>
      <c r="DS97" s="37" t="n">
        <f aca="false">IF(DS6=②시니어_가정!$E$8,②시니어_가정!$R$409+②시니어_가정!$R$410+②시니어_가정!$R$411,0)</f>
        <v>0</v>
      </c>
      <c r="DT97" s="37" t="n">
        <f aca="false">IF(DT6=②시니어_가정!$E$8,②시니어_가정!$R$409+②시니어_가정!$R$410+②시니어_가정!$R$411,0)</f>
        <v>0</v>
      </c>
      <c r="DU97" s="37" t="n">
        <f aca="false">IF(DU6=②시니어_가정!$E$8,②시니어_가정!$R$409+②시니어_가정!$R$410+②시니어_가정!$R$411,0)</f>
        <v>0</v>
      </c>
      <c r="DV97" s="37" t="n">
        <f aca="false">IF(DV6=②시니어_가정!$E$8,②시니어_가정!$R$409+②시니어_가정!$R$410+②시니어_가정!$R$411,0)</f>
        <v>0</v>
      </c>
      <c r="DW97" s="37" t="n">
        <f aca="false">IF(DW6=②시니어_가정!$E$8,②시니어_가정!$R$409+②시니어_가정!$R$410+②시니어_가정!$R$411,0)</f>
        <v>0</v>
      </c>
      <c r="DX97" s="37" t="n">
        <f aca="false">IF(DX6=②시니어_가정!$E$8,②시니어_가정!$R$409+②시니어_가정!$R$410+②시니어_가정!$R$411,0)</f>
        <v>0</v>
      </c>
      <c r="DY97" s="37" t="n">
        <f aca="false">IF(DY6=②시니어_가정!$E$8,②시니어_가정!$R$409+②시니어_가정!$R$410+②시니어_가정!$R$411,0)</f>
        <v>0</v>
      </c>
      <c r="DZ97" s="37" t="n">
        <f aca="false">IF(DZ6=②시니어_가정!$E$8,②시니어_가정!$R$409+②시니어_가정!$R$410+②시니어_가정!$R$411,0)</f>
        <v>0</v>
      </c>
      <c r="EA97" s="37" t="n">
        <f aca="false">IF(EA6=②시니어_가정!$E$8,②시니어_가정!$R$409+②시니어_가정!$R$410+②시니어_가정!$R$411,0)</f>
        <v>0</v>
      </c>
      <c r="EB97" s="37" t="n">
        <f aca="false">IF(EB6=②시니어_가정!$E$8,②시니어_가정!$R$409+②시니어_가정!$R$410+②시니어_가정!$R$411,0)</f>
        <v>0</v>
      </c>
      <c r="EC97" s="37" t="n">
        <f aca="false">IF(EC6=②시니어_가정!$E$8,②시니어_가정!$R$409+②시니어_가정!$R$410+②시니어_가정!$R$411,0)</f>
        <v>0</v>
      </c>
      <c r="ED97" s="37" t="n">
        <f aca="false">IF(ED6=②시니어_가정!$E$8,②시니어_가정!$R$409+②시니어_가정!$R$410+②시니어_가정!$R$411,0)</f>
        <v>0</v>
      </c>
      <c r="EE97" s="37" t="n">
        <f aca="false">IF(EE6=②시니어_가정!$E$8,②시니어_가정!$R$409+②시니어_가정!$R$410+②시니어_가정!$R$411,0)</f>
        <v>0</v>
      </c>
      <c r="EF97" s="37" t="n">
        <f aca="false">IF(EF6=②시니어_가정!$E$8,②시니어_가정!$R$409+②시니어_가정!$R$410+②시니어_가정!$R$411,0)</f>
        <v>0</v>
      </c>
    </row>
    <row r="98" customFormat="false" ht="15" hidden="false" customHeight="false" outlineLevel="0" collapsed="false">
      <c r="A98" s="36" t="s">
        <v>638</v>
      </c>
      <c r="B98" s="278" t="s">
        <v>21</v>
      </c>
      <c r="C98" s="279" t="n">
        <f aca="false">SUM(E98:EF98)</f>
        <v>1437.39947590208</v>
      </c>
      <c r="E98" s="37" t="n">
        <f aca="false">IF(E6=②시니어_가정!$E$14,②시니어_가정!$R$404,0)</f>
        <v>0</v>
      </c>
      <c r="F98" s="37" t="n">
        <f aca="false">IF(F6=②시니어_가정!$E$14,②시니어_가정!$R$404,0)</f>
        <v>0</v>
      </c>
      <c r="G98" s="37" t="n">
        <f aca="false">IF(G6=②시니어_가정!$E$14,②시니어_가정!$R$404,0)</f>
        <v>0</v>
      </c>
      <c r="H98" s="37" t="n">
        <f aca="false">IF(H6=②시니어_가정!$E$14,②시니어_가정!$R$404,0)</f>
        <v>0</v>
      </c>
      <c r="I98" s="37" t="n">
        <f aca="false">IF(I6=②시니어_가정!$E$14,②시니어_가정!$R$404,0)</f>
        <v>0</v>
      </c>
      <c r="J98" s="37" t="n">
        <f aca="false">IF(J6=②시니어_가정!$E$14,②시니어_가정!$R$404,0)</f>
        <v>0</v>
      </c>
      <c r="K98" s="37" t="n">
        <f aca="false">IF(K6=②시니어_가정!$E$14,②시니어_가정!$R$404,0)</f>
        <v>0</v>
      </c>
      <c r="L98" s="37" t="n">
        <f aca="false">IF(L6=②시니어_가정!$E$14,②시니어_가정!$R$404,0)</f>
        <v>0</v>
      </c>
      <c r="M98" s="37" t="n">
        <f aca="false">IF(M6=②시니어_가정!$E$14,②시니어_가정!$R$404,0)</f>
        <v>0</v>
      </c>
      <c r="N98" s="37" t="n">
        <f aca="false">IF(N6=②시니어_가정!$E$14,②시니어_가정!$R$404,0)</f>
        <v>0</v>
      </c>
      <c r="O98" s="37" t="n">
        <f aca="false">IF(O6=②시니어_가정!$E$14,②시니어_가정!$R$404,0)</f>
        <v>0</v>
      </c>
      <c r="P98" s="37" t="n">
        <f aca="false">IF(P6=②시니어_가정!$E$14,②시니어_가정!$R$404,0)</f>
        <v>0</v>
      </c>
      <c r="Q98" s="37" t="n">
        <f aca="false">IF(Q6=②시니어_가정!$E$14,②시니어_가정!$R$404,0)</f>
        <v>0</v>
      </c>
      <c r="R98" s="37" t="n">
        <f aca="false">IF(R6=②시니어_가정!$E$14,②시니어_가정!$R$404,0)</f>
        <v>0</v>
      </c>
      <c r="S98" s="37" t="n">
        <f aca="false">IF(S6=②시니어_가정!$E$14,②시니어_가정!$R$404,0)</f>
        <v>0</v>
      </c>
      <c r="T98" s="37" t="n">
        <f aca="false">IF(T6=②시니어_가정!$E$14,②시니어_가정!$R$404,0)</f>
        <v>0</v>
      </c>
      <c r="U98" s="37" t="n">
        <f aca="false">IF(U6=②시니어_가정!$E$14,②시니어_가정!$R$404,0)</f>
        <v>0</v>
      </c>
      <c r="V98" s="37" t="n">
        <f aca="false">IF(V6=②시니어_가정!$E$14,②시니어_가정!$R$404,0)</f>
        <v>0</v>
      </c>
      <c r="W98" s="37" t="n">
        <f aca="false">IF(W6=②시니어_가정!$E$14,②시니어_가정!$R$404,0)</f>
        <v>1437.39947590208</v>
      </c>
      <c r="X98" s="37" t="n">
        <f aca="false">IF(X6=②시니어_가정!$E$14,②시니어_가정!$R$404,0)</f>
        <v>0</v>
      </c>
      <c r="Y98" s="37" t="n">
        <f aca="false">IF(Y6=②시니어_가정!$E$14,②시니어_가정!$R$404,0)</f>
        <v>0</v>
      </c>
      <c r="Z98" s="37" t="n">
        <f aca="false">IF(Z6=②시니어_가정!$E$14,②시니어_가정!$R$404,0)</f>
        <v>0</v>
      </c>
      <c r="AA98" s="37" t="n">
        <f aca="false">IF(AA6=②시니어_가정!$E$14,②시니어_가정!$R$404,0)</f>
        <v>0</v>
      </c>
      <c r="AB98" s="37" t="n">
        <f aca="false">IF(AB6=②시니어_가정!$E$14,②시니어_가정!$R$404,0)</f>
        <v>0</v>
      </c>
      <c r="AC98" s="37" t="n">
        <f aca="false">IF(AC6=②시니어_가정!$E$14,②시니어_가정!$R$404,0)</f>
        <v>0</v>
      </c>
      <c r="AD98" s="37" t="n">
        <f aca="false">IF(AD6=②시니어_가정!$E$14,②시니어_가정!$R$404,0)</f>
        <v>0</v>
      </c>
      <c r="AE98" s="37" t="n">
        <f aca="false">IF(AE6=②시니어_가정!$E$14,②시니어_가정!$R$404,0)</f>
        <v>0</v>
      </c>
      <c r="AF98" s="37" t="n">
        <f aca="false">IF(AF6=②시니어_가정!$E$14,②시니어_가정!$R$404,0)</f>
        <v>0</v>
      </c>
      <c r="AG98" s="37" t="n">
        <f aca="false">IF(AG6=②시니어_가정!$E$14,②시니어_가정!$R$404,0)</f>
        <v>0</v>
      </c>
      <c r="AH98" s="37" t="n">
        <f aca="false">IF(AH6=②시니어_가정!$E$14,②시니어_가정!$R$404,0)</f>
        <v>0</v>
      </c>
      <c r="AI98" s="37" t="n">
        <f aca="false">IF(AI6=②시니어_가정!$E$14,②시니어_가정!$R$404,0)</f>
        <v>0</v>
      </c>
      <c r="AJ98" s="37" t="n">
        <f aca="false">IF(AJ6=②시니어_가정!$E$14,②시니어_가정!$R$404,0)</f>
        <v>0</v>
      </c>
      <c r="AK98" s="37" t="n">
        <f aca="false">IF(AK6=②시니어_가정!$E$14,②시니어_가정!$R$404,0)</f>
        <v>0</v>
      </c>
      <c r="AL98" s="37" t="n">
        <f aca="false">IF(AL6=②시니어_가정!$E$14,②시니어_가정!$R$404,0)</f>
        <v>0</v>
      </c>
      <c r="AM98" s="37" t="n">
        <f aca="false">IF(AM6=②시니어_가정!$E$14,②시니어_가정!$R$404,0)</f>
        <v>0</v>
      </c>
      <c r="AN98" s="37" t="n">
        <f aca="false">IF(AN6=②시니어_가정!$E$14,②시니어_가정!$R$404,0)</f>
        <v>0</v>
      </c>
      <c r="AO98" s="37" t="n">
        <f aca="false">IF(AO6=②시니어_가정!$E$14,②시니어_가정!$R$404,0)</f>
        <v>0</v>
      </c>
      <c r="AP98" s="37" t="n">
        <f aca="false">IF(AP6=②시니어_가정!$E$14,②시니어_가정!$R$404,0)</f>
        <v>0</v>
      </c>
      <c r="AQ98" s="37" t="n">
        <f aca="false">IF(AQ6=②시니어_가정!$E$14,②시니어_가정!$R$404,0)</f>
        <v>0</v>
      </c>
      <c r="AR98" s="37" t="n">
        <f aca="false">IF(AR6=②시니어_가정!$E$14,②시니어_가정!$R$404,0)</f>
        <v>0</v>
      </c>
      <c r="AS98" s="37" t="n">
        <f aca="false">IF(AS6=②시니어_가정!$E$14,②시니어_가정!$R$404,0)</f>
        <v>0</v>
      </c>
      <c r="AT98" s="37" t="n">
        <f aca="false">IF(AT6=②시니어_가정!$E$14,②시니어_가정!$R$404,0)</f>
        <v>0</v>
      </c>
      <c r="AU98" s="37" t="n">
        <f aca="false">IF(AU6=②시니어_가정!$E$14,②시니어_가정!$R$404,0)</f>
        <v>0</v>
      </c>
      <c r="AV98" s="37" t="n">
        <f aca="false">IF(AV6=②시니어_가정!$E$14,②시니어_가정!$R$404,0)</f>
        <v>0</v>
      </c>
      <c r="AW98" s="37" t="n">
        <f aca="false">IF(AW6=②시니어_가정!$E$14,②시니어_가정!$R$404,0)</f>
        <v>0</v>
      </c>
      <c r="AX98" s="37" t="n">
        <f aca="false">IF(AX6=②시니어_가정!$E$14,②시니어_가정!$R$404,0)</f>
        <v>0</v>
      </c>
      <c r="AY98" s="37" t="n">
        <f aca="false">IF(AY6=②시니어_가정!$E$14,②시니어_가정!$R$404,0)</f>
        <v>0</v>
      </c>
      <c r="AZ98" s="37" t="n">
        <f aca="false">IF(AZ6=②시니어_가정!$E$14,②시니어_가정!$R$404,0)</f>
        <v>0</v>
      </c>
      <c r="BA98" s="37" t="n">
        <f aca="false">IF(BA6=②시니어_가정!$E$14,②시니어_가정!$R$404,0)</f>
        <v>0</v>
      </c>
      <c r="BB98" s="37" t="n">
        <f aca="false">IF(BB6=②시니어_가정!$E$14,②시니어_가정!$R$404,0)</f>
        <v>0</v>
      </c>
      <c r="BC98" s="37" t="n">
        <f aca="false">IF(BC6=②시니어_가정!$E$14,②시니어_가정!$R$404,0)</f>
        <v>0</v>
      </c>
      <c r="BD98" s="37" t="n">
        <f aca="false">IF(BD6=②시니어_가정!$E$14,②시니어_가정!$R$404,0)</f>
        <v>0</v>
      </c>
      <c r="BE98" s="37" t="n">
        <f aca="false">IF(BE6=②시니어_가정!$E$14,②시니어_가정!$R$404,0)</f>
        <v>0</v>
      </c>
      <c r="BF98" s="37" t="n">
        <f aca="false">IF(BF6=②시니어_가정!$E$14,②시니어_가정!$R$404,0)</f>
        <v>0</v>
      </c>
      <c r="BG98" s="37" t="n">
        <f aca="false">IF(BG6=②시니어_가정!$E$14,②시니어_가정!$R$404,0)</f>
        <v>0</v>
      </c>
      <c r="BH98" s="37" t="n">
        <f aca="false">IF(BH6=②시니어_가정!$E$14,②시니어_가정!$R$404,0)</f>
        <v>0</v>
      </c>
      <c r="BI98" s="37" t="n">
        <f aca="false">IF(BI6=②시니어_가정!$E$14,②시니어_가정!$R$404,0)</f>
        <v>0</v>
      </c>
      <c r="BJ98" s="37" t="n">
        <f aca="false">IF(BJ6=②시니어_가정!$E$14,②시니어_가정!$R$404,0)</f>
        <v>0</v>
      </c>
      <c r="BK98" s="37" t="n">
        <f aca="false">IF(BK6=②시니어_가정!$E$14,②시니어_가정!$R$404,0)</f>
        <v>0</v>
      </c>
      <c r="BL98" s="37" t="n">
        <f aca="false">IF(BL6=②시니어_가정!$E$14,②시니어_가정!$R$404,0)</f>
        <v>0</v>
      </c>
      <c r="BM98" s="37" t="n">
        <f aca="false">IF(BM6=②시니어_가정!$E$14,②시니어_가정!$R$404,0)</f>
        <v>0</v>
      </c>
      <c r="BN98" s="37" t="n">
        <f aca="false">IF(BN6=②시니어_가정!$E$14,②시니어_가정!$R$404,0)</f>
        <v>0</v>
      </c>
      <c r="BO98" s="37" t="n">
        <f aca="false">IF(BO6=②시니어_가정!$E$14,②시니어_가정!$R$404,0)</f>
        <v>0</v>
      </c>
      <c r="BP98" s="37" t="n">
        <f aca="false">IF(BP6=②시니어_가정!$E$14,②시니어_가정!$R$404,0)</f>
        <v>0</v>
      </c>
      <c r="BQ98" s="37" t="n">
        <f aca="false">IF(BQ6=②시니어_가정!$E$14,②시니어_가정!$R$404,0)</f>
        <v>0</v>
      </c>
      <c r="BR98" s="37" t="n">
        <f aca="false">IF(BR6=②시니어_가정!$E$14,②시니어_가정!$R$404,0)</f>
        <v>0</v>
      </c>
      <c r="BS98" s="37" t="n">
        <f aca="false">IF(BS6=②시니어_가정!$E$14,②시니어_가정!$R$404,0)</f>
        <v>0</v>
      </c>
      <c r="BT98" s="37" t="n">
        <f aca="false">IF(BT6=②시니어_가정!$E$14,②시니어_가정!$R$404,0)</f>
        <v>0</v>
      </c>
      <c r="BU98" s="37" t="n">
        <f aca="false">IF(BU6=②시니어_가정!$E$14,②시니어_가정!$R$404,0)</f>
        <v>0</v>
      </c>
      <c r="BV98" s="37" t="n">
        <f aca="false">IF(BV6=②시니어_가정!$E$14,②시니어_가정!$R$404,0)</f>
        <v>0</v>
      </c>
      <c r="BW98" s="37" t="n">
        <f aca="false">IF(BW6=②시니어_가정!$E$14,②시니어_가정!$R$404,0)</f>
        <v>0</v>
      </c>
      <c r="BX98" s="37" t="n">
        <f aca="false">IF(BX6=②시니어_가정!$E$14,②시니어_가정!$R$404,0)</f>
        <v>0</v>
      </c>
      <c r="BY98" s="37" t="n">
        <f aca="false">IF(BY6=②시니어_가정!$E$14,②시니어_가정!$R$404,0)</f>
        <v>0</v>
      </c>
      <c r="BZ98" s="37" t="n">
        <f aca="false">IF(BZ6=②시니어_가정!$E$14,②시니어_가정!$R$404,0)</f>
        <v>0</v>
      </c>
      <c r="CA98" s="37" t="n">
        <f aca="false">IF(CA6=②시니어_가정!$E$14,②시니어_가정!$R$404,0)</f>
        <v>0</v>
      </c>
      <c r="CB98" s="37" t="n">
        <f aca="false">IF(CB6=②시니어_가정!$E$14,②시니어_가정!$R$404,0)</f>
        <v>0</v>
      </c>
      <c r="CC98" s="37" t="n">
        <f aca="false">IF(CC6=②시니어_가정!$E$14,②시니어_가정!$R$404,0)</f>
        <v>0</v>
      </c>
      <c r="CD98" s="37" t="n">
        <f aca="false">IF(CD6=②시니어_가정!$E$14,②시니어_가정!$R$404,0)</f>
        <v>0</v>
      </c>
      <c r="CE98" s="37" t="n">
        <f aca="false">IF(CE6=②시니어_가정!$E$14,②시니어_가정!$R$404,0)</f>
        <v>0</v>
      </c>
      <c r="CF98" s="37" t="n">
        <f aca="false">IF(CF6=②시니어_가정!$E$14,②시니어_가정!$R$404,0)</f>
        <v>0</v>
      </c>
      <c r="CG98" s="37" t="n">
        <f aca="false">IF(CG6=②시니어_가정!$E$14,②시니어_가정!$R$404,0)</f>
        <v>0</v>
      </c>
      <c r="CH98" s="37" t="n">
        <f aca="false">IF(CH6=②시니어_가정!$E$14,②시니어_가정!$R$404,0)</f>
        <v>0</v>
      </c>
      <c r="CI98" s="37" t="n">
        <f aca="false">IF(CI6=②시니어_가정!$E$14,②시니어_가정!$R$404,0)</f>
        <v>0</v>
      </c>
      <c r="CJ98" s="37" t="n">
        <f aca="false">IF(CJ6=②시니어_가정!$E$14,②시니어_가정!$R$404,0)</f>
        <v>0</v>
      </c>
      <c r="CK98" s="37" t="n">
        <f aca="false">IF(CK6=②시니어_가정!$E$14,②시니어_가정!$R$404,0)</f>
        <v>0</v>
      </c>
      <c r="CL98" s="37" t="n">
        <f aca="false">IF(CL6=②시니어_가정!$E$14,②시니어_가정!$R$404,0)</f>
        <v>0</v>
      </c>
      <c r="CM98" s="37" t="n">
        <f aca="false">IF(CM6=②시니어_가정!$E$14,②시니어_가정!$R$404,0)</f>
        <v>0</v>
      </c>
      <c r="CN98" s="37" t="n">
        <f aca="false">IF(CN6=②시니어_가정!$E$14,②시니어_가정!$R$404,0)</f>
        <v>0</v>
      </c>
      <c r="CO98" s="37" t="n">
        <f aca="false">IF(CO6=②시니어_가정!$E$14,②시니어_가정!$R$404,0)</f>
        <v>0</v>
      </c>
      <c r="CP98" s="37" t="n">
        <f aca="false">IF(CP6=②시니어_가정!$E$14,②시니어_가정!$R$404,0)</f>
        <v>0</v>
      </c>
      <c r="CQ98" s="37" t="n">
        <f aca="false">IF(CQ6=②시니어_가정!$E$14,②시니어_가정!$R$404,0)</f>
        <v>0</v>
      </c>
      <c r="CR98" s="37" t="n">
        <f aca="false">IF(CR6=②시니어_가정!$E$14,②시니어_가정!$R$404,0)</f>
        <v>0</v>
      </c>
      <c r="CS98" s="37" t="n">
        <f aca="false">IF(CS6=②시니어_가정!$E$14,②시니어_가정!$R$404,0)</f>
        <v>0</v>
      </c>
      <c r="CT98" s="37" t="n">
        <f aca="false">IF(CT6=②시니어_가정!$E$14,②시니어_가정!$R$404,0)</f>
        <v>0</v>
      </c>
      <c r="CU98" s="37" t="n">
        <f aca="false">IF(CU6=②시니어_가정!$E$14,②시니어_가정!$R$404,0)</f>
        <v>0</v>
      </c>
      <c r="CV98" s="37" t="n">
        <f aca="false">IF(CV6=②시니어_가정!$E$14,②시니어_가정!$R$404,0)</f>
        <v>0</v>
      </c>
      <c r="CW98" s="37" t="n">
        <f aca="false">IF(CW6=②시니어_가정!$E$14,②시니어_가정!$R$404,0)</f>
        <v>0</v>
      </c>
      <c r="CX98" s="37" t="n">
        <f aca="false">IF(CX6=②시니어_가정!$E$14,②시니어_가정!$R$404,0)</f>
        <v>0</v>
      </c>
      <c r="CY98" s="37" t="n">
        <f aca="false">IF(CY6=②시니어_가정!$E$14,②시니어_가정!$R$404,0)</f>
        <v>0</v>
      </c>
      <c r="CZ98" s="37" t="n">
        <f aca="false">IF(CZ6=②시니어_가정!$E$14,②시니어_가정!$R$404,0)</f>
        <v>0</v>
      </c>
      <c r="DA98" s="37" t="n">
        <f aca="false">IF(DA6=②시니어_가정!$E$14,②시니어_가정!$R$404,0)</f>
        <v>0</v>
      </c>
      <c r="DB98" s="37" t="n">
        <f aca="false">IF(DB6=②시니어_가정!$E$14,②시니어_가정!$R$404,0)</f>
        <v>0</v>
      </c>
      <c r="DC98" s="37" t="n">
        <f aca="false">IF(DC6=②시니어_가정!$E$14,②시니어_가정!$R$404,0)</f>
        <v>0</v>
      </c>
      <c r="DD98" s="37" t="n">
        <f aca="false">IF(DD6=②시니어_가정!$E$14,②시니어_가정!$R$404,0)</f>
        <v>0</v>
      </c>
      <c r="DE98" s="37" t="n">
        <f aca="false">IF(DE6=②시니어_가정!$E$14,②시니어_가정!$R$404,0)</f>
        <v>0</v>
      </c>
      <c r="DF98" s="37" t="n">
        <f aca="false">IF(DF6=②시니어_가정!$E$14,②시니어_가정!$R$404,0)</f>
        <v>0</v>
      </c>
      <c r="DG98" s="37" t="n">
        <f aca="false">IF(DG6=②시니어_가정!$E$14,②시니어_가정!$R$404,0)</f>
        <v>0</v>
      </c>
      <c r="DH98" s="37" t="n">
        <f aca="false">IF(DH6=②시니어_가정!$E$14,②시니어_가정!$R$404,0)</f>
        <v>0</v>
      </c>
      <c r="DI98" s="37" t="n">
        <f aca="false">IF(DI6=②시니어_가정!$E$14,②시니어_가정!$R$404,0)</f>
        <v>0</v>
      </c>
      <c r="DJ98" s="37" t="n">
        <f aca="false">IF(DJ6=②시니어_가정!$E$14,②시니어_가정!$R$404,0)</f>
        <v>0</v>
      </c>
      <c r="DK98" s="37" t="n">
        <f aca="false">IF(DK6=②시니어_가정!$E$14,②시니어_가정!$R$404,0)</f>
        <v>0</v>
      </c>
      <c r="DL98" s="37" t="n">
        <f aca="false">IF(DL6=②시니어_가정!$E$14,②시니어_가정!$R$404,0)</f>
        <v>0</v>
      </c>
      <c r="DM98" s="37" t="n">
        <f aca="false">IF(DM6=②시니어_가정!$E$14,②시니어_가정!$R$404,0)</f>
        <v>0</v>
      </c>
      <c r="DN98" s="37" t="n">
        <f aca="false">IF(DN6=②시니어_가정!$E$14,②시니어_가정!$R$404,0)</f>
        <v>0</v>
      </c>
      <c r="DO98" s="37" t="n">
        <f aca="false">IF(DO6=②시니어_가정!$E$14,②시니어_가정!$R$404,0)</f>
        <v>0</v>
      </c>
      <c r="DP98" s="37" t="n">
        <f aca="false">IF(DP6=②시니어_가정!$E$14,②시니어_가정!$R$404,0)</f>
        <v>0</v>
      </c>
      <c r="DQ98" s="37" t="n">
        <f aca="false">IF(DQ6=②시니어_가정!$E$14,②시니어_가정!$R$404,0)</f>
        <v>0</v>
      </c>
      <c r="DR98" s="37" t="n">
        <f aca="false">IF(DR6=②시니어_가정!$E$14,②시니어_가정!$R$404,0)</f>
        <v>0</v>
      </c>
      <c r="DS98" s="37" t="n">
        <f aca="false">IF(DS6=②시니어_가정!$E$14,②시니어_가정!$R$404,0)</f>
        <v>0</v>
      </c>
      <c r="DT98" s="37" t="n">
        <f aca="false">IF(DT6=②시니어_가정!$E$14,②시니어_가정!$R$404,0)</f>
        <v>0</v>
      </c>
      <c r="DU98" s="37" t="n">
        <f aca="false">IF(DU6=②시니어_가정!$E$14,②시니어_가정!$R$404,0)</f>
        <v>0</v>
      </c>
      <c r="DV98" s="37" t="n">
        <f aca="false">IF(DV6=②시니어_가정!$E$14,②시니어_가정!$R$404,0)</f>
        <v>0</v>
      </c>
      <c r="DW98" s="37" t="n">
        <f aca="false">IF(DW6=②시니어_가정!$E$14,②시니어_가정!$R$404,0)</f>
        <v>0</v>
      </c>
      <c r="DX98" s="37" t="n">
        <f aca="false">IF(DX6=②시니어_가정!$E$14,②시니어_가정!$R$404,0)</f>
        <v>0</v>
      </c>
      <c r="DY98" s="37" t="n">
        <f aca="false">IF(DY6=②시니어_가정!$E$14,②시니어_가정!$R$404,0)</f>
        <v>0</v>
      </c>
      <c r="DZ98" s="37" t="n">
        <f aca="false">IF(DZ6=②시니어_가정!$E$14,②시니어_가정!$R$404,0)</f>
        <v>0</v>
      </c>
      <c r="EA98" s="37" t="n">
        <f aca="false">IF(EA6=②시니어_가정!$E$14,②시니어_가정!$R$404,0)</f>
        <v>0</v>
      </c>
      <c r="EB98" s="37" t="n">
        <f aca="false">IF(EB6=②시니어_가정!$E$14,②시니어_가정!$R$404,0)</f>
        <v>0</v>
      </c>
      <c r="EC98" s="37" t="n">
        <f aca="false">IF(EC6=②시니어_가정!$E$14,②시니어_가정!$R$404,0)</f>
        <v>0</v>
      </c>
      <c r="ED98" s="37" t="n">
        <f aca="false">IF(ED6=②시니어_가정!$E$14,②시니어_가정!$R$404,0)</f>
        <v>0</v>
      </c>
      <c r="EE98" s="37" t="n">
        <f aca="false">IF(EE6=②시니어_가정!$E$14,②시니어_가정!$R$404,0)</f>
        <v>0</v>
      </c>
      <c r="EF98" s="37" t="n">
        <f aca="false">IF(EF6=②시니어_가정!$E$14,②시니어_가정!$R$404,0)</f>
        <v>0</v>
      </c>
    </row>
    <row r="99" customFormat="false" ht="15" hidden="false" customHeight="false" outlineLevel="0" collapsed="false">
      <c r="A99" s="36" t="s">
        <v>639</v>
      </c>
      <c r="B99" s="278" t="s">
        <v>21</v>
      </c>
      <c r="C99" s="279" t="n">
        <f aca="false">SUM(E99:EF99)</f>
        <v>5967.5</v>
      </c>
      <c r="E99" s="37" t="n">
        <f aca="false">E10*(②시니어_가정!$R$403+②시니어_가정!$R$405+②시니어_가정!$R$406+②시니어_가정!$R$407+②시니어_가정!$R$408)/(②시니어_가정!$E$25*12)</f>
        <v>99.4583333333333</v>
      </c>
      <c r="F99" s="37" t="n">
        <f aca="false">F10*(②시니어_가정!$R$403+②시니어_가정!$R$405+②시니어_가정!$R$406+②시니어_가정!$R$407+②시니어_가정!$R$408)/(②시니어_가정!$E$25*12)</f>
        <v>99.4583333333333</v>
      </c>
      <c r="G99" s="37" t="n">
        <f aca="false">G10*(②시니어_가정!$R$403+②시니어_가정!$R$405+②시니어_가정!$R$406+②시니어_가정!$R$407+②시니어_가정!$R$408)/(②시니어_가정!$E$25*12)</f>
        <v>99.4583333333333</v>
      </c>
      <c r="H99" s="37" t="n">
        <f aca="false">H10*(②시니어_가정!$R$403+②시니어_가정!$R$405+②시니어_가정!$R$406+②시니어_가정!$R$407+②시니어_가정!$R$408)/(②시니어_가정!$E$25*12)</f>
        <v>99.4583333333333</v>
      </c>
      <c r="I99" s="37" t="n">
        <f aca="false">I10*(②시니어_가정!$R$403+②시니어_가정!$R$405+②시니어_가정!$R$406+②시니어_가정!$R$407+②시니어_가정!$R$408)/(②시니어_가정!$E$25*12)</f>
        <v>99.4583333333333</v>
      </c>
      <c r="J99" s="37" t="n">
        <f aca="false">J10*(②시니어_가정!$R$403+②시니어_가정!$R$405+②시니어_가정!$R$406+②시니어_가정!$R$407+②시니어_가정!$R$408)/(②시니어_가정!$E$25*12)</f>
        <v>99.4583333333333</v>
      </c>
      <c r="K99" s="37" t="n">
        <f aca="false">K10*(②시니어_가정!$R$403+②시니어_가정!$R$405+②시니어_가정!$R$406+②시니어_가정!$R$407+②시니어_가정!$R$408)/(②시니어_가정!$E$25*12)</f>
        <v>99.4583333333333</v>
      </c>
      <c r="L99" s="37" t="n">
        <f aca="false">L10*(②시니어_가정!$R$403+②시니어_가정!$R$405+②시니어_가정!$R$406+②시니어_가정!$R$407+②시니어_가정!$R$408)/(②시니어_가정!$E$25*12)</f>
        <v>99.4583333333333</v>
      </c>
      <c r="M99" s="37" t="n">
        <f aca="false">M10*(②시니어_가정!$R$403+②시니어_가정!$R$405+②시니어_가정!$R$406+②시니어_가정!$R$407+②시니어_가정!$R$408)/(②시니어_가정!$E$25*12)</f>
        <v>99.4583333333333</v>
      </c>
      <c r="N99" s="37" t="n">
        <f aca="false">N10*(②시니어_가정!$R$403+②시니어_가정!$R$405+②시니어_가정!$R$406+②시니어_가정!$R$407+②시니어_가정!$R$408)/(②시니어_가정!$E$25*12)</f>
        <v>99.4583333333333</v>
      </c>
      <c r="O99" s="37" t="n">
        <f aca="false">O10*(②시니어_가정!$R$403+②시니어_가정!$R$405+②시니어_가정!$R$406+②시니어_가정!$R$407+②시니어_가정!$R$408)/(②시니어_가정!$E$25*12)</f>
        <v>99.4583333333333</v>
      </c>
      <c r="P99" s="37" t="n">
        <f aca="false">P10*(②시니어_가정!$R$403+②시니어_가정!$R$405+②시니어_가정!$R$406+②시니어_가정!$R$407+②시니어_가정!$R$408)/(②시니어_가정!$E$25*12)</f>
        <v>99.4583333333333</v>
      </c>
      <c r="Q99" s="37" t="n">
        <f aca="false">Q10*(②시니어_가정!$R$403+②시니어_가정!$R$405+②시니어_가정!$R$406+②시니어_가정!$R$407+②시니어_가정!$R$408)/(②시니어_가정!$E$25*12)</f>
        <v>99.4583333333333</v>
      </c>
      <c r="R99" s="37" t="n">
        <f aca="false">R10*(②시니어_가정!$R$403+②시니어_가정!$R$405+②시니어_가정!$R$406+②시니어_가정!$R$407+②시니어_가정!$R$408)/(②시니어_가정!$E$25*12)</f>
        <v>99.4583333333333</v>
      </c>
      <c r="S99" s="37" t="n">
        <f aca="false">S10*(②시니어_가정!$R$403+②시니어_가정!$R$405+②시니어_가정!$R$406+②시니어_가정!$R$407+②시니어_가정!$R$408)/(②시니어_가정!$E$25*12)</f>
        <v>99.4583333333333</v>
      </c>
      <c r="T99" s="37" t="n">
        <f aca="false">T10*(②시니어_가정!$R$403+②시니어_가정!$R$405+②시니어_가정!$R$406+②시니어_가정!$R$407+②시니어_가정!$R$408)/(②시니어_가정!$E$25*12)</f>
        <v>99.4583333333333</v>
      </c>
      <c r="U99" s="37" t="n">
        <f aca="false">U10*(②시니어_가정!$R$403+②시니어_가정!$R$405+②시니어_가정!$R$406+②시니어_가정!$R$407+②시니어_가정!$R$408)/(②시니어_가정!$E$25*12)</f>
        <v>99.4583333333333</v>
      </c>
      <c r="V99" s="37" t="n">
        <f aca="false">V10*(②시니어_가정!$R$403+②시니어_가정!$R$405+②시니어_가정!$R$406+②시니어_가정!$R$407+②시니어_가정!$R$408)/(②시니어_가정!$E$25*12)</f>
        <v>99.4583333333333</v>
      </c>
      <c r="W99" s="37" t="n">
        <f aca="false">W10*(②시니어_가정!$R$403+②시니어_가정!$R$405+②시니어_가정!$R$406+②시니어_가정!$R$407+②시니어_가정!$R$408)/(②시니어_가정!$E$25*12)</f>
        <v>99.4583333333333</v>
      </c>
      <c r="X99" s="37" t="n">
        <f aca="false">X10*(②시니어_가정!$R$403+②시니어_가정!$R$405+②시니어_가정!$R$406+②시니어_가정!$R$407+②시니어_가정!$R$408)/(②시니어_가정!$E$25*12)</f>
        <v>99.4583333333333</v>
      </c>
      <c r="Y99" s="37" t="n">
        <f aca="false">Y10*(②시니어_가정!$R$403+②시니어_가정!$R$405+②시니어_가정!$R$406+②시니어_가정!$R$407+②시니어_가정!$R$408)/(②시니어_가정!$E$25*12)</f>
        <v>99.4583333333333</v>
      </c>
      <c r="Z99" s="37" t="n">
        <f aca="false">Z10*(②시니어_가정!$R$403+②시니어_가정!$R$405+②시니어_가정!$R$406+②시니어_가정!$R$407+②시니어_가정!$R$408)/(②시니어_가정!$E$25*12)</f>
        <v>99.4583333333333</v>
      </c>
      <c r="AA99" s="37" t="n">
        <f aca="false">AA10*(②시니어_가정!$R$403+②시니어_가정!$R$405+②시니어_가정!$R$406+②시니어_가정!$R$407+②시니어_가정!$R$408)/(②시니어_가정!$E$25*12)</f>
        <v>99.4583333333333</v>
      </c>
      <c r="AB99" s="37" t="n">
        <f aca="false">AB10*(②시니어_가정!$R$403+②시니어_가정!$R$405+②시니어_가정!$R$406+②시니어_가정!$R$407+②시니어_가정!$R$408)/(②시니어_가정!$E$25*12)</f>
        <v>99.4583333333333</v>
      </c>
      <c r="AC99" s="37" t="n">
        <f aca="false">AC10*(②시니어_가정!$R$403+②시니어_가정!$R$405+②시니어_가정!$R$406+②시니어_가정!$R$407+②시니어_가정!$R$408)/(②시니어_가정!$E$25*12)</f>
        <v>99.4583333333333</v>
      </c>
      <c r="AD99" s="37" t="n">
        <f aca="false">AD10*(②시니어_가정!$R$403+②시니어_가정!$R$405+②시니어_가정!$R$406+②시니어_가정!$R$407+②시니어_가정!$R$408)/(②시니어_가정!$E$25*12)</f>
        <v>99.4583333333333</v>
      </c>
      <c r="AE99" s="37" t="n">
        <f aca="false">AE10*(②시니어_가정!$R$403+②시니어_가정!$R$405+②시니어_가정!$R$406+②시니어_가정!$R$407+②시니어_가정!$R$408)/(②시니어_가정!$E$25*12)</f>
        <v>99.4583333333333</v>
      </c>
      <c r="AF99" s="37" t="n">
        <f aca="false">AF10*(②시니어_가정!$R$403+②시니어_가정!$R$405+②시니어_가정!$R$406+②시니어_가정!$R$407+②시니어_가정!$R$408)/(②시니어_가정!$E$25*12)</f>
        <v>99.4583333333333</v>
      </c>
      <c r="AG99" s="37" t="n">
        <f aca="false">AG10*(②시니어_가정!$R$403+②시니어_가정!$R$405+②시니어_가정!$R$406+②시니어_가정!$R$407+②시니어_가정!$R$408)/(②시니어_가정!$E$25*12)</f>
        <v>99.4583333333333</v>
      </c>
      <c r="AH99" s="37" t="n">
        <f aca="false">AH10*(②시니어_가정!$R$403+②시니어_가정!$R$405+②시니어_가정!$R$406+②시니어_가정!$R$407+②시니어_가정!$R$408)/(②시니어_가정!$E$25*12)</f>
        <v>99.4583333333333</v>
      </c>
      <c r="AI99" s="37" t="n">
        <f aca="false">AI10*(②시니어_가정!$R$403+②시니어_가정!$R$405+②시니어_가정!$R$406+②시니어_가정!$R$407+②시니어_가정!$R$408)/(②시니어_가정!$E$25*12)</f>
        <v>99.4583333333333</v>
      </c>
      <c r="AJ99" s="37" t="n">
        <f aca="false">AJ10*(②시니어_가정!$R$403+②시니어_가정!$R$405+②시니어_가정!$R$406+②시니어_가정!$R$407+②시니어_가정!$R$408)/(②시니어_가정!$E$25*12)</f>
        <v>99.4583333333333</v>
      </c>
      <c r="AK99" s="37" t="n">
        <f aca="false">AK10*(②시니어_가정!$R$403+②시니어_가정!$R$405+②시니어_가정!$R$406+②시니어_가정!$R$407+②시니어_가정!$R$408)/(②시니어_가정!$E$25*12)</f>
        <v>99.4583333333333</v>
      </c>
      <c r="AL99" s="37" t="n">
        <f aca="false">AL10*(②시니어_가정!$R$403+②시니어_가정!$R$405+②시니어_가정!$R$406+②시니어_가정!$R$407+②시니어_가정!$R$408)/(②시니어_가정!$E$25*12)</f>
        <v>99.4583333333333</v>
      </c>
      <c r="AM99" s="37" t="n">
        <f aca="false">AM10*(②시니어_가정!$R$403+②시니어_가정!$R$405+②시니어_가정!$R$406+②시니어_가정!$R$407+②시니어_가정!$R$408)/(②시니어_가정!$E$25*12)</f>
        <v>99.4583333333333</v>
      </c>
      <c r="AN99" s="37" t="n">
        <f aca="false">AN10*(②시니어_가정!$R$403+②시니어_가정!$R$405+②시니어_가정!$R$406+②시니어_가정!$R$407+②시니어_가정!$R$408)/(②시니어_가정!$E$25*12)</f>
        <v>99.4583333333333</v>
      </c>
      <c r="AO99" s="37" t="n">
        <f aca="false">AO10*(②시니어_가정!$R$403+②시니어_가정!$R$405+②시니어_가정!$R$406+②시니어_가정!$R$407+②시니어_가정!$R$408)/(②시니어_가정!$E$25*12)</f>
        <v>99.4583333333333</v>
      </c>
      <c r="AP99" s="37" t="n">
        <f aca="false">AP10*(②시니어_가정!$R$403+②시니어_가정!$R$405+②시니어_가정!$R$406+②시니어_가정!$R$407+②시니어_가정!$R$408)/(②시니어_가정!$E$25*12)</f>
        <v>99.4583333333333</v>
      </c>
      <c r="AQ99" s="37" t="n">
        <f aca="false">AQ10*(②시니어_가정!$R$403+②시니어_가정!$R$405+②시니어_가정!$R$406+②시니어_가정!$R$407+②시니어_가정!$R$408)/(②시니어_가정!$E$25*12)</f>
        <v>99.4583333333333</v>
      </c>
      <c r="AR99" s="37" t="n">
        <f aca="false">AR10*(②시니어_가정!$R$403+②시니어_가정!$R$405+②시니어_가정!$R$406+②시니어_가정!$R$407+②시니어_가정!$R$408)/(②시니어_가정!$E$25*12)</f>
        <v>99.4583333333333</v>
      </c>
      <c r="AS99" s="37" t="n">
        <f aca="false">AS10*(②시니어_가정!$R$403+②시니어_가정!$R$405+②시니어_가정!$R$406+②시니어_가정!$R$407+②시니어_가정!$R$408)/(②시니어_가정!$E$25*12)</f>
        <v>99.4583333333333</v>
      </c>
      <c r="AT99" s="37" t="n">
        <f aca="false">AT10*(②시니어_가정!$R$403+②시니어_가정!$R$405+②시니어_가정!$R$406+②시니어_가정!$R$407+②시니어_가정!$R$408)/(②시니어_가정!$E$25*12)</f>
        <v>99.4583333333333</v>
      </c>
      <c r="AU99" s="37" t="n">
        <f aca="false">AU10*(②시니어_가정!$R$403+②시니어_가정!$R$405+②시니어_가정!$R$406+②시니어_가정!$R$407+②시니어_가정!$R$408)/(②시니어_가정!$E$25*12)</f>
        <v>99.4583333333333</v>
      </c>
      <c r="AV99" s="37" t="n">
        <f aca="false">AV10*(②시니어_가정!$R$403+②시니어_가정!$R$405+②시니어_가정!$R$406+②시니어_가정!$R$407+②시니어_가정!$R$408)/(②시니어_가정!$E$25*12)</f>
        <v>99.4583333333333</v>
      </c>
      <c r="AW99" s="37" t="n">
        <f aca="false">AW10*(②시니어_가정!$R$403+②시니어_가정!$R$405+②시니어_가정!$R$406+②시니어_가정!$R$407+②시니어_가정!$R$408)/(②시니어_가정!$E$25*12)</f>
        <v>99.4583333333333</v>
      </c>
      <c r="AX99" s="37" t="n">
        <f aca="false">AX10*(②시니어_가정!$R$403+②시니어_가정!$R$405+②시니어_가정!$R$406+②시니어_가정!$R$407+②시니어_가정!$R$408)/(②시니어_가정!$E$25*12)</f>
        <v>99.4583333333333</v>
      </c>
      <c r="AY99" s="37" t="n">
        <f aca="false">AY10*(②시니어_가정!$R$403+②시니어_가정!$R$405+②시니어_가정!$R$406+②시니어_가정!$R$407+②시니어_가정!$R$408)/(②시니어_가정!$E$25*12)</f>
        <v>99.4583333333333</v>
      </c>
      <c r="AZ99" s="37" t="n">
        <f aca="false">AZ10*(②시니어_가정!$R$403+②시니어_가정!$R$405+②시니어_가정!$R$406+②시니어_가정!$R$407+②시니어_가정!$R$408)/(②시니어_가정!$E$25*12)</f>
        <v>99.4583333333333</v>
      </c>
      <c r="BA99" s="37" t="n">
        <f aca="false">BA10*(②시니어_가정!$R$403+②시니어_가정!$R$405+②시니어_가정!$R$406+②시니어_가정!$R$407+②시니어_가정!$R$408)/(②시니어_가정!$E$25*12)</f>
        <v>99.4583333333333</v>
      </c>
      <c r="BB99" s="37" t="n">
        <f aca="false">BB10*(②시니어_가정!$R$403+②시니어_가정!$R$405+②시니어_가정!$R$406+②시니어_가정!$R$407+②시니어_가정!$R$408)/(②시니어_가정!$E$25*12)</f>
        <v>99.4583333333333</v>
      </c>
      <c r="BC99" s="37" t="n">
        <f aca="false">BC10*(②시니어_가정!$R$403+②시니어_가정!$R$405+②시니어_가정!$R$406+②시니어_가정!$R$407+②시니어_가정!$R$408)/(②시니어_가정!$E$25*12)</f>
        <v>99.4583333333333</v>
      </c>
      <c r="BD99" s="37" t="n">
        <f aca="false">BD10*(②시니어_가정!$R$403+②시니어_가정!$R$405+②시니어_가정!$R$406+②시니어_가정!$R$407+②시니어_가정!$R$408)/(②시니어_가정!$E$25*12)</f>
        <v>99.4583333333333</v>
      </c>
      <c r="BE99" s="37" t="n">
        <f aca="false">BE10*(②시니어_가정!$R$403+②시니어_가정!$R$405+②시니어_가정!$R$406+②시니어_가정!$R$407+②시니어_가정!$R$408)/(②시니어_가정!$E$25*12)</f>
        <v>99.4583333333333</v>
      </c>
      <c r="BF99" s="37" t="n">
        <f aca="false">BF10*(②시니어_가정!$R$403+②시니어_가정!$R$405+②시니어_가정!$R$406+②시니어_가정!$R$407+②시니어_가정!$R$408)/(②시니어_가정!$E$25*12)</f>
        <v>99.4583333333333</v>
      </c>
      <c r="BG99" s="37" t="n">
        <f aca="false">BG10*(②시니어_가정!$R$403+②시니어_가정!$R$405+②시니어_가정!$R$406+②시니어_가정!$R$407+②시니어_가정!$R$408)/(②시니어_가정!$E$25*12)</f>
        <v>99.4583333333333</v>
      </c>
      <c r="BH99" s="37" t="n">
        <f aca="false">BH10*(②시니어_가정!$R$403+②시니어_가정!$R$405+②시니어_가정!$R$406+②시니어_가정!$R$407+②시니어_가정!$R$408)/(②시니어_가정!$E$25*12)</f>
        <v>99.4583333333333</v>
      </c>
      <c r="BI99" s="37" t="n">
        <f aca="false">BI10*(②시니어_가정!$R$403+②시니어_가정!$R$405+②시니어_가정!$R$406+②시니어_가정!$R$407+②시니어_가정!$R$408)/(②시니어_가정!$E$25*12)</f>
        <v>99.4583333333333</v>
      </c>
      <c r="BJ99" s="37" t="n">
        <f aca="false">BJ10*(②시니어_가정!$R$403+②시니어_가정!$R$405+②시니어_가정!$R$406+②시니어_가정!$R$407+②시니어_가정!$R$408)/(②시니어_가정!$E$25*12)</f>
        <v>99.4583333333333</v>
      </c>
      <c r="BK99" s="37" t="n">
        <f aca="false">BK10*(②시니어_가정!$R$403+②시니어_가정!$R$405+②시니어_가정!$R$406+②시니어_가정!$R$407+②시니어_가정!$R$408)/(②시니어_가정!$E$25*12)</f>
        <v>99.4583333333333</v>
      </c>
      <c r="BL99" s="37" t="n">
        <f aca="false">BL10*(②시니어_가정!$R$403+②시니어_가정!$R$405+②시니어_가정!$R$406+②시니어_가정!$R$407+②시니어_가정!$R$408)/(②시니어_가정!$E$25*12)</f>
        <v>99.4583333333333</v>
      </c>
      <c r="BM99" s="37" t="n">
        <f aca="false">BM10*(②시니어_가정!$R$403+②시니어_가정!$R$405+②시니어_가정!$R$406+②시니어_가정!$R$407+②시니어_가정!$R$408)/(②시니어_가정!$E$25*12)</f>
        <v>0</v>
      </c>
      <c r="BN99" s="37" t="n">
        <f aca="false">BN10*(②시니어_가정!$R$403+②시니어_가정!$R$405+②시니어_가정!$R$406+②시니어_가정!$R$407+②시니어_가정!$R$408)/(②시니어_가정!$E$25*12)</f>
        <v>0</v>
      </c>
      <c r="BO99" s="37" t="n">
        <f aca="false">BO10*(②시니어_가정!$R$403+②시니어_가정!$R$405+②시니어_가정!$R$406+②시니어_가정!$R$407+②시니어_가정!$R$408)/(②시니어_가정!$E$25*12)</f>
        <v>0</v>
      </c>
      <c r="BP99" s="37" t="n">
        <f aca="false">BP10*(②시니어_가정!$R$403+②시니어_가정!$R$405+②시니어_가정!$R$406+②시니어_가정!$R$407+②시니어_가정!$R$408)/(②시니어_가정!$E$25*12)</f>
        <v>0</v>
      </c>
      <c r="BQ99" s="37" t="n">
        <f aca="false">BQ10*(②시니어_가정!$R$403+②시니어_가정!$R$405+②시니어_가정!$R$406+②시니어_가정!$R$407+②시니어_가정!$R$408)/(②시니어_가정!$E$25*12)</f>
        <v>0</v>
      </c>
      <c r="BR99" s="37" t="n">
        <f aca="false">BR10*(②시니어_가정!$R$403+②시니어_가정!$R$405+②시니어_가정!$R$406+②시니어_가정!$R$407+②시니어_가정!$R$408)/(②시니어_가정!$E$25*12)</f>
        <v>0</v>
      </c>
      <c r="BS99" s="37" t="n">
        <f aca="false">BS10*(②시니어_가정!$R$403+②시니어_가정!$R$405+②시니어_가정!$R$406+②시니어_가정!$R$407+②시니어_가정!$R$408)/(②시니어_가정!$E$25*12)</f>
        <v>0</v>
      </c>
      <c r="BT99" s="37" t="n">
        <f aca="false">BT10*(②시니어_가정!$R$403+②시니어_가정!$R$405+②시니어_가정!$R$406+②시니어_가정!$R$407+②시니어_가정!$R$408)/(②시니어_가정!$E$25*12)</f>
        <v>0</v>
      </c>
      <c r="BU99" s="37" t="n">
        <f aca="false">BU10*(②시니어_가정!$R$403+②시니어_가정!$R$405+②시니어_가정!$R$406+②시니어_가정!$R$407+②시니어_가정!$R$408)/(②시니어_가정!$E$25*12)</f>
        <v>0</v>
      </c>
      <c r="BV99" s="37" t="n">
        <f aca="false">BV10*(②시니어_가정!$R$403+②시니어_가정!$R$405+②시니어_가정!$R$406+②시니어_가정!$R$407+②시니어_가정!$R$408)/(②시니어_가정!$E$25*12)</f>
        <v>0</v>
      </c>
      <c r="BW99" s="37" t="n">
        <f aca="false">BW10*(②시니어_가정!$R$403+②시니어_가정!$R$405+②시니어_가정!$R$406+②시니어_가정!$R$407+②시니어_가정!$R$408)/(②시니어_가정!$E$25*12)</f>
        <v>0</v>
      </c>
      <c r="BX99" s="37" t="n">
        <f aca="false">BX10*(②시니어_가정!$R$403+②시니어_가정!$R$405+②시니어_가정!$R$406+②시니어_가정!$R$407+②시니어_가정!$R$408)/(②시니어_가정!$E$25*12)</f>
        <v>0</v>
      </c>
      <c r="BY99" s="37" t="n">
        <f aca="false">BY10*(②시니어_가정!$R$403+②시니어_가정!$R$405+②시니어_가정!$R$406+②시니어_가정!$R$407+②시니어_가정!$R$408)/(②시니어_가정!$E$25*12)</f>
        <v>0</v>
      </c>
      <c r="BZ99" s="37" t="n">
        <f aca="false">BZ10*(②시니어_가정!$R$403+②시니어_가정!$R$405+②시니어_가정!$R$406+②시니어_가정!$R$407+②시니어_가정!$R$408)/(②시니어_가정!$E$25*12)</f>
        <v>0</v>
      </c>
      <c r="CA99" s="37" t="n">
        <f aca="false">CA10*(②시니어_가정!$R$403+②시니어_가정!$R$405+②시니어_가정!$R$406+②시니어_가정!$R$407+②시니어_가정!$R$408)/(②시니어_가정!$E$25*12)</f>
        <v>0</v>
      </c>
      <c r="CB99" s="37" t="n">
        <f aca="false">CB10*(②시니어_가정!$R$403+②시니어_가정!$R$405+②시니어_가정!$R$406+②시니어_가정!$R$407+②시니어_가정!$R$408)/(②시니어_가정!$E$25*12)</f>
        <v>0</v>
      </c>
      <c r="CC99" s="37" t="n">
        <f aca="false">CC10*(②시니어_가정!$R$403+②시니어_가정!$R$405+②시니어_가정!$R$406+②시니어_가정!$R$407+②시니어_가정!$R$408)/(②시니어_가정!$E$25*12)</f>
        <v>0</v>
      </c>
      <c r="CD99" s="37" t="n">
        <f aca="false">CD10*(②시니어_가정!$R$403+②시니어_가정!$R$405+②시니어_가정!$R$406+②시니어_가정!$R$407+②시니어_가정!$R$408)/(②시니어_가정!$E$25*12)</f>
        <v>0</v>
      </c>
      <c r="CE99" s="37" t="n">
        <f aca="false">CE10*(②시니어_가정!$R$403+②시니어_가정!$R$405+②시니어_가정!$R$406+②시니어_가정!$R$407+②시니어_가정!$R$408)/(②시니어_가정!$E$25*12)</f>
        <v>0</v>
      </c>
      <c r="CF99" s="37" t="n">
        <f aca="false">CF10*(②시니어_가정!$R$403+②시니어_가정!$R$405+②시니어_가정!$R$406+②시니어_가정!$R$407+②시니어_가정!$R$408)/(②시니어_가정!$E$25*12)</f>
        <v>0</v>
      </c>
      <c r="CG99" s="37" t="n">
        <f aca="false">CG10*(②시니어_가정!$R$403+②시니어_가정!$R$405+②시니어_가정!$R$406+②시니어_가정!$R$407+②시니어_가정!$R$408)/(②시니어_가정!$E$25*12)</f>
        <v>0</v>
      </c>
      <c r="CH99" s="37" t="n">
        <f aca="false">CH10*(②시니어_가정!$R$403+②시니어_가정!$R$405+②시니어_가정!$R$406+②시니어_가정!$R$407+②시니어_가정!$R$408)/(②시니어_가정!$E$25*12)</f>
        <v>0</v>
      </c>
      <c r="CI99" s="37" t="n">
        <f aca="false">CI10*(②시니어_가정!$R$403+②시니어_가정!$R$405+②시니어_가정!$R$406+②시니어_가정!$R$407+②시니어_가정!$R$408)/(②시니어_가정!$E$25*12)</f>
        <v>0</v>
      </c>
      <c r="CJ99" s="37" t="n">
        <f aca="false">CJ10*(②시니어_가정!$R$403+②시니어_가정!$R$405+②시니어_가정!$R$406+②시니어_가정!$R$407+②시니어_가정!$R$408)/(②시니어_가정!$E$25*12)</f>
        <v>0</v>
      </c>
      <c r="CK99" s="37" t="n">
        <f aca="false">CK10*(②시니어_가정!$R$403+②시니어_가정!$R$405+②시니어_가정!$R$406+②시니어_가정!$R$407+②시니어_가정!$R$408)/(②시니어_가정!$E$25*12)</f>
        <v>0</v>
      </c>
      <c r="CL99" s="37" t="n">
        <f aca="false">CL10*(②시니어_가정!$R$403+②시니어_가정!$R$405+②시니어_가정!$R$406+②시니어_가정!$R$407+②시니어_가정!$R$408)/(②시니어_가정!$E$25*12)</f>
        <v>0</v>
      </c>
      <c r="CM99" s="37" t="n">
        <f aca="false">CM10*(②시니어_가정!$R$403+②시니어_가정!$R$405+②시니어_가정!$R$406+②시니어_가정!$R$407+②시니어_가정!$R$408)/(②시니어_가정!$E$25*12)</f>
        <v>0</v>
      </c>
      <c r="CN99" s="37" t="n">
        <f aca="false">CN10*(②시니어_가정!$R$403+②시니어_가정!$R$405+②시니어_가정!$R$406+②시니어_가정!$R$407+②시니어_가정!$R$408)/(②시니어_가정!$E$25*12)</f>
        <v>0</v>
      </c>
      <c r="CO99" s="37" t="n">
        <f aca="false">CO10*(②시니어_가정!$R$403+②시니어_가정!$R$405+②시니어_가정!$R$406+②시니어_가정!$R$407+②시니어_가정!$R$408)/(②시니어_가정!$E$25*12)</f>
        <v>0</v>
      </c>
      <c r="CP99" s="37" t="n">
        <f aca="false">CP10*(②시니어_가정!$R$403+②시니어_가정!$R$405+②시니어_가정!$R$406+②시니어_가정!$R$407+②시니어_가정!$R$408)/(②시니어_가정!$E$25*12)</f>
        <v>0</v>
      </c>
      <c r="CQ99" s="37" t="n">
        <f aca="false">CQ10*(②시니어_가정!$R$403+②시니어_가정!$R$405+②시니어_가정!$R$406+②시니어_가정!$R$407+②시니어_가정!$R$408)/(②시니어_가정!$E$25*12)</f>
        <v>0</v>
      </c>
      <c r="CR99" s="37" t="n">
        <f aca="false">CR10*(②시니어_가정!$R$403+②시니어_가정!$R$405+②시니어_가정!$R$406+②시니어_가정!$R$407+②시니어_가정!$R$408)/(②시니어_가정!$E$25*12)</f>
        <v>0</v>
      </c>
      <c r="CS99" s="37" t="n">
        <f aca="false">CS10*(②시니어_가정!$R$403+②시니어_가정!$R$405+②시니어_가정!$R$406+②시니어_가정!$R$407+②시니어_가정!$R$408)/(②시니어_가정!$E$25*12)</f>
        <v>0</v>
      </c>
      <c r="CT99" s="37" t="n">
        <f aca="false">CT10*(②시니어_가정!$R$403+②시니어_가정!$R$405+②시니어_가정!$R$406+②시니어_가정!$R$407+②시니어_가정!$R$408)/(②시니어_가정!$E$25*12)</f>
        <v>0</v>
      </c>
      <c r="CU99" s="37" t="n">
        <f aca="false">CU10*(②시니어_가정!$R$403+②시니어_가정!$R$405+②시니어_가정!$R$406+②시니어_가정!$R$407+②시니어_가정!$R$408)/(②시니어_가정!$E$25*12)</f>
        <v>0</v>
      </c>
      <c r="CV99" s="37" t="n">
        <f aca="false">CV10*(②시니어_가정!$R$403+②시니어_가정!$R$405+②시니어_가정!$R$406+②시니어_가정!$R$407+②시니어_가정!$R$408)/(②시니어_가정!$E$25*12)</f>
        <v>0</v>
      </c>
      <c r="CW99" s="37" t="n">
        <f aca="false">CW10*(②시니어_가정!$R$403+②시니어_가정!$R$405+②시니어_가정!$R$406+②시니어_가정!$R$407+②시니어_가정!$R$408)/(②시니어_가정!$E$25*12)</f>
        <v>0</v>
      </c>
      <c r="CX99" s="37" t="n">
        <f aca="false">CX10*(②시니어_가정!$R$403+②시니어_가정!$R$405+②시니어_가정!$R$406+②시니어_가정!$R$407+②시니어_가정!$R$408)/(②시니어_가정!$E$25*12)</f>
        <v>0</v>
      </c>
      <c r="CY99" s="37" t="n">
        <f aca="false">CY10*(②시니어_가정!$R$403+②시니어_가정!$R$405+②시니어_가정!$R$406+②시니어_가정!$R$407+②시니어_가정!$R$408)/(②시니어_가정!$E$25*12)</f>
        <v>0</v>
      </c>
      <c r="CZ99" s="37" t="n">
        <f aca="false">CZ10*(②시니어_가정!$R$403+②시니어_가정!$R$405+②시니어_가정!$R$406+②시니어_가정!$R$407+②시니어_가정!$R$408)/(②시니어_가정!$E$25*12)</f>
        <v>0</v>
      </c>
      <c r="DA99" s="37" t="n">
        <f aca="false">DA10*(②시니어_가정!$R$403+②시니어_가정!$R$405+②시니어_가정!$R$406+②시니어_가정!$R$407+②시니어_가정!$R$408)/(②시니어_가정!$E$25*12)</f>
        <v>0</v>
      </c>
      <c r="DB99" s="37" t="n">
        <f aca="false">DB10*(②시니어_가정!$R$403+②시니어_가정!$R$405+②시니어_가정!$R$406+②시니어_가정!$R$407+②시니어_가정!$R$408)/(②시니어_가정!$E$25*12)</f>
        <v>0</v>
      </c>
      <c r="DC99" s="37" t="n">
        <f aca="false">DC10*(②시니어_가정!$R$403+②시니어_가정!$R$405+②시니어_가정!$R$406+②시니어_가정!$R$407+②시니어_가정!$R$408)/(②시니어_가정!$E$25*12)</f>
        <v>0</v>
      </c>
      <c r="DD99" s="37" t="n">
        <f aca="false">DD10*(②시니어_가정!$R$403+②시니어_가정!$R$405+②시니어_가정!$R$406+②시니어_가정!$R$407+②시니어_가정!$R$408)/(②시니어_가정!$E$25*12)</f>
        <v>0</v>
      </c>
      <c r="DE99" s="37" t="n">
        <f aca="false">DE10*(②시니어_가정!$R$403+②시니어_가정!$R$405+②시니어_가정!$R$406+②시니어_가정!$R$407+②시니어_가정!$R$408)/(②시니어_가정!$E$25*12)</f>
        <v>0</v>
      </c>
      <c r="DF99" s="37" t="n">
        <f aca="false">DF10*(②시니어_가정!$R$403+②시니어_가정!$R$405+②시니어_가정!$R$406+②시니어_가정!$R$407+②시니어_가정!$R$408)/(②시니어_가정!$E$25*12)</f>
        <v>0</v>
      </c>
      <c r="DG99" s="37" t="n">
        <f aca="false">DG10*(②시니어_가정!$R$403+②시니어_가정!$R$405+②시니어_가정!$R$406+②시니어_가정!$R$407+②시니어_가정!$R$408)/(②시니어_가정!$E$25*12)</f>
        <v>0</v>
      </c>
      <c r="DH99" s="37" t="n">
        <f aca="false">DH10*(②시니어_가정!$R$403+②시니어_가정!$R$405+②시니어_가정!$R$406+②시니어_가정!$R$407+②시니어_가정!$R$408)/(②시니어_가정!$E$25*12)</f>
        <v>0</v>
      </c>
      <c r="DI99" s="37" t="n">
        <f aca="false">DI10*(②시니어_가정!$R$403+②시니어_가정!$R$405+②시니어_가정!$R$406+②시니어_가정!$R$407+②시니어_가정!$R$408)/(②시니어_가정!$E$25*12)</f>
        <v>0</v>
      </c>
      <c r="DJ99" s="37" t="n">
        <f aca="false">DJ10*(②시니어_가정!$R$403+②시니어_가정!$R$405+②시니어_가정!$R$406+②시니어_가정!$R$407+②시니어_가정!$R$408)/(②시니어_가정!$E$25*12)</f>
        <v>0</v>
      </c>
      <c r="DK99" s="37" t="n">
        <f aca="false">DK10*(②시니어_가정!$R$403+②시니어_가정!$R$405+②시니어_가정!$R$406+②시니어_가정!$R$407+②시니어_가정!$R$408)/(②시니어_가정!$E$25*12)</f>
        <v>0</v>
      </c>
      <c r="DL99" s="37" t="n">
        <f aca="false">DL10*(②시니어_가정!$R$403+②시니어_가정!$R$405+②시니어_가정!$R$406+②시니어_가정!$R$407+②시니어_가정!$R$408)/(②시니어_가정!$E$25*12)</f>
        <v>0</v>
      </c>
      <c r="DM99" s="37" t="n">
        <f aca="false">DM10*(②시니어_가정!$R$403+②시니어_가정!$R$405+②시니어_가정!$R$406+②시니어_가정!$R$407+②시니어_가정!$R$408)/(②시니어_가정!$E$25*12)</f>
        <v>0</v>
      </c>
      <c r="DN99" s="37" t="n">
        <f aca="false">DN10*(②시니어_가정!$R$403+②시니어_가정!$R$405+②시니어_가정!$R$406+②시니어_가정!$R$407+②시니어_가정!$R$408)/(②시니어_가정!$E$25*12)</f>
        <v>0</v>
      </c>
      <c r="DO99" s="37" t="n">
        <f aca="false">DO10*(②시니어_가정!$R$403+②시니어_가정!$R$405+②시니어_가정!$R$406+②시니어_가정!$R$407+②시니어_가정!$R$408)/(②시니어_가정!$E$25*12)</f>
        <v>0</v>
      </c>
      <c r="DP99" s="37" t="n">
        <f aca="false">DP10*(②시니어_가정!$R$403+②시니어_가정!$R$405+②시니어_가정!$R$406+②시니어_가정!$R$407+②시니어_가정!$R$408)/(②시니어_가정!$E$25*12)</f>
        <v>0</v>
      </c>
      <c r="DQ99" s="37" t="n">
        <f aca="false">DQ10*(②시니어_가정!$R$403+②시니어_가정!$R$405+②시니어_가정!$R$406+②시니어_가정!$R$407+②시니어_가정!$R$408)/(②시니어_가정!$E$25*12)</f>
        <v>0</v>
      </c>
      <c r="DR99" s="37" t="n">
        <f aca="false">DR10*(②시니어_가정!$R$403+②시니어_가정!$R$405+②시니어_가정!$R$406+②시니어_가정!$R$407+②시니어_가정!$R$408)/(②시니어_가정!$E$25*12)</f>
        <v>0</v>
      </c>
      <c r="DS99" s="37" t="n">
        <f aca="false">DS10*(②시니어_가정!$R$403+②시니어_가정!$R$405+②시니어_가정!$R$406+②시니어_가정!$R$407+②시니어_가정!$R$408)/(②시니어_가정!$E$25*12)</f>
        <v>0</v>
      </c>
      <c r="DT99" s="37" t="n">
        <f aca="false">DT10*(②시니어_가정!$R$403+②시니어_가정!$R$405+②시니어_가정!$R$406+②시니어_가정!$R$407+②시니어_가정!$R$408)/(②시니어_가정!$E$25*12)</f>
        <v>0</v>
      </c>
      <c r="DU99" s="37" t="n">
        <f aca="false">DU10*(②시니어_가정!$R$403+②시니어_가정!$R$405+②시니어_가정!$R$406+②시니어_가정!$R$407+②시니어_가정!$R$408)/(②시니어_가정!$E$25*12)</f>
        <v>0</v>
      </c>
      <c r="DV99" s="37" t="n">
        <f aca="false">DV10*(②시니어_가정!$R$403+②시니어_가정!$R$405+②시니어_가정!$R$406+②시니어_가정!$R$407+②시니어_가정!$R$408)/(②시니어_가정!$E$25*12)</f>
        <v>0</v>
      </c>
      <c r="DW99" s="37" t="n">
        <f aca="false">DW10*(②시니어_가정!$R$403+②시니어_가정!$R$405+②시니어_가정!$R$406+②시니어_가정!$R$407+②시니어_가정!$R$408)/(②시니어_가정!$E$25*12)</f>
        <v>0</v>
      </c>
      <c r="DX99" s="37" t="n">
        <f aca="false">DX10*(②시니어_가정!$R$403+②시니어_가정!$R$405+②시니어_가정!$R$406+②시니어_가정!$R$407+②시니어_가정!$R$408)/(②시니어_가정!$E$25*12)</f>
        <v>0</v>
      </c>
      <c r="DY99" s="37" t="n">
        <f aca="false">DY10*(②시니어_가정!$R$403+②시니어_가정!$R$405+②시니어_가정!$R$406+②시니어_가정!$R$407+②시니어_가정!$R$408)/(②시니어_가정!$E$25*12)</f>
        <v>0</v>
      </c>
      <c r="DZ99" s="37" t="n">
        <f aca="false">DZ10*(②시니어_가정!$R$403+②시니어_가정!$R$405+②시니어_가정!$R$406+②시니어_가정!$R$407+②시니어_가정!$R$408)/(②시니어_가정!$E$25*12)</f>
        <v>0</v>
      </c>
      <c r="EA99" s="37" t="n">
        <f aca="false">EA10*(②시니어_가정!$R$403+②시니어_가정!$R$405+②시니어_가정!$R$406+②시니어_가정!$R$407+②시니어_가정!$R$408)/(②시니어_가정!$E$25*12)</f>
        <v>0</v>
      </c>
      <c r="EB99" s="37" t="n">
        <f aca="false">EB10*(②시니어_가정!$R$403+②시니어_가정!$R$405+②시니어_가정!$R$406+②시니어_가정!$R$407+②시니어_가정!$R$408)/(②시니어_가정!$E$25*12)</f>
        <v>0</v>
      </c>
      <c r="EC99" s="37" t="n">
        <f aca="false">EC10*(②시니어_가정!$R$403+②시니어_가정!$R$405+②시니어_가정!$R$406+②시니어_가정!$R$407+②시니어_가정!$R$408)/(②시니어_가정!$E$25*12)</f>
        <v>0</v>
      </c>
      <c r="ED99" s="37" t="n">
        <f aca="false">ED10*(②시니어_가정!$R$403+②시니어_가정!$R$405+②시니어_가정!$R$406+②시니어_가정!$R$407+②시니어_가정!$R$408)/(②시니어_가정!$E$25*12)</f>
        <v>0</v>
      </c>
      <c r="EE99" s="37" t="n">
        <f aca="false">EE10*(②시니어_가정!$R$403+②시니어_가정!$R$405+②시니어_가정!$R$406+②시니어_가정!$R$407+②시니어_가정!$R$408)/(②시니어_가정!$E$25*12)</f>
        <v>0</v>
      </c>
      <c r="EF99" s="37" t="n">
        <f aca="false">EF10*(②시니어_가정!$R$403+②시니어_가정!$R$405+②시니어_가정!$R$406+②시니어_가정!$R$407+②시니어_가정!$R$408)/(②시니어_가정!$E$25*12)</f>
        <v>0</v>
      </c>
    </row>
    <row r="100" customFormat="false" ht="15" hidden="false" customHeight="false" outlineLevel="0" collapsed="false">
      <c r="A100" s="280" t="s">
        <v>640</v>
      </c>
      <c r="B100" s="281" t="s">
        <v>21</v>
      </c>
      <c r="C100" s="282" t="n">
        <f aca="false">SUM(E100:EF100)</f>
        <v>403110.359948426</v>
      </c>
      <c r="D100" s="48"/>
      <c r="E100" s="283" t="n">
        <f aca="false">SUM(E89:E99)</f>
        <v>1026.28078885833</v>
      </c>
      <c r="F100" s="283" t="n">
        <f aca="false">SUM(F89:F99)</f>
        <v>99.4583333333333</v>
      </c>
      <c r="G100" s="283" t="n">
        <f aca="false">SUM(G89:G99)</f>
        <v>99.4583333333333</v>
      </c>
      <c r="H100" s="283" t="n">
        <f aca="false">SUM(H89:H99)</f>
        <v>3193.03502905924</v>
      </c>
      <c r="I100" s="283" t="n">
        <f aca="false">SUM(I89:I99)</f>
        <v>99.4583333333333</v>
      </c>
      <c r="J100" s="283" t="n">
        <f aca="false">SUM(J89:J99)</f>
        <v>99.4583333333333</v>
      </c>
      <c r="K100" s="283" t="n">
        <f aca="false">SUM(K89:K99)</f>
        <v>99.4583333333333</v>
      </c>
      <c r="L100" s="283" t="n">
        <f aca="false">SUM(L89:L99)</f>
        <v>99.4583333333333</v>
      </c>
      <c r="M100" s="283" t="n">
        <f aca="false">SUM(M89:M99)</f>
        <v>99.4583333333333</v>
      </c>
      <c r="N100" s="283" t="n">
        <f aca="false">SUM(N89:N99)</f>
        <v>99.4583333333333</v>
      </c>
      <c r="O100" s="283" t="n">
        <f aca="false">SUM(O89:O99)</f>
        <v>99.4583333333333</v>
      </c>
      <c r="P100" s="283" t="n">
        <f aca="false">SUM(P89:P99)</f>
        <v>99.4583333333333</v>
      </c>
      <c r="Q100" s="283" t="n">
        <f aca="false">SUM(Q89:Q99)</f>
        <v>99.4583333333333</v>
      </c>
      <c r="R100" s="283" t="n">
        <f aca="false">SUM(R89:R99)</f>
        <v>99.4583333333333</v>
      </c>
      <c r="S100" s="283" t="n">
        <f aca="false">SUM(S89:S99)</f>
        <v>99.4583333333333</v>
      </c>
      <c r="T100" s="283" t="n">
        <f aca="false">SUM(T89:T99)</f>
        <v>99.4583333333333</v>
      </c>
      <c r="U100" s="283" t="n">
        <f aca="false">SUM(U89:U99)</f>
        <v>99.4583333333333</v>
      </c>
      <c r="V100" s="283" t="n">
        <f aca="false">SUM(V89:V99)</f>
        <v>99.4583333333333</v>
      </c>
      <c r="W100" s="283" t="n">
        <f aca="false">SUM(W89:W99)</f>
        <v>64486.7484986837</v>
      </c>
      <c r="X100" s="283" t="n">
        <f aca="false">SUM(X89:X99)</f>
        <v>1623.44144820378</v>
      </c>
      <c r="Y100" s="283" t="n">
        <f aca="false">SUM(Y89:Y99)</f>
        <v>2433.43830561362</v>
      </c>
      <c r="Z100" s="283" t="n">
        <f aca="false">SUM(Z89:Z99)</f>
        <v>3232.04664601405</v>
      </c>
      <c r="AA100" s="283" t="n">
        <f aca="false">SUM(AA89:AA99)</f>
        <v>4014.8003276199</v>
      </c>
      <c r="AB100" s="283" t="n">
        <f aca="false">SUM(AB89:AB99)</f>
        <v>4777.32187432931</v>
      </c>
      <c r="AC100" s="283" t="n">
        <f aca="false">SUM(AC89:AC99)</f>
        <v>5515.34695634563</v>
      </c>
      <c r="AD100" s="283" t="n">
        <f aca="false">SUM(AD89:AD99)</f>
        <v>6224.74823803949</v>
      </c>
      <c r="AE100" s="283" t="n">
        <f aca="false">SUM(AE89:AE99)</f>
        <v>6901.55845968377</v>
      </c>
      <c r="AF100" s="283" t="n">
        <f aca="false">SUM(AF89:AF99)</f>
        <v>7541.99262397933</v>
      </c>
      <c r="AG100" s="283" t="n">
        <f aca="false">SUM(AG89:AG99)</f>
        <v>8142.46916329524</v>
      </c>
      <c r="AH100" s="283" t="n">
        <f aca="false">SUM(AH89:AH99)</f>
        <v>8699.62996924778</v>
      </c>
      <c r="AI100" s="283" t="n">
        <f aca="false">SUM(AI89:AI99)</f>
        <v>9210.35917260466</v>
      </c>
      <c r="AJ100" s="283" t="n">
        <f aca="false">SUM(AJ89:AJ99)</f>
        <v>9671.80056848964</v>
      </c>
      <c r="AK100" s="283" t="n">
        <f aca="false">SUM(AK89:AK99)</f>
        <v>10081.3735894391</v>
      </c>
      <c r="AL100" s="283" t="n">
        <f aca="false">SUM(AL89:AL99)</f>
        <v>10436.7877369815</v>
      </c>
      <c r="AM100" s="283" t="n">
        <f aca="false">SUM(AM89:AM99)</f>
        <v>10736.0553910345</v>
      </c>
      <c r="AN100" s="283" t="n">
        <f aca="false">SUM(AN89:AN99)</f>
        <v>10977.5029254823</v>
      </c>
      <c r="AO100" s="283" t="n">
        <f aca="false">SUM(AO89:AO99)</f>
        <v>11159.7800677723</v>
      </c>
      <c r="AP100" s="283" t="n">
        <f aca="false">SUM(AP89:AP99)</f>
        <v>11281.8674501861</v>
      </c>
      <c r="AQ100" s="283" t="n">
        <f aca="false">SUM(AQ89:AQ99)</f>
        <v>11343.0823105582</v>
      </c>
      <c r="AR100" s="283" t="n">
        <f aca="false">SUM(AR89:AR99)</f>
        <v>11343.0823105582</v>
      </c>
      <c r="AS100" s="283" t="n">
        <f aca="false">SUM(AS89:AS99)</f>
        <v>11281.8674501862</v>
      </c>
      <c r="AT100" s="283" t="n">
        <f aca="false">SUM(AT89:AT99)</f>
        <v>11159.7800677723</v>
      </c>
      <c r="AU100" s="283" t="n">
        <f aca="false">SUM(AU89:AU99)</f>
        <v>10977.5029254824</v>
      </c>
      <c r="AV100" s="283" t="n">
        <f aca="false">SUM(AV89:AV99)</f>
        <v>10736.0553910345</v>
      </c>
      <c r="AW100" s="283" t="n">
        <f aca="false">SUM(AW89:AW99)</f>
        <v>10436.7877369815</v>
      </c>
      <c r="AX100" s="283" t="n">
        <f aca="false">SUM(AX89:AX99)</f>
        <v>10081.373589439</v>
      </c>
      <c r="AY100" s="283" t="n">
        <f aca="false">SUM(AY89:AY99)</f>
        <v>9671.8005684897</v>
      </c>
      <c r="AZ100" s="283" t="n">
        <f aca="false">SUM(AZ89:AZ99)</f>
        <v>9210.35917260463</v>
      </c>
      <c r="BA100" s="283" t="n">
        <f aca="false">SUM(BA89:BA99)</f>
        <v>8699.62996924776</v>
      </c>
      <c r="BB100" s="283" t="n">
        <f aca="false">SUM(BB89:BB99)</f>
        <v>8142.46916329527</v>
      </c>
      <c r="BC100" s="283" t="n">
        <f aca="false">SUM(BC89:BC99)</f>
        <v>7541.99262397933</v>
      </c>
      <c r="BD100" s="283" t="n">
        <f aca="false">SUM(BD89:BD99)</f>
        <v>6901.55845968378</v>
      </c>
      <c r="BE100" s="283" t="n">
        <f aca="false">SUM(BE89:BE99)</f>
        <v>6224.74823803944</v>
      </c>
      <c r="BF100" s="283" t="n">
        <f aca="false">SUM(BF89:BF99)</f>
        <v>5515.34695634565</v>
      </c>
      <c r="BG100" s="283" t="n">
        <f aca="false">SUM(BG89:BG99)</f>
        <v>4777.32187432935</v>
      </c>
      <c r="BH100" s="283" t="n">
        <f aca="false">SUM(BH89:BH99)</f>
        <v>4014.80032761986</v>
      </c>
      <c r="BI100" s="283" t="n">
        <f aca="false">SUM(BI89:BI99)</f>
        <v>3232.04664601407</v>
      </c>
      <c r="BJ100" s="283" t="n">
        <f aca="false">SUM(BJ89:BJ99)</f>
        <v>2433.43830561362</v>
      </c>
      <c r="BK100" s="283" t="n">
        <f aca="false">SUM(BK89:BK99)</f>
        <v>1623.44144820378</v>
      </c>
      <c r="BL100" s="283" t="n">
        <f aca="false">SUM(BL89:BL99)</f>
        <v>7348.68408853779</v>
      </c>
      <c r="BM100" s="283" t="n">
        <f aca="false">SUM(BM89:BM99)</f>
        <v>17453.4717601134</v>
      </c>
      <c r="BN100" s="283" t="n">
        <f aca="false">SUM(BN89:BN99)</f>
        <v>0</v>
      </c>
      <c r="BO100" s="283" t="n">
        <f aca="false">SUM(BO89:BO99)</f>
        <v>0</v>
      </c>
      <c r="BP100" s="283" t="n">
        <f aca="false">SUM(BP89:BP99)</f>
        <v>0</v>
      </c>
      <c r="BQ100" s="283" t="n">
        <f aca="false">SUM(BQ89:BQ99)</f>
        <v>0</v>
      </c>
      <c r="BR100" s="283" t="n">
        <f aca="false">SUM(BR89:BR99)</f>
        <v>0</v>
      </c>
      <c r="BS100" s="283" t="n">
        <f aca="false">SUM(BS89:BS99)</f>
        <v>0</v>
      </c>
      <c r="BT100" s="283" t="n">
        <f aca="false">SUM(BT89:BT99)</f>
        <v>0</v>
      </c>
      <c r="BU100" s="283" t="n">
        <f aca="false">SUM(BU89:BU99)</f>
        <v>0</v>
      </c>
      <c r="BV100" s="283" t="n">
        <f aca="false">SUM(BV89:BV99)</f>
        <v>0</v>
      </c>
      <c r="BW100" s="283" t="n">
        <f aca="false">SUM(BW89:BW99)</f>
        <v>0</v>
      </c>
      <c r="BX100" s="283" t="n">
        <f aca="false">SUM(BX89:BX99)</f>
        <v>0</v>
      </c>
      <c r="BY100" s="283" t="n">
        <f aca="false">SUM(BY89:BY99)</f>
        <v>0</v>
      </c>
      <c r="BZ100" s="283" t="n">
        <f aca="false">SUM(BZ89:BZ99)</f>
        <v>0</v>
      </c>
      <c r="CA100" s="283" t="n">
        <f aca="false">SUM(CA89:CA99)</f>
        <v>0</v>
      </c>
      <c r="CB100" s="283" t="n">
        <f aca="false">SUM(CB89:CB99)</f>
        <v>0</v>
      </c>
      <c r="CC100" s="283" t="n">
        <f aca="false">SUM(CC89:CC99)</f>
        <v>0</v>
      </c>
      <c r="CD100" s="283" t="n">
        <f aca="false">SUM(CD89:CD99)</f>
        <v>0</v>
      </c>
      <c r="CE100" s="283" t="n">
        <f aca="false">SUM(CE89:CE99)</f>
        <v>0</v>
      </c>
      <c r="CF100" s="283" t="n">
        <f aca="false">SUM(CF89:CF99)</f>
        <v>0</v>
      </c>
      <c r="CG100" s="283" t="n">
        <f aca="false">SUM(CG89:CG99)</f>
        <v>0</v>
      </c>
      <c r="CH100" s="283" t="n">
        <f aca="false">SUM(CH89:CH99)</f>
        <v>0</v>
      </c>
      <c r="CI100" s="283" t="n">
        <f aca="false">SUM(CI89:CI99)</f>
        <v>0</v>
      </c>
      <c r="CJ100" s="283" t="n">
        <f aca="false">SUM(CJ89:CJ99)</f>
        <v>0</v>
      </c>
      <c r="CK100" s="283" t="n">
        <f aca="false">SUM(CK89:CK99)</f>
        <v>0</v>
      </c>
      <c r="CL100" s="283" t="n">
        <f aca="false">SUM(CL89:CL99)</f>
        <v>0</v>
      </c>
      <c r="CM100" s="283" t="n">
        <f aca="false">SUM(CM89:CM99)</f>
        <v>0</v>
      </c>
      <c r="CN100" s="283" t="n">
        <f aca="false">SUM(CN89:CN99)</f>
        <v>0</v>
      </c>
      <c r="CO100" s="283" t="n">
        <f aca="false">SUM(CO89:CO99)</f>
        <v>0</v>
      </c>
      <c r="CP100" s="283" t="n">
        <f aca="false">SUM(CP89:CP99)</f>
        <v>0</v>
      </c>
      <c r="CQ100" s="283" t="n">
        <f aca="false">SUM(CQ89:CQ99)</f>
        <v>0</v>
      </c>
      <c r="CR100" s="283" t="n">
        <f aca="false">SUM(CR89:CR99)</f>
        <v>0</v>
      </c>
      <c r="CS100" s="283" t="n">
        <f aca="false">SUM(CS89:CS99)</f>
        <v>0</v>
      </c>
      <c r="CT100" s="283" t="n">
        <f aca="false">SUM(CT89:CT99)</f>
        <v>0</v>
      </c>
      <c r="CU100" s="283" t="n">
        <f aca="false">SUM(CU89:CU99)</f>
        <v>0</v>
      </c>
      <c r="CV100" s="283" t="n">
        <f aca="false">SUM(CV89:CV99)</f>
        <v>0</v>
      </c>
      <c r="CW100" s="283" t="n">
        <f aca="false">SUM(CW89:CW99)</f>
        <v>0</v>
      </c>
      <c r="CX100" s="283" t="n">
        <f aca="false">SUM(CX89:CX99)</f>
        <v>0</v>
      </c>
      <c r="CY100" s="283" t="n">
        <f aca="false">SUM(CY89:CY99)</f>
        <v>0</v>
      </c>
      <c r="CZ100" s="283" t="n">
        <f aca="false">SUM(CZ89:CZ99)</f>
        <v>0</v>
      </c>
      <c r="DA100" s="283" t="n">
        <f aca="false">SUM(DA89:DA99)</f>
        <v>0</v>
      </c>
      <c r="DB100" s="283" t="n">
        <f aca="false">SUM(DB89:DB99)</f>
        <v>0</v>
      </c>
      <c r="DC100" s="283" t="n">
        <f aca="false">SUM(DC89:DC99)</f>
        <v>0</v>
      </c>
      <c r="DD100" s="283" t="n">
        <f aca="false">SUM(DD89:DD99)</f>
        <v>0</v>
      </c>
      <c r="DE100" s="283" t="n">
        <f aca="false">SUM(DE89:DE99)</f>
        <v>0</v>
      </c>
      <c r="DF100" s="283" t="n">
        <f aca="false">SUM(DF89:DF99)</f>
        <v>0</v>
      </c>
      <c r="DG100" s="283" t="n">
        <f aca="false">SUM(DG89:DG99)</f>
        <v>0</v>
      </c>
      <c r="DH100" s="283" t="n">
        <f aca="false">SUM(DH89:DH99)</f>
        <v>0</v>
      </c>
      <c r="DI100" s="283" t="n">
        <f aca="false">SUM(DI89:DI99)</f>
        <v>0</v>
      </c>
      <c r="DJ100" s="283" t="n">
        <f aca="false">SUM(DJ89:DJ99)</f>
        <v>0</v>
      </c>
      <c r="DK100" s="283" t="n">
        <f aca="false">SUM(DK89:DK99)</f>
        <v>0</v>
      </c>
      <c r="DL100" s="283" t="n">
        <f aca="false">SUM(DL89:DL99)</f>
        <v>0</v>
      </c>
      <c r="DM100" s="283" t="n">
        <f aca="false">SUM(DM89:DM99)</f>
        <v>0</v>
      </c>
      <c r="DN100" s="283" t="n">
        <f aca="false">SUM(DN89:DN99)</f>
        <v>0</v>
      </c>
      <c r="DO100" s="283" t="n">
        <f aca="false">SUM(DO89:DO99)</f>
        <v>0</v>
      </c>
      <c r="DP100" s="283" t="n">
        <f aca="false">SUM(DP89:DP99)</f>
        <v>0</v>
      </c>
      <c r="DQ100" s="283" t="n">
        <f aca="false">SUM(DQ89:DQ99)</f>
        <v>0</v>
      </c>
      <c r="DR100" s="283" t="n">
        <f aca="false">SUM(DR89:DR99)</f>
        <v>0</v>
      </c>
      <c r="DS100" s="283" t="n">
        <f aca="false">SUM(DS89:DS99)</f>
        <v>0</v>
      </c>
      <c r="DT100" s="283" t="n">
        <f aca="false">SUM(DT89:DT99)</f>
        <v>0</v>
      </c>
      <c r="DU100" s="283" t="n">
        <f aca="false">SUM(DU89:DU99)</f>
        <v>0</v>
      </c>
      <c r="DV100" s="283" t="n">
        <f aca="false">SUM(DV89:DV99)</f>
        <v>0</v>
      </c>
      <c r="DW100" s="283" t="n">
        <f aca="false">SUM(DW89:DW99)</f>
        <v>0</v>
      </c>
      <c r="DX100" s="283" t="n">
        <f aca="false">SUM(DX89:DX99)</f>
        <v>0</v>
      </c>
      <c r="DY100" s="283" t="n">
        <f aca="false">SUM(DY89:DY99)</f>
        <v>0</v>
      </c>
      <c r="DZ100" s="283" t="n">
        <f aca="false">SUM(DZ89:DZ99)</f>
        <v>0</v>
      </c>
      <c r="EA100" s="283" t="n">
        <f aca="false">SUM(EA89:EA99)</f>
        <v>0</v>
      </c>
      <c r="EB100" s="283" t="n">
        <f aca="false">SUM(EB89:EB99)</f>
        <v>0</v>
      </c>
      <c r="EC100" s="283" t="n">
        <f aca="false">SUM(EC89:EC99)</f>
        <v>0</v>
      </c>
      <c r="ED100" s="283" t="n">
        <f aca="false">SUM(ED89:ED99)</f>
        <v>0</v>
      </c>
      <c r="EE100" s="283" t="n">
        <f aca="false">SUM(EE89:EE99)</f>
        <v>0</v>
      </c>
      <c r="EF100" s="283" t="n">
        <f aca="false">SUM(EF89:EF99)</f>
        <v>0</v>
      </c>
    </row>
    <row r="102" customFormat="false" ht="15" hidden="false" customHeight="false" outlineLevel="0" collapsed="false">
      <c r="A102" s="34" t="s">
        <v>641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</row>
    <row r="103" customFormat="false" ht="15" hidden="false" customHeight="false" outlineLevel="0" collapsed="false">
      <c r="A103" s="153" t="s">
        <v>642</v>
      </c>
      <c r="B103" s="278" t="s">
        <v>21</v>
      </c>
      <c r="C103" s="279" t="n">
        <f aca="false">SUM(E103:EF103)</f>
        <v>2267.60223977385</v>
      </c>
      <c r="E103" s="37" t="n">
        <f aca="false">IF(E6=②시니어_가정!$E$14,②시니어_가정!$E$452*②시니어_가정!$J$483,0)</f>
        <v>0</v>
      </c>
      <c r="F103" s="37" t="n">
        <f aca="false">IF(F6=②시니어_가정!$E$14,②시니어_가정!$E$452*②시니어_가정!$J$483,0)</f>
        <v>0</v>
      </c>
      <c r="G103" s="37" t="n">
        <f aca="false">IF(G6=②시니어_가정!$E$14,②시니어_가정!$E$452*②시니어_가정!$J$483,0)</f>
        <v>0</v>
      </c>
      <c r="H103" s="37" t="n">
        <f aca="false">IF(H6=②시니어_가정!$E$14,②시니어_가정!$E$452*②시니어_가정!$J$483,0)</f>
        <v>0</v>
      </c>
      <c r="I103" s="37" t="n">
        <f aca="false">IF(I6=②시니어_가정!$E$14,②시니어_가정!$E$452*②시니어_가정!$J$483,0)</f>
        <v>0</v>
      </c>
      <c r="J103" s="37" t="n">
        <f aca="false">IF(J6=②시니어_가정!$E$14,②시니어_가정!$E$452*②시니어_가정!$J$483,0)</f>
        <v>0</v>
      </c>
      <c r="K103" s="37" t="n">
        <f aca="false">IF(K6=②시니어_가정!$E$14,②시니어_가정!$E$452*②시니어_가정!$J$483,0)</f>
        <v>0</v>
      </c>
      <c r="L103" s="37" t="n">
        <f aca="false">IF(L6=②시니어_가정!$E$14,②시니어_가정!$E$452*②시니어_가정!$J$483,0)</f>
        <v>0</v>
      </c>
      <c r="M103" s="37" t="n">
        <f aca="false">IF(M6=②시니어_가정!$E$14,②시니어_가정!$E$452*②시니어_가정!$J$483,0)</f>
        <v>0</v>
      </c>
      <c r="N103" s="37" t="n">
        <f aca="false">IF(N6=②시니어_가정!$E$14,②시니어_가정!$E$452*②시니어_가정!$J$483,0)</f>
        <v>0</v>
      </c>
      <c r="O103" s="37" t="n">
        <f aca="false">IF(O6=②시니어_가정!$E$14,②시니어_가정!$E$452*②시니어_가정!$J$483,0)</f>
        <v>0</v>
      </c>
      <c r="P103" s="37" t="n">
        <f aca="false">IF(P6=②시니어_가정!$E$14,②시니어_가정!$E$452*②시니어_가정!$J$483,0)</f>
        <v>0</v>
      </c>
      <c r="Q103" s="37" t="n">
        <f aca="false">IF(Q6=②시니어_가정!$E$14,②시니어_가정!$E$452*②시니어_가정!$J$483,0)</f>
        <v>0</v>
      </c>
      <c r="R103" s="37" t="n">
        <f aca="false">IF(R6=②시니어_가정!$E$14,②시니어_가정!$E$452*②시니어_가정!$J$483,0)</f>
        <v>0</v>
      </c>
      <c r="S103" s="37" t="n">
        <f aca="false">IF(S6=②시니어_가정!$E$14,②시니어_가정!$E$452*②시니어_가정!$J$483,0)</f>
        <v>0</v>
      </c>
      <c r="T103" s="37" t="n">
        <f aca="false">IF(T6=②시니어_가정!$E$14,②시니어_가정!$E$452*②시니어_가정!$J$483,0)</f>
        <v>0</v>
      </c>
      <c r="U103" s="37" t="n">
        <f aca="false">IF(U6=②시니어_가정!$E$14,②시니어_가정!$E$452*②시니어_가정!$J$483,0)</f>
        <v>0</v>
      </c>
      <c r="V103" s="37" t="n">
        <f aca="false">IF(V6=②시니어_가정!$E$14,②시니어_가정!$E$452*②시니어_가정!$J$483,0)</f>
        <v>0</v>
      </c>
      <c r="W103" s="37" t="n">
        <f aca="false">IF(W6=②시니어_가정!$E$14,②시니어_가정!$E$452*②시니어_가정!$J$483,0)</f>
        <v>2267.60223977385</v>
      </c>
      <c r="X103" s="37" t="n">
        <f aca="false">IF(X6=②시니어_가정!$E$14,②시니어_가정!$E$452*②시니어_가정!$J$483,0)</f>
        <v>0</v>
      </c>
      <c r="Y103" s="37" t="n">
        <f aca="false">IF(Y6=②시니어_가정!$E$14,②시니어_가정!$E$452*②시니어_가정!$J$483,0)</f>
        <v>0</v>
      </c>
      <c r="Z103" s="37" t="n">
        <f aca="false">IF(Z6=②시니어_가정!$E$14,②시니어_가정!$E$452*②시니어_가정!$J$483,0)</f>
        <v>0</v>
      </c>
      <c r="AA103" s="37" t="n">
        <f aca="false">IF(AA6=②시니어_가정!$E$14,②시니어_가정!$E$452*②시니어_가정!$J$483,0)</f>
        <v>0</v>
      </c>
      <c r="AB103" s="37" t="n">
        <f aca="false">IF(AB6=②시니어_가정!$E$14,②시니어_가정!$E$452*②시니어_가정!$J$483,0)</f>
        <v>0</v>
      </c>
      <c r="AC103" s="37" t="n">
        <f aca="false">IF(AC6=②시니어_가정!$E$14,②시니어_가정!$E$452*②시니어_가정!$J$483,0)</f>
        <v>0</v>
      </c>
      <c r="AD103" s="37" t="n">
        <f aca="false">IF(AD6=②시니어_가정!$E$14,②시니어_가정!$E$452*②시니어_가정!$J$483,0)</f>
        <v>0</v>
      </c>
      <c r="AE103" s="37" t="n">
        <f aca="false">IF(AE6=②시니어_가정!$E$14,②시니어_가정!$E$452*②시니어_가정!$J$483,0)</f>
        <v>0</v>
      </c>
      <c r="AF103" s="37" t="n">
        <f aca="false">IF(AF6=②시니어_가정!$E$14,②시니어_가정!$E$452*②시니어_가정!$J$483,0)</f>
        <v>0</v>
      </c>
      <c r="AG103" s="37" t="n">
        <f aca="false">IF(AG6=②시니어_가정!$E$14,②시니어_가정!$E$452*②시니어_가정!$J$483,0)</f>
        <v>0</v>
      </c>
      <c r="AH103" s="37" t="n">
        <f aca="false">IF(AH6=②시니어_가정!$E$14,②시니어_가정!$E$452*②시니어_가정!$J$483,0)</f>
        <v>0</v>
      </c>
      <c r="AI103" s="37" t="n">
        <f aca="false">IF(AI6=②시니어_가정!$E$14,②시니어_가정!$E$452*②시니어_가정!$J$483,0)</f>
        <v>0</v>
      </c>
      <c r="AJ103" s="37" t="n">
        <f aca="false">IF(AJ6=②시니어_가정!$E$14,②시니어_가정!$E$452*②시니어_가정!$J$483,0)</f>
        <v>0</v>
      </c>
      <c r="AK103" s="37" t="n">
        <f aca="false">IF(AK6=②시니어_가정!$E$14,②시니어_가정!$E$452*②시니어_가정!$J$483,0)</f>
        <v>0</v>
      </c>
      <c r="AL103" s="37" t="n">
        <f aca="false">IF(AL6=②시니어_가정!$E$14,②시니어_가정!$E$452*②시니어_가정!$J$483,0)</f>
        <v>0</v>
      </c>
      <c r="AM103" s="37" t="n">
        <f aca="false">IF(AM6=②시니어_가정!$E$14,②시니어_가정!$E$452*②시니어_가정!$J$483,0)</f>
        <v>0</v>
      </c>
      <c r="AN103" s="37" t="n">
        <f aca="false">IF(AN6=②시니어_가정!$E$14,②시니어_가정!$E$452*②시니어_가정!$J$483,0)</f>
        <v>0</v>
      </c>
      <c r="AO103" s="37" t="n">
        <f aca="false">IF(AO6=②시니어_가정!$E$14,②시니어_가정!$E$452*②시니어_가정!$J$483,0)</f>
        <v>0</v>
      </c>
      <c r="AP103" s="37" t="n">
        <f aca="false">IF(AP6=②시니어_가정!$E$14,②시니어_가정!$E$452*②시니어_가정!$J$483,0)</f>
        <v>0</v>
      </c>
      <c r="AQ103" s="37" t="n">
        <f aca="false">IF(AQ6=②시니어_가정!$E$14,②시니어_가정!$E$452*②시니어_가정!$J$483,0)</f>
        <v>0</v>
      </c>
      <c r="AR103" s="37" t="n">
        <f aca="false">IF(AR6=②시니어_가정!$E$14,②시니어_가정!$E$452*②시니어_가정!$J$483,0)</f>
        <v>0</v>
      </c>
      <c r="AS103" s="37" t="n">
        <f aca="false">IF(AS6=②시니어_가정!$E$14,②시니어_가정!$E$452*②시니어_가정!$J$483,0)</f>
        <v>0</v>
      </c>
      <c r="AT103" s="37" t="n">
        <f aca="false">IF(AT6=②시니어_가정!$E$14,②시니어_가정!$E$452*②시니어_가정!$J$483,0)</f>
        <v>0</v>
      </c>
      <c r="AU103" s="37" t="n">
        <f aca="false">IF(AU6=②시니어_가정!$E$14,②시니어_가정!$E$452*②시니어_가정!$J$483,0)</f>
        <v>0</v>
      </c>
      <c r="AV103" s="37" t="n">
        <f aca="false">IF(AV6=②시니어_가정!$E$14,②시니어_가정!$E$452*②시니어_가정!$J$483,0)</f>
        <v>0</v>
      </c>
      <c r="AW103" s="37" t="n">
        <f aca="false">IF(AW6=②시니어_가정!$E$14,②시니어_가정!$E$452*②시니어_가정!$J$483,0)</f>
        <v>0</v>
      </c>
      <c r="AX103" s="37" t="n">
        <f aca="false">IF(AX6=②시니어_가정!$E$14,②시니어_가정!$E$452*②시니어_가정!$J$483,0)</f>
        <v>0</v>
      </c>
      <c r="AY103" s="37" t="n">
        <f aca="false">IF(AY6=②시니어_가정!$E$14,②시니어_가정!$E$452*②시니어_가정!$J$483,0)</f>
        <v>0</v>
      </c>
      <c r="AZ103" s="37" t="n">
        <f aca="false">IF(AZ6=②시니어_가정!$E$14,②시니어_가정!$E$452*②시니어_가정!$J$483,0)</f>
        <v>0</v>
      </c>
      <c r="BA103" s="37" t="n">
        <f aca="false">IF(BA6=②시니어_가정!$E$14,②시니어_가정!$E$452*②시니어_가정!$J$483,0)</f>
        <v>0</v>
      </c>
      <c r="BB103" s="37" t="n">
        <f aca="false">IF(BB6=②시니어_가정!$E$14,②시니어_가정!$E$452*②시니어_가정!$J$483,0)</f>
        <v>0</v>
      </c>
      <c r="BC103" s="37" t="n">
        <f aca="false">IF(BC6=②시니어_가정!$E$14,②시니어_가정!$E$452*②시니어_가정!$J$483,0)</f>
        <v>0</v>
      </c>
      <c r="BD103" s="37" t="n">
        <f aca="false">IF(BD6=②시니어_가정!$E$14,②시니어_가정!$E$452*②시니어_가정!$J$483,0)</f>
        <v>0</v>
      </c>
      <c r="BE103" s="37" t="n">
        <f aca="false">IF(BE6=②시니어_가정!$E$14,②시니어_가정!$E$452*②시니어_가정!$J$483,0)</f>
        <v>0</v>
      </c>
      <c r="BF103" s="37" t="n">
        <f aca="false">IF(BF6=②시니어_가정!$E$14,②시니어_가정!$E$452*②시니어_가정!$J$483,0)</f>
        <v>0</v>
      </c>
      <c r="BG103" s="37" t="n">
        <f aca="false">IF(BG6=②시니어_가정!$E$14,②시니어_가정!$E$452*②시니어_가정!$J$483,0)</f>
        <v>0</v>
      </c>
      <c r="BH103" s="37" t="n">
        <f aca="false">IF(BH6=②시니어_가정!$E$14,②시니어_가정!$E$452*②시니어_가정!$J$483,0)</f>
        <v>0</v>
      </c>
      <c r="BI103" s="37" t="n">
        <f aca="false">IF(BI6=②시니어_가정!$E$14,②시니어_가정!$E$452*②시니어_가정!$J$483,0)</f>
        <v>0</v>
      </c>
      <c r="BJ103" s="37" t="n">
        <f aca="false">IF(BJ6=②시니어_가정!$E$14,②시니어_가정!$E$452*②시니어_가정!$J$483,0)</f>
        <v>0</v>
      </c>
      <c r="BK103" s="37" t="n">
        <f aca="false">IF(BK6=②시니어_가정!$E$14,②시니어_가정!$E$452*②시니어_가정!$J$483,0)</f>
        <v>0</v>
      </c>
      <c r="BL103" s="37" t="n">
        <f aca="false">IF(BL6=②시니어_가정!$E$14,②시니어_가정!$E$452*②시니어_가정!$J$483,0)</f>
        <v>0</v>
      </c>
      <c r="BM103" s="37" t="n">
        <f aca="false">IF(BM6=②시니어_가정!$E$14,②시니어_가정!$E$452*②시니어_가정!$J$483,0)</f>
        <v>0</v>
      </c>
      <c r="BN103" s="37" t="n">
        <f aca="false">IF(BN6=②시니어_가정!$E$14,②시니어_가정!$E$452*②시니어_가정!$J$483,0)</f>
        <v>0</v>
      </c>
      <c r="BO103" s="37" t="n">
        <f aca="false">IF(BO6=②시니어_가정!$E$14,②시니어_가정!$E$452*②시니어_가정!$J$483,0)</f>
        <v>0</v>
      </c>
      <c r="BP103" s="37" t="n">
        <f aca="false">IF(BP6=②시니어_가정!$E$14,②시니어_가정!$E$452*②시니어_가정!$J$483,0)</f>
        <v>0</v>
      </c>
      <c r="BQ103" s="37" t="n">
        <f aca="false">IF(BQ6=②시니어_가정!$E$14,②시니어_가정!$E$452*②시니어_가정!$J$483,0)</f>
        <v>0</v>
      </c>
      <c r="BR103" s="37" t="n">
        <f aca="false">IF(BR6=②시니어_가정!$E$14,②시니어_가정!$E$452*②시니어_가정!$J$483,0)</f>
        <v>0</v>
      </c>
      <c r="BS103" s="37" t="n">
        <f aca="false">IF(BS6=②시니어_가정!$E$14,②시니어_가정!$E$452*②시니어_가정!$J$483,0)</f>
        <v>0</v>
      </c>
      <c r="BT103" s="37" t="n">
        <f aca="false">IF(BT6=②시니어_가정!$E$14,②시니어_가정!$E$452*②시니어_가정!$J$483,0)</f>
        <v>0</v>
      </c>
      <c r="BU103" s="37" t="n">
        <f aca="false">IF(BU6=②시니어_가정!$E$14,②시니어_가정!$E$452*②시니어_가정!$J$483,0)</f>
        <v>0</v>
      </c>
      <c r="BV103" s="37" t="n">
        <f aca="false">IF(BV6=②시니어_가정!$E$14,②시니어_가정!$E$452*②시니어_가정!$J$483,0)</f>
        <v>0</v>
      </c>
      <c r="BW103" s="37" t="n">
        <f aca="false">IF(BW6=②시니어_가정!$E$14,②시니어_가정!$E$452*②시니어_가정!$J$483,0)</f>
        <v>0</v>
      </c>
      <c r="BX103" s="37" t="n">
        <f aca="false">IF(BX6=②시니어_가정!$E$14,②시니어_가정!$E$452*②시니어_가정!$J$483,0)</f>
        <v>0</v>
      </c>
      <c r="BY103" s="37" t="n">
        <f aca="false">IF(BY6=②시니어_가정!$E$14,②시니어_가정!$E$452*②시니어_가정!$J$483,0)</f>
        <v>0</v>
      </c>
      <c r="BZ103" s="37" t="n">
        <f aca="false">IF(BZ6=②시니어_가정!$E$14,②시니어_가정!$E$452*②시니어_가정!$J$483,0)</f>
        <v>0</v>
      </c>
      <c r="CA103" s="37" t="n">
        <f aca="false">IF(CA6=②시니어_가정!$E$14,②시니어_가정!$E$452*②시니어_가정!$J$483,0)</f>
        <v>0</v>
      </c>
      <c r="CB103" s="37" t="n">
        <f aca="false">IF(CB6=②시니어_가정!$E$14,②시니어_가정!$E$452*②시니어_가정!$J$483,0)</f>
        <v>0</v>
      </c>
      <c r="CC103" s="37" t="n">
        <f aca="false">IF(CC6=②시니어_가정!$E$14,②시니어_가정!$E$452*②시니어_가정!$J$483,0)</f>
        <v>0</v>
      </c>
      <c r="CD103" s="37" t="n">
        <f aca="false">IF(CD6=②시니어_가정!$E$14,②시니어_가정!$E$452*②시니어_가정!$J$483,0)</f>
        <v>0</v>
      </c>
      <c r="CE103" s="37" t="n">
        <f aca="false">IF(CE6=②시니어_가정!$E$14,②시니어_가정!$E$452*②시니어_가정!$J$483,0)</f>
        <v>0</v>
      </c>
      <c r="CF103" s="37" t="n">
        <f aca="false">IF(CF6=②시니어_가정!$E$14,②시니어_가정!$E$452*②시니어_가정!$J$483,0)</f>
        <v>0</v>
      </c>
      <c r="CG103" s="37" t="n">
        <f aca="false">IF(CG6=②시니어_가정!$E$14,②시니어_가정!$E$452*②시니어_가정!$J$483,0)</f>
        <v>0</v>
      </c>
      <c r="CH103" s="37" t="n">
        <f aca="false">IF(CH6=②시니어_가정!$E$14,②시니어_가정!$E$452*②시니어_가정!$J$483,0)</f>
        <v>0</v>
      </c>
      <c r="CI103" s="37" t="n">
        <f aca="false">IF(CI6=②시니어_가정!$E$14,②시니어_가정!$E$452*②시니어_가정!$J$483,0)</f>
        <v>0</v>
      </c>
      <c r="CJ103" s="37" t="n">
        <f aca="false">IF(CJ6=②시니어_가정!$E$14,②시니어_가정!$E$452*②시니어_가정!$J$483,0)</f>
        <v>0</v>
      </c>
      <c r="CK103" s="37" t="n">
        <f aca="false">IF(CK6=②시니어_가정!$E$14,②시니어_가정!$E$452*②시니어_가정!$J$483,0)</f>
        <v>0</v>
      </c>
      <c r="CL103" s="37" t="n">
        <f aca="false">IF(CL6=②시니어_가정!$E$14,②시니어_가정!$E$452*②시니어_가정!$J$483,0)</f>
        <v>0</v>
      </c>
      <c r="CM103" s="37" t="n">
        <f aca="false">IF(CM6=②시니어_가정!$E$14,②시니어_가정!$E$452*②시니어_가정!$J$483,0)</f>
        <v>0</v>
      </c>
      <c r="CN103" s="37" t="n">
        <f aca="false">IF(CN6=②시니어_가정!$E$14,②시니어_가정!$E$452*②시니어_가정!$J$483,0)</f>
        <v>0</v>
      </c>
      <c r="CO103" s="37" t="n">
        <f aca="false">IF(CO6=②시니어_가정!$E$14,②시니어_가정!$E$452*②시니어_가정!$J$483,0)</f>
        <v>0</v>
      </c>
      <c r="CP103" s="37" t="n">
        <f aca="false">IF(CP6=②시니어_가정!$E$14,②시니어_가정!$E$452*②시니어_가정!$J$483,0)</f>
        <v>0</v>
      </c>
      <c r="CQ103" s="37" t="n">
        <f aca="false">IF(CQ6=②시니어_가정!$E$14,②시니어_가정!$E$452*②시니어_가정!$J$483,0)</f>
        <v>0</v>
      </c>
      <c r="CR103" s="37" t="n">
        <f aca="false">IF(CR6=②시니어_가정!$E$14,②시니어_가정!$E$452*②시니어_가정!$J$483,0)</f>
        <v>0</v>
      </c>
      <c r="CS103" s="37" t="n">
        <f aca="false">IF(CS6=②시니어_가정!$E$14,②시니어_가정!$E$452*②시니어_가정!$J$483,0)</f>
        <v>0</v>
      </c>
      <c r="CT103" s="37" t="n">
        <f aca="false">IF(CT6=②시니어_가정!$E$14,②시니어_가정!$E$452*②시니어_가정!$J$483,0)</f>
        <v>0</v>
      </c>
      <c r="CU103" s="37" t="n">
        <f aca="false">IF(CU6=②시니어_가정!$E$14,②시니어_가정!$E$452*②시니어_가정!$J$483,0)</f>
        <v>0</v>
      </c>
      <c r="CV103" s="37" t="n">
        <f aca="false">IF(CV6=②시니어_가정!$E$14,②시니어_가정!$E$452*②시니어_가정!$J$483,0)</f>
        <v>0</v>
      </c>
      <c r="CW103" s="37" t="n">
        <f aca="false">IF(CW6=②시니어_가정!$E$14,②시니어_가정!$E$452*②시니어_가정!$J$483,0)</f>
        <v>0</v>
      </c>
      <c r="CX103" s="37" t="n">
        <f aca="false">IF(CX6=②시니어_가정!$E$14,②시니어_가정!$E$452*②시니어_가정!$J$483,0)</f>
        <v>0</v>
      </c>
      <c r="CY103" s="37" t="n">
        <f aca="false">IF(CY6=②시니어_가정!$E$14,②시니어_가정!$E$452*②시니어_가정!$J$483,0)</f>
        <v>0</v>
      </c>
      <c r="CZ103" s="37" t="n">
        <f aca="false">IF(CZ6=②시니어_가정!$E$14,②시니어_가정!$E$452*②시니어_가정!$J$483,0)</f>
        <v>0</v>
      </c>
      <c r="DA103" s="37" t="n">
        <f aca="false">IF(DA6=②시니어_가정!$E$14,②시니어_가정!$E$452*②시니어_가정!$J$483,0)</f>
        <v>0</v>
      </c>
      <c r="DB103" s="37" t="n">
        <f aca="false">IF(DB6=②시니어_가정!$E$14,②시니어_가정!$E$452*②시니어_가정!$J$483,0)</f>
        <v>0</v>
      </c>
      <c r="DC103" s="37" t="n">
        <f aca="false">IF(DC6=②시니어_가정!$E$14,②시니어_가정!$E$452*②시니어_가정!$J$483,0)</f>
        <v>0</v>
      </c>
      <c r="DD103" s="37" t="n">
        <f aca="false">IF(DD6=②시니어_가정!$E$14,②시니어_가정!$E$452*②시니어_가정!$J$483,0)</f>
        <v>0</v>
      </c>
      <c r="DE103" s="37" t="n">
        <f aca="false">IF(DE6=②시니어_가정!$E$14,②시니어_가정!$E$452*②시니어_가정!$J$483,0)</f>
        <v>0</v>
      </c>
      <c r="DF103" s="37" t="n">
        <f aca="false">IF(DF6=②시니어_가정!$E$14,②시니어_가정!$E$452*②시니어_가정!$J$483,0)</f>
        <v>0</v>
      </c>
      <c r="DG103" s="37" t="n">
        <f aca="false">IF(DG6=②시니어_가정!$E$14,②시니어_가정!$E$452*②시니어_가정!$J$483,0)</f>
        <v>0</v>
      </c>
      <c r="DH103" s="37" t="n">
        <f aca="false">IF(DH6=②시니어_가정!$E$14,②시니어_가정!$E$452*②시니어_가정!$J$483,0)</f>
        <v>0</v>
      </c>
      <c r="DI103" s="37" t="n">
        <f aca="false">IF(DI6=②시니어_가정!$E$14,②시니어_가정!$E$452*②시니어_가정!$J$483,0)</f>
        <v>0</v>
      </c>
      <c r="DJ103" s="37" t="n">
        <f aca="false">IF(DJ6=②시니어_가정!$E$14,②시니어_가정!$E$452*②시니어_가정!$J$483,0)</f>
        <v>0</v>
      </c>
      <c r="DK103" s="37" t="n">
        <f aca="false">IF(DK6=②시니어_가정!$E$14,②시니어_가정!$E$452*②시니어_가정!$J$483,0)</f>
        <v>0</v>
      </c>
      <c r="DL103" s="37" t="n">
        <f aca="false">IF(DL6=②시니어_가정!$E$14,②시니어_가정!$E$452*②시니어_가정!$J$483,0)</f>
        <v>0</v>
      </c>
      <c r="DM103" s="37" t="n">
        <f aca="false">IF(DM6=②시니어_가정!$E$14,②시니어_가정!$E$452*②시니어_가정!$J$483,0)</f>
        <v>0</v>
      </c>
      <c r="DN103" s="37" t="n">
        <f aca="false">IF(DN6=②시니어_가정!$E$14,②시니어_가정!$E$452*②시니어_가정!$J$483,0)</f>
        <v>0</v>
      </c>
      <c r="DO103" s="37" t="n">
        <f aca="false">IF(DO6=②시니어_가정!$E$14,②시니어_가정!$E$452*②시니어_가정!$J$483,0)</f>
        <v>0</v>
      </c>
      <c r="DP103" s="37" t="n">
        <f aca="false">IF(DP6=②시니어_가정!$E$14,②시니어_가정!$E$452*②시니어_가정!$J$483,0)</f>
        <v>0</v>
      </c>
      <c r="DQ103" s="37" t="n">
        <f aca="false">IF(DQ6=②시니어_가정!$E$14,②시니어_가정!$E$452*②시니어_가정!$J$483,0)</f>
        <v>0</v>
      </c>
      <c r="DR103" s="37" t="n">
        <f aca="false">IF(DR6=②시니어_가정!$E$14,②시니어_가정!$E$452*②시니어_가정!$J$483,0)</f>
        <v>0</v>
      </c>
      <c r="DS103" s="37" t="n">
        <f aca="false">IF(DS6=②시니어_가정!$E$14,②시니어_가정!$E$452*②시니어_가정!$J$483,0)</f>
        <v>0</v>
      </c>
      <c r="DT103" s="37" t="n">
        <f aca="false">IF(DT6=②시니어_가정!$E$14,②시니어_가정!$E$452*②시니어_가정!$J$483,0)</f>
        <v>0</v>
      </c>
      <c r="DU103" s="37" t="n">
        <f aca="false">IF(DU6=②시니어_가정!$E$14,②시니어_가정!$E$452*②시니어_가정!$J$483,0)</f>
        <v>0</v>
      </c>
      <c r="DV103" s="37" t="n">
        <f aca="false">IF(DV6=②시니어_가정!$E$14,②시니어_가정!$E$452*②시니어_가정!$J$483,0)</f>
        <v>0</v>
      </c>
      <c r="DW103" s="37" t="n">
        <f aca="false">IF(DW6=②시니어_가정!$E$14,②시니어_가정!$E$452*②시니어_가정!$J$483,0)</f>
        <v>0</v>
      </c>
      <c r="DX103" s="37" t="n">
        <f aca="false">IF(DX6=②시니어_가정!$E$14,②시니어_가정!$E$452*②시니어_가정!$J$483,0)</f>
        <v>0</v>
      </c>
      <c r="DY103" s="37" t="n">
        <f aca="false">IF(DY6=②시니어_가정!$E$14,②시니어_가정!$E$452*②시니어_가정!$J$483,0)</f>
        <v>0</v>
      </c>
      <c r="DZ103" s="37" t="n">
        <f aca="false">IF(DZ6=②시니어_가정!$E$14,②시니어_가정!$E$452*②시니어_가정!$J$483,0)</f>
        <v>0</v>
      </c>
      <c r="EA103" s="37" t="n">
        <f aca="false">IF(EA6=②시니어_가정!$E$14,②시니어_가정!$E$452*②시니어_가정!$J$483,0)</f>
        <v>0</v>
      </c>
      <c r="EB103" s="37" t="n">
        <f aca="false">IF(EB6=②시니어_가정!$E$14,②시니어_가정!$E$452*②시니어_가정!$J$483,0)</f>
        <v>0</v>
      </c>
      <c r="EC103" s="37" t="n">
        <f aca="false">IF(EC6=②시니어_가정!$E$14,②시니어_가정!$E$452*②시니어_가정!$J$483,0)</f>
        <v>0</v>
      </c>
      <c r="ED103" s="37" t="n">
        <f aca="false">IF(ED6=②시니어_가정!$E$14,②시니어_가정!$E$452*②시니어_가정!$J$483,0)</f>
        <v>0</v>
      </c>
      <c r="EE103" s="37" t="n">
        <f aca="false">IF(EE6=②시니어_가정!$E$14,②시니어_가정!$E$452*②시니어_가정!$J$483,0)</f>
        <v>0</v>
      </c>
      <c r="EF103" s="37" t="n">
        <f aca="false">IF(EF6=②시니어_가정!$E$14,②시니어_가정!$E$452*②시니어_가정!$J$483,0)</f>
        <v>0</v>
      </c>
    </row>
    <row r="104" customFormat="false" ht="15" hidden="false" customHeight="false" outlineLevel="0" collapsed="false">
      <c r="A104" s="153" t="s">
        <v>643</v>
      </c>
      <c r="B104" s="278" t="s">
        <v>21</v>
      </c>
      <c r="C104" s="279" t="n">
        <f aca="false">SUM(E104:EF104)</f>
        <v>453.647431140533</v>
      </c>
      <c r="E104" s="37" t="n">
        <f aca="false">IF(E6=②시니어_가정!$E$14,②시니어_가정!$E$453*②시니어_가정!$J$484,0)</f>
        <v>0</v>
      </c>
      <c r="F104" s="37" t="n">
        <f aca="false">IF(F6=②시니어_가정!$E$14,②시니어_가정!$E$453*②시니어_가정!$J$484,0)</f>
        <v>0</v>
      </c>
      <c r="G104" s="37" t="n">
        <f aca="false">IF(G6=②시니어_가정!$E$14,②시니어_가정!$E$453*②시니어_가정!$J$484,0)</f>
        <v>0</v>
      </c>
      <c r="H104" s="37" t="n">
        <f aca="false">IF(H6=②시니어_가정!$E$14,②시니어_가정!$E$453*②시니어_가정!$J$484,0)</f>
        <v>0</v>
      </c>
      <c r="I104" s="37" t="n">
        <f aca="false">IF(I6=②시니어_가정!$E$14,②시니어_가정!$E$453*②시니어_가정!$J$484,0)</f>
        <v>0</v>
      </c>
      <c r="J104" s="37" t="n">
        <f aca="false">IF(J6=②시니어_가정!$E$14,②시니어_가정!$E$453*②시니어_가정!$J$484,0)</f>
        <v>0</v>
      </c>
      <c r="K104" s="37" t="n">
        <f aca="false">IF(K6=②시니어_가정!$E$14,②시니어_가정!$E$453*②시니어_가정!$J$484,0)</f>
        <v>0</v>
      </c>
      <c r="L104" s="37" t="n">
        <f aca="false">IF(L6=②시니어_가정!$E$14,②시니어_가정!$E$453*②시니어_가정!$J$484,0)</f>
        <v>0</v>
      </c>
      <c r="M104" s="37" t="n">
        <f aca="false">IF(M6=②시니어_가정!$E$14,②시니어_가정!$E$453*②시니어_가정!$J$484,0)</f>
        <v>0</v>
      </c>
      <c r="N104" s="37" t="n">
        <f aca="false">IF(N6=②시니어_가정!$E$14,②시니어_가정!$E$453*②시니어_가정!$J$484,0)</f>
        <v>0</v>
      </c>
      <c r="O104" s="37" t="n">
        <f aca="false">IF(O6=②시니어_가정!$E$14,②시니어_가정!$E$453*②시니어_가정!$J$484,0)</f>
        <v>0</v>
      </c>
      <c r="P104" s="37" t="n">
        <f aca="false">IF(P6=②시니어_가정!$E$14,②시니어_가정!$E$453*②시니어_가정!$J$484,0)</f>
        <v>0</v>
      </c>
      <c r="Q104" s="37" t="n">
        <f aca="false">IF(Q6=②시니어_가정!$E$14,②시니어_가정!$E$453*②시니어_가정!$J$484,0)</f>
        <v>0</v>
      </c>
      <c r="R104" s="37" t="n">
        <f aca="false">IF(R6=②시니어_가정!$E$14,②시니어_가정!$E$453*②시니어_가정!$J$484,0)</f>
        <v>0</v>
      </c>
      <c r="S104" s="37" t="n">
        <f aca="false">IF(S6=②시니어_가정!$E$14,②시니어_가정!$E$453*②시니어_가정!$J$484,0)</f>
        <v>0</v>
      </c>
      <c r="T104" s="37" t="n">
        <f aca="false">IF(T6=②시니어_가정!$E$14,②시니어_가정!$E$453*②시니어_가정!$J$484,0)</f>
        <v>0</v>
      </c>
      <c r="U104" s="37" t="n">
        <f aca="false">IF(U6=②시니어_가정!$E$14,②시니어_가정!$E$453*②시니어_가정!$J$484,0)</f>
        <v>0</v>
      </c>
      <c r="V104" s="37" t="n">
        <f aca="false">IF(V6=②시니어_가정!$E$14,②시니어_가정!$E$453*②시니어_가정!$J$484,0)</f>
        <v>0</v>
      </c>
      <c r="W104" s="37" t="n">
        <f aca="false">IF(W6=②시니어_가정!$E$14,②시니어_가정!$E$453*②시니어_가정!$J$484,0)</f>
        <v>453.647431140533</v>
      </c>
      <c r="X104" s="37" t="n">
        <f aca="false">IF(X6=②시니어_가정!$E$14,②시니어_가정!$E$453*②시니어_가정!$J$484,0)</f>
        <v>0</v>
      </c>
      <c r="Y104" s="37" t="n">
        <f aca="false">IF(Y6=②시니어_가정!$E$14,②시니어_가정!$E$453*②시니어_가정!$J$484,0)</f>
        <v>0</v>
      </c>
      <c r="Z104" s="37" t="n">
        <f aca="false">IF(Z6=②시니어_가정!$E$14,②시니어_가정!$E$453*②시니어_가정!$J$484,0)</f>
        <v>0</v>
      </c>
      <c r="AA104" s="37" t="n">
        <f aca="false">IF(AA6=②시니어_가정!$E$14,②시니어_가정!$E$453*②시니어_가정!$J$484,0)</f>
        <v>0</v>
      </c>
      <c r="AB104" s="37" t="n">
        <f aca="false">IF(AB6=②시니어_가정!$E$14,②시니어_가정!$E$453*②시니어_가정!$J$484,0)</f>
        <v>0</v>
      </c>
      <c r="AC104" s="37" t="n">
        <f aca="false">IF(AC6=②시니어_가정!$E$14,②시니어_가정!$E$453*②시니어_가정!$J$484,0)</f>
        <v>0</v>
      </c>
      <c r="AD104" s="37" t="n">
        <f aca="false">IF(AD6=②시니어_가정!$E$14,②시니어_가정!$E$453*②시니어_가정!$J$484,0)</f>
        <v>0</v>
      </c>
      <c r="AE104" s="37" t="n">
        <f aca="false">IF(AE6=②시니어_가정!$E$14,②시니어_가정!$E$453*②시니어_가정!$J$484,0)</f>
        <v>0</v>
      </c>
      <c r="AF104" s="37" t="n">
        <f aca="false">IF(AF6=②시니어_가정!$E$14,②시니어_가정!$E$453*②시니어_가정!$J$484,0)</f>
        <v>0</v>
      </c>
      <c r="AG104" s="37" t="n">
        <f aca="false">IF(AG6=②시니어_가정!$E$14,②시니어_가정!$E$453*②시니어_가정!$J$484,0)</f>
        <v>0</v>
      </c>
      <c r="AH104" s="37" t="n">
        <f aca="false">IF(AH6=②시니어_가정!$E$14,②시니어_가정!$E$453*②시니어_가정!$J$484,0)</f>
        <v>0</v>
      </c>
      <c r="AI104" s="37" t="n">
        <f aca="false">IF(AI6=②시니어_가정!$E$14,②시니어_가정!$E$453*②시니어_가정!$J$484,0)</f>
        <v>0</v>
      </c>
      <c r="AJ104" s="37" t="n">
        <f aca="false">IF(AJ6=②시니어_가정!$E$14,②시니어_가정!$E$453*②시니어_가정!$J$484,0)</f>
        <v>0</v>
      </c>
      <c r="AK104" s="37" t="n">
        <f aca="false">IF(AK6=②시니어_가정!$E$14,②시니어_가정!$E$453*②시니어_가정!$J$484,0)</f>
        <v>0</v>
      </c>
      <c r="AL104" s="37" t="n">
        <f aca="false">IF(AL6=②시니어_가정!$E$14,②시니어_가정!$E$453*②시니어_가정!$J$484,0)</f>
        <v>0</v>
      </c>
      <c r="AM104" s="37" t="n">
        <f aca="false">IF(AM6=②시니어_가정!$E$14,②시니어_가정!$E$453*②시니어_가정!$J$484,0)</f>
        <v>0</v>
      </c>
      <c r="AN104" s="37" t="n">
        <f aca="false">IF(AN6=②시니어_가정!$E$14,②시니어_가정!$E$453*②시니어_가정!$J$484,0)</f>
        <v>0</v>
      </c>
      <c r="AO104" s="37" t="n">
        <f aca="false">IF(AO6=②시니어_가정!$E$14,②시니어_가정!$E$453*②시니어_가정!$J$484,0)</f>
        <v>0</v>
      </c>
      <c r="AP104" s="37" t="n">
        <f aca="false">IF(AP6=②시니어_가정!$E$14,②시니어_가정!$E$453*②시니어_가정!$J$484,0)</f>
        <v>0</v>
      </c>
      <c r="AQ104" s="37" t="n">
        <f aca="false">IF(AQ6=②시니어_가정!$E$14,②시니어_가정!$E$453*②시니어_가정!$J$484,0)</f>
        <v>0</v>
      </c>
      <c r="AR104" s="37" t="n">
        <f aca="false">IF(AR6=②시니어_가정!$E$14,②시니어_가정!$E$453*②시니어_가정!$J$484,0)</f>
        <v>0</v>
      </c>
      <c r="AS104" s="37" t="n">
        <f aca="false">IF(AS6=②시니어_가정!$E$14,②시니어_가정!$E$453*②시니어_가정!$J$484,0)</f>
        <v>0</v>
      </c>
      <c r="AT104" s="37" t="n">
        <f aca="false">IF(AT6=②시니어_가정!$E$14,②시니어_가정!$E$453*②시니어_가정!$J$484,0)</f>
        <v>0</v>
      </c>
      <c r="AU104" s="37" t="n">
        <f aca="false">IF(AU6=②시니어_가정!$E$14,②시니어_가정!$E$453*②시니어_가정!$J$484,0)</f>
        <v>0</v>
      </c>
      <c r="AV104" s="37" t="n">
        <f aca="false">IF(AV6=②시니어_가정!$E$14,②시니어_가정!$E$453*②시니어_가정!$J$484,0)</f>
        <v>0</v>
      </c>
      <c r="AW104" s="37" t="n">
        <f aca="false">IF(AW6=②시니어_가정!$E$14,②시니어_가정!$E$453*②시니어_가정!$J$484,0)</f>
        <v>0</v>
      </c>
      <c r="AX104" s="37" t="n">
        <f aca="false">IF(AX6=②시니어_가정!$E$14,②시니어_가정!$E$453*②시니어_가정!$J$484,0)</f>
        <v>0</v>
      </c>
      <c r="AY104" s="37" t="n">
        <f aca="false">IF(AY6=②시니어_가정!$E$14,②시니어_가정!$E$453*②시니어_가정!$J$484,0)</f>
        <v>0</v>
      </c>
      <c r="AZ104" s="37" t="n">
        <f aca="false">IF(AZ6=②시니어_가정!$E$14,②시니어_가정!$E$453*②시니어_가정!$J$484,0)</f>
        <v>0</v>
      </c>
      <c r="BA104" s="37" t="n">
        <f aca="false">IF(BA6=②시니어_가정!$E$14,②시니어_가정!$E$453*②시니어_가정!$J$484,0)</f>
        <v>0</v>
      </c>
      <c r="BB104" s="37" t="n">
        <f aca="false">IF(BB6=②시니어_가정!$E$14,②시니어_가정!$E$453*②시니어_가정!$J$484,0)</f>
        <v>0</v>
      </c>
      <c r="BC104" s="37" t="n">
        <f aca="false">IF(BC6=②시니어_가정!$E$14,②시니어_가정!$E$453*②시니어_가정!$J$484,0)</f>
        <v>0</v>
      </c>
      <c r="BD104" s="37" t="n">
        <f aca="false">IF(BD6=②시니어_가정!$E$14,②시니어_가정!$E$453*②시니어_가정!$J$484,0)</f>
        <v>0</v>
      </c>
      <c r="BE104" s="37" t="n">
        <f aca="false">IF(BE6=②시니어_가정!$E$14,②시니어_가정!$E$453*②시니어_가정!$J$484,0)</f>
        <v>0</v>
      </c>
      <c r="BF104" s="37" t="n">
        <f aca="false">IF(BF6=②시니어_가정!$E$14,②시니어_가정!$E$453*②시니어_가정!$J$484,0)</f>
        <v>0</v>
      </c>
      <c r="BG104" s="37" t="n">
        <f aca="false">IF(BG6=②시니어_가정!$E$14,②시니어_가정!$E$453*②시니어_가정!$J$484,0)</f>
        <v>0</v>
      </c>
      <c r="BH104" s="37" t="n">
        <f aca="false">IF(BH6=②시니어_가정!$E$14,②시니어_가정!$E$453*②시니어_가정!$J$484,0)</f>
        <v>0</v>
      </c>
      <c r="BI104" s="37" t="n">
        <f aca="false">IF(BI6=②시니어_가정!$E$14,②시니어_가정!$E$453*②시니어_가정!$J$484,0)</f>
        <v>0</v>
      </c>
      <c r="BJ104" s="37" t="n">
        <f aca="false">IF(BJ6=②시니어_가정!$E$14,②시니어_가정!$E$453*②시니어_가정!$J$484,0)</f>
        <v>0</v>
      </c>
      <c r="BK104" s="37" t="n">
        <f aca="false">IF(BK6=②시니어_가정!$E$14,②시니어_가정!$E$453*②시니어_가정!$J$484,0)</f>
        <v>0</v>
      </c>
      <c r="BL104" s="37" t="n">
        <f aca="false">IF(BL6=②시니어_가정!$E$14,②시니어_가정!$E$453*②시니어_가정!$J$484,0)</f>
        <v>0</v>
      </c>
      <c r="BM104" s="37" t="n">
        <f aca="false">IF(BM6=②시니어_가정!$E$14,②시니어_가정!$E$453*②시니어_가정!$J$484,0)</f>
        <v>0</v>
      </c>
      <c r="BN104" s="37" t="n">
        <f aca="false">IF(BN6=②시니어_가정!$E$14,②시니어_가정!$E$453*②시니어_가정!$J$484,0)</f>
        <v>0</v>
      </c>
      <c r="BO104" s="37" t="n">
        <f aca="false">IF(BO6=②시니어_가정!$E$14,②시니어_가정!$E$453*②시니어_가정!$J$484,0)</f>
        <v>0</v>
      </c>
      <c r="BP104" s="37" t="n">
        <f aca="false">IF(BP6=②시니어_가정!$E$14,②시니어_가정!$E$453*②시니어_가정!$J$484,0)</f>
        <v>0</v>
      </c>
      <c r="BQ104" s="37" t="n">
        <f aca="false">IF(BQ6=②시니어_가정!$E$14,②시니어_가정!$E$453*②시니어_가정!$J$484,0)</f>
        <v>0</v>
      </c>
      <c r="BR104" s="37" t="n">
        <f aca="false">IF(BR6=②시니어_가정!$E$14,②시니어_가정!$E$453*②시니어_가정!$J$484,0)</f>
        <v>0</v>
      </c>
      <c r="BS104" s="37" t="n">
        <f aca="false">IF(BS6=②시니어_가정!$E$14,②시니어_가정!$E$453*②시니어_가정!$J$484,0)</f>
        <v>0</v>
      </c>
      <c r="BT104" s="37" t="n">
        <f aca="false">IF(BT6=②시니어_가정!$E$14,②시니어_가정!$E$453*②시니어_가정!$J$484,0)</f>
        <v>0</v>
      </c>
      <c r="BU104" s="37" t="n">
        <f aca="false">IF(BU6=②시니어_가정!$E$14,②시니어_가정!$E$453*②시니어_가정!$J$484,0)</f>
        <v>0</v>
      </c>
      <c r="BV104" s="37" t="n">
        <f aca="false">IF(BV6=②시니어_가정!$E$14,②시니어_가정!$E$453*②시니어_가정!$J$484,0)</f>
        <v>0</v>
      </c>
      <c r="BW104" s="37" t="n">
        <f aca="false">IF(BW6=②시니어_가정!$E$14,②시니어_가정!$E$453*②시니어_가정!$J$484,0)</f>
        <v>0</v>
      </c>
      <c r="BX104" s="37" t="n">
        <f aca="false">IF(BX6=②시니어_가정!$E$14,②시니어_가정!$E$453*②시니어_가정!$J$484,0)</f>
        <v>0</v>
      </c>
      <c r="BY104" s="37" t="n">
        <f aca="false">IF(BY6=②시니어_가정!$E$14,②시니어_가정!$E$453*②시니어_가정!$J$484,0)</f>
        <v>0</v>
      </c>
      <c r="BZ104" s="37" t="n">
        <f aca="false">IF(BZ6=②시니어_가정!$E$14,②시니어_가정!$E$453*②시니어_가정!$J$484,0)</f>
        <v>0</v>
      </c>
      <c r="CA104" s="37" t="n">
        <f aca="false">IF(CA6=②시니어_가정!$E$14,②시니어_가정!$E$453*②시니어_가정!$J$484,0)</f>
        <v>0</v>
      </c>
      <c r="CB104" s="37" t="n">
        <f aca="false">IF(CB6=②시니어_가정!$E$14,②시니어_가정!$E$453*②시니어_가정!$J$484,0)</f>
        <v>0</v>
      </c>
      <c r="CC104" s="37" t="n">
        <f aca="false">IF(CC6=②시니어_가정!$E$14,②시니어_가정!$E$453*②시니어_가정!$J$484,0)</f>
        <v>0</v>
      </c>
      <c r="CD104" s="37" t="n">
        <f aca="false">IF(CD6=②시니어_가정!$E$14,②시니어_가정!$E$453*②시니어_가정!$J$484,0)</f>
        <v>0</v>
      </c>
      <c r="CE104" s="37" t="n">
        <f aca="false">IF(CE6=②시니어_가정!$E$14,②시니어_가정!$E$453*②시니어_가정!$J$484,0)</f>
        <v>0</v>
      </c>
      <c r="CF104" s="37" t="n">
        <f aca="false">IF(CF6=②시니어_가정!$E$14,②시니어_가정!$E$453*②시니어_가정!$J$484,0)</f>
        <v>0</v>
      </c>
      <c r="CG104" s="37" t="n">
        <f aca="false">IF(CG6=②시니어_가정!$E$14,②시니어_가정!$E$453*②시니어_가정!$J$484,0)</f>
        <v>0</v>
      </c>
      <c r="CH104" s="37" t="n">
        <f aca="false">IF(CH6=②시니어_가정!$E$14,②시니어_가정!$E$453*②시니어_가정!$J$484,0)</f>
        <v>0</v>
      </c>
      <c r="CI104" s="37" t="n">
        <f aca="false">IF(CI6=②시니어_가정!$E$14,②시니어_가정!$E$453*②시니어_가정!$J$484,0)</f>
        <v>0</v>
      </c>
      <c r="CJ104" s="37" t="n">
        <f aca="false">IF(CJ6=②시니어_가정!$E$14,②시니어_가정!$E$453*②시니어_가정!$J$484,0)</f>
        <v>0</v>
      </c>
      <c r="CK104" s="37" t="n">
        <f aca="false">IF(CK6=②시니어_가정!$E$14,②시니어_가정!$E$453*②시니어_가정!$J$484,0)</f>
        <v>0</v>
      </c>
      <c r="CL104" s="37" t="n">
        <f aca="false">IF(CL6=②시니어_가정!$E$14,②시니어_가정!$E$453*②시니어_가정!$J$484,0)</f>
        <v>0</v>
      </c>
      <c r="CM104" s="37" t="n">
        <f aca="false">IF(CM6=②시니어_가정!$E$14,②시니어_가정!$E$453*②시니어_가정!$J$484,0)</f>
        <v>0</v>
      </c>
      <c r="CN104" s="37" t="n">
        <f aca="false">IF(CN6=②시니어_가정!$E$14,②시니어_가정!$E$453*②시니어_가정!$J$484,0)</f>
        <v>0</v>
      </c>
      <c r="CO104" s="37" t="n">
        <f aca="false">IF(CO6=②시니어_가정!$E$14,②시니어_가정!$E$453*②시니어_가정!$J$484,0)</f>
        <v>0</v>
      </c>
      <c r="CP104" s="37" t="n">
        <f aca="false">IF(CP6=②시니어_가정!$E$14,②시니어_가정!$E$453*②시니어_가정!$J$484,0)</f>
        <v>0</v>
      </c>
      <c r="CQ104" s="37" t="n">
        <f aca="false">IF(CQ6=②시니어_가정!$E$14,②시니어_가정!$E$453*②시니어_가정!$J$484,0)</f>
        <v>0</v>
      </c>
      <c r="CR104" s="37" t="n">
        <f aca="false">IF(CR6=②시니어_가정!$E$14,②시니어_가정!$E$453*②시니어_가정!$J$484,0)</f>
        <v>0</v>
      </c>
      <c r="CS104" s="37" t="n">
        <f aca="false">IF(CS6=②시니어_가정!$E$14,②시니어_가정!$E$453*②시니어_가정!$J$484,0)</f>
        <v>0</v>
      </c>
      <c r="CT104" s="37" t="n">
        <f aca="false">IF(CT6=②시니어_가정!$E$14,②시니어_가정!$E$453*②시니어_가정!$J$484,0)</f>
        <v>0</v>
      </c>
      <c r="CU104" s="37" t="n">
        <f aca="false">IF(CU6=②시니어_가정!$E$14,②시니어_가정!$E$453*②시니어_가정!$J$484,0)</f>
        <v>0</v>
      </c>
      <c r="CV104" s="37" t="n">
        <f aca="false">IF(CV6=②시니어_가정!$E$14,②시니어_가정!$E$453*②시니어_가정!$J$484,0)</f>
        <v>0</v>
      </c>
      <c r="CW104" s="37" t="n">
        <f aca="false">IF(CW6=②시니어_가정!$E$14,②시니어_가정!$E$453*②시니어_가정!$J$484,0)</f>
        <v>0</v>
      </c>
      <c r="CX104" s="37" t="n">
        <f aca="false">IF(CX6=②시니어_가정!$E$14,②시니어_가정!$E$453*②시니어_가정!$J$484,0)</f>
        <v>0</v>
      </c>
      <c r="CY104" s="37" t="n">
        <f aca="false">IF(CY6=②시니어_가정!$E$14,②시니어_가정!$E$453*②시니어_가정!$J$484,0)</f>
        <v>0</v>
      </c>
      <c r="CZ104" s="37" t="n">
        <f aca="false">IF(CZ6=②시니어_가정!$E$14,②시니어_가정!$E$453*②시니어_가정!$J$484,0)</f>
        <v>0</v>
      </c>
      <c r="DA104" s="37" t="n">
        <f aca="false">IF(DA6=②시니어_가정!$E$14,②시니어_가정!$E$453*②시니어_가정!$J$484,0)</f>
        <v>0</v>
      </c>
      <c r="DB104" s="37" t="n">
        <f aca="false">IF(DB6=②시니어_가정!$E$14,②시니어_가정!$E$453*②시니어_가정!$J$484,0)</f>
        <v>0</v>
      </c>
      <c r="DC104" s="37" t="n">
        <f aca="false">IF(DC6=②시니어_가정!$E$14,②시니어_가정!$E$453*②시니어_가정!$J$484,0)</f>
        <v>0</v>
      </c>
      <c r="DD104" s="37" t="n">
        <f aca="false">IF(DD6=②시니어_가정!$E$14,②시니어_가정!$E$453*②시니어_가정!$J$484,0)</f>
        <v>0</v>
      </c>
      <c r="DE104" s="37" t="n">
        <f aca="false">IF(DE6=②시니어_가정!$E$14,②시니어_가정!$E$453*②시니어_가정!$J$484,0)</f>
        <v>0</v>
      </c>
      <c r="DF104" s="37" t="n">
        <f aca="false">IF(DF6=②시니어_가정!$E$14,②시니어_가정!$E$453*②시니어_가정!$J$484,0)</f>
        <v>0</v>
      </c>
      <c r="DG104" s="37" t="n">
        <f aca="false">IF(DG6=②시니어_가정!$E$14,②시니어_가정!$E$453*②시니어_가정!$J$484,0)</f>
        <v>0</v>
      </c>
      <c r="DH104" s="37" t="n">
        <f aca="false">IF(DH6=②시니어_가정!$E$14,②시니어_가정!$E$453*②시니어_가정!$J$484,0)</f>
        <v>0</v>
      </c>
      <c r="DI104" s="37" t="n">
        <f aca="false">IF(DI6=②시니어_가정!$E$14,②시니어_가정!$E$453*②시니어_가정!$J$484,0)</f>
        <v>0</v>
      </c>
      <c r="DJ104" s="37" t="n">
        <f aca="false">IF(DJ6=②시니어_가정!$E$14,②시니어_가정!$E$453*②시니어_가정!$J$484,0)</f>
        <v>0</v>
      </c>
      <c r="DK104" s="37" t="n">
        <f aca="false">IF(DK6=②시니어_가정!$E$14,②시니어_가정!$E$453*②시니어_가정!$J$484,0)</f>
        <v>0</v>
      </c>
      <c r="DL104" s="37" t="n">
        <f aca="false">IF(DL6=②시니어_가정!$E$14,②시니어_가정!$E$453*②시니어_가정!$J$484,0)</f>
        <v>0</v>
      </c>
      <c r="DM104" s="37" t="n">
        <f aca="false">IF(DM6=②시니어_가정!$E$14,②시니어_가정!$E$453*②시니어_가정!$J$484,0)</f>
        <v>0</v>
      </c>
      <c r="DN104" s="37" t="n">
        <f aca="false">IF(DN6=②시니어_가정!$E$14,②시니어_가정!$E$453*②시니어_가정!$J$484,0)</f>
        <v>0</v>
      </c>
      <c r="DO104" s="37" t="n">
        <f aca="false">IF(DO6=②시니어_가정!$E$14,②시니어_가정!$E$453*②시니어_가정!$J$484,0)</f>
        <v>0</v>
      </c>
      <c r="DP104" s="37" t="n">
        <f aca="false">IF(DP6=②시니어_가정!$E$14,②시니어_가정!$E$453*②시니어_가정!$J$484,0)</f>
        <v>0</v>
      </c>
      <c r="DQ104" s="37" t="n">
        <f aca="false">IF(DQ6=②시니어_가정!$E$14,②시니어_가정!$E$453*②시니어_가정!$J$484,0)</f>
        <v>0</v>
      </c>
      <c r="DR104" s="37" t="n">
        <f aca="false">IF(DR6=②시니어_가정!$E$14,②시니어_가정!$E$453*②시니어_가정!$J$484,0)</f>
        <v>0</v>
      </c>
      <c r="DS104" s="37" t="n">
        <f aca="false">IF(DS6=②시니어_가정!$E$14,②시니어_가정!$E$453*②시니어_가정!$J$484,0)</f>
        <v>0</v>
      </c>
      <c r="DT104" s="37" t="n">
        <f aca="false">IF(DT6=②시니어_가정!$E$14,②시니어_가정!$E$453*②시니어_가정!$J$484,0)</f>
        <v>0</v>
      </c>
      <c r="DU104" s="37" t="n">
        <f aca="false">IF(DU6=②시니어_가정!$E$14,②시니어_가정!$E$453*②시니어_가정!$J$484,0)</f>
        <v>0</v>
      </c>
      <c r="DV104" s="37" t="n">
        <f aca="false">IF(DV6=②시니어_가정!$E$14,②시니어_가정!$E$453*②시니어_가정!$J$484,0)</f>
        <v>0</v>
      </c>
      <c r="DW104" s="37" t="n">
        <f aca="false">IF(DW6=②시니어_가정!$E$14,②시니어_가정!$E$453*②시니어_가정!$J$484,0)</f>
        <v>0</v>
      </c>
      <c r="DX104" s="37" t="n">
        <f aca="false">IF(DX6=②시니어_가정!$E$14,②시니어_가정!$E$453*②시니어_가정!$J$484,0)</f>
        <v>0</v>
      </c>
      <c r="DY104" s="37" t="n">
        <f aca="false">IF(DY6=②시니어_가정!$E$14,②시니어_가정!$E$453*②시니어_가정!$J$484,0)</f>
        <v>0</v>
      </c>
      <c r="DZ104" s="37" t="n">
        <f aca="false">IF(DZ6=②시니어_가정!$E$14,②시니어_가정!$E$453*②시니어_가정!$J$484,0)</f>
        <v>0</v>
      </c>
      <c r="EA104" s="37" t="n">
        <f aca="false">IF(EA6=②시니어_가정!$E$14,②시니어_가정!$E$453*②시니어_가정!$J$484,0)</f>
        <v>0</v>
      </c>
      <c r="EB104" s="37" t="n">
        <f aca="false">IF(EB6=②시니어_가정!$E$14,②시니어_가정!$E$453*②시니어_가정!$J$484,0)</f>
        <v>0</v>
      </c>
      <c r="EC104" s="37" t="n">
        <f aca="false">IF(EC6=②시니어_가정!$E$14,②시니어_가정!$E$453*②시니어_가정!$J$484,0)</f>
        <v>0</v>
      </c>
      <c r="ED104" s="37" t="n">
        <f aca="false">IF(ED6=②시니어_가정!$E$14,②시니어_가정!$E$453*②시니어_가정!$J$484,0)</f>
        <v>0</v>
      </c>
      <c r="EE104" s="37" t="n">
        <f aca="false">IF(EE6=②시니어_가정!$E$14,②시니어_가정!$E$453*②시니어_가정!$J$484,0)</f>
        <v>0</v>
      </c>
      <c r="EF104" s="37" t="n">
        <f aca="false">IF(EF6=②시니어_가정!$E$14,②시니어_가정!$E$453*②시니어_가정!$J$484,0)</f>
        <v>0</v>
      </c>
    </row>
    <row r="105" customFormat="false" ht="15" hidden="false" customHeight="false" outlineLevel="0" collapsed="false">
      <c r="A105" s="153" t="s">
        <v>644</v>
      </c>
      <c r="B105" s="278" t="s">
        <v>21</v>
      </c>
      <c r="C105" s="279" t="n">
        <f aca="false">SUM(E105:EF105)</f>
        <v>453.329973176124</v>
      </c>
      <c r="E105" s="37" t="n">
        <f aca="false">IF(E6=②시니어_가정!$E$14,②시니어_가정!$E$454*②시니어_가정!$J$485,0)</f>
        <v>0</v>
      </c>
      <c r="F105" s="37" t="n">
        <f aca="false">IF(F6=②시니어_가정!$E$14,②시니어_가정!$E$454*②시니어_가정!$J$485,0)</f>
        <v>0</v>
      </c>
      <c r="G105" s="37" t="n">
        <f aca="false">IF(G6=②시니어_가정!$E$14,②시니어_가정!$E$454*②시니어_가정!$J$485,0)</f>
        <v>0</v>
      </c>
      <c r="H105" s="37" t="n">
        <f aca="false">IF(H6=②시니어_가정!$E$14,②시니어_가정!$E$454*②시니어_가정!$J$485,0)</f>
        <v>0</v>
      </c>
      <c r="I105" s="37" t="n">
        <f aca="false">IF(I6=②시니어_가정!$E$14,②시니어_가정!$E$454*②시니어_가정!$J$485,0)</f>
        <v>0</v>
      </c>
      <c r="J105" s="37" t="n">
        <f aca="false">IF(J6=②시니어_가정!$E$14,②시니어_가정!$E$454*②시니어_가정!$J$485,0)</f>
        <v>0</v>
      </c>
      <c r="K105" s="37" t="n">
        <f aca="false">IF(K6=②시니어_가정!$E$14,②시니어_가정!$E$454*②시니어_가정!$J$485,0)</f>
        <v>0</v>
      </c>
      <c r="L105" s="37" t="n">
        <f aca="false">IF(L6=②시니어_가정!$E$14,②시니어_가정!$E$454*②시니어_가정!$J$485,0)</f>
        <v>0</v>
      </c>
      <c r="M105" s="37" t="n">
        <f aca="false">IF(M6=②시니어_가정!$E$14,②시니어_가정!$E$454*②시니어_가정!$J$485,0)</f>
        <v>0</v>
      </c>
      <c r="N105" s="37" t="n">
        <f aca="false">IF(N6=②시니어_가정!$E$14,②시니어_가정!$E$454*②시니어_가정!$J$485,0)</f>
        <v>0</v>
      </c>
      <c r="O105" s="37" t="n">
        <f aca="false">IF(O6=②시니어_가정!$E$14,②시니어_가정!$E$454*②시니어_가정!$J$485,0)</f>
        <v>0</v>
      </c>
      <c r="P105" s="37" t="n">
        <f aca="false">IF(P6=②시니어_가정!$E$14,②시니어_가정!$E$454*②시니어_가정!$J$485,0)</f>
        <v>0</v>
      </c>
      <c r="Q105" s="37" t="n">
        <f aca="false">IF(Q6=②시니어_가정!$E$14,②시니어_가정!$E$454*②시니어_가정!$J$485,0)</f>
        <v>0</v>
      </c>
      <c r="R105" s="37" t="n">
        <f aca="false">IF(R6=②시니어_가정!$E$14,②시니어_가정!$E$454*②시니어_가정!$J$485,0)</f>
        <v>0</v>
      </c>
      <c r="S105" s="37" t="n">
        <f aca="false">IF(S6=②시니어_가정!$E$14,②시니어_가정!$E$454*②시니어_가정!$J$485,0)</f>
        <v>0</v>
      </c>
      <c r="T105" s="37" t="n">
        <f aca="false">IF(T6=②시니어_가정!$E$14,②시니어_가정!$E$454*②시니어_가정!$J$485,0)</f>
        <v>0</v>
      </c>
      <c r="U105" s="37" t="n">
        <f aca="false">IF(U6=②시니어_가정!$E$14,②시니어_가정!$E$454*②시니어_가정!$J$485,0)</f>
        <v>0</v>
      </c>
      <c r="V105" s="37" t="n">
        <f aca="false">IF(V6=②시니어_가정!$E$14,②시니어_가정!$E$454*②시니어_가정!$J$485,0)</f>
        <v>0</v>
      </c>
      <c r="W105" s="37" t="n">
        <f aca="false">IF(W6=②시니어_가정!$E$14,②시니어_가정!$E$454*②시니어_가정!$J$485,0)</f>
        <v>453.329973176124</v>
      </c>
      <c r="X105" s="37" t="n">
        <f aca="false">IF(X6=②시니어_가정!$E$14,②시니어_가정!$E$454*②시니어_가정!$J$485,0)</f>
        <v>0</v>
      </c>
      <c r="Y105" s="37" t="n">
        <f aca="false">IF(Y6=②시니어_가정!$E$14,②시니어_가정!$E$454*②시니어_가정!$J$485,0)</f>
        <v>0</v>
      </c>
      <c r="Z105" s="37" t="n">
        <f aca="false">IF(Z6=②시니어_가정!$E$14,②시니어_가정!$E$454*②시니어_가정!$J$485,0)</f>
        <v>0</v>
      </c>
      <c r="AA105" s="37" t="n">
        <f aca="false">IF(AA6=②시니어_가정!$E$14,②시니어_가정!$E$454*②시니어_가정!$J$485,0)</f>
        <v>0</v>
      </c>
      <c r="AB105" s="37" t="n">
        <f aca="false">IF(AB6=②시니어_가정!$E$14,②시니어_가정!$E$454*②시니어_가정!$J$485,0)</f>
        <v>0</v>
      </c>
      <c r="AC105" s="37" t="n">
        <f aca="false">IF(AC6=②시니어_가정!$E$14,②시니어_가정!$E$454*②시니어_가정!$J$485,0)</f>
        <v>0</v>
      </c>
      <c r="AD105" s="37" t="n">
        <f aca="false">IF(AD6=②시니어_가정!$E$14,②시니어_가정!$E$454*②시니어_가정!$J$485,0)</f>
        <v>0</v>
      </c>
      <c r="AE105" s="37" t="n">
        <f aca="false">IF(AE6=②시니어_가정!$E$14,②시니어_가정!$E$454*②시니어_가정!$J$485,0)</f>
        <v>0</v>
      </c>
      <c r="AF105" s="37" t="n">
        <f aca="false">IF(AF6=②시니어_가정!$E$14,②시니어_가정!$E$454*②시니어_가정!$J$485,0)</f>
        <v>0</v>
      </c>
      <c r="AG105" s="37" t="n">
        <f aca="false">IF(AG6=②시니어_가정!$E$14,②시니어_가정!$E$454*②시니어_가정!$J$485,0)</f>
        <v>0</v>
      </c>
      <c r="AH105" s="37" t="n">
        <f aca="false">IF(AH6=②시니어_가정!$E$14,②시니어_가정!$E$454*②시니어_가정!$J$485,0)</f>
        <v>0</v>
      </c>
      <c r="AI105" s="37" t="n">
        <f aca="false">IF(AI6=②시니어_가정!$E$14,②시니어_가정!$E$454*②시니어_가정!$J$485,0)</f>
        <v>0</v>
      </c>
      <c r="AJ105" s="37" t="n">
        <f aca="false">IF(AJ6=②시니어_가정!$E$14,②시니어_가정!$E$454*②시니어_가정!$J$485,0)</f>
        <v>0</v>
      </c>
      <c r="AK105" s="37" t="n">
        <f aca="false">IF(AK6=②시니어_가정!$E$14,②시니어_가정!$E$454*②시니어_가정!$J$485,0)</f>
        <v>0</v>
      </c>
      <c r="AL105" s="37" t="n">
        <f aca="false">IF(AL6=②시니어_가정!$E$14,②시니어_가정!$E$454*②시니어_가정!$J$485,0)</f>
        <v>0</v>
      </c>
      <c r="AM105" s="37" t="n">
        <f aca="false">IF(AM6=②시니어_가정!$E$14,②시니어_가정!$E$454*②시니어_가정!$J$485,0)</f>
        <v>0</v>
      </c>
      <c r="AN105" s="37" t="n">
        <f aca="false">IF(AN6=②시니어_가정!$E$14,②시니어_가정!$E$454*②시니어_가정!$J$485,0)</f>
        <v>0</v>
      </c>
      <c r="AO105" s="37" t="n">
        <f aca="false">IF(AO6=②시니어_가정!$E$14,②시니어_가정!$E$454*②시니어_가정!$J$485,0)</f>
        <v>0</v>
      </c>
      <c r="AP105" s="37" t="n">
        <f aca="false">IF(AP6=②시니어_가정!$E$14,②시니어_가정!$E$454*②시니어_가정!$J$485,0)</f>
        <v>0</v>
      </c>
      <c r="AQ105" s="37" t="n">
        <f aca="false">IF(AQ6=②시니어_가정!$E$14,②시니어_가정!$E$454*②시니어_가정!$J$485,0)</f>
        <v>0</v>
      </c>
      <c r="AR105" s="37" t="n">
        <f aca="false">IF(AR6=②시니어_가정!$E$14,②시니어_가정!$E$454*②시니어_가정!$J$485,0)</f>
        <v>0</v>
      </c>
      <c r="AS105" s="37" t="n">
        <f aca="false">IF(AS6=②시니어_가정!$E$14,②시니어_가정!$E$454*②시니어_가정!$J$485,0)</f>
        <v>0</v>
      </c>
      <c r="AT105" s="37" t="n">
        <f aca="false">IF(AT6=②시니어_가정!$E$14,②시니어_가정!$E$454*②시니어_가정!$J$485,0)</f>
        <v>0</v>
      </c>
      <c r="AU105" s="37" t="n">
        <f aca="false">IF(AU6=②시니어_가정!$E$14,②시니어_가정!$E$454*②시니어_가정!$J$485,0)</f>
        <v>0</v>
      </c>
      <c r="AV105" s="37" t="n">
        <f aca="false">IF(AV6=②시니어_가정!$E$14,②시니어_가정!$E$454*②시니어_가정!$J$485,0)</f>
        <v>0</v>
      </c>
      <c r="AW105" s="37" t="n">
        <f aca="false">IF(AW6=②시니어_가정!$E$14,②시니어_가정!$E$454*②시니어_가정!$J$485,0)</f>
        <v>0</v>
      </c>
      <c r="AX105" s="37" t="n">
        <f aca="false">IF(AX6=②시니어_가정!$E$14,②시니어_가정!$E$454*②시니어_가정!$J$485,0)</f>
        <v>0</v>
      </c>
      <c r="AY105" s="37" t="n">
        <f aca="false">IF(AY6=②시니어_가정!$E$14,②시니어_가정!$E$454*②시니어_가정!$J$485,0)</f>
        <v>0</v>
      </c>
      <c r="AZ105" s="37" t="n">
        <f aca="false">IF(AZ6=②시니어_가정!$E$14,②시니어_가정!$E$454*②시니어_가정!$J$485,0)</f>
        <v>0</v>
      </c>
      <c r="BA105" s="37" t="n">
        <f aca="false">IF(BA6=②시니어_가정!$E$14,②시니어_가정!$E$454*②시니어_가정!$J$485,0)</f>
        <v>0</v>
      </c>
      <c r="BB105" s="37" t="n">
        <f aca="false">IF(BB6=②시니어_가정!$E$14,②시니어_가정!$E$454*②시니어_가정!$J$485,0)</f>
        <v>0</v>
      </c>
      <c r="BC105" s="37" t="n">
        <f aca="false">IF(BC6=②시니어_가정!$E$14,②시니어_가정!$E$454*②시니어_가정!$J$485,0)</f>
        <v>0</v>
      </c>
      <c r="BD105" s="37" t="n">
        <f aca="false">IF(BD6=②시니어_가정!$E$14,②시니어_가정!$E$454*②시니어_가정!$J$485,0)</f>
        <v>0</v>
      </c>
      <c r="BE105" s="37" t="n">
        <f aca="false">IF(BE6=②시니어_가정!$E$14,②시니어_가정!$E$454*②시니어_가정!$J$485,0)</f>
        <v>0</v>
      </c>
      <c r="BF105" s="37" t="n">
        <f aca="false">IF(BF6=②시니어_가정!$E$14,②시니어_가정!$E$454*②시니어_가정!$J$485,0)</f>
        <v>0</v>
      </c>
      <c r="BG105" s="37" t="n">
        <f aca="false">IF(BG6=②시니어_가정!$E$14,②시니어_가정!$E$454*②시니어_가정!$J$485,0)</f>
        <v>0</v>
      </c>
      <c r="BH105" s="37" t="n">
        <f aca="false">IF(BH6=②시니어_가정!$E$14,②시니어_가정!$E$454*②시니어_가정!$J$485,0)</f>
        <v>0</v>
      </c>
      <c r="BI105" s="37" t="n">
        <f aca="false">IF(BI6=②시니어_가정!$E$14,②시니어_가정!$E$454*②시니어_가정!$J$485,0)</f>
        <v>0</v>
      </c>
      <c r="BJ105" s="37" t="n">
        <f aca="false">IF(BJ6=②시니어_가정!$E$14,②시니어_가정!$E$454*②시니어_가정!$J$485,0)</f>
        <v>0</v>
      </c>
      <c r="BK105" s="37" t="n">
        <f aca="false">IF(BK6=②시니어_가정!$E$14,②시니어_가정!$E$454*②시니어_가정!$J$485,0)</f>
        <v>0</v>
      </c>
      <c r="BL105" s="37" t="n">
        <f aca="false">IF(BL6=②시니어_가정!$E$14,②시니어_가정!$E$454*②시니어_가정!$J$485,0)</f>
        <v>0</v>
      </c>
      <c r="BM105" s="37" t="n">
        <f aca="false">IF(BM6=②시니어_가정!$E$14,②시니어_가정!$E$454*②시니어_가정!$J$485,0)</f>
        <v>0</v>
      </c>
      <c r="BN105" s="37" t="n">
        <f aca="false">IF(BN6=②시니어_가정!$E$14,②시니어_가정!$E$454*②시니어_가정!$J$485,0)</f>
        <v>0</v>
      </c>
      <c r="BO105" s="37" t="n">
        <f aca="false">IF(BO6=②시니어_가정!$E$14,②시니어_가정!$E$454*②시니어_가정!$J$485,0)</f>
        <v>0</v>
      </c>
      <c r="BP105" s="37" t="n">
        <f aca="false">IF(BP6=②시니어_가정!$E$14,②시니어_가정!$E$454*②시니어_가정!$J$485,0)</f>
        <v>0</v>
      </c>
      <c r="BQ105" s="37" t="n">
        <f aca="false">IF(BQ6=②시니어_가정!$E$14,②시니어_가정!$E$454*②시니어_가정!$J$485,0)</f>
        <v>0</v>
      </c>
      <c r="BR105" s="37" t="n">
        <f aca="false">IF(BR6=②시니어_가정!$E$14,②시니어_가정!$E$454*②시니어_가정!$J$485,0)</f>
        <v>0</v>
      </c>
      <c r="BS105" s="37" t="n">
        <f aca="false">IF(BS6=②시니어_가정!$E$14,②시니어_가정!$E$454*②시니어_가정!$J$485,0)</f>
        <v>0</v>
      </c>
      <c r="BT105" s="37" t="n">
        <f aca="false">IF(BT6=②시니어_가정!$E$14,②시니어_가정!$E$454*②시니어_가정!$J$485,0)</f>
        <v>0</v>
      </c>
      <c r="BU105" s="37" t="n">
        <f aca="false">IF(BU6=②시니어_가정!$E$14,②시니어_가정!$E$454*②시니어_가정!$J$485,0)</f>
        <v>0</v>
      </c>
      <c r="BV105" s="37" t="n">
        <f aca="false">IF(BV6=②시니어_가정!$E$14,②시니어_가정!$E$454*②시니어_가정!$J$485,0)</f>
        <v>0</v>
      </c>
      <c r="BW105" s="37" t="n">
        <f aca="false">IF(BW6=②시니어_가정!$E$14,②시니어_가정!$E$454*②시니어_가정!$J$485,0)</f>
        <v>0</v>
      </c>
      <c r="BX105" s="37" t="n">
        <f aca="false">IF(BX6=②시니어_가정!$E$14,②시니어_가정!$E$454*②시니어_가정!$J$485,0)</f>
        <v>0</v>
      </c>
      <c r="BY105" s="37" t="n">
        <f aca="false">IF(BY6=②시니어_가정!$E$14,②시니어_가정!$E$454*②시니어_가정!$J$485,0)</f>
        <v>0</v>
      </c>
      <c r="BZ105" s="37" t="n">
        <f aca="false">IF(BZ6=②시니어_가정!$E$14,②시니어_가정!$E$454*②시니어_가정!$J$485,0)</f>
        <v>0</v>
      </c>
      <c r="CA105" s="37" t="n">
        <f aca="false">IF(CA6=②시니어_가정!$E$14,②시니어_가정!$E$454*②시니어_가정!$J$485,0)</f>
        <v>0</v>
      </c>
      <c r="CB105" s="37" t="n">
        <f aca="false">IF(CB6=②시니어_가정!$E$14,②시니어_가정!$E$454*②시니어_가정!$J$485,0)</f>
        <v>0</v>
      </c>
      <c r="CC105" s="37" t="n">
        <f aca="false">IF(CC6=②시니어_가정!$E$14,②시니어_가정!$E$454*②시니어_가정!$J$485,0)</f>
        <v>0</v>
      </c>
      <c r="CD105" s="37" t="n">
        <f aca="false">IF(CD6=②시니어_가정!$E$14,②시니어_가정!$E$454*②시니어_가정!$J$485,0)</f>
        <v>0</v>
      </c>
      <c r="CE105" s="37" t="n">
        <f aca="false">IF(CE6=②시니어_가정!$E$14,②시니어_가정!$E$454*②시니어_가정!$J$485,0)</f>
        <v>0</v>
      </c>
      <c r="CF105" s="37" t="n">
        <f aca="false">IF(CF6=②시니어_가정!$E$14,②시니어_가정!$E$454*②시니어_가정!$J$485,0)</f>
        <v>0</v>
      </c>
      <c r="CG105" s="37" t="n">
        <f aca="false">IF(CG6=②시니어_가정!$E$14,②시니어_가정!$E$454*②시니어_가정!$J$485,0)</f>
        <v>0</v>
      </c>
      <c r="CH105" s="37" t="n">
        <f aca="false">IF(CH6=②시니어_가정!$E$14,②시니어_가정!$E$454*②시니어_가정!$J$485,0)</f>
        <v>0</v>
      </c>
      <c r="CI105" s="37" t="n">
        <f aca="false">IF(CI6=②시니어_가정!$E$14,②시니어_가정!$E$454*②시니어_가정!$J$485,0)</f>
        <v>0</v>
      </c>
      <c r="CJ105" s="37" t="n">
        <f aca="false">IF(CJ6=②시니어_가정!$E$14,②시니어_가정!$E$454*②시니어_가정!$J$485,0)</f>
        <v>0</v>
      </c>
      <c r="CK105" s="37" t="n">
        <f aca="false">IF(CK6=②시니어_가정!$E$14,②시니어_가정!$E$454*②시니어_가정!$J$485,0)</f>
        <v>0</v>
      </c>
      <c r="CL105" s="37" t="n">
        <f aca="false">IF(CL6=②시니어_가정!$E$14,②시니어_가정!$E$454*②시니어_가정!$J$485,0)</f>
        <v>0</v>
      </c>
      <c r="CM105" s="37" t="n">
        <f aca="false">IF(CM6=②시니어_가정!$E$14,②시니어_가정!$E$454*②시니어_가정!$J$485,0)</f>
        <v>0</v>
      </c>
      <c r="CN105" s="37" t="n">
        <f aca="false">IF(CN6=②시니어_가정!$E$14,②시니어_가정!$E$454*②시니어_가정!$J$485,0)</f>
        <v>0</v>
      </c>
      <c r="CO105" s="37" t="n">
        <f aca="false">IF(CO6=②시니어_가정!$E$14,②시니어_가정!$E$454*②시니어_가정!$J$485,0)</f>
        <v>0</v>
      </c>
      <c r="CP105" s="37" t="n">
        <f aca="false">IF(CP6=②시니어_가정!$E$14,②시니어_가정!$E$454*②시니어_가정!$J$485,0)</f>
        <v>0</v>
      </c>
      <c r="CQ105" s="37" t="n">
        <f aca="false">IF(CQ6=②시니어_가정!$E$14,②시니어_가정!$E$454*②시니어_가정!$J$485,0)</f>
        <v>0</v>
      </c>
      <c r="CR105" s="37" t="n">
        <f aca="false">IF(CR6=②시니어_가정!$E$14,②시니어_가정!$E$454*②시니어_가정!$J$485,0)</f>
        <v>0</v>
      </c>
      <c r="CS105" s="37" t="n">
        <f aca="false">IF(CS6=②시니어_가정!$E$14,②시니어_가정!$E$454*②시니어_가정!$J$485,0)</f>
        <v>0</v>
      </c>
      <c r="CT105" s="37" t="n">
        <f aca="false">IF(CT6=②시니어_가정!$E$14,②시니어_가정!$E$454*②시니어_가정!$J$485,0)</f>
        <v>0</v>
      </c>
      <c r="CU105" s="37" t="n">
        <f aca="false">IF(CU6=②시니어_가정!$E$14,②시니어_가정!$E$454*②시니어_가정!$J$485,0)</f>
        <v>0</v>
      </c>
      <c r="CV105" s="37" t="n">
        <f aca="false">IF(CV6=②시니어_가정!$E$14,②시니어_가정!$E$454*②시니어_가정!$J$485,0)</f>
        <v>0</v>
      </c>
      <c r="CW105" s="37" t="n">
        <f aca="false">IF(CW6=②시니어_가정!$E$14,②시니어_가정!$E$454*②시니어_가정!$J$485,0)</f>
        <v>0</v>
      </c>
      <c r="CX105" s="37" t="n">
        <f aca="false">IF(CX6=②시니어_가정!$E$14,②시니어_가정!$E$454*②시니어_가정!$J$485,0)</f>
        <v>0</v>
      </c>
      <c r="CY105" s="37" t="n">
        <f aca="false">IF(CY6=②시니어_가정!$E$14,②시니어_가정!$E$454*②시니어_가정!$J$485,0)</f>
        <v>0</v>
      </c>
      <c r="CZ105" s="37" t="n">
        <f aca="false">IF(CZ6=②시니어_가정!$E$14,②시니어_가정!$E$454*②시니어_가정!$J$485,0)</f>
        <v>0</v>
      </c>
      <c r="DA105" s="37" t="n">
        <f aca="false">IF(DA6=②시니어_가정!$E$14,②시니어_가정!$E$454*②시니어_가정!$J$485,0)</f>
        <v>0</v>
      </c>
      <c r="DB105" s="37" t="n">
        <f aca="false">IF(DB6=②시니어_가정!$E$14,②시니어_가정!$E$454*②시니어_가정!$J$485,0)</f>
        <v>0</v>
      </c>
      <c r="DC105" s="37" t="n">
        <f aca="false">IF(DC6=②시니어_가정!$E$14,②시니어_가정!$E$454*②시니어_가정!$J$485,0)</f>
        <v>0</v>
      </c>
      <c r="DD105" s="37" t="n">
        <f aca="false">IF(DD6=②시니어_가정!$E$14,②시니어_가정!$E$454*②시니어_가정!$J$485,0)</f>
        <v>0</v>
      </c>
      <c r="DE105" s="37" t="n">
        <f aca="false">IF(DE6=②시니어_가정!$E$14,②시니어_가정!$E$454*②시니어_가정!$J$485,0)</f>
        <v>0</v>
      </c>
      <c r="DF105" s="37" t="n">
        <f aca="false">IF(DF6=②시니어_가정!$E$14,②시니어_가정!$E$454*②시니어_가정!$J$485,0)</f>
        <v>0</v>
      </c>
      <c r="DG105" s="37" t="n">
        <f aca="false">IF(DG6=②시니어_가정!$E$14,②시니어_가정!$E$454*②시니어_가정!$J$485,0)</f>
        <v>0</v>
      </c>
      <c r="DH105" s="37" t="n">
        <f aca="false">IF(DH6=②시니어_가정!$E$14,②시니어_가정!$E$454*②시니어_가정!$J$485,0)</f>
        <v>0</v>
      </c>
      <c r="DI105" s="37" t="n">
        <f aca="false">IF(DI6=②시니어_가정!$E$14,②시니어_가정!$E$454*②시니어_가정!$J$485,0)</f>
        <v>0</v>
      </c>
      <c r="DJ105" s="37" t="n">
        <f aca="false">IF(DJ6=②시니어_가정!$E$14,②시니어_가정!$E$454*②시니어_가정!$J$485,0)</f>
        <v>0</v>
      </c>
      <c r="DK105" s="37" t="n">
        <f aca="false">IF(DK6=②시니어_가정!$E$14,②시니어_가정!$E$454*②시니어_가정!$J$485,0)</f>
        <v>0</v>
      </c>
      <c r="DL105" s="37" t="n">
        <f aca="false">IF(DL6=②시니어_가정!$E$14,②시니어_가정!$E$454*②시니어_가정!$J$485,0)</f>
        <v>0</v>
      </c>
      <c r="DM105" s="37" t="n">
        <f aca="false">IF(DM6=②시니어_가정!$E$14,②시니어_가정!$E$454*②시니어_가정!$J$485,0)</f>
        <v>0</v>
      </c>
      <c r="DN105" s="37" t="n">
        <f aca="false">IF(DN6=②시니어_가정!$E$14,②시니어_가정!$E$454*②시니어_가정!$J$485,0)</f>
        <v>0</v>
      </c>
      <c r="DO105" s="37" t="n">
        <f aca="false">IF(DO6=②시니어_가정!$E$14,②시니어_가정!$E$454*②시니어_가정!$J$485,0)</f>
        <v>0</v>
      </c>
      <c r="DP105" s="37" t="n">
        <f aca="false">IF(DP6=②시니어_가정!$E$14,②시니어_가정!$E$454*②시니어_가정!$J$485,0)</f>
        <v>0</v>
      </c>
      <c r="DQ105" s="37" t="n">
        <f aca="false">IF(DQ6=②시니어_가정!$E$14,②시니어_가정!$E$454*②시니어_가정!$J$485,0)</f>
        <v>0</v>
      </c>
      <c r="DR105" s="37" t="n">
        <f aca="false">IF(DR6=②시니어_가정!$E$14,②시니어_가정!$E$454*②시니어_가정!$J$485,0)</f>
        <v>0</v>
      </c>
      <c r="DS105" s="37" t="n">
        <f aca="false">IF(DS6=②시니어_가정!$E$14,②시니어_가정!$E$454*②시니어_가정!$J$485,0)</f>
        <v>0</v>
      </c>
      <c r="DT105" s="37" t="n">
        <f aca="false">IF(DT6=②시니어_가정!$E$14,②시니어_가정!$E$454*②시니어_가정!$J$485,0)</f>
        <v>0</v>
      </c>
      <c r="DU105" s="37" t="n">
        <f aca="false">IF(DU6=②시니어_가정!$E$14,②시니어_가정!$E$454*②시니어_가정!$J$485,0)</f>
        <v>0</v>
      </c>
      <c r="DV105" s="37" t="n">
        <f aca="false">IF(DV6=②시니어_가정!$E$14,②시니어_가정!$E$454*②시니어_가정!$J$485,0)</f>
        <v>0</v>
      </c>
      <c r="DW105" s="37" t="n">
        <f aca="false">IF(DW6=②시니어_가정!$E$14,②시니어_가정!$E$454*②시니어_가정!$J$485,0)</f>
        <v>0</v>
      </c>
      <c r="DX105" s="37" t="n">
        <f aca="false">IF(DX6=②시니어_가정!$E$14,②시니어_가정!$E$454*②시니어_가정!$J$485,0)</f>
        <v>0</v>
      </c>
      <c r="DY105" s="37" t="n">
        <f aca="false">IF(DY6=②시니어_가정!$E$14,②시니어_가정!$E$454*②시니어_가정!$J$485,0)</f>
        <v>0</v>
      </c>
      <c r="DZ105" s="37" t="n">
        <f aca="false">IF(DZ6=②시니어_가정!$E$14,②시니어_가정!$E$454*②시니어_가정!$J$485,0)</f>
        <v>0</v>
      </c>
      <c r="EA105" s="37" t="n">
        <f aca="false">IF(EA6=②시니어_가정!$E$14,②시니어_가정!$E$454*②시니어_가정!$J$485,0)</f>
        <v>0</v>
      </c>
      <c r="EB105" s="37" t="n">
        <f aca="false">IF(EB6=②시니어_가정!$E$14,②시니어_가정!$E$454*②시니어_가정!$J$485,0)</f>
        <v>0</v>
      </c>
      <c r="EC105" s="37" t="n">
        <f aca="false">IF(EC6=②시니어_가정!$E$14,②시니어_가정!$E$454*②시니어_가정!$J$485,0)</f>
        <v>0</v>
      </c>
      <c r="ED105" s="37" t="n">
        <f aca="false">IF(ED6=②시니어_가정!$E$14,②시니어_가정!$E$454*②시니어_가정!$J$485,0)</f>
        <v>0</v>
      </c>
      <c r="EE105" s="37" t="n">
        <f aca="false">IF(EE6=②시니어_가정!$E$14,②시니어_가정!$E$454*②시니어_가정!$J$485,0)</f>
        <v>0</v>
      </c>
      <c r="EF105" s="37" t="n">
        <f aca="false">IF(EF6=②시니어_가정!$E$14,②시니어_가정!$E$454*②시니어_가정!$J$485,0)</f>
        <v>0</v>
      </c>
    </row>
    <row r="106" customFormat="false" ht="15" hidden="false" customHeight="false" outlineLevel="0" collapsed="false">
      <c r="A106" s="153" t="s">
        <v>645</v>
      </c>
      <c r="B106" s="278" t="s">
        <v>21</v>
      </c>
      <c r="C106" s="279" t="n">
        <f aca="false">SUM(E106:EF106)</f>
        <v>0</v>
      </c>
      <c r="E106" s="37" t="n">
        <f aca="false">0*②시니어_가정!$K$483/12</f>
        <v>0</v>
      </c>
      <c r="F106" s="37" t="n">
        <f aca="false">E121*②시니어_가정!$K$483/12</f>
        <v>0</v>
      </c>
      <c r="G106" s="37" t="n">
        <f aca="false">F121*②시니어_가정!$K$483/12</f>
        <v>0</v>
      </c>
      <c r="H106" s="37" t="n">
        <f aca="false">G121*②시니어_가정!$K$483/12</f>
        <v>0</v>
      </c>
      <c r="I106" s="37" t="n">
        <f aca="false">H121*②시니어_가정!$K$483/12</f>
        <v>0</v>
      </c>
      <c r="J106" s="37" t="n">
        <f aca="false">I121*②시니어_가정!$K$483/12</f>
        <v>0</v>
      </c>
      <c r="K106" s="37" t="n">
        <f aca="false">J121*②시니어_가정!$K$483/12</f>
        <v>0</v>
      </c>
      <c r="L106" s="37" t="n">
        <f aca="false">K121*②시니어_가정!$K$483/12</f>
        <v>0</v>
      </c>
      <c r="M106" s="37" t="n">
        <f aca="false">L121*②시니어_가정!$K$483/12</f>
        <v>0</v>
      </c>
      <c r="N106" s="37" t="n">
        <f aca="false">M121*②시니어_가정!$K$483/12</f>
        <v>0</v>
      </c>
      <c r="O106" s="37" t="n">
        <f aca="false">N121*②시니어_가정!$K$483/12</f>
        <v>0</v>
      </c>
      <c r="P106" s="37" t="n">
        <f aca="false">O121*②시니어_가정!$K$483/12</f>
        <v>0</v>
      </c>
      <c r="Q106" s="37" t="n">
        <f aca="false">P121*②시니어_가정!$K$483/12</f>
        <v>0</v>
      </c>
      <c r="R106" s="37" t="n">
        <f aca="false">Q121*②시니어_가정!$K$483/12</f>
        <v>0</v>
      </c>
      <c r="S106" s="37" t="n">
        <f aca="false">R121*②시니어_가정!$K$483/12</f>
        <v>0</v>
      </c>
      <c r="T106" s="37" t="n">
        <f aca="false">S121*②시니어_가정!$K$483/12</f>
        <v>0</v>
      </c>
      <c r="U106" s="37" t="n">
        <f aca="false">T121*②시니어_가정!$K$483/12</f>
        <v>0</v>
      </c>
      <c r="V106" s="37" t="n">
        <f aca="false">U121*②시니어_가정!$K$483/12</f>
        <v>0</v>
      </c>
      <c r="W106" s="37" t="n">
        <f aca="false">V121*②시니어_가정!$K$483/12</f>
        <v>0</v>
      </c>
      <c r="X106" s="37" t="n">
        <f aca="false">W121*②시니어_가정!$K$483/12</f>
        <v>0</v>
      </c>
      <c r="Y106" s="37" t="n">
        <f aca="false">X121*②시니어_가정!$K$483/12</f>
        <v>0</v>
      </c>
      <c r="Z106" s="37" t="n">
        <f aca="false">Y121*②시니어_가정!$K$483/12</f>
        <v>0</v>
      </c>
      <c r="AA106" s="37" t="n">
        <f aca="false">Z121*②시니어_가정!$K$483/12</f>
        <v>0</v>
      </c>
      <c r="AB106" s="37" t="n">
        <f aca="false">AA121*②시니어_가정!$K$483/12</f>
        <v>0</v>
      </c>
      <c r="AC106" s="37" t="n">
        <f aca="false">AB121*②시니어_가정!$K$483/12</f>
        <v>0</v>
      </c>
      <c r="AD106" s="37" t="n">
        <f aca="false">AC121*②시니어_가정!$K$483/12</f>
        <v>0</v>
      </c>
      <c r="AE106" s="37" t="n">
        <f aca="false">AD121*②시니어_가정!$K$483/12</f>
        <v>0</v>
      </c>
      <c r="AF106" s="37" t="n">
        <f aca="false">AE121*②시니어_가정!$K$483/12</f>
        <v>0</v>
      </c>
      <c r="AG106" s="37" t="n">
        <f aca="false">AF121*②시니어_가정!$K$483/12</f>
        <v>0</v>
      </c>
      <c r="AH106" s="37" t="n">
        <f aca="false">AG121*②시니어_가정!$K$483/12</f>
        <v>0</v>
      </c>
      <c r="AI106" s="37" t="n">
        <f aca="false">AH121*②시니어_가정!$K$483/12</f>
        <v>0</v>
      </c>
      <c r="AJ106" s="37" t="n">
        <f aca="false">AI121*②시니어_가정!$K$483/12</f>
        <v>0</v>
      </c>
      <c r="AK106" s="37" t="n">
        <f aca="false">AJ121*②시니어_가정!$K$483/12</f>
        <v>0</v>
      </c>
      <c r="AL106" s="37" t="n">
        <f aca="false">AK121*②시니어_가정!$K$483/12</f>
        <v>0</v>
      </c>
      <c r="AM106" s="37" t="n">
        <f aca="false">AL121*②시니어_가정!$K$483/12</f>
        <v>0</v>
      </c>
      <c r="AN106" s="37" t="n">
        <f aca="false">AM121*②시니어_가정!$K$483/12</f>
        <v>0</v>
      </c>
      <c r="AO106" s="37" t="n">
        <f aca="false">AN121*②시니어_가정!$K$483/12</f>
        <v>0</v>
      </c>
      <c r="AP106" s="37" t="n">
        <f aca="false">AO121*②시니어_가정!$K$483/12</f>
        <v>0</v>
      </c>
      <c r="AQ106" s="37" t="n">
        <f aca="false">AP121*②시니어_가정!$K$483/12</f>
        <v>0</v>
      </c>
      <c r="AR106" s="37" t="n">
        <f aca="false">AQ121*②시니어_가정!$K$483/12</f>
        <v>0</v>
      </c>
      <c r="AS106" s="37" t="n">
        <f aca="false">AR121*②시니어_가정!$K$483/12</f>
        <v>0</v>
      </c>
      <c r="AT106" s="37" t="n">
        <f aca="false">AS121*②시니어_가정!$K$483/12</f>
        <v>0</v>
      </c>
      <c r="AU106" s="37" t="n">
        <f aca="false">AT121*②시니어_가정!$K$483/12</f>
        <v>0</v>
      </c>
      <c r="AV106" s="37" t="n">
        <f aca="false">AU121*②시니어_가정!$K$483/12</f>
        <v>0</v>
      </c>
      <c r="AW106" s="37" t="n">
        <f aca="false">AV121*②시니어_가정!$K$483/12</f>
        <v>0</v>
      </c>
      <c r="AX106" s="37" t="n">
        <f aca="false">AW121*②시니어_가정!$K$483/12</f>
        <v>0</v>
      </c>
      <c r="AY106" s="37" t="n">
        <f aca="false">AX121*②시니어_가정!$K$483/12</f>
        <v>0</v>
      </c>
      <c r="AZ106" s="37" t="n">
        <f aca="false">AY121*②시니어_가정!$K$483/12</f>
        <v>0</v>
      </c>
      <c r="BA106" s="37" t="n">
        <f aca="false">AZ121*②시니어_가정!$K$483/12</f>
        <v>0</v>
      </c>
      <c r="BB106" s="37" t="n">
        <f aca="false">BA121*②시니어_가정!$K$483/12</f>
        <v>0</v>
      </c>
      <c r="BC106" s="37" t="n">
        <f aca="false">BB121*②시니어_가정!$K$483/12</f>
        <v>0</v>
      </c>
      <c r="BD106" s="37" t="n">
        <f aca="false">BC121*②시니어_가정!$K$483/12</f>
        <v>0</v>
      </c>
      <c r="BE106" s="37" t="n">
        <f aca="false">BD121*②시니어_가정!$K$483/12</f>
        <v>0</v>
      </c>
      <c r="BF106" s="37" t="n">
        <f aca="false">BE121*②시니어_가정!$K$483/12</f>
        <v>0</v>
      </c>
      <c r="BG106" s="37" t="n">
        <f aca="false">BF121*②시니어_가정!$K$483/12</f>
        <v>0</v>
      </c>
      <c r="BH106" s="37" t="n">
        <f aca="false">BG121*②시니어_가정!$K$483/12</f>
        <v>0</v>
      </c>
      <c r="BI106" s="37" t="n">
        <f aca="false">BH121*②시니어_가정!$K$483/12</f>
        <v>0</v>
      </c>
      <c r="BJ106" s="37" t="n">
        <f aca="false">BI121*②시니어_가정!$K$483/12</f>
        <v>0</v>
      </c>
      <c r="BK106" s="37" t="n">
        <f aca="false">BJ121*②시니어_가정!$K$483/12</f>
        <v>0</v>
      </c>
      <c r="BL106" s="37" t="n">
        <f aca="false">BK121*②시니어_가정!$K$483/12</f>
        <v>0</v>
      </c>
      <c r="BM106" s="37" t="n">
        <f aca="false">BL121*②시니어_가정!$K$483/12</f>
        <v>0</v>
      </c>
      <c r="BN106" s="37" t="n">
        <f aca="false">BM121*②시니어_가정!$K$483/12</f>
        <v>0</v>
      </c>
      <c r="BO106" s="37" t="n">
        <f aca="false">BN121*②시니어_가정!$K$483/12</f>
        <v>0</v>
      </c>
      <c r="BP106" s="37" t="n">
        <f aca="false">BO121*②시니어_가정!$K$483/12</f>
        <v>0</v>
      </c>
      <c r="BQ106" s="37" t="n">
        <f aca="false">BP121*②시니어_가정!$K$483/12</f>
        <v>0</v>
      </c>
      <c r="BR106" s="37" t="n">
        <f aca="false">BQ121*②시니어_가정!$K$483/12</f>
        <v>0</v>
      </c>
      <c r="BS106" s="37" t="n">
        <f aca="false">BR121*②시니어_가정!$K$483/12</f>
        <v>0</v>
      </c>
      <c r="BT106" s="37" t="n">
        <f aca="false">BS121*②시니어_가정!$K$483/12</f>
        <v>0</v>
      </c>
      <c r="BU106" s="37" t="n">
        <f aca="false">BT121*②시니어_가정!$K$483/12</f>
        <v>0</v>
      </c>
      <c r="BV106" s="37" t="n">
        <f aca="false">BU121*②시니어_가정!$K$483/12</f>
        <v>0</v>
      </c>
      <c r="BW106" s="37" t="n">
        <f aca="false">BV121*②시니어_가정!$K$483/12</f>
        <v>0</v>
      </c>
      <c r="BX106" s="37" t="n">
        <f aca="false">BW121*②시니어_가정!$K$483/12</f>
        <v>0</v>
      </c>
      <c r="BY106" s="37" t="n">
        <f aca="false">BX121*②시니어_가정!$K$483/12</f>
        <v>0</v>
      </c>
      <c r="BZ106" s="37" t="n">
        <f aca="false">BY121*②시니어_가정!$K$483/12</f>
        <v>0</v>
      </c>
      <c r="CA106" s="37" t="n">
        <f aca="false">BZ121*②시니어_가정!$K$483/12</f>
        <v>0</v>
      </c>
      <c r="CB106" s="37" t="n">
        <f aca="false">CA121*②시니어_가정!$K$483/12</f>
        <v>0</v>
      </c>
      <c r="CC106" s="37" t="n">
        <f aca="false">CB121*②시니어_가정!$K$483/12</f>
        <v>0</v>
      </c>
      <c r="CD106" s="37" t="n">
        <f aca="false">CC121*②시니어_가정!$K$483/12</f>
        <v>0</v>
      </c>
      <c r="CE106" s="37" t="n">
        <f aca="false">CD121*②시니어_가정!$K$483/12</f>
        <v>0</v>
      </c>
      <c r="CF106" s="37" t="n">
        <f aca="false">CE121*②시니어_가정!$K$483/12</f>
        <v>0</v>
      </c>
      <c r="CG106" s="37" t="n">
        <f aca="false">CF121*②시니어_가정!$K$483/12</f>
        <v>0</v>
      </c>
      <c r="CH106" s="37" t="n">
        <f aca="false">CG121*②시니어_가정!$K$483/12</f>
        <v>0</v>
      </c>
      <c r="CI106" s="37" t="n">
        <f aca="false">CH121*②시니어_가정!$K$483/12</f>
        <v>0</v>
      </c>
      <c r="CJ106" s="37" t="n">
        <f aca="false">CI121*②시니어_가정!$K$483/12</f>
        <v>0</v>
      </c>
      <c r="CK106" s="37" t="n">
        <f aca="false">CJ121*②시니어_가정!$K$483/12</f>
        <v>0</v>
      </c>
      <c r="CL106" s="37" t="n">
        <f aca="false">CK121*②시니어_가정!$K$483/12</f>
        <v>0</v>
      </c>
      <c r="CM106" s="37" t="n">
        <f aca="false">CL121*②시니어_가정!$K$483/12</f>
        <v>0</v>
      </c>
      <c r="CN106" s="37" t="n">
        <f aca="false">CM121*②시니어_가정!$K$483/12</f>
        <v>0</v>
      </c>
      <c r="CO106" s="37" t="n">
        <f aca="false">CN121*②시니어_가정!$K$483/12</f>
        <v>0</v>
      </c>
      <c r="CP106" s="37" t="n">
        <f aca="false">CO121*②시니어_가정!$K$483/12</f>
        <v>0</v>
      </c>
      <c r="CQ106" s="37" t="n">
        <f aca="false">CP121*②시니어_가정!$K$483/12</f>
        <v>0</v>
      </c>
      <c r="CR106" s="37" t="n">
        <f aca="false">CQ121*②시니어_가정!$K$483/12</f>
        <v>0</v>
      </c>
      <c r="CS106" s="37" t="n">
        <f aca="false">CR121*②시니어_가정!$K$483/12</f>
        <v>0</v>
      </c>
      <c r="CT106" s="37" t="n">
        <f aca="false">CS121*②시니어_가정!$K$483/12</f>
        <v>0</v>
      </c>
      <c r="CU106" s="37" t="n">
        <f aca="false">CT121*②시니어_가정!$K$483/12</f>
        <v>0</v>
      </c>
      <c r="CV106" s="37" t="n">
        <f aca="false">CU121*②시니어_가정!$K$483/12</f>
        <v>0</v>
      </c>
      <c r="CW106" s="37" t="n">
        <f aca="false">CV121*②시니어_가정!$K$483/12</f>
        <v>0</v>
      </c>
      <c r="CX106" s="37" t="n">
        <f aca="false">CW121*②시니어_가정!$K$483/12</f>
        <v>0</v>
      </c>
      <c r="CY106" s="37" t="n">
        <f aca="false">CX121*②시니어_가정!$K$483/12</f>
        <v>0</v>
      </c>
      <c r="CZ106" s="37" t="n">
        <f aca="false">CY121*②시니어_가정!$K$483/12</f>
        <v>0</v>
      </c>
      <c r="DA106" s="37" t="n">
        <f aca="false">CZ121*②시니어_가정!$K$483/12</f>
        <v>0</v>
      </c>
      <c r="DB106" s="37" t="n">
        <f aca="false">DA121*②시니어_가정!$K$483/12</f>
        <v>0</v>
      </c>
      <c r="DC106" s="37" t="n">
        <f aca="false">DB121*②시니어_가정!$K$483/12</f>
        <v>0</v>
      </c>
      <c r="DD106" s="37" t="n">
        <f aca="false">DC121*②시니어_가정!$K$483/12</f>
        <v>0</v>
      </c>
      <c r="DE106" s="37" t="n">
        <f aca="false">DD121*②시니어_가정!$K$483/12</f>
        <v>0</v>
      </c>
      <c r="DF106" s="37" t="n">
        <f aca="false">DE121*②시니어_가정!$K$483/12</f>
        <v>0</v>
      </c>
      <c r="DG106" s="37" t="n">
        <f aca="false">DF121*②시니어_가정!$K$483/12</f>
        <v>0</v>
      </c>
      <c r="DH106" s="37" t="n">
        <f aca="false">DG121*②시니어_가정!$K$483/12</f>
        <v>0</v>
      </c>
      <c r="DI106" s="37" t="n">
        <f aca="false">DH121*②시니어_가정!$K$483/12</f>
        <v>0</v>
      </c>
      <c r="DJ106" s="37" t="n">
        <f aca="false">DI121*②시니어_가정!$K$483/12</f>
        <v>0</v>
      </c>
      <c r="DK106" s="37" t="n">
        <f aca="false">DJ121*②시니어_가정!$K$483/12</f>
        <v>0</v>
      </c>
      <c r="DL106" s="37" t="n">
        <f aca="false">DK121*②시니어_가정!$K$483/12</f>
        <v>0</v>
      </c>
      <c r="DM106" s="37" t="n">
        <f aca="false">DL121*②시니어_가정!$K$483/12</f>
        <v>0</v>
      </c>
      <c r="DN106" s="37" t="n">
        <f aca="false">DM121*②시니어_가정!$K$483/12</f>
        <v>0</v>
      </c>
      <c r="DO106" s="37" t="n">
        <f aca="false">DN121*②시니어_가정!$K$483/12</f>
        <v>0</v>
      </c>
      <c r="DP106" s="37" t="n">
        <f aca="false">DO121*②시니어_가정!$K$483/12</f>
        <v>0</v>
      </c>
      <c r="DQ106" s="37" t="n">
        <f aca="false">DP121*②시니어_가정!$K$483/12</f>
        <v>0</v>
      </c>
      <c r="DR106" s="37" t="n">
        <f aca="false">DQ121*②시니어_가정!$K$483/12</f>
        <v>0</v>
      </c>
      <c r="DS106" s="37" t="n">
        <f aca="false">DR121*②시니어_가정!$K$483/12</f>
        <v>0</v>
      </c>
      <c r="DT106" s="37" t="n">
        <f aca="false">DS121*②시니어_가정!$K$483/12</f>
        <v>0</v>
      </c>
      <c r="DU106" s="37" t="n">
        <f aca="false">DT121*②시니어_가정!$K$483/12</f>
        <v>0</v>
      </c>
      <c r="DV106" s="37" t="n">
        <f aca="false">DU121*②시니어_가정!$K$483/12</f>
        <v>0</v>
      </c>
      <c r="DW106" s="37" t="n">
        <f aca="false">DV121*②시니어_가정!$K$483/12</f>
        <v>0</v>
      </c>
      <c r="DX106" s="37" t="n">
        <f aca="false">DW121*②시니어_가정!$K$483/12</f>
        <v>0</v>
      </c>
      <c r="DY106" s="37" t="n">
        <f aca="false">DX121*②시니어_가정!$K$483/12</f>
        <v>0</v>
      </c>
      <c r="DZ106" s="37" t="n">
        <f aca="false">DY121*②시니어_가정!$K$483/12</f>
        <v>0</v>
      </c>
      <c r="EA106" s="37" t="n">
        <f aca="false">DZ121*②시니어_가정!$K$483/12</f>
        <v>0</v>
      </c>
      <c r="EB106" s="37" t="n">
        <f aca="false">EA121*②시니어_가정!$K$483/12</f>
        <v>0</v>
      </c>
      <c r="EC106" s="37" t="n">
        <f aca="false">EB121*②시니어_가정!$K$483/12</f>
        <v>0</v>
      </c>
      <c r="ED106" s="37" t="n">
        <f aca="false">EC121*②시니어_가정!$K$483/12</f>
        <v>0</v>
      </c>
      <c r="EE106" s="37" t="n">
        <f aca="false">ED121*②시니어_가정!$K$483/12</f>
        <v>0</v>
      </c>
      <c r="EF106" s="37" t="n">
        <f aca="false">EE121*②시니어_가정!$K$483/12</f>
        <v>0</v>
      </c>
    </row>
    <row r="107" customFormat="false" ht="15" hidden="false" customHeight="false" outlineLevel="0" collapsed="false">
      <c r="A107" s="153" t="s">
        <v>646</v>
      </c>
      <c r="B107" s="278" t="s">
        <v>21</v>
      </c>
      <c r="C107" s="279" t="n">
        <f aca="false">SUM(E107:EF107)</f>
        <v>0</v>
      </c>
      <c r="E107" s="37" t="n">
        <f aca="false">0*②시니어_가정!$K$484/12</f>
        <v>0</v>
      </c>
      <c r="F107" s="37" t="n">
        <f aca="false">E122*②시니어_가정!$K$484/12</f>
        <v>0</v>
      </c>
      <c r="G107" s="37" t="n">
        <f aca="false">F122*②시니어_가정!$K$484/12</f>
        <v>0</v>
      </c>
      <c r="H107" s="37" t="n">
        <f aca="false">G122*②시니어_가정!$K$484/12</f>
        <v>0</v>
      </c>
      <c r="I107" s="37" t="n">
        <f aca="false">H122*②시니어_가정!$K$484/12</f>
        <v>0</v>
      </c>
      <c r="J107" s="37" t="n">
        <f aca="false">I122*②시니어_가정!$K$484/12</f>
        <v>0</v>
      </c>
      <c r="K107" s="37" t="n">
        <f aca="false">J122*②시니어_가정!$K$484/12</f>
        <v>0</v>
      </c>
      <c r="L107" s="37" t="n">
        <f aca="false">K122*②시니어_가정!$K$484/12</f>
        <v>0</v>
      </c>
      <c r="M107" s="37" t="n">
        <f aca="false">L122*②시니어_가정!$K$484/12</f>
        <v>0</v>
      </c>
      <c r="N107" s="37" t="n">
        <f aca="false">M122*②시니어_가정!$K$484/12</f>
        <v>0</v>
      </c>
      <c r="O107" s="37" t="n">
        <f aca="false">N122*②시니어_가정!$K$484/12</f>
        <v>0</v>
      </c>
      <c r="P107" s="37" t="n">
        <f aca="false">O122*②시니어_가정!$K$484/12</f>
        <v>0</v>
      </c>
      <c r="Q107" s="37" t="n">
        <f aca="false">P122*②시니어_가정!$K$484/12</f>
        <v>0</v>
      </c>
      <c r="R107" s="37" t="n">
        <f aca="false">Q122*②시니어_가정!$K$484/12</f>
        <v>0</v>
      </c>
      <c r="S107" s="37" t="n">
        <f aca="false">R122*②시니어_가정!$K$484/12</f>
        <v>0</v>
      </c>
      <c r="T107" s="37" t="n">
        <f aca="false">S122*②시니어_가정!$K$484/12</f>
        <v>0</v>
      </c>
      <c r="U107" s="37" t="n">
        <f aca="false">T122*②시니어_가정!$K$484/12</f>
        <v>0</v>
      </c>
      <c r="V107" s="37" t="n">
        <f aca="false">U122*②시니어_가정!$K$484/12</f>
        <v>0</v>
      </c>
      <c r="W107" s="37" t="n">
        <f aca="false">V122*②시니어_가정!$K$484/12</f>
        <v>0</v>
      </c>
      <c r="X107" s="37" t="n">
        <f aca="false">W122*②시니어_가정!$K$484/12</f>
        <v>0</v>
      </c>
      <c r="Y107" s="37" t="n">
        <f aca="false">X122*②시니어_가정!$K$484/12</f>
        <v>0</v>
      </c>
      <c r="Z107" s="37" t="n">
        <f aca="false">Y122*②시니어_가정!$K$484/12</f>
        <v>0</v>
      </c>
      <c r="AA107" s="37" t="n">
        <f aca="false">Z122*②시니어_가정!$K$484/12</f>
        <v>0</v>
      </c>
      <c r="AB107" s="37" t="n">
        <f aca="false">AA122*②시니어_가정!$K$484/12</f>
        <v>0</v>
      </c>
      <c r="AC107" s="37" t="n">
        <f aca="false">AB122*②시니어_가정!$K$484/12</f>
        <v>0</v>
      </c>
      <c r="AD107" s="37" t="n">
        <f aca="false">AC122*②시니어_가정!$K$484/12</f>
        <v>0</v>
      </c>
      <c r="AE107" s="37" t="n">
        <f aca="false">AD122*②시니어_가정!$K$484/12</f>
        <v>0</v>
      </c>
      <c r="AF107" s="37" t="n">
        <f aca="false">AE122*②시니어_가정!$K$484/12</f>
        <v>0</v>
      </c>
      <c r="AG107" s="37" t="n">
        <f aca="false">AF122*②시니어_가정!$K$484/12</f>
        <v>0</v>
      </c>
      <c r="AH107" s="37" t="n">
        <f aca="false">AG122*②시니어_가정!$K$484/12</f>
        <v>0</v>
      </c>
      <c r="AI107" s="37" t="n">
        <f aca="false">AH122*②시니어_가정!$K$484/12</f>
        <v>0</v>
      </c>
      <c r="AJ107" s="37" t="n">
        <f aca="false">AI122*②시니어_가정!$K$484/12</f>
        <v>0</v>
      </c>
      <c r="AK107" s="37" t="n">
        <f aca="false">AJ122*②시니어_가정!$K$484/12</f>
        <v>0</v>
      </c>
      <c r="AL107" s="37" t="n">
        <f aca="false">AK122*②시니어_가정!$K$484/12</f>
        <v>0</v>
      </c>
      <c r="AM107" s="37" t="n">
        <f aca="false">AL122*②시니어_가정!$K$484/12</f>
        <v>0</v>
      </c>
      <c r="AN107" s="37" t="n">
        <f aca="false">AM122*②시니어_가정!$K$484/12</f>
        <v>0</v>
      </c>
      <c r="AO107" s="37" t="n">
        <f aca="false">AN122*②시니어_가정!$K$484/12</f>
        <v>0</v>
      </c>
      <c r="AP107" s="37" t="n">
        <f aca="false">AO122*②시니어_가정!$K$484/12</f>
        <v>0</v>
      </c>
      <c r="AQ107" s="37" t="n">
        <f aca="false">AP122*②시니어_가정!$K$484/12</f>
        <v>0</v>
      </c>
      <c r="AR107" s="37" t="n">
        <f aca="false">AQ122*②시니어_가정!$K$484/12</f>
        <v>0</v>
      </c>
      <c r="AS107" s="37" t="n">
        <f aca="false">AR122*②시니어_가정!$K$484/12</f>
        <v>0</v>
      </c>
      <c r="AT107" s="37" t="n">
        <f aca="false">AS122*②시니어_가정!$K$484/12</f>
        <v>0</v>
      </c>
      <c r="AU107" s="37" t="n">
        <f aca="false">AT122*②시니어_가정!$K$484/12</f>
        <v>0</v>
      </c>
      <c r="AV107" s="37" t="n">
        <f aca="false">AU122*②시니어_가정!$K$484/12</f>
        <v>0</v>
      </c>
      <c r="AW107" s="37" t="n">
        <f aca="false">AV122*②시니어_가정!$K$484/12</f>
        <v>0</v>
      </c>
      <c r="AX107" s="37" t="n">
        <f aca="false">AW122*②시니어_가정!$K$484/12</f>
        <v>0</v>
      </c>
      <c r="AY107" s="37" t="n">
        <f aca="false">AX122*②시니어_가정!$K$484/12</f>
        <v>0</v>
      </c>
      <c r="AZ107" s="37" t="n">
        <f aca="false">AY122*②시니어_가정!$K$484/12</f>
        <v>0</v>
      </c>
      <c r="BA107" s="37" t="n">
        <f aca="false">AZ122*②시니어_가정!$K$484/12</f>
        <v>0</v>
      </c>
      <c r="BB107" s="37" t="n">
        <f aca="false">BA122*②시니어_가정!$K$484/12</f>
        <v>0</v>
      </c>
      <c r="BC107" s="37" t="n">
        <f aca="false">BB122*②시니어_가정!$K$484/12</f>
        <v>0</v>
      </c>
      <c r="BD107" s="37" t="n">
        <f aca="false">BC122*②시니어_가정!$K$484/12</f>
        <v>0</v>
      </c>
      <c r="BE107" s="37" t="n">
        <f aca="false">BD122*②시니어_가정!$K$484/12</f>
        <v>0</v>
      </c>
      <c r="BF107" s="37" t="n">
        <f aca="false">BE122*②시니어_가정!$K$484/12</f>
        <v>0</v>
      </c>
      <c r="BG107" s="37" t="n">
        <f aca="false">BF122*②시니어_가정!$K$484/12</f>
        <v>0</v>
      </c>
      <c r="BH107" s="37" t="n">
        <f aca="false">BG122*②시니어_가정!$K$484/12</f>
        <v>0</v>
      </c>
      <c r="BI107" s="37" t="n">
        <f aca="false">BH122*②시니어_가정!$K$484/12</f>
        <v>0</v>
      </c>
      <c r="BJ107" s="37" t="n">
        <f aca="false">BI122*②시니어_가정!$K$484/12</f>
        <v>0</v>
      </c>
      <c r="BK107" s="37" t="n">
        <f aca="false">BJ122*②시니어_가정!$K$484/12</f>
        <v>0</v>
      </c>
      <c r="BL107" s="37" t="n">
        <f aca="false">BK122*②시니어_가정!$K$484/12</f>
        <v>0</v>
      </c>
      <c r="BM107" s="37" t="n">
        <f aca="false">BL122*②시니어_가정!$K$484/12</f>
        <v>0</v>
      </c>
      <c r="BN107" s="37" t="n">
        <f aca="false">BM122*②시니어_가정!$K$484/12</f>
        <v>0</v>
      </c>
      <c r="BO107" s="37" t="n">
        <f aca="false">BN122*②시니어_가정!$K$484/12</f>
        <v>0</v>
      </c>
      <c r="BP107" s="37" t="n">
        <f aca="false">BO122*②시니어_가정!$K$484/12</f>
        <v>0</v>
      </c>
      <c r="BQ107" s="37" t="n">
        <f aca="false">BP122*②시니어_가정!$K$484/12</f>
        <v>0</v>
      </c>
      <c r="BR107" s="37" t="n">
        <f aca="false">BQ122*②시니어_가정!$K$484/12</f>
        <v>0</v>
      </c>
      <c r="BS107" s="37" t="n">
        <f aca="false">BR122*②시니어_가정!$K$484/12</f>
        <v>0</v>
      </c>
      <c r="BT107" s="37" t="n">
        <f aca="false">BS122*②시니어_가정!$K$484/12</f>
        <v>0</v>
      </c>
      <c r="BU107" s="37" t="n">
        <f aca="false">BT122*②시니어_가정!$K$484/12</f>
        <v>0</v>
      </c>
      <c r="BV107" s="37" t="n">
        <f aca="false">BU122*②시니어_가정!$K$484/12</f>
        <v>0</v>
      </c>
      <c r="BW107" s="37" t="n">
        <f aca="false">BV122*②시니어_가정!$K$484/12</f>
        <v>0</v>
      </c>
      <c r="BX107" s="37" t="n">
        <f aca="false">BW122*②시니어_가정!$K$484/12</f>
        <v>0</v>
      </c>
      <c r="BY107" s="37" t="n">
        <f aca="false">BX122*②시니어_가정!$K$484/12</f>
        <v>0</v>
      </c>
      <c r="BZ107" s="37" t="n">
        <f aca="false">BY122*②시니어_가정!$K$484/12</f>
        <v>0</v>
      </c>
      <c r="CA107" s="37" t="n">
        <f aca="false">BZ122*②시니어_가정!$K$484/12</f>
        <v>0</v>
      </c>
      <c r="CB107" s="37" t="n">
        <f aca="false">CA122*②시니어_가정!$K$484/12</f>
        <v>0</v>
      </c>
      <c r="CC107" s="37" t="n">
        <f aca="false">CB122*②시니어_가정!$K$484/12</f>
        <v>0</v>
      </c>
      <c r="CD107" s="37" t="n">
        <f aca="false">CC122*②시니어_가정!$K$484/12</f>
        <v>0</v>
      </c>
      <c r="CE107" s="37" t="n">
        <f aca="false">CD122*②시니어_가정!$K$484/12</f>
        <v>0</v>
      </c>
      <c r="CF107" s="37" t="n">
        <f aca="false">CE122*②시니어_가정!$K$484/12</f>
        <v>0</v>
      </c>
      <c r="CG107" s="37" t="n">
        <f aca="false">CF122*②시니어_가정!$K$484/12</f>
        <v>0</v>
      </c>
      <c r="CH107" s="37" t="n">
        <f aca="false">CG122*②시니어_가정!$K$484/12</f>
        <v>0</v>
      </c>
      <c r="CI107" s="37" t="n">
        <f aca="false">CH122*②시니어_가정!$K$484/12</f>
        <v>0</v>
      </c>
      <c r="CJ107" s="37" t="n">
        <f aca="false">CI122*②시니어_가정!$K$484/12</f>
        <v>0</v>
      </c>
      <c r="CK107" s="37" t="n">
        <f aca="false">CJ122*②시니어_가정!$K$484/12</f>
        <v>0</v>
      </c>
      <c r="CL107" s="37" t="n">
        <f aca="false">CK122*②시니어_가정!$K$484/12</f>
        <v>0</v>
      </c>
      <c r="CM107" s="37" t="n">
        <f aca="false">CL122*②시니어_가정!$K$484/12</f>
        <v>0</v>
      </c>
      <c r="CN107" s="37" t="n">
        <f aca="false">CM122*②시니어_가정!$K$484/12</f>
        <v>0</v>
      </c>
      <c r="CO107" s="37" t="n">
        <f aca="false">CN122*②시니어_가정!$K$484/12</f>
        <v>0</v>
      </c>
      <c r="CP107" s="37" t="n">
        <f aca="false">CO122*②시니어_가정!$K$484/12</f>
        <v>0</v>
      </c>
      <c r="CQ107" s="37" t="n">
        <f aca="false">CP122*②시니어_가정!$K$484/12</f>
        <v>0</v>
      </c>
      <c r="CR107" s="37" t="n">
        <f aca="false">CQ122*②시니어_가정!$K$484/12</f>
        <v>0</v>
      </c>
      <c r="CS107" s="37" t="n">
        <f aca="false">CR122*②시니어_가정!$K$484/12</f>
        <v>0</v>
      </c>
      <c r="CT107" s="37" t="n">
        <f aca="false">CS122*②시니어_가정!$K$484/12</f>
        <v>0</v>
      </c>
      <c r="CU107" s="37" t="n">
        <f aca="false">CT122*②시니어_가정!$K$484/12</f>
        <v>0</v>
      </c>
      <c r="CV107" s="37" t="n">
        <f aca="false">CU122*②시니어_가정!$K$484/12</f>
        <v>0</v>
      </c>
      <c r="CW107" s="37" t="n">
        <f aca="false">CV122*②시니어_가정!$K$484/12</f>
        <v>0</v>
      </c>
      <c r="CX107" s="37" t="n">
        <f aca="false">CW122*②시니어_가정!$K$484/12</f>
        <v>0</v>
      </c>
      <c r="CY107" s="37" t="n">
        <f aca="false">CX122*②시니어_가정!$K$484/12</f>
        <v>0</v>
      </c>
      <c r="CZ107" s="37" t="n">
        <f aca="false">CY122*②시니어_가정!$K$484/12</f>
        <v>0</v>
      </c>
      <c r="DA107" s="37" t="n">
        <f aca="false">CZ122*②시니어_가정!$K$484/12</f>
        <v>0</v>
      </c>
      <c r="DB107" s="37" t="n">
        <f aca="false">DA122*②시니어_가정!$K$484/12</f>
        <v>0</v>
      </c>
      <c r="DC107" s="37" t="n">
        <f aca="false">DB122*②시니어_가정!$K$484/12</f>
        <v>0</v>
      </c>
      <c r="DD107" s="37" t="n">
        <f aca="false">DC122*②시니어_가정!$K$484/12</f>
        <v>0</v>
      </c>
      <c r="DE107" s="37" t="n">
        <f aca="false">DD122*②시니어_가정!$K$484/12</f>
        <v>0</v>
      </c>
      <c r="DF107" s="37" t="n">
        <f aca="false">DE122*②시니어_가정!$K$484/12</f>
        <v>0</v>
      </c>
      <c r="DG107" s="37" t="n">
        <f aca="false">DF122*②시니어_가정!$K$484/12</f>
        <v>0</v>
      </c>
      <c r="DH107" s="37" t="n">
        <f aca="false">DG122*②시니어_가정!$K$484/12</f>
        <v>0</v>
      </c>
      <c r="DI107" s="37" t="n">
        <f aca="false">DH122*②시니어_가정!$K$484/12</f>
        <v>0</v>
      </c>
      <c r="DJ107" s="37" t="n">
        <f aca="false">DI122*②시니어_가정!$K$484/12</f>
        <v>0</v>
      </c>
      <c r="DK107" s="37" t="n">
        <f aca="false">DJ122*②시니어_가정!$K$484/12</f>
        <v>0</v>
      </c>
      <c r="DL107" s="37" t="n">
        <f aca="false">DK122*②시니어_가정!$K$484/12</f>
        <v>0</v>
      </c>
      <c r="DM107" s="37" t="n">
        <f aca="false">DL122*②시니어_가정!$K$484/12</f>
        <v>0</v>
      </c>
      <c r="DN107" s="37" t="n">
        <f aca="false">DM122*②시니어_가정!$K$484/12</f>
        <v>0</v>
      </c>
      <c r="DO107" s="37" t="n">
        <f aca="false">DN122*②시니어_가정!$K$484/12</f>
        <v>0</v>
      </c>
      <c r="DP107" s="37" t="n">
        <f aca="false">DO122*②시니어_가정!$K$484/12</f>
        <v>0</v>
      </c>
      <c r="DQ107" s="37" t="n">
        <f aca="false">DP122*②시니어_가정!$K$484/12</f>
        <v>0</v>
      </c>
      <c r="DR107" s="37" t="n">
        <f aca="false">DQ122*②시니어_가정!$K$484/12</f>
        <v>0</v>
      </c>
      <c r="DS107" s="37" t="n">
        <f aca="false">DR122*②시니어_가정!$K$484/12</f>
        <v>0</v>
      </c>
      <c r="DT107" s="37" t="n">
        <f aca="false">DS122*②시니어_가정!$K$484/12</f>
        <v>0</v>
      </c>
      <c r="DU107" s="37" t="n">
        <f aca="false">DT122*②시니어_가정!$K$484/12</f>
        <v>0</v>
      </c>
      <c r="DV107" s="37" t="n">
        <f aca="false">DU122*②시니어_가정!$K$484/12</f>
        <v>0</v>
      </c>
      <c r="DW107" s="37" t="n">
        <f aca="false">DV122*②시니어_가정!$K$484/12</f>
        <v>0</v>
      </c>
      <c r="DX107" s="37" t="n">
        <f aca="false">DW122*②시니어_가정!$K$484/12</f>
        <v>0</v>
      </c>
      <c r="DY107" s="37" t="n">
        <f aca="false">DX122*②시니어_가정!$K$484/12</f>
        <v>0</v>
      </c>
      <c r="DZ107" s="37" t="n">
        <f aca="false">DY122*②시니어_가정!$K$484/12</f>
        <v>0</v>
      </c>
      <c r="EA107" s="37" t="n">
        <f aca="false">DZ122*②시니어_가정!$K$484/12</f>
        <v>0</v>
      </c>
      <c r="EB107" s="37" t="n">
        <f aca="false">EA122*②시니어_가정!$K$484/12</f>
        <v>0</v>
      </c>
      <c r="EC107" s="37" t="n">
        <f aca="false">EB122*②시니어_가정!$K$484/12</f>
        <v>0</v>
      </c>
      <c r="ED107" s="37" t="n">
        <f aca="false">EC122*②시니어_가정!$K$484/12</f>
        <v>0</v>
      </c>
      <c r="EE107" s="37" t="n">
        <f aca="false">ED122*②시니어_가정!$K$484/12</f>
        <v>0</v>
      </c>
      <c r="EF107" s="37" t="n">
        <f aca="false">EE122*②시니어_가정!$K$484/12</f>
        <v>0</v>
      </c>
    </row>
    <row r="108" customFormat="false" ht="15" hidden="false" customHeight="false" outlineLevel="0" collapsed="false">
      <c r="A108" s="153" t="s">
        <v>647</v>
      </c>
      <c r="B108" s="278" t="s">
        <v>21</v>
      </c>
      <c r="C108" s="279" t="n">
        <f aca="false">SUM(E108:EF108)</f>
        <v>2582.18856017783</v>
      </c>
      <c r="E108" s="37" t="n">
        <f aca="false">0*②시니어_가정!$K$485/12</f>
        <v>0</v>
      </c>
      <c r="F108" s="37" t="n">
        <f aca="false">E123*②시니어_가정!$K$485/12</f>
        <v>0</v>
      </c>
      <c r="G108" s="37" t="n">
        <f aca="false">F123*②시니어_가정!$K$485/12</f>
        <v>0</v>
      </c>
      <c r="H108" s="37" t="n">
        <f aca="false">G123*②시니어_가정!$K$485/12</f>
        <v>0</v>
      </c>
      <c r="I108" s="37" t="n">
        <f aca="false">H123*②시니어_가정!$K$485/12</f>
        <v>0</v>
      </c>
      <c r="J108" s="37" t="n">
        <f aca="false">I123*②시니어_가정!$K$485/12</f>
        <v>0</v>
      </c>
      <c r="K108" s="37" t="n">
        <f aca="false">J123*②시니어_가정!$K$485/12</f>
        <v>0</v>
      </c>
      <c r="L108" s="37" t="n">
        <f aca="false">K123*②시니어_가정!$K$485/12</f>
        <v>0</v>
      </c>
      <c r="M108" s="37" t="n">
        <f aca="false">L123*②시니어_가정!$K$485/12</f>
        <v>0</v>
      </c>
      <c r="N108" s="37" t="n">
        <f aca="false">M123*②시니어_가정!$K$485/12</f>
        <v>0</v>
      </c>
      <c r="O108" s="37" t="n">
        <f aca="false">N123*②시니어_가정!$K$485/12</f>
        <v>0</v>
      </c>
      <c r="P108" s="37" t="n">
        <f aca="false">O123*②시니어_가정!$K$485/12</f>
        <v>0</v>
      </c>
      <c r="Q108" s="37" t="n">
        <f aca="false">P123*②시니어_가정!$K$485/12</f>
        <v>0</v>
      </c>
      <c r="R108" s="37" t="n">
        <f aca="false">Q123*②시니어_가정!$K$485/12</f>
        <v>0</v>
      </c>
      <c r="S108" s="37" t="n">
        <f aca="false">R123*②시니어_가정!$K$485/12</f>
        <v>0</v>
      </c>
      <c r="T108" s="37" t="n">
        <f aca="false">S123*②시니어_가정!$K$485/12</f>
        <v>0</v>
      </c>
      <c r="U108" s="37" t="n">
        <f aca="false">T123*②시니어_가정!$K$485/12</f>
        <v>0</v>
      </c>
      <c r="V108" s="37" t="n">
        <f aca="false">U123*②시니어_가정!$K$485/12</f>
        <v>0</v>
      </c>
      <c r="W108" s="37" t="n">
        <f aca="false">V123*②시니어_가정!$K$485/12</f>
        <v>0</v>
      </c>
      <c r="X108" s="37" t="n">
        <f aca="false">W123*②시니어_가정!$K$485/12</f>
        <v>0</v>
      </c>
      <c r="Y108" s="37" t="n">
        <f aca="false">X123*②시니어_가정!$K$485/12</f>
        <v>0</v>
      </c>
      <c r="Z108" s="37" t="n">
        <f aca="false">Y123*②시니어_가정!$K$485/12</f>
        <v>0</v>
      </c>
      <c r="AA108" s="37" t="n">
        <f aca="false">Z123*②시니어_가정!$K$485/12</f>
        <v>0</v>
      </c>
      <c r="AB108" s="37" t="n">
        <f aca="false">AA123*②시니어_가정!$K$485/12</f>
        <v>0</v>
      </c>
      <c r="AC108" s="37" t="n">
        <f aca="false">AB123*②시니어_가정!$K$485/12</f>
        <v>0</v>
      </c>
      <c r="AD108" s="37" t="n">
        <f aca="false">AC123*②시니어_가정!$K$485/12</f>
        <v>0</v>
      </c>
      <c r="AE108" s="37" t="n">
        <f aca="false">AD123*②시니어_가정!$K$485/12</f>
        <v>0</v>
      </c>
      <c r="AF108" s="37" t="n">
        <f aca="false">AE123*②시니어_가정!$K$485/12</f>
        <v>0</v>
      </c>
      <c r="AG108" s="37" t="n">
        <f aca="false">AF123*②시니어_가정!$K$485/12</f>
        <v>0</v>
      </c>
      <c r="AH108" s="37" t="n">
        <f aca="false">AG123*②시니어_가정!$K$485/12</f>
        <v>0</v>
      </c>
      <c r="AI108" s="37" t="n">
        <f aca="false">AH123*②시니어_가정!$K$485/12</f>
        <v>0</v>
      </c>
      <c r="AJ108" s="37" t="n">
        <f aca="false">AI123*②시니어_가정!$K$485/12</f>
        <v>0</v>
      </c>
      <c r="AK108" s="37" t="n">
        <f aca="false">AJ123*②시니어_가정!$K$485/12</f>
        <v>0</v>
      </c>
      <c r="AL108" s="37" t="n">
        <f aca="false">AK123*②시니어_가정!$K$485/12</f>
        <v>0</v>
      </c>
      <c r="AM108" s="37" t="n">
        <f aca="false">AL123*②시니어_가정!$K$485/12</f>
        <v>0</v>
      </c>
      <c r="AN108" s="37" t="n">
        <f aca="false">AM123*②시니어_가정!$K$485/12</f>
        <v>0</v>
      </c>
      <c r="AO108" s="37" t="n">
        <f aca="false">AN123*②시니어_가정!$K$485/12</f>
        <v>0</v>
      </c>
      <c r="AP108" s="37" t="n">
        <f aca="false">AO123*②시니어_가정!$K$485/12</f>
        <v>0</v>
      </c>
      <c r="AQ108" s="37" t="n">
        <f aca="false">AP123*②시니어_가정!$K$485/12</f>
        <v>0</v>
      </c>
      <c r="AR108" s="37" t="n">
        <f aca="false">AQ123*②시니어_가정!$K$485/12</f>
        <v>0</v>
      </c>
      <c r="AS108" s="37" t="n">
        <f aca="false">AR123*②시니어_가정!$K$485/12</f>
        <v>0</v>
      </c>
      <c r="AT108" s="37" t="n">
        <f aca="false">AS123*②시니어_가정!$K$485/12</f>
        <v>0</v>
      </c>
      <c r="AU108" s="37" t="n">
        <f aca="false">AT123*②시니어_가정!$K$485/12</f>
        <v>0</v>
      </c>
      <c r="AV108" s="37" t="n">
        <f aca="false">AU123*②시니어_가정!$K$485/12</f>
        <v>0</v>
      </c>
      <c r="AW108" s="37" t="n">
        <f aca="false">AV123*②시니어_가정!$K$485/12</f>
        <v>0</v>
      </c>
      <c r="AX108" s="37" t="n">
        <f aca="false">AW123*②시니어_가정!$K$485/12</f>
        <v>0</v>
      </c>
      <c r="AY108" s="37" t="n">
        <f aca="false">AX123*②시니어_가정!$K$485/12</f>
        <v>57.8293825259218</v>
      </c>
      <c r="AZ108" s="37" t="n">
        <f aca="false">AY123*②시니어_가정!$K$485/12</f>
        <v>130.116750370789</v>
      </c>
      <c r="BA108" s="37" t="n">
        <f aca="false">AZ123*②시니어_가정!$K$485/12</f>
        <v>199.520202273427</v>
      </c>
      <c r="BB108" s="37" t="n">
        <f aca="false">BA123*②시니어_가정!$K$485/12</f>
        <v>199.520202273427</v>
      </c>
      <c r="BC108" s="37" t="n">
        <f aca="false">BB123*②시니어_가정!$K$485/12</f>
        <v>199.520202273427</v>
      </c>
      <c r="BD108" s="37" t="n">
        <f aca="false">BC123*②시니어_가정!$K$485/12</f>
        <v>199.520202273427</v>
      </c>
      <c r="BE108" s="37" t="n">
        <f aca="false">BD123*②시니어_가정!$K$485/12</f>
        <v>199.520202273427</v>
      </c>
      <c r="BF108" s="37" t="n">
        <f aca="false">BE123*②시니어_가정!$K$485/12</f>
        <v>199.520202273427</v>
      </c>
      <c r="BG108" s="37" t="n">
        <f aca="false">BF123*②시니어_가정!$K$485/12</f>
        <v>199.520202273427</v>
      </c>
      <c r="BH108" s="37" t="n">
        <f aca="false">BG123*②시니어_가정!$K$485/12</f>
        <v>199.520202273427</v>
      </c>
      <c r="BI108" s="37" t="n">
        <f aca="false">BH123*②시니어_가정!$K$485/12</f>
        <v>199.520202273427</v>
      </c>
      <c r="BJ108" s="37" t="n">
        <f aca="false">BI123*②시니어_가정!$K$485/12</f>
        <v>199.520202273427</v>
      </c>
      <c r="BK108" s="37" t="n">
        <f aca="false">BJ123*②시니어_가정!$K$485/12</f>
        <v>199.520202273427</v>
      </c>
      <c r="BL108" s="37" t="n">
        <f aca="false">BK123*②시니어_가정!$K$485/12</f>
        <v>199.520202273427</v>
      </c>
      <c r="BM108" s="37" t="n">
        <f aca="false">BL123*②시니어_가정!$K$485/12</f>
        <v>0</v>
      </c>
      <c r="BN108" s="37" t="n">
        <f aca="false">BM123*②시니어_가정!$K$485/12</f>
        <v>0</v>
      </c>
      <c r="BO108" s="37" t="n">
        <f aca="false">BN123*②시니어_가정!$K$485/12</f>
        <v>0</v>
      </c>
      <c r="BP108" s="37" t="n">
        <f aca="false">BO123*②시니어_가정!$K$485/12</f>
        <v>0</v>
      </c>
      <c r="BQ108" s="37" t="n">
        <f aca="false">BP123*②시니어_가정!$K$485/12</f>
        <v>0</v>
      </c>
      <c r="BR108" s="37" t="n">
        <f aca="false">BQ123*②시니어_가정!$K$485/12</f>
        <v>0</v>
      </c>
      <c r="BS108" s="37" t="n">
        <f aca="false">BR123*②시니어_가정!$K$485/12</f>
        <v>0</v>
      </c>
      <c r="BT108" s="37" t="n">
        <f aca="false">BS123*②시니어_가정!$K$485/12</f>
        <v>0</v>
      </c>
      <c r="BU108" s="37" t="n">
        <f aca="false">BT123*②시니어_가정!$K$485/12</f>
        <v>0</v>
      </c>
      <c r="BV108" s="37" t="n">
        <f aca="false">BU123*②시니어_가정!$K$485/12</f>
        <v>0</v>
      </c>
      <c r="BW108" s="37" t="n">
        <f aca="false">BV123*②시니어_가정!$K$485/12</f>
        <v>0</v>
      </c>
      <c r="BX108" s="37" t="n">
        <f aca="false">BW123*②시니어_가정!$K$485/12</f>
        <v>0</v>
      </c>
      <c r="BY108" s="37" t="n">
        <f aca="false">BX123*②시니어_가정!$K$485/12</f>
        <v>0</v>
      </c>
      <c r="BZ108" s="37" t="n">
        <f aca="false">BY123*②시니어_가정!$K$485/12</f>
        <v>0</v>
      </c>
      <c r="CA108" s="37" t="n">
        <f aca="false">BZ123*②시니어_가정!$K$485/12</f>
        <v>0</v>
      </c>
      <c r="CB108" s="37" t="n">
        <f aca="false">CA123*②시니어_가정!$K$485/12</f>
        <v>0</v>
      </c>
      <c r="CC108" s="37" t="n">
        <f aca="false">CB123*②시니어_가정!$K$485/12</f>
        <v>0</v>
      </c>
      <c r="CD108" s="37" t="n">
        <f aca="false">CC123*②시니어_가정!$K$485/12</f>
        <v>0</v>
      </c>
      <c r="CE108" s="37" t="n">
        <f aca="false">CD123*②시니어_가정!$K$485/12</f>
        <v>0</v>
      </c>
      <c r="CF108" s="37" t="n">
        <f aca="false">CE123*②시니어_가정!$K$485/12</f>
        <v>0</v>
      </c>
      <c r="CG108" s="37" t="n">
        <f aca="false">CF123*②시니어_가정!$K$485/12</f>
        <v>0</v>
      </c>
      <c r="CH108" s="37" t="n">
        <f aca="false">CG123*②시니어_가정!$K$485/12</f>
        <v>0</v>
      </c>
      <c r="CI108" s="37" t="n">
        <f aca="false">CH123*②시니어_가정!$K$485/12</f>
        <v>0</v>
      </c>
      <c r="CJ108" s="37" t="n">
        <f aca="false">CI123*②시니어_가정!$K$485/12</f>
        <v>0</v>
      </c>
      <c r="CK108" s="37" t="n">
        <f aca="false">CJ123*②시니어_가정!$K$485/12</f>
        <v>0</v>
      </c>
      <c r="CL108" s="37" t="n">
        <f aca="false">CK123*②시니어_가정!$K$485/12</f>
        <v>0</v>
      </c>
      <c r="CM108" s="37" t="n">
        <f aca="false">CL123*②시니어_가정!$K$485/12</f>
        <v>0</v>
      </c>
      <c r="CN108" s="37" t="n">
        <f aca="false">CM123*②시니어_가정!$K$485/12</f>
        <v>0</v>
      </c>
      <c r="CO108" s="37" t="n">
        <f aca="false">CN123*②시니어_가정!$K$485/12</f>
        <v>0</v>
      </c>
      <c r="CP108" s="37" t="n">
        <f aca="false">CO123*②시니어_가정!$K$485/12</f>
        <v>0</v>
      </c>
      <c r="CQ108" s="37" t="n">
        <f aca="false">CP123*②시니어_가정!$K$485/12</f>
        <v>0</v>
      </c>
      <c r="CR108" s="37" t="n">
        <f aca="false">CQ123*②시니어_가정!$K$485/12</f>
        <v>0</v>
      </c>
      <c r="CS108" s="37" t="n">
        <f aca="false">CR123*②시니어_가정!$K$485/12</f>
        <v>0</v>
      </c>
      <c r="CT108" s="37" t="n">
        <f aca="false">CS123*②시니어_가정!$K$485/12</f>
        <v>0</v>
      </c>
      <c r="CU108" s="37" t="n">
        <f aca="false">CT123*②시니어_가정!$K$485/12</f>
        <v>0</v>
      </c>
      <c r="CV108" s="37" t="n">
        <f aca="false">CU123*②시니어_가정!$K$485/12</f>
        <v>0</v>
      </c>
      <c r="CW108" s="37" t="n">
        <f aca="false">CV123*②시니어_가정!$K$485/12</f>
        <v>0</v>
      </c>
      <c r="CX108" s="37" t="n">
        <f aca="false">CW123*②시니어_가정!$K$485/12</f>
        <v>0</v>
      </c>
      <c r="CY108" s="37" t="n">
        <f aca="false">CX123*②시니어_가정!$K$485/12</f>
        <v>0</v>
      </c>
      <c r="CZ108" s="37" t="n">
        <f aca="false">CY123*②시니어_가정!$K$485/12</f>
        <v>0</v>
      </c>
      <c r="DA108" s="37" t="n">
        <f aca="false">CZ123*②시니어_가정!$K$485/12</f>
        <v>0</v>
      </c>
      <c r="DB108" s="37" t="n">
        <f aca="false">DA123*②시니어_가정!$K$485/12</f>
        <v>0</v>
      </c>
      <c r="DC108" s="37" t="n">
        <f aca="false">DB123*②시니어_가정!$K$485/12</f>
        <v>0</v>
      </c>
      <c r="DD108" s="37" t="n">
        <f aca="false">DC123*②시니어_가정!$K$485/12</f>
        <v>0</v>
      </c>
      <c r="DE108" s="37" t="n">
        <f aca="false">DD123*②시니어_가정!$K$485/12</f>
        <v>0</v>
      </c>
      <c r="DF108" s="37" t="n">
        <f aca="false">DE123*②시니어_가정!$K$485/12</f>
        <v>0</v>
      </c>
      <c r="DG108" s="37" t="n">
        <f aca="false">DF123*②시니어_가정!$K$485/12</f>
        <v>0</v>
      </c>
      <c r="DH108" s="37" t="n">
        <f aca="false">DG123*②시니어_가정!$K$485/12</f>
        <v>0</v>
      </c>
      <c r="DI108" s="37" t="n">
        <f aca="false">DH123*②시니어_가정!$K$485/12</f>
        <v>0</v>
      </c>
      <c r="DJ108" s="37" t="n">
        <f aca="false">DI123*②시니어_가정!$K$485/12</f>
        <v>0</v>
      </c>
      <c r="DK108" s="37" t="n">
        <f aca="false">DJ123*②시니어_가정!$K$485/12</f>
        <v>0</v>
      </c>
      <c r="DL108" s="37" t="n">
        <f aca="false">DK123*②시니어_가정!$K$485/12</f>
        <v>0</v>
      </c>
      <c r="DM108" s="37" t="n">
        <f aca="false">DL123*②시니어_가정!$K$485/12</f>
        <v>0</v>
      </c>
      <c r="DN108" s="37" t="n">
        <f aca="false">DM123*②시니어_가정!$K$485/12</f>
        <v>0</v>
      </c>
      <c r="DO108" s="37" t="n">
        <f aca="false">DN123*②시니어_가정!$K$485/12</f>
        <v>0</v>
      </c>
      <c r="DP108" s="37" t="n">
        <f aca="false">DO123*②시니어_가정!$K$485/12</f>
        <v>0</v>
      </c>
      <c r="DQ108" s="37" t="n">
        <f aca="false">DP123*②시니어_가정!$K$485/12</f>
        <v>0</v>
      </c>
      <c r="DR108" s="37" t="n">
        <f aca="false">DQ123*②시니어_가정!$K$485/12</f>
        <v>0</v>
      </c>
      <c r="DS108" s="37" t="n">
        <f aca="false">DR123*②시니어_가정!$K$485/12</f>
        <v>0</v>
      </c>
      <c r="DT108" s="37" t="n">
        <f aca="false">DS123*②시니어_가정!$K$485/12</f>
        <v>0</v>
      </c>
      <c r="DU108" s="37" t="n">
        <f aca="false">DT123*②시니어_가정!$K$485/12</f>
        <v>0</v>
      </c>
      <c r="DV108" s="37" t="n">
        <f aca="false">DU123*②시니어_가정!$K$485/12</f>
        <v>0</v>
      </c>
      <c r="DW108" s="37" t="n">
        <f aca="false">DV123*②시니어_가정!$K$485/12</f>
        <v>0</v>
      </c>
      <c r="DX108" s="37" t="n">
        <f aca="false">DW123*②시니어_가정!$K$485/12</f>
        <v>0</v>
      </c>
      <c r="DY108" s="37" t="n">
        <f aca="false">DX123*②시니어_가정!$K$485/12</f>
        <v>0</v>
      </c>
      <c r="DZ108" s="37" t="n">
        <f aca="false">DY123*②시니어_가정!$K$485/12</f>
        <v>0</v>
      </c>
      <c r="EA108" s="37" t="n">
        <f aca="false">DZ123*②시니어_가정!$K$485/12</f>
        <v>0</v>
      </c>
      <c r="EB108" s="37" t="n">
        <f aca="false">EA123*②시니어_가정!$K$485/12</f>
        <v>0</v>
      </c>
      <c r="EC108" s="37" t="n">
        <f aca="false">EB123*②시니어_가정!$K$485/12</f>
        <v>0</v>
      </c>
      <c r="ED108" s="37" t="n">
        <f aca="false">EC123*②시니어_가정!$K$485/12</f>
        <v>0</v>
      </c>
      <c r="EE108" s="37" t="n">
        <f aca="false">ED123*②시니어_가정!$K$485/12</f>
        <v>0</v>
      </c>
      <c r="EF108" s="37" t="n">
        <f aca="false">EE123*②시니어_가정!$K$485/12</f>
        <v>0</v>
      </c>
    </row>
    <row r="109" customFormat="false" ht="15" hidden="false" customHeight="false" outlineLevel="0" collapsed="false">
      <c r="A109" s="153" t="s">
        <v>648</v>
      </c>
      <c r="B109" s="278" t="s">
        <v>21</v>
      </c>
      <c r="C109" s="279" t="n">
        <f aca="false">SUM(E109:EF109)</f>
        <v>3968.30391960423</v>
      </c>
      <c r="E109" s="37" t="n">
        <f aca="false">E11*MAX(0,②시니어_가정!$E$452-0)*②시니어_가정!$O$483/12</f>
        <v>0</v>
      </c>
      <c r="F109" s="37" t="n">
        <f aca="false">F11*MAX(0,②시니어_가정!$E$452-E121)*②시니어_가정!$O$483/12</f>
        <v>0</v>
      </c>
      <c r="G109" s="37" t="n">
        <f aca="false">G11*MAX(0,②시니어_가정!$E$452-F121)*②시니어_가정!$O$483/12</f>
        <v>0</v>
      </c>
      <c r="H109" s="37" t="n">
        <f aca="false">H11*MAX(0,②시니어_가정!$E$452-G121)*②시니어_가정!$O$483/12</f>
        <v>0</v>
      </c>
      <c r="I109" s="37" t="n">
        <f aca="false">I11*MAX(0,②시니어_가정!$E$452-H121)*②시니어_가정!$O$483/12</f>
        <v>0</v>
      </c>
      <c r="J109" s="37" t="n">
        <f aca="false">J11*MAX(0,②시니어_가정!$E$452-I121)*②시니어_가정!$O$483/12</f>
        <v>0</v>
      </c>
      <c r="K109" s="37" t="n">
        <f aca="false">K11*MAX(0,②시니어_가정!$E$452-J121)*②시니어_가정!$O$483/12</f>
        <v>0</v>
      </c>
      <c r="L109" s="37" t="n">
        <f aca="false">L11*MAX(0,②시니어_가정!$E$452-K121)*②시니어_가정!$O$483/12</f>
        <v>0</v>
      </c>
      <c r="M109" s="37" t="n">
        <f aca="false">M11*MAX(0,②시니어_가정!$E$452-L121)*②시니어_가정!$O$483/12</f>
        <v>0</v>
      </c>
      <c r="N109" s="37" t="n">
        <f aca="false">N11*MAX(0,②시니어_가정!$E$452-M121)*②시니어_가정!$O$483/12</f>
        <v>0</v>
      </c>
      <c r="O109" s="37" t="n">
        <f aca="false">O11*MAX(0,②시니어_가정!$E$452-N121)*②시니어_가정!$O$483/12</f>
        <v>0</v>
      </c>
      <c r="P109" s="37" t="n">
        <f aca="false">P11*MAX(0,②시니어_가정!$E$452-O121)*②시니어_가정!$O$483/12</f>
        <v>0</v>
      </c>
      <c r="Q109" s="37" t="n">
        <f aca="false">Q11*MAX(0,②시니어_가정!$E$452-P121)*②시니어_가정!$O$483/12</f>
        <v>0</v>
      </c>
      <c r="R109" s="37" t="n">
        <f aca="false">R11*MAX(0,②시니어_가정!$E$452-Q121)*②시니어_가정!$O$483/12</f>
        <v>0</v>
      </c>
      <c r="S109" s="37" t="n">
        <f aca="false">S11*MAX(0,②시니어_가정!$E$452-R121)*②시니어_가정!$O$483/12</f>
        <v>0</v>
      </c>
      <c r="T109" s="37" t="n">
        <f aca="false">T11*MAX(0,②시니어_가정!$E$452-S121)*②시니어_가정!$O$483/12</f>
        <v>0</v>
      </c>
      <c r="U109" s="37" t="n">
        <f aca="false">U11*MAX(0,②시니어_가정!$E$452-T121)*②시니어_가정!$O$483/12</f>
        <v>0</v>
      </c>
      <c r="V109" s="37" t="n">
        <f aca="false">V11*MAX(0,②시니어_가정!$E$452-U121)*②시니어_가정!$O$483/12</f>
        <v>0</v>
      </c>
      <c r="W109" s="37" t="n">
        <f aca="false">W11*MAX(0,②시니어_가정!$E$452-V121)*②시니어_가정!$O$483/12</f>
        <v>94.4834266572436</v>
      </c>
      <c r="X109" s="37" t="n">
        <f aca="false">X11*MAX(0,②시니어_가정!$E$452-W121)*②시니어_가정!$O$483/12</f>
        <v>94.4834266572436</v>
      </c>
      <c r="Y109" s="37" t="n">
        <f aca="false">Y11*MAX(0,②시니어_가정!$E$452-X121)*②시니어_가정!$O$483/12</f>
        <v>94.4834266572436</v>
      </c>
      <c r="Z109" s="37" t="n">
        <f aca="false">Z11*MAX(0,②시니어_가정!$E$452-Y121)*②시니어_가정!$O$483/12</f>
        <v>94.4834266572436</v>
      </c>
      <c r="AA109" s="37" t="n">
        <f aca="false">AA11*MAX(0,②시니어_가정!$E$452-Z121)*②시니어_가정!$O$483/12</f>
        <v>94.4834266572436</v>
      </c>
      <c r="AB109" s="37" t="n">
        <f aca="false">AB11*MAX(0,②시니어_가정!$E$452-AA121)*②시니어_가정!$O$483/12</f>
        <v>94.4834266572436</v>
      </c>
      <c r="AC109" s="37" t="n">
        <f aca="false">AC11*MAX(0,②시니어_가정!$E$452-AB121)*②시니어_가정!$O$483/12</f>
        <v>94.4834266572436</v>
      </c>
      <c r="AD109" s="37" t="n">
        <f aca="false">AD11*MAX(0,②시니어_가정!$E$452-AC121)*②시니어_가정!$O$483/12</f>
        <v>94.4834266572436</v>
      </c>
      <c r="AE109" s="37" t="n">
        <f aca="false">AE11*MAX(0,②시니어_가정!$E$452-AD121)*②시니어_가정!$O$483/12</f>
        <v>94.4834266572436</v>
      </c>
      <c r="AF109" s="37" t="n">
        <f aca="false">AF11*MAX(0,②시니어_가정!$E$452-AE121)*②시니어_가정!$O$483/12</f>
        <v>94.4834266572436</v>
      </c>
      <c r="AG109" s="37" t="n">
        <f aca="false">AG11*MAX(0,②시니어_가정!$E$452-AF121)*②시니어_가정!$O$483/12</f>
        <v>94.4834266572436</v>
      </c>
      <c r="AH109" s="37" t="n">
        <f aca="false">AH11*MAX(0,②시니어_가정!$E$452-AG121)*②시니어_가정!$O$483/12</f>
        <v>94.4834266572436</v>
      </c>
      <c r="AI109" s="37" t="n">
        <f aca="false">AI11*MAX(0,②시니어_가정!$E$452-AH121)*②시니어_가정!$O$483/12</f>
        <v>94.4834266572436</v>
      </c>
      <c r="AJ109" s="37" t="n">
        <f aca="false">AJ11*MAX(0,②시니어_가정!$E$452-AI121)*②시니어_가정!$O$483/12</f>
        <v>94.4834266572436</v>
      </c>
      <c r="AK109" s="37" t="n">
        <f aca="false">AK11*MAX(0,②시니어_가정!$E$452-AJ121)*②시니어_가정!$O$483/12</f>
        <v>94.4834266572436</v>
      </c>
      <c r="AL109" s="37" t="n">
        <f aca="false">AL11*MAX(0,②시니어_가정!$E$452-AK121)*②시니어_가정!$O$483/12</f>
        <v>94.4834266572436</v>
      </c>
      <c r="AM109" s="37" t="n">
        <f aca="false">AM11*MAX(0,②시니어_가정!$E$452-AL121)*②시니어_가정!$O$483/12</f>
        <v>94.4834266572436</v>
      </c>
      <c r="AN109" s="37" t="n">
        <f aca="false">AN11*MAX(0,②시니어_가정!$E$452-AM121)*②시니어_가정!$O$483/12</f>
        <v>94.4834266572436</v>
      </c>
      <c r="AO109" s="37" t="n">
        <f aca="false">AO11*MAX(0,②시니어_가정!$E$452-AN121)*②시니어_가정!$O$483/12</f>
        <v>94.4834266572436</v>
      </c>
      <c r="AP109" s="37" t="n">
        <f aca="false">AP11*MAX(0,②시니어_가정!$E$452-AO121)*②시니어_가정!$O$483/12</f>
        <v>94.4834266572436</v>
      </c>
      <c r="AQ109" s="37" t="n">
        <f aca="false">AQ11*MAX(0,②시니어_가정!$E$452-AP121)*②시니어_가정!$O$483/12</f>
        <v>94.4834266572436</v>
      </c>
      <c r="AR109" s="37" t="n">
        <f aca="false">AR11*MAX(0,②시니어_가정!$E$452-AQ121)*②시니어_가정!$O$483/12</f>
        <v>94.4834266572436</v>
      </c>
      <c r="AS109" s="37" t="n">
        <f aca="false">AS11*MAX(0,②시니어_가정!$E$452-AR121)*②시니어_가정!$O$483/12</f>
        <v>94.4834266572436</v>
      </c>
      <c r="AT109" s="37" t="n">
        <f aca="false">AT11*MAX(0,②시니어_가정!$E$452-AS121)*②시니어_가정!$O$483/12</f>
        <v>94.4834266572436</v>
      </c>
      <c r="AU109" s="37" t="n">
        <f aca="false">AU11*MAX(0,②시니어_가정!$E$452-AT121)*②시니어_가정!$O$483/12</f>
        <v>94.4834266572436</v>
      </c>
      <c r="AV109" s="37" t="n">
        <f aca="false">AV11*MAX(0,②시니어_가정!$E$452-AU121)*②시니어_가정!$O$483/12</f>
        <v>94.4834266572436</v>
      </c>
      <c r="AW109" s="37" t="n">
        <f aca="false">AW11*MAX(0,②시니어_가정!$E$452-AV121)*②시니어_가정!$O$483/12</f>
        <v>94.4834266572436</v>
      </c>
      <c r="AX109" s="37" t="n">
        <f aca="false">AX11*MAX(0,②시니어_가정!$E$452-AW121)*②시니어_가정!$O$483/12</f>
        <v>94.4834266572436</v>
      </c>
      <c r="AY109" s="37" t="n">
        <f aca="false">AY11*MAX(0,②시니어_가정!$E$452-AX121)*②시니어_가정!$O$483/12</f>
        <v>94.4834266572436</v>
      </c>
      <c r="AZ109" s="37" t="n">
        <f aca="false">AZ11*MAX(0,②시니어_가정!$E$452-AY121)*②시니어_가정!$O$483/12</f>
        <v>94.4834266572436</v>
      </c>
      <c r="BA109" s="37" t="n">
        <f aca="false">BA11*MAX(0,②시니어_가정!$E$452-AZ121)*②시니어_가정!$O$483/12</f>
        <v>94.4834266572436</v>
      </c>
      <c r="BB109" s="37" t="n">
        <f aca="false">BB11*MAX(0,②시니어_가정!$E$452-BA121)*②시니어_가정!$O$483/12</f>
        <v>94.4834266572436</v>
      </c>
      <c r="BC109" s="37" t="n">
        <f aca="false">BC11*MAX(0,②시니어_가정!$E$452-BB121)*②시니어_가정!$O$483/12</f>
        <v>94.4834266572436</v>
      </c>
      <c r="BD109" s="37" t="n">
        <f aca="false">BD11*MAX(0,②시니어_가정!$E$452-BC121)*②시니어_가정!$O$483/12</f>
        <v>94.4834266572436</v>
      </c>
      <c r="BE109" s="37" t="n">
        <f aca="false">BE11*MAX(0,②시니어_가정!$E$452-BD121)*②시니어_가정!$O$483/12</f>
        <v>94.4834266572436</v>
      </c>
      <c r="BF109" s="37" t="n">
        <f aca="false">BF11*MAX(0,②시니어_가정!$E$452-BE121)*②시니어_가정!$O$483/12</f>
        <v>94.4834266572436</v>
      </c>
      <c r="BG109" s="37" t="n">
        <f aca="false">BG11*MAX(0,②시니어_가정!$E$452-BF121)*②시니어_가정!$O$483/12</f>
        <v>94.4834266572436</v>
      </c>
      <c r="BH109" s="37" t="n">
        <f aca="false">BH11*MAX(0,②시니어_가정!$E$452-BG121)*②시니어_가정!$O$483/12</f>
        <v>94.4834266572436</v>
      </c>
      <c r="BI109" s="37" t="n">
        <f aca="false">BI11*MAX(0,②시니어_가정!$E$452-BH121)*②시니어_가정!$O$483/12</f>
        <v>94.4834266572436</v>
      </c>
      <c r="BJ109" s="37" t="n">
        <f aca="false">BJ11*MAX(0,②시니어_가정!$E$452-BI121)*②시니어_가정!$O$483/12</f>
        <v>94.4834266572436</v>
      </c>
      <c r="BK109" s="37" t="n">
        <f aca="false">BK11*MAX(0,②시니어_가정!$E$452-BJ121)*②시니어_가정!$O$483/12</f>
        <v>94.4834266572436</v>
      </c>
      <c r="BL109" s="37" t="n">
        <f aca="false">BL11*MAX(0,②시니어_가정!$E$452-BK121)*②시니어_가정!$O$483/12</f>
        <v>94.4834266572436</v>
      </c>
      <c r="BM109" s="37" t="n">
        <f aca="false">BM11*MAX(0,②시니어_가정!$E$452-BL121)*②시니어_가정!$O$483/12</f>
        <v>0</v>
      </c>
      <c r="BN109" s="37" t="n">
        <f aca="false">BN11*MAX(0,②시니어_가정!$E$452-BM121)*②시니어_가정!$O$483/12</f>
        <v>0</v>
      </c>
      <c r="BO109" s="37" t="n">
        <f aca="false">BO11*MAX(0,②시니어_가정!$E$452-BN121)*②시니어_가정!$O$483/12</f>
        <v>0</v>
      </c>
      <c r="BP109" s="37" t="n">
        <f aca="false">BP11*MAX(0,②시니어_가정!$E$452-BO121)*②시니어_가정!$O$483/12</f>
        <v>0</v>
      </c>
      <c r="BQ109" s="37" t="n">
        <f aca="false">BQ11*MAX(0,②시니어_가정!$E$452-BP121)*②시니어_가정!$O$483/12</f>
        <v>0</v>
      </c>
      <c r="BR109" s="37" t="n">
        <f aca="false">BR11*MAX(0,②시니어_가정!$E$452-BQ121)*②시니어_가정!$O$483/12</f>
        <v>0</v>
      </c>
      <c r="BS109" s="37" t="n">
        <f aca="false">BS11*MAX(0,②시니어_가정!$E$452-BR121)*②시니어_가정!$O$483/12</f>
        <v>0</v>
      </c>
      <c r="BT109" s="37" t="n">
        <f aca="false">BT11*MAX(0,②시니어_가정!$E$452-BS121)*②시니어_가정!$O$483/12</f>
        <v>0</v>
      </c>
      <c r="BU109" s="37" t="n">
        <f aca="false">BU11*MAX(0,②시니어_가정!$E$452-BT121)*②시니어_가정!$O$483/12</f>
        <v>0</v>
      </c>
      <c r="BV109" s="37" t="n">
        <f aca="false">BV11*MAX(0,②시니어_가정!$E$452-BU121)*②시니어_가정!$O$483/12</f>
        <v>0</v>
      </c>
      <c r="BW109" s="37" t="n">
        <f aca="false">BW11*MAX(0,②시니어_가정!$E$452-BV121)*②시니어_가정!$O$483/12</f>
        <v>0</v>
      </c>
      <c r="BX109" s="37" t="n">
        <f aca="false">BX11*MAX(0,②시니어_가정!$E$452-BW121)*②시니어_가정!$O$483/12</f>
        <v>0</v>
      </c>
      <c r="BY109" s="37" t="n">
        <f aca="false">BY11*MAX(0,②시니어_가정!$E$452-BX121)*②시니어_가정!$O$483/12</f>
        <v>0</v>
      </c>
      <c r="BZ109" s="37" t="n">
        <f aca="false">BZ11*MAX(0,②시니어_가정!$E$452-BY121)*②시니어_가정!$O$483/12</f>
        <v>0</v>
      </c>
      <c r="CA109" s="37" t="n">
        <f aca="false">CA11*MAX(0,②시니어_가정!$E$452-BZ121)*②시니어_가정!$O$483/12</f>
        <v>0</v>
      </c>
      <c r="CB109" s="37" t="n">
        <f aca="false">CB11*MAX(0,②시니어_가정!$E$452-CA121)*②시니어_가정!$O$483/12</f>
        <v>0</v>
      </c>
      <c r="CC109" s="37" t="n">
        <f aca="false">CC11*MAX(0,②시니어_가정!$E$452-CB121)*②시니어_가정!$O$483/12</f>
        <v>0</v>
      </c>
      <c r="CD109" s="37" t="n">
        <f aca="false">CD11*MAX(0,②시니어_가정!$E$452-CC121)*②시니어_가정!$O$483/12</f>
        <v>0</v>
      </c>
      <c r="CE109" s="37" t="n">
        <f aca="false">CE11*MAX(0,②시니어_가정!$E$452-CD121)*②시니어_가정!$O$483/12</f>
        <v>0</v>
      </c>
      <c r="CF109" s="37" t="n">
        <f aca="false">CF11*MAX(0,②시니어_가정!$E$452-CE121)*②시니어_가정!$O$483/12</f>
        <v>0</v>
      </c>
      <c r="CG109" s="37" t="n">
        <f aca="false">CG11*MAX(0,②시니어_가정!$E$452-CF121)*②시니어_가정!$O$483/12</f>
        <v>0</v>
      </c>
      <c r="CH109" s="37" t="n">
        <f aca="false">CH11*MAX(0,②시니어_가정!$E$452-CG121)*②시니어_가정!$O$483/12</f>
        <v>0</v>
      </c>
      <c r="CI109" s="37" t="n">
        <f aca="false">CI11*MAX(0,②시니어_가정!$E$452-CH121)*②시니어_가정!$O$483/12</f>
        <v>0</v>
      </c>
      <c r="CJ109" s="37" t="n">
        <f aca="false">CJ11*MAX(0,②시니어_가정!$E$452-CI121)*②시니어_가정!$O$483/12</f>
        <v>0</v>
      </c>
      <c r="CK109" s="37" t="n">
        <f aca="false">CK11*MAX(0,②시니어_가정!$E$452-CJ121)*②시니어_가정!$O$483/12</f>
        <v>0</v>
      </c>
      <c r="CL109" s="37" t="n">
        <f aca="false">CL11*MAX(0,②시니어_가정!$E$452-CK121)*②시니어_가정!$O$483/12</f>
        <v>0</v>
      </c>
      <c r="CM109" s="37" t="n">
        <f aca="false">CM11*MAX(0,②시니어_가정!$E$452-CL121)*②시니어_가정!$O$483/12</f>
        <v>0</v>
      </c>
      <c r="CN109" s="37" t="n">
        <f aca="false">CN11*MAX(0,②시니어_가정!$E$452-CM121)*②시니어_가정!$O$483/12</f>
        <v>0</v>
      </c>
      <c r="CO109" s="37" t="n">
        <f aca="false">CO11*MAX(0,②시니어_가정!$E$452-CN121)*②시니어_가정!$O$483/12</f>
        <v>0</v>
      </c>
      <c r="CP109" s="37" t="n">
        <f aca="false">CP11*MAX(0,②시니어_가정!$E$452-CO121)*②시니어_가정!$O$483/12</f>
        <v>0</v>
      </c>
      <c r="CQ109" s="37" t="n">
        <f aca="false">CQ11*MAX(0,②시니어_가정!$E$452-CP121)*②시니어_가정!$O$483/12</f>
        <v>0</v>
      </c>
      <c r="CR109" s="37" t="n">
        <f aca="false">CR11*MAX(0,②시니어_가정!$E$452-CQ121)*②시니어_가정!$O$483/12</f>
        <v>0</v>
      </c>
      <c r="CS109" s="37" t="n">
        <f aca="false">CS11*MAX(0,②시니어_가정!$E$452-CR121)*②시니어_가정!$O$483/12</f>
        <v>0</v>
      </c>
      <c r="CT109" s="37" t="n">
        <f aca="false">CT11*MAX(0,②시니어_가정!$E$452-CS121)*②시니어_가정!$O$483/12</f>
        <v>0</v>
      </c>
      <c r="CU109" s="37" t="n">
        <f aca="false">CU11*MAX(0,②시니어_가정!$E$452-CT121)*②시니어_가정!$O$483/12</f>
        <v>0</v>
      </c>
      <c r="CV109" s="37" t="n">
        <f aca="false">CV11*MAX(0,②시니어_가정!$E$452-CU121)*②시니어_가정!$O$483/12</f>
        <v>0</v>
      </c>
      <c r="CW109" s="37" t="n">
        <f aca="false">CW11*MAX(0,②시니어_가정!$E$452-CV121)*②시니어_가정!$O$483/12</f>
        <v>0</v>
      </c>
      <c r="CX109" s="37" t="n">
        <f aca="false">CX11*MAX(0,②시니어_가정!$E$452-CW121)*②시니어_가정!$O$483/12</f>
        <v>0</v>
      </c>
      <c r="CY109" s="37" t="n">
        <f aca="false">CY11*MAX(0,②시니어_가정!$E$452-CX121)*②시니어_가정!$O$483/12</f>
        <v>0</v>
      </c>
      <c r="CZ109" s="37" t="n">
        <f aca="false">CZ11*MAX(0,②시니어_가정!$E$452-CY121)*②시니어_가정!$O$483/12</f>
        <v>0</v>
      </c>
      <c r="DA109" s="37" t="n">
        <f aca="false">DA11*MAX(0,②시니어_가정!$E$452-CZ121)*②시니어_가정!$O$483/12</f>
        <v>0</v>
      </c>
      <c r="DB109" s="37" t="n">
        <f aca="false">DB11*MAX(0,②시니어_가정!$E$452-DA121)*②시니어_가정!$O$483/12</f>
        <v>0</v>
      </c>
      <c r="DC109" s="37" t="n">
        <f aca="false">DC11*MAX(0,②시니어_가정!$E$452-DB121)*②시니어_가정!$O$483/12</f>
        <v>0</v>
      </c>
      <c r="DD109" s="37" t="n">
        <f aca="false">DD11*MAX(0,②시니어_가정!$E$452-DC121)*②시니어_가정!$O$483/12</f>
        <v>0</v>
      </c>
      <c r="DE109" s="37" t="n">
        <f aca="false">DE11*MAX(0,②시니어_가정!$E$452-DD121)*②시니어_가정!$O$483/12</f>
        <v>0</v>
      </c>
      <c r="DF109" s="37" t="n">
        <f aca="false">DF11*MAX(0,②시니어_가정!$E$452-DE121)*②시니어_가정!$O$483/12</f>
        <v>0</v>
      </c>
      <c r="DG109" s="37" t="n">
        <f aca="false">DG11*MAX(0,②시니어_가정!$E$452-DF121)*②시니어_가정!$O$483/12</f>
        <v>0</v>
      </c>
      <c r="DH109" s="37" t="n">
        <f aca="false">DH11*MAX(0,②시니어_가정!$E$452-DG121)*②시니어_가정!$O$483/12</f>
        <v>0</v>
      </c>
      <c r="DI109" s="37" t="n">
        <f aca="false">DI11*MAX(0,②시니어_가정!$E$452-DH121)*②시니어_가정!$O$483/12</f>
        <v>0</v>
      </c>
      <c r="DJ109" s="37" t="n">
        <f aca="false">DJ11*MAX(0,②시니어_가정!$E$452-DI121)*②시니어_가정!$O$483/12</f>
        <v>0</v>
      </c>
      <c r="DK109" s="37" t="n">
        <f aca="false">DK11*MAX(0,②시니어_가정!$E$452-DJ121)*②시니어_가정!$O$483/12</f>
        <v>0</v>
      </c>
      <c r="DL109" s="37" t="n">
        <f aca="false">DL11*MAX(0,②시니어_가정!$E$452-DK121)*②시니어_가정!$O$483/12</f>
        <v>0</v>
      </c>
      <c r="DM109" s="37" t="n">
        <f aca="false">DM11*MAX(0,②시니어_가정!$E$452-DL121)*②시니어_가정!$O$483/12</f>
        <v>0</v>
      </c>
      <c r="DN109" s="37" t="n">
        <f aca="false">DN11*MAX(0,②시니어_가정!$E$452-DM121)*②시니어_가정!$O$483/12</f>
        <v>0</v>
      </c>
      <c r="DO109" s="37" t="n">
        <f aca="false">DO11*MAX(0,②시니어_가정!$E$452-DN121)*②시니어_가정!$O$483/12</f>
        <v>0</v>
      </c>
      <c r="DP109" s="37" t="n">
        <f aca="false">DP11*MAX(0,②시니어_가정!$E$452-DO121)*②시니어_가정!$O$483/12</f>
        <v>0</v>
      </c>
      <c r="DQ109" s="37" t="n">
        <f aca="false">DQ11*MAX(0,②시니어_가정!$E$452-DP121)*②시니어_가정!$O$483/12</f>
        <v>0</v>
      </c>
      <c r="DR109" s="37" t="n">
        <f aca="false">DR11*MAX(0,②시니어_가정!$E$452-DQ121)*②시니어_가정!$O$483/12</f>
        <v>0</v>
      </c>
      <c r="DS109" s="37" t="n">
        <f aca="false">DS11*MAX(0,②시니어_가정!$E$452-DR121)*②시니어_가정!$O$483/12</f>
        <v>0</v>
      </c>
      <c r="DT109" s="37" t="n">
        <f aca="false">DT11*MAX(0,②시니어_가정!$E$452-DS121)*②시니어_가정!$O$483/12</f>
        <v>0</v>
      </c>
      <c r="DU109" s="37" t="n">
        <f aca="false">DU11*MAX(0,②시니어_가정!$E$452-DT121)*②시니어_가정!$O$483/12</f>
        <v>0</v>
      </c>
      <c r="DV109" s="37" t="n">
        <f aca="false">DV11*MAX(0,②시니어_가정!$E$452-DU121)*②시니어_가정!$O$483/12</f>
        <v>0</v>
      </c>
      <c r="DW109" s="37" t="n">
        <f aca="false">DW11*MAX(0,②시니어_가정!$E$452-DV121)*②시니어_가정!$O$483/12</f>
        <v>0</v>
      </c>
      <c r="DX109" s="37" t="n">
        <f aca="false">DX11*MAX(0,②시니어_가정!$E$452-DW121)*②시니어_가정!$O$483/12</f>
        <v>0</v>
      </c>
      <c r="DY109" s="37" t="n">
        <f aca="false">DY11*MAX(0,②시니어_가정!$E$452-DX121)*②시니어_가정!$O$483/12</f>
        <v>0</v>
      </c>
      <c r="DZ109" s="37" t="n">
        <f aca="false">DZ11*MAX(0,②시니어_가정!$E$452-DY121)*②시니어_가정!$O$483/12</f>
        <v>0</v>
      </c>
      <c r="EA109" s="37" t="n">
        <f aca="false">EA11*MAX(0,②시니어_가정!$E$452-DZ121)*②시니어_가정!$O$483/12</f>
        <v>0</v>
      </c>
      <c r="EB109" s="37" t="n">
        <f aca="false">EB11*MAX(0,②시니어_가정!$E$452-EA121)*②시니어_가정!$O$483/12</f>
        <v>0</v>
      </c>
      <c r="EC109" s="37" t="n">
        <f aca="false">EC11*MAX(0,②시니어_가정!$E$452-EB121)*②시니어_가정!$O$483/12</f>
        <v>0</v>
      </c>
      <c r="ED109" s="37" t="n">
        <f aca="false">ED11*MAX(0,②시니어_가정!$E$452-EC121)*②시니어_가정!$O$483/12</f>
        <v>0</v>
      </c>
      <c r="EE109" s="37" t="n">
        <f aca="false">EE11*MAX(0,②시니어_가정!$E$452-ED121)*②시니어_가정!$O$483/12</f>
        <v>0</v>
      </c>
      <c r="EF109" s="37" t="n">
        <f aca="false">EF11*MAX(0,②시니어_가정!$E$452-EE121)*②시니어_가정!$O$483/12</f>
        <v>0</v>
      </c>
    </row>
    <row r="110" customFormat="false" ht="15" hidden="false" customHeight="false" outlineLevel="0" collapsed="false">
      <c r="A110" s="153" t="s">
        <v>649</v>
      </c>
      <c r="B110" s="278" t="s">
        <v>21</v>
      </c>
      <c r="C110" s="279" t="n">
        <f aca="false">SUM(E110:EF110)</f>
        <v>793.883004495932</v>
      </c>
      <c r="E110" s="37" t="n">
        <f aca="false">E11*MAX(0,②시니어_가정!$E$453-0)*②시니어_가정!$O$484/12</f>
        <v>0</v>
      </c>
      <c r="F110" s="37" t="n">
        <f aca="false">F11*MAX(0,②시니어_가정!$E$453-E122)*②시니어_가정!$O$484/12</f>
        <v>0</v>
      </c>
      <c r="G110" s="37" t="n">
        <f aca="false">G11*MAX(0,②시니어_가정!$E$453-F122)*②시니어_가정!$O$484/12</f>
        <v>0</v>
      </c>
      <c r="H110" s="37" t="n">
        <f aca="false">H11*MAX(0,②시니어_가정!$E$453-G122)*②시니어_가정!$O$484/12</f>
        <v>0</v>
      </c>
      <c r="I110" s="37" t="n">
        <f aca="false">I11*MAX(0,②시니어_가정!$E$453-H122)*②시니어_가정!$O$484/12</f>
        <v>0</v>
      </c>
      <c r="J110" s="37" t="n">
        <f aca="false">J11*MAX(0,②시니어_가정!$E$453-I122)*②시니어_가정!$O$484/12</f>
        <v>0</v>
      </c>
      <c r="K110" s="37" t="n">
        <f aca="false">K11*MAX(0,②시니어_가정!$E$453-J122)*②시니어_가정!$O$484/12</f>
        <v>0</v>
      </c>
      <c r="L110" s="37" t="n">
        <f aca="false">L11*MAX(0,②시니어_가정!$E$453-K122)*②시니어_가정!$O$484/12</f>
        <v>0</v>
      </c>
      <c r="M110" s="37" t="n">
        <f aca="false">M11*MAX(0,②시니어_가정!$E$453-L122)*②시니어_가정!$O$484/12</f>
        <v>0</v>
      </c>
      <c r="N110" s="37" t="n">
        <f aca="false">N11*MAX(0,②시니어_가정!$E$453-M122)*②시니어_가정!$O$484/12</f>
        <v>0</v>
      </c>
      <c r="O110" s="37" t="n">
        <f aca="false">O11*MAX(0,②시니어_가정!$E$453-N122)*②시니어_가정!$O$484/12</f>
        <v>0</v>
      </c>
      <c r="P110" s="37" t="n">
        <f aca="false">P11*MAX(0,②시니어_가정!$E$453-O122)*②시니어_가정!$O$484/12</f>
        <v>0</v>
      </c>
      <c r="Q110" s="37" t="n">
        <f aca="false">Q11*MAX(0,②시니어_가정!$E$453-P122)*②시니어_가정!$O$484/12</f>
        <v>0</v>
      </c>
      <c r="R110" s="37" t="n">
        <f aca="false">R11*MAX(0,②시니어_가정!$E$453-Q122)*②시니어_가정!$O$484/12</f>
        <v>0</v>
      </c>
      <c r="S110" s="37" t="n">
        <f aca="false">S11*MAX(0,②시니어_가정!$E$453-R122)*②시니어_가정!$O$484/12</f>
        <v>0</v>
      </c>
      <c r="T110" s="37" t="n">
        <f aca="false">T11*MAX(0,②시니어_가정!$E$453-S122)*②시니어_가정!$O$484/12</f>
        <v>0</v>
      </c>
      <c r="U110" s="37" t="n">
        <f aca="false">U11*MAX(0,②시니어_가정!$E$453-T122)*②시니어_가정!$O$484/12</f>
        <v>0</v>
      </c>
      <c r="V110" s="37" t="n">
        <f aca="false">V11*MAX(0,②시니어_가정!$E$453-U122)*②시니어_가정!$O$484/12</f>
        <v>0</v>
      </c>
      <c r="W110" s="37" t="n">
        <f aca="false">W11*MAX(0,②시니어_가정!$E$453-V122)*②시니어_가정!$O$484/12</f>
        <v>18.9019762975222</v>
      </c>
      <c r="X110" s="37" t="n">
        <f aca="false">X11*MAX(0,②시니어_가정!$E$453-W122)*②시니어_가정!$O$484/12</f>
        <v>18.9019762975222</v>
      </c>
      <c r="Y110" s="37" t="n">
        <f aca="false">Y11*MAX(0,②시니어_가정!$E$453-X122)*②시니어_가정!$O$484/12</f>
        <v>18.9019762975222</v>
      </c>
      <c r="Z110" s="37" t="n">
        <f aca="false">Z11*MAX(0,②시니어_가정!$E$453-Y122)*②시니어_가정!$O$484/12</f>
        <v>18.9019762975222</v>
      </c>
      <c r="AA110" s="37" t="n">
        <f aca="false">AA11*MAX(0,②시니어_가정!$E$453-Z122)*②시니어_가정!$O$484/12</f>
        <v>18.9019762975222</v>
      </c>
      <c r="AB110" s="37" t="n">
        <f aca="false">AB11*MAX(0,②시니어_가정!$E$453-AA122)*②시니어_가정!$O$484/12</f>
        <v>18.9019762975222</v>
      </c>
      <c r="AC110" s="37" t="n">
        <f aca="false">AC11*MAX(0,②시니어_가정!$E$453-AB122)*②시니어_가정!$O$484/12</f>
        <v>18.9019762975222</v>
      </c>
      <c r="AD110" s="37" t="n">
        <f aca="false">AD11*MAX(0,②시니어_가정!$E$453-AC122)*②시니어_가정!$O$484/12</f>
        <v>18.9019762975222</v>
      </c>
      <c r="AE110" s="37" t="n">
        <f aca="false">AE11*MAX(0,②시니어_가정!$E$453-AD122)*②시니어_가정!$O$484/12</f>
        <v>18.9019762975222</v>
      </c>
      <c r="AF110" s="37" t="n">
        <f aca="false">AF11*MAX(0,②시니어_가정!$E$453-AE122)*②시니어_가정!$O$484/12</f>
        <v>18.9019762975222</v>
      </c>
      <c r="AG110" s="37" t="n">
        <f aca="false">AG11*MAX(0,②시니어_가정!$E$453-AF122)*②시니어_가정!$O$484/12</f>
        <v>18.9019762975222</v>
      </c>
      <c r="AH110" s="37" t="n">
        <f aca="false">AH11*MAX(0,②시니어_가정!$E$453-AG122)*②시니어_가정!$O$484/12</f>
        <v>18.9019762975222</v>
      </c>
      <c r="AI110" s="37" t="n">
        <f aca="false">AI11*MAX(0,②시니어_가정!$E$453-AH122)*②시니어_가정!$O$484/12</f>
        <v>18.9019762975222</v>
      </c>
      <c r="AJ110" s="37" t="n">
        <f aca="false">AJ11*MAX(0,②시니어_가정!$E$453-AI122)*②시니어_가정!$O$484/12</f>
        <v>18.9019762975222</v>
      </c>
      <c r="AK110" s="37" t="n">
        <f aca="false">AK11*MAX(0,②시니어_가정!$E$453-AJ122)*②시니어_가정!$O$484/12</f>
        <v>18.9019762975222</v>
      </c>
      <c r="AL110" s="37" t="n">
        <f aca="false">AL11*MAX(0,②시니어_가정!$E$453-AK122)*②시니어_가정!$O$484/12</f>
        <v>18.9019762975222</v>
      </c>
      <c r="AM110" s="37" t="n">
        <f aca="false">AM11*MAX(0,②시니어_가정!$E$453-AL122)*②시니어_가정!$O$484/12</f>
        <v>18.9019762975222</v>
      </c>
      <c r="AN110" s="37" t="n">
        <f aca="false">AN11*MAX(0,②시니어_가정!$E$453-AM122)*②시니어_가정!$O$484/12</f>
        <v>18.9019762975222</v>
      </c>
      <c r="AO110" s="37" t="n">
        <f aca="false">AO11*MAX(0,②시니어_가정!$E$453-AN122)*②시니어_가정!$O$484/12</f>
        <v>18.9019762975222</v>
      </c>
      <c r="AP110" s="37" t="n">
        <f aca="false">AP11*MAX(0,②시니어_가정!$E$453-AO122)*②시니어_가정!$O$484/12</f>
        <v>18.9019762975222</v>
      </c>
      <c r="AQ110" s="37" t="n">
        <f aca="false">AQ11*MAX(0,②시니어_가정!$E$453-AP122)*②시니어_가정!$O$484/12</f>
        <v>18.9019762975222</v>
      </c>
      <c r="AR110" s="37" t="n">
        <f aca="false">AR11*MAX(0,②시니어_가정!$E$453-AQ122)*②시니어_가정!$O$484/12</f>
        <v>18.9019762975222</v>
      </c>
      <c r="AS110" s="37" t="n">
        <f aca="false">AS11*MAX(0,②시니어_가정!$E$453-AR122)*②시니어_가정!$O$484/12</f>
        <v>18.9019762975222</v>
      </c>
      <c r="AT110" s="37" t="n">
        <f aca="false">AT11*MAX(0,②시니어_가정!$E$453-AS122)*②시니어_가정!$O$484/12</f>
        <v>18.9019762975222</v>
      </c>
      <c r="AU110" s="37" t="n">
        <f aca="false">AU11*MAX(0,②시니어_가정!$E$453-AT122)*②시니어_가정!$O$484/12</f>
        <v>18.9019762975222</v>
      </c>
      <c r="AV110" s="37" t="n">
        <f aca="false">AV11*MAX(0,②시니어_가정!$E$453-AU122)*②시니어_가정!$O$484/12</f>
        <v>18.9019762975222</v>
      </c>
      <c r="AW110" s="37" t="n">
        <f aca="false">AW11*MAX(0,②시니어_가정!$E$453-AV122)*②시니어_가정!$O$484/12</f>
        <v>18.9019762975222</v>
      </c>
      <c r="AX110" s="37" t="n">
        <f aca="false">AX11*MAX(0,②시니어_가정!$E$453-AW122)*②시니어_가정!$O$484/12</f>
        <v>18.9019762975222</v>
      </c>
      <c r="AY110" s="37" t="n">
        <f aca="false">AY11*MAX(0,②시니어_가정!$E$453-AX122)*②시니어_가정!$O$484/12</f>
        <v>18.9019762975222</v>
      </c>
      <c r="AZ110" s="37" t="n">
        <f aca="false">AZ11*MAX(0,②시니어_가정!$E$453-AY122)*②시니어_가정!$O$484/12</f>
        <v>18.9019762975222</v>
      </c>
      <c r="BA110" s="37" t="n">
        <f aca="false">BA11*MAX(0,②시니어_가정!$E$453-AZ122)*②시니어_가정!$O$484/12</f>
        <v>18.9019762975222</v>
      </c>
      <c r="BB110" s="37" t="n">
        <f aca="false">BB11*MAX(0,②시니어_가정!$E$453-BA122)*②시니어_가정!$O$484/12</f>
        <v>18.9019762975222</v>
      </c>
      <c r="BC110" s="37" t="n">
        <f aca="false">BC11*MAX(0,②시니어_가정!$E$453-BB122)*②시니어_가정!$O$484/12</f>
        <v>18.9019762975222</v>
      </c>
      <c r="BD110" s="37" t="n">
        <f aca="false">BD11*MAX(0,②시니어_가정!$E$453-BC122)*②시니어_가정!$O$484/12</f>
        <v>18.9019762975222</v>
      </c>
      <c r="BE110" s="37" t="n">
        <f aca="false">BE11*MAX(0,②시니어_가정!$E$453-BD122)*②시니어_가정!$O$484/12</f>
        <v>18.9019762975222</v>
      </c>
      <c r="BF110" s="37" t="n">
        <f aca="false">BF11*MAX(0,②시니어_가정!$E$453-BE122)*②시니어_가정!$O$484/12</f>
        <v>18.9019762975222</v>
      </c>
      <c r="BG110" s="37" t="n">
        <f aca="false">BG11*MAX(0,②시니어_가정!$E$453-BF122)*②시니어_가정!$O$484/12</f>
        <v>18.9019762975222</v>
      </c>
      <c r="BH110" s="37" t="n">
        <f aca="false">BH11*MAX(0,②시니어_가정!$E$453-BG122)*②시니어_가정!$O$484/12</f>
        <v>18.9019762975222</v>
      </c>
      <c r="BI110" s="37" t="n">
        <f aca="false">BI11*MAX(0,②시니어_가정!$E$453-BH122)*②시니어_가정!$O$484/12</f>
        <v>18.9019762975222</v>
      </c>
      <c r="BJ110" s="37" t="n">
        <f aca="false">BJ11*MAX(0,②시니어_가정!$E$453-BI122)*②시니어_가정!$O$484/12</f>
        <v>18.9019762975222</v>
      </c>
      <c r="BK110" s="37" t="n">
        <f aca="false">BK11*MAX(0,②시니어_가정!$E$453-BJ122)*②시니어_가정!$O$484/12</f>
        <v>18.9019762975222</v>
      </c>
      <c r="BL110" s="37" t="n">
        <f aca="false">BL11*MAX(0,②시니어_가정!$E$453-BK122)*②시니어_가정!$O$484/12</f>
        <v>18.9019762975222</v>
      </c>
      <c r="BM110" s="37" t="n">
        <f aca="false">BM11*MAX(0,②시니어_가정!$E$453-BL122)*②시니어_가정!$O$484/12</f>
        <v>0</v>
      </c>
      <c r="BN110" s="37" t="n">
        <f aca="false">BN11*MAX(0,②시니어_가정!$E$453-BM122)*②시니어_가정!$O$484/12</f>
        <v>0</v>
      </c>
      <c r="BO110" s="37" t="n">
        <f aca="false">BO11*MAX(0,②시니어_가정!$E$453-BN122)*②시니어_가정!$O$484/12</f>
        <v>0</v>
      </c>
      <c r="BP110" s="37" t="n">
        <f aca="false">BP11*MAX(0,②시니어_가정!$E$453-BO122)*②시니어_가정!$O$484/12</f>
        <v>0</v>
      </c>
      <c r="BQ110" s="37" t="n">
        <f aca="false">BQ11*MAX(0,②시니어_가정!$E$453-BP122)*②시니어_가정!$O$484/12</f>
        <v>0</v>
      </c>
      <c r="BR110" s="37" t="n">
        <f aca="false">BR11*MAX(0,②시니어_가정!$E$453-BQ122)*②시니어_가정!$O$484/12</f>
        <v>0</v>
      </c>
      <c r="BS110" s="37" t="n">
        <f aca="false">BS11*MAX(0,②시니어_가정!$E$453-BR122)*②시니어_가정!$O$484/12</f>
        <v>0</v>
      </c>
      <c r="BT110" s="37" t="n">
        <f aca="false">BT11*MAX(0,②시니어_가정!$E$453-BS122)*②시니어_가정!$O$484/12</f>
        <v>0</v>
      </c>
      <c r="BU110" s="37" t="n">
        <f aca="false">BU11*MAX(0,②시니어_가정!$E$453-BT122)*②시니어_가정!$O$484/12</f>
        <v>0</v>
      </c>
      <c r="BV110" s="37" t="n">
        <f aca="false">BV11*MAX(0,②시니어_가정!$E$453-BU122)*②시니어_가정!$O$484/12</f>
        <v>0</v>
      </c>
      <c r="BW110" s="37" t="n">
        <f aca="false">BW11*MAX(0,②시니어_가정!$E$453-BV122)*②시니어_가정!$O$484/12</f>
        <v>0</v>
      </c>
      <c r="BX110" s="37" t="n">
        <f aca="false">BX11*MAX(0,②시니어_가정!$E$453-BW122)*②시니어_가정!$O$484/12</f>
        <v>0</v>
      </c>
      <c r="BY110" s="37" t="n">
        <f aca="false">BY11*MAX(0,②시니어_가정!$E$453-BX122)*②시니어_가정!$O$484/12</f>
        <v>0</v>
      </c>
      <c r="BZ110" s="37" t="n">
        <f aca="false">BZ11*MAX(0,②시니어_가정!$E$453-BY122)*②시니어_가정!$O$484/12</f>
        <v>0</v>
      </c>
      <c r="CA110" s="37" t="n">
        <f aca="false">CA11*MAX(0,②시니어_가정!$E$453-BZ122)*②시니어_가정!$O$484/12</f>
        <v>0</v>
      </c>
      <c r="CB110" s="37" t="n">
        <f aca="false">CB11*MAX(0,②시니어_가정!$E$453-CA122)*②시니어_가정!$O$484/12</f>
        <v>0</v>
      </c>
      <c r="CC110" s="37" t="n">
        <f aca="false">CC11*MAX(0,②시니어_가정!$E$453-CB122)*②시니어_가정!$O$484/12</f>
        <v>0</v>
      </c>
      <c r="CD110" s="37" t="n">
        <f aca="false">CD11*MAX(0,②시니어_가정!$E$453-CC122)*②시니어_가정!$O$484/12</f>
        <v>0</v>
      </c>
      <c r="CE110" s="37" t="n">
        <f aca="false">CE11*MAX(0,②시니어_가정!$E$453-CD122)*②시니어_가정!$O$484/12</f>
        <v>0</v>
      </c>
      <c r="CF110" s="37" t="n">
        <f aca="false">CF11*MAX(0,②시니어_가정!$E$453-CE122)*②시니어_가정!$O$484/12</f>
        <v>0</v>
      </c>
      <c r="CG110" s="37" t="n">
        <f aca="false">CG11*MAX(0,②시니어_가정!$E$453-CF122)*②시니어_가정!$O$484/12</f>
        <v>0</v>
      </c>
      <c r="CH110" s="37" t="n">
        <f aca="false">CH11*MAX(0,②시니어_가정!$E$453-CG122)*②시니어_가정!$O$484/12</f>
        <v>0</v>
      </c>
      <c r="CI110" s="37" t="n">
        <f aca="false">CI11*MAX(0,②시니어_가정!$E$453-CH122)*②시니어_가정!$O$484/12</f>
        <v>0</v>
      </c>
      <c r="CJ110" s="37" t="n">
        <f aca="false">CJ11*MAX(0,②시니어_가정!$E$453-CI122)*②시니어_가정!$O$484/12</f>
        <v>0</v>
      </c>
      <c r="CK110" s="37" t="n">
        <f aca="false">CK11*MAX(0,②시니어_가정!$E$453-CJ122)*②시니어_가정!$O$484/12</f>
        <v>0</v>
      </c>
      <c r="CL110" s="37" t="n">
        <f aca="false">CL11*MAX(0,②시니어_가정!$E$453-CK122)*②시니어_가정!$O$484/12</f>
        <v>0</v>
      </c>
      <c r="CM110" s="37" t="n">
        <f aca="false">CM11*MAX(0,②시니어_가정!$E$453-CL122)*②시니어_가정!$O$484/12</f>
        <v>0</v>
      </c>
      <c r="CN110" s="37" t="n">
        <f aca="false">CN11*MAX(0,②시니어_가정!$E$453-CM122)*②시니어_가정!$O$484/12</f>
        <v>0</v>
      </c>
      <c r="CO110" s="37" t="n">
        <f aca="false">CO11*MAX(0,②시니어_가정!$E$453-CN122)*②시니어_가정!$O$484/12</f>
        <v>0</v>
      </c>
      <c r="CP110" s="37" t="n">
        <f aca="false">CP11*MAX(0,②시니어_가정!$E$453-CO122)*②시니어_가정!$O$484/12</f>
        <v>0</v>
      </c>
      <c r="CQ110" s="37" t="n">
        <f aca="false">CQ11*MAX(0,②시니어_가정!$E$453-CP122)*②시니어_가정!$O$484/12</f>
        <v>0</v>
      </c>
      <c r="CR110" s="37" t="n">
        <f aca="false">CR11*MAX(0,②시니어_가정!$E$453-CQ122)*②시니어_가정!$O$484/12</f>
        <v>0</v>
      </c>
      <c r="CS110" s="37" t="n">
        <f aca="false">CS11*MAX(0,②시니어_가정!$E$453-CR122)*②시니어_가정!$O$484/12</f>
        <v>0</v>
      </c>
      <c r="CT110" s="37" t="n">
        <f aca="false">CT11*MAX(0,②시니어_가정!$E$453-CS122)*②시니어_가정!$O$484/12</f>
        <v>0</v>
      </c>
      <c r="CU110" s="37" t="n">
        <f aca="false">CU11*MAX(0,②시니어_가정!$E$453-CT122)*②시니어_가정!$O$484/12</f>
        <v>0</v>
      </c>
      <c r="CV110" s="37" t="n">
        <f aca="false">CV11*MAX(0,②시니어_가정!$E$453-CU122)*②시니어_가정!$O$484/12</f>
        <v>0</v>
      </c>
      <c r="CW110" s="37" t="n">
        <f aca="false">CW11*MAX(0,②시니어_가정!$E$453-CV122)*②시니어_가정!$O$484/12</f>
        <v>0</v>
      </c>
      <c r="CX110" s="37" t="n">
        <f aca="false">CX11*MAX(0,②시니어_가정!$E$453-CW122)*②시니어_가정!$O$484/12</f>
        <v>0</v>
      </c>
      <c r="CY110" s="37" t="n">
        <f aca="false">CY11*MAX(0,②시니어_가정!$E$453-CX122)*②시니어_가정!$O$484/12</f>
        <v>0</v>
      </c>
      <c r="CZ110" s="37" t="n">
        <f aca="false">CZ11*MAX(0,②시니어_가정!$E$453-CY122)*②시니어_가정!$O$484/12</f>
        <v>0</v>
      </c>
      <c r="DA110" s="37" t="n">
        <f aca="false">DA11*MAX(0,②시니어_가정!$E$453-CZ122)*②시니어_가정!$O$484/12</f>
        <v>0</v>
      </c>
      <c r="DB110" s="37" t="n">
        <f aca="false">DB11*MAX(0,②시니어_가정!$E$453-DA122)*②시니어_가정!$O$484/12</f>
        <v>0</v>
      </c>
      <c r="DC110" s="37" t="n">
        <f aca="false">DC11*MAX(0,②시니어_가정!$E$453-DB122)*②시니어_가정!$O$484/12</f>
        <v>0</v>
      </c>
      <c r="DD110" s="37" t="n">
        <f aca="false">DD11*MAX(0,②시니어_가정!$E$453-DC122)*②시니어_가정!$O$484/12</f>
        <v>0</v>
      </c>
      <c r="DE110" s="37" t="n">
        <f aca="false">DE11*MAX(0,②시니어_가정!$E$453-DD122)*②시니어_가정!$O$484/12</f>
        <v>0</v>
      </c>
      <c r="DF110" s="37" t="n">
        <f aca="false">DF11*MAX(0,②시니어_가정!$E$453-DE122)*②시니어_가정!$O$484/12</f>
        <v>0</v>
      </c>
      <c r="DG110" s="37" t="n">
        <f aca="false">DG11*MAX(0,②시니어_가정!$E$453-DF122)*②시니어_가정!$O$484/12</f>
        <v>0</v>
      </c>
      <c r="DH110" s="37" t="n">
        <f aca="false">DH11*MAX(0,②시니어_가정!$E$453-DG122)*②시니어_가정!$O$484/12</f>
        <v>0</v>
      </c>
      <c r="DI110" s="37" t="n">
        <f aca="false">DI11*MAX(0,②시니어_가정!$E$453-DH122)*②시니어_가정!$O$484/12</f>
        <v>0</v>
      </c>
      <c r="DJ110" s="37" t="n">
        <f aca="false">DJ11*MAX(0,②시니어_가정!$E$453-DI122)*②시니어_가정!$O$484/12</f>
        <v>0</v>
      </c>
      <c r="DK110" s="37" t="n">
        <f aca="false">DK11*MAX(0,②시니어_가정!$E$453-DJ122)*②시니어_가정!$O$484/12</f>
        <v>0</v>
      </c>
      <c r="DL110" s="37" t="n">
        <f aca="false">DL11*MAX(0,②시니어_가정!$E$453-DK122)*②시니어_가정!$O$484/12</f>
        <v>0</v>
      </c>
      <c r="DM110" s="37" t="n">
        <f aca="false">DM11*MAX(0,②시니어_가정!$E$453-DL122)*②시니어_가정!$O$484/12</f>
        <v>0</v>
      </c>
      <c r="DN110" s="37" t="n">
        <f aca="false">DN11*MAX(0,②시니어_가정!$E$453-DM122)*②시니어_가정!$O$484/12</f>
        <v>0</v>
      </c>
      <c r="DO110" s="37" t="n">
        <f aca="false">DO11*MAX(0,②시니어_가정!$E$453-DN122)*②시니어_가정!$O$484/12</f>
        <v>0</v>
      </c>
      <c r="DP110" s="37" t="n">
        <f aca="false">DP11*MAX(0,②시니어_가정!$E$453-DO122)*②시니어_가정!$O$484/12</f>
        <v>0</v>
      </c>
      <c r="DQ110" s="37" t="n">
        <f aca="false">DQ11*MAX(0,②시니어_가정!$E$453-DP122)*②시니어_가정!$O$484/12</f>
        <v>0</v>
      </c>
      <c r="DR110" s="37" t="n">
        <f aca="false">DR11*MAX(0,②시니어_가정!$E$453-DQ122)*②시니어_가정!$O$484/12</f>
        <v>0</v>
      </c>
      <c r="DS110" s="37" t="n">
        <f aca="false">DS11*MAX(0,②시니어_가정!$E$453-DR122)*②시니어_가정!$O$484/12</f>
        <v>0</v>
      </c>
      <c r="DT110" s="37" t="n">
        <f aca="false">DT11*MAX(0,②시니어_가정!$E$453-DS122)*②시니어_가정!$O$484/12</f>
        <v>0</v>
      </c>
      <c r="DU110" s="37" t="n">
        <f aca="false">DU11*MAX(0,②시니어_가정!$E$453-DT122)*②시니어_가정!$O$484/12</f>
        <v>0</v>
      </c>
      <c r="DV110" s="37" t="n">
        <f aca="false">DV11*MAX(0,②시니어_가정!$E$453-DU122)*②시니어_가정!$O$484/12</f>
        <v>0</v>
      </c>
      <c r="DW110" s="37" t="n">
        <f aca="false">DW11*MAX(0,②시니어_가정!$E$453-DV122)*②시니어_가정!$O$484/12</f>
        <v>0</v>
      </c>
      <c r="DX110" s="37" t="n">
        <f aca="false">DX11*MAX(0,②시니어_가정!$E$453-DW122)*②시니어_가정!$O$484/12</f>
        <v>0</v>
      </c>
      <c r="DY110" s="37" t="n">
        <f aca="false">DY11*MAX(0,②시니어_가정!$E$453-DX122)*②시니어_가정!$O$484/12</f>
        <v>0</v>
      </c>
      <c r="DZ110" s="37" t="n">
        <f aca="false">DZ11*MAX(0,②시니어_가정!$E$453-DY122)*②시니어_가정!$O$484/12</f>
        <v>0</v>
      </c>
      <c r="EA110" s="37" t="n">
        <f aca="false">EA11*MAX(0,②시니어_가정!$E$453-DZ122)*②시니어_가정!$O$484/12</f>
        <v>0</v>
      </c>
      <c r="EB110" s="37" t="n">
        <f aca="false">EB11*MAX(0,②시니어_가정!$E$453-EA122)*②시니어_가정!$O$484/12</f>
        <v>0</v>
      </c>
      <c r="EC110" s="37" t="n">
        <f aca="false">EC11*MAX(0,②시니어_가정!$E$453-EB122)*②시니어_가정!$O$484/12</f>
        <v>0</v>
      </c>
      <c r="ED110" s="37" t="n">
        <f aca="false">ED11*MAX(0,②시니어_가정!$E$453-EC122)*②시니어_가정!$O$484/12</f>
        <v>0</v>
      </c>
      <c r="EE110" s="37" t="n">
        <f aca="false">EE11*MAX(0,②시니어_가정!$E$453-ED122)*②시니어_가정!$O$484/12</f>
        <v>0</v>
      </c>
      <c r="EF110" s="37" t="n">
        <f aca="false">EF11*MAX(0,②시니어_가정!$E$453-EE122)*②시니어_가정!$O$484/12</f>
        <v>0</v>
      </c>
    </row>
    <row r="111" customFormat="false" ht="15" hidden="false" customHeight="false" outlineLevel="0" collapsed="false">
      <c r="A111" s="153" t="s">
        <v>650</v>
      </c>
      <c r="B111" s="278" t="s">
        <v>21</v>
      </c>
      <c r="C111" s="279" t="n">
        <f aca="false">SUM(E111:EF111)</f>
        <v>646.612193957203</v>
      </c>
      <c r="E111" s="37" t="n">
        <f aca="false">E11*MAX(0,②시니어_가정!$E$454-0)*②시니어_가정!$O$485/12</f>
        <v>0</v>
      </c>
      <c r="F111" s="37" t="n">
        <f aca="false">F11*MAX(0,②시니어_가정!$E$454-E123)*②시니어_가정!$O$485/12</f>
        <v>0</v>
      </c>
      <c r="G111" s="37" t="n">
        <f aca="false">G11*MAX(0,②시니어_가정!$E$454-F123)*②시니어_가정!$O$485/12</f>
        <v>0</v>
      </c>
      <c r="H111" s="37" t="n">
        <f aca="false">H11*MAX(0,②시니어_가정!$E$454-G123)*②시니어_가정!$O$485/12</f>
        <v>0</v>
      </c>
      <c r="I111" s="37" t="n">
        <f aca="false">I11*MAX(0,②시니어_가정!$E$454-H123)*②시니어_가정!$O$485/12</f>
        <v>0</v>
      </c>
      <c r="J111" s="37" t="n">
        <f aca="false">J11*MAX(0,②시니어_가정!$E$454-I123)*②시니어_가정!$O$485/12</f>
        <v>0</v>
      </c>
      <c r="K111" s="37" t="n">
        <f aca="false">K11*MAX(0,②시니어_가정!$E$454-J123)*②시니어_가정!$O$485/12</f>
        <v>0</v>
      </c>
      <c r="L111" s="37" t="n">
        <f aca="false">L11*MAX(0,②시니어_가정!$E$454-K123)*②시니어_가정!$O$485/12</f>
        <v>0</v>
      </c>
      <c r="M111" s="37" t="n">
        <f aca="false">M11*MAX(0,②시니어_가정!$E$454-L123)*②시니어_가정!$O$485/12</f>
        <v>0</v>
      </c>
      <c r="N111" s="37" t="n">
        <f aca="false">N11*MAX(0,②시니어_가정!$E$454-M123)*②시니어_가정!$O$485/12</f>
        <v>0</v>
      </c>
      <c r="O111" s="37" t="n">
        <f aca="false">O11*MAX(0,②시니어_가정!$E$454-N123)*②시니어_가정!$O$485/12</f>
        <v>0</v>
      </c>
      <c r="P111" s="37" t="n">
        <f aca="false">P11*MAX(0,②시니어_가정!$E$454-O123)*②시니어_가정!$O$485/12</f>
        <v>0</v>
      </c>
      <c r="Q111" s="37" t="n">
        <f aca="false">Q11*MAX(0,②시니어_가정!$E$454-P123)*②시니어_가정!$O$485/12</f>
        <v>0</v>
      </c>
      <c r="R111" s="37" t="n">
        <f aca="false">R11*MAX(0,②시니어_가정!$E$454-Q123)*②시니어_가정!$O$485/12</f>
        <v>0</v>
      </c>
      <c r="S111" s="37" t="n">
        <f aca="false">S11*MAX(0,②시니어_가정!$E$454-R123)*②시니어_가정!$O$485/12</f>
        <v>0</v>
      </c>
      <c r="T111" s="37" t="n">
        <f aca="false">T11*MAX(0,②시니어_가정!$E$454-S123)*②시니어_가정!$O$485/12</f>
        <v>0</v>
      </c>
      <c r="U111" s="37" t="n">
        <f aca="false">U11*MAX(0,②시니어_가정!$E$454-T123)*②시니어_가정!$O$485/12</f>
        <v>0</v>
      </c>
      <c r="V111" s="37" t="n">
        <f aca="false">V11*MAX(0,②시니어_가정!$E$454-U123)*②시니어_가정!$O$485/12</f>
        <v>0</v>
      </c>
      <c r="W111" s="37" t="n">
        <f aca="false">W11*MAX(0,②시니어_가정!$E$454-V123)*②시니어_가정!$O$485/12</f>
        <v>18.8887488823385</v>
      </c>
      <c r="X111" s="37" t="n">
        <f aca="false">X11*MAX(0,②시니어_가정!$E$454-W123)*②시니어_가정!$O$485/12</f>
        <v>18.8887488823385</v>
      </c>
      <c r="Y111" s="37" t="n">
        <f aca="false">Y11*MAX(0,②시니어_가정!$E$454-X123)*②시니어_가정!$O$485/12</f>
        <v>18.8887488823385</v>
      </c>
      <c r="Z111" s="37" t="n">
        <f aca="false">Z11*MAX(0,②시니어_가정!$E$454-Y123)*②시니어_가정!$O$485/12</f>
        <v>18.8887488823385</v>
      </c>
      <c r="AA111" s="37" t="n">
        <f aca="false">AA11*MAX(0,②시니어_가정!$E$454-Z123)*②시니어_가정!$O$485/12</f>
        <v>18.8887488823385</v>
      </c>
      <c r="AB111" s="37" t="n">
        <f aca="false">AB11*MAX(0,②시니어_가정!$E$454-AA123)*②시니어_가정!$O$485/12</f>
        <v>18.8887488823385</v>
      </c>
      <c r="AC111" s="37" t="n">
        <f aca="false">AC11*MAX(0,②시니어_가정!$E$454-AB123)*②시니어_가정!$O$485/12</f>
        <v>18.8887488823385</v>
      </c>
      <c r="AD111" s="37" t="n">
        <f aca="false">AD11*MAX(0,②시니어_가정!$E$454-AC123)*②시니어_가정!$O$485/12</f>
        <v>18.8887488823385</v>
      </c>
      <c r="AE111" s="37" t="n">
        <f aca="false">AE11*MAX(0,②시니어_가정!$E$454-AD123)*②시니어_가정!$O$485/12</f>
        <v>18.8887488823385</v>
      </c>
      <c r="AF111" s="37" t="n">
        <f aca="false">AF11*MAX(0,②시니어_가정!$E$454-AE123)*②시니어_가정!$O$485/12</f>
        <v>18.8887488823385</v>
      </c>
      <c r="AG111" s="37" t="n">
        <f aca="false">AG11*MAX(0,②시니어_가정!$E$454-AF123)*②시니어_가정!$O$485/12</f>
        <v>18.8887488823385</v>
      </c>
      <c r="AH111" s="37" t="n">
        <f aca="false">AH11*MAX(0,②시니어_가정!$E$454-AG123)*②시니어_가정!$O$485/12</f>
        <v>18.8887488823385</v>
      </c>
      <c r="AI111" s="37" t="n">
        <f aca="false">AI11*MAX(0,②시니어_가정!$E$454-AH123)*②시니어_가정!$O$485/12</f>
        <v>18.8887488823385</v>
      </c>
      <c r="AJ111" s="37" t="n">
        <f aca="false">AJ11*MAX(0,②시니어_가정!$E$454-AI123)*②시니어_가정!$O$485/12</f>
        <v>18.8887488823385</v>
      </c>
      <c r="AK111" s="37" t="n">
        <f aca="false">AK11*MAX(0,②시니어_가정!$E$454-AJ123)*②시니어_가정!$O$485/12</f>
        <v>18.8887488823385</v>
      </c>
      <c r="AL111" s="37" t="n">
        <f aca="false">AL11*MAX(0,②시니어_가정!$E$454-AK123)*②시니어_가정!$O$485/12</f>
        <v>18.8887488823385</v>
      </c>
      <c r="AM111" s="37" t="n">
        <f aca="false">AM11*MAX(0,②시니어_가정!$E$454-AL123)*②시니어_가정!$O$485/12</f>
        <v>18.8887488823385</v>
      </c>
      <c r="AN111" s="37" t="n">
        <f aca="false">AN11*MAX(0,②시니어_가정!$E$454-AM123)*②시니어_가정!$O$485/12</f>
        <v>18.8887488823385</v>
      </c>
      <c r="AO111" s="37" t="n">
        <f aca="false">AO11*MAX(0,②시니어_가정!$E$454-AN123)*②시니어_가정!$O$485/12</f>
        <v>18.8887488823385</v>
      </c>
      <c r="AP111" s="37" t="n">
        <f aca="false">AP11*MAX(0,②시니어_가정!$E$454-AO123)*②시니어_가정!$O$485/12</f>
        <v>18.8887488823385</v>
      </c>
      <c r="AQ111" s="37" t="n">
        <f aca="false">AQ11*MAX(0,②시니어_가정!$E$454-AP123)*②시니어_가정!$O$485/12</f>
        <v>18.8887488823385</v>
      </c>
      <c r="AR111" s="37" t="n">
        <f aca="false">AR11*MAX(0,②시니어_가정!$E$454-AQ123)*②시니어_가정!$O$485/12</f>
        <v>18.8887488823385</v>
      </c>
      <c r="AS111" s="37" t="n">
        <f aca="false">AS11*MAX(0,②시니어_가정!$E$454-AR123)*②시니어_가정!$O$485/12</f>
        <v>18.8887488823385</v>
      </c>
      <c r="AT111" s="37" t="n">
        <f aca="false">AT11*MAX(0,②시니어_가정!$E$454-AS123)*②시니어_가정!$O$485/12</f>
        <v>18.8887488823385</v>
      </c>
      <c r="AU111" s="37" t="n">
        <f aca="false">AU11*MAX(0,②시니어_가정!$E$454-AT123)*②시니어_가정!$O$485/12</f>
        <v>18.8887488823385</v>
      </c>
      <c r="AV111" s="37" t="n">
        <f aca="false">AV11*MAX(0,②시니어_가정!$E$454-AU123)*②시니어_가정!$O$485/12</f>
        <v>18.8887488823385</v>
      </c>
      <c r="AW111" s="37" t="n">
        <f aca="false">AW11*MAX(0,②시니어_가정!$E$454-AV123)*②시니어_가정!$O$485/12</f>
        <v>18.8887488823385</v>
      </c>
      <c r="AX111" s="37" t="n">
        <f aca="false">AX11*MAX(0,②시니어_가정!$E$454-AW123)*②시니어_가정!$O$485/12</f>
        <v>18.8887488823385</v>
      </c>
      <c r="AY111" s="37" t="n">
        <f aca="false">AY11*MAX(0,②시니어_가정!$E$454-AX123)*②시니어_가정!$O$485/12</f>
        <v>15.6029885115475</v>
      </c>
      <c r="AZ111" s="37" t="n">
        <f aca="false">AZ11*MAX(0,②시니어_가정!$E$454-AY123)*②시니어_가정!$O$485/12</f>
        <v>11.49575170218</v>
      </c>
      <c r="BA111" s="37" t="n">
        <f aca="false">BA11*MAX(0,②시니어_가정!$E$454-AZ123)*②시니어_가정!$O$485/12</f>
        <v>7.55237375316651</v>
      </c>
      <c r="BB111" s="37" t="n">
        <f aca="false">BB11*MAX(0,②시니어_가정!$E$454-BA123)*②시니어_가정!$O$485/12</f>
        <v>7.55237375316651</v>
      </c>
      <c r="BC111" s="37" t="n">
        <f aca="false">BC11*MAX(0,②시니어_가정!$E$454-BB123)*②시니어_가정!$O$485/12</f>
        <v>7.55237375316651</v>
      </c>
      <c r="BD111" s="37" t="n">
        <f aca="false">BD11*MAX(0,②시니어_가정!$E$454-BC123)*②시니어_가정!$O$485/12</f>
        <v>7.55237375316651</v>
      </c>
      <c r="BE111" s="37" t="n">
        <f aca="false">BE11*MAX(0,②시니어_가정!$E$454-BD123)*②시니어_가정!$O$485/12</f>
        <v>7.55237375316651</v>
      </c>
      <c r="BF111" s="37" t="n">
        <f aca="false">BF11*MAX(0,②시니어_가정!$E$454-BE123)*②시니어_가정!$O$485/12</f>
        <v>7.55237375316651</v>
      </c>
      <c r="BG111" s="37" t="n">
        <f aca="false">BG11*MAX(0,②시니어_가정!$E$454-BF123)*②시니어_가정!$O$485/12</f>
        <v>7.55237375316651</v>
      </c>
      <c r="BH111" s="37" t="n">
        <f aca="false">BH11*MAX(0,②시니어_가정!$E$454-BG123)*②시니어_가정!$O$485/12</f>
        <v>7.55237375316651</v>
      </c>
      <c r="BI111" s="37" t="n">
        <f aca="false">BI11*MAX(0,②시니어_가정!$E$454-BH123)*②시니어_가정!$O$485/12</f>
        <v>7.55237375316651</v>
      </c>
      <c r="BJ111" s="37" t="n">
        <f aca="false">BJ11*MAX(0,②시니어_가정!$E$454-BI123)*②시니어_가정!$O$485/12</f>
        <v>7.55237375316651</v>
      </c>
      <c r="BK111" s="37" t="n">
        <f aca="false">BK11*MAX(0,②시니어_가정!$E$454-BJ123)*②시니어_가정!$O$485/12</f>
        <v>7.55237375316651</v>
      </c>
      <c r="BL111" s="37" t="n">
        <f aca="false">BL11*MAX(0,②시니어_가정!$E$454-BK123)*②시니어_가정!$O$485/12</f>
        <v>7.55237375316651</v>
      </c>
      <c r="BM111" s="37" t="n">
        <f aca="false">BM11*MAX(0,②시니어_가정!$E$454-BL123)*②시니어_가정!$O$485/12</f>
        <v>0</v>
      </c>
      <c r="BN111" s="37" t="n">
        <f aca="false">BN11*MAX(0,②시니어_가정!$E$454-BM123)*②시니어_가정!$O$485/12</f>
        <v>0</v>
      </c>
      <c r="BO111" s="37" t="n">
        <f aca="false">BO11*MAX(0,②시니어_가정!$E$454-BN123)*②시니어_가정!$O$485/12</f>
        <v>0</v>
      </c>
      <c r="BP111" s="37" t="n">
        <f aca="false">BP11*MAX(0,②시니어_가정!$E$454-BO123)*②시니어_가정!$O$485/12</f>
        <v>0</v>
      </c>
      <c r="BQ111" s="37" t="n">
        <f aca="false">BQ11*MAX(0,②시니어_가정!$E$454-BP123)*②시니어_가정!$O$485/12</f>
        <v>0</v>
      </c>
      <c r="BR111" s="37" t="n">
        <f aca="false">BR11*MAX(0,②시니어_가정!$E$454-BQ123)*②시니어_가정!$O$485/12</f>
        <v>0</v>
      </c>
      <c r="BS111" s="37" t="n">
        <f aca="false">BS11*MAX(0,②시니어_가정!$E$454-BR123)*②시니어_가정!$O$485/12</f>
        <v>0</v>
      </c>
      <c r="BT111" s="37" t="n">
        <f aca="false">BT11*MAX(0,②시니어_가정!$E$454-BS123)*②시니어_가정!$O$485/12</f>
        <v>0</v>
      </c>
      <c r="BU111" s="37" t="n">
        <f aca="false">BU11*MAX(0,②시니어_가정!$E$454-BT123)*②시니어_가정!$O$485/12</f>
        <v>0</v>
      </c>
      <c r="BV111" s="37" t="n">
        <f aca="false">BV11*MAX(0,②시니어_가정!$E$454-BU123)*②시니어_가정!$O$485/12</f>
        <v>0</v>
      </c>
      <c r="BW111" s="37" t="n">
        <f aca="false">BW11*MAX(0,②시니어_가정!$E$454-BV123)*②시니어_가정!$O$485/12</f>
        <v>0</v>
      </c>
      <c r="BX111" s="37" t="n">
        <f aca="false">BX11*MAX(0,②시니어_가정!$E$454-BW123)*②시니어_가정!$O$485/12</f>
        <v>0</v>
      </c>
      <c r="BY111" s="37" t="n">
        <f aca="false">BY11*MAX(0,②시니어_가정!$E$454-BX123)*②시니어_가정!$O$485/12</f>
        <v>0</v>
      </c>
      <c r="BZ111" s="37" t="n">
        <f aca="false">BZ11*MAX(0,②시니어_가정!$E$454-BY123)*②시니어_가정!$O$485/12</f>
        <v>0</v>
      </c>
      <c r="CA111" s="37" t="n">
        <f aca="false">CA11*MAX(0,②시니어_가정!$E$454-BZ123)*②시니어_가정!$O$485/12</f>
        <v>0</v>
      </c>
      <c r="CB111" s="37" t="n">
        <f aca="false">CB11*MAX(0,②시니어_가정!$E$454-CA123)*②시니어_가정!$O$485/12</f>
        <v>0</v>
      </c>
      <c r="CC111" s="37" t="n">
        <f aca="false">CC11*MAX(0,②시니어_가정!$E$454-CB123)*②시니어_가정!$O$485/12</f>
        <v>0</v>
      </c>
      <c r="CD111" s="37" t="n">
        <f aca="false">CD11*MAX(0,②시니어_가정!$E$454-CC123)*②시니어_가정!$O$485/12</f>
        <v>0</v>
      </c>
      <c r="CE111" s="37" t="n">
        <f aca="false">CE11*MAX(0,②시니어_가정!$E$454-CD123)*②시니어_가정!$O$485/12</f>
        <v>0</v>
      </c>
      <c r="CF111" s="37" t="n">
        <f aca="false">CF11*MAX(0,②시니어_가정!$E$454-CE123)*②시니어_가정!$O$485/12</f>
        <v>0</v>
      </c>
      <c r="CG111" s="37" t="n">
        <f aca="false">CG11*MAX(0,②시니어_가정!$E$454-CF123)*②시니어_가정!$O$485/12</f>
        <v>0</v>
      </c>
      <c r="CH111" s="37" t="n">
        <f aca="false">CH11*MAX(0,②시니어_가정!$E$454-CG123)*②시니어_가정!$O$485/12</f>
        <v>0</v>
      </c>
      <c r="CI111" s="37" t="n">
        <f aca="false">CI11*MAX(0,②시니어_가정!$E$454-CH123)*②시니어_가정!$O$485/12</f>
        <v>0</v>
      </c>
      <c r="CJ111" s="37" t="n">
        <f aca="false">CJ11*MAX(0,②시니어_가정!$E$454-CI123)*②시니어_가정!$O$485/12</f>
        <v>0</v>
      </c>
      <c r="CK111" s="37" t="n">
        <f aca="false">CK11*MAX(0,②시니어_가정!$E$454-CJ123)*②시니어_가정!$O$485/12</f>
        <v>0</v>
      </c>
      <c r="CL111" s="37" t="n">
        <f aca="false">CL11*MAX(0,②시니어_가정!$E$454-CK123)*②시니어_가정!$O$485/12</f>
        <v>0</v>
      </c>
      <c r="CM111" s="37" t="n">
        <f aca="false">CM11*MAX(0,②시니어_가정!$E$454-CL123)*②시니어_가정!$O$485/12</f>
        <v>0</v>
      </c>
      <c r="CN111" s="37" t="n">
        <f aca="false">CN11*MAX(0,②시니어_가정!$E$454-CM123)*②시니어_가정!$O$485/12</f>
        <v>0</v>
      </c>
      <c r="CO111" s="37" t="n">
        <f aca="false">CO11*MAX(0,②시니어_가정!$E$454-CN123)*②시니어_가정!$O$485/12</f>
        <v>0</v>
      </c>
      <c r="CP111" s="37" t="n">
        <f aca="false">CP11*MAX(0,②시니어_가정!$E$454-CO123)*②시니어_가정!$O$485/12</f>
        <v>0</v>
      </c>
      <c r="CQ111" s="37" t="n">
        <f aca="false">CQ11*MAX(0,②시니어_가정!$E$454-CP123)*②시니어_가정!$O$485/12</f>
        <v>0</v>
      </c>
      <c r="CR111" s="37" t="n">
        <f aca="false">CR11*MAX(0,②시니어_가정!$E$454-CQ123)*②시니어_가정!$O$485/12</f>
        <v>0</v>
      </c>
      <c r="CS111" s="37" t="n">
        <f aca="false">CS11*MAX(0,②시니어_가정!$E$454-CR123)*②시니어_가정!$O$485/12</f>
        <v>0</v>
      </c>
      <c r="CT111" s="37" t="n">
        <f aca="false">CT11*MAX(0,②시니어_가정!$E$454-CS123)*②시니어_가정!$O$485/12</f>
        <v>0</v>
      </c>
      <c r="CU111" s="37" t="n">
        <f aca="false">CU11*MAX(0,②시니어_가정!$E$454-CT123)*②시니어_가정!$O$485/12</f>
        <v>0</v>
      </c>
      <c r="CV111" s="37" t="n">
        <f aca="false">CV11*MAX(0,②시니어_가정!$E$454-CU123)*②시니어_가정!$O$485/12</f>
        <v>0</v>
      </c>
      <c r="CW111" s="37" t="n">
        <f aca="false">CW11*MAX(0,②시니어_가정!$E$454-CV123)*②시니어_가정!$O$485/12</f>
        <v>0</v>
      </c>
      <c r="CX111" s="37" t="n">
        <f aca="false">CX11*MAX(0,②시니어_가정!$E$454-CW123)*②시니어_가정!$O$485/12</f>
        <v>0</v>
      </c>
      <c r="CY111" s="37" t="n">
        <f aca="false">CY11*MAX(0,②시니어_가정!$E$454-CX123)*②시니어_가정!$O$485/12</f>
        <v>0</v>
      </c>
      <c r="CZ111" s="37" t="n">
        <f aca="false">CZ11*MAX(0,②시니어_가정!$E$454-CY123)*②시니어_가정!$O$485/12</f>
        <v>0</v>
      </c>
      <c r="DA111" s="37" t="n">
        <f aca="false">DA11*MAX(0,②시니어_가정!$E$454-CZ123)*②시니어_가정!$O$485/12</f>
        <v>0</v>
      </c>
      <c r="DB111" s="37" t="n">
        <f aca="false">DB11*MAX(0,②시니어_가정!$E$454-DA123)*②시니어_가정!$O$485/12</f>
        <v>0</v>
      </c>
      <c r="DC111" s="37" t="n">
        <f aca="false">DC11*MAX(0,②시니어_가정!$E$454-DB123)*②시니어_가정!$O$485/12</f>
        <v>0</v>
      </c>
      <c r="DD111" s="37" t="n">
        <f aca="false">DD11*MAX(0,②시니어_가정!$E$454-DC123)*②시니어_가정!$O$485/12</f>
        <v>0</v>
      </c>
      <c r="DE111" s="37" t="n">
        <f aca="false">DE11*MAX(0,②시니어_가정!$E$454-DD123)*②시니어_가정!$O$485/12</f>
        <v>0</v>
      </c>
      <c r="DF111" s="37" t="n">
        <f aca="false">DF11*MAX(0,②시니어_가정!$E$454-DE123)*②시니어_가정!$O$485/12</f>
        <v>0</v>
      </c>
      <c r="DG111" s="37" t="n">
        <f aca="false">DG11*MAX(0,②시니어_가정!$E$454-DF123)*②시니어_가정!$O$485/12</f>
        <v>0</v>
      </c>
      <c r="DH111" s="37" t="n">
        <f aca="false">DH11*MAX(0,②시니어_가정!$E$454-DG123)*②시니어_가정!$O$485/12</f>
        <v>0</v>
      </c>
      <c r="DI111" s="37" t="n">
        <f aca="false">DI11*MAX(0,②시니어_가정!$E$454-DH123)*②시니어_가정!$O$485/12</f>
        <v>0</v>
      </c>
      <c r="DJ111" s="37" t="n">
        <f aca="false">DJ11*MAX(0,②시니어_가정!$E$454-DI123)*②시니어_가정!$O$485/12</f>
        <v>0</v>
      </c>
      <c r="DK111" s="37" t="n">
        <f aca="false">DK11*MAX(0,②시니어_가정!$E$454-DJ123)*②시니어_가정!$O$485/12</f>
        <v>0</v>
      </c>
      <c r="DL111" s="37" t="n">
        <f aca="false">DL11*MAX(0,②시니어_가정!$E$454-DK123)*②시니어_가정!$O$485/12</f>
        <v>0</v>
      </c>
      <c r="DM111" s="37" t="n">
        <f aca="false">DM11*MAX(0,②시니어_가정!$E$454-DL123)*②시니어_가정!$O$485/12</f>
        <v>0</v>
      </c>
      <c r="DN111" s="37" t="n">
        <f aca="false">DN11*MAX(0,②시니어_가정!$E$454-DM123)*②시니어_가정!$O$485/12</f>
        <v>0</v>
      </c>
      <c r="DO111" s="37" t="n">
        <f aca="false">DO11*MAX(0,②시니어_가정!$E$454-DN123)*②시니어_가정!$O$485/12</f>
        <v>0</v>
      </c>
      <c r="DP111" s="37" t="n">
        <f aca="false">DP11*MAX(0,②시니어_가정!$E$454-DO123)*②시니어_가정!$O$485/12</f>
        <v>0</v>
      </c>
      <c r="DQ111" s="37" t="n">
        <f aca="false">DQ11*MAX(0,②시니어_가정!$E$454-DP123)*②시니어_가정!$O$485/12</f>
        <v>0</v>
      </c>
      <c r="DR111" s="37" t="n">
        <f aca="false">DR11*MAX(0,②시니어_가정!$E$454-DQ123)*②시니어_가정!$O$485/12</f>
        <v>0</v>
      </c>
      <c r="DS111" s="37" t="n">
        <f aca="false">DS11*MAX(0,②시니어_가정!$E$454-DR123)*②시니어_가정!$O$485/12</f>
        <v>0</v>
      </c>
      <c r="DT111" s="37" t="n">
        <f aca="false">DT11*MAX(0,②시니어_가정!$E$454-DS123)*②시니어_가정!$O$485/12</f>
        <v>0</v>
      </c>
      <c r="DU111" s="37" t="n">
        <f aca="false">DU11*MAX(0,②시니어_가정!$E$454-DT123)*②시니어_가정!$O$485/12</f>
        <v>0</v>
      </c>
      <c r="DV111" s="37" t="n">
        <f aca="false">DV11*MAX(0,②시니어_가정!$E$454-DU123)*②시니어_가정!$O$485/12</f>
        <v>0</v>
      </c>
      <c r="DW111" s="37" t="n">
        <f aca="false">DW11*MAX(0,②시니어_가정!$E$454-DV123)*②시니어_가정!$O$485/12</f>
        <v>0</v>
      </c>
      <c r="DX111" s="37" t="n">
        <f aca="false">DX11*MAX(0,②시니어_가정!$E$454-DW123)*②시니어_가정!$O$485/12</f>
        <v>0</v>
      </c>
      <c r="DY111" s="37" t="n">
        <f aca="false">DY11*MAX(0,②시니어_가정!$E$454-DX123)*②시니어_가정!$O$485/12</f>
        <v>0</v>
      </c>
      <c r="DZ111" s="37" t="n">
        <f aca="false">DZ11*MAX(0,②시니어_가정!$E$454-DY123)*②시니어_가정!$O$485/12</f>
        <v>0</v>
      </c>
      <c r="EA111" s="37" t="n">
        <f aca="false">EA11*MAX(0,②시니어_가정!$E$454-DZ123)*②시니어_가정!$O$485/12</f>
        <v>0</v>
      </c>
      <c r="EB111" s="37" t="n">
        <f aca="false">EB11*MAX(0,②시니어_가정!$E$454-EA123)*②시니어_가정!$O$485/12</f>
        <v>0</v>
      </c>
      <c r="EC111" s="37" t="n">
        <f aca="false">EC11*MAX(0,②시니어_가정!$E$454-EB123)*②시니어_가정!$O$485/12</f>
        <v>0</v>
      </c>
      <c r="ED111" s="37" t="n">
        <f aca="false">ED11*MAX(0,②시니어_가정!$E$454-EC123)*②시니어_가정!$O$485/12</f>
        <v>0</v>
      </c>
      <c r="EE111" s="37" t="n">
        <f aca="false">EE11*MAX(0,②시니어_가정!$E$454-ED123)*②시니어_가정!$O$485/12</f>
        <v>0</v>
      </c>
      <c r="EF111" s="37" t="n">
        <f aca="false">EF11*MAX(0,②시니어_가정!$E$454-EE123)*②시니어_가정!$O$485/12</f>
        <v>0</v>
      </c>
    </row>
    <row r="112" customFormat="false" ht="15" hidden="false" customHeight="false" outlineLevel="0" collapsed="false">
      <c r="A112" s="284" t="s">
        <v>651</v>
      </c>
      <c r="B112" s="281" t="s">
        <v>21</v>
      </c>
      <c r="C112" s="282" t="n">
        <f aca="false">SUM(E112:EF112)</f>
        <v>11165.5673223257</v>
      </c>
      <c r="D112" s="48"/>
      <c r="E112" s="283" t="n">
        <f aca="false">SUM(E103:E111)</f>
        <v>0</v>
      </c>
      <c r="F112" s="283" t="n">
        <f aca="false">SUM(F103:F111)</f>
        <v>0</v>
      </c>
      <c r="G112" s="283" t="n">
        <f aca="false">SUM(G103:G111)</f>
        <v>0</v>
      </c>
      <c r="H112" s="283" t="n">
        <f aca="false">SUM(H103:H111)</f>
        <v>0</v>
      </c>
      <c r="I112" s="283" t="n">
        <f aca="false">SUM(I103:I111)</f>
        <v>0</v>
      </c>
      <c r="J112" s="283" t="n">
        <f aca="false">SUM(J103:J111)</f>
        <v>0</v>
      </c>
      <c r="K112" s="283" t="n">
        <f aca="false">SUM(K103:K111)</f>
        <v>0</v>
      </c>
      <c r="L112" s="283" t="n">
        <f aca="false">SUM(L103:L111)</f>
        <v>0</v>
      </c>
      <c r="M112" s="283" t="n">
        <f aca="false">SUM(M103:M111)</f>
        <v>0</v>
      </c>
      <c r="N112" s="283" t="n">
        <f aca="false">SUM(N103:N111)</f>
        <v>0</v>
      </c>
      <c r="O112" s="283" t="n">
        <f aca="false">SUM(O103:O111)</f>
        <v>0</v>
      </c>
      <c r="P112" s="283" t="n">
        <f aca="false">SUM(P103:P111)</f>
        <v>0</v>
      </c>
      <c r="Q112" s="283" t="n">
        <f aca="false">SUM(Q103:Q111)</f>
        <v>0</v>
      </c>
      <c r="R112" s="283" t="n">
        <f aca="false">SUM(R103:R111)</f>
        <v>0</v>
      </c>
      <c r="S112" s="283" t="n">
        <f aca="false">SUM(S103:S111)</f>
        <v>0</v>
      </c>
      <c r="T112" s="283" t="n">
        <f aca="false">SUM(T103:T111)</f>
        <v>0</v>
      </c>
      <c r="U112" s="283" t="n">
        <f aca="false">SUM(U103:U111)</f>
        <v>0</v>
      </c>
      <c r="V112" s="283" t="n">
        <f aca="false">SUM(V103:V111)</f>
        <v>0</v>
      </c>
      <c r="W112" s="283" t="n">
        <f aca="false">SUM(W103:W111)</f>
        <v>3306.85379592761</v>
      </c>
      <c r="X112" s="283" t="n">
        <f aca="false">SUM(X103:X111)</f>
        <v>132.274151837104</v>
      </c>
      <c r="Y112" s="283" t="n">
        <f aca="false">SUM(Y103:Y111)</f>
        <v>132.274151837104</v>
      </c>
      <c r="Z112" s="283" t="n">
        <f aca="false">SUM(Z103:Z111)</f>
        <v>132.274151837104</v>
      </c>
      <c r="AA112" s="283" t="n">
        <f aca="false">SUM(AA103:AA111)</f>
        <v>132.274151837104</v>
      </c>
      <c r="AB112" s="283" t="n">
        <f aca="false">SUM(AB103:AB111)</f>
        <v>132.274151837104</v>
      </c>
      <c r="AC112" s="283" t="n">
        <f aca="false">SUM(AC103:AC111)</f>
        <v>132.274151837104</v>
      </c>
      <c r="AD112" s="283" t="n">
        <f aca="false">SUM(AD103:AD111)</f>
        <v>132.274151837104</v>
      </c>
      <c r="AE112" s="283" t="n">
        <f aca="false">SUM(AE103:AE111)</f>
        <v>132.274151837104</v>
      </c>
      <c r="AF112" s="283" t="n">
        <f aca="false">SUM(AF103:AF111)</f>
        <v>132.274151837104</v>
      </c>
      <c r="AG112" s="283" t="n">
        <f aca="false">SUM(AG103:AG111)</f>
        <v>132.274151837104</v>
      </c>
      <c r="AH112" s="283" t="n">
        <f aca="false">SUM(AH103:AH111)</f>
        <v>132.274151837104</v>
      </c>
      <c r="AI112" s="283" t="n">
        <f aca="false">SUM(AI103:AI111)</f>
        <v>132.274151837104</v>
      </c>
      <c r="AJ112" s="283" t="n">
        <f aca="false">SUM(AJ103:AJ111)</f>
        <v>132.274151837104</v>
      </c>
      <c r="AK112" s="283" t="n">
        <f aca="false">SUM(AK103:AK111)</f>
        <v>132.274151837104</v>
      </c>
      <c r="AL112" s="283" t="n">
        <f aca="false">SUM(AL103:AL111)</f>
        <v>132.274151837104</v>
      </c>
      <c r="AM112" s="283" t="n">
        <f aca="false">SUM(AM103:AM111)</f>
        <v>132.274151837104</v>
      </c>
      <c r="AN112" s="283" t="n">
        <f aca="false">SUM(AN103:AN111)</f>
        <v>132.274151837104</v>
      </c>
      <c r="AO112" s="283" t="n">
        <f aca="false">SUM(AO103:AO111)</f>
        <v>132.274151837104</v>
      </c>
      <c r="AP112" s="283" t="n">
        <f aca="false">SUM(AP103:AP111)</f>
        <v>132.274151837104</v>
      </c>
      <c r="AQ112" s="283" t="n">
        <f aca="false">SUM(AQ103:AQ111)</f>
        <v>132.274151837104</v>
      </c>
      <c r="AR112" s="283" t="n">
        <f aca="false">SUM(AR103:AR111)</f>
        <v>132.274151837104</v>
      </c>
      <c r="AS112" s="283" t="n">
        <f aca="false">SUM(AS103:AS111)</f>
        <v>132.274151837104</v>
      </c>
      <c r="AT112" s="283" t="n">
        <f aca="false">SUM(AT103:AT111)</f>
        <v>132.274151837104</v>
      </c>
      <c r="AU112" s="283" t="n">
        <f aca="false">SUM(AU103:AU111)</f>
        <v>132.274151837104</v>
      </c>
      <c r="AV112" s="283" t="n">
        <f aca="false">SUM(AV103:AV111)</f>
        <v>132.274151837104</v>
      </c>
      <c r="AW112" s="283" t="n">
        <f aca="false">SUM(AW103:AW111)</f>
        <v>132.274151837104</v>
      </c>
      <c r="AX112" s="283" t="n">
        <f aca="false">SUM(AX103:AX111)</f>
        <v>132.274151837104</v>
      </c>
      <c r="AY112" s="283" t="n">
        <f aca="false">SUM(AY103:AY111)</f>
        <v>186.817773992235</v>
      </c>
      <c r="AZ112" s="283" t="n">
        <f aca="false">SUM(AZ103:AZ111)</f>
        <v>254.997905027735</v>
      </c>
      <c r="BA112" s="283" t="n">
        <f aca="false">SUM(BA103:BA111)</f>
        <v>320.457978981359</v>
      </c>
      <c r="BB112" s="283" t="n">
        <f aca="false">SUM(BB103:BB111)</f>
        <v>320.457978981359</v>
      </c>
      <c r="BC112" s="283" t="n">
        <f aca="false">SUM(BC103:BC111)</f>
        <v>320.457978981359</v>
      </c>
      <c r="BD112" s="283" t="n">
        <f aca="false">SUM(BD103:BD111)</f>
        <v>320.457978981359</v>
      </c>
      <c r="BE112" s="283" t="n">
        <f aca="false">SUM(BE103:BE111)</f>
        <v>320.457978981359</v>
      </c>
      <c r="BF112" s="283" t="n">
        <f aca="false">SUM(BF103:BF111)</f>
        <v>320.457978981359</v>
      </c>
      <c r="BG112" s="283" t="n">
        <f aca="false">SUM(BG103:BG111)</f>
        <v>320.457978981359</v>
      </c>
      <c r="BH112" s="283" t="n">
        <f aca="false">SUM(BH103:BH111)</f>
        <v>320.457978981359</v>
      </c>
      <c r="BI112" s="283" t="n">
        <f aca="false">SUM(BI103:BI111)</f>
        <v>320.457978981359</v>
      </c>
      <c r="BJ112" s="283" t="n">
        <f aca="false">SUM(BJ103:BJ111)</f>
        <v>320.457978981359</v>
      </c>
      <c r="BK112" s="283" t="n">
        <f aca="false">SUM(BK103:BK111)</f>
        <v>320.457978981359</v>
      </c>
      <c r="BL112" s="283" t="n">
        <f aca="false">SUM(BL103:BL111)</f>
        <v>320.457978981359</v>
      </c>
      <c r="BM112" s="283" t="n">
        <f aca="false">SUM(BM103:BM111)</f>
        <v>0</v>
      </c>
      <c r="BN112" s="283" t="n">
        <f aca="false">SUM(BN103:BN111)</f>
        <v>0</v>
      </c>
      <c r="BO112" s="283" t="n">
        <f aca="false">SUM(BO103:BO111)</f>
        <v>0</v>
      </c>
      <c r="BP112" s="283" t="n">
        <f aca="false">SUM(BP103:BP111)</f>
        <v>0</v>
      </c>
      <c r="BQ112" s="283" t="n">
        <f aca="false">SUM(BQ103:BQ111)</f>
        <v>0</v>
      </c>
      <c r="BR112" s="283" t="n">
        <f aca="false">SUM(BR103:BR111)</f>
        <v>0</v>
      </c>
      <c r="BS112" s="283" t="n">
        <f aca="false">SUM(BS103:BS111)</f>
        <v>0</v>
      </c>
      <c r="BT112" s="283" t="n">
        <f aca="false">SUM(BT103:BT111)</f>
        <v>0</v>
      </c>
      <c r="BU112" s="283" t="n">
        <f aca="false">SUM(BU103:BU111)</f>
        <v>0</v>
      </c>
      <c r="BV112" s="283" t="n">
        <f aca="false">SUM(BV103:BV111)</f>
        <v>0</v>
      </c>
      <c r="BW112" s="283" t="n">
        <f aca="false">SUM(BW103:BW111)</f>
        <v>0</v>
      </c>
      <c r="BX112" s="283" t="n">
        <f aca="false">SUM(BX103:BX111)</f>
        <v>0</v>
      </c>
      <c r="BY112" s="283" t="n">
        <f aca="false">SUM(BY103:BY111)</f>
        <v>0</v>
      </c>
      <c r="BZ112" s="283" t="n">
        <f aca="false">SUM(BZ103:BZ111)</f>
        <v>0</v>
      </c>
      <c r="CA112" s="283" t="n">
        <f aca="false">SUM(CA103:CA111)</f>
        <v>0</v>
      </c>
      <c r="CB112" s="283" t="n">
        <f aca="false">SUM(CB103:CB111)</f>
        <v>0</v>
      </c>
      <c r="CC112" s="283" t="n">
        <f aca="false">SUM(CC103:CC111)</f>
        <v>0</v>
      </c>
      <c r="CD112" s="283" t="n">
        <f aca="false">SUM(CD103:CD111)</f>
        <v>0</v>
      </c>
      <c r="CE112" s="283" t="n">
        <f aca="false">SUM(CE103:CE111)</f>
        <v>0</v>
      </c>
      <c r="CF112" s="283" t="n">
        <f aca="false">SUM(CF103:CF111)</f>
        <v>0</v>
      </c>
      <c r="CG112" s="283" t="n">
        <f aca="false">SUM(CG103:CG111)</f>
        <v>0</v>
      </c>
      <c r="CH112" s="283" t="n">
        <f aca="false">SUM(CH103:CH111)</f>
        <v>0</v>
      </c>
      <c r="CI112" s="283" t="n">
        <f aca="false">SUM(CI103:CI111)</f>
        <v>0</v>
      </c>
      <c r="CJ112" s="283" t="n">
        <f aca="false">SUM(CJ103:CJ111)</f>
        <v>0</v>
      </c>
      <c r="CK112" s="283" t="n">
        <f aca="false">SUM(CK103:CK111)</f>
        <v>0</v>
      </c>
      <c r="CL112" s="283" t="n">
        <f aca="false">SUM(CL103:CL111)</f>
        <v>0</v>
      </c>
      <c r="CM112" s="283" t="n">
        <f aca="false">SUM(CM103:CM111)</f>
        <v>0</v>
      </c>
      <c r="CN112" s="283" t="n">
        <f aca="false">SUM(CN103:CN111)</f>
        <v>0</v>
      </c>
      <c r="CO112" s="283" t="n">
        <f aca="false">SUM(CO103:CO111)</f>
        <v>0</v>
      </c>
      <c r="CP112" s="283" t="n">
        <f aca="false">SUM(CP103:CP111)</f>
        <v>0</v>
      </c>
      <c r="CQ112" s="283" t="n">
        <f aca="false">SUM(CQ103:CQ111)</f>
        <v>0</v>
      </c>
      <c r="CR112" s="283" t="n">
        <f aca="false">SUM(CR103:CR111)</f>
        <v>0</v>
      </c>
      <c r="CS112" s="283" t="n">
        <f aca="false">SUM(CS103:CS111)</f>
        <v>0</v>
      </c>
      <c r="CT112" s="283" t="n">
        <f aca="false">SUM(CT103:CT111)</f>
        <v>0</v>
      </c>
      <c r="CU112" s="283" t="n">
        <f aca="false">SUM(CU103:CU111)</f>
        <v>0</v>
      </c>
      <c r="CV112" s="283" t="n">
        <f aca="false">SUM(CV103:CV111)</f>
        <v>0</v>
      </c>
      <c r="CW112" s="283" t="n">
        <f aca="false">SUM(CW103:CW111)</f>
        <v>0</v>
      </c>
      <c r="CX112" s="283" t="n">
        <f aca="false">SUM(CX103:CX111)</f>
        <v>0</v>
      </c>
      <c r="CY112" s="283" t="n">
        <f aca="false">SUM(CY103:CY111)</f>
        <v>0</v>
      </c>
      <c r="CZ112" s="283" t="n">
        <f aca="false">SUM(CZ103:CZ111)</f>
        <v>0</v>
      </c>
      <c r="DA112" s="283" t="n">
        <f aca="false">SUM(DA103:DA111)</f>
        <v>0</v>
      </c>
      <c r="DB112" s="283" t="n">
        <f aca="false">SUM(DB103:DB111)</f>
        <v>0</v>
      </c>
      <c r="DC112" s="283" t="n">
        <f aca="false">SUM(DC103:DC111)</f>
        <v>0</v>
      </c>
      <c r="DD112" s="283" t="n">
        <f aca="false">SUM(DD103:DD111)</f>
        <v>0</v>
      </c>
      <c r="DE112" s="283" t="n">
        <f aca="false">SUM(DE103:DE111)</f>
        <v>0</v>
      </c>
      <c r="DF112" s="283" t="n">
        <f aca="false">SUM(DF103:DF111)</f>
        <v>0</v>
      </c>
      <c r="DG112" s="283" t="n">
        <f aca="false">SUM(DG103:DG111)</f>
        <v>0</v>
      </c>
      <c r="DH112" s="283" t="n">
        <f aca="false">SUM(DH103:DH111)</f>
        <v>0</v>
      </c>
      <c r="DI112" s="283" t="n">
        <f aca="false">SUM(DI103:DI111)</f>
        <v>0</v>
      </c>
      <c r="DJ112" s="283" t="n">
        <f aca="false">SUM(DJ103:DJ111)</f>
        <v>0</v>
      </c>
      <c r="DK112" s="283" t="n">
        <f aca="false">SUM(DK103:DK111)</f>
        <v>0</v>
      </c>
      <c r="DL112" s="283" t="n">
        <f aca="false">SUM(DL103:DL111)</f>
        <v>0</v>
      </c>
      <c r="DM112" s="283" t="n">
        <f aca="false">SUM(DM103:DM111)</f>
        <v>0</v>
      </c>
      <c r="DN112" s="283" t="n">
        <f aca="false">SUM(DN103:DN111)</f>
        <v>0</v>
      </c>
      <c r="DO112" s="283" t="n">
        <f aca="false">SUM(DO103:DO111)</f>
        <v>0</v>
      </c>
      <c r="DP112" s="283" t="n">
        <f aca="false">SUM(DP103:DP111)</f>
        <v>0</v>
      </c>
      <c r="DQ112" s="283" t="n">
        <f aca="false">SUM(DQ103:DQ111)</f>
        <v>0</v>
      </c>
      <c r="DR112" s="283" t="n">
        <f aca="false">SUM(DR103:DR111)</f>
        <v>0</v>
      </c>
      <c r="DS112" s="283" t="n">
        <f aca="false">SUM(DS103:DS111)</f>
        <v>0</v>
      </c>
      <c r="DT112" s="283" t="n">
        <f aca="false">SUM(DT103:DT111)</f>
        <v>0</v>
      </c>
      <c r="DU112" s="283" t="n">
        <f aca="false">SUM(DU103:DU111)</f>
        <v>0</v>
      </c>
      <c r="DV112" s="283" t="n">
        <f aca="false">SUM(DV103:DV111)</f>
        <v>0</v>
      </c>
      <c r="DW112" s="283" t="n">
        <f aca="false">SUM(DW103:DW111)</f>
        <v>0</v>
      </c>
      <c r="DX112" s="283" t="n">
        <f aca="false">SUM(DX103:DX111)</f>
        <v>0</v>
      </c>
      <c r="DY112" s="283" t="n">
        <f aca="false">SUM(DY103:DY111)</f>
        <v>0</v>
      </c>
      <c r="DZ112" s="283" t="n">
        <f aca="false">SUM(DZ103:DZ111)</f>
        <v>0</v>
      </c>
      <c r="EA112" s="283" t="n">
        <f aca="false">SUM(EA103:EA111)</f>
        <v>0</v>
      </c>
      <c r="EB112" s="283" t="n">
        <f aca="false">SUM(EB103:EB111)</f>
        <v>0</v>
      </c>
      <c r="EC112" s="283" t="n">
        <f aca="false">SUM(EC103:EC111)</f>
        <v>0</v>
      </c>
      <c r="ED112" s="283" t="n">
        <f aca="false">SUM(ED103:ED111)</f>
        <v>0</v>
      </c>
      <c r="EE112" s="283" t="n">
        <f aca="false">SUM(EE103:EE111)</f>
        <v>0</v>
      </c>
      <c r="EF112" s="283" t="n">
        <f aca="false">SUM(EF103:EF111)</f>
        <v>0</v>
      </c>
    </row>
    <row r="113" customFormat="false" ht="15" hidden="false" customHeight="false" outlineLevel="0" collapsed="false">
      <c r="A113" s="153" t="s">
        <v>652</v>
      </c>
      <c r="B113" s="278" t="s">
        <v>21</v>
      </c>
      <c r="C113" s="279" t="n">
        <f aca="false">SUM(E113:EF113)</f>
        <v>27207.3003100127</v>
      </c>
      <c r="E113" s="37" t="n">
        <f aca="false">E11*MAX(0,MIN(E153,②시니어_가정!$E$454-0))</f>
        <v>0</v>
      </c>
      <c r="F113" s="37" t="n">
        <f aca="false">F11*MAX(0,MIN(F153,②시니어_가정!$E$454-E123))</f>
        <v>0</v>
      </c>
      <c r="G113" s="37" t="n">
        <f aca="false">G11*MAX(0,MIN(G153,②시니어_가정!$E$454-F123))</f>
        <v>0</v>
      </c>
      <c r="H113" s="37" t="n">
        <f aca="false">H11*MAX(0,MIN(H153,②시니어_가정!$E$454-G123))</f>
        <v>0</v>
      </c>
      <c r="I113" s="37" t="n">
        <f aca="false">I11*MAX(0,MIN(I153,②시니어_가정!$E$454-H123))</f>
        <v>0</v>
      </c>
      <c r="J113" s="37" t="n">
        <f aca="false">J11*MAX(0,MIN(J153,②시니어_가정!$E$454-I123))</f>
        <v>0</v>
      </c>
      <c r="K113" s="37" t="n">
        <f aca="false">K11*MAX(0,MIN(K153,②시니어_가정!$E$454-J123))</f>
        <v>0</v>
      </c>
      <c r="L113" s="37" t="n">
        <f aca="false">L11*MAX(0,MIN(L153,②시니어_가정!$E$454-K123))</f>
        <v>0</v>
      </c>
      <c r="M113" s="37" t="n">
        <f aca="false">M11*MAX(0,MIN(M153,②시니어_가정!$E$454-L123))</f>
        <v>0</v>
      </c>
      <c r="N113" s="37" t="n">
        <f aca="false">N11*MAX(0,MIN(N153,②시니어_가정!$E$454-M123))</f>
        <v>0</v>
      </c>
      <c r="O113" s="37" t="n">
        <f aca="false">O11*MAX(0,MIN(O153,②시니어_가정!$E$454-N123))</f>
        <v>0</v>
      </c>
      <c r="P113" s="37" t="n">
        <f aca="false">P11*MAX(0,MIN(P153,②시니어_가정!$E$454-O123))</f>
        <v>0</v>
      </c>
      <c r="Q113" s="37" t="n">
        <f aca="false">Q11*MAX(0,MIN(Q153,②시니어_가정!$E$454-P123))</f>
        <v>0</v>
      </c>
      <c r="R113" s="37" t="n">
        <f aca="false">R11*MAX(0,MIN(R153,②시니어_가정!$E$454-Q123))</f>
        <v>0</v>
      </c>
      <c r="S113" s="37" t="n">
        <f aca="false">S11*MAX(0,MIN(S153,②시니어_가정!$E$454-R123))</f>
        <v>0</v>
      </c>
      <c r="T113" s="37" t="n">
        <f aca="false">T11*MAX(0,MIN(T153,②시니어_가정!$E$454-S123))</f>
        <v>0</v>
      </c>
      <c r="U113" s="37" t="n">
        <f aca="false">U11*MAX(0,MIN(U153,②시니어_가정!$E$454-T123))</f>
        <v>0</v>
      </c>
      <c r="V113" s="37" t="n">
        <f aca="false">V11*MAX(0,MIN(V153,②시니어_가정!$E$454-U123))</f>
        <v>0</v>
      </c>
      <c r="W113" s="37" t="n">
        <f aca="false">W11*MAX(0,MIN(W153,②시니어_가정!$E$454-V123))</f>
        <v>0</v>
      </c>
      <c r="X113" s="37" t="n">
        <f aca="false">X11*MAX(0,MIN(X153,②시니어_가정!$E$454-W123))</f>
        <v>0</v>
      </c>
      <c r="Y113" s="37" t="n">
        <f aca="false">Y11*MAX(0,MIN(Y153,②시니어_가정!$E$454-X123))</f>
        <v>0</v>
      </c>
      <c r="Z113" s="37" t="n">
        <f aca="false">Z11*MAX(0,MIN(Z153,②시니어_가정!$E$454-Y123))</f>
        <v>0</v>
      </c>
      <c r="AA113" s="37" t="n">
        <f aca="false">AA11*MAX(0,MIN(AA153,②시니어_가정!$E$454-Z123))</f>
        <v>0</v>
      </c>
      <c r="AB113" s="37" t="n">
        <f aca="false">AB11*MAX(0,MIN(AB153,②시니어_가정!$E$454-AA123))</f>
        <v>0</v>
      </c>
      <c r="AC113" s="37" t="n">
        <f aca="false">AC11*MAX(0,MIN(AC153,②시니어_가정!$E$454-AB123))</f>
        <v>0</v>
      </c>
      <c r="AD113" s="37" t="n">
        <f aca="false">AD11*MAX(0,MIN(AD153,②시니어_가정!$E$454-AC123))</f>
        <v>0</v>
      </c>
      <c r="AE113" s="37" t="n">
        <f aca="false">AE11*MAX(0,MIN(AE153,②시니어_가정!$E$454-AD123))</f>
        <v>0</v>
      </c>
      <c r="AF113" s="37" t="n">
        <f aca="false">AF11*MAX(0,MIN(AF153,②시니어_가정!$E$454-AE123))</f>
        <v>0</v>
      </c>
      <c r="AG113" s="37" t="n">
        <f aca="false">AG11*MAX(0,MIN(AG153,②시니어_가정!$E$454-AF123))</f>
        <v>0</v>
      </c>
      <c r="AH113" s="37" t="n">
        <f aca="false">AH11*MAX(0,MIN(AH153,②시니어_가정!$E$454-AG123))</f>
        <v>0</v>
      </c>
      <c r="AI113" s="37" t="n">
        <f aca="false">AI11*MAX(0,MIN(AI153,②시니어_가정!$E$454-AH123))</f>
        <v>0</v>
      </c>
      <c r="AJ113" s="37" t="n">
        <f aca="false">AJ11*MAX(0,MIN(AJ153,②시니어_가정!$E$454-AI123))</f>
        <v>0</v>
      </c>
      <c r="AK113" s="37" t="n">
        <f aca="false">AK11*MAX(0,MIN(AK153,②시니어_가정!$E$454-AJ123))</f>
        <v>0</v>
      </c>
      <c r="AL113" s="37" t="n">
        <f aca="false">AL11*MAX(0,MIN(AL153,②시니어_가정!$E$454-AK123))</f>
        <v>0</v>
      </c>
      <c r="AM113" s="37" t="n">
        <f aca="false">AM11*MAX(0,MIN(AM153,②시니어_가정!$E$454-AL123))</f>
        <v>0</v>
      </c>
      <c r="AN113" s="37" t="n">
        <f aca="false">AN11*MAX(0,MIN(AN153,②시니어_가정!$E$454-AM123))</f>
        <v>0</v>
      </c>
      <c r="AO113" s="37" t="n">
        <f aca="false">AO11*MAX(0,MIN(AO153,②시니어_가정!$E$454-AN123))</f>
        <v>0</v>
      </c>
      <c r="AP113" s="37" t="n">
        <f aca="false">AP11*MAX(0,MIN(AP153,②시니어_가정!$E$454-AO123))</f>
        <v>0</v>
      </c>
      <c r="AQ113" s="37" t="n">
        <f aca="false">AQ11*MAX(0,MIN(AQ153,②시니어_가정!$E$454-AP123))</f>
        <v>0</v>
      </c>
      <c r="AR113" s="37" t="n">
        <f aca="false">AR11*MAX(0,MIN(AR153,②시니어_가정!$E$454-AQ123))</f>
        <v>0</v>
      </c>
      <c r="AS113" s="37" t="n">
        <f aca="false">AS11*MAX(0,MIN(AS153,②시니어_가정!$E$454-AR123))</f>
        <v>0</v>
      </c>
      <c r="AT113" s="37" t="n">
        <f aca="false">AT11*MAX(0,MIN(AT153,②시니어_가정!$E$454-AS123))</f>
        <v>0</v>
      </c>
      <c r="AU113" s="37" t="n">
        <f aca="false">AU11*MAX(0,MIN(AU153,②시니어_가정!$E$454-AT123))</f>
        <v>0</v>
      </c>
      <c r="AV113" s="37" t="n">
        <f aca="false">AV11*MAX(0,MIN(AV153,②시니어_가정!$E$454-AU123))</f>
        <v>0</v>
      </c>
      <c r="AW113" s="37" t="n">
        <f aca="false">AW11*MAX(0,MIN(AW153,②시니어_가정!$E$454-AV123))</f>
        <v>0</v>
      </c>
      <c r="AX113" s="37" t="n">
        <f aca="false">AX11*MAX(0,MIN(AX153,②시니어_가정!$E$454-AW123))</f>
        <v>7885.82488989843</v>
      </c>
      <c r="AY113" s="37" t="n">
        <f aca="false">AY11*MAX(0,MIN(AY153,②시니어_가정!$E$454-AX123))</f>
        <v>9857.36834248194</v>
      </c>
      <c r="AZ113" s="37" t="n">
        <f aca="false">AZ11*MAX(0,MIN(AZ153,②시니어_가정!$E$454-AY123))</f>
        <v>9464.10707763236</v>
      </c>
      <c r="BA113" s="37" t="n">
        <f aca="false">BA11*MAX(0,MIN(BA153,②시니어_가정!$E$454-AZ123))</f>
        <v>0</v>
      </c>
      <c r="BB113" s="37" t="n">
        <f aca="false">BB11*MAX(0,MIN(BB153,②시니어_가정!$E$454-BA123))</f>
        <v>0</v>
      </c>
      <c r="BC113" s="37" t="n">
        <f aca="false">BC11*MAX(0,MIN(BC153,②시니어_가정!$E$454-BB123))</f>
        <v>0</v>
      </c>
      <c r="BD113" s="37" t="n">
        <f aca="false">BD11*MAX(0,MIN(BD153,②시니어_가정!$E$454-BC123))</f>
        <v>0</v>
      </c>
      <c r="BE113" s="37" t="n">
        <f aca="false">BE11*MAX(0,MIN(BE153,②시니어_가정!$E$454-BD123))</f>
        <v>0</v>
      </c>
      <c r="BF113" s="37" t="n">
        <f aca="false">BF11*MAX(0,MIN(BF153,②시니어_가정!$E$454-BE123))</f>
        <v>0</v>
      </c>
      <c r="BG113" s="37" t="n">
        <f aca="false">BG11*MAX(0,MIN(BG153,②시니어_가정!$E$454-BF123))</f>
        <v>0</v>
      </c>
      <c r="BH113" s="37" t="n">
        <f aca="false">BH11*MAX(0,MIN(BH153,②시니어_가정!$E$454-BG123))</f>
        <v>0</v>
      </c>
      <c r="BI113" s="37" t="n">
        <f aca="false">BI11*MAX(0,MIN(BI153,②시니어_가정!$E$454-BH123))</f>
        <v>0</v>
      </c>
      <c r="BJ113" s="37" t="n">
        <f aca="false">BJ11*MAX(0,MIN(BJ153,②시니어_가정!$E$454-BI123))</f>
        <v>0</v>
      </c>
      <c r="BK113" s="37" t="n">
        <f aca="false">BK11*MAX(0,MIN(BK153,②시니어_가정!$E$454-BJ123))</f>
        <v>0</v>
      </c>
      <c r="BL113" s="37" t="n">
        <f aca="false">BL11*MAX(0,MIN(BL153,②시니어_가정!$E$454-BK123))</f>
        <v>0</v>
      </c>
      <c r="BM113" s="37" t="n">
        <f aca="false">BM11*MAX(0,MIN(BM153,②시니어_가정!$E$454-BL123))</f>
        <v>0</v>
      </c>
      <c r="BN113" s="37" t="n">
        <f aca="false">BN11*MAX(0,MIN(BN153,②시니어_가정!$E$454-BM123))</f>
        <v>0</v>
      </c>
      <c r="BO113" s="37" t="n">
        <f aca="false">BO11*MAX(0,MIN(BO153,②시니어_가정!$E$454-BN123))</f>
        <v>0</v>
      </c>
      <c r="BP113" s="37" t="n">
        <f aca="false">BP11*MAX(0,MIN(BP153,②시니어_가정!$E$454-BO123))</f>
        <v>0</v>
      </c>
      <c r="BQ113" s="37" t="n">
        <f aca="false">BQ11*MAX(0,MIN(BQ153,②시니어_가정!$E$454-BP123))</f>
        <v>0</v>
      </c>
      <c r="BR113" s="37" t="n">
        <f aca="false">BR11*MAX(0,MIN(BR153,②시니어_가정!$E$454-BQ123))</f>
        <v>0</v>
      </c>
      <c r="BS113" s="37" t="n">
        <f aca="false">BS11*MAX(0,MIN(BS153,②시니어_가정!$E$454-BR123))</f>
        <v>0</v>
      </c>
      <c r="BT113" s="37" t="n">
        <f aca="false">BT11*MAX(0,MIN(BT153,②시니어_가정!$E$454-BS123))</f>
        <v>0</v>
      </c>
      <c r="BU113" s="37" t="n">
        <f aca="false">BU11*MAX(0,MIN(BU153,②시니어_가정!$E$454-BT123))</f>
        <v>0</v>
      </c>
      <c r="BV113" s="37" t="n">
        <f aca="false">BV11*MAX(0,MIN(BV153,②시니어_가정!$E$454-BU123))</f>
        <v>0</v>
      </c>
      <c r="BW113" s="37" t="n">
        <f aca="false">BW11*MAX(0,MIN(BW153,②시니어_가정!$E$454-BV123))</f>
        <v>0</v>
      </c>
      <c r="BX113" s="37" t="n">
        <f aca="false">BX11*MAX(0,MIN(BX153,②시니어_가정!$E$454-BW123))</f>
        <v>0</v>
      </c>
      <c r="BY113" s="37" t="n">
        <f aca="false">BY11*MAX(0,MIN(BY153,②시니어_가정!$E$454-BX123))</f>
        <v>0</v>
      </c>
      <c r="BZ113" s="37" t="n">
        <f aca="false">BZ11*MAX(0,MIN(BZ153,②시니어_가정!$E$454-BY123))</f>
        <v>0</v>
      </c>
      <c r="CA113" s="37" t="n">
        <f aca="false">CA11*MAX(0,MIN(CA153,②시니어_가정!$E$454-BZ123))</f>
        <v>0</v>
      </c>
      <c r="CB113" s="37" t="n">
        <f aca="false">CB11*MAX(0,MIN(CB153,②시니어_가정!$E$454-CA123))</f>
        <v>0</v>
      </c>
      <c r="CC113" s="37" t="n">
        <f aca="false">CC11*MAX(0,MIN(CC153,②시니어_가정!$E$454-CB123))</f>
        <v>0</v>
      </c>
      <c r="CD113" s="37" t="n">
        <f aca="false">CD11*MAX(0,MIN(CD153,②시니어_가정!$E$454-CC123))</f>
        <v>0</v>
      </c>
      <c r="CE113" s="37" t="n">
        <f aca="false">CE11*MAX(0,MIN(CE153,②시니어_가정!$E$454-CD123))</f>
        <v>0</v>
      </c>
      <c r="CF113" s="37" t="n">
        <f aca="false">CF11*MAX(0,MIN(CF153,②시니어_가정!$E$454-CE123))</f>
        <v>0</v>
      </c>
      <c r="CG113" s="37" t="n">
        <f aca="false">CG11*MAX(0,MIN(CG153,②시니어_가정!$E$454-CF123))</f>
        <v>0</v>
      </c>
      <c r="CH113" s="37" t="n">
        <f aca="false">CH11*MAX(0,MIN(CH153,②시니어_가정!$E$454-CG123))</f>
        <v>0</v>
      </c>
      <c r="CI113" s="37" t="n">
        <f aca="false">CI11*MAX(0,MIN(CI153,②시니어_가정!$E$454-CH123))</f>
        <v>0</v>
      </c>
      <c r="CJ113" s="37" t="n">
        <f aca="false">CJ11*MAX(0,MIN(CJ153,②시니어_가정!$E$454-CI123))</f>
        <v>0</v>
      </c>
      <c r="CK113" s="37" t="n">
        <f aca="false">CK11*MAX(0,MIN(CK153,②시니어_가정!$E$454-CJ123))</f>
        <v>0</v>
      </c>
      <c r="CL113" s="37" t="n">
        <f aca="false">CL11*MAX(0,MIN(CL153,②시니어_가정!$E$454-CK123))</f>
        <v>0</v>
      </c>
      <c r="CM113" s="37" t="n">
        <f aca="false">CM11*MAX(0,MIN(CM153,②시니어_가정!$E$454-CL123))</f>
        <v>0</v>
      </c>
      <c r="CN113" s="37" t="n">
        <f aca="false">CN11*MAX(0,MIN(CN153,②시니어_가정!$E$454-CM123))</f>
        <v>0</v>
      </c>
      <c r="CO113" s="37" t="n">
        <f aca="false">CO11*MAX(0,MIN(CO153,②시니어_가정!$E$454-CN123))</f>
        <v>0</v>
      </c>
      <c r="CP113" s="37" t="n">
        <f aca="false">CP11*MAX(0,MIN(CP153,②시니어_가정!$E$454-CO123))</f>
        <v>0</v>
      </c>
      <c r="CQ113" s="37" t="n">
        <f aca="false">CQ11*MAX(0,MIN(CQ153,②시니어_가정!$E$454-CP123))</f>
        <v>0</v>
      </c>
      <c r="CR113" s="37" t="n">
        <f aca="false">CR11*MAX(0,MIN(CR153,②시니어_가정!$E$454-CQ123))</f>
        <v>0</v>
      </c>
      <c r="CS113" s="37" t="n">
        <f aca="false">CS11*MAX(0,MIN(CS153,②시니어_가정!$E$454-CR123))</f>
        <v>0</v>
      </c>
      <c r="CT113" s="37" t="n">
        <f aca="false">CT11*MAX(0,MIN(CT153,②시니어_가정!$E$454-CS123))</f>
        <v>0</v>
      </c>
      <c r="CU113" s="37" t="n">
        <f aca="false">CU11*MAX(0,MIN(CU153,②시니어_가정!$E$454-CT123))</f>
        <v>0</v>
      </c>
      <c r="CV113" s="37" t="n">
        <f aca="false">CV11*MAX(0,MIN(CV153,②시니어_가정!$E$454-CU123))</f>
        <v>0</v>
      </c>
      <c r="CW113" s="37" t="n">
        <f aca="false">CW11*MAX(0,MIN(CW153,②시니어_가정!$E$454-CV123))</f>
        <v>0</v>
      </c>
      <c r="CX113" s="37" t="n">
        <f aca="false">CX11*MAX(0,MIN(CX153,②시니어_가정!$E$454-CW123))</f>
        <v>0</v>
      </c>
      <c r="CY113" s="37" t="n">
        <f aca="false">CY11*MAX(0,MIN(CY153,②시니어_가정!$E$454-CX123))</f>
        <v>0</v>
      </c>
      <c r="CZ113" s="37" t="n">
        <f aca="false">CZ11*MAX(0,MIN(CZ153,②시니어_가정!$E$454-CY123))</f>
        <v>0</v>
      </c>
      <c r="DA113" s="37" t="n">
        <f aca="false">DA11*MAX(0,MIN(DA153,②시니어_가정!$E$454-CZ123))</f>
        <v>0</v>
      </c>
      <c r="DB113" s="37" t="n">
        <f aca="false">DB11*MAX(0,MIN(DB153,②시니어_가정!$E$454-DA123))</f>
        <v>0</v>
      </c>
      <c r="DC113" s="37" t="n">
        <f aca="false">DC11*MAX(0,MIN(DC153,②시니어_가정!$E$454-DB123))</f>
        <v>0</v>
      </c>
      <c r="DD113" s="37" t="n">
        <f aca="false">DD11*MAX(0,MIN(DD153,②시니어_가정!$E$454-DC123))</f>
        <v>0</v>
      </c>
      <c r="DE113" s="37" t="n">
        <f aca="false">DE11*MAX(0,MIN(DE153,②시니어_가정!$E$454-DD123))</f>
        <v>0</v>
      </c>
      <c r="DF113" s="37" t="n">
        <f aca="false">DF11*MAX(0,MIN(DF153,②시니어_가정!$E$454-DE123))</f>
        <v>0</v>
      </c>
      <c r="DG113" s="37" t="n">
        <f aca="false">DG11*MAX(0,MIN(DG153,②시니어_가정!$E$454-DF123))</f>
        <v>0</v>
      </c>
      <c r="DH113" s="37" t="n">
        <f aca="false">DH11*MAX(0,MIN(DH153,②시니어_가정!$E$454-DG123))</f>
        <v>0</v>
      </c>
      <c r="DI113" s="37" t="n">
        <f aca="false">DI11*MAX(0,MIN(DI153,②시니어_가정!$E$454-DH123))</f>
        <v>0</v>
      </c>
      <c r="DJ113" s="37" t="n">
        <f aca="false">DJ11*MAX(0,MIN(DJ153,②시니어_가정!$E$454-DI123))</f>
        <v>0</v>
      </c>
      <c r="DK113" s="37" t="n">
        <f aca="false">DK11*MAX(0,MIN(DK153,②시니어_가정!$E$454-DJ123))</f>
        <v>0</v>
      </c>
      <c r="DL113" s="37" t="n">
        <f aca="false">DL11*MAX(0,MIN(DL153,②시니어_가정!$E$454-DK123))</f>
        <v>0</v>
      </c>
      <c r="DM113" s="37" t="n">
        <f aca="false">DM11*MAX(0,MIN(DM153,②시니어_가정!$E$454-DL123))</f>
        <v>0</v>
      </c>
      <c r="DN113" s="37" t="n">
        <f aca="false">DN11*MAX(0,MIN(DN153,②시니어_가정!$E$454-DM123))</f>
        <v>0</v>
      </c>
      <c r="DO113" s="37" t="n">
        <f aca="false">DO11*MAX(0,MIN(DO153,②시니어_가정!$E$454-DN123))</f>
        <v>0</v>
      </c>
      <c r="DP113" s="37" t="n">
        <f aca="false">DP11*MAX(0,MIN(DP153,②시니어_가정!$E$454-DO123))</f>
        <v>0</v>
      </c>
      <c r="DQ113" s="37" t="n">
        <f aca="false">DQ11*MAX(0,MIN(DQ153,②시니어_가정!$E$454-DP123))</f>
        <v>0</v>
      </c>
      <c r="DR113" s="37" t="n">
        <f aca="false">DR11*MAX(0,MIN(DR153,②시니어_가정!$E$454-DQ123))</f>
        <v>0</v>
      </c>
      <c r="DS113" s="37" t="n">
        <f aca="false">DS11*MAX(0,MIN(DS153,②시니어_가정!$E$454-DR123))</f>
        <v>0</v>
      </c>
      <c r="DT113" s="37" t="n">
        <f aca="false">DT11*MAX(0,MIN(DT153,②시니어_가정!$E$454-DS123))</f>
        <v>0</v>
      </c>
      <c r="DU113" s="37" t="n">
        <f aca="false">DU11*MAX(0,MIN(DU153,②시니어_가정!$E$454-DT123))</f>
        <v>0</v>
      </c>
      <c r="DV113" s="37" t="n">
        <f aca="false">DV11*MAX(0,MIN(DV153,②시니어_가정!$E$454-DU123))</f>
        <v>0</v>
      </c>
      <c r="DW113" s="37" t="n">
        <f aca="false">DW11*MAX(0,MIN(DW153,②시니어_가정!$E$454-DV123))</f>
        <v>0</v>
      </c>
      <c r="DX113" s="37" t="n">
        <f aca="false">DX11*MAX(0,MIN(DX153,②시니어_가정!$E$454-DW123))</f>
        <v>0</v>
      </c>
      <c r="DY113" s="37" t="n">
        <f aca="false">DY11*MAX(0,MIN(DY153,②시니어_가정!$E$454-DX123))</f>
        <v>0</v>
      </c>
      <c r="DZ113" s="37" t="n">
        <f aca="false">DZ11*MAX(0,MIN(DZ153,②시니어_가정!$E$454-DY123))</f>
        <v>0</v>
      </c>
      <c r="EA113" s="37" t="n">
        <f aca="false">EA11*MAX(0,MIN(EA153,②시니어_가정!$E$454-DZ123))</f>
        <v>0</v>
      </c>
      <c r="EB113" s="37" t="n">
        <f aca="false">EB11*MAX(0,MIN(EB153,②시니어_가정!$E$454-EA123))</f>
        <v>0</v>
      </c>
      <c r="EC113" s="37" t="n">
        <f aca="false">EC11*MAX(0,MIN(EC153,②시니어_가정!$E$454-EB123))</f>
        <v>0</v>
      </c>
      <c r="ED113" s="37" t="n">
        <f aca="false">ED11*MAX(0,MIN(ED153,②시니어_가정!$E$454-EC123))</f>
        <v>0</v>
      </c>
      <c r="EE113" s="37" t="n">
        <f aca="false">EE11*MAX(0,MIN(EE153,②시니어_가정!$E$454-ED123))</f>
        <v>0</v>
      </c>
      <c r="EF113" s="37" t="n">
        <f aca="false">EF11*MAX(0,MIN(EF153,②시니어_가정!$E$454-EE123))</f>
        <v>0</v>
      </c>
    </row>
    <row r="114" customFormat="false" ht="15" hidden="false" customHeight="false" outlineLevel="0" collapsed="false">
      <c r="A114" s="153" t="s">
        <v>653</v>
      </c>
      <c r="B114" s="278" t="s">
        <v>21</v>
      </c>
      <c r="C114" s="279" t="n">
        <f aca="false">SUM(E114:EF114)</f>
        <v>0</v>
      </c>
      <c r="E114" s="37" t="n">
        <f aca="false">E11*MAX(0,MIN(E153-E113,②시니어_가정!$E$453-0))</f>
        <v>0</v>
      </c>
      <c r="F114" s="37" t="n">
        <f aca="false">F11*MAX(0,MIN(F153-F113,②시니어_가정!$E$453-E122))</f>
        <v>0</v>
      </c>
      <c r="G114" s="37" t="n">
        <f aca="false">G11*MAX(0,MIN(G153-G113,②시니어_가정!$E$453-F122))</f>
        <v>0</v>
      </c>
      <c r="H114" s="37" t="n">
        <f aca="false">H11*MAX(0,MIN(H153-H113,②시니어_가정!$E$453-G122))</f>
        <v>0</v>
      </c>
      <c r="I114" s="37" t="n">
        <f aca="false">I11*MAX(0,MIN(I153-I113,②시니어_가정!$E$453-H122))</f>
        <v>0</v>
      </c>
      <c r="J114" s="37" t="n">
        <f aca="false">J11*MAX(0,MIN(J153-J113,②시니어_가정!$E$453-I122))</f>
        <v>0</v>
      </c>
      <c r="K114" s="37" t="n">
        <f aca="false">K11*MAX(0,MIN(K153-K113,②시니어_가정!$E$453-J122))</f>
        <v>0</v>
      </c>
      <c r="L114" s="37" t="n">
        <f aca="false">L11*MAX(0,MIN(L153-L113,②시니어_가정!$E$453-K122))</f>
        <v>0</v>
      </c>
      <c r="M114" s="37" t="n">
        <f aca="false">M11*MAX(0,MIN(M153-M113,②시니어_가정!$E$453-L122))</f>
        <v>0</v>
      </c>
      <c r="N114" s="37" t="n">
        <f aca="false">N11*MAX(0,MIN(N153-N113,②시니어_가정!$E$453-M122))</f>
        <v>0</v>
      </c>
      <c r="O114" s="37" t="n">
        <f aca="false">O11*MAX(0,MIN(O153-O113,②시니어_가정!$E$453-N122))</f>
        <v>0</v>
      </c>
      <c r="P114" s="37" t="n">
        <f aca="false">P11*MAX(0,MIN(P153-P113,②시니어_가정!$E$453-O122))</f>
        <v>0</v>
      </c>
      <c r="Q114" s="37" t="n">
        <f aca="false">Q11*MAX(0,MIN(Q153-Q113,②시니어_가정!$E$453-P122))</f>
        <v>0</v>
      </c>
      <c r="R114" s="37" t="n">
        <f aca="false">R11*MAX(0,MIN(R153-R113,②시니어_가정!$E$453-Q122))</f>
        <v>0</v>
      </c>
      <c r="S114" s="37" t="n">
        <f aca="false">S11*MAX(0,MIN(S153-S113,②시니어_가정!$E$453-R122))</f>
        <v>0</v>
      </c>
      <c r="T114" s="37" t="n">
        <f aca="false">T11*MAX(0,MIN(T153-T113,②시니어_가정!$E$453-S122))</f>
        <v>0</v>
      </c>
      <c r="U114" s="37" t="n">
        <f aca="false">U11*MAX(0,MIN(U153-U113,②시니어_가정!$E$453-T122))</f>
        <v>0</v>
      </c>
      <c r="V114" s="37" t="n">
        <f aca="false">V11*MAX(0,MIN(V153-V113,②시니어_가정!$E$453-U122))</f>
        <v>0</v>
      </c>
      <c r="W114" s="37" t="n">
        <f aca="false">W11*MAX(0,MIN(W153-W113,②시니어_가정!$E$453-V122))</f>
        <v>0</v>
      </c>
      <c r="X114" s="37" t="n">
        <f aca="false">X11*MAX(0,MIN(X153-X113,②시니어_가정!$E$453-W122))</f>
        <v>0</v>
      </c>
      <c r="Y114" s="37" t="n">
        <f aca="false">Y11*MAX(0,MIN(Y153-Y113,②시니어_가정!$E$453-X122))</f>
        <v>0</v>
      </c>
      <c r="Z114" s="37" t="n">
        <f aca="false">Z11*MAX(0,MIN(Z153-Z113,②시니어_가정!$E$453-Y122))</f>
        <v>0</v>
      </c>
      <c r="AA114" s="37" t="n">
        <f aca="false">AA11*MAX(0,MIN(AA153-AA113,②시니어_가정!$E$453-Z122))</f>
        <v>0</v>
      </c>
      <c r="AB114" s="37" t="n">
        <f aca="false">AB11*MAX(0,MIN(AB153-AB113,②시니어_가정!$E$453-AA122))</f>
        <v>0</v>
      </c>
      <c r="AC114" s="37" t="n">
        <f aca="false">AC11*MAX(0,MIN(AC153-AC113,②시니어_가정!$E$453-AB122))</f>
        <v>0</v>
      </c>
      <c r="AD114" s="37" t="n">
        <f aca="false">AD11*MAX(0,MIN(AD153-AD113,②시니어_가정!$E$453-AC122))</f>
        <v>0</v>
      </c>
      <c r="AE114" s="37" t="n">
        <f aca="false">AE11*MAX(0,MIN(AE153-AE113,②시니어_가정!$E$453-AD122))</f>
        <v>0</v>
      </c>
      <c r="AF114" s="37" t="n">
        <f aca="false">AF11*MAX(0,MIN(AF153-AF113,②시니어_가정!$E$453-AE122))</f>
        <v>0</v>
      </c>
      <c r="AG114" s="37" t="n">
        <f aca="false">AG11*MAX(0,MIN(AG153-AG113,②시니어_가정!$E$453-AF122))</f>
        <v>0</v>
      </c>
      <c r="AH114" s="37" t="n">
        <f aca="false">AH11*MAX(0,MIN(AH153-AH113,②시니어_가정!$E$453-AG122))</f>
        <v>0</v>
      </c>
      <c r="AI114" s="37" t="n">
        <f aca="false">AI11*MAX(0,MIN(AI153-AI113,②시니어_가정!$E$453-AH122))</f>
        <v>0</v>
      </c>
      <c r="AJ114" s="37" t="n">
        <f aca="false">AJ11*MAX(0,MIN(AJ153-AJ113,②시니어_가정!$E$453-AI122))</f>
        <v>0</v>
      </c>
      <c r="AK114" s="37" t="n">
        <f aca="false">AK11*MAX(0,MIN(AK153-AK113,②시니어_가정!$E$453-AJ122))</f>
        <v>0</v>
      </c>
      <c r="AL114" s="37" t="n">
        <f aca="false">AL11*MAX(0,MIN(AL153-AL113,②시니어_가정!$E$453-AK122))</f>
        <v>0</v>
      </c>
      <c r="AM114" s="37" t="n">
        <f aca="false">AM11*MAX(0,MIN(AM153-AM113,②시니어_가정!$E$453-AL122))</f>
        <v>0</v>
      </c>
      <c r="AN114" s="37" t="n">
        <f aca="false">AN11*MAX(0,MIN(AN153-AN113,②시니어_가정!$E$453-AM122))</f>
        <v>0</v>
      </c>
      <c r="AO114" s="37" t="n">
        <f aca="false">AO11*MAX(0,MIN(AO153-AO113,②시니어_가정!$E$453-AN122))</f>
        <v>0</v>
      </c>
      <c r="AP114" s="37" t="n">
        <f aca="false">AP11*MAX(0,MIN(AP153-AP113,②시니어_가정!$E$453-AO122))</f>
        <v>0</v>
      </c>
      <c r="AQ114" s="37" t="n">
        <f aca="false">AQ11*MAX(0,MIN(AQ153-AQ113,②시니어_가정!$E$453-AP122))</f>
        <v>0</v>
      </c>
      <c r="AR114" s="37" t="n">
        <f aca="false">AR11*MAX(0,MIN(AR153-AR113,②시니어_가정!$E$453-AQ122))</f>
        <v>0</v>
      </c>
      <c r="AS114" s="37" t="n">
        <f aca="false">AS11*MAX(0,MIN(AS153-AS113,②시니어_가정!$E$453-AR122))</f>
        <v>0</v>
      </c>
      <c r="AT114" s="37" t="n">
        <f aca="false">AT11*MAX(0,MIN(AT153-AT113,②시니어_가정!$E$453-AS122))</f>
        <v>0</v>
      </c>
      <c r="AU114" s="37" t="n">
        <f aca="false">AU11*MAX(0,MIN(AU153-AU113,②시니어_가정!$E$453-AT122))</f>
        <v>0</v>
      </c>
      <c r="AV114" s="37" t="n">
        <f aca="false">AV11*MAX(0,MIN(AV153-AV113,②시니어_가정!$E$453-AU122))</f>
        <v>0</v>
      </c>
      <c r="AW114" s="37" t="n">
        <f aca="false">AW11*MAX(0,MIN(AW153-AW113,②시니어_가정!$E$453-AV122))</f>
        <v>0</v>
      </c>
      <c r="AX114" s="37" t="n">
        <f aca="false">AX11*MAX(0,MIN(AX153-AX113,②시니어_가정!$E$453-AW122))</f>
        <v>0</v>
      </c>
      <c r="AY114" s="37" t="n">
        <f aca="false">AY11*MAX(0,MIN(AY153-AY113,②시니어_가정!$E$453-AX122))</f>
        <v>0</v>
      </c>
      <c r="AZ114" s="37" t="n">
        <f aca="false">AZ11*MAX(0,MIN(AZ153-AZ113,②시니어_가정!$E$453-AY122))</f>
        <v>0</v>
      </c>
      <c r="BA114" s="37" t="n">
        <f aca="false">BA11*MAX(0,MIN(BA153-BA113,②시니어_가정!$E$453-AZ122))</f>
        <v>0</v>
      </c>
      <c r="BB114" s="37" t="n">
        <f aca="false">BB11*MAX(0,MIN(BB153-BB113,②시니어_가정!$E$453-BA122))</f>
        <v>0</v>
      </c>
      <c r="BC114" s="37" t="n">
        <f aca="false">BC11*MAX(0,MIN(BC153-BC113,②시니어_가정!$E$453-BB122))</f>
        <v>0</v>
      </c>
      <c r="BD114" s="37" t="n">
        <f aca="false">BD11*MAX(0,MIN(BD153-BD113,②시니어_가정!$E$453-BC122))</f>
        <v>0</v>
      </c>
      <c r="BE114" s="37" t="n">
        <f aca="false">BE11*MAX(0,MIN(BE153-BE113,②시니어_가정!$E$453-BD122))</f>
        <v>0</v>
      </c>
      <c r="BF114" s="37" t="n">
        <f aca="false">BF11*MAX(0,MIN(BF153-BF113,②시니어_가정!$E$453-BE122))</f>
        <v>0</v>
      </c>
      <c r="BG114" s="37" t="n">
        <f aca="false">BG11*MAX(0,MIN(BG153-BG113,②시니어_가정!$E$453-BF122))</f>
        <v>0</v>
      </c>
      <c r="BH114" s="37" t="n">
        <f aca="false">BH11*MAX(0,MIN(BH153-BH113,②시니어_가정!$E$453-BG122))</f>
        <v>0</v>
      </c>
      <c r="BI114" s="37" t="n">
        <f aca="false">BI11*MAX(0,MIN(BI153-BI113,②시니어_가정!$E$453-BH122))</f>
        <v>0</v>
      </c>
      <c r="BJ114" s="37" t="n">
        <f aca="false">BJ11*MAX(0,MIN(BJ153-BJ113,②시니어_가정!$E$453-BI122))</f>
        <v>0</v>
      </c>
      <c r="BK114" s="37" t="n">
        <f aca="false">BK11*MAX(0,MIN(BK153-BK113,②시니어_가정!$E$453-BJ122))</f>
        <v>0</v>
      </c>
      <c r="BL114" s="37" t="n">
        <f aca="false">BL11*MAX(0,MIN(BL153-BL113,②시니어_가정!$E$453-BK122))</f>
        <v>0</v>
      </c>
      <c r="BM114" s="37" t="n">
        <f aca="false">BM11*MAX(0,MIN(BM153-BM113,②시니어_가정!$E$453-BL122))</f>
        <v>0</v>
      </c>
      <c r="BN114" s="37" t="n">
        <f aca="false">BN11*MAX(0,MIN(BN153-BN113,②시니어_가정!$E$453-BM122))</f>
        <v>0</v>
      </c>
      <c r="BO114" s="37" t="n">
        <f aca="false">BO11*MAX(0,MIN(BO153-BO113,②시니어_가정!$E$453-BN122))</f>
        <v>0</v>
      </c>
      <c r="BP114" s="37" t="n">
        <f aca="false">BP11*MAX(0,MIN(BP153-BP113,②시니어_가정!$E$453-BO122))</f>
        <v>0</v>
      </c>
      <c r="BQ114" s="37" t="n">
        <f aca="false">BQ11*MAX(0,MIN(BQ153-BQ113,②시니어_가정!$E$453-BP122))</f>
        <v>0</v>
      </c>
      <c r="BR114" s="37" t="n">
        <f aca="false">BR11*MAX(0,MIN(BR153-BR113,②시니어_가정!$E$453-BQ122))</f>
        <v>0</v>
      </c>
      <c r="BS114" s="37" t="n">
        <f aca="false">BS11*MAX(0,MIN(BS153-BS113,②시니어_가정!$E$453-BR122))</f>
        <v>0</v>
      </c>
      <c r="BT114" s="37" t="n">
        <f aca="false">BT11*MAX(0,MIN(BT153-BT113,②시니어_가정!$E$453-BS122))</f>
        <v>0</v>
      </c>
      <c r="BU114" s="37" t="n">
        <f aca="false">BU11*MAX(0,MIN(BU153-BU113,②시니어_가정!$E$453-BT122))</f>
        <v>0</v>
      </c>
      <c r="BV114" s="37" t="n">
        <f aca="false">BV11*MAX(0,MIN(BV153-BV113,②시니어_가정!$E$453-BU122))</f>
        <v>0</v>
      </c>
      <c r="BW114" s="37" t="n">
        <f aca="false">BW11*MAX(0,MIN(BW153-BW113,②시니어_가정!$E$453-BV122))</f>
        <v>0</v>
      </c>
      <c r="BX114" s="37" t="n">
        <f aca="false">BX11*MAX(0,MIN(BX153-BX113,②시니어_가정!$E$453-BW122))</f>
        <v>0</v>
      </c>
      <c r="BY114" s="37" t="n">
        <f aca="false">BY11*MAX(0,MIN(BY153-BY113,②시니어_가정!$E$453-BX122))</f>
        <v>0</v>
      </c>
      <c r="BZ114" s="37" t="n">
        <f aca="false">BZ11*MAX(0,MIN(BZ153-BZ113,②시니어_가정!$E$453-BY122))</f>
        <v>0</v>
      </c>
      <c r="CA114" s="37" t="n">
        <f aca="false">CA11*MAX(0,MIN(CA153-CA113,②시니어_가정!$E$453-BZ122))</f>
        <v>0</v>
      </c>
      <c r="CB114" s="37" t="n">
        <f aca="false">CB11*MAX(0,MIN(CB153-CB113,②시니어_가정!$E$453-CA122))</f>
        <v>0</v>
      </c>
      <c r="CC114" s="37" t="n">
        <f aca="false">CC11*MAX(0,MIN(CC153-CC113,②시니어_가정!$E$453-CB122))</f>
        <v>0</v>
      </c>
      <c r="CD114" s="37" t="n">
        <f aca="false">CD11*MAX(0,MIN(CD153-CD113,②시니어_가정!$E$453-CC122))</f>
        <v>0</v>
      </c>
      <c r="CE114" s="37" t="n">
        <f aca="false">CE11*MAX(0,MIN(CE153-CE113,②시니어_가정!$E$453-CD122))</f>
        <v>0</v>
      </c>
      <c r="CF114" s="37" t="n">
        <f aca="false">CF11*MAX(0,MIN(CF153-CF113,②시니어_가정!$E$453-CE122))</f>
        <v>0</v>
      </c>
      <c r="CG114" s="37" t="n">
        <f aca="false">CG11*MAX(0,MIN(CG153-CG113,②시니어_가정!$E$453-CF122))</f>
        <v>0</v>
      </c>
      <c r="CH114" s="37" t="n">
        <f aca="false">CH11*MAX(0,MIN(CH153-CH113,②시니어_가정!$E$453-CG122))</f>
        <v>0</v>
      </c>
      <c r="CI114" s="37" t="n">
        <f aca="false">CI11*MAX(0,MIN(CI153-CI113,②시니어_가정!$E$453-CH122))</f>
        <v>0</v>
      </c>
      <c r="CJ114" s="37" t="n">
        <f aca="false">CJ11*MAX(0,MIN(CJ153-CJ113,②시니어_가정!$E$453-CI122))</f>
        <v>0</v>
      </c>
      <c r="CK114" s="37" t="n">
        <f aca="false">CK11*MAX(0,MIN(CK153-CK113,②시니어_가정!$E$453-CJ122))</f>
        <v>0</v>
      </c>
      <c r="CL114" s="37" t="n">
        <f aca="false">CL11*MAX(0,MIN(CL153-CL113,②시니어_가정!$E$453-CK122))</f>
        <v>0</v>
      </c>
      <c r="CM114" s="37" t="n">
        <f aca="false">CM11*MAX(0,MIN(CM153-CM113,②시니어_가정!$E$453-CL122))</f>
        <v>0</v>
      </c>
      <c r="CN114" s="37" t="n">
        <f aca="false">CN11*MAX(0,MIN(CN153-CN113,②시니어_가정!$E$453-CM122))</f>
        <v>0</v>
      </c>
      <c r="CO114" s="37" t="n">
        <f aca="false">CO11*MAX(0,MIN(CO153-CO113,②시니어_가정!$E$453-CN122))</f>
        <v>0</v>
      </c>
      <c r="CP114" s="37" t="n">
        <f aca="false">CP11*MAX(0,MIN(CP153-CP113,②시니어_가정!$E$453-CO122))</f>
        <v>0</v>
      </c>
      <c r="CQ114" s="37" t="n">
        <f aca="false">CQ11*MAX(0,MIN(CQ153-CQ113,②시니어_가정!$E$453-CP122))</f>
        <v>0</v>
      </c>
      <c r="CR114" s="37" t="n">
        <f aca="false">CR11*MAX(0,MIN(CR153-CR113,②시니어_가정!$E$453-CQ122))</f>
        <v>0</v>
      </c>
      <c r="CS114" s="37" t="n">
        <f aca="false">CS11*MAX(0,MIN(CS153-CS113,②시니어_가정!$E$453-CR122))</f>
        <v>0</v>
      </c>
      <c r="CT114" s="37" t="n">
        <f aca="false">CT11*MAX(0,MIN(CT153-CT113,②시니어_가정!$E$453-CS122))</f>
        <v>0</v>
      </c>
      <c r="CU114" s="37" t="n">
        <f aca="false">CU11*MAX(0,MIN(CU153-CU113,②시니어_가정!$E$453-CT122))</f>
        <v>0</v>
      </c>
      <c r="CV114" s="37" t="n">
        <f aca="false">CV11*MAX(0,MIN(CV153-CV113,②시니어_가정!$E$453-CU122))</f>
        <v>0</v>
      </c>
      <c r="CW114" s="37" t="n">
        <f aca="false">CW11*MAX(0,MIN(CW153-CW113,②시니어_가정!$E$453-CV122))</f>
        <v>0</v>
      </c>
      <c r="CX114" s="37" t="n">
        <f aca="false">CX11*MAX(0,MIN(CX153-CX113,②시니어_가정!$E$453-CW122))</f>
        <v>0</v>
      </c>
      <c r="CY114" s="37" t="n">
        <f aca="false">CY11*MAX(0,MIN(CY153-CY113,②시니어_가정!$E$453-CX122))</f>
        <v>0</v>
      </c>
      <c r="CZ114" s="37" t="n">
        <f aca="false">CZ11*MAX(0,MIN(CZ153-CZ113,②시니어_가정!$E$453-CY122))</f>
        <v>0</v>
      </c>
      <c r="DA114" s="37" t="n">
        <f aca="false">DA11*MAX(0,MIN(DA153-DA113,②시니어_가정!$E$453-CZ122))</f>
        <v>0</v>
      </c>
      <c r="DB114" s="37" t="n">
        <f aca="false">DB11*MAX(0,MIN(DB153-DB113,②시니어_가정!$E$453-DA122))</f>
        <v>0</v>
      </c>
      <c r="DC114" s="37" t="n">
        <f aca="false">DC11*MAX(0,MIN(DC153-DC113,②시니어_가정!$E$453-DB122))</f>
        <v>0</v>
      </c>
      <c r="DD114" s="37" t="n">
        <f aca="false">DD11*MAX(0,MIN(DD153-DD113,②시니어_가정!$E$453-DC122))</f>
        <v>0</v>
      </c>
      <c r="DE114" s="37" t="n">
        <f aca="false">DE11*MAX(0,MIN(DE153-DE113,②시니어_가정!$E$453-DD122))</f>
        <v>0</v>
      </c>
      <c r="DF114" s="37" t="n">
        <f aca="false">DF11*MAX(0,MIN(DF153-DF113,②시니어_가정!$E$453-DE122))</f>
        <v>0</v>
      </c>
      <c r="DG114" s="37" t="n">
        <f aca="false">DG11*MAX(0,MIN(DG153-DG113,②시니어_가정!$E$453-DF122))</f>
        <v>0</v>
      </c>
      <c r="DH114" s="37" t="n">
        <f aca="false">DH11*MAX(0,MIN(DH153-DH113,②시니어_가정!$E$453-DG122))</f>
        <v>0</v>
      </c>
      <c r="DI114" s="37" t="n">
        <f aca="false">DI11*MAX(0,MIN(DI153-DI113,②시니어_가정!$E$453-DH122))</f>
        <v>0</v>
      </c>
      <c r="DJ114" s="37" t="n">
        <f aca="false">DJ11*MAX(0,MIN(DJ153-DJ113,②시니어_가정!$E$453-DI122))</f>
        <v>0</v>
      </c>
      <c r="DK114" s="37" t="n">
        <f aca="false">DK11*MAX(0,MIN(DK153-DK113,②시니어_가정!$E$453-DJ122))</f>
        <v>0</v>
      </c>
      <c r="DL114" s="37" t="n">
        <f aca="false">DL11*MAX(0,MIN(DL153-DL113,②시니어_가정!$E$453-DK122))</f>
        <v>0</v>
      </c>
      <c r="DM114" s="37" t="n">
        <f aca="false">DM11*MAX(0,MIN(DM153-DM113,②시니어_가정!$E$453-DL122))</f>
        <v>0</v>
      </c>
      <c r="DN114" s="37" t="n">
        <f aca="false">DN11*MAX(0,MIN(DN153-DN113,②시니어_가정!$E$453-DM122))</f>
        <v>0</v>
      </c>
      <c r="DO114" s="37" t="n">
        <f aca="false">DO11*MAX(0,MIN(DO153-DO113,②시니어_가정!$E$453-DN122))</f>
        <v>0</v>
      </c>
      <c r="DP114" s="37" t="n">
        <f aca="false">DP11*MAX(0,MIN(DP153-DP113,②시니어_가정!$E$453-DO122))</f>
        <v>0</v>
      </c>
      <c r="DQ114" s="37" t="n">
        <f aca="false">DQ11*MAX(0,MIN(DQ153-DQ113,②시니어_가정!$E$453-DP122))</f>
        <v>0</v>
      </c>
      <c r="DR114" s="37" t="n">
        <f aca="false">DR11*MAX(0,MIN(DR153-DR113,②시니어_가정!$E$453-DQ122))</f>
        <v>0</v>
      </c>
      <c r="DS114" s="37" t="n">
        <f aca="false">DS11*MAX(0,MIN(DS153-DS113,②시니어_가정!$E$453-DR122))</f>
        <v>0</v>
      </c>
      <c r="DT114" s="37" t="n">
        <f aca="false">DT11*MAX(0,MIN(DT153-DT113,②시니어_가정!$E$453-DS122))</f>
        <v>0</v>
      </c>
      <c r="DU114" s="37" t="n">
        <f aca="false">DU11*MAX(0,MIN(DU153-DU113,②시니어_가정!$E$453-DT122))</f>
        <v>0</v>
      </c>
      <c r="DV114" s="37" t="n">
        <f aca="false">DV11*MAX(0,MIN(DV153-DV113,②시니어_가정!$E$453-DU122))</f>
        <v>0</v>
      </c>
      <c r="DW114" s="37" t="n">
        <f aca="false">DW11*MAX(0,MIN(DW153-DW113,②시니어_가정!$E$453-DV122))</f>
        <v>0</v>
      </c>
      <c r="DX114" s="37" t="n">
        <f aca="false">DX11*MAX(0,MIN(DX153-DX113,②시니어_가정!$E$453-DW122))</f>
        <v>0</v>
      </c>
      <c r="DY114" s="37" t="n">
        <f aca="false">DY11*MAX(0,MIN(DY153-DY113,②시니어_가정!$E$453-DX122))</f>
        <v>0</v>
      </c>
      <c r="DZ114" s="37" t="n">
        <f aca="false">DZ11*MAX(0,MIN(DZ153-DZ113,②시니어_가정!$E$453-DY122))</f>
        <v>0</v>
      </c>
      <c r="EA114" s="37" t="n">
        <f aca="false">EA11*MAX(0,MIN(EA153-EA113,②시니어_가정!$E$453-DZ122))</f>
        <v>0</v>
      </c>
      <c r="EB114" s="37" t="n">
        <f aca="false">EB11*MAX(0,MIN(EB153-EB113,②시니어_가정!$E$453-EA122))</f>
        <v>0</v>
      </c>
      <c r="EC114" s="37" t="n">
        <f aca="false">EC11*MAX(0,MIN(EC153-EC113,②시니어_가정!$E$453-EB122))</f>
        <v>0</v>
      </c>
      <c r="ED114" s="37" t="n">
        <f aca="false">ED11*MAX(0,MIN(ED153-ED113,②시니어_가정!$E$453-EC122))</f>
        <v>0</v>
      </c>
      <c r="EE114" s="37" t="n">
        <f aca="false">EE11*MAX(0,MIN(EE153-EE113,②시니어_가정!$E$453-ED122))</f>
        <v>0</v>
      </c>
      <c r="EF114" s="37" t="n">
        <f aca="false">EF11*MAX(0,MIN(EF153-EF113,②시니어_가정!$E$453-EE122))</f>
        <v>0</v>
      </c>
    </row>
    <row r="115" customFormat="false" ht="15" hidden="false" customHeight="false" outlineLevel="0" collapsed="false">
      <c r="A115" s="153" t="s">
        <v>654</v>
      </c>
      <c r="B115" s="278" t="s">
        <v>21</v>
      </c>
      <c r="C115" s="279" t="n">
        <f aca="false">SUM(E115:EF115)</f>
        <v>0</v>
      </c>
      <c r="E115" s="37" t="n">
        <f aca="false">E11*MAX(0,MIN(E153-E113-E114,②시니어_가정!$E$452-0))</f>
        <v>0</v>
      </c>
      <c r="F115" s="37" t="n">
        <f aca="false">F11*MAX(0,MIN(F153-F113-F114,②시니어_가정!$E$452-E121))</f>
        <v>0</v>
      </c>
      <c r="G115" s="37" t="n">
        <f aca="false">G11*MAX(0,MIN(G153-G113-G114,②시니어_가정!$E$452-F121))</f>
        <v>0</v>
      </c>
      <c r="H115" s="37" t="n">
        <f aca="false">H11*MAX(0,MIN(H153-H113-H114,②시니어_가정!$E$452-G121))</f>
        <v>0</v>
      </c>
      <c r="I115" s="37" t="n">
        <f aca="false">I11*MAX(0,MIN(I153-I113-I114,②시니어_가정!$E$452-H121))</f>
        <v>0</v>
      </c>
      <c r="J115" s="37" t="n">
        <f aca="false">J11*MAX(0,MIN(J153-J113-J114,②시니어_가정!$E$452-I121))</f>
        <v>0</v>
      </c>
      <c r="K115" s="37" t="n">
        <f aca="false">K11*MAX(0,MIN(K153-K113-K114,②시니어_가정!$E$452-J121))</f>
        <v>0</v>
      </c>
      <c r="L115" s="37" t="n">
        <f aca="false">L11*MAX(0,MIN(L153-L113-L114,②시니어_가정!$E$452-K121))</f>
        <v>0</v>
      </c>
      <c r="M115" s="37" t="n">
        <f aca="false">M11*MAX(0,MIN(M153-M113-M114,②시니어_가정!$E$452-L121))</f>
        <v>0</v>
      </c>
      <c r="N115" s="37" t="n">
        <f aca="false">N11*MAX(0,MIN(N153-N113-N114,②시니어_가정!$E$452-M121))</f>
        <v>0</v>
      </c>
      <c r="O115" s="37" t="n">
        <f aca="false">O11*MAX(0,MIN(O153-O113-O114,②시니어_가정!$E$452-N121))</f>
        <v>0</v>
      </c>
      <c r="P115" s="37" t="n">
        <f aca="false">P11*MAX(0,MIN(P153-P113-P114,②시니어_가정!$E$452-O121))</f>
        <v>0</v>
      </c>
      <c r="Q115" s="37" t="n">
        <f aca="false">Q11*MAX(0,MIN(Q153-Q113-Q114,②시니어_가정!$E$452-P121))</f>
        <v>0</v>
      </c>
      <c r="R115" s="37" t="n">
        <f aca="false">R11*MAX(0,MIN(R153-R113-R114,②시니어_가정!$E$452-Q121))</f>
        <v>0</v>
      </c>
      <c r="S115" s="37" t="n">
        <f aca="false">S11*MAX(0,MIN(S153-S113-S114,②시니어_가정!$E$452-R121))</f>
        <v>0</v>
      </c>
      <c r="T115" s="37" t="n">
        <f aca="false">T11*MAX(0,MIN(T153-T113-T114,②시니어_가정!$E$452-S121))</f>
        <v>0</v>
      </c>
      <c r="U115" s="37" t="n">
        <f aca="false">U11*MAX(0,MIN(U153-U113-U114,②시니어_가정!$E$452-T121))</f>
        <v>0</v>
      </c>
      <c r="V115" s="37" t="n">
        <f aca="false">V11*MAX(0,MIN(V153-V113-V114,②시니어_가정!$E$452-U121))</f>
        <v>0</v>
      </c>
      <c r="W115" s="37" t="n">
        <f aca="false">W11*MAX(0,MIN(W153-W113-W114,②시니어_가정!$E$452-V121))</f>
        <v>0</v>
      </c>
      <c r="X115" s="37" t="n">
        <f aca="false">X11*MAX(0,MIN(X153-X113-X114,②시니어_가정!$E$452-W121))</f>
        <v>0</v>
      </c>
      <c r="Y115" s="37" t="n">
        <f aca="false">Y11*MAX(0,MIN(Y153-Y113-Y114,②시니어_가정!$E$452-X121))</f>
        <v>0</v>
      </c>
      <c r="Z115" s="37" t="n">
        <f aca="false">Z11*MAX(0,MIN(Z153-Z113-Z114,②시니어_가정!$E$452-Y121))</f>
        <v>0</v>
      </c>
      <c r="AA115" s="37" t="n">
        <f aca="false">AA11*MAX(0,MIN(AA153-AA113-AA114,②시니어_가정!$E$452-Z121))</f>
        <v>0</v>
      </c>
      <c r="AB115" s="37" t="n">
        <f aca="false">AB11*MAX(0,MIN(AB153-AB113-AB114,②시니어_가정!$E$452-AA121))</f>
        <v>0</v>
      </c>
      <c r="AC115" s="37" t="n">
        <f aca="false">AC11*MAX(0,MIN(AC153-AC113-AC114,②시니어_가정!$E$452-AB121))</f>
        <v>0</v>
      </c>
      <c r="AD115" s="37" t="n">
        <f aca="false">AD11*MAX(0,MIN(AD153-AD113-AD114,②시니어_가정!$E$452-AC121))</f>
        <v>0</v>
      </c>
      <c r="AE115" s="37" t="n">
        <f aca="false">AE11*MAX(0,MIN(AE153-AE113-AE114,②시니어_가정!$E$452-AD121))</f>
        <v>0</v>
      </c>
      <c r="AF115" s="37" t="n">
        <f aca="false">AF11*MAX(0,MIN(AF153-AF113-AF114,②시니어_가정!$E$452-AE121))</f>
        <v>0</v>
      </c>
      <c r="AG115" s="37" t="n">
        <f aca="false">AG11*MAX(0,MIN(AG153-AG113-AG114,②시니어_가정!$E$452-AF121))</f>
        <v>0</v>
      </c>
      <c r="AH115" s="37" t="n">
        <f aca="false">AH11*MAX(0,MIN(AH153-AH113-AH114,②시니어_가정!$E$452-AG121))</f>
        <v>0</v>
      </c>
      <c r="AI115" s="37" t="n">
        <f aca="false">AI11*MAX(0,MIN(AI153-AI113-AI114,②시니어_가정!$E$452-AH121))</f>
        <v>0</v>
      </c>
      <c r="AJ115" s="37" t="n">
        <f aca="false">AJ11*MAX(0,MIN(AJ153-AJ113-AJ114,②시니어_가정!$E$452-AI121))</f>
        <v>0</v>
      </c>
      <c r="AK115" s="37" t="n">
        <f aca="false">AK11*MAX(0,MIN(AK153-AK113-AK114,②시니어_가정!$E$452-AJ121))</f>
        <v>0</v>
      </c>
      <c r="AL115" s="37" t="n">
        <f aca="false">AL11*MAX(0,MIN(AL153-AL113-AL114,②시니어_가정!$E$452-AK121))</f>
        <v>0</v>
      </c>
      <c r="AM115" s="37" t="n">
        <f aca="false">AM11*MAX(0,MIN(AM153-AM113-AM114,②시니어_가정!$E$452-AL121))</f>
        <v>0</v>
      </c>
      <c r="AN115" s="37" t="n">
        <f aca="false">AN11*MAX(0,MIN(AN153-AN113-AN114,②시니어_가정!$E$452-AM121))</f>
        <v>0</v>
      </c>
      <c r="AO115" s="37" t="n">
        <f aca="false">AO11*MAX(0,MIN(AO153-AO113-AO114,②시니어_가정!$E$452-AN121))</f>
        <v>0</v>
      </c>
      <c r="AP115" s="37" t="n">
        <f aca="false">AP11*MAX(0,MIN(AP153-AP113-AP114,②시니어_가정!$E$452-AO121))</f>
        <v>0</v>
      </c>
      <c r="AQ115" s="37" t="n">
        <f aca="false">AQ11*MAX(0,MIN(AQ153-AQ113-AQ114,②시니어_가정!$E$452-AP121))</f>
        <v>0</v>
      </c>
      <c r="AR115" s="37" t="n">
        <f aca="false">AR11*MAX(0,MIN(AR153-AR113-AR114,②시니어_가정!$E$452-AQ121))</f>
        <v>0</v>
      </c>
      <c r="AS115" s="37" t="n">
        <f aca="false">AS11*MAX(0,MIN(AS153-AS113-AS114,②시니어_가정!$E$452-AR121))</f>
        <v>0</v>
      </c>
      <c r="AT115" s="37" t="n">
        <f aca="false">AT11*MAX(0,MIN(AT153-AT113-AT114,②시니어_가정!$E$452-AS121))</f>
        <v>0</v>
      </c>
      <c r="AU115" s="37" t="n">
        <f aca="false">AU11*MAX(0,MIN(AU153-AU113-AU114,②시니어_가정!$E$452-AT121))</f>
        <v>0</v>
      </c>
      <c r="AV115" s="37" t="n">
        <f aca="false">AV11*MAX(0,MIN(AV153-AV113-AV114,②시니어_가정!$E$452-AU121))</f>
        <v>0</v>
      </c>
      <c r="AW115" s="37" t="n">
        <f aca="false">AW11*MAX(0,MIN(AW153-AW113-AW114,②시니어_가정!$E$452-AV121))</f>
        <v>0</v>
      </c>
      <c r="AX115" s="37" t="n">
        <f aca="false">AX11*MAX(0,MIN(AX153-AX113-AX114,②시니어_가정!$E$452-AW121))</f>
        <v>0</v>
      </c>
      <c r="AY115" s="37" t="n">
        <f aca="false">AY11*MAX(0,MIN(AY153-AY113-AY114,②시니어_가정!$E$452-AX121))</f>
        <v>0</v>
      </c>
      <c r="AZ115" s="37" t="n">
        <f aca="false">AZ11*MAX(0,MIN(AZ153-AZ113-AZ114,②시니어_가정!$E$452-AY121))</f>
        <v>0</v>
      </c>
      <c r="BA115" s="37" t="n">
        <f aca="false">BA11*MAX(0,MIN(BA153-BA113-BA114,②시니어_가정!$E$452-AZ121))</f>
        <v>0</v>
      </c>
      <c r="BB115" s="37" t="n">
        <f aca="false">BB11*MAX(0,MIN(BB153-BB113-BB114,②시니어_가정!$E$452-BA121))</f>
        <v>0</v>
      </c>
      <c r="BC115" s="37" t="n">
        <f aca="false">BC11*MAX(0,MIN(BC153-BC113-BC114,②시니어_가정!$E$452-BB121))</f>
        <v>0</v>
      </c>
      <c r="BD115" s="37" t="n">
        <f aca="false">BD11*MAX(0,MIN(BD153-BD113-BD114,②시니어_가정!$E$452-BC121))</f>
        <v>0</v>
      </c>
      <c r="BE115" s="37" t="n">
        <f aca="false">BE11*MAX(0,MIN(BE153-BE113-BE114,②시니어_가정!$E$452-BD121))</f>
        <v>0</v>
      </c>
      <c r="BF115" s="37" t="n">
        <f aca="false">BF11*MAX(0,MIN(BF153-BF113-BF114,②시니어_가정!$E$452-BE121))</f>
        <v>0</v>
      </c>
      <c r="BG115" s="37" t="n">
        <f aca="false">BG11*MAX(0,MIN(BG153-BG113-BG114,②시니어_가정!$E$452-BF121))</f>
        <v>0</v>
      </c>
      <c r="BH115" s="37" t="n">
        <f aca="false">BH11*MAX(0,MIN(BH153-BH113-BH114,②시니어_가정!$E$452-BG121))</f>
        <v>0</v>
      </c>
      <c r="BI115" s="37" t="n">
        <f aca="false">BI11*MAX(0,MIN(BI153-BI113-BI114,②시니어_가정!$E$452-BH121))</f>
        <v>0</v>
      </c>
      <c r="BJ115" s="37" t="n">
        <f aca="false">BJ11*MAX(0,MIN(BJ153-BJ113-BJ114,②시니어_가정!$E$452-BI121))</f>
        <v>0</v>
      </c>
      <c r="BK115" s="37" t="n">
        <f aca="false">BK11*MAX(0,MIN(BK153-BK113-BK114,②시니어_가정!$E$452-BJ121))</f>
        <v>0</v>
      </c>
      <c r="BL115" s="37" t="n">
        <f aca="false">BL11*MAX(0,MIN(BL153-BL113-BL114,②시니어_가정!$E$452-BK121))</f>
        <v>0</v>
      </c>
      <c r="BM115" s="37" t="n">
        <f aca="false">BM11*MAX(0,MIN(BM153-BM113-BM114,②시니어_가정!$E$452-BL121))</f>
        <v>0</v>
      </c>
      <c r="BN115" s="37" t="n">
        <f aca="false">BN11*MAX(0,MIN(BN153-BN113-BN114,②시니어_가정!$E$452-BM121))</f>
        <v>0</v>
      </c>
      <c r="BO115" s="37" t="n">
        <f aca="false">BO11*MAX(0,MIN(BO153-BO113-BO114,②시니어_가정!$E$452-BN121))</f>
        <v>0</v>
      </c>
      <c r="BP115" s="37" t="n">
        <f aca="false">BP11*MAX(0,MIN(BP153-BP113-BP114,②시니어_가정!$E$452-BO121))</f>
        <v>0</v>
      </c>
      <c r="BQ115" s="37" t="n">
        <f aca="false">BQ11*MAX(0,MIN(BQ153-BQ113-BQ114,②시니어_가정!$E$452-BP121))</f>
        <v>0</v>
      </c>
      <c r="BR115" s="37" t="n">
        <f aca="false">BR11*MAX(0,MIN(BR153-BR113-BR114,②시니어_가정!$E$452-BQ121))</f>
        <v>0</v>
      </c>
      <c r="BS115" s="37" t="n">
        <f aca="false">BS11*MAX(0,MIN(BS153-BS113-BS114,②시니어_가정!$E$452-BR121))</f>
        <v>0</v>
      </c>
      <c r="BT115" s="37" t="n">
        <f aca="false">BT11*MAX(0,MIN(BT153-BT113-BT114,②시니어_가정!$E$452-BS121))</f>
        <v>0</v>
      </c>
      <c r="BU115" s="37" t="n">
        <f aca="false">BU11*MAX(0,MIN(BU153-BU113-BU114,②시니어_가정!$E$452-BT121))</f>
        <v>0</v>
      </c>
      <c r="BV115" s="37" t="n">
        <f aca="false">BV11*MAX(0,MIN(BV153-BV113-BV114,②시니어_가정!$E$452-BU121))</f>
        <v>0</v>
      </c>
      <c r="BW115" s="37" t="n">
        <f aca="false">BW11*MAX(0,MIN(BW153-BW113-BW114,②시니어_가정!$E$452-BV121))</f>
        <v>0</v>
      </c>
      <c r="BX115" s="37" t="n">
        <f aca="false">BX11*MAX(0,MIN(BX153-BX113-BX114,②시니어_가정!$E$452-BW121))</f>
        <v>0</v>
      </c>
      <c r="BY115" s="37" t="n">
        <f aca="false">BY11*MAX(0,MIN(BY153-BY113-BY114,②시니어_가정!$E$452-BX121))</f>
        <v>0</v>
      </c>
      <c r="BZ115" s="37" t="n">
        <f aca="false">BZ11*MAX(0,MIN(BZ153-BZ113-BZ114,②시니어_가정!$E$452-BY121))</f>
        <v>0</v>
      </c>
      <c r="CA115" s="37" t="n">
        <f aca="false">CA11*MAX(0,MIN(CA153-CA113-CA114,②시니어_가정!$E$452-BZ121))</f>
        <v>0</v>
      </c>
      <c r="CB115" s="37" t="n">
        <f aca="false">CB11*MAX(0,MIN(CB153-CB113-CB114,②시니어_가정!$E$452-CA121))</f>
        <v>0</v>
      </c>
      <c r="CC115" s="37" t="n">
        <f aca="false">CC11*MAX(0,MIN(CC153-CC113-CC114,②시니어_가정!$E$452-CB121))</f>
        <v>0</v>
      </c>
      <c r="CD115" s="37" t="n">
        <f aca="false">CD11*MAX(0,MIN(CD153-CD113-CD114,②시니어_가정!$E$452-CC121))</f>
        <v>0</v>
      </c>
      <c r="CE115" s="37" t="n">
        <f aca="false">CE11*MAX(0,MIN(CE153-CE113-CE114,②시니어_가정!$E$452-CD121))</f>
        <v>0</v>
      </c>
      <c r="CF115" s="37" t="n">
        <f aca="false">CF11*MAX(0,MIN(CF153-CF113-CF114,②시니어_가정!$E$452-CE121))</f>
        <v>0</v>
      </c>
      <c r="CG115" s="37" t="n">
        <f aca="false">CG11*MAX(0,MIN(CG153-CG113-CG114,②시니어_가정!$E$452-CF121))</f>
        <v>0</v>
      </c>
      <c r="CH115" s="37" t="n">
        <f aca="false">CH11*MAX(0,MIN(CH153-CH113-CH114,②시니어_가정!$E$452-CG121))</f>
        <v>0</v>
      </c>
      <c r="CI115" s="37" t="n">
        <f aca="false">CI11*MAX(0,MIN(CI153-CI113-CI114,②시니어_가정!$E$452-CH121))</f>
        <v>0</v>
      </c>
      <c r="CJ115" s="37" t="n">
        <f aca="false">CJ11*MAX(0,MIN(CJ153-CJ113-CJ114,②시니어_가정!$E$452-CI121))</f>
        <v>0</v>
      </c>
      <c r="CK115" s="37" t="n">
        <f aca="false">CK11*MAX(0,MIN(CK153-CK113-CK114,②시니어_가정!$E$452-CJ121))</f>
        <v>0</v>
      </c>
      <c r="CL115" s="37" t="n">
        <f aca="false">CL11*MAX(0,MIN(CL153-CL113-CL114,②시니어_가정!$E$452-CK121))</f>
        <v>0</v>
      </c>
      <c r="CM115" s="37" t="n">
        <f aca="false">CM11*MAX(0,MIN(CM153-CM113-CM114,②시니어_가정!$E$452-CL121))</f>
        <v>0</v>
      </c>
      <c r="CN115" s="37" t="n">
        <f aca="false">CN11*MAX(0,MIN(CN153-CN113-CN114,②시니어_가정!$E$452-CM121))</f>
        <v>0</v>
      </c>
      <c r="CO115" s="37" t="n">
        <f aca="false">CO11*MAX(0,MIN(CO153-CO113-CO114,②시니어_가정!$E$452-CN121))</f>
        <v>0</v>
      </c>
      <c r="CP115" s="37" t="n">
        <f aca="false">CP11*MAX(0,MIN(CP153-CP113-CP114,②시니어_가정!$E$452-CO121))</f>
        <v>0</v>
      </c>
      <c r="CQ115" s="37" t="n">
        <f aca="false">CQ11*MAX(0,MIN(CQ153-CQ113-CQ114,②시니어_가정!$E$452-CP121))</f>
        <v>0</v>
      </c>
      <c r="CR115" s="37" t="n">
        <f aca="false">CR11*MAX(0,MIN(CR153-CR113-CR114,②시니어_가정!$E$452-CQ121))</f>
        <v>0</v>
      </c>
      <c r="CS115" s="37" t="n">
        <f aca="false">CS11*MAX(0,MIN(CS153-CS113-CS114,②시니어_가정!$E$452-CR121))</f>
        <v>0</v>
      </c>
      <c r="CT115" s="37" t="n">
        <f aca="false">CT11*MAX(0,MIN(CT153-CT113-CT114,②시니어_가정!$E$452-CS121))</f>
        <v>0</v>
      </c>
      <c r="CU115" s="37" t="n">
        <f aca="false">CU11*MAX(0,MIN(CU153-CU113-CU114,②시니어_가정!$E$452-CT121))</f>
        <v>0</v>
      </c>
      <c r="CV115" s="37" t="n">
        <f aca="false">CV11*MAX(0,MIN(CV153-CV113-CV114,②시니어_가정!$E$452-CU121))</f>
        <v>0</v>
      </c>
      <c r="CW115" s="37" t="n">
        <f aca="false">CW11*MAX(0,MIN(CW153-CW113-CW114,②시니어_가정!$E$452-CV121))</f>
        <v>0</v>
      </c>
      <c r="CX115" s="37" t="n">
        <f aca="false">CX11*MAX(0,MIN(CX153-CX113-CX114,②시니어_가정!$E$452-CW121))</f>
        <v>0</v>
      </c>
      <c r="CY115" s="37" t="n">
        <f aca="false">CY11*MAX(0,MIN(CY153-CY113-CY114,②시니어_가정!$E$452-CX121))</f>
        <v>0</v>
      </c>
      <c r="CZ115" s="37" t="n">
        <f aca="false">CZ11*MAX(0,MIN(CZ153-CZ113-CZ114,②시니어_가정!$E$452-CY121))</f>
        <v>0</v>
      </c>
      <c r="DA115" s="37" t="n">
        <f aca="false">DA11*MAX(0,MIN(DA153-DA113-DA114,②시니어_가정!$E$452-CZ121))</f>
        <v>0</v>
      </c>
      <c r="DB115" s="37" t="n">
        <f aca="false">DB11*MAX(0,MIN(DB153-DB113-DB114,②시니어_가정!$E$452-DA121))</f>
        <v>0</v>
      </c>
      <c r="DC115" s="37" t="n">
        <f aca="false">DC11*MAX(0,MIN(DC153-DC113-DC114,②시니어_가정!$E$452-DB121))</f>
        <v>0</v>
      </c>
      <c r="DD115" s="37" t="n">
        <f aca="false">DD11*MAX(0,MIN(DD153-DD113-DD114,②시니어_가정!$E$452-DC121))</f>
        <v>0</v>
      </c>
      <c r="DE115" s="37" t="n">
        <f aca="false">DE11*MAX(0,MIN(DE153-DE113-DE114,②시니어_가정!$E$452-DD121))</f>
        <v>0</v>
      </c>
      <c r="DF115" s="37" t="n">
        <f aca="false">DF11*MAX(0,MIN(DF153-DF113-DF114,②시니어_가정!$E$452-DE121))</f>
        <v>0</v>
      </c>
      <c r="DG115" s="37" t="n">
        <f aca="false">DG11*MAX(0,MIN(DG153-DG113-DG114,②시니어_가정!$E$452-DF121))</f>
        <v>0</v>
      </c>
      <c r="DH115" s="37" t="n">
        <f aca="false">DH11*MAX(0,MIN(DH153-DH113-DH114,②시니어_가정!$E$452-DG121))</f>
        <v>0</v>
      </c>
      <c r="DI115" s="37" t="n">
        <f aca="false">DI11*MAX(0,MIN(DI153-DI113-DI114,②시니어_가정!$E$452-DH121))</f>
        <v>0</v>
      </c>
      <c r="DJ115" s="37" t="n">
        <f aca="false">DJ11*MAX(0,MIN(DJ153-DJ113-DJ114,②시니어_가정!$E$452-DI121))</f>
        <v>0</v>
      </c>
      <c r="DK115" s="37" t="n">
        <f aca="false">DK11*MAX(0,MIN(DK153-DK113-DK114,②시니어_가정!$E$452-DJ121))</f>
        <v>0</v>
      </c>
      <c r="DL115" s="37" t="n">
        <f aca="false">DL11*MAX(0,MIN(DL153-DL113-DL114,②시니어_가정!$E$452-DK121))</f>
        <v>0</v>
      </c>
      <c r="DM115" s="37" t="n">
        <f aca="false">DM11*MAX(0,MIN(DM153-DM113-DM114,②시니어_가정!$E$452-DL121))</f>
        <v>0</v>
      </c>
      <c r="DN115" s="37" t="n">
        <f aca="false">DN11*MAX(0,MIN(DN153-DN113-DN114,②시니어_가정!$E$452-DM121))</f>
        <v>0</v>
      </c>
      <c r="DO115" s="37" t="n">
        <f aca="false">DO11*MAX(0,MIN(DO153-DO113-DO114,②시니어_가정!$E$452-DN121))</f>
        <v>0</v>
      </c>
      <c r="DP115" s="37" t="n">
        <f aca="false">DP11*MAX(0,MIN(DP153-DP113-DP114,②시니어_가정!$E$452-DO121))</f>
        <v>0</v>
      </c>
      <c r="DQ115" s="37" t="n">
        <f aca="false">DQ11*MAX(0,MIN(DQ153-DQ113-DQ114,②시니어_가정!$E$452-DP121))</f>
        <v>0</v>
      </c>
      <c r="DR115" s="37" t="n">
        <f aca="false">DR11*MAX(0,MIN(DR153-DR113-DR114,②시니어_가정!$E$452-DQ121))</f>
        <v>0</v>
      </c>
      <c r="DS115" s="37" t="n">
        <f aca="false">DS11*MAX(0,MIN(DS153-DS113-DS114,②시니어_가정!$E$452-DR121))</f>
        <v>0</v>
      </c>
      <c r="DT115" s="37" t="n">
        <f aca="false">DT11*MAX(0,MIN(DT153-DT113-DT114,②시니어_가정!$E$452-DS121))</f>
        <v>0</v>
      </c>
      <c r="DU115" s="37" t="n">
        <f aca="false">DU11*MAX(0,MIN(DU153-DU113-DU114,②시니어_가정!$E$452-DT121))</f>
        <v>0</v>
      </c>
      <c r="DV115" s="37" t="n">
        <f aca="false">DV11*MAX(0,MIN(DV153-DV113-DV114,②시니어_가정!$E$452-DU121))</f>
        <v>0</v>
      </c>
      <c r="DW115" s="37" t="n">
        <f aca="false">DW11*MAX(0,MIN(DW153-DW113-DW114,②시니어_가정!$E$452-DV121))</f>
        <v>0</v>
      </c>
      <c r="DX115" s="37" t="n">
        <f aca="false">DX11*MAX(0,MIN(DX153-DX113-DX114,②시니어_가정!$E$452-DW121))</f>
        <v>0</v>
      </c>
      <c r="DY115" s="37" t="n">
        <f aca="false">DY11*MAX(0,MIN(DY153-DY113-DY114,②시니어_가정!$E$452-DX121))</f>
        <v>0</v>
      </c>
      <c r="DZ115" s="37" t="n">
        <f aca="false">DZ11*MAX(0,MIN(DZ153-DZ113-DZ114,②시니어_가정!$E$452-DY121))</f>
        <v>0</v>
      </c>
      <c r="EA115" s="37" t="n">
        <f aca="false">EA11*MAX(0,MIN(EA153-EA113-EA114,②시니어_가정!$E$452-DZ121))</f>
        <v>0</v>
      </c>
      <c r="EB115" s="37" t="n">
        <f aca="false">EB11*MAX(0,MIN(EB153-EB113-EB114,②시니어_가정!$E$452-EA121))</f>
        <v>0</v>
      </c>
      <c r="EC115" s="37" t="n">
        <f aca="false">EC11*MAX(0,MIN(EC153-EC113-EC114,②시니어_가정!$E$452-EB121))</f>
        <v>0</v>
      </c>
      <c r="ED115" s="37" t="n">
        <f aca="false">ED11*MAX(0,MIN(ED153-ED113-ED114,②시니어_가정!$E$452-EC121))</f>
        <v>0</v>
      </c>
      <c r="EE115" s="37" t="n">
        <f aca="false">EE11*MAX(0,MIN(EE153-EE113-EE114,②시니어_가정!$E$452-ED121))</f>
        <v>0</v>
      </c>
      <c r="EF115" s="37" t="n">
        <f aca="false">EF11*MAX(0,MIN(EF153-EF113-EF114,②시니어_가정!$E$452-EE121))</f>
        <v>0</v>
      </c>
    </row>
    <row r="116" customFormat="false" ht="15" hidden="false" customHeight="false" outlineLevel="0" collapsed="false">
      <c r="A116" s="284" t="s">
        <v>655</v>
      </c>
      <c r="B116" s="281" t="s">
        <v>21</v>
      </c>
      <c r="C116" s="282" t="n">
        <f aca="false">SUM(E116:EF116)</f>
        <v>27207.3003100127</v>
      </c>
      <c r="D116" s="48"/>
      <c r="E116" s="283" t="n">
        <f aca="false">E115+E114+E113</f>
        <v>0</v>
      </c>
      <c r="F116" s="283" t="n">
        <f aca="false">F115+F114+F113</f>
        <v>0</v>
      </c>
      <c r="G116" s="283" t="n">
        <f aca="false">G115+G114+G113</f>
        <v>0</v>
      </c>
      <c r="H116" s="283" t="n">
        <f aca="false">H115+H114+H113</f>
        <v>0</v>
      </c>
      <c r="I116" s="283" t="n">
        <f aca="false">I115+I114+I113</f>
        <v>0</v>
      </c>
      <c r="J116" s="283" t="n">
        <f aca="false">J115+J114+J113</f>
        <v>0</v>
      </c>
      <c r="K116" s="283" t="n">
        <f aca="false">K115+K114+K113</f>
        <v>0</v>
      </c>
      <c r="L116" s="283" t="n">
        <f aca="false">L115+L114+L113</f>
        <v>0</v>
      </c>
      <c r="M116" s="283" t="n">
        <f aca="false">M115+M114+M113</f>
        <v>0</v>
      </c>
      <c r="N116" s="283" t="n">
        <f aca="false">N115+N114+N113</f>
        <v>0</v>
      </c>
      <c r="O116" s="283" t="n">
        <f aca="false">O115+O114+O113</f>
        <v>0</v>
      </c>
      <c r="P116" s="283" t="n">
        <f aca="false">P115+P114+P113</f>
        <v>0</v>
      </c>
      <c r="Q116" s="283" t="n">
        <f aca="false">Q115+Q114+Q113</f>
        <v>0</v>
      </c>
      <c r="R116" s="283" t="n">
        <f aca="false">R115+R114+R113</f>
        <v>0</v>
      </c>
      <c r="S116" s="283" t="n">
        <f aca="false">S115+S114+S113</f>
        <v>0</v>
      </c>
      <c r="T116" s="283" t="n">
        <f aca="false">T115+T114+T113</f>
        <v>0</v>
      </c>
      <c r="U116" s="283" t="n">
        <f aca="false">U115+U114+U113</f>
        <v>0</v>
      </c>
      <c r="V116" s="283" t="n">
        <f aca="false">V115+V114+V113</f>
        <v>0</v>
      </c>
      <c r="W116" s="283" t="n">
        <f aca="false">W115+W114+W113</f>
        <v>0</v>
      </c>
      <c r="X116" s="283" t="n">
        <f aca="false">X115+X114+X113</f>
        <v>0</v>
      </c>
      <c r="Y116" s="283" t="n">
        <f aca="false">Y115+Y114+Y113</f>
        <v>0</v>
      </c>
      <c r="Z116" s="283" t="n">
        <f aca="false">Z115+Z114+Z113</f>
        <v>0</v>
      </c>
      <c r="AA116" s="283" t="n">
        <f aca="false">AA115+AA114+AA113</f>
        <v>0</v>
      </c>
      <c r="AB116" s="283" t="n">
        <f aca="false">AB115+AB114+AB113</f>
        <v>0</v>
      </c>
      <c r="AC116" s="283" t="n">
        <f aca="false">AC115+AC114+AC113</f>
        <v>0</v>
      </c>
      <c r="AD116" s="283" t="n">
        <f aca="false">AD115+AD114+AD113</f>
        <v>0</v>
      </c>
      <c r="AE116" s="283" t="n">
        <f aca="false">AE115+AE114+AE113</f>
        <v>0</v>
      </c>
      <c r="AF116" s="283" t="n">
        <f aca="false">AF115+AF114+AF113</f>
        <v>0</v>
      </c>
      <c r="AG116" s="283" t="n">
        <f aca="false">AG115+AG114+AG113</f>
        <v>0</v>
      </c>
      <c r="AH116" s="283" t="n">
        <f aca="false">AH115+AH114+AH113</f>
        <v>0</v>
      </c>
      <c r="AI116" s="283" t="n">
        <f aca="false">AI115+AI114+AI113</f>
        <v>0</v>
      </c>
      <c r="AJ116" s="283" t="n">
        <f aca="false">AJ115+AJ114+AJ113</f>
        <v>0</v>
      </c>
      <c r="AK116" s="283" t="n">
        <f aca="false">AK115+AK114+AK113</f>
        <v>0</v>
      </c>
      <c r="AL116" s="283" t="n">
        <f aca="false">AL115+AL114+AL113</f>
        <v>0</v>
      </c>
      <c r="AM116" s="283" t="n">
        <f aca="false">AM115+AM114+AM113</f>
        <v>0</v>
      </c>
      <c r="AN116" s="283" t="n">
        <f aca="false">AN115+AN114+AN113</f>
        <v>0</v>
      </c>
      <c r="AO116" s="283" t="n">
        <f aca="false">AO115+AO114+AO113</f>
        <v>0</v>
      </c>
      <c r="AP116" s="283" t="n">
        <f aca="false">AP115+AP114+AP113</f>
        <v>0</v>
      </c>
      <c r="AQ116" s="283" t="n">
        <f aca="false">AQ115+AQ114+AQ113</f>
        <v>0</v>
      </c>
      <c r="AR116" s="283" t="n">
        <f aca="false">AR115+AR114+AR113</f>
        <v>0</v>
      </c>
      <c r="AS116" s="283" t="n">
        <f aca="false">AS115+AS114+AS113</f>
        <v>0</v>
      </c>
      <c r="AT116" s="283" t="n">
        <f aca="false">AT115+AT114+AT113</f>
        <v>0</v>
      </c>
      <c r="AU116" s="283" t="n">
        <f aca="false">AU115+AU114+AU113</f>
        <v>0</v>
      </c>
      <c r="AV116" s="283" t="n">
        <f aca="false">AV115+AV114+AV113</f>
        <v>0</v>
      </c>
      <c r="AW116" s="283" t="n">
        <f aca="false">AW115+AW114+AW113</f>
        <v>0</v>
      </c>
      <c r="AX116" s="283" t="n">
        <f aca="false">AX115+AX114+AX113</f>
        <v>7885.82488989843</v>
      </c>
      <c r="AY116" s="283" t="n">
        <f aca="false">AY115+AY114+AY113</f>
        <v>9857.36834248194</v>
      </c>
      <c r="AZ116" s="283" t="n">
        <f aca="false">AZ115+AZ114+AZ113</f>
        <v>9464.10707763236</v>
      </c>
      <c r="BA116" s="283" t="n">
        <f aca="false">BA115+BA114+BA113</f>
        <v>0</v>
      </c>
      <c r="BB116" s="283" t="n">
        <f aca="false">BB115+BB114+BB113</f>
        <v>0</v>
      </c>
      <c r="BC116" s="283" t="n">
        <f aca="false">BC115+BC114+BC113</f>
        <v>0</v>
      </c>
      <c r="BD116" s="283" t="n">
        <f aca="false">BD115+BD114+BD113</f>
        <v>0</v>
      </c>
      <c r="BE116" s="283" t="n">
        <f aca="false">BE115+BE114+BE113</f>
        <v>0</v>
      </c>
      <c r="BF116" s="283" t="n">
        <f aca="false">BF115+BF114+BF113</f>
        <v>0</v>
      </c>
      <c r="BG116" s="283" t="n">
        <f aca="false">BG115+BG114+BG113</f>
        <v>0</v>
      </c>
      <c r="BH116" s="283" t="n">
        <f aca="false">BH115+BH114+BH113</f>
        <v>0</v>
      </c>
      <c r="BI116" s="283" t="n">
        <f aca="false">BI115+BI114+BI113</f>
        <v>0</v>
      </c>
      <c r="BJ116" s="283" t="n">
        <f aca="false">BJ115+BJ114+BJ113</f>
        <v>0</v>
      </c>
      <c r="BK116" s="283" t="n">
        <f aca="false">BK115+BK114+BK113</f>
        <v>0</v>
      </c>
      <c r="BL116" s="283" t="n">
        <f aca="false">BL115+BL114+BL113</f>
        <v>0</v>
      </c>
      <c r="BM116" s="283" t="n">
        <f aca="false">BM115+BM114+BM113</f>
        <v>0</v>
      </c>
      <c r="BN116" s="283" t="n">
        <f aca="false">BN115+BN114+BN113</f>
        <v>0</v>
      </c>
      <c r="BO116" s="283" t="n">
        <f aca="false">BO115+BO114+BO113</f>
        <v>0</v>
      </c>
      <c r="BP116" s="283" t="n">
        <f aca="false">BP115+BP114+BP113</f>
        <v>0</v>
      </c>
      <c r="BQ116" s="283" t="n">
        <f aca="false">BQ115+BQ114+BQ113</f>
        <v>0</v>
      </c>
      <c r="BR116" s="283" t="n">
        <f aca="false">BR115+BR114+BR113</f>
        <v>0</v>
      </c>
      <c r="BS116" s="283" t="n">
        <f aca="false">BS115+BS114+BS113</f>
        <v>0</v>
      </c>
      <c r="BT116" s="283" t="n">
        <f aca="false">BT115+BT114+BT113</f>
        <v>0</v>
      </c>
      <c r="BU116" s="283" t="n">
        <f aca="false">BU115+BU114+BU113</f>
        <v>0</v>
      </c>
      <c r="BV116" s="283" t="n">
        <f aca="false">BV115+BV114+BV113</f>
        <v>0</v>
      </c>
      <c r="BW116" s="283" t="n">
        <f aca="false">BW115+BW114+BW113</f>
        <v>0</v>
      </c>
      <c r="BX116" s="283" t="n">
        <f aca="false">BX115+BX114+BX113</f>
        <v>0</v>
      </c>
      <c r="BY116" s="283" t="n">
        <f aca="false">BY115+BY114+BY113</f>
        <v>0</v>
      </c>
      <c r="BZ116" s="283" t="n">
        <f aca="false">BZ115+BZ114+BZ113</f>
        <v>0</v>
      </c>
      <c r="CA116" s="283" t="n">
        <f aca="false">CA115+CA114+CA113</f>
        <v>0</v>
      </c>
      <c r="CB116" s="283" t="n">
        <f aca="false">CB115+CB114+CB113</f>
        <v>0</v>
      </c>
      <c r="CC116" s="283" t="n">
        <f aca="false">CC115+CC114+CC113</f>
        <v>0</v>
      </c>
      <c r="CD116" s="283" t="n">
        <f aca="false">CD115+CD114+CD113</f>
        <v>0</v>
      </c>
      <c r="CE116" s="283" t="n">
        <f aca="false">CE115+CE114+CE113</f>
        <v>0</v>
      </c>
      <c r="CF116" s="283" t="n">
        <f aca="false">CF115+CF114+CF113</f>
        <v>0</v>
      </c>
      <c r="CG116" s="283" t="n">
        <f aca="false">CG115+CG114+CG113</f>
        <v>0</v>
      </c>
      <c r="CH116" s="283" t="n">
        <f aca="false">CH115+CH114+CH113</f>
        <v>0</v>
      </c>
      <c r="CI116" s="283" t="n">
        <f aca="false">CI115+CI114+CI113</f>
        <v>0</v>
      </c>
      <c r="CJ116" s="283" t="n">
        <f aca="false">CJ115+CJ114+CJ113</f>
        <v>0</v>
      </c>
      <c r="CK116" s="283" t="n">
        <f aca="false">CK115+CK114+CK113</f>
        <v>0</v>
      </c>
      <c r="CL116" s="283" t="n">
        <f aca="false">CL115+CL114+CL113</f>
        <v>0</v>
      </c>
      <c r="CM116" s="283" t="n">
        <f aca="false">CM115+CM114+CM113</f>
        <v>0</v>
      </c>
      <c r="CN116" s="283" t="n">
        <f aca="false">CN115+CN114+CN113</f>
        <v>0</v>
      </c>
      <c r="CO116" s="283" t="n">
        <f aca="false">CO115+CO114+CO113</f>
        <v>0</v>
      </c>
      <c r="CP116" s="283" t="n">
        <f aca="false">CP115+CP114+CP113</f>
        <v>0</v>
      </c>
      <c r="CQ116" s="283" t="n">
        <f aca="false">CQ115+CQ114+CQ113</f>
        <v>0</v>
      </c>
      <c r="CR116" s="283" t="n">
        <f aca="false">CR115+CR114+CR113</f>
        <v>0</v>
      </c>
      <c r="CS116" s="283" t="n">
        <f aca="false">CS115+CS114+CS113</f>
        <v>0</v>
      </c>
      <c r="CT116" s="283" t="n">
        <f aca="false">CT115+CT114+CT113</f>
        <v>0</v>
      </c>
      <c r="CU116" s="283" t="n">
        <f aca="false">CU115+CU114+CU113</f>
        <v>0</v>
      </c>
      <c r="CV116" s="283" t="n">
        <f aca="false">CV115+CV114+CV113</f>
        <v>0</v>
      </c>
      <c r="CW116" s="283" t="n">
        <f aca="false">CW115+CW114+CW113</f>
        <v>0</v>
      </c>
      <c r="CX116" s="283" t="n">
        <f aca="false">CX115+CX114+CX113</f>
        <v>0</v>
      </c>
      <c r="CY116" s="283" t="n">
        <f aca="false">CY115+CY114+CY113</f>
        <v>0</v>
      </c>
      <c r="CZ116" s="283" t="n">
        <f aca="false">CZ115+CZ114+CZ113</f>
        <v>0</v>
      </c>
      <c r="DA116" s="283" t="n">
        <f aca="false">DA115+DA114+DA113</f>
        <v>0</v>
      </c>
      <c r="DB116" s="283" t="n">
        <f aca="false">DB115+DB114+DB113</f>
        <v>0</v>
      </c>
      <c r="DC116" s="283" t="n">
        <f aca="false">DC115+DC114+DC113</f>
        <v>0</v>
      </c>
      <c r="DD116" s="283" t="n">
        <f aca="false">DD115+DD114+DD113</f>
        <v>0</v>
      </c>
      <c r="DE116" s="283" t="n">
        <f aca="false">DE115+DE114+DE113</f>
        <v>0</v>
      </c>
      <c r="DF116" s="283" t="n">
        <f aca="false">DF115+DF114+DF113</f>
        <v>0</v>
      </c>
      <c r="DG116" s="283" t="n">
        <f aca="false">DG115+DG114+DG113</f>
        <v>0</v>
      </c>
      <c r="DH116" s="283" t="n">
        <f aca="false">DH115+DH114+DH113</f>
        <v>0</v>
      </c>
      <c r="DI116" s="283" t="n">
        <f aca="false">DI115+DI114+DI113</f>
        <v>0</v>
      </c>
      <c r="DJ116" s="283" t="n">
        <f aca="false">DJ115+DJ114+DJ113</f>
        <v>0</v>
      </c>
      <c r="DK116" s="283" t="n">
        <f aca="false">DK115+DK114+DK113</f>
        <v>0</v>
      </c>
      <c r="DL116" s="283" t="n">
        <f aca="false">DL115+DL114+DL113</f>
        <v>0</v>
      </c>
      <c r="DM116" s="283" t="n">
        <f aca="false">DM115+DM114+DM113</f>
        <v>0</v>
      </c>
      <c r="DN116" s="283" t="n">
        <f aca="false">DN115+DN114+DN113</f>
        <v>0</v>
      </c>
      <c r="DO116" s="283" t="n">
        <f aca="false">DO115+DO114+DO113</f>
        <v>0</v>
      </c>
      <c r="DP116" s="283" t="n">
        <f aca="false">DP115+DP114+DP113</f>
        <v>0</v>
      </c>
      <c r="DQ116" s="283" t="n">
        <f aca="false">DQ115+DQ114+DQ113</f>
        <v>0</v>
      </c>
      <c r="DR116" s="283" t="n">
        <f aca="false">DR115+DR114+DR113</f>
        <v>0</v>
      </c>
      <c r="DS116" s="283" t="n">
        <f aca="false">DS115+DS114+DS113</f>
        <v>0</v>
      </c>
      <c r="DT116" s="283" t="n">
        <f aca="false">DT115+DT114+DT113</f>
        <v>0</v>
      </c>
      <c r="DU116" s="283" t="n">
        <f aca="false">DU115+DU114+DU113</f>
        <v>0</v>
      </c>
      <c r="DV116" s="283" t="n">
        <f aca="false">DV115+DV114+DV113</f>
        <v>0</v>
      </c>
      <c r="DW116" s="283" t="n">
        <f aca="false">DW115+DW114+DW113</f>
        <v>0</v>
      </c>
      <c r="DX116" s="283" t="n">
        <f aca="false">DX115+DX114+DX113</f>
        <v>0</v>
      </c>
      <c r="DY116" s="283" t="n">
        <f aca="false">DY115+DY114+DY113</f>
        <v>0</v>
      </c>
      <c r="DZ116" s="283" t="n">
        <f aca="false">DZ115+DZ114+DZ113</f>
        <v>0</v>
      </c>
      <c r="EA116" s="283" t="n">
        <f aca="false">EA115+EA114+EA113</f>
        <v>0</v>
      </c>
      <c r="EB116" s="283" t="n">
        <f aca="false">EB115+EB114+EB113</f>
        <v>0</v>
      </c>
      <c r="EC116" s="283" t="n">
        <f aca="false">EC115+EC114+EC113</f>
        <v>0</v>
      </c>
      <c r="ED116" s="283" t="n">
        <f aca="false">ED115+ED114+ED113</f>
        <v>0</v>
      </c>
      <c r="EE116" s="283" t="n">
        <f aca="false">EE115+EE114+EE113</f>
        <v>0</v>
      </c>
      <c r="EF116" s="283" t="n">
        <f aca="false">EF115+EF114+EF113</f>
        <v>0</v>
      </c>
    </row>
    <row r="117" customFormat="false" ht="15" hidden="false" customHeight="false" outlineLevel="0" collapsed="false">
      <c r="A117" s="153" t="s">
        <v>656</v>
      </c>
      <c r="B117" s="278" t="s">
        <v>21</v>
      </c>
      <c r="C117" s="279" t="n">
        <f aca="false">SUM(E117:EF117)</f>
        <v>0</v>
      </c>
      <c r="E117" s="37" t="n">
        <f aca="false">IF(E6=②시니어_가정!$E$16,0+E115,0)</f>
        <v>0</v>
      </c>
      <c r="F117" s="37" t="n">
        <f aca="false">IF(F6=②시니어_가정!$E$16,E121+F115,0)</f>
        <v>0</v>
      </c>
      <c r="G117" s="37" t="n">
        <f aca="false">IF(G6=②시니어_가정!$E$16,F121+G115,0)</f>
        <v>0</v>
      </c>
      <c r="H117" s="37" t="n">
        <f aca="false">IF(H6=②시니어_가정!$E$16,G121+H115,0)</f>
        <v>0</v>
      </c>
      <c r="I117" s="37" t="n">
        <f aca="false">IF(I6=②시니어_가정!$E$16,H121+I115,0)</f>
        <v>0</v>
      </c>
      <c r="J117" s="37" t="n">
        <f aca="false">IF(J6=②시니어_가정!$E$16,I121+J115,0)</f>
        <v>0</v>
      </c>
      <c r="K117" s="37" t="n">
        <f aca="false">IF(K6=②시니어_가정!$E$16,J121+K115,0)</f>
        <v>0</v>
      </c>
      <c r="L117" s="37" t="n">
        <f aca="false">IF(L6=②시니어_가정!$E$16,K121+L115,0)</f>
        <v>0</v>
      </c>
      <c r="M117" s="37" t="n">
        <f aca="false">IF(M6=②시니어_가정!$E$16,L121+M115,0)</f>
        <v>0</v>
      </c>
      <c r="N117" s="37" t="n">
        <f aca="false">IF(N6=②시니어_가정!$E$16,M121+N115,0)</f>
        <v>0</v>
      </c>
      <c r="O117" s="37" t="n">
        <f aca="false">IF(O6=②시니어_가정!$E$16,N121+O115,0)</f>
        <v>0</v>
      </c>
      <c r="P117" s="37" t="n">
        <f aca="false">IF(P6=②시니어_가정!$E$16,O121+P115,0)</f>
        <v>0</v>
      </c>
      <c r="Q117" s="37" t="n">
        <f aca="false">IF(Q6=②시니어_가정!$E$16,P121+Q115,0)</f>
        <v>0</v>
      </c>
      <c r="R117" s="37" t="n">
        <f aca="false">IF(R6=②시니어_가정!$E$16,Q121+R115,0)</f>
        <v>0</v>
      </c>
      <c r="S117" s="37" t="n">
        <f aca="false">IF(S6=②시니어_가정!$E$16,R121+S115,0)</f>
        <v>0</v>
      </c>
      <c r="T117" s="37" t="n">
        <f aca="false">IF(T6=②시니어_가정!$E$16,S121+T115,0)</f>
        <v>0</v>
      </c>
      <c r="U117" s="37" t="n">
        <f aca="false">IF(U6=②시니어_가정!$E$16,T121+U115,0)</f>
        <v>0</v>
      </c>
      <c r="V117" s="37" t="n">
        <f aca="false">IF(V6=②시니어_가정!$E$16,U121+V115,0)</f>
        <v>0</v>
      </c>
      <c r="W117" s="37" t="n">
        <f aca="false">IF(W6=②시니어_가정!$E$16,V121+W115,0)</f>
        <v>0</v>
      </c>
      <c r="X117" s="37" t="n">
        <f aca="false">IF(X6=②시니어_가정!$E$16,W121+X115,0)</f>
        <v>0</v>
      </c>
      <c r="Y117" s="37" t="n">
        <f aca="false">IF(Y6=②시니어_가정!$E$16,X121+Y115,0)</f>
        <v>0</v>
      </c>
      <c r="Z117" s="37" t="n">
        <f aca="false">IF(Z6=②시니어_가정!$E$16,Y121+Z115,0)</f>
        <v>0</v>
      </c>
      <c r="AA117" s="37" t="n">
        <f aca="false">IF(AA6=②시니어_가정!$E$16,Z121+AA115,0)</f>
        <v>0</v>
      </c>
      <c r="AB117" s="37" t="n">
        <f aca="false">IF(AB6=②시니어_가정!$E$16,AA121+AB115,0)</f>
        <v>0</v>
      </c>
      <c r="AC117" s="37" t="n">
        <f aca="false">IF(AC6=②시니어_가정!$E$16,AB121+AC115,0)</f>
        <v>0</v>
      </c>
      <c r="AD117" s="37" t="n">
        <f aca="false">IF(AD6=②시니어_가정!$E$16,AC121+AD115,0)</f>
        <v>0</v>
      </c>
      <c r="AE117" s="37" t="n">
        <f aca="false">IF(AE6=②시니어_가정!$E$16,AD121+AE115,0)</f>
        <v>0</v>
      </c>
      <c r="AF117" s="37" t="n">
        <f aca="false">IF(AF6=②시니어_가정!$E$16,AE121+AF115,0)</f>
        <v>0</v>
      </c>
      <c r="AG117" s="37" t="n">
        <f aca="false">IF(AG6=②시니어_가정!$E$16,AF121+AG115,0)</f>
        <v>0</v>
      </c>
      <c r="AH117" s="37" t="n">
        <f aca="false">IF(AH6=②시니어_가정!$E$16,AG121+AH115,0)</f>
        <v>0</v>
      </c>
      <c r="AI117" s="37" t="n">
        <f aca="false">IF(AI6=②시니어_가정!$E$16,AH121+AI115,0)</f>
        <v>0</v>
      </c>
      <c r="AJ117" s="37" t="n">
        <f aca="false">IF(AJ6=②시니어_가정!$E$16,AI121+AJ115,0)</f>
        <v>0</v>
      </c>
      <c r="AK117" s="37" t="n">
        <f aca="false">IF(AK6=②시니어_가정!$E$16,AJ121+AK115,0)</f>
        <v>0</v>
      </c>
      <c r="AL117" s="37" t="n">
        <f aca="false">IF(AL6=②시니어_가정!$E$16,AK121+AL115,0)</f>
        <v>0</v>
      </c>
      <c r="AM117" s="37" t="n">
        <f aca="false">IF(AM6=②시니어_가정!$E$16,AL121+AM115,0)</f>
        <v>0</v>
      </c>
      <c r="AN117" s="37" t="n">
        <f aca="false">IF(AN6=②시니어_가정!$E$16,AM121+AN115,0)</f>
        <v>0</v>
      </c>
      <c r="AO117" s="37" t="n">
        <f aca="false">IF(AO6=②시니어_가정!$E$16,AN121+AO115,0)</f>
        <v>0</v>
      </c>
      <c r="AP117" s="37" t="n">
        <f aca="false">IF(AP6=②시니어_가정!$E$16,AO121+AP115,0)</f>
        <v>0</v>
      </c>
      <c r="AQ117" s="37" t="n">
        <f aca="false">IF(AQ6=②시니어_가정!$E$16,AP121+AQ115,0)</f>
        <v>0</v>
      </c>
      <c r="AR117" s="37" t="n">
        <f aca="false">IF(AR6=②시니어_가정!$E$16,AQ121+AR115,0)</f>
        <v>0</v>
      </c>
      <c r="AS117" s="37" t="n">
        <f aca="false">IF(AS6=②시니어_가정!$E$16,AR121+AS115,0)</f>
        <v>0</v>
      </c>
      <c r="AT117" s="37" t="n">
        <f aca="false">IF(AT6=②시니어_가정!$E$16,AS121+AT115,0)</f>
        <v>0</v>
      </c>
      <c r="AU117" s="37" t="n">
        <f aca="false">IF(AU6=②시니어_가정!$E$16,AT121+AU115,0)</f>
        <v>0</v>
      </c>
      <c r="AV117" s="37" t="n">
        <f aca="false">IF(AV6=②시니어_가정!$E$16,AU121+AV115,0)</f>
        <v>0</v>
      </c>
      <c r="AW117" s="37" t="n">
        <f aca="false">IF(AW6=②시니어_가정!$E$16,AV121+AW115,0)</f>
        <v>0</v>
      </c>
      <c r="AX117" s="37" t="n">
        <f aca="false">IF(AX6=②시니어_가정!$E$16,AW121+AX115,0)</f>
        <v>0</v>
      </c>
      <c r="AY117" s="37" t="n">
        <f aca="false">IF(AY6=②시니어_가정!$E$16,AX121+AY115,0)</f>
        <v>0</v>
      </c>
      <c r="AZ117" s="37" t="n">
        <f aca="false">IF(AZ6=②시니어_가정!$E$16,AY121+AZ115,0)</f>
        <v>0</v>
      </c>
      <c r="BA117" s="37" t="n">
        <f aca="false">IF(BA6=②시니어_가정!$E$16,AZ121+BA115,0)</f>
        <v>0</v>
      </c>
      <c r="BB117" s="37" t="n">
        <f aca="false">IF(BB6=②시니어_가정!$E$16,BA121+BB115,0)</f>
        <v>0</v>
      </c>
      <c r="BC117" s="37" t="n">
        <f aca="false">IF(BC6=②시니어_가정!$E$16,BB121+BC115,0)</f>
        <v>0</v>
      </c>
      <c r="BD117" s="37" t="n">
        <f aca="false">IF(BD6=②시니어_가정!$E$16,BC121+BD115,0)</f>
        <v>0</v>
      </c>
      <c r="BE117" s="37" t="n">
        <f aca="false">IF(BE6=②시니어_가정!$E$16,BD121+BE115,0)</f>
        <v>0</v>
      </c>
      <c r="BF117" s="37" t="n">
        <f aca="false">IF(BF6=②시니어_가정!$E$16,BE121+BF115,0)</f>
        <v>0</v>
      </c>
      <c r="BG117" s="37" t="n">
        <f aca="false">IF(BG6=②시니어_가정!$E$16,BF121+BG115,0)</f>
        <v>0</v>
      </c>
      <c r="BH117" s="37" t="n">
        <f aca="false">IF(BH6=②시니어_가정!$E$16,BG121+BH115,0)</f>
        <v>0</v>
      </c>
      <c r="BI117" s="37" t="n">
        <f aca="false">IF(BI6=②시니어_가정!$E$16,BH121+BI115,0)</f>
        <v>0</v>
      </c>
      <c r="BJ117" s="37" t="n">
        <f aca="false">IF(BJ6=②시니어_가정!$E$16,BI121+BJ115,0)</f>
        <v>0</v>
      </c>
      <c r="BK117" s="37" t="n">
        <f aca="false">IF(BK6=②시니어_가정!$E$16,BJ121+BK115,0)</f>
        <v>0</v>
      </c>
      <c r="BL117" s="37" t="n">
        <f aca="false">IF(BL6=②시니어_가정!$E$16,BK121+BL115,0)</f>
        <v>0</v>
      </c>
      <c r="BM117" s="37" t="n">
        <f aca="false">IF(BM6=②시니어_가정!$E$16,BL121+BM115,0)</f>
        <v>0</v>
      </c>
      <c r="BN117" s="37" t="n">
        <f aca="false">IF(BN6=②시니어_가정!$E$16,BM121+BN115,0)</f>
        <v>0</v>
      </c>
      <c r="BO117" s="37" t="n">
        <f aca="false">IF(BO6=②시니어_가정!$E$16,BN121+BO115,0)</f>
        <v>0</v>
      </c>
      <c r="BP117" s="37" t="n">
        <f aca="false">IF(BP6=②시니어_가정!$E$16,BO121+BP115,0)</f>
        <v>0</v>
      </c>
      <c r="BQ117" s="37" t="n">
        <f aca="false">IF(BQ6=②시니어_가정!$E$16,BP121+BQ115,0)</f>
        <v>0</v>
      </c>
      <c r="BR117" s="37" t="n">
        <f aca="false">IF(BR6=②시니어_가정!$E$16,BQ121+BR115,0)</f>
        <v>0</v>
      </c>
      <c r="BS117" s="37" t="n">
        <f aca="false">IF(BS6=②시니어_가정!$E$16,BR121+BS115,0)</f>
        <v>0</v>
      </c>
      <c r="BT117" s="37" t="n">
        <f aca="false">IF(BT6=②시니어_가정!$E$16,BS121+BT115,0)</f>
        <v>0</v>
      </c>
      <c r="BU117" s="37" t="n">
        <f aca="false">IF(BU6=②시니어_가정!$E$16,BT121+BU115,0)</f>
        <v>0</v>
      </c>
      <c r="BV117" s="37" t="n">
        <f aca="false">IF(BV6=②시니어_가정!$E$16,BU121+BV115,0)</f>
        <v>0</v>
      </c>
      <c r="BW117" s="37" t="n">
        <f aca="false">IF(BW6=②시니어_가정!$E$16,BV121+BW115,0)</f>
        <v>0</v>
      </c>
      <c r="BX117" s="37" t="n">
        <f aca="false">IF(BX6=②시니어_가정!$E$16,BW121+BX115,0)</f>
        <v>0</v>
      </c>
      <c r="BY117" s="37" t="n">
        <f aca="false">IF(BY6=②시니어_가정!$E$16,BX121+BY115,0)</f>
        <v>0</v>
      </c>
      <c r="BZ117" s="37" t="n">
        <f aca="false">IF(BZ6=②시니어_가정!$E$16,BY121+BZ115,0)</f>
        <v>0</v>
      </c>
      <c r="CA117" s="37" t="n">
        <f aca="false">IF(CA6=②시니어_가정!$E$16,BZ121+CA115,0)</f>
        <v>0</v>
      </c>
      <c r="CB117" s="37" t="n">
        <f aca="false">IF(CB6=②시니어_가정!$E$16,CA121+CB115,0)</f>
        <v>0</v>
      </c>
      <c r="CC117" s="37" t="n">
        <f aca="false">IF(CC6=②시니어_가정!$E$16,CB121+CC115,0)</f>
        <v>0</v>
      </c>
      <c r="CD117" s="37" t="n">
        <f aca="false">IF(CD6=②시니어_가정!$E$16,CC121+CD115,0)</f>
        <v>0</v>
      </c>
      <c r="CE117" s="37" t="n">
        <f aca="false">IF(CE6=②시니어_가정!$E$16,CD121+CE115,0)</f>
        <v>0</v>
      </c>
      <c r="CF117" s="37" t="n">
        <f aca="false">IF(CF6=②시니어_가정!$E$16,CE121+CF115,0)</f>
        <v>0</v>
      </c>
      <c r="CG117" s="37" t="n">
        <f aca="false">IF(CG6=②시니어_가정!$E$16,CF121+CG115,0)</f>
        <v>0</v>
      </c>
      <c r="CH117" s="37" t="n">
        <f aca="false">IF(CH6=②시니어_가정!$E$16,CG121+CH115,0)</f>
        <v>0</v>
      </c>
      <c r="CI117" s="37" t="n">
        <f aca="false">IF(CI6=②시니어_가정!$E$16,CH121+CI115,0)</f>
        <v>0</v>
      </c>
      <c r="CJ117" s="37" t="n">
        <f aca="false">IF(CJ6=②시니어_가정!$E$16,CI121+CJ115,0)</f>
        <v>0</v>
      </c>
      <c r="CK117" s="37" t="n">
        <f aca="false">IF(CK6=②시니어_가정!$E$16,CJ121+CK115,0)</f>
        <v>0</v>
      </c>
      <c r="CL117" s="37" t="n">
        <f aca="false">IF(CL6=②시니어_가정!$E$16,CK121+CL115,0)</f>
        <v>0</v>
      </c>
      <c r="CM117" s="37" t="n">
        <f aca="false">IF(CM6=②시니어_가정!$E$16,CL121+CM115,0)</f>
        <v>0</v>
      </c>
      <c r="CN117" s="37" t="n">
        <f aca="false">IF(CN6=②시니어_가정!$E$16,CM121+CN115,0)</f>
        <v>0</v>
      </c>
      <c r="CO117" s="37" t="n">
        <f aca="false">IF(CO6=②시니어_가정!$E$16,CN121+CO115,0)</f>
        <v>0</v>
      </c>
      <c r="CP117" s="37" t="n">
        <f aca="false">IF(CP6=②시니어_가정!$E$16,CO121+CP115,0)</f>
        <v>0</v>
      </c>
      <c r="CQ117" s="37" t="n">
        <f aca="false">IF(CQ6=②시니어_가정!$E$16,CP121+CQ115,0)</f>
        <v>0</v>
      </c>
      <c r="CR117" s="37" t="n">
        <f aca="false">IF(CR6=②시니어_가정!$E$16,CQ121+CR115,0)</f>
        <v>0</v>
      </c>
      <c r="CS117" s="37" t="n">
        <f aca="false">IF(CS6=②시니어_가정!$E$16,CR121+CS115,0)</f>
        <v>0</v>
      </c>
      <c r="CT117" s="37" t="n">
        <f aca="false">IF(CT6=②시니어_가정!$E$16,CS121+CT115,0)</f>
        <v>0</v>
      </c>
      <c r="CU117" s="37" t="n">
        <f aca="false">IF(CU6=②시니어_가정!$E$16,CT121+CU115,0)</f>
        <v>0</v>
      </c>
      <c r="CV117" s="37" t="n">
        <f aca="false">IF(CV6=②시니어_가정!$E$16,CU121+CV115,0)</f>
        <v>0</v>
      </c>
      <c r="CW117" s="37" t="n">
        <f aca="false">IF(CW6=②시니어_가정!$E$16,CV121+CW115,0)</f>
        <v>0</v>
      </c>
      <c r="CX117" s="37" t="n">
        <f aca="false">IF(CX6=②시니어_가정!$E$16,CW121+CX115,0)</f>
        <v>0</v>
      </c>
      <c r="CY117" s="37" t="n">
        <f aca="false">IF(CY6=②시니어_가정!$E$16,CX121+CY115,0)</f>
        <v>0</v>
      </c>
      <c r="CZ117" s="37" t="n">
        <f aca="false">IF(CZ6=②시니어_가정!$E$16,CY121+CZ115,0)</f>
        <v>0</v>
      </c>
      <c r="DA117" s="37" t="n">
        <f aca="false">IF(DA6=②시니어_가정!$E$16,CZ121+DA115,0)</f>
        <v>0</v>
      </c>
      <c r="DB117" s="37" t="n">
        <f aca="false">IF(DB6=②시니어_가정!$E$16,DA121+DB115,0)</f>
        <v>0</v>
      </c>
      <c r="DC117" s="37" t="n">
        <f aca="false">IF(DC6=②시니어_가정!$E$16,DB121+DC115,0)</f>
        <v>0</v>
      </c>
      <c r="DD117" s="37" t="n">
        <f aca="false">IF(DD6=②시니어_가정!$E$16,DC121+DD115,0)</f>
        <v>0</v>
      </c>
      <c r="DE117" s="37" t="n">
        <f aca="false">IF(DE6=②시니어_가정!$E$16,DD121+DE115,0)</f>
        <v>0</v>
      </c>
      <c r="DF117" s="37" t="n">
        <f aca="false">IF(DF6=②시니어_가정!$E$16,DE121+DF115,0)</f>
        <v>0</v>
      </c>
      <c r="DG117" s="37" t="n">
        <f aca="false">IF(DG6=②시니어_가정!$E$16,DF121+DG115,0)</f>
        <v>0</v>
      </c>
      <c r="DH117" s="37" t="n">
        <f aca="false">IF(DH6=②시니어_가정!$E$16,DG121+DH115,0)</f>
        <v>0</v>
      </c>
      <c r="DI117" s="37" t="n">
        <f aca="false">IF(DI6=②시니어_가정!$E$16,DH121+DI115,0)</f>
        <v>0</v>
      </c>
      <c r="DJ117" s="37" t="n">
        <f aca="false">IF(DJ6=②시니어_가정!$E$16,DI121+DJ115,0)</f>
        <v>0</v>
      </c>
      <c r="DK117" s="37" t="n">
        <f aca="false">IF(DK6=②시니어_가정!$E$16,DJ121+DK115,0)</f>
        <v>0</v>
      </c>
      <c r="DL117" s="37" t="n">
        <f aca="false">IF(DL6=②시니어_가정!$E$16,DK121+DL115,0)</f>
        <v>0</v>
      </c>
      <c r="DM117" s="37" t="n">
        <f aca="false">IF(DM6=②시니어_가정!$E$16,DL121+DM115,0)</f>
        <v>0</v>
      </c>
      <c r="DN117" s="37" t="n">
        <f aca="false">IF(DN6=②시니어_가정!$E$16,DM121+DN115,0)</f>
        <v>0</v>
      </c>
      <c r="DO117" s="37" t="n">
        <f aca="false">IF(DO6=②시니어_가정!$E$16,DN121+DO115,0)</f>
        <v>0</v>
      </c>
      <c r="DP117" s="37" t="n">
        <f aca="false">IF(DP6=②시니어_가정!$E$16,DO121+DP115,0)</f>
        <v>0</v>
      </c>
      <c r="DQ117" s="37" t="n">
        <f aca="false">IF(DQ6=②시니어_가정!$E$16,DP121+DQ115,0)</f>
        <v>0</v>
      </c>
      <c r="DR117" s="37" t="n">
        <f aca="false">IF(DR6=②시니어_가정!$E$16,DQ121+DR115,0)</f>
        <v>0</v>
      </c>
      <c r="DS117" s="37" t="n">
        <f aca="false">IF(DS6=②시니어_가정!$E$16,DR121+DS115,0)</f>
        <v>0</v>
      </c>
      <c r="DT117" s="37" t="n">
        <f aca="false">IF(DT6=②시니어_가정!$E$16,DS121+DT115,0)</f>
        <v>0</v>
      </c>
      <c r="DU117" s="37" t="n">
        <f aca="false">IF(DU6=②시니어_가정!$E$16,DT121+DU115,0)</f>
        <v>0</v>
      </c>
      <c r="DV117" s="37" t="n">
        <f aca="false">IF(DV6=②시니어_가정!$E$16,DU121+DV115,0)</f>
        <v>0</v>
      </c>
      <c r="DW117" s="37" t="n">
        <f aca="false">IF(DW6=②시니어_가정!$E$16,DV121+DW115,0)</f>
        <v>0</v>
      </c>
      <c r="DX117" s="37" t="n">
        <f aca="false">IF(DX6=②시니어_가정!$E$16,DW121+DX115,0)</f>
        <v>0</v>
      </c>
      <c r="DY117" s="37" t="n">
        <f aca="false">IF(DY6=②시니어_가정!$E$16,DX121+DY115,0)</f>
        <v>0</v>
      </c>
      <c r="DZ117" s="37" t="n">
        <f aca="false">IF(DZ6=②시니어_가정!$E$16,DY121+DZ115,0)</f>
        <v>0</v>
      </c>
      <c r="EA117" s="37" t="n">
        <f aca="false">IF(EA6=②시니어_가정!$E$16,DZ121+EA115,0)</f>
        <v>0</v>
      </c>
      <c r="EB117" s="37" t="n">
        <f aca="false">IF(EB6=②시니어_가정!$E$16,EA121+EB115,0)</f>
        <v>0</v>
      </c>
      <c r="EC117" s="37" t="n">
        <f aca="false">IF(EC6=②시니어_가정!$E$16,EB121+EC115,0)</f>
        <v>0</v>
      </c>
      <c r="ED117" s="37" t="n">
        <f aca="false">IF(ED6=②시니어_가정!$E$16,EC121+ED115,0)</f>
        <v>0</v>
      </c>
      <c r="EE117" s="37" t="n">
        <f aca="false">IF(EE6=②시니어_가정!$E$16,ED121+EE115,0)</f>
        <v>0</v>
      </c>
      <c r="EF117" s="37" t="n">
        <f aca="false">IF(EF6=②시니어_가정!$E$16,EE121+EF115,0)</f>
        <v>0</v>
      </c>
    </row>
    <row r="118" customFormat="false" ht="15" hidden="false" customHeight="false" outlineLevel="0" collapsed="false">
      <c r="A118" s="153" t="s">
        <v>657</v>
      </c>
      <c r="B118" s="278" t="s">
        <v>21</v>
      </c>
      <c r="C118" s="279" t="n">
        <f aca="false">SUM(E118:EF118)</f>
        <v>0</v>
      </c>
      <c r="E118" s="37" t="n">
        <f aca="false">IF(E6=②시니어_가정!$E$16,0+E114,0)</f>
        <v>0</v>
      </c>
      <c r="F118" s="37" t="n">
        <f aca="false">IF(F6=②시니어_가정!$E$16,E122+F114,0)</f>
        <v>0</v>
      </c>
      <c r="G118" s="37" t="n">
        <f aca="false">IF(G6=②시니어_가정!$E$16,F122+G114,0)</f>
        <v>0</v>
      </c>
      <c r="H118" s="37" t="n">
        <f aca="false">IF(H6=②시니어_가정!$E$16,G122+H114,0)</f>
        <v>0</v>
      </c>
      <c r="I118" s="37" t="n">
        <f aca="false">IF(I6=②시니어_가정!$E$16,H122+I114,0)</f>
        <v>0</v>
      </c>
      <c r="J118" s="37" t="n">
        <f aca="false">IF(J6=②시니어_가정!$E$16,I122+J114,0)</f>
        <v>0</v>
      </c>
      <c r="K118" s="37" t="n">
        <f aca="false">IF(K6=②시니어_가정!$E$16,J122+K114,0)</f>
        <v>0</v>
      </c>
      <c r="L118" s="37" t="n">
        <f aca="false">IF(L6=②시니어_가정!$E$16,K122+L114,0)</f>
        <v>0</v>
      </c>
      <c r="M118" s="37" t="n">
        <f aca="false">IF(M6=②시니어_가정!$E$16,L122+M114,0)</f>
        <v>0</v>
      </c>
      <c r="N118" s="37" t="n">
        <f aca="false">IF(N6=②시니어_가정!$E$16,M122+N114,0)</f>
        <v>0</v>
      </c>
      <c r="O118" s="37" t="n">
        <f aca="false">IF(O6=②시니어_가정!$E$16,N122+O114,0)</f>
        <v>0</v>
      </c>
      <c r="P118" s="37" t="n">
        <f aca="false">IF(P6=②시니어_가정!$E$16,O122+P114,0)</f>
        <v>0</v>
      </c>
      <c r="Q118" s="37" t="n">
        <f aca="false">IF(Q6=②시니어_가정!$E$16,P122+Q114,0)</f>
        <v>0</v>
      </c>
      <c r="R118" s="37" t="n">
        <f aca="false">IF(R6=②시니어_가정!$E$16,Q122+R114,0)</f>
        <v>0</v>
      </c>
      <c r="S118" s="37" t="n">
        <f aca="false">IF(S6=②시니어_가정!$E$16,R122+S114,0)</f>
        <v>0</v>
      </c>
      <c r="T118" s="37" t="n">
        <f aca="false">IF(T6=②시니어_가정!$E$16,S122+T114,0)</f>
        <v>0</v>
      </c>
      <c r="U118" s="37" t="n">
        <f aca="false">IF(U6=②시니어_가정!$E$16,T122+U114,0)</f>
        <v>0</v>
      </c>
      <c r="V118" s="37" t="n">
        <f aca="false">IF(V6=②시니어_가정!$E$16,U122+V114,0)</f>
        <v>0</v>
      </c>
      <c r="W118" s="37" t="n">
        <f aca="false">IF(W6=②시니어_가정!$E$16,V122+W114,0)</f>
        <v>0</v>
      </c>
      <c r="X118" s="37" t="n">
        <f aca="false">IF(X6=②시니어_가정!$E$16,W122+X114,0)</f>
        <v>0</v>
      </c>
      <c r="Y118" s="37" t="n">
        <f aca="false">IF(Y6=②시니어_가정!$E$16,X122+Y114,0)</f>
        <v>0</v>
      </c>
      <c r="Z118" s="37" t="n">
        <f aca="false">IF(Z6=②시니어_가정!$E$16,Y122+Z114,0)</f>
        <v>0</v>
      </c>
      <c r="AA118" s="37" t="n">
        <f aca="false">IF(AA6=②시니어_가정!$E$16,Z122+AA114,0)</f>
        <v>0</v>
      </c>
      <c r="AB118" s="37" t="n">
        <f aca="false">IF(AB6=②시니어_가정!$E$16,AA122+AB114,0)</f>
        <v>0</v>
      </c>
      <c r="AC118" s="37" t="n">
        <f aca="false">IF(AC6=②시니어_가정!$E$16,AB122+AC114,0)</f>
        <v>0</v>
      </c>
      <c r="AD118" s="37" t="n">
        <f aca="false">IF(AD6=②시니어_가정!$E$16,AC122+AD114,0)</f>
        <v>0</v>
      </c>
      <c r="AE118" s="37" t="n">
        <f aca="false">IF(AE6=②시니어_가정!$E$16,AD122+AE114,0)</f>
        <v>0</v>
      </c>
      <c r="AF118" s="37" t="n">
        <f aca="false">IF(AF6=②시니어_가정!$E$16,AE122+AF114,0)</f>
        <v>0</v>
      </c>
      <c r="AG118" s="37" t="n">
        <f aca="false">IF(AG6=②시니어_가정!$E$16,AF122+AG114,0)</f>
        <v>0</v>
      </c>
      <c r="AH118" s="37" t="n">
        <f aca="false">IF(AH6=②시니어_가정!$E$16,AG122+AH114,0)</f>
        <v>0</v>
      </c>
      <c r="AI118" s="37" t="n">
        <f aca="false">IF(AI6=②시니어_가정!$E$16,AH122+AI114,0)</f>
        <v>0</v>
      </c>
      <c r="AJ118" s="37" t="n">
        <f aca="false">IF(AJ6=②시니어_가정!$E$16,AI122+AJ114,0)</f>
        <v>0</v>
      </c>
      <c r="AK118" s="37" t="n">
        <f aca="false">IF(AK6=②시니어_가정!$E$16,AJ122+AK114,0)</f>
        <v>0</v>
      </c>
      <c r="AL118" s="37" t="n">
        <f aca="false">IF(AL6=②시니어_가정!$E$16,AK122+AL114,0)</f>
        <v>0</v>
      </c>
      <c r="AM118" s="37" t="n">
        <f aca="false">IF(AM6=②시니어_가정!$E$16,AL122+AM114,0)</f>
        <v>0</v>
      </c>
      <c r="AN118" s="37" t="n">
        <f aca="false">IF(AN6=②시니어_가정!$E$16,AM122+AN114,0)</f>
        <v>0</v>
      </c>
      <c r="AO118" s="37" t="n">
        <f aca="false">IF(AO6=②시니어_가정!$E$16,AN122+AO114,0)</f>
        <v>0</v>
      </c>
      <c r="AP118" s="37" t="n">
        <f aca="false">IF(AP6=②시니어_가정!$E$16,AO122+AP114,0)</f>
        <v>0</v>
      </c>
      <c r="AQ118" s="37" t="n">
        <f aca="false">IF(AQ6=②시니어_가정!$E$16,AP122+AQ114,0)</f>
        <v>0</v>
      </c>
      <c r="AR118" s="37" t="n">
        <f aca="false">IF(AR6=②시니어_가정!$E$16,AQ122+AR114,0)</f>
        <v>0</v>
      </c>
      <c r="AS118" s="37" t="n">
        <f aca="false">IF(AS6=②시니어_가정!$E$16,AR122+AS114,0)</f>
        <v>0</v>
      </c>
      <c r="AT118" s="37" t="n">
        <f aca="false">IF(AT6=②시니어_가정!$E$16,AS122+AT114,0)</f>
        <v>0</v>
      </c>
      <c r="AU118" s="37" t="n">
        <f aca="false">IF(AU6=②시니어_가정!$E$16,AT122+AU114,0)</f>
        <v>0</v>
      </c>
      <c r="AV118" s="37" t="n">
        <f aca="false">IF(AV6=②시니어_가정!$E$16,AU122+AV114,0)</f>
        <v>0</v>
      </c>
      <c r="AW118" s="37" t="n">
        <f aca="false">IF(AW6=②시니어_가정!$E$16,AV122+AW114,0)</f>
        <v>0</v>
      </c>
      <c r="AX118" s="37" t="n">
        <f aca="false">IF(AX6=②시니어_가정!$E$16,AW122+AX114,0)</f>
        <v>0</v>
      </c>
      <c r="AY118" s="37" t="n">
        <f aca="false">IF(AY6=②시니어_가정!$E$16,AX122+AY114,0)</f>
        <v>0</v>
      </c>
      <c r="AZ118" s="37" t="n">
        <f aca="false">IF(AZ6=②시니어_가정!$E$16,AY122+AZ114,0)</f>
        <v>0</v>
      </c>
      <c r="BA118" s="37" t="n">
        <f aca="false">IF(BA6=②시니어_가정!$E$16,AZ122+BA114,0)</f>
        <v>0</v>
      </c>
      <c r="BB118" s="37" t="n">
        <f aca="false">IF(BB6=②시니어_가정!$E$16,BA122+BB114,0)</f>
        <v>0</v>
      </c>
      <c r="BC118" s="37" t="n">
        <f aca="false">IF(BC6=②시니어_가정!$E$16,BB122+BC114,0)</f>
        <v>0</v>
      </c>
      <c r="BD118" s="37" t="n">
        <f aca="false">IF(BD6=②시니어_가정!$E$16,BC122+BD114,0)</f>
        <v>0</v>
      </c>
      <c r="BE118" s="37" t="n">
        <f aca="false">IF(BE6=②시니어_가정!$E$16,BD122+BE114,0)</f>
        <v>0</v>
      </c>
      <c r="BF118" s="37" t="n">
        <f aca="false">IF(BF6=②시니어_가정!$E$16,BE122+BF114,0)</f>
        <v>0</v>
      </c>
      <c r="BG118" s="37" t="n">
        <f aca="false">IF(BG6=②시니어_가정!$E$16,BF122+BG114,0)</f>
        <v>0</v>
      </c>
      <c r="BH118" s="37" t="n">
        <f aca="false">IF(BH6=②시니어_가정!$E$16,BG122+BH114,0)</f>
        <v>0</v>
      </c>
      <c r="BI118" s="37" t="n">
        <f aca="false">IF(BI6=②시니어_가정!$E$16,BH122+BI114,0)</f>
        <v>0</v>
      </c>
      <c r="BJ118" s="37" t="n">
        <f aca="false">IF(BJ6=②시니어_가정!$E$16,BI122+BJ114,0)</f>
        <v>0</v>
      </c>
      <c r="BK118" s="37" t="n">
        <f aca="false">IF(BK6=②시니어_가정!$E$16,BJ122+BK114,0)</f>
        <v>0</v>
      </c>
      <c r="BL118" s="37" t="n">
        <f aca="false">IF(BL6=②시니어_가정!$E$16,BK122+BL114,0)</f>
        <v>0</v>
      </c>
      <c r="BM118" s="37" t="n">
        <f aca="false">IF(BM6=②시니어_가정!$E$16,BL122+BM114,0)</f>
        <v>0</v>
      </c>
      <c r="BN118" s="37" t="n">
        <f aca="false">IF(BN6=②시니어_가정!$E$16,BM122+BN114,0)</f>
        <v>0</v>
      </c>
      <c r="BO118" s="37" t="n">
        <f aca="false">IF(BO6=②시니어_가정!$E$16,BN122+BO114,0)</f>
        <v>0</v>
      </c>
      <c r="BP118" s="37" t="n">
        <f aca="false">IF(BP6=②시니어_가정!$E$16,BO122+BP114,0)</f>
        <v>0</v>
      </c>
      <c r="BQ118" s="37" t="n">
        <f aca="false">IF(BQ6=②시니어_가정!$E$16,BP122+BQ114,0)</f>
        <v>0</v>
      </c>
      <c r="BR118" s="37" t="n">
        <f aca="false">IF(BR6=②시니어_가정!$E$16,BQ122+BR114,0)</f>
        <v>0</v>
      </c>
      <c r="BS118" s="37" t="n">
        <f aca="false">IF(BS6=②시니어_가정!$E$16,BR122+BS114,0)</f>
        <v>0</v>
      </c>
      <c r="BT118" s="37" t="n">
        <f aca="false">IF(BT6=②시니어_가정!$E$16,BS122+BT114,0)</f>
        <v>0</v>
      </c>
      <c r="BU118" s="37" t="n">
        <f aca="false">IF(BU6=②시니어_가정!$E$16,BT122+BU114,0)</f>
        <v>0</v>
      </c>
      <c r="BV118" s="37" t="n">
        <f aca="false">IF(BV6=②시니어_가정!$E$16,BU122+BV114,0)</f>
        <v>0</v>
      </c>
      <c r="BW118" s="37" t="n">
        <f aca="false">IF(BW6=②시니어_가정!$E$16,BV122+BW114,0)</f>
        <v>0</v>
      </c>
      <c r="BX118" s="37" t="n">
        <f aca="false">IF(BX6=②시니어_가정!$E$16,BW122+BX114,0)</f>
        <v>0</v>
      </c>
      <c r="BY118" s="37" t="n">
        <f aca="false">IF(BY6=②시니어_가정!$E$16,BX122+BY114,0)</f>
        <v>0</v>
      </c>
      <c r="BZ118" s="37" t="n">
        <f aca="false">IF(BZ6=②시니어_가정!$E$16,BY122+BZ114,0)</f>
        <v>0</v>
      </c>
      <c r="CA118" s="37" t="n">
        <f aca="false">IF(CA6=②시니어_가정!$E$16,BZ122+CA114,0)</f>
        <v>0</v>
      </c>
      <c r="CB118" s="37" t="n">
        <f aca="false">IF(CB6=②시니어_가정!$E$16,CA122+CB114,0)</f>
        <v>0</v>
      </c>
      <c r="CC118" s="37" t="n">
        <f aca="false">IF(CC6=②시니어_가정!$E$16,CB122+CC114,0)</f>
        <v>0</v>
      </c>
      <c r="CD118" s="37" t="n">
        <f aca="false">IF(CD6=②시니어_가정!$E$16,CC122+CD114,0)</f>
        <v>0</v>
      </c>
      <c r="CE118" s="37" t="n">
        <f aca="false">IF(CE6=②시니어_가정!$E$16,CD122+CE114,0)</f>
        <v>0</v>
      </c>
      <c r="CF118" s="37" t="n">
        <f aca="false">IF(CF6=②시니어_가정!$E$16,CE122+CF114,0)</f>
        <v>0</v>
      </c>
      <c r="CG118" s="37" t="n">
        <f aca="false">IF(CG6=②시니어_가정!$E$16,CF122+CG114,0)</f>
        <v>0</v>
      </c>
      <c r="CH118" s="37" t="n">
        <f aca="false">IF(CH6=②시니어_가정!$E$16,CG122+CH114,0)</f>
        <v>0</v>
      </c>
      <c r="CI118" s="37" t="n">
        <f aca="false">IF(CI6=②시니어_가정!$E$16,CH122+CI114,0)</f>
        <v>0</v>
      </c>
      <c r="CJ118" s="37" t="n">
        <f aca="false">IF(CJ6=②시니어_가정!$E$16,CI122+CJ114,0)</f>
        <v>0</v>
      </c>
      <c r="CK118" s="37" t="n">
        <f aca="false">IF(CK6=②시니어_가정!$E$16,CJ122+CK114,0)</f>
        <v>0</v>
      </c>
      <c r="CL118" s="37" t="n">
        <f aca="false">IF(CL6=②시니어_가정!$E$16,CK122+CL114,0)</f>
        <v>0</v>
      </c>
      <c r="CM118" s="37" t="n">
        <f aca="false">IF(CM6=②시니어_가정!$E$16,CL122+CM114,0)</f>
        <v>0</v>
      </c>
      <c r="CN118" s="37" t="n">
        <f aca="false">IF(CN6=②시니어_가정!$E$16,CM122+CN114,0)</f>
        <v>0</v>
      </c>
      <c r="CO118" s="37" t="n">
        <f aca="false">IF(CO6=②시니어_가정!$E$16,CN122+CO114,0)</f>
        <v>0</v>
      </c>
      <c r="CP118" s="37" t="n">
        <f aca="false">IF(CP6=②시니어_가정!$E$16,CO122+CP114,0)</f>
        <v>0</v>
      </c>
      <c r="CQ118" s="37" t="n">
        <f aca="false">IF(CQ6=②시니어_가정!$E$16,CP122+CQ114,0)</f>
        <v>0</v>
      </c>
      <c r="CR118" s="37" t="n">
        <f aca="false">IF(CR6=②시니어_가정!$E$16,CQ122+CR114,0)</f>
        <v>0</v>
      </c>
      <c r="CS118" s="37" t="n">
        <f aca="false">IF(CS6=②시니어_가정!$E$16,CR122+CS114,0)</f>
        <v>0</v>
      </c>
      <c r="CT118" s="37" t="n">
        <f aca="false">IF(CT6=②시니어_가정!$E$16,CS122+CT114,0)</f>
        <v>0</v>
      </c>
      <c r="CU118" s="37" t="n">
        <f aca="false">IF(CU6=②시니어_가정!$E$16,CT122+CU114,0)</f>
        <v>0</v>
      </c>
      <c r="CV118" s="37" t="n">
        <f aca="false">IF(CV6=②시니어_가정!$E$16,CU122+CV114,0)</f>
        <v>0</v>
      </c>
      <c r="CW118" s="37" t="n">
        <f aca="false">IF(CW6=②시니어_가정!$E$16,CV122+CW114,0)</f>
        <v>0</v>
      </c>
      <c r="CX118" s="37" t="n">
        <f aca="false">IF(CX6=②시니어_가정!$E$16,CW122+CX114,0)</f>
        <v>0</v>
      </c>
      <c r="CY118" s="37" t="n">
        <f aca="false">IF(CY6=②시니어_가정!$E$16,CX122+CY114,0)</f>
        <v>0</v>
      </c>
      <c r="CZ118" s="37" t="n">
        <f aca="false">IF(CZ6=②시니어_가정!$E$16,CY122+CZ114,0)</f>
        <v>0</v>
      </c>
      <c r="DA118" s="37" t="n">
        <f aca="false">IF(DA6=②시니어_가정!$E$16,CZ122+DA114,0)</f>
        <v>0</v>
      </c>
      <c r="DB118" s="37" t="n">
        <f aca="false">IF(DB6=②시니어_가정!$E$16,DA122+DB114,0)</f>
        <v>0</v>
      </c>
      <c r="DC118" s="37" t="n">
        <f aca="false">IF(DC6=②시니어_가정!$E$16,DB122+DC114,0)</f>
        <v>0</v>
      </c>
      <c r="DD118" s="37" t="n">
        <f aca="false">IF(DD6=②시니어_가정!$E$16,DC122+DD114,0)</f>
        <v>0</v>
      </c>
      <c r="DE118" s="37" t="n">
        <f aca="false">IF(DE6=②시니어_가정!$E$16,DD122+DE114,0)</f>
        <v>0</v>
      </c>
      <c r="DF118" s="37" t="n">
        <f aca="false">IF(DF6=②시니어_가정!$E$16,DE122+DF114,0)</f>
        <v>0</v>
      </c>
      <c r="DG118" s="37" t="n">
        <f aca="false">IF(DG6=②시니어_가정!$E$16,DF122+DG114,0)</f>
        <v>0</v>
      </c>
      <c r="DH118" s="37" t="n">
        <f aca="false">IF(DH6=②시니어_가정!$E$16,DG122+DH114,0)</f>
        <v>0</v>
      </c>
      <c r="DI118" s="37" t="n">
        <f aca="false">IF(DI6=②시니어_가정!$E$16,DH122+DI114,0)</f>
        <v>0</v>
      </c>
      <c r="DJ118" s="37" t="n">
        <f aca="false">IF(DJ6=②시니어_가정!$E$16,DI122+DJ114,0)</f>
        <v>0</v>
      </c>
      <c r="DK118" s="37" t="n">
        <f aca="false">IF(DK6=②시니어_가정!$E$16,DJ122+DK114,0)</f>
        <v>0</v>
      </c>
      <c r="DL118" s="37" t="n">
        <f aca="false">IF(DL6=②시니어_가정!$E$16,DK122+DL114,0)</f>
        <v>0</v>
      </c>
      <c r="DM118" s="37" t="n">
        <f aca="false">IF(DM6=②시니어_가정!$E$16,DL122+DM114,0)</f>
        <v>0</v>
      </c>
      <c r="DN118" s="37" t="n">
        <f aca="false">IF(DN6=②시니어_가정!$E$16,DM122+DN114,0)</f>
        <v>0</v>
      </c>
      <c r="DO118" s="37" t="n">
        <f aca="false">IF(DO6=②시니어_가정!$E$16,DN122+DO114,0)</f>
        <v>0</v>
      </c>
      <c r="DP118" s="37" t="n">
        <f aca="false">IF(DP6=②시니어_가정!$E$16,DO122+DP114,0)</f>
        <v>0</v>
      </c>
      <c r="DQ118" s="37" t="n">
        <f aca="false">IF(DQ6=②시니어_가정!$E$16,DP122+DQ114,0)</f>
        <v>0</v>
      </c>
      <c r="DR118" s="37" t="n">
        <f aca="false">IF(DR6=②시니어_가정!$E$16,DQ122+DR114,0)</f>
        <v>0</v>
      </c>
      <c r="DS118" s="37" t="n">
        <f aca="false">IF(DS6=②시니어_가정!$E$16,DR122+DS114,0)</f>
        <v>0</v>
      </c>
      <c r="DT118" s="37" t="n">
        <f aca="false">IF(DT6=②시니어_가정!$E$16,DS122+DT114,0)</f>
        <v>0</v>
      </c>
      <c r="DU118" s="37" t="n">
        <f aca="false">IF(DU6=②시니어_가정!$E$16,DT122+DU114,0)</f>
        <v>0</v>
      </c>
      <c r="DV118" s="37" t="n">
        <f aca="false">IF(DV6=②시니어_가정!$E$16,DU122+DV114,0)</f>
        <v>0</v>
      </c>
      <c r="DW118" s="37" t="n">
        <f aca="false">IF(DW6=②시니어_가정!$E$16,DV122+DW114,0)</f>
        <v>0</v>
      </c>
      <c r="DX118" s="37" t="n">
        <f aca="false">IF(DX6=②시니어_가정!$E$16,DW122+DX114,0)</f>
        <v>0</v>
      </c>
      <c r="DY118" s="37" t="n">
        <f aca="false">IF(DY6=②시니어_가정!$E$16,DX122+DY114,0)</f>
        <v>0</v>
      </c>
      <c r="DZ118" s="37" t="n">
        <f aca="false">IF(DZ6=②시니어_가정!$E$16,DY122+DZ114,0)</f>
        <v>0</v>
      </c>
      <c r="EA118" s="37" t="n">
        <f aca="false">IF(EA6=②시니어_가정!$E$16,DZ122+EA114,0)</f>
        <v>0</v>
      </c>
      <c r="EB118" s="37" t="n">
        <f aca="false">IF(EB6=②시니어_가정!$E$16,EA122+EB114,0)</f>
        <v>0</v>
      </c>
      <c r="EC118" s="37" t="n">
        <f aca="false">IF(EC6=②시니어_가정!$E$16,EB122+EC114,0)</f>
        <v>0</v>
      </c>
      <c r="ED118" s="37" t="n">
        <f aca="false">IF(ED6=②시니어_가정!$E$16,EC122+ED114,0)</f>
        <v>0</v>
      </c>
      <c r="EE118" s="37" t="n">
        <f aca="false">IF(EE6=②시니어_가정!$E$16,ED122+EE114,0)</f>
        <v>0</v>
      </c>
      <c r="EF118" s="37" t="n">
        <f aca="false">IF(EF6=②시니어_가정!$E$16,EE122+EF114,0)</f>
        <v>0</v>
      </c>
    </row>
    <row r="119" customFormat="false" ht="15" hidden="false" customHeight="false" outlineLevel="0" collapsed="false">
      <c r="A119" s="153" t="s">
        <v>658</v>
      </c>
      <c r="B119" s="278" t="s">
        <v>21</v>
      </c>
      <c r="C119" s="279" t="n">
        <f aca="false">SUM(E119:EF119)</f>
        <v>27207.3003100127</v>
      </c>
      <c r="E119" s="37" t="n">
        <f aca="false">IF(E6=②시니어_가정!$E$16,0+E113,0)</f>
        <v>0</v>
      </c>
      <c r="F119" s="37" t="n">
        <f aca="false">IF(F6=②시니어_가정!$E$16,E123+F113,0)</f>
        <v>0</v>
      </c>
      <c r="G119" s="37" t="n">
        <f aca="false">IF(G6=②시니어_가정!$E$16,F123+G113,0)</f>
        <v>0</v>
      </c>
      <c r="H119" s="37" t="n">
        <f aca="false">IF(H6=②시니어_가정!$E$16,G123+H113,0)</f>
        <v>0</v>
      </c>
      <c r="I119" s="37" t="n">
        <f aca="false">IF(I6=②시니어_가정!$E$16,H123+I113,0)</f>
        <v>0</v>
      </c>
      <c r="J119" s="37" t="n">
        <f aca="false">IF(J6=②시니어_가정!$E$16,I123+J113,0)</f>
        <v>0</v>
      </c>
      <c r="K119" s="37" t="n">
        <f aca="false">IF(K6=②시니어_가정!$E$16,J123+K113,0)</f>
        <v>0</v>
      </c>
      <c r="L119" s="37" t="n">
        <f aca="false">IF(L6=②시니어_가정!$E$16,K123+L113,0)</f>
        <v>0</v>
      </c>
      <c r="M119" s="37" t="n">
        <f aca="false">IF(M6=②시니어_가정!$E$16,L123+M113,0)</f>
        <v>0</v>
      </c>
      <c r="N119" s="37" t="n">
        <f aca="false">IF(N6=②시니어_가정!$E$16,M123+N113,0)</f>
        <v>0</v>
      </c>
      <c r="O119" s="37" t="n">
        <f aca="false">IF(O6=②시니어_가정!$E$16,N123+O113,0)</f>
        <v>0</v>
      </c>
      <c r="P119" s="37" t="n">
        <f aca="false">IF(P6=②시니어_가정!$E$16,O123+P113,0)</f>
        <v>0</v>
      </c>
      <c r="Q119" s="37" t="n">
        <f aca="false">IF(Q6=②시니어_가정!$E$16,P123+Q113,0)</f>
        <v>0</v>
      </c>
      <c r="R119" s="37" t="n">
        <f aca="false">IF(R6=②시니어_가정!$E$16,Q123+R113,0)</f>
        <v>0</v>
      </c>
      <c r="S119" s="37" t="n">
        <f aca="false">IF(S6=②시니어_가정!$E$16,R123+S113,0)</f>
        <v>0</v>
      </c>
      <c r="T119" s="37" t="n">
        <f aca="false">IF(T6=②시니어_가정!$E$16,S123+T113,0)</f>
        <v>0</v>
      </c>
      <c r="U119" s="37" t="n">
        <f aca="false">IF(U6=②시니어_가정!$E$16,T123+U113,0)</f>
        <v>0</v>
      </c>
      <c r="V119" s="37" t="n">
        <f aca="false">IF(V6=②시니어_가정!$E$16,U123+V113,0)</f>
        <v>0</v>
      </c>
      <c r="W119" s="37" t="n">
        <f aca="false">IF(W6=②시니어_가정!$E$16,V123+W113,0)</f>
        <v>0</v>
      </c>
      <c r="X119" s="37" t="n">
        <f aca="false">IF(X6=②시니어_가정!$E$16,W123+X113,0)</f>
        <v>0</v>
      </c>
      <c r="Y119" s="37" t="n">
        <f aca="false">IF(Y6=②시니어_가정!$E$16,X123+Y113,0)</f>
        <v>0</v>
      </c>
      <c r="Z119" s="37" t="n">
        <f aca="false">IF(Z6=②시니어_가정!$E$16,Y123+Z113,0)</f>
        <v>0</v>
      </c>
      <c r="AA119" s="37" t="n">
        <f aca="false">IF(AA6=②시니어_가정!$E$16,Z123+AA113,0)</f>
        <v>0</v>
      </c>
      <c r="AB119" s="37" t="n">
        <f aca="false">IF(AB6=②시니어_가정!$E$16,AA123+AB113,0)</f>
        <v>0</v>
      </c>
      <c r="AC119" s="37" t="n">
        <f aca="false">IF(AC6=②시니어_가정!$E$16,AB123+AC113,0)</f>
        <v>0</v>
      </c>
      <c r="AD119" s="37" t="n">
        <f aca="false">IF(AD6=②시니어_가정!$E$16,AC123+AD113,0)</f>
        <v>0</v>
      </c>
      <c r="AE119" s="37" t="n">
        <f aca="false">IF(AE6=②시니어_가정!$E$16,AD123+AE113,0)</f>
        <v>0</v>
      </c>
      <c r="AF119" s="37" t="n">
        <f aca="false">IF(AF6=②시니어_가정!$E$16,AE123+AF113,0)</f>
        <v>0</v>
      </c>
      <c r="AG119" s="37" t="n">
        <f aca="false">IF(AG6=②시니어_가정!$E$16,AF123+AG113,0)</f>
        <v>0</v>
      </c>
      <c r="AH119" s="37" t="n">
        <f aca="false">IF(AH6=②시니어_가정!$E$16,AG123+AH113,0)</f>
        <v>0</v>
      </c>
      <c r="AI119" s="37" t="n">
        <f aca="false">IF(AI6=②시니어_가정!$E$16,AH123+AI113,0)</f>
        <v>0</v>
      </c>
      <c r="AJ119" s="37" t="n">
        <f aca="false">IF(AJ6=②시니어_가정!$E$16,AI123+AJ113,0)</f>
        <v>0</v>
      </c>
      <c r="AK119" s="37" t="n">
        <f aca="false">IF(AK6=②시니어_가정!$E$16,AJ123+AK113,0)</f>
        <v>0</v>
      </c>
      <c r="AL119" s="37" t="n">
        <f aca="false">IF(AL6=②시니어_가정!$E$16,AK123+AL113,0)</f>
        <v>0</v>
      </c>
      <c r="AM119" s="37" t="n">
        <f aca="false">IF(AM6=②시니어_가정!$E$16,AL123+AM113,0)</f>
        <v>0</v>
      </c>
      <c r="AN119" s="37" t="n">
        <f aca="false">IF(AN6=②시니어_가정!$E$16,AM123+AN113,0)</f>
        <v>0</v>
      </c>
      <c r="AO119" s="37" t="n">
        <f aca="false">IF(AO6=②시니어_가정!$E$16,AN123+AO113,0)</f>
        <v>0</v>
      </c>
      <c r="AP119" s="37" t="n">
        <f aca="false">IF(AP6=②시니어_가정!$E$16,AO123+AP113,0)</f>
        <v>0</v>
      </c>
      <c r="AQ119" s="37" t="n">
        <f aca="false">IF(AQ6=②시니어_가정!$E$16,AP123+AQ113,0)</f>
        <v>0</v>
      </c>
      <c r="AR119" s="37" t="n">
        <f aca="false">IF(AR6=②시니어_가정!$E$16,AQ123+AR113,0)</f>
        <v>0</v>
      </c>
      <c r="AS119" s="37" t="n">
        <f aca="false">IF(AS6=②시니어_가정!$E$16,AR123+AS113,0)</f>
        <v>0</v>
      </c>
      <c r="AT119" s="37" t="n">
        <f aca="false">IF(AT6=②시니어_가정!$E$16,AS123+AT113,0)</f>
        <v>0</v>
      </c>
      <c r="AU119" s="37" t="n">
        <f aca="false">IF(AU6=②시니어_가정!$E$16,AT123+AU113,0)</f>
        <v>0</v>
      </c>
      <c r="AV119" s="37" t="n">
        <f aca="false">IF(AV6=②시니어_가정!$E$16,AU123+AV113,0)</f>
        <v>0</v>
      </c>
      <c r="AW119" s="37" t="n">
        <f aca="false">IF(AW6=②시니어_가정!$E$16,AV123+AW113,0)</f>
        <v>0</v>
      </c>
      <c r="AX119" s="37" t="n">
        <f aca="false">IF(AX6=②시니어_가정!$E$16,AW123+AX113,0)</f>
        <v>0</v>
      </c>
      <c r="AY119" s="37" t="n">
        <f aca="false">IF(AY6=②시니어_가정!$E$16,AX123+AY113,0)</f>
        <v>0</v>
      </c>
      <c r="AZ119" s="37" t="n">
        <f aca="false">IF(AZ6=②시니어_가정!$E$16,AY123+AZ113,0)</f>
        <v>0</v>
      </c>
      <c r="BA119" s="37" t="n">
        <f aca="false">IF(BA6=②시니어_가정!$E$16,AZ123+BA113,0)</f>
        <v>0</v>
      </c>
      <c r="BB119" s="37" t="n">
        <f aca="false">IF(BB6=②시니어_가정!$E$16,BA123+BB113,0)</f>
        <v>0</v>
      </c>
      <c r="BC119" s="37" t="n">
        <f aca="false">IF(BC6=②시니어_가정!$E$16,BB123+BC113,0)</f>
        <v>0</v>
      </c>
      <c r="BD119" s="37" t="n">
        <f aca="false">IF(BD6=②시니어_가정!$E$16,BC123+BD113,0)</f>
        <v>0</v>
      </c>
      <c r="BE119" s="37" t="n">
        <f aca="false">IF(BE6=②시니어_가정!$E$16,BD123+BE113,0)</f>
        <v>0</v>
      </c>
      <c r="BF119" s="37" t="n">
        <f aca="false">IF(BF6=②시니어_가정!$E$16,BE123+BF113,0)</f>
        <v>0</v>
      </c>
      <c r="BG119" s="37" t="n">
        <f aca="false">IF(BG6=②시니어_가정!$E$16,BF123+BG113,0)</f>
        <v>0</v>
      </c>
      <c r="BH119" s="37" t="n">
        <f aca="false">IF(BH6=②시니어_가정!$E$16,BG123+BH113,0)</f>
        <v>0</v>
      </c>
      <c r="BI119" s="37" t="n">
        <f aca="false">IF(BI6=②시니어_가정!$E$16,BH123+BI113,0)</f>
        <v>0</v>
      </c>
      <c r="BJ119" s="37" t="n">
        <f aca="false">IF(BJ6=②시니어_가정!$E$16,BI123+BJ113,0)</f>
        <v>0</v>
      </c>
      <c r="BK119" s="37" t="n">
        <f aca="false">IF(BK6=②시니어_가정!$E$16,BJ123+BK113,0)</f>
        <v>0</v>
      </c>
      <c r="BL119" s="37" t="n">
        <f aca="false">IF(BL6=②시니어_가정!$E$16,BK123+BL113,0)</f>
        <v>27207.3003100127</v>
      </c>
      <c r="BM119" s="37" t="n">
        <f aca="false">IF(BM6=②시니어_가정!$E$16,BL123+BM113,0)</f>
        <v>0</v>
      </c>
      <c r="BN119" s="37" t="n">
        <f aca="false">IF(BN6=②시니어_가정!$E$16,BM123+BN113,0)</f>
        <v>0</v>
      </c>
      <c r="BO119" s="37" t="n">
        <f aca="false">IF(BO6=②시니어_가정!$E$16,BN123+BO113,0)</f>
        <v>0</v>
      </c>
      <c r="BP119" s="37" t="n">
        <f aca="false">IF(BP6=②시니어_가정!$E$16,BO123+BP113,0)</f>
        <v>0</v>
      </c>
      <c r="BQ119" s="37" t="n">
        <f aca="false">IF(BQ6=②시니어_가정!$E$16,BP123+BQ113,0)</f>
        <v>0</v>
      </c>
      <c r="BR119" s="37" t="n">
        <f aca="false">IF(BR6=②시니어_가정!$E$16,BQ123+BR113,0)</f>
        <v>0</v>
      </c>
      <c r="BS119" s="37" t="n">
        <f aca="false">IF(BS6=②시니어_가정!$E$16,BR123+BS113,0)</f>
        <v>0</v>
      </c>
      <c r="BT119" s="37" t="n">
        <f aca="false">IF(BT6=②시니어_가정!$E$16,BS123+BT113,0)</f>
        <v>0</v>
      </c>
      <c r="BU119" s="37" t="n">
        <f aca="false">IF(BU6=②시니어_가정!$E$16,BT123+BU113,0)</f>
        <v>0</v>
      </c>
      <c r="BV119" s="37" t="n">
        <f aca="false">IF(BV6=②시니어_가정!$E$16,BU123+BV113,0)</f>
        <v>0</v>
      </c>
      <c r="BW119" s="37" t="n">
        <f aca="false">IF(BW6=②시니어_가정!$E$16,BV123+BW113,0)</f>
        <v>0</v>
      </c>
      <c r="BX119" s="37" t="n">
        <f aca="false">IF(BX6=②시니어_가정!$E$16,BW123+BX113,0)</f>
        <v>0</v>
      </c>
      <c r="BY119" s="37" t="n">
        <f aca="false">IF(BY6=②시니어_가정!$E$16,BX123+BY113,0)</f>
        <v>0</v>
      </c>
      <c r="BZ119" s="37" t="n">
        <f aca="false">IF(BZ6=②시니어_가정!$E$16,BY123+BZ113,0)</f>
        <v>0</v>
      </c>
      <c r="CA119" s="37" t="n">
        <f aca="false">IF(CA6=②시니어_가정!$E$16,BZ123+CA113,0)</f>
        <v>0</v>
      </c>
      <c r="CB119" s="37" t="n">
        <f aca="false">IF(CB6=②시니어_가정!$E$16,CA123+CB113,0)</f>
        <v>0</v>
      </c>
      <c r="CC119" s="37" t="n">
        <f aca="false">IF(CC6=②시니어_가정!$E$16,CB123+CC113,0)</f>
        <v>0</v>
      </c>
      <c r="CD119" s="37" t="n">
        <f aca="false">IF(CD6=②시니어_가정!$E$16,CC123+CD113,0)</f>
        <v>0</v>
      </c>
      <c r="CE119" s="37" t="n">
        <f aca="false">IF(CE6=②시니어_가정!$E$16,CD123+CE113,0)</f>
        <v>0</v>
      </c>
      <c r="CF119" s="37" t="n">
        <f aca="false">IF(CF6=②시니어_가정!$E$16,CE123+CF113,0)</f>
        <v>0</v>
      </c>
      <c r="CG119" s="37" t="n">
        <f aca="false">IF(CG6=②시니어_가정!$E$16,CF123+CG113,0)</f>
        <v>0</v>
      </c>
      <c r="CH119" s="37" t="n">
        <f aca="false">IF(CH6=②시니어_가정!$E$16,CG123+CH113,0)</f>
        <v>0</v>
      </c>
      <c r="CI119" s="37" t="n">
        <f aca="false">IF(CI6=②시니어_가정!$E$16,CH123+CI113,0)</f>
        <v>0</v>
      </c>
      <c r="CJ119" s="37" t="n">
        <f aca="false">IF(CJ6=②시니어_가정!$E$16,CI123+CJ113,0)</f>
        <v>0</v>
      </c>
      <c r="CK119" s="37" t="n">
        <f aca="false">IF(CK6=②시니어_가정!$E$16,CJ123+CK113,0)</f>
        <v>0</v>
      </c>
      <c r="CL119" s="37" t="n">
        <f aca="false">IF(CL6=②시니어_가정!$E$16,CK123+CL113,0)</f>
        <v>0</v>
      </c>
      <c r="CM119" s="37" t="n">
        <f aca="false">IF(CM6=②시니어_가정!$E$16,CL123+CM113,0)</f>
        <v>0</v>
      </c>
      <c r="CN119" s="37" t="n">
        <f aca="false">IF(CN6=②시니어_가정!$E$16,CM123+CN113,0)</f>
        <v>0</v>
      </c>
      <c r="CO119" s="37" t="n">
        <f aca="false">IF(CO6=②시니어_가정!$E$16,CN123+CO113,0)</f>
        <v>0</v>
      </c>
      <c r="CP119" s="37" t="n">
        <f aca="false">IF(CP6=②시니어_가정!$E$16,CO123+CP113,0)</f>
        <v>0</v>
      </c>
      <c r="CQ119" s="37" t="n">
        <f aca="false">IF(CQ6=②시니어_가정!$E$16,CP123+CQ113,0)</f>
        <v>0</v>
      </c>
      <c r="CR119" s="37" t="n">
        <f aca="false">IF(CR6=②시니어_가정!$E$16,CQ123+CR113,0)</f>
        <v>0</v>
      </c>
      <c r="CS119" s="37" t="n">
        <f aca="false">IF(CS6=②시니어_가정!$E$16,CR123+CS113,0)</f>
        <v>0</v>
      </c>
      <c r="CT119" s="37" t="n">
        <f aca="false">IF(CT6=②시니어_가정!$E$16,CS123+CT113,0)</f>
        <v>0</v>
      </c>
      <c r="CU119" s="37" t="n">
        <f aca="false">IF(CU6=②시니어_가정!$E$16,CT123+CU113,0)</f>
        <v>0</v>
      </c>
      <c r="CV119" s="37" t="n">
        <f aca="false">IF(CV6=②시니어_가정!$E$16,CU123+CV113,0)</f>
        <v>0</v>
      </c>
      <c r="CW119" s="37" t="n">
        <f aca="false">IF(CW6=②시니어_가정!$E$16,CV123+CW113,0)</f>
        <v>0</v>
      </c>
      <c r="CX119" s="37" t="n">
        <f aca="false">IF(CX6=②시니어_가정!$E$16,CW123+CX113,0)</f>
        <v>0</v>
      </c>
      <c r="CY119" s="37" t="n">
        <f aca="false">IF(CY6=②시니어_가정!$E$16,CX123+CY113,0)</f>
        <v>0</v>
      </c>
      <c r="CZ119" s="37" t="n">
        <f aca="false">IF(CZ6=②시니어_가정!$E$16,CY123+CZ113,0)</f>
        <v>0</v>
      </c>
      <c r="DA119" s="37" t="n">
        <f aca="false">IF(DA6=②시니어_가정!$E$16,CZ123+DA113,0)</f>
        <v>0</v>
      </c>
      <c r="DB119" s="37" t="n">
        <f aca="false">IF(DB6=②시니어_가정!$E$16,DA123+DB113,0)</f>
        <v>0</v>
      </c>
      <c r="DC119" s="37" t="n">
        <f aca="false">IF(DC6=②시니어_가정!$E$16,DB123+DC113,0)</f>
        <v>0</v>
      </c>
      <c r="DD119" s="37" t="n">
        <f aca="false">IF(DD6=②시니어_가정!$E$16,DC123+DD113,0)</f>
        <v>0</v>
      </c>
      <c r="DE119" s="37" t="n">
        <f aca="false">IF(DE6=②시니어_가정!$E$16,DD123+DE113,0)</f>
        <v>0</v>
      </c>
      <c r="DF119" s="37" t="n">
        <f aca="false">IF(DF6=②시니어_가정!$E$16,DE123+DF113,0)</f>
        <v>0</v>
      </c>
      <c r="DG119" s="37" t="n">
        <f aca="false">IF(DG6=②시니어_가정!$E$16,DF123+DG113,0)</f>
        <v>0</v>
      </c>
      <c r="DH119" s="37" t="n">
        <f aca="false">IF(DH6=②시니어_가정!$E$16,DG123+DH113,0)</f>
        <v>0</v>
      </c>
      <c r="DI119" s="37" t="n">
        <f aca="false">IF(DI6=②시니어_가정!$E$16,DH123+DI113,0)</f>
        <v>0</v>
      </c>
      <c r="DJ119" s="37" t="n">
        <f aca="false">IF(DJ6=②시니어_가정!$E$16,DI123+DJ113,0)</f>
        <v>0</v>
      </c>
      <c r="DK119" s="37" t="n">
        <f aca="false">IF(DK6=②시니어_가정!$E$16,DJ123+DK113,0)</f>
        <v>0</v>
      </c>
      <c r="DL119" s="37" t="n">
        <f aca="false">IF(DL6=②시니어_가정!$E$16,DK123+DL113,0)</f>
        <v>0</v>
      </c>
      <c r="DM119" s="37" t="n">
        <f aca="false">IF(DM6=②시니어_가정!$E$16,DL123+DM113,0)</f>
        <v>0</v>
      </c>
      <c r="DN119" s="37" t="n">
        <f aca="false">IF(DN6=②시니어_가정!$E$16,DM123+DN113,0)</f>
        <v>0</v>
      </c>
      <c r="DO119" s="37" t="n">
        <f aca="false">IF(DO6=②시니어_가정!$E$16,DN123+DO113,0)</f>
        <v>0</v>
      </c>
      <c r="DP119" s="37" t="n">
        <f aca="false">IF(DP6=②시니어_가정!$E$16,DO123+DP113,0)</f>
        <v>0</v>
      </c>
      <c r="DQ119" s="37" t="n">
        <f aca="false">IF(DQ6=②시니어_가정!$E$16,DP123+DQ113,0)</f>
        <v>0</v>
      </c>
      <c r="DR119" s="37" t="n">
        <f aca="false">IF(DR6=②시니어_가정!$E$16,DQ123+DR113,0)</f>
        <v>0</v>
      </c>
      <c r="DS119" s="37" t="n">
        <f aca="false">IF(DS6=②시니어_가정!$E$16,DR123+DS113,0)</f>
        <v>0</v>
      </c>
      <c r="DT119" s="37" t="n">
        <f aca="false">IF(DT6=②시니어_가정!$E$16,DS123+DT113,0)</f>
        <v>0</v>
      </c>
      <c r="DU119" s="37" t="n">
        <f aca="false">IF(DU6=②시니어_가정!$E$16,DT123+DU113,0)</f>
        <v>0</v>
      </c>
      <c r="DV119" s="37" t="n">
        <f aca="false">IF(DV6=②시니어_가정!$E$16,DU123+DV113,0)</f>
        <v>0</v>
      </c>
      <c r="DW119" s="37" t="n">
        <f aca="false">IF(DW6=②시니어_가정!$E$16,DV123+DW113,0)</f>
        <v>0</v>
      </c>
      <c r="DX119" s="37" t="n">
        <f aca="false">IF(DX6=②시니어_가정!$E$16,DW123+DX113,0)</f>
        <v>0</v>
      </c>
      <c r="DY119" s="37" t="n">
        <f aca="false">IF(DY6=②시니어_가정!$E$16,DX123+DY113,0)</f>
        <v>0</v>
      </c>
      <c r="DZ119" s="37" t="n">
        <f aca="false">IF(DZ6=②시니어_가정!$E$16,DY123+DZ113,0)</f>
        <v>0</v>
      </c>
      <c r="EA119" s="37" t="n">
        <f aca="false">IF(EA6=②시니어_가정!$E$16,DZ123+EA113,0)</f>
        <v>0</v>
      </c>
      <c r="EB119" s="37" t="n">
        <f aca="false">IF(EB6=②시니어_가정!$E$16,EA123+EB113,0)</f>
        <v>0</v>
      </c>
      <c r="EC119" s="37" t="n">
        <f aca="false">IF(EC6=②시니어_가정!$E$16,EB123+EC113,0)</f>
        <v>0</v>
      </c>
      <c r="ED119" s="37" t="n">
        <f aca="false">IF(ED6=②시니어_가정!$E$16,EC123+ED113,0)</f>
        <v>0</v>
      </c>
      <c r="EE119" s="37" t="n">
        <f aca="false">IF(EE6=②시니어_가정!$E$16,ED123+EE113,0)</f>
        <v>0</v>
      </c>
      <c r="EF119" s="37" t="n">
        <f aca="false">IF(EF6=②시니어_가정!$E$16,EE123+EF113,0)</f>
        <v>0</v>
      </c>
    </row>
    <row r="120" customFormat="false" ht="15" hidden="false" customHeight="false" outlineLevel="0" collapsed="false">
      <c r="A120" s="284" t="s">
        <v>659</v>
      </c>
      <c r="B120" s="281" t="s">
        <v>21</v>
      </c>
      <c r="C120" s="282" t="n">
        <f aca="false">SUM(E120:EF120)</f>
        <v>27207.3003100127</v>
      </c>
      <c r="D120" s="48"/>
      <c r="E120" s="283" t="n">
        <f aca="false">E117+E118+E119</f>
        <v>0</v>
      </c>
      <c r="F120" s="283" t="n">
        <f aca="false">F117+F118+F119</f>
        <v>0</v>
      </c>
      <c r="G120" s="283" t="n">
        <f aca="false">G117+G118+G119</f>
        <v>0</v>
      </c>
      <c r="H120" s="283" t="n">
        <f aca="false">H117+H118+H119</f>
        <v>0</v>
      </c>
      <c r="I120" s="283" t="n">
        <f aca="false">I117+I118+I119</f>
        <v>0</v>
      </c>
      <c r="J120" s="283" t="n">
        <f aca="false">J117+J118+J119</f>
        <v>0</v>
      </c>
      <c r="K120" s="283" t="n">
        <f aca="false">K117+K118+K119</f>
        <v>0</v>
      </c>
      <c r="L120" s="283" t="n">
        <f aca="false">L117+L118+L119</f>
        <v>0</v>
      </c>
      <c r="M120" s="283" t="n">
        <f aca="false">M117+M118+M119</f>
        <v>0</v>
      </c>
      <c r="N120" s="283" t="n">
        <f aca="false">N117+N118+N119</f>
        <v>0</v>
      </c>
      <c r="O120" s="283" t="n">
        <f aca="false">O117+O118+O119</f>
        <v>0</v>
      </c>
      <c r="P120" s="283" t="n">
        <f aca="false">P117+P118+P119</f>
        <v>0</v>
      </c>
      <c r="Q120" s="283" t="n">
        <f aca="false">Q117+Q118+Q119</f>
        <v>0</v>
      </c>
      <c r="R120" s="283" t="n">
        <f aca="false">R117+R118+R119</f>
        <v>0</v>
      </c>
      <c r="S120" s="283" t="n">
        <f aca="false">S117+S118+S119</f>
        <v>0</v>
      </c>
      <c r="T120" s="283" t="n">
        <f aca="false">T117+T118+T119</f>
        <v>0</v>
      </c>
      <c r="U120" s="283" t="n">
        <f aca="false">U117+U118+U119</f>
        <v>0</v>
      </c>
      <c r="V120" s="283" t="n">
        <f aca="false">V117+V118+V119</f>
        <v>0</v>
      </c>
      <c r="W120" s="283" t="n">
        <f aca="false">W117+W118+W119</f>
        <v>0</v>
      </c>
      <c r="X120" s="283" t="n">
        <f aca="false">X117+X118+X119</f>
        <v>0</v>
      </c>
      <c r="Y120" s="283" t="n">
        <f aca="false">Y117+Y118+Y119</f>
        <v>0</v>
      </c>
      <c r="Z120" s="283" t="n">
        <f aca="false">Z117+Z118+Z119</f>
        <v>0</v>
      </c>
      <c r="AA120" s="283" t="n">
        <f aca="false">AA117+AA118+AA119</f>
        <v>0</v>
      </c>
      <c r="AB120" s="283" t="n">
        <f aca="false">AB117+AB118+AB119</f>
        <v>0</v>
      </c>
      <c r="AC120" s="283" t="n">
        <f aca="false">AC117+AC118+AC119</f>
        <v>0</v>
      </c>
      <c r="AD120" s="283" t="n">
        <f aca="false">AD117+AD118+AD119</f>
        <v>0</v>
      </c>
      <c r="AE120" s="283" t="n">
        <f aca="false">AE117+AE118+AE119</f>
        <v>0</v>
      </c>
      <c r="AF120" s="283" t="n">
        <f aca="false">AF117+AF118+AF119</f>
        <v>0</v>
      </c>
      <c r="AG120" s="283" t="n">
        <f aca="false">AG117+AG118+AG119</f>
        <v>0</v>
      </c>
      <c r="AH120" s="283" t="n">
        <f aca="false">AH117+AH118+AH119</f>
        <v>0</v>
      </c>
      <c r="AI120" s="283" t="n">
        <f aca="false">AI117+AI118+AI119</f>
        <v>0</v>
      </c>
      <c r="AJ120" s="283" t="n">
        <f aca="false">AJ117+AJ118+AJ119</f>
        <v>0</v>
      </c>
      <c r="AK120" s="283" t="n">
        <f aca="false">AK117+AK118+AK119</f>
        <v>0</v>
      </c>
      <c r="AL120" s="283" t="n">
        <f aca="false">AL117+AL118+AL119</f>
        <v>0</v>
      </c>
      <c r="AM120" s="283" t="n">
        <f aca="false">AM117+AM118+AM119</f>
        <v>0</v>
      </c>
      <c r="AN120" s="283" t="n">
        <f aca="false">AN117+AN118+AN119</f>
        <v>0</v>
      </c>
      <c r="AO120" s="283" t="n">
        <f aca="false">AO117+AO118+AO119</f>
        <v>0</v>
      </c>
      <c r="AP120" s="283" t="n">
        <f aca="false">AP117+AP118+AP119</f>
        <v>0</v>
      </c>
      <c r="AQ120" s="283" t="n">
        <f aca="false">AQ117+AQ118+AQ119</f>
        <v>0</v>
      </c>
      <c r="AR120" s="283" t="n">
        <f aca="false">AR117+AR118+AR119</f>
        <v>0</v>
      </c>
      <c r="AS120" s="283" t="n">
        <f aca="false">AS117+AS118+AS119</f>
        <v>0</v>
      </c>
      <c r="AT120" s="283" t="n">
        <f aca="false">AT117+AT118+AT119</f>
        <v>0</v>
      </c>
      <c r="AU120" s="283" t="n">
        <f aca="false">AU117+AU118+AU119</f>
        <v>0</v>
      </c>
      <c r="AV120" s="283" t="n">
        <f aca="false">AV117+AV118+AV119</f>
        <v>0</v>
      </c>
      <c r="AW120" s="283" t="n">
        <f aca="false">AW117+AW118+AW119</f>
        <v>0</v>
      </c>
      <c r="AX120" s="283" t="n">
        <f aca="false">AX117+AX118+AX119</f>
        <v>0</v>
      </c>
      <c r="AY120" s="283" t="n">
        <f aca="false">AY117+AY118+AY119</f>
        <v>0</v>
      </c>
      <c r="AZ120" s="283" t="n">
        <f aca="false">AZ117+AZ118+AZ119</f>
        <v>0</v>
      </c>
      <c r="BA120" s="283" t="n">
        <f aca="false">BA117+BA118+BA119</f>
        <v>0</v>
      </c>
      <c r="BB120" s="283" t="n">
        <f aca="false">BB117+BB118+BB119</f>
        <v>0</v>
      </c>
      <c r="BC120" s="283" t="n">
        <f aca="false">BC117+BC118+BC119</f>
        <v>0</v>
      </c>
      <c r="BD120" s="283" t="n">
        <f aca="false">BD117+BD118+BD119</f>
        <v>0</v>
      </c>
      <c r="BE120" s="283" t="n">
        <f aca="false">BE117+BE118+BE119</f>
        <v>0</v>
      </c>
      <c r="BF120" s="283" t="n">
        <f aca="false">BF117+BF118+BF119</f>
        <v>0</v>
      </c>
      <c r="BG120" s="283" t="n">
        <f aca="false">BG117+BG118+BG119</f>
        <v>0</v>
      </c>
      <c r="BH120" s="283" t="n">
        <f aca="false">BH117+BH118+BH119</f>
        <v>0</v>
      </c>
      <c r="BI120" s="283" t="n">
        <f aca="false">BI117+BI118+BI119</f>
        <v>0</v>
      </c>
      <c r="BJ120" s="283" t="n">
        <f aca="false">BJ117+BJ118+BJ119</f>
        <v>0</v>
      </c>
      <c r="BK120" s="283" t="n">
        <f aca="false">BK117+BK118+BK119</f>
        <v>0</v>
      </c>
      <c r="BL120" s="283" t="n">
        <f aca="false">BL117+BL118+BL119</f>
        <v>27207.3003100127</v>
      </c>
      <c r="BM120" s="283" t="n">
        <f aca="false">BM117+BM118+BM119</f>
        <v>0</v>
      </c>
      <c r="BN120" s="283" t="n">
        <f aca="false">BN117+BN118+BN119</f>
        <v>0</v>
      </c>
      <c r="BO120" s="283" t="n">
        <f aca="false">BO117+BO118+BO119</f>
        <v>0</v>
      </c>
      <c r="BP120" s="283" t="n">
        <f aca="false">BP117+BP118+BP119</f>
        <v>0</v>
      </c>
      <c r="BQ120" s="283" t="n">
        <f aca="false">BQ117+BQ118+BQ119</f>
        <v>0</v>
      </c>
      <c r="BR120" s="283" t="n">
        <f aca="false">BR117+BR118+BR119</f>
        <v>0</v>
      </c>
      <c r="BS120" s="283" t="n">
        <f aca="false">BS117+BS118+BS119</f>
        <v>0</v>
      </c>
      <c r="BT120" s="283" t="n">
        <f aca="false">BT117+BT118+BT119</f>
        <v>0</v>
      </c>
      <c r="BU120" s="283" t="n">
        <f aca="false">BU117+BU118+BU119</f>
        <v>0</v>
      </c>
      <c r="BV120" s="283" t="n">
        <f aca="false">BV117+BV118+BV119</f>
        <v>0</v>
      </c>
      <c r="BW120" s="283" t="n">
        <f aca="false">BW117+BW118+BW119</f>
        <v>0</v>
      </c>
      <c r="BX120" s="283" t="n">
        <f aca="false">BX117+BX118+BX119</f>
        <v>0</v>
      </c>
      <c r="BY120" s="283" t="n">
        <f aca="false">BY117+BY118+BY119</f>
        <v>0</v>
      </c>
      <c r="BZ120" s="283" t="n">
        <f aca="false">BZ117+BZ118+BZ119</f>
        <v>0</v>
      </c>
      <c r="CA120" s="283" t="n">
        <f aca="false">CA117+CA118+CA119</f>
        <v>0</v>
      </c>
      <c r="CB120" s="283" t="n">
        <f aca="false">CB117+CB118+CB119</f>
        <v>0</v>
      </c>
      <c r="CC120" s="283" t="n">
        <f aca="false">CC117+CC118+CC119</f>
        <v>0</v>
      </c>
      <c r="CD120" s="283" t="n">
        <f aca="false">CD117+CD118+CD119</f>
        <v>0</v>
      </c>
      <c r="CE120" s="283" t="n">
        <f aca="false">CE117+CE118+CE119</f>
        <v>0</v>
      </c>
      <c r="CF120" s="283" t="n">
        <f aca="false">CF117+CF118+CF119</f>
        <v>0</v>
      </c>
      <c r="CG120" s="283" t="n">
        <f aca="false">CG117+CG118+CG119</f>
        <v>0</v>
      </c>
      <c r="CH120" s="283" t="n">
        <f aca="false">CH117+CH118+CH119</f>
        <v>0</v>
      </c>
      <c r="CI120" s="283" t="n">
        <f aca="false">CI117+CI118+CI119</f>
        <v>0</v>
      </c>
      <c r="CJ120" s="283" t="n">
        <f aca="false">CJ117+CJ118+CJ119</f>
        <v>0</v>
      </c>
      <c r="CK120" s="283" t="n">
        <f aca="false">CK117+CK118+CK119</f>
        <v>0</v>
      </c>
      <c r="CL120" s="283" t="n">
        <f aca="false">CL117+CL118+CL119</f>
        <v>0</v>
      </c>
      <c r="CM120" s="283" t="n">
        <f aca="false">CM117+CM118+CM119</f>
        <v>0</v>
      </c>
      <c r="CN120" s="283" t="n">
        <f aca="false">CN117+CN118+CN119</f>
        <v>0</v>
      </c>
      <c r="CO120" s="283" t="n">
        <f aca="false">CO117+CO118+CO119</f>
        <v>0</v>
      </c>
      <c r="CP120" s="283" t="n">
        <f aca="false">CP117+CP118+CP119</f>
        <v>0</v>
      </c>
      <c r="CQ120" s="283" t="n">
        <f aca="false">CQ117+CQ118+CQ119</f>
        <v>0</v>
      </c>
      <c r="CR120" s="283" t="n">
        <f aca="false">CR117+CR118+CR119</f>
        <v>0</v>
      </c>
      <c r="CS120" s="283" t="n">
        <f aca="false">CS117+CS118+CS119</f>
        <v>0</v>
      </c>
      <c r="CT120" s="283" t="n">
        <f aca="false">CT117+CT118+CT119</f>
        <v>0</v>
      </c>
      <c r="CU120" s="283" t="n">
        <f aca="false">CU117+CU118+CU119</f>
        <v>0</v>
      </c>
      <c r="CV120" s="283" t="n">
        <f aca="false">CV117+CV118+CV119</f>
        <v>0</v>
      </c>
      <c r="CW120" s="283" t="n">
        <f aca="false">CW117+CW118+CW119</f>
        <v>0</v>
      </c>
      <c r="CX120" s="283" t="n">
        <f aca="false">CX117+CX118+CX119</f>
        <v>0</v>
      </c>
      <c r="CY120" s="283" t="n">
        <f aca="false">CY117+CY118+CY119</f>
        <v>0</v>
      </c>
      <c r="CZ120" s="283" t="n">
        <f aca="false">CZ117+CZ118+CZ119</f>
        <v>0</v>
      </c>
      <c r="DA120" s="283" t="n">
        <f aca="false">DA117+DA118+DA119</f>
        <v>0</v>
      </c>
      <c r="DB120" s="283" t="n">
        <f aca="false">DB117+DB118+DB119</f>
        <v>0</v>
      </c>
      <c r="DC120" s="283" t="n">
        <f aca="false">DC117+DC118+DC119</f>
        <v>0</v>
      </c>
      <c r="DD120" s="283" t="n">
        <f aca="false">DD117+DD118+DD119</f>
        <v>0</v>
      </c>
      <c r="DE120" s="283" t="n">
        <f aca="false">DE117+DE118+DE119</f>
        <v>0</v>
      </c>
      <c r="DF120" s="283" t="n">
        <f aca="false">DF117+DF118+DF119</f>
        <v>0</v>
      </c>
      <c r="DG120" s="283" t="n">
        <f aca="false">DG117+DG118+DG119</f>
        <v>0</v>
      </c>
      <c r="DH120" s="283" t="n">
        <f aca="false">DH117+DH118+DH119</f>
        <v>0</v>
      </c>
      <c r="DI120" s="283" t="n">
        <f aca="false">DI117+DI118+DI119</f>
        <v>0</v>
      </c>
      <c r="DJ120" s="283" t="n">
        <f aca="false">DJ117+DJ118+DJ119</f>
        <v>0</v>
      </c>
      <c r="DK120" s="283" t="n">
        <f aca="false">DK117+DK118+DK119</f>
        <v>0</v>
      </c>
      <c r="DL120" s="283" t="n">
        <f aca="false">DL117+DL118+DL119</f>
        <v>0</v>
      </c>
      <c r="DM120" s="283" t="n">
        <f aca="false">DM117+DM118+DM119</f>
        <v>0</v>
      </c>
      <c r="DN120" s="283" t="n">
        <f aca="false">DN117+DN118+DN119</f>
        <v>0</v>
      </c>
      <c r="DO120" s="283" t="n">
        <f aca="false">DO117+DO118+DO119</f>
        <v>0</v>
      </c>
      <c r="DP120" s="283" t="n">
        <f aca="false">DP117+DP118+DP119</f>
        <v>0</v>
      </c>
      <c r="DQ120" s="283" t="n">
        <f aca="false">DQ117+DQ118+DQ119</f>
        <v>0</v>
      </c>
      <c r="DR120" s="283" t="n">
        <f aca="false">DR117+DR118+DR119</f>
        <v>0</v>
      </c>
      <c r="DS120" s="283" t="n">
        <f aca="false">DS117+DS118+DS119</f>
        <v>0</v>
      </c>
      <c r="DT120" s="283" t="n">
        <f aca="false">DT117+DT118+DT119</f>
        <v>0</v>
      </c>
      <c r="DU120" s="283" t="n">
        <f aca="false">DU117+DU118+DU119</f>
        <v>0</v>
      </c>
      <c r="DV120" s="283" t="n">
        <f aca="false">DV117+DV118+DV119</f>
        <v>0</v>
      </c>
      <c r="DW120" s="283" t="n">
        <f aca="false">DW117+DW118+DW119</f>
        <v>0</v>
      </c>
      <c r="DX120" s="283" t="n">
        <f aca="false">DX117+DX118+DX119</f>
        <v>0</v>
      </c>
      <c r="DY120" s="283" t="n">
        <f aca="false">DY117+DY118+DY119</f>
        <v>0</v>
      </c>
      <c r="DZ120" s="283" t="n">
        <f aca="false">DZ117+DZ118+DZ119</f>
        <v>0</v>
      </c>
      <c r="EA120" s="283" t="n">
        <f aca="false">EA117+EA118+EA119</f>
        <v>0</v>
      </c>
      <c r="EB120" s="283" t="n">
        <f aca="false">EB117+EB118+EB119</f>
        <v>0</v>
      </c>
      <c r="EC120" s="283" t="n">
        <f aca="false">EC117+EC118+EC119</f>
        <v>0</v>
      </c>
      <c r="ED120" s="283" t="n">
        <f aca="false">ED117+ED118+ED119</f>
        <v>0</v>
      </c>
      <c r="EE120" s="283" t="n">
        <f aca="false">EE117+EE118+EE119</f>
        <v>0</v>
      </c>
      <c r="EF120" s="283" t="n">
        <f aca="false">EF117+EF118+EF119</f>
        <v>0</v>
      </c>
    </row>
    <row r="121" customFormat="false" ht="15" hidden="false" customHeight="false" outlineLevel="0" collapsed="false">
      <c r="A121" s="153" t="s">
        <v>660</v>
      </c>
      <c r="B121" s="278" t="s">
        <v>21</v>
      </c>
      <c r="C121" s="279" t="n">
        <f aca="false">MAX(E121:EF121)</f>
        <v>0</v>
      </c>
      <c r="E121" s="37" t="n">
        <f aca="false">0+E115-E117</f>
        <v>0</v>
      </c>
      <c r="F121" s="37" t="n">
        <f aca="false">E121+F115-F117</f>
        <v>0</v>
      </c>
      <c r="G121" s="37" t="n">
        <f aca="false">F121+G115-G117</f>
        <v>0</v>
      </c>
      <c r="H121" s="37" t="n">
        <f aca="false">G121+H115-H117</f>
        <v>0</v>
      </c>
      <c r="I121" s="37" t="n">
        <f aca="false">H121+I115-I117</f>
        <v>0</v>
      </c>
      <c r="J121" s="37" t="n">
        <f aca="false">I121+J115-J117</f>
        <v>0</v>
      </c>
      <c r="K121" s="37" t="n">
        <f aca="false">J121+K115-K117</f>
        <v>0</v>
      </c>
      <c r="L121" s="37" t="n">
        <f aca="false">K121+L115-L117</f>
        <v>0</v>
      </c>
      <c r="M121" s="37" t="n">
        <f aca="false">L121+M115-M117</f>
        <v>0</v>
      </c>
      <c r="N121" s="37" t="n">
        <f aca="false">M121+N115-N117</f>
        <v>0</v>
      </c>
      <c r="O121" s="37" t="n">
        <f aca="false">N121+O115-O117</f>
        <v>0</v>
      </c>
      <c r="P121" s="37" t="n">
        <f aca="false">O121+P115-P117</f>
        <v>0</v>
      </c>
      <c r="Q121" s="37" t="n">
        <f aca="false">P121+Q115-Q117</f>
        <v>0</v>
      </c>
      <c r="R121" s="37" t="n">
        <f aca="false">Q121+R115-R117</f>
        <v>0</v>
      </c>
      <c r="S121" s="37" t="n">
        <f aca="false">R121+S115-S117</f>
        <v>0</v>
      </c>
      <c r="T121" s="37" t="n">
        <f aca="false">S121+T115-T117</f>
        <v>0</v>
      </c>
      <c r="U121" s="37" t="n">
        <f aca="false">T121+U115-U117</f>
        <v>0</v>
      </c>
      <c r="V121" s="37" t="n">
        <f aca="false">U121+V115-V117</f>
        <v>0</v>
      </c>
      <c r="W121" s="37" t="n">
        <f aca="false">V121+W115-W117</f>
        <v>0</v>
      </c>
      <c r="X121" s="37" t="n">
        <f aca="false">W121+X115-X117</f>
        <v>0</v>
      </c>
      <c r="Y121" s="37" t="n">
        <f aca="false">X121+Y115-Y117</f>
        <v>0</v>
      </c>
      <c r="Z121" s="37" t="n">
        <f aca="false">Y121+Z115-Z117</f>
        <v>0</v>
      </c>
      <c r="AA121" s="37" t="n">
        <f aca="false">Z121+AA115-AA117</f>
        <v>0</v>
      </c>
      <c r="AB121" s="37" t="n">
        <f aca="false">AA121+AB115-AB117</f>
        <v>0</v>
      </c>
      <c r="AC121" s="37" t="n">
        <f aca="false">AB121+AC115-AC117</f>
        <v>0</v>
      </c>
      <c r="AD121" s="37" t="n">
        <f aca="false">AC121+AD115-AD117</f>
        <v>0</v>
      </c>
      <c r="AE121" s="37" t="n">
        <f aca="false">AD121+AE115-AE117</f>
        <v>0</v>
      </c>
      <c r="AF121" s="37" t="n">
        <f aca="false">AE121+AF115-AF117</f>
        <v>0</v>
      </c>
      <c r="AG121" s="37" t="n">
        <f aca="false">AF121+AG115-AG117</f>
        <v>0</v>
      </c>
      <c r="AH121" s="37" t="n">
        <f aca="false">AG121+AH115-AH117</f>
        <v>0</v>
      </c>
      <c r="AI121" s="37" t="n">
        <f aca="false">AH121+AI115-AI117</f>
        <v>0</v>
      </c>
      <c r="AJ121" s="37" t="n">
        <f aca="false">AI121+AJ115-AJ117</f>
        <v>0</v>
      </c>
      <c r="AK121" s="37" t="n">
        <f aca="false">AJ121+AK115-AK117</f>
        <v>0</v>
      </c>
      <c r="AL121" s="37" t="n">
        <f aca="false">AK121+AL115-AL117</f>
        <v>0</v>
      </c>
      <c r="AM121" s="37" t="n">
        <f aca="false">AL121+AM115-AM117</f>
        <v>0</v>
      </c>
      <c r="AN121" s="37" t="n">
        <f aca="false">AM121+AN115-AN117</f>
        <v>0</v>
      </c>
      <c r="AO121" s="37" t="n">
        <f aca="false">AN121+AO115-AO117</f>
        <v>0</v>
      </c>
      <c r="AP121" s="37" t="n">
        <f aca="false">AO121+AP115-AP117</f>
        <v>0</v>
      </c>
      <c r="AQ121" s="37" t="n">
        <f aca="false">AP121+AQ115-AQ117</f>
        <v>0</v>
      </c>
      <c r="AR121" s="37" t="n">
        <f aca="false">AQ121+AR115-AR117</f>
        <v>0</v>
      </c>
      <c r="AS121" s="37" t="n">
        <f aca="false">AR121+AS115-AS117</f>
        <v>0</v>
      </c>
      <c r="AT121" s="37" t="n">
        <f aca="false">AS121+AT115-AT117</f>
        <v>0</v>
      </c>
      <c r="AU121" s="37" t="n">
        <f aca="false">AT121+AU115-AU117</f>
        <v>0</v>
      </c>
      <c r="AV121" s="37" t="n">
        <f aca="false">AU121+AV115-AV117</f>
        <v>0</v>
      </c>
      <c r="AW121" s="37" t="n">
        <f aca="false">AV121+AW115-AW117</f>
        <v>0</v>
      </c>
      <c r="AX121" s="37" t="n">
        <f aca="false">AW121+AX115-AX117</f>
        <v>0</v>
      </c>
      <c r="AY121" s="37" t="n">
        <f aca="false">AX121+AY115-AY117</f>
        <v>0</v>
      </c>
      <c r="AZ121" s="37" t="n">
        <f aca="false">AY121+AZ115-AZ117</f>
        <v>0</v>
      </c>
      <c r="BA121" s="37" t="n">
        <f aca="false">AZ121+BA115-BA117</f>
        <v>0</v>
      </c>
      <c r="BB121" s="37" t="n">
        <f aca="false">BA121+BB115-BB117</f>
        <v>0</v>
      </c>
      <c r="BC121" s="37" t="n">
        <f aca="false">BB121+BC115-BC117</f>
        <v>0</v>
      </c>
      <c r="BD121" s="37" t="n">
        <f aca="false">BC121+BD115-BD117</f>
        <v>0</v>
      </c>
      <c r="BE121" s="37" t="n">
        <f aca="false">BD121+BE115-BE117</f>
        <v>0</v>
      </c>
      <c r="BF121" s="37" t="n">
        <f aca="false">BE121+BF115-BF117</f>
        <v>0</v>
      </c>
      <c r="BG121" s="37" t="n">
        <f aca="false">BF121+BG115-BG117</f>
        <v>0</v>
      </c>
      <c r="BH121" s="37" t="n">
        <f aca="false">BG121+BH115-BH117</f>
        <v>0</v>
      </c>
      <c r="BI121" s="37" t="n">
        <f aca="false">BH121+BI115-BI117</f>
        <v>0</v>
      </c>
      <c r="BJ121" s="37" t="n">
        <f aca="false">BI121+BJ115-BJ117</f>
        <v>0</v>
      </c>
      <c r="BK121" s="37" t="n">
        <f aca="false">BJ121+BK115-BK117</f>
        <v>0</v>
      </c>
      <c r="BL121" s="37" t="n">
        <f aca="false">BK121+BL115-BL117</f>
        <v>0</v>
      </c>
      <c r="BM121" s="37" t="n">
        <f aca="false">BL121+BM115-BM117</f>
        <v>0</v>
      </c>
      <c r="BN121" s="37" t="n">
        <f aca="false">BM121+BN115-BN117</f>
        <v>0</v>
      </c>
      <c r="BO121" s="37" t="n">
        <f aca="false">BN121+BO115-BO117</f>
        <v>0</v>
      </c>
      <c r="BP121" s="37" t="n">
        <f aca="false">BO121+BP115-BP117</f>
        <v>0</v>
      </c>
      <c r="BQ121" s="37" t="n">
        <f aca="false">BP121+BQ115-BQ117</f>
        <v>0</v>
      </c>
      <c r="BR121" s="37" t="n">
        <f aca="false">BQ121+BR115-BR117</f>
        <v>0</v>
      </c>
      <c r="BS121" s="37" t="n">
        <f aca="false">BR121+BS115-BS117</f>
        <v>0</v>
      </c>
      <c r="BT121" s="37" t="n">
        <f aca="false">BS121+BT115-BT117</f>
        <v>0</v>
      </c>
      <c r="BU121" s="37" t="n">
        <f aca="false">BT121+BU115-BU117</f>
        <v>0</v>
      </c>
      <c r="BV121" s="37" t="n">
        <f aca="false">BU121+BV115-BV117</f>
        <v>0</v>
      </c>
      <c r="BW121" s="37" t="n">
        <f aca="false">BV121+BW115-BW117</f>
        <v>0</v>
      </c>
      <c r="BX121" s="37" t="n">
        <f aca="false">BW121+BX115-BX117</f>
        <v>0</v>
      </c>
      <c r="BY121" s="37" t="n">
        <f aca="false">BX121+BY115-BY117</f>
        <v>0</v>
      </c>
      <c r="BZ121" s="37" t="n">
        <f aca="false">BY121+BZ115-BZ117</f>
        <v>0</v>
      </c>
      <c r="CA121" s="37" t="n">
        <f aca="false">BZ121+CA115-CA117</f>
        <v>0</v>
      </c>
      <c r="CB121" s="37" t="n">
        <f aca="false">CA121+CB115-CB117</f>
        <v>0</v>
      </c>
      <c r="CC121" s="37" t="n">
        <f aca="false">CB121+CC115-CC117</f>
        <v>0</v>
      </c>
      <c r="CD121" s="37" t="n">
        <f aca="false">CC121+CD115-CD117</f>
        <v>0</v>
      </c>
      <c r="CE121" s="37" t="n">
        <f aca="false">CD121+CE115-CE117</f>
        <v>0</v>
      </c>
      <c r="CF121" s="37" t="n">
        <f aca="false">CE121+CF115-CF117</f>
        <v>0</v>
      </c>
      <c r="CG121" s="37" t="n">
        <f aca="false">CF121+CG115-CG117</f>
        <v>0</v>
      </c>
      <c r="CH121" s="37" t="n">
        <f aca="false">CG121+CH115-CH117</f>
        <v>0</v>
      </c>
      <c r="CI121" s="37" t="n">
        <f aca="false">CH121+CI115-CI117</f>
        <v>0</v>
      </c>
      <c r="CJ121" s="37" t="n">
        <f aca="false">CI121+CJ115-CJ117</f>
        <v>0</v>
      </c>
      <c r="CK121" s="37" t="n">
        <f aca="false">CJ121+CK115-CK117</f>
        <v>0</v>
      </c>
      <c r="CL121" s="37" t="n">
        <f aca="false">CK121+CL115-CL117</f>
        <v>0</v>
      </c>
      <c r="CM121" s="37" t="n">
        <f aca="false">CL121+CM115-CM117</f>
        <v>0</v>
      </c>
      <c r="CN121" s="37" t="n">
        <f aca="false">CM121+CN115-CN117</f>
        <v>0</v>
      </c>
      <c r="CO121" s="37" t="n">
        <f aca="false">CN121+CO115-CO117</f>
        <v>0</v>
      </c>
      <c r="CP121" s="37" t="n">
        <f aca="false">CO121+CP115-CP117</f>
        <v>0</v>
      </c>
      <c r="CQ121" s="37" t="n">
        <f aca="false">CP121+CQ115-CQ117</f>
        <v>0</v>
      </c>
      <c r="CR121" s="37" t="n">
        <f aca="false">CQ121+CR115-CR117</f>
        <v>0</v>
      </c>
      <c r="CS121" s="37" t="n">
        <f aca="false">CR121+CS115-CS117</f>
        <v>0</v>
      </c>
      <c r="CT121" s="37" t="n">
        <f aca="false">CS121+CT115-CT117</f>
        <v>0</v>
      </c>
      <c r="CU121" s="37" t="n">
        <f aca="false">CT121+CU115-CU117</f>
        <v>0</v>
      </c>
      <c r="CV121" s="37" t="n">
        <f aca="false">CU121+CV115-CV117</f>
        <v>0</v>
      </c>
      <c r="CW121" s="37" t="n">
        <f aca="false">CV121+CW115-CW117</f>
        <v>0</v>
      </c>
      <c r="CX121" s="37" t="n">
        <f aca="false">CW121+CX115-CX117</f>
        <v>0</v>
      </c>
      <c r="CY121" s="37" t="n">
        <f aca="false">CX121+CY115-CY117</f>
        <v>0</v>
      </c>
      <c r="CZ121" s="37" t="n">
        <f aca="false">CY121+CZ115-CZ117</f>
        <v>0</v>
      </c>
      <c r="DA121" s="37" t="n">
        <f aca="false">CZ121+DA115-DA117</f>
        <v>0</v>
      </c>
      <c r="DB121" s="37" t="n">
        <f aca="false">DA121+DB115-DB117</f>
        <v>0</v>
      </c>
      <c r="DC121" s="37" t="n">
        <f aca="false">DB121+DC115-DC117</f>
        <v>0</v>
      </c>
      <c r="DD121" s="37" t="n">
        <f aca="false">DC121+DD115-DD117</f>
        <v>0</v>
      </c>
      <c r="DE121" s="37" t="n">
        <f aca="false">DD121+DE115-DE117</f>
        <v>0</v>
      </c>
      <c r="DF121" s="37" t="n">
        <f aca="false">DE121+DF115-DF117</f>
        <v>0</v>
      </c>
      <c r="DG121" s="37" t="n">
        <f aca="false">DF121+DG115-DG117</f>
        <v>0</v>
      </c>
      <c r="DH121" s="37" t="n">
        <f aca="false">DG121+DH115-DH117</f>
        <v>0</v>
      </c>
      <c r="DI121" s="37" t="n">
        <f aca="false">DH121+DI115-DI117</f>
        <v>0</v>
      </c>
      <c r="DJ121" s="37" t="n">
        <f aca="false">DI121+DJ115-DJ117</f>
        <v>0</v>
      </c>
      <c r="DK121" s="37" t="n">
        <f aca="false">DJ121+DK115-DK117</f>
        <v>0</v>
      </c>
      <c r="DL121" s="37" t="n">
        <f aca="false">DK121+DL115-DL117</f>
        <v>0</v>
      </c>
      <c r="DM121" s="37" t="n">
        <f aca="false">DL121+DM115-DM117</f>
        <v>0</v>
      </c>
      <c r="DN121" s="37" t="n">
        <f aca="false">DM121+DN115-DN117</f>
        <v>0</v>
      </c>
      <c r="DO121" s="37" t="n">
        <f aca="false">DN121+DO115-DO117</f>
        <v>0</v>
      </c>
      <c r="DP121" s="37" t="n">
        <f aca="false">DO121+DP115-DP117</f>
        <v>0</v>
      </c>
      <c r="DQ121" s="37" t="n">
        <f aca="false">DP121+DQ115-DQ117</f>
        <v>0</v>
      </c>
      <c r="DR121" s="37" t="n">
        <f aca="false">DQ121+DR115-DR117</f>
        <v>0</v>
      </c>
      <c r="DS121" s="37" t="n">
        <f aca="false">DR121+DS115-DS117</f>
        <v>0</v>
      </c>
      <c r="DT121" s="37" t="n">
        <f aca="false">DS121+DT115-DT117</f>
        <v>0</v>
      </c>
      <c r="DU121" s="37" t="n">
        <f aca="false">DT121+DU115-DU117</f>
        <v>0</v>
      </c>
      <c r="DV121" s="37" t="n">
        <f aca="false">DU121+DV115-DV117</f>
        <v>0</v>
      </c>
      <c r="DW121" s="37" t="n">
        <f aca="false">DV121+DW115-DW117</f>
        <v>0</v>
      </c>
      <c r="DX121" s="37" t="n">
        <f aca="false">DW121+DX115-DX117</f>
        <v>0</v>
      </c>
      <c r="DY121" s="37" t="n">
        <f aca="false">DX121+DY115-DY117</f>
        <v>0</v>
      </c>
      <c r="DZ121" s="37" t="n">
        <f aca="false">DY121+DZ115-DZ117</f>
        <v>0</v>
      </c>
      <c r="EA121" s="37" t="n">
        <f aca="false">DZ121+EA115-EA117</f>
        <v>0</v>
      </c>
      <c r="EB121" s="37" t="n">
        <f aca="false">EA121+EB115-EB117</f>
        <v>0</v>
      </c>
      <c r="EC121" s="37" t="n">
        <f aca="false">EB121+EC115-EC117</f>
        <v>0</v>
      </c>
      <c r="ED121" s="37" t="n">
        <f aca="false">EC121+ED115-ED117</f>
        <v>0</v>
      </c>
      <c r="EE121" s="37" t="n">
        <f aca="false">ED121+EE115-EE117</f>
        <v>0</v>
      </c>
      <c r="EF121" s="37" t="n">
        <f aca="false">EE121+EF115-EF117</f>
        <v>0</v>
      </c>
    </row>
    <row r="122" customFormat="false" ht="15" hidden="false" customHeight="false" outlineLevel="0" collapsed="false">
      <c r="A122" s="153" t="s">
        <v>661</v>
      </c>
      <c r="B122" s="278" t="s">
        <v>21</v>
      </c>
      <c r="C122" s="279" t="n">
        <f aca="false">MAX(E122:EF122)</f>
        <v>0</v>
      </c>
      <c r="E122" s="37" t="n">
        <f aca="false">0+E114-E118</f>
        <v>0</v>
      </c>
      <c r="F122" s="37" t="n">
        <f aca="false">E122+F114-F118</f>
        <v>0</v>
      </c>
      <c r="G122" s="37" t="n">
        <f aca="false">F122+G114-G118</f>
        <v>0</v>
      </c>
      <c r="H122" s="37" t="n">
        <f aca="false">G122+H114-H118</f>
        <v>0</v>
      </c>
      <c r="I122" s="37" t="n">
        <f aca="false">H122+I114-I118</f>
        <v>0</v>
      </c>
      <c r="J122" s="37" t="n">
        <f aca="false">I122+J114-J118</f>
        <v>0</v>
      </c>
      <c r="K122" s="37" t="n">
        <f aca="false">J122+K114-K118</f>
        <v>0</v>
      </c>
      <c r="L122" s="37" t="n">
        <f aca="false">K122+L114-L118</f>
        <v>0</v>
      </c>
      <c r="M122" s="37" t="n">
        <f aca="false">L122+M114-M118</f>
        <v>0</v>
      </c>
      <c r="N122" s="37" t="n">
        <f aca="false">M122+N114-N118</f>
        <v>0</v>
      </c>
      <c r="O122" s="37" t="n">
        <f aca="false">N122+O114-O118</f>
        <v>0</v>
      </c>
      <c r="P122" s="37" t="n">
        <f aca="false">O122+P114-P118</f>
        <v>0</v>
      </c>
      <c r="Q122" s="37" t="n">
        <f aca="false">P122+Q114-Q118</f>
        <v>0</v>
      </c>
      <c r="R122" s="37" t="n">
        <f aca="false">Q122+R114-R118</f>
        <v>0</v>
      </c>
      <c r="S122" s="37" t="n">
        <f aca="false">R122+S114-S118</f>
        <v>0</v>
      </c>
      <c r="T122" s="37" t="n">
        <f aca="false">S122+T114-T118</f>
        <v>0</v>
      </c>
      <c r="U122" s="37" t="n">
        <f aca="false">T122+U114-U118</f>
        <v>0</v>
      </c>
      <c r="V122" s="37" t="n">
        <f aca="false">U122+V114-V118</f>
        <v>0</v>
      </c>
      <c r="W122" s="37" t="n">
        <f aca="false">V122+W114-W118</f>
        <v>0</v>
      </c>
      <c r="X122" s="37" t="n">
        <f aca="false">W122+X114-X118</f>
        <v>0</v>
      </c>
      <c r="Y122" s="37" t="n">
        <f aca="false">X122+Y114-Y118</f>
        <v>0</v>
      </c>
      <c r="Z122" s="37" t="n">
        <f aca="false">Y122+Z114-Z118</f>
        <v>0</v>
      </c>
      <c r="AA122" s="37" t="n">
        <f aca="false">Z122+AA114-AA118</f>
        <v>0</v>
      </c>
      <c r="AB122" s="37" t="n">
        <f aca="false">AA122+AB114-AB118</f>
        <v>0</v>
      </c>
      <c r="AC122" s="37" t="n">
        <f aca="false">AB122+AC114-AC118</f>
        <v>0</v>
      </c>
      <c r="AD122" s="37" t="n">
        <f aca="false">AC122+AD114-AD118</f>
        <v>0</v>
      </c>
      <c r="AE122" s="37" t="n">
        <f aca="false">AD122+AE114-AE118</f>
        <v>0</v>
      </c>
      <c r="AF122" s="37" t="n">
        <f aca="false">AE122+AF114-AF118</f>
        <v>0</v>
      </c>
      <c r="AG122" s="37" t="n">
        <f aca="false">AF122+AG114-AG118</f>
        <v>0</v>
      </c>
      <c r="AH122" s="37" t="n">
        <f aca="false">AG122+AH114-AH118</f>
        <v>0</v>
      </c>
      <c r="AI122" s="37" t="n">
        <f aca="false">AH122+AI114-AI118</f>
        <v>0</v>
      </c>
      <c r="AJ122" s="37" t="n">
        <f aca="false">AI122+AJ114-AJ118</f>
        <v>0</v>
      </c>
      <c r="AK122" s="37" t="n">
        <f aca="false">AJ122+AK114-AK118</f>
        <v>0</v>
      </c>
      <c r="AL122" s="37" t="n">
        <f aca="false">AK122+AL114-AL118</f>
        <v>0</v>
      </c>
      <c r="AM122" s="37" t="n">
        <f aca="false">AL122+AM114-AM118</f>
        <v>0</v>
      </c>
      <c r="AN122" s="37" t="n">
        <f aca="false">AM122+AN114-AN118</f>
        <v>0</v>
      </c>
      <c r="AO122" s="37" t="n">
        <f aca="false">AN122+AO114-AO118</f>
        <v>0</v>
      </c>
      <c r="AP122" s="37" t="n">
        <f aca="false">AO122+AP114-AP118</f>
        <v>0</v>
      </c>
      <c r="AQ122" s="37" t="n">
        <f aca="false">AP122+AQ114-AQ118</f>
        <v>0</v>
      </c>
      <c r="AR122" s="37" t="n">
        <f aca="false">AQ122+AR114-AR118</f>
        <v>0</v>
      </c>
      <c r="AS122" s="37" t="n">
        <f aca="false">AR122+AS114-AS118</f>
        <v>0</v>
      </c>
      <c r="AT122" s="37" t="n">
        <f aca="false">AS122+AT114-AT118</f>
        <v>0</v>
      </c>
      <c r="AU122" s="37" t="n">
        <f aca="false">AT122+AU114-AU118</f>
        <v>0</v>
      </c>
      <c r="AV122" s="37" t="n">
        <f aca="false">AU122+AV114-AV118</f>
        <v>0</v>
      </c>
      <c r="AW122" s="37" t="n">
        <f aca="false">AV122+AW114-AW118</f>
        <v>0</v>
      </c>
      <c r="AX122" s="37" t="n">
        <f aca="false">AW122+AX114-AX118</f>
        <v>0</v>
      </c>
      <c r="AY122" s="37" t="n">
        <f aca="false">AX122+AY114-AY118</f>
        <v>0</v>
      </c>
      <c r="AZ122" s="37" t="n">
        <f aca="false">AY122+AZ114-AZ118</f>
        <v>0</v>
      </c>
      <c r="BA122" s="37" t="n">
        <f aca="false">AZ122+BA114-BA118</f>
        <v>0</v>
      </c>
      <c r="BB122" s="37" t="n">
        <f aca="false">BA122+BB114-BB118</f>
        <v>0</v>
      </c>
      <c r="BC122" s="37" t="n">
        <f aca="false">BB122+BC114-BC118</f>
        <v>0</v>
      </c>
      <c r="BD122" s="37" t="n">
        <f aca="false">BC122+BD114-BD118</f>
        <v>0</v>
      </c>
      <c r="BE122" s="37" t="n">
        <f aca="false">BD122+BE114-BE118</f>
        <v>0</v>
      </c>
      <c r="BF122" s="37" t="n">
        <f aca="false">BE122+BF114-BF118</f>
        <v>0</v>
      </c>
      <c r="BG122" s="37" t="n">
        <f aca="false">BF122+BG114-BG118</f>
        <v>0</v>
      </c>
      <c r="BH122" s="37" t="n">
        <f aca="false">BG122+BH114-BH118</f>
        <v>0</v>
      </c>
      <c r="BI122" s="37" t="n">
        <f aca="false">BH122+BI114-BI118</f>
        <v>0</v>
      </c>
      <c r="BJ122" s="37" t="n">
        <f aca="false">BI122+BJ114-BJ118</f>
        <v>0</v>
      </c>
      <c r="BK122" s="37" t="n">
        <f aca="false">BJ122+BK114-BK118</f>
        <v>0</v>
      </c>
      <c r="BL122" s="37" t="n">
        <f aca="false">BK122+BL114-BL118</f>
        <v>0</v>
      </c>
      <c r="BM122" s="37" t="n">
        <f aca="false">BL122+BM114-BM118</f>
        <v>0</v>
      </c>
      <c r="BN122" s="37" t="n">
        <f aca="false">BM122+BN114-BN118</f>
        <v>0</v>
      </c>
      <c r="BO122" s="37" t="n">
        <f aca="false">BN122+BO114-BO118</f>
        <v>0</v>
      </c>
      <c r="BP122" s="37" t="n">
        <f aca="false">BO122+BP114-BP118</f>
        <v>0</v>
      </c>
      <c r="BQ122" s="37" t="n">
        <f aca="false">BP122+BQ114-BQ118</f>
        <v>0</v>
      </c>
      <c r="BR122" s="37" t="n">
        <f aca="false">BQ122+BR114-BR118</f>
        <v>0</v>
      </c>
      <c r="BS122" s="37" t="n">
        <f aca="false">BR122+BS114-BS118</f>
        <v>0</v>
      </c>
      <c r="BT122" s="37" t="n">
        <f aca="false">BS122+BT114-BT118</f>
        <v>0</v>
      </c>
      <c r="BU122" s="37" t="n">
        <f aca="false">BT122+BU114-BU118</f>
        <v>0</v>
      </c>
      <c r="BV122" s="37" t="n">
        <f aca="false">BU122+BV114-BV118</f>
        <v>0</v>
      </c>
      <c r="BW122" s="37" t="n">
        <f aca="false">BV122+BW114-BW118</f>
        <v>0</v>
      </c>
      <c r="BX122" s="37" t="n">
        <f aca="false">BW122+BX114-BX118</f>
        <v>0</v>
      </c>
      <c r="BY122" s="37" t="n">
        <f aca="false">BX122+BY114-BY118</f>
        <v>0</v>
      </c>
      <c r="BZ122" s="37" t="n">
        <f aca="false">BY122+BZ114-BZ118</f>
        <v>0</v>
      </c>
      <c r="CA122" s="37" t="n">
        <f aca="false">BZ122+CA114-CA118</f>
        <v>0</v>
      </c>
      <c r="CB122" s="37" t="n">
        <f aca="false">CA122+CB114-CB118</f>
        <v>0</v>
      </c>
      <c r="CC122" s="37" t="n">
        <f aca="false">CB122+CC114-CC118</f>
        <v>0</v>
      </c>
      <c r="CD122" s="37" t="n">
        <f aca="false">CC122+CD114-CD118</f>
        <v>0</v>
      </c>
      <c r="CE122" s="37" t="n">
        <f aca="false">CD122+CE114-CE118</f>
        <v>0</v>
      </c>
      <c r="CF122" s="37" t="n">
        <f aca="false">CE122+CF114-CF118</f>
        <v>0</v>
      </c>
      <c r="CG122" s="37" t="n">
        <f aca="false">CF122+CG114-CG118</f>
        <v>0</v>
      </c>
      <c r="CH122" s="37" t="n">
        <f aca="false">CG122+CH114-CH118</f>
        <v>0</v>
      </c>
      <c r="CI122" s="37" t="n">
        <f aca="false">CH122+CI114-CI118</f>
        <v>0</v>
      </c>
      <c r="CJ122" s="37" t="n">
        <f aca="false">CI122+CJ114-CJ118</f>
        <v>0</v>
      </c>
      <c r="CK122" s="37" t="n">
        <f aca="false">CJ122+CK114-CK118</f>
        <v>0</v>
      </c>
      <c r="CL122" s="37" t="n">
        <f aca="false">CK122+CL114-CL118</f>
        <v>0</v>
      </c>
      <c r="CM122" s="37" t="n">
        <f aca="false">CL122+CM114-CM118</f>
        <v>0</v>
      </c>
      <c r="CN122" s="37" t="n">
        <f aca="false">CM122+CN114-CN118</f>
        <v>0</v>
      </c>
      <c r="CO122" s="37" t="n">
        <f aca="false">CN122+CO114-CO118</f>
        <v>0</v>
      </c>
      <c r="CP122" s="37" t="n">
        <f aca="false">CO122+CP114-CP118</f>
        <v>0</v>
      </c>
      <c r="CQ122" s="37" t="n">
        <f aca="false">CP122+CQ114-CQ118</f>
        <v>0</v>
      </c>
      <c r="CR122" s="37" t="n">
        <f aca="false">CQ122+CR114-CR118</f>
        <v>0</v>
      </c>
      <c r="CS122" s="37" t="n">
        <f aca="false">CR122+CS114-CS118</f>
        <v>0</v>
      </c>
      <c r="CT122" s="37" t="n">
        <f aca="false">CS122+CT114-CT118</f>
        <v>0</v>
      </c>
      <c r="CU122" s="37" t="n">
        <f aca="false">CT122+CU114-CU118</f>
        <v>0</v>
      </c>
      <c r="CV122" s="37" t="n">
        <f aca="false">CU122+CV114-CV118</f>
        <v>0</v>
      </c>
      <c r="CW122" s="37" t="n">
        <f aca="false">CV122+CW114-CW118</f>
        <v>0</v>
      </c>
      <c r="CX122" s="37" t="n">
        <f aca="false">CW122+CX114-CX118</f>
        <v>0</v>
      </c>
      <c r="CY122" s="37" t="n">
        <f aca="false">CX122+CY114-CY118</f>
        <v>0</v>
      </c>
      <c r="CZ122" s="37" t="n">
        <f aca="false">CY122+CZ114-CZ118</f>
        <v>0</v>
      </c>
      <c r="DA122" s="37" t="n">
        <f aca="false">CZ122+DA114-DA118</f>
        <v>0</v>
      </c>
      <c r="DB122" s="37" t="n">
        <f aca="false">DA122+DB114-DB118</f>
        <v>0</v>
      </c>
      <c r="DC122" s="37" t="n">
        <f aca="false">DB122+DC114-DC118</f>
        <v>0</v>
      </c>
      <c r="DD122" s="37" t="n">
        <f aca="false">DC122+DD114-DD118</f>
        <v>0</v>
      </c>
      <c r="DE122" s="37" t="n">
        <f aca="false">DD122+DE114-DE118</f>
        <v>0</v>
      </c>
      <c r="DF122" s="37" t="n">
        <f aca="false">DE122+DF114-DF118</f>
        <v>0</v>
      </c>
      <c r="DG122" s="37" t="n">
        <f aca="false">DF122+DG114-DG118</f>
        <v>0</v>
      </c>
      <c r="DH122" s="37" t="n">
        <f aca="false">DG122+DH114-DH118</f>
        <v>0</v>
      </c>
      <c r="DI122" s="37" t="n">
        <f aca="false">DH122+DI114-DI118</f>
        <v>0</v>
      </c>
      <c r="DJ122" s="37" t="n">
        <f aca="false">DI122+DJ114-DJ118</f>
        <v>0</v>
      </c>
      <c r="DK122" s="37" t="n">
        <f aca="false">DJ122+DK114-DK118</f>
        <v>0</v>
      </c>
      <c r="DL122" s="37" t="n">
        <f aca="false">DK122+DL114-DL118</f>
        <v>0</v>
      </c>
      <c r="DM122" s="37" t="n">
        <f aca="false">DL122+DM114-DM118</f>
        <v>0</v>
      </c>
      <c r="DN122" s="37" t="n">
        <f aca="false">DM122+DN114-DN118</f>
        <v>0</v>
      </c>
      <c r="DO122" s="37" t="n">
        <f aca="false">DN122+DO114-DO118</f>
        <v>0</v>
      </c>
      <c r="DP122" s="37" t="n">
        <f aca="false">DO122+DP114-DP118</f>
        <v>0</v>
      </c>
      <c r="DQ122" s="37" t="n">
        <f aca="false">DP122+DQ114-DQ118</f>
        <v>0</v>
      </c>
      <c r="DR122" s="37" t="n">
        <f aca="false">DQ122+DR114-DR118</f>
        <v>0</v>
      </c>
      <c r="DS122" s="37" t="n">
        <f aca="false">DR122+DS114-DS118</f>
        <v>0</v>
      </c>
      <c r="DT122" s="37" t="n">
        <f aca="false">DS122+DT114-DT118</f>
        <v>0</v>
      </c>
      <c r="DU122" s="37" t="n">
        <f aca="false">DT122+DU114-DU118</f>
        <v>0</v>
      </c>
      <c r="DV122" s="37" t="n">
        <f aca="false">DU122+DV114-DV118</f>
        <v>0</v>
      </c>
      <c r="DW122" s="37" t="n">
        <f aca="false">DV122+DW114-DW118</f>
        <v>0</v>
      </c>
      <c r="DX122" s="37" t="n">
        <f aca="false">DW122+DX114-DX118</f>
        <v>0</v>
      </c>
      <c r="DY122" s="37" t="n">
        <f aca="false">DX122+DY114-DY118</f>
        <v>0</v>
      </c>
      <c r="DZ122" s="37" t="n">
        <f aca="false">DY122+DZ114-DZ118</f>
        <v>0</v>
      </c>
      <c r="EA122" s="37" t="n">
        <f aca="false">DZ122+EA114-EA118</f>
        <v>0</v>
      </c>
      <c r="EB122" s="37" t="n">
        <f aca="false">EA122+EB114-EB118</f>
        <v>0</v>
      </c>
      <c r="EC122" s="37" t="n">
        <f aca="false">EB122+EC114-EC118</f>
        <v>0</v>
      </c>
      <c r="ED122" s="37" t="n">
        <f aca="false">EC122+ED114-ED118</f>
        <v>0</v>
      </c>
      <c r="EE122" s="37" t="n">
        <f aca="false">ED122+EE114-EE118</f>
        <v>0</v>
      </c>
      <c r="EF122" s="37" t="n">
        <f aca="false">EE122+EF114-EF118</f>
        <v>0</v>
      </c>
    </row>
    <row r="123" customFormat="false" ht="15" hidden="false" customHeight="false" outlineLevel="0" collapsed="false">
      <c r="A123" s="153" t="s">
        <v>662</v>
      </c>
      <c r="B123" s="278" t="s">
        <v>21</v>
      </c>
      <c r="C123" s="279" t="n">
        <f aca="false">MAX(E123:EF123)</f>
        <v>27207.3003100127</v>
      </c>
      <c r="E123" s="37" t="n">
        <f aca="false">0+E113-E119</f>
        <v>0</v>
      </c>
      <c r="F123" s="37" t="n">
        <f aca="false">E123+F113-F119</f>
        <v>0</v>
      </c>
      <c r="G123" s="37" t="n">
        <f aca="false">F123+G113-G119</f>
        <v>0</v>
      </c>
      <c r="H123" s="37" t="n">
        <f aca="false">G123+H113-H119</f>
        <v>0</v>
      </c>
      <c r="I123" s="37" t="n">
        <f aca="false">H123+I113-I119</f>
        <v>0</v>
      </c>
      <c r="J123" s="37" t="n">
        <f aca="false">I123+J113-J119</f>
        <v>0</v>
      </c>
      <c r="K123" s="37" t="n">
        <f aca="false">J123+K113-K119</f>
        <v>0</v>
      </c>
      <c r="L123" s="37" t="n">
        <f aca="false">K123+L113-L119</f>
        <v>0</v>
      </c>
      <c r="M123" s="37" t="n">
        <f aca="false">L123+M113-M119</f>
        <v>0</v>
      </c>
      <c r="N123" s="37" t="n">
        <f aca="false">M123+N113-N119</f>
        <v>0</v>
      </c>
      <c r="O123" s="37" t="n">
        <f aca="false">N123+O113-O119</f>
        <v>0</v>
      </c>
      <c r="P123" s="37" t="n">
        <f aca="false">O123+P113-P119</f>
        <v>0</v>
      </c>
      <c r="Q123" s="37" t="n">
        <f aca="false">P123+Q113-Q119</f>
        <v>0</v>
      </c>
      <c r="R123" s="37" t="n">
        <f aca="false">Q123+R113-R119</f>
        <v>0</v>
      </c>
      <c r="S123" s="37" t="n">
        <f aca="false">R123+S113-S119</f>
        <v>0</v>
      </c>
      <c r="T123" s="37" t="n">
        <f aca="false">S123+T113-T119</f>
        <v>0</v>
      </c>
      <c r="U123" s="37" t="n">
        <f aca="false">T123+U113-U119</f>
        <v>0</v>
      </c>
      <c r="V123" s="37" t="n">
        <f aca="false">U123+V113-V119</f>
        <v>0</v>
      </c>
      <c r="W123" s="37" t="n">
        <f aca="false">V123+W113-W119</f>
        <v>0</v>
      </c>
      <c r="X123" s="37" t="n">
        <f aca="false">W123+X113-X119</f>
        <v>0</v>
      </c>
      <c r="Y123" s="37" t="n">
        <f aca="false">X123+Y113-Y119</f>
        <v>0</v>
      </c>
      <c r="Z123" s="37" t="n">
        <f aca="false">Y123+Z113-Z119</f>
        <v>0</v>
      </c>
      <c r="AA123" s="37" t="n">
        <f aca="false">Z123+AA113-AA119</f>
        <v>0</v>
      </c>
      <c r="AB123" s="37" t="n">
        <f aca="false">AA123+AB113-AB119</f>
        <v>0</v>
      </c>
      <c r="AC123" s="37" t="n">
        <f aca="false">AB123+AC113-AC119</f>
        <v>0</v>
      </c>
      <c r="AD123" s="37" t="n">
        <f aca="false">AC123+AD113-AD119</f>
        <v>0</v>
      </c>
      <c r="AE123" s="37" t="n">
        <f aca="false">AD123+AE113-AE119</f>
        <v>0</v>
      </c>
      <c r="AF123" s="37" t="n">
        <f aca="false">AE123+AF113-AF119</f>
        <v>0</v>
      </c>
      <c r="AG123" s="37" t="n">
        <f aca="false">AF123+AG113-AG119</f>
        <v>0</v>
      </c>
      <c r="AH123" s="37" t="n">
        <f aca="false">AG123+AH113-AH119</f>
        <v>0</v>
      </c>
      <c r="AI123" s="37" t="n">
        <f aca="false">AH123+AI113-AI119</f>
        <v>0</v>
      </c>
      <c r="AJ123" s="37" t="n">
        <f aca="false">AI123+AJ113-AJ119</f>
        <v>0</v>
      </c>
      <c r="AK123" s="37" t="n">
        <f aca="false">AJ123+AK113-AK119</f>
        <v>0</v>
      </c>
      <c r="AL123" s="37" t="n">
        <f aca="false">AK123+AL113-AL119</f>
        <v>0</v>
      </c>
      <c r="AM123" s="37" t="n">
        <f aca="false">AL123+AM113-AM119</f>
        <v>0</v>
      </c>
      <c r="AN123" s="37" t="n">
        <f aca="false">AM123+AN113-AN119</f>
        <v>0</v>
      </c>
      <c r="AO123" s="37" t="n">
        <f aca="false">AN123+AO113-AO119</f>
        <v>0</v>
      </c>
      <c r="AP123" s="37" t="n">
        <f aca="false">AO123+AP113-AP119</f>
        <v>0</v>
      </c>
      <c r="AQ123" s="37" t="n">
        <f aca="false">AP123+AQ113-AQ119</f>
        <v>0</v>
      </c>
      <c r="AR123" s="37" t="n">
        <f aca="false">AQ123+AR113-AR119</f>
        <v>0</v>
      </c>
      <c r="AS123" s="37" t="n">
        <f aca="false">AR123+AS113-AS119</f>
        <v>0</v>
      </c>
      <c r="AT123" s="37" t="n">
        <f aca="false">AS123+AT113-AT119</f>
        <v>0</v>
      </c>
      <c r="AU123" s="37" t="n">
        <f aca="false">AT123+AU113-AU119</f>
        <v>0</v>
      </c>
      <c r="AV123" s="37" t="n">
        <f aca="false">AU123+AV113-AV119</f>
        <v>0</v>
      </c>
      <c r="AW123" s="37" t="n">
        <f aca="false">AV123+AW113-AW119</f>
        <v>0</v>
      </c>
      <c r="AX123" s="37" t="n">
        <f aca="false">AW123+AX113-AX119</f>
        <v>7885.82488989843</v>
      </c>
      <c r="AY123" s="37" t="n">
        <f aca="false">AX123+AY113-AY119</f>
        <v>17743.1932323804</v>
      </c>
      <c r="AZ123" s="37" t="n">
        <f aca="false">AY123+AZ113-AZ119</f>
        <v>27207.3003100127</v>
      </c>
      <c r="BA123" s="37" t="n">
        <f aca="false">AZ123+BA113-BA119</f>
        <v>27207.3003100127</v>
      </c>
      <c r="BB123" s="37" t="n">
        <f aca="false">BA123+BB113-BB119</f>
        <v>27207.3003100127</v>
      </c>
      <c r="BC123" s="37" t="n">
        <f aca="false">BB123+BC113-BC119</f>
        <v>27207.3003100127</v>
      </c>
      <c r="BD123" s="37" t="n">
        <f aca="false">BC123+BD113-BD119</f>
        <v>27207.3003100127</v>
      </c>
      <c r="BE123" s="37" t="n">
        <f aca="false">BD123+BE113-BE119</f>
        <v>27207.3003100127</v>
      </c>
      <c r="BF123" s="37" t="n">
        <f aca="false">BE123+BF113-BF119</f>
        <v>27207.3003100127</v>
      </c>
      <c r="BG123" s="37" t="n">
        <f aca="false">BF123+BG113-BG119</f>
        <v>27207.3003100127</v>
      </c>
      <c r="BH123" s="37" t="n">
        <f aca="false">BG123+BH113-BH119</f>
        <v>27207.3003100127</v>
      </c>
      <c r="BI123" s="37" t="n">
        <f aca="false">BH123+BI113-BI119</f>
        <v>27207.3003100127</v>
      </c>
      <c r="BJ123" s="37" t="n">
        <f aca="false">BI123+BJ113-BJ119</f>
        <v>27207.3003100127</v>
      </c>
      <c r="BK123" s="37" t="n">
        <f aca="false">BJ123+BK113-BK119</f>
        <v>27207.3003100127</v>
      </c>
      <c r="BL123" s="37" t="n">
        <f aca="false">BK123+BL113-BL119</f>
        <v>0</v>
      </c>
      <c r="BM123" s="37" t="n">
        <f aca="false">BL123+BM113-BM119</f>
        <v>0</v>
      </c>
      <c r="BN123" s="37" t="n">
        <f aca="false">BM123+BN113-BN119</f>
        <v>0</v>
      </c>
      <c r="BO123" s="37" t="n">
        <f aca="false">BN123+BO113-BO119</f>
        <v>0</v>
      </c>
      <c r="BP123" s="37" t="n">
        <f aca="false">BO123+BP113-BP119</f>
        <v>0</v>
      </c>
      <c r="BQ123" s="37" t="n">
        <f aca="false">BP123+BQ113-BQ119</f>
        <v>0</v>
      </c>
      <c r="BR123" s="37" t="n">
        <f aca="false">BQ123+BR113-BR119</f>
        <v>0</v>
      </c>
      <c r="BS123" s="37" t="n">
        <f aca="false">BR123+BS113-BS119</f>
        <v>0</v>
      </c>
      <c r="BT123" s="37" t="n">
        <f aca="false">BS123+BT113-BT119</f>
        <v>0</v>
      </c>
      <c r="BU123" s="37" t="n">
        <f aca="false">BT123+BU113-BU119</f>
        <v>0</v>
      </c>
      <c r="BV123" s="37" t="n">
        <f aca="false">BU123+BV113-BV119</f>
        <v>0</v>
      </c>
      <c r="BW123" s="37" t="n">
        <f aca="false">BV123+BW113-BW119</f>
        <v>0</v>
      </c>
      <c r="BX123" s="37" t="n">
        <f aca="false">BW123+BX113-BX119</f>
        <v>0</v>
      </c>
      <c r="BY123" s="37" t="n">
        <f aca="false">BX123+BY113-BY119</f>
        <v>0</v>
      </c>
      <c r="BZ123" s="37" t="n">
        <f aca="false">BY123+BZ113-BZ119</f>
        <v>0</v>
      </c>
      <c r="CA123" s="37" t="n">
        <f aca="false">BZ123+CA113-CA119</f>
        <v>0</v>
      </c>
      <c r="CB123" s="37" t="n">
        <f aca="false">CA123+CB113-CB119</f>
        <v>0</v>
      </c>
      <c r="CC123" s="37" t="n">
        <f aca="false">CB123+CC113-CC119</f>
        <v>0</v>
      </c>
      <c r="CD123" s="37" t="n">
        <f aca="false">CC123+CD113-CD119</f>
        <v>0</v>
      </c>
      <c r="CE123" s="37" t="n">
        <f aca="false">CD123+CE113-CE119</f>
        <v>0</v>
      </c>
      <c r="CF123" s="37" t="n">
        <f aca="false">CE123+CF113-CF119</f>
        <v>0</v>
      </c>
      <c r="CG123" s="37" t="n">
        <f aca="false">CF123+CG113-CG119</f>
        <v>0</v>
      </c>
      <c r="CH123" s="37" t="n">
        <f aca="false">CG123+CH113-CH119</f>
        <v>0</v>
      </c>
      <c r="CI123" s="37" t="n">
        <f aca="false">CH123+CI113-CI119</f>
        <v>0</v>
      </c>
      <c r="CJ123" s="37" t="n">
        <f aca="false">CI123+CJ113-CJ119</f>
        <v>0</v>
      </c>
      <c r="CK123" s="37" t="n">
        <f aca="false">CJ123+CK113-CK119</f>
        <v>0</v>
      </c>
      <c r="CL123" s="37" t="n">
        <f aca="false">CK123+CL113-CL119</f>
        <v>0</v>
      </c>
      <c r="CM123" s="37" t="n">
        <f aca="false">CL123+CM113-CM119</f>
        <v>0</v>
      </c>
      <c r="CN123" s="37" t="n">
        <f aca="false">CM123+CN113-CN119</f>
        <v>0</v>
      </c>
      <c r="CO123" s="37" t="n">
        <f aca="false">CN123+CO113-CO119</f>
        <v>0</v>
      </c>
      <c r="CP123" s="37" t="n">
        <f aca="false">CO123+CP113-CP119</f>
        <v>0</v>
      </c>
      <c r="CQ123" s="37" t="n">
        <f aca="false">CP123+CQ113-CQ119</f>
        <v>0</v>
      </c>
      <c r="CR123" s="37" t="n">
        <f aca="false">CQ123+CR113-CR119</f>
        <v>0</v>
      </c>
      <c r="CS123" s="37" t="n">
        <f aca="false">CR123+CS113-CS119</f>
        <v>0</v>
      </c>
      <c r="CT123" s="37" t="n">
        <f aca="false">CS123+CT113-CT119</f>
        <v>0</v>
      </c>
      <c r="CU123" s="37" t="n">
        <f aca="false">CT123+CU113-CU119</f>
        <v>0</v>
      </c>
      <c r="CV123" s="37" t="n">
        <f aca="false">CU123+CV113-CV119</f>
        <v>0</v>
      </c>
      <c r="CW123" s="37" t="n">
        <f aca="false">CV123+CW113-CW119</f>
        <v>0</v>
      </c>
      <c r="CX123" s="37" t="n">
        <f aca="false">CW123+CX113-CX119</f>
        <v>0</v>
      </c>
      <c r="CY123" s="37" t="n">
        <f aca="false">CX123+CY113-CY119</f>
        <v>0</v>
      </c>
      <c r="CZ123" s="37" t="n">
        <f aca="false">CY123+CZ113-CZ119</f>
        <v>0</v>
      </c>
      <c r="DA123" s="37" t="n">
        <f aca="false">CZ123+DA113-DA119</f>
        <v>0</v>
      </c>
      <c r="DB123" s="37" t="n">
        <f aca="false">DA123+DB113-DB119</f>
        <v>0</v>
      </c>
      <c r="DC123" s="37" t="n">
        <f aca="false">DB123+DC113-DC119</f>
        <v>0</v>
      </c>
      <c r="DD123" s="37" t="n">
        <f aca="false">DC123+DD113-DD119</f>
        <v>0</v>
      </c>
      <c r="DE123" s="37" t="n">
        <f aca="false">DD123+DE113-DE119</f>
        <v>0</v>
      </c>
      <c r="DF123" s="37" t="n">
        <f aca="false">DE123+DF113-DF119</f>
        <v>0</v>
      </c>
      <c r="DG123" s="37" t="n">
        <f aca="false">DF123+DG113-DG119</f>
        <v>0</v>
      </c>
      <c r="DH123" s="37" t="n">
        <f aca="false">DG123+DH113-DH119</f>
        <v>0</v>
      </c>
      <c r="DI123" s="37" t="n">
        <f aca="false">DH123+DI113-DI119</f>
        <v>0</v>
      </c>
      <c r="DJ123" s="37" t="n">
        <f aca="false">DI123+DJ113-DJ119</f>
        <v>0</v>
      </c>
      <c r="DK123" s="37" t="n">
        <f aca="false">DJ123+DK113-DK119</f>
        <v>0</v>
      </c>
      <c r="DL123" s="37" t="n">
        <f aca="false">DK123+DL113-DL119</f>
        <v>0</v>
      </c>
      <c r="DM123" s="37" t="n">
        <f aca="false">DL123+DM113-DM119</f>
        <v>0</v>
      </c>
      <c r="DN123" s="37" t="n">
        <f aca="false">DM123+DN113-DN119</f>
        <v>0</v>
      </c>
      <c r="DO123" s="37" t="n">
        <f aca="false">DN123+DO113-DO119</f>
        <v>0</v>
      </c>
      <c r="DP123" s="37" t="n">
        <f aca="false">DO123+DP113-DP119</f>
        <v>0</v>
      </c>
      <c r="DQ123" s="37" t="n">
        <f aca="false">DP123+DQ113-DQ119</f>
        <v>0</v>
      </c>
      <c r="DR123" s="37" t="n">
        <f aca="false">DQ123+DR113-DR119</f>
        <v>0</v>
      </c>
      <c r="DS123" s="37" t="n">
        <f aca="false">DR123+DS113-DS119</f>
        <v>0</v>
      </c>
      <c r="DT123" s="37" t="n">
        <f aca="false">DS123+DT113-DT119</f>
        <v>0</v>
      </c>
      <c r="DU123" s="37" t="n">
        <f aca="false">DT123+DU113-DU119</f>
        <v>0</v>
      </c>
      <c r="DV123" s="37" t="n">
        <f aca="false">DU123+DV113-DV119</f>
        <v>0</v>
      </c>
      <c r="DW123" s="37" t="n">
        <f aca="false">DV123+DW113-DW119</f>
        <v>0</v>
      </c>
      <c r="DX123" s="37" t="n">
        <f aca="false">DW123+DX113-DX119</f>
        <v>0</v>
      </c>
      <c r="DY123" s="37" t="n">
        <f aca="false">DX123+DY113-DY119</f>
        <v>0</v>
      </c>
      <c r="DZ123" s="37" t="n">
        <f aca="false">DY123+DZ113-DZ119</f>
        <v>0</v>
      </c>
      <c r="EA123" s="37" t="n">
        <f aca="false">DZ123+EA113-EA119</f>
        <v>0</v>
      </c>
      <c r="EB123" s="37" t="n">
        <f aca="false">EA123+EB113-EB119</f>
        <v>0</v>
      </c>
      <c r="EC123" s="37" t="n">
        <f aca="false">EB123+EC113-EC119</f>
        <v>0</v>
      </c>
      <c r="ED123" s="37" t="n">
        <f aca="false">EC123+ED113-ED119</f>
        <v>0</v>
      </c>
      <c r="EE123" s="37" t="n">
        <f aca="false">ED123+EE113-EE119</f>
        <v>0</v>
      </c>
      <c r="EF123" s="37" t="n">
        <f aca="false">EE123+EF113-EF119</f>
        <v>0</v>
      </c>
    </row>
    <row r="124" customFormat="false" ht="15" hidden="false" customHeight="false" outlineLevel="0" collapsed="false">
      <c r="A124" s="284" t="s">
        <v>663</v>
      </c>
      <c r="B124" s="281" t="s">
        <v>21</v>
      </c>
      <c r="C124" s="285" t="n">
        <f aca="false">MAX(E124:EF124)</f>
        <v>27207.3003100127</v>
      </c>
      <c r="D124" s="48"/>
      <c r="E124" s="283" t="n">
        <f aca="false">E121+E122+E123</f>
        <v>0</v>
      </c>
      <c r="F124" s="283" t="n">
        <f aca="false">F121+F122+F123</f>
        <v>0</v>
      </c>
      <c r="G124" s="283" t="n">
        <f aca="false">G121+G122+G123</f>
        <v>0</v>
      </c>
      <c r="H124" s="283" t="n">
        <f aca="false">H121+H122+H123</f>
        <v>0</v>
      </c>
      <c r="I124" s="283" t="n">
        <f aca="false">I121+I122+I123</f>
        <v>0</v>
      </c>
      <c r="J124" s="283" t="n">
        <f aca="false">J121+J122+J123</f>
        <v>0</v>
      </c>
      <c r="K124" s="283" t="n">
        <f aca="false">K121+K122+K123</f>
        <v>0</v>
      </c>
      <c r="L124" s="283" t="n">
        <f aca="false">L121+L122+L123</f>
        <v>0</v>
      </c>
      <c r="M124" s="283" t="n">
        <f aca="false">M121+M122+M123</f>
        <v>0</v>
      </c>
      <c r="N124" s="283" t="n">
        <f aca="false">N121+N122+N123</f>
        <v>0</v>
      </c>
      <c r="O124" s="283" t="n">
        <f aca="false">O121+O122+O123</f>
        <v>0</v>
      </c>
      <c r="P124" s="283" t="n">
        <f aca="false">P121+P122+P123</f>
        <v>0</v>
      </c>
      <c r="Q124" s="283" t="n">
        <f aca="false">Q121+Q122+Q123</f>
        <v>0</v>
      </c>
      <c r="R124" s="283" t="n">
        <f aca="false">R121+R122+R123</f>
        <v>0</v>
      </c>
      <c r="S124" s="283" t="n">
        <f aca="false">S121+S122+S123</f>
        <v>0</v>
      </c>
      <c r="T124" s="283" t="n">
        <f aca="false">T121+T122+T123</f>
        <v>0</v>
      </c>
      <c r="U124" s="283" t="n">
        <f aca="false">U121+U122+U123</f>
        <v>0</v>
      </c>
      <c r="V124" s="283" t="n">
        <f aca="false">V121+V122+V123</f>
        <v>0</v>
      </c>
      <c r="W124" s="283" t="n">
        <f aca="false">W121+W122+W123</f>
        <v>0</v>
      </c>
      <c r="X124" s="283" t="n">
        <f aca="false">X121+X122+X123</f>
        <v>0</v>
      </c>
      <c r="Y124" s="283" t="n">
        <f aca="false">Y121+Y122+Y123</f>
        <v>0</v>
      </c>
      <c r="Z124" s="283" t="n">
        <f aca="false">Z121+Z122+Z123</f>
        <v>0</v>
      </c>
      <c r="AA124" s="283" t="n">
        <f aca="false">AA121+AA122+AA123</f>
        <v>0</v>
      </c>
      <c r="AB124" s="283" t="n">
        <f aca="false">AB121+AB122+AB123</f>
        <v>0</v>
      </c>
      <c r="AC124" s="283" t="n">
        <f aca="false">AC121+AC122+AC123</f>
        <v>0</v>
      </c>
      <c r="AD124" s="283" t="n">
        <f aca="false">AD121+AD122+AD123</f>
        <v>0</v>
      </c>
      <c r="AE124" s="283" t="n">
        <f aca="false">AE121+AE122+AE123</f>
        <v>0</v>
      </c>
      <c r="AF124" s="283" t="n">
        <f aca="false">AF121+AF122+AF123</f>
        <v>0</v>
      </c>
      <c r="AG124" s="283" t="n">
        <f aca="false">AG121+AG122+AG123</f>
        <v>0</v>
      </c>
      <c r="AH124" s="283" t="n">
        <f aca="false">AH121+AH122+AH123</f>
        <v>0</v>
      </c>
      <c r="AI124" s="283" t="n">
        <f aca="false">AI121+AI122+AI123</f>
        <v>0</v>
      </c>
      <c r="AJ124" s="283" t="n">
        <f aca="false">AJ121+AJ122+AJ123</f>
        <v>0</v>
      </c>
      <c r="AK124" s="283" t="n">
        <f aca="false">AK121+AK122+AK123</f>
        <v>0</v>
      </c>
      <c r="AL124" s="283" t="n">
        <f aca="false">AL121+AL122+AL123</f>
        <v>0</v>
      </c>
      <c r="AM124" s="283" t="n">
        <f aca="false">AM121+AM122+AM123</f>
        <v>0</v>
      </c>
      <c r="AN124" s="283" t="n">
        <f aca="false">AN121+AN122+AN123</f>
        <v>0</v>
      </c>
      <c r="AO124" s="283" t="n">
        <f aca="false">AO121+AO122+AO123</f>
        <v>0</v>
      </c>
      <c r="AP124" s="283" t="n">
        <f aca="false">AP121+AP122+AP123</f>
        <v>0</v>
      </c>
      <c r="AQ124" s="283" t="n">
        <f aca="false">AQ121+AQ122+AQ123</f>
        <v>0</v>
      </c>
      <c r="AR124" s="283" t="n">
        <f aca="false">AR121+AR122+AR123</f>
        <v>0</v>
      </c>
      <c r="AS124" s="283" t="n">
        <f aca="false">AS121+AS122+AS123</f>
        <v>0</v>
      </c>
      <c r="AT124" s="283" t="n">
        <f aca="false">AT121+AT122+AT123</f>
        <v>0</v>
      </c>
      <c r="AU124" s="283" t="n">
        <f aca="false">AU121+AU122+AU123</f>
        <v>0</v>
      </c>
      <c r="AV124" s="283" t="n">
        <f aca="false">AV121+AV122+AV123</f>
        <v>0</v>
      </c>
      <c r="AW124" s="283" t="n">
        <f aca="false">AW121+AW122+AW123</f>
        <v>0</v>
      </c>
      <c r="AX124" s="283" t="n">
        <f aca="false">AX121+AX122+AX123</f>
        <v>7885.82488989843</v>
      </c>
      <c r="AY124" s="283" t="n">
        <f aca="false">AY121+AY122+AY123</f>
        <v>17743.1932323804</v>
      </c>
      <c r="AZ124" s="283" t="n">
        <f aca="false">AZ121+AZ122+AZ123</f>
        <v>27207.3003100127</v>
      </c>
      <c r="BA124" s="283" t="n">
        <f aca="false">BA121+BA122+BA123</f>
        <v>27207.3003100127</v>
      </c>
      <c r="BB124" s="283" t="n">
        <f aca="false">BB121+BB122+BB123</f>
        <v>27207.3003100127</v>
      </c>
      <c r="BC124" s="283" t="n">
        <f aca="false">BC121+BC122+BC123</f>
        <v>27207.3003100127</v>
      </c>
      <c r="BD124" s="283" t="n">
        <f aca="false">BD121+BD122+BD123</f>
        <v>27207.3003100127</v>
      </c>
      <c r="BE124" s="283" t="n">
        <f aca="false">BE121+BE122+BE123</f>
        <v>27207.3003100127</v>
      </c>
      <c r="BF124" s="283" t="n">
        <f aca="false">BF121+BF122+BF123</f>
        <v>27207.3003100127</v>
      </c>
      <c r="BG124" s="283" t="n">
        <f aca="false">BG121+BG122+BG123</f>
        <v>27207.3003100127</v>
      </c>
      <c r="BH124" s="283" t="n">
        <f aca="false">BH121+BH122+BH123</f>
        <v>27207.3003100127</v>
      </c>
      <c r="BI124" s="283" t="n">
        <f aca="false">BI121+BI122+BI123</f>
        <v>27207.3003100127</v>
      </c>
      <c r="BJ124" s="283" t="n">
        <f aca="false">BJ121+BJ122+BJ123</f>
        <v>27207.3003100127</v>
      </c>
      <c r="BK124" s="283" t="n">
        <f aca="false">BK121+BK122+BK123</f>
        <v>27207.3003100127</v>
      </c>
      <c r="BL124" s="283" t="n">
        <f aca="false">BL121+BL122+BL123</f>
        <v>0</v>
      </c>
      <c r="BM124" s="283" t="n">
        <f aca="false">BM121+BM122+BM123</f>
        <v>0</v>
      </c>
      <c r="BN124" s="283" t="n">
        <f aca="false">BN121+BN122+BN123</f>
        <v>0</v>
      </c>
      <c r="BO124" s="283" t="n">
        <f aca="false">BO121+BO122+BO123</f>
        <v>0</v>
      </c>
      <c r="BP124" s="283" t="n">
        <f aca="false">BP121+BP122+BP123</f>
        <v>0</v>
      </c>
      <c r="BQ124" s="283" t="n">
        <f aca="false">BQ121+BQ122+BQ123</f>
        <v>0</v>
      </c>
      <c r="BR124" s="283" t="n">
        <f aca="false">BR121+BR122+BR123</f>
        <v>0</v>
      </c>
      <c r="BS124" s="283" t="n">
        <f aca="false">BS121+BS122+BS123</f>
        <v>0</v>
      </c>
      <c r="BT124" s="283" t="n">
        <f aca="false">BT121+BT122+BT123</f>
        <v>0</v>
      </c>
      <c r="BU124" s="283" t="n">
        <f aca="false">BU121+BU122+BU123</f>
        <v>0</v>
      </c>
      <c r="BV124" s="283" t="n">
        <f aca="false">BV121+BV122+BV123</f>
        <v>0</v>
      </c>
      <c r="BW124" s="283" t="n">
        <f aca="false">BW121+BW122+BW123</f>
        <v>0</v>
      </c>
      <c r="BX124" s="283" t="n">
        <f aca="false">BX121+BX122+BX123</f>
        <v>0</v>
      </c>
      <c r="BY124" s="283" t="n">
        <f aca="false">BY121+BY122+BY123</f>
        <v>0</v>
      </c>
      <c r="BZ124" s="283" t="n">
        <f aca="false">BZ121+BZ122+BZ123</f>
        <v>0</v>
      </c>
      <c r="CA124" s="283" t="n">
        <f aca="false">CA121+CA122+CA123</f>
        <v>0</v>
      </c>
      <c r="CB124" s="283" t="n">
        <f aca="false">CB121+CB122+CB123</f>
        <v>0</v>
      </c>
      <c r="CC124" s="283" t="n">
        <f aca="false">CC121+CC122+CC123</f>
        <v>0</v>
      </c>
      <c r="CD124" s="283" t="n">
        <f aca="false">CD121+CD122+CD123</f>
        <v>0</v>
      </c>
      <c r="CE124" s="283" t="n">
        <f aca="false">CE121+CE122+CE123</f>
        <v>0</v>
      </c>
      <c r="CF124" s="283" t="n">
        <f aca="false">CF121+CF122+CF123</f>
        <v>0</v>
      </c>
      <c r="CG124" s="283" t="n">
        <f aca="false">CG121+CG122+CG123</f>
        <v>0</v>
      </c>
      <c r="CH124" s="283" t="n">
        <f aca="false">CH121+CH122+CH123</f>
        <v>0</v>
      </c>
      <c r="CI124" s="283" t="n">
        <f aca="false">CI121+CI122+CI123</f>
        <v>0</v>
      </c>
      <c r="CJ124" s="283" t="n">
        <f aca="false">CJ121+CJ122+CJ123</f>
        <v>0</v>
      </c>
      <c r="CK124" s="283" t="n">
        <f aca="false">CK121+CK122+CK123</f>
        <v>0</v>
      </c>
      <c r="CL124" s="283" t="n">
        <f aca="false">CL121+CL122+CL123</f>
        <v>0</v>
      </c>
      <c r="CM124" s="283" t="n">
        <f aca="false">CM121+CM122+CM123</f>
        <v>0</v>
      </c>
      <c r="CN124" s="283" t="n">
        <f aca="false">CN121+CN122+CN123</f>
        <v>0</v>
      </c>
      <c r="CO124" s="283" t="n">
        <f aca="false">CO121+CO122+CO123</f>
        <v>0</v>
      </c>
      <c r="CP124" s="283" t="n">
        <f aca="false">CP121+CP122+CP123</f>
        <v>0</v>
      </c>
      <c r="CQ124" s="283" t="n">
        <f aca="false">CQ121+CQ122+CQ123</f>
        <v>0</v>
      </c>
      <c r="CR124" s="283" t="n">
        <f aca="false">CR121+CR122+CR123</f>
        <v>0</v>
      </c>
      <c r="CS124" s="283" t="n">
        <f aca="false">CS121+CS122+CS123</f>
        <v>0</v>
      </c>
      <c r="CT124" s="283" t="n">
        <f aca="false">CT121+CT122+CT123</f>
        <v>0</v>
      </c>
      <c r="CU124" s="283" t="n">
        <f aca="false">CU121+CU122+CU123</f>
        <v>0</v>
      </c>
      <c r="CV124" s="283" t="n">
        <f aca="false">CV121+CV122+CV123</f>
        <v>0</v>
      </c>
      <c r="CW124" s="283" t="n">
        <f aca="false">CW121+CW122+CW123</f>
        <v>0</v>
      </c>
      <c r="CX124" s="283" t="n">
        <f aca="false">CX121+CX122+CX123</f>
        <v>0</v>
      </c>
      <c r="CY124" s="283" t="n">
        <f aca="false">CY121+CY122+CY123</f>
        <v>0</v>
      </c>
      <c r="CZ124" s="283" t="n">
        <f aca="false">CZ121+CZ122+CZ123</f>
        <v>0</v>
      </c>
      <c r="DA124" s="283" t="n">
        <f aca="false">DA121+DA122+DA123</f>
        <v>0</v>
      </c>
      <c r="DB124" s="283" t="n">
        <f aca="false">DB121+DB122+DB123</f>
        <v>0</v>
      </c>
      <c r="DC124" s="283" t="n">
        <f aca="false">DC121+DC122+DC123</f>
        <v>0</v>
      </c>
      <c r="DD124" s="283" t="n">
        <f aca="false">DD121+DD122+DD123</f>
        <v>0</v>
      </c>
      <c r="DE124" s="283" t="n">
        <f aca="false">DE121+DE122+DE123</f>
        <v>0</v>
      </c>
      <c r="DF124" s="283" t="n">
        <f aca="false">DF121+DF122+DF123</f>
        <v>0</v>
      </c>
      <c r="DG124" s="283" t="n">
        <f aca="false">DG121+DG122+DG123</f>
        <v>0</v>
      </c>
      <c r="DH124" s="283" t="n">
        <f aca="false">DH121+DH122+DH123</f>
        <v>0</v>
      </c>
      <c r="DI124" s="283" t="n">
        <f aca="false">DI121+DI122+DI123</f>
        <v>0</v>
      </c>
      <c r="DJ124" s="283" t="n">
        <f aca="false">DJ121+DJ122+DJ123</f>
        <v>0</v>
      </c>
      <c r="DK124" s="283" t="n">
        <f aca="false">DK121+DK122+DK123</f>
        <v>0</v>
      </c>
      <c r="DL124" s="283" t="n">
        <f aca="false">DL121+DL122+DL123</f>
        <v>0</v>
      </c>
      <c r="DM124" s="283" t="n">
        <f aca="false">DM121+DM122+DM123</f>
        <v>0</v>
      </c>
      <c r="DN124" s="283" t="n">
        <f aca="false">DN121+DN122+DN123</f>
        <v>0</v>
      </c>
      <c r="DO124" s="283" t="n">
        <f aca="false">DO121+DO122+DO123</f>
        <v>0</v>
      </c>
      <c r="DP124" s="283" t="n">
        <f aca="false">DP121+DP122+DP123</f>
        <v>0</v>
      </c>
      <c r="DQ124" s="283" t="n">
        <f aca="false">DQ121+DQ122+DQ123</f>
        <v>0</v>
      </c>
      <c r="DR124" s="283" t="n">
        <f aca="false">DR121+DR122+DR123</f>
        <v>0</v>
      </c>
      <c r="DS124" s="283" t="n">
        <f aca="false">DS121+DS122+DS123</f>
        <v>0</v>
      </c>
      <c r="DT124" s="283" t="n">
        <f aca="false">DT121+DT122+DT123</f>
        <v>0</v>
      </c>
      <c r="DU124" s="283" t="n">
        <f aca="false">DU121+DU122+DU123</f>
        <v>0</v>
      </c>
      <c r="DV124" s="283" t="n">
        <f aca="false">DV121+DV122+DV123</f>
        <v>0</v>
      </c>
      <c r="DW124" s="283" t="n">
        <f aca="false">DW121+DW122+DW123</f>
        <v>0</v>
      </c>
      <c r="DX124" s="283" t="n">
        <f aca="false">DX121+DX122+DX123</f>
        <v>0</v>
      </c>
      <c r="DY124" s="283" t="n">
        <f aca="false">DY121+DY122+DY123</f>
        <v>0</v>
      </c>
      <c r="DZ124" s="283" t="n">
        <f aca="false">DZ121+DZ122+DZ123</f>
        <v>0</v>
      </c>
      <c r="EA124" s="283" t="n">
        <f aca="false">EA121+EA122+EA123</f>
        <v>0</v>
      </c>
      <c r="EB124" s="283" t="n">
        <f aca="false">EB121+EB122+EB123</f>
        <v>0</v>
      </c>
      <c r="EC124" s="283" t="n">
        <f aca="false">EC121+EC122+EC123</f>
        <v>0</v>
      </c>
      <c r="ED124" s="283" t="n">
        <f aca="false">ED121+ED122+ED123</f>
        <v>0</v>
      </c>
      <c r="EE124" s="283" t="n">
        <f aca="false">EE121+EE122+EE123</f>
        <v>0</v>
      </c>
      <c r="EF124" s="283" t="n">
        <f aca="false">EF121+EF122+EF123</f>
        <v>0</v>
      </c>
    </row>
    <row r="126" customFormat="false" ht="15" hidden="false" customHeight="false" outlineLevel="0" collapsed="false">
      <c r="A126" s="6" t="s">
        <v>40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</row>
    <row r="127" customFormat="false" ht="15" hidden="false" customHeight="false" outlineLevel="0" collapsed="false">
      <c r="A127" s="36" t="s">
        <v>664</v>
      </c>
      <c r="B127" s="278" t="s">
        <v>21</v>
      </c>
      <c r="C127" s="279" t="n">
        <f aca="false">SUM(E127:EF127)</f>
        <v>47455.0999999999</v>
      </c>
      <c r="E127" s="37" t="n">
        <f aca="false">IF(E6=②시니어_가정!$E$16,②시니어_가정!$E$536,0)</f>
        <v>0</v>
      </c>
      <c r="F127" s="37" t="n">
        <f aca="false">IF(F6=②시니어_가정!$E$16,②시니어_가정!$E$536,0)</f>
        <v>0</v>
      </c>
      <c r="G127" s="37" t="n">
        <f aca="false">IF(G6=②시니어_가정!$E$16,②시니어_가정!$E$536,0)</f>
        <v>0</v>
      </c>
      <c r="H127" s="37" t="n">
        <f aca="false">IF(H6=②시니어_가정!$E$16,②시니어_가정!$E$536,0)</f>
        <v>0</v>
      </c>
      <c r="I127" s="37" t="n">
        <f aca="false">IF(I6=②시니어_가정!$E$16,②시니어_가정!$E$536,0)</f>
        <v>0</v>
      </c>
      <c r="J127" s="37" t="n">
        <f aca="false">IF(J6=②시니어_가정!$E$16,②시니어_가정!$E$536,0)</f>
        <v>0</v>
      </c>
      <c r="K127" s="37" t="n">
        <f aca="false">IF(K6=②시니어_가정!$E$16,②시니어_가정!$E$536,0)</f>
        <v>0</v>
      </c>
      <c r="L127" s="37" t="n">
        <f aca="false">IF(L6=②시니어_가정!$E$16,②시니어_가정!$E$536,0)</f>
        <v>0</v>
      </c>
      <c r="M127" s="37" t="n">
        <f aca="false">IF(M6=②시니어_가정!$E$16,②시니어_가정!$E$536,0)</f>
        <v>0</v>
      </c>
      <c r="N127" s="37" t="n">
        <f aca="false">IF(N6=②시니어_가정!$E$16,②시니어_가정!$E$536,0)</f>
        <v>0</v>
      </c>
      <c r="O127" s="37" t="n">
        <f aca="false">IF(O6=②시니어_가정!$E$16,②시니어_가정!$E$536,0)</f>
        <v>0</v>
      </c>
      <c r="P127" s="37" t="n">
        <f aca="false">IF(P6=②시니어_가정!$E$16,②시니어_가정!$E$536,0)</f>
        <v>0</v>
      </c>
      <c r="Q127" s="37" t="n">
        <f aca="false">IF(Q6=②시니어_가정!$E$16,②시니어_가정!$E$536,0)</f>
        <v>0</v>
      </c>
      <c r="R127" s="37" t="n">
        <f aca="false">IF(R6=②시니어_가정!$E$16,②시니어_가정!$E$536,0)</f>
        <v>0</v>
      </c>
      <c r="S127" s="37" t="n">
        <f aca="false">IF(S6=②시니어_가정!$E$16,②시니어_가정!$E$536,0)</f>
        <v>0</v>
      </c>
      <c r="T127" s="37" t="n">
        <f aca="false">IF(T6=②시니어_가정!$E$16,②시니어_가정!$E$536,0)</f>
        <v>0</v>
      </c>
      <c r="U127" s="37" t="n">
        <f aca="false">IF(U6=②시니어_가정!$E$16,②시니어_가정!$E$536,0)</f>
        <v>0</v>
      </c>
      <c r="V127" s="37" t="n">
        <f aca="false">IF(V6=②시니어_가정!$E$16,②시니어_가정!$E$536,0)</f>
        <v>0</v>
      </c>
      <c r="W127" s="37" t="n">
        <f aca="false">IF(W6=②시니어_가정!$E$16,②시니어_가정!$E$536,0)</f>
        <v>0</v>
      </c>
      <c r="X127" s="37" t="n">
        <f aca="false">IF(X6=②시니어_가정!$E$16,②시니어_가정!$E$536,0)</f>
        <v>0</v>
      </c>
      <c r="Y127" s="37" t="n">
        <f aca="false">IF(Y6=②시니어_가정!$E$16,②시니어_가정!$E$536,0)</f>
        <v>0</v>
      </c>
      <c r="Z127" s="37" t="n">
        <f aca="false">IF(Z6=②시니어_가정!$E$16,②시니어_가정!$E$536,0)</f>
        <v>0</v>
      </c>
      <c r="AA127" s="37" t="n">
        <f aca="false">IF(AA6=②시니어_가정!$E$16,②시니어_가정!$E$536,0)</f>
        <v>0</v>
      </c>
      <c r="AB127" s="37" t="n">
        <f aca="false">IF(AB6=②시니어_가정!$E$16,②시니어_가정!$E$536,0)</f>
        <v>0</v>
      </c>
      <c r="AC127" s="37" t="n">
        <f aca="false">IF(AC6=②시니어_가정!$E$16,②시니어_가정!$E$536,0)</f>
        <v>0</v>
      </c>
      <c r="AD127" s="37" t="n">
        <f aca="false">IF(AD6=②시니어_가정!$E$16,②시니어_가정!$E$536,0)</f>
        <v>0</v>
      </c>
      <c r="AE127" s="37" t="n">
        <f aca="false">IF(AE6=②시니어_가정!$E$16,②시니어_가정!$E$536,0)</f>
        <v>0</v>
      </c>
      <c r="AF127" s="37" t="n">
        <f aca="false">IF(AF6=②시니어_가정!$E$16,②시니어_가정!$E$536,0)</f>
        <v>0</v>
      </c>
      <c r="AG127" s="37" t="n">
        <f aca="false">IF(AG6=②시니어_가정!$E$16,②시니어_가정!$E$536,0)</f>
        <v>0</v>
      </c>
      <c r="AH127" s="37" t="n">
        <f aca="false">IF(AH6=②시니어_가정!$E$16,②시니어_가정!$E$536,0)</f>
        <v>0</v>
      </c>
      <c r="AI127" s="37" t="n">
        <f aca="false">IF(AI6=②시니어_가정!$E$16,②시니어_가정!$E$536,0)</f>
        <v>0</v>
      </c>
      <c r="AJ127" s="37" t="n">
        <f aca="false">IF(AJ6=②시니어_가정!$E$16,②시니어_가정!$E$536,0)</f>
        <v>0</v>
      </c>
      <c r="AK127" s="37" t="n">
        <f aca="false">IF(AK6=②시니어_가정!$E$16,②시니어_가정!$E$536,0)</f>
        <v>0</v>
      </c>
      <c r="AL127" s="37" t="n">
        <f aca="false">IF(AL6=②시니어_가정!$E$16,②시니어_가정!$E$536,0)</f>
        <v>0</v>
      </c>
      <c r="AM127" s="37" t="n">
        <f aca="false">IF(AM6=②시니어_가정!$E$16,②시니어_가정!$E$536,0)</f>
        <v>0</v>
      </c>
      <c r="AN127" s="37" t="n">
        <f aca="false">IF(AN6=②시니어_가정!$E$16,②시니어_가정!$E$536,0)</f>
        <v>0</v>
      </c>
      <c r="AO127" s="37" t="n">
        <f aca="false">IF(AO6=②시니어_가정!$E$16,②시니어_가정!$E$536,0)</f>
        <v>0</v>
      </c>
      <c r="AP127" s="37" t="n">
        <f aca="false">IF(AP6=②시니어_가정!$E$16,②시니어_가정!$E$536,0)</f>
        <v>0</v>
      </c>
      <c r="AQ127" s="37" t="n">
        <f aca="false">IF(AQ6=②시니어_가정!$E$16,②시니어_가정!$E$536,0)</f>
        <v>0</v>
      </c>
      <c r="AR127" s="37" t="n">
        <f aca="false">IF(AR6=②시니어_가정!$E$16,②시니어_가정!$E$536,0)</f>
        <v>0</v>
      </c>
      <c r="AS127" s="37" t="n">
        <f aca="false">IF(AS6=②시니어_가정!$E$16,②시니어_가정!$E$536,0)</f>
        <v>0</v>
      </c>
      <c r="AT127" s="37" t="n">
        <f aca="false">IF(AT6=②시니어_가정!$E$16,②시니어_가정!$E$536,0)</f>
        <v>0</v>
      </c>
      <c r="AU127" s="37" t="n">
        <f aca="false">IF(AU6=②시니어_가정!$E$16,②시니어_가정!$E$536,0)</f>
        <v>0</v>
      </c>
      <c r="AV127" s="37" t="n">
        <f aca="false">IF(AV6=②시니어_가정!$E$16,②시니어_가정!$E$536,0)</f>
        <v>0</v>
      </c>
      <c r="AW127" s="37" t="n">
        <f aca="false">IF(AW6=②시니어_가정!$E$16,②시니어_가정!$E$536,0)</f>
        <v>0</v>
      </c>
      <c r="AX127" s="37" t="n">
        <f aca="false">IF(AX6=②시니어_가정!$E$16,②시니어_가정!$E$536,0)</f>
        <v>0</v>
      </c>
      <c r="AY127" s="37" t="n">
        <f aca="false">IF(AY6=②시니어_가정!$E$16,②시니어_가정!$E$536,0)</f>
        <v>0</v>
      </c>
      <c r="AZ127" s="37" t="n">
        <f aca="false">IF(AZ6=②시니어_가정!$E$16,②시니어_가정!$E$536,0)</f>
        <v>0</v>
      </c>
      <c r="BA127" s="37" t="n">
        <f aca="false">IF(BA6=②시니어_가정!$E$16,②시니어_가정!$E$536,0)</f>
        <v>0</v>
      </c>
      <c r="BB127" s="37" t="n">
        <f aca="false">IF(BB6=②시니어_가정!$E$16,②시니어_가정!$E$536,0)</f>
        <v>0</v>
      </c>
      <c r="BC127" s="37" t="n">
        <f aca="false">IF(BC6=②시니어_가정!$E$16,②시니어_가정!$E$536,0)</f>
        <v>0</v>
      </c>
      <c r="BD127" s="37" t="n">
        <f aca="false">IF(BD6=②시니어_가정!$E$16,②시니어_가정!$E$536,0)</f>
        <v>0</v>
      </c>
      <c r="BE127" s="37" t="n">
        <f aca="false">IF(BE6=②시니어_가정!$E$16,②시니어_가정!$E$536,0)</f>
        <v>0</v>
      </c>
      <c r="BF127" s="37" t="n">
        <f aca="false">IF(BF6=②시니어_가정!$E$16,②시니어_가정!$E$536,0)</f>
        <v>0</v>
      </c>
      <c r="BG127" s="37" t="n">
        <f aca="false">IF(BG6=②시니어_가정!$E$16,②시니어_가정!$E$536,0)</f>
        <v>0</v>
      </c>
      <c r="BH127" s="37" t="n">
        <f aca="false">IF(BH6=②시니어_가정!$E$16,②시니어_가정!$E$536,0)</f>
        <v>0</v>
      </c>
      <c r="BI127" s="37" t="n">
        <f aca="false">IF(BI6=②시니어_가정!$E$16,②시니어_가정!$E$536,0)</f>
        <v>0</v>
      </c>
      <c r="BJ127" s="37" t="n">
        <f aca="false">IF(BJ6=②시니어_가정!$E$16,②시니어_가정!$E$536,0)</f>
        <v>0</v>
      </c>
      <c r="BK127" s="37" t="n">
        <f aca="false">IF(BK6=②시니어_가정!$E$16,②시니어_가정!$E$536,0)</f>
        <v>0</v>
      </c>
      <c r="BL127" s="37" t="n">
        <f aca="false">IF(BL6=②시니어_가정!$E$16,②시니어_가정!$E$536,0)</f>
        <v>47455.0999999999</v>
      </c>
      <c r="BM127" s="37" t="n">
        <f aca="false">IF(BM6=②시니어_가정!$E$16,②시니어_가정!$E$536,0)</f>
        <v>0</v>
      </c>
      <c r="BN127" s="37" t="n">
        <f aca="false">IF(BN6=②시니어_가정!$E$16,②시니어_가정!$E$536,0)</f>
        <v>0</v>
      </c>
      <c r="BO127" s="37" t="n">
        <f aca="false">IF(BO6=②시니어_가정!$E$16,②시니어_가정!$E$536,0)</f>
        <v>0</v>
      </c>
      <c r="BP127" s="37" t="n">
        <f aca="false">IF(BP6=②시니어_가정!$E$16,②시니어_가정!$E$536,0)</f>
        <v>0</v>
      </c>
      <c r="BQ127" s="37" t="n">
        <f aca="false">IF(BQ6=②시니어_가정!$E$16,②시니어_가정!$E$536,0)</f>
        <v>0</v>
      </c>
      <c r="BR127" s="37" t="n">
        <f aca="false">IF(BR6=②시니어_가정!$E$16,②시니어_가정!$E$536,0)</f>
        <v>0</v>
      </c>
      <c r="BS127" s="37" t="n">
        <f aca="false">IF(BS6=②시니어_가정!$E$16,②시니어_가정!$E$536,0)</f>
        <v>0</v>
      </c>
      <c r="BT127" s="37" t="n">
        <f aca="false">IF(BT6=②시니어_가정!$E$16,②시니어_가정!$E$536,0)</f>
        <v>0</v>
      </c>
      <c r="BU127" s="37" t="n">
        <f aca="false">IF(BU6=②시니어_가정!$E$16,②시니어_가정!$E$536,0)</f>
        <v>0</v>
      </c>
      <c r="BV127" s="37" t="n">
        <f aca="false">IF(BV6=②시니어_가정!$E$16,②시니어_가정!$E$536,0)</f>
        <v>0</v>
      </c>
      <c r="BW127" s="37" t="n">
        <f aca="false">IF(BW6=②시니어_가정!$E$16,②시니어_가정!$E$536,0)</f>
        <v>0</v>
      </c>
      <c r="BX127" s="37" t="n">
        <f aca="false">IF(BX6=②시니어_가정!$E$16,②시니어_가정!$E$536,0)</f>
        <v>0</v>
      </c>
      <c r="BY127" s="37" t="n">
        <f aca="false">IF(BY6=②시니어_가정!$E$16,②시니어_가정!$E$536,0)</f>
        <v>0</v>
      </c>
      <c r="BZ127" s="37" t="n">
        <f aca="false">IF(BZ6=②시니어_가정!$E$16,②시니어_가정!$E$536,0)</f>
        <v>0</v>
      </c>
      <c r="CA127" s="37" t="n">
        <f aca="false">IF(CA6=②시니어_가정!$E$16,②시니어_가정!$E$536,0)</f>
        <v>0</v>
      </c>
      <c r="CB127" s="37" t="n">
        <f aca="false">IF(CB6=②시니어_가정!$E$16,②시니어_가정!$E$536,0)</f>
        <v>0</v>
      </c>
      <c r="CC127" s="37" t="n">
        <f aca="false">IF(CC6=②시니어_가정!$E$16,②시니어_가정!$E$536,0)</f>
        <v>0</v>
      </c>
      <c r="CD127" s="37" t="n">
        <f aca="false">IF(CD6=②시니어_가정!$E$16,②시니어_가정!$E$536,0)</f>
        <v>0</v>
      </c>
      <c r="CE127" s="37" t="n">
        <f aca="false">IF(CE6=②시니어_가정!$E$16,②시니어_가정!$E$536,0)</f>
        <v>0</v>
      </c>
      <c r="CF127" s="37" t="n">
        <f aca="false">IF(CF6=②시니어_가정!$E$16,②시니어_가정!$E$536,0)</f>
        <v>0</v>
      </c>
      <c r="CG127" s="37" t="n">
        <f aca="false">IF(CG6=②시니어_가정!$E$16,②시니어_가정!$E$536,0)</f>
        <v>0</v>
      </c>
      <c r="CH127" s="37" t="n">
        <f aca="false">IF(CH6=②시니어_가정!$E$16,②시니어_가정!$E$536,0)</f>
        <v>0</v>
      </c>
      <c r="CI127" s="37" t="n">
        <f aca="false">IF(CI6=②시니어_가정!$E$16,②시니어_가정!$E$536,0)</f>
        <v>0</v>
      </c>
      <c r="CJ127" s="37" t="n">
        <f aca="false">IF(CJ6=②시니어_가정!$E$16,②시니어_가정!$E$536,0)</f>
        <v>0</v>
      </c>
      <c r="CK127" s="37" t="n">
        <f aca="false">IF(CK6=②시니어_가정!$E$16,②시니어_가정!$E$536,0)</f>
        <v>0</v>
      </c>
      <c r="CL127" s="37" t="n">
        <f aca="false">IF(CL6=②시니어_가정!$E$16,②시니어_가정!$E$536,0)</f>
        <v>0</v>
      </c>
      <c r="CM127" s="37" t="n">
        <f aca="false">IF(CM6=②시니어_가정!$E$16,②시니어_가정!$E$536,0)</f>
        <v>0</v>
      </c>
      <c r="CN127" s="37" t="n">
        <f aca="false">IF(CN6=②시니어_가정!$E$16,②시니어_가정!$E$536,0)</f>
        <v>0</v>
      </c>
      <c r="CO127" s="37" t="n">
        <f aca="false">IF(CO6=②시니어_가정!$E$16,②시니어_가정!$E$536,0)</f>
        <v>0</v>
      </c>
      <c r="CP127" s="37" t="n">
        <f aca="false">IF(CP6=②시니어_가정!$E$16,②시니어_가정!$E$536,0)</f>
        <v>0</v>
      </c>
      <c r="CQ127" s="37" t="n">
        <f aca="false">IF(CQ6=②시니어_가정!$E$16,②시니어_가정!$E$536,0)</f>
        <v>0</v>
      </c>
      <c r="CR127" s="37" t="n">
        <f aca="false">IF(CR6=②시니어_가정!$E$16,②시니어_가정!$E$536,0)</f>
        <v>0</v>
      </c>
      <c r="CS127" s="37" t="n">
        <f aca="false">IF(CS6=②시니어_가정!$E$16,②시니어_가정!$E$536,0)</f>
        <v>0</v>
      </c>
      <c r="CT127" s="37" t="n">
        <f aca="false">IF(CT6=②시니어_가정!$E$16,②시니어_가정!$E$536,0)</f>
        <v>0</v>
      </c>
      <c r="CU127" s="37" t="n">
        <f aca="false">IF(CU6=②시니어_가정!$E$16,②시니어_가정!$E$536,0)</f>
        <v>0</v>
      </c>
      <c r="CV127" s="37" t="n">
        <f aca="false">IF(CV6=②시니어_가정!$E$16,②시니어_가정!$E$536,0)</f>
        <v>0</v>
      </c>
      <c r="CW127" s="37" t="n">
        <f aca="false">IF(CW6=②시니어_가정!$E$16,②시니어_가정!$E$536,0)</f>
        <v>0</v>
      </c>
      <c r="CX127" s="37" t="n">
        <f aca="false">IF(CX6=②시니어_가정!$E$16,②시니어_가정!$E$536,0)</f>
        <v>0</v>
      </c>
      <c r="CY127" s="37" t="n">
        <f aca="false">IF(CY6=②시니어_가정!$E$16,②시니어_가정!$E$536,0)</f>
        <v>0</v>
      </c>
      <c r="CZ127" s="37" t="n">
        <f aca="false">IF(CZ6=②시니어_가정!$E$16,②시니어_가정!$E$536,0)</f>
        <v>0</v>
      </c>
      <c r="DA127" s="37" t="n">
        <f aca="false">IF(DA6=②시니어_가정!$E$16,②시니어_가정!$E$536,0)</f>
        <v>0</v>
      </c>
      <c r="DB127" s="37" t="n">
        <f aca="false">IF(DB6=②시니어_가정!$E$16,②시니어_가정!$E$536,0)</f>
        <v>0</v>
      </c>
      <c r="DC127" s="37" t="n">
        <f aca="false">IF(DC6=②시니어_가정!$E$16,②시니어_가정!$E$536,0)</f>
        <v>0</v>
      </c>
      <c r="DD127" s="37" t="n">
        <f aca="false">IF(DD6=②시니어_가정!$E$16,②시니어_가정!$E$536,0)</f>
        <v>0</v>
      </c>
      <c r="DE127" s="37" t="n">
        <f aca="false">IF(DE6=②시니어_가정!$E$16,②시니어_가정!$E$536,0)</f>
        <v>0</v>
      </c>
      <c r="DF127" s="37" t="n">
        <f aca="false">IF(DF6=②시니어_가정!$E$16,②시니어_가정!$E$536,0)</f>
        <v>0</v>
      </c>
      <c r="DG127" s="37" t="n">
        <f aca="false">IF(DG6=②시니어_가정!$E$16,②시니어_가정!$E$536,0)</f>
        <v>0</v>
      </c>
      <c r="DH127" s="37" t="n">
        <f aca="false">IF(DH6=②시니어_가정!$E$16,②시니어_가정!$E$536,0)</f>
        <v>0</v>
      </c>
      <c r="DI127" s="37" t="n">
        <f aca="false">IF(DI6=②시니어_가정!$E$16,②시니어_가정!$E$536,0)</f>
        <v>0</v>
      </c>
      <c r="DJ127" s="37" t="n">
        <f aca="false">IF(DJ6=②시니어_가정!$E$16,②시니어_가정!$E$536,0)</f>
        <v>0</v>
      </c>
      <c r="DK127" s="37" t="n">
        <f aca="false">IF(DK6=②시니어_가정!$E$16,②시니어_가정!$E$536,0)</f>
        <v>0</v>
      </c>
      <c r="DL127" s="37" t="n">
        <f aca="false">IF(DL6=②시니어_가정!$E$16,②시니어_가정!$E$536,0)</f>
        <v>0</v>
      </c>
      <c r="DM127" s="37" t="n">
        <f aca="false">IF(DM6=②시니어_가정!$E$16,②시니어_가정!$E$536,0)</f>
        <v>0</v>
      </c>
      <c r="DN127" s="37" t="n">
        <f aca="false">IF(DN6=②시니어_가정!$E$16,②시니어_가정!$E$536,0)</f>
        <v>0</v>
      </c>
      <c r="DO127" s="37" t="n">
        <f aca="false">IF(DO6=②시니어_가정!$E$16,②시니어_가정!$E$536,0)</f>
        <v>0</v>
      </c>
      <c r="DP127" s="37" t="n">
        <f aca="false">IF(DP6=②시니어_가정!$E$16,②시니어_가정!$E$536,0)</f>
        <v>0</v>
      </c>
      <c r="DQ127" s="37" t="n">
        <f aca="false">IF(DQ6=②시니어_가정!$E$16,②시니어_가정!$E$536,0)</f>
        <v>0</v>
      </c>
      <c r="DR127" s="37" t="n">
        <f aca="false">IF(DR6=②시니어_가정!$E$16,②시니어_가정!$E$536,0)</f>
        <v>0</v>
      </c>
      <c r="DS127" s="37" t="n">
        <f aca="false">IF(DS6=②시니어_가정!$E$16,②시니어_가정!$E$536,0)</f>
        <v>0</v>
      </c>
      <c r="DT127" s="37" t="n">
        <f aca="false">IF(DT6=②시니어_가정!$E$16,②시니어_가정!$E$536,0)</f>
        <v>0</v>
      </c>
      <c r="DU127" s="37" t="n">
        <f aca="false">IF(DU6=②시니어_가정!$E$16,②시니어_가정!$E$536,0)</f>
        <v>0</v>
      </c>
      <c r="DV127" s="37" t="n">
        <f aca="false">IF(DV6=②시니어_가정!$E$16,②시니어_가정!$E$536,0)</f>
        <v>0</v>
      </c>
      <c r="DW127" s="37" t="n">
        <f aca="false">IF(DW6=②시니어_가정!$E$16,②시니어_가정!$E$536,0)</f>
        <v>0</v>
      </c>
      <c r="DX127" s="37" t="n">
        <f aca="false">IF(DX6=②시니어_가정!$E$16,②시니어_가정!$E$536,0)</f>
        <v>0</v>
      </c>
      <c r="DY127" s="37" t="n">
        <f aca="false">IF(DY6=②시니어_가정!$E$16,②시니어_가정!$E$536,0)</f>
        <v>0</v>
      </c>
      <c r="DZ127" s="37" t="n">
        <f aca="false">IF(DZ6=②시니어_가정!$E$16,②시니어_가정!$E$536,0)</f>
        <v>0</v>
      </c>
      <c r="EA127" s="37" t="n">
        <f aca="false">IF(EA6=②시니어_가정!$E$16,②시니어_가정!$E$536,0)</f>
        <v>0</v>
      </c>
      <c r="EB127" s="37" t="n">
        <f aca="false">IF(EB6=②시니어_가정!$E$16,②시니어_가정!$E$536,0)</f>
        <v>0</v>
      </c>
      <c r="EC127" s="37" t="n">
        <f aca="false">IF(EC6=②시니어_가정!$E$16,②시니어_가정!$E$536,0)</f>
        <v>0</v>
      </c>
      <c r="ED127" s="37" t="n">
        <f aca="false">IF(ED6=②시니어_가정!$E$16,②시니어_가정!$E$536,0)</f>
        <v>0</v>
      </c>
      <c r="EE127" s="37" t="n">
        <f aca="false">IF(EE6=②시니어_가정!$E$16,②시니어_가정!$E$536,0)</f>
        <v>0</v>
      </c>
      <c r="EF127" s="37" t="n">
        <f aca="false">IF(EF6=②시니어_가정!$E$16,②시니어_가정!$E$536,0)</f>
        <v>0</v>
      </c>
    </row>
    <row r="128" customFormat="false" ht="15" hidden="false" customHeight="false" outlineLevel="0" collapsed="false">
      <c r="A128" s="36" t="s">
        <v>665</v>
      </c>
      <c r="B128" s="278" t="s">
        <v>21</v>
      </c>
      <c r="C128" s="279" t="n">
        <f aca="false">SUM(E128:EF128)</f>
        <v>474.550999999999</v>
      </c>
      <c r="E128" s="37" t="n">
        <f aca="false">IF(E6=②시니어_가정!$E$16,②시니어_가정!$E$538,0)</f>
        <v>0</v>
      </c>
      <c r="F128" s="37" t="n">
        <f aca="false">IF(F6=②시니어_가정!$E$16,②시니어_가정!$E$538,0)</f>
        <v>0</v>
      </c>
      <c r="G128" s="37" t="n">
        <f aca="false">IF(G6=②시니어_가정!$E$16,②시니어_가정!$E$538,0)</f>
        <v>0</v>
      </c>
      <c r="H128" s="37" t="n">
        <f aca="false">IF(H6=②시니어_가정!$E$16,②시니어_가정!$E$538,0)</f>
        <v>0</v>
      </c>
      <c r="I128" s="37" t="n">
        <f aca="false">IF(I6=②시니어_가정!$E$16,②시니어_가정!$E$538,0)</f>
        <v>0</v>
      </c>
      <c r="J128" s="37" t="n">
        <f aca="false">IF(J6=②시니어_가정!$E$16,②시니어_가정!$E$538,0)</f>
        <v>0</v>
      </c>
      <c r="K128" s="37" t="n">
        <f aca="false">IF(K6=②시니어_가정!$E$16,②시니어_가정!$E$538,0)</f>
        <v>0</v>
      </c>
      <c r="L128" s="37" t="n">
        <f aca="false">IF(L6=②시니어_가정!$E$16,②시니어_가정!$E$538,0)</f>
        <v>0</v>
      </c>
      <c r="M128" s="37" t="n">
        <f aca="false">IF(M6=②시니어_가정!$E$16,②시니어_가정!$E$538,0)</f>
        <v>0</v>
      </c>
      <c r="N128" s="37" t="n">
        <f aca="false">IF(N6=②시니어_가정!$E$16,②시니어_가정!$E$538,0)</f>
        <v>0</v>
      </c>
      <c r="O128" s="37" t="n">
        <f aca="false">IF(O6=②시니어_가정!$E$16,②시니어_가정!$E$538,0)</f>
        <v>0</v>
      </c>
      <c r="P128" s="37" t="n">
        <f aca="false">IF(P6=②시니어_가정!$E$16,②시니어_가정!$E$538,0)</f>
        <v>0</v>
      </c>
      <c r="Q128" s="37" t="n">
        <f aca="false">IF(Q6=②시니어_가정!$E$16,②시니어_가정!$E$538,0)</f>
        <v>0</v>
      </c>
      <c r="R128" s="37" t="n">
        <f aca="false">IF(R6=②시니어_가정!$E$16,②시니어_가정!$E$538,0)</f>
        <v>0</v>
      </c>
      <c r="S128" s="37" t="n">
        <f aca="false">IF(S6=②시니어_가정!$E$16,②시니어_가정!$E$538,0)</f>
        <v>0</v>
      </c>
      <c r="T128" s="37" t="n">
        <f aca="false">IF(T6=②시니어_가정!$E$16,②시니어_가정!$E$538,0)</f>
        <v>0</v>
      </c>
      <c r="U128" s="37" t="n">
        <f aca="false">IF(U6=②시니어_가정!$E$16,②시니어_가정!$E$538,0)</f>
        <v>0</v>
      </c>
      <c r="V128" s="37" t="n">
        <f aca="false">IF(V6=②시니어_가정!$E$16,②시니어_가정!$E$538,0)</f>
        <v>0</v>
      </c>
      <c r="W128" s="37" t="n">
        <f aca="false">IF(W6=②시니어_가정!$E$16,②시니어_가정!$E$538,0)</f>
        <v>0</v>
      </c>
      <c r="X128" s="37" t="n">
        <f aca="false">IF(X6=②시니어_가정!$E$16,②시니어_가정!$E$538,0)</f>
        <v>0</v>
      </c>
      <c r="Y128" s="37" t="n">
        <f aca="false">IF(Y6=②시니어_가정!$E$16,②시니어_가정!$E$538,0)</f>
        <v>0</v>
      </c>
      <c r="Z128" s="37" t="n">
        <f aca="false">IF(Z6=②시니어_가정!$E$16,②시니어_가정!$E$538,0)</f>
        <v>0</v>
      </c>
      <c r="AA128" s="37" t="n">
        <f aca="false">IF(AA6=②시니어_가정!$E$16,②시니어_가정!$E$538,0)</f>
        <v>0</v>
      </c>
      <c r="AB128" s="37" t="n">
        <f aca="false">IF(AB6=②시니어_가정!$E$16,②시니어_가정!$E$538,0)</f>
        <v>0</v>
      </c>
      <c r="AC128" s="37" t="n">
        <f aca="false">IF(AC6=②시니어_가정!$E$16,②시니어_가정!$E$538,0)</f>
        <v>0</v>
      </c>
      <c r="AD128" s="37" t="n">
        <f aca="false">IF(AD6=②시니어_가정!$E$16,②시니어_가정!$E$538,0)</f>
        <v>0</v>
      </c>
      <c r="AE128" s="37" t="n">
        <f aca="false">IF(AE6=②시니어_가정!$E$16,②시니어_가정!$E$538,0)</f>
        <v>0</v>
      </c>
      <c r="AF128" s="37" t="n">
        <f aca="false">IF(AF6=②시니어_가정!$E$16,②시니어_가정!$E$538,0)</f>
        <v>0</v>
      </c>
      <c r="AG128" s="37" t="n">
        <f aca="false">IF(AG6=②시니어_가정!$E$16,②시니어_가정!$E$538,0)</f>
        <v>0</v>
      </c>
      <c r="AH128" s="37" t="n">
        <f aca="false">IF(AH6=②시니어_가정!$E$16,②시니어_가정!$E$538,0)</f>
        <v>0</v>
      </c>
      <c r="AI128" s="37" t="n">
        <f aca="false">IF(AI6=②시니어_가정!$E$16,②시니어_가정!$E$538,0)</f>
        <v>0</v>
      </c>
      <c r="AJ128" s="37" t="n">
        <f aca="false">IF(AJ6=②시니어_가정!$E$16,②시니어_가정!$E$538,0)</f>
        <v>0</v>
      </c>
      <c r="AK128" s="37" t="n">
        <f aca="false">IF(AK6=②시니어_가정!$E$16,②시니어_가정!$E$538,0)</f>
        <v>0</v>
      </c>
      <c r="AL128" s="37" t="n">
        <f aca="false">IF(AL6=②시니어_가정!$E$16,②시니어_가정!$E$538,0)</f>
        <v>0</v>
      </c>
      <c r="AM128" s="37" t="n">
        <f aca="false">IF(AM6=②시니어_가정!$E$16,②시니어_가정!$E$538,0)</f>
        <v>0</v>
      </c>
      <c r="AN128" s="37" t="n">
        <f aca="false">IF(AN6=②시니어_가정!$E$16,②시니어_가정!$E$538,0)</f>
        <v>0</v>
      </c>
      <c r="AO128" s="37" t="n">
        <f aca="false">IF(AO6=②시니어_가정!$E$16,②시니어_가정!$E$538,0)</f>
        <v>0</v>
      </c>
      <c r="AP128" s="37" t="n">
        <f aca="false">IF(AP6=②시니어_가정!$E$16,②시니어_가정!$E$538,0)</f>
        <v>0</v>
      </c>
      <c r="AQ128" s="37" t="n">
        <f aca="false">IF(AQ6=②시니어_가정!$E$16,②시니어_가정!$E$538,0)</f>
        <v>0</v>
      </c>
      <c r="AR128" s="37" t="n">
        <f aca="false">IF(AR6=②시니어_가정!$E$16,②시니어_가정!$E$538,0)</f>
        <v>0</v>
      </c>
      <c r="AS128" s="37" t="n">
        <f aca="false">IF(AS6=②시니어_가정!$E$16,②시니어_가정!$E$538,0)</f>
        <v>0</v>
      </c>
      <c r="AT128" s="37" t="n">
        <f aca="false">IF(AT6=②시니어_가정!$E$16,②시니어_가정!$E$538,0)</f>
        <v>0</v>
      </c>
      <c r="AU128" s="37" t="n">
        <f aca="false">IF(AU6=②시니어_가정!$E$16,②시니어_가정!$E$538,0)</f>
        <v>0</v>
      </c>
      <c r="AV128" s="37" t="n">
        <f aca="false">IF(AV6=②시니어_가정!$E$16,②시니어_가정!$E$538,0)</f>
        <v>0</v>
      </c>
      <c r="AW128" s="37" t="n">
        <f aca="false">IF(AW6=②시니어_가정!$E$16,②시니어_가정!$E$538,0)</f>
        <v>0</v>
      </c>
      <c r="AX128" s="37" t="n">
        <f aca="false">IF(AX6=②시니어_가정!$E$16,②시니어_가정!$E$538,0)</f>
        <v>0</v>
      </c>
      <c r="AY128" s="37" t="n">
        <f aca="false">IF(AY6=②시니어_가정!$E$16,②시니어_가정!$E$538,0)</f>
        <v>0</v>
      </c>
      <c r="AZ128" s="37" t="n">
        <f aca="false">IF(AZ6=②시니어_가정!$E$16,②시니어_가정!$E$538,0)</f>
        <v>0</v>
      </c>
      <c r="BA128" s="37" t="n">
        <f aca="false">IF(BA6=②시니어_가정!$E$16,②시니어_가정!$E$538,0)</f>
        <v>0</v>
      </c>
      <c r="BB128" s="37" t="n">
        <f aca="false">IF(BB6=②시니어_가정!$E$16,②시니어_가정!$E$538,0)</f>
        <v>0</v>
      </c>
      <c r="BC128" s="37" t="n">
        <f aca="false">IF(BC6=②시니어_가정!$E$16,②시니어_가정!$E$538,0)</f>
        <v>0</v>
      </c>
      <c r="BD128" s="37" t="n">
        <f aca="false">IF(BD6=②시니어_가정!$E$16,②시니어_가정!$E$538,0)</f>
        <v>0</v>
      </c>
      <c r="BE128" s="37" t="n">
        <f aca="false">IF(BE6=②시니어_가정!$E$16,②시니어_가정!$E$538,0)</f>
        <v>0</v>
      </c>
      <c r="BF128" s="37" t="n">
        <f aca="false">IF(BF6=②시니어_가정!$E$16,②시니어_가정!$E$538,0)</f>
        <v>0</v>
      </c>
      <c r="BG128" s="37" t="n">
        <f aca="false">IF(BG6=②시니어_가정!$E$16,②시니어_가정!$E$538,0)</f>
        <v>0</v>
      </c>
      <c r="BH128" s="37" t="n">
        <f aca="false">IF(BH6=②시니어_가정!$E$16,②시니어_가정!$E$538,0)</f>
        <v>0</v>
      </c>
      <c r="BI128" s="37" t="n">
        <f aca="false">IF(BI6=②시니어_가정!$E$16,②시니어_가정!$E$538,0)</f>
        <v>0</v>
      </c>
      <c r="BJ128" s="37" t="n">
        <f aca="false">IF(BJ6=②시니어_가정!$E$16,②시니어_가정!$E$538,0)</f>
        <v>0</v>
      </c>
      <c r="BK128" s="37" t="n">
        <f aca="false">IF(BK6=②시니어_가정!$E$16,②시니어_가정!$E$538,0)</f>
        <v>0</v>
      </c>
      <c r="BL128" s="37" t="n">
        <f aca="false">IF(BL6=②시니어_가정!$E$16,②시니어_가정!$E$538,0)</f>
        <v>474.550999999999</v>
      </c>
      <c r="BM128" s="37" t="n">
        <f aca="false">IF(BM6=②시니어_가정!$E$16,②시니어_가정!$E$538,0)</f>
        <v>0</v>
      </c>
      <c r="BN128" s="37" t="n">
        <f aca="false">IF(BN6=②시니어_가정!$E$16,②시니어_가정!$E$538,0)</f>
        <v>0</v>
      </c>
      <c r="BO128" s="37" t="n">
        <f aca="false">IF(BO6=②시니어_가정!$E$16,②시니어_가정!$E$538,0)</f>
        <v>0</v>
      </c>
      <c r="BP128" s="37" t="n">
        <f aca="false">IF(BP6=②시니어_가정!$E$16,②시니어_가정!$E$538,0)</f>
        <v>0</v>
      </c>
      <c r="BQ128" s="37" t="n">
        <f aca="false">IF(BQ6=②시니어_가정!$E$16,②시니어_가정!$E$538,0)</f>
        <v>0</v>
      </c>
      <c r="BR128" s="37" t="n">
        <f aca="false">IF(BR6=②시니어_가정!$E$16,②시니어_가정!$E$538,0)</f>
        <v>0</v>
      </c>
      <c r="BS128" s="37" t="n">
        <f aca="false">IF(BS6=②시니어_가정!$E$16,②시니어_가정!$E$538,0)</f>
        <v>0</v>
      </c>
      <c r="BT128" s="37" t="n">
        <f aca="false">IF(BT6=②시니어_가정!$E$16,②시니어_가정!$E$538,0)</f>
        <v>0</v>
      </c>
      <c r="BU128" s="37" t="n">
        <f aca="false">IF(BU6=②시니어_가정!$E$16,②시니어_가정!$E$538,0)</f>
        <v>0</v>
      </c>
      <c r="BV128" s="37" t="n">
        <f aca="false">IF(BV6=②시니어_가정!$E$16,②시니어_가정!$E$538,0)</f>
        <v>0</v>
      </c>
      <c r="BW128" s="37" t="n">
        <f aca="false">IF(BW6=②시니어_가정!$E$16,②시니어_가정!$E$538,0)</f>
        <v>0</v>
      </c>
      <c r="BX128" s="37" t="n">
        <f aca="false">IF(BX6=②시니어_가정!$E$16,②시니어_가정!$E$538,0)</f>
        <v>0</v>
      </c>
      <c r="BY128" s="37" t="n">
        <f aca="false">IF(BY6=②시니어_가정!$E$16,②시니어_가정!$E$538,0)</f>
        <v>0</v>
      </c>
      <c r="BZ128" s="37" t="n">
        <f aca="false">IF(BZ6=②시니어_가정!$E$16,②시니어_가정!$E$538,0)</f>
        <v>0</v>
      </c>
      <c r="CA128" s="37" t="n">
        <f aca="false">IF(CA6=②시니어_가정!$E$16,②시니어_가정!$E$538,0)</f>
        <v>0</v>
      </c>
      <c r="CB128" s="37" t="n">
        <f aca="false">IF(CB6=②시니어_가정!$E$16,②시니어_가정!$E$538,0)</f>
        <v>0</v>
      </c>
      <c r="CC128" s="37" t="n">
        <f aca="false">IF(CC6=②시니어_가정!$E$16,②시니어_가정!$E$538,0)</f>
        <v>0</v>
      </c>
      <c r="CD128" s="37" t="n">
        <f aca="false">IF(CD6=②시니어_가정!$E$16,②시니어_가정!$E$538,0)</f>
        <v>0</v>
      </c>
      <c r="CE128" s="37" t="n">
        <f aca="false">IF(CE6=②시니어_가정!$E$16,②시니어_가정!$E$538,0)</f>
        <v>0</v>
      </c>
      <c r="CF128" s="37" t="n">
        <f aca="false">IF(CF6=②시니어_가정!$E$16,②시니어_가정!$E$538,0)</f>
        <v>0</v>
      </c>
      <c r="CG128" s="37" t="n">
        <f aca="false">IF(CG6=②시니어_가정!$E$16,②시니어_가정!$E$538,0)</f>
        <v>0</v>
      </c>
      <c r="CH128" s="37" t="n">
        <f aca="false">IF(CH6=②시니어_가정!$E$16,②시니어_가정!$E$538,0)</f>
        <v>0</v>
      </c>
      <c r="CI128" s="37" t="n">
        <f aca="false">IF(CI6=②시니어_가정!$E$16,②시니어_가정!$E$538,0)</f>
        <v>0</v>
      </c>
      <c r="CJ128" s="37" t="n">
        <f aca="false">IF(CJ6=②시니어_가정!$E$16,②시니어_가정!$E$538,0)</f>
        <v>0</v>
      </c>
      <c r="CK128" s="37" t="n">
        <f aca="false">IF(CK6=②시니어_가정!$E$16,②시니어_가정!$E$538,0)</f>
        <v>0</v>
      </c>
      <c r="CL128" s="37" t="n">
        <f aca="false">IF(CL6=②시니어_가정!$E$16,②시니어_가정!$E$538,0)</f>
        <v>0</v>
      </c>
      <c r="CM128" s="37" t="n">
        <f aca="false">IF(CM6=②시니어_가정!$E$16,②시니어_가정!$E$538,0)</f>
        <v>0</v>
      </c>
      <c r="CN128" s="37" t="n">
        <f aca="false">IF(CN6=②시니어_가정!$E$16,②시니어_가정!$E$538,0)</f>
        <v>0</v>
      </c>
      <c r="CO128" s="37" t="n">
        <f aca="false">IF(CO6=②시니어_가정!$E$16,②시니어_가정!$E$538,0)</f>
        <v>0</v>
      </c>
      <c r="CP128" s="37" t="n">
        <f aca="false">IF(CP6=②시니어_가정!$E$16,②시니어_가정!$E$538,0)</f>
        <v>0</v>
      </c>
      <c r="CQ128" s="37" t="n">
        <f aca="false">IF(CQ6=②시니어_가정!$E$16,②시니어_가정!$E$538,0)</f>
        <v>0</v>
      </c>
      <c r="CR128" s="37" t="n">
        <f aca="false">IF(CR6=②시니어_가정!$E$16,②시니어_가정!$E$538,0)</f>
        <v>0</v>
      </c>
      <c r="CS128" s="37" t="n">
        <f aca="false">IF(CS6=②시니어_가정!$E$16,②시니어_가정!$E$538,0)</f>
        <v>0</v>
      </c>
      <c r="CT128" s="37" t="n">
        <f aca="false">IF(CT6=②시니어_가정!$E$16,②시니어_가정!$E$538,0)</f>
        <v>0</v>
      </c>
      <c r="CU128" s="37" t="n">
        <f aca="false">IF(CU6=②시니어_가정!$E$16,②시니어_가정!$E$538,0)</f>
        <v>0</v>
      </c>
      <c r="CV128" s="37" t="n">
        <f aca="false">IF(CV6=②시니어_가정!$E$16,②시니어_가정!$E$538,0)</f>
        <v>0</v>
      </c>
      <c r="CW128" s="37" t="n">
        <f aca="false">IF(CW6=②시니어_가정!$E$16,②시니어_가정!$E$538,0)</f>
        <v>0</v>
      </c>
      <c r="CX128" s="37" t="n">
        <f aca="false">IF(CX6=②시니어_가정!$E$16,②시니어_가정!$E$538,0)</f>
        <v>0</v>
      </c>
      <c r="CY128" s="37" t="n">
        <f aca="false">IF(CY6=②시니어_가정!$E$16,②시니어_가정!$E$538,0)</f>
        <v>0</v>
      </c>
      <c r="CZ128" s="37" t="n">
        <f aca="false">IF(CZ6=②시니어_가정!$E$16,②시니어_가정!$E$538,0)</f>
        <v>0</v>
      </c>
      <c r="DA128" s="37" t="n">
        <f aca="false">IF(DA6=②시니어_가정!$E$16,②시니어_가정!$E$538,0)</f>
        <v>0</v>
      </c>
      <c r="DB128" s="37" t="n">
        <f aca="false">IF(DB6=②시니어_가정!$E$16,②시니어_가정!$E$538,0)</f>
        <v>0</v>
      </c>
      <c r="DC128" s="37" t="n">
        <f aca="false">IF(DC6=②시니어_가정!$E$16,②시니어_가정!$E$538,0)</f>
        <v>0</v>
      </c>
      <c r="DD128" s="37" t="n">
        <f aca="false">IF(DD6=②시니어_가정!$E$16,②시니어_가정!$E$538,0)</f>
        <v>0</v>
      </c>
      <c r="DE128" s="37" t="n">
        <f aca="false">IF(DE6=②시니어_가정!$E$16,②시니어_가정!$E$538,0)</f>
        <v>0</v>
      </c>
      <c r="DF128" s="37" t="n">
        <f aca="false">IF(DF6=②시니어_가정!$E$16,②시니어_가정!$E$538,0)</f>
        <v>0</v>
      </c>
      <c r="DG128" s="37" t="n">
        <f aca="false">IF(DG6=②시니어_가정!$E$16,②시니어_가정!$E$538,0)</f>
        <v>0</v>
      </c>
      <c r="DH128" s="37" t="n">
        <f aca="false">IF(DH6=②시니어_가정!$E$16,②시니어_가정!$E$538,0)</f>
        <v>0</v>
      </c>
      <c r="DI128" s="37" t="n">
        <f aca="false">IF(DI6=②시니어_가정!$E$16,②시니어_가정!$E$538,0)</f>
        <v>0</v>
      </c>
      <c r="DJ128" s="37" t="n">
        <f aca="false">IF(DJ6=②시니어_가정!$E$16,②시니어_가정!$E$538,0)</f>
        <v>0</v>
      </c>
      <c r="DK128" s="37" t="n">
        <f aca="false">IF(DK6=②시니어_가정!$E$16,②시니어_가정!$E$538,0)</f>
        <v>0</v>
      </c>
      <c r="DL128" s="37" t="n">
        <f aca="false">IF(DL6=②시니어_가정!$E$16,②시니어_가정!$E$538,0)</f>
        <v>0</v>
      </c>
      <c r="DM128" s="37" t="n">
        <f aca="false">IF(DM6=②시니어_가정!$E$16,②시니어_가정!$E$538,0)</f>
        <v>0</v>
      </c>
      <c r="DN128" s="37" t="n">
        <f aca="false">IF(DN6=②시니어_가정!$E$16,②시니어_가정!$E$538,0)</f>
        <v>0</v>
      </c>
      <c r="DO128" s="37" t="n">
        <f aca="false">IF(DO6=②시니어_가정!$E$16,②시니어_가정!$E$538,0)</f>
        <v>0</v>
      </c>
      <c r="DP128" s="37" t="n">
        <f aca="false">IF(DP6=②시니어_가정!$E$16,②시니어_가정!$E$538,0)</f>
        <v>0</v>
      </c>
      <c r="DQ128" s="37" t="n">
        <f aca="false">IF(DQ6=②시니어_가정!$E$16,②시니어_가정!$E$538,0)</f>
        <v>0</v>
      </c>
      <c r="DR128" s="37" t="n">
        <f aca="false">IF(DR6=②시니어_가정!$E$16,②시니어_가정!$E$538,0)</f>
        <v>0</v>
      </c>
      <c r="DS128" s="37" t="n">
        <f aca="false">IF(DS6=②시니어_가정!$E$16,②시니어_가정!$E$538,0)</f>
        <v>0</v>
      </c>
      <c r="DT128" s="37" t="n">
        <f aca="false">IF(DT6=②시니어_가정!$E$16,②시니어_가정!$E$538,0)</f>
        <v>0</v>
      </c>
      <c r="DU128" s="37" t="n">
        <f aca="false">IF(DU6=②시니어_가정!$E$16,②시니어_가정!$E$538,0)</f>
        <v>0</v>
      </c>
      <c r="DV128" s="37" t="n">
        <f aca="false">IF(DV6=②시니어_가정!$E$16,②시니어_가정!$E$538,0)</f>
        <v>0</v>
      </c>
      <c r="DW128" s="37" t="n">
        <f aca="false">IF(DW6=②시니어_가정!$E$16,②시니어_가정!$E$538,0)</f>
        <v>0</v>
      </c>
      <c r="DX128" s="37" t="n">
        <f aca="false">IF(DX6=②시니어_가정!$E$16,②시니어_가정!$E$538,0)</f>
        <v>0</v>
      </c>
      <c r="DY128" s="37" t="n">
        <f aca="false">IF(DY6=②시니어_가정!$E$16,②시니어_가정!$E$538,0)</f>
        <v>0</v>
      </c>
      <c r="DZ128" s="37" t="n">
        <f aca="false">IF(DZ6=②시니어_가정!$E$16,②시니어_가정!$E$538,0)</f>
        <v>0</v>
      </c>
      <c r="EA128" s="37" t="n">
        <f aca="false">IF(EA6=②시니어_가정!$E$16,②시니어_가정!$E$538,0)</f>
        <v>0</v>
      </c>
      <c r="EB128" s="37" t="n">
        <f aca="false">IF(EB6=②시니어_가정!$E$16,②시니어_가정!$E$538,0)</f>
        <v>0</v>
      </c>
      <c r="EC128" s="37" t="n">
        <f aca="false">IF(EC6=②시니어_가정!$E$16,②시니어_가정!$E$538,0)</f>
        <v>0</v>
      </c>
      <c r="ED128" s="37" t="n">
        <f aca="false">IF(ED6=②시니어_가정!$E$16,②시니어_가정!$E$538,0)</f>
        <v>0</v>
      </c>
      <c r="EE128" s="37" t="n">
        <f aca="false">IF(EE6=②시니어_가정!$E$16,②시니어_가정!$E$538,0)</f>
        <v>0</v>
      </c>
      <c r="EF128" s="37" t="n">
        <f aca="false">IF(EF6=②시니어_가정!$E$16,②시니어_가정!$E$538,0)</f>
        <v>0</v>
      </c>
    </row>
    <row r="129" customFormat="false" ht="15" hidden="false" customHeight="false" outlineLevel="0" collapsed="false">
      <c r="A129" s="36" t="s">
        <v>48</v>
      </c>
      <c r="B129" s="278" t="s">
        <v>21</v>
      </c>
      <c r="C129" s="279" t="n">
        <f aca="false">SUM(E129:EF129)</f>
        <v>12812.877</v>
      </c>
      <c r="E129" s="37" t="n">
        <f aca="false">IF(AND(E6&gt;②시니어_가정!$E$16,E6&lt;=②시니어_가정!$E$539),②시니어_가정!$E$537/12,0)</f>
        <v>0</v>
      </c>
      <c r="F129" s="37" t="n">
        <f aca="false">IF(AND(F6&gt;②시니어_가정!$E$16,F6&lt;=②시니어_가정!$E$539),②시니어_가정!$E$537/12,0)</f>
        <v>0</v>
      </c>
      <c r="G129" s="37" t="n">
        <f aca="false">IF(AND(G6&gt;②시니어_가정!$E$16,G6&lt;=②시니어_가정!$E$539),②시니어_가정!$E$537/12,0)</f>
        <v>0</v>
      </c>
      <c r="H129" s="37" t="n">
        <f aca="false">IF(AND(H6&gt;②시니어_가정!$E$16,H6&lt;=②시니어_가정!$E$539),②시니어_가정!$E$537/12,0)</f>
        <v>0</v>
      </c>
      <c r="I129" s="37" t="n">
        <f aca="false">IF(AND(I6&gt;②시니어_가정!$E$16,I6&lt;=②시니어_가정!$E$539),②시니어_가정!$E$537/12,0)</f>
        <v>0</v>
      </c>
      <c r="J129" s="37" t="n">
        <f aca="false">IF(AND(J6&gt;②시니어_가정!$E$16,J6&lt;=②시니어_가정!$E$539),②시니어_가정!$E$537/12,0)</f>
        <v>0</v>
      </c>
      <c r="K129" s="37" t="n">
        <f aca="false">IF(AND(K6&gt;②시니어_가정!$E$16,K6&lt;=②시니어_가정!$E$539),②시니어_가정!$E$537/12,0)</f>
        <v>0</v>
      </c>
      <c r="L129" s="37" t="n">
        <f aca="false">IF(AND(L6&gt;②시니어_가정!$E$16,L6&lt;=②시니어_가정!$E$539),②시니어_가정!$E$537/12,0)</f>
        <v>0</v>
      </c>
      <c r="M129" s="37" t="n">
        <f aca="false">IF(AND(M6&gt;②시니어_가정!$E$16,M6&lt;=②시니어_가정!$E$539),②시니어_가정!$E$537/12,0)</f>
        <v>0</v>
      </c>
      <c r="N129" s="37" t="n">
        <f aca="false">IF(AND(N6&gt;②시니어_가정!$E$16,N6&lt;=②시니어_가정!$E$539),②시니어_가정!$E$537/12,0)</f>
        <v>0</v>
      </c>
      <c r="O129" s="37" t="n">
        <f aca="false">IF(AND(O6&gt;②시니어_가정!$E$16,O6&lt;=②시니어_가정!$E$539),②시니어_가정!$E$537/12,0)</f>
        <v>0</v>
      </c>
      <c r="P129" s="37" t="n">
        <f aca="false">IF(AND(P6&gt;②시니어_가정!$E$16,P6&lt;=②시니어_가정!$E$539),②시니어_가정!$E$537/12,0)</f>
        <v>0</v>
      </c>
      <c r="Q129" s="37" t="n">
        <f aca="false">IF(AND(Q6&gt;②시니어_가정!$E$16,Q6&lt;=②시니어_가정!$E$539),②시니어_가정!$E$537/12,0)</f>
        <v>0</v>
      </c>
      <c r="R129" s="37" t="n">
        <f aca="false">IF(AND(R6&gt;②시니어_가정!$E$16,R6&lt;=②시니어_가정!$E$539),②시니어_가정!$E$537/12,0)</f>
        <v>0</v>
      </c>
      <c r="S129" s="37" t="n">
        <f aca="false">IF(AND(S6&gt;②시니어_가정!$E$16,S6&lt;=②시니어_가정!$E$539),②시니어_가정!$E$537/12,0)</f>
        <v>0</v>
      </c>
      <c r="T129" s="37" t="n">
        <f aca="false">IF(AND(T6&gt;②시니어_가정!$E$16,T6&lt;=②시니어_가정!$E$539),②시니어_가정!$E$537/12,0)</f>
        <v>0</v>
      </c>
      <c r="U129" s="37" t="n">
        <f aca="false">IF(AND(U6&gt;②시니어_가정!$E$16,U6&lt;=②시니어_가정!$E$539),②시니어_가정!$E$537/12,0)</f>
        <v>0</v>
      </c>
      <c r="V129" s="37" t="n">
        <f aca="false">IF(AND(V6&gt;②시니어_가정!$E$16,V6&lt;=②시니어_가정!$E$539),②시니어_가정!$E$537/12,0)</f>
        <v>0</v>
      </c>
      <c r="W129" s="37" t="n">
        <f aca="false">IF(AND(W6&gt;②시니어_가정!$E$16,W6&lt;=②시니어_가정!$E$539),②시니어_가정!$E$537/12,0)</f>
        <v>0</v>
      </c>
      <c r="X129" s="37" t="n">
        <f aca="false">IF(AND(X6&gt;②시니어_가정!$E$16,X6&lt;=②시니어_가정!$E$539),②시니어_가정!$E$537/12,0)</f>
        <v>0</v>
      </c>
      <c r="Y129" s="37" t="n">
        <f aca="false">IF(AND(Y6&gt;②시니어_가정!$E$16,Y6&lt;=②시니어_가정!$E$539),②시니어_가정!$E$537/12,0)</f>
        <v>0</v>
      </c>
      <c r="Z129" s="37" t="n">
        <f aca="false">IF(AND(Z6&gt;②시니어_가정!$E$16,Z6&lt;=②시니어_가정!$E$539),②시니어_가정!$E$537/12,0)</f>
        <v>0</v>
      </c>
      <c r="AA129" s="37" t="n">
        <f aca="false">IF(AND(AA6&gt;②시니어_가정!$E$16,AA6&lt;=②시니어_가정!$E$539),②시니어_가정!$E$537/12,0)</f>
        <v>0</v>
      </c>
      <c r="AB129" s="37" t="n">
        <f aca="false">IF(AND(AB6&gt;②시니어_가정!$E$16,AB6&lt;=②시니어_가정!$E$539),②시니어_가정!$E$537/12,0)</f>
        <v>0</v>
      </c>
      <c r="AC129" s="37" t="n">
        <f aca="false">IF(AND(AC6&gt;②시니어_가정!$E$16,AC6&lt;=②시니어_가정!$E$539),②시니어_가정!$E$537/12,0)</f>
        <v>0</v>
      </c>
      <c r="AD129" s="37" t="n">
        <f aca="false">IF(AND(AD6&gt;②시니어_가정!$E$16,AD6&lt;=②시니어_가정!$E$539),②시니어_가정!$E$537/12,0)</f>
        <v>0</v>
      </c>
      <c r="AE129" s="37" t="n">
        <f aca="false">IF(AND(AE6&gt;②시니어_가정!$E$16,AE6&lt;=②시니어_가정!$E$539),②시니어_가정!$E$537/12,0)</f>
        <v>0</v>
      </c>
      <c r="AF129" s="37" t="n">
        <f aca="false">IF(AND(AF6&gt;②시니어_가정!$E$16,AF6&lt;=②시니어_가정!$E$539),②시니어_가정!$E$537/12,0)</f>
        <v>0</v>
      </c>
      <c r="AG129" s="37" t="n">
        <f aca="false">IF(AND(AG6&gt;②시니어_가정!$E$16,AG6&lt;=②시니어_가정!$E$539),②시니어_가정!$E$537/12,0)</f>
        <v>0</v>
      </c>
      <c r="AH129" s="37" t="n">
        <f aca="false">IF(AND(AH6&gt;②시니어_가정!$E$16,AH6&lt;=②시니어_가정!$E$539),②시니어_가정!$E$537/12,0)</f>
        <v>0</v>
      </c>
      <c r="AI129" s="37" t="n">
        <f aca="false">IF(AND(AI6&gt;②시니어_가정!$E$16,AI6&lt;=②시니어_가정!$E$539),②시니어_가정!$E$537/12,0)</f>
        <v>0</v>
      </c>
      <c r="AJ129" s="37" t="n">
        <f aca="false">IF(AND(AJ6&gt;②시니어_가정!$E$16,AJ6&lt;=②시니어_가정!$E$539),②시니어_가정!$E$537/12,0)</f>
        <v>0</v>
      </c>
      <c r="AK129" s="37" t="n">
        <f aca="false">IF(AND(AK6&gt;②시니어_가정!$E$16,AK6&lt;=②시니어_가정!$E$539),②시니어_가정!$E$537/12,0)</f>
        <v>0</v>
      </c>
      <c r="AL129" s="37" t="n">
        <f aca="false">IF(AND(AL6&gt;②시니어_가정!$E$16,AL6&lt;=②시니어_가정!$E$539),②시니어_가정!$E$537/12,0)</f>
        <v>0</v>
      </c>
      <c r="AM129" s="37" t="n">
        <f aca="false">IF(AND(AM6&gt;②시니어_가정!$E$16,AM6&lt;=②시니어_가정!$E$539),②시니어_가정!$E$537/12,0)</f>
        <v>0</v>
      </c>
      <c r="AN129" s="37" t="n">
        <f aca="false">IF(AND(AN6&gt;②시니어_가정!$E$16,AN6&lt;=②시니어_가정!$E$539),②시니어_가정!$E$537/12,0)</f>
        <v>0</v>
      </c>
      <c r="AO129" s="37" t="n">
        <f aca="false">IF(AND(AO6&gt;②시니어_가정!$E$16,AO6&lt;=②시니어_가정!$E$539),②시니어_가정!$E$537/12,0)</f>
        <v>0</v>
      </c>
      <c r="AP129" s="37" t="n">
        <f aca="false">IF(AND(AP6&gt;②시니어_가정!$E$16,AP6&lt;=②시니어_가정!$E$539),②시니어_가정!$E$537/12,0)</f>
        <v>0</v>
      </c>
      <c r="AQ129" s="37" t="n">
        <f aca="false">IF(AND(AQ6&gt;②시니어_가정!$E$16,AQ6&lt;=②시니어_가정!$E$539),②시니어_가정!$E$537/12,0)</f>
        <v>0</v>
      </c>
      <c r="AR129" s="37" t="n">
        <f aca="false">IF(AND(AR6&gt;②시니어_가정!$E$16,AR6&lt;=②시니어_가정!$E$539),②시니어_가정!$E$537/12,0)</f>
        <v>0</v>
      </c>
      <c r="AS129" s="37" t="n">
        <f aca="false">IF(AND(AS6&gt;②시니어_가정!$E$16,AS6&lt;=②시니어_가정!$E$539),②시니어_가정!$E$537/12,0)</f>
        <v>0</v>
      </c>
      <c r="AT129" s="37" t="n">
        <f aca="false">IF(AND(AT6&gt;②시니어_가정!$E$16,AT6&lt;=②시니어_가정!$E$539),②시니어_가정!$E$537/12,0)</f>
        <v>0</v>
      </c>
      <c r="AU129" s="37" t="n">
        <f aca="false">IF(AND(AU6&gt;②시니어_가정!$E$16,AU6&lt;=②시니어_가정!$E$539),②시니어_가정!$E$537/12,0)</f>
        <v>0</v>
      </c>
      <c r="AV129" s="37" t="n">
        <f aca="false">IF(AND(AV6&gt;②시니어_가정!$E$16,AV6&lt;=②시니어_가정!$E$539),②시니어_가정!$E$537/12,0)</f>
        <v>0</v>
      </c>
      <c r="AW129" s="37" t="n">
        <f aca="false">IF(AND(AW6&gt;②시니어_가정!$E$16,AW6&lt;=②시니어_가정!$E$539),②시니어_가정!$E$537/12,0)</f>
        <v>0</v>
      </c>
      <c r="AX129" s="37" t="n">
        <f aca="false">IF(AND(AX6&gt;②시니어_가정!$E$16,AX6&lt;=②시니어_가정!$E$539),②시니어_가정!$E$537/12,0)</f>
        <v>0</v>
      </c>
      <c r="AY129" s="37" t="n">
        <f aca="false">IF(AND(AY6&gt;②시니어_가정!$E$16,AY6&lt;=②시니어_가정!$E$539),②시니어_가정!$E$537/12,0)</f>
        <v>0</v>
      </c>
      <c r="AZ129" s="37" t="n">
        <f aca="false">IF(AND(AZ6&gt;②시니어_가정!$E$16,AZ6&lt;=②시니어_가정!$E$539),②시니어_가정!$E$537/12,0)</f>
        <v>0</v>
      </c>
      <c r="BA129" s="37" t="n">
        <f aca="false">IF(AND(BA6&gt;②시니어_가정!$E$16,BA6&lt;=②시니어_가정!$E$539),②시니어_가정!$E$537/12,0)</f>
        <v>0</v>
      </c>
      <c r="BB129" s="37" t="n">
        <f aca="false">IF(AND(BB6&gt;②시니어_가정!$E$16,BB6&lt;=②시니어_가정!$E$539),②시니어_가정!$E$537/12,0)</f>
        <v>0</v>
      </c>
      <c r="BC129" s="37" t="n">
        <f aca="false">IF(AND(BC6&gt;②시니어_가정!$E$16,BC6&lt;=②시니어_가정!$E$539),②시니어_가정!$E$537/12,0)</f>
        <v>0</v>
      </c>
      <c r="BD129" s="37" t="n">
        <f aca="false">IF(AND(BD6&gt;②시니어_가정!$E$16,BD6&lt;=②시니어_가정!$E$539),②시니어_가정!$E$537/12,0)</f>
        <v>0</v>
      </c>
      <c r="BE129" s="37" t="n">
        <f aca="false">IF(AND(BE6&gt;②시니어_가정!$E$16,BE6&lt;=②시니어_가정!$E$539),②시니어_가정!$E$537/12,0)</f>
        <v>0</v>
      </c>
      <c r="BF129" s="37" t="n">
        <f aca="false">IF(AND(BF6&gt;②시니어_가정!$E$16,BF6&lt;=②시니어_가정!$E$539),②시니어_가정!$E$537/12,0)</f>
        <v>0</v>
      </c>
      <c r="BG129" s="37" t="n">
        <f aca="false">IF(AND(BG6&gt;②시니어_가정!$E$16,BG6&lt;=②시니어_가정!$E$539),②시니어_가정!$E$537/12,0)</f>
        <v>0</v>
      </c>
      <c r="BH129" s="37" t="n">
        <f aca="false">IF(AND(BH6&gt;②시니어_가정!$E$16,BH6&lt;=②시니어_가정!$E$539),②시니어_가정!$E$537/12,0)</f>
        <v>0</v>
      </c>
      <c r="BI129" s="37" t="n">
        <f aca="false">IF(AND(BI6&gt;②시니어_가정!$E$16,BI6&lt;=②시니어_가정!$E$539),②시니어_가정!$E$537/12,0)</f>
        <v>0</v>
      </c>
      <c r="BJ129" s="37" t="n">
        <f aca="false">IF(AND(BJ6&gt;②시니어_가정!$E$16,BJ6&lt;=②시니어_가정!$E$539),②시니어_가정!$E$537/12,0)</f>
        <v>0</v>
      </c>
      <c r="BK129" s="37" t="n">
        <f aca="false">IF(AND(BK6&gt;②시니어_가정!$E$16,BK6&lt;=②시니어_가정!$E$539),②시니어_가정!$E$537/12,0)</f>
        <v>0</v>
      </c>
      <c r="BL129" s="37" t="n">
        <f aca="false">IF(AND(BL6&gt;②시니어_가정!$E$16,BL6&lt;=②시니어_가정!$E$539),②시니어_가정!$E$537/12,0)</f>
        <v>0</v>
      </c>
      <c r="BM129" s="37" t="n">
        <f aca="false">IF(AND(BM6&gt;②시니어_가정!$E$16,BM6&lt;=②시니어_가정!$E$539),②시니어_가정!$E$537/12,0)</f>
        <v>213.54795</v>
      </c>
      <c r="BN129" s="37" t="n">
        <f aca="false">IF(AND(BN6&gt;②시니어_가정!$E$16,BN6&lt;=②시니어_가정!$E$539),②시니어_가정!$E$537/12,0)</f>
        <v>213.54795</v>
      </c>
      <c r="BO129" s="37" t="n">
        <f aca="false">IF(AND(BO6&gt;②시니어_가정!$E$16,BO6&lt;=②시니어_가정!$E$539),②시니어_가정!$E$537/12,0)</f>
        <v>213.54795</v>
      </c>
      <c r="BP129" s="37" t="n">
        <f aca="false">IF(AND(BP6&gt;②시니어_가정!$E$16,BP6&lt;=②시니어_가정!$E$539),②시니어_가정!$E$537/12,0)</f>
        <v>213.54795</v>
      </c>
      <c r="BQ129" s="37" t="n">
        <f aca="false">IF(AND(BQ6&gt;②시니어_가정!$E$16,BQ6&lt;=②시니어_가정!$E$539),②시니어_가정!$E$537/12,0)</f>
        <v>213.54795</v>
      </c>
      <c r="BR129" s="37" t="n">
        <f aca="false">IF(AND(BR6&gt;②시니어_가정!$E$16,BR6&lt;=②시니어_가정!$E$539),②시니어_가정!$E$537/12,0)</f>
        <v>213.54795</v>
      </c>
      <c r="BS129" s="37" t="n">
        <f aca="false">IF(AND(BS6&gt;②시니어_가정!$E$16,BS6&lt;=②시니어_가정!$E$539),②시니어_가정!$E$537/12,0)</f>
        <v>213.54795</v>
      </c>
      <c r="BT129" s="37" t="n">
        <f aca="false">IF(AND(BT6&gt;②시니어_가정!$E$16,BT6&lt;=②시니어_가정!$E$539),②시니어_가정!$E$537/12,0)</f>
        <v>213.54795</v>
      </c>
      <c r="BU129" s="37" t="n">
        <f aca="false">IF(AND(BU6&gt;②시니어_가정!$E$16,BU6&lt;=②시니어_가정!$E$539),②시니어_가정!$E$537/12,0)</f>
        <v>213.54795</v>
      </c>
      <c r="BV129" s="37" t="n">
        <f aca="false">IF(AND(BV6&gt;②시니어_가정!$E$16,BV6&lt;=②시니어_가정!$E$539),②시니어_가정!$E$537/12,0)</f>
        <v>213.54795</v>
      </c>
      <c r="BW129" s="37" t="n">
        <f aca="false">IF(AND(BW6&gt;②시니어_가정!$E$16,BW6&lt;=②시니어_가정!$E$539),②시니어_가정!$E$537/12,0)</f>
        <v>213.54795</v>
      </c>
      <c r="BX129" s="37" t="n">
        <f aca="false">IF(AND(BX6&gt;②시니어_가정!$E$16,BX6&lt;=②시니어_가정!$E$539),②시니어_가정!$E$537/12,0)</f>
        <v>213.54795</v>
      </c>
      <c r="BY129" s="37" t="n">
        <f aca="false">IF(AND(BY6&gt;②시니어_가정!$E$16,BY6&lt;=②시니어_가정!$E$539),②시니어_가정!$E$537/12,0)</f>
        <v>213.54795</v>
      </c>
      <c r="BZ129" s="37" t="n">
        <f aca="false">IF(AND(BZ6&gt;②시니어_가정!$E$16,BZ6&lt;=②시니어_가정!$E$539),②시니어_가정!$E$537/12,0)</f>
        <v>213.54795</v>
      </c>
      <c r="CA129" s="37" t="n">
        <f aca="false">IF(AND(CA6&gt;②시니어_가정!$E$16,CA6&lt;=②시니어_가정!$E$539),②시니어_가정!$E$537/12,0)</f>
        <v>213.54795</v>
      </c>
      <c r="CB129" s="37" t="n">
        <f aca="false">IF(AND(CB6&gt;②시니어_가정!$E$16,CB6&lt;=②시니어_가정!$E$539),②시니어_가정!$E$537/12,0)</f>
        <v>213.54795</v>
      </c>
      <c r="CC129" s="37" t="n">
        <f aca="false">IF(AND(CC6&gt;②시니어_가정!$E$16,CC6&lt;=②시니어_가정!$E$539),②시니어_가정!$E$537/12,0)</f>
        <v>213.54795</v>
      </c>
      <c r="CD129" s="37" t="n">
        <f aca="false">IF(AND(CD6&gt;②시니어_가정!$E$16,CD6&lt;=②시니어_가정!$E$539),②시니어_가정!$E$537/12,0)</f>
        <v>213.54795</v>
      </c>
      <c r="CE129" s="37" t="n">
        <f aca="false">IF(AND(CE6&gt;②시니어_가정!$E$16,CE6&lt;=②시니어_가정!$E$539),②시니어_가정!$E$537/12,0)</f>
        <v>213.54795</v>
      </c>
      <c r="CF129" s="37" t="n">
        <f aca="false">IF(AND(CF6&gt;②시니어_가정!$E$16,CF6&lt;=②시니어_가정!$E$539),②시니어_가정!$E$537/12,0)</f>
        <v>213.54795</v>
      </c>
      <c r="CG129" s="37" t="n">
        <f aca="false">IF(AND(CG6&gt;②시니어_가정!$E$16,CG6&lt;=②시니어_가정!$E$539),②시니어_가정!$E$537/12,0)</f>
        <v>213.54795</v>
      </c>
      <c r="CH129" s="37" t="n">
        <f aca="false">IF(AND(CH6&gt;②시니어_가정!$E$16,CH6&lt;=②시니어_가정!$E$539),②시니어_가정!$E$537/12,0)</f>
        <v>213.54795</v>
      </c>
      <c r="CI129" s="37" t="n">
        <f aca="false">IF(AND(CI6&gt;②시니어_가정!$E$16,CI6&lt;=②시니어_가정!$E$539),②시니어_가정!$E$537/12,0)</f>
        <v>213.54795</v>
      </c>
      <c r="CJ129" s="37" t="n">
        <f aca="false">IF(AND(CJ6&gt;②시니어_가정!$E$16,CJ6&lt;=②시니어_가정!$E$539),②시니어_가정!$E$537/12,0)</f>
        <v>213.54795</v>
      </c>
      <c r="CK129" s="37" t="n">
        <f aca="false">IF(AND(CK6&gt;②시니어_가정!$E$16,CK6&lt;=②시니어_가정!$E$539),②시니어_가정!$E$537/12,0)</f>
        <v>213.54795</v>
      </c>
      <c r="CL129" s="37" t="n">
        <f aca="false">IF(AND(CL6&gt;②시니어_가정!$E$16,CL6&lt;=②시니어_가정!$E$539),②시니어_가정!$E$537/12,0)</f>
        <v>213.54795</v>
      </c>
      <c r="CM129" s="37" t="n">
        <f aca="false">IF(AND(CM6&gt;②시니어_가정!$E$16,CM6&lt;=②시니어_가정!$E$539),②시니어_가정!$E$537/12,0)</f>
        <v>213.54795</v>
      </c>
      <c r="CN129" s="37" t="n">
        <f aca="false">IF(AND(CN6&gt;②시니어_가정!$E$16,CN6&lt;=②시니어_가정!$E$539),②시니어_가정!$E$537/12,0)</f>
        <v>213.54795</v>
      </c>
      <c r="CO129" s="37" t="n">
        <f aca="false">IF(AND(CO6&gt;②시니어_가정!$E$16,CO6&lt;=②시니어_가정!$E$539),②시니어_가정!$E$537/12,0)</f>
        <v>213.54795</v>
      </c>
      <c r="CP129" s="37" t="n">
        <f aca="false">IF(AND(CP6&gt;②시니어_가정!$E$16,CP6&lt;=②시니어_가정!$E$539),②시니어_가정!$E$537/12,0)</f>
        <v>213.54795</v>
      </c>
      <c r="CQ129" s="37" t="n">
        <f aca="false">IF(AND(CQ6&gt;②시니어_가정!$E$16,CQ6&lt;=②시니어_가정!$E$539),②시니어_가정!$E$537/12,0)</f>
        <v>213.54795</v>
      </c>
      <c r="CR129" s="37" t="n">
        <f aca="false">IF(AND(CR6&gt;②시니어_가정!$E$16,CR6&lt;=②시니어_가정!$E$539),②시니어_가정!$E$537/12,0)</f>
        <v>213.54795</v>
      </c>
      <c r="CS129" s="37" t="n">
        <f aca="false">IF(AND(CS6&gt;②시니어_가정!$E$16,CS6&lt;=②시니어_가정!$E$539),②시니어_가정!$E$537/12,0)</f>
        <v>213.54795</v>
      </c>
      <c r="CT129" s="37" t="n">
        <f aca="false">IF(AND(CT6&gt;②시니어_가정!$E$16,CT6&lt;=②시니어_가정!$E$539),②시니어_가정!$E$537/12,0)</f>
        <v>213.54795</v>
      </c>
      <c r="CU129" s="37" t="n">
        <f aca="false">IF(AND(CU6&gt;②시니어_가정!$E$16,CU6&lt;=②시니어_가정!$E$539),②시니어_가정!$E$537/12,0)</f>
        <v>213.54795</v>
      </c>
      <c r="CV129" s="37" t="n">
        <f aca="false">IF(AND(CV6&gt;②시니어_가정!$E$16,CV6&lt;=②시니어_가정!$E$539),②시니어_가정!$E$537/12,0)</f>
        <v>213.54795</v>
      </c>
      <c r="CW129" s="37" t="n">
        <f aca="false">IF(AND(CW6&gt;②시니어_가정!$E$16,CW6&lt;=②시니어_가정!$E$539),②시니어_가정!$E$537/12,0)</f>
        <v>213.54795</v>
      </c>
      <c r="CX129" s="37" t="n">
        <f aca="false">IF(AND(CX6&gt;②시니어_가정!$E$16,CX6&lt;=②시니어_가정!$E$539),②시니어_가정!$E$537/12,0)</f>
        <v>213.54795</v>
      </c>
      <c r="CY129" s="37" t="n">
        <f aca="false">IF(AND(CY6&gt;②시니어_가정!$E$16,CY6&lt;=②시니어_가정!$E$539),②시니어_가정!$E$537/12,0)</f>
        <v>213.54795</v>
      </c>
      <c r="CZ129" s="37" t="n">
        <f aca="false">IF(AND(CZ6&gt;②시니어_가정!$E$16,CZ6&lt;=②시니어_가정!$E$539),②시니어_가정!$E$537/12,0)</f>
        <v>213.54795</v>
      </c>
      <c r="DA129" s="37" t="n">
        <f aca="false">IF(AND(DA6&gt;②시니어_가정!$E$16,DA6&lt;=②시니어_가정!$E$539),②시니어_가정!$E$537/12,0)</f>
        <v>213.54795</v>
      </c>
      <c r="DB129" s="37" t="n">
        <f aca="false">IF(AND(DB6&gt;②시니어_가정!$E$16,DB6&lt;=②시니어_가정!$E$539),②시니어_가정!$E$537/12,0)</f>
        <v>213.54795</v>
      </c>
      <c r="DC129" s="37" t="n">
        <f aca="false">IF(AND(DC6&gt;②시니어_가정!$E$16,DC6&lt;=②시니어_가정!$E$539),②시니어_가정!$E$537/12,0)</f>
        <v>213.54795</v>
      </c>
      <c r="DD129" s="37" t="n">
        <f aca="false">IF(AND(DD6&gt;②시니어_가정!$E$16,DD6&lt;=②시니어_가정!$E$539),②시니어_가정!$E$537/12,0)</f>
        <v>213.54795</v>
      </c>
      <c r="DE129" s="37" t="n">
        <f aca="false">IF(AND(DE6&gt;②시니어_가정!$E$16,DE6&lt;=②시니어_가정!$E$539),②시니어_가정!$E$537/12,0)</f>
        <v>213.54795</v>
      </c>
      <c r="DF129" s="37" t="n">
        <f aca="false">IF(AND(DF6&gt;②시니어_가정!$E$16,DF6&lt;=②시니어_가정!$E$539),②시니어_가정!$E$537/12,0)</f>
        <v>213.54795</v>
      </c>
      <c r="DG129" s="37" t="n">
        <f aca="false">IF(AND(DG6&gt;②시니어_가정!$E$16,DG6&lt;=②시니어_가정!$E$539),②시니어_가정!$E$537/12,0)</f>
        <v>213.54795</v>
      </c>
      <c r="DH129" s="37" t="n">
        <f aca="false">IF(AND(DH6&gt;②시니어_가정!$E$16,DH6&lt;=②시니어_가정!$E$539),②시니어_가정!$E$537/12,0)</f>
        <v>213.54795</v>
      </c>
      <c r="DI129" s="37" t="n">
        <f aca="false">IF(AND(DI6&gt;②시니어_가정!$E$16,DI6&lt;=②시니어_가정!$E$539),②시니어_가정!$E$537/12,0)</f>
        <v>213.54795</v>
      </c>
      <c r="DJ129" s="37" t="n">
        <f aca="false">IF(AND(DJ6&gt;②시니어_가정!$E$16,DJ6&lt;=②시니어_가정!$E$539),②시니어_가정!$E$537/12,0)</f>
        <v>213.54795</v>
      </c>
      <c r="DK129" s="37" t="n">
        <f aca="false">IF(AND(DK6&gt;②시니어_가정!$E$16,DK6&lt;=②시니어_가정!$E$539),②시니어_가정!$E$537/12,0)</f>
        <v>213.54795</v>
      </c>
      <c r="DL129" s="37" t="n">
        <f aca="false">IF(AND(DL6&gt;②시니어_가정!$E$16,DL6&lt;=②시니어_가정!$E$539),②시니어_가정!$E$537/12,0)</f>
        <v>213.54795</v>
      </c>
      <c r="DM129" s="37" t="n">
        <f aca="false">IF(AND(DM6&gt;②시니어_가정!$E$16,DM6&lt;=②시니어_가정!$E$539),②시니어_가정!$E$537/12,0)</f>
        <v>213.54795</v>
      </c>
      <c r="DN129" s="37" t="n">
        <f aca="false">IF(AND(DN6&gt;②시니어_가정!$E$16,DN6&lt;=②시니어_가정!$E$539),②시니어_가정!$E$537/12,0)</f>
        <v>213.54795</v>
      </c>
      <c r="DO129" s="37" t="n">
        <f aca="false">IF(AND(DO6&gt;②시니어_가정!$E$16,DO6&lt;=②시니어_가정!$E$539),②시니어_가정!$E$537/12,0)</f>
        <v>213.54795</v>
      </c>
      <c r="DP129" s="37" t="n">
        <f aca="false">IF(AND(DP6&gt;②시니어_가정!$E$16,DP6&lt;=②시니어_가정!$E$539),②시니어_가정!$E$537/12,0)</f>
        <v>213.54795</v>
      </c>
      <c r="DQ129" s="37" t="n">
        <f aca="false">IF(AND(DQ6&gt;②시니어_가정!$E$16,DQ6&lt;=②시니어_가정!$E$539),②시니어_가정!$E$537/12,0)</f>
        <v>213.54795</v>
      </c>
      <c r="DR129" s="37" t="n">
        <f aca="false">IF(AND(DR6&gt;②시니어_가정!$E$16,DR6&lt;=②시니어_가정!$E$539),②시니어_가정!$E$537/12,0)</f>
        <v>213.54795</v>
      </c>
      <c r="DS129" s="37" t="n">
        <f aca="false">IF(AND(DS6&gt;②시니어_가정!$E$16,DS6&lt;=②시니어_가정!$E$539),②시니어_가정!$E$537/12,0)</f>
        <v>213.54795</v>
      </c>
      <c r="DT129" s="37" t="n">
        <f aca="false">IF(AND(DT6&gt;②시니어_가정!$E$16,DT6&lt;=②시니어_가정!$E$539),②시니어_가정!$E$537/12,0)</f>
        <v>213.54795</v>
      </c>
      <c r="DU129" s="37" t="n">
        <f aca="false">IF(AND(DU6&gt;②시니어_가정!$E$16,DU6&lt;=②시니어_가정!$E$539),②시니어_가정!$E$537/12,0)</f>
        <v>0</v>
      </c>
      <c r="DV129" s="37" t="n">
        <f aca="false">IF(AND(DV6&gt;②시니어_가정!$E$16,DV6&lt;=②시니어_가정!$E$539),②시니어_가정!$E$537/12,0)</f>
        <v>0</v>
      </c>
      <c r="DW129" s="37" t="n">
        <f aca="false">IF(AND(DW6&gt;②시니어_가정!$E$16,DW6&lt;=②시니어_가정!$E$539),②시니어_가정!$E$537/12,0)</f>
        <v>0</v>
      </c>
      <c r="DX129" s="37" t="n">
        <f aca="false">IF(AND(DX6&gt;②시니어_가정!$E$16,DX6&lt;=②시니어_가정!$E$539),②시니어_가정!$E$537/12,0)</f>
        <v>0</v>
      </c>
      <c r="DY129" s="37" t="n">
        <f aca="false">IF(AND(DY6&gt;②시니어_가정!$E$16,DY6&lt;=②시니어_가정!$E$539),②시니어_가정!$E$537/12,0)</f>
        <v>0</v>
      </c>
      <c r="DZ129" s="37" t="n">
        <f aca="false">IF(AND(DZ6&gt;②시니어_가정!$E$16,DZ6&lt;=②시니어_가정!$E$539),②시니어_가정!$E$537/12,0)</f>
        <v>0</v>
      </c>
      <c r="EA129" s="37" t="n">
        <f aca="false">IF(AND(EA6&gt;②시니어_가정!$E$16,EA6&lt;=②시니어_가정!$E$539),②시니어_가정!$E$537/12,0)</f>
        <v>0</v>
      </c>
      <c r="EB129" s="37" t="n">
        <f aca="false">IF(AND(EB6&gt;②시니어_가정!$E$16,EB6&lt;=②시니어_가정!$E$539),②시니어_가정!$E$537/12,0)</f>
        <v>0</v>
      </c>
      <c r="EC129" s="37" t="n">
        <f aca="false">IF(AND(EC6&gt;②시니어_가정!$E$16,EC6&lt;=②시니어_가정!$E$539),②시니어_가정!$E$537/12,0)</f>
        <v>0</v>
      </c>
      <c r="ED129" s="37" t="n">
        <f aca="false">IF(AND(ED6&gt;②시니어_가정!$E$16,ED6&lt;=②시니어_가정!$E$539),②시니어_가정!$E$537/12,0)</f>
        <v>0</v>
      </c>
      <c r="EE129" s="37" t="n">
        <f aca="false">IF(AND(EE6&gt;②시니어_가정!$E$16,EE6&lt;=②시니어_가정!$E$539),②시니어_가정!$E$537/12,0)</f>
        <v>0</v>
      </c>
      <c r="EF129" s="37" t="n">
        <f aca="false">IF(AND(EF6&gt;②시니어_가정!$E$16,EF6&lt;=②시니어_가정!$E$539),②시니어_가정!$E$537/12,0)</f>
        <v>0</v>
      </c>
    </row>
    <row r="130" customFormat="false" ht="15" hidden="false" customHeight="false" outlineLevel="0" collapsed="false">
      <c r="A130" s="36" t="s">
        <v>666</v>
      </c>
      <c r="B130" s="278" t="s">
        <v>21</v>
      </c>
      <c r="C130" s="279" t="n">
        <f aca="false">SUM(E130:EF130)</f>
        <v>47455.0999999999</v>
      </c>
      <c r="E130" s="37" t="n">
        <f aca="false">IF(E6=②시니어_가정!$E$539,②시니어_가정!$E$536,0)</f>
        <v>0</v>
      </c>
      <c r="F130" s="37" t="n">
        <f aca="false">IF(F6=②시니어_가정!$E$539,②시니어_가정!$E$536,0)</f>
        <v>0</v>
      </c>
      <c r="G130" s="37" t="n">
        <f aca="false">IF(G6=②시니어_가정!$E$539,②시니어_가정!$E$536,0)</f>
        <v>0</v>
      </c>
      <c r="H130" s="37" t="n">
        <f aca="false">IF(H6=②시니어_가정!$E$539,②시니어_가정!$E$536,0)</f>
        <v>0</v>
      </c>
      <c r="I130" s="37" t="n">
        <f aca="false">IF(I6=②시니어_가정!$E$539,②시니어_가정!$E$536,0)</f>
        <v>0</v>
      </c>
      <c r="J130" s="37" t="n">
        <f aca="false">IF(J6=②시니어_가정!$E$539,②시니어_가정!$E$536,0)</f>
        <v>0</v>
      </c>
      <c r="K130" s="37" t="n">
        <f aca="false">IF(K6=②시니어_가정!$E$539,②시니어_가정!$E$536,0)</f>
        <v>0</v>
      </c>
      <c r="L130" s="37" t="n">
        <f aca="false">IF(L6=②시니어_가정!$E$539,②시니어_가정!$E$536,0)</f>
        <v>0</v>
      </c>
      <c r="M130" s="37" t="n">
        <f aca="false">IF(M6=②시니어_가정!$E$539,②시니어_가정!$E$536,0)</f>
        <v>0</v>
      </c>
      <c r="N130" s="37" t="n">
        <f aca="false">IF(N6=②시니어_가정!$E$539,②시니어_가정!$E$536,0)</f>
        <v>0</v>
      </c>
      <c r="O130" s="37" t="n">
        <f aca="false">IF(O6=②시니어_가정!$E$539,②시니어_가정!$E$536,0)</f>
        <v>0</v>
      </c>
      <c r="P130" s="37" t="n">
        <f aca="false">IF(P6=②시니어_가정!$E$539,②시니어_가정!$E$536,0)</f>
        <v>0</v>
      </c>
      <c r="Q130" s="37" t="n">
        <f aca="false">IF(Q6=②시니어_가정!$E$539,②시니어_가정!$E$536,0)</f>
        <v>0</v>
      </c>
      <c r="R130" s="37" t="n">
        <f aca="false">IF(R6=②시니어_가정!$E$539,②시니어_가정!$E$536,0)</f>
        <v>0</v>
      </c>
      <c r="S130" s="37" t="n">
        <f aca="false">IF(S6=②시니어_가정!$E$539,②시니어_가정!$E$536,0)</f>
        <v>0</v>
      </c>
      <c r="T130" s="37" t="n">
        <f aca="false">IF(T6=②시니어_가정!$E$539,②시니어_가정!$E$536,0)</f>
        <v>0</v>
      </c>
      <c r="U130" s="37" t="n">
        <f aca="false">IF(U6=②시니어_가정!$E$539,②시니어_가정!$E$536,0)</f>
        <v>0</v>
      </c>
      <c r="V130" s="37" t="n">
        <f aca="false">IF(V6=②시니어_가정!$E$539,②시니어_가정!$E$536,0)</f>
        <v>0</v>
      </c>
      <c r="W130" s="37" t="n">
        <f aca="false">IF(W6=②시니어_가정!$E$539,②시니어_가정!$E$536,0)</f>
        <v>0</v>
      </c>
      <c r="X130" s="37" t="n">
        <f aca="false">IF(X6=②시니어_가정!$E$539,②시니어_가정!$E$536,0)</f>
        <v>0</v>
      </c>
      <c r="Y130" s="37" t="n">
        <f aca="false">IF(Y6=②시니어_가정!$E$539,②시니어_가정!$E$536,0)</f>
        <v>0</v>
      </c>
      <c r="Z130" s="37" t="n">
        <f aca="false">IF(Z6=②시니어_가정!$E$539,②시니어_가정!$E$536,0)</f>
        <v>0</v>
      </c>
      <c r="AA130" s="37" t="n">
        <f aca="false">IF(AA6=②시니어_가정!$E$539,②시니어_가정!$E$536,0)</f>
        <v>0</v>
      </c>
      <c r="AB130" s="37" t="n">
        <f aca="false">IF(AB6=②시니어_가정!$E$539,②시니어_가정!$E$536,0)</f>
        <v>0</v>
      </c>
      <c r="AC130" s="37" t="n">
        <f aca="false">IF(AC6=②시니어_가정!$E$539,②시니어_가정!$E$536,0)</f>
        <v>0</v>
      </c>
      <c r="AD130" s="37" t="n">
        <f aca="false">IF(AD6=②시니어_가정!$E$539,②시니어_가정!$E$536,0)</f>
        <v>0</v>
      </c>
      <c r="AE130" s="37" t="n">
        <f aca="false">IF(AE6=②시니어_가정!$E$539,②시니어_가정!$E$536,0)</f>
        <v>0</v>
      </c>
      <c r="AF130" s="37" t="n">
        <f aca="false">IF(AF6=②시니어_가정!$E$539,②시니어_가정!$E$536,0)</f>
        <v>0</v>
      </c>
      <c r="AG130" s="37" t="n">
        <f aca="false">IF(AG6=②시니어_가정!$E$539,②시니어_가정!$E$536,0)</f>
        <v>0</v>
      </c>
      <c r="AH130" s="37" t="n">
        <f aca="false">IF(AH6=②시니어_가정!$E$539,②시니어_가정!$E$536,0)</f>
        <v>0</v>
      </c>
      <c r="AI130" s="37" t="n">
        <f aca="false">IF(AI6=②시니어_가정!$E$539,②시니어_가정!$E$536,0)</f>
        <v>0</v>
      </c>
      <c r="AJ130" s="37" t="n">
        <f aca="false">IF(AJ6=②시니어_가정!$E$539,②시니어_가정!$E$536,0)</f>
        <v>0</v>
      </c>
      <c r="AK130" s="37" t="n">
        <f aca="false">IF(AK6=②시니어_가정!$E$539,②시니어_가정!$E$536,0)</f>
        <v>0</v>
      </c>
      <c r="AL130" s="37" t="n">
        <f aca="false">IF(AL6=②시니어_가정!$E$539,②시니어_가정!$E$536,0)</f>
        <v>0</v>
      </c>
      <c r="AM130" s="37" t="n">
        <f aca="false">IF(AM6=②시니어_가정!$E$539,②시니어_가정!$E$536,0)</f>
        <v>0</v>
      </c>
      <c r="AN130" s="37" t="n">
        <f aca="false">IF(AN6=②시니어_가정!$E$539,②시니어_가정!$E$536,0)</f>
        <v>0</v>
      </c>
      <c r="AO130" s="37" t="n">
        <f aca="false">IF(AO6=②시니어_가정!$E$539,②시니어_가정!$E$536,0)</f>
        <v>0</v>
      </c>
      <c r="AP130" s="37" t="n">
        <f aca="false">IF(AP6=②시니어_가정!$E$539,②시니어_가정!$E$536,0)</f>
        <v>0</v>
      </c>
      <c r="AQ130" s="37" t="n">
        <f aca="false">IF(AQ6=②시니어_가정!$E$539,②시니어_가정!$E$536,0)</f>
        <v>0</v>
      </c>
      <c r="AR130" s="37" t="n">
        <f aca="false">IF(AR6=②시니어_가정!$E$539,②시니어_가정!$E$536,0)</f>
        <v>0</v>
      </c>
      <c r="AS130" s="37" t="n">
        <f aca="false">IF(AS6=②시니어_가정!$E$539,②시니어_가정!$E$536,0)</f>
        <v>0</v>
      </c>
      <c r="AT130" s="37" t="n">
        <f aca="false">IF(AT6=②시니어_가정!$E$539,②시니어_가정!$E$536,0)</f>
        <v>0</v>
      </c>
      <c r="AU130" s="37" t="n">
        <f aca="false">IF(AU6=②시니어_가정!$E$539,②시니어_가정!$E$536,0)</f>
        <v>0</v>
      </c>
      <c r="AV130" s="37" t="n">
        <f aca="false">IF(AV6=②시니어_가정!$E$539,②시니어_가정!$E$536,0)</f>
        <v>0</v>
      </c>
      <c r="AW130" s="37" t="n">
        <f aca="false">IF(AW6=②시니어_가정!$E$539,②시니어_가정!$E$536,0)</f>
        <v>0</v>
      </c>
      <c r="AX130" s="37" t="n">
        <f aca="false">IF(AX6=②시니어_가정!$E$539,②시니어_가정!$E$536,0)</f>
        <v>0</v>
      </c>
      <c r="AY130" s="37" t="n">
        <f aca="false">IF(AY6=②시니어_가정!$E$539,②시니어_가정!$E$536,0)</f>
        <v>0</v>
      </c>
      <c r="AZ130" s="37" t="n">
        <f aca="false">IF(AZ6=②시니어_가정!$E$539,②시니어_가정!$E$536,0)</f>
        <v>0</v>
      </c>
      <c r="BA130" s="37" t="n">
        <f aca="false">IF(BA6=②시니어_가정!$E$539,②시니어_가정!$E$536,0)</f>
        <v>0</v>
      </c>
      <c r="BB130" s="37" t="n">
        <f aca="false">IF(BB6=②시니어_가정!$E$539,②시니어_가정!$E$536,0)</f>
        <v>0</v>
      </c>
      <c r="BC130" s="37" t="n">
        <f aca="false">IF(BC6=②시니어_가정!$E$539,②시니어_가정!$E$536,0)</f>
        <v>0</v>
      </c>
      <c r="BD130" s="37" t="n">
        <f aca="false">IF(BD6=②시니어_가정!$E$539,②시니어_가정!$E$536,0)</f>
        <v>0</v>
      </c>
      <c r="BE130" s="37" t="n">
        <f aca="false">IF(BE6=②시니어_가정!$E$539,②시니어_가정!$E$536,0)</f>
        <v>0</v>
      </c>
      <c r="BF130" s="37" t="n">
        <f aca="false">IF(BF6=②시니어_가정!$E$539,②시니어_가정!$E$536,0)</f>
        <v>0</v>
      </c>
      <c r="BG130" s="37" t="n">
        <f aca="false">IF(BG6=②시니어_가정!$E$539,②시니어_가정!$E$536,0)</f>
        <v>0</v>
      </c>
      <c r="BH130" s="37" t="n">
        <f aca="false">IF(BH6=②시니어_가정!$E$539,②시니어_가정!$E$536,0)</f>
        <v>0</v>
      </c>
      <c r="BI130" s="37" t="n">
        <f aca="false">IF(BI6=②시니어_가정!$E$539,②시니어_가정!$E$536,0)</f>
        <v>0</v>
      </c>
      <c r="BJ130" s="37" t="n">
        <f aca="false">IF(BJ6=②시니어_가정!$E$539,②시니어_가정!$E$536,0)</f>
        <v>0</v>
      </c>
      <c r="BK130" s="37" t="n">
        <f aca="false">IF(BK6=②시니어_가정!$E$539,②시니어_가정!$E$536,0)</f>
        <v>0</v>
      </c>
      <c r="BL130" s="37" t="n">
        <f aca="false">IF(BL6=②시니어_가정!$E$539,②시니어_가정!$E$536,0)</f>
        <v>0</v>
      </c>
      <c r="BM130" s="37" t="n">
        <f aca="false">IF(BM6=②시니어_가정!$E$539,②시니어_가정!$E$536,0)</f>
        <v>0</v>
      </c>
      <c r="BN130" s="37" t="n">
        <f aca="false">IF(BN6=②시니어_가정!$E$539,②시니어_가정!$E$536,0)</f>
        <v>0</v>
      </c>
      <c r="BO130" s="37" t="n">
        <f aca="false">IF(BO6=②시니어_가정!$E$539,②시니어_가정!$E$536,0)</f>
        <v>0</v>
      </c>
      <c r="BP130" s="37" t="n">
        <f aca="false">IF(BP6=②시니어_가정!$E$539,②시니어_가정!$E$536,0)</f>
        <v>0</v>
      </c>
      <c r="BQ130" s="37" t="n">
        <f aca="false">IF(BQ6=②시니어_가정!$E$539,②시니어_가정!$E$536,0)</f>
        <v>0</v>
      </c>
      <c r="BR130" s="37" t="n">
        <f aca="false">IF(BR6=②시니어_가정!$E$539,②시니어_가정!$E$536,0)</f>
        <v>0</v>
      </c>
      <c r="BS130" s="37" t="n">
        <f aca="false">IF(BS6=②시니어_가정!$E$539,②시니어_가정!$E$536,0)</f>
        <v>0</v>
      </c>
      <c r="BT130" s="37" t="n">
        <f aca="false">IF(BT6=②시니어_가정!$E$539,②시니어_가정!$E$536,0)</f>
        <v>0</v>
      </c>
      <c r="BU130" s="37" t="n">
        <f aca="false">IF(BU6=②시니어_가정!$E$539,②시니어_가정!$E$536,0)</f>
        <v>0</v>
      </c>
      <c r="BV130" s="37" t="n">
        <f aca="false">IF(BV6=②시니어_가정!$E$539,②시니어_가정!$E$536,0)</f>
        <v>0</v>
      </c>
      <c r="BW130" s="37" t="n">
        <f aca="false">IF(BW6=②시니어_가정!$E$539,②시니어_가정!$E$536,0)</f>
        <v>0</v>
      </c>
      <c r="BX130" s="37" t="n">
        <f aca="false">IF(BX6=②시니어_가정!$E$539,②시니어_가정!$E$536,0)</f>
        <v>0</v>
      </c>
      <c r="BY130" s="37" t="n">
        <f aca="false">IF(BY6=②시니어_가정!$E$539,②시니어_가정!$E$536,0)</f>
        <v>0</v>
      </c>
      <c r="BZ130" s="37" t="n">
        <f aca="false">IF(BZ6=②시니어_가정!$E$539,②시니어_가정!$E$536,0)</f>
        <v>0</v>
      </c>
      <c r="CA130" s="37" t="n">
        <f aca="false">IF(CA6=②시니어_가정!$E$539,②시니어_가정!$E$536,0)</f>
        <v>0</v>
      </c>
      <c r="CB130" s="37" t="n">
        <f aca="false">IF(CB6=②시니어_가정!$E$539,②시니어_가정!$E$536,0)</f>
        <v>0</v>
      </c>
      <c r="CC130" s="37" t="n">
        <f aca="false">IF(CC6=②시니어_가정!$E$539,②시니어_가정!$E$536,0)</f>
        <v>0</v>
      </c>
      <c r="CD130" s="37" t="n">
        <f aca="false">IF(CD6=②시니어_가정!$E$539,②시니어_가정!$E$536,0)</f>
        <v>0</v>
      </c>
      <c r="CE130" s="37" t="n">
        <f aca="false">IF(CE6=②시니어_가정!$E$539,②시니어_가정!$E$536,0)</f>
        <v>0</v>
      </c>
      <c r="CF130" s="37" t="n">
        <f aca="false">IF(CF6=②시니어_가정!$E$539,②시니어_가정!$E$536,0)</f>
        <v>0</v>
      </c>
      <c r="CG130" s="37" t="n">
        <f aca="false">IF(CG6=②시니어_가정!$E$539,②시니어_가정!$E$536,0)</f>
        <v>0</v>
      </c>
      <c r="CH130" s="37" t="n">
        <f aca="false">IF(CH6=②시니어_가정!$E$539,②시니어_가정!$E$536,0)</f>
        <v>0</v>
      </c>
      <c r="CI130" s="37" t="n">
        <f aca="false">IF(CI6=②시니어_가정!$E$539,②시니어_가정!$E$536,0)</f>
        <v>0</v>
      </c>
      <c r="CJ130" s="37" t="n">
        <f aca="false">IF(CJ6=②시니어_가정!$E$539,②시니어_가정!$E$536,0)</f>
        <v>0</v>
      </c>
      <c r="CK130" s="37" t="n">
        <f aca="false">IF(CK6=②시니어_가정!$E$539,②시니어_가정!$E$536,0)</f>
        <v>0</v>
      </c>
      <c r="CL130" s="37" t="n">
        <f aca="false">IF(CL6=②시니어_가정!$E$539,②시니어_가정!$E$536,0)</f>
        <v>0</v>
      </c>
      <c r="CM130" s="37" t="n">
        <f aca="false">IF(CM6=②시니어_가정!$E$539,②시니어_가정!$E$536,0)</f>
        <v>0</v>
      </c>
      <c r="CN130" s="37" t="n">
        <f aca="false">IF(CN6=②시니어_가정!$E$539,②시니어_가정!$E$536,0)</f>
        <v>0</v>
      </c>
      <c r="CO130" s="37" t="n">
        <f aca="false">IF(CO6=②시니어_가정!$E$539,②시니어_가정!$E$536,0)</f>
        <v>0</v>
      </c>
      <c r="CP130" s="37" t="n">
        <f aca="false">IF(CP6=②시니어_가정!$E$539,②시니어_가정!$E$536,0)</f>
        <v>0</v>
      </c>
      <c r="CQ130" s="37" t="n">
        <f aca="false">IF(CQ6=②시니어_가정!$E$539,②시니어_가정!$E$536,0)</f>
        <v>0</v>
      </c>
      <c r="CR130" s="37" t="n">
        <f aca="false">IF(CR6=②시니어_가정!$E$539,②시니어_가정!$E$536,0)</f>
        <v>0</v>
      </c>
      <c r="CS130" s="37" t="n">
        <f aca="false">IF(CS6=②시니어_가정!$E$539,②시니어_가정!$E$536,0)</f>
        <v>0</v>
      </c>
      <c r="CT130" s="37" t="n">
        <f aca="false">IF(CT6=②시니어_가정!$E$539,②시니어_가정!$E$536,0)</f>
        <v>0</v>
      </c>
      <c r="CU130" s="37" t="n">
        <f aca="false">IF(CU6=②시니어_가정!$E$539,②시니어_가정!$E$536,0)</f>
        <v>0</v>
      </c>
      <c r="CV130" s="37" t="n">
        <f aca="false">IF(CV6=②시니어_가정!$E$539,②시니어_가정!$E$536,0)</f>
        <v>0</v>
      </c>
      <c r="CW130" s="37" t="n">
        <f aca="false">IF(CW6=②시니어_가정!$E$539,②시니어_가정!$E$536,0)</f>
        <v>0</v>
      </c>
      <c r="CX130" s="37" t="n">
        <f aca="false">IF(CX6=②시니어_가정!$E$539,②시니어_가정!$E$536,0)</f>
        <v>0</v>
      </c>
      <c r="CY130" s="37" t="n">
        <f aca="false">IF(CY6=②시니어_가정!$E$539,②시니어_가정!$E$536,0)</f>
        <v>0</v>
      </c>
      <c r="CZ130" s="37" t="n">
        <f aca="false">IF(CZ6=②시니어_가정!$E$539,②시니어_가정!$E$536,0)</f>
        <v>0</v>
      </c>
      <c r="DA130" s="37" t="n">
        <f aca="false">IF(DA6=②시니어_가정!$E$539,②시니어_가정!$E$536,0)</f>
        <v>0</v>
      </c>
      <c r="DB130" s="37" t="n">
        <f aca="false">IF(DB6=②시니어_가정!$E$539,②시니어_가정!$E$536,0)</f>
        <v>0</v>
      </c>
      <c r="DC130" s="37" t="n">
        <f aca="false">IF(DC6=②시니어_가정!$E$539,②시니어_가정!$E$536,0)</f>
        <v>0</v>
      </c>
      <c r="DD130" s="37" t="n">
        <f aca="false">IF(DD6=②시니어_가정!$E$539,②시니어_가정!$E$536,0)</f>
        <v>0</v>
      </c>
      <c r="DE130" s="37" t="n">
        <f aca="false">IF(DE6=②시니어_가정!$E$539,②시니어_가정!$E$536,0)</f>
        <v>0</v>
      </c>
      <c r="DF130" s="37" t="n">
        <f aca="false">IF(DF6=②시니어_가정!$E$539,②시니어_가정!$E$536,0)</f>
        <v>0</v>
      </c>
      <c r="DG130" s="37" t="n">
        <f aca="false">IF(DG6=②시니어_가정!$E$539,②시니어_가정!$E$536,0)</f>
        <v>0</v>
      </c>
      <c r="DH130" s="37" t="n">
        <f aca="false">IF(DH6=②시니어_가정!$E$539,②시니어_가정!$E$536,0)</f>
        <v>0</v>
      </c>
      <c r="DI130" s="37" t="n">
        <f aca="false">IF(DI6=②시니어_가정!$E$539,②시니어_가정!$E$536,0)</f>
        <v>0</v>
      </c>
      <c r="DJ130" s="37" t="n">
        <f aca="false">IF(DJ6=②시니어_가정!$E$539,②시니어_가정!$E$536,0)</f>
        <v>0</v>
      </c>
      <c r="DK130" s="37" t="n">
        <f aca="false">IF(DK6=②시니어_가정!$E$539,②시니어_가정!$E$536,0)</f>
        <v>0</v>
      </c>
      <c r="DL130" s="37" t="n">
        <f aca="false">IF(DL6=②시니어_가정!$E$539,②시니어_가정!$E$536,0)</f>
        <v>0</v>
      </c>
      <c r="DM130" s="37" t="n">
        <f aca="false">IF(DM6=②시니어_가정!$E$539,②시니어_가정!$E$536,0)</f>
        <v>0</v>
      </c>
      <c r="DN130" s="37" t="n">
        <f aca="false">IF(DN6=②시니어_가정!$E$539,②시니어_가정!$E$536,0)</f>
        <v>0</v>
      </c>
      <c r="DO130" s="37" t="n">
        <f aca="false">IF(DO6=②시니어_가정!$E$539,②시니어_가정!$E$536,0)</f>
        <v>0</v>
      </c>
      <c r="DP130" s="37" t="n">
        <f aca="false">IF(DP6=②시니어_가정!$E$539,②시니어_가정!$E$536,0)</f>
        <v>0</v>
      </c>
      <c r="DQ130" s="37" t="n">
        <f aca="false">IF(DQ6=②시니어_가정!$E$539,②시니어_가정!$E$536,0)</f>
        <v>0</v>
      </c>
      <c r="DR130" s="37" t="n">
        <f aca="false">IF(DR6=②시니어_가정!$E$539,②시니어_가정!$E$536,0)</f>
        <v>0</v>
      </c>
      <c r="DS130" s="37" t="n">
        <f aca="false">IF(DS6=②시니어_가정!$E$539,②시니어_가정!$E$536,0)</f>
        <v>0</v>
      </c>
      <c r="DT130" s="37" t="n">
        <f aca="false">IF(DT6=②시니어_가정!$E$539,②시니어_가정!$E$536,0)</f>
        <v>47455.0999999999</v>
      </c>
      <c r="DU130" s="37" t="n">
        <f aca="false">IF(DU6=②시니어_가정!$E$539,②시니어_가정!$E$536,0)</f>
        <v>0</v>
      </c>
      <c r="DV130" s="37" t="n">
        <f aca="false">IF(DV6=②시니어_가정!$E$539,②시니어_가정!$E$536,0)</f>
        <v>0</v>
      </c>
      <c r="DW130" s="37" t="n">
        <f aca="false">IF(DW6=②시니어_가정!$E$539,②시니어_가정!$E$536,0)</f>
        <v>0</v>
      </c>
      <c r="DX130" s="37" t="n">
        <f aca="false">IF(DX6=②시니어_가정!$E$539,②시니어_가정!$E$536,0)</f>
        <v>0</v>
      </c>
      <c r="DY130" s="37" t="n">
        <f aca="false">IF(DY6=②시니어_가정!$E$539,②시니어_가정!$E$536,0)</f>
        <v>0</v>
      </c>
      <c r="DZ130" s="37" t="n">
        <f aca="false">IF(DZ6=②시니어_가정!$E$539,②시니어_가정!$E$536,0)</f>
        <v>0</v>
      </c>
      <c r="EA130" s="37" t="n">
        <f aca="false">IF(EA6=②시니어_가정!$E$539,②시니어_가정!$E$536,0)</f>
        <v>0</v>
      </c>
      <c r="EB130" s="37" t="n">
        <f aca="false">IF(EB6=②시니어_가정!$E$539,②시니어_가정!$E$536,0)</f>
        <v>0</v>
      </c>
      <c r="EC130" s="37" t="n">
        <f aca="false">IF(EC6=②시니어_가정!$E$539,②시니어_가정!$E$536,0)</f>
        <v>0</v>
      </c>
      <c r="ED130" s="37" t="n">
        <f aca="false">IF(ED6=②시니어_가정!$E$539,②시니어_가정!$E$536,0)</f>
        <v>0</v>
      </c>
      <c r="EE130" s="37" t="n">
        <f aca="false">IF(EE6=②시니어_가정!$E$539,②시니어_가정!$E$536,0)</f>
        <v>0</v>
      </c>
      <c r="EF130" s="37" t="n">
        <f aca="false">IF(EF6=②시니어_가정!$E$539,②시니어_가정!$E$536,0)</f>
        <v>0</v>
      </c>
    </row>
    <row r="131" customFormat="false" ht="15" hidden="false" customHeight="false" outlineLevel="0" collapsed="false">
      <c r="A131" s="36" t="s">
        <v>667</v>
      </c>
      <c r="B131" s="278" t="s">
        <v>21</v>
      </c>
      <c r="C131" s="279" t="n">
        <f aca="false">MAX(E131:EF131)</f>
        <v>47455.0999999999</v>
      </c>
      <c r="E131" s="37" t="n">
        <f aca="false">0+E127-E130</f>
        <v>0</v>
      </c>
      <c r="F131" s="37" t="n">
        <f aca="false">E131+F127-F130</f>
        <v>0</v>
      </c>
      <c r="G131" s="37" t="n">
        <f aca="false">F131+G127-G130</f>
        <v>0</v>
      </c>
      <c r="H131" s="37" t="n">
        <f aca="false">G131+H127-H130</f>
        <v>0</v>
      </c>
      <c r="I131" s="37" t="n">
        <f aca="false">H131+I127-I130</f>
        <v>0</v>
      </c>
      <c r="J131" s="37" t="n">
        <f aca="false">I131+J127-J130</f>
        <v>0</v>
      </c>
      <c r="K131" s="37" t="n">
        <f aca="false">J131+K127-K130</f>
        <v>0</v>
      </c>
      <c r="L131" s="37" t="n">
        <f aca="false">K131+L127-L130</f>
        <v>0</v>
      </c>
      <c r="M131" s="37" t="n">
        <f aca="false">L131+M127-M130</f>
        <v>0</v>
      </c>
      <c r="N131" s="37" t="n">
        <f aca="false">M131+N127-N130</f>
        <v>0</v>
      </c>
      <c r="O131" s="37" t="n">
        <f aca="false">N131+O127-O130</f>
        <v>0</v>
      </c>
      <c r="P131" s="37" t="n">
        <f aca="false">O131+P127-P130</f>
        <v>0</v>
      </c>
      <c r="Q131" s="37" t="n">
        <f aca="false">P131+Q127-Q130</f>
        <v>0</v>
      </c>
      <c r="R131" s="37" t="n">
        <f aca="false">Q131+R127-R130</f>
        <v>0</v>
      </c>
      <c r="S131" s="37" t="n">
        <f aca="false">R131+S127-S130</f>
        <v>0</v>
      </c>
      <c r="T131" s="37" t="n">
        <f aca="false">S131+T127-T130</f>
        <v>0</v>
      </c>
      <c r="U131" s="37" t="n">
        <f aca="false">T131+U127-U130</f>
        <v>0</v>
      </c>
      <c r="V131" s="37" t="n">
        <f aca="false">U131+V127-V130</f>
        <v>0</v>
      </c>
      <c r="W131" s="37" t="n">
        <f aca="false">V131+W127-W130</f>
        <v>0</v>
      </c>
      <c r="X131" s="37" t="n">
        <f aca="false">W131+X127-X130</f>
        <v>0</v>
      </c>
      <c r="Y131" s="37" t="n">
        <f aca="false">X131+Y127-Y130</f>
        <v>0</v>
      </c>
      <c r="Z131" s="37" t="n">
        <f aca="false">Y131+Z127-Z130</f>
        <v>0</v>
      </c>
      <c r="AA131" s="37" t="n">
        <f aca="false">Z131+AA127-AA130</f>
        <v>0</v>
      </c>
      <c r="AB131" s="37" t="n">
        <f aca="false">AA131+AB127-AB130</f>
        <v>0</v>
      </c>
      <c r="AC131" s="37" t="n">
        <f aca="false">AB131+AC127-AC130</f>
        <v>0</v>
      </c>
      <c r="AD131" s="37" t="n">
        <f aca="false">AC131+AD127-AD130</f>
        <v>0</v>
      </c>
      <c r="AE131" s="37" t="n">
        <f aca="false">AD131+AE127-AE130</f>
        <v>0</v>
      </c>
      <c r="AF131" s="37" t="n">
        <f aca="false">AE131+AF127-AF130</f>
        <v>0</v>
      </c>
      <c r="AG131" s="37" t="n">
        <f aca="false">AF131+AG127-AG130</f>
        <v>0</v>
      </c>
      <c r="AH131" s="37" t="n">
        <f aca="false">AG131+AH127-AH130</f>
        <v>0</v>
      </c>
      <c r="AI131" s="37" t="n">
        <f aca="false">AH131+AI127-AI130</f>
        <v>0</v>
      </c>
      <c r="AJ131" s="37" t="n">
        <f aca="false">AI131+AJ127-AJ130</f>
        <v>0</v>
      </c>
      <c r="AK131" s="37" t="n">
        <f aca="false">AJ131+AK127-AK130</f>
        <v>0</v>
      </c>
      <c r="AL131" s="37" t="n">
        <f aca="false">AK131+AL127-AL130</f>
        <v>0</v>
      </c>
      <c r="AM131" s="37" t="n">
        <f aca="false">AL131+AM127-AM130</f>
        <v>0</v>
      </c>
      <c r="AN131" s="37" t="n">
        <f aca="false">AM131+AN127-AN130</f>
        <v>0</v>
      </c>
      <c r="AO131" s="37" t="n">
        <f aca="false">AN131+AO127-AO130</f>
        <v>0</v>
      </c>
      <c r="AP131" s="37" t="n">
        <f aca="false">AO131+AP127-AP130</f>
        <v>0</v>
      </c>
      <c r="AQ131" s="37" t="n">
        <f aca="false">AP131+AQ127-AQ130</f>
        <v>0</v>
      </c>
      <c r="AR131" s="37" t="n">
        <f aca="false">AQ131+AR127-AR130</f>
        <v>0</v>
      </c>
      <c r="AS131" s="37" t="n">
        <f aca="false">AR131+AS127-AS130</f>
        <v>0</v>
      </c>
      <c r="AT131" s="37" t="n">
        <f aca="false">AS131+AT127-AT130</f>
        <v>0</v>
      </c>
      <c r="AU131" s="37" t="n">
        <f aca="false">AT131+AU127-AU130</f>
        <v>0</v>
      </c>
      <c r="AV131" s="37" t="n">
        <f aca="false">AU131+AV127-AV130</f>
        <v>0</v>
      </c>
      <c r="AW131" s="37" t="n">
        <f aca="false">AV131+AW127-AW130</f>
        <v>0</v>
      </c>
      <c r="AX131" s="37" t="n">
        <f aca="false">AW131+AX127-AX130</f>
        <v>0</v>
      </c>
      <c r="AY131" s="37" t="n">
        <f aca="false">AX131+AY127-AY130</f>
        <v>0</v>
      </c>
      <c r="AZ131" s="37" t="n">
        <f aca="false">AY131+AZ127-AZ130</f>
        <v>0</v>
      </c>
      <c r="BA131" s="37" t="n">
        <f aca="false">AZ131+BA127-BA130</f>
        <v>0</v>
      </c>
      <c r="BB131" s="37" t="n">
        <f aca="false">BA131+BB127-BB130</f>
        <v>0</v>
      </c>
      <c r="BC131" s="37" t="n">
        <f aca="false">BB131+BC127-BC130</f>
        <v>0</v>
      </c>
      <c r="BD131" s="37" t="n">
        <f aca="false">BC131+BD127-BD130</f>
        <v>0</v>
      </c>
      <c r="BE131" s="37" t="n">
        <f aca="false">BD131+BE127-BE130</f>
        <v>0</v>
      </c>
      <c r="BF131" s="37" t="n">
        <f aca="false">BE131+BF127-BF130</f>
        <v>0</v>
      </c>
      <c r="BG131" s="37" t="n">
        <f aca="false">BF131+BG127-BG130</f>
        <v>0</v>
      </c>
      <c r="BH131" s="37" t="n">
        <f aca="false">BG131+BH127-BH130</f>
        <v>0</v>
      </c>
      <c r="BI131" s="37" t="n">
        <f aca="false">BH131+BI127-BI130</f>
        <v>0</v>
      </c>
      <c r="BJ131" s="37" t="n">
        <f aca="false">BI131+BJ127-BJ130</f>
        <v>0</v>
      </c>
      <c r="BK131" s="37" t="n">
        <f aca="false">BJ131+BK127-BK130</f>
        <v>0</v>
      </c>
      <c r="BL131" s="37" t="n">
        <f aca="false">BK131+BL127-BL130</f>
        <v>47455.0999999999</v>
      </c>
      <c r="BM131" s="37" t="n">
        <f aca="false">BL131+BM127-BM130</f>
        <v>47455.0999999999</v>
      </c>
      <c r="BN131" s="37" t="n">
        <f aca="false">BM131+BN127-BN130</f>
        <v>47455.0999999999</v>
      </c>
      <c r="BO131" s="37" t="n">
        <f aca="false">BN131+BO127-BO130</f>
        <v>47455.0999999999</v>
      </c>
      <c r="BP131" s="37" t="n">
        <f aca="false">BO131+BP127-BP130</f>
        <v>47455.0999999999</v>
      </c>
      <c r="BQ131" s="37" t="n">
        <f aca="false">BP131+BQ127-BQ130</f>
        <v>47455.0999999999</v>
      </c>
      <c r="BR131" s="37" t="n">
        <f aca="false">BQ131+BR127-BR130</f>
        <v>47455.0999999999</v>
      </c>
      <c r="BS131" s="37" t="n">
        <f aca="false">BR131+BS127-BS130</f>
        <v>47455.0999999999</v>
      </c>
      <c r="BT131" s="37" t="n">
        <f aca="false">BS131+BT127-BT130</f>
        <v>47455.0999999999</v>
      </c>
      <c r="BU131" s="37" t="n">
        <f aca="false">BT131+BU127-BU130</f>
        <v>47455.0999999999</v>
      </c>
      <c r="BV131" s="37" t="n">
        <f aca="false">BU131+BV127-BV130</f>
        <v>47455.0999999999</v>
      </c>
      <c r="BW131" s="37" t="n">
        <f aca="false">BV131+BW127-BW130</f>
        <v>47455.0999999999</v>
      </c>
      <c r="BX131" s="37" t="n">
        <f aca="false">BW131+BX127-BX130</f>
        <v>47455.0999999999</v>
      </c>
      <c r="BY131" s="37" t="n">
        <f aca="false">BX131+BY127-BY130</f>
        <v>47455.0999999999</v>
      </c>
      <c r="BZ131" s="37" t="n">
        <f aca="false">BY131+BZ127-BZ130</f>
        <v>47455.0999999999</v>
      </c>
      <c r="CA131" s="37" t="n">
        <f aca="false">BZ131+CA127-CA130</f>
        <v>47455.0999999999</v>
      </c>
      <c r="CB131" s="37" t="n">
        <f aca="false">CA131+CB127-CB130</f>
        <v>47455.0999999999</v>
      </c>
      <c r="CC131" s="37" t="n">
        <f aca="false">CB131+CC127-CC130</f>
        <v>47455.0999999999</v>
      </c>
      <c r="CD131" s="37" t="n">
        <f aca="false">CC131+CD127-CD130</f>
        <v>47455.0999999999</v>
      </c>
      <c r="CE131" s="37" t="n">
        <f aca="false">CD131+CE127-CE130</f>
        <v>47455.0999999999</v>
      </c>
      <c r="CF131" s="37" t="n">
        <f aca="false">CE131+CF127-CF130</f>
        <v>47455.0999999999</v>
      </c>
      <c r="CG131" s="37" t="n">
        <f aca="false">CF131+CG127-CG130</f>
        <v>47455.0999999999</v>
      </c>
      <c r="CH131" s="37" t="n">
        <f aca="false">CG131+CH127-CH130</f>
        <v>47455.0999999999</v>
      </c>
      <c r="CI131" s="37" t="n">
        <f aca="false">CH131+CI127-CI130</f>
        <v>47455.0999999999</v>
      </c>
      <c r="CJ131" s="37" t="n">
        <f aca="false">CI131+CJ127-CJ130</f>
        <v>47455.0999999999</v>
      </c>
      <c r="CK131" s="37" t="n">
        <f aca="false">CJ131+CK127-CK130</f>
        <v>47455.0999999999</v>
      </c>
      <c r="CL131" s="37" t="n">
        <f aca="false">CK131+CL127-CL130</f>
        <v>47455.0999999999</v>
      </c>
      <c r="CM131" s="37" t="n">
        <f aca="false">CL131+CM127-CM130</f>
        <v>47455.0999999999</v>
      </c>
      <c r="CN131" s="37" t="n">
        <f aca="false">CM131+CN127-CN130</f>
        <v>47455.0999999999</v>
      </c>
      <c r="CO131" s="37" t="n">
        <f aca="false">CN131+CO127-CO130</f>
        <v>47455.0999999999</v>
      </c>
      <c r="CP131" s="37" t="n">
        <f aca="false">CO131+CP127-CP130</f>
        <v>47455.0999999999</v>
      </c>
      <c r="CQ131" s="37" t="n">
        <f aca="false">CP131+CQ127-CQ130</f>
        <v>47455.0999999999</v>
      </c>
      <c r="CR131" s="37" t="n">
        <f aca="false">CQ131+CR127-CR130</f>
        <v>47455.0999999999</v>
      </c>
      <c r="CS131" s="37" t="n">
        <f aca="false">CR131+CS127-CS130</f>
        <v>47455.0999999999</v>
      </c>
      <c r="CT131" s="37" t="n">
        <f aca="false">CS131+CT127-CT130</f>
        <v>47455.0999999999</v>
      </c>
      <c r="CU131" s="37" t="n">
        <f aca="false">CT131+CU127-CU130</f>
        <v>47455.0999999999</v>
      </c>
      <c r="CV131" s="37" t="n">
        <f aca="false">CU131+CV127-CV130</f>
        <v>47455.0999999999</v>
      </c>
      <c r="CW131" s="37" t="n">
        <f aca="false">CV131+CW127-CW130</f>
        <v>47455.0999999999</v>
      </c>
      <c r="CX131" s="37" t="n">
        <f aca="false">CW131+CX127-CX130</f>
        <v>47455.0999999999</v>
      </c>
      <c r="CY131" s="37" t="n">
        <f aca="false">CX131+CY127-CY130</f>
        <v>47455.0999999999</v>
      </c>
      <c r="CZ131" s="37" t="n">
        <f aca="false">CY131+CZ127-CZ130</f>
        <v>47455.0999999999</v>
      </c>
      <c r="DA131" s="37" t="n">
        <f aca="false">CZ131+DA127-DA130</f>
        <v>47455.0999999999</v>
      </c>
      <c r="DB131" s="37" t="n">
        <f aca="false">DA131+DB127-DB130</f>
        <v>47455.0999999999</v>
      </c>
      <c r="DC131" s="37" t="n">
        <f aca="false">DB131+DC127-DC130</f>
        <v>47455.0999999999</v>
      </c>
      <c r="DD131" s="37" t="n">
        <f aca="false">DC131+DD127-DD130</f>
        <v>47455.0999999999</v>
      </c>
      <c r="DE131" s="37" t="n">
        <f aca="false">DD131+DE127-DE130</f>
        <v>47455.0999999999</v>
      </c>
      <c r="DF131" s="37" t="n">
        <f aca="false">DE131+DF127-DF130</f>
        <v>47455.0999999999</v>
      </c>
      <c r="DG131" s="37" t="n">
        <f aca="false">DF131+DG127-DG130</f>
        <v>47455.0999999999</v>
      </c>
      <c r="DH131" s="37" t="n">
        <f aca="false">DG131+DH127-DH130</f>
        <v>47455.0999999999</v>
      </c>
      <c r="DI131" s="37" t="n">
        <f aca="false">DH131+DI127-DI130</f>
        <v>47455.0999999999</v>
      </c>
      <c r="DJ131" s="37" t="n">
        <f aca="false">DI131+DJ127-DJ130</f>
        <v>47455.0999999999</v>
      </c>
      <c r="DK131" s="37" t="n">
        <f aca="false">DJ131+DK127-DK130</f>
        <v>47455.0999999999</v>
      </c>
      <c r="DL131" s="37" t="n">
        <f aca="false">DK131+DL127-DL130</f>
        <v>47455.0999999999</v>
      </c>
      <c r="DM131" s="37" t="n">
        <f aca="false">DL131+DM127-DM130</f>
        <v>47455.0999999999</v>
      </c>
      <c r="DN131" s="37" t="n">
        <f aca="false">DM131+DN127-DN130</f>
        <v>47455.0999999999</v>
      </c>
      <c r="DO131" s="37" t="n">
        <f aca="false">DN131+DO127-DO130</f>
        <v>47455.0999999999</v>
      </c>
      <c r="DP131" s="37" t="n">
        <f aca="false">DO131+DP127-DP130</f>
        <v>47455.0999999999</v>
      </c>
      <c r="DQ131" s="37" t="n">
        <f aca="false">DP131+DQ127-DQ130</f>
        <v>47455.0999999999</v>
      </c>
      <c r="DR131" s="37" t="n">
        <f aca="false">DQ131+DR127-DR130</f>
        <v>47455.0999999999</v>
      </c>
      <c r="DS131" s="37" t="n">
        <f aca="false">DR131+DS127-DS130</f>
        <v>47455.0999999999</v>
      </c>
      <c r="DT131" s="37" t="n">
        <f aca="false">DS131+DT127-DT130</f>
        <v>0</v>
      </c>
      <c r="DU131" s="37" t="n">
        <f aca="false">DT131+DU127-DU130</f>
        <v>0</v>
      </c>
      <c r="DV131" s="37" t="n">
        <f aca="false">DU131+DV127-DV130</f>
        <v>0</v>
      </c>
      <c r="DW131" s="37" t="n">
        <f aca="false">DV131+DW127-DW130</f>
        <v>0</v>
      </c>
      <c r="DX131" s="37" t="n">
        <f aca="false">DW131+DX127-DX130</f>
        <v>0</v>
      </c>
      <c r="DY131" s="37" t="n">
        <f aca="false">DX131+DY127-DY130</f>
        <v>0</v>
      </c>
      <c r="DZ131" s="37" t="n">
        <f aca="false">DY131+DZ127-DZ130</f>
        <v>0</v>
      </c>
      <c r="EA131" s="37" t="n">
        <f aca="false">DZ131+EA127-EA130</f>
        <v>0</v>
      </c>
      <c r="EB131" s="37" t="n">
        <f aca="false">EA131+EB127-EB130</f>
        <v>0</v>
      </c>
      <c r="EC131" s="37" t="n">
        <f aca="false">EB131+EC127-EC130</f>
        <v>0</v>
      </c>
      <c r="ED131" s="37" t="n">
        <f aca="false">EC131+ED127-ED130</f>
        <v>0</v>
      </c>
      <c r="EE131" s="37" t="n">
        <f aca="false">ED131+EE127-EE130</f>
        <v>0</v>
      </c>
      <c r="EF131" s="37" t="n">
        <f aca="false">EE131+EF127-EF130</f>
        <v>0</v>
      </c>
    </row>
    <row r="133" customFormat="false" ht="15" hidden="false" customHeight="false" outlineLevel="0" collapsed="false">
      <c r="A133" s="6" t="s">
        <v>518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</row>
    <row r="134" customFormat="false" ht="15" hidden="false" customHeight="false" outlineLevel="0" collapsed="false">
      <c r="A134" s="36" t="s">
        <v>668</v>
      </c>
      <c r="B134" s="278" t="s">
        <v>21</v>
      </c>
      <c r="C134" s="279" t="n">
        <f aca="false">SUM(E134:EF134)</f>
        <v>0</v>
      </c>
      <c r="E134" s="37" t="n">
        <f aca="false">SUMIF(②시니어_가정!$N$543:$N$545,E6,②시니어_가정!$E$543:$E$545)</f>
        <v>0</v>
      </c>
      <c r="F134" s="37" t="n">
        <f aca="false">SUMIF(②시니어_가정!$N$543:$N$545,F6,②시니어_가정!$E$543:$E$545)</f>
        <v>0</v>
      </c>
      <c r="G134" s="37" t="n">
        <f aca="false">SUMIF(②시니어_가정!$N$543:$N$545,G6,②시니어_가정!$E$543:$E$545)</f>
        <v>0</v>
      </c>
      <c r="H134" s="37" t="n">
        <f aca="false">SUMIF(②시니어_가정!$N$543:$N$545,H6,②시니어_가정!$E$543:$E$545)</f>
        <v>0</v>
      </c>
      <c r="I134" s="37" t="n">
        <f aca="false">SUMIF(②시니어_가정!$N$543:$N$545,I6,②시니어_가정!$E$543:$E$545)</f>
        <v>0</v>
      </c>
      <c r="J134" s="37" t="n">
        <f aca="false">SUMIF(②시니어_가정!$N$543:$N$545,J6,②시니어_가정!$E$543:$E$545)</f>
        <v>0</v>
      </c>
      <c r="K134" s="37" t="n">
        <f aca="false">SUMIF(②시니어_가정!$N$543:$N$545,K6,②시니어_가정!$E$543:$E$545)</f>
        <v>0</v>
      </c>
      <c r="L134" s="37" t="n">
        <f aca="false">SUMIF(②시니어_가정!$N$543:$N$545,L6,②시니어_가정!$E$543:$E$545)</f>
        <v>0</v>
      </c>
      <c r="M134" s="37" t="n">
        <f aca="false">SUMIF(②시니어_가정!$N$543:$N$545,M6,②시니어_가정!$E$543:$E$545)</f>
        <v>0</v>
      </c>
      <c r="N134" s="37" t="n">
        <f aca="false">SUMIF(②시니어_가정!$N$543:$N$545,N6,②시니어_가정!$E$543:$E$545)</f>
        <v>0</v>
      </c>
      <c r="O134" s="37" t="n">
        <f aca="false">SUMIF(②시니어_가정!$N$543:$N$545,O6,②시니어_가정!$E$543:$E$545)</f>
        <v>0</v>
      </c>
      <c r="P134" s="37" t="n">
        <f aca="false">SUMIF(②시니어_가정!$N$543:$N$545,P6,②시니어_가정!$E$543:$E$545)</f>
        <v>0</v>
      </c>
      <c r="Q134" s="37" t="n">
        <f aca="false">SUMIF(②시니어_가정!$N$543:$N$545,Q6,②시니어_가정!$E$543:$E$545)</f>
        <v>0</v>
      </c>
      <c r="R134" s="37" t="n">
        <f aca="false">SUMIF(②시니어_가정!$N$543:$N$545,R6,②시니어_가정!$E$543:$E$545)</f>
        <v>0</v>
      </c>
      <c r="S134" s="37" t="n">
        <f aca="false">SUMIF(②시니어_가정!$N$543:$N$545,S6,②시니어_가정!$E$543:$E$545)</f>
        <v>0</v>
      </c>
      <c r="T134" s="37" t="n">
        <f aca="false">SUMIF(②시니어_가정!$N$543:$N$545,T6,②시니어_가정!$E$543:$E$545)</f>
        <v>0</v>
      </c>
      <c r="U134" s="37" t="n">
        <f aca="false">SUMIF(②시니어_가정!$N$543:$N$545,U6,②시니어_가정!$E$543:$E$545)</f>
        <v>0</v>
      </c>
      <c r="V134" s="37" t="n">
        <f aca="false">SUMIF(②시니어_가정!$N$543:$N$545,V6,②시니어_가정!$E$543:$E$545)</f>
        <v>0</v>
      </c>
      <c r="W134" s="37" t="n">
        <f aca="false">SUMIF(②시니어_가정!$N$543:$N$545,W6,②시니어_가정!$E$543:$E$545)</f>
        <v>0</v>
      </c>
      <c r="X134" s="37" t="n">
        <f aca="false">SUMIF(②시니어_가정!$N$543:$N$545,X6,②시니어_가정!$E$543:$E$545)</f>
        <v>0</v>
      </c>
      <c r="Y134" s="37" t="n">
        <f aca="false">SUMIF(②시니어_가정!$N$543:$N$545,Y6,②시니어_가정!$E$543:$E$545)</f>
        <v>0</v>
      </c>
      <c r="Z134" s="37" t="n">
        <f aca="false">SUMIF(②시니어_가정!$N$543:$N$545,Z6,②시니어_가정!$E$543:$E$545)</f>
        <v>0</v>
      </c>
      <c r="AA134" s="37" t="n">
        <f aca="false">SUMIF(②시니어_가정!$N$543:$N$545,AA6,②시니어_가정!$E$543:$E$545)</f>
        <v>0</v>
      </c>
      <c r="AB134" s="37" t="n">
        <f aca="false">SUMIF(②시니어_가정!$N$543:$N$545,AB6,②시니어_가정!$E$543:$E$545)</f>
        <v>0</v>
      </c>
      <c r="AC134" s="37" t="n">
        <f aca="false">SUMIF(②시니어_가정!$N$543:$N$545,AC6,②시니어_가정!$E$543:$E$545)</f>
        <v>0</v>
      </c>
      <c r="AD134" s="37" t="n">
        <f aca="false">SUMIF(②시니어_가정!$N$543:$N$545,AD6,②시니어_가정!$E$543:$E$545)</f>
        <v>0</v>
      </c>
      <c r="AE134" s="37" t="n">
        <f aca="false">SUMIF(②시니어_가정!$N$543:$N$545,AE6,②시니어_가정!$E$543:$E$545)</f>
        <v>0</v>
      </c>
      <c r="AF134" s="37" t="n">
        <f aca="false">SUMIF(②시니어_가정!$N$543:$N$545,AF6,②시니어_가정!$E$543:$E$545)</f>
        <v>0</v>
      </c>
      <c r="AG134" s="37" t="n">
        <f aca="false">SUMIF(②시니어_가정!$N$543:$N$545,AG6,②시니어_가정!$E$543:$E$545)</f>
        <v>0</v>
      </c>
      <c r="AH134" s="37" t="n">
        <f aca="false">SUMIF(②시니어_가정!$N$543:$N$545,AH6,②시니어_가정!$E$543:$E$545)</f>
        <v>0</v>
      </c>
      <c r="AI134" s="37" t="n">
        <f aca="false">SUMIF(②시니어_가정!$N$543:$N$545,AI6,②시니어_가정!$E$543:$E$545)</f>
        <v>0</v>
      </c>
      <c r="AJ134" s="37" t="n">
        <f aca="false">SUMIF(②시니어_가정!$N$543:$N$545,AJ6,②시니어_가정!$E$543:$E$545)</f>
        <v>0</v>
      </c>
      <c r="AK134" s="37" t="n">
        <f aca="false">SUMIF(②시니어_가정!$N$543:$N$545,AK6,②시니어_가정!$E$543:$E$545)</f>
        <v>0</v>
      </c>
      <c r="AL134" s="37" t="n">
        <f aca="false">SUMIF(②시니어_가정!$N$543:$N$545,AL6,②시니어_가정!$E$543:$E$545)</f>
        <v>0</v>
      </c>
      <c r="AM134" s="37" t="n">
        <f aca="false">SUMIF(②시니어_가정!$N$543:$N$545,AM6,②시니어_가정!$E$543:$E$545)</f>
        <v>0</v>
      </c>
      <c r="AN134" s="37" t="n">
        <f aca="false">SUMIF(②시니어_가정!$N$543:$N$545,AN6,②시니어_가정!$E$543:$E$545)</f>
        <v>0</v>
      </c>
      <c r="AO134" s="37" t="n">
        <f aca="false">SUMIF(②시니어_가정!$N$543:$N$545,AO6,②시니어_가정!$E$543:$E$545)</f>
        <v>0</v>
      </c>
      <c r="AP134" s="37" t="n">
        <f aca="false">SUMIF(②시니어_가정!$N$543:$N$545,AP6,②시니어_가정!$E$543:$E$545)</f>
        <v>0</v>
      </c>
      <c r="AQ134" s="37" t="n">
        <f aca="false">SUMIF(②시니어_가정!$N$543:$N$545,AQ6,②시니어_가정!$E$543:$E$545)</f>
        <v>0</v>
      </c>
      <c r="AR134" s="37" t="n">
        <f aca="false">SUMIF(②시니어_가정!$N$543:$N$545,AR6,②시니어_가정!$E$543:$E$545)</f>
        <v>0</v>
      </c>
      <c r="AS134" s="37" t="n">
        <f aca="false">SUMIF(②시니어_가정!$N$543:$N$545,AS6,②시니어_가정!$E$543:$E$545)</f>
        <v>0</v>
      </c>
      <c r="AT134" s="37" t="n">
        <f aca="false">SUMIF(②시니어_가정!$N$543:$N$545,AT6,②시니어_가정!$E$543:$E$545)</f>
        <v>0</v>
      </c>
      <c r="AU134" s="37" t="n">
        <f aca="false">SUMIF(②시니어_가정!$N$543:$N$545,AU6,②시니어_가정!$E$543:$E$545)</f>
        <v>0</v>
      </c>
      <c r="AV134" s="37" t="n">
        <f aca="false">SUMIF(②시니어_가정!$N$543:$N$545,AV6,②시니어_가정!$E$543:$E$545)</f>
        <v>0</v>
      </c>
      <c r="AW134" s="37" t="n">
        <f aca="false">SUMIF(②시니어_가정!$N$543:$N$545,AW6,②시니어_가정!$E$543:$E$545)</f>
        <v>0</v>
      </c>
      <c r="AX134" s="37" t="n">
        <f aca="false">SUMIF(②시니어_가정!$N$543:$N$545,AX6,②시니어_가정!$E$543:$E$545)</f>
        <v>0</v>
      </c>
      <c r="AY134" s="37" t="n">
        <f aca="false">SUMIF(②시니어_가정!$N$543:$N$545,AY6,②시니어_가정!$E$543:$E$545)</f>
        <v>0</v>
      </c>
      <c r="AZ134" s="37" t="n">
        <f aca="false">SUMIF(②시니어_가정!$N$543:$N$545,AZ6,②시니어_가정!$E$543:$E$545)</f>
        <v>0</v>
      </c>
      <c r="BA134" s="37" t="n">
        <f aca="false">SUMIF(②시니어_가정!$N$543:$N$545,BA6,②시니어_가정!$E$543:$E$545)</f>
        <v>0</v>
      </c>
      <c r="BB134" s="37" t="n">
        <f aca="false">SUMIF(②시니어_가정!$N$543:$N$545,BB6,②시니어_가정!$E$543:$E$545)</f>
        <v>0</v>
      </c>
      <c r="BC134" s="37" t="n">
        <f aca="false">SUMIF(②시니어_가정!$N$543:$N$545,BC6,②시니어_가정!$E$543:$E$545)</f>
        <v>0</v>
      </c>
      <c r="BD134" s="37" t="n">
        <f aca="false">SUMIF(②시니어_가정!$N$543:$N$545,BD6,②시니어_가정!$E$543:$E$545)</f>
        <v>0</v>
      </c>
      <c r="BE134" s="37" t="n">
        <f aca="false">SUMIF(②시니어_가정!$N$543:$N$545,BE6,②시니어_가정!$E$543:$E$545)</f>
        <v>0</v>
      </c>
      <c r="BF134" s="37" t="n">
        <f aca="false">SUMIF(②시니어_가정!$N$543:$N$545,BF6,②시니어_가정!$E$543:$E$545)</f>
        <v>0</v>
      </c>
      <c r="BG134" s="37" t="n">
        <f aca="false">SUMIF(②시니어_가정!$N$543:$N$545,BG6,②시니어_가정!$E$543:$E$545)</f>
        <v>0</v>
      </c>
      <c r="BH134" s="37" t="n">
        <f aca="false">SUMIF(②시니어_가정!$N$543:$N$545,BH6,②시니어_가정!$E$543:$E$545)</f>
        <v>0</v>
      </c>
      <c r="BI134" s="37" t="n">
        <f aca="false">SUMIF(②시니어_가정!$N$543:$N$545,BI6,②시니어_가정!$E$543:$E$545)</f>
        <v>0</v>
      </c>
      <c r="BJ134" s="37" t="n">
        <f aca="false">SUMIF(②시니어_가정!$N$543:$N$545,BJ6,②시니어_가정!$E$543:$E$545)</f>
        <v>0</v>
      </c>
      <c r="BK134" s="37" t="n">
        <f aca="false">SUMIF(②시니어_가정!$N$543:$N$545,BK6,②시니어_가정!$E$543:$E$545)</f>
        <v>0</v>
      </c>
      <c r="BL134" s="37" t="n">
        <f aca="false">SUMIF(②시니어_가정!$N$543:$N$545,BL6,②시니어_가정!$E$543:$E$545)</f>
        <v>0</v>
      </c>
      <c r="BM134" s="37" t="n">
        <f aca="false">SUMIF(②시니어_가정!$N$543:$N$545,BM6,②시니어_가정!$E$543:$E$545)</f>
        <v>0</v>
      </c>
      <c r="BN134" s="37" t="n">
        <f aca="false">SUMIF(②시니어_가정!$N$543:$N$545,BN6,②시니어_가정!$E$543:$E$545)</f>
        <v>0</v>
      </c>
      <c r="BO134" s="37" t="n">
        <f aca="false">SUMIF(②시니어_가정!$N$543:$N$545,BO6,②시니어_가정!$E$543:$E$545)</f>
        <v>0</v>
      </c>
      <c r="BP134" s="37" t="n">
        <f aca="false">SUMIF(②시니어_가정!$N$543:$N$545,BP6,②시니어_가정!$E$543:$E$545)</f>
        <v>0</v>
      </c>
      <c r="BQ134" s="37" t="n">
        <f aca="false">SUMIF(②시니어_가정!$N$543:$N$545,BQ6,②시니어_가정!$E$543:$E$545)</f>
        <v>0</v>
      </c>
      <c r="BR134" s="37" t="n">
        <f aca="false">SUMIF(②시니어_가정!$N$543:$N$545,BR6,②시니어_가정!$E$543:$E$545)</f>
        <v>0</v>
      </c>
      <c r="BS134" s="37" t="n">
        <f aca="false">SUMIF(②시니어_가정!$N$543:$N$545,BS6,②시니어_가정!$E$543:$E$545)</f>
        <v>0</v>
      </c>
      <c r="BT134" s="37" t="n">
        <f aca="false">SUMIF(②시니어_가정!$N$543:$N$545,BT6,②시니어_가정!$E$543:$E$545)</f>
        <v>0</v>
      </c>
      <c r="BU134" s="37" t="n">
        <f aca="false">SUMIF(②시니어_가정!$N$543:$N$545,BU6,②시니어_가정!$E$543:$E$545)</f>
        <v>0</v>
      </c>
      <c r="BV134" s="37" t="n">
        <f aca="false">SUMIF(②시니어_가정!$N$543:$N$545,BV6,②시니어_가정!$E$543:$E$545)</f>
        <v>0</v>
      </c>
      <c r="BW134" s="37" t="n">
        <f aca="false">SUMIF(②시니어_가정!$N$543:$N$545,BW6,②시니어_가정!$E$543:$E$545)</f>
        <v>0</v>
      </c>
      <c r="BX134" s="37" t="n">
        <f aca="false">SUMIF(②시니어_가정!$N$543:$N$545,BX6,②시니어_가정!$E$543:$E$545)</f>
        <v>0</v>
      </c>
      <c r="BY134" s="37" t="n">
        <f aca="false">SUMIF(②시니어_가정!$N$543:$N$545,BY6,②시니어_가정!$E$543:$E$545)</f>
        <v>0</v>
      </c>
      <c r="BZ134" s="37" t="n">
        <f aca="false">SUMIF(②시니어_가정!$N$543:$N$545,BZ6,②시니어_가정!$E$543:$E$545)</f>
        <v>0</v>
      </c>
      <c r="CA134" s="37" t="n">
        <f aca="false">SUMIF(②시니어_가정!$N$543:$N$545,CA6,②시니어_가정!$E$543:$E$545)</f>
        <v>0</v>
      </c>
      <c r="CB134" s="37" t="n">
        <f aca="false">SUMIF(②시니어_가정!$N$543:$N$545,CB6,②시니어_가정!$E$543:$E$545)</f>
        <v>0</v>
      </c>
      <c r="CC134" s="37" t="n">
        <f aca="false">SUMIF(②시니어_가정!$N$543:$N$545,CC6,②시니어_가정!$E$543:$E$545)</f>
        <v>0</v>
      </c>
      <c r="CD134" s="37" t="n">
        <f aca="false">SUMIF(②시니어_가정!$N$543:$N$545,CD6,②시니어_가정!$E$543:$E$545)</f>
        <v>0</v>
      </c>
      <c r="CE134" s="37" t="n">
        <f aca="false">SUMIF(②시니어_가정!$N$543:$N$545,CE6,②시니어_가정!$E$543:$E$545)</f>
        <v>0</v>
      </c>
      <c r="CF134" s="37" t="n">
        <f aca="false">SUMIF(②시니어_가정!$N$543:$N$545,CF6,②시니어_가정!$E$543:$E$545)</f>
        <v>0</v>
      </c>
      <c r="CG134" s="37" t="n">
        <f aca="false">SUMIF(②시니어_가정!$N$543:$N$545,CG6,②시니어_가정!$E$543:$E$545)</f>
        <v>0</v>
      </c>
      <c r="CH134" s="37" t="n">
        <f aca="false">SUMIF(②시니어_가정!$N$543:$N$545,CH6,②시니어_가정!$E$543:$E$545)</f>
        <v>0</v>
      </c>
      <c r="CI134" s="37" t="n">
        <f aca="false">SUMIF(②시니어_가정!$N$543:$N$545,CI6,②시니어_가정!$E$543:$E$545)</f>
        <v>0</v>
      </c>
      <c r="CJ134" s="37" t="n">
        <f aca="false">SUMIF(②시니어_가정!$N$543:$N$545,CJ6,②시니어_가정!$E$543:$E$545)</f>
        <v>0</v>
      </c>
      <c r="CK134" s="37" t="n">
        <f aca="false">SUMIF(②시니어_가정!$N$543:$N$545,CK6,②시니어_가정!$E$543:$E$545)</f>
        <v>0</v>
      </c>
      <c r="CL134" s="37" t="n">
        <f aca="false">SUMIF(②시니어_가정!$N$543:$N$545,CL6,②시니어_가정!$E$543:$E$545)</f>
        <v>0</v>
      </c>
      <c r="CM134" s="37" t="n">
        <f aca="false">SUMIF(②시니어_가정!$N$543:$N$545,CM6,②시니어_가정!$E$543:$E$545)</f>
        <v>0</v>
      </c>
      <c r="CN134" s="37" t="n">
        <f aca="false">SUMIF(②시니어_가정!$N$543:$N$545,CN6,②시니어_가정!$E$543:$E$545)</f>
        <v>0</v>
      </c>
      <c r="CO134" s="37" t="n">
        <f aca="false">SUMIF(②시니어_가정!$N$543:$N$545,CO6,②시니어_가정!$E$543:$E$545)</f>
        <v>0</v>
      </c>
      <c r="CP134" s="37" t="n">
        <f aca="false">SUMIF(②시니어_가정!$N$543:$N$545,CP6,②시니어_가정!$E$543:$E$545)</f>
        <v>0</v>
      </c>
      <c r="CQ134" s="37" t="n">
        <f aca="false">SUMIF(②시니어_가정!$N$543:$N$545,CQ6,②시니어_가정!$E$543:$E$545)</f>
        <v>0</v>
      </c>
      <c r="CR134" s="37" t="n">
        <f aca="false">SUMIF(②시니어_가정!$N$543:$N$545,CR6,②시니어_가정!$E$543:$E$545)</f>
        <v>0</v>
      </c>
      <c r="CS134" s="37" t="n">
        <f aca="false">SUMIF(②시니어_가정!$N$543:$N$545,CS6,②시니어_가정!$E$543:$E$545)</f>
        <v>0</v>
      </c>
      <c r="CT134" s="37" t="n">
        <f aca="false">SUMIF(②시니어_가정!$N$543:$N$545,CT6,②시니어_가정!$E$543:$E$545)</f>
        <v>0</v>
      </c>
      <c r="CU134" s="37" t="n">
        <f aca="false">SUMIF(②시니어_가정!$N$543:$N$545,CU6,②시니어_가정!$E$543:$E$545)</f>
        <v>0</v>
      </c>
      <c r="CV134" s="37" t="n">
        <f aca="false">SUMIF(②시니어_가정!$N$543:$N$545,CV6,②시니어_가정!$E$543:$E$545)</f>
        <v>0</v>
      </c>
      <c r="CW134" s="37" t="n">
        <f aca="false">SUMIF(②시니어_가정!$N$543:$N$545,CW6,②시니어_가정!$E$543:$E$545)</f>
        <v>0</v>
      </c>
      <c r="CX134" s="37" t="n">
        <f aca="false">SUMIF(②시니어_가정!$N$543:$N$545,CX6,②시니어_가정!$E$543:$E$545)</f>
        <v>0</v>
      </c>
      <c r="CY134" s="37" t="n">
        <f aca="false">SUMIF(②시니어_가정!$N$543:$N$545,CY6,②시니어_가정!$E$543:$E$545)</f>
        <v>0</v>
      </c>
      <c r="CZ134" s="37" t="n">
        <f aca="false">SUMIF(②시니어_가정!$N$543:$N$545,CZ6,②시니어_가정!$E$543:$E$545)</f>
        <v>0</v>
      </c>
      <c r="DA134" s="37" t="n">
        <f aca="false">SUMIF(②시니어_가정!$N$543:$N$545,DA6,②시니어_가정!$E$543:$E$545)</f>
        <v>0</v>
      </c>
      <c r="DB134" s="37" t="n">
        <f aca="false">SUMIF(②시니어_가정!$N$543:$N$545,DB6,②시니어_가정!$E$543:$E$545)</f>
        <v>0</v>
      </c>
      <c r="DC134" s="37" t="n">
        <f aca="false">SUMIF(②시니어_가정!$N$543:$N$545,DC6,②시니어_가정!$E$543:$E$545)</f>
        <v>0</v>
      </c>
      <c r="DD134" s="37" t="n">
        <f aca="false">SUMIF(②시니어_가정!$N$543:$N$545,DD6,②시니어_가정!$E$543:$E$545)</f>
        <v>0</v>
      </c>
      <c r="DE134" s="37" t="n">
        <f aca="false">SUMIF(②시니어_가정!$N$543:$N$545,DE6,②시니어_가정!$E$543:$E$545)</f>
        <v>0</v>
      </c>
      <c r="DF134" s="37" t="n">
        <f aca="false">SUMIF(②시니어_가정!$N$543:$N$545,DF6,②시니어_가정!$E$543:$E$545)</f>
        <v>0</v>
      </c>
      <c r="DG134" s="37" t="n">
        <f aca="false">SUMIF(②시니어_가정!$N$543:$N$545,DG6,②시니어_가정!$E$543:$E$545)</f>
        <v>0</v>
      </c>
      <c r="DH134" s="37" t="n">
        <f aca="false">SUMIF(②시니어_가정!$N$543:$N$545,DH6,②시니어_가정!$E$543:$E$545)</f>
        <v>0</v>
      </c>
      <c r="DI134" s="37" t="n">
        <f aca="false">SUMIF(②시니어_가정!$N$543:$N$545,DI6,②시니어_가정!$E$543:$E$545)</f>
        <v>0</v>
      </c>
      <c r="DJ134" s="37" t="n">
        <f aca="false">SUMIF(②시니어_가정!$N$543:$N$545,DJ6,②시니어_가정!$E$543:$E$545)</f>
        <v>0</v>
      </c>
      <c r="DK134" s="37" t="n">
        <f aca="false">SUMIF(②시니어_가정!$N$543:$N$545,DK6,②시니어_가정!$E$543:$E$545)</f>
        <v>0</v>
      </c>
      <c r="DL134" s="37" t="n">
        <f aca="false">SUMIF(②시니어_가정!$N$543:$N$545,DL6,②시니어_가정!$E$543:$E$545)</f>
        <v>0</v>
      </c>
      <c r="DM134" s="37" t="n">
        <f aca="false">SUMIF(②시니어_가정!$N$543:$N$545,DM6,②시니어_가정!$E$543:$E$545)</f>
        <v>0</v>
      </c>
      <c r="DN134" s="37" t="n">
        <f aca="false">SUMIF(②시니어_가정!$N$543:$N$545,DN6,②시니어_가정!$E$543:$E$545)</f>
        <v>0</v>
      </c>
      <c r="DO134" s="37" t="n">
        <f aca="false">SUMIF(②시니어_가정!$N$543:$N$545,DO6,②시니어_가정!$E$543:$E$545)</f>
        <v>0</v>
      </c>
      <c r="DP134" s="37" t="n">
        <f aca="false">SUMIF(②시니어_가정!$N$543:$N$545,DP6,②시니어_가정!$E$543:$E$545)</f>
        <v>0</v>
      </c>
      <c r="DQ134" s="37" t="n">
        <f aca="false">SUMIF(②시니어_가정!$N$543:$N$545,DQ6,②시니어_가정!$E$543:$E$545)</f>
        <v>0</v>
      </c>
      <c r="DR134" s="37" t="n">
        <f aca="false">SUMIF(②시니어_가정!$N$543:$N$545,DR6,②시니어_가정!$E$543:$E$545)</f>
        <v>0</v>
      </c>
      <c r="DS134" s="37" t="n">
        <f aca="false">SUMIF(②시니어_가정!$N$543:$N$545,DS6,②시니어_가정!$E$543:$E$545)</f>
        <v>0</v>
      </c>
      <c r="DT134" s="37" t="n">
        <f aca="false">SUMIF(②시니어_가정!$N$543:$N$545,DT6,②시니어_가정!$E$543:$E$545)</f>
        <v>0</v>
      </c>
      <c r="DU134" s="37" t="n">
        <f aca="false">SUMIF(②시니어_가정!$N$543:$N$545,DU6,②시니어_가정!$E$543:$E$545)</f>
        <v>0</v>
      </c>
      <c r="DV134" s="37" t="n">
        <f aca="false">SUMIF(②시니어_가정!$N$543:$N$545,DV6,②시니어_가정!$E$543:$E$545)</f>
        <v>0</v>
      </c>
      <c r="DW134" s="37" t="n">
        <f aca="false">SUMIF(②시니어_가정!$N$543:$N$545,DW6,②시니어_가정!$E$543:$E$545)</f>
        <v>0</v>
      </c>
      <c r="DX134" s="37" t="n">
        <f aca="false">SUMIF(②시니어_가정!$N$543:$N$545,DX6,②시니어_가정!$E$543:$E$545)</f>
        <v>0</v>
      </c>
      <c r="DY134" s="37" t="n">
        <f aca="false">SUMIF(②시니어_가정!$N$543:$N$545,DY6,②시니어_가정!$E$543:$E$545)</f>
        <v>0</v>
      </c>
      <c r="DZ134" s="37" t="n">
        <f aca="false">SUMIF(②시니어_가정!$N$543:$N$545,DZ6,②시니어_가정!$E$543:$E$545)</f>
        <v>0</v>
      </c>
      <c r="EA134" s="37" t="n">
        <f aca="false">SUMIF(②시니어_가정!$N$543:$N$545,EA6,②시니어_가정!$E$543:$E$545)</f>
        <v>0</v>
      </c>
      <c r="EB134" s="37" t="n">
        <f aca="false">SUMIF(②시니어_가정!$N$543:$N$545,EB6,②시니어_가정!$E$543:$E$545)</f>
        <v>0</v>
      </c>
      <c r="EC134" s="37" t="n">
        <f aca="false">SUMIF(②시니어_가정!$N$543:$N$545,EC6,②시니어_가정!$E$543:$E$545)</f>
        <v>0</v>
      </c>
      <c r="ED134" s="37" t="n">
        <f aca="false">SUMIF(②시니어_가정!$N$543:$N$545,ED6,②시니어_가정!$E$543:$E$545)</f>
        <v>0</v>
      </c>
      <c r="EE134" s="37" t="n">
        <f aca="false">SUMIF(②시니어_가정!$N$543:$N$545,EE6,②시니어_가정!$E$543:$E$545)</f>
        <v>0</v>
      </c>
      <c r="EF134" s="37" t="n">
        <f aca="false">SUMIF(②시니어_가정!$N$543:$N$545,EF6,②시니어_가정!$E$543:$E$545)</f>
        <v>0</v>
      </c>
    </row>
    <row r="135" customFormat="false" ht="15" hidden="false" customHeight="false" outlineLevel="0" collapsed="false">
      <c r="A135" s="36" t="s">
        <v>669</v>
      </c>
      <c r="B135" s="278" t="s">
        <v>21</v>
      </c>
      <c r="C135" s="279" t="n">
        <f aca="false">SUM(E135:EF135)</f>
        <v>0</v>
      </c>
      <c r="E135" s="37" t="n">
        <f aca="false">SUMPRODUCT((②시니어_가정!$N$543:$N$545&lt;E6)*(②시니어_가정!$O$543:$O$545&gt;=E6)*②시니어_가정!$E$543:$E$545*②시니어_가정!$K$543:$K$545)/12</f>
        <v>0</v>
      </c>
      <c r="F135" s="37" t="n">
        <f aca="false">SUMPRODUCT((②시니어_가정!$N$543:$N$545&lt;F6)*(②시니어_가정!$O$543:$O$545&gt;=F6)*②시니어_가정!$E$543:$E$545*②시니어_가정!$K$543:$K$545)/12</f>
        <v>0</v>
      </c>
      <c r="G135" s="37" t="n">
        <f aca="false">SUMPRODUCT((②시니어_가정!$N$543:$N$545&lt;G6)*(②시니어_가정!$O$543:$O$545&gt;=G6)*②시니어_가정!$E$543:$E$545*②시니어_가정!$K$543:$K$545)/12</f>
        <v>0</v>
      </c>
      <c r="H135" s="37" t="n">
        <f aca="false">SUMPRODUCT((②시니어_가정!$N$543:$N$545&lt;H6)*(②시니어_가정!$O$543:$O$545&gt;=H6)*②시니어_가정!$E$543:$E$545*②시니어_가정!$K$543:$K$545)/12</f>
        <v>0</v>
      </c>
      <c r="I135" s="37" t="n">
        <f aca="false">SUMPRODUCT((②시니어_가정!$N$543:$N$545&lt;I6)*(②시니어_가정!$O$543:$O$545&gt;=I6)*②시니어_가정!$E$543:$E$545*②시니어_가정!$K$543:$K$545)/12</f>
        <v>0</v>
      </c>
      <c r="J135" s="37" t="n">
        <f aca="false">SUMPRODUCT((②시니어_가정!$N$543:$N$545&lt;J6)*(②시니어_가정!$O$543:$O$545&gt;=J6)*②시니어_가정!$E$543:$E$545*②시니어_가정!$K$543:$K$545)/12</f>
        <v>0</v>
      </c>
      <c r="K135" s="37" t="n">
        <f aca="false">SUMPRODUCT((②시니어_가정!$N$543:$N$545&lt;K6)*(②시니어_가정!$O$543:$O$545&gt;=K6)*②시니어_가정!$E$543:$E$545*②시니어_가정!$K$543:$K$545)/12</f>
        <v>0</v>
      </c>
      <c r="L135" s="37" t="n">
        <f aca="false">SUMPRODUCT((②시니어_가정!$N$543:$N$545&lt;L6)*(②시니어_가정!$O$543:$O$545&gt;=L6)*②시니어_가정!$E$543:$E$545*②시니어_가정!$K$543:$K$545)/12</f>
        <v>0</v>
      </c>
      <c r="M135" s="37" t="n">
        <f aca="false">SUMPRODUCT((②시니어_가정!$N$543:$N$545&lt;M6)*(②시니어_가정!$O$543:$O$545&gt;=M6)*②시니어_가정!$E$543:$E$545*②시니어_가정!$K$543:$K$545)/12</f>
        <v>0</v>
      </c>
      <c r="N135" s="37" t="n">
        <f aca="false">SUMPRODUCT((②시니어_가정!$N$543:$N$545&lt;N6)*(②시니어_가정!$O$543:$O$545&gt;=N6)*②시니어_가정!$E$543:$E$545*②시니어_가정!$K$543:$K$545)/12</f>
        <v>0</v>
      </c>
      <c r="O135" s="37" t="n">
        <f aca="false">SUMPRODUCT((②시니어_가정!$N$543:$N$545&lt;O6)*(②시니어_가정!$O$543:$O$545&gt;=O6)*②시니어_가정!$E$543:$E$545*②시니어_가정!$K$543:$K$545)/12</f>
        <v>0</v>
      </c>
      <c r="P135" s="37" t="n">
        <f aca="false">SUMPRODUCT((②시니어_가정!$N$543:$N$545&lt;P6)*(②시니어_가정!$O$543:$O$545&gt;=P6)*②시니어_가정!$E$543:$E$545*②시니어_가정!$K$543:$K$545)/12</f>
        <v>0</v>
      </c>
      <c r="Q135" s="37" t="n">
        <f aca="false">SUMPRODUCT((②시니어_가정!$N$543:$N$545&lt;Q6)*(②시니어_가정!$O$543:$O$545&gt;=Q6)*②시니어_가정!$E$543:$E$545*②시니어_가정!$K$543:$K$545)/12</f>
        <v>0</v>
      </c>
      <c r="R135" s="37" t="n">
        <f aca="false">SUMPRODUCT((②시니어_가정!$N$543:$N$545&lt;R6)*(②시니어_가정!$O$543:$O$545&gt;=R6)*②시니어_가정!$E$543:$E$545*②시니어_가정!$K$543:$K$545)/12</f>
        <v>0</v>
      </c>
      <c r="S135" s="37" t="n">
        <f aca="false">SUMPRODUCT((②시니어_가정!$N$543:$N$545&lt;S6)*(②시니어_가정!$O$543:$O$545&gt;=S6)*②시니어_가정!$E$543:$E$545*②시니어_가정!$K$543:$K$545)/12</f>
        <v>0</v>
      </c>
      <c r="T135" s="37" t="n">
        <f aca="false">SUMPRODUCT((②시니어_가정!$N$543:$N$545&lt;T6)*(②시니어_가정!$O$543:$O$545&gt;=T6)*②시니어_가정!$E$543:$E$545*②시니어_가정!$K$543:$K$545)/12</f>
        <v>0</v>
      </c>
      <c r="U135" s="37" t="n">
        <f aca="false">SUMPRODUCT((②시니어_가정!$N$543:$N$545&lt;U6)*(②시니어_가정!$O$543:$O$545&gt;=U6)*②시니어_가정!$E$543:$E$545*②시니어_가정!$K$543:$K$545)/12</f>
        <v>0</v>
      </c>
      <c r="V135" s="37" t="n">
        <f aca="false">SUMPRODUCT((②시니어_가정!$N$543:$N$545&lt;V6)*(②시니어_가정!$O$543:$O$545&gt;=V6)*②시니어_가정!$E$543:$E$545*②시니어_가정!$K$543:$K$545)/12</f>
        <v>0</v>
      </c>
      <c r="W135" s="37" t="n">
        <f aca="false">SUMPRODUCT((②시니어_가정!$N$543:$N$545&lt;W6)*(②시니어_가정!$O$543:$O$545&gt;=W6)*②시니어_가정!$E$543:$E$545*②시니어_가정!$K$543:$K$545)/12</f>
        <v>0</v>
      </c>
      <c r="X135" s="37" t="n">
        <f aca="false">SUMPRODUCT((②시니어_가정!$N$543:$N$545&lt;X6)*(②시니어_가정!$O$543:$O$545&gt;=X6)*②시니어_가정!$E$543:$E$545*②시니어_가정!$K$543:$K$545)/12</f>
        <v>0</v>
      </c>
      <c r="Y135" s="37" t="n">
        <f aca="false">SUMPRODUCT((②시니어_가정!$N$543:$N$545&lt;Y6)*(②시니어_가정!$O$543:$O$545&gt;=Y6)*②시니어_가정!$E$543:$E$545*②시니어_가정!$K$543:$K$545)/12</f>
        <v>0</v>
      </c>
      <c r="Z135" s="37" t="n">
        <f aca="false">SUMPRODUCT((②시니어_가정!$N$543:$N$545&lt;Z6)*(②시니어_가정!$O$543:$O$545&gt;=Z6)*②시니어_가정!$E$543:$E$545*②시니어_가정!$K$543:$K$545)/12</f>
        <v>0</v>
      </c>
      <c r="AA135" s="37" t="n">
        <f aca="false">SUMPRODUCT((②시니어_가정!$N$543:$N$545&lt;AA6)*(②시니어_가정!$O$543:$O$545&gt;=AA6)*②시니어_가정!$E$543:$E$545*②시니어_가정!$K$543:$K$545)/12</f>
        <v>0</v>
      </c>
      <c r="AB135" s="37" t="n">
        <f aca="false">SUMPRODUCT((②시니어_가정!$N$543:$N$545&lt;AB6)*(②시니어_가정!$O$543:$O$545&gt;=AB6)*②시니어_가정!$E$543:$E$545*②시니어_가정!$K$543:$K$545)/12</f>
        <v>0</v>
      </c>
      <c r="AC135" s="37" t="n">
        <f aca="false">SUMPRODUCT((②시니어_가정!$N$543:$N$545&lt;AC6)*(②시니어_가정!$O$543:$O$545&gt;=AC6)*②시니어_가정!$E$543:$E$545*②시니어_가정!$K$543:$K$545)/12</f>
        <v>0</v>
      </c>
      <c r="AD135" s="37" t="n">
        <f aca="false">SUMPRODUCT((②시니어_가정!$N$543:$N$545&lt;AD6)*(②시니어_가정!$O$543:$O$545&gt;=AD6)*②시니어_가정!$E$543:$E$545*②시니어_가정!$K$543:$K$545)/12</f>
        <v>0</v>
      </c>
      <c r="AE135" s="37" t="n">
        <f aca="false">SUMPRODUCT((②시니어_가정!$N$543:$N$545&lt;AE6)*(②시니어_가정!$O$543:$O$545&gt;=AE6)*②시니어_가정!$E$543:$E$545*②시니어_가정!$K$543:$K$545)/12</f>
        <v>0</v>
      </c>
      <c r="AF135" s="37" t="n">
        <f aca="false">SUMPRODUCT((②시니어_가정!$N$543:$N$545&lt;AF6)*(②시니어_가정!$O$543:$O$545&gt;=AF6)*②시니어_가정!$E$543:$E$545*②시니어_가정!$K$543:$K$545)/12</f>
        <v>0</v>
      </c>
      <c r="AG135" s="37" t="n">
        <f aca="false">SUMPRODUCT((②시니어_가정!$N$543:$N$545&lt;AG6)*(②시니어_가정!$O$543:$O$545&gt;=AG6)*②시니어_가정!$E$543:$E$545*②시니어_가정!$K$543:$K$545)/12</f>
        <v>0</v>
      </c>
      <c r="AH135" s="37" t="n">
        <f aca="false">SUMPRODUCT((②시니어_가정!$N$543:$N$545&lt;AH6)*(②시니어_가정!$O$543:$O$545&gt;=AH6)*②시니어_가정!$E$543:$E$545*②시니어_가정!$K$543:$K$545)/12</f>
        <v>0</v>
      </c>
      <c r="AI135" s="37" t="n">
        <f aca="false">SUMPRODUCT((②시니어_가정!$N$543:$N$545&lt;AI6)*(②시니어_가정!$O$543:$O$545&gt;=AI6)*②시니어_가정!$E$543:$E$545*②시니어_가정!$K$543:$K$545)/12</f>
        <v>0</v>
      </c>
      <c r="AJ135" s="37" t="n">
        <f aca="false">SUMPRODUCT((②시니어_가정!$N$543:$N$545&lt;AJ6)*(②시니어_가정!$O$543:$O$545&gt;=AJ6)*②시니어_가정!$E$543:$E$545*②시니어_가정!$K$543:$K$545)/12</f>
        <v>0</v>
      </c>
      <c r="AK135" s="37" t="n">
        <f aca="false">SUMPRODUCT((②시니어_가정!$N$543:$N$545&lt;AK6)*(②시니어_가정!$O$543:$O$545&gt;=AK6)*②시니어_가정!$E$543:$E$545*②시니어_가정!$K$543:$K$545)/12</f>
        <v>0</v>
      </c>
      <c r="AL135" s="37" t="n">
        <f aca="false">SUMPRODUCT((②시니어_가정!$N$543:$N$545&lt;AL6)*(②시니어_가정!$O$543:$O$545&gt;=AL6)*②시니어_가정!$E$543:$E$545*②시니어_가정!$K$543:$K$545)/12</f>
        <v>0</v>
      </c>
      <c r="AM135" s="37" t="n">
        <f aca="false">SUMPRODUCT((②시니어_가정!$N$543:$N$545&lt;AM6)*(②시니어_가정!$O$543:$O$545&gt;=AM6)*②시니어_가정!$E$543:$E$545*②시니어_가정!$K$543:$K$545)/12</f>
        <v>0</v>
      </c>
      <c r="AN135" s="37" t="n">
        <f aca="false">SUMPRODUCT((②시니어_가정!$N$543:$N$545&lt;AN6)*(②시니어_가정!$O$543:$O$545&gt;=AN6)*②시니어_가정!$E$543:$E$545*②시니어_가정!$K$543:$K$545)/12</f>
        <v>0</v>
      </c>
      <c r="AO135" s="37" t="n">
        <f aca="false">SUMPRODUCT((②시니어_가정!$N$543:$N$545&lt;AO6)*(②시니어_가정!$O$543:$O$545&gt;=AO6)*②시니어_가정!$E$543:$E$545*②시니어_가정!$K$543:$K$545)/12</f>
        <v>0</v>
      </c>
      <c r="AP135" s="37" t="n">
        <f aca="false">SUMPRODUCT((②시니어_가정!$N$543:$N$545&lt;AP6)*(②시니어_가정!$O$543:$O$545&gt;=AP6)*②시니어_가정!$E$543:$E$545*②시니어_가정!$K$543:$K$545)/12</f>
        <v>0</v>
      </c>
      <c r="AQ135" s="37" t="n">
        <f aca="false">SUMPRODUCT((②시니어_가정!$N$543:$N$545&lt;AQ6)*(②시니어_가정!$O$543:$O$545&gt;=AQ6)*②시니어_가정!$E$543:$E$545*②시니어_가정!$K$543:$K$545)/12</f>
        <v>0</v>
      </c>
      <c r="AR135" s="37" t="n">
        <f aca="false">SUMPRODUCT((②시니어_가정!$N$543:$N$545&lt;AR6)*(②시니어_가정!$O$543:$O$545&gt;=AR6)*②시니어_가정!$E$543:$E$545*②시니어_가정!$K$543:$K$545)/12</f>
        <v>0</v>
      </c>
      <c r="AS135" s="37" t="n">
        <f aca="false">SUMPRODUCT((②시니어_가정!$N$543:$N$545&lt;AS6)*(②시니어_가정!$O$543:$O$545&gt;=AS6)*②시니어_가정!$E$543:$E$545*②시니어_가정!$K$543:$K$545)/12</f>
        <v>0</v>
      </c>
      <c r="AT135" s="37" t="n">
        <f aca="false">SUMPRODUCT((②시니어_가정!$N$543:$N$545&lt;AT6)*(②시니어_가정!$O$543:$O$545&gt;=AT6)*②시니어_가정!$E$543:$E$545*②시니어_가정!$K$543:$K$545)/12</f>
        <v>0</v>
      </c>
      <c r="AU135" s="37" t="n">
        <f aca="false">SUMPRODUCT((②시니어_가정!$N$543:$N$545&lt;AU6)*(②시니어_가정!$O$543:$O$545&gt;=AU6)*②시니어_가정!$E$543:$E$545*②시니어_가정!$K$543:$K$545)/12</f>
        <v>0</v>
      </c>
      <c r="AV135" s="37" t="n">
        <f aca="false">SUMPRODUCT((②시니어_가정!$N$543:$N$545&lt;AV6)*(②시니어_가정!$O$543:$O$545&gt;=AV6)*②시니어_가정!$E$543:$E$545*②시니어_가정!$K$543:$K$545)/12</f>
        <v>0</v>
      </c>
      <c r="AW135" s="37" t="n">
        <f aca="false">SUMPRODUCT((②시니어_가정!$N$543:$N$545&lt;AW6)*(②시니어_가정!$O$543:$O$545&gt;=AW6)*②시니어_가정!$E$543:$E$545*②시니어_가정!$K$543:$K$545)/12</f>
        <v>0</v>
      </c>
      <c r="AX135" s="37" t="n">
        <f aca="false">SUMPRODUCT((②시니어_가정!$N$543:$N$545&lt;AX6)*(②시니어_가정!$O$543:$O$545&gt;=AX6)*②시니어_가정!$E$543:$E$545*②시니어_가정!$K$543:$K$545)/12</f>
        <v>0</v>
      </c>
      <c r="AY135" s="37" t="n">
        <f aca="false">SUMPRODUCT((②시니어_가정!$N$543:$N$545&lt;AY6)*(②시니어_가정!$O$543:$O$545&gt;=AY6)*②시니어_가정!$E$543:$E$545*②시니어_가정!$K$543:$K$545)/12</f>
        <v>0</v>
      </c>
      <c r="AZ135" s="37" t="n">
        <f aca="false">SUMPRODUCT((②시니어_가정!$N$543:$N$545&lt;AZ6)*(②시니어_가정!$O$543:$O$545&gt;=AZ6)*②시니어_가정!$E$543:$E$545*②시니어_가정!$K$543:$K$545)/12</f>
        <v>0</v>
      </c>
      <c r="BA135" s="37" t="n">
        <f aca="false">SUMPRODUCT((②시니어_가정!$N$543:$N$545&lt;BA6)*(②시니어_가정!$O$543:$O$545&gt;=BA6)*②시니어_가정!$E$543:$E$545*②시니어_가정!$K$543:$K$545)/12</f>
        <v>0</v>
      </c>
      <c r="BB135" s="37" t="n">
        <f aca="false">SUMPRODUCT((②시니어_가정!$N$543:$N$545&lt;BB6)*(②시니어_가정!$O$543:$O$545&gt;=BB6)*②시니어_가정!$E$543:$E$545*②시니어_가정!$K$543:$K$545)/12</f>
        <v>0</v>
      </c>
      <c r="BC135" s="37" t="n">
        <f aca="false">SUMPRODUCT((②시니어_가정!$N$543:$N$545&lt;BC6)*(②시니어_가정!$O$543:$O$545&gt;=BC6)*②시니어_가정!$E$543:$E$545*②시니어_가정!$K$543:$K$545)/12</f>
        <v>0</v>
      </c>
      <c r="BD135" s="37" t="n">
        <f aca="false">SUMPRODUCT((②시니어_가정!$N$543:$N$545&lt;BD6)*(②시니어_가정!$O$543:$O$545&gt;=BD6)*②시니어_가정!$E$543:$E$545*②시니어_가정!$K$543:$K$545)/12</f>
        <v>0</v>
      </c>
      <c r="BE135" s="37" t="n">
        <f aca="false">SUMPRODUCT((②시니어_가정!$N$543:$N$545&lt;BE6)*(②시니어_가정!$O$543:$O$545&gt;=BE6)*②시니어_가정!$E$543:$E$545*②시니어_가정!$K$543:$K$545)/12</f>
        <v>0</v>
      </c>
      <c r="BF135" s="37" t="n">
        <f aca="false">SUMPRODUCT((②시니어_가정!$N$543:$N$545&lt;BF6)*(②시니어_가정!$O$543:$O$545&gt;=BF6)*②시니어_가정!$E$543:$E$545*②시니어_가정!$K$543:$K$545)/12</f>
        <v>0</v>
      </c>
      <c r="BG135" s="37" t="n">
        <f aca="false">SUMPRODUCT((②시니어_가정!$N$543:$N$545&lt;BG6)*(②시니어_가정!$O$543:$O$545&gt;=BG6)*②시니어_가정!$E$543:$E$545*②시니어_가정!$K$543:$K$545)/12</f>
        <v>0</v>
      </c>
      <c r="BH135" s="37" t="n">
        <f aca="false">SUMPRODUCT((②시니어_가정!$N$543:$N$545&lt;BH6)*(②시니어_가정!$O$543:$O$545&gt;=BH6)*②시니어_가정!$E$543:$E$545*②시니어_가정!$K$543:$K$545)/12</f>
        <v>0</v>
      </c>
      <c r="BI135" s="37" t="n">
        <f aca="false">SUMPRODUCT((②시니어_가정!$N$543:$N$545&lt;BI6)*(②시니어_가정!$O$543:$O$545&gt;=BI6)*②시니어_가정!$E$543:$E$545*②시니어_가정!$K$543:$K$545)/12</f>
        <v>0</v>
      </c>
      <c r="BJ135" s="37" t="n">
        <f aca="false">SUMPRODUCT((②시니어_가정!$N$543:$N$545&lt;BJ6)*(②시니어_가정!$O$543:$O$545&gt;=BJ6)*②시니어_가정!$E$543:$E$545*②시니어_가정!$K$543:$K$545)/12</f>
        <v>0</v>
      </c>
      <c r="BK135" s="37" t="n">
        <f aca="false">SUMPRODUCT((②시니어_가정!$N$543:$N$545&lt;BK6)*(②시니어_가정!$O$543:$O$545&gt;=BK6)*②시니어_가정!$E$543:$E$545*②시니어_가정!$K$543:$K$545)/12</f>
        <v>0</v>
      </c>
      <c r="BL135" s="37" t="n">
        <f aca="false">SUMPRODUCT((②시니어_가정!$N$543:$N$545&lt;BL6)*(②시니어_가정!$O$543:$O$545&gt;=BL6)*②시니어_가정!$E$543:$E$545*②시니어_가정!$K$543:$K$545)/12</f>
        <v>0</v>
      </c>
      <c r="BM135" s="37" t="n">
        <f aca="false">SUMPRODUCT((②시니어_가정!$N$543:$N$545&lt;BM6)*(②시니어_가정!$O$543:$O$545&gt;=BM6)*②시니어_가정!$E$543:$E$545*②시니어_가정!$K$543:$K$545)/12</f>
        <v>0</v>
      </c>
      <c r="BN135" s="37" t="n">
        <f aca="false">SUMPRODUCT((②시니어_가정!$N$543:$N$545&lt;BN6)*(②시니어_가정!$O$543:$O$545&gt;=BN6)*②시니어_가정!$E$543:$E$545*②시니어_가정!$K$543:$K$545)/12</f>
        <v>0</v>
      </c>
      <c r="BO135" s="37" t="n">
        <f aca="false">SUMPRODUCT((②시니어_가정!$N$543:$N$545&lt;BO6)*(②시니어_가정!$O$543:$O$545&gt;=BO6)*②시니어_가정!$E$543:$E$545*②시니어_가정!$K$543:$K$545)/12</f>
        <v>0</v>
      </c>
      <c r="BP135" s="37" t="n">
        <f aca="false">SUMPRODUCT((②시니어_가정!$N$543:$N$545&lt;BP6)*(②시니어_가정!$O$543:$O$545&gt;=BP6)*②시니어_가정!$E$543:$E$545*②시니어_가정!$K$543:$K$545)/12</f>
        <v>0</v>
      </c>
      <c r="BQ135" s="37" t="n">
        <f aca="false">SUMPRODUCT((②시니어_가정!$N$543:$N$545&lt;BQ6)*(②시니어_가정!$O$543:$O$545&gt;=BQ6)*②시니어_가정!$E$543:$E$545*②시니어_가정!$K$543:$K$545)/12</f>
        <v>0</v>
      </c>
      <c r="BR135" s="37" t="n">
        <f aca="false">SUMPRODUCT((②시니어_가정!$N$543:$N$545&lt;BR6)*(②시니어_가정!$O$543:$O$545&gt;=BR6)*②시니어_가정!$E$543:$E$545*②시니어_가정!$K$543:$K$545)/12</f>
        <v>0</v>
      </c>
      <c r="BS135" s="37" t="n">
        <f aca="false">SUMPRODUCT((②시니어_가정!$N$543:$N$545&lt;BS6)*(②시니어_가정!$O$543:$O$545&gt;=BS6)*②시니어_가정!$E$543:$E$545*②시니어_가정!$K$543:$K$545)/12</f>
        <v>0</v>
      </c>
      <c r="BT135" s="37" t="n">
        <f aca="false">SUMPRODUCT((②시니어_가정!$N$543:$N$545&lt;BT6)*(②시니어_가정!$O$543:$O$545&gt;=BT6)*②시니어_가정!$E$543:$E$545*②시니어_가정!$K$543:$K$545)/12</f>
        <v>0</v>
      </c>
      <c r="BU135" s="37" t="n">
        <f aca="false">SUMPRODUCT((②시니어_가정!$N$543:$N$545&lt;BU6)*(②시니어_가정!$O$543:$O$545&gt;=BU6)*②시니어_가정!$E$543:$E$545*②시니어_가정!$K$543:$K$545)/12</f>
        <v>0</v>
      </c>
      <c r="BV135" s="37" t="n">
        <f aca="false">SUMPRODUCT((②시니어_가정!$N$543:$N$545&lt;BV6)*(②시니어_가정!$O$543:$O$545&gt;=BV6)*②시니어_가정!$E$543:$E$545*②시니어_가정!$K$543:$K$545)/12</f>
        <v>0</v>
      </c>
      <c r="BW135" s="37" t="n">
        <f aca="false">SUMPRODUCT((②시니어_가정!$N$543:$N$545&lt;BW6)*(②시니어_가정!$O$543:$O$545&gt;=BW6)*②시니어_가정!$E$543:$E$545*②시니어_가정!$K$543:$K$545)/12</f>
        <v>0</v>
      </c>
      <c r="BX135" s="37" t="n">
        <f aca="false">SUMPRODUCT((②시니어_가정!$N$543:$N$545&lt;BX6)*(②시니어_가정!$O$543:$O$545&gt;=BX6)*②시니어_가정!$E$543:$E$545*②시니어_가정!$K$543:$K$545)/12</f>
        <v>0</v>
      </c>
      <c r="BY135" s="37" t="n">
        <f aca="false">SUMPRODUCT((②시니어_가정!$N$543:$N$545&lt;BY6)*(②시니어_가정!$O$543:$O$545&gt;=BY6)*②시니어_가정!$E$543:$E$545*②시니어_가정!$K$543:$K$545)/12</f>
        <v>0</v>
      </c>
      <c r="BZ135" s="37" t="n">
        <f aca="false">SUMPRODUCT((②시니어_가정!$N$543:$N$545&lt;BZ6)*(②시니어_가정!$O$543:$O$545&gt;=BZ6)*②시니어_가정!$E$543:$E$545*②시니어_가정!$K$543:$K$545)/12</f>
        <v>0</v>
      </c>
      <c r="CA135" s="37" t="n">
        <f aca="false">SUMPRODUCT((②시니어_가정!$N$543:$N$545&lt;CA6)*(②시니어_가정!$O$543:$O$545&gt;=CA6)*②시니어_가정!$E$543:$E$545*②시니어_가정!$K$543:$K$545)/12</f>
        <v>0</v>
      </c>
      <c r="CB135" s="37" t="n">
        <f aca="false">SUMPRODUCT((②시니어_가정!$N$543:$N$545&lt;CB6)*(②시니어_가정!$O$543:$O$545&gt;=CB6)*②시니어_가정!$E$543:$E$545*②시니어_가정!$K$543:$K$545)/12</f>
        <v>0</v>
      </c>
      <c r="CC135" s="37" t="n">
        <f aca="false">SUMPRODUCT((②시니어_가정!$N$543:$N$545&lt;CC6)*(②시니어_가정!$O$543:$O$545&gt;=CC6)*②시니어_가정!$E$543:$E$545*②시니어_가정!$K$543:$K$545)/12</f>
        <v>0</v>
      </c>
      <c r="CD135" s="37" t="n">
        <f aca="false">SUMPRODUCT((②시니어_가정!$N$543:$N$545&lt;CD6)*(②시니어_가정!$O$543:$O$545&gt;=CD6)*②시니어_가정!$E$543:$E$545*②시니어_가정!$K$543:$K$545)/12</f>
        <v>0</v>
      </c>
      <c r="CE135" s="37" t="n">
        <f aca="false">SUMPRODUCT((②시니어_가정!$N$543:$N$545&lt;CE6)*(②시니어_가정!$O$543:$O$545&gt;=CE6)*②시니어_가정!$E$543:$E$545*②시니어_가정!$K$543:$K$545)/12</f>
        <v>0</v>
      </c>
      <c r="CF135" s="37" t="n">
        <f aca="false">SUMPRODUCT((②시니어_가정!$N$543:$N$545&lt;CF6)*(②시니어_가정!$O$543:$O$545&gt;=CF6)*②시니어_가정!$E$543:$E$545*②시니어_가정!$K$543:$K$545)/12</f>
        <v>0</v>
      </c>
      <c r="CG135" s="37" t="n">
        <f aca="false">SUMPRODUCT((②시니어_가정!$N$543:$N$545&lt;CG6)*(②시니어_가정!$O$543:$O$545&gt;=CG6)*②시니어_가정!$E$543:$E$545*②시니어_가정!$K$543:$K$545)/12</f>
        <v>0</v>
      </c>
      <c r="CH135" s="37" t="n">
        <f aca="false">SUMPRODUCT((②시니어_가정!$N$543:$N$545&lt;CH6)*(②시니어_가정!$O$543:$O$545&gt;=CH6)*②시니어_가정!$E$543:$E$545*②시니어_가정!$K$543:$K$545)/12</f>
        <v>0</v>
      </c>
      <c r="CI135" s="37" t="n">
        <f aca="false">SUMPRODUCT((②시니어_가정!$N$543:$N$545&lt;CI6)*(②시니어_가정!$O$543:$O$545&gt;=CI6)*②시니어_가정!$E$543:$E$545*②시니어_가정!$K$543:$K$545)/12</f>
        <v>0</v>
      </c>
      <c r="CJ135" s="37" t="n">
        <f aca="false">SUMPRODUCT((②시니어_가정!$N$543:$N$545&lt;CJ6)*(②시니어_가정!$O$543:$O$545&gt;=CJ6)*②시니어_가정!$E$543:$E$545*②시니어_가정!$K$543:$K$545)/12</f>
        <v>0</v>
      </c>
      <c r="CK135" s="37" t="n">
        <f aca="false">SUMPRODUCT((②시니어_가정!$N$543:$N$545&lt;CK6)*(②시니어_가정!$O$543:$O$545&gt;=CK6)*②시니어_가정!$E$543:$E$545*②시니어_가정!$K$543:$K$545)/12</f>
        <v>0</v>
      </c>
      <c r="CL135" s="37" t="n">
        <f aca="false">SUMPRODUCT((②시니어_가정!$N$543:$N$545&lt;CL6)*(②시니어_가정!$O$543:$O$545&gt;=CL6)*②시니어_가정!$E$543:$E$545*②시니어_가정!$K$543:$K$545)/12</f>
        <v>0</v>
      </c>
      <c r="CM135" s="37" t="n">
        <f aca="false">SUMPRODUCT((②시니어_가정!$N$543:$N$545&lt;CM6)*(②시니어_가정!$O$543:$O$545&gt;=CM6)*②시니어_가정!$E$543:$E$545*②시니어_가정!$K$543:$K$545)/12</f>
        <v>0</v>
      </c>
      <c r="CN135" s="37" t="n">
        <f aca="false">SUMPRODUCT((②시니어_가정!$N$543:$N$545&lt;CN6)*(②시니어_가정!$O$543:$O$545&gt;=CN6)*②시니어_가정!$E$543:$E$545*②시니어_가정!$K$543:$K$545)/12</f>
        <v>0</v>
      </c>
      <c r="CO135" s="37" t="n">
        <f aca="false">SUMPRODUCT((②시니어_가정!$N$543:$N$545&lt;CO6)*(②시니어_가정!$O$543:$O$545&gt;=CO6)*②시니어_가정!$E$543:$E$545*②시니어_가정!$K$543:$K$545)/12</f>
        <v>0</v>
      </c>
      <c r="CP135" s="37" t="n">
        <f aca="false">SUMPRODUCT((②시니어_가정!$N$543:$N$545&lt;CP6)*(②시니어_가정!$O$543:$O$545&gt;=CP6)*②시니어_가정!$E$543:$E$545*②시니어_가정!$K$543:$K$545)/12</f>
        <v>0</v>
      </c>
      <c r="CQ135" s="37" t="n">
        <f aca="false">SUMPRODUCT((②시니어_가정!$N$543:$N$545&lt;CQ6)*(②시니어_가정!$O$543:$O$545&gt;=CQ6)*②시니어_가정!$E$543:$E$545*②시니어_가정!$K$543:$K$545)/12</f>
        <v>0</v>
      </c>
      <c r="CR135" s="37" t="n">
        <f aca="false">SUMPRODUCT((②시니어_가정!$N$543:$N$545&lt;CR6)*(②시니어_가정!$O$543:$O$545&gt;=CR6)*②시니어_가정!$E$543:$E$545*②시니어_가정!$K$543:$K$545)/12</f>
        <v>0</v>
      </c>
      <c r="CS135" s="37" t="n">
        <f aca="false">SUMPRODUCT((②시니어_가정!$N$543:$N$545&lt;CS6)*(②시니어_가정!$O$543:$O$545&gt;=CS6)*②시니어_가정!$E$543:$E$545*②시니어_가정!$K$543:$K$545)/12</f>
        <v>0</v>
      </c>
      <c r="CT135" s="37" t="n">
        <f aca="false">SUMPRODUCT((②시니어_가정!$N$543:$N$545&lt;CT6)*(②시니어_가정!$O$543:$O$545&gt;=CT6)*②시니어_가정!$E$543:$E$545*②시니어_가정!$K$543:$K$545)/12</f>
        <v>0</v>
      </c>
      <c r="CU135" s="37" t="n">
        <f aca="false">SUMPRODUCT((②시니어_가정!$N$543:$N$545&lt;CU6)*(②시니어_가정!$O$543:$O$545&gt;=CU6)*②시니어_가정!$E$543:$E$545*②시니어_가정!$K$543:$K$545)/12</f>
        <v>0</v>
      </c>
      <c r="CV135" s="37" t="n">
        <f aca="false">SUMPRODUCT((②시니어_가정!$N$543:$N$545&lt;CV6)*(②시니어_가정!$O$543:$O$545&gt;=CV6)*②시니어_가정!$E$543:$E$545*②시니어_가정!$K$543:$K$545)/12</f>
        <v>0</v>
      </c>
      <c r="CW135" s="37" t="n">
        <f aca="false">SUMPRODUCT((②시니어_가정!$N$543:$N$545&lt;CW6)*(②시니어_가정!$O$543:$O$545&gt;=CW6)*②시니어_가정!$E$543:$E$545*②시니어_가정!$K$543:$K$545)/12</f>
        <v>0</v>
      </c>
      <c r="CX135" s="37" t="n">
        <f aca="false">SUMPRODUCT((②시니어_가정!$N$543:$N$545&lt;CX6)*(②시니어_가정!$O$543:$O$545&gt;=CX6)*②시니어_가정!$E$543:$E$545*②시니어_가정!$K$543:$K$545)/12</f>
        <v>0</v>
      </c>
      <c r="CY135" s="37" t="n">
        <f aca="false">SUMPRODUCT((②시니어_가정!$N$543:$N$545&lt;CY6)*(②시니어_가정!$O$543:$O$545&gt;=CY6)*②시니어_가정!$E$543:$E$545*②시니어_가정!$K$543:$K$545)/12</f>
        <v>0</v>
      </c>
      <c r="CZ135" s="37" t="n">
        <f aca="false">SUMPRODUCT((②시니어_가정!$N$543:$N$545&lt;CZ6)*(②시니어_가정!$O$543:$O$545&gt;=CZ6)*②시니어_가정!$E$543:$E$545*②시니어_가정!$K$543:$K$545)/12</f>
        <v>0</v>
      </c>
      <c r="DA135" s="37" t="n">
        <f aca="false">SUMPRODUCT((②시니어_가정!$N$543:$N$545&lt;DA6)*(②시니어_가정!$O$543:$O$545&gt;=DA6)*②시니어_가정!$E$543:$E$545*②시니어_가정!$K$543:$K$545)/12</f>
        <v>0</v>
      </c>
      <c r="DB135" s="37" t="n">
        <f aca="false">SUMPRODUCT((②시니어_가정!$N$543:$N$545&lt;DB6)*(②시니어_가정!$O$543:$O$545&gt;=DB6)*②시니어_가정!$E$543:$E$545*②시니어_가정!$K$543:$K$545)/12</f>
        <v>0</v>
      </c>
      <c r="DC135" s="37" t="n">
        <f aca="false">SUMPRODUCT((②시니어_가정!$N$543:$N$545&lt;DC6)*(②시니어_가정!$O$543:$O$545&gt;=DC6)*②시니어_가정!$E$543:$E$545*②시니어_가정!$K$543:$K$545)/12</f>
        <v>0</v>
      </c>
      <c r="DD135" s="37" t="n">
        <f aca="false">SUMPRODUCT((②시니어_가정!$N$543:$N$545&lt;DD6)*(②시니어_가정!$O$543:$O$545&gt;=DD6)*②시니어_가정!$E$543:$E$545*②시니어_가정!$K$543:$K$545)/12</f>
        <v>0</v>
      </c>
      <c r="DE135" s="37" t="n">
        <f aca="false">SUMPRODUCT((②시니어_가정!$N$543:$N$545&lt;DE6)*(②시니어_가정!$O$543:$O$545&gt;=DE6)*②시니어_가정!$E$543:$E$545*②시니어_가정!$K$543:$K$545)/12</f>
        <v>0</v>
      </c>
      <c r="DF135" s="37" t="n">
        <f aca="false">SUMPRODUCT((②시니어_가정!$N$543:$N$545&lt;DF6)*(②시니어_가정!$O$543:$O$545&gt;=DF6)*②시니어_가정!$E$543:$E$545*②시니어_가정!$K$543:$K$545)/12</f>
        <v>0</v>
      </c>
      <c r="DG135" s="37" t="n">
        <f aca="false">SUMPRODUCT((②시니어_가정!$N$543:$N$545&lt;DG6)*(②시니어_가정!$O$543:$O$545&gt;=DG6)*②시니어_가정!$E$543:$E$545*②시니어_가정!$K$543:$K$545)/12</f>
        <v>0</v>
      </c>
      <c r="DH135" s="37" t="n">
        <f aca="false">SUMPRODUCT((②시니어_가정!$N$543:$N$545&lt;DH6)*(②시니어_가정!$O$543:$O$545&gt;=DH6)*②시니어_가정!$E$543:$E$545*②시니어_가정!$K$543:$K$545)/12</f>
        <v>0</v>
      </c>
      <c r="DI135" s="37" t="n">
        <f aca="false">SUMPRODUCT((②시니어_가정!$N$543:$N$545&lt;DI6)*(②시니어_가정!$O$543:$O$545&gt;=DI6)*②시니어_가정!$E$543:$E$545*②시니어_가정!$K$543:$K$545)/12</f>
        <v>0</v>
      </c>
      <c r="DJ135" s="37" t="n">
        <f aca="false">SUMPRODUCT((②시니어_가정!$N$543:$N$545&lt;DJ6)*(②시니어_가정!$O$543:$O$545&gt;=DJ6)*②시니어_가정!$E$543:$E$545*②시니어_가정!$K$543:$K$545)/12</f>
        <v>0</v>
      </c>
      <c r="DK135" s="37" t="n">
        <f aca="false">SUMPRODUCT((②시니어_가정!$N$543:$N$545&lt;DK6)*(②시니어_가정!$O$543:$O$545&gt;=DK6)*②시니어_가정!$E$543:$E$545*②시니어_가정!$K$543:$K$545)/12</f>
        <v>0</v>
      </c>
      <c r="DL135" s="37" t="n">
        <f aca="false">SUMPRODUCT((②시니어_가정!$N$543:$N$545&lt;DL6)*(②시니어_가정!$O$543:$O$545&gt;=DL6)*②시니어_가정!$E$543:$E$545*②시니어_가정!$K$543:$K$545)/12</f>
        <v>0</v>
      </c>
      <c r="DM135" s="37" t="n">
        <f aca="false">SUMPRODUCT((②시니어_가정!$N$543:$N$545&lt;DM6)*(②시니어_가정!$O$543:$O$545&gt;=DM6)*②시니어_가정!$E$543:$E$545*②시니어_가정!$K$543:$K$545)/12</f>
        <v>0</v>
      </c>
      <c r="DN135" s="37" t="n">
        <f aca="false">SUMPRODUCT((②시니어_가정!$N$543:$N$545&lt;DN6)*(②시니어_가정!$O$543:$O$545&gt;=DN6)*②시니어_가정!$E$543:$E$545*②시니어_가정!$K$543:$K$545)/12</f>
        <v>0</v>
      </c>
      <c r="DO135" s="37" t="n">
        <f aca="false">SUMPRODUCT((②시니어_가정!$N$543:$N$545&lt;DO6)*(②시니어_가정!$O$543:$O$545&gt;=DO6)*②시니어_가정!$E$543:$E$545*②시니어_가정!$K$543:$K$545)/12</f>
        <v>0</v>
      </c>
      <c r="DP135" s="37" t="n">
        <f aca="false">SUMPRODUCT((②시니어_가정!$N$543:$N$545&lt;DP6)*(②시니어_가정!$O$543:$O$545&gt;=DP6)*②시니어_가정!$E$543:$E$545*②시니어_가정!$K$543:$K$545)/12</f>
        <v>0</v>
      </c>
      <c r="DQ135" s="37" t="n">
        <f aca="false">SUMPRODUCT((②시니어_가정!$N$543:$N$545&lt;DQ6)*(②시니어_가정!$O$543:$O$545&gt;=DQ6)*②시니어_가정!$E$543:$E$545*②시니어_가정!$K$543:$K$545)/12</f>
        <v>0</v>
      </c>
      <c r="DR135" s="37" t="n">
        <f aca="false">SUMPRODUCT((②시니어_가정!$N$543:$N$545&lt;DR6)*(②시니어_가정!$O$543:$O$545&gt;=DR6)*②시니어_가정!$E$543:$E$545*②시니어_가정!$K$543:$K$545)/12</f>
        <v>0</v>
      </c>
      <c r="DS135" s="37" t="n">
        <f aca="false">SUMPRODUCT((②시니어_가정!$N$543:$N$545&lt;DS6)*(②시니어_가정!$O$543:$O$545&gt;=DS6)*②시니어_가정!$E$543:$E$545*②시니어_가정!$K$543:$K$545)/12</f>
        <v>0</v>
      </c>
      <c r="DT135" s="37" t="n">
        <f aca="false">SUMPRODUCT((②시니어_가정!$N$543:$N$545&lt;DT6)*(②시니어_가정!$O$543:$O$545&gt;=DT6)*②시니어_가정!$E$543:$E$545*②시니어_가정!$K$543:$K$545)/12</f>
        <v>0</v>
      </c>
      <c r="DU135" s="37" t="n">
        <f aca="false">SUMPRODUCT((②시니어_가정!$N$543:$N$545&lt;DU6)*(②시니어_가정!$O$543:$O$545&gt;=DU6)*②시니어_가정!$E$543:$E$545*②시니어_가정!$K$543:$K$545)/12</f>
        <v>0</v>
      </c>
      <c r="DV135" s="37" t="n">
        <f aca="false">SUMPRODUCT((②시니어_가정!$N$543:$N$545&lt;DV6)*(②시니어_가정!$O$543:$O$545&gt;=DV6)*②시니어_가정!$E$543:$E$545*②시니어_가정!$K$543:$K$545)/12</f>
        <v>0</v>
      </c>
      <c r="DW135" s="37" t="n">
        <f aca="false">SUMPRODUCT((②시니어_가정!$N$543:$N$545&lt;DW6)*(②시니어_가정!$O$543:$O$545&gt;=DW6)*②시니어_가정!$E$543:$E$545*②시니어_가정!$K$543:$K$545)/12</f>
        <v>0</v>
      </c>
      <c r="DX135" s="37" t="n">
        <f aca="false">SUMPRODUCT((②시니어_가정!$N$543:$N$545&lt;DX6)*(②시니어_가정!$O$543:$O$545&gt;=DX6)*②시니어_가정!$E$543:$E$545*②시니어_가정!$K$543:$K$545)/12</f>
        <v>0</v>
      </c>
      <c r="DY135" s="37" t="n">
        <f aca="false">SUMPRODUCT((②시니어_가정!$N$543:$N$545&lt;DY6)*(②시니어_가정!$O$543:$O$545&gt;=DY6)*②시니어_가정!$E$543:$E$545*②시니어_가정!$K$543:$K$545)/12</f>
        <v>0</v>
      </c>
      <c r="DZ135" s="37" t="n">
        <f aca="false">SUMPRODUCT((②시니어_가정!$N$543:$N$545&lt;DZ6)*(②시니어_가정!$O$543:$O$545&gt;=DZ6)*②시니어_가정!$E$543:$E$545*②시니어_가정!$K$543:$K$545)/12</f>
        <v>0</v>
      </c>
      <c r="EA135" s="37" t="n">
        <f aca="false">SUMPRODUCT((②시니어_가정!$N$543:$N$545&lt;EA6)*(②시니어_가정!$O$543:$O$545&gt;=EA6)*②시니어_가정!$E$543:$E$545*②시니어_가정!$K$543:$K$545)/12</f>
        <v>0</v>
      </c>
      <c r="EB135" s="37" t="n">
        <f aca="false">SUMPRODUCT((②시니어_가정!$N$543:$N$545&lt;EB6)*(②시니어_가정!$O$543:$O$545&gt;=EB6)*②시니어_가정!$E$543:$E$545*②시니어_가정!$K$543:$K$545)/12</f>
        <v>0</v>
      </c>
      <c r="EC135" s="37" t="n">
        <f aca="false">SUMPRODUCT((②시니어_가정!$N$543:$N$545&lt;EC6)*(②시니어_가정!$O$543:$O$545&gt;=EC6)*②시니어_가정!$E$543:$E$545*②시니어_가정!$K$543:$K$545)/12</f>
        <v>0</v>
      </c>
      <c r="ED135" s="37" t="n">
        <f aca="false">SUMPRODUCT((②시니어_가정!$N$543:$N$545&lt;ED6)*(②시니어_가정!$O$543:$O$545&gt;=ED6)*②시니어_가정!$E$543:$E$545*②시니어_가정!$K$543:$K$545)/12</f>
        <v>0</v>
      </c>
      <c r="EE135" s="37" t="n">
        <f aca="false">SUMPRODUCT((②시니어_가정!$N$543:$N$545&lt;EE6)*(②시니어_가정!$O$543:$O$545&gt;=EE6)*②시니어_가정!$E$543:$E$545*②시니어_가정!$K$543:$K$545)/12</f>
        <v>0</v>
      </c>
      <c r="EF135" s="37" t="n">
        <f aca="false">SUMPRODUCT((②시니어_가정!$N$543:$N$545&lt;EF6)*(②시니어_가정!$O$543:$O$545&gt;=EF6)*②시니어_가정!$E$543:$E$545*②시니어_가정!$K$543:$K$545)/12</f>
        <v>0</v>
      </c>
    </row>
    <row r="136" customFormat="false" ht="15" hidden="false" customHeight="false" outlineLevel="0" collapsed="false">
      <c r="A136" s="36" t="s">
        <v>670</v>
      </c>
      <c r="B136" s="278" t="s">
        <v>21</v>
      </c>
      <c r="C136" s="279" t="n">
        <f aca="false">SUM(E136:EF136)</f>
        <v>0</v>
      </c>
      <c r="E136" s="37" t="n">
        <f aca="false">IF(E6=②시니어_가정!$E$24,0+E134,MIN(0+E134,SUMIF(②시니어_가정!$O$543:$O$545,E6,②시니어_가정!$E$543:$E$545)))</f>
        <v>0</v>
      </c>
      <c r="F136" s="37" t="n">
        <f aca="false">IF(F6=②시니어_가정!$E$24,E137+F134,MIN(E137+F134,SUMIF(②시니어_가정!$O$543:$O$545,F6,②시니어_가정!$E$543:$E$545)))</f>
        <v>0</v>
      </c>
      <c r="G136" s="37" t="n">
        <f aca="false">IF(G6=②시니어_가정!$E$24,F137+G134,MIN(F137+G134,SUMIF(②시니어_가정!$O$543:$O$545,G6,②시니어_가정!$E$543:$E$545)))</f>
        <v>0</v>
      </c>
      <c r="H136" s="37" t="n">
        <f aca="false">IF(H6=②시니어_가정!$E$24,G137+H134,MIN(G137+H134,SUMIF(②시니어_가정!$O$543:$O$545,H6,②시니어_가정!$E$543:$E$545)))</f>
        <v>0</v>
      </c>
      <c r="I136" s="37" t="n">
        <f aca="false">IF(I6=②시니어_가정!$E$24,H137+I134,MIN(H137+I134,SUMIF(②시니어_가정!$O$543:$O$545,I6,②시니어_가정!$E$543:$E$545)))</f>
        <v>0</v>
      </c>
      <c r="J136" s="37" t="n">
        <f aca="false">IF(J6=②시니어_가정!$E$24,I137+J134,MIN(I137+J134,SUMIF(②시니어_가정!$O$543:$O$545,J6,②시니어_가정!$E$543:$E$545)))</f>
        <v>0</v>
      </c>
      <c r="K136" s="37" t="n">
        <f aca="false">IF(K6=②시니어_가정!$E$24,J137+K134,MIN(J137+K134,SUMIF(②시니어_가정!$O$543:$O$545,K6,②시니어_가정!$E$543:$E$545)))</f>
        <v>0</v>
      </c>
      <c r="L136" s="37" t="n">
        <f aca="false">IF(L6=②시니어_가정!$E$24,K137+L134,MIN(K137+L134,SUMIF(②시니어_가정!$O$543:$O$545,L6,②시니어_가정!$E$543:$E$545)))</f>
        <v>0</v>
      </c>
      <c r="M136" s="37" t="n">
        <f aca="false">IF(M6=②시니어_가정!$E$24,L137+M134,MIN(L137+M134,SUMIF(②시니어_가정!$O$543:$O$545,M6,②시니어_가정!$E$543:$E$545)))</f>
        <v>0</v>
      </c>
      <c r="N136" s="37" t="n">
        <f aca="false">IF(N6=②시니어_가정!$E$24,M137+N134,MIN(M137+N134,SUMIF(②시니어_가정!$O$543:$O$545,N6,②시니어_가정!$E$543:$E$545)))</f>
        <v>0</v>
      </c>
      <c r="O136" s="37" t="n">
        <f aca="false">IF(O6=②시니어_가정!$E$24,N137+O134,MIN(N137+O134,SUMIF(②시니어_가정!$O$543:$O$545,O6,②시니어_가정!$E$543:$E$545)))</f>
        <v>0</v>
      </c>
      <c r="P136" s="37" t="n">
        <f aca="false">IF(P6=②시니어_가정!$E$24,O137+P134,MIN(O137+P134,SUMIF(②시니어_가정!$O$543:$O$545,P6,②시니어_가정!$E$543:$E$545)))</f>
        <v>0</v>
      </c>
      <c r="Q136" s="37" t="n">
        <f aca="false">IF(Q6=②시니어_가정!$E$24,P137+Q134,MIN(P137+Q134,SUMIF(②시니어_가정!$O$543:$O$545,Q6,②시니어_가정!$E$543:$E$545)))</f>
        <v>0</v>
      </c>
      <c r="R136" s="37" t="n">
        <f aca="false">IF(R6=②시니어_가정!$E$24,Q137+R134,MIN(Q137+R134,SUMIF(②시니어_가정!$O$543:$O$545,R6,②시니어_가정!$E$543:$E$545)))</f>
        <v>0</v>
      </c>
      <c r="S136" s="37" t="n">
        <f aca="false">IF(S6=②시니어_가정!$E$24,R137+S134,MIN(R137+S134,SUMIF(②시니어_가정!$O$543:$O$545,S6,②시니어_가정!$E$543:$E$545)))</f>
        <v>0</v>
      </c>
      <c r="T136" s="37" t="n">
        <f aca="false">IF(T6=②시니어_가정!$E$24,S137+T134,MIN(S137+T134,SUMIF(②시니어_가정!$O$543:$O$545,T6,②시니어_가정!$E$543:$E$545)))</f>
        <v>0</v>
      </c>
      <c r="U136" s="37" t="n">
        <f aca="false">IF(U6=②시니어_가정!$E$24,T137+U134,MIN(T137+U134,SUMIF(②시니어_가정!$O$543:$O$545,U6,②시니어_가정!$E$543:$E$545)))</f>
        <v>0</v>
      </c>
      <c r="V136" s="37" t="n">
        <f aca="false">IF(V6=②시니어_가정!$E$24,U137+V134,MIN(U137+V134,SUMIF(②시니어_가정!$O$543:$O$545,V6,②시니어_가정!$E$543:$E$545)))</f>
        <v>0</v>
      </c>
      <c r="W136" s="37" t="n">
        <f aca="false">IF(W6=②시니어_가정!$E$24,V137+W134,MIN(V137+W134,SUMIF(②시니어_가정!$O$543:$O$545,W6,②시니어_가정!$E$543:$E$545)))</f>
        <v>0</v>
      </c>
      <c r="X136" s="37" t="n">
        <f aca="false">IF(X6=②시니어_가정!$E$24,W137+X134,MIN(W137+X134,SUMIF(②시니어_가정!$O$543:$O$545,X6,②시니어_가정!$E$543:$E$545)))</f>
        <v>0</v>
      </c>
      <c r="Y136" s="37" t="n">
        <f aca="false">IF(Y6=②시니어_가정!$E$24,X137+Y134,MIN(X137+Y134,SUMIF(②시니어_가정!$O$543:$O$545,Y6,②시니어_가정!$E$543:$E$545)))</f>
        <v>0</v>
      </c>
      <c r="Z136" s="37" t="n">
        <f aca="false">IF(Z6=②시니어_가정!$E$24,Y137+Z134,MIN(Y137+Z134,SUMIF(②시니어_가정!$O$543:$O$545,Z6,②시니어_가정!$E$543:$E$545)))</f>
        <v>0</v>
      </c>
      <c r="AA136" s="37" t="n">
        <f aca="false">IF(AA6=②시니어_가정!$E$24,Z137+AA134,MIN(Z137+AA134,SUMIF(②시니어_가정!$O$543:$O$545,AA6,②시니어_가정!$E$543:$E$545)))</f>
        <v>0</v>
      </c>
      <c r="AB136" s="37" t="n">
        <f aca="false">IF(AB6=②시니어_가정!$E$24,AA137+AB134,MIN(AA137+AB134,SUMIF(②시니어_가정!$O$543:$O$545,AB6,②시니어_가정!$E$543:$E$545)))</f>
        <v>0</v>
      </c>
      <c r="AC136" s="37" t="n">
        <f aca="false">IF(AC6=②시니어_가정!$E$24,AB137+AC134,MIN(AB137+AC134,SUMIF(②시니어_가정!$O$543:$O$545,AC6,②시니어_가정!$E$543:$E$545)))</f>
        <v>0</v>
      </c>
      <c r="AD136" s="37" t="n">
        <f aca="false">IF(AD6=②시니어_가정!$E$24,AC137+AD134,MIN(AC137+AD134,SUMIF(②시니어_가정!$O$543:$O$545,AD6,②시니어_가정!$E$543:$E$545)))</f>
        <v>0</v>
      </c>
      <c r="AE136" s="37" t="n">
        <f aca="false">IF(AE6=②시니어_가정!$E$24,AD137+AE134,MIN(AD137+AE134,SUMIF(②시니어_가정!$O$543:$O$545,AE6,②시니어_가정!$E$543:$E$545)))</f>
        <v>0</v>
      </c>
      <c r="AF136" s="37" t="n">
        <f aca="false">IF(AF6=②시니어_가정!$E$24,AE137+AF134,MIN(AE137+AF134,SUMIF(②시니어_가정!$O$543:$O$545,AF6,②시니어_가정!$E$543:$E$545)))</f>
        <v>0</v>
      </c>
      <c r="AG136" s="37" t="n">
        <f aca="false">IF(AG6=②시니어_가정!$E$24,AF137+AG134,MIN(AF137+AG134,SUMIF(②시니어_가정!$O$543:$O$545,AG6,②시니어_가정!$E$543:$E$545)))</f>
        <v>0</v>
      </c>
      <c r="AH136" s="37" t="n">
        <f aca="false">IF(AH6=②시니어_가정!$E$24,AG137+AH134,MIN(AG137+AH134,SUMIF(②시니어_가정!$O$543:$O$545,AH6,②시니어_가정!$E$543:$E$545)))</f>
        <v>0</v>
      </c>
      <c r="AI136" s="37" t="n">
        <f aca="false">IF(AI6=②시니어_가정!$E$24,AH137+AI134,MIN(AH137+AI134,SUMIF(②시니어_가정!$O$543:$O$545,AI6,②시니어_가정!$E$543:$E$545)))</f>
        <v>0</v>
      </c>
      <c r="AJ136" s="37" t="n">
        <f aca="false">IF(AJ6=②시니어_가정!$E$24,AI137+AJ134,MIN(AI137+AJ134,SUMIF(②시니어_가정!$O$543:$O$545,AJ6,②시니어_가정!$E$543:$E$545)))</f>
        <v>0</v>
      </c>
      <c r="AK136" s="37" t="n">
        <f aca="false">IF(AK6=②시니어_가정!$E$24,AJ137+AK134,MIN(AJ137+AK134,SUMIF(②시니어_가정!$O$543:$O$545,AK6,②시니어_가정!$E$543:$E$545)))</f>
        <v>0</v>
      </c>
      <c r="AL136" s="37" t="n">
        <f aca="false">IF(AL6=②시니어_가정!$E$24,AK137+AL134,MIN(AK137+AL134,SUMIF(②시니어_가정!$O$543:$O$545,AL6,②시니어_가정!$E$543:$E$545)))</f>
        <v>0</v>
      </c>
      <c r="AM136" s="37" t="n">
        <f aca="false">IF(AM6=②시니어_가정!$E$24,AL137+AM134,MIN(AL137+AM134,SUMIF(②시니어_가정!$O$543:$O$545,AM6,②시니어_가정!$E$543:$E$545)))</f>
        <v>0</v>
      </c>
      <c r="AN136" s="37" t="n">
        <f aca="false">IF(AN6=②시니어_가정!$E$24,AM137+AN134,MIN(AM137+AN134,SUMIF(②시니어_가정!$O$543:$O$545,AN6,②시니어_가정!$E$543:$E$545)))</f>
        <v>0</v>
      </c>
      <c r="AO136" s="37" t="n">
        <f aca="false">IF(AO6=②시니어_가정!$E$24,AN137+AO134,MIN(AN137+AO134,SUMIF(②시니어_가정!$O$543:$O$545,AO6,②시니어_가정!$E$543:$E$545)))</f>
        <v>0</v>
      </c>
      <c r="AP136" s="37" t="n">
        <f aca="false">IF(AP6=②시니어_가정!$E$24,AO137+AP134,MIN(AO137+AP134,SUMIF(②시니어_가정!$O$543:$O$545,AP6,②시니어_가정!$E$543:$E$545)))</f>
        <v>0</v>
      </c>
      <c r="AQ136" s="37" t="n">
        <f aca="false">IF(AQ6=②시니어_가정!$E$24,AP137+AQ134,MIN(AP137+AQ134,SUMIF(②시니어_가정!$O$543:$O$545,AQ6,②시니어_가정!$E$543:$E$545)))</f>
        <v>0</v>
      </c>
      <c r="AR136" s="37" t="n">
        <f aca="false">IF(AR6=②시니어_가정!$E$24,AQ137+AR134,MIN(AQ137+AR134,SUMIF(②시니어_가정!$O$543:$O$545,AR6,②시니어_가정!$E$543:$E$545)))</f>
        <v>0</v>
      </c>
      <c r="AS136" s="37" t="n">
        <f aca="false">IF(AS6=②시니어_가정!$E$24,AR137+AS134,MIN(AR137+AS134,SUMIF(②시니어_가정!$O$543:$O$545,AS6,②시니어_가정!$E$543:$E$545)))</f>
        <v>0</v>
      </c>
      <c r="AT136" s="37" t="n">
        <f aca="false">IF(AT6=②시니어_가정!$E$24,AS137+AT134,MIN(AS137+AT134,SUMIF(②시니어_가정!$O$543:$O$545,AT6,②시니어_가정!$E$543:$E$545)))</f>
        <v>0</v>
      </c>
      <c r="AU136" s="37" t="n">
        <f aca="false">IF(AU6=②시니어_가정!$E$24,AT137+AU134,MIN(AT137+AU134,SUMIF(②시니어_가정!$O$543:$O$545,AU6,②시니어_가정!$E$543:$E$545)))</f>
        <v>0</v>
      </c>
      <c r="AV136" s="37" t="n">
        <f aca="false">IF(AV6=②시니어_가정!$E$24,AU137+AV134,MIN(AU137+AV134,SUMIF(②시니어_가정!$O$543:$O$545,AV6,②시니어_가정!$E$543:$E$545)))</f>
        <v>0</v>
      </c>
      <c r="AW136" s="37" t="n">
        <f aca="false">IF(AW6=②시니어_가정!$E$24,AV137+AW134,MIN(AV137+AW134,SUMIF(②시니어_가정!$O$543:$O$545,AW6,②시니어_가정!$E$543:$E$545)))</f>
        <v>0</v>
      </c>
      <c r="AX136" s="37" t="n">
        <f aca="false">IF(AX6=②시니어_가정!$E$24,AW137+AX134,MIN(AW137+AX134,SUMIF(②시니어_가정!$O$543:$O$545,AX6,②시니어_가정!$E$543:$E$545)))</f>
        <v>0</v>
      </c>
      <c r="AY136" s="37" t="n">
        <f aca="false">IF(AY6=②시니어_가정!$E$24,AX137+AY134,MIN(AX137+AY134,SUMIF(②시니어_가정!$O$543:$O$545,AY6,②시니어_가정!$E$543:$E$545)))</f>
        <v>0</v>
      </c>
      <c r="AZ136" s="37" t="n">
        <f aca="false">IF(AZ6=②시니어_가정!$E$24,AY137+AZ134,MIN(AY137+AZ134,SUMIF(②시니어_가정!$O$543:$O$545,AZ6,②시니어_가정!$E$543:$E$545)))</f>
        <v>0</v>
      </c>
      <c r="BA136" s="37" t="n">
        <f aca="false">IF(BA6=②시니어_가정!$E$24,AZ137+BA134,MIN(AZ137+BA134,SUMIF(②시니어_가정!$O$543:$O$545,BA6,②시니어_가정!$E$543:$E$545)))</f>
        <v>0</v>
      </c>
      <c r="BB136" s="37" t="n">
        <f aca="false">IF(BB6=②시니어_가정!$E$24,BA137+BB134,MIN(BA137+BB134,SUMIF(②시니어_가정!$O$543:$O$545,BB6,②시니어_가정!$E$543:$E$545)))</f>
        <v>0</v>
      </c>
      <c r="BC136" s="37" t="n">
        <f aca="false">IF(BC6=②시니어_가정!$E$24,BB137+BC134,MIN(BB137+BC134,SUMIF(②시니어_가정!$O$543:$O$545,BC6,②시니어_가정!$E$543:$E$545)))</f>
        <v>0</v>
      </c>
      <c r="BD136" s="37" t="n">
        <f aca="false">IF(BD6=②시니어_가정!$E$24,BC137+BD134,MIN(BC137+BD134,SUMIF(②시니어_가정!$O$543:$O$545,BD6,②시니어_가정!$E$543:$E$545)))</f>
        <v>0</v>
      </c>
      <c r="BE136" s="37" t="n">
        <f aca="false">IF(BE6=②시니어_가정!$E$24,BD137+BE134,MIN(BD137+BE134,SUMIF(②시니어_가정!$O$543:$O$545,BE6,②시니어_가정!$E$543:$E$545)))</f>
        <v>0</v>
      </c>
      <c r="BF136" s="37" t="n">
        <f aca="false">IF(BF6=②시니어_가정!$E$24,BE137+BF134,MIN(BE137+BF134,SUMIF(②시니어_가정!$O$543:$O$545,BF6,②시니어_가정!$E$543:$E$545)))</f>
        <v>0</v>
      </c>
      <c r="BG136" s="37" t="n">
        <f aca="false">IF(BG6=②시니어_가정!$E$24,BF137+BG134,MIN(BF137+BG134,SUMIF(②시니어_가정!$O$543:$O$545,BG6,②시니어_가정!$E$543:$E$545)))</f>
        <v>0</v>
      </c>
      <c r="BH136" s="37" t="n">
        <f aca="false">IF(BH6=②시니어_가정!$E$24,BG137+BH134,MIN(BG137+BH134,SUMIF(②시니어_가정!$O$543:$O$545,BH6,②시니어_가정!$E$543:$E$545)))</f>
        <v>0</v>
      </c>
      <c r="BI136" s="37" t="n">
        <f aca="false">IF(BI6=②시니어_가정!$E$24,BH137+BI134,MIN(BH137+BI134,SUMIF(②시니어_가정!$O$543:$O$545,BI6,②시니어_가정!$E$543:$E$545)))</f>
        <v>0</v>
      </c>
      <c r="BJ136" s="37" t="n">
        <f aca="false">IF(BJ6=②시니어_가정!$E$24,BI137+BJ134,MIN(BI137+BJ134,SUMIF(②시니어_가정!$O$543:$O$545,BJ6,②시니어_가정!$E$543:$E$545)))</f>
        <v>0</v>
      </c>
      <c r="BK136" s="37" t="n">
        <f aca="false">IF(BK6=②시니어_가정!$E$24,BJ137+BK134,MIN(BJ137+BK134,SUMIF(②시니어_가정!$O$543:$O$545,BK6,②시니어_가정!$E$543:$E$545)))</f>
        <v>0</v>
      </c>
      <c r="BL136" s="37" t="n">
        <f aca="false">IF(BL6=②시니어_가정!$E$24,BK137+BL134,MIN(BK137+BL134,SUMIF(②시니어_가정!$O$543:$O$545,BL6,②시니어_가정!$E$543:$E$545)))</f>
        <v>0</v>
      </c>
      <c r="BM136" s="37" t="n">
        <f aca="false">IF(BM6=②시니어_가정!$E$24,BL137+BM134,MIN(BL137+BM134,SUMIF(②시니어_가정!$O$543:$O$545,BM6,②시니어_가정!$E$543:$E$545)))</f>
        <v>0</v>
      </c>
      <c r="BN136" s="37" t="n">
        <f aca="false">IF(BN6=②시니어_가정!$E$24,BM137+BN134,MIN(BM137+BN134,SUMIF(②시니어_가정!$O$543:$O$545,BN6,②시니어_가정!$E$543:$E$545)))</f>
        <v>0</v>
      </c>
      <c r="BO136" s="37" t="n">
        <f aca="false">IF(BO6=②시니어_가정!$E$24,BN137+BO134,MIN(BN137+BO134,SUMIF(②시니어_가정!$O$543:$O$545,BO6,②시니어_가정!$E$543:$E$545)))</f>
        <v>0</v>
      </c>
      <c r="BP136" s="37" t="n">
        <f aca="false">IF(BP6=②시니어_가정!$E$24,BO137+BP134,MIN(BO137+BP134,SUMIF(②시니어_가정!$O$543:$O$545,BP6,②시니어_가정!$E$543:$E$545)))</f>
        <v>0</v>
      </c>
      <c r="BQ136" s="37" t="n">
        <f aca="false">IF(BQ6=②시니어_가정!$E$24,BP137+BQ134,MIN(BP137+BQ134,SUMIF(②시니어_가정!$O$543:$O$545,BQ6,②시니어_가정!$E$543:$E$545)))</f>
        <v>0</v>
      </c>
      <c r="BR136" s="37" t="n">
        <f aca="false">IF(BR6=②시니어_가정!$E$24,BQ137+BR134,MIN(BQ137+BR134,SUMIF(②시니어_가정!$O$543:$O$545,BR6,②시니어_가정!$E$543:$E$545)))</f>
        <v>0</v>
      </c>
      <c r="BS136" s="37" t="n">
        <f aca="false">IF(BS6=②시니어_가정!$E$24,BR137+BS134,MIN(BR137+BS134,SUMIF(②시니어_가정!$O$543:$O$545,BS6,②시니어_가정!$E$543:$E$545)))</f>
        <v>0</v>
      </c>
      <c r="BT136" s="37" t="n">
        <f aca="false">IF(BT6=②시니어_가정!$E$24,BS137+BT134,MIN(BS137+BT134,SUMIF(②시니어_가정!$O$543:$O$545,BT6,②시니어_가정!$E$543:$E$545)))</f>
        <v>0</v>
      </c>
      <c r="BU136" s="37" t="n">
        <f aca="false">IF(BU6=②시니어_가정!$E$24,BT137+BU134,MIN(BT137+BU134,SUMIF(②시니어_가정!$O$543:$O$545,BU6,②시니어_가정!$E$543:$E$545)))</f>
        <v>0</v>
      </c>
      <c r="BV136" s="37" t="n">
        <f aca="false">IF(BV6=②시니어_가정!$E$24,BU137+BV134,MIN(BU137+BV134,SUMIF(②시니어_가정!$O$543:$O$545,BV6,②시니어_가정!$E$543:$E$545)))</f>
        <v>0</v>
      </c>
      <c r="BW136" s="37" t="n">
        <f aca="false">IF(BW6=②시니어_가정!$E$24,BV137+BW134,MIN(BV137+BW134,SUMIF(②시니어_가정!$O$543:$O$545,BW6,②시니어_가정!$E$543:$E$545)))</f>
        <v>0</v>
      </c>
      <c r="BX136" s="37" t="n">
        <f aca="false">IF(BX6=②시니어_가정!$E$24,BW137+BX134,MIN(BW137+BX134,SUMIF(②시니어_가정!$O$543:$O$545,BX6,②시니어_가정!$E$543:$E$545)))</f>
        <v>0</v>
      </c>
      <c r="BY136" s="37" t="n">
        <f aca="false">IF(BY6=②시니어_가정!$E$24,BX137+BY134,MIN(BX137+BY134,SUMIF(②시니어_가정!$O$543:$O$545,BY6,②시니어_가정!$E$543:$E$545)))</f>
        <v>0</v>
      </c>
      <c r="BZ136" s="37" t="n">
        <f aca="false">IF(BZ6=②시니어_가정!$E$24,BY137+BZ134,MIN(BY137+BZ134,SUMIF(②시니어_가정!$O$543:$O$545,BZ6,②시니어_가정!$E$543:$E$545)))</f>
        <v>0</v>
      </c>
      <c r="CA136" s="37" t="n">
        <f aca="false">IF(CA6=②시니어_가정!$E$24,BZ137+CA134,MIN(BZ137+CA134,SUMIF(②시니어_가정!$O$543:$O$545,CA6,②시니어_가정!$E$543:$E$545)))</f>
        <v>0</v>
      </c>
      <c r="CB136" s="37" t="n">
        <f aca="false">IF(CB6=②시니어_가정!$E$24,CA137+CB134,MIN(CA137+CB134,SUMIF(②시니어_가정!$O$543:$O$545,CB6,②시니어_가정!$E$543:$E$545)))</f>
        <v>0</v>
      </c>
      <c r="CC136" s="37" t="n">
        <f aca="false">IF(CC6=②시니어_가정!$E$24,CB137+CC134,MIN(CB137+CC134,SUMIF(②시니어_가정!$O$543:$O$545,CC6,②시니어_가정!$E$543:$E$545)))</f>
        <v>0</v>
      </c>
      <c r="CD136" s="37" t="n">
        <f aca="false">IF(CD6=②시니어_가정!$E$24,CC137+CD134,MIN(CC137+CD134,SUMIF(②시니어_가정!$O$543:$O$545,CD6,②시니어_가정!$E$543:$E$545)))</f>
        <v>0</v>
      </c>
      <c r="CE136" s="37" t="n">
        <f aca="false">IF(CE6=②시니어_가정!$E$24,CD137+CE134,MIN(CD137+CE134,SUMIF(②시니어_가정!$O$543:$O$545,CE6,②시니어_가정!$E$543:$E$545)))</f>
        <v>0</v>
      </c>
      <c r="CF136" s="37" t="n">
        <f aca="false">IF(CF6=②시니어_가정!$E$24,CE137+CF134,MIN(CE137+CF134,SUMIF(②시니어_가정!$O$543:$O$545,CF6,②시니어_가정!$E$543:$E$545)))</f>
        <v>0</v>
      </c>
      <c r="CG136" s="37" t="n">
        <f aca="false">IF(CG6=②시니어_가정!$E$24,CF137+CG134,MIN(CF137+CG134,SUMIF(②시니어_가정!$O$543:$O$545,CG6,②시니어_가정!$E$543:$E$545)))</f>
        <v>0</v>
      </c>
      <c r="CH136" s="37" t="n">
        <f aca="false">IF(CH6=②시니어_가정!$E$24,CG137+CH134,MIN(CG137+CH134,SUMIF(②시니어_가정!$O$543:$O$545,CH6,②시니어_가정!$E$543:$E$545)))</f>
        <v>0</v>
      </c>
      <c r="CI136" s="37" t="n">
        <f aca="false">IF(CI6=②시니어_가정!$E$24,CH137+CI134,MIN(CH137+CI134,SUMIF(②시니어_가정!$O$543:$O$545,CI6,②시니어_가정!$E$543:$E$545)))</f>
        <v>0</v>
      </c>
      <c r="CJ136" s="37" t="n">
        <f aca="false">IF(CJ6=②시니어_가정!$E$24,CI137+CJ134,MIN(CI137+CJ134,SUMIF(②시니어_가정!$O$543:$O$545,CJ6,②시니어_가정!$E$543:$E$545)))</f>
        <v>0</v>
      </c>
      <c r="CK136" s="37" t="n">
        <f aca="false">IF(CK6=②시니어_가정!$E$24,CJ137+CK134,MIN(CJ137+CK134,SUMIF(②시니어_가정!$O$543:$O$545,CK6,②시니어_가정!$E$543:$E$545)))</f>
        <v>0</v>
      </c>
      <c r="CL136" s="37" t="n">
        <f aca="false">IF(CL6=②시니어_가정!$E$24,CK137+CL134,MIN(CK137+CL134,SUMIF(②시니어_가정!$O$543:$O$545,CL6,②시니어_가정!$E$543:$E$545)))</f>
        <v>0</v>
      </c>
      <c r="CM136" s="37" t="n">
        <f aca="false">IF(CM6=②시니어_가정!$E$24,CL137+CM134,MIN(CL137+CM134,SUMIF(②시니어_가정!$O$543:$O$545,CM6,②시니어_가정!$E$543:$E$545)))</f>
        <v>0</v>
      </c>
      <c r="CN136" s="37" t="n">
        <f aca="false">IF(CN6=②시니어_가정!$E$24,CM137+CN134,MIN(CM137+CN134,SUMIF(②시니어_가정!$O$543:$O$545,CN6,②시니어_가정!$E$543:$E$545)))</f>
        <v>0</v>
      </c>
      <c r="CO136" s="37" t="n">
        <f aca="false">IF(CO6=②시니어_가정!$E$24,CN137+CO134,MIN(CN137+CO134,SUMIF(②시니어_가정!$O$543:$O$545,CO6,②시니어_가정!$E$543:$E$545)))</f>
        <v>0</v>
      </c>
      <c r="CP136" s="37" t="n">
        <f aca="false">IF(CP6=②시니어_가정!$E$24,CO137+CP134,MIN(CO137+CP134,SUMIF(②시니어_가정!$O$543:$O$545,CP6,②시니어_가정!$E$543:$E$545)))</f>
        <v>0</v>
      </c>
      <c r="CQ136" s="37" t="n">
        <f aca="false">IF(CQ6=②시니어_가정!$E$24,CP137+CQ134,MIN(CP137+CQ134,SUMIF(②시니어_가정!$O$543:$O$545,CQ6,②시니어_가정!$E$543:$E$545)))</f>
        <v>0</v>
      </c>
      <c r="CR136" s="37" t="n">
        <f aca="false">IF(CR6=②시니어_가정!$E$24,CQ137+CR134,MIN(CQ137+CR134,SUMIF(②시니어_가정!$O$543:$O$545,CR6,②시니어_가정!$E$543:$E$545)))</f>
        <v>0</v>
      </c>
      <c r="CS136" s="37" t="n">
        <f aca="false">IF(CS6=②시니어_가정!$E$24,CR137+CS134,MIN(CR137+CS134,SUMIF(②시니어_가정!$O$543:$O$545,CS6,②시니어_가정!$E$543:$E$545)))</f>
        <v>0</v>
      </c>
      <c r="CT136" s="37" t="n">
        <f aca="false">IF(CT6=②시니어_가정!$E$24,CS137+CT134,MIN(CS137+CT134,SUMIF(②시니어_가정!$O$543:$O$545,CT6,②시니어_가정!$E$543:$E$545)))</f>
        <v>0</v>
      </c>
      <c r="CU136" s="37" t="n">
        <f aca="false">IF(CU6=②시니어_가정!$E$24,CT137+CU134,MIN(CT137+CU134,SUMIF(②시니어_가정!$O$543:$O$545,CU6,②시니어_가정!$E$543:$E$545)))</f>
        <v>0</v>
      </c>
      <c r="CV136" s="37" t="n">
        <f aca="false">IF(CV6=②시니어_가정!$E$24,CU137+CV134,MIN(CU137+CV134,SUMIF(②시니어_가정!$O$543:$O$545,CV6,②시니어_가정!$E$543:$E$545)))</f>
        <v>0</v>
      </c>
      <c r="CW136" s="37" t="n">
        <f aca="false">IF(CW6=②시니어_가정!$E$24,CV137+CW134,MIN(CV137+CW134,SUMIF(②시니어_가정!$O$543:$O$545,CW6,②시니어_가정!$E$543:$E$545)))</f>
        <v>0</v>
      </c>
      <c r="CX136" s="37" t="n">
        <f aca="false">IF(CX6=②시니어_가정!$E$24,CW137+CX134,MIN(CW137+CX134,SUMIF(②시니어_가정!$O$543:$O$545,CX6,②시니어_가정!$E$543:$E$545)))</f>
        <v>0</v>
      </c>
      <c r="CY136" s="37" t="n">
        <f aca="false">IF(CY6=②시니어_가정!$E$24,CX137+CY134,MIN(CX137+CY134,SUMIF(②시니어_가정!$O$543:$O$545,CY6,②시니어_가정!$E$543:$E$545)))</f>
        <v>0</v>
      </c>
      <c r="CZ136" s="37" t="n">
        <f aca="false">IF(CZ6=②시니어_가정!$E$24,CY137+CZ134,MIN(CY137+CZ134,SUMIF(②시니어_가정!$O$543:$O$545,CZ6,②시니어_가정!$E$543:$E$545)))</f>
        <v>0</v>
      </c>
      <c r="DA136" s="37" t="n">
        <f aca="false">IF(DA6=②시니어_가정!$E$24,CZ137+DA134,MIN(CZ137+DA134,SUMIF(②시니어_가정!$O$543:$O$545,DA6,②시니어_가정!$E$543:$E$545)))</f>
        <v>0</v>
      </c>
      <c r="DB136" s="37" t="n">
        <f aca="false">IF(DB6=②시니어_가정!$E$24,DA137+DB134,MIN(DA137+DB134,SUMIF(②시니어_가정!$O$543:$O$545,DB6,②시니어_가정!$E$543:$E$545)))</f>
        <v>0</v>
      </c>
      <c r="DC136" s="37" t="n">
        <f aca="false">IF(DC6=②시니어_가정!$E$24,DB137+DC134,MIN(DB137+DC134,SUMIF(②시니어_가정!$O$543:$O$545,DC6,②시니어_가정!$E$543:$E$545)))</f>
        <v>0</v>
      </c>
      <c r="DD136" s="37" t="n">
        <f aca="false">IF(DD6=②시니어_가정!$E$24,DC137+DD134,MIN(DC137+DD134,SUMIF(②시니어_가정!$O$543:$O$545,DD6,②시니어_가정!$E$543:$E$545)))</f>
        <v>0</v>
      </c>
      <c r="DE136" s="37" t="n">
        <f aca="false">IF(DE6=②시니어_가정!$E$24,DD137+DE134,MIN(DD137+DE134,SUMIF(②시니어_가정!$O$543:$O$545,DE6,②시니어_가정!$E$543:$E$545)))</f>
        <v>0</v>
      </c>
      <c r="DF136" s="37" t="n">
        <f aca="false">IF(DF6=②시니어_가정!$E$24,DE137+DF134,MIN(DE137+DF134,SUMIF(②시니어_가정!$O$543:$O$545,DF6,②시니어_가정!$E$543:$E$545)))</f>
        <v>0</v>
      </c>
      <c r="DG136" s="37" t="n">
        <f aca="false">IF(DG6=②시니어_가정!$E$24,DF137+DG134,MIN(DF137+DG134,SUMIF(②시니어_가정!$O$543:$O$545,DG6,②시니어_가정!$E$543:$E$545)))</f>
        <v>0</v>
      </c>
      <c r="DH136" s="37" t="n">
        <f aca="false">IF(DH6=②시니어_가정!$E$24,DG137+DH134,MIN(DG137+DH134,SUMIF(②시니어_가정!$O$543:$O$545,DH6,②시니어_가정!$E$543:$E$545)))</f>
        <v>0</v>
      </c>
      <c r="DI136" s="37" t="n">
        <f aca="false">IF(DI6=②시니어_가정!$E$24,DH137+DI134,MIN(DH137+DI134,SUMIF(②시니어_가정!$O$543:$O$545,DI6,②시니어_가정!$E$543:$E$545)))</f>
        <v>0</v>
      </c>
      <c r="DJ136" s="37" t="n">
        <f aca="false">IF(DJ6=②시니어_가정!$E$24,DI137+DJ134,MIN(DI137+DJ134,SUMIF(②시니어_가정!$O$543:$O$545,DJ6,②시니어_가정!$E$543:$E$545)))</f>
        <v>0</v>
      </c>
      <c r="DK136" s="37" t="n">
        <f aca="false">IF(DK6=②시니어_가정!$E$24,DJ137+DK134,MIN(DJ137+DK134,SUMIF(②시니어_가정!$O$543:$O$545,DK6,②시니어_가정!$E$543:$E$545)))</f>
        <v>0</v>
      </c>
      <c r="DL136" s="37" t="n">
        <f aca="false">IF(DL6=②시니어_가정!$E$24,DK137+DL134,MIN(DK137+DL134,SUMIF(②시니어_가정!$O$543:$O$545,DL6,②시니어_가정!$E$543:$E$545)))</f>
        <v>0</v>
      </c>
      <c r="DM136" s="37" t="n">
        <f aca="false">IF(DM6=②시니어_가정!$E$24,DL137+DM134,MIN(DL137+DM134,SUMIF(②시니어_가정!$O$543:$O$545,DM6,②시니어_가정!$E$543:$E$545)))</f>
        <v>0</v>
      </c>
      <c r="DN136" s="37" t="n">
        <f aca="false">IF(DN6=②시니어_가정!$E$24,DM137+DN134,MIN(DM137+DN134,SUMIF(②시니어_가정!$O$543:$O$545,DN6,②시니어_가정!$E$543:$E$545)))</f>
        <v>0</v>
      </c>
      <c r="DO136" s="37" t="n">
        <f aca="false">IF(DO6=②시니어_가정!$E$24,DN137+DO134,MIN(DN137+DO134,SUMIF(②시니어_가정!$O$543:$O$545,DO6,②시니어_가정!$E$543:$E$545)))</f>
        <v>0</v>
      </c>
      <c r="DP136" s="37" t="n">
        <f aca="false">IF(DP6=②시니어_가정!$E$24,DO137+DP134,MIN(DO137+DP134,SUMIF(②시니어_가정!$O$543:$O$545,DP6,②시니어_가정!$E$543:$E$545)))</f>
        <v>0</v>
      </c>
      <c r="DQ136" s="37" t="n">
        <f aca="false">IF(DQ6=②시니어_가정!$E$24,DP137+DQ134,MIN(DP137+DQ134,SUMIF(②시니어_가정!$O$543:$O$545,DQ6,②시니어_가정!$E$543:$E$545)))</f>
        <v>0</v>
      </c>
      <c r="DR136" s="37" t="n">
        <f aca="false">IF(DR6=②시니어_가정!$E$24,DQ137+DR134,MIN(DQ137+DR134,SUMIF(②시니어_가정!$O$543:$O$545,DR6,②시니어_가정!$E$543:$E$545)))</f>
        <v>0</v>
      </c>
      <c r="DS136" s="37" t="n">
        <f aca="false">IF(DS6=②시니어_가정!$E$24,DR137+DS134,MIN(DR137+DS134,SUMIF(②시니어_가정!$O$543:$O$545,DS6,②시니어_가정!$E$543:$E$545)))</f>
        <v>0</v>
      </c>
      <c r="DT136" s="37" t="n">
        <f aca="false">IF(DT6=②시니어_가정!$E$24,DS137+DT134,MIN(DS137+DT134,SUMIF(②시니어_가정!$O$543:$O$545,DT6,②시니어_가정!$E$543:$E$545)))</f>
        <v>0</v>
      </c>
      <c r="DU136" s="37" t="n">
        <f aca="false">IF(DU6=②시니어_가정!$E$24,DT137+DU134,MIN(DT137+DU134,SUMIF(②시니어_가정!$O$543:$O$545,DU6,②시니어_가정!$E$543:$E$545)))</f>
        <v>0</v>
      </c>
      <c r="DV136" s="37" t="n">
        <f aca="false">IF(DV6=②시니어_가정!$E$24,DU137+DV134,MIN(DU137+DV134,SUMIF(②시니어_가정!$O$543:$O$545,DV6,②시니어_가정!$E$543:$E$545)))</f>
        <v>0</v>
      </c>
      <c r="DW136" s="37" t="n">
        <f aca="false">IF(DW6=②시니어_가정!$E$24,DV137+DW134,MIN(DV137+DW134,SUMIF(②시니어_가정!$O$543:$O$545,DW6,②시니어_가정!$E$543:$E$545)))</f>
        <v>0</v>
      </c>
      <c r="DX136" s="37" t="n">
        <f aca="false">IF(DX6=②시니어_가정!$E$24,DW137+DX134,MIN(DW137+DX134,SUMIF(②시니어_가정!$O$543:$O$545,DX6,②시니어_가정!$E$543:$E$545)))</f>
        <v>0</v>
      </c>
      <c r="DY136" s="37" t="n">
        <f aca="false">IF(DY6=②시니어_가정!$E$24,DX137+DY134,MIN(DX137+DY134,SUMIF(②시니어_가정!$O$543:$O$545,DY6,②시니어_가정!$E$543:$E$545)))</f>
        <v>0</v>
      </c>
      <c r="DZ136" s="37" t="n">
        <f aca="false">IF(DZ6=②시니어_가정!$E$24,DY137+DZ134,MIN(DY137+DZ134,SUMIF(②시니어_가정!$O$543:$O$545,DZ6,②시니어_가정!$E$543:$E$545)))</f>
        <v>0</v>
      </c>
      <c r="EA136" s="37" t="n">
        <f aca="false">IF(EA6=②시니어_가정!$E$24,DZ137+EA134,MIN(DZ137+EA134,SUMIF(②시니어_가정!$O$543:$O$545,EA6,②시니어_가정!$E$543:$E$545)))</f>
        <v>0</v>
      </c>
      <c r="EB136" s="37" t="n">
        <f aca="false">IF(EB6=②시니어_가정!$E$24,EA137+EB134,MIN(EA137+EB134,SUMIF(②시니어_가정!$O$543:$O$545,EB6,②시니어_가정!$E$543:$E$545)))</f>
        <v>0</v>
      </c>
      <c r="EC136" s="37" t="n">
        <f aca="false">IF(EC6=②시니어_가정!$E$24,EB137+EC134,MIN(EB137+EC134,SUMIF(②시니어_가정!$O$543:$O$545,EC6,②시니어_가정!$E$543:$E$545)))</f>
        <v>0</v>
      </c>
      <c r="ED136" s="37" t="n">
        <f aca="false">IF(ED6=②시니어_가정!$E$24,EC137+ED134,MIN(EC137+ED134,SUMIF(②시니어_가정!$O$543:$O$545,ED6,②시니어_가정!$E$543:$E$545)))</f>
        <v>0</v>
      </c>
      <c r="EE136" s="37" t="n">
        <f aca="false">IF(EE6=②시니어_가정!$E$24,ED137+EE134,MIN(ED137+EE134,SUMIF(②시니어_가정!$O$543:$O$545,EE6,②시니어_가정!$E$543:$E$545)))</f>
        <v>0</v>
      </c>
      <c r="EF136" s="37" t="n">
        <f aca="false">IF(EF6=②시니어_가정!$E$24,EE137+EF134,MIN(EE137+EF134,SUMIF(②시니어_가정!$O$543:$O$545,EF6,②시니어_가정!$E$543:$E$545)))</f>
        <v>0</v>
      </c>
    </row>
    <row r="137" customFormat="false" ht="15" hidden="false" customHeight="false" outlineLevel="0" collapsed="false">
      <c r="A137" s="36" t="s">
        <v>671</v>
      </c>
      <c r="B137" s="278" t="s">
        <v>21</v>
      </c>
      <c r="C137" s="279" t="n">
        <f aca="false">MAX(E137:EF137)</f>
        <v>0</v>
      </c>
      <c r="E137" s="37" t="n">
        <f aca="false">0+E134-E136</f>
        <v>0</v>
      </c>
      <c r="F137" s="37" t="n">
        <f aca="false">E137+F134-F136</f>
        <v>0</v>
      </c>
      <c r="G137" s="37" t="n">
        <f aca="false">F137+G134-G136</f>
        <v>0</v>
      </c>
      <c r="H137" s="37" t="n">
        <f aca="false">G137+H134-H136</f>
        <v>0</v>
      </c>
      <c r="I137" s="37" t="n">
        <f aca="false">H137+I134-I136</f>
        <v>0</v>
      </c>
      <c r="J137" s="37" t="n">
        <f aca="false">I137+J134-J136</f>
        <v>0</v>
      </c>
      <c r="K137" s="37" t="n">
        <f aca="false">J137+K134-K136</f>
        <v>0</v>
      </c>
      <c r="L137" s="37" t="n">
        <f aca="false">K137+L134-L136</f>
        <v>0</v>
      </c>
      <c r="M137" s="37" t="n">
        <f aca="false">L137+M134-M136</f>
        <v>0</v>
      </c>
      <c r="N137" s="37" t="n">
        <f aca="false">M137+N134-N136</f>
        <v>0</v>
      </c>
      <c r="O137" s="37" t="n">
        <f aca="false">N137+O134-O136</f>
        <v>0</v>
      </c>
      <c r="P137" s="37" t="n">
        <f aca="false">O137+P134-P136</f>
        <v>0</v>
      </c>
      <c r="Q137" s="37" t="n">
        <f aca="false">P137+Q134-Q136</f>
        <v>0</v>
      </c>
      <c r="R137" s="37" t="n">
        <f aca="false">Q137+R134-R136</f>
        <v>0</v>
      </c>
      <c r="S137" s="37" t="n">
        <f aca="false">R137+S134-S136</f>
        <v>0</v>
      </c>
      <c r="T137" s="37" t="n">
        <f aca="false">S137+T134-T136</f>
        <v>0</v>
      </c>
      <c r="U137" s="37" t="n">
        <f aca="false">T137+U134-U136</f>
        <v>0</v>
      </c>
      <c r="V137" s="37" t="n">
        <f aca="false">U137+V134-V136</f>
        <v>0</v>
      </c>
      <c r="W137" s="37" t="n">
        <f aca="false">V137+W134-W136</f>
        <v>0</v>
      </c>
      <c r="X137" s="37" t="n">
        <f aca="false">W137+X134-X136</f>
        <v>0</v>
      </c>
      <c r="Y137" s="37" t="n">
        <f aca="false">X137+Y134-Y136</f>
        <v>0</v>
      </c>
      <c r="Z137" s="37" t="n">
        <f aca="false">Y137+Z134-Z136</f>
        <v>0</v>
      </c>
      <c r="AA137" s="37" t="n">
        <f aca="false">Z137+AA134-AA136</f>
        <v>0</v>
      </c>
      <c r="AB137" s="37" t="n">
        <f aca="false">AA137+AB134-AB136</f>
        <v>0</v>
      </c>
      <c r="AC137" s="37" t="n">
        <f aca="false">AB137+AC134-AC136</f>
        <v>0</v>
      </c>
      <c r="AD137" s="37" t="n">
        <f aca="false">AC137+AD134-AD136</f>
        <v>0</v>
      </c>
      <c r="AE137" s="37" t="n">
        <f aca="false">AD137+AE134-AE136</f>
        <v>0</v>
      </c>
      <c r="AF137" s="37" t="n">
        <f aca="false">AE137+AF134-AF136</f>
        <v>0</v>
      </c>
      <c r="AG137" s="37" t="n">
        <f aca="false">AF137+AG134-AG136</f>
        <v>0</v>
      </c>
      <c r="AH137" s="37" t="n">
        <f aca="false">AG137+AH134-AH136</f>
        <v>0</v>
      </c>
      <c r="AI137" s="37" t="n">
        <f aca="false">AH137+AI134-AI136</f>
        <v>0</v>
      </c>
      <c r="AJ137" s="37" t="n">
        <f aca="false">AI137+AJ134-AJ136</f>
        <v>0</v>
      </c>
      <c r="AK137" s="37" t="n">
        <f aca="false">AJ137+AK134-AK136</f>
        <v>0</v>
      </c>
      <c r="AL137" s="37" t="n">
        <f aca="false">AK137+AL134-AL136</f>
        <v>0</v>
      </c>
      <c r="AM137" s="37" t="n">
        <f aca="false">AL137+AM134-AM136</f>
        <v>0</v>
      </c>
      <c r="AN137" s="37" t="n">
        <f aca="false">AM137+AN134-AN136</f>
        <v>0</v>
      </c>
      <c r="AO137" s="37" t="n">
        <f aca="false">AN137+AO134-AO136</f>
        <v>0</v>
      </c>
      <c r="AP137" s="37" t="n">
        <f aca="false">AO137+AP134-AP136</f>
        <v>0</v>
      </c>
      <c r="AQ137" s="37" t="n">
        <f aca="false">AP137+AQ134-AQ136</f>
        <v>0</v>
      </c>
      <c r="AR137" s="37" t="n">
        <f aca="false">AQ137+AR134-AR136</f>
        <v>0</v>
      </c>
      <c r="AS137" s="37" t="n">
        <f aca="false">AR137+AS134-AS136</f>
        <v>0</v>
      </c>
      <c r="AT137" s="37" t="n">
        <f aca="false">AS137+AT134-AT136</f>
        <v>0</v>
      </c>
      <c r="AU137" s="37" t="n">
        <f aca="false">AT137+AU134-AU136</f>
        <v>0</v>
      </c>
      <c r="AV137" s="37" t="n">
        <f aca="false">AU137+AV134-AV136</f>
        <v>0</v>
      </c>
      <c r="AW137" s="37" t="n">
        <f aca="false">AV137+AW134-AW136</f>
        <v>0</v>
      </c>
      <c r="AX137" s="37" t="n">
        <f aca="false">AW137+AX134-AX136</f>
        <v>0</v>
      </c>
      <c r="AY137" s="37" t="n">
        <f aca="false">AX137+AY134-AY136</f>
        <v>0</v>
      </c>
      <c r="AZ137" s="37" t="n">
        <f aca="false">AY137+AZ134-AZ136</f>
        <v>0</v>
      </c>
      <c r="BA137" s="37" t="n">
        <f aca="false">AZ137+BA134-BA136</f>
        <v>0</v>
      </c>
      <c r="BB137" s="37" t="n">
        <f aca="false">BA137+BB134-BB136</f>
        <v>0</v>
      </c>
      <c r="BC137" s="37" t="n">
        <f aca="false">BB137+BC134-BC136</f>
        <v>0</v>
      </c>
      <c r="BD137" s="37" t="n">
        <f aca="false">BC137+BD134-BD136</f>
        <v>0</v>
      </c>
      <c r="BE137" s="37" t="n">
        <f aca="false">BD137+BE134-BE136</f>
        <v>0</v>
      </c>
      <c r="BF137" s="37" t="n">
        <f aca="false">BE137+BF134-BF136</f>
        <v>0</v>
      </c>
      <c r="BG137" s="37" t="n">
        <f aca="false">BF137+BG134-BG136</f>
        <v>0</v>
      </c>
      <c r="BH137" s="37" t="n">
        <f aca="false">BG137+BH134-BH136</f>
        <v>0</v>
      </c>
      <c r="BI137" s="37" t="n">
        <f aca="false">BH137+BI134-BI136</f>
        <v>0</v>
      </c>
      <c r="BJ137" s="37" t="n">
        <f aca="false">BI137+BJ134-BJ136</f>
        <v>0</v>
      </c>
      <c r="BK137" s="37" t="n">
        <f aca="false">BJ137+BK134-BK136</f>
        <v>0</v>
      </c>
      <c r="BL137" s="37" t="n">
        <f aca="false">BK137+BL134-BL136</f>
        <v>0</v>
      </c>
      <c r="BM137" s="37" t="n">
        <f aca="false">BL137+BM134-BM136</f>
        <v>0</v>
      </c>
      <c r="BN137" s="37" t="n">
        <f aca="false">BM137+BN134-BN136</f>
        <v>0</v>
      </c>
      <c r="BO137" s="37" t="n">
        <f aca="false">BN137+BO134-BO136</f>
        <v>0</v>
      </c>
      <c r="BP137" s="37" t="n">
        <f aca="false">BO137+BP134-BP136</f>
        <v>0</v>
      </c>
      <c r="BQ137" s="37" t="n">
        <f aca="false">BP137+BQ134-BQ136</f>
        <v>0</v>
      </c>
      <c r="BR137" s="37" t="n">
        <f aca="false">BQ137+BR134-BR136</f>
        <v>0</v>
      </c>
      <c r="BS137" s="37" t="n">
        <f aca="false">BR137+BS134-BS136</f>
        <v>0</v>
      </c>
      <c r="BT137" s="37" t="n">
        <f aca="false">BS137+BT134-BT136</f>
        <v>0</v>
      </c>
      <c r="BU137" s="37" t="n">
        <f aca="false">BT137+BU134-BU136</f>
        <v>0</v>
      </c>
      <c r="BV137" s="37" t="n">
        <f aca="false">BU137+BV134-BV136</f>
        <v>0</v>
      </c>
      <c r="BW137" s="37" t="n">
        <f aca="false">BV137+BW134-BW136</f>
        <v>0</v>
      </c>
      <c r="BX137" s="37" t="n">
        <f aca="false">BW137+BX134-BX136</f>
        <v>0</v>
      </c>
      <c r="BY137" s="37" t="n">
        <f aca="false">BX137+BY134-BY136</f>
        <v>0</v>
      </c>
      <c r="BZ137" s="37" t="n">
        <f aca="false">BY137+BZ134-BZ136</f>
        <v>0</v>
      </c>
      <c r="CA137" s="37" t="n">
        <f aca="false">BZ137+CA134-CA136</f>
        <v>0</v>
      </c>
      <c r="CB137" s="37" t="n">
        <f aca="false">CA137+CB134-CB136</f>
        <v>0</v>
      </c>
      <c r="CC137" s="37" t="n">
        <f aca="false">CB137+CC134-CC136</f>
        <v>0</v>
      </c>
      <c r="CD137" s="37" t="n">
        <f aca="false">CC137+CD134-CD136</f>
        <v>0</v>
      </c>
      <c r="CE137" s="37" t="n">
        <f aca="false">CD137+CE134-CE136</f>
        <v>0</v>
      </c>
      <c r="CF137" s="37" t="n">
        <f aca="false">CE137+CF134-CF136</f>
        <v>0</v>
      </c>
      <c r="CG137" s="37" t="n">
        <f aca="false">CF137+CG134-CG136</f>
        <v>0</v>
      </c>
      <c r="CH137" s="37" t="n">
        <f aca="false">CG137+CH134-CH136</f>
        <v>0</v>
      </c>
      <c r="CI137" s="37" t="n">
        <f aca="false">CH137+CI134-CI136</f>
        <v>0</v>
      </c>
      <c r="CJ137" s="37" t="n">
        <f aca="false">CI137+CJ134-CJ136</f>
        <v>0</v>
      </c>
      <c r="CK137" s="37" t="n">
        <f aca="false">CJ137+CK134-CK136</f>
        <v>0</v>
      </c>
      <c r="CL137" s="37" t="n">
        <f aca="false">CK137+CL134-CL136</f>
        <v>0</v>
      </c>
      <c r="CM137" s="37" t="n">
        <f aca="false">CL137+CM134-CM136</f>
        <v>0</v>
      </c>
      <c r="CN137" s="37" t="n">
        <f aca="false">CM137+CN134-CN136</f>
        <v>0</v>
      </c>
      <c r="CO137" s="37" t="n">
        <f aca="false">CN137+CO134-CO136</f>
        <v>0</v>
      </c>
      <c r="CP137" s="37" t="n">
        <f aca="false">CO137+CP134-CP136</f>
        <v>0</v>
      </c>
      <c r="CQ137" s="37" t="n">
        <f aca="false">CP137+CQ134-CQ136</f>
        <v>0</v>
      </c>
      <c r="CR137" s="37" t="n">
        <f aca="false">CQ137+CR134-CR136</f>
        <v>0</v>
      </c>
      <c r="CS137" s="37" t="n">
        <f aca="false">CR137+CS134-CS136</f>
        <v>0</v>
      </c>
      <c r="CT137" s="37" t="n">
        <f aca="false">CS137+CT134-CT136</f>
        <v>0</v>
      </c>
      <c r="CU137" s="37" t="n">
        <f aca="false">CT137+CU134-CU136</f>
        <v>0</v>
      </c>
      <c r="CV137" s="37" t="n">
        <f aca="false">CU137+CV134-CV136</f>
        <v>0</v>
      </c>
      <c r="CW137" s="37" t="n">
        <f aca="false">CV137+CW134-CW136</f>
        <v>0</v>
      </c>
      <c r="CX137" s="37" t="n">
        <f aca="false">CW137+CX134-CX136</f>
        <v>0</v>
      </c>
      <c r="CY137" s="37" t="n">
        <f aca="false">CX137+CY134-CY136</f>
        <v>0</v>
      </c>
      <c r="CZ137" s="37" t="n">
        <f aca="false">CY137+CZ134-CZ136</f>
        <v>0</v>
      </c>
      <c r="DA137" s="37" t="n">
        <f aca="false">CZ137+DA134-DA136</f>
        <v>0</v>
      </c>
      <c r="DB137" s="37" t="n">
        <f aca="false">DA137+DB134-DB136</f>
        <v>0</v>
      </c>
      <c r="DC137" s="37" t="n">
        <f aca="false">DB137+DC134-DC136</f>
        <v>0</v>
      </c>
      <c r="DD137" s="37" t="n">
        <f aca="false">DC137+DD134-DD136</f>
        <v>0</v>
      </c>
      <c r="DE137" s="37" t="n">
        <f aca="false">DD137+DE134-DE136</f>
        <v>0</v>
      </c>
      <c r="DF137" s="37" t="n">
        <f aca="false">DE137+DF134-DF136</f>
        <v>0</v>
      </c>
      <c r="DG137" s="37" t="n">
        <f aca="false">DF137+DG134-DG136</f>
        <v>0</v>
      </c>
      <c r="DH137" s="37" t="n">
        <f aca="false">DG137+DH134-DH136</f>
        <v>0</v>
      </c>
      <c r="DI137" s="37" t="n">
        <f aca="false">DH137+DI134-DI136</f>
        <v>0</v>
      </c>
      <c r="DJ137" s="37" t="n">
        <f aca="false">DI137+DJ134-DJ136</f>
        <v>0</v>
      </c>
      <c r="DK137" s="37" t="n">
        <f aca="false">DJ137+DK134-DK136</f>
        <v>0</v>
      </c>
      <c r="DL137" s="37" t="n">
        <f aca="false">DK137+DL134-DL136</f>
        <v>0</v>
      </c>
      <c r="DM137" s="37" t="n">
        <f aca="false">DL137+DM134-DM136</f>
        <v>0</v>
      </c>
      <c r="DN137" s="37" t="n">
        <f aca="false">DM137+DN134-DN136</f>
        <v>0</v>
      </c>
      <c r="DO137" s="37" t="n">
        <f aca="false">DN137+DO134-DO136</f>
        <v>0</v>
      </c>
      <c r="DP137" s="37" t="n">
        <f aca="false">DO137+DP134-DP136</f>
        <v>0</v>
      </c>
      <c r="DQ137" s="37" t="n">
        <f aca="false">DP137+DQ134-DQ136</f>
        <v>0</v>
      </c>
      <c r="DR137" s="37" t="n">
        <f aca="false">DQ137+DR134-DR136</f>
        <v>0</v>
      </c>
      <c r="DS137" s="37" t="n">
        <f aca="false">DR137+DS134-DS136</f>
        <v>0</v>
      </c>
      <c r="DT137" s="37" t="n">
        <f aca="false">DS137+DT134-DT136</f>
        <v>0</v>
      </c>
      <c r="DU137" s="37" t="n">
        <f aca="false">DT137+DU134-DU136</f>
        <v>0</v>
      </c>
      <c r="DV137" s="37" t="n">
        <f aca="false">DU137+DV134-DV136</f>
        <v>0</v>
      </c>
      <c r="DW137" s="37" t="n">
        <f aca="false">DV137+DW134-DW136</f>
        <v>0</v>
      </c>
      <c r="DX137" s="37" t="n">
        <f aca="false">DW137+DX134-DX136</f>
        <v>0</v>
      </c>
      <c r="DY137" s="37" t="n">
        <f aca="false">DX137+DY134-DY136</f>
        <v>0</v>
      </c>
      <c r="DZ137" s="37" t="n">
        <f aca="false">DY137+DZ134-DZ136</f>
        <v>0</v>
      </c>
      <c r="EA137" s="37" t="n">
        <f aca="false">DZ137+EA134-EA136</f>
        <v>0</v>
      </c>
      <c r="EB137" s="37" t="n">
        <f aca="false">EA137+EB134-EB136</f>
        <v>0</v>
      </c>
      <c r="EC137" s="37" t="n">
        <f aca="false">EB137+EC134-EC136</f>
        <v>0</v>
      </c>
      <c r="ED137" s="37" t="n">
        <f aca="false">EC137+ED134-ED136</f>
        <v>0</v>
      </c>
      <c r="EE137" s="37" t="n">
        <f aca="false">ED137+EE134-EE136</f>
        <v>0</v>
      </c>
      <c r="EF137" s="37" t="n">
        <f aca="false">EE137+EF134-EF136</f>
        <v>0</v>
      </c>
    </row>
    <row r="139" customFormat="false" ht="15" hidden="false" customHeight="false" outlineLevel="0" collapsed="false">
      <c r="A139" s="34" t="s">
        <v>672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</row>
    <row r="140" customFormat="false" ht="15" hidden="false" customHeight="false" outlineLevel="0" collapsed="false">
      <c r="A140" s="36" t="s">
        <v>673</v>
      </c>
      <c r="B140" s="278" t="s">
        <v>21</v>
      </c>
      <c r="C140" s="279" t="n">
        <f aca="false">SUM(E140:EF140)</f>
        <v>23809.3473306788</v>
      </c>
      <c r="E140" s="37" t="n">
        <f aca="false">SUMIF(②시니어_가정!$I$462:$I$466,E6,②시니어_가정!$E$462:$E$466)</f>
        <v>4369.01523517956</v>
      </c>
      <c r="F140" s="37" t="n">
        <f aca="false">SUMIF(②시니어_가정!$I$462:$I$466,F6,②시니어_가정!$E$462:$E$466)</f>
        <v>0</v>
      </c>
      <c r="G140" s="37" t="n">
        <f aca="false">SUMIF(②시니어_가정!$I$462:$I$466,G6,②시니어_가정!$E$462:$E$466)</f>
        <v>0</v>
      </c>
      <c r="H140" s="37" t="n">
        <f aca="false">SUMIF(②시니어_가정!$I$462:$I$466,H6,②시니어_가정!$E$462:$E$466)</f>
        <v>0</v>
      </c>
      <c r="I140" s="37" t="n">
        <f aca="false">SUMIF(②시니어_가정!$I$462:$I$466,I6,②시니어_가정!$E$462:$E$466)</f>
        <v>0</v>
      </c>
      <c r="J140" s="37" t="n">
        <f aca="false">SUMIF(②시니어_가정!$I$462:$I$466,J6,②시니어_가정!$E$462:$E$466)</f>
        <v>0</v>
      </c>
      <c r="K140" s="37" t="n">
        <f aca="false">SUMIF(②시니어_가정!$I$462:$I$466,K6,②시니어_가정!$E$462:$E$466)</f>
        <v>0</v>
      </c>
      <c r="L140" s="37" t="n">
        <f aca="false">SUMIF(②시니어_가정!$I$462:$I$466,L6,②시니어_가정!$E$462:$E$466)</f>
        <v>0</v>
      </c>
      <c r="M140" s="37" t="n">
        <f aca="false">SUMIF(②시니어_가정!$I$462:$I$466,M6,②시니어_가정!$E$462:$E$466)</f>
        <v>0</v>
      </c>
      <c r="N140" s="37" t="n">
        <f aca="false">SUMIF(②시니어_가정!$I$462:$I$466,N6,②시니어_가정!$E$462:$E$466)</f>
        <v>0</v>
      </c>
      <c r="O140" s="37" t="n">
        <f aca="false">SUMIF(②시니어_가정!$I$462:$I$466,O6,②시니어_가정!$E$462:$E$466)</f>
        <v>0</v>
      </c>
      <c r="P140" s="37" t="n">
        <f aca="false">SUMIF(②시니어_가정!$I$462:$I$466,P6,②시니어_가정!$E$462:$E$466)</f>
        <v>0</v>
      </c>
      <c r="Q140" s="37" t="n">
        <f aca="false">SUMIF(②시니어_가정!$I$462:$I$466,Q6,②시니어_가정!$E$462:$E$466)</f>
        <v>0</v>
      </c>
      <c r="R140" s="37" t="n">
        <f aca="false">SUMIF(②시니어_가정!$I$462:$I$466,R6,②시니어_가정!$E$462:$E$466)</f>
        <v>0</v>
      </c>
      <c r="S140" s="37" t="n">
        <f aca="false">SUMIF(②시니어_가정!$I$462:$I$466,S6,②시니어_가정!$E$462:$E$466)</f>
        <v>0</v>
      </c>
      <c r="T140" s="37" t="n">
        <f aca="false">SUMIF(②시니어_가정!$I$462:$I$466,T6,②시니어_가정!$E$462:$E$466)</f>
        <v>0</v>
      </c>
      <c r="U140" s="37" t="n">
        <f aca="false">SUMIF(②시니어_가정!$I$462:$I$466,U6,②시니어_가정!$E$462:$E$466)</f>
        <v>0</v>
      </c>
      <c r="V140" s="37" t="n">
        <f aca="false">SUMIF(②시니어_가정!$I$462:$I$466,V6,②시니어_가정!$E$462:$E$466)</f>
        <v>0</v>
      </c>
      <c r="W140" s="37" t="n">
        <f aca="false">SUMIF(②시니어_가정!$I$462:$I$466,W6,②시니어_가정!$E$462:$E$466)</f>
        <v>19440.3320954992</v>
      </c>
      <c r="X140" s="37" t="n">
        <f aca="false">SUMIF(②시니어_가정!$I$462:$I$466,X6,②시니어_가정!$E$462:$E$466)</f>
        <v>0</v>
      </c>
      <c r="Y140" s="37" t="n">
        <f aca="false">SUMIF(②시니어_가정!$I$462:$I$466,Y6,②시니어_가정!$E$462:$E$466)</f>
        <v>0</v>
      </c>
      <c r="Z140" s="37" t="n">
        <f aca="false">SUMIF(②시니어_가정!$I$462:$I$466,Z6,②시니어_가정!$E$462:$E$466)</f>
        <v>0</v>
      </c>
      <c r="AA140" s="37" t="n">
        <f aca="false">SUMIF(②시니어_가정!$I$462:$I$466,AA6,②시니어_가정!$E$462:$E$466)</f>
        <v>0</v>
      </c>
      <c r="AB140" s="37" t="n">
        <f aca="false">SUMIF(②시니어_가정!$I$462:$I$466,AB6,②시니어_가정!$E$462:$E$466)</f>
        <v>0</v>
      </c>
      <c r="AC140" s="37" t="n">
        <f aca="false">SUMIF(②시니어_가정!$I$462:$I$466,AC6,②시니어_가정!$E$462:$E$466)</f>
        <v>0</v>
      </c>
      <c r="AD140" s="37" t="n">
        <f aca="false">SUMIF(②시니어_가정!$I$462:$I$466,AD6,②시니어_가정!$E$462:$E$466)</f>
        <v>0</v>
      </c>
      <c r="AE140" s="37" t="n">
        <f aca="false">SUMIF(②시니어_가정!$I$462:$I$466,AE6,②시니어_가정!$E$462:$E$466)</f>
        <v>0</v>
      </c>
      <c r="AF140" s="37" t="n">
        <f aca="false">SUMIF(②시니어_가정!$I$462:$I$466,AF6,②시니어_가정!$E$462:$E$466)</f>
        <v>0</v>
      </c>
      <c r="AG140" s="37" t="n">
        <f aca="false">SUMIF(②시니어_가정!$I$462:$I$466,AG6,②시니어_가정!$E$462:$E$466)</f>
        <v>0</v>
      </c>
      <c r="AH140" s="37" t="n">
        <f aca="false">SUMIF(②시니어_가정!$I$462:$I$466,AH6,②시니어_가정!$E$462:$E$466)</f>
        <v>0</v>
      </c>
      <c r="AI140" s="37" t="n">
        <f aca="false">SUMIF(②시니어_가정!$I$462:$I$466,AI6,②시니어_가정!$E$462:$E$466)</f>
        <v>0</v>
      </c>
      <c r="AJ140" s="37" t="n">
        <f aca="false">SUMIF(②시니어_가정!$I$462:$I$466,AJ6,②시니어_가정!$E$462:$E$466)</f>
        <v>0</v>
      </c>
      <c r="AK140" s="37" t="n">
        <f aca="false">SUMIF(②시니어_가정!$I$462:$I$466,AK6,②시니어_가정!$E$462:$E$466)</f>
        <v>0</v>
      </c>
      <c r="AL140" s="37" t="n">
        <f aca="false">SUMIF(②시니어_가정!$I$462:$I$466,AL6,②시니어_가정!$E$462:$E$466)</f>
        <v>0</v>
      </c>
      <c r="AM140" s="37" t="n">
        <f aca="false">SUMIF(②시니어_가정!$I$462:$I$466,AM6,②시니어_가정!$E$462:$E$466)</f>
        <v>0</v>
      </c>
      <c r="AN140" s="37" t="n">
        <f aca="false">SUMIF(②시니어_가정!$I$462:$I$466,AN6,②시니어_가정!$E$462:$E$466)</f>
        <v>0</v>
      </c>
      <c r="AO140" s="37" t="n">
        <f aca="false">SUMIF(②시니어_가정!$I$462:$I$466,AO6,②시니어_가정!$E$462:$E$466)</f>
        <v>0</v>
      </c>
      <c r="AP140" s="37" t="n">
        <f aca="false">SUMIF(②시니어_가정!$I$462:$I$466,AP6,②시니어_가정!$E$462:$E$466)</f>
        <v>0</v>
      </c>
      <c r="AQ140" s="37" t="n">
        <f aca="false">SUMIF(②시니어_가정!$I$462:$I$466,AQ6,②시니어_가정!$E$462:$E$466)</f>
        <v>0</v>
      </c>
      <c r="AR140" s="37" t="n">
        <f aca="false">SUMIF(②시니어_가정!$I$462:$I$466,AR6,②시니어_가정!$E$462:$E$466)</f>
        <v>0</v>
      </c>
      <c r="AS140" s="37" t="n">
        <f aca="false">SUMIF(②시니어_가정!$I$462:$I$466,AS6,②시니어_가정!$E$462:$E$466)</f>
        <v>0</v>
      </c>
      <c r="AT140" s="37" t="n">
        <f aca="false">SUMIF(②시니어_가정!$I$462:$I$466,AT6,②시니어_가정!$E$462:$E$466)</f>
        <v>0</v>
      </c>
      <c r="AU140" s="37" t="n">
        <f aca="false">SUMIF(②시니어_가정!$I$462:$I$466,AU6,②시니어_가정!$E$462:$E$466)</f>
        <v>0</v>
      </c>
      <c r="AV140" s="37" t="n">
        <f aca="false">SUMIF(②시니어_가정!$I$462:$I$466,AV6,②시니어_가정!$E$462:$E$466)</f>
        <v>0</v>
      </c>
      <c r="AW140" s="37" t="n">
        <f aca="false">SUMIF(②시니어_가정!$I$462:$I$466,AW6,②시니어_가정!$E$462:$E$466)</f>
        <v>0</v>
      </c>
      <c r="AX140" s="37" t="n">
        <f aca="false">SUMIF(②시니어_가정!$I$462:$I$466,AX6,②시니어_가정!$E$462:$E$466)</f>
        <v>0</v>
      </c>
      <c r="AY140" s="37" t="n">
        <f aca="false">SUMIF(②시니어_가정!$I$462:$I$466,AY6,②시니어_가정!$E$462:$E$466)</f>
        <v>0</v>
      </c>
      <c r="AZ140" s="37" t="n">
        <f aca="false">SUMIF(②시니어_가정!$I$462:$I$466,AZ6,②시니어_가정!$E$462:$E$466)</f>
        <v>0</v>
      </c>
      <c r="BA140" s="37" t="n">
        <f aca="false">SUMIF(②시니어_가정!$I$462:$I$466,BA6,②시니어_가정!$E$462:$E$466)</f>
        <v>0</v>
      </c>
      <c r="BB140" s="37" t="n">
        <f aca="false">SUMIF(②시니어_가정!$I$462:$I$466,BB6,②시니어_가정!$E$462:$E$466)</f>
        <v>0</v>
      </c>
      <c r="BC140" s="37" t="n">
        <f aca="false">SUMIF(②시니어_가정!$I$462:$I$466,BC6,②시니어_가정!$E$462:$E$466)</f>
        <v>0</v>
      </c>
      <c r="BD140" s="37" t="n">
        <f aca="false">SUMIF(②시니어_가정!$I$462:$I$466,BD6,②시니어_가정!$E$462:$E$466)</f>
        <v>0</v>
      </c>
      <c r="BE140" s="37" t="n">
        <f aca="false">SUMIF(②시니어_가정!$I$462:$I$466,BE6,②시니어_가정!$E$462:$E$466)</f>
        <v>0</v>
      </c>
      <c r="BF140" s="37" t="n">
        <f aca="false">SUMIF(②시니어_가정!$I$462:$I$466,BF6,②시니어_가정!$E$462:$E$466)</f>
        <v>0</v>
      </c>
      <c r="BG140" s="37" t="n">
        <f aca="false">SUMIF(②시니어_가정!$I$462:$I$466,BG6,②시니어_가정!$E$462:$E$466)</f>
        <v>0</v>
      </c>
      <c r="BH140" s="37" t="n">
        <f aca="false">SUMIF(②시니어_가정!$I$462:$I$466,BH6,②시니어_가정!$E$462:$E$466)</f>
        <v>0</v>
      </c>
      <c r="BI140" s="37" t="n">
        <f aca="false">SUMIF(②시니어_가정!$I$462:$I$466,BI6,②시니어_가정!$E$462:$E$466)</f>
        <v>0</v>
      </c>
      <c r="BJ140" s="37" t="n">
        <f aca="false">SUMIF(②시니어_가정!$I$462:$I$466,BJ6,②시니어_가정!$E$462:$E$466)</f>
        <v>0</v>
      </c>
      <c r="BK140" s="37" t="n">
        <f aca="false">SUMIF(②시니어_가정!$I$462:$I$466,BK6,②시니어_가정!$E$462:$E$466)</f>
        <v>0</v>
      </c>
      <c r="BL140" s="37" t="n">
        <f aca="false">SUMIF(②시니어_가정!$I$462:$I$466,BL6,②시니어_가정!$E$462:$E$466)</f>
        <v>0</v>
      </c>
      <c r="BM140" s="37" t="n">
        <f aca="false">SUMIF(②시니어_가정!$I$462:$I$466,BM6,②시니어_가정!$E$462:$E$466)</f>
        <v>0</v>
      </c>
      <c r="BN140" s="37" t="n">
        <f aca="false">SUMIF(②시니어_가정!$I$462:$I$466,BN6,②시니어_가정!$E$462:$E$466)</f>
        <v>0</v>
      </c>
      <c r="BO140" s="37" t="n">
        <f aca="false">SUMIF(②시니어_가정!$I$462:$I$466,BO6,②시니어_가정!$E$462:$E$466)</f>
        <v>0</v>
      </c>
      <c r="BP140" s="37" t="n">
        <f aca="false">SUMIF(②시니어_가정!$I$462:$I$466,BP6,②시니어_가정!$E$462:$E$466)</f>
        <v>0</v>
      </c>
      <c r="BQ140" s="37" t="n">
        <f aca="false">SUMIF(②시니어_가정!$I$462:$I$466,BQ6,②시니어_가정!$E$462:$E$466)</f>
        <v>0</v>
      </c>
      <c r="BR140" s="37" t="n">
        <f aca="false">SUMIF(②시니어_가정!$I$462:$I$466,BR6,②시니어_가정!$E$462:$E$466)</f>
        <v>0</v>
      </c>
      <c r="BS140" s="37" t="n">
        <f aca="false">SUMIF(②시니어_가정!$I$462:$I$466,BS6,②시니어_가정!$E$462:$E$466)</f>
        <v>0</v>
      </c>
      <c r="BT140" s="37" t="n">
        <f aca="false">SUMIF(②시니어_가정!$I$462:$I$466,BT6,②시니어_가정!$E$462:$E$466)</f>
        <v>0</v>
      </c>
      <c r="BU140" s="37" t="n">
        <f aca="false">SUMIF(②시니어_가정!$I$462:$I$466,BU6,②시니어_가정!$E$462:$E$466)</f>
        <v>0</v>
      </c>
      <c r="BV140" s="37" t="n">
        <f aca="false">SUMIF(②시니어_가정!$I$462:$I$466,BV6,②시니어_가정!$E$462:$E$466)</f>
        <v>0</v>
      </c>
      <c r="BW140" s="37" t="n">
        <f aca="false">SUMIF(②시니어_가정!$I$462:$I$466,BW6,②시니어_가정!$E$462:$E$466)</f>
        <v>0</v>
      </c>
      <c r="BX140" s="37" t="n">
        <f aca="false">SUMIF(②시니어_가정!$I$462:$I$466,BX6,②시니어_가정!$E$462:$E$466)</f>
        <v>0</v>
      </c>
      <c r="BY140" s="37" t="n">
        <f aca="false">SUMIF(②시니어_가정!$I$462:$I$466,BY6,②시니어_가정!$E$462:$E$466)</f>
        <v>0</v>
      </c>
      <c r="BZ140" s="37" t="n">
        <f aca="false">SUMIF(②시니어_가정!$I$462:$I$466,BZ6,②시니어_가정!$E$462:$E$466)</f>
        <v>0</v>
      </c>
      <c r="CA140" s="37" t="n">
        <f aca="false">SUMIF(②시니어_가정!$I$462:$I$466,CA6,②시니어_가정!$E$462:$E$466)</f>
        <v>0</v>
      </c>
      <c r="CB140" s="37" t="n">
        <f aca="false">SUMIF(②시니어_가정!$I$462:$I$466,CB6,②시니어_가정!$E$462:$E$466)</f>
        <v>0</v>
      </c>
      <c r="CC140" s="37" t="n">
        <f aca="false">SUMIF(②시니어_가정!$I$462:$I$466,CC6,②시니어_가정!$E$462:$E$466)</f>
        <v>0</v>
      </c>
      <c r="CD140" s="37" t="n">
        <f aca="false">SUMIF(②시니어_가정!$I$462:$I$466,CD6,②시니어_가정!$E$462:$E$466)</f>
        <v>0</v>
      </c>
      <c r="CE140" s="37" t="n">
        <f aca="false">SUMIF(②시니어_가정!$I$462:$I$466,CE6,②시니어_가정!$E$462:$E$466)</f>
        <v>0</v>
      </c>
      <c r="CF140" s="37" t="n">
        <f aca="false">SUMIF(②시니어_가정!$I$462:$I$466,CF6,②시니어_가정!$E$462:$E$466)</f>
        <v>0</v>
      </c>
      <c r="CG140" s="37" t="n">
        <f aca="false">SUMIF(②시니어_가정!$I$462:$I$466,CG6,②시니어_가정!$E$462:$E$466)</f>
        <v>0</v>
      </c>
      <c r="CH140" s="37" t="n">
        <f aca="false">SUMIF(②시니어_가정!$I$462:$I$466,CH6,②시니어_가정!$E$462:$E$466)</f>
        <v>0</v>
      </c>
      <c r="CI140" s="37" t="n">
        <f aca="false">SUMIF(②시니어_가정!$I$462:$I$466,CI6,②시니어_가정!$E$462:$E$466)</f>
        <v>0</v>
      </c>
      <c r="CJ140" s="37" t="n">
        <f aca="false">SUMIF(②시니어_가정!$I$462:$I$466,CJ6,②시니어_가정!$E$462:$E$466)</f>
        <v>0</v>
      </c>
      <c r="CK140" s="37" t="n">
        <f aca="false">SUMIF(②시니어_가정!$I$462:$I$466,CK6,②시니어_가정!$E$462:$E$466)</f>
        <v>0</v>
      </c>
      <c r="CL140" s="37" t="n">
        <f aca="false">SUMIF(②시니어_가정!$I$462:$I$466,CL6,②시니어_가정!$E$462:$E$466)</f>
        <v>0</v>
      </c>
      <c r="CM140" s="37" t="n">
        <f aca="false">SUMIF(②시니어_가정!$I$462:$I$466,CM6,②시니어_가정!$E$462:$E$466)</f>
        <v>0</v>
      </c>
      <c r="CN140" s="37" t="n">
        <f aca="false">SUMIF(②시니어_가정!$I$462:$I$466,CN6,②시니어_가정!$E$462:$E$466)</f>
        <v>0</v>
      </c>
      <c r="CO140" s="37" t="n">
        <f aca="false">SUMIF(②시니어_가정!$I$462:$I$466,CO6,②시니어_가정!$E$462:$E$466)</f>
        <v>0</v>
      </c>
      <c r="CP140" s="37" t="n">
        <f aca="false">SUMIF(②시니어_가정!$I$462:$I$466,CP6,②시니어_가정!$E$462:$E$466)</f>
        <v>0</v>
      </c>
      <c r="CQ140" s="37" t="n">
        <f aca="false">SUMIF(②시니어_가정!$I$462:$I$466,CQ6,②시니어_가정!$E$462:$E$466)</f>
        <v>0</v>
      </c>
      <c r="CR140" s="37" t="n">
        <f aca="false">SUMIF(②시니어_가정!$I$462:$I$466,CR6,②시니어_가정!$E$462:$E$466)</f>
        <v>0</v>
      </c>
      <c r="CS140" s="37" t="n">
        <f aca="false">SUMIF(②시니어_가정!$I$462:$I$466,CS6,②시니어_가정!$E$462:$E$466)</f>
        <v>0</v>
      </c>
      <c r="CT140" s="37" t="n">
        <f aca="false">SUMIF(②시니어_가정!$I$462:$I$466,CT6,②시니어_가정!$E$462:$E$466)</f>
        <v>0</v>
      </c>
      <c r="CU140" s="37" t="n">
        <f aca="false">SUMIF(②시니어_가정!$I$462:$I$466,CU6,②시니어_가정!$E$462:$E$466)</f>
        <v>0</v>
      </c>
      <c r="CV140" s="37" t="n">
        <f aca="false">SUMIF(②시니어_가정!$I$462:$I$466,CV6,②시니어_가정!$E$462:$E$466)</f>
        <v>0</v>
      </c>
      <c r="CW140" s="37" t="n">
        <f aca="false">SUMIF(②시니어_가정!$I$462:$I$466,CW6,②시니어_가정!$E$462:$E$466)</f>
        <v>0</v>
      </c>
      <c r="CX140" s="37" t="n">
        <f aca="false">SUMIF(②시니어_가정!$I$462:$I$466,CX6,②시니어_가정!$E$462:$E$466)</f>
        <v>0</v>
      </c>
      <c r="CY140" s="37" t="n">
        <f aca="false">SUMIF(②시니어_가정!$I$462:$I$466,CY6,②시니어_가정!$E$462:$E$466)</f>
        <v>0</v>
      </c>
      <c r="CZ140" s="37" t="n">
        <f aca="false">SUMIF(②시니어_가정!$I$462:$I$466,CZ6,②시니어_가정!$E$462:$E$466)</f>
        <v>0</v>
      </c>
      <c r="DA140" s="37" t="n">
        <f aca="false">SUMIF(②시니어_가정!$I$462:$I$466,DA6,②시니어_가정!$E$462:$E$466)</f>
        <v>0</v>
      </c>
      <c r="DB140" s="37" t="n">
        <f aca="false">SUMIF(②시니어_가정!$I$462:$I$466,DB6,②시니어_가정!$E$462:$E$466)</f>
        <v>0</v>
      </c>
      <c r="DC140" s="37" t="n">
        <f aca="false">SUMIF(②시니어_가정!$I$462:$I$466,DC6,②시니어_가정!$E$462:$E$466)</f>
        <v>0</v>
      </c>
      <c r="DD140" s="37" t="n">
        <f aca="false">SUMIF(②시니어_가정!$I$462:$I$466,DD6,②시니어_가정!$E$462:$E$466)</f>
        <v>0</v>
      </c>
      <c r="DE140" s="37" t="n">
        <f aca="false">SUMIF(②시니어_가정!$I$462:$I$466,DE6,②시니어_가정!$E$462:$E$466)</f>
        <v>0</v>
      </c>
      <c r="DF140" s="37" t="n">
        <f aca="false">SUMIF(②시니어_가정!$I$462:$I$466,DF6,②시니어_가정!$E$462:$E$466)</f>
        <v>0</v>
      </c>
      <c r="DG140" s="37" t="n">
        <f aca="false">SUMIF(②시니어_가정!$I$462:$I$466,DG6,②시니어_가정!$E$462:$E$466)</f>
        <v>0</v>
      </c>
      <c r="DH140" s="37" t="n">
        <f aca="false">SUMIF(②시니어_가정!$I$462:$I$466,DH6,②시니어_가정!$E$462:$E$466)</f>
        <v>0</v>
      </c>
      <c r="DI140" s="37" t="n">
        <f aca="false">SUMIF(②시니어_가정!$I$462:$I$466,DI6,②시니어_가정!$E$462:$E$466)</f>
        <v>0</v>
      </c>
      <c r="DJ140" s="37" t="n">
        <f aca="false">SUMIF(②시니어_가정!$I$462:$I$466,DJ6,②시니어_가정!$E$462:$E$466)</f>
        <v>0</v>
      </c>
      <c r="DK140" s="37" t="n">
        <f aca="false">SUMIF(②시니어_가정!$I$462:$I$466,DK6,②시니어_가정!$E$462:$E$466)</f>
        <v>0</v>
      </c>
      <c r="DL140" s="37" t="n">
        <f aca="false">SUMIF(②시니어_가정!$I$462:$I$466,DL6,②시니어_가정!$E$462:$E$466)</f>
        <v>0</v>
      </c>
      <c r="DM140" s="37" t="n">
        <f aca="false">SUMIF(②시니어_가정!$I$462:$I$466,DM6,②시니어_가정!$E$462:$E$466)</f>
        <v>0</v>
      </c>
      <c r="DN140" s="37" t="n">
        <f aca="false">SUMIF(②시니어_가정!$I$462:$I$466,DN6,②시니어_가정!$E$462:$E$466)</f>
        <v>0</v>
      </c>
      <c r="DO140" s="37" t="n">
        <f aca="false">SUMIF(②시니어_가정!$I$462:$I$466,DO6,②시니어_가정!$E$462:$E$466)</f>
        <v>0</v>
      </c>
      <c r="DP140" s="37" t="n">
        <f aca="false">SUMIF(②시니어_가정!$I$462:$I$466,DP6,②시니어_가정!$E$462:$E$466)</f>
        <v>0</v>
      </c>
      <c r="DQ140" s="37" t="n">
        <f aca="false">SUMIF(②시니어_가정!$I$462:$I$466,DQ6,②시니어_가정!$E$462:$E$466)</f>
        <v>0</v>
      </c>
      <c r="DR140" s="37" t="n">
        <f aca="false">SUMIF(②시니어_가정!$I$462:$I$466,DR6,②시니어_가정!$E$462:$E$466)</f>
        <v>0</v>
      </c>
      <c r="DS140" s="37" t="n">
        <f aca="false">SUMIF(②시니어_가정!$I$462:$I$466,DS6,②시니어_가정!$E$462:$E$466)</f>
        <v>0</v>
      </c>
      <c r="DT140" s="37" t="n">
        <f aca="false">SUMIF(②시니어_가정!$I$462:$I$466,DT6,②시니어_가정!$E$462:$E$466)</f>
        <v>0</v>
      </c>
      <c r="DU140" s="37" t="n">
        <f aca="false">SUMIF(②시니어_가정!$I$462:$I$466,DU6,②시니어_가정!$E$462:$E$466)</f>
        <v>0</v>
      </c>
      <c r="DV140" s="37" t="n">
        <f aca="false">SUMIF(②시니어_가정!$I$462:$I$466,DV6,②시니어_가정!$E$462:$E$466)</f>
        <v>0</v>
      </c>
      <c r="DW140" s="37" t="n">
        <f aca="false">SUMIF(②시니어_가정!$I$462:$I$466,DW6,②시니어_가정!$E$462:$E$466)</f>
        <v>0</v>
      </c>
      <c r="DX140" s="37" t="n">
        <f aca="false">SUMIF(②시니어_가정!$I$462:$I$466,DX6,②시니어_가정!$E$462:$E$466)</f>
        <v>0</v>
      </c>
      <c r="DY140" s="37" t="n">
        <f aca="false">SUMIF(②시니어_가정!$I$462:$I$466,DY6,②시니어_가정!$E$462:$E$466)</f>
        <v>0</v>
      </c>
      <c r="DZ140" s="37" t="n">
        <f aca="false">SUMIF(②시니어_가정!$I$462:$I$466,DZ6,②시니어_가정!$E$462:$E$466)</f>
        <v>0</v>
      </c>
      <c r="EA140" s="37" t="n">
        <f aca="false">SUMIF(②시니어_가정!$I$462:$I$466,EA6,②시니어_가정!$E$462:$E$466)</f>
        <v>0</v>
      </c>
      <c r="EB140" s="37" t="n">
        <f aca="false">SUMIF(②시니어_가정!$I$462:$I$466,EB6,②시니어_가정!$E$462:$E$466)</f>
        <v>0</v>
      </c>
      <c r="EC140" s="37" t="n">
        <f aca="false">SUMIF(②시니어_가정!$I$462:$I$466,EC6,②시니어_가정!$E$462:$E$466)</f>
        <v>0</v>
      </c>
      <c r="ED140" s="37" t="n">
        <f aca="false">SUMIF(②시니어_가정!$I$462:$I$466,ED6,②시니어_가정!$E$462:$E$466)</f>
        <v>0</v>
      </c>
      <c r="EE140" s="37" t="n">
        <f aca="false">SUMIF(②시니어_가정!$I$462:$I$466,EE6,②시니어_가정!$E$462:$E$466)</f>
        <v>0</v>
      </c>
      <c r="EF140" s="37" t="n">
        <f aca="false">SUMIF(②시니어_가정!$I$462:$I$466,EF6,②시니어_가정!$E$462:$E$466)</f>
        <v>0</v>
      </c>
    </row>
    <row r="141" customFormat="false" ht="15" hidden="false" customHeight="false" outlineLevel="0" collapsed="false">
      <c r="A141" s="36" t="s">
        <v>674</v>
      </c>
      <c r="B141" s="278" t="s">
        <v>21</v>
      </c>
      <c r="C141" s="279" t="n">
        <f aca="false">SUM(E141:EF141)</f>
        <v>55555.1437715838</v>
      </c>
      <c r="E141" s="37" t="n">
        <f aca="false">SUMIF(②시니어_가정!$I$468:$I$472,E6,②시니어_가정!$E$468:$E$472)</f>
        <v>0</v>
      </c>
      <c r="F141" s="37" t="n">
        <f aca="false">SUMIF(②시니어_가정!$I$468:$I$472,F6,②시니어_가정!$E$468:$E$472)</f>
        <v>0</v>
      </c>
      <c r="G141" s="37" t="n">
        <f aca="false">SUMIF(②시니어_가정!$I$468:$I$472,G6,②시니어_가정!$E$468:$E$472)</f>
        <v>0</v>
      </c>
      <c r="H141" s="37" t="n">
        <f aca="false">SUMIF(②시니어_가정!$I$468:$I$472,H6,②시니어_가정!$E$468:$E$472)</f>
        <v>0</v>
      </c>
      <c r="I141" s="37" t="n">
        <f aca="false">SUMIF(②시니어_가정!$I$468:$I$472,I6,②시니어_가정!$E$468:$E$472)</f>
        <v>0</v>
      </c>
      <c r="J141" s="37" t="n">
        <f aca="false">SUMIF(②시니어_가정!$I$468:$I$472,J6,②시니어_가정!$E$468:$E$472)</f>
        <v>0</v>
      </c>
      <c r="K141" s="37" t="n">
        <f aca="false">SUMIF(②시니어_가정!$I$468:$I$472,K6,②시니어_가정!$E$468:$E$472)</f>
        <v>0</v>
      </c>
      <c r="L141" s="37" t="n">
        <f aca="false">SUMIF(②시니어_가정!$I$468:$I$472,L6,②시니어_가정!$E$468:$E$472)</f>
        <v>0</v>
      </c>
      <c r="M141" s="37" t="n">
        <f aca="false">SUMIF(②시니어_가정!$I$468:$I$472,M6,②시니어_가정!$E$468:$E$472)</f>
        <v>0</v>
      </c>
      <c r="N141" s="37" t="n">
        <f aca="false">SUMIF(②시니어_가정!$I$468:$I$472,N6,②시니어_가정!$E$468:$E$472)</f>
        <v>0</v>
      </c>
      <c r="O141" s="37" t="n">
        <f aca="false">SUMIF(②시니어_가정!$I$468:$I$472,O6,②시니어_가정!$E$468:$E$472)</f>
        <v>0</v>
      </c>
      <c r="P141" s="37" t="n">
        <f aca="false">SUMIF(②시니어_가정!$I$468:$I$472,P6,②시니어_가정!$E$468:$E$472)</f>
        <v>0</v>
      </c>
      <c r="Q141" s="37" t="n">
        <f aca="false">SUMIF(②시니어_가정!$I$468:$I$472,Q6,②시니어_가정!$E$468:$E$472)</f>
        <v>0</v>
      </c>
      <c r="R141" s="37" t="n">
        <f aca="false">SUMIF(②시니어_가정!$I$468:$I$472,R6,②시니어_가정!$E$468:$E$472)</f>
        <v>0</v>
      </c>
      <c r="S141" s="37" t="n">
        <f aca="false">SUMIF(②시니어_가정!$I$468:$I$472,S6,②시니어_가정!$E$468:$E$472)</f>
        <v>0</v>
      </c>
      <c r="T141" s="37" t="n">
        <f aca="false">SUMIF(②시니어_가정!$I$468:$I$472,T6,②시니어_가정!$E$468:$E$472)</f>
        <v>0</v>
      </c>
      <c r="U141" s="37" t="n">
        <f aca="false">SUMIF(②시니어_가정!$I$468:$I$472,U6,②시니어_가정!$E$468:$E$472)</f>
        <v>0</v>
      </c>
      <c r="V141" s="37" t="n">
        <f aca="false">SUMIF(②시니어_가정!$I$468:$I$472,V6,②시니어_가정!$E$468:$E$472)</f>
        <v>0</v>
      </c>
      <c r="W141" s="37" t="n">
        <f aca="false">SUMIF(②시니어_가정!$I$468:$I$472,W6,②시니어_가정!$E$468:$E$472)</f>
        <v>55555.1437715838</v>
      </c>
      <c r="X141" s="37" t="n">
        <f aca="false">SUMIF(②시니어_가정!$I$468:$I$472,X6,②시니어_가정!$E$468:$E$472)</f>
        <v>0</v>
      </c>
      <c r="Y141" s="37" t="n">
        <f aca="false">SUMIF(②시니어_가정!$I$468:$I$472,Y6,②시니어_가정!$E$468:$E$472)</f>
        <v>0</v>
      </c>
      <c r="Z141" s="37" t="n">
        <f aca="false">SUMIF(②시니어_가정!$I$468:$I$472,Z6,②시니어_가정!$E$468:$E$472)</f>
        <v>0</v>
      </c>
      <c r="AA141" s="37" t="n">
        <f aca="false">SUMIF(②시니어_가정!$I$468:$I$472,AA6,②시니어_가정!$E$468:$E$472)</f>
        <v>0</v>
      </c>
      <c r="AB141" s="37" t="n">
        <f aca="false">SUMIF(②시니어_가정!$I$468:$I$472,AB6,②시니어_가정!$E$468:$E$472)</f>
        <v>0</v>
      </c>
      <c r="AC141" s="37" t="n">
        <f aca="false">SUMIF(②시니어_가정!$I$468:$I$472,AC6,②시니어_가정!$E$468:$E$472)</f>
        <v>0</v>
      </c>
      <c r="AD141" s="37" t="n">
        <f aca="false">SUMIF(②시니어_가정!$I$468:$I$472,AD6,②시니어_가정!$E$468:$E$472)</f>
        <v>0</v>
      </c>
      <c r="AE141" s="37" t="n">
        <f aca="false">SUMIF(②시니어_가정!$I$468:$I$472,AE6,②시니어_가정!$E$468:$E$472)</f>
        <v>0</v>
      </c>
      <c r="AF141" s="37" t="n">
        <f aca="false">SUMIF(②시니어_가정!$I$468:$I$472,AF6,②시니어_가정!$E$468:$E$472)</f>
        <v>0</v>
      </c>
      <c r="AG141" s="37" t="n">
        <f aca="false">SUMIF(②시니어_가정!$I$468:$I$472,AG6,②시니어_가정!$E$468:$E$472)</f>
        <v>0</v>
      </c>
      <c r="AH141" s="37" t="n">
        <f aca="false">SUMIF(②시니어_가정!$I$468:$I$472,AH6,②시니어_가정!$E$468:$E$472)</f>
        <v>0</v>
      </c>
      <c r="AI141" s="37" t="n">
        <f aca="false">SUMIF(②시니어_가정!$I$468:$I$472,AI6,②시니어_가정!$E$468:$E$472)</f>
        <v>0</v>
      </c>
      <c r="AJ141" s="37" t="n">
        <f aca="false">SUMIF(②시니어_가정!$I$468:$I$472,AJ6,②시니어_가정!$E$468:$E$472)</f>
        <v>0</v>
      </c>
      <c r="AK141" s="37" t="n">
        <f aca="false">SUMIF(②시니어_가정!$I$468:$I$472,AK6,②시니어_가정!$E$468:$E$472)</f>
        <v>0</v>
      </c>
      <c r="AL141" s="37" t="n">
        <f aca="false">SUMIF(②시니어_가정!$I$468:$I$472,AL6,②시니어_가정!$E$468:$E$472)</f>
        <v>0</v>
      </c>
      <c r="AM141" s="37" t="n">
        <f aca="false">SUMIF(②시니어_가정!$I$468:$I$472,AM6,②시니어_가정!$E$468:$E$472)</f>
        <v>0</v>
      </c>
      <c r="AN141" s="37" t="n">
        <f aca="false">SUMIF(②시니어_가정!$I$468:$I$472,AN6,②시니어_가정!$E$468:$E$472)</f>
        <v>0</v>
      </c>
      <c r="AO141" s="37" t="n">
        <f aca="false">SUMIF(②시니어_가정!$I$468:$I$472,AO6,②시니어_가정!$E$468:$E$472)</f>
        <v>0</v>
      </c>
      <c r="AP141" s="37" t="n">
        <f aca="false">SUMIF(②시니어_가정!$I$468:$I$472,AP6,②시니어_가정!$E$468:$E$472)</f>
        <v>0</v>
      </c>
      <c r="AQ141" s="37" t="n">
        <f aca="false">SUMIF(②시니어_가정!$I$468:$I$472,AQ6,②시니어_가정!$E$468:$E$472)</f>
        <v>0</v>
      </c>
      <c r="AR141" s="37" t="n">
        <f aca="false">SUMIF(②시니어_가정!$I$468:$I$472,AR6,②시니어_가정!$E$468:$E$472)</f>
        <v>0</v>
      </c>
      <c r="AS141" s="37" t="n">
        <f aca="false">SUMIF(②시니어_가정!$I$468:$I$472,AS6,②시니어_가정!$E$468:$E$472)</f>
        <v>0</v>
      </c>
      <c r="AT141" s="37" t="n">
        <f aca="false">SUMIF(②시니어_가정!$I$468:$I$472,AT6,②시니어_가정!$E$468:$E$472)</f>
        <v>0</v>
      </c>
      <c r="AU141" s="37" t="n">
        <f aca="false">SUMIF(②시니어_가정!$I$468:$I$472,AU6,②시니어_가정!$E$468:$E$472)</f>
        <v>0</v>
      </c>
      <c r="AV141" s="37" t="n">
        <f aca="false">SUMIF(②시니어_가정!$I$468:$I$472,AV6,②시니어_가정!$E$468:$E$472)</f>
        <v>0</v>
      </c>
      <c r="AW141" s="37" t="n">
        <f aca="false">SUMIF(②시니어_가정!$I$468:$I$472,AW6,②시니어_가정!$E$468:$E$472)</f>
        <v>0</v>
      </c>
      <c r="AX141" s="37" t="n">
        <f aca="false">SUMIF(②시니어_가정!$I$468:$I$472,AX6,②시니어_가정!$E$468:$E$472)</f>
        <v>0</v>
      </c>
      <c r="AY141" s="37" t="n">
        <f aca="false">SUMIF(②시니어_가정!$I$468:$I$472,AY6,②시니어_가정!$E$468:$E$472)</f>
        <v>0</v>
      </c>
      <c r="AZ141" s="37" t="n">
        <f aca="false">SUMIF(②시니어_가정!$I$468:$I$472,AZ6,②시니어_가정!$E$468:$E$472)</f>
        <v>0</v>
      </c>
      <c r="BA141" s="37" t="n">
        <f aca="false">SUMIF(②시니어_가정!$I$468:$I$472,BA6,②시니어_가정!$E$468:$E$472)</f>
        <v>0</v>
      </c>
      <c r="BB141" s="37" t="n">
        <f aca="false">SUMIF(②시니어_가정!$I$468:$I$472,BB6,②시니어_가정!$E$468:$E$472)</f>
        <v>0</v>
      </c>
      <c r="BC141" s="37" t="n">
        <f aca="false">SUMIF(②시니어_가정!$I$468:$I$472,BC6,②시니어_가정!$E$468:$E$472)</f>
        <v>0</v>
      </c>
      <c r="BD141" s="37" t="n">
        <f aca="false">SUMIF(②시니어_가정!$I$468:$I$472,BD6,②시니어_가정!$E$468:$E$472)</f>
        <v>0</v>
      </c>
      <c r="BE141" s="37" t="n">
        <f aca="false">SUMIF(②시니어_가정!$I$468:$I$472,BE6,②시니어_가정!$E$468:$E$472)</f>
        <v>0</v>
      </c>
      <c r="BF141" s="37" t="n">
        <f aca="false">SUMIF(②시니어_가정!$I$468:$I$472,BF6,②시니어_가정!$E$468:$E$472)</f>
        <v>0</v>
      </c>
      <c r="BG141" s="37" t="n">
        <f aca="false">SUMIF(②시니어_가정!$I$468:$I$472,BG6,②시니어_가정!$E$468:$E$472)</f>
        <v>0</v>
      </c>
      <c r="BH141" s="37" t="n">
        <f aca="false">SUMIF(②시니어_가정!$I$468:$I$472,BH6,②시니어_가정!$E$468:$E$472)</f>
        <v>0</v>
      </c>
      <c r="BI141" s="37" t="n">
        <f aca="false">SUMIF(②시니어_가정!$I$468:$I$472,BI6,②시니어_가정!$E$468:$E$472)</f>
        <v>0</v>
      </c>
      <c r="BJ141" s="37" t="n">
        <f aca="false">SUMIF(②시니어_가정!$I$468:$I$472,BJ6,②시니어_가정!$E$468:$E$472)</f>
        <v>0</v>
      </c>
      <c r="BK141" s="37" t="n">
        <f aca="false">SUMIF(②시니어_가정!$I$468:$I$472,BK6,②시니어_가정!$E$468:$E$472)</f>
        <v>0</v>
      </c>
      <c r="BL141" s="37" t="n">
        <f aca="false">SUMIF(②시니어_가정!$I$468:$I$472,BL6,②시니어_가정!$E$468:$E$472)</f>
        <v>0</v>
      </c>
      <c r="BM141" s="37" t="n">
        <f aca="false">SUMIF(②시니어_가정!$I$468:$I$472,BM6,②시니어_가정!$E$468:$E$472)</f>
        <v>0</v>
      </c>
      <c r="BN141" s="37" t="n">
        <f aca="false">SUMIF(②시니어_가정!$I$468:$I$472,BN6,②시니어_가정!$E$468:$E$472)</f>
        <v>0</v>
      </c>
      <c r="BO141" s="37" t="n">
        <f aca="false">SUMIF(②시니어_가정!$I$468:$I$472,BO6,②시니어_가정!$E$468:$E$472)</f>
        <v>0</v>
      </c>
      <c r="BP141" s="37" t="n">
        <f aca="false">SUMIF(②시니어_가정!$I$468:$I$472,BP6,②시니어_가정!$E$468:$E$472)</f>
        <v>0</v>
      </c>
      <c r="BQ141" s="37" t="n">
        <f aca="false">SUMIF(②시니어_가정!$I$468:$I$472,BQ6,②시니어_가정!$E$468:$E$472)</f>
        <v>0</v>
      </c>
      <c r="BR141" s="37" t="n">
        <f aca="false">SUMIF(②시니어_가정!$I$468:$I$472,BR6,②시니어_가정!$E$468:$E$472)</f>
        <v>0</v>
      </c>
      <c r="BS141" s="37" t="n">
        <f aca="false">SUMIF(②시니어_가정!$I$468:$I$472,BS6,②시니어_가정!$E$468:$E$472)</f>
        <v>0</v>
      </c>
      <c r="BT141" s="37" t="n">
        <f aca="false">SUMIF(②시니어_가정!$I$468:$I$472,BT6,②시니어_가정!$E$468:$E$472)</f>
        <v>0</v>
      </c>
      <c r="BU141" s="37" t="n">
        <f aca="false">SUMIF(②시니어_가정!$I$468:$I$472,BU6,②시니어_가정!$E$468:$E$472)</f>
        <v>0</v>
      </c>
      <c r="BV141" s="37" t="n">
        <f aca="false">SUMIF(②시니어_가정!$I$468:$I$472,BV6,②시니어_가정!$E$468:$E$472)</f>
        <v>0</v>
      </c>
      <c r="BW141" s="37" t="n">
        <f aca="false">SUMIF(②시니어_가정!$I$468:$I$472,BW6,②시니어_가정!$E$468:$E$472)</f>
        <v>0</v>
      </c>
      <c r="BX141" s="37" t="n">
        <f aca="false">SUMIF(②시니어_가정!$I$468:$I$472,BX6,②시니어_가정!$E$468:$E$472)</f>
        <v>0</v>
      </c>
      <c r="BY141" s="37" t="n">
        <f aca="false">SUMIF(②시니어_가정!$I$468:$I$472,BY6,②시니어_가정!$E$468:$E$472)</f>
        <v>0</v>
      </c>
      <c r="BZ141" s="37" t="n">
        <f aca="false">SUMIF(②시니어_가정!$I$468:$I$472,BZ6,②시니어_가정!$E$468:$E$472)</f>
        <v>0</v>
      </c>
      <c r="CA141" s="37" t="n">
        <f aca="false">SUMIF(②시니어_가정!$I$468:$I$472,CA6,②시니어_가정!$E$468:$E$472)</f>
        <v>0</v>
      </c>
      <c r="CB141" s="37" t="n">
        <f aca="false">SUMIF(②시니어_가정!$I$468:$I$472,CB6,②시니어_가정!$E$468:$E$472)</f>
        <v>0</v>
      </c>
      <c r="CC141" s="37" t="n">
        <f aca="false">SUMIF(②시니어_가정!$I$468:$I$472,CC6,②시니어_가정!$E$468:$E$472)</f>
        <v>0</v>
      </c>
      <c r="CD141" s="37" t="n">
        <f aca="false">SUMIF(②시니어_가정!$I$468:$I$472,CD6,②시니어_가정!$E$468:$E$472)</f>
        <v>0</v>
      </c>
      <c r="CE141" s="37" t="n">
        <f aca="false">SUMIF(②시니어_가정!$I$468:$I$472,CE6,②시니어_가정!$E$468:$E$472)</f>
        <v>0</v>
      </c>
      <c r="CF141" s="37" t="n">
        <f aca="false">SUMIF(②시니어_가정!$I$468:$I$472,CF6,②시니어_가정!$E$468:$E$472)</f>
        <v>0</v>
      </c>
      <c r="CG141" s="37" t="n">
        <f aca="false">SUMIF(②시니어_가정!$I$468:$I$472,CG6,②시니어_가정!$E$468:$E$472)</f>
        <v>0</v>
      </c>
      <c r="CH141" s="37" t="n">
        <f aca="false">SUMIF(②시니어_가정!$I$468:$I$472,CH6,②시니어_가정!$E$468:$E$472)</f>
        <v>0</v>
      </c>
      <c r="CI141" s="37" t="n">
        <f aca="false">SUMIF(②시니어_가정!$I$468:$I$472,CI6,②시니어_가정!$E$468:$E$472)</f>
        <v>0</v>
      </c>
      <c r="CJ141" s="37" t="n">
        <f aca="false">SUMIF(②시니어_가정!$I$468:$I$472,CJ6,②시니어_가정!$E$468:$E$472)</f>
        <v>0</v>
      </c>
      <c r="CK141" s="37" t="n">
        <f aca="false">SUMIF(②시니어_가정!$I$468:$I$472,CK6,②시니어_가정!$E$468:$E$472)</f>
        <v>0</v>
      </c>
      <c r="CL141" s="37" t="n">
        <f aca="false">SUMIF(②시니어_가정!$I$468:$I$472,CL6,②시니어_가정!$E$468:$E$472)</f>
        <v>0</v>
      </c>
      <c r="CM141" s="37" t="n">
        <f aca="false">SUMIF(②시니어_가정!$I$468:$I$472,CM6,②시니어_가정!$E$468:$E$472)</f>
        <v>0</v>
      </c>
      <c r="CN141" s="37" t="n">
        <f aca="false">SUMIF(②시니어_가정!$I$468:$I$472,CN6,②시니어_가정!$E$468:$E$472)</f>
        <v>0</v>
      </c>
      <c r="CO141" s="37" t="n">
        <f aca="false">SUMIF(②시니어_가정!$I$468:$I$472,CO6,②시니어_가정!$E$468:$E$472)</f>
        <v>0</v>
      </c>
      <c r="CP141" s="37" t="n">
        <f aca="false">SUMIF(②시니어_가정!$I$468:$I$472,CP6,②시니어_가정!$E$468:$E$472)</f>
        <v>0</v>
      </c>
      <c r="CQ141" s="37" t="n">
        <f aca="false">SUMIF(②시니어_가정!$I$468:$I$472,CQ6,②시니어_가정!$E$468:$E$472)</f>
        <v>0</v>
      </c>
      <c r="CR141" s="37" t="n">
        <f aca="false">SUMIF(②시니어_가정!$I$468:$I$472,CR6,②시니어_가정!$E$468:$E$472)</f>
        <v>0</v>
      </c>
      <c r="CS141" s="37" t="n">
        <f aca="false">SUMIF(②시니어_가정!$I$468:$I$472,CS6,②시니어_가정!$E$468:$E$472)</f>
        <v>0</v>
      </c>
      <c r="CT141" s="37" t="n">
        <f aca="false">SUMIF(②시니어_가정!$I$468:$I$472,CT6,②시니어_가정!$E$468:$E$472)</f>
        <v>0</v>
      </c>
      <c r="CU141" s="37" t="n">
        <f aca="false">SUMIF(②시니어_가정!$I$468:$I$472,CU6,②시니어_가정!$E$468:$E$472)</f>
        <v>0</v>
      </c>
      <c r="CV141" s="37" t="n">
        <f aca="false">SUMIF(②시니어_가정!$I$468:$I$472,CV6,②시니어_가정!$E$468:$E$472)</f>
        <v>0</v>
      </c>
      <c r="CW141" s="37" t="n">
        <f aca="false">SUMIF(②시니어_가정!$I$468:$I$472,CW6,②시니어_가정!$E$468:$E$472)</f>
        <v>0</v>
      </c>
      <c r="CX141" s="37" t="n">
        <f aca="false">SUMIF(②시니어_가정!$I$468:$I$472,CX6,②시니어_가정!$E$468:$E$472)</f>
        <v>0</v>
      </c>
      <c r="CY141" s="37" t="n">
        <f aca="false">SUMIF(②시니어_가정!$I$468:$I$472,CY6,②시니어_가정!$E$468:$E$472)</f>
        <v>0</v>
      </c>
      <c r="CZ141" s="37" t="n">
        <f aca="false">SUMIF(②시니어_가정!$I$468:$I$472,CZ6,②시니어_가정!$E$468:$E$472)</f>
        <v>0</v>
      </c>
      <c r="DA141" s="37" t="n">
        <f aca="false">SUMIF(②시니어_가정!$I$468:$I$472,DA6,②시니어_가정!$E$468:$E$472)</f>
        <v>0</v>
      </c>
      <c r="DB141" s="37" t="n">
        <f aca="false">SUMIF(②시니어_가정!$I$468:$I$472,DB6,②시니어_가정!$E$468:$E$472)</f>
        <v>0</v>
      </c>
      <c r="DC141" s="37" t="n">
        <f aca="false">SUMIF(②시니어_가정!$I$468:$I$472,DC6,②시니어_가정!$E$468:$E$472)</f>
        <v>0</v>
      </c>
      <c r="DD141" s="37" t="n">
        <f aca="false">SUMIF(②시니어_가정!$I$468:$I$472,DD6,②시니어_가정!$E$468:$E$472)</f>
        <v>0</v>
      </c>
      <c r="DE141" s="37" t="n">
        <f aca="false">SUMIF(②시니어_가정!$I$468:$I$472,DE6,②시니어_가정!$E$468:$E$472)</f>
        <v>0</v>
      </c>
      <c r="DF141" s="37" t="n">
        <f aca="false">SUMIF(②시니어_가정!$I$468:$I$472,DF6,②시니어_가정!$E$468:$E$472)</f>
        <v>0</v>
      </c>
      <c r="DG141" s="37" t="n">
        <f aca="false">SUMIF(②시니어_가정!$I$468:$I$472,DG6,②시니어_가정!$E$468:$E$472)</f>
        <v>0</v>
      </c>
      <c r="DH141" s="37" t="n">
        <f aca="false">SUMIF(②시니어_가정!$I$468:$I$472,DH6,②시니어_가정!$E$468:$E$472)</f>
        <v>0</v>
      </c>
      <c r="DI141" s="37" t="n">
        <f aca="false">SUMIF(②시니어_가정!$I$468:$I$472,DI6,②시니어_가정!$E$468:$E$472)</f>
        <v>0</v>
      </c>
      <c r="DJ141" s="37" t="n">
        <f aca="false">SUMIF(②시니어_가정!$I$468:$I$472,DJ6,②시니어_가정!$E$468:$E$472)</f>
        <v>0</v>
      </c>
      <c r="DK141" s="37" t="n">
        <f aca="false">SUMIF(②시니어_가정!$I$468:$I$472,DK6,②시니어_가정!$E$468:$E$472)</f>
        <v>0</v>
      </c>
      <c r="DL141" s="37" t="n">
        <f aca="false">SUMIF(②시니어_가정!$I$468:$I$472,DL6,②시니어_가정!$E$468:$E$472)</f>
        <v>0</v>
      </c>
      <c r="DM141" s="37" t="n">
        <f aca="false">SUMIF(②시니어_가정!$I$468:$I$472,DM6,②시니어_가정!$E$468:$E$472)</f>
        <v>0</v>
      </c>
      <c r="DN141" s="37" t="n">
        <f aca="false">SUMIF(②시니어_가정!$I$468:$I$472,DN6,②시니어_가정!$E$468:$E$472)</f>
        <v>0</v>
      </c>
      <c r="DO141" s="37" t="n">
        <f aca="false">SUMIF(②시니어_가정!$I$468:$I$472,DO6,②시니어_가정!$E$468:$E$472)</f>
        <v>0</v>
      </c>
      <c r="DP141" s="37" t="n">
        <f aca="false">SUMIF(②시니어_가정!$I$468:$I$472,DP6,②시니어_가정!$E$468:$E$472)</f>
        <v>0</v>
      </c>
      <c r="DQ141" s="37" t="n">
        <f aca="false">SUMIF(②시니어_가정!$I$468:$I$472,DQ6,②시니어_가정!$E$468:$E$472)</f>
        <v>0</v>
      </c>
      <c r="DR141" s="37" t="n">
        <f aca="false">SUMIF(②시니어_가정!$I$468:$I$472,DR6,②시니어_가정!$E$468:$E$472)</f>
        <v>0</v>
      </c>
      <c r="DS141" s="37" t="n">
        <f aca="false">SUMIF(②시니어_가정!$I$468:$I$472,DS6,②시니어_가정!$E$468:$E$472)</f>
        <v>0</v>
      </c>
      <c r="DT141" s="37" t="n">
        <f aca="false">SUMIF(②시니어_가정!$I$468:$I$472,DT6,②시니어_가정!$E$468:$E$472)</f>
        <v>0</v>
      </c>
      <c r="DU141" s="37" t="n">
        <f aca="false">SUMIF(②시니어_가정!$I$468:$I$472,DU6,②시니어_가정!$E$468:$E$472)</f>
        <v>0</v>
      </c>
      <c r="DV141" s="37" t="n">
        <f aca="false">SUMIF(②시니어_가정!$I$468:$I$472,DV6,②시니어_가정!$E$468:$E$472)</f>
        <v>0</v>
      </c>
      <c r="DW141" s="37" t="n">
        <f aca="false">SUMIF(②시니어_가정!$I$468:$I$472,DW6,②시니어_가정!$E$468:$E$472)</f>
        <v>0</v>
      </c>
      <c r="DX141" s="37" t="n">
        <f aca="false">SUMIF(②시니어_가정!$I$468:$I$472,DX6,②시니어_가정!$E$468:$E$472)</f>
        <v>0</v>
      </c>
      <c r="DY141" s="37" t="n">
        <f aca="false">SUMIF(②시니어_가정!$I$468:$I$472,DY6,②시니어_가정!$E$468:$E$472)</f>
        <v>0</v>
      </c>
      <c r="DZ141" s="37" t="n">
        <f aca="false">SUMIF(②시니어_가정!$I$468:$I$472,DZ6,②시니어_가정!$E$468:$E$472)</f>
        <v>0</v>
      </c>
      <c r="EA141" s="37" t="n">
        <f aca="false">SUMIF(②시니어_가정!$I$468:$I$472,EA6,②시니어_가정!$E$468:$E$472)</f>
        <v>0</v>
      </c>
      <c r="EB141" s="37" t="n">
        <f aca="false">SUMIF(②시니어_가정!$I$468:$I$472,EB6,②시니어_가정!$E$468:$E$472)</f>
        <v>0</v>
      </c>
      <c r="EC141" s="37" t="n">
        <f aca="false">SUMIF(②시니어_가정!$I$468:$I$472,EC6,②시니어_가정!$E$468:$E$472)</f>
        <v>0</v>
      </c>
      <c r="ED141" s="37" t="n">
        <f aca="false">SUMIF(②시니어_가정!$I$468:$I$472,ED6,②시니어_가정!$E$468:$E$472)</f>
        <v>0</v>
      </c>
      <c r="EE141" s="37" t="n">
        <f aca="false">SUMIF(②시니어_가정!$I$468:$I$472,EE6,②시니어_가정!$E$468:$E$472)</f>
        <v>0</v>
      </c>
      <c r="EF141" s="37" t="n">
        <f aca="false">SUMIF(②시니어_가정!$I$468:$I$472,EF6,②시니어_가정!$E$468:$E$472)</f>
        <v>0</v>
      </c>
    </row>
    <row r="142" customFormat="false" ht="15" hidden="false" customHeight="false" outlineLevel="0" collapsed="false">
      <c r="A142" s="284" t="s">
        <v>675</v>
      </c>
      <c r="B142" s="281" t="s">
        <v>21</v>
      </c>
      <c r="C142" s="282" t="n">
        <f aca="false">SUM(E142:EF142)</f>
        <v>79364.4911022626</v>
      </c>
      <c r="D142" s="48"/>
      <c r="E142" s="283" t="n">
        <f aca="false">E140+E141</f>
        <v>4369.01523517956</v>
      </c>
      <c r="F142" s="283" t="n">
        <f aca="false">F140+F141</f>
        <v>0</v>
      </c>
      <c r="G142" s="283" t="n">
        <f aca="false">G140+G141</f>
        <v>0</v>
      </c>
      <c r="H142" s="283" t="n">
        <f aca="false">H140+H141</f>
        <v>0</v>
      </c>
      <c r="I142" s="283" t="n">
        <f aca="false">I140+I141</f>
        <v>0</v>
      </c>
      <c r="J142" s="283" t="n">
        <f aca="false">J140+J141</f>
        <v>0</v>
      </c>
      <c r="K142" s="283" t="n">
        <f aca="false">K140+K141</f>
        <v>0</v>
      </c>
      <c r="L142" s="283" t="n">
        <f aca="false">L140+L141</f>
        <v>0</v>
      </c>
      <c r="M142" s="283" t="n">
        <f aca="false">M140+M141</f>
        <v>0</v>
      </c>
      <c r="N142" s="283" t="n">
        <f aca="false">N140+N141</f>
        <v>0</v>
      </c>
      <c r="O142" s="283" t="n">
        <f aca="false">O140+O141</f>
        <v>0</v>
      </c>
      <c r="P142" s="283" t="n">
        <f aca="false">P140+P141</f>
        <v>0</v>
      </c>
      <c r="Q142" s="283" t="n">
        <f aca="false">Q140+Q141</f>
        <v>0</v>
      </c>
      <c r="R142" s="283" t="n">
        <f aca="false">R140+R141</f>
        <v>0</v>
      </c>
      <c r="S142" s="283" t="n">
        <f aca="false">S140+S141</f>
        <v>0</v>
      </c>
      <c r="T142" s="283" t="n">
        <f aca="false">T140+T141</f>
        <v>0</v>
      </c>
      <c r="U142" s="283" t="n">
        <f aca="false">U140+U141</f>
        <v>0</v>
      </c>
      <c r="V142" s="283" t="n">
        <f aca="false">V140+V141</f>
        <v>0</v>
      </c>
      <c r="W142" s="283" t="n">
        <f aca="false">W140+W141</f>
        <v>74995.475867083</v>
      </c>
      <c r="X142" s="283" t="n">
        <f aca="false">X140+X141</f>
        <v>0</v>
      </c>
      <c r="Y142" s="283" t="n">
        <f aca="false">Y140+Y141</f>
        <v>0</v>
      </c>
      <c r="Z142" s="283" t="n">
        <f aca="false">Z140+Z141</f>
        <v>0</v>
      </c>
      <c r="AA142" s="283" t="n">
        <f aca="false">AA140+AA141</f>
        <v>0</v>
      </c>
      <c r="AB142" s="283" t="n">
        <f aca="false">AB140+AB141</f>
        <v>0</v>
      </c>
      <c r="AC142" s="283" t="n">
        <f aca="false">AC140+AC141</f>
        <v>0</v>
      </c>
      <c r="AD142" s="283" t="n">
        <f aca="false">AD140+AD141</f>
        <v>0</v>
      </c>
      <c r="AE142" s="283" t="n">
        <f aca="false">AE140+AE141</f>
        <v>0</v>
      </c>
      <c r="AF142" s="283" t="n">
        <f aca="false">AF140+AF141</f>
        <v>0</v>
      </c>
      <c r="AG142" s="283" t="n">
        <f aca="false">AG140+AG141</f>
        <v>0</v>
      </c>
      <c r="AH142" s="283" t="n">
        <f aca="false">AH140+AH141</f>
        <v>0</v>
      </c>
      <c r="AI142" s="283" t="n">
        <f aca="false">AI140+AI141</f>
        <v>0</v>
      </c>
      <c r="AJ142" s="283" t="n">
        <f aca="false">AJ140+AJ141</f>
        <v>0</v>
      </c>
      <c r="AK142" s="283" t="n">
        <f aca="false">AK140+AK141</f>
        <v>0</v>
      </c>
      <c r="AL142" s="283" t="n">
        <f aca="false">AL140+AL141</f>
        <v>0</v>
      </c>
      <c r="AM142" s="283" t="n">
        <f aca="false">AM140+AM141</f>
        <v>0</v>
      </c>
      <c r="AN142" s="283" t="n">
        <f aca="false">AN140+AN141</f>
        <v>0</v>
      </c>
      <c r="AO142" s="283" t="n">
        <f aca="false">AO140+AO141</f>
        <v>0</v>
      </c>
      <c r="AP142" s="283" t="n">
        <f aca="false">AP140+AP141</f>
        <v>0</v>
      </c>
      <c r="AQ142" s="283" t="n">
        <f aca="false">AQ140+AQ141</f>
        <v>0</v>
      </c>
      <c r="AR142" s="283" t="n">
        <f aca="false">AR140+AR141</f>
        <v>0</v>
      </c>
      <c r="AS142" s="283" t="n">
        <f aca="false">AS140+AS141</f>
        <v>0</v>
      </c>
      <c r="AT142" s="283" t="n">
        <f aca="false">AT140+AT141</f>
        <v>0</v>
      </c>
      <c r="AU142" s="283" t="n">
        <f aca="false">AU140+AU141</f>
        <v>0</v>
      </c>
      <c r="AV142" s="283" t="n">
        <f aca="false">AV140+AV141</f>
        <v>0</v>
      </c>
      <c r="AW142" s="283" t="n">
        <f aca="false">AW140+AW141</f>
        <v>0</v>
      </c>
      <c r="AX142" s="283" t="n">
        <f aca="false">AX140+AX141</f>
        <v>0</v>
      </c>
      <c r="AY142" s="283" t="n">
        <f aca="false">AY140+AY141</f>
        <v>0</v>
      </c>
      <c r="AZ142" s="283" t="n">
        <f aca="false">AZ140+AZ141</f>
        <v>0</v>
      </c>
      <c r="BA142" s="283" t="n">
        <f aca="false">BA140+BA141</f>
        <v>0</v>
      </c>
      <c r="BB142" s="283" t="n">
        <f aca="false">BB140+BB141</f>
        <v>0</v>
      </c>
      <c r="BC142" s="283" t="n">
        <f aca="false">BC140+BC141</f>
        <v>0</v>
      </c>
      <c r="BD142" s="283" t="n">
        <f aca="false">BD140+BD141</f>
        <v>0</v>
      </c>
      <c r="BE142" s="283" t="n">
        <f aca="false">BE140+BE141</f>
        <v>0</v>
      </c>
      <c r="BF142" s="283" t="n">
        <f aca="false">BF140+BF141</f>
        <v>0</v>
      </c>
      <c r="BG142" s="283" t="n">
        <f aca="false">BG140+BG141</f>
        <v>0</v>
      </c>
      <c r="BH142" s="283" t="n">
        <f aca="false">BH140+BH141</f>
        <v>0</v>
      </c>
      <c r="BI142" s="283" t="n">
        <f aca="false">BI140+BI141</f>
        <v>0</v>
      </c>
      <c r="BJ142" s="283" t="n">
        <f aca="false">BJ140+BJ141</f>
        <v>0</v>
      </c>
      <c r="BK142" s="283" t="n">
        <f aca="false">BK140+BK141</f>
        <v>0</v>
      </c>
      <c r="BL142" s="283" t="n">
        <f aca="false">BL140+BL141</f>
        <v>0</v>
      </c>
      <c r="BM142" s="283" t="n">
        <f aca="false">BM140+BM141</f>
        <v>0</v>
      </c>
      <c r="BN142" s="283" t="n">
        <f aca="false">BN140+BN141</f>
        <v>0</v>
      </c>
      <c r="BO142" s="283" t="n">
        <f aca="false">BO140+BO141</f>
        <v>0</v>
      </c>
      <c r="BP142" s="283" t="n">
        <f aca="false">BP140+BP141</f>
        <v>0</v>
      </c>
      <c r="BQ142" s="283" t="n">
        <f aca="false">BQ140+BQ141</f>
        <v>0</v>
      </c>
      <c r="BR142" s="283" t="n">
        <f aca="false">BR140+BR141</f>
        <v>0</v>
      </c>
      <c r="BS142" s="283" t="n">
        <f aca="false">BS140+BS141</f>
        <v>0</v>
      </c>
      <c r="BT142" s="283" t="n">
        <f aca="false">BT140+BT141</f>
        <v>0</v>
      </c>
      <c r="BU142" s="283" t="n">
        <f aca="false">BU140+BU141</f>
        <v>0</v>
      </c>
      <c r="BV142" s="283" t="n">
        <f aca="false">BV140+BV141</f>
        <v>0</v>
      </c>
      <c r="BW142" s="283" t="n">
        <f aca="false">BW140+BW141</f>
        <v>0</v>
      </c>
      <c r="BX142" s="283" t="n">
        <f aca="false">BX140+BX141</f>
        <v>0</v>
      </c>
      <c r="BY142" s="283" t="n">
        <f aca="false">BY140+BY141</f>
        <v>0</v>
      </c>
      <c r="BZ142" s="283" t="n">
        <f aca="false">BZ140+BZ141</f>
        <v>0</v>
      </c>
      <c r="CA142" s="283" t="n">
        <f aca="false">CA140+CA141</f>
        <v>0</v>
      </c>
      <c r="CB142" s="283" t="n">
        <f aca="false">CB140+CB141</f>
        <v>0</v>
      </c>
      <c r="CC142" s="283" t="n">
        <f aca="false">CC140+CC141</f>
        <v>0</v>
      </c>
      <c r="CD142" s="283" t="n">
        <f aca="false">CD140+CD141</f>
        <v>0</v>
      </c>
      <c r="CE142" s="283" t="n">
        <f aca="false">CE140+CE141</f>
        <v>0</v>
      </c>
      <c r="CF142" s="283" t="n">
        <f aca="false">CF140+CF141</f>
        <v>0</v>
      </c>
      <c r="CG142" s="283" t="n">
        <f aca="false">CG140+CG141</f>
        <v>0</v>
      </c>
      <c r="CH142" s="283" t="n">
        <f aca="false">CH140+CH141</f>
        <v>0</v>
      </c>
      <c r="CI142" s="283" t="n">
        <f aca="false">CI140+CI141</f>
        <v>0</v>
      </c>
      <c r="CJ142" s="283" t="n">
        <f aca="false">CJ140+CJ141</f>
        <v>0</v>
      </c>
      <c r="CK142" s="283" t="n">
        <f aca="false">CK140+CK141</f>
        <v>0</v>
      </c>
      <c r="CL142" s="283" t="n">
        <f aca="false">CL140+CL141</f>
        <v>0</v>
      </c>
      <c r="CM142" s="283" t="n">
        <f aca="false">CM140+CM141</f>
        <v>0</v>
      </c>
      <c r="CN142" s="283" t="n">
        <f aca="false">CN140+CN141</f>
        <v>0</v>
      </c>
      <c r="CO142" s="283" t="n">
        <f aca="false">CO140+CO141</f>
        <v>0</v>
      </c>
      <c r="CP142" s="283" t="n">
        <f aca="false">CP140+CP141</f>
        <v>0</v>
      </c>
      <c r="CQ142" s="283" t="n">
        <f aca="false">CQ140+CQ141</f>
        <v>0</v>
      </c>
      <c r="CR142" s="283" t="n">
        <f aca="false">CR140+CR141</f>
        <v>0</v>
      </c>
      <c r="CS142" s="283" t="n">
        <f aca="false">CS140+CS141</f>
        <v>0</v>
      </c>
      <c r="CT142" s="283" t="n">
        <f aca="false">CT140+CT141</f>
        <v>0</v>
      </c>
      <c r="CU142" s="283" t="n">
        <f aca="false">CU140+CU141</f>
        <v>0</v>
      </c>
      <c r="CV142" s="283" t="n">
        <f aca="false">CV140+CV141</f>
        <v>0</v>
      </c>
      <c r="CW142" s="283" t="n">
        <f aca="false">CW140+CW141</f>
        <v>0</v>
      </c>
      <c r="CX142" s="283" t="n">
        <f aca="false">CX140+CX141</f>
        <v>0</v>
      </c>
      <c r="CY142" s="283" t="n">
        <f aca="false">CY140+CY141</f>
        <v>0</v>
      </c>
      <c r="CZ142" s="283" t="n">
        <f aca="false">CZ140+CZ141</f>
        <v>0</v>
      </c>
      <c r="DA142" s="283" t="n">
        <f aca="false">DA140+DA141</f>
        <v>0</v>
      </c>
      <c r="DB142" s="283" t="n">
        <f aca="false">DB140+DB141</f>
        <v>0</v>
      </c>
      <c r="DC142" s="283" t="n">
        <f aca="false">DC140+DC141</f>
        <v>0</v>
      </c>
      <c r="DD142" s="283" t="n">
        <f aca="false">DD140+DD141</f>
        <v>0</v>
      </c>
      <c r="DE142" s="283" t="n">
        <f aca="false">DE140+DE141</f>
        <v>0</v>
      </c>
      <c r="DF142" s="283" t="n">
        <f aca="false">DF140+DF141</f>
        <v>0</v>
      </c>
      <c r="DG142" s="283" t="n">
        <f aca="false">DG140+DG141</f>
        <v>0</v>
      </c>
      <c r="DH142" s="283" t="n">
        <f aca="false">DH140+DH141</f>
        <v>0</v>
      </c>
      <c r="DI142" s="283" t="n">
        <f aca="false">DI140+DI141</f>
        <v>0</v>
      </c>
      <c r="DJ142" s="283" t="n">
        <f aca="false">DJ140+DJ141</f>
        <v>0</v>
      </c>
      <c r="DK142" s="283" t="n">
        <f aca="false">DK140+DK141</f>
        <v>0</v>
      </c>
      <c r="DL142" s="283" t="n">
        <f aca="false">DL140+DL141</f>
        <v>0</v>
      </c>
      <c r="DM142" s="283" t="n">
        <f aca="false">DM140+DM141</f>
        <v>0</v>
      </c>
      <c r="DN142" s="283" t="n">
        <f aca="false">DN140+DN141</f>
        <v>0</v>
      </c>
      <c r="DO142" s="283" t="n">
        <f aca="false">DO140+DO141</f>
        <v>0</v>
      </c>
      <c r="DP142" s="283" t="n">
        <f aca="false">DP140+DP141</f>
        <v>0</v>
      </c>
      <c r="DQ142" s="283" t="n">
        <f aca="false">DQ140+DQ141</f>
        <v>0</v>
      </c>
      <c r="DR142" s="283" t="n">
        <f aca="false">DR140+DR141</f>
        <v>0</v>
      </c>
      <c r="DS142" s="283" t="n">
        <f aca="false">DS140+DS141</f>
        <v>0</v>
      </c>
      <c r="DT142" s="283" t="n">
        <f aca="false">DT140+DT141</f>
        <v>0</v>
      </c>
      <c r="DU142" s="283" t="n">
        <f aca="false">DU140+DU141</f>
        <v>0</v>
      </c>
      <c r="DV142" s="283" t="n">
        <f aca="false">DV140+DV141</f>
        <v>0</v>
      </c>
      <c r="DW142" s="283" t="n">
        <f aca="false">DW140+DW141</f>
        <v>0</v>
      </c>
      <c r="DX142" s="283" t="n">
        <f aca="false">DX140+DX141</f>
        <v>0</v>
      </c>
      <c r="DY142" s="283" t="n">
        <f aca="false">DY140+DY141</f>
        <v>0</v>
      </c>
      <c r="DZ142" s="283" t="n">
        <f aca="false">DZ140+DZ141</f>
        <v>0</v>
      </c>
      <c r="EA142" s="283" t="n">
        <f aca="false">EA140+EA141</f>
        <v>0</v>
      </c>
      <c r="EB142" s="283" t="n">
        <f aca="false">EB140+EB141</f>
        <v>0</v>
      </c>
      <c r="EC142" s="283" t="n">
        <f aca="false">EC140+EC141</f>
        <v>0</v>
      </c>
      <c r="ED142" s="283" t="n">
        <f aca="false">ED140+ED141</f>
        <v>0</v>
      </c>
      <c r="EE142" s="283" t="n">
        <f aca="false">EE140+EE141</f>
        <v>0</v>
      </c>
      <c r="EF142" s="283" t="n">
        <f aca="false">EF140+EF141</f>
        <v>0</v>
      </c>
    </row>
    <row r="144" customFormat="false" ht="15" hidden="false" customHeight="false" outlineLevel="0" collapsed="false">
      <c r="A144" s="6" t="s">
        <v>676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</row>
    <row r="145" customFormat="false" ht="15" hidden="false" customHeight="false" outlineLevel="0" collapsed="false">
      <c r="A145" s="36" t="s">
        <v>677</v>
      </c>
      <c r="B145" s="278" t="s">
        <v>21</v>
      </c>
      <c r="C145" s="279" t="n">
        <f aca="false">SUM(E145:EF145)</f>
        <v>174513.090023539</v>
      </c>
      <c r="E145" s="37" t="n">
        <f aca="false">IF(E6=②시니어_가정!$E$22,②시니어_가정!$G$283,0)</f>
        <v>0</v>
      </c>
      <c r="F145" s="37" t="n">
        <f aca="false">IF(F6=②시니어_가정!$E$22,②시니어_가정!$G$283,0)</f>
        <v>0</v>
      </c>
      <c r="G145" s="37" t="n">
        <f aca="false">IF(G6=②시니어_가정!$E$22,②시니어_가정!$G$283,0)</f>
        <v>0</v>
      </c>
      <c r="H145" s="37" t="n">
        <f aca="false">IF(H6=②시니어_가정!$E$22,②시니어_가정!$G$283,0)</f>
        <v>0</v>
      </c>
      <c r="I145" s="37" t="n">
        <f aca="false">IF(I6=②시니어_가정!$E$22,②시니어_가정!$G$283,0)</f>
        <v>0</v>
      </c>
      <c r="J145" s="37" t="n">
        <f aca="false">IF(J6=②시니어_가정!$E$22,②시니어_가정!$G$283,0)</f>
        <v>0</v>
      </c>
      <c r="K145" s="37" t="n">
        <f aca="false">IF(K6=②시니어_가정!$E$22,②시니어_가정!$G$283,0)</f>
        <v>0</v>
      </c>
      <c r="L145" s="37" t="n">
        <f aca="false">IF(L6=②시니어_가정!$E$22,②시니어_가정!$G$283,0)</f>
        <v>0</v>
      </c>
      <c r="M145" s="37" t="n">
        <f aca="false">IF(M6=②시니어_가정!$E$22,②시니어_가정!$G$283,0)</f>
        <v>0</v>
      </c>
      <c r="N145" s="37" t="n">
        <f aca="false">IF(N6=②시니어_가정!$E$22,②시니어_가정!$G$283,0)</f>
        <v>0</v>
      </c>
      <c r="O145" s="37" t="n">
        <f aca="false">IF(O6=②시니어_가정!$E$22,②시니어_가정!$G$283,0)</f>
        <v>0</v>
      </c>
      <c r="P145" s="37" t="n">
        <f aca="false">IF(P6=②시니어_가정!$E$22,②시니어_가정!$G$283,0)</f>
        <v>0</v>
      </c>
      <c r="Q145" s="37" t="n">
        <f aca="false">IF(Q6=②시니어_가정!$E$22,②시니어_가정!$G$283,0)</f>
        <v>0</v>
      </c>
      <c r="R145" s="37" t="n">
        <f aca="false">IF(R6=②시니어_가정!$E$22,②시니어_가정!$G$283,0)</f>
        <v>0</v>
      </c>
      <c r="S145" s="37" t="n">
        <f aca="false">IF(S6=②시니어_가정!$E$22,②시니어_가정!$G$283,0)</f>
        <v>0</v>
      </c>
      <c r="T145" s="37" t="n">
        <f aca="false">IF(T6=②시니어_가정!$E$22,②시니어_가정!$G$283,0)</f>
        <v>0</v>
      </c>
      <c r="U145" s="37" t="n">
        <f aca="false">IF(U6=②시니어_가정!$E$22,②시니어_가정!$G$283,0)</f>
        <v>0</v>
      </c>
      <c r="V145" s="37" t="n">
        <f aca="false">IF(V6=②시니어_가정!$E$22,②시니어_가정!$G$283,0)</f>
        <v>0</v>
      </c>
      <c r="W145" s="37" t="n">
        <f aca="false">IF(W6=②시니어_가정!$E$22,②시니어_가정!$G$283,0)</f>
        <v>0</v>
      </c>
      <c r="X145" s="37" t="n">
        <f aca="false">IF(X6=②시니어_가정!$E$22,②시니어_가정!$G$283,0)</f>
        <v>0</v>
      </c>
      <c r="Y145" s="37" t="n">
        <f aca="false">IF(Y6=②시니어_가정!$E$22,②시니어_가정!$G$283,0)</f>
        <v>0</v>
      </c>
      <c r="Z145" s="37" t="n">
        <f aca="false">IF(Z6=②시니어_가정!$E$22,②시니어_가정!$G$283,0)</f>
        <v>0</v>
      </c>
      <c r="AA145" s="37" t="n">
        <f aca="false">IF(AA6=②시니어_가정!$E$22,②시니어_가정!$G$283,0)</f>
        <v>0</v>
      </c>
      <c r="AB145" s="37" t="n">
        <f aca="false">IF(AB6=②시니어_가정!$E$22,②시니어_가정!$G$283,0)</f>
        <v>0</v>
      </c>
      <c r="AC145" s="37" t="n">
        <f aca="false">IF(AC6=②시니어_가정!$E$22,②시니어_가정!$G$283,0)</f>
        <v>0</v>
      </c>
      <c r="AD145" s="37" t="n">
        <f aca="false">IF(AD6=②시니어_가정!$E$22,②시니어_가정!$G$283,0)</f>
        <v>0</v>
      </c>
      <c r="AE145" s="37" t="n">
        <f aca="false">IF(AE6=②시니어_가정!$E$22,②시니어_가정!$G$283,0)</f>
        <v>0</v>
      </c>
      <c r="AF145" s="37" t="n">
        <f aca="false">IF(AF6=②시니어_가정!$E$22,②시니어_가정!$G$283,0)</f>
        <v>0</v>
      </c>
      <c r="AG145" s="37" t="n">
        <f aca="false">IF(AG6=②시니어_가정!$E$22,②시니어_가정!$G$283,0)</f>
        <v>0</v>
      </c>
      <c r="AH145" s="37" t="n">
        <f aca="false">IF(AH6=②시니어_가정!$E$22,②시니어_가정!$G$283,0)</f>
        <v>0</v>
      </c>
      <c r="AI145" s="37" t="n">
        <f aca="false">IF(AI6=②시니어_가정!$E$22,②시니어_가정!$G$283,0)</f>
        <v>0</v>
      </c>
      <c r="AJ145" s="37" t="n">
        <f aca="false">IF(AJ6=②시니어_가정!$E$22,②시니어_가정!$G$283,0)</f>
        <v>0</v>
      </c>
      <c r="AK145" s="37" t="n">
        <f aca="false">IF(AK6=②시니어_가정!$E$22,②시니어_가정!$G$283,0)</f>
        <v>0</v>
      </c>
      <c r="AL145" s="37" t="n">
        <f aca="false">IF(AL6=②시니어_가정!$E$22,②시니어_가정!$G$283,0)</f>
        <v>0</v>
      </c>
      <c r="AM145" s="37" t="n">
        <f aca="false">IF(AM6=②시니어_가정!$E$22,②시니어_가정!$G$283,0)</f>
        <v>0</v>
      </c>
      <c r="AN145" s="37" t="n">
        <f aca="false">IF(AN6=②시니어_가정!$E$22,②시니어_가정!$G$283,0)</f>
        <v>0</v>
      </c>
      <c r="AO145" s="37" t="n">
        <f aca="false">IF(AO6=②시니어_가정!$E$22,②시니어_가정!$G$283,0)</f>
        <v>0</v>
      </c>
      <c r="AP145" s="37" t="n">
        <f aca="false">IF(AP6=②시니어_가정!$E$22,②시니어_가정!$G$283,0)</f>
        <v>0</v>
      </c>
      <c r="AQ145" s="37" t="n">
        <f aca="false">IF(AQ6=②시니어_가정!$E$22,②시니어_가정!$G$283,0)</f>
        <v>0</v>
      </c>
      <c r="AR145" s="37" t="n">
        <f aca="false">IF(AR6=②시니어_가정!$E$22,②시니어_가정!$G$283,0)</f>
        <v>0</v>
      </c>
      <c r="AS145" s="37" t="n">
        <f aca="false">IF(AS6=②시니어_가정!$E$22,②시니어_가정!$G$283,0)</f>
        <v>0</v>
      </c>
      <c r="AT145" s="37" t="n">
        <f aca="false">IF(AT6=②시니어_가정!$E$22,②시니어_가정!$G$283,0)</f>
        <v>0</v>
      </c>
      <c r="AU145" s="37" t="n">
        <f aca="false">IF(AU6=②시니어_가정!$E$22,②시니어_가정!$G$283,0)</f>
        <v>0</v>
      </c>
      <c r="AV145" s="37" t="n">
        <f aca="false">IF(AV6=②시니어_가정!$E$22,②시니어_가정!$G$283,0)</f>
        <v>0</v>
      </c>
      <c r="AW145" s="37" t="n">
        <f aca="false">IF(AW6=②시니어_가정!$E$22,②시니어_가정!$G$283,0)</f>
        <v>0</v>
      </c>
      <c r="AX145" s="37" t="n">
        <f aca="false">IF(AX6=②시니어_가정!$E$22,②시니어_가정!$G$283,0)</f>
        <v>0</v>
      </c>
      <c r="AY145" s="37" t="n">
        <f aca="false">IF(AY6=②시니어_가정!$E$22,②시니어_가정!$G$283,0)</f>
        <v>0</v>
      </c>
      <c r="AZ145" s="37" t="n">
        <f aca="false">IF(AZ6=②시니어_가정!$E$22,②시니어_가정!$G$283,0)</f>
        <v>0</v>
      </c>
      <c r="BA145" s="37" t="n">
        <f aca="false">IF(BA6=②시니어_가정!$E$22,②시니어_가정!$G$283,0)</f>
        <v>0</v>
      </c>
      <c r="BB145" s="37" t="n">
        <f aca="false">IF(BB6=②시니어_가정!$E$22,②시니어_가정!$G$283,0)</f>
        <v>0</v>
      </c>
      <c r="BC145" s="37" t="n">
        <f aca="false">IF(BC6=②시니어_가정!$E$22,②시니어_가정!$G$283,0)</f>
        <v>0</v>
      </c>
      <c r="BD145" s="37" t="n">
        <f aca="false">IF(BD6=②시니어_가정!$E$22,②시니어_가정!$G$283,0)</f>
        <v>0</v>
      </c>
      <c r="BE145" s="37" t="n">
        <f aca="false">IF(BE6=②시니어_가정!$E$22,②시니어_가정!$G$283,0)</f>
        <v>0</v>
      </c>
      <c r="BF145" s="37" t="n">
        <f aca="false">IF(BF6=②시니어_가정!$E$22,②시니어_가정!$G$283,0)</f>
        <v>0</v>
      </c>
      <c r="BG145" s="37" t="n">
        <f aca="false">IF(BG6=②시니어_가정!$E$22,②시니어_가정!$G$283,0)</f>
        <v>0</v>
      </c>
      <c r="BH145" s="37" t="n">
        <f aca="false">IF(BH6=②시니어_가정!$E$22,②시니어_가정!$G$283,0)</f>
        <v>0</v>
      </c>
      <c r="BI145" s="37" t="n">
        <f aca="false">IF(BI6=②시니어_가정!$E$22,②시니어_가정!$G$283,0)</f>
        <v>0</v>
      </c>
      <c r="BJ145" s="37" t="n">
        <f aca="false">IF(BJ6=②시니어_가정!$E$22,②시니어_가정!$G$283,0)</f>
        <v>0</v>
      </c>
      <c r="BK145" s="37" t="n">
        <f aca="false">IF(BK6=②시니어_가정!$E$22,②시니어_가정!$G$283,0)</f>
        <v>0</v>
      </c>
      <c r="BL145" s="37" t="n">
        <f aca="false">IF(BL6=②시니어_가정!$E$22,②시니어_가정!$G$283,0)</f>
        <v>0</v>
      </c>
      <c r="BM145" s="37" t="n">
        <f aca="false">IF(BM6=②시니어_가정!$E$22,②시니어_가정!$G$283,0)</f>
        <v>0</v>
      </c>
      <c r="BN145" s="37" t="n">
        <f aca="false">IF(BN6=②시니어_가정!$E$22,②시니어_가정!$G$283,0)</f>
        <v>0</v>
      </c>
      <c r="BO145" s="37" t="n">
        <f aca="false">IF(BO6=②시니어_가정!$E$22,②시니어_가정!$G$283,0)</f>
        <v>0</v>
      </c>
      <c r="BP145" s="37" t="n">
        <f aca="false">IF(BP6=②시니어_가정!$E$22,②시니어_가정!$G$283,0)</f>
        <v>0</v>
      </c>
      <c r="BQ145" s="37" t="n">
        <f aca="false">IF(BQ6=②시니어_가정!$E$22,②시니어_가정!$G$283,0)</f>
        <v>0</v>
      </c>
      <c r="BR145" s="37" t="n">
        <f aca="false">IF(BR6=②시니어_가정!$E$22,②시니어_가정!$G$283,0)</f>
        <v>0</v>
      </c>
      <c r="BS145" s="37" t="n">
        <f aca="false">IF(BS6=②시니어_가정!$E$22,②시니어_가정!$G$283,0)</f>
        <v>0</v>
      </c>
      <c r="BT145" s="37" t="n">
        <f aca="false">IF(BT6=②시니어_가정!$E$22,②시니어_가정!$G$283,0)</f>
        <v>0</v>
      </c>
      <c r="BU145" s="37" t="n">
        <f aca="false">IF(BU6=②시니어_가정!$E$22,②시니어_가정!$G$283,0)</f>
        <v>0</v>
      </c>
      <c r="BV145" s="37" t="n">
        <f aca="false">IF(BV6=②시니어_가정!$E$22,②시니어_가정!$G$283,0)</f>
        <v>0</v>
      </c>
      <c r="BW145" s="37" t="n">
        <f aca="false">IF(BW6=②시니어_가정!$E$22,②시니어_가정!$G$283,0)</f>
        <v>0</v>
      </c>
      <c r="BX145" s="37" t="n">
        <f aca="false">IF(BX6=②시니어_가정!$E$22,②시니어_가정!$G$283,0)</f>
        <v>0</v>
      </c>
      <c r="BY145" s="37" t="n">
        <f aca="false">IF(BY6=②시니어_가정!$E$22,②시니어_가정!$G$283,0)</f>
        <v>0</v>
      </c>
      <c r="BZ145" s="37" t="n">
        <f aca="false">IF(BZ6=②시니어_가정!$E$22,②시니어_가정!$G$283,0)</f>
        <v>0</v>
      </c>
      <c r="CA145" s="37" t="n">
        <f aca="false">IF(CA6=②시니어_가정!$E$22,②시니어_가정!$G$283,0)</f>
        <v>0</v>
      </c>
      <c r="CB145" s="37" t="n">
        <f aca="false">IF(CB6=②시니어_가정!$E$22,②시니어_가정!$G$283,0)</f>
        <v>0</v>
      </c>
      <c r="CC145" s="37" t="n">
        <f aca="false">IF(CC6=②시니어_가정!$E$22,②시니어_가정!$G$283,0)</f>
        <v>0</v>
      </c>
      <c r="CD145" s="37" t="n">
        <f aca="false">IF(CD6=②시니어_가정!$E$22,②시니어_가정!$G$283,0)</f>
        <v>0</v>
      </c>
      <c r="CE145" s="37" t="n">
        <f aca="false">IF(CE6=②시니어_가정!$E$22,②시니어_가정!$G$283,0)</f>
        <v>0</v>
      </c>
      <c r="CF145" s="37" t="n">
        <f aca="false">IF(CF6=②시니어_가정!$E$22,②시니어_가정!$G$283,0)</f>
        <v>0</v>
      </c>
      <c r="CG145" s="37" t="n">
        <f aca="false">IF(CG6=②시니어_가정!$E$22,②시니어_가정!$G$283,0)</f>
        <v>0</v>
      </c>
      <c r="CH145" s="37" t="n">
        <f aca="false">IF(CH6=②시니어_가정!$E$22,②시니어_가정!$G$283,0)</f>
        <v>0</v>
      </c>
      <c r="CI145" s="37" t="n">
        <f aca="false">IF(CI6=②시니어_가정!$E$22,②시니어_가정!$G$283,0)</f>
        <v>0</v>
      </c>
      <c r="CJ145" s="37" t="n">
        <f aca="false">IF(CJ6=②시니어_가정!$E$22,②시니어_가정!$G$283,0)</f>
        <v>0</v>
      </c>
      <c r="CK145" s="37" t="n">
        <f aca="false">IF(CK6=②시니어_가정!$E$22,②시니어_가정!$G$283,0)</f>
        <v>0</v>
      </c>
      <c r="CL145" s="37" t="n">
        <f aca="false">IF(CL6=②시니어_가정!$E$22,②시니어_가정!$G$283,0)</f>
        <v>0</v>
      </c>
      <c r="CM145" s="37" t="n">
        <f aca="false">IF(CM6=②시니어_가정!$E$22,②시니어_가정!$G$283,0)</f>
        <v>0</v>
      </c>
      <c r="CN145" s="37" t="n">
        <f aca="false">IF(CN6=②시니어_가정!$E$22,②시니어_가정!$G$283,0)</f>
        <v>0</v>
      </c>
      <c r="CO145" s="37" t="n">
        <f aca="false">IF(CO6=②시니어_가정!$E$22,②시니어_가정!$G$283,0)</f>
        <v>0</v>
      </c>
      <c r="CP145" s="37" t="n">
        <f aca="false">IF(CP6=②시니어_가정!$E$22,②시니어_가정!$G$283,0)</f>
        <v>0</v>
      </c>
      <c r="CQ145" s="37" t="n">
        <f aca="false">IF(CQ6=②시니어_가정!$E$22,②시니어_가정!$G$283,0)</f>
        <v>0</v>
      </c>
      <c r="CR145" s="37" t="n">
        <f aca="false">IF(CR6=②시니어_가정!$E$22,②시니어_가정!$G$283,0)</f>
        <v>0</v>
      </c>
      <c r="CS145" s="37" t="n">
        <f aca="false">IF(CS6=②시니어_가정!$E$22,②시니어_가정!$G$283,0)</f>
        <v>0</v>
      </c>
      <c r="CT145" s="37" t="n">
        <f aca="false">IF(CT6=②시니어_가정!$E$22,②시니어_가정!$G$283,0)</f>
        <v>0</v>
      </c>
      <c r="CU145" s="37" t="n">
        <f aca="false">IF(CU6=②시니어_가정!$E$22,②시니어_가정!$G$283,0)</f>
        <v>0</v>
      </c>
      <c r="CV145" s="37" t="n">
        <f aca="false">IF(CV6=②시니어_가정!$E$22,②시니어_가정!$G$283,0)</f>
        <v>0</v>
      </c>
      <c r="CW145" s="37" t="n">
        <f aca="false">IF(CW6=②시니어_가정!$E$22,②시니어_가정!$G$283,0)</f>
        <v>0</v>
      </c>
      <c r="CX145" s="37" t="n">
        <f aca="false">IF(CX6=②시니어_가정!$E$22,②시니어_가정!$G$283,0)</f>
        <v>0</v>
      </c>
      <c r="CY145" s="37" t="n">
        <f aca="false">IF(CY6=②시니어_가정!$E$22,②시니어_가정!$G$283,0)</f>
        <v>0</v>
      </c>
      <c r="CZ145" s="37" t="n">
        <f aca="false">IF(CZ6=②시니어_가정!$E$22,②시니어_가정!$G$283,0)</f>
        <v>0</v>
      </c>
      <c r="DA145" s="37" t="n">
        <f aca="false">IF(DA6=②시니어_가정!$E$22,②시니어_가정!$G$283,0)</f>
        <v>0</v>
      </c>
      <c r="DB145" s="37" t="n">
        <f aca="false">IF(DB6=②시니어_가정!$E$22,②시니어_가정!$G$283,0)</f>
        <v>0</v>
      </c>
      <c r="DC145" s="37" t="n">
        <f aca="false">IF(DC6=②시니어_가정!$E$22,②시니어_가정!$G$283,0)</f>
        <v>0</v>
      </c>
      <c r="DD145" s="37" t="n">
        <f aca="false">IF(DD6=②시니어_가정!$E$22,②시니어_가정!$G$283,0)</f>
        <v>0</v>
      </c>
      <c r="DE145" s="37" t="n">
        <f aca="false">IF(DE6=②시니어_가정!$E$22,②시니어_가정!$G$283,0)</f>
        <v>0</v>
      </c>
      <c r="DF145" s="37" t="n">
        <f aca="false">IF(DF6=②시니어_가정!$E$22,②시니어_가정!$G$283,0)</f>
        <v>0</v>
      </c>
      <c r="DG145" s="37" t="n">
        <f aca="false">IF(DG6=②시니어_가정!$E$22,②시니어_가정!$G$283,0)</f>
        <v>0</v>
      </c>
      <c r="DH145" s="37" t="n">
        <f aca="false">IF(DH6=②시니어_가정!$E$22,②시니어_가정!$G$283,0)</f>
        <v>0</v>
      </c>
      <c r="DI145" s="37" t="n">
        <f aca="false">IF(DI6=②시니어_가정!$E$22,②시니어_가정!$G$283,0)</f>
        <v>0</v>
      </c>
      <c r="DJ145" s="37" t="n">
        <f aca="false">IF(DJ6=②시니어_가정!$E$22,②시니어_가정!$G$283,0)</f>
        <v>0</v>
      </c>
      <c r="DK145" s="37" t="n">
        <f aca="false">IF(DK6=②시니어_가정!$E$22,②시니어_가정!$G$283,0)</f>
        <v>0</v>
      </c>
      <c r="DL145" s="37" t="n">
        <f aca="false">IF(DL6=②시니어_가정!$E$22,②시니어_가정!$G$283,0)</f>
        <v>0</v>
      </c>
      <c r="DM145" s="37" t="n">
        <f aca="false">IF(DM6=②시니어_가정!$E$22,②시니어_가정!$G$283,0)</f>
        <v>0</v>
      </c>
      <c r="DN145" s="37" t="n">
        <f aca="false">IF(DN6=②시니어_가정!$E$22,②시니어_가정!$G$283,0)</f>
        <v>0</v>
      </c>
      <c r="DO145" s="37" t="n">
        <f aca="false">IF(DO6=②시니어_가정!$E$22,②시니어_가정!$G$283,0)</f>
        <v>0</v>
      </c>
      <c r="DP145" s="37" t="n">
        <f aca="false">IF(DP6=②시니어_가정!$E$22,②시니어_가정!$G$283,0)</f>
        <v>0</v>
      </c>
      <c r="DQ145" s="37" t="n">
        <f aca="false">IF(DQ6=②시니어_가정!$E$22,②시니어_가정!$G$283,0)</f>
        <v>0</v>
      </c>
      <c r="DR145" s="37" t="n">
        <f aca="false">IF(DR6=②시니어_가정!$E$22,②시니어_가정!$G$283,0)</f>
        <v>0</v>
      </c>
      <c r="DS145" s="37" t="n">
        <f aca="false">IF(DS6=②시니어_가정!$E$22,②시니어_가정!$G$283,0)</f>
        <v>0</v>
      </c>
      <c r="DT145" s="37" t="n">
        <f aca="false">IF(DT6=②시니어_가정!$E$22,②시니어_가정!$G$283,0)</f>
        <v>174513.090023539</v>
      </c>
      <c r="DU145" s="37" t="n">
        <f aca="false">IF(DU6=②시니어_가정!$E$22,②시니어_가정!$G$283,0)</f>
        <v>0</v>
      </c>
      <c r="DV145" s="37" t="n">
        <f aca="false">IF(DV6=②시니어_가정!$E$22,②시니어_가정!$G$283,0)</f>
        <v>0</v>
      </c>
      <c r="DW145" s="37" t="n">
        <f aca="false">IF(DW6=②시니어_가정!$E$22,②시니어_가정!$G$283,0)</f>
        <v>0</v>
      </c>
      <c r="DX145" s="37" t="n">
        <f aca="false">IF(DX6=②시니어_가정!$E$22,②시니어_가정!$G$283,0)</f>
        <v>0</v>
      </c>
      <c r="DY145" s="37" t="n">
        <f aca="false">IF(DY6=②시니어_가정!$E$22,②시니어_가정!$G$283,0)</f>
        <v>0</v>
      </c>
      <c r="DZ145" s="37" t="n">
        <f aca="false">IF(DZ6=②시니어_가정!$E$22,②시니어_가정!$G$283,0)</f>
        <v>0</v>
      </c>
      <c r="EA145" s="37" t="n">
        <f aca="false">IF(EA6=②시니어_가정!$E$22,②시니어_가정!$G$283,0)</f>
        <v>0</v>
      </c>
      <c r="EB145" s="37" t="n">
        <f aca="false">IF(EB6=②시니어_가정!$E$22,②시니어_가정!$G$283,0)</f>
        <v>0</v>
      </c>
      <c r="EC145" s="37" t="n">
        <f aca="false">IF(EC6=②시니어_가정!$E$22,②시니어_가정!$G$283,0)</f>
        <v>0</v>
      </c>
      <c r="ED145" s="37" t="n">
        <f aca="false">IF(ED6=②시니어_가정!$E$22,②시니어_가정!$G$283,0)</f>
        <v>0</v>
      </c>
      <c r="EE145" s="37" t="n">
        <f aca="false">IF(EE6=②시니어_가정!$E$22,②시니어_가정!$G$283,0)</f>
        <v>0</v>
      </c>
      <c r="EF145" s="37" t="n">
        <f aca="false">IF(EF6=②시니어_가정!$E$22,②시니어_가정!$G$283,0)</f>
        <v>0</v>
      </c>
    </row>
    <row r="147" customFormat="false" ht="15" hidden="false" customHeight="false" outlineLevel="0" collapsed="false">
      <c r="A147" s="6" t="s">
        <v>678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</row>
    <row r="148" customFormat="false" ht="15" hidden="false" customHeight="false" outlineLevel="0" collapsed="false">
      <c r="A148" s="36" t="s">
        <v>679</v>
      </c>
      <c r="B148" s="278" t="s">
        <v>21</v>
      </c>
      <c r="E148" s="37" t="n">
        <f aca="false">0</f>
        <v>0</v>
      </c>
      <c r="F148" s="37" t="n">
        <f aca="false">E159</f>
        <v>3342.73444632122</v>
      </c>
      <c r="G148" s="37" t="n">
        <f aca="false">F159</f>
        <v>3251.63294910369</v>
      </c>
      <c r="H148" s="37" t="n">
        <f aca="false">G159</f>
        <v>3160.30369814312</v>
      </c>
      <c r="I148" s="37" t="n">
        <f aca="false">H159</f>
        <v>-24.8305716707641</v>
      </c>
      <c r="J148" s="37" t="n">
        <f aca="false">I159</f>
        <v>-124.288905004097</v>
      </c>
      <c r="K148" s="37" t="n">
        <f aca="false">J159</f>
        <v>-223.747238337431</v>
      </c>
      <c r="L148" s="37" t="n">
        <f aca="false">K159</f>
        <v>-323.205571670764</v>
      </c>
      <c r="M148" s="37" t="n">
        <f aca="false">L159</f>
        <v>-422.663905004097</v>
      </c>
      <c r="N148" s="37" t="n">
        <f aca="false">M159</f>
        <v>-522.122238337431</v>
      </c>
      <c r="O148" s="37" t="n">
        <f aca="false">N159</f>
        <v>-621.580571670764</v>
      </c>
      <c r="P148" s="37" t="n">
        <f aca="false">O159</f>
        <v>-721.038905004098</v>
      </c>
      <c r="Q148" s="37" t="n">
        <f aca="false">P159</f>
        <v>-820.497238337431</v>
      </c>
      <c r="R148" s="37" t="n">
        <f aca="false">Q159</f>
        <v>42280.0444283292</v>
      </c>
      <c r="S148" s="37" t="n">
        <f aca="false">R159</f>
        <v>42286.2862060667</v>
      </c>
      <c r="T148" s="37" t="n">
        <f aca="false">S159</f>
        <v>42292.5435882486</v>
      </c>
      <c r="U148" s="37" t="n">
        <f aca="false">T159</f>
        <v>42298.8166138858</v>
      </c>
      <c r="V148" s="37" t="n">
        <f aca="false">U159</f>
        <v>42305.1053220872</v>
      </c>
      <c r="W148" s="37" t="n">
        <f aca="false">V159</f>
        <v>42311.4097520591</v>
      </c>
      <c r="X148" s="37" t="n">
        <f aca="false">W159</f>
        <v>49619.061848911</v>
      </c>
      <c r="Y148" s="37" t="n">
        <f aca="false">X159</f>
        <v>47987.3939034924</v>
      </c>
      <c r="Z148" s="37" t="n">
        <f aca="false">Y159</f>
        <v>45541.6499308004</v>
      </c>
      <c r="AA148" s="37" t="n">
        <f aca="false">Z159</f>
        <v>42291.1832577763</v>
      </c>
      <c r="AB148" s="37" t="n">
        <f aca="false">AA159</f>
        <v>38249.8367364637</v>
      </c>
      <c r="AC148" s="37" t="n">
        <f aca="false">AB159</f>
        <v>33435.8653021384</v>
      </c>
      <c r="AD148" s="37" t="n">
        <f aca="false">AC159</f>
        <v>114271.833857211</v>
      </c>
      <c r="AE148" s="37" t="n">
        <f aca="false">AD159</f>
        <v>108200.491051978</v>
      </c>
      <c r="AF148" s="37" t="n">
        <f aca="false">AE159</f>
        <v>101437.159668087</v>
      </c>
      <c r="AG148" s="37" t="n">
        <f aca="false">AF159</f>
        <v>94016.4857914403</v>
      </c>
      <c r="AH148" s="37" t="n">
        <f aca="false">AG159</f>
        <v>85976.7836907866</v>
      </c>
      <c r="AI148" s="37" t="n">
        <f aca="false">AH159</f>
        <v>77359.8215289287</v>
      </c>
      <c r="AJ148" s="37" t="n">
        <f aca="false">AI159</f>
        <v>68210.5877583092</v>
      </c>
      <c r="AK148" s="37" t="n">
        <f aca="false">AJ159</f>
        <v>58577.0395073783</v>
      </c>
      <c r="AL148" s="37" t="n">
        <f aca="false">AK159</f>
        <v>48509.8343648705</v>
      </c>
      <c r="AM148" s="37" t="n">
        <f aca="false">AL159</f>
        <v>38062.0470619641</v>
      </c>
      <c r="AN148" s="37" t="n">
        <f aca="false">AM159</f>
        <v>27288.8726367474</v>
      </c>
      <c r="AO148" s="37" t="n">
        <f aca="false">AN159</f>
        <v>16247.3177410199</v>
      </c>
      <c r="AP148" s="37" t="n">
        <f aca="false">AO159</f>
        <v>91395.881815763</v>
      </c>
      <c r="AQ148" s="37" t="n">
        <f aca="false">AP159</f>
        <v>80210.2299182792</v>
      </c>
      <c r="AR148" s="37" t="n">
        <f aca="false">AQ159</f>
        <v>68935.3990306796</v>
      </c>
      <c r="AS148" s="37" t="n">
        <f aca="false">AR159</f>
        <v>57632.381065861</v>
      </c>
      <c r="AT148" s="37" t="n">
        <f aca="false">AS159</f>
        <v>46362.3204165024</v>
      </c>
      <c r="AU148" s="37" t="n">
        <f aca="false">AT159</f>
        <v>35186.1719979343</v>
      </c>
      <c r="AV148" s="37" t="n">
        <f aca="false">AU159</f>
        <v>24164.3603506096</v>
      </c>
      <c r="AW148" s="37" t="n">
        <f aca="false">AV159</f>
        <v>13356.4417086146</v>
      </c>
      <c r="AX148" s="37" t="n">
        <f aca="false">AW159</f>
        <v>2820.77092406755</v>
      </c>
      <c r="AY148" s="37" t="n">
        <f aca="false">AX159</f>
        <v>500</v>
      </c>
      <c r="AZ148" s="37" t="n">
        <f aca="false">AY159</f>
        <v>500</v>
      </c>
      <c r="BA148" s="37" t="n">
        <f aca="false">AZ159</f>
        <v>500</v>
      </c>
      <c r="BB148" s="37" t="n">
        <f aca="false">BA159</f>
        <v>77881.1620517709</v>
      </c>
      <c r="BC148" s="37" t="n">
        <f aca="false">BB159</f>
        <v>69612.9378146237</v>
      </c>
      <c r="BD148" s="37" t="n">
        <f aca="false">BC159</f>
        <v>61924.5195561996</v>
      </c>
      <c r="BE148" s="37" t="n">
        <f aca="false">BD159</f>
        <v>54857.3144164249</v>
      </c>
      <c r="BF148" s="37" t="n">
        <f aca="false">BE159</f>
        <v>48449.2514854452</v>
      </c>
      <c r="BG148" s="37" t="n">
        <f aca="false">BF159</f>
        <v>42734.5696788318</v>
      </c>
      <c r="BH148" s="37" t="n">
        <f aca="false">BG159</f>
        <v>37743.6262497182</v>
      </c>
      <c r="BI148" s="37" t="n">
        <f aca="false">BH159</f>
        <v>33502.7270087412</v>
      </c>
      <c r="BJ148" s="37" t="n">
        <f aca="false">BI159</f>
        <v>30033.9792012677</v>
      </c>
      <c r="BK148" s="37" t="n">
        <f aca="false">BJ159</f>
        <v>27355.1678646759</v>
      </c>
      <c r="BL148" s="37" t="n">
        <f aca="false">BK159</f>
        <v>25479.6563571524</v>
      </c>
      <c r="BM148" s="37" t="n">
        <f aca="false">BL159</f>
        <v>37647.4621205133</v>
      </c>
      <c r="BN148" s="37" t="n">
        <f aca="false">BM159</f>
        <v>145569.112831511</v>
      </c>
      <c r="BO148" s="37" t="n">
        <f aca="false">BN159</f>
        <v>145569.112831511</v>
      </c>
      <c r="BP148" s="37" t="n">
        <f aca="false">BO159</f>
        <v>145569.112831511</v>
      </c>
      <c r="BQ148" s="37" t="n">
        <f aca="false">BP159</f>
        <v>145569.112831511</v>
      </c>
      <c r="BR148" s="37" t="n">
        <f aca="false">BQ159</f>
        <v>145569.112831511</v>
      </c>
      <c r="BS148" s="37" t="n">
        <f aca="false">BR159</f>
        <v>145569.112831511</v>
      </c>
      <c r="BT148" s="37" t="n">
        <f aca="false">BS159</f>
        <v>145569.112831511</v>
      </c>
      <c r="BU148" s="37" t="n">
        <f aca="false">BT159</f>
        <v>145569.112831511</v>
      </c>
      <c r="BV148" s="37" t="n">
        <f aca="false">BU159</f>
        <v>145569.11283151</v>
      </c>
      <c r="BW148" s="37" t="n">
        <f aca="false">BV159</f>
        <v>145569.11283151</v>
      </c>
      <c r="BX148" s="37" t="n">
        <f aca="false">BW159</f>
        <v>145569.11283151</v>
      </c>
      <c r="BY148" s="37" t="n">
        <f aca="false">BX159</f>
        <v>145569.11283151</v>
      </c>
      <c r="BZ148" s="37" t="n">
        <f aca="false">BY159</f>
        <v>253569.11283151</v>
      </c>
      <c r="CA148" s="37" t="n">
        <f aca="false">BZ159</f>
        <v>253569.11283151</v>
      </c>
      <c r="CB148" s="37" t="n">
        <f aca="false">CA159</f>
        <v>253569.11283151</v>
      </c>
      <c r="CC148" s="37" t="n">
        <f aca="false">CB159</f>
        <v>253569.11283151</v>
      </c>
      <c r="CD148" s="37" t="n">
        <f aca="false">CC159</f>
        <v>253569.11283151</v>
      </c>
      <c r="CE148" s="37" t="n">
        <f aca="false">CD159</f>
        <v>253569.11283151</v>
      </c>
      <c r="CF148" s="37" t="n">
        <f aca="false">CE159</f>
        <v>253569.11283151</v>
      </c>
      <c r="CG148" s="37" t="n">
        <f aca="false">CF159</f>
        <v>253569.11283151</v>
      </c>
      <c r="CH148" s="37" t="n">
        <f aca="false">CG159</f>
        <v>253569.11283151</v>
      </c>
      <c r="CI148" s="37" t="n">
        <f aca="false">CH159</f>
        <v>253569.11283151</v>
      </c>
      <c r="CJ148" s="37" t="n">
        <f aca="false">CI159</f>
        <v>253569.11283151</v>
      </c>
      <c r="CK148" s="37" t="n">
        <f aca="false">CJ159</f>
        <v>253569.11283151</v>
      </c>
      <c r="CL148" s="37" t="n">
        <f aca="false">CK159</f>
        <v>253569.11283151</v>
      </c>
      <c r="CM148" s="37" t="n">
        <f aca="false">CL159</f>
        <v>253569.11283151</v>
      </c>
      <c r="CN148" s="37" t="n">
        <f aca="false">CM159</f>
        <v>253569.11283151</v>
      </c>
      <c r="CO148" s="37" t="n">
        <f aca="false">CN159</f>
        <v>253569.11283151</v>
      </c>
      <c r="CP148" s="37" t="n">
        <f aca="false">CO159</f>
        <v>253569.11283151</v>
      </c>
      <c r="CQ148" s="37" t="n">
        <f aca="false">CP159</f>
        <v>253569.11283151</v>
      </c>
      <c r="CR148" s="37" t="n">
        <f aca="false">CQ159</f>
        <v>253569.11283151</v>
      </c>
      <c r="CS148" s="37" t="n">
        <f aca="false">CR159</f>
        <v>253569.11283151</v>
      </c>
      <c r="CT148" s="37" t="n">
        <f aca="false">CS159</f>
        <v>253569.11283151</v>
      </c>
      <c r="CU148" s="37" t="n">
        <f aca="false">CT159</f>
        <v>253569.11283151</v>
      </c>
      <c r="CV148" s="37" t="n">
        <f aca="false">CU159</f>
        <v>253569.11283151</v>
      </c>
      <c r="CW148" s="37" t="n">
        <f aca="false">CV159</f>
        <v>253569.11283151</v>
      </c>
      <c r="CX148" s="37" t="n">
        <f aca="false">CW159</f>
        <v>253569.11283151</v>
      </c>
      <c r="CY148" s="37" t="n">
        <f aca="false">CX159</f>
        <v>253569.11283151</v>
      </c>
      <c r="CZ148" s="37" t="n">
        <f aca="false">CY159</f>
        <v>253569.11283151</v>
      </c>
      <c r="DA148" s="37" t="n">
        <f aca="false">CZ159</f>
        <v>253569.11283151</v>
      </c>
      <c r="DB148" s="37" t="n">
        <f aca="false">DA159</f>
        <v>253569.11283151</v>
      </c>
      <c r="DC148" s="37" t="n">
        <f aca="false">DB159</f>
        <v>253569.11283151</v>
      </c>
      <c r="DD148" s="37" t="n">
        <f aca="false">DC159</f>
        <v>253569.11283151</v>
      </c>
      <c r="DE148" s="37" t="n">
        <f aca="false">DD159</f>
        <v>253569.11283151</v>
      </c>
      <c r="DF148" s="37" t="n">
        <f aca="false">DE159</f>
        <v>253569.11283151</v>
      </c>
      <c r="DG148" s="37" t="n">
        <f aca="false">DF159</f>
        <v>253569.11283151</v>
      </c>
      <c r="DH148" s="37" t="n">
        <f aca="false">DG159</f>
        <v>253569.11283151</v>
      </c>
      <c r="DI148" s="37" t="n">
        <f aca="false">DH159</f>
        <v>253569.11283151</v>
      </c>
      <c r="DJ148" s="37" t="n">
        <f aca="false">DI159</f>
        <v>253569.11283151</v>
      </c>
      <c r="DK148" s="37" t="n">
        <f aca="false">DJ159</f>
        <v>253569.11283151</v>
      </c>
      <c r="DL148" s="37" t="n">
        <f aca="false">DK159</f>
        <v>253569.11283151</v>
      </c>
      <c r="DM148" s="37" t="n">
        <f aca="false">DL159</f>
        <v>253569.11283151</v>
      </c>
      <c r="DN148" s="37" t="n">
        <f aca="false">DM159</f>
        <v>253569.11283151</v>
      </c>
      <c r="DO148" s="37" t="n">
        <f aca="false">DN159</f>
        <v>253569.11283151</v>
      </c>
      <c r="DP148" s="37" t="n">
        <f aca="false">DO159</f>
        <v>253569.11283151</v>
      </c>
      <c r="DQ148" s="37" t="n">
        <f aca="false">DP159</f>
        <v>253569.11283151</v>
      </c>
      <c r="DR148" s="37" t="n">
        <f aca="false">DQ159</f>
        <v>253569.11283151</v>
      </c>
      <c r="DS148" s="37" t="n">
        <f aca="false">DR159</f>
        <v>253569.11283151</v>
      </c>
      <c r="DT148" s="37" t="n">
        <f aca="false">DS159</f>
        <v>253569.11283151</v>
      </c>
      <c r="DU148" s="37" t="n">
        <f aca="false">DT159</f>
        <v>-161258.389449341</v>
      </c>
      <c r="DV148" s="37" t="n">
        <f aca="false">DU159</f>
        <v>-161376.181116007</v>
      </c>
      <c r="DW148" s="37" t="n">
        <f aca="false">DV159</f>
        <v>-161493.972782674</v>
      </c>
      <c r="DX148" s="37" t="n">
        <f aca="false">DW159</f>
        <v>-161611.764449341</v>
      </c>
      <c r="DY148" s="37" t="n">
        <f aca="false">DX159</f>
        <v>-161611.764449341</v>
      </c>
      <c r="DZ148" s="37" t="n">
        <f aca="false">DY159</f>
        <v>-161611.764449341</v>
      </c>
      <c r="EA148" s="37" t="n">
        <f aca="false">DZ159</f>
        <v>-161611.764449341</v>
      </c>
      <c r="EB148" s="37" t="n">
        <f aca="false">EA159</f>
        <v>-161611.764449341</v>
      </c>
      <c r="EC148" s="37" t="n">
        <f aca="false">EB159</f>
        <v>-161611.764449341</v>
      </c>
      <c r="ED148" s="37" t="n">
        <f aca="false">EC159</f>
        <v>-161611.764449341</v>
      </c>
      <c r="EE148" s="37" t="n">
        <f aca="false">ED159</f>
        <v>-161611.764449341</v>
      </c>
      <c r="EF148" s="37" t="n">
        <f aca="false">EE159</f>
        <v>-161611.764449341</v>
      </c>
    </row>
    <row r="149" customFormat="false" ht="15" hidden="false" customHeight="false" outlineLevel="0" collapsed="false">
      <c r="A149" s="36" t="s">
        <v>49</v>
      </c>
      <c r="B149" s="278" t="s">
        <v>21</v>
      </c>
      <c r="C149" s="279" t="n">
        <f aca="false">SUM(E149:EF149)</f>
        <v>39980.4403268383</v>
      </c>
      <c r="E149" s="37" t="n">
        <f aca="false">MAX(0,E148)*②시니어_가정!$D$553/12</f>
        <v>0</v>
      </c>
      <c r="F149" s="37" t="n">
        <f aca="false">MAX(0,F148)*②시니어_가정!$D$553/12</f>
        <v>8.35683611580305</v>
      </c>
      <c r="G149" s="37" t="n">
        <f aca="false">MAX(0,G148)*②시니어_가정!$D$553/12</f>
        <v>8.12908237275923</v>
      </c>
      <c r="H149" s="37" t="n">
        <f aca="false">MAX(0,H148)*②시니어_가정!$D$553/12</f>
        <v>7.90075924535779</v>
      </c>
      <c r="I149" s="37" t="n">
        <f aca="false">MAX(0,I148)*②시니어_가정!$D$553/12</f>
        <v>0</v>
      </c>
      <c r="J149" s="37" t="n">
        <f aca="false">MAX(0,J148)*②시니어_가정!$D$553/12</f>
        <v>0</v>
      </c>
      <c r="K149" s="37" t="n">
        <f aca="false">MAX(0,K148)*②시니어_가정!$D$553/12</f>
        <v>0</v>
      </c>
      <c r="L149" s="37" t="n">
        <f aca="false">MAX(0,L148)*②시니어_가정!$D$553/12</f>
        <v>0</v>
      </c>
      <c r="M149" s="37" t="n">
        <f aca="false">MAX(0,M148)*②시니어_가정!$D$553/12</f>
        <v>0</v>
      </c>
      <c r="N149" s="37" t="n">
        <f aca="false">MAX(0,N148)*②시니어_가정!$D$553/12</f>
        <v>0</v>
      </c>
      <c r="O149" s="37" t="n">
        <f aca="false">MAX(0,O148)*②시니어_가정!$D$553/12</f>
        <v>0</v>
      </c>
      <c r="P149" s="37" t="n">
        <f aca="false">MAX(0,P148)*②시니어_가정!$D$553/12</f>
        <v>0</v>
      </c>
      <c r="Q149" s="37" t="n">
        <f aca="false">MAX(0,Q148)*②시니어_가정!$D$553/12</f>
        <v>0</v>
      </c>
      <c r="R149" s="37" t="n">
        <f aca="false">MAX(0,R148)*②시니어_가정!$D$553/12</f>
        <v>105.700111070823</v>
      </c>
      <c r="S149" s="37" t="n">
        <f aca="false">MAX(0,S148)*②시니어_가정!$D$553/12</f>
        <v>105.715715515167</v>
      </c>
      <c r="T149" s="37" t="n">
        <f aca="false">MAX(0,T148)*②시니어_가정!$D$553/12</f>
        <v>105.731358970621</v>
      </c>
      <c r="U149" s="37" t="n">
        <f aca="false">MAX(0,U148)*②시니어_가정!$D$553/12</f>
        <v>105.747041534715</v>
      </c>
      <c r="V149" s="37" t="n">
        <f aca="false">MAX(0,V148)*②시니어_가정!$D$553/12</f>
        <v>105.762763305218</v>
      </c>
      <c r="W149" s="37" t="n">
        <f aca="false">MAX(0,W148)*②시니어_가정!$D$553/12</f>
        <v>105.778524380148</v>
      </c>
      <c r="X149" s="37" t="n">
        <f aca="false">MAX(0,X148)*②시니어_가정!$D$553/12</f>
        <v>124.047654622278</v>
      </c>
      <c r="Y149" s="37" t="n">
        <f aca="false">MAX(0,Y148)*②시니어_가정!$D$553/12</f>
        <v>119.968484758731</v>
      </c>
      <c r="Z149" s="37" t="n">
        <f aca="false">MAX(0,Z148)*②시니어_가정!$D$553/12</f>
        <v>113.854124827001</v>
      </c>
      <c r="AA149" s="37" t="n">
        <f aca="false">MAX(0,AA148)*②시니어_가정!$D$553/12</f>
        <v>105.727958144441</v>
      </c>
      <c r="AB149" s="37" t="n">
        <f aca="false">MAX(0,AB148)*②시니어_가정!$D$553/12</f>
        <v>95.6245918411592</v>
      </c>
      <c r="AC149" s="37" t="n">
        <f aca="false">MAX(0,AC148)*②시니어_가정!$D$553/12</f>
        <v>83.5896632553461</v>
      </c>
      <c r="AD149" s="37" t="n">
        <f aca="false">MAX(0,AD148)*②시니어_가정!$D$553/12</f>
        <v>285.679584643028</v>
      </c>
      <c r="AE149" s="37" t="n">
        <f aca="false">MAX(0,AE148)*②시니어_가정!$D$553/12</f>
        <v>270.501227629944</v>
      </c>
      <c r="AF149" s="37" t="n">
        <f aca="false">MAX(0,AF148)*②시니어_가정!$D$553/12</f>
        <v>253.592899170216</v>
      </c>
      <c r="AG149" s="37" t="n">
        <f aca="false">MAX(0,AG148)*②시니어_가정!$D$553/12</f>
        <v>235.041214478601</v>
      </c>
      <c r="AH149" s="37" t="n">
        <f aca="false">MAX(0,AH148)*②시니어_가정!$D$553/12</f>
        <v>214.941959226966</v>
      </c>
      <c r="AI149" s="37" t="n">
        <f aca="false">MAX(0,AI148)*②시니어_가정!$D$553/12</f>
        <v>193.399553822322</v>
      </c>
      <c r="AJ149" s="37" t="n">
        <f aca="false">MAX(0,AJ148)*②시니어_가정!$D$553/12</f>
        <v>170.526469395773</v>
      </c>
      <c r="AK149" s="37" t="n">
        <f aca="false">MAX(0,AK148)*②시니어_가정!$D$553/12</f>
        <v>146.442598768446</v>
      </c>
      <c r="AL149" s="37" t="n">
        <f aca="false">MAX(0,AL148)*②시니어_가정!$D$553/12</f>
        <v>121.274585912176</v>
      </c>
      <c r="AM149" s="37" t="n">
        <f aca="false">MAX(0,AM148)*②시니어_가정!$D$553/12</f>
        <v>95.1551176549103</v>
      </c>
      <c r="AN149" s="37" t="n">
        <f aca="false">MAX(0,AN148)*②시니어_가정!$D$553/12</f>
        <v>68.2221815918686</v>
      </c>
      <c r="AO149" s="37" t="n">
        <f aca="false">MAX(0,AO148)*②시니어_가정!$D$553/12</f>
        <v>40.6182943525497</v>
      </c>
      <c r="AP149" s="37" t="n">
        <f aca="false">MAX(0,AP148)*②시니어_가정!$D$553/12</f>
        <v>228.489704539408</v>
      </c>
      <c r="AQ149" s="37" t="n">
        <f aca="false">MAX(0,AQ148)*②시니어_가정!$D$553/12</f>
        <v>200.525574795698</v>
      </c>
      <c r="AR149" s="37" t="n">
        <f aca="false">MAX(0,AR148)*②시니어_가정!$D$553/12</f>
        <v>172.338497576699</v>
      </c>
      <c r="AS149" s="37" t="n">
        <f aca="false">MAX(0,AS148)*②시니어_가정!$D$553/12</f>
        <v>144.080952664653</v>
      </c>
      <c r="AT149" s="37" t="n">
        <f aca="false">MAX(0,AT148)*②시니어_가정!$D$553/12</f>
        <v>115.905801041256</v>
      </c>
      <c r="AU149" s="37" t="n">
        <f aca="false">MAX(0,AU148)*②시니어_가정!$D$553/12</f>
        <v>87.9654299948357</v>
      </c>
      <c r="AV149" s="37" t="n">
        <f aca="false">MAX(0,AV148)*②시니어_가정!$D$553/12</f>
        <v>60.4109008765241</v>
      </c>
      <c r="AW149" s="37" t="n">
        <f aca="false">MAX(0,AW148)*②시니어_가정!$D$553/12</f>
        <v>33.3911042715364</v>
      </c>
      <c r="AX149" s="37" t="n">
        <f aca="false">MAX(0,AX148)*②시니어_가정!$D$553/12</f>
        <v>7.05192731016888</v>
      </c>
      <c r="AY149" s="37" t="n">
        <f aca="false">MAX(0,AY148)*②시니어_가정!$D$553/12</f>
        <v>1.25</v>
      </c>
      <c r="AZ149" s="37" t="n">
        <f aca="false">MAX(0,AZ148)*②시니어_가정!$D$553/12</f>
        <v>1.25</v>
      </c>
      <c r="BA149" s="37" t="n">
        <f aca="false">MAX(0,BA148)*②시니어_가정!$D$553/12</f>
        <v>1.25</v>
      </c>
      <c r="BB149" s="37" t="n">
        <f aca="false">MAX(0,BB148)*②시니어_가정!$D$553/12</f>
        <v>194.702905129427</v>
      </c>
      <c r="BC149" s="37" t="n">
        <f aca="false">MAX(0,BC148)*②시니어_가정!$D$553/12</f>
        <v>174.032344536559</v>
      </c>
      <c r="BD149" s="37" t="n">
        <f aca="false">MAX(0,BD148)*②시니어_가정!$D$553/12</f>
        <v>154.811298890499</v>
      </c>
      <c r="BE149" s="37" t="n">
        <f aca="false">MAX(0,BE148)*②시니어_가정!$D$553/12</f>
        <v>137.143286041062</v>
      </c>
      <c r="BF149" s="37" t="n">
        <f aca="false">MAX(0,BF148)*②시니어_가정!$D$553/12</f>
        <v>121.123128713613</v>
      </c>
      <c r="BG149" s="37" t="n">
        <f aca="false">MAX(0,BG148)*②시니어_가정!$D$553/12</f>
        <v>106.836424197079</v>
      </c>
      <c r="BH149" s="37" t="n">
        <f aca="false">MAX(0,BH148)*②시니어_가정!$D$553/12</f>
        <v>94.3590656242954</v>
      </c>
      <c r="BI149" s="37" t="n">
        <f aca="false">MAX(0,BI148)*②시니어_가정!$D$553/12</f>
        <v>83.7568175218531</v>
      </c>
      <c r="BJ149" s="37" t="n">
        <f aca="false">MAX(0,BJ148)*②시니어_가정!$D$553/12</f>
        <v>75.0849480031692</v>
      </c>
      <c r="BK149" s="37" t="n">
        <f aca="false">MAX(0,BK148)*②시니어_가정!$D$553/12</f>
        <v>68.3879196616896</v>
      </c>
      <c r="BL149" s="37" t="n">
        <f aca="false">MAX(0,BL148)*②시니어_가정!$D$553/12</f>
        <v>63.699140892881</v>
      </c>
      <c r="BM149" s="37" t="n">
        <f aca="false">MAX(0,BM148)*②시니어_가정!$D$553/12</f>
        <v>94.1186553012833</v>
      </c>
      <c r="BN149" s="37" t="n">
        <f aca="false">MAX(0,BN148)*②시니어_가정!$D$553/12</f>
        <v>363.922782078777</v>
      </c>
      <c r="BO149" s="37" t="n">
        <f aca="false">MAX(0,BO148)*②시니어_가정!$D$553/12</f>
        <v>363.922782078777</v>
      </c>
      <c r="BP149" s="37" t="n">
        <f aca="false">MAX(0,BP148)*②시니어_가정!$D$553/12</f>
        <v>363.922782078777</v>
      </c>
      <c r="BQ149" s="37" t="n">
        <f aca="false">MAX(0,BQ148)*②시니어_가정!$D$553/12</f>
        <v>363.922782078777</v>
      </c>
      <c r="BR149" s="37" t="n">
        <f aca="false">MAX(0,BR148)*②시니어_가정!$D$553/12</f>
        <v>363.922782078776</v>
      </c>
      <c r="BS149" s="37" t="n">
        <f aca="false">MAX(0,BS148)*②시니어_가정!$D$553/12</f>
        <v>363.922782078776</v>
      </c>
      <c r="BT149" s="37" t="n">
        <f aca="false">MAX(0,BT148)*②시니어_가정!$D$553/12</f>
        <v>363.922782078776</v>
      </c>
      <c r="BU149" s="37" t="n">
        <f aca="false">MAX(0,BU148)*②시니어_가정!$D$553/12</f>
        <v>363.922782078776</v>
      </c>
      <c r="BV149" s="37" t="n">
        <f aca="false">MAX(0,BV148)*②시니어_가정!$D$553/12</f>
        <v>363.922782078776</v>
      </c>
      <c r="BW149" s="37" t="n">
        <f aca="false">MAX(0,BW148)*②시니어_가정!$D$553/12</f>
        <v>363.922782078776</v>
      </c>
      <c r="BX149" s="37" t="n">
        <f aca="false">MAX(0,BX148)*②시니어_가정!$D$553/12</f>
        <v>363.922782078776</v>
      </c>
      <c r="BY149" s="37" t="n">
        <f aca="false">MAX(0,BY148)*②시니어_가정!$D$553/12</f>
        <v>363.922782078776</v>
      </c>
      <c r="BZ149" s="37" t="n">
        <f aca="false">MAX(0,BZ148)*②시니어_가정!$D$553/12</f>
        <v>633.922782078776</v>
      </c>
      <c r="CA149" s="37" t="n">
        <f aca="false">MAX(0,CA148)*②시니어_가정!$D$553/12</f>
        <v>633.922782078776</v>
      </c>
      <c r="CB149" s="37" t="n">
        <f aca="false">MAX(0,CB148)*②시니어_가정!$D$553/12</f>
        <v>633.922782078776</v>
      </c>
      <c r="CC149" s="37" t="n">
        <f aca="false">MAX(0,CC148)*②시니어_가정!$D$553/12</f>
        <v>633.922782078776</v>
      </c>
      <c r="CD149" s="37" t="n">
        <f aca="false">MAX(0,CD148)*②시니어_가정!$D$553/12</f>
        <v>633.922782078776</v>
      </c>
      <c r="CE149" s="37" t="n">
        <f aca="false">MAX(0,CE148)*②시니어_가정!$D$553/12</f>
        <v>633.922782078776</v>
      </c>
      <c r="CF149" s="37" t="n">
        <f aca="false">MAX(0,CF148)*②시니어_가정!$D$553/12</f>
        <v>633.922782078776</v>
      </c>
      <c r="CG149" s="37" t="n">
        <f aca="false">MAX(0,CG148)*②시니어_가정!$D$553/12</f>
        <v>633.922782078776</v>
      </c>
      <c r="CH149" s="37" t="n">
        <f aca="false">MAX(0,CH148)*②시니어_가정!$D$553/12</f>
        <v>633.922782078776</v>
      </c>
      <c r="CI149" s="37" t="n">
        <f aca="false">MAX(0,CI148)*②시니어_가정!$D$553/12</f>
        <v>633.922782078776</v>
      </c>
      <c r="CJ149" s="37" t="n">
        <f aca="false">MAX(0,CJ148)*②시니어_가정!$D$553/12</f>
        <v>633.922782078776</v>
      </c>
      <c r="CK149" s="37" t="n">
        <f aca="false">MAX(0,CK148)*②시니어_가정!$D$553/12</f>
        <v>633.922782078776</v>
      </c>
      <c r="CL149" s="37" t="n">
        <f aca="false">MAX(0,CL148)*②시니어_가정!$D$553/12</f>
        <v>633.922782078776</v>
      </c>
      <c r="CM149" s="37" t="n">
        <f aca="false">MAX(0,CM148)*②시니어_가정!$D$553/12</f>
        <v>633.922782078776</v>
      </c>
      <c r="CN149" s="37" t="n">
        <f aca="false">MAX(0,CN148)*②시니어_가정!$D$553/12</f>
        <v>633.922782078776</v>
      </c>
      <c r="CO149" s="37" t="n">
        <f aca="false">MAX(0,CO148)*②시니어_가정!$D$553/12</f>
        <v>633.922782078776</v>
      </c>
      <c r="CP149" s="37" t="n">
        <f aca="false">MAX(0,CP148)*②시니어_가정!$D$553/12</f>
        <v>633.922782078776</v>
      </c>
      <c r="CQ149" s="37" t="n">
        <f aca="false">MAX(0,CQ148)*②시니어_가정!$D$553/12</f>
        <v>633.922782078776</v>
      </c>
      <c r="CR149" s="37" t="n">
        <f aca="false">MAX(0,CR148)*②시니어_가정!$D$553/12</f>
        <v>633.922782078776</v>
      </c>
      <c r="CS149" s="37" t="n">
        <f aca="false">MAX(0,CS148)*②시니어_가정!$D$553/12</f>
        <v>633.922782078776</v>
      </c>
      <c r="CT149" s="37" t="n">
        <f aca="false">MAX(0,CT148)*②시니어_가정!$D$553/12</f>
        <v>633.922782078776</v>
      </c>
      <c r="CU149" s="37" t="n">
        <f aca="false">MAX(0,CU148)*②시니어_가정!$D$553/12</f>
        <v>633.922782078776</v>
      </c>
      <c r="CV149" s="37" t="n">
        <f aca="false">MAX(0,CV148)*②시니어_가정!$D$553/12</f>
        <v>633.922782078776</v>
      </c>
      <c r="CW149" s="37" t="n">
        <f aca="false">MAX(0,CW148)*②시니어_가정!$D$553/12</f>
        <v>633.922782078776</v>
      </c>
      <c r="CX149" s="37" t="n">
        <f aca="false">MAX(0,CX148)*②시니어_가정!$D$553/12</f>
        <v>633.922782078776</v>
      </c>
      <c r="CY149" s="37" t="n">
        <f aca="false">MAX(0,CY148)*②시니어_가정!$D$553/12</f>
        <v>633.922782078776</v>
      </c>
      <c r="CZ149" s="37" t="n">
        <f aca="false">MAX(0,CZ148)*②시니어_가정!$D$553/12</f>
        <v>633.922782078776</v>
      </c>
      <c r="DA149" s="37" t="n">
        <f aca="false">MAX(0,DA148)*②시니어_가정!$D$553/12</f>
        <v>633.922782078776</v>
      </c>
      <c r="DB149" s="37" t="n">
        <f aca="false">MAX(0,DB148)*②시니어_가정!$D$553/12</f>
        <v>633.922782078776</v>
      </c>
      <c r="DC149" s="37" t="n">
        <f aca="false">MAX(0,DC148)*②시니어_가정!$D$553/12</f>
        <v>633.922782078776</v>
      </c>
      <c r="DD149" s="37" t="n">
        <f aca="false">MAX(0,DD148)*②시니어_가정!$D$553/12</f>
        <v>633.922782078776</v>
      </c>
      <c r="DE149" s="37" t="n">
        <f aca="false">MAX(0,DE148)*②시니어_가정!$D$553/12</f>
        <v>633.922782078776</v>
      </c>
      <c r="DF149" s="37" t="n">
        <f aca="false">MAX(0,DF148)*②시니어_가정!$D$553/12</f>
        <v>633.922782078776</v>
      </c>
      <c r="DG149" s="37" t="n">
        <f aca="false">MAX(0,DG148)*②시니어_가정!$D$553/12</f>
        <v>633.922782078776</v>
      </c>
      <c r="DH149" s="37" t="n">
        <f aca="false">MAX(0,DH148)*②시니어_가정!$D$553/12</f>
        <v>633.922782078776</v>
      </c>
      <c r="DI149" s="37" t="n">
        <f aca="false">MAX(0,DI148)*②시니어_가정!$D$553/12</f>
        <v>633.922782078776</v>
      </c>
      <c r="DJ149" s="37" t="n">
        <f aca="false">MAX(0,DJ148)*②시니어_가정!$D$553/12</f>
        <v>633.922782078776</v>
      </c>
      <c r="DK149" s="37" t="n">
        <f aca="false">MAX(0,DK148)*②시니어_가정!$D$553/12</f>
        <v>633.922782078776</v>
      </c>
      <c r="DL149" s="37" t="n">
        <f aca="false">MAX(0,DL148)*②시니어_가정!$D$553/12</f>
        <v>633.922782078776</v>
      </c>
      <c r="DM149" s="37" t="n">
        <f aca="false">MAX(0,DM148)*②시니어_가정!$D$553/12</f>
        <v>633.922782078776</v>
      </c>
      <c r="DN149" s="37" t="n">
        <f aca="false">MAX(0,DN148)*②시니어_가정!$D$553/12</f>
        <v>633.922782078776</v>
      </c>
      <c r="DO149" s="37" t="n">
        <f aca="false">MAX(0,DO148)*②시니어_가정!$D$553/12</f>
        <v>633.922782078776</v>
      </c>
      <c r="DP149" s="37" t="n">
        <f aca="false">MAX(0,DP148)*②시니어_가정!$D$553/12</f>
        <v>633.922782078776</v>
      </c>
      <c r="DQ149" s="37" t="n">
        <f aca="false">MAX(0,DQ148)*②시니어_가정!$D$553/12</f>
        <v>633.922782078776</v>
      </c>
      <c r="DR149" s="37" t="n">
        <f aca="false">MAX(0,DR148)*②시니어_가정!$D$553/12</f>
        <v>633.922782078776</v>
      </c>
      <c r="DS149" s="37" t="n">
        <f aca="false">MAX(0,DS148)*②시니어_가정!$D$553/12</f>
        <v>633.922782078776</v>
      </c>
      <c r="DT149" s="37" t="n">
        <f aca="false">MAX(0,DT148)*②시니어_가정!$D$553/12</f>
        <v>633.922782078776</v>
      </c>
      <c r="DU149" s="37" t="n">
        <f aca="false">MAX(0,DU148)*②시니어_가정!$D$553/12</f>
        <v>0</v>
      </c>
      <c r="DV149" s="37" t="n">
        <f aca="false">MAX(0,DV148)*②시니어_가정!$D$553/12</f>
        <v>0</v>
      </c>
      <c r="DW149" s="37" t="n">
        <f aca="false">MAX(0,DW148)*②시니어_가정!$D$553/12</f>
        <v>0</v>
      </c>
      <c r="DX149" s="37" t="n">
        <f aca="false">MAX(0,DX148)*②시니어_가정!$D$553/12</f>
        <v>0</v>
      </c>
      <c r="DY149" s="37" t="n">
        <f aca="false">MAX(0,DY148)*②시니어_가정!$D$553/12</f>
        <v>0</v>
      </c>
      <c r="DZ149" s="37" t="n">
        <f aca="false">MAX(0,DZ148)*②시니어_가정!$D$553/12</f>
        <v>0</v>
      </c>
      <c r="EA149" s="37" t="n">
        <f aca="false">MAX(0,EA148)*②시니어_가정!$D$553/12</f>
        <v>0</v>
      </c>
      <c r="EB149" s="37" t="n">
        <f aca="false">MAX(0,EB148)*②시니어_가정!$D$553/12</f>
        <v>0</v>
      </c>
      <c r="EC149" s="37" t="n">
        <f aca="false">MAX(0,EC148)*②시니어_가정!$D$553/12</f>
        <v>0</v>
      </c>
      <c r="ED149" s="37" t="n">
        <f aca="false">MAX(0,ED148)*②시니어_가정!$D$553/12</f>
        <v>0</v>
      </c>
      <c r="EE149" s="37" t="n">
        <f aca="false">MAX(0,EE148)*②시니어_가정!$D$553/12</f>
        <v>0</v>
      </c>
      <c r="EF149" s="37" t="n">
        <f aca="false">MAX(0,EF148)*②시니어_가정!$D$553/12</f>
        <v>0</v>
      </c>
    </row>
    <row r="150" customFormat="false" ht="15" hidden="false" customHeight="false" outlineLevel="0" collapsed="false">
      <c r="A150" s="36" t="s">
        <v>680</v>
      </c>
      <c r="B150" s="278" t="s">
        <v>21</v>
      </c>
      <c r="C150" s="279" t="n">
        <f aca="false">SUM(E150:EF150)</f>
        <v>1003812.18733606</v>
      </c>
      <c r="E150" s="37" t="n">
        <f aca="false">E142+E84+E41+E127+E134+E149+E145</f>
        <v>4369.01523517956</v>
      </c>
      <c r="F150" s="37" t="n">
        <f aca="false">F142+F84+F41+F127+F134+F149+F145</f>
        <v>8.35683611580305</v>
      </c>
      <c r="G150" s="37" t="n">
        <f aca="false">G142+G84+G41+G127+G134+G149+G145</f>
        <v>8.12908237275923</v>
      </c>
      <c r="H150" s="37" t="n">
        <f aca="false">H142+H84+H41+H127+H134+H149+H145</f>
        <v>7.90075924535779</v>
      </c>
      <c r="I150" s="37" t="n">
        <f aca="false">I142+I84+I41+I127+I134+I149+I145</f>
        <v>0</v>
      </c>
      <c r="J150" s="37" t="n">
        <f aca="false">J142+J84+J41+J127+J134+J149+J145</f>
        <v>0</v>
      </c>
      <c r="K150" s="37" t="n">
        <f aca="false">K142+K84+K41+K127+K134+K149+K145</f>
        <v>0</v>
      </c>
      <c r="L150" s="37" t="n">
        <f aca="false">L142+L84+L41+L127+L134+L149+L145</f>
        <v>0</v>
      </c>
      <c r="M150" s="37" t="n">
        <f aca="false">M142+M84+M41+M127+M134+M149+M145</f>
        <v>0</v>
      </c>
      <c r="N150" s="37" t="n">
        <f aca="false">N142+N84+N41+N127+N134+N149+N145</f>
        <v>0</v>
      </c>
      <c r="O150" s="37" t="n">
        <f aca="false">O142+O84+O41+O127+O134+O149+O145</f>
        <v>0</v>
      </c>
      <c r="P150" s="37" t="n">
        <f aca="false">P142+P84+P41+P127+P134+P149+P145</f>
        <v>0</v>
      </c>
      <c r="Q150" s="37" t="n">
        <f aca="false">Q142+Q84+Q41+Q127+Q134+Q149+Q145</f>
        <v>43200</v>
      </c>
      <c r="R150" s="37" t="n">
        <f aca="false">R142+R84+R41+R127+R134+R149+R145</f>
        <v>105.700111070823</v>
      </c>
      <c r="S150" s="37" t="n">
        <f aca="false">S142+S84+S41+S127+S134+S149+S145</f>
        <v>105.715715515167</v>
      </c>
      <c r="T150" s="37" t="n">
        <f aca="false">T142+T84+T41+T127+T134+T149+T145</f>
        <v>105.731358970621</v>
      </c>
      <c r="U150" s="37" t="n">
        <f aca="false">U142+U84+U41+U127+U134+U149+U145</f>
        <v>105.747041534715</v>
      </c>
      <c r="V150" s="37" t="n">
        <f aca="false">V142+V84+V41+V127+V134+V149+V145</f>
        <v>105.762763305218</v>
      </c>
      <c r="W150" s="37" t="n">
        <f aca="false">W142+W84+W41+W127+W134+W149+W145</f>
        <v>75101.2543914632</v>
      </c>
      <c r="X150" s="37" t="n">
        <f aca="false">X142+X84+X41+X127+X134+X149+X145</f>
        <v>124.047654622278</v>
      </c>
      <c r="Y150" s="37" t="n">
        <f aca="false">Y142+Y84+Y41+Y127+Y134+Y149+Y145</f>
        <v>119.968484758731</v>
      </c>
      <c r="Z150" s="37" t="n">
        <f aca="false">Z142+Z84+Z41+Z127+Z134+Z149+Z145</f>
        <v>113.854124827001</v>
      </c>
      <c r="AA150" s="37" t="n">
        <f aca="false">AA142+AA84+AA41+AA127+AA134+AA149+AA145</f>
        <v>105.727958144441</v>
      </c>
      <c r="AB150" s="37" t="n">
        <f aca="false">AB142+AB84+AB41+AB127+AB134+AB149+AB145</f>
        <v>95.6245918411592</v>
      </c>
      <c r="AC150" s="37" t="n">
        <f aca="false">AC142+AC84+AC41+AC127+AC134+AC149+AC145</f>
        <v>86483.5896632554</v>
      </c>
      <c r="AD150" s="37" t="n">
        <f aca="false">AD142+AD84+AD41+AD127+AD134+AD149+AD145</f>
        <v>285.679584643028</v>
      </c>
      <c r="AE150" s="37" t="n">
        <f aca="false">AE142+AE84+AE41+AE127+AE134+AE149+AE145</f>
        <v>270.501227629944</v>
      </c>
      <c r="AF150" s="37" t="n">
        <f aca="false">AF142+AF84+AF41+AF127+AF134+AF149+AF145</f>
        <v>253.592899170216</v>
      </c>
      <c r="AG150" s="37" t="n">
        <f aca="false">AG142+AG84+AG41+AG127+AG134+AG149+AG145</f>
        <v>235.041214478601</v>
      </c>
      <c r="AH150" s="37" t="n">
        <f aca="false">AH142+AH84+AH41+AH127+AH134+AH149+AH145</f>
        <v>214.941959226966</v>
      </c>
      <c r="AI150" s="37" t="n">
        <f aca="false">AI142+AI84+AI41+AI127+AI134+AI149+AI145</f>
        <v>193.399553822322</v>
      </c>
      <c r="AJ150" s="37" t="n">
        <f aca="false">AJ142+AJ84+AJ41+AJ127+AJ134+AJ149+AJ145</f>
        <v>170.526469395773</v>
      </c>
      <c r="AK150" s="37" t="n">
        <f aca="false">AK142+AK84+AK41+AK127+AK134+AK149+AK145</f>
        <v>146.442598768446</v>
      </c>
      <c r="AL150" s="37" t="n">
        <f aca="false">AL142+AL84+AL41+AL127+AL134+AL149+AL145</f>
        <v>121.274585912176</v>
      </c>
      <c r="AM150" s="37" t="n">
        <f aca="false">AM142+AM84+AM41+AM127+AM134+AM149+AM145</f>
        <v>95.1551176549103</v>
      </c>
      <c r="AN150" s="37" t="n">
        <f aca="false">AN142+AN84+AN41+AN127+AN134+AN149+AN145</f>
        <v>68.2221815918686</v>
      </c>
      <c r="AO150" s="37" t="n">
        <f aca="false">AO142+AO84+AO41+AO127+AO134+AO149+AO145</f>
        <v>86440.6182943526</v>
      </c>
      <c r="AP150" s="37" t="n">
        <f aca="false">AP142+AP84+AP41+AP127+AP134+AP149+AP145</f>
        <v>228.489704539408</v>
      </c>
      <c r="AQ150" s="37" t="n">
        <f aca="false">AQ142+AQ84+AQ41+AQ127+AQ134+AQ149+AQ145</f>
        <v>200.525574795698</v>
      </c>
      <c r="AR150" s="37" t="n">
        <f aca="false">AR142+AR84+AR41+AR127+AR134+AR149+AR145</f>
        <v>172.338497576699</v>
      </c>
      <c r="AS150" s="37" t="n">
        <f aca="false">AS142+AS84+AS41+AS127+AS134+AS149+AS145</f>
        <v>144.080952664653</v>
      </c>
      <c r="AT150" s="37" t="n">
        <f aca="false">AT142+AT84+AT41+AT127+AT134+AT149+AT145</f>
        <v>115.905801041256</v>
      </c>
      <c r="AU150" s="37" t="n">
        <f aca="false">AU142+AU84+AU41+AU127+AU134+AU149+AU145</f>
        <v>87.9654299948357</v>
      </c>
      <c r="AV150" s="37" t="n">
        <f aca="false">AV142+AV84+AV41+AV127+AV134+AV149+AV145</f>
        <v>60.4109008765241</v>
      </c>
      <c r="AW150" s="37" t="n">
        <f aca="false">AW142+AW84+AW41+AW127+AW134+AW149+AW145</f>
        <v>33.3911042715364</v>
      </c>
      <c r="AX150" s="37" t="n">
        <f aca="false">AX142+AX84+AX41+AX127+AX134+AX149+AX145</f>
        <v>7.05192731016888</v>
      </c>
      <c r="AY150" s="37" t="n">
        <f aca="false">AY142+AY84+AY41+AY127+AY134+AY149+AY145</f>
        <v>1.25</v>
      </c>
      <c r="AZ150" s="37" t="n">
        <f aca="false">AZ142+AZ84+AZ41+AZ127+AZ134+AZ149+AZ145</f>
        <v>1.25</v>
      </c>
      <c r="BA150" s="37" t="n">
        <f aca="false">BA142+BA84+BA41+BA127+BA134+BA149+BA145</f>
        <v>86401.25</v>
      </c>
      <c r="BB150" s="37" t="n">
        <f aca="false">BB142+BB84+BB41+BB127+BB134+BB149+BB145</f>
        <v>194.702905129427</v>
      </c>
      <c r="BC150" s="37" t="n">
        <f aca="false">BC142+BC84+BC41+BC127+BC134+BC149+BC145</f>
        <v>174.032344536559</v>
      </c>
      <c r="BD150" s="37" t="n">
        <f aca="false">BD142+BD84+BD41+BD127+BD134+BD149+BD145</f>
        <v>154.811298890499</v>
      </c>
      <c r="BE150" s="37" t="n">
        <f aca="false">BE142+BE84+BE41+BE127+BE134+BE149+BE145</f>
        <v>137.143286041062</v>
      </c>
      <c r="BF150" s="37" t="n">
        <f aca="false">BF142+BF84+BF41+BF127+BF134+BF149+BF145</f>
        <v>121.123128713613</v>
      </c>
      <c r="BG150" s="37" t="n">
        <f aca="false">BG142+BG84+BG41+BG127+BG134+BG149+BG145</f>
        <v>106.836424197079</v>
      </c>
      <c r="BH150" s="37" t="n">
        <f aca="false">BH142+BH84+BH41+BH127+BH134+BH149+BH145</f>
        <v>94.3590656242954</v>
      </c>
      <c r="BI150" s="37" t="n">
        <f aca="false">BI142+BI84+BI41+BI127+BI134+BI149+BI145</f>
        <v>83.7568175218531</v>
      </c>
      <c r="BJ150" s="37" t="n">
        <f aca="false">BJ142+BJ84+BJ41+BJ127+BJ134+BJ149+BJ145</f>
        <v>75.0849480031692</v>
      </c>
      <c r="BK150" s="37" t="n">
        <f aca="false">BK142+BK84+BK41+BK127+BK134+BK149+BK145</f>
        <v>68.3879196616896</v>
      </c>
      <c r="BL150" s="37" t="n">
        <f aca="false">BL142+BL84+BL41+BL127+BL134+BL149+BL145</f>
        <v>47518.7991408928</v>
      </c>
      <c r="BM150" s="37" t="n">
        <f aca="false">BM142+BM84+BM41+BM127+BM134+BM149+BM145</f>
        <v>132830.699055301</v>
      </c>
      <c r="BN150" s="37" t="n">
        <f aca="false">BN142+BN84+BN41+BN127+BN134+BN149+BN145</f>
        <v>2000.50318207878</v>
      </c>
      <c r="BO150" s="37" t="n">
        <f aca="false">BO142+BO84+BO41+BO127+BO134+BO149+BO145</f>
        <v>2000.50318207878</v>
      </c>
      <c r="BP150" s="37" t="n">
        <f aca="false">BP142+BP84+BP41+BP127+BP134+BP149+BP145</f>
        <v>2000.50318207878</v>
      </c>
      <c r="BQ150" s="37" t="n">
        <f aca="false">BQ142+BQ84+BQ41+BQ127+BQ134+BQ149+BQ145</f>
        <v>2000.50318207878</v>
      </c>
      <c r="BR150" s="37" t="n">
        <f aca="false">BR142+BR84+BR41+BR127+BR134+BR149+BR145</f>
        <v>2000.50318207878</v>
      </c>
      <c r="BS150" s="37" t="n">
        <f aca="false">BS142+BS84+BS41+BS127+BS134+BS149+BS145</f>
        <v>2000.50318207878</v>
      </c>
      <c r="BT150" s="37" t="n">
        <f aca="false">BT142+BT84+BT41+BT127+BT134+BT149+BT145</f>
        <v>2000.50318207878</v>
      </c>
      <c r="BU150" s="37" t="n">
        <f aca="false">BU142+BU84+BU41+BU127+BU134+BU149+BU145</f>
        <v>2000.50318207878</v>
      </c>
      <c r="BV150" s="37" t="n">
        <f aca="false">BV142+BV84+BV41+BV127+BV134+BV149+BV145</f>
        <v>2000.50318207878</v>
      </c>
      <c r="BW150" s="37" t="n">
        <f aca="false">BW142+BW84+BW41+BW127+BW134+BW149+BW145</f>
        <v>2000.50318207878</v>
      </c>
      <c r="BX150" s="37" t="n">
        <f aca="false">BX142+BX84+BX41+BX127+BX134+BX149+BX145</f>
        <v>2000.50318207878</v>
      </c>
      <c r="BY150" s="37" t="n">
        <f aca="false">BY142+BY84+BY41+BY127+BY134+BY149+BY145</f>
        <v>110413.286790079</v>
      </c>
      <c r="BZ150" s="37" t="n">
        <f aca="false">BZ142+BZ84+BZ41+BZ127+BZ134+BZ149+BZ145</f>
        <v>2683.28679007878</v>
      </c>
      <c r="CA150" s="37" t="n">
        <f aca="false">CA142+CA84+CA41+CA127+CA134+CA149+CA145</f>
        <v>2683.28679007878</v>
      </c>
      <c r="CB150" s="37" t="n">
        <f aca="false">CB142+CB84+CB41+CB127+CB134+CB149+CB145</f>
        <v>2683.28679007878</v>
      </c>
      <c r="CC150" s="37" t="n">
        <f aca="false">CC142+CC84+CC41+CC127+CC134+CC149+CC145</f>
        <v>2683.28679007878</v>
      </c>
      <c r="CD150" s="37" t="n">
        <f aca="false">CD142+CD84+CD41+CD127+CD134+CD149+CD145</f>
        <v>2683.28679007878</v>
      </c>
      <c r="CE150" s="37" t="n">
        <f aca="false">CE142+CE84+CE41+CE127+CE134+CE149+CE145</f>
        <v>2683.28679007878</v>
      </c>
      <c r="CF150" s="37" t="n">
        <f aca="false">CF142+CF84+CF41+CF127+CF134+CF149+CF145</f>
        <v>2683.28679007878</v>
      </c>
      <c r="CG150" s="37" t="n">
        <f aca="false">CG142+CG84+CG41+CG127+CG134+CG149+CG145</f>
        <v>2683.28679007878</v>
      </c>
      <c r="CH150" s="37" t="n">
        <f aca="false">CH142+CH84+CH41+CH127+CH134+CH149+CH145</f>
        <v>2683.28679007878</v>
      </c>
      <c r="CI150" s="37" t="n">
        <f aca="false">CI142+CI84+CI41+CI127+CI134+CI149+CI145</f>
        <v>2683.28679007878</v>
      </c>
      <c r="CJ150" s="37" t="n">
        <f aca="false">CJ142+CJ84+CJ41+CJ127+CJ134+CJ149+CJ145</f>
        <v>2683.28679007878</v>
      </c>
      <c r="CK150" s="37" t="n">
        <f aca="false">CK142+CK84+CK41+CK127+CK134+CK149+CK145</f>
        <v>2724.27407023878</v>
      </c>
      <c r="CL150" s="37" t="n">
        <f aca="false">CL142+CL84+CL41+CL127+CL134+CL149+CL145</f>
        <v>2724.27407023878</v>
      </c>
      <c r="CM150" s="37" t="n">
        <f aca="false">CM142+CM84+CM41+CM127+CM134+CM149+CM145</f>
        <v>2724.27407023878</v>
      </c>
      <c r="CN150" s="37" t="n">
        <f aca="false">CN142+CN84+CN41+CN127+CN134+CN149+CN145</f>
        <v>2724.27407023878</v>
      </c>
      <c r="CO150" s="37" t="n">
        <f aca="false">CO142+CO84+CO41+CO127+CO134+CO149+CO145</f>
        <v>2724.27407023878</v>
      </c>
      <c r="CP150" s="37" t="n">
        <f aca="false">CP142+CP84+CP41+CP127+CP134+CP149+CP145</f>
        <v>2724.27407023878</v>
      </c>
      <c r="CQ150" s="37" t="n">
        <f aca="false">CQ142+CQ84+CQ41+CQ127+CQ134+CQ149+CQ145</f>
        <v>2724.27407023878</v>
      </c>
      <c r="CR150" s="37" t="n">
        <f aca="false">CR142+CR84+CR41+CR127+CR134+CR149+CR145</f>
        <v>2724.27407023878</v>
      </c>
      <c r="CS150" s="37" t="n">
        <f aca="false">CS142+CS84+CS41+CS127+CS134+CS149+CS145</f>
        <v>2724.27407023878</v>
      </c>
      <c r="CT150" s="37" t="n">
        <f aca="false">CT142+CT84+CT41+CT127+CT134+CT149+CT145</f>
        <v>2724.27407023878</v>
      </c>
      <c r="CU150" s="37" t="n">
        <f aca="false">CU142+CU84+CU41+CU127+CU134+CU149+CU145</f>
        <v>2724.27407023878</v>
      </c>
      <c r="CV150" s="37" t="n">
        <f aca="false">CV142+CV84+CV41+CV127+CV134+CV149+CV145</f>
        <v>2724.27407023878</v>
      </c>
      <c r="CW150" s="37" t="n">
        <f aca="false">CW142+CW84+CW41+CW127+CW134+CW149+CW145</f>
        <v>2766.08109600198</v>
      </c>
      <c r="CX150" s="37" t="n">
        <f aca="false">CX142+CX84+CX41+CX127+CX134+CX149+CX145</f>
        <v>2766.08109600198</v>
      </c>
      <c r="CY150" s="37" t="n">
        <f aca="false">CY142+CY84+CY41+CY127+CY134+CY149+CY145</f>
        <v>2766.08109600198</v>
      </c>
      <c r="CZ150" s="37" t="n">
        <f aca="false">CZ142+CZ84+CZ41+CZ127+CZ134+CZ149+CZ145</f>
        <v>2766.08109600198</v>
      </c>
      <c r="DA150" s="37" t="n">
        <f aca="false">DA142+DA84+DA41+DA127+DA134+DA149+DA145</f>
        <v>2766.08109600198</v>
      </c>
      <c r="DB150" s="37" t="n">
        <f aca="false">DB142+DB84+DB41+DB127+DB134+DB149+DB145</f>
        <v>2766.08109600198</v>
      </c>
      <c r="DC150" s="37" t="n">
        <f aca="false">DC142+DC84+DC41+DC127+DC134+DC149+DC145</f>
        <v>2766.08109600198</v>
      </c>
      <c r="DD150" s="37" t="n">
        <f aca="false">DD142+DD84+DD41+DD127+DD134+DD149+DD145</f>
        <v>2766.08109600198</v>
      </c>
      <c r="DE150" s="37" t="n">
        <f aca="false">DE142+DE84+DE41+DE127+DE134+DE149+DE145</f>
        <v>2766.08109600198</v>
      </c>
      <c r="DF150" s="37" t="n">
        <f aca="false">DF142+DF84+DF41+DF127+DF134+DF149+DF145</f>
        <v>2766.08109600198</v>
      </c>
      <c r="DG150" s="37" t="n">
        <f aca="false">DG142+DG84+DG41+DG127+DG134+DG149+DG145</f>
        <v>2766.08109600198</v>
      </c>
      <c r="DH150" s="37" t="n">
        <f aca="false">DH142+DH84+DH41+DH127+DH134+DH149+DH145</f>
        <v>2766.08109600198</v>
      </c>
      <c r="DI150" s="37" t="n">
        <f aca="false">DI142+DI84+DI41+DI127+DI134+DI149+DI145</f>
        <v>2808.72426228044</v>
      </c>
      <c r="DJ150" s="37" t="n">
        <f aca="false">DJ142+DJ84+DJ41+DJ127+DJ134+DJ149+DJ145</f>
        <v>2808.72426228044</v>
      </c>
      <c r="DK150" s="37" t="n">
        <f aca="false">DK142+DK84+DK41+DK127+DK134+DK149+DK145</f>
        <v>2808.72426228044</v>
      </c>
      <c r="DL150" s="37" t="n">
        <f aca="false">DL142+DL84+DL41+DL127+DL134+DL149+DL145</f>
        <v>2808.72426228044</v>
      </c>
      <c r="DM150" s="37" t="n">
        <f aca="false">DM142+DM84+DM41+DM127+DM134+DM149+DM145</f>
        <v>2808.72426228044</v>
      </c>
      <c r="DN150" s="37" t="n">
        <f aca="false">DN142+DN84+DN41+DN127+DN134+DN149+DN145</f>
        <v>2808.72426228044</v>
      </c>
      <c r="DO150" s="37" t="n">
        <f aca="false">DO142+DO84+DO41+DO127+DO134+DO149+DO145</f>
        <v>2808.72426228044</v>
      </c>
      <c r="DP150" s="37" t="n">
        <f aca="false">DP142+DP84+DP41+DP127+DP134+DP149+DP145</f>
        <v>2808.72426228044</v>
      </c>
      <c r="DQ150" s="37" t="n">
        <f aca="false">DQ142+DQ84+DQ41+DQ127+DQ134+DQ149+DQ145</f>
        <v>2808.72426228044</v>
      </c>
      <c r="DR150" s="37" t="n">
        <f aca="false">DR142+DR84+DR41+DR127+DR134+DR149+DR145</f>
        <v>2808.72426228044</v>
      </c>
      <c r="DS150" s="37" t="n">
        <f aca="false">DS142+DS84+DS41+DS127+DS134+DS149+DS145</f>
        <v>2808.72426228044</v>
      </c>
      <c r="DT150" s="37" t="n">
        <f aca="false">DT142+DT84+DT41+DT127+DT134+DT149+DT145</f>
        <v>177321.81428582</v>
      </c>
      <c r="DU150" s="37" t="n">
        <f aca="false">DU142+DU84+DU41+DU127+DU134+DU149+DU145</f>
        <v>0</v>
      </c>
      <c r="DV150" s="37" t="n">
        <f aca="false">DV142+DV84+DV41+DV127+DV134+DV149+DV145</f>
        <v>0</v>
      </c>
      <c r="DW150" s="37" t="n">
        <f aca="false">DW142+DW84+DW41+DW127+DW134+DW149+DW145</f>
        <v>0</v>
      </c>
      <c r="DX150" s="37" t="n">
        <f aca="false">DX142+DX84+DX41+DX127+DX134+DX149+DX145</f>
        <v>0</v>
      </c>
      <c r="DY150" s="37" t="n">
        <f aca="false">DY142+DY84+DY41+DY127+DY134+DY149+DY145</f>
        <v>0</v>
      </c>
      <c r="DZ150" s="37" t="n">
        <f aca="false">DZ142+DZ84+DZ41+DZ127+DZ134+DZ149+DZ145</f>
        <v>0</v>
      </c>
      <c r="EA150" s="37" t="n">
        <f aca="false">EA142+EA84+EA41+EA127+EA134+EA149+EA145</f>
        <v>0</v>
      </c>
      <c r="EB150" s="37" t="n">
        <f aca="false">EB142+EB84+EB41+EB127+EB134+EB149+EB145</f>
        <v>0</v>
      </c>
      <c r="EC150" s="37" t="n">
        <f aca="false">EC142+EC84+EC41+EC127+EC134+EC149+EC145</f>
        <v>0</v>
      </c>
      <c r="ED150" s="37" t="n">
        <f aca="false">ED142+ED84+ED41+ED127+ED134+ED149+ED145</f>
        <v>0</v>
      </c>
      <c r="EE150" s="37" t="n">
        <f aca="false">EE142+EE84+EE41+EE127+EE134+EE149+EE145</f>
        <v>0</v>
      </c>
      <c r="EF150" s="37" t="n">
        <f aca="false">EF142+EF84+EF41+EF127+EF134+EF149+EF145</f>
        <v>0</v>
      </c>
    </row>
    <row r="151" customFormat="false" ht="15" hidden="false" customHeight="false" outlineLevel="0" collapsed="false">
      <c r="A151" s="36" t="s">
        <v>681</v>
      </c>
      <c r="B151" s="278" t="s">
        <v>21</v>
      </c>
      <c r="C151" s="279" t="n">
        <f aca="false">SUM(E151:EF151)</f>
        <v>1131076.03201018</v>
      </c>
      <c r="E151" s="37" t="n">
        <f aca="false">E56+E74+E100+E112+E128+E129+E130+E135+E136+E85</f>
        <v>1026.28078885833</v>
      </c>
      <c r="F151" s="37" t="n">
        <f aca="false">F56+F74+F100+F112+F128+F129+F130+F135+F136+F85</f>
        <v>99.4583333333333</v>
      </c>
      <c r="G151" s="37" t="n">
        <f aca="false">G56+G74+G100+G112+G128+G129+G130+G135+G136+G85</f>
        <v>99.4583333333333</v>
      </c>
      <c r="H151" s="37" t="n">
        <f aca="false">H56+H74+H100+H112+H128+H129+H130+H135+H136+H85</f>
        <v>3193.03502905924</v>
      </c>
      <c r="I151" s="37" t="n">
        <f aca="false">I56+I74+I100+I112+I128+I129+I130+I135+I136+I85</f>
        <v>99.4583333333333</v>
      </c>
      <c r="J151" s="37" t="n">
        <f aca="false">J56+J74+J100+J112+J128+J129+J130+J135+J136+J85</f>
        <v>99.4583333333333</v>
      </c>
      <c r="K151" s="37" t="n">
        <f aca="false">K56+K74+K100+K112+K128+K129+K130+K135+K136+K85</f>
        <v>99.4583333333333</v>
      </c>
      <c r="L151" s="37" t="n">
        <f aca="false">L56+L74+L100+L112+L128+L129+L130+L135+L136+L85</f>
        <v>99.4583333333333</v>
      </c>
      <c r="M151" s="37" t="n">
        <f aca="false">M56+M74+M100+M112+M128+M129+M130+M135+M136+M85</f>
        <v>99.4583333333333</v>
      </c>
      <c r="N151" s="37" t="n">
        <f aca="false">N56+N74+N100+N112+N128+N129+N130+N135+N136+N85</f>
        <v>99.4583333333333</v>
      </c>
      <c r="O151" s="37" t="n">
        <f aca="false">O56+O74+O100+O112+O128+O129+O130+O135+O136+O85</f>
        <v>99.4583333333333</v>
      </c>
      <c r="P151" s="37" t="n">
        <f aca="false">P56+P74+P100+P112+P128+P129+P130+P135+P136+P85</f>
        <v>99.4583333333333</v>
      </c>
      <c r="Q151" s="37" t="n">
        <f aca="false">Q56+Q74+Q100+Q112+Q128+Q129+Q130+Q135+Q136+Q85</f>
        <v>99.4583333333333</v>
      </c>
      <c r="R151" s="37" t="n">
        <f aca="false">R56+R74+R100+R112+R128+R129+R130+R135+R136+R85</f>
        <v>99.4583333333333</v>
      </c>
      <c r="S151" s="37" t="n">
        <f aca="false">S56+S74+S100+S112+S128+S129+S130+S135+S136+S85</f>
        <v>99.4583333333333</v>
      </c>
      <c r="T151" s="37" t="n">
        <f aca="false">T56+T74+T100+T112+T128+T129+T130+T135+T136+T85</f>
        <v>99.4583333333333</v>
      </c>
      <c r="U151" s="37" t="n">
        <f aca="false">U56+U74+U100+U112+U128+U129+U130+U135+U136+U85</f>
        <v>99.4583333333333</v>
      </c>
      <c r="V151" s="37" t="n">
        <f aca="false">V56+V74+V100+V112+V128+V129+V130+V135+V136+V85</f>
        <v>99.4583333333333</v>
      </c>
      <c r="W151" s="37" t="n">
        <f aca="false">W56+W74+W100+W112+W128+W129+W130+W135+W136+W85</f>
        <v>67793.6022946113</v>
      </c>
      <c r="X151" s="37" t="n">
        <f aca="false">X56+X74+X100+X112+X128+X129+X130+X135+X136+X85</f>
        <v>1755.71560004088</v>
      </c>
      <c r="Y151" s="37" t="n">
        <f aca="false">Y56+Y74+Y100+Y112+Y128+Y129+Y130+Y135+Y136+Y85</f>
        <v>2565.71245745073</v>
      </c>
      <c r="Z151" s="37" t="n">
        <f aca="false">Z56+Z74+Z100+Z112+Z128+Z129+Z130+Z135+Z136+Z85</f>
        <v>3364.32079785116</v>
      </c>
      <c r="AA151" s="37" t="n">
        <f aca="false">AA56+AA74+AA100+AA112+AA128+AA129+AA130+AA135+AA136+AA85</f>
        <v>4147.074479457</v>
      </c>
      <c r="AB151" s="37" t="n">
        <f aca="false">AB56+AB74+AB100+AB112+AB128+AB129+AB130+AB135+AB136+AB85</f>
        <v>4909.59602616642</v>
      </c>
      <c r="AC151" s="37" t="n">
        <f aca="false">AC56+AC74+AC100+AC112+AC128+AC129+AC130+AC135+AC136+AC85</f>
        <v>5647.62110818274</v>
      </c>
      <c r="AD151" s="37" t="n">
        <f aca="false">AD56+AD74+AD100+AD112+AD128+AD129+AD130+AD135+AD136+AD85</f>
        <v>6357.02238987659</v>
      </c>
      <c r="AE151" s="37" t="n">
        <f aca="false">AE56+AE74+AE100+AE112+AE128+AE129+AE130+AE135+AE136+AE85</f>
        <v>7033.83261152087</v>
      </c>
      <c r="AF151" s="37" t="n">
        <f aca="false">AF56+AF74+AF100+AF112+AF128+AF129+AF130+AF135+AF136+AF85</f>
        <v>7674.26677581643</v>
      </c>
      <c r="AG151" s="37" t="n">
        <f aca="false">AG56+AG74+AG100+AG112+AG128+AG129+AG130+AG135+AG136+AG85</f>
        <v>8274.74331513234</v>
      </c>
      <c r="AH151" s="37" t="n">
        <f aca="false">AH56+AH74+AH100+AH112+AH128+AH129+AH130+AH135+AH136+AH85</f>
        <v>8831.90412108489</v>
      </c>
      <c r="AI151" s="37" t="n">
        <f aca="false">AI56+AI74+AI100+AI112+AI128+AI129+AI130+AI135+AI136+AI85</f>
        <v>9342.63332444176</v>
      </c>
      <c r="AJ151" s="37" t="n">
        <f aca="false">AJ56+AJ74+AJ100+AJ112+AJ128+AJ129+AJ130+AJ135+AJ136+AJ85</f>
        <v>9804.07472032674</v>
      </c>
      <c r="AK151" s="37" t="n">
        <f aca="false">AK56+AK74+AK100+AK112+AK128+AK129+AK130+AK135+AK136+AK85</f>
        <v>10213.6477412762</v>
      </c>
      <c r="AL151" s="37" t="n">
        <f aca="false">AL56+AL74+AL100+AL112+AL128+AL129+AL130+AL135+AL136+AL85</f>
        <v>10569.0618888186</v>
      </c>
      <c r="AM151" s="37" t="n">
        <f aca="false">AM56+AM74+AM100+AM112+AM128+AM129+AM130+AM135+AM136+AM85</f>
        <v>10868.3295428716</v>
      </c>
      <c r="AN151" s="37" t="n">
        <f aca="false">AN56+AN74+AN100+AN112+AN128+AN129+AN130+AN135+AN136+AN85</f>
        <v>11109.7770773194</v>
      </c>
      <c r="AO151" s="37" t="n">
        <f aca="false">AO56+AO74+AO100+AO112+AO128+AO129+AO130+AO135+AO136+AO85</f>
        <v>11292.0542196094</v>
      </c>
      <c r="AP151" s="37" t="n">
        <f aca="false">AP56+AP74+AP100+AP112+AP128+AP129+AP130+AP135+AP136+AP85</f>
        <v>11414.1416020233</v>
      </c>
      <c r="AQ151" s="37" t="n">
        <f aca="false">AQ56+AQ74+AQ100+AQ112+AQ128+AQ129+AQ130+AQ135+AQ136+AQ85</f>
        <v>11475.3564623953</v>
      </c>
      <c r="AR151" s="37" t="n">
        <f aca="false">AR56+AR74+AR100+AR112+AR128+AR129+AR130+AR135+AR136+AR85</f>
        <v>11475.3564623953</v>
      </c>
      <c r="AS151" s="37" t="n">
        <f aca="false">AS56+AS74+AS100+AS112+AS128+AS129+AS130+AS135+AS136+AS85</f>
        <v>11414.1416020233</v>
      </c>
      <c r="AT151" s="37" t="n">
        <f aca="false">AT56+AT74+AT100+AT112+AT128+AT129+AT130+AT135+AT136+AT85</f>
        <v>11292.0542196094</v>
      </c>
      <c r="AU151" s="37" t="n">
        <f aca="false">AU56+AU74+AU100+AU112+AU128+AU129+AU130+AU135+AU136+AU85</f>
        <v>11109.7770773195</v>
      </c>
      <c r="AV151" s="37" t="n">
        <f aca="false">AV56+AV74+AV100+AV112+AV128+AV129+AV130+AV135+AV136+AV85</f>
        <v>10868.3295428716</v>
      </c>
      <c r="AW151" s="37" t="n">
        <f aca="false">AW56+AW74+AW100+AW112+AW128+AW129+AW130+AW135+AW136+AW85</f>
        <v>10569.0618888186</v>
      </c>
      <c r="AX151" s="37" t="n">
        <f aca="false">AX56+AX74+AX100+AX112+AX128+AX129+AX130+AX135+AX136+AX85</f>
        <v>10213.6477412762</v>
      </c>
      <c r="AY151" s="37" t="n">
        <f aca="false">AY56+AY74+AY100+AY112+AY128+AY129+AY130+AY135+AY136+AY85</f>
        <v>9858.61834248194</v>
      </c>
      <c r="AZ151" s="37" t="n">
        <f aca="false">AZ56+AZ74+AZ100+AZ112+AZ128+AZ129+AZ130+AZ135+AZ136+AZ85</f>
        <v>9465.35707763236</v>
      </c>
      <c r="BA151" s="37" t="n">
        <f aca="false">BA56+BA74+BA100+BA112+BA128+BA129+BA130+BA135+BA136+BA85</f>
        <v>9020.08794822912</v>
      </c>
      <c r="BB151" s="37" t="n">
        <f aca="false">BB56+BB74+BB100+BB112+BB128+BB129+BB130+BB135+BB136+BB85</f>
        <v>8462.92714227663</v>
      </c>
      <c r="BC151" s="37" t="n">
        <f aca="false">BC56+BC74+BC100+BC112+BC128+BC129+BC130+BC135+BC136+BC85</f>
        <v>7862.45060296069</v>
      </c>
      <c r="BD151" s="37" t="n">
        <f aca="false">BD56+BD74+BD100+BD112+BD128+BD129+BD130+BD135+BD136+BD85</f>
        <v>7222.01643866514</v>
      </c>
      <c r="BE151" s="37" t="n">
        <f aca="false">BE56+BE74+BE100+BE112+BE128+BE129+BE130+BE135+BE136+BE85</f>
        <v>6545.2062170208</v>
      </c>
      <c r="BF151" s="37" t="n">
        <f aca="false">BF56+BF74+BF100+BF112+BF128+BF129+BF130+BF135+BF136+BF85</f>
        <v>5835.80493532701</v>
      </c>
      <c r="BG151" s="37" t="n">
        <f aca="false">BG56+BG74+BG100+BG112+BG128+BG129+BG130+BG135+BG136+BG85</f>
        <v>5097.7798533107</v>
      </c>
      <c r="BH151" s="37" t="n">
        <f aca="false">BH56+BH74+BH100+BH112+BH128+BH129+BH130+BH135+BH136+BH85</f>
        <v>4335.25830660122</v>
      </c>
      <c r="BI151" s="37" t="n">
        <f aca="false">BI56+BI74+BI100+BI112+BI128+BI129+BI130+BI135+BI136+BI85</f>
        <v>3552.50462499543</v>
      </c>
      <c r="BJ151" s="37" t="n">
        <f aca="false">BJ56+BJ74+BJ100+BJ112+BJ128+BJ129+BJ130+BJ135+BJ136+BJ85</f>
        <v>2753.89628459498</v>
      </c>
      <c r="BK151" s="37" t="n">
        <f aca="false">BK56+BK74+BK100+BK112+BK128+BK129+BK130+BK135+BK136+BK85</f>
        <v>1943.89942718514</v>
      </c>
      <c r="BL151" s="37" t="n">
        <f aca="false">BL56+BL74+BL100+BL112+BL128+BL129+BL130+BL135+BL136+BL85</f>
        <v>8143.69306751915</v>
      </c>
      <c r="BM151" s="37" t="n">
        <f aca="false">BM56+BM74+BM100+BM112+BM128+BM129+BM130+BM135+BM136+BM85</f>
        <v>19190.876155345</v>
      </c>
      <c r="BN151" s="37" t="n">
        <f aca="false">BN56+BN74+BN100+BN112+BN128+BN129+BN130+BN135+BN136+BN85</f>
        <v>1775.64189523158</v>
      </c>
      <c r="BO151" s="37" t="n">
        <f aca="false">BO56+BO74+BO100+BO112+BO128+BO129+BO130+BO135+BO136+BO85</f>
        <v>1775.64189523158</v>
      </c>
      <c r="BP151" s="37" t="n">
        <f aca="false">BP56+BP74+BP100+BP112+BP128+BP129+BP130+BP135+BP136+BP85</f>
        <v>1775.64189523158</v>
      </c>
      <c r="BQ151" s="37" t="n">
        <f aca="false">BQ56+BQ74+BQ100+BQ112+BQ128+BQ129+BQ130+BQ135+BQ136+BQ85</f>
        <v>1775.64189523158</v>
      </c>
      <c r="BR151" s="37" t="n">
        <f aca="false">BR56+BR74+BR100+BR112+BR128+BR129+BR130+BR135+BR136+BR85</f>
        <v>1775.64189523158</v>
      </c>
      <c r="BS151" s="37" t="n">
        <f aca="false">BS56+BS74+BS100+BS112+BS128+BS129+BS130+BS135+BS136+BS85</f>
        <v>1775.64189523158</v>
      </c>
      <c r="BT151" s="37" t="n">
        <f aca="false">BT56+BT74+BT100+BT112+BT128+BT129+BT130+BT135+BT136+BT85</f>
        <v>1775.64189523158</v>
      </c>
      <c r="BU151" s="37" t="n">
        <f aca="false">BU56+BU74+BU100+BU112+BU128+BU129+BU130+BU135+BU136+BU85</f>
        <v>1775.64189523158</v>
      </c>
      <c r="BV151" s="37" t="n">
        <f aca="false">BV56+BV74+BV100+BV112+BV128+BV129+BV130+BV135+BV136+BV85</f>
        <v>1775.64189523158</v>
      </c>
      <c r="BW151" s="37" t="n">
        <f aca="false">BW56+BW74+BW100+BW112+BW128+BW129+BW130+BW135+BW136+BW85</f>
        <v>1775.64189523158</v>
      </c>
      <c r="BX151" s="37" t="n">
        <f aca="false">BX56+BX74+BX100+BX112+BX128+BX129+BX130+BX135+BX136+BX85</f>
        <v>1775.64189523158</v>
      </c>
      <c r="BY151" s="37" t="n">
        <f aca="false">BY56+BY74+BY100+BY112+BY128+BY129+BY130+BY135+BY136+BY85</f>
        <v>2102.24027080288</v>
      </c>
      <c r="BZ151" s="37" t="n">
        <f aca="false">BZ56+BZ74+BZ100+BZ112+BZ128+BZ129+BZ130+BZ135+BZ136+BZ85</f>
        <v>2133.74027080288</v>
      </c>
      <c r="CA151" s="37" t="n">
        <f aca="false">CA56+CA74+CA100+CA112+CA128+CA129+CA130+CA135+CA136+CA85</f>
        <v>2133.74027080288</v>
      </c>
      <c r="CB151" s="37" t="n">
        <f aca="false">CB56+CB74+CB100+CB112+CB128+CB129+CB130+CB135+CB136+CB85</f>
        <v>2133.74027080288</v>
      </c>
      <c r="CC151" s="37" t="n">
        <f aca="false">CC56+CC74+CC100+CC112+CC128+CC129+CC130+CC135+CC136+CC85</f>
        <v>2133.74027080288</v>
      </c>
      <c r="CD151" s="37" t="n">
        <f aca="false">CD56+CD74+CD100+CD112+CD128+CD129+CD130+CD135+CD136+CD85</f>
        <v>2133.74027080288</v>
      </c>
      <c r="CE151" s="37" t="n">
        <f aca="false">CE56+CE74+CE100+CE112+CE128+CE129+CE130+CE135+CE136+CE85</f>
        <v>2133.74027080288</v>
      </c>
      <c r="CF151" s="37" t="n">
        <f aca="false">CF56+CF74+CF100+CF112+CF128+CF129+CF130+CF135+CF136+CF85</f>
        <v>2133.74027080288</v>
      </c>
      <c r="CG151" s="37" t="n">
        <f aca="false">CG56+CG74+CG100+CG112+CG128+CG129+CG130+CG135+CG136+CG85</f>
        <v>2133.74027080288</v>
      </c>
      <c r="CH151" s="37" t="n">
        <f aca="false">CH56+CH74+CH100+CH112+CH128+CH129+CH130+CH135+CH136+CH85</f>
        <v>2133.74027080288</v>
      </c>
      <c r="CI151" s="37" t="n">
        <f aca="false">CI56+CI74+CI100+CI112+CI128+CI129+CI130+CI135+CI136+CI85</f>
        <v>2133.74027080288</v>
      </c>
      <c r="CJ151" s="37" t="n">
        <f aca="false">CJ56+CJ74+CJ100+CJ112+CJ128+CJ129+CJ130+CJ135+CJ136+CJ85</f>
        <v>2133.74027080288</v>
      </c>
      <c r="CK151" s="37" t="n">
        <f aca="false">CK56+CK74+CK100+CK112+CK128+CK129+CK130+CK135+CK136+CK85</f>
        <v>2166.6295338856</v>
      </c>
      <c r="CL151" s="37" t="n">
        <f aca="false">CL56+CL74+CL100+CL112+CL128+CL129+CL130+CL135+CL136+CL85</f>
        <v>2166.6295338856</v>
      </c>
      <c r="CM151" s="37" t="n">
        <f aca="false">CM56+CM74+CM100+CM112+CM128+CM129+CM130+CM135+CM136+CM85</f>
        <v>2166.6295338856</v>
      </c>
      <c r="CN151" s="37" t="n">
        <f aca="false">CN56+CN74+CN100+CN112+CN128+CN129+CN130+CN135+CN136+CN85</f>
        <v>2166.6295338856</v>
      </c>
      <c r="CO151" s="37" t="n">
        <f aca="false">CO56+CO74+CO100+CO112+CO128+CO129+CO130+CO135+CO136+CO85</f>
        <v>2166.6295338856</v>
      </c>
      <c r="CP151" s="37" t="n">
        <f aca="false">CP56+CP74+CP100+CP112+CP128+CP129+CP130+CP135+CP136+CP85</f>
        <v>2166.6295338856</v>
      </c>
      <c r="CQ151" s="37" t="n">
        <f aca="false">CQ56+CQ74+CQ100+CQ112+CQ128+CQ129+CQ130+CQ135+CQ136+CQ85</f>
        <v>2166.6295338856</v>
      </c>
      <c r="CR151" s="37" t="n">
        <f aca="false">CR56+CR74+CR100+CR112+CR128+CR129+CR130+CR135+CR136+CR85</f>
        <v>2166.6295338856</v>
      </c>
      <c r="CS151" s="37" t="n">
        <f aca="false">CS56+CS74+CS100+CS112+CS128+CS129+CS130+CS135+CS136+CS85</f>
        <v>2166.6295338856</v>
      </c>
      <c r="CT151" s="37" t="n">
        <f aca="false">CT56+CT74+CT100+CT112+CT128+CT129+CT130+CT135+CT136+CT85</f>
        <v>2166.6295338856</v>
      </c>
      <c r="CU151" s="37" t="n">
        <f aca="false">CU56+CU74+CU100+CU112+CU128+CU129+CU130+CU135+CU136+CU85</f>
        <v>2166.6295338856</v>
      </c>
      <c r="CV151" s="37" t="n">
        <f aca="false">CV56+CV74+CV100+CV112+CV128+CV129+CV130+CV135+CV136+CV85</f>
        <v>2166.6295338856</v>
      </c>
      <c r="CW151" s="37" t="n">
        <f aca="false">CW56+CW74+CW100+CW112+CW128+CW129+CW130+CW135+CW136+CW85</f>
        <v>2200.17658222998</v>
      </c>
      <c r="CX151" s="37" t="n">
        <f aca="false">CX56+CX74+CX100+CX112+CX128+CX129+CX130+CX135+CX136+CX85</f>
        <v>2200.17658222998</v>
      </c>
      <c r="CY151" s="37" t="n">
        <f aca="false">CY56+CY74+CY100+CY112+CY128+CY129+CY130+CY135+CY136+CY85</f>
        <v>2200.17658222998</v>
      </c>
      <c r="CZ151" s="37" t="n">
        <f aca="false">CZ56+CZ74+CZ100+CZ112+CZ128+CZ129+CZ130+CZ135+CZ136+CZ85</f>
        <v>2200.17658222998</v>
      </c>
      <c r="DA151" s="37" t="n">
        <f aca="false">DA56+DA74+DA100+DA112+DA128+DA129+DA130+DA135+DA136+DA85</f>
        <v>2200.17658222998</v>
      </c>
      <c r="DB151" s="37" t="n">
        <f aca="false">DB56+DB74+DB100+DB112+DB128+DB129+DB130+DB135+DB136+DB85</f>
        <v>2200.17658222998</v>
      </c>
      <c r="DC151" s="37" t="n">
        <f aca="false">DC56+DC74+DC100+DC112+DC128+DC129+DC130+DC135+DC136+DC85</f>
        <v>2200.17658222998</v>
      </c>
      <c r="DD151" s="37" t="n">
        <f aca="false">DD56+DD74+DD100+DD112+DD128+DD129+DD130+DD135+DD136+DD85</f>
        <v>2200.17658222998</v>
      </c>
      <c r="DE151" s="37" t="n">
        <f aca="false">DE56+DE74+DE100+DE112+DE128+DE129+DE130+DE135+DE136+DE85</f>
        <v>2200.17658222998</v>
      </c>
      <c r="DF151" s="37" t="n">
        <f aca="false">DF56+DF74+DF100+DF112+DF128+DF129+DF130+DF135+DF136+DF85</f>
        <v>2200.17658222998</v>
      </c>
      <c r="DG151" s="37" t="n">
        <f aca="false">DG56+DG74+DG100+DG112+DG128+DG129+DG130+DG135+DG136+DG85</f>
        <v>2200.17658222998</v>
      </c>
      <c r="DH151" s="37" t="n">
        <f aca="false">DH56+DH74+DH100+DH112+DH128+DH129+DH130+DH135+DH136+DH85</f>
        <v>2200.17658222998</v>
      </c>
      <c r="DI151" s="37" t="n">
        <f aca="false">DI56+DI74+DI100+DI112+DI128+DI129+DI130+DI135+DI136+DI85</f>
        <v>2234.39457154125</v>
      </c>
      <c r="DJ151" s="37" t="n">
        <f aca="false">DJ56+DJ74+DJ100+DJ112+DJ128+DJ129+DJ130+DJ135+DJ136+DJ85</f>
        <v>2234.39457154125</v>
      </c>
      <c r="DK151" s="37" t="n">
        <f aca="false">DK56+DK74+DK100+DK112+DK128+DK129+DK130+DK135+DK136+DK85</f>
        <v>2234.39457154125</v>
      </c>
      <c r="DL151" s="37" t="n">
        <f aca="false">DL56+DL74+DL100+DL112+DL128+DL129+DL130+DL135+DL136+DL85</f>
        <v>2234.39457154125</v>
      </c>
      <c r="DM151" s="37" t="n">
        <f aca="false">DM56+DM74+DM100+DM112+DM128+DM129+DM130+DM135+DM136+DM85</f>
        <v>2234.39457154125</v>
      </c>
      <c r="DN151" s="37" t="n">
        <f aca="false">DN56+DN74+DN100+DN112+DN128+DN129+DN130+DN135+DN136+DN85</f>
        <v>2234.39457154125</v>
      </c>
      <c r="DO151" s="37" t="n">
        <f aca="false">DO56+DO74+DO100+DO112+DO128+DO129+DO130+DO135+DO136+DO85</f>
        <v>2234.39457154125</v>
      </c>
      <c r="DP151" s="37" t="n">
        <f aca="false">DP56+DP74+DP100+DP112+DP128+DP129+DP130+DP135+DP136+DP85</f>
        <v>2234.39457154125</v>
      </c>
      <c r="DQ151" s="37" t="n">
        <f aca="false">DQ56+DQ74+DQ100+DQ112+DQ128+DQ129+DQ130+DQ135+DQ136+DQ85</f>
        <v>2234.39457154125</v>
      </c>
      <c r="DR151" s="37" t="n">
        <f aca="false">DR56+DR74+DR100+DR112+DR128+DR129+DR130+DR135+DR136+DR85</f>
        <v>2234.39457154125</v>
      </c>
      <c r="DS151" s="37" t="n">
        <f aca="false">DS56+DS74+DS100+DS112+DS128+DS129+DS130+DS135+DS136+DS85</f>
        <v>2234.39457154125</v>
      </c>
      <c r="DT151" s="37" t="n">
        <f aca="false">DT56+DT74+DT100+DT112+DT128+DT129+DT130+DT135+DT136+DT85</f>
        <v>592149.316566671</v>
      </c>
      <c r="DU151" s="37" t="n">
        <f aca="false">DU56+DU74+DU100+DU112+DU128+DU129+DU130+DU135+DU136+DU85</f>
        <v>117.791666666667</v>
      </c>
      <c r="DV151" s="37" t="n">
        <f aca="false">DV56+DV74+DV100+DV112+DV128+DV129+DV130+DV135+DV136+DV85</f>
        <v>117.791666666667</v>
      </c>
      <c r="DW151" s="37" t="n">
        <f aca="false">DW56+DW74+DW100+DW112+DW128+DW129+DW130+DW135+DW136+DW85</f>
        <v>117.791666666667</v>
      </c>
      <c r="DX151" s="37" t="n">
        <f aca="false">DX56+DX74+DX100+DX112+DX128+DX129+DX130+DX135+DX136+DX85</f>
        <v>0</v>
      </c>
      <c r="DY151" s="37" t="n">
        <f aca="false">DY56+DY74+DY100+DY112+DY128+DY129+DY130+DY135+DY136+DY85</f>
        <v>0</v>
      </c>
      <c r="DZ151" s="37" t="n">
        <f aca="false">DZ56+DZ74+DZ100+DZ112+DZ128+DZ129+DZ130+DZ135+DZ136+DZ85</f>
        <v>0</v>
      </c>
      <c r="EA151" s="37" t="n">
        <f aca="false">EA56+EA74+EA100+EA112+EA128+EA129+EA130+EA135+EA136+EA85</f>
        <v>0</v>
      </c>
      <c r="EB151" s="37" t="n">
        <f aca="false">EB56+EB74+EB100+EB112+EB128+EB129+EB130+EB135+EB136+EB85</f>
        <v>0</v>
      </c>
      <c r="EC151" s="37" t="n">
        <f aca="false">EC56+EC74+EC100+EC112+EC128+EC129+EC130+EC135+EC136+EC85</f>
        <v>0</v>
      </c>
      <c r="ED151" s="37" t="n">
        <f aca="false">ED56+ED74+ED100+ED112+ED128+ED129+ED130+ED135+ED136+ED85</f>
        <v>0</v>
      </c>
      <c r="EE151" s="37" t="n">
        <f aca="false">EE56+EE74+EE100+EE112+EE128+EE129+EE130+EE135+EE136+EE85</f>
        <v>0</v>
      </c>
      <c r="EF151" s="37" t="n">
        <f aca="false">EF56+EF74+EF100+EF112+EF128+EF129+EF130+EF135+EF136+EF85</f>
        <v>0</v>
      </c>
    </row>
    <row r="152" customFormat="false" ht="15" hidden="false" customHeight="false" outlineLevel="0" collapsed="false">
      <c r="A152" s="153" t="s">
        <v>682</v>
      </c>
      <c r="B152" s="278" t="s">
        <v>21</v>
      </c>
      <c r="E152" s="37" t="n">
        <f aca="false">E148+E150-E151</f>
        <v>3342.73444632122</v>
      </c>
      <c r="F152" s="37" t="n">
        <f aca="false">F148+F150-F151</f>
        <v>3251.63294910369</v>
      </c>
      <c r="G152" s="37" t="n">
        <f aca="false">G148+G150-G151</f>
        <v>3160.30369814312</v>
      </c>
      <c r="H152" s="37" t="n">
        <f aca="false">H148+H150-H151</f>
        <v>-24.8305716707641</v>
      </c>
      <c r="I152" s="37" t="n">
        <f aca="false">I148+I150-I151</f>
        <v>-124.288905004097</v>
      </c>
      <c r="J152" s="37" t="n">
        <f aca="false">J148+J150-J151</f>
        <v>-223.747238337431</v>
      </c>
      <c r="K152" s="37" t="n">
        <f aca="false">K148+K150-K151</f>
        <v>-323.205571670764</v>
      </c>
      <c r="L152" s="37" t="n">
        <f aca="false">L148+L150-L151</f>
        <v>-422.663905004097</v>
      </c>
      <c r="M152" s="37" t="n">
        <f aca="false">M148+M150-M151</f>
        <v>-522.122238337431</v>
      </c>
      <c r="N152" s="37" t="n">
        <f aca="false">N148+N150-N151</f>
        <v>-621.580571670764</v>
      </c>
      <c r="O152" s="37" t="n">
        <f aca="false">O148+O150-O151</f>
        <v>-721.038905004098</v>
      </c>
      <c r="P152" s="37" t="n">
        <f aca="false">P148+P150-P151</f>
        <v>-820.497238337431</v>
      </c>
      <c r="Q152" s="37" t="n">
        <f aca="false">Q148+Q150-Q151</f>
        <v>42280.0444283292</v>
      </c>
      <c r="R152" s="37" t="n">
        <f aca="false">R148+R150-R151</f>
        <v>42286.2862060667</v>
      </c>
      <c r="S152" s="37" t="n">
        <f aca="false">S148+S150-S151</f>
        <v>42292.5435882486</v>
      </c>
      <c r="T152" s="37" t="n">
        <f aca="false">T148+T150-T151</f>
        <v>42298.8166138858</v>
      </c>
      <c r="U152" s="37" t="n">
        <f aca="false">U148+U150-U151</f>
        <v>42305.1053220872</v>
      </c>
      <c r="V152" s="37" t="n">
        <f aca="false">V148+V150-V151</f>
        <v>42311.4097520591</v>
      </c>
      <c r="W152" s="37" t="n">
        <f aca="false">W148+W150-W151</f>
        <v>49619.061848911</v>
      </c>
      <c r="X152" s="37" t="n">
        <f aca="false">X148+X150-X151</f>
        <v>47987.3939034924</v>
      </c>
      <c r="Y152" s="37" t="n">
        <f aca="false">Y148+Y150-Y151</f>
        <v>45541.6499308004</v>
      </c>
      <c r="Z152" s="37" t="n">
        <f aca="false">Z148+Z150-Z151</f>
        <v>42291.1832577763</v>
      </c>
      <c r="AA152" s="37" t="n">
        <f aca="false">AA148+AA150-AA151</f>
        <v>38249.8367364637</v>
      </c>
      <c r="AB152" s="37" t="n">
        <f aca="false">AB148+AB150-AB151</f>
        <v>33435.8653021384</v>
      </c>
      <c r="AC152" s="37" t="n">
        <f aca="false">AC148+AC150-AC151</f>
        <v>114271.833857211</v>
      </c>
      <c r="AD152" s="37" t="n">
        <f aca="false">AD148+AD150-AD151</f>
        <v>108200.491051978</v>
      </c>
      <c r="AE152" s="37" t="n">
        <f aca="false">AE148+AE150-AE151</f>
        <v>101437.159668087</v>
      </c>
      <c r="AF152" s="37" t="n">
        <f aca="false">AF148+AF150-AF151</f>
        <v>94016.4857914403</v>
      </c>
      <c r="AG152" s="37" t="n">
        <f aca="false">AG148+AG150-AG151</f>
        <v>85976.7836907866</v>
      </c>
      <c r="AH152" s="37" t="n">
        <f aca="false">AH148+AH150-AH151</f>
        <v>77359.8215289287</v>
      </c>
      <c r="AI152" s="37" t="n">
        <f aca="false">AI148+AI150-AI151</f>
        <v>68210.5877583092</v>
      </c>
      <c r="AJ152" s="37" t="n">
        <f aca="false">AJ148+AJ150-AJ151</f>
        <v>58577.0395073783</v>
      </c>
      <c r="AK152" s="37" t="n">
        <f aca="false">AK148+AK150-AK151</f>
        <v>48509.8343648705</v>
      </c>
      <c r="AL152" s="37" t="n">
        <f aca="false">AL148+AL150-AL151</f>
        <v>38062.0470619641</v>
      </c>
      <c r="AM152" s="37" t="n">
        <f aca="false">AM148+AM150-AM151</f>
        <v>27288.8726367474</v>
      </c>
      <c r="AN152" s="37" t="n">
        <f aca="false">AN148+AN150-AN151</f>
        <v>16247.3177410199</v>
      </c>
      <c r="AO152" s="37" t="n">
        <f aca="false">AO148+AO150-AO151</f>
        <v>91395.881815763</v>
      </c>
      <c r="AP152" s="37" t="n">
        <f aca="false">AP148+AP150-AP151</f>
        <v>80210.2299182792</v>
      </c>
      <c r="AQ152" s="37" t="n">
        <f aca="false">AQ148+AQ150-AQ151</f>
        <v>68935.3990306796</v>
      </c>
      <c r="AR152" s="37" t="n">
        <f aca="false">AR148+AR150-AR151</f>
        <v>57632.381065861</v>
      </c>
      <c r="AS152" s="37" t="n">
        <f aca="false">AS148+AS150-AS151</f>
        <v>46362.3204165024</v>
      </c>
      <c r="AT152" s="37" t="n">
        <f aca="false">AT148+AT150-AT151</f>
        <v>35186.1719979343</v>
      </c>
      <c r="AU152" s="37" t="n">
        <f aca="false">AU148+AU150-AU151</f>
        <v>24164.3603506096</v>
      </c>
      <c r="AV152" s="37" t="n">
        <f aca="false">AV148+AV150-AV151</f>
        <v>13356.4417086146</v>
      </c>
      <c r="AW152" s="37" t="n">
        <f aca="false">AW148+AW150-AW151</f>
        <v>2820.77092406755</v>
      </c>
      <c r="AX152" s="37" t="n">
        <f aca="false">AX148+AX150-AX151</f>
        <v>-7385.82488989843</v>
      </c>
      <c r="AY152" s="37" t="n">
        <f aca="false">AY148+AY150-AY151</f>
        <v>-9357.36834248194</v>
      </c>
      <c r="AZ152" s="37" t="n">
        <f aca="false">AZ148+AZ150-AZ151</f>
        <v>-8964.10707763236</v>
      </c>
      <c r="BA152" s="37" t="n">
        <f aca="false">BA148+BA150-BA151</f>
        <v>77881.1620517709</v>
      </c>
      <c r="BB152" s="37" t="n">
        <f aca="false">BB148+BB150-BB151</f>
        <v>69612.9378146237</v>
      </c>
      <c r="BC152" s="37" t="n">
        <f aca="false">BC148+BC150-BC151</f>
        <v>61924.5195561996</v>
      </c>
      <c r="BD152" s="37" t="n">
        <f aca="false">BD148+BD150-BD151</f>
        <v>54857.3144164249</v>
      </c>
      <c r="BE152" s="37" t="n">
        <f aca="false">BE148+BE150-BE151</f>
        <v>48449.2514854452</v>
      </c>
      <c r="BF152" s="37" t="n">
        <f aca="false">BF148+BF150-BF151</f>
        <v>42734.5696788318</v>
      </c>
      <c r="BG152" s="37" t="n">
        <f aca="false">BG148+BG150-BG151</f>
        <v>37743.6262497182</v>
      </c>
      <c r="BH152" s="37" t="n">
        <f aca="false">BH148+BH150-BH151</f>
        <v>33502.7270087412</v>
      </c>
      <c r="BI152" s="37" t="n">
        <f aca="false">BI148+BI150-BI151</f>
        <v>30033.9792012677</v>
      </c>
      <c r="BJ152" s="37" t="n">
        <f aca="false">BJ148+BJ150-BJ151</f>
        <v>27355.1678646759</v>
      </c>
      <c r="BK152" s="37" t="n">
        <f aca="false">BK148+BK150-BK151</f>
        <v>25479.6563571524</v>
      </c>
      <c r="BL152" s="37" t="n">
        <f aca="false">BL148+BL150-BL151</f>
        <v>64854.7624305261</v>
      </c>
      <c r="BM152" s="37" t="n">
        <f aca="false">BM148+BM150-BM151</f>
        <v>151287.28502047</v>
      </c>
      <c r="BN152" s="37" t="n">
        <f aca="false">BN148+BN150-BN151</f>
        <v>145793.974118358</v>
      </c>
      <c r="BO152" s="37" t="n">
        <f aca="false">BO148+BO150-BO151</f>
        <v>145793.974118358</v>
      </c>
      <c r="BP152" s="37" t="n">
        <f aca="false">BP148+BP150-BP151</f>
        <v>145793.974118358</v>
      </c>
      <c r="BQ152" s="37" t="n">
        <f aca="false">BQ148+BQ150-BQ151</f>
        <v>145793.974118358</v>
      </c>
      <c r="BR152" s="37" t="n">
        <f aca="false">BR148+BR150-BR151</f>
        <v>145793.974118358</v>
      </c>
      <c r="BS152" s="37" t="n">
        <f aca="false">BS148+BS150-BS151</f>
        <v>145793.974118358</v>
      </c>
      <c r="BT152" s="37" t="n">
        <f aca="false">BT148+BT150-BT151</f>
        <v>145793.974118358</v>
      </c>
      <c r="BU152" s="37" t="n">
        <f aca="false">BU148+BU150-BU151</f>
        <v>145793.974118358</v>
      </c>
      <c r="BV152" s="37" t="n">
        <f aca="false">BV148+BV150-BV151</f>
        <v>145793.974118358</v>
      </c>
      <c r="BW152" s="37" t="n">
        <f aca="false">BW148+BW150-BW151</f>
        <v>145793.974118358</v>
      </c>
      <c r="BX152" s="37" t="n">
        <f aca="false">BX148+BX150-BX151</f>
        <v>145793.974118358</v>
      </c>
      <c r="BY152" s="37" t="n">
        <f aca="false">BY148+BY150-BY151</f>
        <v>253880.159350786</v>
      </c>
      <c r="BZ152" s="37" t="n">
        <f aca="false">BZ148+BZ150-BZ151</f>
        <v>254118.659350786</v>
      </c>
      <c r="CA152" s="37" t="n">
        <f aca="false">CA148+CA150-CA151</f>
        <v>254118.659350786</v>
      </c>
      <c r="CB152" s="37" t="n">
        <f aca="false">CB148+CB150-CB151</f>
        <v>254118.659350786</v>
      </c>
      <c r="CC152" s="37" t="n">
        <f aca="false">CC148+CC150-CC151</f>
        <v>254118.659350786</v>
      </c>
      <c r="CD152" s="37" t="n">
        <f aca="false">CD148+CD150-CD151</f>
        <v>254118.659350786</v>
      </c>
      <c r="CE152" s="37" t="n">
        <f aca="false">CE148+CE150-CE151</f>
        <v>254118.659350786</v>
      </c>
      <c r="CF152" s="37" t="n">
        <f aca="false">CF148+CF150-CF151</f>
        <v>254118.659350786</v>
      </c>
      <c r="CG152" s="37" t="n">
        <f aca="false">CG148+CG150-CG151</f>
        <v>254118.659350786</v>
      </c>
      <c r="CH152" s="37" t="n">
        <f aca="false">CH148+CH150-CH151</f>
        <v>254118.659350786</v>
      </c>
      <c r="CI152" s="37" t="n">
        <f aca="false">CI148+CI150-CI151</f>
        <v>254118.659350786</v>
      </c>
      <c r="CJ152" s="37" t="n">
        <f aca="false">CJ148+CJ150-CJ151</f>
        <v>254118.659350786</v>
      </c>
      <c r="CK152" s="37" t="n">
        <f aca="false">CK148+CK150-CK151</f>
        <v>254126.757367864</v>
      </c>
      <c r="CL152" s="37" t="n">
        <f aca="false">CL148+CL150-CL151</f>
        <v>254126.757367864</v>
      </c>
      <c r="CM152" s="37" t="n">
        <f aca="false">CM148+CM150-CM151</f>
        <v>254126.757367864</v>
      </c>
      <c r="CN152" s="37" t="n">
        <f aca="false">CN148+CN150-CN151</f>
        <v>254126.757367864</v>
      </c>
      <c r="CO152" s="37" t="n">
        <f aca="false">CO148+CO150-CO151</f>
        <v>254126.757367864</v>
      </c>
      <c r="CP152" s="37" t="n">
        <f aca="false">CP148+CP150-CP151</f>
        <v>254126.757367864</v>
      </c>
      <c r="CQ152" s="37" t="n">
        <f aca="false">CQ148+CQ150-CQ151</f>
        <v>254126.757367864</v>
      </c>
      <c r="CR152" s="37" t="n">
        <f aca="false">CR148+CR150-CR151</f>
        <v>254126.757367864</v>
      </c>
      <c r="CS152" s="37" t="n">
        <f aca="false">CS148+CS150-CS151</f>
        <v>254126.757367864</v>
      </c>
      <c r="CT152" s="37" t="n">
        <f aca="false">CT148+CT150-CT151</f>
        <v>254126.757367864</v>
      </c>
      <c r="CU152" s="37" t="n">
        <f aca="false">CU148+CU150-CU151</f>
        <v>254126.757367864</v>
      </c>
      <c r="CV152" s="37" t="n">
        <f aca="false">CV148+CV150-CV151</f>
        <v>254126.757367864</v>
      </c>
      <c r="CW152" s="37" t="n">
        <f aca="false">CW148+CW150-CW151</f>
        <v>254135.017345282</v>
      </c>
      <c r="CX152" s="37" t="n">
        <f aca="false">CX148+CX150-CX151</f>
        <v>254135.017345282</v>
      </c>
      <c r="CY152" s="37" t="n">
        <f aca="false">CY148+CY150-CY151</f>
        <v>254135.017345282</v>
      </c>
      <c r="CZ152" s="37" t="n">
        <f aca="false">CZ148+CZ150-CZ151</f>
        <v>254135.017345282</v>
      </c>
      <c r="DA152" s="37" t="n">
        <f aca="false">DA148+DA150-DA151</f>
        <v>254135.017345282</v>
      </c>
      <c r="DB152" s="37" t="n">
        <f aca="false">DB148+DB150-DB151</f>
        <v>254135.017345282</v>
      </c>
      <c r="DC152" s="37" t="n">
        <f aca="false">DC148+DC150-DC151</f>
        <v>254135.017345282</v>
      </c>
      <c r="DD152" s="37" t="n">
        <f aca="false">DD148+DD150-DD151</f>
        <v>254135.017345282</v>
      </c>
      <c r="DE152" s="37" t="n">
        <f aca="false">DE148+DE150-DE151</f>
        <v>254135.017345282</v>
      </c>
      <c r="DF152" s="37" t="n">
        <f aca="false">DF148+DF150-DF151</f>
        <v>254135.017345282</v>
      </c>
      <c r="DG152" s="37" t="n">
        <f aca="false">DG148+DG150-DG151</f>
        <v>254135.017345282</v>
      </c>
      <c r="DH152" s="37" t="n">
        <f aca="false">DH148+DH150-DH151</f>
        <v>254135.017345282</v>
      </c>
      <c r="DI152" s="37" t="n">
        <f aca="false">DI148+DI150-DI151</f>
        <v>254143.44252225</v>
      </c>
      <c r="DJ152" s="37" t="n">
        <f aca="false">DJ148+DJ150-DJ151</f>
        <v>254143.44252225</v>
      </c>
      <c r="DK152" s="37" t="n">
        <f aca="false">DK148+DK150-DK151</f>
        <v>254143.44252225</v>
      </c>
      <c r="DL152" s="37" t="n">
        <f aca="false">DL148+DL150-DL151</f>
        <v>254143.44252225</v>
      </c>
      <c r="DM152" s="37" t="n">
        <f aca="false">DM148+DM150-DM151</f>
        <v>254143.44252225</v>
      </c>
      <c r="DN152" s="37" t="n">
        <f aca="false">DN148+DN150-DN151</f>
        <v>254143.44252225</v>
      </c>
      <c r="DO152" s="37" t="n">
        <f aca="false">DO148+DO150-DO151</f>
        <v>254143.44252225</v>
      </c>
      <c r="DP152" s="37" t="n">
        <f aca="false">DP148+DP150-DP151</f>
        <v>254143.44252225</v>
      </c>
      <c r="DQ152" s="37" t="n">
        <f aca="false">DQ148+DQ150-DQ151</f>
        <v>254143.44252225</v>
      </c>
      <c r="DR152" s="37" t="n">
        <f aca="false">DR148+DR150-DR151</f>
        <v>254143.44252225</v>
      </c>
      <c r="DS152" s="37" t="n">
        <f aca="false">DS148+DS150-DS151</f>
        <v>254143.44252225</v>
      </c>
      <c r="DT152" s="37" t="n">
        <f aca="false">DT148+DT150-DT151</f>
        <v>-161258.389449341</v>
      </c>
      <c r="DU152" s="37" t="n">
        <f aca="false">DU148+DU150-DU151</f>
        <v>-161376.181116007</v>
      </c>
      <c r="DV152" s="37" t="n">
        <f aca="false">DV148+DV150-DV151</f>
        <v>-161493.972782674</v>
      </c>
      <c r="DW152" s="37" t="n">
        <f aca="false">DW148+DW150-DW151</f>
        <v>-161611.764449341</v>
      </c>
      <c r="DX152" s="37" t="n">
        <f aca="false">DX148+DX150-DX151</f>
        <v>-161611.764449341</v>
      </c>
      <c r="DY152" s="37" t="n">
        <f aca="false">DY148+DY150-DY151</f>
        <v>-161611.764449341</v>
      </c>
      <c r="DZ152" s="37" t="n">
        <f aca="false">DZ148+DZ150-DZ151</f>
        <v>-161611.764449341</v>
      </c>
      <c r="EA152" s="37" t="n">
        <f aca="false">EA148+EA150-EA151</f>
        <v>-161611.764449341</v>
      </c>
      <c r="EB152" s="37" t="n">
        <f aca="false">EB148+EB150-EB151</f>
        <v>-161611.764449341</v>
      </c>
      <c r="EC152" s="37" t="n">
        <f aca="false">EC148+EC150-EC151</f>
        <v>-161611.764449341</v>
      </c>
      <c r="ED152" s="37" t="n">
        <f aca="false">ED148+ED150-ED151</f>
        <v>-161611.764449341</v>
      </c>
      <c r="EE152" s="37" t="n">
        <f aca="false">EE148+EE150-EE151</f>
        <v>-161611.764449341</v>
      </c>
      <c r="EF152" s="37" t="n">
        <f aca="false">EF148+EF150-EF151</f>
        <v>-161611.764449341</v>
      </c>
    </row>
    <row r="153" customFormat="false" ht="15" hidden="false" customHeight="false" outlineLevel="0" collapsed="false">
      <c r="A153" s="153" t="s">
        <v>683</v>
      </c>
      <c r="B153" s="278" t="s">
        <v>21</v>
      </c>
      <c r="C153" s="279" t="n">
        <f aca="false">SUM(E153:EF153)</f>
        <v>27207.3003100127</v>
      </c>
      <c r="E153" s="37" t="n">
        <f aca="false">IF(E11=1,MAX(0,②시니어_가정!$D$551-E152),0)</f>
        <v>0</v>
      </c>
      <c r="F153" s="37" t="n">
        <f aca="false">IF(F11=1,MAX(0,②시니어_가정!$D$551-F152),0)</f>
        <v>0</v>
      </c>
      <c r="G153" s="37" t="n">
        <f aca="false">IF(G11=1,MAX(0,②시니어_가정!$D$551-G152),0)</f>
        <v>0</v>
      </c>
      <c r="H153" s="37" t="n">
        <f aca="false">IF(H11=1,MAX(0,②시니어_가정!$D$551-H152),0)</f>
        <v>0</v>
      </c>
      <c r="I153" s="37" t="n">
        <f aca="false">IF(I11=1,MAX(0,②시니어_가정!$D$551-I152),0)</f>
        <v>0</v>
      </c>
      <c r="J153" s="37" t="n">
        <f aca="false">IF(J11=1,MAX(0,②시니어_가정!$D$551-J152),0)</f>
        <v>0</v>
      </c>
      <c r="K153" s="37" t="n">
        <f aca="false">IF(K11=1,MAX(0,②시니어_가정!$D$551-K152),0)</f>
        <v>0</v>
      </c>
      <c r="L153" s="37" t="n">
        <f aca="false">IF(L11=1,MAX(0,②시니어_가정!$D$551-L152),0)</f>
        <v>0</v>
      </c>
      <c r="M153" s="37" t="n">
        <f aca="false">IF(M11=1,MAX(0,②시니어_가정!$D$551-M152),0)</f>
        <v>0</v>
      </c>
      <c r="N153" s="37" t="n">
        <f aca="false">IF(N11=1,MAX(0,②시니어_가정!$D$551-N152),0)</f>
        <v>0</v>
      </c>
      <c r="O153" s="37" t="n">
        <f aca="false">IF(O11=1,MAX(0,②시니어_가정!$D$551-O152),0)</f>
        <v>0</v>
      </c>
      <c r="P153" s="37" t="n">
        <f aca="false">IF(P11=1,MAX(0,②시니어_가정!$D$551-P152),0)</f>
        <v>0</v>
      </c>
      <c r="Q153" s="37" t="n">
        <f aca="false">IF(Q11=1,MAX(0,②시니어_가정!$D$551-Q152),0)</f>
        <v>0</v>
      </c>
      <c r="R153" s="37" t="n">
        <f aca="false">IF(R11=1,MAX(0,②시니어_가정!$D$551-R152),0)</f>
        <v>0</v>
      </c>
      <c r="S153" s="37" t="n">
        <f aca="false">IF(S11=1,MAX(0,②시니어_가정!$D$551-S152),0)</f>
        <v>0</v>
      </c>
      <c r="T153" s="37" t="n">
        <f aca="false">IF(T11=1,MAX(0,②시니어_가정!$D$551-T152),0)</f>
        <v>0</v>
      </c>
      <c r="U153" s="37" t="n">
        <f aca="false">IF(U11=1,MAX(0,②시니어_가정!$D$551-U152),0)</f>
        <v>0</v>
      </c>
      <c r="V153" s="37" t="n">
        <f aca="false">IF(V11=1,MAX(0,②시니어_가정!$D$551-V152),0)</f>
        <v>0</v>
      </c>
      <c r="W153" s="37" t="n">
        <f aca="false">IF(W11=1,MAX(0,②시니어_가정!$D$551-W152),0)</f>
        <v>0</v>
      </c>
      <c r="X153" s="37" t="n">
        <f aca="false">IF(X11=1,MAX(0,②시니어_가정!$D$551-X152),0)</f>
        <v>0</v>
      </c>
      <c r="Y153" s="37" t="n">
        <f aca="false">IF(Y11=1,MAX(0,②시니어_가정!$D$551-Y152),0)</f>
        <v>0</v>
      </c>
      <c r="Z153" s="37" t="n">
        <f aca="false">IF(Z11=1,MAX(0,②시니어_가정!$D$551-Z152),0)</f>
        <v>0</v>
      </c>
      <c r="AA153" s="37" t="n">
        <f aca="false">IF(AA11=1,MAX(0,②시니어_가정!$D$551-AA152),0)</f>
        <v>0</v>
      </c>
      <c r="AB153" s="37" t="n">
        <f aca="false">IF(AB11=1,MAX(0,②시니어_가정!$D$551-AB152),0)</f>
        <v>0</v>
      </c>
      <c r="AC153" s="37" t="n">
        <f aca="false">IF(AC11=1,MAX(0,②시니어_가정!$D$551-AC152),0)</f>
        <v>0</v>
      </c>
      <c r="AD153" s="37" t="n">
        <f aca="false">IF(AD11=1,MAX(0,②시니어_가정!$D$551-AD152),0)</f>
        <v>0</v>
      </c>
      <c r="AE153" s="37" t="n">
        <f aca="false">IF(AE11=1,MAX(0,②시니어_가정!$D$551-AE152),0)</f>
        <v>0</v>
      </c>
      <c r="AF153" s="37" t="n">
        <f aca="false">IF(AF11=1,MAX(0,②시니어_가정!$D$551-AF152),0)</f>
        <v>0</v>
      </c>
      <c r="AG153" s="37" t="n">
        <f aca="false">IF(AG11=1,MAX(0,②시니어_가정!$D$551-AG152),0)</f>
        <v>0</v>
      </c>
      <c r="AH153" s="37" t="n">
        <f aca="false">IF(AH11=1,MAX(0,②시니어_가정!$D$551-AH152),0)</f>
        <v>0</v>
      </c>
      <c r="AI153" s="37" t="n">
        <f aca="false">IF(AI11=1,MAX(0,②시니어_가정!$D$551-AI152),0)</f>
        <v>0</v>
      </c>
      <c r="AJ153" s="37" t="n">
        <f aca="false">IF(AJ11=1,MAX(0,②시니어_가정!$D$551-AJ152),0)</f>
        <v>0</v>
      </c>
      <c r="AK153" s="37" t="n">
        <f aca="false">IF(AK11=1,MAX(0,②시니어_가정!$D$551-AK152),0)</f>
        <v>0</v>
      </c>
      <c r="AL153" s="37" t="n">
        <f aca="false">IF(AL11=1,MAX(0,②시니어_가정!$D$551-AL152),0)</f>
        <v>0</v>
      </c>
      <c r="AM153" s="37" t="n">
        <f aca="false">IF(AM11=1,MAX(0,②시니어_가정!$D$551-AM152),0)</f>
        <v>0</v>
      </c>
      <c r="AN153" s="37" t="n">
        <f aca="false">IF(AN11=1,MAX(0,②시니어_가정!$D$551-AN152),0)</f>
        <v>0</v>
      </c>
      <c r="AO153" s="37" t="n">
        <f aca="false">IF(AO11=1,MAX(0,②시니어_가정!$D$551-AO152),0)</f>
        <v>0</v>
      </c>
      <c r="AP153" s="37" t="n">
        <f aca="false">IF(AP11=1,MAX(0,②시니어_가정!$D$551-AP152),0)</f>
        <v>0</v>
      </c>
      <c r="AQ153" s="37" t="n">
        <f aca="false">IF(AQ11=1,MAX(0,②시니어_가정!$D$551-AQ152),0)</f>
        <v>0</v>
      </c>
      <c r="AR153" s="37" t="n">
        <f aca="false">IF(AR11=1,MAX(0,②시니어_가정!$D$551-AR152),0)</f>
        <v>0</v>
      </c>
      <c r="AS153" s="37" t="n">
        <f aca="false">IF(AS11=1,MAX(0,②시니어_가정!$D$551-AS152),0)</f>
        <v>0</v>
      </c>
      <c r="AT153" s="37" t="n">
        <f aca="false">IF(AT11=1,MAX(0,②시니어_가정!$D$551-AT152),0)</f>
        <v>0</v>
      </c>
      <c r="AU153" s="37" t="n">
        <f aca="false">IF(AU11=1,MAX(0,②시니어_가정!$D$551-AU152),0)</f>
        <v>0</v>
      </c>
      <c r="AV153" s="37" t="n">
        <f aca="false">IF(AV11=1,MAX(0,②시니어_가정!$D$551-AV152),0)</f>
        <v>0</v>
      </c>
      <c r="AW153" s="37" t="n">
        <f aca="false">IF(AW11=1,MAX(0,②시니어_가정!$D$551-AW152),0)</f>
        <v>0</v>
      </c>
      <c r="AX153" s="37" t="n">
        <f aca="false">IF(AX11=1,MAX(0,②시니어_가정!$D$551-AX152),0)</f>
        <v>7885.82488989843</v>
      </c>
      <c r="AY153" s="37" t="n">
        <f aca="false">IF(AY11=1,MAX(0,②시니어_가정!$D$551-AY152),0)</f>
        <v>9857.36834248194</v>
      </c>
      <c r="AZ153" s="37" t="n">
        <f aca="false">IF(AZ11=1,MAX(0,②시니어_가정!$D$551-AZ152),0)</f>
        <v>9464.10707763236</v>
      </c>
      <c r="BA153" s="37" t="n">
        <f aca="false">IF(BA11=1,MAX(0,②시니어_가정!$D$551-BA152),0)</f>
        <v>0</v>
      </c>
      <c r="BB153" s="37" t="n">
        <f aca="false">IF(BB11=1,MAX(0,②시니어_가정!$D$551-BB152),0)</f>
        <v>0</v>
      </c>
      <c r="BC153" s="37" t="n">
        <f aca="false">IF(BC11=1,MAX(0,②시니어_가정!$D$551-BC152),0)</f>
        <v>0</v>
      </c>
      <c r="BD153" s="37" t="n">
        <f aca="false">IF(BD11=1,MAX(0,②시니어_가정!$D$551-BD152),0)</f>
        <v>0</v>
      </c>
      <c r="BE153" s="37" t="n">
        <f aca="false">IF(BE11=1,MAX(0,②시니어_가정!$D$551-BE152),0)</f>
        <v>0</v>
      </c>
      <c r="BF153" s="37" t="n">
        <f aca="false">IF(BF11=1,MAX(0,②시니어_가정!$D$551-BF152),0)</f>
        <v>0</v>
      </c>
      <c r="BG153" s="37" t="n">
        <f aca="false">IF(BG11=1,MAX(0,②시니어_가정!$D$551-BG152),0)</f>
        <v>0</v>
      </c>
      <c r="BH153" s="37" t="n">
        <f aca="false">IF(BH11=1,MAX(0,②시니어_가정!$D$551-BH152),0)</f>
        <v>0</v>
      </c>
      <c r="BI153" s="37" t="n">
        <f aca="false">IF(BI11=1,MAX(0,②시니어_가정!$D$551-BI152),0)</f>
        <v>0</v>
      </c>
      <c r="BJ153" s="37" t="n">
        <f aca="false">IF(BJ11=1,MAX(0,②시니어_가정!$D$551-BJ152),0)</f>
        <v>0</v>
      </c>
      <c r="BK153" s="37" t="n">
        <f aca="false">IF(BK11=1,MAX(0,②시니어_가정!$D$551-BK152),0)</f>
        <v>0</v>
      </c>
      <c r="BL153" s="37" t="n">
        <f aca="false">IF(BL11=1,MAX(0,②시니어_가정!$D$551-BL152),0)</f>
        <v>0</v>
      </c>
      <c r="BM153" s="37" t="n">
        <f aca="false">IF(BM11=1,MAX(0,②시니어_가정!$D$551-BM152),0)</f>
        <v>0</v>
      </c>
      <c r="BN153" s="37" t="n">
        <f aca="false">IF(BN11=1,MAX(0,②시니어_가정!$D$551-BN152),0)</f>
        <v>0</v>
      </c>
      <c r="BO153" s="37" t="n">
        <f aca="false">IF(BO11=1,MAX(0,②시니어_가정!$D$551-BO152),0)</f>
        <v>0</v>
      </c>
      <c r="BP153" s="37" t="n">
        <f aca="false">IF(BP11=1,MAX(0,②시니어_가정!$D$551-BP152),0)</f>
        <v>0</v>
      </c>
      <c r="BQ153" s="37" t="n">
        <f aca="false">IF(BQ11=1,MAX(0,②시니어_가정!$D$551-BQ152),0)</f>
        <v>0</v>
      </c>
      <c r="BR153" s="37" t="n">
        <f aca="false">IF(BR11=1,MAX(0,②시니어_가정!$D$551-BR152),0)</f>
        <v>0</v>
      </c>
      <c r="BS153" s="37" t="n">
        <f aca="false">IF(BS11=1,MAX(0,②시니어_가정!$D$551-BS152),0)</f>
        <v>0</v>
      </c>
      <c r="BT153" s="37" t="n">
        <f aca="false">IF(BT11=1,MAX(0,②시니어_가정!$D$551-BT152),0)</f>
        <v>0</v>
      </c>
      <c r="BU153" s="37" t="n">
        <f aca="false">IF(BU11=1,MAX(0,②시니어_가정!$D$551-BU152),0)</f>
        <v>0</v>
      </c>
      <c r="BV153" s="37" t="n">
        <f aca="false">IF(BV11=1,MAX(0,②시니어_가정!$D$551-BV152),0)</f>
        <v>0</v>
      </c>
      <c r="BW153" s="37" t="n">
        <f aca="false">IF(BW11=1,MAX(0,②시니어_가정!$D$551-BW152),0)</f>
        <v>0</v>
      </c>
      <c r="BX153" s="37" t="n">
        <f aca="false">IF(BX11=1,MAX(0,②시니어_가정!$D$551-BX152),0)</f>
        <v>0</v>
      </c>
      <c r="BY153" s="37" t="n">
        <f aca="false">IF(BY11=1,MAX(0,②시니어_가정!$D$551-BY152),0)</f>
        <v>0</v>
      </c>
      <c r="BZ153" s="37" t="n">
        <f aca="false">IF(BZ11=1,MAX(0,②시니어_가정!$D$551-BZ152),0)</f>
        <v>0</v>
      </c>
      <c r="CA153" s="37" t="n">
        <f aca="false">IF(CA11=1,MAX(0,②시니어_가정!$D$551-CA152),0)</f>
        <v>0</v>
      </c>
      <c r="CB153" s="37" t="n">
        <f aca="false">IF(CB11=1,MAX(0,②시니어_가정!$D$551-CB152),0)</f>
        <v>0</v>
      </c>
      <c r="CC153" s="37" t="n">
        <f aca="false">IF(CC11=1,MAX(0,②시니어_가정!$D$551-CC152),0)</f>
        <v>0</v>
      </c>
      <c r="CD153" s="37" t="n">
        <f aca="false">IF(CD11=1,MAX(0,②시니어_가정!$D$551-CD152),0)</f>
        <v>0</v>
      </c>
      <c r="CE153" s="37" t="n">
        <f aca="false">IF(CE11=1,MAX(0,②시니어_가정!$D$551-CE152),0)</f>
        <v>0</v>
      </c>
      <c r="CF153" s="37" t="n">
        <f aca="false">IF(CF11=1,MAX(0,②시니어_가정!$D$551-CF152),0)</f>
        <v>0</v>
      </c>
      <c r="CG153" s="37" t="n">
        <f aca="false">IF(CG11=1,MAX(0,②시니어_가정!$D$551-CG152),0)</f>
        <v>0</v>
      </c>
      <c r="CH153" s="37" t="n">
        <f aca="false">IF(CH11=1,MAX(0,②시니어_가정!$D$551-CH152),0)</f>
        <v>0</v>
      </c>
      <c r="CI153" s="37" t="n">
        <f aca="false">IF(CI11=1,MAX(0,②시니어_가정!$D$551-CI152),0)</f>
        <v>0</v>
      </c>
      <c r="CJ153" s="37" t="n">
        <f aca="false">IF(CJ11=1,MAX(0,②시니어_가정!$D$551-CJ152),0)</f>
        <v>0</v>
      </c>
      <c r="CK153" s="37" t="n">
        <f aca="false">IF(CK11=1,MAX(0,②시니어_가정!$D$551-CK152),0)</f>
        <v>0</v>
      </c>
      <c r="CL153" s="37" t="n">
        <f aca="false">IF(CL11=1,MAX(0,②시니어_가정!$D$551-CL152),0)</f>
        <v>0</v>
      </c>
      <c r="CM153" s="37" t="n">
        <f aca="false">IF(CM11=1,MAX(0,②시니어_가정!$D$551-CM152),0)</f>
        <v>0</v>
      </c>
      <c r="CN153" s="37" t="n">
        <f aca="false">IF(CN11=1,MAX(0,②시니어_가정!$D$551-CN152),0)</f>
        <v>0</v>
      </c>
      <c r="CO153" s="37" t="n">
        <f aca="false">IF(CO11=1,MAX(0,②시니어_가정!$D$551-CO152),0)</f>
        <v>0</v>
      </c>
      <c r="CP153" s="37" t="n">
        <f aca="false">IF(CP11=1,MAX(0,②시니어_가정!$D$551-CP152),0)</f>
        <v>0</v>
      </c>
      <c r="CQ153" s="37" t="n">
        <f aca="false">IF(CQ11=1,MAX(0,②시니어_가정!$D$551-CQ152),0)</f>
        <v>0</v>
      </c>
      <c r="CR153" s="37" t="n">
        <f aca="false">IF(CR11=1,MAX(0,②시니어_가정!$D$551-CR152),0)</f>
        <v>0</v>
      </c>
      <c r="CS153" s="37" t="n">
        <f aca="false">IF(CS11=1,MAX(0,②시니어_가정!$D$551-CS152),0)</f>
        <v>0</v>
      </c>
      <c r="CT153" s="37" t="n">
        <f aca="false">IF(CT11=1,MAX(0,②시니어_가정!$D$551-CT152),0)</f>
        <v>0</v>
      </c>
      <c r="CU153" s="37" t="n">
        <f aca="false">IF(CU11=1,MAX(0,②시니어_가정!$D$551-CU152),0)</f>
        <v>0</v>
      </c>
      <c r="CV153" s="37" t="n">
        <f aca="false">IF(CV11=1,MAX(0,②시니어_가정!$D$551-CV152),0)</f>
        <v>0</v>
      </c>
      <c r="CW153" s="37" t="n">
        <f aca="false">IF(CW11=1,MAX(0,②시니어_가정!$D$551-CW152),0)</f>
        <v>0</v>
      </c>
      <c r="CX153" s="37" t="n">
        <f aca="false">IF(CX11=1,MAX(0,②시니어_가정!$D$551-CX152),0)</f>
        <v>0</v>
      </c>
      <c r="CY153" s="37" t="n">
        <f aca="false">IF(CY11=1,MAX(0,②시니어_가정!$D$551-CY152),0)</f>
        <v>0</v>
      </c>
      <c r="CZ153" s="37" t="n">
        <f aca="false">IF(CZ11=1,MAX(0,②시니어_가정!$D$551-CZ152),0)</f>
        <v>0</v>
      </c>
      <c r="DA153" s="37" t="n">
        <f aca="false">IF(DA11=1,MAX(0,②시니어_가정!$D$551-DA152),0)</f>
        <v>0</v>
      </c>
      <c r="DB153" s="37" t="n">
        <f aca="false">IF(DB11=1,MAX(0,②시니어_가정!$D$551-DB152),0)</f>
        <v>0</v>
      </c>
      <c r="DC153" s="37" t="n">
        <f aca="false">IF(DC11=1,MAX(0,②시니어_가정!$D$551-DC152),0)</f>
        <v>0</v>
      </c>
      <c r="DD153" s="37" t="n">
        <f aca="false">IF(DD11=1,MAX(0,②시니어_가정!$D$551-DD152),0)</f>
        <v>0</v>
      </c>
      <c r="DE153" s="37" t="n">
        <f aca="false">IF(DE11=1,MAX(0,②시니어_가정!$D$551-DE152),0)</f>
        <v>0</v>
      </c>
      <c r="DF153" s="37" t="n">
        <f aca="false">IF(DF11=1,MAX(0,②시니어_가정!$D$551-DF152),0)</f>
        <v>0</v>
      </c>
      <c r="DG153" s="37" t="n">
        <f aca="false">IF(DG11=1,MAX(0,②시니어_가정!$D$551-DG152),0)</f>
        <v>0</v>
      </c>
      <c r="DH153" s="37" t="n">
        <f aca="false">IF(DH11=1,MAX(0,②시니어_가정!$D$551-DH152),0)</f>
        <v>0</v>
      </c>
      <c r="DI153" s="37" t="n">
        <f aca="false">IF(DI11=1,MAX(0,②시니어_가정!$D$551-DI152),0)</f>
        <v>0</v>
      </c>
      <c r="DJ153" s="37" t="n">
        <f aca="false">IF(DJ11=1,MAX(0,②시니어_가정!$D$551-DJ152),0)</f>
        <v>0</v>
      </c>
      <c r="DK153" s="37" t="n">
        <f aca="false">IF(DK11=1,MAX(0,②시니어_가정!$D$551-DK152),0)</f>
        <v>0</v>
      </c>
      <c r="DL153" s="37" t="n">
        <f aca="false">IF(DL11=1,MAX(0,②시니어_가정!$D$551-DL152),0)</f>
        <v>0</v>
      </c>
      <c r="DM153" s="37" t="n">
        <f aca="false">IF(DM11=1,MAX(0,②시니어_가정!$D$551-DM152),0)</f>
        <v>0</v>
      </c>
      <c r="DN153" s="37" t="n">
        <f aca="false">IF(DN11=1,MAX(0,②시니어_가정!$D$551-DN152),0)</f>
        <v>0</v>
      </c>
      <c r="DO153" s="37" t="n">
        <f aca="false">IF(DO11=1,MAX(0,②시니어_가정!$D$551-DO152),0)</f>
        <v>0</v>
      </c>
      <c r="DP153" s="37" t="n">
        <f aca="false">IF(DP11=1,MAX(0,②시니어_가정!$D$551-DP152),0)</f>
        <v>0</v>
      </c>
      <c r="DQ153" s="37" t="n">
        <f aca="false">IF(DQ11=1,MAX(0,②시니어_가정!$D$551-DQ152),0)</f>
        <v>0</v>
      </c>
      <c r="DR153" s="37" t="n">
        <f aca="false">IF(DR11=1,MAX(0,②시니어_가정!$D$551-DR152),0)</f>
        <v>0</v>
      </c>
      <c r="DS153" s="37" t="n">
        <f aca="false">IF(DS11=1,MAX(0,②시니어_가정!$D$551-DS152),0)</f>
        <v>0</v>
      </c>
      <c r="DT153" s="37" t="n">
        <f aca="false">IF(DT11=1,MAX(0,②시니어_가정!$D$551-DT152),0)</f>
        <v>0</v>
      </c>
      <c r="DU153" s="37" t="n">
        <f aca="false">IF(DU11=1,MAX(0,②시니어_가정!$D$551-DU152),0)</f>
        <v>0</v>
      </c>
      <c r="DV153" s="37" t="n">
        <f aca="false">IF(DV11=1,MAX(0,②시니어_가정!$D$551-DV152),0)</f>
        <v>0</v>
      </c>
      <c r="DW153" s="37" t="n">
        <f aca="false">IF(DW11=1,MAX(0,②시니어_가정!$D$551-DW152),0)</f>
        <v>0</v>
      </c>
      <c r="DX153" s="37" t="n">
        <f aca="false">IF(DX11=1,MAX(0,②시니어_가정!$D$551-DX152),0)</f>
        <v>0</v>
      </c>
      <c r="DY153" s="37" t="n">
        <f aca="false">IF(DY11=1,MAX(0,②시니어_가정!$D$551-DY152),0)</f>
        <v>0</v>
      </c>
      <c r="DZ153" s="37" t="n">
        <f aca="false">IF(DZ11=1,MAX(0,②시니어_가정!$D$551-DZ152),0)</f>
        <v>0</v>
      </c>
      <c r="EA153" s="37" t="n">
        <f aca="false">IF(EA11=1,MAX(0,②시니어_가정!$D$551-EA152),0)</f>
        <v>0</v>
      </c>
      <c r="EB153" s="37" t="n">
        <f aca="false">IF(EB11=1,MAX(0,②시니어_가정!$D$551-EB152),0)</f>
        <v>0</v>
      </c>
      <c r="EC153" s="37" t="n">
        <f aca="false">IF(EC11=1,MAX(0,②시니어_가정!$D$551-EC152),0)</f>
        <v>0</v>
      </c>
      <c r="ED153" s="37" t="n">
        <f aca="false">IF(ED11=1,MAX(0,②시니어_가정!$D$551-ED152),0)</f>
        <v>0</v>
      </c>
      <c r="EE153" s="37" t="n">
        <f aca="false">IF(EE11=1,MAX(0,②시니어_가정!$D$551-EE152),0)</f>
        <v>0</v>
      </c>
      <c r="EF153" s="37" t="n">
        <f aca="false">IF(EF11=1,MAX(0,②시니어_가정!$D$551-EF152),0)</f>
        <v>0</v>
      </c>
    </row>
    <row r="154" customFormat="false" ht="15" hidden="false" customHeight="false" outlineLevel="0" collapsed="false">
      <c r="A154" s="36" t="s">
        <v>684</v>
      </c>
      <c r="B154" s="278" t="s">
        <v>21</v>
      </c>
      <c r="E154" s="37" t="n">
        <f aca="false">E152+E116-E120</f>
        <v>3342.73444632122</v>
      </c>
      <c r="F154" s="37" t="n">
        <f aca="false">F152+F116-F120</f>
        <v>3251.63294910369</v>
      </c>
      <c r="G154" s="37" t="n">
        <f aca="false">G152+G116-G120</f>
        <v>3160.30369814312</v>
      </c>
      <c r="H154" s="37" t="n">
        <f aca="false">H152+H116-H120</f>
        <v>-24.8305716707641</v>
      </c>
      <c r="I154" s="37" t="n">
        <f aca="false">I152+I116-I120</f>
        <v>-124.288905004097</v>
      </c>
      <c r="J154" s="37" t="n">
        <f aca="false">J152+J116-J120</f>
        <v>-223.747238337431</v>
      </c>
      <c r="K154" s="37" t="n">
        <f aca="false">K152+K116-K120</f>
        <v>-323.205571670764</v>
      </c>
      <c r="L154" s="37" t="n">
        <f aca="false">L152+L116-L120</f>
        <v>-422.663905004097</v>
      </c>
      <c r="M154" s="37" t="n">
        <f aca="false">M152+M116-M120</f>
        <v>-522.122238337431</v>
      </c>
      <c r="N154" s="37" t="n">
        <f aca="false">N152+N116-N120</f>
        <v>-621.580571670764</v>
      </c>
      <c r="O154" s="37" t="n">
        <f aca="false">O152+O116-O120</f>
        <v>-721.038905004098</v>
      </c>
      <c r="P154" s="37" t="n">
        <f aca="false">P152+P116-P120</f>
        <v>-820.497238337431</v>
      </c>
      <c r="Q154" s="37" t="n">
        <f aca="false">Q152+Q116-Q120</f>
        <v>42280.0444283292</v>
      </c>
      <c r="R154" s="37" t="n">
        <f aca="false">R152+R116-R120</f>
        <v>42286.2862060667</v>
      </c>
      <c r="S154" s="37" t="n">
        <f aca="false">S152+S116-S120</f>
        <v>42292.5435882486</v>
      </c>
      <c r="T154" s="37" t="n">
        <f aca="false">T152+T116-T120</f>
        <v>42298.8166138858</v>
      </c>
      <c r="U154" s="37" t="n">
        <f aca="false">U152+U116-U120</f>
        <v>42305.1053220872</v>
      </c>
      <c r="V154" s="37" t="n">
        <f aca="false">V152+V116-V120</f>
        <v>42311.4097520591</v>
      </c>
      <c r="W154" s="37" t="n">
        <f aca="false">W152+W116-W120</f>
        <v>49619.061848911</v>
      </c>
      <c r="X154" s="37" t="n">
        <f aca="false">X152+X116-X120</f>
        <v>47987.3939034924</v>
      </c>
      <c r="Y154" s="37" t="n">
        <f aca="false">Y152+Y116-Y120</f>
        <v>45541.6499308004</v>
      </c>
      <c r="Z154" s="37" t="n">
        <f aca="false">Z152+Z116-Z120</f>
        <v>42291.1832577763</v>
      </c>
      <c r="AA154" s="37" t="n">
        <f aca="false">AA152+AA116-AA120</f>
        <v>38249.8367364637</v>
      </c>
      <c r="AB154" s="37" t="n">
        <f aca="false">AB152+AB116-AB120</f>
        <v>33435.8653021384</v>
      </c>
      <c r="AC154" s="37" t="n">
        <f aca="false">AC152+AC116-AC120</f>
        <v>114271.833857211</v>
      </c>
      <c r="AD154" s="37" t="n">
        <f aca="false">AD152+AD116-AD120</f>
        <v>108200.491051978</v>
      </c>
      <c r="AE154" s="37" t="n">
        <f aca="false">AE152+AE116-AE120</f>
        <v>101437.159668087</v>
      </c>
      <c r="AF154" s="37" t="n">
        <f aca="false">AF152+AF116-AF120</f>
        <v>94016.4857914403</v>
      </c>
      <c r="AG154" s="37" t="n">
        <f aca="false">AG152+AG116-AG120</f>
        <v>85976.7836907866</v>
      </c>
      <c r="AH154" s="37" t="n">
        <f aca="false">AH152+AH116-AH120</f>
        <v>77359.8215289287</v>
      </c>
      <c r="AI154" s="37" t="n">
        <f aca="false">AI152+AI116-AI120</f>
        <v>68210.5877583092</v>
      </c>
      <c r="AJ154" s="37" t="n">
        <f aca="false">AJ152+AJ116-AJ120</f>
        <v>58577.0395073783</v>
      </c>
      <c r="AK154" s="37" t="n">
        <f aca="false">AK152+AK116-AK120</f>
        <v>48509.8343648705</v>
      </c>
      <c r="AL154" s="37" t="n">
        <f aca="false">AL152+AL116-AL120</f>
        <v>38062.0470619641</v>
      </c>
      <c r="AM154" s="37" t="n">
        <f aca="false">AM152+AM116-AM120</f>
        <v>27288.8726367474</v>
      </c>
      <c r="AN154" s="37" t="n">
        <f aca="false">AN152+AN116-AN120</f>
        <v>16247.3177410199</v>
      </c>
      <c r="AO154" s="37" t="n">
        <f aca="false">AO152+AO116-AO120</f>
        <v>91395.881815763</v>
      </c>
      <c r="AP154" s="37" t="n">
        <f aca="false">AP152+AP116-AP120</f>
        <v>80210.2299182792</v>
      </c>
      <c r="AQ154" s="37" t="n">
        <f aca="false">AQ152+AQ116-AQ120</f>
        <v>68935.3990306796</v>
      </c>
      <c r="AR154" s="37" t="n">
        <f aca="false">AR152+AR116-AR120</f>
        <v>57632.381065861</v>
      </c>
      <c r="AS154" s="37" t="n">
        <f aca="false">AS152+AS116-AS120</f>
        <v>46362.3204165024</v>
      </c>
      <c r="AT154" s="37" t="n">
        <f aca="false">AT152+AT116-AT120</f>
        <v>35186.1719979343</v>
      </c>
      <c r="AU154" s="37" t="n">
        <f aca="false">AU152+AU116-AU120</f>
        <v>24164.3603506096</v>
      </c>
      <c r="AV154" s="37" t="n">
        <f aca="false">AV152+AV116-AV120</f>
        <v>13356.4417086146</v>
      </c>
      <c r="AW154" s="37" t="n">
        <f aca="false">AW152+AW116-AW120</f>
        <v>2820.77092406755</v>
      </c>
      <c r="AX154" s="37" t="n">
        <f aca="false">AX152+AX116-AX120</f>
        <v>500</v>
      </c>
      <c r="AY154" s="37" t="n">
        <f aca="false">AY152+AY116-AY120</f>
        <v>500</v>
      </c>
      <c r="AZ154" s="37" t="n">
        <f aca="false">AZ152+AZ116-AZ120</f>
        <v>500</v>
      </c>
      <c r="BA154" s="37" t="n">
        <f aca="false">BA152+BA116-BA120</f>
        <v>77881.1620517709</v>
      </c>
      <c r="BB154" s="37" t="n">
        <f aca="false">BB152+BB116-BB120</f>
        <v>69612.9378146237</v>
      </c>
      <c r="BC154" s="37" t="n">
        <f aca="false">BC152+BC116-BC120</f>
        <v>61924.5195561996</v>
      </c>
      <c r="BD154" s="37" t="n">
        <f aca="false">BD152+BD116-BD120</f>
        <v>54857.3144164249</v>
      </c>
      <c r="BE154" s="37" t="n">
        <f aca="false">BE152+BE116-BE120</f>
        <v>48449.2514854452</v>
      </c>
      <c r="BF154" s="37" t="n">
        <f aca="false">BF152+BF116-BF120</f>
        <v>42734.5696788318</v>
      </c>
      <c r="BG154" s="37" t="n">
        <f aca="false">BG152+BG116-BG120</f>
        <v>37743.6262497182</v>
      </c>
      <c r="BH154" s="37" t="n">
        <f aca="false">BH152+BH116-BH120</f>
        <v>33502.7270087412</v>
      </c>
      <c r="BI154" s="37" t="n">
        <f aca="false">BI152+BI116-BI120</f>
        <v>30033.9792012677</v>
      </c>
      <c r="BJ154" s="37" t="n">
        <f aca="false">BJ152+BJ116-BJ120</f>
        <v>27355.1678646759</v>
      </c>
      <c r="BK154" s="37" t="n">
        <f aca="false">BK152+BK116-BK120</f>
        <v>25479.6563571524</v>
      </c>
      <c r="BL154" s="37" t="n">
        <f aca="false">BL152+BL116-BL120</f>
        <v>37647.4621205133</v>
      </c>
      <c r="BM154" s="37" t="n">
        <f aca="false">BM152+BM116-BM120</f>
        <v>151287.28502047</v>
      </c>
      <c r="BN154" s="37" t="n">
        <f aca="false">BN152+BN116-BN120</f>
        <v>145793.974118358</v>
      </c>
      <c r="BO154" s="37" t="n">
        <f aca="false">BO152+BO116-BO120</f>
        <v>145793.974118358</v>
      </c>
      <c r="BP154" s="37" t="n">
        <f aca="false">BP152+BP116-BP120</f>
        <v>145793.974118358</v>
      </c>
      <c r="BQ154" s="37" t="n">
        <f aca="false">BQ152+BQ116-BQ120</f>
        <v>145793.974118358</v>
      </c>
      <c r="BR154" s="37" t="n">
        <f aca="false">BR152+BR116-BR120</f>
        <v>145793.974118358</v>
      </c>
      <c r="BS154" s="37" t="n">
        <f aca="false">BS152+BS116-BS120</f>
        <v>145793.974118358</v>
      </c>
      <c r="BT154" s="37" t="n">
        <f aca="false">BT152+BT116-BT120</f>
        <v>145793.974118358</v>
      </c>
      <c r="BU154" s="37" t="n">
        <f aca="false">BU152+BU116-BU120</f>
        <v>145793.974118358</v>
      </c>
      <c r="BV154" s="37" t="n">
        <f aca="false">BV152+BV116-BV120</f>
        <v>145793.974118358</v>
      </c>
      <c r="BW154" s="37" t="n">
        <f aca="false">BW152+BW116-BW120</f>
        <v>145793.974118358</v>
      </c>
      <c r="BX154" s="37" t="n">
        <f aca="false">BX152+BX116-BX120</f>
        <v>145793.974118358</v>
      </c>
      <c r="BY154" s="37" t="n">
        <f aca="false">BY152+BY116-BY120</f>
        <v>253880.159350786</v>
      </c>
      <c r="BZ154" s="37" t="n">
        <f aca="false">BZ152+BZ116-BZ120</f>
        <v>254118.659350786</v>
      </c>
      <c r="CA154" s="37" t="n">
        <f aca="false">CA152+CA116-CA120</f>
        <v>254118.659350786</v>
      </c>
      <c r="CB154" s="37" t="n">
        <f aca="false">CB152+CB116-CB120</f>
        <v>254118.659350786</v>
      </c>
      <c r="CC154" s="37" t="n">
        <f aca="false">CC152+CC116-CC120</f>
        <v>254118.659350786</v>
      </c>
      <c r="CD154" s="37" t="n">
        <f aca="false">CD152+CD116-CD120</f>
        <v>254118.659350786</v>
      </c>
      <c r="CE154" s="37" t="n">
        <f aca="false">CE152+CE116-CE120</f>
        <v>254118.659350786</v>
      </c>
      <c r="CF154" s="37" t="n">
        <f aca="false">CF152+CF116-CF120</f>
        <v>254118.659350786</v>
      </c>
      <c r="CG154" s="37" t="n">
        <f aca="false">CG152+CG116-CG120</f>
        <v>254118.659350786</v>
      </c>
      <c r="CH154" s="37" t="n">
        <f aca="false">CH152+CH116-CH120</f>
        <v>254118.659350786</v>
      </c>
      <c r="CI154" s="37" t="n">
        <f aca="false">CI152+CI116-CI120</f>
        <v>254118.659350786</v>
      </c>
      <c r="CJ154" s="37" t="n">
        <f aca="false">CJ152+CJ116-CJ120</f>
        <v>254118.659350786</v>
      </c>
      <c r="CK154" s="37" t="n">
        <f aca="false">CK152+CK116-CK120</f>
        <v>254126.757367864</v>
      </c>
      <c r="CL154" s="37" t="n">
        <f aca="false">CL152+CL116-CL120</f>
        <v>254126.757367864</v>
      </c>
      <c r="CM154" s="37" t="n">
        <f aca="false">CM152+CM116-CM120</f>
        <v>254126.757367864</v>
      </c>
      <c r="CN154" s="37" t="n">
        <f aca="false">CN152+CN116-CN120</f>
        <v>254126.757367864</v>
      </c>
      <c r="CO154" s="37" t="n">
        <f aca="false">CO152+CO116-CO120</f>
        <v>254126.757367864</v>
      </c>
      <c r="CP154" s="37" t="n">
        <f aca="false">CP152+CP116-CP120</f>
        <v>254126.757367864</v>
      </c>
      <c r="CQ154" s="37" t="n">
        <f aca="false">CQ152+CQ116-CQ120</f>
        <v>254126.757367864</v>
      </c>
      <c r="CR154" s="37" t="n">
        <f aca="false">CR152+CR116-CR120</f>
        <v>254126.757367864</v>
      </c>
      <c r="CS154" s="37" t="n">
        <f aca="false">CS152+CS116-CS120</f>
        <v>254126.757367864</v>
      </c>
      <c r="CT154" s="37" t="n">
        <f aca="false">CT152+CT116-CT120</f>
        <v>254126.757367864</v>
      </c>
      <c r="CU154" s="37" t="n">
        <f aca="false">CU152+CU116-CU120</f>
        <v>254126.757367864</v>
      </c>
      <c r="CV154" s="37" t="n">
        <f aca="false">CV152+CV116-CV120</f>
        <v>254126.757367864</v>
      </c>
      <c r="CW154" s="37" t="n">
        <f aca="false">CW152+CW116-CW120</f>
        <v>254135.017345282</v>
      </c>
      <c r="CX154" s="37" t="n">
        <f aca="false">CX152+CX116-CX120</f>
        <v>254135.017345282</v>
      </c>
      <c r="CY154" s="37" t="n">
        <f aca="false">CY152+CY116-CY120</f>
        <v>254135.017345282</v>
      </c>
      <c r="CZ154" s="37" t="n">
        <f aca="false">CZ152+CZ116-CZ120</f>
        <v>254135.017345282</v>
      </c>
      <c r="DA154" s="37" t="n">
        <f aca="false">DA152+DA116-DA120</f>
        <v>254135.017345282</v>
      </c>
      <c r="DB154" s="37" t="n">
        <f aca="false">DB152+DB116-DB120</f>
        <v>254135.017345282</v>
      </c>
      <c r="DC154" s="37" t="n">
        <f aca="false">DC152+DC116-DC120</f>
        <v>254135.017345282</v>
      </c>
      <c r="DD154" s="37" t="n">
        <f aca="false">DD152+DD116-DD120</f>
        <v>254135.017345282</v>
      </c>
      <c r="DE154" s="37" t="n">
        <f aca="false">DE152+DE116-DE120</f>
        <v>254135.017345282</v>
      </c>
      <c r="DF154" s="37" t="n">
        <f aca="false">DF152+DF116-DF120</f>
        <v>254135.017345282</v>
      </c>
      <c r="DG154" s="37" t="n">
        <f aca="false">DG152+DG116-DG120</f>
        <v>254135.017345282</v>
      </c>
      <c r="DH154" s="37" t="n">
        <f aca="false">DH152+DH116-DH120</f>
        <v>254135.017345282</v>
      </c>
      <c r="DI154" s="37" t="n">
        <f aca="false">DI152+DI116-DI120</f>
        <v>254143.44252225</v>
      </c>
      <c r="DJ154" s="37" t="n">
        <f aca="false">DJ152+DJ116-DJ120</f>
        <v>254143.44252225</v>
      </c>
      <c r="DK154" s="37" t="n">
        <f aca="false">DK152+DK116-DK120</f>
        <v>254143.44252225</v>
      </c>
      <c r="DL154" s="37" t="n">
        <f aca="false">DL152+DL116-DL120</f>
        <v>254143.44252225</v>
      </c>
      <c r="DM154" s="37" t="n">
        <f aca="false">DM152+DM116-DM120</f>
        <v>254143.44252225</v>
      </c>
      <c r="DN154" s="37" t="n">
        <f aca="false">DN152+DN116-DN120</f>
        <v>254143.44252225</v>
      </c>
      <c r="DO154" s="37" t="n">
        <f aca="false">DO152+DO116-DO120</f>
        <v>254143.44252225</v>
      </c>
      <c r="DP154" s="37" t="n">
        <f aca="false">DP152+DP116-DP120</f>
        <v>254143.44252225</v>
      </c>
      <c r="DQ154" s="37" t="n">
        <f aca="false">DQ152+DQ116-DQ120</f>
        <v>254143.44252225</v>
      </c>
      <c r="DR154" s="37" t="n">
        <f aca="false">DR152+DR116-DR120</f>
        <v>254143.44252225</v>
      </c>
      <c r="DS154" s="37" t="n">
        <f aca="false">DS152+DS116-DS120</f>
        <v>254143.44252225</v>
      </c>
      <c r="DT154" s="37" t="n">
        <f aca="false">DT152+DT116-DT120</f>
        <v>-161258.389449341</v>
      </c>
      <c r="DU154" s="37" t="n">
        <f aca="false">DU152+DU116-DU120</f>
        <v>-161376.181116007</v>
      </c>
      <c r="DV154" s="37" t="n">
        <f aca="false">DV152+DV116-DV120</f>
        <v>-161493.972782674</v>
      </c>
      <c r="DW154" s="37" t="n">
        <f aca="false">DW152+DW116-DW120</f>
        <v>-161611.764449341</v>
      </c>
      <c r="DX154" s="37" t="n">
        <f aca="false">DX152+DX116-DX120</f>
        <v>-161611.764449341</v>
      </c>
      <c r="DY154" s="37" t="n">
        <f aca="false">DY152+DY116-DY120</f>
        <v>-161611.764449341</v>
      </c>
      <c r="DZ154" s="37" t="n">
        <f aca="false">DZ152+DZ116-DZ120</f>
        <v>-161611.764449341</v>
      </c>
      <c r="EA154" s="37" t="n">
        <f aca="false">EA152+EA116-EA120</f>
        <v>-161611.764449341</v>
      </c>
      <c r="EB154" s="37" t="n">
        <f aca="false">EB152+EB116-EB120</f>
        <v>-161611.764449341</v>
      </c>
      <c r="EC154" s="37" t="n">
        <f aca="false">EC152+EC116-EC120</f>
        <v>-161611.764449341</v>
      </c>
      <c r="ED154" s="37" t="n">
        <f aca="false">ED152+ED116-ED120</f>
        <v>-161611.764449341</v>
      </c>
      <c r="EE154" s="37" t="n">
        <f aca="false">EE152+EE116-EE120</f>
        <v>-161611.764449341</v>
      </c>
      <c r="EF154" s="37" t="n">
        <f aca="false">EF152+EF116-EF120</f>
        <v>-161611.764449341</v>
      </c>
    </row>
    <row r="155" customFormat="false" ht="15" hidden="false" customHeight="false" outlineLevel="0" collapsed="false">
      <c r="A155" s="36" t="s">
        <v>685</v>
      </c>
      <c r="B155" s="273"/>
      <c r="E155" s="275" t="n">
        <f aca="false">IF(E6=②시니어_가정!$E$24,2,IF(AND(E14=1,E6&lt;②시니어_가정!$E$22),1,0))</f>
        <v>0</v>
      </c>
      <c r="F155" s="275" t="n">
        <f aca="false">IF(F6=②시니어_가정!$E$24,2,IF(AND(F14=1,F6&lt;②시니어_가정!$E$22),1,0))</f>
        <v>0</v>
      </c>
      <c r="G155" s="275" t="n">
        <f aca="false">IF(G6=②시니어_가정!$E$24,2,IF(AND(G14=1,G6&lt;②시니어_가정!$E$22),1,0))</f>
        <v>0</v>
      </c>
      <c r="H155" s="275" t="n">
        <f aca="false">IF(H6=②시니어_가정!$E$24,2,IF(AND(H14=1,H6&lt;②시니어_가정!$E$22),1,0))</f>
        <v>0</v>
      </c>
      <c r="I155" s="275" t="n">
        <f aca="false">IF(I6=②시니어_가정!$E$24,2,IF(AND(I14=1,I6&lt;②시니어_가정!$E$22),1,0))</f>
        <v>0</v>
      </c>
      <c r="J155" s="275" t="n">
        <f aca="false">IF(J6=②시니어_가정!$E$24,2,IF(AND(J14=1,J6&lt;②시니어_가정!$E$22),1,0))</f>
        <v>0</v>
      </c>
      <c r="K155" s="275" t="n">
        <f aca="false">IF(K6=②시니어_가정!$E$24,2,IF(AND(K14=1,K6&lt;②시니어_가정!$E$22),1,0))</f>
        <v>0</v>
      </c>
      <c r="L155" s="275" t="n">
        <f aca="false">IF(L6=②시니어_가정!$E$24,2,IF(AND(L14=1,L6&lt;②시니어_가정!$E$22),1,0))</f>
        <v>0</v>
      </c>
      <c r="M155" s="275" t="n">
        <f aca="false">IF(M6=②시니어_가정!$E$24,2,IF(AND(M14=1,M6&lt;②시니어_가정!$E$22),1,0))</f>
        <v>0</v>
      </c>
      <c r="N155" s="275" t="n">
        <f aca="false">IF(N6=②시니어_가정!$E$24,2,IF(AND(N14=1,N6&lt;②시니어_가정!$E$22),1,0))</f>
        <v>0</v>
      </c>
      <c r="O155" s="275" t="n">
        <f aca="false">IF(O6=②시니어_가정!$E$24,2,IF(AND(O14=1,O6&lt;②시니어_가정!$E$22),1,0))</f>
        <v>0</v>
      </c>
      <c r="P155" s="275" t="n">
        <f aca="false">IF(P6=②시니어_가정!$E$24,2,IF(AND(P14=1,P6&lt;②시니어_가정!$E$22),1,0))</f>
        <v>0</v>
      </c>
      <c r="Q155" s="275" t="n">
        <f aca="false">IF(Q6=②시니어_가정!$E$24,2,IF(AND(Q14=1,Q6&lt;②시니어_가정!$E$22),1,0))</f>
        <v>0</v>
      </c>
      <c r="R155" s="275" t="n">
        <f aca="false">IF(R6=②시니어_가정!$E$24,2,IF(AND(R14=1,R6&lt;②시니어_가정!$E$22),1,0))</f>
        <v>0</v>
      </c>
      <c r="S155" s="275" t="n">
        <f aca="false">IF(S6=②시니어_가정!$E$24,2,IF(AND(S14=1,S6&lt;②시니어_가정!$E$22),1,0))</f>
        <v>0</v>
      </c>
      <c r="T155" s="275" t="n">
        <f aca="false">IF(T6=②시니어_가정!$E$24,2,IF(AND(T14=1,T6&lt;②시니어_가정!$E$22),1,0))</f>
        <v>0</v>
      </c>
      <c r="U155" s="275" t="n">
        <f aca="false">IF(U6=②시니어_가정!$E$24,2,IF(AND(U14=1,U6&lt;②시니어_가정!$E$22),1,0))</f>
        <v>0</v>
      </c>
      <c r="V155" s="275" t="n">
        <f aca="false">IF(V6=②시니어_가정!$E$24,2,IF(AND(V14=1,V6&lt;②시니어_가정!$E$22),1,0))</f>
        <v>0</v>
      </c>
      <c r="W155" s="275" t="n">
        <f aca="false">IF(W6=②시니어_가정!$E$24,2,IF(AND(W14=1,W6&lt;②시니어_가정!$E$22),1,0))</f>
        <v>0</v>
      </c>
      <c r="X155" s="275" t="n">
        <f aca="false">IF(X6=②시니어_가정!$E$24,2,IF(AND(X14=1,X6&lt;②시니어_가정!$E$22),1,0))</f>
        <v>0</v>
      </c>
      <c r="Y155" s="275" t="n">
        <f aca="false">IF(Y6=②시니어_가정!$E$24,2,IF(AND(Y14=1,Y6&lt;②시니어_가정!$E$22),1,0))</f>
        <v>0</v>
      </c>
      <c r="Z155" s="275" t="n">
        <f aca="false">IF(Z6=②시니어_가정!$E$24,2,IF(AND(Z14=1,Z6&lt;②시니어_가정!$E$22),1,0))</f>
        <v>0</v>
      </c>
      <c r="AA155" s="275" t="n">
        <f aca="false">IF(AA6=②시니어_가정!$E$24,2,IF(AND(AA14=1,AA6&lt;②시니어_가정!$E$22),1,0))</f>
        <v>0</v>
      </c>
      <c r="AB155" s="275" t="n">
        <f aca="false">IF(AB6=②시니어_가정!$E$24,2,IF(AND(AB14=1,AB6&lt;②시니어_가정!$E$22),1,0))</f>
        <v>0</v>
      </c>
      <c r="AC155" s="275" t="n">
        <f aca="false">IF(AC6=②시니어_가정!$E$24,2,IF(AND(AC14=1,AC6&lt;②시니어_가정!$E$22),1,0))</f>
        <v>0</v>
      </c>
      <c r="AD155" s="275" t="n">
        <f aca="false">IF(AD6=②시니어_가정!$E$24,2,IF(AND(AD14=1,AD6&lt;②시니어_가정!$E$22),1,0))</f>
        <v>0</v>
      </c>
      <c r="AE155" s="275" t="n">
        <f aca="false">IF(AE6=②시니어_가정!$E$24,2,IF(AND(AE14=1,AE6&lt;②시니어_가정!$E$22),1,0))</f>
        <v>0</v>
      </c>
      <c r="AF155" s="275" t="n">
        <f aca="false">IF(AF6=②시니어_가정!$E$24,2,IF(AND(AF14=1,AF6&lt;②시니어_가정!$E$22),1,0))</f>
        <v>0</v>
      </c>
      <c r="AG155" s="275" t="n">
        <f aca="false">IF(AG6=②시니어_가정!$E$24,2,IF(AND(AG14=1,AG6&lt;②시니어_가정!$E$22),1,0))</f>
        <v>0</v>
      </c>
      <c r="AH155" s="275" t="n">
        <f aca="false">IF(AH6=②시니어_가정!$E$24,2,IF(AND(AH14=1,AH6&lt;②시니어_가정!$E$22),1,0))</f>
        <v>0</v>
      </c>
      <c r="AI155" s="275" t="n">
        <f aca="false">IF(AI6=②시니어_가정!$E$24,2,IF(AND(AI14=1,AI6&lt;②시니어_가정!$E$22),1,0))</f>
        <v>0</v>
      </c>
      <c r="AJ155" s="275" t="n">
        <f aca="false">IF(AJ6=②시니어_가정!$E$24,2,IF(AND(AJ14=1,AJ6&lt;②시니어_가정!$E$22),1,0))</f>
        <v>0</v>
      </c>
      <c r="AK155" s="275" t="n">
        <f aca="false">IF(AK6=②시니어_가정!$E$24,2,IF(AND(AK14=1,AK6&lt;②시니어_가정!$E$22),1,0))</f>
        <v>0</v>
      </c>
      <c r="AL155" s="275" t="n">
        <f aca="false">IF(AL6=②시니어_가정!$E$24,2,IF(AND(AL14=1,AL6&lt;②시니어_가정!$E$22),1,0))</f>
        <v>0</v>
      </c>
      <c r="AM155" s="275" t="n">
        <f aca="false">IF(AM6=②시니어_가정!$E$24,2,IF(AND(AM14=1,AM6&lt;②시니어_가정!$E$22),1,0))</f>
        <v>0</v>
      </c>
      <c r="AN155" s="275" t="n">
        <f aca="false">IF(AN6=②시니어_가정!$E$24,2,IF(AND(AN14=1,AN6&lt;②시니어_가정!$E$22),1,0))</f>
        <v>0</v>
      </c>
      <c r="AO155" s="275" t="n">
        <f aca="false">IF(AO6=②시니어_가정!$E$24,2,IF(AND(AO14=1,AO6&lt;②시니어_가정!$E$22),1,0))</f>
        <v>0</v>
      </c>
      <c r="AP155" s="275" t="n">
        <f aca="false">IF(AP6=②시니어_가정!$E$24,2,IF(AND(AP14=1,AP6&lt;②시니어_가정!$E$22),1,0))</f>
        <v>0</v>
      </c>
      <c r="AQ155" s="275" t="n">
        <f aca="false">IF(AQ6=②시니어_가정!$E$24,2,IF(AND(AQ14=1,AQ6&lt;②시니어_가정!$E$22),1,0))</f>
        <v>0</v>
      </c>
      <c r="AR155" s="275" t="n">
        <f aca="false">IF(AR6=②시니어_가정!$E$24,2,IF(AND(AR14=1,AR6&lt;②시니어_가정!$E$22),1,0))</f>
        <v>0</v>
      </c>
      <c r="AS155" s="275" t="n">
        <f aca="false">IF(AS6=②시니어_가정!$E$24,2,IF(AND(AS14=1,AS6&lt;②시니어_가정!$E$22),1,0))</f>
        <v>0</v>
      </c>
      <c r="AT155" s="275" t="n">
        <f aca="false">IF(AT6=②시니어_가정!$E$24,2,IF(AND(AT14=1,AT6&lt;②시니어_가정!$E$22),1,0))</f>
        <v>0</v>
      </c>
      <c r="AU155" s="275" t="n">
        <f aca="false">IF(AU6=②시니어_가정!$E$24,2,IF(AND(AU14=1,AU6&lt;②시니어_가정!$E$22),1,0))</f>
        <v>0</v>
      </c>
      <c r="AV155" s="275" t="n">
        <f aca="false">IF(AV6=②시니어_가정!$E$24,2,IF(AND(AV14=1,AV6&lt;②시니어_가정!$E$22),1,0))</f>
        <v>0</v>
      </c>
      <c r="AW155" s="275" t="n">
        <f aca="false">IF(AW6=②시니어_가정!$E$24,2,IF(AND(AW14=1,AW6&lt;②시니어_가정!$E$22),1,0))</f>
        <v>0</v>
      </c>
      <c r="AX155" s="275" t="n">
        <f aca="false">IF(AX6=②시니어_가정!$E$24,2,IF(AND(AX14=1,AX6&lt;②시니어_가정!$E$22),1,0))</f>
        <v>0</v>
      </c>
      <c r="AY155" s="275" t="n">
        <f aca="false">IF(AY6=②시니어_가정!$E$24,2,IF(AND(AY14=1,AY6&lt;②시니어_가정!$E$22),1,0))</f>
        <v>0</v>
      </c>
      <c r="AZ155" s="275" t="n">
        <f aca="false">IF(AZ6=②시니어_가정!$E$24,2,IF(AND(AZ14=1,AZ6&lt;②시니어_가정!$E$22),1,0))</f>
        <v>0</v>
      </c>
      <c r="BA155" s="275" t="n">
        <f aca="false">IF(BA6=②시니어_가정!$E$24,2,IF(AND(BA14=1,BA6&lt;②시니어_가정!$E$22),1,0))</f>
        <v>0</v>
      </c>
      <c r="BB155" s="275" t="n">
        <f aca="false">IF(BB6=②시니어_가정!$E$24,2,IF(AND(BB14=1,BB6&lt;②시니어_가정!$E$22),1,0))</f>
        <v>0</v>
      </c>
      <c r="BC155" s="275" t="n">
        <f aca="false">IF(BC6=②시니어_가정!$E$24,2,IF(AND(BC14=1,BC6&lt;②시니어_가정!$E$22),1,0))</f>
        <v>0</v>
      </c>
      <c r="BD155" s="275" t="n">
        <f aca="false">IF(BD6=②시니어_가정!$E$24,2,IF(AND(BD14=1,BD6&lt;②시니어_가정!$E$22),1,0))</f>
        <v>0</v>
      </c>
      <c r="BE155" s="275" t="n">
        <f aca="false">IF(BE6=②시니어_가정!$E$24,2,IF(AND(BE14=1,BE6&lt;②시니어_가정!$E$22),1,0))</f>
        <v>0</v>
      </c>
      <c r="BF155" s="275" t="n">
        <f aca="false">IF(BF6=②시니어_가정!$E$24,2,IF(AND(BF14=1,BF6&lt;②시니어_가정!$E$22),1,0))</f>
        <v>0</v>
      </c>
      <c r="BG155" s="275" t="n">
        <f aca="false">IF(BG6=②시니어_가정!$E$24,2,IF(AND(BG14=1,BG6&lt;②시니어_가정!$E$22),1,0))</f>
        <v>0</v>
      </c>
      <c r="BH155" s="275" t="n">
        <f aca="false">IF(BH6=②시니어_가정!$E$24,2,IF(AND(BH14=1,BH6&lt;②시니어_가정!$E$22),1,0))</f>
        <v>0</v>
      </c>
      <c r="BI155" s="275" t="n">
        <f aca="false">IF(BI6=②시니어_가정!$E$24,2,IF(AND(BI14=1,BI6&lt;②시니어_가정!$E$22),1,0))</f>
        <v>0</v>
      </c>
      <c r="BJ155" s="275" t="n">
        <f aca="false">IF(BJ6=②시니어_가정!$E$24,2,IF(AND(BJ14=1,BJ6&lt;②시니어_가정!$E$22),1,0))</f>
        <v>0</v>
      </c>
      <c r="BK155" s="275" t="n">
        <f aca="false">IF(BK6=②시니어_가정!$E$24,2,IF(AND(BK14=1,BK6&lt;②시니어_가정!$E$22),1,0))</f>
        <v>0</v>
      </c>
      <c r="BL155" s="275" t="n">
        <f aca="false">IF(BL6=②시니어_가정!$E$24,2,IF(AND(BL14=1,BL6&lt;②시니어_가정!$E$22),1,0))</f>
        <v>0</v>
      </c>
      <c r="BM155" s="275" t="n">
        <f aca="false">IF(BM6=②시니어_가정!$E$24,2,IF(AND(BM14=1,BM6&lt;②시니어_가정!$E$22),1,0))</f>
        <v>1</v>
      </c>
      <c r="BN155" s="275" t="n">
        <f aca="false">IF(BN6=②시니어_가정!$E$24,2,IF(AND(BN14=1,BN6&lt;②시니어_가정!$E$22),1,0))</f>
        <v>1</v>
      </c>
      <c r="BO155" s="275" t="n">
        <f aca="false">IF(BO6=②시니어_가정!$E$24,2,IF(AND(BO14=1,BO6&lt;②시니어_가정!$E$22),1,0))</f>
        <v>1</v>
      </c>
      <c r="BP155" s="275" t="n">
        <f aca="false">IF(BP6=②시니어_가정!$E$24,2,IF(AND(BP14=1,BP6&lt;②시니어_가정!$E$22),1,0))</f>
        <v>1</v>
      </c>
      <c r="BQ155" s="275" t="n">
        <f aca="false">IF(BQ6=②시니어_가정!$E$24,2,IF(AND(BQ14=1,BQ6&lt;②시니어_가정!$E$22),1,0))</f>
        <v>1</v>
      </c>
      <c r="BR155" s="275" t="n">
        <f aca="false">IF(BR6=②시니어_가정!$E$24,2,IF(AND(BR14=1,BR6&lt;②시니어_가정!$E$22),1,0))</f>
        <v>1</v>
      </c>
      <c r="BS155" s="275" t="n">
        <f aca="false">IF(BS6=②시니어_가정!$E$24,2,IF(AND(BS14=1,BS6&lt;②시니어_가정!$E$22),1,0))</f>
        <v>1</v>
      </c>
      <c r="BT155" s="275" t="n">
        <f aca="false">IF(BT6=②시니어_가정!$E$24,2,IF(AND(BT14=1,BT6&lt;②시니어_가정!$E$22),1,0))</f>
        <v>1</v>
      </c>
      <c r="BU155" s="275" t="n">
        <f aca="false">IF(BU6=②시니어_가정!$E$24,2,IF(AND(BU14=1,BU6&lt;②시니어_가정!$E$22),1,0))</f>
        <v>1</v>
      </c>
      <c r="BV155" s="275" t="n">
        <f aca="false">IF(BV6=②시니어_가정!$E$24,2,IF(AND(BV14=1,BV6&lt;②시니어_가정!$E$22),1,0))</f>
        <v>1</v>
      </c>
      <c r="BW155" s="275" t="n">
        <f aca="false">IF(BW6=②시니어_가정!$E$24,2,IF(AND(BW14=1,BW6&lt;②시니어_가정!$E$22),1,0))</f>
        <v>1</v>
      </c>
      <c r="BX155" s="275" t="n">
        <f aca="false">IF(BX6=②시니어_가정!$E$24,2,IF(AND(BX14=1,BX6&lt;②시니어_가정!$E$22),1,0))</f>
        <v>1</v>
      </c>
      <c r="BY155" s="275" t="n">
        <f aca="false">IF(BY6=②시니어_가정!$E$24,2,IF(AND(BY14=1,BY6&lt;②시니어_가정!$E$22),1,0))</f>
        <v>1</v>
      </c>
      <c r="BZ155" s="275" t="n">
        <f aca="false">IF(BZ6=②시니어_가정!$E$24,2,IF(AND(BZ14=1,BZ6&lt;②시니어_가정!$E$22),1,0))</f>
        <v>1</v>
      </c>
      <c r="CA155" s="275" t="n">
        <f aca="false">IF(CA6=②시니어_가정!$E$24,2,IF(AND(CA14=1,CA6&lt;②시니어_가정!$E$22),1,0))</f>
        <v>1</v>
      </c>
      <c r="CB155" s="275" t="n">
        <f aca="false">IF(CB6=②시니어_가정!$E$24,2,IF(AND(CB14=1,CB6&lt;②시니어_가정!$E$22),1,0))</f>
        <v>1</v>
      </c>
      <c r="CC155" s="275" t="n">
        <f aca="false">IF(CC6=②시니어_가정!$E$24,2,IF(AND(CC14=1,CC6&lt;②시니어_가정!$E$22),1,0))</f>
        <v>1</v>
      </c>
      <c r="CD155" s="275" t="n">
        <f aca="false">IF(CD6=②시니어_가정!$E$24,2,IF(AND(CD14=1,CD6&lt;②시니어_가정!$E$22),1,0))</f>
        <v>1</v>
      </c>
      <c r="CE155" s="275" t="n">
        <f aca="false">IF(CE6=②시니어_가정!$E$24,2,IF(AND(CE14=1,CE6&lt;②시니어_가정!$E$22),1,0))</f>
        <v>1</v>
      </c>
      <c r="CF155" s="275" t="n">
        <f aca="false">IF(CF6=②시니어_가정!$E$24,2,IF(AND(CF14=1,CF6&lt;②시니어_가정!$E$22),1,0))</f>
        <v>1</v>
      </c>
      <c r="CG155" s="275" t="n">
        <f aca="false">IF(CG6=②시니어_가정!$E$24,2,IF(AND(CG14=1,CG6&lt;②시니어_가정!$E$22),1,0))</f>
        <v>1</v>
      </c>
      <c r="CH155" s="275" t="n">
        <f aca="false">IF(CH6=②시니어_가정!$E$24,2,IF(AND(CH14=1,CH6&lt;②시니어_가정!$E$22),1,0))</f>
        <v>1</v>
      </c>
      <c r="CI155" s="275" t="n">
        <f aca="false">IF(CI6=②시니어_가정!$E$24,2,IF(AND(CI14=1,CI6&lt;②시니어_가정!$E$22),1,0))</f>
        <v>1</v>
      </c>
      <c r="CJ155" s="275" t="n">
        <f aca="false">IF(CJ6=②시니어_가정!$E$24,2,IF(AND(CJ14=1,CJ6&lt;②시니어_가정!$E$22),1,0))</f>
        <v>1</v>
      </c>
      <c r="CK155" s="275" t="n">
        <f aca="false">IF(CK6=②시니어_가정!$E$24,2,IF(AND(CK14=1,CK6&lt;②시니어_가정!$E$22),1,0))</f>
        <v>1</v>
      </c>
      <c r="CL155" s="275" t="n">
        <f aca="false">IF(CL6=②시니어_가정!$E$24,2,IF(AND(CL14=1,CL6&lt;②시니어_가정!$E$22),1,0))</f>
        <v>1</v>
      </c>
      <c r="CM155" s="275" t="n">
        <f aca="false">IF(CM6=②시니어_가정!$E$24,2,IF(AND(CM14=1,CM6&lt;②시니어_가정!$E$22),1,0))</f>
        <v>1</v>
      </c>
      <c r="CN155" s="275" t="n">
        <f aca="false">IF(CN6=②시니어_가정!$E$24,2,IF(AND(CN14=1,CN6&lt;②시니어_가정!$E$22),1,0))</f>
        <v>1</v>
      </c>
      <c r="CO155" s="275" t="n">
        <f aca="false">IF(CO6=②시니어_가정!$E$24,2,IF(AND(CO14=1,CO6&lt;②시니어_가정!$E$22),1,0))</f>
        <v>1</v>
      </c>
      <c r="CP155" s="275" t="n">
        <f aca="false">IF(CP6=②시니어_가정!$E$24,2,IF(AND(CP14=1,CP6&lt;②시니어_가정!$E$22),1,0))</f>
        <v>1</v>
      </c>
      <c r="CQ155" s="275" t="n">
        <f aca="false">IF(CQ6=②시니어_가정!$E$24,2,IF(AND(CQ14=1,CQ6&lt;②시니어_가정!$E$22),1,0))</f>
        <v>1</v>
      </c>
      <c r="CR155" s="275" t="n">
        <f aca="false">IF(CR6=②시니어_가정!$E$24,2,IF(AND(CR14=1,CR6&lt;②시니어_가정!$E$22),1,0))</f>
        <v>1</v>
      </c>
      <c r="CS155" s="275" t="n">
        <f aca="false">IF(CS6=②시니어_가정!$E$24,2,IF(AND(CS14=1,CS6&lt;②시니어_가정!$E$22),1,0))</f>
        <v>1</v>
      </c>
      <c r="CT155" s="275" t="n">
        <f aca="false">IF(CT6=②시니어_가정!$E$24,2,IF(AND(CT14=1,CT6&lt;②시니어_가정!$E$22),1,0))</f>
        <v>1</v>
      </c>
      <c r="CU155" s="275" t="n">
        <f aca="false">IF(CU6=②시니어_가정!$E$24,2,IF(AND(CU14=1,CU6&lt;②시니어_가정!$E$22),1,0))</f>
        <v>1</v>
      </c>
      <c r="CV155" s="275" t="n">
        <f aca="false">IF(CV6=②시니어_가정!$E$24,2,IF(AND(CV14=1,CV6&lt;②시니어_가정!$E$22),1,0))</f>
        <v>1</v>
      </c>
      <c r="CW155" s="275" t="n">
        <f aca="false">IF(CW6=②시니어_가정!$E$24,2,IF(AND(CW14=1,CW6&lt;②시니어_가정!$E$22),1,0))</f>
        <v>1</v>
      </c>
      <c r="CX155" s="275" t="n">
        <f aca="false">IF(CX6=②시니어_가정!$E$24,2,IF(AND(CX14=1,CX6&lt;②시니어_가정!$E$22),1,0))</f>
        <v>1</v>
      </c>
      <c r="CY155" s="275" t="n">
        <f aca="false">IF(CY6=②시니어_가정!$E$24,2,IF(AND(CY14=1,CY6&lt;②시니어_가정!$E$22),1,0))</f>
        <v>1</v>
      </c>
      <c r="CZ155" s="275" t="n">
        <f aca="false">IF(CZ6=②시니어_가정!$E$24,2,IF(AND(CZ14=1,CZ6&lt;②시니어_가정!$E$22),1,0))</f>
        <v>1</v>
      </c>
      <c r="DA155" s="275" t="n">
        <f aca="false">IF(DA6=②시니어_가정!$E$24,2,IF(AND(DA14=1,DA6&lt;②시니어_가정!$E$22),1,0))</f>
        <v>1</v>
      </c>
      <c r="DB155" s="275" t="n">
        <f aca="false">IF(DB6=②시니어_가정!$E$24,2,IF(AND(DB14=1,DB6&lt;②시니어_가정!$E$22),1,0))</f>
        <v>1</v>
      </c>
      <c r="DC155" s="275" t="n">
        <f aca="false">IF(DC6=②시니어_가정!$E$24,2,IF(AND(DC14=1,DC6&lt;②시니어_가정!$E$22),1,0))</f>
        <v>1</v>
      </c>
      <c r="DD155" s="275" t="n">
        <f aca="false">IF(DD6=②시니어_가정!$E$24,2,IF(AND(DD14=1,DD6&lt;②시니어_가정!$E$22),1,0))</f>
        <v>1</v>
      </c>
      <c r="DE155" s="275" t="n">
        <f aca="false">IF(DE6=②시니어_가정!$E$24,2,IF(AND(DE14=1,DE6&lt;②시니어_가정!$E$22),1,0))</f>
        <v>1</v>
      </c>
      <c r="DF155" s="275" t="n">
        <f aca="false">IF(DF6=②시니어_가정!$E$24,2,IF(AND(DF14=1,DF6&lt;②시니어_가정!$E$22),1,0))</f>
        <v>1</v>
      </c>
      <c r="DG155" s="275" t="n">
        <f aca="false">IF(DG6=②시니어_가정!$E$24,2,IF(AND(DG14=1,DG6&lt;②시니어_가정!$E$22),1,0))</f>
        <v>1</v>
      </c>
      <c r="DH155" s="275" t="n">
        <f aca="false">IF(DH6=②시니어_가정!$E$24,2,IF(AND(DH14=1,DH6&lt;②시니어_가정!$E$22),1,0))</f>
        <v>1</v>
      </c>
      <c r="DI155" s="275" t="n">
        <f aca="false">IF(DI6=②시니어_가정!$E$24,2,IF(AND(DI14=1,DI6&lt;②시니어_가정!$E$22),1,0))</f>
        <v>1</v>
      </c>
      <c r="DJ155" s="275" t="n">
        <f aca="false">IF(DJ6=②시니어_가정!$E$24,2,IF(AND(DJ14=1,DJ6&lt;②시니어_가정!$E$22),1,0))</f>
        <v>1</v>
      </c>
      <c r="DK155" s="275" t="n">
        <f aca="false">IF(DK6=②시니어_가정!$E$24,2,IF(AND(DK14=1,DK6&lt;②시니어_가정!$E$22),1,0))</f>
        <v>1</v>
      </c>
      <c r="DL155" s="275" t="n">
        <f aca="false">IF(DL6=②시니어_가정!$E$24,2,IF(AND(DL14=1,DL6&lt;②시니어_가정!$E$22),1,0))</f>
        <v>1</v>
      </c>
      <c r="DM155" s="275" t="n">
        <f aca="false">IF(DM6=②시니어_가정!$E$24,2,IF(AND(DM14=1,DM6&lt;②시니어_가정!$E$22),1,0))</f>
        <v>1</v>
      </c>
      <c r="DN155" s="275" t="n">
        <f aca="false">IF(DN6=②시니어_가정!$E$24,2,IF(AND(DN14=1,DN6&lt;②시니어_가정!$E$22),1,0))</f>
        <v>1</v>
      </c>
      <c r="DO155" s="275" t="n">
        <f aca="false">IF(DO6=②시니어_가정!$E$24,2,IF(AND(DO14=1,DO6&lt;②시니어_가정!$E$22),1,0))</f>
        <v>1</v>
      </c>
      <c r="DP155" s="275" t="n">
        <f aca="false">IF(DP6=②시니어_가정!$E$24,2,IF(AND(DP14=1,DP6&lt;②시니어_가정!$E$22),1,0))</f>
        <v>1</v>
      </c>
      <c r="DQ155" s="275" t="n">
        <f aca="false">IF(DQ6=②시니어_가정!$E$24,2,IF(AND(DQ14=1,DQ6&lt;②시니어_가정!$E$22),1,0))</f>
        <v>1</v>
      </c>
      <c r="DR155" s="275" t="n">
        <f aca="false">IF(DR6=②시니어_가정!$E$24,2,IF(AND(DR14=1,DR6&lt;②시니어_가정!$E$22),1,0))</f>
        <v>1</v>
      </c>
      <c r="DS155" s="275" t="n">
        <f aca="false">IF(DS6=②시니어_가정!$E$24,2,IF(AND(DS14=1,DS6&lt;②시니어_가정!$E$22),1,0))</f>
        <v>1</v>
      </c>
      <c r="DT155" s="275" t="n">
        <f aca="false">IF(DT6=②시니어_가정!$E$24,2,IF(AND(DT14=1,DT6&lt;②시니어_가정!$E$22),1,0))</f>
        <v>0</v>
      </c>
      <c r="DU155" s="275" t="n">
        <f aca="false">IF(DU6=②시니어_가정!$E$24,2,IF(AND(DU14=1,DU6&lt;②시니어_가정!$E$22),1,0))</f>
        <v>0</v>
      </c>
      <c r="DV155" s="275" t="n">
        <f aca="false">IF(DV6=②시니어_가정!$E$24,2,IF(AND(DV14=1,DV6&lt;②시니어_가정!$E$22),1,0))</f>
        <v>0</v>
      </c>
      <c r="DW155" s="275" t="n">
        <f aca="false">IF(DW6=②시니어_가정!$E$24,2,IF(AND(DW14=1,DW6&lt;②시니어_가정!$E$22),1,0))</f>
        <v>2</v>
      </c>
      <c r="DX155" s="275" t="n">
        <f aca="false">IF(DX6=②시니어_가정!$E$24,2,IF(AND(DX14=1,DX6&lt;②시니어_가정!$E$22),1,0))</f>
        <v>0</v>
      </c>
      <c r="DY155" s="275" t="n">
        <f aca="false">IF(DY6=②시니어_가정!$E$24,2,IF(AND(DY14=1,DY6&lt;②시니어_가정!$E$22),1,0))</f>
        <v>0</v>
      </c>
      <c r="DZ155" s="275" t="n">
        <f aca="false">IF(DZ6=②시니어_가정!$E$24,2,IF(AND(DZ14=1,DZ6&lt;②시니어_가정!$E$22),1,0))</f>
        <v>0</v>
      </c>
      <c r="EA155" s="275" t="n">
        <f aca="false">IF(EA6=②시니어_가정!$E$24,2,IF(AND(EA14=1,EA6&lt;②시니어_가정!$E$22),1,0))</f>
        <v>0</v>
      </c>
      <c r="EB155" s="275" t="n">
        <f aca="false">IF(EB6=②시니어_가정!$E$24,2,IF(AND(EB14=1,EB6&lt;②시니어_가정!$E$22),1,0))</f>
        <v>0</v>
      </c>
      <c r="EC155" s="275" t="n">
        <f aca="false">IF(EC6=②시니어_가정!$E$24,2,IF(AND(EC14=1,EC6&lt;②시니어_가정!$E$22),1,0))</f>
        <v>0</v>
      </c>
      <c r="ED155" s="275" t="n">
        <f aca="false">IF(ED6=②시니어_가정!$E$24,2,IF(AND(ED14=1,ED6&lt;②시니어_가정!$E$22),1,0))</f>
        <v>0</v>
      </c>
      <c r="EE155" s="275" t="n">
        <f aca="false">IF(EE6=②시니어_가정!$E$24,2,IF(AND(EE14=1,EE6&lt;②시니어_가정!$E$22),1,0))</f>
        <v>0</v>
      </c>
      <c r="EF155" s="275" t="n">
        <f aca="false">IF(EF6=②시니어_가정!$E$24,2,IF(AND(EF14=1,EF6&lt;②시니어_가정!$E$22),1,0))</f>
        <v>0</v>
      </c>
    </row>
    <row r="156" customFormat="false" ht="15" hidden="false" customHeight="false" outlineLevel="0" collapsed="false">
      <c r="A156" s="36" t="s">
        <v>686</v>
      </c>
      <c r="B156" s="278" t="s">
        <v>21</v>
      </c>
      <c r="C156" s="279" t="n">
        <f aca="false">SUM(E156:EF156)</f>
        <v>33609.0524708319</v>
      </c>
      <c r="E156" s="37" t="n">
        <f aca="false">E75+E149-E129-E135</f>
        <v>0</v>
      </c>
      <c r="F156" s="37" t="n">
        <f aca="false">F75+F149-F129-F135</f>
        <v>8.35683611580305</v>
      </c>
      <c r="G156" s="37" t="n">
        <f aca="false">G75+G149-G129-G135</f>
        <v>8.12908237275923</v>
      </c>
      <c r="H156" s="37" t="n">
        <f aca="false">H75+H149-H129-H135</f>
        <v>7.90075924535779</v>
      </c>
      <c r="I156" s="37" t="n">
        <f aca="false">I75+I149-I129-I135</f>
        <v>0</v>
      </c>
      <c r="J156" s="37" t="n">
        <f aca="false">J75+J149-J129-J135</f>
        <v>0</v>
      </c>
      <c r="K156" s="37" t="n">
        <f aca="false">K75+K149-K129-K135</f>
        <v>0</v>
      </c>
      <c r="L156" s="37" t="n">
        <f aca="false">L75+L149-L129-L135</f>
        <v>0</v>
      </c>
      <c r="M156" s="37" t="n">
        <f aca="false">M75+M149-M129-M135</f>
        <v>0</v>
      </c>
      <c r="N156" s="37" t="n">
        <f aca="false">N75+N149-N129-N135</f>
        <v>0</v>
      </c>
      <c r="O156" s="37" t="n">
        <f aca="false">O75+O149-O129-O135</f>
        <v>0</v>
      </c>
      <c r="P156" s="37" t="n">
        <f aca="false">P75+P149-P129-P135</f>
        <v>0</v>
      </c>
      <c r="Q156" s="37" t="n">
        <f aca="false">Q75+Q149-Q129-Q135</f>
        <v>0</v>
      </c>
      <c r="R156" s="37" t="n">
        <f aca="false">R75+R149-R129-R135</f>
        <v>105.700111070823</v>
      </c>
      <c r="S156" s="37" t="n">
        <f aca="false">S75+S149-S129-S135</f>
        <v>105.715715515167</v>
      </c>
      <c r="T156" s="37" t="n">
        <f aca="false">T75+T149-T129-T135</f>
        <v>105.731358970621</v>
      </c>
      <c r="U156" s="37" t="n">
        <f aca="false">U75+U149-U129-U135</f>
        <v>105.747041534715</v>
      </c>
      <c r="V156" s="37" t="n">
        <f aca="false">V75+V149-V129-V135</f>
        <v>105.762763305218</v>
      </c>
      <c r="W156" s="37" t="n">
        <f aca="false">W75+W149-W129-W135</f>
        <v>105.778524380148</v>
      </c>
      <c r="X156" s="37" t="n">
        <f aca="false">X75+X149-X129-X135</f>
        <v>124.047654622278</v>
      </c>
      <c r="Y156" s="37" t="n">
        <f aca="false">Y75+Y149-Y129-Y135</f>
        <v>119.968484758731</v>
      </c>
      <c r="Z156" s="37" t="n">
        <f aca="false">Z75+Z149-Z129-Z135</f>
        <v>113.854124827001</v>
      </c>
      <c r="AA156" s="37" t="n">
        <f aca="false">AA75+AA149-AA129-AA135</f>
        <v>105.727958144441</v>
      </c>
      <c r="AB156" s="37" t="n">
        <f aca="false">AB75+AB149-AB129-AB135</f>
        <v>95.6245918411592</v>
      </c>
      <c r="AC156" s="37" t="n">
        <f aca="false">AC75+AC149-AC129-AC135</f>
        <v>83.5896632553461</v>
      </c>
      <c r="AD156" s="37" t="n">
        <f aca="false">AD75+AD149-AD129-AD135</f>
        <v>285.679584643028</v>
      </c>
      <c r="AE156" s="37" t="n">
        <f aca="false">AE75+AE149-AE129-AE135</f>
        <v>270.501227629944</v>
      </c>
      <c r="AF156" s="37" t="n">
        <f aca="false">AF75+AF149-AF129-AF135</f>
        <v>253.592899170216</v>
      </c>
      <c r="AG156" s="37" t="n">
        <f aca="false">AG75+AG149-AG129-AG135</f>
        <v>235.041214478601</v>
      </c>
      <c r="AH156" s="37" t="n">
        <f aca="false">AH75+AH149-AH129-AH135</f>
        <v>214.941959226966</v>
      </c>
      <c r="AI156" s="37" t="n">
        <f aca="false">AI75+AI149-AI129-AI135</f>
        <v>193.399553822322</v>
      </c>
      <c r="AJ156" s="37" t="n">
        <f aca="false">AJ75+AJ149-AJ129-AJ135</f>
        <v>170.526469395773</v>
      </c>
      <c r="AK156" s="37" t="n">
        <f aca="false">AK75+AK149-AK129-AK135</f>
        <v>146.442598768446</v>
      </c>
      <c r="AL156" s="37" t="n">
        <f aca="false">AL75+AL149-AL129-AL135</f>
        <v>121.274585912176</v>
      </c>
      <c r="AM156" s="37" t="n">
        <f aca="false">AM75+AM149-AM129-AM135</f>
        <v>95.1551176549103</v>
      </c>
      <c r="AN156" s="37" t="n">
        <f aca="false">AN75+AN149-AN129-AN135</f>
        <v>68.2221815918686</v>
      </c>
      <c r="AO156" s="37" t="n">
        <f aca="false">AO75+AO149-AO129-AO135</f>
        <v>40.6182943525497</v>
      </c>
      <c r="AP156" s="37" t="n">
        <f aca="false">AP75+AP149-AP129-AP135</f>
        <v>228.489704539408</v>
      </c>
      <c r="AQ156" s="37" t="n">
        <f aca="false">AQ75+AQ149-AQ129-AQ135</f>
        <v>200.525574795698</v>
      </c>
      <c r="AR156" s="37" t="n">
        <f aca="false">AR75+AR149-AR129-AR135</f>
        <v>172.338497576699</v>
      </c>
      <c r="AS156" s="37" t="n">
        <f aca="false">AS75+AS149-AS129-AS135</f>
        <v>144.080952664653</v>
      </c>
      <c r="AT156" s="37" t="n">
        <f aca="false">AT75+AT149-AT129-AT135</f>
        <v>115.905801041256</v>
      </c>
      <c r="AU156" s="37" t="n">
        <f aca="false">AU75+AU149-AU129-AU135</f>
        <v>87.9654299948357</v>
      </c>
      <c r="AV156" s="37" t="n">
        <f aca="false">AV75+AV149-AV129-AV135</f>
        <v>60.4109008765241</v>
      </c>
      <c r="AW156" s="37" t="n">
        <f aca="false">AW75+AW149-AW129-AW135</f>
        <v>33.3911042715364</v>
      </c>
      <c r="AX156" s="37" t="n">
        <f aca="false">AX75+AX149-AX129-AX135</f>
        <v>7.05192731016888</v>
      </c>
      <c r="AY156" s="37" t="n">
        <f aca="false">AY75+AY149-AY129-AY135</f>
        <v>1.25</v>
      </c>
      <c r="AZ156" s="37" t="n">
        <f aca="false">AZ75+AZ149-AZ129-AZ135</f>
        <v>1.25</v>
      </c>
      <c r="BA156" s="37" t="n">
        <f aca="false">BA75+BA149-BA129-BA135</f>
        <v>1.25</v>
      </c>
      <c r="BB156" s="37" t="n">
        <f aca="false">BB75+BB149-BB129-BB135</f>
        <v>194.702905129427</v>
      </c>
      <c r="BC156" s="37" t="n">
        <f aca="false">BC75+BC149-BC129-BC135</f>
        <v>174.032344536559</v>
      </c>
      <c r="BD156" s="37" t="n">
        <f aca="false">BD75+BD149-BD129-BD135</f>
        <v>154.811298890499</v>
      </c>
      <c r="BE156" s="37" t="n">
        <f aca="false">BE75+BE149-BE129-BE135</f>
        <v>137.143286041062</v>
      </c>
      <c r="BF156" s="37" t="n">
        <f aca="false">BF75+BF149-BF129-BF135</f>
        <v>121.123128713613</v>
      </c>
      <c r="BG156" s="37" t="n">
        <f aca="false">BG75+BG149-BG129-BG135</f>
        <v>106.836424197079</v>
      </c>
      <c r="BH156" s="37" t="n">
        <f aca="false">BH75+BH149-BH129-BH135</f>
        <v>94.3590656242954</v>
      </c>
      <c r="BI156" s="37" t="n">
        <f aca="false">BI75+BI149-BI129-BI135</f>
        <v>83.7568175218531</v>
      </c>
      <c r="BJ156" s="37" t="n">
        <f aca="false">BJ75+BJ149-BJ129-BJ135</f>
        <v>75.0849480031692</v>
      </c>
      <c r="BK156" s="37" t="n">
        <f aca="false">BK75+BK149-BK129-BK135</f>
        <v>68.3879196616896</v>
      </c>
      <c r="BL156" s="37" t="n">
        <f aca="false">BL75+BL149-BL129-BL135</f>
        <v>63.699140892881</v>
      </c>
      <c r="BM156" s="37" t="n">
        <f aca="false">BM75+BM149-BM129-BM135</f>
        <v>-6.7053399302946</v>
      </c>
      <c r="BN156" s="37" t="n">
        <f aca="false">BN75+BN149-BN129-BN135</f>
        <v>224.861286847199</v>
      </c>
      <c r="BO156" s="37" t="n">
        <f aca="false">BO75+BO149-BO129-BO135</f>
        <v>224.861286847199</v>
      </c>
      <c r="BP156" s="37" t="n">
        <f aca="false">BP75+BP149-BP129-BP135</f>
        <v>224.861286847199</v>
      </c>
      <c r="BQ156" s="37" t="n">
        <f aca="false">BQ75+BQ149-BQ129-BQ135</f>
        <v>224.861286847199</v>
      </c>
      <c r="BR156" s="37" t="n">
        <f aca="false">BR75+BR149-BR129-BR135</f>
        <v>224.861286847199</v>
      </c>
      <c r="BS156" s="37" t="n">
        <f aca="false">BS75+BS149-BS129-BS135</f>
        <v>224.861286847199</v>
      </c>
      <c r="BT156" s="37" t="n">
        <f aca="false">BT75+BT149-BT129-BT135</f>
        <v>224.861286847198</v>
      </c>
      <c r="BU156" s="37" t="n">
        <f aca="false">BU75+BU149-BU129-BU135</f>
        <v>224.861286847198</v>
      </c>
      <c r="BV156" s="37" t="n">
        <f aca="false">BV75+BV149-BV129-BV135</f>
        <v>224.861286847198</v>
      </c>
      <c r="BW156" s="37" t="n">
        <f aca="false">BW75+BW149-BW129-BW135</f>
        <v>224.861286847198</v>
      </c>
      <c r="BX156" s="37" t="n">
        <f aca="false">BX75+BX149-BX129-BX135</f>
        <v>224.861286847198</v>
      </c>
      <c r="BY156" s="37" t="n">
        <f aca="false">BY75+BY149-BY129-BY135</f>
        <v>311.0465192759</v>
      </c>
      <c r="BZ156" s="37" t="n">
        <f aca="false">BZ75+BZ149-BZ129-BZ135</f>
        <v>549.5465192759</v>
      </c>
      <c r="CA156" s="37" t="n">
        <f aca="false">CA75+CA149-CA129-CA135</f>
        <v>549.5465192759</v>
      </c>
      <c r="CB156" s="37" t="n">
        <f aca="false">CB75+CB149-CB129-CB135</f>
        <v>549.5465192759</v>
      </c>
      <c r="CC156" s="37" t="n">
        <f aca="false">CC75+CC149-CC129-CC135</f>
        <v>549.5465192759</v>
      </c>
      <c r="CD156" s="37" t="n">
        <f aca="false">CD75+CD149-CD129-CD135</f>
        <v>549.5465192759</v>
      </c>
      <c r="CE156" s="37" t="n">
        <f aca="false">CE75+CE149-CE129-CE135</f>
        <v>549.5465192759</v>
      </c>
      <c r="CF156" s="37" t="n">
        <f aca="false">CF75+CF149-CF129-CF135</f>
        <v>549.5465192759</v>
      </c>
      <c r="CG156" s="37" t="n">
        <f aca="false">CG75+CG149-CG129-CG135</f>
        <v>549.5465192759</v>
      </c>
      <c r="CH156" s="37" t="n">
        <f aca="false">CH75+CH149-CH129-CH135</f>
        <v>549.5465192759</v>
      </c>
      <c r="CI156" s="37" t="n">
        <f aca="false">CI75+CI149-CI129-CI135</f>
        <v>549.5465192759</v>
      </c>
      <c r="CJ156" s="37" t="n">
        <f aca="false">CJ75+CJ149-CJ129-CJ135</f>
        <v>549.5465192759</v>
      </c>
      <c r="CK156" s="37" t="n">
        <f aca="false">CK75+CK149-CK129-CK135</f>
        <v>557.644536353176</v>
      </c>
      <c r="CL156" s="37" t="n">
        <f aca="false">CL75+CL149-CL129-CL135</f>
        <v>557.644536353176</v>
      </c>
      <c r="CM156" s="37" t="n">
        <f aca="false">CM75+CM149-CM129-CM135</f>
        <v>557.644536353176</v>
      </c>
      <c r="CN156" s="37" t="n">
        <f aca="false">CN75+CN149-CN129-CN135</f>
        <v>557.644536353176</v>
      </c>
      <c r="CO156" s="37" t="n">
        <f aca="false">CO75+CO149-CO129-CO135</f>
        <v>557.644536353176</v>
      </c>
      <c r="CP156" s="37" t="n">
        <f aca="false">CP75+CP149-CP129-CP135</f>
        <v>557.644536353176</v>
      </c>
      <c r="CQ156" s="37" t="n">
        <f aca="false">CQ75+CQ149-CQ129-CQ135</f>
        <v>557.644536353176</v>
      </c>
      <c r="CR156" s="37" t="n">
        <f aca="false">CR75+CR149-CR129-CR135</f>
        <v>557.644536353176</v>
      </c>
      <c r="CS156" s="37" t="n">
        <f aca="false">CS75+CS149-CS129-CS135</f>
        <v>557.644536353176</v>
      </c>
      <c r="CT156" s="37" t="n">
        <f aca="false">CT75+CT149-CT129-CT135</f>
        <v>557.644536353176</v>
      </c>
      <c r="CU156" s="37" t="n">
        <f aca="false">CU75+CU149-CU129-CU135</f>
        <v>557.644536353176</v>
      </c>
      <c r="CV156" s="37" t="n">
        <f aca="false">CV75+CV149-CV129-CV135</f>
        <v>557.644536353176</v>
      </c>
      <c r="CW156" s="37" t="n">
        <f aca="false">CW75+CW149-CW129-CW135</f>
        <v>565.904513771997</v>
      </c>
      <c r="CX156" s="37" t="n">
        <f aca="false">CX75+CX149-CX129-CX135</f>
        <v>565.904513771997</v>
      </c>
      <c r="CY156" s="37" t="n">
        <f aca="false">CY75+CY149-CY129-CY135</f>
        <v>565.904513771997</v>
      </c>
      <c r="CZ156" s="37" t="n">
        <f aca="false">CZ75+CZ149-CZ129-CZ135</f>
        <v>565.904513771997</v>
      </c>
      <c r="DA156" s="37" t="n">
        <f aca="false">DA75+DA149-DA129-DA135</f>
        <v>565.904513771997</v>
      </c>
      <c r="DB156" s="37" t="n">
        <f aca="false">DB75+DB149-DB129-DB135</f>
        <v>565.904513771997</v>
      </c>
      <c r="DC156" s="37" t="n">
        <f aca="false">DC75+DC149-DC129-DC135</f>
        <v>565.904513771997</v>
      </c>
      <c r="DD156" s="37" t="n">
        <f aca="false">DD75+DD149-DD129-DD135</f>
        <v>565.904513771997</v>
      </c>
      <c r="DE156" s="37" t="n">
        <f aca="false">DE75+DE149-DE129-DE135</f>
        <v>565.904513771997</v>
      </c>
      <c r="DF156" s="37" t="n">
        <f aca="false">DF75+DF149-DF129-DF135</f>
        <v>565.904513771997</v>
      </c>
      <c r="DG156" s="37" t="n">
        <f aca="false">DG75+DG149-DG129-DG135</f>
        <v>565.904513771997</v>
      </c>
      <c r="DH156" s="37" t="n">
        <f aca="false">DH75+DH149-DH129-DH135</f>
        <v>565.904513771997</v>
      </c>
      <c r="DI156" s="37" t="n">
        <f aca="false">DI75+DI149-DI129-DI135</f>
        <v>574.329690739195</v>
      </c>
      <c r="DJ156" s="37" t="n">
        <f aca="false">DJ75+DJ149-DJ129-DJ135</f>
        <v>574.329690739195</v>
      </c>
      <c r="DK156" s="37" t="n">
        <f aca="false">DK75+DK149-DK129-DK135</f>
        <v>574.329690739195</v>
      </c>
      <c r="DL156" s="37" t="n">
        <f aca="false">DL75+DL149-DL129-DL135</f>
        <v>574.329690739195</v>
      </c>
      <c r="DM156" s="37" t="n">
        <f aca="false">DM75+DM149-DM129-DM135</f>
        <v>574.329690739195</v>
      </c>
      <c r="DN156" s="37" t="n">
        <f aca="false">DN75+DN149-DN129-DN135</f>
        <v>574.329690739195</v>
      </c>
      <c r="DO156" s="37" t="n">
        <f aca="false">DO75+DO149-DO129-DO135</f>
        <v>574.329690739195</v>
      </c>
      <c r="DP156" s="37" t="n">
        <f aca="false">DP75+DP149-DP129-DP135</f>
        <v>574.329690739195</v>
      </c>
      <c r="DQ156" s="37" t="n">
        <f aca="false">DQ75+DQ149-DQ129-DQ135</f>
        <v>574.329690739195</v>
      </c>
      <c r="DR156" s="37" t="n">
        <f aca="false">DR75+DR149-DR129-DR135</f>
        <v>574.329690739195</v>
      </c>
      <c r="DS156" s="37" t="n">
        <f aca="false">DS75+DS149-DS129-DS135</f>
        <v>574.329690739195</v>
      </c>
      <c r="DT156" s="37" t="n">
        <f aca="false">DT75+DT149-DT129-DT135</f>
        <v>-385.492304390271</v>
      </c>
      <c r="DU156" s="37" t="n">
        <f aca="false">DU75+DU149-DU129-DU135</f>
        <v>-117.791666666667</v>
      </c>
      <c r="DV156" s="37" t="n">
        <f aca="false">DV75+DV149-DV129-DV135</f>
        <v>-117.791666666667</v>
      </c>
      <c r="DW156" s="37" t="n">
        <f aca="false">DW75+DW149-DW129-DW135</f>
        <v>-117.791666666667</v>
      </c>
      <c r="DX156" s="37" t="n">
        <f aca="false">DX75+DX149-DX129-DX135</f>
        <v>0</v>
      </c>
      <c r="DY156" s="37" t="n">
        <f aca="false">DY75+DY149-DY129-DY135</f>
        <v>0</v>
      </c>
      <c r="DZ156" s="37" t="n">
        <f aca="false">DZ75+DZ149-DZ129-DZ135</f>
        <v>0</v>
      </c>
      <c r="EA156" s="37" t="n">
        <f aca="false">EA75+EA149-EA129-EA135</f>
        <v>0</v>
      </c>
      <c r="EB156" s="37" t="n">
        <f aca="false">EB75+EB149-EB129-EB135</f>
        <v>0</v>
      </c>
      <c r="EC156" s="37" t="n">
        <f aca="false">EC75+EC149-EC129-EC135</f>
        <v>0</v>
      </c>
      <c r="ED156" s="37" t="n">
        <f aca="false">ED75+ED149-ED129-ED135</f>
        <v>0</v>
      </c>
      <c r="EE156" s="37" t="n">
        <f aca="false">EE75+EE149-EE129-EE135</f>
        <v>0</v>
      </c>
      <c r="EF156" s="37" t="n">
        <f aca="false">EF75+EF149-EF129-EF135</f>
        <v>0</v>
      </c>
    </row>
    <row r="157" customFormat="false" ht="15" hidden="false" customHeight="false" outlineLevel="0" collapsed="false">
      <c r="A157" s="36" t="s">
        <v>687</v>
      </c>
      <c r="B157" s="278" t="s">
        <v>21</v>
      </c>
      <c r="E157" s="37" t="n">
        <f aca="false">0+E156-IF(E155=1,E158,0)</f>
        <v>0</v>
      </c>
      <c r="F157" s="37" t="n">
        <f aca="false">E157+F156-IF(F155=1,F158,0)</f>
        <v>8.35683611580305</v>
      </c>
      <c r="G157" s="37" t="n">
        <f aca="false">F157+G156-IF(G155=1,G158,0)</f>
        <v>16.4859184885623</v>
      </c>
      <c r="H157" s="37" t="n">
        <f aca="false">G157+H156-IF(H155=1,H158,0)</f>
        <v>24.3866777339201</v>
      </c>
      <c r="I157" s="37" t="n">
        <f aca="false">H157+I156-IF(I155=1,I158,0)</f>
        <v>24.3866777339201</v>
      </c>
      <c r="J157" s="37" t="n">
        <f aca="false">I157+J156-IF(J155=1,J158,0)</f>
        <v>24.3866777339201</v>
      </c>
      <c r="K157" s="37" t="n">
        <f aca="false">J157+K156-IF(K155=1,K158,0)</f>
        <v>24.3866777339201</v>
      </c>
      <c r="L157" s="37" t="n">
        <f aca="false">K157+L156-IF(L155=1,L158,0)</f>
        <v>24.3866777339201</v>
      </c>
      <c r="M157" s="37" t="n">
        <f aca="false">L157+M156-IF(M155=1,M158,0)</f>
        <v>24.3866777339201</v>
      </c>
      <c r="N157" s="37" t="n">
        <f aca="false">M157+N156-IF(N155=1,N158,0)</f>
        <v>24.3866777339201</v>
      </c>
      <c r="O157" s="37" t="n">
        <f aca="false">N157+O156-IF(O155=1,O158,0)</f>
        <v>24.3866777339201</v>
      </c>
      <c r="P157" s="37" t="n">
        <f aca="false">O157+P156-IF(P155=1,P158,0)</f>
        <v>24.3866777339201</v>
      </c>
      <c r="Q157" s="37" t="n">
        <f aca="false">P157+Q156-IF(Q155=1,Q158,0)</f>
        <v>24.3866777339201</v>
      </c>
      <c r="R157" s="37" t="n">
        <f aca="false">Q157+R156-IF(R155=1,R158,0)</f>
        <v>130.086788804743</v>
      </c>
      <c r="S157" s="37" t="n">
        <f aca="false">R157+S156-IF(S155=1,S158,0)</f>
        <v>235.80250431991</v>
      </c>
      <c r="T157" s="37" t="n">
        <f aca="false">S157+T156-IF(T155=1,T158,0)</f>
        <v>341.533863290531</v>
      </c>
      <c r="U157" s="37" t="n">
        <f aca="false">T157+U156-IF(U155=1,U158,0)</f>
        <v>447.280904825246</v>
      </c>
      <c r="V157" s="37" t="n">
        <f aca="false">U157+V156-IF(V155=1,V158,0)</f>
        <v>553.043668130464</v>
      </c>
      <c r="W157" s="37" t="n">
        <f aca="false">V157+W156-IF(W155=1,W158,0)</f>
        <v>658.822192510612</v>
      </c>
      <c r="X157" s="37" t="n">
        <f aca="false">W157+X156-IF(X155=1,X158,0)</f>
        <v>782.869847132889</v>
      </c>
      <c r="Y157" s="37" t="n">
        <f aca="false">X157+Y156-IF(Y155=1,Y158,0)</f>
        <v>902.83833189162</v>
      </c>
      <c r="Z157" s="37" t="n">
        <f aca="false">Y157+Z156-IF(Z155=1,Z158,0)</f>
        <v>1016.69245671862</v>
      </c>
      <c r="AA157" s="37" t="n">
        <f aca="false">Z157+AA156-IF(AA155=1,AA158,0)</f>
        <v>1122.42041486306</v>
      </c>
      <c r="AB157" s="37" t="n">
        <f aca="false">AA157+AB156-IF(AB155=1,AB158,0)</f>
        <v>1218.04500670422</v>
      </c>
      <c r="AC157" s="37" t="n">
        <f aca="false">AB157+AC156-IF(AC155=1,AC158,0)</f>
        <v>1301.63466995957</v>
      </c>
      <c r="AD157" s="37" t="n">
        <f aca="false">AC157+AD156-IF(AD155=1,AD158,0)</f>
        <v>1587.3142546026</v>
      </c>
      <c r="AE157" s="37" t="n">
        <f aca="false">AD157+AE156-IF(AE155=1,AE158,0)</f>
        <v>1857.81548223254</v>
      </c>
      <c r="AF157" s="37" t="n">
        <f aca="false">AE157+AF156-IF(AF155=1,AF158,0)</f>
        <v>2111.40838140276</v>
      </c>
      <c r="AG157" s="37" t="n">
        <f aca="false">AF157+AG156-IF(AG155=1,AG158,0)</f>
        <v>2346.44959588136</v>
      </c>
      <c r="AH157" s="37" t="n">
        <f aca="false">AG157+AH156-IF(AH155=1,AH158,0)</f>
        <v>2561.39155510832</v>
      </c>
      <c r="AI157" s="37" t="n">
        <f aca="false">AH157+AI156-IF(AI155=1,AI158,0)</f>
        <v>2754.79110893064</v>
      </c>
      <c r="AJ157" s="37" t="n">
        <f aca="false">AI157+AJ156-IF(AJ155=1,AJ158,0)</f>
        <v>2925.31757832642</v>
      </c>
      <c r="AK157" s="37" t="n">
        <f aca="false">AJ157+AK156-IF(AK155=1,AK158,0)</f>
        <v>3071.76017709486</v>
      </c>
      <c r="AL157" s="37" t="n">
        <f aca="false">AK157+AL156-IF(AL155=1,AL158,0)</f>
        <v>3193.03476300704</v>
      </c>
      <c r="AM157" s="37" t="n">
        <f aca="false">AL157+AM156-IF(AM155=1,AM158,0)</f>
        <v>3288.18988066195</v>
      </c>
      <c r="AN157" s="37" t="n">
        <f aca="false">AM157+AN156-IF(AN155=1,AN158,0)</f>
        <v>3356.41206225382</v>
      </c>
      <c r="AO157" s="37" t="n">
        <f aca="false">AN157+AO156-IF(AO155=1,AO158,0)</f>
        <v>3397.03035660637</v>
      </c>
      <c r="AP157" s="37" t="n">
        <f aca="false">AO157+AP156-IF(AP155=1,AP158,0)</f>
        <v>3625.52006114578</v>
      </c>
      <c r="AQ157" s="37" t="n">
        <f aca="false">AP157+AQ156-IF(AQ155=1,AQ158,0)</f>
        <v>3826.04563594147</v>
      </c>
      <c r="AR157" s="37" t="n">
        <f aca="false">AQ157+AR156-IF(AR155=1,AR158,0)</f>
        <v>3998.38413351817</v>
      </c>
      <c r="AS157" s="37" t="n">
        <f aca="false">AR157+AS156-IF(AS155=1,AS158,0)</f>
        <v>4142.46508618283</v>
      </c>
      <c r="AT157" s="37" t="n">
        <f aca="false">AS157+AT156-IF(AT155=1,AT158,0)</f>
        <v>4258.37088722408</v>
      </c>
      <c r="AU157" s="37" t="n">
        <f aca="false">AT157+AU156-IF(AU155=1,AU158,0)</f>
        <v>4346.33631721892</v>
      </c>
      <c r="AV157" s="37" t="n">
        <f aca="false">AU157+AV156-IF(AV155=1,AV158,0)</f>
        <v>4406.74721809544</v>
      </c>
      <c r="AW157" s="37" t="n">
        <f aca="false">AV157+AW156-IF(AW155=1,AW158,0)</f>
        <v>4440.13832236698</v>
      </c>
      <c r="AX157" s="37" t="n">
        <f aca="false">AW157+AX156-IF(AX155=1,AX158,0)</f>
        <v>4447.19024967715</v>
      </c>
      <c r="AY157" s="37" t="n">
        <f aca="false">AX157+AY156-IF(AY155=1,AY158,0)</f>
        <v>4448.44024967715</v>
      </c>
      <c r="AZ157" s="37" t="n">
        <f aca="false">AY157+AZ156-IF(AZ155=1,AZ158,0)</f>
        <v>4449.69024967715</v>
      </c>
      <c r="BA157" s="37" t="n">
        <f aca="false">AZ157+BA156-IF(BA155=1,BA158,0)</f>
        <v>4450.94024967715</v>
      </c>
      <c r="BB157" s="37" t="n">
        <f aca="false">BA157+BB156-IF(BB155=1,BB158,0)</f>
        <v>4645.64315480658</v>
      </c>
      <c r="BC157" s="37" t="n">
        <f aca="false">BB157+BC156-IF(BC155=1,BC158,0)</f>
        <v>4819.67549934313</v>
      </c>
      <c r="BD157" s="37" t="n">
        <f aca="false">BC157+BD156-IF(BD155=1,BD158,0)</f>
        <v>4974.48679823363</v>
      </c>
      <c r="BE157" s="37" t="n">
        <f aca="false">BD157+BE156-IF(BE155=1,BE158,0)</f>
        <v>5111.6300842747</v>
      </c>
      <c r="BF157" s="37" t="n">
        <f aca="false">BE157+BF156-IF(BF155=1,BF158,0)</f>
        <v>5232.75321298831</v>
      </c>
      <c r="BG157" s="37" t="n">
        <f aca="false">BF157+BG156-IF(BG155=1,BG158,0)</f>
        <v>5339.58963718539</v>
      </c>
      <c r="BH157" s="37" t="n">
        <f aca="false">BG157+BH156-IF(BH155=1,BH158,0)</f>
        <v>5433.94870280968</v>
      </c>
      <c r="BI157" s="37" t="n">
        <f aca="false">BH157+BI156-IF(BI155=1,BI158,0)</f>
        <v>5517.70552033154</v>
      </c>
      <c r="BJ157" s="37" t="n">
        <f aca="false">BI157+BJ156-IF(BJ155=1,BJ158,0)</f>
        <v>5592.79046833471</v>
      </c>
      <c r="BK157" s="37" t="n">
        <f aca="false">BJ157+BK156-IF(BK155=1,BK158,0)</f>
        <v>5661.1783879964</v>
      </c>
      <c r="BL157" s="37" t="n">
        <f aca="false">BK157+BL156-IF(BL155=1,BL158,0)</f>
        <v>5724.87752888928</v>
      </c>
      <c r="BM157" s="37" t="n">
        <f aca="false">BL157+BM156-IF(BM155=1,BM158,0)</f>
        <v>0</v>
      </c>
      <c r="BN157" s="37" t="n">
        <f aca="false">BM157+BN156-IF(BN155=1,BN158,0)</f>
        <v>0</v>
      </c>
      <c r="BO157" s="37" t="n">
        <f aca="false">BN157+BO156-IF(BO155=1,BO158,0)</f>
        <v>0</v>
      </c>
      <c r="BP157" s="37" t="n">
        <f aca="false">BO157+BP156-IF(BP155=1,BP158,0)</f>
        <v>0</v>
      </c>
      <c r="BQ157" s="37" t="n">
        <f aca="false">BP157+BQ156-IF(BQ155=1,BQ158,0)</f>
        <v>0</v>
      </c>
      <c r="BR157" s="37" t="n">
        <f aca="false">BQ157+BR156-IF(BR155=1,BR158,0)</f>
        <v>0</v>
      </c>
      <c r="BS157" s="37" t="n">
        <f aca="false">BR157+BS156-IF(BS155=1,BS158,0)</f>
        <v>0</v>
      </c>
      <c r="BT157" s="37" t="n">
        <f aca="false">BS157+BT156-IF(BT155=1,BT158,0)</f>
        <v>0</v>
      </c>
      <c r="BU157" s="37" t="n">
        <f aca="false">BT157+BU156-IF(BU155=1,BU158,0)</f>
        <v>0</v>
      </c>
      <c r="BV157" s="37" t="n">
        <f aca="false">BU157+BV156-IF(BV155=1,BV158,0)</f>
        <v>0</v>
      </c>
      <c r="BW157" s="37" t="n">
        <f aca="false">BV157+BW156-IF(BW155=1,BW158,0)</f>
        <v>0</v>
      </c>
      <c r="BX157" s="37" t="n">
        <f aca="false">BW157+BX156-IF(BX155=1,BX158,0)</f>
        <v>0</v>
      </c>
      <c r="BY157" s="37" t="n">
        <f aca="false">BX157+BY156-IF(BY155=1,BY158,0)</f>
        <v>0</v>
      </c>
      <c r="BZ157" s="37" t="n">
        <f aca="false">BY157+BZ156-IF(BZ155=1,BZ158,0)</f>
        <v>0</v>
      </c>
      <c r="CA157" s="37" t="n">
        <f aca="false">BZ157+CA156-IF(CA155=1,CA158,0)</f>
        <v>0</v>
      </c>
      <c r="CB157" s="37" t="n">
        <f aca="false">CA157+CB156-IF(CB155=1,CB158,0)</f>
        <v>0</v>
      </c>
      <c r="CC157" s="37" t="n">
        <f aca="false">CB157+CC156-IF(CC155=1,CC158,0)</f>
        <v>0</v>
      </c>
      <c r="CD157" s="37" t="n">
        <f aca="false">CC157+CD156-IF(CD155=1,CD158,0)</f>
        <v>0</v>
      </c>
      <c r="CE157" s="37" t="n">
        <f aca="false">CD157+CE156-IF(CE155=1,CE158,0)</f>
        <v>0</v>
      </c>
      <c r="CF157" s="37" t="n">
        <f aca="false">CE157+CF156-IF(CF155=1,CF158,0)</f>
        <v>0</v>
      </c>
      <c r="CG157" s="37" t="n">
        <f aca="false">CF157+CG156-IF(CG155=1,CG158,0)</f>
        <v>0</v>
      </c>
      <c r="CH157" s="37" t="n">
        <f aca="false">CG157+CH156-IF(CH155=1,CH158,0)</f>
        <v>0</v>
      </c>
      <c r="CI157" s="37" t="n">
        <f aca="false">CH157+CI156-IF(CI155=1,CI158,0)</f>
        <v>0</v>
      </c>
      <c r="CJ157" s="37" t="n">
        <f aca="false">CI157+CJ156-IF(CJ155=1,CJ158,0)</f>
        <v>0</v>
      </c>
      <c r="CK157" s="37" t="n">
        <f aca="false">CJ157+CK156-IF(CK155=1,CK158,0)</f>
        <v>0</v>
      </c>
      <c r="CL157" s="37" t="n">
        <f aca="false">CK157+CL156-IF(CL155=1,CL158,0)</f>
        <v>0</v>
      </c>
      <c r="CM157" s="37" t="n">
        <f aca="false">CL157+CM156-IF(CM155=1,CM158,0)</f>
        <v>0</v>
      </c>
      <c r="CN157" s="37" t="n">
        <f aca="false">CM157+CN156-IF(CN155=1,CN158,0)</f>
        <v>0</v>
      </c>
      <c r="CO157" s="37" t="n">
        <f aca="false">CN157+CO156-IF(CO155=1,CO158,0)</f>
        <v>0</v>
      </c>
      <c r="CP157" s="37" t="n">
        <f aca="false">CO157+CP156-IF(CP155=1,CP158,0)</f>
        <v>0</v>
      </c>
      <c r="CQ157" s="37" t="n">
        <f aca="false">CP157+CQ156-IF(CQ155=1,CQ158,0)</f>
        <v>0</v>
      </c>
      <c r="CR157" s="37" t="n">
        <f aca="false">CQ157+CR156-IF(CR155=1,CR158,0)</f>
        <v>0</v>
      </c>
      <c r="CS157" s="37" t="n">
        <f aca="false">CR157+CS156-IF(CS155=1,CS158,0)</f>
        <v>0</v>
      </c>
      <c r="CT157" s="37" t="n">
        <f aca="false">CS157+CT156-IF(CT155=1,CT158,0)</f>
        <v>0</v>
      </c>
      <c r="CU157" s="37" t="n">
        <f aca="false">CT157+CU156-IF(CU155=1,CU158,0)</f>
        <v>0</v>
      </c>
      <c r="CV157" s="37" t="n">
        <f aca="false">CU157+CV156-IF(CV155=1,CV158,0)</f>
        <v>0</v>
      </c>
      <c r="CW157" s="37" t="n">
        <f aca="false">CV157+CW156-IF(CW155=1,CW158,0)</f>
        <v>0</v>
      </c>
      <c r="CX157" s="37" t="n">
        <f aca="false">CW157+CX156-IF(CX155=1,CX158,0)</f>
        <v>0</v>
      </c>
      <c r="CY157" s="37" t="n">
        <f aca="false">CX157+CY156-IF(CY155=1,CY158,0)</f>
        <v>0</v>
      </c>
      <c r="CZ157" s="37" t="n">
        <f aca="false">CY157+CZ156-IF(CZ155=1,CZ158,0)</f>
        <v>0</v>
      </c>
      <c r="DA157" s="37" t="n">
        <f aca="false">CZ157+DA156-IF(DA155=1,DA158,0)</f>
        <v>0</v>
      </c>
      <c r="DB157" s="37" t="n">
        <f aca="false">DA157+DB156-IF(DB155=1,DB158,0)</f>
        <v>0</v>
      </c>
      <c r="DC157" s="37" t="n">
        <f aca="false">DB157+DC156-IF(DC155=1,DC158,0)</f>
        <v>0</v>
      </c>
      <c r="DD157" s="37" t="n">
        <f aca="false">DC157+DD156-IF(DD155=1,DD158,0)</f>
        <v>0</v>
      </c>
      <c r="DE157" s="37" t="n">
        <f aca="false">DD157+DE156-IF(DE155=1,DE158,0)</f>
        <v>0</v>
      </c>
      <c r="DF157" s="37" t="n">
        <f aca="false">DE157+DF156-IF(DF155=1,DF158,0)</f>
        <v>0</v>
      </c>
      <c r="DG157" s="37" t="n">
        <f aca="false">DF157+DG156-IF(DG155=1,DG158,0)</f>
        <v>0</v>
      </c>
      <c r="DH157" s="37" t="n">
        <f aca="false">DG157+DH156-IF(DH155=1,DH158,0)</f>
        <v>0</v>
      </c>
      <c r="DI157" s="37" t="n">
        <f aca="false">DH157+DI156-IF(DI155=1,DI158,0)</f>
        <v>0</v>
      </c>
      <c r="DJ157" s="37" t="n">
        <f aca="false">DI157+DJ156-IF(DJ155=1,DJ158,0)</f>
        <v>0</v>
      </c>
      <c r="DK157" s="37" t="n">
        <f aca="false">DJ157+DK156-IF(DK155=1,DK158,0)</f>
        <v>0</v>
      </c>
      <c r="DL157" s="37" t="n">
        <f aca="false">DK157+DL156-IF(DL155=1,DL158,0)</f>
        <v>0</v>
      </c>
      <c r="DM157" s="37" t="n">
        <f aca="false">DL157+DM156-IF(DM155=1,DM158,0)</f>
        <v>0</v>
      </c>
      <c r="DN157" s="37" t="n">
        <f aca="false">DM157+DN156-IF(DN155=1,DN158,0)</f>
        <v>0</v>
      </c>
      <c r="DO157" s="37" t="n">
        <f aca="false">DN157+DO156-IF(DO155=1,DO158,0)</f>
        <v>0</v>
      </c>
      <c r="DP157" s="37" t="n">
        <f aca="false">DO157+DP156-IF(DP155=1,DP158,0)</f>
        <v>0</v>
      </c>
      <c r="DQ157" s="37" t="n">
        <f aca="false">DP157+DQ156-IF(DQ155=1,DQ158,0)</f>
        <v>0</v>
      </c>
      <c r="DR157" s="37" t="n">
        <f aca="false">DQ157+DR156-IF(DR155=1,DR158,0)</f>
        <v>0</v>
      </c>
      <c r="DS157" s="37" t="n">
        <f aca="false">DR157+DS156-IF(DS155=1,DS158,0)</f>
        <v>0</v>
      </c>
      <c r="DT157" s="37" t="n">
        <f aca="false">DS157+DT156-IF(DT155=1,DT158,0)</f>
        <v>-385.492304390271</v>
      </c>
      <c r="DU157" s="37" t="n">
        <f aca="false">DT157+DU156-IF(DU155=1,DU158,0)</f>
        <v>-503.283971056938</v>
      </c>
      <c r="DV157" s="37" t="n">
        <f aca="false">DU157+DV156-IF(DV155=1,DV158,0)</f>
        <v>-621.075637723604</v>
      </c>
      <c r="DW157" s="37" t="n">
        <f aca="false">DV157+DW156-IF(DW155=1,DW158,0)</f>
        <v>-738.867304390271</v>
      </c>
      <c r="DX157" s="37" t="n">
        <f aca="false">DW157+DX156-IF(DX155=1,DX158,0)</f>
        <v>-738.867304390271</v>
      </c>
      <c r="DY157" s="37" t="n">
        <f aca="false">DX157+DY156-IF(DY155=1,DY158,0)</f>
        <v>-738.867304390271</v>
      </c>
      <c r="DZ157" s="37" t="n">
        <f aca="false">DY157+DZ156-IF(DZ155=1,DZ158,0)</f>
        <v>-738.867304390271</v>
      </c>
      <c r="EA157" s="37" t="n">
        <f aca="false">DZ157+EA156-IF(EA155=1,EA158,0)</f>
        <v>-738.867304390271</v>
      </c>
      <c r="EB157" s="37" t="n">
        <f aca="false">EA157+EB156-IF(EB155=1,EB158,0)</f>
        <v>-738.867304390271</v>
      </c>
      <c r="EC157" s="37" t="n">
        <f aca="false">EB157+EC156-IF(EC155=1,EC158,0)</f>
        <v>-738.867304390271</v>
      </c>
      <c r="ED157" s="37" t="n">
        <f aca="false">EC157+ED156-IF(ED155=1,ED158,0)</f>
        <v>-738.867304390271</v>
      </c>
      <c r="EE157" s="37" t="n">
        <f aca="false">ED157+EE156-IF(EE155=1,EE158,0)</f>
        <v>-738.867304390271</v>
      </c>
      <c r="EF157" s="37" t="n">
        <f aca="false">EE157+EF156-IF(EF155=1,EF158,0)</f>
        <v>-738.867304390271</v>
      </c>
    </row>
    <row r="158" customFormat="false" ht="15" hidden="false" customHeight="false" outlineLevel="0" collapsed="false">
      <c r="A158" s="280" t="s">
        <v>688</v>
      </c>
      <c r="B158" s="281" t="s">
        <v>21</v>
      </c>
      <c r="C158" s="282" t="n">
        <f aca="false">SUM(E158:EF158)</f>
        <v>34347.9197752222</v>
      </c>
      <c r="D158" s="48"/>
      <c r="E158" s="283" t="n">
        <f aca="false">IF(E155=2,MAX(0,E154),IF(E155=1,MAX(0,MIN(E154-②시니어_가정!$D$551,0+E156)),0))</f>
        <v>0</v>
      </c>
      <c r="F158" s="283" t="n">
        <f aca="false">IF(F155=2,MAX(0,F154),IF(F155=1,MAX(0,MIN(F154-②시니어_가정!$D$551,E157+F156)),0))</f>
        <v>0</v>
      </c>
      <c r="G158" s="283" t="n">
        <f aca="false">IF(G155=2,MAX(0,G154),IF(G155=1,MAX(0,MIN(G154-②시니어_가정!$D$551,F157+G156)),0))</f>
        <v>0</v>
      </c>
      <c r="H158" s="283" t="n">
        <f aca="false">IF(H155=2,MAX(0,H154),IF(H155=1,MAX(0,MIN(H154-②시니어_가정!$D$551,G157+H156)),0))</f>
        <v>0</v>
      </c>
      <c r="I158" s="283" t="n">
        <f aca="false">IF(I155=2,MAX(0,I154),IF(I155=1,MAX(0,MIN(I154-②시니어_가정!$D$551,H157+I156)),0))</f>
        <v>0</v>
      </c>
      <c r="J158" s="283" t="n">
        <f aca="false">IF(J155=2,MAX(0,J154),IF(J155=1,MAX(0,MIN(J154-②시니어_가정!$D$551,I157+J156)),0))</f>
        <v>0</v>
      </c>
      <c r="K158" s="283" t="n">
        <f aca="false">IF(K155=2,MAX(0,K154),IF(K155=1,MAX(0,MIN(K154-②시니어_가정!$D$551,J157+K156)),0))</f>
        <v>0</v>
      </c>
      <c r="L158" s="283" t="n">
        <f aca="false">IF(L155=2,MAX(0,L154),IF(L155=1,MAX(0,MIN(L154-②시니어_가정!$D$551,K157+L156)),0))</f>
        <v>0</v>
      </c>
      <c r="M158" s="283" t="n">
        <f aca="false">IF(M155=2,MAX(0,M154),IF(M155=1,MAX(0,MIN(M154-②시니어_가정!$D$551,L157+M156)),0))</f>
        <v>0</v>
      </c>
      <c r="N158" s="283" t="n">
        <f aca="false">IF(N155=2,MAX(0,N154),IF(N155=1,MAX(0,MIN(N154-②시니어_가정!$D$551,M157+N156)),0))</f>
        <v>0</v>
      </c>
      <c r="O158" s="283" t="n">
        <f aca="false">IF(O155=2,MAX(0,O154),IF(O155=1,MAX(0,MIN(O154-②시니어_가정!$D$551,N157+O156)),0))</f>
        <v>0</v>
      </c>
      <c r="P158" s="283" t="n">
        <f aca="false">IF(P155=2,MAX(0,P154),IF(P155=1,MAX(0,MIN(P154-②시니어_가정!$D$551,O157+P156)),0))</f>
        <v>0</v>
      </c>
      <c r="Q158" s="283" t="n">
        <f aca="false">IF(Q155=2,MAX(0,Q154),IF(Q155=1,MAX(0,MIN(Q154-②시니어_가정!$D$551,P157+Q156)),0))</f>
        <v>0</v>
      </c>
      <c r="R158" s="283" t="n">
        <f aca="false">IF(R155=2,MAX(0,R154),IF(R155=1,MAX(0,MIN(R154-②시니어_가정!$D$551,Q157+R156)),0))</f>
        <v>0</v>
      </c>
      <c r="S158" s="283" t="n">
        <f aca="false">IF(S155=2,MAX(0,S154),IF(S155=1,MAX(0,MIN(S154-②시니어_가정!$D$551,R157+S156)),0))</f>
        <v>0</v>
      </c>
      <c r="T158" s="283" t="n">
        <f aca="false">IF(T155=2,MAX(0,T154),IF(T155=1,MAX(0,MIN(T154-②시니어_가정!$D$551,S157+T156)),0))</f>
        <v>0</v>
      </c>
      <c r="U158" s="283" t="n">
        <f aca="false">IF(U155=2,MAX(0,U154),IF(U155=1,MAX(0,MIN(U154-②시니어_가정!$D$551,T157+U156)),0))</f>
        <v>0</v>
      </c>
      <c r="V158" s="283" t="n">
        <f aca="false">IF(V155=2,MAX(0,V154),IF(V155=1,MAX(0,MIN(V154-②시니어_가정!$D$551,U157+V156)),0))</f>
        <v>0</v>
      </c>
      <c r="W158" s="283" t="n">
        <f aca="false">IF(W155=2,MAX(0,W154),IF(W155=1,MAX(0,MIN(W154-②시니어_가정!$D$551,V157+W156)),0))</f>
        <v>0</v>
      </c>
      <c r="X158" s="283" t="n">
        <f aca="false">IF(X155=2,MAX(0,X154),IF(X155=1,MAX(0,MIN(X154-②시니어_가정!$D$551,W157+X156)),0))</f>
        <v>0</v>
      </c>
      <c r="Y158" s="283" t="n">
        <f aca="false">IF(Y155=2,MAX(0,Y154),IF(Y155=1,MAX(0,MIN(Y154-②시니어_가정!$D$551,X157+Y156)),0))</f>
        <v>0</v>
      </c>
      <c r="Z158" s="283" t="n">
        <f aca="false">IF(Z155=2,MAX(0,Z154),IF(Z155=1,MAX(0,MIN(Z154-②시니어_가정!$D$551,Y157+Z156)),0))</f>
        <v>0</v>
      </c>
      <c r="AA158" s="283" t="n">
        <f aca="false">IF(AA155=2,MAX(0,AA154),IF(AA155=1,MAX(0,MIN(AA154-②시니어_가정!$D$551,Z157+AA156)),0))</f>
        <v>0</v>
      </c>
      <c r="AB158" s="283" t="n">
        <f aca="false">IF(AB155=2,MAX(0,AB154),IF(AB155=1,MAX(0,MIN(AB154-②시니어_가정!$D$551,AA157+AB156)),0))</f>
        <v>0</v>
      </c>
      <c r="AC158" s="283" t="n">
        <f aca="false">IF(AC155=2,MAX(0,AC154),IF(AC155=1,MAX(0,MIN(AC154-②시니어_가정!$D$551,AB157+AC156)),0))</f>
        <v>0</v>
      </c>
      <c r="AD158" s="283" t="n">
        <f aca="false">IF(AD155=2,MAX(0,AD154),IF(AD155=1,MAX(0,MIN(AD154-②시니어_가정!$D$551,AC157+AD156)),0))</f>
        <v>0</v>
      </c>
      <c r="AE158" s="283" t="n">
        <f aca="false">IF(AE155=2,MAX(0,AE154),IF(AE155=1,MAX(0,MIN(AE154-②시니어_가정!$D$551,AD157+AE156)),0))</f>
        <v>0</v>
      </c>
      <c r="AF158" s="283" t="n">
        <f aca="false">IF(AF155=2,MAX(0,AF154),IF(AF155=1,MAX(0,MIN(AF154-②시니어_가정!$D$551,AE157+AF156)),0))</f>
        <v>0</v>
      </c>
      <c r="AG158" s="283" t="n">
        <f aca="false">IF(AG155=2,MAX(0,AG154),IF(AG155=1,MAX(0,MIN(AG154-②시니어_가정!$D$551,AF157+AG156)),0))</f>
        <v>0</v>
      </c>
      <c r="AH158" s="283" t="n">
        <f aca="false">IF(AH155=2,MAX(0,AH154),IF(AH155=1,MAX(0,MIN(AH154-②시니어_가정!$D$551,AG157+AH156)),0))</f>
        <v>0</v>
      </c>
      <c r="AI158" s="283" t="n">
        <f aca="false">IF(AI155=2,MAX(0,AI154),IF(AI155=1,MAX(0,MIN(AI154-②시니어_가정!$D$551,AH157+AI156)),0))</f>
        <v>0</v>
      </c>
      <c r="AJ158" s="283" t="n">
        <f aca="false">IF(AJ155=2,MAX(0,AJ154),IF(AJ155=1,MAX(0,MIN(AJ154-②시니어_가정!$D$551,AI157+AJ156)),0))</f>
        <v>0</v>
      </c>
      <c r="AK158" s="283" t="n">
        <f aca="false">IF(AK155=2,MAX(0,AK154),IF(AK155=1,MAX(0,MIN(AK154-②시니어_가정!$D$551,AJ157+AK156)),0))</f>
        <v>0</v>
      </c>
      <c r="AL158" s="283" t="n">
        <f aca="false">IF(AL155=2,MAX(0,AL154),IF(AL155=1,MAX(0,MIN(AL154-②시니어_가정!$D$551,AK157+AL156)),0))</f>
        <v>0</v>
      </c>
      <c r="AM158" s="283" t="n">
        <f aca="false">IF(AM155=2,MAX(0,AM154),IF(AM155=1,MAX(0,MIN(AM154-②시니어_가정!$D$551,AL157+AM156)),0))</f>
        <v>0</v>
      </c>
      <c r="AN158" s="283" t="n">
        <f aca="false">IF(AN155=2,MAX(0,AN154),IF(AN155=1,MAX(0,MIN(AN154-②시니어_가정!$D$551,AM157+AN156)),0))</f>
        <v>0</v>
      </c>
      <c r="AO158" s="283" t="n">
        <f aca="false">IF(AO155=2,MAX(0,AO154),IF(AO155=1,MAX(0,MIN(AO154-②시니어_가정!$D$551,AN157+AO156)),0))</f>
        <v>0</v>
      </c>
      <c r="AP158" s="283" t="n">
        <f aca="false">IF(AP155=2,MAX(0,AP154),IF(AP155=1,MAX(0,MIN(AP154-②시니어_가정!$D$551,AO157+AP156)),0))</f>
        <v>0</v>
      </c>
      <c r="AQ158" s="283" t="n">
        <f aca="false">IF(AQ155=2,MAX(0,AQ154),IF(AQ155=1,MAX(0,MIN(AQ154-②시니어_가정!$D$551,AP157+AQ156)),0))</f>
        <v>0</v>
      </c>
      <c r="AR158" s="283" t="n">
        <f aca="false">IF(AR155=2,MAX(0,AR154),IF(AR155=1,MAX(0,MIN(AR154-②시니어_가정!$D$551,AQ157+AR156)),0))</f>
        <v>0</v>
      </c>
      <c r="AS158" s="283" t="n">
        <f aca="false">IF(AS155=2,MAX(0,AS154),IF(AS155=1,MAX(0,MIN(AS154-②시니어_가정!$D$551,AR157+AS156)),0))</f>
        <v>0</v>
      </c>
      <c r="AT158" s="283" t="n">
        <f aca="false">IF(AT155=2,MAX(0,AT154),IF(AT155=1,MAX(0,MIN(AT154-②시니어_가정!$D$551,AS157+AT156)),0))</f>
        <v>0</v>
      </c>
      <c r="AU158" s="283" t="n">
        <f aca="false">IF(AU155=2,MAX(0,AU154),IF(AU155=1,MAX(0,MIN(AU154-②시니어_가정!$D$551,AT157+AU156)),0))</f>
        <v>0</v>
      </c>
      <c r="AV158" s="283" t="n">
        <f aca="false">IF(AV155=2,MAX(0,AV154),IF(AV155=1,MAX(0,MIN(AV154-②시니어_가정!$D$551,AU157+AV156)),0))</f>
        <v>0</v>
      </c>
      <c r="AW158" s="283" t="n">
        <f aca="false">IF(AW155=2,MAX(0,AW154),IF(AW155=1,MAX(0,MIN(AW154-②시니어_가정!$D$551,AV157+AW156)),0))</f>
        <v>0</v>
      </c>
      <c r="AX158" s="283" t="n">
        <f aca="false">IF(AX155=2,MAX(0,AX154),IF(AX155=1,MAX(0,MIN(AX154-②시니어_가정!$D$551,AW157+AX156)),0))</f>
        <v>0</v>
      </c>
      <c r="AY158" s="283" t="n">
        <f aca="false">IF(AY155=2,MAX(0,AY154),IF(AY155=1,MAX(0,MIN(AY154-②시니어_가정!$D$551,AX157+AY156)),0))</f>
        <v>0</v>
      </c>
      <c r="AZ158" s="283" t="n">
        <f aca="false">IF(AZ155=2,MAX(0,AZ154),IF(AZ155=1,MAX(0,MIN(AZ154-②시니어_가정!$D$551,AY157+AZ156)),0))</f>
        <v>0</v>
      </c>
      <c r="BA158" s="283" t="n">
        <f aca="false">IF(BA155=2,MAX(0,BA154),IF(BA155=1,MAX(0,MIN(BA154-②시니어_가정!$D$551,AZ157+BA156)),0))</f>
        <v>0</v>
      </c>
      <c r="BB158" s="283" t="n">
        <f aca="false">IF(BB155=2,MAX(0,BB154),IF(BB155=1,MAX(0,MIN(BB154-②시니어_가정!$D$551,BA157+BB156)),0))</f>
        <v>0</v>
      </c>
      <c r="BC158" s="283" t="n">
        <f aca="false">IF(BC155=2,MAX(0,BC154),IF(BC155=1,MAX(0,MIN(BC154-②시니어_가정!$D$551,BB157+BC156)),0))</f>
        <v>0</v>
      </c>
      <c r="BD158" s="283" t="n">
        <f aca="false">IF(BD155=2,MAX(0,BD154),IF(BD155=1,MAX(0,MIN(BD154-②시니어_가정!$D$551,BC157+BD156)),0))</f>
        <v>0</v>
      </c>
      <c r="BE158" s="283" t="n">
        <f aca="false">IF(BE155=2,MAX(0,BE154),IF(BE155=1,MAX(0,MIN(BE154-②시니어_가정!$D$551,BD157+BE156)),0))</f>
        <v>0</v>
      </c>
      <c r="BF158" s="283" t="n">
        <f aca="false">IF(BF155=2,MAX(0,BF154),IF(BF155=1,MAX(0,MIN(BF154-②시니어_가정!$D$551,BE157+BF156)),0))</f>
        <v>0</v>
      </c>
      <c r="BG158" s="283" t="n">
        <f aca="false">IF(BG155=2,MAX(0,BG154),IF(BG155=1,MAX(0,MIN(BG154-②시니어_가정!$D$551,BF157+BG156)),0))</f>
        <v>0</v>
      </c>
      <c r="BH158" s="283" t="n">
        <f aca="false">IF(BH155=2,MAX(0,BH154),IF(BH155=1,MAX(0,MIN(BH154-②시니어_가정!$D$551,BG157+BH156)),0))</f>
        <v>0</v>
      </c>
      <c r="BI158" s="283" t="n">
        <f aca="false">IF(BI155=2,MAX(0,BI154),IF(BI155=1,MAX(0,MIN(BI154-②시니어_가정!$D$551,BH157+BI156)),0))</f>
        <v>0</v>
      </c>
      <c r="BJ158" s="283" t="n">
        <f aca="false">IF(BJ155=2,MAX(0,BJ154),IF(BJ155=1,MAX(0,MIN(BJ154-②시니어_가정!$D$551,BI157+BJ156)),0))</f>
        <v>0</v>
      </c>
      <c r="BK158" s="283" t="n">
        <f aca="false">IF(BK155=2,MAX(0,BK154),IF(BK155=1,MAX(0,MIN(BK154-②시니어_가정!$D$551,BJ157+BK156)),0))</f>
        <v>0</v>
      </c>
      <c r="BL158" s="283" t="n">
        <f aca="false">IF(BL155=2,MAX(0,BL154),IF(BL155=1,MAX(0,MIN(BL154-②시니어_가정!$D$551,BK157+BL156)),0))</f>
        <v>0</v>
      </c>
      <c r="BM158" s="283" t="n">
        <f aca="false">IF(BM155=2,MAX(0,BM154),IF(BM155=1,MAX(0,MIN(BM154-②시니어_가정!$D$551,BL157+BM156)),0))</f>
        <v>5718.17218895898</v>
      </c>
      <c r="BN158" s="283" t="n">
        <f aca="false">IF(BN155=2,MAX(0,BN154),IF(BN155=1,MAX(0,MIN(BN154-②시니어_가정!$D$551,BM157+BN156)),0))</f>
        <v>224.861286847199</v>
      </c>
      <c r="BO158" s="283" t="n">
        <f aca="false">IF(BO155=2,MAX(0,BO154),IF(BO155=1,MAX(0,MIN(BO154-②시니어_가정!$D$551,BN157+BO156)),0))</f>
        <v>224.861286847199</v>
      </c>
      <c r="BP158" s="283" t="n">
        <f aca="false">IF(BP155=2,MAX(0,BP154),IF(BP155=1,MAX(0,MIN(BP154-②시니어_가정!$D$551,BO157+BP156)),0))</f>
        <v>224.861286847199</v>
      </c>
      <c r="BQ158" s="283" t="n">
        <f aca="false">IF(BQ155=2,MAX(0,BQ154),IF(BQ155=1,MAX(0,MIN(BQ154-②시니어_가정!$D$551,BP157+BQ156)),0))</f>
        <v>224.861286847199</v>
      </c>
      <c r="BR158" s="283" t="n">
        <f aca="false">IF(BR155=2,MAX(0,BR154),IF(BR155=1,MAX(0,MIN(BR154-②시니어_가정!$D$551,BQ157+BR156)),0))</f>
        <v>224.861286847199</v>
      </c>
      <c r="BS158" s="283" t="n">
        <f aca="false">IF(BS155=2,MAX(0,BS154),IF(BS155=1,MAX(0,MIN(BS154-②시니어_가정!$D$551,BR157+BS156)),0))</f>
        <v>224.861286847199</v>
      </c>
      <c r="BT158" s="283" t="n">
        <f aca="false">IF(BT155=2,MAX(0,BT154),IF(BT155=1,MAX(0,MIN(BT154-②시니어_가정!$D$551,BS157+BT156)),0))</f>
        <v>224.861286847198</v>
      </c>
      <c r="BU158" s="283" t="n">
        <f aca="false">IF(BU155=2,MAX(0,BU154),IF(BU155=1,MAX(0,MIN(BU154-②시니어_가정!$D$551,BT157+BU156)),0))</f>
        <v>224.861286847198</v>
      </c>
      <c r="BV158" s="283" t="n">
        <f aca="false">IF(BV155=2,MAX(0,BV154),IF(BV155=1,MAX(0,MIN(BV154-②시니어_가정!$D$551,BU157+BV156)),0))</f>
        <v>224.861286847198</v>
      </c>
      <c r="BW158" s="283" t="n">
        <f aca="false">IF(BW155=2,MAX(0,BW154),IF(BW155=1,MAX(0,MIN(BW154-②시니어_가정!$D$551,BV157+BW156)),0))</f>
        <v>224.861286847198</v>
      </c>
      <c r="BX158" s="283" t="n">
        <f aca="false">IF(BX155=2,MAX(0,BX154),IF(BX155=1,MAX(0,MIN(BX154-②시니어_가정!$D$551,BW157+BX156)),0))</f>
        <v>224.861286847198</v>
      </c>
      <c r="BY158" s="283" t="n">
        <f aca="false">IF(BY155=2,MAX(0,BY154),IF(BY155=1,MAX(0,MIN(BY154-②시니어_가정!$D$551,BX157+BY156)),0))</f>
        <v>311.0465192759</v>
      </c>
      <c r="BZ158" s="283" t="n">
        <f aca="false">IF(BZ155=2,MAX(0,BZ154),IF(BZ155=1,MAX(0,MIN(BZ154-②시니어_가정!$D$551,BY157+BZ156)),0))</f>
        <v>549.5465192759</v>
      </c>
      <c r="CA158" s="283" t="n">
        <f aca="false">IF(CA155=2,MAX(0,CA154),IF(CA155=1,MAX(0,MIN(CA154-②시니어_가정!$D$551,BZ157+CA156)),0))</f>
        <v>549.5465192759</v>
      </c>
      <c r="CB158" s="283" t="n">
        <f aca="false">IF(CB155=2,MAX(0,CB154),IF(CB155=1,MAX(0,MIN(CB154-②시니어_가정!$D$551,CA157+CB156)),0))</f>
        <v>549.5465192759</v>
      </c>
      <c r="CC158" s="283" t="n">
        <f aca="false">IF(CC155=2,MAX(0,CC154),IF(CC155=1,MAX(0,MIN(CC154-②시니어_가정!$D$551,CB157+CC156)),0))</f>
        <v>549.5465192759</v>
      </c>
      <c r="CD158" s="283" t="n">
        <f aca="false">IF(CD155=2,MAX(0,CD154),IF(CD155=1,MAX(0,MIN(CD154-②시니어_가정!$D$551,CC157+CD156)),0))</f>
        <v>549.5465192759</v>
      </c>
      <c r="CE158" s="283" t="n">
        <f aca="false">IF(CE155=2,MAX(0,CE154),IF(CE155=1,MAX(0,MIN(CE154-②시니어_가정!$D$551,CD157+CE156)),0))</f>
        <v>549.5465192759</v>
      </c>
      <c r="CF158" s="283" t="n">
        <f aca="false">IF(CF155=2,MAX(0,CF154),IF(CF155=1,MAX(0,MIN(CF154-②시니어_가정!$D$551,CE157+CF156)),0))</f>
        <v>549.5465192759</v>
      </c>
      <c r="CG158" s="283" t="n">
        <f aca="false">IF(CG155=2,MAX(0,CG154),IF(CG155=1,MAX(0,MIN(CG154-②시니어_가정!$D$551,CF157+CG156)),0))</f>
        <v>549.5465192759</v>
      </c>
      <c r="CH158" s="283" t="n">
        <f aca="false">IF(CH155=2,MAX(0,CH154),IF(CH155=1,MAX(0,MIN(CH154-②시니어_가정!$D$551,CG157+CH156)),0))</f>
        <v>549.5465192759</v>
      </c>
      <c r="CI158" s="283" t="n">
        <f aca="false">IF(CI155=2,MAX(0,CI154),IF(CI155=1,MAX(0,MIN(CI154-②시니어_가정!$D$551,CH157+CI156)),0))</f>
        <v>549.5465192759</v>
      </c>
      <c r="CJ158" s="283" t="n">
        <f aca="false">IF(CJ155=2,MAX(0,CJ154),IF(CJ155=1,MAX(0,MIN(CJ154-②시니어_가정!$D$551,CI157+CJ156)),0))</f>
        <v>549.5465192759</v>
      </c>
      <c r="CK158" s="283" t="n">
        <f aca="false">IF(CK155=2,MAX(0,CK154),IF(CK155=1,MAX(0,MIN(CK154-②시니어_가정!$D$551,CJ157+CK156)),0))</f>
        <v>557.644536353176</v>
      </c>
      <c r="CL158" s="283" t="n">
        <f aca="false">IF(CL155=2,MAX(0,CL154),IF(CL155=1,MAX(0,MIN(CL154-②시니어_가정!$D$551,CK157+CL156)),0))</f>
        <v>557.644536353176</v>
      </c>
      <c r="CM158" s="283" t="n">
        <f aca="false">IF(CM155=2,MAX(0,CM154),IF(CM155=1,MAX(0,MIN(CM154-②시니어_가정!$D$551,CL157+CM156)),0))</f>
        <v>557.644536353176</v>
      </c>
      <c r="CN158" s="283" t="n">
        <f aca="false">IF(CN155=2,MAX(0,CN154),IF(CN155=1,MAX(0,MIN(CN154-②시니어_가정!$D$551,CM157+CN156)),0))</f>
        <v>557.644536353176</v>
      </c>
      <c r="CO158" s="283" t="n">
        <f aca="false">IF(CO155=2,MAX(0,CO154),IF(CO155=1,MAX(0,MIN(CO154-②시니어_가정!$D$551,CN157+CO156)),0))</f>
        <v>557.644536353176</v>
      </c>
      <c r="CP158" s="283" t="n">
        <f aca="false">IF(CP155=2,MAX(0,CP154),IF(CP155=1,MAX(0,MIN(CP154-②시니어_가정!$D$551,CO157+CP156)),0))</f>
        <v>557.644536353176</v>
      </c>
      <c r="CQ158" s="283" t="n">
        <f aca="false">IF(CQ155=2,MAX(0,CQ154),IF(CQ155=1,MAX(0,MIN(CQ154-②시니어_가정!$D$551,CP157+CQ156)),0))</f>
        <v>557.644536353176</v>
      </c>
      <c r="CR158" s="283" t="n">
        <f aca="false">IF(CR155=2,MAX(0,CR154),IF(CR155=1,MAX(0,MIN(CR154-②시니어_가정!$D$551,CQ157+CR156)),0))</f>
        <v>557.644536353176</v>
      </c>
      <c r="CS158" s="283" t="n">
        <f aca="false">IF(CS155=2,MAX(0,CS154),IF(CS155=1,MAX(0,MIN(CS154-②시니어_가정!$D$551,CR157+CS156)),0))</f>
        <v>557.644536353176</v>
      </c>
      <c r="CT158" s="283" t="n">
        <f aca="false">IF(CT155=2,MAX(0,CT154),IF(CT155=1,MAX(0,MIN(CT154-②시니어_가정!$D$551,CS157+CT156)),0))</f>
        <v>557.644536353176</v>
      </c>
      <c r="CU158" s="283" t="n">
        <f aca="false">IF(CU155=2,MAX(0,CU154),IF(CU155=1,MAX(0,MIN(CU154-②시니어_가정!$D$551,CT157+CU156)),0))</f>
        <v>557.644536353176</v>
      </c>
      <c r="CV158" s="283" t="n">
        <f aca="false">IF(CV155=2,MAX(0,CV154),IF(CV155=1,MAX(0,MIN(CV154-②시니어_가정!$D$551,CU157+CV156)),0))</f>
        <v>557.644536353176</v>
      </c>
      <c r="CW158" s="283" t="n">
        <f aca="false">IF(CW155=2,MAX(0,CW154),IF(CW155=1,MAX(0,MIN(CW154-②시니어_가정!$D$551,CV157+CW156)),0))</f>
        <v>565.904513771997</v>
      </c>
      <c r="CX158" s="283" t="n">
        <f aca="false">IF(CX155=2,MAX(0,CX154),IF(CX155=1,MAX(0,MIN(CX154-②시니어_가정!$D$551,CW157+CX156)),0))</f>
        <v>565.904513771997</v>
      </c>
      <c r="CY158" s="283" t="n">
        <f aca="false">IF(CY155=2,MAX(0,CY154),IF(CY155=1,MAX(0,MIN(CY154-②시니어_가정!$D$551,CX157+CY156)),0))</f>
        <v>565.904513771997</v>
      </c>
      <c r="CZ158" s="283" t="n">
        <f aca="false">IF(CZ155=2,MAX(0,CZ154),IF(CZ155=1,MAX(0,MIN(CZ154-②시니어_가정!$D$551,CY157+CZ156)),0))</f>
        <v>565.904513771997</v>
      </c>
      <c r="DA158" s="283" t="n">
        <f aca="false">IF(DA155=2,MAX(0,DA154),IF(DA155=1,MAX(0,MIN(DA154-②시니어_가정!$D$551,CZ157+DA156)),0))</f>
        <v>565.904513771997</v>
      </c>
      <c r="DB158" s="283" t="n">
        <f aca="false">IF(DB155=2,MAX(0,DB154),IF(DB155=1,MAX(0,MIN(DB154-②시니어_가정!$D$551,DA157+DB156)),0))</f>
        <v>565.904513771997</v>
      </c>
      <c r="DC158" s="283" t="n">
        <f aca="false">IF(DC155=2,MAX(0,DC154),IF(DC155=1,MAX(0,MIN(DC154-②시니어_가정!$D$551,DB157+DC156)),0))</f>
        <v>565.904513771997</v>
      </c>
      <c r="DD158" s="283" t="n">
        <f aca="false">IF(DD155=2,MAX(0,DD154),IF(DD155=1,MAX(0,MIN(DD154-②시니어_가정!$D$551,DC157+DD156)),0))</f>
        <v>565.904513771997</v>
      </c>
      <c r="DE158" s="283" t="n">
        <f aca="false">IF(DE155=2,MAX(0,DE154),IF(DE155=1,MAX(0,MIN(DE154-②시니어_가정!$D$551,DD157+DE156)),0))</f>
        <v>565.904513771997</v>
      </c>
      <c r="DF158" s="283" t="n">
        <f aca="false">IF(DF155=2,MAX(0,DF154),IF(DF155=1,MAX(0,MIN(DF154-②시니어_가정!$D$551,DE157+DF156)),0))</f>
        <v>565.904513771997</v>
      </c>
      <c r="DG158" s="283" t="n">
        <f aca="false">IF(DG155=2,MAX(0,DG154),IF(DG155=1,MAX(0,MIN(DG154-②시니어_가정!$D$551,DF157+DG156)),0))</f>
        <v>565.904513771997</v>
      </c>
      <c r="DH158" s="283" t="n">
        <f aca="false">IF(DH155=2,MAX(0,DH154),IF(DH155=1,MAX(0,MIN(DH154-②시니어_가정!$D$551,DG157+DH156)),0))</f>
        <v>565.904513771997</v>
      </c>
      <c r="DI158" s="283" t="n">
        <f aca="false">IF(DI155=2,MAX(0,DI154),IF(DI155=1,MAX(0,MIN(DI154-②시니어_가정!$D$551,DH157+DI156)),0))</f>
        <v>574.329690739195</v>
      </c>
      <c r="DJ158" s="283" t="n">
        <f aca="false">IF(DJ155=2,MAX(0,DJ154),IF(DJ155=1,MAX(0,MIN(DJ154-②시니어_가정!$D$551,DI157+DJ156)),0))</f>
        <v>574.329690739195</v>
      </c>
      <c r="DK158" s="283" t="n">
        <f aca="false">IF(DK155=2,MAX(0,DK154),IF(DK155=1,MAX(0,MIN(DK154-②시니어_가정!$D$551,DJ157+DK156)),0))</f>
        <v>574.329690739195</v>
      </c>
      <c r="DL158" s="283" t="n">
        <f aca="false">IF(DL155=2,MAX(0,DL154),IF(DL155=1,MAX(0,MIN(DL154-②시니어_가정!$D$551,DK157+DL156)),0))</f>
        <v>574.329690739195</v>
      </c>
      <c r="DM158" s="283" t="n">
        <f aca="false">IF(DM155=2,MAX(0,DM154),IF(DM155=1,MAX(0,MIN(DM154-②시니어_가정!$D$551,DL157+DM156)),0))</f>
        <v>574.329690739195</v>
      </c>
      <c r="DN158" s="283" t="n">
        <f aca="false">IF(DN155=2,MAX(0,DN154),IF(DN155=1,MAX(0,MIN(DN154-②시니어_가정!$D$551,DM157+DN156)),0))</f>
        <v>574.329690739195</v>
      </c>
      <c r="DO158" s="283" t="n">
        <f aca="false">IF(DO155=2,MAX(0,DO154),IF(DO155=1,MAX(0,MIN(DO154-②시니어_가정!$D$551,DN157+DO156)),0))</f>
        <v>574.329690739195</v>
      </c>
      <c r="DP158" s="283" t="n">
        <f aca="false">IF(DP155=2,MAX(0,DP154),IF(DP155=1,MAX(0,MIN(DP154-②시니어_가정!$D$551,DO157+DP156)),0))</f>
        <v>574.329690739195</v>
      </c>
      <c r="DQ158" s="283" t="n">
        <f aca="false">IF(DQ155=2,MAX(0,DQ154),IF(DQ155=1,MAX(0,MIN(DQ154-②시니어_가정!$D$551,DP157+DQ156)),0))</f>
        <v>574.329690739195</v>
      </c>
      <c r="DR158" s="283" t="n">
        <f aca="false">IF(DR155=2,MAX(0,DR154),IF(DR155=1,MAX(0,MIN(DR154-②시니어_가정!$D$551,DQ157+DR156)),0))</f>
        <v>574.329690739195</v>
      </c>
      <c r="DS158" s="283" t="n">
        <f aca="false">IF(DS155=2,MAX(0,DS154),IF(DS155=1,MAX(0,MIN(DS154-②시니어_가정!$D$551,DR157+DS156)),0))</f>
        <v>574.329690739195</v>
      </c>
      <c r="DT158" s="283" t="n">
        <f aca="false">IF(DT155=2,MAX(0,DT154),IF(DT155=1,MAX(0,MIN(DT154-②시니어_가정!$D$551,DS157+DT156)),0))</f>
        <v>0</v>
      </c>
      <c r="DU158" s="283" t="n">
        <f aca="false">IF(DU155=2,MAX(0,DU154),IF(DU155=1,MAX(0,MIN(DU154-②시니어_가정!$D$551,DT157+DU156)),0))</f>
        <v>0</v>
      </c>
      <c r="DV158" s="283" t="n">
        <f aca="false">IF(DV155=2,MAX(0,DV154),IF(DV155=1,MAX(0,MIN(DV154-②시니어_가정!$D$551,DU157+DV156)),0))</f>
        <v>0</v>
      </c>
      <c r="DW158" s="283" t="n">
        <f aca="false">IF(DW155=2,MAX(0,DW154),IF(DW155=1,MAX(0,MIN(DW154-②시니어_가정!$D$551,DV157+DW156)),0))</f>
        <v>0</v>
      </c>
      <c r="DX158" s="283" t="n">
        <f aca="false">IF(DX155=2,MAX(0,DX154),IF(DX155=1,MAX(0,MIN(DX154-②시니어_가정!$D$551,DW157+DX156)),0))</f>
        <v>0</v>
      </c>
      <c r="DY158" s="283" t="n">
        <f aca="false">IF(DY155=2,MAX(0,DY154),IF(DY155=1,MAX(0,MIN(DY154-②시니어_가정!$D$551,DX157+DY156)),0))</f>
        <v>0</v>
      </c>
      <c r="DZ158" s="283" t="n">
        <f aca="false">IF(DZ155=2,MAX(0,DZ154),IF(DZ155=1,MAX(0,MIN(DZ154-②시니어_가정!$D$551,DY157+DZ156)),0))</f>
        <v>0</v>
      </c>
      <c r="EA158" s="283" t="n">
        <f aca="false">IF(EA155=2,MAX(0,EA154),IF(EA155=1,MAX(0,MIN(EA154-②시니어_가정!$D$551,DZ157+EA156)),0))</f>
        <v>0</v>
      </c>
      <c r="EB158" s="283" t="n">
        <f aca="false">IF(EB155=2,MAX(0,EB154),IF(EB155=1,MAX(0,MIN(EB154-②시니어_가정!$D$551,EA157+EB156)),0))</f>
        <v>0</v>
      </c>
      <c r="EC158" s="283" t="n">
        <f aca="false">IF(EC155=2,MAX(0,EC154),IF(EC155=1,MAX(0,MIN(EC154-②시니어_가정!$D$551,EB157+EC156)),0))</f>
        <v>0</v>
      </c>
      <c r="ED158" s="283" t="n">
        <f aca="false">IF(ED155=2,MAX(0,ED154),IF(ED155=1,MAX(0,MIN(ED154-②시니어_가정!$D$551,EC157+ED156)),0))</f>
        <v>0</v>
      </c>
      <c r="EE158" s="283" t="n">
        <f aca="false">IF(EE155=2,MAX(0,EE154),IF(EE155=1,MAX(0,MIN(EE154-②시니어_가정!$D$551,ED157+EE156)),0))</f>
        <v>0</v>
      </c>
      <c r="EF158" s="283" t="n">
        <f aca="false">IF(EF155=2,MAX(0,EF154),IF(EF155=1,MAX(0,MIN(EF154-②시니어_가정!$D$551,EE157+EF156)),0))</f>
        <v>0</v>
      </c>
    </row>
    <row r="159" customFormat="false" ht="15" hidden="false" customHeight="false" outlineLevel="0" collapsed="false">
      <c r="A159" s="280" t="s">
        <v>689</v>
      </c>
      <c r="B159" s="281" t="s">
        <v>21</v>
      </c>
      <c r="C159" s="282" t="n">
        <f aca="false">SUMIF(E6:EF6,②시니어_가정!$E$24,E159:EF159)</f>
        <v>-161611.764449341</v>
      </c>
      <c r="D159" s="48"/>
      <c r="E159" s="283" t="n">
        <f aca="false">E154-E158</f>
        <v>3342.73444632122</v>
      </c>
      <c r="F159" s="283" t="n">
        <f aca="false">F154-F158</f>
        <v>3251.63294910369</v>
      </c>
      <c r="G159" s="283" t="n">
        <f aca="false">G154-G158</f>
        <v>3160.30369814312</v>
      </c>
      <c r="H159" s="283" t="n">
        <f aca="false">H154-H158</f>
        <v>-24.8305716707641</v>
      </c>
      <c r="I159" s="283" t="n">
        <f aca="false">I154-I158</f>
        <v>-124.288905004097</v>
      </c>
      <c r="J159" s="283" t="n">
        <f aca="false">J154-J158</f>
        <v>-223.747238337431</v>
      </c>
      <c r="K159" s="283" t="n">
        <f aca="false">K154-K158</f>
        <v>-323.205571670764</v>
      </c>
      <c r="L159" s="283" t="n">
        <f aca="false">L154-L158</f>
        <v>-422.663905004097</v>
      </c>
      <c r="M159" s="283" t="n">
        <f aca="false">M154-M158</f>
        <v>-522.122238337431</v>
      </c>
      <c r="N159" s="283" t="n">
        <f aca="false">N154-N158</f>
        <v>-621.580571670764</v>
      </c>
      <c r="O159" s="283" t="n">
        <f aca="false">O154-O158</f>
        <v>-721.038905004098</v>
      </c>
      <c r="P159" s="283" t="n">
        <f aca="false">P154-P158</f>
        <v>-820.497238337431</v>
      </c>
      <c r="Q159" s="283" t="n">
        <f aca="false">Q154-Q158</f>
        <v>42280.0444283292</v>
      </c>
      <c r="R159" s="283" t="n">
        <f aca="false">R154-R158</f>
        <v>42286.2862060667</v>
      </c>
      <c r="S159" s="283" t="n">
        <f aca="false">S154-S158</f>
        <v>42292.5435882486</v>
      </c>
      <c r="T159" s="283" t="n">
        <f aca="false">T154-T158</f>
        <v>42298.8166138858</v>
      </c>
      <c r="U159" s="283" t="n">
        <f aca="false">U154-U158</f>
        <v>42305.1053220872</v>
      </c>
      <c r="V159" s="283" t="n">
        <f aca="false">V154-V158</f>
        <v>42311.4097520591</v>
      </c>
      <c r="W159" s="283" t="n">
        <f aca="false">W154-W158</f>
        <v>49619.061848911</v>
      </c>
      <c r="X159" s="283" t="n">
        <f aca="false">X154-X158</f>
        <v>47987.3939034924</v>
      </c>
      <c r="Y159" s="283" t="n">
        <f aca="false">Y154-Y158</f>
        <v>45541.6499308004</v>
      </c>
      <c r="Z159" s="283" t="n">
        <f aca="false">Z154-Z158</f>
        <v>42291.1832577763</v>
      </c>
      <c r="AA159" s="283" t="n">
        <f aca="false">AA154-AA158</f>
        <v>38249.8367364637</v>
      </c>
      <c r="AB159" s="283" t="n">
        <f aca="false">AB154-AB158</f>
        <v>33435.8653021384</v>
      </c>
      <c r="AC159" s="283" t="n">
        <f aca="false">AC154-AC158</f>
        <v>114271.833857211</v>
      </c>
      <c r="AD159" s="283" t="n">
        <f aca="false">AD154-AD158</f>
        <v>108200.491051978</v>
      </c>
      <c r="AE159" s="283" t="n">
        <f aca="false">AE154-AE158</f>
        <v>101437.159668087</v>
      </c>
      <c r="AF159" s="283" t="n">
        <f aca="false">AF154-AF158</f>
        <v>94016.4857914403</v>
      </c>
      <c r="AG159" s="283" t="n">
        <f aca="false">AG154-AG158</f>
        <v>85976.7836907866</v>
      </c>
      <c r="AH159" s="283" t="n">
        <f aca="false">AH154-AH158</f>
        <v>77359.8215289287</v>
      </c>
      <c r="AI159" s="283" t="n">
        <f aca="false">AI154-AI158</f>
        <v>68210.5877583092</v>
      </c>
      <c r="AJ159" s="283" t="n">
        <f aca="false">AJ154-AJ158</f>
        <v>58577.0395073783</v>
      </c>
      <c r="AK159" s="283" t="n">
        <f aca="false">AK154-AK158</f>
        <v>48509.8343648705</v>
      </c>
      <c r="AL159" s="283" t="n">
        <f aca="false">AL154-AL158</f>
        <v>38062.0470619641</v>
      </c>
      <c r="AM159" s="283" t="n">
        <f aca="false">AM154-AM158</f>
        <v>27288.8726367474</v>
      </c>
      <c r="AN159" s="283" t="n">
        <f aca="false">AN154-AN158</f>
        <v>16247.3177410199</v>
      </c>
      <c r="AO159" s="283" t="n">
        <f aca="false">AO154-AO158</f>
        <v>91395.881815763</v>
      </c>
      <c r="AP159" s="283" t="n">
        <f aca="false">AP154-AP158</f>
        <v>80210.2299182792</v>
      </c>
      <c r="AQ159" s="283" t="n">
        <f aca="false">AQ154-AQ158</f>
        <v>68935.3990306796</v>
      </c>
      <c r="AR159" s="283" t="n">
        <f aca="false">AR154-AR158</f>
        <v>57632.381065861</v>
      </c>
      <c r="AS159" s="283" t="n">
        <f aca="false">AS154-AS158</f>
        <v>46362.3204165024</v>
      </c>
      <c r="AT159" s="283" t="n">
        <f aca="false">AT154-AT158</f>
        <v>35186.1719979343</v>
      </c>
      <c r="AU159" s="283" t="n">
        <f aca="false">AU154-AU158</f>
        <v>24164.3603506096</v>
      </c>
      <c r="AV159" s="283" t="n">
        <f aca="false">AV154-AV158</f>
        <v>13356.4417086146</v>
      </c>
      <c r="AW159" s="283" t="n">
        <f aca="false">AW154-AW158</f>
        <v>2820.77092406755</v>
      </c>
      <c r="AX159" s="283" t="n">
        <f aca="false">AX154-AX158</f>
        <v>500</v>
      </c>
      <c r="AY159" s="283" t="n">
        <f aca="false">AY154-AY158</f>
        <v>500</v>
      </c>
      <c r="AZ159" s="283" t="n">
        <f aca="false">AZ154-AZ158</f>
        <v>500</v>
      </c>
      <c r="BA159" s="283" t="n">
        <f aca="false">BA154-BA158</f>
        <v>77881.1620517709</v>
      </c>
      <c r="BB159" s="283" t="n">
        <f aca="false">BB154-BB158</f>
        <v>69612.9378146237</v>
      </c>
      <c r="BC159" s="283" t="n">
        <f aca="false">BC154-BC158</f>
        <v>61924.5195561996</v>
      </c>
      <c r="BD159" s="283" t="n">
        <f aca="false">BD154-BD158</f>
        <v>54857.3144164249</v>
      </c>
      <c r="BE159" s="283" t="n">
        <f aca="false">BE154-BE158</f>
        <v>48449.2514854452</v>
      </c>
      <c r="BF159" s="283" t="n">
        <f aca="false">BF154-BF158</f>
        <v>42734.5696788318</v>
      </c>
      <c r="BG159" s="283" t="n">
        <f aca="false">BG154-BG158</f>
        <v>37743.6262497182</v>
      </c>
      <c r="BH159" s="283" t="n">
        <f aca="false">BH154-BH158</f>
        <v>33502.7270087412</v>
      </c>
      <c r="BI159" s="283" t="n">
        <f aca="false">BI154-BI158</f>
        <v>30033.9792012677</v>
      </c>
      <c r="BJ159" s="283" t="n">
        <f aca="false">BJ154-BJ158</f>
        <v>27355.1678646759</v>
      </c>
      <c r="BK159" s="283" t="n">
        <f aca="false">BK154-BK158</f>
        <v>25479.6563571524</v>
      </c>
      <c r="BL159" s="283" t="n">
        <f aca="false">BL154-BL158</f>
        <v>37647.4621205133</v>
      </c>
      <c r="BM159" s="283" t="n">
        <f aca="false">BM154-BM158</f>
        <v>145569.112831511</v>
      </c>
      <c r="BN159" s="283" t="n">
        <f aca="false">BN154-BN158</f>
        <v>145569.112831511</v>
      </c>
      <c r="BO159" s="283" t="n">
        <f aca="false">BO154-BO158</f>
        <v>145569.112831511</v>
      </c>
      <c r="BP159" s="283" t="n">
        <f aca="false">BP154-BP158</f>
        <v>145569.112831511</v>
      </c>
      <c r="BQ159" s="283" t="n">
        <f aca="false">BQ154-BQ158</f>
        <v>145569.112831511</v>
      </c>
      <c r="BR159" s="283" t="n">
        <f aca="false">BR154-BR158</f>
        <v>145569.112831511</v>
      </c>
      <c r="BS159" s="283" t="n">
        <f aca="false">BS154-BS158</f>
        <v>145569.112831511</v>
      </c>
      <c r="BT159" s="283" t="n">
        <f aca="false">BT154-BT158</f>
        <v>145569.112831511</v>
      </c>
      <c r="BU159" s="283" t="n">
        <f aca="false">BU154-BU158</f>
        <v>145569.11283151</v>
      </c>
      <c r="BV159" s="283" t="n">
        <f aca="false">BV154-BV158</f>
        <v>145569.11283151</v>
      </c>
      <c r="BW159" s="283" t="n">
        <f aca="false">BW154-BW158</f>
        <v>145569.11283151</v>
      </c>
      <c r="BX159" s="283" t="n">
        <f aca="false">BX154-BX158</f>
        <v>145569.11283151</v>
      </c>
      <c r="BY159" s="283" t="n">
        <f aca="false">BY154-BY158</f>
        <v>253569.11283151</v>
      </c>
      <c r="BZ159" s="283" t="n">
        <f aca="false">BZ154-BZ158</f>
        <v>253569.11283151</v>
      </c>
      <c r="CA159" s="283" t="n">
        <f aca="false">CA154-CA158</f>
        <v>253569.11283151</v>
      </c>
      <c r="CB159" s="283" t="n">
        <f aca="false">CB154-CB158</f>
        <v>253569.11283151</v>
      </c>
      <c r="CC159" s="283" t="n">
        <f aca="false">CC154-CC158</f>
        <v>253569.11283151</v>
      </c>
      <c r="CD159" s="283" t="n">
        <f aca="false">CD154-CD158</f>
        <v>253569.11283151</v>
      </c>
      <c r="CE159" s="283" t="n">
        <f aca="false">CE154-CE158</f>
        <v>253569.11283151</v>
      </c>
      <c r="CF159" s="283" t="n">
        <f aca="false">CF154-CF158</f>
        <v>253569.11283151</v>
      </c>
      <c r="CG159" s="283" t="n">
        <f aca="false">CG154-CG158</f>
        <v>253569.11283151</v>
      </c>
      <c r="CH159" s="283" t="n">
        <f aca="false">CH154-CH158</f>
        <v>253569.11283151</v>
      </c>
      <c r="CI159" s="283" t="n">
        <f aca="false">CI154-CI158</f>
        <v>253569.11283151</v>
      </c>
      <c r="CJ159" s="283" t="n">
        <f aca="false">CJ154-CJ158</f>
        <v>253569.11283151</v>
      </c>
      <c r="CK159" s="283" t="n">
        <f aca="false">CK154-CK158</f>
        <v>253569.11283151</v>
      </c>
      <c r="CL159" s="283" t="n">
        <f aca="false">CL154-CL158</f>
        <v>253569.11283151</v>
      </c>
      <c r="CM159" s="283" t="n">
        <f aca="false">CM154-CM158</f>
        <v>253569.11283151</v>
      </c>
      <c r="CN159" s="283" t="n">
        <f aca="false">CN154-CN158</f>
        <v>253569.11283151</v>
      </c>
      <c r="CO159" s="283" t="n">
        <f aca="false">CO154-CO158</f>
        <v>253569.11283151</v>
      </c>
      <c r="CP159" s="283" t="n">
        <f aca="false">CP154-CP158</f>
        <v>253569.11283151</v>
      </c>
      <c r="CQ159" s="283" t="n">
        <f aca="false">CQ154-CQ158</f>
        <v>253569.11283151</v>
      </c>
      <c r="CR159" s="283" t="n">
        <f aca="false">CR154-CR158</f>
        <v>253569.11283151</v>
      </c>
      <c r="CS159" s="283" t="n">
        <f aca="false">CS154-CS158</f>
        <v>253569.11283151</v>
      </c>
      <c r="CT159" s="283" t="n">
        <f aca="false">CT154-CT158</f>
        <v>253569.11283151</v>
      </c>
      <c r="CU159" s="283" t="n">
        <f aca="false">CU154-CU158</f>
        <v>253569.11283151</v>
      </c>
      <c r="CV159" s="283" t="n">
        <f aca="false">CV154-CV158</f>
        <v>253569.11283151</v>
      </c>
      <c r="CW159" s="283" t="n">
        <f aca="false">CW154-CW158</f>
        <v>253569.11283151</v>
      </c>
      <c r="CX159" s="283" t="n">
        <f aca="false">CX154-CX158</f>
        <v>253569.11283151</v>
      </c>
      <c r="CY159" s="283" t="n">
        <f aca="false">CY154-CY158</f>
        <v>253569.11283151</v>
      </c>
      <c r="CZ159" s="283" t="n">
        <f aca="false">CZ154-CZ158</f>
        <v>253569.11283151</v>
      </c>
      <c r="DA159" s="283" t="n">
        <f aca="false">DA154-DA158</f>
        <v>253569.11283151</v>
      </c>
      <c r="DB159" s="283" t="n">
        <f aca="false">DB154-DB158</f>
        <v>253569.11283151</v>
      </c>
      <c r="DC159" s="283" t="n">
        <f aca="false">DC154-DC158</f>
        <v>253569.11283151</v>
      </c>
      <c r="DD159" s="283" t="n">
        <f aca="false">DD154-DD158</f>
        <v>253569.11283151</v>
      </c>
      <c r="DE159" s="283" t="n">
        <f aca="false">DE154-DE158</f>
        <v>253569.11283151</v>
      </c>
      <c r="DF159" s="283" t="n">
        <f aca="false">DF154-DF158</f>
        <v>253569.11283151</v>
      </c>
      <c r="DG159" s="283" t="n">
        <f aca="false">DG154-DG158</f>
        <v>253569.11283151</v>
      </c>
      <c r="DH159" s="283" t="n">
        <f aca="false">DH154-DH158</f>
        <v>253569.11283151</v>
      </c>
      <c r="DI159" s="283" t="n">
        <f aca="false">DI154-DI158</f>
        <v>253569.11283151</v>
      </c>
      <c r="DJ159" s="283" t="n">
        <f aca="false">DJ154-DJ158</f>
        <v>253569.11283151</v>
      </c>
      <c r="DK159" s="283" t="n">
        <f aca="false">DK154-DK158</f>
        <v>253569.11283151</v>
      </c>
      <c r="DL159" s="283" t="n">
        <f aca="false">DL154-DL158</f>
        <v>253569.11283151</v>
      </c>
      <c r="DM159" s="283" t="n">
        <f aca="false">DM154-DM158</f>
        <v>253569.11283151</v>
      </c>
      <c r="DN159" s="283" t="n">
        <f aca="false">DN154-DN158</f>
        <v>253569.11283151</v>
      </c>
      <c r="DO159" s="283" t="n">
        <f aca="false">DO154-DO158</f>
        <v>253569.11283151</v>
      </c>
      <c r="DP159" s="283" t="n">
        <f aca="false">DP154-DP158</f>
        <v>253569.11283151</v>
      </c>
      <c r="DQ159" s="283" t="n">
        <f aca="false">DQ154-DQ158</f>
        <v>253569.11283151</v>
      </c>
      <c r="DR159" s="283" t="n">
        <f aca="false">DR154-DR158</f>
        <v>253569.11283151</v>
      </c>
      <c r="DS159" s="283" t="n">
        <f aca="false">DS154-DS158</f>
        <v>253569.11283151</v>
      </c>
      <c r="DT159" s="283" t="n">
        <f aca="false">DT154-DT158</f>
        <v>-161258.389449341</v>
      </c>
      <c r="DU159" s="283" t="n">
        <f aca="false">DU154-DU158</f>
        <v>-161376.181116007</v>
      </c>
      <c r="DV159" s="283" t="n">
        <f aca="false">DV154-DV158</f>
        <v>-161493.972782674</v>
      </c>
      <c r="DW159" s="283" t="n">
        <f aca="false">DW154-DW158</f>
        <v>-161611.764449341</v>
      </c>
      <c r="DX159" s="283" t="n">
        <f aca="false">DX154-DX158</f>
        <v>-161611.764449341</v>
      </c>
      <c r="DY159" s="283" t="n">
        <f aca="false">DY154-DY158</f>
        <v>-161611.764449341</v>
      </c>
      <c r="DZ159" s="283" t="n">
        <f aca="false">DZ154-DZ158</f>
        <v>-161611.764449341</v>
      </c>
      <c r="EA159" s="283" t="n">
        <f aca="false">EA154-EA158</f>
        <v>-161611.764449341</v>
      </c>
      <c r="EB159" s="283" t="n">
        <f aca="false">EB154-EB158</f>
        <v>-161611.764449341</v>
      </c>
      <c r="EC159" s="283" t="n">
        <f aca="false">EC154-EC158</f>
        <v>-161611.764449341</v>
      </c>
      <c r="ED159" s="283" t="n">
        <f aca="false">ED154-ED158</f>
        <v>-161611.764449341</v>
      </c>
      <c r="EE159" s="283" t="n">
        <f aca="false">EE154-EE158</f>
        <v>-161611.764449341</v>
      </c>
      <c r="EF159" s="283" t="n">
        <f aca="false">EF154-EF158</f>
        <v>-161611.764449341</v>
      </c>
    </row>
    <row r="161" customFormat="false" ht="15" hidden="false" customHeight="false" outlineLevel="0" collapsed="false">
      <c r="A161" s="6" t="s">
        <v>690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</row>
    <row r="162" customFormat="false" ht="15" hidden="false" customHeight="false" outlineLevel="0" collapsed="false">
      <c r="A162" s="36" t="s">
        <v>691</v>
      </c>
      <c r="B162" s="278" t="s">
        <v>21</v>
      </c>
      <c r="E162" s="37" t="n">
        <f aca="false">0</f>
        <v>0</v>
      </c>
      <c r="F162" s="37" t="n">
        <f aca="false">E162+E141-E166</f>
        <v>0</v>
      </c>
      <c r="G162" s="37" t="n">
        <f aca="false">F162+F141-F166</f>
        <v>0</v>
      </c>
      <c r="H162" s="37" t="n">
        <f aca="false">G162+G141-G166</f>
        <v>0</v>
      </c>
      <c r="I162" s="37" t="n">
        <f aca="false">H162+H141-H166</f>
        <v>0</v>
      </c>
      <c r="J162" s="37" t="n">
        <f aca="false">I162+I141-I166</f>
        <v>0</v>
      </c>
      <c r="K162" s="37" t="n">
        <f aca="false">J162+J141-J166</f>
        <v>0</v>
      </c>
      <c r="L162" s="37" t="n">
        <f aca="false">K162+K141-K166</f>
        <v>0</v>
      </c>
      <c r="M162" s="37" t="n">
        <f aca="false">L162+L141-L166</f>
        <v>0</v>
      </c>
      <c r="N162" s="37" t="n">
        <f aca="false">M162+M141-M166</f>
        <v>0</v>
      </c>
      <c r="O162" s="37" t="n">
        <f aca="false">N162+N141-N166</f>
        <v>0</v>
      </c>
      <c r="P162" s="37" t="n">
        <f aca="false">O162+O141-O166</f>
        <v>0</v>
      </c>
      <c r="Q162" s="37" t="n">
        <f aca="false">P162+P141-P166</f>
        <v>0</v>
      </c>
      <c r="R162" s="37" t="n">
        <f aca="false">Q162+Q141-Q166</f>
        <v>0</v>
      </c>
      <c r="S162" s="37" t="n">
        <f aca="false">R162+R141-R166</f>
        <v>0</v>
      </c>
      <c r="T162" s="37" t="n">
        <f aca="false">S162+S141-S166</f>
        <v>0</v>
      </c>
      <c r="U162" s="37" t="n">
        <f aca="false">T162+T141-T166</f>
        <v>0</v>
      </c>
      <c r="V162" s="37" t="n">
        <f aca="false">U162+U141-U166</f>
        <v>0</v>
      </c>
      <c r="W162" s="37" t="n">
        <f aca="false">V162+V141-V166</f>
        <v>0</v>
      </c>
      <c r="X162" s="37" t="n">
        <f aca="false">W162+W141-W166</f>
        <v>55555.1437715838</v>
      </c>
      <c r="Y162" s="37" t="n">
        <f aca="false">X162+X141-X166</f>
        <v>55555.1437715838</v>
      </c>
      <c r="Z162" s="37" t="n">
        <f aca="false">Y162+Y141-Y166</f>
        <v>55555.1437715838</v>
      </c>
      <c r="AA162" s="37" t="n">
        <f aca="false">Z162+Z141-Z166</f>
        <v>55555.1437715838</v>
      </c>
      <c r="AB162" s="37" t="n">
        <f aca="false">AA162+AA141-AA166</f>
        <v>55555.1437715838</v>
      </c>
      <c r="AC162" s="37" t="n">
        <f aca="false">AB162+AB141-AB166</f>
        <v>55555.1437715838</v>
      </c>
      <c r="AD162" s="37" t="n">
        <f aca="false">AC162+AC141-AC166</f>
        <v>55555.1437715838</v>
      </c>
      <c r="AE162" s="37" t="n">
        <f aca="false">AD162+AD141-AD166</f>
        <v>55555.1437715838</v>
      </c>
      <c r="AF162" s="37" t="n">
        <f aca="false">AE162+AE141-AE166</f>
        <v>55555.1437715838</v>
      </c>
      <c r="AG162" s="37" t="n">
        <f aca="false">AF162+AF141-AF166</f>
        <v>55555.1437715838</v>
      </c>
      <c r="AH162" s="37" t="n">
        <f aca="false">AG162+AG141-AG166</f>
        <v>55555.1437715838</v>
      </c>
      <c r="AI162" s="37" t="n">
        <f aca="false">AH162+AH141-AH166</f>
        <v>55555.1437715838</v>
      </c>
      <c r="AJ162" s="37" t="n">
        <f aca="false">AI162+AI141-AI166</f>
        <v>55555.1437715838</v>
      </c>
      <c r="AK162" s="37" t="n">
        <f aca="false">AJ162+AJ141-AJ166</f>
        <v>55555.1437715838</v>
      </c>
      <c r="AL162" s="37" t="n">
        <f aca="false">AK162+AK141-AK166</f>
        <v>55555.1437715838</v>
      </c>
      <c r="AM162" s="37" t="n">
        <f aca="false">AL162+AL141-AL166</f>
        <v>55555.1437715838</v>
      </c>
      <c r="AN162" s="37" t="n">
        <f aca="false">AM162+AM141-AM166</f>
        <v>55555.1437715838</v>
      </c>
      <c r="AO162" s="37" t="n">
        <f aca="false">AN162+AN141-AN166</f>
        <v>55555.1437715838</v>
      </c>
      <c r="AP162" s="37" t="n">
        <f aca="false">AO162+AO141-AO166</f>
        <v>55555.1437715838</v>
      </c>
      <c r="AQ162" s="37" t="n">
        <f aca="false">AP162+AP141-AP166</f>
        <v>55555.1437715838</v>
      </c>
      <c r="AR162" s="37" t="n">
        <f aca="false">AQ162+AQ141-AQ166</f>
        <v>55555.1437715838</v>
      </c>
      <c r="AS162" s="37" t="n">
        <f aca="false">AR162+AR141-AR166</f>
        <v>55555.1437715838</v>
      </c>
      <c r="AT162" s="37" t="n">
        <f aca="false">AS162+AS141-AS166</f>
        <v>55555.1437715838</v>
      </c>
      <c r="AU162" s="37" t="n">
        <f aca="false">AT162+AT141-AT166</f>
        <v>55555.1437715838</v>
      </c>
      <c r="AV162" s="37" t="n">
        <f aca="false">AU162+AU141-AU166</f>
        <v>55555.1437715838</v>
      </c>
      <c r="AW162" s="37" t="n">
        <f aca="false">AV162+AV141-AV166</f>
        <v>55555.1437715838</v>
      </c>
      <c r="AX162" s="37" t="n">
        <f aca="false">AW162+AW141-AW166</f>
        <v>55555.1437715838</v>
      </c>
      <c r="AY162" s="37" t="n">
        <f aca="false">AX162+AX141-AX166</f>
        <v>55555.1437715838</v>
      </c>
      <c r="AZ162" s="37" t="n">
        <f aca="false">AY162+AY141-AY166</f>
        <v>55555.1437715838</v>
      </c>
      <c r="BA162" s="37" t="n">
        <f aca="false">AZ162+AZ141-AZ166</f>
        <v>55555.1437715838</v>
      </c>
      <c r="BB162" s="37" t="n">
        <f aca="false">BA162+BA141-BA166</f>
        <v>55555.1437715838</v>
      </c>
      <c r="BC162" s="37" t="n">
        <f aca="false">BB162+BB141-BB166</f>
        <v>55555.1437715838</v>
      </c>
      <c r="BD162" s="37" t="n">
        <f aca="false">BC162+BC141-BC166</f>
        <v>55555.1437715838</v>
      </c>
      <c r="BE162" s="37" t="n">
        <f aca="false">BD162+BD141-BD166</f>
        <v>55555.1437715838</v>
      </c>
      <c r="BF162" s="37" t="n">
        <f aca="false">BE162+BE141-BE166</f>
        <v>55555.1437715838</v>
      </c>
      <c r="BG162" s="37" t="n">
        <f aca="false">BF162+BF141-BF166</f>
        <v>55555.1437715838</v>
      </c>
      <c r="BH162" s="37" t="n">
        <f aca="false">BG162+BG141-BG166</f>
        <v>55555.1437715838</v>
      </c>
      <c r="BI162" s="37" t="n">
        <f aca="false">BH162+BH141-BH166</f>
        <v>55555.1437715838</v>
      </c>
      <c r="BJ162" s="37" t="n">
        <f aca="false">BI162+BI141-BI166</f>
        <v>55555.1437715838</v>
      </c>
      <c r="BK162" s="37" t="n">
        <f aca="false">BJ162+BJ141-BJ166</f>
        <v>55555.1437715838</v>
      </c>
      <c r="BL162" s="37" t="n">
        <f aca="false">BK162+BK141-BK166</f>
        <v>55555.1437715838</v>
      </c>
      <c r="BM162" s="37" t="n">
        <f aca="false">BL162+BL141-BL166</f>
        <v>55555.1437715838</v>
      </c>
      <c r="BN162" s="37" t="n">
        <f aca="false">BM162+BM141-BM166</f>
        <v>55555.1437715838</v>
      </c>
      <c r="BO162" s="37" t="n">
        <f aca="false">BN162+BN141-BN166</f>
        <v>55555.1437715838</v>
      </c>
      <c r="BP162" s="37" t="n">
        <f aca="false">BO162+BO141-BO166</f>
        <v>55555.1437715838</v>
      </c>
      <c r="BQ162" s="37" t="n">
        <f aca="false">BP162+BP141-BP166</f>
        <v>55555.1437715838</v>
      </c>
      <c r="BR162" s="37" t="n">
        <f aca="false">BQ162+BQ141-BQ166</f>
        <v>55555.1437715838</v>
      </c>
      <c r="BS162" s="37" t="n">
        <f aca="false">BR162+BR141-BR166</f>
        <v>55555.1437715838</v>
      </c>
      <c r="BT162" s="37" t="n">
        <f aca="false">BS162+BS141-BS166</f>
        <v>55555.1437715838</v>
      </c>
      <c r="BU162" s="37" t="n">
        <f aca="false">BT162+BT141-BT166</f>
        <v>55555.1437715838</v>
      </c>
      <c r="BV162" s="37" t="n">
        <f aca="false">BU162+BU141-BU166</f>
        <v>55555.1437715838</v>
      </c>
      <c r="BW162" s="37" t="n">
        <f aca="false">BV162+BV141-BV166</f>
        <v>55555.1437715838</v>
      </c>
      <c r="BX162" s="37" t="n">
        <f aca="false">BW162+BW141-BW166</f>
        <v>55555.1437715838</v>
      </c>
      <c r="BY162" s="37" t="n">
        <f aca="false">BX162+BX141-BX166</f>
        <v>55555.1437715838</v>
      </c>
      <c r="BZ162" s="37" t="n">
        <f aca="false">BY162+BY141-BY166</f>
        <v>55555.1437715838</v>
      </c>
      <c r="CA162" s="37" t="n">
        <f aca="false">BZ162+BZ141-BZ166</f>
        <v>55555.1437715838</v>
      </c>
      <c r="CB162" s="37" t="n">
        <f aca="false">CA162+CA141-CA166</f>
        <v>55555.1437715838</v>
      </c>
      <c r="CC162" s="37" t="n">
        <f aca="false">CB162+CB141-CB166</f>
        <v>55555.1437715838</v>
      </c>
      <c r="CD162" s="37" t="n">
        <f aca="false">CC162+CC141-CC166</f>
        <v>55555.1437715838</v>
      </c>
      <c r="CE162" s="37" t="n">
        <f aca="false">CD162+CD141-CD166</f>
        <v>55555.1437715838</v>
      </c>
      <c r="CF162" s="37" t="n">
        <f aca="false">CE162+CE141-CE166</f>
        <v>55555.1437715838</v>
      </c>
      <c r="CG162" s="37" t="n">
        <f aca="false">CF162+CF141-CF166</f>
        <v>55555.1437715838</v>
      </c>
      <c r="CH162" s="37" t="n">
        <f aca="false">CG162+CG141-CG166</f>
        <v>55555.1437715838</v>
      </c>
      <c r="CI162" s="37" t="n">
        <f aca="false">CH162+CH141-CH166</f>
        <v>55555.1437715838</v>
      </c>
      <c r="CJ162" s="37" t="n">
        <f aca="false">CI162+CI141-CI166</f>
        <v>55555.1437715838</v>
      </c>
      <c r="CK162" s="37" t="n">
        <f aca="false">CJ162+CJ141-CJ166</f>
        <v>55555.1437715838</v>
      </c>
      <c r="CL162" s="37" t="n">
        <f aca="false">CK162+CK141-CK166</f>
        <v>55555.1437715838</v>
      </c>
      <c r="CM162" s="37" t="n">
        <f aca="false">CL162+CL141-CL166</f>
        <v>55555.1437715838</v>
      </c>
      <c r="CN162" s="37" t="n">
        <f aca="false">CM162+CM141-CM166</f>
        <v>55555.1437715838</v>
      </c>
      <c r="CO162" s="37" t="n">
        <f aca="false">CN162+CN141-CN166</f>
        <v>55555.1437715838</v>
      </c>
      <c r="CP162" s="37" t="n">
        <f aca="false">CO162+CO141-CO166</f>
        <v>55555.1437715838</v>
      </c>
      <c r="CQ162" s="37" t="n">
        <f aca="false">CP162+CP141-CP166</f>
        <v>55555.1437715838</v>
      </c>
      <c r="CR162" s="37" t="n">
        <f aca="false">CQ162+CQ141-CQ166</f>
        <v>55555.1437715838</v>
      </c>
      <c r="CS162" s="37" t="n">
        <f aca="false">CR162+CR141-CR166</f>
        <v>55555.1437715838</v>
      </c>
      <c r="CT162" s="37" t="n">
        <f aca="false">CS162+CS141-CS166</f>
        <v>55555.1437715838</v>
      </c>
      <c r="CU162" s="37" t="n">
        <f aca="false">CT162+CT141-CT166</f>
        <v>55555.1437715838</v>
      </c>
      <c r="CV162" s="37" t="n">
        <f aca="false">CU162+CU141-CU166</f>
        <v>55555.1437715838</v>
      </c>
      <c r="CW162" s="37" t="n">
        <f aca="false">CV162+CV141-CV166</f>
        <v>55555.1437715838</v>
      </c>
      <c r="CX162" s="37" t="n">
        <f aca="false">CW162+CW141-CW166</f>
        <v>55555.1437715838</v>
      </c>
      <c r="CY162" s="37" t="n">
        <f aca="false">CX162+CX141-CX166</f>
        <v>55555.1437715838</v>
      </c>
      <c r="CZ162" s="37" t="n">
        <f aca="false">CY162+CY141-CY166</f>
        <v>55555.1437715838</v>
      </c>
      <c r="DA162" s="37" t="n">
        <f aca="false">CZ162+CZ141-CZ166</f>
        <v>55555.1437715838</v>
      </c>
      <c r="DB162" s="37" t="n">
        <f aca="false">DA162+DA141-DA166</f>
        <v>55555.1437715838</v>
      </c>
      <c r="DC162" s="37" t="n">
        <f aca="false">DB162+DB141-DB166</f>
        <v>55555.1437715838</v>
      </c>
      <c r="DD162" s="37" t="n">
        <f aca="false">DC162+DC141-DC166</f>
        <v>55555.1437715838</v>
      </c>
      <c r="DE162" s="37" t="n">
        <f aca="false">DD162+DD141-DD166</f>
        <v>55555.1437715838</v>
      </c>
      <c r="DF162" s="37" t="n">
        <f aca="false">DE162+DE141-DE166</f>
        <v>55555.1437715838</v>
      </c>
      <c r="DG162" s="37" t="n">
        <f aca="false">DF162+DF141-DF166</f>
        <v>55555.1437715838</v>
      </c>
      <c r="DH162" s="37" t="n">
        <f aca="false">DG162+DG141-DG166</f>
        <v>55555.1437715838</v>
      </c>
      <c r="DI162" s="37" t="n">
        <f aca="false">DH162+DH141-DH166</f>
        <v>55555.1437715838</v>
      </c>
      <c r="DJ162" s="37" t="n">
        <f aca="false">DI162+DI141-DI166</f>
        <v>55555.1437715838</v>
      </c>
      <c r="DK162" s="37" t="n">
        <f aca="false">DJ162+DJ141-DJ166</f>
        <v>55555.1437715838</v>
      </c>
      <c r="DL162" s="37" t="n">
        <f aca="false">DK162+DK141-DK166</f>
        <v>55555.1437715838</v>
      </c>
      <c r="DM162" s="37" t="n">
        <f aca="false">DL162+DL141-DL166</f>
        <v>55555.1437715838</v>
      </c>
      <c r="DN162" s="37" t="n">
        <f aca="false">DM162+DM141-DM166</f>
        <v>55555.1437715838</v>
      </c>
      <c r="DO162" s="37" t="n">
        <f aca="false">DN162+DN141-DN166</f>
        <v>55555.1437715838</v>
      </c>
      <c r="DP162" s="37" t="n">
        <f aca="false">DO162+DO141-DO166</f>
        <v>55555.1437715838</v>
      </c>
      <c r="DQ162" s="37" t="n">
        <f aca="false">DP162+DP141-DP166</f>
        <v>55555.1437715838</v>
      </c>
      <c r="DR162" s="37" t="n">
        <f aca="false">DQ162+DQ141-DQ166</f>
        <v>55555.1437715838</v>
      </c>
      <c r="DS162" s="37" t="n">
        <f aca="false">DR162+DR141-DR166</f>
        <v>55555.1437715838</v>
      </c>
      <c r="DT162" s="37" t="n">
        <f aca="false">DS162+DS141-DS166</f>
        <v>55555.1437715838</v>
      </c>
      <c r="DU162" s="37" t="n">
        <f aca="false">DT162+DT141-DT166</f>
        <v>55555.1437715838</v>
      </c>
      <c r="DV162" s="37" t="n">
        <f aca="false">DU162+DU141-DU166</f>
        <v>55555.1437715838</v>
      </c>
      <c r="DW162" s="37" t="n">
        <f aca="false">DV162+DV141-DV166</f>
        <v>55555.1437715838</v>
      </c>
      <c r="DX162" s="37" t="n">
        <f aca="false">DW162+DW141-DW166</f>
        <v>55555.1437715838</v>
      </c>
      <c r="DY162" s="37" t="n">
        <f aca="false">DX162+DX141-DX166</f>
        <v>55555.1437715838</v>
      </c>
      <c r="DZ162" s="37" t="n">
        <f aca="false">DY162+DY141-DY166</f>
        <v>55555.1437715838</v>
      </c>
      <c r="EA162" s="37" t="n">
        <f aca="false">DZ162+DZ141-DZ166</f>
        <v>55555.1437715838</v>
      </c>
      <c r="EB162" s="37" t="n">
        <f aca="false">EA162+EA141-EA166</f>
        <v>55555.1437715838</v>
      </c>
      <c r="EC162" s="37" t="n">
        <f aca="false">EB162+EB141-EB166</f>
        <v>55555.1437715838</v>
      </c>
      <c r="ED162" s="37" t="n">
        <f aca="false">EC162+EC141-EC166</f>
        <v>55555.1437715838</v>
      </c>
      <c r="EE162" s="37" t="n">
        <f aca="false">ED162+ED141-ED166</f>
        <v>55555.1437715838</v>
      </c>
      <c r="EF162" s="37" t="n">
        <f aca="false">EE162+EE141-EE166</f>
        <v>55555.1437715838</v>
      </c>
    </row>
    <row r="163" customFormat="false" ht="15" hidden="false" customHeight="false" outlineLevel="0" collapsed="false">
      <c r="A163" s="36" t="s">
        <v>692</v>
      </c>
      <c r="B163" s="278" t="s">
        <v>21</v>
      </c>
      <c r="E163" s="37" t="n">
        <f aca="false">0</f>
        <v>0</v>
      </c>
      <c r="F163" s="37" t="n">
        <f aca="false">E167</f>
        <v>0</v>
      </c>
      <c r="G163" s="37" t="n">
        <f aca="false">F167</f>
        <v>0</v>
      </c>
      <c r="H163" s="37" t="n">
        <f aca="false">G167</f>
        <v>0</v>
      </c>
      <c r="I163" s="37" t="n">
        <f aca="false">H167</f>
        <v>0</v>
      </c>
      <c r="J163" s="37" t="n">
        <f aca="false">I167</f>
        <v>0</v>
      </c>
      <c r="K163" s="37" t="n">
        <f aca="false">J167</f>
        <v>0</v>
      </c>
      <c r="L163" s="37" t="n">
        <f aca="false">K167</f>
        <v>0</v>
      </c>
      <c r="M163" s="37" t="n">
        <f aca="false">L167</f>
        <v>0</v>
      </c>
      <c r="N163" s="37" t="n">
        <f aca="false">M167</f>
        <v>0</v>
      </c>
      <c r="O163" s="37" t="n">
        <f aca="false">N167</f>
        <v>0</v>
      </c>
      <c r="P163" s="37" t="n">
        <f aca="false">O167</f>
        <v>0</v>
      </c>
      <c r="Q163" s="37" t="n">
        <f aca="false">P167</f>
        <v>0</v>
      </c>
      <c r="R163" s="37" t="n">
        <f aca="false">Q167</f>
        <v>0</v>
      </c>
      <c r="S163" s="37" t="n">
        <f aca="false">R167</f>
        <v>0</v>
      </c>
      <c r="T163" s="37" t="n">
        <f aca="false">S167</f>
        <v>0</v>
      </c>
      <c r="U163" s="37" t="n">
        <f aca="false">T167</f>
        <v>0</v>
      </c>
      <c r="V163" s="37" t="n">
        <f aca="false">U167</f>
        <v>0</v>
      </c>
      <c r="W163" s="37" t="n">
        <f aca="false">V167</f>
        <v>0</v>
      </c>
      <c r="X163" s="37" t="n">
        <f aca="false">W167</f>
        <v>0</v>
      </c>
      <c r="Y163" s="37" t="n">
        <f aca="false">X167</f>
        <v>226.338532543813</v>
      </c>
      <c r="Z163" s="37" t="n">
        <f aca="false">Y167</f>
        <v>453.599196286219</v>
      </c>
      <c r="AA163" s="37" t="n">
        <f aca="false">Z167</f>
        <v>681.785748103866</v>
      </c>
      <c r="AB163" s="37" t="n">
        <f aca="false">AA167</f>
        <v>910.901960179382</v>
      </c>
      <c r="AC163" s="37" t="n">
        <f aca="false">AB167</f>
        <v>1140.95162006373</v>
      </c>
      <c r="AD163" s="37" t="n">
        <f aca="false">AC167</f>
        <v>1371.93853073884</v>
      </c>
      <c r="AE163" s="37" t="n">
        <f aca="false">AD167</f>
        <v>1603.86651068044</v>
      </c>
      <c r="AF163" s="37" t="n">
        <f aca="false">AE167</f>
        <v>1836.73939392121</v>
      </c>
      <c r="AG163" s="37" t="n">
        <f aca="false">AF167</f>
        <v>2070.56103011417</v>
      </c>
      <c r="AH163" s="37" t="n">
        <f aca="false">AG167</f>
        <v>2305.33528459626</v>
      </c>
      <c r="AI163" s="37" t="n">
        <f aca="false">AH167</f>
        <v>2541.06603845233</v>
      </c>
      <c r="AJ163" s="37" t="n">
        <f aca="false">AI167</f>
        <v>2777.75718857923</v>
      </c>
      <c r="AK163" s="37" t="n">
        <f aca="false">AJ167</f>
        <v>3015.41264775023</v>
      </c>
      <c r="AL163" s="37" t="n">
        <f aca="false">AK167</f>
        <v>3254.03634467976</v>
      </c>
      <c r="AM163" s="37" t="n">
        <f aca="false">AL167</f>
        <v>3493.63222408829</v>
      </c>
      <c r="AN163" s="37" t="n">
        <f aca="false">AM167</f>
        <v>3734.20424676758</v>
      </c>
      <c r="AO163" s="37" t="n">
        <f aca="false">AN167</f>
        <v>3975.75638964615</v>
      </c>
      <c r="AP163" s="37" t="n">
        <f aca="false">AO167</f>
        <v>4218.29264585501</v>
      </c>
      <c r="AQ163" s="37" t="n">
        <f aca="false">AP167</f>
        <v>4461.81702479369</v>
      </c>
      <c r="AR163" s="37" t="n">
        <f aca="false">AQ167</f>
        <v>4706.3335521965</v>
      </c>
      <c r="AS163" s="37" t="n">
        <f aca="false">AR167</f>
        <v>4951.8462701991</v>
      </c>
      <c r="AT163" s="37" t="n">
        <f aca="false">AS167</f>
        <v>5198.3592374053</v>
      </c>
      <c r="AU163" s="37" t="n">
        <f aca="false">AT167</f>
        <v>5445.87652895418</v>
      </c>
      <c r="AV163" s="37" t="n">
        <f aca="false">AU167</f>
        <v>5694.40223658742</v>
      </c>
      <c r="AW163" s="37" t="n">
        <f aca="false">AV167</f>
        <v>5943.94046871697</v>
      </c>
      <c r="AX163" s="37" t="n">
        <f aca="false">AW167</f>
        <v>6194.49535049297</v>
      </c>
      <c r="AY163" s="37" t="n">
        <f aca="false">AX167</f>
        <v>6446.07102387193</v>
      </c>
      <c r="AZ163" s="37" t="n">
        <f aca="false">AY167</f>
        <v>6698.67164768519</v>
      </c>
      <c r="BA163" s="37" t="n">
        <f aca="false">AZ167</f>
        <v>6952.30139770768</v>
      </c>
      <c r="BB163" s="37" t="n">
        <f aca="false">BA167</f>
        <v>7206.96446672699</v>
      </c>
      <c r="BC163" s="37" t="n">
        <f aca="false">BB167</f>
        <v>7462.6650646126</v>
      </c>
      <c r="BD163" s="37" t="n">
        <f aca="false">BC167</f>
        <v>7719.40741838556</v>
      </c>
      <c r="BE163" s="37" t="n">
        <f aca="false">BD167</f>
        <v>7977.19577228829</v>
      </c>
      <c r="BF163" s="37" t="n">
        <f aca="false">BE167</f>
        <v>8236.0343878548</v>
      </c>
      <c r="BG163" s="37" t="n">
        <f aca="false">BF167</f>
        <v>8495.92754398112</v>
      </c>
      <c r="BH163" s="37" t="n">
        <f aca="false">BG167</f>
        <v>8756.87953699602</v>
      </c>
      <c r="BI163" s="37" t="n">
        <f aca="false">BH167</f>
        <v>9018.89468073205</v>
      </c>
      <c r="BJ163" s="37" t="n">
        <f aca="false">BI167</f>
        <v>9281.97730659685</v>
      </c>
      <c r="BK163" s="37" t="n">
        <f aca="false">BJ167</f>
        <v>9546.13176364476</v>
      </c>
      <c r="BL163" s="37" t="n">
        <f aca="false">BK167</f>
        <v>9811.36241864868</v>
      </c>
      <c r="BM163" s="37" t="n">
        <f aca="false">BL167</f>
        <v>10077.6736561723</v>
      </c>
      <c r="BN163" s="37" t="n">
        <f aca="false">BM167</f>
        <v>4626.89768968359</v>
      </c>
      <c r="BO163" s="37" t="n">
        <f aca="false">BN167</f>
        <v>4647.22548930225</v>
      </c>
      <c r="BP163" s="37" t="n">
        <f aca="false">BO167</f>
        <v>4667.63610689281</v>
      </c>
      <c r="BQ163" s="37" t="n">
        <f aca="false">BP167</f>
        <v>4688.12987986593</v>
      </c>
      <c r="BR163" s="37" t="n">
        <f aca="false">BQ167</f>
        <v>4708.70714700694</v>
      </c>
      <c r="BS163" s="37" t="n">
        <f aca="false">BR167</f>
        <v>4729.36824848141</v>
      </c>
      <c r="BT163" s="37" t="n">
        <f aca="false">BS167</f>
        <v>4750.1135258408</v>
      </c>
      <c r="BU163" s="37" t="n">
        <f aca="false">BT167</f>
        <v>4770.94332202807</v>
      </c>
      <c r="BV163" s="37" t="n">
        <f aca="false">BU167</f>
        <v>4791.8579813834</v>
      </c>
      <c r="BW163" s="37" t="n">
        <f aca="false">BV167</f>
        <v>4812.85784964983</v>
      </c>
      <c r="BX163" s="37" t="n">
        <f aca="false">BW167</f>
        <v>4833.94327397902</v>
      </c>
      <c r="BY163" s="37" t="n">
        <f aca="false">BX167</f>
        <v>4855.11460293696</v>
      </c>
      <c r="BZ163" s="37" t="n">
        <f aca="false">BY167</f>
        <v>4790.18695408104</v>
      </c>
      <c r="CA163" s="37" t="n">
        <f aca="false">BZ167</f>
        <v>4486.4947819467</v>
      </c>
      <c r="CB163" s="37" t="n">
        <f aca="false">CA167</f>
        <v>4181.56533031095</v>
      </c>
      <c r="CC163" s="37" t="n">
        <f aca="false">CB167</f>
        <v>3875.39355834397</v>
      </c>
      <c r="CD163" s="37" t="n">
        <f aca="false">CC167</f>
        <v>3567.97440467892</v>
      </c>
      <c r="CE163" s="37" t="n">
        <f aca="false">CD167</f>
        <v>3259.30278732839</v>
      </c>
      <c r="CF163" s="37" t="n">
        <f aca="false">CE167</f>
        <v>2949.37360360027</v>
      </c>
      <c r="CG163" s="37" t="n">
        <f aca="false">CF167</f>
        <v>2638.18173001347</v>
      </c>
      <c r="CH163" s="37" t="n">
        <f aca="false">CG167</f>
        <v>2325.72202221322</v>
      </c>
      <c r="CI163" s="37" t="n">
        <f aca="false">CH167</f>
        <v>2011.98931488599</v>
      </c>
      <c r="CJ163" s="37" t="n">
        <f aca="false">CI167</f>
        <v>1696.97842167412</v>
      </c>
      <c r="CK163" s="37" t="n">
        <f aca="false">CJ167</f>
        <v>1380.68413509012</v>
      </c>
      <c r="CL163" s="37" t="n">
        <f aca="false">CK167</f>
        <v>1055.00320935323</v>
      </c>
      <c r="CM163" s="37" t="n">
        <f aca="false">CL167</f>
        <v>727.99541921092</v>
      </c>
      <c r="CN163" s="37" t="n">
        <f aca="false">CM167</f>
        <v>399.655358853352</v>
      </c>
      <c r="CO163" s="37" t="n">
        <f aca="false">CN167</f>
        <v>69.977600446757</v>
      </c>
      <c r="CP163" s="37" t="n">
        <f aca="false">CO167</f>
        <v>0</v>
      </c>
      <c r="CQ163" s="37" t="n">
        <f aca="false">CP167</f>
        <v>0</v>
      </c>
      <c r="CR163" s="37" t="n">
        <f aca="false">CQ167</f>
        <v>0</v>
      </c>
      <c r="CS163" s="37" t="n">
        <f aca="false">CR167</f>
        <v>0</v>
      </c>
      <c r="CT163" s="37" t="n">
        <f aca="false">CS167</f>
        <v>0</v>
      </c>
      <c r="CU163" s="37" t="n">
        <f aca="false">CT167</f>
        <v>0</v>
      </c>
      <c r="CV163" s="37" t="n">
        <f aca="false">CU167</f>
        <v>0</v>
      </c>
      <c r="CW163" s="37" t="n">
        <f aca="false">CV167</f>
        <v>0</v>
      </c>
      <c r="CX163" s="37" t="n">
        <f aca="false">CW167</f>
        <v>0</v>
      </c>
      <c r="CY163" s="37" t="n">
        <f aca="false">CX167</f>
        <v>0</v>
      </c>
      <c r="CZ163" s="37" t="n">
        <f aca="false">CY167</f>
        <v>0</v>
      </c>
      <c r="DA163" s="37" t="n">
        <f aca="false">CZ167</f>
        <v>0</v>
      </c>
      <c r="DB163" s="37" t="n">
        <f aca="false">DA167</f>
        <v>0</v>
      </c>
      <c r="DC163" s="37" t="n">
        <f aca="false">DB167</f>
        <v>0</v>
      </c>
      <c r="DD163" s="37" t="n">
        <f aca="false">DC167</f>
        <v>0</v>
      </c>
      <c r="DE163" s="37" t="n">
        <f aca="false">DD167</f>
        <v>0</v>
      </c>
      <c r="DF163" s="37" t="n">
        <f aca="false">DE167</f>
        <v>0</v>
      </c>
      <c r="DG163" s="37" t="n">
        <f aca="false">DF167</f>
        <v>0</v>
      </c>
      <c r="DH163" s="37" t="n">
        <f aca="false">DG167</f>
        <v>0</v>
      </c>
      <c r="DI163" s="37" t="n">
        <f aca="false">DH167</f>
        <v>0</v>
      </c>
      <c r="DJ163" s="37" t="n">
        <f aca="false">DI167</f>
        <v>0</v>
      </c>
      <c r="DK163" s="37" t="n">
        <f aca="false">DJ167</f>
        <v>0</v>
      </c>
      <c r="DL163" s="37" t="n">
        <f aca="false">DK167</f>
        <v>0</v>
      </c>
      <c r="DM163" s="37" t="n">
        <f aca="false">DL167</f>
        <v>0</v>
      </c>
      <c r="DN163" s="37" t="n">
        <f aca="false">DM167</f>
        <v>0</v>
      </c>
      <c r="DO163" s="37" t="n">
        <f aca="false">DN167</f>
        <v>0</v>
      </c>
      <c r="DP163" s="37" t="n">
        <f aca="false">DO167</f>
        <v>0</v>
      </c>
      <c r="DQ163" s="37" t="n">
        <f aca="false">DP167</f>
        <v>0</v>
      </c>
      <c r="DR163" s="37" t="n">
        <f aca="false">DQ167</f>
        <v>0</v>
      </c>
      <c r="DS163" s="37" t="n">
        <f aca="false">DR167</f>
        <v>0</v>
      </c>
      <c r="DT163" s="37" t="n">
        <f aca="false">DS167</f>
        <v>0</v>
      </c>
      <c r="DU163" s="37" t="n">
        <f aca="false">DT167</f>
        <v>226.338532543813</v>
      </c>
      <c r="DV163" s="37" t="n">
        <f aca="false">DU167</f>
        <v>453.599196286219</v>
      </c>
      <c r="DW163" s="37" t="n">
        <f aca="false">DV167</f>
        <v>681.785748103866</v>
      </c>
      <c r="DX163" s="37" t="n">
        <f aca="false">DW167</f>
        <v>910.901960179382</v>
      </c>
      <c r="DY163" s="37" t="n">
        <f aca="false">DX167</f>
        <v>1140.95162006373</v>
      </c>
      <c r="DZ163" s="37" t="n">
        <f aca="false">DY167</f>
        <v>1371.93853073884</v>
      </c>
      <c r="EA163" s="37" t="n">
        <f aca="false">DZ167</f>
        <v>1603.86651068044</v>
      </c>
      <c r="EB163" s="37" t="n">
        <f aca="false">EA167</f>
        <v>1836.73939392121</v>
      </c>
      <c r="EC163" s="37" t="n">
        <f aca="false">EB167</f>
        <v>2070.56103011417</v>
      </c>
      <c r="ED163" s="37" t="n">
        <f aca="false">EC167</f>
        <v>2305.33528459626</v>
      </c>
      <c r="EE163" s="37" t="n">
        <f aca="false">ED167</f>
        <v>2541.06603845233</v>
      </c>
      <c r="EF163" s="37" t="n">
        <f aca="false">EE167</f>
        <v>2777.75718857923</v>
      </c>
    </row>
    <row r="164" customFormat="false" ht="15" hidden="false" customHeight="false" outlineLevel="0" collapsed="false">
      <c r="A164" s="36" t="s">
        <v>693</v>
      </c>
      <c r="B164" s="278" t="s">
        <v>21</v>
      </c>
      <c r="C164" s="279" t="n">
        <f aca="false">SUM(E164:EF164)</f>
        <v>26880.4525754632</v>
      </c>
      <c r="E164" s="37" t="n">
        <f aca="false">(E162+E163)*②시니어_가정!$E$476</f>
        <v>0</v>
      </c>
      <c r="F164" s="37" t="n">
        <f aca="false">(F162+F163)*②시니어_가정!$E$476</f>
        <v>0</v>
      </c>
      <c r="G164" s="37" t="n">
        <f aca="false">(G162+G163)*②시니어_가정!$E$476</f>
        <v>0</v>
      </c>
      <c r="H164" s="37" t="n">
        <f aca="false">(H162+H163)*②시니어_가정!$E$476</f>
        <v>0</v>
      </c>
      <c r="I164" s="37" t="n">
        <f aca="false">(I162+I163)*②시니어_가정!$E$476</f>
        <v>0</v>
      </c>
      <c r="J164" s="37" t="n">
        <f aca="false">(J162+J163)*②시니어_가정!$E$476</f>
        <v>0</v>
      </c>
      <c r="K164" s="37" t="n">
        <f aca="false">(K162+K163)*②시니어_가정!$E$476</f>
        <v>0</v>
      </c>
      <c r="L164" s="37" t="n">
        <f aca="false">(L162+L163)*②시니어_가정!$E$476</f>
        <v>0</v>
      </c>
      <c r="M164" s="37" t="n">
        <f aca="false">(M162+M163)*②시니어_가정!$E$476</f>
        <v>0</v>
      </c>
      <c r="N164" s="37" t="n">
        <f aca="false">(N162+N163)*②시니어_가정!$E$476</f>
        <v>0</v>
      </c>
      <c r="O164" s="37" t="n">
        <f aca="false">(O162+O163)*②시니어_가정!$E$476</f>
        <v>0</v>
      </c>
      <c r="P164" s="37" t="n">
        <f aca="false">(P162+P163)*②시니어_가정!$E$476</f>
        <v>0</v>
      </c>
      <c r="Q164" s="37" t="n">
        <f aca="false">(Q162+Q163)*②시니어_가정!$E$476</f>
        <v>0</v>
      </c>
      <c r="R164" s="37" t="n">
        <f aca="false">(R162+R163)*②시니어_가정!$E$476</f>
        <v>0</v>
      </c>
      <c r="S164" s="37" t="n">
        <f aca="false">(S162+S163)*②시니어_가정!$E$476</f>
        <v>0</v>
      </c>
      <c r="T164" s="37" t="n">
        <f aca="false">(T162+T163)*②시니어_가정!$E$476</f>
        <v>0</v>
      </c>
      <c r="U164" s="37" t="n">
        <f aca="false">(U162+U163)*②시니어_가정!$E$476</f>
        <v>0</v>
      </c>
      <c r="V164" s="37" t="n">
        <f aca="false">(V162+V163)*②시니어_가정!$E$476</f>
        <v>0</v>
      </c>
      <c r="W164" s="37" t="n">
        <f aca="false">(W162+W163)*②시니어_가정!$E$476</f>
        <v>0</v>
      </c>
      <c r="X164" s="37" t="n">
        <f aca="false">(X162+X163)*②시니어_가정!$E$476</f>
        <v>226.338532543813</v>
      </c>
      <c r="Y164" s="37" t="n">
        <f aca="false">(Y162+Y163)*②시니어_가정!$E$476</f>
        <v>227.260663742406</v>
      </c>
      <c r="Z164" s="37" t="n">
        <f aca="false">(Z162+Z163)*②시니어_가정!$E$476</f>
        <v>228.186551817647</v>
      </c>
      <c r="AA164" s="37" t="n">
        <f aca="false">(AA162+AA163)*②시니어_가정!$E$476</f>
        <v>229.116212075516</v>
      </c>
      <c r="AB164" s="37" t="n">
        <f aca="false">(AB162+AB163)*②시니어_가정!$E$476</f>
        <v>230.049659884352</v>
      </c>
      <c r="AC164" s="37" t="n">
        <f aca="false">(AC162+AC163)*②시니어_가정!$E$476</f>
        <v>230.986910675107</v>
      </c>
      <c r="AD164" s="37" t="n">
        <f aca="false">(AD162+AD163)*②시니어_가정!$E$476</f>
        <v>231.9279799416</v>
      </c>
      <c r="AE164" s="37" t="n">
        <f aca="false">(AE162+AE163)*②시니어_가정!$E$476</f>
        <v>232.872883240774</v>
      </c>
      <c r="AF164" s="37" t="n">
        <f aca="false">(AF162+AF163)*②시니어_가정!$E$476</f>
        <v>233.821636192952</v>
      </c>
      <c r="AG164" s="37" t="n">
        <f aca="false">(AG162+AG163)*②시니어_가정!$E$476</f>
        <v>234.774254482097</v>
      </c>
      <c r="AH164" s="37" t="n">
        <f aca="false">(AH162+AH163)*②시니어_가정!$E$476</f>
        <v>235.730753856071</v>
      </c>
      <c r="AI164" s="37" t="n">
        <f aca="false">(AI162+AI163)*②시니어_가정!$E$476</f>
        <v>236.691150126893</v>
      </c>
      <c r="AJ164" s="37" t="n">
        <f aca="false">(AJ162+AJ163)*②시니어_가정!$E$476</f>
        <v>237.655459171004</v>
      </c>
      <c r="AK164" s="37" t="n">
        <f aca="false">(AK162+AK163)*②시니어_가정!$E$476</f>
        <v>238.623696929527</v>
      </c>
      <c r="AL164" s="37" t="n">
        <f aca="false">(AL162+AL163)*②시니어_가정!$E$476</f>
        <v>239.595879408529</v>
      </c>
      <c r="AM164" s="37" t="n">
        <f aca="false">(AM162+AM163)*②시니어_가정!$E$476</f>
        <v>240.572022679292</v>
      </c>
      <c r="AN164" s="37" t="n">
        <f aca="false">(AN162+AN163)*②시니어_가정!$E$476</f>
        <v>241.55214287857</v>
      </c>
      <c r="AO164" s="37" t="n">
        <f aca="false">(AO162+AO163)*②시니어_가정!$E$476</f>
        <v>242.536256208863</v>
      </c>
      <c r="AP164" s="37" t="n">
        <f aca="false">(AP162+AP163)*②시니어_가정!$E$476</f>
        <v>243.52437893868</v>
      </c>
      <c r="AQ164" s="37" t="n">
        <f aca="false">(AQ162+AQ163)*②시니어_가정!$E$476</f>
        <v>244.516527402812</v>
      </c>
      <c r="AR164" s="37" t="n">
        <f aca="false">(AR162+AR163)*②시니어_가정!$E$476</f>
        <v>245.512718002599</v>
      </c>
      <c r="AS164" s="37" t="n">
        <f aca="false">(AS162+AS163)*②시니어_가정!$E$476</f>
        <v>246.512967206202</v>
      </c>
      <c r="AT164" s="37" t="n">
        <f aca="false">(AT162+AT163)*②시니어_가정!$E$476</f>
        <v>247.517291548874</v>
      </c>
      <c r="AU164" s="37" t="n">
        <f aca="false">(AU162+AU163)*②시니어_가정!$E$476</f>
        <v>248.525707633238</v>
      </c>
      <c r="AV164" s="37" t="n">
        <f aca="false">(AV162+AV163)*②시니어_가정!$E$476</f>
        <v>249.538232129554</v>
      </c>
      <c r="AW164" s="37" t="n">
        <f aca="false">(AW162+AW163)*②시니어_가정!$E$476</f>
        <v>250.554881776003</v>
      </c>
      <c r="AX164" s="37" t="n">
        <f aca="false">(AX162+AX163)*②시니어_가정!$E$476</f>
        <v>251.575673378956</v>
      </c>
      <c r="AY164" s="37" t="n">
        <f aca="false">(AY162+AY163)*②시니어_가정!$E$476</f>
        <v>252.600623813256</v>
      </c>
      <c r="AZ164" s="37" t="n">
        <f aca="false">(AZ162+AZ163)*②시니어_가정!$E$476</f>
        <v>253.629750022498</v>
      </c>
      <c r="BA164" s="37" t="n">
        <f aca="false">(BA162+BA163)*②시니어_가정!$E$476</f>
        <v>254.663069019306</v>
      </c>
      <c r="BB164" s="37" t="n">
        <f aca="false">(BB162+BB163)*②시니어_가정!$E$476</f>
        <v>255.700597885614</v>
      </c>
      <c r="BC164" s="37" t="n">
        <f aca="false">(BC162+BC163)*②시니어_가정!$E$476</f>
        <v>256.742353772953</v>
      </c>
      <c r="BD164" s="37" t="n">
        <f aca="false">(BD162+BD163)*②시니어_가정!$E$476</f>
        <v>257.788353902729</v>
      </c>
      <c r="BE164" s="37" t="n">
        <f aca="false">(BE162+BE163)*②시니어_가정!$E$476</f>
        <v>258.838615566512</v>
      </c>
      <c r="BF164" s="37" t="n">
        <f aca="false">(BF162+BF163)*②시니어_가정!$E$476</f>
        <v>259.893156126318</v>
      </c>
      <c r="BG164" s="37" t="n">
        <f aca="false">(BG162+BG163)*②시니어_가정!$E$476</f>
        <v>260.9519930149</v>
      </c>
      <c r="BH164" s="37" t="n">
        <f aca="false">(BH162+BH163)*②시니어_가정!$E$476</f>
        <v>262.015143736032</v>
      </c>
      <c r="BI164" s="37" t="n">
        <f aca="false">(BI162+BI163)*②시니어_가정!$E$476</f>
        <v>263.082625864803</v>
      </c>
      <c r="BJ164" s="37" t="n">
        <f aca="false">(BJ162+BJ163)*②시니어_가정!$E$476</f>
        <v>264.154457047904</v>
      </c>
      <c r="BK164" s="37" t="n">
        <f aca="false">(BK162+BK163)*②시니어_가정!$E$476</f>
        <v>265.230655003919</v>
      </c>
      <c r="BL164" s="37" t="n">
        <f aca="false">(BL162+BL163)*②시니어_가정!$E$476</f>
        <v>266.311237523623</v>
      </c>
      <c r="BM164" s="37" t="n">
        <f aca="false">(BM162+BM163)*②시니어_가정!$E$476</f>
        <v>267.396222470271</v>
      </c>
      <c r="BN164" s="37" t="n">
        <f aca="false">(BN162+BN163)*②시니어_가정!$E$476</f>
        <v>245.189086465861</v>
      </c>
      <c r="BO164" s="37" t="n">
        <f aca="false">(BO162+BO163)*②시니어_가정!$E$476</f>
        <v>245.271904437756</v>
      </c>
      <c r="BP164" s="37" t="n">
        <f aca="false">(BP162+BP163)*②시니어_가정!$E$476</f>
        <v>245.355059820321</v>
      </c>
      <c r="BQ164" s="37" t="n">
        <f aca="false">(BQ162+BQ163)*②시니어_가정!$E$476</f>
        <v>245.438553988208</v>
      </c>
      <c r="BR164" s="37" t="n">
        <f aca="false">(BR162+BR163)*②시니어_가정!$E$476</f>
        <v>245.522388321669</v>
      </c>
      <c r="BS164" s="37" t="n">
        <f aca="false">(BS162+BS163)*②시니어_가정!$E$476</f>
        <v>245.606564206583</v>
      </c>
      <c r="BT164" s="37" t="n">
        <f aca="false">(BT162+BT163)*②시니어_가정!$E$476</f>
        <v>245.691083034471</v>
      </c>
      <c r="BU164" s="37" t="n">
        <f aca="false">(BU162+BU163)*②시니어_가정!$E$476</f>
        <v>245.775946202526</v>
      </c>
      <c r="BV164" s="37" t="n">
        <f aca="false">(BV162+BV163)*②시니어_가정!$E$476</f>
        <v>245.861155113633</v>
      </c>
      <c r="BW164" s="37" t="n">
        <f aca="false">(BW162+BW163)*②시니어_가정!$E$476</f>
        <v>245.94671117639</v>
      </c>
      <c r="BX164" s="37" t="n">
        <f aca="false">(BX162+BX163)*②시니어_가정!$E$476</f>
        <v>246.032615805138</v>
      </c>
      <c r="BY164" s="37" t="n">
        <f aca="false">(BY162+BY163)*②시니어_가정!$E$476</f>
        <v>246.118870419977</v>
      </c>
      <c r="BZ164" s="37" t="n">
        <f aca="false">(BZ162+BZ163)*②시니어_가정!$E$476</f>
        <v>245.854347141557</v>
      </c>
      <c r="CA164" s="37" t="n">
        <f aca="false">(CA162+CA163)*②시니어_가정!$E$476</f>
        <v>244.617067640157</v>
      </c>
      <c r="CB164" s="37" t="n">
        <f aca="false">(CB162+CB163)*②시니어_가정!$E$476</f>
        <v>243.374747308912</v>
      </c>
      <c r="CC164" s="37" t="n">
        <f aca="false">(CC162+CC163)*②시니어_가정!$E$476</f>
        <v>242.12736561086</v>
      </c>
      <c r="CD164" s="37" t="n">
        <f aca="false">(CD162+CD163)*②시니어_가정!$E$476</f>
        <v>240.874901925364</v>
      </c>
      <c r="CE164" s="37" t="n">
        <f aca="false">(CE162+CE163)*②시니어_가정!$E$476</f>
        <v>239.617335547779</v>
      </c>
      <c r="CF164" s="37" t="n">
        <f aca="false">(CF162+CF163)*②시니어_가정!$E$476</f>
        <v>238.354645689106</v>
      </c>
      <c r="CG164" s="37" t="n">
        <f aca="false">(CG162+CG163)*②시니어_가정!$E$476</f>
        <v>237.086811475648</v>
      </c>
      <c r="CH164" s="37" t="n">
        <f aca="false">(CH162+CH163)*②시니어_가정!$E$476</f>
        <v>235.813811948667</v>
      </c>
      <c r="CI164" s="37" t="n">
        <f aca="false">(CI162+CI163)*②시니어_가정!$E$476</f>
        <v>234.535626064037</v>
      </c>
      <c r="CJ164" s="37" t="n">
        <f aca="false">(CJ162+CJ163)*②시니어_가정!$E$476</f>
        <v>233.252232691894</v>
      </c>
      <c r="CK164" s="37" t="n">
        <f aca="false">(CK162+CK163)*②시니어_가정!$E$476</f>
        <v>231.96361061629</v>
      </c>
      <c r="CL164" s="37" t="n">
        <f aca="false">(CL162+CL163)*②시니어_가정!$E$476</f>
        <v>230.636746210865</v>
      </c>
      <c r="CM164" s="37" t="n">
        <f aca="false">(CM162+CM163)*②시니어_가정!$E$476</f>
        <v>229.304475995608</v>
      </c>
      <c r="CN164" s="37" t="n">
        <f aca="false">(CN162+CN163)*②시니어_가정!$E$476</f>
        <v>227.96677794658</v>
      </c>
      <c r="CO164" s="37" t="n">
        <f aca="false">(CO162+CO163)*②시니어_가정!$E$476</f>
        <v>226.623629950116</v>
      </c>
      <c r="CP164" s="37" t="n">
        <f aca="false">(CP162+CP163)*②시니어_가정!$E$476</f>
        <v>226.338532543813</v>
      </c>
      <c r="CQ164" s="37" t="n">
        <f aca="false">(CQ162+CQ163)*②시니어_가정!$E$476</f>
        <v>226.338532543813</v>
      </c>
      <c r="CR164" s="37" t="n">
        <f aca="false">(CR162+CR163)*②시니어_가정!$E$476</f>
        <v>226.338532543813</v>
      </c>
      <c r="CS164" s="37" t="n">
        <f aca="false">(CS162+CS163)*②시니어_가정!$E$476</f>
        <v>226.338532543813</v>
      </c>
      <c r="CT164" s="37" t="n">
        <f aca="false">(CT162+CT163)*②시니어_가정!$E$476</f>
        <v>226.338532543813</v>
      </c>
      <c r="CU164" s="37" t="n">
        <f aca="false">(CU162+CU163)*②시니어_가정!$E$476</f>
        <v>226.338532543813</v>
      </c>
      <c r="CV164" s="37" t="n">
        <f aca="false">(CV162+CV163)*②시니어_가정!$E$476</f>
        <v>226.338532543813</v>
      </c>
      <c r="CW164" s="37" t="n">
        <f aca="false">(CW162+CW163)*②시니어_가정!$E$476</f>
        <v>226.338532543813</v>
      </c>
      <c r="CX164" s="37" t="n">
        <f aca="false">(CX162+CX163)*②시니어_가정!$E$476</f>
        <v>226.338532543813</v>
      </c>
      <c r="CY164" s="37" t="n">
        <f aca="false">(CY162+CY163)*②시니어_가정!$E$476</f>
        <v>226.338532543813</v>
      </c>
      <c r="CZ164" s="37" t="n">
        <f aca="false">(CZ162+CZ163)*②시니어_가정!$E$476</f>
        <v>226.338532543813</v>
      </c>
      <c r="DA164" s="37" t="n">
        <f aca="false">(DA162+DA163)*②시니어_가정!$E$476</f>
        <v>226.338532543813</v>
      </c>
      <c r="DB164" s="37" t="n">
        <f aca="false">(DB162+DB163)*②시니어_가정!$E$476</f>
        <v>226.338532543813</v>
      </c>
      <c r="DC164" s="37" t="n">
        <f aca="false">(DC162+DC163)*②시니어_가정!$E$476</f>
        <v>226.338532543813</v>
      </c>
      <c r="DD164" s="37" t="n">
        <f aca="false">(DD162+DD163)*②시니어_가정!$E$476</f>
        <v>226.338532543813</v>
      </c>
      <c r="DE164" s="37" t="n">
        <f aca="false">(DE162+DE163)*②시니어_가정!$E$476</f>
        <v>226.338532543813</v>
      </c>
      <c r="DF164" s="37" t="n">
        <f aca="false">(DF162+DF163)*②시니어_가정!$E$476</f>
        <v>226.338532543813</v>
      </c>
      <c r="DG164" s="37" t="n">
        <f aca="false">(DG162+DG163)*②시니어_가정!$E$476</f>
        <v>226.338532543813</v>
      </c>
      <c r="DH164" s="37" t="n">
        <f aca="false">(DH162+DH163)*②시니어_가정!$E$476</f>
        <v>226.338532543813</v>
      </c>
      <c r="DI164" s="37" t="n">
        <f aca="false">(DI162+DI163)*②시니어_가정!$E$476</f>
        <v>226.338532543813</v>
      </c>
      <c r="DJ164" s="37" t="n">
        <f aca="false">(DJ162+DJ163)*②시니어_가정!$E$476</f>
        <v>226.338532543813</v>
      </c>
      <c r="DK164" s="37" t="n">
        <f aca="false">(DK162+DK163)*②시니어_가정!$E$476</f>
        <v>226.338532543813</v>
      </c>
      <c r="DL164" s="37" t="n">
        <f aca="false">(DL162+DL163)*②시니어_가정!$E$476</f>
        <v>226.338532543813</v>
      </c>
      <c r="DM164" s="37" t="n">
        <f aca="false">(DM162+DM163)*②시니어_가정!$E$476</f>
        <v>226.338532543813</v>
      </c>
      <c r="DN164" s="37" t="n">
        <f aca="false">(DN162+DN163)*②시니어_가정!$E$476</f>
        <v>226.338532543813</v>
      </c>
      <c r="DO164" s="37" t="n">
        <f aca="false">(DO162+DO163)*②시니어_가정!$E$476</f>
        <v>226.338532543813</v>
      </c>
      <c r="DP164" s="37" t="n">
        <f aca="false">(DP162+DP163)*②시니어_가정!$E$476</f>
        <v>226.338532543813</v>
      </c>
      <c r="DQ164" s="37" t="n">
        <f aca="false">(DQ162+DQ163)*②시니어_가정!$E$476</f>
        <v>226.338532543813</v>
      </c>
      <c r="DR164" s="37" t="n">
        <f aca="false">(DR162+DR163)*②시니어_가정!$E$476</f>
        <v>226.338532543813</v>
      </c>
      <c r="DS164" s="37" t="n">
        <f aca="false">(DS162+DS163)*②시니어_가정!$E$476</f>
        <v>226.338532543813</v>
      </c>
      <c r="DT164" s="37" t="n">
        <f aca="false">(DT162+DT163)*②시니어_가정!$E$476</f>
        <v>226.338532543813</v>
      </c>
      <c r="DU164" s="37" t="n">
        <f aca="false">(DU162+DU163)*②시니어_가정!$E$476</f>
        <v>227.260663742406</v>
      </c>
      <c r="DV164" s="37" t="n">
        <f aca="false">(DV162+DV163)*②시니어_가정!$E$476</f>
        <v>228.186551817647</v>
      </c>
      <c r="DW164" s="37" t="n">
        <f aca="false">(DW162+DW163)*②시니어_가정!$E$476</f>
        <v>229.116212075516</v>
      </c>
      <c r="DX164" s="37" t="n">
        <f aca="false">(DX162+DX163)*②시니어_가정!$E$476</f>
        <v>230.049659884352</v>
      </c>
      <c r="DY164" s="37" t="n">
        <f aca="false">(DY162+DY163)*②시니어_가정!$E$476</f>
        <v>230.986910675107</v>
      </c>
      <c r="DZ164" s="37" t="n">
        <f aca="false">(DZ162+DZ163)*②시니어_가정!$E$476</f>
        <v>231.9279799416</v>
      </c>
      <c r="EA164" s="37" t="n">
        <f aca="false">(EA162+EA163)*②시니어_가정!$E$476</f>
        <v>232.872883240774</v>
      </c>
      <c r="EB164" s="37" t="n">
        <f aca="false">(EB162+EB163)*②시니어_가정!$E$476</f>
        <v>233.821636192952</v>
      </c>
      <c r="EC164" s="37" t="n">
        <f aca="false">(EC162+EC163)*②시니어_가정!$E$476</f>
        <v>234.774254482097</v>
      </c>
      <c r="ED164" s="37" t="n">
        <f aca="false">(ED162+ED163)*②시니어_가정!$E$476</f>
        <v>235.730753856071</v>
      </c>
      <c r="EE164" s="37" t="n">
        <f aca="false">(EE162+EE163)*②시니어_가정!$E$476</f>
        <v>236.691150126893</v>
      </c>
      <c r="EF164" s="37" t="n">
        <f aca="false">(EF162+EF163)*②시니어_가정!$E$476</f>
        <v>237.655459171004</v>
      </c>
    </row>
    <row r="165" customFormat="false" ht="15" hidden="false" customHeight="false" outlineLevel="0" collapsed="false">
      <c r="A165" s="36" t="s">
        <v>694</v>
      </c>
      <c r="B165" s="278" t="s">
        <v>21</v>
      </c>
      <c r="C165" s="279" t="n">
        <f aca="false">SUM(E165:EF165)</f>
        <v>23865.0399277129</v>
      </c>
      <c r="E165" s="37" t="n">
        <f aca="false">MIN(E158,E163+E164)</f>
        <v>0</v>
      </c>
      <c r="F165" s="37" t="n">
        <f aca="false">MIN(F158,F163+F164)</f>
        <v>0</v>
      </c>
      <c r="G165" s="37" t="n">
        <f aca="false">MIN(G158,G163+G164)</f>
        <v>0</v>
      </c>
      <c r="H165" s="37" t="n">
        <f aca="false">MIN(H158,H163+H164)</f>
        <v>0</v>
      </c>
      <c r="I165" s="37" t="n">
        <f aca="false">MIN(I158,I163+I164)</f>
        <v>0</v>
      </c>
      <c r="J165" s="37" t="n">
        <f aca="false">MIN(J158,J163+J164)</f>
        <v>0</v>
      </c>
      <c r="K165" s="37" t="n">
        <f aca="false">MIN(K158,K163+K164)</f>
        <v>0</v>
      </c>
      <c r="L165" s="37" t="n">
        <f aca="false">MIN(L158,L163+L164)</f>
        <v>0</v>
      </c>
      <c r="M165" s="37" t="n">
        <f aca="false">MIN(M158,M163+M164)</f>
        <v>0</v>
      </c>
      <c r="N165" s="37" t="n">
        <f aca="false">MIN(N158,N163+N164)</f>
        <v>0</v>
      </c>
      <c r="O165" s="37" t="n">
        <f aca="false">MIN(O158,O163+O164)</f>
        <v>0</v>
      </c>
      <c r="P165" s="37" t="n">
        <f aca="false">MIN(P158,P163+P164)</f>
        <v>0</v>
      </c>
      <c r="Q165" s="37" t="n">
        <f aca="false">MIN(Q158,Q163+Q164)</f>
        <v>0</v>
      </c>
      <c r="R165" s="37" t="n">
        <f aca="false">MIN(R158,R163+R164)</f>
        <v>0</v>
      </c>
      <c r="S165" s="37" t="n">
        <f aca="false">MIN(S158,S163+S164)</f>
        <v>0</v>
      </c>
      <c r="T165" s="37" t="n">
        <f aca="false">MIN(T158,T163+T164)</f>
        <v>0</v>
      </c>
      <c r="U165" s="37" t="n">
        <f aca="false">MIN(U158,U163+U164)</f>
        <v>0</v>
      </c>
      <c r="V165" s="37" t="n">
        <f aca="false">MIN(V158,V163+V164)</f>
        <v>0</v>
      </c>
      <c r="W165" s="37" t="n">
        <f aca="false">MIN(W158,W163+W164)</f>
        <v>0</v>
      </c>
      <c r="X165" s="37" t="n">
        <f aca="false">MIN(X158,X163+X164)</f>
        <v>0</v>
      </c>
      <c r="Y165" s="37" t="n">
        <f aca="false">MIN(Y158,Y163+Y164)</f>
        <v>0</v>
      </c>
      <c r="Z165" s="37" t="n">
        <f aca="false">MIN(Z158,Z163+Z164)</f>
        <v>0</v>
      </c>
      <c r="AA165" s="37" t="n">
        <f aca="false">MIN(AA158,AA163+AA164)</f>
        <v>0</v>
      </c>
      <c r="AB165" s="37" t="n">
        <f aca="false">MIN(AB158,AB163+AB164)</f>
        <v>0</v>
      </c>
      <c r="AC165" s="37" t="n">
        <f aca="false">MIN(AC158,AC163+AC164)</f>
        <v>0</v>
      </c>
      <c r="AD165" s="37" t="n">
        <f aca="false">MIN(AD158,AD163+AD164)</f>
        <v>0</v>
      </c>
      <c r="AE165" s="37" t="n">
        <f aca="false">MIN(AE158,AE163+AE164)</f>
        <v>0</v>
      </c>
      <c r="AF165" s="37" t="n">
        <f aca="false">MIN(AF158,AF163+AF164)</f>
        <v>0</v>
      </c>
      <c r="AG165" s="37" t="n">
        <f aca="false">MIN(AG158,AG163+AG164)</f>
        <v>0</v>
      </c>
      <c r="AH165" s="37" t="n">
        <f aca="false">MIN(AH158,AH163+AH164)</f>
        <v>0</v>
      </c>
      <c r="AI165" s="37" t="n">
        <f aca="false">MIN(AI158,AI163+AI164)</f>
        <v>0</v>
      </c>
      <c r="AJ165" s="37" t="n">
        <f aca="false">MIN(AJ158,AJ163+AJ164)</f>
        <v>0</v>
      </c>
      <c r="AK165" s="37" t="n">
        <f aca="false">MIN(AK158,AK163+AK164)</f>
        <v>0</v>
      </c>
      <c r="AL165" s="37" t="n">
        <f aca="false">MIN(AL158,AL163+AL164)</f>
        <v>0</v>
      </c>
      <c r="AM165" s="37" t="n">
        <f aca="false">MIN(AM158,AM163+AM164)</f>
        <v>0</v>
      </c>
      <c r="AN165" s="37" t="n">
        <f aca="false">MIN(AN158,AN163+AN164)</f>
        <v>0</v>
      </c>
      <c r="AO165" s="37" t="n">
        <f aca="false">MIN(AO158,AO163+AO164)</f>
        <v>0</v>
      </c>
      <c r="AP165" s="37" t="n">
        <f aca="false">MIN(AP158,AP163+AP164)</f>
        <v>0</v>
      </c>
      <c r="AQ165" s="37" t="n">
        <f aca="false">MIN(AQ158,AQ163+AQ164)</f>
        <v>0</v>
      </c>
      <c r="AR165" s="37" t="n">
        <f aca="false">MIN(AR158,AR163+AR164)</f>
        <v>0</v>
      </c>
      <c r="AS165" s="37" t="n">
        <f aca="false">MIN(AS158,AS163+AS164)</f>
        <v>0</v>
      </c>
      <c r="AT165" s="37" t="n">
        <f aca="false">MIN(AT158,AT163+AT164)</f>
        <v>0</v>
      </c>
      <c r="AU165" s="37" t="n">
        <f aca="false">MIN(AU158,AU163+AU164)</f>
        <v>0</v>
      </c>
      <c r="AV165" s="37" t="n">
        <f aca="false">MIN(AV158,AV163+AV164)</f>
        <v>0</v>
      </c>
      <c r="AW165" s="37" t="n">
        <f aca="false">MIN(AW158,AW163+AW164)</f>
        <v>0</v>
      </c>
      <c r="AX165" s="37" t="n">
        <f aca="false">MIN(AX158,AX163+AX164)</f>
        <v>0</v>
      </c>
      <c r="AY165" s="37" t="n">
        <f aca="false">MIN(AY158,AY163+AY164)</f>
        <v>0</v>
      </c>
      <c r="AZ165" s="37" t="n">
        <f aca="false">MIN(AZ158,AZ163+AZ164)</f>
        <v>0</v>
      </c>
      <c r="BA165" s="37" t="n">
        <f aca="false">MIN(BA158,BA163+BA164)</f>
        <v>0</v>
      </c>
      <c r="BB165" s="37" t="n">
        <f aca="false">MIN(BB158,BB163+BB164)</f>
        <v>0</v>
      </c>
      <c r="BC165" s="37" t="n">
        <f aca="false">MIN(BC158,BC163+BC164)</f>
        <v>0</v>
      </c>
      <c r="BD165" s="37" t="n">
        <f aca="false">MIN(BD158,BD163+BD164)</f>
        <v>0</v>
      </c>
      <c r="BE165" s="37" t="n">
        <f aca="false">MIN(BE158,BE163+BE164)</f>
        <v>0</v>
      </c>
      <c r="BF165" s="37" t="n">
        <f aca="false">MIN(BF158,BF163+BF164)</f>
        <v>0</v>
      </c>
      <c r="BG165" s="37" t="n">
        <f aca="false">MIN(BG158,BG163+BG164)</f>
        <v>0</v>
      </c>
      <c r="BH165" s="37" t="n">
        <f aca="false">MIN(BH158,BH163+BH164)</f>
        <v>0</v>
      </c>
      <c r="BI165" s="37" t="n">
        <f aca="false">MIN(BI158,BI163+BI164)</f>
        <v>0</v>
      </c>
      <c r="BJ165" s="37" t="n">
        <f aca="false">MIN(BJ158,BJ163+BJ164)</f>
        <v>0</v>
      </c>
      <c r="BK165" s="37" t="n">
        <f aca="false">MIN(BK158,BK163+BK164)</f>
        <v>0</v>
      </c>
      <c r="BL165" s="37" t="n">
        <f aca="false">MIN(BL158,BL163+BL164)</f>
        <v>0</v>
      </c>
      <c r="BM165" s="37" t="n">
        <f aca="false">MIN(BM158,BM163+BM164)</f>
        <v>5718.17218895898</v>
      </c>
      <c r="BN165" s="37" t="n">
        <f aca="false">MIN(BN158,BN163+BN164)</f>
        <v>224.861286847199</v>
      </c>
      <c r="BO165" s="37" t="n">
        <f aca="false">MIN(BO158,BO163+BO164)</f>
        <v>224.861286847199</v>
      </c>
      <c r="BP165" s="37" t="n">
        <f aca="false">MIN(BP158,BP163+BP164)</f>
        <v>224.861286847199</v>
      </c>
      <c r="BQ165" s="37" t="n">
        <f aca="false">MIN(BQ158,BQ163+BQ164)</f>
        <v>224.861286847199</v>
      </c>
      <c r="BR165" s="37" t="n">
        <f aca="false">MIN(BR158,BR163+BR164)</f>
        <v>224.861286847199</v>
      </c>
      <c r="BS165" s="37" t="n">
        <f aca="false">MIN(BS158,BS163+BS164)</f>
        <v>224.861286847199</v>
      </c>
      <c r="BT165" s="37" t="n">
        <f aca="false">MIN(BT158,BT163+BT164)</f>
        <v>224.861286847198</v>
      </c>
      <c r="BU165" s="37" t="n">
        <f aca="false">MIN(BU158,BU163+BU164)</f>
        <v>224.861286847198</v>
      </c>
      <c r="BV165" s="37" t="n">
        <f aca="false">MIN(BV158,BV163+BV164)</f>
        <v>224.861286847198</v>
      </c>
      <c r="BW165" s="37" t="n">
        <f aca="false">MIN(BW158,BW163+BW164)</f>
        <v>224.861286847198</v>
      </c>
      <c r="BX165" s="37" t="n">
        <f aca="false">MIN(BX158,BX163+BX164)</f>
        <v>224.861286847198</v>
      </c>
      <c r="BY165" s="37" t="n">
        <f aca="false">MIN(BY158,BY163+BY164)</f>
        <v>311.0465192759</v>
      </c>
      <c r="BZ165" s="37" t="n">
        <f aca="false">MIN(BZ158,BZ163+BZ164)</f>
        <v>549.5465192759</v>
      </c>
      <c r="CA165" s="37" t="n">
        <f aca="false">MIN(CA158,CA163+CA164)</f>
        <v>549.5465192759</v>
      </c>
      <c r="CB165" s="37" t="n">
        <f aca="false">MIN(CB158,CB163+CB164)</f>
        <v>549.5465192759</v>
      </c>
      <c r="CC165" s="37" t="n">
        <f aca="false">MIN(CC158,CC163+CC164)</f>
        <v>549.5465192759</v>
      </c>
      <c r="CD165" s="37" t="n">
        <f aca="false">MIN(CD158,CD163+CD164)</f>
        <v>549.5465192759</v>
      </c>
      <c r="CE165" s="37" t="n">
        <f aca="false">MIN(CE158,CE163+CE164)</f>
        <v>549.5465192759</v>
      </c>
      <c r="CF165" s="37" t="n">
        <f aca="false">MIN(CF158,CF163+CF164)</f>
        <v>549.5465192759</v>
      </c>
      <c r="CG165" s="37" t="n">
        <f aca="false">MIN(CG158,CG163+CG164)</f>
        <v>549.5465192759</v>
      </c>
      <c r="CH165" s="37" t="n">
        <f aca="false">MIN(CH158,CH163+CH164)</f>
        <v>549.5465192759</v>
      </c>
      <c r="CI165" s="37" t="n">
        <f aca="false">MIN(CI158,CI163+CI164)</f>
        <v>549.5465192759</v>
      </c>
      <c r="CJ165" s="37" t="n">
        <f aca="false">MIN(CJ158,CJ163+CJ164)</f>
        <v>549.5465192759</v>
      </c>
      <c r="CK165" s="37" t="n">
        <f aca="false">MIN(CK158,CK163+CK164)</f>
        <v>557.644536353176</v>
      </c>
      <c r="CL165" s="37" t="n">
        <f aca="false">MIN(CL158,CL163+CL164)</f>
        <v>557.644536353176</v>
      </c>
      <c r="CM165" s="37" t="n">
        <f aca="false">MIN(CM158,CM163+CM164)</f>
        <v>557.644536353176</v>
      </c>
      <c r="CN165" s="37" t="n">
        <f aca="false">MIN(CN158,CN163+CN164)</f>
        <v>557.644536353176</v>
      </c>
      <c r="CO165" s="37" t="n">
        <f aca="false">MIN(CO158,CO163+CO164)</f>
        <v>296.601230396873</v>
      </c>
      <c r="CP165" s="37" t="n">
        <f aca="false">MIN(CP158,CP163+CP164)</f>
        <v>226.338532543813</v>
      </c>
      <c r="CQ165" s="37" t="n">
        <f aca="false">MIN(CQ158,CQ163+CQ164)</f>
        <v>226.338532543813</v>
      </c>
      <c r="CR165" s="37" t="n">
        <f aca="false">MIN(CR158,CR163+CR164)</f>
        <v>226.338532543813</v>
      </c>
      <c r="CS165" s="37" t="n">
        <f aca="false">MIN(CS158,CS163+CS164)</f>
        <v>226.338532543813</v>
      </c>
      <c r="CT165" s="37" t="n">
        <f aca="false">MIN(CT158,CT163+CT164)</f>
        <v>226.338532543813</v>
      </c>
      <c r="CU165" s="37" t="n">
        <f aca="false">MIN(CU158,CU163+CU164)</f>
        <v>226.338532543813</v>
      </c>
      <c r="CV165" s="37" t="n">
        <f aca="false">MIN(CV158,CV163+CV164)</f>
        <v>226.338532543813</v>
      </c>
      <c r="CW165" s="37" t="n">
        <f aca="false">MIN(CW158,CW163+CW164)</f>
        <v>226.338532543813</v>
      </c>
      <c r="CX165" s="37" t="n">
        <f aca="false">MIN(CX158,CX163+CX164)</f>
        <v>226.338532543813</v>
      </c>
      <c r="CY165" s="37" t="n">
        <f aca="false">MIN(CY158,CY163+CY164)</f>
        <v>226.338532543813</v>
      </c>
      <c r="CZ165" s="37" t="n">
        <f aca="false">MIN(CZ158,CZ163+CZ164)</f>
        <v>226.338532543813</v>
      </c>
      <c r="DA165" s="37" t="n">
        <f aca="false">MIN(DA158,DA163+DA164)</f>
        <v>226.338532543813</v>
      </c>
      <c r="DB165" s="37" t="n">
        <f aca="false">MIN(DB158,DB163+DB164)</f>
        <v>226.338532543813</v>
      </c>
      <c r="DC165" s="37" t="n">
        <f aca="false">MIN(DC158,DC163+DC164)</f>
        <v>226.338532543813</v>
      </c>
      <c r="DD165" s="37" t="n">
        <f aca="false">MIN(DD158,DD163+DD164)</f>
        <v>226.338532543813</v>
      </c>
      <c r="DE165" s="37" t="n">
        <f aca="false">MIN(DE158,DE163+DE164)</f>
        <v>226.338532543813</v>
      </c>
      <c r="DF165" s="37" t="n">
        <f aca="false">MIN(DF158,DF163+DF164)</f>
        <v>226.338532543813</v>
      </c>
      <c r="DG165" s="37" t="n">
        <f aca="false">MIN(DG158,DG163+DG164)</f>
        <v>226.338532543813</v>
      </c>
      <c r="DH165" s="37" t="n">
        <f aca="false">MIN(DH158,DH163+DH164)</f>
        <v>226.338532543813</v>
      </c>
      <c r="DI165" s="37" t="n">
        <f aca="false">MIN(DI158,DI163+DI164)</f>
        <v>226.338532543813</v>
      </c>
      <c r="DJ165" s="37" t="n">
        <f aca="false">MIN(DJ158,DJ163+DJ164)</f>
        <v>226.338532543813</v>
      </c>
      <c r="DK165" s="37" t="n">
        <f aca="false">MIN(DK158,DK163+DK164)</f>
        <v>226.338532543813</v>
      </c>
      <c r="DL165" s="37" t="n">
        <f aca="false">MIN(DL158,DL163+DL164)</f>
        <v>226.338532543813</v>
      </c>
      <c r="DM165" s="37" t="n">
        <f aca="false">MIN(DM158,DM163+DM164)</f>
        <v>226.338532543813</v>
      </c>
      <c r="DN165" s="37" t="n">
        <f aca="false">MIN(DN158,DN163+DN164)</f>
        <v>226.338532543813</v>
      </c>
      <c r="DO165" s="37" t="n">
        <f aca="false">MIN(DO158,DO163+DO164)</f>
        <v>226.338532543813</v>
      </c>
      <c r="DP165" s="37" t="n">
        <f aca="false">MIN(DP158,DP163+DP164)</f>
        <v>226.338532543813</v>
      </c>
      <c r="DQ165" s="37" t="n">
        <f aca="false">MIN(DQ158,DQ163+DQ164)</f>
        <v>226.338532543813</v>
      </c>
      <c r="DR165" s="37" t="n">
        <f aca="false">MIN(DR158,DR163+DR164)</f>
        <v>226.338532543813</v>
      </c>
      <c r="DS165" s="37" t="n">
        <f aca="false">MIN(DS158,DS163+DS164)</f>
        <v>226.338532543813</v>
      </c>
      <c r="DT165" s="37" t="n">
        <f aca="false">MIN(DT158,DT163+DT164)</f>
        <v>0</v>
      </c>
      <c r="DU165" s="37" t="n">
        <f aca="false">MIN(DU158,DU163+DU164)</f>
        <v>0</v>
      </c>
      <c r="DV165" s="37" t="n">
        <f aca="false">MIN(DV158,DV163+DV164)</f>
        <v>0</v>
      </c>
      <c r="DW165" s="37" t="n">
        <f aca="false">MIN(DW158,DW163+DW164)</f>
        <v>0</v>
      </c>
      <c r="DX165" s="37" t="n">
        <f aca="false">MIN(DX158,DX163+DX164)</f>
        <v>0</v>
      </c>
      <c r="DY165" s="37" t="n">
        <f aca="false">MIN(DY158,DY163+DY164)</f>
        <v>0</v>
      </c>
      <c r="DZ165" s="37" t="n">
        <f aca="false">MIN(DZ158,DZ163+DZ164)</f>
        <v>0</v>
      </c>
      <c r="EA165" s="37" t="n">
        <f aca="false">MIN(EA158,EA163+EA164)</f>
        <v>0</v>
      </c>
      <c r="EB165" s="37" t="n">
        <f aca="false">MIN(EB158,EB163+EB164)</f>
        <v>0</v>
      </c>
      <c r="EC165" s="37" t="n">
        <f aca="false">MIN(EC158,EC163+EC164)</f>
        <v>0</v>
      </c>
      <c r="ED165" s="37" t="n">
        <f aca="false">MIN(ED158,ED163+ED164)</f>
        <v>0</v>
      </c>
      <c r="EE165" s="37" t="n">
        <f aca="false">MIN(EE158,EE163+EE164)</f>
        <v>0</v>
      </c>
      <c r="EF165" s="37" t="n">
        <f aca="false">MIN(EF158,EF163+EF164)</f>
        <v>0</v>
      </c>
    </row>
    <row r="166" customFormat="false" ht="15" hidden="false" customHeight="false" outlineLevel="0" collapsed="false">
      <c r="A166" s="36" t="s">
        <v>695</v>
      </c>
      <c r="B166" s="278" t="s">
        <v>21</v>
      </c>
      <c r="C166" s="279" t="n">
        <f aca="false">SUM(E166:EF166)</f>
        <v>0</v>
      </c>
      <c r="E166" s="37" t="n">
        <f aca="false">IF(E155=2,MIN(E158-E165,E162+E141),0)</f>
        <v>0</v>
      </c>
      <c r="F166" s="37" t="n">
        <f aca="false">IF(F155=2,MIN(F158-F165,F162+F141),0)</f>
        <v>0</v>
      </c>
      <c r="G166" s="37" t="n">
        <f aca="false">IF(G155=2,MIN(G158-G165,G162+G141),0)</f>
        <v>0</v>
      </c>
      <c r="H166" s="37" t="n">
        <f aca="false">IF(H155=2,MIN(H158-H165,H162+H141),0)</f>
        <v>0</v>
      </c>
      <c r="I166" s="37" t="n">
        <f aca="false">IF(I155=2,MIN(I158-I165,I162+I141),0)</f>
        <v>0</v>
      </c>
      <c r="J166" s="37" t="n">
        <f aca="false">IF(J155=2,MIN(J158-J165,J162+J141),0)</f>
        <v>0</v>
      </c>
      <c r="K166" s="37" t="n">
        <f aca="false">IF(K155=2,MIN(K158-K165,K162+K141),0)</f>
        <v>0</v>
      </c>
      <c r="L166" s="37" t="n">
        <f aca="false">IF(L155=2,MIN(L158-L165,L162+L141),0)</f>
        <v>0</v>
      </c>
      <c r="M166" s="37" t="n">
        <f aca="false">IF(M155=2,MIN(M158-M165,M162+M141),0)</f>
        <v>0</v>
      </c>
      <c r="N166" s="37" t="n">
        <f aca="false">IF(N155=2,MIN(N158-N165,N162+N141),0)</f>
        <v>0</v>
      </c>
      <c r="O166" s="37" t="n">
        <f aca="false">IF(O155=2,MIN(O158-O165,O162+O141),0)</f>
        <v>0</v>
      </c>
      <c r="P166" s="37" t="n">
        <f aca="false">IF(P155=2,MIN(P158-P165,P162+P141),0)</f>
        <v>0</v>
      </c>
      <c r="Q166" s="37" t="n">
        <f aca="false">IF(Q155=2,MIN(Q158-Q165,Q162+Q141),0)</f>
        <v>0</v>
      </c>
      <c r="R166" s="37" t="n">
        <f aca="false">IF(R155=2,MIN(R158-R165,R162+R141),0)</f>
        <v>0</v>
      </c>
      <c r="S166" s="37" t="n">
        <f aca="false">IF(S155=2,MIN(S158-S165,S162+S141),0)</f>
        <v>0</v>
      </c>
      <c r="T166" s="37" t="n">
        <f aca="false">IF(T155=2,MIN(T158-T165,T162+T141),0)</f>
        <v>0</v>
      </c>
      <c r="U166" s="37" t="n">
        <f aca="false">IF(U155=2,MIN(U158-U165,U162+U141),0)</f>
        <v>0</v>
      </c>
      <c r="V166" s="37" t="n">
        <f aca="false">IF(V155=2,MIN(V158-V165,V162+V141),0)</f>
        <v>0</v>
      </c>
      <c r="W166" s="37" t="n">
        <f aca="false">IF(W155=2,MIN(W158-W165,W162+W141),0)</f>
        <v>0</v>
      </c>
      <c r="X166" s="37" t="n">
        <f aca="false">IF(X155=2,MIN(X158-X165,X162+X141),0)</f>
        <v>0</v>
      </c>
      <c r="Y166" s="37" t="n">
        <f aca="false">IF(Y155=2,MIN(Y158-Y165,Y162+Y141),0)</f>
        <v>0</v>
      </c>
      <c r="Z166" s="37" t="n">
        <f aca="false">IF(Z155=2,MIN(Z158-Z165,Z162+Z141),0)</f>
        <v>0</v>
      </c>
      <c r="AA166" s="37" t="n">
        <f aca="false">IF(AA155=2,MIN(AA158-AA165,AA162+AA141),0)</f>
        <v>0</v>
      </c>
      <c r="AB166" s="37" t="n">
        <f aca="false">IF(AB155=2,MIN(AB158-AB165,AB162+AB141),0)</f>
        <v>0</v>
      </c>
      <c r="AC166" s="37" t="n">
        <f aca="false">IF(AC155=2,MIN(AC158-AC165,AC162+AC141),0)</f>
        <v>0</v>
      </c>
      <c r="AD166" s="37" t="n">
        <f aca="false">IF(AD155=2,MIN(AD158-AD165,AD162+AD141),0)</f>
        <v>0</v>
      </c>
      <c r="AE166" s="37" t="n">
        <f aca="false">IF(AE155=2,MIN(AE158-AE165,AE162+AE141),0)</f>
        <v>0</v>
      </c>
      <c r="AF166" s="37" t="n">
        <f aca="false">IF(AF155=2,MIN(AF158-AF165,AF162+AF141),0)</f>
        <v>0</v>
      </c>
      <c r="AG166" s="37" t="n">
        <f aca="false">IF(AG155=2,MIN(AG158-AG165,AG162+AG141),0)</f>
        <v>0</v>
      </c>
      <c r="AH166" s="37" t="n">
        <f aca="false">IF(AH155=2,MIN(AH158-AH165,AH162+AH141),0)</f>
        <v>0</v>
      </c>
      <c r="AI166" s="37" t="n">
        <f aca="false">IF(AI155=2,MIN(AI158-AI165,AI162+AI141),0)</f>
        <v>0</v>
      </c>
      <c r="AJ166" s="37" t="n">
        <f aca="false">IF(AJ155=2,MIN(AJ158-AJ165,AJ162+AJ141),0)</f>
        <v>0</v>
      </c>
      <c r="AK166" s="37" t="n">
        <f aca="false">IF(AK155=2,MIN(AK158-AK165,AK162+AK141),0)</f>
        <v>0</v>
      </c>
      <c r="AL166" s="37" t="n">
        <f aca="false">IF(AL155=2,MIN(AL158-AL165,AL162+AL141),0)</f>
        <v>0</v>
      </c>
      <c r="AM166" s="37" t="n">
        <f aca="false">IF(AM155=2,MIN(AM158-AM165,AM162+AM141),0)</f>
        <v>0</v>
      </c>
      <c r="AN166" s="37" t="n">
        <f aca="false">IF(AN155=2,MIN(AN158-AN165,AN162+AN141),0)</f>
        <v>0</v>
      </c>
      <c r="AO166" s="37" t="n">
        <f aca="false">IF(AO155=2,MIN(AO158-AO165,AO162+AO141),0)</f>
        <v>0</v>
      </c>
      <c r="AP166" s="37" t="n">
        <f aca="false">IF(AP155=2,MIN(AP158-AP165,AP162+AP141),0)</f>
        <v>0</v>
      </c>
      <c r="AQ166" s="37" t="n">
        <f aca="false">IF(AQ155=2,MIN(AQ158-AQ165,AQ162+AQ141),0)</f>
        <v>0</v>
      </c>
      <c r="AR166" s="37" t="n">
        <f aca="false">IF(AR155=2,MIN(AR158-AR165,AR162+AR141),0)</f>
        <v>0</v>
      </c>
      <c r="AS166" s="37" t="n">
        <f aca="false">IF(AS155=2,MIN(AS158-AS165,AS162+AS141),0)</f>
        <v>0</v>
      </c>
      <c r="AT166" s="37" t="n">
        <f aca="false">IF(AT155=2,MIN(AT158-AT165,AT162+AT141),0)</f>
        <v>0</v>
      </c>
      <c r="AU166" s="37" t="n">
        <f aca="false">IF(AU155=2,MIN(AU158-AU165,AU162+AU141),0)</f>
        <v>0</v>
      </c>
      <c r="AV166" s="37" t="n">
        <f aca="false">IF(AV155=2,MIN(AV158-AV165,AV162+AV141),0)</f>
        <v>0</v>
      </c>
      <c r="AW166" s="37" t="n">
        <f aca="false">IF(AW155=2,MIN(AW158-AW165,AW162+AW141),0)</f>
        <v>0</v>
      </c>
      <c r="AX166" s="37" t="n">
        <f aca="false">IF(AX155=2,MIN(AX158-AX165,AX162+AX141),0)</f>
        <v>0</v>
      </c>
      <c r="AY166" s="37" t="n">
        <f aca="false">IF(AY155=2,MIN(AY158-AY165,AY162+AY141),0)</f>
        <v>0</v>
      </c>
      <c r="AZ166" s="37" t="n">
        <f aca="false">IF(AZ155=2,MIN(AZ158-AZ165,AZ162+AZ141),0)</f>
        <v>0</v>
      </c>
      <c r="BA166" s="37" t="n">
        <f aca="false">IF(BA155=2,MIN(BA158-BA165,BA162+BA141),0)</f>
        <v>0</v>
      </c>
      <c r="BB166" s="37" t="n">
        <f aca="false">IF(BB155=2,MIN(BB158-BB165,BB162+BB141),0)</f>
        <v>0</v>
      </c>
      <c r="BC166" s="37" t="n">
        <f aca="false">IF(BC155=2,MIN(BC158-BC165,BC162+BC141),0)</f>
        <v>0</v>
      </c>
      <c r="BD166" s="37" t="n">
        <f aca="false">IF(BD155=2,MIN(BD158-BD165,BD162+BD141),0)</f>
        <v>0</v>
      </c>
      <c r="BE166" s="37" t="n">
        <f aca="false">IF(BE155=2,MIN(BE158-BE165,BE162+BE141),0)</f>
        <v>0</v>
      </c>
      <c r="BF166" s="37" t="n">
        <f aca="false">IF(BF155=2,MIN(BF158-BF165,BF162+BF141),0)</f>
        <v>0</v>
      </c>
      <c r="BG166" s="37" t="n">
        <f aca="false">IF(BG155=2,MIN(BG158-BG165,BG162+BG141),0)</f>
        <v>0</v>
      </c>
      <c r="BH166" s="37" t="n">
        <f aca="false">IF(BH155=2,MIN(BH158-BH165,BH162+BH141),0)</f>
        <v>0</v>
      </c>
      <c r="BI166" s="37" t="n">
        <f aca="false">IF(BI155=2,MIN(BI158-BI165,BI162+BI141),0)</f>
        <v>0</v>
      </c>
      <c r="BJ166" s="37" t="n">
        <f aca="false">IF(BJ155=2,MIN(BJ158-BJ165,BJ162+BJ141),0)</f>
        <v>0</v>
      </c>
      <c r="BK166" s="37" t="n">
        <f aca="false">IF(BK155=2,MIN(BK158-BK165,BK162+BK141),0)</f>
        <v>0</v>
      </c>
      <c r="BL166" s="37" t="n">
        <f aca="false">IF(BL155=2,MIN(BL158-BL165,BL162+BL141),0)</f>
        <v>0</v>
      </c>
      <c r="BM166" s="37" t="n">
        <f aca="false">IF(BM155=2,MIN(BM158-BM165,BM162+BM141),0)</f>
        <v>0</v>
      </c>
      <c r="BN166" s="37" t="n">
        <f aca="false">IF(BN155=2,MIN(BN158-BN165,BN162+BN141),0)</f>
        <v>0</v>
      </c>
      <c r="BO166" s="37" t="n">
        <f aca="false">IF(BO155=2,MIN(BO158-BO165,BO162+BO141),0)</f>
        <v>0</v>
      </c>
      <c r="BP166" s="37" t="n">
        <f aca="false">IF(BP155=2,MIN(BP158-BP165,BP162+BP141),0)</f>
        <v>0</v>
      </c>
      <c r="BQ166" s="37" t="n">
        <f aca="false">IF(BQ155=2,MIN(BQ158-BQ165,BQ162+BQ141),0)</f>
        <v>0</v>
      </c>
      <c r="BR166" s="37" t="n">
        <f aca="false">IF(BR155=2,MIN(BR158-BR165,BR162+BR141),0)</f>
        <v>0</v>
      </c>
      <c r="BS166" s="37" t="n">
        <f aca="false">IF(BS155=2,MIN(BS158-BS165,BS162+BS141),0)</f>
        <v>0</v>
      </c>
      <c r="BT166" s="37" t="n">
        <f aca="false">IF(BT155=2,MIN(BT158-BT165,BT162+BT141),0)</f>
        <v>0</v>
      </c>
      <c r="BU166" s="37" t="n">
        <f aca="false">IF(BU155=2,MIN(BU158-BU165,BU162+BU141),0)</f>
        <v>0</v>
      </c>
      <c r="BV166" s="37" t="n">
        <f aca="false">IF(BV155=2,MIN(BV158-BV165,BV162+BV141),0)</f>
        <v>0</v>
      </c>
      <c r="BW166" s="37" t="n">
        <f aca="false">IF(BW155=2,MIN(BW158-BW165,BW162+BW141),0)</f>
        <v>0</v>
      </c>
      <c r="BX166" s="37" t="n">
        <f aca="false">IF(BX155=2,MIN(BX158-BX165,BX162+BX141),0)</f>
        <v>0</v>
      </c>
      <c r="BY166" s="37" t="n">
        <f aca="false">IF(BY155=2,MIN(BY158-BY165,BY162+BY141),0)</f>
        <v>0</v>
      </c>
      <c r="BZ166" s="37" t="n">
        <f aca="false">IF(BZ155=2,MIN(BZ158-BZ165,BZ162+BZ141),0)</f>
        <v>0</v>
      </c>
      <c r="CA166" s="37" t="n">
        <f aca="false">IF(CA155=2,MIN(CA158-CA165,CA162+CA141),0)</f>
        <v>0</v>
      </c>
      <c r="CB166" s="37" t="n">
        <f aca="false">IF(CB155=2,MIN(CB158-CB165,CB162+CB141),0)</f>
        <v>0</v>
      </c>
      <c r="CC166" s="37" t="n">
        <f aca="false">IF(CC155=2,MIN(CC158-CC165,CC162+CC141),0)</f>
        <v>0</v>
      </c>
      <c r="CD166" s="37" t="n">
        <f aca="false">IF(CD155=2,MIN(CD158-CD165,CD162+CD141),0)</f>
        <v>0</v>
      </c>
      <c r="CE166" s="37" t="n">
        <f aca="false">IF(CE155=2,MIN(CE158-CE165,CE162+CE141),0)</f>
        <v>0</v>
      </c>
      <c r="CF166" s="37" t="n">
        <f aca="false">IF(CF155=2,MIN(CF158-CF165,CF162+CF141),0)</f>
        <v>0</v>
      </c>
      <c r="CG166" s="37" t="n">
        <f aca="false">IF(CG155=2,MIN(CG158-CG165,CG162+CG141),0)</f>
        <v>0</v>
      </c>
      <c r="CH166" s="37" t="n">
        <f aca="false">IF(CH155=2,MIN(CH158-CH165,CH162+CH141),0)</f>
        <v>0</v>
      </c>
      <c r="CI166" s="37" t="n">
        <f aca="false">IF(CI155=2,MIN(CI158-CI165,CI162+CI141),0)</f>
        <v>0</v>
      </c>
      <c r="CJ166" s="37" t="n">
        <f aca="false">IF(CJ155=2,MIN(CJ158-CJ165,CJ162+CJ141),0)</f>
        <v>0</v>
      </c>
      <c r="CK166" s="37" t="n">
        <f aca="false">IF(CK155=2,MIN(CK158-CK165,CK162+CK141),0)</f>
        <v>0</v>
      </c>
      <c r="CL166" s="37" t="n">
        <f aca="false">IF(CL155=2,MIN(CL158-CL165,CL162+CL141),0)</f>
        <v>0</v>
      </c>
      <c r="CM166" s="37" t="n">
        <f aca="false">IF(CM155=2,MIN(CM158-CM165,CM162+CM141),0)</f>
        <v>0</v>
      </c>
      <c r="CN166" s="37" t="n">
        <f aca="false">IF(CN155=2,MIN(CN158-CN165,CN162+CN141),0)</f>
        <v>0</v>
      </c>
      <c r="CO166" s="37" t="n">
        <f aca="false">IF(CO155=2,MIN(CO158-CO165,CO162+CO141),0)</f>
        <v>0</v>
      </c>
      <c r="CP166" s="37" t="n">
        <f aca="false">IF(CP155=2,MIN(CP158-CP165,CP162+CP141),0)</f>
        <v>0</v>
      </c>
      <c r="CQ166" s="37" t="n">
        <f aca="false">IF(CQ155=2,MIN(CQ158-CQ165,CQ162+CQ141),0)</f>
        <v>0</v>
      </c>
      <c r="CR166" s="37" t="n">
        <f aca="false">IF(CR155=2,MIN(CR158-CR165,CR162+CR141),0)</f>
        <v>0</v>
      </c>
      <c r="CS166" s="37" t="n">
        <f aca="false">IF(CS155=2,MIN(CS158-CS165,CS162+CS141),0)</f>
        <v>0</v>
      </c>
      <c r="CT166" s="37" t="n">
        <f aca="false">IF(CT155=2,MIN(CT158-CT165,CT162+CT141),0)</f>
        <v>0</v>
      </c>
      <c r="CU166" s="37" t="n">
        <f aca="false">IF(CU155=2,MIN(CU158-CU165,CU162+CU141),0)</f>
        <v>0</v>
      </c>
      <c r="CV166" s="37" t="n">
        <f aca="false">IF(CV155=2,MIN(CV158-CV165,CV162+CV141),0)</f>
        <v>0</v>
      </c>
      <c r="CW166" s="37" t="n">
        <f aca="false">IF(CW155=2,MIN(CW158-CW165,CW162+CW141),0)</f>
        <v>0</v>
      </c>
      <c r="CX166" s="37" t="n">
        <f aca="false">IF(CX155=2,MIN(CX158-CX165,CX162+CX141),0)</f>
        <v>0</v>
      </c>
      <c r="CY166" s="37" t="n">
        <f aca="false">IF(CY155=2,MIN(CY158-CY165,CY162+CY141),0)</f>
        <v>0</v>
      </c>
      <c r="CZ166" s="37" t="n">
        <f aca="false">IF(CZ155=2,MIN(CZ158-CZ165,CZ162+CZ141),0)</f>
        <v>0</v>
      </c>
      <c r="DA166" s="37" t="n">
        <f aca="false">IF(DA155=2,MIN(DA158-DA165,DA162+DA141),0)</f>
        <v>0</v>
      </c>
      <c r="DB166" s="37" t="n">
        <f aca="false">IF(DB155=2,MIN(DB158-DB165,DB162+DB141),0)</f>
        <v>0</v>
      </c>
      <c r="DC166" s="37" t="n">
        <f aca="false">IF(DC155=2,MIN(DC158-DC165,DC162+DC141),0)</f>
        <v>0</v>
      </c>
      <c r="DD166" s="37" t="n">
        <f aca="false">IF(DD155=2,MIN(DD158-DD165,DD162+DD141),0)</f>
        <v>0</v>
      </c>
      <c r="DE166" s="37" t="n">
        <f aca="false">IF(DE155=2,MIN(DE158-DE165,DE162+DE141),0)</f>
        <v>0</v>
      </c>
      <c r="DF166" s="37" t="n">
        <f aca="false">IF(DF155=2,MIN(DF158-DF165,DF162+DF141),0)</f>
        <v>0</v>
      </c>
      <c r="DG166" s="37" t="n">
        <f aca="false">IF(DG155=2,MIN(DG158-DG165,DG162+DG141),0)</f>
        <v>0</v>
      </c>
      <c r="DH166" s="37" t="n">
        <f aca="false">IF(DH155=2,MIN(DH158-DH165,DH162+DH141),0)</f>
        <v>0</v>
      </c>
      <c r="DI166" s="37" t="n">
        <f aca="false">IF(DI155=2,MIN(DI158-DI165,DI162+DI141),0)</f>
        <v>0</v>
      </c>
      <c r="DJ166" s="37" t="n">
        <f aca="false">IF(DJ155=2,MIN(DJ158-DJ165,DJ162+DJ141),0)</f>
        <v>0</v>
      </c>
      <c r="DK166" s="37" t="n">
        <f aca="false">IF(DK155=2,MIN(DK158-DK165,DK162+DK141),0)</f>
        <v>0</v>
      </c>
      <c r="DL166" s="37" t="n">
        <f aca="false">IF(DL155=2,MIN(DL158-DL165,DL162+DL141),0)</f>
        <v>0</v>
      </c>
      <c r="DM166" s="37" t="n">
        <f aca="false">IF(DM155=2,MIN(DM158-DM165,DM162+DM141),0)</f>
        <v>0</v>
      </c>
      <c r="DN166" s="37" t="n">
        <f aca="false">IF(DN155=2,MIN(DN158-DN165,DN162+DN141),0)</f>
        <v>0</v>
      </c>
      <c r="DO166" s="37" t="n">
        <f aca="false">IF(DO155=2,MIN(DO158-DO165,DO162+DO141),0)</f>
        <v>0</v>
      </c>
      <c r="DP166" s="37" t="n">
        <f aca="false">IF(DP155=2,MIN(DP158-DP165,DP162+DP141),0)</f>
        <v>0</v>
      </c>
      <c r="DQ166" s="37" t="n">
        <f aca="false">IF(DQ155=2,MIN(DQ158-DQ165,DQ162+DQ141),0)</f>
        <v>0</v>
      </c>
      <c r="DR166" s="37" t="n">
        <f aca="false">IF(DR155=2,MIN(DR158-DR165,DR162+DR141),0)</f>
        <v>0</v>
      </c>
      <c r="DS166" s="37" t="n">
        <f aca="false">IF(DS155=2,MIN(DS158-DS165,DS162+DS141),0)</f>
        <v>0</v>
      </c>
      <c r="DT166" s="37" t="n">
        <f aca="false">IF(DT155=2,MIN(DT158-DT165,DT162+DT141),0)</f>
        <v>0</v>
      </c>
      <c r="DU166" s="37" t="n">
        <f aca="false">IF(DU155=2,MIN(DU158-DU165,DU162+DU141),0)</f>
        <v>0</v>
      </c>
      <c r="DV166" s="37" t="n">
        <f aca="false">IF(DV155=2,MIN(DV158-DV165,DV162+DV141),0)</f>
        <v>0</v>
      </c>
      <c r="DW166" s="37" t="n">
        <f aca="false">IF(DW155=2,MIN(DW158-DW165,DW162+DW141),0)</f>
        <v>0</v>
      </c>
      <c r="DX166" s="37" t="n">
        <f aca="false">IF(DX155=2,MIN(DX158-DX165,DX162+DX141),0)</f>
        <v>0</v>
      </c>
      <c r="DY166" s="37" t="n">
        <f aca="false">IF(DY155=2,MIN(DY158-DY165,DY162+DY141),0)</f>
        <v>0</v>
      </c>
      <c r="DZ166" s="37" t="n">
        <f aca="false">IF(DZ155=2,MIN(DZ158-DZ165,DZ162+DZ141),0)</f>
        <v>0</v>
      </c>
      <c r="EA166" s="37" t="n">
        <f aca="false">IF(EA155=2,MIN(EA158-EA165,EA162+EA141),0)</f>
        <v>0</v>
      </c>
      <c r="EB166" s="37" t="n">
        <f aca="false">IF(EB155=2,MIN(EB158-EB165,EB162+EB141),0)</f>
        <v>0</v>
      </c>
      <c r="EC166" s="37" t="n">
        <f aca="false">IF(EC155=2,MIN(EC158-EC165,EC162+EC141),0)</f>
        <v>0</v>
      </c>
      <c r="ED166" s="37" t="n">
        <f aca="false">IF(ED155=2,MIN(ED158-ED165,ED162+ED141),0)</f>
        <v>0</v>
      </c>
      <c r="EE166" s="37" t="n">
        <f aca="false">IF(EE155=2,MIN(EE158-EE165,EE162+EE141),0)</f>
        <v>0</v>
      </c>
      <c r="EF166" s="37" t="n">
        <f aca="false">IF(EF155=2,MIN(EF158-EF165,EF162+EF141),0)</f>
        <v>0</v>
      </c>
    </row>
    <row r="167" customFormat="false" ht="15" hidden="false" customHeight="false" outlineLevel="0" collapsed="false">
      <c r="A167" s="36" t="s">
        <v>696</v>
      </c>
      <c r="B167" s="278" t="s">
        <v>21</v>
      </c>
      <c r="E167" s="37" t="n">
        <f aca="false">E163+E164-E165</f>
        <v>0</v>
      </c>
      <c r="F167" s="37" t="n">
        <f aca="false">F163+F164-F165</f>
        <v>0</v>
      </c>
      <c r="G167" s="37" t="n">
        <f aca="false">G163+G164-G165</f>
        <v>0</v>
      </c>
      <c r="H167" s="37" t="n">
        <f aca="false">H163+H164-H165</f>
        <v>0</v>
      </c>
      <c r="I167" s="37" t="n">
        <f aca="false">I163+I164-I165</f>
        <v>0</v>
      </c>
      <c r="J167" s="37" t="n">
        <f aca="false">J163+J164-J165</f>
        <v>0</v>
      </c>
      <c r="K167" s="37" t="n">
        <f aca="false">K163+K164-K165</f>
        <v>0</v>
      </c>
      <c r="L167" s="37" t="n">
        <f aca="false">L163+L164-L165</f>
        <v>0</v>
      </c>
      <c r="M167" s="37" t="n">
        <f aca="false">M163+M164-M165</f>
        <v>0</v>
      </c>
      <c r="N167" s="37" t="n">
        <f aca="false">N163+N164-N165</f>
        <v>0</v>
      </c>
      <c r="O167" s="37" t="n">
        <f aca="false">O163+O164-O165</f>
        <v>0</v>
      </c>
      <c r="P167" s="37" t="n">
        <f aca="false">P163+P164-P165</f>
        <v>0</v>
      </c>
      <c r="Q167" s="37" t="n">
        <f aca="false">Q163+Q164-Q165</f>
        <v>0</v>
      </c>
      <c r="R167" s="37" t="n">
        <f aca="false">R163+R164-R165</f>
        <v>0</v>
      </c>
      <c r="S167" s="37" t="n">
        <f aca="false">S163+S164-S165</f>
        <v>0</v>
      </c>
      <c r="T167" s="37" t="n">
        <f aca="false">T163+T164-T165</f>
        <v>0</v>
      </c>
      <c r="U167" s="37" t="n">
        <f aca="false">U163+U164-U165</f>
        <v>0</v>
      </c>
      <c r="V167" s="37" t="n">
        <f aca="false">V163+V164-V165</f>
        <v>0</v>
      </c>
      <c r="W167" s="37" t="n">
        <f aca="false">W163+W164-W165</f>
        <v>0</v>
      </c>
      <c r="X167" s="37" t="n">
        <f aca="false">X163+X164-X165</f>
        <v>226.338532543813</v>
      </c>
      <c r="Y167" s="37" t="n">
        <f aca="false">Y163+Y164-Y165</f>
        <v>453.599196286219</v>
      </c>
      <c r="Z167" s="37" t="n">
        <f aca="false">Z163+Z164-Z165</f>
        <v>681.785748103866</v>
      </c>
      <c r="AA167" s="37" t="n">
        <f aca="false">AA163+AA164-AA165</f>
        <v>910.901960179382</v>
      </c>
      <c r="AB167" s="37" t="n">
        <f aca="false">AB163+AB164-AB165</f>
        <v>1140.95162006373</v>
      </c>
      <c r="AC167" s="37" t="n">
        <f aca="false">AC163+AC164-AC165</f>
        <v>1371.93853073884</v>
      </c>
      <c r="AD167" s="37" t="n">
        <f aca="false">AD163+AD164-AD165</f>
        <v>1603.86651068044</v>
      </c>
      <c r="AE167" s="37" t="n">
        <f aca="false">AE163+AE164-AE165</f>
        <v>1836.73939392121</v>
      </c>
      <c r="AF167" s="37" t="n">
        <f aca="false">AF163+AF164-AF165</f>
        <v>2070.56103011417</v>
      </c>
      <c r="AG167" s="37" t="n">
        <f aca="false">AG163+AG164-AG165</f>
        <v>2305.33528459626</v>
      </c>
      <c r="AH167" s="37" t="n">
        <f aca="false">AH163+AH164-AH165</f>
        <v>2541.06603845233</v>
      </c>
      <c r="AI167" s="37" t="n">
        <f aca="false">AI163+AI164-AI165</f>
        <v>2777.75718857923</v>
      </c>
      <c r="AJ167" s="37" t="n">
        <f aca="false">AJ163+AJ164-AJ165</f>
        <v>3015.41264775023</v>
      </c>
      <c r="AK167" s="37" t="n">
        <f aca="false">AK163+AK164-AK165</f>
        <v>3254.03634467976</v>
      </c>
      <c r="AL167" s="37" t="n">
        <f aca="false">AL163+AL164-AL165</f>
        <v>3493.63222408829</v>
      </c>
      <c r="AM167" s="37" t="n">
        <f aca="false">AM163+AM164-AM165</f>
        <v>3734.20424676758</v>
      </c>
      <c r="AN167" s="37" t="n">
        <f aca="false">AN163+AN164-AN165</f>
        <v>3975.75638964615</v>
      </c>
      <c r="AO167" s="37" t="n">
        <f aca="false">AO163+AO164-AO165</f>
        <v>4218.29264585501</v>
      </c>
      <c r="AP167" s="37" t="n">
        <f aca="false">AP163+AP164-AP165</f>
        <v>4461.81702479369</v>
      </c>
      <c r="AQ167" s="37" t="n">
        <f aca="false">AQ163+AQ164-AQ165</f>
        <v>4706.3335521965</v>
      </c>
      <c r="AR167" s="37" t="n">
        <f aca="false">AR163+AR164-AR165</f>
        <v>4951.8462701991</v>
      </c>
      <c r="AS167" s="37" t="n">
        <f aca="false">AS163+AS164-AS165</f>
        <v>5198.3592374053</v>
      </c>
      <c r="AT167" s="37" t="n">
        <f aca="false">AT163+AT164-AT165</f>
        <v>5445.87652895418</v>
      </c>
      <c r="AU167" s="37" t="n">
        <f aca="false">AU163+AU164-AU165</f>
        <v>5694.40223658742</v>
      </c>
      <c r="AV167" s="37" t="n">
        <f aca="false">AV163+AV164-AV165</f>
        <v>5943.94046871697</v>
      </c>
      <c r="AW167" s="37" t="n">
        <f aca="false">AW163+AW164-AW165</f>
        <v>6194.49535049297</v>
      </c>
      <c r="AX167" s="37" t="n">
        <f aca="false">AX163+AX164-AX165</f>
        <v>6446.07102387193</v>
      </c>
      <c r="AY167" s="37" t="n">
        <f aca="false">AY163+AY164-AY165</f>
        <v>6698.67164768519</v>
      </c>
      <c r="AZ167" s="37" t="n">
        <f aca="false">AZ163+AZ164-AZ165</f>
        <v>6952.30139770768</v>
      </c>
      <c r="BA167" s="37" t="n">
        <f aca="false">BA163+BA164-BA165</f>
        <v>7206.96446672699</v>
      </c>
      <c r="BB167" s="37" t="n">
        <f aca="false">BB163+BB164-BB165</f>
        <v>7462.6650646126</v>
      </c>
      <c r="BC167" s="37" t="n">
        <f aca="false">BC163+BC164-BC165</f>
        <v>7719.40741838556</v>
      </c>
      <c r="BD167" s="37" t="n">
        <f aca="false">BD163+BD164-BD165</f>
        <v>7977.19577228829</v>
      </c>
      <c r="BE167" s="37" t="n">
        <f aca="false">BE163+BE164-BE165</f>
        <v>8236.0343878548</v>
      </c>
      <c r="BF167" s="37" t="n">
        <f aca="false">BF163+BF164-BF165</f>
        <v>8495.92754398112</v>
      </c>
      <c r="BG167" s="37" t="n">
        <f aca="false">BG163+BG164-BG165</f>
        <v>8756.87953699602</v>
      </c>
      <c r="BH167" s="37" t="n">
        <f aca="false">BH163+BH164-BH165</f>
        <v>9018.89468073205</v>
      </c>
      <c r="BI167" s="37" t="n">
        <f aca="false">BI163+BI164-BI165</f>
        <v>9281.97730659685</v>
      </c>
      <c r="BJ167" s="37" t="n">
        <f aca="false">BJ163+BJ164-BJ165</f>
        <v>9546.13176364476</v>
      </c>
      <c r="BK167" s="37" t="n">
        <f aca="false">BK163+BK164-BK165</f>
        <v>9811.36241864868</v>
      </c>
      <c r="BL167" s="37" t="n">
        <f aca="false">BL163+BL164-BL165</f>
        <v>10077.6736561723</v>
      </c>
      <c r="BM167" s="37" t="n">
        <f aca="false">BM163+BM164-BM165</f>
        <v>4626.89768968359</v>
      </c>
      <c r="BN167" s="37" t="n">
        <f aca="false">BN163+BN164-BN165</f>
        <v>4647.22548930225</v>
      </c>
      <c r="BO167" s="37" t="n">
        <f aca="false">BO163+BO164-BO165</f>
        <v>4667.63610689281</v>
      </c>
      <c r="BP167" s="37" t="n">
        <f aca="false">BP163+BP164-BP165</f>
        <v>4688.12987986593</v>
      </c>
      <c r="BQ167" s="37" t="n">
        <f aca="false">BQ163+BQ164-BQ165</f>
        <v>4708.70714700694</v>
      </c>
      <c r="BR167" s="37" t="n">
        <f aca="false">BR163+BR164-BR165</f>
        <v>4729.36824848141</v>
      </c>
      <c r="BS167" s="37" t="n">
        <f aca="false">BS163+BS164-BS165</f>
        <v>4750.1135258408</v>
      </c>
      <c r="BT167" s="37" t="n">
        <f aca="false">BT163+BT164-BT165</f>
        <v>4770.94332202807</v>
      </c>
      <c r="BU167" s="37" t="n">
        <f aca="false">BU163+BU164-BU165</f>
        <v>4791.8579813834</v>
      </c>
      <c r="BV167" s="37" t="n">
        <f aca="false">BV163+BV164-BV165</f>
        <v>4812.85784964983</v>
      </c>
      <c r="BW167" s="37" t="n">
        <f aca="false">BW163+BW164-BW165</f>
        <v>4833.94327397902</v>
      </c>
      <c r="BX167" s="37" t="n">
        <f aca="false">BX163+BX164-BX165</f>
        <v>4855.11460293696</v>
      </c>
      <c r="BY167" s="37" t="n">
        <f aca="false">BY163+BY164-BY165</f>
        <v>4790.18695408104</v>
      </c>
      <c r="BZ167" s="37" t="n">
        <f aca="false">BZ163+BZ164-BZ165</f>
        <v>4486.4947819467</v>
      </c>
      <c r="CA167" s="37" t="n">
        <f aca="false">CA163+CA164-CA165</f>
        <v>4181.56533031095</v>
      </c>
      <c r="CB167" s="37" t="n">
        <f aca="false">CB163+CB164-CB165</f>
        <v>3875.39355834397</v>
      </c>
      <c r="CC167" s="37" t="n">
        <f aca="false">CC163+CC164-CC165</f>
        <v>3567.97440467892</v>
      </c>
      <c r="CD167" s="37" t="n">
        <f aca="false">CD163+CD164-CD165</f>
        <v>3259.30278732839</v>
      </c>
      <c r="CE167" s="37" t="n">
        <f aca="false">CE163+CE164-CE165</f>
        <v>2949.37360360027</v>
      </c>
      <c r="CF167" s="37" t="n">
        <f aca="false">CF163+CF164-CF165</f>
        <v>2638.18173001347</v>
      </c>
      <c r="CG167" s="37" t="n">
        <f aca="false">CG163+CG164-CG165</f>
        <v>2325.72202221322</v>
      </c>
      <c r="CH167" s="37" t="n">
        <f aca="false">CH163+CH164-CH165</f>
        <v>2011.98931488599</v>
      </c>
      <c r="CI167" s="37" t="n">
        <f aca="false">CI163+CI164-CI165</f>
        <v>1696.97842167412</v>
      </c>
      <c r="CJ167" s="37" t="n">
        <f aca="false">CJ163+CJ164-CJ165</f>
        <v>1380.68413509012</v>
      </c>
      <c r="CK167" s="37" t="n">
        <f aca="false">CK163+CK164-CK165</f>
        <v>1055.00320935323</v>
      </c>
      <c r="CL167" s="37" t="n">
        <f aca="false">CL163+CL164-CL165</f>
        <v>727.99541921092</v>
      </c>
      <c r="CM167" s="37" t="n">
        <f aca="false">CM163+CM164-CM165</f>
        <v>399.655358853352</v>
      </c>
      <c r="CN167" s="37" t="n">
        <f aca="false">CN163+CN164-CN165</f>
        <v>69.977600446757</v>
      </c>
      <c r="CO167" s="37" t="n">
        <f aca="false">CO163+CO164-CO165</f>
        <v>0</v>
      </c>
      <c r="CP167" s="37" t="n">
        <f aca="false">CP163+CP164-CP165</f>
        <v>0</v>
      </c>
      <c r="CQ167" s="37" t="n">
        <f aca="false">CQ163+CQ164-CQ165</f>
        <v>0</v>
      </c>
      <c r="CR167" s="37" t="n">
        <f aca="false">CR163+CR164-CR165</f>
        <v>0</v>
      </c>
      <c r="CS167" s="37" t="n">
        <f aca="false">CS163+CS164-CS165</f>
        <v>0</v>
      </c>
      <c r="CT167" s="37" t="n">
        <f aca="false">CT163+CT164-CT165</f>
        <v>0</v>
      </c>
      <c r="CU167" s="37" t="n">
        <f aca="false">CU163+CU164-CU165</f>
        <v>0</v>
      </c>
      <c r="CV167" s="37" t="n">
        <f aca="false">CV163+CV164-CV165</f>
        <v>0</v>
      </c>
      <c r="CW167" s="37" t="n">
        <f aca="false">CW163+CW164-CW165</f>
        <v>0</v>
      </c>
      <c r="CX167" s="37" t="n">
        <f aca="false">CX163+CX164-CX165</f>
        <v>0</v>
      </c>
      <c r="CY167" s="37" t="n">
        <f aca="false">CY163+CY164-CY165</f>
        <v>0</v>
      </c>
      <c r="CZ167" s="37" t="n">
        <f aca="false">CZ163+CZ164-CZ165</f>
        <v>0</v>
      </c>
      <c r="DA167" s="37" t="n">
        <f aca="false">DA163+DA164-DA165</f>
        <v>0</v>
      </c>
      <c r="DB167" s="37" t="n">
        <f aca="false">DB163+DB164-DB165</f>
        <v>0</v>
      </c>
      <c r="DC167" s="37" t="n">
        <f aca="false">DC163+DC164-DC165</f>
        <v>0</v>
      </c>
      <c r="DD167" s="37" t="n">
        <f aca="false">DD163+DD164-DD165</f>
        <v>0</v>
      </c>
      <c r="DE167" s="37" t="n">
        <f aca="false">DE163+DE164-DE165</f>
        <v>0</v>
      </c>
      <c r="DF167" s="37" t="n">
        <f aca="false">DF163+DF164-DF165</f>
        <v>0</v>
      </c>
      <c r="DG167" s="37" t="n">
        <f aca="false">DG163+DG164-DG165</f>
        <v>0</v>
      </c>
      <c r="DH167" s="37" t="n">
        <f aca="false">DH163+DH164-DH165</f>
        <v>0</v>
      </c>
      <c r="DI167" s="37" t="n">
        <f aca="false">DI163+DI164-DI165</f>
        <v>0</v>
      </c>
      <c r="DJ167" s="37" t="n">
        <f aca="false">DJ163+DJ164-DJ165</f>
        <v>0</v>
      </c>
      <c r="DK167" s="37" t="n">
        <f aca="false">DK163+DK164-DK165</f>
        <v>0</v>
      </c>
      <c r="DL167" s="37" t="n">
        <f aca="false">DL163+DL164-DL165</f>
        <v>0</v>
      </c>
      <c r="DM167" s="37" t="n">
        <f aca="false">DM163+DM164-DM165</f>
        <v>0</v>
      </c>
      <c r="DN167" s="37" t="n">
        <f aca="false">DN163+DN164-DN165</f>
        <v>0</v>
      </c>
      <c r="DO167" s="37" t="n">
        <f aca="false">DO163+DO164-DO165</f>
        <v>0</v>
      </c>
      <c r="DP167" s="37" t="n">
        <f aca="false">DP163+DP164-DP165</f>
        <v>0</v>
      </c>
      <c r="DQ167" s="37" t="n">
        <f aca="false">DQ163+DQ164-DQ165</f>
        <v>0</v>
      </c>
      <c r="DR167" s="37" t="n">
        <f aca="false">DR163+DR164-DR165</f>
        <v>0</v>
      </c>
      <c r="DS167" s="37" t="n">
        <f aca="false">DS163+DS164-DS165</f>
        <v>0</v>
      </c>
      <c r="DT167" s="37" t="n">
        <f aca="false">DT163+DT164-DT165</f>
        <v>226.338532543813</v>
      </c>
      <c r="DU167" s="37" t="n">
        <f aca="false">DU163+DU164-DU165</f>
        <v>453.599196286219</v>
      </c>
      <c r="DV167" s="37" t="n">
        <f aca="false">DV163+DV164-DV165</f>
        <v>681.785748103866</v>
      </c>
      <c r="DW167" s="37" t="n">
        <f aca="false">DW163+DW164-DW165</f>
        <v>910.901960179382</v>
      </c>
      <c r="DX167" s="37" t="n">
        <f aca="false">DX163+DX164-DX165</f>
        <v>1140.95162006373</v>
      </c>
      <c r="DY167" s="37" t="n">
        <f aca="false">DY163+DY164-DY165</f>
        <v>1371.93853073884</v>
      </c>
      <c r="DZ167" s="37" t="n">
        <f aca="false">DZ163+DZ164-DZ165</f>
        <v>1603.86651068044</v>
      </c>
      <c r="EA167" s="37" t="n">
        <f aca="false">EA163+EA164-EA165</f>
        <v>1836.73939392121</v>
      </c>
      <c r="EB167" s="37" t="n">
        <f aca="false">EB163+EB164-EB165</f>
        <v>2070.56103011417</v>
      </c>
      <c r="EC167" s="37" t="n">
        <f aca="false">EC163+EC164-EC165</f>
        <v>2305.33528459626</v>
      </c>
      <c r="ED167" s="37" t="n">
        <f aca="false">ED163+ED164-ED165</f>
        <v>2541.06603845233</v>
      </c>
      <c r="EE167" s="37" t="n">
        <f aca="false">EE163+EE164-EE165</f>
        <v>2777.75718857923</v>
      </c>
      <c r="EF167" s="37" t="n">
        <f aca="false">EF163+EF164-EF165</f>
        <v>3015.41264775023</v>
      </c>
    </row>
    <row r="168" customFormat="false" ht="15" hidden="false" customHeight="false" outlineLevel="0" collapsed="false">
      <c r="A168" s="36" t="s">
        <v>697</v>
      </c>
      <c r="B168" s="278" t="s">
        <v>21</v>
      </c>
      <c r="C168" s="279" t="n">
        <f aca="false">SUM(E168:EF168)</f>
        <v>10482.8798475092</v>
      </c>
      <c r="E168" s="37" t="n">
        <f aca="false">E158-E165-E166</f>
        <v>0</v>
      </c>
      <c r="F168" s="37" t="n">
        <f aca="false">F158-F165-F166</f>
        <v>0</v>
      </c>
      <c r="G168" s="37" t="n">
        <f aca="false">G158-G165-G166</f>
        <v>0</v>
      </c>
      <c r="H168" s="37" t="n">
        <f aca="false">H158-H165-H166</f>
        <v>0</v>
      </c>
      <c r="I168" s="37" t="n">
        <f aca="false">I158-I165-I166</f>
        <v>0</v>
      </c>
      <c r="J168" s="37" t="n">
        <f aca="false">J158-J165-J166</f>
        <v>0</v>
      </c>
      <c r="K168" s="37" t="n">
        <f aca="false">K158-K165-K166</f>
        <v>0</v>
      </c>
      <c r="L168" s="37" t="n">
        <f aca="false">L158-L165-L166</f>
        <v>0</v>
      </c>
      <c r="M168" s="37" t="n">
        <f aca="false">M158-M165-M166</f>
        <v>0</v>
      </c>
      <c r="N168" s="37" t="n">
        <f aca="false">N158-N165-N166</f>
        <v>0</v>
      </c>
      <c r="O168" s="37" t="n">
        <f aca="false">O158-O165-O166</f>
        <v>0</v>
      </c>
      <c r="P168" s="37" t="n">
        <f aca="false">P158-P165-P166</f>
        <v>0</v>
      </c>
      <c r="Q168" s="37" t="n">
        <f aca="false">Q158-Q165-Q166</f>
        <v>0</v>
      </c>
      <c r="R168" s="37" t="n">
        <f aca="false">R158-R165-R166</f>
        <v>0</v>
      </c>
      <c r="S168" s="37" t="n">
        <f aca="false">S158-S165-S166</f>
        <v>0</v>
      </c>
      <c r="T168" s="37" t="n">
        <f aca="false">T158-T165-T166</f>
        <v>0</v>
      </c>
      <c r="U168" s="37" t="n">
        <f aca="false">U158-U165-U166</f>
        <v>0</v>
      </c>
      <c r="V168" s="37" t="n">
        <f aca="false">V158-V165-V166</f>
        <v>0</v>
      </c>
      <c r="W168" s="37" t="n">
        <f aca="false">W158-W165-W166</f>
        <v>0</v>
      </c>
      <c r="X168" s="37" t="n">
        <f aca="false">X158-X165-X166</f>
        <v>0</v>
      </c>
      <c r="Y168" s="37" t="n">
        <f aca="false">Y158-Y165-Y166</f>
        <v>0</v>
      </c>
      <c r="Z168" s="37" t="n">
        <f aca="false">Z158-Z165-Z166</f>
        <v>0</v>
      </c>
      <c r="AA168" s="37" t="n">
        <f aca="false">AA158-AA165-AA166</f>
        <v>0</v>
      </c>
      <c r="AB168" s="37" t="n">
        <f aca="false">AB158-AB165-AB166</f>
        <v>0</v>
      </c>
      <c r="AC168" s="37" t="n">
        <f aca="false">AC158-AC165-AC166</f>
        <v>0</v>
      </c>
      <c r="AD168" s="37" t="n">
        <f aca="false">AD158-AD165-AD166</f>
        <v>0</v>
      </c>
      <c r="AE168" s="37" t="n">
        <f aca="false">AE158-AE165-AE166</f>
        <v>0</v>
      </c>
      <c r="AF168" s="37" t="n">
        <f aca="false">AF158-AF165-AF166</f>
        <v>0</v>
      </c>
      <c r="AG168" s="37" t="n">
        <f aca="false">AG158-AG165-AG166</f>
        <v>0</v>
      </c>
      <c r="AH168" s="37" t="n">
        <f aca="false">AH158-AH165-AH166</f>
        <v>0</v>
      </c>
      <c r="AI168" s="37" t="n">
        <f aca="false">AI158-AI165-AI166</f>
        <v>0</v>
      </c>
      <c r="AJ168" s="37" t="n">
        <f aca="false">AJ158-AJ165-AJ166</f>
        <v>0</v>
      </c>
      <c r="AK168" s="37" t="n">
        <f aca="false">AK158-AK165-AK166</f>
        <v>0</v>
      </c>
      <c r="AL168" s="37" t="n">
        <f aca="false">AL158-AL165-AL166</f>
        <v>0</v>
      </c>
      <c r="AM168" s="37" t="n">
        <f aca="false">AM158-AM165-AM166</f>
        <v>0</v>
      </c>
      <c r="AN168" s="37" t="n">
        <f aca="false">AN158-AN165-AN166</f>
        <v>0</v>
      </c>
      <c r="AO168" s="37" t="n">
        <f aca="false">AO158-AO165-AO166</f>
        <v>0</v>
      </c>
      <c r="AP168" s="37" t="n">
        <f aca="false">AP158-AP165-AP166</f>
        <v>0</v>
      </c>
      <c r="AQ168" s="37" t="n">
        <f aca="false">AQ158-AQ165-AQ166</f>
        <v>0</v>
      </c>
      <c r="AR168" s="37" t="n">
        <f aca="false">AR158-AR165-AR166</f>
        <v>0</v>
      </c>
      <c r="AS168" s="37" t="n">
        <f aca="false">AS158-AS165-AS166</f>
        <v>0</v>
      </c>
      <c r="AT168" s="37" t="n">
        <f aca="false">AT158-AT165-AT166</f>
        <v>0</v>
      </c>
      <c r="AU168" s="37" t="n">
        <f aca="false">AU158-AU165-AU166</f>
        <v>0</v>
      </c>
      <c r="AV168" s="37" t="n">
        <f aca="false">AV158-AV165-AV166</f>
        <v>0</v>
      </c>
      <c r="AW168" s="37" t="n">
        <f aca="false">AW158-AW165-AW166</f>
        <v>0</v>
      </c>
      <c r="AX168" s="37" t="n">
        <f aca="false">AX158-AX165-AX166</f>
        <v>0</v>
      </c>
      <c r="AY168" s="37" t="n">
        <f aca="false">AY158-AY165-AY166</f>
        <v>0</v>
      </c>
      <c r="AZ168" s="37" t="n">
        <f aca="false">AZ158-AZ165-AZ166</f>
        <v>0</v>
      </c>
      <c r="BA168" s="37" t="n">
        <f aca="false">BA158-BA165-BA166</f>
        <v>0</v>
      </c>
      <c r="BB168" s="37" t="n">
        <f aca="false">BB158-BB165-BB166</f>
        <v>0</v>
      </c>
      <c r="BC168" s="37" t="n">
        <f aca="false">BC158-BC165-BC166</f>
        <v>0</v>
      </c>
      <c r="BD168" s="37" t="n">
        <f aca="false">BD158-BD165-BD166</f>
        <v>0</v>
      </c>
      <c r="BE168" s="37" t="n">
        <f aca="false">BE158-BE165-BE166</f>
        <v>0</v>
      </c>
      <c r="BF168" s="37" t="n">
        <f aca="false">BF158-BF165-BF166</f>
        <v>0</v>
      </c>
      <c r="BG168" s="37" t="n">
        <f aca="false">BG158-BG165-BG166</f>
        <v>0</v>
      </c>
      <c r="BH168" s="37" t="n">
        <f aca="false">BH158-BH165-BH166</f>
        <v>0</v>
      </c>
      <c r="BI168" s="37" t="n">
        <f aca="false">BI158-BI165-BI166</f>
        <v>0</v>
      </c>
      <c r="BJ168" s="37" t="n">
        <f aca="false">BJ158-BJ165-BJ166</f>
        <v>0</v>
      </c>
      <c r="BK168" s="37" t="n">
        <f aca="false">BK158-BK165-BK166</f>
        <v>0</v>
      </c>
      <c r="BL168" s="37" t="n">
        <f aca="false">BL158-BL165-BL166</f>
        <v>0</v>
      </c>
      <c r="BM168" s="37" t="n">
        <f aca="false">BM158-BM165-BM166</f>
        <v>0</v>
      </c>
      <c r="BN168" s="37" t="n">
        <f aca="false">BN158-BN165-BN166</f>
        <v>0</v>
      </c>
      <c r="BO168" s="37" t="n">
        <f aca="false">BO158-BO165-BO166</f>
        <v>0</v>
      </c>
      <c r="BP168" s="37" t="n">
        <f aca="false">BP158-BP165-BP166</f>
        <v>0</v>
      </c>
      <c r="BQ168" s="37" t="n">
        <f aca="false">BQ158-BQ165-BQ166</f>
        <v>0</v>
      </c>
      <c r="BR168" s="37" t="n">
        <f aca="false">BR158-BR165-BR166</f>
        <v>0</v>
      </c>
      <c r="BS168" s="37" t="n">
        <f aca="false">BS158-BS165-BS166</f>
        <v>0</v>
      </c>
      <c r="BT168" s="37" t="n">
        <f aca="false">BT158-BT165-BT166</f>
        <v>0</v>
      </c>
      <c r="BU168" s="37" t="n">
        <f aca="false">BU158-BU165-BU166</f>
        <v>0</v>
      </c>
      <c r="BV168" s="37" t="n">
        <f aca="false">BV158-BV165-BV166</f>
        <v>0</v>
      </c>
      <c r="BW168" s="37" t="n">
        <f aca="false">BW158-BW165-BW166</f>
        <v>0</v>
      </c>
      <c r="BX168" s="37" t="n">
        <f aca="false">BX158-BX165-BX166</f>
        <v>0</v>
      </c>
      <c r="BY168" s="37" t="n">
        <f aca="false">BY158-BY165-BY166</f>
        <v>0</v>
      </c>
      <c r="BZ168" s="37" t="n">
        <f aca="false">BZ158-BZ165-BZ166</f>
        <v>0</v>
      </c>
      <c r="CA168" s="37" t="n">
        <f aca="false">CA158-CA165-CA166</f>
        <v>0</v>
      </c>
      <c r="CB168" s="37" t="n">
        <f aca="false">CB158-CB165-CB166</f>
        <v>0</v>
      </c>
      <c r="CC168" s="37" t="n">
        <f aca="false">CC158-CC165-CC166</f>
        <v>0</v>
      </c>
      <c r="CD168" s="37" t="n">
        <f aca="false">CD158-CD165-CD166</f>
        <v>0</v>
      </c>
      <c r="CE168" s="37" t="n">
        <f aca="false">CE158-CE165-CE166</f>
        <v>0</v>
      </c>
      <c r="CF168" s="37" t="n">
        <f aca="false">CF158-CF165-CF166</f>
        <v>0</v>
      </c>
      <c r="CG168" s="37" t="n">
        <f aca="false">CG158-CG165-CG166</f>
        <v>0</v>
      </c>
      <c r="CH168" s="37" t="n">
        <f aca="false">CH158-CH165-CH166</f>
        <v>0</v>
      </c>
      <c r="CI168" s="37" t="n">
        <f aca="false">CI158-CI165-CI166</f>
        <v>0</v>
      </c>
      <c r="CJ168" s="37" t="n">
        <f aca="false">CJ158-CJ165-CJ166</f>
        <v>0</v>
      </c>
      <c r="CK168" s="37" t="n">
        <f aca="false">CK158-CK165-CK166</f>
        <v>0</v>
      </c>
      <c r="CL168" s="37" t="n">
        <f aca="false">CL158-CL165-CL166</f>
        <v>0</v>
      </c>
      <c r="CM168" s="37" t="n">
        <f aca="false">CM158-CM165-CM166</f>
        <v>0</v>
      </c>
      <c r="CN168" s="37" t="n">
        <f aca="false">CN158-CN165-CN166</f>
        <v>0</v>
      </c>
      <c r="CO168" s="37" t="n">
        <f aca="false">CO158-CO165-CO166</f>
        <v>261.043305956303</v>
      </c>
      <c r="CP168" s="37" t="n">
        <f aca="false">CP158-CP165-CP166</f>
        <v>331.306003809362</v>
      </c>
      <c r="CQ168" s="37" t="n">
        <f aca="false">CQ158-CQ165-CQ166</f>
        <v>331.306003809362</v>
      </c>
      <c r="CR168" s="37" t="n">
        <f aca="false">CR158-CR165-CR166</f>
        <v>331.306003809362</v>
      </c>
      <c r="CS168" s="37" t="n">
        <f aca="false">CS158-CS165-CS166</f>
        <v>331.306003809362</v>
      </c>
      <c r="CT168" s="37" t="n">
        <f aca="false">CT158-CT165-CT166</f>
        <v>331.306003809362</v>
      </c>
      <c r="CU168" s="37" t="n">
        <f aca="false">CU158-CU165-CU166</f>
        <v>331.306003809362</v>
      </c>
      <c r="CV168" s="37" t="n">
        <f aca="false">CV158-CV165-CV166</f>
        <v>331.306003809362</v>
      </c>
      <c r="CW168" s="37" t="n">
        <f aca="false">CW158-CW165-CW166</f>
        <v>339.565981228184</v>
      </c>
      <c r="CX168" s="37" t="n">
        <f aca="false">CX158-CX165-CX166</f>
        <v>339.565981228184</v>
      </c>
      <c r="CY168" s="37" t="n">
        <f aca="false">CY158-CY165-CY166</f>
        <v>339.565981228184</v>
      </c>
      <c r="CZ168" s="37" t="n">
        <f aca="false">CZ158-CZ165-CZ166</f>
        <v>339.565981228184</v>
      </c>
      <c r="DA168" s="37" t="n">
        <f aca="false">DA158-DA165-DA166</f>
        <v>339.565981228184</v>
      </c>
      <c r="DB168" s="37" t="n">
        <f aca="false">DB158-DB165-DB166</f>
        <v>339.565981228184</v>
      </c>
      <c r="DC168" s="37" t="n">
        <f aca="false">DC158-DC165-DC166</f>
        <v>339.565981228184</v>
      </c>
      <c r="DD168" s="37" t="n">
        <f aca="false">DD158-DD165-DD166</f>
        <v>339.565981228184</v>
      </c>
      <c r="DE168" s="37" t="n">
        <f aca="false">DE158-DE165-DE166</f>
        <v>339.565981228184</v>
      </c>
      <c r="DF168" s="37" t="n">
        <f aca="false">DF158-DF165-DF166</f>
        <v>339.565981228184</v>
      </c>
      <c r="DG168" s="37" t="n">
        <f aca="false">DG158-DG165-DG166</f>
        <v>339.565981228184</v>
      </c>
      <c r="DH168" s="37" t="n">
        <f aca="false">DH158-DH165-DH166</f>
        <v>339.565981228184</v>
      </c>
      <c r="DI168" s="37" t="n">
        <f aca="false">DI158-DI165-DI166</f>
        <v>347.991158195382</v>
      </c>
      <c r="DJ168" s="37" t="n">
        <f aca="false">DJ158-DJ165-DJ166</f>
        <v>347.991158195382</v>
      </c>
      <c r="DK168" s="37" t="n">
        <f aca="false">DK158-DK165-DK166</f>
        <v>347.991158195382</v>
      </c>
      <c r="DL168" s="37" t="n">
        <f aca="false">DL158-DL165-DL166</f>
        <v>347.991158195382</v>
      </c>
      <c r="DM168" s="37" t="n">
        <f aca="false">DM158-DM165-DM166</f>
        <v>347.991158195382</v>
      </c>
      <c r="DN168" s="37" t="n">
        <f aca="false">DN158-DN165-DN166</f>
        <v>347.991158195382</v>
      </c>
      <c r="DO168" s="37" t="n">
        <f aca="false">DO158-DO165-DO166</f>
        <v>347.991158195382</v>
      </c>
      <c r="DP168" s="37" t="n">
        <f aca="false">DP158-DP165-DP166</f>
        <v>347.991158195382</v>
      </c>
      <c r="DQ168" s="37" t="n">
        <f aca="false">DQ158-DQ165-DQ166</f>
        <v>347.991158195382</v>
      </c>
      <c r="DR168" s="37" t="n">
        <f aca="false">DR158-DR165-DR166</f>
        <v>347.991158195382</v>
      </c>
      <c r="DS168" s="37" t="n">
        <f aca="false">DS158-DS165-DS166</f>
        <v>347.991158195382</v>
      </c>
      <c r="DT168" s="37" t="n">
        <f aca="false">DT158-DT165-DT166</f>
        <v>0</v>
      </c>
      <c r="DU168" s="37" t="n">
        <f aca="false">DU158-DU165-DU166</f>
        <v>0</v>
      </c>
      <c r="DV168" s="37" t="n">
        <f aca="false">DV158-DV165-DV166</f>
        <v>0</v>
      </c>
      <c r="DW168" s="37" t="n">
        <f aca="false">DW158-DW165-DW166</f>
        <v>0</v>
      </c>
      <c r="DX168" s="37" t="n">
        <f aca="false">DX158-DX165-DX166</f>
        <v>0</v>
      </c>
      <c r="DY168" s="37" t="n">
        <f aca="false">DY158-DY165-DY166</f>
        <v>0</v>
      </c>
      <c r="DZ168" s="37" t="n">
        <f aca="false">DZ158-DZ165-DZ166</f>
        <v>0</v>
      </c>
      <c r="EA168" s="37" t="n">
        <f aca="false">EA158-EA165-EA166</f>
        <v>0</v>
      </c>
      <c r="EB168" s="37" t="n">
        <f aca="false">EB158-EB165-EB166</f>
        <v>0</v>
      </c>
      <c r="EC168" s="37" t="n">
        <f aca="false">EC158-EC165-EC166</f>
        <v>0</v>
      </c>
      <c r="ED168" s="37" t="n">
        <f aca="false">ED158-ED165-ED166</f>
        <v>0</v>
      </c>
      <c r="EE168" s="37" t="n">
        <f aca="false">EE158-EE165-EE166</f>
        <v>0</v>
      </c>
      <c r="EF168" s="37" t="n">
        <f aca="false">EF158-EF165-EF166</f>
        <v>0</v>
      </c>
    </row>
    <row r="170" customFormat="false" ht="15" hidden="false" customHeight="false" outlineLevel="0" collapsed="false">
      <c r="A170" s="6" t="s">
        <v>698</v>
      </c>
      <c r="B170" s="7"/>
      <c r="C170" s="286" t="s">
        <v>699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</row>
    <row r="171" customFormat="false" ht="15" hidden="false" customHeight="false" outlineLevel="0" collapsed="false">
      <c r="A171" s="36" t="s">
        <v>700</v>
      </c>
      <c r="B171" s="278" t="s">
        <v>21</v>
      </c>
      <c r="C171" s="287" t="n">
        <f aca="false">IFERROR((1+IRR(E171:EF171,0.01))^12-1,IFERROR((1+IRR(E171:EF171,-0.05))^12-1,-1))</f>
        <v>-0.10503089550599</v>
      </c>
      <c r="E171" s="37" t="n">
        <f aca="false">-E140+E168</f>
        <v>-4369.01523517956</v>
      </c>
      <c r="F171" s="37" t="n">
        <f aca="false">-F140+F168</f>
        <v>0</v>
      </c>
      <c r="G171" s="37" t="n">
        <f aca="false">-G140+G168</f>
        <v>0</v>
      </c>
      <c r="H171" s="37" t="n">
        <f aca="false">-H140+H168</f>
        <v>0</v>
      </c>
      <c r="I171" s="37" t="n">
        <f aca="false">-I140+I168</f>
        <v>0</v>
      </c>
      <c r="J171" s="37" t="n">
        <f aca="false">-J140+J168</f>
        <v>0</v>
      </c>
      <c r="K171" s="37" t="n">
        <f aca="false">-K140+K168</f>
        <v>0</v>
      </c>
      <c r="L171" s="37" t="n">
        <f aca="false">-L140+L168</f>
        <v>0</v>
      </c>
      <c r="M171" s="37" t="n">
        <f aca="false">-M140+M168</f>
        <v>0</v>
      </c>
      <c r="N171" s="37" t="n">
        <f aca="false">-N140+N168</f>
        <v>0</v>
      </c>
      <c r="O171" s="37" t="n">
        <f aca="false">-O140+O168</f>
        <v>0</v>
      </c>
      <c r="P171" s="37" t="n">
        <f aca="false">-P140+P168</f>
        <v>0</v>
      </c>
      <c r="Q171" s="37" t="n">
        <f aca="false">-Q140+Q168</f>
        <v>0</v>
      </c>
      <c r="R171" s="37" t="n">
        <f aca="false">-R140+R168</f>
        <v>0</v>
      </c>
      <c r="S171" s="37" t="n">
        <f aca="false">-S140+S168</f>
        <v>0</v>
      </c>
      <c r="T171" s="37" t="n">
        <f aca="false">-T140+T168</f>
        <v>0</v>
      </c>
      <c r="U171" s="37" t="n">
        <f aca="false">-U140+U168</f>
        <v>0</v>
      </c>
      <c r="V171" s="37" t="n">
        <f aca="false">-V140+V168</f>
        <v>0</v>
      </c>
      <c r="W171" s="37" t="n">
        <f aca="false">-W140+W168</f>
        <v>-19440.3320954992</v>
      </c>
      <c r="X171" s="37" t="n">
        <f aca="false">-X140+X168</f>
        <v>0</v>
      </c>
      <c r="Y171" s="37" t="n">
        <f aca="false">-Y140+Y168</f>
        <v>0</v>
      </c>
      <c r="Z171" s="37" t="n">
        <f aca="false">-Z140+Z168</f>
        <v>0</v>
      </c>
      <c r="AA171" s="37" t="n">
        <f aca="false">-AA140+AA168</f>
        <v>0</v>
      </c>
      <c r="AB171" s="37" t="n">
        <f aca="false">-AB140+AB168</f>
        <v>0</v>
      </c>
      <c r="AC171" s="37" t="n">
        <f aca="false">-AC140+AC168</f>
        <v>0</v>
      </c>
      <c r="AD171" s="37" t="n">
        <f aca="false">-AD140+AD168</f>
        <v>0</v>
      </c>
      <c r="AE171" s="37" t="n">
        <f aca="false">-AE140+AE168</f>
        <v>0</v>
      </c>
      <c r="AF171" s="37" t="n">
        <f aca="false">-AF140+AF168</f>
        <v>0</v>
      </c>
      <c r="AG171" s="37" t="n">
        <f aca="false">-AG140+AG168</f>
        <v>0</v>
      </c>
      <c r="AH171" s="37" t="n">
        <f aca="false">-AH140+AH168</f>
        <v>0</v>
      </c>
      <c r="AI171" s="37" t="n">
        <f aca="false">-AI140+AI168</f>
        <v>0</v>
      </c>
      <c r="AJ171" s="37" t="n">
        <f aca="false">-AJ140+AJ168</f>
        <v>0</v>
      </c>
      <c r="AK171" s="37" t="n">
        <f aca="false">-AK140+AK168</f>
        <v>0</v>
      </c>
      <c r="AL171" s="37" t="n">
        <f aca="false">-AL140+AL168</f>
        <v>0</v>
      </c>
      <c r="AM171" s="37" t="n">
        <f aca="false">-AM140+AM168</f>
        <v>0</v>
      </c>
      <c r="AN171" s="37" t="n">
        <f aca="false">-AN140+AN168</f>
        <v>0</v>
      </c>
      <c r="AO171" s="37" t="n">
        <f aca="false">-AO140+AO168</f>
        <v>0</v>
      </c>
      <c r="AP171" s="37" t="n">
        <f aca="false">-AP140+AP168</f>
        <v>0</v>
      </c>
      <c r="AQ171" s="37" t="n">
        <f aca="false">-AQ140+AQ168</f>
        <v>0</v>
      </c>
      <c r="AR171" s="37" t="n">
        <f aca="false">-AR140+AR168</f>
        <v>0</v>
      </c>
      <c r="AS171" s="37" t="n">
        <f aca="false">-AS140+AS168</f>
        <v>0</v>
      </c>
      <c r="AT171" s="37" t="n">
        <f aca="false">-AT140+AT168</f>
        <v>0</v>
      </c>
      <c r="AU171" s="37" t="n">
        <f aca="false">-AU140+AU168</f>
        <v>0</v>
      </c>
      <c r="AV171" s="37" t="n">
        <f aca="false">-AV140+AV168</f>
        <v>0</v>
      </c>
      <c r="AW171" s="37" t="n">
        <f aca="false">-AW140+AW168</f>
        <v>0</v>
      </c>
      <c r="AX171" s="37" t="n">
        <f aca="false">-AX140+AX168</f>
        <v>0</v>
      </c>
      <c r="AY171" s="37" t="n">
        <f aca="false">-AY140+AY168</f>
        <v>0</v>
      </c>
      <c r="AZ171" s="37" t="n">
        <f aca="false">-AZ140+AZ168</f>
        <v>0</v>
      </c>
      <c r="BA171" s="37" t="n">
        <f aca="false">-BA140+BA168</f>
        <v>0</v>
      </c>
      <c r="BB171" s="37" t="n">
        <f aca="false">-BB140+BB168</f>
        <v>0</v>
      </c>
      <c r="BC171" s="37" t="n">
        <f aca="false">-BC140+BC168</f>
        <v>0</v>
      </c>
      <c r="BD171" s="37" t="n">
        <f aca="false">-BD140+BD168</f>
        <v>0</v>
      </c>
      <c r="BE171" s="37" t="n">
        <f aca="false">-BE140+BE168</f>
        <v>0</v>
      </c>
      <c r="BF171" s="37" t="n">
        <f aca="false">-BF140+BF168</f>
        <v>0</v>
      </c>
      <c r="BG171" s="37" t="n">
        <f aca="false">-BG140+BG168</f>
        <v>0</v>
      </c>
      <c r="BH171" s="37" t="n">
        <f aca="false">-BH140+BH168</f>
        <v>0</v>
      </c>
      <c r="BI171" s="37" t="n">
        <f aca="false">-BI140+BI168</f>
        <v>0</v>
      </c>
      <c r="BJ171" s="37" t="n">
        <f aca="false">-BJ140+BJ168</f>
        <v>0</v>
      </c>
      <c r="BK171" s="37" t="n">
        <f aca="false">-BK140+BK168</f>
        <v>0</v>
      </c>
      <c r="BL171" s="37" t="n">
        <f aca="false">-BL140+BL168</f>
        <v>0</v>
      </c>
      <c r="BM171" s="37" t="n">
        <f aca="false">-BM140+BM168</f>
        <v>0</v>
      </c>
      <c r="BN171" s="37" t="n">
        <f aca="false">-BN140+BN168</f>
        <v>0</v>
      </c>
      <c r="BO171" s="37" t="n">
        <f aca="false">-BO140+BO168</f>
        <v>0</v>
      </c>
      <c r="BP171" s="37" t="n">
        <f aca="false">-BP140+BP168</f>
        <v>0</v>
      </c>
      <c r="BQ171" s="37" t="n">
        <f aca="false">-BQ140+BQ168</f>
        <v>0</v>
      </c>
      <c r="BR171" s="37" t="n">
        <f aca="false">-BR140+BR168</f>
        <v>0</v>
      </c>
      <c r="BS171" s="37" t="n">
        <f aca="false">-BS140+BS168</f>
        <v>0</v>
      </c>
      <c r="BT171" s="37" t="n">
        <f aca="false">-BT140+BT168</f>
        <v>0</v>
      </c>
      <c r="BU171" s="37" t="n">
        <f aca="false">-BU140+BU168</f>
        <v>0</v>
      </c>
      <c r="BV171" s="37" t="n">
        <f aca="false">-BV140+BV168</f>
        <v>0</v>
      </c>
      <c r="BW171" s="37" t="n">
        <f aca="false">-BW140+BW168</f>
        <v>0</v>
      </c>
      <c r="BX171" s="37" t="n">
        <f aca="false">-BX140+BX168</f>
        <v>0</v>
      </c>
      <c r="BY171" s="37" t="n">
        <f aca="false">-BY140+BY168</f>
        <v>0</v>
      </c>
      <c r="BZ171" s="37" t="n">
        <f aca="false">-BZ140+BZ168</f>
        <v>0</v>
      </c>
      <c r="CA171" s="37" t="n">
        <f aca="false">-CA140+CA168</f>
        <v>0</v>
      </c>
      <c r="CB171" s="37" t="n">
        <f aca="false">-CB140+CB168</f>
        <v>0</v>
      </c>
      <c r="CC171" s="37" t="n">
        <f aca="false">-CC140+CC168</f>
        <v>0</v>
      </c>
      <c r="CD171" s="37" t="n">
        <f aca="false">-CD140+CD168</f>
        <v>0</v>
      </c>
      <c r="CE171" s="37" t="n">
        <f aca="false">-CE140+CE168</f>
        <v>0</v>
      </c>
      <c r="CF171" s="37" t="n">
        <f aca="false">-CF140+CF168</f>
        <v>0</v>
      </c>
      <c r="CG171" s="37" t="n">
        <f aca="false">-CG140+CG168</f>
        <v>0</v>
      </c>
      <c r="CH171" s="37" t="n">
        <f aca="false">-CH140+CH168</f>
        <v>0</v>
      </c>
      <c r="CI171" s="37" t="n">
        <f aca="false">-CI140+CI168</f>
        <v>0</v>
      </c>
      <c r="CJ171" s="37" t="n">
        <f aca="false">-CJ140+CJ168</f>
        <v>0</v>
      </c>
      <c r="CK171" s="37" t="n">
        <f aca="false">-CK140+CK168</f>
        <v>0</v>
      </c>
      <c r="CL171" s="37" t="n">
        <f aca="false">-CL140+CL168</f>
        <v>0</v>
      </c>
      <c r="CM171" s="37" t="n">
        <f aca="false">-CM140+CM168</f>
        <v>0</v>
      </c>
      <c r="CN171" s="37" t="n">
        <f aca="false">-CN140+CN168</f>
        <v>0</v>
      </c>
      <c r="CO171" s="37" t="n">
        <f aca="false">-CO140+CO168</f>
        <v>261.043305956303</v>
      </c>
      <c r="CP171" s="37" t="n">
        <f aca="false">-CP140+CP168</f>
        <v>331.306003809362</v>
      </c>
      <c r="CQ171" s="37" t="n">
        <f aca="false">-CQ140+CQ168</f>
        <v>331.306003809362</v>
      </c>
      <c r="CR171" s="37" t="n">
        <f aca="false">-CR140+CR168</f>
        <v>331.306003809362</v>
      </c>
      <c r="CS171" s="37" t="n">
        <f aca="false">-CS140+CS168</f>
        <v>331.306003809362</v>
      </c>
      <c r="CT171" s="37" t="n">
        <f aca="false">-CT140+CT168</f>
        <v>331.306003809362</v>
      </c>
      <c r="CU171" s="37" t="n">
        <f aca="false">-CU140+CU168</f>
        <v>331.306003809362</v>
      </c>
      <c r="CV171" s="37" t="n">
        <f aca="false">-CV140+CV168</f>
        <v>331.306003809362</v>
      </c>
      <c r="CW171" s="37" t="n">
        <f aca="false">-CW140+CW168</f>
        <v>339.565981228184</v>
      </c>
      <c r="CX171" s="37" t="n">
        <f aca="false">-CX140+CX168</f>
        <v>339.565981228184</v>
      </c>
      <c r="CY171" s="37" t="n">
        <f aca="false">-CY140+CY168</f>
        <v>339.565981228184</v>
      </c>
      <c r="CZ171" s="37" t="n">
        <f aca="false">-CZ140+CZ168</f>
        <v>339.565981228184</v>
      </c>
      <c r="DA171" s="37" t="n">
        <f aca="false">-DA140+DA168</f>
        <v>339.565981228184</v>
      </c>
      <c r="DB171" s="37" t="n">
        <f aca="false">-DB140+DB168</f>
        <v>339.565981228184</v>
      </c>
      <c r="DC171" s="37" t="n">
        <f aca="false">-DC140+DC168</f>
        <v>339.565981228184</v>
      </c>
      <c r="DD171" s="37" t="n">
        <f aca="false">-DD140+DD168</f>
        <v>339.565981228184</v>
      </c>
      <c r="DE171" s="37" t="n">
        <f aca="false">-DE140+DE168</f>
        <v>339.565981228184</v>
      </c>
      <c r="DF171" s="37" t="n">
        <f aca="false">-DF140+DF168</f>
        <v>339.565981228184</v>
      </c>
      <c r="DG171" s="37" t="n">
        <f aca="false">-DG140+DG168</f>
        <v>339.565981228184</v>
      </c>
      <c r="DH171" s="37" t="n">
        <f aca="false">-DH140+DH168</f>
        <v>339.565981228184</v>
      </c>
      <c r="DI171" s="37" t="n">
        <f aca="false">-DI140+DI168</f>
        <v>347.991158195382</v>
      </c>
      <c r="DJ171" s="37" t="n">
        <f aca="false">-DJ140+DJ168</f>
        <v>347.991158195382</v>
      </c>
      <c r="DK171" s="37" t="n">
        <f aca="false">-DK140+DK168</f>
        <v>347.991158195382</v>
      </c>
      <c r="DL171" s="37" t="n">
        <f aca="false">-DL140+DL168</f>
        <v>347.991158195382</v>
      </c>
      <c r="DM171" s="37" t="n">
        <f aca="false">-DM140+DM168</f>
        <v>347.991158195382</v>
      </c>
      <c r="DN171" s="37" t="n">
        <f aca="false">-DN140+DN168</f>
        <v>347.991158195382</v>
      </c>
      <c r="DO171" s="37" t="n">
        <f aca="false">-DO140+DO168</f>
        <v>347.991158195382</v>
      </c>
      <c r="DP171" s="37" t="n">
        <f aca="false">-DP140+DP168</f>
        <v>347.991158195382</v>
      </c>
      <c r="DQ171" s="37" t="n">
        <f aca="false">-DQ140+DQ168</f>
        <v>347.991158195382</v>
      </c>
      <c r="DR171" s="37" t="n">
        <f aca="false">-DR140+DR168</f>
        <v>347.991158195382</v>
      </c>
      <c r="DS171" s="37" t="n">
        <f aca="false">-DS140+DS168</f>
        <v>347.991158195382</v>
      </c>
      <c r="DT171" s="37" t="n">
        <f aca="false">-DT140+DT168</f>
        <v>0</v>
      </c>
      <c r="DU171" s="37" t="n">
        <f aca="false">-DU140+DU168</f>
        <v>0</v>
      </c>
      <c r="DV171" s="37" t="n">
        <f aca="false">-DV140+DV168</f>
        <v>0</v>
      </c>
      <c r="DW171" s="37" t="n">
        <f aca="false">-DW140+DW168</f>
        <v>0</v>
      </c>
      <c r="DX171" s="37" t="n">
        <f aca="false">-DX140+DX168</f>
        <v>0</v>
      </c>
      <c r="DY171" s="37" t="n">
        <f aca="false">-DY140+DY168</f>
        <v>0</v>
      </c>
      <c r="DZ171" s="37" t="n">
        <f aca="false">-DZ140+DZ168</f>
        <v>0</v>
      </c>
      <c r="EA171" s="37" t="n">
        <f aca="false">-EA140+EA168</f>
        <v>0</v>
      </c>
      <c r="EB171" s="37" t="n">
        <f aca="false">-EB140+EB168</f>
        <v>0</v>
      </c>
      <c r="EC171" s="37" t="n">
        <f aca="false">-EC140+EC168</f>
        <v>0</v>
      </c>
      <c r="ED171" s="37" t="n">
        <f aca="false">-ED140+ED168</f>
        <v>0</v>
      </c>
      <c r="EE171" s="37" t="n">
        <f aca="false">-EE140+EE168</f>
        <v>0</v>
      </c>
      <c r="EF171" s="37" t="n">
        <f aca="false">-EF140+EF168</f>
        <v>0</v>
      </c>
    </row>
    <row r="172" customFormat="false" ht="15" hidden="false" customHeight="false" outlineLevel="0" collapsed="false">
      <c r="A172" s="36" t="s">
        <v>701</v>
      </c>
      <c r="B172" s="278" t="s">
        <v>21</v>
      </c>
      <c r="C172" s="287" t="n">
        <f aca="false">IFERROR((1+IRR(E172:EF172,0.01))^12-1,IFERROR((1+IRR(E172:EF172,-0.05))^12-1,-1))</f>
        <v>-0.145471194570466</v>
      </c>
      <c r="E172" s="37" t="n">
        <f aca="false">-E141+E165+E166</f>
        <v>0</v>
      </c>
      <c r="F172" s="37" t="n">
        <f aca="false">-F141+F165+F166</f>
        <v>0</v>
      </c>
      <c r="G172" s="37" t="n">
        <f aca="false">-G141+G165+G166</f>
        <v>0</v>
      </c>
      <c r="H172" s="37" t="n">
        <f aca="false">-H141+H165+H166</f>
        <v>0</v>
      </c>
      <c r="I172" s="37" t="n">
        <f aca="false">-I141+I165+I166</f>
        <v>0</v>
      </c>
      <c r="J172" s="37" t="n">
        <f aca="false">-J141+J165+J166</f>
        <v>0</v>
      </c>
      <c r="K172" s="37" t="n">
        <f aca="false">-K141+K165+K166</f>
        <v>0</v>
      </c>
      <c r="L172" s="37" t="n">
        <f aca="false">-L141+L165+L166</f>
        <v>0</v>
      </c>
      <c r="M172" s="37" t="n">
        <f aca="false">-M141+M165+M166</f>
        <v>0</v>
      </c>
      <c r="N172" s="37" t="n">
        <f aca="false">-N141+N165+N166</f>
        <v>0</v>
      </c>
      <c r="O172" s="37" t="n">
        <f aca="false">-O141+O165+O166</f>
        <v>0</v>
      </c>
      <c r="P172" s="37" t="n">
        <f aca="false">-P141+P165+P166</f>
        <v>0</v>
      </c>
      <c r="Q172" s="37" t="n">
        <f aca="false">-Q141+Q165+Q166</f>
        <v>0</v>
      </c>
      <c r="R172" s="37" t="n">
        <f aca="false">-R141+R165+R166</f>
        <v>0</v>
      </c>
      <c r="S172" s="37" t="n">
        <f aca="false">-S141+S165+S166</f>
        <v>0</v>
      </c>
      <c r="T172" s="37" t="n">
        <f aca="false">-T141+T165+T166</f>
        <v>0</v>
      </c>
      <c r="U172" s="37" t="n">
        <f aca="false">-U141+U165+U166</f>
        <v>0</v>
      </c>
      <c r="V172" s="37" t="n">
        <f aca="false">-V141+V165+V166</f>
        <v>0</v>
      </c>
      <c r="W172" s="37" t="n">
        <f aca="false">-W141+W165+W166</f>
        <v>-55555.1437715838</v>
      </c>
      <c r="X172" s="37" t="n">
        <f aca="false">-X141+X165+X166</f>
        <v>0</v>
      </c>
      <c r="Y172" s="37" t="n">
        <f aca="false">-Y141+Y165+Y166</f>
        <v>0</v>
      </c>
      <c r="Z172" s="37" t="n">
        <f aca="false">-Z141+Z165+Z166</f>
        <v>0</v>
      </c>
      <c r="AA172" s="37" t="n">
        <f aca="false">-AA141+AA165+AA166</f>
        <v>0</v>
      </c>
      <c r="AB172" s="37" t="n">
        <f aca="false">-AB141+AB165+AB166</f>
        <v>0</v>
      </c>
      <c r="AC172" s="37" t="n">
        <f aca="false">-AC141+AC165+AC166</f>
        <v>0</v>
      </c>
      <c r="AD172" s="37" t="n">
        <f aca="false">-AD141+AD165+AD166</f>
        <v>0</v>
      </c>
      <c r="AE172" s="37" t="n">
        <f aca="false">-AE141+AE165+AE166</f>
        <v>0</v>
      </c>
      <c r="AF172" s="37" t="n">
        <f aca="false">-AF141+AF165+AF166</f>
        <v>0</v>
      </c>
      <c r="AG172" s="37" t="n">
        <f aca="false">-AG141+AG165+AG166</f>
        <v>0</v>
      </c>
      <c r="AH172" s="37" t="n">
        <f aca="false">-AH141+AH165+AH166</f>
        <v>0</v>
      </c>
      <c r="AI172" s="37" t="n">
        <f aca="false">-AI141+AI165+AI166</f>
        <v>0</v>
      </c>
      <c r="AJ172" s="37" t="n">
        <f aca="false">-AJ141+AJ165+AJ166</f>
        <v>0</v>
      </c>
      <c r="AK172" s="37" t="n">
        <f aca="false">-AK141+AK165+AK166</f>
        <v>0</v>
      </c>
      <c r="AL172" s="37" t="n">
        <f aca="false">-AL141+AL165+AL166</f>
        <v>0</v>
      </c>
      <c r="AM172" s="37" t="n">
        <f aca="false">-AM141+AM165+AM166</f>
        <v>0</v>
      </c>
      <c r="AN172" s="37" t="n">
        <f aca="false">-AN141+AN165+AN166</f>
        <v>0</v>
      </c>
      <c r="AO172" s="37" t="n">
        <f aca="false">-AO141+AO165+AO166</f>
        <v>0</v>
      </c>
      <c r="AP172" s="37" t="n">
        <f aca="false">-AP141+AP165+AP166</f>
        <v>0</v>
      </c>
      <c r="AQ172" s="37" t="n">
        <f aca="false">-AQ141+AQ165+AQ166</f>
        <v>0</v>
      </c>
      <c r="AR172" s="37" t="n">
        <f aca="false">-AR141+AR165+AR166</f>
        <v>0</v>
      </c>
      <c r="AS172" s="37" t="n">
        <f aca="false">-AS141+AS165+AS166</f>
        <v>0</v>
      </c>
      <c r="AT172" s="37" t="n">
        <f aca="false">-AT141+AT165+AT166</f>
        <v>0</v>
      </c>
      <c r="AU172" s="37" t="n">
        <f aca="false">-AU141+AU165+AU166</f>
        <v>0</v>
      </c>
      <c r="AV172" s="37" t="n">
        <f aca="false">-AV141+AV165+AV166</f>
        <v>0</v>
      </c>
      <c r="AW172" s="37" t="n">
        <f aca="false">-AW141+AW165+AW166</f>
        <v>0</v>
      </c>
      <c r="AX172" s="37" t="n">
        <f aca="false">-AX141+AX165+AX166</f>
        <v>0</v>
      </c>
      <c r="AY172" s="37" t="n">
        <f aca="false">-AY141+AY165+AY166</f>
        <v>0</v>
      </c>
      <c r="AZ172" s="37" t="n">
        <f aca="false">-AZ141+AZ165+AZ166</f>
        <v>0</v>
      </c>
      <c r="BA172" s="37" t="n">
        <f aca="false">-BA141+BA165+BA166</f>
        <v>0</v>
      </c>
      <c r="BB172" s="37" t="n">
        <f aca="false">-BB141+BB165+BB166</f>
        <v>0</v>
      </c>
      <c r="BC172" s="37" t="n">
        <f aca="false">-BC141+BC165+BC166</f>
        <v>0</v>
      </c>
      <c r="BD172" s="37" t="n">
        <f aca="false">-BD141+BD165+BD166</f>
        <v>0</v>
      </c>
      <c r="BE172" s="37" t="n">
        <f aca="false">-BE141+BE165+BE166</f>
        <v>0</v>
      </c>
      <c r="BF172" s="37" t="n">
        <f aca="false">-BF141+BF165+BF166</f>
        <v>0</v>
      </c>
      <c r="BG172" s="37" t="n">
        <f aca="false">-BG141+BG165+BG166</f>
        <v>0</v>
      </c>
      <c r="BH172" s="37" t="n">
        <f aca="false">-BH141+BH165+BH166</f>
        <v>0</v>
      </c>
      <c r="BI172" s="37" t="n">
        <f aca="false">-BI141+BI165+BI166</f>
        <v>0</v>
      </c>
      <c r="BJ172" s="37" t="n">
        <f aca="false">-BJ141+BJ165+BJ166</f>
        <v>0</v>
      </c>
      <c r="BK172" s="37" t="n">
        <f aca="false">-BK141+BK165+BK166</f>
        <v>0</v>
      </c>
      <c r="BL172" s="37" t="n">
        <f aca="false">-BL141+BL165+BL166</f>
        <v>0</v>
      </c>
      <c r="BM172" s="37" t="n">
        <f aca="false">-BM141+BM165+BM166</f>
        <v>5718.17218895898</v>
      </c>
      <c r="BN172" s="37" t="n">
        <f aca="false">-BN141+BN165+BN166</f>
        <v>224.861286847199</v>
      </c>
      <c r="BO172" s="37" t="n">
        <f aca="false">-BO141+BO165+BO166</f>
        <v>224.861286847199</v>
      </c>
      <c r="BP172" s="37" t="n">
        <f aca="false">-BP141+BP165+BP166</f>
        <v>224.861286847199</v>
      </c>
      <c r="BQ172" s="37" t="n">
        <f aca="false">-BQ141+BQ165+BQ166</f>
        <v>224.861286847199</v>
      </c>
      <c r="BR172" s="37" t="n">
        <f aca="false">-BR141+BR165+BR166</f>
        <v>224.861286847199</v>
      </c>
      <c r="BS172" s="37" t="n">
        <f aca="false">-BS141+BS165+BS166</f>
        <v>224.861286847199</v>
      </c>
      <c r="BT172" s="37" t="n">
        <f aca="false">-BT141+BT165+BT166</f>
        <v>224.861286847198</v>
      </c>
      <c r="BU172" s="37" t="n">
        <f aca="false">-BU141+BU165+BU166</f>
        <v>224.861286847198</v>
      </c>
      <c r="BV172" s="37" t="n">
        <f aca="false">-BV141+BV165+BV166</f>
        <v>224.861286847198</v>
      </c>
      <c r="BW172" s="37" t="n">
        <f aca="false">-BW141+BW165+BW166</f>
        <v>224.861286847198</v>
      </c>
      <c r="BX172" s="37" t="n">
        <f aca="false">-BX141+BX165+BX166</f>
        <v>224.861286847198</v>
      </c>
      <c r="BY172" s="37" t="n">
        <f aca="false">-BY141+BY165+BY166</f>
        <v>311.0465192759</v>
      </c>
      <c r="BZ172" s="37" t="n">
        <f aca="false">-BZ141+BZ165+BZ166</f>
        <v>549.5465192759</v>
      </c>
      <c r="CA172" s="37" t="n">
        <f aca="false">-CA141+CA165+CA166</f>
        <v>549.5465192759</v>
      </c>
      <c r="CB172" s="37" t="n">
        <f aca="false">-CB141+CB165+CB166</f>
        <v>549.5465192759</v>
      </c>
      <c r="CC172" s="37" t="n">
        <f aca="false">-CC141+CC165+CC166</f>
        <v>549.5465192759</v>
      </c>
      <c r="CD172" s="37" t="n">
        <f aca="false">-CD141+CD165+CD166</f>
        <v>549.5465192759</v>
      </c>
      <c r="CE172" s="37" t="n">
        <f aca="false">-CE141+CE165+CE166</f>
        <v>549.5465192759</v>
      </c>
      <c r="CF172" s="37" t="n">
        <f aca="false">-CF141+CF165+CF166</f>
        <v>549.5465192759</v>
      </c>
      <c r="CG172" s="37" t="n">
        <f aca="false">-CG141+CG165+CG166</f>
        <v>549.5465192759</v>
      </c>
      <c r="CH172" s="37" t="n">
        <f aca="false">-CH141+CH165+CH166</f>
        <v>549.5465192759</v>
      </c>
      <c r="CI172" s="37" t="n">
        <f aca="false">-CI141+CI165+CI166</f>
        <v>549.5465192759</v>
      </c>
      <c r="CJ172" s="37" t="n">
        <f aca="false">-CJ141+CJ165+CJ166</f>
        <v>549.5465192759</v>
      </c>
      <c r="CK172" s="37" t="n">
        <f aca="false">-CK141+CK165+CK166</f>
        <v>557.644536353176</v>
      </c>
      <c r="CL172" s="37" t="n">
        <f aca="false">-CL141+CL165+CL166</f>
        <v>557.644536353176</v>
      </c>
      <c r="CM172" s="37" t="n">
        <f aca="false">-CM141+CM165+CM166</f>
        <v>557.644536353176</v>
      </c>
      <c r="CN172" s="37" t="n">
        <f aca="false">-CN141+CN165+CN166</f>
        <v>557.644536353176</v>
      </c>
      <c r="CO172" s="37" t="n">
        <f aca="false">-CO141+CO165+CO166</f>
        <v>296.601230396873</v>
      </c>
      <c r="CP172" s="37" t="n">
        <f aca="false">-CP141+CP165+CP166</f>
        <v>226.338532543813</v>
      </c>
      <c r="CQ172" s="37" t="n">
        <f aca="false">-CQ141+CQ165+CQ166</f>
        <v>226.338532543813</v>
      </c>
      <c r="CR172" s="37" t="n">
        <f aca="false">-CR141+CR165+CR166</f>
        <v>226.338532543813</v>
      </c>
      <c r="CS172" s="37" t="n">
        <f aca="false">-CS141+CS165+CS166</f>
        <v>226.338532543813</v>
      </c>
      <c r="CT172" s="37" t="n">
        <f aca="false">-CT141+CT165+CT166</f>
        <v>226.338532543813</v>
      </c>
      <c r="CU172" s="37" t="n">
        <f aca="false">-CU141+CU165+CU166</f>
        <v>226.338532543813</v>
      </c>
      <c r="CV172" s="37" t="n">
        <f aca="false">-CV141+CV165+CV166</f>
        <v>226.338532543813</v>
      </c>
      <c r="CW172" s="37" t="n">
        <f aca="false">-CW141+CW165+CW166</f>
        <v>226.338532543813</v>
      </c>
      <c r="CX172" s="37" t="n">
        <f aca="false">-CX141+CX165+CX166</f>
        <v>226.338532543813</v>
      </c>
      <c r="CY172" s="37" t="n">
        <f aca="false">-CY141+CY165+CY166</f>
        <v>226.338532543813</v>
      </c>
      <c r="CZ172" s="37" t="n">
        <f aca="false">-CZ141+CZ165+CZ166</f>
        <v>226.338532543813</v>
      </c>
      <c r="DA172" s="37" t="n">
        <f aca="false">-DA141+DA165+DA166</f>
        <v>226.338532543813</v>
      </c>
      <c r="DB172" s="37" t="n">
        <f aca="false">-DB141+DB165+DB166</f>
        <v>226.338532543813</v>
      </c>
      <c r="DC172" s="37" t="n">
        <f aca="false">-DC141+DC165+DC166</f>
        <v>226.338532543813</v>
      </c>
      <c r="DD172" s="37" t="n">
        <f aca="false">-DD141+DD165+DD166</f>
        <v>226.338532543813</v>
      </c>
      <c r="DE172" s="37" t="n">
        <f aca="false">-DE141+DE165+DE166</f>
        <v>226.338532543813</v>
      </c>
      <c r="DF172" s="37" t="n">
        <f aca="false">-DF141+DF165+DF166</f>
        <v>226.338532543813</v>
      </c>
      <c r="DG172" s="37" t="n">
        <f aca="false">-DG141+DG165+DG166</f>
        <v>226.338532543813</v>
      </c>
      <c r="DH172" s="37" t="n">
        <f aca="false">-DH141+DH165+DH166</f>
        <v>226.338532543813</v>
      </c>
      <c r="DI172" s="37" t="n">
        <f aca="false">-DI141+DI165+DI166</f>
        <v>226.338532543813</v>
      </c>
      <c r="DJ172" s="37" t="n">
        <f aca="false">-DJ141+DJ165+DJ166</f>
        <v>226.338532543813</v>
      </c>
      <c r="DK172" s="37" t="n">
        <f aca="false">-DK141+DK165+DK166</f>
        <v>226.338532543813</v>
      </c>
      <c r="DL172" s="37" t="n">
        <f aca="false">-DL141+DL165+DL166</f>
        <v>226.338532543813</v>
      </c>
      <c r="DM172" s="37" t="n">
        <f aca="false">-DM141+DM165+DM166</f>
        <v>226.338532543813</v>
      </c>
      <c r="DN172" s="37" t="n">
        <f aca="false">-DN141+DN165+DN166</f>
        <v>226.338532543813</v>
      </c>
      <c r="DO172" s="37" t="n">
        <f aca="false">-DO141+DO165+DO166</f>
        <v>226.338532543813</v>
      </c>
      <c r="DP172" s="37" t="n">
        <f aca="false">-DP141+DP165+DP166</f>
        <v>226.338532543813</v>
      </c>
      <c r="DQ172" s="37" t="n">
        <f aca="false">-DQ141+DQ165+DQ166</f>
        <v>226.338532543813</v>
      </c>
      <c r="DR172" s="37" t="n">
        <f aca="false">-DR141+DR165+DR166</f>
        <v>226.338532543813</v>
      </c>
      <c r="DS172" s="37" t="n">
        <f aca="false">-DS141+DS165+DS166</f>
        <v>226.338532543813</v>
      </c>
      <c r="DT172" s="37" t="n">
        <f aca="false">-DT141+DT165+DT166</f>
        <v>0</v>
      </c>
      <c r="DU172" s="37" t="n">
        <f aca="false">-DU141+DU165+DU166</f>
        <v>0</v>
      </c>
      <c r="DV172" s="37" t="n">
        <f aca="false">-DV141+DV165+DV166</f>
        <v>0</v>
      </c>
      <c r="DW172" s="37" t="n">
        <f aca="false">-DW141+DW165+DW166</f>
        <v>0</v>
      </c>
      <c r="DX172" s="37" t="n">
        <f aca="false">-DX141+DX165+DX166</f>
        <v>0</v>
      </c>
      <c r="DY172" s="37" t="n">
        <f aca="false">-DY141+DY165+DY166</f>
        <v>0</v>
      </c>
      <c r="DZ172" s="37" t="n">
        <f aca="false">-DZ141+DZ165+DZ166</f>
        <v>0</v>
      </c>
      <c r="EA172" s="37" t="n">
        <f aca="false">-EA141+EA165+EA166</f>
        <v>0</v>
      </c>
      <c r="EB172" s="37" t="n">
        <f aca="false">-EB141+EB165+EB166</f>
        <v>0</v>
      </c>
      <c r="EC172" s="37" t="n">
        <f aca="false">-EC141+EC165+EC166</f>
        <v>0</v>
      </c>
      <c r="ED172" s="37" t="n">
        <f aca="false">-ED141+ED165+ED166</f>
        <v>0</v>
      </c>
      <c r="EE172" s="37" t="n">
        <f aca="false">-EE141+EE165+EE166</f>
        <v>0</v>
      </c>
      <c r="EF172" s="37" t="n">
        <f aca="false">-EF141+EF165+EF166</f>
        <v>0</v>
      </c>
    </row>
    <row r="173" customFormat="false" ht="15" hidden="false" customHeight="false" outlineLevel="0" collapsed="false">
      <c r="A173" s="280" t="s">
        <v>702</v>
      </c>
      <c r="B173" s="281" t="s">
        <v>21</v>
      </c>
      <c r="C173" s="288" t="n">
        <f aca="false">IFERROR((1+IRR(E173:EF173,0.01))^12-1,IFERROR((1+IRR(E173:EF173,-0.05))^12-1,-1))</f>
        <v>-0.12979711034386</v>
      </c>
      <c r="D173" s="48"/>
      <c r="E173" s="283" t="n">
        <f aca="false">E171+E172</f>
        <v>-4369.01523517956</v>
      </c>
      <c r="F173" s="283" t="n">
        <f aca="false">F171+F172</f>
        <v>0</v>
      </c>
      <c r="G173" s="283" t="n">
        <f aca="false">G171+G172</f>
        <v>0</v>
      </c>
      <c r="H173" s="283" t="n">
        <f aca="false">H171+H172</f>
        <v>0</v>
      </c>
      <c r="I173" s="283" t="n">
        <f aca="false">I171+I172</f>
        <v>0</v>
      </c>
      <c r="J173" s="283" t="n">
        <f aca="false">J171+J172</f>
        <v>0</v>
      </c>
      <c r="K173" s="283" t="n">
        <f aca="false">K171+K172</f>
        <v>0</v>
      </c>
      <c r="L173" s="283" t="n">
        <f aca="false">L171+L172</f>
        <v>0</v>
      </c>
      <c r="M173" s="283" t="n">
        <f aca="false">M171+M172</f>
        <v>0</v>
      </c>
      <c r="N173" s="283" t="n">
        <f aca="false">N171+N172</f>
        <v>0</v>
      </c>
      <c r="O173" s="283" t="n">
        <f aca="false">O171+O172</f>
        <v>0</v>
      </c>
      <c r="P173" s="283" t="n">
        <f aca="false">P171+P172</f>
        <v>0</v>
      </c>
      <c r="Q173" s="283" t="n">
        <f aca="false">Q171+Q172</f>
        <v>0</v>
      </c>
      <c r="R173" s="283" t="n">
        <f aca="false">R171+R172</f>
        <v>0</v>
      </c>
      <c r="S173" s="283" t="n">
        <f aca="false">S171+S172</f>
        <v>0</v>
      </c>
      <c r="T173" s="283" t="n">
        <f aca="false">T171+T172</f>
        <v>0</v>
      </c>
      <c r="U173" s="283" t="n">
        <f aca="false">U171+U172</f>
        <v>0</v>
      </c>
      <c r="V173" s="283" t="n">
        <f aca="false">V171+V172</f>
        <v>0</v>
      </c>
      <c r="W173" s="283" t="n">
        <f aca="false">W171+W172</f>
        <v>-74995.475867083</v>
      </c>
      <c r="X173" s="283" t="n">
        <f aca="false">X171+X172</f>
        <v>0</v>
      </c>
      <c r="Y173" s="283" t="n">
        <f aca="false">Y171+Y172</f>
        <v>0</v>
      </c>
      <c r="Z173" s="283" t="n">
        <f aca="false">Z171+Z172</f>
        <v>0</v>
      </c>
      <c r="AA173" s="283" t="n">
        <f aca="false">AA171+AA172</f>
        <v>0</v>
      </c>
      <c r="AB173" s="283" t="n">
        <f aca="false">AB171+AB172</f>
        <v>0</v>
      </c>
      <c r="AC173" s="283" t="n">
        <f aca="false">AC171+AC172</f>
        <v>0</v>
      </c>
      <c r="AD173" s="283" t="n">
        <f aca="false">AD171+AD172</f>
        <v>0</v>
      </c>
      <c r="AE173" s="283" t="n">
        <f aca="false">AE171+AE172</f>
        <v>0</v>
      </c>
      <c r="AF173" s="283" t="n">
        <f aca="false">AF171+AF172</f>
        <v>0</v>
      </c>
      <c r="AG173" s="283" t="n">
        <f aca="false">AG171+AG172</f>
        <v>0</v>
      </c>
      <c r="AH173" s="283" t="n">
        <f aca="false">AH171+AH172</f>
        <v>0</v>
      </c>
      <c r="AI173" s="283" t="n">
        <f aca="false">AI171+AI172</f>
        <v>0</v>
      </c>
      <c r="AJ173" s="283" t="n">
        <f aca="false">AJ171+AJ172</f>
        <v>0</v>
      </c>
      <c r="AK173" s="283" t="n">
        <f aca="false">AK171+AK172</f>
        <v>0</v>
      </c>
      <c r="AL173" s="283" t="n">
        <f aca="false">AL171+AL172</f>
        <v>0</v>
      </c>
      <c r="AM173" s="283" t="n">
        <f aca="false">AM171+AM172</f>
        <v>0</v>
      </c>
      <c r="AN173" s="283" t="n">
        <f aca="false">AN171+AN172</f>
        <v>0</v>
      </c>
      <c r="AO173" s="283" t="n">
        <f aca="false">AO171+AO172</f>
        <v>0</v>
      </c>
      <c r="AP173" s="283" t="n">
        <f aca="false">AP171+AP172</f>
        <v>0</v>
      </c>
      <c r="AQ173" s="283" t="n">
        <f aca="false">AQ171+AQ172</f>
        <v>0</v>
      </c>
      <c r="AR173" s="283" t="n">
        <f aca="false">AR171+AR172</f>
        <v>0</v>
      </c>
      <c r="AS173" s="283" t="n">
        <f aca="false">AS171+AS172</f>
        <v>0</v>
      </c>
      <c r="AT173" s="283" t="n">
        <f aca="false">AT171+AT172</f>
        <v>0</v>
      </c>
      <c r="AU173" s="283" t="n">
        <f aca="false">AU171+AU172</f>
        <v>0</v>
      </c>
      <c r="AV173" s="283" t="n">
        <f aca="false">AV171+AV172</f>
        <v>0</v>
      </c>
      <c r="AW173" s="283" t="n">
        <f aca="false">AW171+AW172</f>
        <v>0</v>
      </c>
      <c r="AX173" s="283" t="n">
        <f aca="false">AX171+AX172</f>
        <v>0</v>
      </c>
      <c r="AY173" s="283" t="n">
        <f aca="false">AY171+AY172</f>
        <v>0</v>
      </c>
      <c r="AZ173" s="283" t="n">
        <f aca="false">AZ171+AZ172</f>
        <v>0</v>
      </c>
      <c r="BA173" s="283" t="n">
        <f aca="false">BA171+BA172</f>
        <v>0</v>
      </c>
      <c r="BB173" s="283" t="n">
        <f aca="false">BB171+BB172</f>
        <v>0</v>
      </c>
      <c r="BC173" s="283" t="n">
        <f aca="false">BC171+BC172</f>
        <v>0</v>
      </c>
      <c r="BD173" s="283" t="n">
        <f aca="false">BD171+BD172</f>
        <v>0</v>
      </c>
      <c r="BE173" s="283" t="n">
        <f aca="false">BE171+BE172</f>
        <v>0</v>
      </c>
      <c r="BF173" s="283" t="n">
        <f aca="false">BF171+BF172</f>
        <v>0</v>
      </c>
      <c r="BG173" s="283" t="n">
        <f aca="false">BG171+BG172</f>
        <v>0</v>
      </c>
      <c r="BH173" s="283" t="n">
        <f aca="false">BH171+BH172</f>
        <v>0</v>
      </c>
      <c r="BI173" s="283" t="n">
        <f aca="false">BI171+BI172</f>
        <v>0</v>
      </c>
      <c r="BJ173" s="283" t="n">
        <f aca="false">BJ171+BJ172</f>
        <v>0</v>
      </c>
      <c r="BK173" s="283" t="n">
        <f aca="false">BK171+BK172</f>
        <v>0</v>
      </c>
      <c r="BL173" s="283" t="n">
        <f aca="false">BL171+BL172</f>
        <v>0</v>
      </c>
      <c r="BM173" s="283" t="n">
        <f aca="false">BM171+BM172</f>
        <v>5718.17218895898</v>
      </c>
      <c r="BN173" s="283" t="n">
        <f aca="false">BN171+BN172</f>
        <v>224.861286847199</v>
      </c>
      <c r="BO173" s="283" t="n">
        <f aca="false">BO171+BO172</f>
        <v>224.861286847199</v>
      </c>
      <c r="BP173" s="283" t="n">
        <f aca="false">BP171+BP172</f>
        <v>224.861286847199</v>
      </c>
      <c r="BQ173" s="283" t="n">
        <f aca="false">BQ171+BQ172</f>
        <v>224.861286847199</v>
      </c>
      <c r="BR173" s="283" t="n">
        <f aca="false">BR171+BR172</f>
        <v>224.861286847199</v>
      </c>
      <c r="BS173" s="283" t="n">
        <f aca="false">BS171+BS172</f>
        <v>224.861286847199</v>
      </c>
      <c r="BT173" s="283" t="n">
        <f aca="false">BT171+BT172</f>
        <v>224.861286847198</v>
      </c>
      <c r="BU173" s="283" t="n">
        <f aca="false">BU171+BU172</f>
        <v>224.861286847198</v>
      </c>
      <c r="BV173" s="283" t="n">
        <f aca="false">BV171+BV172</f>
        <v>224.861286847198</v>
      </c>
      <c r="BW173" s="283" t="n">
        <f aca="false">BW171+BW172</f>
        <v>224.861286847198</v>
      </c>
      <c r="BX173" s="283" t="n">
        <f aca="false">BX171+BX172</f>
        <v>224.861286847198</v>
      </c>
      <c r="BY173" s="283" t="n">
        <f aca="false">BY171+BY172</f>
        <v>311.0465192759</v>
      </c>
      <c r="BZ173" s="283" t="n">
        <f aca="false">BZ171+BZ172</f>
        <v>549.5465192759</v>
      </c>
      <c r="CA173" s="283" t="n">
        <f aca="false">CA171+CA172</f>
        <v>549.5465192759</v>
      </c>
      <c r="CB173" s="283" t="n">
        <f aca="false">CB171+CB172</f>
        <v>549.5465192759</v>
      </c>
      <c r="CC173" s="283" t="n">
        <f aca="false">CC171+CC172</f>
        <v>549.5465192759</v>
      </c>
      <c r="CD173" s="283" t="n">
        <f aca="false">CD171+CD172</f>
        <v>549.5465192759</v>
      </c>
      <c r="CE173" s="283" t="n">
        <f aca="false">CE171+CE172</f>
        <v>549.5465192759</v>
      </c>
      <c r="CF173" s="283" t="n">
        <f aca="false">CF171+CF172</f>
        <v>549.5465192759</v>
      </c>
      <c r="CG173" s="283" t="n">
        <f aca="false">CG171+CG172</f>
        <v>549.5465192759</v>
      </c>
      <c r="CH173" s="283" t="n">
        <f aca="false">CH171+CH172</f>
        <v>549.5465192759</v>
      </c>
      <c r="CI173" s="283" t="n">
        <f aca="false">CI171+CI172</f>
        <v>549.5465192759</v>
      </c>
      <c r="CJ173" s="283" t="n">
        <f aca="false">CJ171+CJ172</f>
        <v>549.5465192759</v>
      </c>
      <c r="CK173" s="283" t="n">
        <f aca="false">CK171+CK172</f>
        <v>557.644536353176</v>
      </c>
      <c r="CL173" s="283" t="n">
        <f aca="false">CL171+CL172</f>
        <v>557.644536353176</v>
      </c>
      <c r="CM173" s="283" t="n">
        <f aca="false">CM171+CM172</f>
        <v>557.644536353176</v>
      </c>
      <c r="CN173" s="283" t="n">
        <f aca="false">CN171+CN172</f>
        <v>557.644536353176</v>
      </c>
      <c r="CO173" s="283" t="n">
        <f aca="false">CO171+CO172</f>
        <v>557.644536353176</v>
      </c>
      <c r="CP173" s="283" t="n">
        <f aca="false">CP171+CP172</f>
        <v>557.644536353176</v>
      </c>
      <c r="CQ173" s="283" t="n">
        <f aca="false">CQ171+CQ172</f>
        <v>557.644536353176</v>
      </c>
      <c r="CR173" s="283" t="n">
        <f aca="false">CR171+CR172</f>
        <v>557.644536353176</v>
      </c>
      <c r="CS173" s="283" t="n">
        <f aca="false">CS171+CS172</f>
        <v>557.644536353176</v>
      </c>
      <c r="CT173" s="283" t="n">
        <f aca="false">CT171+CT172</f>
        <v>557.644536353176</v>
      </c>
      <c r="CU173" s="283" t="n">
        <f aca="false">CU171+CU172</f>
        <v>557.644536353176</v>
      </c>
      <c r="CV173" s="283" t="n">
        <f aca="false">CV171+CV172</f>
        <v>557.644536353176</v>
      </c>
      <c r="CW173" s="283" t="n">
        <f aca="false">CW171+CW172</f>
        <v>565.904513771997</v>
      </c>
      <c r="CX173" s="283" t="n">
        <f aca="false">CX171+CX172</f>
        <v>565.904513771997</v>
      </c>
      <c r="CY173" s="283" t="n">
        <f aca="false">CY171+CY172</f>
        <v>565.904513771997</v>
      </c>
      <c r="CZ173" s="283" t="n">
        <f aca="false">CZ171+CZ172</f>
        <v>565.904513771997</v>
      </c>
      <c r="DA173" s="283" t="n">
        <f aca="false">DA171+DA172</f>
        <v>565.904513771997</v>
      </c>
      <c r="DB173" s="283" t="n">
        <f aca="false">DB171+DB172</f>
        <v>565.904513771997</v>
      </c>
      <c r="DC173" s="283" t="n">
        <f aca="false">DC171+DC172</f>
        <v>565.904513771997</v>
      </c>
      <c r="DD173" s="283" t="n">
        <f aca="false">DD171+DD172</f>
        <v>565.904513771997</v>
      </c>
      <c r="DE173" s="283" t="n">
        <f aca="false">DE171+DE172</f>
        <v>565.904513771997</v>
      </c>
      <c r="DF173" s="283" t="n">
        <f aca="false">DF171+DF172</f>
        <v>565.904513771997</v>
      </c>
      <c r="DG173" s="283" t="n">
        <f aca="false">DG171+DG172</f>
        <v>565.904513771997</v>
      </c>
      <c r="DH173" s="283" t="n">
        <f aca="false">DH171+DH172</f>
        <v>565.904513771997</v>
      </c>
      <c r="DI173" s="283" t="n">
        <f aca="false">DI171+DI172</f>
        <v>574.329690739195</v>
      </c>
      <c r="DJ173" s="283" t="n">
        <f aca="false">DJ171+DJ172</f>
        <v>574.329690739195</v>
      </c>
      <c r="DK173" s="283" t="n">
        <f aca="false">DK171+DK172</f>
        <v>574.329690739195</v>
      </c>
      <c r="DL173" s="283" t="n">
        <f aca="false">DL171+DL172</f>
        <v>574.329690739195</v>
      </c>
      <c r="DM173" s="283" t="n">
        <f aca="false">DM171+DM172</f>
        <v>574.329690739195</v>
      </c>
      <c r="DN173" s="283" t="n">
        <f aca="false">DN171+DN172</f>
        <v>574.329690739195</v>
      </c>
      <c r="DO173" s="283" t="n">
        <f aca="false">DO171+DO172</f>
        <v>574.329690739195</v>
      </c>
      <c r="DP173" s="283" t="n">
        <f aca="false">DP171+DP172</f>
        <v>574.329690739195</v>
      </c>
      <c r="DQ173" s="283" t="n">
        <f aca="false">DQ171+DQ172</f>
        <v>574.329690739195</v>
      </c>
      <c r="DR173" s="283" t="n">
        <f aca="false">DR171+DR172</f>
        <v>574.329690739195</v>
      </c>
      <c r="DS173" s="283" t="n">
        <f aca="false">DS171+DS172</f>
        <v>574.329690739195</v>
      </c>
      <c r="DT173" s="283" t="n">
        <f aca="false">DT171+DT172</f>
        <v>0</v>
      </c>
      <c r="DU173" s="283" t="n">
        <f aca="false">DU171+DU172</f>
        <v>0</v>
      </c>
      <c r="DV173" s="283" t="n">
        <f aca="false">DV171+DV172</f>
        <v>0</v>
      </c>
      <c r="DW173" s="283" t="n">
        <f aca="false">DW171+DW172</f>
        <v>0</v>
      </c>
      <c r="DX173" s="283" t="n">
        <f aca="false">DX171+DX172</f>
        <v>0</v>
      </c>
      <c r="DY173" s="283" t="n">
        <f aca="false">DY171+DY172</f>
        <v>0</v>
      </c>
      <c r="DZ173" s="283" t="n">
        <f aca="false">DZ171+DZ172</f>
        <v>0</v>
      </c>
      <c r="EA173" s="283" t="n">
        <f aca="false">EA171+EA172</f>
        <v>0</v>
      </c>
      <c r="EB173" s="283" t="n">
        <f aca="false">EB171+EB172</f>
        <v>0</v>
      </c>
      <c r="EC173" s="283" t="n">
        <f aca="false">EC171+EC172</f>
        <v>0</v>
      </c>
      <c r="ED173" s="283" t="n">
        <f aca="false">ED171+ED172</f>
        <v>0</v>
      </c>
      <c r="EE173" s="283" t="n">
        <f aca="false">EE171+EE172</f>
        <v>0</v>
      </c>
      <c r="EF173" s="283" t="n">
        <f aca="false">EF171+EF172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13" min="3" style="0" width="11"/>
  </cols>
  <sheetData>
    <row r="1" customFormat="false" ht="15" hidden="false" customHeight="false" outlineLevel="0" collapsed="false">
      <c r="A1" s="272" t="s">
        <v>703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05" t="s">
        <v>121</v>
      </c>
      <c r="B3" s="68" t="s">
        <v>155</v>
      </c>
      <c r="C3" s="289" t="n">
        <f aca="false">YEAR(②시니어_가정!$E$8)</f>
        <v>2026</v>
      </c>
      <c r="D3" s="289" t="n">
        <f aca="false">C3+1</f>
        <v>2027</v>
      </c>
      <c r="E3" s="289" t="n">
        <f aca="false">D3+1</f>
        <v>2028</v>
      </c>
      <c r="F3" s="289" t="n">
        <f aca="false">E3+1</f>
        <v>2029</v>
      </c>
      <c r="G3" s="289" t="n">
        <f aca="false">F3+1</f>
        <v>2030</v>
      </c>
      <c r="H3" s="289" t="n">
        <f aca="false">G3+1</f>
        <v>2031</v>
      </c>
      <c r="I3" s="289" t="n">
        <f aca="false">H3+1</f>
        <v>2032</v>
      </c>
      <c r="J3" s="289" t="n">
        <f aca="false">I3+1</f>
        <v>2033</v>
      </c>
      <c r="K3" s="289" t="n">
        <f aca="false">J3+1</f>
        <v>2034</v>
      </c>
      <c r="L3" s="289" t="n">
        <f aca="false">K3+1</f>
        <v>2035</v>
      </c>
      <c r="M3" s="289" t="n">
        <f aca="false">L3+1</f>
        <v>2036</v>
      </c>
    </row>
    <row r="4" customFormat="false" ht="15" hidden="false" customHeight="false" outlineLevel="0" collapsed="false">
      <c r="A4" s="6" t="s">
        <v>704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Format="false" ht="15" hidden="false" customHeight="false" outlineLevel="0" collapsed="false">
      <c r="A5" s="32" t="s">
        <v>44</v>
      </c>
      <c r="B5" s="290" t="n">
        <f aca="false">SUM(C5:M5)</f>
        <v>120999.065883418</v>
      </c>
      <c r="C5" s="291" t="n">
        <f aca="false">SUMIF(②시니어_CF!$E$7:$EF$7,C$3,②시니어_CF!$E$41:$EF$41)</f>
        <v>0</v>
      </c>
      <c r="D5" s="291" t="n">
        <f aca="false">SUMIF(②시니어_CF!$E$7:$EF$7,D$3,②시니어_CF!$E$41:$EF$41)</f>
        <v>0</v>
      </c>
      <c r="E5" s="291" t="n">
        <f aca="false">SUMIF(②시니어_CF!$E$7:$EF$7,E$3,②시니어_CF!$E$41:$EF$41)</f>
        <v>0</v>
      </c>
      <c r="F5" s="291" t="n">
        <f aca="false">SUMIF(②시니어_CF!$E$7:$EF$7,F$3,②시니어_CF!$E$41:$EF$41)</f>
        <v>0</v>
      </c>
      <c r="G5" s="291" t="n">
        <f aca="false">SUMIF(②시니어_CF!$E$7:$EF$7,G$3,②시니어_CF!$E$41:$EF$41)</f>
        <v>0</v>
      </c>
      <c r="H5" s="291" t="n">
        <f aca="false">SUMIF(②시니어_CF!$E$7:$EF$7,H$3,②시니어_CF!$E$41:$EF$41)</f>
        <v>16365.804</v>
      </c>
      <c r="I5" s="291" t="n">
        <f aca="false">SUMIF(②시니어_CF!$E$7:$EF$7,I$3,②시니어_CF!$E$41:$EF$41)</f>
        <v>23766.80088</v>
      </c>
      <c r="J5" s="291" t="n">
        <f aca="false">SUMIF(②시니어_CF!$E$7:$EF$7,J$3,②시니어_CF!$E$41:$EF$41)</f>
        <v>25002.2408976</v>
      </c>
      <c r="K5" s="291" t="n">
        <f aca="false">SUMIF(②시니어_CF!$E$7:$EF$7,K$3,②시니어_CF!$E$41:$EF$41)</f>
        <v>25502.285715552</v>
      </c>
      <c r="L5" s="291" t="n">
        <f aca="false">SUMIF(②시니어_CF!$E$7:$EF$7,L$3,②시니어_CF!$E$41:$EF$41)</f>
        <v>26012.331429863</v>
      </c>
      <c r="M5" s="291" t="n">
        <f aca="false">SUMIF(②시니어_CF!$E$7:$EF$7,M$3,②시니어_CF!$E$41:$EF$41)</f>
        <v>4349.60296040333</v>
      </c>
    </row>
    <row r="6" customFormat="false" ht="15" hidden="false" customHeight="false" outlineLevel="0" collapsed="false">
      <c r="A6" s="32" t="s">
        <v>591</v>
      </c>
      <c r="B6" s="290" t="n">
        <f aca="false">SUM(C6:M6)</f>
        <v>88377.5542353984</v>
      </c>
      <c r="C6" s="291" t="n">
        <f aca="false">SUMIF(②시니어_CF!$E$7:$EF$7,C$3,②시니어_CF!$E$56:$EF$56)</f>
        <v>0</v>
      </c>
      <c r="D6" s="291" t="n">
        <f aca="false">SUMIF(②시니어_CF!$E$7:$EF$7,D$3,②시니어_CF!$E$56:$EF$56)</f>
        <v>0</v>
      </c>
      <c r="E6" s="291" t="n">
        <f aca="false">SUMIF(②시니어_CF!$E$7:$EF$7,E$3,②시니어_CF!$E$56:$EF$56)</f>
        <v>0</v>
      </c>
      <c r="F6" s="291" t="n">
        <f aca="false">SUMIF(②시니어_CF!$E$7:$EF$7,F$3,②시니어_CF!$E$56:$EF$56)</f>
        <v>0</v>
      </c>
      <c r="G6" s="291" t="n">
        <f aca="false">SUMIF(②시니어_CF!$E$7:$EF$7,G$3,②시니어_CF!$E$56:$EF$56)</f>
        <v>0</v>
      </c>
      <c r="H6" s="291" t="n">
        <f aca="false">SUMIF(②시니어_CF!$E$7:$EF$7,H$3,②시니어_CF!$E$56:$EF$56)</f>
        <v>11774.16</v>
      </c>
      <c r="I6" s="291" t="n">
        <f aca="false">SUMIF(②시니어_CF!$E$7:$EF$7,I$3,②시니어_CF!$E$56:$EF$56)</f>
        <v>17366.886</v>
      </c>
      <c r="J6" s="291" t="n">
        <f aca="false">SUMIF(②시니어_CF!$E$7:$EF$7,J$3,②시니어_CF!$E$56:$EF$56)</f>
        <v>18314.70588</v>
      </c>
      <c r="K6" s="291" t="n">
        <f aca="false">SUMIF(②시니어_CF!$E$7:$EF$7,K$3,②시니어_CF!$E$56:$EF$56)</f>
        <v>18680.9999976</v>
      </c>
      <c r="L6" s="291" t="n">
        <f aca="false">SUMIF(②시니어_CF!$E$7:$EF$7,L$3,②시니어_CF!$E$56:$EF$56)</f>
        <v>19054.619997552</v>
      </c>
      <c r="M6" s="291" t="n">
        <f aca="false">SUMIF(②시니어_CF!$E$7:$EF$7,M$3,②시니어_CF!$E$56:$EF$56)</f>
        <v>3186.1823602464</v>
      </c>
    </row>
    <row r="7" customFormat="false" ht="15" hidden="false" customHeight="false" outlineLevel="0" collapsed="false">
      <c r="A7" s="153" t="s">
        <v>606</v>
      </c>
      <c r="B7" s="290" t="n">
        <f aca="false">SUM(C7:M7)</f>
        <v>32621.51164802</v>
      </c>
      <c r="C7" s="216" t="n">
        <f aca="false">SUMIF(②시니어_CF!$E$7:$EF$7,C$3,②시니어_CF!$E$59:$EF$59)</f>
        <v>0</v>
      </c>
      <c r="D7" s="216" t="n">
        <f aca="false">SUMIF(②시니어_CF!$E$7:$EF$7,D$3,②시니어_CF!$E$59:$EF$59)</f>
        <v>0</v>
      </c>
      <c r="E7" s="216" t="n">
        <f aca="false">SUMIF(②시니어_CF!$E$7:$EF$7,E$3,②시니어_CF!$E$59:$EF$59)</f>
        <v>0</v>
      </c>
      <c r="F7" s="216" t="n">
        <f aca="false">SUMIF(②시니어_CF!$E$7:$EF$7,F$3,②시니어_CF!$E$59:$EF$59)</f>
        <v>0</v>
      </c>
      <c r="G7" s="216" t="n">
        <f aca="false">SUMIF(②시니어_CF!$E$7:$EF$7,G$3,②시니어_CF!$E$59:$EF$59)</f>
        <v>0</v>
      </c>
      <c r="H7" s="216" t="n">
        <f aca="false">SUMIF(②시니어_CF!$E$7:$EF$7,H$3,②시니어_CF!$E$59:$EF$59)</f>
        <v>4591.644</v>
      </c>
      <c r="I7" s="216" t="n">
        <f aca="false">SUMIF(②시니어_CF!$E$7:$EF$7,I$3,②시니어_CF!$E$59:$EF$59)</f>
        <v>6399.91488</v>
      </c>
      <c r="J7" s="216" t="n">
        <f aca="false">SUMIF(②시니어_CF!$E$7:$EF$7,J$3,②시니어_CF!$E$59:$EF$59)</f>
        <v>6687.5350176</v>
      </c>
      <c r="K7" s="216" t="n">
        <f aca="false">SUMIF(②시니어_CF!$E$7:$EF$7,K$3,②시니어_CF!$E$59:$EF$59)</f>
        <v>6821.285717952</v>
      </c>
      <c r="L7" s="216" t="n">
        <f aca="false">SUMIF(②시니어_CF!$E$7:$EF$7,L$3,②시니어_CF!$E$59:$EF$59)</f>
        <v>6957.71143231104</v>
      </c>
      <c r="M7" s="216" t="n">
        <f aca="false">SUMIF(②시니어_CF!$E$7:$EF$7,M$3,②시니어_CF!$E$59:$EF$59)</f>
        <v>1163.42060015693</v>
      </c>
    </row>
    <row r="8" customFormat="false" ht="15" hidden="false" customHeight="false" outlineLevel="0" collapsed="false">
      <c r="A8" s="153" t="s">
        <v>607</v>
      </c>
      <c r="B8" s="290" t="n">
        <f aca="false">SUM(C8:M8)</f>
        <v>0</v>
      </c>
      <c r="C8" s="216" t="n">
        <f aca="false">SUMIF(②시니어_CF!$E$7:$EF$7,C$3,②시니어_CF!$E$60:$EF$60)</f>
        <v>0</v>
      </c>
      <c r="D8" s="216" t="n">
        <f aca="false">SUMIF(②시니어_CF!$E$7:$EF$7,D$3,②시니어_CF!$E$60:$EF$60)</f>
        <v>0</v>
      </c>
      <c r="E8" s="216" t="n">
        <f aca="false">SUMIF(②시니어_CF!$E$7:$EF$7,E$3,②시니어_CF!$E$60:$EF$60)</f>
        <v>0</v>
      </c>
      <c r="F8" s="216" t="n">
        <f aca="false">SUMIF(②시니어_CF!$E$7:$EF$7,F$3,②시니어_CF!$E$60:$EF$60)</f>
        <v>0</v>
      </c>
      <c r="G8" s="216" t="n">
        <f aca="false">SUMIF(②시니어_CF!$E$7:$EF$7,G$3,②시니어_CF!$E$60:$EF$60)</f>
        <v>0</v>
      </c>
      <c r="H8" s="216" t="n">
        <f aca="false">SUMIF(②시니어_CF!$E$7:$EF$7,H$3,②시니어_CF!$E$60:$EF$60)</f>
        <v>0</v>
      </c>
      <c r="I8" s="216" t="n">
        <f aca="false">SUMIF(②시니어_CF!$E$7:$EF$7,I$3,②시니어_CF!$E$60:$EF$60)</f>
        <v>0</v>
      </c>
      <c r="J8" s="216" t="n">
        <f aca="false">SUMIF(②시니어_CF!$E$7:$EF$7,J$3,②시니어_CF!$E$60:$EF$60)</f>
        <v>0</v>
      </c>
      <c r="K8" s="216" t="n">
        <f aca="false">SUMIF(②시니어_CF!$E$7:$EF$7,K$3,②시니어_CF!$E$60:$EF$60)</f>
        <v>0</v>
      </c>
      <c r="L8" s="216" t="n">
        <f aca="false">SUMIF(②시니어_CF!$E$7:$EF$7,L$3,②시니어_CF!$E$60:$EF$60)</f>
        <v>0</v>
      </c>
      <c r="M8" s="216" t="n">
        <f aca="false">SUMIF(②시니어_CF!$E$7:$EF$7,M$3,②시니어_CF!$E$60:$EF$60)</f>
        <v>0</v>
      </c>
    </row>
    <row r="9" customFormat="false" ht="15" hidden="false" customHeight="false" outlineLevel="0" collapsed="false">
      <c r="A9" s="153" t="s">
        <v>608</v>
      </c>
      <c r="B9" s="290" t="n">
        <f aca="false">SUM(C9:M9)</f>
        <v>0</v>
      </c>
      <c r="C9" s="216" t="n">
        <f aca="false">SUMIF(②시니어_CF!$E$7:$EF$7,C$3,②시니어_CF!$E$61:$EF$61)</f>
        <v>0</v>
      </c>
      <c r="D9" s="216" t="n">
        <f aca="false">SUMIF(②시니어_CF!$E$7:$EF$7,D$3,②시니어_CF!$E$61:$EF$61)</f>
        <v>0</v>
      </c>
      <c r="E9" s="216" t="n">
        <f aca="false">SUMIF(②시니어_CF!$E$7:$EF$7,E$3,②시니어_CF!$E$61:$EF$61)</f>
        <v>0</v>
      </c>
      <c r="F9" s="216" t="n">
        <f aca="false">SUMIF(②시니어_CF!$E$7:$EF$7,F$3,②시니어_CF!$E$61:$EF$61)</f>
        <v>0</v>
      </c>
      <c r="G9" s="216" t="n">
        <f aca="false">SUMIF(②시니어_CF!$E$7:$EF$7,G$3,②시니어_CF!$E$61:$EF$61)</f>
        <v>0</v>
      </c>
      <c r="H9" s="216" t="n">
        <f aca="false">SUMIF(②시니어_CF!$E$7:$EF$7,H$3,②시니어_CF!$E$61:$EF$61)</f>
        <v>0</v>
      </c>
      <c r="I9" s="216" t="n">
        <f aca="false">SUMIF(②시니어_CF!$E$7:$EF$7,I$3,②시니어_CF!$E$61:$EF$61)</f>
        <v>0</v>
      </c>
      <c r="J9" s="216" t="n">
        <f aca="false">SUMIF(②시니어_CF!$E$7:$EF$7,J$3,②시니어_CF!$E$61:$EF$61)</f>
        <v>0</v>
      </c>
      <c r="K9" s="216" t="n">
        <f aca="false">SUMIF(②시니어_CF!$E$7:$EF$7,K$3,②시니어_CF!$E$61:$EF$61)</f>
        <v>0</v>
      </c>
      <c r="L9" s="216" t="n">
        <f aca="false">SUMIF(②시니어_CF!$E$7:$EF$7,L$3,②시니어_CF!$E$61:$EF$61)</f>
        <v>0</v>
      </c>
      <c r="M9" s="216" t="n">
        <f aca="false">SUMIF(②시니어_CF!$E$7:$EF$7,M$3,②시니어_CF!$E$61:$EF$61)</f>
        <v>0</v>
      </c>
    </row>
    <row r="10" customFormat="false" ht="15" hidden="false" customHeight="false" outlineLevel="0" collapsed="false">
      <c r="A10" s="153" t="s">
        <v>609</v>
      </c>
      <c r="B10" s="290" t="n">
        <f aca="false">SUM(C10:M10)</f>
        <v>0</v>
      </c>
      <c r="C10" s="216" t="n">
        <f aca="false">SUMIF(②시니어_CF!$E$7:$EF$7,C$3,②시니어_CF!$E$62:$EF$62)</f>
        <v>0</v>
      </c>
      <c r="D10" s="216" t="n">
        <f aca="false">SUMIF(②시니어_CF!$E$7:$EF$7,D$3,②시니어_CF!$E$62:$EF$62)</f>
        <v>0</v>
      </c>
      <c r="E10" s="216" t="n">
        <f aca="false">SUMIF(②시니어_CF!$E$7:$EF$7,E$3,②시니어_CF!$E$62:$EF$62)</f>
        <v>0</v>
      </c>
      <c r="F10" s="216" t="n">
        <f aca="false">SUMIF(②시니어_CF!$E$7:$EF$7,F$3,②시니어_CF!$E$62:$EF$62)</f>
        <v>0</v>
      </c>
      <c r="G10" s="216" t="n">
        <f aca="false">SUMIF(②시니어_CF!$E$7:$EF$7,G$3,②시니어_CF!$E$62:$EF$62)</f>
        <v>0</v>
      </c>
      <c r="H10" s="216" t="n">
        <f aca="false">SUMIF(②시니어_CF!$E$7:$EF$7,H$3,②시니어_CF!$E$62:$EF$62)</f>
        <v>0</v>
      </c>
      <c r="I10" s="216" t="n">
        <f aca="false">SUMIF(②시니어_CF!$E$7:$EF$7,I$3,②시니어_CF!$E$62:$EF$62)</f>
        <v>0</v>
      </c>
      <c r="J10" s="216" t="n">
        <f aca="false">SUMIF(②시니어_CF!$E$7:$EF$7,J$3,②시니어_CF!$E$62:$EF$62)</f>
        <v>0</v>
      </c>
      <c r="K10" s="216" t="n">
        <f aca="false">SUMIF(②시니어_CF!$E$7:$EF$7,K$3,②시니어_CF!$E$62:$EF$62)</f>
        <v>0</v>
      </c>
      <c r="L10" s="216" t="n">
        <f aca="false">SUMIF(②시니어_CF!$E$7:$EF$7,L$3,②시니어_CF!$E$62:$EF$62)</f>
        <v>0</v>
      </c>
      <c r="M10" s="216" t="n">
        <f aca="false">SUMIF(②시니어_CF!$E$7:$EF$7,M$3,②시니어_CF!$E$62:$EF$62)</f>
        <v>0</v>
      </c>
    </row>
    <row r="11" customFormat="false" ht="15" hidden="false" customHeight="false" outlineLevel="0" collapsed="false">
      <c r="A11" s="153" t="s">
        <v>610</v>
      </c>
      <c r="B11" s="290" t="n">
        <f aca="false">SUM(C11:M11)</f>
        <v>0</v>
      </c>
      <c r="C11" s="216" t="n">
        <f aca="false">SUMIF(②시니어_CF!$E$7:$EF$7,C$3,②시니어_CF!$E$63:$EF$63)</f>
        <v>0</v>
      </c>
      <c r="D11" s="216" t="n">
        <f aca="false">SUMIF(②시니어_CF!$E$7:$EF$7,D$3,②시니어_CF!$E$63:$EF$63)</f>
        <v>0</v>
      </c>
      <c r="E11" s="216" t="n">
        <f aca="false">SUMIF(②시니어_CF!$E$7:$EF$7,E$3,②시니어_CF!$E$63:$EF$63)</f>
        <v>0</v>
      </c>
      <c r="F11" s="216" t="n">
        <f aca="false">SUMIF(②시니어_CF!$E$7:$EF$7,F$3,②시니어_CF!$E$63:$EF$63)</f>
        <v>0</v>
      </c>
      <c r="G11" s="216" t="n">
        <f aca="false">SUMIF(②시니어_CF!$E$7:$EF$7,G$3,②시니어_CF!$E$63:$EF$63)</f>
        <v>0</v>
      </c>
      <c r="H11" s="216" t="n">
        <f aca="false">SUMIF(②시니어_CF!$E$7:$EF$7,H$3,②시니어_CF!$E$63:$EF$63)</f>
        <v>0</v>
      </c>
      <c r="I11" s="216" t="n">
        <f aca="false">SUMIF(②시니어_CF!$E$7:$EF$7,I$3,②시니어_CF!$E$63:$EF$63)</f>
        <v>0</v>
      </c>
      <c r="J11" s="216" t="n">
        <f aca="false">SUMIF(②시니어_CF!$E$7:$EF$7,J$3,②시니어_CF!$E$63:$EF$63)</f>
        <v>0</v>
      </c>
      <c r="K11" s="216" t="n">
        <f aca="false">SUMIF(②시니어_CF!$E$7:$EF$7,K$3,②시니어_CF!$E$63:$EF$63)</f>
        <v>0</v>
      </c>
      <c r="L11" s="216" t="n">
        <f aca="false">SUMIF(②시니어_CF!$E$7:$EF$7,L$3,②시니어_CF!$E$63:$EF$63)</f>
        <v>0</v>
      </c>
      <c r="M11" s="216" t="n">
        <f aca="false">SUMIF(②시니어_CF!$E$7:$EF$7,M$3,②시니어_CF!$E$63:$EF$63)</f>
        <v>0</v>
      </c>
    </row>
    <row r="12" customFormat="false" ht="15" hidden="false" customHeight="false" outlineLevel="0" collapsed="false">
      <c r="A12" s="87" t="s">
        <v>45</v>
      </c>
      <c r="B12" s="290" t="n">
        <f aca="false">SUM(C12:M12)</f>
        <v>32621.51164802</v>
      </c>
      <c r="C12" s="291" t="n">
        <f aca="false">SUMIF(②시니어_CF!$E$7:$EF$7,C$3,②시니어_CF!$E$64:$EF$64)</f>
        <v>0</v>
      </c>
      <c r="D12" s="291" t="n">
        <f aca="false">SUMIF(②시니어_CF!$E$7:$EF$7,D$3,②시니어_CF!$E$64:$EF$64)</f>
        <v>0</v>
      </c>
      <c r="E12" s="291" t="n">
        <f aca="false">SUMIF(②시니어_CF!$E$7:$EF$7,E$3,②시니어_CF!$E$64:$EF$64)</f>
        <v>0</v>
      </c>
      <c r="F12" s="291" t="n">
        <f aca="false">SUMIF(②시니어_CF!$E$7:$EF$7,F$3,②시니어_CF!$E$64:$EF$64)</f>
        <v>0</v>
      </c>
      <c r="G12" s="291" t="n">
        <f aca="false">SUMIF(②시니어_CF!$E$7:$EF$7,G$3,②시니어_CF!$E$64:$EF$64)</f>
        <v>0</v>
      </c>
      <c r="H12" s="291" t="n">
        <f aca="false">SUMIF(②시니어_CF!$E$7:$EF$7,H$3,②시니어_CF!$E$64:$EF$64)</f>
        <v>4591.644</v>
      </c>
      <c r="I12" s="291" t="n">
        <f aca="false">SUMIF(②시니어_CF!$E$7:$EF$7,I$3,②시니어_CF!$E$64:$EF$64)</f>
        <v>6399.91488</v>
      </c>
      <c r="J12" s="291" t="n">
        <f aca="false">SUMIF(②시니어_CF!$E$7:$EF$7,J$3,②시니어_CF!$E$64:$EF$64)</f>
        <v>6687.5350176</v>
      </c>
      <c r="K12" s="291" t="n">
        <f aca="false">SUMIF(②시니어_CF!$E$7:$EF$7,K$3,②시니어_CF!$E$64:$EF$64)</f>
        <v>6821.285717952</v>
      </c>
      <c r="L12" s="291" t="n">
        <f aca="false">SUMIF(②시니어_CF!$E$7:$EF$7,L$3,②시니어_CF!$E$64:$EF$64)</f>
        <v>6957.71143231104</v>
      </c>
      <c r="M12" s="291" t="n">
        <f aca="false">SUMIF(②시니어_CF!$E$7:$EF$7,M$3,②시니어_CF!$E$64:$EF$64)</f>
        <v>1163.42060015693</v>
      </c>
    </row>
    <row r="13" customFormat="false" ht="15" hidden="false" customHeight="false" outlineLevel="0" collapsed="false">
      <c r="A13" s="32" t="s">
        <v>705</v>
      </c>
      <c r="B13" s="290" t="n">
        <f aca="false">SUM(C13:M13)</f>
        <v>26180.0225040264</v>
      </c>
      <c r="C13" s="291" t="n">
        <f aca="false">SUMIF(②시니어_CF!$E$7:$EF$7,C$3,②시니어_CF!$E$74:$EF$74)</f>
        <v>0</v>
      </c>
      <c r="D13" s="291" t="n">
        <f aca="false">SUMIF(②시니어_CF!$E$7:$EF$7,D$3,②시니어_CF!$E$74:$EF$74)</f>
        <v>0</v>
      </c>
      <c r="E13" s="291" t="n">
        <f aca="false">SUMIF(②시니어_CF!$E$7:$EF$7,E$3,②시니어_CF!$E$74:$EF$74)</f>
        <v>0</v>
      </c>
      <c r="F13" s="291" t="n">
        <f aca="false">SUMIF(②시니어_CF!$E$7:$EF$7,F$3,②시니어_CF!$E$74:$EF$74)</f>
        <v>0</v>
      </c>
      <c r="G13" s="291" t="n">
        <f aca="false">SUMIF(②시니어_CF!$E$7:$EF$7,G$3,②시니어_CF!$E$74:$EF$74)</f>
        <v>0</v>
      </c>
      <c r="H13" s="291" t="n">
        <f aca="false">SUMIF(②시니어_CF!$E$7:$EF$7,H$3,②시니어_CF!$E$74:$EF$74)</f>
        <v>3808.54195231578</v>
      </c>
      <c r="I13" s="291" t="n">
        <f aca="false">SUMIF(②시니어_CF!$E$7:$EF$7,I$3,②시니어_CF!$E$74:$EF$74)</f>
        <v>4927.72509849192</v>
      </c>
      <c r="J13" s="291" t="n">
        <f aca="false">SUMIF(②시니어_CF!$E$7:$EF$7,J$3,②시니어_CF!$E$74:$EF$74)</f>
        <v>5056.49460046176</v>
      </c>
      <c r="K13" s="291" t="n">
        <f aca="false">SUMIF(②시니어_CF!$E$7:$EF$7,K$3,②시니어_CF!$E$74:$EF$74)</f>
        <v>5091.44949247099</v>
      </c>
      <c r="L13" s="291" t="n">
        <f aca="false">SUMIF(②시니어_CF!$E$7:$EF$7,L$3,②시니어_CF!$E$74:$EF$74)</f>
        <v>5127.10348232041</v>
      </c>
      <c r="M13" s="291" t="n">
        <f aca="false">SUMIF(②시니어_CF!$E$7:$EF$7,M$3,②시니어_CF!$E$74:$EF$74)</f>
        <v>2168.70787796556</v>
      </c>
    </row>
    <row r="14" customFormat="false" ht="15" hidden="false" customHeight="false" outlineLevel="0" collapsed="false">
      <c r="A14" s="32" t="s">
        <v>706</v>
      </c>
      <c r="B14" s="290" t="n">
        <f aca="false">SUM(C14:M14)</f>
        <v>6441.48914399355</v>
      </c>
      <c r="C14" s="291" t="n">
        <f aca="false">SUMIF(②시니어_CF!$E$7:$EF$7,C$3,②시니어_CF!$E$75:$EF$75)</f>
        <v>0</v>
      </c>
      <c r="D14" s="291" t="n">
        <f aca="false">SUMIF(②시니어_CF!$E$7:$EF$7,D$3,②시니어_CF!$E$75:$EF$75)</f>
        <v>0</v>
      </c>
      <c r="E14" s="291" t="n">
        <f aca="false">SUMIF(②시니어_CF!$E$7:$EF$7,E$3,②시니어_CF!$E$75:$EF$75)</f>
        <v>0</v>
      </c>
      <c r="F14" s="291" t="n">
        <f aca="false">SUMIF(②시니어_CF!$E$7:$EF$7,F$3,②시니어_CF!$E$75:$EF$75)</f>
        <v>0</v>
      </c>
      <c r="G14" s="291" t="n">
        <f aca="false">SUMIF(②시니어_CF!$E$7:$EF$7,G$3,②시니어_CF!$E$75:$EF$75)</f>
        <v>0</v>
      </c>
      <c r="H14" s="291" t="n">
        <f aca="false">SUMIF(②시니어_CF!$E$7:$EF$7,H$3,②시니어_CF!$E$75:$EF$75)</f>
        <v>783.102047684218</v>
      </c>
      <c r="I14" s="291" t="n">
        <f aca="false">SUMIF(②시니어_CF!$E$7:$EF$7,I$3,②시니어_CF!$E$75:$EF$75)</f>
        <v>1472.18978150808</v>
      </c>
      <c r="J14" s="291" t="n">
        <f aca="false">SUMIF(②시니어_CF!$E$7:$EF$7,J$3,②시니어_CF!$E$75:$EF$75)</f>
        <v>1631.04041713824</v>
      </c>
      <c r="K14" s="291" t="n">
        <f aca="false">SUMIF(②시니어_CF!$E$7:$EF$7,K$3,②시니어_CF!$E$75:$EF$75)</f>
        <v>1729.83622548101</v>
      </c>
      <c r="L14" s="291" t="n">
        <f aca="false">SUMIF(②시니어_CF!$E$7:$EF$7,L$3,②시니어_CF!$E$75:$EF$75)</f>
        <v>1830.60794999063</v>
      </c>
      <c r="M14" s="291" t="n">
        <f aca="false">SUMIF(②시니어_CF!$E$7:$EF$7,M$3,②시니어_CF!$E$75:$EF$75)</f>
        <v>-1005.28727780863</v>
      </c>
    </row>
    <row r="15" customFormat="false" ht="15" hidden="false" customHeight="false" outlineLevel="0" collapsed="false">
      <c r="A15" s="6" t="s">
        <v>707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customFormat="false" ht="15" hidden="false" customHeight="false" outlineLevel="0" collapsed="false">
      <c r="A16" s="32" t="s">
        <v>708</v>
      </c>
      <c r="B16" s="290" t="n">
        <f aca="false">SUM(C16:M16)</f>
        <v>403110.359948426</v>
      </c>
      <c r="C16" s="291" t="n">
        <f aca="false">SUMIF(②시니어_CF!$E$7:$EF$7,C$3,②시니어_CF!$E$100:$EF$100)</f>
        <v>5014.98248458424</v>
      </c>
      <c r="D16" s="291" t="n">
        <f aca="false">SUMIF(②시니어_CF!$E$7:$EF$7,D$3,②시니어_CF!$E$100:$EF$100)</f>
        <v>72571.3415651818</v>
      </c>
      <c r="E16" s="291" t="n">
        <f aca="false">SUMIF(②시니어_CF!$E$7:$EF$7,E$3,②시니어_CF!$E$100:$EF$100)</f>
        <v>91218.1886800553</v>
      </c>
      <c r="F16" s="291" t="n">
        <f aca="false">SUMIF(②시니어_CF!$E$7:$EF$7,F$3,②시니어_CF!$E$100:$EF$100)</f>
        <v>131514.737616487</v>
      </c>
      <c r="G16" s="291" t="n">
        <f aca="false">SUMIF(②시니어_CF!$E$7:$EF$7,G$3,②시니어_CF!$E$100:$EF$100)</f>
        <v>76365.5123052625</v>
      </c>
      <c r="H16" s="291" t="n">
        <f aca="false">SUMIF(②시니어_CF!$E$7:$EF$7,H$3,②시니어_CF!$E$100:$EF$100)</f>
        <v>26425.597296855</v>
      </c>
      <c r="I16" s="291" t="n">
        <f aca="false">SUMIF(②시니어_CF!$E$7:$EF$7,I$3,②시니어_CF!$E$100:$EF$100)</f>
        <v>0</v>
      </c>
      <c r="J16" s="291" t="n">
        <f aca="false">SUMIF(②시니어_CF!$E$7:$EF$7,J$3,②시니어_CF!$E$100:$EF$100)</f>
        <v>0</v>
      </c>
      <c r="K16" s="291" t="n">
        <f aca="false">SUMIF(②시니어_CF!$E$7:$EF$7,K$3,②시니어_CF!$E$100:$EF$100)</f>
        <v>0</v>
      </c>
      <c r="L16" s="291" t="n">
        <f aca="false">SUMIF(②시니어_CF!$E$7:$EF$7,L$3,②시니어_CF!$E$100:$EF$100)</f>
        <v>0</v>
      </c>
      <c r="M16" s="291" t="n">
        <f aca="false">SUMIF(②시니어_CF!$E$7:$EF$7,M$3,②시니어_CF!$E$100:$EF$100)</f>
        <v>0</v>
      </c>
    </row>
    <row r="17" customFormat="false" ht="15" hidden="false" customHeight="false" outlineLevel="0" collapsed="false">
      <c r="A17" s="87" t="s">
        <v>709</v>
      </c>
      <c r="B17" s="290" t="n">
        <f aca="false">SUM(C17:M17)</f>
        <v>11165.5673223257</v>
      </c>
      <c r="C17" s="291" t="n">
        <f aca="false">SUMIF(②시니어_CF!$E$7:$EF$7,C$3,②시니어_CF!$E$112:$EF$112)</f>
        <v>0</v>
      </c>
      <c r="D17" s="291" t="n">
        <f aca="false">SUMIF(②시니어_CF!$E$7:$EF$7,D$3,②시니어_CF!$E$112:$EF$112)</f>
        <v>3703.67625143892</v>
      </c>
      <c r="E17" s="291" t="n">
        <f aca="false">SUMIF(②시니어_CF!$E$7:$EF$7,E$3,②시니어_CF!$E$112:$EF$112)</f>
        <v>1587.28982204525</v>
      </c>
      <c r="F17" s="291" t="n">
        <f aca="false">SUMIF(②시니어_CF!$E$7:$EF$7,F$3,②시니어_CF!$E$112:$EF$112)</f>
        <v>1587.28982204525</v>
      </c>
      <c r="G17" s="291" t="n">
        <f aca="false">SUMIF(②시니어_CF!$E$7:$EF$7,G$3,②시니어_CF!$E$112:$EF$112)</f>
        <v>3646.39546883356</v>
      </c>
      <c r="H17" s="291" t="n">
        <f aca="false">SUMIF(②시니어_CF!$E$7:$EF$7,H$3,②시니어_CF!$E$112:$EF$112)</f>
        <v>640.915957962718</v>
      </c>
      <c r="I17" s="291" t="n">
        <f aca="false">SUMIF(②시니어_CF!$E$7:$EF$7,I$3,②시니어_CF!$E$112:$EF$112)</f>
        <v>0</v>
      </c>
      <c r="J17" s="291" t="n">
        <f aca="false">SUMIF(②시니어_CF!$E$7:$EF$7,J$3,②시니어_CF!$E$112:$EF$112)</f>
        <v>0</v>
      </c>
      <c r="K17" s="291" t="n">
        <f aca="false">SUMIF(②시니어_CF!$E$7:$EF$7,K$3,②시니어_CF!$E$112:$EF$112)</f>
        <v>0</v>
      </c>
      <c r="L17" s="291" t="n">
        <f aca="false">SUMIF(②시니어_CF!$E$7:$EF$7,L$3,②시니어_CF!$E$112:$EF$112)</f>
        <v>0</v>
      </c>
      <c r="M17" s="291" t="n">
        <f aca="false">SUMIF(②시니어_CF!$E$7:$EF$7,M$3,②시니어_CF!$E$112:$EF$112)</f>
        <v>0</v>
      </c>
    </row>
    <row r="18" customFormat="false" ht="15" hidden="false" customHeight="false" outlineLevel="0" collapsed="false">
      <c r="A18" s="36" t="s">
        <v>48</v>
      </c>
      <c r="B18" s="290" t="n">
        <f aca="false">SUM(C18:M18)</f>
        <v>12812.877</v>
      </c>
      <c r="C18" s="216" t="n">
        <f aca="false">SUMIF(②시니어_CF!$E$7:$EF$7,C$3,②시니어_CF!$E$129:$EF$129)</f>
        <v>0</v>
      </c>
      <c r="D18" s="216" t="n">
        <f aca="false">SUMIF(②시니어_CF!$E$7:$EF$7,D$3,②시니어_CF!$E$129:$EF$129)</f>
        <v>0</v>
      </c>
      <c r="E18" s="216" t="n">
        <f aca="false">SUMIF(②시니어_CF!$E$7:$EF$7,E$3,②시니어_CF!$E$129:$EF$129)</f>
        <v>0</v>
      </c>
      <c r="F18" s="216" t="n">
        <f aca="false">SUMIF(②시니어_CF!$E$7:$EF$7,F$3,②시니어_CF!$E$129:$EF$129)</f>
        <v>0</v>
      </c>
      <c r="G18" s="216" t="n">
        <f aca="false">SUMIF(②시니어_CF!$E$7:$EF$7,G$3,②시니어_CF!$E$129:$EF$129)</f>
        <v>0</v>
      </c>
      <c r="H18" s="216" t="n">
        <f aca="false">SUMIF(②시니어_CF!$E$7:$EF$7,H$3,②시니어_CF!$E$129:$EF$129)</f>
        <v>2135.4795</v>
      </c>
      <c r="I18" s="216" t="n">
        <f aca="false">SUMIF(②시니어_CF!$E$7:$EF$7,I$3,②시니어_CF!$E$129:$EF$129)</f>
        <v>2562.5754</v>
      </c>
      <c r="J18" s="216" t="n">
        <f aca="false">SUMIF(②시니어_CF!$E$7:$EF$7,J$3,②시니어_CF!$E$129:$EF$129)</f>
        <v>2562.5754</v>
      </c>
      <c r="K18" s="216" t="n">
        <f aca="false">SUMIF(②시니어_CF!$E$7:$EF$7,K$3,②시니어_CF!$E$129:$EF$129)</f>
        <v>2562.5754</v>
      </c>
      <c r="L18" s="216" t="n">
        <f aca="false">SUMIF(②시니어_CF!$E$7:$EF$7,L$3,②시니어_CF!$E$129:$EF$129)</f>
        <v>2562.5754</v>
      </c>
      <c r="M18" s="216" t="n">
        <f aca="false">SUMIF(②시니어_CF!$E$7:$EF$7,M$3,②시니어_CF!$E$129:$EF$129)</f>
        <v>427.095899999999</v>
      </c>
    </row>
    <row r="19" customFormat="false" ht="15" hidden="false" customHeight="false" outlineLevel="0" collapsed="false">
      <c r="A19" s="36" t="s">
        <v>665</v>
      </c>
      <c r="B19" s="290" t="n">
        <f aca="false">SUM(C19:M19)</f>
        <v>474.550999999999</v>
      </c>
      <c r="C19" s="216" t="n">
        <f aca="false">SUMIF(②시니어_CF!$E$7:$EF$7,C$3,②시니어_CF!$E$128:$EF$128)</f>
        <v>0</v>
      </c>
      <c r="D19" s="216" t="n">
        <f aca="false">SUMIF(②시니어_CF!$E$7:$EF$7,D$3,②시니어_CF!$E$128:$EF$128)</f>
        <v>0</v>
      </c>
      <c r="E19" s="216" t="n">
        <f aca="false">SUMIF(②시니어_CF!$E$7:$EF$7,E$3,②시니어_CF!$E$128:$EF$128)</f>
        <v>0</v>
      </c>
      <c r="F19" s="216" t="n">
        <f aca="false">SUMIF(②시니어_CF!$E$7:$EF$7,F$3,②시니어_CF!$E$128:$EF$128)</f>
        <v>0</v>
      </c>
      <c r="G19" s="216" t="n">
        <f aca="false">SUMIF(②시니어_CF!$E$7:$EF$7,G$3,②시니어_CF!$E$128:$EF$128)</f>
        <v>0</v>
      </c>
      <c r="H19" s="216" t="n">
        <f aca="false">SUMIF(②시니어_CF!$E$7:$EF$7,H$3,②시니어_CF!$E$128:$EF$128)</f>
        <v>474.550999999999</v>
      </c>
      <c r="I19" s="216" t="n">
        <f aca="false">SUMIF(②시니어_CF!$E$7:$EF$7,I$3,②시니어_CF!$E$128:$EF$128)</f>
        <v>0</v>
      </c>
      <c r="J19" s="216" t="n">
        <f aca="false">SUMIF(②시니어_CF!$E$7:$EF$7,J$3,②시니어_CF!$E$128:$EF$128)</f>
        <v>0</v>
      </c>
      <c r="K19" s="216" t="n">
        <f aca="false">SUMIF(②시니어_CF!$E$7:$EF$7,K$3,②시니어_CF!$E$128:$EF$128)</f>
        <v>0</v>
      </c>
      <c r="L19" s="216" t="n">
        <f aca="false">SUMIF(②시니어_CF!$E$7:$EF$7,L$3,②시니어_CF!$E$128:$EF$128)</f>
        <v>0</v>
      </c>
      <c r="M19" s="216" t="n">
        <f aca="false">SUMIF(②시니어_CF!$E$7:$EF$7,M$3,②시니어_CF!$E$128:$EF$128)</f>
        <v>0</v>
      </c>
    </row>
    <row r="20" customFormat="false" ht="15" hidden="false" customHeight="false" outlineLevel="0" collapsed="false">
      <c r="A20" s="6" t="s">
        <v>710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customFormat="false" ht="15" hidden="false" customHeight="false" outlineLevel="0" collapsed="false">
      <c r="A21" s="87" t="s">
        <v>711</v>
      </c>
      <c r="B21" s="290" t="n">
        <f aca="false">SUM(C21:M21)</f>
        <v>79364.4911022626</v>
      </c>
      <c r="C21" s="291" t="n">
        <f aca="false">SUMIF(②시니어_CF!$E$7:$EF$7,C$3,②시니어_CF!$E$142:$EF$142)</f>
        <v>4369.01523517956</v>
      </c>
      <c r="D21" s="291" t="n">
        <f aca="false">SUMIF(②시니어_CF!$E$7:$EF$7,D$3,②시니어_CF!$E$142:$EF$142)</f>
        <v>74995.475867083</v>
      </c>
      <c r="E21" s="291" t="n">
        <f aca="false">SUMIF(②시니어_CF!$E$7:$EF$7,E$3,②시니어_CF!$E$142:$EF$142)</f>
        <v>0</v>
      </c>
      <c r="F21" s="291" t="n">
        <f aca="false">SUMIF(②시니어_CF!$E$7:$EF$7,F$3,②시니어_CF!$E$142:$EF$142)</f>
        <v>0</v>
      </c>
      <c r="G21" s="291" t="n">
        <f aca="false">SUMIF(②시니어_CF!$E$7:$EF$7,G$3,②시니어_CF!$E$142:$EF$142)</f>
        <v>0</v>
      </c>
      <c r="H21" s="291" t="n">
        <f aca="false">SUMIF(②시니어_CF!$E$7:$EF$7,H$3,②시니어_CF!$E$142:$EF$142)</f>
        <v>0</v>
      </c>
      <c r="I21" s="291" t="n">
        <f aca="false">SUMIF(②시니어_CF!$E$7:$EF$7,I$3,②시니어_CF!$E$142:$EF$142)</f>
        <v>0</v>
      </c>
      <c r="J21" s="291" t="n">
        <f aca="false">SUMIF(②시니어_CF!$E$7:$EF$7,J$3,②시니어_CF!$E$142:$EF$142)</f>
        <v>0</v>
      </c>
      <c r="K21" s="291" t="n">
        <f aca="false">SUMIF(②시니어_CF!$E$7:$EF$7,K$3,②시니어_CF!$E$142:$EF$142)</f>
        <v>0</v>
      </c>
      <c r="L21" s="291" t="n">
        <f aca="false">SUMIF(②시니어_CF!$E$7:$EF$7,L$3,②시니어_CF!$E$142:$EF$142)</f>
        <v>0</v>
      </c>
      <c r="M21" s="291" t="n">
        <f aca="false">SUMIF(②시니어_CF!$E$7:$EF$7,M$3,②시니어_CF!$E$142:$EF$142)</f>
        <v>0</v>
      </c>
    </row>
    <row r="22" customFormat="false" ht="15" hidden="false" customHeight="false" outlineLevel="0" collapsed="false">
      <c r="A22" s="32" t="s">
        <v>712</v>
      </c>
      <c r="B22" s="290" t="n">
        <f aca="false">SUM(C22:M22)</f>
        <v>541500</v>
      </c>
      <c r="C22" s="291" t="n">
        <f aca="false">SUMIF(②시니어_CF!$E$7:$EF$7,C$3,②시니어_CF!$E$84:$EF$84)</f>
        <v>0</v>
      </c>
      <c r="D22" s="291" t="n">
        <f aca="false">SUMIF(②시니어_CF!$E$7:$EF$7,D$3,②시니어_CF!$E$84:$EF$84)</f>
        <v>43200</v>
      </c>
      <c r="E22" s="291" t="n">
        <f aca="false">SUMIF(②시니어_CF!$E$7:$EF$7,E$3,②시니어_CF!$E$84:$EF$84)</f>
        <v>86400</v>
      </c>
      <c r="F22" s="291" t="n">
        <f aca="false">SUMIF(②시니어_CF!$E$7:$EF$7,F$3,②시니어_CF!$E$84:$EF$84)</f>
        <v>86400</v>
      </c>
      <c r="G22" s="291" t="n">
        <f aca="false">SUMIF(②시니어_CF!$E$7:$EF$7,G$3,②시니어_CF!$E$84:$EF$84)</f>
        <v>86400</v>
      </c>
      <c r="H22" s="291" t="n">
        <f aca="false">SUMIF(②시니어_CF!$E$7:$EF$7,H$3,②시니어_CF!$E$84:$EF$84)</f>
        <v>131100</v>
      </c>
      <c r="I22" s="291" t="n">
        <f aca="false">SUMIF(②시니어_CF!$E$7:$EF$7,I$3,②시니어_CF!$E$84:$EF$84)</f>
        <v>108000</v>
      </c>
      <c r="J22" s="291" t="n">
        <f aca="false">SUMIF(②시니어_CF!$E$7:$EF$7,J$3,②시니어_CF!$E$84:$EF$84)</f>
        <v>0</v>
      </c>
      <c r="K22" s="291" t="n">
        <f aca="false">SUMIF(②시니어_CF!$E$7:$EF$7,K$3,②시니어_CF!$E$84:$EF$84)</f>
        <v>0</v>
      </c>
      <c r="L22" s="291" t="n">
        <f aca="false">SUMIF(②시니어_CF!$E$7:$EF$7,L$3,②시니어_CF!$E$84:$EF$84)</f>
        <v>0</v>
      </c>
      <c r="M22" s="291" t="n">
        <f aca="false">SUMIF(②시니어_CF!$E$7:$EF$7,M$3,②시니어_CF!$E$84:$EF$84)</f>
        <v>0</v>
      </c>
    </row>
    <row r="23" customFormat="false" ht="15" hidden="false" customHeight="false" outlineLevel="0" collapsed="false">
      <c r="A23" s="36" t="s">
        <v>713</v>
      </c>
      <c r="B23" s="290" t="n">
        <f aca="false">SUM(C23:M23)</f>
        <v>541500</v>
      </c>
      <c r="C23" s="216" t="n">
        <f aca="false">SUMIF(②시니어_CF!$E$7:$EF$7,C$3,②시니어_CF!$E$85:$EF$85)</f>
        <v>0</v>
      </c>
      <c r="D23" s="216" t="n">
        <f aca="false">SUMIF(②시니어_CF!$E$7:$EF$7,D$3,②시니어_CF!$E$85:$EF$85)</f>
        <v>0</v>
      </c>
      <c r="E23" s="216" t="n">
        <f aca="false">SUMIF(②시니어_CF!$E$7:$EF$7,E$3,②시니어_CF!$E$85:$EF$85)</f>
        <v>0</v>
      </c>
      <c r="F23" s="216" t="n">
        <f aca="false">SUMIF(②시니어_CF!$E$7:$EF$7,F$3,②시니어_CF!$E$85:$EF$85)</f>
        <v>0</v>
      </c>
      <c r="G23" s="216" t="n">
        <f aca="false">SUMIF(②시니어_CF!$E$7:$EF$7,G$3,②시니어_CF!$E$85:$EF$85)</f>
        <v>0</v>
      </c>
      <c r="H23" s="216" t="n">
        <f aca="false">SUMIF(②시니어_CF!$E$7:$EF$7,H$3,②시니어_CF!$E$85:$EF$85)</f>
        <v>0</v>
      </c>
      <c r="I23" s="216" t="n">
        <f aca="false">SUMIF(②시니어_CF!$E$7:$EF$7,I$3,②시니어_CF!$E$85:$EF$85)</f>
        <v>0</v>
      </c>
      <c r="J23" s="216" t="n">
        <f aca="false">SUMIF(②시니어_CF!$E$7:$EF$7,J$3,②시니어_CF!$E$85:$EF$85)</f>
        <v>0</v>
      </c>
      <c r="K23" s="216" t="n">
        <f aca="false">SUMIF(②시니어_CF!$E$7:$EF$7,K$3,②시니어_CF!$E$85:$EF$85)</f>
        <v>0</v>
      </c>
      <c r="L23" s="216" t="n">
        <f aca="false">SUMIF(②시니어_CF!$E$7:$EF$7,L$3,②시니어_CF!$E$85:$EF$85)</f>
        <v>0</v>
      </c>
      <c r="M23" s="216" t="n">
        <f aca="false">SUMIF(②시니어_CF!$E$7:$EF$7,M$3,②시니어_CF!$E$85:$EF$85)</f>
        <v>541500</v>
      </c>
    </row>
    <row r="24" customFormat="false" ht="15" hidden="false" customHeight="false" outlineLevel="0" collapsed="false">
      <c r="A24" s="87" t="s">
        <v>714</v>
      </c>
      <c r="B24" s="290" t="n">
        <f aca="false">SUM(C24:M24)</f>
        <v>27207.3003100127</v>
      </c>
      <c r="C24" s="291" t="n">
        <f aca="false">SUMIF(②시니어_CF!$E$7:$EF$7,C$3,②시니어_CF!$E$116:$EF$116)</f>
        <v>0</v>
      </c>
      <c r="D24" s="291" t="n">
        <f aca="false">SUMIF(②시니어_CF!$E$7:$EF$7,D$3,②시니어_CF!$E$116:$EF$116)</f>
        <v>0</v>
      </c>
      <c r="E24" s="291" t="n">
        <f aca="false">SUMIF(②시니어_CF!$E$7:$EF$7,E$3,②시니어_CF!$E$116:$EF$116)</f>
        <v>0</v>
      </c>
      <c r="F24" s="291" t="n">
        <f aca="false">SUMIF(②시니어_CF!$E$7:$EF$7,F$3,②시니어_CF!$E$116:$EF$116)</f>
        <v>7885.82488989843</v>
      </c>
      <c r="G24" s="291" t="n">
        <f aca="false">SUMIF(②시니어_CF!$E$7:$EF$7,G$3,②시니어_CF!$E$116:$EF$116)</f>
        <v>19321.4754201143</v>
      </c>
      <c r="H24" s="291" t="n">
        <f aca="false">SUMIF(②시니어_CF!$E$7:$EF$7,H$3,②시니어_CF!$E$116:$EF$116)</f>
        <v>0</v>
      </c>
      <c r="I24" s="291" t="n">
        <f aca="false">SUMIF(②시니어_CF!$E$7:$EF$7,I$3,②시니어_CF!$E$116:$EF$116)</f>
        <v>0</v>
      </c>
      <c r="J24" s="291" t="n">
        <f aca="false">SUMIF(②시니어_CF!$E$7:$EF$7,J$3,②시니어_CF!$E$116:$EF$116)</f>
        <v>0</v>
      </c>
      <c r="K24" s="291" t="n">
        <f aca="false">SUMIF(②시니어_CF!$E$7:$EF$7,K$3,②시니어_CF!$E$116:$EF$116)</f>
        <v>0</v>
      </c>
      <c r="L24" s="291" t="n">
        <f aca="false">SUMIF(②시니어_CF!$E$7:$EF$7,L$3,②시니어_CF!$E$116:$EF$116)</f>
        <v>0</v>
      </c>
      <c r="M24" s="291" t="n">
        <f aca="false">SUMIF(②시니어_CF!$E$7:$EF$7,M$3,②시니어_CF!$E$116:$EF$116)</f>
        <v>0</v>
      </c>
    </row>
    <row r="25" customFormat="false" ht="15" hidden="false" customHeight="false" outlineLevel="0" collapsed="false">
      <c r="A25" s="87" t="s">
        <v>715</v>
      </c>
      <c r="B25" s="290" t="n">
        <f aca="false">SUM(C25:M25)</f>
        <v>27207.3003100127</v>
      </c>
      <c r="C25" s="291" t="n">
        <f aca="false">SUMIF(②시니어_CF!$E$7:$EF$7,C$3,②시니어_CF!$E$120:$EF$120)</f>
        <v>0</v>
      </c>
      <c r="D25" s="291" t="n">
        <f aca="false">SUMIF(②시니어_CF!$E$7:$EF$7,D$3,②시니어_CF!$E$120:$EF$120)</f>
        <v>0</v>
      </c>
      <c r="E25" s="291" t="n">
        <f aca="false">SUMIF(②시니어_CF!$E$7:$EF$7,E$3,②시니어_CF!$E$120:$EF$120)</f>
        <v>0</v>
      </c>
      <c r="F25" s="291" t="n">
        <f aca="false">SUMIF(②시니어_CF!$E$7:$EF$7,F$3,②시니어_CF!$E$120:$EF$120)</f>
        <v>0</v>
      </c>
      <c r="G25" s="291" t="n">
        <f aca="false">SUMIF(②시니어_CF!$E$7:$EF$7,G$3,②시니어_CF!$E$120:$EF$120)</f>
        <v>0</v>
      </c>
      <c r="H25" s="291" t="n">
        <f aca="false">SUMIF(②시니어_CF!$E$7:$EF$7,H$3,②시니어_CF!$E$120:$EF$120)</f>
        <v>27207.3003100127</v>
      </c>
      <c r="I25" s="291" t="n">
        <f aca="false">SUMIF(②시니어_CF!$E$7:$EF$7,I$3,②시니어_CF!$E$120:$EF$120)</f>
        <v>0</v>
      </c>
      <c r="J25" s="291" t="n">
        <f aca="false">SUMIF(②시니어_CF!$E$7:$EF$7,J$3,②시니어_CF!$E$120:$EF$120)</f>
        <v>0</v>
      </c>
      <c r="K25" s="291" t="n">
        <f aca="false">SUMIF(②시니어_CF!$E$7:$EF$7,K$3,②시니어_CF!$E$120:$EF$120)</f>
        <v>0</v>
      </c>
      <c r="L25" s="291" t="n">
        <f aca="false">SUMIF(②시니어_CF!$E$7:$EF$7,L$3,②시니어_CF!$E$120:$EF$120)</f>
        <v>0</v>
      </c>
      <c r="M25" s="291" t="n">
        <f aca="false">SUMIF(②시니어_CF!$E$7:$EF$7,M$3,②시니어_CF!$E$120:$EF$120)</f>
        <v>0</v>
      </c>
    </row>
    <row r="26" customFormat="false" ht="15" hidden="false" customHeight="false" outlineLevel="0" collapsed="false">
      <c r="A26" s="36" t="s">
        <v>664</v>
      </c>
      <c r="B26" s="290" t="n">
        <f aca="false">SUM(C26:M26)</f>
        <v>47455.0999999999</v>
      </c>
      <c r="C26" s="216" t="n">
        <f aca="false">SUMIF(②시니어_CF!$E$7:$EF$7,C$3,②시니어_CF!$E$127:$EF$127)</f>
        <v>0</v>
      </c>
      <c r="D26" s="216" t="n">
        <f aca="false">SUMIF(②시니어_CF!$E$7:$EF$7,D$3,②시니어_CF!$E$127:$EF$127)</f>
        <v>0</v>
      </c>
      <c r="E26" s="216" t="n">
        <f aca="false">SUMIF(②시니어_CF!$E$7:$EF$7,E$3,②시니어_CF!$E$127:$EF$127)</f>
        <v>0</v>
      </c>
      <c r="F26" s="216" t="n">
        <f aca="false">SUMIF(②시니어_CF!$E$7:$EF$7,F$3,②시니어_CF!$E$127:$EF$127)</f>
        <v>0</v>
      </c>
      <c r="G26" s="216" t="n">
        <f aca="false">SUMIF(②시니어_CF!$E$7:$EF$7,G$3,②시니어_CF!$E$127:$EF$127)</f>
        <v>0</v>
      </c>
      <c r="H26" s="216" t="n">
        <f aca="false">SUMIF(②시니어_CF!$E$7:$EF$7,H$3,②시니어_CF!$E$127:$EF$127)</f>
        <v>47455.0999999999</v>
      </c>
      <c r="I26" s="216" t="n">
        <f aca="false">SUMIF(②시니어_CF!$E$7:$EF$7,I$3,②시니어_CF!$E$127:$EF$127)</f>
        <v>0</v>
      </c>
      <c r="J26" s="216" t="n">
        <f aca="false">SUMIF(②시니어_CF!$E$7:$EF$7,J$3,②시니어_CF!$E$127:$EF$127)</f>
        <v>0</v>
      </c>
      <c r="K26" s="216" t="n">
        <f aca="false">SUMIF(②시니어_CF!$E$7:$EF$7,K$3,②시니어_CF!$E$127:$EF$127)</f>
        <v>0</v>
      </c>
      <c r="L26" s="216" t="n">
        <f aca="false">SUMIF(②시니어_CF!$E$7:$EF$7,L$3,②시니어_CF!$E$127:$EF$127)</f>
        <v>0</v>
      </c>
      <c r="M26" s="216" t="n">
        <f aca="false">SUMIF(②시니어_CF!$E$7:$EF$7,M$3,②시니어_CF!$E$127:$EF$127)</f>
        <v>0</v>
      </c>
    </row>
    <row r="27" customFormat="false" ht="15" hidden="false" customHeight="false" outlineLevel="0" collapsed="false">
      <c r="A27" s="36" t="s">
        <v>666</v>
      </c>
      <c r="B27" s="290" t="n">
        <f aca="false">SUM(C27:M27)</f>
        <v>47455.0999999999</v>
      </c>
      <c r="C27" s="216" t="n">
        <f aca="false">SUMIF(②시니어_CF!$E$7:$EF$7,C$3,②시니어_CF!$E$130:$EF$130)</f>
        <v>0</v>
      </c>
      <c r="D27" s="216" t="n">
        <f aca="false">SUMIF(②시니어_CF!$E$7:$EF$7,D$3,②시니어_CF!$E$130:$EF$130)</f>
        <v>0</v>
      </c>
      <c r="E27" s="216" t="n">
        <f aca="false">SUMIF(②시니어_CF!$E$7:$EF$7,E$3,②시니어_CF!$E$130:$EF$130)</f>
        <v>0</v>
      </c>
      <c r="F27" s="216" t="n">
        <f aca="false">SUMIF(②시니어_CF!$E$7:$EF$7,F$3,②시니어_CF!$E$130:$EF$130)</f>
        <v>0</v>
      </c>
      <c r="G27" s="216" t="n">
        <f aca="false">SUMIF(②시니어_CF!$E$7:$EF$7,G$3,②시니어_CF!$E$130:$EF$130)</f>
        <v>0</v>
      </c>
      <c r="H27" s="216" t="n">
        <f aca="false">SUMIF(②시니어_CF!$E$7:$EF$7,H$3,②시니어_CF!$E$130:$EF$130)</f>
        <v>0</v>
      </c>
      <c r="I27" s="216" t="n">
        <f aca="false">SUMIF(②시니어_CF!$E$7:$EF$7,I$3,②시니어_CF!$E$130:$EF$130)</f>
        <v>0</v>
      </c>
      <c r="J27" s="216" t="n">
        <f aca="false">SUMIF(②시니어_CF!$E$7:$EF$7,J$3,②시니어_CF!$E$130:$EF$130)</f>
        <v>0</v>
      </c>
      <c r="K27" s="216" t="n">
        <f aca="false">SUMIF(②시니어_CF!$E$7:$EF$7,K$3,②시니어_CF!$E$130:$EF$130)</f>
        <v>0</v>
      </c>
      <c r="L27" s="216" t="n">
        <f aca="false">SUMIF(②시니어_CF!$E$7:$EF$7,L$3,②시니어_CF!$E$130:$EF$130)</f>
        <v>0</v>
      </c>
      <c r="M27" s="216" t="n">
        <f aca="false">SUMIF(②시니어_CF!$E$7:$EF$7,M$3,②시니어_CF!$E$130:$EF$130)</f>
        <v>47455.0999999999</v>
      </c>
    </row>
    <row r="28" customFormat="false" ht="15" hidden="false" customHeight="false" outlineLevel="0" collapsed="false">
      <c r="A28" s="36" t="s">
        <v>677</v>
      </c>
      <c r="B28" s="290" t="n">
        <f aca="false">SUM(C28:M28)</f>
        <v>174513.090023539</v>
      </c>
      <c r="C28" s="216" t="n">
        <f aca="false">SUMIF(②시니어_CF!$E$7:$EF$7,C$3,②시니어_CF!$E$145:$EF$145)</f>
        <v>0</v>
      </c>
      <c r="D28" s="216" t="n">
        <f aca="false">SUMIF(②시니어_CF!$E$7:$EF$7,D$3,②시니어_CF!$E$145:$EF$145)</f>
        <v>0</v>
      </c>
      <c r="E28" s="216" t="n">
        <f aca="false">SUMIF(②시니어_CF!$E$7:$EF$7,E$3,②시니어_CF!$E$145:$EF$145)</f>
        <v>0</v>
      </c>
      <c r="F28" s="216" t="n">
        <f aca="false">SUMIF(②시니어_CF!$E$7:$EF$7,F$3,②시니어_CF!$E$145:$EF$145)</f>
        <v>0</v>
      </c>
      <c r="G28" s="216" t="n">
        <f aca="false">SUMIF(②시니어_CF!$E$7:$EF$7,G$3,②시니어_CF!$E$145:$EF$145)</f>
        <v>0</v>
      </c>
      <c r="H28" s="216" t="n">
        <f aca="false">SUMIF(②시니어_CF!$E$7:$EF$7,H$3,②시니어_CF!$E$145:$EF$145)</f>
        <v>0</v>
      </c>
      <c r="I28" s="216" t="n">
        <f aca="false">SUMIF(②시니어_CF!$E$7:$EF$7,I$3,②시니어_CF!$E$145:$EF$145)</f>
        <v>0</v>
      </c>
      <c r="J28" s="216" t="n">
        <f aca="false">SUMIF(②시니어_CF!$E$7:$EF$7,J$3,②시니어_CF!$E$145:$EF$145)</f>
        <v>0</v>
      </c>
      <c r="K28" s="216" t="n">
        <f aca="false">SUMIF(②시니어_CF!$E$7:$EF$7,K$3,②시니어_CF!$E$145:$EF$145)</f>
        <v>0</v>
      </c>
      <c r="L28" s="216" t="n">
        <f aca="false">SUMIF(②시니어_CF!$E$7:$EF$7,L$3,②시니어_CF!$E$145:$EF$145)</f>
        <v>0</v>
      </c>
      <c r="M28" s="216" t="n">
        <f aca="false">SUMIF(②시니어_CF!$E$7:$EF$7,M$3,②시니어_CF!$E$145:$EF$145)</f>
        <v>174513.090023539</v>
      </c>
    </row>
    <row r="29" customFormat="false" ht="15" hidden="false" customHeight="false" outlineLevel="0" collapsed="false">
      <c r="A29" s="6" t="s">
        <v>716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customFormat="false" ht="15" hidden="false" customHeight="false" outlineLevel="0" collapsed="false">
      <c r="A30" s="36" t="s">
        <v>57</v>
      </c>
      <c r="B30" s="290" t="n">
        <f aca="false">SUM(C30:M30)</f>
        <v>23865.0399277129</v>
      </c>
      <c r="C30" s="216" t="n">
        <f aca="false">SUMIF(②시니어_CF!$E$7:$EF$7,C$3,②시니어_CF!$E$165:$EF$165)</f>
        <v>0</v>
      </c>
      <c r="D30" s="216" t="n">
        <f aca="false">SUMIF(②시니어_CF!$E$7:$EF$7,D$3,②시니어_CF!$E$165:$EF$165)</f>
        <v>0</v>
      </c>
      <c r="E30" s="216" t="n">
        <f aca="false">SUMIF(②시니어_CF!$E$7:$EF$7,E$3,②시니어_CF!$E$165:$EF$165)</f>
        <v>0</v>
      </c>
      <c r="F30" s="216" t="n">
        <f aca="false">SUMIF(②시니어_CF!$E$7:$EF$7,F$3,②시니어_CF!$E$165:$EF$165)</f>
        <v>0</v>
      </c>
      <c r="G30" s="216" t="n">
        <f aca="false">SUMIF(②시니어_CF!$E$7:$EF$7,G$3,②시니어_CF!$E$165:$EF$165)</f>
        <v>0</v>
      </c>
      <c r="H30" s="216" t="n">
        <f aca="false">SUMIF(②시니어_CF!$E$7:$EF$7,H$3,②시니어_CF!$E$165:$EF$165)</f>
        <v>7741.92377058377</v>
      </c>
      <c r="I30" s="216" t="n">
        <f aca="false">SUMIF(②시니어_CF!$E$7:$EF$7,I$3,②시니어_CF!$E$165:$EF$165)</f>
        <v>5706.6877664534</v>
      </c>
      <c r="J30" s="216" t="n">
        <f aca="false">SUMIF(②시니어_CF!$E$7:$EF$7,J$3,②시니어_CF!$E$165:$EF$165)</f>
        <v>4757.96507708044</v>
      </c>
      <c r="K30" s="216" t="n">
        <f aca="false">SUMIF(②시니어_CF!$E$7:$EF$7,K$3,②시니어_CF!$E$165:$EF$165)</f>
        <v>2716.06239052576</v>
      </c>
      <c r="L30" s="216" t="n">
        <f aca="false">SUMIF(②시니어_CF!$E$7:$EF$7,L$3,②시니어_CF!$E$165:$EF$165)</f>
        <v>2716.06239052576</v>
      </c>
      <c r="M30" s="216" t="n">
        <f aca="false">SUMIF(②시니어_CF!$E$7:$EF$7,M$3,②시니어_CF!$E$165:$EF$165)</f>
        <v>226.338532543813</v>
      </c>
    </row>
    <row r="31" customFormat="false" ht="15" hidden="false" customHeight="false" outlineLevel="0" collapsed="false">
      <c r="A31" s="36" t="s">
        <v>58</v>
      </c>
      <c r="B31" s="290" t="n">
        <f aca="false">SUM(C31:M31)</f>
        <v>0</v>
      </c>
      <c r="C31" s="216" t="n">
        <f aca="false">SUMIF(②시니어_CF!$E$7:$EF$7,C$3,②시니어_CF!$E$166:$EF$166)</f>
        <v>0</v>
      </c>
      <c r="D31" s="216" t="n">
        <f aca="false">SUMIF(②시니어_CF!$E$7:$EF$7,D$3,②시니어_CF!$E$166:$EF$166)</f>
        <v>0</v>
      </c>
      <c r="E31" s="216" t="n">
        <f aca="false">SUMIF(②시니어_CF!$E$7:$EF$7,E$3,②시니어_CF!$E$166:$EF$166)</f>
        <v>0</v>
      </c>
      <c r="F31" s="216" t="n">
        <f aca="false">SUMIF(②시니어_CF!$E$7:$EF$7,F$3,②시니어_CF!$E$166:$EF$166)</f>
        <v>0</v>
      </c>
      <c r="G31" s="216" t="n">
        <f aca="false">SUMIF(②시니어_CF!$E$7:$EF$7,G$3,②시니어_CF!$E$166:$EF$166)</f>
        <v>0</v>
      </c>
      <c r="H31" s="216" t="n">
        <f aca="false">SUMIF(②시니어_CF!$E$7:$EF$7,H$3,②시니어_CF!$E$166:$EF$166)</f>
        <v>0</v>
      </c>
      <c r="I31" s="216" t="n">
        <f aca="false">SUMIF(②시니어_CF!$E$7:$EF$7,I$3,②시니어_CF!$E$166:$EF$166)</f>
        <v>0</v>
      </c>
      <c r="J31" s="216" t="n">
        <f aca="false">SUMIF(②시니어_CF!$E$7:$EF$7,J$3,②시니어_CF!$E$166:$EF$166)</f>
        <v>0</v>
      </c>
      <c r="K31" s="216" t="n">
        <f aca="false">SUMIF(②시니어_CF!$E$7:$EF$7,K$3,②시니어_CF!$E$166:$EF$166)</f>
        <v>0</v>
      </c>
      <c r="L31" s="216" t="n">
        <f aca="false">SUMIF(②시니어_CF!$E$7:$EF$7,L$3,②시니어_CF!$E$166:$EF$166)</f>
        <v>0</v>
      </c>
      <c r="M31" s="216" t="n">
        <f aca="false">SUMIF(②시니어_CF!$E$7:$EF$7,M$3,②시니어_CF!$E$166:$EF$166)</f>
        <v>0</v>
      </c>
    </row>
    <row r="32" customFormat="false" ht="15" hidden="false" customHeight="false" outlineLevel="0" collapsed="false">
      <c r="A32" s="36" t="s">
        <v>59</v>
      </c>
      <c r="B32" s="290" t="n">
        <f aca="false">SUM(C32:M32)</f>
        <v>10482.8798475092</v>
      </c>
      <c r="C32" s="216" t="n">
        <f aca="false">SUMIF(②시니어_CF!$E$7:$EF$7,C$3,②시니어_CF!$E$168:$EF$168)</f>
        <v>0</v>
      </c>
      <c r="D32" s="216" t="n">
        <f aca="false">SUMIF(②시니어_CF!$E$7:$EF$7,D$3,②시니어_CF!$E$168:$EF$168)</f>
        <v>0</v>
      </c>
      <c r="E32" s="216" t="n">
        <f aca="false">SUMIF(②시니어_CF!$E$7:$EF$7,E$3,②시니어_CF!$E$168:$EF$168)</f>
        <v>0</v>
      </c>
      <c r="F32" s="216" t="n">
        <f aca="false">SUMIF(②시니어_CF!$E$7:$EF$7,F$3,②시니어_CF!$E$168:$EF$168)</f>
        <v>0</v>
      </c>
      <c r="G32" s="216" t="n">
        <f aca="false">SUMIF(②시니어_CF!$E$7:$EF$7,G$3,②시니어_CF!$E$168:$EF$168)</f>
        <v>0</v>
      </c>
      <c r="H32" s="216" t="n">
        <f aca="false">SUMIF(②시니어_CF!$E$7:$EF$7,H$3,②시니어_CF!$E$168:$EF$168)</f>
        <v>0</v>
      </c>
      <c r="I32" s="216" t="n">
        <f aca="false">SUMIF(②시니어_CF!$E$7:$EF$7,I$3,②시니어_CF!$E$168:$EF$168)</f>
        <v>0</v>
      </c>
      <c r="J32" s="216" t="n">
        <f aca="false">SUMIF(②시니어_CF!$E$7:$EF$7,J$3,②시니어_CF!$E$168:$EF$168)</f>
        <v>1917.57332500311</v>
      </c>
      <c r="K32" s="216" t="n">
        <f aca="false">SUMIF(②시니어_CF!$E$7:$EF$7,K$3,②시니어_CF!$E$168:$EF$168)</f>
        <v>4058.27181990056</v>
      </c>
      <c r="L32" s="216" t="n">
        <f aca="false">SUMIF(②시니어_CF!$E$7:$EF$7,L$3,②시니어_CF!$E$168:$EF$168)</f>
        <v>4159.04354441018</v>
      </c>
      <c r="M32" s="216" t="n">
        <f aca="false">SUMIF(②시니어_CF!$E$7:$EF$7,M$3,②시니어_CF!$E$168:$EF$168)</f>
        <v>347.991158195382</v>
      </c>
    </row>
    <row r="33" customFormat="false" ht="15" hidden="false" customHeight="false" outlineLevel="0" collapsed="false">
      <c r="A33" s="36" t="s">
        <v>700</v>
      </c>
      <c r="B33" s="290" t="n">
        <f aca="false">SUM(C33:M33)</f>
        <v>-13326.4674831695</v>
      </c>
      <c r="C33" s="216" t="n">
        <f aca="false">SUMIF(②시니어_CF!$E$7:$EF$7,C$3,②시니어_CF!$E$171:$EF$171)</f>
        <v>-4369.01523517956</v>
      </c>
      <c r="D33" s="216" t="n">
        <f aca="false">SUMIF(②시니어_CF!$E$7:$EF$7,D$3,②시니어_CF!$E$171:$EF$171)</f>
        <v>-19440.3320954992</v>
      </c>
      <c r="E33" s="216" t="n">
        <f aca="false">SUMIF(②시니어_CF!$E$7:$EF$7,E$3,②시니어_CF!$E$171:$EF$171)</f>
        <v>0</v>
      </c>
      <c r="F33" s="216" t="n">
        <f aca="false">SUMIF(②시니어_CF!$E$7:$EF$7,F$3,②시니어_CF!$E$171:$EF$171)</f>
        <v>0</v>
      </c>
      <c r="G33" s="216" t="n">
        <f aca="false">SUMIF(②시니어_CF!$E$7:$EF$7,G$3,②시니어_CF!$E$171:$EF$171)</f>
        <v>0</v>
      </c>
      <c r="H33" s="216" t="n">
        <f aca="false">SUMIF(②시니어_CF!$E$7:$EF$7,H$3,②시니어_CF!$E$171:$EF$171)</f>
        <v>0</v>
      </c>
      <c r="I33" s="216" t="n">
        <f aca="false">SUMIF(②시니어_CF!$E$7:$EF$7,I$3,②시니어_CF!$E$171:$EF$171)</f>
        <v>0</v>
      </c>
      <c r="J33" s="216" t="n">
        <f aca="false">SUMIF(②시니어_CF!$E$7:$EF$7,J$3,②시니어_CF!$E$171:$EF$171)</f>
        <v>1917.57332500311</v>
      </c>
      <c r="K33" s="216" t="n">
        <f aca="false">SUMIF(②시니어_CF!$E$7:$EF$7,K$3,②시니어_CF!$E$171:$EF$171)</f>
        <v>4058.27181990056</v>
      </c>
      <c r="L33" s="216" t="n">
        <f aca="false">SUMIF(②시니어_CF!$E$7:$EF$7,L$3,②시니어_CF!$E$171:$EF$171)</f>
        <v>4159.04354441018</v>
      </c>
      <c r="M33" s="216" t="n">
        <f aca="false">SUMIF(②시니어_CF!$E$7:$EF$7,M$3,②시니어_CF!$E$171:$EF$171)</f>
        <v>347.991158195382</v>
      </c>
    </row>
    <row r="34" customFormat="false" ht="15" hidden="false" customHeight="false" outlineLevel="0" collapsed="false">
      <c r="A34" s="36" t="s">
        <v>701</v>
      </c>
      <c r="B34" s="290" t="n">
        <f aca="false">SUM(C34:M34)</f>
        <v>-31690.1038438709</v>
      </c>
      <c r="C34" s="216" t="n">
        <f aca="false">SUMIF(②시니어_CF!$E$7:$EF$7,C$3,②시니어_CF!$E$172:$EF$172)</f>
        <v>0</v>
      </c>
      <c r="D34" s="216" t="n">
        <f aca="false">SUMIF(②시니어_CF!$E$7:$EF$7,D$3,②시니어_CF!$E$172:$EF$172)</f>
        <v>-55555.1437715838</v>
      </c>
      <c r="E34" s="216" t="n">
        <f aca="false">SUMIF(②시니어_CF!$E$7:$EF$7,E$3,②시니어_CF!$E$172:$EF$172)</f>
        <v>0</v>
      </c>
      <c r="F34" s="216" t="n">
        <f aca="false">SUMIF(②시니어_CF!$E$7:$EF$7,F$3,②시니어_CF!$E$172:$EF$172)</f>
        <v>0</v>
      </c>
      <c r="G34" s="216" t="n">
        <f aca="false">SUMIF(②시니어_CF!$E$7:$EF$7,G$3,②시니어_CF!$E$172:$EF$172)</f>
        <v>0</v>
      </c>
      <c r="H34" s="216" t="n">
        <f aca="false">SUMIF(②시니어_CF!$E$7:$EF$7,H$3,②시니어_CF!$E$172:$EF$172)</f>
        <v>7741.92377058377</v>
      </c>
      <c r="I34" s="216" t="n">
        <f aca="false">SUMIF(②시니어_CF!$E$7:$EF$7,I$3,②시니어_CF!$E$172:$EF$172)</f>
        <v>5706.6877664534</v>
      </c>
      <c r="J34" s="216" t="n">
        <f aca="false">SUMIF(②시니어_CF!$E$7:$EF$7,J$3,②시니어_CF!$E$172:$EF$172)</f>
        <v>4757.96507708044</v>
      </c>
      <c r="K34" s="216" t="n">
        <f aca="false">SUMIF(②시니어_CF!$E$7:$EF$7,K$3,②시니어_CF!$E$172:$EF$172)</f>
        <v>2716.06239052576</v>
      </c>
      <c r="L34" s="216" t="n">
        <f aca="false">SUMIF(②시니어_CF!$E$7:$EF$7,L$3,②시니어_CF!$E$172:$EF$172)</f>
        <v>2716.06239052576</v>
      </c>
      <c r="M34" s="216" t="n">
        <f aca="false">SUMIF(②시니어_CF!$E$7:$EF$7,M$3,②시니어_CF!$E$172:$EF$172)</f>
        <v>226.338532543813</v>
      </c>
    </row>
    <row r="35" customFormat="false" ht="15" hidden="false" customHeight="false" outlineLevel="0" collapsed="false">
      <c r="A35" s="32" t="s">
        <v>702</v>
      </c>
      <c r="B35" s="290" t="n">
        <f aca="false">SUM(C35:M35)</f>
        <v>-45016.5713270404</v>
      </c>
      <c r="C35" s="291" t="n">
        <f aca="false">SUMIF(②시니어_CF!$E$7:$EF$7,C$3,②시니어_CF!$E$173:$EF$173)</f>
        <v>-4369.01523517956</v>
      </c>
      <c r="D35" s="291" t="n">
        <f aca="false">SUMIF(②시니어_CF!$E$7:$EF$7,D$3,②시니어_CF!$E$173:$EF$173)</f>
        <v>-74995.475867083</v>
      </c>
      <c r="E35" s="291" t="n">
        <f aca="false">SUMIF(②시니어_CF!$E$7:$EF$7,E$3,②시니어_CF!$E$173:$EF$173)</f>
        <v>0</v>
      </c>
      <c r="F35" s="291" t="n">
        <f aca="false">SUMIF(②시니어_CF!$E$7:$EF$7,F$3,②시니어_CF!$E$173:$EF$173)</f>
        <v>0</v>
      </c>
      <c r="G35" s="291" t="n">
        <f aca="false">SUMIF(②시니어_CF!$E$7:$EF$7,G$3,②시니어_CF!$E$173:$EF$173)</f>
        <v>0</v>
      </c>
      <c r="H35" s="291" t="n">
        <f aca="false">SUMIF(②시니어_CF!$E$7:$EF$7,H$3,②시니어_CF!$E$173:$EF$173)</f>
        <v>7741.92377058377</v>
      </c>
      <c r="I35" s="291" t="n">
        <f aca="false">SUMIF(②시니어_CF!$E$7:$EF$7,I$3,②시니어_CF!$E$173:$EF$173)</f>
        <v>5706.6877664534</v>
      </c>
      <c r="J35" s="291" t="n">
        <f aca="false">SUMIF(②시니어_CF!$E$7:$EF$7,J$3,②시니어_CF!$E$173:$EF$173)</f>
        <v>6675.53840208356</v>
      </c>
      <c r="K35" s="291" t="n">
        <f aca="false">SUMIF(②시니어_CF!$E$7:$EF$7,K$3,②시니어_CF!$E$173:$EF$173)</f>
        <v>6774.33421042632</v>
      </c>
      <c r="L35" s="291" t="n">
        <f aca="false">SUMIF(②시니어_CF!$E$7:$EF$7,L$3,②시니어_CF!$E$173:$EF$173)</f>
        <v>6875.10593493594</v>
      </c>
      <c r="M35" s="291" t="n">
        <f aca="false">SUMIF(②시니어_CF!$E$7:$EF$7,M$3,②시니어_CF!$E$173:$EF$173)</f>
        <v>574.329690739195</v>
      </c>
    </row>
    <row r="36" customFormat="false" ht="15" hidden="false" customHeight="false" outlineLevel="0" collapsed="false">
      <c r="A36" s="32" t="s">
        <v>689</v>
      </c>
      <c r="C36" s="291" t="n">
        <f aca="false">SUMIF(②시니어_CF!$E$6:$EF$6,MIN(DATE(C$3,12,31),②시니어_가정!$E$24),②시니어_CF!$E$159:$EF$159)*(C$3&lt;=YEAR(②시니어_가정!$E$24))</f>
        <v>-621.580571670764</v>
      </c>
      <c r="D36" s="291" t="n">
        <f aca="false">SUMIF(②시니어_CF!$E$6:$EF$6,MIN(DATE(D$3,12,31),②시니어_가정!$E$24),②시니어_CF!$E$159:$EF$159)*(D$3&lt;=YEAR(②시니어_가정!$E$24))</f>
        <v>42291.1832577763</v>
      </c>
      <c r="E36" s="291" t="n">
        <f aca="false">SUMIF(②시니어_CF!$E$6:$EF$6,MIN(DATE(E$3,12,31),②시니어_가정!$E$24),②시니어_CF!$E$159:$EF$159)*(E$3&lt;=YEAR(②시니어_가정!$E$24))</f>
        <v>38062.0470619641</v>
      </c>
      <c r="F36" s="291" t="n">
        <f aca="false">SUMIF(②시니어_CF!$E$6:$EF$6,MIN(DATE(F$3,12,31),②시니어_가정!$E$24),②시니어_CF!$E$159:$EF$159)*(F$3&lt;=YEAR(②시니어_가정!$E$24))</f>
        <v>500</v>
      </c>
      <c r="G36" s="291" t="n">
        <f aca="false">SUMIF(②시니어_CF!$E$6:$EF$6,MIN(DATE(G$3,12,31),②시니어_가정!$E$24),②시니어_CF!$E$159:$EF$159)*(G$3&lt;=YEAR(②시니어_가정!$E$24))</f>
        <v>27355.1678646759</v>
      </c>
      <c r="H36" s="291" t="n">
        <f aca="false">SUMIF(②시니어_CF!$E$6:$EF$6,MIN(DATE(H$3,12,31),②시니어_가정!$E$24),②시니어_CF!$E$159:$EF$159)*(H$3&lt;=YEAR(②시니어_가정!$E$24))</f>
        <v>145569.11283151</v>
      </c>
      <c r="I36" s="291" t="n">
        <f aca="false">SUMIF(②시니어_CF!$E$6:$EF$6,MIN(DATE(I$3,12,31),②시니어_가정!$E$24),②시니어_CF!$E$159:$EF$159)*(I$3&lt;=YEAR(②시니어_가정!$E$24))</f>
        <v>253569.11283151</v>
      </c>
      <c r="J36" s="291" t="n">
        <f aca="false">SUMIF(②시니어_CF!$E$6:$EF$6,MIN(DATE(J$3,12,31),②시니어_가정!$E$24),②시니어_CF!$E$159:$EF$159)*(J$3&lt;=YEAR(②시니어_가정!$E$24))</f>
        <v>253569.11283151</v>
      </c>
      <c r="K36" s="291" t="n">
        <f aca="false">SUMIF(②시니어_CF!$E$6:$EF$6,MIN(DATE(K$3,12,31),②시니어_가정!$E$24),②시니어_CF!$E$159:$EF$159)*(K$3&lt;=YEAR(②시니어_가정!$E$24))</f>
        <v>253569.11283151</v>
      </c>
      <c r="L36" s="291" t="n">
        <f aca="false">SUMIF(②시니어_CF!$E$6:$EF$6,MIN(DATE(L$3,12,31),②시니어_가정!$E$24),②시니어_CF!$E$159:$EF$159)*(L$3&lt;=YEAR(②시니어_가정!$E$24))</f>
        <v>253569.11283151</v>
      </c>
      <c r="M36" s="291" t="n">
        <f aca="false">SUMIF(②시니어_CF!$E$6:$EF$6,MIN(DATE(M$3,12,31),②시니어_가정!$E$24),②시니어_CF!$E$159:$EF$159)*(M$3&lt;=YEAR(②시니어_가정!$E$24))</f>
        <v>-161611.764449341</v>
      </c>
    </row>
    <row r="38" customFormat="false" ht="15" hidden="false" customHeight="false" outlineLevel="0" collapsed="false">
      <c r="A38" s="87" t="s">
        <v>717</v>
      </c>
      <c r="B38" s="292" t="n">
        <f aca="false">②시니어_CF!$C$171</f>
        <v>-0.10503089550599</v>
      </c>
    </row>
    <row r="39" customFormat="false" ht="15" hidden="false" customHeight="false" outlineLevel="0" collapsed="false">
      <c r="A39" s="87" t="s">
        <v>718</v>
      </c>
      <c r="B39" s="292" t="n">
        <f aca="false">②시니어_CF!$C$172</f>
        <v>-0.145471194570466</v>
      </c>
    </row>
    <row r="40" customFormat="false" ht="15" hidden="false" customHeight="false" outlineLevel="0" collapsed="false">
      <c r="A40" s="87" t="s">
        <v>719</v>
      </c>
      <c r="B40" s="292" t="n">
        <f aca="false">②시니어_CF!$C$173</f>
        <v>-0.12979711034386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27" min="4" style="0" width="13"/>
  </cols>
  <sheetData>
    <row r="1" customFormat="false" ht="16.4" hidden="false" customHeight="false" outlineLevel="0" collapsed="false">
      <c r="A1" s="1"/>
      <c r="B1" s="2" t="s">
        <v>79</v>
      </c>
      <c r="C1" s="1"/>
      <c r="D1" s="1"/>
      <c r="E1" s="1"/>
      <c r="F1" s="1"/>
      <c r="G1" s="1"/>
      <c r="H1" s="1"/>
      <c r="I1" s="38" t="s">
        <v>80</v>
      </c>
      <c r="J1" s="39" t="s">
        <v>81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1"/>
      <c r="B2" s="40" t="s">
        <v>722</v>
      </c>
      <c r="C2" s="1"/>
      <c r="D2" s="1"/>
      <c r="E2" s="1"/>
      <c r="F2" s="1"/>
      <c r="G2" s="1"/>
      <c r="H2" s="1"/>
      <c r="I2" s="41" t="s">
        <v>83</v>
      </c>
      <c r="J2" s="39" t="s">
        <v>84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customFormat="false" ht="15" hidden="false" customHeight="false" outlineLevel="0" collapsed="false">
      <c r="A3" s="1"/>
      <c r="B3" s="1"/>
      <c r="C3" s="42" t="str">
        <f aca="false">IF(ABS(③기타_CF!$C$159)&lt;1,"OK","Error")</f>
        <v>OK</v>
      </c>
      <c r="D3" s="42" t="str">
        <f aca="false">IF(SUMPRODUCT(ABS($F$560:$F$569))&lt;1,"OK","Run Macro")</f>
        <v>OK</v>
      </c>
      <c r="E3" s="42" t="str">
        <f aca="false">IF(MIN(③기타_CF!$E$159:$EF$159)&gt;-0.5,"OK","Shortage")</f>
        <v>OK</v>
      </c>
      <c r="F3" s="42" t="str">
        <f aca="false">IF(SUM(③기타_CF!$E$153:$EF$153)-SUM(③기타_CF!$E$116:$EF$116)&lt;1,"OK","PF한도부족")</f>
        <v>OK</v>
      </c>
      <c r="G3" s="1"/>
      <c r="H3" s="1"/>
      <c r="I3" s="43" t="s">
        <v>85</v>
      </c>
      <c r="J3" s="39" t="s">
        <v>86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customFormat="false" ht="15" hidden="false" customHeight="false" outlineLevel="0" collapsed="false">
      <c r="A4" s="1"/>
      <c r="B4" s="1"/>
      <c r="C4" s="44" t="s">
        <v>87</v>
      </c>
      <c r="D4" s="44" t="s">
        <v>88</v>
      </c>
      <c r="E4" s="44" t="s">
        <v>89</v>
      </c>
      <c r="F4" s="44" t="s">
        <v>90</v>
      </c>
      <c r="G4" s="1"/>
      <c r="H4" s="1"/>
      <c r="I4" s="45" t="s">
        <v>91</v>
      </c>
      <c r="J4" s="39" t="s">
        <v>92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6" customFormat="false" ht="15" hidden="false" customHeight="false" outlineLevel="0" collapsed="false">
      <c r="A6" s="46" t="s">
        <v>93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8" customFormat="false" ht="15" hidden="false" customHeight="false" outlineLevel="0" collapsed="false">
      <c r="B8" s="47" t="s">
        <v>94</v>
      </c>
      <c r="C8" s="48"/>
      <c r="D8" s="49" t="s">
        <v>95</v>
      </c>
      <c r="E8" s="50" t="n">
        <v>46112</v>
      </c>
    </row>
    <row r="9" customFormat="false" ht="15" hidden="false" customHeight="false" outlineLevel="0" collapsed="false">
      <c r="B9" s="51" t="s">
        <v>96</v>
      </c>
      <c r="C9" s="52"/>
      <c r="D9" s="53" t="s">
        <v>97</v>
      </c>
      <c r="E9" s="54" t="n">
        <v>3</v>
      </c>
    </row>
    <row r="10" customFormat="false" ht="15" hidden="false" customHeight="false" outlineLevel="0" collapsed="false">
      <c r="B10" s="51" t="s">
        <v>98</v>
      </c>
      <c r="C10" s="52"/>
      <c r="D10" s="53" t="s">
        <v>95</v>
      </c>
      <c r="E10" s="55" t="n">
        <f aca="false">EOMONTH($E$8,$E$9)</f>
        <v>46203</v>
      </c>
    </row>
    <row r="11" customFormat="false" ht="15" hidden="false" customHeight="false" outlineLevel="0" collapsed="false">
      <c r="B11" s="51" t="s">
        <v>99</v>
      </c>
      <c r="C11" s="52"/>
      <c r="D11" s="53" t="s">
        <v>97</v>
      </c>
      <c r="E11" s="54" t="n">
        <v>14</v>
      </c>
    </row>
    <row r="12" customFormat="false" ht="15" hidden="false" customHeight="false" outlineLevel="0" collapsed="false">
      <c r="B12" s="51" t="s">
        <v>100</v>
      </c>
      <c r="C12" s="52"/>
      <c r="D12" s="53" t="s">
        <v>95</v>
      </c>
      <c r="E12" s="55" t="n">
        <f aca="false">EOMONTH($E$10,$E$11)</f>
        <v>46630</v>
      </c>
    </row>
    <row r="13" customFormat="false" ht="15" hidden="false" customHeight="false" outlineLevel="0" collapsed="false">
      <c r="B13" s="51" t="s">
        <v>101</v>
      </c>
      <c r="C13" s="52"/>
      <c r="D13" s="53" t="s">
        <v>97</v>
      </c>
      <c r="E13" s="54" t="n">
        <v>1</v>
      </c>
    </row>
    <row r="14" customFormat="false" ht="15" hidden="false" customHeight="false" outlineLevel="0" collapsed="false">
      <c r="B14" s="51" t="s">
        <v>102</v>
      </c>
      <c r="C14" s="52"/>
      <c r="D14" s="53" t="s">
        <v>95</v>
      </c>
      <c r="E14" s="55" t="n">
        <f aca="false">EOMONTH($E$12,$E$13)</f>
        <v>46660</v>
      </c>
    </row>
    <row r="15" customFormat="false" ht="15" hidden="false" customHeight="false" outlineLevel="0" collapsed="false">
      <c r="B15" s="51" t="s">
        <v>103</v>
      </c>
      <c r="C15" s="52"/>
      <c r="D15" s="53" t="s">
        <v>97</v>
      </c>
      <c r="E15" s="54" t="n">
        <v>42</v>
      </c>
    </row>
    <row r="16" customFormat="false" ht="15" hidden="false" customHeight="false" outlineLevel="0" collapsed="false">
      <c r="B16" s="51" t="s">
        <v>104</v>
      </c>
      <c r="C16" s="52"/>
      <c r="D16" s="53" t="s">
        <v>95</v>
      </c>
      <c r="E16" s="55" t="n">
        <f aca="false">EOMONTH($E$14,$E$15-1)</f>
        <v>47907</v>
      </c>
    </row>
    <row r="17" customFormat="false" ht="15" hidden="false" customHeight="false" outlineLevel="0" collapsed="false">
      <c r="B17" s="51" t="s">
        <v>105</v>
      </c>
      <c r="C17" s="52"/>
      <c r="D17" s="53" t="s">
        <v>97</v>
      </c>
      <c r="E17" s="54" t="n">
        <v>1</v>
      </c>
    </row>
    <row r="18" customFormat="false" ht="15" hidden="false" customHeight="false" outlineLevel="0" collapsed="false">
      <c r="B18" s="51" t="s">
        <v>106</v>
      </c>
      <c r="C18" s="52"/>
      <c r="D18" s="53" t="s">
        <v>95</v>
      </c>
      <c r="E18" s="55" t="n">
        <f aca="false">EOMONTH($E$16,$E$17)</f>
        <v>47938</v>
      </c>
    </row>
    <row r="19" customFormat="false" ht="15" hidden="false" customHeight="false" outlineLevel="0" collapsed="false">
      <c r="B19" s="51" t="s">
        <v>107</v>
      </c>
      <c r="C19" s="52"/>
      <c r="D19" s="53" t="s">
        <v>97</v>
      </c>
      <c r="E19" s="54" t="n">
        <v>60</v>
      </c>
    </row>
    <row r="20" customFormat="false" ht="15" hidden="false" customHeight="false" outlineLevel="0" collapsed="false">
      <c r="B20" s="51" t="s">
        <v>108</v>
      </c>
      <c r="C20" s="52"/>
      <c r="D20" s="53" t="s">
        <v>95</v>
      </c>
      <c r="E20" s="55" t="n">
        <f aca="false">EOMONTH($E$18,$E$19-1)</f>
        <v>49734</v>
      </c>
    </row>
    <row r="21" customFormat="false" ht="15" hidden="false" customHeight="false" outlineLevel="0" collapsed="false">
      <c r="B21" s="51" t="s">
        <v>109</v>
      </c>
      <c r="C21" s="52"/>
      <c r="D21" s="53" t="s">
        <v>97</v>
      </c>
      <c r="E21" s="54" t="n">
        <v>0</v>
      </c>
    </row>
    <row r="22" customFormat="false" ht="15" hidden="false" customHeight="false" outlineLevel="0" collapsed="false">
      <c r="B22" s="51" t="s">
        <v>110</v>
      </c>
      <c r="C22" s="52"/>
      <c r="D22" s="53" t="s">
        <v>95</v>
      </c>
      <c r="E22" s="55" t="n">
        <f aca="false">EOMONTH($E$20,$E$21)</f>
        <v>49734</v>
      </c>
    </row>
    <row r="23" customFormat="false" ht="15" hidden="false" customHeight="false" outlineLevel="0" collapsed="false">
      <c r="B23" s="51" t="s">
        <v>111</v>
      </c>
      <c r="C23" s="52"/>
      <c r="D23" s="53" t="s">
        <v>97</v>
      </c>
      <c r="E23" s="54" t="n">
        <v>3</v>
      </c>
    </row>
    <row r="24" customFormat="false" ht="15" hidden="false" customHeight="false" outlineLevel="0" collapsed="false">
      <c r="B24" s="51" t="s">
        <v>112</v>
      </c>
      <c r="C24" s="52"/>
      <c r="D24" s="53" t="s">
        <v>95</v>
      </c>
      <c r="E24" s="55" t="n">
        <f aca="false">EOMONTH($E$22,$E$23)</f>
        <v>49826</v>
      </c>
    </row>
    <row r="25" customFormat="false" ht="15" hidden="false" customHeight="false" outlineLevel="0" collapsed="false">
      <c r="B25" s="51" t="s">
        <v>113</v>
      </c>
      <c r="C25" s="52"/>
      <c r="D25" s="53" t="s">
        <v>114</v>
      </c>
      <c r="E25" s="56" t="n">
        <f aca="false">((YEAR($E$16)-YEAR($E$8))*12+MONTH($E$16)-MONTH($E$8)+1)/12</f>
        <v>5</v>
      </c>
    </row>
    <row r="26" customFormat="false" ht="15" hidden="false" customHeight="false" outlineLevel="0" collapsed="false">
      <c r="B26" s="57" t="s">
        <v>115</v>
      </c>
      <c r="C26" s="58"/>
      <c r="D26" s="59" t="s">
        <v>114</v>
      </c>
      <c r="E26" s="60" t="n">
        <f aca="false">((YEAR($E$24)-YEAR($E$18))*12+MONTH($E$24)-MONTH($E$18)+1)/12</f>
        <v>5.25</v>
      </c>
    </row>
    <row r="28" customFormat="false" ht="15" hidden="false" customHeight="false" outlineLevel="0" collapsed="false">
      <c r="A28" s="61" t="s">
        <v>116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30" customFormat="false" ht="15" hidden="false" customHeight="false" outlineLevel="0" collapsed="false">
      <c r="B30" s="62" t="s">
        <v>117</v>
      </c>
      <c r="C30" s="48"/>
      <c r="D30" s="48"/>
      <c r="E30" s="63" t="n">
        <f aca="false">③기타_CF!$C$171</f>
        <v>0.295086350863857</v>
      </c>
    </row>
    <row r="31" customFormat="false" ht="15" hidden="false" customHeight="false" outlineLevel="0" collapsed="false">
      <c r="B31" s="64" t="s">
        <v>118</v>
      </c>
      <c r="C31" s="52"/>
      <c r="D31" s="52"/>
      <c r="E31" s="65" t="n">
        <f aca="false">③기타_CF!$C$172</f>
        <v>0.0499999999984933</v>
      </c>
    </row>
    <row r="32" customFormat="false" ht="15" hidden="false" customHeight="false" outlineLevel="0" collapsed="false">
      <c r="B32" s="66" t="s">
        <v>119</v>
      </c>
      <c r="C32" s="58"/>
      <c r="D32" s="58"/>
      <c r="E32" s="67" t="n">
        <f aca="false">③기타_CF!$C$173</f>
        <v>0.180265272460192</v>
      </c>
    </row>
    <row r="34" customFormat="false" ht="15" hidden="false" customHeight="false" outlineLevel="0" collapsed="false">
      <c r="A34" s="61" t="s">
        <v>120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6" customFormat="false" ht="15" hidden="false" customHeight="false" outlineLevel="0" collapsed="false">
      <c r="B36" s="68" t="s">
        <v>121</v>
      </c>
      <c r="C36" s="68" t="s">
        <v>2</v>
      </c>
      <c r="D36" s="68" t="s">
        <v>122</v>
      </c>
      <c r="E36" s="68" t="s">
        <v>123</v>
      </c>
      <c r="F36" s="68" t="s">
        <v>124</v>
      </c>
      <c r="G36" s="68" t="s">
        <v>125</v>
      </c>
      <c r="H36" s="68" t="s">
        <v>126</v>
      </c>
      <c r="I36" s="44" t="s">
        <v>127</v>
      </c>
    </row>
    <row r="37" customFormat="false" ht="15" hidden="false" customHeight="false" outlineLevel="0" collapsed="false">
      <c r="B37" s="62" t="s">
        <v>128</v>
      </c>
      <c r="C37" s="69" t="s">
        <v>723</v>
      </c>
      <c r="D37" s="48"/>
      <c r="E37" s="48"/>
      <c r="F37" s="48"/>
      <c r="G37" s="48"/>
      <c r="H37" s="48"/>
      <c r="I37" s="70"/>
    </row>
    <row r="38" customFormat="false" ht="15" hidden="false" customHeight="false" outlineLevel="0" collapsed="false">
      <c r="B38" s="71" t="s">
        <v>130</v>
      </c>
      <c r="C38" s="72" t="s">
        <v>131</v>
      </c>
      <c r="D38" s="73" t="n">
        <v>0</v>
      </c>
      <c r="E38" s="73" t="n">
        <v>1</v>
      </c>
      <c r="F38" s="73" t="n">
        <v>1</v>
      </c>
      <c r="G38" s="73" t="n">
        <v>1</v>
      </c>
      <c r="H38" s="73" t="n">
        <v>1</v>
      </c>
      <c r="I38" s="74"/>
    </row>
    <row r="39" customFormat="false" ht="15" hidden="false" customHeight="false" outlineLevel="0" collapsed="false">
      <c r="B39" s="71" t="s">
        <v>132</v>
      </c>
      <c r="C39" s="75" t="s">
        <v>14</v>
      </c>
      <c r="D39" s="76" t="n">
        <f aca="false">$E$60</f>
        <v>23008.1742</v>
      </c>
      <c r="E39" s="76" t="n">
        <f aca="false">$E$61</f>
        <v>13519.907775</v>
      </c>
      <c r="F39" s="76" t="n">
        <f aca="false">$E$62</f>
        <v>21288.22575</v>
      </c>
      <c r="G39" s="76" t="n">
        <f aca="false">$E$63</f>
        <v>14046.003675</v>
      </c>
      <c r="H39" s="76" t="n">
        <f aca="false">$E$64</f>
        <v>9949.113075</v>
      </c>
      <c r="I39" s="77" t="n">
        <f aca="false">SUMPRODUCT(D38:H38,D39:H39)</f>
        <v>58803.250275</v>
      </c>
    </row>
    <row r="40" customFormat="false" ht="15" hidden="false" customHeight="false" outlineLevel="0" collapsed="false">
      <c r="B40" s="78"/>
      <c r="C40" s="75" t="s">
        <v>133</v>
      </c>
      <c r="D40" s="52"/>
      <c r="E40" s="52"/>
      <c r="F40" s="52"/>
      <c r="G40" s="52"/>
      <c r="H40" s="52"/>
      <c r="I40" s="79" t="n">
        <f aca="false">$D$38*$E$60</f>
        <v>0</v>
      </c>
    </row>
    <row r="41" customFormat="false" ht="15" hidden="false" customHeight="false" outlineLevel="0" collapsed="false">
      <c r="B41" s="78"/>
      <c r="C41" s="75" t="s">
        <v>134</v>
      </c>
      <c r="D41" s="52"/>
      <c r="E41" s="52"/>
      <c r="F41" s="52"/>
      <c r="G41" s="52"/>
      <c r="H41" s="52"/>
      <c r="I41" s="80" t="n">
        <f aca="false">$I$39/$C$69</f>
        <v>0.718765754934009</v>
      </c>
    </row>
    <row r="42" customFormat="false" ht="15" hidden="false" customHeight="false" outlineLevel="0" collapsed="false">
      <c r="B42" s="71" t="s">
        <v>15</v>
      </c>
      <c r="C42" s="72" t="s">
        <v>135</v>
      </c>
      <c r="D42" s="81" t="n">
        <f aca="false">$C$85</f>
        <v>0.281234245065991</v>
      </c>
      <c r="E42" s="81" t="n">
        <f aca="false">$C$86</f>
        <v>0.16525696578149</v>
      </c>
      <c r="F42" s="81" t="n">
        <f aca="false">$C$87</f>
        <v>0.260210916587882</v>
      </c>
      <c r="G42" s="81" t="n">
        <f aca="false">$C$88</f>
        <v>0.171687557882484</v>
      </c>
      <c r="H42" s="81" t="n">
        <f aca="false">$C$89</f>
        <v>0.121610314682154</v>
      </c>
      <c r="I42" s="80" t="n">
        <f aca="false">SUMPRODUCT(D38:H38,D42:H42)</f>
        <v>0.718765754934009</v>
      </c>
    </row>
    <row r="43" customFormat="false" ht="15" hidden="false" customHeight="false" outlineLevel="0" collapsed="false">
      <c r="B43" s="78"/>
      <c r="C43" s="75" t="s">
        <v>136</v>
      </c>
      <c r="D43" s="52"/>
      <c r="E43" s="52"/>
      <c r="F43" s="52"/>
      <c r="G43" s="52"/>
      <c r="H43" s="52"/>
      <c r="I43" s="82" t="n">
        <f aca="false">IFERROR(SUMPRODUCT($D$38:$H$38,$P$325:$T$325)/SUM($P$325:$T$325),0)</f>
        <v>0.666666666666667</v>
      </c>
    </row>
    <row r="44" customFormat="false" ht="15" hidden="false" customHeight="false" outlineLevel="0" collapsed="false">
      <c r="B44" s="78"/>
      <c r="C44" s="75" t="s">
        <v>137</v>
      </c>
      <c r="D44" s="52"/>
      <c r="E44" s="52"/>
      <c r="F44" s="52"/>
      <c r="G44" s="52"/>
      <c r="H44" s="52"/>
      <c r="I44" s="82" t="n">
        <f aca="false">IFERROR(SUMPRODUCT($D$38:$H$38,$P$323:$T$323)/SUM($P$323:$T$323),0)</f>
        <v>0.778970576764163</v>
      </c>
    </row>
    <row r="45" customFormat="false" ht="15" hidden="false" customHeight="false" outlineLevel="0" collapsed="false">
      <c r="B45" s="83"/>
      <c r="C45" s="84" t="s">
        <v>138</v>
      </c>
      <c r="D45" s="58"/>
      <c r="E45" s="58"/>
      <c r="F45" s="58"/>
      <c r="G45" s="58"/>
      <c r="H45" s="58"/>
      <c r="I45" s="85" t="n">
        <v>1</v>
      </c>
    </row>
    <row r="46" customFormat="false" ht="15" hidden="false" customHeight="false" outlineLevel="0" collapsed="false">
      <c r="B46" s="86" t="s">
        <v>139</v>
      </c>
    </row>
    <row r="48" customFormat="false" ht="15" hidden="false" customHeight="false" outlineLevel="0" collapsed="false">
      <c r="A48" s="46" t="s">
        <v>140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50" customFormat="false" ht="15" hidden="false" customHeight="false" outlineLevel="0" collapsed="false">
      <c r="B50" s="87" t="s">
        <v>141</v>
      </c>
      <c r="D50" s="88" t="s">
        <v>142</v>
      </c>
    </row>
    <row r="51" customFormat="false" ht="15" hidden="false" customHeight="false" outlineLevel="0" collapsed="false">
      <c r="B51" s="87" t="s">
        <v>143</v>
      </c>
      <c r="D51" s="88" t="s">
        <v>144</v>
      </c>
    </row>
    <row r="52" customFormat="false" ht="15" hidden="false" customHeight="false" outlineLevel="0" collapsed="false">
      <c r="B52" s="87" t="s">
        <v>145</v>
      </c>
      <c r="D52" s="88" t="s">
        <v>146</v>
      </c>
    </row>
    <row r="53" customFormat="false" ht="15" hidden="false" customHeight="false" outlineLevel="0" collapsed="false">
      <c r="B53" s="87" t="s">
        <v>147</v>
      </c>
      <c r="D53" s="88" t="s">
        <v>148</v>
      </c>
    </row>
    <row r="54" customFormat="false" ht="15" hidden="false" customHeight="false" outlineLevel="0" collapsed="false">
      <c r="B54" s="87" t="s">
        <v>149</v>
      </c>
      <c r="E54" s="36" t="s">
        <v>150</v>
      </c>
      <c r="F54" s="89" t="n">
        <v>0.3025</v>
      </c>
    </row>
    <row r="56" customFormat="false" ht="15" hidden="false" customHeight="false" outlineLevel="0" collapsed="false">
      <c r="B56" s="90" t="s">
        <v>132</v>
      </c>
      <c r="C56" s="91" t="s">
        <v>151</v>
      </c>
      <c r="D56" s="92" t="n">
        <v>178919.43</v>
      </c>
      <c r="E56" s="93" t="n">
        <f aca="false">$D$56*$F$54</f>
        <v>54123.127575</v>
      </c>
    </row>
    <row r="57" customFormat="false" ht="15" hidden="false" customHeight="false" outlineLevel="0" collapsed="false">
      <c r="B57" s="78"/>
      <c r="C57" s="75" t="s">
        <v>152</v>
      </c>
      <c r="D57" s="94" t="n">
        <v>91531.54</v>
      </c>
      <c r="E57" s="79" t="n">
        <f aca="false">$D$57*$F$54</f>
        <v>27688.29085</v>
      </c>
    </row>
    <row r="58" customFormat="false" ht="15" hidden="false" customHeight="false" outlineLevel="0" collapsed="false">
      <c r="B58" s="83"/>
      <c r="C58" s="95" t="s">
        <v>153</v>
      </c>
      <c r="D58" s="96" t="n">
        <f aca="false">$D$56+$D$57</f>
        <v>270450.97</v>
      </c>
      <c r="E58" s="97" t="n">
        <f aca="false">$D$58*$F$54</f>
        <v>81811.418425</v>
      </c>
      <c r="F58" s="98" t="b">
        <f aca="false">ABS($D$58-$C$70)&lt;1</f>
        <v>1</v>
      </c>
      <c r="G58" s="98" t="b">
        <f aca="false">ABS($D$58*$F$54-$C$69)&lt;1</f>
        <v>1</v>
      </c>
    </row>
    <row r="60" customFormat="false" ht="15" hidden="false" customHeight="false" outlineLevel="0" collapsed="false">
      <c r="B60" s="90" t="s">
        <v>154</v>
      </c>
      <c r="C60" s="99" t="s">
        <v>122</v>
      </c>
      <c r="D60" s="100" t="n">
        <f aca="false">SUMIF($D$67:$W$67,"시니어 레지던스",$D$70:$W$70)</f>
        <v>76060.08</v>
      </c>
      <c r="E60" s="93" t="n">
        <f aca="false">SUMIF($D$67:$W$67,"시니어 레지던스",$D$69:$W$69)</f>
        <v>23008.1742</v>
      </c>
    </row>
    <row r="61" customFormat="false" ht="15" hidden="false" customHeight="false" outlineLevel="0" collapsed="false">
      <c r="B61" s="78"/>
      <c r="C61" s="101" t="s">
        <v>123</v>
      </c>
      <c r="D61" s="102" t="n">
        <f aca="false">SUMIF($D$67:$W$67,"레지던스",$D$70:$W$70)</f>
        <v>44693.91</v>
      </c>
      <c r="E61" s="79" t="n">
        <f aca="false">SUMIF($D$67:$W$67,"레지던스",$D$69:$W$69)</f>
        <v>13519.907775</v>
      </c>
    </row>
    <row r="62" customFormat="false" ht="15" hidden="false" customHeight="false" outlineLevel="0" collapsed="false">
      <c r="B62" s="78"/>
      <c r="C62" s="101" t="s">
        <v>124</v>
      </c>
      <c r="D62" s="102" t="n">
        <f aca="false">SUMIF($D$67:$W$67,"호텔",$D$70:$W$70)</f>
        <v>70374.3</v>
      </c>
      <c r="E62" s="79" t="n">
        <f aca="false">SUMIF($D$67:$W$67,"호텔",$D$69:$W$69)</f>
        <v>21288.22575</v>
      </c>
    </row>
    <row r="63" customFormat="false" ht="15" hidden="false" customHeight="false" outlineLevel="0" collapsed="false">
      <c r="B63" s="78"/>
      <c r="C63" s="101" t="s">
        <v>125</v>
      </c>
      <c r="D63" s="102" t="n">
        <f aca="false">SUMIF($D$67:$W$67,"오피스",$D$70:$W$70)</f>
        <v>46433.07</v>
      </c>
      <c r="E63" s="79" t="n">
        <f aca="false">SUMIF($D$67:$W$67,"오피스",$D$69:$W$69)</f>
        <v>14046.003675</v>
      </c>
    </row>
    <row r="64" customFormat="false" ht="15" hidden="false" customHeight="false" outlineLevel="0" collapsed="false">
      <c r="B64" s="78"/>
      <c r="C64" s="101" t="s">
        <v>126</v>
      </c>
      <c r="D64" s="102" t="n">
        <f aca="false">SUMIF($D$67:$W$67,"부대시설",$D$70:$W$70)</f>
        <v>32889.63</v>
      </c>
      <c r="E64" s="79" t="n">
        <f aca="false">SUMIF($D$67:$W$67,"부대시설",$D$69:$W$69)</f>
        <v>9949.113075</v>
      </c>
    </row>
    <row r="65" customFormat="false" ht="15" hidden="false" customHeight="false" outlineLevel="0" collapsed="false">
      <c r="B65" s="83"/>
      <c r="C65" s="95" t="s">
        <v>155</v>
      </c>
      <c r="D65" s="96" t="n">
        <f aca="false">SUM(D60:D64)</f>
        <v>270450.99</v>
      </c>
      <c r="E65" s="97" t="n">
        <f aca="false">SUM(E60:E64)</f>
        <v>81811.424475</v>
      </c>
      <c r="F65" s="98" t="b">
        <f aca="false">ABS(D65-$D$58)&lt;1</f>
        <v>1</v>
      </c>
      <c r="G65" s="98" t="b">
        <f aca="false">ABS(E65-$C$69)&lt;0.1</f>
        <v>1</v>
      </c>
    </row>
    <row r="67" customFormat="false" ht="15" hidden="false" customHeight="false" outlineLevel="0" collapsed="false">
      <c r="D67" s="103" t="s">
        <v>122</v>
      </c>
      <c r="E67" s="103" t="s">
        <v>122</v>
      </c>
      <c r="F67" s="104" t="s">
        <v>126</v>
      </c>
      <c r="G67" s="104" t="s">
        <v>126</v>
      </c>
      <c r="H67" s="103" t="s">
        <v>122</v>
      </c>
      <c r="J67" s="105" t="s">
        <v>123</v>
      </c>
      <c r="K67" s="105" t="s">
        <v>123</v>
      </c>
      <c r="L67" s="106" t="s">
        <v>124</v>
      </c>
      <c r="M67" s="106" t="s">
        <v>124</v>
      </c>
      <c r="N67" s="106" t="s">
        <v>124</v>
      </c>
      <c r="O67" s="106" t="s">
        <v>124</v>
      </c>
      <c r="P67" s="106" t="s">
        <v>124</v>
      </c>
      <c r="Q67" s="106" t="s">
        <v>124</v>
      </c>
      <c r="R67" s="107" t="s">
        <v>125</v>
      </c>
      <c r="S67" s="106" t="s">
        <v>124</v>
      </c>
      <c r="U67" s="104" t="s">
        <v>126</v>
      </c>
      <c r="V67" s="104" t="s">
        <v>126</v>
      </c>
      <c r="W67" s="104" t="s">
        <v>126</v>
      </c>
    </row>
    <row r="68" customFormat="false" ht="15" hidden="false" customHeight="false" outlineLevel="0" collapsed="false">
      <c r="B68" s="108" t="s">
        <v>121</v>
      </c>
      <c r="C68" s="109" t="s">
        <v>156</v>
      </c>
      <c r="D68" s="109" t="s">
        <v>157</v>
      </c>
      <c r="E68" s="109" t="s">
        <v>158</v>
      </c>
      <c r="F68" s="109" t="s">
        <v>159</v>
      </c>
      <c r="G68" s="109" t="s">
        <v>160</v>
      </c>
      <c r="H68" s="110" t="s">
        <v>161</v>
      </c>
      <c r="I68" s="111" t="s">
        <v>162</v>
      </c>
      <c r="J68" s="109" t="s">
        <v>163</v>
      </c>
      <c r="K68" s="109" t="s">
        <v>164</v>
      </c>
      <c r="L68" s="109" t="s">
        <v>124</v>
      </c>
      <c r="M68" s="109" t="s">
        <v>165</v>
      </c>
      <c r="N68" s="109" t="s">
        <v>166</v>
      </c>
      <c r="O68" s="109" t="s">
        <v>167</v>
      </c>
      <c r="P68" s="109" t="s">
        <v>168</v>
      </c>
      <c r="Q68" s="109" t="s">
        <v>169</v>
      </c>
      <c r="R68" s="109" t="s">
        <v>125</v>
      </c>
      <c r="S68" s="110" t="s">
        <v>161</v>
      </c>
      <c r="T68" s="111" t="s">
        <v>170</v>
      </c>
      <c r="U68" s="109" t="s">
        <v>171</v>
      </c>
      <c r="V68" s="109" t="s">
        <v>172</v>
      </c>
      <c r="W68" s="109" t="s">
        <v>173</v>
      </c>
      <c r="X68" s="112" t="s">
        <v>174</v>
      </c>
      <c r="Y68" s="110" t="s">
        <v>175</v>
      </c>
      <c r="Z68" s="113" t="s">
        <v>176</v>
      </c>
    </row>
    <row r="69" customFormat="false" ht="15" hidden="false" customHeight="false" outlineLevel="0" collapsed="false">
      <c r="B69" s="71" t="s">
        <v>177</v>
      </c>
      <c r="C69" s="114" t="n">
        <f aca="false">I69+T69+X69</f>
        <v>81811.424475</v>
      </c>
      <c r="D69" s="76" t="n">
        <f aca="false">D70*$F$54</f>
        <v>20475.2449</v>
      </c>
      <c r="E69" s="76" t="n">
        <f aca="false">E70*$F$54</f>
        <v>2338.19795</v>
      </c>
      <c r="F69" s="76" t="n">
        <f aca="false">F70*$F$54</f>
        <v>1425.62805</v>
      </c>
      <c r="G69" s="76" t="n">
        <f aca="false">G70*$F$54</f>
        <v>597.16525</v>
      </c>
      <c r="H69" s="76" t="n">
        <f aca="false">H70*$F$54</f>
        <v>194.73135</v>
      </c>
      <c r="I69" s="115" t="n">
        <f aca="false">SUM(D69:H69)</f>
        <v>25030.9675</v>
      </c>
      <c r="J69" s="76" t="n">
        <f aca="false">J70*$F$54</f>
        <v>10714.913</v>
      </c>
      <c r="K69" s="76" t="n">
        <f aca="false">K70*$F$54</f>
        <v>2804.994775</v>
      </c>
      <c r="L69" s="76" t="n">
        <f aca="false">L70*$F$54</f>
        <v>11246.59305</v>
      </c>
      <c r="M69" s="76" t="n">
        <f aca="false">M70*$F$54</f>
        <v>2165.775975</v>
      </c>
      <c r="N69" s="76" t="n">
        <f aca="false">N70*$F$54</f>
        <v>1829.34455</v>
      </c>
      <c r="O69" s="76" t="n">
        <f aca="false">O70*$F$54</f>
        <v>1274.23285</v>
      </c>
      <c r="P69" s="76" t="n">
        <f aca="false">P70*$F$54</f>
        <v>1063.9651</v>
      </c>
      <c r="Q69" s="76" t="n">
        <f aca="false">Q70*$F$54</f>
        <v>3250.76785</v>
      </c>
      <c r="R69" s="76" t="n">
        <f aca="false">R70*$F$54</f>
        <v>14046.003675</v>
      </c>
      <c r="S69" s="76" t="n">
        <f aca="false">S70*$F$54</f>
        <v>457.546375</v>
      </c>
      <c r="T69" s="115" t="n">
        <f aca="false">SUM(J69:S69)</f>
        <v>48854.1372</v>
      </c>
      <c r="U69" s="76" t="n">
        <f aca="false">U70*$F$54</f>
        <v>1673.7446</v>
      </c>
      <c r="V69" s="76" t="n">
        <f aca="false">V70*$F$54</f>
        <v>2443.331825</v>
      </c>
      <c r="W69" s="76" t="n">
        <f aca="false">W70*$F$54</f>
        <v>3809.24335</v>
      </c>
      <c r="X69" s="115" t="n">
        <f aca="false">SUM(U69:W69)</f>
        <v>7926.319775</v>
      </c>
      <c r="Y69" s="52"/>
      <c r="Z69" s="74"/>
    </row>
    <row r="70" customFormat="false" ht="15" hidden="false" customHeight="false" outlineLevel="0" collapsed="false">
      <c r="B70" s="71" t="s">
        <v>178</v>
      </c>
      <c r="C70" s="116" t="n">
        <f aca="false">I70+T70+X70</f>
        <v>270450.99</v>
      </c>
      <c r="D70" s="94" t="n">
        <v>67686.76</v>
      </c>
      <c r="E70" s="94" t="n">
        <v>7729.58</v>
      </c>
      <c r="F70" s="94" t="n">
        <v>4712.82</v>
      </c>
      <c r="G70" s="94" t="n">
        <v>1974.1</v>
      </c>
      <c r="H70" s="94" t="n">
        <v>643.74</v>
      </c>
      <c r="I70" s="117" t="n">
        <f aca="false">SUM(D70:H70)</f>
        <v>82747</v>
      </c>
      <c r="J70" s="94" t="n">
        <v>35421.2</v>
      </c>
      <c r="K70" s="94" t="n">
        <v>9272.71</v>
      </c>
      <c r="L70" s="94" t="n">
        <v>37178.82</v>
      </c>
      <c r="M70" s="94" t="n">
        <v>7159.59</v>
      </c>
      <c r="N70" s="94" t="n">
        <v>6047.42</v>
      </c>
      <c r="O70" s="94" t="n">
        <v>4212.34</v>
      </c>
      <c r="P70" s="94" t="n">
        <v>3517.24</v>
      </c>
      <c r="Q70" s="94" t="n">
        <v>10746.34</v>
      </c>
      <c r="R70" s="94" t="n">
        <v>46433.07</v>
      </c>
      <c r="S70" s="94" t="n">
        <v>1512.55</v>
      </c>
      <c r="T70" s="117" t="n">
        <f aca="false">SUM(J70:S70)</f>
        <v>161501.28</v>
      </c>
      <c r="U70" s="94" t="n">
        <v>5533.04</v>
      </c>
      <c r="V70" s="94" t="n">
        <v>8077.13</v>
      </c>
      <c r="W70" s="94" t="n">
        <v>12592.54</v>
      </c>
      <c r="X70" s="117" t="n">
        <f aca="false">SUM(U70:W70)</f>
        <v>26202.71</v>
      </c>
      <c r="Y70" s="52"/>
      <c r="Z70" s="74"/>
    </row>
    <row r="71" customFormat="false" ht="15" hidden="false" customHeight="false" outlineLevel="0" collapsed="false">
      <c r="B71" s="71" t="s">
        <v>179</v>
      </c>
      <c r="C71" s="118" t="n">
        <f aca="false">C69/$C$69</f>
        <v>1</v>
      </c>
      <c r="D71" s="119" t="n">
        <f aca="false">D69/$C$69</f>
        <v>0.250273663261503</v>
      </c>
      <c r="E71" s="119" t="n">
        <f aca="false">E69/$C$69</f>
        <v>0.028580335387199</v>
      </c>
      <c r="F71" s="119" t="n">
        <f aca="false">F69/$C$69</f>
        <v>0.0174257820243143</v>
      </c>
      <c r="G71" s="119" t="n">
        <f aca="false">G69/$C$69</f>
        <v>0.00729928923536201</v>
      </c>
      <c r="H71" s="119" t="n">
        <f aca="false">H69/$C$69</f>
        <v>0.00238024641728988</v>
      </c>
      <c r="I71" s="120" t="n">
        <f aca="false">I69/$C$69</f>
        <v>0.305959316325668</v>
      </c>
      <c r="J71" s="119" t="n">
        <f aca="false">J69/$C$69</f>
        <v>0.130970864628745</v>
      </c>
      <c r="K71" s="119" t="n">
        <f aca="false">K69/$C$69</f>
        <v>0.0342861011527449</v>
      </c>
      <c r="L71" s="119" t="n">
        <f aca="false">L69/$C$69</f>
        <v>0.137469713089237</v>
      </c>
      <c r="M71" s="119" t="n">
        <f aca="false">M69/$C$69</f>
        <v>0.0264727816304167</v>
      </c>
      <c r="N71" s="119" t="n">
        <f aca="false">N69/$C$69</f>
        <v>0.0223605023594109</v>
      </c>
      <c r="O71" s="119" t="n">
        <f aca="false">O69/$C$69</f>
        <v>0.0155752434110151</v>
      </c>
      <c r="P71" s="119" t="n">
        <f aca="false">P69/$C$69</f>
        <v>0.0130050919761839</v>
      </c>
      <c r="Q71" s="119" t="n">
        <f aca="false">Q69/$C$69</f>
        <v>0.0397348887500837</v>
      </c>
      <c r="R71" s="119" t="n">
        <f aca="false">R69/$C$69</f>
        <v>0.171687557882484</v>
      </c>
      <c r="S71" s="119" t="n">
        <f aca="false">S69/$C$69</f>
        <v>0.00559269537153478</v>
      </c>
      <c r="T71" s="120" t="n">
        <f aca="false">T69/$C$69</f>
        <v>0.597155440251855</v>
      </c>
      <c r="U71" s="119" t="n">
        <f aca="false">U69/$C$69</f>
        <v>0.0204585681124702</v>
      </c>
      <c r="V71" s="119" t="n">
        <f aca="false">V69/$C$69</f>
        <v>0.0298654111046146</v>
      </c>
      <c r="W71" s="119" t="n">
        <f aca="false">W69/$C$69</f>
        <v>0.0465612642053926</v>
      </c>
      <c r="X71" s="120" t="n">
        <f aca="false">X69/$C$69</f>
        <v>0.0968852434224774</v>
      </c>
      <c r="Y71" s="52"/>
      <c r="Z71" s="74"/>
    </row>
    <row r="72" customFormat="false" ht="15" hidden="false" customHeight="false" outlineLevel="0" collapsed="false">
      <c r="B72" s="71" t="s">
        <v>180</v>
      </c>
      <c r="C72" s="114" t="n">
        <f aca="false">I72+T72+X72</f>
        <v>40534.76</v>
      </c>
      <c r="D72" s="121" t="n">
        <v>10848.89</v>
      </c>
      <c r="E72" s="121" t="n">
        <v>1218.17</v>
      </c>
      <c r="F72" s="121" t="n">
        <v>591.99</v>
      </c>
      <c r="G72" s="121" t="n">
        <v>213.87</v>
      </c>
      <c r="H72" s="121" t="n">
        <v>0</v>
      </c>
      <c r="I72" s="115" t="n">
        <f aca="false">SUM(D72:H72)</f>
        <v>12872.92</v>
      </c>
      <c r="J72" s="121" t="n">
        <v>5174.57</v>
      </c>
      <c r="K72" s="121" t="n">
        <v>1462.29</v>
      </c>
      <c r="L72" s="121" t="n">
        <v>5186.06</v>
      </c>
      <c r="M72" s="121" t="n">
        <v>847</v>
      </c>
      <c r="N72" s="121" t="n">
        <v>910.53</v>
      </c>
      <c r="O72" s="121" t="n">
        <v>535.43</v>
      </c>
      <c r="P72" s="121" t="n">
        <v>514.25</v>
      </c>
      <c r="Q72" s="121" t="n">
        <v>1870.66</v>
      </c>
      <c r="R72" s="121" t="n">
        <v>7377.98</v>
      </c>
      <c r="S72" s="121" t="n">
        <v>0</v>
      </c>
      <c r="T72" s="115" t="n">
        <f aca="false">SUM(J72:S72)</f>
        <v>23878.77</v>
      </c>
      <c r="U72" s="121" t="n">
        <v>948.64</v>
      </c>
      <c r="V72" s="121" t="n">
        <v>1270.5</v>
      </c>
      <c r="W72" s="121" t="n">
        <v>1563.93</v>
      </c>
      <c r="X72" s="115" t="n">
        <f aca="false">SUM(U72:W72)</f>
        <v>3783.07</v>
      </c>
      <c r="Y72" s="52"/>
      <c r="Z72" s="74"/>
    </row>
    <row r="73" customFormat="false" ht="15" hidden="false" customHeight="false" outlineLevel="0" collapsed="false">
      <c r="B73" s="71" t="s">
        <v>181</v>
      </c>
      <c r="C73" s="114" t="n">
        <f aca="false">I73+T73+X73</f>
        <v>18313.26</v>
      </c>
      <c r="D73" s="121" t="n">
        <v>3879.26</v>
      </c>
      <c r="E73" s="121" t="n">
        <v>463.73</v>
      </c>
      <c r="F73" s="121" t="n">
        <v>433.48</v>
      </c>
      <c r="G73" s="121" t="n">
        <v>215.68</v>
      </c>
      <c r="H73" s="121" t="n">
        <v>140.07</v>
      </c>
      <c r="I73" s="115" t="n">
        <f aca="false">SUM(D73:H73)</f>
        <v>5132.22</v>
      </c>
      <c r="J73" s="121" t="n">
        <v>2532.63</v>
      </c>
      <c r="K73" s="121" t="n">
        <v>555.39</v>
      </c>
      <c r="L73" s="121" t="n">
        <v>2903.78</v>
      </c>
      <c r="M73" s="121" t="n">
        <v>710.88</v>
      </c>
      <c r="N73" s="121" t="n">
        <v>405.35</v>
      </c>
      <c r="O73" s="121" t="n">
        <v>381.15</v>
      </c>
      <c r="P73" s="121" t="n">
        <v>251.08</v>
      </c>
      <c r="Q73" s="121" t="n">
        <v>467.67</v>
      </c>
      <c r="R73" s="121" t="n">
        <v>2725.53</v>
      </c>
      <c r="S73" s="121" t="n">
        <v>329.12</v>
      </c>
      <c r="T73" s="115" t="n">
        <f aca="false">SUM(J73:S73)</f>
        <v>11262.58</v>
      </c>
      <c r="U73" s="121" t="n">
        <v>255.31</v>
      </c>
      <c r="V73" s="121" t="n">
        <v>487.03</v>
      </c>
      <c r="W73" s="121" t="n">
        <v>1176.12</v>
      </c>
      <c r="X73" s="115" t="n">
        <f aca="false">SUM(U73:W73)</f>
        <v>1918.46</v>
      </c>
      <c r="Y73" s="52"/>
      <c r="Z73" s="74"/>
    </row>
    <row r="74" customFormat="false" ht="15" hidden="false" customHeight="false" outlineLevel="0" collapsed="false">
      <c r="B74" s="71" t="s">
        <v>182</v>
      </c>
      <c r="C74" s="114" t="n">
        <f aca="false">I74+T74+X74+Y74+Z74</f>
        <v>81811.424475</v>
      </c>
      <c r="D74" s="76" t="n">
        <f aca="false">D72+D73</f>
        <v>14728.15</v>
      </c>
      <c r="E74" s="76" t="n">
        <f aca="false">E72+E73</f>
        <v>1681.9</v>
      </c>
      <c r="F74" s="76" t="n">
        <f aca="false">F72+F73</f>
        <v>1025.47</v>
      </c>
      <c r="G74" s="76" t="n">
        <f aca="false">G72+G73</f>
        <v>429.55</v>
      </c>
      <c r="H74" s="76" t="n">
        <f aca="false">H72+H73</f>
        <v>140.07</v>
      </c>
      <c r="I74" s="115" t="n">
        <f aca="false">SUM(D74:H74)</f>
        <v>18005.14</v>
      </c>
      <c r="J74" s="76" t="n">
        <f aca="false">J72+J73</f>
        <v>7707.2</v>
      </c>
      <c r="K74" s="76" t="n">
        <f aca="false">K72+K73</f>
        <v>2017.68</v>
      </c>
      <c r="L74" s="76" t="n">
        <f aca="false">L72+L73</f>
        <v>8089.84</v>
      </c>
      <c r="M74" s="76" t="n">
        <f aca="false">M72+M73</f>
        <v>1557.88</v>
      </c>
      <c r="N74" s="76" t="n">
        <f aca="false">N72+N73</f>
        <v>1315.88</v>
      </c>
      <c r="O74" s="76" t="n">
        <f aca="false">O72+O73</f>
        <v>916.58</v>
      </c>
      <c r="P74" s="76" t="n">
        <f aca="false">P72+P73</f>
        <v>765.33</v>
      </c>
      <c r="Q74" s="76" t="n">
        <f aca="false">Q72+Q73</f>
        <v>2338.33</v>
      </c>
      <c r="R74" s="76" t="n">
        <f aca="false">R72+R73</f>
        <v>10103.51</v>
      </c>
      <c r="S74" s="76" t="n">
        <f aca="false">S72+S73</f>
        <v>329.12</v>
      </c>
      <c r="T74" s="115" t="n">
        <f aca="false">SUM(J74:S74)</f>
        <v>35141.35</v>
      </c>
      <c r="U74" s="76" t="n">
        <f aca="false">U72+U73</f>
        <v>1203.95</v>
      </c>
      <c r="V74" s="76" t="n">
        <f aca="false">V72+V73</f>
        <v>1757.53</v>
      </c>
      <c r="W74" s="76" t="n">
        <f aca="false">W72+W73</f>
        <v>2740.05</v>
      </c>
      <c r="X74" s="115" t="n">
        <f aca="false">SUM(U74:W74)</f>
        <v>5701.53</v>
      </c>
      <c r="Y74" s="121" t="n">
        <v>1585.81</v>
      </c>
      <c r="Z74" s="79" t="n">
        <f aca="false">$C$69-($I$74+$T$74+$X$74)-$Y$74</f>
        <v>21377.594475</v>
      </c>
    </row>
    <row r="75" customFormat="false" ht="15" hidden="false" customHeight="false" outlineLevel="0" collapsed="false">
      <c r="B75" s="71" t="s">
        <v>179</v>
      </c>
      <c r="C75" s="118" t="n">
        <f aca="false">C74/$C$74</f>
        <v>1</v>
      </c>
      <c r="D75" s="119" t="n">
        <f aca="false">D74/$C$74</f>
        <v>0.180025590490734</v>
      </c>
      <c r="E75" s="119" t="n">
        <f aca="false">E74/$C$74</f>
        <v>0.020558253456569</v>
      </c>
      <c r="F75" s="119" t="n">
        <f aca="false">F74/$C$74</f>
        <v>0.0125345574481882</v>
      </c>
      <c r="G75" s="119" t="n">
        <f aca="false">G74/$C$74</f>
        <v>0.00525048919214531</v>
      </c>
      <c r="H75" s="119" t="n">
        <f aca="false">H74/$C$74</f>
        <v>0.00171210806924408</v>
      </c>
      <c r="I75" s="120" t="n">
        <f aca="false">I74/$C$74</f>
        <v>0.220080998656881</v>
      </c>
      <c r="J75" s="119" t="n">
        <f aca="false">J74/$C$74</f>
        <v>0.0942068916347395</v>
      </c>
      <c r="K75" s="119" t="n">
        <f aca="false">K74/$C$74</f>
        <v>0.0246625702088412</v>
      </c>
      <c r="L75" s="119" t="n">
        <f aca="false">L74/$C$74</f>
        <v>0.0988839890261549</v>
      </c>
      <c r="M75" s="119" t="n">
        <f aca="false">M74/$C$74</f>
        <v>0.0190423282566857</v>
      </c>
      <c r="N75" s="119" t="n">
        <f aca="false">N74/$C$74</f>
        <v>0.0160843061766038</v>
      </c>
      <c r="O75" s="119" t="n">
        <f aca="false">O74/$C$74</f>
        <v>0.0112035697444687</v>
      </c>
      <c r="P75" s="119" t="n">
        <f aca="false">P74/$C$74</f>
        <v>0.00935480594441758</v>
      </c>
      <c r="Q75" s="119" t="n">
        <f aca="false">Q74/$C$74</f>
        <v>0.0285819494649497</v>
      </c>
      <c r="R75" s="119" t="n">
        <f aca="false">R74/$C$74</f>
        <v>0.123497544075735</v>
      </c>
      <c r="S75" s="119" t="n">
        <f aca="false">S74/$C$74</f>
        <v>0.00402291002891134</v>
      </c>
      <c r="T75" s="120" t="n">
        <f aca="false">T74/$C$74</f>
        <v>0.429540864561508</v>
      </c>
      <c r="U75" s="119" t="n">
        <f aca="false">U74/$C$74</f>
        <v>0.0147161598484073</v>
      </c>
      <c r="V75" s="119" t="n">
        <f aca="false">V74/$C$74</f>
        <v>0.0214826964727532</v>
      </c>
      <c r="W75" s="119" t="n">
        <f aca="false">W74/$C$74</f>
        <v>0.0334922661178856</v>
      </c>
      <c r="X75" s="120" t="n">
        <f aca="false">X74/$C$74</f>
        <v>0.0696911224390461</v>
      </c>
      <c r="Y75" s="119" t="n">
        <f aca="false">Y74/$C$74</f>
        <v>0.0193837231190687</v>
      </c>
      <c r="Z75" s="122" t="n">
        <f aca="false">Z74/$C$74</f>
        <v>0.261303291223496</v>
      </c>
    </row>
    <row r="76" customFormat="false" ht="15" hidden="false" customHeight="false" outlineLevel="0" collapsed="false">
      <c r="B76" s="71" t="s">
        <v>183</v>
      </c>
      <c r="C76" s="114" t="n">
        <f aca="false">I76+T76+X76</f>
        <v>21377.594475</v>
      </c>
      <c r="D76" s="76" t="n">
        <f aca="false">$Z$74*D74/($I$74+$T$74+$X$74)</f>
        <v>5350.26357840028</v>
      </c>
      <c r="E76" s="76" t="n">
        <f aca="false">$Z$74*E74/($I$74+$T$74+$X$74)</f>
        <v>610.980219003162</v>
      </c>
      <c r="F76" s="76" t="n">
        <f aca="false">$Z$74*F74/($I$74+$T$74+$X$74)</f>
        <v>372.520295606857</v>
      </c>
      <c r="G76" s="76" t="n">
        <f aca="false">$Z$74*G74/($I$74+$T$74+$X$74)</f>
        <v>156.041710608721</v>
      </c>
      <c r="H76" s="76" t="n">
        <f aca="false">$Z$74*H74/($I$74+$T$74+$X$74)</f>
        <v>50.8829295890201</v>
      </c>
      <c r="I76" s="115" t="n">
        <f aca="false">SUM(D76:H76)</f>
        <v>6540.68873320804</v>
      </c>
      <c r="J76" s="76" t="n">
        <f aca="false">$Z$74*J74/($I$74+$T$74+$X$74)</f>
        <v>2799.7780747376</v>
      </c>
      <c r="K76" s="76" t="n">
        <f aca="false">$Z$74*K74/($I$74+$T$74+$X$74)</f>
        <v>732.958302085915</v>
      </c>
      <c r="L76" s="76" t="n">
        <f aca="false">$Z$74*L74/($I$74+$T$74+$X$74)</f>
        <v>2938.77888988676</v>
      </c>
      <c r="M76" s="76" t="n">
        <f aca="false">$Z$74*M74/($I$74+$T$74+$X$74)</f>
        <v>565.927738617425</v>
      </c>
      <c r="N76" s="76" t="n">
        <f aca="false">$Z$74*N74/($I$74+$T$74+$X$74)</f>
        <v>478.016915739272</v>
      </c>
      <c r="O76" s="76" t="n">
        <f aca="false">$Z$74*O74/($I$74+$T$74+$X$74)</f>
        <v>332.96405799032</v>
      </c>
      <c r="P76" s="76" t="n">
        <f aca="false">$Z$74*P74/($I$74+$T$74+$X$74)</f>
        <v>278.019793691474</v>
      </c>
      <c r="Q76" s="76" t="n">
        <f aca="false">$Z$74*Q74/($I$74+$T$74+$X$74)</f>
        <v>849.440142399468</v>
      </c>
      <c r="R76" s="76" t="n">
        <f aca="false">$Z$74*R74/($I$74+$T$74+$X$74)</f>
        <v>3670.28048784151</v>
      </c>
      <c r="S76" s="76" t="n">
        <f aca="false">$Z$74*S74/($I$74+$T$74+$X$74)</f>
        <v>119.558719114288</v>
      </c>
      <c r="T76" s="115" t="n">
        <f aca="false">SUM(J76:S76)</f>
        <v>12765.723122104</v>
      </c>
      <c r="U76" s="76" t="n">
        <f aca="false">$Z$74*U74/($I$74+$T$74+$X$74)</f>
        <v>437.35634381881</v>
      </c>
      <c r="V76" s="76" t="n">
        <f aca="false">$Z$74*V74/($I$74+$T$74+$X$74)</f>
        <v>638.454167491901</v>
      </c>
      <c r="W76" s="76" t="n">
        <f aca="false">$Z$74*W74/($I$74+$T$74+$X$74)</f>
        <v>995.372108377201</v>
      </c>
      <c r="X76" s="115" t="n">
        <f aca="false">SUM(U76:W76)</f>
        <v>2071.18261968791</v>
      </c>
      <c r="Y76" s="52"/>
      <c r="Z76" s="74"/>
    </row>
    <row r="77" customFormat="false" ht="15" hidden="false" customHeight="false" outlineLevel="0" collapsed="false">
      <c r="B77" s="71" t="s">
        <v>184</v>
      </c>
      <c r="C77" s="114" t="n">
        <f aca="false">I77+T77+X77</f>
        <v>1585.81</v>
      </c>
      <c r="D77" s="76" t="n">
        <f aca="false">$Y$74*D74/($I$74+$T$74+$X$74)</f>
        <v>396.887568205353</v>
      </c>
      <c r="E77" s="76" t="n">
        <f aca="false">$Y$74*E74/($I$74+$T$74+$X$74)</f>
        <v>45.3230854496039</v>
      </c>
      <c r="F77" s="76" t="n">
        <f aca="false">$Y$74*F74/($I$74+$T$74+$X$74)</f>
        <v>27.6339047719872</v>
      </c>
      <c r="G77" s="76" t="n">
        <f aca="false">$Y$74*G74/($I$74+$T$74+$X$74)</f>
        <v>11.5753203846111</v>
      </c>
      <c r="H77" s="76" t="n">
        <f aca="false">$Y$74*H74/($I$74+$T$74+$X$74)</f>
        <v>3.77454342049231</v>
      </c>
      <c r="I77" s="115" t="n">
        <f aca="false">SUM(D77:H77)</f>
        <v>485.194422232048</v>
      </c>
      <c r="J77" s="76" t="n">
        <f aca="false">$Y$74*J74/($I$74+$T$74+$X$74)</f>
        <v>207.690162421777</v>
      </c>
      <c r="K77" s="76" t="n">
        <f aca="false">$Y$74*K74/($I$74+$T$74+$X$74)</f>
        <v>54.3715340091306</v>
      </c>
      <c r="L77" s="76" t="n">
        <f aca="false">$Y$74*L74/($I$74+$T$74+$X$74)</f>
        <v>218.00137320508</v>
      </c>
      <c r="M77" s="76" t="n">
        <f aca="false">$Y$74*M74/($I$74+$T$74+$X$74)</f>
        <v>41.9810502171526</v>
      </c>
      <c r="N77" s="76" t="n">
        <f aca="false">$Y$74*N74/($I$74+$T$74+$X$74)</f>
        <v>35.4597429582168</v>
      </c>
      <c r="O77" s="76" t="n">
        <f aca="false">$Y$74*O74/($I$74+$T$74+$X$74)</f>
        <v>24.6995859809727</v>
      </c>
      <c r="P77" s="76" t="n">
        <f aca="false">$Y$74*P74/($I$74+$T$74+$X$74)</f>
        <v>20.6237689441378</v>
      </c>
      <c r="Q77" s="76" t="n">
        <f aca="false">$Y$74*Q74/($I$74+$T$74+$X$74)</f>
        <v>63.0122661272206</v>
      </c>
      <c r="R77" s="76" t="n">
        <f aca="false">$Y$74*R74/($I$74+$T$74+$X$74)</f>
        <v>272.264847536077</v>
      </c>
      <c r="S77" s="76" t="n">
        <f aca="false">$Y$74*S74/($I$74+$T$74+$X$74)</f>
        <v>8.86897787215271</v>
      </c>
      <c r="T77" s="115" t="n">
        <f aca="false">SUM(J77:S77)</f>
        <v>946.973309271918</v>
      </c>
      <c r="U77" s="76" t="n">
        <f aca="false">$Y$74*U74/($I$74+$T$74+$X$74)</f>
        <v>32.4435036132057</v>
      </c>
      <c r="V77" s="76" t="n">
        <f aca="false">$Y$74*V74/($I$74+$T$74+$X$74)</f>
        <v>47.3611287057746</v>
      </c>
      <c r="W77" s="76" t="n">
        <f aca="false">$Y$74*W74/($I$74+$T$74+$X$74)</f>
        <v>73.8376361770541</v>
      </c>
      <c r="X77" s="115" t="n">
        <f aca="false">SUM(U77:W77)</f>
        <v>153.642268496034</v>
      </c>
      <c r="Y77" s="52"/>
      <c r="Z77" s="74"/>
    </row>
    <row r="78" customFormat="false" ht="15" hidden="false" customHeight="false" outlineLevel="0" collapsed="false">
      <c r="B78" s="71" t="s">
        <v>185</v>
      </c>
      <c r="C78" s="114" t="n">
        <f aca="false">I78+T78+X78</f>
        <v>41276.664475</v>
      </c>
      <c r="D78" s="76" t="n">
        <f aca="false">D73+D76+D77</f>
        <v>9626.41114660563</v>
      </c>
      <c r="E78" s="76" t="n">
        <f aca="false">E73+E76+E77</f>
        <v>1120.03330445277</v>
      </c>
      <c r="F78" s="76" t="n">
        <f aca="false">F73+F76+F77</f>
        <v>833.634200378844</v>
      </c>
      <c r="G78" s="76" t="n">
        <f aca="false">G73+G76+G77</f>
        <v>383.297030993332</v>
      </c>
      <c r="H78" s="76" t="n">
        <f aca="false">H73+H76+H77</f>
        <v>194.727473009512</v>
      </c>
      <c r="I78" s="115" t="n">
        <f aca="false">SUM(D78:H78)</f>
        <v>12158.1031554401</v>
      </c>
      <c r="J78" s="76" t="n">
        <f aca="false">J73+J76+J77</f>
        <v>5540.09823715938</v>
      </c>
      <c r="K78" s="76" t="n">
        <f aca="false">K73+K76+K77</f>
        <v>1342.71983609505</v>
      </c>
      <c r="L78" s="76" t="n">
        <f aca="false">L73+L76+L77</f>
        <v>6060.56026309184</v>
      </c>
      <c r="M78" s="76" t="n">
        <f aca="false">M73+M76+M77</f>
        <v>1318.78878883458</v>
      </c>
      <c r="N78" s="76" t="n">
        <f aca="false">N73+N76+N77</f>
        <v>918.826658697489</v>
      </c>
      <c r="O78" s="76" t="n">
        <f aca="false">O73+O76+O77</f>
        <v>738.813643971292</v>
      </c>
      <c r="P78" s="76" t="n">
        <f aca="false">P73+P76+P77</f>
        <v>549.723562635612</v>
      </c>
      <c r="Q78" s="76" t="n">
        <f aca="false">Q73+Q76+Q77</f>
        <v>1380.12240852669</v>
      </c>
      <c r="R78" s="76" t="n">
        <f aca="false">R73+R76+R77</f>
        <v>6668.07533537759</v>
      </c>
      <c r="S78" s="76" t="n">
        <f aca="false">S73+S76+S77</f>
        <v>457.547696986441</v>
      </c>
      <c r="T78" s="115" t="n">
        <f aca="false">SUM(J78:S78)</f>
        <v>24975.276431376</v>
      </c>
      <c r="U78" s="76" t="n">
        <f aca="false">U73+U76+U77</f>
        <v>725.109847432016</v>
      </c>
      <c r="V78" s="76" t="n">
        <f aca="false">V73+V76+V77</f>
        <v>1172.84529619768</v>
      </c>
      <c r="W78" s="76" t="n">
        <f aca="false">W73+W76+W77</f>
        <v>2245.32974455426</v>
      </c>
      <c r="X78" s="115" t="n">
        <f aca="false">SUM(U78:W78)</f>
        <v>4143.28488818395</v>
      </c>
      <c r="Y78" s="52"/>
      <c r="Z78" s="74"/>
    </row>
    <row r="79" customFormat="false" ht="15" hidden="false" customHeight="false" outlineLevel="0" collapsed="false">
      <c r="B79" s="71" t="s">
        <v>186</v>
      </c>
      <c r="C79" s="118" t="n">
        <f aca="false">C72/C69</f>
        <v>0.495465764838096</v>
      </c>
      <c r="D79" s="119" t="n">
        <f aca="false">IF(D69=0,0,D72/D69)</f>
        <v>0.529853979915034</v>
      </c>
      <c r="E79" s="119" t="n">
        <f aca="false">IF(E69=0,0,E72/E69)</f>
        <v>0.520986685494271</v>
      </c>
      <c r="F79" s="119" t="n">
        <f aca="false">IF(F69=0,0,F72/F69)</f>
        <v>0.415248563606756</v>
      </c>
      <c r="G79" s="119" t="n">
        <f aca="false">IF(G69=0,0,G72/G69)</f>
        <v>0.358142072064642</v>
      </c>
      <c r="H79" s="119" t="n">
        <f aca="false">IF(H69=0,0,H72/H69)</f>
        <v>0</v>
      </c>
      <c r="I79" s="120" t="n">
        <f aca="false">IF(I69=0,0,I72/I69)</f>
        <v>0.514279761659233</v>
      </c>
      <c r="J79" s="119" t="n">
        <f aca="false">IF(J69=0,0,J72/J69)</f>
        <v>0.48293159263169</v>
      </c>
      <c r="K79" s="119" t="n">
        <f aca="false">IF(K69=0,0,K72/K69)</f>
        <v>0.521316479101106</v>
      </c>
      <c r="L79" s="119" t="n">
        <f aca="false">IF(L69=0,0,L72/L69)</f>
        <v>0.461122757527001</v>
      </c>
      <c r="M79" s="119" t="n">
        <f aca="false">IF(M69=0,0,M72/M69)</f>
        <v>0.391083846980065</v>
      </c>
      <c r="N79" s="119" t="n">
        <f aca="false">IF(N69=0,0,N72/N69)</f>
        <v>0.497735650728016</v>
      </c>
      <c r="O79" s="119" t="n">
        <f aca="false">IF(O69=0,0,O72/O69)</f>
        <v>0.420197925363484</v>
      </c>
      <c r="P79" s="119" t="n">
        <f aca="false">IF(P69=0,0,P72/P69)</f>
        <v>0.483333522875891</v>
      </c>
      <c r="Q79" s="119" t="n">
        <f aca="false">IF(Q69=0,0,Q72/Q69)</f>
        <v>0.575451735195425</v>
      </c>
      <c r="R79" s="119" t="n">
        <f aca="false">IF(R69=0,0,R72/R69)</f>
        <v>0.525272538062325</v>
      </c>
      <c r="S79" s="119" t="n">
        <f aca="false">IF(S69=0,0,S72/S69)</f>
        <v>0</v>
      </c>
      <c r="T79" s="120" t="n">
        <f aca="false">IF(T69=0,0,T72/T69)</f>
        <v>0.488776823593151</v>
      </c>
      <c r="U79" s="119" t="n">
        <f aca="false">IF(U69=0,0,U72/U69)</f>
        <v>0.566777033963246</v>
      </c>
      <c r="V79" s="119" t="n">
        <f aca="false">IF(V69=0,0,V72/V69)</f>
        <v>0.519986678436524</v>
      </c>
      <c r="W79" s="119" t="n">
        <f aca="false">IF(W69=0,0,W72/W69)</f>
        <v>0.410561850820059</v>
      </c>
      <c r="X79" s="120" t="n">
        <f aca="false">IF(X69=0,0,X72/X69)</f>
        <v>0.477279507689305</v>
      </c>
      <c r="Y79" s="52"/>
      <c r="Z79" s="74"/>
    </row>
    <row r="80" customFormat="false" ht="15" hidden="false" customHeight="false" outlineLevel="0" collapsed="false">
      <c r="B80" s="123" t="s">
        <v>9</v>
      </c>
      <c r="C80" s="58"/>
      <c r="D80" s="124" t="s">
        <v>187</v>
      </c>
      <c r="E80" s="58"/>
      <c r="F80" s="58"/>
      <c r="G80" s="58"/>
      <c r="H80" s="58"/>
      <c r="I80" s="58"/>
      <c r="J80" s="124" t="s">
        <v>188</v>
      </c>
      <c r="K80" s="58"/>
      <c r="L80" s="124" t="s">
        <v>189</v>
      </c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125"/>
    </row>
    <row r="82" customFormat="false" ht="15" hidden="false" customHeight="false" outlineLevel="0" collapsed="false">
      <c r="B82" s="87" t="s">
        <v>190</v>
      </c>
      <c r="D82" s="126" t="n">
        <v>16515</v>
      </c>
      <c r="E82" s="127" t="n">
        <f aca="false">$D$82*$F$54</f>
        <v>4995.7875</v>
      </c>
    </row>
    <row r="84" customFormat="false" ht="15" hidden="false" customHeight="false" outlineLevel="0" collapsed="false">
      <c r="B84" s="108" t="s">
        <v>121</v>
      </c>
      <c r="C84" s="110" t="s">
        <v>135</v>
      </c>
      <c r="D84" s="109" t="s">
        <v>191</v>
      </c>
      <c r="E84" s="113" t="s">
        <v>192</v>
      </c>
    </row>
    <row r="85" customFormat="false" ht="15" hidden="false" customHeight="false" outlineLevel="0" collapsed="false">
      <c r="B85" s="51" t="s">
        <v>122</v>
      </c>
      <c r="C85" s="81" t="n">
        <f aca="false">$E$60/$C$69</f>
        <v>0.281234245065991</v>
      </c>
      <c r="D85" s="102" t="n">
        <f aca="false">C85*$D$82</f>
        <v>4644.58355726485</v>
      </c>
      <c r="E85" s="79" t="n">
        <f aca="false">C85*$E$82</f>
        <v>1404.98652607262</v>
      </c>
    </row>
    <row r="86" customFormat="false" ht="15" hidden="false" customHeight="false" outlineLevel="0" collapsed="false">
      <c r="B86" s="51" t="s">
        <v>193</v>
      </c>
      <c r="C86" s="81" t="n">
        <f aca="false">$E$61/$C$69</f>
        <v>0.16525696578149</v>
      </c>
      <c r="D86" s="102" t="n">
        <f aca="false">C86*$D$82</f>
        <v>2729.2187898813</v>
      </c>
      <c r="E86" s="79" t="n">
        <f aca="false">C86*$E$82</f>
        <v>825.588683939094</v>
      </c>
    </row>
    <row r="87" customFormat="false" ht="15" hidden="false" customHeight="false" outlineLevel="0" collapsed="false">
      <c r="B87" s="51" t="s">
        <v>124</v>
      </c>
      <c r="C87" s="81" t="n">
        <f aca="false">$E$62/$C$69</f>
        <v>0.260210916587882</v>
      </c>
      <c r="D87" s="102" t="n">
        <f aca="false">C87*$D$82</f>
        <v>4297.38328744886</v>
      </c>
      <c r="E87" s="79" t="n">
        <f aca="false">C87*$E$82</f>
        <v>1299.95844445328</v>
      </c>
    </row>
    <row r="88" customFormat="false" ht="15" hidden="false" customHeight="false" outlineLevel="0" collapsed="false">
      <c r="B88" s="51" t="s">
        <v>125</v>
      </c>
      <c r="C88" s="81" t="n">
        <f aca="false">$E$63/$C$69</f>
        <v>0.171687557882484</v>
      </c>
      <c r="D88" s="102" t="n">
        <f aca="false">C88*$D$82</f>
        <v>2835.42001842922</v>
      </c>
      <c r="E88" s="79" t="n">
        <f aca="false">C88*$E$82</f>
        <v>857.714555574838</v>
      </c>
    </row>
    <row r="89" customFormat="false" ht="15" hidden="false" customHeight="false" outlineLevel="0" collapsed="false">
      <c r="B89" s="51" t="s">
        <v>126</v>
      </c>
      <c r="C89" s="81" t="n">
        <f aca="false">$E$64/$C$69</f>
        <v>0.121610314682154</v>
      </c>
      <c r="D89" s="102" t="n">
        <f aca="false">C89*$D$82</f>
        <v>2008.39434697577</v>
      </c>
      <c r="E89" s="79" t="n">
        <f aca="false">C89*$E$82</f>
        <v>607.53928996017</v>
      </c>
    </row>
    <row r="90" customFormat="false" ht="15" hidden="false" customHeight="false" outlineLevel="0" collapsed="false">
      <c r="B90" s="123" t="s">
        <v>155</v>
      </c>
      <c r="C90" s="128" t="n">
        <f aca="false">SUM(C85:C89)</f>
        <v>1</v>
      </c>
      <c r="D90" s="96" t="n">
        <f aca="false">SUM(D85:D89)</f>
        <v>16515</v>
      </c>
      <c r="E90" s="97" t="n">
        <f aca="false">SUM(E85:E89)</f>
        <v>4995.7875</v>
      </c>
    </row>
    <row r="92" customFormat="false" ht="15" hidden="false" customHeight="false" outlineLevel="0" collapsed="false">
      <c r="A92" s="61" t="s">
        <v>194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customFormat="false" ht="15" hidden="false" customHeight="false" outlineLevel="0" collapsed="false">
      <c r="B93" s="129" t="s">
        <v>195</v>
      </c>
    </row>
    <row r="95" customFormat="false" ht="15" hidden="false" customHeight="false" outlineLevel="0" collapsed="false">
      <c r="A95" s="130" t="s">
        <v>122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customFormat="false" ht="15" hidden="false" customHeight="false" outlineLevel="0" collapsed="false">
      <c r="B96" s="131" t="s">
        <v>196</v>
      </c>
      <c r="C96" s="91" t="s">
        <v>197</v>
      </c>
      <c r="D96" s="91" t="s">
        <v>198</v>
      </c>
      <c r="E96" s="132" t="n">
        <v>270</v>
      </c>
      <c r="G96" s="108" t="s">
        <v>199</v>
      </c>
      <c r="H96" s="109" t="s">
        <v>200</v>
      </c>
      <c r="I96" s="109" t="s">
        <v>201</v>
      </c>
      <c r="J96" s="113" t="s">
        <v>202</v>
      </c>
    </row>
    <row r="97" customFormat="false" ht="15" hidden="false" customHeight="false" outlineLevel="0" collapsed="false">
      <c r="B97" s="78"/>
      <c r="C97" s="75" t="s">
        <v>199</v>
      </c>
      <c r="D97" s="75" t="s">
        <v>203</v>
      </c>
      <c r="E97" s="133" t="n">
        <v>2000</v>
      </c>
      <c r="G97" s="51" t="s">
        <v>204</v>
      </c>
      <c r="H97" s="134" t="n">
        <v>46477</v>
      </c>
      <c r="I97" s="135" t="n">
        <v>0.1</v>
      </c>
      <c r="J97" s="136" t="n">
        <f aca="false">EOMONTH(H97,0)</f>
        <v>46477</v>
      </c>
    </row>
    <row r="98" customFormat="false" ht="15" hidden="false" customHeight="false" outlineLevel="0" collapsed="false">
      <c r="B98" s="78"/>
      <c r="C98" s="75" t="s">
        <v>205</v>
      </c>
      <c r="D98" s="75" t="s">
        <v>21</v>
      </c>
      <c r="E98" s="137" t="n">
        <f aca="false">$E$96*$E$97</f>
        <v>540000</v>
      </c>
      <c r="G98" s="51" t="s">
        <v>206</v>
      </c>
      <c r="H98" s="134" t="n">
        <v>46842</v>
      </c>
      <c r="I98" s="135" t="n">
        <v>0.2</v>
      </c>
      <c r="J98" s="136" t="n">
        <f aca="false">EOMONTH(H98,0)</f>
        <v>46843</v>
      </c>
    </row>
    <row r="99" customFormat="false" ht="15" hidden="false" customHeight="false" outlineLevel="0" collapsed="false">
      <c r="B99" s="78"/>
      <c r="C99" s="75" t="s">
        <v>207</v>
      </c>
      <c r="D99" s="75" t="s">
        <v>208</v>
      </c>
      <c r="E99" s="133" t="n">
        <v>0</v>
      </c>
      <c r="G99" s="51" t="s">
        <v>209</v>
      </c>
      <c r="H99" s="134" t="n">
        <v>47208</v>
      </c>
      <c r="I99" s="135" t="n">
        <v>0.2</v>
      </c>
      <c r="J99" s="136" t="n">
        <f aca="false">EOMONTH(H99,0)</f>
        <v>47208</v>
      </c>
    </row>
    <row r="100" customFormat="false" ht="15" hidden="false" customHeight="false" outlineLevel="0" collapsed="false">
      <c r="B100" s="78"/>
      <c r="C100" s="75" t="s">
        <v>210</v>
      </c>
      <c r="D100" s="75" t="s">
        <v>208</v>
      </c>
      <c r="E100" s="133" t="n">
        <v>6000</v>
      </c>
      <c r="G100" s="51" t="s">
        <v>211</v>
      </c>
      <c r="H100" s="134" t="n">
        <v>47573</v>
      </c>
      <c r="I100" s="135" t="n">
        <v>0.2</v>
      </c>
      <c r="J100" s="136" t="n">
        <f aca="false">EOMONTH(H100,0)</f>
        <v>47573</v>
      </c>
    </row>
    <row r="101" customFormat="false" ht="15" hidden="false" customHeight="false" outlineLevel="0" collapsed="false">
      <c r="B101" s="78"/>
      <c r="C101" s="75" t="s">
        <v>212</v>
      </c>
      <c r="D101" s="72" t="s">
        <v>16</v>
      </c>
      <c r="E101" s="138" t="n">
        <v>0.02</v>
      </c>
      <c r="G101" s="51" t="s">
        <v>213</v>
      </c>
      <c r="H101" s="134" t="n">
        <v>47938</v>
      </c>
      <c r="I101" s="135" t="n">
        <v>0.3</v>
      </c>
      <c r="J101" s="136" t="n">
        <f aca="false">EOMONTH(H101,0)</f>
        <v>47938</v>
      </c>
    </row>
    <row r="102" customFormat="false" ht="15" hidden="false" customHeight="false" outlineLevel="0" collapsed="false">
      <c r="B102" s="78"/>
      <c r="C102" s="75" t="s">
        <v>214</v>
      </c>
      <c r="D102" s="75" t="s">
        <v>215</v>
      </c>
      <c r="E102" s="139" t="n">
        <v>12</v>
      </c>
      <c r="G102" s="123" t="s">
        <v>155</v>
      </c>
      <c r="H102" s="58"/>
      <c r="I102" s="140" t="n">
        <f aca="false">SUM(I97:I101)</f>
        <v>1</v>
      </c>
      <c r="J102" s="125"/>
    </row>
    <row r="103" customFormat="false" ht="15" hidden="false" customHeight="false" outlineLevel="0" collapsed="false">
      <c r="B103" s="78"/>
      <c r="C103" s="75" t="s">
        <v>216</v>
      </c>
      <c r="D103" s="72" t="s">
        <v>16</v>
      </c>
      <c r="E103" s="138" t="n">
        <v>0.02</v>
      </c>
    </row>
    <row r="104" customFormat="false" ht="15" hidden="false" customHeight="false" outlineLevel="0" collapsed="false">
      <c r="B104" s="78"/>
      <c r="C104" s="75" t="s">
        <v>217</v>
      </c>
      <c r="D104" s="72" t="s">
        <v>218</v>
      </c>
      <c r="E104" s="138" t="n">
        <v>0.8</v>
      </c>
    </row>
    <row r="105" customFormat="false" ht="15" hidden="false" customHeight="false" outlineLevel="0" collapsed="false">
      <c r="B105" s="78"/>
      <c r="C105" s="52"/>
      <c r="D105" s="72" t="s">
        <v>219</v>
      </c>
      <c r="E105" s="138" t="n">
        <v>1</v>
      </c>
    </row>
    <row r="106" customFormat="false" ht="15" hidden="false" customHeight="false" outlineLevel="0" collapsed="false">
      <c r="B106" s="78"/>
      <c r="C106" s="52"/>
      <c r="D106" s="72" t="s">
        <v>220</v>
      </c>
      <c r="E106" s="138" t="n">
        <v>1</v>
      </c>
    </row>
    <row r="107" customFormat="false" ht="15" hidden="false" customHeight="false" outlineLevel="0" collapsed="false">
      <c r="B107" s="78"/>
      <c r="C107" s="75" t="s">
        <v>221</v>
      </c>
      <c r="D107" s="75" t="s">
        <v>222</v>
      </c>
      <c r="E107" s="138" t="n">
        <v>0.15</v>
      </c>
    </row>
    <row r="108" customFormat="false" ht="15" hidden="false" customHeight="false" outlineLevel="0" collapsed="false">
      <c r="B108" s="71" t="s">
        <v>223</v>
      </c>
      <c r="C108" s="72" t="s">
        <v>224</v>
      </c>
      <c r="D108" s="75" t="s">
        <v>225</v>
      </c>
      <c r="E108" s="133" t="n">
        <v>200</v>
      </c>
    </row>
    <row r="109" customFormat="false" ht="15" hidden="false" customHeight="false" outlineLevel="0" collapsed="false">
      <c r="B109" s="78"/>
      <c r="C109" s="72" t="s">
        <v>226</v>
      </c>
      <c r="D109" s="72" t="s">
        <v>16</v>
      </c>
      <c r="E109" s="138" t="n">
        <v>0.9</v>
      </c>
    </row>
    <row r="110" customFormat="false" ht="15" hidden="false" customHeight="false" outlineLevel="0" collapsed="false">
      <c r="B110" s="78"/>
      <c r="C110" s="75" t="s">
        <v>227</v>
      </c>
      <c r="D110" s="75" t="s">
        <v>228</v>
      </c>
      <c r="E110" s="138" t="n">
        <v>0.75</v>
      </c>
    </row>
    <row r="111" customFormat="false" ht="15" hidden="false" customHeight="false" outlineLevel="0" collapsed="false">
      <c r="B111" s="83"/>
      <c r="C111" s="84" t="s">
        <v>229</v>
      </c>
      <c r="D111" s="84" t="s">
        <v>228</v>
      </c>
      <c r="E111" s="85" t="n">
        <v>0.04</v>
      </c>
    </row>
    <row r="113" customFormat="false" ht="15" hidden="false" customHeight="false" outlineLevel="0" collapsed="false">
      <c r="A113" s="130" t="s">
        <v>230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customFormat="false" ht="15" hidden="false" customHeight="false" outlineLevel="0" collapsed="false">
      <c r="B114" s="131" t="s">
        <v>196</v>
      </c>
      <c r="C114" s="91" t="s">
        <v>199</v>
      </c>
      <c r="D114" s="91" t="s">
        <v>21</v>
      </c>
      <c r="E114" s="132" t="n">
        <v>1500</v>
      </c>
    </row>
    <row r="115" customFormat="false" ht="15" hidden="false" customHeight="false" outlineLevel="0" collapsed="false">
      <c r="B115" s="78"/>
      <c r="C115" s="75" t="s">
        <v>231</v>
      </c>
      <c r="D115" s="75" t="s">
        <v>232</v>
      </c>
      <c r="E115" s="133" t="n">
        <v>120</v>
      </c>
    </row>
    <row r="116" customFormat="false" ht="15" hidden="false" customHeight="false" outlineLevel="0" collapsed="false">
      <c r="B116" s="78"/>
      <c r="C116" s="75" t="s">
        <v>180</v>
      </c>
      <c r="D116" s="75" t="s">
        <v>14</v>
      </c>
      <c r="E116" s="79" t="n">
        <f aca="false">$E$72</f>
        <v>1218.17</v>
      </c>
    </row>
    <row r="117" customFormat="false" ht="15" hidden="false" customHeight="false" outlineLevel="0" collapsed="false">
      <c r="B117" s="78"/>
      <c r="C117" s="75" t="s">
        <v>233</v>
      </c>
      <c r="D117" s="75" t="s">
        <v>234</v>
      </c>
      <c r="E117" s="137" t="n">
        <f aca="false">$E$115*$E$116/1000</f>
        <v>146.1804</v>
      </c>
    </row>
    <row r="118" customFormat="false" ht="15" hidden="false" customHeight="false" outlineLevel="0" collapsed="false">
      <c r="B118" s="78"/>
      <c r="C118" s="75" t="s">
        <v>212</v>
      </c>
      <c r="D118" s="72" t="s">
        <v>16</v>
      </c>
      <c r="E118" s="138" t="n">
        <v>0.02</v>
      </c>
    </row>
    <row r="119" customFormat="false" ht="15" hidden="false" customHeight="false" outlineLevel="0" collapsed="false">
      <c r="B119" s="78"/>
      <c r="C119" s="75" t="s">
        <v>214</v>
      </c>
      <c r="D119" s="75" t="s">
        <v>215</v>
      </c>
      <c r="E119" s="139" t="n">
        <v>12</v>
      </c>
    </row>
    <row r="120" customFormat="false" ht="15" hidden="false" customHeight="false" outlineLevel="0" collapsed="false">
      <c r="B120" s="83"/>
      <c r="C120" s="84" t="s">
        <v>216</v>
      </c>
      <c r="D120" s="141" t="s">
        <v>16</v>
      </c>
      <c r="E120" s="85" t="n">
        <v>0.02</v>
      </c>
    </row>
    <row r="122" customFormat="false" ht="15" hidden="false" customHeight="false" outlineLevel="0" collapsed="false">
      <c r="A122" s="130" t="s">
        <v>235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customFormat="false" ht="15" hidden="false" customHeight="false" outlineLevel="0" collapsed="false">
      <c r="B123" s="108" t="s">
        <v>236</v>
      </c>
      <c r="C123" s="109" t="s">
        <v>237</v>
      </c>
      <c r="D123" s="109" t="s">
        <v>238</v>
      </c>
      <c r="E123" s="109" t="s">
        <v>239</v>
      </c>
      <c r="F123" s="110" t="s">
        <v>240</v>
      </c>
      <c r="G123" s="142" t="s">
        <v>241</v>
      </c>
      <c r="I123" s="108" t="s">
        <v>199</v>
      </c>
      <c r="J123" s="109" t="s">
        <v>200</v>
      </c>
      <c r="K123" s="109" t="s">
        <v>201</v>
      </c>
      <c r="L123" s="113" t="s">
        <v>202</v>
      </c>
    </row>
    <row r="124" customFormat="false" ht="15" hidden="false" customHeight="false" outlineLevel="0" collapsed="false">
      <c r="B124" s="143" t="s">
        <v>242</v>
      </c>
      <c r="C124" s="144" t="n">
        <v>39</v>
      </c>
      <c r="D124" s="144" t="n">
        <v>24</v>
      </c>
      <c r="E124" s="144" t="n">
        <v>2364</v>
      </c>
      <c r="F124" s="144" t="n">
        <v>530888</v>
      </c>
      <c r="G124" s="137" t="n">
        <f aca="false">D124*F124</f>
        <v>12741312</v>
      </c>
      <c r="I124" s="51" t="s">
        <v>204</v>
      </c>
      <c r="J124" s="134" t="n">
        <v>46477</v>
      </c>
      <c r="K124" s="135" t="n">
        <v>0.1</v>
      </c>
      <c r="L124" s="136" t="n">
        <f aca="false">EOMONTH(J124,0)</f>
        <v>46477</v>
      </c>
    </row>
    <row r="125" customFormat="false" ht="15" hidden="false" customHeight="false" outlineLevel="0" collapsed="false">
      <c r="B125" s="143" t="s">
        <v>243</v>
      </c>
      <c r="C125" s="144" t="n">
        <v>43</v>
      </c>
      <c r="D125" s="144" t="n">
        <v>24</v>
      </c>
      <c r="E125" s="144" t="n">
        <v>2592</v>
      </c>
      <c r="F125" s="144" t="n">
        <v>583976</v>
      </c>
      <c r="G125" s="137" t="n">
        <f aca="false">D125*F125</f>
        <v>14015424</v>
      </c>
      <c r="I125" s="51" t="s">
        <v>206</v>
      </c>
      <c r="J125" s="134" t="n">
        <v>46842</v>
      </c>
      <c r="K125" s="135" t="n">
        <v>0.2</v>
      </c>
      <c r="L125" s="136" t="n">
        <f aca="false">EOMONTH(J125,0)</f>
        <v>46843</v>
      </c>
    </row>
    <row r="126" customFormat="false" ht="15" hidden="false" customHeight="false" outlineLevel="0" collapsed="false">
      <c r="B126" s="143" t="s">
        <v>244</v>
      </c>
      <c r="C126" s="144" t="n">
        <v>61</v>
      </c>
      <c r="D126" s="144" t="n">
        <v>40</v>
      </c>
      <c r="E126" s="144" t="n">
        <v>3636</v>
      </c>
      <c r="F126" s="144" t="n">
        <v>816750</v>
      </c>
      <c r="G126" s="137" t="n">
        <f aca="false">D126*F126</f>
        <v>32670000</v>
      </c>
      <c r="I126" s="51" t="s">
        <v>209</v>
      </c>
      <c r="J126" s="134" t="n">
        <v>47208</v>
      </c>
      <c r="K126" s="135" t="n">
        <v>0.2</v>
      </c>
      <c r="L126" s="136" t="n">
        <f aca="false">EOMONTH(J126,0)</f>
        <v>47208</v>
      </c>
    </row>
    <row r="127" customFormat="false" ht="15" hidden="false" customHeight="false" outlineLevel="0" collapsed="false">
      <c r="B127" s="143" t="s">
        <v>245</v>
      </c>
      <c r="C127" s="144" t="n">
        <v>157</v>
      </c>
      <c r="D127" s="144" t="n">
        <v>3</v>
      </c>
      <c r="E127" s="144" t="n">
        <v>9444</v>
      </c>
      <c r="F127" s="144" t="n">
        <v>2123550</v>
      </c>
      <c r="G127" s="137" t="n">
        <f aca="false">D127*F127</f>
        <v>6370650</v>
      </c>
      <c r="I127" s="51" t="s">
        <v>211</v>
      </c>
      <c r="J127" s="134" t="n">
        <v>47573</v>
      </c>
      <c r="K127" s="135" t="n">
        <v>0.2</v>
      </c>
      <c r="L127" s="136" t="n">
        <f aca="false">EOMONTH(J127,0)</f>
        <v>47573</v>
      </c>
    </row>
    <row r="128" customFormat="false" ht="15" hidden="false" customHeight="false" outlineLevel="0" collapsed="false">
      <c r="B128" s="143" t="s">
        <v>246</v>
      </c>
      <c r="C128" s="144" t="n">
        <v>301</v>
      </c>
      <c r="D128" s="144" t="n">
        <v>1</v>
      </c>
      <c r="E128" s="144" t="n">
        <v>18036</v>
      </c>
      <c r="F128" s="144" t="n">
        <v>4059248</v>
      </c>
      <c r="G128" s="137" t="n">
        <f aca="false">D128*F128</f>
        <v>4059248</v>
      </c>
      <c r="I128" s="51" t="s">
        <v>213</v>
      </c>
      <c r="J128" s="134" t="n">
        <v>47938</v>
      </c>
      <c r="K128" s="135" t="n">
        <v>0.3</v>
      </c>
      <c r="L128" s="136" t="n">
        <f aca="false">EOMONTH(J128,0)</f>
        <v>47938</v>
      </c>
    </row>
    <row r="129" customFormat="false" ht="15" hidden="false" customHeight="false" outlineLevel="0" collapsed="false">
      <c r="A129" s="145"/>
      <c r="B129" s="146" t="s">
        <v>155</v>
      </c>
      <c r="C129" s="147" t="n">
        <f aca="false">SUMPRODUCT(C124:C128,D124:D128)</f>
        <v>5180</v>
      </c>
      <c r="D129" s="147" t="n">
        <f aca="false">SUM(D124:D128)</f>
        <v>92</v>
      </c>
      <c r="E129" s="147" t="n">
        <f aca="false">SUMPRODUCT(D124:D128,E124:E128)</f>
        <v>310752</v>
      </c>
      <c r="F129" s="147" t="n">
        <f aca="false">G129/D129</f>
        <v>759311.239130435</v>
      </c>
      <c r="G129" s="147" t="n">
        <f aca="false">SUM(G124:G128)</f>
        <v>69856634</v>
      </c>
      <c r="I129" s="123" t="s">
        <v>155</v>
      </c>
      <c r="J129" s="58"/>
      <c r="K129" s="140" t="n">
        <f aca="false">SUM(K124:K128)</f>
        <v>1</v>
      </c>
      <c r="L129" s="125"/>
    </row>
    <row r="130" customFormat="false" ht="15" hidden="false" customHeight="false" outlineLevel="0" collapsed="false">
      <c r="B130" s="131" t="s">
        <v>247</v>
      </c>
      <c r="C130" s="91" t="s">
        <v>212</v>
      </c>
      <c r="D130" s="148" t="s">
        <v>16</v>
      </c>
      <c r="E130" s="149" t="n">
        <v>0.02</v>
      </c>
    </row>
    <row r="131" customFormat="false" ht="15" hidden="false" customHeight="false" outlineLevel="0" collapsed="false">
      <c r="B131" s="78"/>
      <c r="C131" s="75" t="s">
        <v>214</v>
      </c>
      <c r="D131" s="75" t="s">
        <v>215</v>
      </c>
      <c r="E131" s="139" t="n">
        <v>12</v>
      </c>
    </row>
    <row r="132" customFormat="false" ht="15" hidden="false" customHeight="false" outlineLevel="0" collapsed="false">
      <c r="B132" s="78"/>
      <c r="C132" s="75" t="s">
        <v>216</v>
      </c>
      <c r="D132" s="72" t="s">
        <v>16</v>
      </c>
      <c r="E132" s="138" t="n">
        <v>0.02</v>
      </c>
    </row>
    <row r="133" customFormat="false" ht="15" hidden="false" customHeight="false" outlineLevel="0" collapsed="false">
      <c r="B133" s="78"/>
      <c r="C133" s="75" t="s">
        <v>217</v>
      </c>
      <c r="D133" s="72" t="s">
        <v>218</v>
      </c>
      <c r="E133" s="138" t="n">
        <v>0.8</v>
      </c>
    </row>
    <row r="134" customFormat="false" ht="15" hidden="false" customHeight="false" outlineLevel="0" collapsed="false">
      <c r="B134" s="78"/>
      <c r="C134" s="52"/>
      <c r="D134" s="72" t="s">
        <v>219</v>
      </c>
      <c r="E134" s="138" t="n">
        <v>1</v>
      </c>
    </row>
    <row r="135" customFormat="false" ht="15" hidden="false" customHeight="false" outlineLevel="0" collapsed="false">
      <c r="B135" s="78"/>
      <c r="C135" s="52"/>
      <c r="D135" s="72" t="s">
        <v>220</v>
      </c>
      <c r="E135" s="138" t="n">
        <v>1</v>
      </c>
    </row>
    <row r="136" customFormat="false" ht="15" hidden="false" customHeight="false" outlineLevel="0" collapsed="false">
      <c r="B136" s="78"/>
      <c r="C136" s="72" t="s">
        <v>226</v>
      </c>
      <c r="D136" s="72" t="s">
        <v>218</v>
      </c>
      <c r="E136" s="138" t="n">
        <v>0.65</v>
      </c>
    </row>
    <row r="137" customFormat="false" ht="15" hidden="false" customHeight="false" outlineLevel="0" collapsed="false">
      <c r="B137" s="78"/>
      <c r="C137" s="52"/>
      <c r="D137" s="72" t="s">
        <v>219</v>
      </c>
      <c r="E137" s="138" t="n">
        <v>0.75</v>
      </c>
    </row>
    <row r="138" customFormat="false" ht="15" hidden="false" customHeight="false" outlineLevel="0" collapsed="false">
      <c r="B138" s="78"/>
      <c r="C138" s="52"/>
      <c r="D138" s="72" t="s">
        <v>220</v>
      </c>
      <c r="E138" s="138" t="n">
        <v>0.75</v>
      </c>
    </row>
    <row r="139" customFormat="false" ht="15" hidden="false" customHeight="false" outlineLevel="0" collapsed="false">
      <c r="B139" s="78"/>
      <c r="C139" s="75" t="s">
        <v>248</v>
      </c>
      <c r="D139" s="75" t="s">
        <v>249</v>
      </c>
      <c r="E139" s="138" t="n">
        <v>0.667</v>
      </c>
    </row>
    <row r="140" customFormat="false" ht="15" hidden="false" customHeight="false" outlineLevel="0" collapsed="false">
      <c r="B140" s="71" t="s">
        <v>223</v>
      </c>
      <c r="C140" s="75" t="s">
        <v>227</v>
      </c>
      <c r="D140" s="75" t="s">
        <v>228</v>
      </c>
      <c r="E140" s="138" t="n">
        <v>0.75</v>
      </c>
    </row>
    <row r="141" customFormat="false" ht="15" hidden="false" customHeight="false" outlineLevel="0" collapsed="false">
      <c r="B141" s="83"/>
      <c r="C141" s="84" t="s">
        <v>229</v>
      </c>
      <c r="D141" s="84" t="s">
        <v>228</v>
      </c>
      <c r="E141" s="85" t="n">
        <v>0.04</v>
      </c>
    </row>
    <row r="143" customFormat="false" ht="15" hidden="false" customHeight="false" outlineLevel="0" collapsed="false">
      <c r="A143" s="130" t="s">
        <v>250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customFormat="false" ht="15" hidden="false" customHeight="false" outlineLevel="0" collapsed="false">
      <c r="B144" s="131" t="s">
        <v>247</v>
      </c>
      <c r="C144" s="91" t="s">
        <v>249</v>
      </c>
      <c r="D144" s="148" t="s">
        <v>16</v>
      </c>
      <c r="E144" s="149" t="n">
        <v>0.365</v>
      </c>
    </row>
    <row r="145" customFormat="false" ht="15" hidden="false" customHeight="false" outlineLevel="0" collapsed="false">
      <c r="B145" s="123" t="s">
        <v>223</v>
      </c>
      <c r="C145" s="84" t="s">
        <v>251</v>
      </c>
      <c r="D145" s="141" t="s">
        <v>16</v>
      </c>
      <c r="E145" s="85" t="n">
        <v>0.75</v>
      </c>
    </row>
    <row r="147" customFormat="false" ht="15" hidden="false" customHeight="false" outlineLevel="0" collapsed="false">
      <c r="A147" s="130" t="s">
        <v>124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customFormat="false" ht="15" hidden="false" customHeight="false" outlineLevel="0" collapsed="false">
      <c r="B148" s="131" t="s">
        <v>196</v>
      </c>
      <c r="C148" s="91" t="s">
        <v>252</v>
      </c>
      <c r="D148" s="91" t="s">
        <v>253</v>
      </c>
      <c r="E148" s="132" t="n">
        <v>257</v>
      </c>
    </row>
    <row r="149" customFormat="false" ht="15" hidden="false" customHeight="false" outlineLevel="0" collapsed="false">
      <c r="B149" s="78"/>
      <c r="C149" s="75" t="s">
        <v>199</v>
      </c>
      <c r="D149" s="75" t="s">
        <v>254</v>
      </c>
      <c r="E149" s="133" t="n">
        <v>50</v>
      </c>
    </row>
    <row r="150" customFormat="false" ht="15" hidden="false" customHeight="false" outlineLevel="0" collapsed="false">
      <c r="B150" s="78"/>
      <c r="C150" s="75" t="s">
        <v>255</v>
      </c>
      <c r="D150" s="75" t="s">
        <v>256</v>
      </c>
      <c r="E150" s="133" t="n">
        <v>1320</v>
      </c>
    </row>
    <row r="151" customFormat="false" ht="15" hidden="false" customHeight="false" outlineLevel="0" collapsed="false">
      <c r="B151" s="78"/>
      <c r="C151" s="75" t="s">
        <v>205</v>
      </c>
      <c r="D151" s="75" t="s">
        <v>21</v>
      </c>
      <c r="E151" s="137" t="n">
        <f aca="false">$E$149*$E$150</f>
        <v>66000</v>
      </c>
    </row>
    <row r="152" customFormat="false" ht="15" hidden="false" customHeight="false" outlineLevel="0" collapsed="false">
      <c r="B152" s="78"/>
      <c r="C152" s="75" t="s">
        <v>207</v>
      </c>
      <c r="D152" s="75" t="s">
        <v>208</v>
      </c>
      <c r="E152" s="133" t="n">
        <v>0</v>
      </c>
    </row>
    <row r="153" customFormat="false" ht="15" hidden="false" customHeight="false" outlineLevel="0" collapsed="false">
      <c r="B153" s="78"/>
      <c r="C153" s="75" t="s">
        <v>212</v>
      </c>
      <c r="D153" s="72" t="s">
        <v>16</v>
      </c>
      <c r="E153" s="138" t="n">
        <v>0.02</v>
      </c>
    </row>
    <row r="154" customFormat="false" ht="15" hidden="false" customHeight="false" outlineLevel="0" collapsed="false">
      <c r="B154" s="78"/>
      <c r="C154" s="75" t="s">
        <v>214</v>
      </c>
      <c r="D154" s="75" t="s">
        <v>215</v>
      </c>
      <c r="E154" s="139" t="n">
        <v>12</v>
      </c>
    </row>
    <row r="155" customFormat="false" ht="15" hidden="false" customHeight="false" outlineLevel="0" collapsed="false">
      <c r="B155" s="78"/>
      <c r="C155" s="75" t="s">
        <v>216</v>
      </c>
      <c r="D155" s="72" t="s">
        <v>16</v>
      </c>
      <c r="E155" s="138" t="n">
        <v>0.02</v>
      </c>
    </row>
    <row r="156" customFormat="false" ht="15" hidden="false" customHeight="false" outlineLevel="0" collapsed="false">
      <c r="B156" s="78"/>
      <c r="C156" s="75" t="s">
        <v>257</v>
      </c>
      <c r="D156" s="72" t="s">
        <v>218</v>
      </c>
      <c r="E156" s="138" t="n">
        <v>0.6</v>
      </c>
    </row>
    <row r="157" customFormat="false" ht="15" hidden="false" customHeight="false" outlineLevel="0" collapsed="false">
      <c r="B157" s="78"/>
      <c r="C157" s="52"/>
      <c r="D157" s="72" t="s">
        <v>219</v>
      </c>
      <c r="E157" s="138" t="n">
        <v>0.8</v>
      </c>
    </row>
    <row r="158" customFormat="false" ht="15" hidden="false" customHeight="false" outlineLevel="0" collapsed="false">
      <c r="B158" s="78"/>
      <c r="C158" s="52"/>
      <c r="D158" s="72" t="s">
        <v>220</v>
      </c>
      <c r="E158" s="138" t="n">
        <v>1</v>
      </c>
    </row>
    <row r="159" customFormat="false" ht="15" hidden="false" customHeight="false" outlineLevel="0" collapsed="false">
      <c r="B159" s="78"/>
      <c r="C159" s="72" t="s">
        <v>224</v>
      </c>
      <c r="D159" s="75" t="s">
        <v>258</v>
      </c>
      <c r="E159" s="133" t="n">
        <v>600000</v>
      </c>
    </row>
    <row r="160" customFormat="false" ht="15" hidden="false" customHeight="false" outlineLevel="0" collapsed="false">
      <c r="B160" s="78"/>
      <c r="C160" s="72" t="s">
        <v>226</v>
      </c>
      <c r="D160" s="72" t="s">
        <v>218</v>
      </c>
      <c r="E160" s="138" t="n">
        <v>0.65</v>
      </c>
    </row>
    <row r="161" customFormat="false" ht="15" hidden="false" customHeight="false" outlineLevel="0" collapsed="false">
      <c r="B161" s="78"/>
      <c r="C161" s="52"/>
      <c r="D161" s="72" t="s">
        <v>219</v>
      </c>
      <c r="E161" s="138" t="n">
        <v>0.75</v>
      </c>
    </row>
    <row r="162" customFormat="false" ht="15" hidden="false" customHeight="false" outlineLevel="0" collapsed="false">
      <c r="B162" s="78"/>
      <c r="C162" s="52"/>
      <c r="D162" s="72" t="s">
        <v>220</v>
      </c>
      <c r="E162" s="138" t="n">
        <v>0.75</v>
      </c>
    </row>
    <row r="163" customFormat="false" ht="15" hidden="false" customHeight="false" outlineLevel="0" collapsed="false">
      <c r="B163" s="78"/>
      <c r="C163" s="75" t="s">
        <v>259</v>
      </c>
      <c r="D163" s="72" t="s">
        <v>16</v>
      </c>
      <c r="E163" s="138" t="n">
        <v>0.45</v>
      </c>
    </row>
    <row r="164" customFormat="false" ht="15" hidden="false" customHeight="false" outlineLevel="0" collapsed="false">
      <c r="B164" s="78"/>
      <c r="C164" s="75" t="s">
        <v>260</v>
      </c>
      <c r="D164" s="72" t="s">
        <v>16</v>
      </c>
      <c r="E164" s="138" t="n">
        <v>0.06</v>
      </c>
    </row>
    <row r="165" customFormat="false" ht="15" hidden="false" customHeight="false" outlineLevel="0" collapsed="false">
      <c r="B165" s="71" t="s">
        <v>223</v>
      </c>
      <c r="C165" s="75" t="s">
        <v>227</v>
      </c>
      <c r="D165" s="75" t="s">
        <v>228</v>
      </c>
      <c r="E165" s="138" t="n">
        <v>0.75</v>
      </c>
    </row>
    <row r="166" customFormat="false" ht="15" hidden="false" customHeight="false" outlineLevel="0" collapsed="false">
      <c r="B166" s="83"/>
      <c r="C166" s="84" t="s">
        <v>229</v>
      </c>
      <c r="D166" s="84" t="s">
        <v>228</v>
      </c>
      <c r="E166" s="85" t="n">
        <v>0.04</v>
      </c>
    </row>
    <row r="168" customFormat="false" ht="15" hidden="false" customHeight="false" outlineLevel="0" collapsed="false">
      <c r="A168" s="130" t="s">
        <v>261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customFormat="false" ht="15" hidden="false" customHeight="false" outlineLevel="0" collapsed="false">
      <c r="B169" s="131" t="s">
        <v>196</v>
      </c>
      <c r="C169" s="91" t="s">
        <v>262</v>
      </c>
      <c r="D169" s="91" t="s">
        <v>263</v>
      </c>
      <c r="E169" s="149" t="n">
        <v>0.36</v>
      </c>
    </row>
    <row r="170" customFormat="false" ht="15" hidden="false" customHeight="false" outlineLevel="0" collapsed="false">
      <c r="B170" s="78"/>
      <c r="C170" s="75" t="s">
        <v>264</v>
      </c>
      <c r="D170" s="75" t="s">
        <v>263</v>
      </c>
      <c r="E170" s="138" t="n">
        <v>0.14</v>
      </c>
    </row>
    <row r="171" customFormat="false" ht="15" hidden="false" customHeight="false" outlineLevel="0" collapsed="false">
      <c r="B171" s="78"/>
      <c r="C171" s="75" t="s">
        <v>265</v>
      </c>
      <c r="D171" s="75" t="s">
        <v>263</v>
      </c>
      <c r="E171" s="138" t="n">
        <v>0.45</v>
      </c>
    </row>
    <row r="172" customFormat="false" ht="15" hidden="false" customHeight="false" outlineLevel="0" collapsed="false">
      <c r="B172" s="78"/>
      <c r="C172" s="75" t="s">
        <v>266</v>
      </c>
      <c r="D172" s="75" t="s">
        <v>263</v>
      </c>
      <c r="E172" s="138" t="n">
        <v>0.2</v>
      </c>
    </row>
    <row r="173" customFormat="false" ht="15" hidden="false" customHeight="false" outlineLevel="0" collapsed="false">
      <c r="B173" s="78"/>
      <c r="C173" s="72" t="s">
        <v>267</v>
      </c>
      <c r="D173" s="75" t="s">
        <v>268</v>
      </c>
      <c r="E173" s="138" t="n">
        <v>0.2</v>
      </c>
    </row>
    <row r="174" customFormat="false" ht="15" hidden="false" customHeight="false" outlineLevel="0" collapsed="false">
      <c r="B174" s="78"/>
      <c r="C174" s="75" t="s">
        <v>216</v>
      </c>
      <c r="D174" s="72" t="s">
        <v>16</v>
      </c>
      <c r="E174" s="138" t="n">
        <v>0.02</v>
      </c>
    </row>
    <row r="175" customFormat="false" ht="15" hidden="false" customHeight="false" outlineLevel="0" collapsed="false">
      <c r="B175" s="71" t="s">
        <v>223</v>
      </c>
      <c r="C175" s="75" t="s">
        <v>262</v>
      </c>
      <c r="D175" s="75" t="s">
        <v>251</v>
      </c>
      <c r="E175" s="138" t="n">
        <v>0.75</v>
      </c>
    </row>
    <row r="176" customFormat="false" ht="15" hidden="false" customHeight="false" outlineLevel="0" collapsed="false">
      <c r="B176" s="78"/>
      <c r="C176" s="75" t="s">
        <v>264</v>
      </c>
      <c r="D176" s="75" t="s">
        <v>251</v>
      </c>
      <c r="E176" s="138" t="n">
        <v>0.75</v>
      </c>
    </row>
    <row r="177" customFormat="false" ht="15" hidden="false" customHeight="false" outlineLevel="0" collapsed="false">
      <c r="B177" s="78"/>
      <c r="C177" s="75" t="s">
        <v>265</v>
      </c>
      <c r="D177" s="75" t="s">
        <v>251</v>
      </c>
      <c r="E177" s="138" t="n">
        <v>0.75</v>
      </c>
    </row>
    <row r="178" customFormat="false" ht="15" hidden="false" customHeight="false" outlineLevel="0" collapsed="false">
      <c r="B178" s="78"/>
      <c r="C178" s="75" t="s">
        <v>266</v>
      </c>
      <c r="D178" s="75" t="s">
        <v>251</v>
      </c>
      <c r="E178" s="138" t="n">
        <v>0.7</v>
      </c>
    </row>
    <row r="179" customFormat="false" ht="15" hidden="false" customHeight="false" outlineLevel="0" collapsed="false">
      <c r="B179" s="83"/>
      <c r="C179" s="141" t="s">
        <v>267</v>
      </c>
      <c r="D179" s="84" t="s">
        <v>251</v>
      </c>
      <c r="E179" s="85" t="n">
        <v>0.85</v>
      </c>
    </row>
    <row r="181" customFormat="false" ht="15" hidden="false" customHeight="false" outlineLevel="0" collapsed="false">
      <c r="A181" s="130" t="s">
        <v>125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customFormat="false" ht="15" hidden="false" customHeight="false" outlineLevel="0" collapsed="false">
      <c r="B182" s="131" t="s">
        <v>196</v>
      </c>
      <c r="C182" s="91" t="s">
        <v>199</v>
      </c>
      <c r="D182" s="91" t="s">
        <v>21</v>
      </c>
      <c r="E182" s="132" t="n">
        <v>14400</v>
      </c>
    </row>
    <row r="183" customFormat="false" ht="15" hidden="false" customHeight="false" outlineLevel="0" collapsed="false">
      <c r="B183" s="78"/>
      <c r="C183" s="75" t="s">
        <v>269</v>
      </c>
      <c r="D183" s="75" t="s">
        <v>270</v>
      </c>
      <c r="E183" s="133" t="n">
        <v>195</v>
      </c>
    </row>
    <row r="184" customFormat="false" ht="15" hidden="false" customHeight="false" outlineLevel="0" collapsed="false">
      <c r="B184" s="78"/>
      <c r="C184" s="75" t="s">
        <v>180</v>
      </c>
      <c r="D184" s="75" t="s">
        <v>14</v>
      </c>
      <c r="E184" s="79" t="n">
        <f aca="false">$R$72</f>
        <v>7377.98</v>
      </c>
    </row>
    <row r="185" customFormat="false" ht="15" hidden="false" customHeight="false" outlineLevel="0" collapsed="false">
      <c r="B185" s="78"/>
      <c r="C185" s="75" t="s">
        <v>233</v>
      </c>
      <c r="D185" s="75" t="s">
        <v>234</v>
      </c>
      <c r="E185" s="137" t="n">
        <f aca="false">$E$183*$E$184/1000</f>
        <v>1438.7061</v>
      </c>
    </row>
    <row r="186" customFormat="false" ht="15" hidden="false" customHeight="false" outlineLevel="0" collapsed="false">
      <c r="B186" s="78"/>
      <c r="C186" s="75" t="s">
        <v>212</v>
      </c>
      <c r="D186" s="72" t="s">
        <v>16</v>
      </c>
      <c r="E186" s="138" t="n">
        <v>0.02</v>
      </c>
    </row>
    <row r="187" customFormat="false" ht="15" hidden="false" customHeight="false" outlineLevel="0" collapsed="false">
      <c r="B187" s="78"/>
      <c r="C187" s="75" t="s">
        <v>214</v>
      </c>
      <c r="D187" s="75" t="s">
        <v>215</v>
      </c>
      <c r="E187" s="139" t="n">
        <v>12</v>
      </c>
    </row>
    <row r="188" customFormat="false" ht="15" hidden="false" customHeight="false" outlineLevel="0" collapsed="false">
      <c r="B188" s="78"/>
      <c r="C188" s="75" t="s">
        <v>216</v>
      </c>
      <c r="D188" s="72" t="s">
        <v>16</v>
      </c>
      <c r="E188" s="138" t="n">
        <v>0.02</v>
      </c>
    </row>
    <row r="189" customFormat="false" ht="15" hidden="false" customHeight="false" outlineLevel="0" collapsed="false">
      <c r="B189" s="143"/>
      <c r="C189" s="75" t="s">
        <v>271</v>
      </c>
      <c r="D189" s="72" t="s">
        <v>218</v>
      </c>
      <c r="E189" s="138" t="n">
        <v>0.2</v>
      </c>
    </row>
    <row r="190" customFormat="false" ht="15" hidden="false" customHeight="false" outlineLevel="0" collapsed="false">
      <c r="B190" s="78"/>
      <c r="C190" s="52"/>
      <c r="D190" s="72" t="s">
        <v>219</v>
      </c>
      <c r="E190" s="138" t="n">
        <v>0.02</v>
      </c>
    </row>
    <row r="191" customFormat="false" ht="15" hidden="false" customHeight="false" outlineLevel="0" collapsed="false">
      <c r="B191" s="78"/>
      <c r="C191" s="52"/>
      <c r="D191" s="72" t="s">
        <v>220</v>
      </c>
      <c r="E191" s="138" t="n">
        <v>0.02</v>
      </c>
    </row>
    <row r="192" customFormat="false" ht="15" hidden="false" customHeight="false" outlineLevel="0" collapsed="false">
      <c r="B192" s="131" t="s">
        <v>223</v>
      </c>
      <c r="C192" s="91" t="s">
        <v>272</v>
      </c>
      <c r="D192" s="148" t="s">
        <v>218</v>
      </c>
      <c r="E192" s="149" t="n">
        <v>0.25</v>
      </c>
    </row>
    <row r="193" customFormat="false" ht="15" hidden="false" customHeight="false" outlineLevel="0" collapsed="false">
      <c r="B193" s="78"/>
      <c r="C193" s="52"/>
      <c r="D193" s="72" t="s">
        <v>219</v>
      </c>
      <c r="E193" s="138" t="n">
        <v>0.083</v>
      </c>
    </row>
    <row r="194" customFormat="false" ht="15" hidden="false" customHeight="false" outlineLevel="0" collapsed="false">
      <c r="B194" s="78"/>
      <c r="C194" s="52"/>
      <c r="D194" s="72" t="s">
        <v>220</v>
      </c>
      <c r="E194" s="138" t="n">
        <v>0.083</v>
      </c>
    </row>
    <row r="195" customFormat="false" ht="15" hidden="false" customHeight="false" outlineLevel="0" collapsed="false">
      <c r="B195" s="78"/>
      <c r="C195" s="75" t="s">
        <v>273</v>
      </c>
      <c r="D195" s="75" t="s">
        <v>270</v>
      </c>
      <c r="E195" s="133" t="n">
        <v>20</v>
      </c>
    </row>
    <row r="196" customFormat="false" ht="15" hidden="false" customHeight="false" outlineLevel="0" collapsed="false">
      <c r="B196" s="83"/>
      <c r="C196" s="84" t="s">
        <v>274</v>
      </c>
      <c r="D196" s="84" t="s">
        <v>234</v>
      </c>
      <c r="E196" s="150" t="n">
        <f aca="false">$E$195*$E$184/1000</f>
        <v>147.5596</v>
      </c>
    </row>
    <row r="198" customFormat="false" ht="15" hidden="false" customHeight="false" outlineLevel="0" collapsed="false">
      <c r="A198" s="130" t="s">
        <v>126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customFormat="false" ht="15" hidden="false" customHeight="false" outlineLevel="0" collapsed="false">
      <c r="A199" s="151" t="s">
        <v>171</v>
      </c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</row>
    <row r="200" customFormat="false" ht="15" hidden="false" customHeight="false" outlineLevel="0" collapsed="false">
      <c r="B200" s="131" t="s">
        <v>196</v>
      </c>
      <c r="C200" s="91" t="s">
        <v>199</v>
      </c>
      <c r="D200" s="91" t="s">
        <v>21</v>
      </c>
      <c r="E200" s="132" t="n">
        <v>1500</v>
      </c>
    </row>
    <row r="201" customFormat="false" ht="15" hidden="false" customHeight="false" outlineLevel="0" collapsed="false">
      <c r="B201" s="78"/>
      <c r="C201" s="75" t="s">
        <v>269</v>
      </c>
      <c r="D201" s="75" t="s">
        <v>270</v>
      </c>
      <c r="E201" s="133" t="n">
        <v>150</v>
      </c>
    </row>
    <row r="202" customFormat="false" ht="15" hidden="false" customHeight="false" outlineLevel="0" collapsed="false">
      <c r="B202" s="78"/>
      <c r="C202" s="75" t="s">
        <v>180</v>
      </c>
      <c r="D202" s="75" t="s">
        <v>14</v>
      </c>
      <c r="E202" s="79" t="n">
        <f aca="false">$U$72</f>
        <v>948.64</v>
      </c>
    </row>
    <row r="203" customFormat="false" ht="15" hidden="false" customHeight="false" outlineLevel="0" collapsed="false">
      <c r="B203" s="78"/>
      <c r="C203" s="75" t="s">
        <v>233</v>
      </c>
      <c r="D203" s="75" t="s">
        <v>234</v>
      </c>
      <c r="E203" s="137" t="n">
        <f aca="false">$E$201*$E$202/1000</f>
        <v>142.296</v>
      </c>
    </row>
    <row r="204" customFormat="false" ht="15" hidden="false" customHeight="false" outlineLevel="0" collapsed="false">
      <c r="B204" s="78"/>
      <c r="C204" s="75" t="s">
        <v>212</v>
      </c>
      <c r="D204" s="72" t="s">
        <v>16</v>
      </c>
      <c r="E204" s="138" t="n">
        <v>0.02</v>
      </c>
    </row>
    <row r="205" customFormat="false" ht="15" hidden="false" customHeight="false" outlineLevel="0" collapsed="false">
      <c r="B205" s="78"/>
      <c r="C205" s="75" t="s">
        <v>214</v>
      </c>
      <c r="D205" s="75" t="s">
        <v>215</v>
      </c>
      <c r="E205" s="139" t="n">
        <v>12</v>
      </c>
    </row>
    <row r="206" customFormat="false" ht="15" hidden="false" customHeight="false" outlineLevel="0" collapsed="false">
      <c r="B206" s="78"/>
      <c r="C206" s="75" t="s">
        <v>216</v>
      </c>
      <c r="D206" s="72" t="s">
        <v>16</v>
      </c>
      <c r="E206" s="138" t="n">
        <v>0.02</v>
      </c>
    </row>
    <row r="207" customFormat="false" ht="15" hidden="false" customHeight="false" outlineLevel="0" collapsed="false">
      <c r="B207" s="78"/>
      <c r="C207" s="75" t="s">
        <v>271</v>
      </c>
      <c r="D207" s="72" t="s">
        <v>218</v>
      </c>
      <c r="E207" s="138" t="n">
        <v>0</v>
      </c>
    </row>
    <row r="208" customFormat="false" ht="15" hidden="false" customHeight="false" outlineLevel="0" collapsed="false">
      <c r="B208" s="78"/>
      <c r="C208" s="52"/>
      <c r="D208" s="72" t="s">
        <v>219</v>
      </c>
      <c r="E208" s="138" t="n">
        <v>0</v>
      </c>
    </row>
    <row r="209" customFormat="false" ht="15" hidden="false" customHeight="false" outlineLevel="0" collapsed="false">
      <c r="B209" s="78"/>
      <c r="C209" s="52"/>
      <c r="D209" s="72" t="s">
        <v>220</v>
      </c>
      <c r="E209" s="138" t="n">
        <v>0</v>
      </c>
    </row>
    <row r="210" customFormat="false" ht="15" hidden="false" customHeight="false" outlineLevel="0" collapsed="false">
      <c r="B210" s="123" t="s">
        <v>223</v>
      </c>
      <c r="C210" s="84" t="s">
        <v>227</v>
      </c>
      <c r="D210" s="84" t="s">
        <v>228</v>
      </c>
      <c r="E210" s="85" t="n">
        <v>0</v>
      </c>
    </row>
    <row r="212" customFormat="false" ht="15" hidden="false" customHeight="false" outlineLevel="0" collapsed="false">
      <c r="A212" s="151" t="s">
        <v>275</v>
      </c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</row>
    <row r="213" customFormat="false" ht="15" hidden="false" customHeight="false" outlineLevel="0" collapsed="false">
      <c r="B213" s="131" t="s">
        <v>196</v>
      </c>
      <c r="C213" s="91" t="s">
        <v>199</v>
      </c>
      <c r="D213" s="91" t="s">
        <v>21</v>
      </c>
      <c r="E213" s="132" t="n">
        <v>1600</v>
      </c>
    </row>
    <row r="214" customFormat="false" ht="15" hidden="false" customHeight="false" outlineLevel="0" collapsed="false">
      <c r="B214" s="78"/>
      <c r="C214" s="75" t="s">
        <v>269</v>
      </c>
      <c r="D214" s="75" t="s">
        <v>270</v>
      </c>
      <c r="E214" s="133" t="n">
        <v>120</v>
      </c>
    </row>
    <row r="215" customFormat="false" ht="15" hidden="false" customHeight="false" outlineLevel="0" collapsed="false">
      <c r="B215" s="78"/>
      <c r="C215" s="75" t="s">
        <v>180</v>
      </c>
      <c r="D215" s="75" t="s">
        <v>14</v>
      </c>
      <c r="E215" s="79" t="n">
        <f aca="false">$V$72</f>
        <v>1270.5</v>
      </c>
    </row>
    <row r="216" customFormat="false" ht="15" hidden="false" customHeight="false" outlineLevel="0" collapsed="false">
      <c r="B216" s="78"/>
      <c r="C216" s="75" t="s">
        <v>233</v>
      </c>
      <c r="D216" s="75" t="s">
        <v>234</v>
      </c>
      <c r="E216" s="137" t="n">
        <f aca="false">$E$214*$E$215/1000</f>
        <v>152.46</v>
      </c>
    </row>
    <row r="217" customFormat="false" ht="15" hidden="false" customHeight="false" outlineLevel="0" collapsed="false">
      <c r="B217" s="78"/>
      <c r="C217" s="75" t="s">
        <v>212</v>
      </c>
      <c r="D217" s="72" t="s">
        <v>16</v>
      </c>
      <c r="E217" s="138" t="n">
        <v>0.02</v>
      </c>
    </row>
    <row r="218" customFormat="false" ht="15" hidden="false" customHeight="false" outlineLevel="0" collapsed="false">
      <c r="B218" s="78"/>
      <c r="C218" s="75" t="s">
        <v>214</v>
      </c>
      <c r="D218" s="75" t="s">
        <v>215</v>
      </c>
      <c r="E218" s="139" t="n">
        <v>12</v>
      </c>
    </row>
    <row r="219" customFormat="false" ht="15" hidden="false" customHeight="false" outlineLevel="0" collapsed="false">
      <c r="B219" s="78"/>
      <c r="C219" s="75" t="s">
        <v>216</v>
      </c>
      <c r="D219" s="72" t="s">
        <v>16</v>
      </c>
      <c r="E219" s="138" t="n">
        <v>0.02</v>
      </c>
    </row>
    <row r="220" customFormat="false" ht="15" hidden="false" customHeight="false" outlineLevel="0" collapsed="false">
      <c r="B220" s="78"/>
      <c r="C220" s="75" t="s">
        <v>271</v>
      </c>
      <c r="D220" s="72" t="s">
        <v>218</v>
      </c>
      <c r="E220" s="138" t="n">
        <v>0</v>
      </c>
    </row>
    <row r="221" customFormat="false" ht="15" hidden="false" customHeight="false" outlineLevel="0" collapsed="false">
      <c r="B221" s="78"/>
      <c r="C221" s="52"/>
      <c r="D221" s="72" t="s">
        <v>219</v>
      </c>
      <c r="E221" s="138" t="n">
        <v>0</v>
      </c>
    </row>
    <row r="222" customFormat="false" ht="15" hidden="false" customHeight="false" outlineLevel="0" collapsed="false">
      <c r="B222" s="78"/>
      <c r="C222" s="52"/>
      <c r="D222" s="72" t="s">
        <v>220</v>
      </c>
      <c r="E222" s="138" t="n">
        <v>0</v>
      </c>
    </row>
    <row r="223" customFormat="false" ht="15" hidden="false" customHeight="false" outlineLevel="0" collapsed="false">
      <c r="B223" s="123" t="s">
        <v>223</v>
      </c>
      <c r="C223" s="84" t="s">
        <v>227</v>
      </c>
      <c r="D223" s="84" t="s">
        <v>228</v>
      </c>
      <c r="E223" s="85" t="n">
        <v>0</v>
      </c>
    </row>
    <row r="225" customFormat="false" ht="15" hidden="false" customHeight="false" outlineLevel="0" collapsed="false">
      <c r="A225" s="151" t="s">
        <v>173</v>
      </c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</row>
    <row r="226" customFormat="false" ht="15" hidden="false" customHeight="false" outlineLevel="0" collapsed="false">
      <c r="B226" s="131" t="s">
        <v>196</v>
      </c>
      <c r="C226" s="91" t="s">
        <v>199</v>
      </c>
      <c r="D226" s="91" t="s">
        <v>21</v>
      </c>
      <c r="E226" s="132" t="n">
        <v>2700</v>
      </c>
    </row>
    <row r="227" customFormat="false" ht="15" hidden="false" customHeight="false" outlineLevel="0" collapsed="false">
      <c r="B227" s="78"/>
      <c r="C227" s="75" t="s">
        <v>269</v>
      </c>
      <c r="D227" s="75" t="s">
        <v>270</v>
      </c>
      <c r="E227" s="133" t="n">
        <v>171</v>
      </c>
    </row>
    <row r="228" customFormat="false" ht="15" hidden="false" customHeight="false" outlineLevel="0" collapsed="false">
      <c r="B228" s="78"/>
      <c r="C228" s="75" t="s">
        <v>180</v>
      </c>
      <c r="D228" s="75" t="s">
        <v>14</v>
      </c>
      <c r="E228" s="79" t="n">
        <f aca="false">$W$72</f>
        <v>1563.93</v>
      </c>
    </row>
    <row r="229" customFormat="false" ht="15" hidden="false" customHeight="false" outlineLevel="0" collapsed="false">
      <c r="B229" s="78"/>
      <c r="C229" s="75" t="s">
        <v>233</v>
      </c>
      <c r="D229" s="75" t="s">
        <v>234</v>
      </c>
      <c r="E229" s="137" t="n">
        <f aca="false">$E$227*$E$228/1000</f>
        <v>267.43203</v>
      </c>
    </row>
    <row r="230" customFormat="false" ht="15" hidden="false" customHeight="false" outlineLevel="0" collapsed="false">
      <c r="B230" s="78"/>
      <c r="C230" s="75" t="s">
        <v>212</v>
      </c>
      <c r="D230" s="72" t="s">
        <v>16</v>
      </c>
      <c r="E230" s="138" t="n">
        <v>0.02</v>
      </c>
    </row>
    <row r="231" customFormat="false" ht="15" hidden="false" customHeight="false" outlineLevel="0" collapsed="false">
      <c r="B231" s="78"/>
      <c r="C231" s="75" t="s">
        <v>214</v>
      </c>
      <c r="D231" s="75" t="s">
        <v>215</v>
      </c>
      <c r="E231" s="139" t="n">
        <v>12</v>
      </c>
    </row>
    <row r="232" customFormat="false" ht="15" hidden="false" customHeight="false" outlineLevel="0" collapsed="false">
      <c r="B232" s="78"/>
      <c r="C232" s="75" t="s">
        <v>216</v>
      </c>
      <c r="D232" s="72" t="s">
        <v>16</v>
      </c>
      <c r="E232" s="138" t="n">
        <v>0.02</v>
      </c>
    </row>
    <row r="233" customFormat="false" ht="15" hidden="false" customHeight="false" outlineLevel="0" collapsed="false">
      <c r="B233" s="78"/>
      <c r="C233" s="75" t="s">
        <v>271</v>
      </c>
      <c r="D233" s="72" t="s">
        <v>218</v>
      </c>
      <c r="E233" s="138" t="n">
        <v>0</v>
      </c>
    </row>
    <row r="234" customFormat="false" ht="15" hidden="false" customHeight="false" outlineLevel="0" collapsed="false">
      <c r="B234" s="78"/>
      <c r="C234" s="52"/>
      <c r="D234" s="72" t="s">
        <v>219</v>
      </c>
      <c r="E234" s="138" t="n">
        <v>0</v>
      </c>
    </row>
    <row r="235" customFormat="false" ht="15" hidden="false" customHeight="false" outlineLevel="0" collapsed="false">
      <c r="B235" s="78"/>
      <c r="C235" s="52"/>
      <c r="D235" s="72" t="s">
        <v>220</v>
      </c>
      <c r="E235" s="138" t="n">
        <v>0</v>
      </c>
    </row>
    <row r="236" customFormat="false" ht="15" hidden="false" customHeight="false" outlineLevel="0" collapsed="false">
      <c r="B236" s="123" t="s">
        <v>223</v>
      </c>
      <c r="C236" s="84" t="s">
        <v>227</v>
      </c>
      <c r="D236" s="84" t="s">
        <v>228</v>
      </c>
      <c r="E236" s="85" t="n">
        <v>0</v>
      </c>
    </row>
    <row r="238" customFormat="false" ht="15" hidden="false" customHeight="false" outlineLevel="0" collapsed="false">
      <c r="A238" s="151" t="s">
        <v>159</v>
      </c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</row>
    <row r="239" customFormat="false" ht="15" hidden="false" customHeight="false" outlineLevel="0" collapsed="false">
      <c r="B239" s="131" t="s">
        <v>196</v>
      </c>
      <c r="C239" s="91" t="s">
        <v>199</v>
      </c>
      <c r="D239" s="91" t="s">
        <v>21</v>
      </c>
      <c r="E239" s="132" t="n">
        <v>800</v>
      </c>
    </row>
    <row r="240" customFormat="false" ht="15" hidden="false" customHeight="false" outlineLevel="0" collapsed="false">
      <c r="B240" s="78"/>
      <c r="C240" s="75" t="s">
        <v>269</v>
      </c>
      <c r="D240" s="75" t="s">
        <v>270</v>
      </c>
      <c r="E240" s="133" t="n">
        <v>120</v>
      </c>
    </row>
    <row r="241" customFormat="false" ht="15" hidden="false" customHeight="false" outlineLevel="0" collapsed="false">
      <c r="B241" s="78"/>
      <c r="C241" s="75" t="s">
        <v>180</v>
      </c>
      <c r="D241" s="75" t="s">
        <v>14</v>
      </c>
      <c r="E241" s="79" t="n">
        <f aca="false">$F$72</f>
        <v>591.99</v>
      </c>
    </row>
    <row r="242" customFormat="false" ht="15" hidden="false" customHeight="false" outlineLevel="0" collapsed="false">
      <c r="B242" s="78"/>
      <c r="C242" s="75" t="s">
        <v>233</v>
      </c>
      <c r="D242" s="75" t="s">
        <v>234</v>
      </c>
      <c r="E242" s="137" t="n">
        <f aca="false">$E$240*$E$241/1000</f>
        <v>71.0388</v>
      </c>
    </row>
    <row r="243" customFormat="false" ht="15" hidden="false" customHeight="false" outlineLevel="0" collapsed="false">
      <c r="B243" s="78"/>
      <c r="C243" s="75" t="s">
        <v>212</v>
      </c>
      <c r="D243" s="72" t="s">
        <v>16</v>
      </c>
      <c r="E243" s="138" t="n">
        <v>0.02</v>
      </c>
    </row>
    <row r="244" customFormat="false" ht="15" hidden="false" customHeight="false" outlineLevel="0" collapsed="false">
      <c r="B244" s="78"/>
      <c r="C244" s="75" t="s">
        <v>214</v>
      </c>
      <c r="D244" s="75" t="s">
        <v>215</v>
      </c>
      <c r="E244" s="139" t="n">
        <v>12</v>
      </c>
    </row>
    <row r="245" customFormat="false" ht="15" hidden="false" customHeight="false" outlineLevel="0" collapsed="false">
      <c r="B245" s="78"/>
      <c r="C245" s="75" t="s">
        <v>216</v>
      </c>
      <c r="D245" s="72" t="s">
        <v>16</v>
      </c>
      <c r="E245" s="138" t="n">
        <v>0.02</v>
      </c>
    </row>
    <row r="246" customFormat="false" ht="15" hidden="false" customHeight="false" outlineLevel="0" collapsed="false">
      <c r="B246" s="78"/>
      <c r="C246" s="75" t="s">
        <v>271</v>
      </c>
      <c r="D246" s="72" t="s">
        <v>218</v>
      </c>
      <c r="E246" s="138" t="n">
        <v>0</v>
      </c>
    </row>
    <row r="247" customFormat="false" ht="15" hidden="false" customHeight="false" outlineLevel="0" collapsed="false">
      <c r="B247" s="78"/>
      <c r="C247" s="52"/>
      <c r="D247" s="72" t="s">
        <v>219</v>
      </c>
      <c r="E247" s="138" t="n">
        <v>0</v>
      </c>
    </row>
    <row r="248" customFormat="false" ht="15" hidden="false" customHeight="false" outlineLevel="0" collapsed="false">
      <c r="B248" s="78"/>
      <c r="C248" s="52"/>
      <c r="D248" s="72" t="s">
        <v>220</v>
      </c>
      <c r="E248" s="138" t="n">
        <v>0</v>
      </c>
    </row>
    <row r="249" customFormat="false" ht="15" hidden="false" customHeight="false" outlineLevel="0" collapsed="false">
      <c r="B249" s="123" t="s">
        <v>223</v>
      </c>
      <c r="C249" s="84" t="s">
        <v>227</v>
      </c>
      <c r="D249" s="84" t="s">
        <v>228</v>
      </c>
      <c r="E249" s="85" t="n">
        <v>0</v>
      </c>
    </row>
    <row r="251" customFormat="false" ht="15" hidden="false" customHeight="false" outlineLevel="0" collapsed="false">
      <c r="A251" s="151" t="s">
        <v>160</v>
      </c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</row>
    <row r="252" customFormat="false" ht="15" hidden="false" customHeight="false" outlineLevel="0" collapsed="false">
      <c r="B252" s="131" t="s">
        <v>196</v>
      </c>
      <c r="C252" s="91" t="s">
        <v>199</v>
      </c>
      <c r="D252" s="91" t="s">
        <v>21</v>
      </c>
      <c r="E252" s="132" t="n">
        <v>2700</v>
      </c>
    </row>
    <row r="253" customFormat="false" ht="15" hidden="false" customHeight="false" outlineLevel="0" collapsed="false">
      <c r="B253" s="78"/>
      <c r="C253" s="75" t="s">
        <v>269</v>
      </c>
      <c r="D253" s="75" t="s">
        <v>270</v>
      </c>
      <c r="E253" s="133" t="n">
        <v>120</v>
      </c>
    </row>
    <row r="254" customFormat="false" ht="15" hidden="false" customHeight="false" outlineLevel="0" collapsed="false">
      <c r="B254" s="78"/>
      <c r="C254" s="75" t="s">
        <v>180</v>
      </c>
      <c r="D254" s="75" t="s">
        <v>14</v>
      </c>
      <c r="E254" s="79" t="n">
        <f aca="false">$G$72</f>
        <v>213.87</v>
      </c>
    </row>
    <row r="255" customFormat="false" ht="15" hidden="false" customHeight="false" outlineLevel="0" collapsed="false">
      <c r="B255" s="78"/>
      <c r="C255" s="75" t="s">
        <v>233</v>
      </c>
      <c r="D255" s="75" t="s">
        <v>234</v>
      </c>
      <c r="E255" s="137" t="n">
        <f aca="false">$E$253*$E$254/1000</f>
        <v>25.6644</v>
      </c>
    </row>
    <row r="256" customFormat="false" ht="15" hidden="false" customHeight="false" outlineLevel="0" collapsed="false">
      <c r="B256" s="78"/>
      <c r="C256" s="75" t="s">
        <v>212</v>
      </c>
      <c r="D256" s="72" t="s">
        <v>16</v>
      </c>
      <c r="E256" s="138" t="n">
        <v>0.02</v>
      </c>
    </row>
    <row r="257" customFormat="false" ht="15" hidden="false" customHeight="false" outlineLevel="0" collapsed="false">
      <c r="B257" s="78"/>
      <c r="C257" s="75" t="s">
        <v>214</v>
      </c>
      <c r="D257" s="75" t="s">
        <v>215</v>
      </c>
      <c r="E257" s="139" t="n">
        <v>12</v>
      </c>
    </row>
    <row r="258" customFormat="false" ht="15" hidden="false" customHeight="false" outlineLevel="0" collapsed="false">
      <c r="B258" s="78"/>
      <c r="C258" s="75" t="s">
        <v>216</v>
      </c>
      <c r="D258" s="72" t="s">
        <v>16</v>
      </c>
      <c r="E258" s="138" t="n">
        <v>0.02</v>
      </c>
    </row>
    <row r="259" customFormat="false" ht="15" hidden="false" customHeight="false" outlineLevel="0" collapsed="false">
      <c r="B259" s="78"/>
      <c r="C259" s="75" t="s">
        <v>271</v>
      </c>
      <c r="D259" s="72" t="s">
        <v>218</v>
      </c>
      <c r="E259" s="138" t="n">
        <v>0</v>
      </c>
    </row>
    <row r="260" customFormat="false" ht="15" hidden="false" customHeight="false" outlineLevel="0" collapsed="false">
      <c r="B260" s="78"/>
      <c r="C260" s="52"/>
      <c r="D260" s="72" t="s">
        <v>219</v>
      </c>
      <c r="E260" s="138" t="n">
        <v>0</v>
      </c>
    </row>
    <row r="261" customFormat="false" ht="15" hidden="false" customHeight="false" outlineLevel="0" collapsed="false">
      <c r="B261" s="78"/>
      <c r="C261" s="52"/>
      <c r="D261" s="72" t="s">
        <v>220</v>
      </c>
      <c r="E261" s="138" t="n">
        <v>0</v>
      </c>
    </row>
    <row r="262" customFormat="false" ht="15" hidden="false" customHeight="false" outlineLevel="0" collapsed="false">
      <c r="B262" s="123" t="s">
        <v>223</v>
      </c>
      <c r="C262" s="84" t="s">
        <v>227</v>
      </c>
      <c r="D262" s="84" t="s">
        <v>228</v>
      </c>
      <c r="E262" s="85" t="n">
        <v>0</v>
      </c>
    </row>
    <row r="264" customFormat="false" ht="15" hidden="false" customHeight="false" outlineLevel="0" collapsed="false">
      <c r="A264" s="130" t="s">
        <v>276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customFormat="false" ht="15" hidden="false" customHeight="false" outlineLevel="0" collapsed="false">
      <c r="B265" s="131" t="s">
        <v>223</v>
      </c>
      <c r="C265" s="91" t="s">
        <v>277</v>
      </c>
      <c r="D265" s="91" t="s">
        <v>278</v>
      </c>
      <c r="E265" s="132" t="n">
        <v>1500</v>
      </c>
    </row>
    <row r="266" customFormat="false" ht="15" hidden="false" customHeight="false" outlineLevel="0" collapsed="false">
      <c r="B266" s="78"/>
      <c r="C266" s="75" t="s">
        <v>279</v>
      </c>
      <c r="D266" s="75" t="s">
        <v>278</v>
      </c>
      <c r="E266" s="133" t="n">
        <v>1500</v>
      </c>
    </row>
    <row r="267" customFormat="false" ht="15" hidden="false" customHeight="false" outlineLevel="0" collapsed="false">
      <c r="B267" s="78"/>
      <c r="C267" s="75" t="s">
        <v>280</v>
      </c>
      <c r="D267" s="75" t="s">
        <v>278</v>
      </c>
      <c r="E267" s="133" t="n">
        <v>1500</v>
      </c>
    </row>
    <row r="268" customFormat="false" ht="15" hidden="false" customHeight="false" outlineLevel="0" collapsed="false">
      <c r="B268" s="78"/>
      <c r="C268" s="75" t="s">
        <v>281</v>
      </c>
      <c r="D268" s="75" t="s">
        <v>282</v>
      </c>
      <c r="E268" s="133" t="n">
        <v>1575</v>
      </c>
    </row>
    <row r="269" customFormat="false" ht="15" hidden="false" customHeight="false" outlineLevel="0" collapsed="false">
      <c r="B269" s="78"/>
      <c r="C269" s="75" t="s">
        <v>283</v>
      </c>
      <c r="D269" s="72" t="s">
        <v>16</v>
      </c>
      <c r="E269" s="138" t="n">
        <v>0.035</v>
      </c>
    </row>
    <row r="270" customFormat="false" ht="15" hidden="false" customHeight="false" outlineLevel="0" collapsed="false">
      <c r="B270" s="83"/>
      <c r="C270" s="84" t="s">
        <v>284</v>
      </c>
      <c r="D270" s="141" t="s">
        <v>16</v>
      </c>
      <c r="E270" s="85" t="n">
        <v>0.02</v>
      </c>
    </row>
    <row r="272" customFormat="false" ht="15" hidden="false" customHeight="false" outlineLevel="0" collapsed="false">
      <c r="A272" s="46" t="s">
        <v>285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4" customFormat="false" ht="15" hidden="false" customHeight="false" outlineLevel="0" collapsed="false">
      <c r="B274" s="153" t="s">
        <v>286</v>
      </c>
      <c r="D274" s="36" t="s">
        <v>287</v>
      </c>
      <c r="E274" s="154" t="n">
        <v>5</v>
      </c>
    </row>
    <row r="275" customFormat="false" ht="15" hidden="false" customHeight="false" outlineLevel="0" collapsed="false">
      <c r="B275" s="36" t="s">
        <v>288</v>
      </c>
      <c r="D275" s="153" t="s">
        <v>16</v>
      </c>
      <c r="E275" s="155" t="n">
        <v>0</v>
      </c>
    </row>
    <row r="277" customFormat="false" ht="15" hidden="false" customHeight="false" outlineLevel="0" collapsed="false">
      <c r="B277" s="108" t="s">
        <v>121</v>
      </c>
      <c r="C277" s="110" t="s">
        <v>289</v>
      </c>
      <c r="D277" s="109" t="s">
        <v>290</v>
      </c>
      <c r="E277" s="109" t="s">
        <v>291</v>
      </c>
      <c r="F277" s="110" t="s">
        <v>292</v>
      </c>
      <c r="G277" s="113" t="s">
        <v>52</v>
      </c>
    </row>
    <row r="278" customFormat="false" ht="15" hidden="false" customHeight="false" outlineLevel="0" collapsed="false">
      <c r="B278" s="51" t="s">
        <v>122</v>
      </c>
      <c r="C278" s="156" t="n">
        <f aca="false">SUMIF(③기타_CF!$E$16:$EF$16,$E$274,③기타_CF!$E$59:$EF$59)</f>
        <v>0</v>
      </c>
      <c r="D278" s="157" t="n">
        <f aca="false">($E$98*$E$106+$E$114)*$D$38</f>
        <v>0</v>
      </c>
      <c r="E278" s="157" t="n">
        <f aca="false">D278*$E$275</f>
        <v>0</v>
      </c>
      <c r="F278" s="158" t="n">
        <v>0.04</v>
      </c>
      <c r="G278" s="137" t="n">
        <f aca="false">IF(F278=0,0,(C278+E278)/F278)</f>
        <v>0</v>
      </c>
    </row>
    <row r="279" customFormat="false" ht="15" hidden="false" customHeight="false" outlineLevel="0" collapsed="false">
      <c r="B279" s="51" t="s">
        <v>123</v>
      </c>
      <c r="C279" s="156" t="n">
        <f aca="false">SUMIF(③기타_CF!$E$16:$EF$16,$E$274,③기타_CF!$E$60:$EF$60)</f>
        <v>9160.18618361453</v>
      </c>
      <c r="D279" s="157" t="n">
        <f aca="false">$E$129*$E$135*$E$38</f>
        <v>310752</v>
      </c>
      <c r="E279" s="157" t="n">
        <f aca="false">D279*$E$275</f>
        <v>0</v>
      </c>
      <c r="F279" s="158" t="n">
        <v>0.04</v>
      </c>
      <c r="G279" s="137" t="n">
        <f aca="false">IF(F279=0,0,(C279+E279)/F279)</f>
        <v>229004.654590363</v>
      </c>
    </row>
    <row r="280" customFormat="false" ht="15" hidden="false" customHeight="false" outlineLevel="0" collapsed="false">
      <c r="B280" s="51" t="s">
        <v>124</v>
      </c>
      <c r="C280" s="156" t="n">
        <f aca="false">SUMIF(③기타_CF!$E$16:$EF$16,$E$274,③기타_CF!$E$61:$EF$61)</f>
        <v>28434.0799877989</v>
      </c>
      <c r="D280" s="157" t="n">
        <f aca="false">$E$151*$E$158*$F$38</f>
        <v>66000</v>
      </c>
      <c r="E280" s="157" t="n">
        <f aca="false">D280*$E$275</f>
        <v>0</v>
      </c>
      <c r="F280" s="158" t="n">
        <v>0.04</v>
      </c>
      <c r="G280" s="137" t="n">
        <f aca="false">IF(F280=0,0,(C280+E280)/F280)</f>
        <v>710851.999694971</v>
      </c>
    </row>
    <row r="281" customFormat="false" ht="15" hidden="false" customHeight="false" outlineLevel="0" collapsed="false">
      <c r="B281" s="51" t="s">
        <v>125</v>
      </c>
      <c r="C281" s="156" t="n">
        <f aca="false">SUMIF(③기타_CF!$E$16:$EF$16,$E$274,③기타_CF!$E$62:$EF$62)</f>
        <v>14877.1384245805</v>
      </c>
      <c r="D281" s="157" t="n">
        <f aca="false">$E$182*$G$38</f>
        <v>14400</v>
      </c>
      <c r="E281" s="157" t="n">
        <f aca="false">D281*$E$275</f>
        <v>0</v>
      </c>
      <c r="F281" s="158" t="n">
        <v>0.03</v>
      </c>
      <c r="G281" s="137" t="n">
        <f aca="false">IF(F281=0,0,(C281+E281)/F281)</f>
        <v>495904.614152683</v>
      </c>
    </row>
    <row r="282" customFormat="false" ht="15" hidden="false" customHeight="false" outlineLevel="0" collapsed="false">
      <c r="B282" s="51" t="s">
        <v>126</v>
      </c>
      <c r="C282" s="156" t="n">
        <f aca="false">SUMIF(③기타_CF!$E$16:$EF$16,$E$274,③기타_CF!$E$63:$EF$63)</f>
        <v>8558.46068752748</v>
      </c>
      <c r="D282" s="157" t="n">
        <f aca="false">($E$200+$E$213+$E$226+$E$239+$E$252)*$H$38</f>
        <v>9300</v>
      </c>
      <c r="E282" s="157" t="n">
        <f aca="false">D282*$E$275</f>
        <v>0</v>
      </c>
      <c r="F282" s="158" t="n">
        <v>0.04</v>
      </c>
      <c r="G282" s="137" t="n">
        <f aca="false">IF(F282=0,0,(C282+E282)/F282)</f>
        <v>213961.517188187</v>
      </c>
    </row>
    <row r="283" customFormat="false" ht="15" hidden="false" customHeight="false" outlineLevel="0" collapsed="false">
      <c r="B283" s="123" t="s">
        <v>155</v>
      </c>
      <c r="C283" s="159" t="n">
        <f aca="false">SUM(C278:C282)</f>
        <v>61029.8652835214</v>
      </c>
      <c r="D283" s="159" t="n">
        <f aca="false">SUM(D278:D282)</f>
        <v>400452</v>
      </c>
      <c r="E283" s="159" t="n">
        <f aca="false">SUM(E278:E282)</f>
        <v>0</v>
      </c>
      <c r="F283" s="58"/>
      <c r="G283" s="160" t="n">
        <f aca="false">SUM(G278:G282)</f>
        <v>1649722.78562621</v>
      </c>
    </row>
    <row r="285" customFormat="false" ht="15" hidden="false" customHeight="false" outlineLevel="0" collapsed="false">
      <c r="A285" s="46" t="s">
        <v>293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7" customFormat="false" ht="15" hidden="false" customHeight="false" outlineLevel="0" collapsed="false">
      <c r="D287" s="103" t="s">
        <v>122</v>
      </c>
      <c r="E287" s="103" t="s">
        <v>122</v>
      </c>
      <c r="F287" s="104" t="s">
        <v>126</v>
      </c>
      <c r="G287" s="104" t="s">
        <v>126</v>
      </c>
      <c r="H287" s="103" t="s">
        <v>122</v>
      </c>
      <c r="J287" s="105" t="s">
        <v>123</v>
      </c>
      <c r="K287" s="105" t="s">
        <v>123</v>
      </c>
      <c r="L287" s="106" t="s">
        <v>124</v>
      </c>
      <c r="M287" s="106" t="s">
        <v>124</v>
      </c>
      <c r="N287" s="106" t="s">
        <v>124</v>
      </c>
      <c r="O287" s="106" t="s">
        <v>124</v>
      </c>
      <c r="P287" s="106" t="s">
        <v>124</v>
      </c>
      <c r="Q287" s="106" t="s">
        <v>124</v>
      </c>
      <c r="R287" s="107" t="s">
        <v>125</v>
      </c>
      <c r="S287" s="106" t="s">
        <v>124</v>
      </c>
      <c r="U287" s="104" t="s">
        <v>126</v>
      </c>
      <c r="V287" s="104" t="s">
        <v>126</v>
      </c>
      <c r="W287" s="104" t="s">
        <v>126</v>
      </c>
    </row>
    <row r="288" customFormat="false" ht="15" hidden="false" customHeight="false" outlineLevel="0" collapsed="false">
      <c r="B288" s="161" t="s">
        <v>294</v>
      </c>
      <c r="C288" s="112" t="s">
        <v>156</v>
      </c>
      <c r="D288" s="109" t="s">
        <v>157</v>
      </c>
      <c r="E288" s="109" t="s">
        <v>158</v>
      </c>
      <c r="F288" s="109" t="s">
        <v>159</v>
      </c>
      <c r="G288" s="109" t="s">
        <v>160</v>
      </c>
      <c r="H288" s="110" t="s">
        <v>161</v>
      </c>
      <c r="I288" s="111" t="s">
        <v>162</v>
      </c>
      <c r="J288" s="109" t="s">
        <v>163</v>
      </c>
      <c r="K288" s="109" t="s">
        <v>164</v>
      </c>
      <c r="L288" s="109" t="s">
        <v>124</v>
      </c>
      <c r="M288" s="109" t="s">
        <v>165</v>
      </c>
      <c r="N288" s="109" t="s">
        <v>166</v>
      </c>
      <c r="O288" s="109" t="s">
        <v>167</v>
      </c>
      <c r="P288" s="109" t="s">
        <v>168</v>
      </c>
      <c r="Q288" s="109" t="s">
        <v>169</v>
      </c>
      <c r="R288" s="109" t="s">
        <v>125</v>
      </c>
      <c r="S288" s="110" t="s">
        <v>161</v>
      </c>
      <c r="T288" s="111" t="s">
        <v>170</v>
      </c>
      <c r="U288" s="109" t="s">
        <v>171</v>
      </c>
      <c r="V288" s="109" t="s">
        <v>172</v>
      </c>
      <c r="W288" s="109" t="s">
        <v>173</v>
      </c>
      <c r="X288" s="112" t="s">
        <v>174</v>
      </c>
      <c r="Y288" s="110" t="s">
        <v>175</v>
      </c>
      <c r="Z288" s="113" t="s">
        <v>176</v>
      </c>
    </row>
    <row r="289" customFormat="false" ht="15" hidden="false" customHeight="false" outlineLevel="0" collapsed="false">
      <c r="B289" s="71" t="s">
        <v>22</v>
      </c>
      <c r="C289" s="162" t="n">
        <f aca="false">I289+T289+X289+Y289+Z289</f>
        <v>596838.992808495</v>
      </c>
      <c r="D289" s="157" t="n">
        <f aca="false">D302*D303/1000</f>
        <v>126404.052812</v>
      </c>
      <c r="E289" s="157" t="n">
        <f aca="false">E302*E303/1000</f>
        <v>11982.999292</v>
      </c>
      <c r="F289" s="157" t="n">
        <f aca="false">F302*F303/1000</f>
        <v>6322.0020406</v>
      </c>
      <c r="G289" s="157" t="n">
        <f aca="false">G302*G303/1000</f>
        <v>2647.9996345</v>
      </c>
      <c r="H289" s="157" t="n">
        <f aca="false">H302*H303/1000</f>
        <v>741.9998145</v>
      </c>
      <c r="I289" s="163" t="n">
        <f aca="false">SUM(D289:H289)</f>
        <v>148099.0535936</v>
      </c>
      <c r="J289" s="157" t="n">
        <f aca="false">J302*J303/1000</f>
        <v>68279.009664</v>
      </c>
      <c r="K289" s="157" t="n">
        <f aca="false">K302*K303/1000</f>
        <v>14410.9969248</v>
      </c>
      <c r="L289" s="157" t="n">
        <f aca="false">L302*L303/1000</f>
        <v>78140.978036</v>
      </c>
      <c r="M289" s="157" t="n">
        <f aca="false">M302*M303/1000</f>
        <v>10286.993216</v>
      </c>
      <c r="N289" s="157" t="n">
        <f aca="false">N302*N303/1000</f>
        <v>8633.0018044</v>
      </c>
      <c r="O289" s="157" t="n">
        <f aca="false">O302*O303/1000</f>
        <v>6547.0026188</v>
      </c>
      <c r="P289" s="157" t="n">
        <f aca="false">P302*P303/1000</f>
        <v>5052.9994854</v>
      </c>
      <c r="Q289" s="157" t="n">
        <f aca="false">Q302*Q303/1000</f>
        <v>14928.9977351</v>
      </c>
      <c r="R289" s="157" t="n">
        <f aca="false">R302*R303/1000</f>
        <v>78811.0152636</v>
      </c>
      <c r="S289" s="157" t="n">
        <f aca="false">S302*S303/1000</f>
        <v>1748.9996304</v>
      </c>
      <c r="T289" s="163" t="n">
        <f aca="false">SUM(J289:S289)</f>
        <v>286839.9943785</v>
      </c>
      <c r="U289" s="157" t="n">
        <f aca="false">U302*U303/1000</f>
        <v>8254.0042915</v>
      </c>
      <c r="V289" s="157" t="n">
        <f aca="false">V302*V303/1000</f>
        <v>10257.999598</v>
      </c>
      <c r="W289" s="157" t="n">
        <f aca="false">W302*W303/1000</f>
        <v>17494.013628</v>
      </c>
      <c r="X289" s="163" t="n">
        <f aca="false">SUM(U289:W289)</f>
        <v>36006.0175175</v>
      </c>
      <c r="Y289" s="157" t="n">
        <f aca="false">Y302*Y303/1000</f>
        <v>5148.9982052</v>
      </c>
      <c r="Z289" s="137" t="n">
        <f aca="false">Z302*Z303/1000</f>
        <v>120744.929113695</v>
      </c>
    </row>
    <row r="290" customFormat="false" ht="15" hidden="false" customHeight="false" outlineLevel="0" collapsed="false">
      <c r="B290" s="71" t="s">
        <v>295</v>
      </c>
      <c r="C290" s="162" t="n">
        <f aca="false">I290+T290+X290+Y290+Z290</f>
        <v>34475.334273765</v>
      </c>
      <c r="D290" s="157" t="n">
        <f aca="false">D302*D306/1000</f>
        <v>6206.44241</v>
      </c>
      <c r="E290" s="157" t="n">
        <f aca="false">E302*E306/1000</f>
        <v>708.75266</v>
      </c>
      <c r="F290" s="157" t="n">
        <f aca="false">F302*F306/1000</f>
        <v>432.133058</v>
      </c>
      <c r="G290" s="157" t="n">
        <f aca="false">G302*G306/1000</f>
        <v>181.01237</v>
      </c>
      <c r="H290" s="157" t="n">
        <f aca="false">H302*H306/1000</f>
        <v>59.025498</v>
      </c>
      <c r="I290" s="163" t="n">
        <f aca="false">SUM(D290:H290)</f>
        <v>7587.365996</v>
      </c>
      <c r="J290" s="157" t="n">
        <f aca="false">J302*J306/1000</f>
        <v>3247.81408</v>
      </c>
      <c r="K290" s="157" t="n">
        <f aca="false">K302*K306/1000</f>
        <v>850.250352</v>
      </c>
      <c r="L290" s="157" t="n">
        <f aca="false">L302*L306/1000</f>
        <v>3409.058576</v>
      </c>
      <c r="M290" s="157" t="n">
        <f aca="false">M302*M306/1000</f>
        <v>656.490632</v>
      </c>
      <c r="N290" s="157" t="n">
        <f aca="false">N302*N306/1000</f>
        <v>554.511832</v>
      </c>
      <c r="O290" s="157" t="n">
        <f aca="false">O302*O306/1000</f>
        <v>386.246812</v>
      </c>
      <c r="P290" s="157" t="n">
        <f aca="false">P302*P306/1000</f>
        <v>322.510062</v>
      </c>
      <c r="Q290" s="157" t="n">
        <f aca="false">Q302*Q306/1000</f>
        <v>985.372262</v>
      </c>
      <c r="R290" s="157" t="n">
        <f aca="false">R302*R306/1000</f>
        <v>4257.619114</v>
      </c>
      <c r="S290" s="157" t="n">
        <f aca="false">S302*S306/1000</f>
        <v>138.691168</v>
      </c>
      <c r="T290" s="163" t="n">
        <f aca="false">SUM(J290:S290)</f>
        <v>14808.56489</v>
      </c>
      <c r="U290" s="157" t="n">
        <f aca="false">U302*U306/1000</f>
        <v>507.34453</v>
      </c>
      <c r="V290" s="157" t="n">
        <f aca="false">V302*V306/1000</f>
        <v>740.623142</v>
      </c>
      <c r="W290" s="157" t="n">
        <f aca="false">W302*W306/1000</f>
        <v>1154.65707</v>
      </c>
      <c r="X290" s="163" t="n">
        <f aca="false">SUM(U290:W290)</f>
        <v>2402.624742</v>
      </c>
      <c r="Y290" s="157" t="n">
        <f aca="false">Y302*Y306/1000</f>
        <v>668.260334</v>
      </c>
      <c r="Z290" s="137" t="n">
        <f aca="false">Z302*Z306/1000</f>
        <v>9008.51831176499</v>
      </c>
    </row>
    <row r="291" customFormat="false" ht="15" hidden="false" customHeight="false" outlineLevel="0" collapsed="false">
      <c r="B291" s="71" t="s">
        <v>296</v>
      </c>
      <c r="C291" s="162" t="n">
        <f aca="false">I291+T291+X291+Y291+Z291</f>
        <v>315029.1045658</v>
      </c>
      <c r="D291" s="157" t="n">
        <f aca="false">D302*D304/1000</f>
        <v>66618.073517</v>
      </c>
      <c r="E291" s="157" t="n">
        <f aca="false">E302*E304/1000</f>
        <v>2017.994077</v>
      </c>
      <c r="F291" s="157" t="n">
        <f aca="false">F302*F304/1000</f>
        <v>1231.0049521</v>
      </c>
      <c r="G291" s="157" t="n">
        <f aca="false">G302*G304/1000</f>
        <v>515.0003815</v>
      </c>
      <c r="H291" s="157" t="n">
        <f aca="false">H302*H304/1000</f>
        <v>0</v>
      </c>
      <c r="I291" s="163" t="n">
        <f aca="false">SUM(D291:H291)</f>
        <v>70382.0729276</v>
      </c>
      <c r="J291" s="157" t="n">
        <f aca="false">J302*J304/1000</f>
        <v>78440.028</v>
      </c>
      <c r="K291" s="157" t="n">
        <f aca="false">K302*K304/1000</f>
        <v>17607.0020448</v>
      </c>
      <c r="L291" s="157" t="n">
        <f aca="false">L302*L304/1000</f>
        <v>82332.0005464</v>
      </c>
      <c r="M291" s="157" t="n">
        <f aca="false">M302*M304/1000</f>
        <v>7477.9953668</v>
      </c>
      <c r="N291" s="157" t="n">
        <f aca="false">N302*N304/1000</f>
        <v>11483.0005024</v>
      </c>
      <c r="O291" s="157" t="n">
        <f aca="false">O302*O304/1000</f>
        <v>8249.0000208</v>
      </c>
      <c r="P291" s="157" t="n">
        <f aca="false">P302*P304/1000</f>
        <v>3827.0020518</v>
      </c>
      <c r="Q291" s="157" t="n">
        <f aca="false">Q302*Q304/1000</f>
        <v>0</v>
      </c>
      <c r="R291" s="157" t="n">
        <f aca="false">R302*R304/1000</f>
        <v>12124.0099298</v>
      </c>
      <c r="S291" s="157" t="n">
        <f aca="false">S302*S304/1000</f>
        <v>0</v>
      </c>
      <c r="T291" s="163" t="n">
        <f aca="false">SUM(J291:S291)</f>
        <v>221540.0384628</v>
      </c>
      <c r="U291" s="157" t="n">
        <f aca="false">U302*U304/1000</f>
        <v>1445.004869</v>
      </c>
      <c r="V291" s="157" t="n">
        <f aca="false">V302*V304/1000</f>
        <v>11798.0001099</v>
      </c>
      <c r="W291" s="157" t="n">
        <f aca="false">W302*W304/1000</f>
        <v>9863.9881965</v>
      </c>
      <c r="X291" s="163" t="n">
        <f aca="false">SUM(U291:W291)</f>
        <v>23106.9931754</v>
      </c>
      <c r="Y291" s="157" t="n">
        <f aca="false">Y302*Y304/1000</f>
        <v>0</v>
      </c>
      <c r="Z291" s="137" t="n">
        <f aca="false">Z302*Z304/1000</f>
        <v>0</v>
      </c>
    </row>
    <row r="292" customFormat="false" ht="15" hidden="false" customHeight="false" outlineLevel="0" collapsed="false">
      <c r="B292" s="64" t="s">
        <v>297</v>
      </c>
      <c r="C292" s="162" t="n">
        <f aca="false">I292+T292+X292+Y292+Z292</f>
        <v>39526.035727</v>
      </c>
      <c r="D292" s="157" t="n">
        <f aca="false">D302*D305/1000</f>
        <v>8327.001447</v>
      </c>
      <c r="E292" s="157" t="n">
        <f aca="false">E302*E305/1000</f>
        <v>0</v>
      </c>
      <c r="F292" s="157" t="n">
        <f aca="false">F302*F305/1000</f>
        <v>0</v>
      </c>
      <c r="G292" s="157" t="n">
        <f aca="false">G302*G305/1000</f>
        <v>0</v>
      </c>
      <c r="H292" s="157" t="n">
        <f aca="false">H302*H305/1000</f>
        <v>0</v>
      </c>
      <c r="I292" s="163" t="n">
        <f aca="false">SUM(D292:H292)</f>
        <v>8327.001447</v>
      </c>
      <c r="J292" s="157" t="n">
        <f aca="false">J302*J305/1000</f>
        <v>4358.03624</v>
      </c>
      <c r="K292" s="157" t="n">
        <f aca="false">K302*K305/1000</f>
        <v>1140.99804</v>
      </c>
      <c r="L292" s="157" t="n">
        <f aca="false">$E$148*L305</f>
        <v>25700</v>
      </c>
      <c r="M292" s="157" t="n">
        <f aca="false">M302*M305/1000</f>
        <v>0</v>
      </c>
      <c r="N292" s="157" t="n">
        <f aca="false">N302*N305/1000</f>
        <v>0</v>
      </c>
      <c r="O292" s="157" t="n">
        <f aca="false">O302*O305/1000</f>
        <v>0</v>
      </c>
      <c r="P292" s="157" t="n">
        <f aca="false">P302*P305/1000</f>
        <v>0</v>
      </c>
      <c r="Q292" s="157" t="n">
        <f aca="false">Q302*Q305/1000</f>
        <v>0</v>
      </c>
      <c r="R292" s="157" t="n">
        <f aca="false">R302*R305/1000</f>
        <v>0</v>
      </c>
      <c r="S292" s="157" t="n">
        <f aca="false">S302*S305/1000</f>
        <v>0</v>
      </c>
      <c r="T292" s="163" t="n">
        <f aca="false">SUM(J292:S292)</f>
        <v>31199.03428</v>
      </c>
      <c r="U292" s="157" t="n">
        <f aca="false">U302*U305/1000</f>
        <v>0</v>
      </c>
      <c r="V292" s="157" t="n">
        <f aca="false">V302*V305/1000</f>
        <v>0</v>
      </c>
      <c r="W292" s="157" t="n">
        <f aca="false">W302*W305/1000</f>
        <v>0</v>
      </c>
      <c r="X292" s="163" t="n">
        <f aca="false">SUM(U292:W292)</f>
        <v>0</v>
      </c>
      <c r="Y292" s="157" t="n">
        <f aca="false">Y302*Y305/1000</f>
        <v>0</v>
      </c>
      <c r="Z292" s="137" t="n">
        <f aca="false">Z302*Z305/1000</f>
        <v>0</v>
      </c>
    </row>
    <row r="293" customFormat="false" ht="15" hidden="false" customHeight="false" outlineLevel="0" collapsed="false">
      <c r="B293" s="71" t="s">
        <v>298</v>
      </c>
      <c r="C293" s="162" t="n">
        <f aca="false">I293+T293+X293+Y293+Z293</f>
        <v>7363.02820275</v>
      </c>
      <c r="D293" s="157" t="n">
        <f aca="false">D302*D307/1000</f>
        <v>1325.5335</v>
      </c>
      <c r="E293" s="157" t="n">
        <f aca="false">E302*E307/1000</f>
        <v>151.371</v>
      </c>
      <c r="F293" s="157" t="n">
        <f aca="false">F302*F307/1000</f>
        <v>92.2923</v>
      </c>
      <c r="G293" s="157" t="n">
        <f aca="false">G302*G307/1000</f>
        <v>38.6595</v>
      </c>
      <c r="H293" s="157" t="n">
        <f aca="false">H302*H307/1000</f>
        <v>12.6063</v>
      </c>
      <c r="I293" s="163" t="n">
        <f aca="false">SUM(D293:H293)</f>
        <v>1620.4626</v>
      </c>
      <c r="J293" s="157" t="n">
        <f aca="false">J302*J307/1000</f>
        <v>693.648</v>
      </c>
      <c r="K293" s="157" t="n">
        <f aca="false">K302*K307/1000</f>
        <v>181.5912</v>
      </c>
      <c r="L293" s="157" t="n">
        <f aca="false">L302*L307/1000</f>
        <v>728.0856</v>
      </c>
      <c r="M293" s="157" t="n">
        <f aca="false">M302*M307/1000</f>
        <v>140.2092</v>
      </c>
      <c r="N293" s="157" t="n">
        <f aca="false">N302*N307/1000</f>
        <v>118.4292</v>
      </c>
      <c r="O293" s="157" t="n">
        <f aca="false">O302*O307/1000</f>
        <v>82.4922</v>
      </c>
      <c r="P293" s="157" t="n">
        <f aca="false">P302*P307/1000</f>
        <v>68.8797</v>
      </c>
      <c r="Q293" s="157" t="n">
        <f aca="false">Q302*Q307/1000</f>
        <v>210.4497</v>
      </c>
      <c r="R293" s="157" t="n">
        <f aca="false">R302*R307/1000</f>
        <v>909.3159</v>
      </c>
      <c r="S293" s="157" t="n">
        <f aca="false">S302*S307/1000</f>
        <v>29.6208</v>
      </c>
      <c r="T293" s="163" t="n">
        <f aca="false">SUM(J293:S293)</f>
        <v>3162.7215</v>
      </c>
      <c r="U293" s="157" t="n">
        <f aca="false">U302*U307/1000</f>
        <v>108.3555</v>
      </c>
      <c r="V293" s="157" t="n">
        <f aca="false">V302*V307/1000</f>
        <v>158.1777</v>
      </c>
      <c r="W293" s="157" t="n">
        <f aca="false">W302*W307/1000</f>
        <v>246.6045</v>
      </c>
      <c r="X293" s="163" t="n">
        <f aca="false">SUM(U293:W293)</f>
        <v>513.1377</v>
      </c>
      <c r="Y293" s="157" t="n">
        <f aca="false">Y302*Y307/1000</f>
        <v>142.7229</v>
      </c>
      <c r="Z293" s="137" t="n">
        <f aca="false">Z302*Z307/1000</f>
        <v>1923.98350275</v>
      </c>
    </row>
    <row r="294" customFormat="false" ht="15" hidden="false" customHeight="false" outlineLevel="0" collapsed="false">
      <c r="B294" s="71" t="s">
        <v>299</v>
      </c>
      <c r="C294" s="162" t="n">
        <f aca="false">I294+T294+X294+Y294+Z294</f>
        <v>29612.1556268715</v>
      </c>
      <c r="D294" s="157" t="n">
        <f aca="false">D308*(D289+D290+D291+D292+D293)</f>
        <v>4950.4821573582</v>
      </c>
      <c r="E294" s="157" t="n">
        <f aca="false">E308*(E289+E290+E291+E292+E293)</f>
        <v>352.2084735873</v>
      </c>
      <c r="F294" s="157" t="n">
        <f aca="false">F308*(F289+F290+F291+F292+F293)</f>
        <v>255.24686228212</v>
      </c>
      <c r="G294" s="157" t="n">
        <f aca="false">G308*(G289+G290+G291+G292+G293)</f>
        <v>106.8924315976</v>
      </c>
      <c r="H294" s="157" t="n">
        <f aca="false">H308*(H289+H290+H291+H292+H293)</f>
        <v>19.28306921625</v>
      </c>
      <c r="I294" s="163" t="n">
        <f aca="false">SUM(D294:H294)</f>
        <v>5684.11299404147</v>
      </c>
      <c r="J294" s="157" t="n">
        <f aca="false">J308*(J289+J290+J291+J292+J293)</f>
        <v>4898.5857370944</v>
      </c>
      <c r="K294" s="157" t="n">
        <f aca="false">K308*(K289+K290+K291+K292+K293)</f>
        <v>1080.43049854656</v>
      </c>
      <c r="L294" s="157" t="n">
        <f aca="false">L308*(L289+L290+L291+L292+L293)</f>
        <v>6013.79987916544</v>
      </c>
      <c r="M294" s="157" t="n">
        <f aca="false">M308*(M289+M290+M291+M292+M293)</f>
        <v>586.54935390768</v>
      </c>
      <c r="N294" s="157" t="n">
        <f aca="false">N308*(N289+N290+N291+N292+N293)</f>
        <v>656.93060950608</v>
      </c>
      <c r="O294" s="157" t="n">
        <f aca="false">O308*(O289+O290+O291+O292+O293)</f>
        <v>482.36583619056</v>
      </c>
      <c r="P294" s="157" t="n">
        <f aca="false">P308*(P289+P290+P291+P292+P293)</f>
        <v>292.97596505472</v>
      </c>
      <c r="Q294" s="157" t="n">
        <f aca="false">Q308*(Q289+Q290+Q291+Q292+Q293)</f>
        <v>509.54430242836</v>
      </c>
      <c r="R294" s="157" t="n">
        <f aca="false">R308*(R289+R290+R291+R292+R293)</f>
        <v>3036.82194255384</v>
      </c>
      <c r="S294" s="157" t="n">
        <f aca="false">S308*(S289+S290+S291+S292+S293)</f>
        <v>60.58704650944</v>
      </c>
      <c r="T294" s="163" t="n">
        <f aca="false">SUM(J294:S294)</f>
        <v>17618.5911709571</v>
      </c>
      <c r="U294" s="157" t="n">
        <f aca="false">U308*(U289+U290+U291+U292+U293)</f>
        <v>325.9448104198</v>
      </c>
      <c r="V294" s="157" t="n">
        <f aca="false">V308*(V289+V290+V291+V292+V293)</f>
        <v>725.37169737684</v>
      </c>
      <c r="W294" s="157" t="n">
        <f aca="false">W308*(W289+W290+W291+W292+W293)</f>
        <v>908.7927232662</v>
      </c>
      <c r="X294" s="163" t="n">
        <f aca="false">SUM(U294:W294)</f>
        <v>1960.10923106284</v>
      </c>
      <c r="Y294" s="157" t="n">
        <f aca="false">Y308*(Y289+Y290+Y291+Y292+Y293)</f>
        <v>188.33541347872</v>
      </c>
      <c r="Z294" s="137" t="n">
        <f aca="false">Z308*(Z289+Z290+Z291+Z292+Z293)</f>
        <v>4161.00681733143</v>
      </c>
    </row>
    <row r="295" customFormat="false" ht="15" hidden="false" customHeight="false" outlineLevel="0" collapsed="false">
      <c r="B295" s="71" t="s">
        <v>300</v>
      </c>
      <c r="C295" s="162" t="n">
        <f aca="false">I295+T295+X295+Y295+Z295</f>
        <v>88773.504054</v>
      </c>
      <c r="D295" s="157" t="n">
        <f aca="false">IFERROR($M$401*D312/$C$312,0)</f>
        <v>0</v>
      </c>
      <c r="E295" s="157" t="n">
        <f aca="false">IFERROR($M$401*E312/$C$312,0)</f>
        <v>0</v>
      </c>
      <c r="F295" s="157" t="n">
        <f aca="false">IFERROR($M$401*F312/$C$312,0)</f>
        <v>934.369672905272</v>
      </c>
      <c r="G295" s="157" t="n">
        <f aca="false">IFERROR($M$401*G312/$C$312,0)</f>
        <v>391.302955297708</v>
      </c>
      <c r="H295" s="157" t="n">
        <f aca="false">IFERROR($M$401*H312/$C$312,0)</f>
        <v>0</v>
      </c>
      <c r="I295" s="163" t="n">
        <f aca="false">SUM(D295:H295)</f>
        <v>1325.67262820298</v>
      </c>
      <c r="J295" s="157" t="n">
        <f aca="false">IFERROR($M$401*J312/$C$312,0)</f>
        <v>18147.3234659849</v>
      </c>
      <c r="K295" s="157" t="n">
        <f aca="false">IFERROR($M$401*K312/$C$312,0)</f>
        <v>3795.67817287266</v>
      </c>
      <c r="L295" s="157" t="n">
        <f aca="false">IFERROR($M$401*L312/$C$312,0)</f>
        <v>21948.5501481538</v>
      </c>
      <c r="M295" s="157" t="n">
        <f aca="false">IFERROR($M$401*M312/$C$312,0)</f>
        <v>2092.35285766609</v>
      </c>
      <c r="N295" s="157" t="n">
        <f aca="false">IFERROR($M$401*N312/$C$312,0)</f>
        <v>2313.98600396676</v>
      </c>
      <c r="O295" s="157" t="n">
        <f aca="false">IFERROR($M$401*O312/$C$312,0)</f>
        <v>1695.68963841413</v>
      </c>
      <c r="P295" s="157" t="n">
        <f aca="false">IFERROR($M$401*P312/$C$312,0)</f>
        <v>1044.23140556918</v>
      </c>
      <c r="Q295" s="157" t="n">
        <f aca="false">IFERROR($M$401*Q312/$C$312,0)</f>
        <v>1885.24571058708</v>
      </c>
      <c r="R295" s="157" t="n">
        <f aca="false">IFERROR($M$401*R312/$C$312,0)</f>
        <v>10972.8456799764</v>
      </c>
      <c r="S295" s="157" t="n">
        <f aca="false">IFERROR($M$401*S312/$C$312,0)</f>
        <v>227.669130631951</v>
      </c>
      <c r="T295" s="163" t="n">
        <f aca="false">SUM(J295:S295)</f>
        <v>64123.5722138229</v>
      </c>
      <c r="U295" s="157" t="n">
        <f aca="false">IFERROR($M$401*U312/$C$312,0)</f>
        <v>1185.92732180488</v>
      </c>
      <c r="V295" s="157" t="n">
        <f aca="false">IFERROR($M$401*V312/$C$312,0)</f>
        <v>2575.96244525377</v>
      </c>
      <c r="W295" s="157" t="n">
        <f aca="false">IFERROR($M$401*W312/$C$312,0)</f>
        <v>3264.25639780112</v>
      </c>
      <c r="X295" s="163" t="n">
        <f aca="false">SUM(U295:W295)</f>
        <v>7026.14616485976</v>
      </c>
      <c r="Y295" s="157" t="n">
        <f aca="false">IFERROR($M$401*Y312/$C$312,0)</f>
        <v>746.325593480515</v>
      </c>
      <c r="Z295" s="137" t="n">
        <f aca="false">IFERROR($M$401*Z312/$C$312,0)</f>
        <v>15551.7874536338</v>
      </c>
    </row>
    <row r="296" customFormat="false" ht="15" hidden="false" customHeight="false" outlineLevel="0" collapsed="false">
      <c r="B296" s="71" t="s">
        <v>301</v>
      </c>
      <c r="C296" s="162" t="n">
        <f aca="false">I296+T296+X296+Y296+Z296</f>
        <v>30000</v>
      </c>
      <c r="D296" s="144" t="n">
        <v>10000</v>
      </c>
      <c r="E296" s="144" t="n">
        <v>0</v>
      </c>
      <c r="F296" s="144" t="n">
        <v>0</v>
      </c>
      <c r="G296" s="144" t="n">
        <v>0</v>
      </c>
      <c r="H296" s="144" t="n">
        <v>0</v>
      </c>
      <c r="I296" s="163" t="n">
        <f aca="false">SUM(D296:H296)</f>
        <v>10000</v>
      </c>
      <c r="J296" s="144" t="n">
        <v>10000</v>
      </c>
      <c r="K296" s="144" t="n">
        <v>0</v>
      </c>
      <c r="L296" s="144" t="n">
        <v>10000</v>
      </c>
      <c r="M296" s="144" t="n">
        <v>0</v>
      </c>
      <c r="N296" s="144" t="n">
        <v>0</v>
      </c>
      <c r="O296" s="144" t="n">
        <v>0</v>
      </c>
      <c r="P296" s="144" t="n">
        <v>0</v>
      </c>
      <c r="Q296" s="144" t="n">
        <v>0</v>
      </c>
      <c r="R296" s="144" t="n">
        <v>0</v>
      </c>
      <c r="S296" s="144" t="n">
        <v>0</v>
      </c>
      <c r="T296" s="163" t="n">
        <f aca="false">SUM(J296:S296)</f>
        <v>20000</v>
      </c>
      <c r="U296" s="144" t="n">
        <v>0</v>
      </c>
      <c r="V296" s="144" t="n">
        <v>0</v>
      </c>
      <c r="W296" s="144" t="n">
        <v>0</v>
      </c>
      <c r="X296" s="163" t="n">
        <f aca="false">SUM(U296:W296)</f>
        <v>0</v>
      </c>
      <c r="Y296" s="144" t="n">
        <v>0</v>
      </c>
      <c r="Z296" s="133" t="n">
        <v>0</v>
      </c>
    </row>
    <row r="297" customFormat="false" ht="15" hidden="false" customHeight="false" outlineLevel="0" collapsed="false">
      <c r="B297" s="71" t="s">
        <v>302</v>
      </c>
      <c r="C297" s="162" t="n">
        <f aca="false">I297+T297+X297+Y297+Z297</f>
        <v>3826.70887926866</v>
      </c>
      <c r="D297" s="157" t="n">
        <f aca="false">$M$362*D302/$C$69</f>
        <v>688.905525626478</v>
      </c>
      <c r="E297" s="157" t="n">
        <f aca="false">$M$362*E302/$C$69</f>
        <v>78.6704510445081</v>
      </c>
      <c r="F297" s="157" t="n">
        <f aca="false">$M$362*F302/$C$69</f>
        <v>47.966102284685</v>
      </c>
      <c r="G297" s="157" t="n">
        <f aca="false">$M$362*G302/$C$69</f>
        <v>20.0920936120866</v>
      </c>
      <c r="H297" s="157" t="n">
        <f aca="false">$M$362*H302/$C$69</f>
        <v>6.55173915084384</v>
      </c>
      <c r="I297" s="163" t="n">
        <f aca="false">SUM(D297:H297)</f>
        <v>842.185911718601</v>
      </c>
      <c r="J297" s="157" t="n">
        <f aca="false">$M$362*J302/$C$69</f>
        <v>360.502348706958</v>
      </c>
      <c r="K297" s="157" t="n">
        <f aca="false">$M$362*K302/$C$69</f>
        <v>94.3764764037595</v>
      </c>
      <c r="L297" s="157" t="n">
        <f aca="false">$M$362*L302/$C$69</f>
        <v>378.400238823892</v>
      </c>
      <c r="M297" s="157" t="n">
        <f aca="false">$M$362*M302/$C$69</f>
        <v>72.8694466218077</v>
      </c>
      <c r="N297" s="157" t="n">
        <f aca="false">$M$362*N302/$C$69</f>
        <v>61.5499572628857</v>
      </c>
      <c r="O297" s="157" t="n">
        <f aca="false">$M$362*O302/$C$69</f>
        <v>42.8727998206643</v>
      </c>
      <c r="P297" s="157" t="n">
        <f aca="false">$M$362*P302/$C$69</f>
        <v>35.798118971338</v>
      </c>
      <c r="Q297" s="157" t="n">
        <f aca="false">$M$362*Q302/$C$69</f>
        <v>109.374799804331</v>
      </c>
      <c r="R297" s="157" t="n">
        <f aca="false">$M$362*R302/$C$69</f>
        <v>472.589148482489</v>
      </c>
      <c r="S297" s="157" t="n">
        <f aca="false">$M$362*S302/$C$69</f>
        <v>15.394505528134</v>
      </c>
      <c r="T297" s="163" t="n">
        <f aca="false">SUM(J297:S297)</f>
        <v>1643.72784042626</v>
      </c>
      <c r="U297" s="157" t="n">
        <f aca="false">$M$362*U302/$C$69</f>
        <v>56.3144595606371</v>
      </c>
      <c r="V297" s="157" t="n">
        <f aca="false">$M$362*V302/$C$69</f>
        <v>82.2080253429184</v>
      </c>
      <c r="W297" s="157" t="n">
        <f aca="false">$M$362*W302/$C$69</f>
        <v>128.165152140142</v>
      </c>
      <c r="X297" s="163" t="n">
        <f aca="false">SUM(U297:W297)</f>
        <v>266.687637043697</v>
      </c>
      <c r="Y297" s="157" t="n">
        <f aca="false">$M$362*Y302/$C$69</f>
        <v>74.1758653730254</v>
      </c>
      <c r="Z297" s="137" t="n">
        <f aca="false">$M$362*Z302/$C$69</f>
        <v>999.931624707078</v>
      </c>
    </row>
    <row r="298" customFormat="false" ht="15" hidden="false" customHeight="false" outlineLevel="0" collapsed="false">
      <c r="B298" s="71" t="s">
        <v>303</v>
      </c>
      <c r="C298" s="162" t="n">
        <f aca="false">I298+T298+X298+Y298+Z298</f>
        <v>21562.9726480203</v>
      </c>
      <c r="D298" s="157" t="n">
        <f aca="false">$M$380*D302/$C$69</f>
        <v>3881.8868836954</v>
      </c>
      <c r="E298" s="157" t="n">
        <f aca="false">$M$380*E302/$C$69</f>
        <v>443.297056975065</v>
      </c>
      <c r="F298" s="157" t="n">
        <f aca="false">$M$380*F302/$C$69</f>
        <v>270.282319410321</v>
      </c>
      <c r="G298" s="157" t="n">
        <f aca="false">$M$380*G302/$C$69</f>
        <v>113.216154838955</v>
      </c>
      <c r="H298" s="157" t="n">
        <f aca="false">$M$380*H302/$C$69</f>
        <v>36.9181394675648</v>
      </c>
      <c r="I298" s="163" t="n">
        <f aca="false">SUM(D298:H298)</f>
        <v>4745.60055438731</v>
      </c>
      <c r="J298" s="157" t="n">
        <f aca="false">$M$380*J302/$C$69</f>
        <v>2031.3806275749</v>
      </c>
      <c r="K298" s="157" t="n">
        <f aca="false">$M$380*K302/$C$69</f>
        <v>531.798326843123</v>
      </c>
      <c r="L298" s="157" t="n">
        <f aca="false">$M$380*L302/$C$69</f>
        <v>2132.23275069811</v>
      </c>
      <c r="M298" s="157" t="n">
        <f aca="false">$M$380*M302/$C$69</f>
        <v>410.609203353537</v>
      </c>
      <c r="N298" s="157" t="n">
        <f aca="false">$M$380*N302/$C$69</f>
        <v>346.825454148492</v>
      </c>
      <c r="O298" s="157" t="n">
        <f aca="false">$M$380*O302/$C$69</f>
        <v>241.582267960167</v>
      </c>
      <c r="P298" s="157" t="n">
        <f aca="false">$M$380*P302/$C$69</f>
        <v>201.717424707014</v>
      </c>
      <c r="Q298" s="157" t="n">
        <f aca="false">$M$380*Q302/$C$69</f>
        <v>616.311794539808</v>
      </c>
      <c r="R298" s="157" t="n">
        <f aca="false">$M$380*R302/$C$69</f>
        <v>2662.97416500276</v>
      </c>
      <c r="S298" s="157" t="n">
        <f aca="false">$M$380*S302/$C$69</f>
        <v>86.7458989188616</v>
      </c>
      <c r="T298" s="163" t="n">
        <f aca="false">SUM(J298:S298)</f>
        <v>9262.17791374677</v>
      </c>
      <c r="U298" s="157" t="n">
        <f aca="false">$M$380*U302/$C$69</f>
        <v>317.3241522951</v>
      </c>
      <c r="V298" s="157" t="n">
        <f aca="false">$M$380*V302/$C$69</f>
        <v>463.230796447699</v>
      </c>
      <c r="W298" s="157" t="n">
        <f aca="false">$M$380*W302/$C$69</f>
        <v>722.192818220183</v>
      </c>
      <c r="X298" s="163" t="n">
        <f aca="false">SUM(U298:W298)</f>
        <v>1502.74776696298</v>
      </c>
      <c r="Y298" s="157" t="n">
        <f aca="false">$M$380*Y302/$C$69</f>
        <v>417.970691433276</v>
      </c>
      <c r="Z298" s="137" t="n">
        <f aca="false">$M$380*Z302/$C$69</f>
        <v>5634.47572148992</v>
      </c>
    </row>
    <row r="299" customFormat="false" ht="15" hidden="false" customHeight="false" outlineLevel="0" collapsed="false">
      <c r="B299" s="64" t="s">
        <v>304</v>
      </c>
      <c r="C299" s="162" t="n">
        <f aca="false">I299+T299+X299+Y299+Z299</f>
        <v>28750.6731569557</v>
      </c>
      <c r="D299" s="157" t="n">
        <f aca="false">($M$378+$M$379)*D302/$C$69</f>
        <v>5175.85691208707</v>
      </c>
      <c r="E299" s="157" t="n">
        <f aca="false">($M$378+$M$379)*E302/$C$69</f>
        <v>591.06362580767</v>
      </c>
      <c r="F299" s="157" t="n">
        <f aca="false">($M$378+$M$379)*F302/$C$69</f>
        <v>360.376964359945</v>
      </c>
      <c r="G299" s="157" t="n">
        <f aca="false">($M$378+$M$379)*G302/$C$69</f>
        <v>150.955098677499</v>
      </c>
      <c r="H299" s="157" t="n">
        <f aca="false">($M$378+$M$379)*H302/$C$69</f>
        <v>49.2242595082231</v>
      </c>
      <c r="I299" s="163" t="n">
        <f aca="false">SUM(D299:H299)</f>
        <v>6327.47686044041</v>
      </c>
      <c r="J299" s="157" t="n">
        <f aca="false">($M$378+$M$379)*J302/$C$69</f>
        <v>2708.51155052314</v>
      </c>
      <c r="K299" s="157" t="n">
        <f aca="false">($M$378+$M$379)*K302/$C$69</f>
        <v>709.065495284868</v>
      </c>
      <c r="L299" s="157" t="n">
        <f aca="false">($M$378+$M$379)*L302/$C$69</f>
        <v>2842.98124894698</v>
      </c>
      <c r="M299" s="157" t="n">
        <f aca="false">($M$378+$M$379)*M302/$C$69</f>
        <v>547.479755855433</v>
      </c>
      <c r="N299" s="157" t="n">
        <f aca="false">($M$378+$M$379)*N302/$C$69</f>
        <v>462.434629839941</v>
      </c>
      <c r="O299" s="157" t="n">
        <f aca="false">($M$378+$M$379)*O302/$C$69</f>
        <v>322.110171914379</v>
      </c>
      <c r="P299" s="157" t="n">
        <f aca="false">($M$378+$M$379)*P302/$C$69</f>
        <v>268.956968154697</v>
      </c>
      <c r="Q299" s="157" t="n">
        <f aca="false">($M$378+$M$379)*Q302/$C$69</f>
        <v>821.750287255395</v>
      </c>
      <c r="R299" s="157" t="n">
        <f aca="false">($M$378+$M$379)*R302/$C$69</f>
        <v>3550.6375254082</v>
      </c>
      <c r="S299" s="157" t="n">
        <f aca="false">($M$378+$M$379)*S302/$C$69</f>
        <v>115.661371381069</v>
      </c>
      <c r="T299" s="163" t="n">
        <f aca="false">SUM(J299:S299)</f>
        <v>12349.5890045641</v>
      </c>
      <c r="U299" s="157" t="n">
        <f aca="false">($M$378+$M$379)*U302/$C$69</f>
        <v>423.099501927073</v>
      </c>
      <c r="V299" s="157" t="n">
        <f aca="false">($M$378+$M$379)*V302/$C$69</f>
        <v>617.641984818214</v>
      </c>
      <c r="W299" s="157" t="n">
        <f aca="false">($M$378+$M$379)*W302/$C$69</f>
        <v>962.925196441113</v>
      </c>
      <c r="X299" s="163" t="n">
        <f aca="false">SUM(U299:W299)</f>
        <v>2003.6666831864</v>
      </c>
      <c r="Y299" s="157" t="n">
        <f aca="false">($M$378+$M$379)*Y302/$C$69</f>
        <v>557.295087961271</v>
      </c>
      <c r="Z299" s="137" t="n">
        <f aca="false">($M$378+$M$379)*Z302/$C$69</f>
        <v>7512.64552080356</v>
      </c>
    </row>
    <row r="300" customFormat="false" ht="15" hidden="false" customHeight="false" outlineLevel="0" collapsed="false">
      <c r="B300" s="71" t="s">
        <v>155</v>
      </c>
      <c r="C300" s="162" t="n">
        <f aca="false">I300+T300+X300+Y300+Z300</f>
        <v>1195758.50994293</v>
      </c>
      <c r="D300" s="164" t="n">
        <f aca="false">SUM(D289:D299)</f>
        <v>233578.235164767</v>
      </c>
      <c r="E300" s="164" t="n">
        <f aca="false">SUM(E289:E299)</f>
        <v>16326.3566364145</v>
      </c>
      <c r="F300" s="164" t="n">
        <f aca="false">SUM(F289:F299)</f>
        <v>9945.67427194234</v>
      </c>
      <c r="G300" s="164" t="n">
        <f aca="false">SUM(G289:G299)</f>
        <v>4165.13062002385</v>
      </c>
      <c r="H300" s="164" t="n">
        <f aca="false">SUM(H289:H299)</f>
        <v>925.608819842882</v>
      </c>
      <c r="I300" s="163" t="n">
        <f aca="false">SUM(D300:H300)</f>
        <v>264941.005512991</v>
      </c>
      <c r="J300" s="164" t="n">
        <f aca="false">SUM(J289:J299)</f>
        <v>193164.839713884</v>
      </c>
      <c r="K300" s="164" t="n">
        <f aca="false">SUM(K289:K299)</f>
        <v>40402.187531551</v>
      </c>
      <c r="L300" s="164" t="n">
        <f aca="false">SUM(L289:L299)</f>
        <v>233626.087024188</v>
      </c>
      <c r="M300" s="164" t="n">
        <f aca="false">SUM(M289:M299)</f>
        <v>22271.5490322046</v>
      </c>
      <c r="N300" s="164" t="n">
        <f aca="false">SUM(N289:N299)</f>
        <v>24630.6699935242</v>
      </c>
      <c r="O300" s="164" t="n">
        <f aca="false">SUM(O289:O299)</f>
        <v>18049.3623658999</v>
      </c>
      <c r="P300" s="164" t="n">
        <f aca="false">SUM(P289:P299)</f>
        <v>11115.071181657</v>
      </c>
      <c r="Q300" s="164" t="n">
        <f aca="false">SUM(Q289:Q299)</f>
        <v>20067.046591715</v>
      </c>
      <c r="R300" s="164" t="n">
        <f aca="false">SUM(R289:R299)</f>
        <v>116797.828668824</v>
      </c>
      <c r="S300" s="164" t="n">
        <f aca="false">SUM(S289:S299)</f>
        <v>2423.36955136946</v>
      </c>
      <c r="T300" s="163" t="n">
        <f aca="false">SUM(J300:S300)</f>
        <v>682548.011654817</v>
      </c>
      <c r="U300" s="164" t="n">
        <f aca="false">SUM(U289:U299)</f>
        <v>12623.3194365075</v>
      </c>
      <c r="V300" s="164" t="n">
        <f aca="false">SUM(V289:V299)</f>
        <v>27419.2154991394</v>
      </c>
      <c r="W300" s="164" t="n">
        <f aca="false">SUM(W289:W299)</f>
        <v>34745.5956823688</v>
      </c>
      <c r="X300" s="163" t="n">
        <f aca="false">SUM(U300:W300)</f>
        <v>74788.1306180157</v>
      </c>
      <c r="Y300" s="164" t="n">
        <f aca="false">SUM(Y289:Y299)</f>
        <v>7944.08409092681</v>
      </c>
      <c r="Z300" s="165" t="n">
        <f aca="false">SUM(Z289:Z299)</f>
        <v>165537.278066176</v>
      </c>
    </row>
    <row r="301" customFormat="false" ht="15" hidden="false" customHeight="false" outlineLevel="0" collapsed="false">
      <c r="B301" s="166" t="s">
        <v>305</v>
      </c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74"/>
    </row>
    <row r="302" customFormat="false" ht="15" hidden="false" customHeight="false" outlineLevel="0" collapsed="false">
      <c r="B302" s="71" t="s">
        <v>182</v>
      </c>
      <c r="C302" s="114" t="n">
        <f aca="false">I302+T302+X302+Y302+Z302</f>
        <v>81811.424475</v>
      </c>
      <c r="D302" s="167" t="n">
        <f aca="false">$D$74</f>
        <v>14728.15</v>
      </c>
      <c r="E302" s="167" t="n">
        <f aca="false">$E$74</f>
        <v>1681.9</v>
      </c>
      <c r="F302" s="167" t="n">
        <f aca="false">$F$74</f>
        <v>1025.47</v>
      </c>
      <c r="G302" s="167" t="n">
        <f aca="false">$G$74</f>
        <v>429.55</v>
      </c>
      <c r="H302" s="167" t="n">
        <f aca="false">$H$74</f>
        <v>140.07</v>
      </c>
      <c r="I302" s="115" t="n">
        <f aca="false">SUM(D302:H302)</f>
        <v>18005.14</v>
      </c>
      <c r="J302" s="167" t="n">
        <f aca="false">$J$74</f>
        <v>7707.2</v>
      </c>
      <c r="K302" s="167" t="n">
        <f aca="false">$K$74</f>
        <v>2017.68</v>
      </c>
      <c r="L302" s="167" t="n">
        <f aca="false">$L$74</f>
        <v>8089.84</v>
      </c>
      <c r="M302" s="167" t="n">
        <f aca="false">$M$74</f>
        <v>1557.88</v>
      </c>
      <c r="N302" s="167" t="n">
        <f aca="false">$N$74</f>
        <v>1315.88</v>
      </c>
      <c r="O302" s="167" t="n">
        <f aca="false">$O$74</f>
        <v>916.58</v>
      </c>
      <c r="P302" s="167" t="n">
        <f aca="false">$P$74</f>
        <v>765.33</v>
      </c>
      <c r="Q302" s="167" t="n">
        <f aca="false">$Q$74</f>
        <v>2338.33</v>
      </c>
      <c r="R302" s="167" t="n">
        <f aca="false">$R$74</f>
        <v>10103.51</v>
      </c>
      <c r="S302" s="167" t="n">
        <f aca="false">$S$74</f>
        <v>329.12</v>
      </c>
      <c r="T302" s="115" t="n">
        <f aca="false">SUM(J302:S302)</f>
        <v>35141.35</v>
      </c>
      <c r="U302" s="167" t="n">
        <f aca="false">$U$74</f>
        <v>1203.95</v>
      </c>
      <c r="V302" s="167" t="n">
        <f aca="false">$V$74</f>
        <v>1757.53</v>
      </c>
      <c r="W302" s="167" t="n">
        <f aca="false">$W$74</f>
        <v>2740.05</v>
      </c>
      <c r="X302" s="115" t="n">
        <f aca="false">SUM(U302:W302)</f>
        <v>5701.53</v>
      </c>
      <c r="Y302" s="167" t="n">
        <f aca="false">$Y$74</f>
        <v>1585.81</v>
      </c>
      <c r="Z302" s="168" t="n">
        <f aca="false">$Z$74</f>
        <v>21377.594475</v>
      </c>
    </row>
    <row r="303" customFormat="false" ht="15" hidden="false" customHeight="false" outlineLevel="0" collapsed="false">
      <c r="B303" s="71" t="s">
        <v>22</v>
      </c>
      <c r="C303" s="52"/>
      <c r="D303" s="169" t="n">
        <v>8582.48</v>
      </c>
      <c r="E303" s="169" t="n">
        <v>7124.68</v>
      </c>
      <c r="F303" s="169" t="n">
        <v>6164.98</v>
      </c>
      <c r="G303" s="169" t="n">
        <v>6164.59</v>
      </c>
      <c r="H303" s="169" t="n">
        <v>5297.35</v>
      </c>
      <c r="I303" s="52"/>
      <c r="J303" s="169" t="n">
        <v>8859.12</v>
      </c>
      <c r="K303" s="169" t="n">
        <v>7142.36</v>
      </c>
      <c r="L303" s="169" t="n">
        <v>9659.15</v>
      </c>
      <c r="M303" s="169" t="n">
        <v>6603.2</v>
      </c>
      <c r="N303" s="169" t="n">
        <v>6560.63</v>
      </c>
      <c r="O303" s="169" t="n">
        <v>7142.86</v>
      </c>
      <c r="P303" s="169" t="n">
        <v>6602.38</v>
      </c>
      <c r="Q303" s="169" t="n">
        <v>6384.47</v>
      </c>
      <c r="R303" s="169" t="n">
        <v>7800.36</v>
      </c>
      <c r="S303" s="169" t="n">
        <v>5314.17</v>
      </c>
      <c r="T303" s="52"/>
      <c r="U303" s="169" t="n">
        <v>6855.77</v>
      </c>
      <c r="V303" s="169" t="n">
        <v>5836.6</v>
      </c>
      <c r="W303" s="169" t="n">
        <v>6384.56</v>
      </c>
      <c r="X303" s="52"/>
      <c r="Y303" s="169" t="n">
        <v>3246.92</v>
      </c>
      <c r="Z303" s="170" t="n">
        <v>5648.2</v>
      </c>
    </row>
    <row r="304" customFormat="false" ht="15" hidden="false" customHeight="false" outlineLevel="0" collapsed="false">
      <c r="B304" s="71" t="s">
        <v>296</v>
      </c>
      <c r="C304" s="52"/>
      <c r="D304" s="169" t="n">
        <v>4523.18</v>
      </c>
      <c r="E304" s="169" t="n">
        <v>1199.83</v>
      </c>
      <c r="F304" s="169" t="n">
        <v>1200.43</v>
      </c>
      <c r="G304" s="169" t="n">
        <v>1198.93</v>
      </c>
      <c r="H304" s="169" t="n">
        <v>0</v>
      </c>
      <c r="I304" s="52"/>
      <c r="J304" s="169" t="n">
        <v>10177.5</v>
      </c>
      <c r="K304" s="169" t="n">
        <v>8726.36</v>
      </c>
      <c r="L304" s="169" t="n">
        <v>10177.21</v>
      </c>
      <c r="M304" s="169" t="n">
        <v>4800.11</v>
      </c>
      <c r="N304" s="169" t="n">
        <v>8726.48</v>
      </c>
      <c r="O304" s="169" t="n">
        <v>8999.76</v>
      </c>
      <c r="P304" s="169" t="n">
        <v>5000.46</v>
      </c>
      <c r="Q304" s="169" t="n">
        <v>0</v>
      </c>
      <c r="R304" s="169" t="n">
        <v>1199.98</v>
      </c>
      <c r="S304" s="169" t="n">
        <v>0</v>
      </c>
      <c r="T304" s="52"/>
      <c r="U304" s="169" t="n">
        <v>1200.22</v>
      </c>
      <c r="V304" s="169" t="n">
        <v>6712.83</v>
      </c>
      <c r="W304" s="169" t="n">
        <v>3599.93</v>
      </c>
      <c r="X304" s="52"/>
      <c r="Y304" s="169" t="n">
        <v>0</v>
      </c>
      <c r="Z304" s="170" t="n">
        <v>0</v>
      </c>
    </row>
    <row r="305" customFormat="false" ht="15" hidden="false" customHeight="false" outlineLevel="0" collapsed="false">
      <c r="B305" s="64" t="s">
        <v>297</v>
      </c>
      <c r="C305" s="52"/>
      <c r="D305" s="169" t="n">
        <v>565.38</v>
      </c>
      <c r="E305" s="169" t="n">
        <v>0</v>
      </c>
      <c r="F305" s="169" t="n">
        <v>0</v>
      </c>
      <c r="G305" s="169" t="n">
        <v>0</v>
      </c>
      <c r="H305" s="169" t="n">
        <v>0</v>
      </c>
      <c r="I305" s="52"/>
      <c r="J305" s="169" t="n">
        <v>565.45</v>
      </c>
      <c r="K305" s="169" t="n">
        <v>565.5</v>
      </c>
      <c r="L305" s="171" t="n">
        <v>100</v>
      </c>
      <c r="M305" s="169" t="n">
        <v>0</v>
      </c>
      <c r="N305" s="169" t="n">
        <v>0</v>
      </c>
      <c r="O305" s="169" t="n">
        <v>0</v>
      </c>
      <c r="P305" s="169" t="n">
        <v>0</v>
      </c>
      <c r="Q305" s="169" t="n">
        <v>0</v>
      </c>
      <c r="R305" s="169" t="n">
        <v>0</v>
      </c>
      <c r="S305" s="169" t="n">
        <v>0</v>
      </c>
      <c r="T305" s="52"/>
      <c r="U305" s="169" t="n">
        <v>0</v>
      </c>
      <c r="V305" s="169" t="n">
        <v>0</v>
      </c>
      <c r="W305" s="169" t="n">
        <v>0</v>
      </c>
      <c r="X305" s="52"/>
      <c r="Y305" s="169" t="n">
        <v>0</v>
      </c>
      <c r="Z305" s="170" t="n">
        <v>0</v>
      </c>
    </row>
    <row r="306" customFormat="false" ht="15" hidden="false" customHeight="false" outlineLevel="0" collapsed="false">
      <c r="B306" s="71" t="s">
        <v>295</v>
      </c>
      <c r="C306" s="52"/>
      <c r="D306" s="172" t="n">
        <f aca="false">$L$368</f>
        <v>421.4</v>
      </c>
      <c r="E306" s="172" t="n">
        <f aca="false">$L$368</f>
        <v>421.4</v>
      </c>
      <c r="F306" s="172" t="n">
        <f aca="false">$L$368</f>
        <v>421.4</v>
      </c>
      <c r="G306" s="172" t="n">
        <f aca="false">$L$368</f>
        <v>421.4</v>
      </c>
      <c r="H306" s="172" t="n">
        <f aca="false">$L$368</f>
        <v>421.4</v>
      </c>
      <c r="I306" s="52"/>
      <c r="J306" s="172" t="n">
        <f aca="false">$L$368</f>
        <v>421.4</v>
      </c>
      <c r="K306" s="172" t="n">
        <f aca="false">$L$368</f>
        <v>421.4</v>
      </c>
      <c r="L306" s="172" t="n">
        <f aca="false">$L$368</f>
        <v>421.4</v>
      </c>
      <c r="M306" s="172" t="n">
        <f aca="false">$L$368</f>
        <v>421.4</v>
      </c>
      <c r="N306" s="172" t="n">
        <f aca="false">$L$368</f>
        <v>421.4</v>
      </c>
      <c r="O306" s="172" t="n">
        <f aca="false">$L$368</f>
        <v>421.4</v>
      </c>
      <c r="P306" s="172" t="n">
        <f aca="false">$L$368</f>
        <v>421.4</v>
      </c>
      <c r="Q306" s="172" t="n">
        <f aca="false">$L$368</f>
        <v>421.4</v>
      </c>
      <c r="R306" s="172" t="n">
        <f aca="false">$L$368</f>
        <v>421.4</v>
      </c>
      <c r="S306" s="172" t="n">
        <f aca="false">$L$368</f>
        <v>421.4</v>
      </c>
      <c r="T306" s="52"/>
      <c r="U306" s="172" t="n">
        <f aca="false">$L$368</f>
        <v>421.4</v>
      </c>
      <c r="V306" s="172" t="n">
        <f aca="false">$L$368</f>
        <v>421.4</v>
      </c>
      <c r="W306" s="172" t="n">
        <f aca="false">$L$368</f>
        <v>421.4</v>
      </c>
      <c r="X306" s="52"/>
      <c r="Y306" s="172" t="n">
        <f aca="false">$L$368</f>
        <v>421.4</v>
      </c>
      <c r="Z306" s="173" t="n">
        <f aca="false">$L$368</f>
        <v>421.4</v>
      </c>
    </row>
    <row r="307" customFormat="false" ht="15" hidden="false" customHeight="false" outlineLevel="0" collapsed="false">
      <c r="B307" s="71" t="s">
        <v>298</v>
      </c>
      <c r="C307" s="52"/>
      <c r="D307" s="172" t="n">
        <f aca="false">$L$374</f>
        <v>90</v>
      </c>
      <c r="E307" s="172" t="n">
        <f aca="false">$L$374</f>
        <v>90</v>
      </c>
      <c r="F307" s="172" t="n">
        <f aca="false">$L$374</f>
        <v>90</v>
      </c>
      <c r="G307" s="172" t="n">
        <f aca="false">$L$374</f>
        <v>90</v>
      </c>
      <c r="H307" s="172" t="n">
        <f aca="false">$L$374</f>
        <v>90</v>
      </c>
      <c r="I307" s="52"/>
      <c r="J307" s="172" t="n">
        <f aca="false">$L$374</f>
        <v>90</v>
      </c>
      <c r="K307" s="172" t="n">
        <f aca="false">$L$374</f>
        <v>90</v>
      </c>
      <c r="L307" s="172" t="n">
        <f aca="false">$L$374</f>
        <v>90</v>
      </c>
      <c r="M307" s="172" t="n">
        <f aca="false">$L$374</f>
        <v>90</v>
      </c>
      <c r="N307" s="172" t="n">
        <f aca="false">$L$374</f>
        <v>90</v>
      </c>
      <c r="O307" s="172" t="n">
        <f aca="false">$L$374</f>
        <v>90</v>
      </c>
      <c r="P307" s="172" t="n">
        <f aca="false">$L$374</f>
        <v>90</v>
      </c>
      <c r="Q307" s="172" t="n">
        <f aca="false">$L$374</f>
        <v>90</v>
      </c>
      <c r="R307" s="172" t="n">
        <f aca="false">$L$374</f>
        <v>90</v>
      </c>
      <c r="S307" s="172" t="n">
        <f aca="false">$L$374</f>
        <v>90</v>
      </c>
      <c r="T307" s="52"/>
      <c r="U307" s="172" t="n">
        <f aca="false">$L$374</f>
        <v>90</v>
      </c>
      <c r="V307" s="172" t="n">
        <f aca="false">$L$374</f>
        <v>90</v>
      </c>
      <c r="W307" s="172" t="n">
        <f aca="false">$L$374</f>
        <v>90</v>
      </c>
      <c r="X307" s="52"/>
      <c r="Y307" s="172" t="n">
        <f aca="false">$L$374</f>
        <v>90</v>
      </c>
      <c r="Z307" s="173" t="n">
        <f aca="false">$L$374</f>
        <v>90</v>
      </c>
    </row>
    <row r="308" customFormat="false" ht="15" hidden="false" customHeight="false" outlineLevel="0" collapsed="false">
      <c r="B308" s="71" t="s">
        <v>299</v>
      </c>
      <c r="C308" s="52"/>
      <c r="D308" s="158" t="n">
        <v>0.0237</v>
      </c>
      <c r="E308" s="158" t="n">
        <v>0.0237</v>
      </c>
      <c r="F308" s="158" t="n">
        <v>0.0316</v>
      </c>
      <c r="G308" s="158" t="n">
        <v>0.0316</v>
      </c>
      <c r="H308" s="158" t="n">
        <v>0.0237</v>
      </c>
      <c r="I308" s="52"/>
      <c r="J308" s="158" t="n">
        <v>0.0316</v>
      </c>
      <c r="K308" s="158" t="n">
        <v>0.0316</v>
      </c>
      <c r="L308" s="158" t="n">
        <v>0.0316</v>
      </c>
      <c r="M308" s="158" t="n">
        <v>0.0316</v>
      </c>
      <c r="N308" s="158" t="n">
        <v>0.0316</v>
      </c>
      <c r="O308" s="158" t="n">
        <v>0.0316</v>
      </c>
      <c r="P308" s="158" t="n">
        <v>0.0316</v>
      </c>
      <c r="Q308" s="158" t="n">
        <v>0.0316</v>
      </c>
      <c r="R308" s="158" t="n">
        <v>0.0316</v>
      </c>
      <c r="S308" s="158" t="n">
        <v>0.0316</v>
      </c>
      <c r="T308" s="52"/>
      <c r="U308" s="158" t="n">
        <v>0.0316</v>
      </c>
      <c r="V308" s="158" t="n">
        <v>0.0316</v>
      </c>
      <c r="W308" s="158" t="n">
        <v>0.0316</v>
      </c>
      <c r="X308" s="52"/>
      <c r="Y308" s="158" t="n">
        <v>0.0316</v>
      </c>
      <c r="Z308" s="174" t="n">
        <v>0.0316</v>
      </c>
    </row>
    <row r="309" customFormat="false" ht="15" hidden="false" customHeight="false" outlineLevel="0" collapsed="false">
      <c r="B309" s="71" t="s">
        <v>301</v>
      </c>
      <c r="C309" s="52"/>
      <c r="D309" s="175" t="s">
        <v>306</v>
      </c>
      <c r="E309" s="175" t="s">
        <v>306</v>
      </c>
      <c r="F309" s="175" t="s">
        <v>306</v>
      </c>
      <c r="G309" s="175" t="s">
        <v>306</v>
      </c>
      <c r="H309" s="175" t="s">
        <v>306</v>
      </c>
      <c r="I309" s="52"/>
      <c r="J309" s="175" t="s">
        <v>306</v>
      </c>
      <c r="K309" s="175" t="s">
        <v>306</v>
      </c>
      <c r="L309" s="175" t="s">
        <v>306</v>
      </c>
      <c r="M309" s="175" t="s">
        <v>306</v>
      </c>
      <c r="N309" s="175" t="s">
        <v>306</v>
      </c>
      <c r="O309" s="175" t="s">
        <v>306</v>
      </c>
      <c r="P309" s="175" t="s">
        <v>306</v>
      </c>
      <c r="Q309" s="175" t="s">
        <v>306</v>
      </c>
      <c r="R309" s="175" t="s">
        <v>306</v>
      </c>
      <c r="S309" s="175" t="s">
        <v>306</v>
      </c>
      <c r="T309" s="52"/>
      <c r="U309" s="175" t="s">
        <v>306</v>
      </c>
      <c r="V309" s="175" t="s">
        <v>306</v>
      </c>
      <c r="W309" s="175" t="s">
        <v>306</v>
      </c>
      <c r="X309" s="52"/>
      <c r="Y309" s="175" t="s">
        <v>306</v>
      </c>
      <c r="Z309" s="176" t="s">
        <v>306</v>
      </c>
    </row>
    <row r="310" customFormat="false" ht="15" hidden="false" customHeight="false" outlineLevel="0" collapsed="false">
      <c r="B310" s="71" t="s">
        <v>307</v>
      </c>
      <c r="C310" s="162" t="n">
        <f aca="false">C300</f>
        <v>1195758.50994293</v>
      </c>
      <c r="D310" s="164" t="n">
        <f aca="false">D300</f>
        <v>233578.235164767</v>
      </c>
      <c r="E310" s="164" t="n">
        <f aca="false">E300</f>
        <v>16326.3566364145</v>
      </c>
      <c r="F310" s="164" t="n">
        <f aca="false">F300</f>
        <v>9945.67427194234</v>
      </c>
      <c r="G310" s="164" t="n">
        <f aca="false">G300</f>
        <v>4165.13062002385</v>
      </c>
      <c r="H310" s="164" t="n">
        <f aca="false">H300</f>
        <v>925.608819842882</v>
      </c>
      <c r="I310" s="163" t="n">
        <f aca="false">I300</f>
        <v>264941.005512991</v>
      </c>
      <c r="J310" s="164" t="n">
        <f aca="false">J300</f>
        <v>193164.839713884</v>
      </c>
      <c r="K310" s="164" t="n">
        <f aca="false">K300</f>
        <v>40402.187531551</v>
      </c>
      <c r="L310" s="164" t="n">
        <f aca="false">L300</f>
        <v>233626.087024188</v>
      </c>
      <c r="M310" s="164" t="n">
        <f aca="false">M300</f>
        <v>22271.5490322046</v>
      </c>
      <c r="N310" s="164" t="n">
        <f aca="false">N300</f>
        <v>24630.6699935242</v>
      </c>
      <c r="O310" s="164" t="n">
        <f aca="false">O300</f>
        <v>18049.3623658999</v>
      </c>
      <c r="P310" s="164" t="n">
        <f aca="false">P300</f>
        <v>11115.071181657</v>
      </c>
      <c r="Q310" s="164" t="n">
        <f aca="false">Q300</f>
        <v>20067.046591715</v>
      </c>
      <c r="R310" s="164" t="n">
        <f aca="false">R300</f>
        <v>116797.828668824</v>
      </c>
      <c r="S310" s="164" t="n">
        <f aca="false">S300</f>
        <v>2423.36955136946</v>
      </c>
      <c r="T310" s="163" t="n">
        <f aca="false">T300</f>
        <v>682548.011654817</v>
      </c>
      <c r="U310" s="164" t="n">
        <f aca="false">U300</f>
        <v>12623.3194365075</v>
      </c>
      <c r="V310" s="164" t="n">
        <f aca="false">V300</f>
        <v>27419.2154991394</v>
      </c>
      <c r="W310" s="164" t="n">
        <f aca="false">W300</f>
        <v>34745.5956823688</v>
      </c>
      <c r="X310" s="163" t="n">
        <f aca="false">X300</f>
        <v>74788.1306180157</v>
      </c>
      <c r="Y310" s="164" t="n">
        <f aca="false">Y300</f>
        <v>7944.08409092681</v>
      </c>
      <c r="Z310" s="165" t="n">
        <f aca="false">Z300</f>
        <v>165537.278066176</v>
      </c>
    </row>
    <row r="311" customFormat="false" ht="15" hidden="false" customHeight="false" outlineLevel="0" collapsed="false">
      <c r="B311" s="71" t="s">
        <v>308</v>
      </c>
      <c r="C311" s="177" t="n">
        <f aca="false">C310/C310</f>
        <v>1</v>
      </c>
      <c r="D311" s="119" t="n">
        <f aca="false">D310/$C$310</f>
        <v>0.195338969551566</v>
      </c>
      <c r="E311" s="119" t="n">
        <f aca="false">E310/$C$310</f>
        <v>0.0136535567178977</v>
      </c>
      <c r="F311" s="119" t="n">
        <f aca="false">F310/$C$310</f>
        <v>0.00831746058191721</v>
      </c>
      <c r="G311" s="119" t="n">
        <f aca="false">G310/$C$310</f>
        <v>0.0034832540060473</v>
      </c>
      <c r="H311" s="119" t="n">
        <f aca="false">H310/$C$310</f>
        <v>0.000774076715445714</v>
      </c>
      <c r="I311" s="178" t="n">
        <f aca="false">I310/$C$310</f>
        <v>0.221567317572874</v>
      </c>
      <c r="J311" s="119" t="n">
        <f aca="false">J310/$C$310</f>
        <v>0.161541680956219</v>
      </c>
      <c r="K311" s="119" t="n">
        <f aca="false">K310/$C$310</f>
        <v>0.0337879155327771</v>
      </c>
      <c r="L311" s="119" t="n">
        <f aca="false">L310/$C$310</f>
        <v>0.195378987547694</v>
      </c>
      <c r="M311" s="119" t="n">
        <f aca="false">M310/$C$310</f>
        <v>0.0186254572700198</v>
      </c>
      <c r="N311" s="119" t="n">
        <f aca="false">N310/$C$310</f>
        <v>0.0205983647941588</v>
      </c>
      <c r="O311" s="119" t="n">
        <f aca="false">O310/$C$310</f>
        <v>0.0150944879052221</v>
      </c>
      <c r="P311" s="119" t="n">
        <f aca="false">P310/$C$310</f>
        <v>0.00929541465875704</v>
      </c>
      <c r="Q311" s="119" t="n">
        <f aca="false">Q310/$C$310</f>
        <v>0.0167818555543232</v>
      </c>
      <c r="R311" s="119" t="n">
        <f aca="false">R310/$C$310</f>
        <v>0.09767676976382</v>
      </c>
      <c r="S311" s="119" t="n">
        <f aca="false">S310/$C$310</f>
        <v>0.00202663792999903</v>
      </c>
      <c r="T311" s="178" t="n">
        <f aca="false">T310/$C$310</f>
        <v>0.570807571912991</v>
      </c>
      <c r="U311" s="119" t="n">
        <f aca="false">U310/$C$310</f>
        <v>0.0105567464764353</v>
      </c>
      <c r="V311" s="119" t="n">
        <f aca="false">V310/$C$310</f>
        <v>0.0229303954528813</v>
      </c>
      <c r="W311" s="119" t="n">
        <f aca="false">W310/$C$310</f>
        <v>0.0290573685183534</v>
      </c>
      <c r="X311" s="178" t="n">
        <f aca="false">X310/$C$310</f>
        <v>0.06254451044767</v>
      </c>
      <c r="Y311" s="119" t="n">
        <f aca="false">Y310/$C$310</f>
        <v>0.00664355220963971</v>
      </c>
      <c r="Z311" s="122" t="n">
        <f aca="false">Z310/$C$310</f>
        <v>0.138437047856826</v>
      </c>
    </row>
    <row r="312" customFormat="false" ht="15" hidden="false" customHeight="false" outlineLevel="0" collapsed="false">
      <c r="B312" s="179" t="s">
        <v>309</v>
      </c>
      <c r="C312" s="180" t="n">
        <f aca="false">SUM(D312:Z312)</f>
        <v>856154.805267902</v>
      </c>
      <c r="D312" s="180" t="n">
        <f aca="false">(D289+D290+D291+D292+D293+D294+D296+D297+D298+D299)*IFERROR(INDEX($D$38:$H$38,MATCH(D$287,$D$36:$H$36,0)),0)</f>
        <v>0</v>
      </c>
      <c r="E312" s="180" t="n">
        <f aca="false">(E289+E290+E291+E292+E293+E294+E296+E297+E298+E299)*IFERROR(INDEX($D$38:$H$38,MATCH(E$287,$D$36:$H$36,0)),0)</f>
        <v>0</v>
      </c>
      <c r="F312" s="180" t="n">
        <f aca="false">(F289+F290+F291+F292+F293+F294+F296+F297+F298+F299)*IFERROR(INDEX($D$38:$H$38,MATCH(F$287,$D$36:$H$36,0)),0)</f>
        <v>9011.30459903707</v>
      </c>
      <c r="G312" s="180" t="n">
        <f aca="false">(G289+G290+G291+G292+G293+G294+G296+G297+G298+G299)*IFERROR(INDEX($D$38:$H$38,MATCH(G$287,$D$36:$H$36,0)),0)</f>
        <v>3773.82766472614</v>
      </c>
      <c r="H312" s="180" t="n">
        <f aca="false">(H289+H290+H291+H292+H293+H294+H296+H297+H298+H299)*IFERROR(INDEX($D$38:$H$38,MATCH(H$287,$D$36:$H$36,0)),0)</f>
        <v>0</v>
      </c>
      <c r="I312" s="58"/>
      <c r="J312" s="180" t="n">
        <f aca="false">(J289+J290+J291+J292+J293+J294+J296+J297+J298+J299)*IFERROR(INDEX($D$38:$H$38,MATCH(J$287,$D$36:$H$36,0)),0)</f>
        <v>175017.516247899</v>
      </c>
      <c r="K312" s="180" t="n">
        <f aca="false">(K289+K290+K291+K292+K293+K294+K296+K297+K298+K299)*IFERROR(INDEX($D$38:$H$38,MATCH(K$287,$D$36:$H$36,0)),0)</f>
        <v>36606.5093586783</v>
      </c>
      <c r="L312" s="180" t="n">
        <f aca="false">(L289+L290+L291+L292+L293+L294+L296+L297+L298+L299)*IFERROR(INDEX($D$38:$H$38,MATCH(L$287,$D$36:$H$36,0)),0)</f>
        <v>211677.536876034</v>
      </c>
      <c r="M312" s="180" t="n">
        <f aca="false">(M289+M290+M291+M292+M293+M294+M296+M297+M298+M299)*IFERROR(INDEX($D$38:$H$38,MATCH(M$287,$D$36:$H$36,0)),0)</f>
        <v>20179.1961745385</v>
      </c>
      <c r="N312" s="180" t="n">
        <f aca="false">(N289+N290+N291+N292+N293+N294+N296+N297+N298+N299)*IFERROR(INDEX($D$38:$H$38,MATCH(N$287,$D$36:$H$36,0)),0)</f>
        <v>22316.6839895574</v>
      </c>
      <c r="O312" s="180" t="n">
        <f aca="false">(O289+O290+O291+O292+O293+O294+O296+O297+O298+O299)*IFERROR(INDEX($D$38:$H$38,MATCH(O$287,$D$36:$H$36,0)),0)</f>
        <v>16353.6727274858</v>
      </c>
      <c r="P312" s="180" t="n">
        <f aca="false">(P289+P290+P291+P292+P293+P294+P296+P297+P298+P299)*IFERROR(INDEX($D$38:$H$38,MATCH(P$287,$D$36:$H$36,0)),0)</f>
        <v>10070.8397760878</v>
      </c>
      <c r="Q312" s="180" t="n">
        <f aca="false">(Q289+Q290+Q291+Q292+Q293+Q294+Q296+Q297+Q298+Q299)*IFERROR(INDEX($D$38:$H$38,MATCH(Q$287,$D$36:$H$36,0)),0)</f>
        <v>18181.8008811279</v>
      </c>
      <c r="R312" s="180" t="n">
        <f aca="false">(R289+R290+R291+R292+R293+R294+R296+R297+R298+R299)*IFERROR(INDEX($D$38:$H$38,MATCH(R$287,$D$36:$H$36,0)),0)</f>
        <v>105824.982988847</v>
      </c>
      <c r="S312" s="180" t="n">
        <f aca="false">(S289+S290+S291+S292+S293+S294+S296+S297+S298+S299)*IFERROR(INDEX($D$38:$H$38,MATCH(S$287,$D$36:$H$36,0)),0)</f>
        <v>2195.70042073751</v>
      </c>
      <c r="T312" s="58"/>
      <c r="U312" s="180" t="n">
        <f aca="false">(U289+U290+U291+U292+U293+U294+U296+U297+U298+U299)*IFERROR(INDEX($D$38:$H$38,MATCH(U$287,$D$36:$H$36,0)),0)</f>
        <v>11437.3921147026</v>
      </c>
      <c r="V312" s="180" t="n">
        <f aca="false">(V289+V290+V291+V292+V293+V294+V296+V297+V298+V299)*IFERROR(INDEX($D$38:$H$38,MATCH(V$287,$D$36:$H$36,0)),0)</f>
        <v>24843.2530538857</v>
      </c>
      <c r="W312" s="180" t="n">
        <f aca="false">(W289+W290+W291+W292+W293+W294+W296+W297+W298+W299)*IFERROR(INDEX($D$38:$H$38,MATCH(W$287,$D$36:$H$36,0)),0)</f>
        <v>31481.3392845676</v>
      </c>
      <c r="X312" s="58"/>
      <c r="Y312" s="180" t="n">
        <f aca="false">(Y289+Y290+Y291+Y292+Y293+Y294+Y296+Y297+Y298+Y299)*1</f>
        <v>7197.75849744629</v>
      </c>
      <c r="Z312" s="181" t="n">
        <f aca="false">(Z289+Z290+Z291+Z292+Z293+Z294+Z296+Z297+Z298+Z299)*1</f>
        <v>149985.490612542</v>
      </c>
    </row>
    <row r="314" customFormat="false" ht="15" hidden="false" customHeight="false" outlineLevel="0" collapsed="false">
      <c r="B314" s="32" t="s">
        <v>310</v>
      </c>
    </row>
    <row r="315" customFormat="false" ht="15" hidden="false" customHeight="false" outlineLevel="0" collapsed="false">
      <c r="C315" s="182" t="s">
        <v>311</v>
      </c>
      <c r="D315" s="182"/>
      <c r="E315" s="182"/>
      <c r="F315" s="182"/>
      <c r="G315" s="182"/>
      <c r="H315" s="182"/>
      <c r="I315" s="182" t="s">
        <v>312</v>
      </c>
      <c r="J315" s="182"/>
      <c r="K315" s="182"/>
      <c r="L315" s="182"/>
      <c r="M315" s="182"/>
      <c r="N315" s="182"/>
      <c r="O315" s="182" t="s">
        <v>313</v>
      </c>
      <c r="P315" s="182"/>
      <c r="Q315" s="182"/>
      <c r="R315" s="182"/>
      <c r="S315" s="182"/>
      <c r="T315" s="182"/>
    </row>
    <row r="316" customFormat="false" ht="15" hidden="false" customHeight="false" outlineLevel="0" collapsed="false">
      <c r="B316" s="161" t="s">
        <v>294</v>
      </c>
      <c r="C316" s="112" t="s">
        <v>156</v>
      </c>
      <c r="D316" s="183" t="s">
        <v>122</v>
      </c>
      <c r="E316" s="184" t="s">
        <v>123</v>
      </c>
      <c r="F316" s="185" t="s">
        <v>124</v>
      </c>
      <c r="G316" s="186" t="s">
        <v>125</v>
      </c>
      <c r="H316" s="187" t="s">
        <v>126</v>
      </c>
      <c r="I316" s="112" t="s">
        <v>156</v>
      </c>
      <c r="J316" s="183" t="s">
        <v>122</v>
      </c>
      <c r="K316" s="184" t="s">
        <v>123</v>
      </c>
      <c r="L316" s="185" t="s">
        <v>124</v>
      </c>
      <c r="M316" s="186" t="s">
        <v>125</v>
      </c>
      <c r="N316" s="187" t="s">
        <v>126</v>
      </c>
      <c r="O316" s="112" t="s">
        <v>156</v>
      </c>
      <c r="P316" s="183" t="s">
        <v>122</v>
      </c>
      <c r="Q316" s="184" t="s">
        <v>123</v>
      </c>
      <c r="R316" s="185" t="s">
        <v>124</v>
      </c>
      <c r="S316" s="186" t="s">
        <v>125</v>
      </c>
      <c r="T316" s="188" t="s">
        <v>126</v>
      </c>
    </row>
    <row r="317" customFormat="false" ht="15" hidden="false" customHeight="false" outlineLevel="0" collapsed="false">
      <c r="B317" s="71" t="s">
        <v>132</v>
      </c>
      <c r="C317" s="189" t="n">
        <f aca="false">SUM(D317:H317)</f>
        <v>81811.424475</v>
      </c>
      <c r="D317" s="76" t="n">
        <f aca="false">$E$60</f>
        <v>23008.1742</v>
      </c>
      <c r="E317" s="76" t="n">
        <f aca="false">$E$61</f>
        <v>13519.907775</v>
      </c>
      <c r="F317" s="76" t="n">
        <f aca="false">$E$62</f>
        <v>21288.22575</v>
      </c>
      <c r="G317" s="76" t="n">
        <f aca="false">$E$63</f>
        <v>14046.003675</v>
      </c>
      <c r="H317" s="76" t="n">
        <f aca="false">$E$64</f>
        <v>9949.113075</v>
      </c>
      <c r="I317" s="189" t="n">
        <f aca="false">SUM(J317:N317)</f>
        <v>81811.424475</v>
      </c>
      <c r="J317" s="76" t="n">
        <f aca="false">$E$60</f>
        <v>23008.1742</v>
      </c>
      <c r="K317" s="76" t="n">
        <f aca="false">$E$61</f>
        <v>13519.907775</v>
      </c>
      <c r="L317" s="76" t="n">
        <f aca="false">$E$62</f>
        <v>21288.22575</v>
      </c>
      <c r="M317" s="76" t="n">
        <f aca="false">$E$63</f>
        <v>14046.003675</v>
      </c>
      <c r="N317" s="76" t="n">
        <f aca="false">$E$64</f>
        <v>9949.113075</v>
      </c>
      <c r="O317" s="189" t="n">
        <f aca="false">SUM(P317:T317)</f>
        <v>81811.424475</v>
      </c>
      <c r="P317" s="76" t="n">
        <f aca="false">$E$60</f>
        <v>23008.1742</v>
      </c>
      <c r="Q317" s="76" t="n">
        <f aca="false">$E$61</f>
        <v>13519.907775</v>
      </c>
      <c r="R317" s="76" t="n">
        <f aca="false">$E$62</f>
        <v>21288.22575</v>
      </c>
      <c r="S317" s="76" t="n">
        <f aca="false">$E$63</f>
        <v>14046.003675</v>
      </c>
      <c r="T317" s="79" t="n">
        <f aca="false">$E$64</f>
        <v>9949.113075</v>
      </c>
    </row>
    <row r="318" customFormat="false" ht="15" hidden="false" customHeight="false" outlineLevel="0" collapsed="false">
      <c r="B318" s="71" t="s">
        <v>22</v>
      </c>
      <c r="C318" s="164" t="n">
        <f aca="false">SUM(D318:H318)</f>
        <v>470945.0654896</v>
      </c>
      <c r="D318" s="157" t="n">
        <f aca="false">SUMIF($D$67:$W$67,"시니어 레지던스",$D$289:$W$289)</f>
        <v>139129.0519185</v>
      </c>
      <c r="E318" s="157" t="n">
        <f aca="false">SUMIF($D$67:$W$67,"레지던스",$D$289:$W$289)</f>
        <v>82690.0065888</v>
      </c>
      <c r="F318" s="157" t="n">
        <f aca="false">SUMIF($D$67:$W$67,"호텔",$D$289:$W$289)</f>
        <v>125338.9725261</v>
      </c>
      <c r="G318" s="157" t="n">
        <f aca="false">SUMIF($D$67:$W$67,"오피스",$D$289:$W$289)</f>
        <v>78811.0152636</v>
      </c>
      <c r="H318" s="157" t="n">
        <f aca="false">SUMIF($D$67:$W$67,"부대시설",$D$289:$W$289)</f>
        <v>44976.0191926</v>
      </c>
      <c r="I318" s="164" t="n">
        <f aca="false">$Y$289+$Z$289</f>
        <v>125893.927318895</v>
      </c>
      <c r="J318" s="157" t="n">
        <f aca="false">$I318*D$317/$C$317</f>
        <v>35405.6836079222</v>
      </c>
      <c r="K318" s="157" t="n">
        <f aca="false">$I318*E$317/$C$317</f>
        <v>20804.848439036</v>
      </c>
      <c r="L318" s="157" t="n">
        <f aca="false">$I318*F$317/$C$317</f>
        <v>32758.9742204978</v>
      </c>
      <c r="M318" s="157" t="n">
        <f aca="false">$I318*G$317/$C$317</f>
        <v>21614.420933616</v>
      </c>
      <c r="N318" s="157" t="n">
        <f aca="false">$I318*H$317/$C$317</f>
        <v>15310.000117823</v>
      </c>
      <c r="O318" s="164" t="n">
        <f aca="false">SUM(P318:T318)</f>
        <v>596838.992808495</v>
      </c>
      <c r="P318" s="157" t="n">
        <f aca="false">D318+J318</f>
        <v>174534.735526422</v>
      </c>
      <c r="Q318" s="157" t="n">
        <f aca="false">E318+K318</f>
        <v>103494.855027836</v>
      </c>
      <c r="R318" s="157" t="n">
        <f aca="false">F318+L318</f>
        <v>158097.946746598</v>
      </c>
      <c r="S318" s="157" t="n">
        <f aca="false">G318+M318</f>
        <v>100425.436197216</v>
      </c>
      <c r="T318" s="137" t="n">
        <f aca="false">H318+N318</f>
        <v>60286.019310423</v>
      </c>
    </row>
    <row r="319" customFormat="false" ht="15" hidden="false" customHeight="false" outlineLevel="0" collapsed="false">
      <c r="B319" s="71" t="s">
        <v>295</v>
      </c>
      <c r="C319" s="164" t="n">
        <f aca="false">SUM(D319:H319)</f>
        <v>24798.555628</v>
      </c>
      <c r="D319" s="157" t="n">
        <f aca="false">SUMIF($D$67:$W$67,"시니어 레지던스",$D$290:$W$290)</f>
        <v>6974.220568</v>
      </c>
      <c r="E319" s="157" t="n">
        <f aca="false">SUMIF($D$67:$W$67,"레지던스",$D$290:$W$290)</f>
        <v>4098.064432</v>
      </c>
      <c r="F319" s="157" t="n">
        <f aca="false">SUMIF($D$67:$W$67,"호텔",$D$290:$W$290)</f>
        <v>6452.881344</v>
      </c>
      <c r="G319" s="157" t="n">
        <f aca="false">SUMIF($D$67:$W$67,"오피스",$D$290:$W$290)</f>
        <v>4257.619114</v>
      </c>
      <c r="H319" s="157" t="n">
        <f aca="false">SUMIF($D$67:$W$67,"부대시설",$D$290:$W$290)</f>
        <v>3015.77017</v>
      </c>
      <c r="I319" s="164" t="n">
        <f aca="false">$Y$290+$Z$290</f>
        <v>9676.778645765</v>
      </c>
      <c r="J319" s="157" t="n">
        <f aca="false">$I319*D$317/$C$317</f>
        <v>2721.44153711243</v>
      </c>
      <c r="K319" s="157" t="n">
        <f aca="false">$I319*E$317/$C$317</f>
        <v>1599.15507753824</v>
      </c>
      <c r="L319" s="157" t="n">
        <f aca="false">$I319*F$317/$C$317</f>
        <v>2518.00344103255</v>
      </c>
      <c r="M319" s="157" t="n">
        <f aca="false">$I319*G$317/$C$317</f>
        <v>1661.38249386076</v>
      </c>
      <c r="N319" s="157" t="n">
        <f aca="false">$I319*H$317/$C$317</f>
        <v>1176.79609622103</v>
      </c>
      <c r="O319" s="164" t="n">
        <f aca="false">SUM(P319:T319)</f>
        <v>34475.334273765</v>
      </c>
      <c r="P319" s="157" t="n">
        <f aca="false">D319+J319</f>
        <v>9695.66210511243</v>
      </c>
      <c r="Q319" s="157" t="n">
        <f aca="false">E319+K319</f>
        <v>5697.21950953824</v>
      </c>
      <c r="R319" s="157" t="n">
        <f aca="false">F319+L319</f>
        <v>8970.88478503255</v>
      </c>
      <c r="S319" s="157" t="n">
        <f aca="false">G319+M319</f>
        <v>5919.00160786076</v>
      </c>
      <c r="T319" s="137" t="n">
        <f aca="false">H319+N319</f>
        <v>4192.56626622103</v>
      </c>
    </row>
    <row r="320" customFormat="false" ht="15" hidden="false" customHeight="false" outlineLevel="0" collapsed="false">
      <c r="B320" s="71" t="s">
        <v>296</v>
      </c>
      <c r="C320" s="164" t="n">
        <f aca="false">SUM(D320:H320)</f>
        <v>315029.1045658</v>
      </c>
      <c r="D320" s="157" t="n">
        <f aca="false">SUMIF($D$67:$W$67,"시니어 레지던스",$D$291:$W$291)</f>
        <v>68636.067594</v>
      </c>
      <c r="E320" s="157" t="n">
        <f aca="false">SUMIF($D$67:$W$67,"레지던스",$D$291:$W$291)</f>
        <v>96047.0300448</v>
      </c>
      <c r="F320" s="157" t="n">
        <f aca="false">SUMIF($D$67:$W$67,"호텔",$D$291:$W$291)</f>
        <v>113368.9984882</v>
      </c>
      <c r="G320" s="157" t="n">
        <f aca="false">SUMIF($D$67:$W$67,"오피스",$D$291:$W$291)</f>
        <v>12124.0099298</v>
      </c>
      <c r="H320" s="157" t="n">
        <f aca="false">SUMIF($D$67:$W$67,"부대시설",$D$291:$W$291)</f>
        <v>24852.998509</v>
      </c>
      <c r="I320" s="164" t="n">
        <f aca="false">$Y$291+$Z$291</f>
        <v>0</v>
      </c>
      <c r="J320" s="157" t="n">
        <f aca="false">$I320*D$317/$C$317</f>
        <v>0</v>
      </c>
      <c r="K320" s="157" t="n">
        <f aca="false">$I320*E$317/$C$317</f>
        <v>0</v>
      </c>
      <c r="L320" s="157" t="n">
        <f aca="false">$I320*F$317/$C$317</f>
        <v>0</v>
      </c>
      <c r="M320" s="157" t="n">
        <f aca="false">$I320*G$317/$C$317</f>
        <v>0</v>
      </c>
      <c r="N320" s="157" t="n">
        <f aca="false">$I320*H$317/$C$317</f>
        <v>0</v>
      </c>
      <c r="O320" s="164" t="n">
        <f aca="false">SUM(P320:T320)</f>
        <v>315029.1045658</v>
      </c>
      <c r="P320" s="157" t="n">
        <f aca="false">D320+J320</f>
        <v>68636.067594</v>
      </c>
      <c r="Q320" s="157" t="n">
        <f aca="false">E320+K320</f>
        <v>96047.0300448</v>
      </c>
      <c r="R320" s="157" t="n">
        <f aca="false">F320+L320</f>
        <v>113368.9984882</v>
      </c>
      <c r="S320" s="157" t="n">
        <f aca="false">G320+M320</f>
        <v>12124.0099298</v>
      </c>
      <c r="T320" s="137" t="n">
        <f aca="false">H320+N320</f>
        <v>24852.998509</v>
      </c>
    </row>
    <row r="321" customFormat="false" ht="15" hidden="false" customHeight="false" outlineLevel="0" collapsed="false">
      <c r="B321" s="64" t="s">
        <v>297</v>
      </c>
      <c r="C321" s="164" t="n">
        <f aca="false">SUM(D321:H321)</f>
        <v>39526.035727</v>
      </c>
      <c r="D321" s="157" t="n">
        <f aca="false">SUMIF($D$67:$W$67,"시니어 레지던스",$D$292:$W$292)</f>
        <v>8327.001447</v>
      </c>
      <c r="E321" s="157" t="n">
        <f aca="false">SUMIF($D$67:$W$67,"레지던스",$D$292:$W$292)</f>
        <v>5499.03428</v>
      </c>
      <c r="F321" s="157" t="n">
        <f aca="false">SUMIF($D$67:$W$67,"호텔",$D$292:$W$292)</f>
        <v>25700</v>
      </c>
      <c r="G321" s="157" t="n">
        <f aca="false">SUMIF($D$67:$W$67,"오피스",$D$292:$W$292)</f>
        <v>0</v>
      </c>
      <c r="H321" s="157" t="n">
        <f aca="false">SUMIF($D$67:$W$67,"부대시설",$D$292:$W$292)</f>
        <v>0</v>
      </c>
      <c r="I321" s="164" t="n">
        <f aca="false">$Y$292+$Z$292</f>
        <v>0</v>
      </c>
      <c r="J321" s="157" t="n">
        <f aca="false">$I321*D$317/$C$317</f>
        <v>0</v>
      </c>
      <c r="K321" s="157" t="n">
        <f aca="false">$I321*E$317/$C$317</f>
        <v>0</v>
      </c>
      <c r="L321" s="157" t="n">
        <f aca="false">$I321*F$317/$C$317</f>
        <v>0</v>
      </c>
      <c r="M321" s="157" t="n">
        <f aca="false">$I321*G$317/$C$317</f>
        <v>0</v>
      </c>
      <c r="N321" s="157" t="n">
        <f aca="false">$I321*H$317/$C$317</f>
        <v>0</v>
      </c>
      <c r="O321" s="164" t="n">
        <f aca="false">SUM(P321:T321)</f>
        <v>39526.035727</v>
      </c>
      <c r="P321" s="157" t="n">
        <f aca="false">D321+J321</f>
        <v>8327.001447</v>
      </c>
      <c r="Q321" s="157" t="n">
        <f aca="false">E321+K321</f>
        <v>5499.03428</v>
      </c>
      <c r="R321" s="157" t="n">
        <f aca="false">F321+L321</f>
        <v>25700</v>
      </c>
      <c r="S321" s="157" t="n">
        <f aca="false">G321+M321</f>
        <v>0</v>
      </c>
      <c r="T321" s="137" t="n">
        <f aca="false">H321+N321</f>
        <v>0</v>
      </c>
    </row>
    <row r="322" customFormat="false" ht="15" hidden="false" customHeight="false" outlineLevel="0" collapsed="false">
      <c r="B322" s="71" t="s">
        <v>298</v>
      </c>
      <c r="C322" s="164" t="n">
        <f aca="false">SUM(D322:H322)</f>
        <v>5296.3218</v>
      </c>
      <c r="D322" s="157" t="n">
        <f aca="false">SUMIF($D$67:$W$67,"시니어 레지던스",$D$293:$W$293)</f>
        <v>1489.5108</v>
      </c>
      <c r="E322" s="157" t="n">
        <f aca="false">SUMIF($D$67:$W$67,"레지던스",$D$293:$W$293)</f>
        <v>875.2392</v>
      </c>
      <c r="F322" s="157" t="n">
        <f aca="false">SUMIF($D$67:$W$67,"호텔",$D$293:$W$293)</f>
        <v>1378.1664</v>
      </c>
      <c r="G322" s="157" t="n">
        <f aca="false">SUMIF($D$67:$W$67,"오피스",$D$293:$W$293)</f>
        <v>909.3159</v>
      </c>
      <c r="H322" s="157" t="n">
        <f aca="false">SUMIF($D$67:$W$67,"부대시설",$D$293:$W$293)</f>
        <v>644.0895</v>
      </c>
      <c r="I322" s="164" t="n">
        <f aca="false">$Y$293+$Z$293</f>
        <v>2066.70640275</v>
      </c>
      <c r="J322" s="157" t="n">
        <f aca="false">$I322*D$317/$C$317</f>
        <v>581.228614950447</v>
      </c>
      <c r="K322" s="157" t="n">
        <f aca="false">$I322*E$317/$C$317</f>
        <v>341.537629279642</v>
      </c>
      <c r="L322" s="157" t="n">
        <f aca="false">$I322*F$317/$C$317</f>
        <v>537.779567377621</v>
      </c>
      <c r="M322" s="157" t="n">
        <f aca="false">$I322*G$317/$C$317</f>
        <v>354.82777514824</v>
      </c>
      <c r="N322" s="157" t="n">
        <f aca="false">$I322*H$317/$C$317</f>
        <v>251.332815994049</v>
      </c>
      <c r="O322" s="164" t="n">
        <f aca="false">SUM(P322:T322)</f>
        <v>7363.02820275</v>
      </c>
      <c r="P322" s="157" t="n">
        <f aca="false">D322+J322</f>
        <v>2070.73941495045</v>
      </c>
      <c r="Q322" s="157" t="n">
        <f aca="false">E322+K322</f>
        <v>1216.77682927964</v>
      </c>
      <c r="R322" s="157" t="n">
        <f aca="false">F322+L322</f>
        <v>1915.94596737762</v>
      </c>
      <c r="S322" s="157" t="n">
        <f aca="false">G322+M322</f>
        <v>1264.14367514824</v>
      </c>
      <c r="T322" s="137" t="n">
        <f aca="false">H322+N322</f>
        <v>895.422315994049</v>
      </c>
    </row>
    <row r="323" customFormat="false" ht="15" hidden="false" customHeight="false" outlineLevel="0" collapsed="false">
      <c r="B323" s="71" t="s">
        <v>299</v>
      </c>
      <c r="C323" s="164" t="n">
        <f aca="false">SUM(D323:H323)</f>
        <v>25262.8133960614</v>
      </c>
      <c r="D323" s="157" t="n">
        <f aca="false">SUMIF($D$67:$W$67,"시니어 레지던스",$D$294:$W$294)</f>
        <v>5321.97370016175</v>
      </c>
      <c r="E323" s="157" t="n">
        <f aca="false">SUMIF($D$67:$W$67,"레지던스",$D$294:$W$294)</f>
        <v>5979.01623564096</v>
      </c>
      <c r="F323" s="157" t="n">
        <f aca="false">SUMIF($D$67:$W$67,"호텔",$D$294:$W$294)</f>
        <v>8602.75299276228</v>
      </c>
      <c r="G323" s="157" t="n">
        <f aca="false">SUMIF($D$67:$W$67,"오피스",$D$294:$W$294)</f>
        <v>3036.82194255384</v>
      </c>
      <c r="H323" s="157" t="n">
        <f aca="false">SUMIF($D$67:$W$67,"부대시설",$D$294:$W$294)</f>
        <v>2322.24852494256</v>
      </c>
      <c r="I323" s="164" t="n">
        <f aca="false">$Y$294+$Z$294</f>
        <v>4349.34223081015</v>
      </c>
      <c r="J323" s="157" t="n">
        <f aca="false">$I323*D$317/$C$317</f>
        <v>1223.18397881553</v>
      </c>
      <c r="K323" s="157" t="n">
        <f aca="false">$I323*E$317/$C$317</f>
        <v>718.759100208981</v>
      </c>
      <c r="L323" s="157" t="n">
        <f aca="false">$I323*F$317/$C$317</f>
        <v>1131.74632843349</v>
      </c>
      <c r="M323" s="157" t="n">
        <f aca="false">$I323*G$317/$C$317</f>
        <v>746.727946002949</v>
      </c>
      <c r="N323" s="157" t="n">
        <f aca="false">$I323*H$317/$C$317</f>
        <v>528.924877349203</v>
      </c>
      <c r="O323" s="164" t="n">
        <f aca="false">SUM(P323:T323)</f>
        <v>29612.1556268715</v>
      </c>
      <c r="P323" s="157" t="n">
        <f aca="false">D323+J323</f>
        <v>6545.15767897728</v>
      </c>
      <c r="Q323" s="157" t="n">
        <f aca="false">E323+K323</f>
        <v>6697.77533584994</v>
      </c>
      <c r="R323" s="157" t="n">
        <f aca="false">F323+L323</f>
        <v>9734.49932119577</v>
      </c>
      <c r="S323" s="157" t="n">
        <f aca="false">G323+M323</f>
        <v>3783.54988855679</v>
      </c>
      <c r="T323" s="137" t="n">
        <f aca="false">H323+N323</f>
        <v>2851.17340229176</v>
      </c>
    </row>
    <row r="324" customFormat="false" ht="15" hidden="false" customHeight="false" outlineLevel="0" collapsed="false">
      <c r="B324" s="71" t="s">
        <v>300</v>
      </c>
      <c r="C324" s="164" t="n">
        <f aca="false">SUM(D324:H324)</f>
        <v>72475.3910068857</v>
      </c>
      <c r="D324" s="157" t="n">
        <f aca="false">SUMIF($D$67:$W$67,"시니어 레지던스",$D$295:$W$295)</f>
        <v>0</v>
      </c>
      <c r="E324" s="157" t="n">
        <f aca="false">SUMIF($D$67:$W$67,"레지던스",$D$295:$W$295)</f>
        <v>21943.0016388575</v>
      </c>
      <c r="F324" s="157" t="n">
        <f aca="false">SUMIF($D$67:$W$67,"호텔",$D$295:$W$295)</f>
        <v>31207.724894989</v>
      </c>
      <c r="G324" s="157" t="n">
        <f aca="false">SUMIF($D$67:$W$67,"오피스",$D$295:$W$295)</f>
        <v>10972.8456799764</v>
      </c>
      <c r="H324" s="157" t="n">
        <f aca="false">SUMIF($D$67:$W$67,"부대시설",$D$295:$W$295)</f>
        <v>8351.81879306274</v>
      </c>
      <c r="I324" s="164" t="n">
        <f aca="false">$Y$295+$Z$295</f>
        <v>16298.1130471143</v>
      </c>
      <c r="J324" s="157" t="n">
        <f aca="false">IFERROR($I324*D$317*$D$38/$I$39,0)</f>
        <v>0</v>
      </c>
      <c r="K324" s="157" t="n">
        <f aca="false">IFERROR($I324*E$317*$E$38/$I$39,0)</f>
        <v>3747.22458831822</v>
      </c>
      <c r="L324" s="157" t="n">
        <f aca="false">IFERROR($I324*F$317*$F$38/$I$39,0)</f>
        <v>5900.31857462645</v>
      </c>
      <c r="M324" s="157" t="n">
        <f aca="false">IFERROR($I324*G$317*$G$38/$I$39,0)</f>
        <v>3893.03915488936</v>
      </c>
      <c r="N324" s="157" t="n">
        <f aca="false">IFERROR($I324*H$317*$H$38/$I$39,0)</f>
        <v>2757.53072928031</v>
      </c>
      <c r="O324" s="164" t="n">
        <f aca="false">SUM(P324:T324)</f>
        <v>88773.504054</v>
      </c>
      <c r="P324" s="157" t="n">
        <f aca="false">D324+J324</f>
        <v>0</v>
      </c>
      <c r="Q324" s="157" t="n">
        <f aca="false">E324+K324</f>
        <v>25690.2262271758</v>
      </c>
      <c r="R324" s="157" t="n">
        <f aca="false">F324+L324</f>
        <v>37108.0434696154</v>
      </c>
      <c r="S324" s="157" t="n">
        <f aca="false">G324+M324</f>
        <v>14865.8848348657</v>
      </c>
      <c r="T324" s="137" t="n">
        <f aca="false">H324+N324</f>
        <v>11109.3495223431</v>
      </c>
    </row>
    <row r="325" customFormat="false" ht="15" hidden="false" customHeight="false" outlineLevel="0" collapsed="false">
      <c r="B325" s="71" t="s">
        <v>301</v>
      </c>
      <c r="C325" s="164" t="n">
        <f aca="false">SUM(D325:H325)</f>
        <v>30000</v>
      </c>
      <c r="D325" s="157" t="n">
        <f aca="false">SUMIF($D$67:$W$67,"시니어 레지던스",$D$296:$W$296)</f>
        <v>10000</v>
      </c>
      <c r="E325" s="157" t="n">
        <f aca="false">SUMIF($D$67:$W$67,"레지던스",$D$296:$W$296)</f>
        <v>10000</v>
      </c>
      <c r="F325" s="157" t="n">
        <f aca="false">SUMIF($D$67:$W$67,"호텔",$D$296:$W$296)</f>
        <v>10000</v>
      </c>
      <c r="G325" s="157" t="n">
        <f aca="false">SUMIF($D$67:$W$67,"오피스",$D$296:$W$296)</f>
        <v>0</v>
      </c>
      <c r="H325" s="157" t="n">
        <f aca="false">SUMIF($D$67:$W$67,"부대시설",$D$296:$W$296)</f>
        <v>0</v>
      </c>
      <c r="I325" s="164" t="n">
        <f aca="false">$Y$296+$Z$296</f>
        <v>0</v>
      </c>
      <c r="J325" s="157" t="n">
        <f aca="false">$I325*D$317/$C$317</f>
        <v>0</v>
      </c>
      <c r="K325" s="157" t="n">
        <f aca="false">$I325*E$317/$C$317</f>
        <v>0</v>
      </c>
      <c r="L325" s="157" t="n">
        <f aca="false">$I325*F$317/$C$317</f>
        <v>0</v>
      </c>
      <c r="M325" s="157" t="n">
        <f aca="false">$I325*G$317/$C$317</f>
        <v>0</v>
      </c>
      <c r="N325" s="157" t="n">
        <f aca="false">$I325*H$317/$C$317</f>
        <v>0</v>
      </c>
      <c r="O325" s="164" t="n">
        <f aca="false">SUM(P325:T325)</f>
        <v>30000</v>
      </c>
      <c r="P325" s="157" t="n">
        <f aca="false">D325+J325</f>
        <v>10000</v>
      </c>
      <c r="Q325" s="157" t="n">
        <f aca="false">E325+K325</f>
        <v>10000</v>
      </c>
      <c r="R325" s="157" t="n">
        <f aca="false">F325+L325</f>
        <v>10000</v>
      </c>
      <c r="S325" s="157" t="n">
        <f aca="false">G325+M325</f>
        <v>0</v>
      </c>
      <c r="T325" s="137" t="n">
        <f aca="false">H325+N325</f>
        <v>0</v>
      </c>
    </row>
    <row r="326" customFormat="false" ht="15" hidden="false" customHeight="false" outlineLevel="0" collapsed="false">
      <c r="B326" s="71" t="s">
        <v>302</v>
      </c>
      <c r="C326" s="164" t="n">
        <f aca="false">SUM(D326:H326)</f>
        <v>2752.60138918856</v>
      </c>
      <c r="D326" s="157" t="n">
        <f aca="false">SUMIF($D$67:$W$67,"시니어 레지던스",$D$297:$W$297)</f>
        <v>774.12771582183</v>
      </c>
      <c r="E326" s="157" t="n">
        <f aca="false">SUMIF($D$67:$W$67,"레지던스",$D$297:$W$297)</f>
        <v>454.878825110718</v>
      </c>
      <c r="F326" s="157" t="n">
        <f aca="false">SUMIF($D$67:$W$67,"호텔",$D$297:$W$297)</f>
        <v>716.259866833053</v>
      </c>
      <c r="G326" s="157" t="n">
        <f aca="false">SUMIF($D$67:$W$67,"오피스",$D$297:$W$297)</f>
        <v>472.589148482489</v>
      </c>
      <c r="H326" s="157" t="n">
        <f aca="false">SUMIF($D$67:$W$67,"부대시설",$D$297:$W$297)</f>
        <v>334.745832940469</v>
      </c>
      <c r="I326" s="164" t="n">
        <f aca="false">$Y$297+$Z$297</f>
        <v>1074.1074900801</v>
      </c>
      <c r="J326" s="157" t="n">
        <f aca="false">$I326*D$317/$C$317</f>
        <v>302.075809092405</v>
      </c>
      <c r="K326" s="157" t="n">
        <f aca="false">$I326*E$317/$C$317</f>
        <v>177.503744733809</v>
      </c>
      <c r="L326" s="157" t="n">
        <f aca="false">$I326*F$317/$C$317</f>
        <v>279.494494507653</v>
      </c>
      <c r="M326" s="157" t="n">
        <f aca="false">$I326*G$317/$C$317</f>
        <v>184.410891875137</v>
      </c>
      <c r="N326" s="157" t="n">
        <f aca="false">$I326*H$317/$C$317</f>
        <v>130.6225498711</v>
      </c>
      <c r="O326" s="164" t="n">
        <f aca="false">SUM(P326:T326)</f>
        <v>3826.70887926866</v>
      </c>
      <c r="P326" s="157" t="n">
        <f aca="false">D326+J326</f>
        <v>1076.20352491423</v>
      </c>
      <c r="Q326" s="157" t="n">
        <f aca="false">E326+K326</f>
        <v>632.382569844527</v>
      </c>
      <c r="R326" s="157" t="n">
        <f aca="false">F326+L326</f>
        <v>995.754361340705</v>
      </c>
      <c r="S326" s="157" t="n">
        <f aca="false">G326+M326</f>
        <v>657.000040357626</v>
      </c>
      <c r="T326" s="137" t="n">
        <f aca="false">H326+N326</f>
        <v>465.368382811569</v>
      </c>
    </row>
    <row r="327" customFormat="false" ht="15" hidden="false" customHeight="false" outlineLevel="0" collapsed="false">
      <c r="B327" s="71" t="s">
        <v>303</v>
      </c>
      <c r="C327" s="164" t="n">
        <f aca="false">SUM(D327:H327)</f>
        <v>15510.5262350971</v>
      </c>
      <c r="D327" s="157" t="n">
        <f aca="false">SUMIF($D$67:$W$67,"시니어 레지던스",$D$298:$W$298)</f>
        <v>4362.10208013803</v>
      </c>
      <c r="E327" s="157" t="n">
        <f aca="false">SUMIF($D$67:$W$67,"레지던스",$D$298:$W$298)</f>
        <v>2563.17895441802</v>
      </c>
      <c r="F327" s="157" t="n">
        <f aca="false">SUMIF($D$67:$W$67,"호텔",$D$298:$W$298)</f>
        <v>4036.02479432599</v>
      </c>
      <c r="G327" s="157" t="n">
        <f aca="false">SUMIF($D$67:$W$67,"오피스",$D$298:$W$298)</f>
        <v>2662.97416500276</v>
      </c>
      <c r="H327" s="157" t="n">
        <f aca="false">SUMIF($D$67:$W$67,"부대시설",$D$298:$W$298)</f>
        <v>1886.24624121226</v>
      </c>
      <c r="I327" s="164" t="n">
        <f aca="false">$Y$298+$Z$298</f>
        <v>6052.4464129232</v>
      </c>
      <c r="J327" s="157" t="n">
        <f aca="false">$I327*D$317/$C$317</f>
        <v>1702.15519774082</v>
      </c>
      <c r="K327" s="157" t="n">
        <f aca="false">$I327*E$317/$C$317</f>
        <v>1000.20892975475</v>
      </c>
      <c r="L327" s="157" t="n">
        <f aca="false">$I327*F$317/$C$317</f>
        <v>1574.91262870578</v>
      </c>
      <c r="M327" s="157" t="n">
        <f aca="false">$I327*G$317/$C$317</f>
        <v>1039.12974384938</v>
      </c>
      <c r="N327" s="157" t="n">
        <f aca="false">$I327*H$317/$C$317</f>
        <v>736.039912872462</v>
      </c>
      <c r="O327" s="164" t="n">
        <f aca="false">SUM(P327:T327)</f>
        <v>21562.9726480203</v>
      </c>
      <c r="P327" s="157" t="n">
        <f aca="false">D327+J327</f>
        <v>6064.25727787886</v>
      </c>
      <c r="Q327" s="157" t="n">
        <f aca="false">E327+K327</f>
        <v>3563.38788417277</v>
      </c>
      <c r="R327" s="157" t="n">
        <f aca="false">F327+L327</f>
        <v>5610.93742303177</v>
      </c>
      <c r="S327" s="157" t="n">
        <f aca="false">G327+M327</f>
        <v>3702.10390885214</v>
      </c>
      <c r="T327" s="137" t="n">
        <f aca="false">H327+N327</f>
        <v>2622.28615408472</v>
      </c>
    </row>
    <row r="328" customFormat="false" ht="15" hidden="false" customHeight="false" outlineLevel="0" collapsed="false">
      <c r="B328" s="64" t="s">
        <v>304</v>
      </c>
      <c r="C328" s="164" t="n">
        <f aca="false">SUM(D328:H328)</f>
        <v>20680.7325481909</v>
      </c>
      <c r="D328" s="157" t="n">
        <f aca="false">SUMIF($D$67:$W$67,"시니어 레지던스",$D$299:$W$299)</f>
        <v>5816.14479740296</v>
      </c>
      <c r="E328" s="157" t="n">
        <f aca="false">SUMIF($D$67:$W$67,"레지던스",$D$299:$W$299)</f>
        <v>3417.57704580801</v>
      </c>
      <c r="F328" s="157" t="n">
        <f aca="false">SUMIF($D$67:$W$67,"호텔",$D$299:$W$299)</f>
        <v>5381.37443334789</v>
      </c>
      <c r="G328" s="157" t="n">
        <f aca="false">SUMIF($D$67:$W$67,"오피스",$D$299:$W$299)</f>
        <v>3550.6375254082</v>
      </c>
      <c r="H328" s="157" t="n">
        <f aca="false">SUMIF($D$67:$W$67,"부대시설",$D$299:$W$299)</f>
        <v>2514.99874622384</v>
      </c>
      <c r="I328" s="164" t="n">
        <f aca="false">$Y$299+$Z$299</f>
        <v>8069.94060876483</v>
      </c>
      <c r="J328" s="157" t="n">
        <f aca="false">$I328*D$317/$C$317</f>
        <v>2269.54365483337</v>
      </c>
      <c r="K328" s="157" t="n">
        <f aca="false">$I328*E$317/$C$317</f>
        <v>1333.6138990413</v>
      </c>
      <c r="L328" s="157" t="n">
        <f aca="false">$I328*F$317/$C$317</f>
        <v>2099.88664261646</v>
      </c>
      <c r="M328" s="157" t="n">
        <f aca="false">$I328*G$317/$C$317</f>
        <v>1385.50839537552</v>
      </c>
      <c r="N328" s="157" t="n">
        <f aca="false">$I328*H$317/$C$317</f>
        <v>981.388016898182</v>
      </c>
      <c r="O328" s="164" t="n">
        <f aca="false">SUM(P328:T328)</f>
        <v>28750.6731569558</v>
      </c>
      <c r="P328" s="157" t="n">
        <f aca="false">D328+J328</f>
        <v>8085.68845223633</v>
      </c>
      <c r="Q328" s="157" t="n">
        <f aca="false">E328+K328</f>
        <v>4751.19094484932</v>
      </c>
      <c r="R328" s="157" t="n">
        <f aca="false">F328+L328</f>
        <v>7481.26107596436</v>
      </c>
      <c r="S328" s="157" t="n">
        <f aca="false">G328+M328</f>
        <v>4936.14592078372</v>
      </c>
      <c r="T328" s="137" t="n">
        <f aca="false">H328+N328</f>
        <v>3496.38676312203</v>
      </c>
    </row>
    <row r="329" customFormat="false" ht="15" hidden="false" customHeight="false" outlineLevel="0" collapsed="false">
      <c r="B329" s="123" t="s">
        <v>155</v>
      </c>
      <c r="C329" s="159" t="n">
        <f aca="false">SUM(C318:C328)</f>
        <v>1022277.14778582</v>
      </c>
      <c r="D329" s="159" t="n">
        <f aca="false">SUM(D318:D328)</f>
        <v>250830.200621025</v>
      </c>
      <c r="E329" s="159" t="n">
        <f aca="false">SUM(E318:E328)</f>
        <v>233567.027245435</v>
      </c>
      <c r="F329" s="159" t="n">
        <f aca="false">SUM(F318:F328)</f>
        <v>332183.155740558</v>
      </c>
      <c r="G329" s="159" t="n">
        <f aca="false">SUM(G318:G328)</f>
        <v>116797.828668824</v>
      </c>
      <c r="H329" s="159" t="n">
        <f aca="false">SUM(H318:H328)</f>
        <v>88898.9355099819</v>
      </c>
      <c r="I329" s="159" t="n">
        <f aca="false">SUM(I318:I328)</f>
        <v>173481.362157103</v>
      </c>
      <c r="J329" s="159" t="n">
        <f aca="false">SUM(J318:J328)</f>
        <v>44205.3124004672</v>
      </c>
      <c r="K329" s="159" t="n">
        <f aca="false">SUM(K318:K328)</f>
        <v>29722.8514079109</v>
      </c>
      <c r="L329" s="159" t="n">
        <f aca="false">SUM(L318:L328)</f>
        <v>46801.1158977978</v>
      </c>
      <c r="M329" s="159" t="n">
        <f aca="false">SUM(M318:M328)</f>
        <v>30879.4473346173</v>
      </c>
      <c r="N329" s="159" t="n">
        <f aca="false">SUM(N318:N328)</f>
        <v>21872.6351163093</v>
      </c>
      <c r="O329" s="159" t="n">
        <f aca="false">SUM(O318:O328)</f>
        <v>1195758.50994293</v>
      </c>
      <c r="P329" s="159" t="n">
        <f aca="false">SUM(P318:P328)</f>
        <v>295035.513021492</v>
      </c>
      <c r="Q329" s="159" t="n">
        <f aca="false">SUM(Q318:Q328)</f>
        <v>263289.878653346</v>
      </c>
      <c r="R329" s="159" t="n">
        <f aca="false">SUM(R318:R328)</f>
        <v>378984.271638356</v>
      </c>
      <c r="S329" s="159" t="n">
        <f aca="false">SUM(S318:S328)</f>
        <v>147677.276003441</v>
      </c>
      <c r="T329" s="160" t="n">
        <f aca="false">SUM(T318:T328)</f>
        <v>110771.570626291</v>
      </c>
    </row>
    <row r="330" customFormat="false" ht="15" hidden="false" customHeight="false" outlineLevel="0" collapsed="false">
      <c r="O330" s="98" t="b">
        <f aca="false">ABS(O329-$C$300)&lt;1</f>
        <v>1</v>
      </c>
    </row>
    <row r="332" customFormat="false" ht="15" hidden="false" customHeight="false" outlineLevel="0" collapsed="false">
      <c r="B332" s="87" t="s">
        <v>314</v>
      </c>
    </row>
    <row r="333" customFormat="false" ht="15" hidden="false" customHeight="false" outlineLevel="0" collapsed="false">
      <c r="C333" s="182" t="s">
        <v>315</v>
      </c>
      <c r="D333" s="182"/>
      <c r="E333" s="182"/>
      <c r="F333" s="182"/>
      <c r="G333" s="182"/>
      <c r="H333" s="182"/>
      <c r="K333" s="182" t="s">
        <v>316</v>
      </c>
      <c r="L333" s="182"/>
      <c r="M333" s="182"/>
      <c r="N333" s="182"/>
      <c r="O333" s="182"/>
      <c r="P333" s="182"/>
    </row>
    <row r="334" customFormat="false" ht="15" hidden="false" customHeight="false" outlineLevel="0" collapsed="false">
      <c r="B334" s="161" t="s">
        <v>294</v>
      </c>
      <c r="C334" s="112" t="s">
        <v>156</v>
      </c>
      <c r="D334" s="183" t="s">
        <v>122</v>
      </c>
      <c r="E334" s="184" t="s">
        <v>123</v>
      </c>
      <c r="F334" s="185" t="s">
        <v>124</v>
      </c>
      <c r="G334" s="186" t="s">
        <v>125</v>
      </c>
      <c r="H334" s="188" t="s">
        <v>126</v>
      </c>
      <c r="J334" s="161" t="s">
        <v>294</v>
      </c>
      <c r="K334" s="112" t="s">
        <v>156</v>
      </c>
      <c r="L334" s="183" t="s">
        <v>122</v>
      </c>
      <c r="M334" s="184" t="s">
        <v>123</v>
      </c>
      <c r="N334" s="185" t="s">
        <v>124</v>
      </c>
      <c r="O334" s="186" t="s">
        <v>125</v>
      </c>
      <c r="P334" s="188" t="s">
        <v>126</v>
      </c>
    </row>
    <row r="335" customFormat="false" ht="15" hidden="false" customHeight="false" outlineLevel="0" collapsed="false">
      <c r="B335" s="71" t="s">
        <v>132</v>
      </c>
      <c r="C335" s="115" t="n">
        <f aca="false">SUM(D335:H335)</f>
        <v>81811.424475</v>
      </c>
      <c r="D335" s="76" t="n">
        <f aca="false">$E$60</f>
        <v>23008.1742</v>
      </c>
      <c r="E335" s="76" t="n">
        <f aca="false">$E$61</f>
        <v>13519.907775</v>
      </c>
      <c r="F335" s="76" t="n">
        <f aca="false">$E$62</f>
        <v>21288.22575</v>
      </c>
      <c r="G335" s="76" t="n">
        <f aca="false">$E$63</f>
        <v>14046.003675</v>
      </c>
      <c r="H335" s="79" t="n">
        <f aca="false">$E$64</f>
        <v>9949.113075</v>
      </c>
      <c r="J335" s="71" t="s">
        <v>132</v>
      </c>
      <c r="K335" s="115" t="n">
        <f aca="false">SUM(L335:P335)</f>
        <v>81811.424475</v>
      </c>
      <c r="L335" s="76" t="n">
        <f aca="false">$E$60</f>
        <v>23008.1742</v>
      </c>
      <c r="M335" s="76" t="n">
        <f aca="false">$E$61</f>
        <v>13519.907775</v>
      </c>
      <c r="N335" s="76" t="n">
        <f aca="false">$E$62</f>
        <v>21288.22575</v>
      </c>
      <c r="O335" s="76" t="n">
        <f aca="false">$E$63</f>
        <v>14046.003675</v>
      </c>
      <c r="P335" s="79" t="n">
        <f aca="false">$E$64</f>
        <v>9949.113075</v>
      </c>
    </row>
    <row r="336" customFormat="false" ht="15" hidden="false" customHeight="false" outlineLevel="0" collapsed="false">
      <c r="B336" s="71" t="s">
        <v>20</v>
      </c>
      <c r="C336" s="163" t="n">
        <f aca="false">SUM(D336:H336)</f>
        <v>170810.369065538</v>
      </c>
      <c r="D336" s="157" t="n">
        <f aca="false">IFERROR($R$363*$C$85*$D$38/$I$42,0)</f>
        <v>0</v>
      </c>
      <c r="E336" s="157" t="n">
        <f aca="false">IFERROR($R$363*$C$86*$E$38/$I$42,0)</f>
        <v>39272.3263761763</v>
      </c>
      <c r="F336" s="157" t="n">
        <f aca="false">IFERROR($R$363*$C$87*$F$38/$I$42,0)</f>
        <v>61837.5630616105</v>
      </c>
      <c r="G336" s="157" t="n">
        <f aca="false">IFERROR($R$363*$C$88*$G$38/$I$42,0)</f>
        <v>40800.5180054249</v>
      </c>
      <c r="H336" s="137" t="n">
        <f aca="false">IFERROR($R$363*$C$89*$H$38/$I$42,0)</f>
        <v>28899.9616223257</v>
      </c>
      <c r="J336" s="71" t="s">
        <v>20</v>
      </c>
      <c r="K336" s="163" t="n">
        <f aca="false">SUM(L336:P336)</f>
        <v>170810.369065538</v>
      </c>
      <c r="L336" s="157" t="n">
        <f aca="false">IFERROR($R$363*$C$85*$D$38/$I$42,0)</f>
        <v>0</v>
      </c>
      <c r="M336" s="157" t="n">
        <f aca="false">IFERROR($R$363*$C$86*$E$38/$I$42,0)</f>
        <v>39272.3263761763</v>
      </c>
      <c r="N336" s="157" t="n">
        <f aca="false">IFERROR($R$363*$C$87*$F$38/$I$42,0)</f>
        <v>61837.5630616105</v>
      </c>
      <c r="O336" s="157" t="n">
        <f aca="false">IFERROR($R$363*$C$88*$G$38/$I$42,0)</f>
        <v>40800.5180054249</v>
      </c>
      <c r="P336" s="137" t="n">
        <f aca="false">IFERROR($R$363*$C$89*$H$38/$I$42,0)</f>
        <v>28899.9616223257</v>
      </c>
    </row>
    <row r="337" customFormat="false" ht="15" hidden="false" customHeight="false" outlineLevel="0" collapsed="false">
      <c r="B337" s="71" t="s">
        <v>22</v>
      </c>
      <c r="C337" s="163" t="n">
        <f aca="false">SUM(D337:H337)</f>
        <v>422304.950369957</v>
      </c>
      <c r="D337" s="157" t="n">
        <f aca="false">$R$365</f>
        <v>0</v>
      </c>
      <c r="E337" s="157" t="n">
        <f aca="false">IFERROR($R$366*$E$61*$E$38/$I$366,0)</f>
        <v>97095.3808714065</v>
      </c>
      <c r="F337" s="157" t="n">
        <f aca="false">IFERROR($R$366*$E$62*$F$38/$I$366,0)</f>
        <v>152884.799339745</v>
      </c>
      <c r="G337" s="157" t="n">
        <f aca="false">IFERROR($R$366*$E$63*$G$38/$I$366,0)</f>
        <v>100873.622752601</v>
      </c>
      <c r="H337" s="137" t="n">
        <f aca="false">IFERROR($R$366*$E$64*$H$38/$I$366,0)</f>
        <v>71451.1474062045</v>
      </c>
      <c r="J337" s="71" t="s">
        <v>22</v>
      </c>
      <c r="K337" s="163" t="n">
        <f aca="false">SUM(L337:P337)</f>
        <v>422304.950369957</v>
      </c>
      <c r="L337" s="157" t="n">
        <f aca="false">$R$365</f>
        <v>0</v>
      </c>
      <c r="M337" s="157" t="n">
        <f aca="false">IFERROR($R$366*$E$61*$E$38/$I$366,0)</f>
        <v>97095.3808714065</v>
      </c>
      <c r="N337" s="157" t="n">
        <f aca="false">IFERROR($R$366*$E$62*$F$38/$I$366,0)</f>
        <v>152884.799339745</v>
      </c>
      <c r="O337" s="157" t="n">
        <f aca="false">IFERROR($R$366*$E$63*$G$38/$I$366,0)</f>
        <v>100873.622752601</v>
      </c>
      <c r="P337" s="137" t="n">
        <f aca="false">IFERROR($R$366*$E$64*$H$38/$I$366,0)</f>
        <v>71451.1474062045</v>
      </c>
    </row>
    <row r="338" customFormat="false" ht="15" hidden="false" customHeight="false" outlineLevel="0" collapsed="false">
      <c r="B338" s="71" t="s">
        <v>24</v>
      </c>
      <c r="C338" s="163" t="n">
        <f aca="false">SUM(D338:H338)</f>
        <v>357976.367471295</v>
      </c>
      <c r="D338" s="157" t="n">
        <f aca="false">SUM(D339:D344)</f>
        <v>0</v>
      </c>
      <c r="E338" s="157" t="n">
        <f aca="false">SUM(E339:E344)</f>
        <v>82305.1013542197</v>
      </c>
      <c r="F338" s="157" t="n">
        <f aca="false">SUM(F339:F344)</f>
        <v>129596.267013386</v>
      </c>
      <c r="G338" s="157" t="n">
        <f aca="false">SUM(G339:G344)</f>
        <v>85507.8137611495</v>
      </c>
      <c r="H338" s="137" t="n">
        <f aca="false">SUM(H339:H344)</f>
        <v>60567.1853425396</v>
      </c>
      <c r="J338" s="71" t="s">
        <v>24</v>
      </c>
      <c r="K338" s="163" t="n">
        <f aca="false">SUM(L338:P338)</f>
        <v>357976.367471295</v>
      </c>
      <c r="L338" s="157" t="n">
        <f aca="false">SUM(L339:L344)</f>
        <v>0</v>
      </c>
      <c r="M338" s="157" t="n">
        <f aca="false">SUM(M339:M344)</f>
        <v>82305.1013542197</v>
      </c>
      <c r="N338" s="157" t="n">
        <f aca="false">SUM(N339:N344)</f>
        <v>129596.267013386</v>
      </c>
      <c r="O338" s="157" t="n">
        <f aca="false">SUM(O339:O344)</f>
        <v>85507.8137611495</v>
      </c>
      <c r="P338" s="137" t="n">
        <f aca="false">SUM(P339:P344)</f>
        <v>60567.1853425396</v>
      </c>
    </row>
    <row r="339" customFormat="false" ht="15" hidden="false" customHeight="false" outlineLevel="0" collapsed="false">
      <c r="B339" s="51" t="s">
        <v>317</v>
      </c>
      <c r="C339" s="163" t="n">
        <f aca="false">SUM(D339:H339)</f>
        <v>24779.689665885</v>
      </c>
      <c r="D339" s="157" t="n">
        <f aca="false">$R$368</f>
        <v>0</v>
      </c>
      <c r="E339" s="157" t="n">
        <f aca="false">IFERROR($R$369*$E$61*$E$38/$I$366,0)</f>
        <v>5697.289136385</v>
      </c>
      <c r="F339" s="157" t="n">
        <f aca="false">IFERROR($R$369*$E$62*$F$38/$I$366,0)</f>
        <v>8970.85833105</v>
      </c>
      <c r="G339" s="157" t="n">
        <f aca="false">IFERROR($R$369*$E$63*$G$38/$I$366,0)</f>
        <v>5918.985948645</v>
      </c>
      <c r="H339" s="137" t="n">
        <f aca="false">IFERROR($R$369*$E$64*$H$38/$I$366,0)</f>
        <v>4192.556249805</v>
      </c>
      <c r="J339" s="51" t="s">
        <v>317</v>
      </c>
      <c r="K339" s="163" t="n">
        <f aca="false">SUM(L339:P339)</f>
        <v>24779.689665885</v>
      </c>
      <c r="L339" s="157" t="n">
        <f aca="false">$R$368</f>
        <v>0</v>
      </c>
      <c r="M339" s="157" t="n">
        <f aca="false">IFERROR($R$369*$E$61*$E$38/$I$366,0)</f>
        <v>5697.289136385</v>
      </c>
      <c r="N339" s="157" t="n">
        <f aca="false">IFERROR($R$369*$E$62*$F$38/$I$366,0)</f>
        <v>8970.85833105</v>
      </c>
      <c r="O339" s="157" t="n">
        <f aca="false">IFERROR($R$369*$E$63*$G$38/$I$366,0)</f>
        <v>5918.985948645</v>
      </c>
      <c r="P339" s="137" t="n">
        <f aca="false">IFERROR($R$369*$E$64*$H$38/$I$366,0)</f>
        <v>4192.556249805</v>
      </c>
    </row>
    <row r="340" customFormat="false" ht="15" hidden="false" customHeight="false" outlineLevel="0" collapsed="false">
      <c r="B340" s="51" t="s">
        <v>318</v>
      </c>
      <c r="C340" s="163" t="n">
        <f aca="false">SUM(D340:H340)</f>
        <v>246392.08700978</v>
      </c>
      <c r="D340" s="157" t="n">
        <f aca="false">$R$370</f>
        <v>0</v>
      </c>
      <c r="E340" s="157" t="n">
        <f aca="false">IFERROR($R$371*$E$61*$E$38/$I$366,0)</f>
        <v>56649.9007671052</v>
      </c>
      <c r="F340" s="157" t="n">
        <f aca="false">IFERROR($R$371*$E$62*$F$38/$I$366,0)</f>
        <v>89200.0075973325</v>
      </c>
      <c r="G340" s="157" t="n">
        <f aca="false">IFERROR($R$371*$E$63*$G$38/$I$366,0)</f>
        <v>58854.3004586542</v>
      </c>
      <c r="H340" s="137" t="n">
        <f aca="false">IFERROR($R$371*$E$64*$H$38/$I$366,0)</f>
        <v>41687.8781866882</v>
      </c>
      <c r="J340" s="51" t="s">
        <v>318</v>
      </c>
      <c r="K340" s="163" t="n">
        <f aca="false">SUM(L340:P340)</f>
        <v>246392.08700978</v>
      </c>
      <c r="L340" s="157" t="n">
        <f aca="false">$R$370</f>
        <v>0</v>
      </c>
      <c r="M340" s="157" t="n">
        <f aca="false">IFERROR($R$371*$E$61*$E$38/$I$366,0)</f>
        <v>56649.9007671052</v>
      </c>
      <c r="N340" s="157" t="n">
        <f aca="false">IFERROR($R$371*$E$62*$F$38/$I$366,0)</f>
        <v>89200.0075973325</v>
      </c>
      <c r="O340" s="157" t="n">
        <f aca="false">IFERROR($R$371*$E$63*$G$38/$I$366,0)</f>
        <v>58854.3004586542</v>
      </c>
      <c r="P340" s="137" t="n">
        <f aca="false">IFERROR($R$371*$E$64*$H$38/$I$366,0)</f>
        <v>41687.8781866882</v>
      </c>
    </row>
    <row r="341" customFormat="false" ht="15" hidden="false" customHeight="false" outlineLevel="0" collapsed="false">
      <c r="B341" s="143" t="s">
        <v>319</v>
      </c>
      <c r="C341" s="163" t="n">
        <f aca="false">SUM(D341:H341)</f>
        <v>31198.652465904</v>
      </c>
      <c r="D341" s="157" t="n">
        <f aca="false">$R$372</f>
        <v>0</v>
      </c>
      <c r="E341" s="157" t="n">
        <f aca="false">IFERROR($R$373*$E$61*$E$38/$I$366,0)</f>
        <v>7173.122269104</v>
      </c>
      <c r="F341" s="157" t="n">
        <f aca="false">IFERROR($R$373*$E$62*$F$38/$I$366,0)</f>
        <v>11294.68105392</v>
      </c>
      <c r="G341" s="157" t="n">
        <f aca="false">IFERROR($R$373*$E$63*$G$38/$I$366,0)</f>
        <v>7452.247709808</v>
      </c>
      <c r="H341" s="137" t="n">
        <f aca="false">IFERROR($R$373*$E$64*$H$38/$I$366,0)</f>
        <v>5278.601433072</v>
      </c>
      <c r="J341" s="143" t="s">
        <v>319</v>
      </c>
      <c r="K341" s="163" t="n">
        <f aca="false">SUM(L341:P341)</f>
        <v>31198.652465904</v>
      </c>
      <c r="L341" s="157" t="n">
        <f aca="false">$R$372</f>
        <v>0</v>
      </c>
      <c r="M341" s="157" t="n">
        <f aca="false">IFERROR($R$373*$E$61*$E$38/$I$366,0)</f>
        <v>7173.122269104</v>
      </c>
      <c r="N341" s="157" t="n">
        <f aca="false">IFERROR($R$373*$E$62*$F$38/$I$366,0)</f>
        <v>11294.68105392</v>
      </c>
      <c r="O341" s="157" t="n">
        <f aca="false">IFERROR($R$373*$E$63*$G$38/$I$366,0)</f>
        <v>7452.247709808</v>
      </c>
      <c r="P341" s="137" t="n">
        <f aca="false">IFERROR($R$373*$E$64*$H$38/$I$366,0)</f>
        <v>5278.601433072</v>
      </c>
    </row>
    <row r="342" customFormat="false" ht="15" hidden="false" customHeight="false" outlineLevel="0" collapsed="false">
      <c r="B342" s="51" t="s">
        <v>320</v>
      </c>
      <c r="C342" s="163" t="n">
        <f aca="false">SUM(D342:H342)</f>
        <v>5292.29252475</v>
      </c>
      <c r="D342" s="157" t="n">
        <f aca="false">$R$374</f>
        <v>0</v>
      </c>
      <c r="E342" s="157" t="n">
        <f aca="false">IFERROR($R$375*$E$61*$E$38/$I$366,0)</f>
        <v>1216.79169975</v>
      </c>
      <c r="F342" s="157" t="n">
        <f aca="false">IFERROR($R$375*$E$62*$F$38/$I$366,0)</f>
        <v>1915.9403175</v>
      </c>
      <c r="G342" s="157" t="n">
        <f aca="false">IFERROR($R$375*$E$63*$G$38/$I$366,0)</f>
        <v>1264.14033075</v>
      </c>
      <c r="H342" s="137" t="n">
        <f aca="false">IFERROR($R$375*$E$64*$H$38/$I$366,0)</f>
        <v>895.42017675</v>
      </c>
      <c r="J342" s="51" t="s">
        <v>320</v>
      </c>
      <c r="K342" s="163" t="n">
        <f aca="false">SUM(L342:P342)</f>
        <v>5292.29252475</v>
      </c>
      <c r="L342" s="157" t="n">
        <f aca="false">$R$374</f>
        <v>0</v>
      </c>
      <c r="M342" s="157" t="n">
        <f aca="false">IFERROR($R$375*$E$61*$E$38/$I$366,0)</f>
        <v>1216.79169975</v>
      </c>
      <c r="N342" s="157" t="n">
        <f aca="false">IFERROR($R$375*$E$62*$F$38/$I$366,0)</f>
        <v>1915.9403175</v>
      </c>
      <c r="O342" s="157" t="n">
        <f aca="false">IFERROR($R$375*$E$63*$G$38/$I$366,0)</f>
        <v>1264.14033075</v>
      </c>
      <c r="P342" s="137" t="n">
        <f aca="false">IFERROR($R$375*$E$64*$H$38/$I$366,0)</f>
        <v>895.42017675</v>
      </c>
    </row>
    <row r="343" customFormat="false" ht="15" hidden="false" customHeight="false" outlineLevel="0" collapsed="false">
      <c r="B343" s="143" t="s">
        <v>321</v>
      </c>
      <c r="C343" s="163" t="n">
        <f aca="false">SUM(D343:H343)</f>
        <v>28750.6731569557</v>
      </c>
      <c r="D343" s="157" t="n">
        <f aca="false">$R$378</f>
        <v>0</v>
      </c>
      <c r="E343" s="157" t="n">
        <f aca="false">IFERROR($R$379*$E$61*$E$38/$I$366,0)</f>
        <v>6610.28850843075</v>
      </c>
      <c r="F343" s="157" t="n">
        <f aca="false">IFERROR($R$379*$E$62*$F$38/$I$366,0)</f>
        <v>10408.4522159475</v>
      </c>
      <c r="G343" s="157" t="n">
        <f aca="false">IFERROR($R$379*$E$63*$G$38/$I$366,0)</f>
        <v>6867.51257681775</v>
      </c>
      <c r="H343" s="137" t="n">
        <f aca="false">IFERROR($R$379*$E$64*$H$38/$I$366,0)</f>
        <v>4864.41985575975</v>
      </c>
      <c r="J343" s="143" t="s">
        <v>321</v>
      </c>
      <c r="K343" s="163" t="n">
        <f aca="false">SUM(L343:P343)</f>
        <v>28750.6731569557</v>
      </c>
      <c r="L343" s="157" t="n">
        <f aca="false">$R$378</f>
        <v>0</v>
      </c>
      <c r="M343" s="157" t="n">
        <f aca="false">IFERROR($R$379*$E$61*$E$38/$I$366,0)</f>
        <v>6610.28850843075</v>
      </c>
      <c r="N343" s="157" t="n">
        <f aca="false">IFERROR($R$379*$E$62*$F$38/$I$366,0)</f>
        <v>10408.4522159475</v>
      </c>
      <c r="O343" s="157" t="n">
        <f aca="false">IFERROR($R$379*$E$63*$G$38/$I$366,0)</f>
        <v>6867.51257681775</v>
      </c>
      <c r="P343" s="137" t="n">
        <f aca="false">IFERROR($R$379*$E$64*$H$38/$I$366,0)</f>
        <v>4864.41985575975</v>
      </c>
    </row>
    <row r="344" customFormat="false" ht="15" hidden="false" customHeight="false" outlineLevel="0" collapsed="false">
      <c r="B344" s="51" t="s">
        <v>322</v>
      </c>
      <c r="C344" s="163" t="n">
        <f aca="false">SUM(D344:H344)</f>
        <v>21562.9726480203</v>
      </c>
      <c r="D344" s="157" t="n">
        <f aca="false">IFERROR($R$380*$C$85*$D$38/$I$42,0)</f>
        <v>0</v>
      </c>
      <c r="E344" s="157" t="n">
        <f aca="false">IFERROR($R$380*$C$86*$E$38/$I$42,0)</f>
        <v>4957.70897344469</v>
      </c>
      <c r="F344" s="157" t="n">
        <f aca="false">IFERROR($R$380*$C$87*$F$38/$I$42,0)</f>
        <v>7806.32749763645</v>
      </c>
      <c r="G344" s="157" t="n">
        <f aca="false">IFERROR($R$380*$C$88*$G$38/$I$42,0)</f>
        <v>5150.62673647451</v>
      </c>
      <c r="H344" s="137" t="n">
        <f aca="false">IFERROR($R$380*$C$89*$H$38/$I$42,0)</f>
        <v>3648.30944046461</v>
      </c>
      <c r="J344" s="51" t="s">
        <v>322</v>
      </c>
      <c r="K344" s="163" t="n">
        <f aca="false">SUM(L344:P344)</f>
        <v>21562.9726480203</v>
      </c>
      <c r="L344" s="157" t="n">
        <f aca="false">IFERROR($R$380*$C$85*$D$38/$I$42,0)</f>
        <v>0</v>
      </c>
      <c r="M344" s="157" t="n">
        <f aca="false">IFERROR($R$380*$C$86*$E$38/$I$42,0)</f>
        <v>4957.70897344469</v>
      </c>
      <c r="N344" s="157" t="n">
        <f aca="false">IFERROR($R$380*$C$87*$F$38/$I$42,0)</f>
        <v>7806.32749763645</v>
      </c>
      <c r="O344" s="157" t="n">
        <f aca="false">IFERROR($R$380*$C$88*$G$38/$I$42,0)</f>
        <v>5150.62673647451</v>
      </c>
      <c r="P344" s="137" t="n">
        <f aca="false">IFERROR($R$380*$C$89*$H$38/$I$42,0)</f>
        <v>3648.30944046461</v>
      </c>
    </row>
    <row r="345" customFormat="false" ht="15" hidden="false" customHeight="false" outlineLevel="0" collapsed="false">
      <c r="B345" s="71" t="s">
        <v>323</v>
      </c>
      <c r="C345" s="163" t="n">
        <f aca="false">SUM(D345:H345)</f>
        <v>20000</v>
      </c>
      <c r="D345" s="157" t="n">
        <f aca="false">IFERROR($R$386*$C$85*$D$38/$I$42,0)</f>
        <v>0</v>
      </c>
      <c r="E345" s="157" t="n">
        <f aca="false">IFERROR($R$386*$C$86*$E$38/$I$42,0)</f>
        <v>4598.35390451128</v>
      </c>
      <c r="F345" s="157" t="n">
        <f aca="false">IFERROR($R$386*$C$87*$F$38/$I$42,0)</f>
        <v>7240.49288107145</v>
      </c>
      <c r="G345" s="157" t="n">
        <f aca="false">IFERROR($R$386*$C$88*$G$38/$I$42,0)</f>
        <v>4777.28819727219</v>
      </c>
      <c r="H345" s="137" t="n">
        <f aca="false">IFERROR($R$386*$C$89*$H$38/$I$42,0)</f>
        <v>3383.86501714509</v>
      </c>
      <c r="J345" s="71" t="s">
        <v>323</v>
      </c>
      <c r="K345" s="163" t="n">
        <f aca="false">SUM(L345:P345)</f>
        <v>20000</v>
      </c>
      <c r="L345" s="157" t="n">
        <f aca="false">IFERROR($R$386*$C$85*$D$38/$I$42,0)</f>
        <v>0</v>
      </c>
      <c r="M345" s="157" t="n">
        <f aca="false">IFERROR($R$386*$C$86*$E$38/$I$42,0)</f>
        <v>4598.35390451128</v>
      </c>
      <c r="N345" s="157" t="n">
        <f aca="false">IFERROR($R$386*$C$87*$F$38/$I$42,0)</f>
        <v>7240.49288107145</v>
      </c>
      <c r="O345" s="157" t="n">
        <f aca="false">IFERROR($R$386*$C$88*$G$38/$I$42,0)</f>
        <v>4777.28819727219</v>
      </c>
      <c r="P345" s="137" t="n">
        <f aca="false">IFERROR($R$386*$C$89*$H$38/$I$42,0)</f>
        <v>3383.86501714509</v>
      </c>
    </row>
    <row r="346" customFormat="false" ht="15" hidden="false" customHeight="false" outlineLevel="0" collapsed="false">
      <c r="B346" s="71" t="s">
        <v>324</v>
      </c>
      <c r="C346" s="163" t="n">
        <f aca="false">SUM(D346:H346)</f>
        <v>23056.2154162386</v>
      </c>
      <c r="D346" s="157" t="n">
        <f aca="false">IFERROR($R$389*$C$85*$D$38/$I$42,0)</f>
        <v>0</v>
      </c>
      <c r="E346" s="157" t="n">
        <f aca="false">IFERROR($R$389*$C$86*$E$38/$I$42,0)</f>
        <v>5301.03190912568</v>
      </c>
      <c r="F346" s="157" t="n">
        <f aca="false">IFERROR($R$389*$C$87*$F$38/$I$42,0)</f>
        <v>8346.91817928625</v>
      </c>
      <c r="G346" s="157" t="n">
        <f aca="false">IFERROR($R$389*$C$88*$G$38/$I$42,0)</f>
        <v>5507.30928908808</v>
      </c>
      <c r="H346" s="137" t="n">
        <f aca="false">IFERROR($R$389*$C$89*$H$38/$I$42,0)</f>
        <v>3900.95603873855</v>
      </c>
      <c r="J346" s="71" t="s">
        <v>324</v>
      </c>
      <c r="K346" s="163" t="n">
        <f aca="false">SUM(L346:P346)</f>
        <v>23056.2154162386</v>
      </c>
      <c r="L346" s="157" t="n">
        <f aca="false">IFERROR($R$389*$C$85*$D$38/$I$42,0)</f>
        <v>0</v>
      </c>
      <c r="M346" s="157" t="n">
        <f aca="false">IFERROR($R$389*$C$86*$E$38/$I$42,0)</f>
        <v>5301.03190912568</v>
      </c>
      <c r="N346" s="157" t="n">
        <f aca="false">IFERROR($R$389*$C$87*$F$38/$I$42,0)</f>
        <v>8346.91817928625</v>
      </c>
      <c r="O346" s="157" t="n">
        <f aca="false">IFERROR($R$389*$C$88*$G$38/$I$42,0)</f>
        <v>5507.30928908808</v>
      </c>
      <c r="P346" s="137" t="n">
        <f aca="false">IFERROR($R$389*$C$89*$H$38/$I$42,0)</f>
        <v>3900.95603873855</v>
      </c>
    </row>
    <row r="347" customFormat="false" ht="15" hidden="false" customHeight="false" outlineLevel="0" collapsed="false">
      <c r="B347" s="71" t="s">
        <v>300</v>
      </c>
      <c r="C347" s="163" t="n">
        <f aca="false">SUM(D347:H347)</f>
        <v>88773.504054</v>
      </c>
      <c r="D347" s="157" t="n">
        <f aca="false">$P$324</f>
        <v>0</v>
      </c>
      <c r="E347" s="157" t="n">
        <f aca="false">$Q$324</f>
        <v>25690.2262271758</v>
      </c>
      <c r="F347" s="157" t="n">
        <f aca="false">$R$324</f>
        <v>37108.0434696154</v>
      </c>
      <c r="G347" s="157" t="n">
        <f aca="false">$S$324</f>
        <v>14865.8848348657</v>
      </c>
      <c r="H347" s="137" t="n">
        <f aca="false">$T$324</f>
        <v>11109.3495223431</v>
      </c>
      <c r="J347" s="71" t="s">
        <v>300</v>
      </c>
      <c r="K347" s="163" t="n">
        <f aca="false">SUM(L347:P347)</f>
        <v>88773.504054</v>
      </c>
      <c r="L347" s="157" t="n">
        <f aca="false">$R$401*D352</f>
        <v>0</v>
      </c>
      <c r="M347" s="157" t="n">
        <f aca="false">$R$401*E352</f>
        <v>0</v>
      </c>
      <c r="N347" s="157" t="n">
        <f aca="false">$R$401*F352</f>
        <v>42524.1872611872</v>
      </c>
      <c r="O347" s="157" t="n">
        <f aca="false">$R$401*G352</f>
        <v>27036.9330851036</v>
      </c>
      <c r="P347" s="137" t="n">
        <f aca="false">$R$401*H352</f>
        <v>19212.3837077092</v>
      </c>
    </row>
    <row r="348" customFormat="false" ht="15" hidden="false" customHeight="false" outlineLevel="0" collapsed="false">
      <c r="B348" s="71" t="s">
        <v>325</v>
      </c>
      <c r="C348" s="163" t="n">
        <f aca="false">SUM(D348:H348)</f>
        <v>10315.6797948604</v>
      </c>
      <c r="D348" s="157" t="n">
        <f aca="false">IFERROR($R$412*$C$85*$D$38/$I$42,0)</f>
        <v>0</v>
      </c>
      <c r="E348" s="157" t="n">
        <f aca="false">IFERROR($R$412*$C$86*$E$38/$I$42,0)</f>
        <v>2371.75732311921</v>
      </c>
      <c r="F348" s="157" t="n">
        <f aca="false">IFERROR($R$412*$C$87*$F$38/$I$42,0)</f>
        <v>3734.53030590496</v>
      </c>
      <c r="G348" s="157" t="n">
        <f aca="false">IFERROR($R$412*$C$88*$G$38/$I$42,0)</f>
        <v>2464.04876654128</v>
      </c>
      <c r="H348" s="137" t="n">
        <f aca="false">IFERROR($R$412*$C$89*$H$38/$I$42,0)</f>
        <v>1745.34339929492</v>
      </c>
      <c r="J348" s="71" t="s">
        <v>325</v>
      </c>
      <c r="K348" s="163" t="n">
        <f aca="false">SUM(L348:P348)</f>
        <v>10315.6797948604</v>
      </c>
      <c r="L348" s="157" t="n">
        <f aca="false">IFERROR($R$412*$C$85*$D$38/$I$42,0)</f>
        <v>0</v>
      </c>
      <c r="M348" s="157" t="n">
        <f aca="false">IFERROR($R$412*$C$86*$E$38/$I$42,0)</f>
        <v>2371.75732311921</v>
      </c>
      <c r="N348" s="157" t="n">
        <f aca="false">IFERROR($R$412*$C$87*$F$38/$I$42,0)</f>
        <v>3734.53030590496</v>
      </c>
      <c r="O348" s="157" t="n">
        <f aca="false">IFERROR($R$412*$C$88*$G$38/$I$42,0)</f>
        <v>2464.04876654128</v>
      </c>
      <c r="P348" s="137" t="n">
        <f aca="false">IFERROR($R$412*$C$89*$H$38/$I$42,0)</f>
        <v>1745.34339929492</v>
      </c>
    </row>
    <row r="349" customFormat="false" ht="15" hidden="false" customHeight="false" outlineLevel="0" collapsed="false">
      <c r="B349" s="71" t="s">
        <v>155</v>
      </c>
      <c r="C349" s="163" t="n">
        <f aca="false">SUM(D349:H349)</f>
        <v>1093237.08617189</v>
      </c>
      <c r="D349" s="164" t="n">
        <f aca="false">SUM(D336:D338)+SUM(D345:D348)</f>
        <v>0</v>
      </c>
      <c r="E349" s="164" t="n">
        <f aca="false">SUM(E336:E338)+SUM(E345:E348)</f>
        <v>256634.177965734</v>
      </c>
      <c r="F349" s="164" t="n">
        <f aca="false">SUM(F336:F338)+SUM(F345:F348)</f>
        <v>400748.61425062</v>
      </c>
      <c r="G349" s="164" t="n">
        <f aca="false">SUM(G336:G338)+SUM(G345:G348)</f>
        <v>254796.485606942</v>
      </c>
      <c r="H349" s="165" t="n">
        <f aca="false">SUM(H336:H338)+SUM(H345:H348)</f>
        <v>181057.808348591</v>
      </c>
      <c r="J349" s="123" t="s">
        <v>155</v>
      </c>
      <c r="K349" s="190" t="n">
        <f aca="false">SUM(L349:P349)</f>
        <v>1093237.08617189</v>
      </c>
      <c r="L349" s="159" t="n">
        <f aca="false">SUM(L336:L338)+SUM(L345:L348)</f>
        <v>0</v>
      </c>
      <c r="M349" s="159" t="n">
        <f aca="false">SUM(M336:M338)+SUM(M345:M348)</f>
        <v>230943.951738559</v>
      </c>
      <c r="N349" s="159" t="n">
        <f aca="false">SUM(N336:N338)+SUM(N345:N348)</f>
        <v>406164.758042192</v>
      </c>
      <c r="O349" s="159" t="n">
        <f aca="false">SUM(O336:O338)+SUM(O345:O348)</f>
        <v>266967.53385718</v>
      </c>
      <c r="P349" s="160" t="n">
        <f aca="false">SUM(P336:P338)+SUM(P345:P348)</f>
        <v>189160.842533958</v>
      </c>
    </row>
    <row r="350" customFormat="false" ht="15" hidden="false" customHeight="false" outlineLevel="0" collapsed="false">
      <c r="B350" s="71" t="s">
        <v>326</v>
      </c>
      <c r="C350" s="163" t="n">
        <f aca="false">SUM(D350:H350)</f>
        <v>316967.04</v>
      </c>
      <c r="D350" s="157" t="n">
        <f aca="false">$E$98*(1+$E$101)*$D$38</f>
        <v>0</v>
      </c>
      <c r="E350" s="157" t="n">
        <f aca="false">$E$129*(1+$E$130)*$E$38</f>
        <v>316967.04</v>
      </c>
      <c r="F350" s="157" t="n">
        <v>0</v>
      </c>
      <c r="G350" s="157" t="n">
        <v>0</v>
      </c>
      <c r="H350" s="137" t="n">
        <v>0</v>
      </c>
    </row>
    <row r="351" customFormat="false" ht="15" hidden="false" customHeight="false" outlineLevel="0" collapsed="false">
      <c r="B351" s="71" t="s">
        <v>327</v>
      </c>
      <c r="C351" s="164" t="n">
        <f aca="false">C349-C350</f>
        <v>776270.046171888</v>
      </c>
      <c r="D351" s="157" t="n">
        <f aca="false">D349-D350</f>
        <v>0</v>
      </c>
      <c r="E351" s="157" t="n">
        <f aca="false">E349-E350</f>
        <v>-60332.8620342655</v>
      </c>
      <c r="F351" s="157" t="n">
        <f aca="false">F349-F350</f>
        <v>400748.61425062</v>
      </c>
      <c r="G351" s="157" t="n">
        <f aca="false">G349-G350</f>
        <v>254796.485606942</v>
      </c>
      <c r="H351" s="137" t="n">
        <f aca="false">H349-H350</f>
        <v>181057.808348591</v>
      </c>
    </row>
    <row r="352" customFormat="false" ht="15" hidden="false" customHeight="false" outlineLevel="0" collapsed="false">
      <c r="B352" s="123" t="s">
        <v>201</v>
      </c>
      <c r="C352" s="140" t="n">
        <f aca="false">SUM(D352:H352)</f>
        <v>1</v>
      </c>
      <c r="D352" s="191" t="n">
        <f aca="false">IF(SUMIF($D$351:$H$351,"&gt;0")=0,IFERROR(D347/$C$347,0),MAX(0,D351)/SUMIF($D$351:$H$351,"&gt;0"))</f>
        <v>0</v>
      </c>
      <c r="E352" s="191" t="n">
        <f aca="false">IF(SUMIF($D$351:$H$351,"&gt;0")=0,IFERROR(E347/$C$347,0),MAX(0,E351)/SUMIF($D$351:$H$351,"&gt;0"))</f>
        <v>0</v>
      </c>
      <c r="F352" s="191" t="n">
        <f aca="false">IF(SUMIF($D$351:$H$351,"&gt;0")=0,IFERROR(F347/$C$347,0),MAX(0,F351)/SUMIF($D$351:$H$351,"&gt;0"))</f>
        <v>0.479018911265688</v>
      </c>
      <c r="G352" s="191" t="n">
        <f aca="false">IF(SUMIF($D$351:$H$351,"&gt;0")=0,IFERROR(G347/$C$347,0),MAX(0,G351)/SUMIF($D$351:$H$351,"&gt;0"))</f>
        <v>0.304560841359346</v>
      </c>
      <c r="H352" s="192" t="n">
        <f aca="false">IF(SUMIF($D$351:$H$351,"&gt;0")=0,IFERROR(H347/$C$347,0),MAX(0,H351)/SUMIF($D$351:$H$351,"&gt;0"))</f>
        <v>0.216420247374966</v>
      </c>
    </row>
    <row r="354" customFormat="false" ht="15" hidden="false" customHeight="false" outlineLevel="0" collapsed="false">
      <c r="A354" s="61" t="s">
        <v>328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customFormat="false" ht="15" hidden="false" customHeight="false" outlineLevel="0" collapsed="false">
      <c r="D355" s="193" t="s">
        <v>329</v>
      </c>
      <c r="E355" s="193" t="s">
        <v>330</v>
      </c>
      <c r="J355" s="153" t="s">
        <v>331</v>
      </c>
      <c r="N355" s="194" t="n">
        <f aca="false">IFERROR($I$366/$I$39,0)</f>
        <v>1</v>
      </c>
    </row>
    <row r="356" customFormat="false" ht="15" hidden="false" customHeight="false" outlineLevel="0" collapsed="false">
      <c r="B356" s="68" t="s">
        <v>121</v>
      </c>
      <c r="C356" s="68" t="s">
        <v>2</v>
      </c>
      <c r="D356" s="44" t="s">
        <v>332</v>
      </c>
      <c r="E356" s="44" t="s">
        <v>333</v>
      </c>
      <c r="F356" s="68" t="s">
        <v>334</v>
      </c>
      <c r="G356" s="68" t="s">
        <v>335</v>
      </c>
      <c r="H356" s="68" t="s">
        <v>336</v>
      </c>
      <c r="I356" s="68" t="s">
        <v>337</v>
      </c>
      <c r="J356" s="68"/>
      <c r="K356" s="68" t="s">
        <v>336</v>
      </c>
      <c r="L356" s="68" t="s">
        <v>338</v>
      </c>
      <c r="M356" s="68" t="s">
        <v>339</v>
      </c>
      <c r="N356" s="44" t="s">
        <v>340</v>
      </c>
      <c r="O356" s="68" t="s">
        <v>341</v>
      </c>
      <c r="P356" s="44" t="s">
        <v>342</v>
      </c>
      <c r="Q356" s="44" t="s">
        <v>343</v>
      </c>
      <c r="R356" s="68" t="s">
        <v>344</v>
      </c>
      <c r="S356" s="68" t="s">
        <v>345</v>
      </c>
    </row>
    <row r="357" customFormat="false" ht="15" hidden="false" customHeight="false" outlineLevel="0" collapsed="false">
      <c r="B357" s="151" t="s">
        <v>20</v>
      </c>
    </row>
    <row r="358" customFormat="false" ht="15" hidden="false" customHeight="false" outlineLevel="0" collapsed="false">
      <c r="B358" s="32" t="s">
        <v>20</v>
      </c>
      <c r="C358" s="36" t="s">
        <v>346</v>
      </c>
      <c r="D358" s="195" t="n">
        <v>0</v>
      </c>
      <c r="E358" s="196" t="n">
        <v>1</v>
      </c>
      <c r="F358" s="36" t="s">
        <v>347</v>
      </c>
      <c r="G358" s="197" t="n">
        <v>220000</v>
      </c>
      <c r="H358" s="198" t="s">
        <v>348</v>
      </c>
      <c r="I358" s="127" t="n">
        <f aca="false">$E$82</f>
        <v>4995.7875</v>
      </c>
      <c r="J358" s="199" t="s">
        <v>63</v>
      </c>
      <c r="K358" s="36" t="s">
        <v>349</v>
      </c>
      <c r="L358" s="200" t="n">
        <f aca="false">G358/I358*1000</f>
        <v>44037.1012578097</v>
      </c>
      <c r="M358" s="37" t="n">
        <f aca="false">G358*$I$42</f>
        <v>158128.466085482</v>
      </c>
      <c r="N358" s="37" t="n">
        <f aca="false">IF(D358=1,M358*$D$555,0)</f>
        <v>0</v>
      </c>
      <c r="O358" s="37" t="n">
        <f aca="false">M358+N358</f>
        <v>158128.466085482</v>
      </c>
      <c r="P358" s="194" t="n">
        <f aca="false">CHOOSE(E358,0,1,$N$355)</f>
        <v>0</v>
      </c>
      <c r="Q358" s="37" t="n">
        <f aca="false">N358*P358</f>
        <v>0</v>
      </c>
      <c r="R358" s="37" t="n">
        <f aca="false">O358-Q358</f>
        <v>158128.466085482</v>
      </c>
      <c r="S358" s="201" t="s">
        <v>350</v>
      </c>
    </row>
    <row r="359" customFormat="false" ht="15" hidden="false" customHeight="false" outlineLevel="0" collapsed="false">
      <c r="C359" s="36" t="s">
        <v>351</v>
      </c>
      <c r="D359" s="195" t="n">
        <v>0</v>
      </c>
      <c r="E359" s="196" t="n">
        <v>1</v>
      </c>
      <c r="H359" s="198" t="s">
        <v>352</v>
      </c>
      <c r="I359" s="37" t="n">
        <f aca="false">$M$358</f>
        <v>158128.466085482</v>
      </c>
      <c r="J359" s="199" t="s">
        <v>63</v>
      </c>
      <c r="K359" s="36" t="s">
        <v>353</v>
      </c>
      <c r="L359" s="202" t="n">
        <v>0.056</v>
      </c>
      <c r="M359" s="37" t="n">
        <f aca="false">I359*L359</f>
        <v>8855.19410078699</v>
      </c>
      <c r="N359" s="37" t="n">
        <f aca="false">IF(D359=1,M359*$D$555,0)</f>
        <v>0</v>
      </c>
      <c r="O359" s="37" t="n">
        <f aca="false">M359+N359</f>
        <v>8855.19410078699</v>
      </c>
      <c r="P359" s="194" t="n">
        <f aca="false">CHOOSE(E359,0,1,$N$355)</f>
        <v>0</v>
      </c>
      <c r="Q359" s="37" t="n">
        <f aca="false">N359*P359</f>
        <v>0</v>
      </c>
      <c r="R359" s="37" t="n">
        <f aca="false">O359-Q359</f>
        <v>8855.19410078699</v>
      </c>
      <c r="S359" s="201" t="s">
        <v>102</v>
      </c>
    </row>
    <row r="360" customFormat="false" ht="15" hidden="false" customHeight="false" outlineLevel="0" collapsed="false">
      <c r="C360" s="36" t="s">
        <v>354</v>
      </c>
      <c r="D360" s="195" t="n">
        <v>0</v>
      </c>
      <c r="E360" s="196" t="n">
        <v>1</v>
      </c>
      <c r="F360" s="36" t="s">
        <v>355</v>
      </c>
      <c r="G360" s="197" t="n">
        <v>250000</v>
      </c>
      <c r="H360" s="203" t="s">
        <v>356</v>
      </c>
      <c r="I360" s="202" t="n">
        <v>0</v>
      </c>
      <c r="J360" s="199" t="s">
        <v>63</v>
      </c>
      <c r="K360" s="36" t="s">
        <v>357</v>
      </c>
      <c r="L360" s="204" t="n">
        <v>10.17</v>
      </c>
      <c r="M360" s="37" t="n">
        <f aca="false">G360*I360*L360*$I$42</f>
        <v>0</v>
      </c>
      <c r="N360" s="37" t="n">
        <f aca="false">IF(D360=1,M360*$D$555,0)</f>
        <v>0</v>
      </c>
      <c r="O360" s="37" t="n">
        <f aca="false">M360+N360</f>
        <v>0</v>
      </c>
      <c r="P360" s="194" t="n">
        <f aca="false">CHOOSE(E360,0,1,$N$355)</f>
        <v>0</v>
      </c>
      <c r="Q360" s="37" t="n">
        <f aca="false">N360*P360</f>
        <v>0</v>
      </c>
      <c r="R360" s="37" t="n">
        <f aca="false">O360-Q360</f>
        <v>0</v>
      </c>
      <c r="S360" s="201" t="s">
        <v>102</v>
      </c>
    </row>
    <row r="361" customFormat="false" ht="15" hidden="false" customHeight="false" outlineLevel="0" collapsed="false">
      <c r="C361" s="36" t="s">
        <v>358</v>
      </c>
      <c r="D361" s="195" t="n">
        <v>0</v>
      </c>
      <c r="E361" s="196" t="n">
        <v>1</v>
      </c>
      <c r="H361" s="198" t="s">
        <v>306</v>
      </c>
      <c r="I361" s="197" t="n">
        <v>0</v>
      </c>
      <c r="M361" s="37" t="n">
        <f aca="false">I361*$I$42</f>
        <v>0</v>
      </c>
      <c r="N361" s="37" t="n">
        <f aca="false">IF(D361=1,M361*$D$555,0)</f>
        <v>0</v>
      </c>
      <c r="O361" s="37" t="n">
        <f aca="false">M361+N361</f>
        <v>0</v>
      </c>
      <c r="P361" s="194" t="n">
        <f aca="false">CHOOSE(E361,0,1,$N$355)</f>
        <v>0</v>
      </c>
      <c r="Q361" s="37" t="n">
        <f aca="false">N361*P361</f>
        <v>0</v>
      </c>
      <c r="R361" s="37" t="n">
        <f aca="false">O361-Q361</f>
        <v>0</v>
      </c>
      <c r="S361" s="201" t="s">
        <v>102</v>
      </c>
    </row>
    <row r="362" customFormat="false" ht="15" hidden="false" customHeight="false" outlineLevel="0" collapsed="false">
      <c r="C362" s="36" t="s">
        <v>359</v>
      </c>
      <c r="D362" s="195" t="n">
        <v>0</v>
      </c>
      <c r="E362" s="196" t="n">
        <v>1</v>
      </c>
      <c r="H362" s="198" t="s">
        <v>360</v>
      </c>
      <c r="I362" s="197" t="n">
        <v>5324</v>
      </c>
      <c r="M362" s="37" t="n">
        <f aca="false">I362*$I$42</f>
        <v>3826.70887926866</v>
      </c>
      <c r="N362" s="37" t="n">
        <f aca="false">IF(D362=1,M362*$D$555,0)</f>
        <v>0</v>
      </c>
      <c r="O362" s="37" t="n">
        <f aca="false">M362+N362</f>
        <v>3826.70887926866</v>
      </c>
      <c r="P362" s="194" t="n">
        <f aca="false">CHOOSE(E362,0,1,$N$355)</f>
        <v>0</v>
      </c>
      <c r="Q362" s="37" t="n">
        <f aca="false">N362*P362</f>
        <v>0</v>
      </c>
      <c r="R362" s="37" t="n">
        <f aca="false">O362-Q362</f>
        <v>3826.70887926866</v>
      </c>
      <c r="S362" s="201" t="s">
        <v>361</v>
      </c>
    </row>
    <row r="363" customFormat="false" ht="15" hidden="false" customHeight="false" outlineLevel="0" collapsed="false">
      <c r="B363" s="205" t="s">
        <v>362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06" t="n">
        <f aca="false">SUM(M358:M362)</f>
        <v>170810.369065538</v>
      </c>
      <c r="N363" s="206" t="n">
        <f aca="false">SUM(N358:N362)</f>
        <v>0</v>
      </c>
      <c r="O363" s="206" t="n">
        <f aca="false">SUM(O358:O362)</f>
        <v>170810.369065538</v>
      </c>
      <c r="P363" s="207" t="n">
        <f aca="false">SUM(P358:P362)</f>
        <v>0</v>
      </c>
      <c r="Q363" s="206" t="n">
        <f aca="false">SUM(Q358:Q362)</f>
        <v>0</v>
      </c>
      <c r="R363" s="206" t="n">
        <f aca="false">SUM(R358:R362)</f>
        <v>170810.369065538</v>
      </c>
      <c r="S363" s="1"/>
    </row>
    <row r="364" customFormat="false" ht="15" hidden="false" customHeight="false" outlineLevel="0" collapsed="false">
      <c r="B364" s="151" t="s">
        <v>363</v>
      </c>
    </row>
    <row r="365" customFormat="false" ht="15" hidden="false" customHeight="false" outlineLevel="0" collapsed="false">
      <c r="B365" s="32" t="s">
        <v>22</v>
      </c>
      <c r="C365" s="36" t="s">
        <v>364</v>
      </c>
      <c r="D365" s="195" t="n">
        <v>1</v>
      </c>
      <c r="E365" s="196" t="n">
        <v>1</v>
      </c>
      <c r="H365" s="198" t="s">
        <v>365</v>
      </c>
      <c r="I365" s="127" t="n">
        <f aca="false">$I$40</f>
        <v>0</v>
      </c>
      <c r="J365" s="199" t="s">
        <v>63</v>
      </c>
      <c r="K365" s="36" t="s">
        <v>366</v>
      </c>
      <c r="L365" s="208" t="n">
        <v>7585.77</v>
      </c>
      <c r="M365" s="37" t="n">
        <f aca="false">I365*L365/1000</f>
        <v>0</v>
      </c>
      <c r="N365" s="37" t="n">
        <f aca="false">IF(D365=1,M365*$D$555,0)</f>
        <v>0</v>
      </c>
      <c r="O365" s="37" t="n">
        <f aca="false">M365+N365</f>
        <v>0</v>
      </c>
      <c r="P365" s="194" t="n">
        <f aca="false">CHOOSE(E365,0,1,$N$355)</f>
        <v>0</v>
      </c>
      <c r="Q365" s="37" t="n">
        <f aca="false">N365*P365</f>
        <v>0</v>
      </c>
      <c r="R365" s="37" t="n">
        <f aca="false">O365-Q365</f>
        <v>0</v>
      </c>
      <c r="S365" s="209" t="s">
        <v>367</v>
      </c>
    </row>
    <row r="366" customFormat="false" ht="15" hidden="false" customHeight="false" outlineLevel="0" collapsed="false">
      <c r="C366" s="36" t="s">
        <v>368</v>
      </c>
      <c r="D366" s="195" t="n">
        <v>1</v>
      </c>
      <c r="E366" s="196" t="n">
        <v>2</v>
      </c>
      <c r="H366" s="198" t="s">
        <v>365</v>
      </c>
      <c r="I366" s="127" t="n">
        <f aca="false">$I$39-$I$40</f>
        <v>58803.250275</v>
      </c>
      <c r="J366" s="199" t="s">
        <v>63</v>
      </c>
      <c r="K366" s="36" t="s">
        <v>366</v>
      </c>
      <c r="L366" s="208" t="n">
        <v>7181.66</v>
      </c>
      <c r="M366" s="37" t="n">
        <f aca="false">I366*L366/1000</f>
        <v>422304.950369957</v>
      </c>
      <c r="N366" s="37" t="n">
        <f aca="false">IF(D366=1,M366*$D$555,0)</f>
        <v>42230.4950369957</v>
      </c>
      <c r="O366" s="37" t="n">
        <f aca="false">M366+N366</f>
        <v>464535.445406952</v>
      </c>
      <c r="P366" s="194" t="n">
        <f aca="false">CHOOSE(E366,0,1,$N$355)</f>
        <v>1</v>
      </c>
      <c r="Q366" s="37" t="n">
        <f aca="false">N366*P366</f>
        <v>42230.4950369957</v>
      </c>
      <c r="R366" s="37" t="n">
        <f aca="false">O366-Q366</f>
        <v>422304.950369957</v>
      </c>
      <c r="S366" s="209" t="s">
        <v>367</v>
      </c>
    </row>
    <row r="367" customFormat="false" ht="15" hidden="false" customHeight="false" outlineLevel="0" collapsed="false">
      <c r="B367" s="210" t="s">
        <v>369</v>
      </c>
      <c r="C367" s="211"/>
      <c r="D367" s="211"/>
      <c r="E367" s="211"/>
      <c r="F367" s="211"/>
      <c r="G367" s="211"/>
      <c r="H367" s="211"/>
      <c r="I367" s="211"/>
      <c r="J367" s="211"/>
      <c r="K367" s="211"/>
      <c r="L367" s="211"/>
      <c r="M367" s="212" t="n">
        <f aca="false">SUM(M365:M366)</f>
        <v>422304.950369957</v>
      </c>
      <c r="N367" s="212" t="n">
        <f aca="false">SUM(N365:N366)</f>
        <v>42230.4950369957</v>
      </c>
      <c r="O367" s="212" t="n">
        <f aca="false">SUM(O365:O366)</f>
        <v>464535.445406952</v>
      </c>
      <c r="P367" s="213" t="n">
        <f aca="false">SUM(P365:P366)</f>
        <v>1</v>
      </c>
      <c r="Q367" s="212" t="n">
        <f aca="false">SUM(Q365:Q366)</f>
        <v>42230.4950369957</v>
      </c>
      <c r="R367" s="212" t="n">
        <f aca="false">SUM(R365:R366)</f>
        <v>422304.950369957</v>
      </c>
      <c r="S367" s="211"/>
    </row>
    <row r="368" customFormat="false" ht="15" hidden="false" customHeight="false" outlineLevel="0" collapsed="false">
      <c r="B368" s="32" t="s">
        <v>24</v>
      </c>
      <c r="C368" s="36" t="s">
        <v>370</v>
      </c>
      <c r="D368" s="195" t="n">
        <v>1</v>
      </c>
      <c r="E368" s="196" t="n">
        <v>1</v>
      </c>
      <c r="H368" s="198" t="s">
        <v>365</v>
      </c>
      <c r="I368" s="127" t="n">
        <f aca="false">$I$40</f>
        <v>0</v>
      </c>
      <c r="J368" s="199" t="s">
        <v>63</v>
      </c>
      <c r="K368" s="36" t="s">
        <v>371</v>
      </c>
      <c r="L368" s="208" t="n">
        <v>421.4</v>
      </c>
      <c r="M368" s="37" t="n">
        <f aca="false">I368*L368/1000</f>
        <v>0</v>
      </c>
      <c r="N368" s="37" t="n">
        <f aca="false">IF(D368=1,M368*$D$555,0)</f>
        <v>0</v>
      </c>
      <c r="O368" s="37" t="n">
        <f aca="false">M368+N368</f>
        <v>0</v>
      </c>
      <c r="P368" s="194" t="n">
        <f aca="false">CHOOSE(E368,0,1,$N$355)</f>
        <v>0</v>
      </c>
      <c r="Q368" s="37" t="n">
        <f aca="false">N368*P368</f>
        <v>0</v>
      </c>
      <c r="R368" s="37" t="n">
        <f aca="false">O368-Q368</f>
        <v>0</v>
      </c>
      <c r="S368" s="209" t="s">
        <v>372</v>
      </c>
    </row>
    <row r="369" customFormat="false" ht="15" hidden="false" customHeight="false" outlineLevel="0" collapsed="false">
      <c r="C369" s="36" t="s">
        <v>373</v>
      </c>
      <c r="D369" s="195" t="n">
        <v>1</v>
      </c>
      <c r="E369" s="196" t="n">
        <v>2</v>
      </c>
      <c r="H369" s="198" t="s">
        <v>365</v>
      </c>
      <c r="I369" s="127" t="n">
        <f aca="false">$I$366</f>
        <v>58803.250275</v>
      </c>
      <c r="J369" s="199" t="s">
        <v>63</v>
      </c>
      <c r="K369" s="36" t="s">
        <v>371</v>
      </c>
      <c r="L369" s="208" t="n">
        <v>421.4</v>
      </c>
      <c r="M369" s="37" t="n">
        <f aca="false">I369*L369/1000</f>
        <v>24779.689665885</v>
      </c>
      <c r="N369" s="37" t="n">
        <f aca="false">IF(D369=1,M369*$D$555,0)</f>
        <v>2477.9689665885</v>
      </c>
      <c r="O369" s="37" t="n">
        <f aca="false">M369+N369</f>
        <v>27257.6586324735</v>
      </c>
      <c r="P369" s="194" t="n">
        <f aca="false">CHOOSE(E369,0,1,$N$355)</f>
        <v>1</v>
      </c>
      <c r="Q369" s="37" t="n">
        <f aca="false">N369*P369</f>
        <v>2477.9689665885</v>
      </c>
      <c r="R369" s="37" t="n">
        <f aca="false">O369-Q369</f>
        <v>24779.689665885</v>
      </c>
      <c r="S369" s="209" t="s">
        <v>372</v>
      </c>
    </row>
    <row r="370" customFormat="false" ht="15" hidden="false" customHeight="false" outlineLevel="0" collapsed="false">
      <c r="C370" s="36" t="s">
        <v>374</v>
      </c>
      <c r="D370" s="195" t="n">
        <v>1</v>
      </c>
      <c r="E370" s="196" t="n">
        <v>1</v>
      </c>
      <c r="H370" s="198" t="s">
        <v>365</v>
      </c>
      <c r="I370" s="127" t="n">
        <f aca="false">$I$40</f>
        <v>0</v>
      </c>
      <c r="J370" s="199" t="s">
        <v>63</v>
      </c>
      <c r="K370" s="36" t="s">
        <v>371</v>
      </c>
      <c r="L370" s="208" t="n">
        <v>2983.14</v>
      </c>
      <c r="M370" s="37" t="n">
        <f aca="false">I370*L370/1000</f>
        <v>0</v>
      </c>
      <c r="N370" s="37" t="n">
        <f aca="false">IF(D370=1,M370*$D$555,0)</f>
        <v>0</v>
      </c>
      <c r="O370" s="37" t="n">
        <f aca="false">M370+N370</f>
        <v>0</v>
      </c>
      <c r="P370" s="194" t="n">
        <f aca="false">CHOOSE(E370,0,1,$N$355)</f>
        <v>0</v>
      </c>
      <c r="Q370" s="37" t="n">
        <f aca="false">N370*P370</f>
        <v>0</v>
      </c>
      <c r="R370" s="37" t="n">
        <f aca="false">O370-Q370</f>
        <v>0</v>
      </c>
      <c r="S370" s="209" t="s">
        <v>372</v>
      </c>
    </row>
    <row r="371" customFormat="false" ht="15" hidden="false" customHeight="false" outlineLevel="0" collapsed="false">
      <c r="C371" s="36" t="s">
        <v>375</v>
      </c>
      <c r="D371" s="195" t="n">
        <v>1</v>
      </c>
      <c r="E371" s="196" t="n">
        <v>2</v>
      </c>
      <c r="H371" s="198" t="s">
        <v>365</v>
      </c>
      <c r="I371" s="127" t="n">
        <f aca="false">$I$366</f>
        <v>58803.250275</v>
      </c>
      <c r="J371" s="199" t="s">
        <v>63</v>
      </c>
      <c r="K371" s="36" t="s">
        <v>371</v>
      </c>
      <c r="L371" s="208" t="n">
        <v>4190.11</v>
      </c>
      <c r="M371" s="37" t="n">
        <f aca="false">I371*L371/1000</f>
        <v>246392.08700978</v>
      </c>
      <c r="N371" s="37" t="n">
        <f aca="false">IF(D371=1,M371*$D$555,0)</f>
        <v>24639.208700978</v>
      </c>
      <c r="O371" s="37" t="n">
        <f aca="false">M371+N371</f>
        <v>271031.295710758</v>
      </c>
      <c r="P371" s="194" t="n">
        <f aca="false">CHOOSE(E371,0,1,$N$355)</f>
        <v>1</v>
      </c>
      <c r="Q371" s="37" t="n">
        <f aca="false">N371*P371</f>
        <v>24639.208700978</v>
      </c>
      <c r="R371" s="37" t="n">
        <f aca="false">O371-Q371</f>
        <v>246392.08700978</v>
      </c>
      <c r="S371" s="209" t="s">
        <v>372</v>
      </c>
    </row>
    <row r="372" customFormat="false" ht="15" hidden="false" customHeight="false" outlineLevel="0" collapsed="false">
      <c r="C372" s="153" t="s">
        <v>376</v>
      </c>
      <c r="D372" s="195" t="n">
        <v>1</v>
      </c>
      <c r="E372" s="196" t="n">
        <v>1</v>
      </c>
      <c r="H372" s="198" t="s">
        <v>365</v>
      </c>
      <c r="I372" s="127" t="n">
        <f aca="false">$I$40</f>
        <v>0</v>
      </c>
      <c r="J372" s="199" t="s">
        <v>63</v>
      </c>
      <c r="K372" s="36" t="s">
        <v>371</v>
      </c>
      <c r="L372" s="208" t="n">
        <v>361.93</v>
      </c>
      <c r="M372" s="37" t="n">
        <f aca="false">I372*L372/1000</f>
        <v>0</v>
      </c>
      <c r="N372" s="37" t="n">
        <f aca="false">IF(D372=1,M372*$D$555,0)</f>
        <v>0</v>
      </c>
      <c r="O372" s="37" t="n">
        <f aca="false">M372+N372</f>
        <v>0</v>
      </c>
      <c r="P372" s="194" t="n">
        <f aca="false">CHOOSE(E372,0,1,$N$355)</f>
        <v>0</v>
      </c>
      <c r="Q372" s="37" t="n">
        <f aca="false">N372*P372</f>
        <v>0</v>
      </c>
      <c r="R372" s="37" t="n">
        <f aca="false">O372-Q372</f>
        <v>0</v>
      </c>
      <c r="S372" s="209" t="s">
        <v>372</v>
      </c>
    </row>
    <row r="373" customFormat="false" ht="15" hidden="false" customHeight="false" outlineLevel="0" collapsed="false">
      <c r="C373" s="153" t="s">
        <v>377</v>
      </c>
      <c r="D373" s="195" t="n">
        <v>1</v>
      </c>
      <c r="E373" s="196" t="n">
        <v>2</v>
      </c>
      <c r="H373" s="198" t="s">
        <v>365</v>
      </c>
      <c r="I373" s="127" t="n">
        <f aca="false">$I$366</f>
        <v>58803.250275</v>
      </c>
      <c r="J373" s="199" t="s">
        <v>63</v>
      </c>
      <c r="K373" s="36" t="s">
        <v>371</v>
      </c>
      <c r="L373" s="208" t="n">
        <v>530.56</v>
      </c>
      <c r="M373" s="37" t="n">
        <f aca="false">I373*L373/1000</f>
        <v>31198.652465904</v>
      </c>
      <c r="N373" s="37" t="n">
        <f aca="false">IF(D373=1,M373*$D$555,0)</f>
        <v>3119.8652465904</v>
      </c>
      <c r="O373" s="37" t="n">
        <f aca="false">M373+N373</f>
        <v>34318.5177124944</v>
      </c>
      <c r="P373" s="194" t="n">
        <f aca="false">CHOOSE(E373,0,1,$N$355)</f>
        <v>1</v>
      </c>
      <c r="Q373" s="37" t="n">
        <f aca="false">N373*P373</f>
        <v>3119.8652465904</v>
      </c>
      <c r="R373" s="37" t="n">
        <f aca="false">O373-Q373</f>
        <v>31198.652465904</v>
      </c>
      <c r="S373" s="209" t="s">
        <v>372</v>
      </c>
    </row>
    <row r="374" customFormat="false" ht="15" hidden="false" customHeight="false" outlineLevel="0" collapsed="false">
      <c r="C374" s="36" t="s">
        <v>378</v>
      </c>
      <c r="D374" s="195" t="n">
        <v>1</v>
      </c>
      <c r="E374" s="196" t="n">
        <v>1</v>
      </c>
      <c r="H374" s="198" t="s">
        <v>365</v>
      </c>
      <c r="I374" s="127" t="n">
        <f aca="false">$I$40</f>
        <v>0</v>
      </c>
      <c r="J374" s="199" t="s">
        <v>63</v>
      </c>
      <c r="K374" s="36" t="s">
        <v>371</v>
      </c>
      <c r="L374" s="208" t="n">
        <v>90</v>
      </c>
      <c r="M374" s="37" t="n">
        <f aca="false">I374*L374/1000</f>
        <v>0</v>
      </c>
      <c r="N374" s="37" t="n">
        <f aca="false">IF(D374=1,M374*$D$555,0)</f>
        <v>0</v>
      </c>
      <c r="O374" s="37" t="n">
        <f aca="false">M374+N374</f>
        <v>0</v>
      </c>
      <c r="P374" s="194" t="n">
        <f aca="false">CHOOSE(E374,0,1,$N$355)</f>
        <v>0</v>
      </c>
      <c r="Q374" s="37" t="n">
        <f aca="false">N374*P374</f>
        <v>0</v>
      </c>
      <c r="R374" s="37" t="n">
        <f aca="false">O374-Q374</f>
        <v>0</v>
      </c>
      <c r="S374" s="209" t="s">
        <v>372</v>
      </c>
    </row>
    <row r="375" customFormat="false" ht="15" hidden="false" customHeight="false" outlineLevel="0" collapsed="false">
      <c r="C375" s="36" t="s">
        <v>379</v>
      </c>
      <c r="D375" s="195" t="n">
        <v>1</v>
      </c>
      <c r="E375" s="196" t="n">
        <v>2</v>
      </c>
      <c r="H375" s="198" t="s">
        <v>365</v>
      </c>
      <c r="I375" s="127" t="n">
        <f aca="false">$I$366</f>
        <v>58803.250275</v>
      </c>
      <c r="J375" s="199" t="s">
        <v>63</v>
      </c>
      <c r="K375" s="36" t="s">
        <v>371</v>
      </c>
      <c r="L375" s="208" t="n">
        <v>90</v>
      </c>
      <c r="M375" s="37" t="n">
        <f aca="false">I375*L375/1000</f>
        <v>5292.29252475</v>
      </c>
      <c r="N375" s="37" t="n">
        <f aca="false">IF(D375=1,M375*$D$555,0)</f>
        <v>529.229252475</v>
      </c>
      <c r="O375" s="37" t="n">
        <f aca="false">M375+N375</f>
        <v>5821.521777225</v>
      </c>
      <c r="P375" s="194" t="n">
        <f aca="false">CHOOSE(E375,0,1,$N$355)</f>
        <v>1</v>
      </c>
      <c r="Q375" s="37" t="n">
        <f aca="false">N375*P375</f>
        <v>529.229252475</v>
      </c>
      <c r="R375" s="37" t="n">
        <f aca="false">O375-Q375</f>
        <v>5292.29252475</v>
      </c>
      <c r="S375" s="209" t="s">
        <v>372</v>
      </c>
    </row>
    <row r="376" customFormat="false" ht="15" hidden="false" customHeight="false" outlineLevel="0" collapsed="false">
      <c r="C376" s="36" t="s">
        <v>380</v>
      </c>
      <c r="D376" s="195" t="n">
        <v>1</v>
      </c>
      <c r="E376" s="196" t="n">
        <v>1</v>
      </c>
      <c r="H376" s="198" t="s">
        <v>365</v>
      </c>
      <c r="I376" s="127" t="n">
        <f aca="false">$I$39</f>
        <v>58803.250275</v>
      </c>
      <c r="J376" s="199" t="s">
        <v>63</v>
      </c>
      <c r="K376" s="36" t="s">
        <v>381</v>
      </c>
      <c r="L376" s="208" t="n">
        <v>0</v>
      </c>
      <c r="M376" s="37" t="n">
        <f aca="false">I376*L376/1000</f>
        <v>0</v>
      </c>
      <c r="N376" s="37" t="n">
        <f aca="false">IF(D376=1,M376*$D$555,0)</f>
        <v>0</v>
      </c>
      <c r="O376" s="37" t="n">
        <f aca="false">M376+N376</f>
        <v>0</v>
      </c>
      <c r="P376" s="194" t="n">
        <f aca="false">CHOOSE(E376,0,1,$N$355)</f>
        <v>0</v>
      </c>
      <c r="Q376" s="37" t="n">
        <f aca="false">N376*P376</f>
        <v>0</v>
      </c>
      <c r="R376" s="37" t="n">
        <f aca="false">O376-Q376</f>
        <v>0</v>
      </c>
      <c r="S376" s="209" t="s">
        <v>372</v>
      </c>
    </row>
    <row r="377" customFormat="false" ht="15" hidden="false" customHeight="false" outlineLevel="0" collapsed="false">
      <c r="C377" s="36" t="s">
        <v>382</v>
      </c>
      <c r="D377" s="195" t="n">
        <v>1</v>
      </c>
      <c r="E377" s="196" t="n">
        <v>1</v>
      </c>
      <c r="H377" s="198" t="s">
        <v>306</v>
      </c>
      <c r="I377" s="197" t="n">
        <v>0</v>
      </c>
      <c r="M377" s="37" t="n">
        <f aca="false">I377</f>
        <v>0</v>
      </c>
      <c r="N377" s="37" t="n">
        <f aca="false">IF(D377=1,M377*$D$555,0)</f>
        <v>0</v>
      </c>
      <c r="O377" s="37" t="n">
        <f aca="false">M377+N377</f>
        <v>0</v>
      </c>
      <c r="P377" s="194" t="n">
        <f aca="false">CHOOSE(E377,0,1,$N$355)</f>
        <v>0</v>
      </c>
      <c r="Q377" s="37" t="n">
        <f aca="false">N377*P377</f>
        <v>0</v>
      </c>
      <c r="R377" s="37" t="n">
        <f aca="false">O377-Q377</f>
        <v>0</v>
      </c>
      <c r="S377" s="209" t="s">
        <v>372</v>
      </c>
    </row>
    <row r="378" customFormat="false" ht="15" hidden="false" customHeight="false" outlineLevel="0" collapsed="false">
      <c r="C378" s="153" t="s">
        <v>383</v>
      </c>
      <c r="D378" s="195" t="n">
        <v>1</v>
      </c>
      <c r="E378" s="196" t="n">
        <v>1</v>
      </c>
      <c r="H378" s="198" t="s">
        <v>365</v>
      </c>
      <c r="I378" s="127" t="n">
        <f aca="false">$I$40</f>
        <v>0</v>
      </c>
      <c r="J378" s="199" t="s">
        <v>63</v>
      </c>
      <c r="K378" s="36" t="s">
        <v>371</v>
      </c>
      <c r="L378" s="208" t="n">
        <v>488.93</v>
      </c>
      <c r="M378" s="37" t="n">
        <f aca="false">I378*L378/1000</f>
        <v>0</v>
      </c>
      <c r="N378" s="37" t="n">
        <f aca="false">IF(D378=1,M378*$D$555,0)</f>
        <v>0</v>
      </c>
      <c r="O378" s="37" t="n">
        <f aca="false">M378+N378</f>
        <v>0</v>
      </c>
      <c r="P378" s="194" t="n">
        <f aca="false">CHOOSE(E378,0,1,$N$355)</f>
        <v>0</v>
      </c>
      <c r="Q378" s="37" t="n">
        <f aca="false">N378*P378</f>
        <v>0</v>
      </c>
      <c r="R378" s="37" t="n">
        <f aca="false">O378-Q378</f>
        <v>0</v>
      </c>
      <c r="S378" s="209" t="s">
        <v>372</v>
      </c>
    </row>
    <row r="379" customFormat="false" ht="15" hidden="false" customHeight="false" outlineLevel="0" collapsed="false">
      <c r="C379" s="153" t="s">
        <v>384</v>
      </c>
      <c r="D379" s="195" t="n">
        <v>1</v>
      </c>
      <c r="E379" s="196" t="n">
        <v>2</v>
      </c>
      <c r="H379" s="198" t="s">
        <v>365</v>
      </c>
      <c r="I379" s="127" t="n">
        <f aca="false">$I$366</f>
        <v>58803.250275</v>
      </c>
      <c r="J379" s="199" t="s">
        <v>63</v>
      </c>
      <c r="K379" s="36" t="s">
        <v>371</v>
      </c>
      <c r="L379" s="208" t="n">
        <v>488.93</v>
      </c>
      <c r="M379" s="37" t="n">
        <f aca="false">I379*L379/1000</f>
        <v>28750.6731569558</v>
      </c>
      <c r="N379" s="37" t="n">
        <f aca="false">IF(D379=1,M379*$D$555,0)</f>
        <v>2875.06731569558</v>
      </c>
      <c r="O379" s="37" t="n">
        <f aca="false">M379+N379</f>
        <v>31625.7404726513</v>
      </c>
      <c r="P379" s="194" t="n">
        <f aca="false">CHOOSE(E379,0,1,$N$355)</f>
        <v>1</v>
      </c>
      <c r="Q379" s="37" t="n">
        <f aca="false">N379*P379</f>
        <v>2875.06731569558</v>
      </c>
      <c r="R379" s="37" t="n">
        <f aca="false">O379-Q379</f>
        <v>28750.6731569558</v>
      </c>
      <c r="S379" s="209" t="s">
        <v>372</v>
      </c>
    </row>
    <row r="380" customFormat="false" ht="15" hidden="false" customHeight="false" outlineLevel="0" collapsed="false">
      <c r="C380" s="36" t="s">
        <v>303</v>
      </c>
      <c r="D380" s="195" t="n">
        <v>0</v>
      </c>
      <c r="E380" s="196" t="n">
        <v>1</v>
      </c>
      <c r="H380" s="198" t="s">
        <v>385</v>
      </c>
      <c r="I380" s="197" t="n">
        <v>30000</v>
      </c>
      <c r="M380" s="37" t="n">
        <f aca="false">I380*$I$41</f>
        <v>21562.9726480203</v>
      </c>
      <c r="N380" s="37" t="n">
        <f aca="false">IF(D380=1,M380*$D$555,0)</f>
        <v>0</v>
      </c>
      <c r="O380" s="37" t="n">
        <f aca="false">M380+N380</f>
        <v>21562.9726480203</v>
      </c>
      <c r="P380" s="194" t="n">
        <f aca="false">CHOOSE(E380,0,1,$N$355)</f>
        <v>0</v>
      </c>
      <c r="Q380" s="37" t="n">
        <f aca="false">N380*P380</f>
        <v>0</v>
      </c>
      <c r="R380" s="37" t="n">
        <f aca="false">O380-Q380</f>
        <v>21562.9726480203</v>
      </c>
      <c r="S380" s="209" t="s">
        <v>386</v>
      </c>
    </row>
    <row r="381" customFormat="false" ht="15" hidden="false" customHeight="false" outlineLevel="0" collapsed="false">
      <c r="B381" s="210" t="s">
        <v>387</v>
      </c>
      <c r="C381" s="211"/>
      <c r="D381" s="211"/>
      <c r="E381" s="211"/>
      <c r="F381" s="211"/>
      <c r="G381" s="211"/>
      <c r="H381" s="211"/>
      <c r="I381" s="211"/>
      <c r="J381" s="211"/>
      <c r="K381" s="211"/>
      <c r="L381" s="211"/>
      <c r="M381" s="212" t="n">
        <f aca="false">SUM(M368:M380)</f>
        <v>357976.367471295</v>
      </c>
      <c r="N381" s="212" t="n">
        <f aca="false">SUM(N368:N380)</f>
        <v>33641.3394823275</v>
      </c>
      <c r="O381" s="212" t="n">
        <f aca="false">SUM(O368:O380)</f>
        <v>391617.706953623</v>
      </c>
      <c r="P381" s="213" t="n">
        <f aca="false">SUM(P368:P380)</f>
        <v>5</v>
      </c>
      <c r="Q381" s="212" t="n">
        <f aca="false">SUM(Q368:Q380)</f>
        <v>33641.3394823275</v>
      </c>
      <c r="R381" s="212" t="n">
        <f aca="false">SUM(R368:R380)</f>
        <v>357976.367471295</v>
      </c>
      <c r="S381" s="211"/>
    </row>
    <row r="382" customFormat="false" ht="15" hidden="false" customHeight="false" outlineLevel="0" collapsed="false">
      <c r="B382" s="32" t="s">
        <v>25</v>
      </c>
      <c r="C382" s="153" t="s">
        <v>388</v>
      </c>
      <c r="D382" s="195" t="n">
        <v>1</v>
      </c>
      <c r="E382" s="196" t="n">
        <v>1</v>
      </c>
      <c r="H382" s="198" t="s">
        <v>306</v>
      </c>
      <c r="I382" s="197" t="n">
        <v>0</v>
      </c>
      <c r="M382" s="37" t="n">
        <f aca="false">I382</f>
        <v>0</v>
      </c>
      <c r="N382" s="37" t="n">
        <f aca="false">IF(D382=1,M382*$D$555,0)</f>
        <v>0</v>
      </c>
      <c r="O382" s="37" t="n">
        <f aca="false">M382+N382</f>
        <v>0</v>
      </c>
      <c r="P382" s="194" t="n">
        <f aca="false">CHOOSE(E382,0,1,$N$355)</f>
        <v>0</v>
      </c>
      <c r="Q382" s="37" t="n">
        <f aca="false">N382*P382</f>
        <v>0</v>
      </c>
      <c r="R382" s="37" t="n">
        <f aca="false">O382-Q382</f>
        <v>0</v>
      </c>
      <c r="S382" s="201" t="s">
        <v>389</v>
      </c>
    </row>
    <row r="383" customFormat="false" ht="15" hidden="false" customHeight="false" outlineLevel="0" collapsed="false">
      <c r="C383" s="153" t="s">
        <v>390</v>
      </c>
      <c r="D383" s="195" t="n">
        <v>1</v>
      </c>
      <c r="E383" s="196" t="n">
        <v>1</v>
      </c>
      <c r="H383" s="198" t="s">
        <v>391</v>
      </c>
      <c r="I383" s="197" t="n">
        <v>0</v>
      </c>
      <c r="J383" s="199" t="s">
        <v>63</v>
      </c>
      <c r="K383" s="36" t="s">
        <v>107</v>
      </c>
      <c r="L383" s="197" t="n">
        <v>0</v>
      </c>
      <c r="M383" s="37" t="n">
        <f aca="false">I383*L383</f>
        <v>0</v>
      </c>
      <c r="N383" s="37" t="n">
        <f aca="false">IF(D383=1,M383*$D$555,0)</f>
        <v>0</v>
      </c>
      <c r="O383" s="37" t="n">
        <f aca="false">M383+N383</f>
        <v>0</v>
      </c>
      <c r="P383" s="194" t="n">
        <f aca="false">CHOOSE(E383,0,1,$N$355)</f>
        <v>0</v>
      </c>
      <c r="Q383" s="37" t="n">
        <f aca="false">N383*P383</f>
        <v>0</v>
      </c>
      <c r="R383" s="37" t="n">
        <f aca="false">O383-Q383</f>
        <v>0</v>
      </c>
      <c r="S383" s="201" t="s">
        <v>389</v>
      </c>
    </row>
    <row r="384" customFormat="false" ht="15" hidden="false" customHeight="false" outlineLevel="0" collapsed="false">
      <c r="C384" s="153" t="s">
        <v>392</v>
      </c>
      <c r="D384" s="195" t="n">
        <v>1</v>
      </c>
      <c r="E384" s="196" t="n">
        <v>1</v>
      </c>
      <c r="H384" s="198" t="s">
        <v>393</v>
      </c>
      <c r="I384" s="197" t="n">
        <v>0</v>
      </c>
      <c r="J384" s="199" t="s">
        <v>63</v>
      </c>
      <c r="K384" s="36" t="s">
        <v>107</v>
      </c>
      <c r="L384" s="197" t="n">
        <v>0</v>
      </c>
      <c r="M384" s="37" t="n">
        <f aca="false">I384*L384</f>
        <v>0</v>
      </c>
      <c r="N384" s="37" t="n">
        <f aca="false">IF(D384=1,M384*$D$555,0)</f>
        <v>0</v>
      </c>
      <c r="O384" s="37" t="n">
        <f aca="false">M384+N384</f>
        <v>0</v>
      </c>
      <c r="P384" s="194" t="n">
        <f aca="false">CHOOSE(E384,0,1,$N$355)</f>
        <v>0</v>
      </c>
      <c r="Q384" s="37" t="n">
        <f aca="false">N384*P384</f>
        <v>0</v>
      </c>
      <c r="R384" s="37" t="n">
        <f aca="false">O384-Q384</f>
        <v>0</v>
      </c>
      <c r="S384" s="201" t="s">
        <v>389</v>
      </c>
    </row>
    <row r="385" customFormat="false" ht="15" hidden="false" customHeight="false" outlineLevel="0" collapsed="false">
      <c r="C385" s="36" t="s">
        <v>394</v>
      </c>
      <c r="D385" s="195" t="n">
        <v>1</v>
      </c>
      <c r="E385" s="196" t="n">
        <v>3</v>
      </c>
      <c r="H385" s="198" t="s">
        <v>385</v>
      </c>
      <c r="I385" s="197" t="n">
        <v>30000</v>
      </c>
      <c r="M385" s="37" t="n">
        <f aca="false">I385*$I$43</f>
        <v>20000</v>
      </c>
      <c r="N385" s="37" t="n">
        <f aca="false">IF(D385=1,M385*$D$555,0)</f>
        <v>2000</v>
      </c>
      <c r="O385" s="37" t="n">
        <f aca="false">M385+N385</f>
        <v>22000</v>
      </c>
      <c r="P385" s="194" t="n">
        <f aca="false">CHOOSE(E385,0,1,$N$355)</f>
        <v>1</v>
      </c>
      <c r="Q385" s="37" t="n">
        <f aca="false">N385*P385</f>
        <v>2000</v>
      </c>
      <c r="R385" s="37" t="n">
        <f aca="false">O385-Q385</f>
        <v>20000</v>
      </c>
      <c r="S385" s="201" t="s">
        <v>395</v>
      </c>
    </row>
    <row r="386" customFormat="false" ht="15" hidden="false" customHeight="false" outlineLevel="0" collapsed="false">
      <c r="B386" s="210" t="s">
        <v>396</v>
      </c>
      <c r="C386" s="211"/>
      <c r="D386" s="211"/>
      <c r="E386" s="211"/>
      <c r="F386" s="211"/>
      <c r="G386" s="211"/>
      <c r="H386" s="211"/>
      <c r="I386" s="211"/>
      <c r="J386" s="211"/>
      <c r="K386" s="211"/>
      <c r="L386" s="211"/>
      <c r="M386" s="212" t="n">
        <f aca="false">SUM(M382:M385)</f>
        <v>20000</v>
      </c>
      <c r="N386" s="212" t="n">
        <f aca="false">SUM(N382:N385)</f>
        <v>2000</v>
      </c>
      <c r="O386" s="212" t="n">
        <f aca="false">SUM(O382:O385)</f>
        <v>22000</v>
      </c>
      <c r="P386" s="213" t="n">
        <f aca="false">SUM(P382:P385)</f>
        <v>1</v>
      </c>
      <c r="Q386" s="212" t="n">
        <f aca="false">SUM(Q382:Q385)</f>
        <v>2000</v>
      </c>
      <c r="R386" s="212" t="n">
        <f aca="false">SUM(R382:R385)</f>
        <v>20000</v>
      </c>
      <c r="S386" s="211"/>
    </row>
    <row r="387" customFormat="false" ht="15" hidden="false" customHeight="false" outlineLevel="0" collapsed="false">
      <c r="B387" s="32" t="s">
        <v>26</v>
      </c>
      <c r="C387" s="36" t="s">
        <v>397</v>
      </c>
      <c r="D387" s="195" t="n">
        <v>0</v>
      </c>
      <c r="E387" s="196" t="n">
        <v>1</v>
      </c>
      <c r="H387" s="198" t="s">
        <v>398</v>
      </c>
      <c r="I387" s="197" t="n">
        <v>993232</v>
      </c>
      <c r="J387" s="199" t="s">
        <v>63</v>
      </c>
      <c r="K387" s="36" t="s">
        <v>399</v>
      </c>
      <c r="L387" s="155" t="n">
        <v>0.0298</v>
      </c>
      <c r="M387" s="37" t="n">
        <f aca="false">I387*L387*$I$44</f>
        <v>23056.2154162386</v>
      </c>
      <c r="N387" s="37" t="n">
        <f aca="false">IF(D387=1,M387*$D$555,0)</f>
        <v>0</v>
      </c>
      <c r="O387" s="37" t="n">
        <f aca="false">M387+N387</f>
        <v>23056.2154162386</v>
      </c>
      <c r="P387" s="194" t="n">
        <f aca="false">CHOOSE(E387,0,1,$N$355)</f>
        <v>0</v>
      </c>
      <c r="Q387" s="37" t="n">
        <f aca="false">N387*P387</f>
        <v>0</v>
      </c>
      <c r="R387" s="37" t="n">
        <f aca="false">O387-Q387</f>
        <v>23056.2154162386</v>
      </c>
      <c r="S387" s="201" t="s">
        <v>104</v>
      </c>
    </row>
    <row r="388" customFormat="false" ht="15" hidden="false" customHeight="false" outlineLevel="0" collapsed="false">
      <c r="C388" s="36" t="s">
        <v>400</v>
      </c>
      <c r="D388" s="195" t="n">
        <v>0</v>
      </c>
      <c r="E388" s="196" t="n">
        <v>1</v>
      </c>
      <c r="H388" s="198" t="s">
        <v>306</v>
      </c>
      <c r="I388" s="197" t="n">
        <v>0</v>
      </c>
      <c r="M388" s="37" t="n">
        <f aca="false">I388</f>
        <v>0</v>
      </c>
      <c r="N388" s="37" t="n">
        <f aca="false">IF(D388=1,M388*$D$555,0)</f>
        <v>0</v>
      </c>
      <c r="O388" s="37" t="n">
        <f aca="false">M388+N388</f>
        <v>0</v>
      </c>
      <c r="P388" s="194" t="n">
        <f aca="false">CHOOSE(E388,0,1,$N$355)</f>
        <v>0</v>
      </c>
      <c r="Q388" s="37" t="n">
        <f aca="false">N388*P388</f>
        <v>0</v>
      </c>
      <c r="R388" s="37" t="n">
        <f aca="false">O388-Q388</f>
        <v>0</v>
      </c>
      <c r="S388" s="201" t="s">
        <v>104</v>
      </c>
    </row>
    <row r="389" customFormat="false" ht="15" hidden="false" customHeight="false" outlineLevel="0" collapsed="false">
      <c r="B389" s="210" t="s">
        <v>401</v>
      </c>
      <c r="C389" s="211"/>
      <c r="D389" s="211"/>
      <c r="E389" s="211"/>
      <c r="F389" s="211"/>
      <c r="G389" s="211"/>
      <c r="H389" s="211"/>
      <c r="I389" s="211"/>
      <c r="J389" s="211"/>
      <c r="K389" s="211"/>
      <c r="L389" s="211"/>
      <c r="M389" s="212" t="n">
        <f aca="false">SUM(M387:M388)</f>
        <v>23056.2154162386</v>
      </c>
      <c r="N389" s="212" t="n">
        <f aca="false">SUM(N387:N388)</f>
        <v>0</v>
      </c>
      <c r="O389" s="212" t="n">
        <f aca="false">SUM(O387:O388)</f>
        <v>23056.2154162386</v>
      </c>
      <c r="P389" s="213" t="n">
        <f aca="false">SUM(P387:P388)</f>
        <v>0</v>
      </c>
      <c r="Q389" s="212" t="n">
        <f aca="false">SUM(Q387:Q388)</f>
        <v>0</v>
      </c>
      <c r="R389" s="212" t="n">
        <f aca="false">SUM(R387:R388)</f>
        <v>23056.2154162386</v>
      </c>
      <c r="S389" s="211"/>
    </row>
    <row r="390" customFormat="false" ht="15" hidden="false" customHeight="false" outlineLevel="0" collapsed="false">
      <c r="B390" s="205" t="s">
        <v>402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06" t="n">
        <f aca="false">M363+M367+M381+M386+M389</f>
        <v>994147.902323028</v>
      </c>
      <c r="N390" s="206" t="n">
        <f aca="false">N363+N367+N381+N386+N389</f>
        <v>77871.8345193232</v>
      </c>
      <c r="O390" s="206" t="n">
        <f aca="false">O363+O367+O381+O386+O389</f>
        <v>1072019.73684235</v>
      </c>
      <c r="P390" s="1"/>
      <c r="Q390" s="206" t="n">
        <f aca="false">Q363+Q367+Q381+Q386+Q389</f>
        <v>77871.8345193232</v>
      </c>
      <c r="R390" s="206" t="n">
        <f aca="false">R363+R367+R381+R386+R389</f>
        <v>994147.902323028</v>
      </c>
      <c r="S390" s="1"/>
    </row>
    <row r="391" customFormat="false" ht="15" hidden="false" customHeight="false" outlineLevel="0" collapsed="false">
      <c r="B391" s="151" t="s">
        <v>300</v>
      </c>
    </row>
    <row r="392" customFormat="false" ht="15" hidden="false" customHeight="false" outlineLevel="0" collapsed="false">
      <c r="B392" s="32" t="s">
        <v>300</v>
      </c>
      <c r="C392" s="153" t="s">
        <v>403</v>
      </c>
      <c r="D392" s="195" t="n">
        <v>0</v>
      </c>
      <c r="E392" s="196" t="n">
        <v>1</v>
      </c>
      <c r="H392" s="198" t="s">
        <v>306</v>
      </c>
      <c r="I392" s="37" t="n">
        <f aca="false">$E$561</f>
        <v>25572.128365</v>
      </c>
      <c r="K392" s="214" t="s">
        <v>404</v>
      </c>
      <c r="M392" s="37" t="n">
        <f aca="false">I392</f>
        <v>25572.128365</v>
      </c>
      <c r="N392" s="37" t="n">
        <f aca="false">IF(D392=1,M392*$D$555,0)</f>
        <v>0</v>
      </c>
      <c r="O392" s="37" t="n">
        <f aca="false">M392+N392</f>
        <v>25572.128365</v>
      </c>
      <c r="P392" s="194" t="n">
        <f aca="false">CHOOSE(E392,0,1,$N$355)</f>
        <v>0</v>
      </c>
      <c r="Q392" s="37" t="n">
        <f aca="false">N392*P392</f>
        <v>0</v>
      </c>
      <c r="R392" s="37" t="n">
        <f aca="false">O392-Q392</f>
        <v>25572.128365</v>
      </c>
      <c r="S392" s="209" t="s">
        <v>405</v>
      </c>
    </row>
    <row r="393" customFormat="false" ht="15" hidden="false" customHeight="false" outlineLevel="0" collapsed="false">
      <c r="C393" s="153" t="s">
        <v>406</v>
      </c>
      <c r="D393" s="195" t="n">
        <v>0</v>
      </c>
      <c r="E393" s="196" t="n">
        <v>1</v>
      </c>
      <c r="H393" s="198" t="s">
        <v>306</v>
      </c>
      <c r="I393" s="37" t="n">
        <f aca="false">$E$562</f>
        <v>17514.785455</v>
      </c>
      <c r="K393" s="214" t="s">
        <v>404</v>
      </c>
      <c r="M393" s="37" t="n">
        <f aca="false">I393</f>
        <v>17514.785455</v>
      </c>
      <c r="N393" s="37" t="n">
        <f aca="false">IF(D393=1,M393*$D$555,0)</f>
        <v>0</v>
      </c>
      <c r="O393" s="37" t="n">
        <f aca="false">M393+N393</f>
        <v>17514.785455</v>
      </c>
      <c r="P393" s="194" t="n">
        <f aca="false">CHOOSE(E393,0,1,$N$355)</f>
        <v>0</v>
      </c>
      <c r="Q393" s="37" t="n">
        <f aca="false">N393*P393</f>
        <v>0</v>
      </c>
      <c r="R393" s="37" t="n">
        <f aca="false">O393-Q393</f>
        <v>17514.785455</v>
      </c>
      <c r="S393" s="209" t="s">
        <v>405</v>
      </c>
    </row>
    <row r="394" customFormat="false" ht="15" hidden="false" customHeight="false" outlineLevel="0" collapsed="false">
      <c r="C394" s="153" t="s">
        <v>407</v>
      </c>
      <c r="D394" s="195" t="n">
        <v>0</v>
      </c>
      <c r="E394" s="196" t="n">
        <v>1</v>
      </c>
      <c r="H394" s="198" t="s">
        <v>306</v>
      </c>
      <c r="I394" s="37" t="n">
        <f aca="false">$E$563</f>
        <v>27318.470733</v>
      </c>
      <c r="K394" s="214" t="s">
        <v>404</v>
      </c>
      <c r="M394" s="37" t="n">
        <f aca="false">I394</f>
        <v>27318.470733</v>
      </c>
      <c r="N394" s="37" t="n">
        <f aca="false">IF(D394=1,M394*$D$555,0)</f>
        <v>0</v>
      </c>
      <c r="O394" s="37" t="n">
        <f aca="false">M394+N394</f>
        <v>27318.470733</v>
      </c>
      <c r="P394" s="194" t="n">
        <f aca="false">CHOOSE(E394,0,1,$N$355)</f>
        <v>0</v>
      </c>
      <c r="Q394" s="37" t="n">
        <f aca="false">N394*P394</f>
        <v>0</v>
      </c>
      <c r="R394" s="37" t="n">
        <f aca="false">O394-Q394</f>
        <v>27318.470733</v>
      </c>
      <c r="S394" s="209" t="s">
        <v>405</v>
      </c>
    </row>
    <row r="395" customFormat="false" ht="15" hidden="false" customHeight="false" outlineLevel="0" collapsed="false">
      <c r="C395" s="153" t="s">
        <v>408</v>
      </c>
      <c r="D395" s="195" t="n">
        <v>0</v>
      </c>
      <c r="E395" s="196" t="n">
        <v>1</v>
      </c>
      <c r="H395" s="198" t="s">
        <v>306</v>
      </c>
      <c r="I395" s="37" t="n">
        <f aca="false">$E$564</f>
        <v>648.210538</v>
      </c>
      <c r="K395" s="214" t="s">
        <v>404</v>
      </c>
      <c r="M395" s="37" t="n">
        <f aca="false">I395</f>
        <v>648.210538</v>
      </c>
      <c r="N395" s="37" t="n">
        <f aca="false">IF(D395=1,M395*$D$555,0)</f>
        <v>0</v>
      </c>
      <c r="O395" s="37" t="n">
        <f aca="false">M395+N395</f>
        <v>648.210538</v>
      </c>
      <c r="P395" s="194" t="n">
        <f aca="false">CHOOSE(E395,0,1,$N$355)</f>
        <v>0</v>
      </c>
      <c r="Q395" s="37" t="n">
        <f aca="false">N395*P395</f>
        <v>0</v>
      </c>
      <c r="R395" s="37" t="n">
        <f aca="false">O395-Q395</f>
        <v>648.210538</v>
      </c>
      <c r="S395" s="209" t="s">
        <v>405</v>
      </c>
    </row>
    <row r="396" customFormat="false" ht="15" hidden="false" customHeight="false" outlineLevel="0" collapsed="false">
      <c r="C396" s="153" t="s">
        <v>409</v>
      </c>
      <c r="D396" s="195" t="n">
        <v>0</v>
      </c>
      <c r="E396" s="196" t="n">
        <v>1</v>
      </c>
      <c r="H396" s="198" t="s">
        <v>306</v>
      </c>
      <c r="I396" s="37" t="n">
        <f aca="false">$E$565</f>
        <v>903.000947</v>
      </c>
      <c r="K396" s="214" t="s">
        <v>404</v>
      </c>
      <c r="M396" s="37" t="n">
        <f aca="false">I396</f>
        <v>903.000947</v>
      </c>
      <c r="N396" s="37" t="n">
        <f aca="false">IF(D396=1,M396*$D$555,0)</f>
        <v>0</v>
      </c>
      <c r="O396" s="37" t="n">
        <f aca="false">M396+N396</f>
        <v>903.000947</v>
      </c>
      <c r="P396" s="194" t="n">
        <f aca="false">CHOOSE(E396,0,1,$N$355)</f>
        <v>0</v>
      </c>
      <c r="Q396" s="37" t="n">
        <f aca="false">N396*P396</f>
        <v>0</v>
      </c>
      <c r="R396" s="37" t="n">
        <f aca="false">O396-Q396</f>
        <v>903.000947</v>
      </c>
      <c r="S396" s="209" t="s">
        <v>405</v>
      </c>
    </row>
    <row r="397" customFormat="false" ht="15" hidden="false" customHeight="false" outlineLevel="0" collapsed="false">
      <c r="C397" s="153" t="s">
        <v>410</v>
      </c>
      <c r="D397" s="195" t="n">
        <v>0</v>
      </c>
      <c r="E397" s="196" t="n">
        <v>1</v>
      </c>
      <c r="H397" s="198" t="s">
        <v>306</v>
      </c>
      <c r="I397" s="37" t="n">
        <f aca="false">$E$566</f>
        <v>8408.855287</v>
      </c>
      <c r="K397" s="214" t="s">
        <v>404</v>
      </c>
      <c r="M397" s="37" t="n">
        <f aca="false">I397</f>
        <v>8408.855287</v>
      </c>
      <c r="N397" s="37" t="n">
        <f aca="false">IF(D397=1,M397*$D$555,0)</f>
        <v>0</v>
      </c>
      <c r="O397" s="37" t="n">
        <f aca="false">M397+N397</f>
        <v>8408.855287</v>
      </c>
      <c r="P397" s="194" t="n">
        <f aca="false">CHOOSE(E397,0,1,$N$355)</f>
        <v>0</v>
      </c>
      <c r="Q397" s="37" t="n">
        <f aca="false">N397*P397</f>
        <v>0</v>
      </c>
      <c r="R397" s="37" t="n">
        <f aca="false">O397-Q397</f>
        <v>8408.855287</v>
      </c>
      <c r="S397" s="209" t="s">
        <v>405</v>
      </c>
    </row>
    <row r="398" customFormat="false" ht="15" hidden="false" customHeight="false" outlineLevel="0" collapsed="false">
      <c r="C398" s="153" t="s">
        <v>411</v>
      </c>
      <c r="D398" s="195" t="n">
        <v>0</v>
      </c>
      <c r="E398" s="196" t="n">
        <v>1</v>
      </c>
      <c r="H398" s="198" t="s">
        <v>306</v>
      </c>
      <c r="I398" s="37" t="n">
        <f aca="false">$E$567</f>
        <v>1200.66993</v>
      </c>
      <c r="K398" s="214" t="s">
        <v>404</v>
      </c>
      <c r="M398" s="37" t="n">
        <f aca="false">I398</f>
        <v>1200.66993</v>
      </c>
      <c r="N398" s="37" t="n">
        <f aca="false">IF(D398=1,M398*$D$555,0)</f>
        <v>0</v>
      </c>
      <c r="O398" s="37" t="n">
        <f aca="false">M398+N398</f>
        <v>1200.66993</v>
      </c>
      <c r="P398" s="194" t="n">
        <f aca="false">CHOOSE(E398,0,1,$N$355)</f>
        <v>0</v>
      </c>
      <c r="Q398" s="37" t="n">
        <f aca="false">N398*P398</f>
        <v>0</v>
      </c>
      <c r="R398" s="37" t="n">
        <f aca="false">O398-Q398</f>
        <v>1200.66993</v>
      </c>
      <c r="S398" s="209" t="s">
        <v>405</v>
      </c>
    </row>
    <row r="399" customFormat="false" ht="15" hidden="false" customHeight="false" outlineLevel="0" collapsed="false">
      <c r="C399" s="153" t="s">
        <v>412</v>
      </c>
      <c r="D399" s="195" t="n">
        <v>0</v>
      </c>
      <c r="E399" s="196" t="n">
        <v>1</v>
      </c>
      <c r="H399" s="198" t="s">
        <v>306</v>
      </c>
      <c r="I399" s="37" t="n">
        <f aca="false">$E$568</f>
        <v>1201.510735</v>
      </c>
      <c r="K399" s="214" t="s">
        <v>404</v>
      </c>
      <c r="M399" s="37" t="n">
        <f aca="false">I399</f>
        <v>1201.510735</v>
      </c>
      <c r="N399" s="37" t="n">
        <f aca="false">IF(D399=1,M399*$D$555,0)</f>
        <v>0</v>
      </c>
      <c r="O399" s="37" t="n">
        <f aca="false">M399+N399</f>
        <v>1201.510735</v>
      </c>
      <c r="P399" s="194" t="n">
        <f aca="false">CHOOSE(E399,0,1,$N$355)</f>
        <v>0</v>
      </c>
      <c r="Q399" s="37" t="n">
        <f aca="false">N399*P399</f>
        <v>0</v>
      </c>
      <c r="R399" s="37" t="n">
        <f aca="false">O399-Q399</f>
        <v>1201.510735</v>
      </c>
      <c r="S399" s="209" t="s">
        <v>405</v>
      </c>
    </row>
    <row r="400" customFormat="false" ht="15" hidden="false" customHeight="false" outlineLevel="0" collapsed="false">
      <c r="C400" s="153" t="s">
        <v>413</v>
      </c>
      <c r="D400" s="195" t="n">
        <v>0</v>
      </c>
      <c r="E400" s="196" t="n">
        <v>1</v>
      </c>
      <c r="H400" s="198" t="s">
        <v>306</v>
      </c>
      <c r="I400" s="37" t="n">
        <f aca="false">$E$569</f>
        <v>6005.872064</v>
      </c>
      <c r="K400" s="214" t="s">
        <v>404</v>
      </c>
      <c r="M400" s="37" t="n">
        <f aca="false">I400</f>
        <v>6005.872064</v>
      </c>
      <c r="N400" s="37" t="n">
        <f aca="false">IF(D400=1,M400*$D$555,0)</f>
        <v>0</v>
      </c>
      <c r="O400" s="37" t="n">
        <f aca="false">M400+N400</f>
        <v>6005.872064</v>
      </c>
      <c r="P400" s="194" t="n">
        <f aca="false">CHOOSE(E400,0,1,$N$355)</f>
        <v>0</v>
      </c>
      <c r="Q400" s="37" t="n">
        <f aca="false">N400*P400</f>
        <v>0</v>
      </c>
      <c r="R400" s="37" t="n">
        <f aca="false">O400-Q400</f>
        <v>6005.872064</v>
      </c>
      <c r="S400" s="209" t="s">
        <v>405</v>
      </c>
    </row>
    <row r="401" customFormat="false" ht="15" hidden="false" customHeight="false" outlineLevel="0" collapsed="false">
      <c r="B401" s="205" t="s">
        <v>414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06" t="n">
        <f aca="false">SUM(M392:M400)</f>
        <v>88773.504054</v>
      </c>
      <c r="N401" s="206" t="n">
        <f aca="false">SUM(N392:N400)</f>
        <v>0</v>
      </c>
      <c r="O401" s="206" t="n">
        <f aca="false">SUM(O392:O400)</f>
        <v>88773.504054</v>
      </c>
      <c r="P401" s="207" t="n">
        <f aca="false">SUM(P392:P400)</f>
        <v>0</v>
      </c>
      <c r="Q401" s="206" t="n">
        <f aca="false">SUM(Q392:Q400)</f>
        <v>0</v>
      </c>
      <c r="R401" s="206" t="n">
        <f aca="false">SUM(R392:R400)</f>
        <v>88773.504054</v>
      </c>
      <c r="S401" s="1"/>
    </row>
    <row r="402" customFormat="false" ht="15" hidden="false" customHeight="false" outlineLevel="0" collapsed="false">
      <c r="B402" s="151" t="s">
        <v>325</v>
      </c>
    </row>
    <row r="403" customFormat="false" ht="15" hidden="false" customHeight="false" outlineLevel="0" collapsed="false">
      <c r="B403" s="32" t="s">
        <v>325</v>
      </c>
      <c r="C403" s="36" t="s">
        <v>415</v>
      </c>
      <c r="D403" s="195" t="n">
        <v>1</v>
      </c>
      <c r="E403" s="196" t="n">
        <v>3</v>
      </c>
      <c r="H403" s="198" t="s">
        <v>416</v>
      </c>
      <c r="I403" s="197" t="n">
        <v>1000</v>
      </c>
      <c r="J403" s="199" t="s">
        <v>63</v>
      </c>
      <c r="K403" s="36" t="s">
        <v>417</v>
      </c>
      <c r="L403" s="215" t="n">
        <f aca="false">$E$25</f>
        <v>5</v>
      </c>
      <c r="M403" s="37" t="n">
        <f aca="false">I403*L403*$I$45</f>
        <v>5000</v>
      </c>
      <c r="N403" s="37" t="n">
        <f aca="false">IF(D403=1,M403*$D$555,0)</f>
        <v>500</v>
      </c>
      <c r="O403" s="37" t="n">
        <f aca="false">M403+N403</f>
        <v>5500</v>
      </c>
      <c r="P403" s="194" t="n">
        <f aca="false">CHOOSE(E403,0,1,$N$355)</f>
        <v>1</v>
      </c>
      <c r="Q403" s="37" t="n">
        <f aca="false">N403*P403</f>
        <v>500</v>
      </c>
      <c r="R403" s="37" t="n">
        <f aca="false">O403-Q403</f>
        <v>5000</v>
      </c>
      <c r="S403" s="201" t="s">
        <v>418</v>
      </c>
    </row>
    <row r="404" customFormat="false" ht="15" hidden="false" customHeight="false" outlineLevel="0" collapsed="false">
      <c r="C404" s="36" t="s">
        <v>419</v>
      </c>
      <c r="D404" s="195" t="n">
        <v>1</v>
      </c>
      <c r="E404" s="196" t="n">
        <v>3</v>
      </c>
      <c r="H404" s="198" t="s">
        <v>420</v>
      </c>
      <c r="I404" s="37" t="n">
        <f aca="false">$M$358+$M$359</f>
        <v>166983.660186269</v>
      </c>
      <c r="J404" s="199" t="s">
        <v>63</v>
      </c>
      <c r="K404" s="36" t="s">
        <v>353</v>
      </c>
      <c r="L404" s="202" t="n">
        <v>0.02</v>
      </c>
      <c r="M404" s="37" t="n">
        <f aca="false">I404*L404</f>
        <v>3339.67320372538</v>
      </c>
      <c r="N404" s="37" t="n">
        <f aca="false">IF(D404=1,M404*$D$555,0)</f>
        <v>333.967320372538</v>
      </c>
      <c r="O404" s="37" t="n">
        <f aca="false">M404+N404</f>
        <v>3673.64052409792</v>
      </c>
      <c r="P404" s="194" t="n">
        <f aca="false">CHOOSE(E404,0,1,$N$355)</f>
        <v>1</v>
      </c>
      <c r="Q404" s="37" t="n">
        <f aca="false">N404*P404</f>
        <v>333.967320372538</v>
      </c>
      <c r="R404" s="37" t="n">
        <f aca="false">O404-Q404</f>
        <v>3339.67320372538</v>
      </c>
      <c r="S404" s="201" t="s">
        <v>102</v>
      </c>
    </row>
    <row r="405" customFormat="false" ht="15" hidden="false" customHeight="false" outlineLevel="0" collapsed="false">
      <c r="C405" s="36" t="s">
        <v>421</v>
      </c>
      <c r="D405" s="195" t="n">
        <v>1</v>
      </c>
      <c r="E405" s="196" t="n">
        <v>3</v>
      </c>
      <c r="H405" s="198" t="s">
        <v>416</v>
      </c>
      <c r="I405" s="197" t="n">
        <v>20</v>
      </c>
      <c r="J405" s="199" t="s">
        <v>63</v>
      </c>
      <c r="K405" s="36" t="s">
        <v>417</v>
      </c>
      <c r="L405" s="215" t="n">
        <f aca="false">$E$25</f>
        <v>5</v>
      </c>
      <c r="M405" s="37" t="n">
        <f aca="false">I405*L405*$I$45</f>
        <v>100</v>
      </c>
      <c r="N405" s="37" t="n">
        <f aca="false">IF(D405=1,M405*$D$555,0)</f>
        <v>10</v>
      </c>
      <c r="O405" s="37" t="n">
        <f aca="false">M405+N405</f>
        <v>110</v>
      </c>
      <c r="P405" s="194" t="n">
        <f aca="false">CHOOSE(E405,0,1,$N$355)</f>
        <v>1</v>
      </c>
      <c r="Q405" s="37" t="n">
        <f aca="false">N405*P405</f>
        <v>10</v>
      </c>
      <c r="R405" s="37" t="n">
        <f aca="false">O405-Q405</f>
        <v>100</v>
      </c>
      <c r="S405" s="201" t="s">
        <v>418</v>
      </c>
    </row>
    <row r="406" customFormat="false" ht="15" hidden="false" customHeight="false" outlineLevel="0" collapsed="false">
      <c r="C406" s="36" t="s">
        <v>422</v>
      </c>
      <c r="D406" s="195" t="n">
        <v>1</v>
      </c>
      <c r="E406" s="196" t="n">
        <v>3</v>
      </c>
      <c r="H406" s="198" t="s">
        <v>416</v>
      </c>
      <c r="I406" s="197" t="n">
        <v>30</v>
      </c>
      <c r="J406" s="199" t="s">
        <v>63</v>
      </c>
      <c r="K406" s="36" t="s">
        <v>417</v>
      </c>
      <c r="L406" s="215" t="n">
        <f aca="false">$E$25</f>
        <v>5</v>
      </c>
      <c r="M406" s="37" t="n">
        <f aca="false">I406*L406*$I$45</f>
        <v>150</v>
      </c>
      <c r="N406" s="37" t="n">
        <f aca="false">IF(D406=1,M406*$D$555,0)</f>
        <v>15</v>
      </c>
      <c r="O406" s="37" t="n">
        <f aca="false">M406+N406</f>
        <v>165</v>
      </c>
      <c r="P406" s="194" t="n">
        <f aca="false">CHOOSE(E406,0,1,$N$355)</f>
        <v>1</v>
      </c>
      <c r="Q406" s="37" t="n">
        <f aca="false">N406*P406</f>
        <v>15</v>
      </c>
      <c r="R406" s="37" t="n">
        <f aca="false">O406-Q406</f>
        <v>150</v>
      </c>
      <c r="S406" s="201" t="s">
        <v>418</v>
      </c>
    </row>
    <row r="407" customFormat="false" ht="15" hidden="false" customHeight="false" outlineLevel="0" collapsed="false">
      <c r="C407" s="36" t="s">
        <v>423</v>
      </c>
      <c r="D407" s="195" t="n">
        <v>1</v>
      </c>
      <c r="E407" s="196" t="n">
        <v>3</v>
      </c>
      <c r="H407" s="198" t="s">
        <v>416</v>
      </c>
      <c r="I407" s="197" t="n">
        <v>30</v>
      </c>
      <c r="J407" s="199" t="s">
        <v>63</v>
      </c>
      <c r="K407" s="36" t="s">
        <v>424</v>
      </c>
      <c r="L407" s="215" t="n">
        <f aca="false">$E$25</f>
        <v>5</v>
      </c>
      <c r="M407" s="37" t="n">
        <f aca="false">I407*L407*$I$45</f>
        <v>150</v>
      </c>
      <c r="N407" s="37" t="n">
        <f aca="false">IF(D407=1,M407*$D$555,0)</f>
        <v>15</v>
      </c>
      <c r="O407" s="37" t="n">
        <f aca="false">M407+N407</f>
        <v>165</v>
      </c>
      <c r="P407" s="194" t="n">
        <f aca="false">CHOOSE(E407,0,1,$N$355)</f>
        <v>1</v>
      </c>
      <c r="Q407" s="37" t="n">
        <f aca="false">N407*P407</f>
        <v>15</v>
      </c>
      <c r="R407" s="37" t="n">
        <f aca="false">O407-Q407</f>
        <v>150</v>
      </c>
      <c r="S407" s="201" t="s">
        <v>418</v>
      </c>
    </row>
    <row r="408" customFormat="false" ht="15" hidden="false" customHeight="false" outlineLevel="0" collapsed="false">
      <c r="C408" s="36" t="s">
        <v>425</v>
      </c>
      <c r="D408" s="195" t="n">
        <v>1</v>
      </c>
      <c r="E408" s="196" t="n">
        <v>3</v>
      </c>
      <c r="H408" s="198" t="s">
        <v>416</v>
      </c>
      <c r="I408" s="197" t="n">
        <v>5</v>
      </c>
      <c r="J408" s="199" t="s">
        <v>63</v>
      </c>
      <c r="K408" s="36" t="s">
        <v>417</v>
      </c>
      <c r="L408" s="215" t="n">
        <f aca="false">$E$25</f>
        <v>5</v>
      </c>
      <c r="M408" s="37" t="n">
        <f aca="false">I408*L408*$I$45</f>
        <v>25</v>
      </c>
      <c r="N408" s="37" t="n">
        <f aca="false">IF(D408=1,M408*$D$555,0)</f>
        <v>2.5</v>
      </c>
      <c r="O408" s="37" t="n">
        <f aca="false">M408+N408</f>
        <v>27.5</v>
      </c>
      <c r="P408" s="194" t="n">
        <f aca="false">CHOOSE(E408,0,1,$N$355)</f>
        <v>1</v>
      </c>
      <c r="Q408" s="37" t="n">
        <f aca="false">N408*P408</f>
        <v>2.5</v>
      </c>
      <c r="R408" s="37" t="n">
        <f aca="false">O408-Q408</f>
        <v>25</v>
      </c>
      <c r="S408" s="201" t="s">
        <v>418</v>
      </c>
    </row>
    <row r="409" customFormat="false" ht="15" hidden="false" customHeight="false" outlineLevel="0" collapsed="false">
      <c r="C409" s="36" t="s">
        <v>426</v>
      </c>
      <c r="D409" s="195" t="n">
        <v>0</v>
      </c>
      <c r="E409" s="196" t="n">
        <v>1</v>
      </c>
      <c r="H409" s="198" t="s">
        <v>427</v>
      </c>
      <c r="I409" s="37" t="n">
        <f aca="false">$E$560</f>
        <v>210201.318227</v>
      </c>
      <c r="J409" s="199" t="s">
        <v>63</v>
      </c>
      <c r="K409" s="36" t="s">
        <v>353</v>
      </c>
      <c r="L409" s="155" t="n">
        <v>0.005</v>
      </c>
      <c r="M409" s="37" t="n">
        <f aca="false">I409*L409</f>
        <v>1051.006591135</v>
      </c>
      <c r="N409" s="37" t="n">
        <f aca="false">IF(D409=1,M409*$D$555,0)</f>
        <v>0</v>
      </c>
      <c r="O409" s="37" t="n">
        <f aca="false">M409+N409</f>
        <v>1051.006591135</v>
      </c>
      <c r="P409" s="194" t="n">
        <f aca="false">CHOOSE(E409,0,1,$N$355)</f>
        <v>0</v>
      </c>
      <c r="Q409" s="37" t="n">
        <f aca="false">N409*P409</f>
        <v>0</v>
      </c>
      <c r="R409" s="37" t="n">
        <f aca="false">O409-Q409</f>
        <v>1051.006591135</v>
      </c>
      <c r="S409" s="201" t="s">
        <v>428</v>
      </c>
    </row>
    <row r="410" customFormat="false" ht="15" hidden="false" customHeight="false" outlineLevel="0" collapsed="false">
      <c r="C410" s="36" t="s">
        <v>429</v>
      </c>
      <c r="D410" s="195" t="n">
        <v>1</v>
      </c>
      <c r="E410" s="196" t="n">
        <v>3</v>
      </c>
      <c r="H410" s="198" t="s">
        <v>306</v>
      </c>
      <c r="I410" s="197" t="n">
        <v>300</v>
      </c>
      <c r="M410" s="37" t="n">
        <f aca="false">I410*$I$45</f>
        <v>300</v>
      </c>
      <c r="N410" s="37" t="n">
        <f aca="false">IF(D410=1,M410*$D$555,0)</f>
        <v>30</v>
      </c>
      <c r="O410" s="37" t="n">
        <f aca="false">M410+N410</f>
        <v>330</v>
      </c>
      <c r="P410" s="194" t="n">
        <f aca="false">CHOOSE(E410,0,1,$N$355)</f>
        <v>1</v>
      </c>
      <c r="Q410" s="37" t="n">
        <f aca="false">N410*P410</f>
        <v>30</v>
      </c>
      <c r="R410" s="37" t="n">
        <f aca="false">O410-Q410</f>
        <v>300</v>
      </c>
      <c r="S410" s="201" t="s">
        <v>428</v>
      </c>
    </row>
    <row r="411" customFormat="false" ht="15" hidden="false" customHeight="false" outlineLevel="0" collapsed="false">
      <c r="C411" s="36" t="s">
        <v>303</v>
      </c>
      <c r="D411" s="195" t="n">
        <v>0</v>
      </c>
      <c r="E411" s="196" t="n">
        <v>1</v>
      </c>
      <c r="H411" s="198" t="s">
        <v>306</v>
      </c>
      <c r="I411" s="197" t="n">
        <v>200</v>
      </c>
      <c r="M411" s="37" t="n">
        <f aca="false">I411*$I$45</f>
        <v>200</v>
      </c>
      <c r="N411" s="37" t="n">
        <f aca="false">IF(D411=1,M411*$D$555,0)</f>
        <v>0</v>
      </c>
      <c r="O411" s="37" t="n">
        <f aca="false">M411+N411</f>
        <v>200</v>
      </c>
      <c r="P411" s="194" t="n">
        <f aca="false">CHOOSE(E411,0,1,$N$355)</f>
        <v>0</v>
      </c>
      <c r="Q411" s="37" t="n">
        <f aca="false">N411*P411</f>
        <v>0</v>
      </c>
      <c r="R411" s="37" t="n">
        <f aca="false">O411-Q411</f>
        <v>200</v>
      </c>
      <c r="S411" s="201" t="s">
        <v>428</v>
      </c>
    </row>
    <row r="412" customFormat="false" ht="15" hidden="false" customHeight="false" outlineLevel="0" collapsed="false">
      <c r="B412" s="205" t="s">
        <v>430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06" t="n">
        <f aca="false">SUM(M403:M411)</f>
        <v>10315.6797948604</v>
      </c>
      <c r="N412" s="206" t="n">
        <f aca="false">SUM(N403:N411)</f>
        <v>906.467320372538</v>
      </c>
      <c r="O412" s="206" t="n">
        <f aca="false">SUM(O403:O411)</f>
        <v>11222.1471152329</v>
      </c>
      <c r="P412" s="207" t="n">
        <f aca="false">SUM(P403:P411)</f>
        <v>7</v>
      </c>
      <c r="Q412" s="206" t="n">
        <f aca="false">SUM(Q403:Q411)</f>
        <v>906.467320372538</v>
      </c>
      <c r="R412" s="206" t="n">
        <f aca="false">SUM(R403:R411)</f>
        <v>10315.6797948604</v>
      </c>
      <c r="S412" s="1"/>
    </row>
    <row r="413" customFormat="false" ht="15" hidden="false" customHeight="false" outlineLevel="0" collapsed="false">
      <c r="B413" s="205" t="s">
        <v>431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06" t="n">
        <f aca="false">M390+M401+M412</f>
        <v>1093237.08617189</v>
      </c>
      <c r="N413" s="206" t="n">
        <f aca="false">N390+N401+N412</f>
        <v>78778.3018396957</v>
      </c>
      <c r="O413" s="206" t="n">
        <f aca="false">O390+O401+O412</f>
        <v>1172015.38801158</v>
      </c>
      <c r="P413" s="1"/>
      <c r="Q413" s="206" t="n">
        <f aca="false">Q390+Q401+Q412</f>
        <v>78778.3018396957</v>
      </c>
      <c r="R413" s="206" t="n">
        <f aca="false">R390+R401+R412</f>
        <v>1093237.08617189</v>
      </c>
      <c r="S413" s="1"/>
    </row>
    <row r="416" customFormat="false" ht="15" hidden="false" customHeight="false" outlineLevel="0" collapsed="false">
      <c r="A416" s="46" t="s">
        <v>432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customFormat="false" ht="15" hidden="false" customHeight="false" outlineLevel="0" collapsed="false">
      <c r="D417" s="193" t="s">
        <v>329</v>
      </c>
      <c r="E417" s="193" t="s">
        <v>330</v>
      </c>
    </row>
    <row r="418" customFormat="false" ht="15" hidden="false" customHeight="false" outlineLevel="0" collapsed="false">
      <c r="B418" s="68" t="s">
        <v>121</v>
      </c>
      <c r="C418" s="68" t="s">
        <v>433</v>
      </c>
      <c r="D418" s="44" t="s">
        <v>332</v>
      </c>
      <c r="E418" s="44" t="s">
        <v>333</v>
      </c>
      <c r="F418" s="68" t="s">
        <v>434</v>
      </c>
      <c r="G418" s="68" t="s">
        <v>353</v>
      </c>
      <c r="H418" s="68" t="s">
        <v>336</v>
      </c>
      <c r="I418" s="68"/>
      <c r="J418" s="68"/>
      <c r="K418" s="68"/>
      <c r="L418" s="68"/>
      <c r="M418" s="68" t="s">
        <v>339</v>
      </c>
      <c r="N418" s="44" t="s">
        <v>340</v>
      </c>
      <c r="O418" s="68" t="s">
        <v>341</v>
      </c>
      <c r="P418" s="44" t="s">
        <v>342</v>
      </c>
      <c r="Q418" s="44" t="s">
        <v>343</v>
      </c>
      <c r="R418" s="68" t="s">
        <v>344</v>
      </c>
    </row>
    <row r="419" customFormat="false" ht="15" hidden="false" customHeight="false" outlineLevel="0" collapsed="false">
      <c r="B419" s="32" t="s">
        <v>325</v>
      </c>
      <c r="C419" s="36" t="s">
        <v>415</v>
      </c>
      <c r="D419" s="38" t="n">
        <v>1</v>
      </c>
      <c r="E419" s="38" t="n">
        <v>3</v>
      </c>
      <c r="F419" s="197" t="n">
        <v>1200</v>
      </c>
      <c r="H419" s="36" t="s">
        <v>435</v>
      </c>
      <c r="M419" s="37" t="n">
        <f aca="false">F419*$E$26*$I$45</f>
        <v>6300</v>
      </c>
      <c r="N419" s="37" t="n">
        <f aca="false">IF(D419=1,M419*$D$555,0)</f>
        <v>630</v>
      </c>
      <c r="O419" s="37" t="n">
        <f aca="false">M419+N419</f>
        <v>6930</v>
      </c>
      <c r="P419" s="194" t="n">
        <f aca="false">CHOOSE(E419,0,1,$N$355)</f>
        <v>1</v>
      </c>
      <c r="Q419" s="37" t="n">
        <f aca="false">N419*P419</f>
        <v>630</v>
      </c>
      <c r="R419" s="37" t="n">
        <f aca="false">O419-Q419</f>
        <v>6300</v>
      </c>
    </row>
    <row r="420" customFormat="false" ht="15" hidden="false" customHeight="false" outlineLevel="0" collapsed="false">
      <c r="C420" s="36" t="s">
        <v>436</v>
      </c>
      <c r="D420" s="38" t="n">
        <v>1</v>
      </c>
      <c r="E420" s="38" t="n">
        <v>3</v>
      </c>
      <c r="F420" s="216" t="n">
        <f aca="false">$G$283</f>
        <v>1649722.78562621</v>
      </c>
      <c r="G420" s="202" t="n">
        <v>0.005</v>
      </c>
      <c r="H420" s="36" t="s">
        <v>437</v>
      </c>
      <c r="M420" s="37" t="n">
        <f aca="false">F420*G420</f>
        <v>8248.61392813103</v>
      </c>
      <c r="N420" s="37" t="n">
        <f aca="false">IF(D420=1,M420*$D$555,0)</f>
        <v>824.861392813103</v>
      </c>
      <c r="O420" s="37" t="n">
        <f aca="false">M420+N420</f>
        <v>9073.47532094413</v>
      </c>
      <c r="P420" s="194" t="n">
        <f aca="false">CHOOSE(E420,0,1,$N$355)</f>
        <v>1</v>
      </c>
      <c r="Q420" s="37" t="n">
        <f aca="false">N420*P420</f>
        <v>824.861392813103</v>
      </c>
      <c r="R420" s="37" t="n">
        <f aca="false">O420-Q420</f>
        <v>8248.61392813103</v>
      </c>
    </row>
    <row r="421" customFormat="false" ht="15" hidden="false" customHeight="false" outlineLevel="0" collapsed="false">
      <c r="C421" s="36" t="s">
        <v>421</v>
      </c>
      <c r="D421" s="38" t="n">
        <v>1</v>
      </c>
      <c r="E421" s="38" t="n">
        <v>3</v>
      </c>
      <c r="F421" s="197" t="n">
        <v>20</v>
      </c>
      <c r="H421" s="36" t="s">
        <v>435</v>
      </c>
      <c r="M421" s="37" t="n">
        <f aca="false">F421*$E$26*$I$45</f>
        <v>105</v>
      </c>
      <c r="N421" s="37" t="n">
        <f aca="false">IF(D421=1,M421*$D$555,0)</f>
        <v>10.5</v>
      </c>
      <c r="O421" s="37" t="n">
        <f aca="false">M421+N421</f>
        <v>115.5</v>
      </c>
      <c r="P421" s="194" t="n">
        <f aca="false">CHOOSE(E421,0,1,$N$355)</f>
        <v>1</v>
      </c>
      <c r="Q421" s="37" t="n">
        <f aca="false">N421*P421</f>
        <v>10.5</v>
      </c>
      <c r="R421" s="37" t="n">
        <f aca="false">O421-Q421</f>
        <v>105</v>
      </c>
    </row>
    <row r="422" customFormat="false" ht="15" hidden="false" customHeight="false" outlineLevel="0" collapsed="false">
      <c r="C422" s="36" t="s">
        <v>422</v>
      </c>
      <c r="D422" s="38" t="n">
        <v>1</v>
      </c>
      <c r="E422" s="38" t="n">
        <v>3</v>
      </c>
      <c r="F422" s="197" t="n">
        <v>30</v>
      </c>
      <c r="H422" s="36" t="s">
        <v>435</v>
      </c>
      <c r="M422" s="37" t="n">
        <f aca="false">F422*$E$26*$I$45</f>
        <v>157.5</v>
      </c>
      <c r="N422" s="37" t="n">
        <f aca="false">IF(D422=1,M422*$D$555,0)</f>
        <v>15.75</v>
      </c>
      <c r="O422" s="37" t="n">
        <f aca="false">M422+N422</f>
        <v>173.25</v>
      </c>
      <c r="P422" s="194" t="n">
        <f aca="false">CHOOSE(E422,0,1,$N$355)</f>
        <v>1</v>
      </c>
      <c r="Q422" s="37" t="n">
        <f aca="false">N422*P422</f>
        <v>15.75</v>
      </c>
      <c r="R422" s="37" t="n">
        <f aca="false">O422-Q422</f>
        <v>157.5</v>
      </c>
    </row>
    <row r="423" customFormat="false" ht="15" hidden="false" customHeight="false" outlineLevel="0" collapsed="false">
      <c r="C423" s="36" t="s">
        <v>423</v>
      </c>
      <c r="D423" s="38" t="n">
        <v>1</v>
      </c>
      <c r="E423" s="38" t="n">
        <v>3</v>
      </c>
      <c r="F423" s="197" t="n">
        <v>30</v>
      </c>
      <c r="H423" s="36" t="s">
        <v>435</v>
      </c>
      <c r="M423" s="37" t="n">
        <f aca="false">F423*$E$26*$I$45</f>
        <v>157.5</v>
      </c>
      <c r="N423" s="37" t="n">
        <f aca="false">IF(D423=1,M423*$D$555,0)</f>
        <v>15.75</v>
      </c>
      <c r="O423" s="37" t="n">
        <f aca="false">M423+N423</f>
        <v>173.25</v>
      </c>
      <c r="P423" s="194" t="n">
        <f aca="false">CHOOSE(E423,0,1,$N$355)</f>
        <v>1</v>
      </c>
      <c r="Q423" s="37" t="n">
        <f aca="false">N423*P423</f>
        <v>15.75</v>
      </c>
      <c r="R423" s="37" t="n">
        <f aca="false">O423-Q423</f>
        <v>157.5</v>
      </c>
    </row>
    <row r="424" customFormat="false" ht="15" hidden="false" customHeight="false" outlineLevel="0" collapsed="false">
      <c r="C424" s="36" t="s">
        <v>425</v>
      </c>
      <c r="D424" s="38" t="n">
        <v>1</v>
      </c>
      <c r="E424" s="38" t="n">
        <v>3</v>
      </c>
      <c r="F424" s="197" t="n">
        <v>5</v>
      </c>
      <c r="H424" s="36" t="s">
        <v>435</v>
      </c>
      <c r="M424" s="37" t="n">
        <f aca="false">F424*$E$26*$I$45</f>
        <v>26.25</v>
      </c>
      <c r="N424" s="37" t="n">
        <f aca="false">IF(D424=1,M424*$D$555,0)</f>
        <v>2.625</v>
      </c>
      <c r="O424" s="37" t="n">
        <f aca="false">M424+N424</f>
        <v>28.875</v>
      </c>
      <c r="P424" s="194" t="n">
        <f aca="false">CHOOSE(E424,0,1,$N$355)</f>
        <v>1</v>
      </c>
      <c r="Q424" s="37" t="n">
        <f aca="false">N424*P424</f>
        <v>2.625</v>
      </c>
      <c r="R424" s="37" t="n">
        <f aca="false">O424-Q424</f>
        <v>26.25</v>
      </c>
    </row>
    <row r="425" customFormat="false" ht="15" hidden="false" customHeight="false" outlineLevel="0" collapsed="false">
      <c r="B425" s="6" t="s">
        <v>438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217" t="n">
        <f aca="false">SUM(M419:M424)</f>
        <v>14994.863928131</v>
      </c>
      <c r="N425" s="217" t="n">
        <f aca="false">SUM(N419:N424)</f>
        <v>1499.4863928131</v>
      </c>
      <c r="O425" s="217" t="n">
        <f aca="false">SUM(O419:O424)</f>
        <v>16494.3503209441</v>
      </c>
      <c r="P425" s="7"/>
      <c r="Q425" s="217" t="n">
        <f aca="false">SUM(Q419:Q424)</f>
        <v>1499.4863928131</v>
      </c>
      <c r="R425" s="217" t="n">
        <f aca="false">SUM(R419:R424)</f>
        <v>14994.863928131</v>
      </c>
    </row>
    <row r="426" customFormat="false" ht="15" hidden="false" customHeight="false" outlineLevel="0" collapsed="false">
      <c r="C426" s="36" t="s">
        <v>439</v>
      </c>
      <c r="D426" s="36" t="s">
        <v>234</v>
      </c>
      <c r="E426" s="218" t="n">
        <f aca="false">($R$419+$R$421+$R$422+$R$423+$R$424)/($E$26*12)</f>
        <v>107.083333333333</v>
      </c>
    </row>
    <row r="429" customFormat="false" ht="15" hidden="false" customHeight="false" outlineLevel="0" collapsed="false">
      <c r="A429" s="46" t="s">
        <v>440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1" customFormat="false" ht="15" hidden="false" customHeight="false" outlineLevel="0" collapsed="false">
      <c r="B431" s="151" t="s">
        <v>441</v>
      </c>
    </row>
    <row r="432" customFormat="false" ht="15" hidden="false" customHeight="false" outlineLevel="0" collapsed="false">
      <c r="B432" s="47" t="s">
        <v>31</v>
      </c>
      <c r="C432" s="48"/>
      <c r="D432" s="48"/>
      <c r="E432" s="219" t="n">
        <f aca="false">$R$413</f>
        <v>1093237.08617189</v>
      </c>
    </row>
    <row r="433" customFormat="false" ht="15" hidden="false" customHeight="false" outlineLevel="0" collapsed="false">
      <c r="B433" s="51" t="s">
        <v>442</v>
      </c>
      <c r="C433" s="157" t="n">
        <f aca="false">$M$367</f>
        <v>422304.950369957</v>
      </c>
      <c r="D433" s="220" t="n">
        <v>0.1</v>
      </c>
      <c r="E433" s="137" t="n">
        <f aca="false">C433*D433</f>
        <v>42230.4950369957</v>
      </c>
    </row>
    <row r="434" customFormat="false" ht="15" hidden="false" customHeight="false" outlineLevel="0" collapsed="false">
      <c r="B434" s="123" t="s">
        <v>33</v>
      </c>
      <c r="C434" s="58"/>
      <c r="D434" s="58"/>
      <c r="E434" s="160" t="n">
        <f aca="false">E432-E433</f>
        <v>1051006.59113489</v>
      </c>
    </row>
    <row r="436" customFormat="false" ht="15" hidden="false" customHeight="false" outlineLevel="0" collapsed="false">
      <c r="B436" s="108" t="s">
        <v>443</v>
      </c>
      <c r="C436" s="109"/>
      <c r="D436" s="109" t="s">
        <v>444</v>
      </c>
      <c r="E436" s="109" t="s">
        <v>445</v>
      </c>
      <c r="F436" s="113" t="s">
        <v>446</v>
      </c>
    </row>
    <row r="437" customFormat="false" ht="15" hidden="false" customHeight="false" outlineLevel="0" collapsed="false">
      <c r="B437" s="71" t="s">
        <v>447</v>
      </c>
      <c r="C437" s="52"/>
      <c r="D437" s="52"/>
      <c r="E437" s="164" t="n">
        <f aca="false">$E$434</f>
        <v>1051006.59113489</v>
      </c>
      <c r="F437" s="80" t="n">
        <f aca="false">E437/$E$434</f>
        <v>1</v>
      </c>
    </row>
    <row r="438" customFormat="false" ht="15" hidden="false" customHeight="false" outlineLevel="0" collapsed="false">
      <c r="B438" s="71" t="s">
        <v>448</v>
      </c>
      <c r="C438" s="52"/>
      <c r="D438" s="52"/>
      <c r="E438" s="164" t="n">
        <f aca="false">$E$434*$E$456</f>
        <v>210201.318226978</v>
      </c>
      <c r="F438" s="80" t="n">
        <f aca="false">E438/$E$434</f>
        <v>0.2</v>
      </c>
    </row>
    <row r="439" customFormat="false" ht="15" hidden="false" customHeight="false" outlineLevel="0" collapsed="false">
      <c r="B439" s="78"/>
      <c r="C439" s="101" t="s">
        <v>449</v>
      </c>
      <c r="D439" s="158" t="n">
        <v>0.3</v>
      </c>
      <c r="E439" s="157" t="n">
        <f aca="false">$E$444*D439</f>
        <v>44142.2768276655</v>
      </c>
      <c r="F439" s="82" t="n">
        <f aca="false">E439/$E$434</f>
        <v>0.042</v>
      </c>
    </row>
    <row r="440" customFormat="false" ht="15" hidden="false" customHeight="false" outlineLevel="0" collapsed="false">
      <c r="B440" s="78"/>
      <c r="C440" s="101" t="s">
        <v>450</v>
      </c>
      <c r="D440" s="158" t="n">
        <v>0</v>
      </c>
      <c r="E440" s="157" t="n">
        <f aca="false">$E$444*D440</f>
        <v>0</v>
      </c>
      <c r="F440" s="82" t="n">
        <f aca="false">E440/$E$434</f>
        <v>0</v>
      </c>
    </row>
    <row r="441" customFormat="false" ht="15" hidden="false" customHeight="false" outlineLevel="0" collapsed="false">
      <c r="B441" s="78"/>
      <c r="C441" s="101" t="s">
        <v>451</v>
      </c>
      <c r="D441" s="158" t="n">
        <v>0.7</v>
      </c>
      <c r="E441" s="157" t="n">
        <f aca="false">$E$444*D441</f>
        <v>102998.645931219</v>
      </c>
      <c r="F441" s="82" t="n">
        <f aca="false">E441/$E$434</f>
        <v>0.098</v>
      </c>
    </row>
    <row r="442" customFormat="false" ht="15" hidden="false" customHeight="false" outlineLevel="0" collapsed="false">
      <c r="B442" s="78"/>
      <c r="C442" s="101" t="s">
        <v>452</v>
      </c>
      <c r="D442" s="158" t="n">
        <v>0</v>
      </c>
      <c r="E442" s="157" t="n">
        <f aca="false">$E$444*D442</f>
        <v>0</v>
      </c>
      <c r="F442" s="82" t="n">
        <f aca="false">E442/$E$434</f>
        <v>0</v>
      </c>
    </row>
    <row r="443" customFormat="false" ht="15" hidden="false" customHeight="false" outlineLevel="0" collapsed="false">
      <c r="B443" s="78"/>
      <c r="C443" s="101" t="s">
        <v>453</v>
      </c>
      <c r="D443" s="158" t="n">
        <v>0</v>
      </c>
      <c r="E443" s="157" t="n">
        <f aca="false">$E$444*D443</f>
        <v>0</v>
      </c>
      <c r="F443" s="82" t="n">
        <f aca="false">E443/$E$434</f>
        <v>0</v>
      </c>
    </row>
    <row r="444" customFormat="false" ht="15" hidden="false" customHeight="false" outlineLevel="0" collapsed="false">
      <c r="B444" s="78"/>
      <c r="C444" s="221" t="s">
        <v>454</v>
      </c>
      <c r="D444" s="222" t="n">
        <f aca="false">$E$457</f>
        <v>0.7</v>
      </c>
      <c r="E444" s="164" t="n">
        <f aca="false">$E$438*D444</f>
        <v>147140.922758885</v>
      </c>
      <c r="F444" s="80" t="n">
        <f aca="false">E444/$E$434</f>
        <v>0.14</v>
      </c>
      <c r="G444" s="223" t="b">
        <f aca="false">SUM(D439:D443)=1</f>
        <v>1</v>
      </c>
    </row>
    <row r="445" customFormat="false" ht="15" hidden="false" customHeight="false" outlineLevel="0" collapsed="false">
      <c r="B445" s="78"/>
      <c r="C445" s="101" t="s">
        <v>455</v>
      </c>
      <c r="D445" s="158" t="n">
        <v>0.055</v>
      </c>
      <c r="E445" s="157" t="n">
        <f aca="false">$E$450*D445</f>
        <v>3468.32175074515</v>
      </c>
      <c r="F445" s="82" t="n">
        <f aca="false">E445/$E$434</f>
        <v>0.0033</v>
      </c>
    </row>
    <row r="446" customFormat="false" ht="15" hidden="false" customHeight="false" outlineLevel="0" collapsed="false">
      <c r="B446" s="78"/>
      <c r="C446" s="101" t="s">
        <v>456</v>
      </c>
      <c r="D446" s="158" t="n">
        <v>0.245</v>
      </c>
      <c r="E446" s="157" t="n">
        <f aca="false">$E$450*D446</f>
        <v>15449.7968896829</v>
      </c>
      <c r="F446" s="82" t="n">
        <f aca="false">E446/$E$434</f>
        <v>0.0147</v>
      </c>
    </row>
    <row r="447" customFormat="false" ht="15" hidden="false" customHeight="false" outlineLevel="0" collapsed="false">
      <c r="B447" s="78"/>
      <c r="C447" s="101" t="s">
        <v>457</v>
      </c>
      <c r="D447" s="158" t="n">
        <v>0.1285</v>
      </c>
      <c r="E447" s="157" t="n">
        <f aca="false">$E$450*D447</f>
        <v>8103.26081765002</v>
      </c>
      <c r="F447" s="82" t="n">
        <f aca="false">E447/$E$434</f>
        <v>0.00771</v>
      </c>
    </row>
    <row r="448" customFormat="false" ht="15" hidden="false" customHeight="false" outlineLevel="0" collapsed="false">
      <c r="B448" s="78"/>
      <c r="C448" s="101" t="s">
        <v>458</v>
      </c>
      <c r="D448" s="158" t="n">
        <v>0.5715</v>
      </c>
      <c r="E448" s="157" t="n">
        <f aca="false">$E$450*D448</f>
        <v>36039.0160100155</v>
      </c>
      <c r="F448" s="82" t="n">
        <f aca="false">E448/$E$434</f>
        <v>0.03429</v>
      </c>
    </row>
    <row r="449" customFormat="false" ht="15" hidden="false" customHeight="false" outlineLevel="0" collapsed="false">
      <c r="B449" s="78"/>
      <c r="C449" s="101" t="s">
        <v>459</v>
      </c>
      <c r="D449" s="158" t="n">
        <v>0</v>
      </c>
      <c r="E449" s="157" t="n">
        <f aca="false">$E$450*D449</f>
        <v>0</v>
      </c>
      <c r="F449" s="82" t="n">
        <f aca="false">E449/$E$434</f>
        <v>0</v>
      </c>
    </row>
    <row r="450" customFormat="false" ht="15" hidden="false" customHeight="false" outlineLevel="0" collapsed="false">
      <c r="B450" s="78"/>
      <c r="C450" s="221" t="s">
        <v>460</v>
      </c>
      <c r="D450" s="222" t="n">
        <f aca="false">1-$E$457</f>
        <v>0.3</v>
      </c>
      <c r="E450" s="164" t="n">
        <f aca="false">$E$438*D450</f>
        <v>63060.3954680936</v>
      </c>
      <c r="F450" s="80" t="n">
        <f aca="false">E450/$E$434</f>
        <v>0.06</v>
      </c>
      <c r="G450" s="223" t="b">
        <f aca="false">SUM(D445:D449)=1</f>
        <v>1</v>
      </c>
    </row>
    <row r="451" customFormat="false" ht="15" hidden="false" customHeight="false" outlineLevel="0" collapsed="false">
      <c r="B451" s="71" t="s">
        <v>461</v>
      </c>
      <c r="C451" s="52"/>
      <c r="D451" s="52"/>
      <c r="E451" s="164" t="n">
        <f aca="false">$E$434-$E$438</f>
        <v>840805.272907914</v>
      </c>
      <c r="F451" s="80" t="n">
        <f aca="false">E451/$E$434</f>
        <v>0.8</v>
      </c>
    </row>
    <row r="452" customFormat="false" ht="15" hidden="false" customHeight="false" outlineLevel="0" collapsed="false">
      <c r="B452" s="78"/>
      <c r="C452" s="101" t="s">
        <v>462</v>
      </c>
      <c r="D452" s="158" t="n">
        <v>0.7143</v>
      </c>
      <c r="E452" s="157" t="n">
        <f aca="false">$E$451*D452</f>
        <v>600587.206438123</v>
      </c>
      <c r="F452" s="82" t="n">
        <f aca="false">E452/$E$434</f>
        <v>0.57144</v>
      </c>
    </row>
    <row r="453" customFormat="false" ht="15" hidden="false" customHeight="false" outlineLevel="0" collapsed="false">
      <c r="B453" s="78"/>
      <c r="C453" s="101" t="s">
        <v>463</v>
      </c>
      <c r="D453" s="158" t="n">
        <v>0.1429</v>
      </c>
      <c r="E453" s="157" t="n">
        <f aca="false">$E$451*D453</f>
        <v>120151.073498541</v>
      </c>
      <c r="F453" s="82" t="n">
        <f aca="false">E453/$E$434</f>
        <v>0.11432</v>
      </c>
    </row>
    <row r="454" customFormat="false" ht="15" hidden="false" customHeight="false" outlineLevel="0" collapsed="false">
      <c r="B454" s="83"/>
      <c r="C454" s="224" t="s">
        <v>464</v>
      </c>
      <c r="D454" s="225" t="n">
        <f aca="false">1-D452-D453</f>
        <v>0.1428</v>
      </c>
      <c r="E454" s="226" t="n">
        <f aca="false">$E$451*D454</f>
        <v>120066.99297125</v>
      </c>
      <c r="F454" s="227" t="n">
        <f aca="false">E454/$E$434</f>
        <v>0.11424</v>
      </c>
    </row>
    <row r="456" customFormat="false" ht="15" hidden="false" customHeight="false" outlineLevel="0" collapsed="false">
      <c r="B456" s="36" t="s">
        <v>465</v>
      </c>
      <c r="E456" s="155" t="n">
        <v>0.2</v>
      </c>
    </row>
    <row r="457" customFormat="false" ht="15" hidden="false" customHeight="false" outlineLevel="0" collapsed="false">
      <c r="B457" s="36" t="s">
        <v>466</v>
      </c>
      <c r="E457" s="155" t="n">
        <v>0.7</v>
      </c>
    </row>
    <row r="458" customFormat="false" ht="15" hidden="false" customHeight="false" outlineLevel="0" collapsed="false">
      <c r="B458" s="36" t="s">
        <v>467</v>
      </c>
      <c r="E458" s="194" t="n">
        <f aca="false">1-$E$457</f>
        <v>0.3</v>
      </c>
    </row>
    <row r="460" customFormat="false" ht="15" hidden="false" customHeight="false" outlineLevel="0" collapsed="false">
      <c r="B460" s="228" t="s">
        <v>468</v>
      </c>
    </row>
    <row r="461" customFormat="false" ht="15" hidden="false" customHeight="false" outlineLevel="0" collapsed="false">
      <c r="B461" s="108" t="s">
        <v>121</v>
      </c>
      <c r="C461" s="109" t="s">
        <v>469</v>
      </c>
      <c r="D461" s="109" t="s">
        <v>201</v>
      </c>
      <c r="E461" s="109" t="s">
        <v>470</v>
      </c>
      <c r="F461" s="109" t="s">
        <v>471</v>
      </c>
      <c r="G461" s="109" t="s">
        <v>472</v>
      </c>
      <c r="H461" s="109" t="s">
        <v>9</v>
      </c>
      <c r="I461" s="113" t="s">
        <v>202</v>
      </c>
    </row>
    <row r="462" customFormat="false" ht="15" hidden="false" customHeight="false" outlineLevel="0" collapsed="false">
      <c r="B462" s="71" t="s">
        <v>473</v>
      </c>
      <c r="C462" s="75" t="s">
        <v>455</v>
      </c>
      <c r="D462" s="119" t="n">
        <f aca="false">E462/$E$438</f>
        <v>0.0165</v>
      </c>
      <c r="E462" s="229" t="n">
        <f aca="false">$E$445</f>
        <v>3468.32175074515</v>
      </c>
      <c r="F462" s="134" t="n">
        <v>46112</v>
      </c>
      <c r="G462" s="230"/>
      <c r="H462" s="52"/>
      <c r="I462" s="136" t="n">
        <f aca="false">EOMONTH(F462,0)</f>
        <v>46112</v>
      </c>
    </row>
    <row r="463" customFormat="false" ht="15" hidden="false" customHeight="false" outlineLevel="0" collapsed="false">
      <c r="B463" s="78"/>
      <c r="C463" s="75" t="s">
        <v>456</v>
      </c>
      <c r="D463" s="119" t="n">
        <f aca="false">E463/$E$438</f>
        <v>0.0735</v>
      </c>
      <c r="E463" s="229" t="n">
        <f aca="false">$E$446</f>
        <v>15449.7968896829</v>
      </c>
      <c r="F463" s="134" t="n">
        <v>46660</v>
      </c>
      <c r="G463" s="230"/>
      <c r="H463" s="52"/>
      <c r="I463" s="136" t="n">
        <f aca="false">EOMONTH(F463,0)</f>
        <v>46660</v>
      </c>
    </row>
    <row r="464" customFormat="false" ht="15" hidden="false" customHeight="false" outlineLevel="0" collapsed="false">
      <c r="B464" s="78"/>
      <c r="C464" s="75" t="s">
        <v>457</v>
      </c>
      <c r="D464" s="119" t="n">
        <f aca="false">E464/$E$438</f>
        <v>0.03855</v>
      </c>
      <c r="E464" s="229" t="n">
        <f aca="false">$E$447</f>
        <v>8103.26081765002</v>
      </c>
      <c r="F464" s="134" t="n">
        <v>46112</v>
      </c>
      <c r="G464" s="230"/>
      <c r="H464" s="52"/>
      <c r="I464" s="136" t="n">
        <f aca="false">EOMONTH(F464,0)</f>
        <v>46112</v>
      </c>
    </row>
    <row r="465" customFormat="false" ht="15" hidden="false" customHeight="false" outlineLevel="0" collapsed="false">
      <c r="B465" s="78"/>
      <c r="C465" s="75" t="s">
        <v>458</v>
      </c>
      <c r="D465" s="119" t="n">
        <f aca="false">E465/$E$438</f>
        <v>0.17145</v>
      </c>
      <c r="E465" s="229" t="n">
        <f aca="false">$E$448</f>
        <v>36039.0160100155</v>
      </c>
      <c r="F465" s="134" t="n">
        <v>46660</v>
      </c>
      <c r="G465" s="230"/>
      <c r="H465" s="52"/>
      <c r="I465" s="136" t="n">
        <f aca="false">EOMONTH(F465,0)</f>
        <v>46660</v>
      </c>
    </row>
    <row r="466" customFormat="false" ht="15" hidden="false" customHeight="false" outlineLevel="0" collapsed="false">
      <c r="B466" s="78"/>
      <c r="C466" s="75" t="s">
        <v>459</v>
      </c>
      <c r="D466" s="119" t="n">
        <f aca="false">E466/$E$438</f>
        <v>0</v>
      </c>
      <c r="E466" s="229" t="n">
        <f aca="false">$E$449</f>
        <v>0</v>
      </c>
      <c r="F466" s="134" t="n">
        <v>47907</v>
      </c>
      <c r="G466" s="230"/>
      <c r="H466" s="52"/>
      <c r="I466" s="136" t="n">
        <f aca="false">EOMONTH(F466,0)</f>
        <v>47907</v>
      </c>
    </row>
    <row r="467" customFormat="false" ht="15" hidden="false" customHeight="false" outlineLevel="0" collapsed="false">
      <c r="B467" s="231" t="s">
        <v>474</v>
      </c>
      <c r="C467" s="52"/>
      <c r="D467" s="120" t="n">
        <f aca="false">SUM(D462:D466)</f>
        <v>0.3</v>
      </c>
      <c r="E467" s="232" t="n">
        <f aca="false">SUM(E462:E466)</f>
        <v>63060.3954680935</v>
      </c>
      <c r="F467" s="52"/>
      <c r="G467" s="52"/>
      <c r="H467" s="52"/>
      <c r="I467" s="74"/>
    </row>
    <row r="468" customFormat="false" ht="15" hidden="false" customHeight="false" outlineLevel="0" collapsed="false">
      <c r="B468" s="71" t="s">
        <v>475</v>
      </c>
      <c r="C468" s="75" t="s">
        <v>449</v>
      </c>
      <c r="D468" s="119" t="n">
        <f aca="false">E468/$E$438</f>
        <v>0.21</v>
      </c>
      <c r="E468" s="229" t="n">
        <f aca="false">$E$439</f>
        <v>44142.2768276655</v>
      </c>
      <c r="F468" s="134" t="n">
        <v>46660</v>
      </c>
      <c r="G468" s="135" t="n">
        <v>0.05</v>
      </c>
      <c r="H468" s="52"/>
      <c r="I468" s="136" t="n">
        <f aca="false">EOMONTH(F468,0)</f>
        <v>46660</v>
      </c>
    </row>
    <row r="469" customFormat="false" ht="15" hidden="false" customHeight="false" outlineLevel="0" collapsed="false">
      <c r="B469" s="78"/>
      <c r="C469" s="75" t="s">
        <v>450</v>
      </c>
      <c r="D469" s="119" t="n">
        <f aca="false">E469/$E$438</f>
        <v>0</v>
      </c>
      <c r="E469" s="229" t="n">
        <f aca="false">$E$440</f>
        <v>0</v>
      </c>
      <c r="F469" s="134" t="n">
        <v>46660</v>
      </c>
      <c r="G469" s="135" t="n">
        <v>0.05</v>
      </c>
      <c r="H469" s="52"/>
      <c r="I469" s="136" t="n">
        <f aca="false">EOMONTH(F469,0)</f>
        <v>46660</v>
      </c>
    </row>
    <row r="470" customFormat="false" ht="15" hidden="false" customHeight="false" outlineLevel="0" collapsed="false">
      <c r="B470" s="78"/>
      <c r="C470" s="75" t="s">
        <v>451</v>
      </c>
      <c r="D470" s="119" t="n">
        <f aca="false">E470/$E$438</f>
        <v>0.49</v>
      </c>
      <c r="E470" s="229" t="n">
        <f aca="false">$E$441</f>
        <v>102998.645931219</v>
      </c>
      <c r="F470" s="134" t="n">
        <v>46660</v>
      </c>
      <c r="G470" s="135" t="n">
        <v>0.05</v>
      </c>
      <c r="H470" s="52"/>
      <c r="I470" s="136" t="n">
        <f aca="false">EOMONTH(F470,0)</f>
        <v>46660</v>
      </c>
    </row>
    <row r="471" customFormat="false" ht="15" hidden="false" customHeight="false" outlineLevel="0" collapsed="false">
      <c r="B471" s="78"/>
      <c r="C471" s="75" t="s">
        <v>452</v>
      </c>
      <c r="D471" s="119" t="n">
        <f aca="false">E471/$E$438</f>
        <v>0</v>
      </c>
      <c r="E471" s="229" t="n">
        <f aca="false">$E$442</f>
        <v>0</v>
      </c>
      <c r="F471" s="134" t="n">
        <v>46660</v>
      </c>
      <c r="G471" s="135" t="n">
        <v>0.05</v>
      </c>
      <c r="H471" s="52"/>
      <c r="I471" s="136" t="n">
        <f aca="false">EOMONTH(F471,0)</f>
        <v>46660</v>
      </c>
    </row>
    <row r="472" customFormat="false" ht="15" hidden="false" customHeight="false" outlineLevel="0" collapsed="false">
      <c r="B472" s="78"/>
      <c r="C472" s="75" t="s">
        <v>453</v>
      </c>
      <c r="D472" s="119" t="n">
        <f aca="false">E472/$E$438</f>
        <v>0</v>
      </c>
      <c r="E472" s="229" t="n">
        <f aca="false">$E$443</f>
        <v>0</v>
      </c>
      <c r="F472" s="134" t="n">
        <v>47907</v>
      </c>
      <c r="G472" s="135" t="n">
        <v>0.05</v>
      </c>
      <c r="H472" s="233" t="s">
        <v>476</v>
      </c>
      <c r="I472" s="136" t="n">
        <f aca="false">EOMONTH(F472,0)</f>
        <v>47907</v>
      </c>
    </row>
    <row r="473" customFormat="false" ht="15" hidden="false" customHeight="false" outlineLevel="0" collapsed="false">
      <c r="B473" s="231" t="s">
        <v>477</v>
      </c>
      <c r="C473" s="52"/>
      <c r="D473" s="120" t="n">
        <f aca="false">SUM(D468:D472)</f>
        <v>0.7</v>
      </c>
      <c r="E473" s="232" t="n">
        <f aca="false">SUM(E468:E472)</f>
        <v>147140.922758885</v>
      </c>
      <c r="F473" s="52"/>
      <c r="G473" s="52"/>
      <c r="H473" s="52"/>
      <c r="I473" s="74"/>
    </row>
    <row r="474" customFormat="false" ht="15" hidden="false" customHeight="false" outlineLevel="0" collapsed="false">
      <c r="B474" s="234" t="s">
        <v>478</v>
      </c>
      <c r="C474" s="58"/>
      <c r="D474" s="235" t="n">
        <f aca="false">D473+D467</f>
        <v>1</v>
      </c>
      <c r="E474" s="236" t="n">
        <f aca="false">E473+E467</f>
        <v>210201.318226978</v>
      </c>
      <c r="F474" s="58"/>
      <c r="G474" s="58"/>
      <c r="H474" s="58"/>
      <c r="I474" s="125"/>
    </row>
    <row r="475" customFormat="false" ht="15" hidden="false" customHeight="false" outlineLevel="0" collapsed="false">
      <c r="C475" s="36" t="s">
        <v>479</v>
      </c>
      <c r="E475" s="194" t="n">
        <f aca="false">IFERROR(SUMPRODUCT($E$468:$E$472,$G$468:$G$472)/SUM($E$468:$E$472),0)</f>
        <v>0.05</v>
      </c>
    </row>
    <row r="476" customFormat="false" ht="15" hidden="false" customHeight="false" outlineLevel="0" collapsed="false">
      <c r="C476" s="36" t="s">
        <v>480</v>
      </c>
      <c r="E476" s="237" t="n">
        <f aca="false">(1+$E$475)^(1/12)-1</f>
        <v>0.00407412378364835</v>
      </c>
      <c r="F476" s="86" t="s">
        <v>481</v>
      </c>
    </row>
    <row r="478" customFormat="false" ht="15" hidden="false" customHeight="false" outlineLevel="0" collapsed="false">
      <c r="B478" s="228" t="s">
        <v>482</v>
      </c>
    </row>
    <row r="479" customFormat="false" ht="15" hidden="false" customHeight="false" outlineLevel="0" collapsed="false">
      <c r="B479" s="36" t="s">
        <v>52</v>
      </c>
      <c r="C479" s="238" t="n">
        <f aca="false">$G$283</f>
        <v>1649722.78562621</v>
      </c>
    </row>
    <row r="480" customFormat="false" ht="15" hidden="false" customHeight="false" outlineLevel="0" collapsed="false">
      <c r="B480" s="36" t="s">
        <v>483</v>
      </c>
      <c r="C480" s="239" t="n">
        <f aca="false">$E$14</f>
        <v>46660</v>
      </c>
    </row>
    <row r="482" customFormat="false" ht="15" hidden="false" customHeight="false" outlineLevel="0" collapsed="false">
      <c r="B482" s="108" t="s">
        <v>121</v>
      </c>
      <c r="C482" s="109" t="s">
        <v>484</v>
      </c>
      <c r="D482" s="109" t="s">
        <v>485</v>
      </c>
      <c r="E482" s="109" t="s">
        <v>486</v>
      </c>
      <c r="F482" s="109" t="s">
        <v>487</v>
      </c>
      <c r="G482" s="110" t="s">
        <v>488</v>
      </c>
      <c r="H482" s="109" t="s">
        <v>489</v>
      </c>
      <c r="I482" s="109" t="s">
        <v>490</v>
      </c>
      <c r="J482" s="109" t="s">
        <v>491</v>
      </c>
      <c r="K482" s="109" t="s">
        <v>492</v>
      </c>
      <c r="L482" s="110" t="s">
        <v>493</v>
      </c>
      <c r="M482" s="109" t="s">
        <v>494</v>
      </c>
      <c r="N482" s="110" t="s">
        <v>495</v>
      </c>
      <c r="O482" s="113" t="s">
        <v>496</v>
      </c>
    </row>
    <row r="483" customFormat="false" ht="15" hidden="false" customHeight="false" outlineLevel="0" collapsed="false">
      <c r="B483" s="143" t="s">
        <v>497</v>
      </c>
      <c r="C483" s="240" t="s">
        <v>498</v>
      </c>
      <c r="D483" s="229" t="n">
        <f aca="false">$E$452</f>
        <v>600587.206438123</v>
      </c>
      <c r="E483" s="241" t="n">
        <f aca="false">MAX(③기타_CF!$E$121:$EF$121)</f>
        <v>397064.20819628</v>
      </c>
      <c r="F483" s="119" t="n">
        <f aca="false">IFERROR(E483/SUM($E$483:$E$485),0)</f>
        <v>0.623058609945393</v>
      </c>
      <c r="G483" s="119" t="n">
        <f aca="false">SUM($E$483:E483)/$G$283</f>
        <v>0.240685411910318</v>
      </c>
      <c r="H483" s="242" t="n">
        <f aca="false">$E$16</f>
        <v>47907</v>
      </c>
      <c r="I483" s="243" t="s">
        <v>499</v>
      </c>
      <c r="J483" s="135" t="n">
        <v>0.01</v>
      </c>
      <c r="K483" s="135" t="n">
        <v>0.065</v>
      </c>
      <c r="L483" s="81" t="n">
        <f aca="false">K483+J483/($E$15/12)</f>
        <v>0.0678571428571429</v>
      </c>
      <c r="M483" s="244" t="s">
        <v>500</v>
      </c>
      <c r="N483" s="119" t="n">
        <f aca="false">SUM($D$483:D483)/$R$413</f>
        <v>0.549365928063379</v>
      </c>
      <c r="O483" s="138" t="n">
        <v>0.005</v>
      </c>
    </row>
    <row r="484" customFormat="false" ht="15" hidden="false" customHeight="false" outlineLevel="0" collapsed="false">
      <c r="B484" s="143" t="s">
        <v>501</v>
      </c>
      <c r="C484" s="240" t="s">
        <v>498</v>
      </c>
      <c r="D484" s="229" t="n">
        <f aca="false">$E$453</f>
        <v>120151.073498541</v>
      </c>
      <c r="E484" s="241" t="n">
        <f aca="false">MAX(③기타_CF!$E$122:$EF$122)</f>
        <v>120151.073498541</v>
      </c>
      <c r="F484" s="119" t="n">
        <f aca="false">IFERROR(E484/SUM($E$483:$E$485),0)</f>
        <v>0.188536663068965</v>
      </c>
      <c r="G484" s="119" t="n">
        <f aca="false">SUM($E$483:E484)/$G$283</f>
        <v>0.313516480587674</v>
      </c>
      <c r="H484" s="242" t="n">
        <f aca="false">$E$16</f>
        <v>47907</v>
      </c>
      <c r="I484" s="243" t="s">
        <v>499</v>
      </c>
      <c r="J484" s="135" t="n">
        <v>0.01</v>
      </c>
      <c r="K484" s="135" t="n">
        <v>0.073</v>
      </c>
      <c r="L484" s="81" t="n">
        <f aca="false">K484+J484/($E$15/12)</f>
        <v>0.0758571428571429</v>
      </c>
      <c r="M484" s="244" t="s">
        <v>500</v>
      </c>
      <c r="N484" s="119" t="n">
        <f aca="false">SUM($D$483:D484)/$R$413</f>
        <v>0.659269877552748</v>
      </c>
      <c r="O484" s="138" t="n">
        <v>0.005</v>
      </c>
    </row>
    <row r="485" customFormat="false" ht="15" hidden="false" customHeight="false" outlineLevel="0" collapsed="false">
      <c r="B485" s="143" t="s">
        <v>502</v>
      </c>
      <c r="C485" s="240" t="s">
        <v>498</v>
      </c>
      <c r="D485" s="229" t="n">
        <f aca="false">$E$454</f>
        <v>120066.99297125</v>
      </c>
      <c r="E485" s="241" t="n">
        <f aca="false">MAX(③기타_CF!$E$123:$EF$123)</f>
        <v>120066.99297125</v>
      </c>
      <c r="F485" s="119" t="n">
        <f aca="false">IFERROR(E485/SUM($E$483:$E$485),0)</f>
        <v>0.188404726985642</v>
      </c>
      <c r="G485" s="119" t="n">
        <f aca="false">SUM($E$483:E485)/$G$283</f>
        <v>0.386296582806893</v>
      </c>
      <c r="H485" s="242" t="n">
        <f aca="false">$E$16</f>
        <v>47907</v>
      </c>
      <c r="I485" s="243" t="s">
        <v>499</v>
      </c>
      <c r="J485" s="135" t="n">
        <v>0.01</v>
      </c>
      <c r="K485" s="135" t="n">
        <v>0.088</v>
      </c>
      <c r="L485" s="81" t="n">
        <f aca="false">K485+J485/($E$15/12)</f>
        <v>0.0908571428571429</v>
      </c>
      <c r="M485" s="244" t="s">
        <v>500</v>
      </c>
      <c r="N485" s="119" t="n">
        <f aca="false">SUM($D$483:D485)/$R$413</f>
        <v>0.769096917350383</v>
      </c>
      <c r="O485" s="138" t="n">
        <v>0.005</v>
      </c>
    </row>
    <row r="486" customFormat="false" ht="15" hidden="false" customHeight="false" outlineLevel="0" collapsed="false">
      <c r="B486" s="123" t="s">
        <v>155</v>
      </c>
      <c r="C486" s="95"/>
      <c r="D486" s="245" t="n">
        <f aca="false">SUM(D483:D485)</f>
        <v>840805.272907914</v>
      </c>
      <c r="E486" s="245" t="n">
        <f aca="false">SUM(E483:E485)</f>
        <v>637282.274666071</v>
      </c>
      <c r="F486" s="140" t="n">
        <f aca="false">SUM(F483:F485)</f>
        <v>1</v>
      </c>
      <c r="G486" s="140" t="n">
        <f aca="false">G485</f>
        <v>0.386296582806893</v>
      </c>
      <c r="H486" s="95"/>
      <c r="I486" s="95"/>
      <c r="J486" s="95"/>
      <c r="K486" s="140" t="n">
        <f aca="false">SUMPRODUCT(D483:D485,K483:K485)/D486</f>
        <v>0.0694276</v>
      </c>
      <c r="L486" s="140" t="n">
        <f aca="false">SUMPRODUCT(D483:D485,L483:L485)/D486</f>
        <v>0.0722847428571429</v>
      </c>
      <c r="M486" s="95"/>
      <c r="N486" s="140" t="n">
        <f aca="false">N485</f>
        <v>0.769096917350383</v>
      </c>
      <c r="O486" s="246"/>
    </row>
    <row r="488" customFormat="false" ht="15" hidden="false" customHeight="false" outlineLevel="0" collapsed="false">
      <c r="B488" s="151" t="s">
        <v>40</v>
      </c>
    </row>
    <row r="489" customFormat="false" ht="15" hidden="false" customHeight="false" outlineLevel="0" collapsed="false">
      <c r="B489" s="108" t="s">
        <v>503</v>
      </c>
      <c r="C489" s="109" t="s">
        <v>504</v>
      </c>
      <c r="D489" s="110" t="s">
        <v>488</v>
      </c>
      <c r="E489" s="109" t="s">
        <v>505</v>
      </c>
      <c r="F489" s="109" t="s">
        <v>506</v>
      </c>
      <c r="G489" s="113" t="s">
        <v>507</v>
      </c>
    </row>
    <row r="490" customFormat="false" ht="15" hidden="false" customHeight="false" outlineLevel="0" collapsed="false">
      <c r="B490" s="51" t="s">
        <v>122</v>
      </c>
      <c r="C490" s="247" t="n">
        <v>499793</v>
      </c>
      <c r="D490" s="135" t="n">
        <v>0.7</v>
      </c>
      <c r="E490" s="248" t="n">
        <f aca="false">C490*D490*$D$38</f>
        <v>0</v>
      </c>
      <c r="F490" s="249" t="n">
        <f aca="false">SUMIF(③기타_CF!$E$6:$EF$6,"&lt;="&amp;$E$16,③기타_CF!$E$78:$EF$78)</f>
        <v>0</v>
      </c>
      <c r="G490" s="250" t="n">
        <f aca="false">MAX(0,E490-F490)</f>
        <v>0</v>
      </c>
    </row>
    <row r="491" customFormat="false" ht="15" hidden="false" customHeight="false" outlineLevel="0" collapsed="false">
      <c r="B491" s="51" t="s">
        <v>123</v>
      </c>
      <c r="C491" s="247" t="n">
        <v>294904</v>
      </c>
      <c r="D491" s="135" t="n">
        <v>0.7</v>
      </c>
      <c r="E491" s="248" t="n">
        <f aca="false">C491*D491*$E$38</f>
        <v>206432.8</v>
      </c>
      <c r="F491" s="249" t="n">
        <f aca="false">SUMIF(③기타_CF!$E$6:$EF$6,"&lt;="&amp;$E$16,③기타_CF!$E$79:$EF$79)</f>
        <v>174021.12</v>
      </c>
      <c r="G491" s="250" t="n">
        <f aca="false">MAX(0,E491-F491)</f>
        <v>32411.68</v>
      </c>
    </row>
    <row r="492" customFormat="false" ht="15" hidden="false" customHeight="false" outlineLevel="0" collapsed="false">
      <c r="B492" s="51" t="s">
        <v>124</v>
      </c>
      <c r="C492" s="247" t="n">
        <v>461934</v>
      </c>
      <c r="D492" s="135" t="n">
        <v>0.7</v>
      </c>
      <c r="E492" s="248" t="n">
        <f aca="false">C492*D492*$F$38</f>
        <v>323353.8</v>
      </c>
      <c r="F492" s="248" t="n">
        <v>0</v>
      </c>
      <c r="G492" s="250" t="n">
        <f aca="false">MAX(0,E492-F492)</f>
        <v>323353.8</v>
      </c>
    </row>
    <row r="493" customFormat="false" ht="15" hidden="false" customHeight="false" outlineLevel="0" collapsed="false">
      <c r="B493" s="51" t="s">
        <v>125</v>
      </c>
      <c r="C493" s="247" t="n">
        <v>297831</v>
      </c>
      <c r="D493" s="135" t="n">
        <v>0.7</v>
      </c>
      <c r="E493" s="248" t="n">
        <f aca="false">C493*D493*$G$38</f>
        <v>208481.7</v>
      </c>
      <c r="F493" s="248" t="n">
        <v>0</v>
      </c>
      <c r="G493" s="250" t="n">
        <f aca="false">MAX(0,E493-F493)</f>
        <v>208481.7</v>
      </c>
    </row>
    <row r="494" customFormat="false" ht="15" hidden="false" customHeight="false" outlineLevel="0" collapsed="false">
      <c r="B494" s="51" t="s">
        <v>126</v>
      </c>
      <c r="C494" s="247" t="n">
        <v>211380</v>
      </c>
      <c r="D494" s="135" t="n">
        <v>0.7</v>
      </c>
      <c r="E494" s="248" t="n">
        <f aca="false">C494*D494*$H$38</f>
        <v>147966</v>
      </c>
      <c r="F494" s="248" t="n">
        <v>0</v>
      </c>
      <c r="G494" s="250" t="n">
        <f aca="false">MAX(0,E494-F494)</f>
        <v>147966</v>
      </c>
    </row>
    <row r="495" customFormat="false" ht="15" hidden="false" customHeight="false" outlineLevel="0" collapsed="false">
      <c r="B495" s="123" t="s">
        <v>155</v>
      </c>
      <c r="C495" s="251" t="n">
        <f aca="false">SUM(C490:C494)</f>
        <v>1765842</v>
      </c>
      <c r="D495" s="140" t="n">
        <f aca="false">E495/C495</f>
        <v>0.501876328686258</v>
      </c>
      <c r="E495" s="251" t="n">
        <f aca="false">SUM(E490:E494)</f>
        <v>886234.3</v>
      </c>
      <c r="F495" s="251" t="n">
        <f aca="false">SUM(F490:F494)</f>
        <v>174021.12</v>
      </c>
      <c r="G495" s="252" t="n">
        <f aca="false">SUM(G490:G494)</f>
        <v>712213.18</v>
      </c>
    </row>
    <row r="497" customFormat="false" ht="15" hidden="false" customHeight="false" outlineLevel="0" collapsed="false">
      <c r="B497" s="47" t="s">
        <v>508</v>
      </c>
      <c r="C497" s="253" t="n">
        <f aca="false">MAX(0,-MIN(③기타_CF!$E$159:$EF$159))</f>
        <v>-0</v>
      </c>
    </row>
    <row r="498" customFormat="false" ht="15" hidden="false" customHeight="false" outlineLevel="0" collapsed="false">
      <c r="B498" s="51" t="s">
        <v>509</v>
      </c>
      <c r="C498" s="250" t="n">
        <f aca="false">$E$438</f>
        <v>210201.318226978</v>
      </c>
    </row>
    <row r="499" customFormat="false" ht="15" hidden="false" customHeight="false" outlineLevel="0" collapsed="false">
      <c r="B499" s="254" t="s">
        <v>510</v>
      </c>
      <c r="C499" s="255" t="n">
        <f aca="false">C498+C497</f>
        <v>210201.318226978</v>
      </c>
    </row>
    <row r="501" customFormat="false" ht="15" hidden="false" customHeight="false" outlineLevel="0" collapsed="false">
      <c r="B501" s="32" t="s">
        <v>122</v>
      </c>
    </row>
    <row r="502" customFormat="false" ht="15" hidden="false" customHeight="false" outlineLevel="0" collapsed="false">
      <c r="B502" s="108" t="s">
        <v>121</v>
      </c>
      <c r="C502" s="109" t="s">
        <v>484</v>
      </c>
      <c r="D502" s="109" t="s">
        <v>485</v>
      </c>
      <c r="E502" s="109" t="s">
        <v>505</v>
      </c>
      <c r="F502" s="109" t="s">
        <v>487</v>
      </c>
      <c r="G502" s="110" t="s">
        <v>488</v>
      </c>
      <c r="H502" s="109" t="s">
        <v>489</v>
      </c>
      <c r="I502" s="109" t="s">
        <v>490</v>
      </c>
      <c r="J502" s="109" t="s">
        <v>491</v>
      </c>
      <c r="K502" s="109" t="s">
        <v>492</v>
      </c>
      <c r="L502" s="110" t="s">
        <v>493</v>
      </c>
      <c r="M502" s="113" t="s">
        <v>494</v>
      </c>
    </row>
    <row r="503" customFormat="false" ht="15" hidden="false" customHeight="false" outlineLevel="0" collapsed="false">
      <c r="B503" s="143" t="s">
        <v>511</v>
      </c>
      <c r="C503" s="242" t="n">
        <f aca="false">$E$16</f>
        <v>47907</v>
      </c>
      <c r="D503" s="229" t="n">
        <f aca="false">E503</f>
        <v>0</v>
      </c>
      <c r="E503" s="229" t="n">
        <f aca="false">$G$490*F503</f>
        <v>0</v>
      </c>
      <c r="F503" s="135" t="n">
        <v>0.55</v>
      </c>
      <c r="G503" s="119" t="n">
        <f aca="false">IFERROR((SUM($E$503:E503)+$F$490)/$C$490,0)</f>
        <v>0</v>
      </c>
      <c r="H503" s="242" t="n">
        <f aca="false">$E$22</f>
        <v>49734</v>
      </c>
      <c r="I503" s="243" t="s">
        <v>499</v>
      </c>
      <c r="J503" s="135" t="n">
        <v>0.01</v>
      </c>
      <c r="K503" s="135" t="n">
        <v>0.045</v>
      </c>
      <c r="L503" s="81" t="n">
        <f aca="false">K503+J503/(($E$17+$E$19+$E$21)/12)</f>
        <v>0.0469672131147541</v>
      </c>
      <c r="M503" s="256" t="s">
        <v>500</v>
      </c>
    </row>
    <row r="504" customFormat="false" ht="15" hidden="false" customHeight="false" outlineLevel="0" collapsed="false">
      <c r="B504" s="143" t="s">
        <v>512</v>
      </c>
      <c r="C504" s="242" t="n">
        <f aca="false">$E$16</f>
        <v>47907</v>
      </c>
      <c r="D504" s="229" t="n">
        <f aca="false">E504</f>
        <v>0</v>
      </c>
      <c r="E504" s="229" t="n">
        <f aca="false">$G$490*F504</f>
        <v>0</v>
      </c>
      <c r="F504" s="135" t="n">
        <v>0.45</v>
      </c>
      <c r="G504" s="119" t="n">
        <f aca="false">IFERROR((SUM($E$503:E504)+$F$490)/$C$490,0)</f>
        <v>0</v>
      </c>
      <c r="H504" s="242" t="n">
        <f aca="false">$E$22</f>
        <v>49734</v>
      </c>
      <c r="I504" s="243" t="s">
        <v>499</v>
      </c>
      <c r="J504" s="135" t="n">
        <v>0.01</v>
      </c>
      <c r="K504" s="135" t="n">
        <v>0.065</v>
      </c>
      <c r="L504" s="81" t="n">
        <f aca="false">K504+J504/(($E$17+$E$19+$E$21)/12)</f>
        <v>0.0669672131147541</v>
      </c>
      <c r="M504" s="256" t="s">
        <v>500</v>
      </c>
    </row>
    <row r="505" customFormat="false" ht="15" hidden="false" customHeight="false" outlineLevel="0" collapsed="false">
      <c r="B505" s="143" t="s">
        <v>513</v>
      </c>
      <c r="C505" s="242" t="n">
        <f aca="false">$E$16</f>
        <v>47907</v>
      </c>
      <c r="D505" s="229" t="n">
        <f aca="false">E505</f>
        <v>0</v>
      </c>
      <c r="E505" s="229" t="n">
        <f aca="false">$G$490*F505</f>
        <v>0</v>
      </c>
      <c r="F505" s="119" t="n">
        <f aca="false">1-F503-F504</f>
        <v>0</v>
      </c>
      <c r="G505" s="119" t="n">
        <f aca="false">IFERROR((SUM($E$503:E505)+$F$490)/$C$490,0)</f>
        <v>0</v>
      </c>
      <c r="H505" s="242" t="n">
        <f aca="false">$E$22</f>
        <v>49734</v>
      </c>
      <c r="I505" s="243" t="s">
        <v>499</v>
      </c>
      <c r="J505" s="135" t="n">
        <v>0.01</v>
      </c>
      <c r="K505" s="135" t="n">
        <v>0.07</v>
      </c>
      <c r="L505" s="81" t="n">
        <f aca="false">K505+J505/(($E$17+$E$19+$E$21)/12)</f>
        <v>0.0719672131147541</v>
      </c>
      <c r="M505" s="256" t="s">
        <v>500</v>
      </c>
    </row>
    <row r="506" customFormat="false" ht="15" hidden="false" customHeight="false" outlineLevel="0" collapsed="false">
      <c r="B506" s="123" t="s">
        <v>155</v>
      </c>
      <c r="C506" s="95"/>
      <c r="D506" s="245" t="n">
        <f aca="false">SUM(D503:D505)</f>
        <v>0</v>
      </c>
      <c r="E506" s="245" t="n">
        <f aca="false">SUM(E503:E505)</f>
        <v>0</v>
      </c>
      <c r="F506" s="140" t="n">
        <f aca="false">SUM(F503:F505)</f>
        <v>1</v>
      </c>
      <c r="G506" s="140" t="n">
        <f aca="false">G505</f>
        <v>0</v>
      </c>
      <c r="H506" s="95"/>
      <c r="I506" s="95"/>
      <c r="J506" s="140" t="n">
        <f aca="false">IFERROR(SUMPRODUCT(E503:E505,J503:J505)/E506,0)</f>
        <v>0</v>
      </c>
      <c r="K506" s="140" t="n">
        <f aca="false">IFERROR(SUMPRODUCT(E503:E505,K503:K505)/E506,0)</f>
        <v>0</v>
      </c>
      <c r="L506" s="140" t="n">
        <f aca="false">IFERROR(SUMPRODUCT(E503:E505,L503:L505)/E506,0)</f>
        <v>0</v>
      </c>
      <c r="M506" s="246"/>
    </row>
    <row r="508" customFormat="false" ht="15" hidden="false" customHeight="false" outlineLevel="0" collapsed="false">
      <c r="B508" s="32" t="s">
        <v>123</v>
      </c>
    </row>
    <row r="509" customFormat="false" ht="15" hidden="false" customHeight="false" outlineLevel="0" collapsed="false">
      <c r="B509" s="108" t="s">
        <v>121</v>
      </c>
      <c r="C509" s="109" t="s">
        <v>484</v>
      </c>
      <c r="D509" s="109" t="s">
        <v>485</v>
      </c>
      <c r="E509" s="109" t="s">
        <v>505</v>
      </c>
      <c r="F509" s="109" t="s">
        <v>487</v>
      </c>
      <c r="G509" s="110" t="s">
        <v>488</v>
      </c>
      <c r="H509" s="109" t="s">
        <v>489</v>
      </c>
      <c r="I509" s="109" t="s">
        <v>490</v>
      </c>
      <c r="J509" s="109" t="s">
        <v>491</v>
      </c>
      <c r="K509" s="109" t="s">
        <v>492</v>
      </c>
      <c r="L509" s="110" t="s">
        <v>493</v>
      </c>
      <c r="M509" s="113" t="s">
        <v>494</v>
      </c>
    </row>
    <row r="510" customFormat="false" ht="15" hidden="false" customHeight="false" outlineLevel="0" collapsed="false">
      <c r="B510" s="143" t="s">
        <v>511</v>
      </c>
      <c r="C510" s="242" t="n">
        <f aca="false">$E$16</f>
        <v>47907</v>
      </c>
      <c r="D510" s="229" t="n">
        <f aca="false">E510</f>
        <v>27549.928</v>
      </c>
      <c r="E510" s="229" t="n">
        <f aca="false">$G$491*F510</f>
        <v>27549.928</v>
      </c>
      <c r="F510" s="135" t="n">
        <v>0.85</v>
      </c>
      <c r="G510" s="119" t="n">
        <f aca="false">IFERROR((SUM($E$510:E510)+$F$491)/$C$491,0)</f>
        <v>0.683514119849171</v>
      </c>
      <c r="H510" s="242" t="n">
        <f aca="false">$E$22</f>
        <v>49734</v>
      </c>
      <c r="I510" s="243" t="s">
        <v>499</v>
      </c>
      <c r="J510" s="135" t="n">
        <v>0.01</v>
      </c>
      <c r="K510" s="135" t="n">
        <v>0.05</v>
      </c>
      <c r="L510" s="81" t="n">
        <f aca="false">K510+J510/(($E$17+$E$19+$E$21)/12)</f>
        <v>0.0519672131147541</v>
      </c>
      <c r="M510" s="256" t="s">
        <v>500</v>
      </c>
    </row>
    <row r="511" customFormat="false" ht="15" hidden="false" customHeight="false" outlineLevel="0" collapsed="false">
      <c r="B511" s="143" t="s">
        <v>512</v>
      </c>
      <c r="C511" s="242" t="n">
        <f aca="false">$E$16</f>
        <v>47907</v>
      </c>
      <c r="D511" s="229" t="n">
        <f aca="false">E511</f>
        <v>4861.75199999999</v>
      </c>
      <c r="E511" s="229" t="n">
        <f aca="false">$G$491*F511</f>
        <v>4861.75199999999</v>
      </c>
      <c r="F511" s="135" t="n">
        <v>0.15</v>
      </c>
      <c r="G511" s="119" t="n">
        <f aca="false">IFERROR((SUM($E$510:E511)+$F$491)/$C$491,0)</f>
        <v>0.7</v>
      </c>
      <c r="H511" s="242" t="n">
        <f aca="false">$E$22</f>
        <v>49734</v>
      </c>
      <c r="I511" s="243" t="s">
        <v>499</v>
      </c>
      <c r="J511" s="135" t="n">
        <v>0.01</v>
      </c>
      <c r="K511" s="135" t="n">
        <v>0.065</v>
      </c>
      <c r="L511" s="81" t="n">
        <f aca="false">K511+J511/(($E$17+$E$19+$E$21)/12)</f>
        <v>0.0669672131147541</v>
      </c>
      <c r="M511" s="256" t="s">
        <v>500</v>
      </c>
    </row>
    <row r="512" customFormat="false" ht="15" hidden="false" customHeight="false" outlineLevel="0" collapsed="false">
      <c r="B512" s="143" t="s">
        <v>513</v>
      </c>
      <c r="C512" s="242" t="n">
        <f aca="false">$E$16</f>
        <v>47907</v>
      </c>
      <c r="D512" s="229" t="n">
        <f aca="false">E512</f>
        <v>0</v>
      </c>
      <c r="E512" s="229" t="n">
        <f aca="false">$G$491*F512</f>
        <v>0</v>
      </c>
      <c r="F512" s="119" t="n">
        <f aca="false">1-F510-F511</f>
        <v>0</v>
      </c>
      <c r="G512" s="119" t="n">
        <f aca="false">IFERROR((SUM($E$510:E512)+$F$491)/$C$491,0)</f>
        <v>0.7</v>
      </c>
      <c r="H512" s="242" t="n">
        <f aca="false">$E$22</f>
        <v>49734</v>
      </c>
      <c r="I512" s="243" t="s">
        <v>499</v>
      </c>
      <c r="J512" s="135" t="n">
        <v>0.01</v>
      </c>
      <c r="K512" s="135" t="n">
        <v>0.07</v>
      </c>
      <c r="L512" s="81" t="n">
        <f aca="false">K512+J512/(($E$17+$E$19+$E$21)/12)</f>
        <v>0.0719672131147541</v>
      </c>
      <c r="M512" s="256" t="s">
        <v>500</v>
      </c>
    </row>
    <row r="513" customFormat="false" ht="15" hidden="false" customHeight="false" outlineLevel="0" collapsed="false">
      <c r="B513" s="123" t="s">
        <v>155</v>
      </c>
      <c r="C513" s="95"/>
      <c r="D513" s="245" t="n">
        <f aca="false">SUM(D510:D512)</f>
        <v>32411.68</v>
      </c>
      <c r="E513" s="245" t="n">
        <f aca="false">SUM(E510:E512)</f>
        <v>32411.68</v>
      </c>
      <c r="F513" s="140" t="n">
        <f aca="false">SUM(F510:F512)</f>
        <v>1</v>
      </c>
      <c r="G513" s="140" t="n">
        <f aca="false">G512</f>
        <v>0.7</v>
      </c>
      <c r="H513" s="95"/>
      <c r="I513" s="95"/>
      <c r="J513" s="140" t="n">
        <f aca="false">IFERROR(SUMPRODUCT(E510:E512,J510:J512)/E513,0)</f>
        <v>0.01</v>
      </c>
      <c r="K513" s="140" t="n">
        <f aca="false">IFERROR(SUMPRODUCT(E510:E512,K510:K512)/E513,0)</f>
        <v>0.05225</v>
      </c>
      <c r="L513" s="140" t="n">
        <f aca="false">IFERROR(SUMPRODUCT(E510:E512,L510:L512)/E513,0)</f>
        <v>0.0542172131147541</v>
      </c>
      <c r="M513" s="246"/>
    </row>
    <row r="515" customFormat="false" ht="15" hidden="false" customHeight="false" outlineLevel="0" collapsed="false">
      <c r="B515" s="32" t="s">
        <v>124</v>
      </c>
    </row>
    <row r="516" customFormat="false" ht="15" hidden="false" customHeight="false" outlineLevel="0" collapsed="false">
      <c r="B516" s="108" t="s">
        <v>121</v>
      </c>
      <c r="C516" s="109" t="s">
        <v>484</v>
      </c>
      <c r="D516" s="109" t="s">
        <v>485</v>
      </c>
      <c r="E516" s="109" t="s">
        <v>505</v>
      </c>
      <c r="F516" s="109" t="s">
        <v>487</v>
      </c>
      <c r="G516" s="110" t="s">
        <v>488</v>
      </c>
      <c r="H516" s="109" t="s">
        <v>489</v>
      </c>
      <c r="I516" s="109" t="s">
        <v>490</v>
      </c>
      <c r="J516" s="109" t="s">
        <v>491</v>
      </c>
      <c r="K516" s="109" t="s">
        <v>492</v>
      </c>
      <c r="L516" s="110" t="s">
        <v>493</v>
      </c>
      <c r="M516" s="113" t="s">
        <v>494</v>
      </c>
    </row>
    <row r="517" customFormat="false" ht="15" hidden="false" customHeight="false" outlineLevel="0" collapsed="false">
      <c r="B517" s="143" t="s">
        <v>511</v>
      </c>
      <c r="C517" s="242" t="n">
        <f aca="false">$E$16</f>
        <v>47907</v>
      </c>
      <c r="D517" s="229" t="n">
        <f aca="false">E517</f>
        <v>274850.73</v>
      </c>
      <c r="E517" s="229" t="n">
        <f aca="false">$G$492*F517</f>
        <v>274850.73</v>
      </c>
      <c r="F517" s="135" t="n">
        <v>0.85</v>
      </c>
      <c r="G517" s="119" t="n">
        <f aca="false">IFERROR((SUM($E$517:E517)+$F$492)/$C$492,0)</f>
        <v>0.595</v>
      </c>
      <c r="H517" s="242" t="n">
        <f aca="false">$E$22</f>
        <v>49734</v>
      </c>
      <c r="I517" s="243" t="s">
        <v>499</v>
      </c>
      <c r="J517" s="135" t="n">
        <v>0.01</v>
      </c>
      <c r="K517" s="135" t="n">
        <v>0.05</v>
      </c>
      <c r="L517" s="81" t="n">
        <f aca="false">K517+J517/(($E$17+$E$19+$E$21)/12)</f>
        <v>0.0519672131147541</v>
      </c>
      <c r="M517" s="256" t="s">
        <v>500</v>
      </c>
    </row>
    <row r="518" customFormat="false" ht="15" hidden="false" customHeight="false" outlineLevel="0" collapsed="false">
      <c r="B518" s="143" t="s">
        <v>512</v>
      </c>
      <c r="C518" s="242" t="n">
        <f aca="false">$E$16</f>
        <v>47907</v>
      </c>
      <c r="D518" s="229" t="n">
        <f aca="false">E518</f>
        <v>48503.07</v>
      </c>
      <c r="E518" s="229" t="n">
        <f aca="false">$G$492*F518</f>
        <v>48503.07</v>
      </c>
      <c r="F518" s="135" t="n">
        <v>0.15</v>
      </c>
      <c r="G518" s="119" t="n">
        <f aca="false">IFERROR((SUM($E$517:E518)+$F$492)/$C$492,0)</f>
        <v>0.7</v>
      </c>
      <c r="H518" s="242" t="n">
        <f aca="false">$E$22</f>
        <v>49734</v>
      </c>
      <c r="I518" s="243" t="s">
        <v>499</v>
      </c>
      <c r="J518" s="135" t="n">
        <v>0.01</v>
      </c>
      <c r="K518" s="135" t="n">
        <v>0.065</v>
      </c>
      <c r="L518" s="81" t="n">
        <f aca="false">K518+J518/(($E$17+$E$19+$E$21)/12)</f>
        <v>0.0669672131147541</v>
      </c>
      <c r="M518" s="256" t="s">
        <v>500</v>
      </c>
    </row>
    <row r="519" customFormat="false" ht="15" hidden="false" customHeight="false" outlineLevel="0" collapsed="false">
      <c r="B519" s="143" t="s">
        <v>513</v>
      </c>
      <c r="C519" s="242" t="n">
        <f aca="false">$E$16</f>
        <v>47907</v>
      </c>
      <c r="D519" s="229" t="n">
        <f aca="false">E519</f>
        <v>0</v>
      </c>
      <c r="E519" s="229" t="n">
        <f aca="false">$G$492*F519</f>
        <v>0</v>
      </c>
      <c r="F519" s="119" t="n">
        <f aca="false">1-F517-F518</f>
        <v>0</v>
      </c>
      <c r="G519" s="119" t="n">
        <f aca="false">IFERROR((SUM($E$517:E519)+$F$492)/$C$492,0)</f>
        <v>0.7</v>
      </c>
      <c r="H519" s="242" t="n">
        <f aca="false">$E$22</f>
        <v>49734</v>
      </c>
      <c r="I519" s="243" t="s">
        <v>499</v>
      </c>
      <c r="J519" s="135" t="n">
        <v>0.01</v>
      </c>
      <c r="K519" s="135" t="n">
        <v>0.07</v>
      </c>
      <c r="L519" s="81" t="n">
        <f aca="false">K519+J519/(($E$17+$E$19+$E$21)/12)</f>
        <v>0.0719672131147541</v>
      </c>
      <c r="M519" s="256" t="s">
        <v>500</v>
      </c>
    </row>
    <row r="520" customFormat="false" ht="15" hidden="false" customHeight="false" outlineLevel="0" collapsed="false">
      <c r="B520" s="123" t="s">
        <v>155</v>
      </c>
      <c r="C520" s="95"/>
      <c r="D520" s="245" t="n">
        <f aca="false">SUM(D517:D519)</f>
        <v>323353.8</v>
      </c>
      <c r="E520" s="245" t="n">
        <f aca="false">SUM(E517:E519)</f>
        <v>323353.8</v>
      </c>
      <c r="F520" s="140" t="n">
        <f aca="false">SUM(F517:F519)</f>
        <v>1</v>
      </c>
      <c r="G520" s="140" t="n">
        <f aca="false">G519</f>
        <v>0.7</v>
      </c>
      <c r="H520" s="95"/>
      <c r="I520" s="95"/>
      <c r="J520" s="140" t="n">
        <f aca="false">IFERROR(SUMPRODUCT(E517:E519,J517:J519)/E520,0)</f>
        <v>0.01</v>
      </c>
      <c r="K520" s="140" t="n">
        <f aca="false">IFERROR(SUMPRODUCT(E517:E519,K517:K519)/E520,0)</f>
        <v>0.05225</v>
      </c>
      <c r="L520" s="140" t="n">
        <f aca="false">IFERROR(SUMPRODUCT(E517:E519,L517:L519)/E520,0)</f>
        <v>0.0542172131147541</v>
      </c>
      <c r="M520" s="246"/>
    </row>
    <row r="522" customFormat="false" ht="15" hidden="false" customHeight="false" outlineLevel="0" collapsed="false">
      <c r="B522" s="32" t="s">
        <v>125</v>
      </c>
    </row>
    <row r="523" customFormat="false" ht="15" hidden="false" customHeight="false" outlineLevel="0" collapsed="false">
      <c r="B523" s="108" t="s">
        <v>121</v>
      </c>
      <c r="C523" s="109" t="s">
        <v>484</v>
      </c>
      <c r="D523" s="109" t="s">
        <v>485</v>
      </c>
      <c r="E523" s="109" t="s">
        <v>505</v>
      </c>
      <c r="F523" s="109" t="s">
        <v>487</v>
      </c>
      <c r="G523" s="110" t="s">
        <v>488</v>
      </c>
      <c r="H523" s="109" t="s">
        <v>489</v>
      </c>
      <c r="I523" s="109" t="s">
        <v>490</v>
      </c>
      <c r="J523" s="109" t="s">
        <v>491</v>
      </c>
      <c r="K523" s="109" t="s">
        <v>492</v>
      </c>
      <c r="L523" s="110" t="s">
        <v>493</v>
      </c>
      <c r="M523" s="113" t="s">
        <v>494</v>
      </c>
    </row>
    <row r="524" customFormat="false" ht="15" hidden="false" customHeight="false" outlineLevel="0" collapsed="false">
      <c r="B524" s="143" t="s">
        <v>511</v>
      </c>
      <c r="C524" s="242" t="n">
        <f aca="false">$E$16</f>
        <v>47907</v>
      </c>
      <c r="D524" s="229" t="n">
        <f aca="false">E524</f>
        <v>177209.445</v>
      </c>
      <c r="E524" s="229" t="n">
        <f aca="false">$G$493*F524</f>
        <v>177209.445</v>
      </c>
      <c r="F524" s="135" t="n">
        <v>0.85</v>
      </c>
      <c r="G524" s="119" t="n">
        <f aca="false">IFERROR((SUM($E$524:E524)+$F$493)/$C$493,0)</f>
        <v>0.595</v>
      </c>
      <c r="H524" s="242" t="n">
        <f aca="false">$E$22</f>
        <v>49734</v>
      </c>
      <c r="I524" s="243" t="s">
        <v>499</v>
      </c>
      <c r="J524" s="135" t="n">
        <v>0.01</v>
      </c>
      <c r="K524" s="135" t="n">
        <v>0.05</v>
      </c>
      <c r="L524" s="81" t="n">
        <f aca="false">K524+J524/(($E$17+$E$19+$E$21)/12)</f>
        <v>0.0519672131147541</v>
      </c>
      <c r="M524" s="256" t="s">
        <v>500</v>
      </c>
    </row>
    <row r="525" customFormat="false" ht="15" hidden="false" customHeight="false" outlineLevel="0" collapsed="false">
      <c r="B525" s="143" t="s">
        <v>512</v>
      </c>
      <c r="C525" s="242" t="n">
        <f aca="false">$E$16</f>
        <v>47907</v>
      </c>
      <c r="D525" s="229" t="n">
        <f aca="false">E525</f>
        <v>31272.255</v>
      </c>
      <c r="E525" s="229" t="n">
        <f aca="false">$G$493*F525</f>
        <v>31272.255</v>
      </c>
      <c r="F525" s="135" t="n">
        <v>0.15</v>
      </c>
      <c r="G525" s="119" t="n">
        <f aca="false">IFERROR((SUM($E$524:E525)+$F$493)/$C$493,0)</f>
        <v>0.7</v>
      </c>
      <c r="H525" s="242" t="n">
        <f aca="false">$E$22</f>
        <v>49734</v>
      </c>
      <c r="I525" s="243" t="s">
        <v>499</v>
      </c>
      <c r="J525" s="135" t="n">
        <v>0.01</v>
      </c>
      <c r="K525" s="135" t="n">
        <v>0.065</v>
      </c>
      <c r="L525" s="81" t="n">
        <f aca="false">K525+J525/(($E$17+$E$19+$E$21)/12)</f>
        <v>0.0669672131147541</v>
      </c>
      <c r="M525" s="256" t="s">
        <v>500</v>
      </c>
    </row>
    <row r="526" customFormat="false" ht="15" hidden="false" customHeight="false" outlineLevel="0" collapsed="false">
      <c r="B526" s="143" t="s">
        <v>513</v>
      </c>
      <c r="C526" s="242" t="n">
        <f aca="false">$E$16</f>
        <v>47907</v>
      </c>
      <c r="D526" s="229" t="n">
        <f aca="false">E526</f>
        <v>0</v>
      </c>
      <c r="E526" s="229" t="n">
        <f aca="false">$G$493*F526</f>
        <v>0</v>
      </c>
      <c r="F526" s="119" t="n">
        <f aca="false">1-F524-F525</f>
        <v>0</v>
      </c>
      <c r="G526" s="119" t="n">
        <f aca="false">IFERROR((SUM($E$524:E526)+$F$493)/$C$493,0)</f>
        <v>0.7</v>
      </c>
      <c r="H526" s="242" t="n">
        <f aca="false">$E$22</f>
        <v>49734</v>
      </c>
      <c r="I526" s="243" t="s">
        <v>499</v>
      </c>
      <c r="J526" s="135" t="n">
        <v>0.01</v>
      </c>
      <c r="K526" s="135" t="n">
        <v>0.07</v>
      </c>
      <c r="L526" s="81" t="n">
        <f aca="false">K526+J526/(($E$17+$E$19+$E$21)/12)</f>
        <v>0.0719672131147541</v>
      </c>
      <c r="M526" s="256" t="s">
        <v>500</v>
      </c>
    </row>
    <row r="527" customFormat="false" ht="15" hidden="false" customHeight="false" outlineLevel="0" collapsed="false">
      <c r="B527" s="123" t="s">
        <v>155</v>
      </c>
      <c r="C527" s="95"/>
      <c r="D527" s="245" t="n">
        <f aca="false">SUM(D524:D526)</f>
        <v>208481.7</v>
      </c>
      <c r="E527" s="245" t="n">
        <f aca="false">SUM(E524:E526)</f>
        <v>208481.7</v>
      </c>
      <c r="F527" s="140" t="n">
        <f aca="false">SUM(F524:F526)</f>
        <v>1</v>
      </c>
      <c r="G527" s="140" t="n">
        <f aca="false">G526</f>
        <v>0.7</v>
      </c>
      <c r="H527" s="95"/>
      <c r="I527" s="95"/>
      <c r="J527" s="140" t="n">
        <f aca="false">IFERROR(SUMPRODUCT(E524:E526,J524:J526)/E527,0)</f>
        <v>0.01</v>
      </c>
      <c r="K527" s="140" t="n">
        <f aca="false">IFERROR(SUMPRODUCT(E524:E526,K524:K526)/E527,0)</f>
        <v>0.05225</v>
      </c>
      <c r="L527" s="140" t="n">
        <f aca="false">IFERROR(SUMPRODUCT(E524:E526,L524:L526)/E527,0)</f>
        <v>0.0542172131147541</v>
      </c>
      <c r="M527" s="246"/>
    </row>
    <row r="529" customFormat="false" ht="15" hidden="false" customHeight="false" outlineLevel="0" collapsed="false">
      <c r="B529" s="32" t="s">
        <v>126</v>
      </c>
    </row>
    <row r="530" customFormat="false" ht="15" hidden="false" customHeight="false" outlineLevel="0" collapsed="false">
      <c r="B530" s="108" t="s">
        <v>121</v>
      </c>
      <c r="C530" s="109" t="s">
        <v>484</v>
      </c>
      <c r="D530" s="109" t="s">
        <v>485</v>
      </c>
      <c r="E530" s="109" t="s">
        <v>505</v>
      </c>
      <c r="F530" s="109" t="s">
        <v>487</v>
      </c>
      <c r="G530" s="110" t="s">
        <v>488</v>
      </c>
      <c r="H530" s="109" t="s">
        <v>489</v>
      </c>
      <c r="I530" s="109" t="s">
        <v>490</v>
      </c>
      <c r="J530" s="109" t="s">
        <v>491</v>
      </c>
      <c r="K530" s="109" t="s">
        <v>492</v>
      </c>
      <c r="L530" s="110" t="s">
        <v>493</v>
      </c>
      <c r="M530" s="113" t="s">
        <v>494</v>
      </c>
    </row>
    <row r="531" customFormat="false" ht="15" hidden="false" customHeight="false" outlineLevel="0" collapsed="false">
      <c r="B531" s="143" t="s">
        <v>511</v>
      </c>
      <c r="C531" s="242" t="n">
        <f aca="false">$E$16</f>
        <v>47907</v>
      </c>
      <c r="D531" s="229" t="n">
        <f aca="false">E531</f>
        <v>125771.1</v>
      </c>
      <c r="E531" s="229" t="n">
        <f aca="false">$G$494*F531</f>
        <v>125771.1</v>
      </c>
      <c r="F531" s="135" t="n">
        <v>0.85</v>
      </c>
      <c r="G531" s="119" t="n">
        <f aca="false">IFERROR((SUM($E$531:E531)+$F$494)/$C$494,0)</f>
        <v>0.595</v>
      </c>
      <c r="H531" s="242" t="n">
        <f aca="false">$E$22</f>
        <v>49734</v>
      </c>
      <c r="I531" s="243" t="s">
        <v>499</v>
      </c>
      <c r="J531" s="135" t="n">
        <v>0.01</v>
      </c>
      <c r="K531" s="135" t="n">
        <v>0.05</v>
      </c>
      <c r="L531" s="81" t="n">
        <f aca="false">K531+J531/(($E$17+$E$19+$E$21)/12)</f>
        <v>0.0519672131147541</v>
      </c>
      <c r="M531" s="256" t="s">
        <v>500</v>
      </c>
    </row>
    <row r="532" customFormat="false" ht="15" hidden="false" customHeight="false" outlineLevel="0" collapsed="false">
      <c r="B532" s="143" t="s">
        <v>512</v>
      </c>
      <c r="C532" s="242" t="n">
        <f aca="false">$E$16</f>
        <v>47907</v>
      </c>
      <c r="D532" s="229" t="n">
        <f aca="false">E532</f>
        <v>22194.9</v>
      </c>
      <c r="E532" s="229" t="n">
        <f aca="false">$G$494*F532</f>
        <v>22194.9</v>
      </c>
      <c r="F532" s="135" t="n">
        <v>0.15</v>
      </c>
      <c r="G532" s="119" t="n">
        <f aca="false">IFERROR((SUM($E$531:E532)+$F$494)/$C$494,0)</f>
        <v>0.7</v>
      </c>
      <c r="H532" s="242" t="n">
        <f aca="false">$E$22</f>
        <v>49734</v>
      </c>
      <c r="I532" s="243" t="s">
        <v>499</v>
      </c>
      <c r="J532" s="135" t="n">
        <v>0.01</v>
      </c>
      <c r="K532" s="135" t="n">
        <v>0.065</v>
      </c>
      <c r="L532" s="81" t="n">
        <f aca="false">K532+J532/(($E$17+$E$19+$E$21)/12)</f>
        <v>0.0669672131147541</v>
      </c>
      <c r="M532" s="256" t="s">
        <v>500</v>
      </c>
    </row>
    <row r="533" customFormat="false" ht="15" hidden="false" customHeight="false" outlineLevel="0" collapsed="false">
      <c r="B533" s="143" t="s">
        <v>513</v>
      </c>
      <c r="C533" s="242" t="n">
        <f aca="false">$E$16</f>
        <v>47907</v>
      </c>
      <c r="D533" s="229" t="n">
        <f aca="false">E533</f>
        <v>0</v>
      </c>
      <c r="E533" s="229" t="n">
        <f aca="false">$G$494*F533</f>
        <v>0</v>
      </c>
      <c r="F533" s="119" t="n">
        <f aca="false">1-F531-F532</f>
        <v>0</v>
      </c>
      <c r="G533" s="119" t="n">
        <f aca="false">IFERROR((SUM($E$531:E533)+$F$494)/$C$494,0)</f>
        <v>0.7</v>
      </c>
      <c r="H533" s="242" t="n">
        <f aca="false">$E$22</f>
        <v>49734</v>
      </c>
      <c r="I533" s="243" t="s">
        <v>499</v>
      </c>
      <c r="J533" s="135" t="n">
        <v>0.01</v>
      </c>
      <c r="K533" s="135" t="n">
        <v>0.07</v>
      </c>
      <c r="L533" s="81" t="n">
        <f aca="false">K533+J533/(($E$17+$E$19+$E$21)/12)</f>
        <v>0.0719672131147541</v>
      </c>
      <c r="M533" s="256" t="s">
        <v>500</v>
      </c>
    </row>
    <row r="534" customFormat="false" ht="15" hidden="false" customHeight="false" outlineLevel="0" collapsed="false">
      <c r="B534" s="123" t="s">
        <v>155</v>
      </c>
      <c r="C534" s="95"/>
      <c r="D534" s="245" t="n">
        <f aca="false">SUM(D531:D533)</f>
        <v>147966</v>
      </c>
      <c r="E534" s="245" t="n">
        <f aca="false">SUM(E531:E533)</f>
        <v>147966</v>
      </c>
      <c r="F534" s="140" t="n">
        <f aca="false">SUM(F531:F533)</f>
        <v>1</v>
      </c>
      <c r="G534" s="140" t="n">
        <f aca="false">G533</f>
        <v>0.7</v>
      </c>
      <c r="H534" s="95"/>
      <c r="I534" s="95"/>
      <c r="J534" s="140" t="n">
        <f aca="false">IFERROR(SUMPRODUCT(E531:E533,J531:J533)/E534,0)</f>
        <v>0.01</v>
      </c>
      <c r="K534" s="140" t="n">
        <f aca="false">IFERROR(SUMPRODUCT(E531:E533,K531:K533)/E534,0)</f>
        <v>0.05225</v>
      </c>
      <c r="L534" s="140" t="n">
        <f aca="false">IFERROR(SUMPRODUCT(E531:E533,L531:L533)/E534,0)</f>
        <v>0.0542172131147541</v>
      </c>
      <c r="M534" s="246"/>
    </row>
    <row r="536" customFormat="false" ht="15" hidden="false" customHeight="false" outlineLevel="0" collapsed="false">
      <c r="B536" s="131" t="s">
        <v>514</v>
      </c>
      <c r="C536" s="48"/>
      <c r="D536" s="48"/>
      <c r="E536" s="257" t="n">
        <f aca="false">SUM(E503:E505)+SUM(E510:E512)+SUM(E517:E519)+SUM(E524:E526)+SUM(E531:E533)</f>
        <v>712213.18</v>
      </c>
    </row>
    <row r="537" customFormat="false" ht="15" hidden="false" customHeight="false" outlineLevel="0" collapsed="false">
      <c r="B537" s="51" t="s">
        <v>515</v>
      </c>
      <c r="C537" s="52"/>
      <c r="D537" s="52"/>
      <c r="E537" s="137" t="n">
        <f aca="false">SUMPRODUCT(E503:E505,K503:K505)+SUMPRODUCT(E510:E512,K510:K512)+SUMPRODUCT(E517:E519,K517:K519)+SUMPRODUCT(E524:E526,K524:K526)+SUMPRODUCT(E531:E533,K531:K533)</f>
        <v>37213.138655</v>
      </c>
    </row>
    <row r="538" customFormat="false" ht="15" hidden="false" customHeight="false" outlineLevel="0" collapsed="false">
      <c r="B538" s="51" t="s">
        <v>516</v>
      </c>
      <c r="C538" s="52"/>
      <c r="D538" s="52"/>
      <c r="E538" s="137" t="n">
        <f aca="false">SUMPRODUCT(E503:E505,J503:J505)+SUMPRODUCT(E510:E512,J510:J512)+SUMPRODUCT(E517:E519,J517:J519)+SUMPRODUCT(E524:E526,J524:J526)+SUMPRODUCT(E531:E533,J531:J533)</f>
        <v>7122.1318</v>
      </c>
    </row>
    <row r="539" customFormat="false" ht="15" hidden="false" customHeight="false" outlineLevel="0" collapsed="false">
      <c r="B539" s="57" t="s">
        <v>517</v>
      </c>
      <c r="C539" s="58"/>
      <c r="D539" s="58"/>
      <c r="E539" s="258" t="n">
        <f aca="false">$E$22</f>
        <v>49734</v>
      </c>
    </row>
    <row r="541" customFormat="false" ht="15" hidden="false" customHeight="false" outlineLevel="0" collapsed="false">
      <c r="B541" s="151" t="s">
        <v>518</v>
      </c>
    </row>
    <row r="542" customFormat="false" ht="15" hidden="false" customHeight="false" outlineLevel="0" collapsed="false">
      <c r="B542" s="108" t="s">
        <v>121</v>
      </c>
      <c r="C542" s="109" t="s">
        <v>484</v>
      </c>
      <c r="D542" s="109" t="s">
        <v>485</v>
      </c>
      <c r="E542" s="109" t="s">
        <v>505</v>
      </c>
      <c r="F542" s="109" t="s">
        <v>487</v>
      </c>
      <c r="G542" s="110" t="s">
        <v>488</v>
      </c>
      <c r="H542" s="109" t="s">
        <v>489</v>
      </c>
      <c r="I542" s="109" t="s">
        <v>490</v>
      </c>
      <c r="J542" s="109" t="s">
        <v>491</v>
      </c>
      <c r="K542" s="109" t="s">
        <v>492</v>
      </c>
      <c r="L542" s="110" t="s">
        <v>493</v>
      </c>
      <c r="M542" s="109" t="s">
        <v>494</v>
      </c>
      <c r="N542" s="109" t="s">
        <v>519</v>
      </c>
      <c r="O542" s="113" t="s">
        <v>520</v>
      </c>
    </row>
    <row r="543" customFormat="false" ht="15" hidden="false" customHeight="false" outlineLevel="0" collapsed="false">
      <c r="B543" s="51" t="s">
        <v>521</v>
      </c>
      <c r="C543" s="134" t="n">
        <v>47907</v>
      </c>
      <c r="D543" s="259" t="n">
        <v>0</v>
      </c>
      <c r="E543" s="229" t="n">
        <f aca="false">D543</f>
        <v>0</v>
      </c>
      <c r="F543" s="119" t="n">
        <f aca="false">IFERROR(E543/SUM($E$543:$E$545),0)</f>
        <v>0</v>
      </c>
      <c r="G543" s="260"/>
      <c r="H543" s="134" t="n">
        <v>50221</v>
      </c>
      <c r="I543" s="243" t="s">
        <v>499</v>
      </c>
      <c r="J543" s="260"/>
      <c r="K543" s="135" t="n">
        <v>0.046</v>
      </c>
      <c r="L543" s="81" t="n">
        <f aca="false">K543</f>
        <v>0.046</v>
      </c>
      <c r="M543" s="244" t="s">
        <v>500</v>
      </c>
      <c r="N543" s="261" t="n">
        <f aca="false">EOMONTH(C543,0)</f>
        <v>47907</v>
      </c>
      <c r="O543" s="136" t="n">
        <f aca="false">EOMONTH(H543,0)</f>
        <v>50221</v>
      </c>
    </row>
    <row r="544" customFormat="false" ht="15" hidden="false" customHeight="false" outlineLevel="0" collapsed="false">
      <c r="B544" s="51" t="s">
        <v>522</v>
      </c>
      <c r="C544" s="134" t="n">
        <v>47907</v>
      </c>
      <c r="D544" s="259" t="n">
        <v>0</v>
      </c>
      <c r="E544" s="229" t="n">
        <f aca="false">D544</f>
        <v>0</v>
      </c>
      <c r="F544" s="119" t="n">
        <f aca="false">IFERROR(E544/SUM($E$543:$E$545),0)</f>
        <v>0</v>
      </c>
      <c r="G544" s="260"/>
      <c r="H544" s="134" t="n">
        <v>48395</v>
      </c>
      <c r="I544" s="243" t="s">
        <v>499</v>
      </c>
      <c r="J544" s="260"/>
      <c r="K544" s="135" t="n">
        <v>0.046</v>
      </c>
      <c r="L544" s="81" t="n">
        <f aca="false">K544</f>
        <v>0.046</v>
      </c>
      <c r="M544" s="244" t="s">
        <v>500</v>
      </c>
      <c r="N544" s="261" t="n">
        <f aca="false">EOMONTH(C544,0)</f>
        <v>47907</v>
      </c>
      <c r="O544" s="136" t="n">
        <f aca="false">EOMONTH(H544,0)</f>
        <v>48395</v>
      </c>
    </row>
    <row r="545" customFormat="false" ht="15" hidden="false" customHeight="false" outlineLevel="0" collapsed="false">
      <c r="B545" s="51" t="s">
        <v>523</v>
      </c>
      <c r="C545" s="134" t="n">
        <v>47907</v>
      </c>
      <c r="D545" s="259" t="n">
        <v>0</v>
      </c>
      <c r="E545" s="229" t="n">
        <f aca="false">D545</f>
        <v>0</v>
      </c>
      <c r="F545" s="119" t="n">
        <f aca="false">IFERROR(E545/SUM($E$543:$E$545),0)</f>
        <v>0</v>
      </c>
      <c r="G545" s="260"/>
      <c r="H545" s="134" t="n">
        <v>48760</v>
      </c>
      <c r="I545" s="243" t="s">
        <v>499</v>
      </c>
      <c r="J545" s="260"/>
      <c r="K545" s="135" t="n">
        <v>0.046</v>
      </c>
      <c r="L545" s="81" t="n">
        <f aca="false">K545</f>
        <v>0.046</v>
      </c>
      <c r="M545" s="244" t="s">
        <v>500</v>
      </c>
      <c r="N545" s="261" t="n">
        <f aca="false">EOMONTH(C545,0)</f>
        <v>47907</v>
      </c>
      <c r="O545" s="136" t="n">
        <f aca="false">EOMONTH(H545,0)</f>
        <v>48760</v>
      </c>
    </row>
    <row r="546" customFormat="false" ht="15" hidden="false" customHeight="false" outlineLevel="0" collapsed="false">
      <c r="B546" s="123" t="s">
        <v>155</v>
      </c>
      <c r="C546" s="95"/>
      <c r="D546" s="245" t="n">
        <f aca="false">SUM(D543:D545)</f>
        <v>0</v>
      </c>
      <c r="E546" s="245" t="n">
        <f aca="false">SUM(E543:E545)</f>
        <v>0</v>
      </c>
      <c r="F546" s="95"/>
      <c r="G546" s="95"/>
      <c r="H546" s="95"/>
      <c r="I546" s="95"/>
      <c r="J546" s="95"/>
      <c r="K546" s="95"/>
      <c r="L546" s="95"/>
      <c r="M546" s="95"/>
      <c r="N546" s="95"/>
      <c r="O546" s="246"/>
    </row>
    <row r="547" customFormat="false" ht="15" hidden="false" customHeight="false" outlineLevel="0" collapsed="false">
      <c r="B547" s="86" t="s">
        <v>524</v>
      </c>
    </row>
    <row r="549" customFormat="false" ht="15" hidden="false" customHeight="false" outlineLevel="0" collapsed="false">
      <c r="A549" s="46" t="s">
        <v>525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1" customFormat="false" ht="15" hidden="false" customHeight="false" outlineLevel="0" collapsed="false">
      <c r="B551" s="47" t="s">
        <v>526</v>
      </c>
      <c r="C551" s="262" t="s">
        <v>21</v>
      </c>
      <c r="D551" s="132" t="n">
        <v>500</v>
      </c>
    </row>
    <row r="552" customFormat="false" ht="15" hidden="false" customHeight="false" outlineLevel="0" collapsed="false">
      <c r="B552" s="51" t="s">
        <v>527</v>
      </c>
      <c r="C552" s="53" t="s">
        <v>528</v>
      </c>
      <c r="D552" s="133" t="n">
        <v>40</v>
      </c>
    </row>
    <row r="553" customFormat="false" ht="15" hidden="false" customHeight="false" outlineLevel="0" collapsed="false">
      <c r="B553" s="51" t="s">
        <v>529</v>
      </c>
      <c r="C553" s="53" t="s">
        <v>16</v>
      </c>
      <c r="D553" s="138" t="n">
        <v>0.03</v>
      </c>
    </row>
    <row r="554" customFormat="false" ht="15" hidden="false" customHeight="false" outlineLevel="0" collapsed="false">
      <c r="B554" s="51" t="s">
        <v>530</v>
      </c>
      <c r="C554" s="53" t="s">
        <v>16</v>
      </c>
      <c r="D554" s="138" t="n">
        <v>0.05</v>
      </c>
    </row>
    <row r="555" customFormat="false" ht="15" hidden="false" customHeight="false" outlineLevel="0" collapsed="false">
      <c r="B555" s="254" t="s">
        <v>531</v>
      </c>
      <c r="C555" s="59" t="s">
        <v>16</v>
      </c>
      <c r="D555" s="85" t="n">
        <v>0.1</v>
      </c>
    </row>
    <row r="557" customFormat="false" ht="15" hidden="false" customHeight="false" outlineLevel="0" collapsed="false">
      <c r="A557" s="61" t="s">
        <v>91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customFormat="false" ht="15" hidden="false" customHeight="false" outlineLevel="0" collapsed="false">
      <c r="B558" s="86" t="s">
        <v>532</v>
      </c>
    </row>
    <row r="559" customFormat="false" ht="15" hidden="false" customHeight="false" outlineLevel="0" collapsed="false">
      <c r="B559" s="108" t="s">
        <v>2</v>
      </c>
      <c r="C559" s="109"/>
      <c r="D559" s="110" t="s">
        <v>533</v>
      </c>
      <c r="E559" s="110" t="s">
        <v>534</v>
      </c>
      <c r="F559" s="142" t="s">
        <v>535</v>
      </c>
    </row>
    <row r="560" customFormat="false" ht="15" hidden="false" customHeight="false" outlineLevel="0" collapsed="false">
      <c r="B560" s="51" t="s">
        <v>427</v>
      </c>
      <c r="C560" s="52"/>
      <c r="D560" s="157" t="n">
        <f aca="false">$E$438</f>
        <v>210201.318226978</v>
      </c>
      <c r="E560" s="263" t="n">
        <v>210201.318227</v>
      </c>
      <c r="F560" s="137" t="n">
        <f aca="false">D560-E560</f>
        <v>-2.15368345379829E-008</v>
      </c>
    </row>
    <row r="561" customFormat="false" ht="15" hidden="false" customHeight="false" outlineLevel="0" collapsed="false">
      <c r="B561" s="143" t="s">
        <v>403</v>
      </c>
      <c r="C561" s="52"/>
      <c r="D561" s="156" t="n">
        <f aca="false">SUM(③기타_CF!$E$108:$EF$108)</f>
        <v>25572.1283647751</v>
      </c>
      <c r="E561" s="263" t="n">
        <v>25572.128365</v>
      </c>
      <c r="F561" s="137" t="n">
        <f aca="false">D561-E561</f>
        <v>-2.24943505600095E-007</v>
      </c>
    </row>
    <row r="562" customFormat="false" ht="15" hidden="false" customHeight="false" outlineLevel="0" collapsed="false">
      <c r="B562" s="143" t="s">
        <v>406</v>
      </c>
      <c r="C562" s="52"/>
      <c r="D562" s="156" t="n">
        <f aca="false">SUM(③기타_CF!$E$107:$EF$107)</f>
        <v>17514.7854548691</v>
      </c>
      <c r="E562" s="263" t="n">
        <v>17514.785455</v>
      </c>
      <c r="F562" s="137" t="n">
        <f aca="false">D562-E562</f>
        <v>-1.30923581309617E-007</v>
      </c>
    </row>
    <row r="563" customFormat="false" ht="15" hidden="false" customHeight="false" outlineLevel="0" collapsed="false">
      <c r="B563" s="143" t="s">
        <v>407</v>
      </c>
      <c r="C563" s="52"/>
      <c r="D563" s="156" t="n">
        <f aca="false">SUM(③기타_CF!$E$106:$EF$106)</f>
        <v>27318.4707331423</v>
      </c>
      <c r="E563" s="263" t="n">
        <v>27318.470733</v>
      </c>
      <c r="F563" s="137" t="n">
        <f aca="false">D563-E563</f>
        <v>1.422522473149E-007</v>
      </c>
    </row>
    <row r="564" customFormat="false" ht="15" hidden="false" customHeight="false" outlineLevel="0" collapsed="false">
      <c r="B564" s="143" t="s">
        <v>408</v>
      </c>
      <c r="C564" s="52"/>
      <c r="D564" s="156" t="n">
        <f aca="false">SUM(③기타_CF!$E$111:$EF$111)</f>
        <v>648.210538089203</v>
      </c>
      <c r="E564" s="263" t="n">
        <v>648.210538</v>
      </c>
      <c r="F564" s="137" t="n">
        <f aca="false">D564-E564</f>
        <v>8.92024445420248E-008</v>
      </c>
    </row>
    <row r="565" customFormat="false" ht="15" hidden="false" customHeight="false" outlineLevel="0" collapsed="false">
      <c r="B565" s="143" t="s">
        <v>409</v>
      </c>
      <c r="C565" s="52"/>
      <c r="D565" s="156" t="n">
        <f aca="false">SUM(③기타_CF!$E$110:$EF$110)</f>
        <v>903.000946849871</v>
      </c>
      <c r="E565" s="263" t="n">
        <v>903.000947</v>
      </c>
      <c r="F565" s="137" t="n">
        <f aca="false">D565-E565</f>
        <v>-1.50128812492767E-007</v>
      </c>
    </row>
    <row r="566" customFormat="false" ht="15" hidden="false" customHeight="false" outlineLevel="0" collapsed="false">
      <c r="B566" s="143" t="s">
        <v>410</v>
      </c>
      <c r="C566" s="52"/>
      <c r="D566" s="156" t="n">
        <f aca="false">SUM(③기타_CF!$E$109:$EF$109)</f>
        <v>8408.85528704083</v>
      </c>
      <c r="E566" s="263" t="n">
        <v>8408.855287</v>
      </c>
      <c r="F566" s="137" t="n">
        <f aca="false">D566-E566</f>
        <v>4.08253981731832E-008</v>
      </c>
    </row>
    <row r="567" customFormat="false" ht="15" hidden="false" customHeight="false" outlineLevel="0" collapsed="false">
      <c r="B567" s="143" t="s">
        <v>411</v>
      </c>
      <c r="C567" s="52"/>
      <c r="D567" s="156" t="n">
        <f aca="false">SUM(③기타_CF!$E$105:$EF$105)</f>
        <v>1200.6699297125</v>
      </c>
      <c r="E567" s="263" t="n">
        <v>1200.66993</v>
      </c>
      <c r="F567" s="137" t="n">
        <f aca="false">D567-E567</f>
        <v>-2.87499460682739E-007</v>
      </c>
    </row>
    <row r="568" customFormat="false" ht="15" hidden="false" customHeight="false" outlineLevel="0" collapsed="false">
      <c r="B568" s="143" t="s">
        <v>412</v>
      </c>
      <c r="C568" s="52"/>
      <c r="D568" s="156" t="n">
        <f aca="false">SUM(③기타_CF!$E$104:$EF$104)</f>
        <v>1201.51073498541</v>
      </c>
      <c r="E568" s="263" t="n">
        <v>1201.510735</v>
      </c>
      <c r="F568" s="137" t="n">
        <f aca="false">D568-E568</f>
        <v>-1.45910235005431E-008</v>
      </c>
    </row>
    <row r="569" customFormat="false" ht="15" hidden="false" customHeight="false" outlineLevel="0" collapsed="false">
      <c r="B569" s="254" t="s">
        <v>413</v>
      </c>
      <c r="C569" s="58"/>
      <c r="D569" s="264" t="n">
        <f aca="false">SUM(③기타_CF!$E$103:$EF$103)</f>
        <v>6005.87206438123</v>
      </c>
      <c r="E569" s="265" t="n">
        <v>6005.872064</v>
      </c>
      <c r="F569" s="150" t="n">
        <f aca="false">D569-E569</f>
        <v>3.81229256163351E-007</v>
      </c>
    </row>
    <row r="572" customFormat="false" ht="15" hidden="false" customHeight="false" outlineLevel="0" collapsed="false">
      <c r="A572" s="46" t="s">
        <v>536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customFormat="false" ht="15" hidden="false" customHeight="false" outlineLevel="0" collapsed="false">
      <c r="C573" s="266" t="s">
        <v>537</v>
      </c>
      <c r="D573" s="266"/>
      <c r="E573" s="266"/>
      <c r="F573" s="266"/>
      <c r="G573" s="266"/>
      <c r="H573" s="266"/>
    </row>
    <row r="574" customFormat="false" ht="15" hidden="false" customHeight="false" outlineLevel="0" collapsed="false">
      <c r="B574" s="161" t="s">
        <v>294</v>
      </c>
      <c r="C574" s="112" t="s">
        <v>156</v>
      </c>
      <c r="D574" s="183" t="s">
        <v>122</v>
      </c>
      <c r="E574" s="184" t="s">
        <v>123</v>
      </c>
      <c r="F574" s="185" t="s">
        <v>124</v>
      </c>
      <c r="G574" s="186" t="s">
        <v>125</v>
      </c>
      <c r="H574" s="188" t="s">
        <v>126</v>
      </c>
    </row>
    <row r="575" customFormat="false" ht="15" hidden="false" customHeight="false" outlineLevel="0" collapsed="false">
      <c r="B575" s="71" t="s">
        <v>538</v>
      </c>
      <c r="C575" s="163" t="n">
        <f aca="false">SUM(D575:H575)</f>
        <v>1093237.08617189</v>
      </c>
      <c r="D575" s="164" t="n">
        <f aca="false">$L$349</f>
        <v>0</v>
      </c>
      <c r="E575" s="164" t="n">
        <f aca="false">$M$349</f>
        <v>230943.951738559</v>
      </c>
      <c r="F575" s="164" t="n">
        <f aca="false">$N$349</f>
        <v>406164.758042192</v>
      </c>
      <c r="G575" s="164" t="n">
        <f aca="false">$O$349</f>
        <v>266967.53385718</v>
      </c>
      <c r="H575" s="165" t="n">
        <f aca="false">$P$349</f>
        <v>189160.842533958</v>
      </c>
    </row>
    <row r="576" customFormat="false" ht="15" hidden="false" customHeight="false" outlineLevel="0" collapsed="false">
      <c r="B576" s="51" t="s">
        <v>539</v>
      </c>
      <c r="C576" s="163" t="n">
        <f aca="false">SUM(D576:H576)</f>
        <v>174021.12</v>
      </c>
      <c r="D576" s="156" t="n">
        <f aca="false">$F$490</f>
        <v>0</v>
      </c>
      <c r="E576" s="156" t="n">
        <f aca="false">$F$491</f>
        <v>174021.12</v>
      </c>
      <c r="F576" s="156" t="n">
        <f aca="false">$F$492</f>
        <v>0</v>
      </c>
      <c r="G576" s="156" t="n">
        <f aca="false">$F$493</f>
        <v>0</v>
      </c>
      <c r="H576" s="267" t="n">
        <f aca="false">$F$494</f>
        <v>0</v>
      </c>
    </row>
    <row r="577" customFormat="false" ht="15" hidden="false" customHeight="false" outlineLevel="0" collapsed="false">
      <c r="B577" s="71" t="s">
        <v>540</v>
      </c>
      <c r="C577" s="163" t="n">
        <f aca="false">SUM(D577:H577)</f>
        <v>919215.966171888</v>
      </c>
      <c r="D577" s="164" t="n">
        <f aca="false">D575-D576</f>
        <v>0</v>
      </c>
      <c r="E577" s="164" t="n">
        <f aca="false">E575-E576</f>
        <v>56922.8317385587</v>
      </c>
      <c r="F577" s="164" t="n">
        <f aca="false">F575-F576</f>
        <v>406164.758042192</v>
      </c>
      <c r="G577" s="164" t="n">
        <f aca="false">G575-G576</f>
        <v>266967.53385718</v>
      </c>
      <c r="H577" s="165" t="n">
        <f aca="false">H575-H576</f>
        <v>189160.842533958</v>
      </c>
    </row>
    <row r="578" customFormat="false" ht="15" hidden="false" customHeight="false" outlineLevel="0" collapsed="false">
      <c r="B578" s="268" t="s">
        <v>541</v>
      </c>
      <c r="C578" s="269" t="n">
        <f aca="false">SUM(D578:H578)</f>
        <v>1</v>
      </c>
      <c r="D578" s="119" t="n">
        <f aca="false">IFERROR(MAX(0,D577)/SUMIF($D$577:$H$577,"&gt;0"),0)</f>
        <v>0</v>
      </c>
      <c r="E578" s="119" t="n">
        <f aca="false">IFERROR(MAX(0,E577)/SUMIF($D$577:$H$577,"&gt;0"),0)</f>
        <v>0.0619254166957261</v>
      </c>
      <c r="F578" s="119" t="n">
        <f aca="false">IFERROR(MAX(0,F577)/SUMIF($D$577:$H$577,"&gt;0"),0)</f>
        <v>0.441859990458696</v>
      </c>
      <c r="G578" s="119" t="n">
        <f aca="false">IFERROR(MAX(0,G577)/SUMIF($D$577:$H$577,"&gt;0"),0)</f>
        <v>0.290429609234245</v>
      </c>
      <c r="H578" s="122" t="n">
        <f aca="false">IFERROR(MAX(0,H577)/SUMIF($D$577:$H$577,"&gt;0"),0)</f>
        <v>0.205784983611333</v>
      </c>
    </row>
    <row r="579" customFormat="false" ht="15" hidden="false" customHeight="false" outlineLevel="0" collapsed="false">
      <c r="B579" s="143" t="s">
        <v>542</v>
      </c>
      <c r="C579" s="120" t="n">
        <f aca="false">SUM(D579:H579)</f>
        <v>1</v>
      </c>
      <c r="D579" s="135" t="n">
        <v>0.13007</v>
      </c>
      <c r="E579" s="135" t="n">
        <v>0.19969</v>
      </c>
      <c r="F579" s="135" t="n">
        <v>0.31625</v>
      </c>
      <c r="G579" s="135" t="n">
        <v>0.20717</v>
      </c>
      <c r="H579" s="122" t="n">
        <f aca="false">1-SUM(D579:G579)</f>
        <v>0.14682</v>
      </c>
    </row>
    <row r="580" customFormat="false" ht="15" hidden="false" customHeight="false" outlineLevel="0" collapsed="false">
      <c r="B580" s="143" t="s">
        <v>543</v>
      </c>
      <c r="C580" s="120" t="n">
        <f aca="false">SUM(D580:H580)</f>
        <v>1</v>
      </c>
      <c r="D580" s="119" t="n">
        <f aca="false">IFERROR(D579*$D$38/SUMPRODUCT($D$579:$H$579,$D$38:$H$38),0)</f>
        <v>0</v>
      </c>
      <c r="E580" s="119" t="n">
        <f aca="false">IFERROR(E579*$E$38/SUMPRODUCT($D$579:$H$579,$D$38:$H$38),0)</f>
        <v>0.229547204947525</v>
      </c>
      <c r="F580" s="119" t="n">
        <f aca="false">IFERROR(F579*$F$38/SUMPRODUCT($D$579:$H$579,$D$38:$H$38),0)</f>
        <v>0.36353499706873</v>
      </c>
      <c r="G580" s="119" t="n">
        <f aca="false">IFERROR(G579*$G$38/SUMPRODUCT($D$579:$H$579,$D$38:$H$38),0)</f>
        <v>0.238145597921672</v>
      </c>
      <c r="H580" s="122" t="n">
        <f aca="false">IFERROR(H579*$H$38/SUMPRODUCT($D$579:$H$579,$D$38:$H$38),0)</f>
        <v>0.168772200062074</v>
      </c>
    </row>
    <row r="581" customFormat="false" ht="15" hidden="false" customHeight="false" outlineLevel="0" collapsed="false">
      <c r="B581" s="64" t="s">
        <v>544</v>
      </c>
      <c r="C581" s="163" t="n">
        <f aca="false">SUM(D581:H581)</f>
        <v>210201.318226978</v>
      </c>
      <c r="D581" s="164" t="n">
        <f aca="false">$E$438*D580</f>
        <v>0</v>
      </c>
      <c r="E581" s="164" t="n">
        <f aca="false">$E$438*E580</f>
        <v>48251.125075288</v>
      </c>
      <c r="F581" s="164" t="n">
        <f aca="false">$E$438*F580</f>
        <v>76415.5356054877</v>
      </c>
      <c r="G581" s="164" t="n">
        <f aca="false">$E$438*G580</f>
        <v>50058.5186130874</v>
      </c>
      <c r="H581" s="165" t="n">
        <f aca="false">$E$438*H580</f>
        <v>35476.1389331153</v>
      </c>
    </row>
    <row r="582" customFormat="false" ht="15" hidden="false" customHeight="false" outlineLevel="0" collapsed="false">
      <c r="B582" s="143" t="s">
        <v>545</v>
      </c>
      <c r="C582" s="157" t="n">
        <f aca="false">$E$438</f>
        <v>210201.318226978</v>
      </c>
      <c r="D582" s="52"/>
      <c r="E582" s="52"/>
      <c r="F582" s="52"/>
      <c r="G582" s="52"/>
      <c r="H582" s="74"/>
    </row>
    <row r="583" customFormat="false" ht="15" hidden="false" customHeight="false" outlineLevel="0" collapsed="false">
      <c r="B583" s="51" t="s">
        <v>546</v>
      </c>
      <c r="C583" s="157" t="n">
        <f aca="false">C581-C582</f>
        <v>0</v>
      </c>
      <c r="D583" s="270" t="str">
        <f aca="false">IF(ABS(C583)&lt;1,"OK","Error")</f>
        <v>OK</v>
      </c>
      <c r="E583" s="52"/>
      <c r="F583" s="52"/>
      <c r="G583" s="52"/>
      <c r="H583" s="74"/>
    </row>
    <row r="584" customFormat="false" ht="15" hidden="false" customHeight="false" outlineLevel="0" collapsed="false">
      <c r="B584" s="51" t="s">
        <v>547</v>
      </c>
      <c r="C584" s="163" t="n">
        <f aca="false">SUM(D584:H584)</f>
        <v>147140.922758885</v>
      </c>
      <c r="D584" s="157" t="n">
        <f aca="false">$E$444*D580</f>
        <v>0</v>
      </c>
      <c r="E584" s="157" t="n">
        <f aca="false">$E$444*E580</f>
        <v>33775.7875527016</v>
      </c>
      <c r="F584" s="157" t="n">
        <f aca="false">$E$444*F580</f>
        <v>53490.8749238414</v>
      </c>
      <c r="G584" s="157" t="n">
        <f aca="false">$E$444*G580</f>
        <v>35040.9630291612</v>
      </c>
      <c r="H584" s="137" t="n">
        <f aca="false">$E$444*H580</f>
        <v>24833.2972531807</v>
      </c>
    </row>
    <row r="585" customFormat="false" ht="15" hidden="false" customHeight="false" outlineLevel="0" collapsed="false">
      <c r="B585" s="51" t="s">
        <v>548</v>
      </c>
      <c r="C585" s="163" t="n">
        <f aca="false">SUM(D585:H585)</f>
        <v>63060.3954680935</v>
      </c>
      <c r="D585" s="157" t="n">
        <f aca="false">$E$450*D580</f>
        <v>0</v>
      </c>
      <c r="E585" s="157" t="n">
        <f aca="false">$E$450*E580</f>
        <v>14475.3375225864</v>
      </c>
      <c r="F585" s="157" t="n">
        <f aca="false">$E$450*F580</f>
        <v>22924.6606816463</v>
      </c>
      <c r="G585" s="157" t="n">
        <f aca="false">$E$450*G580</f>
        <v>15017.5555839262</v>
      </c>
      <c r="H585" s="137" t="n">
        <f aca="false">$E$450*H580</f>
        <v>10642.8416799346</v>
      </c>
    </row>
    <row r="586" customFormat="false" ht="15" hidden="false" customHeight="false" outlineLevel="0" collapsed="false">
      <c r="B586" s="143" t="s">
        <v>549</v>
      </c>
      <c r="C586" s="163" t="n">
        <f aca="false">SUM(D586:H586)</f>
        <v>709014.64794491</v>
      </c>
      <c r="D586" s="157" t="n">
        <f aca="false">D577-D581</f>
        <v>0</v>
      </c>
      <c r="E586" s="157" t="n">
        <f aca="false">E577-E581</f>
        <v>8671.70666327061</v>
      </c>
      <c r="F586" s="157" t="n">
        <f aca="false">F577-F581</f>
        <v>329749.222436704</v>
      </c>
      <c r="G586" s="157" t="n">
        <f aca="false">G577-G581</f>
        <v>216909.015244093</v>
      </c>
      <c r="H586" s="137" t="n">
        <f aca="false">H577-H581</f>
        <v>153684.703600842</v>
      </c>
    </row>
    <row r="587" customFormat="false" ht="15" hidden="false" customHeight="false" outlineLevel="0" collapsed="false">
      <c r="B587" s="271" t="s">
        <v>550</v>
      </c>
      <c r="C587" s="269" t="n">
        <f aca="false">SUM(D587:H587)</f>
        <v>1</v>
      </c>
      <c r="D587" s="119" t="n">
        <f aca="false">IF(SUMIF($D$586:$H$586,"&gt;0")=0,D580,MAX(0,D586)/SUMIF($D$586:$H$586,"&gt;0"))</f>
        <v>0</v>
      </c>
      <c r="E587" s="119" t="n">
        <f aca="false">IF(SUMIF($D$586:$H$586,"&gt;0")=0,E580,MAX(0,E586)/SUMIF($D$586:$H$586,"&gt;0"))</f>
        <v>0.012230645288367</v>
      </c>
      <c r="F587" s="119" t="n">
        <f aca="false">IF(SUMIF($D$586:$H$586,"&gt;0")=0,F580,MAX(0,F586)/SUMIF($D$586:$H$586,"&gt;0"))</f>
        <v>0.465080973139959</v>
      </c>
      <c r="G587" s="119" t="n">
        <f aca="false">IF(SUMIF($D$586:$H$586,"&gt;0")=0,G580,MAX(0,G586)/SUMIF($D$586:$H$586,"&gt;0"))</f>
        <v>0.305930231304539</v>
      </c>
      <c r="H587" s="122" t="n">
        <f aca="false">IF(SUMIF($D$586:$H$586,"&gt;0")=0,H580,MAX(0,H586)/SUMIF($D$586:$H$586,"&gt;0"))</f>
        <v>0.216758150267135</v>
      </c>
    </row>
    <row r="588" customFormat="false" ht="15" hidden="false" customHeight="false" outlineLevel="0" collapsed="false">
      <c r="B588" s="64" t="s">
        <v>551</v>
      </c>
      <c r="C588" s="163" t="n">
        <f aca="false">SUM(D588:H588)</f>
        <v>637282.274666071</v>
      </c>
      <c r="D588" s="164" t="n">
        <f aca="false">$E$486*D587</f>
        <v>0</v>
      </c>
      <c r="E588" s="164" t="n">
        <f aca="false">$E$486*E587</f>
        <v>7794.3734500044</v>
      </c>
      <c r="F588" s="164" t="n">
        <f aca="false">$E$486*F587</f>
        <v>296387.860466543</v>
      </c>
      <c r="G588" s="164" t="n">
        <f aca="false">$E$486*G587</f>
        <v>194963.913694874</v>
      </c>
      <c r="H588" s="165" t="n">
        <f aca="false">$E$486*H587</f>
        <v>138136.12705465</v>
      </c>
    </row>
    <row r="589" customFormat="false" ht="15" hidden="false" customHeight="false" outlineLevel="0" collapsed="false">
      <c r="B589" s="143" t="s">
        <v>552</v>
      </c>
      <c r="C589" s="163" t="n">
        <f aca="false">SUM(D589:H589)</f>
        <v>397064.20819628</v>
      </c>
      <c r="D589" s="157" t="n">
        <f aca="false">$E$483*D587</f>
        <v>0</v>
      </c>
      <c r="E589" s="157" t="n">
        <f aca="false">$E$483*E587</f>
        <v>4856.35148715501</v>
      </c>
      <c r="F589" s="157" t="n">
        <f aca="false">$E$483*F587</f>
        <v>184667.008346973</v>
      </c>
      <c r="G589" s="157" t="n">
        <f aca="false">$E$483*G587</f>
        <v>121473.945056242</v>
      </c>
      <c r="H589" s="137" t="n">
        <f aca="false">$E$483*H587</f>
        <v>86066.9033059101</v>
      </c>
    </row>
    <row r="590" customFormat="false" ht="15" hidden="false" customHeight="false" outlineLevel="0" collapsed="false">
      <c r="B590" s="143" t="s">
        <v>553</v>
      </c>
      <c r="C590" s="163" t="n">
        <f aca="false">SUM(D590:H590)</f>
        <v>120151.073498541</v>
      </c>
      <c r="D590" s="157" t="n">
        <f aca="false">$E$484*D587</f>
        <v>0</v>
      </c>
      <c r="E590" s="157" t="n">
        <f aca="false">$E$484*E587</f>
        <v>1469.52516097717</v>
      </c>
      <c r="F590" s="157" t="n">
        <f aca="false">$E$484*F587</f>
        <v>55879.9781865122</v>
      </c>
      <c r="G590" s="157" t="n">
        <f aca="false">$E$484*G587</f>
        <v>36757.8457068973</v>
      </c>
      <c r="H590" s="137" t="n">
        <f aca="false">$E$484*H587</f>
        <v>26043.7244441543</v>
      </c>
    </row>
    <row r="591" customFormat="false" ht="15" hidden="false" customHeight="false" outlineLevel="0" collapsed="false">
      <c r="B591" s="143" t="s">
        <v>554</v>
      </c>
      <c r="C591" s="163" t="n">
        <f aca="false">SUM(D591:H591)</f>
        <v>120066.99297125</v>
      </c>
      <c r="D591" s="157" t="n">
        <f aca="false">$E$485*D587</f>
        <v>0</v>
      </c>
      <c r="E591" s="157" t="n">
        <f aca="false">$E$485*E587</f>
        <v>1468.49680187222</v>
      </c>
      <c r="F591" s="157" t="n">
        <f aca="false">$E$485*F587</f>
        <v>55840.8739330576</v>
      </c>
      <c r="G591" s="157" t="n">
        <f aca="false">$E$485*G587</f>
        <v>36732.122931735</v>
      </c>
      <c r="H591" s="137" t="n">
        <f aca="false">$E$485*H587</f>
        <v>26025.4993045852</v>
      </c>
    </row>
    <row r="592" customFormat="false" ht="15" hidden="false" customHeight="false" outlineLevel="0" collapsed="false">
      <c r="B592" s="71" t="s">
        <v>555</v>
      </c>
      <c r="C592" s="163" t="n">
        <f aca="false">SUM(D592:H592)</f>
        <v>1021504.71289305</v>
      </c>
      <c r="D592" s="164" t="n">
        <f aca="false">D576+D581+D588</f>
        <v>0</v>
      </c>
      <c r="E592" s="164" t="n">
        <f aca="false">E576+E581+E588</f>
        <v>230066.618525292</v>
      </c>
      <c r="F592" s="164" t="n">
        <f aca="false">F576+F581+F588</f>
        <v>372803.396072031</v>
      </c>
      <c r="G592" s="164" t="n">
        <f aca="false">G576+G581+G588</f>
        <v>245022.432307961</v>
      </c>
      <c r="H592" s="165" t="n">
        <f aca="false">H576+H581+H588</f>
        <v>173612.265987765</v>
      </c>
    </row>
    <row r="593" customFormat="false" ht="15" hidden="false" customHeight="false" outlineLevel="0" collapsed="false">
      <c r="B593" s="51" t="s">
        <v>556</v>
      </c>
      <c r="C593" s="163" t="n">
        <f aca="false">SUM(D593:H593)</f>
        <v>-71732.3732788388</v>
      </c>
      <c r="D593" s="157" t="n">
        <f aca="false">D592-D575</f>
        <v>0</v>
      </c>
      <c r="E593" s="157" t="n">
        <f aca="false">E592-E575</f>
        <v>-877.333213266218</v>
      </c>
      <c r="F593" s="157" t="n">
        <f aca="false">F592-F575</f>
        <v>-33361.3619701611</v>
      </c>
      <c r="G593" s="157" t="n">
        <f aca="false">G592-G575</f>
        <v>-21945.1015492187</v>
      </c>
      <c r="H593" s="137" t="n">
        <f aca="false">H592-H575</f>
        <v>-15548.5765461928</v>
      </c>
    </row>
    <row r="594" customFormat="false" ht="15" hidden="false" customHeight="false" outlineLevel="0" collapsed="false">
      <c r="B594" s="271" t="s">
        <v>557</v>
      </c>
      <c r="C594" s="52" t="n">
        <f aca="false">IFERROR(C581/C575,0)</f>
        <v>0.192274229337596</v>
      </c>
      <c r="D594" s="119" t="n">
        <f aca="false">IFERROR(D581/D575,0)</f>
        <v>0</v>
      </c>
      <c r="E594" s="119" t="n">
        <f aca="false">IFERROR(E581/E575,0)</f>
        <v>0.208930022683214</v>
      </c>
      <c r="F594" s="119" t="n">
        <f aca="false">IFERROR(F581/F575,0)</f>
        <v>0.188139256526904</v>
      </c>
      <c r="G594" s="119" t="n">
        <f aca="false">IFERROR(G581/G575,0)</f>
        <v>0.187507888655357</v>
      </c>
      <c r="H594" s="122" t="n">
        <f aca="false">IFERROR(H581/H575,0)</f>
        <v>0.187544834638526</v>
      </c>
    </row>
    <row r="595" customFormat="false" ht="15" hidden="false" customHeight="false" outlineLevel="0" collapsed="false">
      <c r="B595" s="51" t="s">
        <v>558</v>
      </c>
      <c r="C595" s="163" t="n">
        <f aca="false">SUM(D595:H595)</f>
        <v>712213.18</v>
      </c>
      <c r="D595" s="157" t="n">
        <f aca="false">$G$490</f>
        <v>0</v>
      </c>
      <c r="E595" s="157" t="n">
        <f aca="false">$G$491</f>
        <v>32411.68</v>
      </c>
      <c r="F595" s="157" t="n">
        <f aca="false">$G$492</f>
        <v>323353.8</v>
      </c>
      <c r="G595" s="157" t="n">
        <f aca="false">$G$493</f>
        <v>208481.7</v>
      </c>
      <c r="H595" s="137" t="n">
        <f aca="false">$G$494</f>
        <v>147966</v>
      </c>
    </row>
    <row r="596" customFormat="false" ht="15" hidden="false" customHeight="false" outlineLevel="0" collapsed="false">
      <c r="B596" s="57" t="s">
        <v>559</v>
      </c>
      <c r="C596" s="190" t="n">
        <f aca="false">SUM(D596:H596)</f>
        <v>74930.905333929</v>
      </c>
      <c r="D596" s="226" t="n">
        <f aca="false">D595-D588</f>
        <v>0</v>
      </c>
      <c r="E596" s="226" t="n">
        <f aca="false">E595-E588</f>
        <v>24617.3065499956</v>
      </c>
      <c r="F596" s="226" t="n">
        <f aca="false">F595-F588</f>
        <v>26965.939533457</v>
      </c>
      <c r="G596" s="226" t="n">
        <f aca="false">G595-G588</f>
        <v>13517.786305126</v>
      </c>
      <c r="H596" s="150" t="n">
        <f aca="false">H595-H588</f>
        <v>9829.87294535048</v>
      </c>
    </row>
    <row r="597" customFormat="false" ht="15" hidden="false" customHeight="false" outlineLevel="0" collapsed="false">
      <c r="B597" s="86" t="s">
        <v>560</v>
      </c>
    </row>
  </sheetData>
  <mergeCells count="6">
    <mergeCell ref="C315:H315"/>
    <mergeCell ref="I315:N315"/>
    <mergeCell ref="O315:T315"/>
    <mergeCell ref="C333:H333"/>
    <mergeCell ref="K333:P333"/>
    <mergeCell ref="C573:H5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F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2"/>
    <col collapsed="false" customWidth="true" hidden="false" outlineLevel="0" max="136" min="5" style="0" width="9.51"/>
  </cols>
  <sheetData>
    <row r="1" customFormat="false" ht="15" hidden="false" customHeight="false" outlineLevel="0" collapsed="false">
      <c r="A1" s="272" t="s">
        <v>561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3" customFormat="false" ht="15" hidden="false" customHeight="false" outlineLevel="0" collapsed="false">
      <c r="A3" s="86" t="s">
        <v>562</v>
      </c>
    </row>
    <row r="5" customFormat="false" ht="15" hidden="false" customHeight="false" outlineLevel="0" collapsed="false">
      <c r="A5" s="205" t="s">
        <v>121</v>
      </c>
      <c r="B5" s="68" t="s">
        <v>3</v>
      </c>
      <c r="C5" s="68" t="s">
        <v>155</v>
      </c>
    </row>
    <row r="6" customFormat="false" ht="15" hidden="false" customHeight="false" outlineLevel="0" collapsed="false">
      <c r="A6" s="36" t="s">
        <v>75</v>
      </c>
      <c r="B6" s="273"/>
      <c r="E6" s="274" t="n">
        <f aca="false">EOMONTH(③기타_가정!$E$8,0)</f>
        <v>46112</v>
      </c>
      <c r="F6" s="274" t="n">
        <f aca="false">EOMONTH(E6,1)</f>
        <v>46142</v>
      </c>
      <c r="G6" s="274" t="n">
        <f aca="false">EOMONTH(F6,1)</f>
        <v>46173</v>
      </c>
      <c r="H6" s="274" t="n">
        <f aca="false">EOMONTH(G6,1)</f>
        <v>46203</v>
      </c>
      <c r="I6" s="274" t="n">
        <f aca="false">EOMONTH(H6,1)</f>
        <v>46234</v>
      </c>
      <c r="J6" s="274" t="n">
        <f aca="false">EOMONTH(I6,1)</f>
        <v>46265</v>
      </c>
      <c r="K6" s="274" t="n">
        <f aca="false">EOMONTH(J6,1)</f>
        <v>46295</v>
      </c>
      <c r="L6" s="274" t="n">
        <f aca="false">EOMONTH(K6,1)</f>
        <v>46326</v>
      </c>
      <c r="M6" s="274" t="n">
        <f aca="false">EOMONTH(L6,1)</f>
        <v>46356</v>
      </c>
      <c r="N6" s="274" t="n">
        <f aca="false">EOMONTH(M6,1)</f>
        <v>46387</v>
      </c>
      <c r="O6" s="274" t="n">
        <f aca="false">EOMONTH(N6,1)</f>
        <v>46418</v>
      </c>
      <c r="P6" s="274" t="n">
        <f aca="false">EOMONTH(O6,1)</f>
        <v>46446</v>
      </c>
      <c r="Q6" s="274" t="n">
        <f aca="false">EOMONTH(P6,1)</f>
        <v>46477</v>
      </c>
      <c r="R6" s="274" t="n">
        <f aca="false">EOMONTH(Q6,1)</f>
        <v>46507</v>
      </c>
      <c r="S6" s="274" t="n">
        <f aca="false">EOMONTH(R6,1)</f>
        <v>46538</v>
      </c>
      <c r="T6" s="274" t="n">
        <f aca="false">EOMONTH(S6,1)</f>
        <v>46568</v>
      </c>
      <c r="U6" s="274" t="n">
        <f aca="false">EOMONTH(T6,1)</f>
        <v>46599</v>
      </c>
      <c r="V6" s="274" t="n">
        <f aca="false">EOMONTH(U6,1)</f>
        <v>46630</v>
      </c>
      <c r="W6" s="274" t="n">
        <f aca="false">EOMONTH(V6,1)</f>
        <v>46660</v>
      </c>
      <c r="X6" s="274" t="n">
        <f aca="false">EOMONTH(W6,1)</f>
        <v>46691</v>
      </c>
      <c r="Y6" s="274" t="n">
        <f aca="false">EOMONTH(X6,1)</f>
        <v>46721</v>
      </c>
      <c r="Z6" s="274" t="n">
        <f aca="false">EOMONTH(Y6,1)</f>
        <v>46752</v>
      </c>
      <c r="AA6" s="274" t="n">
        <f aca="false">EOMONTH(Z6,1)</f>
        <v>46783</v>
      </c>
      <c r="AB6" s="274" t="n">
        <f aca="false">EOMONTH(AA6,1)</f>
        <v>46812</v>
      </c>
      <c r="AC6" s="274" t="n">
        <f aca="false">EOMONTH(AB6,1)</f>
        <v>46843</v>
      </c>
      <c r="AD6" s="274" t="n">
        <f aca="false">EOMONTH(AC6,1)</f>
        <v>46873</v>
      </c>
      <c r="AE6" s="274" t="n">
        <f aca="false">EOMONTH(AD6,1)</f>
        <v>46904</v>
      </c>
      <c r="AF6" s="274" t="n">
        <f aca="false">EOMONTH(AE6,1)</f>
        <v>46934</v>
      </c>
      <c r="AG6" s="274" t="n">
        <f aca="false">EOMONTH(AF6,1)</f>
        <v>46965</v>
      </c>
      <c r="AH6" s="274" t="n">
        <f aca="false">EOMONTH(AG6,1)</f>
        <v>46996</v>
      </c>
      <c r="AI6" s="274" t="n">
        <f aca="false">EOMONTH(AH6,1)</f>
        <v>47026</v>
      </c>
      <c r="AJ6" s="274" t="n">
        <f aca="false">EOMONTH(AI6,1)</f>
        <v>47057</v>
      </c>
      <c r="AK6" s="274" t="n">
        <f aca="false">EOMONTH(AJ6,1)</f>
        <v>47087</v>
      </c>
      <c r="AL6" s="274" t="n">
        <f aca="false">EOMONTH(AK6,1)</f>
        <v>47118</v>
      </c>
      <c r="AM6" s="274" t="n">
        <f aca="false">EOMONTH(AL6,1)</f>
        <v>47149</v>
      </c>
      <c r="AN6" s="274" t="n">
        <f aca="false">EOMONTH(AM6,1)</f>
        <v>47177</v>
      </c>
      <c r="AO6" s="274" t="n">
        <f aca="false">EOMONTH(AN6,1)</f>
        <v>47208</v>
      </c>
      <c r="AP6" s="274" t="n">
        <f aca="false">EOMONTH(AO6,1)</f>
        <v>47238</v>
      </c>
      <c r="AQ6" s="274" t="n">
        <f aca="false">EOMONTH(AP6,1)</f>
        <v>47269</v>
      </c>
      <c r="AR6" s="274" t="n">
        <f aca="false">EOMONTH(AQ6,1)</f>
        <v>47299</v>
      </c>
      <c r="AS6" s="274" t="n">
        <f aca="false">EOMONTH(AR6,1)</f>
        <v>47330</v>
      </c>
      <c r="AT6" s="274" t="n">
        <f aca="false">EOMONTH(AS6,1)</f>
        <v>47361</v>
      </c>
      <c r="AU6" s="274" t="n">
        <f aca="false">EOMONTH(AT6,1)</f>
        <v>47391</v>
      </c>
      <c r="AV6" s="274" t="n">
        <f aca="false">EOMONTH(AU6,1)</f>
        <v>47422</v>
      </c>
      <c r="AW6" s="274" t="n">
        <f aca="false">EOMONTH(AV6,1)</f>
        <v>47452</v>
      </c>
      <c r="AX6" s="274" t="n">
        <f aca="false">EOMONTH(AW6,1)</f>
        <v>47483</v>
      </c>
      <c r="AY6" s="274" t="n">
        <f aca="false">EOMONTH(AX6,1)</f>
        <v>47514</v>
      </c>
      <c r="AZ6" s="274" t="n">
        <f aca="false">EOMONTH(AY6,1)</f>
        <v>47542</v>
      </c>
      <c r="BA6" s="274" t="n">
        <f aca="false">EOMONTH(AZ6,1)</f>
        <v>47573</v>
      </c>
      <c r="BB6" s="274" t="n">
        <f aca="false">EOMONTH(BA6,1)</f>
        <v>47603</v>
      </c>
      <c r="BC6" s="274" t="n">
        <f aca="false">EOMONTH(BB6,1)</f>
        <v>47634</v>
      </c>
      <c r="BD6" s="274" t="n">
        <f aca="false">EOMONTH(BC6,1)</f>
        <v>47664</v>
      </c>
      <c r="BE6" s="274" t="n">
        <f aca="false">EOMONTH(BD6,1)</f>
        <v>47695</v>
      </c>
      <c r="BF6" s="274" t="n">
        <f aca="false">EOMONTH(BE6,1)</f>
        <v>47726</v>
      </c>
      <c r="BG6" s="274" t="n">
        <f aca="false">EOMONTH(BF6,1)</f>
        <v>47756</v>
      </c>
      <c r="BH6" s="274" t="n">
        <f aca="false">EOMONTH(BG6,1)</f>
        <v>47787</v>
      </c>
      <c r="BI6" s="274" t="n">
        <f aca="false">EOMONTH(BH6,1)</f>
        <v>47817</v>
      </c>
      <c r="BJ6" s="274" t="n">
        <f aca="false">EOMONTH(BI6,1)</f>
        <v>47848</v>
      </c>
      <c r="BK6" s="274" t="n">
        <f aca="false">EOMONTH(BJ6,1)</f>
        <v>47879</v>
      </c>
      <c r="BL6" s="274" t="n">
        <f aca="false">EOMONTH(BK6,1)</f>
        <v>47907</v>
      </c>
      <c r="BM6" s="274" t="n">
        <f aca="false">EOMONTH(BL6,1)</f>
        <v>47938</v>
      </c>
      <c r="BN6" s="274" t="n">
        <f aca="false">EOMONTH(BM6,1)</f>
        <v>47968</v>
      </c>
      <c r="BO6" s="274" t="n">
        <f aca="false">EOMONTH(BN6,1)</f>
        <v>47999</v>
      </c>
      <c r="BP6" s="274" t="n">
        <f aca="false">EOMONTH(BO6,1)</f>
        <v>48029</v>
      </c>
      <c r="BQ6" s="274" t="n">
        <f aca="false">EOMONTH(BP6,1)</f>
        <v>48060</v>
      </c>
      <c r="BR6" s="274" t="n">
        <f aca="false">EOMONTH(BQ6,1)</f>
        <v>48091</v>
      </c>
      <c r="BS6" s="274" t="n">
        <f aca="false">EOMONTH(BR6,1)</f>
        <v>48121</v>
      </c>
      <c r="BT6" s="274" t="n">
        <f aca="false">EOMONTH(BS6,1)</f>
        <v>48152</v>
      </c>
      <c r="BU6" s="274" t="n">
        <f aca="false">EOMONTH(BT6,1)</f>
        <v>48182</v>
      </c>
      <c r="BV6" s="274" t="n">
        <f aca="false">EOMONTH(BU6,1)</f>
        <v>48213</v>
      </c>
      <c r="BW6" s="274" t="n">
        <f aca="false">EOMONTH(BV6,1)</f>
        <v>48244</v>
      </c>
      <c r="BX6" s="274" t="n">
        <f aca="false">EOMONTH(BW6,1)</f>
        <v>48273</v>
      </c>
      <c r="BY6" s="274" t="n">
        <f aca="false">EOMONTH(BX6,1)</f>
        <v>48304</v>
      </c>
      <c r="BZ6" s="274" t="n">
        <f aca="false">EOMONTH(BY6,1)</f>
        <v>48334</v>
      </c>
      <c r="CA6" s="274" t="n">
        <f aca="false">EOMONTH(BZ6,1)</f>
        <v>48365</v>
      </c>
      <c r="CB6" s="274" t="n">
        <f aca="false">EOMONTH(CA6,1)</f>
        <v>48395</v>
      </c>
      <c r="CC6" s="274" t="n">
        <f aca="false">EOMONTH(CB6,1)</f>
        <v>48426</v>
      </c>
      <c r="CD6" s="274" t="n">
        <f aca="false">EOMONTH(CC6,1)</f>
        <v>48457</v>
      </c>
      <c r="CE6" s="274" t="n">
        <f aca="false">EOMONTH(CD6,1)</f>
        <v>48487</v>
      </c>
      <c r="CF6" s="274" t="n">
        <f aca="false">EOMONTH(CE6,1)</f>
        <v>48518</v>
      </c>
      <c r="CG6" s="274" t="n">
        <f aca="false">EOMONTH(CF6,1)</f>
        <v>48548</v>
      </c>
      <c r="CH6" s="274" t="n">
        <f aca="false">EOMONTH(CG6,1)</f>
        <v>48579</v>
      </c>
      <c r="CI6" s="274" t="n">
        <f aca="false">EOMONTH(CH6,1)</f>
        <v>48610</v>
      </c>
      <c r="CJ6" s="274" t="n">
        <f aca="false">EOMONTH(CI6,1)</f>
        <v>48638</v>
      </c>
      <c r="CK6" s="274" t="n">
        <f aca="false">EOMONTH(CJ6,1)</f>
        <v>48669</v>
      </c>
      <c r="CL6" s="274" t="n">
        <f aca="false">EOMONTH(CK6,1)</f>
        <v>48699</v>
      </c>
      <c r="CM6" s="274" t="n">
        <f aca="false">EOMONTH(CL6,1)</f>
        <v>48730</v>
      </c>
      <c r="CN6" s="274" t="n">
        <f aca="false">EOMONTH(CM6,1)</f>
        <v>48760</v>
      </c>
      <c r="CO6" s="274" t="n">
        <f aca="false">EOMONTH(CN6,1)</f>
        <v>48791</v>
      </c>
      <c r="CP6" s="274" t="n">
        <f aca="false">EOMONTH(CO6,1)</f>
        <v>48822</v>
      </c>
      <c r="CQ6" s="274" t="n">
        <f aca="false">EOMONTH(CP6,1)</f>
        <v>48852</v>
      </c>
      <c r="CR6" s="274" t="n">
        <f aca="false">EOMONTH(CQ6,1)</f>
        <v>48883</v>
      </c>
      <c r="CS6" s="274" t="n">
        <f aca="false">EOMONTH(CR6,1)</f>
        <v>48913</v>
      </c>
      <c r="CT6" s="274" t="n">
        <f aca="false">EOMONTH(CS6,1)</f>
        <v>48944</v>
      </c>
      <c r="CU6" s="274" t="n">
        <f aca="false">EOMONTH(CT6,1)</f>
        <v>48975</v>
      </c>
      <c r="CV6" s="274" t="n">
        <f aca="false">EOMONTH(CU6,1)</f>
        <v>49003</v>
      </c>
      <c r="CW6" s="274" t="n">
        <f aca="false">EOMONTH(CV6,1)</f>
        <v>49034</v>
      </c>
      <c r="CX6" s="274" t="n">
        <f aca="false">EOMONTH(CW6,1)</f>
        <v>49064</v>
      </c>
      <c r="CY6" s="274" t="n">
        <f aca="false">EOMONTH(CX6,1)</f>
        <v>49095</v>
      </c>
      <c r="CZ6" s="274" t="n">
        <f aca="false">EOMONTH(CY6,1)</f>
        <v>49125</v>
      </c>
      <c r="DA6" s="274" t="n">
        <f aca="false">EOMONTH(CZ6,1)</f>
        <v>49156</v>
      </c>
      <c r="DB6" s="274" t="n">
        <f aca="false">EOMONTH(DA6,1)</f>
        <v>49187</v>
      </c>
      <c r="DC6" s="274" t="n">
        <f aca="false">EOMONTH(DB6,1)</f>
        <v>49217</v>
      </c>
      <c r="DD6" s="274" t="n">
        <f aca="false">EOMONTH(DC6,1)</f>
        <v>49248</v>
      </c>
      <c r="DE6" s="274" t="n">
        <f aca="false">EOMONTH(DD6,1)</f>
        <v>49278</v>
      </c>
      <c r="DF6" s="274" t="n">
        <f aca="false">EOMONTH(DE6,1)</f>
        <v>49309</v>
      </c>
      <c r="DG6" s="274" t="n">
        <f aca="false">EOMONTH(DF6,1)</f>
        <v>49340</v>
      </c>
      <c r="DH6" s="274" t="n">
        <f aca="false">EOMONTH(DG6,1)</f>
        <v>49368</v>
      </c>
      <c r="DI6" s="274" t="n">
        <f aca="false">EOMONTH(DH6,1)</f>
        <v>49399</v>
      </c>
      <c r="DJ6" s="274" t="n">
        <f aca="false">EOMONTH(DI6,1)</f>
        <v>49429</v>
      </c>
      <c r="DK6" s="274" t="n">
        <f aca="false">EOMONTH(DJ6,1)</f>
        <v>49460</v>
      </c>
      <c r="DL6" s="274" t="n">
        <f aca="false">EOMONTH(DK6,1)</f>
        <v>49490</v>
      </c>
      <c r="DM6" s="274" t="n">
        <f aca="false">EOMONTH(DL6,1)</f>
        <v>49521</v>
      </c>
      <c r="DN6" s="274" t="n">
        <f aca="false">EOMONTH(DM6,1)</f>
        <v>49552</v>
      </c>
      <c r="DO6" s="274" t="n">
        <f aca="false">EOMONTH(DN6,1)</f>
        <v>49582</v>
      </c>
      <c r="DP6" s="274" t="n">
        <f aca="false">EOMONTH(DO6,1)</f>
        <v>49613</v>
      </c>
      <c r="DQ6" s="274" t="n">
        <f aca="false">EOMONTH(DP6,1)</f>
        <v>49643</v>
      </c>
      <c r="DR6" s="274" t="n">
        <f aca="false">EOMONTH(DQ6,1)</f>
        <v>49674</v>
      </c>
      <c r="DS6" s="274" t="n">
        <f aca="false">EOMONTH(DR6,1)</f>
        <v>49705</v>
      </c>
      <c r="DT6" s="274" t="n">
        <f aca="false">EOMONTH(DS6,1)</f>
        <v>49734</v>
      </c>
      <c r="DU6" s="274" t="n">
        <f aca="false">EOMONTH(DT6,1)</f>
        <v>49765</v>
      </c>
      <c r="DV6" s="274" t="n">
        <f aca="false">EOMONTH(DU6,1)</f>
        <v>49795</v>
      </c>
      <c r="DW6" s="274" t="n">
        <f aca="false">EOMONTH(DV6,1)</f>
        <v>49826</v>
      </c>
      <c r="DX6" s="274" t="n">
        <f aca="false">EOMONTH(DW6,1)</f>
        <v>49856</v>
      </c>
      <c r="DY6" s="274" t="n">
        <f aca="false">EOMONTH(DX6,1)</f>
        <v>49887</v>
      </c>
      <c r="DZ6" s="274" t="n">
        <f aca="false">EOMONTH(DY6,1)</f>
        <v>49918</v>
      </c>
      <c r="EA6" s="274" t="n">
        <f aca="false">EOMONTH(DZ6,1)</f>
        <v>49948</v>
      </c>
      <c r="EB6" s="274" t="n">
        <f aca="false">EOMONTH(EA6,1)</f>
        <v>49979</v>
      </c>
      <c r="EC6" s="274" t="n">
        <f aca="false">EOMONTH(EB6,1)</f>
        <v>50009</v>
      </c>
      <c r="ED6" s="274" t="n">
        <f aca="false">EOMONTH(EC6,1)</f>
        <v>50040</v>
      </c>
      <c r="EE6" s="274" t="n">
        <f aca="false">EOMONTH(ED6,1)</f>
        <v>50071</v>
      </c>
      <c r="EF6" s="274" t="n">
        <f aca="false">EOMONTH(EE6,1)</f>
        <v>50099</v>
      </c>
    </row>
    <row r="7" customFormat="false" ht="15" hidden="false" customHeight="false" outlineLevel="0" collapsed="false">
      <c r="A7" s="36" t="s">
        <v>563</v>
      </c>
      <c r="B7" s="273"/>
      <c r="E7" s="275" t="n">
        <f aca="false">YEAR(E6)</f>
        <v>2026</v>
      </c>
      <c r="F7" s="275" t="n">
        <f aca="false">YEAR(F6)</f>
        <v>2026</v>
      </c>
      <c r="G7" s="275" t="n">
        <f aca="false">YEAR(G6)</f>
        <v>2026</v>
      </c>
      <c r="H7" s="275" t="n">
        <f aca="false">YEAR(H6)</f>
        <v>2026</v>
      </c>
      <c r="I7" s="275" t="n">
        <f aca="false">YEAR(I6)</f>
        <v>2026</v>
      </c>
      <c r="J7" s="275" t="n">
        <f aca="false">YEAR(J6)</f>
        <v>2026</v>
      </c>
      <c r="K7" s="275" t="n">
        <f aca="false">YEAR(K6)</f>
        <v>2026</v>
      </c>
      <c r="L7" s="275" t="n">
        <f aca="false">YEAR(L6)</f>
        <v>2026</v>
      </c>
      <c r="M7" s="275" t="n">
        <f aca="false">YEAR(M6)</f>
        <v>2026</v>
      </c>
      <c r="N7" s="275" t="n">
        <f aca="false">YEAR(N6)</f>
        <v>2026</v>
      </c>
      <c r="O7" s="275" t="n">
        <f aca="false">YEAR(O6)</f>
        <v>2027</v>
      </c>
      <c r="P7" s="275" t="n">
        <f aca="false">YEAR(P6)</f>
        <v>2027</v>
      </c>
      <c r="Q7" s="275" t="n">
        <f aca="false">YEAR(Q6)</f>
        <v>2027</v>
      </c>
      <c r="R7" s="275" t="n">
        <f aca="false">YEAR(R6)</f>
        <v>2027</v>
      </c>
      <c r="S7" s="275" t="n">
        <f aca="false">YEAR(S6)</f>
        <v>2027</v>
      </c>
      <c r="T7" s="275" t="n">
        <f aca="false">YEAR(T6)</f>
        <v>2027</v>
      </c>
      <c r="U7" s="275" t="n">
        <f aca="false">YEAR(U6)</f>
        <v>2027</v>
      </c>
      <c r="V7" s="275" t="n">
        <f aca="false">YEAR(V6)</f>
        <v>2027</v>
      </c>
      <c r="W7" s="275" t="n">
        <f aca="false">YEAR(W6)</f>
        <v>2027</v>
      </c>
      <c r="X7" s="275" t="n">
        <f aca="false">YEAR(X6)</f>
        <v>2027</v>
      </c>
      <c r="Y7" s="275" t="n">
        <f aca="false">YEAR(Y6)</f>
        <v>2027</v>
      </c>
      <c r="Z7" s="275" t="n">
        <f aca="false">YEAR(Z6)</f>
        <v>2027</v>
      </c>
      <c r="AA7" s="275" t="n">
        <f aca="false">YEAR(AA6)</f>
        <v>2028</v>
      </c>
      <c r="AB7" s="275" t="n">
        <f aca="false">YEAR(AB6)</f>
        <v>2028</v>
      </c>
      <c r="AC7" s="275" t="n">
        <f aca="false">YEAR(AC6)</f>
        <v>2028</v>
      </c>
      <c r="AD7" s="275" t="n">
        <f aca="false">YEAR(AD6)</f>
        <v>2028</v>
      </c>
      <c r="AE7" s="275" t="n">
        <f aca="false">YEAR(AE6)</f>
        <v>2028</v>
      </c>
      <c r="AF7" s="275" t="n">
        <f aca="false">YEAR(AF6)</f>
        <v>2028</v>
      </c>
      <c r="AG7" s="275" t="n">
        <f aca="false">YEAR(AG6)</f>
        <v>2028</v>
      </c>
      <c r="AH7" s="275" t="n">
        <f aca="false">YEAR(AH6)</f>
        <v>2028</v>
      </c>
      <c r="AI7" s="275" t="n">
        <f aca="false">YEAR(AI6)</f>
        <v>2028</v>
      </c>
      <c r="AJ7" s="275" t="n">
        <f aca="false">YEAR(AJ6)</f>
        <v>2028</v>
      </c>
      <c r="AK7" s="275" t="n">
        <f aca="false">YEAR(AK6)</f>
        <v>2028</v>
      </c>
      <c r="AL7" s="275" t="n">
        <f aca="false">YEAR(AL6)</f>
        <v>2028</v>
      </c>
      <c r="AM7" s="275" t="n">
        <f aca="false">YEAR(AM6)</f>
        <v>2029</v>
      </c>
      <c r="AN7" s="275" t="n">
        <f aca="false">YEAR(AN6)</f>
        <v>2029</v>
      </c>
      <c r="AO7" s="275" t="n">
        <f aca="false">YEAR(AO6)</f>
        <v>2029</v>
      </c>
      <c r="AP7" s="275" t="n">
        <f aca="false">YEAR(AP6)</f>
        <v>2029</v>
      </c>
      <c r="AQ7" s="275" t="n">
        <f aca="false">YEAR(AQ6)</f>
        <v>2029</v>
      </c>
      <c r="AR7" s="275" t="n">
        <f aca="false">YEAR(AR6)</f>
        <v>2029</v>
      </c>
      <c r="AS7" s="275" t="n">
        <f aca="false">YEAR(AS6)</f>
        <v>2029</v>
      </c>
      <c r="AT7" s="275" t="n">
        <f aca="false">YEAR(AT6)</f>
        <v>2029</v>
      </c>
      <c r="AU7" s="275" t="n">
        <f aca="false">YEAR(AU6)</f>
        <v>2029</v>
      </c>
      <c r="AV7" s="275" t="n">
        <f aca="false">YEAR(AV6)</f>
        <v>2029</v>
      </c>
      <c r="AW7" s="275" t="n">
        <f aca="false">YEAR(AW6)</f>
        <v>2029</v>
      </c>
      <c r="AX7" s="275" t="n">
        <f aca="false">YEAR(AX6)</f>
        <v>2029</v>
      </c>
      <c r="AY7" s="275" t="n">
        <f aca="false">YEAR(AY6)</f>
        <v>2030</v>
      </c>
      <c r="AZ7" s="275" t="n">
        <f aca="false">YEAR(AZ6)</f>
        <v>2030</v>
      </c>
      <c r="BA7" s="275" t="n">
        <f aca="false">YEAR(BA6)</f>
        <v>2030</v>
      </c>
      <c r="BB7" s="275" t="n">
        <f aca="false">YEAR(BB6)</f>
        <v>2030</v>
      </c>
      <c r="BC7" s="275" t="n">
        <f aca="false">YEAR(BC6)</f>
        <v>2030</v>
      </c>
      <c r="BD7" s="275" t="n">
        <f aca="false">YEAR(BD6)</f>
        <v>2030</v>
      </c>
      <c r="BE7" s="275" t="n">
        <f aca="false">YEAR(BE6)</f>
        <v>2030</v>
      </c>
      <c r="BF7" s="275" t="n">
        <f aca="false">YEAR(BF6)</f>
        <v>2030</v>
      </c>
      <c r="BG7" s="275" t="n">
        <f aca="false">YEAR(BG6)</f>
        <v>2030</v>
      </c>
      <c r="BH7" s="275" t="n">
        <f aca="false">YEAR(BH6)</f>
        <v>2030</v>
      </c>
      <c r="BI7" s="275" t="n">
        <f aca="false">YEAR(BI6)</f>
        <v>2030</v>
      </c>
      <c r="BJ7" s="275" t="n">
        <f aca="false">YEAR(BJ6)</f>
        <v>2030</v>
      </c>
      <c r="BK7" s="275" t="n">
        <f aca="false">YEAR(BK6)</f>
        <v>2031</v>
      </c>
      <c r="BL7" s="275" t="n">
        <f aca="false">YEAR(BL6)</f>
        <v>2031</v>
      </c>
      <c r="BM7" s="275" t="n">
        <f aca="false">YEAR(BM6)</f>
        <v>2031</v>
      </c>
      <c r="BN7" s="275" t="n">
        <f aca="false">YEAR(BN6)</f>
        <v>2031</v>
      </c>
      <c r="BO7" s="275" t="n">
        <f aca="false">YEAR(BO6)</f>
        <v>2031</v>
      </c>
      <c r="BP7" s="275" t="n">
        <f aca="false">YEAR(BP6)</f>
        <v>2031</v>
      </c>
      <c r="BQ7" s="275" t="n">
        <f aca="false">YEAR(BQ6)</f>
        <v>2031</v>
      </c>
      <c r="BR7" s="275" t="n">
        <f aca="false">YEAR(BR6)</f>
        <v>2031</v>
      </c>
      <c r="BS7" s="275" t="n">
        <f aca="false">YEAR(BS6)</f>
        <v>2031</v>
      </c>
      <c r="BT7" s="275" t="n">
        <f aca="false">YEAR(BT6)</f>
        <v>2031</v>
      </c>
      <c r="BU7" s="275" t="n">
        <f aca="false">YEAR(BU6)</f>
        <v>2031</v>
      </c>
      <c r="BV7" s="275" t="n">
        <f aca="false">YEAR(BV6)</f>
        <v>2031</v>
      </c>
      <c r="BW7" s="275" t="n">
        <f aca="false">YEAR(BW6)</f>
        <v>2032</v>
      </c>
      <c r="BX7" s="275" t="n">
        <f aca="false">YEAR(BX6)</f>
        <v>2032</v>
      </c>
      <c r="BY7" s="275" t="n">
        <f aca="false">YEAR(BY6)</f>
        <v>2032</v>
      </c>
      <c r="BZ7" s="275" t="n">
        <f aca="false">YEAR(BZ6)</f>
        <v>2032</v>
      </c>
      <c r="CA7" s="275" t="n">
        <f aca="false">YEAR(CA6)</f>
        <v>2032</v>
      </c>
      <c r="CB7" s="275" t="n">
        <f aca="false">YEAR(CB6)</f>
        <v>2032</v>
      </c>
      <c r="CC7" s="275" t="n">
        <f aca="false">YEAR(CC6)</f>
        <v>2032</v>
      </c>
      <c r="CD7" s="275" t="n">
        <f aca="false">YEAR(CD6)</f>
        <v>2032</v>
      </c>
      <c r="CE7" s="275" t="n">
        <f aca="false">YEAR(CE6)</f>
        <v>2032</v>
      </c>
      <c r="CF7" s="275" t="n">
        <f aca="false">YEAR(CF6)</f>
        <v>2032</v>
      </c>
      <c r="CG7" s="275" t="n">
        <f aca="false">YEAR(CG6)</f>
        <v>2032</v>
      </c>
      <c r="CH7" s="275" t="n">
        <f aca="false">YEAR(CH6)</f>
        <v>2032</v>
      </c>
      <c r="CI7" s="275" t="n">
        <f aca="false">YEAR(CI6)</f>
        <v>2033</v>
      </c>
      <c r="CJ7" s="275" t="n">
        <f aca="false">YEAR(CJ6)</f>
        <v>2033</v>
      </c>
      <c r="CK7" s="275" t="n">
        <f aca="false">YEAR(CK6)</f>
        <v>2033</v>
      </c>
      <c r="CL7" s="275" t="n">
        <f aca="false">YEAR(CL6)</f>
        <v>2033</v>
      </c>
      <c r="CM7" s="275" t="n">
        <f aca="false">YEAR(CM6)</f>
        <v>2033</v>
      </c>
      <c r="CN7" s="275" t="n">
        <f aca="false">YEAR(CN6)</f>
        <v>2033</v>
      </c>
      <c r="CO7" s="275" t="n">
        <f aca="false">YEAR(CO6)</f>
        <v>2033</v>
      </c>
      <c r="CP7" s="275" t="n">
        <f aca="false">YEAR(CP6)</f>
        <v>2033</v>
      </c>
      <c r="CQ7" s="275" t="n">
        <f aca="false">YEAR(CQ6)</f>
        <v>2033</v>
      </c>
      <c r="CR7" s="275" t="n">
        <f aca="false">YEAR(CR6)</f>
        <v>2033</v>
      </c>
      <c r="CS7" s="275" t="n">
        <f aca="false">YEAR(CS6)</f>
        <v>2033</v>
      </c>
      <c r="CT7" s="275" t="n">
        <f aca="false">YEAR(CT6)</f>
        <v>2033</v>
      </c>
      <c r="CU7" s="275" t="n">
        <f aca="false">YEAR(CU6)</f>
        <v>2034</v>
      </c>
      <c r="CV7" s="275" t="n">
        <f aca="false">YEAR(CV6)</f>
        <v>2034</v>
      </c>
      <c r="CW7" s="275" t="n">
        <f aca="false">YEAR(CW6)</f>
        <v>2034</v>
      </c>
      <c r="CX7" s="275" t="n">
        <f aca="false">YEAR(CX6)</f>
        <v>2034</v>
      </c>
      <c r="CY7" s="275" t="n">
        <f aca="false">YEAR(CY6)</f>
        <v>2034</v>
      </c>
      <c r="CZ7" s="275" t="n">
        <f aca="false">YEAR(CZ6)</f>
        <v>2034</v>
      </c>
      <c r="DA7" s="275" t="n">
        <f aca="false">YEAR(DA6)</f>
        <v>2034</v>
      </c>
      <c r="DB7" s="275" t="n">
        <f aca="false">YEAR(DB6)</f>
        <v>2034</v>
      </c>
      <c r="DC7" s="275" t="n">
        <f aca="false">YEAR(DC6)</f>
        <v>2034</v>
      </c>
      <c r="DD7" s="275" t="n">
        <f aca="false">YEAR(DD6)</f>
        <v>2034</v>
      </c>
      <c r="DE7" s="275" t="n">
        <f aca="false">YEAR(DE6)</f>
        <v>2034</v>
      </c>
      <c r="DF7" s="275" t="n">
        <f aca="false">YEAR(DF6)</f>
        <v>2034</v>
      </c>
      <c r="DG7" s="275" t="n">
        <f aca="false">YEAR(DG6)</f>
        <v>2035</v>
      </c>
      <c r="DH7" s="275" t="n">
        <f aca="false">YEAR(DH6)</f>
        <v>2035</v>
      </c>
      <c r="DI7" s="275" t="n">
        <f aca="false">YEAR(DI6)</f>
        <v>2035</v>
      </c>
      <c r="DJ7" s="275" t="n">
        <f aca="false">YEAR(DJ6)</f>
        <v>2035</v>
      </c>
      <c r="DK7" s="275" t="n">
        <f aca="false">YEAR(DK6)</f>
        <v>2035</v>
      </c>
      <c r="DL7" s="275" t="n">
        <f aca="false">YEAR(DL6)</f>
        <v>2035</v>
      </c>
      <c r="DM7" s="275" t="n">
        <f aca="false">YEAR(DM6)</f>
        <v>2035</v>
      </c>
      <c r="DN7" s="275" t="n">
        <f aca="false">YEAR(DN6)</f>
        <v>2035</v>
      </c>
      <c r="DO7" s="275" t="n">
        <f aca="false">YEAR(DO6)</f>
        <v>2035</v>
      </c>
      <c r="DP7" s="275" t="n">
        <f aca="false">YEAR(DP6)</f>
        <v>2035</v>
      </c>
      <c r="DQ7" s="275" t="n">
        <f aca="false">YEAR(DQ6)</f>
        <v>2035</v>
      </c>
      <c r="DR7" s="275" t="n">
        <f aca="false">YEAR(DR6)</f>
        <v>2035</v>
      </c>
      <c r="DS7" s="275" t="n">
        <f aca="false">YEAR(DS6)</f>
        <v>2036</v>
      </c>
      <c r="DT7" s="275" t="n">
        <f aca="false">YEAR(DT6)</f>
        <v>2036</v>
      </c>
      <c r="DU7" s="275" t="n">
        <f aca="false">YEAR(DU6)</f>
        <v>2036</v>
      </c>
      <c r="DV7" s="275" t="n">
        <f aca="false">YEAR(DV6)</f>
        <v>2036</v>
      </c>
      <c r="DW7" s="275" t="n">
        <f aca="false">YEAR(DW6)</f>
        <v>2036</v>
      </c>
      <c r="DX7" s="275" t="n">
        <f aca="false">YEAR(DX6)</f>
        <v>2036</v>
      </c>
      <c r="DY7" s="275" t="n">
        <f aca="false">YEAR(DY6)</f>
        <v>2036</v>
      </c>
      <c r="DZ7" s="275" t="n">
        <f aca="false">YEAR(DZ6)</f>
        <v>2036</v>
      </c>
      <c r="EA7" s="275" t="n">
        <f aca="false">YEAR(EA6)</f>
        <v>2036</v>
      </c>
      <c r="EB7" s="275" t="n">
        <f aca="false">YEAR(EB6)</f>
        <v>2036</v>
      </c>
      <c r="EC7" s="275" t="n">
        <f aca="false">YEAR(EC6)</f>
        <v>2036</v>
      </c>
      <c r="ED7" s="275" t="n">
        <f aca="false">YEAR(ED6)</f>
        <v>2036</v>
      </c>
      <c r="EE7" s="275" t="n">
        <f aca="false">YEAR(EE6)</f>
        <v>2037</v>
      </c>
      <c r="EF7" s="275" t="n">
        <f aca="false">YEAR(EF6)</f>
        <v>2037</v>
      </c>
    </row>
    <row r="8" customFormat="false" ht="15" hidden="false" customHeight="false" outlineLevel="0" collapsed="false">
      <c r="A8" s="36" t="s">
        <v>564</v>
      </c>
      <c r="B8" s="273"/>
      <c r="E8" s="275" t="n">
        <f aca="false">1</f>
        <v>1</v>
      </c>
      <c r="F8" s="275" t="n">
        <f aca="false">E8+1</f>
        <v>2</v>
      </c>
      <c r="G8" s="275" t="n">
        <f aca="false">F8+1</f>
        <v>3</v>
      </c>
      <c r="H8" s="275" t="n">
        <f aca="false">G8+1</f>
        <v>4</v>
      </c>
      <c r="I8" s="275" t="n">
        <f aca="false">H8+1</f>
        <v>5</v>
      </c>
      <c r="J8" s="275" t="n">
        <f aca="false">I8+1</f>
        <v>6</v>
      </c>
      <c r="K8" s="275" t="n">
        <f aca="false">J8+1</f>
        <v>7</v>
      </c>
      <c r="L8" s="275" t="n">
        <f aca="false">K8+1</f>
        <v>8</v>
      </c>
      <c r="M8" s="275" t="n">
        <f aca="false">L8+1</f>
        <v>9</v>
      </c>
      <c r="N8" s="275" t="n">
        <f aca="false">M8+1</f>
        <v>10</v>
      </c>
      <c r="O8" s="275" t="n">
        <f aca="false">N8+1</f>
        <v>11</v>
      </c>
      <c r="P8" s="275" t="n">
        <f aca="false">O8+1</f>
        <v>12</v>
      </c>
      <c r="Q8" s="275" t="n">
        <f aca="false">P8+1</f>
        <v>13</v>
      </c>
      <c r="R8" s="275" t="n">
        <f aca="false">Q8+1</f>
        <v>14</v>
      </c>
      <c r="S8" s="275" t="n">
        <f aca="false">R8+1</f>
        <v>15</v>
      </c>
      <c r="T8" s="275" t="n">
        <f aca="false">S8+1</f>
        <v>16</v>
      </c>
      <c r="U8" s="275" t="n">
        <f aca="false">T8+1</f>
        <v>17</v>
      </c>
      <c r="V8" s="275" t="n">
        <f aca="false">U8+1</f>
        <v>18</v>
      </c>
      <c r="W8" s="275" t="n">
        <f aca="false">V8+1</f>
        <v>19</v>
      </c>
      <c r="X8" s="275" t="n">
        <f aca="false">W8+1</f>
        <v>20</v>
      </c>
      <c r="Y8" s="275" t="n">
        <f aca="false">X8+1</f>
        <v>21</v>
      </c>
      <c r="Z8" s="275" t="n">
        <f aca="false">Y8+1</f>
        <v>22</v>
      </c>
      <c r="AA8" s="275" t="n">
        <f aca="false">Z8+1</f>
        <v>23</v>
      </c>
      <c r="AB8" s="275" t="n">
        <f aca="false">AA8+1</f>
        <v>24</v>
      </c>
      <c r="AC8" s="275" t="n">
        <f aca="false">AB8+1</f>
        <v>25</v>
      </c>
      <c r="AD8" s="275" t="n">
        <f aca="false">AC8+1</f>
        <v>26</v>
      </c>
      <c r="AE8" s="275" t="n">
        <f aca="false">AD8+1</f>
        <v>27</v>
      </c>
      <c r="AF8" s="275" t="n">
        <f aca="false">AE8+1</f>
        <v>28</v>
      </c>
      <c r="AG8" s="275" t="n">
        <f aca="false">AF8+1</f>
        <v>29</v>
      </c>
      <c r="AH8" s="275" t="n">
        <f aca="false">AG8+1</f>
        <v>30</v>
      </c>
      <c r="AI8" s="275" t="n">
        <f aca="false">AH8+1</f>
        <v>31</v>
      </c>
      <c r="AJ8" s="275" t="n">
        <f aca="false">AI8+1</f>
        <v>32</v>
      </c>
      <c r="AK8" s="275" t="n">
        <f aca="false">AJ8+1</f>
        <v>33</v>
      </c>
      <c r="AL8" s="275" t="n">
        <f aca="false">AK8+1</f>
        <v>34</v>
      </c>
      <c r="AM8" s="275" t="n">
        <f aca="false">AL8+1</f>
        <v>35</v>
      </c>
      <c r="AN8" s="275" t="n">
        <f aca="false">AM8+1</f>
        <v>36</v>
      </c>
      <c r="AO8" s="275" t="n">
        <f aca="false">AN8+1</f>
        <v>37</v>
      </c>
      <c r="AP8" s="275" t="n">
        <f aca="false">AO8+1</f>
        <v>38</v>
      </c>
      <c r="AQ8" s="275" t="n">
        <f aca="false">AP8+1</f>
        <v>39</v>
      </c>
      <c r="AR8" s="275" t="n">
        <f aca="false">AQ8+1</f>
        <v>40</v>
      </c>
      <c r="AS8" s="275" t="n">
        <f aca="false">AR8+1</f>
        <v>41</v>
      </c>
      <c r="AT8" s="275" t="n">
        <f aca="false">AS8+1</f>
        <v>42</v>
      </c>
      <c r="AU8" s="275" t="n">
        <f aca="false">AT8+1</f>
        <v>43</v>
      </c>
      <c r="AV8" s="275" t="n">
        <f aca="false">AU8+1</f>
        <v>44</v>
      </c>
      <c r="AW8" s="275" t="n">
        <f aca="false">AV8+1</f>
        <v>45</v>
      </c>
      <c r="AX8" s="275" t="n">
        <f aca="false">AW8+1</f>
        <v>46</v>
      </c>
      <c r="AY8" s="275" t="n">
        <f aca="false">AX8+1</f>
        <v>47</v>
      </c>
      <c r="AZ8" s="275" t="n">
        <f aca="false">AY8+1</f>
        <v>48</v>
      </c>
      <c r="BA8" s="275" t="n">
        <f aca="false">AZ8+1</f>
        <v>49</v>
      </c>
      <c r="BB8" s="275" t="n">
        <f aca="false">BA8+1</f>
        <v>50</v>
      </c>
      <c r="BC8" s="275" t="n">
        <f aca="false">BB8+1</f>
        <v>51</v>
      </c>
      <c r="BD8" s="275" t="n">
        <f aca="false">BC8+1</f>
        <v>52</v>
      </c>
      <c r="BE8" s="275" t="n">
        <f aca="false">BD8+1</f>
        <v>53</v>
      </c>
      <c r="BF8" s="275" t="n">
        <f aca="false">BE8+1</f>
        <v>54</v>
      </c>
      <c r="BG8" s="275" t="n">
        <f aca="false">BF8+1</f>
        <v>55</v>
      </c>
      <c r="BH8" s="275" t="n">
        <f aca="false">BG8+1</f>
        <v>56</v>
      </c>
      <c r="BI8" s="275" t="n">
        <f aca="false">BH8+1</f>
        <v>57</v>
      </c>
      <c r="BJ8" s="275" t="n">
        <f aca="false">BI8+1</f>
        <v>58</v>
      </c>
      <c r="BK8" s="275" t="n">
        <f aca="false">BJ8+1</f>
        <v>59</v>
      </c>
      <c r="BL8" s="275" t="n">
        <f aca="false">BK8+1</f>
        <v>60</v>
      </c>
      <c r="BM8" s="275" t="n">
        <f aca="false">BL8+1</f>
        <v>61</v>
      </c>
      <c r="BN8" s="275" t="n">
        <f aca="false">BM8+1</f>
        <v>62</v>
      </c>
      <c r="BO8" s="275" t="n">
        <f aca="false">BN8+1</f>
        <v>63</v>
      </c>
      <c r="BP8" s="275" t="n">
        <f aca="false">BO8+1</f>
        <v>64</v>
      </c>
      <c r="BQ8" s="275" t="n">
        <f aca="false">BP8+1</f>
        <v>65</v>
      </c>
      <c r="BR8" s="275" t="n">
        <f aca="false">BQ8+1</f>
        <v>66</v>
      </c>
      <c r="BS8" s="275" t="n">
        <f aca="false">BR8+1</f>
        <v>67</v>
      </c>
      <c r="BT8" s="275" t="n">
        <f aca="false">BS8+1</f>
        <v>68</v>
      </c>
      <c r="BU8" s="275" t="n">
        <f aca="false">BT8+1</f>
        <v>69</v>
      </c>
      <c r="BV8" s="275" t="n">
        <f aca="false">BU8+1</f>
        <v>70</v>
      </c>
      <c r="BW8" s="275" t="n">
        <f aca="false">BV8+1</f>
        <v>71</v>
      </c>
      <c r="BX8" s="275" t="n">
        <f aca="false">BW8+1</f>
        <v>72</v>
      </c>
      <c r="BY8" s="275" t="n">
        <f aca="false">BX8+1</f>
        <v>73</v>
      </c>
      <c r="BZ8" s="275" t="n">
        <f aca="false">BY8+1</f>
        <v>74</v>
      </c>
      <c r="CA8" s="275" t="n">
        <f aca="false">BZ8+1</f>
        <v>75</v>
      </c>
      <c r="CB8" s="275" t="n">
        <f aca="false">CA8+1</f>
        <v>76</v>
      </c>
      <c r="CC8" s="275" t="n">
        <f aca="false">CB8+1</f>
        <v>77</v>
      </c>
      <c r="CD8" s="275" t="n">
        <f aca="false">CC8+1</f>
        <v>78</v>
      </c>
      <c r="CE8" s="275" t="n">
        <f aca="false">CD8+1</f>
        <v>79</v>
      </c>
      <c r="CF8" s="275" t="n">
        <f aca="false">CE8+1</f>
        <v>80</v>
      </c>
      <c r="CG8" s="275" t="n">
        <f aca="false">CF8+1</f>
        <v>81</v>
      </c>
      <c r="CH8" s="275" t="n">
        <f aca="false">CG8+1</f>
        <v>82</v>
      </c>
      <c r="CI8" s="275" t="n">
        <f aca="false">CH8+1</f>
        <v>83</v>
      </c>
      <c r="CJ8" s="275" t="n">
        <f aca="false">CI8+1</f>
        <v>84</v>
      </c>
      <c r="CK8" s="275" t="n">
        <f aca="false">CJ8+1</f>
        <v>85</v>
      </c>
      <c r="CL8" s="275" t="n">
        <f aca="false">CK8+1</f>
        <v>86</v>
      </c>
      <c r="CM8" s="275" t="n">
        <f aca="false">CL8+1</f>
        <v>87</v>
      </c>
      <c r="CN8" s="275" t="n">
        <f aca="false">CM8+1</f>
        <v>88</v>
      </c>
      <c r="CO8" s="275" t="n">
        <f aca="false">CN8+1</f>
        <v>89</v>
      </c>
      <c r="CP8" s="275" t="n">
        <f aca="false">CO8+1</f>
        <v>90</v>
      </c>
      <c r="CQ8" s="275" t="n">
        <f aca="false">CP8+1</f>
        <v>91</v>
      </c>
      <c r="CR8" s="275" t="n">
        <f aca="false">CQ8+1</f>
        <v>92</v>
      </c>
      <c r="CS8" s="275" t="n">
        <f aca="false">CR8+1</f>
        <v>93</v>
      </c>
      <c r="CT8" s="275" t="n">
        <f aca="false">CS8+1</f>
        <v>94</v>
      </c>
      <c r="CU8" s="275" t="n">
        <f aca="false">CT8+1</f>
        <v>95</v>
      </c>
      <c r="CV8" s="275" t="n">
        <f aca="false">CU8+1</f>
        <v>96</v>
      </c>
      <c r="CW8" s="275" t="n">
        <f aca="false">CV8+1</f>
        <v>97</v>
      </c>
      <c r="CX8" s="275" t="n">
        <f aca="false">CW8+1</f>
        <v>98</v>
      </c>
      <c r="CY8" s="275" t="n">
        <f aca="false">CX8+1</f>
        <v>99</v>
      </c>
      <c r="CZ8" s="275" t="n">
        <f aca="false">CY8+1</f>
        <v>100</v>
      </c>
      <c r="DA8" s="275" t="n">
        <f aca="false">CZ8+1</f>
        <v>101</v>
      </c>
      <c r="DB8" s="275" t="n">
        <f aca="false">DA8+1</f>
        <v>102</v>
      </c>
      <c r="DC8" s="275" t="n">
        <f aca="false">DB8+1</f>
        <v>103</v>
      </c>
      <c r="DD8" s="275" t="n">
        <f aca="false">DC8+1</f>
        <v>104</v>
      </c>
      <c r="DE8" s="275" t="n">
        <f aca="false">DD8+1</f>
        <v>105</v>
      </c>
      <c r="DF8" s="275" t="n">
        <f aca="false">DE8+1</f>
        <v>106</v>
      </c>
      <c r="DG8" s="275" t="n">
        <f aca="false">DF8+1</f>
        <v>107</v>
      </c>
      <c r="DH8" s="275" t="n">
        <f aca="false">DG8+1</f>
        <v>108</v>
      </c>
      <c r="DI8" s="275" t="n">
        <f aca="false">DH8+1</f>
        <v>109</v>
      </c>
      <c r="DJ8" s="275" t="n">
        <f aca="false">DI8+1</f>
        <v>110</v>
      </c>
      <c r="DK8" s="275" t="n">
        <f aca="false">DJ8+1</f>
        <v>111</v>
      </c>
      <c r="DL8" s="275" t="n">
        <f aca="false">DK8+1</f>
        <v>112</v>
      </c>
      <c r="DM8" s="275" t="n">
        <f aca="false">DL8+1</f>
        <v>113</v>
      </c>
      <c r="DN8" s="275" t="n">
        <f aca="false">DM8+1</f>
        <v>114</v>
      </c>
      <c r="DO8" s="275" t="n">
        <f aca="false">DN8+1</f>
        <v>115</v>
      </c>
      <c r="DP8" s="275" t="n">
        <f aca="false">DO8+1</f>
        <v>116</v>
      </c>
      <c r="DQ8" s="275" t="n">
        <f aca="false">DP8+1</f>
        <v>117</v>
      </c>
      <c r="DR8" s="275" t="n">
        <f aca="false">DQ8+1</f>
        <v>118</v>
      </c>
      <c r="DS8" s="275" t="n">
        <f aca="false">DR8+1</f>
        <v>119</v>
      </c>
      <c r="DT8" s="275" t="n">
        <f aca="false">DS8+1</f>
        <v>120</v>
      </c>
      <c r="DU8" s="275" t="n">
        <f aca="false">DT8+1</f>
        <v>121</v>
      </c>
      <c r="DV8" s="275" t="n">
        <f aca="false">DU8+1</f>
        <v>122</v>
      </c>
      <c r="DW8" s="275" t="n">
        <f aca="false">DV8+1</f>
        <v>123</v>
      </c>
      <c r="DX8" s="275" t="n">
        <f aca="false">DW8+1</f>
        <v>124</v>
      </c>
      <c r="DY8" s="275" t="n">
        <f aca="false">DX8+1</f>
        <v>125</v>
      </c>
      <c r="DZ8" s="275" t="n">
        <f aca="false">DY8+1</f>
        <v>126</v>
      </c>
      <c r="EA8" s="275" t="n">
        <f aca="false">DZ8+1</f>
        <v>127</v>
      </c>
      <c r="EB8" s="275" t="n">
        <f aca="false">EA8+1</f>
        <v>128</v>
      </c>
      <c r="EC8" s="275" t="n">
        <f aca="false">EB8+1</f>
        <v>129</v>
      </c>
      <c r="ED8" s="275" t="n">
        <f aca="false">EC8+1</f>
        <v>130</v>
      </c>
      <c r="EE8" s="275" t="n">
        <f aca="false">ED8+1</f>
        <v>131</v>
      </c>
      <c r="EF8" s="275" t="n">
        <f aca="false">EE8+1</f>
        <v>132</v>
      </c>
    </row>
    <row r="9" customFormat="false" ht="15" hidden="false" customHeight="false" outlineLevel="0" collapsed="false">
      <c r="A9" s="36" t="s">
        <v>565</v>
      </c>
      <c r="B9" s="273"/>
      <c r="E9" s="276" t="n">
        <f aca="false">IF(E6&lt;=③기타_가정!$E$24,1,0)</f>
        <v>1</v>
      </c>
      <c r="F9" s="276" t="n">
        <f aca="false">IF(F6&lt;=③기타_가정!$E$24,1,0)</f>
        <v>1</v>
      </c>
      <c r="G9" s="276" t="n">
        <f aca="false">IF(G6&lt;=③기타_가정!$E$24,1,0)</f>
        <v>1</v>
      </c>
      <c r="H9" s="276" t="n">
        <f aca="false">IF(H6&lt;=③기타_가정!$E$24,1,0)</f>
        <v>1</v>
      </c>
      <c r="I9" s="276" t="n">
        <f aca="false">IF(I6&lt;=③기타_가정!$E$24,1,0)</f>
        <v>1</v>
      </c>
      <c r="J9" s="276" t="n">
        <f aca="false">IF(J6&lt;=③기타_가정!$E$24,1,0)</f>
        <v>1</v>
      </c>
      <c r="K9" s="276" t="n">
        <f aca="false">IF(K6&lt;=③기타_가정!$E$24,1,0)</f>
        <v>1</v>
      </c>
      <c r="L9" s="276" t="n">
        <f aca="false">IF(L6&lt;=③기타_가정!$E$24,1,0)</f>
        <v>1</v>
      </c>
      <c r="M9" s="276" t="n">
        <f aca="false">IF(M6&lt;=③기타_가정!$E$24,1,0)</f>
        <v>1</v>
      </c>
      <c r="N9" s="276" t="n">
        <f aca="false">IF(N6&lt;=③기타_가정!$E$24,1,0)</f>
        <v>1</v>
      </c>
      <c r="O9" s="276" t="n">
        <f aca="false">IF(O6&lt;=③기타_가정!$E$24,1,0)</f>
        <v>1</v>
      </c>
      <c r="P9" s="276" t="n">
        <f aca="false">IF(P6&lt;=③기타_가정!$E$24,1,0)</f>
        <v>1</v>
      </c>
      <c r="Q9" s="276" t="n">
        <f aca="false">IF(Q6&lt;=③기타_가정!$E$24,1,0)</f>
        <v>1</v>
      </c>
      <c r="R9" s="276" t="n">
        <f aca="false">IF(R6&lt;=③기타_가정!$E$24,1,0)</f>
        <v>1</v>
      </c>
      <c r="S9" s="276" t="n">
        <f aca="false">IF(S6&lt;=③기타_가정!$E$24,1,0)</f>
        <v>1</v>
      </c>
      <c r="T9" s="276" t="n">
        <f aca="false">IF(T6&lt;=③기타_가정!$E$24,1,0)</f>
        <v>1</v>
      </c>
      <c r="U9" s="276" t="n">
        <f aca="false">IF(U6&lt;=③기타_가정!$E$24,1,0)</f>
        <v>1</v>
      </c>
      <c r="V9" s="276" t="n">
        <f aca="false">IF(V6&lt;=③기타_가정!$E$24,1,0)</f>
        <v>1</v>
      </c>
      <c r="W9" s="276" t="n">
        <f aca="false">IF(W6&lt;=③기타_가정!$E$24,1,0)</f>
        <v>1</v>
      </c>
      <c r="X9" s="276" t="n">
        <f aca="false">IF(X6&lt;=③기타_가정!$E$24,1,0)</f>
        <v>1</v>
      </c>
      <c r="Y9" s="276" t="n">
        <f aca="false">IF(Y6&lt;=③기타_가정!$E$24,1,0)</f>
        <v>1</v>
      </c>
      <c r="Z9" s="276" t="n">
        <f aca="false">IF(Z6&lt;=③기타_가정!$E$24,1,0)</f>
        <v>1</v>
      </c>
      <c r="AA9" s="276" t="n">
        <f aca="false">IF(AA6&lt;=③기타_가정!$E$24,1,0)</f>
        <v>1</v>
      </c>
      <c r="AB9" s="276" t="n">
        <f aca="false">IF(AB6&lt;=③기타_가정!$E$24,1,0)</f>
        <v>1</v>
      </c>
      <c r="AC9" s="276" t="n">
        <f aca="false">IF(AC6&lt;=③기타_가정!$E$24,1,0)</f>
        <v>1</v>
      </c>
      <c r="AD9" s="276" t="n">
        <f aca="false">IF(AD6&lt;=③기타_가정!$E$24,1,0)</f>
        <v>1</v>
      </c>
      <c r="AE9" s="276" t="n">
        <f aca="false">IF(AE6&lt;=③기타_가정!$E$24,1,0)</f>
        <v>1</v>
      </c>
      <c r="AF9" s="276" t="n">
        <f aca="false">IF(AF6&lt;=③기타_가정!$E$24,1,0)</f>
        <v>1</v>
      </c>
      <c r="AG9" s="276" t="n">
        <f aca="false">IF(AG6&lt;=③기타_가정!$E$24,1,0)</f>
        <v>1</v>
      </c>
      <c r="AH9" s="276" t="n">
        <f aca="false">IF(AH6&lt;=③기타_가정!$E$24,1,0)</f>
        <v>1</v>
      </c>
      <c r="AI9" s="276" t="n">
        <f aca="false">IF(AI6&lt;=③기타_가정!$E$24,1,0)</f>
        <v>1</v>
      </c>
      <c r="AJ9" s="276" t="n">
        <f aca="false">IF(AJ6&lt;=③기타_가정!$E$24,1,0)</f>
        <v>1</v>
      </c>
      <c r="AK9" s="276" t="n">
        <f aca="false">IF(AK6&lt;=③기타_가정!$E$24,1,0)</f>
        <v>1</v>
      </c>
      <c r="AL9" s="276" t="n">
        <f aca="false">IF(AL6&lt;=③기타_가정!$E$24,1,0)</f>
        <v>1</v>
      </c>
      <c r="AM9" s="276" t="n">
        <f aca="false">IF(AM6&lt;=③기타_가정!$E$24,1,0)</f>
        <v>1</v>
      </c>
      <c r="AN9" s="276" t="n">
        <f aca="false">IF(AN6&lt;=③기타_가정!$E$24,1,0)</f>
        <v>1</v>
      </c>
      <c r="AO9" s="276" t="n">
        <f aca="false">IF(AO6&lt;=③기타_가정!$E$24,1,0)</f>
        <v>1</v>
      </c>
      <c r="AP9" s="276" t="n">
        <f aca="false">IF(AP6&lt;=③기타_가정!$E$24,1,0)</f>
        <v>1</v>
      </c>
      <c r="AQ9" s="276" t="n">
        <f aca="false">IF(AQ6&lt;=③기타_가정!$E$24,1,0)</f>
        <v>1</v>
      </c>
      <c r="AR9" s="276" t="n">
        <f aca="false">IF(AR6&lt;=③기타_가정!$E$24,1,0)</f>
        <v>1</v>
      </c>
      <c r="AS9" s="276" t="n">
        <f aca="false">IF(AS6&lt;=③기타_가정!$E$24,1,0)</f>
        <v>1</v>
      </c>
      <c r="AT9" s="276" t="n">
        <f aca="false">IF(AT6&lt;=③기타_가정!$E$24,1,0)</f>
        <v>1</v>
      </c>
      <c r="AU9" s="276" t="n">
        <f aca="false">IF(AU6&lt;=③기타_가정!$E$24,1,0)</f>
        <v>1</v>
      </c>
      <c r="AV9" s="276" t="n">
        <f aca="false">IF(AV6&lt;=③기타_가정!$E$24,1,0)</f>
        <v>1</v>
      </c>
      <c r="AW9" s="276" t="n">
        <f aca="false">IF(AW6&lt;=③기타_가정!$E$24,1,0)</f>
        <v>1</v>
      </c>
      <c r="AX9" s="276" t="n">
        <f aca="false">IF(AX6&lt;=③기타_가정!$E$24,1,0)</f>
        <v>1</v>
      </c>
      <c r="AY9" s="276" t="n">
        <f aca="false">IF(AY6&lt;=③기타_가정!$E$24,1,0)</f>
        <v>1</v>
      </c>
      <c r="AZ9" s="276" t="n">
        <f aca="false">IF(AZ6&lt;=③기타_가정!$E$24,1,0)</f>
        <v>1</v>
      </c>
      <c r="BA9" s="276" t="n">
        <f aca="false">IF(BA6&lt;=③기타_가정!$E$24,1,0)</f>
        <v>1</v>
      </c>
      <c r="BB9" s="276" t="n">
        <f aca="false">IF(BB6&lt;=③기타_가정!$E$24,1,0)</f>
        <v>1</v>
      </c>
      <c r="BC9" s="276" t="n">
        <f aca="false">IF(BC6&lt;=③기타_가정!$E$24,1,0)</f>
        <v>1</v>
      </c>
      <c r="BD9" s="276" t="n">
        <f aca="false">IF(BD6&lt;=③기타_가정!$E$24,1,0)</f>
        <v>1</v>
      </c>
      <c r="BE9" s="276" t="n">
        <f aca="false">IF(BE6&lt;=③기타_가정!$E$24,1,0)</f>
        <v>1</v>
      </c>
      <c r="BF9" s="276" t="n">
        <f aca="false">IF(BF6&lt;=③기타_가정!$E$24,1,0)</f>
        <v>1</v>
      </c>
      <c r="BG9" s="276" t="n">
        <f aca="false">IF(BG6&lt;=③기타_가정!$E$24,1,0)</f>
        <v>1</v>
      </c>
      <c r="BH9" s="276" t="n">
        <f aca="false">IF(BH6&lt;=③기타_가정!$E$24,1,0)</f>
        <v>1</v>
      </c>
      <c r="BI9" s="276" t="n">
        <f aca="false">IF(BI6&lt;=③기타_가정!$E$24,1,0)</f>
        <v>1</v>
      </c>
      <c r="BJ9" s="276" t="n">
        <f aca="false">IF(BJ6&lt;=③기타_가정!$E$24,1,0)</f>
        <v>1</v>
      </c>
      <c r="BK9" s="276" t="n">
        <f aca="false">IF(BK6&lt;=③기타_가정!$E$24,1,0)</f>
        <v>1</v>
      </c>
      <c r="BL9" s="276" t="n">
        <f aca="false">IF(BL6&lt;=③기타_가정!$E$24,1,0)</f>
        <v>1</v>
      </c>
      <c r="BM9" s="276" t="n">
        <f aca="false">IF(BM6&lt;=③기타_가정!$E$24,1,0)</f>
        <v>1</v>
      </c>
      <c r="BN9" s="276" t="n">
        <f aca="false">IF(BN6&lt;=③기타_가정!$E$24,1,0)</f>
        <v>1</v>
      </c>
      <c r="BO9" s="276" t="n">
        <f aca="false">IF(BO6&lt;=③기타_가정!$E$24,1,0)</f>
        <v>1</v>
      </c>
      <c r="BP9" s="276" t="n">
        <f aca="false">IF(BP6&lt;=③기타_가정!$E$24,1,0)</f>
        <v>1</v>
      </c>
      <c r="BQ9" s="276" t="n">
        <f aca="false">IF(BQ6&lt;=③기타_가정!$E$24,1,0)</f>
        <v>1</v>
      </c>
      <c r="BR9" s="276" t="n">
        <f aca="false">IF(BR6&lt;=③기타_가정!$E$24,1,0)</f>
        <v>1</v>
      </c>
      <c r="BS9" s="276" t="n">
        <f aca="false">IF(BS6&lt;=③기타_가정!$E$24,1,0)</f>
        <v>1</v>
      </c>
      <c r="BT9" s="276" t="n">
        <f aca="false">IF(BT6&lt;=③기타_가정!$E$24,1,0)</f>
        <v>1</v>
      </c>
      <c r="BU9" s="276" t="n">
        <f aca="false">IF(BU6&lt;=③기타_가정!$E$24,1,0)</f>
        <v>1</v>
      </c>
      <c r="BV9" s="276" t="n">
        <f aca="false">IF(BV6&lt;=③기타_가정!$E$24,1,0)</f>
        <v>1</v>
      </c>
      <c r="BW9" s="276" t="n">
        <f aca="false">IF(BW6&lt;=③기타_가정!$E$24,1,0)</f>
        <v>1</v>
      </c>
      <c r="BX9" s="276" t="n">
        <f aca="false">IF(BX6&lt;=③기타_가정!$E$24,1,0)</f>
        <v>1</v>
      </c>
      <c r="BY9" s="276" t="n">
        <f aca="false">IF(BY6&lt;=③기타_가정!$E$24,1,0)</f>
        <v>1</v>
      </c>
      <c r="BZ9" s="276" t="n">
        <f aca="false">IF(BZ6&lt;=③기타_가정!$E$24,1,0)</f>
        <v>1</v>
      </c>
      <c r="CA9" s="276" t="n">
        <f aca="false">IF(CA6&lt;=③기타_가정!$E$24,1,0)</f>
        <v>1</v>
      </c>
      <c r="CB9" s="276" t="n">
        <f aca="false">IF(CB6&lt;=③기타_가정!$E$24,1,0)</f>
        <v>1</v>
      </c>
      <c r="CC9" s="276" t="n">
        <f aca="false">IF(CC6&lt;=③기타_가정!$E$24,1,0)</f>
        <v>1</v>
      </c>
      <c r="CD9" s="276" t="n">
        <f aca="false">IF(CD6&lt;=③기타_가정!$E$24,1,0)</f>
        <v>1</v>
      </c>
      <c r="CE9" s="276" t="n">
        <f aca="false">IF(CE6&lt;=③기타_가정!$E$24,1,0)</f>
        <v>1</v>
      </c>
      <c r="CF9" s="276" t="n">
        <f aca="false">IF(CF6&lt;=③기타_가정!$E$24,1,0)</f>
        <v>1</v>
      </c>
      <c r="CG9" s="276" t="n">
        <f aca="false">IF(CG6&lt;=③기타_가정!$E$24,1,0)</f>
        <v>1</v>
      </c>
      <c r="CH9" s="276" t="n">
        <f aca="false">IF(CH6&lt;=③기타_가정!$E$24,1,0)</f>
        <v>1</v>
      </c>
      <c r="CI9" s="276" t="n">
        <f aca="false">IF(CI6&lt;=③기타_가정!$E$24,1,0)</f>
        <v>1</v>
      </c>
      <c r="CJ9" s="276" t="n">
        <f aca="false">IF(CJ6&lt;=③기타_가정!$E$24,1,0)</f>
        <v>1</v>
      </c>
      <c r="CK9" s="276" t="n">
        <f aca="false">IF(CK6&lt;=③기타_가정!$E$24,1,0)</f>
        <v>1</v>
      </c>
      <c r="CL9" s="276" t="n">
        <f aca="false">IF(CL6&lt;=③기타_가정!$E$24,1,0)</f>
        <v>1</v>
      </c>
      <c r="CM9" s="276" t="n">
        <f aca="false">IF(CM6&lt;=③기타_가정!$E$24,1,0)</f>
        <v>1</v>
      </c>
      <c r="CN9" s="276" t="n">
        <f aca="false">IF(CN6&lt;=③기타_가정!$E$24,1,0)</f>
        <v>1</v>
      </c>
      <c r="CO9" s="276" t="n">
        <f aca="false">IF(CO6&lt;=③기타_가정!$E$24,1,0)</f>
        <v>1</v>
      </c>
      <c r="CP9" s="276" t="n">
        <f aca="false">IF(CP6&lt;=③기타_가정!$E$24,1,0)</f>
        <v>1</v>
      </c>
      <c r="CQ9" s="276" t="n">
        <f aca="false">IF(CQ6&lt;=③기타_가정!$E$24,1,0)</f>
        <v>1</v>
      </c>
      <c r="CR9" s="276" t="n">
        <f aca="false">IF(CR6&lt;=③기타_가정!$E$24,1,0)</f>
        <v>1</v>
      </c>
      <c r="CS9" s="276" t="n">
        <f aca="false">IF(CS6&lt;=③기타_가정!$E$24,1,0)</f>
        <v>1</v>
      </c>
      <c r="CT9" s="276" t="n">
        <f aca="false">IF(CT6&lt;=③기타_가정!$E$24,1,0)</f>
        <v>1</v>
      </c>
      <c r="CU9" s="276" t="n">
        <f aca="false">IF(CU6&lt;=③기타_가정!$E$24,1,0)</f>
        <v>1</v>
      </c>
      <c r="CV9" s="276" t="n">
        <f aca="false">IF(CV6&lt;=③기타_가정!$E$24,1,0)</f>
        <v>1</v>
      </c>
      <c r="CW9" s="276" t="n">
        <f aca="false">IF(CW6&lt;=③기타_가정!$E$24,1,0)</f>
        <v>1</v>
      </c>
      <c r="CX9" s="276" t="n">
        <f aca="false">IF(CX6&lt;=③기타_가정!$E$24,1,0)</f>
        <v>1</v>
      </c>
      <c r="CY9" s="276" t="n">
        <f aca="false">IF(CY6&lt;=③기타_가정!$E$24,1,0)</f>
        <v>1</v>
      </c>
      <c r="CZ9" s="276" t="n">
        <f aca="false">IF(CZ6&lt;=③기타_가정!$E$24,1,0)</f>
        <v>1</v>
      </c>
      <c r="DA9" s="276" t="n">
        <f aca="false">IF(DA6&lt;=③기타_가정!$E$24,1,0)</f>
        <v>1</v>
      </c>
      <c r="DB9" s="276" t="n">
        <f aca="false">IF(DB6&lt;=③기타_가정!$E$24,1,0)</f>
        <v>1</v>
      </c>
      <c r="DC9" s="276" t="n">
        <f aca="false">IF(DC6&lt;=③기타_가정!$E$24,1,0)</f>
        <v>1</v>
      </c>
      <c r="DD9" s="276" t="n">
        <f aca="false">IF(DD6&lt;=③기타_가정!$E$24,1,0)</f>
        <v>1</v>
      </c>
      <c r="DE9" s="276" t="n">
        <f aca="false">IF(DE6&lt;=③기타_가정!$E$24,1,0)</f>
        <v>1</v>
      </c>
      <c r="DF9" s="276" t="n">
        <f aca="false">IF(DF6&lt;=③기타_가정!$E$24,1,0)</f>
        <v>1</v>
      </c>
      <c r="DG9" s="276" t="n">
        <f aca="false">IF(DG6&lt;=③기타_가정!$E$24,1,0)</f>
        <v>1</v>
      </c>
      <c r="DH9" s="276" t="n">
        <f aca="false">IF(DH6&lt;=③기타_가정!$E$24,1,0)</f>
        <v>1</v>
      </c>
      <c r="DI9" s="276" t="n">
        <f aca="false">IF(DI6&lt;=③기타_가정!$E$24,1,0)</f>
        <v>1</v>
      </c>
      <c r="DJ9" s="276" t="n">
        <f aca="false">IF(DJ6&lt;=③기타_가정!$E$24,1,0)</f>
        <v>1</v>
      </c>
      <c r="DK9" s="276" t="n">
        <f aca="false">IF(DK6&lt;=③기타_가정!$E$24,1,0)</f>
        <v>1</v>
      </c>
      <c r="DL9" s="276" t="n">
        <f aca="false">IF(DL6&lt;=③기타_가정!$E$24,1,0)</f>
        <v>1</v>
      </c>
      <c r="DM9" s="276" t="n">
        <f aca="false">IF(DM6&lt;=③기타_가정!$E$24,1,0)</f>
        <v>1</v>
      </c>
      <c r="DN9" s="276" t="n">
        <f aca="false">IF(DN6&lt;=③기타_가정!$E$24,1,0)</f>
        <v>1</v>
      </c>
      <c r="DO9" s="276" t="n">
        <f aca="false">IF(DO6&lt;=③기타_가정!$E$24,1,0)</f>
        <v>1</v>
      </c>
      <c r="DP9" s="276" t="n">
        <f aca="false">IF(DP6&lt;=③기타_가정!$E$24,1,0)</f>
        <v>1</v>
      </c>
      <c r="DQ9" s="276" t="n">
        <f aca="false">IF(DQ6&lt;=③기타_가정!$E$24,1,0)</f>
        <v>1</v>
      </c>
      <c r="DR9" s="276" t="n">
        <f aca="false">IF(DR6&lt;=③기타_가정!$E$24,1,0)</f>
        <v>1</v>
      </c>
      <c r="DS9" s="276" t="n">
        <f aca="false">IF(DS6&lt;=③기타_가정!$E$24,1,0)</f>
        <v>1</v>
      </c>
      <c r="DT9" s="276" t="n">
        <f aca="false">IF(DT6&lt;=③기타_가정!$E$24,1,0)</f>
        <v>1</v>
      </c>
      <c r="DU9" s="276" t="n">
        <f aca="false">IF(DU6&lt;=③기타_가정!$E$24,1,0)</f>
        <v>1</v>
      </c>
      <c r="DV9" s="276" t="n">
        <f aca="false">IF(DV6&lt;=③기타_가정!$E$24,1,0)</f>
        <v>1</v>
      </c>
      <c r="DW9" s="276" t="n">
        <f aca="false">IF(DW6&lt;=③기타_가정!$E$24,1,0)</f>
        <v>1</v>
      </c>
      <c r="DX9" s="276" t="n">
        <f aca="false">IF(DX6&lt;=③기타_가정!$E$24,1,0)</f>
        <v>0</v>
      </c>
      <c r="DY9" s="276" t="n">
        <f aca="false">IF(DY6&lt;=③기타_가정!$E$24,1,0)</f>
        <v>0</v>
      </c>
      <c r="DZ9" s="276" t="n">
        <f aca="false">IF(DZ6&lt;=③기타_가정!$E$24,1,0)</f>
        <v>0</v>
      </c>
      <c r="EA9" s="276" t="n">
        <f aca="false">IF(EA6&lt;=③기타_가정!$E$24,1,0)</f>
        <v>0</v>
      </c>
      <c r="EB9" s="276" t="n">
        <f aca="false">IF(EB6&lt;=③기타_가정!$E$24,1,0)</f>
        <v>0</v>
      </c>
      <c r="EC9" s="276" t="n">
        <f aca="false">IF(EC6&lt;=③기타_가정!$E$24,1,0)</f>
        <v>0</v>
      </c>
      <c r="ED9" s="276" t="n">
        <f aca="false">IF(ED6&lt;=③기타_가정!$E$24,1,0)</f>
        <v>0</v>
      </c>
      <c r="EE9" s="276" t="n">
        <f aca="false">IF(EE6&lt;=③기타_가정!$E$24,1,0)</f>
        <v>0</v>
      </c>
      <c r="EF9" s="276" t="n">
        <f aca="false">IF(EF6&lt;=③기타_가정!$E$24,1,0)</f>
        <v>0</v>
      </c>
    </row>
    <row r="10" customFormat="false" ht="15" hidden="false" customHeight="false" outlineLevel="0" collapsed="false">
      <c r="A10" s="36" t="s">
        <v>566</v>
      </c>
      <c r="B10" s="273"/>
      <c r="E10" s="276" t="n">
        <f aca="false">IF(E6&lt;=③기타_가정!$E$16,1,0)</f>
        <v>1</v>
      </c>
      <c r="F10" s="276" t="n">
        <f aca="false">IF(F6&lt;=③기타_가정!$E$16,1,0)</f>
        <v>1</v>
      </c>
      <c r="G10" s="276" t="n">
        <f aca="false">IF(G6&lt;=③기타_가정!$E$16,1,0)</f>
        <v>1</v>
      </c>
      <c r="H10" s="276" t="n">
        <f aca="false">IF(H6&lt;=③기타_가정!$E$16,1,0)</f>
        <v>1</v>
      </c>
      <c r="I10" s="276" t="n">
        <f aca="false">IF(I6&lt;=③기타_가정!$E$16,1,0)</f>
        <v>1</v>
      </c>
      <c r="J10" s="276" t="n">
        <f aca="false">IF(J6&lt;=③기타_가정!$E$16,1,0)</f>
        <v>1</v>
      </c>
      <c r="K10" s="276" t="n">
        <f aca="false">IF(K6&lt;=③기타_가정!$E$16,1,0)</f>
        <v>1</v>
      </c>
      <c r="L10" s="276" t="n">
        <f aca="false">IF(L6&lt;=③기타_가정!$E$16,1,0)</f>
        <v>1</v>
      </c>
      <c r="M10" s="276" t="n">
        <f aca="false">IF(M6&lt;=③기타_가정!$E$16,1,0)</f>
        <v>1</v>
      </c>
      <c r="N10" s="276" t="n">
        <f aca="false">IF(N6&lt;=③기타_가정!$E$16,1,0)</f>
        <v>1</v>
      </c>
      <c r="O10" s="276" t="n">
        <f aca="false">IF(O6&lt;=③기타_가정!$E$16,1,0)</f>
        <v>1</v>
      </c>
      <c r="P10" s="276" t="n">
        <f aca="false">IF(P6&lt;=③기타_가정!$E$16,1,0)</f>
        <v>1</v>
      </c>
      <c r="Q10" s="276" t="n">
        <f aca="false">IF(Q6&lt;=③기타_가정!$E$16,1,0)</f>
        <v>1</v>
      </c>
      <c r="R10" s="276" t="n">
        <f aca="false">IF(R6&lt;=③기타_가정!$E$16,1,0)</f>
        <v>1</v>
      </c>
      <c r="S10" s="276" t="n">
        <f aca="false">IF(S6&lt;=③기타_가정!$E$16,1,0)</f>
        <v>1</v>
      </c>
      <c r="T10" s="276" t="n">
        <f aca="false">IF(T6&lt;=③기타_가정!$E$16,1,0)</f>
        <v>1</v>
      </c>
      <c r="U10" s="276" t="n">
        <f aca="false">IF(U6&lt;=③기타_가정!$E$16,1,0)</f>
        <v>1</v>
      </c>
      <c r="V10" s="276" t="n">
        <f aca="false">IF(V6&lt;=③기타_가정!$E$16,1,0)</f>
        <v>1</v>
      </c>
      <c r="W10" s="276" t="n">
        <f aca="false">IF(W6&lt;=③기타_가정!$E$16,1,0)</f>
        <v>1</v>
      </c>
      <c r="X10" s="276" t="n">
        <f aca="false">IF(X6&lt;=③기타_가정!$E$16,1,0)</f>
        <v>1</v>
      </c>
      <c r="Y10" s="276" t="n">
        <f aca="false">IF(Y6&lt;=③기타_가정!$E$16,1,0)</f>
        <v>1</v>
      </c>
      <c r="Z10" s="276" t="n">
        <f aca="false">IF(Z6&lt;=③기타_가정!$E$16,1,0)</f>
        <v>1</v>
      </c>
      <c r="AA10" s="276" t="n">
        <f aca="false">IF(AA6&lt;=③기타_가정!$E$16,1,0)</f>
        <v>1</v>
      </c>
      <c r="AB10" s="276" t="n">
        <f aca="false">IF(AB6&lt;=③기타_가정!$E$16,1,0)</f>
        <v>1</v>
      </c>
      <c r="AC10" s="276" t="n">
        <f aca="false">IF(AC6&lt;=③기타_가정!$E$16,1,0)</f>
        <v>1</v>
      </c>
      <c r="AD10" s="276" t="n">
        <f aca="false">IF(AD6&lt;=③기타_가정!$E$16,1,0)</f>
        <v>1</v>
      </c>
      <c r="AE10" s="276" t="n">
        <f aca="false">IF(AE6&lt;=③기타_가정!$E$16,1,0)</f>
        <v>1</v>
      </c>
      <c r="AF10" s="276" t="n">
        <f aca="false">IF(AF6&lt;=③기타_가정!$E$16,1,0)</f>
        <v>1</v>
      </c>
      <c r="AG10" s="276" t="n">
        <f aca="false">IF(AG6&lt;=③기타_가정!$E$16,1,0)</f>
        <v>1</v>
      </c>
      <c r="AH10" s="276" t="n">
        <f aca="false">IF(AH6&lt;=③기타_가정!$E$16,1,0)</f>
        <v>1</v>
      </c>
      <c r="AI10" s="276" t="n">
        <f aca="false">IF(AI6&lt;=③기타_가정!$E$16,1,0)</f>
        <v>1</v>
      </c>
      <c r="AJ10" s="276" t="n">
        <f aca="false">IF(AJ6&lt;=③기타_가정!$E$16,1,0)</f>
        <v>1</v>
      </c>
      <c r="AK10" s="276" t="n">
        <f aca="false">IF(AK6&lt;=③기타_가정!$E$16,1,0)</f>
        <v>1</v>
      </c>
      <c r="AL10" s="276" t="n">
        <f aca="false">IF(AL6&lt;=③기타_가정!$E$16,1,0)</f>
        <v>1</v>
      </c>
      <c r="AM10" s="276" t="n">
        <f aca="false">IF(AM6&lt;=③기타_가정!$E$16,1,0)</f>
        <v>1</v>
      </c>
      <c r="AN10" s="276" t="n">
        <f aca="false">IF(AN6&lt;=③기타_가정!$E$16,1,0)</f>
        <v>1</v>
      </c>
      <c r="AO10" s="276" t="n">
        <f aca="false">IF(AO6&lt;=③기타_가정!$E$16,1,0)</f>
        <v>1</v>
      </c>
      <c r="AP10" s="276" t="n">
        <f aca="false">IF(AP6&lt;=③기타_가정!$E$16,1,0)</f>
        <v>1</v>
      </c>
      <c r="AQ10" s="276" t="n">
        <f aca="false">IF(AQ6&lt;=③기타_가정!$E$16,1,0)</f>
        <v>1</v>
      </c>
      <c r="AR10" s="276" t="n">
        <f aca="false">IF(AR6&lt;=③기타_가정!$E$16,1,0)</f>
        <v>1</v>
      </c>
      <c r="AS10" s="276" t="n">
        <f aca="false">IF(AS6&lt;=③기타_가정!$E$16,1,0)</f>
        <v>1</v>
      </c>
      <c r="AT10" s="276" t="n">
        <f aca="false">IF(AT6&lt;=③기타_가정!$E$16,1,0)</f>
        <v>1</v>
      </c>
      <c r="AU10" s="276" t="n">
        <f aca="false">IF(AU6&lt;=③기타_가정!$E$16,1,0)</f>
        <v>1</v>
      </c>
      <c r="AV10" s="276" t="n">
        <f aca="false">IF(AV6&lt;=③기타_가정!$E$16,1,0)</f>
        <v>1</v>
      </c>
      <c r="AW10" s="276" t="n">
        <f aca="false">IF(AW6&lt;=③기타_가정!$E$16,1,0)</f>
        <v>1</v>
      </c>
      <c r="AX10" s="276" t="n">
        <f aca="false">IF(AX6&lt;=③기타_가정!$E$16,1,0)</f>
        <v>1</v>
      </c>
      <c r="AY10" s="276" t="n">
        <f aca="false">IF(AY6&lt;=③기타_가정!$E$16,1,0)</f>
        <v>1</v>
      </c>
      <c r="AZ10" s="276" t="n">
        <f aca="false">IF(AZ6&lt;=③기타_가정!$E$16,1,0)</f>
        <v>1</v>
      </c>
      <c r="BA10" s="276" t="n">
        <f aca="false">IF(BA6&lt;=③기타_가정!$E$16,1,0)</f>
        <v>1</v>
      </c>
      <c r="BB10" s="276" t="n">
        <f aca="false">IF(BB6&lt;=③기타_가정!$E$16,1,0)</f>
        <v>1</v>
      </c>
      <c r="BC10" s="276" t="n">
        <f aca="false">IF(BC6&lt;=③기타_가정!$E$16,1,0)</f>
        <v>1</v>
      </c>
      <c r="BD10" s="276" t="n">
        <f aca="false">IF(BD6&lt;=③기타_가정!$E$16,1,0)</f>
        <v>1</v>
      </c>
      <c r="BE10" s="276" t="n">
        <f aca="false">IF(BE6&lt;=③기타_가정!$E$16,1,0)</f>
        <v>1</v>
      </c>
      <c r="BF10" s="276" t="n">
        <f aca="false">IF(BF6&lt;=③기타_가정!$E$16,1,0)</f>
        <v>1</v>
      </c>
      <c r="BG10" s="276" t="n">
        <f aca="false">IF(BG6&lt;=③기타_가정!$E$16,1,0)</f>
        <v>1</v>
      </c>
      <c r="BH10" s="276" t="n">
        <f aca="false">IF(BH6&lt;=③기타_가정!$E$16,1,0)</f>
        <v>1</v>
      </c>
      <c r="BI10" s="276" t="n">
        <f aca="false">IF(BI6&lt;=③기타_가정!$E$16,1,0)</f>
        <v>1</v>
      </c>
      <c r="BJ10" s="276" t="n">
        <f aca="false">IF(BJ6&lt;=③기타_가정!$E$16,1,0)</f>
        <v>1</v>
      </c>
      <c r="BK10" s="276" t="n">
        <f aca="false">IF(BK6&lt;=③기타_가정!$E$16,1,0)</f>
        <v>1</v>
      </c>
      <c r="BL10" s="276" t="n">
        <f aca="false">IF(BL6&lt;=③기타_가정!$E$16,1,0)</f>
        <v>1</v>
      </c>
      <c r="BM10" s="276" t="n">
        <f aca="false">IF(BM6&lt;=③기타_가정!$E$16,1,0)</f>
        <v>0</v>
      </c>
      <c r="BN10" s="276" t="n">
        <f aca="false">IF(BN6&lt;=③기타_가정!$E$16,1,0)</f>
        <v>0</v>
      </c>
      <c r="BO10" s="276" t="n">
        <f aca="false">IF(BO6&lt;=③기타_가정!$E$16,1,0)</f>
        <v>0</v>
      </c>
      <c r="BP10" s="276" t="n">
        <f aca="false">IF(BP6&lt;=③기타_가정!$E$16,1,0)</f>
        <v>0</v>
      </c>
      <c r="BQ10" s="276" t="n">
        <f aca="false">IF(BQ6&lt;=③기타_가정!$E$16,1,0)</f>
        <v>0</v>
      </c>
      <c r="BR10" s="276" t="n">
        <f aca="false">IF(BR6&lt;=③기타_가정!$E$16,1,0)</f>
        <v>0</v>
      </c>
      <c r="BS10" s="276" t="n">
        <f aca="false">IF(BS6&lt;=③기타_가정!$E$16,1,0)</f>
        <v>0</v>
      </c>
      <c r="BT10" s="276" t="n">
        <f aca="false">IF(BT6&lt;=③기타_가정!$E$16,1,0)</f>
        <v>0</v>
      </c>
      <c r="BU10" s="276" t="n">
        <f aca="false">IF(BU6&lt;=③기타_가정!$E$16,1,0)</f>
        <v>0</v>
      </c>
      <c r="BV10" s="276" t="n">
        <f aca="false">IF(BV6&lt;=③기타_가정!$E$16,1,0)</f>
        <v>0</v>
      </c>
      <c r="BW10" s="276" t="n">
        <f aca="false">IF(BW6&lt;=③기타_가정!$E$16,1,0)</f>
        <v>0</v>
      </c>
      <c r="BX10" s="276" t="n">
        <f aca="false">IF(BX6&lt;=③기타_가정!$E$16,1,0)</f>
        <v>0</v>
      </c>
      <c r="BY10" s="276" t="n">
        <f aca="false">IF(BY6&lt;=③기타_가정!$E$16,1,0)</f>
        <v>0</v>
      </c>
      <c r="BZ10" s="276" t="n">
        <f aca="false">IF(BZ6&lt;=③기타_가정!$E$16,1,0)</f>
        <v>0</v>
      </c>
      <c r="CA10" s="276" t="n">
        <f aca="false">IF(CA6&lt;=③기타_가정!$E$16,1,0)</f>
        <v>0</v>
      </c>
      <c r="CB10" s="276" t="n">
        <f aca="false">IF(CB6&lt;=③기타_가정!$E$16,1,0)</f>
        <v>0</v>
      </c>
      <c r="CC10" s="276" t="n">
        <f aca="false">IF(CC6&lt;=③기타_가정!$E$16,1,0)</f>
        <v>0</v>
      </c>
      <c r="CD10" s="276" t="n">
        <f aca="false">IF(CD6&lt;=③기타_가정!$E$16,1,0)</f>
        <v>0</v>
      </c>
      <c r="CE10" s="276" t="n">
        <f aca="false">IF(CE6&lt;=③기타_가정!$E$16,1,0)</f>
        <v>0</v>
      </c>
      <c r="CF10" s="276" t="n">
        <f aca="false">IF(CF6&lt;=③기타_가정!$E$16,1,0)</f>
        <v>0</v>
      </c>
      <c r="CG10" s="276" t="n">
        <f aca="false">IF(CG6&lt;=③기타_가정!$E$16,1,0)</f>
        <v>0</v>
      </c>
      <c r="CH10" s="276" t="n">
        <f aca="false">IF(CH6&lt;=③기타_가정!$E$16,1,0)</f>
        <v>0</v>
      </c>
      <c r="CI10" s="276" t="n">
        <f aca="false">IF(CI6&lt;=③기타_가정!$E$16,1,0)</f>
        <v>0</v>
      </c>
      <c r="CJ10" s="276" t="n">
        <f aca="false">IF(CJ6&lt;=③기타_가정!$E$16,1,0)</f>
        <v>0</v>
      </c>
      <c r="CK10" s="276" t="n">
        <f aca="false">IF(CK6&lt;=③기타_가정!$E$16,1,0)</f>
        <v>0</v>
      </c>
      <c r="CL10" s="276" t="n">
        <f aca="false">IF(CL6&lt;=③기타_가정!$E$16,1,0)</f>
        <v>0</v>
      </c>
      <c r="CM10" s="276" t="n">
        <f aca="false">IF(CM6&lt;=③기타_가정!$E$16,1,0)</f>
        <v>0</v>
      </c>
      <c r="CN10" s="276" t="n">
        <f aca="false">IF(CN6&lt;=③기타_가정!$E$16,1,0)</f>
        <v>0</v>
      </c>
      <c r="CO10" s="276" t="n">
        <f aca="false">IF(CO6&lt;=③기타_가정!$E$16,1,0)</f>
        <v>0</v>
      </c>
      <c r="CP10" s="276" t="n">
        <f aca="false">IF(CP6&lt;=③기타_가정!$E$16,1,0)</f>
        <v>0</v>
      </c>
      <c r="CQ10" s="276" t="n">
        <f aca="false">IF(CQ6&lt;=③기타_가정!$E$16,1,0)</f>
        <v>0</v>
      </c>
      <c r="CR10" s="276" t="n">
        <f aca="false">IF(CR6&lt;=③기타_가정!$E$16,1,0)</f>
        <v>0</v>
      </c>
      <c r="CS10" s="276" t="n">
        <f aca="false">IF(CS6&lt;=③기타_가정!$E$16,1,0)</f>
        <v>0</v>
      </c>
      <c r="CT10" s="276" t="n">
        <f aca="false">IF(CT6&lt;=③기타_가정!$E$16,1,0)</f>
        <v>0</v>
      </c>
      <c r="CU10" s="276" t="n">
        <f aca="false">IF(CU6&lt;=③기타_가정!$E$16,1,0)</f>
        <v>0</v>
      </c>
      <c r="CV10" s="276" t="n">
        <f aca="false">IF(CV6&lt;=③기타_가정!$E$16,1,0)</f>
        <v>0</v>
      </c>
      <c r="CW10" s="276" t="n">
        <f aca="false">IF(CW6&lt;=③기타_가정!$E$16,1,0)</f>
        <v>0</v>
      </c>
      <c r="CX10" s="276" t="n">
        <f aca="false">IF(CX6&lt;=③기타_가정!$E$16,1,0)</f>
        <v>0</v>
      </c>
      <c r="CY10" s="276" t="n">
        <f aca="false">IF(CY6&lt;=③기타_가정!$E$16,1,0)</f>
        <v>0</v>
      </c>
      <c r="CZ10" s="276" t="n">
        <f aca="false">IF(CZ6&lt;=③기타_가정!$E$16,1,0)</f>
        <v>0</v>
      </c>
      <c r="DA10" s="276" t="n">
        <f aca="false">IF(DA6&lt;=③기타_가정!$E$16,1,0)</f>
        <v>0</v>
      </c>
      <c r="DB10" s="276" t="n">
        <f aca="false">IF(DB6&lt;=③기타_가정!$E$16,1,0)</f>
        <v>0</v>
      </c>
      <c r="DC10" s="276" t="n">
        <f aca="false">IF(DC6&lt;=③기타_가정!$E$16,1,0)</f>
        <v>0</v>
      </c>
      <c r="DD10" s="276" t="n">
        <f aca="false">IF(DD6&lt;=③기타_가정!$E$16,1,0)</f>
        <v>0</v>
      </c>
      <c r="DE10" s="276" t="n">
        <f aca="false">IF(DE6&lt;=③기타_가정!$E$16,1,0)</f>
        <v>0</v>
      </c>
      <c r="DF10" s="276" t="n">
        <f aca="false">IF(DF6&lt;=③기타_가정!$E$16,1,0)</f>
        <v>0</v>
      </c>
      <c r="DG10" s="276" t="n">
        <f aca="false">IF(DG6&lt;=③기타_가정!$E$16,1,0)</f>
        <v>0</v>
      </c>
      <c r="DH10" s="276" t="n">
        <f aca="false">IF(DH6&lt;=③기타_가정!$E$16,1,0)</f>
        <v>0</v>
      </c>
      <c r="DI10" s="276" t="n">
        <f aca="false">IF(DI6&lt;=③기타_가정!$E$16,1,0)</f>
        <v>0</v>
      </c>
      <c r="DJ10" s="276" t="n">
        <f aca="false">IF(DJ6&lt;=③기타_가정!$E$16,1,0)</f>
        <v>0</v>
      </c>
      <c r="DK10" s="276" t="n">
        <f aca="false">IF(DK6&lt;=③기타_가정!$E$16,1,0)</f>
        <v>0</v>
      </c>
      <c r="DL10" s="276" t="n">
        <f aca="false">IF(DL6&lt;=③기타_가정!$E$16,1,0)</f>
        <v>0</v>
      </c>
      <c r="DM10" s="276" t="n">
        <f aca="false">IF(DM6&lt;=③기타_가정!$E$16,1,0)</f>
        <v>0</v>
      </c>
      <c r="DN10" s="276" t="n">
        <f aca="false">IF(DN6&lt;=③기타_가정!$E$16,1,0)</f>
        <v>0</v>
      </c>
      <c r="DO10" s="276" t="n">
        <f aca="false">IF(DO6&lt;=③기타_가정!$E$16,1,0)</f>
        <v>0</v>
      </c>
      <c r="DP10" s="276" t="n">
        <f aca="false">IF(DP6&lt;=③기타_가정!$E$16,1,0)</f>
        <v>0</v>
      </c>
      <c r="DQ10" s="276" t="n">
        <f aca="false">IF(DQ6&lt;=③기타_가정!$E$16,1,0)</f>
        <v>0</v>
      </c>
      <c r="DR10" s="276" t="n">
        <f aca="false">IF(DR6&lt;=③기타_가정!$E$16,1,0)</f>
        <v>0</v>
      </c>
      <c r="DS10" s="276" t="n">
        <f aca="false">IF(DS6&lt;=③기타_가정!$E$16,1,0)</f>
        <v>0</v>
      </c>
      <c r="DT10" s="276" t="n">
        <f aca="false">IF(DT6&lt;=③기타_가정!$E$16,1,0)</f>
        <v>0</v>
      </c>
      <c r="DU10" s="276" t="n">
        <f aca="false">IF(DU6&lt;=③기타_가정!$E$16,1,0)</f>
        <v>0</v>
      </c>
      <c r="DV10" s="276" t="n">
        <f aca="false">IF(DV6&lt;=③기타_가정!$E$16,1,0)</f>
        <v>0</v>
      </c>
      <c r="DW10" s="276" t="n">
        <f aca="false">IF(DW6&lt;=③기타_가정!$E$16,1,0)</f>
        <v>0</v>
      </c>
      <c r="DX10" s="276" t="n">
        <f aca="false">IF(DX6&lt;=③기타_가정!$E$16,1,0)</f>
        <v>0</v>
      </c>
      <c r="DY10" s="276" t="n">
        <f aca="false">IF(DY6&lt;=③기타_가정!$E$16,1,0)</f>
        <v>0</v>
      </c>
      <c r="DZ10" s="276" t="n">
        <f aca="false">IF(DZ6&lt;=③기타_가정!$E$16,1,0)</f>
        <v>0</v>
      </c>
      <c r="EA10" s="276" t="n">
        <f aca="false">IF(EA6&lt;=③기타_가정!$E$16,1,0)</f>
        <v>0</v>
      </c>
      <c r="EB10" s="276" t="n">
        <f aca="false">IF(EB6&lt;=③기타_가정!$E$16,1,0)</f>
        <v>0</v>
      </c>
      <c r="EC10" s="276" t="n">
        <f aca="false">IF(EC6&lt;=③기타_가정!$E$16,1,0)</f>
        <v>0</v>
      </c>
      <c r="ED10" s="276" t="n">
        <f aca="false">IF(ED6&lt;=③기타_가정!$E$16,1,0)</f>
        <v>0</v>
      </c>
      <c r="EE10" s="276" t="n">
        <f aca="false">IF(EE6&lt;=③기타_가정!$E$16,1,0)</f>
        <v>0</v>
      </c>
      <c r="EF10" s="276" t="n">
        <f aca="false">IF(EF6&lt;=③기타_가정!$E$16,1,0)</f>
        <v>0</v>
      </c>
    </row>
    <row r="11" customFormat="false" ht="15" hidden="false" customHeight="false" outlineLevel="0" collapsed="false">
      <c r="A11" s="36" t="s">
        <v>567</v>
      </c>
      <c r="B11" s="273"/>
      <c r="E11" s="276" t="n">
        <f aca="false">IF(AND(E6&gt;=③기타_가정!$E$14,E6&lt;=③기타_가정!$E$16),1,0)</f>
        <v>0</v>
      </c>
      <c r="F11" s="276" t="n">
        <f aca="false">IF(AND(F6&gt;=③기타_가정!$E$14,F6&lt;=③기타_가정!$E$16),1,0)</f>
        <v>0</v>
      </c>
      <c r="G11" s="276" t="n">
        <f aca="false">IF(AND(G6&gt;=③기타_가정!$E$14,G6&lt;=③기타_가정!$E$16),1,0)</f>
        <v>0</v>
      </c>
      <c r="H11" s="276" t="n">
        <f aca="false">IF(AND(H6&gt;=③기타_가정!$E$14,H6&lt;=③기타_가정!$E$16),1,0)</f>
        <v>0</v>
      </c>
      <c r="I11" s="276" t="n">
        <f aca="false">IF(AND(I6&gt;=③기타_가정!$E$14,I6&lt;=③기타_가정!$E$16),1,0)</f>
        <v>0</v>
      </c>
      <c r="J11" s="276" t="n">
        <f aca="false">IF(AND(J6&gt;=③기타_가정!$E$14,J6&lt;=③기타_가정!$E$16),1,0)</f>
        <v>0</v>
      </c>
      <c r="K11" s="276" t="n">
        <f aca="false">IF(AND(K6&gt;=③기타_가정!$E$14,K6&lt;=③기타_가정!$E$16),1,0)</f>
        <v>0</v>
      </c>
      <c r="L11" s="276" t="n">
        <f aca="false">IF(AND(L6&gt;=③기타_가정!$E$14,L6&lt;=③기타_가정!$E$16),1,0)</f>
        <v>0</v>
      </c>
      <c r="M11" s="276" t="n">
        <f aca="false">IF(AND(M6&gt;=③기타_가정!$E$14,M6&lt;=③기타_가정!$E$16),1,0)</f>
        <v>0</v>
      </c>
      <c r="N11" s="276" t="n">
        <f aca="false">IF(AND(N6&gt;=③기타_가정!$E$14,N6&lt;=③기타_가정!$E$16),1,0)</f>
        <v>0</v>
      </c>
      <c r="O11" s="276" t="n">
        <f aca="false">IF(AND(O6&gt;=③기타_가정!$E$14,O6&lt;=③기타_가정!$E$16),1,0)</f>
        <v>0</v>
      </c>
      <c r="P11" s="276" t="n">
        <f aca="false">IF(AND(P6&gt;=③기타_가정!$E$14,P6&lt;=③기타_가정!$E$16),1,0)</f>
        <v>0</v>
      </c>
      <c r="Q11" s="276" t="n">
        <f aca="false">IF(AND(Q6&gt;=③기타_가정!$E$14,Q6&lt;=③기타_가정!$E$16),1,0)</f>
        <v>0</v>
      </c>
      <c r="R11" s="276" t="n">
        <f aca="false">IF(AND(R6&gt;=③기타_가정!$E$14,R6&lt;=③기타_가정!$E$16),1,0)</f>
        <v>0</v>
      </c>
      <c r="S11" s="276" t="n">
        <f aca="false">IF(AND(S6&gt;=③기타_가정!$E$14,S6&lt;=③기타_가정!$E$16),1,0)</f>
        <v>0</v>
      </c>
      <c r="T11" s="276" t="n">
        <f aca="false">IF(AND(T6&gt;=③기타_가정!$E$14,T6&lt;=③기타_가정!$E$16),1,0)</f>
        <v>0</v>
      </c>
      <c r="U11" s="276" t="n">
        <f aca="false">IF(AND(U6&gt;=③기타_가정!$E$14,U6&lt;=③기타_가정!$E$16),1,0)</f>
        <v>0</v>
      </c>
      <c r="V11" s="276" t="n">
        <f aca="false">IF(AND(V6&gt;=③기타_가정!$E$14,V6&lt;=③기타_가정!$E$16),1,0)</f>
        <v>0</v>
      </c>
      <c r="W11" s="276" t="n">
        <f aca="false">IF(AND(W6&gt;=③기타_가정!$E$14,W6&lt;=③기타_가정!$E$16),1,0)</f>
        <v>1</v>
      </c>
      <c r="X11" s="276" t="n">
        <f aca="false">IF(AND(X6&gt;=③기타_가정!$E$14,X6&lt;=③기타_가정!$E$16),1,0)</f>
        <v>1</v>
      </c>
      <c r="Y11" s="276" t="n">
        <f aca="false">IF(AND(Y6&gt;=③기타_가정!$E$14,Y6&lt;=③기타_가정!$E$16),1,0)</f>
        <v>1</v>
      </c>
      <c r="Z11" s="276" t="n">
        <f aca="false">IF(AND(Z6&gt;=③기타_가정!$E$14,Z6&lt;=③기타_가정!$E$16),1,0)</f>
        <v>1</v>
      </c>
      <c r="AA11" s="276" t="n">
        <f aca="false">IF(AND(AA6&gt;=③기타_가정!$E$14,AA6&lt;=③기타_가정!$E$16),1,0)</f>
        <v>1</v>
      </c>
      <c r="AB11" s="276" t="n">
        <f aca="false">IF(AND(AB6&gt;=③기타_가정!$E$14,AB6&lt;=③기타_가정!$E$16),1,0)</f>
        <v>1</v>
      </c>
      <c r="AC11" s="276" t="n">
        <f aca="false">IF(AND(AC6&gt;=③기타_가정!$E$14,AC6&lt;=③기타_가정!$E$16),1,0)</f>
        <v>1</v>
      </c>
      <c r="AD11" s="276" t="n">
        <f aca="false">IF(AND(AD6&gt;=③기타_가정!$E$14,AD6&lt;=③기타_가정!$E$16),1,0)</f>
        <v>1</v>
      </c>
      <c r="AE11" s="276" t="n">
        <f aca="false">IF(AND(AE6&gt;=③기타_가정!$E$14,AE6&lt;=③기타_가정!$E$16),1,0)</f>
        <v>1</v>
      </c>
      <c r="AF11" s="276" t="n">
        <f aca="false">IF(AND(AF6&gt;=③기타_가정!$E$14,AF6&lt;=③기타_가정!$E$16),1,0)</f>
        <v>1</v>
      </c>
      <c r="AG11" s="276" t="n">
        <f aca="false">IF(AND(AG6&gt;=③기타_가정!$E$14,AG6&lt;=③기타_가정!$E$16),1,0)</f>
        <v>1</v>
      </c>
      <c r="AH11" s="276" t="n">
        <f aca="false">IF(AND(AH6&gt;=③기타_가정!$E$14,AH6&lt;=③기타_가정!$E$16),1,0)</f>
        <v>1</v>
      </c>
      <c r="AI11" s="276" t="n">
        <f aca="false">IF(AND(AI6&gt;=③기타_가정!$E$14,AI6&lt;=③기타_가정!$E$16),1,0)</f>
        <v>1</v>
      </c>
      <c r="AJ11" s="276" t="n">
        <f aca="false">IF(AND(AJ6&gt;=③기타_가정!$E$14,AJ6&lt;=③기타_가정!$E$16),1,0)</f>
        <v>1</v>
      </c>
      <c r="AK11" s="276" t="n">
        <f aca="false">IF(AND(AK6&gt;=③기타_가정!$E$14,AK6&lt;=③기타_가정!$E$16),1,0)</f>
        <v>1</v>
      </c>
      <c r="AL11" s="276" t="n">
        <f aca="false">IF(AND(AL6&gt;=③기타_가정!$E$14,AL6&lt;=③기타_가정!$E$16),1,0)</f>
        <v>1</v>
      </c>
      <c r="AM11" s="276" t="n">
        <f aca="false">IF(AND(AM6&gt;=③기타_가정!$E$14,AM6&lt;=③기타_가정!$E$16),1,0)</f>
        <v>1</v>
      </c>
      <c r="AN11" s="276" t="n">
        <f aca="false">IF(AND(AN6&gt;=③기타_가정!$E$14,AN6&lt;=③기타_가정!$E$16),1,0)</f>
        <v>1</v>
      </c>
      <c r="AO11" s="276" t="n">
        <f aca="false">IF(AND(AO6&gt;=③기타_가정!$E$14,AO6&lt;=③기타_가정!$E$16),1,0)</f>
        <v>1</v>
      </c>
      <c r="AP11" s="276" t="n">
        <f aca="false">IF(AND(AP6&gt;=③기타_가정!$E$14,AP6&lt;=③기타_가정!$E$16),1,0)</f>
        <v>1</v>
      </c>
      <c r="AQ11" s="276" t="n">
        <f aca="false">IF(AND(AQ6&gt;=③기타_가정!$E$14,AQ6&lt;=③기타_가정!$E$16),1,0)</f>
        <v>1</v>
      </c>
      <c r="AR11" s="276" t="n">
        <f aca="false">IF(AND(AR6&gt;=③기타_가정!$E$14,AR6&lt;=③기타_가정!$E$16),1,0)</f>
        <v>1</v>
      </c>
      <c r="AS11" s="276" t="n">
        <f aca="false">IF(AND(AS6&gt;=③기타_가정!$E$14,AS6&lt;=③기타_가정!$E$16),1,0)</f>
        <v>1</v>
      </c>
      <c r="AT11" s="276" t="n">
        <f aca="false">IF(AND(AT6&gt;=③기타_가정!$E$14,AT6&lt;=③기타_가정!$E$16),1,0)</f>
        <v>1</v>
      </c>
      <c r="AU11" s="276" t="n">
        <f aca="false">IF(AND(AU6&gt;=③기타_가정!$E$14,AU6&lt;=③기타_가정!$E$16),1,0)</f>
        <v>1</v>
      </c>
      <c r="AV11" s="276" t="n">
        <f aca="false">IF(AND(AV6&gt;=③기타_가정!$E$14,AV6&lt;=③기타_가정!$E$16),1,0)</f>
        <v>1</v>
      </c>
      <c r="AW11" s="276" t="n">
        <f aca="false">IF(AND(AW6&gt;=③기타_가정!$E$14,AW6&lt;=③기타_가정!$E$16),1,0)</f>
        <v>1</v>
      </c>
      <c r="AX11" s="276" t="n">
        <f aca="false">IF(AND(AX6&gt;=③기타_가정!$E$14,AX6&lt;=③기타_가정!$E$16),1,0)</f>
        <v>1</v>
      </c>
      <c r="AY11" s="276" t="n">
        <f aca="false">IF(AND(AY6&gt;=③기타_가정!$E$14,AY6&lt;=③기타_가정!$E$16),1,0)</f>
        <v>1</v>
      </c>
      <c r="AZ11" s="276" t="n">
        <f aca="false">IF(AND(AZ6&gt;=③기타_가정!$E$14,AZ6&lt;=③기타_가정!$E$16),1,0)</f>
        <v>1</v>
      </c>
      <c r="BA11" s="276" t="n">
        <f aca="false">IF(AND(BA6&gt;=③기타_가정!$E$14,BA6&lt;=③기타_가정!$E$16),1,0)</f>
        <v>1</v>
      </c>
      <c r="BB11" s="276" t="n">
        <f aca="false">IF(AND(BB6&gt;=③기타_가정!$E$14,BB6&lt;=③기타_가정!$E$16),1,0)</f>
        <v>1</v>
      </c>
      <c r="BC11" s="276" t="n">
        <f aca="false">IF(AND(BC6&gt;=③기타_가정!$E$14,BC6&lt;=③기타_가정!$E$16),1,0)</f>
        <v>1</v>
      </c>
      <c r="BD11" s="276" t="n">
        <f aca="false">IF(AND(BD6&gt;=③기타_가정!$E$14,BD6&lt;=③기타_가정!$E$16),1,0)</f>
        <v>1</v>
      </c>
      <c r="BE11" s="276" t="n">
        <f aca="false">IF(AND(BE6&gt;=③기타_가정!$E$14,BE6&lt;=③기타_가정!$E$16),1,0)</f>
        <v>1</v>
      </c>
      <c r="BF11" s="276" t="n">
        <f aca="false">IF(AND(BF6&gt;=③기타_가정!$E$14,BF6&lt;=③기타_가정!$E$16),1,0)</f>
        <v>1</v>
      </c>
      <c r="BG11" s="276" t="n">
        <f aca="false">IF(AND(BG6&gt;=③기타_가정!$E$14,BG6&lt;=③기타_가정!$E$16),1,0)</f>
        <v>1</v>
      </c>
      <c r="BH11" s="276" t="n">
        <f aca="false">IF(AND(BH6&gt;=③기타_가정!$E$14,BH6&lt;=③기타_가정!$E$16),1,0)</f>
        <v>1</v>
      </c>
      <c r="BI11" s="276" t="n">
        <f aca="false">IF(AND(BI6&gt;=③기타_가정!$E$14,BI6&lt;=③기타_가정!$E$16),1,0)</f>
        <v>1</v>
      </c>
      <c r="BJ11" s="276" t="n">
        <f aca="false">IF(AND(BJ6&gt;=③기타_가정!$E$14,BJ6&lt;=③기타_가정!$E$16),1,0)</f>
        <v>1</v>
      </c>
      <c r="BK11" s="276" t="n">
        <f aca="false">IF(AND(BK6&gt;=③기타_가정!$E$14,BK6&lt;=③기타_가정!$E$16),1,0)</f>
        <v>1</v>
      </c>
      <c r="BL11" s="276" t="n">
        <f aca="false">IF(AND(BL6&gt;=③기타_가정!$E$14,BL6&lt;=③기타_가정!$E$16),1,0)</f>
        <v>1</v>
      </c>
      <c r="BM11" s="276" t="n">
        <f aca="false">IF(AND(BM6&gt;=③기타_가정!$E$14,BM6&lt;=③기타_가정!$E$16),1,0)</f>
        <v>0</v>
      </c>
      <c r="BN11" s="276" t="n">
        <f aca="false">IF(AND(BN6&gt;=③기타_가정!$E$14,BN6&lt;=③기타_가정!$E$16),1,0)</f>
        <v>0</v>
      </c>
      <c r="BO11" s="276" t="n">
        <f aca="false">IF(AND(BO6&gt;=③기타_가정!$E$14,BO6&lt;=③기타_가정!$E$16),1,0)</f>
        <v>0</v>
      </c>
      <c r="BP11" s="276" t="n">
        <f aca="false">IF(AND(BP6&gt;=③기타_가정!$E$14,BP6&lt;=③기타_가정!$E$16),1,0)</f>
        <v>0</v>
      </c>
      <c r="BQ11" s="276" t="n">
        <f aca="false">IF(AND(BQ6&gt;=③기타_가정!$E$14,BQ6&lt;=③기타_가정!$E$16),1,0)</f>
        <v>0</v>
      </c>
      <c r="BR11" s="276" t="n">
        <f aca="false">IF(AND(BR6&gt;=③기타_가정!$E$14,BR6&lt;=③기타_가정!$E$16),1,0)</f>
        <v>0</v>
      </c>
      <c r="BS11" s="276" t="n">
        <f aca="false">IF(AND(BS6&gt;=③기타_가정!$E$14,BS6&lt;=③기타_가정!$E$16),1,0)</f>
        <v>0</v>
      </c>
      <c r="BT11" s="276" t="n">
        <f aca="false">IF(AND(BT6&gt;=③기타_가정!$E$14,BT6&lt;=③기타_가정!$E$16),1,0)</f>
        <v>0</v>
      </c>
      <c r="BU11" s="276" t="n">
        <f aca="false">IF(AND(BU6&gt;=③기타_가정!$E$14,BU6&lt;=③기타_가정!$E$16),1,0)</f>
        <v>0</v>
      </c>
      <c r="BV11" s="276" t="n">
        <f aca="false">IF(AND(BV6&gt;=③기타_가정!$E$14,BV6&lt;=③기타_가정!$E$16),1,0)</f>
        <v>0</v>
      </c>
      <c r="BW11" s="276" t="n">
        <f aca="false">IF(AND(BW6&gt;=③기타_가정!$E$14,BW6&lt;=③기타_가정!$E$16),1,0)</f>
        <v>0</v>
      </c>
      <c r="BX11" s="276" t="n">
        <f aca="false">IF(AND(BX6&gt;=③기타_가정!$E$14,BX6&lt;=③기타_가정!$E$16),1,0)</f>
        <v>0</v>
      </c>
      <c r="BY11" s="276" t="n">
        <f aca="false">IF(AND(BY6&gt;=③기타_가정!$E$14,BY6&lt;=③기타_가정!$E$16),1,0)</f>
        <v>0</v>
      </c>
      <c r="BZ11" s="276" t="n">
        <f aca="false">IF(AND(BZ6&gt;=③기타_가정!$E$14,BZ6&lt;=③기타_가정!$E$16),1,0)</f>
        <v>0</v>
      </c>
      <c r="CA11" s="276" t="n">
        <f aca="false">IF(AND(CA6&gt;=③기타_가정!$E$14,CA6&lt;=③기타_가정!$E$16),1,0)</f>
        <v>0</v>
      </c>
      <c r="CB11" s="276" t="n">
        <f aca="false">IF(AND(CB6&gt;=③기타_가정!$E$14,CB6&lt;=③기타_가정!$E$16),1,0)</f>
        <v>0</v>
      </c>
      <c r="CC11" s="276" t="n">
        <f aca="false">IF(AND(CC6&gt;=③기타_가정!$E$14,CC6&lt;=③기타_가정!$E$16),1,0)</f>
        <v>0</v>
      </c>
      <c r="CD11" s="276" t="n">
        <f aca="false">IF(AND(CD6&gt;=③기타_가정!$E$14,CD6&lt;=③기타_가정!$E$16),1,0)</f>
        <v>0</v>
      </c>
      <c r="CE11" s="276" t="n">
        <f aca="false">IF(AND(CE6&gt;=③기타_가정!$E$14,CE6&lt;=③기타_가정!$E$16),1,0)</f>
        <v>0</v>
      </c>
      <c r="CF11" s="276" t="n">
        <f aca="false">IF(AND(CF6&gt;=③기타_가정!$E$14,CF6&lt;=③기타_가정!$E$16),1,0)</f>
        <v>0</v>
      </c>
      <c r="CG11" s="276" t="n">
        <f aca="false">IF(AND(CG6&gt;=③기타_가정!$E$14,CG6&lt;=③기타_가정!$E$16),1,0)</f>
        <v>0</v>
      </c>
      <c r="CH11" s="276" t="n">
        <f aca="false">IF(AND(CH6&gt;=③기타_가정!$E$14,CH6&lt;=③기타_가정!$E$16),1,0)</f>
        <v>0</v>
      </c>
      <c r="CI11" s="276" t="n">
        <f aca="false">IF(AND(CI6&gt;=③기타_가정!$E$14,CI6&lt;=③기타_가정!$E$16),1,0)</f>
        <v>0</v>
      </c>
      <c r="CJ11" s="276" t="n">
        <f aca="false">IF(AND(CJ6&gt;=③기타_가정!$E$14,CJ6&lt;=③기타_가정!$E$16),1,0)</f>
        <v>0</v>
      </c>
      <c r="CK11" s="276" t="n">
        <f aca="false">IF(AND(CK6&gt;=③기타_가정!$E$14,CK6&lt;=③기타_가정!$E$16),1,0)</f>
        <v>0</v>
      </c>
      <c r="CL11" s="276" t="n">
        <f aca="false">IF(AND(CL6&gt;=③기타_가정!$E$14,CL6&lt;=③기타_가정!$E$16),1,0)</f>
        <v>0</v>
      </c>
      <c r="CM11" s="276" t="n">
        <f aca="false">IF(AND(CM6&gt;=③기타_가정!$E$14,CM6&lt;=③기타_가정!$E$16),1,0)</f>
        <v>0</v>
      </c>
      <c r="CN11" s="276" t="n">
        <f aca="false">IF(AND(CN6&gt;=③기타_가정!$E$14,CN6&lt;=③기타_가정!$E$16),1,0)</f>
        <v>0</v>
      </c>
      <c r="CO11" s="276" t="n">
        <f aca="false">IF(AND(CO6&gt;=③기타_가정!$E$14,CO6&lt;=③기타_가정!$E$16),1,0)</f>
        <v>0</v>
      </c>
      <c r="CP11" s="276" t="n">
        <f aca="false">IF(AND(CP6&gt;=③기타_가정!$E$14,CP6&lt;=③기타_가정!$E$16),1,0)</f>
        <v>0</v>
      </c>
      <c r="CQ11" s="276" t="n">
        <f aca="false">IF(AND(CQ6&gt;=③기타_가정!$E$14,CQ6&lt;=③기타_가정!$E$16),1,0)</f>
        <v>0</v>
      </c>
      <c r="CR11" s="276" t="n">
        <f aca="false">IF(AND(CR6&gt;=③기타_가정!$E$14,CR6&lt;=③기타_가정!$E$16),1,0)</f>
        <v>0</v>
      </c>
      <c r="CS11" s="276" t="n">
        <f aca="false">IF(AND(CS6&gt;=③기타_가정!$E$14,CS6&lt;=③기타_가정!$E$16),1,0)</f>
        <v>0</v>
      </c>
      <c r="CT11" s="276" t="n">
        <f aca="false">IF(AND(CT6&gt;=③기타_가정!$E$14,CT6&lt;=③기타_가정!$E$16),1,0)</f>
        <v>0</v>
      </c>
      <c r="CU11" s="276" t="n">
        <f aca="false">IF(AND(CU6&gt;=③기타_가정!$E$14,CU6&lt;=③기타_가정!$E$16),1,0)</f>
        <v>0</v>
      </c>
      <c r="CV11" s="276" t="n">
        <f aca="false">IF(AND(CV6&gt;=③기타_가정!$E$14,CV6&lt;=③기타_가정!$E$16),1,0)</f>
        <v>0</v>
      </c>
      <c r="CW11" s="276" t="n">
        <f aca="false">IF(AND(CW6&gt;=③기타_가정!$E$14,CW6&lt;=③기타_가정!$E$16),1,0)</f>
        <v>0</v>
      </c>
      <c r="CX11" s="276" t="n">
        <f aca="false">IF(AND(CX6&gt;=③기타_가정!$E$14,CX6&lt;=③기타_가정!$E$16),1,0)</f>
        <v>0</v>
      </c>
      <c r="CY11" s="276" t="n">
        <f aca="false">IF(AND(CY6&gt;=③기타_가정!$E$14,CY6&lt;=③기타_가정!$E$16),1,0)</f>
        <v>0</v>
      </c>
      <c r="CZ11" s="276" t="n">
        <f aca="false">IF(AND(CZ6&gt;=③기타_가정!$E$14,CZ6&lt;=③기타_가정!$E$16),1,0)</f>
        <v>0</v>
      </c>
      <c r="DA11" s="276" t="n">
        <f aca="false">IF(AND(DA6&gt;=③기타_가정!$E$14,DA6&lt;=③기타_가정!$E$16),1,0)</f>
        <v>0</v>
      </c>
      <c r="DB11" s="276" t="n">
        <f aca="false">IF(AND(DB6&gt;=③기타_가정!$E$14,DB6&lt;=③기타_가정!$E$16),1,0)</f>
        <v>0</v>
      </c>
      <c r="DC11" s="276" t="n">
        <f aca="false">IF(AND(DC6&gt;=③기타_가정!$E$14,DC6&lt;=③기타_가정!$E$16),1,0)</f>
        <v>0</v>
      </c>
      <c r="DD11" s="276" t="n">
        <f aca="false">IF(AND(DD6&gt;=③기타_가정!$E$14,DD6&lt;=③기타_가정!$E$16),1,0)</f>
        <v>0</v>
      </c>
      <c r="DE11" s="276" t="n">
        <f aca="false">IF(AND(DE6&gt;=③기타_가정!$E$14,DE6&lt;=③기타_가정!$E$16),1,0)</f>
        <v>0</v>
      </c>
      <c r="DF11" s="276" t="n">
        <f aca="false">IF(AND(DF6&gt;=③기타_가정!$E$14,DF6&lt;=③기타_가정!$E$16),1,0)</f>
        <v>0</v>
      </c>
      <c r="DG11" s="276" t="n">
        <f aca="false">IF(AND(DG6&gt;=③기타_가정!$E$14,DG6&lt;=③기타_가정!$E$16),1,0)</f>
        <v>0</v>
      </c>
      <c r="DH11" s="276" t="n">
        <f aca="false">IF(AND(DH6&gt;=③기타_가정!$E$14,DH6&lt;=③기타_가정!$E$16),1,0)</f>
        <v>0</v>
      </c>
      <c r="DI11" s="276" t="n">
        <f aca="false">IF(AND(DI6&gt;=③기타_가정!$E$14,DI6&lt;=③기타_가정!$E$16),1,0)</f>
        <v>0</v>
      </c>
      <c r="DJ11" s="276" t="n">
        <f aca="false">IF(AND(DJ6&gt;=③기타_가정!$E$14,DJ6&lt;=③기타_가정!$E$16),1,0)</f>
        <v>0</v>
      </c>
      <c r="DK11" s="276" t="n">
        <f aca="false">IF(AND(DK6&gt;=③기타_가정!$E$14,DK6&lt;=③기타_가정!$E$16),1,0)</f>
        <v>0</v>
      </c>
      <c r="DL11" s="276" t="n">
        <f aca="false">IF(AND(DL6&gt;=③기타_가정!$E$14,DL6&lt;=③기타_가정!$E$16),1,0)</f>
        <v>0</v>
      </c>
      <c r="DM11" s="276" t="n">
        <f aca="false">IF(AND(DM6&gt;=③기타_가정!$E$14,DM6&lt;=③기타_가정!$E$16),1,0)</f>
        <v>0</v>
      </c>
      <c r="DN11" s="276" t="n">
        <f aca="false">IF(AND(DN6&gt;=③기타_가정!$E$14,DN6&lt;=③기타_가정!$E$16),1,0)</f>
        <v>0</v>
      </c>
      <c r="DO11" s="276" t="n">
        <f aca="false">IF(AND(DO6&gt;=③기타_가정!$E$14,DO6&lt;=③기타_가정!$E$16),1,0)</f>
        <v>0</v>
      </c>
      <c r="DP11" s="276" t="n">
        <f aca="false">IF(AND(DP6&gt;=③기타_가정!$E$14,DP6&lt;=③기타_가정!$E$16),1,0)</f>
        <v>0</v>
      </c>
      <c r="DQ11" s="276" t="n">
        <f aca="false">IF(AND(DQ6&gt;=③기타_가정!$E$14,DQ6&lt;=③기타_가정!$E$16),1,0)</f>
        <v>0</v>
      </c>
      <c r="DR11" s="276" t="n">
        <f aca="false">IF(AND(DR6&gt;=③기타_가정!$E$14,DR6&lt;=③기타_가정!$E$16),1,0)</f>
        <v>0</v>
      </c>
      <c r="DS11" s="276" t="n">
        <f aca="false">IF(AND(DS6&gt;=③기타_가정!$E$14,DS6&lt;=③기타_가정!$E$16),1,0)</f>
        <v>0</v>
      </c>
      <c r="DT11" s="276" t="n">
        <f aca="false">IF(AND(DT6&gt;=③기타_가정!$E$14,DT6&lt;=③기타_가정!$E$16),1,0)</f>
        <v>0</v>
      </c>
      <c r="DU11" s="276" t="n">
        <f aca="false">IF(AND(DU6&gt;=③기타_가정!$E$14,DU6&lt;=③기타_가정!$E$16),1,0)</f>
        <v>0</v>
      </c>
      <c r="DV11" s="276" t="n">
        <f aca="false">IF(AND(DV6&gt;=③기타_가정!$E$14,DV6&lt;=③기타_가정!$E$16),1,0)</f>
        <v>0</v>
      </c>
      <c r="DW11" s="276" t="n">
        <f aca="false">IF(AND(DW6&gt;=③기타_가정!$E$14,DW6&lt;=③기타_가정!$E$16),1,0)</f>
        <v>0</v>
      </c>
      <c r="DX11" s="276" t="n">
        <f aca="false">IF(AND(DX6&gt;=③기타_가정!$E$14,DX6&lt;=③기타_가정!$E$16),1,0)</f>
        <v>0</v>
      </c>
      <c r="DY11" s="276" t="n">
        <f aca="false">IF(AND(DY6&gt;=③기타_가정!$E$14,DY6&lt;=③기타_가정!$E$16),1,0)</f>
        <v>0</v>
      </c>
      <c r="DZ11" s="276" t="n">
        <f aca="false">IF(AND(DZ6&gt;=③기타_가정!$E$14,DZ6&lt;=③기타_가정!$E$16),1,0)</f>
        <v>0</v>
      </c>
      <c r="EA11" s="276" t="n">
        <f aca="false">IF(AND(EA6&gt;=③기타_가정!$E$14,EA6&lt;=③기타_가정!$E$16),1,0)</f>
        <v>0</v>
      </c>
      <c r="EB11" s="276" t="n">
        <f aca="false">IF(AND(EB6&gt;=③기타_가정!$E$14,EB6&lt;=③기타_가정!$E$16),1,0)</f>
        <v>0</v>
      </c>
      <c r="EC11" s="276" t="n">
        <f aca="false">IF(AND(EC6&gt;=③기타_가정!$E$14,EC6&lt;=③기타_가정!$E$16),1,0)</f>
        <v>0</v>
      </c>
      <c r="ED11" s="276" t="n">
        <f aca="false">IF(AND(ED6&gt;=③기타_가정!$E$14,ED6&lt;=③기타_가정!$E$16),1,0)</f>
        <v>0</v>
      </c>
      <c r="EE11" s="276" t="n">
        <f aca="false">IF(AND(EE6&gt;=③기타_가정!$E$14,EE6&lt;=③기타_가정!$E$16),1,0)</f>
        <v>0</v>
      </c>
      <c r="EF11" s="276" t="n">
        <f aca="false">IF(AND(EF6&gt;=③기타_가정!$E$14,EF6&lt;=③기타_가정!$E$16),1,0)</f>
        <v>0</v>
      </c>
    </row>
    <row r="12" customFormat="false" ht="15" hidden="false" customHeight="false" outlineLevel="0" collapsed="false">
      <c r="A12" s="36" t="s">
        <v>568</v>
      </c>
      <c r="B12" s="273"/>
      <c r="E12" s="275" t="n">
        <f aca="false">IF(E11=1,(YEAR(E6)-YEAR(③기타_가정!$E$14))*12+MONTH(E6)-MONTH(③기타_가정!$E$14)+1,0)</f>
        <v>0</v>
      </c>
      <c r="F12" s="275" t="n">
        <f aca="false">IF(F11=1,(YEAR(F6)-YEAR(③기타_가정!$E$14))*12+MONTH(F6)-MONTH(③기타_가정!$E$14)+1,0)</f>
        <v>0</v>
      </c>
      <c r="G12" s="275" t="n">
        <f aca="false">IF(G11=1,(YEAR(G6)-YEAR(③기타_가정!$E$14))*12+MONTH(G6)-MONTH(③기타_가정!$E$14)+1,0)</f>
        <v>0</v>
      </c>
      <c r="H12" s="275" t="n">
        <f aca="false">IF(H11=1,(YEAR(H6)-YEAR(③기타_가정!$E$14))*12+MONTH(H6)-MONTH(③기타_가정!$E$14)+1,0)</f>
        <v>0</v>
      </c>
      <c r="I12" s="275" t="n">
        <f aca="false">IF(I11=1,(YEAR(I6)-YEAR(③기타_가정!$E$14))*12+MONTH(I6)-MONTH(③기타_가정!$E$14)+1,0)</f>
        <v>0</v>
      </c>
      <c r="J12" s="275" t="n">
        <f aca="false">IF(J11=1,(YEAR(J6)-YEAR(③기타_가정!$E$14))*12+MONTH(J6)-MONTH(③기타_가정!$E$14)+1,0)</f>
        <v>0</v>
      </c>
      <c r="K12" s="275" t="n">
        <f aca="false">IF(K11=1,(YEAR(K6)-YEAR(③기타_가정!$E$14))*12+MONTH(K6)-MONTH(③기타_가정!$E$14)+1,0)</f>
        <v>0</v>
      </c>
      <c r="L12" s="275" t="n">
        <f aca="false">IF(L11=1,(YEAR(L6)-YEAR(③기타_가정!$E$14))*12+MONTH(L6)-MONTH(③기타_가정!$E$14)+1,0)</f>
        <v>0</v>
      </c>
      <c r="M12" s="275" t="n">
        <f aca="false">IF(M11=1,(YEAR(M6)-YEAR(③기타_가정!$E$14))*12+MONTH(M6)-MONTH(③기타_가정!$E$14)+1,0)</f>
        <v>0</v>
      </c>
      <c r="N12" s="275" t="n">
        <f aca="false">IF(N11=1,(YEAR(N6)-YEAR(③기타_가정!$E$14))*12+MONTH(N6)-MONTH(③기타_가정!$E$14)+1,0)</f>
        <v>0</v>
      </c>
      <c r="O12" s="275" t="n">
        <f aca="false">IF(O11=1,(YEAR(O6)-YEAR(③기타_가정!$E$14))*12+MONTH(O6)-MONTH(③기타_가정!$E$14)+1,0)</f>
        <v>0</v>
      </c>
      <c r="P12" s="275" t="n">
        <f aca="false">IF(P11=1,(YEAR(P6)-YEAR(③기타_가정!$E$14))*12+MONTH(P6)-MONTH(③기타_가정!$E$14)+1,0)</f>
        <v>0</v>
      </c>
      <c r="Q12" s="275" t="n">
        <f aca="false">IF(Q11=1,(YEAR(Q6)-YEAR(③기타_가정!$E$14))*12+MONTH(Q6)-MONTH(③기타_가정!$E$14)+1,0)</f>
        <v>0</v>
      </c>
      <c r="R12" s="275" t="n">
        <f aca="false">IF(R11=1,(YEAR(R6)-YEAR(③기타_가정!$E$14))*12+MONTH(R6)-MONTH(③기타_가정!$E$14)+1,0)</f>
        <v>0</v>
      </c>
      <c r="S12" s="275" t="n">
        <f aca="false">IF(S11=1,(YEAR(S6)-YEAR(③기타_가정!$E$14))*12+MONTH(S6)-MONTH(③기타_가정!$E$14)+1,0)</f>
        <v>0</v>
      </c>
      <c r="T12" s="275" t="n">
        <f aca="false">IF(T11=1,(YEAR(T6)-YEAR(③기타_가정!$E$14))*12+MONTH(T6)-MONTH(③기타_가정!$E$14)+1,0)</f>
        <v>0</v>
      </c>
      <c r="U12" s="275" t="n">
        <f aca="false">IF(U11=1,(YEAR(U6)-YEAR(③기타_가정!$E$14))*12+MONTH(U6)-MONTH(③기타_가정!$E$14)+1,0)</f>
        <v>0</v>
      </c>
      <c r="V12" s="275" t="n">
        <f aca="false">IF(V11=1,(YEAR(V6)-YEAR(③기타_가정!$E$14))*12+MONTH(V6)-MONTH(③기타_가정!$E$14)+1,0)</f>
        <v>0</v>
      </c>
      <c r="W12" s="275" t="n">
        <f aca="false">IF(W11=1,(YEAR(W6)-YEAR(③기타_가정!$E$14))*12+MONTH(W6)-MONTH(③기타_가정!$E$14)+1,0)</f>
        <v>1</v>
      </c>
      <c r="X12" s="275" t="n">
        <f aca="false">IF(X11=1,(YEAR(X6)-YEAR(③기타_가정!$E$14))*12+MONTH(X6)-MONTH(③기타_가정!$E$14)+1,0)</f>
        <v>2</v>
      </c>
      <c r="Y12" s="275" t="n">
        <f aca="false">IF(Y11=1,(YEAR(Y6)-YEAR(③기타_가정!$E$14))*12+MONTH(Y6)-MONTH(③기타_가정!$E$14)+1,0)</f>
        <v>3</v>
      </c>
      <c r="Z12" s="275" t="n">
        <f aca="false">IF(Z11=1,(YEAR(Z6)-YEAR(③기타_가정!$E$14))*12+MONTH(Z6)-MONTH(③기타_가정!$E$14)+1,0)</f>
        <v>4</v>
      </c>
      <c r="AA12" s="275" t="n">
        <f aca="false">IF(AA11=1,(YEAR(AA6)-YEAR(③기타_가정!$E$14))*12+MONTH(AA6)-MONTH(③기타_가정!$E$14)+1,0)</f>
        <v>5</v>
      </c>
      <c r="AB12" s="275" t="n">
        <f aca="false">IF(AB11=1,(YEAR(AB6)-YEAR(③기타_가정!$E$14))*12+MONTH(AB6)-MONTH(③기타_가정!$E$14)+1,0)</f>
        <v>6</v>
      </c>
      <c r="AC12" s="275" t="n">
        <f aca="false">IF(AC11=1,(YEAR(AC6)-YEAR(③기타_가정!$E$14))*12+MONTH(AC6)-MONTH(③기타_가정!$E$14)+1,0)</f>
        <v>7</v>
      </c>
      <c r="AD12" s="275" t="n">
        <f aca="false">IF(AD11=1,(YEAR(AD6)-YEAR(③기타_가정!$E$14))*12+MONTH(AD6)-MONTH(③기타_가정!$E$14)+1,0)</f>
        <v>8</v>
      </c>
      <c r="AE12" s="275" t="n">
        <f aca="false">IF(AE11=1,(YEAR(AE6)-YEAR(③기타_가정!$E$14))*12+MONTH(AE6)-MONTH(③기타_가정!$E$14)+1,0)</f>
        <v>9</v>
      </c>
      <c r="AF12" s="275" t="n">
        <f aca="false">IF(AF11=1,(YEAR(AF6)-YEAR(③기타_가정!$E$14))*12+MONTH(AF6)-MONTH(③기타_가정!$E$14)+1,0)</f>
        <v>10</v>
      </c>
      <c r="AG12" s="275" t="n">
        <f aca="false">IF(AG11=1,(YEAR(AG6)-YEAR(③기타_가정!$E$14))*12+MONTH(AG6)-MONTH(③기타_가정!$E$14)+1,0)</f>
        <v>11</v>
      </c>
      <c r="AH12" s="275" t="n">
        <f aca="false">IF(AH11=1,(YEAR(AH6)-YEAR(③기타_가정!$E$14))*12+MONTH(AH6)-MONTH(③기타_가정!$E$14)+1,0)</f>
        <v>12</v>
      </c>
      <c r="AI12" s="275" t="n">
        <f aca="false">IF(AI11=1,(YEAR(AI6)-YEAR(③기타_가정!$E$14))*12+MONTH(AI6)-MONTH(③기타_가정!$E$14)+1,0)</f>
        <v>13</v>
      </c>
      <c r="AJ12" s="275" t="n">
        <f aca="false">IF(AJ11=1,(YEAR(AJ6)-YEAR(③기타_가정!$E$14))*12+MONTH(AJ6)-MONTH(③기타_가정!$E$14)+1,0)</f>
        <v>14</v>
      </c>
      <c r="AK12" s="275" t="n">
        <f aca="false">IF(AK11=1,(YEAR(AK6)-YEAR(③기타_가정!$E$14))*12+MONTH(AK6)-MONTH(③기타_가정!$E$14)+1,0)</f>
        <v>15</v>
      </c>
      <c r="AL12" s="275" t="n">
        <f aca="false">IF(AL11=1,(YEAR(AL6)-YEAR(③기타_가정!$E$14))*12+MONTH(AL6)-MONTH(③기타_가정!$E$14)+1,0)</f>
        <v>16</v>
      </c>
      <c r="AM12" s="275" t="n">
        <f aca="false">IF(AM11=1,(YEAR(AM6)-YEAR(③기타_가정!$E$14))*12+MONTH(AM6)-MONTH(③기타_가정!$E$14)+1,0)</f>
        <v>17</v>
      </c>
      <c r="AN12" s="275" t="n">
        <f aca="false">IF(AN11=1,(YEAR(AN6)-YEAR(③기타_가정!$E$14))*12+MONTH(AN6)-MONTH(③기타_가정!$E$14)+1,0)</f>
        <v>18</v>
      </c>
      <c r="AO12" s="275" t="n">
        <f aca="false">IF(AO11=1,(YEAR(AO6)-YEAR(③기타_가정!$E$14))*12+MONTH(AO6)-MONTH(③기타_가정!$E$14)+1,0)</f>
        <v>19</v>
      </c>
      <c r="AP12" s="275" t="n">
        <f aca="false">IF(AP11=1,(YEAR(AP6)-YEAR(③기타_가정!$E$14))*12+MONTH(AP6)-MONTH(③기타_가정!$E$14)+1,0)</f>
        <v>20</v>
      </c>
      <c r="AQ12" s="275" t="n">
        <f aca="false">IF(AQ11=1,(YEAR(AQ6)-YEAR(③기타_가정!$E$14))*12+MONTH(AQ6)-MONTH(③기타_가정!$E$14)+1,0)</f>
        <v>21</v>
      </c>
      <c r="AR12" s="275" t="n">
        <f aca="false">IF(AR11=1,(YEAR(AR6)-YEAR(③기타_가정!$E$14))*12+MONTH(AR6)-MONTH(③기타_가정!$E$14)+1,0)</f>
        <v>22</v>
      </c>
      <c r="AS12" s="275" t="n">
        <f aca="false">IF(AS11=1,(YEAR(AS6)-YEAR(③기타_가정!$E$14))*12+MONTH(AS6)-MONTH(③기타_가정!$E$14)+1,0)</f>
        <v>23</v>
      </c>
      <c r="AT12" s="275" t="n">
        <f aca="false">IF(AT11=1,(YEAR(AT6)-YEAR(③기타_가정!$E$14))*12+MONTH(AT6)-MONTH(③기타_가정!$E$14)+1,0)</f>
        <v>24</v>
      </c>
      <c r="AU12" s="275" t="n">
        <f aca="false">IF(AU11=1,(YEAR(AU6)-YEAR(③기타_가정!$E$14))*12+MONTH(AU6)-MONTH(③기타_가정!$E$14)+1,0)</f>
        <v>25</v>
      </c>
      <c r="AV12" s="275" t="n">
        <f aca="false">IF(AV11=1,(YEAR(AV6)-YEAR(③기타_가정!$E$14))*12+MONTH(AV6)-MONTH(③기타_가정!$E$14)+1,0)</f>
        <v>26</v>
      </c>
      <c r="AW12" s="275" t="n">
        <f aca="false">IF(AW11=1,(YEAR(AW6)-YEAR(③기타_가정!$E$14))*12+MONTH(AW6)-MONTH(③기타_가정!$E$14)+1,0)</f>
        <v>27</v>
      </c>
      <c r="AX12" s="275" t="n">
        <f aca="false">IF(AX11=1,(YEAR(AX6)-YEAR(③기타_가정!$E$14))*12+MONTH(AX6)-MONTH(③기타_가정!$E$14)+1,0)</f>
        <v>28</v>
      </c>
      <c r="AY12" s="275" t="n">
        <f aca="false">IF(AY11=1,(YEAR(AY6)-YEAR(③기타_가정!$E$14))*12+MONTH(AY6)-MONTH(③기타_가정!$E$14)+1,0)</f>
        <v>29</v>
      </c>
      <c r="AZ12" s="275" t="n">
        <f aca="false">IF(AZ11=1,(YEAR(AZ6)-YEAR(③기타_가정!$E$14))*12+MONTH(AZ6)-MONTH(③기타_가정!$E$14)+1,0)</f>
        <v>30</v>
      </c>
      <c r="BA12" s="275" t="n">
        <f aca="false">IF(BA11=1,(YEAR(BA6)-YEAR(③기타_가정!$E$14))*12+MONTH(BA6)-MONTH(③기타_가정!$E$14)+1,0)</f>
        <v>31</v>
      </c>
      <c r="BB12" s="275" t="n">
        <f aca="false">IF(BB11=1,(YEAR(BB6)-YEAR(③기타_가정!$E$14))*12+MONTH(BB6)-MONTH(③기타_가정!$E$14)+1,0)</f>
        <v>32</v>
      </c>
      <c r="BC12" s="275" t="n">
        <f aca="false">IF(BC11=1,(YEAR(BC6)-YEAR(③기타_가정!$E$14))*12+MONTH(BC6)-MONTH(③기타_가정!$E$14)+1,0)</f>
        <v>33</v>
      </c>
      <c r="BD12" s="275" t="n">
        <f aca="false">IF(BD11=1,(YEAR(BD6)-YEAR(③기타_가정!$E$14))*12+MONTH(BD6)-MONTH(③기타_가정!$E$14)+1,0)</f>
        <v>34</v>
      </c>
      <c r="BE12" s="275" t="n">
        <f aca="false">IF(BE11=1,(YEAR(BE6)-YEAR(③기타_가정!$E$14))*12+MONTH(BE6)-MONTH(③기타_가정!$E$14)+1,0)</f>
        <v>35</v>
      </c>
      <c r="BF12" s="275" t="n">
        <f aca="false">IF(BF11=1,(YEAR(BF6)-YEAR(③기타_가정!$E$14))*12+MONTH(BF6)-MONTH(③기타_가정!$E$14)+1,0)</f>
        <v>36</v>
      </c>
      <c r="BG12" s="275" t="n">
        <f aca="false">IF(BG11=1,(YEAR(BG6)-YEAR(③기타_가정!$E$14))*12+MONTH(BG6)-MONTH(③기타_가정!$E$14)+1,0)</f>
        <v>37</v>
      </c>
      <c r="BH12" s="275" t="n">
        <f aca="false">IF(BH11=1,(YEAR(BH6)-YEAR(③기타_가정!$E$14))*12+MONTH(BH6)-MONTH(③기타_가정!$E$14)+1,0)</f>
        <v>38</v>
      </c>
      <c r="BI12" s="275" t="n">
        <f aca="false">IF(BI11=1,(YEAR(BI6)-YEAR(③기타_가정!$E$14))*12+MONTH(BI6)-MONTH(③기타_가정!$E$14)+1,0)</f>
        <v>39</v>
      </c>
      <c r="BJ12" s="275" t="n">
        <f aca="false">IF(BJ11=1,(YEAR(BJ6)-YEAR(③기타_가정!$E$14))*12+MONTH(BJ6)-MONTH(③기타_가정!$E$14)+1,0)</f>
        <v>40</v>
      </c>
      <c r="BK12" s="275" t="n">
        <f aca="false">IF(BK11=1,(YEAR(BK6)-YEAR(③기타_가정!$E$14))*12+MONTH(BK6)-MONTH(③기타_가정!$E$14)+1,0)</f>
        <v>41</v>
      </c>
      <c r="BL12" s="275" t="n">
        <f aca="false">IF(BL11=1,(YEAR(BL6)-YEAR(③기타_가정!$E$14))*12+MONTH(BL6)-MONTH(③기타_가정!$E$14)+1,0)</f>
        <v>42</v>
      </c>
      <c r="BM12" s="275" t="n">
        <f aca="false">IF(BM11=1,(YEAR(BM6)-YEAR(③기타_가정!$E$14))*12+MONTH(BM6)-MONTH(③기타_가정!$E$14)+1,0)</f>
        <v>0</v>
      </c>
      <c r="BN12" s="275" t="n">
        <f aca="false">IF(BN11=1,(YEAR(BN6)-YEAR(③기타_가정!$E$14))*12+MONTH(BN6)-MONTH(③기타_가정!$E$14)+1,0)</f>
        <v>0</v>
      </c>
      <c r="BO12" s="275" t="n">
        <f aca="false">IF(BO11=1,(YEAR(BO6)-YEAR(③기타_가정!$E$14))*12+MONTH(BO6)-MONTH(③기타_가정!$E$14)+1,0)</f>
        <v>0</v>
      </c>
      <c r="BP12" s="275" t="n">
        <f aca="false">IF(BP11=1,(YEAR(BP6)-YEAR(③기타_가정!$E$14))*12+MONTH(BP6)-MONTH(③기타_가정!$E$14)+1,0)</f>
        <v>0</v>
      </c>
      <c r="BQ12" s="275" t="n">
        <f aca="false">IF(BQ11=1,(YEAR(BQ6)-YEAR(③기타_가정!$E$14))*12+MONTH(BQ6)-MONTH(③기타_가정!$E$14)+1,0)</f>
        <v>0</v>
      </c>
      <c r="BR12" s="275" t="n">
        <f aca="false">IF(BR11=1,(YEAR(BR6)-YEAR(③기타_가정!$E$14))*12+MONTH(BR6)-MONTH(③기타_가정!$E$14)+1,0)</f>
        <v>0</v>
      </c>
      <c r="BS12" s="275" t="n">
        <f aca="false">IF(BS11=1,(YEAR(BS6)-YEAR(③기타_가정!$E$14))*12+MONTH(BS6)-MONTH(③기타_가정!$E$14)+1,0)</f>
        <v>0</v>
      </c>
      <c r="BT12" s="275" t="n">
        <f aca="false">IF(BT11=1,(YEAR(BT6)-YEAR(③기타_가정!$E$14))*12+MONTH(BT6)-MONTH(③기타_가정!$E$14)+1,0)</f>
        <v>0</v>
      </c>
      <c r="BU12" s="275" t="n">
        <f aca="false">IF(BU11=1,(YEAR(BU6)-YEAR(③기타_가정!$E$14))*12+MONTH(BU6)-MONTH(③기타_가정!$E$14)+1,0)</f>
        <v>0</v>
      </c>
      <c r="BV12" s="275" t="n">
        <f aca="false">IF(BV11=1,(YEAR(BV6)-YEAR(③기타_가정!$E$14))*12+MONTH(BV6)-MONTH(③기타_가정!$E$14)+1,0)</f>
        <v>0</v>
      </c>
      <c r="BW12" s="275" t="n">
        <f aca="false">IF(BW11=1,(YEAR(BW6)-YEAR(③기타_가정!$E$14))*12+MONTH(BW6)-MONTH(③기타_가정!$E$14)+1,0)</f>
        <v>0</v>
      </c>
      <c r="BX12" s="275" t="n">
        <f aca="false">IF(BX11=1,(YEAR(BX6)-YEAR(③기타_가정!$E$14))*12+MONTH(BX6)-MONTH(③기타_가정!$E$14)+1,0)</f>
        <v>0</v>
      </c>
      <c r="BY12" s="275" t="n">
        <f aca="false">IF(BY11=1,(YEAR(BY6)-YEAR(③기타_가정!$E$14))*12+MONTH(BY6)-MONTH(③기타_가정!$E$14)+1,0)</f>
        <v>0</v>
      </c>
      <c r="BZ12" s="275" t="n">
        <f aca="false">IF(BZ11=1,(YEAR(BZ6)-YEAR(③기타_가정!$E$14))*12+MONTH(BZ6)-MONTH(③기타_가정!$E$14)+1,0)</f>
        <v>0</v>
      </c>
      <c r="CA12" s="275" t="n">
        <f aca="false">IF(CA11=1,(YEAR(CA6)-YEAR(③기타_가정!$E$14))*12+MONTH(CA6)-MONTH(③기타_가정!$E$14)+1,0)</f>
        <v>0</v>
      </c>
      <c r="CB12" s="275" t="n">
        <f aca="false">IF(CB11=1,(YEAR(CB6)-YEAR(③기타_가정!$E$14))*12+MONTH(CB6)-MONTH(③기타_가정!$E$14)+1,0)</f>
        <v>0</v>
      </c>
      <c r="CC12" s="275" t="n">
        <f aca="false">IF(CC11=1,(YEAR(CC6)-YEAR(③기타_가정!$E$14))*12+MONTH(CC6)-MONTH(③기타_가정!$E$14)+1,0)</f>
        <v>0</v>
      </c>
      <c r="CD12" s="275" t="n">
        <f aca="false">IF(CD11=1,(YEAR(CD6)-YEAR(③기타_가정!$E$14))*12+MONTH(CD6)-MONTH(③기타_가정!$E$14)+1,0)</f>
        <v>0</v>
      </c>
      <c r="CE12" s="275" t="n">
        <f aca="false">IF(CE11=1,(YEAR(CE6)-YEAR(③기타_가정!$E$14))*12+MONTH(CE6)-MONTH(③기타_가정!$E$14)+1,0)</f>
        <v>0</v>
      </c>
      <c r="CF12" s="275" t="n">
        <f aca="false">IF(CF11=1,(YEAR(CF6)-YEAR(③기타_가정!$E$14))*12+MONTH(CF6)-MONTH(③기타_가정!$E$14)+1,0)</f>
        <v>0</v>
      </c>
      <c r="CG12" s="275" t="n">
        <f aca="false">IF(CG11=1,(YEAR(CG6)-YEAR(③기타_가정!$E$14))*12+MONTH(CG6)-MONTH(③기타_가정!$E$14)+1,0)</f>
        <v>0</v>
      </c>
      <c r="CH12" s="275" t="n">
        <f aca="false">IF(CH11=1,(YEAR(CH6)-YEAR(③기타_가정!$E$14))*12+MONTH(CH6)-MONTH(③기타_가정!$E$14)+1,0)</f>
        <v>0</v>
      </c>
      <c r="CI12" s="275" t="n">
        <f aca="false">IF(CI11=1,(YEAR(CI6)-YEAR(③기타_가정!$E$14))*12+MONTH(CI6)-MONTH(③기타_가정!$E$14)+1,0)</f>
        <v>0</v>
      </c>
      <c r="CJ12" s="275" t="n">
        <f aca="false">IF(CJ11=1,(YEAR(CJ6)-YEAR(③기타_가정!$E$14))*12+MONTH(CJ6)-MONTH(③기타_가정!$E$14)+1,0)</f>
        <v>0</v>
      </c>
      <c r="CK12" s="275" t="n">
        <f aca="false">IF(CK11=1,(YEAR(CK6)-YEAR(③기타_가정!$E$14))*12+MONTH(CK6)-MONTH(③기타_가정!$E$14)+1,0)</f>
        <v>0</v>
      </c>
      <c r="CL12" s="275" t="n">
        <f aca="false">IF(CL11=1,(YEAR(CL6)-YEAR(③기타_가정!$E$14))*12+MONTH(CL6)-MONTH(③기타_가정!$E$14)+1,0)</f>
        <v>0</v>
      </c>
      <c r="CM12" s="275" t="n">
        <f aca="false">IF(CM11=1,(YEAR(CM6)-YEAR(③기타_가정!$E$14))*12+MONTH(CM6)-MONTH(③기타_가정!$E$14)+1,0)</f>
        <v>0</v>
      </c>
      <c r="CN12" s="275" t="n">
        <f aca="false">IF(CN11=1,(YEAR(CN6)-YEAR(③기타_가정!$E$14))*12+MONTH(CN6)-MONTH(③기타_가정!$E$14)+1,0)</f>
        <v>0</v>
      </c>
      <c r="CO12" s="275" t="n">
        <f aca="false">IF(CO11=1,(YEAR(CO6)-YEAR(③기타_가정!$E$14))*12+MONTH(CO6)-MONTH(③기타_가정!$E$14)+1,0)</f>
        <v>0</v>
      </c>
      <c r="CP12" s="275" t="n">
        <f aca="false">IF(CP11=1,(YEAR(CP6)-YEAR(③기타_가정!$E$14))*12+MONTH(CP6)-MONTH(③기타_가정!$E$14)+1,0)</f>
        <v>0</v>
      </c>
      <c r="CQ12" s="275" t="n">
        <f aca="false">IF(CQ11=1,(YEAR(CQ6)-YEAR(③기타_가정!$E$14))*12+MONTH(CQ6)-MONTH(③기타_가정!$E$14)+1,0)</f>
        <v>0</v>
      </c>
      <c r="CR12" s="275" t="n">
        <f aca="false">IF(CR11=1,(YEAR(CR6)-YEAR(③기타_가정!$E$14))*12+MONTH(CR6)-MONTH(③기타_가정!$E$14)+1,0)</f>
        <v>0</v>
      </c>
      <c r="CS12" s="275" t="n">
        <f aca="false">IF(CS11=1,(YEAR(CS6)-YEAR(③기타_가정!$E$14))*12+MONTH(CS6)-MONTH(③기타_가정!$E$14)+1,0)</f>
        <v>0</v>
      </c>
      <c r="CT12" s="275" t="n">
        <f aca="false">IF(CT11=1,(YEAR(CT6)-YEAR(③기타_가정!$E$14))*12+MONTH(CT6)-MONTH(③기타_가정!$E$14)+1,0)</f>
        <v>0</v>
      </c>
      <c r="CU12" s="275" t="n">
        <f aca="false">IF(CU11=1,(YEAR(CU6)-YEAR(③기타_가정!$E$14))*12+MONTH(CU6)-MONTH(③기타_가정!$E$14)+1,0)</f>
        <v>0</v>
      </c>
      <c r="CV12" s="275" t="n">
        <f aca="false">IF(CV11=1,(YEAR(CV6)-YEAR(③기타_가정!$E$14))*12+MONTH(CV6)-MONTH(③기타_가정!$E$14)+1,0)</f>
        <v>0</v>
      </c>
      <c r="CW12" s="275" t="n">
        <f aca="false">IF(CW11=1,(YEAR(CW6)-YEAR(③기타_가정!$E$14))*12+MONTH(CW6)-MONTH(③기타_가정!$E$14)+1,0)</f>
        <v>0</v>
      </c>
      <c r="CX12" s="275" t="n">
        <f aca="false">IF(CX11=1,(YEAR(CX6)-YEAR(③기타_가정!$E$14))*12+MONTH(CX6)-MONTH(③기타_가정!$E$14)+1,0)</f>
        <v>0</v>
      </c>
      <c r="CY12" s="275" t="n">
        <f aca="false">IF(CY11=1,(YEAR(CY6)-YEAR(③기타_가정!$E$14))*12+MONTH(CY6)-MONTH(③기타_가정!$E$14)+1,0)</f>
        <v>0</v>
      </c>
      <c r="CZ12" s="275" t="n">
        <f aca="false">IF(CZ11=1,(YEAR(CZ6)-YEAR(③기타_가정!$E$14))*12+MONTH(CZ6)-MONTH(③기타_가정!$E$14)+1,0)</f>
        <v>0</v>
      </c>
      <c r="DA12" s="275" t="n">
        <f aca="false">IF(DA11=1,(YEAR(DA6)-YEAR(③기타_가정!$E$14))*12+MONTH(DA6)-MONTH(③기타_가정!$E$14)+1,0)</f>
        <v>0</v>
      </c>
      <c r="DB12" s="275" t="n">
        <f aca="false">IF(DB11=1,(YEAR(DB6)-YEAR(③기타_가정!$E$14))*12+MONTH(DB6)-MONTH(③기타_가정!$E$14)+1,0)</f>
        <v>0</v>
      </c>
      <c r="DC12" s="275" t="n">
        <f aca="false">IF(DC11=1,(YEAR(DC6)-YEAR(③기타_가정!$E$14))*12+MONTH(DC6)-MONTH(③기타_가정!$E$14)+1,0)</f>
        <v>0</v>
      </c>
      <c r="DD12" s="275" t="n">
        <f aca="false">IF(DD11=1,(YEAR(DD6)-YEAR(③기타_가정!$E$14))*12+MONTH(DD6)-MONTH(③기타_가정!$E$14)+1,0)</f>
        <v>0</v>
      </c>
      <c r="DE12" s="275" t="n">
        <f aca="false">IF(DE11=1,(YEAR(DE6)-YEAR(③기타_가정!$E$14))*12+MONTH(DE6)-MONTH(③기타_가정!$E$14)+1,0)</f>
        <v>0</v>
      </c>
      <c r="DF12" s="275" t="n">
        <f aca="false">IF(DF11=1,(YEAR(DF6)-YEAR(③기타_가정!$E$14))*12+MONTH(DF6)-MONTH(③기타_가정!$E$14)+1,0)</f>
        <v>0</v>
      </c>
      <c r="DG12" s="275" t="n">
        <f aca="false">IF(DG11=1,(YEAR(DG6)-YEAR(③기타_가정!$E$14))*12+MONTH(DG6)-MONTH(③기타_가정!$E$14)+1,0)</f>
        <v>0</v>
      </c>
      <c r="DH12" s="275" t="n">
        <f aca="false">IF(DH11=1,(YEAR(DH6)-YEAR(③기타_가정!$E$14))*12+MONTH(DH6)-MONTH(③기타_가정!$E$14)+1,0)</f>
        <v>0</v>
      </c>
      <c r="DI12" s="275" t="n">
        <f aca="false">IF(DI11=1,(YEAR(DI6)-YEAR(③기타_가정!$E$14))*12+MONTH(DI6)-MONTH(③기타_가정!$E$14)+1,0)</f>
        <v>0</v>
      </c>
      <c r="DJ12" s="275" t="n">
        <f aca="false">IF(DJ11=1,(YEAR(DJ6)-YEAR(③기타_가정!$E$14))*12+MONTH(DJ6)-MONTH(③기타_가정!$E$14)+1,0)</f>
        <v>0</v>
      </c>
      <c r="DK12" s="275" t="n">
        <f aca="false">IF(DK11=1,(YEAR(DK6)-YEAR(③기타_가정!$E$14))*12+MONTH(DK6)-MONTH(③기타_가정!$E$14)+1,0)</f>
        <v>0</v>
      </c>
      <c r="DL12" s="275" t="n">
        <f aca="false">IF(DL11=1,(YEAR(DL6)-YEAR(③기타_가정!$E$14))*12+MONTH(DL6)-MONTH(③기타_가정!$E$14)+1,0)</f>
        <v>0</v>
      </c>
      <c r="DM12" s="275" t="n">
        <f aca="false">IF(DM11=1,(YEAR(DM6)-YEAR(③기타_가정!$E$14))*12+MONTH(DM6)-MONTH(③기타_가정!$E$14)+1,0)</f>
        <v>0</v>
      </c>
      <c r="DN12" s="275" t="n">
        <f aca="false">IF(DN11=1,(YEAR(DN6)-YEAR(③기타_가정!$E$14))*12+MONTH(DN6)-MONTH(③기타_가정!$E$14)+1,0)</f>
        <v>0</v>
      </c>
      <c r="DO12" s="275" t="n">
        <f aca="false">IF(DO11=1,(YEAR(DO6)-YEAR(③기타_가정!$E$14))*12+MONTH(DO6)-MONTH(③기타_가정!$E$14)+1,0)</f>
        <v>0</v>
      </c>
      <c r="DP12" s="275" t="n">
        <f aca="false">IF(DP11=1,(YEAR(DP6)-YEAR(③기타_가정!$E$14))*12+MONTH(DP6)-MONTH(③기타_가정!$E$14)+1,0)</f>
        <v>0</v>
      </c>
      <c r="DQ12" s="275" t="n">
        <f aca="false">IF(DQ11=1,(YEAR(DQ6)-YEAR(③기타_가정!$E$14))*12+MONTH(DQ6)-MONTH(③기타_가정!$E$14)+1,0)</f>
        <v>0</v>
      </c>
      <c r="DR12" s="275" t="n">
        <f aca="false">IF(DR11=1,(YEAR(DR6)-YEAR(③기타_가정!$E$14))*12+MONTH(DR6)-MONTH(③기타_가정!$E$14)+1,0)</f>
        <v>0</v>
      </c>
      <c r="DS12" s="275" t="n">
        <f aca="false">IF(DS11=1,(YEAR(DS6)-YEAR(③기타_가정!$E$14))*12+MONTH(DS6)-MONTH(③기타_가정!$E$14)+1,0)</f>
        <v>0</v>
      </c>
      <c r="DT12" s="275" t="n">
        <f aca="false">IF(DT11=1,(YEAR(DT6)-YEAR(③기타_가정!$E$14))*12+MONTH(DT6)-MONTH(③기타_가정!$E$14)+1,0)</f>
        <v>0</v>
      </c>
      <c r="DU12" s="275" t="n">
        <f aca="false">IF(DU11=1,(YEAR(DU6)-YEAR(③기타_가정!$E$14))*12+MONTH(DU6)-MONTH(③기타_가정!$E$14)+1,0)</f>
        <v>0</v>
      </c>
      <c r="DV12" s="275" t="n">
        <f aca="false">IF(DV11=1,(YEAR(DV6)-YEAR(③기타_가정!$E$14))*12+MONTH(DV6)-MONTH(③기타_가정!$E$14)+1,0)</f>
        <v>0</v>
      </c>
      <c r="DW12" s="275" t="n">
        <f aca="false">IF(DW11=1,(YEAR(DW6)-YEAR(③기타_가정!$E$14))*12+MONTH(DW6)-MONTH(③기타_가정!$E$14)+1,0)</f>
        <v>0</v>
      </c>
      <c r="DX12" s="275" t="n">
        <f aca="false">IF(DX11=1,(YEAR(DX6)-YEAR(③기타_가정!$E$14))*12+MONTH(DX6)-MONTH(③기타_가정!$E$14)+1,0)</f>
        <v>0</v>
      </c>
      <c r="DY12" s="275" t="n">
        <f aca="false">IF(DY11=1,(YEAR(DY6)-YEAR(③기타_가정!$E$14))*12+MONTH(DY6)-MONTH(③기타_가정!$E$14)+1,0)</f>
        <v>0</v>
      </c>
      <c r="DZ12" s="275" t="n">
        <f aca="false">IF(DZ11=1,(YEAR(DZ6)-YEAR(③기타_가정!$E$14))*12+MONTH(DZ6)-MONTH(③기타_가정!$E$14)+1,0)</f>
        <v>0</v>
      </c>
      <c r="EA12" s="275" t="n">
        <f aca="false">IF(EA11=1,(YEAR(EA6)-YEAR(③기타_가정!$E$14))*12+MONTH(EA6)-MONTH(③기타_가정!$E$14)+1,0)</f>
        <v>0</v>
      </c>
      <c r="EB12" s="275" t="n">
        <f aca="false">IF(EB11=1,(YEAR(EB6)-YEAR(③기타_가정!$E$14))*12+MONTH(EB6)-MONTH(③기타_가정!$E$14)+1,0)</f>
        <v>0</v>
      </c>
      <c r="EC12" s="275" t="n">
        <f aca="false">IF(EC11=1,(YEAR(EC6)-YEAR(③기타_가정!$E$14))*12+MONTH(EC6)-MONTH(③기타_가정!$E$14)+1,0)</f>
        <v>0</v>
      </c>
      <c r="ED12" s="275" t="n">
        <f aca="false">IF(ED11=1,(YEAR(ED6)-YEAR(③기타_가정!$E$14))*12+MONTH(ED6)-MONTH(③기타_가정!$E$14)+1,0)</f>
        <v>0</v>
      </c>
      <c r="EE12" s="275" t="n">
        <f aca="false">IF(EE11=1,(YEAR(EE6)-YEAR(③기타_가정!$E$14))*12+MONTH(EE6)-MONTH(③기타_가정!$E$14)+1,0)</f>
        <v>0</v>
      </c>
      <c r="EF12" s="275" t="n">
        <f aca="false">IF(EF11=1,(YEAR(EF6)-YEAR(③기타_가정!$E$14))*12+MONTH(EF6)-MONTH(③기타_가정!$E$14)+1,0)</f>
        <v>0</v>
      </c>
    </row>
    <row r="13" customFormat="false" ht="15" hidden="false" customHeight="false" outlineLevel="0" collapsed="false">
      <c r="A13" s="153" t="s">
        <v>569</v>
      </c>
      <c r="B13" s="273" t="s">
        <v>16</v>
      </c>
      <c r="C13" s="277" t="n">
        <f aca="false">SUM(E13:EF13)</f>
        <v>1</v>
      </c>
      <c r="E13" s="194" t="n">
        <f aca="false">IF(E12&gt;0,(COS(PI()*(E12-1)/③기타_가정!$E$15)-COS(PI()*E12/③기타_가정!$E$15))/2,0)</f>
        <v>0</v>
      </c>
      <c r="F13" s="194" t="n">
        <f aca="false">IF(F12&gt;0,(COS(PI()*(F12-1)/③기타_가정!$E$15)-COS(PI()*F12/③기타_가정!$E$15))/2,0)</f>
        <v>0</v>
      </c>
      <c r="G13" s="194" t="n">
        <f aca="false">IF(G12&gt;0,(COS(PI()*(G12-1)/③기타_가정!$E$15)-COS(PI()*G12/③기타_가정!$E$15))/2,0)</f>
        <v>0</v>
      </c>
      <c r="H13" s="194" t="n">
        <f aca="false">IF(H12&gt;0,(COS(PI()*(H12-1)/③기타_가정!$E$15)-COS(PI()*H12/③기타_가정!$E$15))/2,0)</f>
        <v>0</v>
      </c>
      <c r="I13" s="194" t="n">
        <f aca="false">IF(I12&gt;0,(COS(PI()*(I12-1)/③기타_가정!$E$15)-COS(PI()*I12/③기타_가정!$E$15))/2,0)</f>
        <v>0</v>
      </c>
      <c r="J13" s="194" t="n">
        <f aca="false">IF(J12&gt;0,(COS(PI()*(J12-1)/③기타_가정!$E$15)-COS(PI()*J12/③기타_가정!$E$15))/2,0)</f>
        <v>0</v>
      </c>
      <c r="K13" s="194" t="n">
        <f aca="false">IF(K12&gt;0,(COS(PI()*(K12-1)/③기타_가정!$E$15)-COS(PI()*K12/③기타_가정!$E$15))/2,0)</f>
        <v>0</v>
      </c>
      <c r="L13" s="194" t="n">
        <f aca="false">IF(L12&gt;0,(COS(PI()*(L12-1)/③기타_가정!$E$15)-COS(PI()*L12/③기타_가정!$E$15))/2,0)</f>
        <v>0</v>
      </c>
      <c r="M13" s="194" t="n">
        <f aca="false">IF(M12&gt;0,(COS(PI()*(M12-1)/③기타_가정!$E$15)-COS(PI()*M12/③기타_가정!$E$15))/2,0)</f>
        <v>0</v>
      </c>
      <c r="N13" s="194" t="n">
        <f aca="false">IF(N12&gt;0,(COS(PI()*(N12-1)/③기타_가정!$E$15)-COS(PI()*N12/③기타_가정!$E$15))/2,0)</f>
        <v>0</v>
      </c>
      <c r="O13" s="194" t="n">
        <f aca="false">IF(O12&gt;0,(COS(PI()*(O12-1)/③기타_가정!$E$15)-COS(PI()*O12/③기타_가정!$E$15))/2,0)</f>
        <v>0</v>
      </c>
      <c r="P13" s="194" t="n">
        <f aca="false">IF(P12&gt;0,(COS(PI()*(P12-1)/③기타_가정!$E$15)-COS(PI()*P12/③기타_가정!$E$15))/2,0)</f>
        <v>0</v>
      </c>
      <c r="Q13" s="194" t="n">
        <f aca="false">IF(Q12&gt;0,(COS(PI()*(Q12-1)/③기타_가정!$E$15)-COS(PI()*Q12/③기타_가정!$E$15))/2,0)</f>
        <v>0</v>
      </c>
      <c r="R13" s="194" t="n">
        <f aca="false">IF(R12&gt;0,(COS(PI()*(R12-1)/③기타_가정!$E$15)-COS(PI()*R12/③기타_가정!$E$15))/2,0)</f>
        <v>0</v>
      </c>
      <c r="S13" s="194" t="n">
        <f aca="false">IF(S12&gt;0,(COS(PI()*(S12-1)/③기타_가정!$E$15)-COS(PI()*S12/③기타_가정!$E$15))/2,0)</f>
        <v>0</v>
      </c>
      <c r="T13" s="194" t="n">
        <f aca="false">IF(T12&gt;0,(COS(PI()*(T12-1)/③기타_가정!$E$15)-COS(PI()*T12/③기타_가정!$E$15))/2,0)</f>
        <v>0</v>
      </c>
      <c r="U13" s="194" t="n">
        <f aca="false">IF(U12&gt;0,(COS(PI()*(U12-1)/③기타_가정!$E$15)-COS(PI()*U12/③기타_가정!$E$15))/2,0)</f>
        <v>0</v>
      </c>
      <c r="V13" s="194" t="n">
        <f aca="false">IF(V12&gt;0,(COS(PI()*(V12-1)/③기타_가정!$E$15)-COS(PI()*V12/③기타_가정!$E$15))/2,0)</f>
        <v>0</v>
      </c>
      <c r="W13" s="194" t="n">
        <f aca="false">IF(W12&gt;0,(COS(PI()*(W12-1)/③기타_가정!$E$15)-COS(PI()*W12/③기타_가정!$E$15))/2,0)</f>
        <v>0.00139810140940994</v>
      </c>
      <c r="X13" s="194" t="n">
        <f aca="false">IF(X12&gt;0,(COS(PI()*(X12-1)/③기타_가정!$E$15)-COS(PI()*X12/③기타_가정!$E$15))/2,0)</f>
        <v>0.0041864854780258</v>
      </c>
      <c r="Y13" s="194" t="n">
        <f aca="false">IF(Y12&gt;0,(COS(PI()*(Y12-1)/③기타_가정!$E$15)-COS(PI()*Y12/③기타_가정!$E$15))/2,0)</f>
        <v>0.00695145702165245</v>
      </c>
      <c r="Z13" s="194" t="n">
        <f aca="false">IF(Z12&gt;0,(COS(PI()*(Z12-1)/③기타_가정!$E$15)-COS(PI()*Z12/③기타_가정!$E$15))/2,0)</f>
        <v>0.00967755319784147</v>
      </c>
      <c r="AA13" s="194" t="n">
        <f aca="false">IF(AA12&gt;0,(COS(PI()*(AA12-1)/③기타_가정!$E$15)-COS(PI()*AA12/③기타_가정!$E$15))/2,0)</f>
        <v>0.0123495285709682</v>
      </c>
      <c r="AB13" s="194" t="n">
        <f aca="false">IF(AB12&gt;0,(COS(PI()*(AB12-1)/③기타_가정!$E$15)-COS(PI()*AB12/③기타_가정!$E$15))/2,0)</f>
        <v>0.0149524403708926</v>
      </c>
      <c r="AC13" s="194" t="n">
        <f aca="false">IF(AC12&gt;0,(COS(PI()*(AC12-1)/③기타_가정!$E$15)-COS(PI()*AC12/③기타_가정!$E$15))/2,0)</f>
        <v>0.0174717320589902</v>
      </c>
      <c r="AD13" s="194" t="n">
        <f aca="false">IF(AD12&gt;0,(COS(PI()*(AD12-1)/③기타_가정!$E$15)-COS(PI()*AD12/③기타_가정!$E$15))/2,0)</f>
        <v>0.0198933147342219</v>
      </c>
      <c r="AE13" s="194" t="n">
        <f aca="false">IF(AE12&gt;0,(COS(PI()*(AE12-1)/③기타_가정!$E$15)-COS(PI()*AE12/③기타_가정!$E$15))/2,0)</f>
        <v>0.0222036459239826</v>
      </c>
      <c r="AF13" s="194" t="n">
        <f aca="false">IF(AF12&gt;0,(COS(PI()*(AF12-1)/③기타_가정!$E$15)-COS(PI()*AF12/③기타_가정!$E$15))/2,0)</f>
        <v>0.0243898053191017</v>
      </c>
      <c r="AG13" s="194" t="n">
        <f aca="false">IF(AG12&gt;0,(COS(PI()*(AG12-1)/③기타_가정!$E$15)-COS(PI()*AG12/③기타_가정!$E$15))/2,0)</f>
        <v>0.0264395670294534</v>
      </c>
      <c r="AH13" s="194" t="n">
        <f aca="false">IF(AH12&gt;0,(COS(PI()*(AH12-1)/③기타_가정!$E$15)-COS(PI()*AH12/③기타_가정!$E$15))/2,0)</f>
        <v>0.0283414679560929</v>
      </c>
      <c r="AI13" s="194" t="n">
        <f aca="false">IF(AI12&gt;0,(COS(PI()*(AI12-1)/③기타_가정!$E$15)-COS(PI()*AI12/③기타_가정!$E$15))/2,0)</f>
        <v>0.0300848718975558</v>
      </c>
      <c r="AJ13" s="194" t="n">
        <f aca="false">IF(AJ12&gt;0,(COS(PI()*(AJ12-1)/③기타_가정!$E$15)-COS(PI()*AJ12/③기타_가정!$E$15))/2,0)</f>
        <v>0.0316600290318109</v>
      </c>
      <c r="AK13" s="194" t="n">
        <f aca="false">IF(AK12&gt;0,(COS(PI()*(AK12-1)/③기타_가정!$E$15)-COS(PI()*AK12/③기타_가정!$E$15))/2,0)</f>
        <v>0.033058130441221</v>
      </c>
      <c r="AL13" s="194" t="n">
        <f aca="false">IF(AL12&gt;0,(COS(PI()*(AL12-1)/③기타_가정!$E$15)-COS(PI()*AL12/③기타_가정!$E$15))/2,0)</f>
        <v>0.0342713573755816</v>
      </c>
      <c r="AM13" s="194" t="n">
        <f aca="false">IF(AM12&gt;0,(COS(PI()*(AM12-1)/③기타_가정!$E$15)-COS(PI()*AM12/③기타_가정!$E$15))/2,0)</f>
        <v>0.0352929249777454</v>
      </c>
      <c r="AN13" s="194" t="n">
        <f aca="false">IF(AN12&gt;0,(COS(PI()*(AN12-1)/③기타_가정!$E$15)-COS(PI()*AN12/③기타_가정!$E$15))/2,0)</f>
        <v>0.0361171202272948</v>
      </c>
      <c r="AO13" s="194" t="n">
        <f aca="false">IF(AO12&gt;0,(COS(PI()*(AO12-1)/③기타_가정!$E$15)-COS(PI()*AO12/③기타_가정!$E$15))/2,0)</f>
        <v>0.0367393338900699</v>
      </c>
      <c r="AP13" s="194" t="n">
        <f aca="false">IF(AP12&gt;0,(COS(PI()*(AP12-1)/③기타_가정!$E$15)-COS(PI()*AP12/③기타_가정!$E$15))/2,0)</f>
        <v>0.0371560862948751</v>
      </c>
      <c r="AQ13" s="194" t="n">
        <f aca="false">IF(AQ12&gt;0,(COS(PI()*(AQ12-1)/③기타_가정!$E$15)-COS(PI()*AQ12/③기타_가정!$E$15))/2,0)</f>
        <v>0.0373650467932122</v>
      </c>
      <c r="AR13" s="194" t="n">
        <f aca="false">IF(AR12&gt;0,(COS(PI()*(AR12-1)/③기타_가정!$E$15)-COS(PI()*AR12/③기타_가정!$E$15))/2,0)</f>
        <v>0.0373650467932121</v>
      </c>
      <c r="AS13" s="194" t="n">
        <f aca="false">IF(AS12&gt;0,(COS(PI()*(AS12-1)/③기타_가정!$E$15)-COS(PI()*AS12/③기타_가정!$E$15))/2,0)</f>
        <v>0.0371560862948751</v>
      </c>
      <c r="AT13" s="194" t="n">
        <f aca="false">IF(AT12&gt;0,(COS(PI()*(AT12-1)/③기타_가정!$E$15)-COS(PI()*AT12/③기타_가정!$E$15))/2,0)</f>
        <v>0.03673933389007</v>
      </c>
      <c r="AU13" s="194" t="n">
        <f aca="false">IF(AU12&gt;0,(COS(PI()*(AU12-1)/③기타_가정!$E$15)-COS(PI()*AU12/③기타_가정!$E$15))/2,0)</f>
        <v>0.0361171202272949</v>
      </c>
      <c r="AV13" s="194" t="n">
        <f aca="false">IF(AV12&gt;0,(COS(PI()*(AV12-1)/③기타_가정!$E$15)-COS(PI()*AV12/③기타_가정!$E$15))/2,0)</f>
        <v>0.0352929249777454</v>
      </c>
      <c r="AW13" s="194" t="n">
        <f aca="false">IF(AW12&gt;0,(COS(PI()*(AW12-1)/③기타_가정!$E$15)-COS(PI()*AW12/③기타_가정!$E$15))/2,0)</f>
        <v>0.0342713573755815</v>
      </c>
      <c r="AX13" s="194" t="n">
        <f aca="false">IF(AX12&gt;0,(COS(PI()*(AX12-1)/③기타_가정!$E$15)-COS(PI()*AX12/③기타_가정!$E$15))/2,0)</f>
        <v>0.0330581304412209</v>
      </c>
      <c r="AY13" s="194" t="n">
        <f aca="false">IF(AY12&gt;0,(COS(PI()*(AY12-1)/③기타_가정!$E$15)-COS(PI()*AY12/③기타_가정!$E$15))/2,0)</f>
        <v>0.0316600290318111</v>
      </c>
      <c r="AZ13" s="194" t="n">
        <f aca="false">IF(AZ12&gt;0,(COS(PI()*(AZ12-1)/③기타_가정!$E$15)-COS(PI()*AZ12/③기타_가정!$E$15))/2,0)</f>
        <v>0.0300848718975557</v>
      </c>
      <c r="BA13" s="194" t="n">
        <f aca="false">IF(BA12&gt;0,(COS(PI()*(BA12-1)/③기타_가정!$E$15)-COS(PI()*BA12/③기타_가정!$E$15))/2,0)</f>
        <v>0.0283414679560929</v>
      </c>
      <c r="BB13" s="194" t="n">
        <f aca="false">IF(BB12&gt;0,(COS(PI()*(BB12-1)/③기타_가정!$E$15)-COS(PI()*BB12/③기타_가정!$E$15))/2,0)</f>
        <v>0.0264395670294535</v>
      </c>
      <c r="BC13" s="194" t="n">
        <f aca="false">IF(BC12&gt;0,(COS(PI()*(BC12-1)/③기타_가정!$E$15)-COS(PI()*BC12/③기타_가정!$E$15))/2,0)</f>
        <v>0.0243898053191017</v>
      </c>
      <c r="BD13" s="194" t="n">
        <f aca="false">IF(BD12&gt;0,(COS(PI()*(BD12-1)/③기타_가정!$E$15)-COS(PI()*BD12/③기타_가정!$E$15))/2,0)</f>
        <v>0.0222036459239826</v>
      </c>
      <c r="BE13" s="194" t="n">
        <f aca="false">IF(BE12&gt;0,(COS(PI()*(BE12-1)/③기타_가정!$E$15)-COS(PI()*BE12/③기타_가정!$E$15))/2,0)</f>
        <v>0.0198933147342217</v>
      </c>
      <c r="BF13" s="194" t="n">
        <f aca="false">IF(BF12&gt;0,(COS(PI()*(BF12-1)/③기타_가정!$E$15)-COS(PI()*BF12/③기타_가정!$E$15))/2,0)</f>
        <v>0.0174717320589903</v>
      </c>
      <c r="BG13" s="194" t="n">
        <f aca="false">IF(BG12&gt;0,(COS(PI()*(BG12-1)/③기타_가정!$E$15)-COS(PI()*BG12/③기타_가정!$E$15))/2,0)</f>
        <v>0.0149524403708927</v>
      </c>
      <c r="BH13" s="194" t="n">
        <f aca="false">IF(BH12&gt;0,(COS(PI()*(BH12-1)/③기타_가정!$E$15)-COS(PI()*BH12/③기타_가정!$E$15))/2,0)</f>
        <v>0.0123495285709681</v>
      </c>
      <c r="BI13" s="194" t="n">
        <f aca="false">IF(BI12&gt;0,(COS(PI()*(BI12-1)/③기타_가정!$E$15)-COS(PI()*BI12/③기타_가정!$E$15))/2,0)</f>
        <v>0.00967755319784153</v>
      </c>
      <c r="BJ13" s="194" t="n">
        <f aca="false">IF(BJ12&gt;0,(COS(PI()*(BJ12-1)/③기타_가정!$E$15)-COS(PI()*BJ12/③기타_가정!$E$15))/2,0)</f>
        <v>0.00695145702165245</v>
      </c>
      <c r="BK13" s="194" t="n">
        <f aca="false">IF(BK12&gt;0,(COS(PI()*(BK12-1)/③기타_가정!$E$15)-COS(PI()*BK12/③기타_가정!$E$15))/2,0)</f>
        <v>0.0041864854780258</v>
      </c>
      <c r="BL13" s="194" t="n">
        <f aca="false">IF(BL12&gt;0,(COS(PI()*(BL12-1)/③기타_가정!$E$15)-COS(PI()*BL12/③기타_가정!$E$15))/2,0)</f>
        <v>0.00139810140940994</v>
      </c>
      <c r="BM13" s="194" t="n">
        <f aca="false">IF(BM12&gt;0,(COS(PI()*(BM12-1)/③기타_가정!$E$15)-COS(PI()*BM12/③기타_가정!$E$15))/2,0)</f>
        <v>0</v>
      </c>
      <c r="BN13" s="194" t="n">
        <f aca="false">IF(BN12&gt;0,(COS(PI()*(BN12-1)/③기타_가정!$E$15)-COS(PI()*BN12/③기타_가정!$E$15))/2,0)</f>
        <v>0</v>
      </c>
      <c r="BO13" s="194" t="n">
        <f aca="false">IF(BO12&gt;0,(COS(PI()*(BO12-1)/③기타_가정!$E$15)-COS(PI()*BO12/③기타_가정!$E$15))/2,0)</f>
        <v>0</v>
      </c>
      <c r="BP13" s="194" t="n">
        <f aca="false">IF(BP12&gt;0,(COS(PI()*(BP12-1)/③기타_가정!$E$15)-COS(PI()*BP12/③기타_가정!$E$15))/2,0)</f>
        <v>0</v>
      </c>
      <c r="BQ13" s="194" t="n">
        <f aca="false">IF(BQ12&gt;0,(COS(PI()*(BQ12-1)/③기타_가정!$E$15)-COS(PI()*BQ12/③기타_가정!$E$15))/2,0)</f>
        <v>0</v>
      </c>
      <c r="BR13" s="194" t="n">
        <f aca="false">IF(BR12&gt;0,(COS(PI()*(BR12-1)/③기타_가정!$E$15)-COS(PI()*BR12/③기타_가정!$E$15))/2,0)</f>
        <v>0</v>
      </c>
      <c r="BS13" s="194" t="n">
        <f aca="false">IF(BS12&gt;0,(COS(PI()*(BS12-1)/③기타_가정!$E$15)-COS(PI()*BS12/③기타_가정!$E$15))/2,0)</f>
        <v>0</v>
      </c>
      <c r="BT13" s="194" t="n">
        <f aca="false">IF(BT12&gt;0,(COS(PI()*(BT12-1)/③기타_가정!$E$15)-COS(PI()*BT12/③기타_가정!$E$15))/2,0)</f>
        <v>0</v>
      </c>
      <c r="BU13" s="194" t="n">
        <f aca="false">IF(BU12&gt;0,(COS(PI()*(BU12-1)/③기타_가정!$E$15)-COS(PI()*BU12/③기타_가정!$E$15))/2,0)</f>
        <v>0</v>
      </c>
      <c r="BV13" s="194" t="n">
        <f aca="false">IF(BV12&gt;0,(COS(PI()*(BV12-1)/③기타_가정!$E$15)-COS(PI()*BV12/③기타_가정!$E$15))/2,0)</f>
        <v>0</v>
      </c>
      <c r="BW13" s="194" t="n">
        <f aca="false">IF(BW12&gt;0,(COS(PI()*(BW12-1)/③기타_가정!$E$15)-COS(PI()*BW12/③기타_가정!$E$15))/2,0)</f>
        <v>0</v>
      </c>
      <c r="BX13" s="194" t="n">
        <f aca="false">IF(BX12&gt;0,(COS(PI()*(BX12-1)/③기타_가정!$E$15)-COS(PI()*BX12/③기타_가정!$E$15))/2,0)</f>
        <v>0</v>
      </c>
      <c r="BY13" s="194" t="n">
        <f aca="false">IF(BY12&gt;0,(COS(PI()*(BY12-1)/③기타_가정!$E$15)-COS(PI()*BY12/③기타_가정!$E$15))/2,0)</f>
        <v>0</v>
      </c>
      <c r="BZ13" s="194" t="n">
        <f aca="false">IF(BZ12&gt;0,(COS(PI()*(BZ12-1)/③기타_가정!$E$15)-COS(PI()*BZ12/③기타_가정!$E$15))/2,0)</f>
        <v>0</v>
      </c>
      <c r="CA13" s="194" t="n">
        <f aca="false">IF(CA12&gt;0,(COS(PI()*(CA12-1)/③기타_가정!$E$15)-COS(PI()*CA12/③기타_가정!$E$15))/2,0)</f>
        <v>0</v>
      </c>
      <c r="CB13" s="194" t="n">
        <f aca="false">IF(CB12&gt;0,(COS(PI()*(CB12-1)/③기타_가정!$E$15)-COS(PI()*CB12/③기타_가정!$E$15))/2,0)</f>
        <v>0</v>
      </c>
      <c r="CC13" s="194" t="n">
        <f aca="false">IF(CC12&gt;0,(COS(PI()*(CC12-1)/③기타_가정!$E$15)-COS(PI()*CC12/③기타_가정!$E$15))/2,0)</f>
        <v>0</v>
      </c>
      <c r="CD13" s="194" t="n">
        <f aca="false">IF(CD12&gt;0,(COS(PI()*(CD12-1)/③기타_가정!$E$15)-COS(PI()*CD12/③기타_가정!$E$15))/2,0)</f>
        <v>0</v>
      </c>
      <c r="CE13" s="194" t="n">
        <f aca="false">IF(CE12&gt;0,(COS(PI()*(CE12-1)/③기타_가정!$E$15)-COS(PI()*CE12/③기타_가정!$E$15))/2,0)</f>
        <v>0</v>
      </c>
      <c r="CF13" s="194" t="n">
        <f aca="false">IF(CF12&gt;0,(COS(PI()*(CF12-1)/③기타_가정!$E$15)-COS(PI()*CF12/③기타_가정!$E$15))/2,0)</f>
        <v>0</v>
      </c>
      <c r="CG13" s="194" t="n">
        <f aca="false">IF(CG12&gt;0,(COS(PI()*(CG12-1)/③기타_가정!$E$15)-COS(PI()*CG12/③기타_가정!$E$15))/2,0)</f>
        <v>0</v>
      </c>
      <c r="CH13" s="194" t="n">
        <f aca="false">IF(CH12&gt;0,(COS(PI()*(CH12-1)/③기타_가정!$E$15)-COS(PI()*CH12/③기타_가정!$E$15))/2,0)</f>
        <v>0</v>
      </c>
      <c r="CI13" s="194" t="n">
        <f aca="false">IF(CI12&gt;0,(COS(PI()*(CI12-1)/③기타_가정!$E$15)-COS(PI()*CI12/③기타_가정!$E$15))/2,0)</f>
        <v>0</v>
      </c>
      <c r="CJ13" s="194" t="n">
        <f aca="false">IF(CJ12&gt;0,(COS(PI()*(CJ12-1)/③기타_가정!$E$15)-COS(PI()*CJ12/③기타_가정!$E$15))/2,0)</f>
        <v>0</v>
      </c>
      <c r="CK13" s="194" t="n">
        <f aca="false">IF(CK12&gt;0,(COS(PI()*(CK12-1)/③기타_가정!$E$15)-COS(PI()*CK12/③기타_가정!$E$15))/2,0)</f>
        <v>0</v>
      </c>
      <c r="CL13" s="194" t="n">
        <f aca="false">IF(CL12&gt;0,(COS(PI()*(CL12-1)/③기타_가정!$E$15)-COS(PI()*CL12/③기타_가정!$E$15))/2,0)</f>
        <v>0</v>
      </c>
      <c r="CM13" s="194" t="n">
        <f aca="false">IF(CM12&gt;0,(COS(PI()*(CM12-1)/③기타_가정!$E$15)-COS(PI()*CM12/③기타_가정!$E$15))/2,0)</f>
        <v>0</v>
      </c>
      <c r="CN13" s="194" t="n">
        <f aca="false">IF(CN12&gt;0,(COS(PI()*(CN12-1)/③기타_가정!$E$15)-COS(PI()*CN12/③기타_가정!$E$15))/2,0)</f>
        <v>0</v>
      </c>
      <c r="CO13" s="194" t="n">
        <f aca="false">IF(CO12&gt;0,(COS(PI()*(CO12-1)/③기타_가정!$E$15)-COS(PI()*CO12/③기타_가정!$E$15))/2,0)</f>
        <v>0</v>
      </c>
      <c r="CP13" s="194" t="n">
        <f aca="false">IF(CP12&gt;0,(COS(PI()*(CP12-1)/③기타_가정!$E$15)-COS(PI()*CP12/③기타_가정!$E$15))/2,0)</f>
        <v>0</v>
      </c>
      <c r="CQ13" s="194" t="n">
        <f aca="false">IF(CQ12&gt;0,(COS(PI()*(CQ12-1)/③기타_가정!$E$15)-COS(PI()*CQ12/③기타_가정!$E$15))/2,0)</f>
        <v>0</v>
      </c>
      <c r="CR13" s="194" t="n">
        <f aca="false">IF(CR12&gt;0,(COS(PI()*(CR12-1)/③기타_가정!$E$15)-COS(PI()*CR12/③기타_가정!$E$15))/2,0)</f>
        <v>0</v>
      </c>
      <c r="CS13" s="194" t="n">
        <f aca="false">IF(CS12&gt;0,(COS(PI()*(CS12-1)/③기타_가정!$E$15)-COS(PI()*CS12/③기타_가정!$E$15))/2,0)</f>
        <v>0</v>
      </c>
      <c r="CT13" s="194" t="n">
        <f aca="false">IF(CT12&gt;0,(COS(PI()*(CT12-1)/③기타_가정!$E$15)-COS(PI()*CT12/③기타_가정!$E$15))/2,0)</f>
        <v>0</v>
      </c>
      <c r="CU13" s="194" t="n">
        <f aca="false">IF(CU12&gt;0,(COS(PI()*(CU12-1)/③기타_가정!$E$15)-COS(PI()*CU12/③기타_가정!$E$15))/2,0)</f>
        <v>0</v>
      </c>
      <c r="CV13" s="194" t="n">
        <f aca="false">IF(CV12&gt;0,(COS(PI()*(CV12-1)/③기타_가정!$E$15)-COS(PI()*CV12/③기타_가정!$E$15))/2,0)</f>
        <v>0</v>
      </c>
      <c r="CW13" s="194" t="n">
        <f aca="false">IF(CW12&gt;0,(COS(PI()*(CW12-1)/③기타_가정!$E$15)-COS(PI()*CW12/③기타_가정!$E$15))/2,0)</f>
        <v>0</v>
      </c>
      <c r="CX13" s="194" t="n">
        <f aca="false">IF(CX12&gt;0,(COS(PI()*(CX12-1)/③기타_가정!$E$15)-COS(PI()*CX12/③기타_가정!$E$15))/2,0)</f>
        <v>0</v>
      </c>
      <c r="CY13" s="194" t="n">
        <f aca="false">IF(CY12&gt;0,(COS(PI()*(CY12-1)/③기타_가정!$E$15)-COS(PI()*CY12/③기타_가정!$E$15))/2,0)</f>
        <v>0</v>
      </c>
      <c r="CZ13" s="194" t="n">
        <f aca="false">IF(CZ12&gt;0,(COS(PI()*(CZ12-1)/③기타_가정!$E$15)-COS(PI()*CZ12/③기타_가정!$E$15))/2,0)</f>
        <v>0</v>
      </c>
      <c r="DA13" s="194" t="n">
        <f aca="false">IF(DA12&gt;0,(COS(PI()*(DA12-1)/③기타_가정!$E$15)-COS(PI()*DA12/③기타_가정!$E$15))/2,0)</f>
        <v>0</v>
      </c>
      <c r="DB13" s="194" t="n">
        <f aca="false">IF(DB12&gt;0,(COS(PI()*(DB12-1)/③기타_가정!$E$15)-COS(PI()*DB12/③기타_가정!$E$15))/2,0)</f>
        <v>0</v>
      </c>
      <c r="DC13" s="194" t="n">
        <f aca="false">IF(DC12&gt;0,(COS(PI()*(DC12-1)/③기타_가정!$E$15)-COS(PI()*DC12/③기타_가정!$E$15))/2,0)</f>
        <v>0</v>
      </c>
      <c r="DD13" s="194" t="n">
        <f aca="false">IF(DD12&gt;0,(COS(PI()*(DD12-1)/③기타_가정!$E$15)-COS(PI()*DD12/③기타_가정!$E$15))/2,0)</f>
        <v>0</v>
      </c>
      <c r="DE13" s="194" t="n">
        <f aca="false">IF(DE12&gt;0,(COS(PI()*(DE12-1)/③기타_가정!$E$15)-COS(PI()*DE12/③기타_가정!$E$15))/2,0)</f>
        <v>0</v>
      </c>
      <c r="DF13" s="194" t="n">
        <f aca="false">IF(DF12&gt;0,(COS(PI()*(DF12-1)/③기타_가정!$E$15)-COS(PI()*DF12/③기타_가정!$E$15))/2,0)</f>
        <v>0</v>
      </c>
      <c r="DG13" s="194" t="n">
        <f aca="false">IF(DG12&gt;0,(COS(PI()*(DG12-1)/③기타_가정!$E$15)-COS(PI()*DG12/③기타_가정!$E$15))/2,0)</f>
        <v>0</v>
      </c>
      <c r="DH13" s="194" t="n">
        <f aca="false">IF(DH12&gt;0,(COS(PI()*(DH12-1)/③기타_가정!$E$15)-COS(PI()*DH12/③기타_가정!$E$15))/2,0)</f>
        <v>0</v>
      </c>
      <c r="DI13" s="194" t="n">
        <f aca="false">IF(DI12&gt;0,(COS(PI()*(DI12-1)/③기타_가정!$E$15)-COS(PI()*DI12/③기타_가정!$E$15))/2,0)</f>
        <v>0</v>
      </c>
      <c r="DJ13" s="194" t="n">
        <f aca="false">IF(DJ12&gt;0,(COS(PI()*(DJ12-1)/③기타_가정!$E$15)-COS(PI()*DJ12/③기타_가정!$E$15))/2,0)</f>
        <v>0</v>
      </c>
      <c r="DK13" s="194" t="n">
        <f aca="false">IF(DK12&gt;0,(COS(PI()*(DK12-1)/③기타_가정!$E$15)-COS(PI()*DK12/③기타_가정!$E$15))/2,0)</f>
        <v>0</v>
      </c>
      <c r="DL13" s="194" t="n">
        <f aca="false">IF(DL12&gt;0,(COS(PI()*(DL12-1)/③기타_가정!$E$15)-COS(PI()*DL12/③기타_가정!$E$15))/2,0)</f>
        <v>0</v>
      </c>
      <c r="DM13" s="194" t="n">
        <f aca="false">IF(DM12&gt;0,(COS(PI()*(DM12-1)/③기타_가정!$E$15)-COS(PI()*DM12/③기타_가정!$E$15))/2,0)</f>
        <v>0</v>
      </c>
      <c r="DN13" s="194" t="n">
        <f aca="false">IF(DN12&gt;0,(COS(PI()*(DN12-1)/③기타_가정!$E$15)-COS(PI()*DN12/③기타_가정!$E$15))/2,0)</f>
        <v>0</v>
      </c>
      <c r="DO13" s="194" t="n">
        <f aca="false">IF(DO12&gt;0,(COS(PI()*(DO12-1)/③기타_가정!$E$15)-COS(PI()*DO12/③기타_가정!$E$15))/2,0)</f>
        <v>0</v>
      </c>
      <c r="DP13" s="194" t="n">
        <f aca="false">IF(DP12&gt;0,(COS(PI()*(DP12-1)/③기타_가정!$E$15)-COS(PI()*DP12/③기타_가정!$E$15))/2,0)</f>
        <v>0</v>
      </c>
      <c r="DQ13" s="194" t="n">
        <f aca="false">IF(DQ12&gt;0,(COS(PI()*(DQ12-1)/③기타_가정!$E$15)-COS(PI()*DQ12/③기타_가정!$E$15))/2,0)</f>
        <v>0</v>
      </c>
      <c r="DR13" s="194" t="n">
        <f aca="false">IF(DR12&gt;0,(COS(PI()*(DR12-1)/③기타_가정!$E$15)-COS(PI()*DR12/③기타_가정!$E$15))/2,0)</f>
        <v>0</v>
      </c>
      <c r="DS13" s="194" t="n">
        <f aca="false">IF(DS12&gt;0,(COS(PI()*(DS12-1)/③기타_가정!$E$15)-COS(PI()*DS12/③기타_가정!$E$15))/2,0)</f>
        <v>0</v>
      </c>
      <c r="DT13" s="194" t="n">
        <f aca="false">IF(DT12&gt;0,(COS(PI()*(DT12-1)/③기타_가정!$E$15)-COS(PI()*DT12/③기타_가정!$E$15))/2,0)</f>
        <v>0</v>
      </c>
      <c r="DU13" s="194" t="n">
        <f aca="false">IF(DU12&gt;0,(COS(PI()*(DU12-1)/③기타_가정!$E$15)-COS(PI()*DU12/③기타_가정!$E$15))/2,0)</f>
        <v>0</v>
      </c>
      <c r="DV13" s="194" t="n">
        <f aca="false">IF(DV12&gt;0,(COS(PI()*(DV12-1)/③기타_가정!$E$15)-COS(PI()*DV12/③기타_가정!$E$15))/2,0)</f>
        <v>0</v>
      </c>
      <c r="DW13" s="194" t="n">
        <f aca="false">IF(DW12&gt;0,(COS(PI()*(DW12-1)/③기타_가정!$E$15)-COS(PI()*DW12/③기타_가정!$E$15))/2,0)</f>
        <v>0</v>
      </c>
      <c r="DX13" s="194" t="n">
        <f aca="false">IF(DX12&gt;0,(COS(PI()*(DX12-1)/③기타_가정!$E$15)-COS(PI()*DX12/③기타_가정!$E$15))/2,0)</f>
        <v>0</v>
      </c>
      <c r="DY13" s="194" t="n">
        <f aca="false">IF(DY12&gt;0,(COS(PI()*(DY12-1)/③기타_가정!$E$15)-COS(PI()*DY12/③기타_가정!$E$15))/2,0)</f>
        <v>0</v>
      </c>
      <c r="DZ13" s="194" t="n">
        <f aca="false">IF(DZ12&gt;0,(COS(PI()*(DZ12-1)/③기타_가정!$E$15)-COS(PI()*DZ12/③기타_가정!$E$15))/2,0)</f>
        <v>0</v>
      </c>
      <c r="EA13" s="194" t="n">
        <f aca="false">IF(EA12&gt;0,(COS(PI()*(EA12-1)/③기타_가정!$E$15)-COS(PI()*EA12/③기타_가정!$E$15))/2,0)</f>
        <v>0</v>
      </c>
      <c r="EB13" s="194" t="n">
        <f aca="false">IF(EB12&gt;0,(COS(PI()*(EB12-1)/③기타_가정!$E$15)-COS(PI()*EB12/③기타_가정!$E$15))/2,0)</f>
        <v>0</v>
      </c>
      <c r="EC13" s="194" t="n">
        <f aca="false">IF(EC12&gt;0,(COS(PI()*(EC12-1)/③기타_가정!$E$15)-COS(PI()*EC12/③기타_가정!$E$15))/2,0)</f>
        <v>0</v>
      </c>
      <c r="ED13" s="194" t="n">
        <f aca="false">IF(ED12&gt;0,(COS(PI()*(ED12-1)/③기타_가정!$E$15)-COS(PI()*ED12/③기타_가정!$E$15))/2,0)</f>
        <v>0</v>
      </c>
      <c r="EE13" s="194" t="n">
        <f aca="false">IF(EE12&gt;0,(COS(PI()*(EE12-1)/③기타_가정!$E$15)-COS(PI()*EE12/③기타_가정!$E$15))/2,0)</f>
        <v>0</v>
      </c>
      <c r="EF13" s="194" t="n">
        <f aca="false">IF(EF12&gt;0,(COS(PI()*(EF12-1)/③기타_가정!$E$15)-COS(PI()*EF12/③기타_가정!$E$15))/2,0)</f>
        <v>0</v>
      </c>
    </row>
    <row r="14" customFormat="false" ht="15" hidden="false" customHeight="false" outlineLevel="0" collapsed="false">
      <c r="A14" s="36" t="s">
        <v>570</v>
      </c>
      <c r="B14" s="273"/>
      <c r="E14" s="276" t="n">
        <f aca="false">IF(AND(E6&gt;=③기타_가정!$E$18,E6&lt;=③기타_가정!$E$20),1,0)</f>
        <v>0</v>
      </c>
      <c r="F14" s="276" t="n">
        <f aca="false">IF(AND(F6&gt;=③기타_가정!$E$18,F6&lt;=③기타_가정!$E$20),1,0)</f>
        <v>0</v>
      </c>
      <c r="G14" s="276" t="n">
        <f aca="false">IF(AND(G6&gt;=③기타_가정!$E$18,G6&lt;=③기타_가정!$E$20),1,0)</f>
        <v>0</v>
      </c>
      <c r="H14" s="276" t="n">
        <f aca="false">IF(AND(H6&gt;=③기타_가정!$E$18,H6&lt;=③기타_가정!$E$20),1,0)</f>
        <v>0</v>
      </c>
      <c r="I14" s="276" t="n">
        <f aca="false">IF(AND(I6&gt;=③기타_가정!$E$18,I6&lt;=③기타_가정!$E$20),1,0)</f>
        <v>0</v>
      </c>
      <c r="J14" s="276" t="n">
        <f aca="false">IF(AND(J6&gt;=③기타_가정!$E$18,J6&lt;=③기타_가정!$E$20),1,0)</f>
        <v>0</v>
      </c>
      <c r="K14" s="276" t="n">
        <f aca="false">IF(AND(K6&gt;=③기타_가정!$E$18,K6&lt;=③기타_가정!$E$20),1,0)</f>
        <v>0</v>
      </c>
      <c r="L14" s="276" t="n">
        <f aca="false">IF(AND(L6&gt;=③기타_가정!$E$18,L6&lt;=③기타_가정!$E$20),1,0)</f>
        <v>0</v>
      </c>
      <c r="M14" s="276" t="n">
        <f aca="false">IF(AND(M6&gt;=③기타_가정!$E$18,M6&lt;=③기타_가정!$E$20),1,0)</f>
        <v>0</v>
      </c>
      <c r="N14" s="276" t="n">
        <f aca="false">IF(AND(N6&gt;=③기타_가정!$E$18,N6&lt;=③기타_가정!$E$20),1,0)</f>
        <v>0</v>
      </c>
      <c r="O14" s="276" t="n">
        <f aca="false">IF(AND(O6&gt;=③기타_가정!$E$18,O6&lt;=③기타_가정!$E$20),1,0)</f>
        <v>0</v>
      </c>
      <c r="P14" s="276" t="n">
        <f aca="false">IF(AND(P6&gt;=③기타_가정!$E$18,P6&lt;=③기타_가정!$E$20),1,0)</f>
        <v>0</v>
      </c>
      <c r="Q14" s="276" t="n">
        <f aca="false">IF(AND(Q6&gt;=③기타_가정!$E$18,Q6&lt;=③기타_가정!$E$20),1,0)</f>
        <v>0</v>
      </c>
      <c r="R14" s="276" t="n">
        <f aca="false">IF(AND(R6&gt;=③기타_가정!$E$18,R6&lt;=③기타_가정!$E$20),1,0)</f>
        <v>0</v>
      </c>
      <c r="S14" s="276" t="n">
        <f aca="false">IF(AND(S6&gt;=③기타_가정!$E$18,S6&lt;=③기타_가정!$E$20),1,0)</f>
        <v>0</v>
      </c>
      <c r="T14" s="276" t="n">
        <f aca="false">IF(AND(T6&gt;=③기타_가정!$E$18,T6&lt;=③기타_가정!$E$20),1,0)</f>
        <v>0</v>
      </c>
      <c r="U14" s="276" t="n">
        <f aca="false">IF(AND(U6&gt;=③기타_가정!$E$18,U6&lt;=③기타_가정!$E$20),1,0)</f>
        <v>0</v>
      </c>
      <c r="V14" s="276" t="n">
        <f aca="false">IF(AND(V6&gt;=③기타_가정!$E$18,V6&lt;=③기타_가정!$E$20),1,0)</f>
        <v>0</v>
      </c>
      <c r="W14" s="276" t="n">
        <f aca="false">IF(AND(W6&gt;=③기타_가정!$E$18,W6&lt;=③기타_가정!$E$20),1,0)</f>
        <v>0</v>
      </c>
      <c r="X14" s="276" t="n">
        <f aca="false">IF(AND(X6&gt;=③기타_가정!$E$18,X6&lt;=③기타_가정!$E$20),1,0)</f>
        <v>0</v>
      </c>
      <c r="Y14" s="276" t="n">
        <f aca="false">IF(AND(Y6&gt;=③기타_가정!$E$18,Y6&lt;=③기타_가정!$E$20),1,0)</f>
        <v>0</v>
      </c>
      <c r="Z14" s="276" t="n">
        <f aca="false">IF(AND(Z6&gt;=③기타_가정!$E$18,Z6&lt;=③기타_가정!$E$20),1,0)</f>
        <v>0</v>
      </c>
      <c r="AA14" s="276" t="n">
        <f aca="false">IF(AND(AA6&gt;=③기타_가정!$E$18,AA6&lt;=③기타_가정!$E$20),1,0)</f>
        <v>0</v>
      </c>
      <c r="AB14" s="276" t="n">
        <f aca="false">IF(AND(AB6&gt;=③기타_가정!$E$18,AB6&lt;=③기타_가정!$E$20),1,0)</f>
        <v>0</v>
      </c>
      <c r="AC14" s="276" t="n">
        <f aca="false">IF(AND(AC6&gt;=③기타_가정!$E$18,AC6&lt;=③기타_가정!$E$20),1,0)</f>
        <v>0</v>
      </c>
      <c r="AD14" s="276" t="n">
        <f aca="false">IF(AND(AD6&gt;=③기타_가정!$E$18,AD6&lt;=③기타_가정!$E$20),1,0)</f>
        <v>0</v>
      </c>
      <c r="AE14" s="276" t="n">
        <f aca="false">IF(AND(AE6&gt;=③기타_가정!$E$18,AE6&lt;=③기타_가정!$E$20),1,0)</f>
        <v>0</v>
      </c>
      <c r="AF14" s="276" t="n">
        <f aca="false">IF(AND(AF6&gt;=③기타_가정!$E$18,AF6&lt;=③기타_가정!$E$20),1,0)</f>
        <v>0</v>
      </c>
      <c r="AG14" s="276" t="n">
        <f aca="false">IF(AND(AG6&gt;=③기타_가정!$E$18,AG6&lt;=③기타_가정!$E$20),1,0)</f>
        <v>0</v>
      </c>
      <c r="AH14" s="276" t="n">
        <f aca="false">IF(AND(AH6&gt;=③기타_가정!$E$18,AH6&lt;=③기타_가정!$E$20),1,0)</f>
        <v>0</v>
      </c>
      <c r="AI14" s="276" t="n">
        <f aca="false">IF(AND(AI6&gt;=③기타_가정!$E$18,AI6&lt;=③기타_가정!$E$20),1,0)</f>
        <v>0</v>
      </c>
      <c r="AJ14" s="276" t="n">
        <f aca="false">IF(AND(AJ6&gt;=③기타_가정!$E$18,AJ6&lt;=③기타_가정!$E$20),1,0)</f>
        <v>0</v>
      </c>
      <c r="AK14" s="276" t="n">
        <f aca="false">IF(AND(AK6&gt;=③기타_가정!$E$18,AK6&lt;=③기타_가정!$E$20),1,0)</f>
        <v>0</v>
      </c>
      <c r="AL14" s="276" t="n">
        <f aca="false">IF(AND(AL6&gt;=③기타_가정!$E$18,AL6&lt;=③기타_가정!$E$20),1,0)</f>
        <v>0</v>
      </c>
      <c r="AM14" s="276" t="n">
        <f aca="false">IF(AND(AM6&gt;=③기타_가정!$E$18,AM6&lt;=③기타_가정!$E$20),1,0)</f>
        <v>0</v>
      </c>
      <c r="AN14" s="276" t="n">
        <f aca="false">IF(AND(AN6&gt;=③기타_가정!$E$18,AN6&lt;=③기타_가정!$E$20),1,0)</f>
        <v>0</v>
      </c>
      <c r="AO14" s="276" t="n">
        <f aca="false">IF(AND(AO6&gt;=③기타_가정!$E$18,AO6&lt;=③기타_가정!$E$20),1,0)</f>
        <v>0</v>
      </c>
      <c r="AP14" s="276" t="n">
        <f aca="false">IF(AND(AP6&gt;=③기타_가정!$E$18,AP6&lt;=③기타_가정!$E$20),1,0)</f>
        <v>0</v>
      </c>
      <c r="AQ14" s="276" t="n">
        <f aca="false">IF(AND(AQ6&gt;=③기타_가정!$E$18,AQ6&lt;=③기타_가정!$E$20),1,0)</f>
        <v>0</v>
      </c>
      <c r="AR14" s="276" t="n">
        <f aca="false">IF(AND(AR6&gt;=③기타_가정!$E$18,AR6&lt;=③기타_가정!$E$20),1,0)</f>
        <v>0</v>
      </c>
      <c r="AS14" s="276" t="n">
        <f aca="false">IF(AND(AS6&gt;=③기타_가정!$E$18,AS6&lt;=③기타_가정!$E$20),1,0)</f>
        <v>0</v>
      </c>
      <c r="AT14" s="276" t="n">
        <f aca="false">IF(AND(AT6&gt;=③기타_가정!$E$18,AT6&lt;=③기타_가정!$E$20),1,0)</f>
        <v>0</v>
      </c>
      <c r="AU14" s="276" t="n">
        <f aca="false">IF(AND(AU6&gt;=③기타_가정!$E$18,AU6&lt;=③기타_가정!$E$20),1,0)</f>
        <v>0</v>
      </c>
      <c r="AV14" s="276" t="n">
        <f aca="false">IF(AND(AV6&gt;=③기타_가정!$E$18,AV6&lt;=③기타_가정!$E$20),1,0)</f>
        <v>0</v>
      </c>
      <c r="AW14" s="276" t="n">
        <f aca="false">IF(AND(AW6&gt;=③기타_가정!$E$18,AW6&lt;=③기타_가정!$E$20),1,0)</f>
        <v>0</v>
      </c>
      <c r="AX14" s="276" t="n">
        <f aca="false">IF(AND(AX6&gt;=③기타_가정!$E$18,AX6&lt;=③기타_가정!$E$20),1,0)</f>
        <v>0</v>
      </c>
      <c r="AY14" s="276" t="n">
        <f aca="false">IF(AND(AY6&gt;=③기타_가정!$E$18,AY6&lt;=③기타_가정!$E$20),1,0)</f>
        <v>0</v>
      </c>
      <c r="AZ14" s="276" t="n">
        <f aca="false">IF(AND(AZ6&gt;=③기타_가정!$E$18,AZ6&lt;=③기타_가정!$E$20),1,0)</f>
        <v>0</v>
      </c>
      <c r="BA14" s="276" t="n">
        <f aca="false">IF(AND(BA6&gt;=③기타_가정!$E$18,BA6&lt;=③기타_가정!$E$20),1,0)</f>
        <v>0</v>
      </c>
      <c r="BB14" s="276" t="n">
        <f aca="false">IF(AND(BB6&gt;=③기타_가정!$E$18,BB6&lt;=③기타_가정!$E$20),1,0)</f>
        <v>0</v>
      </c>
      <c r="BC14" s="276" t="n">
        <f aca="false">IF(AND(BC6&gt;=③기타_가정!$E$18,BC6&lt;=③기타_가정!$E$20),1,0)</f>
        <v>0</v>
      </c>
      <c r="BD14" s="276" t="n">
        <f aca="false">IF(AND(BD6&gt;=③기타_가정!$E$18,BD6&lt;=③기타_가정!$E$20),1,0)</f>
        <v>0</v>
      </c>
      <c r="BE14" s="276" t="n">
        <f aca="false">IF(AND(BE6&gt;=③기타_가정!$E$18,BE6&lt;=③기타_가정!$E$20),1,0)</f>
        <v>0</v>
      </c>
      <c r="BF14" s="276" t="n">
        <f aca="false">IF(AND(BF6&gt;=③기타_가정!$E$18,BF6&lt;=③기타_가정!$E$20),1,0)</f>
        <v>0</v>
      </c>
      <c r="BG14" s="276" t="n">
        <f aca="false">IF(AND(BG6&gt;=③기타_가정!$E$18,BG6&lt;=③기타_가정!$E$20),1,0)</f>
        <v>0</v>
      </c>
      <c r="BH14" s="276" t="n">
        <f aca="false">IF(AND(BH6&gt;=③기타_가정!$E$18,BH6&lt;=③기타_가정!$E$20),1,0)</f>
        <v>0</v>
      </c>
      <c r="BI14" s="276" t="n">
        <f aca="false">IF(AND(BI6&gt;=③기타_가정!$E$18,BI6&lt;=③기타_가정!$E$20),1,0)</f>
        <v>0</v>
      </c>
      <c r="BJ14" s="276" t="n">
        <f aca="false">IF(AND(BJ6&gt;=③기타_가정!$E$18,BJ6&lt;=③기타_가정!$E$20),1,0)</f>
        <v>0</v>
      </c>
      <c r="BK14" s="276" t="n">
        <f aca="false">IF(AND(BK6&gt;=③기타_가정!$E$18,BK6&lt;=③기타_가정!$E$20),1,0)</f>
        <v>0</v>
      </c>
      <c r="BL14" s="276" t="n">
        <f aca="false">IF(AND(BL6&gt;=③기타_가정!$E$18,BL6&lt;=③기타_가정!$E$20),1,0)</f>
        <v>0</v>
      </c>
      <c r="BM14" s="276" t="n">
        <f aca="false">IF(AND(BM6&gt;=③기타_가정!$E$18,BM6&lt;=③기타_가정!$E$20),1,0)</f>
        <v>1</v>
      </c>
      <c r="BN14" s="276" t="n">
        <f aca="false">IF(AND(BN6&gt;=③기타_가정!$E$18,BN6&lt;=③기타_가정!$E$20),1,0)</f>
        <v>1</v>
      </c>
      <c r="BO14" s="276" t="n">
        <f aca="false">IF(AND(BO6&gt;=③기타_가정!$E$18,BO6&lt;=③기타_가정!$E$20),1,0)</f>
        <v>1</v>
      </c>
      <c r="BP14" s="276" t="n">
        <f aca="false">IF(AND(BP6&gt;=③기타_가정!$E$18,BP6&lt;=③기타_가정!$E$20),1,0)</f>
        <v>1</v>
      </c>
      <c r="BQ14" s="276" t="n">
        <f aca="false">IF(AND(BQ6&gt;=③기타_가정!$E$18,BQ6&lt;=③기타_가정!$E$20),1,0)</f>
        <v>1</v>
      </c>
      <c r="BR14" s="276" t="n">
        <f aca="false">IF(AND(BR6&gt;=③기타_가정!$E$18,BR6&lt;=③기타_가정!$E$20),1,0)</f>
        <v>1</v>
      </c>
      <c r="BS14" s="276" t="n">
        <f aca="false">IF(AND(BS6&gt;=③기타_가정!$E$18,BS6&lt;=③기타_가정!$E$20),1,0)</f>
        <v>1</v>
      </c>
      <c r="BT14" s="276" t="n">
        <f aca="false">IF(AND(BT6&gt;=③기타_가정!$E$18,BT6&lt;=③기타_가정!$E$20),1,0)</f>
        <v>1</v>
      </c>
      <c r="BU14" s="276" t="n">
        <f aca="false">IF(AND(BU6&gt;=③기타_가정!$E$18,BU6&lt;=③기타_가정!$E$20),1,0)</f>
        <v>1</v>
      </c>
      <c r="BV14" s="276" t="n">
        <f aca="false">IF(AND(BV6&gt;=③기타_가정!$E$18,BV6&lt;=③기타_가정!$E$20),1,0)</f>
        <v>1</v>
      </c>
      <c r="BW14" s="276" t="n">
        <f aca="false">IF(AND(BW6&gt;=③기타_가정!$E$18,BW6&lt;=③기타_가정!$E$20),1,0)</f>
        <v>1</v>
      </c>
      <c r="BX14" s="276" t="n">
        <f aca="false">IF(AND(BX6&gt;=③기타_가정!$E$18,BX6&lt;=③기타_가정!$E$20),1,0)</f>
        <v>1</v>
      </c>
      <c r="BY14" s="276" t="n">
        <f aca="false">IF(AND(BY6&gt;=③기타_가정!$E$18,BY6&lt;=③기타_가정!$E$20),1,0)</f>
        <v>1</v>
      </c>
      <c r="BZ14" s="276" t="n">
        <f aca="false">IF(AND(BZ6&gt;=③기타_가정!$E$18,BZ6&lt;=③기타_가정!$E$20),1,0)</f>
        <v>1</v>
      </c>
      <c r="CA14" s="276" t="n">
        <f aca="false">IF(AND(CA6&gt;=③기타_가정!$E$18,CA6&lt;=③기타_가정!$E$20),1,0)</f>
        <v>1</v>
      </c>
      <c r="CB14" s="276" t="n">
        <f aca="false">IF(AND(CB6&gt;=③기타_가정!$E$18,CB6&lt;=③기타_가정!$E$20),1,0)</f>
        <v>1</v>
      </c>
      <c r="CC14" s="276" t="n">
        <f aca="false">IF(AND(CC6&gt;=③기타_가정!$E$18,CC6&lt;=③기타_가정!$E$20),1,0)</f>
        <v>1</v>
      </c>
      <c r="CD14" s="276" t="n">
        <f aca="false">IF(AND(CD6&gt;=③기타_가정!$E$18,CD6&lt;=③기타_가정!$E$20),1,0)</f>
        <v>1</v>
      </c>
      <c r="CE14" s="276" t="n">
        <f aca="false">IF(AND(CE6&gt;=③기타_가정!$E$18,CE6&lt;=③기타_가정!$E$20),1,0)</f>
        <v>1</v>
      </c>
      <c r="CF14" s="276" t="n">
        <f aca="false">IF(AND(CF6&gt;=③기타_가정!$E$18,CF6&lt;=③기타_가정!$E$20),1,0)</f>
        <v>1</v>
      </c>
      <c r="CG14" s="276" t="n">
        <f aca="false">IF(AND(CG6&gt;=③기타_가정!$E$18,CG6&lt;=③기타_가정!$E$20),1,0)</f>
        <v>1</v>
      </c>
      <c r="CH14" s="276" t="n">
        <f aca="false">IF(AND(CH6&gt;=③기타_가정!$E$18,CH6&lt;=③기타_가정!$E$20),1,0)</f>
        <v>1</v>
      </c>
      <c r="CI14" s="276" t="n">
        <f aca="false">IF(AND(CI6&gt;=③기타_가정!$E$18,CI6&lt;=③기타_가정!$E$20),1,0)</f>
        <v>1</v>
      </c>
      <c r="CJ14" s="276" t="n">
        <f aca="false">IF(AND(CJ6&gt;=③기타_가정!$E$18,CJ6&lt;=③기타_가정!$E$20),1,0)</f>
        <v>1</v>
      </c>
      <c r="CK14" s="276" t="n">
        <f aca="false">IF(AND(CK6&gt;=③기타_가정!$E$18,CK6&lt;=③기타_가정!$E$20),1,0)</f>
        <v>1</v>
      </c>
      <c r="CL14" s="276" t="n">
        <f aca="false">IF(AND(CL6&gt;=③기타_가정!$E$18,CL6&lt;=③기타_가정!$E$20),1,0)</f>
        <v>1</v>
      </c>
      <c r="CM14" s="276" t="n">
        <f aca="false">IF(AND(CM6&gt;=③기타_가정!$E$18,CM6&lt;=③기타_가정!$E$20),1,0)</f>
        <v>1</v>
      </c>
      <c r="CN14" s="276" t="n">
        <f aca="false">IF(AND(CN6&gt;=③기타_가정!$E$18,CN6&lt;=③기타_가정!$E$20),1,0)</f>
        <v>1</v>
      </c>
      <c r="CO14" s="276" t="n">
        <f aca="false">IF(AND(CO6&gt;=③기타_가정!$E$18,CO6&lt;=③기타_가정!$E$20),1,0)</f>
        <v>1</v>
      </c>
      <c r="CP14" s="276" t="n">
        <f aca="false">IF(AND(CP6&gt;=③기타_가정!$E$18,CP6&lt;=③기타_가정!$E$20),1,0)</f>
        <v>1</v>
      </c>
      <c r="CQ14" s="276" t="n">
        <f aca="false">IF(AND(CQ6&gt;=③기타_가정!$E$18,CQ6&lt;=③기타_가정!$E$20),1,0)</f>
        <v>1</v>
      </c>
      <c r="CR14" s="276" t="n">
        <f aca="false">IF(AND(CR6&gt;=③기타_가정!$E$18,CR6&lt;=③기타_가정!$E$20),1,0)</f>
        <v>1</v>
      </c>
      <c r="CS14" s="276" t="n">
        <f aca="false">IF(AND(CS6&gt;=③기타_가정!$E$18,CS6&lt;=③기타_가정!$E$20),1,0)</f>
        <v>1</v>
      </c>
      <c r="CT14" s="276" t="n">
        <f aca="false">IF(AND(CT6&gt;=③기타_가정!$E$18,CT6&lt;=③기타_가정!$E$20),1,0)</f>
        <v>1</v>
      </c>
      <c r="CU14" s="276" t="n">
        <f aca="false">IF(AND(CU6&gt;=③기타_가정!$E$18,CU6&lt;=③기타_가정!$E$20),1,0)</f>
        <v>1</v>
      </c>
      <c r="CV14" s="276" t="n">
        <f aca="false">IF(AND(CV6&gt;=③기타_가정!$E$18,CV6&lt;=③기타_가정!$E$20),1,0)</f>
        <v>1</v>
      </c>
      <c r="CW14" s="276" t="n">
        <f aca="false">IF(AND(CW6&gt;=③기타_가정!$E$18,CW6&lt;=③기타_가정!$E$20),1,0)</f>
        <v>1</v>
      </c>
      <c r="CX14" s="276" t="n">
        <f aca="false">IF(AND(CX6&gt;=③기타_가정!$E$18,CX6&lt;=③기타_가정!$E$20),1,0)</f>
        <v>1</v>
      </c>
      <c r="CY14" s="276" t="n">
        <f aca="false">IF(AND(CY6&gt;=③기타_가정!$E$18,CY6&lt;=③기타_가정!$E$20),1,0)</f>
        <v>1</v>
      </c>
      <c r="CZ14" s="276" t="n">
        <f aca="false">IF(AND(CZ6&gt;=③기타_가정!$E$18,CZ6&lt;=③기타_가정!$E$20),1,0)</f>
        <v>1</v>
      </c>
      <c r="DA14" s="276" t="n">
        <f aca="false">IF(AND(DA6&gt;=③기타_가정!$E$18,DA6&lt;=③기타_가정!$E$20),1,0)</f>
        <v>1</v>
      </c>
      <c r="DB14" s="276" t="n">
        <f aca="false">IF(AND(DB6&gt;=③기타_가정!$E$18,DB6&lt;=③기타_가정!$E$20),1,0)</f>
        <v>1</v>
      </c>
      <c r="DC14" s="276" t="n">
        <f aca="false">IF(AND(DC6&gt;=③기타_가정!$E$18,DC6&lt;=③기타_가정!$E$20),1,0)</f>
        <v>1</v>
      </c>
      <c r="DD14" s="276" t="n">
        <f aca="false">IF(AND(DD6&gt;=③기타_가정!$E$18,DD6&lt;=③기타_가정!$E$20),1,0)</f>
        <v>1</v>
      </c>
      <c r="DE14" s="276" t="n">
        <f aca="false">IF(AND(DE6&gt;=③기타_가정!$E$18,DE6&lt;=③기타_가정!$E$20),1,0)</f>
        <v>1</v>
      </c>
      <c r="DF14" s="276" t="n">
        <f aca="false">IF(AND(DF6&gt;=③기타_가정!$E$18,DF6&lt;=③기타_가정!$E$20),1,0)</f>
        <v>1</v>
      </c>
      <c r="DG14" s="276" t="n">
        <f aca="false">IF(AND(DG6&gt;=③기타_가정!$E$18,DG6&lt;=③기타_가정!$E$20),1,0)</f>
        <v>1</v>
      </c>
      <c r="DH14" s="276" t="n">
        <f aca="false">IF(AND(DH6&gt;=③기타_가정!$E$18,DH6&lt;=③기타_가정!$E$20),1,0)</f>
        <v>1</v>
      </c>
      <c r="DI14" s="276" t="n">
        <f aca="false">IF(AND(DI6&gt;=③기타_가정!$E$18,DI6&lt;=③기타_가정!$E$20),1,0)</f>
        <v>1</v>
      </c>
      <c r="DJ14" s="276" t="n">
        <f aca="false">IF(AND(DJ6&gt;=③기타_가정!$E$18,DJ6&lt;=③기타_가정!$E$20),1,0)</f>
        <v>1</v>
      </c>
      <c r="DK14" s="276" t="n">
        <f aca="false">IF(AND(DK6&gt;=③기타_가정!$E$18,DK6&lt;=③기타_가정!$E$20),1,0)</f>
        <v>1</v>
      </c>
      <c r="DL14" s="276" t="n">
        <f aca="false">IF(AND(DL6&gt;=③기타_가정!$E$18,DL6&lt;=③기타_가정!$E$20),1,0)</f>
        <v>1</v>
      </c>
      <c r="DM14" s="276" t="n">
        <f aca="false">IF(AND(DM6&gt;=③기타_가정!$E$18,DM6&lt;=③기타_가정!$E$20),1,0)</f>
        <v>1</v>
      </c>
      <c r="DN14" s="276" t="n">
        <f aca="false">IF(AND(DN6&gt;=③기타_가정!$E$18,DN6&lt;=③기타_가정!$E$20),1,0)</f>
        <v>1</v>
      </c>
      <c r="DO14" s="276" t="n">
        <f aca="false">IF(AND(DO6&gt;=③기타_가정!$E$18,DO6&lt;=③기타_가정!$E$20),1,0)</f>
        <v>1</v>
      </c>
      <c r="DP14" s="276" t="n">
        <f aca="false">IF(AND(DP6&gt;=③기타_가정!$E$18,DP6&lt;=③기타_가정!$E$20),1,0)</f>
        <v>1</v>
      </c>
      <c r="DQ14" s="276" t="n">
        <f aca="false">IF(AND(DQ6&gt;=③기타_가정!$E$18,DQ6&lt;=③기타_가정!$E$20),1,0)</f>
        <v>1</v>
      </c>
      <c r="DR14" s="276" t="n">
        <f aca="false">IF(AND(DR6&gt;=③기타_가정!$E$18,DR6&lt;=③기타_가정!$E$20),1,0)</f>
        <v>1</v>
      </c>
      <c r="DS14" s="276" t="n">
        <f aca="false">IF(AND(DS6&gt;=③기타_가정!$E$18,DS6&lt;=③기타_가정!$E$20),1,0)</f>
        <v>1</v>
      </c>
      <c r="DT14" s="276" t="n">
        <f aca="false">IF(AND(DT6&gt;=③기타_가정!$E$18,DT6&lt;=③기타_가정!$E$20),1,0)</f>
        <v>1</v>
      </c>
      <c r="DU14" s="276" t="n">
        <f aca="false">IF(AND(DU6&gt;=③기타_가정!$E$18,DU6&lt;=③기타_가정!$E$20),1,0)</f>
        <v>0</v>
      </c>
      <c r="DV14" s="276" t="n">
        <f aca="false">IF(AND(DV6&gt;=③기타_가정!$E$18,DV6&lt;=③기타_가정!$E$20),1,0)</f>
        <v>0</v>
      </c>
      <c r="DW14" s="276" t="n">
        <f aca="false">IF(AND(DW6&gt;=③기타_가정!$E$18,DW6&lt;=③기타_가정!$E$20),1,0)</f>
        <v>0</v>
      </c>
      <c r="DX14" s="276" t="n">
        <f aca="false">IF(AND(DX6&gt;=③기타_가정!$E$18,DX6&lt;=③기타_가정!$E$20),1,0)</f>
        <v>0</v>
      </c>
      <c r="DY14" s="276" t="n">
        <f aca="false">IF(AND(DY6&gt;=③기타_가정!$E$18,DY6&lt;=③기타_가정!$E$20),1,0)</f>
        <v>0</v>
      </c>
      <c r="DZ14" s="276" t="n">
        <f aca="false">IF(AND(DZ6&gt;=③기타_가정!$E$18,DZ6&lt;=③기타_가정!$E$20),1,0)</f>
        <v>0</v>
      </c>
      <c r="EA14" s="276" t="n">
        <f aca="false">IF(AND(EA6&gt;=③기타_가정!$E$18,EA6&lt;=③기타_가정!$E$20),1,0)</f>
        <v>0</v>
      </c>
      <c r="EB14" s="276" t="n">
        <f aca="false">IF(AND(EB6&gt;=③기타_가정!$E$18,EB6&lt;=③기타_가정!$E$20),1,0)</f>
        <v>0</v>
      </c>
      <c r="EC14" s="276" t="n">
        <f aca="false">IF(AND(EC6&gt;=③기타_가정!$E$18,EC6&lt;=③기타_가정!$E$20),1,0)</f>
        <v>0</v>
      </c>
      <c r="ED14" s="276" t="n">
        <f aca="false">IF(AND(ED6&gt;=③기타_가정!$E$18,ED6&lt;=③기타_가정!$E$20),1,0)</f>
        <v>0</v>
      </c>
      <c r="EE14" s="276" t="n">
        <f aca="false">IF(AND(EE6&gt;=③기타_가정!$E$18,EE6&lt;=③기타_가정!$E$20),1,0)</f>
        <v>0</v>
      </c>
      <c r="EF14" s="276" t="n">
        <f aca="false">IF(AND(EF6&gt;=③기타_가정!$E$18,EF6&lt;=③기타_가정!$E$20),1,0)</f>
        <v>0</v>
      </c>
    </row>
    <row r="15" customFormat="false" ht="15" hidden="false" customHeight="false" outlineLevel="0" collapsed="false">
      <c r="A15" s="36" t="s">
        <v>571</v>
      </c>
      <c r="B15" s="273"/>
      <c r="E15" s="275" t="n">
        <f aca="false">IF(E14=1,(YEAR(E6)-YEAR(③기타_가정!$E$18))*12+MONTH(E6)-MONTH(③기타_가정!$E$18)+1,0)</f>
        <v>0</v>
      </c>
      <c r="F15" s="275" t="n">
        <f aca="false">IF(F14=1,(YEAR(F6)-YEAR(③기타_가정!$E$18))*12+MONTH(F6)-MONTH(③기타_가정!$E$18)+1,0)</f>
        <v>0</v>
      </c>
      <c r="G15" s="275" t="n">
        <f aca="false">IF(G14=1,(YEAR(G6)-YEAR(③기타_가정!$E$18))*12+MONTH(G6)-MONTH(③기타_가정!$E$18)+1,0)</f>
        <v>0</v>
      </c>
      <c r="H15" s="275" t="n">
        <f aca="false">IF(H14=1,(YEAR(H6)-YEAR(③기타_가정!$E$18))*12+MONTH(H6)-MONTH(③기타_가정!$E$18)+1,0)</f>
        <v>0</v>
      </c>
      <c r="I15" s="275" t="n">
        <f aca="false">IF(I14=1,(YEAR(I6)-YEAR(③기타_가정!$E$18))*12+MONTH(I6)-MONTH(③기타_가정!$E$18)+1,0)</f>
        <v>0</v>
      </c>
      <c r="J15" s="275" t="n">
        <f aca="false">IF(J14=1,(YEAR(J6)-YEAR(③기타_가정!$E$18))*12+MONTH(J6)-MONTH(③기타_가정!$E$18)+1,0)</f>
        <v>0</v>
      </c>
      <c r="K15" s="275" t="n">
        <f aca="false">IF(K14=1,(YEAR(K6)-YEAR(③기타_가정!$E$18))*12+MONTH(K6)-MONTH(③기타_가정!$E$18)+1,0)</f>
        <v>0</v>
      </c>
      <c r="L15" s="275" t="n">
        <f aca="false">IF(L14=1,(YEAR(L6)-YEAR(③기타_가정!$E$18))*12+MONTH(L6)-MONTH(③기타_가정!$E$18)+1,0)</f>
        <v>0</v>
      </c>
      <c r="M15" s="275" t="n">
        <f aca="false">IF(M14=1,(YEAR(M6)-YEAR(③기타_가정!$E$18))*12+MONTH(M6)-MONTH(③기타_가정!$E$18)+1,0)</f>
        <v>0</v>
      </c>
      <c r="N15" s="275" t="n">
        <f aca="false">IF(N14=1,(YEAR(N6)-YEAR(③기타_가정!$E$18))*12+MONTH(N6)-MONTH(③기타_가정!$E$18)+1,0)</f>
        <v>0</v>
      </c>
      <c r="O15" s="275" t="n">
        <f aca="false">IF(O14=1,(YEAR(O6)-YEAR(③기타_가정!$E$18))*12+MONTH(O6)-MONTH(③기타_가정!$E$18)+1,0)</f>
        <v>0</v>
      </c>
      <c r="P15" s="275" t="n">
        <f aca="false">IF(P14=1,(YEAR(P6)-YEAR(③기타_가정!$E$18))*12+MONTH(P6)-MONTH(③기타_가정!$E$18)+1,0)</f>
        <v>0</v>
      </c>
      <c r="Q15" s="275" t="n">
        <f aca="false">IF(Q14=1,(YEAR(Q6)-YEAR(③기타_가정!$E$18))*12+MONTH(Q6)-MONTH(③기타_가정!$E$18)+1,0)</f>
        <v>0</v>
      </c>
      <c r="R15" s="275" t="n">
        <f aca="false">IF(R14=1,(YEAR(R6)-YEAR(③기타_가정!$E$18))*12+MONTH(R6)-MONTH(③기타_가정!$E$18)+1,0)</f>
        <v>0</v>
      </c>
      <c r="S15" s="275" t="n">
        <f aca="false">IF(S14=1,(YEAR(S6)-YEAR(③기타_가정!$E$18))*12+MONTH(S6)-MONTH(③기타_가정!$E$18)+1,0)</f>
        <v>0</v>
      </c>
      <c r="T15" s="275" t="n">
        <f aca="false">IF(T14=1,(YEAR(T6)-YEAR(③기타_가정!$E$18))*12+MONTH(T6)-MONTH(③기타_가정!$E$18)+1,0)</f>
        <v>0</v>
      </c>
      <c r="U15" s="275" t="n">
        <f aca="false">IF(U14=1,(YEAR(U6)-YEAR(③기타_가정!$E$18))*12+MONTH(U6)-MONTH(③기타_가정!$E$18)+1,0)</f>
        <v>0</v>
      </c>
      <c r="V15" s="275" t="n">
        <f aca="false">IF(V14=1,(YEAR(V6)-YEAR(③기타_가정!$E$18))*12+MONTH(V6)-MONTH(③기타_가정!$E$18)+1,0)</f>
        <v>0</v>
      </c>
      <c r="W15" s="275" t="n">
        <f aca="false">IF(W14=1,(YEAR(W6)-YEAR(③기타_가정!$E$18))*12+MONTH(W6)-MONTH(③기타_가정!$E$18)+1,0)</f>
        <v>0</v>
      </c>
      <c r="X15" s="275" t="n">
        <f aca="false">IF(X14=1,(YEAR(X6)-YEAR(③기타_가정!$E$18))*12+MONTH(X6)-MONTH(③기타_가정!$E$18)+1,0)</f>
        <v>0</v>
      </c>
      <c r="Y15" s="275" t="n">
        <f aca="false">IF(Y14=1,(YEAR(Y6)-YEAR(③기타_가정!$E$18))*12+MONTH(Y6)-MONTH(③기타_가정!$E$18)+1,0)</f>
        <v>0</v>
      </c>
      <c r="Z15" s="275" t="n">
        <f aca="false">IF(Z14=1,(YEAR(Z6)-YEAR(③기타_가정!$E$18))*12+MONTH(Z6)-MONTH(③기타_가정!$E$18)+1,0)</f>
        <v>0</v>
      </c>
      <c r="AA15" s="275" t="n">
        <f aca="false">IF(AA14=1,(YEAR(AA6)-YEAR(③기타_가정!$E$18))*12+MONTH(AA6)-MONTH(③기타_가정!$E$18)+1,0)</f>
        <v>0</v>
      </c>
      <c r="AB15" s="275" t="n">
        <f aca="false">IF(AB14=1,(YEAR(AB6)-YEAR(③기타_가정!$E$18))*12+MONTH(AB6)-MONTH(③기타_가정!$E$18)+1,0)</f>
        <v>0</v>
      </c>
      <c r="AC15" s="275" t="n">
        <f aca="false">IF(AC14=1,(YEAR(AC6)-YEAR(③기타_가정!$E$18))*12+MONTH(AC6)-MONTH(③기타_가정!$E$18)+1,0)</f>
        <v>0</v>
      </c>
      <c r="AD15" s="275" t="n">
        <f aca="false">IF(AD14=1,(YEAR(AD6)-YEAR(③기타_가정!$E$18))*12+MONTH(AD6)-MONTH(③기타_가정!$E$18)+1,0)</f>
        <v>0</v>
      </c>
      <c r="AE15" s="275" t="n">
        <f aca="false">IF(AE14=1,(YEAR(AE6)-YEAR(③기타_가정!$E$18))*12+MONTH(AE6)-MONTH(③기타_가정!$E$18)+1,0)</f>
        <v>0</v>
      </c>
      <c r="AF15" s="275" t="n">
        <f aca="false">IF(AF14=1,(YEAR(AF6)-YEAR(③기타_가정!$E$18))*12+MONTH(AF6)-MONTH(③기타_가정!$E$18)+1,0)</f>
        <v>0</v>
      </c>
      <c r="AG15" s="275" t="n">
        <f aca="false">IF(AG14=1,(YEAR(AG6)-YEAR(③기타_가정!$E$18))*12+MONTH(AG6)-MONTH(③기타_가정!$E$18)+1,0)</f>
        <v>0</v>
      </c>
      <c r="AH15" s="275" t="n">
        <f aca="false">IF(AH14=1,(YEAR(AH6)-YEAR(③기타_가정!$E$18))*12+MONTH(AH6)-MONTH(③기타_가정!$E$18)+1,0)</f>
        <v>0</v>
      </c>
      <c r="AI15" s="275" t="n">
        <f aca="false">IF(AI14=1,(YEAR(AI6)-YEAR(③기타_가정!$E$18))*12+MONTH(AI6)-MONTH(③기타_가정!$E$18)+1,0)</f>
        <v>0</v>
      </c>
      <c r="AJ15" s="275" t="n">
        <f aca="false">IF(AJ14=1,(YEAR(AJ6)-YEAR(③기타_가정!$E$18))*12+MONTH(AJ6)-MONTH(③기타_가정!$E$18)+1,0)</f>
        <v>0</v>
      </c>
      <c r="AK15" s="275" t="n">
        <f aca="false">IF(AK14=1,(YEAR(AK6)-YEAR(③기타_가정!$E$18))*12+MONTH(AK6)-MONTH(③기타_가정!$E$18)+1,0)</f>
        <v>0</v>
      </c>
      <c r="AL15" s="275" t="n">
        <f aca="false">IF(AL14=1,(YEAR(AL6)-YEAR(③기타_가정!$E$18))*12+MONTH(AL6)-MONTH(③기타_가정!$E$18)+1,0)</f>
        <v>0</v>
      </c>
      <c r="AM15" s="275" t="n">
        <f aca="false">IF(AM14=1,(YEAR(AM6)-YEAR(③기타_가정!$E$18))*12+MONTH(AM6)-MONTH(③기타_가정!$E$18)+1,0)</f>
        <v>0</v>
      </c>
      <c r="AN15" s="275" t="n">
        <f aca="false">IF(AN14=1,(YEAR(AN6)-YEAR(③기타_가정!$E$18))*12+MONTH(AN6)-MONTH(③기타_가정!$E$18)+1,0)</f>
        <v>0</v>
      </c>
      <c r="AO15" s="275" t="n">
        <f aca="false">IF(AO14=1,(YEAR(AO6)-YEAR(③기타_가정!$E$18))*12+MONTH(AO6)-MONTH(③기타_가정!$E$18)+1,0)</f>
        <v>0</v>
      </c>
      <c r="AP15" s="275" t="n">
        <f aca="false">IF(AP14=1,(YEAR(AP6)-YEAR(③기타_가정!$E$18))*12+MONTH(AP6)-MONTH(③기타_가정!$E$18)+1,0)</f>
        <v>0</v>
      </c>
      <c r="AQ15" s="275" t="n">
        <f aca="false">IF(AQ14=1,(YEAR(AQ6)-YEAR(③기타_가정!$E$18))*12+MONTH(AQ6)-MONTH(③기타_가정!$E$18)+1,0)</f>
        <v>0</v>
      </c>
      <c r="AR15" s="275" t="n">
        <f aca="false">IF(AR14=1,(YEAR(AR6)-YEAR(③기타_가정!$E$18))*12+MONTH(AR6)-MONTH(③기타_가정!$E$18)+1,0)</f>
        <v>0</v>
      </c>
      <c r="AS15" s="275" t="n">
        <f aca="false">IF(AS14=1,(YEAR(AS6)-YEAR(③기타_가정!$E$18))*12+MONTH(AS6)-MONTH(③기타_가정!$E$18)+1,0)</f>
        <v>0</v>
      </c>
      <c r="AT15" s="275" t="n">
        <f aca="false">IF(AT14=1,(YEAR(AT6)-YEAR(③기타_가정!$E$18))*12+MONTH(AT6)-MONTH(③기타_가정!$E$18)+1,0)</f>
        <v>0</v>
      </c>
      <c r="AU15" s="275" t="n">
        <f aca="false">IF(AU14=1,(YEAR(AU6)-YEAR(③기타_가정!$E$18))*12+MONTH(AU6)-MONTH(③기타_가정!$E$18)+1,0)</f>
        <v>0</v>
      </c>
      <c r="AV15" s="275" t="n">
        <f aca="false">IF(AV14=1,(YEAR(AV6)-YEAR(③기타_가정!$E$18))*12+MONTH(AV6)-MONTH(③기타_가정!$E$18)+1,0)</f>
        <v>0</v>
      </c>
      <c r="AW15" s="275" t="n">
        <f aca="false">IF(AW14=1,(YEAR(AW6)-YEAR(③기타_가정!$E$18))*12+MONTH(AW6)-MONTH(③기타_가정!$E$18)+1,0)</f>
        <v>0</v>
      </c>
      <c r="AX15" s="275" t="n">
        <f aca="false">IF(AX14=1,(YEAR(AX6)-YEAR(③기타_가정!$E$18))*12+MONTH(AX6)-MONTH(③기타_가정!$E$18)+1,0)</f>
        <v>0</v>
      </c>
      <c r="AY15" s="275" t="n">
        <f aca="false">IF(AY14=1,(YEAR(AY6)-YEAR(③기타_가정!$E$18))*12+MONTH(AY6)-MONTH(③기타_가정!$E$18)+1,0)</f>
        <v>0</v>
      </c>
      <c r="AZ15" s="275" t="n">
        <f aca="false">IF(AZ14=1,(YEAR(AZ6)-YEAR(③기타_가정!$E$18))*12+MONTH(AZ6)-MONTH(③기타_가정!$E$18)+1,0)</f>
        <v>0</v>
      </c>
      <c r="BA15" s="275" t="n">
        <f aca="false">IF(BA14=1,(YEAR(BA6)-YEAR(③기타_가정!$E$18))*12+MONTH(BA6)-MONTH(③기타_가정!$E$18)+1,0)</f>
        <v>0</v>
      </c>
      <c r="BB15" s="275" t="n">
        <f aca="false">IF(BB14=1,(YEAR(BB6)-YEAR(③기타_가정!$E$18))*12+MONTH(BB6)-MONTH(③기타_가정!$E$18)+1,0)</f>
        <v>0</v>
      </c>
      <c r="BC15" s="275" t="n">
        <f aca="false">IF(BC14=1,(YEAR(BC6)-YEAR(③기타_가정!$E$18))*12+MONTH(BC6)-MONTH(③기타_가정!$E$18)+1,0)</f>
        <v>0</v>
      </c>
      <c r="BD15" s="275" t="n">
        <f aca="false">IF(BD14=1,(YEAR(BD6)-YEAR(③기타_가정!$E$18))*12+MONTH(BD6)-MONTH(③기타_가정!$E$18)+1,0)</f>
        <v>0</v>
      </c>
      <c r="BE15" s="275" t="n">
        <f aca="false">IF(BE14=1,(YEAR(BE6)-YEAR(③기타_가정!$E$18))*12+MONTH(BE6)-MONTH(③기타_가정!$E$18)+1,0)</f>
        <v>0</v>
      </c>
      <c r="BF15" s="275" t="n">
        <f aca="false">IF(BF14=1,(YEAR(BF6)-YEAR(③기타_가정!$E$18))*12+MONTH(BF6)-MONTH(③기타_가정!$E$18)+1,0)</f>
        <v>0</v>
      </c>
      <c r="BG15" s="275" t="n">
        <f aca="false">IF(BG14=1,(YEAR(BG6)-YEAR(③기타_가정!$E$18))*12+MONTH(BG6)-MONTH(③기타_가정!$E$18)+1,0)</f>
        <v>0</v>
      </c>
      <c r="BH15" s="275" t="n">
        <f aca="false">IF(BH14=1,(YEAR(BH6)-YEAR(③기타_가정!$E$18))*12+MONTH(BH6)-MONTH(③기타_가정!$E$18)+1,0)</f>
        <v>0</v>
      </c>
      <c r="BI15" s="275" t="n">
        <f aca="false">IF(BI14=1,(YEAR(BI6)-YEAR(③기타_가정!$E$18))*12+MONTH(BI6)-MONTH(③기타_가정!$E$18)+1,0)</f>
        <v>0</v>
      </c>
      <c r="BJ15" s="275" t="n">
        <f aca="false">IF(BJ14=1,(YEAR(BJ6)-YEAR(③기타_가정!$E$18))*12+MONTH(BJ6)-MONTH(③기타_가정!$E$18)+1,0)</f>
        <v>0</v>
      </c>
      <c r="BK15" s="275" t="n">
        <f aca="false">IF(BK14=1,(YEAR(BK6)-YEAR(③기타_가정!$E$18))*12+MONTH(BK6)-MONTH(③기타_가정!$E$18)+1,0)</f>
        <v>0</v>
      </c>
      <c r="BL15" s="275" t="n">
        <f aca="false">IF(BL14=1,(YEAR(BL6)-YEAR(③기타_가정!$E$18))*12+MONTH(BL6)-MONTH(③기타_가정!$E$18)+1,0)</f>
        <v>0</v>
      </c>
      <c r="BM15" s="275" t="n">
        <f aca="false">IF(BM14=1,(YEAR(BM6)-YEAR(③기타_가정!$E$18))*12+MONTH(BM6)-MONTH(③기타_가정!$E$18)+1,0)</f>
        <v>1</v>
      </c>
      <c r="BN15" s="275" t="n">
        <f aca="false">IF(BN14=1,(YEAR(BN6)-YEAR(③기타_가정!$E$18))*12+MONTH(BN6)-MONTH(③기타_가정!$E$18)+1,0)</f>
        <v>2</v>
      </c>
      <c r="BO15" s="275" t="n">
        <f aca="false">IF(BO14=1,(YEAR(BO6)-YEAR(③기타_가정!$E$18))*12+MONTH(BO6)-MONTH(③기타_가정!$E$18)+1,0)</f>
        <v>3</v>
      </c>
      <c r="BP15" s="275" t="n">
        <f aca="false">IF(BP14=1,(YEAR(BP6)-YEAR(③기타_가정!$E$18))*12+MONTH(BP6)-MONTH(③기타_가정!$E$18)+1,0)</f>
        <v>4</v>
      </c>
      <c r="BQ15" s="275" t="n">
        <f aca="false">IF(BQ14=1,(YEAR(BQ6)-YEAR(③기타_가정!$E$18))*12+MONTH(BQ6)-MONTH(③기타_가정!$E$18)+1,0)</f>
        <v>5</v>
      </c>
      <c r="BR15" s="275" t="n">
        <f aca="false">IF(BR14=1,(YEAR(BR6)-YEAR(③기타_가정!$E$18))*12+MONTH(BR6)-MONTH(③기타_가정!$E$18)+1,0)</f>
        <v>6</v>
      </c>
      <c r="BS15" s="275" t="n">
        <f aca="false">IF(BS14=1,(YEAR(BS6)-YEAR(③기타_가정!$E$18))*12+MONTH(BS6)-MONTH(③기타_가정!$E$18)+1,0)</f>
        <v>7</v>
      </c>
      <c r="BT15" s="275" t="n">
        <f aca="false">IF(BT14=1,(YEAR(BT6)-YEAR(③기타_가정!$E$18))*12+MONTH(BT6)-MONTH(③기타_가정!$E$18)+1,0)</f>
        <v>8</v>
      </c>
      <c r="BU15" s="275" t="n">
        <f aca="false">IF(BU14=1,(YEAR(BU6)-YEAR(③기타_가정!$E$18))*12+MONTH(BU6)-MONTH(③기타_가정!$E$18)+1,0)</f>
        <v>9</v>
      </c>
      <c r="BV15" s="275" t="n">
        <f aca="false">IF(BV14=1,(YEAR(BV6)-YEAR(③기타_가정!$E$18))*12+MONTH(BV6)-MONTH(③기타_가정!$E$18)+1,0)</f>
        <v>10</v>
      </c>
      <c r="BW15" s="275" t="n">
        <f aca="false">IF(BW14=1,(YEAR(BW6)-YEAR(③기타_가정!$E$18))*12+MONTH(BW6)-MONTH(③기타_가정!$E$18)+1,0)</f>
        <v>11</v>
      </c>
      <c r="BX15" s="275" t="n">
        <f aca="false">IF(BX14=1,(YEAR(BX6)-YEAR(③기타_가정!$E$18))*12+MONTH(BX6)-MONTH(③기타_가정!$E$18)+1,0)</f>
        <v>12</v>
      </c>
      <c r="BY15" s="275" t="n">
        <f aca="false">IF(BY14=1,(YEAR(BY6)-YEAR(③기타_가정!$E$18))*12+MONTH(BY6)-MONTH(③기타_가정!$E$18)+1,0)</f>
        <v>13</v>
      </c>
      <c r="BZ15" s="275" t="n">
        <f aca="false">IF(BZ14=1,(YEAR(BZ6)-YEAR(③기타_가정!$E$18))*12+MONTH(BZ6)-MONTH(③기타_가정!$E$18)+1,0)</f>
        <v>14</v>
      </c>
      <c r="CA15" s="275" t="n">
        <f aca="false">IF(CA14=1,(YEAR(CA6)-YEAR(③기타_가정!$E$18))*12+MONTH(CA6)-MONTH(③기타_가정!$E$18)+1,0)</f>
        <v>15</v>
      </c>
      <c r="CB15" s="275" t="n">
        <f aca="false">IF(CB14=1,(YEAR(CB6)-YEAR(③기타_가정!$E$18))*12+MONTH(CB6)-MONTH(③기타_가정!$E$18)+1,0)</f>
        <v>16</v>
      </c>
      <c r="CC15" s="275" t="n">
        <f aca="false">IF(CC14=1,(YEAR(CC6)-YEAR(③기타_가정!$E$18))*12+MONTH(CC6)-MONTH(③기타_가정!$E$18)+1,0)</f>
        <v>17</v>
      </c>
      <c r="CD15" s="275" t="n">
        <f aca="false">IF(CD14=1,(YEAR(CD6)-YEAR(③기타_가정!$E$18))*12+MONTH(CD6)-MONTH(③기타_가정!$E$18)+1,0)</f>
        <v>18</v>
      </c>
      <c r="CE15" s="275" t="n">
        <f aca="false">IF(CE14=1,(YEAR(CE6)-YEAR(③기타_가정!$E$18))*12+MONTH(CE6)-MONTH(③기타_가정!$E$18)+1,0)</f>
        <v>19</v>
      </c>
      <c r="CF15" s="275" t="n">
        <f aca="false">IF(CF14=1,(YEAR(CF6)-YEAR(③기타_가정!$E$18))*12+MONTH(CF6)-MONTH(③기타_가정!$E$18)+1,0)</f>
        <v>20</v>
      </c>
      <c r="CG15" s="275" t="n">
        <f aca="false">IF(CG14=1,(YEAR(CG6)-YEAR(③기타_가정!$E$18))*12+MONTH(CG6)-MONTH(③기타_가정!$E$18)+1,0)</f>
        <v>21</v>
      </c>
      <c r="CH15" s="275" t="n">
        <f aca="false">IF(CH14=1,(YEAR(CH6)-YEAR(③기타_가정!$E$18))*12+MONTH(CH6)-MONTH(③기타_가정!$E$18)+1,0)</f>
        <v>22</v>
      </c>
      <c r="CI15" s="275" t="n">
        <f aca="false">IF(CI14=1,(YEAR(CI6)-YEAR(③기타_가정!$E$18))*12+MONTH(CI6)-MONTH(③기타_가정!$E$18)+1,0)</f>
        <v>23</v>
      </c>
      <c r="CJ15" s="275" t="n">
        <f aca="false">IF(CJ14=1,(YEAR(CJ6)-YEAR(③기타_가정!$E$18))*12+MONTH(CJ6)-MONTH(③기타_가정!$E$18)+1,0)</f>
        <v>24</v>
      </c>
      <c r="CK15" s="275" t="n">
        <f aca="false">IF(CK14=1,(YEAR(CK6)-YEAR(③기타_가정!$E$18))*12+MONTH(CK6)-MONTH(③기타_가정!$E$18)+1,0)</f>
        <v>25</v>
      </c>
      <c r="CL15" s="275" t="n">
        <f aca="false">IF(CL14=1,(YEAR(CL6)-YEAR(③기타_가정!$E$18))*12+MONTH(CL6)-MONTH(③기타_가정!$E$18)+1,0)</f>
        <v>26</v>
      </c>
      <c r="CM15" s="275" t="n">
        <f aca="false">IF(CM14=1,(YEAR(CM6)-YEAR(③기타_가정!$E$18))*12+MONTH(CM6)-MONTH(③기타_가정!$E$18)+1,0)</f>
        <v>27</v>
      </c>
      <c r="CN15" s="275" t="n">
        <f aca="false">IF(CN14=1,(YEAR(CN6)-YEAR(③기타_가정!$E$18))*12+MONTH(CN6)-MONTH(③기타_가정!$E$18)+1,0)</f>
        <v>28</v>
      </c>
      <c r="CO15" s="275" t="n">
        <f aca="false">IF(CO14=1,(YEAR(CO6)-YEAR(③기타_가정!$E$18))*12+MONTH(CO6)-MONTH(③기타_가정!$E$18)+1,0)</f>
        <v>29</v>
      </c>
      <c r="CP15" s="275" t="n">
        <f aca="false">IF(CP14=1,(YEAR(CP6)-YEAR(③기타_가정!$E$18))*12+MONTH(CP6)-MONTH(③기타_가정!$E$18)+1,0)</f>
        <v>30</v>
      </c>
      <c r="CQ15" s="275" t="n">
        <f aca="false">IF(CQ14=1,(YEAR(CQ6)-YEAR(③기타_가정!$E$18))*12+MONTH(CQ6)-MONTH(③기타_가정!$E$18)+1,0)</f>
        <v>31</v>
      </c>
      <c r="CR15" s="275" t="n">
        <f aca="false">IF(CR14=1,(YEAR(CR6)-YEAR(③기타_가정!$E$18))*12+MONTH(CR6)-MONTH(③기타_가정!$E$18)+1,0)</f>
        <v>32</v>
      </c>
      <c r="CS15" s="275" t="n">
        <f aca="false">IF(CS14=1,(YEAR(CS6)-YEAR(③기타_가정!$E$18))*12+MONTH(CS6)-MONTH(③기타_가정!$E$18)+1,0)</f>
        <v>33</v>
      </c>
      <c r="CT15" s="275" t="n">
        <f aca="false">IF(CT14=1,(YEAR(CT6)-YEAR(③기타_가정!$E$18))*12+MONTH(CT6)-MONTH(③기타_가정!$E$18)+1,0)</f>
        <v>34</v>
      </c>
      <c r="CU15" s="275" t="n">
        <f aca="false">IF(CU14=1,(YEAR(CU6)-YEAR(③기타_가정!$E$18))*12+MONTH(CU6)-MONTH(③기타_가정!$E$18)+1,0)</f>
        <v>35</v>
      </c>
      <c r="CV15" s="275" t="n">
        <f aca="false">IF(CV14=1,(YEAR(CV6)-YEAR(③기타_가정!$E$18))*12+MONTH(CV6)-MONTH(③기타_가정!$E$18)+1,0)</f>
        <v>36</v>
      </c>
      <c r="CW15" s="275" t="n">
        <f aca="false">IF(CW14=1,(YEAR(CW6)-YEAR(③기타_가정!$E$18))*12+MONTH(CW6)-MONTH(③기타_가정!$E$18)+1,0)</f>
        <v>37</v>
      </c>
      <c r="CX15" s="275" t="n">
        <f aca="false">IF(CX14=1,(YEAR(CX6)-YEAR(③기타_가정!$E$18))*12+MONTH(CX6)-MONTH(③기타_가정!$E$18)+1,0)</f>
        <v>38</v>
      </c>
      <c r="CY15" s="275" t="n">
        <f aca="false">IF(CY14=1,(YEAR(CY6)-YEAR(③기타_가정!$E$18))*12+MONTH(CY6)-MONTH(③기타_가정!$E$18)+1,0)</f>
        <v>39</v>
      </c>
      <c r="CZ15" s="275" t="n">
        <f aca="false">IF(CZ14=1,(YEAR(CZ6)-YEAR(③기타_가정!$E$18))*12+MONTH(CZ6)-MONTH(③기타_가정!$E$18)+1,0)</f>
        <v>40</v>
      </c>
      <c r="DA15" s="275" t="n">
        <f aca="false">IF(DA14=1,(YEAR(DA6)-YEAR(③기타_가정!$E$18))*12+MONTH(DA6)-MONTH(③기타_가정!$E$18)+1,0)</f>
        <v>41</v>
      </c>
      <c r="DB15" s="275" t="n">
        <f aca="false">IF(DB14=1,(YEAR(DB6)-YEAR(③기타_가정!$E$18))*12+MONTH(DB6)-MONTH(③기타_가정!$E$18)+1,0)</f>
        <v>42</v>
      </c>
      <c r="DC15" s="275" t="n">
        <f aca="false">IF(DC14=1,(YEAR(DC6)-YEAR(③기타_가정!$E$18))*12+MONTH(DC6)-MONTH(③기타_가정!$E$18)+1,0)</f>
        <v>43</v>
      </c>
      <c r="DD15" s="275" t="n">
        <f aca="false">IF(DD14=1,(YEAR(DD6)-YEAR(③기타_가정!$E$18))*12+MONTH(DD6)-MONTH(③기타_가정!$E$18)+1,0)</f>
        <v>44</v>
      </c>
      <c r="DE15" s="275" t="n">
        <f aca="false">IF(DE14=1,(YEAR(DE6)-YEAR(③기타_가정!$E$18))*12+MONTH(DE6)-MONTH(③기타_가정!$E$18)+1,0)</f>
        <v>45</v>
      </c>
      <c r="DF15" s="275" t="n">
        <f aca="false">IF(DF14=1,(YEAR(DF6)-YEAR(③기타_가정!$E$18))*12+MONTH(DF6)-MONTH(③기타_가정!$E$18)+1,0)</f>
        <v>46</v>
      </c>
      <c r="DG15" s="275" t="n">
        <f aca="false">IF(DG14=1,(YEAR(DG6)-YEAR(③기타_가정!$E$18))*12+MONTH(DG6)-MONTH(③기타_가정!$E$18)+1,0)</f>
        <v>47</v>
      </c>
      <c r="DH15" s="275" t="n">
        <f aca="false">IF(DH14=1,(YEAR(DH6)-YEAR(③기타_가정!$E$18))*12+MONTH(DH6)-MONTH(③기타_가정!$E$18)+1,0)</f>
        <v>48</v>
      </c>
      <c r="DI15" s="275" t="n">
        <f aca="false">IF(DI14=1,(YEAR(DI6)-YEAR(③기타_가정!$E$18))*12+MONTH(DI6)-MONTH(③기타_가정!$E$18)+1,0)</f>
        <v>49</v>
      </c>
      <c r="DJ15" s="275" t="n">
        <f aca="false">IF(DJ14=1,(YEAR(DJ6)-YEAR(③기타_가정!$E$18))*12+MONTH(DJ6)-MONTH(③기타_가정!$E$18)+1,0)</f>
        <v>50</v>
      </c>
      <c r="DK15" s="275" t="n">
        <f aca="false">IF(DK14=1,(YEAR(DK6)-YEAR(③기타_가정!$E$18))*12+MONTH(DK6)-MONTH(③기타_가정!$E$18)+1,0)</f>
        <v>51</v>
      </c>
      <c r="DL15" s="275" t="n">
        <f aca="false">IF(DL14=1,(YEAR(DL6)-YEAR(③기타_가정!$E$18))*12+MONTH(DL6)-MONTH(③기타_가정!$E$18)+1,0)</f>
        <v>52</v>
      </c>
      <c r="DM15" s="275" t="n">
        <f aca="false">IF(DM14=1,(YEAR(DM6)-YEAR(③기타_가정!$E$18))*12+MONTH(DM6)-MONTH(③기타_가정!$E$18)+1,0)</f>
        <v>53</v>
      </c>
      <c r="DN15" s="275" t="n">
        <f aca="false">IF(DN14=1,(YEAR(DN6)-YEAR(③기타_가정!$E$18))*12+MONTH(DN6)-MONTH(③기타_가정!$E$18)+1,0)</f>
        <v>54</v>
      </c>
      <c r="DO15" s="275" t="n">
        <f aca="false">IF(DO14=1,(YEAR(DO6)-YEAR(③기타_가정!$E$18))*12+MONTH(DO6)-MONTH(③기타_가정!$E$18)+1,0)</f>
        <v>55</v>
      </c>
      <c r="DP15" s="275" t="n">
        <f aca="false">IF(DP14=1,(YEAR(DP6)-YEAR(③기타_가정!$E$18))*12+MONTH(DP6)-MONTH(③기타_가정!$E$18)+1,0)</f>
        <v>56</v>
      </c>
      <c r="DQ15" s="275" t="n">
        <f aca="false">IF(DQ14=1,(YEAR(DQ6)-YEAR(③기타_가정!$E$18))*12+MONTH(DQ6)-MONTH(③기타_가정!$E$18)+1,0)</f>
        <v>57</v>
      </c>
      <c r="DR15" s="275" t="n">
        <f aca="false">IF(DR14=1,(YEAR(DR6)-YEAR(③기타_가정!$E$18))*12+MONTH(DR6)-MONTH(③기타_가정!$E$18)+1,0)</f>
        <v>58</v>
      </c>
      <c r="DS15" s="275" t="n">
        <f aca="false">IF(DS14=1,(YEAR(DS6)-YEAR(③기타_가정!$E$18))*12+MONTH(DS6)-MONTH(③기타_가정!$E$18)+1,0)</f>
        <v>59</v>
      </c>
      <c r="DT15" s="275" t="n">
        <f aca="false">IF(DT14=1,(YEAR(DT6)-YEAR(③기타_가정!$E$18))*12+MONTH(DT6)-MONTH(③기타_가정!$E$18)+1,0)</f>
        <v>60</v>
      </c>
      <c r="DU15" s="275" t="n">
        <f aca="false">IF(DU14=1,(YEAR(DU6)-YEAR(③기타_가정!$E$18))*12+MONTH(DU6)-MONTH(③기타_가정!$E$18)+1,0)</f>
        <v>0</v>
      </c>
      <c r="DV15" s="275" t="n">
        <f aca="false">IF(DV14=1,(YEAR(DV6)-YEAR(③기타_가정!$E$18))*12+MONTH(DV6)-MONTH(③기타_가정!$E$18)+1,0)</f>
        <v>0</v>
      </c>
      <c r="DW15" s="275" t="n">
        <f aca="false">IF(DW14=1,(YEAR(DW6)-YEAR(③기타_가정!$E$18))*12+MONTH(DW6)-MONTH(③기타_가정!$E$18)+1,0)</f>
        <v>0</v>
      </c>
      <c r="DX15" s="275" t="n">
        <f aca="false">IF(DX14=1,(YEAR(DX6)-YEAR(③기타_가정!$E$18))*12+MONTH(DX6)-MONTH(③기타_가정!$E$18)+1,0)</f>
        <v>0</v>
      </c>
      <c r="DY15" s="275" t="n">
        <f aca="false">IF(DY14=1,(YEAR(DY6)-YEAR(③기타_가정!$E$18))*12+MONTH(DY6)-MONTH(③기타_가정!$E$18)+1,0)</f>
        <v>0</v>
      </c>
      <c r="DZ15" s="275" t="n">
        <f aca="false">IF(DZ14=1,(YEAR(DZ6)-YEAR(③기타_가정!$E$18))*12+MONTH(DZ6)-MONTH(③기타_가정!$E$18)+1,0)</f>
        <v>0</v>
      </c>
      <c r="EA15" s="275" t="n">
        <f aca="false">IF(EA14=1,(YEAR(EA6)-YEAR(③기타_가정!$E$18))*12+MONTH(EA6)-MONTH(③기타_가정!$E$18)+1,0)</f>
        <v>0</v>
      </c>
      <c r="EB15" s="275" t="n">
        <f aca="false">IF(EB14=1,(YEAR(EB6)-YEAR(③기타_가정!$E$18))*12+MONTH(EB6)-MONTH(③기타_가정!$E$18)+1,0)</f>
        <v>0</v>
      </c>
      <c r="EC15" s="275" t="n">
        <f aca="false">IF(EC14=1,(YEAR(EC6)-YEAR(③기타_가정!$E$18))*12+MONTH(EC6)-MONTH(③기타_가정!$E$18)+1,0)</f>
        <v>0</v>
      </c>
      <c r="ED15" s="275" t="n">
        <f aca="false">IF(ED14=1,(YEAR(ED6)-YEAR(③기타_가정!$E$18))*12+MONTH(ED6)-MONTH(③기타_가정!$E$18)+1,0)</f>
        <v>0</v>
      </c>
      <c r="EE15" s="275" t="n">
        <f aca="false">IF(EE14=1,(YEAR(EE6)-YEAR(③기타_가정!$E$18))*12+MONTH(EE6)-MONTH(③기타_가정!$E$18)+1,0)</f>
        <v>0</v>
      </c>
      <c r="EF15" s="275" t="n">
        <f aca="false">IF(EF14=1,(YEAR(EF6)-YEAR(③기타_가정!$E$18))*12+MONTH(EF6)-MONTH(③기타_가정!$E$18)+1,0)</f>
        <v>0</v>
      </c>
    </row>
    <row r="16" customFormat="false" ht="15" hidden="false" customHeight="false" outlineLevel="0" collapsed="false">
      <c r="A16" s="36" t="s">
        <v>572</v>
      </c>
      <c r="B16" s="273"/>
      <c r="E16" s="275" t="n">
        <f aca="false">IF(E15&gt;0,INT((E15-1)/12)+1,0)</f>
        <v>0</v>
      </c>
      <c r="F16" s="275" t="n">
        <f aca="false">IF(F15&gt;0,INT((F15-1)/12)+1,0)</f>
        <v>0</v>
      </c>
      <c r="G16" s="275" t="n">
        <f aca="false">IF(G15&gt;0,INT((G15-1)/12)+1,0)</f>
        <v>0</v>
      </c>
      <c r="H16" s="275" t="n">
        <f aca="false">IF(H15&gt;0,INT((H15-1)/12)+1,0)</f>
        <v>0</v>
      </c>
      <c r="I16" s="275" t="n">
        <f aca="false">IF(I15&gt;0,INT((I15-1)/12)+1,0)</f>
        <v>0</v>
      </c>
      <c r="J16" s="275" t="n">
        <f aca="false">IF(J15&gt;0,INT((J15-1)/12)+1,0)</f>
        <v>0</v>
      </c>
      <c r="K16" s="275" t="n">
        <f aca="false">IF(K15&gt;0,INT((K15-1)/12)+1,0)</f>
        <v>0</v>
      </c>
      <c r="L16" s="275" t="n">
        <f aca="false">IF(L15&gt;0,INT((L15-1)/12)+1,0)</f>
        <v>0</v>
      </c>
      <c r="M16" s="275" t="n">
        <f aca="false">IF(M15&gt;0,INT((M15-1)/12)+1,0)</f>
        <v>0</v>
      </c>
      <c r="N16" s="275" t="n">
        <f aca="false">IF(N15&gt;0,INT((N15-1)/12)+1,0)</f>
        <v>0</v>
      </c>
      <c r="O16" s="275" t="n">
        <f aca="false">IF(O15&gt;0,INT((O15-1)/12)+1,0)</f>
        <v>0</v>
      </c>
      <c r="P16" s="275" t="n">
        <f aca="false">IF(P15&gt;0,INT((P15-1)/12)+1,0)</f>
        <v>0</v>
      </c>
      <c r="Q16" s="275" t="n">
        <f aca="false">IF(Q15&gt;0,INT((Q15-1)/12)+1,0)</f>
        <v>0</v>
      </c>
      <c r="R16" s="275" t="n">
        <f aca="false">IF(R15&gt;0,INT((R15-1)/12)+1,0)</f>
        <v>0</v>
      </c>
      <c r="S16" s="275" t="n">
        <f aca="false">IF(S15&gt;0,INT((S15-1)/12)+1,0)</f>
        <v>0</v>
      </c>
      <c r="T16" s="275" t="n">
        <f aca="false">IF(T15&gt;0,INT((T15-1)/12)+1,0)</f>
        <v>0</v>
      </c>
      <c r="U16" s="275" t="n">
        <f aca="false">IF(U15&gt;0,INT((U15-1)/12)+1,0)</f>
        <v>0</v>
      </c>
      <c r="V16" s="275" t="n">
        <f aca="false">IF(V15&gt;0,INT((V15-1)/12)+1,0)</f>
        <v>0</v>
      </c>
      <c r="W16" s="275" t="n">
        <f aca="false">IF(W15&gt;0,INT((W15-1)/12)+1,0)</f>
        <v>0</v>
      </c>
      <c r="X16" s="275" t="n">
        <f aca="false">IF(X15&gt;0,INT((X15-1)/12)+1,0)</f>
        <v>0</v>
      </c>
      <c r="Y16" s="275" t="n">
        <f aca="false">IF(Y15&gt;0,INT((Y15-1)/12)+1,0)</f>
        <v>0</v>
      </c>
      <c r="Z16" s="275" t="n">
        <f aca="false">IF(Z15&gt;0,INT((Z15-1)/12)+1,0)</f>
        <v>0</v>
      </c>
      <c r="AA16" s="275" t="n">
        <f aca="false">IF(AA15&gt;0,INT((AA15-1)/12)+1,0)</f>
        <v>0</v>
      </c>
      <c r="AB16" s="275" t="n">
        <f aca="false">IF(AB15&gt;0,INT((AB15-1)/12)+1,0)</f>
        <v>0</v>
      </c>
      <c r="AC16" s="275" t="n">
        <f aca="false">IF(AC15&gt;0,INT((AC15-1)/12)+1,0)</f>
        <v>0</v>
      </c>
      <c r="AD16" s="275" t="n">
        <f aca="false">IF(AD15&gt;0,INT((AD15-1)/12)+1,0)</f>
        <v>0</v>
      </c>
      <c r="AE16" s="275" t="n">
        <f aca="false">IF(AE15&gt;0,INT((AE15-1)/12)+1,0)</f>
        <v>0</v>
      </c>
      <c r="AF16" s="275" t="n">
        <f aca="false">IF(AF15&gt;0,INT((AF15-1)/12)+1,0)</f>
        <v>0</v>
      </c>
      <c r="AG16" s="275" t="n">
        <f aca="false">IF(AG15&gt;0,INT((AG15-1)/12)+1,0)</f>
        <v>0</v>
      </c>
      <c r="AH16" s="275" t="n">
        <f aca="false">IF(AH15&gt;0,INT((AH15-1)/12)+1,0)</f>
        <v>0</v>
      </c>
      <c r="AI16" s="275" t="n">
        <f aca="false">IF(AI15&gt;0,INT((AI15-1)/12)+1,0)</f>
        <v>0</v>
      </c>
      <c r="AJ16" s="275" t="n">
        <f aca="false">IF(AJ15&gt;0,INT((AJ15-1)/12)+1,0)</f>
        <v>0</v>
      </c>
      <c r="AK16" s="275" t="n">
        <f aca="false">IF(AK15&gt;0,INT((AK15-1)/12)+1,0)</f>
        <v>0</v>
      </c>
      <c r="AL16" s="275" t="n">
        <f aca="false">IF(AL15&gt;0,INT((AL15-1)/12)+1,0)</f>
        <v>0</v>
      </c>
      <c r="AM16" s="275" t="n">
        <f aca="false">IF(AM15&gt;0,INT((AM15-1)/12)+1,0)</f>
        <v>0</v>
      </c>
      <c r="AN16" s="275" t="n">
        <f aca="false">IF(AN15&gt;0,INT((AN15-1)/12)+1,0)</f>
        <v>0</v>
      </c>
      <c r="AO16" s="275" t="n">
        <f aca="false">IF(AO15&gt;0,INT((AO15-1)/12)+1,0)</f>
        <v>0</v>
      </c>
      <c r="AP16" s="275" t="n">
        <f aca="false">IF(AP15&gt;0,INT((AP15-1)/12)+1,0)</f>
        <v>0</v>
      </c>
      <c r="AQ16" s="275" t="n">
        <f aca="false">IF(AQ15&gt;0,INT((AQ15-1)/12)+1,0)</f>
        <v>0</v>
      </c>
      <c r="AR16" s="275" t="n">
        <f aca="false">IF(AR15&gt;0,INT((AR15-1)/12)+1,0)</f>
        <v>0</v>
      </c>
      <c r="AS16" s="275" t="n">
        <f aca="false">IF(AS15&gt;0,INT((AS15-1)/12)+1,0)</f>
        <v>0</v>
      </c>
      <c r="AT16" s="275" t="n">
        <f aca="false">IF(AT15&gt;0,INT((AT15-1)/12)+1,0)</f>
        <v>0</v>
      </c>
      <c r="AU16" s="275" t="n">
        <f aca="false">IF(AU15&gt;0,INT((AU15-1)/12)+1,0)</f>
        <v>0</v>
      </c>
      <c r="AV16" s="275" t="n">
        <f aca="false">IF(AV15&gt;0,INT((AV15-1)/12)+1,0)</f>
        <v>0</v>
      </c>
      <c r="AW16" s="275" t="n">
        <f aca="false">IF(AW15&gt;0,INT((AW15-1)/12)+1,0)</f>
        <v>0</v>
      </c>
      <c r="AX16" s="275" t="n">
        <f aca="false">IF(AX15&gt;0,INT((AX15-1)/12)+1,0)</f>
        <v>0</v>
      </c>
      <c r="AY16" s="275" t="n">
        <f aca="false">IF(AY15&gt;0,INT((AY15-1)/12)+1,0)</f>
        <v>0</v>
      </c>
      <c r="AZ16" s="275" t="n">
        <f aca="false">IF(AZ15&gt;0,INT((AZ15-1)/12)+1,0)</f>
        <v>0</v>
      </c>
      <c r="BA16" s="275" t="n">
        <f aca="false">IF(BA15&gt;0,INT((BA15-1)/12)+1,0)</f>
        <v>0</v>
      </c>
      <c r="BB16" s="275" t="n">
        <f aca="false">IF(BB15&gt;0,INT((BB15-1)/12)+1,0)</f>
        <v>0</v>
      </c>
      <c r="BC16" s="275" t="n">
        <f aca="false">IF(BC15&gt;0,INT((BC15-1)/12)+1,0)</f>
        <v>0</v>
      </c>
      <c r="BD16" s="275" t="n">
        <f aca="false">IF(BD15&gt;0,INT((BD15-1)/12)+1,0)</f>
        <v>0</v>
      </c>
      <c r="BE16" s="275" t="n">
        <f aca="false">IF(BE15&gt;0,INT((BE15-1)/12)+1,0)</f>
        <v>0</v>
      </c>
      <c r="BF16" s="275" t="n">
        <f aca="false">IF(BF15&gt;0,INT((BF15-1)/12)+1,0)</f>
        <v>0</v>
      </c>
      <c r="BG16" s="275" t="n">
        <f aca="false">IF(BG15&gt;0,INT((BG15-1)/12)+1,0)</f>
        <v>0</v>
      </c>
      <c r="BH16" s="275" t="n">
        <f aca="false">IF(BH15&gt;0,INT((BH15-1)/12)+1,0)</f>
        <v>0</v>
      </c>
      <c r="BI16" s="275" t="n">
        <f aca="false">IF(BI15&gt;0,INT((BI15-1)/12)+1,0)</f>
        <v>0</v>
      </c>
      <c r="BJ16" s="275" t="n">
        <f aca="false">IF(BJ15&gt;0,INT((BJ15-1)/12)+1,0)</f>
        <v>0</v>
      </c>
      <c r="BK16" s="275" t="n">
        <f aca="false">IF(BK15&gt;0,INT((BK15-1)/12)+1,0)</f>
        <v>0</v>
      </c>
      <c r="BL16" s="275" t="n">
        <f aca="false">IF(BL15&gt;0,INT((BL15-1)/12)+1,0)</f>
        <v>0</v>
      </c>
      <c r="BM16" s="275" t="n">
        <f aca="false">IF(BM15&gt;0,INT((BM15-1)/12)+1,0)</f>
        <v>1</v>
      </c>
      <c r="BN16" s="275" t="n">
        <f aca="false">IF(BN15&gt;0,INT((BN15-1)/12)+1,0)</f>
        <v>1</v>
      </c>
      <c r="BO16" s="275" t="n">
        <f aca="false">IF(BO15&gt;0,INT((BO15-1)/12)+1,0)</f>
        <v>1</v>
      </c>
      <c r="BP16" s="275" t="n">
        <f aca="false">IF(BP15&gt;0,INT((BP15-1)/12)+1,0)</f>
        <v>1</v>
      </c>
      <c r="BQ16" s="275" t="n">
        <f aca="false">IF(BQ15&gt;0,INT((BQ15-1)/12)+1,0)</f>
        <v>1</v>
      </c>
      <c r="BR16" s="275" t="n">
        <f aca="false">IF(BR15&gt;0,INT((BR15-1)/12)+1,0)</f>
        <v>1</v>
      </c>
      <c r="BS16" s="275" t="n">
        <f aca="false">IF(BS15&gt;0,INT((BS15-1)/12)+1,0)</f>
        <v>1</v>
      </c>
      <c r="BT16" s="275" t="n">
        <f aca="false">IF(BT15&gt;0,INT((BT15-1)/12)+1,0)</f>
        <v>1</v>
      </c>
      <c r="BU16" s="275" t="n">
        <f aca="false">IF(BU15&gt;0,INT((BU15-1)/12)+1,0)</f>
        <v>1</v>
      </c>
      <c r="BV16" s="275" t="n">
        <f aca="false">IF(BV15&gt;0,INT((BV15-1)/12)+1,0)</f>
        <v>1</v>
      </c>
      <c r="BW16" s="275" t="n">
        <f aca="false">IF(BW15&gt;0,INT((BW15-1)/12)+1,0)</f>
        <v>1</v>
      </c>
      <c r="BX16" s="275" t="n">
        <f aca="false">IF(BX15&gt;0,INT((BX15-1)/12)+1,0)</f>
        <v>1</v>
      </c>
      <c r="BY16" s="275" t="n">
        <f aca="false">IF(BY15&gt;0,INT((BY15-1)/12)+1,0)</f>
        <v>2</v>
      </c>
      <c r="BZ16" s="275" t="n">
        <f aca="false">IF(BZ15&gt;0,INT((BZ15-1)/12)+1,0)</f>
        <v>2</v>
      </c>
      <c r="CA16" s="275" t="n">
        <f aca="false">IF(CA15&gt;0,INT((CA15-1)/12)+1,0)</f>
        <v>2</v>
      </c>
      <c r="CB16" s="275" t="n">
        <f aca="false">IF(CB15&gt;0,INT((CB15-1)/12)+1,0)</f>
        <v>2</v>
      </c>
      <c r="CC16" s="275" t="n">
        <f aca="false">IF(CC15&gt;0,INT((CC15-1)/12)+1,0)</f>
        <v>2</v>
      </c>
      <c r="CD16" s="275" t="n">
        <f aca="false">IF(CD15&gt;0,INT((CD15-1)/12)+1,0)</f>
        <v>2</v>
      </c>
      <c r="CE16" s="275" t="n">
        <f aca="false">IF(CE15&gt;0,INT((CE15-1)/12)+1,0)</f>
        <v>2</v>
      </c>
      <c r="CF16" s="275" t="n">
        <f aca="false">IF(CF15&gt;0,INT((CF15-1)/12)+1,0)</f>
        <v>2</v>
      </c>
      <c r="CG16" s="275" t="n">
        <f aca="false">IF(CG15&gt;0,INT((CG15-1)/12)+1,0)</f>
        <v>2</v>
      </c>
      <c r="CH16" s="275" t="n">
        <f aca="false">IF(CH15&gt;0,INT((CH15-1)/12)+1,0)</f>
        <v>2</v>
      </c>
      <c r="CI16" s="275" t="n">
        <f aca="false">IF(CI15&gt;0,INT((CI15-1)/12)+1,0)</f>
        <v>2</v>
      </c>
      <c r="CJ16" s="275" t="n">
        <f aca="false">IF(CJ15&gt;0,INT((CJ15-1)/12)+1,0)</f>
        <v>2</v>
      </c>
      <c r="CK16" s="275" t="n">
        <f aca="false">IF(CK15&gt;0,INT((CK15-1)/12)+1,0)</f>
        <v>3</v>
      </c>
      <c r="CL16" s="275" t="n">
        <f aca="false">IF(CL15&gt;0,INT((CL15-1)/12)+1,0)</f>
        <v>3</v>
      </c>
      <c r="CM16" s="275" t="n">
        <f aca="false">IF(CM15&gt;0,INT((CM15-1)/12)+1,0)</f>
        <v>3</v>
      </c>
      <c r="CN16" s="275" t="n">
        <f aca="false">IF(CN15&gt;0,INT((CN15-1)/12)+1,0)</f>
        <v>3</v>
      </c>
      <c r="CO16" s="275" t="n">
        <f aca="false">IF(CO15&gt;0,INT((CO15-1)/12)+1,0)</f>
        <v>3</v>
      </c>
      <c r="CP16" s="275" t="n">
        <f aca="false">IF(CP15&gt;0,INT((CP15-1)/12)+1,0)</f>
        <v>3</v>
      </c>
      <c r="CQ16" s="275" t="n">
        <f aca="false">IF(CQ15&gt;0,INT((CQ15-1)/12)+1,0)</f>
        <v>3</v>
      </c>
      <c r="CR16" s="275" t="n">
        <f aca="false">IF(CR15&gt;0,INT((CR15-1)/12)+1,0)</f>
        <v>3</v>
      </c>
      <c r="CS16" s="275" t="n">
        <f aca="false">IF(CS15&gt;0,INT((CS15-1)/12)+1,0)</f>
        <v>3</v>
      </c>
      <c r="CT16" s="275" t="n">
        <f aca="false">IF(CT15&gt;0,INT((CT15-1)/12)+1,0)</f>
        <v>3</v>
      </c>
      <c r="CU16" s="275" t="n">
        <f aca="false">IF(CU15&gt;0,INT((CU15-1)/12)+1,0)</f>
        <v>3</v>
      </c>
      <c r="CV16" s="275" t="n">
        <f aca="false">IF(CV15&gt;0,INT((CV15-1)/12)+1,0)</f>
        <v>3</v>
      </c>
      <c r="CW16" s="275" t="n">
        <f aca="false">IF(CW15&gt;0,INT((CW15-1)/12)+1,0)</f>
        <v>4</v>
      </c>
      <c r="CX16" s="275" t="n">
        <f aca="false">IF(CX15&gt;0,INT((CX15-1)/12)+1,0)</f>
        <v>4</v>
      </c>
      <c r="CY16" s="275" t="n">
        <f aca="false">IF(CY15&gt;0,INT((CY15-1)/12)+1,0)</f>
        <v>4</v>
      </c>
      <c r="CZ16" s="275" t="n">
        <f aca="false">IF(CZ15&gt;0,INT((CZ15-1)/12)+1,0)</f>
        <v>4</v>
      </c>
      <c r="DA16" s="275" t="n">
        <f aca="false">IF(DA15&gt;0,INT((DA15-1)/12)+1,0)</f>
        <v>4</v>
      </c>
      <c r="DB16" s="275" t="n">
        <f aca="false">IF(DB15&gt;0,INT((DB15-1)/12)+1,0)</f>
        <v>4</v>
      </c>
      <c r="DC16" s="275" t="n">
        <f aca="false">IF(DC15&gt;0,INT((DC15-1)/12)+1,0)</f>
        <v>4</v>
      </c>
      <c r="DD16" s="275" t="n">
        <f aca="false">IF(DD15&gt;0,INT((DD15-1)/12)+1,0)</f>
        <v>4</v>
      </c>
      <c r="DE16" s="275" t="n">
        <f aca="false">IF(DE15&gt;0,INT((DE15-1)/12)+1,0)</f>
        <v>4</v>
      </c>
      <c r="DF16" s="275" t="n">
        <f aca="false">IF(DF15&gt;0,INT((DF15-1)/12)+1,0)</f>
        <v>4</v>
      </c>
      <c r="DG16" s="275" t="n">
        <f aca="false">IF(DG15&gt;0,INT((DG15-1)/12)+1,0)</f>
        <v>4</v>
      </c>
      <c r="DH16" s="275" t="n">
        <f aca="false">IF(DH15&gt;0,INT((DH15-1)/12)+1,0)</f>
        <v>4</v>
      </c>
      <c r="DI16" s="275" t="n">
        <f aca="false">IF(DI15&gt;0,INT((DI15-1)/12)+1,0)</f>
        <v>5</v>
      </c>
      <c r="DJ16" s="275" t="n">
        <f aca="false">IF(DJ15&gt;0,INT((DJ15-1)/12)+1,0)</f>
        <v>5</v>
      </c>
      <c r="DK16" s="275" t="n">
        <f aca="false">IF(DK15&gt;0,INT((DK15-1)/12)+1,0)</f>
        <v>5</v>
      </c>
      <c r="DL16" s="275" t="n">
        <f aca="false">IF(DL15&gt;0,INT((DL15-1)/12)+1,0)</f>
        <v>5</v>
      </c>
      <c r="DM16" s="275" t="n">
        <f aca="false">IF(DM15&gt;0,INT((DM15-1)/12)+1,0)</f>
        <v>5</v>
      </c>
      <c r="DN16" s="275" t="n">
        <f aca="false">IF(DN15&gt;0,INT((DN15-1)/12)+1,0)</f>
        <v>5</v>
      </c>
      <c r="DO16" s="275" t="n">
        <f aca="false">IF(DO15&gt;0,INT((DO15-1)/12)+1,0)</f>
        <v>5</v>
      </c>
      <c r="DP16" s="275" t="n">
        <f aca="false">IF(DP15&gt;0,INT((DP15-1)/12)+1,0)</f>
        <v>5</v>
      </c>
      <c r="DQ16" s="275" t="n">
        <f aca="false">IF(DQ15&gt;0,INT((DQ15-1)/12)+1,0)</f>
        <v>5</v>
      </c>
      <c r="DR16" s="275" t="n">
        <f aca="false">IF(DR15&gt;0,INT((DR15-1)/12)+1,0)</f>
        <v>5</v>
      </c>
      <c r="DS16" s="275" t="n">
        <f aca="false">IF(DS15&gt;0,INT((DS15-1)/12)+1,0)</f>
        <v>5</v>
      </c>
      <c r="DT16" s="275" t="n">
        <f aca="false">IF(DT15&gt;0,INT((DT15-1)/12)+1,0)</f>
        <v>5</v>
      </c>
      <c r="DU16" s="275" t="n">
        <f aca="false">IF(DU15&gt;0,INT((DU15-1)/12)+1,0)</f>
        <v>0</v>
      </c>
      <c r="DV16" s="275" t="n">
        <f aca="false">IF(DV15&gt;0,INT((DV15-1)/12)+1,0)</f>
        <v>0</v>
      </c>
      <c r="DW16" s="275" t="n">
        <f aca="false">IF(DW15&gt;0,INT((DW15-1)/12)+1,0)</f>
        <v>0</v>
      </c>
      <c r="DX16" s="275" t="n">
        <f aca="false">IF(DX15&gt;0,INT((DX15-1)/12)+1,0)</f>
        <v>0</v>
      </c>
      <c r="DY16" s="275" t="n">
        <f aca="false">IF(DY15&gt;0,INT((DY15-1)/12)+1,0)</f>
        <v>0</v>
      </c>
      <c r="DZ16" s="275" t="n">
        <f aca="false">IF(DZ15&gt;0,INT((DZ15-1)/12)+1,0)</f>
        <v>0</v>
      </c>
      <c r="EA16" s="275" t="n">
        <f aca="false">IF(EA15&gt;0,INT((EA15-1)/12)+1,0)</f>
        <v>0</v>
      </c>
      <c r="EB16" s="275" t="n">
        <f aca="false">IF(EB15&gt;0,INT((EB15-1)/12)+1,0)</f>
        <v>0</v>
      </c>
      <c r="EC16" s="275" t="n">
        <f aca="false">IF(EC15&gt;0,INT((EC15-1)/12)+1,0)</f>
        <v>0</v>
      </c>
      <c r="ED16" s="275" t="n">
        <f aca="false">IF(ED15&gt;0,INT((ED15-1)/12)+1,0)</f>
        <v>0</v>
      </c>
      <c r="EE16" s="275" t="n">
        <f aca="false">IF(EE15&gt;0,INT((EE15-1)/12)+1,0)</f>
        <v>0</v>
      </c>
      <c r="EF16" s="275" t="n">
        <f aca="false">IF(EF15&gt;0,INT((EF15-1)/12)+1,0)</f>
        <v>0</v>
      </c>
    </row>
    <row r="17" customFormat="false" ht="15" hidden="false" customHeight="false" outlineLevel="0" collapsed="false">
      <c r="A17" s="36" t="s">
        <v>573</v>
      </c>
      <c r="B17" s="273"/>
      <c r="E17" s="276" t="n">
        <f aca="false">IF(AND(E6&gt;=③기타_가정!$E$18,E6&lt;=③기타_가정!$E$24),1,0)</f>
        <v>0</v>
      </c>
      <c r="F17" s="276" t="n">
        <f aca="false">IF(AND(F6&gt;=③기타_가정!$E$18,F6&lt;=③기타_가정!$E$24),1,0)</f>
        <v>0</v>
      </c>
      <c r="G17" s="276" t="n">
        <f aca="false">IF(AND(G6&gt;=③기타_가정!$E$18,G6&lt;=③기타_가정!$E$24),1,0)</f>
        <v>0</v>
      </c>
      <c r="H17" s="276" t="n">
        <f aca="false">IF(AND(H6&gt;=③기타_가정!$E$18,H6&lt;=③기타_가정!$E$24),1,0)</f>
        <v>0</v>
      </c>
      <c r="I17" s="276" t="n">
        <f aca="false">IF(AND(I6&gt;=③기타_가정!$E$18,I6&lt;=③기타_가정!$E$24),1,0)</f>
        <v>0</v>
      </c>
      <c r="J17" s="276" t="n">
        <f aca="false">IF(AND(J6&gt;=③기타_가정!$E$18,J6&lt;=③기타_가정!$E$24),1,0)</f>
        <v>0</v>
      </c>
      <c r="K17" s="276" t="n">
        <f aca="false">IF(AND(K6&gt;=③기타_가정!$E$18,K6&lt;=③기타_가정!$E$24),1,0)</f>
        <v>0</v>
      </c>
      <c r="L17" s="276" t="n">
        <f aca="false">IF(AND(L6&gt;=③기타_가정!$E$18,L6&lt;=③기타_가정!$E$24),1,0)</f>
        <v>0</v>
      </c>
      <c r="M17" s="276" t="n">
        <f aca="false">IF(AND(M6&gt;=③기타_가정!$E$18,M6&lt;=③기타_가정!$E$24),1,0)</f>
        <v>0</v>
      </c>
      <c r="N17" s="276" t="n">
        <f aca="false">IF(AND(N6&gt;=③기타_가정!$E$18,N6&lt;=③기타_가정!$E$24),1,0)</f>
        <v>0</v>
      </c>
      <c r="O17" s="276" t="n">
        <f aca="false">IF(AND(O6&gt;=③기타_가정!$E$18,O6&lt;=③기타_가정!$E$24),1,0)</f>
        <v>0</v>
      </c>
      <c r="P17" s="276" t="n">
        <f aca="false">IF(AND(P6&gt;=③기타_가정!$E$18,P6&lt;=③기타_가정!$E$24),1,0)</f>
        <v>0</v>
      </c>
      <c r="Q17" s="276" t="n">
        <f aca="false">IF(AND(Q6&gt;=③기타_가정!$E$18,Q6&lt;=③기타_가정!$E$24),1,0)</f>
        <v>0</v>
      </c>
      <c r="R17" s="276" t="n">
        <f aca="false">IF(AND(R6&gt;=③기타_가정!$E$18,R6&lt;=③기타_가정!$E$24),1,0)</f>
        <v>0</v>
      </c>
      <c r="S17" s="276" t="n">
        <f aca="false">IF(AND(S6&gt;=③기타_가정!$E$18,S6&lt;=③기타_가정!$E$24),1,0)</f>
        <v>0</v>
      </c>
      <c r="T17" s="276" t="n">
        <f aca="false">IF(AND(T6&gt;=③기타_가정!$E$18,T6&lt;=③기타_가정!$E$24),1,0)</f>
        <v>0</v>
      </c>
      <c r="U17" s="276" t="n">
        <f aca="false">IF(AND(U6&gt;=③기타_가정!$E$18,U6&lt;=③기타_가정!$E$24),1,0)</f>
        <v>0</v>
      </c>
      <c r="V17" s="276" t="n">
        <f aca="false">IF(AND(V6&gt;=③기타_가정!$E$18,V6&lt;=③기타_가정!$E$24),1,0)</f>
        <v>0</v>
      </c>
      <c r="W17" s="276" t="n">
        <f aca="false">IF(AND(W6&gt;=③기타_가정!$E$18,W6&lt;=③기타_가정!$E$24),1,0)</f>
        <v>0</v>
      </c>
      <c r="X17" s="276" t="n">
        <f aca="false">IF(AND(X6&gt;=③기타_가정!$E$18,X6&lt;=③기타_가정!$E$24),1,0)</f>
        <v>0</v>
      </c>
      <c r="Y17" s="276" t="n">
        <f aca="false">IF(AND(Y6&gt;=③기타_가정!$E$18,Y6&lt;=③기타_가정!$E$24),1,0)</f>
        <v>0</v>
      </c>
      <c r="Z17" s="276" t="n">
        <f aca="false">IF(AND(Z6&gt;=③기타_가정!$E$18,Z6&lt;=③기타_가정!$E$24),1,0)</f>
        <v>0</v>
      </c>
      <c r="AA17" s="276" t="n">
        <f aca="false">IF(AND(AA6&gt;=③기타_가정!$E$18,AA6&lt;=③기타_가정!$E$24),1,0)</f>
        <v>0</v>
      </c>
      <c r="AB17" s="276" t="n">
        <f aca="false">IF(AND(AB6&gt;=③기타_가정!$E$18,AB6&lt;=③기타_가정!$E$24),1,0)</f>
        <v>0</v>
      </c>
      <c r="AC17" s="276" t="n">
        <f aca="false">IF(AND(AC6&gt;=③기타_가정!$E$18,AC6&lt;=③기타_가정!$E$24),1,0)</f>
        <v>0</v>
      </c>
      <c r="AD17" s="276" t="n">
        <f aca="false">IF(AND(AD6&gt;=③기타_가정!$E$18,AD6&lt;=③기타_가정!$E$24),1,0)</f>
        <v>0</v>
      </c>
      <c r="AE17" s="276" t="n">
        <f aca="false">IF(AND(AE6&gt;=③기타_가정!$E$18,AE6&lt;=③기타_가정!$E$24),1,0)</f>
        <v>0</v>
      </c>
      <c r="AF17" s="276" t="n">
        <f aca="false">IF(AND(AF6&gt;=③기타_가정!$E$18,AF6&lt;=③기타_가정!$E$24),1,0)</f>
        <v>0</v>
      </c>
      <c r="AG17" s="276" t="n">
        <f aca="false">IF(AND(AG6&gt;=③기타_가정!$E$18,AG6&lt;=③기타_가정!$E$24),1,0)</f>
        <v>0</v>
      </c>
      <c r="AH17" s="276" t="n">
        <f aca="false">IF(AND(AH6&gt;=③기타_가정!$E$18,AH6&lt;=③기타_가정!$E$24),1,0)</f>
        <v>0</v>
      </c>
      <c r="AI17" s="276" t="n">
        <f aca="false">IF(AND(AI6&gt;=③기타_가정!$E$18,AI6&lt;=③기타_가정!$E$24),1,0)</f>
        <v>0</v>
      </c>
      <c r="AJ17" s="276" t="n">
        <f aca="false">IF(AND(AJ6&gt;=③기타_가정!$E$18,AJ6&lt;=③기타_가정!$E$24),1,0)</f>
        <v>0</v>
      </c>
      <c r="AK17" s="276" t="n">
        <f aca="false">IF(AND(AK6&gt;=③기타_가정!$E$18,AK6&lt;=③기타_가정!$E$24),1,0)</f>
        <v>0</v>
      </c>
      <c r="AL17" s="276" t="n">
        <f aca="false">IF(AND(AL6&gt;=③기타_가정!$E$18,AL6&lt;=③기타_가정!$E$24),1,0)</f>
        <v>0</v>
      </c>
      <c r="AM17" s="276" t="n">
        <f aca="false">IF(AND(AM6&gt;=③기타_가정!$E$18,AM6&lt;=③기타_가정!$E$24),1,0)</f>
        <v>0</v>
      </c>
      <c r="AN17" s="276" t="n">
        <f aca="false">IF(AND(AN6&gt;=③기타_가정!$E$18,AN6&lt;=③기타_가정!$E$24),1,0)</f>
        <v>0</v>
      </c>
      <c r="AO17" s="276" t="n">
        <f aca="false">IF(AND(AO6&gt;=③기타_가정!$E$18,AO6&lt;=③기타_가정!$E$24),1,0)</f>
        <v>0</v>
      </c>
      <c r="AP17" s="276" t="n">
        <f aca="false">IF(AND(AP6&gt;=③기타_가정!$E$18,AP6&lt;=③기타_가정!$E$24),1,0)</f>
        <v>0</v>
      </c>
      <c r="AQ17" s="276" t="n">
        <f aca="false">IF(AND(AQ6&gt;=③기타_가정!$E$18,AQ6&lt;=③기타_가정!$E$24),1,0)</f>
        <v>0</v>
      </c>
      <c r="AR17" s="276" t="n">
        <f aca="false">IF(AND(AR6&gt;=③기타_가정!$E$18,AR6&lt;=③기타_가정!$E$24),1,0)</f>
        <v>0</v>
      </c>
      <c r="AS17" s="276" t="n">
        <f aca="false">IF(AND(AS6&gt;=③기타_가정!$E$18,AS6&lt;=③기타_가정!$E$24),1,0)</f>
        <v>0</v>
      </c>
      <c r="AT17" s="276" t="n">
        <f aca="false">IF(AND(AT6&gt;=③기타_가정!$E$18,AT6&lt;=③기타_가정!$E$24),1,0)</f>
        <v>0</v>
      </c>
      <c r="AU17" s="276" t="n">
        <f aca="false">IF(AND(AU6&gt;=③기타_가정!$E$18,AU6&lt;=③기타_가정!$E$24),1,0)</f>
        <v>0</v>
      </c>
      <c r="AV17" s="276" t="n">
        <f aca="false">IF(AND(AV6&gt;=③기타_가정!$E$18,AV6&lt;=③기타_가정!$E$24),1,0)</f>
        <v>0</v>
      </c>
      <c r="AW17" s="276" t="n">
        <f aca="false">IF(AND(AW6&gt;=③기타_가정!$E$18,AW6&lt;=③기타_가정!$E$24),1,0)</f>
        <v>0</v>
      </c>
      <c r="AX17" s="276" t="n">
        <f aca="false">IF(AND(AX6&gt;=③기타_가정!$E$18,AX6&lt;=③기타_가정!$E$24),1,0)</f>
        <v>0</v>
      </c>
      <c r="AY17" s="276" t="n">
        <f aca="false">IF(AND(AY6&gt;=③기타_가정!$E$18,AY6&lt;=③기타_가정!$E$24),1,0)</f>
        <v>0</v>
      </c>
      <c r="AZ17" s="276" t="n">
        <f aca="false">IF(AND(AZ6&gt;=③기타_가정!$E$18,AZ6&lt;=③기타_가정!$E$24),1,0)</f>
        <v>0</v>
      </c>
      <c r="BA17" s="276" t="n">
        <f aca="false">IF(AND(BA6&gt;=③기타_가정!$E$18,BA6&lt;=③기타_가정!$E$24),1,0)</f>
        <v>0</v>
      </c>
      <c r="BB17" s="276" t="n">
        <f aca="false">IF(AND(BB6&gt;=③기타_가정!$E$18,BB6&lt;=③기타_가정!$E$24),1,0)</f>
        <v>0</v>
      </c>
      <c r="BC17" s="276" t="n">
        <f aca="false">IF(AND(BC6&gt;=③기타_가정!$E$18,BC6&lt;=③기타_가정!$E$24),1,0)</f>
        <v>0</v>
      </c>
      <c r="BD17" s="276" t="n">
        <f aca="false">IF(AND(BD6&gt;=③기타_가정!$E$18,BD6&lt;=③기타_가정!$E$24),1,0)</f>
        <v>0</v>
      </c>
      <c r="BE17" s="276" t="n">
        <f aca="false">IF(AND(BE6&gt;=③기타_가정!$E$18,BE6&lt;=③기타_가정!$E$24),1,0)</f>
        <v>0</v>
      </c>
      <c r="BF17" s="276" t="n">
        <f aca="false">IF(AND(BF6&gt;=③기타_가정!$E$18,BF6&lt;=③기타_가정!$E$24),1,0)</f>
        <v>0</v>
      </c>
      <c r="BG17" s="276" t="n">
        <f aca="false">IF(AND(BG6&gt;=③기타_가정!$E$18,BG6&lt;=③기타_가정!$E$24),1,0)</f>
        <v>0</v>
      </c>
      <c r="BH17" s="276" t="n">
        <f aca="false">IF(AND(BH6&gt;=③기타_가정!$E$18,BH6&lt;=③기타_가정!$E$24),1,0)</f>
        <v>0</v>
      </c>
      <c r="BI17" s="276" t="n">
        <f aca="false">IF(AND(BI6&gt;=③기타_가정!$E$18,BI6&lt;=③기타_가정!$E$24),1,0)</f>
        <v>0</v>
      </c>
      <c r="BJ17" s="276" t="n">
        <f aca="false">IF(AND(BJ6&gt;=③기타_가정!$E$18,BJ6&lt;=③기타_가정!$E$24),1,0)</f>
        <v>0</v>
      </c>
      <c r="BK17" s="276" t="n">
        <f aca="false">IF(AND(BK6&gt;=③기타_가정!$E$18,BK6&lt;=③기타_가정!$E$24),1,0)</f>
        <v>0</v>
      </c>
      <c r="BL17" s="276" t="n">
        <f aca="false">IF(AND(BL6&gt;=③기타_가정!$E$18,BL6&lt;=③기타_가정!$E$24),1,0)</f>
        <v>0</v>
      </c>
      <c r="BM17" s="276" t="n">
        <f aca="false">IF(AND(BM6&gt;=③기타_가정!$E$18,BM6&lt;=③기타_가정!$E$24),1,0)</f>
        <v>1</v>
      </c>
      <c r="BN17" s="276" t="n">
        <f aca="false">IF(AND(BN6&gt;=③기타_가정!$E$18,BN6&lt;=③기타_가정!$E$24),1,0)</f>
        <v>1</v>
      </c>
      <c r="BO17" s="276" t="n">
        <f aca="false">IF(AND(BO6&gt;=③기타_가정!$E$18,BO6&lt;=③기타_가정!$E$24),1,0)</f>
        <v>1</v>
      </c>
      <c r="BP17" s="276" t="n">
        <f aca="false">IF(AND(BP6&gt;=③기타_가정!$E$18,BP6&lt;=③기타_가정!$E$24),1,0)</f>
        <v>1</v>
      </c>
      <c r="BQ17" s="276" t="n">
        <f aca="false">IF(AND(BQ6&gt;=③기타_가정!$E$18,BQ6&lt;=③기타_가정!$E$24),1,0)</f>
        <v>1</v>
      </c>
      <c r="BR17" s="276" t="n">
        <f aca="false">IF(AND(BR6&gt;=③기타_가정!$E$18,BR6&lt;=③기타_가정!$E$24),1,0)</f>
        <v>1</v>
      </c>
      <c r="BS17" s="276" t="n">
        <f aca="false">IF(AND(BS6&gt;=③기타_가정!$E$18,BS6&lt;=③기타_가정!$E$24),1,0)</f>
        <v>1</v>
      </c>
      <c r="BT17" s="276" t="n">
        <f aca="false">IF(AND(BT6&gt;=③기타_가정!$E$18,BT6&lt;=③기타_가정!$E$24),1,0)</f>
        <v>1</v>
      </c>
      <c r="BU17" s="276" t="n">
        <f aca="false">IF(AND(BU6&gt;=③기타_가정!$E$18,BU6&lt;=③기타_가정!$E$24),1,0)</f>
        <v>1</v>
      </c>
      <c r="BV17" s="276" t="n">
        <f aca="false">IF(AND(BV6&gt;=③기타_가정!$E$18,BV6&lt;=③기타_가정!$E$24),1,0)</f>
        <v>1</v>
      </c>
      <c r="BW17" s="276" t="n">
        <f aca="false">IF(AND(BW6&gt;=③기타_가정!$E$18,BW6&lt;=③기타_가정!$E$24),1,0)</f>
        <v>1</v>
      </c>
      <c r="BX17" s="276" t="n">
        <f aca="false">IF(AND(BX6&gt;=③기타_가정!$E$18,BX6&lt;=③기타_가정!$E$24),1,0)</f>
        <v>1</v>
      </c>
      <c r="BY17" s="276" t="n">
        <f aca="false">IF(AND(BY6&gt;=③기타_가정!$E$18,BY6&lt;=③기타_가정!$E$24),1,0)</f>
        <v>1</v>
      </c>
      <c r="BZ17" s="276" t="n">
        <f aca="false">IF(AND(BZ6&gt;=③기타_가정!$E$18,BZ6&lt;=③기타_가정!$E$24),1,0)</f>
        <v>1</v>
      </c>
      <c r="CA17" s="276" t="n">
        <f aca="false">IF(AND(CA6&gt;=③기타_가정!$E$18,CA6&lt;=③기타_가정!$E$24),1,0)</f>
        <v>1</v>
      </c>
      <c r="CB17" s="276" t="n">
        <f aca="false">IF(AND(CB6&gt;=③기타_가정!$E$18,CB6&lt;=③기타_가정!$E$24),1,0)</f>
        <v>1</v>
      </c>
      <c r="CC17" s="276" t="n">
        <f aca="false">IF(AND(CC6&gt;=③기타_가정!$E$18,CC6&lt;=③기타_가정!$E$24),1,0)</f>
        <v>1</v>
      </c>
      <c r="CD17" s="276" t="n">
        <f aca="false">IF(AND(CD6&gt;=③기타_가정!$E$18,CD6&lt;=③기타_가정!$E$24),1,0)</f>
        <v>1</v>
      </c>
      <c r="CE17" s="276" t="n">
        <f aca="false">IF(AND(CE6&gt;=③기타_가정!$E$18,CE6&lt;=③기타_가정!$E$24),1,0)</f>
        <v>1</v>
      </c>
      <c r="CF17" s="276" t="n">
        <f aca="false">IF(AND(CF6&gt;=③기타_가정!$E$18,CF6&lt;=③기타_가정!$E$24),1,0)</f>
        <v>1</v>
      </c>
      <c r="CG17" s="276" t="n">
        <f aca="false">IF(AND(CG6&gt;=③기타_가정!$E$18,CG6&lt;=③기타_가정!$E$24),1,0)</f>
        <v>1</v>
      </c>
      <c r="CH17" s="276" t="n">
        <f aca="false">IF(AND(CH6&gt;=③기타_가정!$E$18,CH6&lt;=③기타_가정!$E$24),1,0)</f>
        <v>1</v>
      </c>
      <c r="CI17" s="276" t="n">
        <f aca="false">IF(AND(CI6&gt;=③기타_가정!$E$18,CI6&lt;=③기타_가정!$E$24),1,0)</f>
        <v>1</v>
      </c>
      <c r="CJ17" s="276" t="n">
        <f aca="false">IF(AND(CJ6&gt;=③기타_가정!$E$18,CJ6&lt;=③기타_가정!$E$24),1,0)</f>
        <v>1</v>
      </c>
      <c r="CK17" s="276" t="n">
        <f aca="false">IF(AND(CK6&gt;=③기타_가정!$E$18,CK6&lt;=③기타_가정!$E$24),1,0)</f>
        <v>1</v>
      </c>
      <c r="CL17" s="276" t="n">
        <f aca="false">IF(AND(CL6&gt;=③기타_가정!$E$18,CL6&lt;=③기타_가정!$E$24),1,0)</f>
        <v>1</v>
      </c>
      <c r="CM17" s="276" t="n">
        <f aca="false">IF(AND(CM6&gt;=③기타_가정!$E$18,CM6&lt;=③기타_가정!$E$24),1,0)</f>
        <v>1</v>
      </c>
      <c r="CN17" s="276" t="n">
        <f aca="false">IF(AND(CN6&gt;=③기타_가정!$E$18,CN6&lt;=③기타_가정!$E$24),1,0)</f>
        <v>1</v>
      </c>
      <c r="CO17" s="276" t="n">
        <f aca="false">IF(AND(CO6&gt;=③기타_가정!$E$18,CO6&lt;=③기타_가정!$E$24),1,0)</f>
        <v>1</v>
      </c>
      <c r="CP17" s="276" t="n">
        <f aca="false">IF(AND(CP6&gt;=③기타_가정!$E$18,CP6&lt;=③기타_가정!$E$24),1,0)</f>
        <v>1</v>
      </c>
      <c r="CQ17" s="276" t="n">
        <f aca="false">IF(AND(CQ6&gt;=③기타_가정!$E$18,CQ6&lt;=③기타_가정!$E$24),1,0)</f>
        <v>1</v>
      </c>
      <c r="CR17" s="276" t="n">
        <f aca="false">IF(AND(CR6&gt;=③기타_가정!$E$18,CR6&lt;=③기타_가정!$E$24),1,0)</f>
        <v>1</v>
      </c>
      <c r="CS17" s="276" t="n">
        <f aca="false">IF(AND(CS6&gt;=③기타_가정!$E$18,CS6&lt;=③기타_가정!$E$24),1,0)</f>
        <v>1</v>
      </c>
      <c r="CT17" s="276" t="n">
        <f aca="false">IF(AND(CT6&gt;=③기타_가정!$E$18,CT6&lt;=③기타_가정!$E$24),1,0)</f>
        <v>1</v>
      </c>
      <c r="CU17" s="276" t="n">
        <f aca="false">IF(AND(CU6&gt;=③기타_가정!$E$18,CU6&lt;=③기타_가정!$E$24),1,0)</f>
        <v>1</v>
      </c>
      <c r="CV17" s="276" t="n">
        <f aca="false">IF(AND(CV6&gt;=③기타_가정!$E$18,CV6&lt;=③기타_가정!$E$24),1,0)</f>
        <v>1</v>
      </c>
      <c r="CW17" s="276" t="n">
        <f aca="false">IF(AND(CW6&gt;=③기타_가정!$E$18,CW6&lt;=③기타_가정!$E$24),1,0)</f>
        <v>1</v>
      </c>
      <c r="CX17" s="276" t="n">
        <f aca="false">IF(AND(CX6&gt;=③기타_가정!$E$18,CX6&lt;=③기타_가정!$E$24),1,0)</f>
        <v>1</v>
      </c>
      <c r="CY17" s="276" t="n">
        <f aca="false">IF(AND(CY6&gt;=③기타_가정!$E$18,CY6&lt;=③기타_가정!$E$24),1,0)</f>
        <v>1</v>
      </c>
      <c r="CZ17" s="276" t="n">
        <f aca="false">IF(AND(CZ6&gt;=③기타_가정!$E$18,CZ6&lt;=③기타_가정!$E$24),1,0)</f>
        <v>1</v>
      </c>
      <c r="DA17" s="276" t="n">
        <f aca="false">IF(AND(DA6&gt;=③기타_가정!$E$18,DA6&lt;=③기타_가정!$E$24),1,0)</f>
        <v>1</v>
      </c>
      <c r="DB17" s="276" t="n">
        <f aca="false">IF(AND(DB6&gt;=③기타_가정!$E$18,DB6&lt;=③기타_가정!$E$24),1,0)</f>
        <v>1</v>
      </c>
      <c r="DC17" s="276" t="n">
        <f aca="false">IF(AND(DC6&gt;=③기타_가정!$E$18,DC6&lt;=③기타_가정!$E$24),1,0)</f>
        <v>1</v>
      </c>
      <c r="DD17" s="276" t="n">
        <f aca="false">IF(AND(DD6&gt;=③기타_가정!$E$18,DD6&lt;=③기타_가정!$E$24),1,0)</f>
        <v>1</v>
      </c>
      <c r="DE17" s="276" t="n">
        <f aca="false">IF(AND(DE6&gt;=③기타_가정!$E$18,DE6&lt;=③기타_가정!$E$24),1,0)</f>
        <v>1</v>
      </c>
      <c r="DF17" s="276" t="n">
        <f aca="false">IF(AND(DF6&gt;=③기타_가정!$E$18,DF6&lt;=③기타_가정!$E$24),1,0)</f>
        <v>1</v>
      </c>
      <c r="DG17" s="276" t="n">
        <f aca="false">IF(AND(DG6&gt;=③기타_가정!$E$18,DG6&lt;=③기타_가정!$E$24),1,0)</f>
        <v>1</v>
      </c>
      <c r="DH17" s="276" t="n">
        <f aca="false">IF(AND(DH6&gt;=③기타_가정!$E$18,DH6&lt;=③기타_가정!$E$24),1,0)</f>
        <v>1</v>
      </c>
      <c r="DI17" s="276" t="n">
        <f aca="false">IF(AND(DI6&gt;=③기타_가정!$E$18,DI6&lt;=③기타_가정!$E$24),1,0)</f>
        <v>1</v>
      </c>
      <c r="DJ17" s="276" t="n">
        <f aca="false">IF(AND(DJ6&gt;=③기타_가정!$E$18,DJ6&lt;=③기타_가정!$E$24),1,0)</f>
        <v>1</v>
      </c>
      <c r="DK17" s="276" t="n">
        <f aca="false">IF(AND(DK6&gt;=③기타_가정!$E$18,DK6&lt;=③기타_가정!$E$24),1,0)</f>
        <v>1</v>
      </c>
      <c r="DL17" s="276" t="n">
        <f aca="false">IF(AND(DL6&gt;=③기타_가정!$E$18,DL6&lt;=③기타_가정!$E$24),1,0)</f>
        <v>1</v>
      </c>
      <c r="DM17" s="276" t="n">
        <f aca="false">IF(AND(DM6&gt;=③기타_가정!$E$18,DM6&lt;=③기타_가정!$E$24),1,0)</f>
        <v>1</v>
      </c>
      <c r="DN17" s="276" t="n">
        <f aca="false">IF(AND(DN6&gt;=③기타_가정!$E$18,DN6&lt;=③기타_가정!$E$24),1,0)</f>
        <v>1</v>
      </c>
      <c r="DO17" s="276" t="n">
        <f aca="false">IF(AND(DO6&gt;=③기타_가정!$E$18,DO6&lt;=③기타_가정!$E$24),1,0)</f>
        <v>1</v>
      </c>
      <c r="DP17" s="276" t="n">
        <f aca="false">IF(AND(DP6&gt;=③기타_가정!$E$18,DP6&lt;=③기타_가정!$E$24),1,0)</f>
        <v>1</v>
      </c>
      <c r="DQ17" s="276" t="n">
        <f aca="false">IF(AND(DQ6&gt;=③기타_가정!$E$18,DQ6&lt;=③기타_가정!$E$24),1,0)</f>
        <v>1</v>
      </c>
      <c r="DR17" s="276" t="n">
        <f aca="false">IF(AND(DR6&gt;=③기타_가정!$E$18,DR6&lt;=③기타_가정!$E$24),1,0)</f>
        <v>1</v>
      </c>
      <c r="DS17" s="276" t="n">
        <f aca="false">IF(AND(DS6&gt;=③기타_가정!$E$18,DS6&lt;=③기타_가정!$E$24),1,0)</f>
        <v>1</v>
      </c>
      <c r="DT17" s="276" t="n">
        <f aca="false">IF(AND(DT6&gt;=③기타_가정!$E$18,DT6&lt;=③기타_가정!$E$24),1,0)</f>
        <v>1</v>
      </c>
      <c r="DU17" s="276" t="n">
        <f aca="false">IF(AND(DU6&gt;=③기타_가정!$E$18,DU6&lt;=③기타_가정!$E$24),1,0)</f>
        <v>1</v>
      </c>
      <c r="DV17" s="276" t="n">
        <f aca="false">IF(AND(DV6&gt;=③기타_가정!$E$18,DV6&lt;=③기타_가정!$E$24),1,0)</f>
        <v>1</v>
      </c>
      <c r="DW17" s="276" t="n">
        <f aca="false">IF(AND(DW6&gt;=③기타_가정!$E$18,DW6&lt;=③기타_가정!$E$24),1,0)</f>
        <v>1</v>
      </c>
      <c r="DX17" s="276" t="n">
        <f aca="false">IF(AND(DX6&gt;=③기타_가정!$E$18,DX6&lt;=③기타_가정!$E$24),1,0)</f>
        <v>0</v>
      </c>
      <c r="DY17" s="276" t="n">
        <f aca="false">IF(AND(DY6&gt;=③기타_가정!$E$18,DY6&lt;=③기타_가정!$E$24),1,0)</f>
        <v>0</v>
      </c>
      <c r="DZ17" s="276" t="n">
        <f aca="false">IF(AND(DZ6&gt;=③기타_가정!$E$18,DZ6&lt;=③기타_가정!$E$24),1,0)</f>
        <v>0</v>
      </c>
      <c r="EA17" s="276" t="n">
        <f aca="false">IF(AND(EA6&gt;=③기타_가정!$E$18,EA6&lt;=③기타_가정!$E$24),1,0)</f>
        <v>0</v>
      </c>
      <c r="EB17" s="276" t="n">
        <f aca="false">IF(AND(EB6&gt;=③기타_가정!$E$18,EB6&lt;=③기타_가정!$E$24),1,0)</f>
        <v>0</v>
      </c>
      <c r="EC17" s="276" t="n">
        <f aca="false">IF(AND(EC6&gt;=③기타_가정!$E$18,EC6&lt;=③기타_가정!$E$24),1,0)</f>
        <v>0</v>
      </c>
      <c r="ED17" s="276" t="n">
        <f aca="false">IF(AND(ED6&gt;=③기타_가정!$E$18,ED6&lt;=③기타_가정!$E$24),1,0)</f>
        <v>0</v>
      </c>
      <c r="EE17" s="276" t="n">
        <f aca="false">IF(AND(EE6&gt;=③기타_가정!$E$18,EE6&lt;=③기타_가정!$E$24),1,0)</f>
        <v>0</v>
      </c>
      <c r="EF17" s="276" t="n">
        <f aca="false">IF(AND(EF6&gt;=③기타_가정!$E$18,EF6&lt;=③기타_가정!$E$24),1,0)</f>
        <v>0</v>
      </c>
    </row>
    <row r="18" customFormat="false" ht="15" hidden="false" customHeight="false" outlineLevel="0" collapsed="false">
      <c r="A18" s="36" t="s">
        <v>574</v>
      </c>
      <c r="B18" s="278" t="s">
        <v>575</v>
      </c>
      <c r="E18" s="275" t="n">
        <f aca="false">DAY(E6)</f>
        <v>31</v>
      </c>
      <c r="F18" s="275" t="n">
        <f aca="false">DAY(F6)</f>
        <v>30</v>
      </c>
      <c r="G18" s="275" t="n">
        <f aca="false">DAY(G6)</f>
        <v>31</v>
      </c>
      <c r="H18" s="275" t="n">
        <f aca="false">DAY(H6)</f>
        <v>30</v>
      </c>
      <c r="I18" s="275" t="n">
        <f aca="false">DAY(I6)</f>
        <v>31</v>
      </c>
      <c r="J18" s="275" t="n">
        <f aca="false">DAY(J6)</f>
        <v>31</v>
      </c>
      <c r="K18" s="275" t="n">
        <f aca="false">DAY(K6)</f>
        <v>30</v>
      </c>
      <c r="L18" s="275" t="n">
        <f aca="false">DAY(L6)</f>
        <v>31</v>
      </c>
      <c r="M18" s="275" t="n">
        <f aca="false">DAY(M6)</f>
        <v>30</v>
      </c>
      <c r="N18" s="275" t="n">
        <f aca="false">DAY(N6)</f>
        <v>31</v>
      </c>
      <c r="O18" s="275" t="n">
        <f aca="false">DAY(O6)</f>
        <v>31</v>
      </c>
      <c r="P18" s="275" t="n">
        <f aca="false">DAY(P6)</f>
        <v>28</v>
      </c>
      <c r="Q18" s="275" t="n">
        <f aca="false">DAY(Q6)</f>
        <v>31</v>
      </c>
      <c r="R18" s="275" t="n">
        <f aca="false">DAY(R6)</f>
        <v>30</v>
      </c>
      <c r="S18" s="275" t="n">
        <f aca="false">DAY(S6)</f>
        <v>31</v>
      </c>
      <c r="T18" s="275" t="n">
        <f aca="false">DAY(T6)</f>
        <v>30</v>
      </c>
      <c r="U18" s="275" t="n">
        <f aca="false">DAY(U6)</f>
        <v>31</v>
      </c>
      <c r="V18" s="275" t="n">
        <f aca="false">DAY(V6)</f>
        <v>31</v>
      </c>
      <c r="W18" s="275" t="n">
        <f aca="false">DAY(W6)</f>
        <v>30</v>
      </c>
      <c r="X18" s="275" t="n">
        <f aca="false">DAY(X6)</f>
        <v>31</v>
      </c>
      <c r="Y18" s="275" t="n">
        <f aca="false">DAY(Y6)</f>
        <v>30</v>
      </c>
      <c r="Z18" s="275" t="n">
        <f aca="false">DAY(Z6)</f>
        <v>31</v>
      </c>
      <c r="AA18" s="275" t="n">
        <f aca="false">DAY(AA6)</f>
        <v>31</v>
      </c>
      <c r="AB18" s="275" t="n">
        <f aca="false">DAY(AB6)</f>
        <v>29</v>
      </c>
      <c r="AC18" s="275" t="n">
        <f aca="false">DAY(AC6)</f>
        <v>31</v>
      </c>
      <c r="AD18" s="275" t="n">
        <f aca="false">DAY(AD6)</f>
        <v>30</v>
      </c>
      <c r="AE18" s="275" t="n">
        <f aca="false">DAY(AE6)</f>
        <v>31</v>
      </c>
      <c r="AF18" s="275" t="n">
        <f aca="false">DAY(AF6)</f>
        <v>30</v>
      </c>
      <c r="AG18" s="275" t="n">
        <f aca="false">DAY(AG6)</f>
        <v>31</v>
      </c>
      <c r="AH18" s="275" t="n">
        <f aca="false">DAY(AH6)</f>
        <v>31</v>
      </c>
      <c r="AI18" s="275" t="n">
        <f aca="false">DAY(AI6)</f>
        <v>30</v>
      </c>
      <c r="AJ18" s="275" t="n">
        <f aca="false">DAY(AJ6)</f>
        <v>31</v>
      </c>
      <c r="AK18" s="275" t="n">
        <f aca="false">DAY(AK6)</f>
        <v>30</v>
      </c>
      <c r="AL18" s="275" t="n">
        <f aca="false">DAY(AL6)</f>
        <v>31</v>
      </c>
      <c r="AM18" s="275" t="n">
        <f aca="false">DAY(AM6)</f>
        <v>31</v>
      </c>
      <c r="AN18" s="275" t="n">
        <f aca="false">DAY(AN6)</f>
        <v>28</v>
      </c>
      <c r="AO18" s="275" t="n">
        <f aca="false">DAY(AO6)</f>
        <v>31</v>
      </c>
      <c r="AP18" s="275" t="n">
        <f aca="false">DAY(AP6)</f>
        <v>30</v>
      </c>
      <c r="AQ18" s="275" t="n">
        <f aca="false">DAY(AQ6)</f>
        <v>31</v>
      </c>
      <c r="AR18" s="275" t="n">
        <f aca="false">DAY(AR6)</f>
        <v>30</v>
      </c>
      <c r="AS18" s="275" t="n">
        <f aca="false">DAY(AS6)</f>
        <v>31</v>
      </c>
      <c r="AT18" s="275" t="n">
        <f aca="false">DAY(AT6)</f>
        <v>31</v>
      </c>
      <c r="AU18" s="275" t="n">
        <f aca="false">DAY(AU6)</f>
        <v>30</v>
      </c>
      <c r="AV18" s="275" t="n">
        <f aca="false">DAY(AV6)</f>
        <v>31</v>
      </c>
      <c r="AW18" s="275" t="n">
        <f aca="false">DAY(AW6)</f>
        <v>30</v>
      </c>
      <c r="AX18" s="275" t="n">
        <f aca="false">DAY(AX6)</f>
        <v>31</v>
      </c>
      <c r="AY18" s="275" t="n">
        <f aca="false">DAY(AY6)</f>
        <v>31</v>
      </c>
      <c r="AZ18" s="275" t="n">
        <f aca="false">DAY(AZ6)</f>
        <v>28</v>
      </c>
      <c r="BA18" s="275" t="n">
        <f aca="false">DAY(BA6)</f>
        <v>31</v>
      </c>
      <c r="BB18" s="275" t="n">
        <f aca="false">DAY(BB6)</f>
        <v>30</v>
      </c>
      <c r="BC18" s="275" t="n">
        <f aca="false">DAY(BC6)</f>
        <v>31</v>
      </c>
      <c r="BD18" s="275" t="n">
        <f aca="false">DAY(BD6)</f>
        <v>30</v>
      </c>
      <c r="BE18" s="275" t="n">
        <f aca="false">DAY(BE6)</f>
        <v>31</v>
      </c>
      <c r="BF18" s="275" t="n">
        <f aca="false">DAY(BF6)</f>
        <v>31</v>
      </c>
      <c r="BG18" s="275" t="n">
        <f aca="false">DAY(BG6)</f>
        <v>30</v>
      </c>
      <c r="BH18" s="275" t="n">
        <f aca="false">DAY(BH6)</f>
        <v>31</v>
      </c>
      <c r="BI18" s="275" t="n">
        <f aca="false">DAY(BI6)</f>
        <v>30</v>
      </c>
      <c r="BJ18" s="275" t="n">
        <f aca="false">DAY(BJ6)</f>
        <v>31</v>
      </c>
      <c r="BK18" s="275" t="n">
        <f aca="false">DAY(BK6)</f>
        <v>31</v>
      </c>
      <c r="BL18" s="275" t="n">
        <f aca="false">DAY(BL6)</f>
        <v>28</v>
      </c>
      <c r="BM18" s="275" t="n">
        <f aca="false">DAY(BM6)</f>
        <v>31</v>
      </c>
      <c r="BN18" s="275" t="n">
        <f aca="false">DAY(BN6)</f>
        <v>30</v>
      </c>
      <c r="BO18" s="275" t="n">
        <f aca="false">DAY(BO6)</f>
        <v>31</v>
      </c>
      <c r="BP18" s="275" t="n">
        <f aca="false">DAY(BP6)</f>
        <v>30</v>
      </c>
      <c r="BQ18" s="275" t="n">
        <f aca="false">DAY(BQ6)</f>
        <v>31</v>
      </c>
      <c r="BR18" s="275" t="n">
        <f aca="false">DAY(BR6)</f>
        <v>31</v>
      </c>
      <c r="BS18" s="275" t="n">
        <f aca="false">DAY(BS6)</f>
        <v>30</v>
      </c>
      <c r="BT18" s="275" t="n">
        <f aca="false">DAY(BT6)</f>
        <v>31</v>
      </c>
      <c r="BU18" s="275" t="n">
        <f aca="false">DAY(BU6)</f>
        <v>30</v>
      </c>
      <c r="BV18" s="275" t="n">
        <f aca="false">DAY(BV6)</f>
        <v>31</v>
      </c>
      <c r="BW18" s="275" t="n">
        <f aca="false">DAY(BW6)</f>
        <v>31</v>
      </c>
      <c r="BX18" s="275" t="n">
        <f aca="false">DAY(BX6)</f>
        <v>29</v>
      </c>
      <c r="BY18" s="275" t="n">
        <f aca="false">DAY(BY6)</f>
        <v>31</v>
      </c>
      <c r="BZ18" s="275" t="n">
        <f aca="false">DAY(BZ6)</f>
        <v>30</v>
      </c>
      <c r="CA18" s="275" t="n">
        <f aca="false">DAY(CA6)</f>
        <v>31</v>
      </c>
      <c r="CB18" s="275" t="n">
        <f aca="false">DAY(CB6)</f>
        <v>30</v>
      </c>
      <c r="CC18" s="275" t="n">
        <f aca="false">DAY(CC6)</f>
        <v>31</v>
      </c>
      <c r="CD18" s="275" t="n">
        <f aca="false">DAY(CD6)</f>
        <v>31</v>
      </c>
      <c r="CE18" s="275" t="n">
        <f aca="false">DAY(CE6)</f>
        <v>30</v>
      </c>
      <c r="CF18" s="275" t="n">
        <f aca="false">DAY(CF6)</f>
        <v>31</v>
      </c>
      <c r="CG18" s="275" t="n">
        <f aca="false">DAY(CG6)</f>
        <v>30</v>
      </c>
      <c r="CH18" s="275" t="n">
        <f aca="false">DAY(CH6)</f>
        <v>31</v>
      </c>
      <c r="CI18" s="275" t="n">
        <f aca="false">DAY(CI6)</f>
        <v>31</v>
      </c>
      <c r="CJ18" s="275" t="n">
        <f aca="false">DAY(CJ6)</f>
        <v>28</v>
      </c>
      <c r="CK18" s="275" t="n">
        <f aca="false">DAY(CK6)</f>
        <v>31</v>
      </c>
      <c r="CL18" s="275" t="n">
        <f aca="false">DAY(CL6)</f>
        <v>30</v>
      </c>
      <c r="CM18" s="275" t="n">
        <f aca="false">DAY(CM6)</f>
        <v>31</v>
      </c>
      <c r="CN18" s="275" t="n">
        <f aca="false">DAY(CN6)</f>
        <v>30</v>
      </c>
      <c r="CO18" s="275" t="n">
        <f aca="false">DAY(CO6)</f>
        <v>31</v>
      </c>
      <c r="CP18" s="275" t="n">
        <f aca="false">DAY(CP6)</f>
        <v>31</v>
      </c>
      <c r="CQ18" s="275" t="n">
        <f aca="false">DAY(CQ6)</f>
        <v>30</v>
      </c>
      <c r="CR18" s="275" t="n">
        <f aca="false">DAY(CR6)</f>
        <v>31</v>
      </c>
      <c r="CS18" s="275" t="n">
        <f aca="false">DAY(CS6)</f>
        <v>30</v>
      </c>
      <c r="CT18" s="275" t="n">
        <f aca="false">DAY(CT6)</f>
        <v>31</v>
      </c>
      <c r="CU18" s="275" t="n">
        <f aca="false">DAY(CU6)</f>
        <v>31</v>
      </c>
      <c r="CV18" s="275" t="n">
        <f aca="false">DAY(CV6)</f>
        <v>28</v>
      </c>
      <c r="CW18" s="275" t="n">
        <f aca="false">DAY(CW6)</f>
        <v>31</v>
      </c>
      <c r="CX18" s="275" t="n">
        <f aca="false">DAY(CX6)</f>
        <v>30</v>
      </c>
      <c r="CY18" s="275" t="n">
        <f aca="false">DAY(CY6)</f>
        <v>31</v>
      </c>
      <c r="CZ18" s="275" t="n">
        <f aca="false">DAY(CZ6)</f>
        <v>30</v>
      </c>
      <c r="DA18" s="275" t="n">
        <f aca="false">DAY(DA6)</f>
        <v>31</v>
      </c>
      <c r="DB18" s="275" t="n">
        <f aca="false">DAY(DB6)</f>
        <v>31</v>
      </c>
      <c r="DC18" s="275" t="n">
        <f aca="false">DAY(DC6)</f>
        <v>30</v>
      </c>
      <c r="DD18" s="275" t="n">
        <f aca="false">DAY(DD6)</f>
        <v>31</v>
      </c>
      <c r="DE18" s="275" t="n">
        <f aca="false">DAY(DE6)</f>
        <v>30</v>
      </c>
      <c r="DF18" s="275" t="n">
        <f aca="false">DAY(DF6)</f>
        <v>31</v>
      </c>
      <c r="DG18" s="275" t="n">
        <f aca="false">DAY(DG6)</f>
        <v>31</v>
      </c>
      <c r="DH18" s="275" t="n">
        <f aca="false">DAY(DH6)</f>
        <v>28</v>
      </c>
      <c r="DI18" s="275" t="n">
        <f aca="false">DAY(DI6)</f>
        <v>31</v>
      </c>
      <c r="DJ18" s="275" t="n">
        <f aca="false">DAY(DJ6)</f>
        <v>30</v>
      </c>
      <c r="DK18" s="275" t="n">
        <f aca="false">DAY(DK6)</f>
        <v>31</v>
      </c>
      <c r="DL18" s="275" t="n">
        <f aca="false">DAY(DL6)</f>
        <v>30</v>
      </c>
      <c r="DM18" s="275" t="n">
        <f aca="false">DAY(DM6)</f>
        <v>31</v>
      </c>
      <c r="DN18" s="275" t="n">
        <f aca="false">DAY(DN6)</f>
        <v>31</v>
      </c>
      <c r="DO18" s="275" t="n">
        <f aca="false">DAY(DO6)</f>
        <v>30</v>
      </c>
      <c r="DP18" s="275" t="n">
        <f aca="false">DAY(DP6)</f>
        <v>31</v>
      </c>
      <c r="DQ18" s="275" t="n">
        <f aca="false">DAY(DQ6)</f>
        <v>30</v>
      </c>
      <c r="DR18" s="275" t="n">
        <f aca="false">DAY(DR6)</f>
        <v>31</v>
      </c>
      <c r="DS18" s="275" t="n">
        <f aca="false">DAY(DS6)</f>
        <v>31</v>
      </c>
      <c r="DT18" s="275" t="n">
        <f aca="false">DAY(DT6)</f>
        <v>29</v>
      </c>
      <c r="DU18" s="275" t="n">
        <f aca="false">DAY(DU6)</f>
        <v>31</v>
      </c>
      <c r="DV18" s="275" t="n">
        <f aca="false">DAY(DV6)</f>
        <v>30</v>
      </c>
      <c r="DW18" s="275" t="n">
        <f aca="false">DAY(DW6)</f>
        <v>31</v>
      </c>
      <c r="DX18" s="275" t="n">
        <f aca="false">DAY(DX6)</f>
        <v>30</v>
      </c>
      <c r="DY18" s="275" t="n">
        <f aca="false">DAY(DY6)</f>
        <v>31</v>
      </c>
      <c r="DZ18" s="275" t="n">
        <f aca="false">DAY(DZ6)</f>
        <v>31</v>
      </c>
      <c r="EA18" s="275" t="n">
        <f aca="false">DAY(EA6)</f>
        <v>30</v>
      </c>
      <c r="EB18" s="275" t="n">
        <f aca="false">DAY(EB6)</f>
        <v>31</v>
      </c>
      <c r="EC18" s="275" t="n">
        <f aca="false">DAY(EC6)</f>
        <v>30</v>
      </c>
      <c r="ED18" s="275" t="n">
        <f aca="false">DAY(ED6)</f>
        <v>31</v>
      </c>
      <c r="EE18" s="275" t="n">
        <f aca="false">DAY(EE6)</f>
        <v>31</v>
      </c>
      <c r="EF18" s="275" t="n">
        <f aca="false">DAY(EF6)</f>
        <v>28</v>
      </c>
    </row>
    <row r="20" customFormat="false" ht="15" hidden="false" customHeight="false" outlineLevel="0" collapsed="false">
      <c r="A20" s="6" t="s">
        <v>196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</row>
    <row r="21" customFormat="false" ht="15" hidden="false" customHeight="false" outlineLevel="0" collapsed="false">
      <c r="A21" s="36" t="s">
        <v>576</v>
      </c>
      <c r="B21" s="278" t="s">
        <v>21</v>
      </c>
      <c r="C21" s="279" t="n">
        <f aca="false">SUM(E21:EF21)</f>
        <v>0</v>
      </c>
      <c r="E21" s="37" t="n">
        <f aca="false">(E14=1)*③기타_가정!$D$38*③기타_가정!$E$96*CHOOSE(MIN(MAX(E16,1),3),③기타_가정!$E$104,③기타_가정!$E$105,③기타_가정!$E$106)*(③기타_가정!$E$100+③기타_가정!$E$99)/1000*(1+③기타_가정!$E$101)^INT((E15-1)/③기타_가정!$E$102)</f>
        <v>0</v>
      </c>
      <c r="F21" s="37" t="n">
        <f aca="false">(F14=1)*③기타_가정!$D$38*③기타_가정!$E$96*CHOOSE(MIN(MAX(F16,1),3),③기타_가정!$E$104,③기타_가정!$E$105,③기타_가정!$E$106)*(③기타_가정!$E$100+③기타_가정!$E$99)/1000*(1+③기타_가정!$E$101)^INT((F15-1)/③기타_가정!$E$102)</f>
        <v>0</v>
      </c>
      <c r="G21" s="37" t="n">
        <f aca="false">(G14=1)*③기타_가정!$D$38*③기타_가정!$E$96*CHOOSE(MIN(MAX(G16,1),3),③기타_가정!$E$104,③기타_가정!$E$105,③기타_가정!$E$106)*(③기타_가정!$E$100+③기타_가정!$E$99)/1000*(1+③기타_가정!$E$101)^INT((G15-1)/③기타_가정!$E$102)</f>
        <v>0</v>
      </c>
      <c r="H21" s="37" t="n">
        <f aca="false">(H14=1)*③기타_가정!$D$38*③기타_가정!$E$96*CHOOSE(MIN(MAX(H16,1),3),③기타_가정!$E$104,③기타_가정!$E$105,③기타_가정!$E$106)*(③기타_가정!$E$100+③기타_가정!$E$99)/1000*(1+③기타_가정!$E$101)^INT((H15-1)/③기타_가정!$E$102)</f>
        <v>0</v>
      </c>
      <c r="I21" s="37" t="n">
        <f aca="false">(I14=1)*③기타_가정!$D$38*③기타_가정!$E$96*CHOOSE(MIN(MAX(I16,1),3),③기타_가정!$E$104,③기타_가정!$E$105,③기타_가정!$E$106)*(③기타_가정!$E$100+③기타_가정!$E$99)/1000*(1+③기타_가정!$E$101)^INT((I15-1)/③기타_가정!$E$102)</f>
        <v>0</v>
      </c>
      <c r="J21" s="37" t="n">
        <f aca="false">(J14=1)*③기타_가정!$D$38*③기타_가정!$E$96*CHOOSE(MIN(MAX(J16,1),3),③기타_가정!$E$104,③기타_가정!$E$105,③기타_가정!$E$106)*(③기타_가정!$E$100+③기타_가정!$E$99)/1000*(1+③기타_가정!$E$101)^INT((J15-1)/③기타_가정!$E$102)</f>
        <v>0</v>
      </c>
      <c r="K21" s="37" t="n">
        <f aca="false">(K14=1)*③기타_가정!$D$38*③기타_가정!$E$96*CHOOSE(MIN(MAX(K16,1),3),③기타_가정!$E$104,③기타_가정!$E$105,③기타_가정!$E$106)*(③기타_가정!$E$100+③기타_가정!$E$99)/1000*(1+③기타_가정!$E$101)^INT((K15-1)/③기타_가정!$E$102)</f>
        <v>0</v>
      </c>
      <c r="L21" s="37" t="n">
        <f aca="false">(L14=1)*③기타_가정!$D$38*③기타_가정!$E$96*CHOOSE(MIN(MAX(L16,1),3),③기타_가정!$E$104,③기타_가정!$E$105,③기타_가정!$E$106)*(③기타_가정!$E$100+③기타_가정!$E$99)/1000*(1+③기타_가정!$E$101)^INT((L15-1)/③기타_가정!$E$102)</f>
        <v>0</v>
      </c>
      <c r="M21" s="37" t="n">
        <f aca="false">(M14=1)*③기타_가정!$D$38*③기타_가정!$E$96*CHOOSE(MIN(MAX(M16,1),3),③기타_가정!$E$104,③기타_가정!$E$105,③기타_가정!$E$106)*(③기타_가정!$E$100+③기타_가정!$E$99)/1000*(1+③기타_가정!$E$101)^INT((M15-1)/③기타_가정!$E$102)</f>
        <v>0</v>
      </c>
      <c r="N21" s="37" t="n">
        <f aca="false">(N14=1)*③기타_가정!$D$38*③기타_가정!$E$96*CHOOSE(MIN(MAX(N16,1),3),③기타_가정!$E$104,③기타_가정!$E$105,③기타_가정!$E$106)*(③기타_가정!$E$100+③기타_가정!$E$99)/1000*(1+③기타_가정!$E$101)^INT((N15-1)/③기타_가정!$E$102)</f>
        <v>0</v>
      </c>
      <c r="O21" s="37" t="n">
        <f aca="false">(O14=1)*③기타_가정!$D$38*③기타_가정!$E$96*CHOOSE(MIN(MAX(O16,1),3),③기타_가정!$E$104,③기타_가정!$E$105,③기타_가정!$E$106)*(③기타_가정!$E$100+③기타_가정!$E$99)/1000*(1+③기타_가정!$E$101)^INT((O15-1)/③기타_가정!$E$102)</f>
        <v>0</v>
      </c>
      <c r="P21" s="37" t="n">
        <f aca="false">(P14=1)*③기타_가정!$D$38*③기타_가정!$E$96*CHOOSE(MIN(MAX(P16,1),3),③기타_가정!$E$104,③기타_가정!$E$105,③기타_가정!$E$106)*(③기타_가정!$E$100+③기타_가정!$E$99)/1000*(1+③기타_가정!$E$101)^INT((P15-1)/③기타_가정!$E$102)</f>
        <v>0</v>
      </c>
      <c r="Q21" s="37" t="n">
        <f aca="false">(Q14=1)*③기타_가정!$D$38*③기타_가정!$E$96*CHOOSE(MIN(MAX(Q16,1),3),③기타_가정!$E$104,③기타_가정!$E$105,③기타_가정!$E$106)*(③기타_가정!$E$100+③기타_가정!$E$99)/1000*(1+③기타_가정!$E$101)^INT((Q15-1)/③기타_가정!$E$102)</f>
        <v>0</v>
      </c>
      <c r="R21" s="37" t="n">
        <f aca="false">(R14=1)*③기타_가정!$D$38*③기타_가정!$E$96*CHOOSE(MIN(MAX(R16,1),3),③기타_가정!$E$104,③기타_가정!$E$105,③기타_가정!$E$106)*(③기타_가정!$E$100+③기타_가정!$E$99)/1000*(1+③기타_가정!$E$101)^INT((R15-1)/③기타_가정!$E$102)</f>
        <v>0</v>
      </c>
      <c r="S21" s="37" t="n">
        <f aca="false">(S14=1)*③기타_가정!$D$38*③기타_가정!$E$96*CHOOSE(MIN(MAX(S16,1),3),③기타_가정!$E$104,③기타_가정!$E$105,③기타_가정!$E$106)*(③기타_가정!$E$100+③기타_가정!$E$99)/1000*(1+③기타_가정!$E$101)^INT((S15-1)/③기타_가정!$E$102)</f>
        <v>0</v>
      </c>
      <c r="T21" s="37" t="n">
        <f aca="false">(T14=1)*③기타_가정!$D$38*③기타_가정!$E$96*CHOOSE(MIN(MAX(T16,1),3),③기타_가정!$E$104,③기타_가정!$E$105,③기타_가정!$E$106)*(③기타_가정!$E$100+③기타_가정!$E$99)/1000*(1+③기타_가정!$E$101)^INT((T15-1)/③기타_가정!$E$102)</f>
        <v>0</v>
      </c>
      <c r="U21" s="37" t="n">
        <f aca="false">(U14=1)*③기타_가정!$D$38*③기타_가정!$E$96*CHOOSE(MIN(MAX(U16,1),3),③기타_가정!$E$104,③기타_가정!$E$105,③기타_가정!$E$106)*(③기타_가정!$E$100+③기타_가정!$E$99)/1000*(1+③기타_가정!$E$101)^INT((U15-1)/③기타_가정!$E$102)</f>
        <v>0</v>
      </c>
      <c r="V21" s="37" t="n">
        <f aca="false">(V14=1)*③기타_가정!$D$38*③기타_가정!$E$96*CHOOSE(MIN(MAX(V16,1),3),③기타_가정!$E$104,③기타_가정!$E$105,③기타_가정!$E$106)*(③기타_가정!$E$100+③기타_가정!$E$99)/1000*(1+③기타_가정!$E$101)^INT((V15-1)/③기타_가정!$E$102)</f>
        <v>0</v>
      </c>
      <c r="W21" s="37" t="n">
        <f aca="false">(W14=1)*③기타_가정!$D$38*③기타_가정!$E$96*CHOOSE(MIN(MAX(W16,1),3),③기타_가정!$E$104,③기타_가정!$E$105,③기타_가정!$E$106)*(③기타_가정!$E$100+③기타_가정!$E$99)/1000*(1+③기타_가정!$E$101)^INT((W15-1)/③기타_가정!$E$102)</f>
        <v>0</v>
      </c>
      <c r="X21" s="37" t="n">
        <f aca="false">(X14=1)*③기타_가정!$D$38*③기타_가정!$E$96*CHOOSE(MIN(MAX(X16,1),3),③기타_가정!$E$104,③기타_가정!$E$105,③기타_가정!$E$106)*(③기타_가정!$E$100+③기타_가정!$E$99)/1000*(1+③기타_가정!$E$101)^INT((X15-1)/③기타_가정!$E$102)</f>
        <v>0</v>
      </c>
      <c r="Y21" s="37" t="n">
        <f aca="false">(Y14=1)*③기타_가정!$D$38*③기타_가정!$E$96*CHOOSE(MIN(MAX(Y16,1),3),③기타_가정!$E$104,③기타_가정!$E$105,③기타_가정!$E$106)*(③기타_가정!$E$100+③기타_가정!$E$99)/1000*(1+③기타_가정!$E$101)^INT((Y15-1)/③기타_가정!$E$102)</f>
        <v>0</v>
      </c>
      <c r="Z21" s="37" t="n">
        <f aca="false">(Z14=1)*③기타_가정!$D$38*③기타_가정!$E$96*CHOOSE(MIN(MAX(Z16,1),3),③기타_가정!$E$104,③기타_가정!$E$105,③기타_가정!$E$106)*(③기타_가정!$E$100+③기타_가정!$E$99)/1000*(1+③기타_가정!$E$101)^INT((Z15-1)/③기타_가정!$E$102)</f>
        <v>0</v>
      </c>
      <c r="AA21" s="37" t="n">
        <f aca="false">(AA14=1)*③기타_가정!$D$38*③기타_가정!$E$96*CHOOSE(MIN(MAX(AA16,1),3),③기타_가정!$E$104,③기타_가정!$E$105,③기타_가정!$E$106)*(③기타_가정!$E$100+③기타_가정!$E$99)/1000*(1+③기타_가정!$E$101)^INT((AA15-1)/③기타_가정!$E$102)</f>
        <v>0</v>
      </c>
      <c r="AB21" s="37" t="n">
        <f aca="false">(AB14=1)*③기타_가정!$D$38*③기타_가정!$E$96*CHOOSE(MIN(MAX(AB16,1),3),③기타_가정!$E$104,③기타_가정!$E$105,③기타_가정!$E$106)*(③기타_가정!$E$100+③기타_가정!$E$99)/1000*(1+③기타_가정!$E$101)^INT((AB15-1)/③기타_가정!$E$102)</f>
        <v>0</v>
      </c>
      <c r="AC21" s="37" t="n">
        <f aca="false">(AC14=1)*③기타_가정!$D$38*③기타_가정!$E$96*CHOOSE(MIN(MAX(AC16,1),3),③기타_가정!$E$104,③기타_가정!$E$105,③기타_가정!$E$106)*(③기타_가정!$E$100+③기타_가정!$E$99)/1000*(1+③기타_가정!$E$101)^INT((AC15-1)/③기타_가정!$E$102)</f>
        <v>0</v>
      </c>
      <c r="AD21" s="37" t="n">
        <f aca="false">(AD14=1)*③기타_가정!$D$38*③기타_가정!$E$96*CHOOSE(MIN(MAX(AD16,1),3),③기타_가정!$E$104,③기타_가정!$E$105,③기타_가정!$E$106)*(③기타_가정!$E$100+③기타_가정!$E$99)/1000*(1+③기타_가정!$E$101)^INT((AD15-1)/③기타_가정!$E$102)</f>
        <v>0</v>
      </c>
      <c r="AE21" s="37" t="n">
        <f aca="false">(AE14=1)*③기타_가정!$D$38*③기타_가정!$E$96*CHOOSE(MIN(MAX(AE16,1),3),③기타_가정!$E$104,③기타_가정!$E$105,③기타_가정!$E$106)*(③기타_가정!$E$100+③기타_가정!$E$99)/1000*(1+③기타_가정!$E$101)^INT((AE15-1)/③기타_가정!$E$102)</f>
        <v>0</v>
      </c>
      <c r="AF21" s="37" t="n">
        <f aca="false">(AF14=1)*③기타_가정!$D$38*③기타_가정!$E$96*CHOOSE(MIN(MAX(AF16,1),3),③기타_가정!$E$104,③기타_가정!$E$105,③기타_가정!$E$106)*(③기타_가정!$E$100+③기타_가정!$E$99)/1000*(1+③기타_가정!$E$101)^INT((AF15-1)/③기타_가정!$E$102)</f>
        <v>0</v>
      </c>
      <c r="AG21" s="37" t="n">
        <f aca="false">(AG14=1)*③기타_가정!$D$38*③기타_가정!$E$96*CHOOSE(MIN(MAX(AG16,1),3),③기타_가정!$E$104,③기타_가정!$E$105,③기타_가정!$E$106)*(③기타_가정!$E$100+③기타_가정!$E$99)/1000*(1+③기타_가정!$E$101)^INT((AG15-1)/③기타_가정!$E$102)</f>
        <v>0</v>
      </c>
      <c r="AH21" s="37" t="n">
        <f aca="false">(AH14=1)*③기타_가정!$D$38*③기타_가정!$E$96*CHOOSE(MIN(MAX(AH16,1),3),③기타_가정!$E$104,③기타_가정!$E$105,③기타_가정!$E$106)*(③기타_가정!$E$100+③기타_가정!$E$99)/1000*(1+③기타_가정!$E$101)^INT((AH15-1)/③기타_가정!$E$102)</f>
        <v>0</v>
      </c>
      <c r="AI21" s="37" t="n">
        <f aca="false">(AI14=1)*③기타_가정!$D$38*③기타_가정!$E$96*CHOOSE(MIN(MAX(AI16,1),3),③기타_가정!$E$104,③기타_가정!$E$105,③기타_가정!$E$106)*(③기타_가정!$E$100+③기타_가정!$E$99)/1000*(1+③기타_가정!$E$101)^INT((AI15-1)/③기타_가정!$E$102)</f>
        <v>0</v>
      </c>
      <c r="AJ21" s="37" t="n">
        <f aca="false">(AJ14=1)*③기타_가정!$D$38*③기타_가정!$E$96*CHOOSE(MIN(MAX(AJ16,1),3),③기타_가정!$E$104,③기타_가정!$E$105,③기타_가정!$E$106)*(③기타_가정!$E$100+③기타_가정!$E$99)/1000*(1+③기타_가정!$E$101)^INT((AJ15-1)/③기타_가정!$E$102)</f>
        <v>0</v>
      </c>
      <c r="AK21" s="37" t="n">
        <f aca="false">(AK14=1)*③기타_가정!$D$38*③기타_가정!$E$96*CHOOSE(MIN(MAX(AK16,1),3),③기타_가정!$E$104,③기타_가정!$E$105,③기타_가정!$E$106)*(③기타_가정!$E$100+③기타_가정!$E$99)/1000*(1+③기타_가정!$E$101)^INT((AK15-1)/③기타_가정!$E$102)</f>
        <v>0</v>
      </c>
      <c r="AL21" s="37" t="n">
        <f aca="false">(AL14=1)*③기타_가정!$D$38*③기타_가정!$E$96*CHOOSE(MIN(MAX(AL16,1),3),③기타_가정!$E$104,③기타_가정!$E$105,③기타_가정!$E$106)*(③기타_가정!$E$100+③기타_가정!$E$99)/1000*(1+③기타_가정!$E$101)^INT((AL15-1)/③기타_가정!$E$102)</f>
        <v>0</v>
      </c>
      <c r="AM21" s="37" t="n">
        <f aca="false">(AM14=1)*③기타_가정!$D$38*③기타_가정!$E$96*CHOOSE(MIN(MAX(AM16,1),3),③기타_가정!$E$104,③기타_가정!$E$105,③기타_가정!$E$106)*(③기타_가정!$E$100+③기타_가정!$E$99)/1000*(1+③기타_가정!$E$101)^INT((AM15-1)/③기타_가정!$E$102)</f>
        <v>0</v>
      </c>
      <c r="AN21" s="37" t="n">
        <f aca="false">(AN14=1)*③기타_가정!$D$38*③기타_가정!$E$96*CHOOSE(MIN(MAX(AN16,1),3),③기타_가정!$E$104,③기타_가정!$E$105,③기타_가정!$E$106)*(③기타_가정!$E$100+③기타_가정!$E$99)/1000*(1+③기타_가정!$E$101)^INT((AN15-1)/③기타_가정!$E$102)</f>
        <v>0</v>
      </c>
      <c r="AO21" s="37" t="n">
        <f aca="false">(AO14=1)*③기타_가정!$D$38*③기타_가정!$E$96*CHOOSE(MIN(MAX(AO16,1),3),③기타_가정!$E$104,③기타_가정!$E$105,③기타_가정!$E$106)*(③기타_가정!$E$100+③기타_가정!$E$99)/1000*(1+③기타_가정!$E$101)^INT((AO15-1)/③기타_가정!$E$102)</f>
        <v>0</v>
      </c>
      <c r="AP21" s="37" t="n">
        <f aca="false">(AP14=1)*③기타_가정!$D$38*③기타_가정!$E$96*CHOOSE(MIN(MAX(AP16,1),3),③기타_가정!$E$104,③기타_가정!$E$105,③기타_가정!$E$106)*(③기타_가정!$E$100+③기타_가정!$E$99)/1000*(1+③기타_가정!$E$101)^INT((AP15-1)/③기타_가정!$E$102)</f>
        <v>0</v>
      </c>
      <c r="AQ21" s="37" t="n">
        <f aca="false">(AQ14=1)*③기타_가정!$D$38*③기타_가정!$E$96*CHOOSE(MIN(MAX(AQ16,1),3),③기타_가정!$E$104,③기타_가정!$E$105,③기타_가정!$E$106)*(③기타_가정!$E$100+③기타_가정!$E$99)/1000*(1+③기타_가정!$E$101)^INT((AQ15-1)/③기타_가정!$E$102)</f>
        <v>0</v>
      </c>
      <c r="AR21" s="37" t="n">
        <f aca="false">(AR14=1)*③기타_가정!$D$38*③기타_가정!$E$96*CHOOSE(MIN(MAX(AR16,1),3),③기타_가정!$E$104,③기타_가정!$E$105,③기타_가정!$E$106)*(③기타_가정!$E$100+③기타_가정!$E$99)/1000*(1+③기타_가정!$E$101)^INT((AR15-1)/③기타_가정!$E$102)</f>
        <v>0</v>
      </c>
      <c r="AS21" s="37" t="n">
        <f aca="false">(AS14=1)*③기타_가정!$D$38*③기타_가정!$E$96*CHOOSE(MIN(MAX(AS16,1),3),③기타_가정!$E$104,③기타_가정!$E$105,③기타_가정!$E$106)*(③기타_가정!$E$100+③기타_가정!$E$99)/1000*(1+③기타_가정!$E$101)^INT((AS15-1)/③기타_가정!$E$102)</f>
        <v>0</v>
      </c>
      <c r="AT21" s="37" t="n">
        <f aca="false">(AT14=1)*③기타_가정!$D$38*③기타_가정!$E$96*CHOOSE(MIN(MAX(AT16,1),3),③기타_가정!$E$104,③기타_가정!$E$105,③기타_가정!$E$106)*(③기타_가정!$E$100+③기타_가정!$E$99)/1000*(1+③기타_가정!$E$101)^INT((AT15-1)/③기타_가정!$E$102)</f>
        <v>0</v>
      </c>
      <c r="AU21" s="37" t="n">
        <f aca="false">(AU14=1)*③기타_가정!$D$38*③기타_가정!$E$96*CHOOSE(MIN(MAX(AU16,1),3),③기타_가정!$E$104,③기타_가정!$E$105,③기타_가정!$E$106)*(③기타_가정!$E$100+③기타_가정!$E$99)/1000*(1+③기타_가정!$E$101)^INT((AU15-1)/③기타_가정!$E$102)</f>
        <v>0</v>
      </c>
      <c r="AV21" s="37" t="n">
        <f aca="false">(AV14=1)*③기타_가정!$D$38*③기타_가정!$E$96*CHOOSE(MIN(MAX(AV16,1),3),③기타_가정!$E$104,③기타_가정!$E$105,③기타_가정!$E$106)*(③기타_가정!$E$100+③기타_가정!$E$99)/1000*(1+③기타_가정!$E$101)^INT((AV15-1)/③기타_가정!$E$102)</f>
        <v>0</v>
      </c>
      <c r="AW21" s="37" t="n">
        <f aca="false">(AW14=1)*③기타_가정!$D$38*③기타_가정!$E$96*CHOOSE(MIN(MAX(AW16,1),3),③기타_가정!$E$104,③기타_가정!$E$105,③기타_가정!$E$106)*(③기타_가정!$E$100+③기타_가정!$E$99)/1000*(1+③기타_가정!$E$101)^INT((AW15-1)/③기타_가정!$E$102)</f>
        <v>0</v>
      </c>
      <c r="AX21" s="37" t="n">
        <f aca="false">(AX14=1)*③기타_가정!$D$38*③기타_가정!$E$96*CHOOSE(MIN(MAX(AX16,1),3),③기타_가정!$E$104,③기타_가정!$E$105,③기타_가정!$E$106)*(③기타_가정!$E$100+③기타_가정!$E$99)/1000*(1+③기타_가정!$E$101)^INT((AX15-1)/③기타_가정!$E$102)</f>
        <v>0</v>
      </c>
      <c r="AY21" s="37" t="n">
        <f aca="false">(AY14=1)*③기타_가정!$D$38*③기타_가정!$E$96*CHOOSE(MIN(MAX(AY16,1),3),③기타_가정!$E$104,③기타_가정!$E$105,③기타_가정!$E$106)*(③기타_가정!$E$100+③기타_가정!$E$99)/1000*(1+③기타_가정!$E$101)^INT((AY15-1)/③기타_가정!$E$102)</f>
        <v>0</v>
      </c>
      <c r="AZ21" s="37" t="n">
        <f aca="false">(AZ14=1)*③기타_가정!$D$38*③기타_가정!$E$96*CHOOSE(MIN(MAX(AZ16,1),3),③기타_가정!$E$104,③기타_가정!$E$105,③기타_가정!$E$106)*(③기타_가정!$E$100+③기타_가정!$E$99)/1000*(1+③기타_가정!$E$101)^INT((AZ15-1)/③기타_가정!$E$102)</f>
        <v>0</v>
      </c>
      <c r="BA21" s="37" t="n">
        <f aca="false">(BA14=1)*③기타_가정!$D$38*③기타_가정!$E$96*CHOOSE(MIN(MAX(BA16,1),3),③기타_가정!$E$104,③기타_가정!$E$105,③기타_가정!$E$106)*(③기타_가정!$E$100+③기타_가정!$E$99)/1000*(1+③기타_가정!$E$101)^INT((BA15-1)/③기타_가정!$E$102)</f>
        <v>0</v>
      </c>
      <c r="BB21" s="37" t="n">
        <f aca="false">(BB14=1)*③기타_가정!$D$38*③기타_가정!$E$96*CHOOSE(MIN(MAX(BB16,1),3),③기타_가정!$E$104,③기타_가정!$E$105,③기타_가정!$E$106)*(③기타_가정!$E$100+③기타_가정!$E$99)/1000*(1+③기타_가정!$E$101)^INT((BB15-1)/③기타_가정!$E$102)</f>
        <v>0</v>
      </c>
      <c r="BC21" s="37" t="n">
        <f aca="false">(BC14=1)*③기타_가정!$D$38*③기타_가정!$E$96*CHOOSE(MIN(MAX(BC16,1),3),③기타_가정!$E$104,③기타_가정!$E$105,③기타_가정!$E$106)*(③기타_가정!$E$100+③기타_가정!$E$99)/1000*(1+③기타_가정!$E$101)^INT((BC15-1)/③기타_가정!$E$102)</f>
        <v>0</v>
      </c>
      <c r="BD21" s="37" t="n">
        <f aca="false">(BD14=1)*③기타_가정!$D$38*③기타_가정!$E$96*CHOOSE(MIN(MAX(BD16,1),3),③기타_가정!$E$104,③기타_가정!$E$105,③기타_가정!$E$106)*(③기타_가정!$E$100+③기타_가정!$E$99)/1000*(1+③기타_가정!$E$101)^INT((BD15-1)/③기타_가정!$E$102)</f>
        <v>0</v>
      </c>
      <c r="BE21" s="37" t="n">
        <f aca="false">(BE14=1)*③기타_가정!$D$38*③기타_가정!$E$96*CHOOSE(MIN(MAX(BE16,1),3),③기타_가정!$E$104,③기타_가정!$E$105,③기타_가정!$E$106)*(③기타_가정!$E$100+③기타_가정!$E$99)/1000*(1+③기타_가정!$E$101)^INT((BE15-1)/③기타_가정!$E$102)</f>
        <v>0</v>
      </c>
      <c r="BF21" s="37" t="n">
        <f aca="false">(BF14=1)*③기타_가정!$D$38*③기타_가정!$E$96*CHOOSE(MIN(MAX(BF16,1),3),③기타_가정!$E$104,③기타_가정!$E$105,③기타_가정!$E$106)*(③기타_가정!$E$100+③기타_가정!$E$99)/1000*(1+③기타_가정!$E$101)^INT((BF15-1)/③기타_가정!$E$102)</f>
        <v>0</v>
      </c>
      <c r="BG21" s="37" t="n">
        <f aca="false">(BG14=1)*③기타_가정!$D$38*③기타_가정!$E$96*CHOOSE(MIN(MAX(BG16,1),3),③기타_가정!$E$104,③기타_가정!$E$105,③기타_가정!$E$106)*(③기타_가정!$E$100+③기타_가정!$E$99)/1000*(1+③기타_가정!$E$101)^INT((BG15-1)/③기타_가정!$E$102)</f>
        <v>0</v>
      </c>
      <c r="BH21" s="37" t="n">
        <f aca="false">(BH14=1)*③기타_가정!$D$38*③기타_가정!$E$96*CHOOSE(MIN(MAX(BH16,1),3),③기타_가정!$E$104,③기타_가정!$E$105,③기타_가정!$E$106)*(③기타_가정!$E$100+③기타_가정!$E$99)/1000*(1+③기타_가정!$E$101)^INT((BH15-1)/③기타_가정!$E$102)</f>
        <v>0</v>
      </c>
      <c r="BI21" s="37" t="n">
        <f aca="false">(BI14=1)*③기타_가정!$D$38*③기타_가정!$E$96*CHOOSE(MIN(MAX(BI16,1),3),③기타_가정!$E$104,③기타_가정!$E$105,③기타_가정!$E$106)*(③기타_가정!$E$100+③기타_가정!$E$99)/1000*(1+③기타_가정!$E$101)^INT((BI15-1)/③기타_가정!$E$102)</f>
        <v>0</v>
      </c>
      <c r="BJ21" s="37" t="n">
        <f aca="false">(BJ14=1)*③기타_가정!$D$38*③기타_가정!$E$96*CHOOSE(MIN(MAX(BJ16,1),3),③기타_가정!$E$104,③기타_가정!$E$105,③기타_가정!$E$106)*(③기타_가정!$E$100+③기타_가정!$E$99)/1000*(1+③기타_가정!$E$101)^INT((BJ15-1)/③기타_가정!$E$102)</f>
        <v>0</v>
      </c>
      <c r="BK21" s="37" t="n">
        <f aca="false">(BK14=1)*③기타_가정!$D$38*③기타_가정!$E$96*CHOOSE(MIN(MAX(BK16,1),3),③기타_가정!$E$104,③기타_가정!$E$105,③기타_가정!$E$106)*(③기타_가정!$E$100+③기타_가정!$E$99)/1000*(1+③기타_가정!$E$101)^INT((BK15-1)/③기타_가정!$E$102)</f>
        <v>0</v>
      </c>
      <c r="BL21" s="37" t="n">
        <f aca="false">(BL14=1)*③기타_가정!$D$38*③기타_가정!$E$96*CHOOSE(MIN(MAX(BL16,1),3),③기타_가정!$E$104,③기타_가정!$E$105,③기타_가정!$E$106)*(③기타_가정!$E$100+③기타_가정!$E$99)/1000*(1+③기타_가정!$E$101)^INT((BL15-1)/③기타_가정!$E$102)</f>
        <v>0</v>
      </c>
      <c r="BM21" s="37" t="n">
        <f aca="false">(BM14=1)*③기타_가정!$D$38*③기타_가정!$E$96*CHOOSE(MIN(MAX(BM16,1),3),③기타_가정!$E$104,③기타_가정!$E$105,③기타_가정!$E$106)*(③기타_가정!$E$100+③기타_가정!$E$99)/1000*(1+③기타_가정!$E$101)^INT((BM15-1)/③기타_가정!$E$102)</f>
        <v>0</v>
      </c>
      <c r="BN21" s="37" t="n">
        <f aca="false">(BN14=1)*③기타_가정!$D$38*③기타_가정!$E$96*CHOOSE(MIN(MAX(BN16,1),3),③기타_가정!$E$104,③기타_가정!$E$105,③기타_가정!$E$106)*(③기타_가정!$E$100+③기타_가정!$E$99)/1000*(1+③기타_가정!$E$101)^INT((BN15-1)/③기타_가정!$E$102)</f>
        <v>0</v>
      </c>
      <c r="BO21" s="37" t="n">
        <f aca="false">(BO14=1)*③기타_가정!$D$38*③기타_가정!$E$96*CHOOSE(MIN(MAX(BO16,1),3),③기타_가정!$E$104,③기타_가정!$E$105,③기타_가정!$E$106)*(③기타_가정!$E$100+③기타_가정!$E$99)/1000*(1+③기타_가정!$E$101)^INT((BO15-1)/③기타_가정!$E$102)</f>
        <v>0</v>
      </c>
      <c r="BP21" s="37" t="n">
        <f aca="false">(BP14=1)*③기타_가정!$D$38*③기타_가정!$E$96*CHOOSE(MIN(MAX(BP16,1),3),③기타_가정!$E$104,③기타_가정!$E$105,③기타_가정!$E$106)*(③기타_가정!$E$100+③기타_가정!$E$99)/1000*(1+③기타_가정!$E$101)^INT((BP15-1)/③기타_가정!$E$102)</f>
        <v>0</v>
      </c>
      <c r="BQ21" s="37" t="n">
        <f aca="false">(BQ14=1)*③기타_가정!$D$38*③기타_가정!$E$96*CHOOSE(MIN(MAX(BQ16,1),3),③기타_가정!$E$104,③기타_가정!$E$105,③기타_가정!$E$106)*(③기타_가정!$E$100+③기타_가정!$E$99)/1000*(1+③기타_가정!$E$101)^INT((BQ15-1)/③기타_가정!$E$102)</f>
        <v>0</v>
      </c>
      <c r="BR21" s="37" t="n">
        <f aca="false">(BR14=1)*③기타_가정!$D$38*③기타_가정!$E$96*CHOOSE(MIN(MAX(BR16,1),3),③기타_가정!$E$104,③기타_가정!$E$105,③기타_가정!$E$106)*(③기타_가정!$E$100+③기타_가정!$E$99)/1000*(1+③기타_가정!$E$101)^INT((BR15-1)/③기타_가정!$E$102)</f>
        <v>0</v>
      </c>
      <c r="BS21" s="37" t="n">
        <f aca="false">(BS14=1)*③기타_가정!$D$38*③기타_가정!$E$96*CHOOSE(MIN(MAX(BS16,1),3),③기타_가정!$E$104,③기타_가정!$E$105,③기타_가정!$E$106)*(③기타_가정!$E$100+③기타_가정!$E$99)/1000*(1+③기타_가정!$E$101)^INT((BS15-1)/③기타_가정!$E$102)</f>
        <v>0</v>
      </c>
      <c r="BT21" s="37" t="n">
        <f aca="false">(BT14=1)*③기타_가정!$D$38*③기타_가정!$E$96*CHOOSE(MIN(MAX(BT16,1),3),③기타_가정!$E$104,③기타_가정!$E$105,③기타_가정!$E$106)*(③기타_가정!$E$100+③기타_가정!$E$99)/1000*(1+③기타_가정!$E$101)^INT((BT15-1)/③기타_가정!$E$102)</f>
        <v>0</v>
      </c>
      <c r="BU21" s="37" t="n">
        <f aca="false">(BU14=1)*③기타_가정!$D$38*③기타_가정!$E$96*CHOOSE(MIN(MAX(BU16,1),3),③기타_가정!$E$104,③기타_가정!$E$105,③기타_가정!$E$106)*(③기타_가정!$E$100+③기타_가정!$E$99)/1000*(1+③기타_가정!$E$101)^INT((BU15-1)/③기타_가정!$E$102)</f>
        <v>0</v>
      </c>
      <c r="BV21" s="37" t="n">
        <f aca="false">(BV14=1)*③기타_가정!$D$38*③기타_가정!$E$96*CHOOSE(MIN(MAX(BV16,1),3),③기타_가정!$E$104,③기타_가정!$E$105,③기타_가정!$E$106)*(③기타_가정!$E$100+③기타_가정!$E$99)/1000*(1+③기타_가정!$E$101)^INT((BV15-1)/③기타_가정!$E$102)</f>
        <v>0</v>
      </c>
      <c r="BW21" s="37" t="n">
        <f aca="false">(BW14=1)*③기타_가정!$D$38*③기타_가정!$E$96*CHOOSE(MIN(MAX(BW16,1),3),③기타_가정!$E$104,③기타_가정!$E$105,③기타_가정!$E$106)*(③기타_가정!$E$100+③기타_가정!$E$99)/1000*(1+③기타_가정!$E$101)^INT((BW15-1)/③기타_가정!$E$102)</f>
        <v>0</v>
      </c>
      <c r="BX21" s="37" t="n">
        <f aca="false">(BX14=1)*③기타_가정!$D$38*③기타_가정!$E$96*CHOOSE(MIN(MAX(BX16,1),3),③기타_가정!$E$104,③기타_가정!$E$105,③기타_가정!$E$106)*(③기타_가정!$E$100+③기타_가정!$E$99)/1000*(1+③기타_가정!$E$101)^INT((BX15-1)/③기타_가정!$E$102)</f>
        <v>0</v>
      </c>
      <c r="BY21" s="37" t="n">
        <f aca="false">(BY14=1)*③기타_가정!$D$38*③기타_가정!$E$96*CHOOSE(MIN(MAX(BY16,1),3),③기타_가정!$E$104,③기타_가정!$E$105,③기타_가정!$E$106)*(③기타_가정!$E$100+③기타_가정!$E$99)/1000*(1+③기타_가정!$E$101)^INT((BY15-1)/③기타_가정!$E$102)</f>
        <v>0</v>
      </c>
      <c r="BZ21" s="37" t="n">
        <f aca="false">(BZ14=1)*③기타_가정!$D$38*③기타_가정!$E$96*CHOOSE(MIN(MAX(BZ16,1),3),③기타_가정!$E$104,③기타_가정!$E$105,③기타_가정!$E$106)*(③기타_가정!$E$100+③기타_가정!$E$99)/1000*(1+③기타_가정!$E$101)^INT((BZ15-1)/③기타_가정!$E$102)</f>
        <v>0</v>
      </c>
      <c r="CA21" s="37" t="n">
        <f aca="false">(CA14=1)*③기타_가정!$D$38*③기타_가정!$E$96*CHOOSE(MIN(MAX(CA16,1),3),③기타_가정!$E$104,③기타_가정!$E$105,③기타_가정!$E$106)*(③기타_가정!$E$100+③기타_가정!$E$99)/1000*(1+③기타_가정!$E$101)^INT((CA15-1)/③기타_가정!$E$102)</f>
        <v>0</v>
      </c>
      <c r="CB21" s="37" t="n">
        <f aca="false">(CB14=1)*③기타_가정!$D$38*③기타_가정!$E$96*CHOOSE(MIN(MAX(CB16,1),3),③기타_가정!$E$104,③기타_가정!$E$105,③기타_가정!$E$106)*(③기타_가정!$E$100+③기타_가정!$E$99)/1000*(1+③기타_가정!$E$101)^INT((CB15-1)/③기타_가정!$E$102)</f>
        <v>0</v>
      </c>
      <c r="CC21" s="37" t="n">
        <f aca="false">(CC14=1)*③기타_가정!$D$38*③기타_가정!$E$96*CHOOSE(MIN(MAX(CC16,1),3),③기타_가정!$E$104,③기타_가정!$E$105,③기타_가정!$E$106)*(③기타_가정!$E$100+③기타_가정!$E$99)/1000*(1+③기타_가정!$E$101)^INT((CC15-1)/③기타_가정!$E$102)</f>
        <v>0</v>
      </c>
      <c r="CD21" s="37" t="n">
        <f aca="false">(CD14=1)*③기타_가정!$D$38*③기타_가정!$E$96*CHOOSE(MIN(MAX(CD16,1),3),③기타_가정!$E$104,③기타_가정!$E$105,③기타_가정!$E$106)*(③기타_가정!$E$100+③기타_가정!$E$99)/1000*(1+③기타_가정!$E$101)^INT((CD15-1)/③기타_가정!$E$102)</f>
        <v>0</v>
      </c>
      <c r="CE21" s="37" t="n">
        <f aca="false">(CE14=1)*③기타_가정!$D$38*③기타_가정!$E$96*CHOOSE(MIN(MAX(CE16,1),3),③기타_가정!$E$104,③기타_가정!$E$105,③기타_가정!$E$106)*(③기타_가정!$E$100+③기타_가정!$E$99)/1000*(1+③기타_가정!$E$101)^INT((CE15-1)/③기타_가정!$E$102)</f>
        <v>0</v>
      </c>
      <c r="CF21" s="37" t="n">
        <f aca="false">(CF14=1)*③기타_가정!$D$38*③기타_가정!$E$96*CHOOSE(MIN(MAX(CF16,1),3),③기타_가정!$E$104,③기타_가정!$E$105,③기타_가정!$E$106)*(③기타_가정!$E$100+③기타_가정!$E$99)/1000*(1+③기타_가정!$E$101)^INT((CF15-1)/③기타_가정!$E$102)</f>
        <v>0</v>
      </c>
      <c r="CG21" s="37" t="n">
        <f aca="false">(CG14=1)*③기타_가정!$D$38*③기타_가정!$E$96*CHOOSE(MIN(MAX(CG16,1),3),③기타_가정!$E$104,③기타_가정!$E$105,③기타_가정!$E$106)*(③기타_가정!$E$100+③기타_가정!$E$99)/1000*(1+③기타_가정!$E$101)^INT((CG15-1)/③기타_가정!$E$102)</f>
        <v>0</v>
      </c>
      <c r="CH21" s="37" t="n">
        <f aca="false">(CH14=1)*③기타_가정!$D$38*③기타_가정!$E$96*CHOOSE(MIN(MAX(CH16,1),3),③기타_가정!$E$104,③기타_가정!$E$105,③기타_가정!$E$106)*(③기타_가정!$E$100+③기타_가정!$E$99)/1000*(1+③기타_가정!$E$101)^INT((CH15-1)/③기타_가정!$E$102)</f>
        <v>0</v>
      </c>
      <c r="CI21" s="37" t="n">
        <f aca="false">(CI14=1)*③기타_가정!$D$38*③기타_가정!$E$96*CHOOSE(MIN(MAX(CI16,1),3),③기타_가정!$E$104,③기타_가정!$E$105,③기타_가정!$E$106)*(③기타_가정!$E$100+③기타_가정!$E$99)/1000*(1+③기타_가정!$E$101)^INT((CI15-1)/③기타_가정!$E$102)</f>
        <v>0</v>
      </c>
      <c r="CJ21" s="37" t="n">
        <f aca="false">(CJ14=1)*③기타_가정!$D$38*③기타_가정!$E$96*CHOOSE(MIN(MAX(CJ16,1),3),③기타_가정!$E$104,③기타_가정!$E$105,③기타_가정!$E$106)*(③기타_가정!$E$100+③기타_가정!$E$99)/1000*(1+③기타_가정!$E$101)^INT((CJ15-1)/③기타_가정!$E$102)</f>
        <v>0</v>
      </c>
      <c r="CK21" s="37" t="n">
        <f aca="false">(CK14=1)*③기타_가정!$D$38*③기타_가정!$E$96*CHOOSE(MIN(MAX(CK16,1),3),③기타_가정!$E$104,③기타_가정!$E$105,③기타_가정!$E$106)*(③기타_가정!$E$100+③기타_가정!$E$99)/1000*(1+③기타_가정!$E$101)^INT((CK15-1)/③기타_가정!$E$102)</f>
        <v>0</v>
      </c>
      <c r="CL21" s="37" t="n">
        <f aca="false">(CL14=1)*③기타_가정!$D$38*③기타_가정!$E$96*CHOOSE(MIN(MAX(CL16,1),3),③기타_가정!$E$104,③기타_가정!$E$105,③기타_가정!$E$106)*(③기타_가정!$E$100+③기타_가정!$E$99)/1000*(1+③기타_가정!$E$101)^INT((CL15-1)/③기타_가정!$E$102)</f>
        <v>0</v>
      </c>
      <c r="CM21" s="37" t="n">
        <f aca="false">(CM14=1)*③기타_가정!$D$38*③기타_가정!$E$96*CHOOSE(MIN(MAX(CM16,1),3),③기타_가정!$E$104,③기타_가정!$E$105,③기타_가정!$E$106)*(③기타_가정!$E$100+③기타_가정!$E$99)/1000*(1+③기타_가정!$E$101)^INT((CM15-1)/③기타_가정!$E$102)</f>
        <v>0</v>
      </c>
      <c r="CN21" s="37" t="n">
        <f aca="false">(CN14=1)*③기타_가정!$D$38*③기타_가정!$E$96*CHOOSE(MIN(MAX(CN16,1),3),③기타_가정!$E$104,③기타_가정!$E$105,③기타_가정!$E$106)*(③기타_가정!$E$100+③기타_가정!$E$99)/1000*(1+③기타_가정!$E$101)^INT((CN15-1)/③기타_가정!$E$102)</f>
        <v>0</v>
      </c>
      <c r="CO21" s="37" t="n">
        <f aca="false">(CO14=1)*③기타_가정!$D$38*③기타_가정!$E$96*CHOOSE(MIN(MAX(CO16,1),3),③기타_가정!$E$104,③기타_가정!$E$105,③기타_가정!$E$106)*(③기타_가정!$E$100+③기타_가정!$E$99)/1000*(1+③기타_가정!$E$101)^INT((CO15-1)/③기타_가정!$E$102)</f>
        <v>0</v>
      </c>
      <c r="CP21" s="37" t="n">
        <f aca="false">(CP14=1)*③기타_가정!$D$38*③기타_가정!$E$96*CHOOSE(MIN(MAX(CP16,1),3),③기타_가정!$E$104,③기타_가정!$E$105,③기타_가정!$E$106)*(③기타_가정!$E$100+③기타_가정!$E$99)/1000*(1+③기타_가정!$E$101)^INT((CP15-1)/③기타_가정!$E$102)</f>
        <v>0</v>
      </c>
      <c r="CQ21" s="37" t="n">
        <f aca="false">(CQ14=1)*③기타_가정!$D$38*③기타_가정!$E$96*CHOOSE(MIN(MAX(CQ16,1),3),③기타_가정!$E$104,③기타_가정!$E$105,③기타_가정!$E$106)*(③기타_가정!$E$100+③기타_가정!$E$99)/1000*(1+③기타_가정!$E$101)^INT((CQ15-1)/③기타_가정!$E$102)</f>
        <v>0</v>
      </c>
      <c r="CR21" s="37" t="n">
        <f aca="false">(CR14=1)*③기타_가정!$D$38*③기타_가정!$E$96*CHOOSE(MIN(MAX(CR16,1),3),③기타_가정!$E$104,③기타_가정!$E$105,③기타_가정!$E$106)*(③기타_가정!$E$100+③기타_가정!$E$99)/1000*(1+③기타_가정!$E$101)^INT((CR15-1)/③기타_가정!$E$102)</f>
        <v>0</v>
      </c>
      <c r="CS21" s="37" t="n">
        <f aca="false">(CS14=1)*③기타_가정!$D$38*③기타_가정!$E$96*CHOOSE(MIN(MAX(CS16,1),3),③기타_가정!$E$104,③기타_가정!$E$105,③기타_가정!$E$106)*(③기타_가정!$E$100+③기타_가정!$E$99)/1000*(1+③기타_가정!$E$101)^INT((CS15-1)/③기타_가정!$E$102)</f>
        <v>0</v>
      </c>
      <c r="CT21" s="37" t="n">
        <f aca="false">(CT14=1)*③기타_가정!$D$38*③기타_가정!$E$96*CHOOSE(MIN(MAX(CT16,1),3),③기타_가정!$E$104,③기타_가정!$E$105,③기타_가정!$E$106)*(③기타_가정!$E$100+③기타_가정!$E$99)/1000*(1+③기타_가정!$E$101)^INT((CT15-1)/③기타_가정!$E$102)</f>
        <v>0</v>
      </c>
      <c r="CU21" s="37" t="n">
        <f aca="false">(CU14=1)*③기타_가정!$D$38*③기타_가정!$E$96*CHOOSE(MIN(MAX(CU16,1),3),③기타_가정!$E$104,③기타_가정!$E$105,③기타_가정!$E$106)*(③기타_가정!$E$100+③기타_가정!$E$99)/1000*(1+③기타_가정!$E$101)^INT((CU15-1)/③기타_가정!$E$102)</f>
        <v>0</v>
      </c>
      <c r="CV21" s="37" t="n">
        <f aca="false">(CV14=1)*③기타_가정!$D$38*③기타_가정!$E$96*CHOOSE(MIN(MAX(CV16,1),3),③기타_가정!$E$104,③기타_가정!$E$105,③기타_가정!$E$106)*(③기타_가정!$E$100+③기타_가정!$E$99)/1000*(1+③기타_가정!$E$101)^INT((CV15-1)/③기타_가정!$E$102)</f>
        <v>0</v>
      </c>
      <c r="CW21" s="37" t="n">
        <f aca="false">(CW14=1)*③기타_가정!$D$38*③기타_가정!$E$96*CHOOSE(MIN(MAX(CW16,1),3),③기타_가정!$E$104,③기타_가정!$E$105,③기타_가정!$E$106)*(③기타_가정!$E$100+③기타_가정!$E$99)/1000*(1+③기타_가정!$E$101)^INT((CW15-1)/③기타_가정!$E$102)</f>
        <v>0</v>
      </c>
      <c r="CX21" s="37" t="n">
        <f aca="false">(CX14=1)*③기타_가정!$D$38*③기타_가정!$E$96*CHOOSE(MIN(MAX(CX16,1),3),③기타_가정!$E$104,③기타_가정!$E$105,③기타_가정!$E$106)*(③기타_가정!$E$100+③기타_가정!$E$99)/1000*(1+③기타_가정!$E$101)^INT((CX15-1)/③기타_가정!$E$102)</f>
        <v>0</v>
      </c>
      <c r="CY21" s="37" t="n">
        <f aca="false">(CY14=1)*③기타_가정!$D$38*③기타_가정!$E$96*CHOOSE(MIN(MAX(CY16,1),3),③기타_가정!$E$104,③기타_가정!$E$105,③기타_가정!$E$106)*(③기타_가정!$E$100+③기타_가정!$E$99)/1000*(1+③기타_가정!$E$101)^INT((CY15-1)/③기타_가정!$E$102)</f>
        <v>0</v>
      </c>
      <c r="CZ21" s="37" t="n">
        <f aca="false">(CZ14=1)*③기타_가정!$D$38*③기타_가정!$E$96*CHOOSE(MIN(MAX(CZ16,1),3),③기타_가정!$E$104,③기타_가정!$E$105,③기타_가정!$E$106)*(③기타_가정!$E$100+③기타_가정!$E$99)/1000*(1+③기타_가정!$E$101)^INT((CZ15-1)/③기타_가정!$E$102)</f>
        <v>0</v>
      </c>
      <c r="DA21" s="37" t="n">
        <f aca="false">(DA14=1)*③기타_가정!$D$38*③기타_가정!$E$96*CHOOSE(MIN(MAX(DA16,1),3),③기타_가정!$E$104,③기타_가정!$E$105,③기타_가정!$E$106)*(③기타_가정!$E$100+③기타_가정!$E$99)/1000*(1+③기타_가정!$E$101)^INT((DA15-1)/③기타_가정!$E$102)</f>
        <v>0</v>
      </c>
      <c r="DB21" s="37" t="n">
        <f aca="false">(DB14=1)*③기타_가정!$D$38*③기타_가정!$E$96*CHOOSE(MIN(MAX(DB16,1),3),③기타_가정!$E$104,③기타_가정!$E$105,③기타_가정!$E$106)*(③기타_가정!$E$100+③기타_가정!$E$99)/1000*(1+③기타_가정!$E$101)^INT((DB15-1)/③기타_가정!$E$102)</f>
        <v>0</v>
      </c>
      <c r="DC21" s="37" t="n">
        <f aca="false">(DC14=1)*③기타_가정!$D$38*③기타_가정!$E$96*CHOOSE(MIN(MAX(DC16,1),3),③기타_가정!$E$104,③기타_가정!$E$105,③기타_가정!$E$106)*(③기타_가정!$E$100+③기타_가정!$E$99)/1000*(1+③기타_가정!$E$101)^INT((DC15-1)/③기타_가정!$E$102)</f>
        <v>0</v>
      </c>
      <c r="DD21" s="37" t="n">
        <f aca="false">(DD14=1)*③기타_가정!$D$38*③기타_가정!$E$96*CHOOSE(MIN(MAX(DD16,1),3),③기타_가정!$E$104,③기타_가정!$E$105,③기타_가정!$E$106)*(③기타_가정!$E$100+③기타_가정!$E$99)/1000*(1+③기타_가정!$E$101)^INT((DD15-1)/③기타_가정!$E$102)</f>
        <v>0</v>
      </c>
      <c r="DE21" s="37" t="n">
        <f aca="false">(DE14=1)*③기타_가정!$D$38*③기타_가정!$E$96*CHOOSE(MIN(MAX(DE16,1),3),③기타_가정!$E$104,③기타_가정!$E$105,③기타_가정!$E$106)*(③기타_가정!$E$100+③기타_가정!$E$99)/1000*(1+③기타_가정!$E$101)^INT((DE15-1)/③기타_가정!$E$102)</f>
        <v>0</v>
      </c>
      <c r="DF21" s="37" t="n">
        <f aca="false">(DF14=1)*③기타_가정!$D$38*③기타_가정!$E$96*CHOOSE(MIN(MAX(DF16,1),3),③기타_가정!$E$104,③기타_가정!$E$105,③기타_가정!$E$106)*(③기타_가정!$E$100+③기타_가정!$E$99)/1000*(1+③기타_가정!$E$101)^INT((DF15-1)/③기타_가정!$E$102)</f>
        <v>0</v>
      </c>
      <c r="DG21" s="37" t="n">
        <f aca="false">(DG14=1)*③기타_가정!$D$38*③기타_가정!$E$96*CHOOSE(MIN(MAX(DG16,1),3),③기타_가정!$E$104,③기타_가정!$E$105,③기타_가정!$E$106)*(③기타_가정!$E$100+③기타_가정!$E$99)/1000*(1+③기타_가정!$E$101)^INT((DG15-1)/③기타_가정!$E$102)</f>
        <v>0</v>
      </c>
      <c r="DH21" s="37" t="n">
        <f aca="false">(DH14=1)*③기타_가정!$D$38*③기타_가정!$E$96*CHOOSE(MIN(MAX(DH16,1),3),③기타_가정!$E$104,③기타_가정!$E$105,③기타_가정!$E$106)*(③기타_가정!$E$100+③기타_가정!$E$99)/1000*(1+③기타_가정!$E$101)^INT((DH15-1)/③기타_가정!$E$102)</f>
        <v>0</v>
      </c>
      <c r="DI21" s="37" t="n">
        <f aca="false">(DI14=1)*③기타_가정!$D$38*③기타_가정!$E$96*CHOOSE(MIN(MAX(DI16,1),3),③기타_가정!$E$104,③기타_가정!$E$105,③기타_가정!$E$106)*(③기타_가정!$E$100+③기타_가정!$E$99)/1000*(1+③기타_가정!$E$101)^INT((DI15-1)/③기타_가정!$E$102)</f>
        <v>0</v>
      </c>
      <c r="DJ21" s="37" t="n">
        <f aca="false">(DJ14=1)*③기타_가정!$D$38*③기타_가정!$E$96*CHOOSE(MIN(MAX(DJ16,1),3),③기타_가정!$E$104,③기타_가정!$E$105,③기타_가정!$E$106)*(③기타_가정!$E$100+③기타_가정!$E$99)/1000*(1+③기타_가정!$E$101)^INT((DJ15-1)/③기타_가정!$E$102)</f>
        <v>0</v>
      </c>
      <c r="DK21" s="37" t="n">
        <f aca="false">(DK14=1)*③기타_가정!$D$38*③기타_가정!$E$96*CHOOSE(MIN(MAX(DK16,1),3),③기타_가정!$E$104,③기타_가정!$E$105,③기타_가정!$E$106)*(③기타_가정!$E$100+③기타_가정!$E$99)/1000*(1+③기타_가정!$E$101)^INT((DK15-1)/③기타_가정!$E$102)</f>
        <v>0</v>
      </c>
      <c r="DL21" s="37" t="n">
        <f aca="false">(DL14=1)*③기타_가정!$D$38*③기타_가정!$E$96*CHOOSE(MIN(MAX(DL16,1),3),③기타_가정!$E$104,③기타_가정!$E$105,③기타_가정!$E$106)*(③기타_가정!$E$100+③기타_가정!$E$99)/1000*(1+③기타_가정!$E$101)^INT((DL15-1)/③기타_가정!$E$102)</f>
        <v>0</v>
      </c>
      <c r="DM21" s="37" t="n">
        <f aca="false">(DM14=1)*③기타_가정!$D$38*③기타_가정!$E$96*CHOOSE(MIN(MAX(DM16,1),3),③기타_가정!$E$104,③기타_가정!$E$105,③기타_가정!$E$106)*(③기타_가정!$E$100+③기타_가정!$E$99)/1000*(1+③기타_가정!$E$101)^INT((DM15-1)/③기타_가정!$E$102)</f>
        <v>0</v>
      </c>
      <c r="DN21" s="37" t="n">
        <f aca="false">(DN14=1)*③기타_가정!$D$38*③기타_가정!$E$96*CHOOSE(MIN(MAX(DN16,1),3),③기타_가정!$E$104,③기타_가정!$E$105,③기타_가정!$E$106)*(③기타_가정!$E$100+③기타_가정!$E$99)/1000*(1+③기타_가정!$E$101)^INT((DN15-1)/③기타_가정!$E$102)</f>
        <v>0</v>
      </c>
      <c r="DO21" s="37" t="n">
        <f aca="false">(DO14=1)*③기타_가정!$D$38*③기타_가정!$E$96*CHOOSE(MIN(MAX(DO16,1),3),③기타_가정!$E$104,③기타_가정!$E$105,③기타_가정!$E$106)*(③기타_가정!$E$100+③기타_가정!$E$99)/1000*(1+③기타_가정!$E$101)^INT((DO15-1)/③기타_가정!$E$102)</f>
        <v>0</v>
      </c>
      <c r="DP21" s="37" t="n">
        <f aca="false">(DP14=1)*③기타_가정!$D$38*③기타_가정!$E$96*CHOOSE(MIN(MAX(DP16,1),3),③기타_가정!$E$104,③기타_가정!$E$105,③기타_가정!$E$106)*(③기타_가정!$E$100+③기타_가정!$E$99)/1000*(1+③기타_가정!$E$101)^INT((DP15-1)/③기타_가정!$E$102)</f>
        <v>0</v>
      </c>
      <c r="DQ21" s="37" t="n">
        <f aca="false">(DQ14=1)*③기타_가정!$D$38*③기타_가정!$E$96*CHOOSE(MIN(MAX(DQ16,1),3),③기타_가정!$E$104,③기타_가정!$E$105,③기타_가정!$E$106)*(③기타_가정!$E$100+③기타_가정!$E$99)/1000*(1+③기타_가정!$E$101)^INT((DQ15-1)/③기타_가정!$E$102)</f>
        <v>0</v>
      </c>
      <c r="DR21" s="37" t="n">
        <f aca="false">(DR14=1)*③기타_가정!$D$38*③기타_가정!$E$96*CHOOSE(MIN(MAX(DR16,1),3),③기타_가정!$E$104,③기타_가정!$E$105,③기타_가정!$E$106)*(③기타_가정!$E$100+③기타_가정!$E$99)/1000*(1+③기타_가정!$E$101)^INT((DR15-1)/③기타_가정!$E$102)</f>
        <v>0</v>
      </c>
      <c r="DS21" s="37" t="n">
        <f aca="false">(DS14=1)*③기타_가정!$D$38*③기타_가정!$E$96*CHOOSE(MIN(MAX(DS16,1),3),③기타_가정!$E$104,③기타_가정!$E$105,③기타_가정!$E$106)*(③기타_가정!$E$100+③기타_가정!$E$99)/1000*(1+③기타_가정!$E$101)^INT((DS15-1)/③기타_가정!$E$102)</f>
        <v>0</v>
      </c>
      <c r="DT21" s="37" t="n">
        <f aca="false">(DT14=1)*③기타_가정!$D$38*③기타_가정!$E$96*CHOOSE(MIN(MAX(DT16,1),3),③기타_가정!$E$104,③기타_가정!$E$105,③기타_가정!$E$106)*(③기타_가정!$E$100+③기타_가정!$E$99)/1000*(1+③기타_가정!$E$101)^INT((DT15-1)/③기타_가정!$E$102)</f>
        <v>0</v>
      </c>
      <c r="DU21" s="37" t="n">
        <f aca="false">(DU14=1)*③기타_가정!$D$38*③기타_가정!$E$96*CHOOSE(MIN(MAX(DU16,1),3),③기타_가정!$E$104,③기타_가정!$E$105,③기타_가정!$E$106)*(③기타_가정!$E$100+③기타_가정!$E$99)/1000*(1+③기타_가정!$E$101)^INT((DU15-1)/③기타_가정!$E$102)</f>
        <v>0</v>
      </c>
      <c r="DV21" s="37" t="n">
        <f aca="false">(DV14=1)*③기타_가정!$D$38*③기타_가정!$E$96*CHOOSE(MIN(MAX(DV16,1),3),③기타_가정!$E$104,③기타_가정!$E$105,③기타_가정!$E$106)*(③기타_가정!$E$100+③기타_가정!$E$99)/1000*(1+③기타_가정!$E$101)^INT((DV15-1)/③기타_가정!$E$102)</f>
        <v>0</v>
      </c>
      <c r="DW21" s="37" t="n">
        <f aca="false">(DW14=1)*③기타_가정!$D$38*③기타_가정!$E$96*CHOOSE(MIN(MAX(DW16,1),3),③기타_가정!$E$104,③기타_가정!$E$105,③기타_가정!$E$106)*(③기타_가정!$E$100+③기타_가정!$E$99)/1000*(1+③기타_가정!$E$101)^INT((DW15-1)/③기타_가정!$E$102)</f>
        <v>0</v>
      </c>
      <c r="DX21" s="37" t="n">
        <f aca="false">(DX14=1)*③기타_가정!$D$38*③기타_가정!$E$96*CHOOSE(MIN(MAX(DX16,1),3),③기타_가정!$E$104,③기타_가정!$E$105,③기타_가정!$E$106)*(③기타_가정!$E$100+③기타_가정!$E$99)/1000*(1+③기타_가정!$E$101)^INT((DX15-1)/③기타_가정!$E$102)</f>
        <v>0</v>
      </c>
      <c r="DY21" s="37" t="n">
        <f aca="false">(DY14=1)*③기타_가정!$D$38*③기타_가정!$E$96*CHOOSE(MIN(MAX(DY16,1),3),③기타_가정!$E$104,③기타_가정!$E$105,③기타_가정!$E$106)*(③기타_가정!$E$100+③기타_가정!$E$99)/1000*(1+③기타_가정!$E$101)^INT((DY15-1)/③기타_가정!$E$102)</f>
        <v>0</v>
      </c>
      <c r="DZ21" s="37" t="n">
        <f aca="false">(DZ14=1)*③기타_가정!$D$38*③기타_가정!$E$96*CHOOSE(MIN(MAX(DZ16,1),3),③기타_가정!$E$104,③기타_가정!$E$105,③기타_가정!$E$106)*(③기타_가정!$E$100+③기타_가정!$E$99)/1000*(1+③기타_가정!$E$101)^INT((DZ15-1)/③기타_가정!$E$102)</f>
        <v>0</v>
      </c>
      <c r="EA21" s="37" t="n">
        <f aca="false">(EA14=1)*③기타_가정!$D$38*③기타_가정!$E$96*CHOOSE(MIN(MAX(EA16,1),3),③기타_가정!$E$104,③기타_가정!$E$105,③기타_가정!$E$106)*(③기타_가정!$E$100+③기타_가정!$E$99)/1000*(1+③기타_가정!$E$101)^INT((EA15-1)/③기타_가정!$E$102)</f>
        <v>0</v>
      </c>
      <c r="EB21" s="37" t="n">
        <f aca="false">(EB14=1)*③기타_가정!$D$38*③기타_가정!$E$96*CHOOSE(MIN(MAX(EB16,1),3),③기타_가정!$E$104,③기타_가정!$E$105,③기타_가정!$E$106)*(③기타_가정!$E$100+③기타_가정!$E$99)/1000*(1+③기타_가정!$E$101)^INT((EB15-1)/③기타_가정!$E$102)</f>
        <v>0</v>
      </c>
      <c r="EC21" s="37" t="n">
        <f aca="false">(EC14=1)*③기타_가정!$D$38*③기타_가정!$E$96*CHOOSE(MIN(MAX(EC16,1),3),③기타_가정!$E$104,③기타_가정!$E$105,③기타_가정!$E$106)*(③기타_가정!$E$100+③기타_가정!$E$99)/1000*(1+③기타_가정!$E$101)^INT((EC15-1)/③기타_가정!$E$102)</f>
        <v>0</v>
      </c>
      <c r="ED21" s="37" t="n">
        <f aca="false">(ED14=1)*③기타_가정!$D$38*③기타_가정!$E$96*CHOOSE(MIN(MAX(ED16,1),3),③기타_가정!$E$104,③기타_가정!$E$105,③기타_가정!$E$106)*(③기타_가정!$E$100+③기타_가정!$E$99)/1000*(1+③기타_가정!$E$101)^INT((ED15-1)/③기타_가정!$E$102)</f>
        <v>0</v>
      </c>
      <c r="EE21" s="37" t="n">
        <f aca="false">(EE14=1)*③기타_가정!$D$38*③기타_가정!$E$96*CHOOSE(MIN(MAX(EE16,1),3),③기타_가정!$E$104,③기타_가정!$E$105,③기타_가정!$E$106)*(③기타_가정!$E$100+③기타_가정!$E$99)/1000*(1+③기타_가정!$E$101)^INT((EE15-1)/③기타_가정!$E$102)</f>
        <v>0</v>
      </c>
      <c r="EF21" s="37" t="n">
        <f aca="false">(EF14=1)*③기타_가정!$D$38*③기타_가정!$E$96*CHOOSE(MIN(MAX(EF16,1),3),③기타_가정!$E$104,③기타_가정!$E$105,③기타_가정!$E$106)*(③기타_가정!$E$100+③기타_가정!$E$99)/1000*(1+③기타_가정!$E$101)^INT((EF15-1)/③기타_가정!$E$102)</f>
        <v>0</v>
      </c>
    </row>
    <row r="22" customFormat="false" ht="15" hidden="false" customHeight="false" outlineLevel="0" collapsed="false">
      <c r="A22" s="36" t="s">
        <v>577</v>
      </c>
      <c r="B22" s="278" t="s">
        <v>21</v>
      </c>
      <c r="C22" s="279" t="n">
        <f aca="false">SUM(E22:EF22)</f>
        <v>0</v>
      </c>
      <c r="E22" s="37" t="n">
        <f aca="false">E21*③기타_가정!$E$107</f>
        <v>0</v>
      </c>
      <c r="F22" s="37" t="n">
        <f aca="false">F21*③기타_가정!$E$107</f>
        <v>0</v>
      </c>
      <c r="G22" s="37" t="n">
        <f aca="false">G21*③기타_가정!$E$107</f>
        <v>0</v>
      </c>
      <c r="H22" s="37" t="n">
        <f aca="false">H21*③기타_가정!$E$107</f>
        <v>0</v>
      </c>
      <c r="I22" s="37" t="n">
        <f aca="false">I21*③기타_가정!$E$107</f>
        <v>0</v>
      </c>
      <c r="J22" s="37" t="n">
        <f aca="false">J21*③기타_가정!$E$107</f>
        <v>0</v>
      </c>
      <c r="K22" s="37" t="n">
        <f aca="false">K21*③기타_가정!$E$107</f>
        <v>0</v>
      </c>
      <c r="L22" s="37" t="n">
        <f aca="false">L21*③기타_가정!$E$107</f>
        <v>0</v>
      </c>
      <c r="M22" s="37" t="n">
        <f aca="false">M21*③기타_가정!$E$107</f>
        <v>0</v>
      </c>
      <c r="N22" s="37" t="n">
        <f aca="false">N21*③기타_가정!$E$107</f>
        <v>0</v>
      </c>
      <c r="O22" s="37" t="n">
        <f aca="false">O21*③기타_가정!$E$107</f>
        <v>0</v>
      </c>
      <c r="P22" s="37" t="n">
        <f aca="false">P21*③기타_가정!$E$107</f>
        <v>0</v>
      </c>
      <c r="Q22" s="37" t="n">
        <f aca="false">Q21*③기타_가정!$E$107</f>
        <v>0</v>
      </c>
      <c r="R22" s="37" t="n">
        <f aca="false">R21*③기타_가정!$E$107</f>
        <v>0</v>
      </c>
      <c r="S22" s="37" t="n">
        <f aca="false">S21*③기타_가정!$E$107</f>
        <v>0</v>
      </c>
      <c r="T22" s="37" t="n">
        <f aca="false">T21*③기타_가정!$E$107</f>
        <v>0</v>
      </c>
      <c r="U22" s="37" t="n">
        <f aca="false">U21*③기타_가정!$E$107</f>
        <v>0</v>
      </c>
      <c r="V22" s="37" t="n">
        <f aca="false">V21*③기타_가정!$E$107</f>
        <v>0</v>
      </c>
      <c r="W22" s="37" t="n">
        <f aca="false">W21*③기타_가정!$E$107</f>
        <v>0</v>
      </c>
      <c r="X22" s="37" t="n">
        <f aca="false">X21*③기타_가정!$E$107</f>
        <v>0</v>
      </c>
      <c r="Y22" s="37" t="n">
        <f aca="false">Y21*③기타_가정!$E$107</f>
        <v>0</v>
      </c>
      <c r="Z22" s="37" t="n">
        <f aca="false">Z21*③기타_가정!$E$107</f>
        <v>0</v>
      </c>
      <c r="AA22" s="37" t="n">
        <f aca="false">AA21*③기타_가정!$E$107</f>
        <v>0</v>
      </c>
      <c r="AB22" s="37" t="n">
        <f aca="false">AB21*③기타_가정!$E$107</f>
        <v>0</v>
      </c>
      <c r="AC22" s="37" t="n">
        <f aca="false">AC21*③기타_가정!$E$107</f>
        <v>0</v>
      </c>
      <c r="AD22" s="37" t="n">
        <f aca="false">AD21*③기타_가정!$E$107</f>
        <v>0</v>
      </c>
      <c r="AE22" s="37" t="n">
        <f aca="false">AE21*③기타_가정!$E$107</f>
        <v>0</v>
      </c>
      <c r="AF22" s="37" t="n">
        <f aca="false">AF21*③기타_가정!$E$107</f>
        <v>0</v>
      </c>
      <c r="AG22" s="37" t="n">
        <f aca="false">AG21*③기타_가정!$E$107</f>
        <v>0</v>
      </c>
      <c r="AH22" s="37" t="n">
        <f aca="false">AH21*③기타_가정!$E$107</f>
        <v>0</v>
      </c>
      <c r="AI22" s="37" t="n">
        <f aca="false">AI21*③기타_가정!$E$107</f>
        <v>0</v>
      </c>
      <c r="AJ22" s="37" t="n">
        <f aca="false">AJ21*③기타_가정!$E$107</f>
        <v>0</v>
      </c>
      <c r="AK22" s="37" t="n">
        <f aca="false">AK21*③기타_가정!$E$107</f>
        <v>0</v>
      </c>
      <c r="AL22" s="37" t="n">
        <f aca="false">AL21*③기타_가정!$E$107</f>
        <v>0</v>
      </c>
      <c r="AM22" s="37" t="n">
        <f aca="false">AM21*③기타_가정!$E$107</f>
        <v>0</v>
      </c>
      <c r="AN22" s="37" t="n">
        <f aca="false">AN21*③기타_가정!$E$107</f>
        <v>0</v>
      </c>
      <c r="AO22" s="37" t="n">
        <f aca="false">AO21*③기타_가정!$E$107</f>
        <v>0</v>
      </c>
      <c r="AP22" s="37" t="n">
        <f aca="false">AP21*③기타_가정!$E$107</f>
        <v>0</v>
      </c>
      <c r="AQ22" s="37" t="n">
        <f aca="false">AQ21*③기타_가정!$E$107</f>
        <v>0</v>
      </c>
      <c r="AR22" s="37" t="n">
        <f aca="false">AR21*③기타_가정!$E$107</f>
        <v>0</v>
      </c>
      <c r="AS22" s="37" t="n">
        <f aca="false">AS21*③기타_가정!$E$107</f>
        <v>0</v>
      </c>
      <c r="AT22" s="37" t="n">
        <f aca="false">AT21*③기타_가정!$E$107</f>
        <v>0</v>
      </c>
      <c r="AU22" s="37" t="n">
        <f aca="false">AU21*③기타_가정!$E$107</f>
        <v>0</v>
      </c>
      <c r="AV22" s="37" t="n">
        <f aca="false">AV21*③기타_가정!$E$107</f>
        <v>0</v>
      </c>
      <c r="AW22" s="37" t="n">
        <f aca="false">AW21*③기타_가정!$E$107</f>
        <v>0</v>
      </c>
      <c r="AX22" s="37" t="n">
        <f aca="false">AX21*③기타_가정!$E$107</f>
        <v>0</v>
      </c>
      <c r="AY22" s="37" t="n">
        <f aca="false">AY21*③기타_가정!$E$107</f>
        <v>0</v>
      </c>
      <c r="AZ22" s="37" t="n">
        <f aca="false">AZ21*③기타_가정!$E$107</f>
        <v>0</v>
      </c>
      <c r="BA22" s="37" t="n">
        <f aca="false">BA21*③기타_가정!$E$107</f>
        <v>0</v>
      </c>
      <c r="BB22" s="37" t="n">
        <f aca="false">BB21*③기타_가정!$E$107</f>
        <v>0</v>
      </c>
      <c r="BC22" s="37" t="n">
        <f aca="false">BC21*③기타_가정!$E$107</f>
        <v>0</v>
      </c>
      <c r="BD22" s="37" t="n">
        <f aca="false">BD21*③기타_가정!$E$107</f>
        <v>0</v>
      </c>
      <c r="BE22" s="37" t="n">
        <f aca="false">BE21*③기타_가정!$E$107</f>
        <v>0</v>
      </c>
      <c r="BF22" s="37" t="n">
        <f aca="false">BF21*③기타_가정!$E$107</f>
        <v>0</v>
      </c>
      <c r="BG22" s="37" t="n">
        <f aca="false">BG21*③기타_가정!$E$107</f>
        <v>0</v>
      </c>
      <c r="BH22" s="37" t="n">
        <f aca="false">BH21*③기타_가정!$E$107</f>
        <v>0</v>
      </c>
      <c r="BI22" s="37" t="n">
        <f aca="false">BI21*③기타_가정!$E$107</f>
        <v>0</v>
      </c>
      <c r="BJ22" s="37" t="n">
        <f aca="false">BJ21*③기타_가정!$E$107</f>
        <v>0</v>
      </c>
      <c r="BK22" s="37" t="n">
        <f aca="false">BK21*③기타_가정!$E$107</f>
        <v>0</v>
      </c>
      <c r="BL22" s="37" t="n">
        <f aca="false">BL21*③기타_가정!$E$107</f>
        <v>0</v>
      </c>
      <c r="BM22" s="37" t="n">
        <f aca="false">BM21*③기타_가정!$E$107</f>
        <v>0</v>
      </c>
      <c r="BN22" s="37" t="n">
        <f aca="false">BN21*③기타_가정!$E$107</f>
        <v>0</v>
      </c>
      <c r="BO22" s="37" t="n">
        <f aca="false">BO21*③기타_가정!$E$107</f>
        <v>0</v>
      </c>
      <c r="BP22" s="37" t="n">
        <f aca="false">BP21*③기타_가정!$E$107</f>
        <v>0</v>
      </c>
      <c r="BQ22" s="37" t="n">
        <f aca="false">BQ21*③기타_가정!$E$107</f>
        <v>0</v>
      </c>
      <c r="BR22" s="37" t="n">
        <f aca="false">BR21*③기타_가정!$E$107</f>
        <v>0</v>
      </c>
      <c r="BS22" s="37" t="n">
        <f aca="false">BS21*③기타_가정!$E$107</f>
        <v>0</v>
      </c>
      <c r="BT22" s="37" t="n">
        <f aca="false">BT21*③기타_가정!$E$107</f>
        <v>0</v>
      </c>
      <c r="BU22" s="37" t="n">
        <f aca="false">BU21*③기타_가정!$E$107</f>
        <v>0</v>
      </c>
      <c r="BV22" s="37" t="n">
        <f aca="false">BV21*③기타_가정!$E$107</f>
        <v>0</v>
      </c>
      <c r="BW22" s="37" t="n">
        <f aca="false">BW21*③기타_가정!$E$107</f>
        <v>0</v>
      </c>
      <c r="BX22" s="37" t="n">
        <f aca="false">BX21*③기타_가정!$E$107</f>
        <v>0</v>
      </c>
      <c r="BY22" s="37" t="n">
        <f aca="false">BY21*③기타_가정!$E$107</f>
        <v>0</v>
      </c>
      <c r="BZ22" s="37" t="n">
        <f aca="false">BZ21*③기타_가정!$E$107</f>
        <v>0</v>
      </c>
      <c r="CA22" s="37" t="n">
        <f aca="false">CA21*③기타_가정!$E$107</f>
        <v>0</v>
      </c>
      <c r="CB22" s="37" t="n">
        <f aca="false">CB21*③기타_가정!$E$107</f>
        <v>0</v>
      </c>
      <c r="CC22" s="37" t="n">
        <f aca="false">CC21*③기타_가정!$E$107</f>
        <v>0</v>
      </c>
      <c r="CD22" s="37" t="n">
        <f aca="false">CD21*③기타_가정!$E$107</f>
        <v>0</v>
      </c>
      <c r="CE22" s="37" t="n">
        <f aca="false">CE21*③기타_가정!$E$107</f>
        <v>0</v>
      </c>
      <c r="CF22" s="37" t="n">
        <f aca="false">CF21*③기타_가정!$E$107</f>
        <v>0</v>
      </c>
      <c r="CG22" s="37" t="n">
        <f aca="false">CG21*③기타_가정!$E$107</f>
        <v>0</v>
      </c>
      <c r="CH22" s="37" t="n">
        <f aca="false">CH21*③기타_가정!$E$107</f>
        <v>0</v>
      </c>
      <c r="CI22" s="37" t="n">
        <f aca="false">CI21*③기타_가정!$E$107</f>
        <v>0</v>
      </c>
      <c r="CJ22" s="37" t="n">
        <f aca="false">CJ21*③기타_가정!$E$107</f>
        <v>0</v>
      </c>
      <c r="CK22" s="37" t="n">
        <f aca="false">CK21*③기타_가정!$E$107</f>
        <v>0</v>
      </c>
      <c r="CL22" s="37" t="n">
        <f aca="false">CL21*③기타_가정!$E$107</f>
        <v>0</v>
      </c>
      <c r="CM22" s="37" t="n">
        <f aca="false">CM21*③기타_가정!$E$107</f>
        <v>0</v>
      </c>
      <c r="CN22" s="37" t="n">
        <f aca="false">CN21*③기타_가정!$E$107</f>
        <v>0</v>
      </c>
      <c r="CO22" s="37" t="n">
        <f aca="false">CO21*③기타_가정!$E$107</f>
        <v>0</v>
      </c>
      <c r="CP22" s="37" t="n">
        <f aca="false">CP21*③기타_가정!$E$107</f>
        <v>0</v>
      </c>
      <c r="CQ22" s="37" t="n">
        <f aca="false">CQ21*③기타_가정!$E$107</f>
        <v>0</v>
      </c>
      <c r="CR22" s="37" t="n">
        <f aca="false">CR21*③기타_가정!$E$107</f>
        <v>0</v>
      </c>
      <c r="CS22" s="37" t="n">
        <f aca="false">CS21*③기타_가정!$E$107</f>
        <v>0</v>
      </c>
      <c r="CT22" s="37" t="n">
        <f aca="false">CT21*③기타_가정!$E$107</f>
        <v>0</v>
      </c>
      <c r="CU22" s="37" t="n">
        <f aca="false">CU21*③기타_가정!$E$107</f>
        <v>0</v>
      </c>
      <c r="CV22" s="37" t="n">
        <f aca="false">CV21*③기타_가정!$E$107</f>
        <v>0</v>
      </c>
      <c r="CW22" s="37" t="n">
        <f aca="false">CW21*③기타_가정!$E$107</f>
        <v>0</v>
      </c>
      <c r="CX22" s="37" t="n">
        <f aca="false">CX21*③기타_가정!$E$107</f>
        <v>0</v>
      </c>
      <c r="CY22" s="37" t="n">
        <f aca="false">CY21*③기타_가정!$E$107</f>
        <v>0</v>
      </c>
      <c r="CZ22" s="37" t="n">
        <f aca="false">CZ21*③기타_가정!$E$107</f>
        <v>0</v>
      </c>
      <c r="DA22" s="37" t="n">
        <f aca="false">DA21*③기타_가정!$E$107</f>
        <v>0</v>
      </c>
      <c r="DB22" s="37" t="n">
        <f aca="false">DB21*③기타_가정!$E$107</f>
        <v>0</v>
      </c>
      <c r="DC22" s="37" t="n">
        <f aca="false">DC21*③기타_가정!$E$107</f>
        <v>0</v>
      </c>
      <c r="DD22" s="37" t="n">
        <f aca="false">DD21*③기타_가정!$E$107</f>
        <v>0</v>
      </c>
      <c r="DE22" s="37" t="n">
        <f aca="false">DE21*③기타_가정!$E$107</f>
        <v>0</v>
      </c>
      <c r="DF22" s="37" t="n">
        <f aca="false">DF21*③기타_가정!$E$107</f>
        <v>0</v>
      </c>
      <c r="DG22" s="37" t="n">
        <f aca="false">DG21*③기타_가정!$E$107</f>
        <v>0</v>
      </c>
      <c r="DH22" s="37" t="n">
        <f aca="false">DH21*③기타_가정!$E$107</f>
        <v>0</v>
      </c>
      <c r="DI22" s="37" t="n">
        <f aca="false">DI21*③기타_가정!$E$107</f>
        <v>0</v>
      </c>
      <c r="DJ22" s="37" t="n">
        <f aca="false">DJ21*③기타_가정!$E$107</f>
        <v>0</v>
      </c>
      <c r="DK22" s="37" t="n">
        <f aca="false">DK21*③기타_가정!$E$107</f>
        <v>0</v>
      </c>
      <c r="DL22" s="37" t="n">
        <f aca="false">DL21*③기타_가정!$E$107</f>
        <v>0</v>
      </c>
      <c r="DM22" s="37" t="n">
        <f aca="false">DM21*③기타_가정!$E$107</f>
        <v>0</v>
      </c>
      <c r="DN22" s="37" t="n">
        <f aca="false">DN21*③기타_가정!$E$107</f>
        <v>0</v>
      </c>
      <c r="DO22" s="37" t="n">
        <f aca="false">DO21*③기타_가정!$E$107</f>
        <v>0</v>
      </c>
      <c r="DP22" s="37" t="n">
        <f aca="false">DP21*③기타_가정!$E$107</f>
        <v>0</v>
      </c>
      <c r="DQ22" s="37" t="n">
        <f aca="false">DQ21*③기타_가정!$E$107</f>
        <v>0</v>
      </c>
      <c r="DR22" s="37" t="n">
        <f aca="false">DR21*③기타_가정!$E$107</f>
        <v>0</v>
      </c>
      <c r="DS22" s="37" t="n">
        <f aca="false">DS21*③기타_가정!$E$107</f>
        <v>0</v>
      </c>
      <c r="DT22" s="37" t="n">
        <f aca="false">DT21*③기타_가정!$E$107</f>
        <v>0</v>
      </c>
      <c r="DU22" s="37" t="n">
        <f aca="false">DU21*③기타_가정!$E$107</f>
        <v>0</v>
      </c>
      <c r="DV22" s="37" t="n">
        <f aca="false">DV21*③기타_가정!$E$107</f>
        <v>0</v>
      </c>
      <c r="DW22" s="37" t="n">
        <f aca="false">DW21*③기타_가정!$E$107</f>
        <v>0</v>
      </c>
      <c r="DX22" s="37" t="n">
        <f aca="false">DX21*③기타_가정!$E$107</f>
        <v>0</v>
      </c>
      <c r="DY22" s="37" t="n">
        <f aca="false">DY21*③기타_가정!$E$107</f>
        <v>0</v>
      </c>
      <c r="DZ22" s="37" t="n">
        <f aca="false">DZ21*③기타_가정!$E$107</f>
        <v>0</v>
      </c>
      <c r="EA22" s="37" t="n">
        <f aca="false">EA21*③기타_가정!$E$107</f>
        <v>0</v>
      </c>
      <c r="EB22" s="37" t="n">
        <f aca="false">EB21*③기타_가정!$E$107</f>
        <v>0</v>
      </c>
      <c r="EC22" s="37" t="n">
        <f aca="false">EC21*③기타_가정!$E$107</f>
        <v>0</v>
      </c>
      <c r="ED22" s="37" t="n">
        <f aca="false">ED21*③기타_가정!$E$107</f>
        <v>0</v>
      </c>
      <c r="EE22" s="37" t="n">
        <f aca="false">EE21*③기타_가정!$E$107</f>
        <v>0</v>
      </c>
      <c r="EF22" s="37" t="n">
        <f aca="false">EF21*③기타_가정!$E$107</f>
        <v>0</v>
      </c>
    </row>
    <row r="23" customFormat="false" ht="15" hidden="false" customHeight="false" outlineLevel="0" collapsed="false">
      <c r="A23" s="36" t="s">
        <v>578</v>
      </c>
      <c r="B23" s="278" t="s">
        <v>21</v>
      </c>
      <c r="C23" s="279" t="n">
        <f aca="false">SUM(E23:EF23)</f>
        <v>0</v>
      </c>
      <c r="E23" s="37" t="n">
        <f aca="false">(E14=1)*③기타_가정!$D$38*③기타_가정!$E$115*③기타_가정!$E$116/1000*(1+③기타_가정!$E$118)^INT((E15-1)/③기타_가정!$E$119)</f>
        <v>0</v>
      </c>
      <c r="F23" s="37" t="n">
        <f aca="false">(F14=1)*③기타_가정!$D$38*③기타_가정!$E$115*③기타_가정!$E$116/1000*(1+③기타_가정!$E$118)^INT((F15-1)/③기타_가정!$E$119)</f>
        <v>0</v>
      </c>
      <c r="G23" s="37" t="n">
        <f aca="false">(G14=1)*③기타_가정!$D$38*③기타_가정!$E$115*③기타_가정!$E$116/1000*(1+③기타_가정!$E$118)^INT((G15-1)/③기타_가정!$E$119)</f>
        <v>0</v>
      </c>
      <c r="H23" s="37" t="n">
        <f aca="false">(H14=1)*③기타_가정!$D$38*③기타_가정!$E$115*③기타_가정!$E$116/1000*(1+③기타_가정!$E$118)^INT((H15-1)/③기타_가정!$E$119)</f>
        <v>0</v>
      </c>
      <c r="I23" s="37" t="n">
        <f aca="false">(I14=1)*③기타_가정!$D$38*③기타_가정!$E$115*③기타_가정!$E$116/1000*(1+③기타_가정!$E$118)^INT((I15-1)/③기타_가정!$E$119)</f>
        <v>0</v>
      </c>
      <c r="J23" s="37" t="n">
        <f aca="false">(J14=1)*③기타_가정!$D$38*③기타_가정!$E$115*③기타_가정!$E$116/1000*(1+③기타_가정!$E$118)^INT((J15-1)/③기타_가정!$E$119)</f>
        <v>0</v>
      </c>
      <c r="K23" s="37" t="n">
        <f aca="false">(K14=1)*③기타_가정!$D$38*③기타_가정!$E$115*③기타_가정!$E$116/1000*(1+③기타_가정!$E$118)^INT((K15-1)/③기타_가정!$E$119)</f>
        <v>0</v>
      </c>
      <c r="L23" s="37" t="n">
        <f aca="false">(L14=1)*③기타_가정!$D$38*③기타_가정!$E$115*③기타_가정!$E$116/1000*(1+③기타_가정!$E$118)^INT((L15-1)/③기타_가정!$E$119)</f>
        <v>0</v>
      </c>
      <c r="M23" s="37" t="n">
        <f aca="false">(M14=1)*③기타_가정!$D$38*③기타_가정!$E$115*③기타_가정!$E$116/1000*(1+③기타_가정!$E$118)^INT((M15-1)/③기타_가정!$E$119)</f>
        <v>0</v>
      </c>
      <c r="N23" s="37" t="n">
        <f aca="false">(N14=1)*③기타_가정!$D$38*③기타_가정!$E$115*③기타_가정!$E$116/1000*(1+③기타_가정!$E$118)^INT((N15-1)/③기타_가정!$E$119)</f>
        <v>0</v>
      </c>
      <c r="O23" s="37" t="n">
        <f aca="false">(O14=1)*③기타_가정!$D$38*③기타_가정!$E$115*③기타_가정!$E$116/1000*(1+③기타_가정!$E$118)^INT((O15-1)/③기타_가정!$E$119)</f>
        <v>0</v>
      </c>
      <c r="P23" s="37" t="n">
        <f aca="false">(P14=1)*③기타_가정!$D$38*③기타_가정!$E$115*③기타_가정!$E$116/1000*(1+③기타_가정!$E$118)^INT((P15-1)/③기타_가정!$E$119)</f>
        <v>0</v>
      </c>
      <c r="Q23" s="37" t="n">
        <f aca="false">(Q14=1)*③기타_가정!$D$38*③기타_가정!$E$115*③기타_가정!$E$116/1000*(1+③기타_가정!$E$118)^INT((Q15-1)/③기타_가정!$E$119)</f>
        <v>0</v>
      </c>
      <c r="R23" s="37" t="n">
        <f aca="false">(R14=1)*③기타_가정!$D$38*③기타_가정!$E$115*③기타_가정!$E$116/1000*(1+③기타_가정!$E$118)^INT((R15-1)/③기타_가정!$E$119)</f>
        <v>0</v>
      </c>
      <c r="S23" s="37" t="n">
        <f aca="false">(S14=1)*③기타_가정!$D$38*③기타_가정!$E$115*③기타_가정!$E$116/1000*(1+③기타_가정!$E$118)^INT((S15-1)/③기타_가정!$E$119)</f>
        <v>0</v>
      </c>
      <c r="T23" s="37" t="n">
        <f aca="false">(T14=1)*③기타_가정!$D$38*③기타_가정!$E$115*③기타_가정!$E$116/1000*(1+③기타_가정!$E$118)^INT((T15-1)/③기타_가정!$E$119)</f>
        <v>0</v>
      </c>
      <c r="U23" s="37" t="n">
        <f aca="false">(U14=1)*③기타_가정!$D$38*③기타_가정!$E$115*③기타_가정!$E$116/1000*(1+③기타_가정!$E$118)^INT((U15-1)/③기타_가정!$E$119)</f>
        <v>0</v>
      </c>
      <c r="V23" s="37" t="n">
        <f aca="false">(V14=1)*③기타_가정!$D$38*③기타_가정!$E$115*③기타_가정!$E$116/1000*(1+③기타_가정!$E$118)^INT((V15-1)/③기타_가정!$E$119)</f>
        <v>0</v>
      </c>
      <c r="W23" s="37" t="n">
        <f aca="false">(W14=1)*③기타_가정!$D$38*③기타_가정!$E$115*③기타_가정!$E$116/1000*(1+③기타_가정!$E$118)^INT((W15-1)/③기타_가정!$E$119)</f>
        <v>0</v>
      </c>
      <c r="X23" s="37" t="n">
        <f aca="false">(X14=1)*③기타_가정!$D$38*③기타_가정!$E$115*③기타_가정!$E$116/1000*(1+③기타_가정!$E$118)^INT((X15-1)/③기타_가정!$E$119)</f>
        <v>0</v>
      </c>
      <c r="Y23" s="37" t="n">
        <f aca="false">(Y14=1)*③기타_가정!$D$38*③기타_가정!$E$115*③기타_가정!$E$116/1000*(1+③기타_가정!$E$118)^INT((Y15-1)/③기타_가정!$E$119)</f>
        <v>0</v>
      </c>
      <c r="Z23" s="37" t="n">
        <f aca="false">(Z14=1)*③기타_가정!$D$38*③기타_가정!$E$115*③기타_가정!$E$116/1000*(1+③기타_가정!$E$118)^INT((Z15-1)/③기타_가정!$E$119)</f>
        <v>0</v>
      </c>
      <c r="AA23" s="37" t="n">
        <f aca="false">(AA14=1)*③기타_가정!$D$38*③기타_가정!$E$115*③기타_가정!$E$116/1000*(1+③기타_가정!$E$118)^INT((AA15-1)/③기타_가정!$E$119)</f>
        <v>0</v>
      </c>
      <c r="AB23" s="37" t="n">
        <f aca="false">(AB14=1)*③기타_가정!$D$38*③기타_가정!$E$115*③기타_가정!$E$116/1000*(1+③기타_가정!$E$118)^INT((AB15-1)/③기타_가정!$E$119)</f>
        <v>0</v>
      </c>
      <c r="AC23" s="37" t="n">
        <f aca="false">(AC14=1)*③기타_가정!$D$38*③기타_가정!$E$115*③기타_가정!$E$116/1000*(1+③기타_가정!$E$118)^INT((AC15-1)/③기타_가정!$E$119)</f>
        <v>0</v>
      </c>
      <c r="AD23" s="37" t="n">
        <f aca="false">(AD14=1)*③기타_가정!$D$38*③기타_가정!$E$115*③기타_가정!$E$116/1000*(1+③기타_가정!$E$118)^INT((AD15-1)/③기타_가정!$E$119)</f>
        <v>0</v>
      </c>
      <c r="AE23" s="37" t="n">
        <f aca="false">(AE14=1)*③기타_가정!$D$38*③기타_가정!$E$115*③기타_가정!$E$116/1000*(1+③기타_가정!$E$118)^INT((AE15-1)/③기타_가정!$E$119)</f>
        <v>0</v>
      </c>
      <c r="AF23" s="37" t="n">
        <f aca="false">(AF14=1)*③기타_가정!$D$38*③기타_가정!$E$115*③기타_가정!$E$116/1000*(1+③기타_가정!$E$118)^INT((AF15-1)/③기타_가정!$E$119)</f>
        <v>0</v>
      </c>
      <c r="AG23" s="37" t="n">
        <f aca="false">(AG14=1)*③기타_가정!$D$38*③기타_가정!$E$115*③기타_가정!$E$116/1000*(1+③기타_가정!$E$118)^INT((AG15-1)/③기타_가정!$E$119)</f>
        <v>0</v>
      </c>
      <c r="AH23" s="37" t="n">
        <f aca="false">(AH14=1)*③기타_가정!$D$38*③기타_가정!$E$115*③기타_가정!$E$116/1000*(1+③기타_가정!$E$118)^INT((AH15-1)/③기타_가정!$E$119)</f>
        <v>0</v>
      </c>
      <c r="AI23" s="37" t="n">
        <f aca="false">(AI14=1)*③기타_가정!$D$38*③기타_가정!$E$115*③기타_가정!$E$116/1000*(1+③기타_가정!$E$118)^INT((AI15-1)/③기타_가정!$E$119)</f>
        <v>0</v>
      </c>
      <c r="AJ23" s="37" t="n">
        <f aca="false">(AJ14=1)*③기타_가정!$D$38*③기타_가정!$E$115*③기타_가정!$E$116/1000*(1+③기타_가정!$E$118)^INT((AJ15-1)/③기타_가정!$E$119)</f>
        <v>0</v>
      </c>
      <c r="AK23" s="37" t="n">
        <f aca="false">(AK14=1)*③기타_가정!$D$38*③기타_가정!$E$115*③기타_가정!$E$116/1000*(1+③기타_가정!$E$118)^INT((AK15-1)/③기타_가정!$E$119)</f>
        <v>0</v>
      </c>
      <c r="AL23" s="37" t="n">
        <f aca="false">(AL14=1)*③기타_가정!$D$38*③기타_가정!$E$115*③기타_가정!$E$116/1000*(1+③기타_가정!$E$118)^INT((AL15-1)/③기타_가정!$E$119)</f>
        <v>0</v>
      </c>
      <c r="AM23" s="37" t="n">
        <f aca="false">(AM14=1)*③기타_가정!$D$38*③기타_가정!$E$115*③기타_가정!$E$116/1000*(1+③기타_가정!$E$118)^INT((AM15-1)/③기타_가정!$E$119)</f>
        <v>0</v>
      </c>
      <c r="AN23" s="37" t="n">
        <f aca="false">(AN14=1)*③기타_가정!$D$38*③기타_가정!$E$115*③기타_가정!$E$116/1000*(1+③기타_가정!$E$118)^INT((AN15-1)/③기타_가정!$E$119)</f>
        <v>0</v>
      </c>
      <c r="AO23" s="37" t="n">
        <f aca="false">(AO14=1)*③기타_가정!$D$38*③기타_가정!$E$115*③기타_가정!$E$116/1000*(1+③기타_가정!$E$118)^INT((AO15-1)/③기타_가정!$E$119)</f>
        <v>0</v>
      </c>
      <c r="AP23" s="37" t="n">
        <f aca="false">(AP14=1)*③기타_가정!$D$38*③기타_가정!$E$115*③기타_가정!$E$116/1000*(1+③기타_가정!$E$118)^INT((AP15-1)/③기타_가정!$E$119)</f>
        <v>0</v>
      </c>
      <c r="AQ23" s="37" t="n">
        <f aca="false">(AQ14=1)*③기타_가정!$D$38*③기타_가정!$E$115*③기타_가정!$E$116/1000*(1+③기타_가정!$E$118)^INT((AQ15-1)/③기타_가정!$E$119)</f>
        <v>0</v>
      </c>
      <c r="AR23" s="37" t="n">
        <f aca="false">(AR14=1)*③기타_가정!$D$38*③기타_가정!$E$115*③기타_가정!$E$116/1000*(1+③기타_가정!$E$118)^INT((AR15-1)/③기타_가정!$E$119)</f>
        <v>0</v>
      </c>
      <c r="AS23" s="37" t="n">
        <f aca="false">(AS14=1)*③기타_가정!$D$38*③기타_가정!$E$115*③기타_가정!$E$116/1000*(1+③기타_가정!$E$118)^INT((AS15-1)/③기타_가정!$E$119)</f>
        <v>0</v>
      </c>
      <c r="AT23" s="37" t="n">
        <f aca="false">(AT14=1)*③기타_가정!$D$38*③기타_가정!$E$115*③기타_가정!$E$116/1000*(1+③기타_가정!$E$118)^INT((AT15-1)/③기타_가정!$E$119)</f>
        <v>0</v>
      </c>
      <c r="AU23" s="37" t="n">
        <f aca="false">(AU14=1)*③기타_가정!$D$38*③기타_가정!$E$115*③기타_가정!$E$116/1000*(1+③기타_가정!$E$118)^INT((AU15-1)/③기타_가정!$E$119)</f>
        <v>0</v>
      </c>
      <c r="AV23" s="37" t="n">
        <f aca="false">(AV14=1)*③기타_가정!$D$38*③기타_가정!$E$115*③기타_가정!$E$116/1000*(1+③기타_가정!$E$118)^INT((AV15-1)/③기타_가정!$E$119)</f>
        <v>0</v>
      </c>
      <c r="AW23" s="37" t="n">
        <f aca="false">(AW14=1)*③기타_가정!$D$38*③기타_가정!$E$115*③기타_가정!$E$116/1000*(1+③기타_가정!$E$118)^INT((AW15-1)/③기타_가정!$E$119)</f>
        <v>0</v>
      </c>
      <c r="AX23" s="37" t="n">
        <f aca="false">(AX14=1)*③기타_가정!$D$38*③기타_가정!$E$115*③기타_가정!$E$116/1000*(1+③기타_가정!$E$118)^INT((AX15-1)/③기타_가정!$E$119)</f>
        <v>0</v>
      </c>
      <c r="AY23" s="37" t="n">
        <f aca="false">(AY14=1)*③기타_가정!$D$38*③기타_가정!$E$115*③기타_가정!$E$116/1000*(1+③기타_가정!$E$118)^INT((AY15-1)/③기타_가정!$E$119)</f>
        <v>0</v>
      </c>
      <c r="AZ23" s="37" t="n">
        <f aca="false">(AZ14=1)*③기타_가정!$D$38*③기타_가정!$E$115*③기타_가정!$E$116/1000*(1+③기타_가정!$E$118)^INT((AZ15-1)/③기타_가정!$E$119)</f>
        <v>0</v>
      </c>
      <c r="BA23" s="37" t="n">
        <f aca="false">(BA14=1)*③기타_가정!$D$38*③기타_가정!$E$115*③기타_가정!$E$116/1000*(1+③기타_가정!$E$118)^INT((BA15-1)/③기타_가정!$E$119)</f>
        <v>0</v>
      </c>
      <c r="BB23" s="37" t="n">
        <f aca="false">(BB14=1)*③기타_가정!$D$38*③기타_가정!$E$115*③기타_가정!$E$116/1000*(1+③기타_가정!$E$118)^INT((BB15-1)/③기타_가정!$E$119)</f>
        <v>0</v>
      </c>
      <c r="BC23" s="37" t="n">
        <f aca="false">(BC14=1)*③기타_가정!$D$38*③기타_가정!$E$115*③기타_가정!$E$116/1000*(1+③기타_가정!$E$118)^INT((BC15-1)/③기타_가정!$E$119)</f>
        <v>0</v>
      </c>
      <c r="BD23" s="37" t="n">
        <f aca="false">(BD14=1)*③기타_가정!$D$38*③기타_가정!$E$115*③기타_가정!$E$116/1000*(1+③기타_가정!$E$118)^INT((BD15-1)/③기타_가정!$E$119)</f>
        <v>0</v>
      </c>
      <c r="BE23" s="37" t="n">
        <f aca="false">(BE14=1)*③기타_가정!$D$38*③기타_가정!$E$115*③기타_가정!$E$116/1000*(1+③기타_가정!$E$118)^INT((BE15-1)/③기타_가정!$E$119)</f>
        <v>0</v>
      </c>
      <c r="BF23" s="37" t="n">
        <f aca="false">(BF14=1)*③기타_가정!$D$38*③기타_가정!$E$115*③기타_가정!$E$116/1000*(1+③기타_가정!$E$118)^INT((BF15-1)/③기타_가정!$E$119)</f>
        <v>0</v>
      </c>
      <c r="BG23" s="37" t="n">
        <f aca="false">(BG14=1)*③기타_가정!$D$38*③기타_가정!$E$115*③기타_가정!$E$116/1000*(1+③기타_가정!$E$118)^INT((BG15-1)/③기타_가정!$E$119)</f>
        <v>0</v>
      </c>
      <c r="BH23" s="37" t="n">
        <f aca="false">(BH14=1)*③기타_가정!$D$38*③기타_가정!$E$115*③기타_가정!$E$116/1000*(1+③기타_가정!$E$118)^INT((BH15-1)/③기타_가정!$E$119)</f>
        <v>0</v>
      </c>
      <c r="BI23" s="37" t="n">
        <f aca="false">(BI14=1)*③기타_가정!$D$38*③기타_가정!$E$115*③기타_가정!$E$116/1000*(1+③기타_가정!$E$118)^INT((BI15-1)/③기타_가정!$E$119)</f>
        <v>0</v>
      </c>
      <c r="BJ23" s="37" t="n">
        <f aca="false">(BJ14=1)*③기타_가정!$D$38*③기타_가정!$E$115*③기타_가정!$E$116/1000*(1+③기타_가정!$E$118)^INT((BJ15-1)/③기타_가정!$E$119)</f>
        <v>0</v>
      </c>
      <c r="BK23" s="37" t="n">
        <f aca="false">(BK14=1)*③기타_가정!$D$38*③기타_가정!$E$115*③기타_가정!$E$116/1000*(1+③기타_가정!$E$118)^INT((BK15-1)/③기타_가정!$E$119)</f>
        <v>0</v>
      </c>
      <c r="BL23" s="37" t="n">
        <f aca="false">(BL14=1)*③기타_가정!$D$38*③기타_가정!$E$115*③기타_가정!$E$116/1000*(1+③기타_가정!$E$118)^INT((BL15-1)/③기타_가정!$E$119)</f>
        <v>0</v>
      </c>
      <c r="BM23" s="37" t="n">
        <f aca="false">(BM14=1)*③기타_가정!$D$38*③기타_가정!$E$115*③기타_가정!$E$116/1000*(1+③기타_가정!$E$118)^INT((BM15-1)/③기타_가정!$E$119)</f>
        <v>0</v>
      </c>
      <c r="BN23" s="37" t="n">
        <f aca="false">(BN14=1)*③기타_가정!$D$38*③기타_가정!$E$115*③기타_가정!$E$116/1000*(1+③기타_가정!$E$118)^INT((BN15-1)/③기타_가정!$E$119)</f>
        <v>0</v>
      </c>
      <c r="BO23" s="37" t="n">
        <f aca="false">(BO14=1)*③기타_가정!$D$38*③기타_가정!$E$115*③기타_가정!$E$116/1000*(1+③기타_가정!$E$118)^INT((BO15-1)/③기타_가정!$E$119)</f>
        <v>0</v>
      </c>
      <c r="BP23" s="37" t="n">
        <f aca="false">(BP14=1)*③기타_가정!$D$38*③기타_가정!$E$115*③기타_가정!$E$116/1000*(1+③기타_가정!$E$118)^INT((BP15-1)/③기타_가정!$E$119)</f>
        <v>0</v>
      </c>
      <c r="BQ23" s="37" t="n">
        <f aca="false">(BQ14=1)*③기타_가정!$D$38*③기타_가정!$E$115*③기타_가정!$E$116/1000*(1+③기타_가정!$E$118)^INT((BQ15-1)/③기타_가정!$E$119)</f>
        <v>0</v>
      </c>
      <c r="BR23" s="37" t="n">
        <f aca="false">(BR14=1)*③기타_가정!$D$38*③기타_가정!$E$115*③기타_가정!$E$116/1000*(1+③기타_가정!$E$118)^INT((BR15-1)/③기타_가정!$E$119)</f>
        <v>0</v>
      </c>
      <c r="BS23" s="37" t="n">
        <f aca="false">(BS14=1)*③기타_가정!$D$38*③기타_가정!$E$115*③기타_가정!$E$116/1000*(1+③기타_가정!$E$118)^INT((BS15-1)/③기타_가정!$E$119)</f>
        <v>0</v>
      </c>
      <c r="BT23" s="37" t="n">
        <f aca="false">(BT14=1)*③기타_가정!$D$38*③기타_가정!$E$115*③기타_가정!$E$116/1000*(1+③기타_가정!$E$118)^INT((BT15-1)/③기타_가정!$E$119)</f>
        <v>0</v>
      </c>
      <c r="BU23" s="37" t="n">
        <f aca="false">(BU14=1)*③기타_가정!$D$38*③기타_가정!$E$115*③기타_가정!$E$116/1000*(1+③기타_가정!$E$118)^INT((BU15-1)/③기타_가정!$E$119)</f>
        <v>0</v>
      </c>
      <c r="BV23" s="37" t="n">
        <f aca="false">(BV14=1)*③기타_가정!$D$38*③기타_가정!$E$115*③기타_가정!$E$116/1000*(1+③기타_가정!$E$118)^INT((BV15-1)/③기타_가정!$E$119)</f>
        <v>0</v>
      </c>
      <c r="BW23" s="37" t="n">
        <f aca="false">(BW14=1)*③기타_가정!$D$38*③기타_가정!$E$115*③기타_가정!$E$116/1000*(1+③기타_가정!$E$118)^INT((BW15-1)/③기타_가정!$E$119)</f>
        <v>0</v>
      </c>
      <c r="BX23" s="37" t="n">
        <f aca="false">(BX14=1)*③기타_가정!$D$38*③기타_가정!$E$115*③기타_가정!$E$116/1000*(1+③기타_가정!$E$118)^INT((BX15-1)/③기타_가정!$E$119)</f>
        <v>0</v>
      </c>
      <c r="BY23" s="37" t="n">
        <f aca="false">(BY14=1)*③기타_가정!$D$38*③기타_가정!$E$115*③기타_가정!$E$116/1000*(1+③기타_가정!$E$118)^INT((BY15-1)/③기타_가정!$E$119)</f>
        <v>0</v>
      </c>
      <c r="BZ23" s="37" t="n">
        <f aca="false">(BZ14=1)*③기타_가정!$D$38*③기타_가정!$E$115*③기타_가정!$E$116/1000*(1+③기타_가정!$E$118)^INT((BZ15-1)/③기타_가정!$E$119)</f>
        <v>0</v>
      </c>
      <c r="CA23" s="37" t="n">
        <f aca="false">(CA14=1)*③기타_가정!$D$38*③기타_가정!$E$115*③기타_가정!$E$116/1000*(1+③기타_가정!$E$118)^INT((CA15-1)/③기타_가정!$E$119)</f>
        <v>0</v>
      </c>
      <c r="CB23" s="37" t="n">
        <f aca="false">(CB14=1)*③기타_가정!$D$38*③기타_가정!$E$115*③기타_가정!$E$116/1000*(1+③기타_가정!$E$118)^INT((CB15-1)/③기타_가정!$E$119)</f>
        <v>0</v>
      </c>
      <c r="CC23" s="37" t="n">
        <f aca="false">(CC14=1)*③기타_가정!$D$38*③기타_가정!$E$115*③기타_가정!$E$116/1000*(1+③기타_가정!$E$118)^INT((CC15-1)/③기타_가정!$E$119)</f>
        <v>0</v>
      </c>
      <c r="CD23" s="37" t="n">
        <f aca="false">(CD14=1)*③기타_가정!$D$38*③기타_가정!$E$115*③기타_가정!$E$116/1000*(1+③기타_가정!$E$118)^INT((CD15-1)/③기타_가정!$E$119)</f>
        <v>0</v>
      </c>
      <c r="CE23" s="37" t="n">
        <f aca="false">(CE14=1)*③기타_가정!$D$38*③기타_가정!$E$115*③기타_가정!$E$116/1000*(1+③기타_가정!$E$118)^INT((CE15-1)/③기타_가정!$E$119)</f>
        <v>0</v>
      </c>
      <c r="CF23" s="37" t="n">
        <f aca="false">(CF14=1)*③기타_가정!$D$38*③기타_가정!$E$115*③기타_가정!$E$116/1000*(1+③기타_가정!$E$118)^INT((CF15-1)/③기타_가정!$E$119)</f>
        <v>0</v>
      </c>
      <c r="CG23" s="37" t="n">
        <f aca="false">(CG14=1)*③기타_가정!$D$38*③기타_가정!$E$115*③기타_가정!$E$116/1000*(1+③기타_가정!$E$118)^INT((CG15-1)/③기타_가정!$E$119)</f>
        <v>0</v>
      </c>
      <c r="CH23" s="37" t="n">
        <f aca="false">(CH14=1)*③기타_가정!$D$38*③기타_가정!$E$115*③기타_가정!$E$116/1000*(1+③기타_가정!$E$118)^INT((CH15-1)/③기타_가정!$E$119)</f>
        <v>0</v>
      </c>
      <c r="CI23" s="37" t="n">
        <f aca="false">(CI14=1)*③기타_가정!$D$38*③기타_가정!$E$115*③기타_가정!$E$116/1000*(1+③기타_가정!$E$118)^INT((CI15-1)/③기타_가정!$E$119)</f>
        <v>0</v>
      </c>
      <c r="CJ23" s="37" t="n">
        <f aca="false">(CJ14=1)*③기타_가정!$D$38*③기타_가정!$E$115*③기타_가정!$E$116/1000*(1+③기타_가정!$E$118)^INT((CJ15-1)/③기타_가정!$E$119)</f>
        <v>0</v>
      </c>
      <c r="CK23" s="37" t="n">
        <f aca="false">(CK14=1)*③기타_가정!$D$38*③기타_가정!$E$115*③기타_가정!$E$116/1000*(1+③기타_가정!$E$118)^INT((CK15-1)/③기타_가정!$E$119)</f>
        <v>0</v>
      </c>
      <c r="CL23" s="37" t="n">
        <f aca="false">(CL14=1)*③기타_가정!$D$38*③기타_가정!$E$115*③기타_가정!$E$116/1000*(1+③기타_가정!$E$118)^INT((CL15-1)/③기타_가정!$E$119)</f>
        <v>0</v>
      </c>
      <c r="CM23" s="37" t="n">
        <f aca="false">(CM14=1)*③기타_가정!$D$38*③기타_가정!$E$115*③기타_가정!$E$116/1000*(1+③기타_가정!$E$118)^INT((CM15-1)/③기타_가정!$E$119)</f>
        <v>0</v>
      </c>
      <c r="CN23" s="37" t="n">
        <f aca="false">(CN14=1)*③기타_가정!$D$38*③기타_가정!$E$115*③기타_가정!$E$116/1000*(1+③기타_가정!$E$118)^INT((CN15-1)/③기타_가정!$E$119)</f>
        <v>0</v>
      </c>
      <c r="CO23" s="37" t="n">
        <f aca="false">(CO14=1)*③기타_가정!$D$38*③기타_가정!$E$115*③기타_가정!$E$116/1000*(1+③기타_가정!$E$118)^INT((CO15-1)/③기타_가정!$E$119)</f>
        <v>0</v>
      </c>
      <c r="CP23" s="37" t="n">
        <f aca="false">(CP14=1)*③기타_가정!$D$38*③기타_가정!$E$115*③기타_가정!$E$116/1000*(1+③기타_가정!$E$118)^INT((CP15-1)/③기타_가정!$E$119)</f>
        <v>0</v>
      </c>
      <c r="CQ23" s="37" t="n">
        <f aca="false">(CQ14=1)*③기타_가정!$D$38*③기타_가정!$E$115*③기타_가정!$E$116/1000*(1+③기타_가정!$E$118)^INT((CQ15-1)/③기타_가정!$E$119)</f>
        <v>0</v>
      </c>
      <c r="CR23" s="37" t="n">
        <f aca="false">(CR14=1)*③기타_가정!$D$38*③기타_가정!$E$115*③기타_가정!$E$116/1000*(1+③기타_가정!$E$118)^INT((CR15-1)/③기타_가정!$E$119)</f>
        <v>0</v>
      </c>
      <c r="CS23" s="37" t="n">
        <f aca="false">(CS14=1)*③기타_가정!$D$38*③기타_가정!$E$115*③기타_가정!$E$116/1000*(1+③기타_가정!$E$118)^INT((CS15-1)/③기타_가정!$E$119)</f>
        <v>0</v>
      </c>
      <c r="CT23" s="37" t="n">
        <f aca="false">(CT14=1)*③기타_가정!$D$38*③기타_가정!$E$115*③기타_가정!$E$116/1000*(1+③기타_가정!$E$118)^INT((CT15-1)/③기타_가정!$E$119)</f>
        <v>0</v>
      </c>
      <c r="CU23" s="37" t="n">
        <f aca="false">(CU14=1)*③기타_가정!$D$38*③기타_가정!$E$115*③기타_가정!$E$116/1000*(1+③기타_가정!$E$118)^INT((CU15-1)/③기타_가정!$E$119)</f>
        <v>0</v>
      </c>
      <c r="CV23" s="37" t="n">
        <f aca="false">(CV14=1)*③기타_가정!$D$38*③기타_가정!$E$115*③기타_가정!$E$116/1000*(1+③기타_가정!$E$118)^INT((CV15-1)/③기타_가정!$E$119)</f>
        <v>0</v>
      </c>
      <c r="CW23" s="37" t="n">
        <f aca="false">(CW14=1)*③기타_가정!$D$38*③기타_가정!$E$115*③기타_가정!$E$116/1000*(1+③기타_가정!$E$118)^INT((CW15-1)/③기타_가정!$E$119)</f>
        <v>0</v>
      </c>
      <c r="CX23" s="37" t="n">
        <f aca="false">(CX14=1)*③기타_가정!$D$38*③기타_가정!$E$115*③기타_가정!$E$116/1000*(1+③기타_가정!$E$118)^INT((CX15-1)/③기타_가정!$E$119)</f>
        <v>0</v>
      </c>
      <c r="CY23" s="37" t="n">
        <f aca="false">(CY14=1)*③기타_가정!$D$38*③기타_가정!$E$115*③기타_가정!$E$116/1000*(1+③기타_가정!$E$118)^INT((CY15-1)/③기타_가정!$E$119)</f>
        <v>0</v>
      </c>
      <c r="CZ23" s="37" t="n">
        <f aca="false">(CZ14=1)*③기타_가정!$D$38*③기타_가정!$E$115*③기타_가정!$E$116/1000*(1+③기타_가정!$E$118)^INT((CZ15-1)/③기타_가정!$E$119)</f>
        <v>0</v>
      </c>
      <c r="DA23" s="37" t="n">
        <f aca="false">(DA14=1)*③기타_가정!$D$38*③기타_가정!$E$115*③기타_가정!$E$116/1000*(1+③기타_가정!$E$118)^INT((DA15-1)/③기타_가정!$E$119)</f>
        <v>0</v>
      </c>
      <c r="DB23" s="37" t="n">
        <f aca="false">(DB14=1)*③기타_가정!$D$38*③기타_가정!$E$115*③기타_가정!$E$116/1000*(1+③기타_가정!$E$118)^INT((DB15-1)/③기타_가정!$E$119)</f>
        <v>0</v>
      </c>
      <c r="DC23" s="37" t="n">
        <f aca="false">(DC14=1)*③기타_가정!$D$38*③기타_가정!$E$115*③기타_가정!$E$116/1000*(1+③기타_가정!$E$118)^INT((DC15-1)/③기타_가정!$E$119)</f>
        <v>0</v>
      </c>
      <c r="DD23" s="37" t="n">
        <f aca="false">(DD14=1)*③기타_가정!$D$38*③기타_가정!$E$115*③기타_가정!$E$116/1000*(1+③기타_가정!$E$118)^INT((DD15-1)/③기타_가정!$E$119)</f>
        <v>0</v>
      </c>
      <c r="DE23" s="37" t="n">
        <f aca="false">(DE14=1)*③기타_가정!$D$38*③기타_가정!$E$115*③기타_가정!$E$116/1000*(1+③기타_가정!$E$118)^INT((DE15-1)/③기타_가정!$E$119)</f>
        <v>0</v>
      </c>
      <c r="DF23" s="37" t="n">
        <f aca="false">(DF14=1)*③기타_가정!$D$38*③기타_가정!$E$115*③기타_가정!$E$116/1000*(1+③기타_가정!$E$118)^INT((DF15-1)/③기타_가정!$E$119)</f>
        <v>0</v>
      </c>
      <c r="DG23" s="37" t="n">
        <f aca="false">(DG14=1)*③기타_가정!$D$38*③기타_가정!$E$115*③기타_가정!$E$116/1000*(1+③기타_가정!$E$118)^INT((DG15-1)/③기타_가정!$E$119)</f>
        <v>0</v>
      </c>
      <c r="DH23" s="37" t="n">
        <f aca="false">(DH14=1)*③기타_가정!$D$38*③기타_가정!$E$115*③기타_가정!$E$116/1000*(1+③기타_가정!$E$118)^INT((DH15-1)/③기타_가정!$E$119)</f>
        <v>0</v>
      </c>
      <c r="DI23" s="37" t="n">
        <f aca="false">(DI14=1)*③기타_가정!$D$38*③기타_가정!$E$115*③기타_가정!$E$116/1000*(1+③기타_가정!$E$118)^INT((DI15-1)/③기타_가정!$E$119)</f>
        <v>0</v>
      </c>
      <c r="DJ23" s="37" t="n">
        <f aca="false">(DJ14=1)*③기타_가정!$D$38*③기타_가정!$E$115*③기타_가정!$E$116/1000*(1+③기타_가정!$E$118)^INT((DJ15-1)/③기타_가정!$E$119)</f>
        <v>0</v>
      </c>
      <c r="DK23" s="37" t="n">
        <f aca="false">(DK14=1)*③기타_가정!$D$38*③기타_가정!$E$115*③기타_가정!$E$116/1000*(1+③기타_가정!$E$118)^INT((DK15-1)/③기타_가정!$E$119)</f>
        <v>0</v>
      </c>
      <c r="DL23" s="37" t="n">
        <f aca="false">(DL14=1)*③기타_가정!$D$38*③기타_가정!$E$115*③기타_가정!$E$116/1000*(1+③기타_가정!$E$118)^INT((DL15-1)/③기타_가정!$E$119)</f>
        <v>0</v>
      </c>
      <c r="DM23" s="37" t="n">
        <f aca="false">(DM14=1)*③기타_가정!$D$38*③기타_가정!$E$115*③기타_가정!$E$116/1000*(1+③기타_가정!$E$118)^INT((DM15-1)/③기타_가정!$E$119)</f>
        <v>0</v>
      </c>
      <c r="DN23" s="37" t="n">
        <f aca="false">(DN14=1)*③기타_가정!$D$38*③기타_가정!$E$115*③기타_가정!$E$116/1000*(1+③기타_가정!$E$118)^INT((DN15-1)/③기타_가정!$E$119)</f>
        <v>0</v>
      </c>
      <c r="DO23" s="37" t="n">
        <f aca="false">(DO14=1)*③기타_가정!$D$38*③기타_가정!$E$115*③기타_가정!$E$116/1000*(1+③기타_가정!$E$118)^INT((DO15-1)/③기타_가정!$E$119)</f>
        <v>0</v>
      </c>
      <c r="DP23" s="37" t="n">
        <f aca="false">(DP14=1)*③기타_가정!$D$38*③기타_가정!$E$115*③기타_가정!$E$116/1000*(1+③기타_가정!$E$118)^INT((DP15-1)/③기타_가정!$E$119)</f>
        <v>0</v>
      </c>
      <c r="DQ23" s="37" t="n">
        <f aca="false">(DQ14=1)*③기타_가정!$D$38*③기타_가정!$E$115*③기타_가정!$E$116/1000*(1+③기타_가정!$E$118)^INT((DQ15-1)/③기타_가정!$E$119)</f>
        <v>0</v>
      </c>
      <c r="DR23" s="37" t="n">
        <f aca="false">(DR14=1)*③기타_가정!$D$38*③기타_가정!$E$115*③기타_가정!$E$116/1000*(1+③기타_가정!$E$118)^INT((DR15-1)/③기타_가정!$E$119)</f>
        <v>0</v>
      </c>
      <c r="DS23" s="37" t="n">
        <f aca="false">(DS14=1)*③기타_가정!$D$38*③기타_가정!$E$115*③기타_가정!$E$116/1000*(1+③기타_가정!$E$118)^INT((DS15-1)/③기타_가정!$E$119)</f>
        <v>0</v>
      </c>
      <c r="DT23" s="37" t="n">
        <f aca="false">(DT14=1)*③기타_가정!$D$38*③기타_가정!$E$115*③기타_가정!$E$116/1000*(1+③기타_가정!$E$118)^INT((DT15-1)/③기타_가정!$E$119)</f>
        <v>0</v>
      </c>
      <c r="DU23" s="37" t="n">
        <f aca="false">(DU14=1)*③기타_가정!$D$38*③기타_가정!$E$115*③기타_가정!$E$116/1000*(1+③기타_가정!$E$118)^INT((DU15-1)/③기타_가정!$E$119)</f>
        <v>0</v>
      </c>
      <c r="DV23" s="37" t="n">
        <f aca="false">(DV14=1)*③기타_가정!$D$38*③기타_가정!$E$115*③기타_가정!$E$116/1000*(1+③기타_가정!$E$118)^INT((DV15-1)/③기타_가정!$E$119)</f>
        <v>0</v>
      </c>
      <c r="DW23" s="37" t="n">
        <f aca="false">(DW14=1)*③기타_가정!$D$38*③기타_가정!$E$115*③기타_가정!$E$116/1000*(1+③기타_가정!$E$118)^INT((DW15-1)/③기타_가정!$E$119)</f>
        <v>0</v>
      </c>
      <c r="DX23" s="37" t="n">
        <f aca="false">(DX14=1)*③기타_가정!$D$38*③기타_가정!$E$115*③기타_가정!$E$116/1000*(1+③기타_가정!$E$118)^INT((DX15-1)/③기타_가정!$E$119)</f>
        <v>0</v>
      </c>
      <c r="DY23" s="37" t="n">
        <f aca="false">(DY14=1)*③기타_가정!$D$38*③기타_가정!$E$115*③기타_가정!$E$116/1000*(1+③기타_가정!$E$118)^INT((DY15-1)/③기타_가정!$E$119)</f>
        <v>0</v>
      </c>
      <c r="DZ23" s="37" t="n">
        <f aca="false">(DZ14=1)*③기타_가정!$D$38*③기타_가정!$E$115*③기타_가정!$E$116/1000*(1+③기타_가정!$E$118)^INT((DZ15-1)/③기타_가정!$E$119)</f>
        <v>0</v>
      </c>
      <c r="EA23" s="37" t="n">
        <f aca="false">(EA14=1)*③기타_가정!$D$38*③기타_가정!$E$115*③기타_가정!$E$116/1000*(1+③기타_가정!$E$118)^INT((EA15-1)/③기타_가정!$E$119)</f>
        <v>0</v>
      </c>
      <c r="EB23" s="37" t="n">
        <f aca="false">(EB14=1)*③기타_가정!$D$38*③기타_가정!$E$115*③기타_가정!$E$116/1000*(1+③기타_가정!$E$118)^INT((EB15-1)/③기타_가정!$E$119)</f>
        <v>0</v>
      </c>
      <c r="EC23" s="37" t="n">
        <f aca="false">(EC14=1)*③기타_가정!$D$38*③기타_가정!$E$115*③기타_가정!$E$116/1000*(1+③기타_가정!$E$118)^INT((EC15-1)/③기타_가정!$E$119)</f>
        <v>0</v>
      </c>
      <c r="ED23" s="37" t="n">
        <f aca="false">(ED14=1)*③기타_가정!$D$38*③기타_가정!$E$115*③기타_가정!$E$116/1000*(1+③기타_가정!$E$118)^INT((ED15-1)/③기타_가정!$E$119)</f>
        <v>0</v>
      </c>
      <c r="EE23" s="37" t="n">
        <f aca="false">(EE14=1)*③기타_가정!$D$38*③기타_가정!$E$115*③기타_가정!$E$116/1000*(1+③기타_가정!$E$118)^INT((EE15-1)/③기타_가정!$E$119)</f>
        <v>0</v>
      </c>
      <c r="EF23" s="37" t="n">
        <f aca="false">(EF14=1)*③기타_가정!$D$38*③기타_가정!$E$115*③기타_가정!$E$116/1000*(1+③기타_가정!$E$118)^INT((EF15-1)/③기타_가정!$E$119)</f>
        <v>0</v>
      </c>
    </row>
    <row r="24" customFormat="false" ht="15" hidden="false" customHeight="false" outlineLevel="0" collapsed="false">
      <c r="A24" s="36" t="s">
        <v>579</v>
      </c>
      <c r="B24" s="278" t="s">
        <v>21</v>
      </c>
      <c r="C24" s="279" t="n">
        <f aca="false">SUM(E24:EF24)</f>
        <v>97070.5304746161</v>
      </c>
      <c r="E24" s="37" t="n">
        <f aca="false">(E14=1)*③기타_가정!$E$38*③기타_가정!$G$129*CHOOSE(MIN(MAX(E16,1),3),③기타_가정!$E$136,③기타_가정!$E$137,③기타_가정!$E$138)*E18/1000000*(1+③기타_가정!$E$132)^(MAX(E16,1)-1)</f>
        <v>0</v>
      </c>
      <c r="F24" s="37" t="n">
        <f aca="false">(F14=1)*③기타_가정!$E$38*③기타_가정!$G$129*CHOOSE(MIN(MAX(F16,1),3),③기타_가정!$E$136,③기타_가정!$E$137,③기타_가정!$E$138)*F18/1000000*(1+③기타_가정!$E$132)^(MAX(F16,1)-1)</f>
        <v>0</v>
      </c>
      <c r="G24" s="37" t="n">
        <f aca="false">(G14=1)*③기타_가정!$E$38*③기타_가정!$G$129*CHOOSE(MIN(MAX(G16,1),3),③기타_가정!$E$136,③기타_가정!$E$137,③기타_가정!$E$138)*G18/1000000*(1+③기타_가정!$E$132)^(MAX(G16,1)-1)</f>
        <v>0</v>
      </c>
      <c r="H24" s="37" t="n">
        <f aca="false">(H14=1)*③기타_가정!$E$38*③기타_가정!$G$129*CHOOSE(MIN(MAX(H16,1),3),③기타_가정!$E$136,③기타_가정!$E$137,③기타_가정!$E$138)*H18/1000000*(1+③기타_가정!$E$132)^(MAX(H16,1)-1)</f>
        <v>0</v>
      </c>
      <c r="I24" s="37" t="n">
        <f aca="false">(I14=1)*③기타_가정!$E$38*③기타_가정!$G$129*CHOOSE(MIN(MAX(I16,1),3),③기타_가정!$E$136,③기타_가정!$E$137,③기타_가정!$E$138)*I18/1000000*(1+③기타_가정!$E$132)^(MAX(I16,1)-1)</f>
        <v>0</v>
      </c>
      <c r="J24" s="37" t="n">
        <f aca="false">(J14=1)*③기타_가정!$E$38*③기타_가정!$G$129*CHOOSE(MIN(MAX(J16,1),3),③기타_가정!$E$136,③기타_가정!$E$137,③기타_가정!$E$138)*J18/1000000*(1+③기타_가정!$E$132)^(MAX(J16,1)-1)</f>
        <v>0</v>
      </c>
      <c r="K24" s="37" t="n">
        <f aca="false">(K14=1)*③기타_가정!$E$38*③기타_가정!$G$129*CHOOSE(MIN(MAX(K16,1),3),③기타_가정!$E$136,③기타_가정!$E$137,③기타_가정!$E$138)*K18/1000000*(1+③기타_가정!$E$132)^(MAX(K16,1)-1)</f>
        <v>0</v>
      </c>
      <c r="L24" s="37" t="n">
        <f aca="false">(L14=1)*③기타_가정!$E$38*③기타_가정!$G$129*CHOOSE(MIN(MAX(L16,1),3),③기타_가정!$E$136,③기타_가정!$E$137,③기타_가정!$E$138)*L18/1000000*(1+③기타_가정!$E$132)^(MAX(L16,1)-1)</f>
        <v>0</v>
      </c>
      <c r="M24" s="37" t="n">
        <f aca="false">(M14=1)*③기타_가정!$E$38*③기타_가정!$G$129*CHOOSE(MIN(MAX(M16,1),3),③기타_가정!$E$136,③기타_가정!$E$137,③기타_가정!$E$138)*M18/1000000*(1+③기타_가정!$E$132)^(MAX(M16,1)-1)</f>
        <v>0</v>
      </c>
      <c r="N24" s="37" t="n">
        <f aca="false">(N14=1)*③기타_가정!$E$38*③기타_가정!$G$129*CHOOSE(MIN(MAX(N16,1),3),③기타_가정!$E$136,③기타_가정!$E$137,③기타_가정!$E$138)*N18/1000000*(1+③기타_가정!$E$132)^(MAX(N16,1)-1)</f>
        <v>0</v>
      </c>
      <c r="O24" s="37" t="n">
        <f aca="false">(O14=1)*③기타_가정!$E$38*③기타_가정!$G$129*CHOOSE(MIN(MAX(O16,1),3),③기타_가정!$E$136,③기타_가정!$E$137,③기타_가정!$E$138)*O18/1000000*(1+③기타_가정!$E$132)^(MAX(O16,1)-1)</f>
        <v>0</v>
      </c>
      <c r="P24" s="37" t="n">
        <f aca="false">(P14=1)*③기타_가정!$E$38*③기타_가정!$G$129*CHOOSE(MIN(MAX(P16,1),3),③기타_가정!$E$136,③기타_가정!$E$137,③기타_가정!$E$138)*P18/1000000*(1+③기타_가정!$E$132)^(MAX(P16,1)-1)</f>
        <v>0</v>
      </c>
      <c r="Q24" s="37" t="n">
        <f aca="false">(Q14=1)*③기타_가정!$E$38*③기타_가정!$G$129*CHOOSE(MIN(MAX(Q16,1),3),③기타_가정!$E$136,③기타_가정!$E$137,③기타_가정!$E$138)*Q18/1000000*(1+③기타_가정!$E$132)^(MAX(Q16,1)-1)</f>
        <v>0</v>
      </c>
      <c r="R24" s="37" t="n">
        <f aca="false">(R14=1)*③기타_가정!$E$38*③기타_가정!$G$129*CHOOSE(MIN(MAX(R16,1),3),③기타_가정!$E$136,③기타_가정!$E$137,③기타_가정!$E$138)*R18/1000000*(1+③기타_가정!$E$132)^(MAX(R16,1)-1)</f>
        <v>0</v>
      </c>
      <c r="S24" s="37" t="n">
        <f aca="false">(S14=1)*③기타_가정!$E$38*③기타_가정!$G$129*CHOOSE(MIN(MAX(S16,1),3),③기타_가정!$E$136,③기타_가정!$E$137,③기타_가정!$E$138)*S18/1000000*(1+③기타_가정!$E$132)^(MAX(S16,1)-1)</f>
        <v>0</v>
      </c>
      <c r="T24" s="37" t="n">
        <f aca="false">(T14=1)*③기타_가정!$E$38*③기타_가정!$G$129*CHOOSE(MIN(MAX(T16,1),3),③기타_가정!$E$136,③기타_가정!$E$137,③기타_가정!$E$138)*T18/1000000*(1+③기타_가정!$E$132)^(MAX(T16,1)-1)</f>
        <v>0</v>
      </c>
      <c r="U24" s="37" t="n">
        <f aca="false">(U14=1)*③기타_가정!$E$38*③기타_가정!$G$129*CHOOSE(MIN(MAX(U16,1),3),③기타_가정!$E$136,③기타_가정!$E$137,③기타_가정!$E$138)*U18/1000000*(1+③기타_가정!$E$132)^(MAX(U16,1)-1)</f>
        <v>0</v>
      </c>
      <c r="V24" s="37" t="n">
        <f aca="false">(V14=1)*③기타_가정!$E$38*③기타_가정!$G$129*CHOOSE(MIN(MAX(V16,1),3),③기타_가정!$E$136,③기타_가정!$E$137,③기타_가정!$E$138)*V18/1000000*(1+③기타_가정!$E$132)^(MAX(V16,1)-1)</f>
        <v>0</v>
      </c>
      <c r="W24" s="37" t="n">
        <f aca="false">(W14=1)*③기타_가정!$E$38*③기타_가정!$G$129*CHOOSE(MIN(MAX(W16,1),3),③기타_가정!$E$136,③기타_가정!$E$137,③기타_가정!$E$138)*W18/1000000*(1+③기타_가정!$E$132)^(MAX(W16,1)-1)</f>
        <v>0</v>
      </c>
      <c r="X24" s="37" t="n">
        <f aca="false">(X14=1)*③기타_가정!$E$38*③기타_가정!$G$129*CHOOSE(MIN(MAX(X16,1),3),③기타_가정!$E$136,③기타_가정!$E$137,③기타_가정!$E$138)*X18/1000000*(1+③기타_가정!$E$132)^(MAX(X16,1)-1)</f>
        <v>0</v>
      </c>
      <c r="Y24" s="37" t="n">
        <f aca="false">(Y14=1)*③기타_가정!$E$38*③기타_가정!$G$129*CHOOSE(MIN(MAX(Y16,1),3),③기타_가정!$E$136,③기타_가정!$E$137,③기타_가정!$E$138)*Y18/1000000*(1+③기타_가정!$E$132)^(MAX(Y16,1)-1)</f>
        <v>0</v>
      </c>
      <c r="Z24" s="37" t="n">
        <f aca="false">(Z14=1)*③기타_가정!$E$38*③기타_가정!$G$129*CHOOSE(MIN(MAX(Z16,1),3),③기타_가정!$E$136,③기타_가정!$E$137,③기타_가정!$E$138)*Z18/1000000*(1+③기타_가정!$E$132)^(MAX(Z16,1)-1)</f>
        <v>0</v>
      </c>
      <c r="AA24" s="37" t="n">
        <f aca="false">(AA14=1)*③기타_가정!$E$38*③기타_가정!$G$129*CHOOSE(MIN(MAX(AA16,1),3),③기타_가정!$E$136,③기타_가정!$E$137,③기타_가정!$E$138)*AA18/1000000*(1+③기타_가정!$E$132)^(MAX(AA16,1)-1)</f>
        <v>0</v>
      </c>
      <c r="AB24" s="37" t="n">
        <f aca="false">(AB14=1)*③기타_가정!$E$38*③기타_가정!$G$129*CHOOSE(MIN(MAX(AB16,1),3),③기타_가정!$E$136,③기타_가정!$E$137,③기타_가정!$E$138)*AB18/1000000*(1+③기타_가정!$E$132)^(MAX(AB16,1)-1)</f>
        <v>0</v>
      </c>
      <c r="AC24" s="37" t="n">
        <f aca="false">(AC14=1)*③기타_가정!$E$38*③기타_가정!$G$129*CHOOSE(MIN(MAX(AC16,1),3),③기타_가정!$E$136,③기타_가정!$E$137,③기타_가정!$E$138)*AC18/1000000*(1+③기타_가정!$E$132)^(MAX(AC16,1)-1)</f>
        <v>0</v>
      </c>
      <c r="AD24" s="37" t="n">
        <f aca="false">(AD14=1)*③기타_가정!$E$38*③기타_가정!$G$129*CHOOSE(MIN(MAX(AD16,1),3),③기타_가정!$E$136,③기타_가정!$E$137,③기타_가정!$E$138)*AD18/1000000*(1+③기타_가정!$E$132)^(MAX(AD16,1)-1)</f>
        <v>0</v>
      </c>
      <c r="AE24" s="37" t="n">
        <f aca="false">(AE14=1)*③기타_가정!$E$38*③기타_가정!$G$129*CHOOSE(MIN(MAX(AE16,1),3),③기타_가정!$E$136,③기타_가정!$E$137,③기타_가정!$E$138)*AE18/1000000*(1+③기타_가정!$E$132)^(MAX(AE16,1)-1)</f>
        <v>0</v>
      </c>
      <c r="AF24" s="37" t="n">
        <f aca="false">(AF14=1)*③기타_가정!$E$38*③기타_가정!$G$129*CHOOSE(MIN(MAX(AF16,1),3),③기타_가정!$E$136,③기타_가정!$E$137,③기타_가정!$E$138)*AF18/1000000*(1+③기타_가정!$E$132)^(MAX(AF16,1)-1)</f>
        <v>0</v>
      </c>
      <c r="AG24" s="37" t="n">
        <f aca="false">(AG14=1)*③기타_가정!$E$38*③기타_가정!$G$129*CHOOSE(MIN(MAX(AG16,1),3),③기타_가정!$E$136,③기타_가정!$E$137,③기타_가정!$E$138)*AG18/1000000*(1+③기타_가정!$E$132)^(MAX(AG16,1)-1)</f>
        <v>0</v>
      </c>
      <c r="AH24" s="37" t="n">
        <f aca="false">(AH14=1)*③기타_가정!$E$38*③기타_가정!$G$129*CHOOSE(MIN(MAX(AH16,1),3),③기타_가정!$E$136,③기타_가정!$E$137,③기타_가정!$E$138)*AH18/1000000*(1+③기타_가정!$E$132)^(MAX(AH16,1)-1)</f>
        <v>0</v>
      </c>
      <c r="AI24" s="37" t="n">
        <f aca="false">(AI14=1)*③기타_가정!$E$38*③기타_가정!$G$129*CHOOSE(MIN(MAX(AI16,1),3),③기타_가정!$E$136,③기타_가정!$E$137,③기타_가정!$E$138)*AI18/1000000*(1+③기타_가정!$E$132)^(MAX(AI16,1)-1)</f>
        <v>0</v>
      </c>
      <c r="AJ24" s="37" t="n">
        <f aca="false">(AJ14=1)*③기타_가정!$E$38*③기타_가정!$G$129*CHOOSE(MIN(MAX(AJ16,1),3),③기타_가정!$E$136,③기타_가정!$E$137,③기타_가정!$E$138)*AJ18/1000000*(1+③기타_가정!$E$132)^(MAX(AJ16,1)-1)</f>
        <v>0</v>
      </c>
      <c r="AK24" s="37" t="n">
        <f aca="false">(AK14=1)*③기타_가정!$E$38*③기타_가정!$G$129*CHOOSE(MIN(MAX(AK16,1),3),③기타_가정!$E$136,③기타_가정!$E$137,③기타_가정!$E$138)*AK18/1000000*(1+③기타_가정!$E$132)^(MAX(AK16,1)-1)</f>
        <v>0</v>
      </c>
      <c r="AL24" s="37" t="n">
        <f aca="false">(AL14=1)*③기타_가정!$E$38*③기타_가정!$G$129*CHOOSE(MIN(MAX(AL16,1),3),③기타_가정!$E$136,③기타_가정!$E$137,③기타_가정!$E$138)*AL18/1000000*(1+③기타_가정!$E$132)^(MAX(AL16,1)-1)</f>
        <v>0</v>
      </c>
      <c r="AM24" s="37" t="n">
        <f aca="false">(AM14=1)*③기타_가정!$E$38*③기타_가정!$G$129*CHOOSE(MIN(MAX(AM16,1),3),③기타_가정!$E$136,③기타_가정!$E$137,③기타_가정!$E$138)*AM18/1000000*(1+③기타_가정!$E$132)^(MAX(AM16,1)-1)</f>
        <v>0</v>
      </c>
      <c r="AN24" s="37" t="n">
        <f aca="false">(AN14=1)*③기타_가정!$E$38*③기타_가정!$G$129*CHOOSE(MIN(MAX(AN16,1),3),③기타_가정!$E$136,③기타_가정!$E$137,③기타_가정!$E$138)*AN18/1000000*(1+③기타_가정!$E$132)^(MAX(AN16,1)-1)</f>
        <v>0</v>
      </c>
      <c r="AO24" s="37" t="n">
        <f aca="false">(AO14=1)*③기타_가정!$E$38*③기타_가정!$G$129*CHOOSE(MIN(MAX(AO16,1),3),③기타_가정!$E$136,③기타_가정!$E$137,③기타_가정!$E$138)*AO18/1000000*(1+③기타_가정!$E$132)^(MAX(AO16,1)-1)</f>
        <v>0</v>
      </c>
      <c r="AP24" s="37" t="n">
        <f aca="false">(AP14=1)*③기타_가정!$E$38*③기타_가정!$G$129*CHOOSE(MIN(MAX(AP16,1),3),③기타_가정!$E$136,③기타_가정!$E$137,③기타_가정!$E$138)*AP18/1000000*(1+③기타_가정!$E$132)^(MAX(AP16,1)-1)</f>
        <v>0</v>
      </c>
      <c r="AQ24" s="37" t="n">
        <f aca="false">(AQ14=1)*③기타_가정!$E$38*③기타_가정!$G$129*CHOOSE(MIN(MAX(AQ16,1),3),③기타_가정!$E$136,③기타_가정!$E$137,③기타_가정!$E$138)*AQ18/1000000*(1+③기타_가정!$E$132)^(MAX(AQ16,1)-1)</f>
        <v>0</v>
      </c>
      <c r="AR24" s="37" t="n">
        <f aca="false">(AR14=1)*③기타_가정!$E$38*③기타_가정!$G$129*CHOOSE(MIN(MAX(AR16,1),3),③기타_가정!$E$136,③기타_가정!$E$137,③기타_가정!$E$138)*AR18/1000000*(1+③기타_가정!$E$132)^(MAX(AR16,1)-1)</f>
        <v>0</v>
      </c>
      <c r="AS24" s="37" t="n">
        <f aca="false">(AS14=1)*③기타_가정!$E$38*③기타_가정!$G$129*CHOOSE(MIN(MAX(AS16,1),3),③기타_가정!$E$136,③기타_가정!$E$137,③기타_가정!$E$138)*AS18/1000000*(1+③기타_가정!$E$132)^(MAX(AS16,1)-1)</f>
        <v>0</v>
      </c>
      <c r="AT24" s="37" t="n">
        <f aca="false">(AT14=1)*③기타_가정!$E$38*③기타_가정!$G$129*CHOOSE(MIN(MAX(AT16,1),3),③기타_가정!$E$136,③기타_가정!$E$137,③기타_가정!$E$138)*AT18/1000000*(1+③기타_가정!$E$132)^(MAX(AT16,1)-1)</f>
        <v>0</v>
      </c>
      <c r="AU24" s="37" t="n">
        <f aca="false">(AU14=1)*③기타_가정!$E$38*③기타_가정!$G$129*CHOOSE(MIN(MAX(AU16,1),3),③기타_가정!$E$136,③기타_가정!$E$137,③기타_가정!$E$138)*AU18/1000000*(1+③기타_가정!$E$132)^(MAX(AU16,1)-1)</f>
        <v>0</v>
      </c>
      <c r="AV24" s="37" t="n">
        <f aca="false">(AV14=1)*③기타_가정!$E$38*③기타_가정!$G$129*CHOOSE(MIN(MAX(AV16,1),3),③기타_가정!$E$136,③기타_가정!$E$137,③기타_가정!$E$138)*AV18/1000000*(1+③기타_가정!$E$132)^(MAX(AV16,1)-1)</f>
        <v>0</v>
      </c>
      <c r="AW24" s="37" t="n">
        <f aca="false">(AW14=1)*③기타_가정!$E$38*③기타_가정!$G$129*CHOOSE(MIN(MAX(AW16,1),3),③기타_가정!$E$136,③기타_가정!$E$137,③기타_가정!$E$138)*AW18/1000000*(1+③기타_가정!$E$132)^(MAX(AW16,1)-1)</f>
        <v>0</v>
      </c>
      <c r="AX24" s="37" t="n">
        <f aca="false">(AX14=1)*③기타_가정!$E$38*③기타_가정!$G$129*CHOOSE(MIN(MAX(AX16,1),3),③기타_가정!$E$136,③기타_가정!$E$137,③기타_가정!$E$138)*AX18/1000000*(1+③기타_가정!$E$132)^(MAX(AX16,1)-1)</f>
        <v>0</v>
      </c>
      <c r="AY24" s="37" t="n">
        <f aca="false">(AY14=1)*③기타_가정!$E$38*③기타_가정!$G$129*CHOOSE(MIN(MAX(AY16,1),3),③기타_가정!$E$136,③기타_가정!$E$137,③기타_가정!$E$138)*AY18/1000000*(1+③기타_가정!$E$132)^(MAX(AY16,1)-1)</f>
        <v>0</v>
      </c>
      <c r="AZ24" s="37" t="n">
        <f aca="false">(AZ14=1)*③기타_가정!$E$38*③기타_가정!$G$129*CHOOSE(MIN(MAX(AZ16,1),3),③기타_가정!$E$136,③기타_가정!$E$137,③기타_가정!$E$138)*AZ18/1000000*(1+③기타_가정!$E$132)^(MAX(AZ16,1)-1)</f>
        <v>0</v>
      </c>
      <c r="BA24" s="37" t="n">
        <f aca="false">(BA14=1)*③기타_가정!$E$38*③기타_가정!$G$129*CHOOSE(MIN(MAX(BA16,1),3),③기타_가정!$E$136,③기타_가정!$E$137,③기타_가정!$E$138)*BA18/1000000*(1+③기타_가정!$E$132)^(MAX(BA16,1)-1)</f>
        <v>0</v>
      </c>
      <c r="BB24" s="37" t="n">
        <f aca="false">(BB14=1)*③기타_가정!$E$38*③기타_가정!$G$129*CHOOSE(MIN(MAX(BB16,1),3),③기타_가정!$E$136,③기타_가정!$E$137,③기타_가정!$E$138)*BB18/1000000*(1+③기타_가정!$E$132)^(MAX(BB16,1)-1)</f>
        <v>0</v>
      </c>
      <c r="BC24" s="37" t="n">
        <f aca="false">(BC14=1)*③기타_가정!$E$38*③기타_가정!$G$129*CHOOSE(MIN(MAX(BC16,1),3),③기타_가정!$E$136,③기타_가정!$E$137,③기타_가정!$E$138)*BC18/1000000*(1+③기타_가정!$E$132)^(MAX(BC16,1)-1)</f>
        <v>0</v>
      </c>
      <c r="BD24" s="37" t="n">
        <f aca="false">(BD14=1)*③기타_가정!$E$38*③기타_가정!$G$129*CHOOSE(MIN(MAX(BD16,1),3),③기타_가정!$E$136,③기타_가정!$E$137,③기타_가정!$E$138)*BD18/1000000*(1+③기타_가정!$E$132)^(MAX(BD16,1)-1)</f>
        <v>0</v>
      </c>
      <c r="BE24" s="37" t="n">
        <f aca="false">(BE14=1)*③기타_가정!$E$38*③기타_가정!$G$129*CHOOSE(MIN(MAX(BE16,1),3),③기타_가정!$E$136,③기타_가정!$E$137,③기타_가정!$E$138)*BE18/1000000*(1+③기타_가정!$E$132)^(MAX(BE16,1)-1)</f>
        <v>0</v>
      </c>
      <c r="BF24" s="37" t="n">
        <f aca="false">(BF14=1)*③기타_가정!$E$38*③기타_가정!$G$129*CHOOSE(MIN(MAX(BF16,1),3),③기타_가정!$E$136,③기타_가정!$E$137,③기타_가정!$E$138)*BF18/1000000*(1+③기타_가정!$E$132)^(MAX(BF16,1)-1)</f>
        <v>0</v>
      </c>
      <c r="BG24" s="37" t="n">
        <f aca="false">(BG14=1)*③기타_가정!$E$38*③기타_가정!$G$129*CHOOSE(MIN(MAX(BG16,1),3),③기타_가정!$E$136,③기타_가정!$E$137,③기타_가정!$E$138)*BG18/1000000*(1+③기타_가정!$E$132)^(MAX(BG16,1)-1)</f>
        <v>0</v>
      </c>
      <c r="BH24" s="37" t="n">
        <f aca="false">(BH14=1)*③기타_가정!$E$38*③기타_가정!$G$129*CHOOSE(MIN(MAX(BH16,1),3),③기타_가정!$E$136,③기타_가정!$E$137,③기타_가정!$E$138)*BH18/1000000*(1+③기타_가정!$E$132)^(MAX(BH16,1)-1)</f>
        <v>0</v>
      </c>
      <c r="BI24" s="37" t="n">
        <f aca="false">(BI14=1)*③기타_가정!$E$38*③기타_가정!$G$129*CHOOSE(MIN(MAX(BI16,1),3),③기타_가정!$E$136,③기타_가정!$E$137,③기타_가정!$E$138)*BI18/1000000*(1+③기타_가정!$E$132)^(MAX(BI16,1)-1)</f>
        <v>0</v>
      </c>
      <c r="BJ24" s="37" t="n">
        <f aca="false">(BJ14=1)*③기타_가정!$E$38*③기타_가정!$G$129*CHOOSE(MIN(MAX(BJ16,1),3),③기타_가정!$E$136,③기타_가정!$E$137,③기타_가정!$E$138)*BJ18/1000000*(1+③기타_가정!$E$132)^(MAX(BJ16,1)-1)</f>
        <v>0</v>
      </c>
      <c r="BK24" s="37" t="n">
        <f aca="false">(BK14=1)*③기타_가정!$E$38*③기타_가정!$G$129*CHOOSE(MIN(MAX(BK16,1),3),③기타_가정!$E$136,③기타_가정!$E$137,③기타_가정!$E$138)*BK18/1000000*(1+③기타_가정!$E$132)^(MAX(BK16,1)-1)</f>
        <v>0</v>
      </c>
      <c r="BL24" s="37" t="n">
        <f aca="false">(BL14=1)*③기타_가정!$E$38*③기타_가정!$G$129*CHOOSE(MIN(MAX(BL16,1),3),③기타_가정!$E$136,③기타_가정!$E$137,③기타_가정!$E$138)*BL18/1000000*(1+③기타_가정!$E$132)^(MAX(BL16,1)-1)</f>
        <v>0</v>
      </c>
      <c r="BM24" s="37" t="n">
        <f aca="false">(BM14=1)*③기타_가정!$E$38*③기타_가정!$G$129*CHOOSE(MIN(MAX(BM16,1),3),③기타_가정!$E$136,③기타_가정!$E$137,③기타_가정!$E$138)*BM18/1000000*(1+③기타_가정!$E$132)^(MAX(BM16,1)-1)</f>
        <v>1407.6111751</v>
      </c>
      <c r="BN24" s="37" t="n">
        <f aca="false">(BN14=1)*③기타_가정!$E$38*③기타_가정!$G$129*CHOOSE(MIN(MAX(BN16,1),3),③기타_가정!$E$136,③기타_가정!$E$137,③기타_가정!$E$138)*BN18/1000000*(1+③기타_가정!$E$132)^(MAX(BN16,1)-1)</f>
        <v>1362.204363</v>
      </c>
      <c r="BO24" s="37" t="n">
        <f aca="false">(BO14=1)*③기타_가정!$E$38*③기타_가정!$G$129*CHOOSE(MIN(MAX(BO16,1),3),③기타_가정!$E$136,③기타_가정!$E$137,③기타_가정!$E$138)*BO18/1000000*(1+③기타_가정!$E$132)^(MAX(BO16,1)-1)</f>
        <v>1407.6111751</v>
      </c>
      <c r="BP24" s="37" t="n">
        <f aca="false">(BP14=1)*③기타_가정!$E$38*③기타_가정!$G$129*CHOOSE(MIN(MAX(BP16,1),3),③기타_가정!$E$136,③기타_가정!$E$137,③기타_가정!$E$138)*BP18/1000000*(1+③기타_가정!$E$132)^(MAX(BP16,1)-1)</f>
        <v>1362.204363</v>
      </c>
      <c r="BQ24" s="37" t="n">
        <f aca="false">(BQ14=1)*③기타_가정!$E$38*③기타_가정!$G$129*CHOOSE(MIN(MAX(BQ16,1),3),③기타_가정!$E$136,③기타_가정!$E$137,③기타_가정!$E$138)*BQ18/1000000*(1+③기타_가정!$E$132)^(MAX(BQ16,1)-1)</f>
        <v>1407.6111751</v>
      </c>
      <c r="BR24" s="37" t="n">
        <f aca="false">(BR14=1)*③기타_가정!$E$38*③기타_가정!$G$129*CHOOSE(MIN(MAX(BR16,1),3),③기타_가정!$E$136,③기타_가정!$E$137,③기타_가정!$E$138)*BR18/1000000*(1+③기타_가정!$E$132)^(MAX(BR16,1)-1)</f>
        <v>1407.6111751</v>
      </c>
      <c r="BS24" s="37" t="n">
        <f aca="false">(BS14=1)*③기타_가정!$E$38*③기타_가정!$G$129*CHOOSE(MIN(MAX(BS16,1),3),③기타_가정!$E$136,③기타_가정!$E$137,③기타_가정!$E$138)*BS18/1000000*(1+③기타_가정!$E$132)^(MAX(BS16,1)-1)</f>
        <v>1362.204363</v>
      </c>
      <c r="BT24" s="37" t="n">
        <f aca="false">(BT14=1)*③기타_가정!$E$38*③기타_가정!$G$129*CHOOSE(MIN(MAX(BT16,1),3),③기타_가정!$E$136,③기타_가정!$E$137,③기타_가정!$E$138)*BT18/1000000*(1+③기타_가정!$E$132)^(MAX(BT16,1)-1)</f>
        <v>1407.6111751</v>
      </c>
      <c r="BU24" s="37" t="n">
        <f aca="false">(BU14=1)*③기타_가정!$E$38*③기타_가정!$G$129*CHOOSE(MIN(MAX(BU16,1),3),③기타_가정!$E$136,③기타_가정!$E$137,③기타_가정!$E$138)*BU18/1000000*(1+③기타_가정!$E$132)^(MAX(BU16,1)-1)</f>
        <v>1362.204363</v>
      </c>
      <c r="BV24" s="37" t="n">
        <f aca="false">(BV14=1)*③기타_가정!$E$38*③기타_가정!$G$129*CHOOSE(MIN(MAX(BV16,1),3),③기타_가정!$E$136,③기타_가정!$E$137,③기타_가정!$E$138)*BV18/1000000*(1+③기타_가정!$E$132)^(MAX(BV16,1)-1)</f>
        <v>1407.6111751</v>
      </c>
      <c r="BW24" s="37" t="n">
        <f aca="false">(BW14=1)*③기타_가정!$E$38*③기타_가정!$G$129*CHOOSE(MIN(MAX(BW16,1),3),③기타_가정!$E$136,③기타_가정!$E$137,③기타_가정!$E$138)*BW18/1000000*(1+③기타_가정!$E$132)^(MAX(BW16,1)-1)</f>
        <v>1407.6111751</v>
      </c>
      <c r="BX24" s="37" t="n">
        <f aca="false">(BX14=1)*③기타_가정!$E$38*③기타_가정!$G$129*CHOOSE(MIN(MAX(BX16,1),3),③기타_가정!$E$136,③기타_가정!$E$137,③기타_가정!$E$138)*BX18/1000000*(1+③기타_가정!$E$132)^(MAX(BX16,1)-1)</f>
        <v>1316.7975509</v>
      </c>
      <c r="BY24" s="37" t="n">
        <f aca="false">(BY14=1)*③기타_가정!$E$38*③기타_가정!$G$129*CHOOSE(MIN(MAX(BY16,1),3),③기타_가정!$E$136,③기타_가정!$E$137,③기타_가정!$E$138)*BY18/1000000*(1+③기타_가정!$E$132)^(MAX(BY16,1)-1)</f>
        <v>1656.65007531</v>
      </c>
      <c r="BZ24" s="37" t="n">
        <f aca="false">(BZ14=1)*③기타_가정!$E$38*③기타_가정!$G$129*CHOOSE(MIN(MAX(BZ16,1),3),③기타_가정!$E$136,③기타_가정!$E$137,③기타_가정!$E$138)*BZ18/1000000*(1+③기타_가정!$E$132)^(MAX(BZ16,1)-1)</f>
        <v>1603.2097503</v>
      </c>
      <c r="CA24" s="37" t="n">
        <f aca="false">(CA14=1)*③기타_가정!$E$38*③기타_가정!$G$129*CHOOSE(MIN(MAX(CA16,1),3),③기타_가정!$E$136,③기타_가정!$E$137,③기타_가정!$E$138)*CA18/1000000*(1+③기타_가정!$E$132)^(MAX(CA16,1)-1)</f>
        <v>1656.65007531</v>
      </c>
      <c r="CB24" s="37" t="n">
        <f aca="false">(CB14=1)*③기타_가정!$E$38*③기타_가정!$G$129*CHOOSE(MIN(MAX(CB16,1),3),③기타_가정!$E$136,③기타_가정!$E$137,③기타_가정!$E$138)*CB18/1000000*(1+③기타_가정!$E$132)^(MAX(CB16,1)-1)</f>
        <v>1603.2097503</v>
      </c>
      <c r="CC24" s="37" t="n">
        <f aca="false">(CC14=1)*③기타_가정!$E$38*③기타_가정!$G$129*CHOOSE(MIN(MAX(CC16,1),3),③기타_가정!$E$136,③기타_가정!$E$137,③기타_가정!$E$138)*CC18/1000000*(1+③기타_가정!$E$132)^(MAX(CC16,1)-1)</f>
        <v>1656.65007531</v>
      </c>
      <c r="CD24" s="37" t="n">
        <f aca="false">(CD14=1)*③기타_가정!$E$38*③기타_가정!$G$129*CHOOSE(MIN(MAX(CD16,1),3),③기타_가정!$E$136,③기타_가정!$E$137,③기타_가정!$E$138)*CD18/1000000*(1+③기타_가정!$E$132)^(MAX(CD16,1)-1)</f>
        <v>1656.65007531</v>
      </c>
      <c r="CE24" s="37" t="n">
        <f aca="false">(CE14=1)*③기타_가정!$E$38*③기타_가정!$G$129*CHOOSE(MIN(MAX(CE16,1),3),③기타_가정!$E$136,③기타_가정!$E$137,③기타_가정!$E$138)*CE18/1000000*(1+③기타_가정!$E$132)^(MAX(CE16,1)-1)</f>
        <v>1603.2097503</v>
      </c>
      <c r="CF24" s="37" t="n">
        <f aca="false">(CF14=1)*③기타_가정!$E$38*③기타_가정!$G$129*CHOOSE(MIN(MAX(CF16,1),3),③기타_가정!$E$136,③기타_가정!$E$137,③기타_가정!$E$138)*CF18/1000000*(1+③기타_가정!$E$132)^(MAX(CF16,1)-1)</f>
        <v>1656.65007531</v>
      </c>
      <c r="CG24" s="37" t="n">
        <f aca="false">(CG14=1)*③기타_가정!$E$38*③기타_가정!$G$129*CHOOSE(MIN(MAX(CG16,1),3),③기타_가정!$E$136,③기타_가정!$E$137,③기타_가정!$E$138)*CG18/1000000*(1+③기타_가정!$E$132)^(MAX(CG16,1)-1)</f>
        <v>1603.2097503</v>
      </c>
      <c r="CH24" s="37" t="n">
        <f aca="false">(CH14=1)*③기타_가정!$E$38*③기타_가정!$G$129*CHOOSE(MIN(MAX(CH16,1),3),③기타_가정!$E$136,③기타_가정!$E$137,③기타_가정!$E$138)*CH18/1000000*(1+③기타_가정!$E$132)^(MAX(CH16,1)-1)</f>
        <v>1656.65007531</v>
      </c>
      <c r="CI24" s="37" t="n">
        <f aca="false">(CI14=1)*③기타_가정!$E$38*③기타_가정!$G$129*CHOOSE(MIN(MAX(CI16,1),3),③기타_가정!$E$136,③기타_가정!$E$137,③기타_가정!$E$138)*CI18/1000000*(1+③기타_가정!$E$132)^(MAX(CI16,1)-1)</f>
        <v>1656.65007531</v>
      </c>
      <c r="CJ24" s="37" t="n">
        <f aca="false">(CJ14=1)*③기타_가정!$E$38*③기타_가정!$G$129*CHOOSE(MIN(MAX(CJ16,1),3),③기타_가정!$E$136,③기타_가정!$E$137,③기타_가정!$E$138)*CJ18/1000000*(1+③기타_가정!$E$132)^(MAX(CJ16,1)-1)</f>
        <v>1496.32910028</v>
      </c>
      <c r="CK24" s="37" t="n">
        <f aca="false">(CK14=1)*③기타_가정!$E$38*③기타_가정!$G$129*CHOOSE(MIN(MAX(CK16,1),3),③기타_가정!$E$136,③기타_가정!$E$137,③기타_가정!$E$138)*CK18/1000000*(1+③기타_가정!$E$132)^(MAX(CK16,1)-1)</f>
        <v>1689.7830768162</v>
      </c>
      <c r="CL24" s="37" t="n">
        <f aca="false">(CL14=1)*③기타_가정!$E$38*③기타_가정!$G$129*CHOOSE(MIN(MAX(CL16,1),3),③기타_가정!$E$136,③기타_가정!$E$137,③기타_가정!$E$138)*CL18/1000000*(1+③기타_가정!$E$132)^(MAX(CL16,1)-1)</f>
        <v>1635.273945306</v>
      </c>
      <c r="CM24" s="37" t="n">
        <f aca="false">(CM14=1)*③기타_가정!$E$38*③기타_가정!$G$129*CHOOSE(MIN(MAX(CM16,1),3),③기타_가정!$E$136,③기타_가정!$E$137,③기타_가정!$E$138)*CM18/1000000*(1+③기타_가정!$E$132)^(MAX(CM16,1)-1)</f>
        <v>1689.7830768162</v>
      </c>
      <c r="CN24" s="37" t="n">
        <f aca="false">(CN14=1)*③기타_가정!$E$38*③기타_가정!$G$129*CHOOSE(MIN(MAX(CN16,1),3),③기타_가정!$E$136,③기타_가정!$E$137,③기타_가정!$E$138)*CN18/1000000*(1+③기타_가정!$E$132)^(MAX(CN16,1)-1)</f>
        <v>1635.273945306</v>
      </c>
      <c r="CO24" s="37" t="n">
        <f aca="false">(CO14=1)*③기타_가정!$E$38*③기타_가정!$G$129*CHOOSE(MIN(MAX(CO16,1),3),③기타_가정!$E$136,③기타_가정!$E$137,③기타_가정!$E$138)*CO18/1000000*(1+③기타_가정!$E$132)^(MAX(CO16,1)-1)</f>
        <v>1689.7830768162</v>
      </c>
      <c r="CP24" s="37" t="n">
        <f aca="false">(CP14=1)*③기타_가정!$E$38*③기타_가정!$G$129*CHOOSE(MIN(MAX(CP16,1),3),③기타_가정!$E$136,③기타_가정!$E$137,③기타_가정!$E$138)*CP18/1000000*(1+③기타_가정!$E$132)^(MAX(CP16,1)-1)</f>
        <v>1689.7830768162</v>
      </c>
      <c r="CQ24" s="37" t="n">
        <f aca="false">(CQ14=1)*③기타_가정!$E$38*③기타_가정!$G$129*CHOOSE(MIN(MAX(CQ16,1),3),③기타_가정!$E$136,③기타_가정!$E$137,③기타_가정!$E$138)*CQ18/1000000*(1+③기타_가정!$E$132)^(MAX(CQ16,1)-1)</f>
        <v>1635.273945306</v>
      </c>
      <c r="CR24" s="37" t="n">
        <f aca="false">(CR14=1)*③기타_가정!$E$38*③기타_가정!$G$129*CHOOSE(MIN(MAX(CR16,1),3),③기타_가정!$E$136,③기타_가정!$E$137,③기타_가정!$E$138)*CR18/1000000*(1+③기타_가정!$E$132)^(MAX(CR16,1)-1)</f>
        <v>1689.7830768162</v>
      </c>
      <c r="CS24" s="37" t="n">
        <f aca="false">(CS14=1)*③기타_가정!$E$38*③기타_가정!$G$129*CHOOSE(MIN(MAX(CS16,1),3),③기타_가정!$E$136,③기타_가정!$E$137,③기타_가정!$E$138)*CS18/1000000*(1+③기타_가정!$E$132)^(MAX(CS16,1)-1)</f>
        <v>1635.273945306</v>
      </c>
      <c r="CT24" s="37" t="n">
        <f aca="false">(CT14=1)*③기타_가정!$E$38*③기타_가정!$G$129*CHOOSE(MIN(MAX(CT16,1),3),③기타_가정!$E$136,③기타_가정!$E$137,③기타_가정!$E$138)*CT18/1000000*(1+③기타_가정!$E$132)^(MAX(CT16,1)-1)</f>
        <v>1689.7830768162</v>
      </c>
      <c r="CU24" s="37" t="n">
        <f aca="false">(CU14=1)*③기타_가정!$E$38*③기타_가정!$G$129*CHOOSE(MIN(MAX(CU16,1),3),③기타_가정!$E$136,③기타_가정!$E$137,③기타_가정!$E$138)*CU18/1000000*(1+③기타_가정!$E$132)^(MAX(CU16,1)-1)</f>
        <v>1689.7830768162</v>
      </c>
      <c r="CV24" s="37" t="n">
        <f aca="false">(CV14=1)*③기타_가정!$E$38*③기타_가정!$G$129*CHOOSE(MIN(MAX(CV16,1),3),③기타_가정!$E$136,③기타_가정!$E$137,③기타_가정!$E$138)*CV18/1000000*(1+③기타_가정!$E$132)^(MAX(CV16,1)-1)</f>
        <v>1526.2556822856</v>
      </c>
      <c r="CW24" s="37" t="n">
        <f aca="false">(CW14=1)*③기타_가정!$E$38*③기타_가정!$G$129*CHOOSE(MIN(MAX(CW16,1),3),③기타_가정!$E$136,③기타_가정!$E$137,③기타_가정!$E$138)*CW18/1000000*(1+③기타_가정!$E$132)^(MAX(CW16,1)-1)</f>
        <v>1723.57873835252</v>
      </c>
      <c r="CX24" s="37" t="n">
        <f aca="false">(CX14=1)*③기타_가정!$E$38*③기타_가정!$G$129*CHOOSE(MIN(MAX(CX16,1),3),③기타_가정!$E$136,③기타_가정!$E$137,③기타_가정!$E$138)*CX18/1000000*(1+③기타_가정!$E$132)^(MAX(CX16,1)-1)</f>
        <v>1667.97942421212</v>
      </c>
      <c r="CY24" s="37" t="n">
        <f aca="false">(CY14=1)*③기타_가정!$E$38*③기타_가정!$G$129*CHOOSE(MIN(MAX(CY16,1),3),③기타_가정!$E$136,③기타_가정!$E$137,③기타_가정!$E$138)*CY18/1000000*(1+③기타_가정!$E$132)^(MAX(CY16,1)-1)</f>
        <v>1723.57873835252</v>
      </c>
      <c r="CZ24" s="37" t="n">
        <f aca="false">(CZ14=1)*③기타_가정!$E$38*③기타_가정!$G$129*CHOOSE(MIN(MAX(CZ16,1),3),③기타_가정!$E$136,③기타_가정!$E$137,③기타_가정!$E$138)*CZ18/1000000*(1+③기타_가정!$E$132)^(MAX(CZ16,1)-1)</f>
        <v>1667.97942421212</v>
      </c>
      <c r="DA24" s="37" t="n">
        <f aca="false">(DA14=1)*③기타_가정!$E$38*③기타_가정!$G$129*CHOOSE(MIN(MAX(DA16,1),3),③기타_가정!$E$136,③기타_가정!$E$137,③기타_가정!$E$138)*DA18/1000000*(1+③기타_가정!$E$132)^(MAX(DA16,1)-1)</f>
        <v>1723.57873835252</v>
      </c>
      <c r="DB24" s="37" t="n">
        <f aca="false">(DB14=1)*③기타_가정!$E$38*③기타_가정!$G$129*CHOOSE(MIN(MAX(DB16,1),3),③기타_가정!$E$136,③기타_가정!$E$137,③기타_가정!$E$138)*DB18/1000000*(1+③기타_가정!$E$132)^(MAX(DB16,1)-1)</f>
        <v>1723.57873835252</v>
      </c>
      <c r="DC24" s="37" t="n">
        <f aca="false">(DC14=1)*③기타_가정!$E$38*③기타_가정!$G$129*CHOOSE(MIN(MAX(DC16,1),3),③기타_가정!$E$136,③기타_가정!$E$137,③기타_가정!$E$138)*DC18/1000000*(1+③기타_가정!$E$132)^(MAX(DC16,1)-1)</f>
        <v>1667.97942421212</v>
      </c>
      <c r="DD24" s="37" t="n">
        <f aca="false">(DD14=1)*③기타_가정!$E$38*③기타_가정!$G$129*CHOOSE(MIN(MAX(DD16,1),3),③기타_가정!$E$136,③기타_가정!$E$137,③기타_가정!$E$138)*DD18/1000000*(1+③기타_가정!$E$132)^(MAX(DD16,1)-1)</f>
        <v>1723.57873835252</v>
      </c>
      <c r="DE24" s="37" t="n">
        <f aca="false">(DE14=1)*③기타_가정!$E$38*③기타_가정!$G$129*CHOOSE(MIN(MAX(DE16,1),3),③기타_가정!$E$136,③기타_가정!$E$137,③기타_가정!$E$138)*DE18/1000000*(1+③기타_가정!$E$132)^(MAX(DE16,1)-1)</f>
        <v>1667.97942421212</v>
      </c>
      <c r="DF24" s="37" t="n">
        <f aca="false">(DF14=1)*③기타_가정!$E$38*③기타_가정!$G$129*CHOOSE(MIN(MAX(DF16,1),3),③기타_가정!$E$136,③기타_가정!$E$137,③기타_가정!$E$138)*DF18/1000000*(1+③기타_가정!$E$132)^(MAX(DF16,1)-1)</f>
        <v>1723.57873835252</v>
      </c>
      <c r="DG24" s="37" t="n">
        <f aca="false">(DG14=1)*③기타_가정!$E$38*③기타_가정!$G$129*CHOOSE(MIN(MAX(DG16,1),3),③기타_가정!$E$136,③기타_가정!$E$137,③기타_가정!$E$138)*DG18/1000000*(1+③기타_가정!$E$132)^(MAX(DG16,1)-1)</f>
        <v>1723.57873835252</v>
      </c>
      <c r="DH24" s="37" t="n">
        <f aca="false">(DH14=1)*③기타_가정!$E$38*③기타_가정!$G$129*CHOOSE(MIN(MAX(DH16,1),3),③기타_가정!$E$136,③기타_가정!$E$137,③기타_가정!$E$138)*DH18/1000000*(1+③기타_가정!$E$132)^(MAX(DH16,1)-1)</f>
        <v>1556.78079593131</v>
      </c>
      <c r="DI24" s="37" t="n">
        <f aca="false">(DI14=1)*③기타_가정!$E$38*③기타_가정!$G$129*CHOOSE(MIN(MAX(DI16,1),3),③기타_가정!$E$136,③기타_가정!$E$137,③기타_가정!$E$138)*DI18/1000000*(1+③기타_가정!$E$132)^(MAX(DI16,1)-1)</f>
        <v>1758.05031311957</v>
      </c>
      <c r="DJ24" s="37" t="n">
        <f aca="false">(DJ14=1)*③기타_가정!$E$38*③기타_가정!$G$129*CHOOSE(MIN(MAX(DJ16,1),3),③기타_가정!$E$136,③기타_가정!$E$137,③기타_가정!$E$138)*DJ18/1000000*(1+③기타_가정!$E$132)^(MAX(DJ16,1)-1)</f>
        <v>1701.33901269636</v>
      </c>
      <c r="DK24" s="37" t="n">
        <f aca="false">(DK14=1)*③기타_가정!$E$38*③기타_가정!$G$129*CHOOSE(MIN(MAX(DK16,1),3),③기타_가정!$E$136,③기타_가정!$E$137,③기타_가정!$E$138)*DK18/1000000*(1+③기타_가정!$E$132)^(MAX(DK16,1)-1)</f>
        <v>1758.05031311957</v>
      </c>
      <c r="DL24" s="37" t="n">
        <f aca="false">(DL14=1)*③기타_가정!$E$38*③기타_가정!$G$129*CHOOSE(MIN(MAX(DL16,1),3),③기타_가정!$E$136,③기타_가정!$E$137,③기타_가정!$E$138)*DL18/1000000*(1+③기타_가정!$E$132)^(MAX(DL16,1)-1)</f>
        <v>1701.33901269636</v>
      </c>
      <c r="DM24" s="37" t="n">
        <f aca="false">(DM14=1)*③기타_가정!$E$38*③기타_가정!$G$129*CHOOSE(MIN(MAX(DM16,1),3),③기타_가정!$E$136,③기타_가정!$E$137,③기타_가정!$E$138)*DM18/1000000*(1+③기타_가정!$E$132)^(MAX(DM16,1)-1)</f>
        <v>1758.05031311957</v>
      </c>
      <c r="DN24" s="37" t="n">
        <f aca="false">(DN14=1)*③기타_가정!$E$38*③기타_가정!$G$129*CHOOSE(MIN(MAX(DN16,1),3),③기타_가정!$E$136,③기타_가정!$E$137,③기타_가정!$E$138)*DN18/1000000*(1+③기타_가정!$E$132)^(MAX(DN16,1)-1)</f>
        <v>1758.05031311957</v>
      </c>
      <c r="DO24" s="37" t="n">
        <f aca="false">(DO14=1)*③기타_가정!$E$38*③기타_가정!$G$129*CHOOSE(MIN(MAX(DO16,1),3),③기타_가정!$E$136,③기타_가정!$E$137,③기타_가정!$E$138)*DO18/1000000*(1+③기타_가정!$E$132)^(MAX(DO16,1)-1)</f>
        <v>1701.33901269636</v>
      </c>
      <c r="DP24" s="37" t="n">
        <f aca="false">(DP14=1)*③기타_가정!$E$38*③기타_가정!$G$129*CHOOSE(MIN(MAX(DP16,1),3),③기타_가정!$E$136,③기타_가정!$E$137,③기타_가정!$E$138)*DP18/1000000*(1+③기타_가정!$E$132)^(MAX(DP16,1)-1)</f>
        <v>1758.05031311957</v>
      </c>
      <c r="DQ24" s="37" t="n">
        <f aca="false">(DQ14=1)*③기타_가정!$E$38*③기타_가정!$G$129*CHOOSE(MIN(MAX(DQ16,1),3),③기타_가정!$E$136,③기타_가정!$E$137,③기타_가정!$E$138)*DQ18/1000000*(1+③기타_가정!$E$132)^(MAX(DQ16,1)-1)</f>
        <v>1701.33901269636</v>
      </c>
      <c r="DR24" s="37" t="n">
        <f aca="false">(DR14=1)*③기타_가정!$E$38*③기타_가정!$G$129*CHOOSE(MIN(MAX(DR16,1),3),③기타_가정!$E$136,③기타_가정!$E$137,③기타_가정!$E$138)*DR18/1000000*(1+③기타_가정!$E$132)^(MAX(DR16,1)-1)</f>
        <v>1758.05031311957</v>
      </c>
      <c r="DS24" s="37" t="n">
        <f aca="false">(DS14=1)*③기타_가정!$E$38*③기타_가정!$G$129*CHOOSE(MIN(MAX(DS16,1),3),③기타_가정!$E$136,③기타_가정!$E$137,③기타_가정!$E$138)*DS18/1000000*(1+③기타_가정!$E$132)^(MAX(DS16,1)-1)</f>
        <v>1758.05031311957</v>
      </c>
      <c r="DT24" s="37" t="n">
        <f aca="false">(DT14=1)*③기타_가정!$E$38*③기타_가정!$G$129*CHOOSE(MIN(MAX(DT16,1),3),③기타_가정!$E$136,③기타_가정!$E$137,③기타_가정!$E$138)*DT18/1000000*(1+③기타_가정!$E$132)^(MAX(DT16,1)-1)</f>
        <v>1644.62771227315</v>
      </c>
      <c r="DU24" s="37" t="n">
        <f aca="false">(DU14=1)*③기타_가정!$E$38*③기타_가정!$G$129*CHOOSE(MIN(MAX(DU16,1),3),③기타_가정!$E$136,③기타_가정!$E$137,③기타_가정!$E$138)*DU18/1000000*(1+③기타_가정!$E$132)^(MAX(DU16,1)-1)</f>
        <v>0</v>
      </c>
      <c r="DV24" s="37" t="n">
        <f aca="false">(DV14=1)*③기타_가정!$E$38*③기타_가정!$G$129*CHOOSE(MIN(MAX(DV16,1),3),③기타_가정!$E$136,③기타_가정!$E$137,③기타_가정!$E$138)*DV18/1000000*(1+③기타_가정!$E$132)^(MAX(DV16,1)-1)</f>
        <v>0</v>
      </c>
      <c r="DW24" s="37" t="n">
        <f aca="false">(DW14=1)*③기타_가정!$E$38*③기타_가정!$G$129*CHOOSE(MIN(MAX(DW16,1),3),③기타_가정!$E$136,③기타_가정!$E$137,③기타_가정!$E$138)*DW18/1000000*(1+③기타_가정!$E$132)^(MAX(DW16,1)-1)</f>
        <v>0</v>
      </c>
      <c r="DX24" s="37" t="n">
        <f aca="false">(DX14=1)*③기타_가정!$E$38*③기타_가정!$G$129*CHOOSE(MIN(MAX(DX16,1),3),③기타_가정!$E$136,③기타_가정!$E$137,③기타_가정!$E$138)*DX18/1000000*(1+③기타_가정!$E$132)^(MAX(DX16,1)-1)</f>
        <v>0</v>
      </c>
      <c r="DY24" s="37" t="n">
        <f aca="false">(DY14=1)*③기타_가정!$E$38*③기타_가정!$G$129*CHOOSE(MIN(MAX(DY16,1),3),③기타_가정!$E$136,③기타_가정!$E$137,③기타_가정!$E$138)*DY18/1000000*(1+③기타_가정!$E$132)^(MAX(DY16,1)-1)</f>
        <v>0</v>
      </c>
      <c r="DZ24" s="37" t="n">
        <f aca="false">(DZ14=1)*③기타_가정!$E$38*③기타_가정!$G$129*CHOOSE(MIN(MAX(DZ16,1),3),③기타_가정!$E$136,③기타_가정!$E$137,③기타_가정!$E$138)*DZ18/1000000*(1+③기타_가정!$E$132)^(MAX(DZ16,1)-1)</f>
        <v>0</v>
      </c>
      <c r="EA24" s="37" t="n">
        <f aca="false">(EA14=1)*③기타_가정!$E$38*③기타_가정!$G$129*CHOOSE(MIN(MAX(EA16,1),3),③기타_가정!$E$136,③기타_가정!$E$137,③기타_가정!$E$138)*EA18/1000000*(1+③기타_가정!$E$132)^(MAX(EA16,1)-1)</f>
        <v>0</v>
      </c>
      <c r="EB24" s="37" t="n">
        <f aca="false">(EB14=1)*③기타_가정!$E$38*③기타_가정!$G$129*CHOOSE(MIN(MAX(EB16,1),3),③기타_가정!$E$136,③기타_가정!$E$137,③기타_가정!$E$138)*EB18/1000000*(1+③기타_가정!$E$132)^(MAX(EB16,1)-1)</f>
        <v>0</v>
      </c>
      <c r="EC24" s="37" t="n">
        <f aca="false">(EC14=1)*③기타_가정!$E$38*③기타_가정!$G$129*CHOOSE(MIN(MAX(EC16,1),3),③기타_가정!$E$136,③기타_가정!$E$137,③기타_가정!$E$138)*EC18/1000000*(1+③기타_가정!$E$132)^(MAX(EC16,1)-1)</f>
        <v>0</v>
      </c>
      <c r="ED24" s="37" t="n">
        <f aca="false">(ED14=1)*③기타_가정!$E$38*③기타_가정!$G$129*CHOOSE(MIN(MAX(ED16,1),3),③기타_가정!$E$136,③기타_가정!$E$137,③기타_가정!$E$138)*ED18/1000000*(1+③기타_가정!$E$132)^(MAX(ED16,1)-1)</f>
        <v>0</v>
      </c>
      <c r="EE24" s="37" t="n">
        <f aca="false">(EE14=1)*③기타_가정!$E$38*③기타_가정!$G$129*CHOOSE(MIN(MAX(EE16,1),3),③기타_가정!$E$136,③기타_가정!$E$137,③기타_가정!$E$138)*EE18/1000000*(1+③기타_가정!$E$132)^(MAX(EE16,1)-1)</f>
        <v>0</v>
      </c>
      <c r="EF24" s="37" t="n">
        <f aca="false">(EF14=1)*③기타_가정!$E$38*③기타_가정!$G$129*CHOOSE(MIN(MAX(EF16,1),3),③기타_가정!$E$136,③기타_가정!$E$137,③기타_가정!$E$138)*EF18/1000000*(1+③기타_가정!$E$132)^(MAX(EF16,1)-1)</f>
        <v>0</v>
      </c>
    </row>
    <row r="25" customFormat="false" ht="15" hidden="false" customHeight="false" outlineLevel="0" collapsed="false">
      <c r="A25" s="36" t="s">
        <v>580</v>
      </c>
      <c r="B25" s="278" t="s">
        <v>21</v>
      </c>
      <c r="C25" s="279" t="n">
        <f aca="false">SUM(E25:EF25)</f>
        <v>64746.0438265689</v>
      </c>
      <c r="E25" s="37" t="n">
        <f aca="false">E24*③기타_가정!$E$139</f>
        <v>0</v>
      </c>
      <c r="F25" s="37" t="n">
        <f aca="false">F24*③기타_가정!$E$139</f>
        <v>0</v>
      </c>
      <c r="G25" s="37" t="n">
        <f aca="false">G24*③기타_가정!$E$139</f>
        <v>0</v>
      </c>
      <c r="H25" s="37" t="n">
        <f aca="false">H24*③기타_가정!$E$139</f>
        <v>0</v>
      </c>
      <c r="I25" s="37" t="n">
        <f aca="false">I24*③기타_가정!$E$139</f>
        <v>0</v>
      </c>
      <c r="J25" s="37" t="n">
        <f aca="false">J24*③기타_가정!$E$139</f>
        <v>0</v>
      </c>
      <c r="K25" s="37" t="n">
        <f aca="false">K24*③기타_가정!$E$139</f>
        <v>0</v>
      </c>
      <c r="L25" s="37" t="n">
        <f aca="false">L24*③기타_가정!$E$139</f>
        <v>0</v>
      </c>
      <c r="M25" s="37" t="n">
        <f aca="false">M24*③기타_가정!$E$139</f>
        <v>0</v>
      </c>
      <c r="N25" s="37" t="n">
        <f aca="false">N24*③기타_가정!$E$139</f>
        <v>0</v>
      </c>
      <c r="O25" s="37" t="n">
        <f aca="false">O24*③기타_가정!$E$139</f>
        <v>0</v>
      </c>
      <c r="P25" s="37" t="n">
        <f aca="false">P24*③기타_가정!$E$139</f>
        <v>0</v>
      </c>
      <c r="Q25" s="37" t="n">
        <f aca="false">Q24*③기타_가정!$E$139</f>
        <v>0</v>
      </c>
      <c r="R25" s="37" t="n">
        <f aca="false">R24*③기타_가정!$E$139</f>
        <v>0</v>
      </c>
      <c r="S25" s="37" t="n">
        <f aca="false">S24*③기타_가정!$E$139</f>
        <v>0</v>
      </c>
      <c r="T25" s="37" t="n">
        <f aca="false">T24*③기타_가정!$E$139</f>
        <v>0</v>
      </c>
      <c r="U25" s="37" t="n">
        <f aca="false">U24*③기타_가정!$E$139</f>
        <v>0</v>
      </c>
      <c r="V25" s="37" t="n">
        <f aca="false">V24*③기타_가정!$E$139</f>
        <v>0</v>
      </c>
      <c r="W25" s="37" t="n">
        <f aca="false">W24*③기타_가정!$E$139</f>
        <v>0</v>
      </c>
      <c r="X25" s="37" t="n">
        <f aca="false">X24*③기타_가정!$E$139</f>
        <v>0</v>
      </c>
      <c r="Y25" s="37" t="n">
        <f aca="false">Y24*③기타_가정!$E$139</f>
        <v>0</v>
      </c>
      <c r="Z25" s="37" t="n">
        <f aca="false">Z24*③기타_가정!$E$139</f>
        <v>0</v>
      </c>
      <c r="AA25" s="37" t="n">
        <f aca="false">AA24*③기타_가정!$E$139</f>
        <v>0</v>
      </c>
      <c r="AB25" s="37" t="n">
        <f aca="false">AB24*③기타_가정!$E$139</f>
        <v>0</v>
      </c>
      <c r="AC25" s="37" t="n">
        <f aca="false">AC24*③기타_가정!$E$139</f>
        <v>0</v>
      </c>
      <c r="AD25" s="37" t="n">
        <f aca="false">AD24*③기타_가정!$E$139</f>
        <v>0</v>
      </c>
      <c r="AE25" s="37" t="n">
        <f aca="false">AE24*③기타_가정!$E$139</f>
        <v>0</v>
      </c>
      <c r="AF25" s="37" t="n">
        <f aca="false">AF24*③기타_가정!$E$139</f>
        <v>0</v>
      </c>
      <c r="AG25" s="37" t="n">
        <f aca="false">AG24*③기타_가정!$E$139</f>
        <v>0</v>
      </c>
      <c r="AH25" s="37" t="n">
        <f aca="false">AH24*③기타_가정!$E$139</f>
        <v>0</v>
      </c>
      <c r="AI25" s="37" t="n">
        <f aca="false">AI24*③기타_가정!$E$139</f>
        <v>0</v>
      </c>
      <c r="AJ25" s="37" t="n">
        <f aca="false">AJ24*③기타_가정!$E$139</f>
        <v>0</v>
      </c>
      <c r="AK25" s="37" t="n">
        <f aca="false">AK24*③기타_가정!$E$139</f>
        <v>0</v>
      </c>
      <c r="AL25" s="37" t="n">
        <f aca="false">AL24*③기타_가정!$E$139</f>
        <v>0</v>
      </c>
      <c r="AM25" s="37" t="n">
        <f aca="false">AM24*③기타_가정!$E$139</f>
        <v>0</v>
      </c>
      <c r="AN25" s="37" t="n">
        <f aca="false">AN24*③기타_가정!$E$139</f>
        <v>0</v>
      </c>
      <c r="AO25" s="37" t="n">
        <f aca="false">AO24*③기타_가정!$E$139</f>
        <v>0</v>
      </c>
      <c r="AP25" s="37" t="n">
        <f aca="false">AP24*③기타_가정!$E$139</f>
        <v>0</v>
      </c>
      <c r="AQ25" s="37" t="n">
        <f aca="false">AQ24*③기타_가정!$E$139</f>
        <v>0</v>
      </c>
      <c r="AR25" s="37" t="n">
        <f aca="false">AR24*③기타_가정!$E$139</f>
        <v>0</v>
      </c>
      <c r="AS25" s="37" t="n">
        <f aca="false">AS24*③기타_가정!$E$139</f>
        <v>0</v>
      </c>
      <c r="AT25" s="37" t="n">
        <f aca="false">AT24*③기타_가정!$E$139</f>
        <v>0</v>
      </c>
      <c r="AU25" s="37" t="n">
        <f aca="false">AU24*③기타_가정!$E$139</f>
        <v>0</v>
      </c>
      <c r="AV25" s="37" t="n">
        <f aca="false">AV24*③기타_가정!$E$139</f>
        <v>0</v>
      </c>
      <c r="AW25" s="37" t="n">
        <f aca="false">AW24*③기타_가정!$E$139</f>
        <v>0</v>
      </c>
      <c r="AX25" s="37" t="n">
        <f aca="false">AX24*③기타_가정!$E$139</f>
        <v>0</v>
      </c>
      <c r="AY25" s="37" t="n">
        <f aca="false">AY24*③기타_가정!$E$139</f>
        <v>0</v>
      </c>
      <c r="AZ25" s="37" t="n">
        <f aca="false">AZ24*③기타_가정!$E$139</f>
        <v>0</v>
      </c>
      <c r="BA25" s="37" t="n">
        <f aca="false">BA24*③기타_가정!$E$139</f>
        <v>0</v>
      </c>
      <c r="BB25" s="37" t="n">
        <f aca="false">BB24*③기타_가정!$E$139</f>
        <v>0</v>
      </c>
      <c r="BC25" s="37" t="n">
        <f aca="false">BC24*③기타_가정!$E$139</f>
        <v>0</v>
      </c>
      <c r="BD25" s="37" t="n">
        <f aca="false">BD24*③기타_가정!$E$139</f>
        <v>0</v>
      </c>
      <c r="BE25" s="37" t="n">
        <f aca="false">BE24*③기타_가정!$E$139</f>
        <v>0</v>
      </c>
      <c r="BF25" s="37" t="n">
        <f aca="false">BF24*③기타_가정!$E$139</f>
        <v>0</v>
      </c>
      <c r="BG25" s="37" t="n">
        <f aca="false">BG24*③기타_가정!$E$139</f>
        <v>0</v>
      </c>
      <c r="BH25" s="37" t="n">
        <f aca="false">BH24*③기타_가정!$E$139</f>
        <v>0</v>
      </c>
      <c r="BI25" s="37" t="n">
        <f aca="false">BI24*③기타_가정!$E$139</f>
        <v>0</v>
      </c>
      <c r="BJ25" s="37" t="n">
        <f aca="false">BJ24*③기타_가정!$E$139</f>
        <v>0</v>
      </c>
      <c r="BK25" s="37" t="n">
        <f aca="false">BK24*③기타_가정!$E$139</f>
        <v>0</v>
      </c>
      <c r="BL25" s="37" t="n">
        <f aca="false">BL24*③기타_가정!$E$139</f>
        <v>0</v>
      </c>
      <c r="BM25" s="37" t="n">
        <f aca="false">BM24*③기타_가정!$E$139</f>
        <v>938.8766537917</v>
      </c>
      <c r="BN25" s="37" t="n">
        <f aca="false">BN24*③기타_가정!$E$139</f>
        <v>908.590310121</v>
      </c>
      <c r="BO25" s="37" t="n">
        <f aca="false">BO24*③기타_가정!$E$139</f>
        <v>938.8766537917</v>
      </c>
      <c r="BP25" s="37" t="n">
        <f aca="false">BP24*③기타_가정!$E$139</f>
        <v>908.590310121</v>
      </c>
      <c r="BQ25" s="37" t="n">
        <f aca="false">BQ24*③기타_가정!$E$139</f>
        <v>938.8766537917</v>
      </c>
      <c r="BR25" s="37" t="n">
        <f aca="false">BR24*③기타_가정!$E$139</f>
        <v>938.8766537917</v>
      </c>
      <c r="BS25" s="37" t="n">
        <f aca="false">BS24*③기타_가정!$E$139</f>
        <v>908.590310121</v>
      </c>
      <c r="BT25" s="37" t="n">
        <f aca="false">BT24*③기타_가정!$E$139</f>
        <v>938.8766537917</v>
      </c>
      <c r="BU25" s="37" t="n">
        <f aca="false">BU24*③기타_가정!$E$139</f>
        <v>908.590310121</v>
      </c>
      <c r="BV25" s="37" t="n">
        <f aca="false">BV24*③기타_가정!$E$139</f>
        <v>938.8766537917</v>
      </c>
      <c r="BW25" s="37" t="n">
        <f aca="false">BW24*③기타_가정!$E$139</f>
        <v>938.8766537917</v>
      </c>
      <c r="BX25" s="37" t="n">
        <f aca="false">BX24*③기타_가정!$E$139</f>
        <v>878.3039664503</v>
      </c>
      <c r="BY25" s="37" t="n">
        <f aca="false">BY24*③기타_가정!$E$139</f>
        <v>1104.98560023177</v>
      </c>
      <c r="BZ25" s="37" t="n">
        <f aca="false">BZ24*③기타_가정!$E$139</f>
        <v>1069.3409034501</v>
      </c>
      <c r="CA25" s="37" t="n">
        <f aca="false">CA24*③기타_가정!$E$139</f>
        <v>1104.98560023177</v>
      </c>
      <c r="CB25" s="37" t="n">
        <f aca="false">CB24*③기타_가정!$E$139</f>
        <v>1069.3409034501</v>
      </c>
      <c r="CC25" s="37" t="n">
        <f aca="false">CC24*③기타_가정!$E$139</f>
        <v>1104.98560023177</v>
      </c>
      <c r="CD25" s="37" t="n">
        <f aca="false">CD24*③기타_가정!$E$139</f>
        <v>1104.98560023177</v>
      </c>
      <c r="CE25" s="37" t="n">
        <f aca="false">CE24*③기타_가정!$E$139</f>
        <v>1069.3409034501</v>
      </c>
      <c r="CF25" s="37" t="n">
        <f aca="false">CF24*③기타_가정!$E$139</f>
        <v>1104.98560023177</v>
      </c>
      <c r="CG25" s="37" t="n">
        <f aca="false">CG24*③기타_가정!$E$139</f>
        <v>1069.3409034501</v>
      </c>
      <c r="CH25" s="37" t="n">
        <f aca="false">CH24*③기타_가정!$E$139</f>
        <v>1104.98560023177</v>
      </c>
      <c r="CI25" s="37" t="n">
        <f aca="false">CI24*③기타_가정!$E$139</f>
        <v>1104.98560023177</v>
      </c>
      <c r="CJ25" s="37" t="n">
        <f aca="false">CJ24*③기타_가정!$E$139</f>
        <v>998.05150988676</v>
      </c>
      <c r="CK25" s="37" t="n">
        <f aca="false">CK24*③기타_가정!$E$139</f>
        <v>1127.08531223641</v>
      </c>
      <c r="CL25" s="37" t="n">
        <f aca="false">CL24*③기타_가정!$E$139</f>
        <v>1090.7277215191</v>
      </c>
      <c r="CM25" s="37" t="n">
        <f aca="false">CM24*③기타_가정!$E$139</f>
        <v>1127.08531223641</v>
      </c>
      <c r="CN25" s="37" t="n">
        <f aca="false">CN24*③기타_가정!$E$139</f>
        <v>1090.7277215191</v>
      </c>
      <c r="CO25" s="37" t="n">
        <f aca="false">CO24*③기타_가정!$E$139</f>
        <v>1127.08531223641</v>
      </c>
      <c r="CP25" s="37" t="n">
        <f aca="false">CP24*③기타_가정!$E$139</f>
        <v>1127.08531223641</v>
      </c>
      <c r="CQ25" s="37" t="n">
        <f aca="false">CQ24*③기타_가정!$E$139</f>
        <v>1090.7277215191</v>
      </c>
      <c r="CR25" s="37" t="n">
        <f aca="false">CR24*③기타_가정!$E$139</f>
        <v>1127.08531223641</v>
      </c>
      <c r="CS25" s="37" t="n">
        <f aca="false">CS24*③기타_가정!$E$139</f>
        <v>1090.7277215191</v>
      </c>
      <c r="CT25" s="37" t="n">
        <f aca="false">CT24*③기타_가정!$E$139</f>
        <v>1127.08531223641</v>
      </c>
      <c r="CU25" s="37" t="n">
        <f aca="false">CU24*③기타_가정!$E$139</f>
        <v>1127.08531223641</v>
      </c>
      <c r="CV25" s="37" t="n">
        <f aca="false">CV24*③기타_가정!$E$139</f>
        <v>1018.0125400845</v>
      </c>
      <c r="CW25" s="37" t="n">
        <f aca="false">CW24*③기타_가정!$E$139</f>
        <v>1149.62701848113</v>
      </c>
      <c r="CX25" s="37" t="n">
        <f aca="false">CX24*③기타_가정!$E$139</f>
        <v>1112.54227594948</v>
      </c>
      <c r="CY25" s="37" t="n">
        <f aca="false">CY24*③기타_가정!$E$139</f>
        <v>1149.62701848113</v>
      </c>
      <c r="CZ25" s="37" t="n">
        <f aca="false">CZ24*③기타_가정!$E$139</f>
        <v>1112.54227594948</v>
      </c>
      <c r="DA25" s="37" t="n">
        <f aca="false">DA24*③기타_가정!$E$139</f>
        <v>1149.62701848113</v>
      </c>
      <c r="DB25" s="37" t="n">
        <f aca="false">DB24*③기타_가정!$E$139</f>
        <v>1149.62701848113</v>
      </c>
      <c r="DC25" s="37" t="n">
        <f aca="false">DC24*③기타_가정!$E$139</f>
        <v>1112.54227594948</v>
      </c>
      <c r="DD25" s="37" t="n">
        <f aca="false">DD24*③기타_가정!$E$139</f>
        <v>1149.62701848113</v>
      </c>
      <c r="DE25" s="37" t="n">
        <f aca="false">DE24*③기타_가정!$E$139</f>
        <v>1112.54227594948</v>
      </c>
      <c r="DF25" s="37" t="n">
        <f aca="false">DF24*③기타_가정!$E$139</f>
        <v>1149.62701848113</v>
      </c>
      <c r="DG25" s="37" t="n">
        <f aca="false">DG24*③기타_가정!$E$139</f>
        <v>1149.62701848113</v>
      </c>
      <c r="DH25" s="37" t="n">
        <f aca="false">DH24*③기타_가정!$E$139</f>
        <v>1038.37279088619</v>
      </c>
      <c r="DI25" s="37" t="n">
        <f aca="false">DI24*③기타_가정!$E$139</f>
        <v>1172.61955885076</v>
      </c>
      <c r="DJ25" s="37" t="n">
        <f aca="false">DJ24*③기타_가정!$E$139</f>
        <v>1134.79312146847</v>
      </c>
      <c r="DK25" s="37" t="n">
        <f aca="false">DK24*③기타_가정!$E$139</f>
        <v>1172.61955885076</v>
      </c>
      <c r="DL25" s="37" t="n">
        <f aca="false">DL24*③기타_가정!$E$139</f>
        <v>1134.79312146847</v>
      </c>
      <c r="DM25" s="37" t="n">
        <f aca="false">DM24*③기타_가정!$E$139</f>
        <v>1172.61955885076</v>
      </c>
      <c r="DN25" s="37" t="n">
        <f aca="false">DN24*③기타_가정!$E$139</f>
        <v>1172.61955885076</v>
      </c>
      <c r="DO25" s="37" t="n">
        <f aca="false">DO24*③기타_가정!$E$139</f>
        <v>1134.79312146847</v>
      </c>
      <c r="DP25" s="37" t="n">
        <f aca="false">DP24*③기타_가정!$E$139</f>
        <v>1172.61955885076</v>
      </c>
      <c r="DQ25" s="37" t="n">
        <f aca="false">DQ24*③기타_가정!$E$139</f>
        <v>1134.79312146847</v>
      </c>
      <c r="DR25" s="37" t="n">
        <f aca="false">DR24*③기타_가정!$E$139</f>
        <v>1172.61955885076</v>
      </c>
      <c r="DS25" s="37" t="n">
        <f aca="false">DS24*③기타_가정!$E$139</f>
        <v>1172.61955885076</v>
      </c>
      <c r="DT25" s="37" t="n">
        <f aca="false">DT24*③기타_가정!$E$139</f>
        <v>1096.96668408619</v>
      </c>
      <c r="DU25" s="37" t="n">
        <f aca="false">DU24*③기타_가정!$E$139</f>
        <v>0</v>
      </c>
      <c r="DV25" s="37" t="n">
        <f aca="false">DV24*③기타_가정!$E$139</f>
        <v>0</v>
      </c>
      <c r="DW25" s="37" t="n">
        <f aca="false">DW24*③기타_가정!$E$139</f>
        <v>0</v>
      </c>
      <c r="DX25" s="37" t="n">
        <f aca="false">DX24*③기타_가정!$E$139</f>
        <v>0</v>
      </c>
      <c r="DY25" s="37" t="n">
        <f aca="false">DY24*③기타_가정!$E$139</f>
        <v>0</v>
      </c>
      <c r="DZ25" s="37" t="n">
        <f aca="false">DZ24*③기타_가정!$E$139</f>
        <v>0</v>
      </c>
      <c r="EA25" s="37" t="n">
        <f aca="false">EA24*③기타_가정!$E$139</f>
        <v>0</v>
      </c>
      <c r="EB25" s="37" t="n">
        <f aca="false">EB24*③기타_가정!$E$139</f>
        <v>0</v>
      </c>
      <c r="EC25" s="37" t="n">
        <f aca="false">EC24*③기타_가정!$E$139</f>
        <v>0</v>
      </c>
      <c r="ED25" s="37" t="n">
        <f aca="false">ED24*③기타_가정!$E$139</f>
        <v>0</v>
      </c>
      <c r="EE25" s="37" t="n">
        <f aca="false">EE24*③기타_가정!$E$139</f>
        <v>0</v>
      </c>
      <c r="EF25" s="37" t="n">
        <f aca="false">EF24*③기타_가정!$E$139</f>
        <v>0</v>
      </c>
    </row>
    <row r="26" customFormat="false" ht="15" hidden="false" customHeight="false" outlineLevel="0" collapsed="false">
      <c r="A26" s="36" t="s">
        <v>581</v>
      </c>
      <c r="B26" s="278" t="s">
        <v>21</v>
      </c>
      <c r="C26" s="279" t="n">
        <f aca="false">SUM(E26:EF26)</f>
        <v>35430.7436232349</v>
      </c>
      <c r="E26" s="37" t="n">
        <f aca="false">E24*③기타_가정!$E$144</f>
        <v>0</v>
      </c>
      <c r="F26" s="37" t="n">
        <f aca="false">F24*③기타_가정!$E$144</f>
        <v>0</v>
      </c>
      <c r="G26" s="37" t="n">
        <f aca="false">G24*③기타_가정!$E$144</f>
        <v>0</v>
      </c>
      <c r="H26" s="37" t="n">
        <f aca="false">H24*③기타_가정!$E$144</f>
        <v>0</v>
      </c>
      <c r="I26" s="37" t="n">
        <f aca="false">I24*③기타_가정!$E$144</f>
        <v>0</v>
      </c>
      <c r="J26" s="37" t="n">
        <f aca="false">J24*③기타_가정!$E$144</f>
        <v>0</v>
      </c>
      <c r="K26" s="37" t="n">
        <f aca="false">K24*③기타_가정!$E$144</f>
        <v>0</v>
      </c>
      <c r="L26" s="37" t="n">
        <f aca="false">L24*③기타_가정!$E$144</f>
        <v>0</v>
      </c>
      <c r="M26" s="37" t="n">
        <f aca="false">M24*③기타_가정!$E$144</f>
        <v>0</v>
      </c>
      <c r="N26" s="37" t="n">
        <f aca="false">N24*③기타_가정!$E$144</f>
        <v>0</v>
      </c>
      <c r="O26" s="37" t="n">
        <f aca="false">O24*③기타_가정!$E$144</f>
        <v>0</v>
      </c>
      <c r="P26" s="37" t="n">
        <f aca="false">P24*③기타_가정!$E$144</f>
        <v>0</v>
      </c>
      <c r="Q26" s="37" t="n">
        <f aca="false">Q24*③기타_가정!$E$144</f>
        <v>0</v>
      </c>
      <c r="R26" s="37" t="n">
        <f aca="false">R24*③기타_가정!$E$144</f>
        <v>0</v>
      </c>
      <c r="S26" s="37" t="n">
        <f aca="false">S24*③기타_가정!$E$144</f>
        <v>0</v>
      </c>
      <c r="T26" s="37" t="n">
        <f aca="false">T24*③기타_가정!$E$144</f>
        <v>0</v>
      </c>
      <c r="U26" s="37" t="n">
        <f aca="false">U24*③기타_가정!$E$144</f>
        <v>0</v>
      </c>
      <c r="V26" s="37" t="n">
        <f aca="false">V24*③기타_가정!$E$144</f>
        <v>0</v>
      </c>
      <c r="W26" s="37" t="n">
        <f aca="false">W24*③기타_가정!$E$144</f>
        <v>0</v>
      </c>
      <c r="X26" s="37" t="n">
        <f aca="false">X24*③기타_가정!$E$144</f>
        <v>0</v>
      </c>
      <c r="Y26" s="37" t="n">
        <f aca="false">Y24*③기타_가정!$E$144</f>
        <v>0</v>
      </c>
      <c r="Z26" s="37" t="n">
        <f aca="false">Z24*③기타_가정!$E$144</f>
        <v>0</v>
      </c>
      <c r="AA26" s="37" t="n">
        <f aca="false">AA24*③기타_가정!$E$144</f>
        <v>0</v>
      </c>
      <c r="AB26" s="37" t="n">
        <f aca="false">AB24*③기타_가정!$E$144</f>
        <v>0</v>
      </c>
      <c r="AC26" s="37" t="n">
        <f aca="false">AC24*③기타_가정!$E$144</f>
        <v>0</v>
      </c>
      <c r="AD26" s="37" t="n">
        <f aca="false">AD24*③기타_가정!$E$144</f>
        <v>0</v>
      </c>
      <c r="AE26" s="37" t="n">
        <f aca="false">AE24*③기타_가정!$E$144</f>
        <v>0</v>
      </c>
      <c r="AF26" s="37" t="n">
        <f aca="false">AF24*③기타_가정!$E$144</f>
        <v>0</v>
      </c>
      <c r="AG26" s="37" t="n">
        <f aca="false">AG24*③기타_가정!$E$144</f>
        <v>0</v>
      </c>
      <c r="AH26" s="37" t="n">
        <f aca="false">AH24*③기타_가정!$E$144</f>
        <v>0</v>
      </c>
      <c r="AI26" s="37" t="n">
        <f aca="false">AI24*③기타_가정!$E$144</f>
        <v>0</v>
      </c>
      <c r="AJ26" s="37" t="n">
        <f aca="false">AJ24*③기타_가정!$E$144</f>
        <v>0</v>
      </c>
      <c r="AK26" s="37" t="n">
        <f aca="false">AK24*③기타_가정!$E$144</f>
        <v>0</v>
      </c>
      <c r="AL26" s="37" t="n">
        <f aca="false">AL24*③기타_가정!$E$144</f>
        <v>0</v>
      </c>
      <c r="AM26" s="37" t="n">
        <f aca="false">AM24*③기타_가정!$E$144</f>
        <v>0</v>
      </c>
      <c r="AN26" s="37" t="n">
        <f aca="false">AN24*③기타_가정!$E$144</f>
        <v>0</v>
      </c>
      <c r="AO26" s="37" t="n">
        <f aca="false">AO24*③기타_가정!$E$144</f>
        <v>0</v>
      </c>
      <c r="AP26" s="37" t="n">
        <f aca="false">AP24*③기타_가정!$E$144</f>
        <v>0</v>
      </c>
      <c r="AQ26" s="37" t="n">
        <f aca="false">AQ24*③기타_가정!$E$144</f>
        <v>0</v>
      </c>
      <c r="AR26" s="37" t="n">
        <f aca="false">AR24*③기타_가정!$E$144</f>
        <v>0</v>
      </c>
      <c r="AS26" s="37" t="n">
        <f aca="false">AS24*③기타_가정!$E$144</f>
        <v>0</v>
      </c>
      <c r="AT26" s="37" t="n">
        <f aca="false">AT24*③기타_가정!$E$144</f>
        <v>0</v>
      </c>
      <c r="AU26" s="37" t="n">
        <f aca="false">AU24*③기타_가정!$E$144</f>
        <v>0</v>
      </c>
      <c r="AV26" s="37" t="n">
        <f aca="false">AV24*③기타_가정!$E$144</f>
        <v>0</v>
      </c>
      <c r="AW26" s="37" t="n">
        <f aca="false">AW24*③기타_가정!$E$144</f>
        <v>0</v>
      </c>
      <c r="AX26" s="37" t="n">
        <f aca="false">AX24*③기타_가정!$E$144</f>
        <v>0</v>
      </c>
      <c r="AY26" s="37" t="n">
        <f aca="false">AY24*③기타_가정!$E$144</f>
        <v>0</v>
      </c>
      <c r="AZ26" s="37" t="n">
        <f aca="false">AZ24*③기타_가정!$E$144</f>
        <v>0</v>
      </c>
      <c r="BA26" s="37" t="n">
        <f aca="false">BA24*③기타_가정!$E$144</f>
        <v>0</v>
      </c>
      <c r="BB26" s="37" t="n">
        <f aca="false">BB24*③기타_가정!$E$144</f>
        <v>0</v>
      </c>
      <c r="BC26" s="37" t="n">
        <f aca="false">BC24*③기타_가정!$E$144</f>
        <v>0</v>
      </c>
      <c r="BD26" s="37" t="n">
        <f aca="false">BD24*③기타_가정!$E$144</f>
        <v>0</v>
      </c>
      <c r="BE26" s="37" t="n">
        <f aca="false">BE24*③기타_가정!$E$144</f>
        <v>0</v>
      </c>
      <c r="BF26" s="37" t="n">
        <f aca="false">BF24*③기타_가정!$E$144</f>
        <v>0</v>
      </c>
      <c r="BG26" s="37" t="n">
        <f aca="false">BG24*③기타_가정!$E$144</f>
        <v>0</v>
      </c>
      <c r="BH26" s="37" t="n">
        <f aca="false">BH24*③기타_가정!$E$144</f>
        <v>0</v>
      </c>
      <c r="BI26" s="37" t="n">
        <f aca="false">BI24*③기타_가정!$E$144</f>
        <v>0</v>
      </c>
      <c r="BJ26" s="37" t="n">
        <f aca="false">BJ24*③기타_가정!$E$144</f>
        <v>0</v>
      </c>
      <c r="BK26" s="37" t="n">
        <f aca="false">BK24*③기타_가정!$E$144</f>
        <v>0</v>
      </c>
      <c r="BL26" s="37" t="n">
        <f aca="false">BL24*③기타_가정!$E$144</f>
        <v>0</v>
      </c>
      <c r="BM26" s="37" t="n">
        <f aca="false">BM24*③기타_가정!$E$144</f>
        <v>513.7780789115</v>
      </c>
      <c r="BN26" s="37" t="n">
        <f aca="false">BN24*③기타_가정!$E$144</f>
        <v>497.204592495</v>
      </c>
      <c r="BO26" s="37" t="n">
        <f aca="false">BO24*③기타_가정!$E$144</f>
        <v>513.7780789115</v>
      </c>
      <c r="BP26" s="37" t="n">
        <f aca="false">BP24*③기타_가정!$E$144</f>
        <v>497.204592495</v>
      </c>
      <c r="BQ26" s="37" t="n">
        <f aca="false">BQ24*③기타_가정!$E$144</f>
        <v>513.7780789115</v>
      </c>
      <c r="BR26" s="37" t="n">
        <f aca="false">BR24*③기타_가정!$E$144</f>
        <v>513.7780789115</v>
      </c>
      <c r="BS26" s="37" t="n">
        <f aca="false">BS24*③기타_가정!$E$144</f>
        <v>497.204592495</v>
      </c>
      <c r="BT26" s="37" t="n">
        <f aca="false">BT24*③기타_가정!$E$144</f>
        <v>513.7780789115</v>
      </c>
      <c r="BU26" s="37" t="n">
        <f aca="false">BU24*③기타_가정!$E$144</f>
        <v>497.204592495</v>
      </c>
      <c r="BV26" s="37" t="n">
        <f aca="false">BV24*③기타_가정!$E$144</f>
        <v>513.7780789115</v>
      </c>
      <c r="BW26" s="37" t="n">
        <f aca="false">BW24*③기타_가정!$E$144</f>
        <v>513.7780789115</v>
      </c>
      <c r="BX26" s="37" t="n">
        <f aca="false">BX24*③기타_가정!$E$144</f>
        <v>480.6311060785</v>
      </c>
      <c r="BY26" s="37" t="n">
        <f aca="false">BY24*③기타_가정!$E$144</f>
        <v>604.67727748815</v>
      </c>
      <c r="BZ26" s="37" t="n">
        <f aca="false">BZ24*③기타_가정!$E$144</f>
        <v>585.1715588595</v>
      </c>
      <c r="CA26" s="37" t="n">
        <f aca="false">CA24*③기타_가정!$E$144</f>
        <v>604.67727748815</v>
      </c>
      <c r="CB26" s="37" t="n">
        <f aca="false">CB24*③기타_가정!$E$144</f>
        <v>585.1715588595</v>
      </c>
      <c r="CC26" s="37" t="n">
        <f aca="false">CC24*③기타_가정!$E$144</f>
        <v>604.67727748815</v>
      </c>
      <c r="CD26" s="37" t="n">
        <f aca="false">CD24*③기타_가정!$E$144</f>
        <v>604.67727748815</v>
      </c>
      <c r="CE26" s="37" t="n">
        <f aca="false">CE24*③기타_가정!$E$144</f>
        <v>585.1715588595</v>
      </c>
      <c r="CF26" s="37" t="n">
        <f aca="false">CF24*③기타_가정!$E$144</f>
        <v>604.67727748815</v>
      </c>
      <c r="CG26" s="37" t="n">
        <f aca="false">CG24*③기타_가정!$E$144</f>
        <v>585.1715588595</v>
      </c>
      <c r="CH26" s="37" t="n">
        <f aca="false">CH24*③기타_가정!$E$144</f>
        <v>604.67727748815</v>
      </c>
      <c r="CI26" s="37" t="n">
        <f aca="false">CI24*③기타_가정!$E$144</f>
        <v>604.67727748815</v>
      </c>
      <c r="CJ26" s="37" t="n">
        <f aca="false">CJ24*③기타_가정!$E$144</f>
        <v>546.1601216022</v>
      </c>
      <c r="CK26" s="37" t="n">
        <f aca="false">CK24*③기타_가정!$E$144</f>
        <v>616.770823037913</v>
      </c>
      <c r="CL26" s="37" t="n">
        <f aca="false">CL24*③기타_가정!$E$144</f>
        <v>596.87499003669</v>
      </c>
      <c r="CM26" s="37" t="n">
        <f aca="false">CM24*③기타_가정!$E$144</f>
        <v>616.770823037913</v>
      </c>
      <c r="CN26" s="37" t="n">
        <f aca="false">CN24*③기타_가정!$E$144</f>
        <v>596.87499003669</v>
      </c>
      <c r="CO26" s="37" t="n">
        <f aca="false">CO24*③기타_가정!$E$144</f>
        <v>616.770823037913</v>
      </c>
      <c r="CP26" s="37" t="n">
        <f aca="false">CP24*③기타_가정!$E$144</f>
        <v>616.770823037913</v>
      </c>
      <c r="CQ26" s="37" t="n">
        <f aca="false">CQ24*③기타_가정!$E$144</f>
        <v>596.87499003669</v>
      </c>
      <c r="CR26" s="37" t="n">
        <f aca="false">CR24*③기타_가정!$E$144</f>
        <v>616.770823037913</v>
      </c>
      <c r="CS26" s="37" t="n">
        <f aca="false">CS24*③기타_가정!$E$144</f>
        <v>596.87499003669</v>
      </c>
      <c r="CT26" s="37" t="n">
        <f aca="false">CT24*③기타_가정!$E$144</f>
        <v>616.770823037913</v>
      </c>
      <c r="CU26" s="37" t="n">
        <f aca="false">CU24*③기타_가정!$E$144</f>
        <v>616.770823037913</v>
      </c>
      <c r="CV26" s="37" t="n">
        <f aca="false">CV24*③기타_가정!$E$144</f>
        <v>557.083324034244</v>
      </c>
      <c r="CW26" s="37" t="n">
        <f aca="false">CW24*③기타_가정!$E$144</f>
        <v>629.106239498671</v>
      </c>
      <c r="CX26" s="37" t="n">
        <f aca="false">CX24*③기타_가정!$E$144</f>
        <v>608.812489837424</v>
      </c>
      <c r="CY26" s="37" t="n">
        <f aca="false">CY24*③기타_가정!$E$144</f>
        <v>629.106239498671</v>
      </c>
      <c r="CZ26" s="37" t="n">
        <f aca="false">CZ24*③기타_가정!$E$144</f>
        <v>608.812489837424</v>
      </c>
      <c r="DA26" s="37" t="n">
        <f aca="false">DA24*③기타_가정!$E$144</f>
        <v>629.106239498671</v>
      </c>
      <c r="DB26" s="37" t="n">
        <f aca="false">DB24*③기타_가정!$E$144</f>
        <v>629.106239498671</v>
      </c>
      <c r="DC26" s="37" t="n">
        <f aca="false">DC24*③기타_가정!$E$144</f>
        <v>608.812489837424</v>
      </c>
      <c r="DD26" s="37" t="n">
        <f aca="false">DD24*③기타_가정!$E$144</f>
        <v>629.106239498671</v>
      </c>
      <c r="DE26" s="37" t="n">
        <f aca="false">DE24*③기타_가정!$E$144</f>
        <v>608.812489837424</v>
      </c>
      <c r="DF26" s="37" t="n">
        <f aca="false">DF24*③기타_가정!$E$144</f>
        <v>629.106239498671</v>
      </c>
      <c r="DG26" s="37" t="n">
        <f aca="false">DG24*③기타_가정!$E$144</f>
        <v>629.106239498671</v>
      </c>
      <c r="DH26" s="37" t="n">
        <f aca="false">DH24*③기타_가정!$E$144</f>
        <v>568.224990514929</v>
      </c>
      <c r="DI26" s="37" t="n">
        <f aca="false">DI24*③기타_가정!$E$144</f>
        <v>641.688364288645</v>
      </c>
      <c r="DJ26" s="37" t="n">
        <f aca="false">DJ24*③기타_가정!$E$144</f>
        <v>620.988739634172</v>
      </c>
      <c r="DK26" s="37" t="n">
        <f aca="false">DK24*③기타_가정!$E$144</f>
        <v>641.688364288645</v>
      </c>
      <c r="DL26" s="37" t="n">
        <f aca="false">DL24*③기타_가정!$E$144</f>
        <v>620.988739634172</v>
      </c>
      <c r="DM26" s="37" t="n">
        <f aca="false">DM24*③기타_가정!$E$144</f>
        <v>641.688364288645</v>
      </c>
      <c r="DN26" s="37" t="n">
        <f aca="false">DN24*③기타_가정!$E$144</f>
        <v>641.688364288645</v>
      </c>
      <c r="DO26" s="37" t="n">
        <f aca="false">DO24*③기타_가정!$E$144</f>
        <v>620.988739634172</v>
      </c>
      <c r="DP26" s="37" t="n">
        <f aca="false">DP24*③기타_가정!$E$144</f>
        <v>641.688364288645</v>
      </c>
      <c r="DQ26" s="37" t="n">
        <f aca="false">DQ24*③기타_가정!$E$144</f>
        <v>620.988739634172</v>
      </c>
      <c r="DR26" s="37" t="n">
        <f aca="false">DR24*③기타_가정!$E$144</f>
        <v>641.688364288645</v>
      </c>
      <c r="DS26" s="37" t="n">
        <f aca="false">DS24*③기타_가정!$E$144</f>
        <v>641.688364288645</v>
      </c>
      <c r="DT26" s="37" t="n">
        <f aca="false">DT24*③기타_가정!$E$144</f>
        <v>600.2891149797</v>
      </c>
      <c r="DU26" s="37" t="n">
        <f aca="false">DU24*③기타_가정!$E$144</f>
        <v>0</v>
      </c>
      <c r="DV26" s="37" t="n">
        <f aca="false">DV24*③기타_가정!$E$144</f>
        <v>0</v>
      </c>
      <c r="DW26" s="37" t="n">
        <f aca="false">DW24*③기타_가정!$E$144</f>
        <v>0</v>
      </c>
      <c r="DX26" s="37" t="n">
        <f aca="false">DX24*③기타_가정!$E$144</f>
        <v>0</v>
      </c>
      <c r="DY26" s="37" t="n">
        <f aca="false">DY24*③기타_가정!$E$144</f>
        <v>0</v>
      </c>
      <c r="DZ26" s="37" t="n">
        <f aca="false">DZ24*③기타_가정!$E$144</f>
        <v>0</v>
      </c>
      <c r="EA26" s="37" t="n">
        <f aca="false">EA24*③기타_가정!$E$144</f>
        <v>0</v>
      </c>
      <c r="EB26" s="37" t="n">
        <f aca="false">EB24*③기타_가정!$E$144</f>
        <v>0</v>
      </c>
      <c r="EC26" s="37" t="n">
        <f aca="false">EC24*③기타_가정!$E$144</f>
        <v>0</v>
      </c>
      <c r="ED26" s="37" t="n">
        <f aca="false">ED24*③기타_가정!$E$144</f>
        <v>0</v>
      </c>
      <c r="EE26" s="37" t="n">
        <f aca="false">EE24*③기타_가정!$E$144</f>
        <v>0</v>
      </c>
      <c r="EF26" s="37" t="n">
        <f aca="false">EF24*③기타_가정!$E$144</f>
        <v>0</v>
      </c>
    </row>
    <row r="27" customFormat="false" ht="15" hidden="false" customHeight="false" outlineLevel="0" collapsed="false">
      <c r="A27" s="36" t="s">
        <v>582</v>
      </c>
      <c r="B27" s="278" t="s">
        <v>21</v>
      </c>
      <c r="C27" s="279" t="n">
        <f aca="false">SUM(E27:EF27)</f>
        <v>214271.357523264</v>
      </c>
      <c r="E27" s="37" t="n">
        <f aca="false">(E14=1)*③기타_가정!$F$38*③기타_가정!$E$148*③기타_가정!$E$159*CHOOSE(MIN(MAX(E16,1),3),③기타_가정!$E$160,③기타_가정!$E$161,③기타_가정!$E$162)*E18/1000000*(1+③기타_가정!$E$155)^(MAX(E16,1)-1)</f>
        <v>0</v>
      </c>
      <c r="F27" s="37" t="n">
        <f aca="false">(F14=1)*③기타_가정!$F$38*③기타_가정!$E$148*③기타_가정!$E$159*CHOOSE(MIN(MAX(F16,1),3),③기타_가정!$E$160,③기타_가정!$E$161,③기타_가정!$E$162)*F18/1000000*(1+③기타_가정!$E$155)^(MAX(F16,1)-1)</f>
        <v>0</v>
      </c>
      <c r="G27" s="37" t="n">
        <f aca="false">(G14=1)*③기타_가정!$F$38*③기타_가정!$E$148*③기타_가정!$E$159*CHOOSE(MIN(MAX(G16,1),3),③기타_가정!$E$160,③기타_가정!$E$161,③기타_가정!$E$162)*G18/1000000*(1+③기타_가정!$E$155)^(MAX(G16,1)-1)</f>
        <v>0</v>
      </c>
      <c r="H27" s="37" t="n">
        <f aca="false">(H14=1)*③기타_가정!$F$38*③기타_가정!$E$148*③기타_가정!$E$159*CHOOSE(MIN(MAX(H16,1),3),③기타_가정!$E$160,③기타_가정!$E$161,③기타_가정!$E$162)*H18/1000000*(1+③기타_가정!$E$155)^(MAX(H16,1)-1)</f>
        <v>0</v>
      </c>
      <c r="I27" s="37" t="n">
        <f aca="false">(I14=1)*③기타_가정!$F$38*③기타_가정!$E$148*③기타_가정!$E$159*CHOOSE(MIN(MAX(I16,1),3),③기타_가정!$E$160,③기타_가정!$E$161,③기타_가정!$E$162)*I18/1000000*(1+③기타_가정!$E$155)^(MAX(I16,1)-1)</f>
        <v>0</v>
      </c>
      <c r="J27" s="37" t="n">
        <f aca="false">(J14=1)*③기타_가정!$F$38*③기타_가정!$E$148*③기타_가정!$E$159*CHOOSE(MIN(MAX(J16,1),3),③기타_가정!$E$160,③기타_가정!$E$161,③기타_가정!$E$162)*J18/1000000*(1+③기타_가정!$E$155)^(MAX(J16,1)-1)</f>
        <v>0</v>
      </c>
      <c r="K27" s="37" t="n">
        <f aca="false">(K14=1)*③기타_가정!$F$38*③기타_가정!$E$148*③기타_가정!$E$159*CHOOSE(MIN(MAX(K16,1),3),③기타_가정!$E$160,③기타_가정!$E$161,③기타_가정!$E$162)*K18/1000000*(1+③기타_가정!$E$155)^(MAX(K16,1)-1)</f>
        <v>0</v>
      </c>
      <c r="L27" s="37" t="n">
        <f aca="false">(L14=1)*③기타_가정!$F$38*③기타_가정!$E$148*③기타_가정!$E$159*CHOOSE(MIN(MAX(L16,1),3),③기타_가정!$E$160,③기타_가정!$E$161,③기타_가정!$E$162)*L18/1000000*(1+③기타_가정!$E$155)^(MAX(L16,1)-1)</f>
        <v>0</v>
      </c>
      <c r="M27" s="37" t="n">
        <f aca="false">(M14=1)*③기타_가정!$F$38*③기타_가정!$E$148*③기타_가정!$E$159*CHOOSE(MIN(MAX(M16,1),3),③기타_가정!$E$160,③기타_가정!$E$161,③기타_가정!$E$162)*M18/1000000*(1+③기타_가정!$E$155)^(MAX(M16,1)-1)</f>
        <v>0</v>
      </c>
      <c r="N27" s="37" t="n">
        <f aca="false">(N14=1)*③기타_가정!$F$38*③기타_가정!$E$148*③기타_가정!$E$159*CHOOSE(MIN(MAX(N16,1),3),③기타_가정!$E$160,③기타_가정!$E$161,③기타_가정!$E$162)*N18/1000000*(1+③기타_가정!$E$155)^(MAX(N16,1)-1)</f>
        <v>0</v>
      </c>
      <c r="O27" s="37" t="n">
        <f aca="false">(O14=1)*③기타_가정!$F$38*③기타_가정!$E$148*③기타_가정!$E$159*CHOOSE(MIN(MAX(O16,1),3),③기타_가정!$E$160,③기타_가정!$E$161,③기타_가정!$E$162)*O18/1000000*(1+③기타_가정!$E$155)^(MAX(O16,1)-1)</f>
        <v>0</v>
      </c>
      <c r="P27" s="37" t="n">
        <f aca="false">(P14=1)*③기타_가정!$F$38*③기타_가정!$E$148*③기타_가정!$E$159*CHOOSE(MIN(MAX(P16,1),3),③기타_가정!$E$160,③기타_가정!$E$161,③기타_가정!$E$162)*P18/1000000*(1+③기타_가정!$E$155)^(MAX(P16,1)-1)</f>
        <v>0</v>
      </c>
      <c r="Q27" s="37" t="n">
        <f aca="false">(Q14=1)*③기타_가정!$F$38*③기타_가정!$E$148*③기타_가정!$E$159*CHOOSE(MIN(MAX(Q16,1),3),③기타_가정!$E$160,③기타_가정!$E$161,③기타_가정!$E$162)*Q18/1000000*(1+③기타_가정!$E$155)^(MAX(Q16,1)-1)</f>
        <v>0</v>
      </c>
      <c r="R27" s="37" t="n">
        <f aca="false">(R14=1)*③기타_가정!$F$38*③기타_가정!$E$148*③기타_가정!$E$159*CHOOSE(MIN(MAX(R16,1),3),③기타_가정!$E$160,③기타_가정!$E$161,③기타_가정!$E$162)*R18/1000000*(1+③기타_가정!$E$155)^(MAX(R16,1)-1)</f>
        <v>0</v>
      </c>
      <c r="S27" s="37" t="n">
        <f aca="false">(S14=1)*③기타_가정!$F$38*③기타_가정!$E$148*③기타_가정!$E$159*CHOOSE(MIN(MAX(S16,1),3),③기타_가정!$E$160,③기타_가정!$E$161,③기타_가정!$E$162)*S18/1000000*(1+③기타_가정!$E$155)^(MAX(S16,1)-1)</f>
        <v>0</v>
      </c>
      <c r="T27" s="37" t="n">
        <f aca="false">(T14=1)*③기타_가정!$F$38*③기타_가정!$E$148*③기타_가정!$E$159*CHOOSE(MIN(MAX(T16,1),3),③기타_가정!$E$160,③기타_가정!$E$161,③기타_가정!$E$162)*T18/1000000*(1+③기타_가정!$E$155)^(MAX(T16,1)-1)</f>
        <v>0</v>
      </c>
      <c r="U27" s="37" t="n">
        <f aca="false">(U14=1)*③기타_가정!$F$38*③기타_가정!$E$148*③기타_가정!$E$159*CHOOSE(MIN(MAX(U16,1),3),③기타_가정!$E$160,③기타_가정!$E$161,③기타_가정!$E$162)*U18/1000000*(1+③기타_가정!$E$155)^(MAX(U16,1)-1)</f>
        <v>0</v>
      </c>
      <c r="V27" s="37" t="n">
        <f aca="false">(V14=1)*③기타_가정!$F$38*③기타_가정!$E$148*③기타_가정!$E$159*CHOOSE(MIN(MAX(V16,1),3),③기타_가정!$E$160,③기타_가정!$E$161,③기타_가정!$E$162)*V18/1000000*(1+③기타_가정!$E$155)^(MAX(V16,1)-1)</f>
        <v>0</v>
      </c>
      <c r="W27" s="37" t="n">
        <f aca="false">(W14=1)*③기타_가정!$F$38*③기타_가정!$E$148*③기타_가정!$E$159*CHOOSE(MIN(MAX(W16,1),3),③기타_가정!$E$160,③기타_가정!$E$161,③기타_가정!$E$162)*W18/1000000*(1+③기타_가정!$E$155)^(MAX(W16,1)-1)</f>
        <v>0</v>
      </c>
      <c r="X27" s="37" t="n">
        <f aca="false">(X14=1)*③기타_가정!$F$38*③기타_가정!$E$148*③기타_가정!$E$159*CHOOSE(MIN(MAX(X16,1),3),③기타_가정!$E$160,③기타_가정!$E$161,③기타_가정!$E$162)*X18/1000000*(1+③기타_가정!$E$155)^(MAX(X16,1)-1)</f>
        <v>0</v>
      </c>
      <c r="Y27" s="37" t="n">
        <f aca="false">(Y14=1)*③기타_가정!$F$38*③기타_가정!$E$148*③기타_가정!$E$159*CHOOSE(MIN(MAX(Y16,1),3),③기타_가정!$E$160,③기타_가정!$E$161,③기타_가정!$E$162)*Y18/1000000*(1+③기타_가정!$E$155)^(MAX(Y16,1)-1)</f>
        <v>0</v>
      </c>
      <c r="Z27" s="37" t="n">
        <f aca="false">(Z14=1)*③기타_가정!$F$38*③기타_가정!$E$148*③기타_가정!$E$159*CHOOSE(MIN(MAX(Z16,1),3),③기타_가정!$E$160,③기타_가정!$E$161,③기타_가정!$E$162)*Z18/1000000*(1+③기타_가정!$E$155)^(MAX(Z16,1)-1)</f>
        <v>0</v>
      </c>
      <c r="AA27" s="37" t="n">
        <f aca="false">(AA14=1)*③기타_가정!$F$38*③기타_가정!$E$148*③기타_가정!$E$159*CHOOSE(MIN(MAX(AA16,1),3),③기타_가정!$E$160,③기타_가정!$E$161,③기타_가정!$E$162)*AA18/1000000*(1+③기타_가정!$E$155)^(MAX(AA16,1)-1)</f>
        <v>0</v>
      </c>
      <c r="AB27" s="37" t="n">
        <f aca="false">(AB14=1)*③기타_가정!$F$38*③기타_가정!$E$148*③기타_가정!$E$159*CHOOSE(MIN(MAX(AB16,1),3),③기타_가정!$E$160,③기타_가정!$E$161,③기타_가정!$E$162)*AB18/1000000*(1+③기타_가정!$E$155)^(MAX(AB16,1)-1)</f>
        <v>0</v>
      </c>
      <c r="AC27" s="37" t="n">
        <f aca="false">(AC14=1)*③기타_가정!$F$38*③기타_가정!$E$148*③기타_가정!$E$159*CHOOSE(MIN(MAX(AC16,1),3),③기타_가정!$E$160,③기타_가정!$E$161,③기타_가정!$E$162)*AC18/1000000*(1+③기타_가정!$E$155)^(MAX(AC16,1)-1)</f>
        <v>0</v>
      </c>
      <c r="AD27" s="37" t="n">
        <f aca="false">(AD14=1)*③기타_가정!$F$38*③기타_가정!$E$148*③기타_가정!$E$159*CHOOSE(MIN(MAX(AD16,1),3),③기타_가정!$E$160,③기타_가정!$E$161,③기타_가정!$E$162)*AD18/1000000*(1+③기타_가정!$E$155)^(MAX(AD16,1)-1)</f>
        <v>0</v>
      </c>
      <c r="AE27" s="37" t="n">
        <f aca="false">(AE14=1)*③기타_가정!$F$38*③기타_가정!$E$148*③기타_가정!$E$159*CHOOSE(MIN(MAX(AE16,1),3),③기타_가정!$E$160,③기타_가정!$E$161,③기타_가정!$E$162)*AE18/1000000*(1+③기타_가정!$E$155)^(MAX(AE16,1)-1)</f>
        <v>0</v>
      </c>
      <c r="AF27" s="37" t="n">
        <f aca="false">(AF14=1)*③기타_가정!$F$38*③기타_가정!$E$148*③기타_가정!$E$159*CHOOSE(MIN(MAX(AF16,1),3),③기타_가정!$E$160,③기타_가정!$E$161,③기타_가정!$E$162)*AF18/1000000*(1+③기타_가정!$E$155)^(MAX(AF16,1)-1)</f>
        <v>0</v>
      </c>
      <c r="AG27" s="37" t="n">
        <f aca="false">(AG14=1)*③기타_가정!$F$38*③기타_가정!$E$148*③기타_가정!$E$159*CHOOSE(MIN(MAX(AG16,1),3),③기타_가정!$E$160,③기타_가정!$E$161,③기타_가정!$E$162)*AG18/1000000*(1+③기타_가정!$E$155)^(MAX(AG16,1)-1)</f>
        <v>0</v>
      </c>
      <c r="AH27" s="37" t="n">
        <f aca="false">(AH14=1)*③기타_가정!$F$38*③기타_가정!$E$148*③기타_가정!$E$159*CHOOSE(MIN(MAX(AH16,1),3),③기타_가정!$E$160,③기타_가정!$E$161,③기타_가정!$E$162)*AH18/1000000*(1+③기타_가정!$E$155)^(MAX(AH16,1)-1)</f>
        <v>0</v>
      </c>
      <c r="AI27" s="37" t="n">
        <f aca="false">(AI14=1)*③기타_가정!$F$38*③기타_가정!$E$148*③기타_가정!$E$159*CHOOSE(MIN(MAX(AI16,1),3),③기타_가정!$E$160,③기타_가정!$E$161,③기타_가정!$E$162)*AI18/1000000*(1+③기타_가정!$E$155)^(MAX(AI16,1)-1)</f>
        <v>0</v>
      </c>
      <c r="AJ27" s="37" t="n">
        <f aca="false">(AJ14=1)*③기타_가정!$F$38*③기타_가정!$E$148*③기타_가정!$E$159*CHOOSE(MIN(MAX(AJ16,1),3),③기타_가정!$E$160,③기타_가정!$E$161,③기타_가정!$E$162)*AJ18/1000000*(1+③기타_가정!$E$155)^(MAX(AJ16,1)-1)</f>
        <v>0</v>
      </c>
      <c r="AK27" s="37" t="n">
        <f aca="false">(AK14=1)*③기타_가정!$F$38*③기타_가정!$E$148*③기타_가정!$E$159*CHOOSE(MIN(MAX(AK16,1),3),③기타_가정!$E$160,③기타_가정!$E$161,③기타_가정!$E$162)*AK18/1000000*(1+③기타_가정!$E$155)^(MAX(AK16,1)-1)</f>
        <v>0</v>
      </c>
      <c r="AL27" s="37" t="n">
        <f aca="false">(AL14=1)*③기타_가정!$F$38*③기타_가정!$E$148*③기타_가정!$E$159*CHOOSE(MIN(MAX(AL16,1),3),③기타_가정!$E$160,③기타_가정!$E$161,③기타_가정!$E$162)*AL18/1000000*(1+③기타_가정!$E$155)^(MAX(AL16,1)-1)</f>
        <v>0</v>
      </c>
      <c r="AM27" s="37" t="n">
        <f aca="false">(AM14=1)*③기타_가정!$F$38*③기타_가정!$E$148*③기타_가정!$E$159*CHOOSE(MIN(MAX(AM16,1),3),③기타_가정!$E$160,③기타_가정!$E$161,③기타_가정!$E$162)*AM18/1000000*(1+③기타_가정!$E$155)^(MAX(AM16,1)-1)</f>
        <v>0</v>
      </c>
      <c r="AN27" s="37" t="n">
        <f aca="false">(AN14=1)*③기타_가정!$F$38*③기타_가정!$E$148*③기타_가정!$E$159*CHOOSE(MIN(MAX(AN16,1),3),③기타_가정!$E$160,③기타_가정!$E$161,③기타_가정!$E$162)*AN18/1000000*(1+③기타_가정!$E$155)^(MAX(AN16,1)-1)</f>
        <v>0</v>
      </c>
      <c r="AO27" s="37" t="n">
        <f aca="false">(AO14=1)*③기타_가정!$F$38*③기타_가정!$E$148*③기타_가정!$E$159*CHOOSE(MIN(MAX(AO16,1),3),③기타_가정!$E$160,③기타_가정!$E$161,③기타_가정!$E$162)*AO18/1000000*(1+③기타_가정!$E$155)^(MAX(AO16,1)-1)</f>
        <v>0</v>
      </c>
      <c r="AP27" s="37" t="n">
        <f aca="false">(AP14=1)*③기타_가정!$F$38*③기타_가정!$E$148*③기타_가정!$E$159*CHOOSE(MIN(MAX(AP16,1),3),③기타_가정!$E$160,③기타_가정!$E$161,③기타_가정!$E$162)*AP18/1000000*(1+③기타_가정!$E$155)^(MAX(AP16,1)-1)</f>
        <v>0</v>
      </c>
      <c r="AQ27" s="37" t="n">
        <f aca="false">(AQ14=1)*③기타_가정!$F$38*③기타_가정!$E$148*③기타_가정!$E$159*CHOOSE(MIN(MAX(AQ16,1),3),③기타_가정!$E$160,③기타_가정!$E$161,③기타_가정!$E$162)*AQ18/1000000*(1+③기타_가정!$E$155)^(MAX(AQ16,1)-1)</f>
        <v>0</v>
      </c>
      <c r="AR27" s="37" t="n">
        <f aca="false">(AR14=1)*③기타_가정!$F$38*③기타_가정!$E$148*③기타_가정!$E$159*CHOOSE(MIN(MAX(AR16,1),3),③기타_가정!$E$160,③기타_가정!$E$161,③기타_가정!$E$162)*AR18/1000000*(1+③기타_가정!$E$155)^(MAX(AR16,1)-1)</f>
        <v>0</v>
      </c>
      <c r="AS27" s="37" t="n">
        <f aca="false">(AS14=1)*③기타_가정!$F$38*③기타_가정!$E$148*③기타_가정!$E$159*CHOOSE(MIN(MAX(AS16,1),3),③기타_가정!$E$160,③기타_가정!$E$161,③기타_가정!$E$162)*AS18/1000000*(1+③기타_가정!$E$155)^(MAX(AS16,1)-1)</f>
        <v>0</v>
      </c>
      <c r="AT27" s="37" t="n">
        <f aca="false">(AT14=1)*③기타_가정!$F$38*③기타_가정!$E$148*③기타_가정!$E$159*CHOOSE(MIN(MAX(AT16,1),3),③기타_가정!$E$160,③기타_가정!$E$161,③기타_가정!$E$162)*AT18/1000000*(1+③기타_가정!$E$155)^(MAX(AT16,1)-1)</f>
        <v>0</v>
      </c>
      <c r="AU27" s="37" t="n">
        <f aca="false">(AU14=1)*③기타_가정!$F$38*③기타_가정!$E$148*③기타_가정!$E$159*CHOOSE(MIN(MAX(AU16,1),3),③기타_가정!$E$160,③기타_가정!$E$161,③기타_가정!$E$162)*AU18/1000000*(1+③기타_가정!$E$155)^(MAX(AU16,1)-1)</f>
        <v>0</v>
      </c>
      <c r="AV27" s="37" t="n">
        <f aca="false">(AV14=1)*③기타_가정!$F$38*③기타_가정!$E$148*③기타_가정!$E$159*CHOOSE(MIN(MAX(AV16,1),3),③기타_가정!$E$160,③기타_가정!$E$161,③기타_가정!$E$162)*AV18/1000000*(1+③기타_가정!$E$155)^(MAX(AV16,1)-1)</f>
        <v>0</v>
      </c>
      <c r="AW27" s="37" t="n">
        <f aca="false">(AW14=1)*③기타_가정!$F$38*③기타_가정!$E$148*③기타_가정!$E$159*CHOOSE(MIN(MAX(AW16,1),3),③기타_가정!$E$160,③기타_가정!$E$161,③기타_가정!$E$162)*AW18/1000000*(1+③기타_가정!$E$155)^(MAX(AW16,1)-1)</f>
        <v>0</v>
      </c>
      <c r="AX27" s="37" t="n">
        <f aca="false">(AX14=1)*③기타_가정!$F$38*③기타_가정!$E$148*③기타_가정!$E$159*CHOOSE(MIN(MAX(AX16,1),3),③기타_가정!$E$160,③기타_가정!$E$161,③기타_가정!$E$162)*AX18/1000000*(1+③기타_가정!$E$155)^(MAX(AX16,1)-1)</f>
        <v>0</v>
      </c>
      <c r="AY27" s="37" t="n">
        <f aca="false">(AY14=1)*③기타_가정!$F$38*③기타_가정!$E$148*③기타_가정!$E$159*CHOOSE(MIN(MAX(AY16,1),3),③기타_가정!$E$160,③기타_가정!$E$161,③기타_가정!$E$162)*AY18/1000000*(1+③기타_가정!$E$155)^(MAX(AY16,1)-1)</f>
        <v>0</v>
      </c>
      <c r="AZ27" s="37" t="n">
        <f aca="false">(AZ14=1)*③기타_가정!$F$38*③기타_가정!$E$148*③기타_가정!$E$159*CHOOSE(MIN(MAX(AZ16,1),3),③기타_가정!$E$160,③기타_가정!$E$161,③기타_가정!$E$162)*AZ18/1000000*(1+③기타_가정!$E$155)^(MAX(AZ16,1)-1)</f>
        <v>0</v>
      </c>
      <c r="BA27" s="37" t="n">
        <f aca="false">(BA14=1)*③기타_가정!$F$38*③기타_가정!$E$148*③기타_가정!$E$159*CHOOSE(MIN(MAX(BA16,1),3),③기타_가정!$E$160,③기타_가정!$E$161,③기타_가정!$E$162)*BA18/1000000*(1+③기타_가정!$E$155)^(MAX(BA16,1)-1)</f>
        <v>0</v>
      </c>
      <c r="BB27" s="37" t="n">
        <f aca="false">(BB14=1)*③기타_가정!$F$38*③기타_가정!$E$148*③기타_가정!$E$159*CHOOSE(MIN(MAX(BB16,1),3),③기타_가정!$E$160,③기타_가정!$E$161,③기타_가정!$E$162)*BB18/1000000*(1+③기타_가정!$E$155)^(MAX(BB16,1)-1)</f>
        <v>0</v>
      </c>
      <c r="BC27" s="37" t="n">
        <f aca="false">(BC14=1)*③기타_가정!$F$38*③기타_가정!$E$148*③기타_가정!$E$159*CHOOSE(MIN(MAX(BC16,1),3),③기타_가정!$E$160,③기타_가정!$E$161,③기타_가정!$E$162)*BC18/1000000*(1+③기타_가정!$E$155)^(MAX(BC16,1)-1)</f>
        <v>0</v>
      </c>
      <c r="BD27" s="37" t="n">
        <f aca="false">(BD14=1)*③기타_가정!$F$38*③기타_가정!$E$148*③기타_가정!$E$159*CHOOSE(MIN(MAX(BD16,1),3),③기타_가정!$E$160,③기타_가정!$E$161,③기타_가정!$E$162)*BD18/1000000*(1+③기타_가정!$E$155)^(MAX(BD16,1)-1)</f>
        <v>0</v>
      </c>
      <c r="BE27" s="37" t="n">
        <f aca="false">(BE14=1)*③기타_가정!$F$38*③기타_가정!$E$148*③기타_가정!$E$159*CHOOSE(MIN(MAX(BE16,1),3),③기타_가정!$E$160,③기타_가정!$E$161,③기타_가정!$E$162)*BE18/1000000*(1+③기타_가정!$E$155)^(MAX(BE16,1)-1)</f>
        <v>0</v>
      </c>
      <c r="BF27" s="37" t="n">
        <f aca="false">(BF14=1)*③기타_가정!$F$38*③기타_가정!$E$148*③기타_가정!$E$159*CHOOSE(MIN(MAX(BF16,1),3),③기타_가정!$E$160,③기타_가정!$E$161,③기타_가정!$E$162)*BF18/1000000*(1+③기타_가정!$E$155)^(MAX(BF16,1)-1)</f>
        <v>0</v>
      </c>
      <c r="BG27" s="37" t="n">
        <f aca="false">(BG14=1)*③기타_가정!$F$38*③기타_가정!$E$148*③기타_가정!$E$159*CHOOSE(MIN(MAX(BG16,1),3),③기타_가정!$E$160,③기타_가정!$E$161,③기타_가정!$E$162)*BG18/1000000*(1+③기타_가정!$E$155)^(MAX(BG16,1)-1)</f>
        <v>0</v>
      </c>
      <c r="BH27" s="37" t="n">
        <f aca="false">(BH14=1)*③기타_가정!$F$38*③기타_가정!$E$148*③기타_가정!$E$159*CHOOSE(MIN(MAX(BH16,1),3),③기타_가정!$E$160,③기타_가정!$E$161,③기타_가정!$E$162)*BH18/1000000*(1+③기타_가정!$E$155)^(MAX(BH16,1)-1)</f>
        <v>0</v>
      </c>
      <c r="BI27" s="37" t="n">
        <f aca="false">(BI14=1)*③기타_가정!$F$38*③기타_가정!$E$148*③기타_가정!$E$159*CHOOSE(MIN(MAX(BI16,1),3),③기타_가정!$E$160,③기타_가정!$E$161,③기타_가정!$E$162)*BI18/1000000*(1+③기타_가정!$E$155)^(MAX(BI16,1)-1)</f>
        <v>0</v>
      </c>
      <c r="BJ27" s="37" t="n">
        <f aca="false">(BJ14=1)*③기타_가정!$F$38*③기타_가정!$E$148*③기타_가정!$E$159*CHOOSE(MIN(MAX(BJ16,1),3),③기타_가정!$E$160,③기타_가정!$E$161,③기타_가정!$E$162)*BJ18/1000000*(1+③기타_가정!$E$155)^(MAX(BJ16,1)-1)</f>
        <v>0</v>
      </c>
      <c r="BK27" s="37" t="n">
        <f aca="false">(BK14=1)*③기타_가정!$F$38*③기타_가정!$E$148*③기타_가정!$E$159*CHOOSE(MIN(MAX(BK16,1),3),③기타_가정!$E$160,③기타_가정!$E$161,③기타_가정!$E$162)*BK18/1000000*(1+③기타_가정!$E$155)^(MAX(BK16,1)-1)</f>
        <v>0</v>
      </c>
      <c r="BL27" s="37" t="n">
        <f aca="false">(BL14=1)*③기타_가정!$F$38*③기타_가정!$E$148*③기타_가정!$E$159*CHOOSE(MIN(MAX(BL16,1),3),③기타_가정!$E$160,③기타_가정!$E$161,③기타_가정!$E$162)*BL18/1000000*(1+③기타_가정!$E$155)^(MAX(BL16,1)-1)</f>
        <v>0</v>
      </c>
      <c r="BM27" s="37" t="n">
        <f aca="false">(BM14=1)*③기타_가정!$F$38*③기타_가정!$E$148*③기타_가정!$E$159*CHOOSE(MIN(MAX(BM16,1),3),③기타_가정!$E$160,③기타_가정!$E$161,③기타_가정!$E$162)*BM18/1000000*(1+③기타_가정!$E$155)^(MAX(BM16,1)-1)</f>
        <v>3107.13</v>
      </c>
      <c r="BN27" s="37" t="n">
        <f aca="false">(BN14=1)*③기타_가정!$F$38*③기타_가정!$E$148*③기타_가정!$E$159*CHOOSE(MIN(MAX(BN16,1),3),③기타_가정!$E$160,③기타_가정!$E$161,③기타_가정!$E$162)*BN18/1000000*(1+③기타_가정!$E$155)^(MAX(BN16,1)-1)</f>
        <v>3006.9</v>
      </c>
      <c r="BO27" s="37" t="n">
        <f aca="false">(BO14=1)*③기타_가정!$F$38*③기타_가정!$E$148*③기타_가정!$E$159*CHOOSE(MIN(MAX(BO16,1),3),③기타_가정!$E$160,③기타_가정!$E$161,③기타_가정!$E$162)*BO18/1000000*(1+③기타_가정!$E$155)^(MAX(BO16,1)-1)</f>
        <v>3107.13</v>
      </c>
      <c r="BP27" s="37" t="n">
        <f aca="false">(BP14=1)*③기타_가정!$F$38*③기타_가정!$E$148*③기타_가정!$E$159*CHOOSE(MIN(MAX(BP16,1),3),③기타_가정!$E$160,③기타_가정!$E$161,③기타_가정!$E$162)*BP18/1000000*(1+③기타_가정!$E$155)^(MAX(BP16,1)-1)</f>
        <v>3006.9</v>
      </c>
      <c r="BQ27" s="37" t="n">
        <f aca="false">(BQ14=1)*③기타_가정!$F$38*③기타_가정!$E$148*③기타_가정!$E$159*CHOOSE(MIN(MAX(BQ16,1),3),③기타_가정!$E$160,③기타_가정!$E$161,③기타_가정!$E$162)*BQ18/1000000*(1+③기타_가정!$E$155)^(MAX(BQ16,1)-1)</f>
        <v>3107.13</v>
      </c>
      <c r="BR27" s="37" t="n">
        <f aca="false">(BR14=1)*③기타_가정!$F$38*③기타_가정!$E$148*③기타_가정!$E$159*CHOOSE(MIN(MAX(BR16,1),3),③기타_가정!$E$160,③기타_가정!$E$161,③기타_가정!$E$162)*BR18/1000000*(1+③기타_가정!$E$155)^(MAX(BR16,1)-1)</f>
        <v>3107.13</v>
      </c>
      <c r="BS27" s="37" t="n">
        <f aca="false">(BS14=1)*③기타_가정!$F$38*③기타_가정!$E$148*③기타_가정!$E$159*CHOOSE(MIN(MAX(BS16,1),3),③기타_가정!$E$160,③기타_가정!$E$161,③기타_가정!$E$162)*BS18/1000000*(1+③기타_가정!$E$155)^(MAX(BS16,1)-1)</f>
        <v>3006.9</v>
      </c>
      <c r="BT27" s="37" t="n">
        <f aca="false">(BT14=1)*③기타_가정!$F$38*③기타_가정!$E$148*③기타_가정!$E$159*CHOOSE(MIN(MAX(BT16,1),3),③기타_가정!$E$160,③기타_가정!$E$161,③기타_가정!$E$162)*BT18/1000000*(1+③기타_가정!$E$155)^(MAX(BT16,1)-1)</f>
        <v>3107.13</v>
      </c>
      <c r="BU27" s="37" t="n">
        <f aca="false">(BU14=1)*③기타_가정!$F$38*③기타_가정!$E$148*③기타_가정!$E$159*CHOOSE(MIN(MAX(BU16,1),3),③기타_가정!$E$160,③기타_가정!$E$161,③기타_가정!$E$162)*BU18/1000000*(1+③기타_가정!$E$155)^(MAX(BU16,1)-1)</f>
        <v>3006.9</v>
      </c>
      <c r="BV27" s="37" t="n">
        <f aca="false">(BV14=1)*③기타_가정!$F$38*③기타_가정!$E$148*③기타_가정!$E$159*CHOOSE(MIN(MAX(BV16,1),3),③기타_가정!$E$160,③기타_가정!$E$161,③기타_가정!$E$162)*BV18/1000000*(1+③기타_가정!$E$155)^(MAX(BV16,1)-1)</f>
        <v>3107.13</v>
      </c>
      <c r="BW27" s="37" t="n">
        <f aca="false">(BW14=1)*③기타_가정!$F$38*③기타_가정!$E$148*③기타_가정!$E$159*CHOOSE(MIN(MAX(BW16,1),3),③기타_가정!$E$160,③기타_가정!$E$161,③기타_가정!$E$162)*BW18/1000000*(1+③기타_가정!$E$155)^(MAX(BW16,1)-1)</f>
        <v>3107.13</v>
      </c>
      <c r="BX27" s="37" t="n">
        <f aca="false">(BX14=1)*③기타_가정!$F$38*③기타_가정!$E$148*③기타_가정!$E$159*CHOOSE(MIN(MAX(BX16,1),3),③기타_가정!$E$160,③기타_가정!$E$161,③기타_가정!$E$162)*BX18/1000000*(1+③기타_가정!$E$155)^(MAX(BX16,1)-1)</f>
        <v>2906.67</v>
      </c>
      <c r="BY27" s="37" t="n">
        <f aca="false">(BY14=1)*③기타_가정!$F$38*③기타_가정!$E$148*③기타_가정!$E$159*CHOOSE(MIN(MAX(BY16,1),3),③기타_가정!$E$160,③기타_가정!$E$161,③기타_가정!$E$162)*BY18/1000000*(1+③기타_가정!$E$155)^(MAX(BY16,1)-1)</f>
        <v>3656.853</v>
      </c>
      <c r="BZ27" s="37" t="n">
        <f aca="false">(BZ14=1)*③기타_가정!$F$38*③기타_가정!$E$148*③기타_가정!$E$159*CHOOSE(MIN(MAX(BZ16,1),3),③기타_가정!$E$160,③기타_가정!$E$161,③기타_가정!$E$162)*BZ18/1000000*(1+③기타_가정!$E$155)^(MAX(BZ16,1)-1)</f>
        <v>3538.89</v>
      </c>
      <c r="CA27" s="37" t="n">
        <f aca="false">(CA14=1)*③기타_가정!$F$38*③기타_가정!$E$148*③기타_가정!$E$159*CHOOSE(MIN(MAX(CA16,1),3),③기타_가정!$E$160,③기타_가정!$E$161,③기타_가정!$E$162)*CA18/1000000*(1+③기타_가정!$E$155)^(MAX(CA16,1)-1)</f>
        <v>3656.853</v>
      </c>
      <c r="CB27" s="37" t="n">
        <f aca="false">(CB14=1)*③기타_가정!$F$38*③기타_가정!$E$148*③기타_가정!$E$159*CHOOSE(MIN(MAX(CB16,1),3),③기타_가정!$E$160,③기타_가정!$E$161,③기타_가정!$E$162)*CB18/1000000*(1+③기타_가정!$E$155)^(MAX(CB16,1)-1)</f>
        <v>3538.89</v>
      </c>
      <c r="CC27" s="37" t="n">
        <f aca="false">(CC14=1)*③기타_가정!$F$38*③기타_가정!$E$148*③기타_가정!$E$159*CHOOSE(MIN(MAX(CC16,1),3),③기타_가정!$E$160,③기타_가정!$E$161,③기타_가정!$E$162)*CC18/1000000*(1+③기타_가정!$E$155)^(MAX(CC16,1)-1)</f>
        <v>3656.853</v>
      </c>
      <c r="CD27" s="37" t="n">
        <f aca="false">(CD14=1)*③기타_가정!$F$38*③기타_가정!$E$148*③기타_가정!$E$159*CHOOSE(MIN(MAX(CD16,1),3),③기타_가정!$E$160,③기타_가정!$E$161,③기타_가정!$E$162)*CD18/1000000*(1+③기타_가정!$E$155)^(MAX(CD16,1)-1)</f>
        <v>3656.853</v>
      </c>
      <c r="CE27" s="37" t="n">
        <f aca="false">(CE14=1)*③기타_가정!$F$38*③기타_가정!$E$148*③기타_가정!$E$159*CHOOSE(MIN(MAX(CE16,1),3),③기타_가정!$E$160,③기타_가정!$E$161,③기타_가정!$E$162)*CE18/1000000*(1+③기타_가정!$E$155)^(MAX(CE16,1)-1)</f>
        <v>3538.89</v>
      </c>
      <c r="CF27" s="37" t="n">
        <f aca="false">(CF14=1)*③기타_가정!$F$38*③기타_가정!$E$148*③기타_가정!$E$159*CHOOSE(MIN(MAX(CF16,1),3),③기타_가정!$E$160,③기타_가정!$E$161,③기타_가정!$E$162)*CF18/1000000*(1+③기타_가정!$E$155)^(MAX(CF16,1)-1)</f>
        <v>3656.853</v>
      </c>
      <c r="CG27" s="37" t="n">
        <f aca="false">(CG14=1)*③기타_가정!$F$38*③기타_가정!$E$148*③기타_가정!$E$159*CHOOSE(MIN(MAX(CG16,1),3),③기타_가정!$E$160,③기타_가정!$E$161,③기타_가정!$E$162)*CG18/1000000*(1+③기타_가정!$E$155)^(MAX(CG16,1)-1)</f>
        <v>3538.89</v>
      </c>
      <c r="CH27" s="37" t="n">
        <f aca="false">(CH14=1)*③기타_가정!$F$38*③기타_가정!$E$148*③기타_가정!$E$159*CHOOSE(MIN(MAX(CH16,1),3),③기타_가정!$E$160,③기타_가정!$E$161,③기타_가정!$E$162)*CH18/1000000*(1+③기타_가정!$E$155)^(MAX(CH16,1)-1)</f>
        <v>3656.853</v>
      </c>
      <c r="CI27" s="37" t="n">
        <f aca="false">(CI14=1)*③기타_가정!$F$38*③기타_가정!$E$148*③기타_가정!$E$159*CHOOSE(MIN(MAX(CI16,1),3),③기타_가정!$E$160,③기타_가정!$E$161,③기타_가정!$E$162)*CI18/1000000*(1+③기타_가정!$E$155)^(MAX(CI16,1)-1)</f>
        <v>3656.853</v>
      </c>
      <c r="CJ27" s="37" t="n">
        <f aca="false">(CJ14=1)*③기타_가정!$F$38*③기타_가정!$E$148*③기타_가정!$E$159*CHOOSE(MIN(MAX(CJ16,1),3),③기타_가정!$E$160,③기타_가정!$E$161,③기타_가정!$E$162)*CJ18/1000000*(1+③기타_가정!$E$155)^(MAX(CJ16,1)-1)</f>
        <v>3302.964</v>
      </c>
      <c r="CK27" s="37" t="n">
        <f aca="false">(CK14=1)*③기타_가정!$F$38*③기타_가정!$E$148*③기타_가정!$E$159*CHOOSE(MIN(MAX(CK16,1),3),③기타_가정!$E$160,③기타_가정!$E$161,③기타_가정!$E$162)*CK18/1000000*(1+③기타_가정!$E$155)^(MAX(CK16,1)-1)</f>
        <v>3729.99006</v>
      </c>
      <c r="CL27" s="37" t="n">
        <f aca="false">(CL14=1)*③기타_가정!$F$38*③기타_가정!$E$148*③기타_가정!$E$159*CHOOSE(MIN(MAX(CL16,1),3),③기타_가정!$E$160,③기타_가정!$E$161,③기타_가정!$E$162)*CL18/1000000*(1+③기타_가정!$E$155)^(MAX(CL16,1)-1)</f>
        <v>3609.6678</v>
      </c>
      <c r="CM27" s="37" t="n">
        <f aca="false">(CM14=1)*③기타_가정!$F$38*③기타_가정!$E$148*③기타_가정!$E$159*CHOOSE(MIN(MAX(CM16,1),3),③기타_가정!$E$160,③기타_가정!$E$161,③기타_가정!$E$162)*CM18/1000000*(1+③기타_가정!$E$155)^(MAX(CM16,1)-1)</f>
        <v>3729.99006</v>
      </c>
      <c r="CN27" s="37" t="n">
        <f aca="false">(CN14=1)*③기타_가정!$F$38*③기타_가정!$E$148*③기타_가정!$E$159*CHOOSE(MIN(MAX(CN16,1),3),③기타_가정!$E$160,③기타_가정!$E$161,③기타_가정!$E$162)*CN18/1000000*(1+③기타_가정!$E$155)^(MAX(CN16,1)-1)</f>
        <v>3609.6678</v>
      </c>
      <c r="CO27" s="37" t="n">
        <f aca="false">(CO14=1)*③기타_가정!$F$38*③기타_가정!$E$148*③기타_가정!$E$159*CHOOSE(MIN(MAX(CO16,1),3),③기타_가정!$E$160,③기타_가정!$E$161,③기타_가정!$E$162)*CO18/1000000*(1+③기타_가정!$E$155)^(MAX(CO16,1)-1)</f>
        <v>3729.99006</v>
      </c>
      <c r="CP27" s="37" t="n">
        <f aca="false">(CP14=1)*③기타_가정!$F$38*③기타_가정!$E$148*③기타_가정!$E$159*CHOOSE(MIN(MAX(CP16,1),3),③기타_가정!$E$160,③기타_가정!$E$161,③기타_가정!$E$162)*CP18/1000000*(1+③기타_가정!$E$155)^(MAX(CP16,1)-1)</f>
        <v>3729.99006</v>
      </c>
      <c r="CQ27" s="37" t="n">
        <f aca="false">(CQ14=1)*③기타_가정!$F$38*③기타_가정!$E$148*③기타_가정!$E$159*CHOOSE(MIN(MAX(CQ16,1),3),③기타_가정!$E$160,③기타_가정!$E$161,③기타_가정!$E$162)*CQ18/1000000*(1+③기타_가정!$E$155)^(MAX(CQ16,1)-1)</f>
        <v>3609.6678</v>
      </c>
      <c r="CR27" s="37" t="n">
        <f aca="false">(CR14=1)*③기타_가정!$F$38*③기타_가정!$E$148*③기타_가정!$E$159*CHOOSE(MIN(MAX(CR16,1),3),③기타_가정!$E$160,③기타_가정!$E$161,③기타_가정!$E$162)*CR18/1000000*(1+③기타_가정!$E$155)^(MAX(CR16,1)-1)</f>
        <v>3729.99006</v>
      </c>
      <c r="CS27" s="37" t="n">
        <f aca="false">(CS14=1)*③기타_가정!$F$38*③기타_가정!$E$148*③기타_가정!$E$159*CHOOSE(MIN(MAX(CS16,1),3),③기타_가정!$E$160,③기타_가정!$E$161,③기타_가정!$E$162)*CS18/1000000*(1+③기타_가정!$E$155)^(MAX(CS16,1)-1)</f>
        <v>3609.6678</v>
      </c>
      <c r="CT27" s="37" t="n">
        <f aca="false">(CT14=1)*③기타_가정!$F$38*③기타_가정!$E$148*③기타_가정!$E$159*CHOOSE(MIN(MAX(CT16,1),3),③기타_가정!$E$160,③기타_가정!$E$161,③기타_가정!$E$162)*CT18/1000000*(1+③기타_가정!$E$155)^(MAX(CT16,1)-1)</f>
        <v>3729.99006</v>
      </c>
      <c r="CU27" s="37" t="n">
        <f aca="false">(CU14=1)*③기타_가정!$F$38*③기타_가정!$E$148*③기타_가정!$E$159*CHOOSE(MIN(MAX(CU16,1),3),③기타_가정!$E$160,③기타_가정!$E$161,③기타_가정!$E$162)*CU18/1000000*(1+③기타_가정!$E$155)^(MAX(CU16,1)-1)</f>
        <v>3729.99006</v>
      </c>
      <c r="CV27" s="37" t="n">
        <f aca="false">(CV14=1)*③기타_가정!$F$38*③기타_가정!$E$148*③기타_가정!$E$159*CHOOSE(MIN(MAX(CV16,1),3),③기타_가정!$E$160,③기타_가정!$E$161,③기타_가정!$E$162)*CV18/1000000*(1+③기타_가정!$E$155)^(MAX(CV16,1)-1)</f>
        <v>3369.02328</v>
      </c>
      <c r="CW27" s="37" t="n">
        <f aca="false">(CW14=1)*③기타_가정!$F$38*③기타_가정!$E$148*③기타_가정!$E$159*CHOOSE(MIN(MAX(CW16,1),3),③기타_가정!$E$160,③기타_가정!$E$161,③기타_가정!$E$162)*CW18/1000000*(1+③기타_가정!$E$155)^(MAX(CW16,1)-1)</f>
        <v>3804.5898612</v>
      </c>
      <c r="CX27" s="37" t="n">
        <f aca="false">(CX14=1)*③기타_가정!$F$38*③기타_가정!$E$148*③기타_가정!$E$159*CHOOSE(MIN(MAX(CX16,1),3),③기타_가정!$E$160,③기타_가정!$E$161,③기타_가정!$E$162)*CX18/1000000*(1+③기타_가정!$E$155)^(MAX(CX16,1)-1)</f>
        <v>3681.861156</v>
      </c>
      <c r="CY27" s="37" t="n">
        <f aca="false">(CY14=1)*③기타_가정!$F$38*③기타_가정!$E$148*③기타_가정!$E$159*CHOOSE(MIN(MAX(CY16,1),3),③기타_가정!$E$160,③기타_가정!$E$161,③기타_가정!$E$162)*CY18/1000000*(1+③기타_가정!$E$155)^(MAX(CY16,1)-1)</f>
        <v>3804.5898612</v>
      </c>
      <c r="CZ27" s="37" t="n">
        <f aca="false">(CZ14=1)*③기타_가정!$F$38*③기타_가정!$E$148*③기타_가정!$E$159*CHOOSE(MIN(MAX(CZ16,1),3),③기타_가정!$E$160,③기타_가정!$E$161,③기타_가정!$E$162)*CZ18/1000000*(1+③기타_가정!$E$155)^(MAX(CZ16,1)-1)</f>
        <v>3681.861156</v>
      </c>
      <c r="DA27" s="37" t="n">
        <f aca="false">(DA14=1)*③기타_가정!$F$38*③기타_가정!$E$148*③기타_가정!$E$159*CHOOSE(MIN(MAX(DA16,1),3),③기타_가정!$E$160,③기타_가정!$E$161,③기타_가정!$E$162)*DA18/1000000*(1+③기타_가정!$E$155)^(MAX(DA16,1)-1)</f>
        <v>3804.5898612</v>
      </c>
      <c r="DB27" s="37" t="n">
        <f aca="false">(DB14=1)*③기타_가정!$F$38*③기타_가정!$E$148*③기타_가정!$E$159*CHOOSE(MIN(MAX(DB16,1),3),③기타_가정!$E$160,③기타_가정!$E$161,③기타_가정!$E$162)*DB18/1000000*(1+③기타_가정!$E$155)^(MAX(DB16,1)-1)</f>
        <v>3804.5898612</v>
      </c>
      <c r="DC27" s="37" t="n">
        <f aca="false">(DC14=1)*③기타_가정!$F$38*③기타_가정!$E$148*③기타_가정!$E$159*CHOOSE(MIN(MAX(DC16,1),3),③기타_가정!$E$160,③기타_가정!$E$161,③기타_가정!$E$162)*DC18/1000000*(1+③기타_가정!$E$155)^(MAX(DC16,1)-1)</f>
        <v>3681.861156</v>
      </c>
      <c r="DD27" s="37" t="n">
        <f aca="false">(DD14=1)*③기타_가정!$F$38*③기타_가정!$E$148*③기타_가정!$E$159*CHOOSE(MIN(MAX(DD16,1),3),③기타_가정!$E$160,③기타_가정!$E$161,③기타_가정!$E$162)*DD18/1000000*(1+③기타_가정!$E$155)^(MAX(DD16,1)-1)</f>
        <v>3804.5898612</v>
      </c>
      <c r="DE27" s="37" t="n">
        <f aca="false">(DE14=1)*③기타_가정!$F$38*③기타_가정!$E$148*③기타_가정!$E$159*CHOOSE(MIN(MAX(DE16,1),3),③기타_가정!$E$160,③기타_가정!$E$161,③기타_가정!$E$162)*DE18/1000000*(1+③기타_가정!$E$155)^(MAX(DE16,1)-1)</f>
        <v>3681.861156</v>
      </c>
      <c r="DF27" s="37" t="n">
        <f aca="false">(DF14=1)*③기타_가정!$F$38*③기타_가정!$E$148*③기타_가정!$E$159*CHOOSE(MIN(MAX(DF16,1),3),③기타_가정!$E$160,③기타_가정!$E$161,③기타_가정!$E$162)*DF18/1000000*(1+③기타_가정!$E$155)^(MAX(DF16,1)-1)</f>
        <v>3804.5898612</v>
      </c>
      <c r="DG27" s="37" t="n">
        <f aca="false">(DG14=1)*③기타_가정!$F$38*③기타_가정!$E$148*③기타_가정!$E$159*CHOOSE(MIN(MAX(DG16,1),3),③기타_가정!$E$160,③기타_가정!$E$161,③기타_가정!$E$162)*DG18/1000000*(1+③기타_가정!$E$155)^(MAX(DG16,1)-1)</f>
        <v>3804.5898612</v>
      </c>
      <c r="DH27" s="37" t="n">
        <f aca="false">(DH14=1)*③기타_가정!$F$38*③기타_가정!$E$148*③기타_가정!$E$159*CHOOSE(MIN(MAX(DH16,1),3),③기타_가정!$E$160,③기타_가정!$E$161,③기타_가정!$E$162)*DH18/1000000*(1+③기타_가정!$E$155)^(MAX(DH16,1)-1)</f>
        <v>3436.4037456</v>
      </c>
      <c r="DI27" s="37" t="n">
        <f aca="false">(DI14=1)*③기타_가정!$F$38*③기타_가정!$E$148*③기타_가정!$E$159*CHOOSE(MIN(MAX(DI16,1),3),③기타_가정!$E$160,③기타_가정!$E$161,③기타_가정!$E$162)*DI18/1000000*(1+③기타_가정!$E$155)^(MAX(DI16,1)-1)</f>
        <v>3880.681658424</v>
      </c>
      <c r="DJ27" s="37" t="n">
        <f aca="false">(DJ14=1)*③기타_가정!$F$38*③기타_가정!$E$148*③기타_가정!$E$159*CHOOSE(MIN(MAX(DJ16,1),3),③기타_가정!$E$160,③기타_가정!$E$161,③기타_가정!$E$162)*DJ18/1000000*(1+③기타_가정!$E$155)^(MAX(DJ16,1)-1)</f>
        <v>3755.49837912</v>
      </c>
      <c r="DK27" s="37" t="n">
        <f aca="false">(DK14=1)*③기타_가정!$F$38*③기타_가정!$E$148*③기타_가정!$E$159*CHOOSE(MIN(MAX(DK16,1),3),③기타_가정!$E$160,③기타_가정!$E$161,③기타_가정!$E$162)*DK18/1000000*(1+③기타_가정!$E$155)^(MAX(DK16,1)-1)</f>
        <v>3880.681658424</v>
      </c>
      <c r="DL27" s="37" t="n">
        <f aca="false">(DL14=1)*③기타_가정!$F$38*③기타_가정!$E$148*③기타_가정!$E$159*CHOOSE(MIN(MAX(DL16,1),3),③기타_가정!$E$160,③기타_가정!$E$161,③기타_가정!$E$162)*DL18/1000000*(1+③기타_가정!$E$155)^(MAX(DL16,1)-1)</f>
        <v>3755.49837912</v>
      </c>
      <c r="DM27" s="37" t="n">
        <f aca="false">(DM14=1)*③기타_가정!$F$38*③기타_가정!$E$148*③기타_가정!$E$159*CHOOSE(MIN(MAX(DM16,1),3),③기타_가정!$E$160,③기타_가정!$E$161,③기타_가정!$E$162)*DM18/1000000*(1+③기타_가정!$E$155)^(MAX(DM16,1)-1)</f>
        <v>3880.681658424</v>
      </c>
      <c r="DN27" s="37" t="n">
        <f aca="false">(DN14=1)*③기타_가정!$F$38*③기타_가정!$E$148*③기타_가정!$E$159*CHOOSE(MIN(MAX(DN16,1),3),③기타_가정!$E$160,③기타_가정!$E$161,③기타_가정!$E$162)*DN18/1000000*(1+③기타_가정!$E$155)^(MAX(DN16,1)-1)</f>
        <v>3880.681658424</v>
      </c>
      <c r="DO27" s="37" t="n">
        <f aca="false">(DO14=1)*③기타_가정!$F$38*③기타_가정!$E$148*③기타_가정!$E$159*CHOOSE(MIN(MAX(DO16,1),3),③기타_가정!$E$160,③기타_가정!$E$161,③기타_가정!$E$162)*DO18/1000000*(1+③기타_가정!$E$155)^(MAX(DO16,1)-1)</f>
        <v>3755.49837912</v>
      </c>
      <c r="DP27" s="37" t="n">
        <f aca="false">(DP14=1)*③기타_가정!$F$38*③기타_가정!$E$148*③기타_가정!$E$159*CHOOSE(MIN(MAX(DP16,1),3),③기타_가정!$E$160,③기타_가정!$E$161,③기타_가정!$E$162)*DP18/1000000*(1+③기타_가정!$E$155)^(MAX(DP16,1)-1)</f>
        <v>3880.681658424</v>
      </c>
      <c r="DQ27" s="37" t="n">
        <f aca="false">(DQ14=1)*③기타_가정!$F$38*③기타_가정!$E$148*③기타_가정!$E$159*CHOOSE(MIN(MAX(DQ16,1),3),③기타_가정!$E$160,③기타_가정!$E$161,③기타_가정!$E$162)*DQ18/1000000*(1+③기타_가정!$E$155)^(MAX(DQ16,1)-1)</f>
        <v>3755.49837912</v>
      </c>
      <c r="DR27" s="37" t="n">
        <f aca="false">(DR14=1)*③기타_가정!$F$38*③기타_가정!$E$148*③기타_가정!$E$159*CHOOSE(MIN(MAX(DR16,1),3),③기타_가정!$E$160,③기타_가정!$E$161,③기타_가정!$E$162)*DR18/1000000*(1+③기타_가정!$E$155)^(MAX(DR16,1)-1)</f>
        <v>3880.681658424</v>
      </c>
      <c r="DS27" s="37" t="n">
        <f aca="false">(DS14=1)*③기타_가정!$F$38*③기타_가정!$E$148*③기타_가정!$E$159*CHOOSE(MIN(MAX(DS16,1),3),③기타_가정!$E$160,③기타_가정!$E$161,③기타_가정!$E$162)*DS18/1000000*(1+③기타_가정!$E$155)^(MAX(DS16,1)-1)</f>
        <v>3880.681658424</v>
      </c>
      <c r="DT27" s="37" t="n">
        <f aca="false">(DT14=1)*③기타_가정!$F$38*③기타_가정!$E$148*③기타_가정!$E$159*CHOOSE(MIN(MAX(DT16,1),3),③기타_가정!$E$160,③기타_가정!$E$161,③기타_가정!$E$162)*DT18/1000000*(1+③기타_가정!$E$155)^(MAX(DT16,1)-1)</f>
        <v>3630.315099816</v>
      </c>
      <c r="DU27" s="37" t="n">
        <f aca="false">(DU14=1)*③기타_가정!$F$38*③기타_가정!$E$148*③기타_가정!$E$159*CHOOSE(MIN(MAX(DU16,1),3),③기타_가정!$E$160,③기타_가정!$E$161,③기타_가정!$E$162)*DU18/1000000*(1+③기타_가정!$E$155)^(MAX(DU16,1)-1)</f>
        <v>0</v>
      </c>
      <c r="DV27" s="37" t="n">
        <f aca="false">(DV14=1)*③기타_가정!$F$38*③기타_가정!$E$148*③기타_가정!$E$159*CHOOSE(MIN(MAX(DV16,1),3),③기타_가정!$E$160,③기타_가정!$E$161,③기타_가정!$E$162)*DV18/1000000*(1+③기타_가정!$E$155)^(MAX(DV16,1)-1)</f>
        <v>0</v>
      </c>
      <c r="DW27" s="37" t="n">
        <f aca="false">(DW14=1)*③기타_가정!$F$38*③기타_가정!$E$148*③기타_가정!$E$159*CHOOSE(MIN(MAX(DW16,1),3),③기타_가정!$E$160,③기타_가정!$E$161,③기타_가정!$E$162)*DW18/1000000*(1+③기타_가정!$E$155)^(MAX(DW16,1)-1)</f>
        <v>0</v>
      </c>
      <c r="DX27" s="37" t="n">
        <f aca="false">(DX14=1)*③기타_가정!$F$38*③기타_가정!$E$148*③기타_가정!$E$159*CHOOSE(MIN(MAX(DX16,1),3),③기타_가정!$E$160,③기타_가정!$E$161,③기타_가정!$E$162)*DX18/1000000*(1+③기타_가정!$E$155)^(MAX(DX16,1)-1)</f>
        <v>0</v>
      </c>
      <c r="DY27" s="37" t="n">
        <f aca="false">(DY14=1)*③기타_가정!$F$38*③기타_가정!$E$148*③기타_가정!$E$159*CHOOSE(MIN(MAX(DY16,1),3),③기타_가정!$E$160,③기타_가정!$E$161,③기타_가정!$E$162)*DY18/1000000*(1+③기타_가정!$E$155)^(MAX(DY16,1)-1)</f>
        <v>0</v>
      </c>
      <c r="DZ27" s="37" t="n">
        <f aca="false">(DZ14=1)*③기타_가정!$F$38*③기타_가정!$E$148*③기타_가정!$E$159*CHOOSE(MIN(MAX(DZ16,1),3),③기타_가정!$E$160,③기타_가정!$E$161,③기타_가정!$E$162)*DZ18/1000000*(1+③기타_가정!$E$155)^(MAX(DZ16,1)-1)</f>
        <v>0</v>
      </c>
      <c r="EA27" s="37" t="n">
        <f aca="false">(EA14=1)*③기타_가정!$F$38*③기타_가정!$E$148*③기타_가정!$E$159*CHOOSE(MIN(MAX(EA16,1),3),③기타_가정!$E$160,③기타_가정!$E$161,③기타_가정!$E$162)*EA18/1000000*(1+③기타_가정!$E$155)^(MAX(EA16,1)-1)</f>
        <v>0</v>
      </c>
      <c r="EB27" s="37" t="n">
        <f aca="false">(EB14=1)*③기타_가정!$F$38*③기타_가정!$E$148*③기타_가정!$E$159*CHOOSE(MIN(MAX(EB16,1),3),③기타_가정!$E$160,③기타_가정!$E$161,③기타_가정!$E$162)*EB18/1000000*(1+③기타_가정!$E$155)^(MAX(EB16,1)-1)</f>
        <v>0</v>
      </c>
      <c r="EC27" s="37" t="n">
        <f aca="false">(EC14=1)*③기타_가정!$F$38*③기타_가정!$E$148*③기타_가정!$E$159*CHOOSE(MIN(MAX(EC16,1),3),③기타_가정!$E$160,③기타_가정!$E$161,③기타_가정!$E$162)*EC18/1000000*(1+③기타_가정!$E$155)^(MAX(EC16,1)-1)</f>
        <v>0</v>
      </c>
      <c r="ED27" s="37" t="n">
        <f aca="false">(ED14=1)*③기타_가정!$F$38*③기타_가정!$E$148*③기타_가정!$E$159*CHOOSE(MIN(MAX(ED16,1),3),③기타_가정!$E$160,③기타_가정!$E$161,③기타_가정!$E$162)*ED18/1000000*(1+③기타_가정!$E$155)^(MAX(ED16,1)-1)</f>
        <v>0</v>
      </c>
      <c r="EE27" s="37" t="n">
        <f aca="false">(EE14=1)*③기타_가정!$F$38*③기타_가정!$E$148*③기타_가정!$E$159*CHOOSE(MIN(MAX(EE16,1),3),③기타_가정!$E$160,③기타_가정!$E$161,③기타_가정!$E$162)*EE18/1000000*(1+③기타_가정!$E$155)^(MAX(EE16,1)-1)</f>
        <v>0</v>
      </c>
      <c r="EF27" s="37" t="n">
        <f aca="false">(EF14=1)*③기타_가정!$F$38*③기타_가정!$E$148*③기타_가정!$E$159*CHOOSE(MIN(MAX(EF16,1),3),③기타_가정!$E$160,③기타_가정!$E$161,③기타_가정!$E$162)*EF18/1000000*(1+③기타_가정!$E$155)^(MAX(EF16,1)-1)</f>
        <v>0</v>
      </c>
    </row>
    <row r="28" customFormat="false" ht="15" hidden="false" customHeight="false" outlineLevel="0" collapsed="false">
      <c r="A28" s="36" t="s">
        <v>583</v>
      </c>
      <c r="B28" s="278" t="s">
        <v>21</v>
      </c>
      <c r="C28" s="279" t="n">
        <f aca="false">SUM(E28:EF28)</f>
        <v>96422.1108854688</v>
      </c>
      <c r="E28" s="37" t="n">
        <f aca="false">E27*③기타_가정!$E$163</f>
        <v>0</v>
      </c>
      <c r="F28" s="37" t="n">
        <f aca="false">F27*③기타_가정!$E$163</f>
        <v>0</v>
      </c>
      <c r="G28" s="37" t="n">
        <f aca="false">G27*③기타_가정!$E$163</f>
        <v>0</v>
      </c>
      <c r="H28" s="37" t="n">
        <f aca="false">H27*③기타_가정!$E$163</f>
        <v>0</v>
      </c>
      <c r="I28" s="37" t="n">
        <f aca="false">I27*③기타_가정!$E$163</f>
        <v>0</v>
      </c>
      <c r="J28" s="37" t="n">
        <f aca="false">J27*③기타_가정!$E$163</f>
        <v>0</v>
      </c>
      <c r="K28" s="37" t="n">
        <f aca="false">K27*③기타_가정!$E$163</f>
        <v>0</v>
      </c>
      <c r="L28" s="37" t="n">
        <f aca="false">L27*③기타_가정!$E$163</f>
        <v>0</v>
      </c>
      <c r="M28" s="37" t="n">
        <f aca="false">M27*③기타_가정!$E$163</f>
        <v>0</v>
      </c>
      <c r="N28" s="37" t="n">
        <f aca="false">N27*③기타_가정!$E$163</f>
        <v>0</v>
      </c>
      <c r="O28" s="37" t="n">
        <f aca="false">O27*③기타_가정!$E$163</f>
        <v>0</v>
      </c>
      <c r="P28" s="37" t="n">
        <f aca="false">P27*③기타_가정!$E$163</f>
        <v>0</v>
      </c>
      <c r="Q28" s="37" t="n">
        <f aca="false">Q27*③기타_가정!$E$163</f>
        <v>0</v>
      </c>
      <c r="R28" s="37" t="n">
        <f aca="false">R27*③기타_가정!$E$163</f>
        <v>0</v>
      </c>
      <c r="S28" s="37" t="n">
        <f aca="false">S27*③기타_가정!$E$163</f>
        <v>0</v>
      </c>
      <c r="T28" s="37" t="n">
        <f aca="false">T27*③기타_가정!$E$163</f>
        <v>0</v>
      </c>
      <c r="U28" s="37" t="n">
        <f aca="false">U27*③기타_가정!$E$163</f>
        <v>0</v>
      </c>
      <c r="V28" s="37" t="n">
        <f aca="false">V27*③기타_가정!$E$163</f>
        <v>0</v>
      </c>
      <c r="W28" s="37" t="n">
        <f aca="false">W27*③기타_가정!$E$163</f>
        <v>0</v>
      </c>
      <c r="X28" s="37" t="n">
        <f aca="false">X27*③기타_가정!$E$163</f>
        <v>0</v>
      </c>
      <c r="Y28" s="37" t="n">
        <f aca="false">Y27*③기타_가정!$E$163</f>
        <v>0</v>
      </c>
      <c r="Z28" s="37" t="n">
        <f aca="false">Z27*③기타_가정!$E$163</f>
        <v>0</v>
      </c>
      <c r="AA28" s="37" t="n">
        <f aca="false">AA27*③기타_가정!$E$163</f>
        <v>0</v>
      </c>
      <c r="AB28" s="37" t="n">
        <f aca="false">AB27*③기타_가정!$E$163</f>
        <v>0</v>
      </c>
      <c r="AC28" s="37" t="n">
        <f aca="false">AC27*③기타_가정!$E$163</f>
        <v>0</v>
      </c>
      <c r="AD28" s="37" t="n">
        <f aca="false">AD27*③기타_가정!$E$163</f>
        <v>0</v>
      </c>
      <c r="AE28" s="37" t="n">
        <f aca="false">AE27*③기타_가정!$E$163</f>
        <v>0</v>
      </c>
      <c r="AF28" s="37" t="n">
        <f aca="false">AF27*③기타_가정!$E$163</f>
        <v>0</v>
      </c>
      <c r="AG28" s="37" t="n">
        <f aca="false">AG27*③기타_가정!$E$163</f>
        <v>0</v>
      </c>
      <c r="AH28" s="37" t="n">
        <f aca="false">AH27*③기타_가정!$E$163</f>
        <v>0</v>
      </c>
      <c r="AI28" s="37" t="n">
        <f aca="false">AI27*③기타_가정!$E$163</f>
        <v>0</v>
      </c>
      <c r="AJ28" s="37" t="n">
        <f aca="false">AJ27*③기타_가정!$E$163</f>
        <v>0</v>
      </c>
      <c r="AK28" s="37" t="n">
        <f aca="false">AK27*③기타_가정!$E$163</f>
        <v>0</v>
      </c>
      <c r="AL28" s="37" t="n">
        <f aca="false">AL27*③기타_가정!$E$163</f>
        <v>0</v>
      </c>
      <c r="AM28" s="37" t="n">
        <f aca="false">AM27*③기타_가정!$E$163</f>
        <v>0</v>
      </c>
      <c r="AN28" s="37" t="n">
        <f aca="false">AN27*③기타_가정!$E$163</f>
        <v>0</v>
      </c>
      <c r="AO28" s="37" t="n">
        <f aca="false">AO27*③기타_가정!$E$163</f>
        <v>0</v>
      </c>
      <c r="AP28" s="37" t="n">
        <f aca="false">AP27*③기타_가정!$E$163</f>
        <v>0</v>
      </c>
      <c r="AQ28" s="37" t="n">
        <f aca="false">AQ27*③기타_가정!$E$163</f>
        <v>0</v>
      </c>
      <c r="AR28" s="37" t="n">
        <f aca="false">AR27*③기타_가정!$E$163</f>
        <v>0</v>
      </c>
      <c r="AS28" s="37" t="n">
        <f aca="false">AS27*③기타_가정!$E$163</f>
        <v>0</v>
      </c>
      <c r="AT28" s="37" t="n">
        <f aca="false">AT27*③기타_가정!$E$163</f>
        <v>0</v>
      </c>
      <c r="AU28" s="37" t="n">
        <f aca="false">AU27*③기타_가정!$E$163</f>
        <v>0</v>
      </c>
      <c r="AV28" s="37" t="n">
        <f aca="false">AV27*③기타_가정!$E$163</f>
        <v>0</v>
      </c>
      <c r="AW28" s="37" t="n">
        <f aca="false">AW27*③기타_가정!$E$163</f>
        <v>0</v>
      </c>
      <c r="AX28" s="37" t="n">
        <f aca="false">AX27*③기타_가정!$E$163</f>
        <v>0</v>
      </c>
      <c r="AY28" s="37" t="n">
        <f aca="false">AY27*③기타_가정!$E$163</f>
        <v>0</v>
      </c>
      <c r="AZ28" s="37" t="n">
        <f aca="false">AZ27*③기타_가정!$E$163</f>
        <v>0</v>
      </c>
      <c r="BA28" s="37" t="n">
        <f aca="false">BA27*③기타_가정!$E$163</f>
        <v>0</v>
      </c>
      <c r="BB28" s="37" t="n">
        <f aca="false">BB27*③기타_가정!$E$163</f>
        <v>0</v>
      </c>
      <c r="BC28" s="37" t="n">
        <f aca="false">BC27*③기타_가정!$E$163</f>
        <v>0</v>
      </c>
      <c r="BD28" s="37" t="n">
        <f aca="false">BD27*③기타_가정!$E$163</f>
        <v>0</v>
      </c>
      <c r="BE28" s="37" t="n">
        <f aca="false">BE27*③기타_가정!$E$163</f>
        <v>0</v>
      </c>
      <c r="BF28" s="37" t="n">
        <f aca="false">BF27*③기타_가정!$E$163</f>
        <v>0</v>
      </c>
      <c r="BG28" s="37" t="n">
        <f aca="false">BG27*③기타_가정!$E$163</f>
        <v>0</v>
      </c>
      <c r="BH28" s="37" t="n">
        <f aca="false">BH27*③기타_가정!$E$163</f>
        <v>0</v>
      </c>
      <c r="BI28" s="37" t="n">
        <f aca="false">BI27*③기타_가정!$E$163</f>
        <v>0</v>
      </c>
      <c r="BJ28" s="37" t="n">
        <f aca="false">BJ27*③기타_가정!$E$163</f>
        <v>0</v>
      </c>
      <c r="BK28" s="37" t="n">
        <f aca="false">BK27*③기타_가정!$E$163</f>
        <v>0</v>
      </c>
      <c r="BL28" s="37" t="n">
        <f aca="false">BL27*③기타_가정!$E$163</f>
        <v>0</v>
      </c>
      <c r="BM28" s="37" t="n">
        <f aca="false">BM27*③기타_가정!$E$163</f>
        <v>1398.2085</v>
      </c>
      <c r="BN28" s="37" t="n">
        <f aca="false">BN27*③기타_가정!$E$163</f>
        <v>1353.105</v>
      </c>
      <c r="BO28" s="37" t="n">
        <f aca="false">BO27*③기타_가정!$E$163</f>
        <v>1398.2085</v>
      </c>
      <c r="BP28" s="37" t="n">
        <f aca="false">BP27*③기타_가정!$E$163</f>
        <v>1353.105</v>
      </c>
      <c r="BQ28" s="37" t="n">
        <f aca="false">BQ27*③기타_가정!$E$163</f>
        <v>1398.2085</v>
      </c>
      <c r="BR28" s="37" t="n">
        <f aca="false">BR27*③기타_가정!$E$163</f>
        <v>1398.2085</v>
      </c>
      <c r="BS28" s="37" t="n">
        <f aca="false">BS27*③기타_가정!$E$163</f>
        <v>1353.105</v>
      </c>
      <c r="BT28" s="37" t="n">
        <f aca="false">BT27*③기타_가정!$E$163</f>
        <v>1398.2085</v>
      </c>
      <c r="BU28" s="37" t="n">
        <f aca="false">BU27*③기타_가정!$E$163</f>
        <v>1353.105</v>
      </c>
      <c r="BV28" s="37" t="n">
        <f aca="false">BV27*③기타_가정!$E$163</f>
        <v>1398.2085</v>
      </c>
      <c r="BW28" s="37" t="n">
        <f aca="false">BW27*③기타_가정!$E$163</f>
        <v>1398.2085</v>
      </c>
      <c r="BX28" s="37" t="n">
        <f aca="false">BX27*③기타_가정!$E$163</f>
        <v>1308.0015</v>
      </c>
      <c r="BY28" s="37" t="n">
        <f aca="false">BY27*③기타_가정!$E$163</f>
        <v>1645.58385</v>
      </c>
      <c r="BZ28" s="37" t="n">
        <f aca="false">BZ27*③기타_가정!$E$163</f>
        <v>1592.5005</v>
      </c>
      <c r="CA28" s="37" t="n">
        <f aca="false">CA27*③기타_가정!$E$163</f>
        <v>1645.58385</v>
      </c>
      <c r="CB28" s="37" t="n">
        <f aca="false">CB27*③기타_가정!$E$163</f>
        <v>1592.5005</v>
      </c>
      <c r="CC28" s="37" t="n">
        <f aca="false">CC27*③기타_가정!$E$163</f>
        <v>1645.58385</v>
      </c>
      <c r="CD28" s="37" t="n">
        <f aca="false">CD27*③기타_가정!$E$163</f>
        <v>1645.58385</v>
      </c>
      <c r="CE28" s="37" t="n">
        <f aca="false">CE27*③기타_가정!$E$163</f>
        <v>1592.5005</v>
      </c>
      <c r="CF28" s="37" t="n">
        <f aca="false">CF27*③기타_가정!$E$163</f>
        <v>1645.58385</v>
      </c>
      <c r="CG28" s="37" t="n">
        <f aca="false">CG27*③기타_가정!$E$163</f>
        <v>1592.5005</v>
      </c>
      <c r="CH28" s="37" t="n">
        <f aca="false">CH27*③기타_가정!$E$163</f>
        <v>1645.58385</v>
      </c>
      <c r="CI28" s="37" t="n">
        <f aca="false">CI27*③기타_가정!$E$163</f>
        <v>1645.58385</v>
      </c>
      <c r="CJ28" s="37" t="n">
        <f aca="false">CJ27*③기타_가정!$E$163</f>
        <v>1486.3338</v>
      </c>
      <c r="CK28" s="37" t="n">
        <f aca="false">CK27*③기타_가정!$E$163</f>
        <v>1678.495527</v>
      </c>
      <c r="CL28" s="37" t="n">
        <f aca="false">CL27*③기타_가정!$E$163</f>
        <v>1624.35051</v>
      </c>
      <c r="CM28" s="37" t="n">
        <f aca="false">CM27*③기타_가정!$E$163</f>
        <v>1678.495527</v>
      </c>
      <c r="CN28" s="37" t="n">
        <f aca="false">CN27*③기타_가정!$E$163</f>
        <v>1624.35051</v>
      </c>
      <c r="CO28" s="37" t="n">
        <f aca="false">CO27*③기타_가정!$E$163</f>
        <v>1678.495527</v>
      </c>
      <c r="CP28" s="37" t="n">
        <f aca="false">CP27*③기타_가정!$E$163</f>
        <v>1678.495527</v>
      </c>
      <c r="CQ28" s="37" t="n">
        <f aca="false">CQ27*③기타_가정!$E$163</f>
        <v>1624.35051</v>
      </c>
      <c r="CR28" s="37" t="n">
        <f aca="false">CR27*③기타_가정!$E$163</f>
        <v>1678.495527</v>
      </c>
      <c r="CS28" s="37" t="n">
        <f aca="false">CS27*③기타_가정!$E$163</f>
        <v>1624.35051</v>
      </c>
      <c r="CT28" s="37" t="n">
        <f aca="false">CT27*③기타_가정!$E$163</f>
        <v>1678.495527</v>
      </c>
      <c r="CU28" s="37" t="n">
        <f aca="false">CU27*③기타_가정!$E$163</f>
        <v>1678.495527</v>
      </c>
      <c r="CV28" s="37" t="n">
        <f aca="false">CV27*③기타_가정!$E$163</f>
        <v>1516.060476</v>
      </c>
      <c r="CW28" s="37" t="n">
        <f aca="false">CW27*③기타_가정!$E$163</f>
        <v>1712.06543754</v>
      </c>
      <c r="CX28" s="37" t="n">
        <f aca="false">CX27*③기타_가정!$E$163</f>
        <v>1656.8375202</v>
      </c>
      <c r="CY28" s="37" t="n">
        <f aca="false">CY27*③기타_가정!$E$163</f>
        <v>1712.06543754</v>
      </c>
      <c r="CZ28" s="37" t="n">
        <f aca="false">CZ27*③기타_가정!$E$163</f>
        <v>1656.8375202</v>
      </c>
      <c r="DA28" s="37" t="n">
        <f aca="false">DA27*③기타_가정!$E$163</f>
        <v>1712.06543754</v>
      </c>
      <c r="DB28" s="37" t="n">
        <f aca="false">DB27*③기타_가정!$E$163</f>
        <v>1712.06543754</v>
      </c>
      <c r="DC28" s="37" t="n">
        <f aca="false">DC27*③기타_가정!$E$163</f>
        <v>1656.8375202</v>
      </c>
      <c r="DD28" s="37" t="n">
        <f aca="false">DD27*③기타_가정!$E$163</f>
        <v>1712.06543754</v>
      </c>
      <c r="DE28" s="37" t="n">
        <f aca="false">DE27*③기타_가정!$E$163</f>
        <v>1656.8375202</v>
      </c>
      <c r="DF28" s="37" t="n">
        <f aca="false">DF27*③기타_가정!$E$163</f>
        <v>1712.06543754</v>
      </c>
      <c r="DG28" s="37" t="n">
        <f aca="false">DG27*③기타_가정!$E$163</f>
        <v>1712.06543754</v>
      </c>
      <c r="DH28" s="37" t="n">
        <f aca="false">DH27*③기타_가정!$E$163</f>
        <v>1546.38168552</v>
      </c>
      <c r="DI28" s="37" t="n">
        <f aca="false">DI27*③기타_가정!$E$163</f>
        <v>1746.3067462908</v>
      </c>
      <c r="DJ28" s="37" t="n">
        <f aca="false">DJ27*③기타_가정!$E$163</f>
        <v>1689.974270604</v>
      </c>
      <c r="DK28" s="37" t="n">
        <f aca="false">DK27*③기타_가정!$E$163</f>
        <v>1746.3067462908</v>
      </c>
      <c r="DL28" s="37" t="n">
        <f aca="false">DL27*③기타_가정!$E$163</f>
        <v>1689.974270604</v>
      </c>
      <c r="DM28" s="37" t="n">
        <f aca="false">DM27*③기타_가정!$E$163</f>
        <v>1746.3067462908</v>
      </c>
      <c r="DN28" s="37" t="n">
        <f aca="false">DN27*③기타_가정!$E$163</f>
        <v>1746.3067462908</v>
      </c>
      <c r="DO28" s="37" t="n">
        <f aca="false">DO27*③기타_가정!$E$163</f>
        <v>1689.974270604</v>
      </c>
      <c r="DP28" s="37" t="n">
        <f aca="false">DP27*③기타_가정!$E$163</f>
        <v>1746.3067462908</v>
      </c>
      <c r="DQ28" s="37" t="n">
        <f aca="false">DQ27*③기타_가정!$E$163</f>
        <v>1689.974270604</v>
      </c>
      <c r="DR28" s="37" t="n">
        <f aca="false">DR27*③기타_가정!$E$163</f>
        <v>1746.3067462908</v>
      </c>
      <c r="DS28" s="37" t="n">
        <f aca="false">DS27*③기타_가정!$E$163</f>
        <v>1746.3067462908</v>
      </c>
      <c r="DT28" s="37" t="n">
        <f aca="false">DT27*③기타_가정!$E$163</f>
        <v>1633.6417949172</v>
      </c>
      <c r="DU28" s="37" t="n">
        <f aca="false">DU27*③기타_가정!$E$163</f>
        <v>0</v>
      </c>
      <c r="DV28" s="37" t="n">
        <f aca="false">DV27*③기타_가정!$E$163</f>
        <v>0</v>
      </c>
      <c r="DW28" s="37" t="n">
        <f aca="false">DW27*③기타_가정!$E$163</f>
        <v>0</v>
      </c>
      <c r="DX28" s="37" t="n">
        <f aca="false">DX27*③기타_가정!$E$163</f>
        <v>0</v>
      </c>
      <c r="DY28" s="37" t="n">
        <f aca="false">DY27*③기타_가정!$E$163</f>
        <v>0</v>
      </c>
      <c r="DZ28" s="37" t="n">
        <f aca="false">DZ27*③기타_가정!$E$163</f>
        <v>0</v>
      </c>
      <c r="EA28" s="37" t="n">
        <f aca="false">EA27*③기타_가정!$E$163</f>
        <v>0</v>
      </c>
      <c r="EB28" s="37" t="n">
        <f aca="false">EB27*③기타_가정!$E$163</f>
        <v>0</v>
      </c>
      <c r="EC28" s="37" t="n">
        <f aca="false">EC27*③기타_가정!$E$163</f>
        <v>0</v>
      </c>
      <c r="ED28" s="37" t="n">
        <f aca="false">ED27*③기타_가정!$E$163</f>
        <v>0</v>
      </c>
      <c r="EE28" s="37" t="n">
        <f aca="false">EE27*③기타_가정!$E$163</f>
        <v>0</v>
      </c>
      <c r="EF28" s="37" t="n">
        <f aca="false">EF27*③기타_가정!$E$163</f>
        <v>0</v>
      </c>
    </row>
    <row r="29" customFormat="false" ht="15" hidden="false" customHeight="false" outlineLevel="0" collapsed="false">
      <c r="A29" s="36" t="s">
        <v>584</v>
      </c>
      <c r="B29" s="278" t="s">
        <v>21</v>
      </c>
      <c r="C29" s="279" t="n">
        <f aca="false">SUM(E29:EF29)</f>
        <v>12856.2814513958</v>
      </c>
      <c r="E29" s="37" t="n">
        <f aca="false">E27*③기타_가정!$E$164</f>
        <v>0</v>
      </c>
      <c r="F29" s="37" t="n">
        <f aca="false">F27*③기타_가정!$E$164</f>
        <v>0</v>
      </c>
      <c r="G29" s="37" t="n">
        <f aca="false">G27*③기타_가정!$E$164</f>
        <v>0</v>
      </c>
      <c r="H29" s="37" t="n">
        <f aca="false">H27*③기타_가정!$E$164</f>
        <v>0</v>
      </c>
      <c r="I29" s="37" t="n">
        <f aca="false">I27*③기타_가정!$E$164</f>
        <v>0</v>
      </c>
      <c r="J29" s="37" t="n">
        <f aca="false">J27*③기타_가정!$E$164</f>
        <v>0</v>
      </c>
      <c r="K29" s="37" t="n">
        <f aca="false">K27*③기타_가정!$E$164</f>
        <v>0</v>
      </c>
      <c r="L29" s="37" t="n">
        <f aca="false">L27*③기타_가정!$E$164</f>
        <v>0</v>
      </c>
      <c r="M29" s="37" t="n">
        <f aca="false">M27*③기타_가정!$E$164</f>
        <v>0</v>
      </c>
      <c r="N29" s="37" t="n">
        <f aca="false">N27*③기타_가정!$E$164</f>
        <v>0</v>
      </c>
      <c r="O29" s="37" t="n">
        <f aca="false">O27*③기타_가정!$E$164</f>
        <v>0</v>
      </c>
      <c r="P29" s="37" t="n">
        <f aca="false">P27*③기타_가정!$E$164</f>
        <v>0</v>
      </c>
      <c r="Q29" s="37" t="n">
        <f aca="false">Q27*③기타_가정!$E$164</f>
        <v>0</v>
      </c>
      <c r="R29" s="37" t="n">
        <f aca="false">R27*③기타_가정!$E$164</f>
        <v>0</v>
      </c>
      <c r="S29" s="37" t="n">
        <f aca="false">S27*③기타_가정!$E$164</f>
        <v>0</v>
      </c>
      <c r="T29" s="37" t="n">
        <f aca="false">T27*③기타_가정!$E$164</f>
        <v>0</v>
      </c>
      <c r="U29" s="37" t="n">
        <f aca="false">U27*③기타_가정!$E$164</f>
        <v>0</v>
      </c>
      <c r="V29" s="37" t="n">
        <f aca="false">V27*③기타_가정!$E$164</f>
        <v>0</v>
      </c>
      <c r="W29" s="37" t="n">
        <f aca="false">W27*③기타_가정!$E$164</f>
        <v>0</v>
      </c>
      <c r="X29" s="37" t="n">
        <f aca="false">X27*③기타_가정!$E$164</f>
        <v>0</v>
      </c>
      <c r="Y29" s="37" t="n">
        <f aca="false">Y27*③기타_가정!$E$164</f>
        <v>0</v>
      </c>
      <c r="Z29" s="37" t="n">
        <f aca="false">Z27*③기타_가정!$E$164</f>
        <v>0</v>
      </c>
      <c r="AA29" s="37" t="n">
        <f aca="false">AA27*③기타_가정!$E$164</f>
        <v>0</v>
      </c>
      <c r="AB29" s="37" t="n">
        <f aca="false">AB27*③기타_가정!$E$164</f>
        <v>0</v>
      </c>
      <c r="AC29" s="37" t="n">
        <f aca="false">AC27*③기타_가정!$E$164</f>
        <v>0</v>
      </c>
      <c r="AD29" s="37" t="n">
        <f aca="false">AD27*③기타_가정!$E$164</f>
        <v>0</v>
      </c>
      <c r="AE29" s="37" t="n">
        <f aca="false">AE27*③기타_가정!$E$164</f>
        <v>0</v>
      </c>
      <c r="AF29" s="37" t="n">
        <f aca="false">AF27*③기타_가정!$E$164</f>
        <v>0</v>
      </c>
      <c r="AG29" s="37" t="n">
        <f aca="false">AG27*③기타_가정!$E$164</f>
        <v>0</v>
      </c>
      <c r="AH29" s="37" t="n">
        <f aca="false">AH27*③기타_가정!$E$164</f>
        <v>0</v>
      </c>
      <c r="AI29" s="37" t="n">
        <f aca="false">AI27*③기타_가정!$E$164</f>
        <v>0</v>
      </c>
      <c r="AJ29" s="37" t="n">
        <f aca="false">AJ27*③기타_가정!$E$164</f>
        <v>0</v>
      </c>
      <c r="AK29" s="37" t="n">
        <f aca="false">AK27*③기타_가정!$E$164</f>
        <v>0</v>
      </c>
      <c r="AL29" s="37" t="n">
        <f aca="false">AL27*③기타_가정!$E$164</f>
        <v>0</v>
      </c>
      <c r="AM29" s="37" t="n">
        <f aca="false">AM27*③기타_가정!$E$164</f>
        <v>0</v>
      </c>
      <c r="AN29" s="37" t="n">
        <f aca="false">AN27*③기타_가정!$E$164</f>
        <v>0</v>
      </c>
      <c r="AO29" s="37" t="n">
        <f aca="false">AO27*③기타_가정!$E$164</f>
        <v>0</v>
      </c>
      <c r="AP29" s="37" t="n">
        <f aca="false">AP27*③기타_가정!$E$164</f>
        <v>0</v>
      </c>
      <c r="AQ29" s="37" t="n">
        <f aca="false">AQ27*③기타_가정!$E$164</f>
        <v>0</v>
      </c>
      <c r="AR29" s="37" t="n">
        <f aca="false">AR27*③기타_가정!$E$164</f>
        <v>0</v>
      </c>
      <c r="AS29" s="37" t="n">
        <f aca="false">AS27*③기타_가정!$E$164</f>
        <v>0</v>
      </c>
      <c r="AT29" s="37" t="n">
        <f aca="false">AT27*③기타_가정!$E$164</f>
        <v>0</v>
      </c>
      <c r="AU29" s="37" t="n">
        <f aca="false">AU27*③기타_가정!$E$164</f>
        <v>0</v>
      </c>
      <c r="AV29" s="37" t="n">
        <f aca="false">AV27*③기타_가정!$E$164</f>
        <v>0</v>
      </c>
      <c r="AW29" s="37" t="n">
        <f aca="false">AW27*③기타_가정!$E$164</f>
        <v>0</v>
      </c>
      <c r="AX29" s="37" t="n">
        <f aca="false">AX27*③기타_가정!$E$164</f>
        <v>0</v>
      </c>
      <c r="AY29" s="37" t="n">
        <f aca="false">AY27*③기타_가정!$E$164</f>
        <v>0</v>
      </c>
      <c r="AZ29" s="37" t="n">
        <f aca="false">AZ27*③기타_가정!$E$164</f>
        <v>0</v>
      </c>
      <c r="BA29" s="37" t="n">
        <f aca="false">BA27*③기타_가정!$E$164</f>
        <v>0</v>
      </c>
      <c r="BB29" s="37" t="n">
        <f aca="false">BB27*③기타_가정!$E$164</f>
        <v>0</v>
      </c>
      <c r="BC29" s="37" t="n">
        <f aca="false">BC27*③기타_가정!$E$164</f>
        <v>0</v>
      </c>
      <c r="BD29" s="37" t="n">
        <f aca="false">BD27*③기타_가정!$E$164</f>
        <v>0</v>
      </c>
      <c r="BE29" s="37" t="n">
        <f aca="false">BE27*③기타_가정!$E$164</f>
        <v>0</v>
      </c>
      <c r="BF29" s="37" t="n">
        <f aca="false">BF27*③기타_가정!$E$164</f>
        <v>0</v>
      </c>
      <c r="BG29" s="37" t="n">
        <f aca="false">BG27*③기타_가정!$E$164</f>
        <v>0</v>
      </c>
      <c r="BH29" s="37" t="n">
        <f aca="false">BH27*③기타_가정!$E$164</f>
        <v>0</v>
      </c>
      <c r="BI29" s="37" t="n">
        <f aca="false">BI27*③기타_가정!$E$164</f>
        <v>0</v>
      </c>
      <c r="BJ29" s="37" t="n">
        <f aca="false">BJ27*③기타_가정!$E$164</f>
        <v>0</v>
      </c>
      <c r="BK29" s="37" t="n">
        <f aca="false">BK27*③기타_가정!$E$164</f>
        <v>0</v>
      </c>
      <c r="BL29" s="37" t="n">
        <f aca="false">BL27*③기타_가정!$E$164</f>
        <v>0</v>
      </c>
      <c r="BM29" s="37" t="n">
        <f aca="false">BM27*③기타_가정!$E$164</f>
        <v>186.4278</v>
      </c>
      <c r="BN29" s="37" t="n">
        <f aca="false">BN27*③기타_가정!$E$164</f>
        <v>180.414</v>
      </c>
      <c r="BO29" s="37" t="n">
        <f aca="false">BO27*③기타_가정!$E$164</f>
        <v>186.4278</v>
      </c>
      <c r="BP29" s="37" t="n">
        <f aca="false">BP27*③기타_가정!$E$164</f>
        <v>180.414</v>
      </c>
      <c r="BQ29" s="37" t="n">
        <f aca="false">BQ27*③기타_가정!$E$164</f>
        <v>186.4278</v>
      </c>
      <c r="BR29" s="37" t="n">
        <f aca="false">BR27*③기타_가정!$E$164</f>
        <v>186.4278</v>
      </c>
      <c r="BS29" s="37" t="n">
        <f aca="false">BS27*③기타_가정!$E$164</f>
        <v>180.414</v>
      </c>
      <c r="BT29" s="37" t="n">
        <f aca="false">BT27*③기타_가정!$E$164</f>
        <v>186.4278</v>
      </c>
      <c r="BU29" s="37" t="n">
        <f aca="false">BU27*③기타_가정!$E$164</f>
        <v>180.414</v>
      </c>
      <c r="BV29" s="37" t="n">
        <f aca="false">BV27*③기타_가정!$E$164</f>
        <v>186.4278</v>
      </c>
      <c r="BW29" s="37" t="n">
        <f aca="false">BW27*③기타_가정!$E$164</f>
        <v>186.4278</v>
      </c>
      <c r="BX29" s="37" t="n">
        <f aca="false">BX27*③기타_가정!$E$164</f>
        <v>174.4002</v>
      </c>
      <c r="BY29" s="37" t="n">
        <f aca="false">BY27*③기타_가정!$E$164</f>
        <v>219.41118</v>
      </c>
      <c r="BZ29" s="37" t="n">
        <f aca="false">BZ27*③기타_가정!$E$164</f>
        <v>212.3334</v>
      </c>
      <c r="CA29" s="37" t="n">
        <f aca="false">CA27*③기타_가정!$E$164</f>
        <v>219.41118</v>
      </c>
      <c r="CB29" s="37" t="n">
        <f aca="false">CB27*③기타_가정!$E$164</f>
        <v>212.3334</v>
      </c>
      <c r="CC29" s="37" t="n">
        <f aca="false">CC27*③기타_가정!$E$164</f>
        <v>219.41118</v>
      </c>
      <c r="CD29" s="37" t="n">
        <f aca="false">CD27*③기타_가정!$E$164</f>
        <v>219.41118</v>
      </c>
      <c r="CE29" s="37" t="n">
        <f aca="false">CE27*③기타_가정!$E$164</f>
        <v>212.3334</v>
      </c>
      <c r="CF29" s="37" t="n">
        <f aca="false">CF27*③기타_가정!$E$164</f>
        <v>219.41118</v>
      </c>
      <c r="CG29" s="37" t="n">
        <f aca="false">CG27*③기타_가정!$E$164</f>
        <v>212.3334</v>
      </c>
      <c r="CH29" s="37" t="n">
        <f aca="false">CH27*③기타_가정!$E$164</f>
        <v>219.41118</v>
      </c>
      <c r="CI29" s="37" t="n">
        <f aca="false">CI27*③기타_가정!$E$164</f>
        <v>219.41118</v>
      </c>
      <c r="CJ29" s="37" t="n">
        <f aca="false">CJ27*③기타_가정!$E$164</f>
        <v>198.17784</v>
      </c>
      <c r="CK29" s="37" t="n">
        <f aca="false">CK27*③기타_가정!$E$164</f>
        <v>223.7994036</v>
      </c>
      <c r="CL29" s="37" t="n">
        <f aca="false">CL27*③기타_가정!$E$164</f>
        <v>216.580068</v>
      </c>
      <c r="CM29" s="37" t="n">
        <f aca="false">CM27*③기타_가정!$E$164</f>
        <v>223.7994036</v>
      </c>
      <c r="CN29" s="37" t="n">
        <f aca="false">CN27*③기타_가정!$E$164</f>
        <v>216.580068</v>
      </c>
      <c r="CO29" s="37" t="n">
        <f aca="false">CO27*③기타_가정!$E$164</f>
        <v>223.7994036</v>
      </c>
      <c r="CP29" s="37" t="n">
        <f aca="false">CP27*③기타_가정!$E$164</f>
        <v>223.7994036</v>
      </c>
      <c r="CQ29" s="37" t="n">
        <f aca="false">CQ27*③기타_가정!$E$164</f>
        <v>216.580068</v>
      </c>
      <c r="CR29" s="37" t="n">
        <f aca="false">CR27*③기타_가정!$E$164</f>
        <v>223.7994036</v>
      </c>
      <c r="CS29" s="37" t="n">
        <f aca="false">CS27*③기타_가정!$E$164</f>
        <v>216.580068</v>
      </c>
      <c r="CT29" s="37" t="n">
        <f aca="false">CT27*③기타_가정!$E$164</f>
        <v>223.7994036</v>
      </c>
      <c r="CU29" s="37" t="n">
        <f aca="false">CU27*③기타_가정!$E$164</f>
        <v>223.7994036</v>
      </c>
      <c r="CV29" s="37" t="n">
        <f aca="false">CV27*③기타_가정!$E$164</f>
        <v>202.1413968</v>
      </c>
      <c r="CW29" s="37" t="n">
        <f aca="false">CW27*③기타_가정!$E$164</f>
        <v>228.275391672</v>
      </c>
      <c r="CX29" s="37" t="n">
        <f aca="false">CX27*③기타_가정!$E$164</f>
        <v>220.91166936</v>
      </c>
      <c r="CY29" s="37" t="n">
        <f aca="false">CY27*③기타_가정!$E$164</f>
        <v>228.275391672</v>
      </c>
      <c r="CZ29" s="37" t="n">
        <f aca="false">CZ27*③기타_가정!$E$164</f>
        <v>220.91166936</v>
      </c>
      <c r="DA29" s="37" t="n">
        <f aca="false">DA27*③기타_가정!$E$164</f>
        <v>228.275391672</v>
      </c>
      <c r="DB29" s="37" t="n">
        <f aca="false">DB27*③기타_가정!$E$164</f>
        <v>228.275391672</v>
      </c>
      <c r="DC29" s="37" t="n">
        <f aca="false">DC27*③기타_가정!$E$164</f>
        <v>220.91166936</v>
      </c>
      <c r="DD29" s="37" t="n">
        <f aca="false">DD27*③기타_가정!$E$164</f>
        <v>228.275391672</v>
      </c>
      <c r="DE29" s="37" t="n">
        <f aca="false">DE27*③기타_가정!$E$164</f>
        <v>220.91166936</v>
      </c>
      <c r="DF29" s="37" t="n">
        <f aca="false">DF27*③기타_가정!$E$164</f>
        <v>228.275391672</v>
      </c>
      <c r="DG29" s="37" t="n">
        <f aca="false">DG27*③기타_가정!$E$164</f>
        <v>228.275391672</v>
      </c>
      <c r="DH29" s="37" t="n">
        <f aca="false">DH27*③기타_가정!$E$164</f>
        <v>206.184224736</v>
      </c>
      <c r="DI29" s="37" t="n">
        <f aca="false">DI27*③기타_가정!$E$164</f>
        <v>232.84089950544</v>
      </c>
      <c r="DJ29" s="37" t="n">
        <f aca="false">DJ27*③기타_가정!$E$164</f>
        <v>225.3299027472</v>
      </c>
      <c r="DK29" s="37" t="n">
        <f aca="false">DK27*③기타_가정!$E$164</f>
        <v>232.84089950544</v>
      </c>
      <c r="DL29" s="37" t="n">
        <f aca="false">DL27*③기타_가정!$E$164</f>
        <v>225.3299027472</v>
      </c>
      <c r="DM29" s="37" t="n">
        <f aca="false">DM27*③기타_가정!$E$164</f>
        <v>232.84089950544</v>
      </c>
      <c r="DN29" s="37" t="n">
        <f aca="false">DN27*③기타_가정!$E$164</f>
        <v>232.84089950544</v>
      </c>
      <c r="DO29" s="37" t="n">
        <f aca="false">DO27*③기타_가정!$E$164</f>
        <v>225.3299027472</v>
      </c>
      <c r="DP29" s="37" t="n">
        <f aca="false">DP27*③기타_가정!$E$164</f>
        <v>232.84089950544</v>
      </c>
      <c r="DQ29" s="37" t="n">
        <f aca="false">DQ27*③기타_가정!$E$164</f>
        <v>225.3299027472</v>
      </c>
      <c r="DR29" s="37" t="n">
        <f aca="false">DR27*③기타_가정!$E$164</f>
        <v>232.84089950544</v>
      </c>
      <c r="DS29" s="37" t="n">
        <f aca="false">DS27*③기타_가정!$E$164</f>
        <v>232.84089950544</v>
      </c>
      <c r="DT29" s="37" t="n">
        <f aca="false">DT27*③기타_가정!$E$164</f>
        <v>217.81890598896</v>
      </c>
      <c r="DU29" s="37" t="n">
        <f aca="false">DU27*③기타_가정!$E$164</f>
        <v>0</v>
      </c>
      <c r="DV29" s="37" t="n">
        <f aca="false">DV27*③기타_가정!$E$164</f>
        <v>0</v>
      </c>
      <c r="DW29" s="37" t="n">
        <f aca="false">DW27*③기타_가정!$E$164</f>
        <v>0</v>
      </c>
      <c r="DX29" s="37" t="n">
        <f aca="false">DX27*③기타_가정!$E$164</f>
        <v>0</v>
      </c>
      <c r="DY29" s="37" t="n">
        <f aca="false">DY27*③기타_가정!$E$164</f>
        <v>0</v>
      </c>
      <c r="DZ29" s="37" t="n">
        <f aca="false">DZ27*③기타_가정!$E$164</f>
        <v>0</v>
      </c>
      <c r="EA29" s="37" t="n">
        <f aca="false">EA27*③기타_가정!$E$164</f>
        <v>0</v>
      </c>
      <c r="EB29" s="37" t="n">
        <f aca="false">EB27*③기타_가정!$E$164</f>
        <v>0</v>
      </c>
      <c r="EC29" s="37" t="n">
        <f aca="false">EC27*③기타_가정!$E$164</f>
        <v>0</v>
      </c>
      <c r="ED29" s="37" t="n">
        <f aca="false">ED27*③기타_가정!$E$164</f>
        <v>0</v>
      </c>
      <c r="EE29" s="37" t="n">
        <f aca="false">EE27*③기타_가정!$E$164</f>
        <v>0</v>
      </c>
      <c r="EF29" s="37" t="n">
        <f aca="false">EF27*③기타_가정!$E$164</f>
        <v>0</v>
      </c>
    </row>
    <row r="30" customFormat="false" ht="15" hidden="false" customHeight="false" outlineLevel="0" collapsed="false">
      <c r="A30" s="36" t="s">
        <v>262</v>
      </c>
      <c r="B30" s="278" t="s">
        <v>21</v>
      </c>
      <c r="C30" s="279" t="n">
        <f aca="false">SUM(E30:EF30)</f>
        <v>77137.6887083751</v>
      </c>
      <c r="E30" s="37" t="n">
        <f aca="false">E27*③기타_가정!$E$169</f>
        <v>0</v>
      </c>
      <c r="F30" s="37" t="n">
        <f aca="false">F27*③기타_가정!$E$169</f>
        <v>0</v>
      </c>
      <c r="G30" s="37" t="n">
        <f aca="false">G27*③기타_가정!$E$169</f>
        <v>0</v>
      </c>
      <c r="H30" s="37" t="n">
        <f aca="false">H27*③기타_가정!$E$169</f>
        <v>0</v>
      </c>
      <c r="I30" s="37" t="n">
        <f aca="false">I27*③기타_가정!$E$169</f>
        <v>0</v>
      </c>
      <c r="J30" s="37" t="n">
        <f aca="false">J27*③기타_가정!$E$169</f>
        <v>0</v>
      </c>
      <c r="K30" s="37" t="n">
        <f aca="false">K27*③기타_가정!$E$169</f>
        <v>0</v>
      </c>
      <c r="L30" s="37" t="n">
        <f aca="false">L27*③기타_가정!$E$169</f>
        <v>0</v>
      </c>
      <c r="M30" s="37" t="n">
        <f aca="false">M27*③기타_가정!$E$169</f>
        <v>0</v>
      </c>
      <c r="N30" s="37" t="n">
        <f aca="false">N27*③기타_가정!$E$169</f>
        <v>0</v>
      </c>
      <c r="O30" s="37" t="n">
        <f aca="false">O27*③기타_가정!$E$169</f>
        <v>0</v>
      </c>
      <c r="P30" s="37" t="n">
        <f aca="false">P27*③기타_가정!$E$169</f>
        <v>0</v>
      </c>
      <c r="Q30" s="37" t="n">
        <f aca="false">Q27*③기타_가정!$E$169</f>
        <v>0</v>
      </c>
      <c r="R30" s="37" t="n">
        <f aca="false">R27*③기타_가정!$E$169</f>
        <v>0</v>
      </c>
      <c r="S30" s="37" t="n">
        <f aca="false">S27*③기타_가정!$E$169</f>
        <v>0</v>
      </c>
      <c r="T30" s="37" t="n">
        <f aca="false">T27*③기타_가정!$E$169</f>
        <v>0</v>
      </c>
      <c r="U30" s="37" t="n">
        <f aca="false">U27*③기타_가정!$E$169</f>
        <v>0</v>
      </c>
      <c r="V30" s="37" t="n">
        <f aca="false">V27*③기타_가정!$E$169</f>
        <v>0</v>
      </c>
      <c r="W30" s="37" t="n">
        <f aca="false">W27*③기타_가정!$E$169</f>
        <v>0</v>
      </c>
      <c r="X30" s="37" t="n">
        <f aca="false">X27*③기타_가정!$E$169</f>
        <v>0</v>
      </c>
      <c r="Y30" s="37" t="n">
        <f aca="false">Y27*③기타_가정!$E$169</f>
        <v>0</v>
      </c>
      <c r="Z30" s="37" t="n">
        <f aca="false">Z27*③기타_가정!$E$169</f>
        <v>0</v>
      </c>
      <c r="AA30" s="37" t="n">
        <f aca="false">AA27*③기타_가정!$E$169</f>
        <v>0</v>
      </c>
      <c r="AB30" s="37" t="n">
        <f aca="false">AB27*③기타_가정!$E$169</f>
        <v>0</v>
      </c>
      <c r="AC30" s="37" t="n">
        <f aca="false">AC27*③기타_가정!$E$169</f>
        <v>0</v>
      </c>
      <c r="AD30" s="37" t="n">
        <f aca="false">AD27*③기타_가정!$E$169</f>
        <v>0</v>
      </c>
      <c r="AE30" s="37" t="n">
        <f aca="false">AE27*③기타_가정!$E$169</f>
        <v>0</v>
      </c>
      <c r="AF30" s="37" t="n">
        <f aca="false">AF27*③기타_가정!$E$169</f>
        <v>0</v>
      </c>
      <c r="AG30" s="37" t="n">
        <f aca="false">AG27*③기타_가정!$E$169</f>
        <v>0</v>
      </c>
      <c r="AH30" s="37" t="n">
        <f aca="false">AH27*③기타_가정!$E$169</f>
        <v>0</v>
      </c>
      <c r="AI30" s="37" t="n">
        <f aca="false">AI27*③기타_가정!$E$169</f>
        <v>0</v>
      </c>
      <c r="AJ30" s="37" t="n">
        <f aca="false">AJ27*③기타_가정!$E$169</f>
        <v>0</v>
      </c>
      <c r="AK30" s="37" t="n">
        <f aca="false">AK27*③기타_가정!$E$169</f>
        <v>0</v>
      </c>
      <c r="AL30" s="37" t="n">
        <f aca="false">AL27*③기타_가정!$E$169</f>
        <v>0</v>
      </c>
      <c r="AM30" s="37" t="n">
        <f aca="false">AM27*③기타_가정!$E$169</f>
        <v>0</v>
      </c>
      <c r="AN30" s="37" t="n">
        <f aca="false">AN27*③기타_가정!$E$169</f>
        <v>0</v>
      </c>
      <c r="AO30" s="37" t="n">
        <f aca="false">AO27*③기타_가정!$E$169</f>
        <v>0</v>
      </c>
      <c r="AP30" s="37" t="n">
        <f aca="false">AP27*③기타_가정!$E$169</f>
        <v>0</v>
      </c>
      <c r="AQ30" s="37" t="n">
        <f aca="false">AQ27*③기타_가정!$E$169</f>
        <v>0</v>
      </c>
      <c r="AR30" s="37" t="n">
        <f aca="false">AR27*③기타_가정!$E$169</f>
        <v>0</v>
      </c>
      <c r="AS30" s="37" t="n">
        <f aca="false">AS27*③기타_가정!$E$169</f>
        <v>0</v>
      </c>
      <c r="AT30" s="37" t="n">
        <f aca="false">AT27*③기타_가정!$E$169</f>
        <v>0</v>
      </c>
      <c r="AU30" s="37" t="n">
        <f aca="false">AU27*③기타_가정!$E$169</f>
        <v>0</v>
      </c>
      <c r="AV30" s="37" t="n">
        <f aca="false">AV27*③기타_가정!$E$169</f>
        <v>0</v>
      </c>
      <c r="AW30" s="37" t="n">
        <f aca="false">AW27*③기타_가정!$E$169</f>
        <v>0</v>
      </c>
      <c r="AX30" s="37" t="n">
        <f aca="false">AX27*③기타_가정!$E$169</f>
        <v>0</v>
      </c>
      <c r="AY30" s="37" t="n">
        <f aca="false">AY27*③기타_가정!$E$169</f>
        <v>0</v>
      </c>
      <c r="AZ30" s="37" t="n">
        <f aca="false">AZ27*③기타_가정!$E$169</f>
        <v>0</v>
      </c>
      <c r="BA30" s="37" t="n">
        <f aca="false">BA27*③기타_가정!$E$169</f>
        <v>0</v>
      </c>
      <c r="BB30" s="37" t="n">
        <f aca="false">BB27*③기타_가정!$E$169</f>
        <v>0</v>
      </c>
      <c r="BC30" s="37" t="n">
        <f aca="false">BC27*③기타_가정!$E$169</f>
        <v>0</v>
      </c>
      <c r="BD30" s="37" t="n">
        <f aca="false">BD27*③기타_가정!$E$169</f>
        <v>0</v>
      </c>
      <c r="BE30" s="37" t="n">
        <f aca="false">BE27*③기타_가정!$E$169</f>
        <v>0</v>
      </c>
      <c r="BF30" s="37" t="n">
        <f aca="false">BF27*③기타_가정!$E$169</f>
        <v>0</v>
      </c>
      <c r="BG30" s="37" t="n">
        <f aca="false">BG27*③기타_가정!$E$169</f>
        <v>0</v>
      </c>
      <c r="BH30" s="37" t="n">
        <f aca="false">BH27*③기타_가정!$E$169</f>
        <v>0</v>
      </c>
      <c r="BI30" s="37" t="n">
        <f aca="false">BI27*③기타_가정!$E$169</f>
        <v>0</v>
      </c>
      <c r="BJ30" s="37" t="n">
        <f aca="false">BJ27*③기타_가정!$E$169</f>
        <v>0</v>
      </c>
      <c r="BK30" s="37" t="n">
        <f aca="false">BK27*③기타_가정!$E$169</f>
        <v>0</v>
      </c>
      <c r="BL30" s="37" t="n">
        <f aca="false">BL27*③기타_가정!$E$169</f>
        <v>0</v>
      </c>
      <c r="BM30" s="37" t="n">
        <f aca="false">BM27*③기타_가정!$E$169</f>
        <v>1118.5668</v>
      </c>
      <c r="BN30" s="37" t="n">
        <f aca="false">BN27*③기타_가정!$E$169</f>
        <v>1082.484</v>
      </c>
      <c r="BO30" s="37" t="n">
        <f aca="false">BO27*③기타_가정!$E$169</f>
        <v>1118.5668</v>
      </c>
      <c r="BP30" s="37" t="n">
        <f aca="false">BP27*③기타_가정!$E$169</f>
        <v>1082.484</v>
      </c>
      <c r="BQ30" s="37" t="n">
        <f aca="false">BQ27*③기타_가정!$E$169</f>
        <v>1118.5668</v>
      </c>
      <c r="BR30" s="37" t="n">
        <f aca="false">BR27*③기타_가정!$E$169</f>
        <v>1118.5668</v>
      </c>
      <c r="BS30" s="37" t="n">
        <f aca="false">BS27*③기타_가정!$E$169</f>
        <v>1082.484</v>
      </c>
      <c r="BT30" s="37" t="n">
        <f aca="false">BT27*③기타_가정!$E$169</f>
        <v>1118.5668</v>
      </c>
      <c r="BU30" s="37" t="n">
        <f aca="false">BU27*③기타_가정!$E$169</f>
        <v>1082.484</v>
      </c>
      <c r="BV30" s="37" t="n">
        <f aca="false">BV27*③기타_가정!$E$169</f>
        <v>1118.5668</v>
      </c>
      <c r="BW30" s="37" t="n">
        <f aca="false">BW27*③기타_가정!$E$169</f>
        <v>1118.5668</v>
      </c>
      <c r="BX30" s="37" t="n">
        <f aca="false">BX27*③기타_가정!$E$169</f>
        <v>1046.4012</v>
      </c>
      <c r="BY30" s="37" t="n">
        <f aca="false">BY27*③기타_가정!$E$169</f>
        <v>1316.46708</v>
      </c>
      <c r="BZ30" s="37" t="n">
        <f aca="false">BZ27*③기타_가정!$E$169</f>
        <v>1274.0004</v>
      </c>
      <c r="CA30" s="37" t="n">
        <f aca="false">CA27*③기타_가정!$E$169</f>
        <v>1316.46708</v>
      </c>
      <c r="CB30" s="37" t="n">
        <f aca="false">CB27*③기타_가정!$E$169</f>
        <v>1274.0004</v>
      </c>
      <c r="CC30" s="37" t="n">
        <f aca="false">CC27*③기타_가정!$E$169</f>
        <v>1316.46708</v>
      </c>
      <c r="CD30" s="37" t="n">
        <f aca="false">CD27*③기타_가정!$E$169</f>
        <v>1316.46708</v>
      </c>
      <c r="CE30" s="37" t="n">
        <f aca="false">CE27*③기타_가정!$E$169</f>
        <v>1274.0004</v>
      </c>
      <c r="CF30" s="37" t="n">
        <f aca="false">CF27*③기타_가정!$E$169</f>
        <v>1316.46708</v>
      </c>
      <c r="CG30" s="37" t="n">
        <f aca="false">CG27*③기타_가정!$E$169</f>
        <v>1274.0004</v>
      </c>
      <c r="CH30" s="37" t="n">
        <f aca="false">CH27*③기타_가정!$E$169</f>
        <v>1316.46708</v>
      </c>
      <c r="CI30" s="37" t="n">
        <f aca="false">CI27*③기타_가정!$E$169</f>
        <v>1316.46708</v>
      </c>
      <c r="CJ30" s="37" t="n">
        <f aca="false">CJ27*③기타_가정!$E$169</f>
        <v>1189.06704</v>
      </c>
      <c r="CK30" s="37" t="n">
        <f aca="false">CK27*③기타_가정!$E$169</f>
        <v>1342.7964216</v>
      </c>
      <c r="CL30" s="37" t="n">
        <f aca="false">CL27*③기타_가정!$E$169</f>
        <v>1299.480408</v>
      </c>
      <c r="CM30" s="37" t="n">
        <f aca="false">CM27*③기타_가정!$E$169</f>
        <v>1342.7964216</v>
      </c>
      <c r="CN30" s="37" t="n">
        <f aca="false">CN27*③기타_가정!$E$169</f>
        <v>1299.480408</v>
      </c>
      <c r="CO30" s="37" t="n">
        <f aca="false">CO27*③기타_가정!$E$169</f>
        <v>1342.7964216</v>
      </c>
      <c r="CP30" s="37" t="n">
        <f aca="false">CP27*③기타_가정!$E$169</f>
        <v>1342.7964216</v>
      </c>
      <c r="CQ30" s="37" t="n">
        <f aca="false">CQ27*③기타_가정!$E$169</f>
        <v>1299.480408</v>
      </c>
      <c r="CR30" s="37" t="n">
        <f aca="false">CR27*③기타_가정!$E$169</f>
        <v>1342.7964216</v>
      </c>
      <c r="CS30" s="37" t="n">
        <f aca="false">CS27*③기타_가정!$E$169</f>
        <v>1299.480408</v>
      </c>
      <c r="CT30" s="37" t="n">
        <f aca="false">CT27*③기타_가정!$E$169</f>
        <v>1342.7964216</v>
      </c>
      <c r="CU30" s="37" t="n">
        <f aca="false">CU27*③기타_가정!$E$169</f>
        <v>1342.7964216</v>
      </c>
      <c r="CV30" s="37" t="n">
        <f aca="false">CV27*③기타_가정!$E$169</f>
        <v>1212.8483808</v>
      </c>
      <c r="CW30" s="37" t="n">
        <f aca="false">CW27*③기타_가정!$E$169</f>
        <v>1369.652350032</v>
      </c>
      <c r="CX30" s="37" t="n">
        <f aca="false">CX27*③기타_가정!$E$169</f>
        <v>1325.47001616</v>
      </c>
      <c r="CY30" s="37" t="n">
        <f aca="false">CY27*③기타_가정!$E$169</f>
        <v>1369.652350032</v>
      </c>
      <c r="CZ30" s="37" t="n">
        <f aca="false">CZ27*③기타_가정!$E$169</f>
        <v>1325.47001616</v>
      </c>
      <c r="DA30" s="37" t="n">
        <f aca="false">DA27*③기타_가정!$E$169</f>
        <v>1369.652350032</v>
      </c>
      <c r="DB30" s="37" t="n">
        <f aca="false">DB27*③기타_가정!$E$169</f>
        <v>1369.652350032</v>
      </c>
      <c r="DC30" s="37" t="n">
        <f aca="false">DC27*③기타_가정!$E$169</f>
        <v>1325.47001616</v>
      </c>
      <c r="DD30" s="37" t="n">
        <f aca="false">DD27*③기타_가정!$E$169</f>
        <v>1369.652350032</v>
      </c>
      <c r="DE30" s="37" t="n">
        <f aca="false">DE27*③기타_가정!$E$169</f>
        <v>1325.47001616</v>
      </c>
      <c r="DF30" s="37" t="n">
        <f aca="false">DF27*③기타_가정!$E$169</f>
        <v>1369.652350032</v>
      </c>
      <c r="DG30" s="37" t="n">
        <f aca="false">DG27*③기타_가정!$E$169</f>
        <v>1369.652350032</v>
      </c>
      <c r="DH30" s="37" t="n">
        <f aca="false">DH27*③기타_가정!$E$169</f>
        <v>1237.105348416</v>
      </c>
      <c r="DI30" s="37" t="n">
        <f aca="false">DI27*③기타_가정!$E$169</f>
        <v>1397.04539703264</v>
      </c>
      <c r="DJ30" s="37" t="n">
        <f aca="false">DJ27*③기타_가정!$E$169</f>
        <v>1351.9794164832</v>
      </c>
      <c r="DK30" s="37" t="n">
        <f aca="false">DK27*③기타_가정!$E$169</f>
        <v>1397.04539703264</v>
      </c>
      <c r="DL30" s="37" t="n">
        <f aca="false">DL27*③기타_가정!$E$169</f>
        <v>1351.9794164832</v>
      </c>
      <c r="DM30" s="37" t="n">
        <f aca="false">DM27*③기타_가정!$E$169</f>
        <v>1397.04539703264</v>
      </c>
      <c r="DN30" s="37" t="n">
        <f aca="false">DN27*③기타_가정!$E$169</f>
        <v>1397.04539703264</v>
      </c>
      <c r="DO30" s="37" t="n">
        <f aca="false">DO27*③기타_가정!$E$169</f>
        <v>1351.9794164832</v>
      </c>
      <c r="DP30" s="37" t="n">
        <f aca="false">DP27*③기타_가정!$E$169</f>
        <v>1397.04539703264</v>
      </c>
      <c r="DQ30" s="37" t="n">
        <f aca="false">DQ27*③기타_가정!$E$169</f>
        <v>1351.9794164832</v>
      </c>
      <c r="DR30" s="37" t="n">
        <f aca="false">DR27*③기타_가정!$E$169</f>
        <v>1397.04539703264</v>
      </c>
      <c r="DS30" s="37" t="n">
        <f aca="false">DS27*③기타_가정!$E$169</f>
        <v>1397.04539703264</v>
      </c>
      <c r="DT30" s="37" t="n">
        <f aca="false">DT27*③기타_가정!$E$169</f>
        <v>1306.91343593376</v>
      </c>
      <c r="DU30" s="37" t="n">
        <f aca="false">DU27*③기타_가정!$E$169</f>
        <v>0</v>
      </c>
      <c r="DV30" s="37" t="n">
        <f aca="false">DV27*③기타_가정!$E$169</f>
        <v>0</v>
      </c>
      <c r="DW30" s="37" t="n">
        <f aca="false">DW27*③기타_가정!$E$169</f>
        <v>0</v>
      </c>
      <c r="DX30" s="37" t="n">
        <f aca="false">DX27*③기타_가정!$E$169</f>
        <v>0</v>
      </c>
      <c r="DY30" s="37" t="n">
        <f aca="false">DY27*③기타_가정!$E$169</f>
        <v>0</v>
      </c>
      <c r="DZ30" s="37" t="n">
        <f aca="false">DZ27*③기타_가정!$E$169</f>
        <v>0</v>
      </c>
      <c r="EA30" s="37" t="n">
        <f aca="false">EA27*③기타_가정!$E$169</f>
        <v>0</v>
      </c>
      <c r="EB30" s="37" t="n">
        <f aca="false">EB27*③기타_가정!$E$169</f>
        <v>0</v>
      </c>
      <c r="EC30" s="37" t="n">
        <f aca="false">EC27*③기타_가정!$E$169</f>
        <v>0</v>
      </c>
      <c r="ED30" s="37" t="n">
        <f aca="false">ED27*③기타_가정!$E$169</f>
        <v>0</v>
      </c>
      <c r="EE30" s="37" t="n">
        <f aca="false">EE27*③기타_가정!$E$169</f>
        <v>0</v>
      </c>
      <c r="EF30" s="37" t="n">
        <f aca="false">EF27*③기타_가정!$E$169</f>
        <v>0</v>
      </c>
    </row>
    <row r="31" customFormat="false" ht="15" hidden="false" customHeight="false" outlineLevel="0" collapsed="false">
      <c r="A31" s="36" t="s">
        <v>264</v>
      </c>
      <c r="B31" s="278" t="s">
        <v>21</v>
      </c>
      <c r="C31" s="279" t="n">
        <f aca="false">SUM(E31:EF31)</f>
        <v>29997.990053257</v>
      </c>
      <c r="E31" s="37" t="n">
        <f aca="false">E27*③기타_가정!$E$170</f>
        <v>0</v>
      </c>
      <c r="F31" s="37" t="n">
        <f aca="false">F27*③기타_가정!$E$170</f>
        <v>0</v>
      </c>
      <c r="G31" s="37" t="n">
        <f aca="false">G27*③기타_가정!$E$170</f>
        <v>0</v>
      </c>
      <c r="H31" s="37" t="n">
        <f aca="false">H27*③기타_가정!$E$170</f>
        <v>0</v>
      </c>
      <c r="I31" s="37" t="n">
        <f aca="false">I27*③기타_가정!$E$170</f>
        <v>0</v>
      </c>
      <c r="J31" s="37" t="n">
        <f aca="false">J27*③기타_가정!$E$170</f>
        <v>0</v>
      </c>
      <c r="K31" s="37" t="n">
        <f aca="false">K27*③기타_가정!$E$170</f>
        <v>0</v>
      </c>
      <c r="L31" s="37" t="n">
        <f aca="false">L27*③기타_가정!$E$170</f>
        <v>0</v>
      </c>
      <c r="M31" s="37" t="n">
        <f aca="false">M27*③기타_가정!$E$170</f>
        <v>0</v>
      </c>
      <c r="N31" s="37" t="n">
        <f aca="false">N27*③기타_가정!$E$170</f>
        <v>0</v>
      </c>
      <c r="O31" s="37" t="n">
        <f aca="false">O27*③기타_가정!$E$170</f>
        <v>0</v>
      </c>
      <c r="P31" s="37" t="n">
        <f aca="false">P27*③기타_가정!$E$170</f>
        <v>0</v>
      </c>
      <c r="Q31" s="37" t="n">
        <f aca="false">Q27*③기타_가정!$E$170</f>
        <v>0</v>
      </c>
      <c r="R31" s="37" t="n">
        <f aca="false">R27*③기타_가정!$E$170</f>
        <v>0</v>
      </c>
      <c r="S31" s="37" t="n">
        <f aca="false">S27*③기타_가정!$E$170</f>
        <v>0</v>
      </c>
      <c r="T31" s="37" t="n">
        <f aca="false">T27*③기타_가정!$E$170</f>
        <v>0</v>
      </c>
      <c r="U31" s="37" t="n">
        <f aca="false">U27*③기타_가정!$E$170</f>
        <v>0</v>
      </c>
      <c r="V31" s="37" t="n">
        <f aca="false">V27*③기타_가정!$E$170</f>
        <v>0</v>
      </c>
      <c r="W31" s="37" t="n">
        <f aca="false">W27*③기타_가정!$E$170</f>
        <v>0</v>
      </c>
      <c r="X31" s="37" t="n">
        <f aca="false">X27*③기타_가정!$E$170</f>
        <v>0</v>
      </c>
      <c r="Y31" s="37" t="n">
        <f aca="false">Y27*③기타_가정!$E$170</f>
        <v>0</v>
      </c>
      <c r="Z31" s="37" t="n">
        <f aca="false">Z27*③기타_가정!$E$170</f>
        <v>0</v>
      </c>
      <c r="AA31" s="37" t="n">
        <f aca="false">AA27*③기타_가정!$E$170</f>
        <v>0</v>
      </c>
      <c r="AB31" s="37" t="n">
        <f aca="false">AB27*③기타_가정!$E$170</f>
        <v>0</v>
      </c>
      <c r="AC31" s="37" t="n">
        <f aca="false">AC27*③기타_가정!$E$170</f>
        <v>0</v>
      </c>
      <c r="AD31" s="37" t="n">
        <f aca="false">AD27*③기타_가정!$E$170</f>
        <v>0</v>
      </c>
      <c r="AE31" s="37" t="n">
        <f aca="false">AE27*③기타_가정!$E$170</f>
        <v>0</v>
      </c>
      <c r="AF31" s="37" t="n">
        <f aca="false">AF27*③기타_가정!$E$170</f>
        <v>0</v>
      </c>
      <c r="AG31" s="37" t="n">
        <f aca="false">AG27*③기타_가정!$E$170</f>
        <v>0</v>
      </c>
      <c r="AH31" s="37" t="n">
        <f aca="false">AH27*③기타_가정!$E$170</f>
        <v>0</v>
      </c>
      <c r="AI31" s="37" t="n">
        <f aca="false">AI27*③기타_가정!$E$170</f>
        <v>0</v>
      </c>
      <c r="AJ31" s="37" t="n">
        <f aca="false">AJ27*③기타_가정!$E$170</f>
        <v>0</v>
      </c>
      <c r="AK31" s="37" t="n">
        <f aca="false">AK27*③기타_가정!$E$170</f>
        <v>0</v>
      </c>
      <c r="AL31" s="37" t="n">
        <f aca="false">AL27*③기타_가정!$E$170</f>
        <v>0</v>
      </c>
      <c r="AM31" s="37" t="n">
        <f aca="false">AM27*③기타_가정!$E$170</f>
        <v>0</v>
      </c>
      <c r="AN31" s="37" t="n">
        <f aca="false">AN27*③기타_가정!$E$170</f>
        <v>0</v>
      </c>
      <c r="AO31" s="37" t="n">
        <f aca="false">AO27*③기타_가정!$E$170</f>
        <v>0</v>
      </c>
      <c r="AP31" s="37" t="n">
        <f aca="false">AP27*③기타_가정!$E$170</f>
        <v>0</v>
      </c>
      <c r="AQ31" s="37" t="n">
        <f aca="false">AQ27*③기타_가정!$E$170</f>
        <v>0</v>
      </c>
      <c r="AR31" s="37" t="n">
        <f aca="false">AR27*③기타_가정!$E$170</f>
        <v>0</v>
      </c>
      <c r="AS31" s="37" t="n">
        <f aca="false">AS27*③기타_가정!$E$170</f>
        <v>0</v>
      </c>
      <c r="AT31" s="37" t="n">
        <f aca="false">AT27*③기타_가정!$E$170</f>
        <v>0</v>
      </c>
      <c r="AU31" s="37" t="n">
        <f aca="false">AU27*③기타_가정!$E$170</f>
        <v>0</v>
      </c>
      <c r="AV31" s="37" t="n">
        <f aca="false">AV27*③기타_가정!$E$170</f>
        <v>0</v>
      </c>
      <c r="AW31" s="37" t="n">
        <f aca="false">AW27*③기타_가정!$E$170</f>
        <v>0</v>
      </c>
      <c r="AX31" s="37" t="n">
        <f aca="false">AX27*③기타_가정!$E$170</f>
        <v>0</v>
      </c>
      <c r="AY31" s="37" t="n">
        <f aca="false">AY27*③기타_가정!$E$170</f>
        <v>0</v>
      </c>
      <c r="AZ31" s="37" t="n">
        <f aca="false">AZ27*③기타_가정!$E$170</f>
        <v>0</v>
      </c>
      <c r="BA31" s="37" t="n">
        <f aca="false">BA27*③기타_가정!$E$170</f>
        <v>0</v>
      </c>
      <c r="BB31" s="37" t="n">
        <f aca="false">BB27*③기타_가정!$E$170</f>
        <v>0</v>
      </c>
      <c r="BC31" s="37" t="n">
        <f aca="false">BC27*③기타_가정!$E$170</f>
        <v>0</v>
      </c>
      <c r="BD31" s="37" t="n">
        <f aca="false">BD27*③기타_가정!$E$170</f>
        <v>0</v>
      </c>
      <c r="BE31" s="37" t="n">
        <f aca="false">BE27*③기타_가정!$E$170</f>
        <v>0</v>
      </c>
      <c r="BF31" s="37" t="n">
        <f aca="false">BF27*③기타_가정!$E$170</f>
        <v>0</v>
      </c>
      <c r="BG31" s="37" t="n">
        <f aca="false">BG27*③기타_가정!$E$170</f>
        <v>0</v>
      </c>
      <c r="BH31" s="37" t="n">
        <f aca="false">BH27*③기타_가정!$E$170</f>
        <v>0</v>
      </c>
      <c r="BI31" s="37" t="n">
        <f aca="false">BI27*③기타_가정!$E$170</f>
        <v>0</v>
      </c>
      <c r="BJ31" s="37" t="n">
        <f aca="false">BJ27*③기타_가정!$E$170</f>
        <v>0</v>
      </c>
      <c r="BK31" s="37" t="n">
        <f aca="false">BK27*③기타_가정!$E$170</f>
        <v>0</v>
      </c>
      <c r="BL31" s="37" t="n">
        <f aca="false">BL27*③기타_가정!$E$170</f>
        <v>0</v>
      </c>
      <c r="BM31" s="37" t="n">
        <f aca="false">BM27*③기타_가정!$E$170</f>
        <v>434.9982</v>
      </c>
      <c r="BN31" s="37" t="n">
        <f aca="false">BN27*③기타_가정!$E$170</f>
        <v>420.966</v>
      </c>
      <c r="BO31" s="37" t="n">
        <f aca="false">BO27*③기타_가정!$E$170</f>
        <v>434.9982</v>
      </c>
      <c r="BP31" s="37" t="n">
        <f aca="false">BP27*③기타_가정!$E$170</f>
        <v>420.966</v>
      </c>
      <c r="BQ31" s="37" t="n">
        <f aca="false">BQ27*③기타_가정!$E$170</f>
        <v>434.9982</v>
      </c>
      <c r="BR31" s="37" t="n">
        <f aca="false">BR27*③기타_가정!$E$170</f>
        <v>434.9982</v>
      </c>
      <c r="BS31" s="37" t="n">
        <f aca="false">BS27*③기타_가정!$E$170</f>
        <v>420.966</v>
      </c>
      <c r="BT31" s="37" t="n">
        <f aca="false">BT27*③기타_가정!$E$170</f>
        <v>434.9982</v>
      </c>
      <c r="BU31" s="37" t="n">
        <f aca="false">BU27*③기타_가정!$E$170</f>
        <v>420.966</v>
      </c>
      <c r="BV31" s="37" t="n">
        <f aca="false">BV27*③기타_가정!$E$170</f>
        <v>434.9982</v>
      </c>
      <c r="BW31" s="37" t="n">
        <f aca="false">BW27*③기타_가정!$E$170</f>
        <v>434.9982</v>
      </c>
      <c r="BX31" s="37" t="n">
        <f aca="false">BX27*③기타_가정!$E$170</f>
        <v>406.9338</v>
      </c>
      <c r="BY31" s="37" t="n">
        <f aca="false">BY27*③기타_가정!$E$170</f>
        <v>511.95942</v>
      </c>
      <c r="BZ31" s="37" t="n">
        <f aca="false">BZ27*③기타_가정!$E$170</f>
        <v>495.4446</v>
      </c>
      <c r="CA31" s="37" t="n">
        <f aca="false">CA27*③기타_가정!$E$170</f>
        <v>511.95942</v>
      </c>
      <c r="CB31" s="37" t="n">
        <f aca="false">CB27*③기타_가정!$E$170</f>
        <v>495.4446</v>
      </c>
      <c r="CC31" s="37" t="n">
        <f aca="false">CC27*③기타_가정!$E$170</f>
        <v>511.95942</v>
      </c>
      <c r="CD31" s="37" t="n">
        <f aca="false">CD27*③기타_가정!$E$170</f>
        <v>511.95942</v>
      </c>
      <c r="CE31" s="37" t="n">
        <f aca="false">CE27*③기타_가정!$E$170</f>
        <v>495.4446</v>
      </c>
      <c r="CF31" s="37" t="n">
        <f aca="false">CF27*③기타_가정!$E$170</f>
        <v>511.95942</v>
      </c>
      <c r="CG31" s="37" t="n">
        <f aca="false">CG27*③기타_가정!$E$170</f>
        <v>495.4446</v>
      </c>
      <c r="CH31" s="37" t="n">
        <f aca="false">CH27*③기타_가정!$E$170</f>
        <v>511.95942</v>
      </c>
      <c r="CI31" s="37" t="n">
        <f aca="false">CI27*③기타_가정!$E$170</f>
        <v>511.95942</v>
      </c>
      <c r="CJ31" s="37" t="n">
        <f aca="false">CJ27*③기타_가정!$E$170</f>
        <v>462.41496</v>
      </c>
      <c r="CK31" s="37" t="n">
        <f aca="false">CK27*③기타_가정!$E$170</f>
        <v>522.1986084</v>
      </c>
      <c r="CL31" s="37" t="n">
        <f aca="false">CL27*③기타_가정!$E$170</f>
        <v>505.353492</v>
      </c>
      <c r="CM31" s="37" t="n">
        <f aca="false">CM27*③기타_가정!$E$170</f>
        <v>522.1986084</v>
      </c>
      <c r="CN31" s="37" t="n">
        <f aca="false">CN27*③기타_가정!$E$170</f>
        <v>505.353492</v>
      </c>
      <c r="CO31" s="37" t="n">
        <f aca="false">CO27*③기타_가정!$E$170</f>
        <v>522.1986084</v>
      </c>
      <c r="CP31" s="37" t="n">
        <f aca="false">CP27*③기타_가정!$E$170</f>
        <v>522.1986084</v>
      </c>
      <c r="CQ31" s="37" t="n">
        <f aca="false">CQ27*③기타_가정!$E$170</f>
        <v>505.353492</v>
      </c>
      <c r="CR31" s="37" t="n">
        <f aca="false">CR27*③기타_가정!$E$170</f>
        <v>522.1986084</v>
      </c>
      <c r="CS31" s="37" t="n">
        <f aca="false">CS27*③기타_가정!$E$170</f>
        <v>505.353492</v>
      </c>
      <c r="CT31" s="37" t="n">
        <f aca="false">CT27*③기타_가정!$E$170</f>
        <v>522.1986084</v>
      </c>
      <c r="CU31" s="37" t="n">
        <f aca="false">CU27*③기타_가정!$E$170</f>
        <v>522.1986084</v>
      </c>
      <c r="CV31" s="37" t="n">
        <f aca="false">CV27*③기타_가정!$E$170</f>
        <v>471.6632592</v>
      </c>
      <c r="CW31" s="37" t="n">
        <f aca="false">CW27*③기타_가정!$E$170</f>
        <v>532.642580568</v>
      </c>
      <c r="CX31" s="37" t="n">
        <f aca="false">CX27*③기타_가정!$E$170</f>
        <v>515.46056184</v>
      </c>
      <c r="CY31" s="37" t="n">
        <f aca="false">CY27*③기타_가정!$E$170</f>
        <v>532.642580568</v>
      </c>
      <c r="CZ31" s="37" t="n">
        <f aca="false">CZ27*③기타_가정!$E$170</f>
        <v>515.46056184</v>
      </c>
      <c r="DA31" s="37" t="n">
        <f aca="false">DA27*③기타_가정!$E$170</f>
        <v>532.642580568</v>
      </c>
      <c r="DB31" s="37" t="n">
        <f aca="false">DB27*③기타_가정!$E$170</f>
        <v>532.642580568</v>
      </c>
      <c r="DC31" s="37" t="n">
        <f aca="false">DC27*③기타_가정!$E$170</f>
        <v>515.46056184</v>
      </c>
      <c r="DD31" s="37" t="n">
        <f aca="false">DD27*③기타_가정!$E$170</f>
        <v>532.642580568</v>
      </c>
      <c r="DE31" s="37" t="n">
        <f aca="false">DE27*③기타_가정!$E$170</f>
        <v>515.46056184</v>
      </c>
      <c r="DF31" s="37" t="n">
        <f aca="false">DF27*③기타_가정!$E$170</f>
        <v>532.642580568</v>
      </c>
      <c r="DG31" s="37" t="n">
        <f aca="false">DG27*③기타_가정!$E$170</f>
        <v>532.642580568</v>
      </c>
      <c r="DH31" s="37" t="n">
        <f aca="false">DH27*③기타_가정!$E$170</f>
        <v>481.096524384</v>
      </c>
      <c r="DI31" s="37" t="n">
        <f aca="false">DI27*③기타_가정!$E$170</f>
        <v>543.29543217936</v>
      </c>
      <c r="DJ31" s="37" t="n">
        <f aca="false">DJ27*③기타_가정!$E$170</f>
        <v>525.7697730768</v>
      </c>
      <c r="DK31" s="37" t="n">
        <f aca="false">DK27*③기타_가정!$E$170</f>
        <v>543.29543217936</v>
      </c>
      <c r="DL31" s="37" t="n">
        <f aca="false">DL27*③기타_가정!$E$170</f>
        <v>525.7697730768</v>
      </c>
      <c r="DM31" s="37" t="n">
        <f aca="false">DM27*③기타_가정!$E$170</f>
        <v>543.29543217936</v>
      </c>
      <c r="DN31" s="37" t="n">
        <f aca="false">DN27*③기타_가정!$E$170</f>
        <v>543.29543217936</v>
      </c>
      <c r="DO31" s="37" t="n">
        <f aca="false">DO27*③기타_가정!$E$170</f>
        <v>525.7697730768</v>
      </c>
      <c r="DP31" s="37" t="n">
        <f aca="false">DP27*③기타_가정!$E$170</f>
        <v>543.29543217936</v>
      </c>
      <c r="DQ31" s="37" t="n">
        <f aca="false">DQ27*③기타_가정!$E$170</f>
        <v>525.7697730768</v>
      </c>
      <c r="DR31" s="37" t="n">
        <f aca="false">DR27*③기타_가정!$E$170</f>
        <v>543.29543217936</v>
      </c>
      <c r="DS31" s="37" t="n">
        <f aca="false">DS27*③기타_가정!$E$170</f>
        <v>543.29543217936</v>
      </c>
      <c r="DT31" s="37" t="n">
        <f aca="false">DT27*③기타_가정!$E$170</f>
        <v>508.24411397424</v>
      </c>
      <c r="DU31" s="37" t="n">
        <f aca="false">DU27*③기타_가정!$E$170</f>
        <v>0</v>
      </c>
      <c r="DV31" s="37" t="n">
        <f aca="false">DV27*③기타_가정!$E$170</f>
        <v>0</v>
      </c>
      <c r="DW31" s="37" t="n">
        <f aca="false">DW27*③기타_가정!$E$170</f>
        <v>0</v>
      </c>
      <c r="DX31" s="37" t="n">
        <f aca="false">DX27*③기타_가정!$E$170</f>
        <v>0</v>
      </c>
      <c r="DY31" s="37" t="n">
        <f aca="false">DY27*③기타_가정!$E$170</f>
        <v>0</v>
      </c>
      <c r="DZ31" s="37" t="n">
        <f aca="false">DZ27*③기타_가정!$E$170</f>
        <v>0</v>
      </c>
      <c r="EA31" s="37" t="n">
        <f aca="false">EA27*③기타_가정!$E$170</f>
        <v>0</v>
      </c>
      <c r="EB31" s="37" t="n">
        <f aca="false">EB27*③기타_가정!$E$170</f>
        <v>0</v>
      </c>
      <c r="EC31" s="37" t="n">
        <f aca="false">EC27*③기타_가정!$E$170</f>
        <v>0</v>
      </c>
      <c r="ED31" s="37" t="n">
        <f aca="false">ED27*③기타_가정!$E$170</f>
        <v>0</v>
      </c>
      <c r="EE31" s="37" t="n">
        <f aca="false">EE27*③기타_가정!$E$170</f>
        <v>0</v>
      </c>
      <c r="EF31" s="37" t="n">
        <f aca="false">EF27*③기타_가정!$E$170</f>
        <v>0</v>
      </c>
    </row>
    <row r="32" customFormat="false" ht="15" hidden="false" customHeight="false" outlineLevel="0" collapsed="false">
      <c r="A32" s="36" t="s">
        <v>265</v>
      </c>
      <c r="B32" s="278" t="s">
        <v>21</v>
      </c>
      <c r="C32" s="279" t="n">
        <f aca="false">SUM(E32:EF32)</f>
        <v>96422.1108854688</v>
      </c>
      <c r="E32" s="37" t="n">
        <f aca="false">E27*③기타_가정!$E$171</f>
        <v>0</v>
      </c>
      <c r="F32" s="37" t="n">
        <f aca="false">F27*③기타_가정!$E$171</f>
        <v>0</v>
      </c>
      <c r="G32" s="37" t="n">
        <f aca="false">G27*③기타_가정!$E$171</f>
        <v>0</v>
      </c>
      <c r="H32" s="37" t="n">
        <f aca="false">H27*③기타_가정!$E$171</f>
        <v>0</v>
      </c>
      <c r="I32" s="37" t="n">
        <f aca="false">I27*③기타_가정!$E$171</f>
        <v>0</v>
      </c>
      <c r="J32" s="37" t="n">
        <f aca="false">J27*③기타_가정!$E$171</f>
        <v>0</v>
      </c>
      <c r="K32" s="37" t="n">
        <f aca="false">K27*③기타_가정!$E$171</f>
        <v>0</v>
      </c>
      <c r="L32" s="37" t="n">
        <f aca="false">L27*③기타_가정!$E$171</f>
        <v>0</v>
      </c>
      <c r="M32" s="37" t="n">
        <f aca="false">M27*③기타_가정!$E$171</f>
        <v>0</v>
      </c>
      <c r="N32" s="37" t="n">
        <f aca="false">N27*③기타_가정!$E$171</f>
        <v>0</v>
      </c>
      <c r="O32" s="37" t="n">
        <f aca="false">O27*③기타_가정!$E$171</f>
        <v>0</v>
      </c>
      <c r="P32" s="37" t="n">
        <f aca="false">P27*③기타_가정!$E$171</f>
        <v>0</v>
      </c>
      <c r="Q32" s="37" t="n">
        <f aca="false">Q27*③기타_가정!$E$171</f>
        <v>0</v>
      </c>
      <c r="R32" s="37" t="n">
        <f aca="false">R27*③기타_가정!$E$171</f>
        <v>0</v>
      </c>
      <c r="S32" s="37" t="n">
        <f aca="false">S27*③기타_가정!$E$171</f>
        <v>0</v>
      </c>
      <c r="T32" s="37" t="n">
        <f aca="false">T27*③기타_가정!$E$171</f>
        <v>0</v>
      </c>
      <c r="U32" s="37" t="n">
        <f aca="false">U27*③기타_가정!$E$171</f>
        <v>0</v>
      </c>
      <c r="V32" s="37" t="n">
        <f aca="false">V27*③기타_가정!$E$171</f>
        <v>0</v>
      </c>
      <c r="W32" s="37" t="n">
        <f aca="false">W27*③기타_가정!$E$171</f>
        <v>0</v>
      </c>
      <c r="X32" s="37" t="n">
        <f aca="false">X27*③기타_가정!$E$171</f>
        <v>0</v>
      </c>
      <c r="Y32" s="37" t="n">
        <f aca="false">Y27*③기타_가정!$E$171</f>
        <v>0</v>
      </c>
      <c r="Z32" s="37" t="n">
        <f aca="false">Z27*③기타_가정!$E$171</f>
        <v>0</v>
      </c>
      <c r="AA32" s="37" t="n">
        <f aca="false">AA27*③기타_가정!$E$171</f>
        <v>0</v>
      </c>
      <c r="AB32" s="37" t="n">
        <f aca="false">AB27*③기타_가정!$E$171</f>
        <v>0</v>
      </c>
      <c r="AC32" s="37" t="n">
        <f aca="false">AC27*③기타_가정!$E$171</f>
        <v>0</v>
      </c>
      <c r="AD32" s="37" t="n">
        <f aca="false">AD27*③기타_가정!$E$171</f>
        <v>0</v>
      </c>
      <c r="AE32" s="37" t="n">
        <f aca="false">AE27*③기타_가정!$E$171</f>
        <v>0</v>
      </c>
      <c r="AF32" s="37" t="n">
        <f aca="false">AF27*③기타_가정!$E$171</f>
        <v>0</v>
      </c>
      <c r="AG32" s="37" t="n">
        <f aca="false">AG27*③기타_가정!$E$171</f>
        <v>0</v>
      </c>
      <c r="AH32" s="37" t="n">
        <f aca="false">AH27*③기타_가정!$E$171</f>
        <v>0</v>
      </c>
      <c r="AI32" s="37" t="n">
        <f aca="false">AI27*③기타_가정!$E$171</f>
        <v>0</v>
      </c>
      <c r="AJ32" s="37" t="n">
        <f aca="false">AJ27*③기타_가정!$E$171</f>
        <v>0</v>
      </c>
      <c r="AK32" s="37" t="n">
        <f aca="false">AK27*③기타_가정!$E$171</f>
        <v>0</v>
      </c>
      <c r="AL32" s="37" t="n">
        <f aca="false">AL27*③기타_가정!$E$171</f>
        <v>0</v>
      </c>
      <c r="AM32" s="37" t="n">
        <f aca="false">AM27*③기타_가정!$E$171</f>
        <v>0</v>
      </c>
      <c r="AN32" s="37" t="n">
        <f aca="false">AN27*③기타_가정!$E$171</f>
        <v>0</v>
      </c>
      <c r="AO32" s="37" t="n">
        <f aca="false">AO27*③기타_가정!$E$171</f>
        <v>0</v>
      </c>
      <c r="AP32" s="37" t="n">
        <f aca="false">AP27*③기타_가정!$E$171</f>
        <v>0</v>
      </c>
      <c r="AQ32" s="37" t="n">
        <f aca="false">AQ27*③기타_가정!$E$171</f>
        <v>0</v>
      </c>
      <c r="AR32" s="37" t="n">
        <f aca="false">AR27*③기타_가정!$E$171</f>
        <v>0</v>
      </c>
      <c r="AS32" s="37" t="n">
        <f aca="false">AS27*③기타_가정!$E$171</f>
        <v>0</v>
      </c>
      <c r="AT32" s="37" t="n">
        <f aca="false">AT27*③기타_가정!$E$171</f>
        <v>0</v>
      </c>
      <c r="AU32" s="37" t="n">
        <f aca="false">AU27*③기타_가정!$E$171</f>
        <v>0</v>
      </c>
      <c r="AV32" s="37" t="n">
        <f aca="false">AV27*③기타_가정!$E$171</f>
        <v>0</v>
      </c>
      <c r="AW32" s="37" t="n">
        <f aca="false">AW27*③기타_가정!$E$171</f>
        <v>0</v>
      </c>
      <c r="AX32" s="37" t="n">
        <f aca="false">AX27*③기타_가정!$E$171</f>
        <v>0</v>
      </c>
      <c r="AY32" s="37" t="n">
        <f aca="false">AY27*③기타_가정!$E$171</f>
        <v>0</v>
      </c>
      <c r="AZ32" s="37" t="n">
        <f aca="false">AZ27*③기타_가정!$E$171</f>
        <v>0</v>
      </c>
      <c r="BA32" s="37" t="n">
        <f aca="false">BA27*③기타_가정!$E$171</f>
        <v>0</v>
      </c>
      <c r="BB32" s="37" t="n">
        <f aca="false">BB27*③기타_가정!$E$171</f>
        <v>0</v>
      </c>
      <c r="BC32" s="37" t="n">
        <f aca="false">BC27*③기타_가정!$E$171</f>
        <v>0</v>
      </c>
      <c r="BD32" s="37" t="n">
        <f aca="false">BD27*③기타_가정!$E$171</f>
        <v>0</v>
      </c>
      <c r="BE32" s="37" t="n">
        <f aca="false">BE27*③기타_가정!$E$171</f>
        <v>0</v>
      </c>
      <c r="BF32" s="37" t="n">
        <f aca="false">BF27*③기타_가정!$E$171</f>
        <v>0</v>
      </c>
      <c r="BG32" s="37" t="n">
        <f aca="false">BG27*③기타_가정!$E$171</f>
        <v>0</v>
      </c>
      <c r="BH32" s="37" t="n">
        <f aca="false">BH27*③기타_가정!$E$171</f>
        <v>0</v>
      </c>
      <c r="BI32" s="37" t="n">
        <f aca="false">BI27*③기타_가정!$E$171</f>
        <v>0</v>
      </c>
      <c r="BJ32" s="37" t="n">
        <f aca="false">BJ27*③기타_가정!$E$171</f>
        <v>0</v>
      </c>
      <c r="BK32" s="37" t="n">
        <f aca="false">BK27*③기타_가정!$E$171</f>
        <v>0</v>
      </c>
      <c r="BL32" s="37" t="n">
        <f aca="false">BL27*③기타_가정!$E$171</f>
        <v>0</v>
      </c>
      <c r="BM32" s="37" t="n">
        <f aca="false">BM27*③기타_가정!$E$171</f>
        <v>1398.2085</v>
      </c>
      <c r="BN32" s="37" t="n">
        <f aca="false">BN27*③기타_가정!$E$171</f>
        <v>1353.105</v>
      </c>
      <c r="BO32" s="37" t="n">
        <f aca="false">BO27*③기타_가정!$E$171</f>
        <v>1398.2085</v>
      </c>
      <c r="BP32" s="37" t="n">
        <f aca="false">BP27*③기타_가정!$E$171</f>
        <v>1353.105</v>
      </c>
      <c r="BQ32" s="37" t="n">
        <f aca="false">BQ27*③기타_가정!$E$171</f>
        <v>1398.2085</v>
      </c>
      <c r="BR32" s="37" t="n">
        <f aca="false">BR27*③기타_가정!$E$171</f>
        <v>1398.2085</v>
      </c>
      <c r="BS32" s="37" t="n">
        <f aca="false">BS27*③기타_가정!$E$171</f>
        <v>1353.105</v>
      </c>
      <c r="BT32" s="37" t="n">
        <f aca="false">BT27*③기타_가정!$E$171</f>
        <v>1398.2085</v>
      </c>
      <c r="BU32" s="37" t="n">
        <f aca="false">BU27*③기타_가정!$E$171</f>
        <v>1353.105</v>
      </c>
      <c r="BV32" s="37" t="n">
        <f aca="false">BV27*③기타_가정!$E$171</f>
        <v>1398.2085</v>
      </c>
      <c r="BW32" s="37" t="n">
        <f aca="false">BW27*③기타_가정!$E$171</f>
        <v>1398.2085</v>
      </c>
      <c r="BX32" s="37" t="n">
        <f aca="false">BX27*③기타_가정!$E$171</f>
        <v>1308.0015</v>
      </c>
      <c r="BY32" s="37" t="n">
        <f aca="false">BY27*③기타_가정!$E$171</f>
        <v>1645.58385</v>
      </c>
      <c r="BZ32" s="37" t="n">
        <f aca="false">BZ27*③기타_가정!$E$171</f>
        <v>1592.5005</v>
      </c>
      <c r="CA32" s="37" t="n">
        <f aca="false">CA27*③기타_가정!$E$171</f>
        <v>1645.58385</v>
      </c>
      <c r="CB32" s="37" t="n">
        <f aca="false">CB27*③기타_가정!$E$171</f>
        <v>1592.5005</v>
      </c>
      <c r="CC32" s="37" t="n">
        <f aca="false">CC27*③기타_가정!$E$171</f>
        <v>1645.58385</v>
      </c>
      <c r="CD32" s="37" t="n">
        <f aca="false">CD27*③기타_가정!$E$171</f>
        <v>1645.58385</v>
      </c>
      <c r="CE32" s="37" t="n">
        <f aca="false">CE27*③기타_가정!$E$171</f>
        <v>1592.5005</v>
      </c>
      <c r="CF32" s="37" t="n">
        <f aca="false">CF27*③기타_가정!$E$171</f>
        <v>1645.58385</v>
      </c>
      <c r="CG32" s="37" t="n">
        <f aca="false">CG27*③기타_가정!$E$171</f>
        <v>1592.5005</v>
      </c>
      <c r="CH32" s="37" t="n">
        <f aca="false">CH27*③기타_가정!$E$171</f>
        <v>1645.58385</v>
      </c>
      <c r="CI32" s="37" t="n">
        <f aca="false">CI27*③기타_가정!$E$171</f>
        <v>1645.58385</v>
      </c>
      <c r="CJ32" s="37" t="n">
        <f aca="false">CJ27*③기타_가정!$E$171</f>
        <v>1486.3338</v>
      </c>
      <c r="CK32" s="37" t="n">
        <f aca="false">CK27*③기타_가정!$E$171</f>
        <v>1678.495527</v>
      </c>
      <c r="CL32" s="37" t="n">
        <f aca="false">CL27*③기타_가정!$E$171</f>
        <v>1624.35051</v>
      </c>
      <c r="CM32" s="37" t="n">
        <f aca="false">CM27*③기타_가정!$E$171</f>
        <v>1678.495527</v>
      </c>
      <c r="CN32" s="37" t="n">
        <f aca="false">CN27*③기타_가정!$E$171</f>
        <v>1624.35051</v>
      </c>
      <c r="CO32" s="37" t="n">
        <f aca="false">CO27*③기타_가정!$E$171</f>
        <v>1678.495527</v>
      </c>
      <c r="CP32" s="37" t="n">
        <f aca="false">CP27*③기타_가정!$E$171</f>
        <v>1678.495527</v>
      </c>
      <c r="CQ32" s="37" t="n">
        <f aca="false">CQ27*③기타_가정!$E$171</f>
        <v>1624.35051</v>
      </c>
      <c r="CR32" s="37" t="n">
        <f aca="false">CR27*③기타_가정!$E$171</f>
        <v>1678.495527</v>
      </c>
      <c r="CS32" s="37" t="n">
        <f aca="false">CS27*③기타_가정!$E$171</f>
        <v>1624.35051</v>
      </c>
      <c r="CT32" s="37" t="n">
        <f aca="false">CT27*③기타_가정!$E$171</f>
        <v>1678.495527</v>
      </c>
      <c r="CU32" s="37" t="n">
        <f aca="false">CU27*③기타_가정!$E$171</f>
        <v>1678.495527</v>
      </c>
      <c r="CV32" s="37" t="n">
        <f aca="false">CV27*③기타_가정!$E$171</f>
        <v>1516.060476</v>
      </c>
      <c r="CW32" s="37" t="n">
        <f aca="false">CW27*③기타_가정!$E$171</f>
        <v>1712.06543754</v>
      </c>
      <c r="CX32" s="37" t="n">
        <f aca="false">CX27*③기타_가정!$E$171</f>
        <v>1656.8375202</v>
      </c>
      <c r="CY32" s="37" t="n">
        <f aca="false">CY27*③기타_가정!$E$171</f>
        <v>1712.06543754</v>
      </c>
      <c r="CZ32" s="37" t="n">
        <f aca="false">CZ27*③기타_가정!$E$171</f>
        <v>1656.8375202</v>
      </c>
      <c r="DA32" s="37" t="n">
        <f aca="false">DA27*③기타_가정!$E$171</f>
        <v>1712.06543754</v>
      </c>
      <c r="DB32" s="37" t="n">
        <f aca="false">DB27*③기타_가정!$E$171</f>
        <v>1712.06543754</v>
      </c>
      <c r="DC32" s="37" t="n">
        <f aca="false">DC27*③기타_가정!$E$171</f>
        <v>1656.8375202</v>
      </c>
      <c r="DD32" s="37" t="n">
        <f aca="false">DD27*③기타_가정!$E$171</f>
        <v>1712.06543754</v>
      </c>
      <c r="DE32" s="37" t="n">
        <f aca="false">DE27*③기타_가정!$E$171</f>
        <v>1656.8375202</v>
      </c>
      <c r="DF32" s="37" t="n">
        <f aca="false">DF27*③기타_가정!$E$171</f>
        <v>1712.06543754</v>
      </c>
      <c r="DG32" s="37" t="n">
        <f aca="false">DG27*③기타_가정!$E$171</f>
        <v>1712.06543754</v>
      </c>
      <c r="DH32" s="37" t="n">
        <f aca="false">DH27*③기타_가정!$E$171</f>
        <v>1546.38168552</v>
      </c>
      <c r="DI32" s="37" t="n">
        <f aca="false">DI27*③기타_가정!$E$171</f>
        <v>1746.3067462908</v>
      </c>
      <c r="DJ32" s="37" t="n">
        <f aca="false">DJ27*③기타_가정!$E$171</f>
        <v>1689.974270604</v>
      </c>
      <c r="DK32" s="37" t="n">
        <f aca="false">DK27*③기타_가정!$E$171</f>
        <v>1746.3067462908</v>
      </c>
      <c r="DL32" s="37" t="n">
        <f aca="false">DL27*③기타_가정!$E$171</f>
        <v>1689.974270604</v>
      </c>
      <c r="DM32" s="37" t="n">
        <f aca="false">DM27*③기타_가정!$E$171</f>
        <v>1746.3067462908</v>
      </c>
      <c r="DN32" s="37" t="n">
        <f aca="false">DN27*③기타_가정!$E$171</f>
        <v>1746.3067462908</v>
      </c>
      <c r="DO32" s="37" t="n">
        <f aca="false">DO27*③기타_가정!$E$171</f>
        <v>1689.974270604</v>
      </c>
      <c r="DP32" s="37" t="n">
        <f aca="false">DP27*③기타_가정!$E$171</f>
        <v>1746.3067462908</v>
      </c>
      <c r="DQ32" s="37" t="n">
        <f aca="false">DQ27*③기타_가정!$E$171</f>
        <v>1689.974270604</v>
      </c>
      <c r="DR32" s="37" t="n">
        <f aca="false">DR27*③기타_가정!$E$171</f>
        <v>1746.3067462908</v>
      </c>
      <c r="DS32" s="37" t="n">
        <f aca="false">DS27*③기타_가정!$E$171</f>
        <v>1746.3067462908</v>
      </c>
      <c r="DT32" s="37" t="n">
        <f aca="false">DT27*③기타_가정!$E$171</f>
        <v>1633.6417949172</v>
      </c>
      <c r="DU32" s="37" t="n">
        <f aca="false">DU27*③기타_가정!$E$171</f>
        <v>0</v>
      </c>
      <c r="DV32" s="37" t="n">
        <f aca="false">DV27*③기타_가정!$E$171</f>
        <v>0</v>
      </c>
      <c r="DW32" s="37" t="n">
        <f aca="false">DW27*③기타_가정!$E$171</f>
        <v>0</v>
      </c>
      <c r="DX32" s="37" t="n">
        <f aca="false">DX27*③기타_가정!$E$171</f>
        <v>0</v>
      </c>
      <c r="DY32" s="37" t="n">
        <f aca="false">DY27*③기타_가정!$E$171</f>
        <v>0</v>
      </c>
      <c r="DZ32" s="37" t="n">
        <f aca="false">DZ27*③기타_가정!$E$171</f>
        <v>0</v>
      </c>
      <c r="EA32" s="37" t="n">
        <f aca="false">EA27*③기타_가정!$E$171</f>
        <v>0</v>
      </c>
      <c r="EB32" s="37" t="n">
        <f aca="false">EB27*③기타_가정!$E$171</f>
        <v>0</v>
      </c>
      <c r="EC32" s="37" t="n">
        <f aca="false">EC27*③기타_가정!$E$171</f>
        <v>0</v>
      </c>
      <c r="ED32" s="37" t="n">
        <f aca="false">ED27*③기타_가정!$E$171</f>
        <v>0</v>
      </c>
      <c r="EE32" s="37" t="n">
        <f aca="false">EE27*③기타_가정!$E$171</f>
        <v>0</v>
      </c>
      <c r="EF32" s="37" t="n">
        <f aca="false">EF27*③기타_가정!$E$171</f>
        <v>0</v>
      </c>
    </row>
    <row r="33" customFormat="false" ht="15" hidden="false" customHeight="false" outlineLevel="0" collapsed="false">
      <c r="A33" s="36" t="s">
        <v>266</v>
      </c>
      <c r="B33" s="278" t="s">
        <v>21</v>
      </c>
      <c r="C33" s="279" t="n">
        <f aca="false">SUM(E33:EF33)</f>
        <v>42854.2715046528</v>
      </c>
      <c r="E33" s="37" t="n">
        <f aca="false">E27*③기타_가정!$E$172</f>
        <v>0</v>
      </c>
      <c r="F33" s="37" t="n">
        <f aca="false">F27*③기타_가정!$E$172</f>
        <v>0</v>
      </c>
      <c r="G33" s="37" t="n">
        <f aca="false">G27*③기타_가정!$E$172</f>
        <v>0</v>
      </c>
      <c r="H33" s="37" t="n">
        <f aca="false">H27*③기타_가정!$E$172</f>
        <v>0</v>
      </c>
      <c r="I33" s="37" t="n">
        <f aca="false">I27*③기타_가정!$E$172</f>
        <v>0</v>
      </c>
      <c r="J33" s="37" t="n">
        <f aca="false">J27*③기타_가정!$E$172</f>
        <v>0</v>
      </c>
      <c r="K33" s="37" t="n">
        <f aca="false">K27*③기타_가정!$E$172</f>
        <v>0</v>
      </c>
      <c r="L33" s="37" t="n">
        <f aca="false">L27*③기타_가정!$E$172</f>
        <v>0</v>
      </c>
      <c r="M33" s="37" t="n">
        <f aca="false">M27*③기타_가정!$E$172</f>
        <v>0</v>
      </c>
      <c r="N33" s="37" t="n">
        <f aca="false">N27*③기타_가정!$E$172</f>
        <v>0</v>
      </c>
      <c r="O33" s="37" t="n">
        <f aca="false">O27*③기타_가정!$E$172</f>
        <v>0</v>
      </c>
      <c r="P33" s="37" t="n">
        <f aca="false">P27*③기타_가정!$E$172</f>
        <v>0</v>
      </c>
      <c r="Q33" s="37" t="n">
        <f aca="false">Q27*③기타_가정!$E$172</f>
        <v>0</v>
      </c>
      <c r="R33" s="37" t="n">
        <f aca="false">R27*③기타_가정!$E$172</f>
        <v>0</v>
      </c>
      <c r="S33" s="37" t="n">
        <f aca="false">S27*③기타_가정!$E$172</f>
        <v>0</v>
      </c>
      <c r="T33" s="37" t="n">
        <f aca="false">T27*③기타_가정!$E$172</f>
        <v>0</v>
      </c>
      <c r="U33" s="37" t="n">
        <f aca="false">U27*③기타_가정!$E$172</f>
        <v>0</v>
      </c>
      <c r="V33" s="37" t="n">
        <f aca="false">V27*③기타_가정!$E$172</f>
        <v>0</v>
      </c>
      <c r="W33" s="37" t="n">
        <f aca="false">W27*③기타_가정!$E$172</f>
        <v>0</v>
      </c>
      <c r="X33" s="37" t="n">
        <f aca="false">X27*③기타_가정!$E$172</f>
        <v>0</v>
      </c>
      <c r="Y33" s="37" t="n">
        <f aca="false">Y27*③기타_가정!$E$172</f>
        <v>0</v>
      </c>
      <c r="Z33" s="37" t="n">
        <f aca="false">Z27*③기타_가정!$E$172</f>
        <v>0</v>
      </c>
      <c r="AA33" s="37" t="n">
        <f aca="false">AA27*③기타_가정!$E$172</f>
        <v>0</v>
      </c>
      <c r="AB33" s="37" t="n">
        <f aca="false">AB27*③기타_가정!$E$172</f>
        <v>0</v>
      </c>
      <c r="AC33" s="37" t="n">
        <f aca="false">AC27*③기타_가정!$E$172</f>
        <v>0</v>
      </c>
      <c r="AD33" s="37" t="n">
        <f aca="false">AD27*③기타_가정!$E$172</f>
        <v>0</v>
      </c>
      <c r="AE33" s="37" t="n">
        <f aca="false">AE27*③기타_가정!$E$172</f>
        <v>0</v>
      </c>
      <c r="AF33" s="37" t="n">
        <f aca="false">AF27*③기타_가정!$E$172</f>
        <v>0</v>
      </c>
      <c r="AG33" s="37" t="n">
        <f aca="false">AG27*③기타_가정!$E$172</f>
        <v>0</v>
      </c>
      <c r="AH33" s="37" t="n">
        <f aca="false">AH27*③기타_가정!$E$172</f>
        <v>0</v>
      </c>
      <c r="AI33" s="37" t="n">
        <f aca="false">AI27*③기타_가정!$E$172</f>
        <v>0</v>
      </c>
      <c r="AJ33" s="37" t="n">
        <f aca="false">AJ27*③기타_가정!$E$172</f>
        <v>0</v>
      </c>
      <c r="AK33" s="37" t="n">
        <f aca="false">AK27*③기타_가정!$E$172</f>
        <v>0</v>
      </c>
      <c r="AL33" s="37" t="n">
        <f aca="false">AL27*③기타_가정!$E$172</f>
        <v>0</v>
      </c>
      <c r="AM33" s="37" t="n">
        <f aca="false">AM27*③기타_가정!$E$172</f>
        <v>0</v>
      </c>
      <c r="AN33" s="37" t="n">
        <f aca="false">AN27*③기타_가정!$E$172</f>
        <v>0</v>
      </c>
      <c r="AO33" s="37" t="n">
        <f aca="false">AO27*③기타_가정!$E$172</f>
        <v>0</v>
      </c>
      <c r="AP33" s="37" t="n">
        <f aca="false">AP27*③기타_가정!$E$172</f>
        <v>0</v>
      </c>
      <c r="AQ33" s="37" t="n">
        <f aca="false">AQ27*③기타_가정!$E$172</f>
        <v>0</v>
      </c>
      <c r="AR33" s="37" t="n">
        <f aca="false">AR27*③기타_가정!$E$172</f>
        <v>0</v>
      </c>
      <c r="AS33" s="37" t="n">
        <f aca="false">AS27*③기타_가정!$E$172</f>
        <v>0</v>
      </c>
      <c r="AT33" s="37" t="n">
        <f aca="false">AT27*③기타_가정!$E$172</f>
        <v>0</v>
      </c>
      <c r="AU33" s="37" t="n">
        <f aca="false">AU27*③기타_가정!$E$172</f>
        <v>0</v>
      </c>
      <c r="AV33" s="37" t="n">
        <f aca="false">AV27*③기타_가정!$E$172</f>
        <v>0</v>
      </c>
      <c r="AW33" s="37" t="n">
        <f aca="false">AW27*③기타_가정!$E$172</f>
        <v>0</v>
      </c>
      <c r="AX33" s="37" t="n">
        <f aca="false">AX27*③기타_가정!$E$172</f>
        <v>0</v>
      </c>
      <c r="AY33" s="37" t="n">
        <f aca="false">AY27*③기타_가정!$E$172</f>
        <v>0</v>
      </c>
      <c r="AZ33" s="37" t="n">
        <f aca="false">AZ27*③기타_가정!$E$172</f>
        <v>0</v>
      </c>
      <c r="BA33" s="37" t="n">
        <f aca="false">BA27*③기타_가정!$E$172</f>
        <v>0</v>
      </c>
      <c r="BB33" s="37" t="n">
        <f aca="false">BB27*③기타_가정!$E$172</f>
        <v>0</v>
      </c>
      <c r="BC33" s="37" t="n">
        <f aca="false">BC27*③기타_가정!$E$172</f>
        <v>0</v>
      </c>
      <c r="BD33" s="37" t="n">
        <f aca="false">BD27*③기타_가정!$E$172</f>
        <v>0</v>
      </c>
      <c r="BE33" s="37" t="n">
        <f aca="false">BE27*③기타_가정!$E$172</f>
        <v>0</v>
      </c>
      <c r="BF33" s="37" t="n">
        <f aca="false">BF27*③기타_가정!$E$172</f>
        <v>0</v>
      </c>
      <c r="BG33" s="37" t="n">
        <f aca="false">BG27*③기타_가정!$E$172</f>
        <v>0</v>
      </c>
      <c r="BH33" s="37" t="n">
        <f aca="false">BH27*③기타_가정!$E$172</f>
        <v>0</v>
      </c>
      <c r="BI33" s="37" t="n">
        <f aca="false">BI27*③기타_가정!$E$172</f>
        <v>0</v>
      </c>
      <c r="BJ33" s="37" t="n">
        <f aca="false">BJ27*③기타_가정!$E$172</f>
        <v>0</v>
      </c>
      <c r="BK33" s="37" t="n">
        <f aca="false">BK27*③기타_가정!$E$172</f>
        <v>0</v>
      </c>
      <c r="BL33" s="37" t="n">
        <f aca="false">BL27*③기타_가정!$E$172</f>
        <v>0</v>
      </c>
      <c r="BM33" s="37" t="n">
        <f aca="false">BM27*③기타_가정!$E$172</f>
        <v>621.426</v>
      </c>
      <c r="BN33" s="37" t="n">
        <f aca="false">BN27*③기타_가정!$E$172</f>
        <v>601.38</v>
      </c>
      <c r="BO33" s="37" t="n">
        <f aca="false">BO27*③기타_가정!$E$172</f>
        <v>621.426</v>
      </c>
      <c r="BP33" s="37" t="n">
        <f aca="false">BP27*③기타_가정!$E$172</f>
        <v>601.38</v>
      </c>
      <c r="BQ33" s="37" t="n">
        <f aca="false">BQ27*③기타_가정!$E$172</f>
        <v>621.426</v>
      </c>
      <c r="BR33" s="37" t="n">
        <f aca="false">BR27*③기타_가정!$E$172</f>
        <v>621.426</v>
      </c>
      <c r="BS33" s="37" t="n">
        <f aca="false">BS27*③기타_가정!$E$172</f>
        <v>601.38</v>
      </c>
      <c r="BT33" s="37" t="n">
        <f aca="false">BT27*③기타_가정!$E$172</f>
        <v>621.426</v>
      </c>
      <c r="BU33" s="37" t="n">
        <f aca="false">BU27*③기타_가정!$E$172</f>
        <v>601.38</v>
      </c>
      <c r="BV33" s="37" t="n">
        <f aca="false">BV27*③기타_가정!$E$172</f>
        <v>621.426</v>
      </c>
      <c r="BW33" s="37" t="n">
        <f aca="false">BW27*③기타_가정!$E$172</f>
        <v>621.426</v>
      </c>
      <c r="BX33" s="37" t="n">
        <f aca="false">BX27*③기타_가정!$E$172</f>
        <v>581.334</v>
      </c>
      <c r="BY33" s="37" t="n">
        <f aca="false">BY27*③기타_가정!$E$172</f>
        <v>731.3706</v>
      </c>
      <c r="BZ33" s="37" t="n">
        <f aca="false">BZ27*③기타_가정!$E$172</f>
        <v>707.778</v>
      </c>
      <c r="CA33" s="37" t="n">
        <f aca="false">CA27*③기타_가정!$E$172</f>
        <v>731.3706</v>
      </c>
      <c r="CB33" s="37" t="n">
        <f aca="false">CB27*③기타_가정!$E$172</f>
        <v>707.778</v>
      </c>
      <c r="CC33" s="37" t="n">
        <f aca="false">CC27*③기타_가정!$E$172</f>
        <v>731.3706</v>
      </c>
      <c r="CD33" s="37" t="n">
        <f aca="false">CD27*③기타_가정!$E$172</f>
        <v>731.3706</v>
      </c>
      <c r="CE33" s="37" t="n">
        <f aca="false">CE27*③기타_가정!$E$172</f>
        <v>707.778</v>
      </c>
      <c r="CF33" s="37" t="n">
        <f aca="false">CF27*③기타_가정!$E$172</f>
        <v>731.3706</v>
      </c>
      <c r="CG33" s="37" t="n">
        <f aca="false">CG27*③기타_가정!$E$172</f>
        <v>707.778</v>
      </c>
      <c r="CH33" s="37" t="n">
        <f aca="false">CH27*③기타_가정!$E$172</f>
        <v>731.3706</v>
      </c>
      <c r="CI33" s="37" t="n">
        <f aca="false">CI27*③기타_가정!$E$172</f>
        <v>731.3706</v>
      </c>
      <c r="CJ33" s="37" t="n">
        <f aca="false">CJ27*③기타_가정!$E$172</f>
        <v>660.5928</v>
      </c>
      <c r="CK33" s="37" t="n">
        <f aca="false">CK27*③기타_가정!$E$172</f>
        <v>745.998012</v>
      </c>
      <c r="CL33" s="37" t="n">
        <f aca="false">CL27*③기타_가정!$E$172</f>
        <v>721.93356</v>
      </c>
      <c r="CM33" s="37" t="n">
        <f aca="false">CM27*③기타_가정!$E$172</f>
        <v>745.998012</v>
      </c>
      <c r="CN33" s="37" t="n">
        <f aca="false">CN27*③기타_가정!$E$172</f>
        <v>721.93356</v>
      </c>
      <c r="CO33" s="37" t="n">
        <f aca="false">CO27*③기타_가정!$E$172</f>
        <v>745.998012</v>
      </c>
      <c r="CP33" s="37" t="n">
        <f aca="false">CP27*③기타_가정!$E$172</f>
        <v>745.998012</v>
      </c>
      <c r="CQ33" s="37" t="n">
        <f aca="false">CQ27*③기타_가정!$E$172</f>
        <v>721.93356</v>
      </c>
      <c r="CR33" s="37" t="n">
        <f aca="false">CR27*③기타_가정!$E$172</f>
        <v>745.998012</v>
      </c>
      <c r="CS33" s="37" t="n">
        <f aca="false">CS27*③기타_가정!$E$172</f>
        <v>721.93356</v>
      </c>
      <c r="CT33" s="37" t="n">
        <f aca="false">CT27*③기타_가정!$E$172</f>
        <v>745.998012</v>
      </c>
      <c r="CU33" s="37" t="n">
        <f aca="false">CU27*③기타_가정!$E$172</f>
        <v>745.998012</v>
      </c>
      <c r="CV33" s="37" t="n">
        <f aca="false">CV27*③기타_가정!$E$172</f>
        <v>673.804656</v>
      </c>
      <c r="CW33" s="37" t="n">
        <f aca="false">CW27*③기타_가정!$E$172</f>
        <v>760.91797224</v>
      </c>
      <c r="CX33" s="37" t="n">
        <f aca="false">CX27*③기타_가정!$E$172</f>
        <v>736.3722312</v>
      </c>
      <c r="CY33" s="37" t="n">
        <f aca="false">CY27*③기타_가정!$E$172</f>
        <v>760.91797224</v>
      </c>
      <c r="CZ33" s="37" t="n">
        <f aca="false">CZ27*③기타_가정!$E$172</f>
        <v>736.3722312</v>
      </c>
      <c r="DA33" s="37" t="n">
        <f aca="false">DA27*③기타_가정!$E$172</f>
        <v>760.91797224</v>
      </c>
      <c r="DB33" s="37" t="n">
        <f aca="false">DB27*③기타_가정!$E$172</f>
        <v>760.91797224</v>
      </c>
      <c r="DC33" s="37" t="n">
        <f aca="false">DC27*③기타_가정!$E$172</f>
        <v>736.3722312</v>
      </c>
      <c r="DD33" s="37" t="n">
        <f aca="false">DD27*③기타_가정!$E$172</f>
        <v>760.91797224</v>
      </c>
      <c r="DE33" s="37" t="n">
        <f aca="false">DE27*③기타_가정!$E$172</f>
        <v>736.3722312</v>
      </c>
      <c r="DF33" s="37" t="n">
        <f aca="false">DF27*③기타_가정!$E$172</f>
        <v>760.91797224</v>
      </c>
      <c r="DG33" s="37" t="n">
        <f aca="false">DG27*③기타_가정!$E$172</f>
        <v>760.91797224</v>
      </c>
      <c r="DH33" s="37" t="n">
        <f aca="false">DH27*③기타_가정!$E$172</f>
        <v>687.28074912</v>
      </c>
      <c r="DI33" s="37" t="n">
        <f aca="false">DI27*③기타_가정!$E$172</f>
        <v>776.1363316848</v>
      </c>
      <c r="DJ33" s="37" t="n">
        <f aca="false">DJ27*③기타_가정!$E$172</f>
        <v>751.099675824</v>
      </c>
      <c r="DK33" s="37" t="n">
        <f aca="false">DK27*③기타_가정!$E$172</f>
        <v>776.1363316848</v>
      </c>
      <c r="DL33" s="37" t="n">
        <f aca="false">DL27*③기타_가정!$E$172</f>
        <v>751.099675824</v>
      </c>
      <c r="DM33" s="37" t="n">
        <f aca="false">DM27*③기타_가정!$E$172</f>
        <v>776.1363316848</v>
      </c>
      <c r="DN33" s="37" t="n">
        <f aca="false">DN27*③기타_가정!$E$172</f>
        <v>776.1363316848</v>
      </c>
      <c r="DO33" s="37" t="n">
        <f aca="false">DO27*③기타_가정!$E$172</f>
        <v>751.099675824</v>
      </c>
      <c r="DP33" s="37" t="n">
        <f aca="false">DP27*③기타_가정!$E$172</f>
        <v>776.1363316848</v>
      </c>
      <c r="DQ33" s="37" t="n">
        <f aca="false">DQ27*③기타_가정!$E$172</f>
        <v>751.099675824</v>
      </c>
      <c r="DR33" s="37" t="n">
        <f aca="false">DR27*③기타_가정!$E$172</f>
        <v>776.1363316848</v>
      </c>
      <c r="DS33" s="37" t="n">
        <f aca="false">DS27*③기타_가정!$E$172</f>
        <v>776.1363316848</v>
      </c>
      <c r="DT33" s="37" t="n">
        <f aca="false">DT27*③기타_가정!$E$172</f>
        <v>726.0630199632</v>
      </c>
      <c r="DU33" s="37" t="n">
        <f aca="false">DU27*③기타_가정!$E$172</f>
        <v>0</v>
      </c>
      <c r="DV33" s="37" t="n">
        <f aca="false">DV27*③기타_가정!$E$172</f>
        <v>0</v>
      </c>
      <c r="DW33" s="37" t="n">
        <f aca="false">DW27*③기타_가정!$E$172</f>
        <v>0</v>
      </c>
      <c r="DX33" s="37" t="n">
        <f aca="false">DX27*③기타_가정!$E$172</f>
        <v>0</v>
      </c>
      <c r="DY33" s="37" t="n">
        <f aca="false">DY27*③기타_가정!$E$172</f>
        <v>0</v>
      </c>
      <c r="DZ33" s="37" t="n">
        <f aca="false">DZ27*③기타_가정!$E$172</f>
        <v>0</v>
      </c>
      <c r="EA33" s="37" t="n">
        <f aca="false">EA27*③기타_가정!$E$172</f>
        <v>0</v>
      </c>
      <c r="EB33" s="37" t="n">
        <f aca="false">EB27*③기타_가정!$E$172</f>
        <v>0</v>
      </c>
      <c r="EC33" s="37" t="n">
        <f aca="false">EC27*③기타_가정!$E$172</f>
        <v>0</v>
      </c>
      <c r="ED33" s="37" t="n">
        <f aca="false">ED27*③기타_가정!$E$172</f>
        <v>0</v>
      </c>
      <c r="EE33" s="37" t="n">
        <f aca="false">EE27*③기타_가정!$E$172</f>
        <v>0</v>
      </c>
      <c r="EF33" s="37" t="n">
        <f aca="false">EF27*③기타_가정!$E$172</f>
        <v>0</v>
      </c>
    </row>
    <row r="34" customFormat="false" ht="15" hidden="false" customHeight="false" outlineLevel="0" collapsed="false">
      <c r="A34" s="153" t="s">
        <v>267</v>
      </c>
      <c r="B34" s="278" t="s">
        <v>21</v>
      </c>
      <c r="C34" s="279" t="n">
        <f aca="false">SUM(E34:EF34)</f>
        <v>8570.85430093056</v>
      </c>
      <c r="E34" s="37" t="n">
        <f aca="false">E33*③기타_가정!$E$173</f>
        <v>0</v>
      </c>
      <c r="F34" s="37" t="n">
        <f aca="false">F33*③기타_가정!$E$173</f>
        <v>0</v>
      </c>
      <c r="G34" s="37" t="n">
        <f aca="false">G33*③기타_가정!$E$173</f>
        <v>0</v>
      </c>
      <c r="H34" s="37" t="n">
        <f aca="false">H33*③기타_가정!$E$173</f>
        <v>0</v>
      </c>
      <c r="I34" s="37" t="n">
        <f aca="false">I33*③기타_가정!$E$173</f>
        <v>0</v>
      </c>
      <c r="J34" s="37" t="n">
        <f aca="false">J33*③기타_가정!$E$173</f>
        <v>0</v>
      </c>
      <c r="K34" s="37" t="n">
        <f aca="false">K33*③기타_가정!$E$173</f>
        <v>0</v>
      </c>
      <c r="L34" s="37" t="n">
        <f aca="false">L33*③기타_가정!$E$173</f>
        <v>0</v>
      </c>
      <c r="M34" s="37" t="n">
        <f aca="false">M33*③기타_가정!$E$173</f>
        <v>0</v>
      </c>
      <c r="N34" s="37" t="n">
        <f aca="false">N33*③기타_가정!$E$173</f>
        <v>0</v>
      </c>
      <c r="O34" s="37" t="n">
        <f aca="false">O33*③기타_가정!$E$173</f>
        <v>0</v>
      </c>
      <c r="P34" s="37" t="n">
        <f aca="false">P33*③기타_가정!$E$173</f>
        <v>0</v>
      </c>
      <c r="Q34" s="37" t="n">
        <f aca="false">Q33*③기타_가정!$E$173</f>
        <v>0</v>
      </c>
      <c r="R34" s="37" t="n">
        <f aca="false">R33*③기타_가정!$E$173</f>
        <v>0</v>
      </c>
      <c r="S34" s="37" t="n">
        <f aca="false">S33*③기타_가정!$E$173</f>
        <v>0</v>
      </c>
      <c r="T34" s="37" t="n">
        <f aca="false">T33*③기타_가정!$E$173</f>
        <v>0</v>
      </c>
      <c r="U34" s="37" t="n">
        <f aca="false">U33*③기타_가정!$E$173</f>
        <v>0</v>
      </c>
      <c r="V34" s="37" t="n">
        <f aca="false">V33*③기타_가정!$E$173</f>
        <v>0</v>
      </c>
      <c r="W34" s="37" t="n">
        <f aca="false">W33*③기타_가정!$E$173</f>
        <v>0</v>
      </c>
      <c r="X34" s="37" t="n">
        <f aca="false">X33*③기타_가정!$E$173</f>
        <v>0</v>
      </c>
      <c r="Y34" s="37" t="n">
        <f aca="false">Y33*③기타_가정!$E$173</f>
        <v>0</v>
      </c>
      <c r="Z34" s="37" t="n">
        <f aca="false">Z33*③기타_가정!$E$173</f>
        <v>0</v>
      </c>
      <c r="AA34" s="37" t="n">
        <f aca="false">AA33*③기타_가정!$E$173</f>
        <v>0</v>
      </c>
      <c r="AB34" s="37" t="n">
        <f aca="false">AB33*③기타_가정!$E$173</f>
        <v>0</v>
      </c>
      <c r="AC34" s="37" t="n">
        <f aca="false">AC33*③기타_가정!$E$173</f>
        <v>0</v>
      </c>
      <c r="AD34" s="37" t="n">
        <f aca="false">AD33*③기타_가정!$E$173</f>
        <v>0</v>
      </c>
      <c r="AE34" s="37" t="n">
        <f aca="false">AE33*③기타_가정!$E$173</f>
        <v>0</v>
      </c>
      <c r="AF34" s="37" t="n">
        <f aca="false">AF33*③기타_가정!$E$173</f>
        <v>0</v>
      </c>
      <c r="AG34" s="37" t="n">
        <f aca="false">AG33*③기타_가정!$E$173</f>
        <v>0</v>
      </c>
      <c r="AH34" s="37" t="n">
        <f aca="false">AH33*③기타_가정!$E$173</f>
        <v>0</v>
      </c>
      <c r="AI34" s="37" t="n">
        <f aca="false">AI33*③기타_가정!$E$173</f>
        <v>0</v>
      </c>
      <c r="AJ34" s="37" t="n">
        <f aca="false">AJ33*③기타_가정!$E$173</f>
        <v>0</v>
      </c>
      <c r="AK34" s="37" t="n">
        <f aca="false">AK33*③기타_가정!$E$173</f>
        <v>0</v>
      </c>
      <c r="AL34" s="37" t="n">
        <f aca="false">AL33*③기타_가정!$E$173</f>
        <v>0</v>
      </c>
      <c r="AM34" s="37" t="n">
        <f aca="false">AM33*③기타_가정!$E$173</f>
        <v>0</v>
      </c>
      <c r="AN34" s="37" t="n">
        <f aca="false">AN33*③기타_가정!$E$173</f>
        <v>0</v>
      </c>
      <c r="AO34" s="37" t="n">
        <f aca="false">AO33*③기타_가정!$E$173</f>
        <v>0</v>
      </c>
      <c r="AP34" s="37" t="n">
        <f aca="false">AP33*③기타_가정!$E$173</f>
        <v>0</v>
      </c>
      <c r="AQ34" s="37" t="n">
        <f aca="false">AQ33*③기타_가정!$E$173</f>
        <v>0</v>
      </c>
      <c r="AR34" s="37" t="n">
        <f aca="false">AR33*③기타_가정!$E$173</f>
        <v>0</v>
      </c>
      <c r="AS34" s="37" t="n">
        <f aca="false">AS33*③기타_가정!$E$173</f>
        <v>0</v>
      </c>
      <c r="AT34" s="37" t="n">
        <f aca="false">AT33*③기타_가정!$E$173</f>
        <v>0</v>
      </c>
      <c r="AU34" s="37" t="n">
        <f aca="false">AU33*③기타_가정!$E$173</f>
        <v>0</v>
      </c>
      <c r="AV34" s="37" t="n">
        <f aca="false">AV33*③기타_가정!$E$173</f>
        <v>0</v>
      </c>
      <c r="AW34" s="37" t="n">
        <f aca="false">AW33*③기타_가정!$E$173</f>
        <v>0</v>
      </c>
      <c r="AX34" s="37" t="n">
        <f aca="false">AX33*③기타_가정!$E$173</f>
        <v>0</v>
      </c>
      <c r="AY34" s="37" t="n">
        <f aca="false">AY33*③기타_가정!$E$173</f>
        <v>0</v>
      </c>
      <c r="AZ34" s="37" t="n">
        <f aca="false">AZ33*③기타_가정!$E$173</f>
        <v>0</v>
      </c>
      <c r="BA34" s="37" t="n">
        <f aca="false">BA33*③기타_가정!$E$173</f>
        <v>0</v>
      </c>
      <c r="BB34" s="37" t="n">
        <f aca="false">BB33*③기타_가정!$E$173</f>
        <v>0</v>
      </c>
      <c r="BC34" s="37" t="n">
        <f aca="false">BC33*③기타_가정!$E$173</f>
        <v>0</v>
      </c>
      <c r="BD34" s="37" t="n">
        <f aca="false">BD33*③기타_가정!$E$173</f>
        <v>0</v>
      </c>
      <c r="BE34" s="37" t="n">
        <f aca="false">BE33*③기타_가정!$E$173</f>
        <v>0</v>
      </c>
      <c r="BF34" s="37" t="n">
        <f aca="false">BF33*③기타_가정!$E$173</f>
        <v>0</v>
      </c>
      <c r="BG34" s="37" t="n">
        <f aca="false">BG33*③기타_가정!$E$173</f>
        <v>0</v>
      </c>
      <c r="BH34" s="37" t="n">
        <f aca="false">BH33*③기타_가정!$E$173</f>
        <v>0</v>
      </c>
      <c r="BI34" s="37" t="n">
        <f aca="false">BI33*③기타_가정!$E$173</f>
        <v>0</v>
      </c>
      <c r="BJ34" s="37" t="n">
        <f aca="false">BJ33*③기타_가정!$E$173</f>
        <v>0</v>
      </c>
      <c r="BK34" s="37" t="n">
        <f aca="false">BK33*③기타_가정!$E$173</f>
        <v>0</v>
      </c>
      <c r="BL34" s="37" t="n">
        <f aca="false">BL33*③기타_가정!$E$173</f>
        <v>0</v>
      </c>
      <c r="BM34" s="37" t="n">
        <f aca="false">BM33*③기타_가정!$E$173</f>
        <v>124.2852</v>
      </c>
      <c r="BN34" s="37" t="n">
        <f aca="false">BN33*③기타_가정!$E$173</f>
        <v>120.276</v>
      </c>
      <c r="BO34" s="37" t="n">
        <f aca="false">BO33*③기타_가정!$E$173</f>
        <v>124.2852</v>
      </c>
      <c r="BP34" s="37" t="n">
        <f aca="false">BP33*③기타_가정!$E$173</f>
        <v>120.276</v>
      </c>
      <c r="BQ34" s="37" t="n">
        <f aca="false">BQ33*③기타_가정!$E$173</f>
        <v>124.2852</v>
      </c>
      <c r="BR34" s="37" t="n">
        <f aca="false">BR33*③기타_가정!$E$173</f>
        <v>124.2852</v>
      </c>
      <c r="BS34" s="37" t="n">
        <f aca="false">BS33*③기타_가정!$E$173</f>
        <v>120.276</v>
      </c>
      <c r="BT34" s="37" t="n">
        <f aca="false">BT33*③기타_가정!$E$173</f>
        <v>124.2852</v>
      </c>
      <c r="BU34" s="37" t="n">
        <f aca="false">BU33*③기타_가정!$E$173</f>
        <v>120.276</v>
      </c>
      <c r="BV34" s="37" t="n">
        <f aca="false">BV33*③기타_가정!$E$173</f>
        <v>124.2852</v>
      </c>
      <c r="BW34" s="37" t="n">
        <f aca="false">BW33*③기타_가정!$E$173</f>
        <v>124.2852</v>
      </c>
      <c r="BX34" s="37" t="n">
        <f aca="false">BX33*③기타_가정!$E$173</f>
        <v>116.2668</v>
      </c>
      <c r="BY34" s="37" t="n">
        <f aca="false">BY33*③기타_가정!$E$173</f>
        <v>146.27412</v>
      </c>
      <c r="BZ34" s="37" t="n">
        <f aca="false">BZ33*③기타_가정!$E$173</f>
        <v>141.5556</v>
      </c>
      <c r="CA34" s="37" t="n">
        <f aca="false">CA33*③기타_가정!$E$173</f>
        <v>146.27412</v>
      </c>
      <c r="CB34" s="37" t="n">
        <f aca="false">CB33*③기타_가정!$E$173</f>
        <v>141.5556</v>
      </c>
      <c r="CC34" s="37" t="n">
        <f aca="false">CC33*③기타_가정!$E$173</f>
        <v>146.27412</v>
      </c>
      <c r="CD34" s="37" t="n">
        <f aca="false">CD33*③기타_가정!$E$173</f>
        <v>146.27412</v>
      </c>
      <c r="CE34" s="37" t="n">
        <f aca="false">CE33*③기타_가정!$E$173</f>
        <v>141.5556</v>
      </c>
      <c r="CF34" s="37" t="n">
        <f aca="false">CF33*③기타_가정!$E$173</f>
        <v>146.27412</v>
      </c>
      <c r="CG34" s="37" t="n">
        <f aca="false">CG33*③기타_가정!$E$173</f>
        <v>141.5556</v>
      </c>
      <c r="CH34" s="37" t="n">
        <f aca="false">CH33*③기타_가정!$E$173</f>
        <v>146.27412</v>
      </c>
      <c r="CI34" s="37" t="n">
        <f aca="false">CI33*③기타_가정!$E$173</f>
        <v>146.27412</v>
      </c>
      <c r="CJ34" s="37" t="n">
        <f aca="false">CJ33*③기타_가정!$E$173</f>
        <v>132.11856</v>
      </c>
      <c r="CK34" s="37" t="n">
        <f aca="false">CK33*③기타_가정!$E$173</f>
        <v>149.1996024</v>
      </c>
      <c r="CL34" s="37" t="n">
        <f aca="false">CL33*③기타_가정!$E$173</f>
        <v>144.386712</v>
      </c>
      <c r="CM34" s="37" t="n">
        <f aca="false">CM33*③기타_가정!$E$173</f>
        <v>149.1996024</v>
      </c>
      <c r="CN34" s="37" t="n">
        <f aca="false">CN33*③기타_가정!$E$173</f>
        <v>144.386712</v>
      </c>
      <c r="CO34" s="37" t="n">
        <f aca="false">CO33*③기타_가정!$E$173</f>
        <v>149.1996024</v>
      </c>
      <c r="CP34" s="37" t="n">
        <f aca="false">CP33*③기타_가정!$E$173</f>
        <v>149.1996024</v>
      </c>
      <c r="CQ34" s="37" t="n">
        <f aca="false">CQ33*③기타_가정!$E$173</f>
        <v>144.386712</v>
      </c>
      <c r="CR34" s="37" t="n">
        <f aca="false">CR33*③기타_가정!$E$173</f>
        <v>149.1996024</v>
      </c>
      <c r="CS34" s="37" t="n">
        <f aca="false">CS33*③기타_가정!$E$173</f>
        <v>144.386712</v>
      </c>
      <c r="CT34" s="37" t="n">
        <f aca="false">CT33*③기타_가정!$E$173</f>
        <v>149.1996024</v>
      </c>
      <c r="CU34" s="37" t="n">
        <f aca="false">CU33*③기타_가정!$E$173</f>
        <v>149.1996024</v>
      </c>
      <c r="CV34" s="37" t="n">
        <f aca="false">CV33*③기타_가정!$E$173</f>
        <v>134.7609312</v>
      </c>
      <c r="CW34" s="37" t="n">
        <f aca="false">CW33*③기타_가정!$E$173</f>
        <v>152.183594448</v>
      </c>
      <c r="CX34" s="37" t="n">
        <f aca="false">CX33*③기타_가정!$E$173</f>
        <v>147.27444624</v>
      </c>
      <c r="CY34" s="37" t="n">
        <f aca="false">CY33*③기타_가정!$E$173</f>
        <v>152.183594448</v>
      </c>
      <c r="CZ34" s="37" t="n">
        <f aca="false">CZ33*③기타_가정!$E$173</f>
        <v>147.27444624</v>
      </c>
      <c r="DA34" s="37" t="n">
        <f aca="false">DA33*③기타_가정!$E$173</f>
        <v>152.183594448</v>
      </c>
      <c r="DB34" s="37" t="n">
        <f aca="false">DB33*③기타_가정!$E$173</f>
        <v>152.183594448</v>
      </c>
      <c r="DC34" s="37" t="n">
        <f aca="false">DC33*③기타_가정!$E$173</f>
        <v>147.27444624</v>
      </c>
      <c r="DD34" s="37" t="n">
        <f aca="false">DD33*③기타_가정!$E$173</f>
        <v>152.183594448</v>
      </c>
      <c r="DE34" s="37" t="n">
        <f aca="false">DE33*③기타_가정!$E$173</f>
        <v>147.27444624</v>
      </c>
      <c r="DF34" s="37" t="n">
        <f aca="false">DF33*③기타_가정!$E$173</f>
        <v>152.183594448</v>
      </c>
      <c r="DG34" s="37" t="n">
        <f aca="false">DG33*③기타_가정!$E$173</f>
        <v>152.183594448</v>
      </c>
      <c r="DH34" s="37" t="n">
        <f aca="false">DH33*③기타_가정!$E$173</f>
        <v>137.456149824</v>
      </c>
      <c r="DI34" s="37" t="n">
        <f aca="false">DI33*③기타_가정!$E$173</f>
        <v>155.22726633696</v>
      </c>
      <c r="DJ34" s="37" t="n">
        <f aca="false">DJ33*③기타_가정!$E$173</f>
        <v>150.2199351648</v>
      </c>
      <c r="DK34" s="37" t="n">
        <f aca="false">DK33*③기타_가정!$E$173</f>
        <v>155.22726633696</v>
      </c>
      <c r="DL34" s="37" t="n">
        <f aca="false">DL33*③기타_가정!$E$173</f>
        <v>150.2199351648</v>
      </c>
      <c r="DM34" s="37" t="n">
        <f aca="false">DM33*③기타_가정!$E$173</f>
        <v>155.22726633696</v>
      </c>
      <c r="DN34" s="37" t="n">
        <f aca="false">DN33*③기타_가정!$E$173</f>
        <v>155.22726633696</v>
      </c>
      <c r="DO34" s="37" t="n">
        <f aca="false">DO33*③기타_가정!$E$173</f>
        <v>150.2199351648</v>
      </c>
      <c r="DP34" s="37" t="n">
        <f aca="false">DP33*③기타_가정!$E$173</f>
        <v>155.22726633696</v>
      </c>
      <c r="DQ34" s="37" t="n">
        <f aca="false">DQ33*③기타_가정!$E$173</f>
        <v>150.2199351648</v>
      </c>
      <c r="DR34" s="37" t="n">
        <f aca="false">DR33*③기타_가정!$E$173</f>
        <v>155.22726633696</v>
      </c>
      <c r="DS34" s="37" t="n">
        <f aca="false">DS33*③기타_가정!$E$173</f>
        <v>155.22726633696</v>
      </c>
      <c r="DT34" s="37" t="n">
        <f aca="false">DT33*③기타_가정!$E$173</f>
        <v>145.21260399264</v>
      </c>
      <c r="DU34" s="37" t="n">
        <f aca="false">DU33*③기타_가정!$E$173</f>
        <v>0</v>
      </c>
      <c r="DV34" s="37" t="n">
        <f aca="false">DV33*③기타_가정!$E$173</f>
        <v>0</v>
      </c>
      <c r="DW34" s="37" t="n">
        <f aca="false">DW33*③기타_가정!$E$173</f>
        <v>0</v>
      </c>
      <c r="DX34" s="37" t="n">
        <f aca="false">DX33*③기타_가정!$E$173</f>
        <v>0</v>
      </c>
      <c r="DY34" s="37" t="n">
        <f aca="false">DY33*③기타_가정!$E$173</f>
        <v>0</v>
      </c>
      <c r="DZ34" s="37" t="n">
        <f aca="false">DZ33*③기타_가정!$E$173</f>
        <v>0</v>
      </c>
      <c r="EA34" s="37" t="n">
        <f aca="false">EA33*③기타_가정!$E$173</f>
        <v>0</v>
      </c>
      <c r="EB34" s="37" t="n">
        <f aca="false">EB33*③기타_가정!$E$173</f>
        <v>0</v>
      </c>
      <c r="EC34" s="37" t="n">
        <f aca="false">EC33*③기타_가정!$E$173</f>
        <v>0</v>
      </c>
      <c r="ED34" s="37" t="n">
        <f aca="false">ED33*③기타_가정!$E$173</f>
        <v>0</v>
      </c>
      <c r="EE34" s="37" t="n">
        <f aca="false">EE33*③기타_가정!$E$173</f>
        <v>0</v>
      </c>
      <c r="EF34" s="37" t="n">
        <f aca="false">EF33*③기타_가정!$E$173</f>
        <v>0</v>
      </c>
    </row>
    <row r="35" customFormat="false" ht="15" hidden="false" customHeight="false" outlineLevel="0" collapsed="false">
      <c r="A35" s="36" t="s">
        <v>585</v>
      </c>
      <c r="B35" s="278" t="s">
        <v>21</v>
      </c>
      <c r="C35" s="279" t="n">
        <f aca="false">SUM(E35:EF35)</f>
        <v>84940.5064605628</v>
      </c>
      <c r="E35" s="37" t="n">
        <f aca="false">(E14=1)*③기타_가정!$G$38*③기타_가정!$E$183*③기타_가정!$E$184/1000*(1+③기타_가정!$E$186)^INT((E15-1)/③기타_가정!$E$187)*(1-CHOOSE(MIN(MAX(E16,1),3),③기타_가정!$E$189,③기타_가정!$E$190,③기타_가정!$E$191))</f>
        <v>0</v>
      </c>
      <c r="F35" s="37" t="n">
        <f aca="false">(F14=1)*③기타_가정!$G$38*③기타_가정!$E$183*③기타_가정!$E$184/1000*(1+③기타_가정!$E$186)^INT((F15-1)/③기타_가정!$E$187)*(1-CHOOSE(MIN(MAX(F16,1),3),③기타_가정!$E$189,③기타_가정!$E$190,③기타_가정!$E$191))</f>
        <v>0</v>
      </c>
      <c r="G35" s="37" t="n">
        <f aca="false">(G14=1)*③기타_가정!$G$38*③기타_가정!$E$183*③기타_가정!$E$184/1000*(1+③기타_가정!$E$186)^INT((G15-1)/③기타_가정!$E$187)*(1-CHOOSE(MIN(MAX(G16,1),3),③기타_가정!$E$189,③기타_가정!$E$190,③기타_가정!$E$191))</f>
        <v>0</v>
      </c>
      <c r="H35" s="37" t="n">
        <f aca="false">(H14=1)*③기타_가정!$G$38*③기타_가정!$E$183*③기타_가정!$E$184/1000*(1+③기타_가정!$E$186)^INT((H15-1)/③기타_가정!$E$187)*(1-CHOOSE(MIN(MAX(H16,1),3),③기타_가정!$E$189,③기타_가정!$E$190,③기타_가정!$E$191))</f>
        <v>0</v>
      </c>
      <c r="I35" s="37" t="n">
        <f aca="false">(I14=1)*③기타_가정!$G$38*③기타_가정!$E$183*③기타_가정!$E$184/1000*(1+③기타_가정!$E$186)^INT((I15-1)/③기타_가정!$E$187)*(1-CHOOSE(MIN(MAX(I16,1),3),③기타_가정!$E$189,③기타_가정!$E$190,③기타_가정!$E$191))</f>
        <v>0</v>
      </c>
      <c r="J35" s="37" t="n">
        <f aca="false">(J14=1)*③기타_가정!$G$38*③기타_가정!$E$183*③기타_가정!$E$184/1000*(1+③기타_가정!$E$186)^INT((J15-1)/③기타_가정!$E$187)*(1-CHOOSE(MIN(MAX(J16,1),3),③기타_가정!$E$189,③기타_가정!$E$190,③기타_가정!$E$191))</f>
        <v>0</v>
      </c>
      <c r="K35" s="37" t="n">
        <f aca="false">(K14=1)*③기타_가정!$G$38*③기타_가정!$E$183*③기타_가정!$E$184/1000*(1+③기타_가정!$E$186)^INT((K15-1)/③기타_가정!$E$187)*(1-CHOOSE(MIN(MAX(K16,1),3),③기타_가정!$E$189,③기타_가정!$E$190,③기타_가정!$E$191))</f>
        <v>0</v>
      </c>
      <c r="L35" s="37" t="n">
        <f aca="false">(L14=1)*③기타_가정!$G$38*③기타_가정!$E$183*③기타_가정!$E$184/1000*(1+③기타_가정!$E$186)^INT((L15-1)/③기타_가정!$E$187)*(1-CHOOSE(MIN(MAX(L16,1),3),③기타_가정!$E$189,③기타_가정!$E$190,③기타_가정!$E$191))</f>
        <v>0</v>
      </c>
      <c r="M35" s="37" t="n">
        <f aca="false">(M14=1)*③기타_가정!$G$38*③기타_가정!$E$183*③기타_가정!$E$184/1000*(1+③기타_가정!$E$186)^INT((M15-1)/③기타_가정!$E$187)*(1-CHOOSE(MIN(MAX(M16,1),3),③기타_가정!$E$189,③기타_가정!$E$190,③기타_가정!$E$191))</f>
        <v>0</v>
      </c>
      <c r="N35" s="37" t="n">
        <f aca="false">(N14=1)*③기타_가정!$G$38*③기타_가정!$E$183*③기타_가정!$E$184/1000*(1+③기타_가정!$E$186)^INT((N15-1)/③기타_가정!$E$187)*(1-CHOOSE(MIN(MAX(N16,1),3),③기타_가정!$E$189,③기타_가정!$E$190,③기타_가정!$E$191))</f>
        <v>0</v>
      </c>
      <c r="O35" s="37" t="n">
        <f aca="false">(O14=1)*③기타_가정!$G$38*③기타_가정!$E$183*③기타_가정!$E$184/1000*(1+③기타_가정!$E$186)^INT((O15-1)/③기타_가정!$E$187)*(1-CHOOSE(MIN(MAX(O16,1),3),③기타_가정!$E$189,③기타_가정!$E$190,③기타_가정!$E$191))</f>
        <v>0</v>
      </c>
      <c r="P35" s="37" t="n">
        <f aca="false">(P14=1)*③기타_가정!$G$38*③기타_가정!$E$183*③기타_가정!$E$184/1000*(1+③기타_가정!$E$186)^INT((P15-1)/③기타_가정!$E$187)*(1-CHOOSE(MIN(MAX(P16,1),3),③기타_가정!$E$189,③기타_가정!$E$190,③기타_가정!$E$191))</f>
        <v>0</v>
      </c>
      <c r="Q35" s="37" t="n">
        <f aca="false">(Q14=1)*③기타_가정!$G$38*③기타_가정!$E$183*③기타_가정!$E$184/1000*(1+③기타_가정!$E$186)^INT((Q15-1)/③기타_가정!$E$187)*(1-CHOOSE(MIN(MAX(Q16,1),3),③기타_가정!$E$189,③기타_가정!$E$190,③기타_가정!$E$191))</f>
        <v>0</v>
      </c>
      <c r="R35" s="37" t="n">
        <f aca="false">(R14=1)*③기타_가정!$G$38*③기타_가정!$E$183*③기타_가정!$E$184/1000*(1+③기타_가정!$E$186)^INT((R15-1)/③기타_가정!$E$187)*(1-CHOOSE(MIN(MAX(R16,1),3),③기타_가정!$E$189,③기타_가정!$E$190,③기타_가정!$E$191))</f>
        <v>0</v>
      </c>
      <c r="S35" s="37" t="n">
        <f aca="false">(S14=1)*③기타_가정!$G$38*③기타_가정!$E$183*③기타_가정!$E$184/1000*(1+③기타_가정!$E$186)^INT((S15-1)/③기타_가정!$E$187)*(1-CHOOSE(MIN(MAX(S16,1),3),③기타_가정!$E$189,③기타_가정!$E$190,③기타_가정!$E$191))</f>
        <v>0</v>
      </c>
      <c r="T35" s="37" t="n">
        <f aca="false">(T14=1)*③기타_가정!$G$38*③기타_가정!$E$183*③기타_가정!$E$184/1000*(1+③기타_가정!$E$186)^INT((T15-1)/③기타_가정!$E$187)*(1-CHOOSE(MIN(MAX(T16,1),3),③기타_가정!$E$189,③기타_가정!$E$190,③기타_가정!$E$191))</f>
        <v>0</v>
      </c>
      <c r="U35" s="37" t="n">
        <f aca="false">(U14=1)*③기타_가정!$G$38*③기타_가정!$E$183*③기타_가정!$E$184/1000*(1+③기타_가정!$E$186)^INT((U15-1)/③기타_가정!$E$187)*(1-CHOOSE(MIN(MAX(U16,1),3),③기타_가정!$E$189,③기타_가정!$E$190,③기타_가정!$E$191))</f>
        <v>0</v>
      </c>
      <c r="V35" s="37" t="n">
        <f aca="false">(V14=1)*③기타_가정!$G$38*③기타_가정!$E$183*③기타_가정!$E$184/1000*(1+③기타_가정!$E$186)^INT((V15-1)/③기타_가정!$E$187)*(1-CHOOSE(MIN(MAX(V16,1),3),③기타_가정!$E$189,③기타_가정!$E$190,③기타_가정!$E$191))</f>
        <v>0</v>
      </c>
      <c r="W35" s="37" t="n">
        <f aca="false">(W14=1)*③기타_가정!$G$38*③기타_가정!$E$183*③기타_가정!$E$184/1000*(1+③기타_가정!$E$186)^INT((W15-1)/③기타_가정!$E$187)*(1-CHOOSE(MIN(MAX(W16,1),3),③기타_가정!$E$189,③기타_가정!$E$190,③기타_가정!$E$191))</f>
        <v>0</v>
      </c>
      <c r="X35" s="37" t="n">
        <f aca="false">(X14=1)*③기타_가정!$G$38*③기타_가정!$E$183*③기타_가정!$E$184/1000*(1+③기타_가정!$E$186)^INT((X15-1)/③기타_가정!$E$187)*(1-CHOOSE(MIN(MAX(X16,1),3),③기타_가정!$E$189,③기타_가정!$E$190,③기타_가정!$E$191))</f>
        <v>0</v>
      </c>
      <c r="Y35" s="37" t="n">
        <f aca="false">(Y14=1)*③기타_가정!$G$38*③기타_가정!$E$183*③기타_가정!$E$184/1000*(1+③기타_가정!$E$186)^INT((Y15-1)/③기타_가정!$E$187)*(1-CHOOSE(MIN(MAX(Y16,1),3),③기타_가정!$E$189,③기타_가정!$E$190,③기타_가정!$E$191))</f>
        <v>0</v>
      </c>
      <c r="Z35" s="37" t="n">
        <f aca="false">(Z14=1)*③기타_가정!$G$38*③기타_가정!$E$183*③기타_가정!$E$184/1000*(1+③기타_가정!$E$186)^INT((Z15-1)/③기타_가정!$E$187)*(1-CHOOSE(MIN(MAX(Z16,1),3),③기타_가정!$E$189,③기타_가정!$E$190,③기타_가정!$E$191))</f>
        <v>0</v>
      </c>
      <c r="AA35" s="37" t="n">
        <f aca="false">(AA14=1)*③기타_가정!$G$38*③기타_가정!$E$183*③기타_가정!$E$184/1000*(1+③기타_가정!$E$186)^INT((AA15-1)/③기타_가정!$E$187)*(1-CHOOSE(MIN(MAX(AA16,1),3),③기타_가정!$E$189,③기타_가정!$E$190,③기타_가정!$E$191))</f>
        <v>0</v>
      </c>
      <c r="AB35" s="37" t="n">
        <f aca="false">(AB14=1)*③기타_가정!$G$38*③기타_가정!$E$183*③기타_가정!$E$184/1000*(1+③기타_가정!$E$186)^INT((AB15-1)/③기타_가정!$E$187)*(1-CHOOSE(MIN(MAX(AB16,1),3),③기타_가정!$E$189,③기타_가정!$E$190,③기타_가정!$E$191))</f>
        <v>0</v>
      </c>
      <c r="AC35" s="37" t="n">
        <f aca="false">(AC14=1)*③기타_가정!$G$38*③기타_가정!$E$183*③기타_가정!$E$184/1000*(1+③기타_가정!$E$186)^INT((AC15-1)/③기타_가정!$E$187)*(1-CHOOSE(MIN(MAX(AC16,1),3),③기타_가정!$E$189,③기타_가정!$E$190,③기타_가정!$E$191))</f>
        <v>0</v>
      </c>
      <c r="AD35" s="37" t="n">
        <f aca="false">(AD14=1)*③기타_가정!$G$38*③기타_가정!$E$183*③기타_가정!$E$184/1000*(1+③기타_가정!$E$186)^INT((AD15-1)/③기타_가정!$E$187)*(1-CHOOSE(MIN(MAX(AD16,1),3),③기타_가정!$E$189,③기타_가정!$E$190,③기타_가정!$E$191))</f>
        <v>0</v>
      </c>
      <c r="AE35" s="37" t="n">
        <f aca="false">(AE14=1)*③기타_가정!$G$38*③기타_가정!$E$183*③기타_가정!$E$184/1000*(1+③기타_가정!$E$186)^INT((AE15-1)/③기타_가정!$E$187)*(1-CHOOSE(MIN(MAX(AE16,1),3),③기타_가정!$E$189,③기타_가정!$E$190,③기타_가정!$E$191))</f>
        <v>0</v>
      </c>
      <c r="AF35" s="37" t="n">
        <f aca="false">(AF14=1)*③기타_가정!$G$38*③기타_가정!$E$183*③기타_가정!$E$184/1000*(1+③기타_가정!$E$186)^INT((AF15-1)/③기타_가정!$E$187)*(1-CHOOSE(MIN(MAX(AF16,1),3),③기타_가정!$E$189,③기타_가정!$E$190,③기타_가정!$E$191))</f>
        <v>0</v>
      </c>
      <c r="AG35" s="37" t="n">
        <f aca="false">(AG14=1)*③기타_가정!$G$38*③기타_가정!$E$183*③기타_가정!$E$184/1000*(1+③기타_가정!$E$186)^INT((AG15-1)/③기타_가정!$E$187)*(1-CHOOSE(MIN(MAX(AG16,1),3),③기타_가정!$E$189,③기타_가정!$E$190,③기타_가정!$E$191))</f>
        <v>0</v>
      </c>
      <c r="AH35" s="37" t="n">
        <f aca="false">(AH14=1)*③기타_가정!$G$38*③기타_가정!$E$183*③기타_가정!$E$184/1000*(1+③기타_가정!$E$186)^INT((AH15-1)/③기타_가정!$E$187)*(1-CHOOSE(MIN(MAX(AH16,1),3),③기타_가정!$E$189,③기타_가정!$E$190,③기타_가정!$E$191))</f>
        <v>0</v>
      </c>
      <c r="AI35" s="37" t="n">
        <f aca="false">(AI14=1)*③기타_가정!$G$38*③기타_가정!$E$183*③기타_가정!$E$184/1000*(1+③기타_가정!$E$186)^INT((AI15-1)/③기타_가정!$E$187)*(1-CHOOSE(MIN(MAX(AI16,1),3),③기타_가정!$E$189,③기타_가정!$E$190,③기타_가정!$E$191))</f>
        <v>0</v>
      </c>
      <c r="AJ35" s="37" t="n">
        <f aca="false">(AJ14=1)*③기타_가정!$G$38*③기타_가정!$E$183*③기타_가정!$E$184/1000*(1+③기타_가정!$E$186)^INT((AJ15-1)/③기타_가정!$E$187)*(1-CHOOSE(MIN(MAX(AJ16,1),3),③기타_가정!$E$189,③기타_가정!$E$190,③기타_가정!$E$191))</f>
        <v>0</v>
      </c>
      <c r="AK35" s="37" t="n">
        <f aca="false">(AK14=1)*③기타_가정!$G$38*③기타_가정!$E$183*③기타_가정!$E$184/1000*(1+③기타_가정!$E$186)^INT((AK15-1)/③기타_가정!$E$187)*(1-CHOOSE(MIN(MAX(AK16,1),3),③기타_가정!$E$189,③기타_가정!$E$190,③기타_가정!$E$191))</f>
        <v>0</v>
      </c>
      <c r="AL35" s="37" t="n">
        <f aca="false">(AL14=1)*③기타_가정!$G$38*③기타_가정!$E$183*③기타_가정!$E$184/1000*(1+③기타_가정!$E$186)^INT((AL15-1)/③기타_가정!$E$187)*(1-CHOOSE(MIN(MAX(AL16,1),3),③기타_가정!$E$189,③기타_가정!$E$190,③기타_가정!$E$191))</f>
        <v>0</v>
      </c>
      <c r="AM35" s="37" t="n">
        <f aca="false">(AM14=1)*③기타_가정!$G$38*③기타_가정!$E$183*③기타_가정!$E$184/1000*(1+③기타_가정!$E$186)^INT((AM15-1)/③기타_가정!$E$187)*(1-CHOOSE(MIN(MAX(AM16,1),3),③기타_가정!$E$189,③기타_가정!$E$190,③기타_가정!$E$191))</f>
        <v>0</v>
      </c>
      <c r="AN35" s="37" t="n">
        <f aca="false">(AN14=1)*③기타_가정!$G$38*③기타_가정!$E$183*③기타_가정!$E$184/1000*(1+③기타_가정!$E$186)^INT((AN15-1)/③기타_가정!$E$187)*(1-CHOOSE(MIN(MAX(AN16,1),3),③기타_가정!$E$189,③기타_가정!$E$190,③기타_가정!$E$191))</f>
        <v>0</v>
      </c>
      <c r="AO35" s="37" t="n">
        <f aca="false">(AO14=1)*③기타_가정!$G$38*③기타_가정!$E$183*③기타_가정!$E$184/1000*(1+③기타_가정!$E$186)^INT((AO15-1)/③기타_가정!$E$187)*(1-CHOOSE(MIN(MAX(AO16,1),3),③기타_가정!$E$189,③기타_가정!$E$190,③기타_가정!$E$191))</f>
        <v>0</v>
      </c>
      <c r="AP35" s="37" t="n">
        <f aca="false">(AP14=1)*③기타_가정!$G$38*③기타_가정!$E$183*③기타_가정!$E$184/1000*(1+③기타_가정!$E$186)^INT((AP15-1)/③기타_가정!$E$187)*(1-CHOOSE(MIN(MAX(AP16,1),3),③기타_가정!$E$189,③기타_가정!$E$190,③기타_가정!$E$191))</f>
        <v>0</v>
      </c>
      <c r="AQ35" s="37" t="n">
        <f aca="false">(AQ14=1)*③기타_가정!$G$38*③기타_가정!$E$183*③기타_가정!$E$184/1000*(1+③기타_가정!$E$186)^INT((AQ15-1)/③기타_가정!$E$187)*(1-CHOOSE(MIN(MAX(AQ16,1),3),③기타_가정!$E$189,③기타_가정!$E$190,③기타_가정!$E$191))</f>
        <v>0</v>
      </c>
      <c r="AR35" s="37" t="n">
        <f aca="false">(AR14=1)*③기타_가정!$G$38*③기타_가정!$E$183*③기타_가정!$E$184/1000*(1+③기타_가정!$E$186)^INT((AR15-1)/③기타_가정!$E$187)*(1-CHOOSE(MIN(MAX(AR16,1),3),③기타_가정!$E$189,③기타_가정!$E$190,③기타_가정!$E$191))</f>
        <v>0</v>
      </c>
      <c r="AS35" s="37" t="n">
        <f aca="false">(AS14=1)*③기타_가정!$G$38*③기타_가정!$E$183*③기타_가정!$E$184/1000*(1+③기타_가정!$E$186)^INT((AS15-1)/③기타_가정!$E$187)*(1-CHOOSE(MIN(MAX(AS16,1),3),③기타_가정!$E$189,③기타_가정!$E$190,③기타_가정!$E$191))</f>
        <v>0</v>
      </c>
      <c r="AT35" s="37" t="n">
        <f aca="false">(AT14=1)*③기타_가정!$G$38*③기타_가정!$E$183*③기타_가정!$E$184/1000*(1+③기타_가정!$E$186)^INT((AT15-1)/③기타_가정!$E$187)*(1-CHOOSE(MIN(MAX(AT16,1),3),③기타_가정!$E$189,③기타_가정!$E$190,③기타_가정!$E$191))</f>
        <v>0</v>
      </c>
      <c r="AU35" s="37" t="n">
        <f aca="false">(AU14=1)*③기타_가정!$G$38*③기타_가정!$E$183*③기타_가정!$E$184/1000*(1+③기타_가정!$E$186)^INT((AU15-1)/③기타_가정!$E$187)*(1-CHOOSE(MIN(MAX(AU16,1),3),③기타_가정!$E$189,③기타_가정!$E$190,③기타_가정!$E$191))</f>
        <v>0</v>
      </c>
      <c r="AV35" s="37" t="n">
        <f aca="false">(AV14=1)*③기타_가정!$G$38*③기타_가정!$E$183*③기타_가정!$E$184/1000*(1+③기타_가정!$E$186)^INT((AV15-1)/③기타_가정!$E$187)*(1-CHOOSE(MIN(MAX(AV16,1),3),③기타_가정!$E$189,③기타_가정!$E$190,③기타_가정!$E$191))</f>
        <v>0</v>
      </c>
      <c r="AW35" s="37" t="n">
        <f aca="false">(AW14=1)*③기타_가정!$G$38*③기타_가정!$E$183*③기타_가정!$E$184/1000*(1+③기타_가정!$E$186)^INT((AW15-1)/③기타_가정!$E$187)*(1-CHOOSE(MIN(MAX(AW16,1),3),③기타_가정!$E$189,③기타_가정!$E$190,③기타_가정!$E$191))</f>
        <v>0</v>
      </c>
      <c r="AX35" s="37" t="n">
        <f aca="false">(AX14=1)*③기타_가정!$G$38*③기타_가정!$E$183*③기타_가정!$E$184/1000*(1+③기타_가정!$E$186)^INT((AX15-1)/③기타_가정!$E$187)*(1-CHOOSE(MIN(MAX(AX16,1),3),③기타_가정!$E$189,③기타_가정!$E$190,③기타_가정!$E$191))</f>
        <v>0</v>
      </c>
      <c r="AY35" s="37" t="n">
        <f aca="false">(AY14=1)*③기타_가정!$G$38*③기타_가정!$E$183*③기타_가정!$E$184/1000*(1+③기타_가정!$E$186)^INT((AY15-1)/③기타_가정!$E$187)*(1-CHOOSE(MIN(MAX(AY16,1),3),③기타_가정!$E$189,③기타_가정!$E$190,③기타_가정!$E$191))</f>
        <v>0</v>
      </c>
      <c r="AZ35" s="37" t="n">
        <f aca="false">(AZ14=1)*③기타_가정!$G$38*③기타_가정!$E$183*③기타_가정!$E$184/1000*(1+③기타_가정!$E$186)^INT((AZ15-1)/③기타_가정!$E$187)*(1-CHOOSE(MIN(MAX(AZ16,1),3),③기타_가정!$E$189,③기타_가정!$E$190,③기타_가정!$E$191))</f>
        <v>0</v>
      </c>
      <c r="BA35" s="37" t="n">
        <f aca="false">(BA14=1)*③기타_가정!$G$38*③기타_가정!$E$183*③기타_가정!$E$184/1000*(1+③기타_가정!$E$186)^INT((BA15-1)/③기타_가정!$E$187)*(1-CHOOSE(MIN(MAX(BA16,1),3),③기타_가정!$E$189,③기타_가정!$E$190,③기타_가정!$E$191))</f>
        <v>0</v>
      </c>
      <c r="BB35" s="37" t="n">
        <f aca="false">(BB14=1)*③기타_가정!$G$38*③기타_가정!$E$183*③기타_가정!$E$184/1000*(1+③기타_가정!$E$186)^INT((BB15-1)/③기타_가정!$E$187)*(1-CHOOSE(MIN(MAX(BB16,1),3),③기타_가정!$E$189,③기타_가정!$E$190,③기타_가정!$E$191))</f>
        <v>0</v>
      </c>
      <c r="BC35" s="37" t="n">
        <f aca="false">(BC14=1)*③기타_가정!$G$38*③기타_가정!$E$183*③기타_가정!$E$184/1000*(1+③기타_가정!$E$186)^INT((BC15-1)/③기타_가정!$E$187)*(1-CHOOSE(MIN(MAX(BC16,1),3),③기타_가정!$E$189,③기타_가정!$E$190,③기타_가정!$E$191))</f>
        <v>0</v>
      </c>
      <c r="BD35" s="37" t="n">
        <f aca="false">(BD14=1)*③기타_가정!$G$38*③기타_가정!$E$183*③기타_가정!$E$184/1000*(1+③기타_가정!$E$186)^INT((BD15-1)/③기타_가정!$E$187)*(1-CHOOSE(MIN(MAX(BD16,1),3),③기타_가정!$E$189,③기타_가정!$E$190,③기타_가정!$E$191))</f>
        <v>0</v>
      </c>
      <c r="BE35" s="37" t="n">
        <f aca="false">(BE14=1)*③기타_가정!$G$38*③기타_가정!$E$183*③기타_가정!$E$184/1000*(1+③기타_가정!$E$186)^INT((BE15-1)/③기타_가정!$E$187)*(1-CHOOSE(MIN(MAX(BE16,1),3),③기타_가정!$E$189,③기타_가정!$E$190,③기타_가정!$E$191))</f>
        <v>0</v>
      </c>
      <c r="BF35" s="37" t="n">
        <f aca="false">(BF14=1)*③기타_가정!$G$38*③기타_가정!$E$183*③기타_가정!$E$184/1000*(1+③기타_가정!$E$186)^INT((BF15-1)/③기타_가정!$E$187)*(1-CHOOSE(MIN(MAX(BF16,1),3),③기타_가정!$E$189,③기타_가정!$E$190,③기타_가정!$E$191))</f>
        <v>0</v>
      </c>
      <c r="BG35" s="37" t="n">
        <f aca="false">(BG14=1)*③기타_가정!$G$38*③기타_가정!$E$183*③기타_가정!$E$184/1000*(1+③기타_가정!$E$186)^INT((BG15-1)/③기타_가정!$E$187)*(1-CHOOSE(MIN(MAX(BG16,1),3),③기타_가정!$E$189,③기타_가정!$E$190,③기타_가정!$E$191))</f>
        <v>0</v>
      </c>
      <c r="BH35" s="37" t="n">
        <f aca="false">(BH14=1)*③기타_가정!$G$38*③기타_가정!$E$183*③기타_가정!$E$184/1000*(1+③기타_가정!$E$186)^INT((BH15-1)/③기타_가정!$E$187)*(1-CHOOSE(MIN(MAX(BH16,1),3),③기타_가정!$E$189,③기타_가정!$E$190,③기타_가정!$E$191))</f>
        <v>0</v>
      </c>
      <c r="BI35" s="37" t="n">
        <f aca="false">(BI14=1)*③기타_가정!$G$38*③기타_가정!$E$183*③기타_가정!$E$184/1000*(1+③기타_가정!$E$186)^INT((BI15-1)/③기타_가정!$E$187)*(1-CHOOSE(MIN(MAX(BI16,1),3),③기타_가정!$E$189,③기타_가정!$E$190,③기타_가정!$E$191))</f>
        <v>0</v>
      </c>
      <c r="BJ35" s="37" t="n">
        <f aca="false">(BJ14=1)*③기타_가정!$G$38*③기타_가정!$E$183*③기타_가정!$E$184/1000*(1+③기타_가정!$E$186)^INT((BJ15-1)/③기타_가정!$E$187)*(1-CHOOSE(MIN(MAX(BJ16,1),3),③기타_가정!$E$189,③기타_가정!$E$190,③기타_가정!$E$191))</f>
        <v>0</v>
      </c>
      <c r="BK35" s="37" t="n">
        <f aca="false">(BK14=1)*③기타_가정!$G$38*③기타_가정!$E$183*③기타_가정!$E$184/1000*(1+③기타_가정!$E$186)^INT((BK15-1)/③기타_가정!$E$187)*(1-CHOOSE(MIN(MAX(BK16,1),3),③기타_가정!$E$189,③기타_가정!$E$190,③기타_가정!$E$191))</f>
        <v>0</v>
      </c>
      <c r="BL35" s="37" t="n">
        <f aca="false">(BL14=1)*③기타_가정!$G$38*③기타_가정!$E$183*③기타_가정!$E$184/1000*(1+③기타_가정!$E$186)^INT((BL15-1)/③기타_가정!$E$187)*(1-CHOOSE(MIN(MAX(BL16,1),3),③기타_가정!$E$189,③기타_가정!$E$190,③기타_가정!$E$191))</f>
        <v>0</v>
      </c>
      <c r="BM35" s="37" t="n">
        <f aca="false">(BM14=1)*③기타_가정!$G$38*③기타_가정!$E$183*③기타_가정!$E$184/1000*(1+③기타_가정!$E$186)^INT((BM15-1)/③기타_가정!$E$187)*(1-CHOOSE(MIN(MAX(BM16,1),3),③기타_가정!$E$189,③기타_가정!$E$190,③기타_가정!$E$191))</f>
        <v>1150.96488</v>
      </c>
      <c r="BN35" s="37" t="n">
        <f aca="false">(BN14=1)*③기타_가정!$G$38*③기타_가정!$E$183*③기타_가정!$E$184/1000*(1+③기타_가정!$E$186)^INT((BN15-1)/③기타_가정!$E$187)*(1-CHOOSE(MIN(MAX(BN16,1),3),③기타_가정!$E$189,③기타_가정!$E$190,③기타_가정!$E$191))</f>
        <v>1150.96488</v>
      </c>
      <c r="BO35" s="37" t="n">
        <f aca="false">(BO14=1)*③기타_가정!$G$38*③기타_가정!$E$183*③기타_가정!$E$184/1000*(1+③기타_가정!$E$186)^INT((BO15-1)/③기타_가정!$E$187)*(1-CHOOSE(MIN(MAX(BO16,1),3),③기타_가정!$E$189,③기타_가정!$E$190,③기타_가정!$E$191))</f>
        <v>1150.96488</v>
      </c>
      <c r="BP35" s="37" t="n">
        <f aca="false">(BP14=1)*③기타_가정!$G$38*③기타_가정!$E$183*③기타_가정!$E$184/1000*(1+③기타_가정!$E$186)^INT((BP15-1)/③기타_가정!$E$187)*(1-CHOOSE(MIN(MAX(BP16,1),3),③기타_가정!$E$189,③기타_가정!$E$190,③기타_가정!$E$191))</f>
        <v>1150.96488</v>
      </c>
      <c r="BQ35" s="37" t="n">
        <f aca="false">(BQ14=1)*③기타_가정!$G$38*③기타_가정!$E$183*③기타_가정!$E$184/1000*(1+③기타_가정!$E$186)^INT((BQ15-1)/③기타_가정!$E$187)*(1-CHOOSE(MIN(MAX(BQ16,1),3),③기타_가정!$E$189,③기타_가정!$E$190,③기타_가정!$E$191))</f>
        <v>1150.96488</v>
      </c>
      <c r="BR35" s="37" t="n">
        <f aca="false">(BR14=1)*③기타_가정!$G$38*③기타_가정!$E$183*③기타_가정!$E$184/1000*(1+③기타_가정!$E$186)^INT((BR15-1)/③기타_가정!$E$187)*(1-CHOOSE(MIN(MAX(BR16,1),3),③기타_가정!$E$189,③기타_가정!$E$190,③기타_가정!$E$191))</f>
        <v>1150.96488</v>
      </c>
      <c r="BS35" s="37" t="n">
        <f aca="false">(BS14=1)*③기타_가정!$G$38*③기타_가정!$E$183*③기타_가정!$E$184/1000*(1+③기타_가정!$E$186)^INT((BS15-1)/③기타_가정!$E$187)*(1-CHOOSE(MIN(MAX(BS16,1),3),③기타_가정!$E$189,③기타_가정!$E$190,③기타_가정!$E$191))</f>
        <v>1150.96488</v>
      </c>
      <c r="BT35" s="37" t="n">
        <f aca="false">(BT14=1)*③기타_가정!$G$38*③기타_가정!$E$183*③기타_가정!$E$184/1000*(1+③기타_가정!$E$186)^INT((BT15-1)/③기타_가정!$E$187)*(1-CHOOSE(MIN(MAX(BT16,1),3),③기타_가정!$E$189,③기타_가정!$E$190,③기타_가정!$E$191))</f>
        <v>1150.96488</v>
      </c>
      <c r="BU35" s="37" t="n">
        <f aca="false">(BU14=1)*③기타_가정!$G$38*③기타_가정!$E$183*③기타_가정!$E$184/1000*(1+③기타_가정!$E$186)^INT((BU15-1)/③기타_가정!$E$187)*(1-CHOOSE(MIN(MAX(BU16,1),3),③기타_가정!$E$189,③기타_가정!$E$190,③기타_가정!$E$191))</f>
        <v>1150.96488</v>
      </c>
      <c r="BV35" s="37" t="n">
        <f aca="false">(BV14=1)*③기타_가정!$G$38*③기타_가정!$E$183*③기타_가정!$E$184/1000*(1+③기타_가정!$E$186)^INT((BV15-1)/③기타_가정!$E$187)*(1-CHOOSE(MIN(MAX(BV16,1),3),③기타_가정!$E$189,③기타_가정!$E$190,③기타_가정!$E$191))</f>
        <v>1150.96488</v>
      </c>
      <c r="BW35" s="37" t="n">
        <f aca="false">(BW14=1)*③기타_가정!$G$38*③기타_가정!$E$183*③기타_가정!$E$184/1000*(1+③기타_가정!$E$186)^INT((BW15-1)/③기타_가정!$E$187)*(1-CHOOSE(MIN(MAX(BW16,1),3),③기타_가정!$E$189,③기타_가정!$E$190,③기타_가정!$E$191))</f>
        <v>1150.96488</v>
      </c>
      <c r="BX35" s="37" t="n">
        <f aca="false">(BX14=1)*③기타_가정!$G$38*③기타_가정!$E$183*③기타_가정!$E$184/1000*(1+③기타_가정!$E$186)^INT((BX15-1)/③기타_가정!$E$187)*(1-CHOOSE(MIN(MAX(BX16,1),3),③기타_가정!$E$189,③기타_가정!$E$190,③기타_가정!$E$191))</f>
        <v>1150.96488</v>
      </c>
      <c r="BY35" s="37" t="n">
        <f aca="false">(BY14=1)*③기타_가정!$G$38*③기타_가정!$E$183*③기타_가정!$E$184/1000*(1+③기타_가정!$E$186)^INT((BY15-1)/③기타_가정!$E$187)*(1-CHOOSE(MIN(MAX(BY16,1),3),③기타_가정!$E$189,③기타_가정!$E$190,③기타_가정!$E$191))</f>
        <v>1438.13061756</v>
      </c>
      <c r="BZ35" s="37" t="n">
        <f aca="false">(BZ14=1)*③기타_가정!$G$38*③기타_가정!$E$183*③기타_가정!$E$184/1000*(1+③기타_가정!$E$186)^INT((BZ15-1)/③기타_가정!$E$187)*(1-CHOOSE(MIN(MAX(BZ16,1),3),③기타_가정!$E$189,③기타_가정!$E$190,③기타_가정!$E$191))</f>
        <v>1438.13061756</v>
      </c>
      <c r="CA35" s="37" t="n">
        <f aca="false">(CA14=1)*③기타_가정!$G$38*③기타_가정!$E$183*③기타_가정!$E$184/1000*(1+③기타_가정!$E$186)^INT((CA15-1)/③기타_가정!$E$187)*(1-CHOOSE(MIN(MAX(CA16,1),3),③기타_가정!$E$189,③기타_가정!$E$190,③기타_가정!$E$191))</f>
        <v>1438.13061756</v>
      </c>
      <c r="CB35" s="37" t="n">
        <f aca="false">(CB14=1)*③기타_가정!$G$38*③기타_가정!$E$183*③기타_가정!$E$184/1000*(1+③기타_가정!$E$186)^INT((CB15-1)/③기타_가정!$E$187)*(1-CHOOSE(MIN(MAX(CB16,1),3),③기타_가정!$E$189,③기타_가정!$E$190,③기타_가정!$E$191))</f>
        <v>1438.13061756</v>
      </c>
      <c r="CC35" s="37" t="n">
        <f aca="false">(CC14=1)*③기타_가정!$G$38*③기타_가정!$E$183*③기타_가정!$E$184/1000*(1+③기타_가정!$E$186)^INT((CC15-1)/③기타_가정!$E$187)*(1-CHOOSE(MIN(MAX(CC16,1),3),③기타_가정!$E$189,③기타_가정!$E$190,③기타_가정!$E$191))</f>
        <v>1438.13061756</v>
      </c>
      <c r="CD35" s="37" t="n">
        <f aca="false">(CD14=1)*③기타_가정!$G$38*③기타_가정!$E$183*③기타_가정!$E$184/1000*(1+③기타_가정!$E$186)^INT((CD15-1)/③기타_가정!$E$187)*(1-CHOOSE(MIN(MAX(CD16,1),3),③기타_가정!$E$189,③기타_가정!$E$190,③기타_가정!$E$191))</f>
        <v>1438.13061756</v>
      </c>
      <c r="CE35" s="37" t="n">
        <f aca="false">(CE14=1)*③기타_가정!$G$38*③기타_가정!$E$183*③기타_가정!$E$184/1000*(1+③기타_가정!$E$186)^INT((CE15-1)/③기타_가정!$E$187)*(1-CHOOSE(MIN(MAX(CE16,1),3),③기타_가정!$E$189,③기타_가정!$E$190,③기타_가정!$E$191))</f>
        <v>1438.13061756</v>
      </c>
      <c r="CF35" s="37" t="n">
        <f aca="false">(CF14=1)*③기타_가정!$G$38*③기타_가정!$E$183*③기타_가정!$E$184/1000*(1+③기타_가정!$E$186)^INT((CF15-1)/③기타_가정!$E$187)*(1-CHOOSE(MIN(MAX(CF16,1),3),③기타_가정!$E$189,③기타_가정!$E$190,③기타_가정!$E$191))</f>
        <v>1438.13061756</v>
      </c>
      <c r="CG35" s="37" t="n">
        <f aca="false">(CG14=1)*③기타_가정!$G$38*③기타_가정!$E$183*③기타_가정!$E$184/1000*(1+③기타_가정!$E$186)^INT((CG15-1)/③기타_가정!$E$187)*(1-CHOOSE(MIN(MAX(CG16,1),3),③기타_가정!$E$189,③기타_가정!$E$190,③기타_가정!$E$191))</f>
        <v>1438.13061756</v>
      </c>
      <c r="CH35" s="37" t="n">
        <f aca="false">(CH14=1)*③기타_가정!$G$38*③기타_가정!$E$183*③기타_가정!$E$184/1000*(1+③기타_가정!$E$186)^INT((CH15-1)/③기타_가정!$E$187)*(1-CHOOSE(MIN(MAX(CH16,1),3),③기타_가정!$E$189,③기타_가정!$E$190,③기타_가정!$E$191))</f>
        <v>1438.13061756</v>
      </c>
      <c r="CI35" s="37" t="n">
        <f aca="false">(CI14=1)*③기타_가정!$G$38*③기타_가정!$E$183*③기타_가정!$E$184/1000*(1+③기타_가정!$E$186)^INT((CI15-1)/③기타_가정!$E$187)*(1-CHOOSE(MIN(MAX(CI16,1),3),③기타_가정!$E$189,③기타_가정!$E$190,③기타_가정!$E$191))</f>
        <v>1438.13061756</v>
      </c>
      <c r="CJ35" s="37" t="n">
        <f aca="false">(CJ14=1)*③기타_가정!$G$38*③기타_가정!$E$183*③기타_가정!$E$184/1000*(1+③기타_가정!$E$186)^INT((CJ15-1)/③기타_가정!$E$187)*(1-CHOOSE(MIN(MAX(CJ16,1),3),③기타_가정!$E$189,③기타_가정!$E$190,③기타_가정!$E$191))</f>
        <v>1438.13061756</v>
      </c>
      <c r="CK35" s="37" t="n">
        <f aca="false">(CK14=1)*③기타_가정!$G$38*③기타_가정!$E$183*③기타_가정!$E$184/1000*(1+③기타_가정!$E$186)^INT((CK15-1)/③기타_가정!$E$187)*(1-CHOOSE(MIN(MAX(CK16,1),3),③기타_가정!$E$189,③기타_가정!$E$190,③기타_가정!$E$191))</f>
        <v>1466.8932299112</v>
      </c>
      <c r="CL35" s="37" t="n">
        <f aca="false">(CL14=1)*③기타_가정!$G$38*③기타_가정!$E$183*③기타_가정!$E$184/1000*(1+③기타_가정!$E$186)^INT((CL15-1)/③기타_가정!$E$187)*(1-CHOOSE(MIN(MAX(CL16,1),3),③기타_가정!$E$189,③기타_가정!$E$190,③기타_가정!$E$191))</f>
        <v>1466.8932299112</v>
      </c>
      <c r="CM35" s="37" t="n">
        <f aca="false">(CM14=1)*③기타_가정!$G$38*③기타_가정!$E$183*③기타_가정!$E$184/1000*(1+③기타_가정!$E$186)^INT((CM15-1)/③기타_가정!$E$187)*(1-CHOOSE(MIN(MAX(CM16,1),3),③기타_가정!$E$189,③기타_가정!$E$190,③기타_가정!$E$191))</f>
        <v>1466.8932299112</v>
      </c>
      <c r="CN35" s="37" t="n">
        <f aca="false">(CN14=1)*③기타_가정!$G$38*③기타_가정!$E$183*③기타_가정!$E$184/1000*(1+③기타_가정!$E$186)^INT((CN15-1)/③기타_가정!$E$187)*(1-CHOOSE(MIN(MAX(CN16,1),3),③기타_가정!$E$189,③기타_가정!$E$190,③기타_가정!$E$191))</f>
        <v>1466.8932299112</v>
      </c>
      <c r="CO35" s="37" t="n">
        <f aca="false">(CO14=1)*③기타_가정!$G$38*③기타_가정!$E$183*③기타_가정!$E$184/1000*(1+③기타_가정!$E$186)^INT((CO15-1)/③기타_가정!$E$187)*(1-CHOOSE(MIN(MAX(CO16,1),3),③기타_가정!$E$189,③기타_가정!$E$190,③기타_가정!$E$191))</f>
        <v>1466.8932299112</v>
      </c>
      <c r="CP35" s="37" t="n">
        <f aca="false">(CP14=1)*③기타_가정!$G$38*③기타_가정!$E$183*③기타_가정!$E$184/1000*(1+③기타_가정!$E$186)^INT((CP15-1)/③기타_가정!$E$187)*(1-CHOOSE(MIN(MAX(CP16,1),3),③기타_가정!$E$189,③기타_가정!$E$190,③기타_가정!$E$191))</f>
        <v>1466.8932299112</v>
      </c>
      <c r="CQ35" s="37" t="n">
        <f aca="false">(CQ14=1)*③기타_가정!$G$38*③기타_가정!$E$183*③기타_가정!$E$184/1000*(1+③기타_가정!$E$186)^INT((CQ15-1)/③기타_가정!$E$187)*(1-CHOOSE(MIN(MAX(CQ16,1),3),③기타_가정!$E$189,③기타_가정!$E$190,③기타_가정!$E$191))</f>
        <v>1466.8932299112</v>
      </c>
      <c r="CR35" s="37" t="n">
        <f aca="false">(CR14=1)*③기타_가정!$G$38*③기타_가정!$E$183*③기타_가정!$E$184/1000*(1+③기타_가정!$E$186)^INT((CR15-1)/③기타_가정!$E$187)*(1-CHOOSE(MIN(MAX(CR16,1),3),③기타_가정!$E$189,③기타_가정!$E$190,③기타_가정!$E$191))</f>
        <v>1466.8932299112</v>
      </c>
      <c r="CS35" s="37" t="n">
        <f aca="false">(CS14=1)*③기타_가정!$G$38*③기타_가정!$E$183*③기타_가정!$E$184/1000*(1+③기타_가정!$E$186)^INT((CS15-1)/③기타_가정!$E$187)*(1-CHOOSE(MIN(MAX(CS16,1),3),③기타_가정!$E$189,③기타_가정!$E$190,③기타_가정!$E$191))</f>
        <v>1466.8932299112</v>
      </c>
      <c r="CT35" s="37" t="n">
        <f aca="false">(CT14=1)*③기타_가정!$G$38*③기타_가정!$E$183*③기타_가정!$E$184/1000*(1+③기타_가정!$E$186)^INT((CT15-1)/③기타_가정!$E$187)*(1-CHOOSE(MIN(MAX(CT16,1),3),③기타_가정!$E$189,③기타_가정!$E$190,③기타_가정!$E$191))</f>
        <v>1466.8932299112</v>
      </c>
      <c r="CU35" s="37" t="n">
        <f aca="false">(CU14=1)*③기타_가정!$G$38*③기타_가정!$E$183*③기타_가정!$E$184/1000*(1+③기타_가정!$E$186)^INT((CU15-1)/③기타_가정!$E$187)*(1-CHOOSE(MIN(MAX(CU16,1),3),③기타_가정!$E$189,③기타_가정!$E$190,③기타_가정!$E$191))</f>
        <v>1466.8932299112</v>
      </c>
      <c r="CV35" s="37" t="n">
        <f aca="false">(CV14=1)*③기타_가정!$G$38*③기타_가정!$E$183*③기타_가정!$E$184/1000*(1+③기타_가정!$E$186)^INT((CV15-1)/③기타_가정!$E$187)*(1-CHOOSE(MIN(MAX(CV16,1),3),③기타_가정!$E$189,③기타_가정!$E$190,③기타_가정!$E$191))</f>
        <v>1466.8932299112</v>
      </c>
      <c r="CW35" s="37" t="n">
        <f aca="false">(CW14=1)*③기타_가정!$G$38*③기타_가정!$E$183*③기타_가정!$E$184/1000*(1+③기타_가정!$E$186)^INT((CW15-1)/③기타_가정!$E$187)*(1-CHOOSE(MIN(MAX(CW16,1),3),③기타_가정!$E$189,③기타_가정!$E$190,③기타_가정!$E$191))</f>
        <v>1496.23109450942</v>
      </c>
      <c r="CX35" s="37" t="n">
        <f aca="false">(CX14=1)*③기타_가정!$G$38*③기타_가정!$E$183*③기타_가정!$E$184/1000*(1+③기타_가정!$E$186)^INT((CX15-1)/③기타_가정!$E$187)*(1-CHOOSE(MIN(MAX(CX16,1),3),③기타_가정!$E$189,③기타_가정!$E$190,③기타_가정!$E$191))</f>
        <v>1496.23109450942</v>
      </c>
      <c r="CY35" s="37" t="n">
        <f aca="false">(CY14=1)*③기타_가정!$G$38*③기타_가정!$E$183*③기타_가정!$E$184/1000*(1+③기타_가정!$E$186)^INT((CY15-1)/③기타_가정!$E$187)*(1-CHOOSE(MIN(MAX(CY16,1),3),③기타_가정!$E$189,③기타_가정!$E$190,③기타_가정!$E$191))</f>
        <v>1496.23109450942</v>
      </c>
      <c r="CZ35" s="37" t="n">
        <f aca="false">(CZ14=1)*③기타_가정!$G$38*③기타_가정!$E$183*③기타_가정!$E$184/1000*(1+③기타_가정!$E$186)^INT((CZ15-1)/③기타_가정!$E$187)*(1-CHOOSE(MIN(MAX(CZ16,1),3),③기타_가정!$E$189,③기타_가정!$E$190,③기타_가정!$E$191))</f>
        <v>1496.23109450942</v>
      </c>
      <c r="DA35" s="37" t="n">
        <f aca="false">(DA14=1)*③기타_가정!$G$38*③기타_가정!$E$183*③기타_가정!$E$184/1000*(1+③기타_가정!$E$186)^INT((DA15-1)/③기타_가정!$E$187)*(1-CHOOSE(MIN(MAX(DA16,1),3),③기타_가정!$E$189,③기타_가정!$E$190,③기타_가정!$E$191))</f>
        <v>1496.23109450942</v>
      </c>
      <c r="DB35" s="37" t="n">
        <f aca="false">(DB14=1)*③기타_가정!$G$38*③기타_가정!$E$183*③기타_가정!$E$184/1000*(1+③기타_가정!$E$186)^INT((DB15-1)/③기타_가정!$E$187)*(1-CHOOSE(MIN(MAX(DB16,1),3),③기타_가정!$E$189,③기타_가정!$E$190,③기타_가정!$E$191))</f>
        <v>1496.23109450942</v>
      </c>
      <c r="DC35" s="37" t="n">
        <f aca="false">(DC14=1)*③기타_가정!$G$38*③기타_가정!$E$183*③기타_가정!$E$184/1000*(1+③기타_가정!$E$186)^INT((DC15-1)/③기타_가정!$E$187)*(1-CHOOSE(MIN(MAX(DC16,1),3),③기타_가정!$E$189,③기타_가정!$E$190,③기타_가정!$E$191))</f>
        <v>1496.23109450942</v>
      </c>
      <c r="DD35" s="37" t="n">
        <f aca="false">(DD14=1)*③기타_가정!$G$38*③기타_가정!$E$183*③기타_가정!$E$184/1000*(1+③기타_가정!$E$186)^INT((DD15-1)/③기타_가정!$E$187)*(1-CHOOSE(MIN(MAX(DD16,1),3),③기타_가정!$E$189,③기타_가정!$E$190,③기타_가정!$E$191))</f>
        <v>1496.23109450942</v>
      </c>
      <c r="DE35" s="37" t="n">
        <f aca="false">(DE14=1)*③기타_가정!$G$38*③기타_가정!$E$183*③기타_가정!$E$184/1000*(1+③기타_가정!$E$186)^INT((DE15-1)/③기타_가정!$E$187)*(1-CHOOSE(MIN(MAX(DE16,1),3),③기타_가정!$E$189,③기타_가정!$E$190,③기타_가정!$E$191))</f>
        <v>1496.23109450942</v>
      </c>
      <c r="DF35" s="37" t="n">
        <f aca="false">(DF14=1)*③기타_가정!$G$38*③기타_가정!$E$183*③기타_가정!$E$184/1000*(1+③기타_가정!$E$186)^INT((DF15-1)/③기타_가정!$E$187)*(1-CHOOSE(MIN(MAX(DF16,1),3),③기타_가정!$E$189,③기타_가정!$E$190,③기타_가정!$E$191))</f>
        <v>1496.23109450942</v>
      </c>
      <c r="DG35" s="37" t="n">
        <f aca="false">(DG14=1)*③기타_가정!$G$38*③기타_가정!$E$183*③기타_가정!$E$184/1000*(1+③기타_가정!$E$186)^INT((DG15-1)/③기타_가정!$E$187)*(1-CHOOSE(MIN(MAX(DG16,1),3),③기타_가정!$E$189,③기타_가정!$E$190,③기타_가정!$E$191))</f>
        <v>1496.23109450942</v>
      </c>
      <c r="DH35" s="37" t="n">
        <f aca="false">(DH14=1)*③기타_가정!$G$38*③기타_가정!$E$183*③기타_가정!$E$184/1000*(1+③기타_가정!$E$186)^INT((DH15-1)/③기타_가정!$E$187)*(1-CHOOSE(MIN(MAX(DH16,1),3),③기타_가정!$E$189,③기타_가정!$E$190,③기타_가정!$E$191))</f>
        <v>1496.23109450942</v>
      </c>
      <c r="DI35" s="37" t="n">
        <f aca="false">(DI14=1)*③기타_가정!$G$38*③기타_가정!$E$183*③기타_가정!$E$184/1000*(1+③기타_가정!$E$186)^INT((DI15-1)/③기타_가정!$E$187)*(1-CHOOSE(MIN(MAX(DI16,1),3),③기타_가정!$E$189,③기타_가정!$E$190,③기타_가정!$E$191))</f>
        <v>1526.15571639961</v>
      </c>
      <c r="DJ35" s="37" t="n">
        <f aca="false">(DJ14=1)*③기타_가정!$G$38*③기타_가정!$E$183*③기타_가정!$E$184/1000*(1+③기타_가정!$E$186)^INT((DJ15-1)/③기타_가정!$E$187)*(1-CHOOSE(MIN(MAX(DJ16,1),3),③기타_가정!$E$189,③기타_가정!$E$190,③기타_가정!$E$191))</f>
        <v>1526.15571639961</v>
      </c>
      <c r="DK35" s="37" t="n">
        <f aca="false">(DK14=1)*③기타_가정!$G$38*③기타_가정!$E$183*③기타_가정!$E$184/1000*(1+③기타_가정!$E$186)^INT((DK15-1)/③기타_가정!$E$187)*(1-CHOOSE(MIN(MAX(DK16,1),3),③기타_가정!$E$189,③기타_가정!$E$190,③기타_가정!$E$191))</f>
        <v>1526.15571639961</v>
      </c>
      <c r="DL35" s="37" t="n">
        <f aca="false">(DL14=1)*③기타_가정!$G$38*③기타_가정!$E$183*③기타_가정!$E$184/1000*(1+③기타_가정!$E$186)^INT((DL15-1)/③기타_가정!$E$187)*(1-CHOOSE(MIN(MAX(DL16,1),3),③기타_가정!$E$189,③기타_가정!$E$190,③기타_가정!$E$191))</f>
        <v>1526.15571639961</v>
      </c>
      <c r="DM35" s="37" t="n">
        <f aca="false">(DM14=1)*③기타_가정!$G$38*③기타_가정!$E$183*③기타_가정!$E$184/1000*(1+③기타_가정!$E$186)^INT((DM15-1)/③기타_가정!$E$187)*(1-CHOOSE(MIN(MAX(DM16,1),3),③기타_가정!$E$189,③기타_가정!$E$190,③기타_가정!$E$191))</f>
        <v>1526.15571639961</v>
      </c>
      <c r="DN35" s="37" t="n">
        <f aca="false">(DN14=1)*③기타_가정!$G$38*③기타_가정!$E$183*③기타_가정!$E$184/1000*(1+③기타_가정!$E$186)^INT((DN15-1)/③기타_가정!$E$187)*(1-CHOOSE(MIN(MAX(DN16,1),3),③기타_가정!$E$189,③기타_가정!$E$190,③기타_가정!$E$191))</f>
        <v>1526.15571639961</v>
      </c>
      <c r="DO35" s="37" t="n">
        <f aca="false">(DO14=1)*③기타_가정!$G$38*③기타_가정!$E$183*③기타_가정!$E$184/1000*(1+③기타_가정!$E$186)^INT((DO15-1)/③기타_가정!$E$187)*(1-CHOOSE(MIN(MAX(DO16,1),3),③기타_가정!$E$189,③기타_가정!$E$190,③기타_가정!$E$191))</f>
        <v>1526.15571639961</v>
      </c>
      <c r="DP35" s="37" t="n">
        <f aca="false">(DP14=1)*③기타_가정!$G$38*③기타_가정!$E$183*③기타_가정!$E$184/1000*(1+③기타_가정!$E$186)^INT((DP15-1)/③기타_가정!$E$187)*(1-CHOOSE(MIN(MAX(DP16,1),3),③기타_가정!$E$189,③기타_가정!$E$190,③기타_가정!$E$191))</f>
        <v>1526.15571639961</v>
      </c>
      <c r="DQ35" s="37" t="n">
        <f aca="false">(DQ14=1)*③기타_가정!$G$38*③기타_가정!$E$183*③기타_가정!$E$184/1000*(1+③기타_가정!$E$186)^INT((DQ15-1)/③기타_가정!$E$187)*(1-CHOOSE(MIN(MAX(DQ16,1),3),③기타_가정!$E$189,③기타_가정!$E$190,③기타_가정!$E$191))</f>
        <v>1526.15571639961</v>
      </c>
      <c r="DR35" s="37" t="n">
        <f aca="false">(DR14=1)*③기타_가정!$G$38*③기타_가정!$E$183*③기타_가정!$E$184/1000*(1+③기타_가정!$E$186)^INT((DR15-1)/③기타_가정!$E$187)*(1-CHOOSE(MIN(MAX(DR16,1),3),③기타_가정!$E$189,③기타_가정!$E$190,③기타_가정!$E$191))</f>
        <v>1526.15571639961</v>
      </c>
      <c r="DS35" s="37" t="n">
        <f aca="false">(DS14=1)*③기타_가정!$G$38*③기타_가정!$E$183*③기타_가정!$E$184/1000*(1+③기타_가정!$E$186)^INT((DS15-1)/③기타_가정!$E$187)*(1-CHOOSE(MIN(MAX(DS16,1),3),③기타_가정!$E$189,③기타_가정!$E$190,③기타_가정!$E$191))</f>
        <v>1526.15571639961</v>
      </c>
      <c r="DT35" s="37" t="n">
        <f aca="false">(DT14=1)*③기타_가정!$G$38*③기타_가정!$E$183*③기타_가정!$E$184/1000*(1+③기타_가정!$E$186)^INT((DT15-1)/③기타_가정!$E$187)*(1-CHOOSE(MIN(MAX(DT16,1),3),③기타_가정!$E$189,③기타_가정!$E$190,③기타_가정!$E$191))</f>
        <v>1526.15571639961</v>
      </c>
      <c r="DU35" s="37" t="n">
        <f aca="false">(DU14=1)*③기타_가정!$G$38*③기타_가정!$E$183*③기타_가정!$E$184/1000*(1+③기타_가정!$E$186)^INT((DU15-1)/③기타_가정!$E$187)*(1-CHOOSE(MIN(MAX(DU16,1),3),③기타_가정!$E$189,③기타_가정!$E$190,③기타_가정!$E$191))</f>
        <v>0</v>
      </c>
      <c r="DV35" s="37" t="n">
        <f aca="false">(DV14=1)*③기타_가정!$G$38*③기타_가정!$E$183*③기타_가정!$E$184/1000*(1+③기타_가정!$E$186)^INT((DV15-1)/③기타_가정!$E$187)*(1-CHOOSE(MIN(MAX(DV16,1),3),③기타_가정!$E$189,③기타_가정!$E$190,③기타_가정!$E$191))</f>
        <v>0</v>
      </c>
      <c r="DW35" s="37" t="n">
        <f aca="false">(DW14=1)*③기타_가정!$G$38*③기타_가정!$E$183*③기타_가정!$E$184/1000*(1+③기타_가정!$E$186)^INT((DW15-1)/③기타_가정!$E$187)*(1-CHOOSE(MIN(MAX(DW16,1),3),③기타_가정!$E$189,③기타_가정!$E$190,③기타_가정!$E$191))</f>
        <v>0</v>
      </c>
      <c r="DX35" s="37" t="n">
        <f aca="false">(DX14=1)*③기타_가정!$G$38*③기타_가정!$E$183*③기타_가정!$E$184/1000*(1+③기타_가정!$E$186)^INT((DX15-1)/③기타_가정!$E$187)*(1-CHOOSE(MIN(MAX(DX16,1),3),③기타_가정!$E$189,③기타_가정!$E$190,③기타_가정!$E$191))</f>
        <v>0</v>
      </c>
      <c r="DY35" s="37" t="n">
        <f aca="false">(DY14=1)*③기타_가정!$G$38*③기타_가정!$E$183*③기타_가정!$E$184/1000*(1+③기타_가정!$E$186)^INT((DY15-1)/③기타_가정!$E$187)*(1-CHOOSE(MIN(MAX(DY16,1),3),③기타_가정!$E$189,③기타_가정!$E$190,③기타_가정!$E$191))</f>
        <v>0</v>
      </c>
      <c r="DZ35" s="37" t="n">
        <f aca="false">(DZ14=1)*③기타_가정!$G$38*③기타_가정!$E$183*③기타_가정!$E$184/1000*(1+③기타_가정!$E$186)^INT((DZ15-1)/③기타_가정!$E$187)*(1-CHOOSE(MIN(MAX(DZ16,1),3),③기타_가정!$E$189,③기타_가정!$E$190,③기타_가정!$E$191))</f>
        <v>0</v>
      </c>
      <c r="EA35" s="37" t="n">
        <f aca="false">(EA14=1)*③기타_가정!$G$38*③기타_가정!$E$183*③기타_가정!$E$184/1000*(1+③기타_가정!$E$186)^INT((EA15-1)/③기타_가정!$E$187)*(1-CHOOSE(MIN(MAX(EA16,1),3),③기타_가정!$E$189,③기타_가정!$E$190,③기타_가정!$E$191))</f>
        <v>0</v>
      </c>
      <c r="EB35" s="37" t="n">
        <f aca="false">(EB14=1)*③기타_가정!$G$38*③기타_가정!$E$183*③기타_가정!$E$184/1000*(1+③기타_가정!$E$186)^INT((EB15-1)/③기타_가정!$E$187)*(1-CHOOSE(MIN(MAX(EB16,1),3),③기타_가정!$E$189,③기타_가정!$E$190,③기타_가정!$E$191))</f>
        <v>0</v>
      </c>
      <c r="EC35" s="37" t="n">
        <f aca="false">(EC14=1)*③기타_가정!$G$38*③기타_가정!$E$183*③기타_가정!$E$184/1000*(1+③기타_가정!$E$186)^INT((EC15-1)/③기타_가정!$E$187)*(1-CHOOSE(MIN(MAX(EC16,1),3),③기타_가정!$E$189,③기타_가정!$E$190,③기타_가정!$E$191))</f>
        <v>0</v>
      </c>
      <c r="ED35" s="37" t="n">
        <f aca="false">(ED14=1)*③기타_가정!$G$38*③기타_가정!$E$183*③기타_가정!$E$184/1000*(1+③기타_가정!$E$186)^INT((ED15-1)/③기타_가정!$E$187)*(1-CHOOSE(MIN(MAX(ED16,1),3),③기타_가정!$E$189,③기타_가정!$E$190,③기타_가정!$E$191))</f>
        <v>0</v>
      </c>
      <c r="EE35" s="37" t="n">
        <f aca="false">(EE14=1)*③기타_가정!$G$38*③기타_가정!$E$183*③기타_가정!$E$184/1000*(1+③기타_가정!$E$186)^INT((EE15-1)/③기타_가정!$E$187)*(1-CHOOSE(MIN(MAX(EE16,1),3),③기타_가정!$E$189,③기타_가정!$E$190,③기타_가정!$E$191))</f>
        <v>0</v>
      </c>
      <c r="EF35" s="37" t="n">
        <f aca="false">(EF14=1)*③기타_가정!$G$38*③기타_가정!$E$183*③기타_가정!$E$184/1000*(1+③기타_가정!$E$186)^INT((EF15-1)/③기타_가정!$E$187)*(1-CHOOSE(MIN(MAX(EF16,1),3),③기타_가정!$E$189,③기타_가정!$E$190,③기타_가정!$E$191))</f>
        <v>0</v>
      </c>
    </row>
    <row r="36" customFormat="false" ht="15" hidden="false" customHeight="false" outlineLevel="0" collapsed="false">
      <c r="A36" s="36" t="s">
        <v>586</v>
      </c>
      <c r="B36" s="278" t="s">
        <v>21</v>
      </c>
      <c r="C36" s="279" t="n">
        <f aca="false">SUM(E36:EF36)</f>
        <v>8886.16918328832</v>
      </c>
      <c r="E36" s="37" t="n">
        <f aca="false">(E14=1)*③기타_가정!$H$38*③기타_가정!$E$201*③기타_가정!$E$202/1000*(1+③기타_가정!$E$204)^INT((E15-1)/③기타_가정!$E$205)*(1-CHOOSE(MIN(MAX(E16,1),3),③기타_가정!$E$207,③기타_가정!$E$208,③기타_가정!$E$209))</f>
        <v>0</v>
      </c>
      <c r="F36" s="37" t="n">
        <f aca="false">(F14=1)*③기타_가정!$H$38*③기타_가정!$E$201*③기타_가정!$E$202/1000*(1+③기타_가정!$E$204)^INT((F15-1)/③기타_가정!$E$205)*(1-CHOOSE(MIN(MAX(F16,1),3),③기타_가정!$E$207,③기타_가정!$E$208,③기타_가정!$E$209))</f>
        <v>0</v>
      </c>
      <c r="G36" s="37" t="n">
        <f aca="false">(G14=1)*③기타_가정!$H$38*③기타_가정!$E$201*③기타_가정!$E$202/1000*(1+③기타_가정!$E$204)^INT((G15-1)/③기타_가정!$E$205)*(1-CHOOSE(MIN(MAX(G16,1),3),③기타_가정!$E$207,③기타_가정!$E$208,③기타_가정!$E$209))</f>
        <v>0</v>
      </c>
      <c r="H36" s="37" t="n">
        <f aca="false">(H14=1)*③기타_가정!$H$38*③기타_가정!$E$201*③기타_가정!$E$202/1000*(1+③기타_가정!$E$204)^INT((H15-1)/③기타_가정!$E$205)*(1-CHOOSE(MIN(MAX(H16,1),3),③기타_가정!$E$207,③기타_가정!$E$208,③기타_가정!$E$209))</f>
        <v>0</v>
      </c>
      <c r="I36" s="37" t="n">
        <f aca="false">(I14=1)*③기타_가정!$H$38*③기타_가정!$E$201*③기타_가정!$E$202/1000*(1+③기타_가정!$E$204)^INT((I15-1)/③기타_가정!$E$205)*(1-CHOOSE(MIN(MAX(I16,1),3),③기타_가정!$E$207,③기타_가정!$E$208,③기타_가정!$E$209))</f>
        <v>0</v>
      </c>
      <c r="J36" s="37" t="n">
        <f aca="false">(J14=1)*③기타_가정!$H$38*③기타_가정!$E$201*③기타_가정!$E$202/1000*(1+③기타_가정!$E$204)^INT((J15-1)/③기타_가정!$E$205)*(1-CHOOSE(MIN(MAX(J16,1),3),③기타_가정!$E$207,③기타_가정!$E$208,③기타_가정!$E$209))</f>
        <v>0</v>
      </c>
      <c r="K36" s="37" t="n">
        <f aca="false">(K14=1)*③기타_가정!$H$38*③기타_가정!$E$201*③기타_가정!$E$202/1000*(1+③기타_가정!$E$204)^INT((K15-1)/③기타_가정!$E$205)*(1-CHOOSE(MIN(MAX(K16,1),3),③기타_가정!$E$207,③기타_가정!$E$208,③기타_가정!$E$209))</f>
        <v>0</v>
      </c>
      <c r="L36" s="37" t="n">
        <f aca="false">(L14=1)*③기타_가정!$H$38*③기타_가정!$E$201*③기타_가정!$E$202/1000*(1+③기타_가정!$E$204)^INT((L15-1)/③기타_가정!$E$205)*(1-CHOOSE(MIN(MAX(L16,1),3),③기타_가정!$E$207,③기타_가정!$E$208,③기타_가정!$E$209))</f>
        <v>0</v>
      </c>
      <c r="M36" s="37" t="n">
        <f aca="false">(M14=1)*③기타_가정!$H$38*③기타_가정!$E$201*③기타_가정!$E$202/1000*(1+③기타_가정!$E$204)^INT((M15-1)/③기타_가정!$E$205)*(1-CHOOSE(MIN(MAX(M16,1),3),③기타_가정!$E$207,③기타_가정!$E$208,③기타_가정!$E$209))</f>
        <v>0</v>
      </c>
      <c r="N36" s="37" t="n">
        <f aca="false">(N14=1)*③기타_가정!$H$38*③기타_가정!$E$201*③기타_가정!$E$202/1000*(1+③기타_가정!$E$204)^INT((N15-1)/③기타_가정!$E$205)*(1-CHOOSE(MIN(MAX(N16,1),3),③기타_가정!$E$207,③기타_가정!$E$208,③기타_가정!$E$209))</f>
        <v>0</v>
      </c>
      <c r="O36" s="37" t="n">
        <f aca="false">(O14=1)*③기타_가정!$H$38*③기타_가정!$E$201*③기타_가정!$E$202/1000*(1+③기타_가정!$E$204)^INT((O15-1)/③기타_가정!$E$205)*(1-CHOOSE(MIN(MAX(O16,1),3),③기타_가정!$E$207,③기타_가정!$E$208,③기타_가정!$E$209))</f>
        <v>0</v>
      </c>
      <c r="P36" s="37" t="n">
        <f aca="false">(P14=1)*③기타_가정!$H$38*③기타_가정!$E$201*③기타_가정!$E$202/1000*(1+③기타_가정!$E$204)^INT((P15-1)/③기타_가정!$E$205)*(1-CHOOSE(MIN(MAX(P16,1),3),③기타_가정!$E$207,③기타_가정!$E$208,③기타_가정!$E$209))</f>
        <v>0</v>
      </c>
      <c r="Q36" s="37" t="n">
        <f aca="false">(Q14=1)*③기타_가정!$H$38*③기타_가정!$E$201*③기타_가정!$E$202/1000*(1+③기타_가정!$E$204)^INT((Q15-1)/③기타_가정!$E$205)*(1-CHOOSE(MIN(MAX(Q16,1),3),③기타_가정!$E$207,③기타_가정!$E$208,③기타_가정!$E$209))</f>
        <v>0</v>
      </c>
      <c r="R36" s="37" t="n">
        <f aca="false">(R14=1)*③기타_가정!$H$38*③기타_가정!$E$201*③기타_가정!$E$202/1000*(1+③기타_가정!$E$204)^INT((R15-1)/③기타_가정!$E$205)*(1-CHOOSE(MIN(MAX(R16,1),3),③기타_가정!$E$207,③기타_가정!$E$208,③기타_가정!$E$209))</f>
        <v>0</v>
      </c>
      <c r="S36" s="37" t="n">
        <f aca="false">(S14=1)*③기타_가정!$H$38*③기타_가정!$E$201*③기타_가정!$E$202/1000*(1+③기타_가정!$E$204)^INT((S15-1)/③기타_가정!$E$205)*(1-CHOOSE(MIN(MAX(S16,1),3),③기타_가정!$E$207,③기타_가정!$E$208,③기타_가정!$E$209))</f>
        <v>0</v>
      </c>
      <c r="T36" s="37" t="n">
        <f aca="false">(T14=1)*③기타_가정!$H$38*③기타_가정!$E$201*③기타_가정!$E$202/1000*(1+③기타_가정!$E$204)^INT((T15-1)/③기타_가정!$E$205)*(1-CHOOSE(MIN(MAX(T16,1),3),③기타_가정!$E$207,③기타_가정!$E$208,③기타_가정!$E$209))</f>
        <v>0</v>
      </c>
      <c r="U36" s="37" t="n">
        <f aca="false">(U14=1)*③기타_가정!$H$38*③기타_가정!$E$201*③기타_가정!$E$202/1000*(1+③기타_가정!$E$204)^INT((U15-1)/③기타_가정!$E$205)*(1-CHOOSE(MIN(MAX(U16,1),3),③기타_가정!$E$207,③기타_가정!$E$208,③기타_가정!$E$209))</f>
        <v>0</v>
      </c>
      <c r="V36" s="37" t="n">
        <f aca="false">(V14=1)*③기타_가정!$H$38*③기타_가정!$E$201*③기타_가정!$E$202/1000*(1+③기타_가정!$E$204)^INT((V15-1)/③기타_가정!$E$205)*(1-CHOOSE(MIN(MAX(V16,1),3),③기타_가정!$E$207,③기타_가정!$E$208,③기타_가정!$E$209))</f>
        <v>0</v>
      </c>
      <c r="W36" s="37" t="n">
        <f aca="false">(W14=1)*③기타_가정!$H$38*③기타_가정!$E$201*③기타_가정!$E$202/1000*(1+③기타_가정!$E$204)^INT((W15-1)/③기타_가정!$E$205)*(1-CHOOSE(MIN(MAX(W16,1),3),③기타_가정!$E$207,③기타_가정!$E$208,③기타_가정!$E$209))</f>
        <v>0</v>
      </c>
      <c r="X36" s="37" t="n">
        <f aca="false">(X14=1)*③기타_가정!$H$38*③기타_가정!$E$201*③기타_가정!$E$202/1000*(1+③기타_가정!$E$204)^INT((X15-1)/③기타_가정!$E$205)*(1-CHOOSE(MIN(MAX(X16,1),3),③기타_가정!$E$207,③기타_가정!$E$208,③기타_가정!$E$209))</f>
        <v>0</v>
      </c>
      <c r="Y36" s="37" t="n">
        <f aca="false">(Y14=1)*③기타_가정!$H$38*③기타_가정!$E$201*③기타_가정!$E$202/1000*(1+③기타_가정!$E$204)^INT((Y15-1)/③기타_가정!$E$205)*(1-CHOOSE(MIN(MAX(Y16,1),3),③기타_가정!$E$207,③기타_가정!$E$208,③기타_가정!$E$209))</f>
        <v>0</v>
      </c>
      <c r="Z36" s="37" t="n">
        <f aca="false">(Z14=1)*③기타_가정!$H$38*③기타_가정!$E$201*③기타_가정!$E$202/1000*(1+③기타_가정!$E$204)^INT((Z15-1)/③기타_가정!$E$205)*(1-CHOOSE(MIN(MAX(Z16,1),3),③기타_가정!$E$207,③기타_가정!$E$208,③기타_가정!$E$209))</f>
        <v>0</v>
      </c>
      <c r="AA36" s="37" t="n">
        <f aca="false">(AA14=1)*③기타_가정!$H$38*③기타_가정!$E$201*③기타_가정!$E$202/1000*(1+③기타_가정!$E$204)^INT((AA15-1)/③기타_가정!$E$205)*(1-CHOOSE(MIN(MAX(AA16,1),3),③기타_가정!$E$207,③기타_가정!$E$208,③기타_가정!$E$209))</f>
        <v>0</v>
      </c>
      <c r="AB36" s="37" t="n">
        <f aca="false">(AB14=1)*③기타_가정!$H$38*③기타_가정!$E$201*③기타_가정!$E$202/1000*(1+③기타_가정!$E$204)^INT((AB15-1)/③기타_가정!$E$205)*(1-CHOOSE(MIN(MAX(AB16,1),3),③기타_가정!$E$207,③기타_가정!$E$208,③기타_가정!$E$209))</f>
        <v>0</v>
      </c>
      <c r="AC36" s="37" t="n">
        <f aca="false">(AC14=1)*③기타_가정!$H$38*③기타_가정!$E$201*③기타_가정!$E$202/1000*(1+③기타_가정!$E$204)^INT((AC15-1)/③기타_가정!$E$205)*(1-CHOOSE(MIN(MAX(AC16,1),3),③기타_가정!$E$207,③기타_가정!$E$208,③기타_가정!$E$209))</f>
        <v>0</v>
      </c>
      <c r="AD36" s="37" t="n">
        <f aca="false">(AD14=1)*③기타_가정!$H$38*③기타_가정!$E$201*③기타_가정!$E$202/1000*(1+③기타_가정!$E$204)^INT((AD15-1)/③기타_가정!$E$205)*(1-CHOOSE(MIN(MAX(AD16,1),3),③기타_가정!$E$207,③기타_가정!$E$208,③기타_가정!$E$209))</f>
        <v>0</v>
      </c>
      <c r="AE36" s="37" t="n">
        <f aca="false">(AE14=1)*③기타_가정!$H$38*③기타_가정!$E$201*③기타_가정!$E$202/1000*(1+③기타_가정!$E$204)^INT((AE15-1)/③기타_가정!$E$205)*(1-CHOOSE(MIN(MAX(AE16,1),3),③기타_가정!$E$207,③기타_가정!$E$208,③기타_가정!$E$209))</f>
        <v>0</v>
      </c>
      <c r="AF36" s="37" t="n">
        <f aca="false">(AF14=1)*③기타_가정!$H$38*③기타_가정!$E$201*③기타_가정!$E$202/1000*(1+③기타_가정!$E$204)^INT((AF15-1)/③기타_가정!$E$205)*(1-CHOOSE(MIN(MAX(AF16,1),3),③기타_가정!$E$207,③기타_가정!$E$208,③기타_가정!$E$209))</f>
        <v>0</v>
      </c>
      <c r="AG36" s="37" t="n">
        <f aca="false">(AG14=1)*③기타_가정!$H$38*③기타_가정!$E$201*③기타_가정!$E$202/1000*(1+③기타_가정!$E$204)^INT((AG15-1)/③기타_가정!$E$205)*(1-CHOOSE(MIN(MAX(AG16,1),3),③기타_가정!$E$207,③기타_가정!$E$208,③기타_가정!$E$209))</f>
        <v>0</v>
      </c>
      <c r="AH36" s="37" t="n">
        <f aca="false">(AH14=1)*③기타_가정!$H$38*③기타_가정!$E$201*③기타_가정!$E$202/1000*(1+③기타_가정!$E$204)^INT((AH15-1)/③기타_가정!$E$205)*(1-CHOOSE(MIN(MAX(AH16,1),3),③기타_가정!$E$207,③기타_가정!$E$208,③기타_가정!$E$209))</f>
        <v>0</v>
      </c>
      <c r="AI36" s="37" t="n">
        <f aca="false">(AI14=1)*③기타_가정!$H$38*③기타_가정!$E$201*③기타_가정!$E$202/1000*(1+③기타_가정!$E$204)^INT((AI15-1)/③기타_가정!$E$205)*(1-CHOOSE(MIN(MAX(AI16,1),3),③기타_가정!$E$207,③기타_가정!$E$208,③기타_가정!$E$209))</f>
        <v>0</v>
      </c>
      <c r="AJ36" s="37" t="n">
        <f aca="false">(AJ14=1)*③기타_가정!$H$38*③기타_가정!$E$201*③기타_가정!$E$202/1000*(1+③기타_가정!$E$204)^INT((AJ15-1)/③기타_가정!$E$205)*(1-CHOOSE(MIN(MAX(AJ16,1),3),③기타_가정!$E$207,③기타_가정!$E$208,③기타_가정!$E$209))</f>
        <v>0</v>
      </c>
      <c r="AK36" s="37" t="n">
        <f aca="false">(AK14=1)*③기타_가정!$H$38*③기타_가정!$E$201*③기타_가정!$E$202/1000*(1+③기타_가정!$E$204)^INT((AK15-1)/③기타_가정!$E$205)*(1-CHOOSE(MIN(MAX(AK16,1),3),③기타_가정!$E$207,③기타_가정!$E$208,③기타_가정!$E$209))</f>
        <v>0</v>
      </c>
      <c r="AL36" s="37" t="n">
        <f aca="false">(AL14=1)*③기타_가정!$H$38*③기타_가정!$E$201*③기타_가정!$E$202/1000*(1+③기타_가정!$E$204)^INT((AL15-1)/③기타_가정!$E$205)*(1-CHOOSE(MIN(MAX(AL16,1),3),③기타_가정!$E$207,③기타_가정!$E$208,③기타_가정!$E$209))</f>
        <v>0</v>
      </c>
      <c r="AM36" s="37" t="n">
        <f aca="false">(AM14=1)*③기타_가정!$H$38*③기타_가정!$E$201*③기타_가정!$E$202/1000*(1+③기타_가정!$E$204)^INT((AM15-1)/③기타_가정!$E$205)*(1-CHOOSE(MIN(MAX(AM16,1),3),③기타_가정!$E$207,③기타_가정!$E$208,③기타_가정!$E$209))</f>
        <v>0</v>
      </c>
      <c r="AN36" s="37" t="n">
        <f aca="false">(AN14=1)*③기타_가정!$H$38*③기타_가정!$E$201*③기타_가정!$E$202/1000*(1+③기타_가정!$E$204)^INT((AN15-1)/③기타_가정!$E$205)*(1-CHOOSE(MIN(MAX(AN16,1),3),③기타_가정!$E$207,③기타_가정!$E$208,③기타_가정!$E$209))</f>
        <v>0</v>
      </c>
      <c r="AO36" s="37" t="n">
        <f aca="false">(AO14=1)*③기타_가정!$H$38*③기타_가정!$E$201*③기타_가정!$E$202/1000*(1+③기타_가정!$E$204)^INT((AO15-1)/③기타_가정!$E$205)*(1-CHOOSE(MIN(MAX(AO16,1),3),③기타_가정!$E$207,③기타_가정!$E$208,③기타_가정!$E$209))</f>
        <v>0</v>
      </c>
      <c r="AP36" s="37" t="n">
        <f aca="false">(AP14=1)*③기타_가정!$H$38*③기타_가정!$E$201*③기타_가정!$E$202/1000*(1+③기타_가정!$E$204)^INT((AP15-1)/③기타_가정!$E$205)*(1-CHOOSE(MIN(MAX(AP16,1),3),③기타_가정!$E$207,③기타_가정!$E$208,③기타_가정!$E$209))</f>
        <v>0</v>
      </c>
      <c r="AQ36" s="37" t="n">
        <f aca="false">(AQ14=1)*③기타_가정!$H$38*③기타_가정!$E$201*③기타_가정!$E$202/1000*(1+③기타_가정!$E$204)^INT((AQ15-1)/③기타_가정!$E$205)*(1-CHOOSE(MIN(MAX(AQ16,1),3),③기타_가정!$E$207,③기타_가정!$E$208,③기타_가정!$E$209))</f>
        <v>0</v>
      </c>
      <c r="AR36" s="37" t="n">
        <f aca="false">(AR14=1)*③기타_가정!$H$38*③기타_가정!$E$201*③기타_가정!$E$202/1000*(1+③기타_가정!$E$204)^INT((AR15-1)/③기타_가정!$E$205)*(1-CHOOSE(MIN(MAX(AR16,1),3),③기타_가정!$E$207,③기타_가정!$E$208,③기타_가정!$E$209))</f>
        <v>0</v>
      </c>
      <c r="AS36" s="37" t="n">
        <f aca="false">(AS14=1)*③기타_가정!$H$38*③기타_가정!$E$201*③기타_가정!$E$202/1000*(1+③기타_가정!$E$204)^INT((AS15-1)/③기타_가정!$E$205)*(1-CHOOSE(MIN(MAX(AS16,1),3),③기타_가정!$E$207,③기타_가정!$E$208,③기타_가정!$E$209))</f>
        <v>0</v>
      </c>
      <c r="AT36" s="37" t="n">
        <f aca="false">(AT14=1)*③기타_가정!$H$38*③기타_가정!$E$201*③기타_가정!$E$202/1000*(1+③기타_가정!$E$204)^INT((AT15-1)/③기타_가정!$E$205)*(1-CHOOSE(MIN(MAX(AT16,1),3),③기타_가정!$E$207,③기타_가정!$E$208,③기타_가정!$E$209))</f>
        <v>0</v>
      </c>
      <c r="AU36" s="37" t="n">
        <f aca="false">(AU14=1)*③기타_가정!$H$38*③기타_가정!$E$201*③기타_가정!$E$202/1000*(1+③기타_가정!$E$204)^INT((AU15-1)/③기타_가정!$E$205)*(1-CHOOSE(MIN(MAX(AU16,1),3),③기타_가정!$E$207,③기타_가정!$E$208,③기타_가정!$E$209))</f>
        <v>0</v>
      </c>
      <c r="AV36" s="37" t="n">
        <f aca="false">(AV14=1)*③기타_가정!$H$38*③기타_가정!$E$201*③기타_가정!$E$202/1000*(1+③기타_가정!$E$204)^INT((AV15-1)/③기타_가정!$E$205)*(1-CHOOSE(MIN(MAX(AV16,1),3),③기타_가정!$E$207,③기타_가정!$E$208,③기타_가정!$E$209))</f>
        <v>0</v>
      </c>
      <c r="AW36" s="37" t="n">
        <f aca="false">(AW14=1)*③기타_가정!$H$38*③기타_가정!$E$201*③기타_가정!$E$202/1000*(1+③기타_가정!$E$204)^INT((AW15-1)/③기타_가정!$E$205)*(1-CHOOSE(MIN(MAX(AW16,1),3),③기타_가정!$E$207,③기타_가정!$E$208,③기타_가정!$E$209))</f>
        <v>0</v>
      </c>
      <c r="AX36" s="37" t="n">
        <f aca="false">(AX14=1)*③기타_가정!$H$38*③기타_가정!$E$201*③기타_가정!$E$202/1000*(1+③기타_가정!$E$204)^INT((AX15-1)/③기타_가정!$E$205)*(1-CHOOSE(MIN(MAX(AX16,1),3),③기타_가정!$E$207,③기타_가정!$E$208,③기타_가정!$E$209))</f>
        <v>0</v>
      </c>
      <c r="AY36" s="37" t="n">
        <f aca="false">(AY14=1)*③기타_가정!$H$38*③기타_가정!$E$201*③기타_가정!$E$202/1000*(1+③기타_가정!$E$204)^INT((AY15-1)/③기타_가정!$E$205)*(1-CHOOSE(MIN(MAX(AY16,1),3),③기타_가정!$E$207,③기타_가정!$E$208,③기타_가정!$E$209))</f>
        <v>0</v>
      </c>
      <c r="AZ36" s="37" t="n">
        <f aca="false">(AZ14=1)*③기타_가정!$H$38*③기타_가정!$E$201*③기타_가정!$E$202/1000*(1+③기타_가정!$E$204)^INT((AZ15-1)/③기타_가정!$E$205)*(1-CHOOSE(MIN(MAX(AZ16,1),3),③기타_가정!$E$207,③기타_가정!$E$208,③기타_가정!$E$209))</f>
        <v>0</v>
      </c>
      <c r="BA36" s="37" t="n">
        <f aca="false">(BA14=1)*③기타_가정!$H$38*③기타_가정!$E$201*③기타_가정!$E$202/1000*(1+③기타_가정!$E$204)^INT((BA15-1)/③기타_가정!$E$205)*(1-CHOOSE(MIN(MAX(BA16,1),3),③기타_가정!$E$207,③기타_가정!$E$208,③기타_가정!$E$209))</f>
        <v>0</v>
      </c>
      <c r="BB36" s="37" t="n">
        <f aca="false">(BB14=1)*③기타_가정!$H$38*③기타_가정!$E$201*③기타_가정!$E$202/1000*(1+③기타_가정!$E$204)^INT((BB15-1)/③기타_가정!$E$205)*(1-CHOOSE(MIN(MAX(BB16,1),3),③기타_가정!$E$207,③기타_가정!$E$208,③기타_가정!$E$209))</f>
        <v>0</v>
      </c>
      <c r="BC36" s="37" t="n">
        <f aca="false">(BC14=1)*③기타_가정!$H$38*③기타_가정!$E$201*③기타_가정!$E$202/1000*(1+③기타_가정!$E$204)^INT((BC15-1)/③기타_가정!$E$205)*(1-CHOOSE(MIN(MAX(BC16,1),3),③기타_가정!$E$207,③기타_가정!$E$208,③기타_가정!$E$209))</f>
        <v>0</v>
      </c>
      <c r="BD36" s="37" t="n">
        <f aca="false">(BD14=1)*③기타_가정!$H$38*③기타_가정!$E$201*③기타_가정!$E$202/1000*(1+③기타_가정!$E$204)^INT((BD15-1)/③기타_가정!$E$205)*(1-CHOOSE(MIN(MAX(BD16,1),3),③기타_가정!$E$207,③기타_가정!$E$208,③기타_가정!$E$209))</f>
        <v>0</v>
      </c>
      <c r="BE36" s="37" t="n">
        <f aca="false">(BE14=1)*③기타_가정!$H$38*③기타_가정!$E$201*③기타_가정!$E$202/1000*(1+③기타_가정!$E$204)^INT((BE15-1)/③기타_가정!$E$205)*(1-CHOOSE(MIN(MAX(BE16,1),3),③기타_가정!$E$207,③기타_가정!$E$208,③기타_가정!$E$209))</f>
        <v>0</v>
      </c>
      <c r="BF36" s="37" t="n">
        <f aca="false">(BF14=1)*③기타_가정!$H$38*③기타_가정!$E$201*③기타_가정!$E$202/1000*(1+③기타_가정!$E$204)^INT((BF15-1)/③기타_가정!$E$205)*(1-CHOOSE(MIN(MAX(BF16,1),3),③기타_가정!$E$207,③기타_가정!$E$208,③기타_가정!$E$209))</f>
        <v>0</v>
      </c>
      <c r="BG36" s="37" t="n">
        <f aca="false">(BG14=1)*③기타_가정!$H$38*③기타_가정!$E$201*③기타_가정!$E$202/1000*(1+③기타_가정!$E$204)^INT((BG15-1)/③기타_가정!$E$205)*(1-CHOOSE(MIN(MAX(BG16,1),3),③기타_가정!$E$207,③기타_가정!$E$208,③기타_가정!$E$209))</f>
        <v>0</v>
      </c>
      <c r="BH36" s="37" t="n">
        <f aca="false">(BH14=1)*③기타_가정!$H$38*③기타_가정!$E$201*③기타_가정!$E$202/1000*(1+③기타_가정!$E$204)^INT((BH15-1)/③기타_가정!$E$205)*(1-CHOOSE(MIN(MAX(BH16,1),3),③기타_가정!$E$207,③기타_가정!$E$208,③기타_가정!$E$209))</f>
        <v>0</v>
      </c>
      <c r="BI36" s="37" t="n">
        <f aca="false">(BI14=1)*③기타_가정!$H$38*③기타_가정!$E$201*③기타_가정!$E$202/1000*(1+③기타_가정!$E$204)^INT((BI15-1)/③기타_가정!$E$205)*(1-CHOOSE(MIN(MAX(BI16,1),3),③기타_가정!$E$207,③기타_가정!$E$208,③기타_가정!$E$209))</f>
        <v>0</v>
      </c>
      <c r="BJ36" s="37" t="n">
        <f aca="false">(BJ14=1)*③기타_가정!$H$38*③기타_가정!$E$201*③기타_가정!$E$202/1000*(1+③기타_가정!$E$204)^INT((BJ15-1)/③기타_가정!$E$205)*(1-CHOOSE(MIN(MAX(BJ16,1),3),③기타_가정!$E$207,③기타_가정!$E$208,③기타_가정!$E$209))</f>
        <v>0</v>
      </c>
      <c r="BK36" s="37" t="n">
        <f aca="false">(BK14=1)*③기타_가정!$H$38*③기타_가정!$E$201*③기타_가정!$E$202/1000*(1+③기타_가정!$E$204)^INT((BK15-1)/③기타_가정!$E$205)*(1-CHOOSE(MIN(MAX(BK16,1),3),③기타_가정!$E$207,③기타_가정!$E$208,③기타_가정!$E$209))</f>
        <v>0</v>
      </c>
      <c r="BL36" s="37" t="n">
        <f aca="false">(BL14=1)*③기타_가정!$H$38*③기타_가정!$E$201*③기타_가정!$E$202/1000*(1+③기타_가정!$E$204)^INT((BL15-1)/③기타_가정!$E$205)*(1-CHOOSE(MIN(MAX(BL16,1),3),③기타_가정!$E$207,③기타_가정!$E$208,③기타_가정!$E$209))</f>
        <v>0</v>
      </c>
      <c r="BM36" s="37" t="n">
        <f aca="false">(BM14=1)*③기타_가정!$H$38*③기타_가정!$E$201*③기타_가정!$E$202/1000*(1+③기타_가정!$E$204)^INT((BM15-1)/③기타_가정!$E$205)*(1-CHOOSE(MIN(MAX(BM16,1),3),③기타_가정!$E$207,③기타_가정!$E$208,③기타_가정!$E$209))</f>
        <v>142.296</v>
      </c>
      <c r="BN36" s="37" t="n">
        <f aca="false">(BN14=1)*③기타_가정!$H$38*③기타_가정!$E$201*③기타_가정!$E$202/1000*(1+③기타_가정!$E$204)^INT((BN15-1)/③기타_가정!$E$205)*(1-CHOOSE(MIN(MAX(BN16,1),3),③기타_가정!$E$207,③기타_가정!$E$208,③기타_가정!$E$209))</f>
        <v>142.296</v>
      </c>
      <c r="BO36" s="37" t="n">
        <f aca="false">(BO14=1)*③기타_가정!$H$38*③기타_가정!$E$201*③기타_가정!$E$202/1000*(1+③기타_가정!$E$204)^INT((BO15-1)/③기타_가정!$E$205)*(1-CHOOSE(MIN(MAX(BO16,1),3),③기타_가정!$E$207,③기타_가정!$E$208,③기타_가정!$E$209))</f>
        <v>142.296</v>
      </c>
      <c r="BP36" s="37" t="n">
        <f aca="false">(BP14=1)*③기타_가정!$H$38*③기타_가정!$E$201*③기타_가정!$E$202/1000*(1+③기타_가정!$E$204)^INT((BP15-1)/③기타_가정!$E$205)*(1-CHOOSE(MIN(MAX(BP16,1),3),③기타_가정!$E$207,③기타_가정!$E$208,③기타_가정!$E$209))</f>
        <v>142.296</v>
      </c>
      <c r="BQ36" s="37" t="n">
        <f aca="false">(BQ14=1)*③기타_가정!$H$38*③기타_가정!$E$201*③기타_가정!$E$202/1000*(1+③기타_가정!$E$204)^INT((BQ15-1)/③기타_가정!$E$205)*(1-CHOOSE(MIN(MAX(BQ16,1),3),③기타_가정!$E$207,③기타_가정!$E$208,③기타_가정!$E$209))</f>
        <v>142.296</v>
      </c>
      <c r="BR36" s="37" t="n">
        <f aca="false">(BR14=1)*③기타_가정!$H$38*③기타_가정!$E$201*③기타_가정!$E$202/1000*(1+③기타_가정!$E$204)^INT((BR15-1)/③기타_가정!$E$205)*(1-CHOOSE(MIN(MAX(BR16,1),3),③기타_가정!$E$207,③기타_가정!$E$208,③기타_가정!$E$209))</f>
        <v>142.296</v>
      </c>
      <c r="BS36" s="37" t="n">
        <f aca="false">(BS14=1)*③기타_가정!$H$38*③기타_가정!$E$201*③기타_가정!$E$202/1000*(1+③기타_가정!$E$204)^INT((BS15-1)/③기타_가정!$E$205)*(1-CHOOSE(MIN(MAX(BS16,1),3),③기타_가정!$E$207,③기타_가정!$E$208,③기타_가정!$E$209))</f>
        <v>142.296</v>
      </c>
      <c r="BT36" s="37" t="n">
        <f aca="false">(BT14=1)*③기타_가정!$H$38*③기타_가정!$E$201*③기타_가정!$E$202/1000*(1+③기타_가정!$E$204)^INT((BT15-1)/③기타_가정!$E$205)*(1-CHOOSE(MIN(MAX(BT16,1),3),③기타_가정!$E$207,③기타_가정!$E$208,③기타_가정!$E$209))</f>
        <v>142.296</v>
      </c>
      <c r="BU36" s="37" t="n">
        <f aca="false">(BU14=1)*③기타_가정!$H$38*③기타_가정!$E$201*③기타_가정!$E$202/1000*(1+③기타_가정!$E$204)^INT((BU15-1)/③기타_가정!$E$205)*(1-CHOOSE(MIN(MAX(BU16,1),3),③기타_가정!$E$207,③기타_가정!$E$208,③기타_가정!$E$209))</f>
        <v>142.296</v>
      </c>
      <c r="BV36" s="37" t="n">
        <f aca="false">(BV14=1)*③기타_가정!$H$38*③기타_가정!$E$201*③기타_가정!$E$202/1000*(1+③기타_가정!$E$204)^INT((BV15-1)/③기타_가정!$E$205)*(1-CHOOSE(MIN(MAX(BV16,1),3),③기타_가정!$E$207,③기타_가정!$E$208,③기타_가정!$E$209))</f>
        <v>142.296</v>
      </c>
      <c r="BW36" s="37" t="n">
        <f aca="false">(BW14=1)*③기타_가정!$H$38*③기타_가정!$E$201*③기타_가정!$E$202/1000*(1+③기타_가정!$E$204)^INT((BW15-1)/③기타_가정!$E$205)*(1-CHOOSE(MIN(MAX(BW16,1),3),③기타_가정!$E$207,③기타_가정!$E$208,③기타_가정!$E$209))</f>
        <v>142.296</v>
      </c>
      <c r="BX36" s="37" t="n">
        <f aca="false">(BX14=1)*③기타_가정!$H$38*③기타_가정!$E$201*③기타_가정!$E$202/1000*(1+③기타_가정!$E$204)^INT((BX15-1)/③기타_가정!$E$205)*(1-CHOOSE(MIN(MAX(BX16,1),3),③기타_가정!$E$207,③기타_가정!$E$208,③기타_가정!$E$209))</f>
        <v>142.296</v>
      </c>
      <c r="BY36" s="37" t="n">
        <f aca="false">(BY14=1)*③기타_가정!$H$38*③기타_가정!$E$201*③기타_가정!$E$202/1000*(1+③기타_가정!$E$204)^INT((BY15-1)/③기타_가정!$E$205)*(1-CHOOSE(MIN(MAX(BY16,1),3),③기타_가정!$E$207,③기타_가정!$E$208,③기타_가정!$E$209))</f>
        <v>145.14192</v>
      </c>
      <c r="BZ36" s="37" t="n">
        <f aca="false">(BZ14=1)*③기타_가정!$H$38*③기타_가정!$E$201*③기타_가정!$E$202/1000*(1+③기타_가정!$E$204)^INT((BZ15-1)/③기타_가정!$E$205)*(1-CHOOSE(MIN(MAX(BZ16,1),3),③기타_가정!$E$207,③기타_가정!$E$208,③기타_가정!$E$209))</f>
        <v>145.14192</v>
      </c>
      <c r="CA36" s="37" t="n">
        <f aca="false">(CA14=1)*③기타_가정!$H$38*③기타_가정!$E$201*③기타_가정!$E$202/1000*(1+③기타_가정!$E$204)^INT((CA15-1)/③기타_가정!$E$205)*(1-CHOOSE(MIN(MAX(CA16,1),3),③기타_가정!$E$207,③기타_가정!$E$208,③기타_가정!$E$209))</f>
        <v>145.14192</v>
      </c>
      <c r="CB36" s="37" t="n">
        <f aca="false">(CB14=1)*③기타_가정!$H$38*③기타_가정!$E$201*③기타_가정!$E$202/1000*(1+③기타_가정!$E$204)^INT((CB15-1)/③기타_가정!$E$205)*(1-CHOOSE(MIN(MAX(CB16,1),3),③기타_가정!$E$207,③기타_가정!$E$208,③기타_가정!$E$209))</f>
        <v>145.14192</v>
      </c>
      <c r="CC36" s="37" t="n">
        <f aca="false">(CC14=1)*③기타_가정!$H$38*③기타_가정!$E$201*③기타_가정!$E$202/1000*(1+③기타_가정!$E$204)^INT((CC15-1)/③기타_가정!$E$205)*(1-CHOOSE(MIN(MAX(CC16,1),3),③기타_가정!$E$207,③기타_가정!$E$208,③기타_가정!$E$209))</f>
        <v>145.14192</v>
      </c>
      <c r="CD36" s="37" t="n">
        <f aca="false">(CD14=1)*③기타_가정!$H$38*③기타_가정!$E$201*③기타_가정!$E$202/1000*(1+③기타_가정!$E$204)^INT((CD15-1)/③기타_가정!$E$205)*(1-CHOOSE(MIN(MAX(CD16,1),3),③기타_가정!$E$207,③기타_가정!$E$208,③기타_가정!$E$209))</f>
        <v>145.14192</v>
      </c>
      <c r="CE36" s="37" t="n">
        <f aca="false">(CE14=1)*③기타_가정!$H$38*③기타_가정!$E$201*③기타_가정!$E$202/1000*(1+③기타_가정!$E$204)^INT((CE15-1)/③기타_가정!$E$205)*(1-CHOOSE(MIN(MAX(CE16,1),3),③기타_가정!$E$207,③기타_가정!$E$208,③기타_가정!$E$209))</f>
        <v>145.14192</v>
      </c>
      <c r="CF36" s="37" t="n">
        <f aca="false">(CF14=1)*③기타_가정!$H$38*③기타_가정!$E$201*③기타_가정!$E$202/1000*(1+③기타_가정!$E$204)^INT((CF15-1)/③기타_가정!$E$205)*(1-CHOOSE(MIN(MAX(CF16,1),3),③기타_가정!$E$207,③기타_가정!$E$208,③기타_가정!$E$209))</f>
        <v>145.14192</v>
      </c>
      <c r="CG36" s="37" t="n">
        <f aca="false">(CG14=1)*③기타_가정!$H$38*③기타_가정!$E$201*③기타_가정!$E$202/1000*(1+③기타_가정!$E$204)^INT((CG15-1)/③기타_가정!$E$205)*(1-CHOOSE(MIN(MAX(CG16,1),3),③기타_가정!$E$207,③기타_가정!$E$208,③기타_가정!$E$209))</f>
        <v>145.14192</v>
      </c>
      <c r="CH36" s="37" t="n">
        <f aca="false">(CH14=1)*③기타_가정!$H$38*③기타_가정!$E$201*③기타_가정!$E$202/1000*(1+③기타_가정!$E$204)^INT((CH15-1)/③기타_가정!$E$205)*(1-CHOOSE(MIN(MAX(CH16,1),3),③기타_가정!$E$207,③기타_가정!$E$208,③기타_가정!$E$209))</f>
        <v>145.14192</v>
      </c>
      <c r="CI36" s="37" t="n">
        <f aca="false">(CI14=1)*③기타_가정!$H$38*③기타_가정!$E$201*③기타_가정!$E$202/1000*(1+③기타_가정!$E$204)^INT((CI15-1)/③기타_가정!$E$205)*(1-CHOOSE(MIN(MAX(CI16,1),3),③기타_가정!$E$207,③기타_가정!$E$208,③기타_가정!$E$209))</f>
        <v>145.14192</v>
      </c>
      <c r="CJ36" s="37" t="n">
        <f aca="false">(CJ14=1)*③기타_가정!$H$38*③기타_가정!$E$201*③기타_가정!$E$202/1000*(1+③기타_가정!$E$204)^INT((CJ15-1)/③기타_가정!$E$205)*(1-CHOOSE(MIN(MAX(CJ16,1),3),③기타_가정!$E$207,③기타_가정!$E$208,③기타_가정!$E$209))</f>
        <v>145.14192</v>
      </c>
      <c r="CK36" s="37" t="n">
        <f aca="false">(CK14=1)*③기타_가정!$H$38*③기타_가정!$E$201*③기타_가정!$E$202/1000*(1+③기타_가정!$E$204)^INT((CK15-1)/③기타_가정!$E$205)*(1-CHOOSE(MIN(MAX(CK16,1),3),③기타_가정!$E$207,③기타_가정!$E$208,③기타_가정!$E$209))</f>
        <v>148.0447584</v>
      </c>
      <c r="CL36" s="37" t="n">
        <f aca="false">(CL14=1)*③기타_가정!$H$38*③기타_가정!$E$201*③기타_가정!$E$202/1000*(1+③기타_가정!$E$204)^INT((CL15-1)/③기타_가정!$E$205)*(1-CHOOSE(MIN(MAX(CL16,1),3),③기타_가정!$E$207,③기타_가정!$E$208,③기타_가정!$E$209))</f>
        <v>148.0447584</v>
      </c>
      <c r="CM36" s="37" t="n">
        <f aca="false">(CM14=1)*③기타_가정!$H$38*③기타_가정!$E$201*③기타_가정!$E$202/1000*(1+③기타_가정!$E$204)^INT((CM15-1)/③기타_가정!$E$205)*(1-CHOOSE(MIN(MAX(CM16,1),3),③기타_가정!$E$207,③기타_가정!$E$208,③기타_가정!$E$209))</f>
        <v>148.0447584</v>
      </c>
      <c r="CN36" s="37" t="n">
        <f aca="false">(CN14=1)*③기타_가정!$H$38*③기타_가정!$E$201*③기타_가정!$E$202/1000*(1+③기타_가정!$E$204)^INT((CN15-1)/③기타_가정!$E$205)*(1-CHOOSE(MIN(MAX(CN16,1),3),③기타_가정!$E$207,③기타_가정!$E$208,③기타_가정!$E$209))</f>
        <v>148.0447584</v>
      </c>
      <c r="CO36" s="37" t="n">
        <f aca="false">(CO14=1)*③기타_가정!$H$38*③기타_가정!$E$201*③기타_가정!$E$202/1000*(1+③기타_가정!$E$204)^INT((CO15-1)/③기타_가정!$E$205)*(1-CHOOSE(MIN(MAX(CO16,1),3),③기타_가정!$E$207,③기타_가정!$E$208,③기타_가정!$E$209))</f>
        <v>148.0447584</v>
      </c>
      <c r="CP36" s="37" t="n">
        <f aca="false">(CP14=1)*③기타_가정!$H$38*③기타_가정!$E$201*③기타_가정!$E$202/1000*(1+③기타_가정!$E$204)^INT((CP15-1)/③기타_가정!$E$205)*(1-CHOOSE(MIN(MAX(CP16,1),3),③기타_가정!$E$207,③기타_가정!$E$208,③기타_가정!$E$209))</f>
        <v>148.0447584</v>
      </c>
      <c r="CQ36" s="37" t="n">
        <f aca="false">(CQ14=1)*③기타_가정!$H$38*③기타_가정!$E$201*③기타_가정!$E$202/1000*(1+③기타_가정!$E$204)^INT((CQ15-1)/③기타_가정!$E$205)*(1-CHOOSE(MIN(MAX(CQ16,1),3),③기타_가정!$E$207,③기타_가정!$E$208,③기타_가정!$E$209))</f>
        <v>148.0447584</v>
      </c>
      <c r="CR36" s="37" t="n">
        <f aca="false">(CR14=1)*③기타_가정!$H$38*③기타_가정!$E$201*③기타_가정!$E$202/1000*(1+③기타_가정!$E$204)^INT((CR15-1)/③기타_가정!$E$205)*(1-CHOOSE(MIN(MAX(CR16,1),3),③기타_가정!$E$207,③기타_가정!$E$208,③기타_가정!$E$209))</f>
        <v>148.0447584</v>
      </c>
      <c r="CS36" s="37" t="n">
        <f aca="false">(CS14=1)*③기타_가정!$H$38*③기타_가정!$E$201*③기타_가정!$E$202/1000*(1+③기타_가정!$E$204)^INT((CS15-1)/③기타_가정!$E$205)*(1-CHOOSE(MIN(MAX(CS16,1),3),③기타_가정!$E$207,③기타_가정!$E$208,③기타_가정!$E$209))</f>
        <v>148.0447584</v>
      </c>
      <c r="CT36" s="37" t="n">
        <f aca="false">(CT14=1)*③기타_가정!$H$38*③기타_가정!$E$201*③기타_가정!$E$202/1000*(1+③기타_가정!$E$204)^INT((CT15-1)/③기타_가정!$E$205)*(1-CHOOSE(MIN(MAX(CT16,1),3),③기타_가정!$E$207,③기타_가정!$E$208,③기타_가정!$E$209))</f>
        <v>148.0447584</v>
      </c>
      <c r="CU36" s="37" t="n">
        <f aca="false">(CU14=1)*③기타_가정!$H$38*③기타_가정!$E$201*③기타_가정!$E$202/1000*(1+③기타_가정!$E$204)^INT((CU15-1)/③기타_가정!$E$205)*(1-CHOOSE(MIN(MAX(CU16,1),3),③기타_가정!$E$207,③기타_가정!$E$208,③기타_가정!$E$209))</f>
        <v>148.0447584</v>
      </c>
      <c r="CV36" s="37" t="n">
        <f aca="false">(CV14=1)*③기타_가정!$H$38*③기타_가정!$E$201*③기타_가정!$E$202/1000*(1+③기타_가정!$E$204)^INT((CV15-1)/③기타_가정!$E$205)*(1-CHOOSE(MIN(MAX(CV16,1),3),③기타_가정!$E$207,③기타_가정!$E$208,③기타_가정!$E$209))</f>
        <v>148.0447584</v>
      </c>
      <c r="CW36" s="37" t="n">
        <f aca="false">(CW14=1)*③기타_가정!$H$38*③기타_가정!$E$201*③기타_가정!$E$202/1000*(1+③기타_가정!$E$204)^INT((CW15-1)/③기타_가정!$E$205)*(1-CHOOSE(MIN(MAX(CW16,1),3),③기타_가정!$E$207,③기타_가정!$E$208,③기타_가정!$E$209))</f>
        <v>151.005653568</v>
      </c>
      <c r="CX36" s="37" t="n">
        <f aca="false">(CX14=1)*③기타_가정!$H$38*③기타_가정!$E$201*③기타_가정!$E$202/1000*(1+③기타_가정!$E$204)^INT((CX15-1)/③기타_가정!$E$205)*(1-CHOOSE(MIN(MAX(CX16,1),3),③기타_가정!$E$207,③기타_가정!$E$208,③기타_가정!$E$209))</f>
        <v>151.005653568</v>
      </c>
      <c r="CY36" s="37" t="n">
        <f aca="false">(CY14=1)*③기타_가정!$H$38*③기타_가정!$E$201*③기타_가정!$E$202/1000*(1+③기타_가정!$E$204)^INT((CY15-1)/③기타_가정!$E$205)*(1-CHOOSE(MIN(MAX(CY16,1),3),③기타_가정!$E$207,③기타_가정!$E$208,③기타_가정!$E$209))</f>
        <v>151.005653568</v>
      </c>
      <c r="CZ36" s="37" t="n">
        <f aca="false">(CZ14=1)*③기타_가정!$H$38*③기타_가정!$E$201*③기타_가정!$E$202/1000*(1+③기타_가정!$E$204)^INT((CZ15-1)/③기타_가정!$E$205)*(1-CHOOSE(MIN(MAX(CZ16,1),3),③기타_가정!$E$207,③기타_가정!$E$208,③기타_가정!$E$209))</f>
        <v>151.005653568</v>
      </c>
      <c r="DA36" s="37" t="n">
        <f aca="false">(DA14=1)*③기타_가정!$H$38*③기타_가정!$E$201*③기타_가정!$E$202/1000*(1+③기타_가정!$E$204)^INT((DA15-1)/③기타_가정!$E$205)*(1-CHOOSE(MIN(MAX(DA16,1),3),③기타_가정!$E$207,③기타_가정!$E$208,③기타_가정!$E$209))</f>
        <v>151.005653568</v>
      </c>
      <c r="DB36" s="37" t="n">
        <f aca="false">(DB14=1)*③기타_가정!$H$38*③기타_가정!$E$201*③기타_가정!$E$202/1000*(1+③기타_가정!$E$204)^INT((DB15-1)/③기타_가정!$E$205)*(1-CHOOSE(MIN(MAX(DB16,1),3),③기타_가정!$E$207,③기타_가정!$E$208,③기타_가정!$E$209))</f>
        <v>151.005653568</v>
      </c>
      <c r="DC36" s="37" t="n">
        <f aca="false">(DC14=1)*③기타_가정!$H$38*③기타_가정!$E$201*③기타_가정!$E$202/1000*(1+③기타_가정!$E$204)^INT((DC15-1)/③기타_가정!$E$205)*(1-CHOOSE(MIN(MAX(DC16,1),3),③기타_가정!$E$207,③기타_가정!$E$208,③기타_가정!$E$209))</f>
        <v>151.005653568</v>
      </c>
      <c r="DD36" s="37" t="n">
        <f aca="false">(DD14=1)*③기타_가정!$H$38*③기타_가정!$E$201*③기타_가정!$E$202/1000*(1+③기타_가정!$E$204)^INT((DD15-1)/③기타_가정!$E$205)*(1-CHOOSE(MIN(MAX(DD16,1),3),③기타_가정!$E$207,③기타_가정!$E$208,③기타_가정!$E$209))</f>
        <v>151.005653568</v>
      </c>
      <c r="DE36" s="37" t="n">
        <f aca="false">(DE14=1)*③기타_가정!$H$38*③기타_가정!$E$201*③기타_가정!$E$202/1000*(1+③기타_가정!$E$204)^INT((DE15-1)/③기타_가정!$E$205)*(1-CHOOSE(MIN(MAX(DE16,1),3),③기타_가정!$E$207,③기타_가정!$E$208,③기타_가정!$E$209))</f>
        <v>151.005653568</v>
      </c>
      <c r="DF36" s="37" t="n">
        <f aca="false">(DF14=1)*③기타_가정!$H$38*③기타_가정!$E$201*③기타_가정!$E$202/1000*(1+③기타_가정!$E$204)^INT((DF15-1)/③기타_가정!$E$205)*(1-CHOOSE(MIN(MAX(DF16,1),3),③기타_가정!$E$207,③기타_가정!$E$208,③기타_가정!$E$209))</f>
        <v>151.005653568</v>
      </c>
      <c r="DG36" s="37" t="n">
        <f aca="false">(DG14=1)*③기타_가정!$H$38*③기타_가정!$E$201*③기타_가정!$E$202/1000*(1+③기타_가정!$E$204)^INT((DG15-1)/③기타_가정!$E$205)*(1-CHOOSE(MIN(MAX(DG16,1),3),③기타_가정!$E$207,③기타_가정!$E$208,③기타_가정!$E$209))</f>
        <v>151.005653568</v>
      </c>
      <c r="DH36" s="37" t="n">
        <f aca="false">(DH14=1)*③기타_가정!$H$38*③기타_가정!$E$201*③기타_가정!$E$202/1000*(1+③기타_가정!$E$204)^INT((DH15-1)/③기타_가정!$E$205)*(1-CHOOSE(MIN(MAX(DH16,1),3),③기타_가정!$E$207,③기타_가정!$E$208,③기타_가정!$E$209))</f>
        <v>151.005653568</v>
      </c>
      <c r="DI36" s="37" t="n">
        <f aca="false">(DI14=1)*③기타_가정!$H$38*③기타_가정!$E$201*③기타_가정!$E$202/1000*(1+③기타_가정!$E$204)^INT((DI15-1)/③기타_가정!$E$205)*(1-CHOOSE(MIN(MAX(DI16,1),3),③기타_가정!$E$207,③기타_가정!$E$208,③기타_가정!$E$209))</f>
        <v>154.02576663936</v>
      </c>
      <c r="DJ36" s="37" t="n">
        <f aca="false">(DJ14=1)*③기타_가정!$H$38*③기타_가정!$E$201*③기타_가정!$E$202/1000*(1+③기타_가정!$E$204)^INT((DJ15-1)/③기타_가정!$E$205)*(1-CHOOSE(MIN(MAX(DJ16,1),3),③기타_가정!$E$207,③기타_가정!$E$208,③기타_가정!$E$209))</f>
        <v>154.02576663936</v>
      </c>
      <c r="DK36" s="37" t="n">
        <f aca="false">(DK14=1)*③기타_가정!$H$38*③기타_가정!$E$201*③기타_가정!$E$202/1000*(1+③기타_가정!$E$204)^INT((DK15-1)/③기타_가정!$E$205)*(1-CHOOSE(MIN(MAX(DK16,1),3),③기타_가정!$E$207,③기타_가정!$E$208,③기타_가정!$E$209))</f>
        <v>154.02576663936</v>
      </c>
      <c r="DL36" s="37" t="n">
        <f aca="false">(DL14=1)*③기타_가정!$H$38*③기타_가정!$E$201*③기타_가정!$E$202/1000*(1+③기타_가정!$E$204)^INT((DL15-1)/③기타_가정!$E$205)*(1-CHOOSE(MIN(MAX(DL16,1),3),③기타_가정!$E$207,③기타_가정!$E$208,③기타_가정!$E$209))</f>
        <v>154.02576663936</v>
      </c>
      <c r="DM36" s="37" t="n">
        <f aca="false">(DM14=1)*③기타_가정!$H$38*③기타_가정!$E$201*③기타_가정!$E$202/1000*(1+③기타_가정!$E$204)^INT((DM15-1)/③기타_가정!$E$205)*(1-CHOOSE(MIN(MAX(DM16,1),3),③기타_가정!$E$207,③기타_가정!$E$208,③기타_가정!$E$209))</f>
        <v>154.02576663936</v>
      </c>
      <c r="DN36" s="37" t="n">
        <f aca="false">(DN14=1)*③기타_가정!$H$38*③기타_가정!$E$201*③기타_가정!$E$202/1000*(1+③기타_가정!$E$204)^INT((DN15-1)/③기타_가정!$E$205)*(1-CHOOSE(MIN(MAX(DN16,1),3),③기타_가정!$E$207,③기타_가정!$E$208,③기타_가정!$E$209))</f>
        <v>154.02576663936</v>
      </c>
      <c r="DO36" s="37" t="n">
        <f aca="false">(DO14=1)*③기타_가정!$H$38*③기타_가정!$E$201*③기타_가정!$E$202/1000*(1+③기타_가정!$E$204)^INT((DO15-1)/③기타_가정!$E$205)*(1-CHOOSE(MIN(MAX(DO16,1),3),③기타_가정!$E$207,③기타_가정!$E$208,③기타_가정!$E$209))</f>
        <v>154.02576663936</v>
      </c>
      <c r="DP36" s="37" t="n">
        <f aca="false">(DP14=1)*③기타_가정!$H$38*③기타_가정!$E$201*③기타_가정!$E$202/1000*(1+③기타_가정!$E$204)^INT((DP15-1)/③기타_가정!$E$205)*(1-CHOOSE(MIN(MAX(DP16,1),3),③기타_가정!$E$207,③기타_가정!$E$208,③기타_가정!$E$209))</f>
        <v>154.02576663936</v>
      </c>
      <c r="DQ36" s="37" t="n">
        <f aca="false">(DQ14=1)*③기타_가정!$H$38*③기타_가정!$E$201*③기타_가정!$E$202/1000*(1+③기타_가정!$E$204)^INT((DQ15-1)/③기타_가정!$E$205)*(1-CHOOSE(MIN(MAX(DQ16,1),3),③기타_가정!$E$207,③기타_가정!$E$208,③기타_가정!$E$209))</f>
        <v>154.02576663936</v>
      </c>
      <c r="DR36" s="37" t="n">
        <f aca="false">(DR14=1)*③기타_가정!$H$38*③기타_가정!$E$201*③기타_가정!$E$202/1000*(1+③기타_가정!$E$204)^INT((DR15-1)/③기타_가정!$E$205)*(1-CHOOSE(MIN(MAX(DR16,1),3),③기타_가정!$E$207,③기타_가정!$E$208,③기타_가정!$E$209))</f>
        <v>154.02576663936</v>
      </c>
      <c r="DS36" s="37" t="n">
        <f aca="false">(DS14=1)*③기타_가정!$H$38*③기타_가정!$E$201*③기타_가정!$E$202/1000*(1+③기타_가정!$E$204)^INT((DS15-1)/③기타_가정!$E$205)*(1-CHOOSE(MIN(MAX(DS16,1),3),③기타_가정!$E$207,③기타_가정!$E$208,③기타_가정!$E$209))</f>
        <v>154.02576663936</v>
      </c>
      <c r="DT36" s="37" t="n">
        <f aca="false">(DT14=1)*③기타_가정!$H$38*③기타_가정!$E$201*③기타_가정!$E$202/1000*(1+③기타_가정!$E$204)^INT((DT15-1)/③기타_가정!$E$205)*(1-CHOOSE(MIN(MAX(DT16,1),3),③기타_가정!$E$207,③기타_가정!$E$208,③기타_가정!$E$209))</f>
        <v>154.02576663936</v>
      </c>
      <c r="DU36" s="37" t="n">
        <f aca="false">(DU14=1)*③기타_가정!$H$38*③기타_가정!$E$201*③기타_가정!$E$202/1000*(1+③기타_가정!$E$204)^INT((DU15-1)/③기타_가정!$E$205)*(1-CHOOSE(MIN(MAX(DU16,1),3),③기타_가정!$E$207,③기타_가정!$E$208,③기타_가정!$E$209))</f>
        <v>0</v>
      </c>
      <c r="DV36" s="37" t="n">
        <f aca="false">(DV14=1)*③기타_가정!$H$38*③기타_가정!$E$201*③기타_가정!$E$202/1000*(1+③기타_가정!$E$204)^INT((DV15-1)/③기타_가정!$E$205)*(1-CHOOSE(MIN(MAX(DV16,1),3),③기타_가정!$E$207,③기타_가정!$E$208,③기타_가정!$E$209))</f>
        <v>0</v>
      </c>
      <c r="DW36" s="37" t="n">
        <f aca="false">(DW14=1)*③기타_가정!$H$38*③기타_가정!$E$201*③기타_가정!$E$202/1000*(1+③기타_가정!$E$204)^INT((DW15-1)/③기타_가정!$E$205)*(1-CHOOSE(MIN(MAX(DW16,1),3),③기타_가정!$E$207,③기타_가정!$E$208,③기타_가정!$E$209))</f>
        <v>0</v>
      </c>
      <c r="DX36" s="37" t="n">
        <f aca="false">(DX14=1)*③기타_가정!$H$38*③기타_가정!$E$201*③기타_가정!$E$202/1000*(1+③기타_가정!$E$204)^INT((DX15-1)/③기타_가정!$E$205)*(1-CHOOSE(MIN(MAX(DX16,1),3),③기타_가정!$E$207,③기타_가정!$E$208,③기타_가정!$E$209))</f>
        <v>0</v>
      </c>
      <c r="DY36" s="37" t="n">
        <f aca="false">(DY14=1)*③기타_가정!$H$38*③기타_가정!$E$201*③기타_가정!$E$202/1000*(1+③기타_가정!$E$204)^INT((DY15-1)/③기타_가정!$E$205)*(1-CHOOSE(MIN(MAX(DY16,1),3),③기타_가정!$E$207,③기타_가정!$E$208,③기타_가정!$E$209))</f>
        <v>0</v>
      </c>
      <c r="DZ36" s="37" t="n">
        <f aca="false">(DZ14=1)*③기타_가정!$H$38*③기타_가정!$E$201*③기타_가정!$E$202/1000*(1+③기타_가정!$E$204)^INT((DZ15-1)/③기타_가정!$E$205)*(1-CHOOSE(MIN(MAX(DZ16,1),3),③기타_가정!$E$207,③기타_가정!$E$208,③기타_가정!$E$209))</f>
        <v>0</v>
      </c>
      <c r="EA36" s="37" t="n">
        <f aca="false">(EA14=1)*③기타_가정!$H$38*③기타_가정!$E$201*③기타_가정!$E$202/1000*(1+③기타_가정!$E$204)^INT((EA15-1)/③기타_가정!$E$205)*(1-CHOOSE(MIN(MAX(EA16,1),3),③기타_가정!$E$207,③기타_가정!$E$208,③기타_가정!$E$209))</f>
        <v>0</v>
      </c>
      <c r="EB36" s="37" t="n">
        <f aca="false">(EB14=1)*③기타_가정!$H$38*③기타_가정!$E$201*③기타_가정!$E$202/1000*(1+③기타_가정!$E$204)^INT((EB15-1)/③기타_가정!$E$205)*(1-CHOOSE(MIN(MAX(EB16,1),3),③기타_가정!$E$207,③기타_가정!$E$208,③기타_가정!$E$209))</f>
        <v>0</v>
      </c>
      <c r="EC36" s="37" t="n">
        <f aca="false">(EC14=1)*③기타_가정!$H$38*③기타_가정!$E$201*③기타_가정!$E$202/1000*(1+③기타_가정!$E$204)^INT((EC15-1)/③기타_가정!$E$205)*(1-CHOOSE(MIN(MAX(EC16,1),3),③기타_가정!$E$207,③기타_가정!$E$208,③기타_가정!$E$209))</f>
        <v>0</v>
      </c>
      <c r="ED36" s="37" t="n">
        <f aca="false">(ED14=1)*③기타_가정!$H$38*③기타_가정!$E$201*③기타_가정!$E$202/1000*(1+③기타_가정!$E$204)^INT((ED15-1)/③기타_가정!$E$205)*(1-CHOOSE(MIN(MAX(ED16,1),3),③기타_가정!$E$207,③기타_가정!$E$208,③기타_가정!$E$209))</f>
        <v>0</v>
      </c>
      <c r="EE36" s="37" t="n">
        <f aca="false">(EE14=1)*③기타_가정!$H$38*③기타_가정!$E$201*③기타_가정!$E$202/1000*(1+③기타_가정!$E$204)^INT((EE15-1)/③기타_가정!$E$205)*(1-CHOOSE(MIN(MAX(EE16,1),3),③기타_가정!$E$207,③기타_가정!$E$208,③기타_가정!$E$209))</f>
        <v>0</v>
      </c>
      <c r="EF36" s="37" t="n">
        <f aca="false">(EF14=1)*③기타_가정!$H$38*③기타_가정!$E$201*③기타_가정!$E$202/1000*(1+③기타_가정!$E$204)^INT((EF15-1)/③기타_가정!$E$205)*(1-CHOOSE(MIN(MAX(EF16,1),3),③기타_가정!$E$207,③기타_가정!$E$208,③기타_가정!$E$209))</f>
        <v>0</v>
      </c>
    </row>
    <row r="37" customFormat="false" ht="15" hidden="false" customHeight="false" outlineLevel="0" collapsed="false">
      <c r="A37" s="36" t="s">
        <v>587</v>
      </c>
      <c r="B37" s="278" t="s">
        <v>21</v>
      </c>
      <c r="C37" s="279" t="n">
        <f aca="false">SUM(E37:EF37)</f>
        <v>9520.8955535232</v>
      </c>
      <c r="E37" s="37" t="n">
        <f aca="false">(E14=1)*③기타_가정!$H$38*③기타_가정!$E$214*③기타_가정!$E$215/1000*(1+③기타_가정!$E$217)^INT((E15-1)/③기타_가정!$E$218)*(1-CHOOSE(MIN(MAX(E16,1),3),③기타_가정!$E$220,③기타_가정!$E$221,③기타_가정!$E$222))</f>
        <v>0</v>
      </c>
      <c r="F37" s="37" t="n">
        <f aca="false">(F14=1)*③기타_가정!$H$38*③기타_가정!$E$214*③기타_가정!$E$215/1000*(1+③기타_가정!$E$217)^INT((F15-1)/③기타_가정!$E$218)*(1-CHOOSE(MIN(MAX(F16,1),3),③기타_가정!$E$220,③기타_가정!$E$221,③기타_가정!$E$222))</f>
        <v>0</v>
      </c>
      <c r="G37" s="37" t="n">
        <f aca="false">(G14=1)*③기타_가정!$H$38*③기타_가정!$E$214*③기타_가정!$E$215/1000*(1+③기타_가정!$E$217)^INT((G15-1)/③기타_가정!$E$218)*(1-CHOOSE(MIN(MAX(G16,1),3),③기타_가정!$E$220,③기타_가정!$E$221,③기타_가정!$E$222))</f>
        <v>0</v>
      </c>
      <c r="H37" s="37" t="n">
        <f aca="false">(H14=1)*③기타_가정!$H$38*③기타_가정!$E$214*③기타_가정!$E$215/1000*(1+③기타_가정!$E$217)^INT((H15-1)/③기타_가정!$E$218)*(1-CHOOSE(MIN(MAX(H16,1),3),③기타_가정!$E$220,③기타_가정!$E$221,③기타_가정!$E$222))</f>
        <v>0</v>
      </c>
      <c r="I37" s="37" t="n">
        <f aca="false">(I14=1)*③기타_가정!$H$38*③기타_가정!$E$214*③기타_가정!$E$215/1000*(1+③기타_가정!$E$217)^INT((I15-1)/③기타_가정!$E$218)*(1-CHOOSE(MIN(MAX(I16,1),3),③기타_가정!$E$220,③기타_가정!$E$221,③기타_가정!$E$222))</f>
        <v>0</v>
      </c>
      <c r="J37" s="37" t="n">
        <f aca="false">(J14=1)*③기타_가정!$H$38*③기타_가정!$E$214*③기타_가정!$E$215/1000*(1+③기타_가정!$E$217)^INT((J15-1)/③기타_가정!$E$218)*(1-CHOOSE(MIN(MAX(J16,1),3),③기타_가정!$E$220,③기타_가정!$E$221,③기타_가정!$E$222))</f>
        <v>0</v>
      </c>
      <c r="K37" s="37" t="n">
        <f aca="false">(K14=1)*③기타_가정!$H$38*③기타_가정!$E$214*③기타_가정!$E$215/1000*(1+③기타_가정!$E$217)^INT((K15-1)/③기타_가정!$E$218)*(1-CHOOSE(MIN(MAX(K16,1),3),③기타_가정!$E$220,③기타_가정!$E$221,③기타_가정!$E$222))</f>
        <v>0</v>
      </c>
      <c r="L37" s="37" t="n">
        <f aca="false">(L14=1)*③기타_가정!$H$38*③기타_가정!$E$214*③기타_가정!$E$215/1000*(1+③기타_가정!$E$217)^INT((L15-1)/③기타_가정!$E$218)*(1-CHOOSE(MIN(MAX(L16,1),3),③기타_가정!$E$220,③기타_가정!$E$221,③기타_가정!$E$222))</f>
        <v>0</v>
      </c>
      <c r="M37" s="37" t="n">
        <f aca="false">(M14=1)*③기타_가정!$H$38*③기타_가정!$E$214*③기타_가정!$E$215/1000*(1+③기타_가정!$E$217)^INT((M15-1)/③기타_가정!$E$218)*(1-CHOOSE(MIN(MAX(M16,1),3),③기타_가정!$E$220,③기타_가정!$E$221,③기타_가정!$E$222))</f>
        <v>0</v>
      </c>
      <c r="N37" s="37" t="n">
        <f aca="false">(N14=1)*③기타_가정!$H$38*③기타_가정!$E$214*③기타_가정!$E$215/1000*(1+③기타_가정!$E$217)^INT((N15-1)/③기타_가정!$E$218)*(1-CHOOSE(MIN(MAX(N16,1),3),③기타_가정!$E$220,③기타_가정!$E$221,③기타_가정!$E$222))</f>
        <v>0</v>
      </c>
      <c r="O37" s="37" t="n">
        <f aca="false">(O14=1)*③기타_가정!$H$38*③기타_가정!$E$214*③기타_가정!$E$215/1000*(1+③기타_가정!$E$217)^INT((O15-1)/③기타_가정!$E$218)*(1-CHOOSE(MIN(MAX(O16,1),3),③기타_가정!$E$220,③기타_가정!$E$221,③기타_가정!$E$222))</f>
        <v>0</v>
      </c>
      <c r="P37" s="37" t="n">
        <f aca="false">(P14=1)*③기타_가정!$H$38*③기타_가정!$E$214*③기타_가정!$E$215/1000*(1+③기타_가정!$E$217)^INT((P15-1)/③기타_가정!$E$218)*(1-CHOOSE(MIN(MAX(P16,1),3),③기타_가정!$E$220,③기타_가정!$E$221,③기타_가정!$E$222))</f>
        <v>0</v>
      </c>
      <c r="Q37" s="37" t="n">
        <f aca="false">(Q14=1)*③기타_가정!$H$38*③기타_가정!$E$214*③기타_가정!$E$215/1000*(1+③기타_가정!$E$217)^INT((Q15-1)/③기타_가정!$E$218)*(1-CHOOSE(MIN(MAX(Q16,1),3),③기타_가정!$E$220,③기타_가정!$E$221,③기타_가정!$E$222))</f>
        <v>0</v>
      </c>
      <c r="R37" s="37" t="n">
        <f aca="false">(R14=1)*③기타_가정!$H$38*③기타_가정!$E$214*③기타_가정!$E$215/1000*(1+③기타_가정!$E$217)^INT((R15-1)/③기타_가정!$E$218)*(1-CHOOSE(MIN(MAX(R16,1),3),③기타_가정!$E$220,③기타_가정!$E$221,③기타_가정!$E$222))</f>
        <v>0</v>
      </c>
      <c r="S37" s="37" t="n">
        <f aca="false">(S14=1)*③기타_가정!$H$38*③기타_가정!$E$214*③기타_가정!$E$215/1000*(1+③기타_가정!$E$217)^INT((S15-1)/③기타_가정!$E$218)*(1-CHOOSE(MIN(MAX(S16,1),3),③기타_가정!$E$220,③기타_가정!$E$221,③기타_가정!$E$222))</f>
        <v>0</v>
      </c>
      <c r="T37" s="37" t="n">
        <f aca="false">(T14=1)*③기타_가정!$H$38*③기타_가정!$E$214*③기타_가정!$E$215/1000*(1+③기타_가정!$E$217)^INT((T15-1)/③기타_가정!$E$218)*(1-CHOOSE(MIN(MAX(T16,1),3),③기타_가정!$E$220,③기타_가정!$E$221,③기타_가정!$E$222))</f>
        <v>0</v>
      </c>
      <c r="U37" s="37" t="n">
        <f aca="false">(U14=1)*③기타_가정!$H$38*③기타_가정!$E$214*③기타_가정!$E$215/1000*(1+③기타_가정!$E$217)^INT((U15-1)/③기타_가정!$E$218)*(1-CHOOSE(MIN(MAX(U16,1),3),③기타_가정!$E$220,③기타_가정!$E$221,③기타_가정!$E$222))</f>
        <v>0</v>
      </c>
      <c r="V37" s="37" t="n">
        <f aca="false">(V14=1)*③기타_가정!$H$38*③기타_가정!$E$214*③기타_가정!$E$215/1000*(1+③기타_가정!$E$217)^INT((V15-1)/③기타_가정!$E$218)*(1-CHOOSE(MIN(MAX(V16,1),3),③기타_가정!$E$220,③기타_가정!$E$221,③기타_가정!$E$222))</f>
        <v>0</v>
      </c>
      <c r="W37" s="37" t="n">
        <f aca="false">(W14=1)*③기타_가정!$H$38*③기타_가정!$E$214*③기타_가정!$E$215/1000*(1+③기타_가정!$E$217)^INT((W15-1)/③기타_가정!$E$218)*(1-CHOOSE(MIN(MAX(W16,1),3),③기타_가정!$E$220,③기타_가정!$E$221,③기타_가정!$E$222))</f>
        <v>0</v>
      </c>
      <c r="X37" s="37" t="n">
        <f aca="false">(X14=1)*③기타_가정!$H$38*③기타_가정!$E$214*③기타_가정!$E$215/1000*(1+③기타_가정!$E$217)^INT((X15-1)/③기타_가정!$E$218)*(1-CHOOSE(MIN(MAX(X16,1),3),③기타_가정!$E$220,③기타_가정!$E$221,③기타_가정!$E$222))</f>
        <v>0</v>
      </c>
      <c r="Y37" s="37" t="n">
        <f aca="false">(Y14=1)*③기타_가정!$H$38*③기타_가정!$E$214*③기타_가정!$E$215/1000*(1+③기타_가정!$E$217)^INT((Y15-1)/③기타_가정!$E$218)*(1-CHOOSE(MIN(MAX(Y16,1),3),③기타_가정!$E$220,③기타_가정!$E$221,③기타_가정!$E$222))</f>
        <v>0</v>
      </c>
      <c r="Z37" s="37" t="n">
        <f aca="false">(Z14=1)*③기타_가정!$H$38*③기타_가정!$E$214*③기타_가정!$E$215/1000*(1+③기타_가정!$E$217)^INT((Z15-1)/③기타_가정!$E$218)*(1-CHOOSE(MIN(MAX(Z16,1),3),③기타_가정!$E$220,③기타_가정!$E$221,③기타_가정!$E$222))</f>
        <v>0</v>
      </c>
      <c r="AA37" s="37" t="n">
        <f aca="false">(AA14=1)*③기타_가정!$H$38*③기타_가정!$E$214*③기타_가정!$E$215/1000*(1+③기타_가정!$E$217)^INT((AA15-1)/③기타_가정!$E$218)*(1-CHOOSE(MIN(MAX(AA16,1),3),③기타_가정!$E$220,③기타_가정!$E$221,③기타_가정!$E$222))</f>
        <v>0</v>
      </c>
      <c r="AB37" s="37" t="n">
        <f aca="false">(AB14=1)*③기타_가정!$H$38*③기타_가정!$E$214*③기타_가정!$E$215/1000*(1+③기타_가정!$E$217)^INT((AB15-1)/③기타_가정!$E$218)*(1-CHOOSE(MIN(MAX(AB16,1),3),③기타_가정!$E$220,③기타_가정!$E$221,③기타_가정!$E$222))</f>
        <v>0</v>
      </c>
      <c r="AC37" s="37" t="n">
        <f aca="false">(AC14=1)*③기타_가정!$H$38*③기타_가정!$E$214*③기타_가정!$E$215/1000*(1+③기타_가정!$E$217)^INT((AC15-1)/③기타_가정!$E$218)*(1-CHOOSE(MIN(MAX(AC16,1),3),③기타_가정!$E$220,③기타_가정!$E$221,③기타_가정!$E$222))</f>
        <v>0</v>
      </c>
      <c r="AD37" s="37" t="n">
        <f aca="false">(AD14=1)*③기타_가정!$H$38*③기타_가정!$E$214*③기타_가정!$E$215/1000*(1+③기타_가정!$E$217)^INT((AD15-1)/③기타_가정!$E$218)*(1-CHOOSE(MIN(MAX(AD16,1),3),③기타_가정!$E$220,③기타_가정!$E$221,③기타_가정!$E$222))</f>
        <v>0</v>
      </c>
      <c r="AE37" s="37" t="n">
        <f aca="false">(AE14=1)*③기타_가정!$H$38*③기타_가정!$E$214*③기타_가정!$E$215/1000*(1+③기타_가정!$E$217)^INT((AE15-1)/③기타_가정!$E$218)*(1-CHOOSE(MIN(MAX(AE16,1),3),③기타_가정!$E$220,③기타_가정!$E$221,③기타_가정!$E$222))</f>
        <v>0</v>
      </c>
      <c r="AF37" s="37" t="n">
        <f aca="false">(AF14=1)*③기타_가정!$H$38*③기타_가정!$E$214*③기타_가정!$E$215/1000*(1+③기타_가정!$E$217)^INT((AF15-1)/③기타_가정!$E$218)*(1-CHOOSE(MIN(MAX(AF16,1),3),③기타_가정!$E$220,③기타_가정!$E$221,③기타_가정!$E$222))</f>
        <v>0</v>
      </c>
      <c r="AG37" s="37" t="n">
        <f aca="false">(AG14=1)*③기타_가정!$H$38*③기타_가정!$E$214*③기타_가정!$E$215/1000*(1+③기타_가정!$E$217)^INT((AG15-1)/③기타_가정!$E$218)*(1-CHOOSE(MIN(MAX(AG16,1),3),③기타_가정!$E$220,③기타_가정!$E$221,③기타_가정!$E$222))</f>
        <v>0</v>
      </c>
      <c r="AH37" s="37" t="n">
        <f aca="false">(AH14=1)*③기타_가정!$H$38*③기타_가정!$E$214*③기타_가정!$E$215/1000*(1+③기타_가정!$E$217)^INT((AH15-1)/③기타_가정!$E$218)*(1-CHOOSE(MIN(MAX(AH16,1),3),③기타_가정!$E$220,③기타_가정!$E$221,③기타_가정!$E$222))</f>
        <v>0</v>
      </c>
      <c r="AI37" s="37" t="n">
        <f aca="false">(AI14=1)*③기타_가정!$H$38*③기타_가정!$E$214*③기타_가정!$E$215/1000*(1+③기타_가정!$E$217)^INT((AI15-1)/③기타_가정!$E$218)*(1-CHOOSE(MIN(MAX(AI16,1),3),③기타_가정!$E$220,③기타_가정!$E$221,③기타_가정!$E$222))</f>
        <v>0</v>
      </c>
      <c r="AJ37" s="37" t="n">
        <f aca="false">(AJ14=1)*③기타_가정!$H$38*③기타_가정!$E$214*③기타_가정!$E$215/1000*(1+③기타_가정!$E$217)^INT((AJ15-1)/③기타_가정!$E$218)*(1-CHOOSE(MIN(MAX(AJ16,1),3),③기타_가정!$E$220,③기타_가정!$E$221,③기타_가정!$E$222))</f>
        <v>0</v>
      </c>
      <c r="AK37" s="37" t="n">
        <f aca="false">(AK14=1)*③기타_가정!$H$38*③기타_가정!$E$214*③기타_가정!$E$215/1000*(1+③기타_가정!$E$217)^INT((AK15-1)/③기타_가정!$E$218)*(1-CHOOSE(MIN(MAX(AK16,1),3),③기타_가정!$E$220,③기타_가정!$E$221,③기타_가정!$E$222))</f>
        <v>0</v>
      </c>
      <c r="AL37" s="37" t="n">
        <f aca="false">(AL14=1)*③기타_가정!$H$38*③기타_가정!$E$214*③기타_가정!$E$215/1000*(1+③기타_가정!$E$217)^INT((AL15-1)/③기타_가정!$E$218)*(1-CHOOSE(MIN(MAX(AL16,1),3),③기타_가정!$E$220,③기타_가정!$E$221,③기타_가정!$E$222))</f>
        <v>0</v>
      </c>
      <c r="AM37" s="37" t="n">
        <f aca="false">(AM14=1)*③기타_가정!$H$38*③기타_가정!$E$214*③기타_가정!$E$215/1000*(1+③기타_가정!$E$217)^INT((AM15-1)/③기타_가정!$E$218)*(1-CHOOSE(MIN(MAX(AM16,1),3),③기타_가정!$E$220,③기타_가정!$E$221,③기타_가정!$E$222))</f>
        <v>0</v>
      </c>
      <c r="AN37" s="37" t="n">
        <f aca="false">(AN14=1)*③기타_가정!$H$38*③기타_가정!$E$214*③기타_가정!$E$215/1000*(1+③기타_가정!$E$217)^INT((AN15-1)/③기타_가정!$E$218)*(1-CHOOSE(MIN(MAX(AN16,1),3),③기타_가정!$E$220,③기타_가정!$E$221,③기타_가정!$E$222))</f>
        <v>0</v>
      </c>
      <c r="AO37" s="37" t="n">
        <f aca="false">(AO14=1)*③기타_가정!$H$38*③기타_가정!$E$214*③기타_가정!$E$215/1000*(1+③기타_가정!$E$217)^INT((AO15-1)/③기타_가정!$E$218)*(1-CHOOSE(MIN(MAX(AO16,1),3),③기타_가정!$E$220,③기타_가정!$E$221,③기타_가정!$E$222))</f>
        <v>0</v>
      </c>
      <c r="AP37" s="37" t="n">
        <f aca="false">(AP14=1)*③기타_가정!$H$38*③기타_가정!$E$214*③기타_가정!$E$215/1000*(1+③기타_가정!$E$217)^INT((AP15-1)/③기타_가정!$E$218)*(1-CHOOSE(MIN(MAX(AP16,1),3),③기타_가정!$E$220,③기타_가정!$E$221,③기타_가정!$E$222))</f>
        <v>0</v>
      </c>
      <c r="AQ37" s="37" t="n">
        <f aca="false">(AQ14=1)*③기타_가정!$H$38*③기타_가정!$E$214*③기타_가정!$E$215/1000*(1+③기타_가정!$E$217)^INT((AQ15-1)/③기타_가정!$E$218)*(1-CHOOSE(MIN(MAX(AQ16,1),3),③기타_가정!$E$220,③기타_가정!$E$221,③기타_가정!$E$222))</f>
        <v>0</v>
      </c>
      <c r="AR37" s="37" t="n">
        <f aca="false">(AR14=1)*③기타_가정!$H$38*③기타_가정!$E$214*③기타_가정!$E$215/1000*(1+③기타_가정!$E$217)^INT((AR15-1)/③기타_가정!$E$218)*(1-CHOOSE(MIN(MAX(AR16,1),3),③기타_가정!$E$220,③기타_가정!$E$221,③기타_가정!$E$222))</f>
        <v>0</v>
      </c>
      <c r="AS37" s="37" t="n">
        <f aca="false">(AS14=1)*③기타_가정!$H$38*③기타_가정!$E$214*③기타_가정!$E$215/1000*(1+③기타_가정!$E$217)^INT((AS15-1)/③기타_가정!$E$218)*(1-CHOOSE(MIN(MAX(AS16,1),3),③기타_가정!$E$220,③기타_가정!$E$221,③기타_가정!$E$222))</f>
        <v>0</v>
      </c>
      <c r="AT37" s="37" t="n">
        <f aca="false">(AT14=1)*③기타_가정!$H$38*③기타_가정!$E$214*③기타_가정!$E$215/1000*(1+③기타_가정!$E$217)^INT((AT15-1)/③기타_가정!$E$218)*(1-CHOOSE(MIN(MAX(AT16,1),3),③기타_가정!$E$220,③기타_가정!$E$221,③기타_가정!$E$222))</f>
        <v>0</v>
      </c>
      <c r="AU37" s="37" t="n">
        <f aca="false">(AU14=1)*③기타_가정!$H$38*③기타_가정!$E$214*③기타_가정!$E$215/1000*(1+③기타_가정!$E$217)^INT((AU15-1)/③기타_가정!$E$218)*(1-CHOOSE(MIN(MAX(AU16,1),3),③기타_가정!$E$220,③기타_가정!$E$221,③기타_가정!$E$222))</f>
        <v>0</v>
      </c>
      <c r="AV37" s="37" t="n">
        <f aca="false">(AV14=1)*③기타_가정!$H$38*③기타_가정!$E$214*③기타_가정!$E$215/1000*(1+③기타_가정!$E$217)^INT((AV15-1)/③기타_가정!$E$218)*(1-CHOOSE(MIN(MAX(AV16,1),3),③기타_가정!$E$220,③기타_가정!$E$221,③기타_가정!$E$222))</f>
        <v>0</v>
      </c>
      <c r="AW37" s="37" t="n">
        <f aca="false">(AW14=1)*③기타_가정!$H$38*③기타_가정!$E$214*③기타_가정!$E$215/1000*(1+③기타_가정!$E$217)^INT((AW15-1)/③기타_가정!$E$218)*(1-CHOOSE(MIN(MAX(AW16,1),3),③기타_가정!$E$220,③기타_가정!$E$221,③기타_가정!$E$222))</f>
        <v>0</v>
      </c>
      <c r="AX37" s="37" t="n">
        <f aca="false">(AX14=1)*③기타_가정!$H$38*③기타_가정!$E$214*③기타_가정!$E$215/1000*(1+③기타_가정!$E$217)^INT((AX15-1)/③기타_가정!$E$218)*(1-CHOOSE(MIN(MAX(AX16,1),3),③기타_가정!$E$220,③기타_가정!$E$221,③기타_가정!$E$222))</f>
        <v>0</v>
      </c>
      <c r="AY37" s="37" t="n">
        <f aca="false">(AY14=1)*③기타_가정!$H$38*③기타_가정!$E$214*③기타_가정!$E$215/1000*(1+③기타_가정!$E$217)^INT((AY15-1)/③기타_가정!$E$218)*(1-CHOOSE(MIN(MAX(AY16,1),3),③기타_가정!$E$220,③기타_가정!$E$221,③기타_가정!$E$222))</f>
        <v>0</v>
      </c>
      <c r="AZ37" s="37" t="n">
        <f aca="false">(AZ14=1)*③기타_가정!$H$38*③기타_가정!$E$214*③기타_가정!$E$215/1000*(1+③기타_가정!$E$217)^INT((AZ15-1)/③기타_가정!$E$218)*(1-CHOOSE(MIN(MAX(AZ16,1),3),③기타_가정!$E$220,③기타_가정!$E$221,③기타_가정!$E$222))</f>
        <v>0</v>
      </c>
      <c r="BA37" s="37" t="n">
        <f aca="false">(BA14=1)*③기타_가정!$H$38*③기타_가정!$E$214*③기타_가정!$E$215/1000*(1+③기타_가정!$E$217)^INT((BA15-1)/③기타_가정!$E$218)*(1-CHOOSE(MIN(MAX(BA16,1),3),③기타_가정!$E$220,③기타_가정!$E$221,③기타_가정!$E$222))</f>
        <v>0</v>
      </c>
      <c r="BB37" s="37" t="n">
        <f aca="false">(BB14=1)*③기타_가정!$H$38*③기타_가정!$E$214*③기타_가정!$E$215/1000*(1+③기타_가정!$E$217)^INT((BB15-1)/③기타_가정!$E$218)*(1-CHOOSE(MIN(MAX(BB16,1),3),③기타_가정!$E$220,③기타_가정!$E$221,③기타_가정!$E$222))</f>
        <v>0</v>
      </c>
      <c r="BC37" s="37" t="n">
        <f aca="false">(BC14=1)*③기타_가정!$H$38*③기타_가정!$E$214*③기타_가정!$E$215/1000*(1+③기타_가정!$E$217)^INT((BC15-1)/③기타_가정!$E$218)*(1-CHOOSE(MIN(MAX(BC16,1),3),③기타_가정!$E$220,③기타_가정!$E$221,③기타_가정!$E$222))</f>
        <v>0</v>
      </c>
      <c r="BD37" s="37" t="n">
        <f aca="false">(BD14=1)*③기타_가정!$H$38*③기타_가정!$E$214*③기타_가정!$E$215/1000*(1+③기타_가정!$E$217)^INT((BD15-1)/③기타_가정!$E$218)*(1-CHOOSE(MIN(MAX(BD16,1),3),③기타_가정!$E$220,③기타_가정!$E$221,③기타_가정!$E$222))</f>
        <v>0</v>
      </c>
      <c r="BE37" s="37" t="n">
        <f aca="false">(BE14=1)*③기타_가정!$H$38*③기타_가정!$E$214*③기타_가정!$E$215/1000*(1+③기타_가정!$E$217)^INT((BE15-1)/③기타_가정!$E$218)*(1-CHOOSE(MIN(MAX(BE16,1),3),③기타_가정!$E$220,③기타_가정!$E$221,③기타_가정!$E$222))</f>
        <v>0</v>
      </c>
      <c r="BF37" s="37" t="n">
        <f aca="false">(BF14=1)*③기타_가정!$H$38*③기타_가정!$E$214*③기타_가정!$E$215/1000*(1+③기타_가정!$E$217)^INT((BF15-1)/③기타_가정!$E$218)*(1-CHOOSE(MIN(MAX(BF16,1),3),③기타_가정!$E$220,③기타_가정!$E$221,③기타_가정!$E$222))</f>
        <v>0</v>
      </c>
      <c r="BG37" s="37" t="n">
        <f aca="false">(BG14=1)*③기타_가정!$H$38*③기타_가정!$E$214*③기타_가정!$E$215/1000*(1+③기타_가정!$E$217)^INT((BG15-1)/③기타_가정!$E$218)*(1-CHOOSE(MIN(MAX(BG16,1),3),③기타_가정!$E$220,③기타_가정!$E$221,③기타_가정!$E$222))</f>
        <v>0</v>
      </c>
      <c r="BH37" s="37" t="n">
        <f aca="false">(BH14=1)*③기타_가정!$H$38*③기타_가정!$E$214*③기타_가정!$E$215/1000*(1+③기타_가정!$E$217)^INT((BH15-1)/③기타_가정!$E$218)*(1-CHOOSE(MIN(MAX(BH16,1),3),③기타_가정!$E$220,③기타_가정!$E$221,③기타_가정!$E$222))</f>
        <v>0</v>
      </c>
      <c r="BI37" s="37" t="n">
        <f aca="false">(BI14=1)*③기타_가정!$H$38*③기타_가정!$E$214*③기타_가정!$E$215/1000*(1+③기타_가정!$E$217)^INT((BI15-1)/③기타_가정!$E$218)*(1-CHOOSE(MIN(MAX(BI16,1),3),③기타_가정!$E$220,③기타_가정!$E$221,③기타_가정!$E$222))</f>
        <v>0</v>
      </c>
      <c r="BJ37" s="37" t="n">
        <f aca="false">(BJ14=1)*③기타_가정!$H$38*③기타_가정!$E$214*③기타_가정!$E$215/1000*(1+③기타_가정!$E$217)^INT((BJ15-1)/③기타_가정!$E$218)*(1-CHOOSE(MIN(MAX(BJ16,1),3),③기타_가정!$E$220,③기타_가정!$E$221,③기타_가정!$E$222))</f>
        <v>0</v>
      </c>
      <c r="BK37" s="37" t="n">
        <f aca="false">(BK14=1)*③기타_가정!$H$38*③기타_가정!$E$214*③기타_가정!$E$215/1000*(1+③기타_가정!$E$217)^INT((BK15-1)/③기타_가정!$E$218)*(1-CHOOSE(MIN(MAX(BK16,1),3),③기타_가정!$E$220,③기타_가정!$E$221,③기타_가정!$E$222))</f>
        <v>0</v>
      </c>
      <c r="BL37" s="37" t="n">
        <f aca="false">(BL14=1)*③기타_가정!$H$38*③기타_가정!$E$214*③기타_가정!$E$215/1000*(1+③기타_가정!$E$217)^INT((BL15-1)/③기타_가정!$E$218)*(1-CHOOSE(MIN(MAX(BL16,1),3),③기타_가정!$E$220,③기타_가정!$E$221,③기타_가정!$E$222))</f>
        <v>0</v>
      </c>
      <c r="BM37" s="37" t="n">
        <f aca="false">(BM14=1)*③기타_가정!$H$38*③기타_가정!$E$214*③기타_가정!$E$215/1000*(1+③기타_가정!$E$217)^INT((BM15-1)/③기타_가정!$E$218)*(1-CHOOSE(MIN(MAX(BM16,1),3),③기타_가정!$E$220,③기타_가정!$E$221,③기타_가정!$E$222))</f>
        <v>152.46</v>
      </c>
      <c r="BN37" s="37" t="n">
        <f aca="false">(BN14=1)*③기타_가정!$H$38*③기타_가정!$E$214*③기타_가정!$E$215/1000*(1+③기타_가정!$E$217)^INT((BN15-1)/③기타_가정!$E$218)*(1-CHOOSE(MIN(MAX(BN16,1),3),③기타_가정!$E$220,③기타_가정!$E$221,③기타_가정!$E$222))</f>
        <v>152.46</v>
      </c>
      <c r="BO37" s="37" t="n">
        <f aca="false">(BO14=1)*③기타_가정!$H$38*③기타_가정!$E$214*③기타_가정!$E$215/1000*(1+③기타_가정!$E$217)^INT((BO15-1)/③기타_가정!$E$218)*(1-CHOOSE(MIN(MAX(BO16,1),3),③기타_가정!$E$220,③기타_가정!$E$221,③기타_가정!$E$222))</f>
        <v>152.46</v>
      </c>
      <c r="BP37" s="37" t="n">
        <f aca="false">(BP14=1)*③기타_가정!$H$38*③기타_가정!$E$214*③기타_가정!$E$215/1000*(1+③기타_가정!$E$217)^INT((BP15-1)/③기타_가정!$E$218)*(1-CHOOSE(MIN(MAX(BP16,1),3),③기타_가정!$E$220,③기타_가정!$E$221,③기타_가정!$E$222))</f>
        <v>152.46</v>
      </c>
      <c r="BQ37" s="37" t="n">
        <f aca="false">(BQ14=1)*③기타_가정!$H$38*③기타_가정!$E$214*③기타_가정!$E$215/1000*(1+③기타_가정!$E$217)^INT((BQ15-1)/③기타_가정!$E$218)*(1-CHOOSE(MIN(MAX(BQ16,1),3),③기타_가정!$E$220,③기타_가정!$E$221,③기타_가정!$E$222))</f>
        <v>152.46</v>
      </c>
      <c r="BR37" s="37" t="n">
        <f aca="false">(BR14=1)*③기타_가정!$H$38*③기타_가정!$E$214*③기타_가정!$E$215/1000*(1+③기타_가정!$E$217)^INT((BR15-1)/③기타_가정!$E$218)*(1-CHOOSE(MIN(MAX(BR16,1),3),③기타_가정!$E$220,③기타_가정!$E$221,③기타_가정!$E$222))</f>
        <v>152.46</v>
      </c>
      <c r="BS37" s="37" t="n">
        <f aca="false">(BS14=1)*③기타_가정!$H$38*③기타_가정!$E$214*③기타_가정!$E$215/1000*(1+③기타_가정!$E$217)^INT((BS15-1)/③기타_가정!$E$218)*(1-CHOOSE(MIN(MAX(BS16,1),3),③기타_가정!$E$220,③기타_가정!$E$221,③기타_가정!$E$222))</f>
        <v>152.46</v>
      </c>
      <c r="BT37" s="37" t="n">
        <f aca="false">(BT14=1)*③기타_가정!$H$38*③기타_가정!$E$214*③기타_가정!$E$215/1000*(1+③기타_가정!$E$217)^INT((BT15-1)/③기타_가정!$E$218)*(1-CHOOSE(MIN(MAX(BT16,1),3),③기타_가정!$E$220,③기타_가정!$E$221,③기타_가정!$E$222))</f>
        <v>152.46</v>
      </c>
      <c r="BU37" s="37" t="n">
        <f aca="false">(BU14=1)*③기타_가정!$H$38*③기타_가정!$E$214*③기타_가정!$E$215/1000*(1+③기타_가정!$E$217)^INT((BU15-1)/③기타_가정!$E$218)*(1-CHOOSE(MIN(MAX(BU16,1),3),③기타_가정!$E$220,③기타_가정!$E$221,③기타_가정!$E$222))</f>
        <v>152.46</v>
      </c>
      <c r="BV37" s="37" t="n">
        <f aca="false">(BV14=1)*③기타_가정!$H$38*③기타_가정!$E$214*③기타_가정!$E$215/1000*(1+③기타_가정!$E$217)^INT((BV15-1)/③기타_가정!$E$218)*(1-CHOOSE(MIN(MAX(BV16,1),3),③기타_가정!$E$220,③기타_가정!$E$221,③기타_가정!$E$222))</f>
        <v>152.46</v>
      </c>
      <c r="BW37" s="37" t="n">
        <f aca="false">(BW14=1)*③기타_가정!$H$38*③기타_가정!$E$214*③기타_가정!$E$215/1000*(1+③기타_가정!$E$217)^INT((BW15-1)/③기타_가정!$E$218)*(1-CHOOSE(MIN(MAX(BW16,1),3),③기타_가정!$E$220,③기타_가정!$E$221,③기타_가정!$E$222))</f>
        <v>152.46</v>
      </c>
      <c r="BX37" s="37" t="n">
        <f aca="false">(BX14=1)*③기타_가정!$H$38*③기타_가정!$E$214*③기타_가정!$E$215/1000*(1+③기타_가정!$E$217)^INT((BX15-1)/③기타_가정!$E$218)*(1-CHOOSE(MIN(MAX(BX16,1),3),③기타_가정!$E$220,③기타_가정!$E$221,③기타_가정!$E$222))</f>
        <v>152.46</v>
      </c>
      <c r="BY37" s="37" t="n">
        <f aca="false">(BY14=1)*③기타_가정!$H$38*③기타_가정!$E$214*③기타_가정!$E$215/1000*(1+③기타_가정!$E$217)^INT((BY15-1)/③기타_가정!$E$218)*(1-CHOOSE(MIN(MAX(BY16,1),3),③기타_가정!$E$220,③기타_가정!$E$221,③기타_가정!$E$222))</f>
        <v>155.5092</v>
      </c>
      <c r="BZ37" s="37" t="n">
        <f aca="false">(BZ14=1)*③기타_가정!$H$38*③기타_가정!$E$214*③기타_가정!$E$215/1000*(1+③기타_가정!$E$217)^INT((BZ15-1)/③기타_가정!$E$218)*(1-CHOOSE(MIN(MAX(BZ16,1),3),③기타_가정!$E$220,③기타_가정!$E$221,③기타_가정!$E$222))</f>
        <v>155.5092</v>
      </c>
      <c r="CA37" s="37" t="n">
        <f aca="false">(CA14=1)*③기타_가정!$H$38*③기타_가정!$E$214*③기타_가정!$E$215/1000*(1+③기타_가정!$E$217)^INT((CA15-1)/③기타_가정!$E$218)*(1-CHOOSE(MIN(MAX(CA16,1),3),③기타_가정!$E$220,③기타_가정!$E$221,③기타_가정!$E$222))</f>
        <v>155.5092</v>
      </c>
      <c r="CB37" s="37" t="n">
        <f aca="false">(CB14=1)*③기타_가정!$H$38*③기타_가정!$E$214*③기타_가정!$E$215/1000*(1+③기타_가정!$E$217)^INT((CB15-1)/③기타_가정!$E$218)*(1-CHOOSE(MIN(MAX(CB16,1),3),③기타_가정!$E$220,③기타_가정!$E$221,③기타_가정!$E$222))</f>
        <v>155.5092</v>
      </c>
      <c r="CC37" s="37" t="n">
        <f aca="false">(CC14=1)*③기타_가정!$H$38*③기타_가정!$E$214*③기타_가정!$E$215/1000*(1+③기타_가정!$E$217)^INT((CC15-1)/③기타_가정!$E$218)*(1-CHOOSE(MIN(MAX(CC16,1),3),③기타_가정!$E$220,③기타_가정!$E$221,③기타_가정!$E$222))</f>
        <v>155.5092</v>
      </c>
      <c r="CD37" s="37" t="n">
        <f aca="false">(CD14=1)*③기타_가정!$H$38*③기타_가정!$E$214*③기타_가정!$E$215/1000*(1+③기타_가정!$E$217)^INT((CD15-1)/③기타_가정!$E$218)*(1-CHOOSE(MIN(MAX(CD16,1),3),③기타_가정!$E$220,③기타_가정!$E$221,③기타_가정!$E$222))</f>
        <v>155.5092</v>
      </c>
      <c r="CE37" s="37" t="n">
        <f aca="false">(CE14=1)*③기타_가정!$H$38*③기타_가정!$E$214*③기타_가정!$E$215/1000*(1+③기타_가정!$E$217)^INT((CE15-1)/③기타_가정!$E$218)*(1-CHOOSE(MIN(MAX(CE16,1),3),③기타_가정!$E$220,③기타_가정!$E$221,③기타_가정!$E$222))</f>
        <v>155.5092</v>
      </c>
      <c r="CF37" s="37" t="n">
        <f aca="false">(CF14=1)*③기타_가정!$H$38*③기타_가정!$E$214*③기타_가정!$E$215/1000*(1+③기타_가정!$E$217)^INT((CF15-1)/③기타_가정!$E$218)*(1-CHOOSE(MIN(MAX(CF16,1),3),③기타_가정!$E$220,③기타_가정!$E$221,③기타_가정!$E$222))</f>
        <v>155.5092</v>
      </c>
      <c r="CG37" s="37" t="n">
        <f aca="false">(CG14=1)*③기타_가정!$H$38*③기타_가정!$E$214*③기타_가정!$E$215/1000*(1+③기타_가정!$E$217)^INT((CG15-1)/③기타_가정!$E$218)*(1-CHOOSE(MIN(MAX(CG16,1),3),③기타_가정!$E$220,③기타_가정!$E$221,③기타_가정!$E$222))</f>
        <v>155.5092</v>
      </c>
      <c r="CH37" s="37" t="n">
        <f aca="false">(CH14=1)*③기타_가정!$H$38*③기타_가정!$E$214*③기타_가정!$E$215/1000*(1+③기타_가정!$E$217)^INT((CH15-1)/③기타_가정!$E$218)*(1-CHOOSE(MIN(MAX(CH16,1),3),③기타_가정!$E$220,③기타_가정!$E$221,③기타_가정!$E$222))</f>
        <v>155.5092</v>
      </c>
      <c r="CI37" s="37" t="n">
        <f aca="false">(CI14=1)*③기타_가정!$H$38*③기타_가정!$E$214*③기타_가정!$E$215/1000*(1+③기타_가정!$E$217)^INT((CI15-1)/③기타_가정!$E$218)*(1-CHOOSE(MIN(MAX(CI16,1),3),③기타_가정!$E$220,③기타_가정!$E$221,③기타_가정!$E$222))</f>
        <v>155.5092</v>
      </c>
      <c r="CJ37" s="37" t="n">
        <f aca="false">(CJ14=1)*③기타_가정!$H$38*③기타_가정!$E$214*③기타_가정!$E$215/1000*(1+③기타_가정!$E$217)^INT((CJ15-1)/③기타_가정!$E$218)*(1-CHOOSE(MIN(MAX(CJ16,1),3),③기타_가정!$E$220,③기타_가정!$E$221,③기타_가정!$E$222))</f>
        <v>155.5092</v>
      </c>
      <c r="CK37" s="37" t="n">
        <f aca="false">(CK14=1)*③기타_가정!$H$38*③기타_가정!$E$214*③기타_가정!$E$215/1000*(1+③기타_가정!$E$217)^INT((CK15-1)/③기타_가정!$E$218)*(1-CHOOSE(MIN(MAX(CK16,1),3),③기타_가정!$E$220,③기타_가정!$E$221,③기타_가정!$E$222))</f>
        <v>158.619384</v>
      </c>
      <c r="CL37" s="37" t="n">
        <f aca="false">(CL14=1)*③기타_가정!$H$38*③기타_가정!$E$214*③기타_가정!$E$215/1000*(1+③기타_가정!$E$217)^INT((CL15-1)/③기타_가정!$E$218)*(1-CHOOSE(MIN(MAX(CL16,1),3),③기타_가정!$E$220,③기타_가정!$E$221,③기타_가정!$E$222))</f>
        <v>158.619384</v>
      </c>
      <c r="CM37" s="37" t="n">
        <f aca="false">(CM14=1)*③기타_가정!$H$38*③기타_가정!$E$214*③기타_가정!$E$215/1000*(1+③기타_가정!$E$217)^INT((CM15-1)/③기타_가정!$E$218)*(1-CHOOSE(MIN(MAX(CM16,1),3),③기타_가정!$E$220,③기타_가정!$E$221,③기타_가정!$E$222))</f>
        <v>158.619384</v>
      </c>
      <c r="CN37" s="37" t="n">
        <f aca="false">(CN14=1)*③기타_가정!$H$38*③기타_가정!$E$214*③기타_가정!$E$215/1000*(1+③기타_가정!$E$217)^INT((CN15-1)/③기타_가정!$E$218)*(1-CHOOSE(MIN(MAX(CN16,1),3),③기타_가정!$E$220,③기타_가정!$E$221,③기타_가정!$E$222))</f>
        <v>158.619384</v>
      </c>
      <c r="CO37" s="37" t="n">
        <f aca="false">(CO14=1)*③기타_가정!$H$38*③기타_가정!$E$214*③기타_가정!$E$215/1000*(1+③기타_가정!$E$217)^INT((CO15-1)/③기타_가정!$E$218)*(1-CHOOSE(MIN(MAX(CO16,1),3),③기타_가정!$E$220,③기타_가정!$E$221,③기타_가정!$E$222))</f>
        <v>158.619384</v>
      </c>
      <c r="CP37" s="37" t="n">
        <f aca="false">(CP14=1)*③기타_가정!$H$38*③기타_가정!$E$214*③기타_가정!$E$215/1000*(1+③기타_가정!$E$217)^INT((CP15-1)/③기타_가정!$E$218)*(1-CHOOSE(MIN(MAX(CP16,1),3),③기타_가정!$E$220,③기타_가정!$E$221,③기타_가정!$E$222))</f>
        <v>158.619384</v>
      </c>
      <c r="CQ37" s="37" t="n">
        <f aca="false">(CQ14=1)*③기타_가정!$H$38*③기타_가정!$E$214*③기타_가정!$E$215/1000*(1+③기타_가정!$E$217)^INT((CQ15-1)/③기타_가정!$E$218)*(1-CHOOSE(MIN(MAX(CQ16,1),3),③기타_가정!$E$220,③기타_가정!$E$221,③기타_가정!$E$222))</f>
        <v>158.619384</v>
      </c>
      <c r="CR37" s="37" t="n">
        <f aca="false">(CR14=1)*③기타_가정!$H$38*③기타_가정!$E$214*③기타_가정!$E$215/1000*(1+③기타_가정!$E$217)^INT((CR15-1)/③기타_가정!$E$218)*(1-CHOOSE(MIN(MAX(CR16,1),3),③기타_가정!$E$220,③기타_가정!$E$221,③기타_가정!$E$222))</f>
        <v>158.619384</v>
      </c>
      <c r="CS37" s="37" t="n">
        <f aca="false">(CS14=1)*③기타_가정!$H$38*③기타_가정!$E$214*③기타_가정!$E$215/1000*(1+③기타_가정!$E$217)^INT((CS15-1)/③기타_가정!$E$218)*(1-CHOOSE(MIN(MAX(CS16,1),3),③기타_가정!$E$220,③기타_가정!$E$221,③기타_가정!$E$222))</f>
        <v>158.619384</v>
      </c>
      <c r="CT37" s="37" t="n">
        <f aca="false">(CT14=1)*③기타_가정!$H$38*③기타_가정!$E$214*③기타_가정!$E$215/1000*(1+③기타_가정!$E$217)^INT((CT15-1)/③기타_가정!$E$218)*(1-CHOOSE(MIN(MAX(CT16,1),3),③기타_가정!$E$220,③기타_가정!$E$221,③기타_가정!$E$222))</f>
        <v>158.619384</v>
      </c>
      <c r="CU37" s="37" t="n">
        <f aca="false">(CU14=1)*③기타_가정!$H$38*③기타_가정!$E$214*③기타_가정!$E$215/1000*(1+③기타_가정!$E$217)^INT((CU15-1)/③기타_가정!$E$218)*(1-CHOOSE(MIN(MAX(CU16,1),3),③기타_가정!$E$220,③기타_가정!$E$221,③기타_가정!$E$222))</f>
        <v>158.619384</v>
      </c>
      <c r="CV37" s="37" t="n">
        <f aca="false">(CV14=1)*③기타_가정!$H$38*③기타_가정!$E$214*③기타_가정!$E$215/1000*(1+③기타_가정!$E$217)^INT((CV15-1)/③기타_가정!$E$218)*(1-CHOOSE(MIN(MAX(CV16,1),3),③기타_가정!$E$220,③기타_가정!$E$221,③기타_가정!$E$222))</f>
        <v>158.619384</v>
      </c>
      <c r="CW37" s="37" t="n">
        <f aca="false">(CW14=1)*③기타_가정!$H$38*③기타_가정!$E$214*③기타_가정!$E$215/1000*(1+③기타_가정!$E$217)^INT((CW15-1)/③기타_가정!$E$218)*(1-CHOOSE(MIN(MAX(CW16,1),3),③기타_가정!$E$220,③기타_가정!$E$221,③기타_가정!$E$222))</f>
        <v>161.79177168</v>
      </c>
      <c r="CX37" s="37" t="n">
        <f aca="false">(CX14=1)*③기타_가정!$H$38*③기타_가정!$E$214*③기타_가정!$E$215/1000*(1+③기타_가정!$E$217)^INT((CX15-1)/③기타_가정!$E$218)*(1-CHOOSE(MIN(MAX(CX16,1),3),③기타_가정!$E$220,③기타_가정!$E$221,③기타_가정!$E$222))</f>
        <v>161.79177168</v>
      </c>
      <c r="CY37" s="37" t="n">
        <f aca="false">(CY14=1)*③기타_가정!$H$38*③기타_가정!$E$214*③기타_가정!$E$215/1000*(1+③기타_가정!$E$217)^INT((CY15-1)/③기타_가정!$E$218)*(1-CHOOSE(MIN(MAX(CY16,1),3),③기타_가정!$E$220,③기타_가정!$E$221,③기타_가정!$E$222))</f>
        <v>161.79177168</v>
      </c>
      <c r="CZ37" s="37" t="n">
        <f aca="false">(CZ14=1)*③기타_가정!$H$38*③기타_가정!$E$214*③기타_가정!$E$215/1000*(1+③기타_가정!$E$217)^INT((CZ15-1)/③기타_가정!$E$218)*(1-CHOOSE(MIN(MAX(CZ16,1),3),③기타_가정!$E$220,③기타_가정!$E$221,③기타_가정!$E$222))</f>
        <v>161.79177168</v>
      </c>
      <c r="DA37" s="37" t="n">
        <f aca="false">(DA14=1)*③기타_가정!$H$38*③기타_가정!$E$214*③기타_가정!$E$215/1000*(1+③기타_가정!$E$217)^INT((DA15-1)/③기타_가정!$E$218)*(1-CHOOSE(MIN(MAX(DA16,1),3),③기타_가정!$E$220,③기타_가정!$E$221,③기타_가정!$E$222))</f>
        <v>161.79177168</v>
      </c>
      <c r="DB37" s="37" t="n">
        <f aca="false">(DB14=1)*③기타_가정!$H$38*③기타_가정!$E$214*③기타_가정!$E$215/1000*(1+③기타_가정!$E$217)^INT((DB15-1)/③기타_가정!$E$218)*(1-CHOOSE(MIN(MAX(DB16,1),3),③기타_가정!$E$220,③기타_가정!$E$221,③기타_가정!$E$222))</f>
        <v>161.79177168</v>
      </c>
      <c r="DC37" s="37" t="n">
        <f aca="false">(DC14=1)*③기타_가정!$H$38*③기타_가정!$E$214*③기타_가정!$E$215/1000*(1+③기타_가정!$E$217)^INT((DC15-1)/③기타_가정!$E$218)*(1-CHOOSE(MIN(MAX(DC16,1),3),③기타_가정!$E$220,③기타_가정!$E$221,③기타_가정!$E$222))</f>
        <v>161.79177168</v>
      </c>
      <c r="DD37" s="37" t="n">
        <f aca="false">(DD14=1)*③기타_가정!$H$38*③기타_가정!$E$214*③기타_가정!$E$215/1000*(1+③기타_가정!$E$217)^INT((DD15-1)/③기타_가정!$E$218)*(1-CHOOSE(MIN(MAX(DD16,1),3),③기타_가정!$E$220,③기타_가정!$E$221,③기타_가정!$E$222))</f>
        <v>161.79177168</v>
      </c>
      <c r="DE37" s="37" t="n">
        <f aca="false">(DE14=1)*③기타_가정!$H$38*③기타_가정!$E$214*③기타_가정!$E$215/1000*(1+③기타_가정!$E$217)^INT((DE15-1)/③기타_가정!$E$218)*(1-CHOOSE(MIN(MAX(DE16,1),3),③기타_가정!$E$220,③기타_가정!$E$221,③기타_가정!$E$222))</f>
        <v>161.79177168</v>
      </c>
      <c r="DF37" s="37" t="n">
        <f aca="false">(DF14=1)*③기타_가정!$H$38*③기타_가정!$E$214*③기타_가정!$E$215/1000*(1+③기타_가정!$E$217)^INT((DF15-1)/③기타_가정!$E$218)*(1-CHOOSE(MIN(MAX(DF16,1),3),③기타_가정!$E$220,③기타_가정!$E$221,③기타_가정!$E$222))</f>
        <v>161.79177168</v>
      </c>
      <c r="DG37" s="37" t="n">
        <f aca="false">(DG14=1)*③기타_가정!$H$38*③기타_가정!$E$214*③기타_가정!$E$215/1000*(1+③기타_가정!$E$217)^INT((DG15-1)/③기타_가정!$E$218)*(1-CHOOSE(MIN(MAX(DG16,1),3),③기타_가정!$E$220,③기타_가정!$E$221,③기타_가정!$E$222))</f>
        <v>161.79177168</v>
      </c>
      <c r="DH37" s="37" t="n">
        <f aca="false">(DH14=1)*③기타_가정!$H$38*③기타_가정!$E$214*③기타_가정!$E$215/1000*(1+③기타_가정!$E$217)^INT((DH15-1)/③기타_가정!$E$218)*(1-CHOOSE(MIN(MAX(DH16,1),3),③기타_가정!$E$220,③기타_가정!$E$221,③기타_가정!$E$222))</f>
        <v>161.79177168</v>
      </c>
      <c r="DI37" s="37" t="n">
        <f aca="false">(DI14=1)*③기타_가정!$H$38*③기타_가정!$E$214*③기타_가정!$E$215/1000*(1+③기타_가정!$E$217)^INT((DI15-1)/③기타_가정!$E$218)*(1-CHOOSE(MIN(MAX(DI16,1),3),③기타_가정!$E$220,③기타_가정!$E$221,③기타_가정!$E$222))</f>
        <v>165.0276071136</v>
      </c>
      <c r="DJ37" s="37" t="n">
        <f aca="false">(DJ14=1)*③기타_가정!$H$38*③기타_가정!$E$214*③기타_가정!$E$215/1000*(1+③기타_가정!$E$217)^INT((DJ15-1)/③기타_가정!$E$218)*(1-CHOOSE(MIN(MAX(DJ16,1),3),③기타_가정!$E$220,③기타_가정!$E$221,③기타_가정!$E$222))</f>
        <v>165.0276071136</v>
      </c>
      <c r="DK37" s="37" t="n">
        <f aca="false">(DK14=1)*③기타_가정!$H$38*③기타_가정!$E$214*③기타_가정!$E$215/1000*(1+③기타_가정!$E$217)^INT((DK15-1)/③기타_가정!$E$218)*(1-CHOOSE(MIN(MAX(DK16,1),3),③기타_가정!$E$220,③기타_가정!$E$221,③기타_가정!$E$222))</f>
        <v>165.0276071136</v>
      </c>
      <c r="DL37" s="37" t="n">
        <f aca="false">(DL14=1)*③기타_가정!$H$38*③기타_가정!$E$214*③기타_가정!$E$215/1000*(1+③기타_가정!$E$217)^INT((DL15-1)/③기타_가정!$E$218)*(1-CHOOSE(MIN(MAX(DL16,1),3),③기타_가정!$E$220,③기타_가정!$E$221,③기타_가정!$E$222))</f>
        <v>165.0276071136</v>
      </c>
      <c r="DM37" s="37" t="n">
        <f aca="false">(DM14=1)*③기타_가정!$H$38*③기타_가정!$E$214*③기타_가정!$E$215/1000*(1+③기타_가정!$E$217)^INT((DM15-1)/③기타_가정!$E$218)*(1-CHOOSE(MIN(MAX(DM16,1),3),③기타_가정!$E$220,③기타_가정!$E$221,③기타_가정!$E$222))</f>
        <v>165.0276071136</v>
      </c>
      <c r="DN37" s="37" t="n">
        <f aca="false">(DN14=1)*③기타_가정!$H$38*③기타_가정!$E$214*③기타_가정!$E$215/1000*(1+③기타_가정!$E$217)^INT((DN15-1)/③기타_가정!$E$218)*(1-CHOOSE(MIN(MAX(DN16,1),3),③기타_가정!$E$220,③기타_가정!$E$221,③기타_가정!$E$222))</f>
        <v>165.0276071136</v>
      </c>
      <c r="DO37" s="37" t="n">
        <f aca="false">(DO14=1)*③기타_가정!$H$38*③기타_가정!$E$214*③기타_가정!$E$215/1000*(1+③기타_가정!$E$217)^INT((DO15-1)/③기타_가정!$E$218)*(1-CHOOSE(MIN(MAX(DO16,1),3),③기타_가정!$E$220,③기타_가정!$E$221,③기타_가정!$E$222))</f>
        <v>165.0276071136</v>
      </c>
      <c r="DP37" s="37" t="n">
        <f aca="false">(DP14=1)*③기타_가정!$H$38*③기타_가정!$E$214*③기타_가정!$E$215/1000*(1+③기타_가정!$E$217)^INT((DP15-1)/③기타_가정!$E$218)*(1-CHOOSE(MIN(MAX(DP16,1),3),③기타_가정!$E$220,③기타_가정!$E$221,③기타_가정!$E$222))</f>
        <v>165.0276071136</v>
      </c>
      <c r="DQ37" s="37" t="n">
        <f aca="false">(DQ14=1)*③기타_가정!$H$38*③기타_가정!$E$214*③기타_가정!$E$215/1000*(1+③기타_가정!$E$217)^INT((DQ15-1)/③기타_가정!$E$218)*(1-CHOOSE(MIN(MAX(DQ16,1),3),③기타_가정!$E$220,③기타_가정!$E$221,③기타_가정!$E$222))</f>
        <v>165.0276071136</v>
      </c>
      <c r="DR37" s="37" t="n">
        <f aca="false">(DR14=1)*③기타_가정!$H$38*③기타_가정!$E$214*③기타_가정!$E$215/1000*(1+③기타_가정!$E$217)^INT((DR15-1)/③기타_가정!$E$218)*(1-CHOOSE(MIN(MAX(DR16,1),3),③기타_가정!$E$220,③기타_가정!$E$221,③기타_가정!$E$222))</f>
        <v>165.0276071136</v>
      </c>
      <c r="DS37" s="37" t="n">
        <f aca="false">(DS14=1)*③기타_가정!$H$38*③기타_가정!$E$214*③기타_가정!$E$215/1000*(1+③기타_가정!$E$217)^INT((DS15-1)/③기타_가정!$E$218)*(1-CHOOSE(MIN(MAX(DS16,1),3),③기타_가정!$E$220,③기타_가정!$E$221,③기타_가정!$E$222))</f>
        <v>165.0276071136</v>
      </c>
      <c r="DT37" s="37" t="n">
        <f aca="false">(DT14=1)*③기타_가정!$H$38*③기타_가정!$E$214*③기타_가정!$E$215/1000*(1+③기타_가정!$E$217)^INT((DT15-1)/③기타_가정!$E$218)*(1-CHOOSE(MIN(MAX(DT16,1),3),③기타_가정!$E$220,③기타_가정!$E$221,③기타_가정!$E$222))</f>
        <v>165.0276071136</v>
      </c>
      <c r="DU37" s="37" t="n">
        <f aca="false">(DU14=1)*③기타_가정!$H$38*③기타_가정!$E$214*③기타_가정!$E$215/1000*(1+③기타_가정!$E$217)^INT((DU15-1)/③기타_가정!$E$218)*(1-CHOOSE(MIN(MAX(DU16,1),3),③기타_가정!$E$220,③기타_가정!$E$221,③기타_가정!$E$222))</f>
        <v>0</v>
      </c>
      <c r="DV37" s="37" t="n">
        <f aca="false">(DV14=1)*③기타_가정!$H$38*③기타_가정!$E$214*③기타_가정!$E$215/1000*(1+③기타_가정!$E$217)^INT((DV15-1)/③기타_가정!$E$218)*(1-CHOOSE(MIN(MAX(DV16,1),3),③기타_가정!$E$220,③기타_가정!$E$221,③기타_가정!$E$222))</f>
        <v>0</v>
      </c>
      <c r="DW37" s="37" t="n">
        <f aca="false">(DW14=1)*③기타_가정!$H$38*③기타_가정!$E$214*③기타_가정!$E$215/1000*(1+③기타_가정!$E$217)^INT((DW15-1)/③기타_가정!$E$218)*(1-CHOOSE(MIN(MAX(DW16,1),3),③기타_가정!$E$220,③기타_가정!$E$221,③기타_가정!$E$222))</f>
        <v>0</v>
      </c>
      <c r="DX37" s="37" t="n">
        <f aca="false">(DX14=1)*③기타_가정!$H$38*③기타_가정!$E$214*③기타_가정!$E$215/1000*(1+③기타_가정!$E$217)^INT((DX15-1)/③기타_가정!$E$218)*(1-CHOOSE(MIN(MAX(DX16,1),3),③기타_가정!$E$220,③기타_가정!$E$221,③기타_가정!$E$222))</f>
        <v>0</v>
      </c>
      <c r="DY37" s="37" t="n">
        <f aca="false">(DY14=1)*③기타_가정!$H$38*③기타_가정!$E$214*③기타_가정!$E$215/1000*(1+③기타_가정!$E$217)^INT((DY15-1)/③기타_가정!$E$218)*(1-CHOOSE(MIN(MAX(DY16,1),3),③기타_가정!$E$220,③기타_가정!$E$221,③기타_가정!$E$222))</f>
        <v>0</v>
      </c>
      <c r="DZ37" s="37" t="n">
        <f aca="false">(DZ14=1)*③기타_가정!$H$38*③기타_가정!$E$214*③기타_가정!$E$215/1000*(1+③기타_가정!$E$217)^INT((DZ15-1)/③기타_가정!$E$218)*(1-CHOOSE(MIN(MAX(DZ16,1),3),③기타_가정!$E$220,③기타_가정!$E$221,③기타_가정!$E$222))</f>
        <v>0</v>
      </c>
      <c r="EA37" s="37" t="n">
        <f aca="false">(EA14=1)*③기타_가정!$H$38*③기타_가정!$E$214*③기타_가정!$E$215/1000*(1+③기타_가정!$E$217)^INT((EA15-1)/③기타_가정!$E$218)*(1-CHOOSE(MIN(MAX(EA16,1),3),③기타_가정!$E$220,③기타_가정!$E$221,③기타_가정!$E$222))</f>
        <v>0</v>
      </c>
      <c r="EB37" s="37" t="n">
        <f aca="false">(EB14=1)*③기타_가정!$H$38*③기타_가정!$E$214*③기타_가정!$E$215/1000*(1+③기타_가정!$E$217)^INT((EB15-1)/③기타_가정!$E$218)*(1-CHOOSE(MIN(MAX(EB16,1),3),③기타_가정!$E$220,③기타_가정!$E$221,③기타_가정!$E$222))</f>
        <v>0</v>
      </c>
      <c r="EC37" s="37" t="n">
        <f aca="false">(EC14=1)*③기타_가정!$H$38*③기타_가정!$E$214*③기타_가정!$E$215/1000*(1+③기타_가정!$E$217)^INT((EC15-1)/③기타_가정!$E$218)*(1-CHOOSE(MIN(MAX(EC16,1),3),③기타_가정!$E$220,③기타_가정!$E$221,③기타_가정!$E$222))</f>
        <v>0</v>
      </c>
      <c r="ED37" s="37" t="n">
        <f aca="false">(ED14=1)*③기타_가정!$H$38*③기타_가정!$E$214*③기타_가정!$E$215/1000*(1+③기타_가정!$E$217)^INT((ED15-1)/③기타_가정!$E$218)*(1-CHOOSE(MIN(MAX(ED16,1),3),③기타_가정!$E$220,③기타_가정!$E$221,③기타_가정!$E$222))</f>
        <v>0</v>
      </c>
      <c r="EE37" s="37" t="n">
        <f aca="false">(EE14=1)*③기타_가정!$H$38*③기타_가정!$E$214*③기타_가정!$E$215/1000*(1+③기타_가정!$E$217)^INT((EE15-1)/③기타_가정!$E$218)*(1-CHOOSE(MIN(MAX(EE16,1),3),③기타_가정!$E$220,③기타_가정!$E$221,③기타_가정!$E$222))</f>
        <v>0</v>
      </c>
      <c r="EF37" s="37" t="n">
        <f aca="false">(EF14=1)*③기타_가정!$H$38*③기타_가정!$E$214*③기타_가정!$E$215/1000*(1+③기타_가정!$E$217)^INT((EF15-1)/③기타_가정!$E$218)*(1-CHOOSE(MIN(MAX(EF16,1),3),③기타_가정!$E$220,③기타_가정!$E$221,③기타_가정!$E$222))</f>
        <v>0</v>
      </c>
    </row>
    <row r="38" customFormat="false" ht="15" hidden="false" customHeight="false" outlineLevel="0" collapsed="false">
      <c r="A38" s="36" t="s">
        <v>588</v>
      </c>
      <c r="B38" s="278" t="s">
        <v>21</v>
      </c>
      <c r="C38" s="279" t="n">
        <f aca="false">SUM(E38:EF38)</f>
        <v>16700.7242902839</v>
      </c>
      <c r="E38" s="37" t="n">
        <f aca="false">(E14=1)*③기타_가정!$H$38*③기타_가정!$E$227*③기타_가정!$E$228/1000*(1+③기타_가정!$E$230)^INT((E15-1)/③기타_가정!$E$231)*(1-CHOOSE(MIN(MAX(E16,1),3),③기타_가정!$E$233,③기타_가정!$E$234,③기타_가정!$E$235))</f>
        <v>0</v>
      </c>
      <c r="F38" s="37" t="n">
        <f aca="false">(F14=1)*③기타_가정!$H$38*③기타_가정!$E$227*③기타_가정!$E$228/1000*(1+③기타_가정!$E$230)^INT((F15-1)/③기타_가정!$E$231)*(1-CHOOSE(MIN(MAX(F16,1),3),③기타_가정!$E$233,③기타_가정!$E$234,③기타_가정!$E$235))</f>
        <v>0</v>
      </c>
      <c r="G38" s="37" t="n">
        <f aca="false">(G14=1)*③기타_가정!$H$38*③기타_가정!$E$227*③기타_가정!$E$228/1000*(1+③기타_가정!$E$230)^INT((G15-1)/③기타_가정!$E$231)*(1-CHOOSE(MIN(MAX(G16,1),3),③기타_가정!$E$233,③기타_가정!$E$234,③기타_가정!$E$235))</f>
        <v>0</v>
      </c>
      <c r="H38" s="37" t="n">
        <f aca="false">(H14=1)*③기타_가정!$H$38*③기타_가정!$E$227*③기타_가정!$E$228/1000*(1+③기타_가정!$E$230)^INT((H15-1)/③기타_가정!$E$231)*(1-CHOOSE(MIN(MAX(H16,1),3),③기타_가정!$E$233,③기타_가정!$E$234,③기타_가정!$E$235))</f>
        <v>0</v>
      </c>
      <c r="I38" s="37" t="n">
        <f aca="false">(I14=1)*③기타_가정!$H$38*③기타_가정!$E$227*③기타_가정!$E$228/1000*(1+③기타_가정!$E$230)^INT((I15-1)/③기타_가정!$E$231)*(1-CHOOSE(MIN(MAX(I16,1),3),③기타_가정!$E$233,③기타_가정!$E$234,③기타_가정!$E$235))</f>
        <v>0</v>
      </c>
      <c r="J38" s="37" t="n">
        <f aca="false">(J14=1)*③기타_가정!$H$38*③기타_가정!$E$227*③기타_가정!$E$228/1000*(1+③기타_가정!$E$230)^INT((J15-1)/③기타_가정!$E$231)*(1-CHOOSE(MIN(MAX(J16,1),3),③기타_가정!$E$233,③기타_가정!$E$234,③기타_가정!$E$235))</f>
        <v>0</v>
      </c>
      <c r="K38" s="37" t="n">
        <f aca="false">(K14=1)*③기타_가정!$H$38*③기타_가정!$E$227*③기타_가정!$E$228/1000*(1+③기타_가정!$E$230)^INT((K15-1)/③기타_가정!$E$231)*(1-CHOOSE(MIN(MAX(K16,1),3),③기타_가정!$E$233,③기타_가정!$E$234,③기타_가정!$E$235))</f>
        <v>0</v>
      </c>
      <c r="L38" s="37" t="n">
        <f aca="false">(L14=1)*③기타_가정!$H$38*③기타_가정!$E$227*③기타_가정!$E$228/1000*(1+③기타_가정!$E$230)^INT((L15-1)/③기타_가정!$E$231)*(1-CHOOSE(MIN(MAX(L16,1),3),③기타_가정!$E$233,③기타_가정!$E$234,③기타_가정!$E$235))</f>
        <v>0</v>
      </c>
      <c r="M38" s="37" t="n">
        <f aca="false">(M14=1)*③기타_가정!$H$38*③기타_가정!$E$227*③기타_가정!$E$228/1000*(1+③기타_가정!$E$230)^INT((M15-1)/③기타_가정!$E$231)*(1-CHOOSE(MIN(MAX(M16,1),3),③기타_가정!$E$233,③기타_가정!$E$234,③기타_가정!$E$235))</f>
        <v>0</v>
      </c>
      <c r="N38" s="37" t="n">
        <f aca="false">(N14=1)*③기타_가정!$H$38*③기타_가정!$E$227*③기타_가정!$E$228/1000*(1+③기타_가정!$E$230)^INT((N15-1)/③기타_가정!$E$231)*(1-CHOOSE(MIN(MAX(N16,1),3),③기타_가정!$E$233,③기타_가정!$E$234,③기타_가정!$E$235))</f>
        <v>0</v>
      </c>
      <c r="O38" s="37" t="n">
        <f aca="false">(O14=1)*③기타_가정!$H$38*③기타_가정!$E$227*③기타_가정!$E$228/1000*(1+③기타_가정!$E$230)^INT((O15-1)/③기타_가정!$E$231)*(1-CHOOSE(MIN(MAX(O16,1),3),③기타_가정!$E$233,③기타_가정!$E$234,③기타_가정!$E$235))</f>
        <v>0</v>
      </c>
      <c r="P38" s="37" t="n">
        <f aca="false">(P14=1)*③기타_가정!$H$38*③기타_가정!$E$227*③기타_가정!$E$228/1000*(1+③기타_가정!$E$230)^INT((P15-1)/③기타_가정!$E$231)*(1-CHOOSE(MIN(MAX(P16,1),3),③기타_가정!$E$233,③기타_가정!$E$234,③기타_가정!$E$235))</f>
        <v>0</v>
      </c>
      <c r="Q38" s="37" t="n">
        <f aca="false">(Q14=1)*③기타_가정!$H$38*③기타_가정!$E$227*③기타_가정!$E$228/1000*(1+③기타_가정!$E$230)^INT((Q15-1)/③기타_가정!$E$231)*(1-CHOOSE(MIN(MAX(Q16,1),3),③기타_가정!$E$233,③기타_가정!$E$234,③기타_가정!$E$235))</f>
        <v>0</v>
      </c>
      <c r="R38" s="37" t="n">
        <f aca="false">(R14=1)*③기타_가정!$H$38*③기타_가정!$E$227*③기타_가정!$E$228/1000*(1+③기타_가정!$E$230)^INT((R15-1)/③기타_가정!$E$231)*(1-CHOOSE(MIN(MAX(R16,1),3),③기타_가정!$E$233,③기타_가정!$E$234,③기타_가정!$E$235))</f>
        <v>0</v>
      </c>
      <c r="S38" s="37" t="n">
        <f aca="false">(S14=1)*③기타_가정!$H$38*③기타_가정!$E$227*③기타_가정!$E$228/1000*(1+③기타_가정!$E$230)^INT((S15-1)/③기타_가정!$E$231)*(1-CHOOSE(MIN(MAX(S16,1),3),③기타_가정!$E$233,③기타_가정!$E$234,③기타_가정!$E$235))</f>
        <v>0</v>
      </c>
      <c r="T38" s="37" t="n">
        <f aca="false">(T14=1)*③기타_가정!$H$38*③기타_가정!$E$227*③기타_가정!$E$228/1000*(1+③기타_가정!$E$230)^INT((T15-1)/③기타_가정!$E$231)*(1-CHOOSE(MIN(MAX(T16,1),3),③기타_가정!$E$233,③기타_가정!$E$234,③기타_가정!$E$235))</f>
        <v>0</v>
      </c>
      <c r="U38" s="37" t="n">
        <f aca="false">(U14=1)*③기타_가정!$H$38*③기타_가정!$E$227*③기타_가정!$E$228/1000*(1+③기타_가정!$E$230)^INT((U15-1)/③기타_가정!$E$231)*(1-CHOOSE(MIN(MAX(U16,1),3),③기타_가정!$E$233,③기타_가정!$E$234,③기타_가정!$E$235))</f>
        <v>0</v>
      </c>
      <c r="V38" s="37" t="n">
        <f aca="false">(V14=1)*③기타_가정!$H$38*③기타_가정!$E$227*③기타_가정!$E$228/1000*(1+③기타_가정!$E$230)^INT((V15-1)/③기타_가정!$E$231)*(1-CHOOSE(MIN(MAX(V16,1),3),③기타_가정!$E$233,③기타_가정!$E$234,③기타_가정!$E$235))</f>
        <v>0</v>
      </c>
      <c r="W38" s="37" t="n">
        <f aca="false">(W14=1)*③기타_가정!$H$38*③기타_가정!$E$227*③기타_가정!$E$228/1000*(1+③기타_가정!$E$230)^INT((W15-1)/③기타_가정!$E$231)*(1-CHOOSE(MIN(MAX(W16,1),3),③기타_가정!$E$233,③기타_가정!$E$234,③기타_가정!$E$235))</f>
        <v>0</v>
      </c>
      <c r="X38" s="37" t="n">
        <f aca="false">(X14=1)*③기타_가정!$H$38*③기타_가정!$E$227*③기타_가정!$E$228/1000*(1+③기타_가정!$E$230)^INT((X15-1)/③기타_가정!$E$231)*(1-CHOOSE(MIN(MAX(X16,1),3),③기타_가정!$E$233,③기타_가정!$E$234,③기타_가정!$E$235))</f>
        <v>0</v>
      </c>
      <c r="Y38" s="37" t="n">
        <f aca="false">(Y14=1)*③기타_가정!$H$38*③기타_가정!$E$227*③기타_가정!$E$228/1000*(1+③기타_가정!$E$230)^INT((Y15-1)/③기타_가정!$E$231)*(1-CHOOSE(MIN(MAX(Y16,1),3),③기타_가정!$E$233,③기타_가정!$E$234,③기타_가정!$E$235))</f>
        <v>0</v>
      </c>
      <c r="Z38" s="37" t="n">
        <f aca="false">(Z14=1)*③기타_가정!$H$38*③기타_가정!$E$227*③기타_가정!$E$228/1000*(1+③기타_가정!$E$230)^INT((Z15-1)/③기타_가정!$E$231)*(1-CHOOSE(MIN(MAX(Z16,1),3),③기타_가정!$E$233,③기타_가정!$E$234,③기타_가정!$E$235))</f>
        <v>0</v>
      </c>
      <c r="AA38" s="37" t="n">
        <f aca="false">(AA14=1)*③기타_가정!$H$38*③기타_가정!$E$227*③기타_가정!$E$228/1000*(1+③기타_가정!$E$230)^INT((AA15-1)/③기타_가정!$E$231)*(1-CHOOSE(MIN(MAX(AA16,1),3),③기타_가정!$E$233,③기타_가정!$E$234,③기타_가정!$E$235))</f>
        <v>0</v>
      </c>
      <c r="AB38" s="37" t="n">
        <f aca="false">(AB14=1)*③기타_가정!$H$38*③기타_가정!$E$227*③기타_가정!$E$228/1000*(1+③기타_가정!$E$230)^INT((AB15-1)/③기타_가정!$E$231)*(1-CHOOSE(MIN(MAX(AB16,1),3),③기타_가정!$E$233,③기타_가정!$E$234,③기타_가정!$E$235))</f>
        <v>0</v>
      </c>
      <c r="AC38" s="37" t="n">
        <f aca="false">(AC14=1)*③기타_가정!$H$38*③기타_가정!$E$227*③기타_가정!$E$228/1000*(1+③기타_가정!$E$230)^INT((AC15-1)/③기타_가정!$E$231)*(1-CHOOSE(MIN(MAX(AC16,1),3),③기타_가정!$E$233,③기타_가정!$E$234,③기타_가정!$E$235))</f>
        <v>0</v>
      </c>
      <c r="AD38" s="37" t="n">
        <f aca="false">(AD14=1)*③기타_가정!$H$38*③기타_가정!$E$227*③기타_가정!$E$228/1000*(1+③기타_가정!$E$230)^INT((AD15-1)/③기타_가정!$E$231)*(1-CHOOSE(MIN(MAX(AD16,1),3),③기타_가정!$E$233,③기타_가정!$E$234,③기타_가정!$E$235))</f>
        <v>0</v>
      </c>
      <c r="AE38" s="37" t="n">
        <f aca="false">(AE14=1)*③기타_가정!$H$38*③기타_가정!$E$227*③기타_가정!$E$228/1000*(1+③기타_가정!$E$230)^INT((AE15-1)/③기타_가정!$E$231)*(1-CHOOSE(MIN(MAX(AE16,1),3),③기타_가정!$E$233,③기타_가정!$E$234,③기타_가정!$E$235))</f>
        <v>0</v>
      </c>
      <c r="AF38" s="37" t="n">
        <f aca="false">(AF14=1)*③기타_가정!$H$38*③기타_가정!$E$227*③기타_가정!$E$228/1000*(1+③기타_가정!$E$230)^INT((AF15-1)/③기타_가정!$E$231)*(1-CHOOSE(MIN(MAX(AF16,1),3),③기타_가정!$E$233,③기타_가정!$E$234,③기타_가정!$E$235))</f>
        <v>0</v>
      </c>
      <c r="AG38" s="37" t="n">
        <f aca="false">(AG14=1)*③기타_가정!$H$38*③기타_가정!$E$227*③기타_가정!$E$228/1000*(1+③기타_가정!$E$230)^INT((AG15-1)/③기타_가정!$E$231)*(1-CHOOSE(MIN(MAX(AG16,1),3),③기타_가정!$E$233,③기타_가정!$E$234,③기타_가정!$E$235))</f>
        <v>0</v>
      </c>
      <c r="AH38" s="37" t="n">
        <f aca="false">(AH14=1)*③기타_가정!$H$38*③기타_가정!$E$227*③기타_가정!$E$228/1000*(1+③기타_가정!$E$230)^INT((AH15-1)/③기타_가정!$E$231)*(1-CHOOSE(MIN(MAX(AH16,1),3),③기타_가정!$E$233,③기타_가정!$E$234,③기타_가정!$E$235))</f>
        <v>0</v>
      </c>
      <c r="AI38" s="37" t="n">
        <f aca="false">(AI14=1)*③기타_가정!$H$38*③기타_가정!$E$227*③기타_가정!$E$228/1000*(1+③기타_가정!$E$230)^INT((AI15-1)/③기타_가정!$E$231)*(1-CHOOSE(MIN(MAX(AI16,1),3),③기타_가정!$E$233,③기타_가정!$E$234,③기타_가정!$E$235))</f>
        <v>0</v>
      </c>
      <c r="AJ38" s="37" t="n">
        <f aca="false">(AJ14=1)*③기타_가정!$H$38*③기타_가정!$E$227*③기타_가정!$E$228/1000*(1+③기타_가정!$E$230)^INT((AJ15-1)/③기타_가정!$E$231)*(1-CHOOSE(MIN(MAX(AJ16,1),3),③기타_가정!$E$233,③기타_가정!$E$234,③기타_가정!$E$235))</f>
        <v>0</v>
      </c>
      <c r="AK38" s="37" t="n">
        <f aca="false">(AK14=1)*③기타_가정!$H$38*③기타_가정!$E$227*③기타_가정!$E$228/1000*(1+③기타_가정!$E$230)^INT((AK15-1)/③기타_가정!$E$231)*(1-CHOOSE(MIN(MAX(AK16,1),3),③기타_가정!$E$233,③기타_가정!$E$234,③기타_가정!$E$235))</f>
        <v>0</v>
      </c>
      <c r="AL38" s="37" t="n">
        <f aca="false">(AL14=1)*③기타_가정!$H$38*③기타_가정!$E$227*③기타_가정!$E$228/1000*(1+③기타_가정!$E$230)^INT((AL15-1)/③기타_가정!$E$231)*(1-CHOOSE(MIN(MAX(AL16,1),3),③기타_가정!$E$233,③기타_가정!$E$234,③기타_가정!$E$235))</f>
        <v>0</v>
      </c>
      <c r="AM38" s="37" t="n">
        <f aca="false">(AM14=1)*③기타_가정!$H$38*③기타_가정!$E$227*③기타_가정!$E$228/1000*(1+③기타_가정!$E$230)^INT((AM15-1)/③기타_가정!$E$231)*(1-CHOOSE(MIN(MAX(AM16,1),3),③기타_가정!$E$233,③기타_가정!$E$234,③기타_가정!$E$235))</f>
        <v>0</v>
      </c>
      <c r="AN38" s="37" t="n">
        <f aca="false">(AN14=1)*③기타_가정!$H$38*③기타_가정!$E$227*③기타_가정!$E$228/1000*(1+③기타_가정!$E$230)^INT((AN15-1)/③기타_가정!$E$231)*(1-CHOOSE(MIN(MAX(AN16,1),3),③기타_가정!$E$233,③기타_가정!$E$234,③기타_가정!$E$235))</f>
        <v>0</v>
      </c>
      <c r="AO38" s="37" t="n">
        <f aca="false">(AO14=1)*③기타_가정!$H$38*③기타_가정!$E$227*③기타_가정!$E$228/1000*(1+③기타_가정!$E$230)^INT((AO15-1)/③기타_가정!$E$231)*(1-CHOOSE(MIN(MAX(AO16,1),3),③기타_가정!$E$233,③기타_가정!$E$234,③기타_가정!$E$235))</f>
        <v>0</v>
      </c>
      <c r="AP38" s="37" t="n">
        <f aca="false">(AP14=1)*③기타_가정!$H$38*③기타_가정!$E$227*③기타_가정!$E$228/1000*(1+③기타_가정!$E$230)^INT((AP15-1)/③기타_가정!$E$231)*(1-CHOOSE(MIN(MAX(AP16,1),3),③기타_가정!$E$233,③기타_가정!$E$234,③기타_가정!$E$235))</f>
        <v>0</v>
      </c>
      <c r="AQ38" s="37" t="n">
        <f aca="false">(AQ14=1)*③기타_가정!$H$38*③기타_가정!$E$227*③기타_가정!$E$228/1000*(1+③기타_가정!$E$230)^INT((AQ15-1)/③기타_가정!$E$231)*(1-CHOOSE(MIN(MAX(AQ16,1),3),③기타_가정!$E$233,③기타_가정!$E$234,③기타_가정!$E$235))</f>
        <v>0</v>
      </c>
      <c r="AR38" s="37" t="n">
        <f aca="false">(AR14=1)*③기타_가정!$H$38*③기타_가정!$E$227*③기타_가정!$E$228/1000*(1+③기타_가정!$E$230)^INT((AR15-1)/③기타_가정!$E$231)*(1-CHOOSE(MIN(MAX(AR16,1),3),③기타_가정!$E$233,③기타_가정!$E$234,③기타_가정!$E$235))</f>
        <v>0</v>
      </c>
      <c r="AS38" s="37" t="n">
        <f aca="false">(AS14=1)*③기타_가정!$H$38*③기타_가정!$E$227*③기타_가정!$E$228/1000*(1+③기타_가정!$E$230)^INT((AS15-1)/③기타_가정!$E$231)*(1-CHOOSE(MIN(MAX(AS16,1),3),③기타_가정!$E$233,③기타_가정!$E$234,③기타_가정!$E$235))</f>
        <v>0</v>
      </c>
      <c r="AT38" s="37" t="n">
        <f aca="false">(AT14=1)*③기타_가정!$H$38*③기타_가정!$E$227*③기타_가정!$E$228/1000*(1+③기타_가정!$E$230)^INT((AT15-1)/③기타_가정!$E$231)*(1-CHOOSE(MIN(MAX(AT16,1),3),③기타_가정!$E$233,③기타_가정!$E$234,③기타_가정!$E$235))</f>
        <v>0</v>
      </c>
      <c r="AU38" s="37" t="n">
        <f aca="false">(AU14=1)*③기타_가정!$H$38*③기타_가정!$E$227*③기타_가정!$E$228/1000*(1+③기타_가정!$E$230)^INT((AU15-1)/③기타_가정!$E$231)*(1-CHOOSE(MIN(MAX(AU16,1),3),③기타_가정!$E$233,③기타_가정!$E$234,③기타_가정!$E$235))</f>
        <v>0</v>
      </c>
      <c r="AV38" s="37" t="n">
        <f aca="false">(AV14=1)*③기타_가정!$H$38*③기타_가정!$E$227*③기타_가정!$E$228/1000*(1+③기타_가정!$E$230)^INT((AV15-1)/③기타_가정!$E$231)*(1-CHOOSE(MIN(MAX(AV16,1),3),③기타_가정!$E$233,③기타_가정!$E$234,③기타_가정!$E$235))</f>
        <v>0</v>
      </c>
      <c r="AW38" s="37" t="n">
        <f aca="false">(AW14=1)*③기타_가정!$H$38*③기타_가정!$E$227*③기타_가정!$E$228/1000*(1+③기타_가정!$E$230)^INT((AW15-1)/③기타_가정!$E$231)*(1-CHOOSE(MIN(MAX(AW16,1),3),③기타_가정!$E$233,③기타_가정!$E$234,③기타_가정!$E$235))</f>
        <v>0</v>
      </c>
      <c r="AX38" s="37" t="n">
        <f aca="false">(AX14=1)*③기타_가정!$H$38*③기타_가정!$E$227*③기타_가정!$E$228/1000*(1+③기타_가정!$E$230)^INT((AX15-1)/③기타_가정!$E$231)*(1-CHOOSE(MIN(MAX(AX16,1),3),③기타_가정!$E$233,③기타_가정!$E$234,③기타_가정!$E$235))</f>
        <v>0</v>
      </c>
      <c r="AY38" s="37" t="n">
        <f aca="false">(AY14=1)*③기타_가정!$H$38*③기타_가정!$E$227*③기타_가정!$E$228/1000*(1+③기타_가정!$E$230)^INT((AY15-1)/③기타_가정!$E$231)*(1-CHOOSE(MIN(MAX(AY16,1),3),③기타_가정!$E$233,③기타_가정!$E$234,③기타_가정!$E$235))</f>
        <v>0</v>
      </c>
      <c r="AZ38" s="37" t="n">
        <f aca="false">(AZ14=1)*③기타_가정!$H$38*③기타_가정!$E$227*③기타_가정!$E$228/1000*(1+③기타_가정!$E$230)^INT((AZ15-1)/③기타_가정!$E$231)*(1-CHOOSE(MIN(MAX(AZ16,1),3),③기타_가정!$E$233,③기타_가정!$E$234,③기타_가정!$E$235))</f>
        <v>0</v>
      </c>
      <c r="BA38" s="37" t="n">
        <f aca="false">(BA14=1)*③기타_가정!$H$38*③기타_가정!$E$227*③기타_가정!$E$228/1000*(1+③기타_가정!$E$230)^INT((BA15-1)/③기타_가정!$E$231)*(1-CHOOSE(MIN(MAX(BA16,1),3),③기타_가정!$E$233,③기타_가정!$E$234,③기타_가정!$E$235))</f>
        <v>0</v>
      </c>
      <c r="BB38" s="37" t="n">
        <f aca="false">(BB14=1)*③기타_가정!$H$38*③기타_가정!$E$227*③기타_가정!$E$228/1000*(1+③기타_가정!$E$230)^INT((BB15-1)/③기타_가정!$E$231)*(1-CHOOSE(MIN(MAX(BB16,1),3),③기타_가정!$E$233,③기타_가정!$E$234,③기타_가정!$E$235))</f>
        <v>0</v>
      </c>
      <c r="BC38" s="37" t="n">
        <f aca="false">(BC14=1)*③기타_가정!$H$38*③기타_가정!$E$227*③기타_가정!$E$228/1000*(1+③기타_가정!$E$230)^INT((BC15-1)/③기타_가정!$E$231)*(1-CHOOSE(MIN(MAX(BC16,1),3),③기타_가정!$E$233,③기타_가정!$E$234,③기타_가정!$E$235))</f>
        <v>0</v>
      </c>
      <c r="BD38" s="37" t="n">
        <f aca="false">(BD14=1)*③기타_가정!$H$38*③기타_가정!$E$227*③기타_가정!$E$228/1000*(1+③기타_가정!$E$230)^INT((BD15-1)/③기타_가정!$E$231)*(1-CHOOSE(MIN(MAX(BD16,1),3),③기타_가정!$E$233,③기타_가정!$E$234,③기타_가정!$E$235))</f>
        <v>0</v>
      </c>
      <c r="BE38" s="37" t="n">
        <f aca="false">(BE14=1)*③기타_가정!$H$38*③기타_가정!$E$227*③기타_가정!$E$228/1000*(1+③기타_가정!$E$230)^INT((BE15-1)/③기타_가정!$E$231)*(1-CHOOSE(MIN(MAX(BE16,1),3),③기타_가정!$E$233,③기타_가정!$E$234,③기타_가정!$E$235))</f>
        <v>0</v>
      </c>
      <c r="BF38" s="37" t="n">
        <f aca="false">(BF14=1)*③기타_가정!$H$38*③기타_가정!$E$227*③기타_가정!$E$228/1000*(1+③기타_가정!$E$230)^INT((BF15-1)/③기타_가정!$E$231)*(1-CHOOSE(MIN(MAX(BF16,1),3),③기타_가정!$E$233,③기타_가정!$E$234,③기타_가정!$E$235))</f>
        <v>0</v>
      </c>
      <c r="BG38" s="37" t="n">
        <f aca="false">(BG14=1)*③기타_가정!$H$38*③기타_가정!$E$227*③기타_가정!$E$228/1000*(1+③기타_가정!$E$230)^INT((BG15-1)/③기타_가정!$E$231)*(1-CHOOSE(MIN(MAX(BG16,1),3),③기타_가정!$E$233,③기타_가정!$E$234,③기타_가정!$E$235))</f>
        <v>0</v>
      </c>
      <c r="BH38" s="37" t="n">
        <f aca="false">(BH14=1)*③기타_가정!$H$38*③기타_가정!$E$227*③기타_가정!$E$228/1000*(1+③기타_가정!$E$230)^INT((BH15-1)/③기타_가정!$E$231)*(1-CHOOSE(MIN(MAX(BH16,1),3),③기타_가정!$E$233,③기타_가정!$E$234,③기타_가정!$E$235))</f>
        <v>0</v>
      </c>
      <c r="BI38" s="37" t="n">
        <f aca="false">(BI14=1)*③기타_가정!$H$38*③기타_가정!$E$227*③기타_가정!$E$228/1000*(1+③기타_가정!$E$230)^INT((BI15-1)/③기타_가정!$E$231)*(1-CHOOSE(MIN(MAX(BI16,1),3),③기타_가정!$E$233,③기타_가정!$E$234,③기타_가정!$E$235))</f>
        <v>0</v>
      </c>
      <c r="BJ38" s="37" t="n">
        <f aca="false">(BJ14=1)*③기타_가정!$H$38*③기타_가정!$E$227*③기타_가정!$E$228/1000*(1+③기타_가정!$E$230)^INT((BJ15-1)/③기타_가정!$E$231)*(1-CHOOSE(MIN(MAX(BJ16,1),3),③기타_가정!$E$233,③기타_가정!$E$234,③기타_가정!$E$235))</f>
        <v>0</v>
      </c>
      <c r="BK38" s="37" t="n">
        <f aca="false">(BK14=1)*③기타_가정!$H$38*③기타_가정!$E$227*③기타_가정!$E$228/1000*(1+③기타_가정!$E$230)^INT((BK15-1)/③기타_가정!$E$231)*(1-CHOOSE(MIN(MAX(BK16,1),3),③기타_가정!$E$233,③기타_가정!$E$234,③기타_가정!$E$235))</f>
        <v>0</v>
      </c>
      <c r="BL38" s="37" t="n">
        <f aca="false">(BL14=1)*③기타_가정!$H$38*③기타_가정!$E$227*③기타_가정!$E$228/1000*(1+③기타_가정!$E$230)^INT((BL15-1)/③기타_가정!$E$231)*(1-CHOOSE(MIN(MAX(BL16,1),3),③기타_가정!$E$233,③기타_가정!$E$234,③기타_가정!$E$235))</f>
        <v>0</v>
      </c>
      <c r="BM38" s="37" t="n">
        <f aca="false">(BM14=1)*③기타_가정!$H$38*③기타_가정!$E$227*③기타_가정!$E$228/1000*(1+③기타_가정!$E$230)^INT((BM15-1)/③기타_가정!$E$231)*(1-CHOOSE(MIN(MAX(BM16,1),3),③기타_가정!$E$233,③기타_가정!$E$234,③기타_가정!$E$235))</f>
        <v>267.43203</v>
      </c>
      <c r="BN38" s="37" t="n">
        <f aca="false">(BN14=1)*③기타_가정!$H$38*③기타_가정!$E$227*③기타_가정!$E$228/1000*(1+③기타_가정!$E$230)^INT((BN15-1)/③기타_가정!$E$231)*(1-CHOOSE(MIN(MAX(BN16,1),3),③기타_가정!$E$233,③기타_가정!$E$234,③기타_가정!$E$235))</f>
        <v>267.43203</v>
      </c>
      <c r="BO38" s="37" t="n">
        <f aca="false">(BO14=1)*③기타_가정!$H$38*③기타_가정!$E$227*③기타_가정!$E$228/1000*(1+③기타_가정!$E$230)^INT((BO15-1)/③기타_가정!$E$231)*(1-CHOOSE(MIN(MAX(BO16,1),3),③기타_가정!$E$233,③기타_가정!$E$234,③기타_가정!$E$235))</f>
        <v>267.43203</v>
      </c>
      <c r="BP38" s="37" t="n">
        <f aca="false">(BP14=1)*③기타_가정!$H$38*③기타_가정!$E$227*③기타_가정!$E$228/1000*(1+③기타_가정!$E$230)^INT((BP15-1)/③기타_가정!$E$231)*(1-CHOOSE(MIN(MAX(BP16,1),3),③기타_가정!$E$233,③기타_가정!$E$234,③기타_가정!$E$235))</f>
        <v>267.43203</v>
      </c>
      <c r="BQ38" s="37" t="n">
        <f aca="false">(BQ14=1)*③기타_가정!$H$38*③기타_가정!$E$227*③기타_가정!$E$228/1000*(1+③기타_가정!$E$230)^INT((BQ15-1)/③기타_가정!$E$231)*(1-CHOOSE(MIN(MAX(BQ16,1),3),③기타_가정!$E$233,③기타_가정!$E$234,③기타_가정!$E$235))</f>
        <v>267.43203</v>
      </c>
      <c r="BR38" s="37" t="n">
        <f aca="false">(BR14=1)*③기타_가정!$H$38*③기타_가정!$E$227*③기타_가정!$E$228/1000*(1+③기타_가정!$E$230)^INT((BR15-1)/③기타_가정!$E$231)*(1-CHOOSE(MIN(MAX(BR16,1),3),③기타_가정!$E$233,③기타_가정!$E$234,③기타_가정!$E$235))</f>
        <v>267.43203</v>
      </c>
      <c r="BS38" s="37" t="n">
        <f aca="false">(BS14=1)*③기타_가정!$H$38*③기타_가정!$E$227*③기타_가정!$E$228/1000*(1+③기타_가정!$E$230)^INT((BS15-1)/③기타_가정!$E$231)*(1-CHOOSE(MIN(MAX(BS16,1),3),③기타_가정!$E$233,③기타_가정!$E$234,③기타_가정!$E$235))</f>
        <v>267.43203</v>
      </c>
      <c r="BT38" s="37" t="n">
        <f aca="false">(BT14=1)*③기타_가정!$H$38*③기타_가정!$E$227*③기타_가정!$E$228/1000*(1+③기타_가정!$E$230)^INT((BT15-1)/③기타_가정!$E$231)*(1-CHOOSE(MIN(MAX(BT16,1),3),③기타_가정!$E$233,③기타_가정!$E$234,③기타_가정!$E$235))</f>
        <v>267.43203</v>
      </c>
      <c r="BU38" s="37" t="n">
        <f aca="false">(BU14=1)*③기타_가정!$H$38*③기타_가정!$E$227*③기타_가정!$E$228/1000*(1+③기타_가정!$E$230)^INT((BU15-1)/③기타_가정!$E$231)*(1-CHOOSE(MIN(MAX(BU16,1),3),③기타_가정!$E$233,③기타_가정!$E$234,③기타_가정!$E$235))</f>
        <v>267.43203</v>
      </c>
      <c r="BV38" s="37" t="n">
        <f aca="false">(BV14=1)*③기타_가정!$H$38*③기타_가정!$E$227*③기타_가정!$E$228/1000*(1+③기타_가정!$E$230)^INT((BV15-1)/③기타_가정!$E$231)*(1-CHOOSE(MIN(MAX(BV16,1),3),③기타_가정!$E$233,③기타_가정!$E$234,③기타_가정!$E$235))</f>
        <v>267.43203</v>
      </c>
      <c r="BW38" s="37" t="n">
        <f aca="false">(BW14=1)*③기타_가정!$H$38*③기타_가정!$E$227*③기타_가정!$E$228/1000*(1+③기타_가정!$E$230)^INT((BW15-1)/③기타_가정!$E$231)*(1-CHOOSE(MIN(MAX(BW16,1),3),③기타_가정!$E$233,③기타_가정!$E$234,③기타_가정!$E$235))</f>
        <v>267.43203</v>
      </c>
      <c r="BX38" s="37" t="n">
        <f aca="false">(BX14=1)*③기타_가정!$H$38*③기타_가정!$E$227*③기타_가정!$E$228/1000*(1+③기타_가정!$E$230)^INT((BX15-1)/③기타_가정!$E$231)*(1-CHOOSE(MIN(MAX(BX16,1),3),③기타_가정!$E$233,③기타_가정!$E$234,③기타_가정!$E$235))</f>
        <v>267.43203</v>
      </c>
      <c r="BY38" s="37" t="n">
        <f aca="false">(BY14=1)*③기타_가정!$H$38*③기타_가정!$E$227*③기타_가정!$E$228/1000*(1+③기타_가정!$E$230)^INT((BY15-1)/③기타_가정!$E$231)*(1-CHOOSE(MIN(MAX(BY16,1),3),③기타_가정!$E$233,③기타_가정!$E$234,③기타_가정!$E$235))</f>
        <v>272.7806706</v>
      </c>
      <c r="BZ38" s="37" t="n">
        <f aca="false">(BZ14=1)*③기타_가정!$H$38*③기타_가정!$E$227*③기타_가정!$E$228/1000*(1+③기타_가정!$E$230)^INT((BZ15-1)/③기타_가정!$E$231)*(1-CHOOSE(MIN(MAX(BZ16,1),3),③기타_가정!$E$233,③기타_가정!$E$234,③기타_가정!$E$235))</f>
        <v>272.7806706</v>
      </c>
      <c r="CA38" s="37" t="n">
        <f aca="false">(CA14=1)*③기타_가정!$H$38*③기타_가정!$E$227*③기타_가정!$E$228/1000*(1+③기타_가정!$E$230)^INT((CA15-1)/③기타_가정!$E$231)*(1-CHOOSE(MIN(MAX(CA16,1),3),③기타_가정!$E$233,③기타_가정!$E$234,③기타_가정!$E$235))</f>
        <v>272.7806706</v>
      </c>
      <c r="CB38" s="37" t="n">
        <f aca="false">(CB14=1)*③기타_가정!$H$38*③기타_가정!$E$227*③기타_가정!$E$228/1000*(1+③기타_가정!$E$230)^INT((CB15-1)/③기타_가정!$E$231)*(1-CHOOSE(MIN(MAX(CB16,1),3),③기타_가정!$E$233,③기타_가정!$E$234,③기타_가정!$E$235))</f>
        <v>272.7806706</v>
      </c>
      <c r="CC38" s="37" t="n">
        <f aca="false">(CC14=1)*③기타_가정!$H$38*③기타_가정!$E$227*③기타_가정!$E$228/1000*(1+③기타_가정!$E$230)^INT((CC15-1)/③기타_가정!$E$231)*(1-CHOOSE(MIN(MAX(CC16,1),3),③기타_가정!$E$233,③기타_가정!$E$234,③기타_가정!$E$235))</f>
        <v>272.7806706</v>
      </c>
      <c r="CD38" s="37" t="n">
        <f aca="false">(CD14=1)*③기타_가정!$H$38*③기타_가정!$E$227*③기타_가정!$E$228/1000*(1+③기타_가정!$E$230)^INT((CD15-1)/③기타_가정!$E$231)*(1-CHOOSE(MIN(MAX(CD16,1),3),③기타_가정!$E$233,③기타_가정!$E$234,③기타_가정!$E$235))</f>
        <v>272.7806706</v>
      </c>
      <c r="CE38" s="37" t="n">
        <f aca="false">(CE14=1)*③기타_가정!$H$38*③기타_가정!$E$227*③기타_가정!$E$228/1000*(1+③기타_가정!$E$230)^INT((CE15-1)/③기타_가정!$E$231)*(1-CHOOSE(MIN(MAX(CE16,1),3),③기타_가정!$E$233,③기타_가정!$E$234,③기타_가정!$E$235))</f>
        <v>272.7806706</v>
      </c>
      <c r="CF38" s="37" t="n">
        <f aca="false">(CF14=1)*③기타_가정!$H$38*③기타_가정!$E$227*③기타_가정!$E$228/1000*(1+③기타_가정!$E$230)^INT((CF15-1)/③기타_가정!$E$231)*(1-CHOOSE(MIN(MAX(CF16,1),3),③기타_가정!$E$233,③기타_가정!$E$234,③기타_가정!$E$235))</f>
        <v>272.7806706</v>
      </c>
      <c r="CG38" s="37" t="n">
        <f aca="false">(CG14=1)*③기타_가정!$H$38*③기타_가정!$E$227*③기타_가정!$E$228/1000*(1+③기타_가정!$E$230)^INT((CG15-1)/③기타_가정!$E$231)*(1-CHOOSE(MIN(MAX(CG16,1),3),③기타_가정!$E$233,③기타_가정!$E$234,③기타_가정!$E$235))</f>
        <v>272.7806706</v>
      </c>
      <c r="CH38" s="37" t="n">
        <f aca="false">(CH14=1)*③기타_가정!$H$38*③기타_가정!$E$227*③기타_가정!$E$228/1000*(1+③기타_가정!$E$230)^INT((CH15-1)/③기타_가정!$E$231)*(1-CHOOSE(MIN(MAX(CH16,1),3),③기타_가정!$E$233,③기타_가정!$E$234,③기타_가정!$E$235))</f>
        <v>272.7806706</v>
      </c>
      <c r="CI38" s="37" t="n">
        <f aca="false">(CI14=1)*③기타_가정!$H$38*③기타_가정!$E$227*③기타_가정!$E$228/1000*(1+③기타_가정!$E$230)^INT((CI15-1)/③기타_가정!$E$231)*(1-CHOOSE(MIN(MAX(CI16,1),3),③기타_가정!$E$233,③기타_가정!$E$234,③기타_가정!$E$235))</f>
        <v>272.7806706</v>
      </c>
      <c r="CJ38" s="37" t="n">
        <f aca="false">(CJ14=1)*③기타_가정!$H$38*③기타_가정!$E$227*③기타_가정!$E$228/1000*(1+③기타_가정!$E$230)^INT((CJ15-1)/③기타_가정!$E$231)*(1-CHOOSE(MIN(MAX(CJ16,1),3),③기타_가정!$E$233,③기타_가정!$E$234,③기타_가정!$E$235))</f>
        <v>272.7806706</v>
      </c>
      <c r="CK38" s="37" t="n">
        <f aca="false">(CK14=1)*③기타_가정!$H$38*③기타_가정!$E$227*③기타_가정!$E$228/1000*(1+③기타_가정!$E$230)^INT((CK15-1)/③기타_가정!$E$231)*(1-CHOOSE(MIN(MAX(CK16,1),3),③기타_가정!$E$233,③기타_가정!$E$234,③기타_가정!$E$235))</f>
        <v>278.236284012</v>
      </c>
      <c r="CL38" s="37" t="n">
        <f aca="false">(CL14=1)*③기타_가정!$H$38*③기타_가정!$E$227*③기타_가정!$E$228/1000*(1+③기타_가정!$E$230)^INT((CL15-1)/③기타_가정!$E$231)*(1-CHOOSE(MIN(MAX(CL16,1),3),③기타_가정!$E$233,③기타_가정!$E$234,③기타_가정!$E$235))</f>
        <v>278.236284012</v>
      </c>
      <c r="CM38" s="37" t="n">
        <f aca="false">(CM14=1)*③기타_가정!$H$38*③기타_가정!$E$227*③기타_가정!$E$228/1000*(1+③기타_가정!$E$230)^INT((CM15-1)/③기타_가정!$E$231)*(1-CHOOSE(MIN(MAX(CM16,1),3),③기타_가정!$E$233,③기타_가정!$E$234,③기타_가정!$E$235))</f>
        <v>278.236284012</v>
      </c>
      <c r="CN38" s="37" t="n">
        <f aca="false">(CN14=1)*③기타_가정!$H$38*③기타_가정!$E$227*③기타_가정!$E$228/1000*(1+③기타_가정!$E$230)^INT((CN15-1)/③기타_가정!$E$231)*(1-CHOOSE(MIN(MAX(CN16,1),3),③기타_가정!$E$233,③기타_가정!$E$234,③기타_가정!$E$235))</f>
        <v>278.236284012</v>
      </c>
      <c r="CO38" s="37" t="n">
        <f aca="false">(CO14=1)*③기타_가정!$H$38*③기타_가정!$E$227*③기타_가정!$E$228/1000*(1+③기타_가정!$E$230)^INT((CO15-1)/③기타_가정!$E$231)*(1-CHOOSE(MIN(MAX(CO16,1),3),③기타_가정!$E$233,③기타_가정!$E$234,③기타_가정!$E$235))</f>
        <v>278.236284012</v>
      </c>
      <c r="CP38" s="37" t="n">
        <f aca="false">(CP14=1)*③기타_가정!$H$38*③기타_가정!$E$227*③기타_가정!$E$228/1000*(1+③기타_가정!$E$230)^INT((CP15-1)/③기타_가정!$E$231)*(1-CHOOSE(MIN(MAX(CP16,1),3),③기타_가정!$E$233,③기타_가정!$E$234,③기타_가정!$E$235))</f>
        <v>278.236284012</v>
      </c>
      <c r="CQ38" s="37" t="n">
        <f aca="false">(CQ14=1)*③기타_가정!$H$38*③기타_가정!$E$227*③기타_가정!$E$228/1000*(1+③기타_가정!$E$230)^INT((CQ15-1)/③기타_가정!$E$231)*(1-CHOOSE(MIN(MAX(CQ16,1),3),③기타_가정!$E$233,③기타_가정!$E$234,③기타_가정!$E$235))</f>
        <v>278.236284012</v>
      </c>
      <c r="CR38" s="37" t="n">
        <f aca="false">(CR14=1)*③기타_가정!$H$38*③기타_가정!$E$227*③기타_가정!$E$228/1000*(1+③기타_가정!$E$230)^INT((CR15-1)/③기타_가정!$E$231)*(1-CHOOSE(MIN(MAX(CR16,1),3),③기타_가정!$E$233,③기타_가정!$E$234,③기타_가정!$E$235))</f>
        <v>278.236284012</v>
      </c>
      <c r="CS38" s="37" t="n">
        <f aca="false">(CS14=1)*③기타_가정!$H$38*③기타_가정!$E$227*③기타_가정!$E$228/1000*(1+③기타_가정!$E$230)^INT((CS15-1)/③기타_가정!$E$231)*(1-CHOOSE(MIN(MAX(CS16,1),3),③기타_가정!$E$233,③기타_가정!$E$234,③기타_가정!$E$235))</f>
        <v>278.236284012</v>
      </c>
      <c r="CT38" s="37" t="n">
        <f aca="false">(CT14=1)*③기타_가정!$H$38*③기타_가정!$E$227*③기타_가정!$E$228/1000*(1+③기타_가정!$E$230)^INT((CT15-1)/③기타_가정!$E$231)*(1-CHOOSE(MIN(MAX(CT16,1),3),③기타_가정!$E$233,③기타_가정!$E$234,③기타_가정!$E$235))</f>
        <v>278.236284012</v>
      </c>
      <c r="CU38" s="37" t="n">
        <f aca="false">(CU14=1)*③기타_가정!$H$38*③기타_가정!$E$227*③기타_가정!$E$228/1000*(1+③기타_가정!$E$230)^INT((CU15-1)/③기타_가정!$E$231)*(1-CHOOSE(MIN(MAX(CU16,1),3),③기타_가정!$E$233,③기타_가정!$E$234,③기타_가정!$E$235))</f>
        <v>278.236284012</v>
      </c>
      <c r="CV38" s="37" t="n">
        <f aca="false">(CV14=1)*③기타_가정!$H$38*③기타_가정!$E$227*③기타_가정!$E$228/1000*(1+③기타_가정!$E$230)^INT((CV15-1)/③기타_가정!$E$231)*(1-CHOOSE(MIN(MAX(CV16,1),3),③기타_가정!$E$233,③기타_가정!$E$234,③기타_가정!$E$235))</f>
        <v>278.236284012</v>
      </c>
      <c r="CW38" s="37" t="n">
        <f aca="false">(CW14=1)*③기타_가정!$H$38*③기타_가정!$E$227*③기타_가정!$E$228/1000*(1+③기타_가정!$E$230)^INT((CW15-1)/③기타_가정!$E$231)*(1-CHOOSE(MIN(MAX(CW16,1),3),③기타_가정!$E$233,③기타_가정!$E$234,③기타_가정!$E$235))</f>
        <v>283.80100969224</v>
      </c>
      <c r="CX38" s="37" t="n">
        <f aca="false">(CX14=1)*③기타_가정!$H$38*③기타_가정!$E$227*③기타_가정!$E$228/1000*(1+③기타_가정!$E$230)^INT((CX15-1)/③기타_가정!$E$231)*(1-CHOOSE(MIN(MAX(CX16,1),3),③기타_가정!$E$233,③기타_가정!$E$234,③기타_가정!$E$235))</f>
        <v>283.80100969224</v>
      </c>
      <c r="CY38" s="37" t="n">
        <f aca="false">(CY14=1)*③기타_가정!$H$38*③기타_가정!$E$227*③기타_가정!$E$228/1000*(1+③기타_가정!$E$230)^INT((CY15-1)/③기타_가정!$E$231)*(1-CHOOSE(MIN(MAX(CY16,1),3),③기타_가정!$E$233,③기타_가정!$E$234,③기타_가정!$E$235))</f>
        <v>283.80100969224</v>
      </c>
      <c r="CZ38" s="37" t="n">
        <f aca="false">(CZ14=1)*③기타_가정!$H$38*③기타_가정!$E$227*③기타_가정!$E$228/1000*(1+③기타_가정!$E$230)^INT((CZ15-1)/③기타_가정!$E$231)*(1-CHOOSE(MIN(MAX(CZ16,1),3),③기타_가정!$E$233,③기타_가정!$E$234,③기타_가정!$E$235))</f>
        <v>283.80100969224</v>
      </c>
      <c r="DA38" s="37" t="n">
        <f aca="false">(DA14=1)*③기타_가정!$H$38*③기타_가정!$E$227*③기타_가정!$E$228/1000*(1+③기타_가정!$E$230)^INT((DA15-1)/③기타_가정!$E$231)*(1-CHOOSE(MIN(MAX(DA16,1),3),③기타_가정!$E$233,③기타_가정!$E$234,③기타_가정!$E$235))</f>
        <v>283.80100969224</v>
      </c>
      <c r="DB38" s="37" t="n">
        <f aca="false">(DB14=1)*③기타_가정!$H$38*③기타_가정!$E$227*③기타_가정!$E$228/1000*(1+③기타_가정!$E$230)^INT((DB15-1)/③기타_가정!$E$231)*(1-CHOOSE(MIN(MAX(DB16,1),3),③기타_가정!$E$233,③기타_가정!$E$234,③기타_가정!$E$235))</f>
        <v>283.80100969224</v>
      </c>
      <c r="DC38" s="37" t="n">
        <f aca="false">(DC14=1)*③기타_가정!$H$38*③기타_가정!$E$227*③기타_가정!$E$228/1000*(1+③기타_가정!$E$230)^INT((DC15-1)/③기타_가정!$E$231)*(1-CHOOSE(MIN(MAX(DC16,1),3),③기타_가정!$E$233,③기타_가정!$E$234,③기타_가정!$E$235))</f>
        <v>283.80100969224</v>
      </c>
      <c r="DD38" s="37" t="n">
        <f aca="false">(DD14=1)*③기타_가정!$H$38*③기타_가정!$E$227*③기타_가정!$E$228/1000*(1+③기타_가정!$E$230)^INT((DD15-1)/③기타_가정!$E$231)*(1-CHOOSE(MIN(MAX(DD16,1),3),③기타_가정!$E$233,③기타_가정!$E$234,③기타_가정!$E$235))</f>
        <v>283.80100969224</v>
      </c>
      <c r="DE38" s="37" t="n">
        <f aca="false">(DE14=1)*③기타_가정!$H$38*③기타_가정!$E$227*③기타_가정!$E$228/1000*(1+③기타_가정!$E$230)^INT((DE15-1)/③기타_가정!$E$231)*(1-CHOOSE(MIN(MAX(DE16,1),3),③기타_가정!$E$233,③기타_가정!$E$234,③기타_가정!$E$235))</f>
        <v>283.80100969224</v>
      </c>
      <c r="DF38" s="37" t="n">
        <f aca="false">(DF14=1)*③기타_가정!$H$38*③기타_가정!$E$227*③기타_가정!$E$228/1000*(1+③기타_가정!$E$230)^INT((DF15-1)/③기타_가정!$E$231)*(1-CHOOSE(MIN(MAX(DF16,1),3),③기타_가정!$E$233,③기타_가정!$E$234,③기타_가정!$E$235))</f>
        <v>283.80100969224</v>
      </c>
      <c r="DG38" s="37" t="n">
        <f aca="false">(DG14=1)*③기타_가정!$H$38*③기타_가정!$E$227*③기타_가정!$E$228/1000*(1+③기타_가정!$E$230)^INT((DG15-1)/③기타_가정!$E$231)*(1-CHOOSE(MIN(MAX(DG16,1),3),③기타_가정!$E$233,③기타_가정!$E$234,③기타_가정!$E$235))</f>
        <v>283.80100969224</v>
      </c>
      <c r="DH38" s="37" t="n">
        <f aca="false">(DH14=1)*③기타_가정!$H$38*③기타_가정!$E$227*③기타_가정!$E$228/1000*(1+③기타_가정!$E$230)^INT((DH15-1)/③기타_가정!$E$231)*(1-CHOOSE(MIN(MAX(DH16,1),3),③기타_가정!$E$233,③기타_가정!$E$234,③기타_가정!$E$235))</f>
        <v>283.80100969224</v>
      </c>
      <c r="DI38" s="37" t="n">
        <f aca="false">(DI14=1)*③기타_가정!$H$38*③기타_가정!$E$227*③기타_가정!$E$228/1000*(1+③기타_가정!$E$230)^INT((DI15-1)/③기타_가정!$E$231)*(1-CHOOSE(MIN(MAX(DI16,1),3),③기타_가정!$E$233,③기타_가정!$E$234,③기타_가정!$E$235))</f>
        <v>289.477029886085</v>
      </c>
      <c r="DJ38" s="37" t="n">
        <f aca="false">(DJ14=1)*③기타_가정!$H$38*③기타_가정!$E$227*③기타_가정!$E$228/1000*(1+③기타_가정!$E$230)^INT((DJ15-1)/③기타_가정!$E$231)*(1-CHOOSE(MIN(MAX(DJ16,1),3),③기타_가정!$E$233,③기타_가정!$E$234,③기타_가정!$E$235))</f>
        <v>289.477029886085</v>
      </c>
      <c r="DK38" s="37" t="n">
        <f aca="false">(DK14=1)*③기타_가정!$H$38*③기타_가정!$E$227*③기타_가정!$E$228/1000*(1+③기타_가정!$E$230)^INT((DK15-1)/③기타_가정!$E$231)*(1-CHOOSE(MIN(MAX(DK16,1),3),③기타_가정!$E$233,③기타_가정!$E$234,③기타_가정!$E$235))</f>
        <v>289.477029886085</v>
      </c>
      <c r="DL38" s="37" t="n">
        <f aca="false">(DL14=1)*③기타_가정!$H$38*③기타_가정!$E$227*③기타_가정!$E$228/1000*(1+③기타_가정!$E$230)^INT((DL15-1)/③기타_가정!$E$231)*(1-CHOOSE(MIN(MAX(DL16,1),3),③기타_가정!$E$233,③기타_가정!$E$234,③기타_가정!$E$235))</f>
        <v>289.477029886085</v>
      </c>
      <c r="DM38" s="37" t="n">
        <f aca="false">(DM14=1)*③기타_가정!$H$38*③기타_가정!$E$227*③기타_가정!$E$228/1000*(1+③기타_가정!$E$230)^INT((DM15-1)/③기타_가정!$E$231)*(1-CHOOSE(MIN(MAX(DM16,1),3),③기타_가정!$E$233,③기타_가정!$E$234,③기타_가정!$E$235))</f>
        <v>289.477029886085</v>
      </c>
      <c r="DN38" s="37" t="n">
        <f aca="false">(DN14=1)*③기타_가정!$H$38*③기타_가정!$E$227*③기타_가정!$E$228/1000*(1+③기타_가정!$E$230)^INT((DN15-1)/③기타_가정!$E$231)*(1-CHOOSE(MIN(MAX(DN16,1),3),③기타_가정!$E$233,③기타_가정!$E$234,③기타_가정!$E$235))</f>
        <v>289.477029886085</v>
      </c>
      <c r="DO38" s="37" t="n">
        <f aca="false">(DO14=1)*③기타_가정!$H$38*③기타_가정!$E$227*③기타_가정!$E$228/1000*(1+③기타_가정!$E$230)^INT((DO15-1)/③기타_가정!$E$231)*(1-CHOOSE(MIN(MAX(DO16,1),3),③기타_가정!$E$233,③기타_가정!$E$234,③기타_가정!$E$235))</f>
        <v>289.477029886085</v>
      </c>
      <c r="DP38" s="37" t="n">
        <f aca="false">(DP14=1)*③기타_가정!$H$38*③기타_가정!$E$227*③기타_가정!$E$228/1000*(1+③기타_가정!$E$230)^INT((DP15-1)/③기타_가정!$E$231)*(1-CHOOSE(MIN(MAX(DP16,1),3),③기타_가정!$E$233,③기타_가정!$E$234,③기타_가정!$E$235))</f>
        <v>289.477029886085</v>
      </c>
      <c r="DQ38" s="37" t="n">
        <f aca="false">(DQ14=1)*③기타_가정!$H$38*③기타_가정!$E$227*③기타_가정!$E$228/1000*(1+③기타_가정!$E$230)^INT((DQ15-1)/③기타_가정!$E$231)*(1-CHOOSE(MIN(MAX(DQ16,1),3),③기타_가정!$E$233,③기타_가정!$E$234,③기타_가정!$E$235))</f>
        <v>289.477029886085</v>
      </c>
      <c r="DR38" s="37" t="n">
        <f aca="false">(DR14=1)*③기타_가정!$H$38*③기타_가정!$E$227*③기타_가정!$E$228/1000*(1+③기타_가정!$E$230)^INT((DR15-1)/③기타_가정!$E$231)*(1-CHOOSE(MIN(MAX(DR16,1),3),③기타_가정!$E$233,③기타_가정!$E$234,③기타_가정!$E$235))</f>
        <v>289.477029886085</v>
      </c>
      <c r="DS38" s="37" t="n">
        <f aca="false">(DS14=1)*③기타_가정!$H$38*③기타_가정!$E$227*③기타_가정!$E$228/1000*(1+③기타_가정!$E$230)^INT((DS15-1)/③기타_가정!$E$231)*(1-CHOOSE(MIN(MAX(DS16,1),3),③기타_가정!$E$233,③기타_가정!$E$234,③기타_가정!$E$235))</f>
        <v>289.477029886085</v>
      </c>
      <c r="DT38" s="37" t="n">
        <f aca="false">(DT14=1)*③기타_가정!$H$38*③기타_가정!$E$227*③기타_가정!$E$228/1000*(1+③기타_가정!$E$230)^INT((DT15-1)/③기타_가정!$E$231)*(1-CHOOSE(MIN(MAX(DT16,1),3),③기타_가정!$E$233,③기타_가정!$E$234,③기타_가정!$E$235))</f>
        <v>289.477029886085</v>
      </c>
      <c r="DU38" s="37" t="n">
        <f aca="false">(DU14=1)*③기타_가정!$H$38*③기타_가정!$E$227*③기타_가정!$E$228/1000*(1+③기타_가정!$E$230)^INT((DU15-1)/③기타_가정!$E$231)*(1-CHOOSE(MIN(MAX(DU16,1),3),③기타_가정!$E$233,③기타_가정!$E$234,③기타_가정!$E$235))</f>
        <v>0</v>
      </c>
      <c r="DV38" s="37" t="n">
        <f aca="false">(DV14=1)*③기타_가정!$H$38*③기타_가정!$E$227*③기타_가정!$E$228/1000*(1+③기타_가정!$E$230)^INT((DV15-1)/③기타_가정!$E$231)*(1-CHOOSE(MIN(MAX(DV16,1),3),③기타_가정!$E$233,③기타_가정!$E$234,③기타_가정!$E$235))</f>
        <v>0</v>
      </c>
      <c r="DW38" s="37" t="n">
        <f aca="false">(DW14=1)*③기타_가정!$H$38*③기타_가정!$E$227*③기타_가정!$E$228/1000*(1+③기타_가정!$E$230)^INT((DW15-1)/③기타_가정!$E$231)*(1-CHOOSE(MIN(MAX(DW16,1),3),③기타_가정!$E$233,③기타_가정!$E$234,③기타_가정!$E$235))</f>
        <v>0</v>
      </c>
      <c r="DX38" s="37" t="n">
        <f aca="false">(DX14=1)*③기타_가정!$H$38*③기타_가정!$E$227*③기타_가정!$E$228/1000*(1+③기타_가정!$E$230)^INT((DX15-1)/③기타_가정!$E$231)*(1-CHOOSE(MIN(MAX(DX16,1),3),③기타_가정!$E$233,③기타_가정!$E$234,③기타_가정!$E$235))</f>
        <v>0</v>
      </c>
      <c r="DY38" s="37" t="n">
        <f aca="false">(DY14=1)*③기타_가정!$H$38*③기타_가정!$E$227*③기타_가정!$E$228/1000*(1+③기타_가정!$E$230)^INT((DY15-1)/③기타_가정!$E$231)*(1-CHOOSE(MIN(MAX(DY16,1),3),③기타_가정!$E$233,③기타_가정!$E$234,③기타_가정!$E$235))</f>
        <v>0</v>
      </c>
      <c r="DZ38" s="37" t="n">
        <f aca="false">(DZ14=1)*③기타_가정!$H$38*③기타_가정!$E$227*③기타_가정!$E$228/1000*(1+③기타_가정!$E$230)^INT((DZ15-1)/③기타_가정!$E$231)*(1-CHOOSE(MIN(MAX(DZ16,1),3),③기타_가정!$E$233,③기타_가정!$E$234,③기타_가정!$E$235))</f>
        <v>0</v>
      </c>
      <c r="EA38" s="37" t="n">
        <f aca="false">(EA14=1)*③기타_가정!$H$38*③기타_가정!$E$227*③기타_가정!$E$228/1000*(1+③기타_가정!$E$230)^INT((EA15-1)/③기타_가정!$E$231)*(1-CHOOSE(MIN(MAX(EA16,1),3),③기타_가정!$E$233,③기타_가정!$E$234,③기타_가정!$E$235))</f>
        <v>0</v>
      </c>
      <c r="EB38" s="37" t="n">
        <f aca="false">(EB14=1)*③기타_가정!$H$38*③기타_가정!$E$227*③기타_가정!$E$228/1000*(1+③기타_가정!$E$230)^INT((EB15-1)/③기타_가정!$E$231)*(1-CHOOSE(MIN(MAX(EB16,1),3),③기타_가정!$E$233,③기타_가정!$E$234,③기타_가정!$E$235))</f>
        <v>0</v>
      </c>
      <c r="EC38" s="37" t="n">
        <f aca="false">(EC14=1)*③기타_가정!$H$38*③기타_가정!$E$227*③기타_가정!$E$228/1000*(1+③기타_가정!$E$230)^INT((EC15-1)/③기타_가정!$E$231)*(1-CHOOSE(MIN(MAX(EC16,1),3),③기타_가정!$E$233,③기타_가정!$E$234,③기타_가정!$E$235))</f>
        <v>0</v>
      </c>
      <c r="ED38" s="37" t="n">
        <f aca="false">(ED14=1)*③기타_가정!$H$38*③기타_가정!$E$227*③기타_가정!$E$228/1000*(1+③기타_가정!$E$230)^INT((ED15-1)/③기타_가정!$E$231)*(1-CHOOSE(MIN(MAX(ED16,1),3),③기타_가정!$E$233,③기타_가정!$E$234,③기타_가정!$E$235))</f>
        <v>0</v>
      </c>
      <c r="EE38" s="37" t="n">
        <f aca="false">(EE14=1)*③기타_가정!$H$38*③기타_가정!$E$227*③기타_가정!$E$228/1000*(1+③기타_가정!$E$230)^INT((EE15-1)/③기타_가정!$E$231)*(1-CHOOSE(MIN(MAX(EE16,1),3),③기타_가정!$E$233,③기타_가정!$E$234,③기타_가정!$E$235))</f>
        <v>0</v>
      </c>
      <c r="EF38" s="37" t="n">
        <f aca="false">(EF14=1)*③기타_가정!$H$38*③기타_가정!$E$227*③기타_가정!$E$228/1000*(1+③기타_가정!$E$230)^INT((EF15-1)/③기타_가정!$E$231)*(1-CHOOSE(MIN(MAX(EF16,1),3),③기타_가정!$E$233,③기타_가정!$E$234,③기타_가정!$E$235))</f>
        <v>0</v>
      </c>
    </row>
    <row r="39" customFormat="false" ht="15" hidden="false" customHeight="false" outlineLevel="0" collapsed="false">
      <c r="A39" s="36" t="s">
        <v>589</v>
      </c>
      <c r="B39" s="278" t="s">
        <v>21</v>
      </c>
      <c r="C39" s="279" t="n">
        <f aca="false">SUM(E39:EF39)</f>
        <v>4436.2652174185</v>
      </c>
      <c r="E39" s="37" t="n">
        <f aca="false">(E14=1)*③기타_가정!$H$38*③기타_가정!$E$240*③기타_가정!$E$241/1000*(1+③기타_가정!$E$243)^INT((E15-1)/③기타_가정!$E$244)*(1-CHOOSE(MIN(MAX(E16,1),3),③기타_가정!$E$246,③기타_가정!$E$247,③기타_가정!$E$248))</f>
        <v>0</v>
      </c>
      <c r="F39" s="37" t="n">
        <f aca="false">(F14=1)*③기타_가정!$H$38*③기타_가정!$E$240*③기타_가정!$E$241/1000*(1+③기타_가정!$E$243)^INT((F15-1)/③기타_가정!$E$244)*(1-CHOOSE(MIN(MAX(F16,1),3),③기타_가정!$E$246,③기타_가정!$E$247,③기타_가정!$E$248))</f>
        <v>0</v>
      </c>
      <c r="G39" s="37" t="n">
        <f aca="false">(G14=1)*③기타_가정!$H$38*③기타_가정!$E$240*③기타_가정!$E$241/1000*(1+③기타_가정!$E$243)^INT((G15-1)/③기타_가정!$E$244)*(1-CHOOSE(MIN(MAX(G16,1),3),③기타_가정!$E$246,③기타_가정!$E$247,③기타_가정!$E$248))</f>
        <v>0</v>
      </c>
      <c r="H39" s="37" t="n">
        <f aca="false">(H14=1)*③기타_가정!$H$38*③기타_가정!$E$240*③기타_가정!$E$241/1000*(1+③기타_가정!$E$243)^INT((H15-1)/③기타_가정!$E$244)*(1-CHOOSE(MIN(MAX(H16,1),3),③기타_가정!$E$246,③기타_가정!$E$247,③기타_가정!$E$248))</f>
        <v>0</v>
      </c>
      <c r="I39" s="37" t="n">
        <f aca="false">(I14=1)*③기타_가정!$H$38*③기타_가정!$E$240*③기타_가정!$E$241/1000*(1+③기타_가정!$E$243)^INT((I15-1)/③기타_가정!$E$244)*(1-CHOOSE(MIN(MAX(I16,1),3),③기타_가정!$E$246,③기타_가정!$E$247,③기타_가정!$E$248))</f>
        <v>0</v>
      </c>
      <c r="J39" s="37" t="n">
        <f aca="false">(J14=1)*③기타_가정!$H$38*③기타_가정!$E$240*③기타_가정!$E$241/1000*(1+③기타_가정!$E$243)^INT((J15-1)/③기타_가정!$E$244)*(1-CHOOSE(MIN(MAX(J16,1),3),③기타_가정!$E$246,③기타_가정!$E$247,③기타_가정!$E$248))</f>
        <v>0</v>
      </c>
      <c r="K39" s="37" t="n">
        <f aca="false">(K14=1)*③기타_가정!$H$38*③기타_가정!$E$240*③기타_가정!$E$241/1000*(1+③기타_가정!$E$243)^INT((K15-1)/③기타_가정!$E$244)*(1-CHOOSE(MIN(MAX(K16,1),3),③기타_가정!$E$246,③기타_가정!$E$247,③기타_가정!$E$248))</f>
        <v>0</v>
      </c>
      <c r="L39" s="37" t="n">
        <f aca="false">(L14=1)*③기타_가정!$H$38*③기타_가정!$E$240*③기타_가정!$E$241/1000*(1+③기타_가정!$E$243)^INT((L15-1)/③기타_가정!$E$244)*(1-CHOOSE(MIN(MAX(L16,1),3),③기타_가정!$E$246,③기타_가정!$E$247,③기타_가정!$E$248))</f>
        <v>0</v>
      </c>
      <c r="M39" s="37" t="n">
        <f aca="false">(M14=1)*③기타_가정!$H$38*③기타_가정!$E$240*③기타_가정!$E$241/1000*(1+③기타_가정!$E$243)^INT((M15-1)/③기타_가정!$E$244)*(1-CHOOSE(MIN(MAX(M16,1),3),③기타_가정!$E$246,③기타_가정!$E$247,③기타_가정!$E$248))</f>
        <v>0</v>
      </c>
      <c r="N39" s="37" t="n">
        <f aca="false">(N14=1)*③기타_가정!$H$38*③기타_가정!$E$240*③기타_가정!$E$241/1000*(1+③기타_가정!$E$243)^INT((N15-1)/③기타_가정!$E$244)*(1-CHOOSE(MIN(MAX(N16,1),3),③기타_가정!$E$246,③기타_가정!$E$247,③기타_가정!$E$248))</f>
        <v>0</v>
      </c>
      <c r="O39" s="37" t="n">
        <f aca="false">(O14=1)*③기타_가정!$H$38*③기타_가정!$E$240*③기타_가정!$E$241/1000*(1+③기타_가정!$E$243)^INT((O15-1)/③기타_가정!$E$244)*(1-CHOOSE(MIN(MAX(O16,1),3),③기타_가정!$E$246,③기타_가정!$E$247,③기타_가정!$E$248))</f>
        <v>0</v>
      </c>
      <c r="P39" s="37" t="n">
        <f aca="false">(P14=1)*③기타_가정!$H$38*③기타_가정!$E$240*③기타_가정!$E$241/1000*(1+③기타_가정!$E$243)^INT((P15-1)/③기타_가정!$E$244)*(1-CHOOSE(MIN(MAX(P16,1),3),③기타_가정!$E$246,③기타_가정!$E$247,③기타_가정!$E$248))</f>
        <v>0</v>
      </c>
      <c r="Q39" s="37" t="n">
        <f aca="false">(Q14=1)*③기타_가정!$H$38*③기타_가정!$E$240*③기타_가정!$E$241/1000*(1+③기타_가정!$E$243)^INT((Q15-1)/③기타_가정!$E$244)*(1-CHOOSE(MIN(MAX(Q16,1),3),③기타_가정!$E$246,③기타_가정!$E$247,③기타_가정!$E$248))</f>
        <v>0</v>
      </c>
      <c r="R39" s="37" t="n">
        <f aca="false">(R14=1)*③기타_가정!$H$38*③기타_가정!$E$240*③기타_가정!$E$241/1000*(1+③기타_가정!$E$243)^INT((R15-1)/③기타_가정!$E$244)*(1-CHOOSE(MIN(MAX(R16,1),3),③기타_가정!$E$246,③기타_가정!$E$247,③기타_가정!$E$248))</f>
        <v>0</v>
      </c>
      <c r="S39" s="37" t="n">
        <f aca="false">(S14=1)*③기타_가정!$H$38*③기타_가정!$E$240*③기타_가정!$E$241/1000*(1+③기타_가정!$E$243)^INT((S15-1)/③기타_가정!$E$244)*(1-CHOOSE(MIN(MAX(S16,1),3),③기타_가정!$E$246,③기타_가정!$E$247,③기타_가정!$E$248))</f>
        <v>0</v>
      </c>
      <c r="T39" s="37" t="n">
        <f aca="false">(T14=1)*③기타_가정!$H$38*③기타_가정!$E$240*③기타_가정!$E$241/1000*(1+③기타_가정!$E$243)^INT((T15-1)/③기타_가정!$E$244)*(1-CHOOSE(MIN(MAX(T16,1),3),③기타_가정!$E$246,③기타_가정!$E$247,③기타_가정!$E$248))</f>
        <v>0</v>
      </c>
      <c r="U39" s="37" t="n">
        <f aca="false">(U14=1)*③기타_가정!$H$38*③기타_가정!$E$240*③기타_가정!$E$241/1000*(1+③기타_가정!$E$243)^INT((U15-1)/③기타_가정!$E$244)*(1-CHOOSE(MIN(MAX(U16,1),3),③기타_가정!$E$246,③기타_가정!$E$247,③기타_가정!$E$248))</f>
        <v>0</v>
      </c>
      <c r="V39" s="37" t="n">
        <f aca="false">(V14=1)*③기타_가정!$H$38*③기타_가정!$E$240*③기타_가정!$E$241/1000*(1+③기타_가정!$E$243)^INT((V15-1)/③기타_가정!$E$244)*(1-CHOOSE(MIN(MAX(V16,1),3),③기타_가정!$E$246,③기타_가정!$E$247,③기타_가정!$E$248))</f>
        <v>0</v>
      </c>
      <c r="W39" s="37" t="n">
        <f aca="false">(W14=1)*③기타_가정!$H$38*③기타_가정!$E$240*③기타_가정!$E$241/1000*(1+③기타_가정!$E$243)^INT((W15-1)/③기타_가정!$E$244)*(1-CHOOSE(MIN(MAX(W16,1),3),③기타_가정!$E$246,③기타_가정!$E$247,③기타_가정!$E$248))</f>
        <v>0</v>
      </c>
      <c r="X39" s="37" t="n">
        <f aca="false">(X14=1)*③기타_가정!$H$38*③기타_가정!$E$240*③기타_가정!$E$241/1000*(1+③기타_가정!$E$243)^INT((X15-1)/③기타_가정!$E$244)*(1-CHOOSE(MIN(MAX(X16,1),3),③기타_가정!$E$246,③기타_가정!$E$247,③기타_가정!$E$248))</f>
        <v>0</v>
      </c>
      <c r="Y39" s="37" t="n">
        <f aca="false">(Y14=1)*③기타_가정!$H$38*③기타_가정!$E$240*③기타_가정!$E$241/1000*(1+③기타_가정!$E$243)^INT((Y15-1)/③기타_가정!$E$244)*(1-CHOOSE(MIN(MAX(Y16,1),3),③기타_가정!$E$246,③기타_가정!$E$247,③기타_가정!$E$248))</f>
        <v>0</v>
      </c>
      <c r="Z39" s="37" t="n">
        <f aca="false">(Z14=1)*③기타_가정!$H$38*③기타_가정!$E$240*③기타_가정!$E$241/1000*(1+③기타_가정!$E$243)^INT((Z15-1)/③기타_가정!$E$244)*(1-CHOOSE(MIN(MAX(Z16,1),3),③기타_가정!$E$246,③기타_가정!$E$247,③기타_가정!$E$248))</f>
        <v>0</v>
      </c>
      <c r="AA39" s="37" t="n">
        <f aca="false">(AA14=1)*③기타_가정!$H$38*③기타_가정!$E$240*③기타_가정!$E$241/1000*(1+③기타_가정!$E$243)^INT((AA15-1)/③기타_가정!$E$244)*(1-CHOOSE(MIN(MAX(AA16,1),3),③기타_가정!$E$246,③기타_가정!$E$247,③기타_가정!$E$248))</f>
        <v>0</v>
      </c>
      <c r="AB39" s="37" t="n">
        <f aca="false">(AB14=1)*③기타_가정!$H$38*③기타_가정!$E$240*③기타_가정!$E$241/1000*(1+③기타_가정!$E$243)^INT((AB15-1)/③기타_가정!$E$244)*(1-CHOOSE(MIN(MAX(AB16,1),3),③기타_가정!$E$246,③기타_가정!$E$247,③기타_가정!$E$248))</f>
        <v>0</v>
      </c>
      <c r="AC39" s="37" t="n">
        <f aca="false">(AC14=1)*③기타_가정!$H$38*③기타_가정!$E$240*③기타_가정!$E$241/1000*(1+③기타_가정!$E$243)^INT((AC15-1)/③기타_가정!$E$244)*(1-CHOOSE(MIN(MAX(AC16,1),3),③기타_가정!$E$246,③기타_가정!$E$247,③기타_가정!$E$248))</f>
        <v>0</v>
      </c>
      <c r="AD39" s="37" t="n">
        <f aca="false">(AD14=1)*③기타_가정!$H$38*③기타_가정!$E$240*③기타_가정!$E$241/1000*(1+③기타_가정!$E$243)^INT((AD15-1)/③기타_가정!$E$244)*(1-CHOOSE(MIN(MAX(AD16,1),3),③기타_가정!$E$246,③기타_가정!$E$247,③기타_가정!$E$248))</f>
        <v>0</v>
      </c>
      <c r="AE39" s="37" t="n">
        <f aca="false">(AE14=1)*③기타_가정!$H$38*③기타_가정!$E$240*③기타_가정!$E$241/1000*(1+③기타_가정!$E$243)^INT((AE15-1)/③기타_가정!$E$244)*(1-CHOOSE(MIN(MAX(AE16,1),3),③기타_가정!$E$246,③기타_가정!$E$247,③기타_가정!$E$248))</f>
        <v>0</v>
      </c>
      <c r="AF39" s="37" t="n">
        <f aca="false">(AF14=1)*③기타_가정!$H$38*③기타_가정!$E$240*③기타_가정!$E$241/1000*(1+③기타_가정!$E$243)^INT((AF15-1)/③기타_가정!$E$244)*(1-CHOOSE(MIN(MAX(AF16,1),3),③기타_가정!$E$246,③기타_가정!$E$247,③기타_가정!$E$248))</f>
        <v>0</v>
      </c>
      <c r="AG39" s="37" t="n">
        <f aca="false">(AG14=1)*③기타_가정!$H$38*③기타_가정!$E$240*③기타_가정!$E$241/1000*(1+③기타_가정!$E$243)^INT((AG15-1)/③기타_가정!$E$244)*(1-CHOOSE(MIN(MAX(AG16,1),3),③기타_가정!$E$246,③기타_가정!$E$247,③기타_가정!$E$248))</f>
        <v>0</v>
      </c>
      <c r="AH39" s="37" t="n">
        <f aca="false">(AH14=1)*③기타_가정!$H$38*③기타_가정!$E$240*③기타_가정!$E$241/1000*(1+③기타_가정!$E$243)^INT((AH15-1)/③기타_가정!$E$244)*(1-CHOOSE(MIN(MAX(AH16,1),3),③기타_가정!$E$246,③기타_가정!$E$247,③기타_가정!$E$248))</f>
        <v>0</v>
      </c>
      <c r="AI39" s="37" t="n">
        <f aca="false">(AI14=1)*③기타_가정!$H$38*③기타_가정!$E$240*③기타_가정!$E$241/1000*(1+③기타_가정!$E$243)^INT((AI15-1)/③기타_가정!$E$244)*(1-CHOOSE(MIN(MAX(AI16,1),3),③기타_가정!$E$246,③기타_가정!$E$247,③기타_가정!$E$248))</f>
        <v>0</v>
      </c>
      <c r="AJ39" s="37" t="n">
        <f aca="false">(AJ14=1)*③기타_가정!$H$38*③기타_가정!$E$240*③기타_가정!$E$241/1000*(1+③기타_가정!$E$243)^INT((AJ15-1)/③기타_가정!$E$244)*(1-CHOOSE(MIN(MAX(AJ16,1),3),③기타_가정!$E$246,③기타_가정!$E$247,③기타_가정!$E$248))</f>
        <v>0</v>
      </c>
      <c r="AK39" s="37" t="n">
        <f aca="false">(AK14=1)*③기타_가정!$H$38*③기타_가정!$E$240*③기타_가정!$E$241/1000*(1+③기타_가정!$E$243)^INT((AK15-1)/③기타_가정!$E$244)*(1-CHOOSE(MIN(MAX(AK16,1),3),③기타_가정!$E$246,③기타_가정!$E$247,③기타_가정!$E$248))</f>
        <v>0</v>
      </c>
      <c r="AL39" s="37" t="n">
        <f aca="false">(AL14=1)*③기타_가정!$H$38*③기타_가정!$E$240*③기타_가정!$E$241/1000*(1+③기타_가정!$E$243)^INT((AL15-1)/③기타_가정!$E$244)*(1-CHOOSE(MIN(MAX(AL16,1),3),③기타_가정!$E$246,③기타_가정!$E$247,③기타_가정!$E$248))</f>
        <v>0</v>
      </c>
      <c r="AM39" s="37" t="n">
        <f aca="false">(AM14=1)*③기타_가정!$H$38*③기타_가정!$E$240*③기타_가정!$E$241/1000*(1+③기타_가정!$E$243)^INT((AM15-1)/③기타_가정!$E$244)*(1-CHOOSE(MIN(MAX(AM16,1),3),③기타_가정!$E$246,③기타_가정!$E$247,③기타_가정!$E$248))</f>
        <v>0</v>
      </c>
      <c r="AN39" s="37" t="n">
        <f aca="false">(AN14=1)*③기타_가정!$H$38*③기타_가정!$E$240*③기타_가정!$E$241/1000*(1+③기타_가정!$E$243)^INT((AN15-1)/③기타_가정!$E$244)*(1-CHOOSE(MIN(MAX(AN16,1),3),③기타_가정!$E$246,③기타_가정!$E$247,③기타_가정!$E$248))</f>
        <v>0</v>
      </c>
      <c r="AO39" s="37" t="n">
        <f aca="false">(AO14=1)*③기타_가정!$H$38*③기타_가정!$E$240*③기타_가정!$E$241/1000*(1+③기타_가정!$E$243)^INT((AO15-1)/③기타_가정!$E$244)*(1-CHOOSE(MIN(MAX(AO16,1),3),③기타_가정!$E$246,③기타_가정!$E$247,③기타_가정!$E$248))</f>
        <v>0</v>
      </c>
      <c r="AP39" s="37" t="n">
        <f aca="false">(AP14=1)*③기타_가정!$H$38*③기타_가정!$E$240*③기타_가정!$E$241/1000*(1+③기타_가정!$E$243)^INT((AP15-1)/③기타_가정!$E$244)*(1-CHOOSE(MIN(MAX(AP16,1),3),③기타_가정!$E$246,③기타_가정!$E$247,③기타_가정!$E$248))</f>
        <v>0</v>
      </c>
      <c r="AQ39" s="37" t="n">
        <f aca="false">(AQ14=1)*③기타_가정!$H$38*③기타_가정!$E$240*③기타_가정!$E$241/1000*(1+③기타_가정!$E$243)^INT((AQ15-1)/③기타_가정!$E$244)*(1-CHOOSE(MIN(MAX(AQ16,1),3),③기타_가정!$E$246,③기타_가정!$E$247,③기타_가정!$E$248))</f>
        <v>0</v>
      </c>
      <c r="AR39" s="37" t="n">
        <f aca="false">(AR14=1)*③기타_가정!$H$38*③기타_가정!$E$240*③기타_가정!$E$241/1000*(1+③기타_가정!$E$243)^INT((AR15-1)/③기타_가정!$E$244)*(1-CHOOSE(MIN(MAX(AR16,1),3),③기타_가정!$E$246,③기타_가정!$E$247,③기타_가정!$E$248))</f>
        <v>0</v>
      </c>
      <c r="AS39" s="37" t="n">
        <f aca="false">(AS14=1)*③기타_가정!$H$38*③기타_가정!$E$240*③기타_가정!$E$241/1000*(1+③기타_가정!$E$243)^INT((AS15-1)/③기타_가정!$E$244)*(1-CHOOSE(MIN(MAX(AS16,1),3),③기타_가정!$E$246,③기타_가정!$E$247,③기타_가정!$E$248))</f>
        <v>0</v>
      </c>
      <c r="AT39" s="37" t="n">
        <f aca="false">(AT14=1)*③기타_가정!$H$38*③기타_가정!$E$240*③기타_가정!$E$241/1000*(1+③기타_가정!$E$243)^INT((AT15-1)/③기타_가정!$E$244)*(1-CHOOSE(MIN(MAX(AT16,1),3),③기타_가정!$E$246,③기타_가정!$E$247,③기타_가정!$E$248))</f>
        <v>0</v>
      </c>
      <c r="AU39" s="37" t="n">
        <f aca="false">(AU14=1)*③기타_가정!$H$38*③기타_가정!$E$240*③기타_가정!$E$241/1000*(1+③기타_가정!$E$243)^INT((AU15-1)/③기타_가정!$E$244)*(1-CHOOSE(MIN(MAX(AU16,1),3),③기타_가정!$E$246,③기타_가정!$E$247,③기타_가정!$E$248))</f>
        <v>0</v>
      </c>
      <c r="AV39" s="37" t="n">
        <f aca="false">(AV14=1)*③기타_가정!$H$38*③기타_가정!$E$240*③기타_가정!$E$241/1000*(1+③기타_가정!$E$243)^INT((AV15-1)/③기타_가정!$E$244)*(1-CHOOSE(MIN(MAX(AV16,1),3),③기타_가정!$E$246,③기타_가정!$E$247,③기타_가정!$E$248))</f>
        <v>0</v>
      </c>
      <c r="AW39" s="37" t="n">
        <f aca="false">(AW14=1)*③기타_가정!$H$38*③기타_가정!$E$240*③기타_가정!$E$241/1000*(1+③기타_가정!$E$243)^INT((AW15-1)/③기타_가정!$E$244)*(1-CHOOSE(MIN(MAX(AW16,1),3),③기타_가정!$E$246,③기타_가정!$E$247,③기타_가정!$E$248))</f>
        <v>0</v>
      </c>
      <c r="AX39" s="37" t="n">
        <f aca="false">(AX14=1)*③기타_가정!$H$38*③기타_가정!$E$240*③기타_가정!$E$241/1000*(1+③기타_가정!$E$243)^INT((AX15-1)/③기타_가정!$E$244)*(1-CHOOSE(MIN(MAX(AX16,1),3),③기타_가정!$E$246,③기타_가정!$E$247,③기타_가정!$E$248))</f>
        <v>0</v>
      </c>
      <c r="AY39" s="37" t="n">
        <f aca="false">(AY14=1)*③기타_가정!$H$38*③기타_가정!$E$240*③기타_가정!$E$241/1000*(1+③기타_가정!$E$243)^INT((AY15-1)/③기타_가정!$E$244)*(1-CHOOSE(MIN(MAX(AY16,1),3),③기타_가정!$E$246,③기타_가정!$E$247,③기타_가정!$E$248))</f>
        <v>0</v>
      </c>
      <c r="AZ39" s="37" t="n">
        <f aca="false">(AZ14=1)*③기타_가정!$H$38*③기타_가정!$E$240*③기타_가정!$E$241/1000*(1+③기타_가정!$E$243)^INT((AZ15-1)/③기타_가정!$E$244)*(1-CHOOSE(MIN(MAX(AZ16,1),3),③기타_가정!$E$246,③기타_가정!$E$247,③기타_가정!$E$248))</f>
        <v>0</v>
      </c>
      <c r="BA39" s="37" t="n">
        <f aca="false">(BA14=1)*③기타_가정!$H$38*③기타_가정!$E$240*③기타_가정!$E$241/1000*(1+③기타_가정!$E$243)^INT((BA15-1)/③기타_가정!$E$244)*(1-CHOOSE(MIN(MAX(BA16,1),3),③기타_가정!$E$246,③기타_가정!$E$247,③기타_가정!$E$248))</f>
        <v>0</v>
      </c>
      <c r="BB39" s="37" t="n">
        <f aca="false">(BB14=1)*③기타_가정!$H$38*③기타_가정!$E$240*③기타_가정!$E$241/1000*(1+③기타_가정!$E$243)^INT((BB15-1)/③기타_가정!$E$244)*(1-CHOOSE(MIN(MAX(BB16,1),3),③기타_가정!$E$246,③기타_가정!$E$247,③기타_가정!$E$248))</f>
        <v>0</v>
      </c>
      <c r="BC39" s="37" t="n">
        <f aca="false">(BC14=1)*③기타_가정!$H$38*③기타_가정!$E$240*③기타_가정!$E$241/1000*(1+③기타_가정!$E$243)^INT((BC15-1)/③기타_가정!$E$244)*(1-CHOOSE(MIN(MAX(BC16,1),3),③기타_가정!$E$246,③기타_가정!$E$247,③기타_가정!$E$248))</f>
        <v>0</v>
      </c>
      <c r="BD39" s="37" t="n">
        <f aca="false">(BD14=1)*③기타_가정!$H$38*③기타_가정!$E$240*③기타_가정!$E$241/1000*(1+③기타_가정!$E$243)^INT((BD15-1)/③기타_가정!$E$244)*(1-CHOOSE(MIN(MAX(BD16,1),3),③기타_가정!$E$246,③기타_가정!$E$247,③기타_가정!$E$248))</f>
        <v>0</v>
      </c>
      <c r="BE39" s="37" t="n">
        <f aca="false">(BE14=1)*③기타_가정!$H$38*③기타_가정!$E$240*③기타_가정!$E$241/1000*(1+③기타_가정!$E$243)^INT((BE15-1)/③기타_가정!$E$244)*(1-CHOOSE(MIN(MAX(BE16,1),3),③기타_가정!$E$246,③기타_가정!$E$247,③기타_가정!$E$248))</f>
        <v>0</v>
      </c>
      <c r="BF39" s="37" t="n">
        <f aca="false">(BF14=1)*③기타_가정!$H$38*③기타_가정!$E$240*③기타_가정!$E$241/1000*(1+③기타_가정!$E$243)^INT((BF15-1)/③기타_가정!$E$244)*(1-CHOOSE(MIN(MAX(BF16,1),3),③기타_가정!$E$246,③기타_가정!$E$247,③기타_가정!$E$248))</f>
        <v>0</v>
      </c>
      <c r="BG39" s="37" t="n">
        <f aca="false">(BG14=1)*③기타_가정!$H$38*③기타_가정!$E$240*③기타_가정!$E$241/1000*(1+③기타_가정!$E$243)^INT((BG15-1)/③기타_가정!$E$244)*(1-CHOOSE(MIN(MAX(BG16,1),3),③기타_가정!$E$246,③기타_가정!$E$247,③기타_가정!$E$248))</f>
        <v>0</v>
      </c>
      <c r="BH39" s="37" t="n">
        <f aca="false">(BH14=1)*③기타_가정!$H$38*③기타_가정!$E$240*③기타_가정!$E$241/1000*(1+③기타_가정!$E$243)^INT((BH15-1)/③기타_가정!$E$244)*(1-CHOOSE(MIN(MAX(BH16,1),3),③기타_가정!$E$246,③기타_가정!$E$247,③기타_가정!$E$248))</f>
        <v>0</v>
      </c>
      <c r="BI39" s="37" t="n">
        <f aca="false">(BI14=1)*③기타_가정!$H$38*③기타_가정!$E$240*③기타_가정!$E$241/1000*(1+③기타_가정!$E$243)^INT((BI15-1)/③기타_가정!$E$244)*(1-CHOOSE(MIN(MAX(BI16,1),3),③기타_가정!$E$246,③기타_가정!$E$247,③기타_가정!$E$248))</f>
        <v>0</v>
      </c>
      <c r="BJ39" s="37" t="n">
        <f aca="false">(BJ14=1)*③기타_가정!$H$38*③기타_가정!$E$240*③기타_가정!$E$241/1000*(1+③기타_가정!$E$243)^INT((BJ15-1)/③기타_가정!$E$244)*(1-CHOOSE(MIN(MAX(BJ16,1),3),③기타_가정!$E$246,③기타_가정!$E$247,③기타_가정!$E$248))</f>
        <v>0</v>
      </c>
      <c r="BK39" s="37" t="n">
        <f aca="false">(BK14=1)*③기타_가정!$H$38*③기타_가정!$E$240*③기타_가정!$E$241/1000*(1+③기타_가정!$E$243)^INT((BK15-1)/③기타_가정!$E$244)*(1-CHOOSE(MIN(MAX(BK16,1),3),③기타_가정!$E$246,③기타_가정!$E$247,③기타_가정!$E$248))</f>
        <v>0</v>
      </c>
      <c r="BL39" s="37" t="n">
        <f aca="false">(BL14=1)*③기타_가정!$H$38*③기타_가정!$E$240*③기타_가정!$E$241/1000*(1+③기타_가정!$E$243)^INT((BL15-1)/③기타_가정!$E$244)*(1-CHOOSE(MIN(MAX(BL16,1),3),③기타_가정!$E$246,③기타_가정!$E$247,③기타_가정!$E$248))</f>
        <v>0</v>
      </c>
      <c r="BM39" s="37" t="n">
        <f aca="false">(BM14=1)*③기타_가정!$H$38*③기타_가정!$E$240*③기타_가정!$E$241/1000*(1+③기타_가정!$E$243)^INT((BM15-1)/③기타_가정!$E$244)*(1-CHOOSE(MIN(MAX(BM16,1),3),③기타_가정!$E$246,③기타_가정!$E$247,③기타_가정!$E$248))</f>
        <v>71.0388</v>
      </c>
      <c r="BN39" s="37" t="n">
        <f aca="false">(BN14=1)*③기타_가정!$H$38*③기타_가정!$E$240*③기타_가정!$E$241/1000*(1+③기타_가정!$E$243)^INT((BN15-1)/③기타_가정!$E$244)*(1-CHOOSE(MIN(MAX(BN16,1),3),③기타_가정!$E$246,③기타_가정!$E$247,③기타_가정!$E$248))</f>
        <v>71.0388</v>
      </c>
      <c r="BO39" s="37" t="n">
        <f aca="false">(BO14=1)*③기타_가정!$H$38*③기타_가정!$E$240*③기타_가정!$E$241/1000*(1+③기타_가정!$E$243)^INT((BO15-1)/③기타_가정!$E$244)*(1-CHOOSE(MIN(MAX(BO16,1),3),③기타_가정!$E$246,③기타_가정!$E$247,③기타_가정!$E$248))</f>
        <v>71.0388</v>
      </c>
      <c r="BP39" s="37" t="n">
        <f aca="false">(BP14=1)*③기타_가정!$H$38*③기타_가정!$E$240*③기타_가정!$E$241/1000*(1+③기타_가정!$E$243)^INT((BP15-1)/③기타_가정!$E$244)*(1-CHOOSE(MIN(MAX(BP16,1),3),③기타_가정!$E$246,③기타_가정!$E$247,③기타_가정!$E$248))</f>
        <v>71.0388</v>
      </c>
      <c r="BQ39" s="37" t="n">
        <f aca="false">(BQ14=1)*③기타_가정!$H$38*③기타_가정!$E$240*③기타_가정!$E$241/1000*(1+③기타_가정!$E$243)^INT((BQ15-1)/③기타_가정!$E$244)*(1-CHOOSE(MIN(MAX(BQ16,1),3),③기타_가정!$E$246,③기타_가정!$E$247,③기타_가정!$E$248))</f>
        <v>71.0388</v>
      </c>
      <c r="BR39" s="37" t="n">
        <f aca="false">(BR14=1)*③기타_가정!$H$38*③기타_가정!$E$240*③기타_가정!$E$241/1000*(1+③기타_가정!$E$243)^INT((BR15-1)/③기타_가정!$E$244)*(1-CHOOSE(MIN(MAX(BR16,1),3),③기타_가정!$E$246,③기타_가정!$E$247,③기타_가정!$E$248))</f>
        <v>71.0388</v>
      </c>
      <c r="BS39" s="37" t="n">
        <f aca="false">(BS14=1)*③기타_가정!$H$38*③기타_가정!$E$240*③기타_가정!$E$241/1000*(1+③기타_가정!$E$243)^INT((BS15-1)/③기타_가정!$E$244)*(1-CHOOSE(MIN(MAX(BS16,1),3),③기타_가정!$E$246,③기타_가정!$E$247,③기타_가정!$E$248))</f>
        <v>71.0388</v>
      </c>
      <c r="BT39" s="37" t="n">
        <f aca="false">(BT14=1)*③기타_가정!$H$38*③기타_가정!$E$240*③기타_가정!$E$241/1000*(1+③기타_가정!$E$243)^INT((BT15-1)/③기타_가정!$E$244)*(1-CHOOSE(MIN(MAX(BT16,1),3),③기타_가정!$E$246,③기타_가정!$E$247,③기타_가정!$E$248))</f>
        <v>71.0388</v>
      </c>
      <c r="BU39" s="37" t="n">
        <f aca="false">(BU14=1)*③기타_가정!$H$38*③기타_가정!$E$240*③기타_가정!$E$241/1000*(1+③기타_가정!$E$243)^INT((BU15-1)/③기타_가정!$E$244)*(1-CHOOSE(MIN(MAX(BU16,1),3),③기타_가정!$E$246,③기타_가정!$E$247,③기타_가정!$E$248))</f>
        <v>71.0388</v>
      </c>
      <c r="BV39" s="37" t="n">
        <f aca="false">(BV14=1)*③기타_가정!$H$38*③기타_가정!$E$240*③기타_가정!$E$241/1000*(1+③기타_가정!$E$243)^INT((BV15-1)/③기타_가정!$E$244)*(1-CHOOSE(MIN(MAX(BV16,1),3),③기타_가정!$E$246,③기타_가정!$E$247,③기타_가정!$E$248))</f>
        <v>71.0388</v>
      </c>
      <c r="BW39" s="37" t="n">
        <f aca="false">(BW14=1)*③기타_가정!$H$38*③기타_가정!$E$240*③기타_가정!$E$241/1000*(1+③기타_가정!$E$243)^INT((BW15-1)/③기타_가정!$E$244)*(1-CHOOSE(MIN(MAX(BW16,1),3),③기타_가정!$E$246,③기타_가정!$E$247,③기타_가정!$E$248))</f>
        <v>71.0388</v>
      </c>
      <c r="BX39" s="37" t="n">
        <f aca="false">(BX14=1)*③기타_가정!$H$38*③기타_가정!$E$240*③기타_가정!$E$241/1000*(1+③기타_가정!$E$243)^INT((BX15-1)/③기타_가정!$E$244)*(1-CHOOSE(MIN(MAX(BX16,1),3),③기타_가정!$E$246,③기타_가정!$E$247,③기타_가정!$E$248))</f>
        <v>71.0388</v>
      </c>
      <c r="BY39" s="37" t="n">
        <f aca="false">(BY14=1)*③기타_가정!$H$38*③기타_가정!$E$240*③기타_가정!$E$241/1000*(1+③기타_가정!$E$243)^INT((BY15-1)/③기타_가정!$E$244)*(1-CHOOSE(MIN(MAX(BY16,1),3),③기타_가정!$E$246,③기타_가정!$E$247,③기타_가정!$E$248))</f>
        <v>72.459576</v>
      </c>
      <c r="BZ39" s="37" t="n">
        <f aca="false">(BZ14=1)*③기타_가정!$H$38*③기타_가정!$E$240*③기타_가정!$E$241/1000*(1+③기타_가정!$E$243)^INT((BZ15-1)/③기타_가정!$E$244)*(1-CHOOSE(MIN(MAX(BZ16,1),3),③기타_가정!$E$246,③기타_가정!$E$247,③기타_가정!$E$248))</f>
        <v>72.459576</v>
      </c>
      <c r="CA39" s="37" t="n">
        <f aca="false">(CA14=1)*③기타_가정!$H$38*③기타_가정!$E$240*③기타_가정!$E$241/1000*(1+③기타_가정!$E$243)^INT((CA15-1)/③기타_가정!$E$244)*(1-CHOOSE(MIN(MAX(CA16,1),3),③기타_가정!$E$246,③기타_가정!$E$247,③기타_가정!$E$248))</f>
        <v>72.459576</v>
      </c>
      <c r="CB39" s="37" t="n">
        <f aca="false">(CB14=1)*③기타_가정!$H$38*③기타_가정!$E$240*③기타_가정!$E$241/1000*(1+③기타_가정!$E$243)^INT((CB15-1)/③기타_가정!$E$244)*(1-CHOOSE(MIN(MAX(CB16,1),3),③기타_가정!$E$246,③기타_가정!$E$247,③기타_가정!$E$248))</f>
        <v>72.459576</v>
      </c>
      <c r="CC39" s="37" t="n">
        <f aca="false">(CC14=1)*③기타_가정!$H$38*③기타_가정!$E$240*③기타_가정!$E$241/1000*(1+③기타_가정!$E$243)^INT((CC15-1)/③기타_가정!$E$244)*(1-CHOOSE(MIN(MAX(CC16,1),3),③기타_가정!$E$246,③기타_가정!$E$247,③기타_가정!$E$248))</f>
        <v>72.459576</v>
      </c>
      <c r="CD39" s="37" t="n">
        <f aca="false">(CD14=1)*③기타_가정!$H$38*③기타_가정!$E$240*③기타_가정!$E$241/1000*(1+③기타_가정!$E$243)^INT((CD15-1)/③기타_가정!$E$244)*(1-CHOOSE(MIN(MAX(CD16,1),3),③기타_가정!$E$246,③기타_가정!$E$247,③기타_가정!$E$248))</f>
        <v>72.459576</v>
      </c>
      <c r="CE39" s="37" t="n">
        <f aca="false">(CE14=1)*③기타_가정!$H$38*③기타_가정!$E$240*③기타_가정!$E$241/1000*(1+③기타_가정!$E$243)^INT((CE15-1)/③기타_가정!$E$244)*(1-CHOOSE(MIN(MAX(CE16,1),3),③기타_가정!$E$246,③기타_가정!$E$247,③기타_가정!$E$248))</f>
        <v>72.459576</v>
      </c>
      <c r="CF39" s="37" t="n">
        <f aca="false">(CF14=1)*③기타_가정!$H$38*③기타_가정!$E$240*③기타_가정!$E$241/1000*(1+③기타_가정!$E$243)^INT((CF15-1)/③기타_가정!$E$244)*(1-CHOOSE(MIN(MAX(CF16,1),3),③기타_가정!$E$246,③기타_가정!$E$247,③기타_가정!$E$248))</f>
        <v>72.459576</v>
      </c>
      <c r="CG39" s="37" t="n">
        <f aca="false">(CG14=1)*③기타_가정!$H$38*③기타_가정!$E$240*③기타_가정!$E$241/1000*(1+③기타_가정!$E$243)^INT((CG15-1)/③기타_가정!$E$244)*(1-CHOOSE(MIN(MAX(CG16,1),3),③기타_가정!$E$246,③기타_가정!$E$247,③기타_가정!$E$248))</f>
        <v>72.459576</v>
      </c>
      <c r="CH39" s="37" t="n">
        <f aca="false">(CH14=1)*③기타_가정!$H$38*③기타_가정!$E$240*③기타_가정!$E$241/1000*(1+③기타_가정!$E$243)^INT((CH15-1)/③기타_가정!$E$244)*(1-CHOOSE(MIN(MAX(CH16,1),3),③기타_가정!$E$246,③기타_가정!$E$247,③기타_가정!$E$248))</f>
        <v>72.459576</v>
      </c>
      <c r="CI39" s="37" t="n">
        <f aca="false">(CI14=1)*③기타_가정!$H$38*③기타_가정!$E$240*③기타_가정!$E$241/1000*(1+③기타_가정!$E$243)^INT((CI15-1)/③기타_가정!$E$244)*(1-CHOOSE(MIN(MAX(CI16,1),3),③기타_가정!$E$246,③기타_가정!$E$247,③기타_가정!$E$248))</f>
        <v>72.459576</v>
      </c>
      <c r="CJ39" s="37" t="n">
        <f aca="false">(CJ14=1)*③기타_가정!$H$38*③기타_가정!$E$240*③기타_가정!$E$241/1000*(1+③기타_가정!$E$243)^INT((CJ15-1)/③기타_가정!$E$244)*(1-CHOOSE(MIN(MAX(CJ16,1),3),③기타_가정!$E$246,③기타_가정!$E$247,③기타_가정!$E$248))</f>
        <v>72.459576</v>
      </c>
      <c r="CK39" s="37" t="n">
        <f aca="false">(CK14=1)*③기타_가정!$H$38*③기타_가정!$E$240*③기타_가정!$E$241/1000*(1+③기타_가정!$E$243)^INT((CK15-1)/③기타_가정!$E$244)*(1-CHOOSE(MIN(MAX(CK16,1),3),③기타_가정!$E$246,③기타_가정!$E$247,③기타_가정!$E$248))</f>
        <v>73.90876752</v>
      </c>
      <c r="CL39" s="37" t="n">
        <f aca="false">(CL14=1)*③기타_가정!$H$38*③기타_가정!$E$240*③기타_가정!$E$241/1000*(1+③기타_가정!$E$243)^INT((CL15-1)/③기타_가정!$E$244)*(1-CHOOSE(MIN(MAX(CL16,1),3),③기타_가정!$E$246,③기타_가정!$E$247,③기타_가정!$E$248))</f>
        <v>73.90876752</v>
      </c>
      <c r="CM39" s="37" t="n">
        <f aca="false">(CM14=1)*③기타_가정!$H$38*③기타_가정!$E$240*③기타_가정!$E$241/1000*(1+③기타_가정!$E$243)^INT((CM15-1)/③기타_가정!$E$244)*(1-CHOOSE(MIN(MAX(CM16,1),3),③기타_가정!$E$246,③기타_가정!$E$247,③기타_가정!$E$248))</f>
        <v>73.90876752</v>
      </c>
      <c r="CN39" s="37" t="n">
        <f aca="false">(CN14=1)*③기타_가정!$H$38*③기타_가정!$E$240*③기타_가정!$E$241/1000*(1+③기타_가정!$E$243)^INT((CN15-1)/③기타_가정!$E$244)*(1-CHOOSE(MIN(MAX(CN16,1),3),③기타_가정!$E$246,③기타_가정!$E$247,③기타_가정!$E$248))</f>
        <v>73.90876752</v>
      </c>
      <c r="CO39" s="37" t="n">
        <f aca="false">(CO14=1)*③기타_가정!$H$38*③기타_가정!$E$240*③기타_가정!$E$241/1000*(1+③기타_가정!$E$243)^INT((CO15-1)/③기타_가정!$E$244)*(1-CHOOSE(MIN(MAX(CO16,1),3),③기타_가정!$E$246,③기타_가정!$E$247,③기타_가정!$E$248))</f>
        <v>73.90876752</v>
      </c>
      <c r="CP39" s="37" t="n">
        <f aca="false">(CP14=1)*③기타_가정!$H$38*③기타_가정!$E$240*③기타_가정!$E$241/1000*(1+③기타_가정!$E$243)^INT((CP15-1)/③기타_가정!$E$244)*(1-CHOOSE(MIN(MAX(CP16,1),3),③기타_가정!$E$246,③기타_가정!$E$247,③기타_가정!$E$248))</f>
        <v>73.90876752</v>
      </c>
      <c r="CQ39" s="37" t="n">
        <f aca="false">(CQ14=1)*③기타_가정!$H$38*③기타_가정!$E$240*③기타_가정!$E$241/1000*(1+③기타_가정!$E$243)^INT((CQ15-1)/③기타_가정!$E$244)*(1-CHOOSE(MIN(MAX(CQ16,1),3),③기타_가정!$E$246,③기타_가정!$E$247,③기타_가정!$E$248))</f>
        <v>73.90876752</v>
      </c>
      <c r="CR39" s="37" t="n">
        <f aca="false">(CR14=1)*③기타_가정!$H$38*③기타_가정!$E$240*③기타_가정!$E$241/1000*(1+③기타_가정!$E$243)^INT((CR15-1)/③기타_가정!$E$244)*(1-CHOOSE(MIN(MAX(CR16,1),3),③기타_가정!$E$246,③기타_가정!$E$247,③기타_가정!$E$248))</f>
        <v>73.90876752</v>
      </c>
      <c r="CS39" s="37" t="n">
        <f aca="false">(CS14=1)*③기타_가정!$H$38*③기타_가정!$E$240*③기타_가정!$E$241/1000*(1+③기타_가정!$E$243)^INT((CS15-1)/③기타_가정!$E$244)*(1-CHOOSE(MIN(MAX(CS16,1),3),③기타_가정!$E$246,③기타_가정!$E$247,③기타_가정!$E$248))</f>
        <v>73.90876752</v>
      </c>
      <c r="CT39" s="37" t="n">
        <f aca="false">(CT14=1)*③기타_가정!$H$38*③기타_가정!$E$240*③기타_가정!$E$241/1000*(1+③기타_가정!$E$243)^INT((CT15-1)/③기타_가정!$E$244)*(1-CHOOSE(MIN(MAX(CT16,1),3),③기타_가정!$E$246,③기타_가정!$E$247,③기타_가정!$E$248))</f>
        <v>73.90876752</v>
      </c>
      <c r="CU39" s="37" t="n">
        <f aca="false">(CU14=1)*③기타_가정!$H$38*③기타_가정!$E$240*③기타_가정!$E$241/1000*(1+③기타_가정!$E$243)^INT((CU15-1)/③기타_가정!$E$244)*(1-CHOOSE(MIN(MAX(CU16,1),3),③기타_가정!$E$246,③기타_가정!$E$247,③기타_가정!$E$248))</f>
        <v>73.90876752</v>
      </c>
      <c r="CV39" s="37" t="n">
        <f aca="false">(CV14=1)*③기타_가정!$H$38*③기타_가정!$E$240*③기타_가정!$E$241/1000*(1+③기타_가정!$E$243)^INT((CV15-1)/③기타_가정!$E$244)*(1-CHOOSE(MIN(MAX(CV16,1),3),③기타_가정!$E$246,③기타_가정!$E$247,③기타_가정!$E$248))</f>
        <v>73.90876752</v>
      </c>
      <c r="CW39" s="37" t="n">
        <f aca="false">(CW14=1)*③기타_가정!$H$38*③기타_가정!$E$240*③기타_가정!$E$241/1000*(1+③기타_가정!$E$243)^INT((CW15-1)/③기타_가정!$E$244)*(1-CHOOSE(MIN(MAX(CW16,1),3),③기타_가정!$E$246,③기타_가정!$E$247,③기타_가정!$E$248))</f>
        <v>75.3869428704</v>
      </c>
      <c r="CX39" s="37" t="n">
        <f aca="false">(CX14=1)*③기타_가정!$H$38*③기타_가정!$E$240*③기타_가정!$E$241/1000*(1+③기타_가정!$E$243)^INT((CX15-1)/③기타_가정!$E$244)*(1-CHOOSE(MIN(MAX(CX16,1),3),③기타_가정!$E$246,③기타_가정!$E$247,③기타_가정!$E$248))</f>
        <v>75.3869428704</v>
      </c>
      <c r="CY39" s="37" t="n">
        <f aca="false">(CY14=1)*③기타_가정!$H$38*③기타_가정!$E$240*③기타_가정!$E$241/1000*(1+③기타_가정!$E$243)^INT((CY15-1)/③기타_가정!$E$244)*(1-CHOOSE(MIN(MAX(CY16,1),3),③기타_가정!$E$246,③기타_가정!$E$247,③기타_가정!$E$248))</f>
        <v>75.3869428704</v>
      </c>
      <c r="CZ39" s="37" t="n">
        <f aca="false">(CZ14=1)*③기타_가정!$H$38*③기타_가정!$E$240*③기타_가정!$E$241/1000*(1+③기타_가정!$E$243)^INT((CZ15-1)/③기타_가정!$E$244)*(1-CHOOSE(MIN(MAX(CZ16,1),3),③기타_가정!$E$246,③기타_가정!$E$247,③기타_가정!$E$248))</f>
        <v>75.3869428704</v>
      </c>
      <c r="DA39" s="37" t="n">
        <f aca="false">(DA14=1)*③기타_가정!$H$38*③기타_가정!$E$240*③기타_가정!$E$241/1000*(1+③기타_가정!$E$243)^INT((DA15-1)/③기타_가정!$E$244)*(1-CHOOSE(MIN(MAX(DA16,1),3),③기타_가정!$E$246,③기타_가정!$E$247,③기타_가정!$E$248))</f>
        <v>75.3869428704</v>
      </c>
      <c r="DB39" s="37" t="n">
        <f aca="false">(DB14=1)*③기타_가정!$H$38*③기타_가정!$E$240*③기타_가정!$E$241/1000*(1+③기타_가정!$E$243)^INT((DB15-1)/③기타_가정!$E$244)*(1-CHOOSE(MIN(MAX(DB16,1),3),③기타_가정!$E$246,③기타_가정!$E$247,③기타_가정!$E$248))</f>
        <v>75.3869428704</v>
      </c>
      <c r="DC39" s="37" t="n">
        <f aca="false">(DC14=1)*③기타_가정!$H$38*③기타_가정!$E$240*③기타_가정!$E$241/1000*(1+③기타_가정!$E$243)^INT((DC15-1)/③기타_가정!$E$244)*(1-CHOOSE(MIN(MAX(DC16,1),3),③기타_가정!$E$246,③기타_가정!$E$247,③기타_가정!$E$248))</f>
        <v>75.3869428704</v>
      </c>
      <c r="DD39" s="37" t="n">
        <f aca="false">(DD14=1)*③기타_가정!$H$38*③기타_가정!$E$240*③기타_가정!$E$241/1000*(1+③기타_가정!$E$243)^INT((DD15-1)/③기타_가정!$E$244)*(1-CHOOSE(MIN(MAX(DD16,1),3),③기타_가정!$E$246,③기타_가정!$E$247,③기타_가정!$E$248))</f>
        <v>75.3869428704</v>
      </c>
      <c r="DE39" s="37" t="n">
        <f aca="false">(DE14=1)*③기타_가정!$H$38*③기타_가정!$E$240*③기타_가정!$E$241/1000*(1+③기타_가정!$E$243)^INT((DE15-1)/③기타_가정!$E$244)*(1-CHOOSE(MIN(MAX(DE16,1),3),③기타_가정!$E$246,③기타_가정!$E$247,③기타_가정!$E$248))</f>
        <v>75.3869428704</v>
      </c>
      <c r="DF39" s="37" t="n">
        <f aca="false">(DF14=1)*③기타_가정!$H$38*③기타_가정!$E$240*③기타_가정!$E$241/1000*(1+③기타_가정!$E$243)^INT((DF15-1)/③기타_가정!$E$244)*(1-CHOOSE(MIN(MAX(DF16,1),3),③기타_가정!$E$246,③기타_가정!$E$247,③기타_가정!$E$248))</f>
        <v>75.3869428704</v>
      </c>
      <c r="DG39" s="37" t="n">
        <f aca="false">(DG14=1)*③기타_가정!$H$38*③기타_가정!$E$240*③기타_가정!$E$241/1000*(1+③기타_가정!$E$243)^INT((DG15-1)/③기타_가정!$E$244)*(1-CHOOSE(MIN(MAX(DG16,1),3),③기타_가정!$E$246,③기타_가정!$E$247,③기타_가정!$E$248))</f>
        <v>75.3869428704</v>
      </c>
      <c r="DH39" s="37" t="n">
        <f aca="false">(DH14=1)*③기타_가정!$H$38*③기타_가정!$E$240*③기타_가정!$E$241/1000*(1+③기타_가정!$E$243)^INT((DH15-1)/③기타_가정!$E$244)*(1-CHOOSE(MIN(MAX(DH16,1),3),③기타_가정!$E$246,③기타_가정!$E$247,③기타_가정!$E$248))</f>
        <v>75.3869428704</v>
      </c>
      <c r="DI39" s="37" t="n">
        <f aca="false">(DI14=1)*③기타_가정!$H$38*③기타_가정!$E$240*③기타_가정!$E$241/1000*(1+③기타_가정!$E$243)^INT((DI15-1)/③기타_가정!$E$244)*(1-CHOOSE(MIN(MAX(DI16,1),3),③기타_가정!$E$246,③기타_가정!$E$247,③기타_가정!$E$248))</f>
        <v>76.894681727808</v>
      </c>
      <c r="DJ39" s="37" t="n">
        <f aca="false">(DJ14=1)*③기타_가정!$H$38*③기타_가정!$E$240*③기타_가정!$E$241/1000*(1+③기타_가정!$E$243)^INT((DJ15-1)/③기타_가정!$E$244)*(1-CHOOSE(MIN(MAX(DJ16,1),3),③기타_가정!$E$246,③기타_가정!$E$247,③기타_가정!$E$248))</f>
        <v>76.894681727808</v>
      </c>
      <c r="DK39" s="37" t="n">
        <f aca="false">(DK14=1)*③기타_가정!$H$38*③기타_가정!$E$240*③기타_가정!$E$241/1000*(1+③기타_가정!$E$243)^INT((DK15-1)/③기타_가정!$E$244)*(1-CHOOSE(MIN(MAX(DK16,1),3),③기타_가정!$E$246,③기타_가정!$E$247,③기타_가정!$E$248))</f>
        <v>76.894681727808</v>
      </c>
      <c r="DL39" s="37" t="n">
        <f aca="false">(DL14=1)*③기타_가정!$H$38*③기타_가정!$E$240*③기타_가정!$E$241/1000*(1+③기타_가정!$E$243)^INT((DL15-1)/③기타_가정!$E$244)*(1-CHOOSE(MIN(MAX(DL16,1),3),③기타_가정!$E$246,③기타_가정!$E$247,③기타_가정!$E$248))</f>
        <v>76.894681727808</v>
      </c>
      <c r="DM39" s="37" t="n">
        <f aca="false">(DM14=1)*③기타_가정!$H$38*③기타_가정!$E$240*③기타_가정!$E$241/1000*(1+③기타_가정!$E$243)^INT((DM15-1)/③기타_가정!$E$244)*(1-CHOOSE(MIN(MAX(DM16,1),3),③기타_가정!$E$246,③기타_가정!$E$247,③기타_가정!$E$248))</f>
        <v>76.894681727808</v>
      </c>
      <c r="DN39" s="37" t="n">
        <f aca="false">(DN14=1)*③기타_가정!$H$38*③기타_가정!$E$240*③기타_가정!$E$241/1000*(1+③기타_가정!$E$243)^INT((DN15-1)/③기타_가정!$E$244)*(1-CHOOSE(MIN(MAX(DN16,1),3),③기타_가정!$E$246,③기타_가정!$E$247,③기타_가정!$E$248))</f>
        <v>76.894681727808</v>
      </c>
      <c r="DO39" s="37" t="n">
        <f aca="false">(DO14=1)*③기타_가정!$H$38*③기타_가정!$E$240*③기타_가정!$E$241/1000*(1+③기타_가정!$E$243)^INT((DO15-1)/③기타_가정!$E$244)*(1-CHOOSE(MIN(MAX(DO16,1),3),③기타_가정!$E$246,③기타_가정!$E$247,③기타_가정!$E$248))</f>
        <v>76.894681727808</v>
      </c>
      <c r="DP39" s="37" t="n">
        <f aca="false">(DP14=1)*③기타_가정!$H$38*③기타_가정!$E$240*③기타_가정!$E$241/1000*(1+③기타_가정!$E$243)^INT((DP15-1)/③기타_가정!$E$244)*(1-CHOOSE(MIN(MAX(DP16,1),3),③기타_가정!$E$246,③기타_가정!$E$247,③기타_가정!$E$248))</f>
        <v>76.894681727808</v>
      </c>
      <c r="DQ39" s="37" t="n">
        <f aca="false">(DQ14=1)*③기타_가정!$H$38*③기타_가정!$E$240*③기타_가정!$E$241/1000*(1+③기타_가정!$E$243)^INT((DQ15-1)/③기타_가정!$E$244)*(1-CHOOSE(MIN(MAX(DQ16,1),3),③기타_가정!$E$246,③기타_가정!$E$247,③기타_가정!$E$248))</f>
        <v>76.894681727808</v>
      </c>
      <c r="DR39" s="37" t="n">
        <f aca="false">(DR14=1)*③기타_가정!$H$38*③기타_가정!$E$240*③기타_가정!$E$241/1000*(1+③기타_가정!$E$243)^INT((DR15-1)/③기타_가정!$E$244)*(1-CHOOSE(MIN(MAX(DR16,1),3),③기타_가정!$E$246,③기타_가정!$E$247,③기타_가정!$E$248))</f>
        <v>76.894681727808</v>
      </c>
      <c r="DS39" s="37" t="n">
        <f aca="false">(DS14=1)*③기타_가정!$H$38*③기타_가정!$E$240*③기타_가정!$E$241/1000*(1+③기타_가정!$E$243)^INT((DS15-1)/③기타_가정!$E$244)*(1-CHOOSE(MIN(MAX(DS16,1),3),③기타_가정!$E$246,③기타_가정!$E$247,③기타_가정!$E$248))</f>
        <v>76.894681727808</v>
      </c>
      <c r="DT39" s="37" t="n">
        <f aca="false">(DT14=1)*③기타_가정!$H$38*③기타_가정!$E$240*③기타_가정!$E$241/1000*(1+③기타_가정!$E$243)^INT((DT15-1)/③기타_가정!$E$244)*(1-CHOOSE(MIN(MAX(DT16,1),3),③기타_가정!$E$246,③기타_가정!$E$247,③기타_가정!$E$248))</f>
        <v>76.894681727808</v>
      </c>
      <c r="DU39" s="37" t="n">
        <f aca="false">(DU14=1)*③기타_가정!$H$38*③기타_가정!$E$240*③기타_가정!$E$241/1000*(1+③기타_가정!$E$243)^INT((DU15-1)/③기타_가정!$E$244)*(1-CHOOSE(MIN(MAX(DU16,1),3),③기타_가정!$E$246,③기타_가정!$E$247,③기타_가정!$E$248))</f>
        <v>0</v>
      </c>
      <c r="DV39" s="37" t="n">
        <f aca="false">(DV14=1)*③기타_가정!$H$38*③기타_가정!$E$240*③기타_가정!$E$241/1000*(1+③기타_가정!$E$243)^INT((DV15-1)/③기타_가정!$E$244)*(1-CHOOSE(MIN(MAX(DV16,1),3),③기타_가정!$E$246,③기타_가정!$E$247,③기타_가정!$E$248))</f>
        <v>0</v>
      </c>
      <c r="DW39" s="37" t="n">
        <f aca="false">(DW14=1)*③기타_가정!$H$38*③기타_가정!$E$240*③기타_가정!$E$241/1000*(1+③기타_가정!$E$243)^INT((DW15-1)/③기타_가정!$E$244)*(1-CHOOSE(MIN(MAX(DW16,1),3),③기타_가정!$E$246,③기타_가정!$E$247,③기타_가정!$E$248))</f>
        <v>0</v>
      </c>
      <c r="DX39" s="37" t="n">
        <f aca="false">(DX14=1)*③기타_가정!$H$38*③기타_가정!$E$240*③기타_가정!$E$241/1000*(1+③기타_가정!$E$243)^INT((DX15-1)/③기타_가정!$E$244)*(1-CHOOSE(MIN(MAX(DX16,1),3),③기타_가정!$E$246,③기타_가정!$E$247,③기타_가정!$E$248))</f>
        <v>0</v>
      </c>
      <c r="DY39" s="37" t="n">
        <f aca="false">(DY14=1)*③기타_가정!$H$38*③기타_가정!$E$240*③기타_가정!$E$241/1000*(1+③기타_가정!$E$243)^INT((DY15-1)/③기타_가정!$E$244)*(1-CHOOSE(MIN(MAX(DY16,1),3),③기타_가정!$E$246,③기타_가정!$E$247,③기타_가정!$E$248))</f>
        <v>0</v>
      </c>
      <c r="DZ39" s="37" t="n">
        <f aca="false">(DZ14=1)*③기타_가정!$H$38*③기타_가정!$E$240*③기타_가정!$E$241/1000*(1+③기타_가정!$E$243)^INT((DZ15-1)/③기타_가정!$E$244)*(1-CHOOSE(MIN(MAX(DZ16,1),3),③기타_가정!$E$246,③기타_가정!$E$247,③기타_가정!$E$248))</f>
        <v>0</v>
      </c>
      <c r="EA39" s="37" t="n">
        <f aca="false">(EA14=1)*③기타_가정!$H$38*③기타_가정!$E$240*③기타_가정!$E$241/1000*(1+③기타_가정!$E$243)^INT((EA15-1)/③기타_가정!$E$244)*(1-CHOOSE(MIN(MAX(EA16,1),3),③기타_가정!$E$246,③기타_가정!$E$247,③기타_가정!$E$248))</f>
        <v>0</v>
      </c>
      <c r="EB39" s="37" t="n">
        <f aca="false">(EB14=1)*③기타_가정!$H$38*③기타_가정!$E$240*③기타_가정!$E$241/1000*(1+③기타_가정!$E$243)^INT((EB15-1)/③기타_가정!$E$244)*(1-CHOOSE(MIN(MAX(EB16,1),3),③기타_가정!$E$246,③기타_가정!$E$247,③기타_가정!$E$248))</f>
        <v>0</v>
      </c>
      <c r="EC39" s="37" t="n">
        <f aca="false">(EC14=1)*③기타_가정!$H$38*③기타_가정!$E$240*③기타_가정!$E$241/1000*(1+③기타_가정!$E$243)^INT((EC15-1)/③기타_가정!$E$244)*(1-CHOOSE(MIN(MAX(EC16,1),3),③기타_가정!$E$246,③기타_가정!$E$247,③기타_가정!$E$248))</f>
        <v>0</v>
      </c>
      <c r="ED39" s="37" t="n">
        <f aca="false">(ED14=1)*③기타_가정!$H$38*③기타_가정!$E$240*③기타_가정!$E$241/1000*(1+③기타_가정!$E$243)^INT((ED15-1)/③기타_가정!$E$244)*(1-CHOOSE(MIN(MAX(ED16,1),3),③기타_가정!$E$246,③기타_가정!$E$247,③기타_가정!$E$248))</f>
        <v>0</v>
      </c>
      <c r="EE39" s="37" t="n">
        <f aca="false">(EE14=1)*③기타_가정!$H$38*③기타_가정!$E$240*③기타_가정!$E$241/1000*(1+③기타_가정!$E$243)^INT((EE15-1)/③기타_가정!$E$244)*(1-CHOOSE(MIN(MAX(EE16,1),3),③기타_가정!$E$246,③기타_가정!$E$247,③기타_가정!$E$248))</f>
        <v>0</v>
      </c>
      <c r="EF39" s="37" t="n">
        <f aca="false">(EF14=1)*③기타_가정!$H$38*③기타_가정!$E$240*③기타_가정!$E$241/1000*(1+③기타_가정!$E$243)^INT((EF15-1)/③기타_가정!$E$244)*(1-CHOOSE(MIN(MAX(EF16,1),3),③기타_가정!$E$246,③기타_가정!$E$247,③기타_가정!$E$248))</f>
        <v>0</v>
      </c>
    </row>
    <row r="40" customFormat="false" ht="15" hidden="false" customHeight="false" outlineLevel="0" collapsed="false">
      <c r="A40" s="36" t="s">
        <v>590</v>
      </c>
      <c r="B40" s="278" t="s">
        <v>21</v>
      </c>
      <c r="C40" s="279" t="n">
        <f aca="false">SUM(E40:EF40)</f>
        <v>1602.70281938765</v>
      </c>
      <c r="E40" s="37" t="n">
        <f aca="false">(E14=1)*③기타_가정!$H$38*③기타_가정!$E$253*③기타_가정!$E$254/1000*(1+③기타_가정!$E$256)^INT((E15-1)/③기타_가정!$E$257)*(1-CHOOSE(MIN(MAX(E16,1),3),③기타_가정!$E$259,③기타_가정!$E$260,③기타_가정!$E$261))</f>
        <v>0</v>
      </c>
      <c r="F40" s="37" t="n">
        <f aca="false">(F14=1)*③기타_가정!$H$38*③기타_가정!$E$253*③기타_가정!$E$254/1000*(1+③기타_가정!$E$256)^INT((F15-1)/③기타_가정!$E$257)*(1-CHOOSE(MIN(MAX(F16,1),3),③기타_가정!$E$259,③기타_가정!$E$260,③기타_가정!$E$261))</f>
        <v>0</v>
      </c>
      <c r="G40" s="37" t="n">
        <f aca="false">(G14=1)*③기타_가정!$H$38*③기타_가정!$E$253*③기타_가정!$E$254/1000*(1+③기타_가정!$E$256)^INT((G15-1)/③기타_가정!$E$257)*(1-CHOOSE(MIN(MAX(G16,1),3),③기타_가정!$E$259,③기타_가정!$E$260,③기타_가정!$E$261))</f>
        <v>0</v>
      </c>
      <c r="H40" s="37" t="n">
        <f aca="false">(H14=1)*③기타_가정!$H$38*③기타_가정!$E$253*③기타_가정!$E$254/1000*(1+③기타_가정!$E$256)^INT((H15-1)/③기타_가정!$E$257)*(1-CHOOSE(MIN(MAX(H16,1),3),③기타_가정!$E$259,③기타_가정!$E$260,③기타_가정!$E$261))</f>
        <v>0</v>
      </c>
      <c r="I40" s="37" t="n">
        <f aca="false">(I14=1)*③기타_가정!$H$38*③기타_가정!$E$253*③기타_가정!$E$254/1000*(1+③기타_가정!$E$256)^INT((I15-1)/③기타_가정!$E$257)*(1-CHOOSE(MIN(MAX(I16,1),3),③기타_가정!$E$259,③기타_가정!$E$260,③기타_가정!$E$261))</f>
        <v>0</v>
      </c>
      <c r="J40" s="37" t="n">
        <f aca="false">(J14=1)*③기타_가정!$H$38*③기타_가정!$E$253*③기타_가정!$E$254/1000*(1+③기타_가정!$E$256)^INT((J15-1)/③기타_가정!$E$257)*(1-CHOOSE(MIN(MAX(J16,1),3),③기타_가정!$E$259,③기타_가정!$E$260,③기타_가정!$E$261))</f>
        <v>0</v>
      </c>
      <c r="K40" s="37" t="n">
        <f aca="false">(K14=1)*③기타_가정!$H$38*③기타_가정!$E$253*③기타_가정!$E$254/1000*(1+③기타_가정!$E$256)^INT((K15-1)/③기타_가정!$E$257)*(1-CHOOSE(MIN(MAX(K16,1),3),③기타_가정!$E$259,③기타_가정!$E$260,③기타_가정!$E$261))</f>
        <v>0</v>
      </c>
      <c r="L40" s="37" t="n">
        <f aca="false">(L14=1)*③기타_가정!$H$38*③기타_가정!$E$253*③기타_가정!$E$254/1000*(1+③기타_가정!$E$256)^INT((L15-1)/③기타_가정!$E$257)*(1-CHOOSE(MIN(MAX(L16,1),3),③기타_가정!$E$259,③기타_가정!$E$260,③기타_가정!$E$261))</f>
        <v>0</v>
      </c>
      <c r="M40" s="37" t="n">
        <f aca="false">(M14=1)*③기타_가정!$H$38*③기타_가정!$E$253*③기타_가정!$E$254/1000*(1+③기타_가정!$E$256)^INT((M15-1)/③기타_가정!$E$257)*(1-CHOOSE(MIN(MAX(M16,1),3),③기타_가정!$E$259,③기타_가정!$E$260,③기타_가정!$E$261))</f>
        <v>0</v>
      </c>
      <c r="N40" s="37" t="n">
        <f aca="false">(N14=1)*③기타_가정!$H$38*③기타_가정!$E$253*③기타_가정!$E$254/1000*(1+③기타_가정!$E$256)^INT((N15-1)/③기타_가정!$E$257)*(1-CHOOSE(MIN(MAX(N16,1),3),③기타_가정!$E$259,③기타_가정!$E$260,③기타_가정!$E$261))</f>
        <v>0</v>
      </c>
      <c r="O40" s="37" t="n">
        <f aca="false">(O14=1)*③기타_가정!$H$38*③기타_가정!$E$253*③기타_가정!$E$254/1000*(1+③기타_가정!$E$256)^INT((O15-1)/③기타_가정!$E$257)*(1-CHOOSE(MIN(MAX(O16,1),3),③기타_가정!$E$259,③기타_가정!$E$260,③기타_가정!$E$261))</f>
        <v>0</v>
      </c>
      <c r="P40" s="37" t="n">
        <f aca="false">(P14=1)*③기타_가정!$H$38*③기타_가정!$E$253*③기타_가정!$E$254/1000*(1+③기타_가정!$E$256)^INT((P15-1)/③기타_가정!$E$257)*(1-CHOOSE(MIN(MAX(P16,1),3),③기타_가정!$E$259,③기타_가정!$E$260,③기타_가정!$E$261))</f>
        <v>0</v>
      </c>
      <c r="Q40" s="37" t="n">
        <f aca="false">(Q14=1)*③기타_가정!$H$38*③기타_가정!$E$253*③기타_가정!$E$254/1000*(1+③기타_가정!$E$256)^INT((Q15-1)/③기타_가정!$E$257)*(1-CHOOSE(MIN(MAX(Q16,1),3),③기타_가정!$E$259,③기타_가정!$E$260,③기타_가정!$E$261))</f>
        <v>0</v>
      </c>
      <c r="R40" s="37" t="n">
        <f aca="false">(R14=1)*③기타_가정!$H$38*③기타_가정!$E$253*③기타_가정!$E$254/1000*(1+③기타_가정!$E$256)^INT((R15-1)/③기타_가정!$E$257)*(1-CHOOSE(MIN(MAX(R16,1),3),③기타_가정!$E$259,③기타_가정!$E$260,③기타_가정!$E$261))</f>
        <v>0</v>
      </c>
      <c r="S40" s="37" t="n">
        <f aca="false">(S14=1)*③기타_가정!$H$38*③기타_가정!$E$253*③기타_가정!$E$254/1000*(1+③기타_가정!$E$256)^INT((S15-1)/③기타_가정!$E$257)*(1-CHOOSE(MIN(MAX(S16,1),3),③기타_가정!$E$259,③기타_가정!$E$260,③기타_가정!$E$261))</f>
        <v>0</v>
      </c>
      <c r="T40" s="37" t="n">
        <f aca="false">(T14=1)*③기타_가정!$H$38*③기타_가정!$E$253*③기타_가정!$E$254/1000*(1+③기타_가정!$E$256)^INT((T15-1)/③기타_가정!$E$257)*(1-CHOOSE(MIN(MAX(T16,1),3),③기타_가정!$E$259,③기타_가정!$E$260,③기타_가정!$E$261))</f>
        <v>0</v>
      </c>
      <c r="U40" s="37" t="n">
        <f aca="false">(U14=1)*③기타_가정!$H$38*③기타_가정!$E$253*③기타_가정!$E$254/1000*(1+③기타_가정!$E$256)^INT((U15-1)/③기타_가정!$E$257)*(1-CHOOSE(MIN(MAX(U16,1),3),③기타_가정!$E$259,③기타_가정!$E$260,③기타_가정!$E$261))</f>
        <v>0</v>
      </c>
      <c r="V40" s="37" t="n">
        <f aca="false">(V14=1)*③기타_가정!$H$38*③기타_가정!$E$253*③기타_가정!$E$254/1000*(1+③기타_가정!$E$256)^INT((V15-1)/③기타_가정!$E$257)*(1-CHOOSE(MIN(MAX(V16,1),3),③기타_가정!$E$259,③기타_가정!$E$260,③기타_가정!$E$261))</f>
        <v>0</v>
      </c>
      <c r="W40" s="37" t="n">
        <f aca="false">(W14=1)*③기타_가정!$H$38*③기타_가정!$E$253*③기타_가정!$E$254/1000*(1+③기타_가정!$E$256)^INT((W15-1)/③기타_가정!$E$257)*(1-CHOOSE(MIN(MAX(W16,1),3),③기타_가정!$E$259,③기타_가정!$E$260,③기타_가정!$E$261))</f>
        <v>0</v>
      </c>
      <c r="X40" s="37" t="n">
        <f aca="false">(X14=1)*③기타_가정!$H$38*③기타_가정!$E$253*③기타_가정!$E$254/1000*(1+③기타_가정!$E$256)^INT((X15-1)/③기타_가정!$E$257)*(1-CHOOSE(MIN(MAX(X16,1),3),③기타_가정!$E$259,③기타_가정!$E$260,③기타_가정!$E$261))</f>
        <v>0</v>
      </c>
      <c r="Y40" s="37" t="n">
        <f aca="false">(Y14=1)*③기타_가정!$H$38*③기타_가정!$E$253*③기타_가정!$E$254/1000*(1+③기타_가정!$E$256)^INT((Y15-1)/③기타_가정!$E$257)*(1-CHOOSE(MIN(MAX(Y16,1),3),③기타_가정!$E$259,③기타_가정!$E$260,③기타_가정!$E$261))</f>
        <v>0</v>
      </c>
      <c r="Z40" s="37" t="n">
        <f aca="false">(Z14=1)*③기타_가정!$H$38*③기타_가정!$E$253*③기타_가정!$E$254/1000*(1+③기타_가정!$E$256)^INT((Z15-1)/③기타_가정!$E$257)*(1-CHOOSE(MIN(MAX(Z16,1),3),③기타_가정!$E$259,③기타_가정!$E$260,③기타_가정!$E$261))</f>
        <v>0</v>
      </c>
      <c r="AA40" s="37" t="n">
        <f aca="false">(AA14=1)*③기타_가정!$H$38*③기타_가정!$E$253*③기타_가정!$E$254/1000*(1+③기타_가정!$E$256)^INT((AA15-1)/③기타_가정!$E$257)*(1-CHOOSE(MIN(MAX(AA16,1),3),③기타_가정!$E$259,③기타_가정!$E$260,③기타_가정!$E$261))</f>
        <v>0</v>
      </c>
      <c r="AB40" s="37" t="n">
        <f aca="false">(AB14=1)*③기타_가정!$H$38*③기타_가정!$E$253*③기타_가정!$E$254/1000*(1+③기타_가정!$E$256)^INT((AB15-1)/③기타_가정!$E$257)*(1-CHOOSE(MIN(MAX(AB16,1),3),③기타_가정!$E$259,③기타_가정!$E$260,③기타_가정!$E$261))</f>
        <v>0</v>
      </c>
      <c r="AC40" s="37" t="n">
        <f aca="false">(AC14=1)*③기타_가정!$H$38*③기타_가정!$E$253*③기타_가정!$E$254/1000*(1+③기타_가정!$E$256)^INT((AC15-1)/③기타_가정!$E$257)*(1-CHOOSE(MIN(MAX(AC16,1),3),③기타_가정!$E$259,③기타_가정!$E$260,③기타_가정!$E$261))</f>
        <v>0</v>
      </c>
      <c r="AD40" s="37" t="n">
        <f aca="false">(AD14=1)*③기타_가정!$H$38*③기타_가정!$E$253*③기타_가정!$E$254/1000*(1+③기타_가정!$E$256)^INT((AD15-1)/③기타_가정!$E$257)*(1-CHOOSE(MIN(MAX(AD16,1),3),③기타_가정!$E$259,③기타_가정!$E$260,③기타_가정!$E$261))</f>
        <v>0</v>
      </c>
      <c r="AE40" s="37" t="n">
        <f aca="false">(AE14=1)*③기타_가정!$H$38*③기타_가정!$E$253*③기타_가정!$E$254/1000*(1+③기타_가정!$E$256)^INT((AE15-1)/③기타_가정!$E$257)*(1-CHOOSE(MIN(MAX(AE16,1),3),③기타_가정!$E$259,③기타_가정!$E$260,③기타_가정!$E$261))</f>
        <v>0</v>
      </c>
      <c r="AF40" s="37" t="n">
        <f aca="false">(AF14=1)*③기타_가정!$H$38*③기타_가정!$E$253*③기타_가정!$E$254/1000*(1+③기타_가정!$E$256)^INT((AF15-1)/③기타_가정!$E$257)*(1-CHOOSE(MIN(MAX(AF16,1),3),③기타_가정!$E$259,③기타_가정!$E$260,③기타_가정!$E$261))</f>
        <v>0</v>
      </c>
      <c r="AG40" s="37" t="n">
        <f aca="false">(AG14=1)*③기타_가정!$H$38*③기타_가정!$E$253*③기타_가정!$E$254/1000*(1+③기타_가정!$E$256)^INT((AG15-1)/③기타_가정!$E$257)*(1-CHOOSE(MIN(MAX(AG16,1),3),③기타_가정!$E$259,③기타_가정!$E$260,③기타_가정!$E$261))</f>
        <v>0</v>
      </c>
      <c r="AH40" s="37" t="n">
        <f aca="false">(AH14=1)*③기타_가정!$H$38*③기타_가정!$E$253*③기타_가정!$E$254/1000*(1+③기타_가정!$E$256)^INT((AH15-1)/③기타_가정!$E$257)*(1-CHOOSE(MIN(MAX(AH16,1),3),③기타_가정!$E$259,③기타_가정!$E$260,③기타_가정!$E$261))</f>
        <v>0</v>
      </c>
      <c r="AI40" s="37" t="n">
        <f aca="false">(AI14=1)*③기타_가정!$H$38*③기타_가정!$E$253*③기타_가정!$E$254/1000*(1+③기타_가정!$E$256)^INT((AI15-1)/③기타_가정!$E$257)*(1-CHOOSE(MIN(MAX(AI16,1),3),③기타_가정!$E$259,③기타_가정!$E$260,③기타_가정!$E$261))</f>
        <v>0</v>
      </c>
      <c r="AJ40" s="37" t="n">
        <f aca="false">(AJ14=1)*③기타_가정!$H$38*③기타_가정!$E$253*③기타_가정!$E$254/1000*(1+③기타_가정!$E$256)^INT((AJ15-1)/③기타_가정!$E$257)*(1-CHOOSE(MIN(MAX(AJ16,1),3),③기타_가정!$E$259,③기타_가정!$E$260,③기타_가정!$E$261))</f>
        <v>0</v>
      </c>
      <c r="AK40" s="37" t="n">
        <f aca="false">(AK14=1)*③기타_가정!$H$38*③기타_가정!$E$253*③기타_가정!$E$254/1000*(1+③기타_가정!$E$256)^INT((AK15-1)/③기타_가정!$E$257)*(1-CHOOSE(MIN(MAX(AK16,1),3),③기타_가정!$E$259,③기타_가정!$E$260,③기타_가정!$E$261))</f>
        <v>0</v>
      </c>
      <c r="AL40" s="37" t="n">
        <f aca="false">(AL14=1)*③기타_가정!$H$38*③기타_가정!$E$253*③기타_가정!$E$254/1000*(1+③기타_가정!$E$256)^INT((AL15-1)/③기타_가정!$E$257)*(1-CHOOSE(MIN(MAX(AL16,1),3),③기타_가정!$E$259,③기타_가정!$E$260,③기타_가정!$E$261))</f>
        <v>0</v>
      </c>
      <c r="AM40" s="37" t="n">
        <f aca="false">(AM14=1)*③기타_가정!$H$38*③기타_가정!$E$253*③기타_가정!$E$254/1000*(1+③기타_가정!$E$256)^INT((AM15-1)/③기타_가정!$E$257)*(1-CHOOSE(MIN(MAX(AM16,1),3),③기타_가정!$E$259,③기타_가정!$E$260,③기타_가정!$E$261))</f>
        <v>0</v>
      </c>
      <c r="AN40" s="37" t="n">
        <f aca="false">(AN14=1)*③기타_가정!$H$38*③기타_가정!$E$253*③기타_가정!$E$254/1000*(1+③기타_가정!$E$256)^INT((AN15-1)/③기타_가정!$E$257)*(1-CHOOSE(MIN(MAX(AN16,1),3),③기타_가정!$E$259,③기타_가정!$E$260,③기타_가정!$E$261))</f>
        <v>0</v>
      </c>
      <c r="AO40" s="37" t="n">
        <f aca="false">(AO14=1)*③기타_가정!$H$38*③기타_가정!$E$253*③기타_가정!$E$254/1000*(1+③기타_가정!$E$256)^INT((AO15-1)/③기타_가정!$E$257)*(1-CHOOSE(MIN(MAX(AO16,1),3),③기타_가정!$E$259,③기타_가정!$E$260,③기타_가정!$E$261))</f>
        <v>0</v>
      </c>
      <c r="AP40" s="37" t="n">
        <f aca="false">(AP14=1)*③기타_가정!$H$38*③기타_가정!$E$253*③기타_가정!$E$254/1000*(1+③기타_가정!$E$256)^INT((AP15-1)/③기타_가정!$E$257)*(1-CHOOSE(MIN(MAX(AP16,1),3),③기타_가정!$E$259,③기타_가정!$E$260,③기타_가정!$E$261))</f>
        <v>0</v>
      </c>
      <c r="AQ40" s="37" t="n">
        <f aca="false">(AQ14=1)*③기타_가정!$H$38*③기타_가정!$E$253*③기타_가정!$E$254/1000*(1+③기타_가정!$E$256)^INT((AQ15-1)/③기타_가정!$E$257)*(1-CHOOSE(MIN(MAX(AQ16,1),3),③기타_가정!$E$259,③기타_가정!$E$260,③기타_가정!$E$261))</f>
        <v>0</v>
      </c>
      <c r="AR40" s="37" t="n">
        <f aca="false">(AR14=1)*③기타_가정!$H$38*③기타_가정!$E$253*③기타_가정!$E$254/1000*(1+③기타_가정!$E$256)^INT((AR15-1)/③기타_가정!$E$257)*(1-CHOOSE(MIN(MAX(AR16,1),3),③기타_가정!$E$259,③기타_가정!$E$260,③기타_가정!$E$261))</f>
        <v>0</v>
      </c>
      <c r="AS40" s="37" t="n">
        <f aca="false">(AS14=1)*③기타_가정!$H$38*③기타_가정!$E$253*③기타_가정!$E$254/1000*(1+③기타_가정!$E$256)^INT((AS15-1)/③기타_가정!$E$257)*(1-CHOOSE(MIN(MAX(AS16,1),3),③기타_가정!$E$259,③기타_가정!$E$260,③기타_가정!$E$261))</f>
        <v>0</v>
      </c>
      <c r="AT40" s="37" t="n">
        <f aca="false">(AT14=1)*③기타_가정!$H$38*③기타_가정!$E$253*③기타_가정!$E$254/1000*(1+③기타_가정!$E$256)^INT((AT15-1)/③기타_가정!$E$257)*(1-CHOOSE(MIN(MAX(AT16,1),3),③기타_가정!$E$259,③기타_가정!$E$260,③기타_가정!$E$261))</f>
        <v>0</v>
      </c>
      <c r="AU40" s="37" t="n">
        <f aca="false">(AU14=1)*③기타_가정!$H$38*③기타_가정!$E$253*③기타_가정!$E$254/1000*(1+③기타_가정!$E$256)^INT((AU15-1)/③기타_가정!$E$257)*(1-CHOOSE(MIN(MAX(AU16,1),3),③기타_가정!$E$259,③기타_가정!$E$260,③기타_가정!$E$261))</f>
        <v>0</v>
      </c>
      <c r="AV40" s="37" t="n">
        <f aca="false">(AV14=1)*③기타_가정!$H$38*③기타_가정!$E$253*③기타_가정!$E$254/1000*(1+③기타_가정!$E$256)^INT((AV15-1)/③기타_가정!$E$257)*(1-CHOOSE(MIN(MAX(AV16,1),3),③기타_가정!$E$259,③기타_가정!$E$260,③기타_가정!$E$261))</f>
        <v>0</v>
      </c>
      <c r="AW40" s="37" t="n">
        <f aca="false">(AW14=1)*③기타_가정!$H$38*③기타_가정!$E$253*③기타_가정!$E$254/1000*(1+③기타_가정!$E$256)^INT((AW15-1)/③기타_가정!$E$257)*(1-CHOOSE(MIN(MAX(AW16,1),3),③기타_가정!$E$259,③기타_가정!$E$260,③기타_가정!$E$261))</f>
        <v>0</v>
      </c>
      <c r="AX40" s="37" t="n">
        <f aca="false">(AX14=1)*③기타_가정!$H$38*③기타_가정!$E$253*③기타_가정!$E$254/1000*(1+③기타_가정!$E$256)^INT((AX15-1)/③기타_가정!$E$257)*(1-CHOOSE(MIN(MAX(AX16,1),3),③기타_가정!$E$259,③기타_가정!$E$260,③기타_가정!$E$261))</f>
        <v>0</v>
      </c>
      <c r="AY40" s="37" t="n">
        <f aca="false">(AY14=1)*③기타_가정!$H$38*③기타_가정!$E$253*③기타_가정!$E$254/1000*(1+③기타_가정!$E$256)^INT((AY15-1)/③기타_가정!$E$257)*(1-CHOOSE(MIN(MAX(AY16,1),3),③기타_가정!$E$259,③기타_가정!$E$260,③기타_가정!$E$261))</f>
        <v>0</v>
      </c>
      <c r="AZ40" s="37" t="n">
        <f aca="false">(AZ14=1)*③기타_가정!$H$38*③기타_가정!$E$253*③기타_가정!$E$254/1000*(1+③기타_가정!$E$256)^INT((AZ15-1)/③기타_가정!$E$257)*(1-CHOOSE(MIN(MAX(AZ16,1),3),③기타_가정!$E$259,③기타_가정!$E$260,③기타_가정!$E$261))</f>
        <v>0</v>
      </c>
      <c r="BA40" s="37" t="n">
        <f aca="false">(BA14=1)*③기타_가정!$H$38*③기타_가정!$E$253*③기타_가정!$E$254/1000*(1+③기타_가정!$E$256)^INT((BA15-1)/③기타_가정!$E$257)*(1-CHOOSE(MIN(MAX(BA16,1),3),③기타_가정!$E$259,③기타_가정!$E$260,③기타_가정!$E$261))</f>
        <v>0</v>
      </c>
      <c r="BB40" s="37" t="n">
        <f aca="false">(BB14=1)*③기타_가정!$H$38*③기타_가정!$E$253*③기타_가정!$E$254/1000*(1+③기타_가정!$E$256)^INT((BB15-1)/③기타_가정!$E$257)*(1-CHOOSE(MIN(MAX(BB16,1),3),③기타_가정!$E$259,③기타_가정!$E$260,③기타_가정!$E$261))</f>
        <v>0</v>
      </c>
      <c r="BC40" s="37" t="n">
        <f aca="false">(BC14=1)*③기타_가정!$H$38*③기타_가정!$E$253*③기타_가정!$E$254/1000*(1+③기타_가정!$E$256)^INT((BC15-1)/③기타_가정!$E$257)*(1-CHOOSE(MIN(MAX(BC16,1),3),③기타_가정!$E$259,③기타_가정!$E$260,③기타_가정!$E$261))</f>
        <v>0</v>
      </c>
      <c r="BD40" s="37" t="n">
        <f aca="false">(BD14=1)*③기타_가정!$H$38*③기타_가정!$E$253*③기타_가정!$E$254/1000*(1+③기타_가정!$E$256)^INT((BD15-1)/③기타_가정!$E$257)*(1-CHOOSE(MIN(MAX(BD16,1),3),③기타_가정!$E$259,③기타_가정!$E$260,③기타_가정!$E$261))</f>
        <v>0</v>
      </c>
      <c r="BE40" s="37" t="n">
        <f aca="false">(BE14=1)*③기타_가정!$H$38*③기타_가정!$E$253*③기타_가정!$E$254/1000*(1+③기타_가정!$E$256)^INT((BE15-1)/③기타_가정!$E$257)*(1-CHOOSE(MIN(MAX(BE16,1),3),③기타_가정!$E$259,③기타_가정!$E$260,③기타_가정!$E$261))</f>
        <v>0</v>
      </c>
      <c r="BF40" s="37" t="n">
        <f aca="false">(BF14=1)*③기타_가정!$H$38*③기타_가정!$E$253*③기타_가정!$E$254/1000*(1+③기타_가정!$E$256)^INT((BF15-1)/③기타_가정!$E$257)*(1-CHOOSE(MIN(MAX(BF16,1),3),③기타_가정!$E$259,③기타_가정!$E$260,③기타_가정!$E$261))</f>
        <v>0</v>
      </c>
      <c r="BG40" s="37" t="n">
        <f aca="false">(BG14=1)*③기타_가정!$H$38*③기타_가정!$E$253*③기타_가정!$E$254/1000*(1+③기타_가정!$E$256)^INT((BG15-1)/③기타_가정!$E$257)*(1-CHOOSE(MIN(MAX(BG16,1),3),③기타_가정!$E$259,③기타_가정!$E$260,③기타_가정!$E$261))</f>
        <v>0</v>
      </c>
      <c r="BH40" s="37" t="n">
        <f aca="false">(BH14=1)*③기타_가정!$H$38*③기타_가정!$E$253*③기타_가정!$E$254/1000*(1+③기타_가정!$E$256)^INT((BH15-1)/③기타_가정!$E$257)*(1-CHOOSE(MIN(MAX(BH16,1),3),③기타_가정!$E$259,③기타_가정!$E$260,③기타_가정!$E$261))</f>
        <v>0</v>
      </c>
      <c r="BI40" s="37" t="n">
        <f aca="false">(BI14=1)*③기타_가정!$H$38*③기타_가정!$E$253*③기타_가정!$E$254/1000*(1+③기타_가정!$E$256)^INT((BI15-1)/③기타_가정!$E$257)*(1-CHOOSE(MIN(MAX(BI16,1),3),③기타_가정!$E$259,③기타_가정!$E$260,③기타_가정!$E$261))</f>
        <v>0</v>
      </c>
      <c r="BJ40" s="37" t="n">
        <f aca="false">(BJ14=1)*③기타_가정!$H$38*③기타_가정!$E$253*③기타_가정!$E$254/1000*(1+③기타_가정!$E$256)^INT((BJ15-1)/③기타_가정!$E$257)*(1-CHOOSE(MIN(MAX(BJ16,1),3),③기타_가정!$E$259,③기타_가정!$E$260,③기타_가정!$E$261))</f>
        <v>0</v>
      </c>
      <c r="BK40" s="37" t="n">
        <f aca="false">(BK14=1)*③기타_가정!$H$38*③기타_가정!$E$253*③기타_가정!$E$254/1000*(1+③기타_가정!$E$256)^INT((BK15-1)/③기타_가정!$E$257)*(1-CHOOSE(MIN(MAX(BK16,1),3),③기타_가정!$E$259,③기타_가정!$E$260,③기타_가정!$E$261))</f>
        <v>0</v>
      </c>
      <c r="BL40" s="37" t="n">
        <f aca="false">(BL14=1)*③기타_가정!$H$38*③기타_가정!$E$253*③기타_가정!$E$254/1000*(1+③기타_가정!$E$256)^INT((BL15-1)/③기타_가정!$E$257)*(1-CHOOSE(MIN(MAX(BL16,1),3),③기타_가정!$E$259,③기타_가정!$E$260,③기타_가정!$E$261))</f>
        <v>0</v>
      </c>
      <c r="BM40" s="37" t="n">
        <f aca="false">(BM14=1)*③기타_가정!$H$38*③기타_가정!$E$253*③기타_가정!$E$254/1000*(1+③기타_가정!$E$256)^INT((BM15-1)/③기타_가정!$E$257)*(1-CHOOSE(MIN(MAX(BM16,1),3),③기타_가정!$E$259,③기타_가정!$E$260,③기타_가정!$E$261))</f>
        <v>25.6644</v>
      </c>
      <c r="BN40" s="37" t="n">
        <f aca="false">(BN14=1)*③기타_가정!$H$38*③기타_가정!$E$253*③기타_가정!$E$254/1000*(1+③기타_가정!$E$256)^INT((BN15-1)/③기타_가정!$E$257)*(1-CHOOSE(MIN(MAX(BN16,1),3),③기타_가정!$E$259,③기타_가정!$E$260,③기타_가정!$E$261))</f>
        <v>25.6644</v>
      </c>
      <c r="BO40" s="37" t="n">
        <f aca="false">(BO14=1)*③기타_가정!$H$38*③기타_가정!$E$253*③기타_가정!$E$254/1000*(1+③기타_가정!$E$256)^INT((BO15-1)/③기타_가정!$E$257)*(1-CHOOSE(MIN(MAX(BO16,1),3),③기타_가정!$E$259,③기타_가정!$E$260,③기타_가정!$E$261))</f>
        <v>25.6644</v>
      </c>
      <c r="BP40" s="37" t="n">
        <f aca="false">(BP14=1)*③기타_가정!$H$38*③기타_가정!$E$253*③기타_가정!$E$254/1000*(1+③기타_가정!$E$256)^INT((BP15-1)/③기타_가정!$E$257)*(1-CHOOSE(MIN(MAX(BP16,1),3),③기타_가정!$E$259,③기타_가정!$E$260,③기타_가정!$E$261))</f>
        <v>25.6644</v>
      </c>
      <c r="BQ40" s="37" t="n">
        <f aca="false">(BQ14=1)*③기타_가정!$H$38*③기타_가정!$E$253*③기타_가정!$E$254/1000*(1+③기타_가정!$E$256)^INT((BQ15-1)/③기타_가정!$E$257)*(1-CHOOSE(MIN(MAX(BQ16,1),3),③기타_가정!$E$259,③기타_가정!$E$260,③기타_가정!$E$261))</f>
        <v>25.6644</v>
      </c>
      <c r="BR40" s="37" t="n">
        <f aca="false">(BR14=1)*③기타_가정!$H$38*③기타_가정!$E$253*③기타_가정!$E$254/1000*(1+③기타_가정!$E$256)^INT((BR15-1)/③기타_가정!$E$257)*(1-CHOOSE(MIN(MAX(BR16,1),3),③기타_가정!$E$259,③기타_가정!$E$260,③기타_가정!$E$261))</f>
        <v>25.6644</v>
      </c>
      <c r="BS40" s="37" t="n">
        <f aca="false">(BS14=1)*③기타_가정!$H$38*③기타_가정!$E$253*③기타_가정!$E$254/1000*(1+③기타_가정!$E$256)^INT((BS15-1)/③기타_가정!$E$257)*(1-CHOOSE(MIN(MAX(BS16,1),3),③기타_가정!$E$259,③기타_가정!$E$260,③기타_가정!$E$261))</f>
        <v>25.6644</v>
      </c>
      <c r="BT40" s="37" t="n">
        <f aca="false">(BT14=1)*③기타_가정!$H$38*③기타_가정!$E$253*③기타_가정!$E$254/1000*(1+③기타_가정!$E$256)^INT((BT15-1)/③기타_가정!$E$257)*(1-CHOOSE(MIN(MAX(BT16,1),3),③기타_가정!$E$259,③기타_가정!$E$260,③기타_가정!$E$261))</f>
        <v>25.6644</v>
      </c>
      <c r="BU40" s="37" t="n">
        <f aca="false">(BU14=1)*③기타_가정!$H$38*③기타_가정!$E$253*③기타_가정!$E$254/1000*(1+③기타_가정!$E$256)^INT((BU15-1)/③기타_가정!$E$257)*(1-CHOOSE(MIN(MAX(BU16,1),3),③기타_가정!$E$259,③기타_가정!$E$260,③기타_가정!$E$261))</f>
        <v>25.6644</v>
      </c>
      <c r="BV40" s="37" t="n">
        <f aca="false">(BV14=1)*③기타_가정!$H$38*③기타_가정!$E$253*③기타_가정!$E$254/1000*(1+③기타_가정!$E$256)^INT((BV15-1)/③기타_가정!$E$257)*(1-CHOOSE(MIN(MAX(BV16,1),3),③기타_가정!$E$259,③기타_가정!$E$260,③기타_가정!$E$261))</f>
        <v>25.6644</v>
      </c>
      <c r="BW40" s="37" t="n">
        <f aca="false">(BW14=1)*③기타_가정!$H$38*③기타_가정!$E$253*③기타_가정!$E$254/1000*(1+③기타_가정!$E$256)^INT((BW15-1)/③기타_가정!$E$257)*(1-CHOOSE(MIN(MAX(BW16,1),3),③기타_가정!$E$259,③기타_가정!$E$260,③기타_가정!$E$261))</f>
        <v>25.6644</v>
      </c>
      <c r="BX40" s="37" t="n">
        <f aca="false">(BX14=1)*③기타_가정!$H$38*③기타_가정!$E$253*③기타_가정!$E$254/1000*(1+③기타_가정!$E$256)^INT((BX15-1)/③기타_가정!$E$257)*(1-CHOOSE(MIN(MAX(BX16,1),3),③기타_가정!$E$259,③기타_가정!$E$260,③기타_가정!$E$261))</f>
        <v>25.6644</v>
      </c>
      <c r="BY40" s="37" t="n">
        <f aca="false">(BY14=1)*③기타_가정!$H$38*③기타_가정!$E$253*③기타_가정!$E$254/1000*(1+③기타_가정!$E$256)^INT((BY15-1)/③기타_가정!$E$257)*(1-CHOOSE(MIN(MAX(BY16,1),3),③기타_가정!$E$259,③기타_가정!$E$260,③기타_가정!$E$261))</f>
        <v>26.177688</v>
      </c>
      <c r="BZ40" s="37" t="n">
        <f aca="false">(BZ14=1)*③기타_가정!$H$38*③기타_가정!$E$253*③기타_가정!$E$254/1000*(1+③기타_가정!$E$256)^INT((BZ15-1)/③기타_가정!$E$257)*(1-CHOOSE(MIN(MAX(BZ16,1),3),③기타_가정!$E$259,③기타_가정!$E$260,③기타_가정!$E$261))</f>
        <v>26.177688</v>
      </c>
      <c r="CA40" s="37" t="n">
        <f aca="false">(CA14=1)*③기타_가정!$H$38*③기타_가정!$E$253*③기타_가정!$E$254/1000*(1+③기타_가정!$E$256)^INT((CA15-1)/③기타_가정!$E$257)*(1-CHOOSE(MIN(MAX(CA16,1),3),③기타_가정!$E$259,③기타_가정!$E$260,③기타_가정!$E$261))</f>
        <v>26.177688</v>
      </c>
      <c r="CB40" s="37" t="n">
        <f aca="false">(CB14=1)*③기타_가정!$H$38*③기타_가정!$E$253*③기타_가정!$E$254/1000*(1+③기타_가정!$E$256)^INT((CB15-1)/③기타_가정!$E$257)*(1-CHOOSE(MIN(MAX(CB16,1),3),③기타_가정!$E$259,③기타_가정!$E$260,③기타_가정!$E$261))</f>
        <v>26.177688</v>
      </c>
      <c r="CC40" s="37" t="n">
        <f aca="false">(CC14=1)*③기타_가정!$H$38*③기타_가정!$E$253*③기타_가정!$E$254/1000*(1+③기타_가정!$E$256)^INT((CC15-1)/③기타_가정!$E$257)*(1-CHOOSE(MIN(MAX(CC16,1),3),③기타_가정!$E$259,③기타_가정!$E$260,③기타_가정!$E$261))</f>
        <v>26.177688</v>
      </c>
      <c r="CD40" s="37" t="n">
        <f aca="false">(CD14=1)*③기타_가정!$H$38*③기타_가정!$E$253*③기타_가정!$E$254/1000*(1+③기타_가정!$E$256)^INT((CD15-1)/③기타_가정!$E$257)*(1-CHOOSE(MIN(MAX(CD16,1),3),③기타_가정!$E$259,③기타_가정!$E$260,③기타_가정!$E$261))</f>
        <v>26.177688</v>
      </c>
      <c r="CE40" s="37" t="n">
        <f aca="false">(CE14=1)*③기타_가정!$H$38*③기타_가정!$E$253*③기타_가정!$E$254/1000*(1+③기타_가정!$E$256)^INT((CE15-1)/③기타_가정!$E$257)*(1-CHOOSE(MIN(MAX(CE16,1),3),③기타_가정!$E$259,③기타_가정!$E$260,③기타_가정!$E$261))</f>
        <v>26.177688</v>
      </c>
      <c r="CF40" s="37" t="n">
        <f aca="false">(CF14=1)*③기타_가정!$H$38*③기타_가정!$E$253*③기타_가정!$E$254/1000*(1+③기타_가정!$E$256)^INT((CF15-1)/③기타_가정!$E$257)*(1-CHOOSE(MIN(MAX(CF16,1),3),③기타_가정!$E$259,③기타_가정!$E$260,③기타_가정!$E$261))</f>
        <v>26.177688</v>
      </c>
      <c r="CG40" s="37" t="n">
        <f aca="false">(CG14=1)*③기타_가정!$H$38*③기타_가정!$E$253*③기타_가정!$E$254/1000*(1+③기타_가정!$E$256)^INT((CG15-1)/③기타_가정!$E$257)*(1-CHOOSE(MIN(MAX(CG16,1),3),③기타_가정!$E$259,③기타_가정!$E$260,③기타_가정!$E$261))</f>
        <v>26.177688</v>
      </c>
      <c r="CH40" s="37" t="n">
        <f aca="false">(CH14=1)*③기타_가정!$H$38*③기타_가정!$E$253*③기타_가정!$E$254/1000*(1+③기타_가정!$E$256)^INT((CH15-1)/③기타_가정!$E$257)*(1-CHOOSE(MIN(MAX(CH16,1),3),③기타_가정!$E$259,③기타_가정!$E$260,③기타_가정!$E$261))</f>
        <v>26.177688</v>
      </c>
      <c r="CI40" s="37" t="n">
        <f aca="false">(CI14=1)*③기타_가정!$H$38*③기타_가정!$E$253*③기타_가정!$E$254/1000*(1+③기타_가정!$E$256)^INT((CI15-1)/③기타_가정!$E$257)*(1-CHOOSE(MIN(MAX(CI16,1),3),③기타_가정!$E$259,③기타_가정!$E$260,③기타_가정!$E$261))</f>
        <v>26.177688</v>
      </c>
      <c r="CJ40" s="37" t="n">
        <f aca="false">(CJ14=1)*③기타_가정!$H$38*③기타_가정!$E$253*③기타_가정!$E$254/1000*(1+③기타_가정!$E$256)^INT((CJ15-1)/③기타_가정!$E$257)*(1-CHOOSE(MIN(MAX(CJ16,1),3),③기타_가정!$E$259,③기타_가정!$E$260,③기타_가정!$E$261))</f>
        <v>26.177688</v>
      </c>
      <c r="CK40" s="37" t="n">
        <f aca="false">(CK14=1)*③기타_가정!$H$38*③기타_가정!$E$253*③기타_가정!$E$254/1000*(1+③기타_가정!$E$256)^INT((CK15-1)/③기타_가정!$E$257)*(1-CHOOSE(MIN(MAX(CK16,1),3),③기타_가정!$E$259,③기타_가정!$E$260,③기타_가정!$E$261))</f>
        <v>26.70124176</v>
      </c>
      <c r="CL40" s="37" t="n">
        <f aca="false">(CL14=1)*③기타_가정!$H$38*③기타_가정!$E$253*③기타_가정!$E$254/1000*(1+③기타_가정!$E$256)^INT((CL15-1)/③기타_가정!$E$257)*(1-CHOOSE(MIN(MAX(CL16,1),3),③기타_가정!$E$259,③기타_가정!$E$260,③기타_가정!$E$261))</f>
        <v>26.70124176</v>
      </c>
      <c r="CM40" s="37" t="n">
        <f aca="false">(CM14=1)*③기타_가정!$H$38*③기타_가정!$E$253*③기타_가정!$E$254/1000*(1+③기타_가정!$E$256)^INT((CM15-1)/③기타_가정!$E$257)*(1-CHOOSE(MIN(MAX(CM16,1),3),③기타_가정!$E$259,③기타_가정!$E$260,③기타_가정!$E$261))</f>
        <v>26.70124176</v>
      </c>
      <c r="CN40" s="37" t="n">
        <f aca="false">(CN14=1)*③기타_가정!$H$38*③기타_가정!$E$253*③기타_가정!$E$254/1000*(1+③기타_가정!$E$256)^INT((CN15-1)/③기타_가정!$E$257)*(1-CHOOSE(MIN(MAX(CN16,1),3),③기타_가정!$E$259,③기타_가정!$E$260,③기타_가정!$E$261))</f>
        <v>26.70124176</v>
      </c>
      <c r="CO40" s="37" t="n">
        <f aca="false">(CO14=1)*③기타_가정!$H$38*③기타_가정!$E$253*③기타_가정!$E$254/1000*(1+③기타_가정!$E$256)^INT((CO15-1)/③기타_가정!$E$257)*(1-CHOOSE(MIN(MAX(CO16,1),3),③기타_가정!$E$259,③기타_가정!$E$260,③기타_가정!$E$261))</f>
        <v>26.70124176</v>
      </c>
      <c r="CP40" s="37" t="n">
        <f aca="false">(CP14=1)*③기타_가정!$H$38*③기타_가정!$E$253*③기타_가정!$E$254/1000*(1+③기타_가정!$E$256)^INT((CP15-1)/③기타_가정!$E$257)*(1-CHOOSE(MIN(MAX(CP16,1),3),③기타_가정!$E$259,③기타_가정!$E$260,③기타_가정!$E$261))</f>
        <v>26.70124176</v>
      </c>
      <c r="CQ40" s="37" t="n">
        <f aca="false">(CQ14=1)*③기타_가정!$H$38*③기타_가정!$E$253*③기타_가정!$E$254/1000*(1+③기타_가정!$E$256)^INT((CQ15-1)/③기타_가정!$E$257)*(1-CHOOSE(MIN(MAX(CQ16,1),3),③기타_가정!$E$259,③기타_가정!$E$260,③기타_가정!$E$261))</f>
        <v>26.70124176</v>
      </c>
      <c r="CR40" s="37" t="n">
        <f aca="false">(CR14=1)*③기타_가정!$H$38*③기타_가정!$E$253*③기타_가정!$E$254/1000*(1+③기타_가정!$E$256)^INT((CR15-1)/③기타_가정!$E$257)*(1-CHOOSE(MIN(MAX(CR16,1),3),③기타_가정!$E$259,③기타_가정!$E$260,③기타_가정!$E$261))</f>
        <v>26.70124176</v>
      </c>
      <c r="CS40" s="37" t="n">
        <f aca="false">(CS14=1)*③기타_가정!$H$38*③기타_가정!$E$253*③기타_가정!$E$254/1000*(1+③기타_가정!$E$256)^INT((CS15-1)/③기타_가정!$E$257)*(1-CHOOSE(MIN(MAX(CS16,1),3),③기타_가정!$E$259,③기타_가정!$E$260,③기타_가정!$E$261))</f>
        <v>26.70124176</v>
      </c>
      <c r="CT40" s="37" t="n">
        <f aca="false">(CT14=1)*③기타_가정!$H$38*③기타_가정!$E$253*③기타_가정!$E$254/1000*(1+③기타_가정!$E$256)^INT((CT15-1)/③기타_가정!$E$257)*(1-CHOOSE(MIN(MAX(CT16,1),3),③기타_가정!$E$259,③기타_가정!$E$260,③기타_가정!$E$261))</f>
        <v>26.70124176</v>
      </c>
      <c r="CU40" s="37" t="n">
        <f aca="false">(CU14=1)*③기타_가정!$H$38*③기타_가정!$E$253*③기타_가정!$E$254/1000*(1+③기타_가정!$E$256)^INT((CU15-1)/③기타_가정!$E$257)*(1-CHOOSE(MIN(MAX(CU16,1),3),③기타_가정!$E$259,③기타_가정!$E$260,③기타_가정!$E$261))</f>
        <v>26.70124176</v>
      </c>
      <c r="CV40" s="37" t="n">
        <f aca="false">(CV14=1)*③기타_가정!$H$38*③기타_가정!$E$253*③기타_가정!$E$254/1000*(1+③기타_가정!$E$256)^INT((CV15-1)/③기타_가정!$E$257)*(1-CHOOSE(MIN(MAX(CV16,1),3),③기타_가정!$E$259,③기타_가정!$E$260,③기타_가정!$E$261))</f>
        <v>26.70124176</v>
      </c>
      <c r="CW40" s="37" t="n">
        <f aca="false">(CW14=1)*③기타_가정!$H$38*③기타_가정!$E$253*③기타_가정!$E$254/1000*(1+③기타_가정!$E$256)^INT((CW15-1)/③기타_가정!$E$257)*(1-CHOOSE(MIN(MAX(CW16,1),3),③기타_가정!$E$259,③기타_가정!$E$260,③기타_가정!$E$261))</f>
        <v>27.2352665952</v>
      </c>
      <c r="CX40" s="37" t="n">
        <f aca="false">(CX14=1)*③기타_가정!$H$38*③기타_가정!$E$253*③기타_가정!$E$254/1000*(1+③기타_가정!$E$256)^INT((CX15-1)/③기타_가정!$E$257)*(1-CHOOSE(MIN(MAX(CX16,1),3),③기타_가정!$E$259,③기타_가정!$E$260,③기타_가정!$E$261))</f>
        <v>27.2352665952</v>
      </c>
      <c r="CY40" s="37" t="n">
        <f aca="false">(CY14=1)*③기타_가정!$H$38*③기타_가정!$E$253*③기타_가정!$E$254/1000*(1+③기타_가정!$E$256)^INT((CY15-1)/③기타_가정!$E$257)*(1-CHOOSE(MIN(MAX(CY16,1),3),③기타_가정!$E$259,③기타_가정!$E$260,③기타_가정!$E$261))</f>
        <v>27.2352665952</v>
      </c>
      <c r="CZ40" s="37" t="n">
        <f aca="false">(CZ14=1)*③기타_가정!$H$38*③기타_가정!$E$253*③기타_가정!$E$254/1000*(1+③기타_가정!$E$256)^INT((CZ15-1)/③기타_가정!$E$257)*(1-CHOOSE(MIN(MAX(CZ16,1),3),③기타_가정!$E$259,③기타_가정!$E$260,③기타_가정!$E$261))</f>
        <v>27.2352665952</v>
      </c>
      <c r="DA40" s="37" t="n">
        <f aca="false">(DA14=1)*③기타_가정!$H$38*③기타_가정!$E$253*③기타_가정!$E$254/1000*(1+③기타_가정!$E$256)^INT((DA15-1)/③기타_가정!$E$257)*(1-CHOOSE(MIN(MAX(DA16,1),3),③기타_가정!$E$259,③기타_가정!$E$260,③기타_가정!$E$261))</f>
        <v>27.2352665952</v>
      </c>
      <c r="DB40" s="37" t="n">
        <f aca="false">(DB14=1)*③기타_가정!$H$38*③기타_가정!$E$253*③기타_가정!$E$254/1000*(1+③기타_가정!$E$256)^INT((DB15-1)/③기타_가정!$E$257)*(1-CHOOSE(MIN(MAX(DB16,1),3),③기타_가정!$E$259,③기타_가정!$E$260,③기타_가정!$E$261))</f>
        <v>27.2352665952</v>
      </c>
      <c r="DC40" s="37" t="n">
        <f aca="false">(DC14=1)*③기타_가정!$H$38*③기타_가정!$E$253*③기타_가정!$E$254/1000*(1+③기타_가정!$E$256)^INT((DC15-1)/③기타_가정!$E$257)*(1-CHOOSE(MIN(MAX(DC16,1),3),③기타_가정!$E$259,③기타_가정!$E$260,③기타_가정!$E$261))</f>
        <v>27.2352665952</v>
      </c>
      <c r="DD40" s="37" t="n">
        <f aca="false">(DD14=1)*③기타_가정!$H$38*③기타_가정!$E$253*③기타_가정!$E$254/1000*(1+③기타_가정!$E$256)^INT((DD15-1)/③기타_가정!$E$257)*(1-CHOOSE(MIN(MAX(DD16,1),3),③기타_가정!$E$259,③기타_가정!$E$260,③기타_가정!$E$261))</f>
        <v>27.2352665952</v>
      </c>
      <c r="DE40" s="37" t="n">
        <f aca="false">(DE14=1)*③기타_가정!$H$38*③기타_가정!$E$253*③기타_가정!$E$254/1000*(1+③기타_가정!$E$256)^INT((DE15-1)/③기타_가정!$E$257)*(1-CHOOSE(MIN(MAX(DE16,1),3),③기타_가정!$E$259,③기타_가정!$E$260,③기타_가정!$E$261))</f>
        <v>27.2352665952</v>
      </c>
      <c r="DF40" s="37" t="n">
        <f aca="false">(DF14=1)*③기타_가정!$H$38*③기타_가정!$E$253*③기타_가정!$E$254/1000*(1+③기타_가정!$E$256)^INT((DF15-1)/③기타_가정!$E$257)*(1-CHOOSE(MIN(MAX(DF16,1),3),③기타_가정!$E$259,③기타_가정!$E$260,③기타_가정!$E$261))</f>
        <v>27.2352665952</v>
      </c>
      <c r="DG40" s="37" t="n">
        <f aca="false">(DG14=1)*③기타_가정!$H$38*③기타_가정!$E$253*③기타_가정!$E$254/1000*(1+③기타_가정!$E$256)^INT((DG15-1)/③기타_가정!$E$257)*(1-CHOOSE(MIN(MAX(DG16,1),3),③기타_가정!$E$259,③기타_가정!$E$260,③기타_가정!$E$261))</f>
        <v>27.2352665952</v>
      </c>
      <c r="DH40" s="37" t="n">
        <f aca="false">(DH14=1)*③기타_가정!$H$38*③기타_가정!$E$253*③기타_가정!$E$254/1000*(1+③기타_가정!$E$256)^INT((DH15-1)/③기타_가정!$E$257)*(1-CHOOSE(MIN(MAX(DH16,1),3),③기타_가정!$E$259,③기타_가정!$E$260,③기타_가정!$E$261))</f>
        <v>27.2352665952</v>
      </c>
      <c r="DI40" s="37" t="n">
        <f aca="false">(DI14=1)*③기타_가정!$H$38*③기타_가정!$E$253*③기타_가정!$E$254/1000*(1+③기타_가정!$E$256)^INT((DI15-1)/③기타_가정!$E$257)*(1-CHOOSE(MIN(MAX(DI16,1),3),③기타_가정!$E$259,③기타_가정!$E$260,③기타_가정!$E$261))</f>
        <v>27.779971927104</v>
      </c>
      <c r="DJ40" s="37" t="n">
        <f aca="false">(DJ14=1)*③기타_가정!$H$38*③기타_가정!$E$253*③기타_가정!$E$254/1000*(1+③기타_가정!$E$256)^INT((DJ15-1)/③기타_가정!$E$257)*(1-CHOOSE(MIN(MAX(DJ16,1),3),③기타_가정!$E$259,③기타_가정!$E$260,③기타_가정!$E$261))</f>
        <v>27.779971927104</v>
      </c>
      <c r="DK40" s="37" t="n">
        <f aca="false">(DK14=1)*③기타_가정!$H$38*③기타_가정!$E$253*③기타_가정!$E$254/1000*(1+③기타_가정!$E$256)^INT((DK15-1)/③기타_가정!$E$257)*(1-CHOOSE(MIN(MAX(DK16,1),3),③기타_가정!$E$259,③기타_가정!$E$260,③기타_가정!$E$261))</f>
        <v>27.779971927104</v>
      </c>
      <c r="DL40" s="37" t="n">
        <f aca="false">(DL14=1)*③기타_가정!$H$38*③기타_가정!$E$253*③기타_가정!$E$254/1000*(1+③기타_가정!$E$256)^INT((DL15-1)/③기타_가정!$E$257)*(1-CHOOSE(MIN(MAX(DL16,1),3),③기타_가정!$E$259,③기타_가정!$E$260,③기타_가정!$E$261))</f>
        <v>27.779971927104</v>
      </c>
      <c r="DM40" s="37" t="n">
        <f aca="false">(DM14=1)*③기타_가정!$H$38*③기타_가정!$E$253*③기타_가정!$E$254/1000*(1+③기타_가정!$E$256)^INT((DM15-1)/③기타_가정!$E$257)*(1-CHOOSE(MIN(MAX(DM16,1),3),③기타_가정!$E$259,③기타_가정!$E$260,③기타_가정!$E$261))</f>
        <v>27.779971927104</v>
      </c>
      <c r="DN40" s="37" t="n">
        <f aca="false">(DN14=1)*③기타_가정!$H$38*③기타_가정!$E$253*③기타_가정!$E$254/1000*(1+③기타_가정!$E$256)^INT((DN15-1)/③기타_가정!$E$257)*(1-CHOOSE(MIN(MAX(DN16,1),3),③기타_가정!$E$259,③기타_가정!$E$260,③기타_가정!$E$261))</f>
        <v>27.779971927104</v>
      </c>
      <c r="DO40" s="37" t="n">
        <f aca="false">(DO14=1)*③기타_가정!$H$38*③기타_가정!$E$253*③기타_가정!$E$254/1000*(1+③기타_가정!$E$256)^INT((DO15-1)/③기타_가정!$E$257)*(1-CHOOSE(MIN(MAX(DO16,1),3),③기타_가정!$E$259,③기타_가정!$E$260,③기타_가정!$E$261))</f>
        <v>27.779971927104</v>
      </c>
      <c r="DP40" s="37" t="n">
        <f aca="false">(DP14=1)*③기타_가정!$H$38*③기타_가정!$E$253*③기타_가정!$E$254/1000*(1+③기타_가정!$E$256)^INT((DP15-1)/③기타_가정!$E$257)*(1-CHOOSE(MIN(MAX(DP16,1),3),③기타_가정!$E$259,③기타_가정!$E$260,③기타_가정!$E$261))</f>
        <v>27.779971927104</v>
      </c>
      <c r="DQ40" s="37" t="n">
        <f aca="false">(DQ14=1)*③기타_가정!$H$38*③기타_가정!$E$253*③기타_가정!$E$254/1000*(1+③기타_가정!$E$256)^INT((DQ15-1)/③기타_가정!$E$257)*(1-CHOOSE(MIN(MAX(DQ16,1),3),③기타_가정!$E$259,③기타_가정!$E$260,③기타_가정!$E$261))</f>
        <v>27.779971927104</v>
      </c>
      <c r="DR40" s="37" t="n">
        <f aca="false">(DR14=1)*③기타_가정!$H$38*③기타_가정!$E$253*③기타_가정!$E$254/1000*(1+③기타_가정!$E$256)^INT((DR15-1)/③기타_가정!$E$257)*(1-CHOOSE(MIN(MAX(DR16,1),3),③기타_가정!$E$259,③기타_가정!$E$260,③기타_가정!$E$261))</f>
        <v>27.779971927104</v>
      </c>
      <c r="DS40" s="37" t="n">
        <f aca="false">(DS14=1)*③기타_가정!$H$38*③기타_가정!$E$253*③기타_가정!$E$254/1000*(1+③기타_가정!$E$256)^INT((DS15-1)/③기타_가정!$E$257)*(1-CHOOSE(MIN(MAX(DS16,1),3),③기타_가정!$E$259,③기타_가정!$E$260,③기타_가정!$E$261))</f>
        <v>27.779971927104</v>
      </c>
      <c r="DT40" s="37" t="n">
        <f aca="false">(DT14=1)*③기타_가정!$H$38*③기타_가정!$E$253*③기타_가정!$E$254/1000*(1+③기타_가정!$E$256)^INT((DT15-1)/③기타_가정!$E$257)*(1-CHOOSE(MIN(MAX(DT16,1),3),③기타_가정!$E$259,③기타_가정!$E$260,③기타_가정!$E$261))</f>
        <v>27.779971927104</v>
      </c>
      <c r="DU40" s="37" t="n">
        <f aca="false">(DU14=1)*③기타_가정!$H$38*③기타_가정!$E$253*③기타_가정!$E$254/1000*(1+③기타_가정!$E$256)^INT((DU15-1)/③기타_가정!$E$257)*(1-CHOOSE(MIN(MAX(DU16,1),3),③기타_가정!$E$259,③기타_가정!$E$260,③기타_가정!$E$261))</f>
        <v>0</v>
      </c>
      <c r="DV40" s="37" t="n">
        <f aca="false">(DV14=1)*③기타_가정!$H$38*③기타_가정!$E$253*③기타_가정!$E$254/1000*(1+③기타_가정!$E$256)^INT((DV15-1)/③기타_가정!$E$257)*(1-CHOOSE(MIN(MAX(DV16,1),3),③기타_가정!$E$259,③기타_가정!$E$260,③기타_가정!$E$261))</f>
        <v>0</v>
      </c>
      <c r="DW40" s="37" t="n">
        <f aca="false">(DW14=1)*③기타_가정!$H$38*③기타_가정!$E$253*③기타_가정!$E$254/1000*(1+③기타_가정!$E$256)^INT((DW15-1)/③기타_가정!$E$257)*(1-CHOOSE(MIN(MAX(DW16,1),3),③기타_가정!$E$259,③기타_가정!$E$260,③기타_가정!$E$261))</f>
        <v>0</v>
      </c>
      <c r="DX40" s="37" t="n">
        <f aca="false">(DX14=1)*③기타_가정!$H$38*③기타_가정!$E$253*③기타_가정!$E$254/1000*(1+③기타_가정!$E$256)^INT((DX15-1)/③기타_가정!$E$257)*(1-CHOOSE(MIN(MAX(DX16,1),3),③기타_가정!$E$259,③기타_가정!$E$260,③기타_가정!$E$261))</f>
        <v>0</v>
      </c>
      <c r="DY40" s="37" t="n">
        <f aca="false">(DY14=1)*③기타_가정!$H$38*③기타_가정!$E$253*③기타_가정!$E$254/1000*(1+③기타_가정!$E$256)^INT((DY15-1)/③기타_가정!$E$257)*(1-CHOOSE(MIN(MAX(DY16,1),3),③기타_가정!$E$259,③기타_가정!$E$260,③기타_가정!$E$261))</f>
        <v>0</v>
      </c>
      <c r="DZ40" s="37" t="n">
        <f aca="false">(DZ14=1)*③기타_가정!$H$38*③기타_가정!$E$253*③기타_가정!$E$254/1000*(1+③기타_가정!$E$256)^INT((DZ15-1)/③기타_가정!$E$257)*(1-CHOOSE(MIN(MAX(DZ16,1),3),③기타_가정!$E$259,③기타_가정!$E$260,③기타_가정!$E$261))</f>
        <v>0</v>
      </c>
      <c r="EA40" s="37" t="n">
        <f aca="false">(EA14=1)*③기타_가정!$H$38*③기타_가정!$E$253*③기타_가정!$E$254/1000*(1+③기타_가정!$E$256)^INT((EA15-1)/③기타_가정!$E$257)*(1-CHOOSE(MIN(MAX(EA16,1),3),③기타_가정!$E$259,③기타_가정!$E$260,③기타_가정!$E$261))</f>
        <v>0</v>
      </c>
      <c r="EB40" s="37" t="n">
        <f aca="false">(EB14=1)*③기타_가정!$H$38*③기타_가정!$E$253*③기타_가정!$E$254/1000*(1+③기타_가정!$E$256)^INT((EB15-1)/③기타_가정!$E$257)*(1-CHOOSE(MIN(MAX(EB16,1),3),③기타_가정!$E$259,③기타_가정!$E$260,③기타_가정!$E$261))</f>
        <v>0</v>
      </c>
      <c r="EC40" s="37" t="n">
        <f aca="false">(EC14=1)*③기타_가정!$H$38*③기타_가정!$E$253*③기타_가정!$E$254/1000*(1+③기타_가정!$E$256)^INT((EC15-1)/③기타_가정!$E$257)*(1-CHOOSE(MIN(MAX(EC16,1),3),③기타_가정!$E$259,③기타_가정!$E$260,③기타_가정!$E$261))</f>
        <v>0</v>
      </c>
      <c r="ED40" s="37" t="n">
        <f aca="false">(ED14=1)*③기타_가정!$H$38*③기타_가정!$E$253*③기타_가정!$E$254/1000*(1+③기타_가정!$E$256)^INT((ED15-1)/③기타_가정!$E$257)*(1-CHOOSE(MIN(MAX(ED16,1),3),③기타_가정!$E$259,③기타_가정!$E$260,③기타_가정!$E$261))</f>
        <v>0</v>
      </c>
      <c r="EE40" s="37" t="n">
        <f aca="false">(EE14=1)*③기타_가정!$H$38*③기타_가정!$E$253*③기타_가정!$E$254/1000*(1+③기타_가정!$E$256)^INT((EE15-1)/③기타_가정!$E$257)*(1-CHOOSE(MIN(MAX(EE16,1),3),③기타_가정!$E$259,③기타_가정!$E$260,③기타_가정!$E$261))</f>
        <v>0</v>
      </c>
      <c r="EF40" s="37" t="n">
        <f aca="false">(EF14=1)*③기타_가정!$H$38*③기타_가정!$E$253*③기타_가정!$E$254/1000*(1+③기타_가정!$E$256)^INT((EF15-1)/③기타_가정!$E$257)*(1-CHOOSE(MIN(MAX(EF16,1),3),③기타_가정!$E$259,③기타_가정!$E$260,③기타_가정!$E$261))</f>
        <v>0</v>
      </c>
    </row>
    <row r="41" customFormat="false" ht="15" hidden="false" customHeight="false" outlineLevel="0" collapsed="false">
      <c r="A41" s="280" t="s">
        <v>44</v>
      </c>
      <c r="B41" s="281" t="s">
        <v>21</v>
      </c>
      <c r="C41" s="282" t="n">
        <f aca="false">SUM(E41:EF41)</f>
        <v>901867.246761697</v>
      </c>
      <c r="D41" s="48"/>
      <c r="E41" s="283" t="n">
        <f aca="false">SUM(E21:E40)</f>
        <v>0</v>
      </c>
      <c r="F41" s="283" t="n">
        <f aca="false">SUM(F21:F40)</f>
        <v>0</v>
      </c>
      <c r="G41" s="283" t="n">
        <f aca="false">SUM(G21:G40)</f>
        <v>0</v>
      </c>
      <c r="H41" s="283" t="n">
        <f aca="false">SUM(H21:H40)</f>
        <v>0</v>
      </c>
      <c r="I41" s="283" t="n">
        <f aca="false">SUM(I21:I40)</f>
        <v>0</v>
      </c>
      <c r="J41" s="283" t="n">
        <f aca="false">SUM(J21:J40)</f>
        <v>0</v>
      </c>
      <c r="K41" s="283" t="n">
        <f aca="false">SUM(K21:K40)</f>
        <v>0</v>
      </c>
      <c r="L41" s="283" t="n">
        <f aca="false">SUM(L21:L40)</f>
        <v>0</v>
      </c>
      <c r="M41" s="283" t="n">
        <f aca="false">SUM(M21:M40)</f>
        <v>0</v>
      </c>
      <c r="N41" s="283" t="n">
        <f aca="false">SUM(N21:N40)</f>
        <v>0</v>
      </c>
      <c r="O41" s="283" t="n">
        <f aca="false">SUM(O21:O40)</f>
        <v>0</v>
      </c>
      <c r="P41" s="283" t="n">
        <f aca="false">SUM(P21:P40)</f>
        <v>0</v>
      </c>
      <c r="Q41" s="283" t="n">
        <f aca="false">SUM(Q21:Q40)</f>
        <v>0</v>
      </c>
      <c r="R41" s="283" t="n">
        <f aca="false">SUM(R21:R40)</f>
        <v>0</v>
      </c>
      <c r="S41" s="283" t="n">
        <f aca="false">SUM(S21:S40)</f>
        <v>0</v>
      </c>
      <c r="T41" s="283" t="n">
        <f aca="false">SUM(T21:T40)</f>
        <v>0</v>
      </c>
      <c r="U41" s="283" t="n">
        <f aca="false">SUM(U21:U40)</f>
        <v>0</v>
      </c>
      <c r="V41" s="283" t="n">
        <f aca="false">SUM(V21:V40)</f>
        <v>0</v>
      </c>
      <c r="W41" s="283" t="n">
        <f aca="false">SUM(W21:W40)</f>
        <v>0</v>
      </c>
      <c r="X41" s="283" t="n">
        <f aca="false">SUM(X21:X40)</f>
        <v>0</v>
      </c>
      <c r="Y41" s="283" t="n">
        <f aca="false">SUM(Y21:Y40)</f>
        <v>0</v>
      </c>
      <c r="Z41" s="283" t="n">
        <f aca="false">SUM(Z21:Z40)</f>
        <v>0</v>
      </c>
      <c r="AA41" s="283" t="n">
        <f aca="false">SUM(AA21:AA40)</f>
        <v>0</v>
      </c>
      <c r="AB41" s="283" t="n">
        <f aca="false">SUM(AB21:AB40)</f>
        <v>0</v>
      </c>
      <c r="AC41" s="283" t="n">
        <f aca="false">SUM(AC21:AC40)</f>
        <v>0</v>
      </c>
      <c r="AD41" s="283" t="n">
        <f aca="false">SUM(AD21:AD40)</f>
        <v>0</v>
      </c>
      <c r="AE41" s="283" t="n">
        <f aca="false">SUM(AE21:AE40)</f>
        <v>0</v>
      </c>
      <c r="AF41" s="283" t="n">
        <f aca="false">SUM(AF21:AF40)</f>
        <v>0</v>
      </c>
      <c r="AG41" s="283" t="n">
        <f aca="false">SUM(AG21:AG40)</f>
        <v>0</v>
      </c>
      <c r="AH41" s="283" t="n">
        <f aca="false">SUM(AH21:AH40)</f>
        <v>0</v>
      </c>
      <c r="AI41" s="283" t="n">
        <f aca="false">SUM(AI21:AI40)</f>
        <v>0</v>
      </c>
      <c r="AJ41" s="283" t="n">
        <f aca="false">SUM(AJ21:AJ40)</f>
        <v>0</v>
      </c>
      <c r="AK41" s="283" t="n">
        <f aca="false">SUM(AK21:AK40)</f>
        <v>0</v>
      </c>
      <c r="AL41" s="283" t="n">
        <f aca="false">SUM(AL21:AL40)</f>
        <v>0</v>
      </c>
      <c r="AM41" s="283" t="n">
        <f aca="false">SUM(AM21:AM40)</f>
        <v>0</v>
      </c>
      <c r="AN41" s="283" t="n">
        <f aca="false">SUM(AN21:AN40)</f>
        <v>0</v>
      </c>
      <c r="AO41" s="283" t="n">
        <f aca="false">SUM(AO21:AO40)</f>
        <v>0</v>
      </c>
      <c r="AP41" s="283" t="n">
        <f aca="false">SUM(AP21:AP40)</f>
        <v>0</v>
      </c>
      <c r="AQ41" s="283" t="n">
        <f aca="false">SUM(AQ21:AQ40)</f>
        <v>0</v>
      </c>
      <c r="AR41" s="283" t="n">
        <f aca="false">SUM(AR21:AR40)</f>
        <v>0</v>
      </c>
      <c r="AS41" s="283" t="n">
        <f aca="false">SUM(AS21:AS40)</f>
        <v>0</v>
      </c>
      <c r="AT41" s="283" t="n">
        <f aca="false">SUM(AT21:AT40)</f>
        <v>0</v>
      </c>
      <c r="AU41" s="283" t="n">
        <f aca="false">SUM(AU21:AU40)</f>
        <v>0</v>
      </c>
      <c r="AV41" s="283" t="n">
        <f aca="false">SUM(AV21:AV40)</f>
        <v>0</v>
      </c>
      <c r="AW41" s="283" t="n">
        <f aca="false">SUM(AW21:AW40)</f>
        <v>0</v>
      </c>
      <c r="AX41" s="283" t="n">
        <f aca="false">SUM(AX21:AX40)</f>
        <v>0</v>
      </c>
      <c r="AY41" s="283" t="n">
        <f aca="false">SUM(AY21:AY40)</f>
        <v>0</v>
      </c>
      <c r="AZ41" s="283" t="n">
        <f aca="false">SUM(AZ21:AZ40)</f>
        <v>0</v>
      </c>
      <c r="BA41" s="283" t="n">
        <f aca="false">SUM(BA21:BA40)</f>
        <v>0</v>
      </c>
      <c r="BB41" s="283" t="n">
        <f aca="false">SUM(BB21:BB40)</f>
        <v>0</v>
      </c>
      <c r="BC41" s="283" t="n">
        <f aca="false">SUM(BC21:BC40)</f>
        <v>0</v>
      </c>
      <c r="BD41" s="283" t="n">
        <f aca="false">SUM(BD21:BD40)</f>
        <v>0</v>
      </c>
      <c r="BE41" s="283" t="n">
        <f aca="false">SUM(BE21:BE40)</f>
        <v>0</v>
      </c>
      <c r="BF41" s="283" t="n">
        <f aca="false">SUM(BF21:BF40)</f>
        <v>0</v>
      </c>
      <c r="BG41" s="283" t="n">
        <f aca="false">SUM(BG21:BG40)</f>
        <v>0</v>
      </c>
      <c r="BH41" s="283" t="n">
        <f aca="false">SUM(BH21:BH40)</f>
        <v>0</v>
      </c>
      <c r="BI41" s="283" t="n">
        <f aca="false">SUM(BI21:BI40)</f>
        <v>0</v>
      </c>
      <c r="BJ41" s="283" t="n">
        <f aca="false">SUM(BJ21:BJ40)</f>
        <v>0</v>
      </c>
      <c r="BK41" s="283" t="n">
        <f aca="false">SUM(BK21:BK40)</f>
        <v>0</v>
      </c>
      <c r="BL41" s="283" t="n">
        <f aca="false">SUM(BL21:BL40)</f>
        <v>0</v>
      </c>
      <c r="BM41" s="283" t="n">
        <f aca="false">SUM(BM21:BM40)</f>
        <v>13059.3730178032</v>
      </c>
      <c r="BN41" s="283" t="n">
        <f aca="false">SUM(BN21:BN40)</f>
        <v>12696.485375616</v>
      </c>
      <c r="BO41" s="283" t="n">
        <f aca="false">SUM(BO21:BO40)</f>
        <v>13059.3730178032</v>
      </c>
      <c r="BP41" s="283" t="n">
        <f aca="false">SUM(BP21:BP40)</f>
        <v>12696.485375616</v>
      </c>
      <c r="BQ41" s="283" t="n">
        <f aca="false">SUM(BQ21:BQ40)</f>
        <v>13059.3730178032</v>
      </c>
      <c r="BR41" s="283" t="n">
        <f aca="false">SUM(BR21:BR40)</f>
        <v>13059.3730178032</v>
      </c>
      <c r="BS41" s="283" t="n">
        <f aca="false">SUM(BS21:BS40)</f>
        <v>12696.485375616</v>
      </c>
      <c r="BT41" s="283" t="n">
        <f aca="false">SUM(BT21:BT40)</f>
        <v>13059.3730178032</v>
      </c>
      <c r="BU41" s="283" t="n">
        <f aca="false">SUM(BU21:BU40)</f>
        <v>12696.485375616</v>
      </c>
      <c r="BV41" s="283" t="n">
        <f aca="false">SUM(BV21:BV40)</f>
        <v>13059.3730178032</v>
      </c>
      <c r="BW41" s="283" t="n">
        <f aca="false">SUM(BW21:BW40)</f>
        <v>13059.3730178032</v>
      </c>
      <c r="BX41" s="283" t="n">
        <f aca="false">SUM(BX21:BX40)</f>
        <v>12333.5977334288</v>
      </c>
      <c r="BY41" s="283" t="n">
        <f aca="false">SUM(BY21:BY40)</f>
        <v>15350.0157251899</v>
      </c>
      <c r="BZ41" s="283" t="n">
        <f aca="false">SUM(BZ21:BZ40)</f>
        <v>14922.9248847696</v>
      </c>
      <c r="CA41" s="283" t="n">
        <f aca="false">SUM(CA21:CA40)</f>
        <v>15350.0157251899</v>
      </c>
      <c r="CB41" s="283" t="n">
        <f aca="false">SUM(CB21:CB40)</f>
        <v>14922.9248847696</v>
      </c>
      <c r="CC41" s="283" t="n">
        <f aca="false">SUM(CC21:CC40)</f>
        <v>15350.0157251899</v>
      </c>
      <c r="CD41" s="283" t="n">
        <f aca="false">SUM(CD21:CD40)</f>
        <v>15350.0157251899</v>
      </c>
      <c r="CE41" s="283" t="n">
        <f aca="false">SUM(CE21:CE40)</f>
        <v>14922.9248847696</v>
      </c>
      <c r="CF41" s="283" t="n">
        <f aca="false">SUM(CF21:CF40)</f>
        <v>15350.0157251899</v>
      </c>
      <c r="CG41" s="283" t="n">
        <f aca="false">SUM(CG21:CG40)</f>
        <v>14922.9248847696</v>
      </c>
      <c r="CH41" s="283" t="n">
        <f aca="false">SUM(CH21:CH40)</f>
        <v>15350.0157251899</v>
      </c>
      <c r="CI41" s="283" t="n">
        <f aca="false">SUM(CI21:CI40)</f>
        <v>15350.0157251899</v>
      </c>
      <c r="CJ41" s="283" t="n">
        <f aca="false">SUM(CJ21:CJ40)</f>
        <v>14068.743203929</v>
      </c>
      <c r="CK41" s="283" t="n">
        <f aca="false">SUM(CK21:CK40)</f>
        <v>15657.0160396937</v>
      </c>
      <c r="CL41" s="283" t="n">
        <f aca="false">SUM(CL21:CL40)</f>
        <v>15221.383382465</v>
      </c>
      <c r="CM41" s="283" t="n">
        <f aca="false">SUM(CM21:CM40)</f>
        <v>15657.0160396937</v>
      </c>
      <c r="CN41" s="283" t="n">
        <f aca="false">SUM(CN21:CN40)</f>
        <v>15221.383382465</v>
      </c>
      <c r="CO41" s="283" t="n">
        <f aca="false">SUM(CO21:CO40)</f>
        <v>15657.0160396937</v>
      </c>
      <c r="CP41" s="283" t="n">
        <f aca="false">SUM(CP21:CP40)</f>
        <v>15657.0160396937</v>
      </c>
      <c r="CQ41" s="283" t="n">
        <f aca="false">SUM(CQ21:CQ40)</f>
        <v>15221.383382465</v>
      </c>
      <c r="CR41" s="283" t="n">
        <f aca="false">SUM(CR21:CR40)</f>
        <v>15657.0160396937</v>
      </c>
      <c r="CS41" s="283" t="n">
        <f aca="false">SUM(CS21:CS40)</f>
        <v>15221.383382465</v>
      </c>
      <c r="CT41" s="283" t="n">
        <f aca="false">SUM(CT21:CT40)</f>
        <v>15657.0160396937</v>
      </c>
      <c r="CU41" s="283" t="n">
        <f aca="false">SUM(CU21:CU40)</f>
        <v>15657.0160396937</v>
      </c>
      <c r="CV41" s="283" t="n">
        <f aca="false">SUM(CV21:CV40)</f>
        <v>14350.1180680075</v>
      </c>
      <c r="CW41" s="283" t="n">
        <f aca="false">SUM(CW21:CW40)</f>
        <v>15970.1563604876</v>
      </c>
      <c r="CX41" s="283" t="n">
        <f aca="false">SUM(CX21:CX40)</f>
        <v>15525.8110501143</v>
      </c>
      <c r="CY41" s="283" t="n">
        <f aca="false">SUM(CY21:CY40)</f>
        <v>15970.1563604876</v>
      </c>
      <c r="CZ41" s="283" t="n">
        <f aca="false">SUM(CZ21:CZ40)</f>
        <v>15525.8110501143</v>
      </c>
      <c r="DA41" s="283" t="n">
        <f aca="false">SUM(DA21:DA40)</f>
        <v>15970.1563604876</v>
      </c>
      <c r="DB41" s="283" t="n">
        <f aca="false">SUM(DB21:DB40)</f>
        <v>15970.1563604876</v>
      </c>
      <c r="DC41" s="283" t="n">
        <f aca="false">SUM(DC21:DC40)</f>
        <v>15525.8110501143</v>
      </c>
      <c r="DD41" s="283" t="n">
        <f aca="false">SUM(DD21:DD40)</f>
        <v>15970.1563604876</v>
      </c>
      <c r="DE41" s="283" t="n">
        <f aca="false">SUM(DE21:DE40)</f>
        <v>15525.8110501143</v>
      </c>
      <c r="DF41" s="283" t="n">
        <f aca="false">SUM(DF21:DF40)</f>
        <v>15970.1563604876</v>
      </c>
      <c r="DG41" s="283" t="n">
        <f aca="false">SUM(DG21:DG40)</f>
        <v>15970.1563604876</v>
      </c>
      <c r="DH41" s="283" t="n">
        <f aca="false">SUM(DH21:DH40)</f>
        <v>14637.1204293677</v>
      </c>
      <c r="DI41" s="283" t="n">
        <f aca="false">SUM(DI21:DI40)</f>
        <v>16289.5594876973</v>
      </c>
      <c r="DJ41" s="283" t="n">
        <f aca="false">SUM(DJ21:DJ40)</f>
        <v>15836.3272711166</v>
      </c>
      <c r="DK41" s="283" t="n">
        <f aca="false">SUM(DK21:DK40)</f>
        <v>16289.5594876973</v>
      </c>
      <c r="DL41" s="283" t="n">
        <f aca="false">SUM(DL21:DL40)</f>
        <v>15836.3272711166</v>
      </c>
      <c r="DM41" s="283" t="n">
        <f aca="false">SUM(DM21:DM40)</f>
        <v>16289.5594876973</v>
      </c>
      <c r="DN41" s="283" t="n">
        <f aca="false">SUM(DN21:DN40)</f>
        <v>16289.5594876973</v>
      </c>
      <c r="DO41" s="283" t="n">
        <f aca="false">SUM(DO21:DO40)</f>
        <v>15836.3272711166</v>
      </c>
      <c r="DP41" s="283" t="n">
        <f aca="false">SUM(DP21:DP40)</f>
        <v>16289.5594876973</v>
      </c>
      <c r="DQ41" s="283" t="n">
        <f aca="false">SUM(DQ21:DQ40)</f>
        <v>15836.3272711166</v>
      </c>
      <c r="DR41" s="283" t="n">
        <f aca="false">SUM(DR21:DR40)</f>
        <v>16289.5594876973</v>
      </c>
      <c r="DS41" s="283" t="n">
        <f aca="false">SUM(DS21:DS40)</f>
        <v>16289.5594876973</v>
      </c>
      <c r="DT41" s="283" t="n">
        <f aca="false">SUM(DT21:DT40)</f>
        <v>15383.0950545358</v>
      </c>
      <c r="DU41" s="283" t="n">
        <f aca="false">SUM(DU21:DU40)</f>
        <v>0</v>
      </c>
      <c r="DV41" s="283" t="n">
        <f aca="false">SUM(DV21:DV40)</f>
        <v>0</v>
      </c>
      <c r="DW41" s="283" t="n">
        <f aca="false">SUM(DW21:DW40)</f>
        <v>0</v>
      </c>
      <c r="DX41" s="283" t="n">
        <f aca="false">SUM(DX21:DX40)</f>
        <v>0</v>
      </c>
      <c r="DY41" s="283" t="n">
        <f aca="false">SUM(DY21:DY40)</f>
        <v>0</v>
      </c>
      <c r="DZ41" s="283" t="n">
        <f aca="false">SUM(DZ21:DZ40)</f>
        <v>0</v>
      </c>
      <c r="EA41" s="283" t="n">
        <f aca="false">SUM(EA21:EA40)</f>
        <v>0</v>
      </c>
      <c r="EB41" s="283" t="n">
        <f aca="false">SUM(EB21:EB40)</f>
        <v>0</v>
      </c>
      <c r="EC41" s="283" t="n">
        <f aca="false">SUM(EC21:EC40)</f>
        <v>0</v>
      </c>
      <c r="ED41" s="283" t="n">
        <f aca="false">SUM(ED21:ED40)</f>
        <v>0</v>
      </c>
      <c r="EE41" s="283" t="n">
        <f aca="false">SUM(EE21:EE40)</f>
        <v>0</v>
      </c>
      <c r="EF41" s="283" t="n">
        <f aca="false">SUM(EF21:EF40)</f>
        <v>0</v>
      </c>
    </row>
    <row r="43" customFormat="false" ht="15" hidden="false" customHeight="false" outlineLevel="0" collapsed="false">
      <c r="A43" s="6" t="s">
        <v>591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</row>
    <row r="44" customFormat="false" ht="15" hidden="false" customHeight="false" outlineLevel="0" collapsed="false">
      <c r="A44" s="36" t="s">
        <v>592</v>
      </c>
      <c r="B44" s="278" t="s">
        <v>21</v>
      </c>
      <c r="C44" s="279" t="n">
        <f aca="false">SUM(E44:EF44)</f>
        <v>0</v>
      </c>
      <c r="E44" s="37" t="n">
        <f aca="false">(E21+E22)*(③기타_가정!$E$110+③기타_가정!$E$111)</f>
        <v>0</v>
      </c>
      <c r="F44" s="37" t="n">
        <f aca="false">(F21+F22)*(③기타_가정!$E$110+③기타_가정!$E$111)</f>
        <v>0</v>
      </c>
      <c r="G44" s="37" t="n">
        <f aca="false">(G21+G22)*(③기타_가정!$E$110+③기타_가정!$E$111)</f>
        <v>0</v>
      </c>
      <c r="H44" s="37" t="n">
        <f aca="false">(H21+H22)*(③기타_가정!$E$110+③기타_가정!$E$111)</f>
        <v>0</v>
      </c>
      <c r="I44" s="37" t="n">
        <f aca="false">(I21+I22)*(③기타_가정!$E$110+③기타_가정!$E$111)</f>
        <v>0</v>
      </c>
      <c r="J44" s="37" t="n">
        <f aca="false">(J21+J22)*(③기타_가정!$E$110+③기타_가정!$E$111)</f>
        <v>0</v>
      </c>
      <c r="K44" s="37" t="n">
        <f aca="false">(K21+K22)*(③기타_가정!$E$110+③기타_가정!$E$111)</f>
        <v>0</v>
      </c>
      <c r="L44" s="37" t="n">
        <f aca="false">(L21+L22)*(③기타_가정!$E$110+③기타_가정!$E$111)</f>
        <v>0</v>
      </c>
      <c r="M44" s="37" t="n">
        <f aca="false">(M21+M22)*(③기타_가정!$E$110+③기타_가정!$E$111)</f>
        <v>0</v>
      </c>
      <c r="N44" s="37" t="n">
        <f aca="false">(N21+N22)*(③기타_가정!$E$110+③기타_가정!$E$111)</f>
        <v>0</v>
      </c>
      <c r="O44" s="37" t="n">
        <f aca="false">(O21+O22)*(③기타_가정!$E$110+③기타_가정!$E$111)</f>
        <v>0</v>
      </c>
      <c r="P44" s="37" t="n">
        <f aca="false">(P21+P22)*(③기타_가정!$E$110+③기타_가정!$E$111)</f>
        <v>0</v>
      </c>
      <c r="Q44" s="37" t="n">
        <f aca="false">(Q21+Q22)*(③기타_가정!$E$110+③기타_가정!$E$111)</f>
        <v>0</v>
      </c>
      <c r="R44" s="37" t="n">
        <f aca="false">(R21+R22)*(③기타_가정!$E$110+③기타_가정!$E$111)</f>
        <v>0</v>
      </c>
      <c r="S44" s="37" t="n">
        <f aca="false">(S21+S22)*(③기타_가정!$E$110+③기타_가정!$E$111)</f>
        <v>0</v>
      </c>
      <c r="T44" s="37" t="n">
        <f aca="false">(T21+T22)*(③기타_가정!$E$110+③기타_가정!$E$111)</f>
        <v>0</v>
      </c>
      <c r="U44" s="37" t="n">
        <f aca="false">(U21+U22)*(③기타_가정!$E$110+③기타_가정!$E$111)</f>
        <v>0</v>
      </c>
      <c r="V44" s="37" t="n">
        <f aca="false">(V21+V22)*(③기타_가정!$E$110+③기타_가정!$E$111)</f>
        <v>0</v>
      </c>
      <c r="W44" s="37" t="n">
        <f aca="false">(W21+W22)*(③기타_가정!$E$110+③기타_가정!$E$111)</f>
        <v>0</v>
      </c>
      <c r="X44" s="37" t="n">
        <f aca="false">(X21+X22)*(③기타_가정!$E$110+③기타_가정!$E$111)</f>
        <v>0</v>
      </c>
      <c r="Y44" s="37" t="n">
        <f aca="false">(Y21+Y22)*(③기타_가정!$E$110+③기타_가정!$E$111)</f>
        <v>0</v>
      </c>
      <c r="Z44" s="37" t="n">
        <f aca="false">(Z21+Z22)*(③기타_가정!$E$110+③기타_가정!$E$111)</f>
        <v>0</v>
      </c>
      <c r="AA44" s="37" t="n">
        <f aca="false">(AA21+AA22)*(③기타_가정!$E$110+③기타_가정!$E$111)</f>
        <v>0</v>
      </c>
      <c r="AB44" s="37" t="n">
        <f aca="false">(AB21+AB22)*(③기타_가정!$E$110+③기타_가정!$E$111)</f>
        <v>0</v>
      </c>
      <c r="AC44" s="37" t="n">
        <f aca="false">(AC21+AC22)*(③기타_가정!$E$110+③기타_가정!$E$111)</f>
        <v>0</v>
      </c>
      <c r="AD44" s="37" t="n">
        <f aca="false">(AD21+AD22)*(③기타_가정!$E$110+③기타_가정!$E$111)</f>
        <v>0</v>
      </c>
      <c r="AE44" s="37" t="n">
        <f aca="false">(AE21+AE22)*(③기타_가정!$E$110+③기타_가정!$E$111)</f>
        <v>0</v>
      </c>
      <c r="AF44" s="37" t="n">
        <f aca="false">(AF21+AF22)*(③기타_가정!$E$110+③기타_가정!$E$111)</f>
        <v>0</v>
      </c>
      <c r="AG44" s="37" t="n">
        <f aca="false">(AG21+AG22)*(③기타_가정!$E$110+③기타_가정!$E$111)</f>
        <v>0</v>
      </c>
      <c r="AH44" s="37" t="n">
        <f aca="false">(AH21+AH22)*(③기타_가정!$E$110+③기타_가정!$E$111)</f>
        <v>0</v>
      </c>
      <c r="AI44" s="37" t="n">
        <f aca="false">(AI21+AI22)*(③기타_가정!$E$110+③기타_가정!$E$111)</f>
        <v>0</v>
      </c>
      <c r="AJ44" s="37" t="n">
        <f aca="false">(AJ21+AJ22)*(③기타_가정!$E$110+③기타_가정!$E$111)</f>
        <v>0</v>
      </c>
      <c r="AK44" s="37" t="n">
        <f aca="false">(AK21+AK22)*(③기타_가정!$E$110+③기타_가정!$E$111)</f>
        <v>0</v>
      </c>
      <c r="AL44" s="37" t="n">
        <f aca="false">(AL21+AL22)*(③기타_가정!$E$110+③기타_가정!$E$111)</f>
        <v>0</v>
      </c>
      <c r="AM44" s="37" t="n">
        <f aca="false">(AM21+AM22)*(③기타_가정!$E$110+③기타_가정!$E$111)</f>
        <v>0</v>
      </c>
      <c r="AN44" s="37" t="n">
        <f aca="false">(AN21+AN22)*(③기타_가정!$E$110+③기타_가정!$E$111)</f>
        <v>0</v>
      </c>
      <c r="AO44" s="37" t="n">
        <f aca="false">(AO21+AO22)*(③기타_가정!$E$110+③기타_가정!$E$111)</f>
        <v>0</v>
      </c>
      <c r="AP44" s="37" t="n">
        <f aca="false">(AP21+AP22)*(③기타_가정!$E$110+③기타_가정!$E$111)</f>
        <v>0</v>
      </c>
      <c r="AQ44" s="37" t="n">
        <f aca="false">(AQ21+AQ22)*(③기타_가정!$E$110+③기타_가정!$E$111)</f>
        <v>0</v>
      </c>
      <c r="AR44" s="37" t="n">
        <f aca="false">(AR21+AR22)*(③기타_가정!$E$110+③기타_가정!$E$111)</f>
        <v>0</v>
      </c>
      <c r="AS44" s="37" t="n">
        <f aca="false">(AS21+AS22)*(③기타_가정!$E$110+③기타_가정!$E$111)</f>
        <v>0</v>
      </c>
      <c r="AT44" s="37" t="n">
        <f aca="false">(AT21+AT22)*(③기타_가정!$E$110+③기타_가정!$E$111)</f>
        <v>0</v>
      </c>
      <c r="AU44" s="37" t="n">
        <f aca="false">(AU21+AU22)*(③기타_가정!$E$110+③기타_가정!$E$111)</f>
        <v>0</v>
      </c>
      <c r="AV44" s="37" t="n">
        <f aca="false">(AV21+AV22)*(③기타_가정!$E$110+③기타_가정!$E$111)</f>
        <v>0</v>
      </c>
      <c r="AW44" s="37" t="n">
        <f aca="false">(AW21+AW22)*(③기타_가정!$E$110+③기타_가정!$E$111)</f>
        <v>0</v>
      </c>
      <c r="AX44" s="37" t="n">
        <f aca="false">(AX21+AX22)*(③기타_가정!$E$110+③기타_가정!$E$111)</f>
        <v>0</v>
      </c>
      <c r="AY44" s="37" t="n">
        <f aca="false">(AY21+AY22)*(③기타_가정!$E$110+③기타_가정!$E$111)</f>
        <v>0</v>
      </c>
      <c r="AZ44" s="37" t="n">
        <f aca="false">(AZ21+AZ22)*(③기타_가정!$E$110+③기타_가정!$E$111)</f>
        <v>0</v>
      </c>
      <c r="BA44" s="37" t="n">
        <f aca="false">(BA21+BA22)*(③기타_가정!$E$110+③기타_가정!$E$111)</f>
        <v>0</v>
      </c>
      <c r="BB44" s="37" t="n">
        <f aca="false">(BB21+BB22)*(③기타_가정!$E$110+③기타_가정!$E$111)</f>
        <v>0</v>
      </c>
      <c r="BC44" s="37" t="n">
        <f aca="false">(BC21+BC22)*(③기타_가정!$E$110+③기타_가정!$E$111)</f>
        <v>0</v>
      </c>
      <c r="BD44" s="37" t="n">
        <f aca="false">(BD21+BD22)*(③기타_가정!$E$110+③기타_가정!$E$111)</f>
        <v>0</v>
      </c>
      <c r="BE44" s="37" t="n">
        <f aca="false">(BE21+BE22)*(③기타_가정!$E$110+③기타_가정!$E$111)</f>
        <v>0</v>
      </c>
      <c r="BF44" s="37" t="n">
        <f aca="false">(BF21+BF22)*(③기타_가정!$E$110+③기타_가정!$E$111)</f>
        <v>0</v>
      </c>
      <c r="BG44" s="37" t="n">
        <f aca="false">(BG21+BG22)*(③기타_가정!$E$110+③기타_가정!$E$111)</f>
        <v>0</v>
      </c>
      <c r="BH44" s="37" t="n">
        <f aca="false">(BH21+BH22)*(③기타_가정!$E$110+③기타_가정!$E$111)</f>
        <v>0</v>
      </c>
      <c r="BI44" s="37" t="n">
        <f aca="false">(BI21+BI22)*(③기타_가정!$E$110+③기타_가정!$E$111)</f>
        <v>0</v>
      </c>
      <c r="BJ44" s="37" t="n">
        <f aca="false">(BJ21+BJ22)*(③기타_가정!$E$110+③기타_가정!$E$111)</f>
        <v>0</v>
      </c>
      <c r="BK44" s="37" t="n">
        <f aca="false">(BK21+BK22)*(③기타_가정!$E$110+③기타_가정!$E$111)</f>
        <v>0</v>
      </c>
      <c r="BL44" s="37" t="n">
        <f aca="false">(BL21+BL22)*(③기타_가정!$E$110+③기타_가정!$E$111)</f>
        <v>0</v>
      </c>
      <c r="BM44" s="37" t="n">
        <f aca="false">(BM21+BM22)*(③기타_가정!$E$110+③기타_가정!$E$111)</f>
        <v>0</v>
      </c>
      <c r="BN44" s="37" t="n">
        <f aca="false">(BN21+BN22)*(③기타_가정!$E$110+③기타_가정!$E$111)</f>
        <v>0</v>
      </c>
      <c r="BO44" s="37" t="n">
        <f aca="false">(BO21+BO22)*(③기타_가정!$E$110+③기타_가정!$E$111)</f>
        <v>0</v>
      </c>
      <c r="BP44" s="37" t="n">
        <f aca="false">(BP21+BP22)*(③기타_가정!$E$110+③기타_가정!$E$111)</f>
        <v>0</v>
      </c>
      <c r="BQ44" s="37" t="n">
        <f aca="false">(BQ21+BQ22)*(③기타_가정!$E$110+③기타_가정!$E$111)</f>
        <v>0</v>
      </c>
      <c r="BR44" s="37" t="n">
        <f aca="false">(BR21+BR22)*(③기타_가정!$E$110+③기타_가정!$E$111)</f>
        <v>0</v>
      </c>
      <c r="BS44" s="37" t="n">
        <f aca="false">(BS21+BS22)*(③기타_가정!$E$110+③기타_가정!$E$111)</f>
        <v>0</v>
      </c>
      <c r="BT44" s="37" t="n">
        <f aca="false">(BT21+BT22)*(③기타_가정!$E$110+③기타_가정!$E$111)</f>
        <v>0</v>
      </c>
      <c r="BU44" s="37" t="n">
        <f aca="false">(BU21+BU22)*(③기타_가정!$E$110+③기타_가정!$E$111)</f>
        <v>0</v>
      </c>
      <c r="BV44" s="37" t="n">
        <f aca="false">(BV21+BV22)*(③기타_가정!$E$110+③기타_가정!$E$111)</f>
        <v>0</v>
      </c>
      <c r="BW44" s="37" t="n">
        <f aca="false">(BW21+BW22)*(③기타_가정!$E$110+③기타_가정!$E$111)</f>
        <v>0</v>
      </c>
      <c r="BX44" s="37" t="n">
        <f aca="false">(BX21+BX22)*(③기타_가정!$E$110+③기타_가정!$E$111)</f>
        <v>0</v>
      </c>
      <c r="BY44" s="37" t="n">
        <f aca="false">(BY21+BY22)*(③기타_가정!$E$110+③기타_가정!$E$111)</f>
        <v>0</v>
      </c>
      <c r="BZ44" s="37" t="n">
        <f aca="false">(BZ21+BZ22)*(③기타_가정!$E$110+③기타_가정!$E$111)</f>
        <v>0</v>
      </c>
      <c r="CA44" s="37" t="n">
        <f aca="false">(CA21+CA22)*(③기타_가정!$E$110+③기타_가정!$E$111)</f>
        <v>0</v>
      </c>
      <c r="CB44" s="37" t="n">
        <f aca="false">(CB21+CB22)*(③기타_가정!$E$110+③기타_가정!$E$111)</f>
        <v>0</v>
      </c>
      <c r="CC44" s="37" t="n">
        <f aca="false">(CC21+CC22)*(③기타_가정!$E$110+③기타_가정!$E$111)</f>
        <v>0</v>
      </c>
      <c r="CD44" s="37" t="n">
        <f aca="false">(CD21+CD22)*(③기타_가정!$E$110+③기타_가정!$E$111)</f>
        <v>0</v>
      </c>
      <c r="CE44" s="37" t="n">
        <f aca="false">(CE21+CE22)*(③기타_가정!$E$110+③기타_가정!$E$111)</f>
        <v>0</v>
      </c>
      <c r="CF44" s="37" t="n">
        <f aca="false">(CF21+CF22)*(③기타_가정!$E$110+③기타_가정!$E$111)</f>
        <v>0</v>
      </c>
      <c r="CG44" s="37" t="n">
        <f aca="false">(CG21+CG22)*(③기타_가정!$E$110+③기타_가정!$E$111)</f>
        <v>0</v>
      </c>
      <c r="CH44" s="37" t="n">
        <f aca="false">(CH21+CH22)*(③기타_가정!$E$110+③기타_가정!$E$111)</f>
        <v>0</v>
      </c>
      <c r="CI44" s="37" t="n">
        <f aca="false">(CI21+CI22)*(③기타_가정!$E$110+③기타_가정!$E$111)</f>
        <v>0</v>
      </c>
      <c r="CJ44" s="37" t="n">
        <f aca="false">(CJ21+CJ22)*(③기타_가정!$E$110+③기타_가정!$E$111)</f>
        <v>0</v>
      </c>
      <c r="CK44" s="37" t="n">
        <f aca="false">(CK21+CK22)*(③기타_가정!$E$110+③기타_가정!$E$111)</f>
        <v>0</v>
      </c>
      <c r="CL44" s="37" t="n">
        <f aca="false">(CL21+CL22)*(③기타_가정!$E$110+③기타_가정!$E$111)</f>
        <v>0</v>
      </c>
      <c r="CM44" s="37" t="n">
        <f aca="false">(CM21+CM22)*(③기타_가정!$E$110+③기타_가정!$E$111)</f>
        <v>0</v>
      </c>
      <c r="CN44" s="37" t="n">
        <f aca="false">(CN21+CN22)*(③기타_가정!$E$110+③기타_가정!$E$111)</f>
        <v>0</v>
      </c>
      <c r="CO44" s="37" t="n">
        <f aca="false">(CO21+CO22)*(③기타_가정!$E$110+③기타_가정!$E$111)</f>
        <v>0</v>
      </c>
      <c r="CP44" s="37" t="n">
        <f aca="false">(CP21+CP22)*(③기타_가정!$E$110+③기타_가정!$E$111)</f>
        <v>0</v>
      </c>
      <c r="CQ44" s="37" t="n">
        <f aca="false">(CQ21+CQ22)*(③기타_가정!$E$110+③기타_가정!$E$111)</f>
        <v>0</v>
      </c>
      <c r="CR44" s="37" t="n">
        <f aca="false">(CR21+CR22)*(③기타_가정!$E$110+③기타_가정!$E$111)</f>
        <v>0</v>
      </c>
      <c r="CS44" s="37" t="n">
        <f aca="false">(CS21+CS22)*(③기타_가정!$E$110+③기타_가정!$E$111)</f>
        <v>0</v>
      </c>
      <c r="CT44" s="37" t="n">
        <f aca="false">(CT21+CT22)*(③기타_가정!$E$110+③기타_가정!$E$111)</f>
        <v>0</v>
      </c>
      <c r="CU44" s="37" t="n">
        <f aca="false">(CU21+CU22)*(③기타_가정!$E$110+③기타_가정!$E$111)</f>
        <v>0</v>
      </c>
      <c r="CV44" s="37" t="n">
        <f aca="false">(CV21+CV22)*(③기타_가정!$E$110+③기타_가정!$E$111)</f>
        <v>0</v>
      </c>
      <c r="CW44" s="37" t="n">
        <f aca="false">(CW21+CW22)*(③기타_가정!$E$110+③기타_가정!$E$111)</f>
        <v>0</v>
      </c>
      <c r="CX44" s="37" t="n">
        <f aca="false">(CX21+CX22)*(③기타_가정!$E$110+③기타_가정!$E$111)</f>
        <v>0</v>
      </c>
      <c r="CY44" s="37" t="n">
        <f aca="false">(CY21+CY22)*(③기타_가정!$E$110+③기타_가정!$E$111)</f>
        <v>0</v>
      </c>
      <c r="CZ44" s="37" t="n">
        <f aca="false">(CZ21+CZ22)*(③기타_가정!$E$110+③기타_가정!$E$111)</f>
        <v>0</v>
      </c>
      <c r="DA44" s="37" t="n">
        <f aca="false">(DA21+DA22)*(③기타_가정!$E$110+③기타_가정!$E$111)</f>
        <v>0</v>
      </c>
      <c r="DB44" s="37" t="n">
        <f aca="false">(DB21+DB22)*(③기타_가정!$E$110+③기타_가정!$E$111)</f>
        <v>0</v>
      </c>
      <c r="DC44" s="37" t="n">
        <f aca="false">(DC21+DC22)*(③기타_가정!$E$110+③기타_가정!$E$111)</f>
        <v>0</v>
      </c>
      <c r="DD44" s="37" t="n">
        <f aca="false">(DD21+DD22)*(③기타_가정!$E$110+③기타_가정!$E$111)</f>
        <v>0</v>
      </c>
      <c r="DE44" s="37" t="n">
        <f aca="false">(DE21+DE22)*(③기타_가정!$E$110+③기타_가정!$E$111)</f>
        <v>0</v>
      </c>
      <c r="DF44" s="37" t="n">
        <f aca="false">(DF21+DF22)*(③기타_가정!$E$110+③기타_가정!$E$111)</f>
        <v>0</v>
      </c>
      <c r="DG44" s="37" t="n">
        <f aca="false">(DG21+DG22)*(③기타_가정!$E$110+③기타_가정!$E$111)</f>
        <v>0</v>
      </c>
      <c r="DH44" s="37" t="n">
        <f aca="false">(DH21+DH22)*(③기타_가정!$E$110+③기타_가정!$E$111)</f>
        <v>0</v>
      </c>
      <c r="DI44" s="37" t="n">
        <f aca="false">(DI21+DI22)*(③기타_가정!$E$110+③기타_가정!$E$111)</f>
        <v>0</v>
      </c>
      <c r="DJ44" s="37" t="n">
        <f aca="false">(DJ21+DJ22)*(③기타_가정!$E$110+③기타_가정!$E$111)</f>
        <v>0</v>
      </c>
      <c r="DK44" s="37" t="n">
        <f aca="false">(DK21+DK22)*(③기타_가정!$E$110+③기타_가정!$E$111)</f>
        <v>0</v>
      </c>
      <c r="DL44" s="37" t="n">
        <f aca="false">(DL21+DL22)*(③기타_가정!$E$110+③기타_가정!$E$111)</f>
        <v>0</v>
      </c>
      <c r="DM44" s="37" t="n">
        <f aca="false">(DM21+DM22)*(③기타_가정!$E$110+③기타_가정!$E$111)</f>
        <v>0</v>
      </c>
      <c r="DN44" s="37" t="n">
        <f aca="false">(DN21+DN22)*(③기타_가정!$E$110+③기타_가정!$E$111)</f>
        <v>0</v>
      </c>
      <c r="DO44" s="37" t="n">
        <f aca="false">(DO21+DO22)*(③기타_가정!$E$110+③기타_가정!$E$111)</f>
        <v>0</v>
      </c>
      <c r="DP44" s="37" t="n">
        <f aca="false">(DP21+DP22)*(③기타_가정!$E$110+③기타_가정!$E$111)</f>
        <v>0</v>
      </c>
      <c r="DQ44" s="37" t="n">
        <f aca="false">(DQ21+DQ22)*(③기타_가정!$E$110+③기타_가정!$E$111)</f>
        <v>0</v>
      </c>
      <c r="DR44" s="37" t="n">
        <f aca="false">(DR21+DR22)*(③기타_가정!$E$110+③기타_가정!$E$111)</f>
        <v>0</v>
      </c>
      <c r="DS44" s="37" t="n">
        <f aca="false">(DS21+DS22)*(③기타_가정!$E$110+③기타_가정!$E$111)</f>
        <v>0</v>
      </c>
      <c r="DT44" s="37" t="n">
        <f aca="false">(DT21+DT22)*(③기타_가정!$E$110+③기타_가정!$E$111)</f>
        <v>0</v>
      </c>
      <c r="DU44" s="37" t="n">
        <f aca="false">(DU21+DU22)*(③기타_가정!$E$110+③기타_가정!$E$111)</f>
        <v>0</v>
      </c>
      <c r="DV44" s="37" t="n">
        <f aca="false">(DV21+DV22)*(③기타_가정!$E$110+③기타_가정!$E$111)</f>
        <v>0</v>
      </c>
      <c r="DW44" s="37" t="n">
        <f aca="false">(DW21+DW22)*(③기타_가정!$E$110+③기타_가정!$E$111)</f>
        <v>0</v>
      </c>
      <c r="DX44" s="37" t="n">
        <f aca="false">(DX21+DX22)*(③기타_가정!$E$110+③기타_가정!$E$111)</f>
        <v>0</v>
      </c>
      <c r="DY44" s="37" t="n">
        <f aca="false">(DY21+DY22)*(③기타_가정!$E$110+③기타_가정!$E$111)</f>
        <v>0</v>
      </c>
      <c r="DZ44" s="37" t="n">
        <f aca="false">(DZ21+DZ22)*(③기타_가정!$E$110+③기타_가정!$E$111)</f>
        <v>0</v>
      </c>
      <c r="EA44" s="37" t="n">
        <f aca="false">(EA21+EA22)*(③기타_가정!$E$110+③기타_가정!$E$111)</f>
        <v>0</v>
      </c>
      <c r="EB44" s="37" t="n">
        <f aca="false">(EB21+EB22)*(③기타_가정!$E$110+③기타_가정!$E$111)</f>
        <v>0</v>
      </c>
      <c r="EC44" s="37" t="n">
        <f aca="false">(EC21+EC22)*(③기타_가정!$E$110+③기타_가정!$E$111)</f>
        <v>0</v>
      </c>
      <c r="ED44" s="37" t="n">
        <f aca="false">(ED21+ED22)*(③기타_가정!$E$110+③기타_가정!$E$111)</f>
        <v>0</v>
      </c>
      <c r="EE44" s="37" t="n">
        <f aca="false">(EE21+EE22)*(③기타_가정!$E$110+③기타_가정!$E$111)</f>
        <v>0</v>
      </c>
      <c r="EF44" s="37" t="n">
        <f aca="false">(EF21+EF22)*(③기타_가정!$E$110+③기타_가정!$E$111)</f>
        <v>0</v>
      </c>
    </row>
    <row r="45" customFormat="false" ht="15" hidden="false" customHeight="false" outlineLevel="0" collapsed="false">
      <c r="A45" s="36" t="s">
        <v>593</v>
      </c>
      <c r="B45" s="278" t="s">
        <v>21</v>
      </c>
      <c r="C45" s="279" t="n">
        <f aca="false">SUM(E45:EF45)</f>
        <v>127835.093697936</v>
      </c>
      <c r="E45" s="37" t="n">
        <f aca="false">(E24+E25)*(③기타_가정!$E$140+③기타_가정!$E$141)</f>
        <v>0</v>
      </c>
      <c r="F45" s="37" t="n">
        <f aca="false">(F24+F25)*(③기타_가정!$E$140+③기타_가정!$E$141)</f>
        <v>0</v>
      </c>
      <c r="G45" s="37" t="n">
        <f aca="false">(G24+G25)*(③기타_가정!$E$140+③기타_가정!$E$141)</f>
        <v>0</v>
      </c>
      <c r="H45" s="37" t="n">
        <f aca="false">(H24+H25)*(③기타_가정!$E$140+③기타_가정!$E$141)</f>
        <v>0</v>
      </c>
      <c r="I45" s="37" t="n">
        <f aca="false">(I24+I25)*(③기타_가정!$E$140+③기타_가정!$E$141)</f>
        <v>0</v>
      </c>
      <c r="J45" s="37" t="n">
        <f aca="false">(J24+J25)*(③기타_가정!$E$140+③기타_가정!$E$141)</f>
        <v>0</v>
      </c>
      <c r="K45" s="37" t="n">
        <f aca="false">(K24+K25)*(③기타_가정!$E$140+③기타_가정!$E$141)</f>
        <v>0</v>
      </c>
      <c r="L45" s="37" t="n">
        <f aca="false">(L24+L25)*(③기타_가정!$E$140+③기타_가정!$E$141)</f>
        <v>0</v>
      </c>
      <c r="M45" s="37" t="n">
        <f aca="false">(M24+M25)*(③기타_가정!$E$140+③기타_가정!$E$141)</f>
        <v>0</v>
      </c>
      <c r="N45" s="37" t="n">
        <f aca="false">(N24+N25)*(③기타_가정!$E$140+③기타_가정!$E$141)</f>
        <v>0</v>
      </c>
      <c r="O45" s="37" t="n">
        <f aca="false">(O24+O25)*(③기타_가정!$E$140+③기타_가정!$E$141)</f>
        <v>0</v>
      </c>
      <c r="P45" s="37" t="n">
        <f aca="false">(P24+P25)*(③기타_가정!$E$140+③기타_가정!$E$141)</f>
        <v>0</v>
      </c>
      <c r="Q45" s="37" t="n">
        <f aca="false">(Q24+Q25)*(③기타_가정!$E$140+③기타_가정!$E$141)</f>
        <v>0</v>
      </c>
      <c r="R45" s="37" t="n">
        <f aca="false">(R24+R25)*(③기타_가정!$E$140+③기타_가정!$E$141)</f>
        <v>0</v>
      </c>
      <c r="S45" s="37" t="n">
        <f aca="false">(S24+S25)*(③기타_가정!$E$140+③기타_가정!$E$141)</f>
        <v>0</v>
      </c>
      <c r="T45" s="37" t="n">
        <f aca="false">(T24+T25)*(③기타_가정!$E$140+③기타_가정!$E$141)</f>
        <v>0</v>
      </c>
      <c r="U45" s="37" t="n">
        <f aca="false">(U24+U25)*(③기타_가정!$E$140+③기타_가정!$E$141)</f>
        <v>0</v>
      </c>
      <c r="V45" s="37" t="n">
        <f aca="false">(V24+V25)*(③기타_가정!$E$140+③기타_가정!$E$141)</f>
        <v>0</v>
      </c>
      <c r="W45" s="37" t="n">
        <f aca="false">(W24+W25)*(③기타_가정!$E$140+③기타_가정!$E$141)</f>
        <v>0</v>
      </c>
      <c r="X45" s="37" t="n">
        <f aca="false">(X24+X25)*(③기타_가정!$E$140+③기타_가정!$E$141)</f>
        <v>0</v>
      </c>
      <c r="Y45" s="37" t="n">
        <f aca="false">(Y24+Y25)*(③기타_가정!$E$140+③기타_가정!$E$141)</f>
        <v>0</v>
      </c>
      <c r="Z45" s="37" t="n">
        <f aca="false">(Z24+Z25)*(③기타_가정!$E$140+③기타_가정!$E$141)</f>
        <v>0</v>
      </c>
      <c r="AA45" s="37" t="n">
        <f aca="false">(AA24+AA25)*(③기타_가정!$E$140+③기타_가정!$E$141)</f>
        <v>0</v>
      </c>
      <c r="AB45" s="37" t="n">
        <f aca="false">(AB24+AB25)*(③기타_가정!$E$140+③기타_가정!$E$141)</f>
        <v>0</v>
      </c>
      <c r="AC45" s="37" t="n">
        <f aca="false">(AC24+AC25)*(③기타_가정!$E$140+③기타_가정!$E$141)</f>
        <v>0</v>
      </c>
      <c r="AD45" s="37" t="n">
        <f aca="false">(AD24+AD25)*(③기타_가정!$E$140+③기타_가정!$E$141)</f>
        <v>0</v>
      </c>
      <c r="AE45" s="37" t="n">
        <f aca="false">(AE24+AE25)*(③기타_가정!$E$140+③기타_가정!$E$141)</f>
        <v>0</v>
      </c>
      <c r="AF45" s="37" t="n">
        <f aca="false">(AF24+AF25)*(③기타_가정!$E$140+③기타_가정!$E$141)</f>
        <v>0</v>
      </c>
      <c r="AG45" s="37" t="n">
        <f aca="false">(AG24+AG25)*(③기타_가정!$E$140+③기타_가정!$E$141)</f>
        <v>0</v>
      </c>
      <c r="AH45" s="37" t="n">
        <f aca="false">(AH24+AH25)*(③기타_가정!$E$140+③기타_가정!$E$141)</f>
        <v>0</v>
      </c>
      <c r="AI45" s="37" t="n">
        <f aca="false">(AI24+AI25)*(③기타_가정!$E$140+③기타_가정!$E$141)</f>
        <v>0</v>
      </c>
      <c r="AJ45" s="37" t="n">
        <f aca="false">(AJ24+AJ25)*(③기타_가정!$E$140+③기타_가정!$E$141)</f>
        <v>0</v>
      </c>
      <c r="AK45" s="37" t="n">
        <f aca="false">(AK24+AK25)*(③기타_가정!$E$140+③기타_가정!$E$141)</f>
        <v>0</v>
      </c>
      <c r="AL45" s="37" t="n">
        <f aca="false">(AL24+AL25)*(③기타_가정!$E$140+③기타_가정!$E$141)</f>
        <v>0</v>
      </c>
      <c r="AM45" s="37" t="n">
        <f aca="false">(AM24+AM25)*(③기타_가정!$E$140+③기타_가정!$E$141)</f>
        <v>0</v>
      </c>
      <c r="AN45" s="37" t="n">
        <f aca="false">(AN24+AN25)*(③기타_가정!$E$140+③기타_가정!$E$141)</f>
        <v>0</v>
      </c>
      <c r="AO45" s="37" t="n">
        <f aca="false">(AO24+AO25)*(③기타_가정!$E$140+③기타_가정!$E$141)</f>
        <v>0</v>
      </c>
      <c r="AP45" s="37" t="n">
        <f aca="false">(AP24+AP25)*(③기타_가정!$E$140+③기타_가정!$E$141)</f>
        <v>0</v>
      </c>
      <c r="AQ45" s="37" t="n">
        <f aca="false">(AQ24+AQ25)*(③기타_가정!$E$140+③기타_가정!$E$141)</f>
        <v>0</v>
      </c>
      <c r="AR45" s="37" t="n">
        <f aca="false">(AR24+AR25)*(③기타_가정!$E$140+③기타_가정!$E$141)</f>
        <v>0</v>
      </c>
      <c r="AS45" s="37" t="n">
        <f aca="false">(AS24+AS25)*(③기타_가정!$E$140+③기타_가정!$E$141)</f>
        <v>0</v>
      </c>
      <c r="AT45" s="37" t="n">
        <f aca="false">(AT24+AT25)*(③기타_가정!$E$140+③기타_가정!$E$141)</f>
        <v>0</v>
      </c>
      <c r="AU45" s="37" t="n">
        <f aca="false">(AU24+AU25)*(③기타_가정!$E$140+③기타_가정!$E$141)</f>
        <v>0</v>
      </c>
      <c r="AV45" s="37" t="n">
        <f aca="false">(AV24+AV25)*(③기타_가정!$E$140+③기타_가정!$E$141)</f>
        <v>0</v>
      </c>
      <c r="AW45" s="37" t="n">
        <f aca="false">(AW24+AW25)*(③기타_가정!$E$140+③기타_가정!$E$141)</f>
        <v>0</v>
      </c>
      <c r="AX45" s="37" t="n">
        <f aca="false">(AX24+AX25)*(③기타_가정!$E$140+③기타_가정!$E$141)</f>
        <v>0</v>
      </c>
      <c r="AY45" s="37" t="n">
        <f aca="false">(AY24+AY25)*(③기타_가정!$E$140+③기타_가정!$E$141)</f>
        <v>0</v>
      </c>
      <c r="AZ45" s="37" t="n">
        <f aca="false">(AZ24+AZ25)*(③기타_가정!$E$140+③기타_가정!$E$141)</f>
        <v>0</v>
      </c>
      <c r="BA45" s="37" t="n">
        <f aca="false">(BA24+BA25)*(③기타_가정!$E$140+③기타_가정!$E$141)</f>
        <v>0</v>
      </c>
      <c r="BB45" s="37" t="n">
        <f aca="false">(BB24+BB25)*(③기타_가정!$E$140+③기타_가정!$E$141)</f>
        <v>0</v>
      </c>
      <c r="BC45" s="37" t="n">
        <f aca="false">(BC24+BC25)*(③기타_가정!$E$140+③기타_가정!$E$141)</f>
        <v>0</v>
      </c>
      <c r="BD45" s="37" t="n">
        <f aca="false">(BD24+BD25)*(③기타_가정!$E$140+③기타_가정!$E$141)</f>
        <v>0</v>
      </c>
      <c r="BE45" s="37" t="n">
        <f aca="false">(BE24+BE25)*(③기타_가정!$E$140+③기타_가정!$E$141)</f>
        <v>0</v>
      </c>
      <c r="BF45" s="37" t="n">
        <f aca="false">(BF24+BF25)*(③기타_가정!$E$140+③기타_가정!$E$141)</f>
        <v>0</v>
      </c>
      <c r="BG45" s="37" t="n">
        <f aca="false">(BG24+BG25)*(③기타_가정!$E$140+③기타_가정!$E$141)</f>
        <v>0</v>
      </c>
      <c r="BH45" s="37" t="n">
        <f aca="false">(BH24+BH25)*(③기타_가정!$E$140+③기타_가정!$E$141)</f>
        <v>0</v>
      </c>
      <c r="BI45" s="37" t="n">
        <f aca="false">(BI24+BI25)*(③기타_가정!$E$140+③기타_가정!$E$141)</f>
        <v>0</v>
      </c>
      <c r="BJ45" s="37" t="n">
        <f aca="false">(BJ24+BJ25)*(③기타_가정!$E$140+③기타_가정!$E$141)</f>
        <v>0</v>
      </c>
      <c r="BK45" s="37" t="n">
        <f aca="false">(BK24+BK25)*(③기타_가정!$E$140+③기타_가정!$E$141)</f>
        <v>0</v>
      </c>
      <c r="BL45" s="37" t="n">
        <f aca="false">(BL24+BL25)*(③기타_가정!$E$140+③기타_가정!$E$141)</f>
        <v>0</v>
      </c>
      <c r="BM45" s="37" t="n">
        <f aca="false">(BM24+BM25)*(③기타_가정!$E$140+③기타_가정!$E$141)</f>
        <v>1853.72538482444</v>
      </c>
      <c r="BN45" s="37" t="n">
        <f aca="false">(BN24+BN25)*(③기타_가정!$E$140+③기타_가정!$E$141)</f>
        <v>1793.92779176559</v>
      </c>
      <c r="BO45" s="37" t="n">
        <f aca="false">(BO24+BO25)*(③기타_가정!$E$140+③기타_가정!$E$141)</f>
        <v>1853.72538482444</v>
      </c>
      <c r="BP45" s="37" t="n">
        <f aca="false">(BP24+BP25)*(③기타_가정!$E$140+③기타_가정!$E$141)</f>
        <v>1793.92779176559</v>
      </c>
      <c r="BQ45" s="37" t="n">
        <f aca="false">(BQ24+BQ25)*(③기타_가정!$E$140+③기타_가정!$E$141)</f>
        <v>1853.72538482444</v>
      </c>
      <c r="BR45" s="37" t="n">
        <f aca="false">(BR24+BR25)*(③기타_가정!$E$140+③기타_가정!$E$141)</f>
        <v>1853.72538482444</v>
      </c>
      <c r="BS45" s="37" t="n">
        <f aca="false">(BS24+BS25)*(③기타_가정!$E$140+③기타_가정!$E$141)</f>
        <v>1793.92779176559</v>
      </c>
      <c r="BT45" s="37" t="n">
        <f aca="false">(BT24+BT25)*(③기타_가정!$E$140+③기타_가정!$E$141)</f>
        <v>1853.72538482444</v>
      </c>
      <c r="BU45" s="37" t="n">
        <f aca="false">(BU24+BU25)*(③기타_가정!$E$140+③기타_가정!$E$141)</f>
        <v>1793.92779176559</v>
      </c>
      <c r="BV45" s="37" t="n">
        <f aca="false">(BV24+BV25)*(③기타_가정!$E$140+③기타_가정!$E$141)</f>
        <v>1853.72538482444</v>
      </c>
      <c r="BW45" s="37" t="n">
        <f aca="false">(BW24+BW25)*(③기타_가정!$E$140+③기타_가정!$E$141)</f>
        <v>1853.72538482444</v>
      </c>
      <c r="BX45" s="37" t="n">
        <f aca="false">(BX24+BX25)*(③기타_가정!$E$140+③기타_가정!$E$141)</f>
        <v>1734.13019870674</v>
      </c>
      <c r="BY45" s="37" t="n">
        <f aca="false">(BY24+BY25)*(③기타_가정!$E$140+③기타_가정!$E$141)</f>
        <v>2181.692183678</v>
      </c>
      <c r="BZ45" s="37" t="n">
        <f aca="false">(BZ24+BZ25)*(③기타_가정!$E$140+③기타_가정!$E$141)</f>
        <v>2111.31501646258</v>
      </c>
      <c r="CA45" s="37" t="n">
        <f aca="false">(CA24+CA25)*(③기타_가정!$E$140+③기타_가정!$E$141)</f>
        <v>2181.692183678</v>
      </c>
      <c r="CB45" s="37" t="n">
        <f aca="false">(CB24+CB25)*(③기타_가정!$E$140+③기타_가정!$E$141)</f>
        <v>2111.31501646258</v>
      </c>
      <c r="CC45" s="37" t="n">
        <f aca="false">(CC24+CC25)*(③기타_가정!$E$140+③기타_가정!$E$141)</f>
        <v>2181.692183678</v>
      </c>
      <c r="CD45" s="37" t="n">
        <f aca="false">(CD24+CD25)*(③기타_가정!$E$140+③기타_가정!$E$141)</f>
        <v>2181.692183678</v>
      </c>
      <c r="CE45" s="37" t="n">
        <f aca="false">(CE24+CE25)*(③기타_가정!$E$140+③기타_가정!$E$141)</f>
        <v>2111.31501646258</v>
      </c>
      <c r="CF45" s="37" t="n">
        <f aca="false">(CF24+CF25)*(③기타_가정!$E$140+③기타_가정!$E$141)</f>
        <v>2181.692183678</v>
      </c>
      <c r="CG45" s="37" t="n">
        <f aca="false">(CG24+CG25)*(③기타_가정!$E$140+③기타_가정!$E$141)</f>
        <v>2111.31501646258</v>
      </c>
      <c r="CH45" s="37" t="n">
        <f aca="false">(CH24+CH25)*(③기타_가정!$E$140+③기타_가정!$E$141)</f>
        <v>2181.692183678</v>
      </c>
      <c r="CI45" s="37" t="n">
        <f aca="false">(CI24+CI25)*(③기타_가정!$E$140+③기타_가정!$E$141)</f>
        <v>2181.692183678</v>
      </c>
      <c r="CJ45" s="37" t="n">
        <f aca="false">(CJ24+CJ25)*(③기타_가정!$E$140+③기타_가정!$E$141)</f>
        <v>1970.56068203174</v>
      </c>
      <c r="CK45" s="37" t="n">
        <f aca="false">(CK24+CK25)*(③기타_가정!$E$140+③기타_가정!$E$141)</f>
        <v>2225.32602735156</v>
      </c>
      <c r="CL45" s="37" t="n">
        <f aca="false">(CL24+CL25)*(③기타_가정!$E$140+③기타_가정!$E$141)</f>
        <v>2153.54131679183</v>
      </c>
      <c r="CM45" s="37" t="n">
        <f aca="false">(CM24+CM25)*(③기타_가정!$E$140+③기타_가정!$E$141)</f>
        <v>2225.32602735156</v>
      </c>
      <c r="CN45" s="37" t="n">
        <f aca="false">(CN24+CN25)*(③기타_가정!$E$140+③기타_가정!$E$141)</f>
        <v>2153.54131679183</v>
      </c>
      <c r="CO45" s="37" t="n">
        <f aca="false">(CO24+CO25)*(③기타_가정!$E$140+③기타_가정!$E$141)</f>
        <v>2225.32602735156</v>
      </c>
      <c r="CP45" s="37" t="n">
        <f aca="false">(CP24+CP25)*(③기타_가정!$E$140+③기타_가정!$E$141)</f>
        <v>2225.32602735156</v>
      </c>
      <c r="CQ45" s="37" t="n">
        <f aca="false">(CQ24+CQ25)*(③기타_가정!$E$140+③기타_가정!$E$141)</f>
        <v>2153.54131679183</v>
      </c>
      <c r="CR45" s="37" t="n">
        <f aca="false">(CR24+CR25)*(③기타_가정!$E$140+③기타_가정!$E$141)</f>
        <v>2225.32602735156</v>
      </c>
      <c r="CS45" s="37" t="n">
        <f aca="false">(CS24+CS25)*(③기타_가정!$E$140+③기타_가정!$E$141)</f>
        <v>2153.54131679183</v>
      </c>
      <c r="CT45" s="37" t="n">
        <f aca="false">(CT24+CT25)*(③기타_가정!$E$140+③기타_가정!$E$141)</f>
        <v>2225.32602735156</v>
      </c>
      <c r="CU45" s="37" t="n">
        <f aca="false">(CU24+CU25)*(③기타_가정!$E$140+③기타_가정!$E$141)</f>
        <v>2225.32602735156</v>
      </c>
      <c r="CV45" s="37" t="n">
        <f aca="false">(CV24+CV25)*(③기타_가정!$E$140+③기타_가정!$E$141)</f>
        <v>2009.97189567238</v>
      </c>
      <c r="CW45" s="37" t="n">
        <f aca="false">(CW24+CW25)*(③기타_가정!$E$140+③기타_가정!$E$141)</f>
        <v>2269.83254789859</v>
      </c>
      <c r="CX45" s="37" t="n">
        <f aca="false">(CX24+CX25)*(③기타_가정!$E$140+③기타_가정!$E$141)</f>
        <v>2196.61214312767</v>
      </c>
      <c r="CY45" s="37" t="n">
        <f aca="false">(CY24+CY25)*(③기타_가정!$E$140+③기타_가정!$E$141)</f>
        <v>2269.83254789859</v>
      </c>
      <c r="CZ45" s="37" t="n">
        <f aca="false">(CZ24+CZ25)*(③기타_가정!$E$140+③기타_가정!$E$141)</f>
        <v>2196.61214312767</v>
      </c>
      <c r="DA45" s="37" t="n">
        <f aca="false">(DA24+DA25)*(③기타_가정!$E$140+③기타_가정!$E$141)</f>
        <v>2269.83254789859</v>
      </c>
      <c r="DB45" s="37" t="n">
        <f aca="false">(DB24+DB25)*(③기타_가정!$E$140+③기타_가정!$E$141)</f>
        <v>2269.83254789859</v>
      </c>
      <c r="DC45" s="37" t="n">
        <f aca="false">(DC24+DC25)*(③기타_가정!$E$140+③기타_가정!$E$141)</f>
        <v>2196.61214312767</v>
      </c>
      <c r="DD45" s="37" t="n">
        <f aca="false">(DD24+DD25)*(③기타_가정!$E$140+③기타_가정!$E$141)</f>
        <v>2269.83254789859</v>
      </c>
      <c r="DE45" s="37" t="n">
        <f aca="false">(DE24+DE25)*(③기타_가정!$E$140+③기타_가정!$E$141)</f>
        <v>2196.61214312767</v>
      </c>
      <c r="DF45" s="37" t="n">
        <f aca="false">(DF24+DF25)*(③기타_가정!$E$140+③기타_가정!$E$141)</f>
        <v>2269.83254789859</v>
      </c>
      <c r="DG45" s="37" t="n">
        <f aca="false">(DG24+DG25)*(③기타_가정!$E$140+③기타_가정!$E$141)</f>
        <v>2269.83254789859</v>
      </c>
      <c r="DH45" s="37" t="n">
        <f aca="false">(DH24+DH25)*(③기타_가정!$E$140+③기타_가정!$E$141)</f>
        <v>2050.17133358582</v>
      </c>
      <c r="DI45" s="37" t="n">
        <f aca="false">(DI24+DI25)*(③기타_가정!$E$140+③기타_가정!$E$141)</f>
        <v>2315.22919885656</v>
      </c>
      <c r="DJ45" s="37" t="n">
        <f aca="false">(DJ24+DJ25)*(③기타_가정!$E$140+③기타_가정!$E$141)</f>
        <v>2240.54438599022</v>
      </c>
      <c r="DK45" s="37" t="n">
        <f aca="false">(DK24+DK25)*(③기타_가정!$E$140+③기타_가정!$E$141)</f>
        <v>2315.22919885656</v>
      </c>
      <c r="DL45" s="37" t="n">
        <f aca="false">(DL24+DL25)*(③기타_가정!$E$140+③기타_가정!$E$141)</f>
        <v>2240.54438599022</v>
      </c>
      <c r="DM45" s="37" t="n">
        <f aca="false">(DM24+DM25)*(③기타_가정!$E$140+③기타_가정!$E$141)</f>
        <v>2315.22919885656</v>
      </c>
      <c r="DN45" s="37" t="n">
        <f aca="false">(DN24+DN25)*(③기타_가정!$E$140+③기타_가정!$E$141)</f>
        <v>2315.22919885656</v>
      </c>
      <c r="DO45" s="37" t="n">
        <f aca="false">(DO24+DO25)*(③기타_가정!$E$140+③기타_가정!$E$141)</f>
        <v>2240.54438599022</v>
      </c>
      <c r="DP45" s="37" t="n">
        <f aca="false">(DP24+DP25)*(③기타_가정!$E$140+③기타_가정!$E$141)</f>
        <v>2315.22919885656</v>
      </c>
      <c r="DQ45" s="37" t="n">
        <f aca="false">(DQ24+DQ25)*(③기타_가정!$E$140+③기타_가정!$E$141)</f>
        <v>2240.54438599022</v>
      </c>
      <c r="DR45" s="37" t="n">
        <f aca="false">(DR24+DR25)*(③기타_가정!$E$140+③기타_가정!$E$141)</f>
        <v>2315.22919885656</v>
      </c>
      <c r="DS45" s="37" t="n">
        <f aca="false">(DS24+DS25)*(③기타_가정!$E$140+③기타_가정!$E$141)</f>
        <v>2315.22919885656</v>
      </c>
      <c r="DT45" s="37" t="n">
        <f aca="false">(DT24+DT25)*(③기타_가정!$E$140+③기타_가정!$E$141)</f>
        <v>2165.85957312388</v>
      </c>
      <c r="DU45" s="37" t="n">
        <f aca="false">(DU24+DU25)*(③기타_가정!$E$140+③기타_가정!$E$141)</f>
        <v>0</v>
      </c>
      <c r="DV45" s="37" t="n">
        <f aca="false">(DV24+DV25)*(③기타_가정!$E$140+③기타_가정!$E$141)</f>
        <v>0</v>
      </c>
      <c r="DW45" s="37" t="n">
        <f aca="false">(DW24+DW25)*(③기타_가정!$E$140+③기타_가정!$E$141)</f>
        <v>0</v>
      </c>
      <c r="DX45" s="37" t="n">
        <f aca="false">(DX24+DX25)*(③기타_가정!$E$140+③기타_가정!$E$141)</f>
        <v>0</v>
      </c>
      <c r="DY45" s="37" t="n">
        <f aca="false">(DY24+DY25)*(③기타_가정!$E$140+③기타_가정!$E$141)</f>
        <v>0</v>
      </c>
      <c r="DZ45" s="37" t="n">
        <f aca="false">(DZ24+DZ25)*(③기타_가정!$E$140+③기타_가정!$E$141)</f>
        <v>0</v>
      </c>
      <c r="EA45" s="37" t="n">
        <f aca="false">(EA24+EA25)*(③기타_가정!$E$140+③기타_가정!$E$141)</f>
        <v>0</v>
      </c>
      <c r="EB45" s="37" t="n">
        <f aca="false">(EB24+EB25)*(③기타_가정!$E$140+③기타_가정!$E$141)</f>
        <v>0</v>
      </c>
      <c r="EC45" s="37" t="n">
        <f aca="false">(EC24+EC25)*(③기타_가정!$E$140+③기타_가정!$E$141)</f>
        <v>0</v>
      </c>
      <c r="ED45" s="37" t="n">
        <f aca="false">(ED24+ED25)*(③기타_가정!$E$140+③기타_가정!$E$141)</f>
        <v>0</v>
      </c>
      <c r="EE45" s="37" t="n">
        <f aca="false">(EE24+EE25)*(③기타_가정!$E$140+③기타_가정!$E$141)</f>
        <v>0</v>
      </c>
      <c r="EF45" s="37" t="n">
        <f aca="false">(EF24+EF25)*(③기타_가정!$E$140+③기타_가정!$E$141)</f>
        <v>0</v>
      </c>
    </row>
    <row r="46" customFormat="false" ht="15" hidden="false" customHeight="false" outlineLevel="0" collapsed="false">
      <c r="A46" s="36" t="s">
        <v>594</v>
      </c>
      <c r="B46" s="278" t="s">
        <v>21</v>
      </c>
      <c r="C46" s="279" t="n">
        <f aca="false">SUM(E46:EF46)</f>
        <v>26573.0577174262</v>
      </c>
      <c r="E46" s="37" t="n">
        <f aca="false">E26*③기타_가정!$E$145</f>
        <v>0</v>
      </c>
      <c r="F46" s="37" t="n">
        <f aca="false">F26*③기타_가정!$E$145</f>
        <v>0</v>
      </c>
      <c r="G46" s="37" t="n">
        <f aca="false">G26*③기타_가정!$E$145</f>
        <v>0</v>
      </c>
      <c r="H46" s="37" t="n">
        <f aca="false">H26*③기타_가정!$E$145</f>
        <v>0</v>
      </c>
      <c r="I46" s="37" t="n">
        <f aca="false">I26*③기타_가정!$E$145</f>
        <v>0</v>
      </c>
      <c r="J46" s="37" t="n">
        <f aca="false">J26*③기타_가정!$E$145</f>
        <v>0</v>
      </c>
      <c r="K46" s="37" t="n">
        <f aca="false">K26*③기타_가정!$E$145</f>
        <v>0</v>
      </c>
      <c r="L46" s="37" t="n">
        <f aca="false">L26*③기타_가정!$E$145</f>
        <v>0</v>
      </c>
      <c r="M46" s="37" t="n">
        <f aca="false">M26*③기타_가정!$E$145</f>
        <v>0</v>
      </c>
      <c r="N46" s="37" t="n">
        <f aca="false">N26*③기타_가정!$E$145</f>
        <v>0</v>
      </c>
      <c r="O46" s="37" t="n">
        <f aca="false">O26*③기타_가정!$E$145</f>
        <v>0</v>
      </c>
      <c r="P46" s="37" t="n">
        <f aca="false">P26*③기타_가정!$E$145</f>
        <v>0</v>
      </c>
      <c r="Q46" s="37" t="n">
        <f aca="false">Q26*③기타_가정!$E$145</f>
        <v>0</v>
      </c>
      <c r="R46" s="37" t="n">
        <f aca="false">R26*③기타_가정!$E$145</f>
        <v>0</v>
      </c>
      <c r="S46" s="37" t="n">
        <f aca="false">S26*③기타_가정!$E$145</f>
        <v>0</v>
      </c>
      <c r="T46" s="37" t="n">
        <f aca="false">T26*③기타_가정!$E$145</f>
        <v>0</v>
      </c>
      <c r="U46" s="37" t="n">
        <f aca="false">U26*③기타_가정!$E$145</f>
        <v>0</v>
      </c>
      <c r="V46" s="37" t="n">
        <f aca="false">V26*③기타_가정!$E$145</f>
        <v>0</v>
      </c>
      <c r="W46" s="37" t="n">
        <f aca="false">W26*③기타_가정!$E$145</f>
        <v>0</v>
      </c>
      <c r="X46" s="37" t="n">
        <f aca="false">X26*③기타_가정!$E$145</f>
        <v>0</v>
      </c>
      <c r="Y46" s="37" t="n">
        <f aca="false">Y26*③기타_가정!$E$145</f>
        <v>0</v>
      </c>
      <c r="Z46" s="37" t="n">
        <f aca="false">Z26*③기타_가정!$E$145</f>
        <v>0</v>
      </c>
      <c r="AA46" s="37" t="n">
        <f aca="false">AA26*③기타_가정!$E$145</f>
        <v>0</v>
      </c>
      <c r="AB46" s="37" t="n">
        <f aca="false">AB26*③기타_가정!$E$145</f>
        <v>0</v>
      </c>
      <c r="AC46" s="37" t="n">
        <f aca="false">AC26*③기타_가정!$E$145</f>
        <v>0</v>
      </c>
      <c r="AD46" s="37" t="n">
        <f aca="false">AD26*③기타_가정!$E$145</f>
        <v>0</v>
      </c>
      <c r="AE46" s="37" t="n">
        <f aca="false">AE26*③기타_가정!$E$145</f>
        <v>0</v>
      </c>
      <c r="AF46" s="37" t="n">
        <f aca="false">AF26*③기타_가정!$E$145</f>
        <v>0</v>
      </c>
      <c r="AG46" s="37" t="n">
        <f aca="false">AG26*③기타_가정!$E$145</f>
        <v>0</v>
      </c>
      <c r="AH46" s="37" t="n">
        <f aca="false">AH26*③기타_가정!$E$145</f>
        <v>0</v>
      </c>
      <c r="AI46" s="37" t="n">
        <f aca="false">AI26*③기타_가정!$E$145</f>
        <v>0</v>
      </c>
      <c r="AJ46" s="37" t="n">
        <f aca="false">AJ26*③기타_가정!$E$145</f>
        <v>0</v>
      </c>
      <c r="AK46" s="37" t="n">
        <f aca="false">AK26*③기타_가정!$E$145</f>
        <v>0</v>
      </c>
      <c r="AL46" s="37" t="n">
        <f aca="false">AL26*③기타_가정!$E$145</f>
        <v>0</v>
      </c>
      <c r="AM46" s="37" t="n">
        <f aca="false">AM26*③기타_가정!$E$145</f>
        <v>0</v>
      </c>
      <c r="AN46" s="37" t="n">
        <f aca="false">AN26*③기타_가정!$E$145</f>
        <v>0</v>
      </c>
      <c r="AO46" s="37" t="n">
        <f aca="false">AO26*③기타_가정!$E$145</f>
        <v>0</v>
      </c>
      <c r="AP46" s="37" t="n">
        <f aca="false">AP26*③기타_가정!$E$145</f>
        <v>0</v>
      </c>
      <c r="AQ46" s="37" t="n">
        <f aca="false">AQ26*③기타_가정!$E$145</f>
        <v>0</v>
      </c>
      <c r="AR46" s="37" t="n">
        <f aca="false">AR26*③기타_가정!$E$145</f>
        <v>0</v>
      </c>
      <c r="AS46" s="37" t="n">
        <f aca="false">AS26*③기타_가정!$E$145</f>
        <v>0</v>
      </c>
      <c r="AT46" s="37" t="n">
        <f aca="false">AT26*③기타_가정!$E$145</f>
        <v>0</v>
      </c>
      <c r="AU46" s="37" t="n">
        <f aca="false">AU26*③기타_가정!$E$145</f>
        <v>0</v>
      </c>
      <c r="AV46" s="37" t="n">
        <f aca="false">AV26*③기타_가정!$E$145</f>
        <v>0</v>
      </c>
      <c r="AW46" s="37" t="n">
        <f aca="false">AW26*③기타_가정!$E$145</f>
        <v>0</v>
      </c>
      <c r="AX46" s="37" t="n">
        <f aca="false">AX26*③기타_가정!$E$145</f>
        <v>0</v>
      </c>
      <c r="AY46" s="37" t="n">
        <f aca="false">AY26*③기타_가정!$E$145</f>
        <v>0</v>
      </c>
      <c r="AZ46" s="37" t="n">
        <f aca="false">AZ26*③기타_가정!$E$145</f>
        <v>0</v>
      </c>
      <c r="BA46" s="37" t="n">
        <f aca="false">BA26*③기타_가정!$E$145</f>
        <v>0</v>
      </c>
      <c r="BB46" s="37" t="n">
        <f aca="false">BB26*③기타_가정!$E$145</f>
        <v>0</v>
      </c>
      <c r="BC46" s="37" t="n">
        <f aca="false">BC26*③기타_가정!$E$145</f>
        <v>0</v>
      </c>
      <c r="BD46" s="37" t="n">
        <f aca="false">BD26*③기타_가정!$E$145</f>
        <v>0</v>
      </c>
      <c r="BE46" s="37" t="n">
        <f aca="false">BE26*③기타_가정!$E$145</f>
        <v>0</v>
      </c>
      <c r="BF46" s="37" t="n">
        <f aca="false">BF26*③기타_가정!$E$145</f>
        <v>0</v>
      </c>
      <c r="BG46" s="37" t="n">
        <f aca="false">BG26*③기타_가정!$E$145</f>
        <v>0</v>
      </c>
      <c r="BH46" s="37" t="n">
        <f aca="false">BH26*③기타_가정!$E$145</f>
        <v>0</v>
      </c>
      <c r="BI46" s="37" t="n">
        <f aca="false">BI26*③기타_가정!$E$145</f>
        <v>0</v>
      </c>
      <c r="BJ46" s="37" t="n">
        <f aca="false">BJ26*③기타_가정!$E$145</f>
        <v>0</v>
      </c>
      <c r="BK46" s="37" t="n">
        <f aca="false">BK26*③기타_가정!$E$145</f>
        <v>0</v>
      </c>
      <c r="BL46" s="37" t="n">
        <f aca="false">BL26*③기타_가정!$E$145</f>
        <v>0</v>
      </c>
      <c r="BM46" s="37" t="n">
        <f aca="false">BM26*③기타_가정!$E$145</f>
        <v>385.333559183625</v>
      </c>
      <c r="BN46" s="37" t="n">
        <f aca="false">BN26*③기타_가정!$E$145</f>
        <v>372.90344437125</v>
      </c>
      <c r="BO46" s="37" t="n">
        <f aca="false">BO26*③기타_가정!$E$145</f>
        <v>385.333559183625</v>
      </c>
      <c r="BP46" s="37" t="n">
        <f aca="false">BP26*③기타_가정!$E$145</f>
        <v>372.90344437125</v>
      </c>
      <c r="BQ46" s="37" t="n">
        <f aca="false">BQ26*③기타_가정!$E$145</f>
        <v>385.333559183625</v>
      </c>
      <c r="BR46" s="37" t="n">
        <f aca="false">BR26*③기타_가정!$E$145</f>
        <v>385.333559183625</v>
      </c>
      <c r="BS46" s="37" t="n">
        <f aca="false">BS26*③기타_가정!$E$145</f>
        <v>372.90344437125</v>
      </c>
      <c r="BT46" s="37" t="n">
        <f aca="false">BT26*③기타_가정!$E$145</f>
        <v>385.333559183625</v>
      </c>
      <c r="BU46" s="37" t="n">
        <f aca="false">BU26*③기타_가정!$E$145</f>
        <v>372.90344437125</v>
      </c>
      <c r="BV46" s="37" t="n">
        <f aca="false">BV26*③기타_가정!$E$145</f>
        <v>385.333559183625</v>
      </c>
      <c r="BW46" s="37" t="n">
        <f aca="false">BW26*③기타_가정!$E$145</f>
        <v>385.333559183625</v>
      </c>
      <c r="BX46" s="37" t="n">
        <f aca="false">BX26*③기타_가정!$E$145</f>
        <v>360.473329558875</v>
      </c>
      <c r="BY46" s="37" t="n">
        <f aca="false">BY26*③기타_가정!$E$145</f>
        <v>453.507958116113</v>
      </c>
      <c r="BZ46" s="37" t="n">
        <f aca="false">BZ26*③기타_가정!$E$145</f>
        <v>438.878669144625</v>
      </c>
      <c r="CA46" s="37" t="n">
        <f aca="false">CA26*③기타_가정!$E$145</f>
        <v>453.507958116113</v>
      </c>
      <c r="CB46" s="37" t="n">
        <f aca="false">CB26*③기타_가정!$E$145</f>
        <v>438.878669144625</v>
      </c>
      <c r="CC46" s="37" t="n">
        <f aca="false">CC26*③기타_가정!$E$145</f>
        <v>453.507958116113</v>
      </c>
      <c r="CD46" s="37" t="n">
        <f aca="false">CD26*③기타_가정!$E$145</f>
        <v>453.507958116113</v>
      </c>
      <c r="CE46" s="37" t="n">
        <f aca="false">CE26*③기타_가정!$E$145</f>
        <v>438.878669144625</v>
      </c>
      <c r="CF46" s="37" t="n">
        <f aca="false">CF26*③기타_가정!$E$145</f>
        <v>453.507958116113</v>
      </c>
      <c r="CG46" s="37" t="n">
        <f aca="false">CG26*③기타_가정!$E$145</f>
        <v>438.878669144625</v>
      </c>
      <c r="CH46" s="37" t="n">
        <f aca="false">CH26*③기타_가정!$E$145</f>
        <v>453.507958116113</v>
      </c>
      <c r="CI46" s="37" t="n">
        <f aca="false">CI26*③기타_가정!$E$145</f>
        <v>453.507958116113</v>
      </c>
      <c r="CJ46" s="37" t="n">
        <f aca="false">CJ26*③기타_가정!$E$145</f>
        <v>409.62009120165</v>
      </c>
      <c r="CK46" s="37" t="n">
        <f aca="false">CK26*③기타_가정!$E$145</f>
        <v>462.578117278435</v>
      </c>
      <c r="CL46" s="37" t="n">
        <f aca="false">CL26*③기타_가정!$E$145</f>
        <v>447.656242527518</v>
      </c>
      <c r="CM46" s="37" t="n">
        <f aca="false">CM26*③기타_가정!$E$145</f>
        <v>462.578117278435</v>
      </c>
      <c r="CN46" s="37" t="n">
        <f aca="false">CN26*③기타_가정!$E$145</f>
        <v>447.656242527518</v>
      </c>
      <c r="CO46" s="37" t="n">
        <f aca="false">CO26*③기타_가정!$E$145</f>
        <v>462.578117278435</v>
      </c>
      <c r="CP46" s="37" t="n">
        <f aca="false">CP26*③기타_가정!$E$145</f>
        <v>462.578117278435</v>
      </c>
      <c r="CQ46" s="37" t="n">
        <f aca="false">CQ26*③기타_가정!$E$145</f>
        <v>447.656242527518</v>
      </c>
      <c r="CR46" s="37" t="n">
        <f aca="false">CR26*③기타_가정!$E$145</f>
        <v>462.578117278435</v>
      </c>
      <c r="CS46" s="37" t="n">
        <f aca="false">CS26*③기타_가정!$E$145</f>
        <v>447.656242527518</v>
      </c>
      <c r="CT46" s="37" t="n">
        <f aca="false">CT26*③기타_가정!$E$145</f>
        <v>462.578117278435</v>
      </c>
      <c r="CU46" s="37" t="n">
        <f aca="false">CU26*③기타_가정!$E$145</f>
        <v>462.578117278435</v>
      </c>
      <c r="CV46" s="37" t="n">
        <f aca="false">CV26*③기타_가정!$E$145</f>
        <v>417.812493025683</v>
      </c>
      <c r="CW46" s="37" t="n">
        <f aca="false">CW26*③기타_가정!$E$145</f>
        <v>471.829679624004</v>
      </c>
      <c r="CX46" s="37" t="n">
        <f aca="false">CX26*③기타_가정!$E$145</f>
        <v>456.609367378068</v>
      </c>
      <c r="CY46" s="37" t="n">
        <f aca="false">CY26*③기타_가정!$E$145</f>
        <v>471.829679624004</v>
      </c>
      <c r="CZ46" s="37" t="n">
        <f aca="false">CZ26*③기타_가정!$E$145</f>
        <v>456.609367378068</v>
      </c>
      <c r="DA46" s="37" t="n">
        <f aca="false">DA26*③기타_가정!$E$145</f>
        <v>471.829679624004</v>
      </c>
      <c r="DB46" s="37" t="n">
        <f aca="false">DB26*③기타_가정!$E$145</f>
        <v>471.829679624004</v>
      </c>
      <c r="DC46" s="37" t="n">
        <f aca="false">DC26*③기타_가정!$E$145</f>
        <v>456.609367378068</v>
      </c>
      <c r="DD46" s="37" t="n">
        <f aca="false">DD26*③기타_가정!$E$145</f>
        <v>471.829679624004</v>
      </c>
      <c r="DE46" s="37" t="n">
        <f aca="false">DE26*③기타_가정!$E$145</f>
        <v>456.609367378068</v>
      </c>
      <c r="DF46" s="37" t="n">
        <f aca="false">DF26*③기타_가정!$E$145</f>
        <v>471.829679624004</v>
      </c>
      <c r="DG46" s="37" t="n">
        <f aca="false">DG26*③기타_가정!$E$145</f>
        <v>471.829679624004</v>
      </c>
      <c r="DH46" s="37" t="n">
        <f aca="false">DH26*③기타_가정!$E$145</f>
        <v>426.168742886197</v>
      </c>
      <c r="DI46" s="37" t="n">
        <f aca="false">DI26*③기타_가정!$E$145</f>
        <v>481.266273216483</v>
      </c>
      <c r="DJ46" s="37" t="n">
        <f aca="false">DJ26*③기타_가정!$E$145</f>
        <v>465.741554725629</v>
      </c>
      <c r="DK46" s="37" t="n">
        <f aca="false">DK26*③기타_가정!$E$145</f>
        <v>481.266273216483</v>
      </c>
      <c r="DL46" s="37" t="n">
        <f aca="false">DL26*③기타_가정!$E$145</f>
        <v>465.741554725629</v>
      </c>
      <c r="DM46" s="37" t="n">
        <f aca="false">DM26*③기타_가정!$E$145</f>
        <v>481.266273216483</v>
      </c>
      <c r="DN46" s="37" t="n">
        <f aca="false">DN26*③기타_가정!$E$145</f>
        <v>481.266273216483</v>
      </c>
      <c r="DO46" s="37" t="n">
        <f aca="false">DO26*③기타_가정!$E$145</f>
        <v>465.741554725629</v>
      </c>
      <c r="DP46" s="37" t="n">
        <f aca="false">DP26*③기타_가정!$E$145</f>
        <v>481.266273216483</v>
      </c>
      <c r="DQ46" s="37" t="n">
        <f aca="false">DQ26*③기타_가정!$E$145</f>
        <v>465.741554725629</v>
      </c>
      <c r="DR46" s="37" t="n">
        <f aca="false">DR26*③기타_가정!$E$145</f>
        <v>481.266273216483</v>
      </c>
      <c r="DS46" s="37" t="n">
        <f aca="false">DS26*③기타_가정!$E$145</f>
        <v>481.266273216483</v>
      </c>
      <c r="DT46" s="37" t="n">
        <f aca="false">DT26*③기타_가정!$E$145</f>
        <v>450.216836234775</v>
      </c>
      <c r="DU46" s="37" t="n">
        <f aca="false">DU26*③기타_가정!$E$145</f>
        <v>0</v>
      </c>
      <c r="DV46" s="37" t="n">
        <f aca="false">DV26*③기타_가정!$E$145</f>
        <v>0</v>
      </c>
      <c r="DW46" s="37" t="n">
        <f aca="false">DW26*③기타_가정!$E$145</f>
        <v>0</v>
      </c>
      <c r="DX46" s="37" t="n">
        <f aca="false">DX26*③기타_가정!$E$145</f>
        <v>0</v>
      </c>
      <c r="DY46" s="37" t="n">
        <f aca="false">DY26*③기타_가정!$E$145</f>
        <v>0</v>
      </c>
      <c r="DZ46" s="37" t="n">
        <f aca="false">DZ26*③기타_가정!$E$145</f>
        <v>0</v>
      </c>
      <c r="EA46" s="37" t="n">
        <f aca="false">EA26*③기타_가정!$E$145</f>
        <v>0</v>
      </c>
      <c r="EB46" s="37" t="n">
        <f aca="false">EB26*③기타_가정!$E$145</f>
        <v>0</v>
      </c>
      <c r="EC46" s="37" t="n">
        <f aca="false">EC26*③기타_가정!$E$145</f>
        <v>0</v>
      </c>
      <c r="ED46" s="37" t="n">
        <f aca="false">ED26*③기타_가정!$E$145</f>
        <v>0</v>
      </c>
      <c r="EE46" s="37" t="n">
        <f aca="false">EE26*③기타_가정!$E$145</f>
        <v>0</v>
      </c>
      <c r="EF46" s="37" t="n">
        <f aca="false">EF26*③기타_가정!$E$145</f>
        <v>0</v>
      </c>
    </row>
    <row r="47" customFormat="false" ht="15" hidden="false" customHeight="false" outlineLevel="0" collapsed="false">
      <c r="A47" s="36" t="s">
        <v>595</v>
      </c>
      <c r="B47" s="278" t="s">
        <v>21</v>
      </c>
      <c r="C47" s="279" t="n">
        <f aca="false">SUM(E47:EF47)</f>
        <v>255604.302389502</v>
      </c>
      <c r="E47" s="37" t="n">
        <f aca="false">(E27+E28+E29)*(③기타_가정!$E$165+③기타_가정!$E$166)</f>
        <v>0</v>
      </c>
      <c r="F47" s="37" t="n">
        <f aca="false">(F27+F28+F29)*(③기타_가정!$E$165+③기타_가정!$E$166)</f>
        <v>0</v>
      </c>
      <c r="G47" s="37" t="n">
        <f aca="false">(G27+G28+G29)*(③기타_가정!$E$165+③기타_가정!$E$166)</f>
        <v>0</v>
      </c>
      <c r="H47" s="37" t="n">
        <f aca="false">(H27+H28+H29)*(③기타_가정!$E$165+③기타_가정!$E$166)</f>
        <v>0</v>
      </c>
      <c r="I47" s="37" t="n">
        <f aca="false">(I27+I28+I29)*(③기타_가정!$E$165+③기타_가정!$E$166)</f>
        <v>0</v>
      </c>
      <c r="J47" s="37" t="n">
        <f aca="false">(J27+J28+J29)*(③기타_가정!$E$165+③기타_가정!$E$166)</f>
        <v>0</v>
      </c>
      <c r="K47" s="37" t="n">
        <f aca="false">(K27+K28+K29)*(③기타_가정!$E$165+③기타_가정!$E$166)</f>
        <v>0</v>
      </c>
      <c r="L47" s="37" t="n">
        <f aca="false">(L27+L28+L29)*(③기타_가정!$E$165+③기타_가정!$E$166)</f>
        <v>0</v>
      </c>
      <c r="M47" s="37" t="n">
        <f aca="false">(M27+M28+M29)*(③기타_가정!$E$165+③기타_가정!$E$166)</f>
        <v>0</v>
      </c>
      <c r="N47" s="37" t="n">
        <f aca="false">(N27+N28+N29)*(③기타_가정!$E$165+③기타_가정!$E$166)</f>
        <v>0</v>
      </c>
      <c r="O47" s="37" t="n">
        <f aca="false">(O27+O28+O29)*(③기타_가정!$E$165+③기타_가정!$E$166)</f>
        <v>0</v>
      </c>
      <c r="P47" s="37" t="n">
        <f aca="false">(P27+P28+P29)*(③기타_가정!$E$165+③기타_가정!$E$166)</f>
        <v>0</v>
      </c>
      <c r="Q47" s="37" t="n">
        <f aca="false">(Q27+Q28+Q29)*(③기타_가정!$E$165+③기타_가정!$E$166)</f>
        <v>0</v>
      </c>
      <c r="R47" s="37" t="n">
        <f aca="false">(R27+R28+R29)*(③기타_가정!$E$165+③기타_가정!$E$166)</f>
        <v>0</v>
      </c>
      <c r="S47" s="37" t="n">
        <f aca="false">(S27+S28+S29)*(③기타_가정!$E$165+③기타_가정!$E$166)</f>
        <v>0</v>
      </c>
      <c r="T47" s="37" t="n">
        <f aca="false">(T27+T28+T29)*(③기타_가정!$E$165+③기타_가정!$E$166)</f>
        <v>0</v>
      </c>
      <c r="U47" s="37" t="n">
        <f aca="false">(U27+U28+U29)*(③기타_가정!$E$165+③기타_가정!$E$166)</f>
        <v>0</v>
      </c>
      <c r="V47" s="37" t="n">
        <f aca="false">(V27+V28+V29)*(③기타_가정!$E$165+③기타_가정!$E$166)</f>
        <v>0</v>
      </c>
      <c r="W47" s="37" t="n">
        <f aca="false">(W27+W28+W29)*(③기타_가정!$E$165+③기타_가정!$E$166)</f>
        <v>0</v>
      </c>
      <c r="X47" s="37" t="n">
        <f aca="false">(X27+X28+X29)*(③기타_가정!$E$165+③기타_가정!$E$166)</f>
        <v>0</v>
      </c>
      <c r="Y47" s="37" t="n">
        <f aca="false">(Y27+Y28+Y29)*(③기타_가정!$E$165+③기타_가정!$E$166)</f>
        <v>0</v>
      </c>
      <c r="Z47" s="37" t="n">
        <f aca="false">(Z27+Z28+Z29)*(③기타_가정!$E$165+③기타_가정!$E$166)</f>
        <v>0</v>
      </c>
      <c r="AA47" s="37" t="n">
        <f aca="false">(AA27+AA28+AA29)*(③기타_가정!$E$165+③기타_가정!$E$166)</f>
        <v>0</v>
      </c>
      <c r="AB47" s="37" t="n">
        <f aca="false">(AB27+AB28+AB29)*(③기타_가정!$E$165+③기타_가정!$E$166)</f>
        <v>0</v>
      </c>
      <c r="AC47" s="37" t="n">
        <f aca="false">(AC27+AC28+AC29)*(③기타_가정!$E$165+③기타_가정!$E$166)</f>
        <v>0</v>
      </c>
      <c r="AD47" s="37" t="n">
        <f aca="false">(AD27+AD28+AD29)*(③기타_가정!$E$165+③기타_가정!$E$166)</f>
        <v>0</v>
      </c>
      <c r="AE47" s="37" t="n">
        <f aca="false">(AE27+AE28+AE29)*(③기타_가정!$E$165+③기타_가정!$E$166)</f>
        <v>0</v>
      </c>
      <c r="AF47" s="37" t="n">
        <f aca="false">(AF27+AF28+AF29)*(③기타_가정!$E$165+③기타_가정!$E$166)</f>
        <v>0</v>
      </c>
      <c r="AG47" s="37" t="n">
        <f aca="false">(AG27+AG28+AG29)*(③기타_가정!$E$165+③기타_가정!$E$166)</f>
        <v>0</v>
      </c>
      <c r="AH47" s="37" t="n">
        <f aca="false">(AH27+AH28+AH29)*(③기타_가정!$E$165+③기타_가정!$E$166)</f>
        <v>0</v>
      </c>
      <c r="AI47" s="37" t="n">
        <f aca="false">(AI27+AI28+AI29)*(③기타_가정!$E$165+③기타_가정!$E$166)</f>
        <v>0</v>
      </c>
      <c r="AJ47" s="37" t="n">
        <f aca="false">(AJ27+AJ28+AJ29)*(③기타_가정!$E$165+③기타_가정!$E$166)</f>
        <v>0</v>
      </c>
      <c r="AK47" s="37" t="n">
        <f aca="false">(AK27+AK28+AK29)*(③기타_가정!$E$165+③기타_가정!$E$166)</f>
        <v>0</v>
      </c>
      <c r="AL47" s="37" t="n">
        <f aca="false">(AL27+AL28+AL29)*(③기타_가정!$E$165+③기타_가정!$E$166)</f>
        <v>0</v>
      </c>
      <c r="AM47" s="37" t="n">
        <f aca="false">(AM27+AM28+AM29)*(③기타_가정!$E$165+③기타_가정!$E$166)</f>
        <v>0</v>
      </c>
      <c r="AN47" s="37" t="n">
        <f aca="false">(AN27+AN28+AN29)*(③기타_가정!$E$165+③기타_가정!$E$166)</f>
        <v>0</v>
      </c>
      <c r="AO47" s="37" t="n">
        <f aca="false">(AO27+AO28+AO29)*(③기타_가정!$E$165+③기타_가정!$E$166)</f>
        <v>0</v>
      </c>
      <c r="AP47" s="37" t="n">
        <f aca="false">(AP27+AP28+AP29)*(③기타_가정!$E$165+③기타_가정!$E$166)</f>
        <v>0</v>
      </c>
      <c r="AQ47" s="37" t="n">
        <f aca="false">(AQ27+AQ28+AQ29)*(③기타_가정!$E$165+③기타_가정!$E$166)</f>
        <v>0</v>
      </c>
      <c r="AR47" s="37" t="n">
        <f aca="false">(AR27+AR28+AR29)*(③기타_가정!$E$165+③기타_가정!$E$166)</f>
        <v>0</v>
      </c>
      <c r="AS47" s="37" t="n">
        <f aca="false">(AS27+AS28+AS29)*(③기타_가정!$E$165+③기타_가정!$E$166)</f>
        <v>0</v>
      </c>
      <c r="AT47" s="37" t="n">
        <f aca="false">(AT27+AT28+AT29)*(③기타_가정!$E$165+③기타_가정!$E$166)</f>
        <v>0</v>
      </c>
      <c r="AU47" s="37" t="n">
        <f aca="false">(AU27+AU28+AU29)*(③기타_가정!$E$165+③기타_가정!$E$166)</f>
        <v>0</v>
      </c>
      <c r="AV47" s="37" t="n">
        <f aca="false">(AV27+AV28+AV29)*(③기타_가정!$E$165+③기타_가정!$E$166)</f>
        <v>0</v>
      </c>
      <c r="AW47" s="37" t="n">
        <f aca="false">(AW27+AW28+AW29)*(③기타_가정!$E$165+③기타_가정!$E$166)</f>
        <v>0</v>
      </c>
      <c r="AX47" s="37" t="n">
        <f aca="false">(AX27+AX28+AX29)*(③기타_가정!$E$165+③기타_가정!$E$166)</f>
        <v>0</v>
      </c>
      <c r="AY47" s="37" t="n">
        <f aca="false">(AY27+AY28+AY29)*(③기타_가정!$E$165+③기타_가정!$E$166)</f>
        <v>0</v>
      </c>
      <c r="AZ47" s="37" t="n">
        <f aca="false">(AZ27+AZ28+AZ29)*(③기타_가정!$E$165+③기타_가정!$E$166)</f>
        <v>0</v>
      </c>
      <c r="BA47" s="37" t="n">
        <f aca="false">(BA27+BA28+BA29)*(③기타_가정!$E$165+③기타_가정!$E$166)</f>
        <v>0</v>
      </c>
      <c r="BB47" s="37" t="n">
        <f aca="false">(BB27+BB28+BB29)*(③기타_가정!$E$165+③기타_가정!$E$166)</f>
        <v>0</v>
      </c>
      <c r="BC47" s="37" t="n">
        <f aca="false">(BC27+BC28+BC29)*(③기타_가정!$E$165+③기타_가정!$E$166)</f>
        <v>0</v>
      </c>
      <c r="BD47" s="37" t="n">
        <f aca="false">(BD27+BD28+BD29)*(③기타_가정!$E$165+③기타_가정!$E$166)</f>
        <v>0</v>
      </c>
      <c r="BE47" s="37" t="n">
        <f aca="false">(BE27+BE28+BE29)*(③기타_가정!$E$165+③기타_가정!$E$166)</f>
        <v>0</v>
      </c>
      <c r="BF47" s="37" t="n">
        <f aca="false">(BF27+BF28+BF29)*(③기타_가정!$E$165+③기타_가정!$E$166)</f>
        <v>0</v>
      </c>
      <c r="BG47" s="37" t="n">
        <f aca="false">(BG27+BG28+BG29)*(③기타_가정!$E$165+③기타_가정!$E$166)</f>
        <v>0</v>
      </c>
      <c r="BH47" s="37" t="n">
        <f aca="false">(BH27+BH28+BH29)*(③기타_가정!$E$165+③기타_가정!$E$166)</f>
        <v>0</v>
      </c>
      <c r="BI47" s="37" t="n">
        <f aca="false">(BI27+BI28+BI29)*(③기타_가정!$E$165+③기타_가정!$E$166)</f>
        <v>0</v>
      </c>
      <c r="BJ47" s="37" t="n">
        <f aca="false">(BJ27+BJ28+BJ29)*(③기타_가정!$E$165+③기타_가정!$E$166)</f>
        <v>0</v>
      </c>
      <c r="BK47" s="37" t="n">
        <f aca="false">(BK27+BK28+BK29)*(③기타_가정!$E$165+③기타_가정!$E$166)</f>
        <v>0</v>
      </c>
      <c r="BL47" s="37" t="n">
        <f aca="false">(BL27+BL28+BL29)*(③기타_가정!$E$165+③기타_가정!$E$166)</f>
        <v>0</v>
      </c>
      <c r="BM47" s="37" t="n">
        <f aca="false">(BM27+BM28+BM29)*(③기타_가정!$E$165+③기타_가정!$E$166)</f>
        <v>3706.495377</v>
      </c>
      <c r="BN47" s="37" t="n">
        <f aca="false">(BN27+BN28+BN29)*(③기타_가정!$E$165+③기타_가정!$E$166)</f>
        <v>3586.93101</v>
      </c>
      <c r="BO47" s="37" t="n">
        <f aca="false">(BO27+BO28+BO29)*(③기타_가정!$E$165+③기타_가정!$E$166)</f>
        <v>3706.495377</v>
      </c>
      <c r="BP47" s="37" t="n">
        <f aca="false">(BP27+BP28+BP29)*(③기타_가정!$E$165+③기타_가정!$E$166)</f>
        <v>3586.93101</v>
      </c>
      <c r="BQ47" s="37" t="n">
        <f aca="false">(BQ27+BQ28+BQ29)*(③기타_가정!$E$165+③기타_가정!$E$166)</f>
        <v>3706.495377</v>
      </c>
      <c r="BR47" s="37" t="n">
        <f aca="false">(BR27+BR28+BR29)*(③기타_가정!$E$165+③기타_가정!$E$166)</f>
        <v>3706.495377</v>
      </c>
      <c r="BS47" s="37" t="n">
        <f aca="false">(BS27+BS28+BS29)*(③기타_가정!$E$165+③기타_가정!$E$166)</f>
        <v>3586.93101</v>
      </c>
      <c r="BT47" s="37" t="n">
        <f aca="false">(BT27+BT28+BT29)*(③기타_가정!$E$165+③기타_가정!$E$166)</f>
        <v>3706.495377</v>
      </c>
      <c r="BU47" s="37" t="n">
        <f aca="false">(BU27+BU28+BU29)*(③기타_가정!$E$165+③기타_가정!$E$166)</f>
        <v>3586.93101</v>
      </c>
      <c r="BV47" s="37" t="n">
        <f aca="false">(BV27+BV28+BV29)*(③기타_가정!$E$165+③기타_가정!$E$166)</f>
        <v>3706.495377</v>
      </c>
      <c r="BW47" s="37" t="n">
        <f aca="false">(BW27+BW28+BW29)*(③기타_가정!$E$165+③기타_가정!$E$166)</f>
        <v>3706.495377</v>
      </c>
      <c r="BX47" s="37" t="n">
        <f aca="false">(BX27+BX28+BX29)*(③기타_가정!$E$165+③기타_가정!$E$166)</f>
        <v>3467.366643</v>
      </c>
      <c r="BY47" s="37" t="n">
        <f aca="false">(BY27+BY28+BY29)*(③기타_가정!$E$165+③기타_가정!$E$166)</f>
        <v>4362.2599437</v>
      </c>
      <c r="BZ47" s="37" t="n">
        <f aca="false">(BZ27+BZ28+BZ29)*(③기타_가정!$E$165+③기타_가정!$E$166)</f>
        <v>4221.541881</v>
      </c>
      <c r="CA47" s="37" t="n">
        <f aca="false">(CA27+CA28+CA29)*(③기타_가정!$E$165+③기타_가정!$E$166)</f>
        <v>4362.2599437</v>
      </c>
      <c r="CB47" s="37" t="n">
        <f aca="false">(CB27+CB28+CB29)*(③기타_가정!$E$165+③기타_가정!$E$166)</f>
        <v>4221.541881</v>
      </c>
      <c r="CC47" s="37" t="n">
        <f aca="false">(CC27+CC28+CC29)*(③기타_가정!$E$165+③기타_가정!$E$166)</f>
        <v>4362.2599437</v>
      </c>
      <c r="CD47" s="37" t="n">
        <f aca="false">(CD27+CD28+CD29)*(③기타_가정!$E$165+③기타_가정!$E$166)</f>
        <v>4362.2599437</v>
      </c>
      <c r="CE47" s="37" t="n">
        <f aca="false">(CE27+CE28+CE29)*(③기타_가정!$E$165+③기타_가정!$E$166)</f>
        <v>4221.541881</v>
      </c>
      <c r="CF47" s="37" t="n">
        <f aca="false">(CF27+CF28+CF29)*(③기타_가정!$E$165+③기타_가정!$E$166)</f>
        <v>4362.2599437</v>
      </c>
      <c r="CG47" s="37" t="n">
        <f aca="false">(CG27+CG28+CG29)*(③기타_가정!$E$165+③기타_가정!$E$166)</f>
        <v>4221.541881</v>
      </c>
      <c r="CH47" s="37" t="n">
        <f aca="false">(CH27+CH28+CH29)*(③기타_가정!$E$165+③기타_가정!$E$166)</f>
        <v>4362.2599437</v>
      </c>
      <c r="CI47" s="37" t="n">
        <f aca="false">(CI27+CI28+CI29)*(③기타_가정!$E$165+③기타_가정!$E$166)</f>
        <v>4362.2599437</v>
      </c>
      <c r="CJ47" s="37" t="n">
        <f aca="false">(CJ27+CJ28+CJ29)*(③기타_가정!$E$165+③기타_가정!$E$166)</f>
        <v>3940.1057556</v>
      </c>
      <c r="CK47" s="37" t="n">
        <f aca="false">(CK27+CK28+CK29)*(③기타_가정!$E$165+③기타_가정!$E$166)</f>
        <v>4449.505142574</v>
      </c>
      <c r="CL47" s="37" t="n">
        <f aca="false">(CL27+CL28+CL29)*(③기타_가정!$E$165+③기타_가정!$E$166)</f>
        <v>4305.97271862</v>
      </c>
      <c r="CM47" s="37" t="n">
        <f aca="false">(CM27+CM28+CM29)*(③기타_가정!$E$165+③기타_가정!$E$166)</f>
        <v>4449.505142574</v>
      </c>
      <c r="CN47" s="37" t="n">
        <f aca="false">(CN27+CN28+CN29)*(③기타_가정!$E$165+③기타_가정!$E$166)</f>
        <v>4305.97271862</v>
      </c>
      <c r="CO47" s="37" t="n">
        <f aca="false">(CO27+CO28+CO29)*(③기타_가정!$E$165+③기타_가정!$E$166)</f>
        <v>4449.505142574</v>
      </c>
      <c r="CP47" s="37" t="n">
        <f aca="false">(CP27+CP28+CP29)*(③기타_가정!$E$165+③기타_가정!$E$166)</f>
        <v>4449.505142574</v>
      </c>
      <c r="CQ47" s="37" t="n">
        <f aca="false">(CQ27+CQ28+CQ29)*(③기타_가정!$E$165+③기타_가정!$E$166)</f>
        <v>4305.97271862</v>
      </c>
      <c r="CR47" s="37" t="n">
        <f aca="false">(CR27+CR28+CR29)*(③기타_가정!$E$165+③기타_가정!$E$166)</f>
        <v>4449.505142574</v>
      </c>
      <c r="CS47" s="37" t="n">
        <f aca="false">(CS27+CS28+CS29)*(③기타_가정!$E$165+③기타_가정!$E$166)</f>
        <v>4305.97271862</v>
      </c>
      <c r="CT47" s="37" t="n">
        <f aca="false">(CT27+CT28+CT29)*(③기타_가정!$E$165+③기타_가정!$E$166)</f>
        <v>4449.505142574</v>
      </c>
      <c r="CU47" s="37" t="n">
        <f aca="false">(CU27+CU28+CU29)*(③기타_가정!$E$165+③기타_가정!$E$166)</f>
        <v>4449.505142574</v>
      </c>
      <c r="CV47" s="37" t="n">
        <f aca="false">(CV27+CV28+CV29)*(③기타_가정!$E$165+③기타_가정!$E$166)</f>
        <v>4018.907870712</v>
      </c>
      <c r="CW47" s="37" t="n">
        <f aca="false">(CW27+CW28+CW29)*(③기타_가정!$E$165+③기타_가정!$E$166)</f>
        <v>4538.49524542548</v>
      </c>
      <c r="CX47" s="37" t="n">
        <f aca="false">(CX27+CX28+CX29)*(③기타_가정!$E$165+③기타_가정!$E$166)</f>
        <v>4392.0921729924</v>
      </c>
      <c r="CY47" s="37" t="n">
        <f aca="false">(CY27+CY28+CY29)*(③기타_가정!$E$165+③기타_가정!$E$166)</f>
        <v>4538.49524542548</v>
      </c>
      <c r="CZ47" s="37" t="n">
        <f aca="false">(CZ27+CZ28+CZ29)*(③기타_가정!$E$165+③기타_가정!$E$166)</f>
        <v>4392.0921729924</v>
      </c>
      <c r="DA47" s="37" t="n">
        <f aca="false">(DA27+DA28+DA29)*(③기타_가정!$E$165+③기타_가정!$E$166)</f>
        <v>4538.49524542548</v>
      </c>
      <c r="DB47" s="37" t="n">
        <f aca="false">(DB27+DB28+DB29)*(③기타_가정!$E$165+③기타_가정!$E$166)</f>
        <v>4538.49524542548</v>
      </c>
      <c r="DC47" s="37" t="n">
        <f aca="false">(DC27+DC28+DC29)*(③기타_가정!$E$165+③기타_가정!$E$166)</f>
        <v>4392.0921729924</v>
      </c>
      <c r="DD47" s="37" t="n">
        <f aca="false">(DD27+DD28+DD29)*(③기타_가정!$E$165+③기타_가정!$E$166)</f>
        <v>4538.49524542548</v>
      </c>
      <c r="DE47" s="37" t="n">
        <f aca="false">(DE27+DE28+DE29)*(③기타_가정!$E$165+③기타_가정!$E$166)</f>
        <v>4392.0921729924</v>
      </c>
      <c r="DF47" s="37" t="n">
        <f aca="false">(DF27+DF28+DF29)*(③기타_가정!$E$165+③기타_가정!$E$166)</f>
        <v>4538.49524542548</v>
      </c>
      <c r="DG47" s="37" t="n">
        <f aca="false">(DG27+DG28+DG29)*(③기타_가정!$E$165+③기타_가정!$E$166)</f>
        <v>4538.49524542548</v>
      </c>
      <c r="DH47" s="37" t="n">
        <f aca="false">(DH27+DH28+DH29)*(③기타_가정!$E$165+③기타_가정!$E$166)</f>
        <v>4099.28602812624</v>
      </c>
      <c r="DI47" s="37" t="n">
        <f aca="false">(DI27+DI28+DI29)*(③기타_가정!$E$165+③기타_가정!$E$166)</f>
        <v>4629.26515033399</v>
      </c>
      <c r="DJ47" s="37" t="n">
        <f aca="false">(DJ27+DJ28+DJ29)*(③기타_가정!$E$165+③기타_가정!$E$166)</f>
        <v>4479.93401645225</v>
      </c>
      <c r="DK47" s="37" t="n">
        <f aca="false">(DK27+DK28+DK29)*(③기타_가정!$E$165+③기타_가정!$E$166)</f>
        <v>4629.26515033399</v>
      </c>
      <c r="DL47" s="37" t="n">
        <f aca="false">(DL27+DL28+DL29)*(③기타_가정!$E$165+③기타_가정!$E$166)</f>
        <v>4479.93401645225</v>
      </c>
      <c r="DM47" s="37" t="n">
        <f aca="false">(DM27+DM28+DM29)*(③기타_가정!$E$165+③기타_가정!$E$166)</f>
        <v>4629.26515033399</v>
      </c>
      <c r="DN47" s="37" t="n">
        <f aca="false">(DN27+DN28+DN29)*(③기타_가정!$E$165+③기타_가정!$E$166)</f>
        <v>4629.26515033399</v>
      </c>
      <c r="DO47" s="37" t="n">
        <f aca="false">(DO27+DO28+DO29)*(③기타_가정!$E$165+③기타_가정!$E$166)</f>
        <v>4479.93401645225</v>
      </c>
      <c r="DP47" s="37" t="n">
        <f aca="false">(DP27+DP28+DP29)*(③기타_가정!$E$165+③기타_가정!$E$166)</f>
        <v>4629.26515033399</v>
      </c>
      <c r="DQ47" s="37" t="n">
        <f aca="false">(DQ27+DQ28+DQ29)*(③기타_가정!$E$165+③기타_가정!$E$166)</f>
        <v>4479.93401645225</v>
      </c>
      <c r="DR47" s="37" t="n">
        <f aca="false">(DR27+DR28+DR29)*(③기타_가정!$E$165+③기타_가정!$E$166)</f>
        <v>4629.26515033399</v>
      </c>
      <c r="DS47" s="37" t="n">
        <f aca="false">(DS27+DS28+DS29)*(③기타_가정!$E$165+③기타_가정!$E$166)</f>
        <v>4629.26515033399</v>
      </c>
      <c r="DT47" s="37" t="n">
        <f aca="false">(DT27+DT28+DT29)*(③기타_가정!$E$165+③기타_가정!$E$166)</f>
        <v>4330.60288257051</v>
      </c>
      <c r="DU47" s="37" t="n">
        <f aca="false">(DU27+DU28+DU29)*(③기타_가정!$E$165+③기타_가정!$E$166)</f>
        <v>0</v>
      </c>
      <c r="DV47" s="37" t="n">
        <f aca="false">(DV27+DV28+DV29)*(③기타_가정!$E$165+③기타_가정!$E$166)</f>
        <v>0</v>
      </c>
      <c r="DW47" s="37" t="n">
        <f aca="false">(DW27+DW28+DW29)*(③기타_가정!$E$165+③기타_가정!$E$166)</f>
        <v>0</v>
      </c>
      <c r="DX47" s="37" t="n">
        <f aca="false">(DX27+DX28+DX29)*(③기타_가정!$E$165+③기타_가정!$E$166)</f>
        <v>0</v>
      </c>
      <c r="DY47" s="37" t="n">
        <f aca="false">(DY27+DY28+DY29)*(③기타_가정!$E$165+③기타_가정!$E$166)</f>
        <v>0</v>
      </c>
      <c r="DZ47" s="37" t="n">
        <f aca="false">(DZ27+DZ28+DZ29)*(③기타_가정!$E$165+③기타_가정!$E$166)</f>
        <v>0</v>
      </c>
      <c r="EA47" s="37" t="n">
        <f aca="false">(EA27+EA28+EA29)*(③기타_가정!$E$165+③기타_가정!$E$166)</f>
        <v>0</v>
      </c>
      <c r="EB47" s="37" t="n">
        <f aca="false">(EB27+EB28+EB29)*(③기타_가정!$E$165+③기타_가정!$E$166)</f>
        <v>0</v>
      </c>
      <c r="EC47" s="37" t="n">
        <f aca="false">(EC27+EC28+EC29)*(③기타_가정!$E$165+③기타_가정!$E$166)</f>
        <v>0</v>
      </c>
      <c r="ED47" s="37" t="n">
        <f aca="false">(ED27+ED28+ED29)*(③기타_가정!$E$165+③기타_가정!$E$166)</f>
        <v>0</v>
      </c>
      <c r="EE47" s="37" t="n">
        <f aca="false">(EE27+EE28+EE29)*(③기타_가정!$E$165+③기타_가정!$E$166)</f>
        <v>0</v>
      </c>
      <c r="EF47" s="37" t="n">
        <f aca="false">(EF27+EF28+EF29)*(③기타_가정!$E$165+③기타_가정!$E$166)</f>
        <v>0</v>
      </c>
    </row>
    <row r="48" customFormat="false" ht="15" hidden="false" customHeight="false" outlineLevel="0" collapsed="false">
      <c r="A48" s="36" t="s">
        <v>596</v>
      </c>
      <c r="B48" s="278" t="s">
        <v>21</v>
      </c>
      <c r="C48" s="279" t="n">
        <f aca="false">SUM(E48:EF48)</f>
        <v>57853.2665312813</v>
      </c>
      <c r="E48" s="37" t="n">
        <f aca="false">E30*③기타_가정!$E$175</f>
        <v>0</v>
      </c>
      <c r="F48" s="37" t="n">
        <f aca="false">F30*③기타_가정!$E$175</f>
        <v>0</v>
      </c>
      <c r="G48" s="37" t="n">
        <f aca="false">G30*③기타_가정!$E$175</f>
        <v>0</v>
      </c>
      <c r="H48" s="37" t="n">
        <f aca="false">H30*③기타_가정!$E$175</f>
        <v>0</v>
      </c>
      <c r="I48" s="37" t="n">
        <f aca="false">I30*③기타_가정!$E$175</f>
        <v>0</v>
      </c>
      <c r="J48" s="37" t="n">
        <f aca="false">J30*③기타_가정!$E$175</f>
        <v>0</v>
      </c>
      <c r="K48" s="37" t="n">
        <f aca="false">K30*③기타_가정!$E$175</f>
        <v>0</v>
      </c>
      <c r="L48" s="37" t="n">
        <f aca="false">L30*③기타_가정!$E$175</f>
        <v>0</v>
      </c>
      <c r="M48" s="37" t="n">
        <f aca="false">M30*③기타_가정!$E$175</f>
        <v>0</v>
      </c>
      <c r="N48" s="37" t="n">
        <f aca="false">N30*③기타_가정!$E$175</f>
        <v>0</v>
      </c>
      <c r="O48" s="37" t="n">
        <f aca="false">O30*③기타_가정!$E$175</f>
        <v>0</v>
      </c>
      <c r="P48" s="37" t="n">
        <f aca="false">P30*③기타_가정!$E$175</f>
        <v>0</v>
      </c>
      <c r="Q48" s="37" t="n">
        <f aca="false">Q30*③기타_가정!$E$175</f>
        <v>0</v>
      </c>
      <c r="R48" s="37" t="n">
        <f aca="false">R30*③기타_가정!$E$175</f>
        <v>0</v>
      </c>
      <c r="S48" s="37" t="n">
        <f aca="false">S30*③기타_가정!$E$175</f>
        <v>0</v>
      </c>
      <c r="T48" s="37" t="n">
        <f aca="false">T30*③기타_가정!$E$175</f>
        <v>0</v>
      </c>
      <c r="U48" s="37" t="n">
        <f aca="false">U30*③기타_가정!$E$175</f>
        <v>0</v>
      </c>
      <c r="V48" s="37" t="n">
        <f aca="false">V30*③기타_가정!$E$175</f>
        <v>0</v>
      </c>
      <c r="W48" s="37" t="n">
        <f aca="false">W30*③기타_가정!$E$175</f>
        <v>0</v>
      </c>
      <c r="X48" s="37" t="n">
        <f aca="false">X30*③기타_가정!$E$175</f>
        <v>0</v>
      </c>
      <c r="Y48" s="37" t="n">
        <f aca="false">Y30*③기타_가정!$E$175</f>
        <v>0</v>
      </c>
      <c r="Z48" s="37" t="n">
        <f aca="false">Z30*③기타_가정!$E$175</f>
        <v>0</v>
      </c>
      <c r="AA48" s="37" t="n">
        <f aca="false">AA30*③기타_가정!$E$175</f>
        <v>0</v>
      </c>
      <c r="AB48" s="37" t="n">
        <f aca="false">AB30*③기타_가정!$E$175</f>
        <v>0</v>
      </c>
      <c r="AC48" s="37" t="n">
        <f aca="false">AC30*③기타_가정!$E$175</f>
        <v>0</v>
      </c>
      <c r="AD48" s="37" t="n">
        <f aca="false">AD30*③기타_가정!$E$175</f>
        <v>0</v>
      </c>
      <c r="AE48" s="37" t="n">
        <f aca="false">AE30*③기타_가정!$E$175</f>
        <v>0</v>
      </c>
      <c r="AF48" s="37" t="n">
        <f aca="false">AF30*③기타_가정!$E$175</f>
        <v>0</v>
      </c>
      <c r="AG48" s="37" t="n">
        <f aca="false">AG30*③기타_가정!$E$175</f>
        <v>0</v>
      </c>
      <c r="AH48" s="37" t="n">
        <f aca="false">AH30*③기타_가정!$E$175</f>
        <v>0</v>
      </c>
      <c r="AI48" s="37" t="n">
        <f aca="false">AI30*③기타_가정!$E$175</f>
        <v>0</v>
      </c>
      <c r="AJ48" s="37" t="n">
        <f aca="false">AJ30*③기타_가정!$E$175</f>
        <v>0</v>
      </c>
      <c r="AK48" s="37" t="n">
        <f aca="false">AK30*③기타_가정!$E$175</f>
        <v>0</v>
      </c>
      <c r="AL48" s="37" t="n">
        <f aca="false">AL30*③기타_가정!$E$175</f>
        <v>0</v>
      </c>
      <c r="AM48" s="37" t="n">
        <f aca="false">AM30*③기타_가정!$E$175</f>
        <v>0</v>
      </c>
      <c r="AN48" s="37" t="n">
        <f aca="false">AN30*③기타_가정!$E$175</f>
        <v>0</v>
      </c>
      <c r="AO48" s="37" t="n">
        <f aca="false">AO30*③기타_가정!$E$175</f>
        <v>0</v>
      </c>
      <c r="AP48" s="37" t="n">
        <f aca="false">AP30*③기타_가정!$E$175</f>
        <v>0</v>
      </c>
      <c r="AQ48" s="37" t="n">
        <f aca="false">AQ30*③기타_가정!$E$175</f>
        <v>0</v>
      </c>
      <c r="AR48" s="37" t="n">
        <f aca="false">AR30*③기타_가정!$E$175</f>
        <v>0</v>
      </c>
      <c r="AS48" s="37" t="n">
        <f aca="false">AS30*③기타_가정!$E$175</f>
        <v>0</v>
      </c>
      <c r="AT48" s="37" t="n">
        <f aca="false">AT30*③기타_가정!$E$175</f>
        <v>0</v>
      </c>
      <c r="AU48" s="37" t="n">
        <f aca="false">AU30*③기타_가정!$E$175</f>
        <v>0</v>
      </c>
      <c r="AV48" s="37" t="n">
        <f aca="false">AV30*③기타_가정!$E$175</f>
        <v>0</v>
      </c>
      <c r="AW48" s="37" t="n">
        <f aca="false">AW30*③기타_가정!$E$175</f>
        <v>0</v>
      </c>
      <c r="AX48" s="37" t="n">
        <f aca="false">AX30*③기타_가정!$E$175</f>
        <v>0</v>
      </c>
      <c r="AY48" s="37" t="n">
        <f aca="false">AY30*③기타_가정!$E$175</f>
        <v>0</v>
      </c>
      <c r="AZ48" s="37" t="n">
        <f aca="false">AZ30*③기타_가정!$E$175</f>
        <v>0</v>
      </c>
      <c r="BA48" s="37" t="n">
        <f aca="false">BA30*③기타_가정!$E$175</f>
        <v>0</v>
      </c>
      <c r="BB48" s="37" t="n">
        <f aca="false">BB30*③기타_가정!$E$175</f>
        <v>0</v>
      </c>
      <c r="BC48" s="37" t="n">
        <f aca="false">BC30*③기타_가정!$E$175</f>
        <v>0</v>
      </c>
      <c r="BD48" s="37" t="n">
        <f aca="false">BD30*③기타_가정!$E$175</f>
        <v>0</v>
      </c>
      <c r="BE48" s="37" t="n">
        <f aca="false">BE30*③기타_가정!$E$175</f>
        <v>0</v>
      </c>
      <c r="BF48" s="37" t="n">
        <f aca="false">BF30*③기타_가정!$E$175</f>
        <v>0</v>
      </c>
      <c r="BG48" s="37" t="n">
        <f aca="false">BG30*③기타_가정!$E$175</f>
        <v>0</v>
      </c>
      <c r="BH48" s="37" t="n">
        <f aca="false">BH30*③기타_가정!$E$175</f>
        <v>0</v>
      </c>
      <c r="BI48" s="37" t="n">
        <f aca="false">BI30*③기타_가정!$E$175</f>
        <v>0</v>
      </c>
      <c r="BJ48" s="37" t="n">
        <f aca="false">BJ30*③기타_가정!$E$175</f>
        <v>0</v>
      </c>
      <c r="BK48" s="37" t="n">
        <f aca="false">BK30*③기타_가정!$E$175</f>
        <v>0</v>
      </c>
      <c r="BL48" s="37" t="n">
        <f aca="false">BL30*③기타_가정!$E$175</f>
        <v>0</v>
      </c>
      <c r="BM48" s="37" t="n">
        <f aca="false">BM30*③기타_가정!$E$175</f>
        <v>838.9251</v>
      </c>
      <c r="BN48" s="37" t="n">
        <f aca="false">BN30*③기타_가정!$E$175</f>
        <v>811.863</v>
      </c>
      <c r="BO48" s="37" t="n">
        <f aca="false">BO30*③기타_가정!$E$175</f>
        <v>838.9251</v>
      </c>
      <c r="BP48" s="37" t="n">
        <f aca="false">BP30*③기타_가정!$E$175</f>
        <v>811.863</v>
      </c>
      <c r="BQ48" s="37" t="n">
        <f aca="false">BQ30*③기타_가정!$E$175</f>
        <v>838.9251</v>
      </c>
      <c r="BR48" s="37" t="n">
        <f aca="false">BR30*③기타_가정!$E$175</f>
        <v>838.9251</v>
      </c>
      <c r="BS48" s="37" t="n">
        <f aca="false">BS30*③기타_가정!$E$175</f>
        <v>811.863</v>
      </c>
      <c r="BT48" s="37" t="n">
        <f aca="false">BT30*③기타_가정!$E$175</f>
        <v>838.9251</v>
      </c>
      <c r="BU48" s="37" t="n">
        <f aca="false">BU30*③기타_가정!$E$175</f>
        <v>811.863</v>
      </c>
      <c r="BV48" s="37" t="n">
        <f aca="false">BV30*③기타_가정!$E$175</f>
        <v>838.9251</v>
      </c>
      <c r="BW48" s="37" t="n">
        <f aca="false">BW30*③기타_가정!$E$175</f>
        <v>838.9251</v>
      </c>
      <c r="BX48" s="37" t="n">
        <f aca="false">BX30*③기타_가정!$E$175</f>
        <v>784.8009</v>
      </c>
      <c r="BY48" s="37" t="n">
        <f aca="false">BY30*③기타_가정!$E$175</f>
        <v>987.35031</v>
      </c>
      <c r="BZ48" s="37" t="n">
        <f aca="false">BZ30*③기타_가정!$E$175</f>
        <v>955.5003</v>
      </c>
      <c r="CA48" s="37" t="n">
        <f aca="false">CA30*③기타_가정!$E$175</f>
        <v>987.35031</v>
      </c>
      <c r="CB48" s="37" t="n">
        <f aca="false">CB30*③기타_가정!$E$175</f>
        <v>955.5003</v>
      </c>
      <c r="CC48" s="37" t="n">
        <f aca="false">CC30*③기타_가정!$E$175</f>
        <v>987.35031</v>
      </c>
      <c r="CD48" s="37" t="n">
        <f aca="false">CD30*③기타_가정!$E$175</f>
        <v>987.35031</v>
      </c>
      <c r="CE48" s="37" t="n">
        <f aca="false">CE30*③기타_가정!$E$175</f>
        <v>955.5003</v>
      </c>
      <c r="CF48" s="37" t="n">
        <f aca="false">CF30*③기타_가정!$E$175</f>
        <v>987.35031</v>
      </c>
      <c r="CG48" s="37" t="n">
        <f aca="false">CG30*③기타_가정!$E$175</f>
        <v>955.5003</v>
      </c>
      <c r="CH48" s="37" t="n">
        <f aca="false">CH30*③기타_가정!$E$175</f>
        <v>987.35031</v>
      </c>
      <c r="CI48" s="37" t="n">
        <f aca="false">CI30*③기타_가정!$E$175</f>
        <v>987.35031</v>
      </c>
      <c r="CJ48" s="37" t="n">
        <f aca="false">CJ30*③기타_가정!$E$175</f>
        <v>891.80028</v>
      </c>
      <c r="CK48" s="37" t="n">
        <f aca="false">CK30*③기타_가정!$E$175</f>
        <v>1007.0973162</v>
      </c>
      <c r="CL48" s="37" t="n">
        <f aca="false">CL30*③기타_가정!$E$175</f>
        <v>974.610306</v>
      </c>
      <c r="CM48" s="37" t="n">
        <f aca="false">CM30*③기타_가정!$E$175</f>
        <v>1007.0973162</v>
      </c>
      <c r="CN48" s="37" t="n">
        <f aca="false">CN30*③기타_가정!$E$175</f>
        <v>974.610306</v>
      </c>
      <c r="CO48" s="37" t="n">
        <f aca="false">CO30*③기타_가정!$E$175</f>
        <v>1007.0973162</v>
      </c>
      <c r="CP48" s="37" t="n">
        <f aca="false">CP30*③기타_가정!$E$175</f>
        <v>1007.0973162</v>
      </c>
      <c r="CQ48" s="37" t="n">
        <f aca="false">CQ30*③기타_가정!$E$175</f>
        <v>974.610306</v>
      </c>
      <c r="CR48" s="37" t="n">
        <f aca="false">CR30*③기타_가정!$E$175</f>
        <v>1007.0973162</v>
      </c>
      <c r="CS48" s="37" t="n">
        <f aca="false">CS30*③기타_가정!$E$175</f>
        <v>974.610306</v>
      </c>
      <c r="CT48" s="37" t="n">
        <f aca="false">CT30*③기타_가정!$E$175</f>
        <v>1007.0973162</v>
      </c>
      <c r="CU48" s="37" t="n">
        <f aca="false">CU30*③기타_가정!$E$175</f>
        <v>1007.0973162</v>
      </c>
      <c r="CV48" s="37" t="n">
        <f aca="false">CV30*③기타_가정!$E$175</f>
        <v>909.6362856</v>
      </c>
      <c r="CW48" s="37" t="n">
        <f aca="false">CW30*③기타_가정!$E$175</f>
        <v>1027.239262524</v>
      </c>
      <c r="CX48" s="37" t="n">
        <f aca="false">CX30*③기타_가정!$E$175</f>
        <v>994.10251212</v>
      </c>
      <c r="CY48" s="37" t="n">
        <f aca="false">CY30*③기타_가정!$E$175</f>
        <v>1027.239262524</v>
      </c>
      <c r="CZ48" s="37" t="n">
        <f aca="false">CZ30*③기타_가정!$E$175</f>
        <v>994.10251212</v>
      </c>
      <c r="DA48" s="37" t="n">
        <f aca="false">DA30*③기타_가정!$E$175</f>
        <v>1027.239262524</v>
      </c>
      <c r="DB48" s="37" t="n">
        <f aca="false">DB30*③기타_가정!$E$175</f>
        <v>1027.239262524</v>
      </c>
      <c r="DC48" s="37" t="n">
        <f aca="false">DC30*③기타_가정!$E$175</f>
        <v>994.10251212</v>
      </c>
      <c r="DD48" s="37" t="n">
        <f aca="false">DD30*③기타_가정!$E$175</f>
        <v>1027.239262524</v>
      </c>
      <c r="DE48" s="37" t="n">
        <f aca="false">DE30*③기타_가정!$E$175</f>
        <v>994.10251212</v>
      </c>
      <c r="DF48" s="37" t="n">
        <f aca="false">DF30*③기타_가정!$E$175</f>
        <v>1027.239262524</v>
      </c>
      <c r="DG48" s="37" t="n">
        <f aca="false">DG30*③기타_가정!$E$175</f>
        <v>1027.239262524</v>
      </c>
      <c r="DH48" s="37" t="n">
        <f aca="false">DH30*③기타_가정!$E$175</f>
        <v>927.829011312</v>
      </c>
      <c r="DI48" s="37" t="n">
        <f aca="false">DI30*③기타_가정!$E$175</f>
        <v>1047.78404777448</v>
      </c>
      <c r="DJ48" s="37" t="n">
        <f aca="false">DJ30*③기타_가정!$E$175</f>
        <v>1013.9845623624</v>
      </c>
      <c r="DK48" s="37" t="n">
        <f aca="false">DK30*③기타_가정!$E$175</f>
        <v>1047.78404777448</v>
      </c>
      <c r="DL48" s="37" t="n">
        <f aca="false">DL30*③기타_가정!$E$175</f>
        <v>1013.9845623624</v>
      </c>
      <c r="DM48" s="37" t="n">
        <f aca="false">DM30*③기타_가정!$E$175</f>
        <v>1047.78404777448</v>
      </c>
      <c r="DN48" s="37" t="n">
        <f aca="false">DN30*③기타_가정!$E$175</f>
        <v>1047.78404777448</v>
      </c>
      <c r="DO48" s="37" t="n">
        <f aca="false">DO30*③기타_가정!$E$175</f>
        <v>1013.9845623624</v>
      </c>
      <c r="DP48" s="37" t="n">
        <f aca="false">DP30*③기타_가정!$E$175</f>
        <v>1047.78404777448</v>
      </c>
      <c r="DQ48" s="37" t="n">
        <f aca="false">DQ30*③기타_가정!$E$175</f>
        <v>1013.9845623624</v>
      </c>
      <c r="DR48" s="37" t="n">
        <f aca="false">DR30*③기타_가정!$E$175</f>
        <v>1047.78404777448</v>
      </c>
      <c r="DS48" s="37" t="n">
        <f aca="false">DS30*③기타_가정!$E$175</f>
        <v>1047.78404777448</v>
      </c>
      <c r="DT48" s="37" t="n">
        <f aca="false">DT30*③기타_가정!$E$175</f>
        <v>980.18507695032</v>
      </c>
      <c r="DU48" s="37" t="n">
        <f aca="false">DU30*③기타_가정!$E$175</f>
        <v>0</v>
      </c>
      <c r="DV48" s="37" t="n">
        <f aca="false">DV30*③기타_가정!$E$175</f>
        <v>0</v>
      </c>
      <c r="DW48" s="37" t="n">
        <f aca="false">DW30*③기타_가정!$E$175</f>
        <v>0</v>
      </c>
      <c r="DX48" s="37" t="n">
        <f aca="false">DX30*③기타_가정!$E$175</f>
        <v>0</v>
      </c>
      <c r="DY48" s="37" t="n">
        <f aca="false">DY30*③기타_가정!$E$175</f>
        <v>0</v>
      </c>
      <c r="DZ48" s="37" t="n">
        <f aca="false">DZ30*③기타_가정!$E$175</f>
        <v>0</v>
      </c>
      <c r="EA48" s="37" t="n">
        <f aca="false">EA30*③기타_가정!$E$175</f>
        <v>0</v>
      </c>
      <c r="EB48" s="37" t="n">
        <f aca="false">EB30*③기타_가정!$E$175</f>
        <v>0</v>
      </c>
      <c r="EC48" s="37" t="n">
        <f aca="false">EC30*③기타_가정!$E$175</f>
        <v>0</v>
      </c>
      <c r="ED48" s="37" t="n">
        <f aca="false">ED30*③기타_가정!$E$175</f>
        <v>0</v>
      </c>
      <c r="EE48" s="37" t="n">
        <f aca="false">EE30*③기타_가정!$E$175</f>
        <v>0</v>
      </c>
      <c r="EF48" s="37" t="n">
        <f aca="false">EF30*③기타_가정!$E$175</f>
        <v>0</v>
      </c>
    </row>
    <row r="49" customFormat="false" ht="15" hidden="false" customHeight="false" outlineLevel="0" collapsed="false">
      <c r="A49" s="36" t="s">
        <v>597</v>
      </c>
      <c r="B49" s="278" t="s">
        <v>21</v>
      </c>
      <c r="C49" s="279" t="n">
        <f aca="false">SUM(E49:EF49)</f>
        <v>22498.4925399427</v>
      </c>
      <c r="E49" s="37" t="n">
        <f aca="false">E31*③기타_가정!$E$176</f>
        <v>0</v>
      </c>
      <c r="F49" s="37" t="n">
        <f aca="false">F31*③기타_가정!$E$176</f>
        <v>0</v>
      </c>
      <c r="G49" s="37" t="n">
        <f aca="false">G31*③기타_가정!$E$176</f>
        <v>0</v>
      </c>
      <c r="H49" s="37" t="n">
        <f aca="false">H31*③기타_가정!$E$176</f>
        <v>0</v>
      </c>
      <c r="I49" s="37" t="n">
        <f aca="false">I31*③기타_가정!$E$176</f>
        <v>0</v>
      </c>
      <c r="J49" s="37" t="n">
        <f aca="false">J31*③기타_가정!$E$176</f>
        <v>0</v>
      </c>
      <c r="K49" s="37" t="n">
        <f aca="false">K31*③기타_가정!$E$176</f>
        <v>0</v>
      </c>
      <c r="L49" s="37" t="n">
        <f aca="false">L31*③기타_가정!$E$176</f>
        <v>0</v>
      </c>
      <c r="M49" s="37" t="n">
        <f aca="false">M31*③기타_가정!$E$176</f>
        <v>0</v>
      </c>
      <c r="N49" s="37" t="n">
        <f aca="false">N31*③기타_가정!$E$176</f>
        <v>0</v>
      </c>
      <c r="O49" s="37" t="n">
        <f aca="false">O31*③기타_가정!$E$176</f>
        <v>0</v>
      </c>
      <c r="P49" s="37" t="n">
        <f aca="false">P31*③기타_가정!$E$176</f>
        <v>0</v>
      </c>
      <c r="Q49" s="37" t="n">
        <f aca="false">Q31*③기타_가정!$E$176</f>
        <v>0</v>
      </c>
      <c r="R49" s="37" t="n">
        <f aca="false">R31*③기타_가정!$E$176</f>
        <v>0</v>
      </c>
      <c r="S49" s="37" t="n">
        <f aca="false">S31*③기타_가정!$E$176</f>
        <v>0</v>
      </c>
      <c r="T49" s="37" t="n">
        <f aca="false">T31*③기타_가정!$E$176</f>
        <v>0</v>
      </c>
      <c r="U49" s="37" t="n">
        <f aca="false">U31*③기타_가정!$E$176</f>
        <v>0</v>
      </c>
      <c r="V49" s="37" t="n">
        <f aca="false">V31*③기타_가정!$E$176</f>
        <v>0</v>
      </c>
      <c r="W49" s="37" t="n">
        <f aca="false">W31*③기타_가정!$E$176</f>
        <v>0</v>
      </c>
      <c r="X49" s="37" t="n">
        <f aca="false">X31*③기타_가정!$E$176</f>
        <v>0</v>
      </c>
      <c r="Y49" s="37" t="n">
        <f aca="false">Y31*③기타_가정!$E$176</f>
        <v>0</v>
      </c>
      <c r="Z49" s="37" t="n">
        <f aca="false">Z31*③기타_가정!$E$176</f>
        <v>0</v>
      </c>
      <c r="AA49" s="37" t="n">
        <f aca="false">AA31*③기타_가정!$E$176</f>
        <v>0</v>
      </c>
      <c r="AB49" s="37" t="n">
        <f aca="false">AB31*③기타_가정!$E$176</f>
        <v>0</v>
      </c>
      <c r="AC49" s="37" t="n">
        <f aca="false">AC31*③기타_가정!$E$176</f>
        <v>0</v>
      </c>
      <c r="AD49" s="37" t="n">
        <f aca="false">AD31*③기타_가정!$E$176</f>
        <v>0</v>
      </c>
      <c r="AE49" s="37" t="n">
        <f aca="false">AE31*③기타_가정!$E$176</f>
        <v>0</v>
      </c>
      <c r="AF49" s="37" t="n">
        <f aca="false">AF31*③기타_가정!$E$176</f>
        <v>0</v>
      </c>
      <c r="AG49" s="37" t="n">
        <f aca="false">AG31*③기타_가정!$E$176</f>
        <v>0</v>
      </c>
      <c r="AH49" s="37" t="n">
        <f aca="false">AH31*③기타_가정!$E$176</f>
        <v>0</v>
      </c>
      <c r="AI49" s="37" t="n">
        <f aca="false">AI31*③기타_가정!$E$176</f>
        <v>0</v>
      </c>
      <c r="AJ49" s="37" t="n">
        <f aca="false">AJ31*③기타_가정!$E$176</f>
        <v>0</v>
      </c>
      <c r="AK49" s="37" t="n">
        <f aca="false">AK31*③기타_가정!$E$176</f>
        <v>0</v>
      </c>
      <c r="AL49" s="37" t="n">
        <f aca="false">AL31*③기타_가정!$E$176</f>
        <v>0</v>
      </c>
      <c r="AM49" s="37" t="n">
        <f aca="false">AM31*③기타_가정!$E$176</f>
        <v>0</v>
      </c>
      <c r="AN49" s="37" t="n">
        <f aca="false">AN31*③기타_가정!$E$176</f>
        <v>0</v>
      </c>
      <c r="AO49" s="37" t="n">
        <f aca="false">AO31*③기타_가정!$E$176</f>
        <v>0</v>
      </c>
      <c r="AP49" s="37" t="n">
        <f aca="false">AP31*③기타_가정!$E$176</f>
        <v>0</v>
      </c>
      <c r="AQ49" s="37" t="n">
        <f aca="false">AQ31*③기타_가정!$E$176</f>
        <v>0</v>
      </c>
      <c r="AR49" s="37" t="n">
        <f aca="false">AR31*③기타_가정!$E$176</f>
        <v>0</v>
      </c>
      <c r="AS49" s="37" t="n">
        <f aca="false">AS31*③기타_가정!$E$176</f>
        <v>0</v>
      </c>
      <c r="AT49" s="37" t="n">
        <f aca="false">AT31*③기타_가정!$E$176</f>
        <v>0</v>
      </c>
      <c r="AU49" s="37" t="n">
        <f aca="false">AU31*③기타_가정!$E$176</f>
        <v>0</v>
      </c>
      <c r="AV49" s="37" t="n">
        <f aca="false">AV31*③기타_가정!$E$176</f>
        <v>0</v>
      </c>
      <c r="AW49" s="37" t="n">
        <f aca="false">AW31*③기타_가정!$E$176</f>
        <v>0</v>
      </c>
      <c r="AX49" s="37" t="n">
        <f aca="false">AX31*③기타_가정!$E$176</f>
        <v>0</v>
      </c>
      <c r="AY49" s="37" t="n">
        <f aca="false">AY31*③기타_가정!$E$176</f>
        <v>0</v>
      </c>
      <c r="AZ49" s="37" t="n">
        <f aca="false">AZ31*③기타_가정!$E$176</f>
        <v>0</v>
      </c>
      <c r="BA49" s="37" t="n">
        <f aca="false">BA31*③기타_가정!$E$176</f>
        <v>0</v>
      </c>
      <c r="BB49" s="37" t="n">
        <f aca="false">BB31*③기타_가정!$E$176</f>
        <v>0</v>
      </c>
      <c r="BC49" s="37" t="n">
        <f aca="false">BC31*③기타_가정!$E$176</f>
        <v>0</v>
      </c>
      <c r="BD49" s="37" t="n">
        <f aca="false">BD31*③기타_가정!$E$176</f>
        <v>0</v>
      </c>
      <c r="BE49" s="37" t="n">
        <f aca="false">BE31*③기타_가정!$E$176</f>
        <v>0</v>
      </c>
      <c r="BF49" s="37" t="n">
        <f aca="false">BF31*③기타_가정!$E$176</f>
        <v>0</v>
      </c>
      <c r="BG49" s="37" t="n">
        <f aca="false">BG31*③기타_가정!$E$176</f>
        <v>0</v>
      </c>
      <c r="BH49" s="37" t="n">
        <f aca="false">BH31*③기타_가정!$E$176</f>
        <v>0</v>
      </c>
      <c r="BI49" s="37" t="n">
        <f aca="false">BI31*③기타_가정!$E$176</f>
        <v>0</v>
      </c>
      <c r="BJ49" s="37" t="n">
        <f aca="false">BJ31*③기타_가정!$E$176</f>
        <v>0</v>
      </c>
      <c r="BK49" s="37" t="n">
        <f aca="false">BK31*③기타_가정!$E$176</f>
        <v>0</v>
      </c>
      <c r="BL49" s="37" t="n">
        <f aca="false">BL31*③기타_가정!$E$176</f>
        <v>0</v>
      </c>
      <c r="BM49" s="37" t="n">
        <f aca="false">BM31*③기타_가정!$E$176</f>
        <v>326.24865</v>
      </c>
      <c r="BN49" s="37" t="n">
        <f aca="false">BN31*③기타_가정!$E$176</f>
        <v>315.7245</v>
      </c>
      <c r="BO49" s="37" t="n">
        <f aca="false">BO31*③기타_가정!$E$176</f>
        <v>326.24865</v>
      </c>
      <c r="BP49" s="37" t="n">
        <f aca="false">BP31*③기타_가정!$E$176</f>
        <v>315.7245</v>
      </c>
      <c r="BQ49" s="37" t="n">
        <f aca="false">BQ31*③기타_가정!$E$176</f>
        <v>326.24865</v>
      </c>
      <c r="BR49" s="37" t="n">
        <f aca="false">BR31*③기타_가정!$E$176</f>
        <v>326.24865</v>
      </c>
      <c r="BS49" s="37" t="n">
        <f aca="false">BS31*③기타_가정!$E$176</f>
        <v>315.7245</v>
      </c>
      <c r="BT49" s="37" t="n">
        <f aca="false">BT31*③기타_가정!$E$176</f>
        <v>326.24865</v>
      </c>
      <c r="BU49" s="37" t="n">
        <f aca="false">BU31*③기타_가정!$E$176</f>
        <v>315.7245</v>
      </c>
      <c r="BV49" s="37" t="n">
        <f aca="false">BV31*③기타_가정!$E$176</f>
        <v>326.24865</v>
      </c>
      <c r="BW49" s="37" t="n">
        <f aca="false">BW31*③기타_가정!$E$176</f>
        <v>326.24865</v>
      </c>
      <c r="BX49" s="37" t="n">
        <f aca="false">BX31*③기타_가정!$E$176</f>
        <v>305.20035</v>
      </c>
      <c r="BY49" s="37" t="n">
        <f aca="false">BY31*③기타_가정!$E$176</f>
        <v>383.969565</v>
      </c>
      <c r="BZ49" s="37" t="n">
        <f aca="false">BZ31*③기타_가정!$E$176</f>
        <v>371.58345</v>
      </c>
      <c r="CA49" s="37" t="n">
        <f aca="false">CA31*③기타_가정!$E$176</f>
        <v>383.969565</v>
      </c>
      <c r="CB49" s="37" t="n">
        <f aca="false">CB31*③기타_가정!$E$176</f>
        <v>371.58345</v>
      </c>
      <c r="CC49" s="37" t="n">
        <f aca="false">CC31*③기타_가정!$E$176</f>
        <v>383.969565</v>
      </c>
      <c r="CD49" s="37" t="n">
        <f aca="false">CD31*③기타_가정!$E$176</f>
        <v>383.969565</v>
      </c>
      <c r="CE49" s="37" t="n">
        <f aca="false">CE31*③기타_가정!$E$176</f>
        <v>371.58345</v>
      </c>
      <c r="CF49" s="37" t="n">
        <f aca="false">CF31*③기타_가정!$E$176</f>
        <v>383.969565</v>
      </c>
      <c r="CG49" s="37" t="n">
        <f aca="false">CG31*③기타_가정!$E$176</f>
        <v>371.58345</v>
      </c>
      <c r="CH49" s="37" t="n">
        <f aca="false">CH31*③기타_가정!$E$176</f>
        <v>383.969565</v>
      </c>
      <c r="CI49" s="37" t="n">
        <f aca="false">CI31*③기타_가정!$E$176</f>
        <v>383.969565</v>
      </c>
      <c r="CJ49" s="37" t="n">
        <f aca="false">CJ31*③기타_가정!$E$176</f>
        <v>346.81122</v>
      </c>
      <c r="CK49" s="37" t="n">
        <f aca="false">CK31*③기타_가정!$E$176</f>
        <v>391.6489563</v>
      </c>
      <c r="CL49" s="37" t="n">
        <f aca="false">CL31*③기타_가정!$E$176</f>
        <v>379.015119</v>
      </c>
      <c r="CM49" s="37" t="n">
        <f aca="false">CM31*③기타_가정!$E$176</f>
        <v>391.6489563</v>
      </c>
      <c r="CN49" s="37" t="n">
        <f aca="false">CN31*③기타_가정!$E$176</f>
        <v>379.015119</v>
      </c>
      <c r="CO49" s="37" t="n">
        <f aca="false">CO31*③기타_가정!$E$176</f>
        <v>391.6489563</v>
      </c>
      <c r="CP49" s="37" t="n">
        <f aca="false">CP31*③기타_가정!$E$176</f>
        <v>391.6489563</v>
      </c>
      <c r="CQ49" s="37" t="n">
        <f aca="false">CQ31*③기타_가정!$E$176</f>
        <v>379.015119</v>
      </c>
      <c r="CR49" s="37" t="n">
        <f aca="false">CR31*③기타_가정!$E$176</f>
        <v>391.6489563</v>
      </c>
      <c r="CS49" s="37" t="n">
        <f aca="false">CS31*③기타_가정!$E$176</f>
        <v>379.015119</v>
      </c>
      <c r="CT49" s="37" t="n">
        <f aca="false">CT31*③기타_가정!$E$176</f>
        <v>391.6489563</v>
      </c>
      <c r="CU49" s="37" t="n">
        <f aca="false">CU31*③기타_가정!$E$176</f>
        <v>391.6489563</v>
      </c>
      <c r="CV49" s="37" t="n">
        <f aca="false">CV31*③기타_가정!$E$176</f>
        <v>353.7474444</v>
      </c>
      <c r="CW49" s="37" t="n">
        <f aca="false">CW31*③기타_가정!$E$176</f>
        <v>399.481935426</v>
      </c>
      <c r="CX49" s="37" t="n">
        <f aca="false">CX31*③기타_가정!$E$176</f>
        <v>386.59542138</v>
      </c>
      <c r="CY49" s="37" t="n">
        <f aca="false">CY31*③기타_가정!$E$176</f>
        <v>399.481935426</v>
      </c>
      <c r="CZ49" s="37" t="n">
        <f aca="false">CZ31*③기타_가정!$E$176</f>
        <v>386.59542138</v>
      </c>
      <c r="DA49" s="37" t="n">
        <f aca="false">DA31*③기타_가정!$E$176</f>
        <v>399.481935426</v>
      </c>
      <c r="DB49" s="37" t="n">
        <f aca="false">DB31*③기타_가정!$E$176</f>
        <v>399.481935426</v>
      </c>
      <c r="DC49" s="37" t="n">
        <f aca="false">DC31*③기타_가정!$E$176</f>
        <v>386.59542138</v>
      </c>
      <c r="DD49" s="37" t="n">
        <f aca="false">DD31*③기타_가정!$E$176</f>
        <v>399.481935426</v>
      </c>
      <c r="DE49" s="37" t="n">
        <f aca="false">DE31*③기타_가정!$E$176</f>
        <v>386.59542138</v>
      </c>
      <c r="DF49" s="37" t="n">
        <f aca="false">DF31*③기타_가정!$E$176</f>
        <v>399.481935426</v>
      </c>
      <c r="DG49" s="37" t="n">
        <f aca="false">DG31*③기타_가정!$E$176</f>
        <v>399.481935426</v>
      </c>
      <c r="DH49" s="37" t="n">
        <f aca="false">DH31*③기타_가정!$E$176</f>
        <v>360.822393288</v>
      </c>
      <c r="DI49" s="37" t="n">
        <f aca="false">DI31*③기타_가정!$E$176</f>
        <v>407.47157413452</v>
      </c>
      <c r="DJ49" s="37" t="n">
        <f aca="false">DJ31*③기타_가정!$E$176</f>
        <v>394.3273298076</v>
      </c>
      <c r="DK49" s="37" t="n">
        <f aca="false">DK31*③기타_가정!$E$176</f>
        <v>407.47157413452</v>
      </c>
      <c r="DL49" s="37" t="n">
        <f aca="false">DL31*③기타_가정!$E$176</f>
        <v>394.3273298076</v>
      </c>
      <c r="DM49" s="37" t="n">
        <f aca="false">DM31*③기타_가정!$E$176</f>
        <v>407.47157413452</v>
      </c>
      <c r="DN49" s="37" t="n">
        <f aca="false">DN31*③기타_가정!$E$176</f>
        <v>407.47157413452</v>
      </c>
      <c r="DO49" s="37" t="n">
        <f aca="false">DO31*③기타_가정!$E$176</f>
        <v>394.3273298076</v>
      </c>
      <c r="DP49" s="37" t="n">
        <f aca="false">DP31*③기타_가정!$E$176</f>
        <v>407.47157413452</v>
      </c>
      <c r="DQ49" s="37" t="n">
        <f aca="false">DQ31*③기타_가정!$E$176</f>
        <v>394.3273298076</v>
      </c>
      <c r="DR49" s="37" t="n">
        <f aca="false">DR31*③기타_가정!$E$176</f>
        <v>407.47157413452</v>
      </c>
      <c r="DS49" s="37" t="n">
        <f aca="false">DS31*③기타_가정!$E$176</f>
        <v>407.47157413452</v>
      </c>
      <c r="DT49" s="37" t="n">
        <f aca="false">DT31*③기타_가정!$E$176</f>
        <v>381.18308548068</v>
      </c>
      <c r="DU49" s="37" t="n">
        <f aca="false">DU31*③기타_가정!$E$176</f>
        <v>0</v>
      </c>
      <c r="DV49" s="37" t="n">
        <f aca="false">DV31*③기타_가정!$E$176</f>
        <v>0</v>
      </c>
      <c r="DW49" s="37" t="n">
        <f aca="false">DW31*③기타_가정!$E$176</f>
        <v>0</v>
      </c>
      <c r="DX49" s="37" t="n">
        <f aca="false">DX31*③기타_가정!$E$176</f>
        <v>0</v>
      </c>
      <c r="DY49" s="37" t="n">
        <f aca="false">DY31*③기타_가정!$E$176</f>
        <v>0</v>
      </c>
      <c r="DZ49" s="37" t="n">
        <f aca="false">DZ31*③기타_가정!$E$176</f>
        <v>0</v>
      </c>
      <c r="EA49" s="37" t="n">
        <f aca="false">EA31*③기타_가정!$E$176</f>
        <v>0</v>
      </c>
      <c r="EB49" s="37" t="n">
        <f aca="false">EB31*③기타_가정!$E$176</f>
        <v>0</v>
      </c>
      <c r="EC49" s="37" t="n">
        <f aca="false">EC31*③기타_가정!$E$176</f>
        <v>0</v>
      </c>
      <c r="ED49" s="37" t="n">
        <f aca="false">ED31*③기타_가정!$E$176</f>
        <v>0</v>
      </c>
      <c r="EE49" s="37" t="n">
        <f aca="false">EE31*③기타_가정!$E$176</f>
        <v>0</v>
      </c>
      <c r="EF49" s="37" t="n">
        <f aca="false">EF31*③기타_가정!$E$176</f>
        <v>0</v>
      </c>
    </row>
    <row r="50" customFormat="false" ht="15" hidden="false" customHeight="false" outlineLevel="0" collapsed="false">
      <c r="A50" s="36" t="s">
        <v>598</v>
      </c>
      <c r="B50" s="278" t="s">
        <v>21</v>
      </c>
      <c r="C50" s="279" t="n">
        <f aca="false">SUM(E50:EF50)</f>
        <v>72316.5831641016</v>
      </c>
      <c r="E50" s="37" t="n">
        <f aca="false">E32*③기타_가정!$E$177</f>
        <v>0</v>
      </c>
      <c r="F50" s="37" t="n">
        <f aca="false">F32*③기타_가정!$E$177</f>
        <v>0</v>
      </c>
      <c r="G50" s="37" t="n">
        <f aca="false">G32*③기타_가정!$E$177</f>
        <v>0</v>
      </c>
      <c r="H50" s="37" t="n">
        <f aca="false">H32*③기타_가정!$E$177</f>
        <v>0</v>
      </c>
      <c r="I50" s="37" t="n">
        <f aca="false">I32*③기타_가정!$E$177</f>
        <v>0</v>
      </c>
      <c r="J50" s="37" t="n">
        <f aca="false">J32*③기타_가정!$E$177</f>
        <v>0</v>
      </c>
      <c r="K50" s="37" t="n">
        <f aca="false">K32*③기타_가정!$E$177</f>
        <v>0</v>
      </c>
      <c r="L50" s="37" t="n">
        <f aca="false">L32*③기타_가정!$E$177</f>
        <v>0</v>
      </c>
      <c r="M50" s="37" t="n">
        <f aca="false">M32*③기타_가정!$E$177</f>
        <v>0</v>
      </c>
      <c r="N50" s="37" t="n">
        <f aca="false">N32*③기타_가정!$E$177</f>
        <v>0</v>
      </c>
      <c r="O50" s="37" t="n">
        <f aca="false">O32*③기타_가정!$E$177</f>
        <v>0</v>
      </c>
      <c r="P50" s="37" t="n">
        <f aca="false">P32*③기타_가정!$E$177</f>
        <v>0</v>
      </c>
      <c r="Q50" s="37" t="n">
        <f aca="false">Q32*③기타_가정!$E$177</f>
        <v>0</v>
      </c>
      <c r="R50" s="37" t="n">
        <f aca="false">R32*③기타_가정!$E$177</f>
        <v>0</v>
      </c>
      <c r="S50" s="37" t="n">
        <f aca="false">S32*③기타_가정!$E$177</f>
        <v>0</v>
      </c>
      <c r="T50" s="37" t="n">
        <f aca="false">T32*③기타_가정!$E$177</f>
        <v>0</v>
      </c>
      <c r="U50" s="37" t="n">
        <f aca="false">U32*③기타_가정!$E$177</f>
        <v>0</v>
      </c>
      <c r="V50" s="37" t="n">
        <f aca="false">V32*③기타_가정!$E$177</f>
        <v>0</v>
      </c>
      <c r="W50" s="37" t="n">
        <f aca="false">W32*③기타_가정!$E$177</f>
        <v>0</v>
      </c>
      <c r="X50" s="37" t="n">
        <f aca="false">X32*③기타_가정!$E$177</f>
        <v>0</v>
      </c>
      <c r="Y50" s="37" t="n">
        <f aca="false">Y32*③기타_가정!$E$177</f>
        <v>0</v>
      </c>
      <c r="Z50" s="37" t="n">
        <f aca="false">Z32*③기타_가정!$E$177</f>
        <v>0</v>
      </c>
      <c r="AA50" s="37" t="n">
        <f aca="false">AA32*③기타_가정!$E$177</f>
        <v>0</v>
      </c>
      <c r="AB50" s="37" t="n">
        <f aca="false">AB32*③기타_가정!$E$177</f>
        <v>0</v>
      </c>
      <c r="AC50" s="37" t="n">
        <f aca="false">AC32*③기타_가정!$E$177</f>
        <v>0</v>
      </c>
      <c r="AD50" s="37" t="n">
        <f aca="false">AD32*③기타_가정!$E$177</f>
        <v>0</v>
      </c>
      <c r="AE50" s="37" t="n">
        <f aca="false">AE32*③기타_가정!$E$177</f>
        <v>0</v>
      </c>
      <c r="AF50" s="37" t="n">
        <f aca="false">AF32*③기타_가정!$E$177</f>
        <v>0</v>
      </c>
      <c r="AG50" s="37" t="n">
        <f aca="false">AG32*③기타_가정!$E$177</f>
        <v>0</v>
      </c>
      <c r="AH50" s="37" t="n">
        <f aca="false">AH32*③기타_가정!$E$177</f>
        <v>0</v>
      </c>
      <c r="AI50" s="37" t="n">
        <f aca="false">AI32*③기타_가정!$E$177</f>
        <v>0</v>
      </c>
      <c r="AJ50" s="37" t="n">
        <f aca="false">AJ32*③기타_가정!$E$177</f>
        <v>0</v>
      </c>
      <c r="AK50" s="37" t="n">
        <f aca="false">AK32*③기타_가정!$E$177</f>
        <v>0</v>
      </c>
      <c r="AL50" s="37" t="n">
        <f aca="false">AL32*③기타_가정!$E$177</f>
        <v>0</v>
      </c>
      <c r="AM50" s="37" t="n">
        <f aca="false">AM32*③기타_가정!$E$177</f>
        <v>0</v>
      </c>
      <c r="AN50" s="37" t="n">
        <f aca="false">AN32*③기타_가정!$E$177</f>
        <v>0</v>
      </c>
      <c r="AO50" s="37" t="n">
        <f aca="false">AO32*③기타_가정!$E$177</f>
        <v>0</v>
      </c>
      <c r="AP50" s="37" t="n">
        <f aca="false">AP32*③기타_가정!$E$177</f>
        <v>0</v>
      </c>
      <c r="AQ50" s="37" t="n">
        <f aca="false">AQ32*③기타_가정!$E$177</f>
        <v>0</v>
      </c>
      <c r="AR50" s="37" t="n">
        <f aca="false">AR32*③기타_가정!$E$177</f>
        <v>0</v>
      </c>
      <c r="AS50" s="37" t="n">
        <f aca="false">AS32*③기타_가정!$E$177</f>
        <v>0</v>
      </c>
      <c r="AT50" s="37" t="n">
        <f aca="false">AT32*③기타_가정!$E$177</f>
        <v>0</v>
      </c>
      <c r="AU50" s="37" t="n">
        <f aca="false">AU32*③기타_가정!$E$177</f>
        <v>0</v>
      </c>
      <c r="AV50" s="37" t="n">
        <f aca="false">AV32*③기타_가정!$E$177</f>
        <v>0</v>
      </c>
      <c r="AW50" s="37" t="n">
        <f aca="false">AW32*③기타_가정!$E$177</f>
        <v>0</v>
      </c>
      <c r="AX50" s="37" t="n">
        <f aca="false">AX32*③기타_가정!$E$177</f>
        <v>0</v>
      </c>
      <c r="AY50" s="37" t="n">
        <f aca="false">AY32*③기타_가정!$E$177</f>
        <v>0</v>
      </c>
      <c r="AZ50" s="37" t="n">
        <f aca="false">AZ32*③기타_가정!$E$177</f>
        <v>0</v>
      </c>
      <c r="BA50" s="37" t="n">
        <f aca="false">BA32*③기타_가정!$E$177</f>
        <v>0</v>
      </c>
      <c r="BB50" s="37" t="n">
        <f aca="false">BB32*③기타_가정!$E$177</f>
        <v>0</v>
      </c>
      <c r="BC50" s="37" t="n">
        <f aca="false">BC32*③기타_가정!$E$177</f>
        <v>0</v>
      </c>
      <c r="BD50" s="37" t="n">
        <f aca="false">BD32*③기타_가정!$E$177</f>
        <v>0</v>
      </c>
      <c r="BE50" s="37" t="n">
        <f aca="false">BE32*③기타_가정!$E$177</f>
        <v>0</v>
      </c>
      <c r="BF50" s="37" t="n">
        <f aca="false">BF32*③기타_가정!$E$177</f>
        <v>0</v>
      </c>
      <c r="BG50" s="37" t="n">
        <f aca="false">BG32*③기타_가정!$E$177</f>
        <v>0</v>
      </c>
      <c r="BH50" s="37" t="n">
        <f aca="false">BH32*③기타_가정!$E$177</f>
        <v>0</v>
      </c>
      <c r="BI50" s="37" t="n">
        <f aca="false">BI32*③기타_가정!$E$177</f>
        <v>0</v>
      </c>
      <c r="BJ50" s="37" t="n">
        <f aca="false">BJ32*③기타_가정!$E$177</f>
        <v>0</v>
      </c>
      <c r="BK50" s="37" t="n">
        <f aca="false">BK32*③기타_가정!$E$177</f>
        <v>0</v>
      </c>
      <c r="BL50" s="37" t="n">
        <f aca="false">BL32*③기타_가정!$E$177</f>
        <v>0</v>
      </c>
      <c r="BM50" s="37" t="n">
        <f aca="false">BM32*③기타_가정!$E$177</f>
        <v>1048.656375</v>
      </c>
      <c r="BN50" s="37" t="n">
        <f aca="false">BN32*③기타_가정!$E$177</f>
        <v>1014.82875</v>
      </c>
      <c r="BO50" s="37" t="n">
        <f aca="false">BO32*③기타_가정!$E$177</f>
        <v>1048.656375</v>
      </c>
      <c r="BP50" s="37" t="n">
        <f aca="false">BP32*③기타_가정!$E$177</f>
        <v>1014.82875</v>
      </c>
      <c r="BQ50" s="37" t="n">
        <f aca="false">BQ32*③기타_가정!$E$177</f>
        <v>1048.656375</v>
      </c>
      <c r="BR50" s="37" t="n">
        <f aca="false">BR32*③기타_가정!$E$177</f>
        <v>1048.656375</v>
      </c>
      <c r="BS50" s="37" t="n">
        <f aca="false">BS32*③기타_가정!$E$177</f>
        <v>1014.82875</v>
      </c>
      <c r="BT50" s="37" t="n">
        <f aca="false">BT32*③기타_가정!$E$177</f>
        <v>1048.656375</v>
      </c>
      <c r="BU50" s="37" t="n">
        <f aca="false">BU32*③기타_가정!$E$177</f>
        <v>1014.82875</v>
      </c>
      <c r="BV50" s="37" t="n">
        <f aca="false">BV32*③기타_가정!$E$177</f>
        <v>1048.656375</v>
      </c>
      <c r="BW50" s="37" t="n">
        <f aca="false">BW32*③기타_가정!$E$177</f>
        <v>1048.656375</v>
      </c>
      <c r="BX50" s="37" t="n">
        <f aca="false">BX32*③기타_가정!$E$177</f>
        <v>981.001125</v>
      </c>
      <c r="BY50" s="37" t="n">
        <f aca="false">BY32*③기타_가정!$E$177</f>
        <v>1234.1878875</v>
      </c>
      <c r="BZ50" s="37" t="n">
        <f aca="false">BZ32*③기타_가정!$E$177</f>
        <v>1194.375375</v>
      </c>
      <c r="CA50" s="37" t="n">
        <f aca="false">CA32*③기타_가정!$E$177</f>
        <v>1234.1878875</v>
      </c>
      <c r="CB50" s="37" t="n">
        <f aca="false">CB32*③기타_가정!$E$177</f>
        <v>1194.375375</v>
      </c>
      <c r="CC50" s="37" t="n">
        <f aca="false">CC32*③기타_가정!$E$177</f>
        <v>1234.1878875</v>
      </c>
      <c r="CD50" s="37" t="n">
        <f aca="false">CD32*③기타_가정!$E$177</f>
        <v>1234.1878875</v>
      </c>
      <c r="CE50" s="37" t="n">
        <f aca="false">CE32*③기타_가정!$E$177</f>
        <v>1194.375375</v>
      </c>
      <c r="CF50" s="37" t="n">
        <f aca="false">CF32*③기타_가정!$E$177</f>
        <v>1234.1878875</v>
      </c>
      <c r="CG50" s="37" t="n">
        <f aca="false">CG32*③기타_가정!$E$177</f>
        <v>1194.375375</v>
      </c>
      <c r="CH50" s="37" t="n">
        <f aca="false">CH32*③기타_가정!$E$177</f>
        <v>1234.1878875</v>
      </c>
      <c r="CI50" s="37" t="n">
        <f aca="false">CI32*③기타_가정!$E$177</f>
        <v>1234.1878875</v>
      </c>
      <c r="CJ50" s="37" t="n">
        <f aca="false">CJ32*③기타_가정!$E$177</f>
        <v>1114.75035</v>
      </c>
      <c r="CK50" s="37" t="n">
        <f aca="false">CK32*③기타_가정!$E$177</f>
        <v>1258.87164525</v>
      </c>
      <c r="CL50" s="37" t="n">
        <f aca="false">CL32*③기타_가정!$E$177</f>
        <v>1218.2628825</v>
      </c>
      <c r="CM50" s="37" t="n">
        <f aca="false">CM32*③기타_가정!$E$177</f>
        <v>1258.87164525</v>
      </c>
      <c r="CN50" s="37" t="n">
        <f aca="false">CN32*③기타_가정!$E$177</f>
        <v>1218.2628825</v>
      </c>
      <c r="CO50" s="37" t="n">
        <f aca="false">CO32*③기타_가정!$E$177</f>
        <v>1258.87164525</v>
      </c>
      <c r="CP50" s="37" t="n">
        <f aca="false">CP32*③기타_가정!$E$177</f>
        <v>1258.87164525</v>
      </c>
      <c r="CQ50" s="37" t="n">
        <f aca="false">CQ32*③기타_가정!$E$177</f>
        <v>1218.2628825</v>
      </c>
      <c r="CR50" s="37" t="n">
        <f aca="false">CR32*③기타_가정!$E$177</f>
        <v>1258.87164525</v>
      </c>
      <c r="CS50" s="37" t="n">
        <f aca="false">CS32*③기타_가정!$E$177</f>
        <v>1218.2628825</v>
      </c>
      <c r="CT50" s="37" t="n">
        <f aca="false">CT32*③기타_가정!$E$177</f>
        <v>1258.87164525</v>
      </c>
      <c r="CU50" s="37" t="n">
        <f aca="false">CU32*③기타_가정!$E$177</f>
        <v>1258.87164525</v>
      </c>
      <c r="CV50" s="37" t="n">
        <f aca="false">CV32*③기타_가정!$E$177</f>
        <v>1137.045357</v>
      </c>
      <c r="CW50" s="37" t="n">
        <f aca="false">CW32*③기타_가정!$E$177</f>
        <v>1284.049078155</v>
      </c>
      <c r="CX50" s="37" t="n">
        <f aca="false">CX32*③기타_가정!$E$177</f>
        <v>1242.62814015</v>
      </c>
      <c r="CY50" s="37" t="n">
        <f aca="false">CY32*③기타_가정!$E$177</f>
        <v>1284.049078155</v>
      </c>
      <c r="CZ50" s="37" t="n">
        <f aca="false">CZ32*③기타_가정!$E$177</f>
        <v>1242.62814015</v>
      </c>
      <c r="DA50" s="37" t="n">
        <f aca="false">DA32*③기타_가정!$E$177</f>
        <v>1284.049078155</v>
      </c>
      <c r="DB50" s="37" t="n">
        <f aca="false">DB32*③기타_가정!$E$177</f>
        <v>1284.049078155</v>
      </c>
      <c r="DC50" s="37" t="n">
        <f aca="false">DC32*③기타_가정!$E$177</f>
        <v>1242.62814015</v>
      </c>
      <c r="DD50" s="37" t="n">
        <f aca="false">DD32*③기타_가정!$E$177</f>
        <v>1284.049078155</v>
      </c>
      <c r="DE50" s="37" t="n">
        <f aca="false">DE32*③기타_가정!$E$177</f>
        <v>1242.62814015</v>
      </c>
      <c r="DF50" s="37" t="n">
        <f aca="false">DF32*③기타_가정!$E$177</f>
        <v>1284.049078155</v>
      </c>
      <c r="DG50" s="37" t="n">
        <f aca="false">DG32*③기타_가정!$E$177</f>
        <v>1284.049078155</v>
      </c>
      <c r="DH50" s="37" t="n">
        <f aca="false">DH32*③기타_가정!$E$177</f>
        <v>1159.78626414</v>
      </c>
      <c r="DI50" s="37" t="n">
        <f aca="false">DI32*③기타_가정!$E$177</f>
        <v>1309.7300597181</v>
      </c>
      <c r="DJ50" s="37" t="n">
        <f aca="false">DJ32*③기타_가정!$E$177</f>
        <v>1267.480702953</v>
      </c>
      <c r="DK50" s="37" t="n">
        <f aca="false">DK32*③기타_가정!$E$177</f>
        <v>1309.7300597181</v>
      </c>
      <c r="DL50" s="37" t="n">
        <f aca="false">DL32*③기타_가정!$E$177</f>
        <v>1267.480702953</v>
      </c>
      <c r="DM50" s="37" t="n">
        <f aca="false">DM32*③기타_가정!$E$177</f>
        <v>1309.7300597181</v>
      </c>
      <c r="DN50" s="37" t="n">
        <f aca="false">DN32*③기타_가정!$E$177</f>
        <v>1309.7300597181</v>
      </c>
      <c r="DO50" s="37" t="n">
        <f aca="false">DO32*③기타_가정!$E$177</f>
        <v>1267.480702953</v>
      </c>
      <c r="DP50" s="37" t="n">
        <f aca="false">DP32*③기타_가정!$E$177</f>
        <v>1309.7300597181</v>
      </c>
      <c r="DQ50" s="37" t="n">
        <f aca="false">DQ32*③기타_가정!$E$177</f>
        <v>1267.480702953</v>
      </c>
      <c r="DR50" s="37" t="n">
        <f aca="false">DR32*③기타_가정!$E$177</f>
        <v>1309.7300597181</v>
      </c>
      <c r="DS50" s="37" t="n">
        <f aca="false">DS32*③기타_가정!$E$177</f>
        <v>1309.7300597181</v>
      </c>
      <c r="DT50" s="37" t="n">
        <f aca="false">DT32*③기타_가정!$E$177</f>
        <v>1225.2313461879</v>
      </c>
      <c r="DU50" s="37" t="n">
        <f aca="false">DU32*③기타_가정!$E$177</f>
        <v>0</v>
      </c>
      <c r="DV50" s="37" t="n">
        <f aca="false">DV32*③기타_가정!$E$177</f>
        <v>0</v>
      </c>
      <c r="DW50" s="37" t="n">
        <f aca="false">DW32*③기타_가정!$E$177</f>
        <v>0</v>
      </c>
      <c r="DX50" s="37" t="n">
        <f aca="false">DX32*③기타_가정!$E$177</f>
        <v>0</v>
      </c>
      <c r="DY50" s="37" t="n">
        <f aca="false">DY32*③기타_가정!$E$177</f>
        <v>0</v>
      </c>
      <c r="DZ50" s="37" t="n">
        <f aca="false">DZ32*③기타_가정!$E$177</f>
        <v>0</v>
      </c>
      <c r="EA50" s="37" t="n">
        <f aca="false">EA32*③기타_가정!$E$177</f>
        <v>0</v>
      </c>
      <c r="EB50" s="37" t="n">
        <f aca="false">EB32*③기타_가정!$E$177</f>
        <v>0</v>
      </c>
      <c r="EC50" s="37" t="n">
        <f aca="false">EC32*③기타_가정!$E$177</f>
        <v>0</v>
      </c>
      <c r="ED50" s="37" t="n">
        <f aca="false">ED32*③기타_가정!$E$177</f>
        <v>0</v>
      </c>
      <c r="EE50" s="37" t="n">
        <f aca="false">EE32*③기타_가정!$E$177</f>
        <v>0</v>
      </c>
      <c r="EF50" s="37" t="n">
        <f aca="false">EF32*③기타_가정!$E$177</f>
        <v>0</v>
      </c>
    </row>
    <row r="51" customFormat="false" ht="15" hidden="false" customHeight="false" outlineLevel="0" collapsed="false">
      <c r="A51" s="36" t="s">
        <v>599</v>
      </c>
      <c r="B51" s="278" t="s">
        <v>21</v>
      </c>
      <c r="C51" s="279" t="n">
        <f aca="false">SUM(E51:EF51)</f>
        <v>29997.990053257</v>
      </c>
      <c r="E51" s="37" t="n">
        <f aca="false">E33*③기타_가정!$E$178</f>
        <v>0</v>
      </c>
      <c r="F51" s="37" t="n">
        <f aca="false">F33*③기타_가정!$E$178</f>
        <v>0</v>
      </c>
      <c r="G51" s="37" t="n">
        <f aca="false">G33*③기타_가정!$E$178</f>
        <v>0</v>
      </c>
      <c r="H51" s="37" t="n">
        <f aca="false">H33*③기타_가정!$E$178</f>
        <v>0</v>
      </c>
      <c r="I51" s="37" t="n">
        <f aca="false">I33*③기타_가정!$E$178</f>
        <v>0</v>
      </c>
      <c r="J51" s="37" t="n">
        <f aca="false">J33*③기타_가정!$E$178</f>
        <v>0</v>
      </c>
      <c r="K51" s="37" t="n">
        <f aca="false">K33*③기타_가정!$E$178</f>
        <v>0</v>
      </c>
      <c r="L51" s="37" t="n">
        <f aca="false">L33*③기타_가정!$E$178</f>
        <v>0</v>
      </c>
      <c r="M51" s="37" t="n">
        <f aca="false">M33*③기타_가정!$E$178</f>
        <v>0</v>
      </c>
      <c r="N51" s="37" t="n">
        <f aca="false">N33*③기타_가정!$E$178</f>
        <v>0</v>
      </c>
      <c r="O51" s="37" t="n">
        <f aca="false">O33*③기타_가정!$E$178</f>
        <v>0</v>
      </c>
      <c r="P51" s="37" t="n">
        <f aca="false">P33*③기타_가정!$E$178</f>
        <v>0</v>
      </c>
      <c r="Q51" s="37" t="n">
        <f aca="false">Q33*③기타_가정!$E$178</f>
        <v>0</v>
      </c>
      <c r="R51" s="37" t="n">
        <f aca="false">R33*③기타_가정!$E$178</f>
        <v>0</v>
      </c>
      <c r="S51" s="37" t="n">
        <f aca="false">S33*③기타_가정!$E$178</f>
        <v>0</v>
      </c>
      <c r="T51" s="37" t="n">
        <f aca="false">T33*③기타_가정!$E$178</f>
        <v>0</v>
      </c>
      <c r="U51" s="37" t="n">
        <f aca="false">U33*③기타_가정!$E$178</f>
        <v>0</v>
      </c>
      <c r="V51" s="37" t="n">
        <f aca="false">V33*③기타_가정!$E$178</f>
        <v>0</v>
      </c>
      <c r="W51" s="37" t="n">
        <f aca="false">W33*③기타_가정!$E$178</f>
        <v>0</v>
      </c>
      <c r="X51" s="37" t="n">
        <f aca="false">X33*③기타_가정!$E$178</f>
        <v>0</v>
      </c>
      <c r="Y51" s="37" t="n">
        <f aca="false">Y33*③기타_가정!$E$178</f>
        <v>0</v>
      </c>
      <c r="Z51" s="37" t="n">
        <f aca="false">Z33*③기타_가정!$E$178</f>
        <v>0</v>
      </c>
      <c r="AA51" s="37" t="n">
        <f aca="false">AA33*③기타_가정!$E$178</f>
        <v>0</v>
      </c>
      <c r="AB51" s="37" t="n">
        <f aca="false">AB33*③기타_가정!$E$178</f>
        <v>0</v>
      </c>
      <c r="AC51" s="37" t="n">
        <f aca="false">AC33*③기타_가정!$E$178</f>
        <v>0</v>
      </c>
      <c r="AD51" s="37" t="n">
        <f aca="false">AD33*③기타_가정!$E$178</f>
        <v>0</v>
      </c>
      <c r="AE51" s="37" t="n">
        <f aca="false">AE33*③기타_가정!$E$178</f>
        <v>0</v>
      </c>
      <c r="AF51" s="37" t="n">
        <f aca="false">AF33*③기타_가정!$E$178</f>
        <v>0</v>
      </c>
      <c r="AG51" s="37" t="n">
        <f aca="false">AG33*③기타_가정!$E$178</f>
        <v>0</v>
      </c>
      <c r="AH51" s="37" t="n">
        <f aca="false">AH33*③기타_가정!$E$178</f>
        <v>0</v>
      </c>
      <c r="AI51" s="37" t="n">
        <f aca="false">AI33*③기타_가정!$E$178</f>
        <v>0</v>
      </c>
      <c r="AJ51" s="37" t="n">
        <f aca="false">AJ33*③기타_가정!$E$178</f>
        <v>0</v>
      </c>
      <c r="AK51" s="37" t="n">
        <f aca="false">AK33*③기타_가정!$E$178</f>
        <v>0</v>
      </c>
      <c r="AL51" s="37" t="n">
        <f aca="false">AL33*③기타_가정!$E$178</f>
        <v>0</v>
      </c>
      <c r="AM51" s="37" t="n">
        <f aca="false">AM33*③기타_가정!$E$178</f>
        <v>0</v>
      </c>
      <c r="AN51" s="37" t="n">
        <f aca="false">AN33*③기타_가정!$E$178</f>
        <v>0</v>
      </c>
      <c r="AO51" s="37" t="n">
        <f aca="false">AO33*③기타_가정!$E$178</f>
        <v>0</v>
      </c>
      <c r="AP51" s="37" t="n">
        <f aca="false">AP33*③기타_가정!$E$178</f>
        <v>0</v>
      </c>
      <c r="AQ51" s="37" t="n">
        <f aca="false">AQ33*③기타_가정!$E$178</f>
        <v>0</v>
      </c>
      <c r="AR51" s="37" t="n">
        <f aca="false">AR33*③기타_가정!$E$178</f>
        <v>0</v>
      </c>
      <c r="AS51" s="37" t="n">
        <f aca="false">AS33*③기타_가정!$E$178</f>
        <v>0</v>
      </c>
      <c r="AT51" s="37" t="n">
        <f aca="false">AT33*③기타_가정!$E$178</f>
        <v>0</v>
      </c>
      <c r="AU51" s="37" t="n">
        <f aca="false">AU33*③기타_가정!$E$178</f>
        <v>0</v>
      </c>
      <c r="AV51" s="37" t="n">
        <f aca="false">AV33*③기타_가정!$E$178</f>
        <v>0</v>
      </c>
      <c r="AW51" s="37" t="n">
        <f aca="false">AW33*③기타_가정!$E$178</f>
        <v>0</v>
      </c>
      <c r="AX51" s="37" t="n">
        <f aca="false">AX33*③기타_가정!$E$178</f>
        <v>0</v>
      </c>
      <c r="AY51" s="37" t="n">
        <f aca="false">AY33*③기타_가정!$E$178</f>
        <v>0</v>
      </c>
      <c r="AZ51" s="37" t="n">
        <f aca="false">AZ33*③기타_가정!$E$178</f>
        <v>0</v>
      </c>
      <c r="BA51" s="37" t="n">
        <f aca="false">BA33*③기타_가정!$E$178</f>
        <v>0</v>
      </c>
      <c r="BB51" s="37" t="n">
        <f aca="false">BB33*③기타_가정!$E$178</f>
        <v>0</v>
      </c>
      <c r="BC51" s="37" t="n">
        <f aca="false">BC33*③기타_가정!$E$178</f>
        <v>0</v>
      </c>
      <c r="BD51" s="37" t="n">
        <f aca="false">BD33*③기타_가정!$E$178</f>
        <v>0</v>
      </c>
      <c r="BE51" s="37" t="n">
        <f aca="false">BE33*③기타_가정!$E$178</f>
        <v>0</v>
      </c>
      <c r="BF51" s="37" t="n">
        <f aca="false">BF33*③기타_가정!$E$178</f>
        <v>0</v>
      </c>
      <c r="BG51" s="37" t="n">
        <f aca="false">BG33*③기타_가정!$E$178</f>
        <v>0</v>
      </c>
      <c r="BH51" s="37" t="n">
        <f aca="false">BH33*③기타_가정!$E$178</f>
        <v>0</v>
      </c>
      <c r="BI51" s="37" t="n">
        <f aca="false">BI33*③기타_가정!$E$178</f>
        <v>0</v>
      </c>
      <c r="BJ51" s="37" t="n">
        <f aca="false">BJ33*③기타_가정!$E$178</f>
        <v>0</v>
      </c>
      <c r="BK51" s="37" t="n">
        <f aca="false">BK33*③기타_가정!$E$178</f>
        <v>0</v>
      </c>
      <c r="BL51" s="37" t="n">
        <f aca="false">BL33*③기타_가정!$E$178</f>
        <v>0</v>
      </c>
      <c r="BM51" s="37" t="n">
        <f aca="false">BM33*③기타_가정!$E$178</f>
        <v>434.9982</v>
      </c>
      <c r="BN51" s="37" t="n">
        <f aca="false">BN33*③기타_가정!$E$178</f>
        <v>420.966</v>
      </c>
      <c r="BO51" s="37" t="n">
        <f aca="false">BO33*③기타_가정!$E$178</f>
        <v>434.9982</v>
      </c>
      <c r="BP51" s="37" t="n">
        <f aca="false">BP33*③기타_가정!$E$178</f>
        <v>420.966</v>
      </c>
      <c r="BQ51" s="37" t="n">
        <f aca="false">BQ33*③기타_가정!$E$178</f>
        <v>434.9982</v>
      </c>
      <c r="BR51" s="37" t="n">
        <f aca="false">BR33*③기타_가정!$E$178</f>
        <v>434.9982</v>
      </c>
      <c r="BS51" s="37" t="n">
        <f aca="false">BS33*③기타_가정!$E$178</f>
        <v>420.966</v>
      </c>
      <c r="BT51" s="37" t="n">
        <f aca="false">BT33*③기타_가정!$E$178</f>
        <v>434.9982</v>
      </c>
      <c r="BU51" s="37" t="n">
        <f aca="false">BU33*③기타_가정!$E$178</f>
        <v>420.966</v>
      </c>
      <c r="BV51" s="37" t="n">
        <f aca="false">BV33*③기타_가정!$E$178</f>
        <v>434.9982</v>
      </c>
      <c r="BW51" s="37" t="n">
        <f aca="false">BW33*③기타_가정!$E$178</f>
        <v>434.9982</v>
      </c>
      <c r="BX51" s="37" t="n">
        <f aca="false">BX33*③기타_가정!$E$178</f>
        <v>406.9338</v>
      </c>
      <c r="BY51" s="37" t="n">
        <f aca="false">BY33*③기타_가정!$E$178</f>
        <v>511.95942</v>
      </c>
      <c r="BZ51" s="37" t="n">
        <f aca="false">BZ33*③기타_가정!$E$178</f>
        <v>495.4446</v>
      </c>
      <c r="CA51" s="37" t="n">
        <f aca="false">CA33*③기타_가정!$E$178</f>
        <v>511.95942</v>
      </c>
      <c r="CB51" s="37" t="n">
        <f aca="false">CB33*③기타_가정!$E$178</f>
        <v>495.4446</v>
      </c>
      <c r="CC51" s="37" t="n">
        <f aca="false">CC33*③기타_가정!$E$178</f>
        <v>511.95942</v>
      </c>
      <c r="CD51" s="37" t="n">
        <f aca="false">CD33*③기타_가정!$E$178</f>
        <v>511.95942</v>
      </c>
      <c r="CE51" s="37" t="n">
        <f aca="false">CE33*③기타_가정!$E$178</f>
        <v>495.4446</v>
      </c>
      <c r="CF51" s="37" t="n">
        <f aca="false">CF33*③기타_가정!$E$178</f>
        <v>511.95942</v>
      </c>
      <c r="CG51" s="37" t="n">
        <f aca="false">CG33*③기타_가정!$E$178</f>
        <v>495.4446</v>
      </c>
      <c r="CH51" s="37" t="n">
        <f aca="false">CH33*③기타_가정!$E$178</f>
        <v>511.95942</v>
      </c>
      <c r="CI51" s="37" t="n">
        <f aca="false">CI33*③기타_가정!$E$178</f>
        <v>511.95942</v>
      </c>
      <c r="CJ51" s="37" t="n">
        <f aca="false">CJ33*③기타_가정!$E$178</f>
        <v>462.41496</v>
      </c>
      <c r="CK51" s="37" t="n">
        <f aca="false">CK33*③기타_가정!$E$178</f>
        <v>522.1986084</v>
      </c>
      <c r="CL51" s="37" t="n">
        <f aca="false">CL33*③기타_가정!$E$178</f>
        <v>505.353492</v>
      </c>
      <c r="CM51" s="37" t="n">
        <f aca="false">CM33*③기타_가정!$E$178</f>
        <v>522.1986084</v>
      </c>
      <c r="CN51" s="37" t="n">
        <f aca="false">CN33*③기타_가정!$E$178</f>
        <v>505.353492</v>
      </c>
      <c r="CO51" s="37" t="n">
        <f aca="false">CO33*③기타_가정!$E$178</f>
        <v>522.1986084</v>
      </c>
      <c r="CP51" s="37" t="n">
        <f aca="false">CP33*③기타_가정!$E$178</f>
        <v>522.1986084</v>
      </c>
      <c r="CQ51" s="37" t="n">
        <f aca="false">CQ33*③기타_가정!$E$178</f>
        <v>505.353492</v>
      </c>
      <c r="CR51" s="37" t="n">
        <f aca="false">CR33*③기타_가정!$E$178</f>
        <v>522.1986084</v>
      </c>
      <c r="CS51" s="37" t="n">
        <f aca="false">CS33*③기타_가정!$E$178</f>
        <v>505.353492</v>
      </c>
      <c r="CT51" s="37" t="n">
        <f aca="false">CT33*③기타_가정!$E$178</f>
        <v>522.1986084</v>
      </c>
      <c r="CU51" s="37" t="n">
        <f aca="false">CU33*③기타_가정!$E$178</f>
        <v>522.1986084</v>
      </c>
      <c r="CV51" s="37" t="n">
        <f aca="false">CV33*③기타_가정!$E$178</f>
        <v>471.6632592</v>
      </c>
      <c r="CW51" s="37" t="n">
        <f aca="false">CW33*③기타_가정!$E$178</f>
        <v>532.642580568</v>
      </c>
      <c r="CX51" s="37" t="n">
        <f aca="false">CX33*③기타_가정!$E$178</f>
        <v>515.46056184</v>
      </c>
      <c r="CY51" s="37" t="n">
        <f aca="false">CY33*③기타_가정!$E$178</f>
        <v>532.642580568</v>
      </c>
      <c r="CZ51" s="37" t="n">
        <f aca="false">CZ33*③기타_가정!$E$178</f>
        <v>515.46056184</v>
      </c>
      <c r="DA51" s="37" t="n">
        <f aca="false">DA33*③기타_가정!$E$178</f>
        <v>532.642580568</v>
      </c>
      <c r="DB51" s="37" t="n">
        <f aca="false">DB33*③기타_가정!$E$178</f>
        <v>532.642580568</v>
      </c>
      <c r="DC51" s="37" t="n">
        <f aca="false">DC33*③기타_가정!$E$178</f>
        <v>515.46056184</v>
      </c>
      <c r="DD51" s="37" t="n">
        <f aca="false">DD33*③기타_가정!$E$178</f>
        <v>532.642580568</v>
      </c>
      <c r="DE51" s="37" t="n">
        <f aca="false">DE33*③기타_가정!$E$178</f>
        <v>515.46056184</v>
      </c>
      <c r="DF51" s="37" t="n">
        <f aca="false">DF33*③기타_가정!$E$178</f>
        <v>532.642580568</v>
      </c>
      <c r="DG51" s="37" t="n">
        <f aca="false">DG33*③기타_가정!$E$178</f>
        <v>532.642580568</v>
      </c>
      <c r="DH51" s="37" t="n">
        <f aca="false">DH33*③기타_가정!$E$178</f>
        <v>481.096524384</v>
      </c>
      <c r="DI51" s="37" t="n">
        <f aca="false">DI33*③기타_가정!$E$178</f>
        <v>543.29543217936</v>
      </c>
      <c r="DJ51" s="37" t="n">
        <f aca="false">DJ33*③기타_가정!$E$178</f>
        <v>525.7697730768</v>
      </c>
      <c r="DK51" s="37" t="n">
        <f aca="false">DK33*③기타_가정!$E$178</f>
        <v>543.29543217936</v>
      </c>
      <c r="DL51" s="37" t="n">
        <f aca="false">DL33*③기타_가정!$E$178</f>
        <v>525.7697730768</v>
      </c>
      <c r="DM51" s="37" t="n">
        <f aca="false">DM33*③기타_가정!$E$178</f>
        <v>543.29543217936</v>
      </c>
      <c r="DN51" s="37" t="n">
        <f aca="false">DN33*③기타_가정!$E$178</f>
        <v>543.29543217936</v>
      </c>
      <c r="DO51" s="37" t="n">
        <f aca="false">DO33*③기타_가정!$E$178</f>
        <v>525.7697730768</v>
      </c>
      <c r="DP51" s="37" t="n">
        <f aca="false">DP33*③기타_가정!$E$178</f>
        <v>543.29543217936</v>
      </c>
      <c r="DQ51" s="37" t="n">
        <f aca="false">DQ33*③기타_가정!$E$178</f>
        <v>525.7697730768</v>
      </c>
      <c r="DR51" s="37" t="n">
        <f aca="false">DR33*③기타_가정!$E$178</f>
        <v>543.29543217936</v>
      </c>
      <c r="DS51" s="37" t="n">
        <f aca="false">DS33*③기타_가정!$E$178</f>
        <v>543.29543217936</v>
      </c>
      <c r="DT51" s="37" t="n">
        <f aca="false">DT33*③기타_가정!$E$178</f>
        <v>508.24411397424</v>
      </c>
      <c r="DU51" s="37" t="n">
        <f aca="false">DU33*③기타_가정!$E$178</f>
        <v>0</v>
      </c>
      <c r="DV51" s="37" t="n">
        <f aca="false">DV33*③기타_가정!$E$178</f>
        <v>0</v>
      </c>
      <c r="DW51" s="37" t="n">
        <f aca="false">DW33*③기타_가정!$E$178</f>
        <v>0</v>
      </c>
      <c r="DX51" s="37" t="n">
        <f aca="false">DX33*③기타_가정!$E$178</f>
        <v>0</v>
      </c>
      <c r="DY51" s="37" t="n">
        <f aca="false">DY33*③기타_가정!$E$178</f>
        <v>0</v>
      </c>
      <c r="DZ51" s="37" t="n">
        <f aca="false">DZ33*③기타_가정!$E$178</f>
        <v>0</v>
      </c>
      <c r="EA51" s="37" t="n">
        <f aca="false">EA33*③기타_가정!$E$178</f>
        <v>0</v>
      </c>
      <c r="EB51" s="37" t="n">
        <f aca="false">EB33*③기타_가정!$E$178</f>
        <v>0</v>
      </c>
      <c r="EC51" s="37" t="n">
        <f aca="false">EC33*③기타_가정!$E$178</f>
        <v>0</v>
      </c>
      <c r="ED51" s="37" t="n">
        <f aca="false">ED33*③기타_가정!$E$178</f>
        <v>0</v>
      </c>
      <c r="EE51" s="37" t="n">
        <f aca="false">EE33*③기타_가정!$E$178</f>
        <v>0</v>
      </c>
      <c r="EF51" s="37" t="n">
        <f aca="false">EF33*③기타_가정!$E$178</f>
        <v>0</v>
      </c>
    </row>
    <row r="52" customFormat="false" ht="15" hidden="false" customHeight="false" outlineLevel="0" collapsed="false">
      <c r="A52" s="153" t="s">
        <v>600</v>
      </c>
      <c r="B52" s="278" t="s">
        <v>21</v>
      </c>
      <c r="C52" s="279" t="n">
        <f aca="false">SUM(E52:EF52)</f>
        <v>7285.22615579098</v>
      </c>
      <c r="E52" s="37" t="n">
        <f aca="false">E34*③기타_가정!$E$179</f>
        <v>0</v>
      </c>
      <c r="F52" s="37" t="n">
        <f aca="false">F34*③기타_가정!$E$179</f>
        <v>0</v>
      </c>
      <c r="G52" s="37" t="n">
        <f aca="false">G34*③기타_가정!$E$179</f>
        <v>0</v>
      </c>
      <c r="H52" s="37" t="n">
        <f aca="false">H34*③기타_가정!$E$179</f>
        <v>0</v>
      </c>
      <c r="I52" s="37" t="n">
        <f aca="false">I34*③기타_가정!$E$179</f>
        <v>0</v>
      </c>
      <c r="J52" s="37" t="n">
        <f aca="false">J34*③기타_가정!$E$179</f>
        <v>0</v>
      </c>
      <c r="K52" s="37" t="n">
        <f aca="false">K34*③기타_가정!$E$179</f>
        <v>0</v>
      </c>
      <c r="L52" s="37" t="n">
        <f aca="false">L34*③기타_가정!$E$179</f>
        <v>0</v>
      </c>
      <c r="M52" s="37" t="n">
        <f aca="false">M34*③기타_가정!$E$179</f>
        <v>0</v>
      </c>
      <c r="N52" s="37" t="n">
        <f aca="false">N34*③기타_가정!$E$179</f>
        <v>0</v>
      </c>
      <c r="O52" s="37" t="n">
        <f aca="false">O34*③기타_가정!$E$179</f>
        <v>0</v>
      </c>
      <c r="P52" s="37" t="n">
        <f aca="false">P34*③기타_가정!$E$179</f>
        <v>0</v>
      </c>
      <c r="Q52" s="37" t="n">
        <f aca="false">Q34*③기타_가정!$E$179</f>
        <v>0</v>
      </c>
      <c r="R52" s="37" t="n">
        <f aca="false">R34*③기타_가정!$E$179</f>
        <v>0</v>
      </c>
      <c r="S52" s="37" t="n">
        <f aca="false">S34*③기타_가정!$E$179</f>
        <v>0</v>
      </c>
      <c r="T52" s="37" t="n">
        <f aca="false">T34*③기타_가정!$E$179</f>
        <v>0</v>
      </c>
      <c r="U52" s="37" t="n">
        <f aca="false">U34*③기타_가정!$E$179</f>
        <v>0</v>
      </c>
      <c r="V52" s="37" t="n">
        <f aca="false">V34*③기타_가정!$E$179</f>
        <v>0</v>
      </c>
      <c r="W52" s="37" t="n">
        <f aca="false">W34*③기타_가정!$E$179</f>
        <v>0</v>
      </c>
      <c r="X52" s="37" t="n">
        <f aca="false">X34*③기타_가정!$E$179</f>
        <v>0</v>
      </c>
      <c r="Y52" s="37" t="n">
        <f aca="false">Y34*③기타_가정!$E$179</f>
        <v>0</v>
      </c>
      <c r="Z52" s="37" t="n">
        <f aca="false">Z34*③기타_가정!$E$179</f>
        <v>0</v>
      </c>
      <c r="AA52" s="37" t="n">
        <f aca="false">AA34*③기타_가정!$E$179</f>
        <v>0</v>
      </c>
      <c r="AB52" s="37" t="n">
        <f aca="false">AB34*③기타_가정!$E$179</f>
        <v>0</v>
      </c>
      <c r="AC52" s="37" t="n">
        <f aca="false">AC34*③기타_가정!$E$179</f>
        <v>0</v>
      </c>
      <c r="AD52" s="37" t="n">
        <f aca="false">AD34*③기타_가정!$E$179</f>
        <v>0</v>
      </c>
      <c r="AE52" s="37" t="n">
        <f aca="false">AE34*③기타_가정!$E$179</f>
        <v>0</v>
      </c>
      <c r="AF52" s="37" t="n">
        <f aca="false">AF34*③기타_가정!$E$179</f>
        <v>0</v>
      </c>
      <c r="AG52" s="37" t="n">
        <f aca="false">AG34*③기타_가정!$E$179</f>
        <v>0</v>
      </c>
      <c r="AH52" s="37" t="n">
        <f aca="false">AH34*③기타_가정!$E$179</f>
        <v>0</v>
      </c>
      <c r="AI52" s="37" t="n">
        <f aca="false">AI34*③기타_가정!$E$179</f>
        <v>0</v>
      </c>
      <c r="AJ52" s="37" t="n">
        <f aca="false">AJ34*③기타_가정!$E$179</f>
        <v>0</v>
      </c>
      <c r="AK52" s="37" t="n">
        <f aca="false">AK34*③기타_가정!$E$179</f>
        <v>0</v>
      </c>
      <c r="AL52" s="37" t="n">
        <f aca="false">AL34*③기타_가정!$E$179</f>
        <v>0</v>
      </c>
      <c r="AM52" s="37" t="n">
        <f aca="false">AM34*③기타_가정!$E$179</f>
        <v>0</v>
      </c>
      <c r="AN52" s="37" t="n">
        <f aca="false">AN34*③기타_가정!$E$179</f>
        <v>0</v>
      </c>
      <c r="AO52" s="37" t="n">
        <f aca="false">AO34*③기타_가정!$E$179</f>
        <v>0</v>
      </c>
      <c r="AP52" s="37" t="n">
        <f aca="false">AP34*③기타_가정!$E$179</f>
        <v>0</v>
      </c>
      <c r="AQ52" s="37" t="n">
        <f aca="false">AQ34*③기타_가정!$E$179</f>
        <v>0</v>
      </c>
      <c r="AR52" s="37" t="n">
        <f aca="false">AR34*③기타_가정!$E$179</f>
        <v>0</v>
      </c>
      <c r="AS52" s="37" t="n">
        <f aca="false">AS34*③기타_가정!$E$179</f>
        <v>0</v>
      </c>
      <c r="AT52" s="37" t="n">
        <f aca="false">AT34*③기타_가정!$E$179</f>
        <v>0</v>
      </c>
      <c r="AU52" s="37" t="n">
        <f aca="false">AU34*③기타_가정!$E$179</f>
        <v>0</v>
      </c>
      <c r="AV52" s="37" t="n">
        <f aca="false">AV34*③기타_가정!$E$179</f>
        <v>0</v>
      </c>
      <c r="AW52" s="37" t="n">
        <f aca="false">AW34*③기타_가정!$E$179</f>
        <v>0</v>
      </c>
      <c r="AX52" s="37" t="n">
        <f aca="false">AX34*③기타_가정!$E$179</f>
        <v>0</v>
      </c>
      <c r="AY52" s="37" t="n">
        <f aca="false">AY34*③기타_가정!$E$179</f>
        <v>0</v>
      </c>
      <c r="AZ52" s="37" t="n">
        <f aca="false">AZ34*③기타_가정!$E$179</f>
        <v>0</v>
      </c>
      <c r="BA52" s="37" t="n">
        <f aca="false">BA34*③기타_가정!$E$179</f>
        <v>0</v>
      </c>
      <c r="BB52" s="37" t="n">
        <f aca="false">BB34*③기타_가정!$E$179</f>
        <v>0</v>
      </c>
      <c r="BC52" s="37" t="n">
        <f aca="false">BC34*③기타_가정!$E$179</f>
        <v>0</v>
      </c>
      <c r="BD52" s="37" t="n">
        <f aca="false">BD34*③기타_가정!$E$179</f>
        <v>0</v>
      </c>
      <c r="BE52" s="37" t="n">
        <f aca="false">BE34*③기타_가정!$E$179</f>
        <v>0</v>
      </c>
      <c r="BF52" s="37" t="n">
        <f aca="false">BF34*③기타_가정!$E$179</f>
        <v>0</v>
      </c>
      <c r="BG52" s="37" t="n">
        <f aca="false">BG34*③기타_가정!$E$179</f>
        <v>0</v>
      </c>
      <c r="BH52" s="37" t="n">
        <f aca="false">BH34*③기타_가정!$E$179</f>
        <v>0</v>
      </c>
      <c r="BI52" s="37" t="n">
        <f aca="false">BI34*③기타_가정!$E$179</f>
        <v>0</v>
      </c>
      <c r="BJ52" s="37" t="n">
        <f aca="false">BJ34*③기타_가정!$E$179</f>
        <v>0</v>
      </c>
      <c r="BK52" s="37" t="n">
        <f aca="false">BK34*③기타_가정!$E$179</f>
        <v>0</v>
      </c>
      <c r="BL52" s="37" t="n">
        <f aca="false">BL34*③기타_가정!$E$179</f>
        <v>0</v>
      </c>
      <c r="BM52" s="37" t="n">
        <f aca="false">BM34*③기타_가정!$E$179</f>
        <v>105.64242</v>
      </c>
      <c r="BN52" s="37" t="n">
        <f aca="false">BN34*③기타_가정!$E$179</f>
        <v>102.2346</v>
      </c>
      <c r="BO52" s="37" t="n">
        <f aca="false">BO34*③기타_가정!$E$179</f>
        <v>105.64242</v>
      </c>
      <c r="BP52" s="37" t="n">
        <f aca="false">BP34*③기타_가정!$E$179</f>
        <v>102.2346</v>
      </c>
      <c r="BQ52" s="37" t="n">
        <f aca="false">BQ34*③기타_가정!$E$179</f>
        <v>105.64242</v>
      </c>
      <c r="BR52" s="37" t="n">
        <f aca="false">BR34*③기타_가정!$E$179</f>
        <v>105.64242</v>
      </c>
      <c r="BS52" s="37" t="n">
        <f aca="false">BS34*③기타_가정!$E$179</f>
        <v>102.2346</v>
      </c>
      <c r="BT52" s="37" t="n">
        <f aca="false">BT34*③기타_가정!$E$179</f>
        <v>105.64242</v>
      </c>
      <c r="BU52" s="37" t="n">
        <f aca="false">BU34*③기타_가정!$E$179</f>
        <v>102.2346</v>
      </c>
      <c r="BV52" s="37" t="n">
        <f aca="false">BV34*③기타_가정!$E$179</f>
        <v>105.64242</v>
      </c>
      <c r="BW52" s="37" t="n">
        <f aca="false">BW34*③기타_가정!$E$179</f>
        <v>105.64242</v>
      </c>
      <c r="BX52" s="37" t="n">
        <f aca="false">BX34*③기타_가정!$E$179</f>
        <v>98.82678</v>
      </c>
      <c r="BY52" s="37" t="n">
        <f aca="false">BY34*③기타_가정!$E$179</f>
        <v>124.333002</v>
      </c>
      <c r="BZ52" s="37" t="n">
        <f aca="false">BZ34*③기타_가정!$E$179</f>
        <v>120.32226</v>
      </c>
      <c r="CA52" s="37" t="n">
        <f aca="false">CA34*③기타_가정!$E$179</f>
        <v>124.333002</v>
      </c>
      <c r="CB52" s="37" t="n">
        <f aca="false">CB34*③기타_가정!$E$179</f>
        <v>120.32226</v>
      </c>
      <c r="CC52" s="37" t="n">
        <f aca="false">CC34*③기타_가정!$E$179</f>
        <v>124.333002</v>
      </c>
      <c r="CD52" s="37" t="n">
        <f aca="false">CD34*③기타_가정!$E$179</f>
        <v>124.333002</v>
      </c>
      <c r="CE52" s="37" t="n">
        <f aca="false">CE34*③기타_가정!$E$179</f>
        <v>120.32226</v>
      </c>
      <c r="CF52" s="37" t="n">
        <f aca="false">CF34*③기타_가정!$E$179</f>
        <v>124.333002</v>
      </c>
      <c r="CG52" s="37" t="n">
        <f aca="false">CG34*③기타_가정!$E$179</f>
        <v>120.32226</v>
      </c>
      <c r="CH52" s="37" t="n">
        <f aca="false">CH34*③기타_가정!$E$179</f>
        <v>124.333002</v>
      </c>
      <c r="CI52" s="37" t="n">
        <f aca="false">CI34*③기타_가정!$E$179</f>
        <v>124.333002</v>
      </c>
      <c r="CJ52" s="37" t="n">
        <f aca="false">CJ34*③기타_가정!$E$179</f>
        <v>112.300776</v>
      </c>
      <c r="CK52" s="37" t="n">
        <f aca="false">CK34*③기타_가정!$E$179</f>
        <v>126.81966204</v>
      </c>
      <c r="CL52" s="37" t="n">
        <f aca="false">CL34*③기타_가정!$E$179</f>
        <v>122.7287052</v>
      </c>
      <c r="CM52" s="37" t="n">
        <f aca="false">CM34*③기타_가정!$E$179</f>
        <v>126.81966204</v>
      </c>
      <c r="CN52" s="37" t="n">
        <f aca="false">CN34*③기타_가정!$E$179</f>
        <v>122.7287052</v>
      </c>
      <c r="CO52" s="37" t="n">
        <f aca="false">CO34*③기타_가정!$E$179</f>
        <v>126.81966204</v>
      </c>
      <c r="CP52" s="37" t="n">
        <f aca="false">CP34*③기타_가정!$E$179</f>
        <v>126.81966204</v>
      </c>
      <c r="CQ52" s="37" t="n">
        <f aca="false">CQ34*③기타_가정!$E$179</f>
        <v>122.7287052</v>
      </c>
      <c r="CR52" s="37" t="n">
        <f aca="false">CR34*③기타_가정!$E$179</f>
        <v>126.81966204</v>
      </c>
      <c r="CS52" s="37" t="n">
        <f aca="false">CS34*③기타_가정!$E$179</f>
        <v>122.7287052</v>
      </c>
      <c r="CT52" s="37" t="n">
        <f aca="false">CT34*③기타_가정!$E$179</f>
        <v>126.81966204</v>
      </c>
      <c r="CU52" s="37" t="n">
        <f aca="false">CU34*③기타_가정!$E$179</f>
        <v>126.81966204</v>
      </c>
      <c r="CV52" s="37" t="n">
        <f aca="false">CV34*③기타_가정!$E$179</f>
        <v>114.54679152</v>
      </c>
      <c r="CW52" s="37" t="n">
        <f aca="false">CW34*③기타_가정!$E$179</f>
        <v>129.3560552808</v>
      </c>
      <c r="CX52" s="37" t="n">
        <f aca="false">CX34*③기타_가정!$E$179</f>
        <v>125.183279304</v>
      </c>
      <c r="CY52" s="37" t="n">
        <f aca="false">CY34*③기타_가정!$E$179</f>
        <v>129.3560552808</v>
      </c>
      <c r="CZ52" s="37" t="n">
        <f aca="false">CZ34*③기타_가정!$E$179</f>
        <v>125.183279304</v>
      </c>
      <c r="DA52" s="37" t="n">
        <f aca="false">DA34*③기타_가정!$E$179</f>
        <v>129.3560552808</v>
      </c>
      <c r="DB52" s="37" t="n">
        <f aca="false">DB34*③기타_가정!$E$179</f>
        <v>129.3560552808</v>
      </c>
      <c r="DC52" s="37" t="n">
        <f aca="false">DC34*③기타_가정!$E$179</f>
        <v>125.183279304</v>
      </c>
      <c r="DD52" s="37" t="n">
        <f aca="false">DD34*③기타_가정!$E$179</f>
        <v>129.3560552808</v>
      </c>
      <c r="DE52" s="37" t="n">
        <f aca="false">DE34*③기타_가정!$E$179</f>
        <v>125.183279304</v>
      </c>
      <c r="DF52" s="37" t="n">
        <f aca="false">DF34*③기타_가정!$E$179</f>
        <v>129.3560552808</v>
      </c>
      <c r="DG52" s="37" t="n">
        <f aca="false">DG34*③기타_가정!$E$179</f>
        <v>129.3560552808</v>
      </c>
      <c r="DH52" s="37" t="n">
        <f aca="false">DH34*③기타_가정!$E$179</f>
        <v>116.8377273504</v>
      </c>
      <c r="DI52" s="37" t="n">
        <f aca="false">DI34*③기타_가정!$E$179</f>
        <v>131.943176386416</v>
      </c>
      <c r="DJ52" s="37" t="n">
        <f aca="false">DJ34*③기타_가정!$E$179</f>
        <v>127.68694489008</v>
      </c>
      <c r="DK52" s="37" t="n">
        <f aca="false">DK34*③기타_가정!$E$179</f>
        <v>131.943176386416</v>
      </c>
      <c r="DL52" s="37" t="n">
        <f aca="false">DL34*③기타_가정!$E$179</f>
        <v>127.68694489008</v>
      </c>
      <c r="DM52" s="37" t="n">
        <f aca="false">DM34*③기타_가정!$E$179</f>
        <v>131.943176386416</v>
      </c>
      <c r="DN52" s="37" t="n">
        <f aca="false">DN34*③기타_가정!$E$179</f>
        <v>131.943176386416</v>
      </c>
      <c r="DO52" s="37" t="n">
        <f aca="false">DO34*③기타_가정!$E$179</f>
        <v>127.68694489008</v>
      </c>
      <c r="DP52" s="37" t="n">
        <f aca="false">DP34*③기타_가정!$E$179</f>
        <v>131.943176386416</v>
      </c>
      <c r="DQ52" s="37" t="n">
        <f aca="false">DQ34*③기타_가정!$E$179</f>
        <v>127.68694489008</v>
      </c>
      <c r="DR52" s="37" t="n">
        <f aca="false">DR34*③기타_가정!$E$179</f>
        <v>131.943176386416</v>
      </c>
      <c r="DS52" s="37" t="n">
        <f aca="false">DS34*③기타_가정!$E$179</f>
        <v>131.943176386416</v>
      </c>
      <c r="DT52" s="37" t="n">
        <f aca="false">DT34*③기타_가정!$E$179</f>
        <v>123.430713393744</v>
      </c>
      <c r="DU52" s="37" t="n">
        <f aca="false">DU34*③기타_가정!$E$179</f>
        <v>0</v>
      </c>
      <c r="DV52" s="37" t="n">
        <f aca="false">DV34*③기타_가정!$E$179</f>
        <v>0</v>
      </c>
      <c r="DW52" s="37" t="n">
        <f aca="false">DW34*③기타_가정!$E$179</f>
        <v>0</v>
      </c>
      <c r="DX52" s="37" t="n">
        <f aca="false">DX34*③기타_가정!$E$179</f>
        <v>0</v>
      </c>
      <c r="DY52" s="37" t="n">
        <f aca="false">DY34*③기타_가정!$E$179</f>
        <v>0</v>
      </c>
      <c r="DZ52" s="37" t="n">
        <f aca="false">DZ34*③기타_가정!$E$179</f>
        <v>0</v>
      </c>
      <c r="EA52" s="37" t="n">
        <f aca="false">EA34*③기타_가정!$E$179</f>
        <v>0</v>
      </c>
      <c r="EB52" s="37" t="n">
        <f aca="false">EB34*③기타_가정!$E$179</f>
        <v>0</v>
      </c>
      <c r="EC52" s="37" t="n">
        <f aca="false">EC34*③기타_가정!$E$179</f>
        <v>0</v>
      </c>
      <c r="ED52" s="37" t="n">
        <f aca="false">ED34*③기타_가정!$E$179</f>
        <v>0</v>
      </c>
      <c r="EE52" s="37" t="n">
        <f aca="false">EE34*③기타_가정!$E$179</f>
        <v>0</v>
      </c>
      <c r="EF52" s="37" t="n">
        <f aca="false">EF34*③기타_가정!$E$179</f>
        <v>0</v>
      </c>
    </row>
    <row r="53" customFormat="false" ht="15" hidden="false" customHeight="false" outlineLevel="0" collapsed="false">
      <c r="A53" s="36" t="s">
        <v>601</v>
      </c>
      <c r="B53" s="278" t="s">
        <v>21</v>
      </c>
      <c r="C53" s="279" t="n">
        <f aca="false">SUM(E53:EF53)</f>
        <v>9356.59565574672</v>
      </c>
      <c r="E53" s="37" t="n">
        <f aca="false">E35*CHOOSE(MIN(MAX(E16,1),3),③기타_가정!$E$192,③기타_가정!$E$193,③기타_가정!$E$194)</f>
        <v>0</v>
      </c>
      <c r="F53" s="37" t="n">
        <f aca="false">F35*CHOOSE(MIN(MAX(F16,1),3),③기타_가정!$E$192,③기타_가정!$E$193,③기타_가정!$E$194)</f>
        <v>0</v>
      </c>
      <c r="G53" s="37" t="n">
        <f aca="false">G35*CHOOSE(MIN(MAX(G16,1),3),③기타_가정!$E$192,③기타_가정!$E$193,③기타_가정!$E$194)</f>
        <v>0</v>
      </c>
      <c r="H53" s="37" t="n">
        <f aca="false">H35*CHOOSE(MIN(MAX(H16,1),3),③기타_가정!$E$192,③기타_가정!$E$193,③기타_가정!$E$194)</f>
        <v>0</v>
      </c>
      <c r="I53" s="37" t="n">
        <f aca="false">I35*CHOOSE(MIN(MAX(I16,1),3),③기타_가정!$E$192,③기타_가정!$E$193,③기타_가정!$E$194)</f>
        <v>0</v>
      </c>
      <c r="J53" s="37" t="n">
        <f aca="false">J35*CHOOSE(MIN(MAX(J16,1),3),③기타_가정!$E$192,③기타_가정!$E$193,③기타_가정!$E$194)</f>
        <v>0</v>
      </c>
      <c r="K53" s="37" t="n">
        <f aca="false">K35*CHOOSE(MIN(MAX(K16,1),3),③기타_가정!$E$192,③기타_가정!$E$193,③기타_가정!$E$194)</f>
        <v>0</v>
      </c>
      <c r="L53" s="37" t="n">
        <f aca="false">L35*CHOOSE(MIN(MAX(L16,1),3),③기타_가정!$E$192,③기타_가정!$E$193,③기타_가정!$E$194)</f>
        <v>0</v>
      </c>
      <c r="M53" s="37" t="n">
        <f aca="false">M35*CHOOSE(MIN(MAX(M16,1),3),③기타_가정!$E$192,③기타_가정!$E$193,③기타_가정!$E$194)</f>
        <v>0</v>
      </c>
      <c r="N53" s="37" t="n">
        <f aca="false">N35*CHOOSE(MIN(MAX(N16,1),3),③기타_가정!$E$192,③기타_가정!$E$193,③기타_가정!$E$194)</f>
        <v>0</v>
      </c>
      <c r="O53" s="37" t="n">
        <f aca="false">O35*CHOOSE(MIN(MAX(O16,1),3),③기타_가정!$E$192,③기타_가정!$E$193,③기타_가정!$E$194)</f>
        <v>0</v>
      </c>
      <c r="P53" s="37" t="n">
        <f aca="false">P35*CHOOSE(MIN(MAX(P16,1),3),③기타_가정!$E$192,③기타_가정!$E$193,③기타_가정!$E$194)</f>
        <v>0</v>
      </c>
      <c r="Q53" s="37" t="n">
        <f aca="false">Q35*CHOOSE(MIN(MAX(Q16,1),3),③기타_가정!$E$192,③기타_가정!$E$193,③기타_가정!$E$194)</f>
        <v>0</v>
      </c>
      <c r="R53" s="37" t="n">
        <f aca="false">R35*CHOOSE(MIN(MAX(R16,1),3),③기타_가정!$E$192,③기타_가정!$E$193,③기타_가정!$E$194)</f>
        <v>0</v>
      </c>
      <c r="S53" s="37" t="n">
        <f aca="false">S35*CHOOSE(MIN(MAX(S16,1),3),③기타_가정!$E$192,③기타_가정!$E$193,③기타_가정!$E$194)</f>
        <v>0</v>
      </c>
      <c r="T53" s="37" t="n">
        <f aca="false">T35*CHOOSE(MIN(MAX(T16,1),3),③기타_가정!$E$192,③기타_가정!$E$193,③기타_가정!$E$194)</f>
        <v>0</v>
      </c>
      <c r="U53" s="37" t="n">
        <f aca="false">U35*CHOOSE(MIN(MAX(U16,1),3),③기타_가정!$E$192,③기타_가정!$E$193,③기타_가정!$E$194)</f>
        <v>0</v>
      </c>
      <c r="V53" s="37" t="n">
        <f aca="false">V35*CHOOSE(MIN(MAX(V16,1),3),③기타_가정!$E$192,③기타_가정!$E$193,③기타_가정!$E$194)</f>
        <v>0</v>
      </c>
      <c r="W53" s="37" t="n">
        <f aca="false">W35*CHOOSE(MIN(MAX(W16,1),3),③기타_가정!$E$192,③기타_가정!$E$193,③기타_가정!$E$194)</f>
        <v>0</v>
      </c>
      <c r="X53" s="37" t="n">
        <f aca="false">X35*CHOOSE(MIN(MAX(X16,1),3),③기타_가정!$E$192,③기타_가정!$E$193,③기타_가정!$E$194)</f>
        <v>0</v>
      </c>
      <c r="Y53" s="37" t="n">
        <f aca="false">Y35*CHOOSE(MIN(MAX(Y16,1),3),③기타_가정!$E$192,③기타_가정!$E$193,③기타_가정!$E$194)</f>
        <v>0</v>
      </c>
      <c r="Z53" s="37" t="n">
        <f aca="false">Z35*CHOOSE(MIN(MAX(Z16,1),3),③기타_가정!$E$192,③기타_가정!$E$193,③기타_가정!$E$194)</f>
        <v>0</v>
      </c>
      <c r="AA53" s="37" t="n">
        <f aca="false">AA35*CHOOSE(MIN(MAX(AA16,1),3),③기타_가정!$E$192,③기타_가정!$E$193,③기타_가정!$E$194)</f>
        <v>0</v>
      </c>
      <c r="AB53" s="37" t="n">
        <f aca="false">AB35*CHOOSE(MIN(MAX(AB16,1),3),③기타_가정!$E$192,③기타_가정!$E$193,③기타_가정!$E$194)</f>
        <v>0</v>
      </c>
      <c r="AC53" s="37" t="n">
        <f aca="false">AC35*CHOOSE(MIN(MAX(AC16,1),3),③기타_가정!$E$192,③기타_가정!$E$193,③기타_가정!$E$194)</f>
        <v>0</v>
      </c>
      <c r="AD53" s="37" t="n">
        <f aca="false">AD35*CHOOSE(MIN(MAX(AD16,1),3),③기타_가정!$E$192,③기타_가정!$E$193,③기타_가정!$E$194)</f>
        <v>0</v>
      </c>
      <c r="AE53" s="37" t="n">
        <f aca="false">AE35*CHOOSE(MIN(MAX(AE16,1),3),③기타_가정!$E$192,③기타_가정!$E$193,③기타_가정!$E$194)</f>
        <v>0</v>
      </c>
      <c r="AF53" s="37" t="n">
        <f aca="false">AF35*CHOOSE(MIN(MAX(AF16,1),3),③기타_가정!$E$192,③기타_가정!$E$193,③기타_가정!$E$194)</f>
        <v>0</v>
      </c>
      <c r="AG53" s="37" t="n">
        <f aca="false">AG35*CHOOSE(MIN(MAX(AG16,1),3),③기타_가정!$E$192,③기타_가정!$E$193,③기타_가정!$E$194)</f>
        <v>0</v>
      </c>
      <c r="AH53" s="37" t="n">
        <f aca="false">AH35*CHOOSE(MIN(MAX(AH16,1),3),③기타_가정!$E$192,③기타_가정!$E$193,③기타_가정!$E$194)</f>
        <v>0</v>
      </c>
      <c r="AI53" s="37" t="n">
        <f aca="false">AI35*CHOOSE(MIN(MAX(AI16,1),3),③기타_가정!$E$192,③기타_가정!$E$193,③기타_가정!$E$194)</f>
        <v>0</v>
      </c>
      <c r="AJ53" s="37" t="n">
        <f aca="false">AJ35*CHOOSE(MIN(MAX(AJ16,1),3),③기타_가정!$E$192,③기타_가정!$E$193,③기타_가정!$E$194)</f>
        <v>0</v>
      </c>
      <c r="AK53" s="37" t="n">
        <f aca="false">AK35*CHOOSE(MIN(MAX(AK16,1),3),③기타_가정!$E$192,③기타_가정!$E$193,③기타_가정!$E$194)</f>
        <v>0</v>
      </c>
      <c r="AL53" s="37" t="n">
        <f aca="false">AL35*CHOOSE(MIN(MAX(AL16,1),3),③기타_가정!$E$192,③기타_가정!$E$193,③기타_가정!$E$194)</f>
        <v>0</v>
      </c>
      <c r="AM53" s="37" t="n">
        <f aca="false">AM35*CHOOSE(MIN(MAX(AM16,1),3),③기타_가정!$E$192,③기타_가정!$E$193,③기타_가정!$E$194)</f>
        <v>0</v>
      </c>
      <c r="AN53" s="37" t="n">
        <f aca="false">AN35*CHOOSE(MIN(MAX(AN16,1),3),③기타_가정!$E$192,③기타_가정!$E$193,③기타_가정!$E$194)</f>
        <v>0</v>
      </c>
      <c r="AO53" s="37" t="n">
        <f aca="false">AO35*CHOOSE(MIN(MAX(AO16,1),3),③기타_가정!$E$192,③기타_가정!$E$193,③기타_가정!$E$194)</f>
        <v>0</v>
      </c>
      <c r="AP53" s="37" t="n">
        <f aca="false">AP35*CHOOSE(MIN(MAX(AP16,1),3),③기타_가정!$E$192,③기타_가정!$E$193,③기타_가정!$E$194)</f>
        <v>0</v>
      </c>
      <c r="AQ53" s="37" t="n">
        <f aca="false">AQ35*CHOOSE(MIN(MAX(AQ16,1),3),③기타_가정!$E$192,③기타_가정!$E$193,③기타_가정!$E$194)</f>
        <v>0</v>
      </c>
      <c r="AR53" s="37" t="n">
        <f aca="false">AR35*CHOOSE(MIN(MAX(AR16,1),3),③기타_가정!$E$192,③기타_가정!$E$193,③기타_가정!$E$194)</f>
        <v>0</v>
      </c>
      <c r="AS53" s="37" t="n">
        <f aca="false">AS35*CHOOSE(MIN(MAX(AS16,1),3),③기타_가정!$E$192,③기타_가정!$E$193,③기타_가정!$E$194)</f>
        <v>0</v>
      </c>
      <c r="AT53" s="37" t="n">
        <f aca="false">AT35*CHOOSE(MIN(MAX(AT16,1),3),③기타_가정!$E$192,③기타_가정!$E$193,③기타_가정!$E$194)</f>
        <v>0</v>
      </c>
      <c r="AU53" s="37" t="n">
        <f aca="false">AU35*CHOOSE(MIN(MAX(AU16,1),3),③기타_가정!$E$192,③기타_가정!$E$193,③기타_가정!$E$194)</f>
        <v>0</v>
      </c>
      <c r="AV53" s="37" t="n">
        <f aca="false">AV35*CHOOSE(MIN(MAX(AV16,1),3),③기타_가정!$E$192,③기타_가정!$E$193,③기타_가정!$E$194)</f>
        <v>0</v>
      </c>
      <c r="AW53" s="37" t="n">
        <f aca="false">AW35*CHOOSE(MIN(MAX(AW16,1),3),③기타_가정!$E$192,③기타_가정!$E$193,③기타_가정!$E$194)</f>
        <v>0</v>
      </c>
      <c r="AX53" s="37" t="n">
        <f aca="false">AX35*CHOOSE(MIN(MAX(AX16,1),3),③기타_가정!$E$192,③기타_가정!$E$193,③기타_가정!$E$194)</f>
        <v>0</v>
      </c>
      <c r="AY53" s="37" t="n">
        <f aca="false">AY35*CHOOSE(MIN(MAX(AY16,1),3),③기타_가정!$E$192,③기타_가정!$E$193,③기타_가정!$E$194)</f>
        <v>0</v>
      </c>
      <c r="AZ53" s="37" t="n">
        <f aca="false">AZ35*CHOOSE(MIN(MAX(AZ16,1),3),③기타_가정!$E$192,③기타_가정!$E$193,③기타_가정!$E$194)</f>
        <v>0</v>
      </c>
      <c r="BA53" s="37" t="n">
        <f aca="false">BA35*CHOOSE(MIN(MAX(BA16,1),3),③기타_가정!$E$192,③기타_가정!$E$193,③기타_가정!$E$194)</f>
        <v>0</v>
      </c>
      <c r="BB53" s="37" t="n">
        <f aca="false">BB35*CHOOSE(MIN(MAX(BB16,1),3),③기타_가정!$E$192,③기타_가정!$E$193,③기타_가정!$E$194)</f>
        <v>0</v>
      </c>
      <c r="BC53" s="37" t="n">
        <f aca="false">BC35*CHOOSE(MIN(MAX(BC16,1),3),③기타_가정!$E$192,③기타_가정!$E$193,③기타_가정!$E$194)</f>
        <v>0</v>
      </c>
      <c r="BD53" s="37" t="n">
        <f aca="false">BD35*CHOOSE(MIN(MAX(BD16,1),3),③기타_가정!$E$192,③기타_가정!$E$193,③기타_가정!$E$194)</f>
        <v>0</v>
      </c>
      <c r="BE53" s="37" t="n">
        <f aca="false">BE35*CHOOSE(MIN(MAX(BE16,1),3),③기타_가정!$E$192,③기타_가정!$E$193,③기타_가정!$E$194)</f>
        <v>0</v>
      </c>
      <c r="BF53" s="37" t="n">
        <f aca="false">BF35*CHOOSE(MIN(MAX(BF16,1),3),③기타_가정!$E$192,③기타_가정!$E$193,③기타_가정!$E$194)</f>
        <v>0</v>
      </c>
      <c r="BG53" s="37" t="n">
        <f aca="false">BG35*CHOOSE(MIN(MAX(BG16,1),3),③기타_가정!$E$192,③기타_가정!$E$193,③기타_가정!$E$194)</f>
        <v>0</v>
      </c>
      <c r="BH53" s="37" t="n">
        <f aca="false">BH35*CHOOSE(MIN(MAX(BH16,1),3),③기타_가정!$E$192,③기타_가정!$E$193,③기타_가정!$E$194)</f>
        <v>0</v>
      </c>
      <c r="BI53" s="37" t="n">
        <f aca="false">BI35*CHOOSE(MIN(MAX(BI16,1),3),③기타_가정!$E$192,③기타_가정!$E$193,③기타_가정!$E$194)</f>
        <v>0</v>
      </c>
      <c r="BJ53" s="37" t="n">
        <f aca="false">BJ35*CHOOSE(MIN(MAX(BJ16,1),3),③기타_가정!$E$192,③기타_가정!$E$193,③기타_가정!$E$194)</f>
        <v>0</v>
      </c>
      <c r="BK53" s="37" t="n">
        <f aca="false">BK35*CHOOSE(MIN(MAX(BK16,1),3),③기타_가정!$E$192,③기타_가정!$E$193,③기타_가정!$E$194)</f>
        <v>0</v>
      </c>
      <c r="BL53" s="37" t="n">
        <f aca="false">BL35*CHOOSE(MIN(MAX(BL16,1),3),③기타_가정!$E$192,③기타_가정!$E$193,③기타_가정!$E$194)</f>
        <v>0</v>
      </c>
      <c r="BM53" s="37" t="n">
        <f aca="false">BM35*CHOOSE(MIN(MAX(BM16,1),3),③기타_가정!$E$192,③기타_가정!$E$193,③기타_가정!$E$194)</f>
        <v>287.74122</v>
      </c>
      <c r="BN53" s="37" t="n">
        <f aca="false">BN35*CHOOSE(MIN(MAX(BN16,1),3),③기타_가정!$E$192,③기타_가정!$E$193,③기타_가정!$E$194)</f>
        <v>287.74122</v>
      </c>
      <c r="BO53" s="37" t="n">
        <f aca="false">BO35*CHOOSE(MIN(MAX(BO16,1),3),③기타_가정!$E$192,③기타_가정!$E$193,③기타_가정!$E$194)</f>
        <v>287.74122</v>
      </c>
      <c r="BP53" s="37" t="n">
        <f aca="false">BP35*CHOOSE(MIN(MAX(BP16,1),3),③기타_가정!$E$192,③기타_가정!$E$193,③기타_가정!$E$194)</f>
        <v>287.74122</v>
      </c>
      <c r="BQ53" s="37" t="n">
        <f aca="false">BQ35*CHOOSE(MIN(MAX(BQ16,1),3),③기타_가정!$E$192,③기타_가정!$E$193,③기타_가정!$E$194)</f>
        <v>287.74122</v>
      </c>
      <c r="BR53" s="37" t="n">
        <f aca="false">BR35*CHOOSE(MIN(MAX(BR16,1),3),③기타_가정!$E$192,③기타_가정!$E$193,③기타_가정!$E$194)</f>
        <v>287.74122</v>
      </c>
      <c r="BS53" s="37" t="n">
        <f aca="false">BS35*CHOOSE(MIN(MAX(BS16,1),3),③기타_가정!$E$192,③기타_가정!$E$193,③기타_가정!$E$194)</f>
        <v>287.74122</v>
      </c>
      <c r="BT53" s="37" t="n">
        <f aca="false">BT35*CHOOSE(MIN(MAX(BT16,1),3),③기타_가정!$E$192,③기타_가정!$E$193,③기타_가정!$E$194)</f>
        <v>287.74122</v>
      </c>
      <c r="BU53" s="37" t="n">
        <f aca="false">BU35*CHOOSE(MIN(MAX(BU16,1),3),③기타_가정!$E$192,③기타_가정!$E$193,③기타_가정!$E$194)</f>
        <v>287.74122</v>
      </c>
      <c r="BV53" s="37" t="n">
        <f aca="false">BV35*CHOOSE(MIN(MAX(BV16,1),3),③기타_가정!$E$192,③기타_가정!$E$193,③기타_가정!$E$194)</f>
        <v>287.74122</v>
      </c>
      <c r="BW53" s="37" t="n">
        <f aca="false">BW35*CHOOSE(MIN(MAX(BW16,1),3),③기타_가정!$E$192,③기타_가정!$E$193,③기타_가정!$E$194)</f>
        <v>287.74122</v>
      </c>
      <c r="BX53" s="37" t="n">
        <f aca="false">BX35*CHOOSE(MIN(MAX(BX16,1),3),③기타_가정!$E$192,③기타_가정!$E$193,③기타_가정!$E$194)</f>
        <v>287.74122</v>
      </c>
      <c r="BY53" s="37" t="n">
        <f aca="false">BY35*CHOOSE(MIN(MAX(BY16,1),3),③기타_가정!$E$192,③기타_가정!$E$193,③기타_가정!$E$194)</f>
        <v>119.36484125748</v>
      </c>
      <c r="BZ53" s="37" t="n">
        <f aca="false">BZ35*CHOOSE(MIN(MAX(BZ16,1),3),③기타_가정!$E$192,③기타_가정!$E$193,③기타_가정!$E$194)</f>
        <v>119.36484125748</v>
      </c>
      <c r="CA53" s="37" t="n">
        <f aca="false">CA35*CHOOSE(MIN(MAX(CA16,1),3),③기타_가정!$E$192,③기타_가정!$E$193,③기타_가정!$E$194)</f>
        <v>119.36484125748</v>
      </c>
      <c r="CB53" s="37" t="n">
        <f aca="false">CB35*CHOOSE(MIN(MAX(CB16,1),3),③기타_가정!$E$192,③기타_가정!$E$193,③기타_가정!$E$194)</f>
        <v>119.36484125748</v>
      </c>
      <c r="CC53" s="37" t="n">
        <f aca="false">CC35*CHOOSE(MIN(MAX(CC16,1),3),③기타_가정!$E$192,③기타_가정!$E$193,③기타_가정!$E$194)</f>
        <v>119.36484125748</v>
      </c>
      <c r="CD53" s="37" t="n">
        <f aca="false">CD35*CHOOSE(MIN(MAX(CD16,1),3),③기타_가정!$E$192,③기타_가정!$E$193,③기타_가정!$E$194)</f>
        <v>119.36484125748</v>
      </c>
      <c r="CE53" s="37" t="n">
        <f aca="false">CE35*CHOOSE(MIN(MAX(CE16,1),3),③기타_가정!$E$192,③기타_가정!$E$193,③기타_가정!$E$194)</f>
        <v>119.36484125748</v>
      </c>
      <c r="CF53" s="37" t="n">
        <f aca="false">CF35*CHOOSE(MIN(MAX(CF16,1),3),③기타_가정!$E$192,③기타_가정!$E$193,③기타_가정!$E$194)</f>
        <v>119.36484125748</v>
      </c>
      <c r="CG53" s="37" t="n">
        <f aca="false">CG35*CHOOSE(MIN(MAX(CG16,1),3),③기타_가정!$E$192,③기타_가정!$E$193,③기타_가정!$E$194)</f>
        <v>119.36484125748</v>
      </c>
      <c r="CH53" s="37" t="n">
        <f aca="false">CH35*CHOOSE(MIN(MAX(CH16,1),3),③기타_가정!$E$192,③기타_가정!$E$193,③기타_가정!$E$194)</f>
        <v>119.36484125748</v>
      </c>
      <c r="CI53" s="37" t="n">
        <f aca="false">CI35*CHOOSE(MIN(MAX(CI16,1),3),③기타_가정!$E$192,③기타_가정!$E$193,③기타_가정!$E$194)</f>
        <v>119.36484125748</v>
      </c>
      <c r="CJ53" s="37" t="n">
        <f aca="false">CJ35*CHOOSE(MIN(MAX(CJ16,1),3),③기타_가정!$E$192,③기타_가정!$E$193,③기타_가정!$E$194)</f>
        <v>119.36484125748</v>
      </c>
      <c r="CK53" s="37" t="n">
        <f aca="false">CK35*CHOOSE(MIN(MAX(CK16,1),3),③기타_가정!$E$192,③기타_가정!$E$193,③기타_가정!$E$194)</f>
        <v>121.75213808263</v>
      </c>
      <c r="CL53" s="37" t="n">
        <f aca="false">CL35*CHOOSE(MIN(MAX(CL16,1),3),③기타_가정!$E$192,③기타_가정!$E$193,③기타_가정!$E$194)</f>
        <v>121.75213808263</v>
      </c>
      <c r="CM53" s="37" t="n">
        <f aca="false">CM35*CHOOSE(MIN(MAX(CM16,1),3),③기타_가정!$E$192,③기타_가정!$E$193,③기타_가정!$E$194)</f>
        <v>121.75213808263</v>
      </c>
      <c r="CN53" s="37" t="n">
        <f aca="false">CN35*CHOOSE(MIN(MAX(CN16,1),3),③기타_가정!$E$192,③기타_가정!$E$193,③기타_가정!$E$194)</f>
        <v>121.75213808263</v>
      </c>
      <c r="CO53" s="37" t="n">
        <f aca="false">CO35*CHOOSE(MIN(MAX(CO16,1),3),③기타_가정!$E$192,③기타_가정!$E$193,③기타_가정!$E$194)</f>
        <v>121.75213808263</v>
      </c>
      <c r="CP53" s="37" t="n">
        <f aca="false">CP35*CHOOSE(MIN(MAX(CP16,1),3),③기타_가정!$E$192,③기타_가정!$E$193,③기타_가정!$E$194)</f>
        <v>121.75213808263</v>
      </c>
      <c r="CQ53" s="37" t="n">
        <f aca="false">CQ35*CHOOSE(MIN(MAX(CQ16,1),3),③기타_가정!$E$192,③기타_가정!$E$193,③기타_가정!$E$194)</f>
        <v>121.75213808263</v>
      </c>
      <c r="CR53" s="37" t="n">
        <f aca="false">CR35*CHOOSE(MIN(MAX(CR16,1),3),③기타_가정!$E$192,③기타_가정!$E$193,③기타_가정!$E$194)</f>
        <v>121.75213808263</v>
      </c>
      <c r="CS53" s="37" t="n">
        <f aca="false">CS35*CHOOSE(MIN(MAX(CS16,1),3),③기타_가정!$E$192,③기타_가정!$E$193,③기타_가정!$E$194)</f>
        <v>121.75213808263</v>
      </c>
      <c r="CT53" s="37" t="n">
        <f aca="false">CT35*CHOOSE(MIN(MAX(CT16,1),3),③기타_가정!$E$192,③기타_가정!$E$193,③기타_가정!$E$194)</f>
        <v>121.75213808263</v>
      </c>
      <c r="CU53" s="37" t="n">
        <f aca="false">CU35*CHOOSE(MIN(MAX(CU16,1),3),③기타_가정!$E$192,③기타_가정!$E$193,③기타_가정!$E$194)</f>
        <v>121.75213808263</v>
      </c>
      <c r="CV53" s="37" t="n">
        <f aca="false">CV35*CHOOSE(MIN(MAX(CV16,1),3),③기타_가정!$E$192,③기타_가정!$E$193,③기타_가정!$E$194)</f>
        <v>121.75213808263</v>
      </c>
      <c r="CW53" s="37" t="n">
        <f aca="false">CW35*CHOOSE(MIN(MAX(CW16,1),3),③기타_가정!$E$192,③기타_가정!$E$193,③기타_가정!$E$194)</f>
        <v>124.187180844282</v>
      </c>
      <c r="CX53" s="37" t="n">
        <f aca="false">CX35*CHOOSE(MIN(MAX(CX16,1),3),③기타_가정!$E$192,③기타_가정!$E$193,③기타_가정!$E$194)</f>
        <v>124.187180844282</v>
      </c>
      <c r="CY53" s="37" t="n">
        <f aca="false">CY35*CHOOSE(MIN(MAX(CY16,1),3),③기타_가정!$E$192,③기타_가정!$E$193,③기타_가정!$E$194)</f>
        <v>124.187180844282</v>
      </c>
      <c r="CZ53" s="37" t="n">
        <f aca="false">CZ35*CHOOSE(MIN(MAX(CZ16,1),3),③기타_가정!$E$192,③기타_가정!$E$193,③기타_가정!$E$194)</f>
        <v>124.187180844282</v>
      </c>
      <c r="DA53" s="37" t="n">
        <f aca="false">DA35*CHOOSE(MIN(MAX(DA16,1),3),③기타_가정!$E$192,③기타_가정!$E$193,③기타_가정!$E$194)</f>
        <v>124.187180844282</v>
      </c>
      <c r="DB53" s="37" t="n">
        <f aca="false">DB35*CHOOSE(MIN(MAX(DB16,1),3),③기타_가정!$E$192,③기타_가정!$E$193,③기타_가정!$E$194)</f>
        <v>124.187180844282</v>
      </c>
      <c r="DC53" s="37" t="n">
        <f aca="false">DC35*CHOOSE(MIN(MAX(DC16,1),3),③기타_가정!$E$192,③기타_가정!$E$193,③기타_가정!$E$194)</f>
        <v>124.187180844282</v>
      </c>
      <c r="DD53" s="37" t="n">
        <f aca="false">DD35*CHOOSE(MIN(MAX(DD16,1),3),③기타_가정!$E$192,③기타_가정!$E$193,③기타_가정!$E$194)</f>
        <v>124.187180844282</v>
      </c>
      <c r="DE53" s="37" t="n">
        <f aca="false">DE35*CHOOSE(MIN(MAX(DE16,1),3),③기타_가정!$E$192,③기타_가정!$E$193,③기타_가정!$E$194)</f>
        <v>124.187180844282</v>
      </c>
      <c r="DF53" s="37" t="n">
        <f aca="false">DF35*CHOOSE(MIN(MAX(DF16,1),3),③기타_가정!$E$192,③기타_가정!$E$193,③기타_가정!$E$194)</f>
        <v>124.187180844282</v>
      </c>
      <c r="DG53" s="37" t="n">
        <f aca="false">DG35*CHOOSE(MIN(MAX(DG16,1),3),③기타_가정!$E$192,③기타_가정!$E$193,③기타_가정!$E$194)</f>
        <v>124.187180844282</v>
      </c>
      <c r="DH53" s="37" t="n">
        <f aca="false">DH35*CHOOSE(MIN(MAX(DH16,1),3),③기타_가정!$E$192,③기타_가정!$E$193,③기타_가정!$E$194)</f>
        <v>124.187180844282</v>
      </c>
      <c r="DI53" s="37" t="n">
        <f aca="false">DI35*CHOOSE(MIN(MAX(DI16,1),3),③기타_가정!$E$192,③기타_가정!$E$193,③기타_가정!$E$194)</f>
        <v>126.670924461168</v>
      </c>
      <c r="DJ53" s="37" t="n">
        <f aca="false">DJ35*CHOOSE(MIN(MAX(DJ16,1),3),③기타_가정!$E$192,③기타_가정!$E$193,③기타_가정!$E$194)</f>
        <v>126.670924461168</v>
      </c>
      <c r="DK53" s="37" t="n">
        <f aca="false">DK35*CHOOSE(MIN(MAX(DK16,1),3),③기타_가정!$E$192,③기타_가정!$E$193,③기타_가정!$E$194)</f>
        <v>126.670924461168</v>
      </c>
      <c r="DL53" s="37" t="n">
        <f aca="false">DL35*CHOOSE(MIN(MAX(DL16,1),3),③기타_가정!$E$192,③기타_가정!$E$193,③기타_가정!$E$194)</f>
        <v>126.670924461168</v>
      </c>
      <c r="DM53" s="37" t="n">
        <f aca="false">DM35*CHOOSE(MIN(MAX(DM16,1),3),③기타_가정!$E$192,③기타_가정!$E$193,③기타_가정!$E$194)</f>
        <v>126.670924461168</v>
      </c>
      <c r="DN53" s="37" t="n">
        <f aca="false">DN35*CHOOSE(MIN(MAX(DN16,1),3),③기타_가정!$E$192,③기타_가정!$E$193,③기타_가정!$E$194)</f>
        <v>126.670924461168</v>
      </c>
      <c r="DO53" s="37" t="n">
        <f aca="false">DO35*CHOOSE(MIN(MAX(DO16,1),3),③기타_가정!$E$192,③기타_가정!$E$193,③기타_가정!$E$194)</f>
        <v>126.670924461168</v>
      </c>
      <c r="DP53" s="37" t="n">
        <f aca="false">DP35*CHOOSE(MIN(MAX(DP16,1),3),③기타_가정!$E$192,③기타_가정!$E$193,③기타_가정!$E$194)</f>
        <v>126.670924461168</v>
      </c>
      <c r="DQ53" s="37" t="n">
        <f aca="false">DQ35*CHOOSE(MIN(MAX(DQ16,1),3),③기타_가정!$E$192,③기타_가정!$E$193,③기타_가정!$E$194)</f>
        <v>126.670924461168</v>
      </c>
      <c r="DR53" s="37" t="n">
        <f aca="false">DR35*CHOOSE(MIN(MAX(DR16,1),3),③기타_가정!$E$192,③기타_가정!$E$193,③기타_가정!$E$194)</f>
        <v>126.670924461168</v>
      </c>
      <c r="DS53" s="37" t="n">
        <f aca="false">DS35*CHOOSE(MIN(MAX(DS16,1),3),③기타_가정!$E$192,③기타_가정!$E$193,③기타_가정!$E$194)</f>
        <v>126.670924461168</v>
      </c>
      <c r="DT53" s="37" t="n">
        <f aca="false">DT35*CHOOSE(MIN(MAX(DT16,1),3),③기타_가정!$E$192,③기타_가정!$E$193,③기타_가정!$E$194)</f>
        <v>126.670924461168</v>
      </c>
      <c r="DU53" s="37" t="n">
        <f aca="false">DU35*CHOOSE(MIN(MAX(DU16,1),3),③기타_가정!$E$192,③기타_가정!$E$193,③기타_가정!$E$194)</f>
        <v>0</v>
      </c>
      <c r="DV53" s="37" t="n">
        <f aca="false">DV35*CHOOSE(MIN(MAX(DV16,1),3),③기타_가정!$E$192,③기타_가정!$E$193,③기타_가정!$E$194)</f>
        <v>0</v>
      </c>
      <c r="DW53" s="37" t="n">
        <f aca="false">DW35*CHOOSE(MIN(MAX(DW16,1),3),③기타_가정!$E$192,③기타_가정!$E$193,③기타_가정!$E$194)</f>
        <v>0</v>
      </c>
      <c r="DX53" s="37" t="n">
        <f aca="false">DX35*CHOOSE(MIN(MAX(DX16,1),3),③기타_가정!$E$192,③기타_가정!$E$193,③기타_가정!$E$194)</f>
        <v>0</v>
      </c>
      <c r="DY53" s="37" t="n">
        <f aca="false">DY35*CHOOSE(MIN(MAX(DY16,1),3),③기타_가정!$E$192,③기타_가정!$E$193,③기타_가정!$E$194)</f>
        <v>0</v>
      </c>
      <c r="DZ53" s="37" t="n">
        <f aca="false">DZ35*CHOOSE(MIN(MAX(DZ16,1),3),③기타_가정!$E$192,③기타_가정!$E$193,③기타_가정!$E$194)</f>
        <v>0</v>
      </c>
      <c r="EA53" s="37" t="n">
        <f aca="false">EA35*CHOOSE(MIN(MAX(EA16,1),3),③기타_가정!$E$192,③기타_가정!$E$193,③기타_가정!$E$194)</f>
        <v>0</v>
      </c>
      <c r="EB53" s="37" t="n">
        <f aca="false">EB35*CHOOSE(MIN(MAX(EB16,1),3),③기타_가정!$E$192,③기타_가정!$E$193,③기타_가정!$E$194)</f>
        <v>0</v>
      </c>
      <c r="EC53" s="37" t="n">
        <f aca="false">EC35*CHOOSE(MIN(MAX(EC16,1),3),③기타_가정!$E$192,③기타_가정!$E$193,③기타_가정!$E$194)</f>
        <v>0</v>
      </c>
      <c r="ED53" s="37" t="n">
        <f aca="false">ED35*CHOOSE(MIN(MAX(ED16,1),3),③기타_가정!$E$192,③기타_가정!$E$193,③기타_가정!$E$194)</f>
        <v>0</v>
      </c>
      <c r="EE53" s="37" t="n">
        <f aca="false">EE35*CHOOSE(MIN(MAX(EE16,1),3),③기타_가정!$E$192,③기타_가정!$E$193,③기타_가정!$E$194)</f>
        <v>0</v>
      </c>
      <c r="EF53" s="37" t="n">
        <f aca="false">EF35*CHOOSE(MIN(MAX(EF16,1),3),③기타_가정!$E$192,③기타_가정!$E$193,③기타_가정!$E$194)</f>
        <v>0</v>
      </c>
    </row>
    <row r="54" customFormat="false" ht="15" hidden="false" customHeight="false" outlineLevel="0" collapsed="false">
      <c r="A54" s="36" t="s">
        <v>602</v>
      </c>
      <c r="B54" s="278" t="s">
        <v>21</v>
      </c>
      <c r="C54" s="279" t="n">
        <f aca="false">SUM(E54:EF54)</f>
        <v>9214.87301272243</v>
      </c>
      <c r="E54" s="37" t="n">
        <f aca="false">(E14=1)*③기타_가정!$G$38*③기타_가정!$E$195*③기타_가정!$E$184/1000*(1+③기타_가정!$E$188)^(MAX(E16,1)-1)</f>
        <v>0</v>
      </c>
      <c r="F54" s="37" t="n">
        <f aca="false">(F14=1)*③기타_가정!$G$38*③기타_가정!$E$195*③기타_가정!$E$184/1000*(1+③기타_가정!$E$188)^(MAX(F16,1)-1)</f>
        <v>0</v>
      </c>
      <c r="G54" s="37" t="n">
        <f aca="false">(G14=1)*③기타_가정!$G$38*③기타_가정!$E$195*③기타_가정!$E$184/1000*(1+③기타_가정!$E$188)^(MAX(G16,1)-1)</f>
        <v>0</v>
      </c>
      <c r="H54" s="37" t="n">
        <f aca="false">(H14=1)*③기타_가정!$G$38*③기타_가정!$E$195*③기타_가정!$E$184/1000*(1+③기타_가정!$E$188)^(MAX(H16,1)-1)</f>
        <v>0</v>
      </c>
      <c r="I54" s="37" t="n">
        <f aca="false">(I14=1)*③기타_가정!$G$38*③기타_가정!$E$195*③기타_가정!$E$184/1000*(1+③기타_가정!$E$188)^(MAX(I16,1)-1)</f>
        <v>0</v>
      </c>
      <c r="J54" s="37" t="n">
        <f aca="false">(J14=1)*③기타_가정!$G$38*③기타_가정!$E$195*③기타_가정!$E$184/1000*(1+③기타_가정!$E$188)^(MAX(J16,1)-1)</f>
        <v>0</v>
      </c>
      <c r="K54" s="37" t="n">
        <f aca="false">(K14=1)*③기타_가정!$G$38*③기타_가정!$E$195*③기타_가정!$E$184/1000*(1+③기타_가정!$E$188)^(MAX(K16,1)-1)</f>
        <v>0</v>
      </c>
      <c r="L54" s="37" t="n">
        <f aca="false">(L14=1)*③기타_가정!$G$38*③기타_가정!$E$195*③기타_가정!$E$184/1000*(1+③기타_가정!$E$188)^(MAX(L16,1)-1)</f>
        <v>0</v>
      </c>
      <c r="M54" s="37" t="n">
        <f aca="false">(M14=1)*③기타_가정!$G$38*③기타_가정!$E$195*③기타_가정!$E$184/1000*(1+③기타_가정!$E$188)^(MAX(M16,1)-1)</f>
        <v>0</v>
      </c>
      <c r="N54" s="37" t="n">
        <f aca="false">(N14=1)*③기타_가정!$G$38*③기타_가정!$E$195*③기타_가정!$E$184/1000*(1+③기타_가정!$E$188)^(MAX(N16,1)-1)</f>
        <v>0</v>
      </c>
      <c r="O54" s="37" t="n">
        <f aca="false">(O14=1)*③기타_가정!$G$38*③기타_가정!$E$195*③기타_가정!$E$184/1000*(1+③기타_가정!$E$188)^(MAX(O16,1)-1)</f>
        <v>0</v>
      </c>
      <c r="P54" s="37" t="n">
        <f aca="false">(P14=1)*③기타_가정!$G$38*③기타_가정!$E$195*③기타_가정!$E$184/1000*(1+③기타_가정!$E$188)^(MAX(P16,1)-1)</f>
        <v>0</v>
      </c>
      <c r="Q54" s="37" t="n">
        <f aca="false">(Q14=1)*③기타_가정!$G$38*③기타_가정!$E$195*③기타_가정!$E$184/1000*(1+③기타_가정!$E$188)^(MAX(Q16,1)-1)</f>
        <v>0</v>
      </c>
      <c r="R54" s="37" t="n">
        <f aca="false">(R14=1)*③기타_가정!$G$38*③기타_가정!$E$195*③기타_가정!$E$184/1000*(1+③기타_가정!$E$188)^(MAX(R16,1)-1)</f>
        <v>0</v>
      </c>
      <c r="S54" s="37" t="n">
        <f aca="false">(S14=1)*③기타_가정!$G$38*③기타_가정!$E$195*③기타_가정!$E$184/1000*(1+③기타_가정!$E$188)^(MAX(S16,1)-1)</f>
        <v>0</v>
      </c>
      <c r="T54" s="37" t="n">
        <f aca="false">(T14=1)*③기타_가정!$G$38*③기타_가정!$E$195*③기타_가정!$E$184/1000*(1+③기타_가정!$E$188)^(MAX(T16,1)-1)</f>
        <v>0</v>
      </c>
      <c r="U54" s="37" t="n">
        <f aca="false">(U14=1)*③기타_가정!$G$38*③기타_가정!$E$195*③기타_가정!$E$184/1000*(1+③기타_가정!$E$188)^(MAX(U16,1)-1)</f>
        <v>0</v>
      </c>
      <c r="V54" s="37" t="n">
        <f aca="false">(V14=1)*③기타_가정!$G$38*③기타_가정!$E$195*③기타_가정!$E$184/1000*(1+③기타_가정!$E$188)^(MAX(V16,1)-1)</f>
        <v>0</v>
      </c>
      <c r="W54" s="37" t="n">
        <f aca="false">(W14=1)*③기타_가정!$G$38*③기타_가정!$E$195*③기타_가정!$E$184/1000*(1+③기타_가정!$E$188)^(MAX(W16,1)-1)</f>
        <v>0</v>
      </c>
      <c r="X54" s="37" t="n">
        <f aca="false">(X14=1)*③기타_가정!$G$38*③기타_가정!$E$195*③기타_가정!$E$184/1000*(1+③기타_가정!$E$188)^(MAX(X16,1)-1)</f>
        <v>0</v>
      </c>
      <c r="Y54" s="37" t="n">
        <f aca="false">(Y14=1)*③기타_가정!$G$38*③기타_가정!$E$195*③기타_가정!$E$184/1000*(1+③기타_가정!$E$188)^(MAX(Y16,1)-1)</f>
        <v>0</v>
      </c>
      <c r="Z54" s="37" t="n">
        <f aca="false">(Z14=1)*③기타_가정!$G$38*③기타_가정!$E$195*③기타_가정!$E$184/1000*(1+③기타_가정!$E$188)^(MAX(Z16,1)-1)</f>
        <v>0</v>
      </c>
      <c r="AA54" s="37" t="n">
        <f aca="false">(AA14=1)*③기타_가정!$G$38*③기타_가정!$E$195*③기타_가정!$E$184/1000*(1+③기타_가정!$E$188)^(MAX(AA16,1)-1)</f>
        <v>0</v>
      </c>
      <c r="AB54" s="37" t="n">
        <f aca="false">(AB14=1)*③기타_가정!$G$38*③기타_가정!$E$195*③기타_가정!$E$184/1000*(1+③기타_가정!$E$188)^(MAX(AB16,1)-1)</f>
        <v>0</v>
      </c>
      <c r="AC54" s="37" t="n">
        <f aca="false">(AC14=1)*③기타_가정!$G$38*③기타_가정!$E$195*③기타_가정!$E$184/1000*(1+③기타_가정!$E$188)^(MAX(AC16,1)-1)</f>
        <v>0</v>
      </c>
      <c r="AD54" s="37" t="n">
        <f aca="false">(AD14=1)*③기타_가정!$G$38*③기타_가정!$E$195*③기타_가정!$E$184/1000*(1+③기타_가정!$E$188)^(MAX(AD16,1)-1)</f>
        <v>0</v>
      </c>
      <c r="AE54" s="37" t="n">
        <f aca="false">(AE14=1)*③기타_가정!$G$38*③기타_가정!$E$195*③기타_가정!$E$184/1000*(1+③기타_가정!$E$188)^(MAX(AE16,1)-1)</f>
        <v>0</v>
      </c>
      <c r="AF54" s="37" t="n">
        <f aca="false">(AF14=1)*③기타_가정!$G$38*③기타_가정!$E$195*③기타_가정!$E$184/1000*(1+③기타_가정!$E$188)^(MAX(AF16,1)-1)</f>
        <v>0</v>
      </c>
      <c r="AG54" s="37" t="n">
        <f aca="false">(AG14=1)*③기타_가정!$G$38*③기타_가정!$E$195*③기타_가정!$E$184/1000*(1+③기타_가정!$E$188)^(MAX(AG16,1)-1)</f>
        <v>0</v>
      </c>
      <c r="AH54" s="37" t="n">
        <f aca="false">(AH14=1)*③기타_가정!$G$38*③기타_가정!$E$195*③기타_가정!$E$184/1000*(1+③기타_가정!$E$188)^(MAX(AH16,1)-1)</f>
        <v>0</v>
      </c>
      <c r="AI54" s="37" t="n">
        <f aca="false">(AI14=1)*③기타_가정!$G$38*③기타_가정!$E$195*③기타_가정!$E$184/1000*(1+③기타_가정!$E$188)^(MAX(AI16,1)-1)</f>
        <v>0</v>
      </c>
      <c r="AJ54" s="37" t="n">
        <f aca="false">(AJ14=1)*③기타_가정!$G$38*③기타_가정!$E$195*③기타_가정!$E$184/1000*(1+③기타_가정!$E$188)^(MAX(AJ16,1)-1)</f>
        <v>0</v>
      </c>
      <c r="AK54" s="37" t="n">
        <f aca="false">(AK14=1)*③기타_가정!$G$38*③기타_가정!$E$195*③기타_가정!$E$184/1000*(1+③기타_가정!$E$188)^(MAX(AK16,1)-1)</f>
        <v>0</v>
      </c>
      <c r="AL54" s="37" t="n">
        <f aca="false">(AL14=1)*③기타_가정!$G$38*③기타_가정!$E$195*③기타_가정!$E$184/1000*(1+③기타_가정!$E$188)^(MAX(AL16,1)-1)</f>
        <v>0</v>
      </c>
      <c r="AM54" s="37" t="n">
        <f aca="false">(AM14=1)*③기타_가정!$G$38*③기타_가정!$E$195*③기타_가정!$E$184/1000*(1+③기타_가정!$E$188)^(MAX(AM16,1)-1)</f>
        <v>0</v>
      </c>
      <c r="AN54" s="37" t="n">
        <f aca="false">(AN14=1)*③기타_가정!$G$38*③기타_가정!$E$195*③기타_가정!$E$184/1000*(1+③기타_가정!$E$188)^(MAX(AN16,1)-1)</f>
        <v>0</v>
      </c>
      <c r="AO54" s="37" t="n">
        <f aca="false">(AO14=1)*③기타_가정!$G$38*③기타_가정!$E$195*③기타_가정!$E$184/1000*(1+③기타_가정!$E$188)^(MAX(AO16,1)-1)</f>
        <v>0</v>
      </c>
      <c r="AP54" s="37" t="n">
        <f aca="false">(AP14=1)*③기타_가정!$G$38*③기타_가정!$E$195*③기타_가정!$E$184/1000*(1+③기타_가정!$E$188)^(MAX(AP16,1)-1)</f>
        <v>0</v>
      </c>
      <c r="AQ54" s="37" t="n">
        <f aca="false">(AQ14=1)*③기타_가정!$G$38*③기타_가정!$E$195*③기타_가정!$E$184/1000*(1+③기타_가정!$E$188)^(MAX(AQ16,1)-1)</f>
        <v>0</v>
      </c>
      <c r="AR54" s="37" t="n">
        <f aca="false">(AR14=1)*③기타_가정!$G$38*③기타_가정!$E$195*③기타_가정!$E$184/1000*(1+③기타_가정!$E$188)^(MAX(AR16,1)-1)</f>
        <v>0</v>
      </c>
      <c r="AS54" s="37" t="n">
        <f aca="false">(AS14=1)*③기타_가정!$G$38*③기타_가정!$E$195*③기타_가정!$E$184/1000*(1+③기타_가정!$E$188)^(MAX(AS16,1)-1)</f>
        <v>0</v>
      </c>
      <c r="AT54" s="37" t="n">
        <f aca="false">(AT14=1)*③기타_가정!$G$38*③기타_가정!$E$195*③기타_가정!$E$184/1000*(1+③기타_가정!$E$188)^(MAX(AT16,1)-1)</f>
        <v>0</v>
      </c>
      <c r="AU54" s="37" t="n">
        <f aca="false">(AU14=1)*③기타_가정!$G$38*③기타_가정!$E$195*③기타_가정!$E$184/1000*(1+③기타_가정!$E$188)^(MAX(AU16,1)-1)</f>
        <v>0</v>
      </c>
      <c r="AV54" s="37" t="n">
        <f aca="false">(AV14=1)*③기타_가정!$G$38*③기타_가정!$E$195*③기타_가정!$E$184/1000*(1+③기타_가정!$E$188)^(MAX(AV16,1)-1)</f>
        <v>0</v>
      </c>
      <c r="AW54" s="37" t="n">
        <f aca="false">(AW14=1)*③기타_가정!$G$38*③기타_가정!$E$195*③기타_가정!$E$184/1000*(1+③기타_가정!$E$188)^(MAX(AW16,1)-1)</f>
        <v>0</v>
      </c>
      <c r="AX54" s="37" t="n">
        <f aca="false">(AX14=1)*③기타_가정!$G$38*③기타_가정!$E$195*③기타_가정!$E$184/1000*(1+③기타_가정!$E$188)^(MAX(AX16,1)-1)</f>
        <v>0</v>
      </c>
      <c r="AY54" s="37" t="n">
        <f aca="false">(AY14=1)*③기타_가정!$G$38*③기타_가정!$E$195*③기타_가정!$E$184/1000*(1+③기타_가정!$E$188)^(MAX(AY16,1)-1)</f>
        <v>0</v>
      </c>
      <c r="AZ54" s="37" t="n">
        <f aca="false">(AZ14=1)*③기타_가정!$G$38*③기타_가정!$E$195*③기타_가정!$E$184/1000*(1+③기타_가정!$E$188)^(MAX(AZ16,1)-1)</f>
        <v>0</v>
      </c>
      <c r="BA54" s="37" t="n">
        <f aca="false">(BA14=1)*③기타_가정!$G$38*③기타_가정!$E$195*③기타_가정!$E$184/1000*(1+③기타_가정!$E$188)^(MAX(BA16,1)-1)</f>
        <v>0</v>
      </c>
      <c r="BB54" s="37" t="n">
        <f aca="false">(BB14=1)*③기타_가정!$G$38*③기타_가정!$E$195*③기타_가정!$E$184/1000*(1+③기타_가정!$E$188)^(MAX(BB16,1)-1)</f>
        <v>0</v>
      </c>
      <c r="BC54" s="37" t="n">
        <f aca="false">(BC14=1)*③기타_가정!$G$38*③기타_가정!$E$195*③기타_가정!$E$184/1000*(1+③기타_가정!$E$188)^(MAX(BC16,1)-1)</f>
        <v>0</v>
      </c>
      <c r="BD54" s="37" t="n">
        <f aca="false">(BD14=1)*③기타_가정!$G$38*③기타_가정!$E$195*③기타_가정!$E$184/1000*(1+③기타_가정!$E$188)^(MAX(BD16,1)-1)</f>
        <v>0</v>
      </c>
      <c r="BE54" s="37" t="n">
        <f aca="false">(BE14=1)*③기타_가정!$G$38*③기타_가정!$E$195*③기타_가정!$E$184/1000*(1+③기타_가정!$E$188)^(MAX(BE16,1)-1)</f>
        <v>0</v>
      </c>
      <c r="BF54" s="37" t="n">
        <f aca="false">(BF14=1)*③기타_가정!$G$38*③기타_가정!$E$195*③기타_가정!$E$184/1000*(1+③기타_가정!$E$188)^(MAX(BF16,1)-1)</f>
        <v>0</v>
      </c>
      <c r="BG54" s="37" t="n">
        <f aca="false">(BG14=1)*③기타_가정!$G$38*③기타_가정!$E$195*③기타_가정!$E$184/1000*(1+③기타_가정!$E$188)^(MAX(BG16,1)-1)</f>
        <v>0</v>
      </c>
      <c r="BH54" s="37" t="n">
        <f aca="false">(BH14=1)*③기타_가정!$G$38*③기타_가정!$E$195*③기타_가정!$E$184/1000*(1+③기타_가정!$E$188)^(MAX(BH16,1)-1)</f>
        <v>0</v>
      </c>
      <c r="BI54" s="37" t="n">
        <f aca="false">(BI14=1)*③기타_가정!$G$38*③기타_가정!$E$195*③기타_가정!$E$184/1000*(1+③기타_가정!$E$188)^(MAX(BI16,1)-1)</f>
        <v>0</v>
      </c>
      <c r="BJ54" s="37" t="n">
        <f aca="false">(BJ14=1)*③기타_가정!$G$38*③기타_가정!$E$195*③기타_가정!$E$184/1000*(1+③기타_가정!$E$188)^(MAX(BJ16,1)-1)</f>
        <v>0</v>
      </c>
      <c r="BK54" s="37" t="n">
        <f aca="false">(BK14=1)*③기타_가정!$G$38*③기타_가정!$E$195*③기타_가정!$E$184/1000*(1+③기타_가정!$E$188)^(MAX(BK16,1)-1)</f>
        <v>0</v>
      </c>
      <c r="BL54" s="37" t="n">
        <f aca="false">(BL14=1)*③기타_가정!$G$38*③기타_가정!$E$195*③기타_가정!$E$184/1000*(1+③기타_가정!$E$188)^(MAX(BL16,1)-1)</f>
        <v>0</v>
      </c>
      <c r="BM54" s="37" t="n">
        <f aca="false">(BM14=1)*③기타_가정!$G$38*③기타_가정!$E$195*③기타_가정!$E$184/1000*(1+③기타_가정!$E$188)^(MAX(BM16,1)-1)</f>
        <v>147.5596</v>
      </c>
      <c r="BN54" s="37" t="n">
        <f aca="false">(BN14=1)*③기타_가정!$G$38*③기타_가정!$E$195*③기타_가정!$E$184/1000*(1+③기타_가정!$E$188)^(MAX(BN16,1)-1)</f>
        <v>147.5596</v>
      </c>
      <c r="BO54" s="37" t="n">
        <f aca="false">(BO14=1)*③기타_가정!$G$38*③기타_가정!$E$195*③기타_가정!$E$184/1000*(1+③기타_가정!$E$188)^(MAX(BO16,1)-1)</f>
        <v>147.5596</v>
      </c>
      <c r="BP54" s="37" t="n">
        <f aca="false">(BP14=1)*③기타_가정!$G$38*③기타_가정!$E$195*③기타_가정!$E$184/1000*(1+③기타_가정!$E$188)^(MAX(BP16,1)-1)</f>
        <v>147.5596</v>
      </c>
      <c r="BQ54" s="37" t="n">
        <f aca="false">(BQ14=1)*③기타_가정!$G$38*③기타_가정!$E$195*③기타_가정!$E$184/1000*(1+③기타_가정!$E$188)^(MAX(BQ16,1)-1)</f>
        <v>147.5596</v>
      </c>
      <c r="BR54" s="37" t="n">
        <f aca="false">(BR14=1)*③기타_가정!$G$38*③기타_가정!$E$195*③기타_가정!$E$184/1000*(1+③기타_가정!$E$188)^(MAX(BR16,1)-1)</f>
        <v>147.5596</v>
      </c>
      <c r="BS54" s="37" t="n">
        <f aca="false">(BS14=1)*③기타_가정!$G$38*③기타_가정!$E$195*③기타_가정!$E$184/1000*(1+③기타_가정!$E$188)^(MAX(BS16,1)-1)</f>
        <v>147.5596</v>
      </c>
      <c r="BT54" s="37" t="n">
        <f aca="false">(BT14=1)*③기타_가정!$G$38*③기타_가정!$E$195*③기타_가정!$E$184/1000*(1+③기타_가정!$E$188)^(MAX(BT16,1)-1)</f>
        <v>147.5596</v>
      </c>
      <c r="BU54" s="37" t="n">
        <f aca="false">(BU14=1)*③기타_가정!$G$38*③기타_가정!$E$195*③기타_가정!$E$184/1000*(1+③기타_가정!$E$188)^(MAX(BU16,1)-1)</f>
        <v>147.5596</v>
      </c>
      <c r="BV54" s="37" t="n">
        <f aca="false">(BV14=1)*③기타_가정!$G$38*③기타_가정!$E$195*③기타_가정!$E$184/1000*(1+③기타_가정!$E$188)^(MAX(BV16,1)-1)</f>
        <v>147.5596</v>
      </c>
      <c r="BW54" s="37" t="n">
        <f aca="false">(BW14=1)*③기타_가정!$G$38*③기타_가정!$E$195*③기타_가정!$E$184/1000*(1+③기타_가정!$E$188)^(MAX(BW16,1)-1)</f>
        <v>147.5596</v>
      </c>
      <c r="BX54" s="37" t="n">
        <f aca="false">(BX14=1)*③기타_가정!$G$38*③기타_가정!$E$195*③기타_가정!$E$184/1000*(1+③기타_가정!$E$188)^(MAX(BX16,1)-1)</f>
        <v>147.5596</v>
      </c>
      <c r="BY54" s="37" t="n">
        <f aca="false">(BY14=1)*③기타_가정!$G$38*③기타_가정!$E$195*③기타_가정!$E$184/1000*(1+③기타_가정!$E$188)^(MAX(BY16,1)-1)</f>
        <v>150.510792</v>
      </c>
      <c r="BZ54" s="37" t="n">
        <f aca="false">(BZ14=1)*③기타_가정!$G$38*③기타_가정!$E$195*③기타_가정!$E$184/1000*(1+③기타_가정!$E$188)^(MAX(BZ16,1)-1)</f>
        <v>150.510792</v>
      </c>
      <c r="CA54" s="37" t="n">
        <f aca="false">(CA14=1)*③기타_가정!$G$38*③기타_가정!$E$195*③기타_가정!$E$184/1000*(1+③기타_가정!$E$188)^(MAX(CA16,1)-1)</f>
        <v>150.510792</v>
      </c>
      <c r="CB54" s="37" t="n">
        <f aca="false">(CB14=1)*③기타_가정!$G$38*③기타_가정!$E$195*③기타_가정!$E$184/1000*(1+③기타_가정!$E$188)^(MAX(CB16,1)-1)</f>
        <v>150.510792</v>
      </c>
      <c r="CC54" s="37" t="n">
        <f aca="false">(CC14=1)*③기타_가정!$G$38*③기타_가정!$E$195*③기타_가정!$E$184/1000*(1+③기타_가정!$E$188)^(MAX(CC16,1)-1)</f>
        <v>150.510792</v>
      </c>
      <c r="CD54" s="37" t="n">
        <f aca="false">(CD14=1)*③기타_가정!$G$38*③기타_가정!$E$195*③기타_가정!$E$184/1000*(1+③기타_가정!$E$188)^(MAX(CD16,1)-1)</f>
        <v>150.510792</v>
      </c>
      <c r="CE54" s="37" t="n">
        <f aca="false">(CE14=1)*③기타_가정!$G$38*③기타_가정!$E$195*③기타_가정!$E$184/1000*(1+③기타_가정!$E$188)^(MAX(CE16,1)-1)</f>
        <v>150.510792</v>
      </c>
      <c r="CF54" s="37" t="n">
        <f aca="false">(CF14=1)*③기타_가정!$G$38*③기타_가정!$E$195*③기타_가정!$E$184/1000*(1+③기타_가정!$E$188)^(MAX(CF16,1)-1)</f>
        <v>150.510792</v>
      </c>
      <c r="CG54" s="37" t="n">
        <f aca="false">(CG14=1)*③기타_가정!$G$38*③기타_가정!$E$195*③기타_가정!$E$184/1000*(1+③기타_가정!$E$188)^(MAX(CG16,1)-1)</f>
        <v>150.510792</v>
      </c>
      <c r="CH54" s="37" t="n">
        <f aca="false">(CH14=1)*③기타_가정!$G$38*③기타_가정!$E$195*③기타_가정!$E$184/1000*(1+③기타_가정!$E$188)^(MAX(CH16,1)-1)</f>
        <v>150.510792</v>
      </c>
      <c r="CI54" s="37" t="n">
        <f aca="false">(CI14=1)*③기타_가정!$G$38*③기타_가정!$E$195*③기타_가정!$E$184/1000*(1+③기타_가정!$E$188)^(MAX(CI16,1)-1)</f>
        <v>150.510792</v>
      </c>
      <c r="CJ54" s="37" t="n">
        <f aca="false">(CJ14=1)*③기타_가정!$G$38*③기타_가정!$E$195*③기타_가정!$E$184/1000*(1+③기타_가정!$E$188)^(MAX(CJ16,1)-1)</f>
        <v>150.510792</v>
      </c>
      <c r="CK54" s="37" t="n">
        <f aca="false">(CK14=1)*③기타_가정!$G$38*③기타_가정!$E$195*③기타_가정!$E$184/1000*(1+③기타_가정!$E$188)^(MAX(CK16,1)-1)</f>
        <v>153.52100784</v>
      </c>
      <c r="CL54" s="37" t="n">
        <f aca="false">(CL14=1)*③기타_가정!$G$38*③기타_가정!$E$195*③기타_가정!$E$184/1000*(1+③기타_가정!$E$188)^(MAX(CL16,1)-1)</f>
        <v>153.52100784</v>
      </c>
      <c r="CM54" s="37" t="n">
        <f aca="false">(CM14=1)*③기타_가정!$G$38*③기타_가정!$E$195*③기타_가정!$E$184/1000*(1+③기타_가정!$E$188)^(MAX(CM16,1)-1)</f>
        <v>153.52100784</v>
      </c>
      <c r="CN54" s="37" t="n">
        <f aca="false">(CN14=1)*③기타_가정!$G$38*③기타_가정!$E$195*③기타_가정!$E$184/1000*(1+③기타_가정!$E$188)^(MAX(CN16,1)-1)</f>
        <v>153.52100784</v>
      </c>
      <c r="CO54" s="37" t="n">
        <f aca="false">(CO14=1)*③기타_가정!$G$38*③기타_가정!$E$195*③기타_가정!$E$184/1000*(1+③기타_가정!$E$188)^(MAX(CO16,1)-1)</f>
        <v>153.52100784</v>
      </c>
      <c r="CP54" s="37" t="n">
        <f aca="false">(CP14=1)*③기타_가정!$G$38*③기타_가정!$E$195*③기타_가정!$E$184/1000*(1+③기타_가정!$E$188)^(MAX(CP16,1)-1)</f>
        <v>153.52100784</v>
      </c>
      <c r="CQ54" s="37" t="n">
        <f aca="false">(CQ14=1)*③기타_가정!$G$38*③기타_가정!$E$195*③기타_가정!$E$184/1000*(1+③기타_가정!$E$188)^(MAX(CQ16,1)-1)</f>
        <v>153.52100784</v>
      </c>
      <c r="CR54" s="37" t="n">
        <f aca="false">(CR14=1)*③기타_가정!$G$38*③기타_가정!$E$195*③기타_가정!$E$184/1000*(1+③기타_가정!$E$188)^(MAX(CR16,1)-1)</f>
        <v>153.52100784</v>
      </c>
      <c r="CS54" s="37" t="n">
        <f aca="false">(CS14=1)*③기타_가정!$G$38*③기타_가정!$E$195*③기타_가정!$E$184/1000*(1+③기타_가정!$E$188)^(MAX(CS16,1)-1)</f>
        <v>153.52100784</v>
      </c>
      <c r="CT54" s="37" t="n">
        <f aca="false">(CT14=1)*③기타_가정!$G$38*③기타_가정!$E$195*③기타_가정!$E$184/1000*(1+③기타_가정!$E$188)^(MAX(CT16,1)-1)</f>
        <v>153.52100784</v>
      </c>
      <c r="CU54" s="37" t="n">
        <f aca="false">(CU14=1)*③기타_가정!$G$38*③기타_가정!$E$195*③기타_가정!$E$184/1000*(1+③기타_가정!$E$188)^(MAX(CU16,1)-1)</f>
        <v>153.52100784</v>
      </c>
      <c r="CV54" s="37" t="n">
        <f aca="false">(CV14=1)*③기타_가정!$G$38*③기타_가정!$E$195*③기타_가정!$E$184/1000*(1+③기타_가정!$E$188)^(MAX(CV16,1)-1)</f>
        <v>153.52100784</v>
      </c>
      <c r="CW54" s="37" t="n">
        <f aca="false">(CW14=1)*③기타_가정!$G$38*③기타_가정!$E$195*③기타_가정!$E$184/1000*(1+③기타_가정!$E$188)^(MAX(CW16,1)-1)</f>
        <v>156.5914279968</v>
      </c>
      <c r="CX54" s="37" t="n">
        <f aca="false">(CX14=1)*③기타_가정!$G$38*③기타_가정!$E$195*③기타_가정!$E$184/1000*(1+③기타_가정!$E$188)^(MAX(CX16,1)-1)</f>
        <v>156.5914279968</v>
      </c>
      <c r="CY54" s="37" t="n">
        <f aca="false">(CY14=1)*③기타_가정!$G$38*③기타_가정!$E$195*③기타_가정!$E$184/1000*(1+③기타_가정!$E$188)^(MAX(CY16,1)-1)</f>
        <v>156.5914279968</v>
      </c>
      <c r="CZ54" s="37" t="n">
        <f aca="false">(CZ14=1)*③기타_가정!$G$38*③기타_가정!$E$195*③기타_가정!$E$184/1000*(1+③기타_가정!$E$188)^(MAX(CZ16,1)-1)</f>
        <v>156.5914279968</v>
      </c>
      <c r="DA54" s="37" t="n">
        <f aca="false">(DA14=1)*③기타_가정!$G$38*③기타_가정!$E$195*③기타_가정!$E$184/1000*(1+③기타_가정!$E$188)^(MAX(DA16,1)-1)</f>
        <v>156.5914279968</v>
      </c>
      <c r="DB54" s="37" t="n">
        <f aca="false">(DB14=1)*③기타_가정!$G$38*③기타_가정!$E$195*③기타_가정!$E$184/1000*(1+③기타_가정!$E$188)^(MAX(DB16,1)-1)</f>
        <v>156.5914279968</v>
      </c>
      <c r="DC54" s="37" t="n">
        <f aca="false">(DC14=1)*③기타_가정!$G$38*③기타_가정!$E$195*③기타_가정!$E$184/1000*(1+③기타_가정!$E$188)^(MAX(DC16,1)-1)</f>
        <v>156.5914279968</v>
      </c>
      <c r="DD54" s="37" t="n">
        <f aca="false">(DD14=1)*③기타_가정!$G$38*③기타_가정!$E$195*③기타_가정!$E$184/1000*(1+③기타_가정!$E$188)^(MAX(DD16,1)-1)</f>
        <v>156.5914279968</v>
      </c>
      <c r="DE54" s="37" t="n">
        <f aca="false">(DE14=1)*③기타_가정!$G$38*③기타_가정!$E$195*③기타_가정!$E$184/1000*(1+③기타_가정!$E$188)^(MAX(DE16,1)-1)</f>
        <v>156.5914279968</v>
      </c>
      <c r="DF54" s="37" t="n">
        <f aca="false">(DF14=1)*③기타_가정!$G$38*③기타_가정!$E$195*③기타_가정!$E$184/1000*(1+③기타_가정!$E$188)^(MAX(DF16,1)-1)</f>
        <v>156.5914279968</v>
      </c>
      <c r="DG54" s="37" t="n">
        <f aca="false">(DG14=1)*③기타_가정!$G$38*③기타_가정!$E$195*③기타_가정!$E$184/1000*(1+③기타_가정!$E$188)^(MAX(DG16,1)-1)</f>
        <v>156.5914279968</v>
      </c>
      <c r="DH54" s="37" t="n">
        <f aca="false">(DH14=1)*③기타_가정!$G$38*③기타_가정!$E$195*③기타_가정!$E$184/1000*(1+③기타_가정!$E$188)^(MAX(DH16,1)-1)</f>
        <v>156.5914279968</v>
      </c>
      <c r="DI54" s="37" t="n">
        <f aca="false">(DI14=1)*③기타_가정!$G$38*③기타_가정!$E$195*③기타_가정!$E$184/1000*(1+③기타_가정!$E$188)^(MAX(DI16,1)-1)</f>
        <v>159.723256556736</v>
      </c>
      <c r="DJ54" s="37" t="n">
        <f aca="false">(DJ14=1)*③기타_가정!$G$38*③기타_가정!$E$195*③기타_가정!$E$184/1000*(1+③기타_가정!$E$188)^(MAX(DJ16,1)-1)</f>
        <v>159.723256556736</v>
      </c>
      <c r="DK54" s="37" t="n">
        <f aca="false">(DK14=1)*③기타_가정!$G$38*③기타_가정!$E$195*③기타_가정!$E$184/1000*(1+③기타_가정!$E$188)^(MAX(DK16,1)-1)</f>
        <v>159.723256556736</v>
      </c>
      <c r="DL54" s="37" t="n">
        <f aca="false">(DL14=1)*③기타_가정!$G$38*③기타_가정!$E$195*③기타_가정!$E$184/1000*(1+③기타_가정!$E$188)^(MAX(DL16,1)-1)</f>
        <v>159.723256556736</v>
      </c>
      <c r="DM54" s="37" t="n">
        <f aca="false">(DM14=1)*③기타_가정!$G$38*③기타_가정!$E$195*③기타_가정!$E$184/1000*(1+③기타_가정!$E$188)^(MAX(DM16,1)-1)</f>
        <v>159.723256556736</v>
      </c>
      <c r="DN54" s="37" t="n">
        <f aca="false">(DN14=1)*③기타_가정!$G$38*③기타_가정!$E$195*③기타_가정!$E$184/1000*(1+③기타_가정!$E$188)^(MAX(DN16,1)-1)</f>
        <v>159.723256556736</v>
      </c>
      <c r="DO54" s="37" t="n">
        <f aca="false">(DO14=1)*③기타_가정!$G$38*③기타_가정!$E$195*③기타_가정!$E$184/1000*(1+③기타_가정!$E$188)^(MAX(DO16,1)-1)</f>
        <v>159.723256556736</v>
      </c>
      <c r="DP54" s="37" t="n">
        <f aca="false">(DP14=1)*③기타_가정!$G$38*③기타_가정!$E$195*③기타_가정!$E$184/1000*(1+③기타_가정!$E$188)^(MAX(DP16,1)-1)</f>
        <v>159.723256556736</v>
      </c>
      <c r="DQ54" s="37" t="n">
        <f aca="false">(DQ14=1)*③기타_가정!$G$38*③기타_가정!$E$195*③기타_가정!$E$184/1000*(1+③기타_가정!$E$188)^(MAX(DQ16,1)-1)</f>
        <v>159.723256556736</v>
      </c>
      <c r="DR54" s="37" t="n">
        <f aca="false">(DR14=1)*③기타_가정!$G$38*③기타_가정!$E$195*③기타_가정!$E$184/1000*(1+③기타_가정!$E$188)^(MAX(DR16,1)-1)</f>
        <v>159.723256556736</v>
      </c>
      <c r="DS54" s="37" t="n">
        <f aca="false">(DS14=1)*③기타_가정!$G$38*③기타_가정!$E$195*③기타_가정!$E$184/1000*(1+③기타_가정!$E$188)^(MAX(DS16,1)-1)</f>
        <v>159.723256556736</v>
      </c>
      <c r="DT54" s="37" t="n">
        <f aca="false">(DT14=1)*③기타_가정!$G$38*③기타_가정!$E$195*③기타_가정!$E$184/1000*(1+③기타_가정!$E$188)^(MAX(DT16,1)-1)</f>
        <v>159.723256556736</v>
      </c>
      <c r="DU54" s="37" t="n">
        <f aca="false">(DU14=1)*③기타_가정!$G$38*③기타_가정!$E$195*③기타_가정!$E$184/1000*(1+③기타_가정!$E$188)^(MAX(DU16,1)-1)</f>
        <v>0</v>
      </c>
      <c r="DV54" s="37" t="n">
        <f aca="false">(DV14=1)*③기타_가정!$G$38*③기타_가정!$E$195*③기타_가정!$E$184/1000*(1+③기타_가정!$E$188)^(MAX(DV16,1)-1)</f>
        <v>0</v>
      </c>
      <c r="DW54" s="37" t="n">
        <f aca="false">(DW14=1)*③기타_가정!$G$38*③기타_가정!$E$195*③기타_가정!$E$184/1000*(1+③기타_가정!$E$188)^(MAX(DW16,1)-1)</f>
        <v>0</v>
      </c>
      <c r="DX54" s="37" t="n">
        <f aca="false">(DX14=1)*③기타_가정!$G$38*③기타_가정!$E$195*③기타_가정!$E$184/1000*(1+③기타_가정!$E$188)^(MAX(DX16,1)-1)</f>
        <v>0</v>
      </c>
      <c r="DY54" s="37" t="n">
        <f aca="false">(DY14=1)*③기타_가정!$G$38*③기타_가정!$E$195*③기타_가정!$E$184/1000*(1+③기타_가정!$E$188)^(MAX(DY16,1)-1)</f>
        <v>0</v>
      </c>
      <c r="DZ54" s="37" t="n">
        <f aca="false">(DZ14=1)*③기타_가정!$G$38*③기타_가정!$E$195*③기타_가정!$E$184/1000*(1+③기타_가정!$E$188)^(MAX(DZ16,1)-1)</f>
        <v>0</v>
      </c>
      <c r="EA54" s="37" t="n">
        <f aca="false">(EA14=1)*③기타_가정!$G$38*③기타_가정!$E$195*③기타_가정!$E$184/1000*(1+③기타_가정!$E$188)^(MAX(EA16,1)-1)</f>
        <v>0</v>
      </c>
      <c r="EB54" s="37" t="n">
        <f aca="false">(EB14=1)*③기타_가정!$G$38*③기타_가정!$E$195*③기타_가정!$E$184/1000*(1+③기타_가정!$E$188)^(MAX(EB16,1)-1)</f>
        <v>0</v>
      </c>
      <c r="EC54" s="37" t="n">
        <f aca="false">(EC14=1)*③기타_가정!$G$38*③기타_가정!$E$195*③기타_가정!$E$184/1000*(1+③기타_가정!$E$188)^(MAX(EC16,1)-1)</f>
        <v>0</v>
      </c>
      <c r="ED54" s="37" t="n">
        <f aca="false">(ED14=1)*③기타_가정!$G$38*③기타_가정!$E$195*③기타_가정!$E$184/1000*(1+③기타_가정!$E$188)^(MAX(ED16,1)-1)</f>
        <v>0</v>
      </c>
      <c r="EE54" s="37" t="n">
        <f aca="false">(EE14=1)*③기타_가정!$G$38*③기타_가정!$E$195*③기타_가정!$E$184/1000*(1+③기타_가정!$E$188)^(MAX(EE16,1)-1)</f>
        <v>0</v>
      </c>
      <c r="EF54" s="37" t="n">
        <f aca="false">(EF14=1)*③기타_가정!$G$38*③기타_가정!$E$195*③기타_가정!$E$184/1000*(1+③기타_가정!$E$188)^(MAX(EF16,1)-1)</f>
        <v>0</v>
      </c>
    </row>
    <row r="55" customFormat="false" ht="15" hidden="false" customHeight="false" outlineLevel="0" collapsed="false">
      <c r="A55" s="36" t="s">
        <v>603</v>
      </c>
      <c r="B55" s="278" t="s">
        <v>21</v>
      </c>
      <c r="C55" s="279" t="n">
        <f aca="false">SUM(E55:EF55)</f>
        <v>0</v>
      </c>
      <c r="E55" s="37" t="n">
        <f aca="false">E36*③기타_가정!$E$210+E37*③기타_가정!$E$223+E38*③기타_가정!$E$236+E39*③기타_가정!$E$249+E40*③기타_가정!$E$262</f>
        <v>0</v>
      </c>
      <c r="F55" s="37" t="n">
        <f aca="false">F36*③기타_가정!$E$210+F37*③기타_가정!$E$223+F38*③기타_가정!$E$236+F39*③기타_가정!$E$249+F40*③기타_가정!$E$262</f>
        <v>0</v>
      </c>
      <c r="G55" s="37" t="n">
        <f aca="false">G36*③기타_가정!$E$210+G37*③기타_가정!$E$223+G38*③기타_가정!$E$236+G39*③기타_가정!$E$249+G40*③기타_가정!$E$262</f>
        <v>0</v>
      </c>
      <c r="H55" s="37" t="n">
        <f aca="false">H36*③기타_가정!$E$210+H37*③기타_가정!$E$223+H38*③기타_가정!$E$236+H39*③기타_가정!$E$249+H40*③기타_가정!$E$262</f>
        <v>0</v>
      </c>
      <c r="I55" s="37" t="n">
        <f aca="false">I36*③기타_가정!$E$210+I37*③기타_가정!$E$223+I38*③기타_가정!$E$236+I39*③기타_가정!$E$249+I40*③기타_가정!$E$262</f>
        <v>0</v>
      </c>
      <c r="J55" s="37" t="n">
        <f aca="false">J36*③기타_가정!$E$210+J37*③기타_가정!$E$223+J38*③기타_가정!$E$236+J39*③기타_가정!$E$249+J40*③기타_가정!$E$262</f>
        <v>0</v>
      </c>
      <c r="K55" s="37" t="n">
        <f aca="false">K36*③기타_가정!$E$210+K37*③기타_가정!$E$223+K38*③기타_가정!$E$236+K39*③기타_가정!$E$249+K40*③기타_가정!$E$262</f>
        <v>0</v>
      </c>
      <c r="L55" s="37" t="n">
        <f aca="false">L36*③기타_가정!$E$210+L37*③기타_가정!$E$223+L38*③기타_가정!$E$236+L39*③기타_가정!$E$249+L40*③기타_가정!$E$262</f>
        <v>0</v>
      </c>
      <c r="M55" s="37" t="n">
        <f aca="false">M36*③기타_가정!$E$210+M37*③기타_가정!$E$223+M38*③기타_가정!$E$236+M39*③기타_가정!$E$249+M40*③기타_가정!$E$262</f>
        <v>0</v>
      </c>
      <c r="N55" s="37" t="n">
        <f aca="false">N36*③기타_가정!$E$210+N37*③기타_가정!$E$223+N38*③기타_가정!$E$236+N39*③기타_가정!$E$249+N40*③기타_가정!$E$262</f>
        <v>0</v>
      </c>
      <c r="O55" s="37" t="n">
        <f aca="false">O36*③기타_가정!$E$210+O37*③기타_가정!$E$223+O38*③기타_가정!$E$236+O39*③기타_가정!$E$249+O40*③기타_가정!$E$262</f>
        <v>0</v>
      </c>
      <c r="P55" s="37" t="n">
        <f aca="false">P36*③기타_가정!$E$210+P37*③기타_가정!$E$223+P38*③기타_가정!$E$236+P39*③기타_가정!$E$249+P40*③기타_가정!$E$262</f>
        <v>0</v>
      </c>
      <c r="Q55" s="37" t="n">
        <f aca="false">Q36*③기타_가정!$E$210+Q37*③기타_가정!$E$223+Q38*③기타_가정!$E$236+Q39*③기타_가정!$E$249+Q40*③기타_가정!$E$262</f>
        <v>0</v>
      </c>
      <c r="R55" s="37" t="n">
        <f aca="false">R36*③기타_가정!$E$210+R37*③기타_가정!$E$223+R38*③기타_가정!$E$236+R39*③기타_가정!$E$249+R40*③기타_가정!$E$262</f>
        <v>0</v>
      </c>
      <c r="S55" s="37" t="n">
        <f aca="false">S36*③기타_가정!$E$210+S37*③기타_가정!$E$223+S38*③기타_가정!$E$236+S39*③기타_가정!$E$249+S40*③기타_가정!$E$262</f>
        <v>0</v>
      </c>
      <c r="T55" s="37" t="n">
        <f aca="false">T36*③기타_가정!$E$210+T37*③기타_가정!$E$223+T38*③기타_가정!$E$236+T39*③기타_가정!$E$249+T40*③기타_가정!$E$262</f>
        <v>0</v>
      </c>
      <c r="U55" s="37" t="n">
        <f aca="false">U36*③기타_가정!$E$210+U37*③기타_가정!$E$223+U38*③기타_가정!$E$236+U39*③기타_가정!$E$249+U40*③기타_가정!$E$262</f>
        <v>0</v>
      </c>
      <c r="V55" s="37" t="n">
        <f aca="false">V36*③기타_가정!$E$210+V37*③기타_가정!$E$223+V38*③기타_가정!$E$236+V39*③기타_가정!$E$249+V40*③기타_가정!$E$262</f>
        <v>0</v>
      </c>
      <c r="W55" s="37" t="n">
        <f aca="false">W36*③기타_가정!$E$210+W37*③기타_가정!$E$223+W38*③기타_가정!$E$236+W39*③기타_가정!$E$249+W40*③기타_가정!$E$262</f>
        <v>0</v>
      </c>
      <c r="X55" s="37" t="n">
        <f aca="false">X36*③기타_가정!$E$210+X37*③기타_가정!$E$223+X38*③기타_가정!$E$236+X39*③기타_가정!$E$249+X40*③기타_가정!$E$262</f>
        <v>0</v>
      </c>
      <c r="Y55" s="37" t="n">
        <f aca="false">Y36*③기타_가정!$E$210+Y37*③기타_가정!$E$223+Y38*③기타_가정!$E$236+Y39*③기타_가정!$E$249+Y40*③기타_가정!$E$262</f>
        <v>0</v>
      </c>
      <c r="Z55" s="37" t="n">
        <f aca="false">Z36*③기타_가정!$E$210+Z37*③기타_가정!$E$223+Z38*③기타_가정!$E$236+Z39*③기타_가정!$E$249+Z40*③기타_가정!$E$262</f>
        <v>0</v>
      </c>
      <c r="AA55" s="37" t="n">
        <f aca="false">AA36*③기타_가정!$E$210+AA37*③기타_가정!$E$223+AA38*③기타_가정!$E$236+AA39*③기타_가정!$E$249+AA40*③기타_가정!$E$262</f>
        <v>0</v>
      </c>
      <c r="AB55" s="37" t="n">
        <f aca="false">AB36*③기타_가정!$E$210+AB37*③기타_가정!$E$223+AB38*③기타_가정!$E$236+AB39*③기타_가정!$E$249+AB40*③기타_가정!$E$262</f>
        <v>0</v>
      </c>
      <c r="AC55" s="37" t="n">
        <f aca="false">AC36*③기타_가정!$E$210+AC37*③기타_가정!$E$223+AC38*③기타_가정!$E$236+AC39*③기타_가정!$E$249+AC40*③기타_가정!$E$262</f>
        <v>0</v>
      </c>
      <c r="AD55" s="37" t="n">
        <f aca="false">AD36*③기타_가정!$E$210+AD37*③기타_가정!$E$223+AD38*③기타_가정!$E$236+AD39*③기타_가정!$E$249+AD40*③기타_가정!$E$262</f>
        <v>0</v>
      </c>
      <c r="AE55" s="37" t="n">
        <f aca="false">AE36*③기타_가정!$E$210+AE37*③기타_가정!$E$223+AE38*③기타_가정!$E$236+AE39*③기타_가정!$E$249+AE40*③기타_가정!$E$262</f>
        <v>0</v>
      </c>
      <c r="AF55" s="37" t="n">
        <f aca="false">AF36*③기타_가정!$E$210+AF37*③기타_가정!$E$223+AF38*③기타_가정!$E$236+AF39*③기타_가정!$E$249+AF40*③기타_가정!$E$262</f>
        <v>0</v>
      </c>
      <c r="AG55" s="37" t="n">
        <f aca="false">AG36*③기타_가정!$E$210+AG37*③기타_가정!$E$223+AG38*③기타_가정!$E$236+AG39*③기타_가정!$E$249+AG40*③기타_가정!$E$262</f>
        <v>0</v>
      </c>
      <c r="AH55" s="37" t="n">
        <f aca="false">AH36*③기타_가정!$E$210+AH37*③기타_가정!$E$223+AH38*③기타_가정!$E$236+AH39*③기타_가정!$E$249+AH40*③기타_가정!$E$262</f>
        <v>0</v>
      </c>
      <c r="AI55" s="37" t="n">
        <f aca="false">AI36*③기타_가정!$E$210+AI37*③기타_가정!$E$223+AI38*③기타_가정!$E$236+AI39*③기타_가정!$E$249+AI40*③기타_가정!$E$262</f>
        <v>0</v>
      </c>
      <c r="AJ55" s="37" t="n">
        <f aca="false">AJ36*③기타_가정!$E$210+AJ37*③기타_가정!$E$223+AJ38*③기타_가정!$E$236+AJ39*③기타_가정!$E$249+AJ40*③기타_가정!$E$262</f>
        <v>0</v>
      </c>
      <c r="AK55" s="37" t="n">
        <f aca="false">AK36*③기타_가정!$E$210+AK37*③기타_가정!$E$223+AK38*③기타_가정!$E$236+AK39*③기타_가정!$E$249+AK40*③기타_가정!$E$262</f>
        <v>0</v>
      </c>
      <c r="AL55" s="37" t="n">
        <f aca="false">AL36*③기타_가정!$E$210+AL37*③기타_가정!$E$223+AL38*③기타_가정!$E$236+AL39*③기타_가정!$E$249+AL40*③기타_가정!$E$262</f>
        <v>0</v>
      </c>
      <c r="AM55" s="37" t="n">
        <f aca="false">AM36*③기타_가정!$E$210+AM37*③기타_가정!$E$223+AM38*③기타_가정!$E$236+AM39*③기타_가정!$E$249+AM40*③기타_가정!$E$262</f>
        <v>0</v>
      </c>
      <c r="AN55" s="37" t="n">
        <f aca="false">AN36*③기타_가정!$E$210+AN37*③기타_가정!$E$223+AN38*③기타_가정!$E$236+AN39*③기타_가정!$E$249+AN40*③기타_가정!$E$262</f>
        <v>0</v>
      </c>
      <c r="AO55" s="37" t="n">
        <f aca="false">AO36*③기타_가정!$E$210+AO37*③기타_가정!$E$223+AO38*③기타_가정!$E$236+AO39*③기타_가정!$E$249+AO40*③기타_가정!$E$262</f>
        <v>0</v>
      </c>
      <c r="AP55" s="37" t="n">
        <f aca="false">AP36*③기타_가정!$E$210+AP37*③기타_가정!$E$223+AP38*③기타_가정!$E$236+AP39*③기타_가정!$E$249+AP40*③기타_가정!$E$262</f>
        <v>0</v>
      </c>
      <c r="AQ55" s="37" t="n">
        <f aca="false">AQ36*③기타_가정!$E$210+AQ37*③기타_가정!$E$223+AQ38*③기타_가정!$E$236+AQ39*③기타_가정!$E$249+AQ40*③기타_가정!$E$262</f>
        <v>0</v>
      </c>
      <c r="AR55" s="37" t="n">
        <f aca="false">AR36*③기타_가정!$E$210+AR37*③기타_가정!$E$223+AR38*③기타_가정!$E$236+AR39*③기타_가정!$E$249+AR40*③기타_가정!$E$262</f>
        <v>0</v>
      </c>
      <c r="AS55" s="37" t="n">
        <f aca="false">AS36*③기타_가정!$E$210+AS37*③기타_가정!$E$223+AS38*③기타_가정!$E$236+AS39*③기타_가정!$E$249+AS40*③기타_가정!$E$262</f>
        <v>0</v>
      </c>
      <c r="AT55" s="37" t="n">
        <f aca="false">AT36*③기타_가정!$E$210+AT37*③기타_가정!$E$223+AT38*③기타_가정!$E$236+AT39*③기타_가정!$E$249+AT40*③기타_가정!$E$262</f>
        <v>0</v>
      </c>
      <c r="AU55" s="37" t="n">
        <f aca="false">AU36*③기타_가정!$E$210+AU37*③기타_가정!$E$223+AU38*③기타_가정!$E$236+AU39*③기타_가정!$E$249+AU40*③기타_가정!$E$262</f>
        <v>0</v>
      </c>
      <c r="AV55" s="37" t="n">
        <f aca="false">AV36*③기타_가정!$E$210+AV37*③기타_가정!$E$223+AV38*③기타_가정!$E$236+AV39*③기타_가정!$E$249+AV40*③기타_가정!$E$262</f>
        <v>0</v>
      </c>
      <c r="AW55" s="37" t="n">
        <f aca="false">AW36*③기타_가정!$E$210+AW37*③기타_가정!$E$223+AW38*③기타_가정!$E$236+AW39*③기타_가정!$E$249+AW40*③기타_가정!$E$262</f>
        <v>0</v>
      </c>
      <c r="AX55" s="37" t="n">
        <f aca="false">AX36*③기타_가정!$E$210+AX37*③기타_가정!$E$223+AX38*③기타_가정!$E$236+AX39*③기타_가정!$E$249+AX40*③기타_가정!$E$262</f>
        <v>0</v>
      </c>
      <c r="AY55" s="37" t="n">
        <f aca="false">AY36*③기타_가정!$E$210+AY37*③기타_가정!$E$223+AY38*③기타_가정!$E$236+AY39*③기타_가정!$E$249+AY40*③기타_가정!$E$262</f>
        <v>0</v>
      </c>
      <c r="AZ55" s="37" t="n">
        <f aca="false">AZ36*③기타_가정!$E$210+AZ37*③기타_가정!$E$223+AZ38*③기타_가정!$E$236+AZ39*③기타_가정!$E$249+AZ40*③기타_가정!$E$262</f>
        <v>0</v>
      </c>
      <c r="BA55" s="37" t="n">
        <f aca="false">BA36*③기타_가정!$E$210+BA37*③기타_가정!$E$223+BA38*③기타_가정!$E$236+BA39*③기타_가정!$E$249+BA40*③기타_가정!$E$262</f>
        <v>0</v>
      </c>
      <c r="BB55" s="37" t="n">
        <f aca="false">BB36*③기타_가정!$E$210+BB37*③기타_가정!$E$223+BB38*③기타_가정!$E$236+BB39*③기타_가정!$E$249+BB40*③기타_가정!$E$262</f>
        <v>0</v>
      </c>
      <c r="BC55" s="37" t="n">
        <f aca="false">BC36*③기타_가정!$E$210+BC37*③기타_가정!$E$223+BC38*③기타_가정!$E$236+BC39*③기타_가정!$E$249+BC40*③기타_가정!$E$262</f>
        <v>0</v>
      </c>
      <c r="BD55" s="37" t="n">
        <f aca="false">BD36*③기타_가정!$E$210+BD37*③기타_가정!$E$223+BD38*③기타_가정!$E$236+BD39*③기타_가정!$E$249+BD40*③기타_가정!$E$262</f>
        <v>0</v>
      </c>
      <c r="BE55" s="37" t="n">
        <f aca="false">BE36*③기타_가정!$E$210+BE37*③기타_가정!$E$223+BE38*③기타_가정!$E$236+BE39*③기타_가정!$E$249+BE40*③기타_가정!$E$262</f>
        <v>0</v>
      </c>
      <c r="BF55" s="37" t="n">
        <f aca="false">BF36*③기타_가정!$E$210+BF37*③기타_가정!$E$223+BF38*③기타_가정!$E$236+BF39*③기타_가정!$E$249+BF40*③기타_가정!$E$262</f>
        <v>0</v>
      </c>
      <c r="BG55" s="37" t="n">
        <f aca="false">BG36*③기타_가정!$E$210+BG37*③기타_가정!$E$223+BG38*③기타_가정!$E$236+BG39*③기타_가정!$E$249+BG40*③기타_가정!$E$262</f>
        <v>0</v>
      </c>
      <c r="BH55" s="37" t="n">
        <f aca="false">BH36*③기타_가정!$E$210+BH37*③기타_가정!$E$223+BH38*③기타_가정!$E$236+BH39*③기타_가정!$E$249+BH40*③기타_가정!$E$262</f>
        <v>0</v>
      </c>
      <c r="BI55" s="37" t="n">
        <f aca="false">BI36*③기타_가정!$E$210+BI37*③기타_가정!$E$223+BI38*③기타_가정!$E$236+BI39*③기타_가정!$E$249+BI40*③기타_가정!$E$262</f>
        <v>0</v>
      </c>
      <c r="BJ55" s="37" t="n">
        <f aca="false">BJ36*③기타_가정!$E$210+BJ37*③기타_가정!$E$223+BJ38*③기타_가정!$E$236+BJ39*③기타_가정!$E$249+BJ40*③기타_가정!$E$262</f>
        <v>0</v>
      </c>
      <c r="BK55" s="37" t="n">
        <f aca="false">BK36*③기타_가정!$E$210+BK37*③기타_가정!$E$223+BK38*③기타_가정!$E$236+BK39*③기타_가정!$E$249+BK40*③기타_가정!$E$262</f>
        <v>0</v>
      </c>
      <c r="BL55" s="37" t="n">
        <f aca="false">BL36*③기타_가정!$E$210+BL37*③기타_가정!$E$223+BL38*③기타_가정!$E$236+BL39*③기타_가정!$E$249+BL40*③기타_가정!$E$262</f>
        <v>0</v>
      </c>
      <c r="BM55" s="37" t="n">
        <f aca="false">BM36*③기타_가정!$E$210+BM37*③기타_가정!$E$223+BM38*③기타_가정!$E$236+BM39*③기타_가정!$E$249+BM40*③기타_가정!$E$262</f>
        <v>0</v>
      </c>
      <c r="BN55" s="37" t="n">
        <f aca="false">BN36*③기타_가정!$E$210+BN37*③기타_가정!$E$223+BN38*③기타_가정!$E$236+BN39*③기타_가정!$E$249+BN40*③기타_가정!$E$262</f>
        <v>0</v>
      </c>
      <c r="BO55" s="37" t="n">
        <f aca="false">BO36*③기타_가정!$E$210+BO37*③기타_가정!$E$223+BO38*③기타_가정!$E$236+BO39*③기타_가정!$E$249+BO40*③기타_가정!$E$262</f>
        <v>0</v>
      </c>
      <c r="BP55" s="37" t="n">
        <f aca="false">BP36*③기타_가정!$E$210+BP37*③기타_가정!$E$223+BP38*③기타_가정!$E$236+BP39*③기타_가정!$E$249+BP40*③기타_가정!$E$262</f>
        <v>0</v>
      </c>
      <c r="BQ55" s="37" t="n">
        <f aca="false">BQ36*③기타_가정!$E$210+BQ37*③기타_가정!$E$223+BQ38*③기타_가정!$E$236+BQ39*③기타_가정!$E$249+BQ40*③기타_가정!$E$262</f>
        <v>0</v>
      </c>
      <c r="BR55" s="37" t="n">
        <f aca="false">BR36*③기타_가정!$E$210+BR37*③기타_가정!$E$223+BR38*③기타_가정!$E$236+BR39*③기타_가정!$E$249+BR40*③기타_가정!$E$262</f>
        <v>0</v>
      </c>
      <c r="BS55" s="37" t="n">
        <f aca="false">BS36*③기타_가정!$E$210+BS37*③기타_가정!$E$223+BS38*③기타_가정!$E$236+BS39*③기타_가정!$E$249+BS40*③기타_가정!$E$262</f>
        <v>0</v>
      </c>
      <c r="BT55" s="37" t="n">
        <f aca="false">BT36*③기타_가정!$E$210+BT37*③기타_가정!$E$223+BT38*③기타_가정!$E$236+BT39*③기타_가정!$E$249+BT40*③기타_가정!$E$262</f>
        <v>0</v>
      </c>
      <c r="BU55" s="37" t="n">
        <f aca="false">BU36*③기타_가정!$E$210+BU37*③기타_가정!$E$223+BU38*③기타_가정!$E$236+BU39*③기타_가정!$E$249+BU40*③기타_가정!$E$262</f>
        <v>0</v>
      </c>
      <c r="BV55" s="37" t="n">
        <f aca="false">BV36*③기타_가정!$E$210+BV37*③기타_가정!$E$223+BV38*③기타_가정!$E$236+BV39*③기타_가정!$E$249+BV40*③기타_가정!$E$262</f>
        <v>0</v>
      </c>
      <c r="BW55" s="37" t="n">
        <f aca="false">BW36*③기타_가정!$E$210+BW37*③기타_가정!$E$223+BW38*③기타_가정!$E$236+BW39*③기타_가정!$E$249+BW40*③기타_가정!$E$262</f>
        <v>0</v>
      </c>
      <c r="BX55" s="37" t="n">
        <f aca="false">BX36*③기타_가정!$E$210+BX37*③기타_가정!$E$223+BX38*③기타_가정!$E$236+BX39*③기타_가정!$E$249+BX40*③기타_가정!$E$262</f>
        <v>0</v>
      </c>
      <c r="BY55" s="37" t="n">
        <f aca="false">BY36*③기타_가정!$E$210+BY37*③기타_가정!$E$223+BY38*③기타_가정!$E$236+BY39*③기타_가정!$E$249+BY40*③기타_가정!$E$262</f>
        <v>0</v>
      </c>
      <c r="BZ55" s="37" t="n">
        <f aca="false">BZ36*③기타_가정!$E$210+BZ37*③기타_가정!$E$223+BZ38*③기타_가정!$E$236+BZ39*③기타_가정!$E$249+BZ40*③기타_가정!$E$262</f>
        <v>0</v>
      </c>
      <c r="CA55" s="37" t="n">
        <f aca="false">CA36*③기타_가정!$E$210+CA37*③기타_가정!$E$223+CA38*③기타_가정!$E$236+CA39*③기타_가정!$E$249+CA40*③기타_가정!$E$262</f>
        <v>0</v>
      </c>
      <c r="CB55" s="37" t="n">
        <f aca="false">CB36*③기타_가정!$E$210+CB37*③기타_가정!$E$223+CB38*③기타_가정!$E$236+CB39*③기타_가정!$E$249+CB40*③기타_가정!$E$262</f>
        <v>0</v>
      </c>
      <c r="CC55" s="37" t="n">
        <f aca="false">CC36*③기타_가정!$E$210+CC37*③기타_가정!$E$223+CC38*③기타_가정!$E$236+CC39*③기타_가정!$E$249+CC40*③기타_가정!$E$262</f>
        <v>0</v>
      </c>
      <c r="CD55" s="37" t="n">
        <f aca="false">CD36*③기타_가정!$E$210+CD37*③기타_가정!$E$223+CD38*③기타_가정!$E$236+CD39*③기타_가정!$E$249+CD40*③기타_가정!$E$262</f>
        <v>0</v>
      </c>
      <c r="CE55" s="37" t="n">
        <f aca="false">CE36*③기타_가정!$E$210+CE37*③기타_가정!$E$223+CE38*③기타_가정!$E$236+CE39*③기타_가정!$E$249+CE40*③기타_가정!$E$262</f>
        <v>0</v>
      </c>
      <c r="CF55" s="37" t="n">
        <f aca="false">CF36*③기타_가정!$E$210+CF37*③기타_가정!$E$223+CF38*③기타_가정!$E$236+CF39*③기타_가정!$E$249+CF40*③기타_가정!$E$262</f>
        <v>0</v>
      </c>
      <c r="CG55" s="37" t="n">
        <f aca="false">CG36*③기타_가정!$E$210+CG37*③기타_가정!$E$223+CG38*③기타_가정!$E$236+CG39*③기타_가정!$E$249+CG40*③기타_가정!$E$262</f>
        <v>0</v>
      </c>
      <c r="CH55" s="37" t="n">
        <f aca="false">CH36*③기타_가정!$E$210+CH37*③기타_가정!$E$223+CH38*③기타_가정!$E$236+CH39*③기타_가정!$E$249+CH40*③기타_가정!$E$262</f>
        <v>0</v>
      </c>
      <c r="CI55" s="37" t="n">
        <f aca="false">CI36*③기타_가정!$E$210+CI37*③기타_가정!$E$223+CI38*③기타_가정!$E$236+CI39*③기타_가정!$E$249+CI40*③기타_가정!$E$262</f>
        <v>0</v>
      </c>
      <c r="CJ55" s="37" t="n">
        <f aca="false">CJ36*③기타_가정!$E$210+CJ37*③기타_가정!$E$223+CJ38*③기타_가정!$E$236+CJ39*③기타_가정!$E$249+CJ40*③기타_가정!$E$262</f>
        <v>0</v>
      </c>
      <c r="CK55" s="37" t="n">
        <f aca="false">CK36*③기타_가정!$E$210+CK37*③기타_가정!$E$223+CK38*③기타_가정!$E$236+CK39*③기타_가정!$E$249+CK40*③기타_가정!$E$262</f>
        <v>0</v>
      </c>
      <c r="CL55" s="37" t="n">
        <f aca="false">CL36*③기타_가정!$E$210+CL37*③기타_가정!$E$223+CL38*③기타_가정!$E$236+CL39*③기타_가정!$E$249+CL40*③기타_가정!$E$262</f>
        <v>0</v>
      </c>
      <c r="CM55" s="37" t="n">
        <f aca="false">CM36*③기타_가정!$E$210+CM37*③기타_가정!$E$223+CM38*③기타_가정!$E$236+CM39*③기타_가정!$E$249+CM40*③기타_가정!$E$262</f>
        <v>0</v>
      </c>
      <c r="CN55" s="37" t="n">
        <f aca="false">CN36*③기타_가정!$E$210+CN37*③기타_가정!$E$223+CN38*③기타_가정!$E$236+CN39*③기타_가정!$E$249+CN40*③기타_가정!$E$262</f>
        <v>0</v>
      </c>
      <c r="CO55" s="37" t="n">
        <f aca="false">CO36*③기타_가정!$E$210+CO37*③기타_가정!$E$223+CO38*③기타_가정!$E$236+CO39*③기타_가정!$E$249+CO40*③기타_가정!$E$262</f>
        <v>0</v>
      </c>
      <c r="CP55" s="37" t="n">
        <f aca="false">CP36*③기타_가정!$E$210+CP37*③기타_가정!$E$223+CP38*③기타_가정!$E$236+CP39*③기타_가정!$E$249+CP40*③기타_가정!$E$262</f>
        <v>0</v>
      </c>
      <c r="CQ55" s="37" t="n">
        <f aca="false">CQ36*③기타_가정!$E$210+CQ37*③기타_가정!$E$223+CQ38*③기타_가정!$E$236+CQ39*③기타_가정!$E$249+CQ40*③기타_가정!$E$262</f>
        <v>0</v>
      </c>
      <c r="CR55" s="37" t="n">
        <f aca="false">CR36*③기타_가정!$E$210+CR37*③기타_가정!$E$223+CR38*③기타_가정!$E$236+CR39*③기타_가정!$E$249+CR40*③기타_가정!$E$262</f>
        <v>0</v>
      </c>
      <c r="CS55" s="37" t="n">
        <f aca="false">CS36*③기타_가정!$E$210+CS37*③기타_가정!$E$223+CS38*③기타_가정!$E$236+CS39*③기타_가정!$E$249+CS40*③기타_가정!$E$262</f>
        <v>0</v>
      </c>
      <c r="CT55" s="37" t="n">
        <f aca="false">CT36*③기타_가정!$E$210+CT37*③기타_가정!$E$223+CT38*③기타_가정!$E$236+CT39*③기타_가정!$E$249+CT40*③기타_가정!$E$262</f>
        <v>0</v>
      </c>
      <c r="CU55" s="37" t="n">
        <f aca="false">CU36*③기타_가정!$E$210+CU37*③기타_가정!$E$223+CU38*③기타_가정!$E$236+CU39*③기타_가정!$E$249+CU40*③기타_가정!$E$262</f>
        <v>0</v>
      </c>
      <c r="CV55" s="37" t="n">
        <f aca="false">CV36*③기타_가정!$E$210+CV37*③기타_가정!$E$223+CV38*③기타_가정!$E$236+CV39*③기타_가정!$E$249+CV40*③기타_가정!$E$262</f>
        <v>0</v>
      </c>
      <c r="CW55" s="37" t="n">
        <f aca="false">CW36*③기타_가정!$E$210+CW37*③기타_가정!$E$223+CW38*③기타_가정!$E$236+CW39*③기타_가정!$E$249+CW40*③기타_가정!$E$262</f>
        <v>0</v>
      </c>
      <c r="CX55" s="37" t="n">
        <f aca="false">CX36*③기타_가정!$E$210+CX37*③기타_가정!$E$223+CX38*③기타_가정!$E$236+CX39*③기타_가정!$E$249+CX40*③기타_가정!$E$262</f>
        <v>0</v>
      </c>
      <c r="CY55" s="37" t="n">
        <f aca="false">CY36*③기타_가정!$E$210+CY37*③기타_가정!$E$223+CY38*③기타_가정!$E$236+CY39*③기타_가정!$E$249+CY40*③기타_가정!$E$262</f>
        <v>0</v>
      </c>
      <c r="CZ55" s="37" t="n">
        <f aca="false">CZ36*③기타_가정!$E$210+CZ37*③기타_가정!$E$223+CZ38*③기타_가정!$E$236+CZ39*③기타_가정!$E$249+CZ40*③기타_가정!$E$262</f>
        <v>0</v>
      </c>
      <c r="DA55" s="37" t="n">
        <f aca="false">DA36*③기타_가정!$E$210+DA37*③기타_가정!$E$223+DA38*③기타_가정!$E$236+DA39*③기타_가정!$E$249+DA40*③기타_가정!$E$262</f>
        <v>0</v>
      </c>
      <c r="DB55" s="37" t="n">
        <f aca="false">DB36*③기타_가정!$E$210+DB37*③기타_가정!$E$223+DB38*③기타_가정!$E$236+DB39*③기타_가정!$E$249+DB40*③기타_가정!$E$262</f>
        <v>0</v>
      </c>
      <c r="DC55" s="37" t="n">
        <f aca="false">DC36*③기타_가정!$E$210+DC37*③기타_가정!$E$223+DC38*③기타_가정!$E$236+DC39*③기타_가정!$E$249+DC40*③기타_가정!$E$262</f>
        <v>0</v>
      </c>
      <c r="DD55" s="37" t="n">
        <f aca="false">DD36*③기타_가정!$E$210+DD37*③기타_가정!$E$223+DD38*③기타_가정!$E$236+DD39*③기타_가정!$E$249+DD40*③기타_가정!$E$262</f>
        <v>0</v>
      </c>
      <c r="DE55" s="37" t="n">
        <f aca="false">DE36*③기타_가정!$E$210+DE37*③기타_가정!$E$223+DE38*③기타_가정!$E$236+DE39*③기타_가정!$E$249+DE40*③기타_가정!$E$262</f>
        <v>0</v>
      </c>
      <c r="DF55" s="37" t="n">
        <f aca="false">DF36*③기타_가정!$E$210+DF37*③기타_가정!$E$223+DF38*③기타_가정!$E$236+DF39*③기타_가정!$E$249+DF40*③기타_가정!$E$262</f>
        <v>0</v>
      </c>
      <c r="DG55" s="37" t="n">
        <f aca="false">DG36*③기타_가정!$E$210+DG37*③기타_가정!$E$223+DG38*③기타_가정!$E$236+DG39*③기타_가정!$E$249+DG40*③기타_가정!$E$262</f>
        <v>0</v>
      </c>
      <c r="DH55" s="37" t="n">
        <f aca="false">DH36*③기타_가정!$E$210+DH37*③기타_가정!$E$223+DH38*③기타_가정!$E$236+DH39*③기타_가정!$E$249+DH40*③기타_가정!$E$262</f>
        <v>0</v>
      </c>
      <c r="DI55" s="37" t="n">
        <f aca="false">DI36*③기타_가정!$E$210+DI37*③기타_가정!$E$223+DI38*③기타_가정!$E$236+DI39*③기타_가정!$E$249+DI40*③기타_가정!$E$262</f>
        <v>0</v>
      </c>
      <c r="DJ55" s="37" t="n">
        <f aca="false">DJ36*③기타_가정!$E$210+DJ37*③기타_가정!$E$223+DJ38*③기타_가정!$E$236+DJ39*③기타_가정!$E$249+DJ40*③기타_가정!$E$262</f>
        <v>0</v>
      </c>
      <c r="DK55" s="37" t="n">
        <f aca="false">DK36*③기타_가정!$E$210+DK37*③기타_가정!$E$223+DK38*③기타_가정!$E$236+DK39*③기타_가정!$E$249+DK40*③기타_가정!$E$262</f>
        <v>0</v>
      </c>
      <c r="DL55" s="37" t="n">
        <f aca="false">DL36*③기타_가정!$E$210+DL37*③기타_가정!$E$223+DL38*③기타_가정!$E$236+DL39*③기타_가정!$E$249+DL40*③기타_가정!$E$262</f>
        <v>0</v>
      </c>
      <c r="DM55" s="37" t="n">
        <f aca="false">DM36*③기타_가정!$E$210+DM37*③기타_가정!$E$223+DM38*③기타_가정!$E$236+DM39*③기타_가정!$E$249+DM40*③기타_가정!$E$262</f>
        <v>0</v>
      </c>
      <c r="DN55" s="37" t="n">
        <f aca="false">DN36*③기타_가정!$E$210+DN37*③기타_가정!$E$223+DN38*③기타_가정!$E$236+DN39*③기타_가정!$E$249+DN40*③기타_가정!$E$262</f>
        <v>0</v>
      </c>
      <c r="DO55" s="37" t="n">
        <f aca="false">DO36*③기타_가정!$E$210+DO37*③기타_가정!$E$223+DO38*③기타_가정!$E$236+DO39*③기타_가정!$E$249+DO40*③기타_가정!$E$262</f>
        <v>0</v>
      </c>
      <c r="DP55" s="37" t="n">
        <f aca="false">DP36*③기타_가정!$E$210+DP37*③기타_가정!$E$223+DP38*③기타_가정!$E$236+DP39*③기타_가정!$E$249+DP40*③기타_가정!$E$262</f>
        <v>0</v>
      </c>
      <c r="DQ55" s="37" t="n">
        <f aca="false">DQ36*③기타_가정!$E$210+DQ37*③기타_가정!$E$223+DQ38*③기타_가정!$E$236+DQ39*③기타_가정!$E$249+DQ40*③기타_가정!$E$262</f>
        <v>0</v>
      </c>
      <c r="DR55" s="37" t="n">
        <f aca="false">DR36*③기타_가정!$E$210+DR37*③기타_가정!$E$223+DR38*③기타_가정!$E$236+DR39*③기타_가정!$E$249+DR40*③기타_가정!$E$262</f>
        <v>0</v>
      </c>
      <c r="DS55" s="37" t="n">
        <f aca="false">DS36*③기타_가정!$E$210+DS37*③기타_가정!$E$223+DS38*③기타_가정!$E$236+DS39*③기타_가정!$E$249+DS40*③기타_가정!$E$262</f>
        <v>0</v>
      </c>
      <c r="DT55" s="37" t="n">
        <f aca="false">DT36*③기타_가정!$E$210+DT37*③기타_가정!$E$223+DT38*③기타_가정!$E$236+DT39*③기타_가정!$E$249+DT40*③기타_가정!$E$262</f>
        <v>0</v>
      </c>
      <c r="DU55" s="37" t="n">
        <f aca="false">DU36*③기타_가정!$E$210+DU37*③기타_가정!$E$223+DU38*③기타_가정!$E$236+DU39*③기타_가정!$E$249+DU40*③기타_가정!$E$262</f>
        <v>0</v>
      </c>
      <c r="DV55" s="37" t="n">
        <f aca="false">DV36*③기타_가정!$E$210+DV37*③기타_가정!$E$223+DV38*③기타_가정!$E$236+DV39*③기타_가정!$E$249+DV40*③기타_가정!$E$262</f>
        <v>0</v>
      </c>
      <c r="DW55" s="37" t="n">
        <f aca="false">DW36*③기타_가정!$E$210+DW37*③기타_가정!$E$223+DW38*③기타_가정!$E$236+DW39*③기타_가정!$E$249+DW40*③기타_가정!$E$262</f>
        <v>0</v>
      </c>
      <c r="DX55" s="37" t="n">
        <f aca="false">DX36*③기타_가정!$E$210+DX37*③기타_가정!$E$223+DX38*③기타_가정!$E$236+DX39*③기타_가정!$E$249+DX40*③기타_가정!$E$262</f>
        <v>0</v>
      </c>
      <c r="DY55" s="37" t="n">
        <f aca="false">DY36*③기타_가정!$E$210+DY37*③기타_가정!$E$223+DY38*③기타_가정!$E$236+DY39*③기타_가정!$E$249+DY40*③기타_가정!$E$262</f>
        <v>0</v>
      </c>
      <c r="DZ55" s="37" t="n">
        <f aca="false">DZ36*③기타_가정!$E$210+DZ37*③기타_가정!$E$223+DZ38*③기타_가정!$E$236+DZ39*③기타_가정!$E$249+DZ40*③기타_가정!$E$262</f>
        <v>0</v>
      </c>
      <c r="EA55" s="37" t="n">
        <f aca="false">EA36*③기타_가정!$E$210+EA37*③기타_가정!$E$223+EA38*③기타_가정!$E$236+EA39*③기타_가정!$E$249+EA40*③기타_가정!$E$262</f>
        <v>0</v>
      </c>
      <c r="EB55" s="37" t="n">
        <f aca="false">EB36*③기타_가정!$E$210+EB37*③기타_가정!$E$223+EB38*③기타_가정!$E$236+EB39*③기타_가정!$E$249+EB40*③기타_가정!$E$262</f>
        <v>0</v>
      </c>
      <c r="EC55" s="37" t="n">
        <f aca="false">EC36*③기타_가정!$E$210+EC37*③기타_가정!$E$223+EC38*③기타_가정!$E$236+EC39*③기타_가정!$E$249+EC40*③기타_가정!$E$262</f>
        <v>0</v>
      </c>
      <c r="ED55" s="37" t="n">
        <f aca="false">ED36*③기타_가정!$E$210+ED37*③기타_가정!$E$223+ED38*③기타_가정!$E$236+ED39*③기타_가정!$E$249+ED40*③기타_가정!$E$262</f>
        <v>0</v>
      </c>
      <c r="EE55" s="37" t="n">
        <f aca="false">EE36*③기타_가정!$E$210+EE37*③기타_가정!$E$223+EE38*③기타_가정!$E$236+EE39*③기타_가정!$E$249+EE40*③기타_가정!$E$262</f>
        <v>0</v>
      </c>
      <c r="EF55" s="37" t="n">
        <f aca="false">EF36*③기타_가정!$E$210+EF37*③기타_가정!$E$223+EF38*③기타_가정!$E$236+EF39*③기타_가정!$E$249+EF40*③기타_가정!$E$262</f>
        <v>0</v>
      </c>
    </row>
    <row r="56" customFormat="false" ht="15" hidden="false" customHeight="false" outlineLevel="0" collapsed="false">
      <c r="A56" s="280" t="s">
        <v>604</v>
      </c>
      <c r="B56" s="281" t="s">
        <v>21</v>
      </c>
      <c r="C56" s="282" t="n">
        <f aca="false">SUM(E56:EF56)</f>
        <v>618535.480917707</v>
      </c>
      <c r="D56" s="48"/>
      <c r="E56" s="283" t="n">
        <f aca="false">SUM(E44:E55)</f>
        <v>0</v>
      </c>
      <c r="F56" s="283" t="n">
        <f aca="false">SUM(F44:F55)</f>
        <v>0</v>
      </c>
      <c r="G56" s="283" t="n">
        <f aca="false">SUM(G44:G55)</f>
        <v>0</v>
      </c>
      <c r="H56" s="283" t="n">
        <f aca="false">SUM(H44:H55)</f>
        <v>0</v>
      </c>
      <c r="I56" s="283" t="n">
        <f aca="false">SUM(I44:I55)</f>
        <v>0</v>
      </c>
      <c r="J56" s="283" t="n">
        <f aca="false">SUM(J44:J55)</f>
        <v>0</v>
      </c>
      <c r="K56" s="283" t="n">
        <f aca="false">SUM(K44:K55)</f>
        <v>0</v>
      </c>
      <c r="L56" s="283" t="n">
        <f aca="false">SUM(L44:L55)</f>
        <v>0</v>
      </c>
      <c r="M56" s="283" t="n">
        <f aca="false">SUM(M44:M55)</f>
        <v>0</v>
      </c>
      <c r="N56" s="283" t="n">
        <f aca="false">SUM(N44:N55)</f>
        <v>0</v>
      </c>
      <c r="O56" s="283" t="n">
        <f aca="false">SUM(O44:O55)</f>
        <v>0</v>
      </c>
      <c r="P56" s="283" t="n">
        <f aca="false">SUM(P44:P55)</f>
        <v>0</v>
      </c>
      <c r="Q56" s="283" t="n">
        <f aca="false">SUM(Q44:Q55)</f>
        <v>0</v>
      </c>
      <c r="R56" s="283" t="n">
        <f aca="false">SUM(R44:R55)</f>
        <v>0</v>
      </c>
      <c r="S56" s="283" t="n">
        <f aca="false">SUM(S44:S55)</f>
        <v>0</v>
      </c>
      <c r="T56" s="283" t="n">
        <f aca="false">SUM(T44:T55)</f>
        <v>0</v>
      </c>
      <c r="U56" s="283" t="n">
        <f aca="false">SUM(U44:U55)</f>
        <v>0</v>
      </c>
      <c r="V56" s="283" t="n">
        <f aca="false">SUM(V44:V55)</f>
        <v>0</v>
      </c>
      <c r="W56" s="283" t="n">
        <f aca="false">SUM(W44:W55)</f>
        <v>0</v>
      </c>
      <c r="X56" s="283" t="n">
        <f aca="false">SUM(X44:X55)</f>
        <v>0</v>
      </c>
      <c r="Y56" s="283" t="n">
        <f aca="false">SUM(Y44:Y55)</f>
        <v>0</v>
      </c>
      <c r="Z56" s="283" t="n">
        <f aca="false">SUM(Z44:Z55)</f>
        <v>0</v>
      </c>
      <c r="AA56" s="283" t="n">
        <f aca="false">SUM(AA44:AA55)</f>
        <v>0</v>
      </c>
      <c r="AB56" s="283" t="n">
        <f aca="false">SUM(AB44:AB55)</f>
        <v>0</v>
      </c>
      <c r="AC56" s="283" t="n">
        <f aca="false">SUM(AC44:AC55)</f>
        <v>0</v>
      </c>
      <c r="AD56" s="283" t="n">
        <f aca="false">SUM(AD44:AD55)</f>
        <v>0</v>
      </c>
      <c r="AE56" s="283" t="n">
        <f aca="false">SUM(AE44:AE55)</f>
        <v>0</v>
      </c>
      <c r="AF56" s="283" t="n">
        <f aca="false">SUM(AF44:AF55)</f>
        <v>0</v>
      </c>
      <c r="AG56" s="283" t="n">
        <f aca="false">SUM(AG44:AG55)</f>
        <v>0</v>
      </c>
      <c r="AH56" s="283" t="n">
        <f aca="false">SUM(AH44:AH55)</f>
        <v>0</v>
      </c>
      <c r="AI56" s="283" t="n">
        <f aca="false">SUM(AI44:AI55)</f>
        <v>0</v>
      </c>
      <c r="AJ56" s="283" t="n">
        <f aca="false">SUM(AJ44:AJ55)</f>
        <v>0</v>
      </c>
      <c r="AK56" s="283" t="n">
        <f aca="false">SUM(AK44:AK55)</f>
        <v>0</v>
      </c>
      <c r="AL56" s="283" t="n">
        <f aca="false">SUM(AL44:AL55)</f>
        <v>0</v>
      </c>
      <c r="AM56" s="283" t="n">
        <f aca="false">SUM(AM44:AM55)</f>
        <v>0</v>
      </c>
      <c r="AN56" s="283" t="n">
        <f aca="false">SUM(AN44:AN55)</f>
        <v>0</v>
      </c>
      <c r="AO56" s="283" t="n">
        <f aca="false">SUM(AO44:AO55)</f>
        <v>0</v>
      </c>
      <c r="AP56" s="283" t="n">
        <f aca="false">SUM(AP44:AP55)</f>
        <v>0</v>
      </c>
      <c r="AQ56" s="283" t="n">
        <f aca="false">SUM(AQ44:AQ55)</f>
        <v>0</v>
      </c>
      <c r="AR56" s="283" t="n">
        <f aca="false">SUM(AR44:AR55)</f>
        <v>0</v>
      </c>
      <c r="AS56" s="283" t="n">
        <f aca="false">SUM(AS44:AS55)</f>
        <v>0</v>
      </c>
      <c r="AT56" s="283" t="n">
        <f aca="false">SUM(AT44:AT55)</f>
        <v>0</v>
      </c>
      <c r="AU56" s="283" t="n">
        <f aca="false">SUM(AU44:AU55)</f>
        <v>0</v>
      </c>
      <c r="AV56" s="283" t="n">
        <f aca="false">SUM(AV44:AV55)</f>
        <v>0</v>
      </c>
      <c r="AW56" s="283" t="n">
        <f aca="false">SUM(AW44:AW55)</f>
        <v>0</v>
      </c>
      <c r="AX56" s="283" t="n">
        <f aca="false">SUM(AX44:AX55)</f>
        <v>0</v>
      </c>
      <c r="AY56" s="283" t="n">
        <f aca="false">SUM(AY44:AY55)</f>
        <v>0</v>
      </c>
      <c r="AZ56" s="283" t="n">
        <f aca="false">SUM(AZ44:AZ55)</f>
        <v>0</v>
      </c>
      <c r="BA56" s="283" t="n">
        <f aca="false">SUM(BA44:BA55)</f>
        <v>0</v>
      </c>
      <c r="BB56" s="283" t="n">
        <f aca="false">SUM(BB44:BB55)</f>
        <v>0</v>
      </c>
      <c r="BC56" s="283" t="n">
        <f aca="false">SUM(BC44:BC55)</f>
        <v>0</v>
      </c>
      <c r="BD56" s="283" t="n">
        <f aca="false">SUM(BD44:BD55)</f>
        <v>0</v>
      </c>
      <c r="BE56" s="283" t="n">
        <f aca="false">SUM(BE44:BE55)</f>
        <v>0</v>
      </c>
      <c r="BF56" s="283" t="n">
        <f aca="false">SUM(BF44:BF55)</f>
        <v>0</v>
      </c>
      <c r="BG56" s="283" t="n">
        <f aca="false">SUM(BG44:BG55)</f>
        <v>0</v>
      </c>
      <c r="BH56" s="283" t="n">
        <f aca="false">SUM(BH44:BH55)</f>
        <v>0</v>
      </c>
      <c r="BI56" s="283" t="n">
        <f aca="false">SUM(BI44:BI55)</f>
        <v>0</v>
      </c>
      <c r="BJ56" s="283" t="n">
        <f aca="false">SUM(BJ44:BJ55)</f>
        <v>0</v>
      </c>
      <c r="BK56" s="283" t="n">
        <f aca="false">SUM(BK44:BK55)</f>
        <v>0</v>
      </c>
      <c r="BL56" s="283" t="n">
        <f aca="false">SUM(BL44:BL55)</f>
        <v>0</v>
      </c>
      <c r="BM56" s="283" t="n">
        <f aca="false">SUM(BM44:BM55)</f>
        <v>9135.32588600807</v>
      </c>
      <c r="BN56" s="283" t="n">
        <f aca="false">SUM(BN44:BN55)</f>
        <v>8854.67991613684</v>
      </c>
      <c r="BO56" s="283" t="n">
        <f aca="false">SUM(BO44:BO55)</f>
        <v>9135.32588600807</v>
      </c>
      <c r="BP56" s="283" t="n">
        <f aca="false">SUM(BP44:BP55)</f>
        <v>8854.67991613684</v>
      </c>
      <c r="BQ56" s="283" t="n">
        <f aca="false">SUM(BQ44:BQ55)</f>
        <v>9135.32588600807</v>
      </c>
      <c r="BR56" s="283" t="n">
        <f aca="false">SUM(BR44:BR55)</f>
        <v>9135.32588600807</v>
      </c>
      <c r="BS56" s="283" t="n">
        <f aca="false">SUM(BS44:BS55)</f>
        <v>8854.67991613684</v>
      </c>
      <c r="BT56" s="283" t="n">
        <f aca="false">SUM(BT44:BT55)</f>
        <v>9135.32588600807</v>
      </c>
      <c r="BU56" s="283" t="n">
        <f aca="false">SUM(BU44:BU55)</f>
        <v>8854.67991613684</v>
      </c>
      <c r="BV56" s="283" t="n">
        <f aca="false">SUM(BV44:BV55)</f>
        <v>9135.32588600807</v>
      </c>
      <c r="BW56" s="283" t="n">
        <f aca="false">SUM(BW44:BW55)</f>
        <v>9135.32588600807</v>
      </c>
      <c r="BX56" s="283" t="n">
        <f aca="false">SUM(BX44:BX55)</f>
        <v>8574.03394626561</v>
      </c>
      <c r="BY56" s="283" t="n">
        <f aca="false">SUM(BY44:BY55)</f>
        <v>10509.1359032516</v>
      </c>
      <c r="BZ56" s="283" t="n">
        <f aca="false">SUM(BZ44:BZ55)</f>
        <v>10178.8371848647</v>
      </c>
      <c r="CA56" s="283" t="n">
        <f aca="false">SUM(CA44:CA55)</f>
        <v>10509.1359032516</v>
      </c>
      <c r="CB56" s="283" t="n">
        <f aca="false">SUM(CB44:CB55)</f>
        <v>10178.8371848647</v>
      </c>
      <c r="CC56" s="283" t="n">
        <f aca="false">SUM(CC44:CC55)</f>
        <v>10509.1359032516</v>
      </c>
      <c r="CD56" s="283" t="n">
        <f aca="false">SUM(CD44:CD55)</f>
        <v>10509.1359032516</v>
      </c>
      <c r="CE56" s="283" t="n">
        <f aca="false">SUM(CE44:CE55)</f>
        <v>10178.8371848647</v>
      </c>
      <c r="CF56" s="283" t="n">
        <f aca="false">SUM(CF44:CF55)</f>
        <v>10509.1359032516</v>
      </c>
      <c r="CG56" s="283" t="n">
        <f aca="false">SUM(CG44:CG55)</f>
        <v>10178.8371848647</v>
      </c>
      <c r="CH56" s="283" t="n">
        <f aca="false">SUM(CH44:CH55)</f>
        <v>10509.1359032516</v>
      </c>
      <c r="CI56" s="283" t="n">
        <f aca="false">SUM(CI44:CI55)</f>
        <v>10509.1359032516</v>
      </c>
      <c r="CJ56" s="283" t="n">
        <f aca="false">SUM(CJ44:CJ55)</f>
        <v>9518.23974809087</v>
      </c>
      <c r="CK56" s="283" t="n">
        <f aca="false">SUM(CK44:CK55)</f>
        <v>10719.3186213166</v>
      </c>
      <c r="CL56" s="283" t="n">
        <f aca="false">SUM(CL44:CL55)</f>
        <v>10382.413928562</v>
      </c>
      <c r="CM56" s="283" t="n">
        <f aca="false">SUM(CM44:CM55)</f>
        <v>10719.3186213166</v>
      </c>
      <c r="CN56" s="283" t="n">
        <f aca="false">SUM(CN44:CN55)</f>
        <v>10382.413928562</v>
      </c>
      <c r="CO56" s="283" t="n">
        <f aca="false">SUM(CO44:CO55)</f>
        <v>10719.3186213166</v>
      </c>
      <c r="CP56" s="283" t="n">
        <f aca="false">SUM(CP44:CP55)</f>
        <v>10719.3186213166</v>
      </c>
      <c r="CQ56" s="283" t="n">
        <f aca="false">SUM(CQ44:CQ55)</f>
        <v>10382.413928562</v>
      </c>
      <c r="CR56" s="283" t="n">
        <f aca="false">SUM(CR44:CR55)</f>
        <v>10719.3186213166</v>
      </c>
      <c r="CS56" s="283" t="n">
        <f aca="false">SUM(CS44:CS55)</f>
        <v>10382.413928562</v>
      </c>
      <c r="CT56" s="283" t="n">
        <f aca="false">SUM(CT44:CT55)</f>
        <v>10719.3186213166</v>
      </c>
      <c r="CU56" s="283" t="n">
        <f aca="false">SUM(CU44:CU55)</f>
        <v>10719.3186213166</v>
      </c>
      <c r="CV56" s="283" t="n">
        <f aca="false">SUM(CV44:CV55)</f>
        <v>9708.60454305269</v>
      </c>
      <c r="CW56" s="283" t="n">
        <f aca="false">SUM(CW44:CW55)</f>
        <v>10933.704993743</v>
      </c>
      <c r="CX56" s="283" t="n">
        <f aca="false">SUM(CX44:CX55)</f>
        <v>10590.0622071332</v>
      </c>
      <c r="CY56" s="283" t="n">
        <f aca="false">SUM(CY44:CY55)</f>
        <v>10933.704993743</v>
      </c>
      <c r="CZ56" s="283" t="n">
        <f aca="false">SUM(CZ44:CZ55)</f>
        <v>10590.0622071332</v>
      </c>
      <c r="DA56" s="283" t="n">
        <f aca="false">SUM(DA44:DA55)</f>
        <v>10933.704993743</v>
      </c>
      <c r="DB56" s="283" t="n">
        <f aca="false">SUM(DB44:DB55)</f>
        <v>10933.704993743</v>
      </c>
      <c r="DC56" s="283" t="n">
        <f aca="false">SUM(DC44:DC55)</f>
        <v>10590.0622071332</v>
      </c>
      <c r="DD56" s="283" t="n">
        <f aca="false">SUM(DD44:DD55)</f>
        <v>10933.704993743</v>
      </c>
      <c r="DE56" s="283" t="n">
        <f aca="false">SUM(DE44:DE55)</f>
        <v>10590.0622071332</v>
      </c>
      <c r="DF56" s="283" t="n">
        <f aca="false">SUM(DF44:DF55)</f>
        <v>10933.704993743</v>
      </c>
      <c r="DG56" s="283" t="n">
        <f aca="false">SUM(DG44:DG55)</f>
        <v>10933.704993743</v>
      </c>
      <c r="DH56" s="283" t="n">
        <f aca="false">SUM(DH44:DH55)</f>
        <v>9902.77663391374</v>
      </c>
      <c r="DI56" s="283" t="n">
        <f aca="false">SUM(DI44:DI55)</f>
        <v>11152.3790936178</v>
      </c>
      <c r="DJ56" s="283" t="n">
        <f aca="false">SUM(DJ44:DJ55)</f>
        <v>10801.8634512759</v>
      </c>
      <c r="DK56" s="283" t="n">
        <f aca="false">SUM(DK44:DK55)</f>
        <v>11152.3790936178</v>
      </c>
      <c r="DL56" s="283" t="n">
        <f aca="false">SUM(DL44:DL55)</f>
        <v>10801.8634512759</v>
      </c>
      <c r="DM56" s="283" t="n">
        <f aca="false">SUM(DM44:DM55)</f>
        <v>11152.3790936178</v>
      </c>
      <c r="DN56" s="283" t="n">
        <f aca="false">SUM(DN44:DN55)</f>
        <v>11152.3790936178</v>
      </c>
      <c r="DO56" s="283" t="n">
        <f aca="false">SUM(DO44:DO55)</f>
        <v>10801.8634512759</v>
      </c>
      <c r="DP56" s="283" t="n">
        <f aca="false">SUM(DP44:DP55)</f>
        <v>11152.3790936178</v>
      </c>
      <c r="DQ56" s="283" t="n">
        <f aca="false">SUM(DQ44:DQ55)</f>
        <v>10801.8634512759</v>
      </c>
      <c r="DR56" s="283" t="n">
        <f aca="false">SUM(DR44:DR55)</f>
        <v>11152.3790936178</v>
      </c>
      <c r="DS56" s="283" t="n">
        <f aca="false">SUM(DS44:DS55)</f>
        <v>11152.3790936178</v>
      </c>
      <c r="DT56" s="283" t="n">
        <f aca="false">SUM(DT44:DT55)</f>
        <v>10451.347808934</v>
      </c>
      <c r="DU56" s="283" t="n">
        <f aca="false">SUM(DU44:DU55)</f>
        <v>0</v>
      </c>
      <c r="DV56" s="283" t="n">
        <f aca="false">SUM(DV44:DV55)</f>
        <v>0</v>
      </c>
      <c r="DW56" s="283" t="n">
        <f aca="false">SUM(DW44:DW55)</f>
        <v>0</v>
      </c>
      <c r="DX56" s="283" t="n">
        <f aca="false">SUM(DX44:DX55)</f>
        <v>0</v>
      </c>
      <c r="DY56" s="283" t="n">
        <f aca="false">SUM(DY44:DY55)</f>
        <v>0</v>
      </c>
      <c r="DZ56" s="283" t="n">
        <f aca="false">SUM(DZ44:DZ55)</f>
        <v>0</v>
      </c>
      <c r="EA56" s="283" t="n">
        <f aca="false">SUM(EA44:EA55)</f>
        <v>0</v>
      </c>
      <c r="EB56" s="283" t="n">
        <f aca="false">SUM(EB44:EB55)</f>
        <v>0</v>
      </c>
      <c r="EC56" s="283" t="n">
        <f aca="false">SUM(EC44:EC55)</f>
        <v>0</v>
      </c>
      <c r="ED56" s="283" t="n">
        <f aca="false">SUM(ED44:ED55)</f>
        <v>0</v>
      </c>
      <c r="EE56" s="283" t="n">
        <f aca="false">SUM(EE44:EE55)</f>
        <v>0</v>
      </c>
      <c r="EF56" s="283" t="n">
        <f aca="false">SUM(EF44:EF55)</f>
        <v>0</v>
      </c>
    </row>
    <row r="58" customFormat="false" ht="15" hidden="false" customHeight="false" outlineLevel="0" collapsed="false">
      <c r="A58" s="6" t="s">
        <v>605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</row>
    <row r="59" customFormat="false" ht="15" hidden="false" customHeight="false" outlineLevel="0" collapsed="false">
      <c r="A59" s="153" t="s">
        <v>606</v>
      </c>
      <c r="B59" s="278" t="s">
        <v>21</v>
      </c>
      <c r="C59" s="279" t="n">
        <f aca="false">SUM(E59:EF59)</f>
        <v>0</v>
      </c>
      <c r="E59" s="37" t="n">
        <f aca="false">E21+E22+E23-E44</f>
        <v>0</v>
      </c>
      <c r="F59" s="37" t="n">
        <f aca="false">F21+F22+F23-F44</f>
        <v>0</v>
      </c>
      <c r="G59" s="37" t="n">
        <f aca="false">G21+G22+G23-G44</f>
        <v>0</v>
      </c>
      <c r="H59" s="37" t="n">
        <f aca="false">H21+H22+H23-H44</f>
        <v>0</v>
      </c>
      <c r="I59" s="37" t="n">
        <f aca="false">I21+I22+I23-I44</f>
        <v>0</v>
      </c>
      <c r="J59" s="37" t="n">
        <f aca="false">J21+J22+J23-J44</f>
        <v>0</v>
      </c>
      <c r="K59" s="37" t="n">
        <f aca="false">K21+K22+K23-K44</f>
        <v>0</v>
      </c>
      <c r="L59" s="37" t="n">
        <f aca="false">L21+L22+L23-L44</f>
        <v>0</v>
      </c>
      <c r="M59" s="37" t="n">
        <f aca="false">M21+M22+M23-M44</f>
        <v>0</v>
      </c>
      <c r="N59" s="37" t="n">
        <f aca="false">N21+N22+N23-N44</f>
        <v>0</v>
      </c>
      <c r="O59" s="37" t="n">
        <f aca="false">O21+O22+O23-O44</f>
        <v>0</v>
      </c>
      <c r="P59" s="37" t="n">
        <f aca="false">P21+P22+P23-P44</f>
        <v>0</v>
      </c>
      <c r="Q59" s="37" t="n">
        <f aca="false">Q21+Q22+Q23-Q44</f>
        <v>0</v>
      </c>
      <c r="R59" s="37" t="n">
        <f aca="false">R21+R22+R23-R44</f>
        <v>0</v>
      </c>
      <c r="S59" s="37" t="n">
        <f aca="false">S21+S22+S23-S44</f>
        <v>0</v>
      </c>
      <c r="T59" s="37" t="n">
        <f aca="false">T21+T22+T23-T44</f>
        <v>0</v>
      </c>
      <c r="U59" s="37" t="n">
        <f aca="false">U21+U22+U23-U44</f>
        <v>0</v>
      </c>
      <c r="V59" s="37" t="n">
        <f aca="false">V21+V22+V23-V44</f>
        <v>0</v>
      </c>
      <c r="W59" s="37" t="n">
        <f aca="false">W21+W22+W23-W44</f>
        <v>0</v>
      </c>
      <c r="X59" s="37" t="n">
        <f aca="false">X21+X22+X23-X44</f>
        <v>0</v>
      </c>
      <c r="Y59" s="37" t="n">
        <f aca="false">Y21+Y22+Y23-Y44</f>
        <v>0</v>
      </c>
      <c r="Z59" s="37" t="n">
        <f aca="false">Z21+Z22+Z23-Z44</f>
        <v>0</v>
      </c>
      <c r="AA59" s="37" t="n">
        <f aca="false">AA21+AA22+AA23-AA44</f>
        <v>0</v>
      </c>
      <c r="AB59" s="37" t="n">
        <f aca="false">AB21+AB22+AB23-AB44</f>
        <v>0</v>
      </c>
      <c r="AC59" s="37" t="n">
        <f aca="false">AC21+AC22+AC23-AC44</f>
        <v>0</v>
      </c>
      <c r="AD59" s="37" t="n">
        <f aca="false">AD21+AD22+AD23-AD44</f>
        <v>0</v>
      </c>
      <c r="AE59" s="37" t="n">
        <f aca="false">AE21+AE22+AE23-AE44</f>
        <v>0</v>
      </c>
      <c r="AF59" s="37" t="n">
        <f aca="false">AF21+AF22+AF23-AF44</f>
        <v>0</v>
      </c>
      <c r="AG59" s="37" t="n">
        <f aca="false">AG21+AG22+AG23-AG44</f>
        <v>0</v>
      </c>
      <c r="AH59" s="37" t="n">
        <f aca="false">AH21+AH22+AH23-AH44</f>
        <v>0</v>
      </c>
      <c r="AI59" s="37" t="n">
        <f aca="false">AI21+AI22+AI23-AI44</f>
        <v>0</v>
      </c>
      <c r="AJ59" s="37" t="n">
        <f aca="false">AJ21+AJ22+AJ23-AJ44</f>
        <v>0</v>
      </c>
      <c r="AK59" s="37" t="n">
        <f aca="false">AK21+AK22+AK23-AK44</f>
        <v>0</v>
      </c>
      <c r="AL59" s="37" t="n">
        <f aca="false">AL21+AL22+AL23-AL44</f>
        <v>0</v>
      </c>
      <c r="AM59" s="37" t="n">
        <f aca="false">AM21+AM22+AM23-AM44</f>
        <v>0</v>
      </c>
      <c r="AN59" s="37" t="n">
        <f aca="false">AN21+AN22+AN23-AN44</f>
        <v>0</v>
      </c>
      <c r="AO59" s="37" t="n">
        <f aca="false">AO21+AO22+AO23-AO44</f>
        <v>0</v>
      </c>
      <c r="AP59" s="37" t="n">
        <f aca="false">AP21+AP22+AP23-AP44</f>
        <v>0</v>
      </c>
      <c r="AQ59" s="37" t="n">
        <f aca="false">AQ21+AQ22+AQ23-AQ44</f>
        <v>0</v>
      </c>
      <c r="AR59" s="37" t="n">
        <f aca="false">AR21+AR22+AR23-AR44</f>
        <v>0</v>
      </c>
      <c r="AS59" s="37" t="n">
        <f aca="false">AS21+AS22+AS23-AS44</f>
        <v>0</v>
      </c>
      <c r="AT59" s="37" t="n">
        <f aca="false">AT21+AT22+AT23-AT44</f>
        <v>0</v>
      </c>
      <c r="AU59" s="37" t="n">
        <f aca="false">AU21+AU22+AU23-AU44</f>
        <v>0</v>
      </c>
      <c r="AV59" s="37" t="n">
        <f aca="false">AV21+AV22+AV23-AV44</f>
        <v>0</v>
      </c>
      <c r="AW59" s="37" t="n">
        <f aca="false">AW21+AW22+AW23-AW44</f>
        <v>0</v>
      </c>
      <c r="AX59" s="37" t="n">
        <f aca="false">AX21+AX22+AX23-AX44</f>
        <v>0</v>
      </c>
      <c r="AY59" s="37" t="n">
        <f aca="false">AY21+AY22+AY23-AY44</f>
        <v>0</v>
      </c>
      <c r="AZ59" s="37" t="n">
        <f aca="false">AZ21+AZ22+AZ23-AZ44</f>
        <v>0</v>
      </c>
      <c r="BA59" s="37" t="n">
        <f aca="false">BA21+BA22+BA23-BA44</f>
        <v>0</v>
      </c>
      <c r="BB59" s="37" t="n">
        <f aca="false">BB21+BB22+BB23-BB44</f>
        <v>0</v>
      </c>
      <c r="BC59" s="37" t="n">
        <f aca="false">BC21+BC22+BC23-BC44</f>
        <v>0</v>
      </c>
      <c r="BD59" s="37" t="n">
        <f aca="false">BD21+BD22+BD23-BD44</f>
        <v>0</v>
      </c>
      <c r="BE59" s="37" t="n">
        <f aca="false">BE21+BE22+BE23-BE44</f>
        <v>0</v>
      </c>
      <c r="BF59" s="37" t="n">
        <f aca="false">BF21+BF22+BF23-BF44</f>
        <v>0</v>
      </c>
      <c r="BG59" s="37" t="n">
        <f aca="false">BG21+BG22+BG23-BG44</f>
        <v>0</v>
      </c>
      <c r="BH59" s="37" t="n">
        <f aca="false">BH21+BH22+BH23-BH44</f>
        <v>0</v>
      </c>
      <c r="BI59" s="37" t="n">
        <f aca="false">BI21+BI22+BI23-BI44</f>
        <v>0</v>
      </c>
      <c r="BJ59" s="37" t="n">
        <f aca="false">BJ21+BJ22+BJ23-BJ44</f>
        <v>0</v>
      </c>
      <c r="BK59" s="37" t="n">
        <f aca="false">BK21+BK22+BK23-BK44</f>
        <v>0</v>
      </c>
      <c r="BL59" s="37" t="n">
        <f aca="false">BL21+BL22+BL23-BL44</f>
        <v>0</v>
      </c>
      <c r="BM59" s="37" t="n">
        <f aca="false">BM21+BM22+BM23-BM44</f>
        <v>0</v>
      </c>
      <c r="BN59" s="37" t="n">
        <f aca="false">BN21+BN22+BN23-BN44</f>
        <v>0</v>
      </c>
      <c r="BO59" s="37" t="n">
        <f aca="false">BO21+BO22+BO23-BO44</f>
        <v>0</v>
      </c>
      <c r="BP59" s="37" t="n">
        <f aca="false">BP21+BP22+BP23-BP44</f>
        <v>0</v>
      </c>
      <c r="BQ59" s="37" t="n">
        <f aca="false">BQ21+BQ22+BQ23-BQ44</f>
        <v>0</v>
      </c>
      <c r="BR59" s="37" t="n">
        <f aca="false">BR21+BR22+BR23-BR44</f>
        <v>0</v>
      </c>
      <c r="BS59" s="37" t="n">
        <f aca="false">BS21+BS22+BS23-BS44</f>
        <v>0</v>
      </c>
      <c r="BT59" s="37" t="n">
        <f aca="false">BT21+BT22+BT23-BT44</f>
        <v>0</v>
      </c>
      <c r="BU59" s="37" t="n">
        <f aca="false">BU21+BU22+BU23-BU44</f>
        <v>0</v>
      </c>
      <c r="BV59" s="37" t="n">
        <f aca="false">BV21+BV22+BV23-BV44</f>
        <v>0</v>
      </c>
      <c r="BW59" s="37" t="n">
        <f aca="false">BW21+BW22+BW23-BW44</f>
        <v>0</v>
      </c>
      <c r="BX59" s="37" t="n">
        <f aca="false">BX21+BX22+BX23-BX44</f>
        <v>0</v>
      </c>
      <c r="BY59" s="37" t="n">
        <f aca="false">BY21+BY22+BY23-BY44</f>
        <v>0</v>
      </c>
      <c r="BZ59" s="37" t="n">
        <f aca="false">BZ21+BZ22+BZ23-BZ44</f>
        <v>0</v>
      </c>
      <c r="CA59" s="37" t="n">
        <f aca="false">CA21+CA22+CA23-CA44</f>
        <v>0</v>
      </c>
      <c r="CB59" s="37" t="n">
        <f aca="false">CB21+CB22+CB23-CB44</f>
        <v>0</v>
      </c>
      <c r="CC59" s="37" t="n">
        <f aca="false">CC21+CC22+CC23-CC44</f>
        <v>0</v>
      </c>
      <c r="CD59" s="37" t="n">
        <f aca="false">CD21+CD22+CD23-CD44</f>
        <v>0</v>
      </c>
      <c r="CE59" s="37" t="n">
        <f aca="false">CE21+CE22+CE23-CE44</f>
        <v>0</v>
      </c>
      <c r="CF59" s="37" t="n">
        <f aca="false">CF21+CF22+CF23-CF44</f>
        <v>0</v>
      </c>
      <c r="CG59" s="37" t="n">
        <f aca="false">CG21+CG22+CG23-CG44</f>
        <v>0</v>
      </c>
      <c r="CH59" s="37" t="n">
        <f aca="false">CH21+CH22+CH23-CH44</f>
        <v>0</v>
      </c>
      <c r="CI59" s="37" t="n">
        <f aca="false">CI21+CI22+CI23-CI44</f>
        <v>0</v>
      </c>
      <c r="CJ59" s="37" t="n">
        <f aca="false">CJ21+CJ22+CJ23-CJ44</f>
        <v>0</v>
      </c>
      <c r="CK59" s="37" t="n">
        <f aca="false">CK21+CK22+CK23-CK44</f>
        <v>0</v>
      </c>
      <c r="CL59" s="37" t="n">
        <f aca="false">CL21+CL22+CL23-CL44</f>
        <v>0</v>
      </c>
      <c r="CM59" s="37" t="n">
        <f aca="false">CM21+CM22+CM23-CM44</f>
        <v>0</v>
      </c>
      <c r="CN59" s="37" t="n">
        <f aca="false">CN21+CN22+CN23-CN44</f>
        <v>0</v>
      </c>
      <c r="CO59" s="37" t="n">
        <f aca="false">CO21+CO22+CO23-CO44</f>
        <v>0</v>
      </c>
      <c r="CP59" s="37" t="n">
        <f aca="false">CP21+CP22+CP23-CP44</f>
        <v>0</v>
      </c>
      <c r="CQ59" s="37" t="n">
        <f aca="false">CQ21+CQ22+CQ23-CQ44</f>
        <v>0</v>
      </c>
      <c r="CR59" s="37" t="n">
        <f aca="false">CR21+CR22+CR23-CR44</f>
        <v>0</v>
      </c>
      <c r="CS59" s="37" t="n">
        <f aca="false">CS21+CS22+CS23-CS44</f>
        <v>0</v>
      </c>
      <c r="CT59" s="37" t="n">
        <f aca="false">CT21+CT22+CT23-CT44</f>
        <v>0</v>
      </c>
      <c r="CU59" s="37" t="n">
        <f aca="false">CU21+CU22+CU23-CU44</f>
        <v>0</v>
      </c>
      <c r="CV59" s="37" t="n">
        <f aca="false">CV21+CV22+CV23-CV44</f>
        <v>0</v>
      </c>
      <c r="CW59" s="37" t="n">
        <f aca="false">CW21+CW22+CW23-CW44</f>
        <v>0</v>
      </c>
      <c r="CX59" s="37" t="n">
        <f aca="false">CX21+CX22+CX23-CX44</f>
        <v>0</v>
      </c>
      <c r="CY59" s="37" t="n">
        <f aca="false">CY21+CY22+CY23-CY44</f>
        <v>0</v>
      </c>
      <c r="CZ59" s="37" t="n">
        <f aca="false">CZ21+CZ22+CZ23-CZ44</f>
        <v>0</v>
      </c>
      <c r="DA59" s="37" t="n">
        <f aca="false">DA21+DA22+DA23-DA44</f>
        <v>0</v>
      </c>
      <c r="DB59" s="37" t="n">
        <f aca="false">DB21+DB22+DB23-DB44</f>
        <v>0</v>
      </c>
      <c r="DC59" s="37" t="n">
        <f aca="false">DC21+DC22+DC23-DC44</f>
        <v>0</v>
      </c>
      <c r="DD59" s="37" t="n">
        <f aca="false">DD21+DD22+DD23-DD44</f>
        <v>0</v>
      </c>
      <c r="DE59" s="37" t="n">
        <f aca="false">DE21+DE22+DE23-DE44</f>
        <v>0</v>
      </c>
      <c r="DF59" s="37" t="n">
        <f aca="false">DF21+DF22+DF23-DF44</f>
        <v>0</v>
      </c>
      <c r="DG59" s="37" t="n">
        <f aca="false">DG21+DG22+DG23-DG44</f>
        <v>0</v>
      </c>
      <c r="DH59" s="37" t="n">
        <f aca="false">DH21+DH22+DH23-DH44</f>
        <v>0</v>
      </c>
      <c r="DI59" s="37" t="n">
        <f aca="false">DI21+DI22+DI23-DI44</f>
        <v>0</v>
      </c>
      <c r="DJ59" s="37" t="n">
        <f aca="false">DJ21+DJ22+DJ23-DJ44</f>
        <v>0</v>
      </c>
      <c r="DK59" s="37" t="n">
        <f aca="false">DK21+DK22+DK23-DK44</f>
        <v>0</v>
      </c>
      <c r="DL59" s="37" t="n">
        <f aca="false">DL21+DL22+DL23-DL44</f>
        <v>0</v>
      </c>
      <c r="DM59" s="37" t="n">
        <f aca="false">DM21+DM22+DM23-DM44</f>
        <v>0</v>
      </c>
      <c r="DN59" s="37" t="n">
        <f aca="false">DN21+DN22+DN23-DN44</f>
        <v>0</v>
      </c>
      <c r="DO59" s="37" t="n">
        <f aca="false">DO21+DO22+DO23-DO44</f>
        <v>0</v>
      </c>
      <c r="DP59" s="37" t="n">
        <f aca="false">DP21+DP22+DP23-DP44</f>
        <v>0</v>
      </c>
      <c r="DQ59" s="37" t="n">
        <f aca="false">DQ21+DQ22+DQ23-DQ44</f>
        <v>0</v>
      </c>
      <c r="DR59" s="37" t="n">
        <f aca="false">DR21+DR22+DR23-DR44</f>
        <v>0</v>
      </c>
      <c r="DS59" s="37" t="n">
        <f aca="false">DS21+DS22+DS23-DS44</f>
        <v>0</v>
      </c>
      <c r="DT59" s="37" t="n">
        <f aca="false">DT21+DT22+DT23-DT44</f>
        <v>0</v>
      </c>
      <c r="DU59" s="37" t="n">
        <f aca="false">DU21+DU22+DU23-DU44</f>
        <v>0</v>
      </c>
      <c r="DV59" s="37" t="n">
        <f aca="false">DV21+DV22+DV23-DV44</f>
        <v>0</v>
      </c>
      <c r="DW59" s="37" t="n">
        <f aca="false">DW21+DW22+DW23-DW44</f>
        <v>0</v>
      </c>
      <c r="DX59" s="37" t="n">
        <f aca="false">DX21+DX22+DX23-DX44</f>
        <v>0</v>
      </c>
      <c r="DY59" s="37" t="n">
        <f aca="false">DY21+DY22+DY23-DY44</f>
        <v>0</v>
      </c>
      <c r="DZ59" s="37" t="n">
        <f aca="false">DZ21+DZ22+DZ23-DZ44</f>
        <v>0</v>
      </c>
      <c r="EA59" s="37" t="n">
        <f aca="false">EA21+EA22+EA23-EA44</f>
        <v>0</v>
      </c>
      <c r="EB59" s="37" t="n">
        <f aca="false">EB21+EB22+EB23-EB44</f>
        <v>0</v>
      </c>
      <c r="EC59" s="37" t="n">
        <f aca="false">EC21+EC22+EC23-EC44</f>
        <v>0</v>
      </c>
      <c r="ED59" s="37" t="n">
        <f aca="false">ED21+ED22+ED23-ED44</f>
        <v>0</v>
      </c>
      <c r="EE59" s="37" t="n">
        <f aca="false">EE21+EE22+EE23-EE44</f>
        <v>0</v>
      </c>
      <c r="EF59" s="37" t="n">
        <f aca="false">EF21+EF22+EF23-EF44</f>
        <v>0</v>
      </c>
    </row>
    <row r="60" customFormat="false" ht="15" hidden="false" customHeight="false" outlineLevel="0" collapsed="false">
      <c r="A60" s="153" t="s">
        <v>607</v>
      </c>
      <c r="B60" s="278" t="s">
        <v>21</v>
      </c>
      <c r="C60" s="279" t="n">
        <f aca="false">SUM(E60:EF60)</f>
        <v>42839.1665090576</v>
      </c>
      <c r="E60" s="37" t="n">
        <f aca="false">E24+E25+E26-E45-E46</f>
        <v>0</v>
      </c>
      <c r="F60" s="37" t="n">
        <f aca="false">F24+F25+F26-F45-F46</f>
        <v>0</v>
      </c>
      <c r="G60" s="37" t="n">
        <f aca="false">G24+G25+G26-G45-G46</f>
        <v>0</v>
      </c>
      <c r="H60" s="37" t="n">
        <f aca="false">H24+H25+H26-H45-H46</f>
        <v>0</v>
      </c>
      <c r="I60" s="37" t="n">
        <f aca="false">I24+I25+I26-I45-I46</f>
        <v>0</v>
      </c>
      <c r="J60" s="37" t="n">
        <f aca="false">J24+J25+J26-J45-J46</f>
        <v>0</v>
      </c>
      <c r="K60" s="37" t="n">
        <f aca="false">K24+K25+K26-K45-K46</f>
        <v>0</v>
      </c>
      <c r="L60" s="37" t="n">
        <f aca="false">L24+L25+L26-L45-L46</f>
        <v>0</v>
      </c>
      <c r="M60" s="37" t="n">
        <f aca="false">M24+M25+M26-M45-M46</f>
        <v>0</v>
      </c>
      <c r="N60" s="37" t="n">
        <f aca="false">N24+N25+N26-N45-N46</f>
        <v>0</v>
      </c>
      <c r="O60" s="37" t="n">
        <f aca="false">O24+O25+O26-O45-O46</f>
        <v>0</v>
      </c>
      <c r="P60" s="37" t="n">
        <f aca="false">P24+P25+P26-P45-P46</f>
        <v>0</v>
      </c>
      <c r="Q60" s="37" t="n">
        <f aca="false">Q24+Q25+Q26-Q45-Q46</f>
        <v>0</v>
      </c>
      <c r="R60" s="37" t="n">
        <f aca="false">R24+R25+R26-R45-R46</f>
        <v>0</v>
      </c>
      <c r="S60" s="37" t="n">
        <f aca="false">S24+S25+S26-S45-S46</f>
        <v>0</v>
      </c>
      <c r="T60" s="37" t="n">
        <f aca="false">T24+T25+T26-T45-T46</f>
        <v>0</v>
      </c>
      <c r="U60" s="37" t="n">
        <f aca="false">U24+U25+U26-U45-U46</f>
        <v>0</v>
      </c>
      <c r="V60" s="37" t="n">
        <f aca="false">V24+V25+V26-V45-V46</f>
        <v>0</v>
      </c>
      <c r="W60" s="37" t="n">
        <f aca="false">W24+W25+W26-W45-W46</f>
        <v>0</v>
      </c>
      <c r="X60" s="37" t="n">
        <f aca="false">X24+X25+X26-X45-X46</f>
        <v>0</v>
      </c>
      <c r="Y60" s="37" t="n">
        <f aca="false">Y24+Y25+Y26-Y45-Y46</f>
        <v>0</v>
      </c>
      <c r="Z60" s="37" t="n">
        <f aca="false">Z24+Z25+Z26-Z45-Z46</f>
        <v>0</v>
      </c>
      <c r="AA60" s="37" t="n">
        <f aca="false">AA24+AA25+AA26-AA45-AA46</f>
        <v>0</v>
      </c>
      <c r="AB60" s="37" t="n">
        <f aca="false">AB24+AB25+AB26-AB45-AB46</f>
        <v>0</v>
      </c>
      <c r="AC60" s="37" t="n">
        <f aca="false">AC24+AC25+AC26-AC45-AC46</f>
        <v>0</v>
      </c>
      <c r="AD60" s="37" t="n">
        <f aca="false">AD24+AD25+AD26-AD45-AD46</f>
        <v>0</v>
      </c>
      <c r="AE60" s="37" t="n">
        <f aca="false">AE24+AE25+AE26-AE45-AE46</f>
        <v>0</v>
      </c>
      <c r="AF60" s="37" t="n">
        <f aca="false">AF24+AF25+AF26-AF45-AF46</f>
        <v>0</v>
      </c>
      <c r="AG60" s="37" t="n">
        <f aca="false">AG24+AG25+AG26-AG45-AG46</f>
        <v>0</v>
      </c>
      <c r="AH60" s="37" t="n">
        <f aca="false">AH24+AH25+AH26-AH45-AH46</f>
        <v>0</v>
      </c>
      <c r="AI60" s="37" t="n">
        <f aca="false">AI24+AI25+AI26-AI45-AI46</f>
        <v>0</v>
      </c>
      <c r="AJ60" s="37" t="n">
        <f aca="false">AJ24+AJ25+AJ26-AJ45-AJ46</f>
        <v>0</v>
      </c>
      <c r="AK60" s="37" t="n">
        <f aca="false">AK24+AK25+AK26-AK45-AK46</f>
        <v>0</v>
      </c>
      <c r="AL60" s="37" t="n">
        <f aca="false">AL24+AL25+AL26-AL45-AL46</f>
        <v>0</v>
      </c>
      <c r="AM60" s="37" t="n">
        <f aca="false">AM24+AM25+AM26-AM45-AM46</f>
        <v>0</v>
      </c>
      <c r="AN60" s="37" t="n">
        <f aca="false">AN24+AN25+AN26-AN45-AN46</f>
        <v>0</v>
      </c>
      <c r="AO60" s="37" t="n">
        <f aca="false">AO24+AO25+AO26-AO45-AO46</f>
        <v>0</v>
      </c>
      <c r="AP60" s="37" t="n">
        <f aca="false">AP24+AP25+AP26-AP45-AP46</f>
        <v>0</v>
      </c>
      <c r="AQ60" s="37" t="n">
        <f aca="false">AQ24+AQ25+AQ26-AQ45-AQ46</f>
        <v>0</v>
      </c>
      <c r="AR60" s="37" t="n">
        <f aca="false">AR24+AR25+AR26-AR45-AR46</f>
        <v>0</v>
      </c>
      <c r="AS60" s="37" t="n">
        <f aca="false">AS24+AS25+AS26-AS45-AS46</f>
        <v>0</v>
      </c>
      <c r="AT60" s="37" t="n">
        <f aca="false">AT24+AT25+AT26-AT45-AT46</f>
        <v>0</v>
      </c>
      <c r="AU60" s="37" t="n">
        <f aca="false">AU24+AU25+AU26-AU45-AU46</f>
        <v>0</v>
      </c>
      <c r="AV60" s="37" t="n">
        <f aca="false">AV24+AV25+AV26-AV45-AV46</f>
        <v>0</v>
      </c>
      <c r="AW60" s="37" t="n">
        <f aca="false">AW24+AW25+AW26-AW45-AW46</f>
        <v>0</v>
      </c>
      <c r="AX60" s="37" t="n">
        <f aca="false">AX24+AX25+AX26-AX45-AX46</f>
        <v>0</v>
      </c>
      <c r="AY60" s="37" t="n">
        <f aca="false">AY24+AY25+AY26-AY45-AY46</f>
        <v>0</v>
      </c>
      <c r="AZ60" s="37" t="n">
        <f aca="false">AZ24+AZ25+AZ26-AZ45-AZ46</f>
        <v>0</v>
      </c>
      <c r="BA60" s="37" t="n">
        <f aca="false">BA24+BA25+BA26-BA45-BA46</f>
        <v>0</v>
      </c>
      <c r="BB60" s="37" t="n">
        <f aca="false">BB24+BB25+BB26-BB45-BB46</f>
        <v>0</v>
      </c>
      <c r="BC60" s="37" t="n">
        <f aca="false">BC24+BC25+BC26-BC45-BC46</f>
        <v>0</v>
      </c>
      <c r="BD60" s="37" t="n">
        <f aca="false">BD24+BD25+BD26-BD45-BD46</f>
        <v>0</v>
      </c>
      <c r="BE60" s="37" t="n">
        <f aca="false">BE24+BE25+BE26-BE45-BE46</f>
        <v>0</v>
      </c>
      <c r="BF60" s="37" t="n">
        <f aca="false">BF24+BF25+BF26-BF45-BF46</f>
        <v>0</v>
      </c>
      <c r="BG60" s="37" t="n">
        <f aca="false">BG24+BG25+BG26-BG45-BG46</f>
        <v>0</v>
      </c>
      <c r="BH60" s="37" t="n">
        <f aca="false">BH24+BH25+BH26-BH45-BH46</f>
        <v>0</v>
      </c>
      <c r="BI60" s="37" t="n">
        <f aca="false">BI24+BI25+BI26-BI45-BI46</f>
        <v>0</v>
      </c>
      <c r="BJ60" s="37" t="n">
        <f aca="false">BJ24+BJ25+BJ26-BJ45-BJ46</f>
        <v>0</v>
      </c>
      <c r="BK60" s="37" t="n">
        <f aca="false">BK24+BK25+BK26-BK45-BK46</f>
        <v>0</v>
      </c>
      <c r="BL60" s="37" t="n">
        <f aca="false">BL24+BL25+BL26-BL45-BL46</f>
        <v>0</v>
      </c>
      <c r="BM60" s="37" t="n">
        <f aca="false">BM24+BM25+BM26-BM45-BM46</f>
        <v>621.206963795132</v>
      </c>
      <c r="BN60" s="37" t="n">
        <f aca="false">BN24+BN25+BN26-BN45-BN46</f>
        <v>601.16802947916</v>
      </c>
      <c r="BO60" s="37" t="n">
        <f aca="false">BO24+BO25+BO26-BO45-BO46</f>
        <v>621.206963795132</v>
      </c>
      <c r="BP60" s="37" t="n">
        <f aca="false">BP24+BP25+BP26-BP45-BP46</f>
        <v>601.16802947916</v>
      </c>
      <c r="BQ60" s="37" t="n">
        <f aca="false">BQ24+BQ25+BQ26-BQ45-BQ46</f>
        <v>621.206963795132</v>
      </c>
      <c r="BR60" s="37" t="n">
        <f aca="false">BR24+BR25+BR26-BR45-BR46</f>
        <v>621.206963795132</v>
      </c>
      <c r="BS60" s="37" t="n">
        <f aca="false">BS24+BS25+BS26-BS45-BS46</f>
        <v>601.16802947916</v>
      </c>
      <c r="BT60" s="37" t="n">
        <f aca="false">BT24+BT25+BT26-BT45-BT46</f>
        <v>621.206963795132</v>
      </c>
      <c r="BU60" s="37" t="n">
        <f aca="false">BU24+BU25+BU26-BU45-BU46</f>
        <v>601.16802947916</v>
      </c>
      <c r="BV60" s="37" t="n">
        <f aca="false">BV24+BV25+BV26-BV45-BV46</f>
        <v>621.206963795132</v>
      </c>
      <c r="BW60" s="37" t="n">
        <f aca="false">BW24+BW25+BW26-BW45-BW46</f>
        <v>621.206963795132</v>
      </c>
      <c r="BX60" s="37" t="n">
        <f aca="false">BX24+BX25+BX26-BX45-BX46</f>
        <v>581.129095163188</v>
      </c>
      <c r="BY60" s="37" t="n">
        <f aca="false">BY24+BY25+BY26-BY45-BY46</f>
        <v>731.112811235809</v>
      </c>
      <c r="BZ60" s="37" t="n">
        <f aca="false">BZ24+BZ25+BZ26-BZ45-BZ46</f>
        <v>707.528527002396</v>
      </c>
      <c r="CA60" s="37" t="n">
        <f aca="false">CA24+CA25+CA26-CA45-CA46</f>
        <v>731.112811235809</v>
      </c>
      <c r="CB60" s="37" t="n">
        <f aca="false">CB24+CB25+CB26-CB45-CB46</f>
        <v>707.528527002396</v>
      </c>
      <c r="CC60" s="37" t="n">
        <f aca="false">CC24+CC25+CC26-CC45-CC46</f>
        <v>731.112811235809</v>
      </c>
      <c r="CD60" s="37" t="n">
        <f aca="false">CD24+CD25+CD26-CD45-CD46</f>
        <v>731.112811235809</v>
      </c>
      <c r="CE60" s="37" t="n">
        <f aca="false">CE24+CE25+CE26-CE45-CE46</f>
        <v>707.528527002396</v>
      </c>
      <c r="CF60" s="37" t="n">
        <f aca="false">CF24+CF25+CF26-CF45-CF46</f>
        <v>731.112811235809</v>
      </c>
      <c r="CG60" s="37" t="n">
        <f aca="false">CG24+CG25+CG26-CG45-CG46</f>
        <v>707.528527002396</v>
      </c>
      <c r="CH60" s="37" t="n">
        <f aca="false">CH24+CH25+CH26-CH45-CH46</f>
        <v>731.112811235809</v>
      </c>
      <c r="CI60" s="37" t="n">
        <f aca="false">CI24+CI25+CI26-CI45-CI46</f>
        <v>731.112811235809</v>
      </c>
      <c r="CJ60" s="37" t="n">
        <f aca="false">CJ24+CJ25+CJ26-CJ45-CJ46</f>
        <v>660.359958535569</v>
      </c>
      <c r="CK60" s="37" t="n">
        <f aca="false">CK24+CK25+CK26-CK45-CK46</f>
        <v>745.735067460525</v>
      </c>
      <c r="CL60" s="37" t="n">
        <f aca="false">CL24+CL25+CL26-CL45-CL46</f>
        <v>721.679097542444</v>
      </c>
      <c r="CM60" s="37" t="n">
        <f aca="false">CM24+CM25+CM26-CM45-CM46</f>
        <v>745.735067460525</v>
      </c>
      <c r="CN60" s="37" t="n">
        <f aca="false">CN24+CN25+CN26-CN45-CN46</f>
        <v>721.679097542444</v>
      </c>
      <c r="CO60" s="37" t="n">
        <f aca="false">CO24+CO25+CO26-CO45-CO46</f>
        <v>745.735067460525</v>
      </c>
      <c r="CP60" s="37" t="n">
        <f aca="false">CP24+CP25+CP26-CP45-CP46</f>
        <v>745.735067460525</v>
      </c>
      <c r="CQ60" s="37" t="n">
        <f aca="false">CQ24+CQ25+CQ26-CQ45-CQ46</f>
        <v>721.679097542444</v>
      </c>
      <c r="CR60" s="37" t="n">
        <f aca="false">CR24+CR25+CR26-CR45-CR46</f>
        <v>745.735067460525</v>
      </c>
      <c r="CS60" s="37" t="n">
        <f aca="false">CS24+CS25+CS26-CS45-CS46</f>
        <v>721.679097542444</v>
      </c>
      <c r="CT60" s="37" t="n">
        <f aca="false">CT24+CT25+CT26-CT45-CT46</f>
        <v>745.735067460525</v>
      </c>
      <c r="CU60" s="37" t="n">
        <f aca="false">CU24+CU25+CU26-CU45-CU46</f>
        <v>745.735067460525</v>
      </c>
      <c r="CV60" s="37" t="n">
        <f aca="false">CV24+CV25+CV26-CV45-CV46</f>
        <v>673.567157706281</v>
      </c>
      <c r="CW60" s="37" t="n">
        <f aca="false">CW24+CW25+CW26-CW45-CW46</f>
        <v>760.649768809736</v>
      </c>
      <c r="CX60" s="37" t="n">
        <f aca="false">CX24+CX25+CX26-CX45-CX46</f>
        <v>736.112679493293</v>
      </c>
      <c r="CY60" s="37" t="n">
        <f aca="false">CY24+CY25+CY26-CY45-CY46</f>
        <v>760.649768809736</v>
      </c>
      <c r="CZ60" s="37" t="n">
        <f aca="false">CZ24+CZ25+CZ26-CZ45-CZ46</f>
        <v>736.112679493293</v>
      </c>
      <c r="DA60" s="37" t="n">
        <f aca="false">DA24+DA25+DA26-DA45-DA46</f>
        <v>760.649768809736</v>
      </c>
      <c r="DB60" s="37" t="n">
        <f aca="false">DB24+DB25+DB26-DB45-DB46</f>
        <v>760.649768809736</v>
      </c>
      <c r="DC60" s="37" t="n">
        <f aca="false">DC24+DC25+DC26-DC45-DC46</f>
        <v>736.112679493293</v>
      </c>
      <c r="DD60" s="37" t="n">
        <f aca="false">DD24+DD25+DD26-DD45-DD46</f>
        <v>760.649768809736</v>
      </c>
      <c r="DE60" s="37" t="n">
        <f aca="false">DE24+DE25+DE26-DE45-DE46</f>
        <v>736.112679493293</v>
      </c>
      <c r="DF60" s="37" t="n">
        <f aca="false">DF24+DF25+DF26-DF45-DF46</f>
        <v>760.649768809736</v>
      </c>
      <c r="DG60" s="37" t="n">
        <f aca="false">DG24+DG25+DG26-DG45-DG46</f>
        <v>760.649768809736</v>
      </c>
      <c r="DH60" s="37" t="n">
        <f aca="false">DH24+DH25+DH26-DH45-DH46</f>
        <v>687.038500860407</v>
      </c>
      <c r="DI60" s="37" t="n">
        <f aca="false">DI24+DI25+DI26-DI45-DI46</f>
        <v>775.86276418593</v>
      </c>
      <c r="DJ60" s="37" t="n">
        <f aca="false">DJ24+DJ25+DJ26-DJ45-DJ46</f>
        <v>750.834933083159</v>
      </c>
      <c r="DK60" s="37" t="n">
        <f aca="false">DK24+DK25+DK26-DK45-DK46</f>
        <v>775.86276418593</v>
      </c>
      <c r="DL60" s="37" t="n">
        <f aca="false">DL24+DL25+DL26-DL45-DL46</f>
        <v>750.834933083159</v>
      </c>
      <c r="DM60" s="37" t="n">
        <f aca="false">DM24+DM25+DM26-DM45-DM46</f>
        <v>775.86276418593</v>
      </c>
      <c r="DN60" s="37" t="n">
        <f aca="false">DN24+DN25+DN26-DN45-DN46</f>
        <v>775.86276418593</v>
      </c>
      <c r="DO60" s="37" t="n">
        <f aca="false">DO24+DO25+DO26-DO45-DO46</f>
        <v>750.834933083159</v>
      </c>
      <c r="DP60" s="37" t="n">
        <f aca="false">DP24+DP25+DP26-DP45-DP46</f>
        <v>775.86276418593</v>
      </c>
      <c r="DQ60" s="37" t="n">
        <f aca="false">DQ24+DQ25+DQ26-DQ45-DQ46</f>
        <v>750.834933083159</v>
      </c>
      <c r="DR60" s="37" t="n">
        <f aca="false">DR24+DR25+DR26-DR45-DR46</f>
        <v>775.86276418593</v>
      </c>
      <c r="DS60" s="37" t="n">
        <f aca="false">DS24+DS25+DS26-DS45-DS46</f>
        <v>775.86276418593</v>
      </c>
      <c r="DT60" s="37" t="n">
        <f aca="false">DT24+DT25+DT26-DT45-DT46</f>
        <v>725.807101980386</v>
      </c>
      <c r="DU60" s="37" t="n">
        <f aca="false">DU24+DU25+DU26-DU45-DU46</f>
        <v>0</v>
      </c>
      <c r="DV60" s="37" t="n">
        <f aca="false">DV24+DV25+DV26-DV45-DV46</f>
        <v>0</v>
      </c>
      <c r="DW60" s="37" t="n">
        <f aca="false">DW24+DW25+DW26-DW45-DW46</f>
        <v>0</v>
      </c>
      <c r="DX60" s="37" t="n">
        <f aca="false">DX24+DX25+DX26-DX45-DX46</f>
        <v>0</v>
      </c>
      <c r="DY60" s="37" t="n">
        <f aca="false">DY24+DY25+DY26-DY45-DY46</f>
        <v>0</v>
      </c>
      <c r="DZ60" s="37" t="n">
        <f aca="false">DZ24+DZ25+DZ26-DZ45-DZ46</f>
        <v>0</v>
      </c>
      <c r="EA60" s="37" t="n">
        <f aca="false">EA24+EA25+EA26-EA45-EA46</f>
        <v>0</v>
      </c>
      <c r="EB60" s="37" t="n">
        <f aca="false">EB24+EB25+EB26-EB45-EB46</f>
        <v>0</v>
      </c>
      <c r="EC60" s="37" t="n">
        <f aca="false">EC24+EC25+EC26-EC45-EC46</f>
        <v>0</v>
      </c>
      <c r="ED60" s="37" t="n">
        <f aca="false">ED24+ED25+ED26-ED45-ED46</f>
        <v>0</v>
      </c>
      <c r="EE60" s="37" t="n">
        <f aca="false">EE24+EE25+EE26-EE45-EE46</f>
        <v>0</v>
      </c>
      <c r="EF60" s="37" t="n">
        <f aca="false">EF24+EF25+EF26-EF45-EF46</f>
        <v>0</v>
      </c>
    </row>
    <row r="61" customFormat="false" ht="15" hidden="false" customHeight="false" outlineLevel="0" collapsed="false">
      <c r="A61" s="153" t="s">
        <v>608</v>
      </c>
      <c r="B61" s="278" t="s">
        <v>21</v>
      </c>
      <c r="C61" s="279" t="n">
        <f aca="false">SUM(E61:EF61)</f>
        <v>132976.804478938</v>
      </c>
      <c r="E61" s="37" t="n">
        <f aca="false">SUM(E27:E34)-SUM(E47:E52)</f>
        <v>0</v>
      </c>
      <c r="F61" s="37" t="n">
        <f aca="false">SUM(F27:F34)-SUM(F47:F52)</f>
        <v>0</v>
      </c>
      <c r="G61" s="37" t="n">
        <f aca="false">SUM(G27:G34)-SUM(G47:G52)</f>
        <v>0</v>
      </c>
      <c r="H61" s="37" t="n">
        <f aca="false">SUM(H27:H34)-SUM(H47:H52)</f>
        <v>0</v>
      </c>
      <c r="I61" s="37" t="n">
        <f aca="false">SUM(I27:I34)-SUM(I47:I52)</f>
        <v>0</v>
      </c>
      <c r="J61" s="37" t="n">
        <f aca="false">SUM(J27:J34)-SUM(J47:J52)</f>
        <v>0</v>
      </c>
      <c r="K61" s="37" t="n">
        <f aca="false">SUM(K27:K34)-SUM(K47:K52)</f>
        <v>0</v>
      </c>
      <c r="L61" s="37" t="n">
        <f aca="false">SUM(L27:L34)-SUM(L47:L52)</f>
        <v>0</v>
      </c>
      <c r="M61" s="37" t="n">
        <f aca="false">SUM(M27:M34)-SUM(M47:M52)</f>
        <v>0</v>
      </c>
      <c r="N61" s="37" t="n">
        <f aca="false">SUM(N27:N34)-SUM(N47:N52)</f>
        <v>0</v>
      </c>
      <c r="O61" s="37" t="n">
        <f aca="false">SUM(O27:O34)-SUM(O47:O52)</f>
        <v>0</v>
      </c>
      <c r="P61" s="37" t="n">
        <f aca="false">SUM(P27:P34)-SUM(P47:P52)</f>
        <v>0</v>
      </c>
      <c r="Q61" s="37" t="n">
        <f aca="false">SUM(Q27:Q34)-SUM(Q47:Q52)</f>
        <v>0</v>
      </c>
      <c r="R61" s="37" t="n">
        <f aca="false">SUM(R27:R34)-SUM(R47:R52)</f>
        <v>0</v>
      </c>
      <c r="S61" s="37" t="n">
        <f aca="false">SUM(S27:S34)-SUM(S47:S52)</f>
        <v>0</v>
      </c>
      <c r="T61" s="37" t="n">
        <f aca="false">SUM(T27:T34)-SUM(T47:T52)</f>
        <v>0</v>
      </c>
      <c r="U61" s="37" t="n">
        <f aca="false">SUM(U27:U34)-SUM(U47:U52)</f>
        <v>0</v>
      </c>
      <c r="V61" s="37" t="n">
        <f aca="false">SUM(V27:V34)-SUM(V47:V52)</f>
        <v>0</v>
      </c>
      <c r="W61" s="37" t="n">
        <f aca="false">SUM(W27:W34)-SUM(W47:W52)</f>
        <v>0</v>
      </c>
      <c r="X61" s="37" t="n">
        <f aca="false">SUM(X27:X34)-SUM(X47:X52)</f>
        <v>0</v>
      </c>
      <c r="Y61" s="37" t="n">
        <f aca="false">SUM(Y27:Y34)-SUM(Y47:Y52)</f>
        <v>0</v>
      </c>
      <c r="Z61" s="37" t="n">
        <f aca="false">SUM(Z27:Z34)-SUM(Z47:Z52)</f>
        <v>0</v>
      </c>
      <c r="AA61" s="37" t="n">
        <f aca="false">SUM(AA27:AA34)-SUM(AA47:AA52)</f>
        <v>0</v>
      </c>
      <c r="AB61" s="37" t="n">
        <f aca="false">SUM(AB27:AB34)-SUM(AB47:AB52)</f>
        <v>0</v>
      </c>
      <c r="AC61" s="37" t="n">
        <f aca="false">SUM(AC27:AC34)-SUM(AC47:AC52)</f>
        <v>0</v>
      </c>
      <c r="AD61" s="37" t="n">
        <f aca="false">SUM(AD27:AD34)-SUM(AD47:AD52)</f>
        <v>0</v>
      </c>
      <c r="AE61" s="37" t="n">
        <f aca="false">SUM(AE27:AE34)-SUM(AE47:AE52)</f>
        <v>0</v>
      </c>
      <c r="AF61" s="37" t="n">
        <f aca="false">SUM(AF27:AF34)-SUM(AF47:AF52)</f>
        <v>0</v>
      </c>
      <c r="AG61" s="37" t="n">
        <f aca="false">SUM(AG27:AG34)-SUM(AG47:AG52)</f>
        <v>0</v>
      </c>
      <c r="AH61" s="37" t="n">
        <f aca="false">SUM(AH27:AH34)-SUM(AH47:AH52)</f>
        <v>0</v>
      </c>
      <c r="AI61" s="37" t="n">
        <f aca="false">SUM(AI27:AI34)-SUM(AI47:AI52)</f>
        <v>0</v>
      </c>
      <c r="AJ61" s="37" t="n">
        <f aca="false">SUM(AJ27:AJ34)-SUM(AJ47:AJ52)</f>
        <v>0</v>
      </c>
      <c r="AK61" s="37" t="n">
        <f aca="false">SUM(AK27:AK34)-SUM(AK47:AK52)</f>
        <v>0</v>
      </c>
      <c r="AL61" s="37" t="n">
        <f aca="false">SUM(AL27:AL34)-SUM(AL47:AL52)</f>
        <v>0</v>
      </c>
      <c r="AM61" s="37" t="n">
        <f aca="false">SUM(AM27:AM34)-SUM(AM47:AM52)</f>
        <v>0</v>
      </c>
      <c r="AN61" s="37" t="n">
        <f aca="false">SUM(AN27:AN34)-SUM(AN47:AN52)</f>
        <v>0</v>
      </c>
      <c r="AO61" s="37" t="n">
        <f aca="false">SUM(AO27:AO34)-SUM(AO47:AO52)</f>
        <v>0</v>
      </c>
      <c r="AP61" s="37" t="n">
        <f aca="false">SUM(AP27:AP34)-SUM(AP47:AP52)</f>
        <v>0</v>
      </c>
      <c r="AQ61" s="37" t="n">
        <f aca="false">SUM(AQ27:AQ34)-SUM(AQ47:AQ52)</f>
        <v>0</v>
      </c>
      <c r="AR61" s="37" t="n">
        <f aca="false">SUM(AR27:AR34)-SUM(AR47:AR52)</f>
        <v>0</v>
      </c>
      <c r="AS61" s="37" t="n">
        <f aca="false">SUM(AS27:AS34)-SUM(AS47:AS52)</f>
        <v>0</v>
      </c>
      <c r="AT61" s="37" t="n">
        <f aca="false">SUM(AT27:AT34)-SUM(AT47:AT52)</f>
        <v>0</v>
      </c>
      <c r="AU61" s="37" t="n">
        <f aca="false">SUM(AU27:AU34)-SUM(AU47:AU52)</f>
        <v>0</v>
      </c>
      <c r="AV61" s="37" t="n">
        <f aca="false">SUM(AV27:AV34)-SUM(AV47:AV52)</f>
        <v>0</v>
      </c>
      <c r="AW61" s="37" t="n">
        <f aca="false">SUM(AW27:AW34)-SUM(AW47:AW52)</f>
        <v>0</v>
      </c>
      <c r="AX61" s="37" t="n">
        <f aca="false">SUM(AX27:AX34)-SUM(AX47:AX52)</f>
        <v>0</v>
      </c>
      <c r="AY61" s="37" t="n">
        <f aca="false">SUM(AY27:AY34)-SUM(AY47:AY52)</f>
        <v>0</v>
      </c>
      <c r="AZ61" s="37" t="n">
        <f aca="false">SUM(AZ27:AZ34)-SUM(AZ47:AZ52)</f>
        <v>0</v>
      </c>
      <c r="BA61" s="37" t="n">
        <f aca="false">SUM(BA27:BA34)-SUM(BA47:BA52)</f>
        <v>0</v>
      </c>
      <c r="BB61" s="37" t="n">
        <f aca="false">SUM(BB27:BB34)-SUM(BB47:BB52)</f>
        <v>0</v>
      </c>
      <c r="BC61" s="37" t="n">
        <f aca="false">SUM(BC27:BC34)-SUM(BC47:BC52)</f>
        <v>0</v>
      </c>
      <c r="BD61" s="37" t="n">
        <f aca="false">SUM(BD27:BD34)-SUM(BD47:BD52)</f>
        <v>0</v>
      </c>
      <c r="BE61" s="37" t="n">
        <f aca="false">SUM(BE27:BE34)-SUM(BE47:BE52)</f>
        <v>0</v>
      </c>
      <c r="BF61" s="37" t="n">
        <f aca="false">SUM(BF27:BF34)-SUM(BF47:BF52)</f>
        <v>0</v>
      </c>
      <c r="BG61" s="37" t="n">
        <f aca="false">SUM(BG27:BG34)-SUM(BG47:BG52)</f>
        <v>0</v>
      </c>
      <c r="BH61" s="37" t="n">
        <f aca="false">SUM(BH27:BH34)-SUM(BH47:BH52)</f>
        <v>0</v>
      </c>
      <c r="BI61" s="37" t="n">
        <f aca="false">SUM(BI27:BI34)-SUM(BI47:BI52)</f>
        <v>0</v>
      </c>
      <c r="BJ61" s="37" t="n">
        <f aca="false">SUM(BJ27:BJ34)-SUM(BJ47:BJ52)</f>
        <v>0</v>
      </c>
      <c r="BK61" s="37" t="n">
        <f aca="false">SUM(BK27:BK34)-SUM(BK47:BK52)</f>
        <v>0</v>
      </c>
      <c r="BL61" s="37" t="n">
        <f aca="false">SUM(BL27:BL34)-SUM(BL47:BL52)</f>
        <v>0</v>
      </c>
      <c r="BM61" s="37" t="n">
        <f aca="false">SUM(BM27:BM34)-SUM(BM47:BM52)</f>
        <v>1928.284878</v>
      </c>
      <c r="BN61" s="37" t="n">
        <f aca="false">SUM(BN27:BN34)-SUM(BN47:BN52)</f>
        <v>1866.08214</v>
      </c>
      <c r="BO61" s="37" t="n">
        <f aca="false">SUM(BO27:BO34)-SUM(BO47:BO52)</f>
        <v>1928.284878</v>
      </c>
      <c r="BP61" s="37" t="n">
        <f aca="false">SUM(BP27:BP34)-SUM(BP47:BP52)</f>
        <v>1866.08214</v>
      </c>
      <c r="BQ61" s="37" t="n">
        <f aca="false">SUM(BQ27:BQ34)-SUM(BQ47:BQ52)</f>
        <v>1928.284878</v>
      </c>
      <c r="BR61" s="37" t="n">
        <f aca="false">SUM(BR27:BR34)-SUM(BR47:BR52)</f>
        <v>1928.284878</v>
      </c>
      <c r="BS61" s="37" t="n">
        <f aca="false">SUM(BS27:BS34)-SUM(BS47:BS52)</f>
        <v>1866.08214</v>
      </c>
      <c r="BT61" s="37" t="n">
        <f aca="false">SUM(BT27:BT34)-SUM(BT47:BT52)</f>
        <v>1928.284878</v>
      </c>
      <c r="BU61" s="37" t="n">
        <f aca="false">SUM(BU27:BU34)-SUM(BU47:BU52)</f>
        <v>1866.08214</v>
      </c>
      <c r="BV61" s="37" t="n">
        <f aca="false">SUM(BV27:BV34)-SUM(BV47:BV52)</f>
        <v>1928.284878</v>
      </c>
      <c r="BW61" s="37" t="n">
        <f aca="false">SUM(BW27:BW34)-SUM(BW47:BW52)</f>
        <v>1928.284878</v>
      </c>
      <c r="BX61" s="37" t="n">
        <f aca="false">SUM(BX27:BX34)-SUM(BX47:BX52)</f>
        <v>1803.879402</v>
      </c>
      <c r="BY61" s="37" t="n">
        <f aca="false">SUM(BY27:BY34)-SUM(BY47:BY52)</f>
        <v>2269.4429718</v>
      </c>
      <c r="BZ61" s="37" t="n">
        <f aca="false">SUM(BZ27:BZ34)-SUM(BZ47:BZ52)</f>
        <v>2196.235134</v>
      </c>
      <c r="CA61" s="37" t="n">
        <f aca="false">SUM(CA27:CA34)-SUM(CA47:CA52)</f>
        <v>2269.4429718</v>
      </c>
      <c r="CB61" s="37" t="n">
        <f aca="false">SUM(CB27:CB34)-SUM(CB47:CB52)</f>
        <v>2196.235134</v>
      </c>
      <c r="CC61" s="37" t="n">
        <f aca="false">SUM(CC27:CC34)-SUM(CC47:CC52)</f>
        <v>2269.4429718</v>
      </c>
      <c r="CD61" s="37" t="n">
        <f aca="false">SUM(CD27:CD34)-SUM(CD47:CD52)</f>
        <v>2269.4429718</v>
      </c>
      <c r="CE61" s="37" t="n">
        <f aca="false">SUM(CE27:CE34)-SUM(CE47:CE52)</f>
        <v>2196.235134</v>
      </c>
      <c r="CF61" s="37" t="n">
        <f aca="false">SUM(CF27:CF34)-SUM(CF47:CF52)</f>
        <v>2269.4429718</v>
      </c>
      <c r="CG61" s="37" t="n">
        <f aca="false">SUM(CG27:CG34)-SUM(CG47:CG52)</f>
        <v>2196.235134</v>
      </c>
      <c r="CH61" s="37" t="n">
        <f aca="false">SUM(CH27:CH34)-SUM(CH47:CH52)</f>
        <v>2269.4429718</v>
      </c>
      <c r="CI61" s="37" t="n">
        <f aca="false">SUM(CI27:CI34)-SUM(CI47:CI52)</f>
        <v>2269.4429718</v>
      </c>
      <c r="CJ61" s="37" t="n">
        <f aca="false">SUM(CJ27:CJ34)-SUM(CJ47:CJ52)</f>
        <v>2049.8194584</v>
      </c>
      <c r="CK61" s="37" t="n">
        <f aca="false">SUM(CK27:CK34)-SUM(CK47:CK52)</f>
        <v>2314.831831236</v>
      </c>
      <c r="CL61" s="37" t="n">
        <f aca="false">SUM(CL27:CL34)-SUM(CL47:CL52)</f>
        <v>2240.15983668</v>
      </c>
      <c r="CM61" s="37" t="n">
        <f aca="false">SUM(CM27:CM34)-SUM(CM47:CM52)</f>
        <v>2314.831831236</v>
      </c>
      <c r="CN61" s="37" t="n">
        <f aca="false">SUM(CN27:CN34)-SUM(CN47:CN52)</f>
        <v>2240.15983668</v>
      </c>
      <c r="CO61" s="37" t="n">
        <f aca="false">SUM(CO27:CO34)-SUM(CO47:CO52)</f>
        <v>2314.831831236</v>
      </c>
      <c r="CP61" s="37" t="n">
        <f aca="false">SUM(CP27:CP34)-SUM(CP47:CP52)</f>
        <v>2314.831831236</v>
      </c>
      <c r="CQ61" s="37" t="n">
        <f aca="false">SUM(CQ27:CQ34)-SUM(CQ47:CQ52)</f>
        <v>2240.15983668</v>
      </c>
      <c r="CR61" s="37" t="n">
        <f aca="false">SUM(CR27:CR34)-SUM(CR47:CR52)</f>
        <v>2314.831831236</v>
      </c>
      <c r="CS61" s="37" t="n">
        <f aca="false">SUM(CS27:CS34)-SUM(CS47:CS52)</f>
        <v>2240.15983668</v>
      </c>
      <c r="CT61" s="37" t="n">
        <f aca="false">SUM(CT27:CT34)-SUM(CT47:CT52)</f>
        <v>2314.831831236</v>
      </c>
      <c r="CU61" s="37" t="n">
        <f aca="false">SUM(CU27:CU34)-SUM(CU47:CU52)</f>
        <v>2314.831831236</v>
      </c>
      <c r="CV61" s="37" t="n">
        <f aca="false">SUM(CV27:CV34)-SUM(CV47:CV52)</f>
        <v>2090.815847568</v>
      </c>
      <c r="CW61" s="37" t="n">
        <f aca="false">SUM(CW27:CW34)-SUM(CW47:CW52)</f>
        <v>2361.12846786072</v>
      </c>
      <c r="CX61" s="37" t="n">
        <f aca="false">SUM(CX27:CX34)-SUM(CX47:CX52)</f>
        <v>2284.9630334136</v>
      </c>
      <c r="CY61" s="37" t="n">
        <f aca="false">SUM(CY27:CY34)-SUM(CY47:CY52)</f>
        <v>2361.12846786072</v>
      </c>
      <c r="CZ61" s="37" t="n">
        <f aca="false">SUM(CZ27:CZ34)-SUM(CZ47:CZ52)</f>
        <v>2284.9630334136</v>
      </c>
      <c r="DA61" s="37" t="n">
        <f aca="false">SUM(DA27:DA34)-SUM(DA47:DA52)</f>
        <v>2361.12846786072</v>
      </c>
      <c r="DB61" s="37" t="n">
        <f aca="false">SUM(DB27:DB34)-SUM(DB47:DB52)</f>
        <v>2361.12846786072</v>
      </c>
      <c r="DC61" s="37" t="n">
        <f aca="false">SUM(DC27:DC34)-SUM(DC47:DC52)</f>
        <v>2284.9630334136</v>
      </c>
      <c r="DD61" s="37" t="n">
        <f aca="false">SUM(DD27:DD34)-SUM(DD47:DD52)</f>
        <v>2361.12846786072</v>
      </c>
      <c r="DE61" s="37" t="n">
        <f aca="false">SUM(DE27:DE34)-SUM(DE47:DE52)</f>
        <v>2284.9630334136</v>
      </c>
      <c r="DF61" s="37" t="n">
        <f aca="false">SUM(DF27:DF34)-SUM(DF47:DF52)</f>
        <v>2361.12846786072</v>
      </c>
      <c r="DG61" s="37" t="n">
        <f aca="false">SUM(DG27:DG34)-SUM(DG47:DG52)</f>
        <v>2361.12846786072</v>
      </c>
      <c r="DH61" s="37" t="n">
        <f aca="false">SUM(DH27:DH34)-SUM(DH47:DH52)</f>
        <v>2132.63216451936</v>
      </c>
      <c r="DI61" s="37" t="n">
        <f aca="false">SUM(DI27:DI34)-SUM(DI47:DI52)</f>
        <v>2408.35103721794</v>
      </c>
      <c r="DJ61" s="37" t="n">
        <f aca="false">SUM(DJ27:DJ34)-SUM(DJ47:DJ52)</f>
        <v>2330.66229408187</v>
      </c>
      <c r="DK61" s="37" t="n">
        <f aca="false">SUM(DK27:DK34)-SUM(DK47:DK52)</f>
        <v>2408.35103721794</v>
      </c>
      <c r="DL61" s="37" t="n">
        <f aca="false">SUM(DL27:DL34)-SUM(DL47:DL52)</f>
        <v>2330.66229408187</v>
      </c>
      <c r="DM61" s="37" t="n">
        <f aca="false">SUM(DM27:DM34)-SUM(DM47:DM52)</f>
        <v>2408.35103721794</v>
      </c>
      <c r="DN61" s="37" t="n">
        <f aca="false">SUM(DN27:DN34)-SUM(DN47:DN52)</f>
        <v>2408.35103721794</v>
      </c>
      <c r="DO61" s="37" t="n">
        <f aca="false">SUM(DO27:DO34)-SUM(DO47:DO52)</f>
        <v>2330.66229408187</v>
      </c>
      <c r="DP61" s="37" t="n">
        <f aca="false">SUM(DP27:DP34)-SUM(DP47:DP52)</f>
        <v>2408.35103721794</v>
      </c>
      <c r="DQ61" s="37" t="n">
        <f aca="false">SUM(DQ27:DQ34)-SUM(DQ47:DQ52)</f>
        <v>2330.66229408187</v>
      </c>
      <c r="DR61" s="37" t="n">
        <f aca="false">SUM(DR27:DR34)-SUM(DR47:DR52)</f>
        <v>2408.35103721794</v>
      </c>
      <c r="DS61" s="37" t="n">
        <f aca="false">SUM(DS27:DS34)-SUM(DS47:DS52)</f>
        <v>2408.35103721794</v>
      </c>
      <c r="DT61" s="37" t="n">
        <f aca="false">SUM(DT27:DT34)-SUM(DT47:DT52)</f>
        <v>2252.97355094581</v>
      </c>
      <c r="DU61" s="37" t="n">
        <f aca="false">SUM(DU27:DU34)-SUM(DU47:DU52)</f>
        <v>0</v>
      </c>
      <c r="DV61" s="37" t="n">
        <f aca="false">SUM(DV27:DV34)-SUM(DV47:DV52)</f>
        <v>0</v>
      </c>
      <c r="DW61" s="37" t="n">
        <f aca="false">SUM(DW27:DW34)-SUM(DW47:DW52)</f>
        <v>0</v>
      </c>
      <c r="DX61" s="37" t="n">
        <f aca="false">SUM(DX27:DX34)-SUM(DX47:DX52)</f>
        <v>0</v>
      </c>
      <c r="DY61" s="37" t="n">
        <f aca="false">SUM(DY27:DY34)-SUM(DY47:DY52)</f>
        <v>0</v>
      </c>
      <c r="DZ61" s="37" t="n">
        <f aca="false">SUM(DZ27:DZ34)-SUM(DZ47:DZ52)</f>
        <v>0</v>
      </c>
      <c r="EA61" s="37" t="n">
        <f aca="false">SUM(EA27:EA34)-SUM(EA47:EA52)</f>
        <v>0</v>
      </c>
      <c r="EB61" s="37" t="n">
        <f aca="false">SUM(EB27:EB34)-SUM(EB47:EB52)</f>
        <v>0</v>
      </c>
      <c r="EC61" s="37" t="n">
        <f aca="false">SUM(EC27:EC34)-SUM(EC47:EC52)</f>
        <v>0</v>
      </c>
      <c r="ED61" s="37" t="n">
        <f aca="false">SUM(ED27:ED34)-SUM(ED47:ED52)</f>
        <v>0</v>
      </c>
      <c r="EE61" s="37" t="n">
        <f aca="false">SUM(EE27:EE34)-SUM(EE47:EE52)</f>
        <v>0</v>
      </c>
      <c r="EF61" s="37" t="n">
        <f aca="false">SUM(EF27:EF34)-SUM(EF47:EF52)</f>
        <v>0</v>
      </c>
    </row>
    <row r="62" customFormat="false" ht="15" hidden="false" customHeight="false" outlineLevel="0" collapsed="false">
      <c r="A62" s="153" t="s">
        <v>609</v>
      </c>
      <c r="B62" s="278" t="s">
        <v>21</v>
      </c>
      <c r="C62" s="279" t="n">
        <f aca="false">SUM(E62:EF62)</f>
        <v>66369.0377920937</v>
      </c>
      <c r="E62" s="37" t="n">
        <f aca="false">E35-E53-E54</f>
        <v>0</v>
      </c>
      <c r="F62" s="37" t="n">
        <f aca="false">F35-F53-F54</f>
        <v>0</v>
      </c>
      <c r="G62" s="37" t="n">
        <f aca="false">G35-G53-G54</f>
        <v>0</v>
      </c>
      <c r="H62" s="37" t="n">
        <f aca="false">H35-H53-H54</f>
        <v>0</v>
      </c>
      <c r="I62" s="37" t="n">
        <f aca="false">I35-I53-I54</f>
        <v>0</v>
      </c>
      <c r="J62" s="37" t="n">
        <f aca="false">J35-J53-J54</f>
        <v>0</v>
      </c>
      <c r="K62" s="37" t="n">
        <f aca="false">K35-K53-K54</f>
        <v>0</v>
      </c>
      <c r="L62" s="37" t="n">
        <f aca="false">L35-L53-L54</f>
        <v>0</v>
      </c>
      <c r="M62" s="37" t="n">
        <f aca="false">M35-M53-M54</f>
        <v>0</v>
      </c>
      <c r="N62" s="37" t="n">
        <f aca="false">N35-N53-N54</f>
        <v>0</v>
      </c>
      <c r="O62" s="37" t="n">
        <f aca="false">O35-O53-O54</f>
        <v>0</v>
      </c>
      <c r="P62" s="37" t="n">
        <f aca="false">P35-P53-P54</f>
        <v>0</v>
      </c>
      <c r="Q62" s="37" t="n">
        <f aca="false">Q35-Q53-Q54</f>
        <v>0</v>
      </c>
      <c r="R62" s="37" t="n">
        <f aca="false">R35-R53-R54</f>
        <v>0</v>
      </c>
      <c r="S62" s="37" t="n">
        <f aca="false">S35-S53-S54</f>
        <v>0</v>
      </c>
      <c r="T62" s="37" t="n">
        <f aca="false">T35-T53-T54</f>
        <v>0</v>
      </c>
      <c r="U62" s="37" t="n">
        <f aca="false">U35-U53-U54</f>
        <v>0</v>
      </c>
      <c r="V62" s="37" t="n">
        <f aca="false">V35-V53-V54</f>
        <v>0</v>
      </c>
      <c r="W62" s="37" t="n">
        <f aca="false">W35-W53-W54</f>
        <v>0</v>
      </c>
      <c r="X62" s="37" t="n">
        <f aca="false">X35-X53-X54</f>
        <v>0</v>
      </c>
      <c r="Y62" s="37" t="n">
        <f aca="false">Y35-Y53-Y54</f>
        <v>0</v>
      </c>
      <c r="Z62" s="37" t="n">
        <f aca="false">Z35-Z53-Z54</f>
        <v>0</v>
      </c>
      <c r="AA62" s="37" t="n">
        <f aca="false">AA35-AA53-AA54</f>
        <v>0</v>
      </c>
      <c r="AB62" s="37" t="n">
        <f aca="false">AB35-AB53-AB54</f>
        <v>0</v>
      </c>
      <c r="AC62" s="37" t="n">
        <f aca="false">AC35-AC53-AC54</f>
        <v>0</v>
      </c>
      <c r="AD62" s="37" t="n">
        <f aca="false">AD35-AD53-AD54</f>
        <v>0</v>
      </c>
      <c r="AE62" s="37" t="n">
        <f aca="false">AE35-AE53-AE54</f>
        <v>0</v>
      </c>
      <c r="AF62" s="37" t="n">
        <f aca="false">AF35-AF53-AF54</f>
        <v>0</v>
      </c>
      <c r="AG62" s="37" t="n">
        <f aca="false">AG35-AG53-AG54</f>
        <v>0</v>
      </c>
      <c r="AH62" s="37" t="n">
        <f aca="false">AH35-AH53-AH54</f>
        <v>0</v>
      </c>
      <c r="AI62" s="37" t="n">
        <f aca="false">AI35-AI53-AI54</f>
        <v>0</v>
      </c>
      <c r="AJ62" s="37" t="n">
        <f aca="false">AJ35-AJ53-AJ54</f>
        <v>0</v>
      </c>
      <c r="AK62" s="37" t="n">
        <f aca="false">AK35-AK53-AK54</f>
        <v>0</v>
      </c>
      <c r="AL62" s="37" t="n">
        <f aca="false">AL35-AL53-AL54</f>
        <v>0</v>
      </c>
      <c r="AM62" s="37" t="n">
        <f aca="false">AM35-AM53-AM54</f>
        <v>0</v>
      </c>
      <c r="AN62" s="37" t="n">
        <f aca="false">AN35-AN53-AN54</f>
        <v>0</v>
      </c>
      <c r="AO62" s="37" t="n">
        <f aca="false">AO35-AO53-AO54</f>
        <v>0</v>
      </c>
      <c r="AP62" s="37" t="n">
        <f aca="false">AP35-AP53-AP54</f>
        <v>0</v>
      </c>
      <c r="AQ62" s="37" t="n">
        <f aca="false">AQ35-AQ53-AQ54</f>
        <v>0</v>
      </c>
      <c r="AR62" s="37" t="n">
        <f aca="false">AR35-AR53-AR54</f>
        <v>0</v>
      </c>
      <c r="AS62" s="37" t="n">
        <f aca="false">AS35-AS53-AS54</f>
        <v>0</v>
      </c>
      <c r="AT62" s="37" t="n">
        <f aca="false">AT35-AT53-AT54</f>
        <v>0</v>
      </c>
      <c r="AU62" s="37" t="n">
        <f aca="false">AU35-AU53-AU54</f>
        <v>0</v>
      </c>
      <c r="AV62" s="37" t="n">
        <f aca="false">AV35-AV53-AV54</f>
        <v>0</v>
      </c>
      <c r="AW62" s="37" t="n">
        <f aca="false">AW35-AW53-AW54</f>
        <v>0</v>
      </c>
      <c r="AX62" s="37" t="n">
        <f aca="false">AX35-AX53-AX54</f>
        <v>0</v>
      </c>
      <c r="AY62" s="37" t="n">
        <f aca="false">AY35-AY53-AY54</f>
        <v>0</v>
      </c>
      <c r="AZ62" s="37" t="n">
        <f aca="false">AZ35-AZ53-AZ54</f>
        <v>0</v>
      </c>
      <c r="BA62" s="37" t="n">
        <f aca="false">BA35-BA53-BA54</f>
        <v>0</v>
      </c>
      <c r="BB62" s="37" t="n">
        <f aca="false">BB35-BB53-BB54</f>
        <v>0</v>
      </c>
      <c r="BC62" s="37" t="n">
        <f aca="false">BC35-BC53-BC54</f>
        <v>0</v>
      </c>
      <c r="BD62" s="37" t="n">
        <f aca="false">BD35-BD53-BD54</f>
        <v>0</v>
      </c>
      <c r="BE62" s="37" t="n">
        <f aca="false">BE35-BE53-BE54</f>
        <v>0</v>
      </c>
      <c r="BF62" s="37" t="n">
        <f aca="false">BF35-BF53-BF54</f>
        <v>0</v>
      </c>
      <c r="BG62" s="37" t="n">
        <f aca="false">BG35-BG53-BG54</f>
        <v>0</v>
      </c>
      <c r="BH62" s="37" t="n">
        <f aca="false">BH35-BH53-BH54</f>
        <v>0</v>
      </c>
      <c r="BI62" s="37" t="n">
        <f aca="false">BI35-BI53-BI54</f>
        <v>0</v>
      </c>
      <c r="BJ62" s="37" t="n">
        <f aca="false">BJ35-BJ53-BJ54</f>
        <v>0</v>
      </c>
      <c r="BK62" s="37" t="n">
        <f aca="false">BK35-BK53-BK54</f>
        <v>0</v>
      </c>
      <c r="BL62" s="37" t="n">
        <f aca="false">BL35-BL53-BL54</f>
        <v>0</v>
      </c>
      <c r="BM62" s="37" t="n">
        <f aca="false">BM35-BM53-BM54</f>
        <v>715.66406</v>
      </c>
      <c r="BN62" s="37" t="n">
        <f aca="false">BN35-BN53-BN54</f>
        <v>715.66406</v>
      </c>
      <c r="BO62" s="37" t="n">
        <f aca="false">BO35-BO53-BO54</f>
        <v>715.66406</v>
      </c>
      <c r="BP62" s="37" t="n">
        <f aca="false">BP35-BP53-BP54</f>
        <v>715.66406</v>
      </c>
      <c r="BQ62" s="37" t="n">
        <f aca="false">BQ35-BQ53-BQ54</f>
        <v>715.66406</v>
      </c>
      <c r="BR62" s="37" t="n">
        <f aca="false">BR35-BR53-BR54</f>
        <v>715.66406</v>
      </c>
      <c r="BS62" s="37" t="n">
        <f aca="false">BS35-BS53-BS54</f>
        <v>715.66406</v>
      </c>
      <c r="BT62" s="37" t="n">
        <f aca="false">BT35-BT53-BT54</f>
        <v>715.66406</v>
      </c>
      <c r="BU62" s="37" t="n">
        <f aca="false">BU35-BU53-BU54</f>
        <v>715.66406</v>
      </c>
      <c r="BV62" s="37" t="n">
        <f aca="false">BV35-BV53-BV54</f>
        <v>715.66406</v>
      </c>
      <c r="BW62" s="37" t="n">
        <f aca="false">BW35-BW53-BW54</f>
        <v>715.66406</v>
      </c>
      <c r="BX62" s="37" t="n">
        <f aca="false">BX35-BX53-BX54</f>
        <v>715.66406</v>
      </c>
      <c r="BY62" s="37" t="n">
        <f aca="false">BY35-BY53-BY54</f>
        <v>1168.25498430252</v>
      </c>
      <c r="BZ62" s="37" t="n">
        <f aca="false">BZ35-BZ53-BZ54</f>
        <v>1168.25498430252</v>
      </c>
      <c r="CA62" s="37" t="n">
        <f aca="false">CA35-CA53-CA54</f>
        <v>1168.25498430252</v>
      </c>
      <c r="CB62" s="37" t="n">
        <f aca="false">CB35-CB53-CB54</f>
        <v>1168.25498430252</v>
      </c>
      <c r="CC62" s="37" t="n">
        <f aca="false">CC35-CC53-CC54</f>
        <v>1168.25498430252</v>
      </c>
      <c r="CD62" s="37" t="n">
        <f aca="false">CD35-CD53-CD54</f>
        <v>1168.25498430252</v>
      </c>
      <c r="CE62" s="37" t="n">
        <f aca="false">CE35-CE53-CE54</f>
        <v>1168.25498430252</v>
      </c>
      <c r="CF62" s="37" t="n">
        <f aca="false">CF35-CF53-CF54</f>
        <v>1168.25498430252</v>
      </c>
      <c r="CG62" s="37" t="n">
        <f aca="false">CG35-CG53-CG54</f>
        <v>1168.25498430252</v>
      </c>
      <c r="CH62" s="37" t="n">
        <f aca="false">CH35-CH53-CH54</f>
        <v>1168.25498430252</v>
      </c>
      <c r="CI62" s="37" t="n">
        <f aca="false">CI35-CI53-CI54</f>
        <v>1168.25498430252</v>
      </c>
      <c r="CJ62" s="37" t="n">
        <f aca="false">CJ35-CJ53-CJ54</f>
        <v>1168.25498430252</v>
      </c>
      <c r="CK62" s="37" t="n">
        <f aca="false">CK35-CK53-CK54</f>
        <v>1191.62008398857</v>
      </c>
      <c r="CL62" s="37" t="n">
        <f aca="false">CL35-CL53-CL54</f>
        <v>1191.62008398857</v>
      </c>
      <c r="CM62" s="37" t="n">
        <f aca="false">CM35-CM53-CM54</f>
        <v>1191.62008398857</v>
      </c>
      <c r="CN62" s="37" t="n">
        <f aca="false">CN35-CN53-CN54</f>
        <v>1191.62008398857</v>
      </c>
      <c r="CO62" s="37" t="n">
        <f aca="false">CO35-CO53-CO54</f>
        <v>1191.62008398857</v>
      </c>
      <c r="CP62" s="37" t="n">
        <f aca="false">CP35-CP53-CP54</f>
        <v>1191.62008398857</v>
      </c>
      <c r="CQ62" s="37" t="n">
        <f aca="false">CQ35-CQ53-CQ54</f>
        <v>1191.62008398857</v>
      </c>
      <c r="CR62" s="37" t="n">
        <f aca="false">CR35-CR53-CR54</f>
        <v>1191.62008398857</v>
      </c>
      <c r="CS62" s="37" t="n">
        <f aca="false">CS35-CS53-CS54</f>
        <v>1191.62008398857</v>
      </c>
      <c r="CT62" s="37" t="n">
        <f aca="false">CT35-CT53-CT54</f>
        <v>1191.62008398857</v>
      </c>
      <c r="CU62" s="37" t="n">
        <f aca="false">CU35-CU53-CU54</f>
        <v>1191.62008398857</v>
      </c>
      <c r="CV62" s="37" t="n">
        <f aca="false">CV35-CV53-CV54</f>
        <v>1191.62008398857</v>
      </c>
      <c r="CW62" s="37" t="n">
        <f aca="false">CW35-CW53-CW54</f>
        <v>1215.45248566834</v>
      </c>
      <c r="CX62" s="37" t="n">
        <f aca="false">CX35-CX53-CX54</f>
        <v>1215.45248566834</v>
      </c>
      <c r="CY62" s="37" t="n">
        <f aca="false">CY35-CY53-CY54</f>
        <v>1215.45248566834</v>
      </c>
      <c r="CZ62" s="37" t="n">
        <f aca="false">CZ35-CZ53-CZ54</f>
        <v>1215.45248566834</v>
      </c>
      <c r="DA62" s="37" t="n">
        <f aca="false">DA35-DA53-DA54</f>
        <v>1215.45248566834</v>
      </c>
      <c r="DB62" s="37" t="n">
        <f aca="false">DB35-DB53-DB54</f>
        <v>1215.45248566834</v>
      </c>
      <c r="DC62" s="37" t="n">
        <f aca="false">DC35-DC53-DC54</f>
        <v>1215.45248566834</v>
      </c>
      <c r="DD62" s="37" t="n">
        <f aca="false">DD35-DD53-DD54</f>
        <v>1215.45248566834</v>
      </c>
      <c r="DE62" s="37" t="n">
        <f aca="false">DE35-DE53-DE54</f>
        <v>1215.45248566834</v>
      </c>
      <c r="DF62" s="37" t="n">
        <f aca="false">DF35-DF53-DF54</f>
        <v>1215.45248566834</v>
      </c>
      <c r="DG62" s="37" t="n">
        <f aca="false">DG35-DG53-DG54</f>
        <v>1215.45248566834</v>
      </c>
      <c r="DH62" s="37" t="n">
        <f aca="false">DH35-DH53-DH54</f>
        <v>1215.45248566834</v>
      </c>
      <c r="DI62" s="37" t="n">
        <f aca="false">DI35-DI53-DI54</f>
        <v>1239.76153538171</v>
      </c>
      <c r="DJ62" s="37" t="n">
        <f aca="false">DJ35-DJ53-DJ54</f>
        <v>1239.76153538171</v>
      </c>
      <c r="DK62" s="37" t="n">
        <f aca="false">DK35-DK53-DK54</f>
        <v>1239.76153538171</v>
      </c>
      <c r="DL62" s="37" t="n">
        <f aca="false">DL35-DL53-DL54</f>
        <v>1239.76153538171</v>
      </c>
      <c r="DM62" s="37" t="n">
        <f aca="false">DM35-DM53-DM54</f>
        <v>1239.76153538171</v>
      </c>
      <c r="DN62" s="37" t="n">
        <f aca="false">DN35-DN53-DN54</f>
        <v>1239.76153538171</v>
      </c>
      <c r="DO62" s="37" t="n">
        <f aca="false">DO35-DO53-DO54</f>
        <v>1239.76153538171</v>
      </c>
      <c r="DP62" s="37" t="n">
        <f aca="false">DP35-DP53-DP54</f>
        <v>1239.76153538171</v>
      </c>
      <c r="DQ62" s="37" t="n">
        <f aca="false">DQ35-DQ53-DQ54</f>
        <v>1239.76153538171</v>
      </c>
      <c r="DR62" s="37" t="n">
        <f aca="false">DR35-DR53-DR54</f>
        <v>1239.76153538171</v>
      </c>
      <c r="DS62" s="37" t="n">
        <f aca="false">DS35-DS53-DS54</f>
        <v>1239.76153538171</v>
      </c>
      <c r="DT62" s="37" t="n">
        <f aca="false">DT35-DT53-DT54</f>
        <v>1239.76153538171</v>
      </c>
      <c r="DU62" s="37" t="n">
        <f aca="false">DU35-DU53-DU54</f>
        <v>0</v>
      </c>
      <c r="DV62" s="37" t="n">
        <f aca="false">DV35-DV53-DV54</f>
        <v>0</v>
      </c>
      <c r="DW62" s="37" t="n">
        <f aca="false">DW35-DW53-DW54</f>
        <v>0</v>
      </c>
      <c r="DX62" s="37" t="n">
        <f aca="false">DX35-DX53-DX54</f>
        <v>0</v>
      </c>
      <c r="DY62" s="37" t="n">
        <f aca="false">DY35-DY53-DY54</f>
        <v>0</v>
      </c>
      <c r="DZ62" s="37" t="n">
        <f aca="false">DZ35-DZ53-DZ54</f>
        <v>0</v>
      </c>
      <c r="EA62" s="37" t="n">
        <f aca="false">EA35-EA53-EA54</f>
        <v>0</v>
      </c>
      <c r="EB62" s="37" t="n">
        <f aca="false">EB35-EB53-EB54</f>
        <v>0</v>
      </c>
      <c r="EC62" s="37" t="n">
        <f aca="false">EC35-EC53-EC54</f>
        <v>0</v>
      </c>
      <c r="ED62" s="37" t="n">
        <f aca="false">ED35-ED53-ED54</f>
        <v>0</v>
      </c>
      <c r="EE62" s="37" t="n">
        <f aca="false">EE35-EE53-EE54</f>
        <v>0</v>
      </c>
      <c r="EF62" s="37" t="n">
        <f aca="false">EF35-EF53-EF54</f>
        <v>0</v>
      </c>
    </row>
    <row r="63" customFormat="false" ht="15" hidden="false" customHeight="false" outlineLevel="0" collapsed="false">
      <c r="A63" s="153" t="s">
        <v>610</v>
      </c>
      <c r="B63" s="278" t="s">
        <v>21</v>
      </c>
      <c r="C63" s="279" t="n">
        <f aca="false">SUM(E63:EF63)</f>
        <v>41146.7570639016</v>
      </c>
      <c r="E63" s="37" t="n">
        <f aca="false">SUM(E36:E40)-E55</f>
        <v>0</v>
      </c>
      <c r="F63" s="37" t="n">
        <f aca="false">SUM(F36:F40)-F55</f>
        <v>0</v>
      </c>
      <c r="G63" s="37" t="n">
        <f aca="false">SUM(G36:G40)-G55</f>
        <v>0</v>
      </c>
      <c r="H63" s="37" t="n">
        <f aca="false">SUM(H36:H40)-H55</f>
        <v>0</v>
      </c>
      <c r="I63" s="37" t="n">
        <f aca="false">SUM(I36:I40)-I55</f>
        <v>0</v>
      </c>
      <c r="J63" s="37" t="n">
        <f aca="false">SUM(J36:J40)-J55</f>
        <v>0</v>
      </c>
      <c r="K63" s="37" t="n">
        <f aca="false">SUM(K36:K40)-K55</f>
        <v>0</v>
      </c>
      <c r="L63" s="37" t="n">
        <f aca="false">SUM(L36:L40)-L55</f>
        <v>0</v>
      </c>
      <c r="M63" s="37" t="n">
        <f aca="false">SUM(M36:M40)-M55</f>
        <v>0</v>
      </c>
      <c r="N63" s="37" t="n">
        <f aca="false">SUM(N36:N40)-N55</f>
        <v>0</v>
      </c>
      <c r="O63" s="37" t="n">
        <f aca="false">SUM(O36:O40)-O55</f>
        <v>0</v>
      </c>
      <c r="P63" s="37" t="n">
        <f aca="false">SUM(P36:P40)-P55</f>
        <v>0</v>
      </c>
      <c r="Q63" s="37" t="n">
        <f aca="false">SUM(Q36:Q40)-Q55</f>
        <v>0</v>
      </c>
      <c r="R63" s="37" t="n">
        <f aca="false">SUM(R36:R40)-R55</f>
        <v>0</v>
      </c>
      <c r="S63" s="37" t="n">
        <f aca="false">SUM(S36:S40)-S55</f>
        <v>0</v>
      </c>
      <c r="T63" s="37" t="n">
        <f aca="false">SUM(T36:T40)-T55</f>
        <v>0</v>
      </c>
      <c r="U63" s="37" t="n">
        <f aca="false">SUM(U36:U40)-U55</f>
        <v>0</v>
      </c>
      <c r="V63" s="37" t="n">
        <f aca="false">SUM(V36:V40)-V55</f>
        <v>0</v>
      </c>
      <c r="W63" s="37" t="n">
        <f aca="false">SUM(W36:W40)-W55</f>
        <v>0</v>
      </c>
      <c r="X63" s="37" t="n">
        <f aca="false">SUM(X36:X40)-X55</f>
        <v>0</v>
      </c>
      <c r="Y63" s="37" t="n">
        <f aca="false">SUM(Y36:Y40)-Y55</f>
        <v>0</v>
      </c>
      <c r="Z63" s="37" t="n">
        <f aca="false">SUM(Z36:Z40)-Z55</f>
        <v>0</v>
      </c>
      <c r="AA63" s="37" t="n">
        <f aca="false">SUM(AA36:AA40)-AA55</f>
        <v>0</v>
      </c>
      <c r="AB63" s="37" t="n">
        <f aca="false">SUM(AB36:AB40)-AB55</f>
        <v>0</v>
      </c>
      <c r="AC63" s="37" t="n">
        <f aca="false">SUM(AC36:AC40)-AC55</f>
        <v>0</v>
      </c>
      <c r="AD63" s="37" t="n">
        <f aca="false">SUM(AD36:AD40)-AD55</f>
        <v>0</v>
      </c>
      <c r="AE63" s="37" t="n">
        <f aca="false">SUM(AE36:AE40)-AE55</f>
        <v>0</v>
      </c>
      <c r="AF63" s="37" t="n">
        <f aca="false">SUM(AF36:AF40)-AF55</f>
        <v>0</v>
      </c>
      <c r="AG63" s="37" t="n">
        <f aca="false">SUM(AG36:AG40)-AG55</f>
        <v>0</v>
      </c>
      <c r="AH63" s="37" t="n">
        <f aca="false">SUM(AH36:AH40)-AH55</f>
        <v>0</v>
      </c>
      <c r="AI63" s="37" t="n">
        <f aca="false">SUM(AI36:AI40)-AI55</f>
        <v>0</v>
      </c>
      <c r="AJ63" s="37" t="n">
        <f aca="false">SUM(AJ36:AJ40)-AJ55</f>
        <v>0</v>
      </c>
      <c r="AK63" s="37" t="n">
        <f aca="false">SUM(AK36:AK40)-AK55</f>
        <v>0</v>
      </c>
      <c r="AL63" s="37" t="n">
        <f aca="false">SUM(AL36:AL40)-AL55</f>
        <v>0</v>
      </c>
      <c r="AM63" s="37" t="n">
        <f aca="false">SUM(AM36:AM40)-AM55</f>
        <v>0</v>
      </c>
      <c r="AN63" s="37" t="n">
        <f aca="false">SUM(AN36:AN40)-AN55</f>
        <v>0</v>
      </c>
      <c r="AO63" s="37" t="n">
        <f aca="false">SUM(AO36:AO40)-AO55</f>
        <v>0</v>
      </c>
      <c r="AP63" s="37" t="n">
        <f aca="false">SUM(AP36:AP40)-AP55</f>
        <v>0</v>
      </c>
      <c r="AQ63" s="37" t="n">
        <f aca="false">SUM(AQ36:AQ40)-AQ55</f>
        <v>0</v>
      </c>
      <c r="AR63" s="37" t="n">
        <f aca="false">SUM(AR36:AR40)-AR55</f>
        <v>0</v>
      </c>
      <c r="AS63" s="37" t="n">
        <f aca="false">SUM(AS36:AS40)-AS55</f>
        <v>0</v>
      </c>
      <c r="AT63" s="37" t="n">
        <f aca="false">SUM(AT36:AT40)-AT55</f>
        <v>0</v>
      </c>
      <c r="AU63" s="37" t="n">
        <f aca="false">SUM(AU36:AU40)-AU55</f>
        <v>0</v>
      </c>
      <c r="AV63" s="37" t="n">
        <f aca="false">SUM(AV36:AV40)-AV55</f>
        <v>0</v>
      </c>
      <c r="AW63" s="37" t="n">
        <f aca="false">SUM(AW36:AW40)-AW55</f>
        <v>0</v>
      </c>
      <c r="AX63" s="37" t="n">
        <f aca="false">SUM(AX36:AX40)-AX55</f>
        <v>0</v>
      </c>
      <c r="AY63" s="37" t="n">
        <f aca="false">SUM(AY36:AY40)-AY55</f>
        <v>0</v>
      </c>
      <c r="AZ63" s="37" t="n">
        <f aca="false">SUM(AZ36:AZ40)-AZ55</f>
        <v>0</v>
      </c>
      <c r="BA63" s="37" t="n">
        <f aca="false">SUM(BA36:BA40)-BA55</f>
        <v>0</v>
      </c>
      <c r="BB63" s="37" t="n">
        <f aca="false">SUM(BB36:BB40)-BB55</f>
        <v>0</v>
      </c>
      <c r="BC63" s="37" t="n">
        <f aca="false">SUM(BC36:BC40)-BC55</f>
        <v>0</v>
      </c>
      <c r="BD63" s="37" t="n">
        <f aca="false">SUM(BD36:BD40)-BD55</f>
        <v>0</v>
      </c>
      <c r="BE63" s="37" t="n">
        <f aca="false">SUM(BE36:BE40)-BE55</f>
        <v>0</v>
      </c>
      <c r="BF63" s="37" t="n">
        <f aca="false">SUM(BF36:BF40)-BF55</f>
        <v>0</v>
      </c>
      <c r="BG63" s="37" t="n">
        <f aca="false">SUM(BG36:BG40)-BG55</f>
        <v>0</v>
      </c>
      <c r="BH63" s="37" t="n">
        <f aca="false">SUM(BH36:BH40)-BH55</f>
        <v>0</v>
      </c>
      <c r="BI63" s="37" t="n">
        <f aca="false">SUM(BI36:BI40)-BI55</f>
        <v>0</v>
      </c>
      <c r="BJ63" s="37" t="n">
        <f aca="false">SUM(BJ36:BJ40)-BJ55</f>
        <v>0</v>
      </c>
      <c r="BK63" s="37" t="n">
        <f aca="false">SUM(BK36:BK40)-BK55</f>
        <v>0</v>
      </c>
      <c r="BL63" s="37" t="n">
        <f aca="false">SUM(BL36:BL40)-BL55</f>
        <v>0</v>
      </c>
      <c r="BM63" s="37" t="n">
        <f aca="false">SUM(BM36:BM40)-BM55</f>
        <v>658.89123</v>
      </c>
      <c r="BN63" s="37" t="n">
        <f aca="false">SUM(BN36:BN40)-BN55</f>
        <v>658.89123</v>
      </c>
      <c r="BO63" s="37" t="n">
        <f aca="false">SUM(BO36:BO40)-BO55</f>
        <v>658.89123</v>
      </c>
      <c r="BP63" s="37" t="n">
        <f aca="false">SUM(BP36:BP40)-BP55</f>
        <v>658.89123</v>
      </c>
      <c r="BQ63" s="37" t="n">
        <f aca="false">SUM(BQ36:BQ40)-BQ55</f>
        <v>658.89123</v>
      </c>
      <c r="BR63" s="37" t="n">
        <f aca="false">SUM(BR36:BR40)-BR55</f>
        <v>658.89123</v>
      </c>
      <c r="BS63" s="37" t="n">
        <f aca="false">SUM(BS36:BS40)-BS55</f>
        <v>658.89123</v>
      </c>
      <c r="BT63" s="37" t="n">
        <f aca="false">SUM(BT36:BT40)-BT55</f>
        <v>658.89123</v>
      </c>
      <c r="BU63" s="37" t="n">
        <f aca="false">SUM(BU36:BU40)-BU55</f>
        <v>658.89123</v>
      </c>
      <c r="BV63" s="37" t="n">
        <f aca="false">SUM(BV36:BV40)-BV55</f>
        <v>658.89123</v>
      </c>
      <c r="BW63" s="37" t="n">
        <f aca="false">SUM(BW36:BW40)-BW55</f>
        <v>658.89123</v>
      </c>
      <c r="BX63" s="37" t="n">
        <f aca="false">SUM(BX36:BX40)-BX55</f>
        <v>658.89123</v>
      </c>
      <c r="BY63" s="37" t="n">
        <f aca="false">SUM(BY36:BY40)-BY55</f>
        <v>672.0690546</v>
      </c>
      <c r="BZ63" s="37" t="n">
        <f aca="false">SUM(BZ36:BZ40)-BZ55</f>
        <v>672.0690546</v>
      </c>
      <c r="CA63" s="37" t="n">
        <f aca="false">SUM(CA36:CA40)-CA55</f>
        <v>672.0690546</v>
      </c>
      <c r="CB63" s="37" t="n">
        <f aca="false">SUM(CB36:CB40)-CB55</f>
        <v>672.0690546</v>
      </c>
      <c r="CC63" s="37" t="n">
        <f aca="false">SUM(CC36:CC40)-CC55</f>
        <v>672.0690546</v>
      </c>
      <c r="CD63" s="37" t="n">
        <f aca="false">SUM(CD36:CD40)-CD55</f>
        <v>672.0690546</v>
      </c>
      <c r="CE63" s="37" t="n">
        <f aca="false">SUM(CE36:CE40)-CE55</f>
        <v>672.0690546</v>
      </c>
      <c r="CF63" s="37" t="n">
        <f aca="false">SUM(CF36:CF40)-CF55</f>
        <v>672.0690546</v>
      </c>
      <c r="CG63" s="37" t="n">
        <f aca="false">SUM(CG36:CG40)-CG55</f>
        <v>672.0690546</v>
      </c>
      <c r="CH63" s="37" t="n">
        <f aca="false">SUM(CH36:CH40)-CH55</f>
        <v>672.0690546</v>
      </c>
      <c r="CI63" s="37" t="n">
        <f aca="false">SUM(CI36:CI40)-CI55</f>
        <v>672.0690546</v>
      </c>
      <c r="CJ63" s="37" t="n">
        <f aca="false">SUM(CJ36:CJ40)-CJ55</f>
        <v>672.0690546</v>
      </c>
      <c r="CK63" s="37" t="n">
        <f aca="false">SUM(CK36:CK40)-CK55</f>
        <v>685.510435692</v>
      </c>
      <c r="CL63" s="37" t="n">
        <f aca="false">SUM(CL36:CL40)-CL55</f>
        <v>685.510435692</v>
      </c>
      <c r="CM63" s="37" t="n">
        <f aca="false">SUM(CM36:CM40)-CM55</f>
        <v>685.510435692</v>
      </c>
      <c r="CN63" s="37" t="n">
        <f aca="false">SUM(CN36:CN40)-CN55</f>
        <v>685.510435692</v>
      </c>
      <c r="CO63" s="37" t="n">
        <f aca="false">SUM(CO36:CO40)-CO55</f>
        <v>685.510435692</v>
      </c>
      <c r="CP63" s="37" t="n">
        <f aca="false">SUM(CP36:CP40)-CP55</f>
        <v>685.510435692</v>
      </c>
      <c r="CQ63" s="37" t="n">
        <f aca="false">SUM(CQ36:CQ40)-CQ55</f>
        <v>685.510435692</v>
      </c>
      <c r="CR63" s="37" t="n">
        <f aca="false">SUM(CR36:CR40)-CR55</f>
        <v>685.510435692</v>
      </c>
      <c r="CS63" s="37" t="n">
        <f aca="false">SUM(CS36:CS40)-CS55</f>
        <v>685.510435692</v>
      </c>
      <c r="CT63" s="37" t="n">
        <f aca="false">SUM(CT36:CT40)-CT55</f>
        <v>685.510435692</v>
      </c>
      <c r="CU63" s="37" t="n">
        <f aca="false">SUM(CU36:CU40)-CU55</f>
        <v>685.510435692</v>
      </c>
      <c r="CV63" s="37" t="n">
        <f aca="false">SUM(CV36:CV40)-CV55</f>
        <v>685.510435692</v>
      </c>
      <c r="CW63" s="37" t="n">
        <f aca="false">SUM(CW36:CW40)-CW55</f>
        <v>699.22064440584</v>
      </c>
      <c r="CX63" s="37" t="n">
        <f aca="false">SUM(CX36:CX40)-CX55</f>
        <v>699.22064440584</v>
      </c>
      <c r="CY63" s="37" t="n">
        <f aca="false">SUM(CY36:CY40)-CY55</f>
        <v>699.22064440584</v>
      </c>
      <c r="CZ63" s="37" t="n">
        <f aca="false">SUM(CZ36:CZ40)-CZ55</f>
        <v>699.22064440584</v>
      </c>
      <c r="DA63" s="37" t="n">
        <f aca="false">SUM(DA36:DA40)-DA55</f>
        <v>699.22064440584</v>
      </c>
      <c r="DB63" s="37" t="n">
        <f aca="false">SUM(DB36:DB40)-DB55</f>
        <v>699.22064440584</v>
      </c>
      <c r="DC63" s="37" t="n">
        <f aca="false">SUM(DC36:DC40)-DC55</f>
        <v>699.22064440584</v>
      </c>
      <c r="DD63" s="37" t="n">
        <f aca="false">SUM(DD36:DD40)-DD55</f>
        <v>699.22064440584</v>
      </c>
      <c r="DE63" s="37" t="n">
        <f aca="false">SUM(DE36:DE40)-DE55</f>
        <v>699.22064440584</v>
      </c>
      <c r="DF63" s="37" t="n">
        <f aca="false">SUM(DF36:DF40)-DF55</f>
        <v>699.22064440584</v>
      </c>
      <c r="DG63" s="37" t="n">
        <f aca="false">SUM(DG36:DG40)-DG55</f>
        <v>699.22064440584</v>
      </c>
      <c r="DH63" s="37" t="n">
        <f aca="false">SUM(DH36:DH40)-DH55</f>
        <v>699.22064440584</v>
      </c>
      <c r="DI63" s="37" t="n">
        <f aca="false">SUM(DI36:DI40)-DI55</f>
        <v>713.205057293957</v>
      </c>
      <c r="DJ63" s="37" t="n">
        <f aca="false">SUM(DJ36:DJ40)-DJ55</f>
        <v>713.205057293957</v>
      </c>
      <c r="DK63" s="37" t="n">
        <f aca="false">SUM(DK36:DK40)-DK55</f>
        <v>713.205057293957</v>
      </c>
      <c r="DL63" s="37" t="n">
        <f aca="false">SUM(DL36:DL40)-DL55</f>
        <v>713.205057293957</v>
      </c>
      <c r="DM63" s="37" t="n">
        <f aca="false">SUM(DM36:DM40)-DM55</f>
        <v>713.205057293957</v>
      </c>
      <c r="DN63" s="37" t="n">
        <f aca="false">SUM(DN36:DN40)-DN55</f>
        <v>713.205057293957</v>
      </c>
      <c r="DO63" s="37" t="n">
        <f aca="false">SUM(DO36:DO40)-DO55</f>
        <v>713.205057293957</v>
      </c>
      <c r="DP63" s="37" t="n">
        <f aca="false">SUM(DP36:DP40)-DP55</f>
        <v>713.205057293957</v>
      </c>
      <c r="DQ63" s="37" t="n">
        <f aca="false">SUM(DQ36:DQ40)-DQ55</f>
        <v>713.205057293957</v>
      </c>
      <c r="DR63" s="37" t="n">
        <f aca="false">SUM(DR36:DR40)-DR55</f>
        <v>713.205057293957</v>
      </c>
      <c r="DS63" s="37" t="n">
        <f aca="false">SUM(DS36:DS40)-DS55</f>
        <v>713.205057293957</v>
      </c>
      <c r="DT63" s="37" t="n">
        <f aca="false">SUM(DT36:DT40)-DT55</f>
        <v>713.205057293957</v>
      </c>
      <c r="DU63" s="37" t="n">
        <f aca="false">SUM(DU36:DU40)-DU55</f>
        <v>0</v>
      </c>
      <c r="DV63" s="37" t="n">
        <f aca="false">SUM(DV36:DV40)-DV55</f>
        <v>0</v>
      </c>
      <c r="DW63" s="37" t="n">
        <f aca="false">SUM(DW36:DW40)-DW55</f>
        <v>0</v>
      </c>
      <c r="DX63" s="37" t="n">
        <f aca="false">SUM(DX36:DX40)-DX55</f>
        <v>0</v>
      </c>
      <c r="DY63" s="37" t="n">
        <f aca="false">SUM(DY36:DY40)-DY55</f>
        <v>0</v>
      </c>
      <c r="DZ63" s="37" t="n">
        <f aca="false">SUM(DZ36:DZ40)-DZ55</f>
        <v>0</v>
      </c>
      <c r="EA63" s="37" t="n">
        <f aca="false">SUM(EA36:EA40)-EA55</f>
        <v>0</v>
      </c>
      <c r="EB63" s="37" t="n">
        <f aca="false">SUM(EB36:EB40)-EB55</f>
        <v>0</v>
      </c>
      <c r="EC63" s="37" t="n">
        <f aca="false">SUM(EC36:EC40)-EC55</f>
        <v>0</v>
      </c>
      <c r="ED63" s="37" t="n">
        <f aca="false">SUM(ED36:ED40)-ED55</f>
        <v>0</v>
      </c>
      <c r="EE63" s="37" t="n">
        <f aca="false">SUM(EE36:EE40)-EE55</f>
        <v>0</v>
      </c>
      <c r="EF63" s="37" t="n">
        <f aca="false">SUM(EF36:EF40)-EF55</f>
        <v>0</v>
      </c>
    </row>
    <row r="64" customFormat="false" ht="15" hidden="false" customHeight="false" outlineLevel="0" collapsed="false">
      <c r="A64" s="284" t="s">
        <v>45</v>
      </c>
      <c r="B64" s="281" t="s">
        <v>21</v>
      </c>
      <c r="C64" s="282" t="n">
        <f aca="false">SUM(E64:EF64)</f>
        <v>283331.76584399</v>
      </c>
      <c r="D64" s="48"/>
      <c r="E64" s="283" t="n">
        <f aca="false">SUM(E59:E63)</f>
        <v>0</v>
      </c>
      <c r="F64" s="283" t="n">
        <f aca="false">SUM(F59:F63)</f>
        <v>0</v>
      </c>
      <c r="G64" s="283" t="n">
        <f aca="false">SUM(G59:G63)</f>
        <v>0</v>
      </c>
      <c r="H64" s="283" t="n">
        <f aca="false">SUM(H59:H63)</f>
        <v>0</v>
      </c>
      <c r="I64" s="283" t="n">
        <f aca="false">SUM(I59:I63)</f>
        <v>0</v>
      </c>
      <c r="J64" s="283" t="n">
        <f aca="false">SUM(J59:J63)</f>
        <v>0</v>
      </c>
      <c r="K64" s="283" t="n">
        <f aca="false">SUM(K59:K63)</f>
        <v>0</v>
      </c>
      <c r="L64" s="283" t="n">
        <f aca="false">SUM(L59:L63)</f>
        <v>0</v>
      </c>
      <c r="M64" s="283" t="n">
        <f aca="false">SUM(M59:M63)</f>
        <v>0</v>
      </c>
      <c r="N64" s="283" t="n">
        <f aca="false">SUM(N59:N63)</f>
        <v>0</v>
      </c>
      <c r="O64" s="283" t="n">
        <f aca="false">SUM(O59:O63)</f>
        <v>0</v>
      </c>
      <c r="P64" s="283" t="n">
        <f aca="false">SUM(P59:P63)</f>
        <v>0</v>
      </c>
      <c r="Q64" s="283" t="n">
        <f aca="false">SUM(Q59:Q63)</f>
        <v>0</v>
      </c>
      <c r="R64" s="283" t="n">
        <f aca="false">SUM(R59:R63)</f>
        <v>0</v>
      </c>
      <c r="S64" s="283" t="n">
        <f aca="false">SUM(S59:S63)</f>
        <v>0</v>
      </c>
      <c r="T64" s="283" t="n">
        <f aca="false">SUM(T59:T63)</f>
        <v>0</v>
      </c>
      <c r="U64" s="283" t="n">
        <f aca="false">SUM(U59:U63)</f>
        <v>0</v>
      </c>
      <c r="V64" s="283" t="n">
        <f aca="false">SUM(V59:V63)</f>
        <v>0</v>
      </c>
      <c r="W64" s="283" t="n">
        <f aca="false">SUM(W59:W63)</f>
        <v>0</v>
      </c>
      <c r="X64" s="283" t="n">
        <f aca="false">SUM(X59:X63)</f>
        <v>0</v>
      </c>
      <c r="Y64" s="283" t="n">
        <f aca="false">SUM(Y59:Y63)</f>
        <v>0</v>
      </c>
      <c r="Z64" s="283" t="n">
        <f aca="false">SUM(Z59:Z63)</f>
        <v>0</v>
      </c>
      <c r="AA64" s="283" t="n">
        <f aca="false">SUM(AA59:AA63)</f>
        <v>0</v>
      </c>
      <c r="AB64" s="283" t="n">
        <f aca="false">SUM(AB59:AB63)</f>
        <v>0</v>
      </c>
      <c r="AC64" s="283" t="n">
        <f aca="false">SUM(AC59:AC63)</f>
        <v>0</v>
      </c>
      <c r="AD64" s="283" t="n">
        <f aca="false">SUM(AD59:AD63)</f>
        <v>0</v>
      </c>
      <c r="AE64" s="283" t="n">
        <f aca="false">SUM(AE59:AE63)</f>
        <v>0</v>
      </c>
      <c r="AF64" s="283" t="n">
        <f aca="false">SUM(AF59:AF63)</f>
        <v>0</v>
      </c>
      <c r="AG64" s="283" t="n">
        <f aca="false">SUM(AG59:AG63)</f>
        <v>0</v>
      </c>
      <c r="AH64" s="283" t="n">
        <f aca="false">SUM(AH59:AH63)</f>
        <v>0</v>
      </c>
      <c r="AI64" s="283" t="n">
        <f aca="false">SUM(AI59:AI63)</f>
        <v>0</v>
      </c>
      <c r="AJ64" s="283" t="n">
        <f aca="false">SUM(AJ59:AJ63)</f>
        <v>0</v>
      </c>
      <c r="AK64" s="283" t="n">
        <f aca="false">SUM(AK59:AK63)</f>
        <v>0</v>
      </c>
      <c r="AL64" s="283" t="n">
        <f aca="false">SUM(AL59:AL63)</f>
        <v>0</v>
      </c>
      <c r="AM64" s="283" t="n">
        <f aca="false">SUM(AM59:AM63)</f>
        <v>0</v>
      </c>
      <c r="AN64" s="283" t="n">
        <f aca="false">SUM(AN59:AN63)</f>
        <v>0</v>
      </c>
      <c r="AO64" s="283" t="n">
        <f aca="false">SUM(AO59:AO63)</f>
        <v>0</v>
      </c>
      <c r="AP64" s="283" t="n">
        <f aca="false">SUM(AP59:AP63)</f>
        <v>0</v>
      </c>
      <c r="AQ64" s="283" t="n">
        <f aca="false">SUM(AQ59:AQ63)</f>
        <v>0</v>
      </c>
      <c r="AR64" s="283" t="n">
        <f aca="false">SUM(AR59:AR63)</f>
        <v>0</v>
      </c>
      <c r="AS64" s="283" t="n">
        <f aca="false">SUM(AS59:AS63)</f>
        <v>0</v>
      </c>
      <c r="AT64" s="283" t="n">
        <f aca="false">SUM(AT59:AT63)</f>
        <v>0</v>
      </c>
      <c r="AU64" s="283" t="n">
        <f aca="false">SUM(AU59:AU63)</f>
        <v>0</v>
      </c>
      <c r="AV64" s="283" t="n">
        <f aca="false">SUM(AV59:AV63)</f>
        <v>0</v>
      </c>
      <c r="AW64" s="283" t="n">
        <f aca="false">SUM(AW59:AW63)</f>
        <v>0</v>
      </c>
      <c r="AX64" s="283" t="n">
        <f aca="false">SUM(AX59:AX63)</f>
        <v>0</v>
      </c>
      <c r="AY64" s="283" t="n">
        <f aca="false">SUM(AY59:AY63)</f>
        <v>0</v>
      </c>
      <c r="AZ64" s="283" t="n">
        <f aca="false">SUM(AZ59:AZ63)</f>
        <v>0</v>
      </c>
      <c r="BA64" s="283" t="n">
        <f aca="false">SUM(BA59:BA63)</f>
        <v>0</v>
      </c>
      <c r="BB64" s="283" t="n">
        <f aca="false">SUM(BB59:BB63)</f>
        <v>0</v>
      </c>
      <c r="BC64" s="283" t="n">
        <f aca="false">SUM(BC59:BC63)</f>
        <v>0</v>
      </c>
      <c r="BD64" s="283" t="n">
        <f aca="false">SUM(BD59:BD63)</f>
        <v>0</v>
      </c>
      <c r="BE64" s="283" t="n">
        <f aca="false">SUM(BE59:BE63)</f>
        <v>0</v>
      </c>
      <c r="BF64" s="283" t="n">
        <f aca="false">SUM(BF59:BF63)</f>
        <v>0</v>
      </c>
      <c r="BG64" s="283" t="n">
        <f aca="false">SUM(BG59:BG63)</f>
        <v>0</v>
      </c>
      <c r="BH64" s="283" t="n">
        <f aca="false">SUM(BH59:BH63)</f>
        <v>0</v>
      </c>
      <c r="BI64" s="283" t="n">
        <f aca="false">SUM(BI59:BI63)</f>
        <v>0</v>
      </c>
      <c r="BJ64" s="283" t="n">
        <f aca="false">SUM(BJ59:BJ63)</f>
        <v>0</v>
      </c>
      <c r="BK64" s="283" t="n">
        <f aca="false">SUM(BK59:BK63)</f>
        <v>0</v>
      </c>
      <c r="BL64" s="283" t="n">
        <f aca="false">SUM(BL59:BL63)</f>
        <v>0</v>
      </c>
      <c r="BM64" s="283" t="n">
        <f aca="false">SUM(BM59:BM63)</f>
        <v>3924.04713179513</v>
      </c>
      <c r="BN64" s="283" t="n">
        <f aca="false">SUM(BN59:BN63)</f>
        <v>3841.80545947916</v>
      </c>
      <c r="BO64" s="283" t="n">
        <f aca="false">SUM(BO59:BO63)</f>
        <v>3924.04713179513</v>
      </c>
      <c r="BP64" s="283" t="n">
        <f aca="false">SUM(BP59:BP63)</f>
        <v>3841.80545947916</v>
      </c>
      <c r="BQ64" s="283" t="n">
        <f aca="false">SUM(BQ59:BQ63)</f>
        <v>3924.04713179513</v>
      </c>
      <c r="BR64" s="283" t="n">
        <f aca="false">SUM(BR59:BR63)</f>
        <v>3924.04713179513</v>
      </c>
      <c r="BS64" s="283" t="n">
        <f aca="false">SUM(BS59:BS63)</f>
        <v>3841.80545947916</v>
      </c>
      <c r="BT64" s="283" t="n">
        <f aca="false">SUM(BT59:BT63)</f>
        <v>3924.04713179513</v>
      </c>
      <c r="BU64" s="283" t="n">
        <f aca="false">SUM(BU59:BU63)</f>
        <v>3841.80545947916</v>
      </c>
      <c r="BV64" s="283" t="n">
        <f aca="false">SUM(BV59:BV63)</f>
        <v>3924.04713179513</v>
      </c>
      <c r="BW64" s="283" t="n">
        <f aca="false">SUM(BW59:BW63)</f>
        <v>3924.04713179513</v>
      </c>
      <c r="BX64" s="283" t="n">
        <f aca="false">SUM(BX59:BX63)</f>
        <v>3759.56378716319</v>
      </c>
      <c r="BY64" s="283" t="n">
        <f aca="false">SUM(BY59:BY63)</f>
        <v>4840.87982193833</v>
      </c>
      <c r="BZ64" s="283" t="n">
        <f aca="false">SUM(BZ59:BZ63)</f>
        <v>4744.08769990492</v>
      </c>
      <c r="CA64" s="283" t="n">
        <f aca="false">SUM(CA59:CA63)</f>
        <v>4840.87982193833</v>
      </c>
      <c r="CB64" s="283" t="n">
        <f aca="false">SUM(CB59:CB63)</f>
        <v>4744.08769990492</v>
      </c>
      <c r="CC64" s="283" t="n">
        <f aca="false">SUM(CC59:CC63)</f>
        <v>4840.87982193833</v>
      </c>
      <c r="CD64" s="283" t="n">
        <f aca="false">SUM(CD59:CD63)</f>
        <v>4840.87982193833</v>
      </c>
      <c r="CE64" s="283" t="n">
        <f aca="false">SUM(CE59:CE63)</f>
        <v>4744.08769990492</v>
      </c>
      <c r="CF64" s="283" t="n">
        <f aca="false">SUM(CF59:CF63)</f>
        <v>4840.87982193833</v>
      </c>
      <c r="CG64" s="283" t="n">
        <f aca="false">SUM(CG59:CG63)</f>
        <v>4744.08769990492</v>
      </c>
      <c r="CH64" s="283" t="n">
        <f aca="false">SUM(CH59:CH63)</f>
        <v>4840.87982193833</v>
      </c>
      <c r="CI64" s="283" t="n">
        <f aca="false">SUM(CI59:CI63)</f>
        <v>4840.87982193833</v>
      </c>
      <c r="CJ64" s="283" t="n">
        <f aca="false">SUM(CJ59:CJ63)</f>
        <v>4550.50345583809</v>
      </c>
      <c r="CK64" s="283" t="n">
        <f aca="false">SUM(CK59:CK63)</f>
        <v>4937.6974183771</v>
      </c>
      <c r="CL64" s="283" t="n">
        <f aca="false">SUM(CL59:CL63)</f>
        <v>4838.96945390301</v>
      </c>
      <c r="CM64" s="283" t="n">
        <f aca="false">SUM(CM59:CM63)</f>
        <v>4937.6974183771</v>
      </c>
      <c r="CN64" s="283" t="n">
        <f aca="false">SUM(CN59:CN63)</f>
        <v>4838.96945390301</v>
      </c>
      <c r="CO64" s="283" t="n">
        <f aca="false">SUM(CO59:CO63)</f>
        <v>4937.6974183771</v>
      </c>
      <c r="CP64" s="283" t="n">
        <f aca="false">SUM(CP59:CP63)</f>
        <v>4937.6974183771</v>
      </c>
      <c r="CQ64" s="283" t="n">
        <f aca="false">SUM(CQ59:CQ63)</f>
        <v>4838.96945390301</v>
      </c>
      <c r="CR64" s="283" t="n">
        <f aca="false">SUM(CR59:CR63)</f>
        <v>4937.6974183771</v>
      </c>
      <c r="CS64" s="283" t="n">
        <f aca="false">SUM(CS59:CS63)</f>
        <v>4838.96945390301</v>
      </c>
      <c r="CT64" s="283" t="n">
        <f aca="false">SUM(CT59:CT63)</f>
        <v>4937.6974183771</v>
      </c>
      <c r="CU64" s="283" t="n">
        <f aca="false">SUM(CU59:CU63)</f>
        <v>4937.6974183771</v>
      </c>
      <c r="CV64" s="283" t="n">
        <f aca="false">SUM(CV59:CV63)</f>
        <v>4641.51352495485</v>
      </c>
      <c r="CW64" s="283" t="n">
        <f aca="false">SUM(CW59:CW63)</f>
        <v>5036.45136674464</v>
      </c>
      <c r="CX64" s="283" t="n">
        <f aca="false">SUM(CX59:CX63)</f>
        <v>4935.74884298108</v>
      </c>
      <c r="CY64" s="283" t="n">
        <f aca="false">SUM(CY59:CY63)</f>
        <v>5036.45136674464</v>
      </c>
      <c r="CZ64" s="283" t="n">
        <f aca="false">SUM(CZ59:CZ63)</f>
        <v>4935.74884298108</v>
      </c>
      <c r="DA64" s="283" t="n">
        <f aca="false">SUM(DA59:DA63)</f>
        <v>5036.45136674464</v>
      </c>
      <c r="DB64" s="283" t="n">
        <f aca="false">SUM(DB59:DB63)</f>
        <v>5036.45136674464</v>
      </c>
      <c r="DC64" s="283" t="n">
        <f aca="false">SUM(DC59:DC63)</f>
        <v>4935.74884298108</v>
      </c>
      <c r="DD64" s="283" t="n">
        <f aca="false">SUM(DD59:DD63)</f>
        <v>5036.45136674464</v>
      </c>
      <c r="DE64" s="283" t="n">
        <f aca="false">SUM(DE59:DE63)</f>
        <v>4935.74884298108</v>
      </c>
      <c r="DF64" s="283" t="n">
        <f aca="false">SUM(DF59:DF63)</f>
        <v>5036.45136674464</v>
      </c>
      <c r="DG64" s="283" t="n">
        <f aca="false">SUM(DG59:DG63)</f>
        <v>5036.45136674464</v>
      </c>
      <c r="DH64" s="283" t="n">
        <f aca="false">SUM(DH59:DH63)</f>
        <v>4734.34379545395</v>
      </c>
      <c r="DI64" s="283" t="n">
        <f aca="false">SUM(DI59:DI63)</f>
        <v>5137.18039407953</v>
      </c>
      <c r="DJ64" s="283" t="n">
        <f aca="false">SUM(DJ59:DJ63)</f>
        <v>5034.4638198407</v>
      </c>
      <c r="DK64" s="283" t="n">
        <f aca="false">SUM(DK59:DK63)</f>
        <v>5137.18039407953</v>
      </c>
      <c r="DL64" s="283" t="n">
        <f aca="false">SUM(DL59:DL63)</f>
        <v>5034.4638198407</v>
      </c>
      <c r="DM64" s="283" t="n">
        <f aca="false">SUM(DM59:DM63)</f>
        <v>5137.18039407953</v>
      </c>
      <c r="DN64" s="283" t="n">
        <f aca="false">SUM(DN59:DN63)</f>
        <v>5137.18039407953</v>
      </c>
      <c r="DO64" s="283" t="n">
        <f aca="false">SUM(DO59:DO63)</f>
        <v>5034.4638198407</v>
      </c>
      <c r="DP64" s="283" t="n">
        <f aca="false">SUM(DP59:DP63)</f>
        <v>5137.18039407953</v>
      </c>
      <c r="DQ64" s="283" t="n">
        <f aca="false">SUM(DQ59:DQ63)</f>
        <v>5034.4638198407</v>
      </c>
      <c r="DR64" s="283" t="n">
        <f aca="false">SUM(DR59:DR63)</f>
        <v>5137.18039407953</v>
      </c>
      <c r="DS64" s="283" t="n">
        <f aca="false">SUM(DS59:DS63)</f>
        <v>5137.18039407953</v>
      </c>
      <c r="DT64" s="283" t="n">
        <f aca="false">SUM(DT59:DT63)</f>
        <v>4931.74724560186</v>
      </c>
      <c r="DU64" s="283" t="n">
        <f aca="false">SUM(DU59:DU63)</f>
        <v>0</v>
      </c>
      <c r="DV64" s="283" t="n">
        <f aca="false">SUM(DV59:DV63)</f>
        <v>0</v>
      </c>
      <c r="DW64" s="283" t="n">
        <f aca="false">SUM(DW59:DW63)</f>
        <v>0</v>
      </c>
      <c r="DX64" s="283" t="n">
        <f aca="false">SUM(DX59:DX63)</f>
        <v>0</v>
      </c>
      <c r="DY64" s="283" t="n">
        <f aca="false">SUM(DY59:DY63)</f>
        <v>0</v>
      </c>
      <c r="DZ64" s="283" t="n">
        <f aca="false">SUM(DZ59:DZ63)</f>
        <v>0</v>
      </c>
      <c r="EA64" s="283" t="n">
        <f aca="false">SUM(EA59:EA63)</f>
        <v>0</v>
      </c>
      <c r="EB64" s="283" t="n">
        <f aca="false">SUM(EB59:EB63)</f>
        <v>0</v>
      </c>
      <c r="EC64" s="283" t="n">
        <f aca="false">SUM(EC59:EC63)</f>
        <v>0</v>
      </c>
      <c r="ED64" s="283" t="n">
        <f aca="false">SUM(ED59:ED63)</f>
        <v>0</v>
      </c>
      <c r="EE64" s="283" t="n">
        <f aca="false">SUM(EE59:EE63)</f>
        <v>0</v>
      </c>
      <c r="EF64" s="283" t="n">
        <f aca="false">SUM(EF59:EF63)</f>
        <v>0</v>
      </c>
    </row>
    <row r="66" customFormat="false" ht="15" hidden="false" customHeight="false" outlineLevel="0" collapsed="false">
      <c r="A66" s="6" t="s">
        <v>611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</row>
    <row r="67" customFormat="false" ht="15" hidden="false" customHeight="false" outlineLevel="0" collapsed="false">
      <c r="A67" s="36" t="s">
        <v>612</v>
      </c>
      <c r="B67" s="278" t="s">
        <v>21</v>
      </c>
      <c r="C67" s="279" t="n">
        <f aca="false">SUM(E67:EF67)</f>
        <v>5508.26056745336</v>
      </c>
      <c r="E67" s="37" t="n">
        <f aca="false">(E14=1)*③기타_가정!$E$265*③기타_가정!$I$39/1000000*(1+③기타_가정!$E$270)^(MAX(E16,1)-1)</f>
        <v>0</v>
      </c>
      <c r="F67" s="37" t="n">
        <f aca="false">(F14=1)*③기타_가정!$E$265*③기타_가정!$I$39/1000000*(1+③기타_가정!$E$270)^(MAX(F16,1)-1)</f>
        <v>0</v>
      </c>
      <c r="G67" s="37" t="n">
        <f aca="false">(G14=1)*③기타_가정!$E$265*③기타_가정!$I$39/1000000*(1+③기타_가정!$E$270)^(MAX(G16,1)-1)</f>
        <v>0</v>
      </c>
      <c r="H67" s="37" t="n">
        <f aca="false">(H14=1)*③기타_가정!$E$265*③기타_가정!$I$39/1000000*(1+③기타_가정!$E$270)^(MAX(H16,1)-1)</f>
        <v>0</v>
      </c>
      <c r="I67" s="37" t="n">
        <f aca="false">(I14=1)*③기타_가정!$E$265*③기타_가정!$I$39/1000000*(1+③기타_가정!$E$270)^(MAX(I16,1)-1)</f>
        <v>0</v>
      </c>
      <c r="J67" s="37" t="n">
        <f aca="false">(J14=1)*③기타_가정!$E$265*③기타_가정!$I$39/1000000*(1+③기타_가정!$E$270)^(MAX(J16,1)-1)</f>
        <v>0</v>
      </c>
      <c r="K67" s="37" t="n">
        <f aca="false">(K14=1)*③기타_가정!$E$265*③기타_가정!$I$39/1000000*(1+③기타_가정!$E$270)^(MAX(K16,1)-1)</f>
        <v>0</v>
      </c>
      <c r="L67" s="37" t="n">
        <f aca="false">(L14=1)*③기타_가정!$E$265*③기타_가정!$I$39/1000000*(1+③기타_가정!$E$270)^(MAX(L16,1)-1)</f>
        <v>0</v>
      </c>
      <c r="M67" s="37" t="n">
        <f aca="false">(M14=1)*③기타_가정!$E$265*③기타_가정!$I$39/1000000*(1+③기타_가정!$E$270)^(MAX(M16,1)-1)</f>
        <v>0</v>
      </c>
      <c r="N67" s="37" t="n">
        <f aca="false">(N14=1)*③기타_가정!$E$265*③기타_가정!$I$39/1000000*(1+③기타_가정!$E$270)^(MAX(N16,1)-1)</f>
        <v>0</v>
      </c>
      <c r="O67" s="37" t="n">
        <f aca="false">(O14=1)*③기타_가정!$E$265*③기타_가정!$I$39/1000000*(1+③기타_가정!$E$270)^(MAX(O16,1)-1)</f>
        <v>0</v>
      </c>
      <c r="P67" s="37" t="n">
        <f aca="false">(P14=1)*③기타_가정!$E$265*③기타_가정!$I$39/1000000*(1+③기타_가정!$E$270)^(MAX(P16,1)-1)</f>
        <v>0</v>
      </c>
      <c r="Q67" s="37" t="n">
        <f aca="false">(Q14=1)*③기타_가정!$E$265*③기타_가정!$I$39/1000000*(1+③기타_가정!$E$270)^(MAX(Q16,1)-1)</f>
        <v>0</v>
      </c>
      <c r="R67" s="37" t="n">
        <f aca="false">(R14=1)*③기타_가정!$E$265*③기타_가정!$I$39/1000000*(1+③기타_가정!$E$270)^(MAX(R16,1)-1)</f>
        <v>0</v>
      </c>
      <c r="S67" s="37" t="n">
        <f aca="false">(S14=1)*③기타_가정!$E$265*③기타_가정!$I$39/1000000*(1+③기타_가정!$E$270)^(MAX(S16,1)-1)</f>
        <v>0</v>
      </c>
      <c r="T67" s="37" t="n">
        <f aca="false">(T14=1)*③기타_가정!$E$265*③기타_가정!$I$39/1000000*(1+③기타_가정!$E$270)^(MAX(T16,1)-1)</f>
        <v>0</v>
      </c>
      <c r="U67" s="37" t="n">
        <f aca="false">(U14=1)*③기타_가정!$E$265*③기타_가정!$I$39/1000000*(1+③기타_가정!$E$270)^(MAX(U16,1)-1)</f>
        <v>0</v>
      </c>
      <c r="V67" s="37" t="n">
        <f aca="false">(V14=1)*③기타_가정!$E$265*③기타_가정!$I$39/1000000*(1+③기타_가정!$E$270)^(MAX(V16,1)-1)</f>
        <v>0</v>
      </c>
      <c r="W67" s="37" t="n">
        <f aca="false">(W14=1)*③기타_가정!$E$265*③기타_가정!$I$39/1000000*(1+③기타_가정!$E$270)^(MAX(W16,1)-1)</f>
        <v>0</v>
      </c>
      <c r="X67" s="37" t="n">
        <f aca="false">(X14=1)*③기타_가정!$E$265*③기타_가정!$I$39/1000000*(1+③기타_가정!$E$270)^(MAX(X16,1)-1)</f>
        <v>0</v>
      </c>
      <c r="Y67" s="37" t="n">
        <f aca="false">(Y14=1)*③기타_가정!$E$265*③기타_가정!$I$39/1000000*(1+③기타_가정!$E$270)^(MAX(Y16,1)-1)</f>
        <v>0</v>
      </c>
      <c r="Z67" s="37" t="n">
        <f aca="false">(Z14=1)*③기타_가정!$E$265*③기타_가정!$I$39/1000000*(1+③기타_가정!$E$270)^(MAX(Z16,1)-1)</f>
        <v>0</v>
      </c>
      <c r="AA67" s="37" t="n">
        <f aca="false">(AA14=1)*③기타_가정!$E$265*③기타_가정!$I$39/1000000*(1+③기타_가정!$E$270)^(MAX(AA16,1)-1)</f>
        <v>0</v>
      </c>
      <c r="AB67" s="37" t="n">
        <f aca="false">(AB14=1)*③기타_가정!$E$265*③기타_가정!$I$39/1000000*(1+③기타_가정!$E$270)^(MAX(AB16,1)-1)</f>
        <v>0</v>
      </c>
      <c r="AC67" s="37" t="n">
        <f aca="false">(AC14=1)*③기타_가정!$E$265*③기타_가정!$I$39/1000000*(1+③기타_가정!$E$270)^(MAX(AC16,1)-1)</f>
        <v>0</v>
      </c>
      <c r="AD67" s="37" t="n">
        <f aca="false">(AD14=1)*③기타_가정!$E$265*③기타_가정!$I$39/1000000*(1+③기타_가정!$E$270)^(MAX(AD16,1)-1)</f>
        <v>0</v>
      </c>
      <c r="AE67" s="37" t="n">
        <f aca="false">(AE14=1)*③기타_가정!$E$265*③기타_가정!$I$39/1000000*(1+③기타_가정!$E$270)^(MAX(AE16,1)-1)</f>
        <v>0</v>
      </c>
      <c r="AF67" s="37" t="n">
        <f aca="false">(AF14=1)*③기타_가정!$E$265*③기타_가정!$I$39/1000000*(1+③기타_가정!$E$270)^(MAX(AF16,1)-1)</f>
        <v>0</v>
      </c>
      <c r="AG67" s="37" t="n">
        <f aca="false">(AG14=1)*③기타_가정!$E$265*③기타_가정!$I$39/1000000*(1+③기타_가정!$E$270)^(MAX(AG16,1)-1)</f>
        <v>0</v>
      </c>
      <c r="AH67" s="37" t="n">
        <f aca="false">(AH14=1)*③기타_가정!$E$265*③기타_가정!$I$39/1000000*(1+③기타_가정!$E$270)^(MAX(AH16,1)-1)</f>
        <v>0</v>
      </c>
      <c r="AI67" s="37" t="n">
        <f aca="false">(AI14=1)*③기타_가정!$E$265*③기타_가정!$I$39/1000000*(1+③기타_가정!$E$270)^(MAX(AI16,1)-1)</f>
        <v>0</v>
      </c>
      <c r="AJ67" s="37" t="n">
        <f aca="false">(AJ14=1)*③기타_가정!$E$265*③기타_가정!$I$39/1000000*(1+③기타_가정!$E$270)^(MAX(AJ16,1)-1)</f>
        <v>0</v>
      </c>
      <c r="AK67" s="37" t="n">
        <f aca="false">(AK14=1)*③기타_가정!$E$265*③기타_가정!$I$39/1000000*(1+③기타_가정!$E$270)^(MAX(AK16,1)-1)</f>
        <v>0</v>
      </c>
      <c r="AL67" s="37" t="n">
        <f aca="false">(AL14=1)*③기타_가정!$E$265*③기타_가정!$I$39/1000000*(1+③기타_가정!$E$270)^(MAX(AL16,1)-1)</f>
        <v>0</v>
      </c>
      <c r="AM67" s="37" t="n">
        <f aca="false">(AM14=1)*③기타_가정!$E$265*③기타_가정!$I$39/1000000*(1+③기타_가정!$E$270)^(MAX(AM16,1)-1)</f>
        <v>0</v>
      </c>
      <c r="AN67" s="37" t="n">
        <f aca="false">(AN14=1)*③기타_가정!$E$265*③기타_가정!$I$39/1000000*(1+③기타_가정!$E$270)^(MAX(AN16,1)-1)</f>
        <v>0</v>
      </c>
      <c r="AO67" s="37" t="n">
        <f aca="false">(AO14=1)*③기타_가정!$E$265*③기타_가정!$I$39/1000000*(1+③기타_가정!$E$270)^(MAX(AO16,1)-1)</f>
        <v>0</v>
      </c>
      <c r="AP67" s="37" t="n">
        <f aca="false">(AP14=1)*③기타_가정!$E$265*③기타_가정!$I$39/1000000*(1+③기타_가정!$E$270)^(MAX(AP16,1)-1)</f>
        <v>0</v>
      </c>
      <c r="AQ67" s="37" t="n">
        <f aca="false">(AQ14=1)*③기타_가정!$E$265*③기타_가정!$I$39/1000000*(1+③기타_가정!$E$270)^(MAX(AQ16,1)-1)</f>
        <v>0</v>
      </c>
      <c r="AR67" s="37" t="n">
        <f aca="false">(AR14=1)*③기타_가정!$E$265*③기타_가정!$I$39/1000000*(1+③기타_가정!$E$270)^(MAX(AR16,1)-1)</f>
        <v>0</v>
      </c>
      <c r="AS67" s="37" t="n">
        <f aca="false">(AS14=1)*③기타_가정!$E$265*③기타_가정!$I$39/1000000*(1+③기타_가정!$E$270)^(MAX(AS16,1)-1)</f>
        <v>0</v>
      </c>
      <c r="AT67" s="37" t="n">
        <f aca="false">(AT14=1)*③기타_가정!$E$265*③기타_가정!$I$39/1000000*(1+③기타_가정!$E$270)^(MAX(AT16,1)-1)</f>
        <v>0</v>
      </c>
      <c r="AU67" s="37" t="n">
        <f aca="false">(AU14=1)*③기타_가정!$E$265*③기타_가정!$I$39/1000000*(1+③기타_가정!$E$270)^(MAX(AU16,1)-1)</f>
        <v>0</v>
      </c>
      <c r="AV67" s="37" t="n">
        <f aca="false">(AV14=1)*③기타_가정!$E$265*③기타_가정!$I$39/1000000*(1+③기타_가정!$E$270)^(MAX(AV16,1)-1)</f>
        <v>0</v>
      </c>
      <c r="AW67" s="37" t="n">
        <f aca="false">(AW14=1)*③기타_가정!$E$265*③기타_가정!$I$39/1000000*(1+③기타_가정!$E$270)^(MAX(AW16,1)-1)</f>
        <v>0</v>
      </c>
      <c r="AX67" s="37" t="n">
        <f aca="false">(AX14=1)*③기타_가정!$E$265*③기타_가정!$I$39/1000000*(1+③기타_가정!$E$270)^(MAX(AX16,1)-1)</f>
        <v>0</v>
      </c>
      <c r="AY67" s="37" t="n">
        <f aca="false">(AY14=1)*③기타_가정!$E$265*③기타_가정!$I$39/1000000*(1+③기타_가정!$E$270)^(MAX(AY16,1)-1)</f>
        <v>0</v>
      </c>
      <c r="AZ67" s="37" t="n">
        <f aca="false">(AZ14=1)*③기타_가정!$E$265*③기타_가정!$I$39/1000000*(1+③기타_가정!$E$270)^(MAX(AZ16,1)-1)</f>
        <v>0</v>
      </c>
      <c r="BA67" s="37" t="n">
        <f aca="false">(BA14=1)*③기타_가정!$E$265*③기타_가정!$I$39/1000000*(1+③기타_가정!$E$270)^(MAX(BA16,1)-1)</f>
        <v>0</v>
      </c>
      <c r="BB67" s="37" t="n">
        <f aca="false">(BB14=1)*③기타_가정!$E$265*③기타_가정!$I$39/1000000*(1+③기타_가정!$E$270)^(MAX(BB16,1)-1)</f>
        <v>0</v>
      </c>
      <c r="BC67" s="37" t="n">
        <f aca="false">(BC14=1)*③기타_가정!$E$265*③기타_가정!$I$39/1000000*(1+③기타_가정!$E$270)^(MAX(BC16,1)-1)</f>
        <v>0</v>
      </c>
      <c r="BD67" s="37" t="n">
        <f aca="false">(BD14=1)*③기타_가정!$E$265*③기타_가정!$I$39/1000000*(1+③기타_가정!$E$270)^(MAX(BD16,1)-1)</f>
        <v>0</v>
      </c>
      <c r="BE67" s="37" t="n">
        <f aca="false">(BE14=1)*③기타_가정!$E$265*③기타_가정!$I$39/1000000*(1+③기타_가정!$E$270)^(MAX(BE16,1)-1)</f>
        <v>0</v>
      </c>
      <c r="BF67" s="37" t="n">
        <f aca="false">(BF14=1)*③기타_가정!$E$265*③기타_가정!$I$39/1000000*(1+③기타_가정!$E$270)^(MAX(BF16,1)-1)</f>
        <v>0</v>
      </c>
      <c r="BG67" s="37" t="n">
        <f aca="false">(BG14=1)*③기타_가정!$E$265*③기타_가정!$I$39/1000000*(1+③기타_가정!$E$270)^(MAX(BG16,1)-1)</f>
        <v>0</v>
      </c>
      <c r="BH67" s="37" t="n">
        <f aca="false">(BH14=1)*③기타_가정!$E$265*③기타_가정!$I$39/1000000*(1+③기타_가정!$E$270)^(MAX(BH16,1)-1)</f>
        <v>0</v>
      </c>
      <c r="BI67" s="37" t="n">
        <f aca="false">(BI14=1)*③기타_가정!$E$265*③기타_가정!$I$39/1000000*(1+③기타_가정!$E$270)^(MAX(BI16,1)-1)</f>
        <v>0</v>
      </c>
      <c r="BJ67" s="37" t="n">
        <f aca="false">(BJ14=1)*③기타_가정!$E$265*③기타_가정!$I$39/1000000*(1+③기타_가정!$E$270)^(MAX(BJ16,1)-1)</f>
        <v>0</v>
      </c>
      <c r="BK67" s="37" t="n">
        <f aca="false">(BK14=1)*③기타_가정!$E$265*③기타_가정!$I$39/1000000*(1+③기타_가정!$E$270)^(MAX(BK16,1)-1)</f>
        <v>0</v>
      </c>
      <c r="BL67" s="37" t="n">
        <f aca="false">(BL14=1)*③기타_가정!$E$265*③기타_가정!$I$39/1000000*(1+③기타_가정!$E$270)^(MAX(BL16,1)-1)</f>
        <v>0</v>
      </c>
      <c r="BM67" s="37" t="n">
        <f aca="false">(BM14=1)*③기타_가정!$E$265*③기타_가정!$I$39/1000000*(1+③기타_가정!$E$270)^(MAX(BM16,1)-1)</f>
        <v>88.2048754125</v>
      </c>
      <c r="BN67" s="37" t="n">
        <f aca="false">(BN14=1)*③기타_가정!$E$265*③기타_가정!$I$39/1000000*(1+③기타_가정!$E$270)^(MAX(BN16,1)-1)</f>
        <v>88.2048754125</v>
      </c>
      <c r="BO67" s="37" t="n">
        <f aca="false">(BO14=1)*③기타_가정!$E$265*③기타_가정!$I$39/1000000*(1+③기타_가정!$E$270)^(MAX(BO16,1)-1)</f>
        <v>88.2048754125</v>
      </c>
      <c r="BP67" s="37" t="n">
        <f aca="false">(BP14=1)*③기타_가정!$E$265*③기타_가정!$I$39/1000000*(1+③기타_가정!$E$270)^(MAX(BP16,1)-1)</f>
        <v>88.2048754125</v>
      </c>
      <c r="BQ67" s="37" t="n">
        <f aca="false">(BQ14=1)*③기타_가정!$E$265*③기타_가정!$I$39/1000000*(1+③기타_가정!$E$270)^(MAX(BQ16,1)-1)</f>
        <v>88.2048754125</v>
      </c>
      <c r="BR67" s="37" t="n">
        <f aca="false">(BR14=1)*③기타_가정!$E$265*③기타_가정!$I$39/1000000*(1+③기타_가정!$E$270)^(MAX(BR16,1)-1)</f>
        <v>88.2048754125</v>
      </c>
      <c r="BS67" s="37" t="n">
        <f aca="false">(BS14=1)*③기타_가정!$E$265*③기타_가정!$I$39/1000000*(1+③기타_가정!$E$270)^(MAX(BS16,1)-1)</f>
        <v>88.2048754125</v>
      </c>
      <c r="BT67" s="37" t="n">
        <f aca="false">(BT14=1)*③기타_가정!$E$265*③기타_가정!$I$39/1000000*(1+③기타_가정!$E$270)^(MAX(BT16,1)-1)</f>
        <v>88.2048754125</v>
      </c>
      <c r="BU67" s="37" t="n">
        <f aca="false">(BU14=1)*③기타_가정!$E$265*③기타_가정!$I$39/1000000*(1+③기타_가정!$E$270)^(MAX(BU16,1)-1)</f>
        <v>88.2048754125</v>
      </c>
      <c r="BV67" s="37" t="n">
        <f aca="false">(BV14=1)*③기타_가정!$E$265*③기타_가정!$I$39/1000000*(1+③기타_가정!$E$270)^(MAX(BV16,1)-1)</f>
        <v>88.2048754125</v>
      </c>
      <c r="BW67" s="37" t="n">
        <f aca="false">(BW14=1)*③기타_가정!$E$265*③기타_가정!$I$39/1000000*(1+③기타_가정!$E$270)^(MAX(BW16,1)-1)</f>
        <v>88.2048754125</v>
      </c>
      <c r="BX67" s="37" t="n">
        <f aca="false">(BX14=1)*③기타_가정!$E$265*③기타_가정!$I$39/1000000*(1+③기타_가정!$E$270)^(MAX(BX16,1)-1)</f>
        <v>88.2048754125</v>
      </c>
      <c r="BY67" s="37" t="n">
        <f aca="false">(BY14=1)*③기타_가정!$E$265*③기타_가정!$I$39/1000000*(1+③기타_가정!$E$270)^(MAX(BY16,1)-1)</f>
        <v>89.96897292075</v>
      </c>
      <c r="BZ67" s="37" t="n">
        <f aca="false">(BZ14=1)*③기타_가정!$E$265*③기타_가정!$I$39/1000000*(1+③기타_가정!$E$270)^(MAX(BZ16,1)-1)</f>
        <v>89.96897292075</v>
      </c>
      <c r="CA67" s="37" t="n">
        <f aca="false">(CA14=1)*③기타_가정!$E$265*③기타_가정!$I$39/1000000*(1+③기타_가정!$E$270)^(MAX(CA16,1)-1)</f>
        <v>89.96897292075</v>
      </c>
      <c r="CB67" s="37" t="n">
        <f aca="false">(CB14=1)*③기타_가정!$E$265*③기타_가정!$I$39/1000000*(1+③기타_가정!$E$270)^(MAX(CB16,1)-1)</f>
        <v>89.96897292075</v>
      </c>
      <c r="CC67" s="37" t="n">
        <f aca="false">(CC14=1)*③기타_가정!$E$265*③기타_가정!$I$39/1000000*(1+③기타_가정!$E$270)^(MAX(CC16,1)-1)</f>
        <v>89.96897292075</v>
      </c>
      <c r="CD67" s="37" t="n">
        <f aca="false">(CD14=1)*③기타_가정!$E$265*③기타_가정!$I$39/1000000*(1+③기타_가정!$E$270)^(MAX(CD16,1)-1)</f>
        <v>89.96897292075</v>
      </c>
      <c r="CE67" s="37" t="n">
        <f aca="false">(CE14=1)*③기타_가정!$E$265*③기타_가정!$I$39/1000000*(1+③기타_가정!$E$270)^(MAX(CE16,1)-1)</f>
        <v>89.96897292075</v>
      </c>
      <c r="CF67" s="37" t="n">
        <f aca="false">(CF14=1)*③기타_가정!$E$265*③기타_가정!$I$39/1000000*(1+③기타_가정!$E$270)^(MAX(CF16,1)-1)</f>
        <v>89.96897292075</v>
      </c>
      <c r="CG67" s="37" t="n">
        <f aca="false">(CG14=1)*③기타_가정!$E$265*③기타_가정!$I$39/1000000*(1+③기타_가정!$E$270)^(MAX(CG16,1)-1)</f>
        <v>89.96897292075</v>
      </c>
      <c r="CH67" s="37" t="n">
        <f aca="false">(CH14=1)*③기타_가정!$E$265*③기타_가정!$I$39/1000000*(1+③기타_가정!$E$270)^(MAX(CH16,1)-1)</f>
        <v>89.96897292075</v>
      </c>
      <c r="CI67" s="37" t="n">
        <f aca="false">(CI14=1)*③기타_가정!$E$265*③기타_가정!$I$39/1000000*(1+③기타_가정!$E$270)^(MAX(CI16,1)-1)</f>
        <v>89.96897292075</v>
      </c>
      <c r="CJ67" s="37" t="n">
        <f aca="false">(CJ14=1)*③기타_가정!$E$265*③기타_가정!$I$39/1000000*(1+③기타_가정!$E$270)^(MAX(CJ16,1)-1)</f>
        <v>89.96897292075</v>
      </c>
      <c r="CK67" s="37" t="n">
        <f aca="false">(CK14=1)*③기타_가정!$E$265*③기타_가정!$I$39/1000000*(1+③기타_가정!$E$270)^(MAX(CK16,1)-1)</f>
        <v>91.768352379165</v>
      </c>
      <c r="CL67" s="37" t="n">
        <f aca="false">(CL14=1)*③기타_가정!$E$265*③기타_가정!$I$39/1000000*(1+③기타_가정!$E$270)^(MAX(CL16,1)-1)</f>
        <v>91.768352379165</v>
      </c>
      <c r="CM67" s="37" t="n">
        <f aca="false">(CM14=1)*③기타_가정!$E$265*③기타_가정!$I$39/1000000*(1+③기타_가정!$E$270)^(MAX(CM16,1)-1)</f>
        <v>91.768352379165</v>
      </c>
      <c r="CN67" s="37" t="n">
        <f aca="false">(CN14=1)*③기타_가정!$E$265*③기타_가정!$I$39/1000000*(1+③기타_가정!$E$270)^(MAX(CN16,1)-1)</f>
        <v>91.768352379165</v>
      </c>
      <c r="CO67" s="37" t="n">
        <f aca="false">(CO14=1)*③기타_가정!$E$265*③기타_가정!$I$39/1000000*(1+③기타_가정!$E$270)^(MAX(CO16,1)-1)</f>
        <v>91.768352379165</v>
      </c>
      <c r="CP67" s="37" t="n">
        <f aca="false">(CP14=1)*③기타_가정!$E$265*③기타_가정!$I$39/1000000*(1+③기타_가정!$E$270)^(MAX(CP16,1)-1)</f>
        <v>91.768352379165</v>
      </c>
      <c r="CQ67" s="37" t="n">
        <f aca="false">(CQ14=1)*③기타_가정!$E$265*③기타_가정!$I$39/1000000*(1+③기타_가정!$E$270)^(MAX(CQ16,1)-1)</f>
        <v>91.768352379165</v>
      </c>
      <c r="CR67" s="37" t="n">
        <f aca="false">(CR14=1)*③기타_가정!$E$265*③기타_가정!$I$39/1000000*(1+③기타_가정!$E$270)^(MAX(CR16,1)-1)</f>
        <v>91.768352379165</v>
      </c>
      <c r="CS67" s="37" t="n">
        <f aca="false">(CS14=1)*③기타_가정!$E$265*③기타_가정!$I$39/1000000*(1+③기타_가정!$E$270)^(MAX(CS16,1)-1)</f>
        <v>91.768352379165</v>
      </c>
      <c r="CT67" s="37" t="n">
        <f aca="false">(CT14=1)*③기타_가정!$E$265*③기타_가정!$I$39/1000000*(1+③기타_가정!$E$270)^(MAX(CT16,1)-1)</f>
        <v>91.768352379165</v>
      </c>
      <c r="CU67" s="37" t="n">
        <f aca="false">(CU14=1)*③기타_가정!$E$265*③기타_가정!$I$39/1000000*(1+③기타_가정!$E$270)^(MAX(CU16,1)-1)</f>
        <v>91.768352379165</v>
      </c>
      <c r="CV67" s="37" t="n">
        <f aca="false">(CV14=1)*③기타_가정!$E$265*③기타_가정!$I$39/1000000*(1+③기타_가정!$E$270)^(MAX(CV16,1)-1)</f>
        <v>91.768352379165</v>
      </c>
      <c r="CW67" s="37" t="n">
        <f aca="false">(CW14=1)*③기타_가정!$E$265*③기타_가정!$I$39/1000000*(1+③기타_가정!$E$270)^(MAX(CW16,1)-1)</f>
        <v>93.6037194267483</v>
      </c>
      <c r="CX67" s="37" t="n">
        <f aca="false">(CX14=1)*③기타_가정!$E$265*③기타_가정!$I$39/1000000*(1+③기타_가정!$E$270)^(MAX(CX16,1)-1)</f>
        <v>93.6037194267483</v>
      </c>
      <c r="CY67" s="37" t="n">
        <f aca="false">(CY14=1)*③기타_가정!$E$265*③기타_가정!$I$39/1000000*(1+③기타_가정!$E$270)^(MAX(CY16,1)-1)</f>
        <v>93.6037194267483</v>
      </c>
      <c r="CZ67" s="37" t="n">
        <f aca="false">(CZ14=1)*③기타_가정!$E$265*③기타_가정!$I$39/1000000*(1+③기타_가정!$E$270)^(MAX(CZ16,1)-1)</f>
        <v>93.6037194267483</v>
      </c>
      <c r="DA67" s="37" t="n">
        <f aca="false">(DA14=1)*③기타_가정!$E$265*③기타_가정!$I$39/1000000*(1+③기타_가정!$E$270)^(MAX(DA16,1)-1)</f>
        <v>93.6037194267483</v>
      </c>
      <c r="DB67" s="37" t="n">
        <f aca="false">(DB14=1)*③기타_가정!$E$265*③기타_가정!$I$39/1000000*(1+③기타_가정!$E$270)^(MAX(DB16,1)-1)</f>
        <v>93.6037194267483</v>
      </c>
      <c r="DC67" s="37" t="n">
        <f aca="false">(DC14=1)*③기타_가정!$E$265*③기타_가정!$I$39/1000000*(1+③기타_가정!$E$270)^(MAX(DC16,1)-1)</f>
        <v>93.6037194267483</v>
      </c>
      <c r="DD67" s="37" t="n">
        <f aca="false">(DD14=1)*③기타_가정!$E$265*③기타_가정!$I$39/1000000*(1+③기타_가정!$E$270)^(MAX(DD16,1)-1)</f>
        <v>93.6037194267483</v>
      </c>
      <c r="DE67" s="37" t="n">
        <f aca="false">(DE14=1)*③기타_가정!$E$265*③기타_가정!$I$39/1000000*(1+③기타_가정!$E$270)^(MAX(DE16,1)-1)</f>
        <v>93.6037194267483</v>
      </c>
      <c r="DF67" s="37" t="n">
        <f aca="false">(DF14=1)*③기타_가정!$E$265*③기타_가정!$I$39/1000000*(1+③기타_가정!$E$270)^(MAX(DF16,1)-1)</f>
        <v>93.6037194267483</v>
      </c>
      <c r="DG67" s="37" t="n">
        <f aca="false">(DG14=1)*③기타_가정!$E$265*③기타_가정!$I$39/1000000*(1+③기타_가정!$E$270)^(MAX(DG16,1)-1)</f>
        <v>93.6037194267483</v>
      </c>
      <c r="DH67" s="37" t="n">
        <f aca="false">(DH14=1)*③기타_가정!$E$265*③기타_가정!$I$39/1000000*(1+③기타_가정!$E$270)^(MAX(DH16,1)-1)</f>
        <v>93.6037194267483</v>
      </c>
      <c r="DI67" s="37" t="n">
        <f aca="false">(DI14=1)*③기타_가정!$E$265*③기타_가정!$I$39/1000000*(1+③기타_가정!$E$270)^(MAX(DI16,1)-1)</f>
        <v>95.4757938152833</v>
      </c>
      <c r="DJ67" s="37" t="n">
        <f aca="false">(DJ14=1)*③기타_가정!$E$265*③기타_가정!$I$39/1000000*(1+③기타_가정!$E$270)^(MAX(DJ16,1)-1)</f>
        <v>95.4757938152833</v>
      </c>
      <c r="DK67" s="37" t="n">
        <f aca="false">(DK14=1)*③기타_가정!$E$265*③기타_가정!$I$39/1000000*(1+③기타_가정!$E$270)^(MAX(DK16,1)-1)</f>
        <v>95.4757938152833</v>
      </c>
      <c r="DL67" s="37" t="n">
        <f aca="false">(DL14=1)*③기타_가정!$E$265*③기타_가정!$I$39/1000000*(1+③기타_가정!$E$270)^(MAX(DL16,1)-1)</f>
        <v>95.4757938152833</v>
      </c>
      <c r="DM67" s="37" t="n">
        <f aca="false">(DM14=1)*③기타_가정!$E$265*③기타_가정!$I$39/1000000*(1+③기타_가정!$E$270)^(MAX(DM16,1)-1)</f>
        <v>95.4757938152833</v>
      </c>
      <c r="DN67" s="37" t="n">
        <f aca="false">(DN14=1)*③기타_가정!$E$265*③기타_가정!$I$39/1000000*(1+③기타_가정!$E$270)^(MAX(DN16,1)-1)</f>
        <v>95.4757938152833</v>
      </c>
      <c r="DO67" s="37" t="n">
        <f aca="false">(DO14=1)*③기타_가정!$E$265*③기타_가정!$I$39/1000000*(1+③기타_가정!$E$270)^(MAX(DO16,1)-1)</f>
        <v>95.4757938152833</v>
      </c>
      <c r="DP67" s="37" t="n">
        <f aca="false">(DP14=1)*③기타_가정!$E$265*③기타_가정!$I$39/1000000*(1+③기타_가정!$E$270)^(MAX(DP16,1)-1)</f>
        <v>95.4757938152833</v>
      </c>
      <c r="DQ67" s="37" t="n">
        <f aca="false">(DQ14=1)*③기타_가정!$E$265*③기타_가정!$I$39/1000000*(1+③기타_가정!$E$270)^(MAX(DQ16,1)-1)</f>
        <v>95.4757938152833</v>
      </c>
      <c r="DR67" s="37" t="n">
        <f aca="false">(DR14=1)*③기타_가정!$E$265*③기타_가정!$I$39/1000000*(1+③기타_가정!$E$270)^(MAX(DR16,1)-1)</f>
        <v>95.4757938152833</v>
      </c>
      <c r="DS67" s="37" t="n">
        <f aca="false">(DS14=1)*③기타_가정!$E$265*③기타_가정!$I$39/1000000*(1+③기타_가정!$E$270)^(MAX(DS16,1)-1)</f>
        <v>95.4757938152833</v>
      </c>
      <c r="DT67" s="37" t="n">
        <f aca="false">(DT14=1)*③기타_가정!$E$265*③기타_가정!$I$39/1000000*(1+③기타_가정!$E$270)^(MAX(DT16,1)-1)</f>
        <v>95.4757938152833</v>
      </c>
      <c r="DU67" s="37" t="n">
        <f aca="false">(DU14=1)*③기타_가정!$E$265*③기타_가정!$I$39/1000000*(1+③기타_가정!$E$270)^(MAX(DU16,1)-1)</f>
        <v>0</v>
      </c>
      <c r="DV67" s="37" t="n">
        <f aca="false">(DV14=1)*③기타_가정!$E$265*③기타_가정!$I$39/1000000*(1+③기타_가정!$E$270)^(MAX(DV16,1)-1)</f>
        <v>0</v>
      </c>
      <c r="DW67" s="37" t="n">
        <f aca="false">(DW14=1)*③기타_가정!$E$265*③기타_가정!$I$39/1000000*(1+③기타_가정!$E$270)^(MAX(DW16,1)-1)</f>
        <v>0</v>
      </c>
      <c r="DX67" s="37" t="n">
        <f aca="false">(DX14=1)*③기타_가정!$E$265*③기타_가정!$I$39/1000000*(1+③기타_가정!$E$270)^(MAX(DX16,1)-1)</f>
        <v>0</v>
      </c>
      <c r="DY67" s="37" t="n">
        <f aca="false">(DY14=1)*③기타_가정!$E$265*③기타_가정!$I$39/1000000*(1+③기타_가정!$E$270)^(MAX(DY16,1)-1)</f>
        <v>0</v>
      </c>
      <c r="DZ67" s="37" t="n">
        <f aca="false">(DZ14=1)*③기타_가정!$E$265*③기타_가정!$I$39/1000000*(1+③기타_가정!$E$270)^(MAX(DZ16,1)-1)</f>
        <v>0</v>
      </c>
      <c r="EA67" s="37" t="n">
        <f aca="false">(EA14=1)*③기타_가정!$E$265*③기타_가정!$I$39/1000000*(1+③기타_가정!$E$270)^(MAX(EA16,1)-1)</f>
        <v>0</v>
      </c>
      <c r="EB67" s="37" t="n">
        <f aca="false">(EB14=1)*③기타_가정!$E$265*③기타_가정!$I$39/1000000*(1+③기타_가정!$E$270)^(MAX(EB16,1)-1)</f>
        <v>0</v>
      </c>
      <c r="EC67" s="37" t="n">
        <f aca="false">(EC14=1)*③기타_가정!$E$265*③기타_가정!$I$39/1000000*(1+③기타_가정!$E$270)^(MAX(EC16,1)-1)</f>
        <v>0</v>
      </c>
      <c r="ED67" s="37" t="n">
        <f aca="false">(ED14=1)*③기타_가정!$E$265*③기타_가정!$I$39/1000000*(1+③기타_가정!$E$270)^(MAX(ED16,1)-1)</f>
        <v>0</v>
      </c>
      <c r="EE67" s="37" t="n">
        <f aca="false">(EE14=1)*③기타_가정!$E$265*③기타_가정!$I$39/1000000*(1+③기타_가정!$E$270)^(MAX(EE16,1)-1)</f>
        <v>0</v>
      </c>
      <c r="EF67" s="37" t="n">
        <f aca="false">(EF14=1)*③기타_가정!$E$265*③기타_가정!$I$39/1000000*(1+③기타_가정!$E$270)^(MAX(EF16,1)-1)</f>
        <v>0</v>
      </c>
    </row>
    <row r="68" customFormat="false" ht="15" hidden="false" customHeight="false" outlineLevel="0" collapsed="false">
      <c r="A68" s="36" t="s">
        <v>613</v>
      </c>
      <c r="B68" s="278" t="s">
        <v>21</v>
      </c>
      <c r="C68" s="279" t="n">
        <f aca="false">SUM(E68:EF68)</f>
        <v>5508.26056745336</v>
      </c>
      <c r="E68" s="37" t="n">
        <f aca="false">(E14=1)*③기타_가정!$E$266*③기타_가정!$I$39/1000000*(1+③기타_가정!$E$270)^(MAX(E16,1)-1)</f>
        <v>0</v>
      </c>
      <c r="F68" s="37" t="n">
        <f aca="false">(F14=1)*③기타_가정!$E$266*③기타_가정!$I$39/1000000*(1+③기타_가정!$E$270)^(MAX(F16,1)-1)</f>
        <v>0</v>
      </c>
      <c r="G68" s="37" t="n">
        <f aca="false">(G14=1)*③기타_가정!$E$266*③기타_가정!$I$39/1000000*(1+③기타_가정!$E$270)^(MAX(G16,1)-1)</f>
        <v>0</v>
      </c>
      <c r="H68" s="37" t="n">
        <f aca="false">(H14=1)*③기타_가정!$E$266*③기타_가정!$I$39/1000000*(1+③기타_가정!$E$270)^(MAX(H16,1)-1)</f>
        <v>0</v>
      </c>
      <c r="I68" s="37" t="n">
        <f aca="false">(I14=1)*③기타_가정!$E$266*③기타_가정!$I$39/1000000*(1+③기타_가정!$E$270)^(MAX(I16,1)-1)</f>
        <v>0</v>
      </c>
      <c r="J68" s="37" t="n">
        <f aca="false">(J14=1)*③기타_가정!$E$266*③기타_가정!$I$39/1000000*(1+③기타_가정!$E$270)^(MAX(J16,1)-1)</f>
        <v>0</v>
      </c>
      <c r="K68" s="37" t="n">
        <f aca="false">(K14=1)*③기타_가정!$E$266*③기타_가정!$I$39/1000000*(1+③기타_가정!$E$270)^(MAX(K16,1)-1)</f>
        <v>0</v>
      </c>
      <c r="L68" s="37" t="n">
        <f aca="false">(L14=1)*③기타_가정!$E$266*③기타_가정!$I$39/1000000*(1+③기타_가정!$E$270)^(MAX(L16,1)-1)</f>
        <v>0</v>
      </c>
      <c r="M68" s="37" t="n">
        <f aca="false">(M14=1)*③기타_가정!$E$266*③기타_가정!$I$39/1000000*(1+③기타_가정!$E$270)^(MAX(M16,1)-1)</f>
        <v>0</v>
      </c>
      <c r="N68" s="37" t="n">
        <f aca="false">(N14=1)*③기타_가정!$E$266*③기타_가정!$I$39/1000000*(1+③기타_가정!$E$270)^(MAX(N16,1)-1)</f>
        <v>0</v>
      </c>
      <c r="O68" s="37" t="n">
        <f aca="false">(O14=1)*③기타_가정!$E$266*③기타_가정!$I$39/1000000*(1+③기타_가정!$E$270)^(MAX(O16,1)-1)</f>
        <v>0</v>
      </c>
      <c r="P68" s="37" t="n">
        <f aca="false">(P14=1)*③기타_가정!$E$266*③기타_가정!$I$39/1000000*(1+③기타_가정!$E$270)^(MAX(P16,1)-1)</f>
        <v>0</v>
      </c>
      <c r="Q68" s="37" t="n">
        <f aca="false">(Q14=1)*③기타_가정!$E$266*③기타_가정!$I$39/1000000*(1+③기타_가정!$E$270)^(MAX(Q16,1)-1)</f>
        <v>0</v>
      </c>
      <c r="R68" s="37" t="n">
        <f aca="false">(R14=1)*③기타_가정!$E$266*③기타_가정!$I$39/1000000*(1+③기타_가정!$E$270)^(MAX(R16,1)-1)</f>
        <v>0</v>
      </c>
      <c r="S68" s="37" t="n">
        <f aca="false">(S14=1)*③기타_가정!$E$266*③기타_가정!$I$39/1000000*(1+③기타_가정!$E$270)^(MAX(S16,1)-1)</f>
        <v>0</v>
      </c>
      <c r="T68" s="37" t="n">
        <f aca="false">(T14=1)*③기타_가정!$E$266*③기타_가정!$I$39/1000000*(1+③기타_가정!$E$270)^(MAX(T16,1)-1)</f>
        <v>0</v>
      </c>
      <c r="U68" s="37" t="n">
        <f aca="false">(U14=1)*③기타_가정!$E$266*③기타_가정!$I$39/1000000*(1+③기타_가정!$E$270)^(MAX(U16,1)-1)</f>
        <v>0</v>
      </c>
      <c r="V68" s="37" t="n">
        <f aca="false">(V14=1)*③기타_가정!$E$266*③기타_가정!$I$39/1000000*(1+③기타_가정!$E$270)^(MAX(V16,1)-1)</f>
        <v>0</v>
      </c>
      <c r="W68" s="37" t="n">
        <f aca="false">(W14=1)*③기타_가정!$E$266*③기타_가정!$I$39/1000000*(1+③기타_가정!$E$270)^(MAX(W16,1)-1)</f>
        <v>0</v>
      </c>
      <c r="X68" s="37" t="n">
        <f aca="false">(X14=1)*③기타_가정!$E$266*③기타_가정!$I$39/1000000*(1+③기타_가정!$E$270)^(MAX(X16,1)-1)</f>
        <v>0</v>
      </c>
      <c r="Y68" s="37" t="n">
        <f aca="false">(Y14=1)*③기타_가정!$E$266*③기타_가정!$I$39/1000000*(1+③기타_가정!$E$270)^(MAX(Y16,1)-1)</f>
        <v>0</v>
      </c>
      <c r="Z68" s="37" t="n">
        <f aca="false">(Z14=1)*③기타_가정!$E$266*③기타_가정!$I$39/1000000*(1+③기타_가정!$E$270)^(MAX(Z16,1)-1)</f>
        <v>0</v>
      </c>
      <c r="AA68" s="37" t="n">
        <f aca="false">(AA14=1)*③기타_가정!$E$266*③기타_가정!$I$39/1000000*(1+③기타_가정!$E$270)^(MAX(AA16,1)-1)</f>
        <v>0</v>
      </c>
      <c r="AB68" s="37" t="n">
        <f aca="false">(AB14=1)*③기타_가정!$E$266*③기타_가정!$I$39/1000000*(1+③기타_가정!$E$270)^(MAX(AB16,1)-1)</f>
        <v>0</v>
      </c>
      <c r="AC68" s="37" t="n">
        <f aca="false">(AC14=1)*③기타_가정!$E$266*③기타_가정!$I$39/1000000*(1+③기타_가정!$E$270)^(MAX(AC16,1)-1)</f>
        <v>0</v>
      </c>
      <c r="AD68" s="37" t="n">
        <f aca="false">(AD14=1)*③기타_가정!$E$266*③기타_가정!$I$39/1000000*(1+③기타_가정!$E$270)^(MAX(AD16,1)-1)</f>
        <v>0</v>
      </c>
      <c r="AE68" s="37" t="n">
        <f aca="false">(AE14=1)*③기타_가정!$E$266*③기타_가정!$I$39/1000000*(1+③기타_가정!$E$270)^(MAX(AE16,1)-1)</f>
        <v>0</v>
      </c>
      <c r="AF68" s="37" t="n">
        <f aca="false">(AF14=1)*③기타_가정!$E$266*③기타_가정!$I$39/1000000*(1+③기타_가정!$E$270)^(MAX(AF16,1)-1)</f>
        <v>0</v>
      </c>
      <c r="AG68" s="37" t="n">
        <f aca="false">(AG14=1)*③기타_가정!$E$266*③기타_가정!$I$39/1000000*(1+③기타_가정!$E$270)^(MAX(AG16,1)-1)</f>
        <v>0</v>
      </c>
      <c r="AH68" s="37" t="n">
        <f aca="false">(AH14=1)*③기타_가정!$E$266*③기타_가정!$I$39/1000000*(1+③기타_가정!$E$270)^(MAX(AH16,1)-1)</f>
        <v>0</v>
      </c>
      <c r="AI68" s="37" t="n">
        <f aca="false">(AI14=1)*③기타_가정!$E$266*③기타_가정!$I$39/1000000*(1+③기타_가정!$E$270)^(MAX(AI16,1)-1)</f>
        <v>0</v>
      </c>
      <c r="AJ68" s="37" t="n">
        <f aca="false">(AJ14=1)*③기타_가정!$E$266*③기타_가정!$I$39/1000000*(1+③기타_가정!$E$270)^(MAX(AJ16,1)-1)</f>
        <v>0</v>
      </c>
      <c r="AK68" s="37" t="n">
        <f aca="false">(AK14=1)*③기타_가정!$E$266*③기타_가정!$I$39/1000000*(1+③기타_가정!$E$270)^(MAX(AK16,1)-1)</f>
        <v>0</v>
      </c>
      <c r="AL68" s="37" t="n">
        <f aca="false">(AL14=1)*③기타_가정!$E$266*③기타_가정!$I$39/1000000*(1+③기타_가정!$E$270)^(MAX(AL16,1)-1)</f>
        <v>0</v>
      </c>
      <c r="AM68" s="37" t="n">
        <f aca="false">(AM14=1)*③기타_가정!$E$266*③기타_가정!$I$39/1000000*(1+③기타_가정!$E$270)^(MAX(AM16,1)-1)</f>
        <v>0</v>
      </c>
      <c r="AN68" s="37" t="n">
        <f aca="false">(AN14=1)*③기타_가정!$E$266*③기타_가정!$I$39/1000000*(1+③기타_가정!$E$270)^(MAX(AN16,1)-1)</f>
        <v>0</v>
      </c>
      <c r="AO68" s="37" t="n">
        <f aca="false">(AO14=1)*③기타_가정!$E$266*③기타_가정!$I$39/1000000*(1+③기타_가정!$E$270)^(MAX(AO16,1)-1)</f>
        <v>0</v>
      </c>
      <c r="AP68" s="37" t="n">
        <f aca="false">(AP14=1)*③기타_가정!$E$266*③기타_가정!$I$39/1000000*(1+③기타_가정!$E$270)^(MAX(AP16,1)-1)</f>
        <v>0</v>
      </c>
      <c r="AQ68" s="37" t="n">
        <f aca="false">(AQ14=1)*③기타_가정!$E$266*③기타_가정!$I$39/1000000*(1+③기타_가정!$E$270)^(MAX(AQ16,1)-1)</f>
        <v>0</v>
      </c>
      <c r="AR68" s="37" t="n">
        <f aca="false">(AR14=1)*③기타_가정!$E$266*③기타_가정!$I$39/1000000*(1+③기타_가정!$E$270)^(MAX(AR16,1)-1)</f>
        <v>0</v>
      </c>
      <c r="AS68" s="37" t="n">
        <f aca="false">(AS14=1)*③기타_가정!$E$266*③기타_가정!$I$39/1000000*(1+③기타_가정!$E$270)^(MAX(AS16,1)-1)</f>
        <v>0</v>
      </c>
      <c r="AT68" s="37" t="n">
        <f aca="false">(AT14=1)*③기타_가정!$E$266*③기타_가정!$I$39/1000000*(1+③기타_가정!$E$270)^(MAX(AT16,1)-1)</f>
        <v>0</v>
      </c>
      <c r="AU68" s="37" t="n">
        <f aca="false">(AU14=1)*③기타_가정!$E$266*③기타_가정!$I$39/1000000*(1+③기타_가정!$E$270)^(MAX(AU16,1)-1)</f>
        <v>0</v>
      </c>
      <c r="AV68" s="37" t="n">
        <f aca="false">(AV14=1)*③기타_가정!$E$266*③기타_가정!$I$39/1000000*(1+③기타_가정!$E$270)^(MAX(AV16,1)-1)</f>
        <v>0</v>
      </c>
      <c r="AW68" s="37" t="n">
        <f aca="false">(AW14=1)*③기타_가정!$E$266*③기타_가정!$I$39/1000000*(1+③기타_가정!$E$270)^(MAX(AW16,1)-1)</f>
        <v>0</v>
      </c>
      <c r="AX68" s="37" t="n">
        <f aca="false">(AX14=1)*③기타_가정!$E$266*③기타_가정!$I$39/1000000*(1+③기타_가정!$E$270)^(MAX(AX16,1)-1)</f>
        <v>0</v>
      </c>
      <c r="AY68" s="37" t="n">
        <f aca="false">(AY14=1)*③기타_가정!$E$266*③기타_가정!$I$39/1000000*(1+③기타_가정!$E$270)^(MAX(AY16,1)-1)</f>
        <v>0</v>
      </c>
      <c r="AZ68" s="37" t="n">
        <f aca="false">(AZ14=1)*③기타_가정!$E$266*③기타_가정!$I$39/1000000*(1+③기타_가정!$E$270)^(MAX(AZ16,1)-1)</f>
        <v>0</v>
      </c>
      <c r="BA68" s="37" t="n">
        <f aca="false">(BA14=1)*③기타_가정!$E$266*③기타_가정!$I$39/1000000*(1+③기타_가정!$E$270)^(MAX(BA16,1)-1)</f>
        <v>0</v>
      </c>
      <c r="BB68" s="37" t="n">
        <f aca="false">(BB14=1)*③기타_가정!$E$266*③기타_가정!$I$39/1000000*(1+③기타_가정!$E$270)^(MAX(BB16,1)-1)</f>
        <v>0</v>
      </c>
      <c r="BC68" s="37" t="n">
        <f aca="false">(BC14=1)*③기타_가정!$E$266*③기타_가정!$I$39/1000000*(1+③기타_가정!$E$270)^(MAX(BC16,1)-1)</f>
        <v>0</v>
      </c>
      <c r="BD68" s="37" t="n">
        <f aca="false">(BD14=1)*③기타_가정!$E$266*③기타_가정!$I$39/1000000*(1+③기타_가정!$E$270)^(MAX(BD16,1)-1)</f>
        <v>0</v>
      </c>
      <c r="BE68" s="37" t="n">
        <f aca="false">(BE14=1)*③기타_가정!$E$266*③기타_가정!$I$39/1000000*(1+③기타_가정!$E$270)^(MAX(BE16,1)-1)</f>
        <v>0</v>
      </c>
      <c r="BF68" s="37" t="n">
        <f aca="false">(BF14=1)*③기타_가정!$E$266*③기타_가정!$I$39/1000000*(1+③기타_가정!$E$270)^(MAX(BF16,1)-1)</f>
        <v>0</v>
      </c>
      <c r="BG68" s="37" t="n">
        <f aca="false">(BG14=1)*③기타_가정!$E$266*③기타_가정!$I$39/1000000*(1+③기타_가정!$E$270)^(MAX(BG16,1)-1)</f>
        <v>0</v>
      </c>
      <c r="BH68" s="37" t="n">
        <f aca="false">(BH14=1)*③기타_가정!$E$266*③기타_가정!$I$39/1000000*(1+③기타_가정!$E$270)^(MAX(BH16,1)-1)</f>
        <v>0</v>
      </c>
      <c r="BI68" s="37" t="n">
        <f aca="false">(BI14=1)*③기타_가정!$E$266*③기타_가정!$I$39/1000000*(1+③기타_가정!$E$270)^(MAX(BI16,1)-1)</f>
        <v>0</v>
      </c>
      <c r="BJ68" s="37" t="n">
        <f aca="false">(BJ14=1)*③기타_가정!$E$266*③기타_가정!$I$39/1000000*(1+③기타_가정!$E$270)^(MAX(BJ16,1)-1)</f>
        <v>0</v>
      </c>
      <c r="BK68" s="37" t="n">
        <f aca="false">(BK14=1)*③기타_가정!$E$266*③기타_가정!$I$39/1000000*(1+③기타_가정!$E$270)^(MAX(BK16,1)-1)</f>
        <v>0</v>
      </c>
      <c r="BL68" s="37" t="n">
        <f aca="false">(BL14=1)*③기타_가정!$E$266*③기타_가정!$I$39/1000000*(1+③기타_가정!$E$270)^(MAX(BL16,1)-1)</f>
        <v>0</v>
      </c>
      <c r="BM68" s="37" t="n">
        <f aca="false">(BM14=1)*③기타_가정!$E$266*③기타_가정!$I$39/1000000*(1+③기타_가정!$E$270)^(MAX(BM16,1)-1)</f>
        <v>88.2048754125</v>
      </c>
      <c r="BN68" s="37" t="n">
        <f aca="false">(BN14=1)*③기타_가정!$E$266*③기타_가정!$I$39/1000000*(1+③기타_가정!$E$270)^(MAX(BN16,1)-1)</f>
        <v>88.2048754125</v>
      </c>
      <c r="BO68" s="37" t="n">
        <f aca="false">(BO14=1)*③기타_가정!$E$266*③기타_가정!$I$39/1000000*(1+③기타_가정!$E$270)^(MAX(BO16,1)-1)</f>
        <v>88.2048754125</v>
      </c>
      <c r="BP68" s="37" t="n">
        <f aca="false">(BP14=1)*③기타_가정!$E$266*③기타_가정!$I$39/1000000*(1+③기타_가정!$E$270)^(MAX(BP16,1)-1)</f>
        <v>88.2048754125</v>
      </c>
      <c r="BQ68" s="37" t="n">
        <f aca="false">(BQ14=1)*③기타_가정!$E$266*③기타_가정!$I$39/1000000*(1+③기타_가정!$E$270)^(MAX(BQ16,1)-1)</f>
        <v>88.2048754125</v>
      </c>
      <c r="BR68" s="37" t="n">
        <f aca="false">(BR14=1)*③기타_가정!$E$266*③기타_가정!$I$39/1000000*(1+③기타_가정!$E$270)^(MAX(BR16,1)-1)</f>
        <v>88.2048754125</v>
      </c>
      <c r="BS68" s="37" t="n">
        <f aca="false">(BS14=1)*③기타_가정!$E$266*③기타_가정!$I$39/1000000*(1+③기타_가정!$E$270)^(MAX(BS16,1)-1)</f>
        <v>88.2048754125</v>
      </c>
      <c r="BT68" s="37" t="n">
        <f aca="false">(BT14=1)*③기타_가정!$E$266*③기타_가정!$I$39/1000000*(1+③기타_가정!$E$270)^(MAX(BT16,1)-1)</f>
        <v>88.2048754125</v>
      </c>
      <c r="BU68" s="37" t="n">
        <f aca="false">(BU14=1)*③기타_가정!$E$266*③기타_가정!$I$39/1000000*(1+③기타_가정!$E$270)^(MAX(BU16,1)-1)</f>
        <v>88.2048754125</v>
      </c>
      <c r="BV68" s="37" t="n">
        <f aca="false">(BV14=1)*③기타_가정!$E$266*③기타_가정!$I$39/1000000*(1+③기타_가정!$E$270)^(MAX(BV16,1)-1)</f>
        <v>88.2048754125</v>
      </c>
      <c r="BW68" s="37" t="n">
        <f aca="false">(BW14=1)*③기타_가정!$E$266*③기타_가정!$I$39/1000000*(1+③기타_가정!$E$270)^(MAX(BW16,1)-1)</f>
        <v>88.2048754125</v>
      </c>
      <c r="BX68" s="37" t="n">
        <f aca="false">(BX14=1)*③기타_가정!$E$266*③기타_가정!$I$39/1000000*(1+③기타_가정!$E$270)^(MAX(BX16,1)-1)</f>
        <v>88.2048754125</v>
      </c>
      <c r="BY68" s="37" t="n">
        <f aca="false">(BY14=1)*③기타_가정!$E$266*③기타_가정!$I$39/1000000*(1+③기타_가정!$E$270)^(MAX(BY16,1)-1)</f>
        <v>89.96897292075</v>
      </c>
      <c r="BZ68" s="37" t="n">
        <f aca="false">(BZ14=1)*③기타_가정!$E$266*③기타_가정!$I$39/1000000*(1+③기타_가정!$E$270)^(MAX(BZ16,1)-1)</f>
        <v>89.96897292075</v>
      </c>
      <c r="CA68" s="37" t="n">
        <f aca="false">(CA14=1)*③기타_가정!$E$266*③기타_가정!$I$39/1000000*(1+③기타_가정!$E$270)^(MAX(CA16,1)-1)</f>
        <v>89.96897292075</v>
      </c>
      <c r="CB68" s="37" t="n">
        <f aca="false">(CB14=1)*③기타_가정!$E$266*③기타_가정!$I$39/1000000*(1+③기타_가정!$E$270)^(MAX(CB16,1)-1)</f>
        <v>89.96897292075</v>
      </c>
      <c r="CC68" s="37" t="n">
        <f aca="false">(CC14=1)*③기타_가정!$E$266*③기타_가정!$I$39/1000000*(1+③기타_가정!$E$270)^(MAX(CC16,1)-1)</f>
        <v>89.96897292075</v>
      </c>
      <c r="CD68" s="37" t="n">
        <f aca="false">(CD14=1)*③기타_가정!$E$266*③기타_가정!$I$39/1000000*(1+③기타_가정!$E$270)^(MAX(CD16,1)-1)</f>
        <v>89.96897292075</v>
      </c>
      <c r="CE68" s="37" t="n">
        <f aca="false">(CE14=1)*③기타_가정!$E$266*③기타_가정!$I$39/1000000*(1+③기타_가정!$E$270)^(MAX(CE16,1)-1)</f>
        <v>89.96897292075</v>
      </c>
      <c r="CF68" s="37" t="n">
        <f aca="false">(CF14=1)*③기타_가정!$E$266*③기타_가정!$I$39/1000000*(1+③기타_가정!$E$270)^(MAX(CF16,1)-1)</f>
        <v>89.96897292075</v>
      </c>
      <c r="CG68" s="37" t="n">
        <f aca="false">(CG14=1)*③기타_가정!$E$266*③기타_가정!$I$39/1000000*(1+③기타_가정!$E$270)^(MAX(CG16,1)-1)</f>
        <v>89.96897292075</v>
      </c>
      <c r="CH68" s="37" t="n">
        <f aca="false">(CH14=1)*③기타_가정!$E$266*③기타_가정!$I$39/1000000*(1+③기타_가정!$E$270)^(MAX(CH16,1)-1)</f>
        <v>89.96897292075</v>
      </c>
      <c r="CI68" s="37" t="n">
        <f aca="false">(CI14=1)*③기타_가정!$E$266*③기타_가정!$I$39/1000000*(1+③기타_가정!$E$270)^(MAX(CI16,1)-1)</f>
        <v>89.96897292075</v>
      </c>
      <c r="CJ68" s="37" t="n">
        <f aca="false">(CJ14=1)*③기타_가정!$E$266*③기타_가정!$I$39/1000000*(1+③기타_가정!$E$270)^(MAX(CJ16,1)-1)</f>
        <v>89.96897292075</v>
      </c>
      <c r="CK68" s="37" t="n">
        <f aca="false">(CK14=1)*③기타_가정!$E$266*③기타_가정!$I$39/1000000*(1+③기타_가정!$E$270)^(MAX(CK16,1)-1)</f>
        <v>91.768352379165</v>
      </c>
      <c r="CL68" s="37" t="n">
        <f aca="false">(CL14=1)*③기타_가정!$E$266*③기타_가정!$I$39/1000000*(1+③기타_가정!$E$270)^(MAX(CL16,1)-1)</f>
        <v>91.768352379165</v>
      </c>
      <c r="CM68" s="37" t="n">
        <f aca="false">(CM14=1)*③기타_가정!$E$266*③기타_가정!$I$39/1000000*(1+③기타_가정!$E$270)^(MAX(CM16,1)-1)</f>
        <v>91.768352379165</v>
      </c>
      <c r="CN68" s="37" t="n">
        <f aca="false">(CN14=1)*③기타_가정!$E$266*③기타_가정!$I$39/1000000*(1+③기타_가정!$E$270)^(MAX(CN16,1)-1)</f>
        <v>91.768352379165</v>
      </c>
      <c r="CO68" s="37" t="n">
        <f aca="false">(CO14=1)*③기타_가정!$E$266*③기타_가정!$I$39/1000000*(1+③기타_가정!$E$270)^(MAX(CO16,1)-1)</f>
        <v>91.768352379165</v>
      </c>
      <c r="CP68" s="37" t="n">
        <f aca="false">(CP14=1)*③기타_가정!$E$266*③기타_가정!$I$39/1000000*(1+③기타_가정!$E$270)^(MAX(CP16,1)-1)</f>
        <v>91.768352379165</v>
      </c>
      <c r="CQ68" s="37" t="n">
        <f aca="false">(CQ14=1)*③기타_가정!$E$266*③기타_가정!$I$39/1000000*(1+③기타_가정!$E$270)^(MAX(CQ16,1)-1)</f>
        <v>91.768352379165</v>
      </c>
      <c r="CR68" s="37" t="n">
        <f aca="false">(CR14=1)*③기타_가정!$E$266*③기타_가정!$I$39/1000000*(1+③기타_가정!$E$270)^(MAX(CR16,1)-1)</f>
        <v>91.768352379165</v>
      </c>
      <c r="CS68" s="37" t="n">
        <f aca="false">(CS14=1)*③기타_가정!$E$266*③기타_가정!$I$39/1000000*(1+③기타_가정!$E$270)^(MAX(CS16,1)-1)</f>
        <v>91.768352379165</v>
      </c>
      <c r="CT68" s="37" t="n">
        <f aca="false">(CT14=1)*③기타_가정!$E$266*③기타_가정!$I$39/1000000*(1+③기타_가정!$E$270)^(MAX(CT16,1)-1)</f>
        <v>91.768352379165</v>
      </c>
      <c r="CU68" s="37" t="n">
        <f aca="false">(CU14=1)*③기타_가정!$E$266*③기타_가정!$I$39/1000000*(1+③기타_가정!$E$270)^(MAX(CU16,1)-1)</f>
        <v>91.768352379165</v>
      </c>
      <c r="CV68" s="37" t="n">
        <f aca="false">(CV14=1)*③기타_가정!$E$266*③기타_가정!$I$39/1000000*(1+③기타_가정!$E$270)^(MAX(CV16,1)-1)</f>
        <v>91.768352379165</v>
      </c>
      <c r="CW68" s="37" t="n">
        <f aca="false">(CW14=1)*③기타_가정!$E$266*③기타_가정!$I$39/1000000*(1+③기타_가정!$E$270)^(MAX(CW16,1)-1)</f>
        <v>93.6037194267483</v>
      </c>
      <c r="CX68" s="37" t="n">
        <f aca="false">(CX14=1)*③기타_가정!$E$266*③기타_가정!$I$39/1000000*(1+③기타_가정!$E$270)^(MAX(CX16,1)-1)</f>
        <v>93.6037194267483</v>
      </c>
      <c r="CY68" s="37" t="n">
        <f aca="false">(CY14=1)*③기타_가정!$E$266*③기타_가정!$I$39/1000000*(1+③기타_가정!$E$270)^(MAX(CY16,1)-1)</f>
        <v>93.6037194267483</v>
      </c>
      <c r="CZ68" s="37" t="n">
        <f aca="false">(CZ14=1)*③기타_가정!$E$266*③기타_가정!$I$39/1000000*(1+③기타_가정!$E$270)^(MAX(CZ16,1)-1)</f>
        <v>93.6037194267483</v>
      </c>
      <c r="DA68" s="37" t="n">
        <f aca="false">(DA14=1)*③기타_가정!$E$266*③기타_가정!$I$39/1000000*(1+③기타_가정!$E$270)^(MAX(DA16,1)-1)</f>
        <v>93.6037194267483</v>
      </c>
      <c r="DB68" s="37" t="n">
        <f aca="false">(DB14=1)*③기타_가정!$E$266*③기타_가정!$I$39/1000000*(1+③기타_가정!$E$270)^(MAX(DB16,1)-1)</f>
        <v>93.6037194267483</v>
      </c>
      <c r="DC68" s="37" t="n">
        <f aca="false">(DC14=1)*③기타_가정!$E$266*③기타_가정!$I$39/1000000*(1+③기타_가정!$E$270)^(MAX(DC16,1)-1)</f>
        <v>93.6037194267483</v>
      </c>
      <c r="DD68" s="37" t="n">
        <f aca="false">(DD14=1)*③기타_가정!$E$266*③기타_가정!$I$39/1000000*(1+③기타_가정!$E$270)^(MAX(DD16,1)-1)</f>
        <v>93.6037194267483</v>
      </c>
      <c r="DE68" s="37" t="n">
        <f aca="false">(DE14=1)*③기타_가정!$E$266*③기타_가정!$I$39/1000000*(1+③기타_가정!$E$270)^(MAX(DE16,1)-1)</f>
        <v>93.6037194267483</v>
      </c>
      <c r="DF68" s="37" t="n">
        <f aca="false">(DF14=1)*③기타_가정!$E$266*③기타_가정!$I$39/1000000*(1+③기타_가정!$E$270)^(MAX(DF16,1)-1)</f>
        <v>93.6037194267483</v>
      </c>
      <c r="DG68" s="37" t="n">
        <f aca="false">(DG14=1)*③기타_가정!$E$266*③기타_가정!$I$39/1000000*(1+③기타_가정!$E$270)^(MAX(DG16,1)-1)</f>
        <v>93.6037194267483</v>
      </c>
      <c r="DH68" s="37" t="n">
        <f aca="false">(DH14=1)*③기타_가정!$E$266*③기타_가정!$I$39/1000000*(1+③기타_가정!$E$270)^(MAX(DH16,1)-1)</f>
        <v>93.6037194267483</v>
      </c>
      <c r="DI68" s="37" t="n">
        <f aca="false">(DI14=1)*③기타_가정!$E$266*③기타_가정!$I$39/1000000*(1+③기타_가정!$E$270)^(MAX(DI16,1)-1)</f>
        <v>95.4757938152833</v>
      </c>
      <c r="DJ68" s="37" t="n">
        <f aca="false">(DJ14=1)*③기타_가정!$E$266*③기타_가정!$I$39/1000000*(1+③기타_가정!$E$270)^(MAX(DJ16,1)-1)</f>
        <v>95.4757938152833</v>
      </c>
      <c r="DK68" s="37" t="n">
        <f aca="false">(DK14=1)*③기타_가정!$E$266*③기타_가정!$I$39/1000000*(1+③기타_가정!$E$270)^(MAX(DK16,1)-1)</f>
        <v>95.4757938152833</v>
      </c>
      <c r="DL68" s="37" t="n">
        <f aca="false">(DL14=1)*③기타_가정!$E$266*③기타_가정!$I$39/1000000*(1+③기타_가정!$E$270)^(MAX(DL16,1)-1)</f>
        <v>95.4757938152833</v>
      </c>
      <c r="DM68" s="37" t="n">
        <f aca="false">(DM14=1)*③기타_가정!$E$266*③기타_가정!$I$39/1000000*(1+③기타_가정!$E$270)^(MAX(DM16,1)-1)</f>
        <v>95.4757938152833</v>
      </c>
      <c r="DN68" s="37" t="n">
        <f aca="false">(DN14=1)*③기타_가정!$E$266*③기타_가정!$I$39/1000000*(1+③기타_가정!$E$270)^(MAX(DN16,1)-1)</f>
        <v>95.4757938152833</v>
      </c>
      <c r="DO68" s="37" t="n">
        <f aca="false">(DO14=1)*③기타_가정!$E$266*③기타_가정!$I$39/1000000*(1+③기타_가정!$E$270)^(MAX(DO16,1)-1)</f>
        <v>95.4757938152833</v>
      </c>
      <c r="DP68" s="37" t="n">
        <f aca="false">(DP14=1)*③기타_가정!$E$266*③기타_가정!$I$39/1000000*(1+③기타_가정!$E$270)^(MAX(DP16,1)-1)</f>
        <v>95.4757938152833</v>
      </c>
      <c r="DQ68" s="37" t="n">
        <f aca="false">(DQ14=1)*③기타_가정!$E$266*③기타_가정!$I$39/1000000*(1+③기타_가정!$E$270)^(MAX(DQ16,1)-1)</f>
        <v>95.4757938152833</v>
      </c>
      <c r="DR68" s="37" t="n">
        <f aca="false">(DR14=1)*③기타_가정!$E$266*③기타_가정!$I$39/1000000*(1+③기타_가정!$E$270)^(MAX(DR16,1)-1)</f>
        <v>95.4757938152833</v>
      </c>
      <c r="DS68" s="37" t="n">
        <f aca="false">(DS14=1)*③기타_가정!$E$266*③기타_가정!$I$39/1000000*(1+③기타_가정!$E$270)^(MAX(DS16,1)-1)</f>
        <v>95.4757938152833</v>
      </c>
      <c r="DT68" s="37" t="n">
        <f aca="false">(DT14=1)*③기타_가정!$E$266*③기타_가정!$I$39/1000000*(1+③기타_가정!$E$270)^(MAX(DT16,1)-1)</f>
        <v>95.4757938152833</v>
      </c>
      <c r="DU68" s="37" t="n">
        <f aca="false">(DU14=1)*③기타_가정!$E$266*③기타_가정!$I$39/1000000*(1+③기타_가정!$E$270)^(MAX(DU16,1)-1)</f>
        <v>0</v>
      </c>
      <c r="DV68" s="37" t="n">
        <f aca="false">(DV14=1)*③기타_가정!$E$266*③기타_가정!$I$39/1000000*(1+③기타_가정!$E$270)^(MAX(DV16,1)-1)</f>
        <v>0</v>
      </c>
      <c r="DW68" s="37" t="n">
        <f aca="false">(DW14=1)*③기타_가정!$E$266*③기타_가정!$I$39/1000000*(1+③기타_가정!$E$270)^(MAX(DW16,1)-1)</f>
        <v>0</v>
      </c>
      <c r="DX68" s="37" t="n">
        <f aca="false">(DX14=1)*③기타_가정!$E$266*③기타_가정!$I$39/1000000*(1+③기타_가정!$E$270)^(MAX(DX16,1)-1)</f>
        <v>0</v>
      </c>
      <c r="DY68" s="37" t="n">
        <f aca="false">(DY14=1)*③기타_가정!$E$266*③기타_가정!$I$39/1000000*(1+③기타_가정!$E$270)^(MAX(DY16,1)-1)</f>
        <v>0</v>
      </c>
      <c r="DZ68" s="37" t="n">
        <f aca="false">(DZ14=1)*③기타_가정!$E$266*③기타_가정!$I$39/1000000*(1+③기타_가정!$E$270)^(MAX(DZ16,1)-1)</f>
        <v>0</v>
      </c>
      <c r="EA68" s="37" t="n">
        <f aca="false">(EA14=1)*③기타_가정!$E$266*③기타_가정!$I$39/1000000*(1+③기타_가정!$E$270)^(MAX(EA16,1)-1)</f>
        <v>0</v>
      </c>
      <c r="EB68" s="37" t="n">
        <f aca="false">(EB14=1)*③기타_가정!$E$266*③기타_가정!$I$39/1000000*(1+③기타_가정!$E$270)^(MAX(EB16,1)-1)</f>
        <v>0</v>
      </c>
      <c r="EC68" s="37" t="n">
        <f aca="false">(EC14=1)*③기타_가정!$E$266*③기타_가정!$I$39/1000000*(1+③기타_가정!$E$270)^(MAX(EC16,1)-1)</f>
        <v>0</v>
      </c>
      <c r="ED68" s="37" t="n">
        <f aca="false">(ED14=1)*③기타_가정!$E$266*③기타_가정!$I$39/1000000*(1+③기타_가정!$E$270)^(MAX(ED16,1)-1)</f>
        <v>0</v>
      </c>
      <c r="EE68" s="37" t="n">
        <f aca="false">(EE14=1)*③기타_가정!$E$266*③기타_가정!$I$39/1000000*(1+③기타_가정!$E$270)^(MAX(EE16,1)-1)</f>
        <v>0</v>
      </c>
      <c r="EF68" s="37" t="n">
        <f aca="false">(EF14=1)*③기타_가정!$E$266*③기타_가정!$I$39/1000000*(1+③기타_가정!$E$270)^(MAX(EF16,1)-1)</f>
        <v>0</v>
      </c>
    </row>
    <row r="69" customFormat="false" ht="15" hidden="false" customHeight="false" outlineLevel="0" collapsed="false">
      <c r="A69" s="153" t="s">
        <v>614</v>
      </c>
      <c r="B69" s="278" t="s">
        <v>21</v>
      </c>
      <c r="C69" s="279" t="n">
        <f aca="false">SUM(E69:EF69)</f>
        <v>5508.26056745336</v>
      </c>
      <c r="E69" s="37" t="n">
        <f aca="false">(E14=1)*③기타_가정!$E$267*③기타_가정!$I$39/1000000*(1+③기타_가정!$E$270)^(MAX(E16,1)-1)</f>
        <v>0</v>
      </c>
      <c r="F69" s="37" t="n">
        <f aca="false">(F14=1)*③기타_가정!$E$267*③기타_가정!$I$39/1000000*(1+③기타_가정!$E$270)^(MAX(F16,1)-1)</f>
        <v>0</v>
      </c>
      <c r="G69" s="37" t="n">
        <f aca="false">(G14=1)*③기타_가정!$E$267*③기타_가정!$I$39/1000000*(1+③기타_가정!$E$270)^(MAX(G16,1)-1)</f>
        <v>0</v>
      </c>
      <c r="H69" s="37" t="n">
        <f aca="false">(H14=1)*③기타_가정!$E$267*③기타_가정!$I$39/1000000*(1+③기타_가정!$E$270)^(MAX(H16,1)-1)</f>
        <v>0</v>
      </c>
      <c r="I69" s="37" t="n">
        <f aca="false">(I14=1)*③기타_가정!$E$267*③기타_가정!$I$39/1000000*(1+③기타_가정!$E$270)^(MAX(I16,1)-1)</f>
        <v>0</v>
      </c>
      <c r="J69" s="37" t="n">
        <f aca="false">(J14=1)*③기타_가정!$E$267*③기타_가정!$I$39/1000000*(1+③기타_가정!$E$270)^(MAX(J16,1)-1)</f>
        <v>0</v>
      </c>
      <c r="K69" s="37" t="n">
        <f aca="false">(K14=1)*③기타_가정!$E$267*③기타_가정!$I$39/1000000*(1+③기타_가정!$E$270)^(MAX(K16,1)-1)</f>
        <v>0</v>
      </c>
      <c r="L69" s="37" t="n">
        <f aca="false">(L14=1)*③기타_가정!$E$267*③기타_가정!$I$39/1000000*(1+③기타_가정!$E$270)^(MAX(L16,1)-1)</f>
        <v>0</v>
      </c>
      <c r="M69" s="37" t="n">
        <f aca="false">(M14=1)*③기타_가정!$E$267*③기타_가정!$I$39/1000000*(1+③기타_가정!$E$270)^(MAX(M16,1)-1)</f>
        <v>0</v>
      </c>
      <c r="N69" s="37" t="n">
        <f aca="false">(N14=1)*③기타_가정!$E$267*③기타_가정!$I$39/1000000*(1+③기타_가정!$E$270)^(MAX(N16,1)-1)</f>
        <v>0</v>
      </c>
      <c r="O69" s="37" t="n">
        <f aca="false">(O14=1)*③기타_가정!$E$267*③기타_가정!$I$39/1000000*(1+③기타_가정!$E$270)^(MAX(O16,1)-1)</f>
        <v>0</v>
      </c>
      <c r="P69" s="37" t="n">
        <f aca="false">(P14=1)*③기타_가정!$E$267*③기타_가정!$I$39/1000000*(1+③기타_가정!$E$270)^(MAX(P16,1)-1)</f>
        <v>0</v>
      </c>
      <c r="Q69" s="37" t="n">
        <f aca="false">(Q14=1)*③기타_가정!$E$267*③기타_가정!$I$39/1000000*(1+③기타_가정!$E$270)^(MAX(Q16,1)-1)</f>
        <v>0</v>
      </c>
      <c r="R69" s="37" t="n">
        <f aca="false">(R14=1)*③기타_가정!$E$267*③기타_가정!$I$39/1000000*(1+③기타_가정!$E$270)^(MAX(R16,1)-1)</f>
        <v>0</v>
      </c>
      <c r="S69" s="37" t="n">
        <f aca="false">(S14=1)*③기타_가정!$E$267*③기타_가정!$I$39/1000000*(1+③기타_가정!$E$270)^(MAX(S16,1)-1)</f>
        <v>0</v>
      </c>
      <c r="T69" s="37" t="n">
        <f aca="false">(T14=1)*③기타_가정!$E$267*③기타_가정!$I$39/1000000*(1+③기타_가정!$E$270)^(MAX(T16,1)-1)</f>
        <v>0</v>
      </c>
      <c r="U69" s="37" t="n">
        <f aca="false">(U14=1)*③기타_가정!$E$267*③기타_가정!$I$39/1000000*(1+③기타_가정!$E$270)^(MAX(U16,1)-1)</f>
        <v>0</v>
      </c>
      <c r="V69" s="37" t="n">
        <f aca="false">(V14=1)*③기타_가정!$E$267*③기타_가정!$I$39/1000000*(1+③기타_가정!$E$270)^(MAX(V16,1)-1)</f>
        <v>0</v>
      </c>
      <c r="W69" s="37" t="n">
        <f aca="false">(W14=1)*③기타_가정!$E$267*③기타_가정!$I$39/1000000*(1+③기타_가정!$E$270)^(MAX(W16,1)-1)</f>
        <v>0</v>
      </c>
      <c r="X69" s="37" t="n">
        <f aca="false">(X14=1)*③기타_가정!$E$267*③기타_가정!$I$39/1000000*(1+③기타_가정!$E$270)^(MAX(X16,1)-1)</f>
        <v>0</v>
      </c>
      <c r="Y69" s="37" t="n">
        <f aca="false">(Y14=1)*③기타_가정!$E$267*③기타_가정!$I$39/1000000*(1+③기타_가정!$E$270)^(MAX(Y16,1)-1)</f>
        <v>0</v>
      </c>
      <c r="Z69" s="37" t="n">
        <f aca="false">(Z14=1)*③기타_가정!$E$267*③기타_가정!$I$39/1000000*(1+③기타_가정!$E$270)^(MAX(Z16,1)-1)</f>
        <v>0</v>
      </c>
      <c r="AA69" s="37" t="n">
        <f aca="false">(AA14=1)*③기타_가정!$E$267*③기타_가정!$I$39/1000000*(1+③기타_가정!$E$270)^(MAX(AA16,1)-1)</f>
        <v>0</v>
      </c>
      <c r="AB69" s="37" t="n">
        <f aca="false">(AB14=1)*③기타_가정!$E$267*③기타_가정!$I$39/1000000*(1+③기타_가정!$E$270)^(MAX(AB16,1)-1)</f>
        <v>0</v>
      </c>
      <c r="AC69" s="37" t="n">
        <f aca="false">(AC14=1)*③기타_가정!$E$267*③기타_가정!$I$39/1000000*(1+③기타_가정!$E$270)^(MAX(AC16,1)-1)</f>
        <v>0</v>
      </c>
      <c r="AD69" s="37" t="n">
        <f aca="false">(AD14=1)*③기타_가정!$E$267*③기타_가정!$I$39/1000000*(1+③기타_가정!$E$270)^(MAX(AD16,1)-1)</f>
        <v>0</v>
      </c>
      <c r="AE69" s="37" t="n">
        <f aca="false">(AE14=1)*③기타_가정!$E$267*③기타_가정!$I$39/1000000*(1+③기타_가정!$E$270)^(MAX(AE16,1)-1)</f>
        <v>0</v>
      </c>
      <c r="AF69" s="37" t="n">
        <f aca="false">(AF14=1)*③기타_가정!$E$267*③기타_가정!$I$39/1000000*(1+③기타_가정!$E$270)^(MAX(AF16,1)-1)</f>
        <v>0</v>
      </c>
      <c r="AG69" s="37" t="n">
        <f aca="false">(AG14=1)*③기타_가정!$E$267*③기타_가정!$I$39/1000000*(1+③기타_가정!$E$270)^(MAX(AG16,1)-1)</f>
        <v>0</v>
      </c>
      <c r="AH69" s="37" t="n">
        <f aca="false">(AH14=1)*③기타_가정!$E$267*③기타_가정!$I$39/1000000*(1+③기타_가정!$E$270)^(MAX(AH16,1)-1)</f>
        <v>0</v>
      </c>
      <c r="AI69" s="37" t="n">
        <f aca="false">(AI14=1)*③기타_가정!$E$267*③기타_가정!$I$39/1000000*(1+③기타_가정!$E$270)^(MAX(AI16,1)-1)</f>
        <v>0</v>
      </c>
      <c r="AJ69" s="37" t="n">
        <f aca="false">(AJ14=1)*③기타_가정!$E$267*③기타_가정!$I$39/1000000*(1+③기타_가정!$E$270)^(MAX(AJ16,1)-1)</f>
        <v>0</v>
      </c>
      <c r="AK69" s="37" t="n">
        <f aca="false">(AK14=1)*③기타_가정!$E$267*③기타_가정!$I$39/1000000*(1+③기타_가정!$E$270)^(MAX(AK16,1)-1)</f>
        <v>0</v>
      </c>
      <c r="AL69" s="37" t="n">
        <f aca="false">(AL14=1)*③기타_가정!$E$267*③기타_가정!$I$39/1000000*(1+③기타_가정!$E$270)^(MAX(AL16,1)-1)</f>
        <v>0</v>
      </c>
      <c r="AM69" s="37" t="n">
        <f aca="false">(AM14=1)*③기타_가정!$E$267*③기타_가정!$I$39/1000000*(1+③기타_가정!$E$270)^(MAX(AM16,1)-1)</f>
        <v>0</v>
      </c>
      <c r="AN69" s="37" t="n">
        <f aca="false">(AN14=1)*③기타_가정!$E$267*③기타_가정!$I$39/1000000*(1+③기타_가정!$E$270)^(MAX(AN16,1)-1)</f>
        <v>0</v>
      </c>
      <c r="AO69" s="37" t="n">
        <f aca="false">(AO14=1)*③기타_가정!$E$267*③기타_가정!$I$39/1000000*(1+③기타_가정!$E$270)^(MAX(AO16,1)-1)</f>
        <v>0</v>
      </c>
      <c r="AP69" s="37" t="n">
        <f aca="false">(AP14=1)*③기타_가정!$E$267*③기타_가정!$I$39/1000000*(1+③기타_가정!$E$270)^(MAX(AP16,1)-1)</f>
        <v>0</v>
      </c>
      <c r="AQ69" s="37" t="n">
        <f aca="false">(AQ14=1)*③기타_가정!$E$267*③기타_가정!$I$39/1000000*(1+③기타_가정!$E$270)^(MAX(AQ16,1)-1)</f>
        <v>0</v>
      </c>
      <c r="AR69" s="37" t="n">
        <f aca="false">(AR14=1)*③기타_가정!$E$267*③기타_가정!$I$39/1000000*(1+③기타_가정!$E$270)^(MAX(AR16,1)-1)</f>
        <v>0</v>
      </c>
      <c r="AS69" s="37" t="n">
        <f aca="false">(AS14=1)*③기타_가정!$E$267*③기타_가정!$I$39/1000000*(1+③기타_가정!$E$270)^(MAX(AS16,1)-1)</f>
        <v>0</v>
      </c>
      <c r="AT69" s="37" t="n">
        <f aca="false">(AT14=1)*③기타_가정!$E$267*③기타_가정!$I$39/1000000*(1+③기타_가정!$E$270)^(MAX(AT16,1)-1)</f>
        <v>0</v>
      </c>
      <c r="AU69" s="37" t="n">
        <f aca="false">(AU14=1)*③기타_가정!$E$267*③기타_가정!$I$39/1000000*(1+③기타_가정!$E$270)^(MAX(AU16,1)-1)</f>
        <v>0</v>
      </c>
      <c r="AV69" s="37" t="n">
        <f aca="false">(AV14=1)*③기타_가정!$E$267*③기타_가정!$I$39/1000000*(1+③기타_가정!$E$270)^(MAX(AV16,1)-1)</f>
        <v>0</v>
      </c>
      <c r="AW69" s="37" t="n">
        <f aca="false">(AW14=1)*③기타_가정!$E$267*③기타_가정!$I$39/1000000*(1+③기타_가정!$E$270)^(MAX(AW16,1)-1)</f>
        <v>0</v>
      </c>
      <c r="AX69" s="37" t="n">
        <f aca="false">(AX14=1)*③기타_가정!$E$267*③기타_가정!$I$39/1000000*(1+③기타_가정!$E$270)^(MAX(AX16,1)-1)</f>
        <v>0</v>
      </c>
      <c r="AY69" s="37" t="n">
        <f aca="false">(AY14=1)*③기타_가정!$E$267*③기타_가정!$I$39/1000000*(1+③기타_가정!$E$270)^(MAX(AY16,1)-1)</f>
        <v>0</v>
      </c>
      <c r="AZ69" s="37" t="n">
        <f aca="false">(AZ14=1)*③기타_가정!$E$267*③기타_가정!$I$39/1000000*(1+③기타_가정!$E$270)^(MAX(AZ16,1)-1)</f>
        <v>0</v>
      </c>
      <c r="BA69" s="37" t="n">
        <f aca="false">(BA14=1)*③기타_가정!$E$267*③기타_가정!$I$39/1000000*(1+③기타_가정!$E$270)^(MAX(BA16,1)-1)</f>
        <v>0</v>
      </c>
      <c r="BB69" s="37" t="n">
        <f aca="false">(BB14=1)*③기타_가정!$E$267*③기타_가정!$I$39/1000000*(1+③기타_가정!$E$270)^(MAX(BB16,1)-1)</f>
        <v>0</v>
      </c>
      <c r="BC69" s="37" t="n">
        <f aca="false">(BC14=1)*③기타_가정!$E$267*③기타_가정!$I$39/1000000*(1+③기타_가정!$E$270)^(MAX(BC16,1)-1)</f>
        <v>0</v>
      </c>
      <c r="BD69" s="37" t="n">
        <f aca="false">(BD14=1)*③기타_가정!$E$267*③기타_가정!$I$39/1000000*(1+③기타_가정!$E$270)^(MAX(BD16,1)-1)</f>
        <v>0</v>
      </c>
      <c r="BE69" s="37" t="n">
        <f aca="false">(BE14=1)*③기타_가정!$E$267*③기타_가정!$I$39/1000000*(1+③기타_가정!$E$270)^(MAX(BE16,1)-1)</f>
        <v>0</v>
      </c>
      <c r="BF69" s="37" t="n">
        <f aca="false">(BF14=1)*③기타_가정!$E$267*③기타_가정!$I$39/1000000*(1+③기타_가정!$E$270)^(MAX(BF16,1)-1)</f>
        <v>0</v>
      </c>
      <c r="BG69" s="37" t="n">
        <f aca="false">(BG14=1)*③기타_가정!$E$267*③기타_가정!$I$39/1000000*(1+③기타_가정!$E$270)^(MAX(BG16,1)-1)</f>
        <v>0</v>
      </c>
      <c r="BH69" s="37" t="n">
        <f aca="false">(BH14=1)*③기타_가정!$E$267*③기타_가정!$I$39/1000000*(1+③기타_가정!$E$270)^(MAX(BH16,1)-1)</f>
        <v>0</v>
      </c>
      <c r="BI69" s="37" t="n">
        <f aca="false">(BI14=1)*③기타_가정!$E$267*③기타_가정!$I$39/1000000*(1+③기타_가정!$E$270)^(MAX(BI16,1)-1)</f>
        <v>0</v>
      </c>
      <c r="BJ69" s="37" t="n">
        <f aca="false">(BJ14=1)*③기타_가정!$E$267*③기타_가정!$I$39/1000000*(1+③기타_가정!$E$270)^(MAX(BJ16,1)-1)</f>
        <v>0</v>
      </c>
      <c r="BK69" s="37" t="n">
        <f aca="false">(BK14=1)*③기타_가정!$E$267*③기타_가정!$I$39/1000000*(1+③기타_가정!$E$270)^(MAX(BK16,1)-1)</f>
        <v>0</v>
      </c>
      <c r="BL69" s="37" t="n">
        <f aca="false">(BL14=1)*③기타_가정!$E$267*③기타_가정!$I$39/1000000*(1+③기타_가정!$E$270)^(MAX(BL16,1)-1)</f>
        <v>0</v>
      </c>
      <c r="BM69" s="37" t="n">
        <f aca="false">(BM14=1)*③기타_가정!$E$267*③기타_가정!$I$39/1000000*(1+③기타_가정!$E$270)^(MAX(BM16,1)-1)</f>
        <v>88.2048754125</v>
      </c>
      <c r="BN69" s="37" t="n">
        <f aca="false">(BN14=1)*③기타_가정!$E$267*③기타_가정!$I$39/1000000*(1+③기타_가정!$E$270)^(MAX(BN16,1)-1)</f>
        <v>88.2048754125</v>
      </c>
      <c r="BO69" s="37" t="n">
        <f aca="false">(BO14=1)*③기타_가정!$E$267*③기타_가정!$I$39/1000000*(1+③기타_가정!$E$270)^(MAX(BO16,1)-1)</f>
        <v>88.2048754125</v>
      </c>
      <c r="BP69" s="37" t="n">
        <f aca="false">(BP14=1)*③기타_가정!$E$267*③기타_가정!$I$39/1000000*(1+③기타_가정!$E$270)^(MAX(BP16,1)-1)</f>
        <v>88.2048754125</v>
      </c>
      <c r="BQ69" s="37" t="n">
        <f aca="false">(BQ14=1)*③기타_가정!$E$267*③기타_가정!$I$39/1000000*(1+③기타_가정!$E$270)^(MAX(BQ16,1)-1)</f>
        <v>88.2048754125</v>
      </c>
      <c r="BR69" s="37" t="n">
        <f aca="false">(BR14=1)*③기타_가정!$E$267*③기타_가정!$I$39/1000000*(1+③기타_가정!$E$270)^(MAX(BR16,1)-1)</f>
        <v>88.2048754125</v>
      </c>
      <c r="BS69" s="37" t="n">
        <f aca="false">(BS14=1)*③기타_가정!$E$267*③기타_가정!$I$39/1000000*(1+③기타_가정!$E$270)^(MAX(BS16,1)-1)</f>
        <v>88.2048754125</v>
      </c>
      <c r="BT69" s="37" t="n">
        <f aca="false">(BT14=1)*③기타_가정!$E$267*③기타_가정!$I$39/1000000*(1+③기타_가정!$E$270)^(MAX(BT16,1)-1)</f>
        <v>88.2048754125</v>
      </c>
      <c r="BU69" s="37" t="n">
        <f aca="false">(BU14=1)*③기타_가정!$E$267*③기타_가정!$I$39/1000000*(1+③기타_가정!$E$270)^(MAX(BU16,1)-1)</f>
        <v>88.2048754125</v>
      </c>
      <c r="BV69" s="37" t="n">
        <f aca="false">(BV14=1)*③기타_가정!$E$267*③기타_가정!$I$39/1000000*(1+③기타_가정!$E$270)^(MAX(BV16,1)-1)</f>
        <v>88.2048754125</v>
      </c>
      <c r="BW69" s="37" t="n">
        <f aca="false">(BW14=1)*③기타_가정!$E$267*③기타_가정!$I$39/1000000*(1+③기타_가정!$E$270)^(MAX(BW16,1)-1)</f>
        <v>88.2048754125</v>
      </c>
      <c r="BX69" s="37" t="n">
        <f aca="false">(BX14=1)*③기타_가정!$E$267*③기타_가정!$I$39/1000000*(1+③기타_가정!$E$270)^(MAX(BX16,1)-1)</f>
        <v>88.2048754125</v>
      </c>
      <c r="BY69" s="37" t="n">
        <f aca="false">(BY14=1)*③기타_가정!$E$267*③기타_가정!$I$39/1000000*(1+③기타_가정!$E$270)^(MAX(BY16,1)-1)</f>
        <v>89.96897292075</v>
      </c>
      <c r="BZ69" s="37" t="n">
        <f aca="false">(BZ14=1)*③기타_가정!$E$267*③기타_가정!$I$39/1000000*(1+③기타_가정!$E$270)^(MAX(BZ16,1)-1)</f>
        <v>89.96897292075</v>
      </c>
      <c r="CA69" s="37" t="n">
        <f aca="false">(CA14=1)*③기타_가정!$E$267*③기타_가정!$I$39/1000000*(1+③기타_가정!$E$270)^(MAX(CA16,1)-1)</f>
        <v>89.96897292075</v>
      </c>
      <c r="CB69" s="37" t="n">
        <f aca="false">(CB14=1)*③기타_가정!$E$267*③기타_가정!$I$39/1000000*(1+③기타_가정!$E$270)^(MAX(CB16,1)-1)</f>
        <v>89.96897292075</v>
      </c>
      <c r="CC69" s="37" t="n">
        <f aca="false">(CC14=1)*③기타_가정!$E$267*③기타_가정!$I$39/1000000*(1+③기타_가정!$E$270)^(MAX(CC16,1)-1)</f>
        <v>89.96897292075</v>
      </c>
      <c r="CD69" s="37" t="n">
        <f aca="false">(CD14=1)*③기타_가정!$E$267*③기타_가정!$I$39/1000000*(1+③기타_가정!$E$270)^(MAX(CD16,1)-1)</f>
        <v>89.96897292075</v>
      </c>
      <c r="CE69" s="37" t="n">
        <f aca="false">(CE14=1)*③기타_가정!$E$267*③기타_가정!$I$39/1000000*(1+③기타_가정!$E$270)^(MAX(CE16,1)-1)</f>
        <v>89.96897292075</v>
      </c>
      <c r="CF69" s="37" t="n">
        <f aca="false">(CF14=1)*③기타_가정!$E$267*③기타_가정!$I$39/1000000*(1+③기타_가정!$E$270)^(MAX(CF16,1)-1)</f>
        <v>89.96897292075</v>
      </c>
      <c r="CG69" s="37" t="n">
        <f aca="false">(CG14=1)*③기타_가정!$E$267*③기타_가정!$I$39/1000000*(1+③기타_가정!$E$270)^(MAX(CG16,1)-1)</f>
        <v>89.96897292075</v>
      </c>
      <c r="CH69" s="37" t="n">
        <f aca="false">(CH14=1)*③기타_가정!$E$267*③기타_가정!$I$39/1000000*(1+③기타_가정!$E$270)^(MAX(CH16,1)-1)</f>
        <v>89.96897292075</v>
      </c>
      <c r="CI69" s="37" t="n">
        <f aca="false">(CI14=1)*③기타_가정!$E$267*③기타_가정!$I$39/1000000*(1+③기타_가정!$E$270)^(MAX(CI16,1)-1)</f>
        <v>89.96897292075</v>
      </c>
      <c r="CJ69" s="37" t="n">
        <f aca="false">(CJ14=1)*③기타_가정!$E$267*③기타_가정!$I$39/1000000*(1+③기타_가정!$E$270)^(MAX(CJ16,1)-1)</f>
        <v>89.96897292075</v>
      </c>
      <c r="CK69" s="37" t="n">
        <f aca="false">(CK14=1)*③기타_가정!$E$267*③기타_가정!$I$39/1000000*(1+③기타_가정!$E$270)^(MAX(CK16,1)-1)</f>
        <v>91.768352379165</v>
      </c>
      <c r="CL69" s="37" t="n">
        <f aca="false">(CL14=1)*③기타_가정!$E$267*③기타_가정!$I$39/1000000*(1+③기타_가정!$E$270)^(MAX(CL16,1)-1)</f>
        <v>91.768352379165</v>
      </c>
      <c r="CM69" s="37" t="n">
        <f aca="false">(CM14=1)*③기타_가정!$E$267*③기타_가정!$I$39/1000000*(1+③기타_가정!$E$270)^(MAX(CM16,1)-1)</f>
        <v>91.768352379165</v>
      </c>
      <c r="CN69" s="37" t="n">
        <f aca="false">(CN14=1)*③기타_가정!$E$267*③기타_가정!$I$39/1000000*(1+③기타_가정!$E$270)^(MAX(CN16,1)-1)</f>
        <v>91.768352379165</v>
      </c>
      <c r="CO69" s="37" t="n">
        <f aca="false">(CO14=1)*③기타_가정!$E$267*③기타_가정!$I$39/1000000*(1+③기타_가정!$E$270)^(MAX(CO16,1)-1)</f>
        <v>91.768352379165</v>
      </c>
      <c r="CP69" s="37" t="n">
        <f aca="false">(CP14=1)*③기타_가정!$E$267*③기타_가정!$I$39/1000000*(1+③기타_가정!$E$270)^(MAX(CP16,1)-1)</f>
        <v>91.768352379165</v>
      </c>
      <c r="CQ69" s="37" t="n">
        <f aca="false">(CQ14=1)*③기타_가정!$E$267*③기타_가정!$I$39/1000000*(1+③기타_가정!$E$270)^(MAX(CQ16,1)-1)</f>
        <v>91.768352379165</v>
      </c>
      <c r="CR69" s="37" t="n">
        <f aca="false">(CR14=1)*③기타_가정!$E$267*③기타_가정!$I$39/1000000*(1+③기타_가정!$E$270)^(MAX(CR16,1)-1)</f>
        <v>91.768352379165</v>
      </c>
      <c r="CS69" s="37" t="n">
        <f aca="false">(CS14=1)*③기타_가정!$E$267*③기타_가정!$I$39/1000000*(1+③기타_가정!$E$270)^(MAX(CS16,1)-1)</f>
        <v>91.768352379165</v>
      </c>
      <c r="CT69" s="37" t="n">
        <f aca="false">(CT14=1)*③기타_가정!$E$267*③기타_가정!$I$39/1000000*(1+③기타_가정!$E$270)^(MAX(CT16,1)-1)</f>
        <v>91.768352379165</v>
      </c>
      <c r="CU69" s="37" t="n">
        <f aca="false">(CU14=1)*③기타_가정!$E$267*③기타_가정!$I$39/1000000*(1+③기타_가정!$E$270)^(MAX(CU16,1)-1)</f>
        <v>91.768352379165</v>
      </c>
      <c r="CV69" s="37" t="n">
        <f aca="false">(CV14=1)*③기타_가정!$E$267*③기타_가정!$I$39/1000000*(1+③기타_가정!$E$270)^(MAX(CV16,1)-1)</f>
        <v>91.768352379165</v>
      </c>
      <c r="CW69" s="37" t="n">
        <f aca="false">(CW14=1)*③기타_가정!$E$267*③기타_가정!$I$39/1000000*(1+③기타_가정!$E$270)^(MAX(CW16,1)-1)</f>
        <v>93.6037194267483</v>
      </c>
      <c r="CX69" s="37" t="n">
        <f aca="false">(CX14=1)*③기타_가정!$E$267*③기타_가정!$I$39/1000000*(1+③기타_가정!$E$270)^(MAX(CX16,1)-1)</f>
        <v>93.6037194267483</v>
      </c>
      <c r="CY69" s="37" t="n">
        <f aca="false">(CY14=1)*③기타_가정!$E$267*③기타_가정!$I$39/1000000*(1+③기타_가정!$E$270)^(MAX(CY16,1)-1)</f>
        <v>93.6037194267483</v>
      </c>
      <c r="CZ69" s="37" t="n">
        <f aca="false">(CZ14=1)*③기타_가정!$E$267*③기타_가정!$I$39/1000000*(1+③기타_가정!$E$270)^(MAX(CZ16,1)-1)</f>
        <v>93.6037194267483</v>
      </c>
      <c r="DA69" s="37" t="n">
        <f aca="false">(DA14=1)*③기타_가정!$E$267*③기타_가정!$I$39/1000000*(1+③기타_가정!$E$270)^(MAX(DA16,1)-1)</f>
        <v>93.6037194267483</v>
      </c>
      <c r="DB69" s="37" t="n">
        <f aca="false">(DB14=1)*③기타_가정!$E$267*③기타_가정!$I$39/1000000*(1+③기타_가정!$E$270)^(MAX(DB16,1)-1)</f>
        <v>93.6037194267483</v>
      </c>
      <c r="DC69" s="37" t="n">
        <f aca="false">(DC14=1)*③기타_가정!$E$267*③기타_가정!$I$39/1000000*(1+③기타_가정!$E$270)^(MAX(DC16,1)-1)</f>
        <v>93.6037194267483</v>
      </c>
      <c r="DD69" s="37" t="n">
        <f aca="false">(DD14=1)*③기타_가정!$E$267*③기타_가정!$I$39/1000000*(1+③기타_가정!$E$270)^(MAX(DD16,1)-1)</f>
        <v>93.6037194267483</v>
      </c>
      <c r="DE69" s="37" t="n">
        <f aca="false">(DE14=1)*③기타_가정!$E$267*③기타_가정!$I$39/1000000*(1+③기타_가정!$E$270)^(MAX(DE16,1)-1)</f>
        <v>93.6037194267483</v>
      </c>
      <c r="DF69" s="37" t="n">
        <f aca="false">(DF14=1)*③기타_가정!$E$267*③기타_가정!$I$39/1000000*(1+③기타_가정!$E$270)^(MAX(DF16,1)-1)</f>
        <v>93.6037194267483</v>
      </c>
      <c r="DG69" s="37" t="n">
        <f aca="false">(DG14=1)*③기타_가정!$E$267*③기타_가정!$I$39/1000000*(1+③기타_가정!$E$270)^(MAX(DG16,1)-1)</f>
        <v>93.6037194267483</v>
      </c>
      <c r="DH69" s="37" t="n">
        <f aca="false">(DH14=1)*③기타_가정!$E$267*③기타_가정!$I$39/1000000*(1+③기타_가정!$E$270)^(MAX(DH16,1)-1)</f>
        <v>93.6037194267483</v>
      </c>
      <c r="DI69" s="37" t="n">
        <f aca="false">(DI14=1)*③기타_가정!$E$267*③기타_가정!$I$39/1000000*(1+③기타_가정!$E$270)^(MAX(DI16,1)-1)</f>
        <v>95.4757938152833</v>
      </c>
      <c r="DJ69" s="37" t="n">
        <f aca="false">(DJ14=1)*③기타_가정!$E$267*③기타_가정!$I$39/1000000*(1+③기타_가정!$E$270)^(MAX(DJ16,1)-1)</f>
        <v>95.4757938152833</v>
      </c>
      <c r="DK69" s="37" t="n">
        <f aca="false">(DK14=1)*③기타_가정!$E$267*③기타_가정!$I$39/1000000*(1+③기타_가정!$E$270)^(MAX(DK16,1)-1)</f>
        <v>95.4757938152833</v>
      </c>
      <c r="DL69" s="37" t="n">
        <f aca="false">(DL14=1)*③기타_가정!$E$267*③기타_가정!$I$39/1000000*(1+③기타_가정!$E$270)^(MAX(DL16,1)-1)</f>
        <v>95.4757938152833</v>
      </c>
      <c r="DM69" s="37" t="n">
        <f aca="false">(DM14=1)*③기타_가정!$E$267*③기타_가정!$I$39/1000000*(1+③기타_가정!$E$270)^(MAX(DM16,1)-1)</f>
        <v>95.4757938152833</v>
      </c>
      <c r="DN69" s="37" t="n">
        <f aca="false">(DN14=1)*③기타_가정!$E$267*③기타_가정!$I$39/1000000*(1+③기타_가정!$E$270)^(MAX(DN16,1)-1)</f>
        <v>95.4757938152833</v>
      </c>
      <c r="DO69" s="37" t="n">
        <f aca="false">(DO14=1)*③기타_가정!$E$267*③기타_가정!$I$39/1000000*(1+③기타_가정!$E$270)^(MAX(DO16,1)-1)</f>
        <v>95.4757938152833</v>
      </c>
      <c r="DP69" s="37" t="n">
        <f aca="false">(DP14=1)*③기타_가정!$E$267*③기타_가정!$I$39/1000000*(1+③기타_가정!$E$270)^(MAX(DP16,1)-1)</f>
        <v>95.4757938152833</v>
      </c>
      <c r="DQ69" s="37" t="n">
        <f aca="false">(DQ14=1)*③기타_가정!$E$267*③기타_가정!$I$39/1000000*(1+③기타_가정!$E$270)^(MAX(DQ16,1)-1)</f>
        <v>95.4757938152833</v>
      </c>
      <c r="DR69" s="37" t="n">
        <f aca="false">(DR14=1)*③기타_가정!$E$267*③기타_가정!$I$39/1000000*(1+③기타_가정!$E$270)^(MAX(DR16,1)-1)</f>
        <v>95.4757938152833</v>
      </c>
      <c r="DS69" s="37" t="n">
        <f aca="false">(DS14=1)*③기타_가정!$E$267*③기타_가정!$I$39/1000000*(1+③기타_가정!$E$270)^(MAX(DS16,1)-1)</f>
        <v>95.4757938152833</v>
      </c>
      <c r="DT69" s="37" t="n">
        <f aca="false">(DT14=1)*③기타_가정!$E$267*③기타_가정!$I$39/1000000*(1+③기타_가정!$E$270)^(MAX(DT16,1)-1)</f>
        <v>95.4757938152833</v>
      </c>
      <c r="DU69" s="37" t="n">
        <f aca="false">(DU14=1)*③기타_가정!$E$267*③기타_가정!$I$39/1000000*(1+③기타_가정!$E$270)^(MAX(DU16,1)-1)</f>
        <v>0</v>
      </c>
      <c r="DV69" s="37" t="n">
        <f aca="false">(DV14=1)*③기타_가정!$E$267*③기타_가정!$I$39/1000000*(1+③기타_가정!$E$270)^(MAX(DV16,1)-1)</f>
        <v>0</v>
      </c>
      <c r="DW69" s="37" t="n">
        <f aca="false">(DW14=1)*③기타_가정!$E$267*③기타_가정!$I$39/1000000*(1+③기타_가정!$E$270)^(MAX(DW16,1)-1)</f>
        <v>0</v>
      </c>
      <c r="DX69" s="37" t="n">
        <f aca="false">(DX14=1)*③기타_가정!$E$267*③기타_가정!$I$39/1000000*(1+③기타_가정!$E$270)^(MAX(DX16,1)-1)</f>
        <v>0</v>
      </c>
      <c r="DY69" s="37" t="n">
        <f aca="false">(DY14=1)*③기타_가정!$E$267*③기타_가정!$I$39/1000000*(1+③기타_가정!$E$270)^(MAX(DY16,1)-1)</f>
        <v>0</v>
      </c>
      <c r="DZ69" s="37" t="n">
        <f aca="false">(DZ14=1)*③기타_가정!$E$267*③기타_가정!$I$39/1000000*(1+③기타_가정!$E$270)^(MAX(DZ16,1)-1)</f>
        <v>0</v>
      </c>
      <c r="EA69" s="37" t="n">
        <f aca="false">(EA14=1)*③기타_가정!$E$267*③기타_가정!$I$39/1000000*(1+③기타_가정!$E$270)^(MAX(EA16,1)-1)</f>
        <v>0</v>
      </c>
      <c r="EB69" s="37" t="n">
        <f aca="false">(EB14=1)*③기타_가정!$E$267*③기타_가정!$I$39/1000000*(1+③기타_가정!$E$270)^(MAX(EB16,1)-1)</f>
        <v>0</v>
      </c>
      <c r="EC69" s="37" t="n">
        <f aca="false">(EC14=1)*③기타_가정!$E$267*③기타_가정!$I$39/1000000*(1+③기타_가정!$E$270)^(MAX(EC16,1)-1)</f>
        <v>0</v>
      </c>
      <c r="ED69" s="37" t="n">
        <f aca="false">(ED14=1)*③기타_가정!$E$267*③기타_가정!$I$39/1000000*(1+③기타_가정!$E$270)^(MAX(ED16,1)-1)</f>
        <v>0</v>
      </c>
      <c r="EE69" s="37" t="n">
        <f aca="false">(EE14=1)*③기타_가정!$E$267*③기타_가정!$I$39/1000000*(1+③기타_가정!$E$270)^(MAX(EE16,1)-1)</f>
        <v>0</v>
      </c>
      <c r="EF69" s="37" t="n">
        <f aca="false">(EF14=1)*③기타_가정!$E$267*③기타_가정!$I$39/1000000*(1+③기타_가정!$E$270)^(MAX(EF16,1)-1)</f>
        <v>0</v>
      </c>
    </row>
    <row r="70" customFormat="false" ht="15" hidden="false" customHeight="false" outlineLevel="0" collapsed="false">
      <c r="A70" s="36" t="s">
        <v>281</v>
      </c>
      <c r="B70" s="278" t="s">
        <v>21</v>
      </c>
      <c r="C70" s="279" t="n">
        <f aca="false">SUM(E70:EF70)</f>
        <v>5891.26522053715</v>
      </c>
      <c r="E70" s="37" t="n">
        <f aca="false">(E14=1)*③기타_가정!$E$268*③기타_가정!$I$41/12*(1+③기타_가정!$E$270)^(MAX(E16,1)-1)</f>
        <v>0</v>
      </c>
      <c r="F70" s="37" t="n">
        <f aca="false">(F14=1)*③기타_가정!$E$268*③기타_가정!$I$41/12*(1+③기타_가정!$E$270)^(MAX(F16,1)-1)</f>
        <v>0</v>
      </c>
      <c r="G70" s="37" t="n">
        <f aca="false">(G14=1)*③기타_가정!$E$268*③기타_가정!$I$41/12*(1+③기타_가정!$E$270)^(MAX(G16,1)-1)</f>
        <v>0</v>
      </c>
      <c r="H70" s="37" t="n">
        <f aca="false">(H14=1)*③기타_가정!$E$268*③기타_가정!$I$41/12*(1+③기타_가정!$E$270)^(MAX(H16,1)-1)</f>
        <v>0</v>
      </c>
      <c r="I70" s="37" t="n">
        <f aca="false">(I14=1)*③기타_가정!$E$268*③기타_가정!$I$41/12*(1+③기타_가정!$E$270)^(MAX(I16,1)-1)</f>
        <v>0</v>
      </c>
      <c r="J70" s="37" t="n">
        <f aca="false">(J14=1)*③기타_가정!$E$268*③기타_가정!$I$41/12*(1+③기타_가정!$E$270)^(MAX(J16,1)-1)</f>
        <v>0</v>
      </c>
      <c r="K70" s="37" t="n">
        <f aca="false">(K14=1)*③기타_가정!$E$268*③기타_가정!$I$41/12*(1+③기타_가정!$E$270)^(MAX(K16,1)-1)</f>
        <v>0</v>
      </c>
      <c r="L70" s="37" t="n">
        <f aca="false">(L14=1)*③기타_가정!$E$268*③기타_가정!$I$41/12*(1+③기타_가정!$E$270)^(MAX(L16,1)-1)</f>
        <v>0</v>
      </c>
      <c r="M70" s="37" t="n">
        <f aca="false">(M14=1)*③기타_가정!$E$268*③기타_가정!$I$41/12*(1+③기타_가정!$E$270)^(MAX(M16,1)-1)</f>
        <v>0</v>
      </c>
      <c r="N70" s="37" t="n">
        <f aca="false">(N14=1)*③기타_가정!$E$268*③기타_가정!$I$41/12*(1+③기타_가정!$E$270)^(MAX(N16,1)-1)</f>
        <v>0</v>
      </c>
      <c r="O70" s="37" t="n">
        <f aca="false">(O14=1)*③기타_가정!$E$268*③기타_가정!$I$41/12*(1+③기타_가정!$E$270)^(MAX(O16,1)-1)</f>
        <v>0</v>
      </c>
      <c r="P70" s="37" t="n">
        <f aca="false">(P14=1)*③기타_가정!$E$268*③기타_가정!$I$41/12*(1+③기타_가정!$E$270)^(MAX(P16,1)-1)</f>
        <v>0</v>
      </c>
      <c r="Q70" s="37" t="n">
        <f aca="false">(Q14=1)*③기타_가정!$E$268*③기타_가정!$I$41/12*(1+③기타_가정!$E$270)^(MAX(Q16,1)-1)</f>
        <v>0</v>
      </c>
      <c r="R70" s="37" t="n">
        <f aca="false">(R14=1)*③기타_가정!$E$268*③기타_가정!$I$41/12*(1+③기타_가정!$E$270)^(MAX(R16,1)-1)</f>
        <v>0</v>
      </c>
      <c r="S70" s="37" t="n">
        <f aca="false">(S14=1)*③기타_가정!$E$268*③기타_가정!$I$41/12*(1+③기타_가정!$E$270)^(MAX(S16,1)-1)</f>
        <v>0</v>
      </c>
      <c r="T70" s="37" t="n">
        <f aca="false">(T14=1)*③기타_가정!$E$268*③기타_가정!$I$41/12*(1+③기타_가정!$E$270)^(MAX(T16,1)-1)</f>
        <v>0</v>
      </c>
      <c r="U70" s="37" t="n">
        <f aca="false">(U14=1)*③기타_가정!$E$268*③기타_가정!$I$41/12*(1+③기타_가정!$E$270)^(MAX(U16,1)-1)</f>
        <v>0</v>
      </c>
      <c r="V70" s="37" t="n">
        <f aca="false">(V14=1)*③기타_가정!$E$268*③기타_가정!$I$41/12*(1+③기타_가정!$E$270)^(MAX(V16,1)-1)</f>
        <v>0</v>
      </c>
      <c r="W70" s="37" t="n">
        <f aca="false">(W14=1)*③기타_가정!$E$268*③기타_가정!$I$41/12*(1+③기타_가정!$E$270)^(MAX(W16,1)-1)</f>
        <v>0</v>
      </c>
      <c r="X70" s="37" t="n">
        <f aca="false">(X14=1)*③기타_가정!$E$268*③기타_가정!$I$41/12*(1+③기타_가정!$E$270)^(MAX(X16,1)-1)</f>
        <v>0</v>
      </c>
      <c r="Y70" s="37" t="n">
        <f aca="false">(Y14=1)*③기타_가정!$E$268*③기타_가정!$I$41/12*(1+③기타_가정!$E$270)^(MAX(Y16,1)-1)</f>
        <v>0</v>
      </c>
      <c r="Z70" s="37" t="n">
        <f aca="false">(Z14=1)*③기타_가정!$E$268*③기타_가정!$I$41/12*(1+③기타_가정!$E$270)^(MAX(Z16,1)-1)</f>
        <v>0</v>
      </c>
      <c r="AA70" s="37" t="n">
        <f aca="false">(AA14=1)*③기타_가정!$E$268*③기타_가정!$I$41/12*(1+③기타_가정!$E$270)^(MAX(AA16,1)-1)</f>
        <v>0</v>
      </c>
      <c r="AB70" s="37" t="n">
        <f aca="false">(AB14=1)*③기타_가정!$E$268*③기타_가정!$I$41/12*(1+③기타_가정!$E$270)^(MAX(AB16,1)-1)</f>
        <v>0</v>
      </c>
      <c r="AC70" s="37" t="n">
        <f aca="false">(AC14=1)*③기타_가정!$E$268*③기타_가정!$I$41/12*(1+③기타_가정!$E$270)^(MAX(AC16,1)-1)</f>
        <v>0</v>
      </c>
      <c r="AD70" s="37" t="n">
        <f aca="false">(AD14=1)*③기타_가정!$E$268*③기타_가정!$I$41/12*(1+③기타_가정!$E$270)^(MAX(AD16,1)-1)</f>
        <v>0</v>
      </c>
      <c r="AE70" s="37" t="n">
        <f aca="false">(AE14=1)*③기타_가정!$E$268*③기타_가정!$I$41/12*(1+③기타_가정!$E$270)^(MAX(AE16,1)-1)</f>
        <v>0</v>
      </c>
      <c r="AF70" s="37" t="n">
        <f aca="false">(AF14=1)*③기타_가정!$E$268*③기타_가정!$I$41/12*(1+③기타_가정!$E$270)^(MAX(AF16,1)-1)</f>
        <v>0</v>
      </c>
      <c r="AG70" s="37" t="n">
        <f aca="false">(AG14=1)*③기타_가정!$E$268*③기타_가정!$I$41/12*(1+③기타_가정!$E$270)^(MAX(AG16,1)-1)</f>
        <v>0</v>
      </c>
      <c r="AH70" s="37" t="n">
        <f aca="false">(AH14=1)*③기타_가정!$E$268*③기타_가정!$I$41/12*(1+③기타_가정!$E$270)^(MAX(AH16,1)-1)</f>
        <v>0</v>
      </c>
      <c r="AI70" s="37" t="n">
        <f aca="false">(AI14=1)*③기타_가정!$E$268*③기타_가정!$I$41/12*(1+③기타_가정!$E$270)^(MAX(AI16,1)-1)</f>
        <v>0</v>
      </c>
      <c r="AJ70" s="37" t="n">
        <f aca="false">(AJ14=1)*③기타_가정!$E$268*③기타_가정!$I$41/12*(1+③기타_가정!$E$270)^(MAX(AJ16,1)-1)</f>
        <v>0</v>
      </c>
      <c r="AK70" s="37" t="n">
        <f aca="false">(AK14=1)*③기타_가정!$E$268*③기타_가정!$I$41/12*(1+③기타_가정!$E$270)^(MAX(AK16,1)-1)</f>
        <v>0</v>
      </c>
      <c r="AL70" s="37" t="n">
        <f aca="false">(AL14=1)*③기타_가정!$E$268*③기타_가정!$I$41/12*(1+③기타_가정!$E$270)^(MAX(AL16,1)-1)</f>
        <v>0</v>
      </c>
      <c r="AM70" s="37" t="n">
        <f aca="false">(AM14=1)*③기타_가정!$E$268*③기타_가정!$I$41/12*(1+③기타_가정!$E$270)^(MAX(AM16,1)-1)</f>
        <v>0</v>
      </c>
      <c r="AN70" s="37" t="n">
        <f aca="false">(AN14=1)*③기타_가정!$E$268*③기타_가정!$I$41/12*(1+③기타_가정!$E$270)^(MAX(AN16,1)-1)</f>
        <v>0</v>
      </c>
      <c r="AO70" s="37" t="n">
        <f aca="false">(AO14=1)*③기타_가정!$E$268*③기타_가정!$I$41/12*(1+③기타_가정!$E$270)^(MAX(AO16,1)-1)</f>
        <v>0</v>
      </c>
      <c r="AP70" s="37" t="n">
        <f aca="false">(AP14=1)*③기타_가정!$E$268*③기타_가정!$I$41/12*(1+③기타_가정!$E$270)^(MAX(AP16,1)-1)</f>
        <v>0</v>
      </c>
      <c r="AQ70" s="37" t="n">
        <f aca="false">(AQ14=1)*③기타_가정!$E$268*③기타_가정!$I$41/12*(1+③기타_가정!$E$270)^(MAX(AQ16,1)-1)</f>
        <v>0</v>
      </c>
      <c r="AR70" s="37" t="n">
        <f aca="false">(AR14=1)*③기타_가정!$E$268*③기타_가정!$I$41/12*(1+③기타_가정!$E$270)^(MAX(AR16,1)-1)</f>
        <v>0</v>
      </c>
      <c r="AS70" s="37" t="n">
        <f aca="false">(AS14=1)*③기타_가정!$E$268*③기타_가정!$I$41/12*(1+③기타_가정!$E$270)^(MAX(AS16,1)-1)</f>
        <v>0</v>
      </c>
      <c r="AT70" s="37" t="n">
        <f aca="false">(AT14=1)*③기타_가정!$E$268*③기타_가정!$I$41/12*(1+③기타_가정!$E$270)^(MAX(AT16,1)-1)</f>
        <v>0</v>
      </c>
      <c r="AU70" s="37" t="n">
        <f aca="false">(AU14=1)*③기타_가정!$E$268*③기타_가정!$I$41/12*(1+③기타_가정!$E$270)^(MAX(AU16,1)-1)</f>
        <v>0</v>
      </c>
      <c r="AV70" s="37" t="n">
        <f aca="false">(AV14=1)*③기타_가정!$E$268*③기타_가정!$I$41/12*(1+③기타_가정!$E$270)^(MAX(AV16,1)-1)</f>
        <v>0</v>
      </c>
      <c r="AW70" s="37" t="n">
        <f aca="false">(AW14=1)*③기타_가정!$E$268*③기타_가정!$I$41/12*(1+③기타_가정!$E$270)^(MAX(AW16,1)-1)</f>
        <v>0</v>
      </c>
      <c r="AX70" s="37" t="n">
        <f aca="false">(AX14=1)*③기타_가정!$E$268*③기타_가정!$I$41/12*(1+③기타_가정!$E$270)^(MAX(AX16,1)-1)</f>
        <v>0</v>
      </c>
      <c r="AY70" s="37" t="n">
        <f aca="false">(AY14=1)*③기타_가정!$E$268*③기타_가정!$I$41/12*(1+③기타_가정!$E$270)^(MAX(AY16,1)-1)</f>
        <v>0</v>
      </c>
      <c r="AZ70" s="37" t="n">
        <f aca="false">(AZ14=1)*③기타_가정!$E$268*③기타_가정!$I$41/12*(1+③기타_가정!$E$270)^(MAX(AZ16,1)-1)</f>
        <v>0</v>
      </c>
      <c r="BA70" s="37" t="n">
        <f aca="false">(BA14=1)*③기타_가정!$E$268*③기타_가정!$I$41/12*(1+③기타_가정!$E$270)^(MAX(BA16,1)-1)</f>
        <v>0</v>
      </c>
      <c r="BB70" s="37" t="n">
        <f aca="false">(BB14=1)*③기타_가정!$E$268*③기타_가정!$I$41/12*(1+③기타_가정!$E$270)^(MAX(BB16,1)-1)</f>
        <v>0</v>
      </c>
      <c r="BC70" s="37" t="n">
        <f aca="false">(BC14=1)*③기타_가정!$E$268*③기타_가정!$I$41/12*(1+③기타_가정!$E$270)^(MAX(BC16,1)-1)</f>
        <v>0</v>
      </c>
      <c r="BD70" s="37" t="n">
        <f aca="false">(BD14=1)*③기타_가정!$E$268*③기타_가정!$I$41/12*(1+③기타_가정!$E$270)^(MAX(BD16,1)-1)</f>
        <v>0</v>
      </c>
      <c r="BE70" s="37" t="n">
        <f aca="false">(BE14=1)*③기타_가정!$E$268*③기타_가정!$I$41/12*(1+③기타_가정!$E$270)^(MAX(BE16,1)-1)</f>
        <v>0</v>
      </c>
      <c r="BF70" s="37" t="n">
        <f aca="false">(BF14=1)*③기타_가정!$E$268*③기타_가정!$I$41/12*(1+③기타_가정!$E$270)^(MAX(BF16,1)-1)</f>
        <v>0</v>
      </c>
      <c r="BG70" s="37" t="n">
        <f aca="false">(BG14=1)*③기타_가정!$E$268*③기타_가정!$I$41/12*(1+③기타_가정!$E$270)^(MAX(BG16,1)-1)</f>
        <v>0</v>
      </c>
      <c r="BH70" s="37" t="n">
        <f aca="false">(BH14=1)*③기타_가정!$E$268*③기타_가정!$I$41/12*(1+③기타_가정!$E$270)^(MAX(BH16,1)-1)</f>
        <v>0</v>
      </c>
      <c r="BI70" s="37" t="n">
        <f aca="false">(BI14=1)*③기타_가정!$E$268*③기타_가정!$I$41/12*(1+③기타_가정!$E$270)^(MAX(BI16,1)-1)</f>
        <v>0</v>
      </c>
      <c r="BJ70" s="37" t="n">
        <f aca="false">(BJ14=1)*③기타_가정!$E$268*③기타_가정!$I$41/12*(1+③기타_가정!$E$270)^(MAX(BJ16,1)-1)</f>
        <v>0</v>
      </c>
      <c r="BK70" s="37" t="n">
        <f aca="false">(BK14=1)*③기타_가정!$E$268*③기타_가정!$I$41/12*(1+③기타_가정!$E$270)^(MAX(BK16,1)-1)</f>
        <v>0</v>
      </c>
      <c r="BL70" s="37" t="n">
        <f aca="false">(BL14=1)*③기타_가정!$E$268*③기타_가정!$I$41/12*(1+③기타_가정!$E$270)^(MAX(BL16,1)-1)</f>
        <v>0</v>
      </c>
      <c r="BM70" s="37" t="n">
        <f aca="false">(BM14=1)*③기타_가정!$E$268*③기타_가정!$I$41/12*(1+③기타_가정!$E$270)^(MAX(BM16,1)-1)</f>
        <v>94.3380053350886</v>
      </c>
      <c r="BN70" s="37" t="n">
        <f aca="false">(BN14=1)*③기타_가정!$E$268*③기타_가정!$I$41/12*(1+③기타_가정!$E$270)^(MAX(BN16,1)-1)</f>
        <v>94.3380053350886</v>
      </c>
      <c r="BO70" s="37" t="n">
        <f aca="false">(BO14=1)*③기타_가정!$E$268*③기타_가정!$I$41/12*(1+③기타_가정!$E$270)^(MAX(BO16,1)-1)</f>
        <v>94.3380053350886</v>
      </c>
      <c r="BP70" s="37" t="n">
        <f aca="false">(BP14=1)*③기타_가정!$E$268*③기타_가정!$I$41/12*(1+③기타_가정!$E$270)^(MAX(BP16,1)-1)</f>
        <v>94.3380053350886</v>
      </c>
      <c r="BQ70" s="37" t="n">
        <f aca="false">(BQ14=1)*③기타_가정!$E$268*③기타_가정!$I$41/12*(1+③기타_가정!$E$270)^(MAX(BQ16,1)-1)</f>
        <v>94.3380053350886</v>
      </c>
      <c r="BR70" s="37" t="n">
        <f aca="false">(BR14=1)*③기타_가정!$E$268*③기타_가정!$I$41/12*(1+③기타_가정!$E$270)^(MAX(BR16,1)-1)</f>
        <v>94.3380053350886</v>
      </c>
      <c r="BS70" s="37" t="n">
        <f aca="false">(BS14=1)*③기타_가정!$E$268*③기타_가정!$I$41/12*(1+③기타_가정!$E$270)^(MAX(BS16,1)-1)</f>
        <v>94.3380053350886</v>
      </c>
      <c r="BT70" s="37" t="n">
        <f aca="false">(BT14=1)*③기타_가정!$E$268*③기타_가정!$I$41/12*(1+③기타_가정!$E$270)^(MAX(BT16,1)-1)</f>
        <v>94.3380053350886</v>
      </c>
      <c r="BU70" s="37" t="n">
        <f aca="false">(BU14=1)*③기타_가정!$E$268*③기타_가정!$I$41/12*(1+③기타_가정!$E$270)^(MAX(BU16,1)-1)</f>
        <v>94.3380053350886</v>
      </c>
      <c r="BV70" s="37" t="n">
        <f aca="false">(BV14=1)*③기타_가정!$E$268*③기타_가정!$I$41/12*(1+③기타_가정!$E$270)^(MAX(BV16,1)-1)</f>
        <v>94.3380053350886</v>
      </c>
      <c r="BW70" s="37" t="n">
        <f aca="false">(BW14=1)*③기타_가정!$E$268*③기타_가정!$I$41/12*(1+③기타_가정!$E$270)^(MAX(BW16,1)-1)</f>
        <v>94.3380053350886</v>
      </c>
      <c r="BX70" s="37" t="n">
        <f aca="false">(BX14=1)*③기타_가정!$E$268*③기타_가정!$I$41/12*(1+③기타_가정!$E$270)^(MAX(BX16,1)-1)</f>
        <v>94.3380053350886</v>
      </c>
      <c r="BY70" s="37" t="n">
        <f aca="false">(BY14=1)*③기타_가정!$E$268*③기타_가정!$I$41/12*(1+③기타_가정!$E$270)^(MAX(BY16,1)-1)</f>
        <v>96.2247654417904</v>
      </c>
      <c r="BZ70" s="37" t="n">
        <f aca="false">(BZ14=1)*③기타_가정!$E$268*③기타_가정!$I$41/12*(1+③기타_가정!$E$270)^(MAX(BZ16,1)-1)</f>
        <v>96.2247654417904</v>
      </c>
      <c r="CA70" s="37" t="n">
        <f aca="false">(CA14=1)*③기타_가정!$E$268*③기타_가정!$I$41/12*(1+③기타_가정!$E$270)^(MAX(CA16,1)-1)</f>
        <v>96.2247654417904</v>
      </c>
      <c r="CB70" s="37" t="n">
        <f aca="false">(CB14=1)*③기타_가정!$E$268*③기타_가정!$I$41/12*(1+③기타_가정!$E$270)^(MAX(CB16,1)-1)</f>
        <v>96.2247654417904</v>
      </c>
      <c r="CC70" s="37" t="n">
        <f aca="false">(CC14=1)*③기타_가정!$E$268*③기타_가정!$I$41/12*(1+③기타_가정!$E$270)^(MAX(CC16,1)-1)</f>
        <v>96.2247654417904</v>
      </c>
      <c r="CD70" s="37" t="n">
        <f aca="false">(CD14=1)*③기타_가정!$E$268*③기타_가정!$I$41/12*(1+③기타_가정!$E$270)^(MAX(CD16,1)-1)</f>
        <v>96.2247654417904</v>
      </c>
      <c r="CE70" s="37" t="n">
        <f aca="false">(CE14=1)*③기타_가정!$E$268*③기타_가정!$I$41/12*(1+③기타_가정!$E$270)^(MAX(CE16,1)-1)</f>
        <v>96.2247654417904</v>
      </c>
      <c r="CF70" s="37" t="n">
        <f aca="false">(CF14=1)*③기타_가정!$E$268*③기타_가정!$I$41/12*(1+③기타_가정!$E$270)^(MAX(CF16,1)-1)</f>
        <v>96.2247654417904</v>
      </c>
      <c r="CG70" s="37" t="n">
        <f aca="false">(CG14=1)*③기타_가정!$E$268*③기타_가정!$I$41/12*(1+③기타_가정!$E$270)^(MAX(CG16,1)-1)</f>
        <v>96.2247654417904</v>
      </c>
      <c r="CH70" s="37" t="n">
        <f aca="false">(CH14=1)*③기타_가정!$E$268*③기타_가정!$I$41/12*(1+③기타_가정!$E$270)^(MAX(CH16,1)-1)</f>
        <v>96.2247654417904</v>
      </c>
      <c r="CI70" s="37" t="n">
        <f aca="false">(CI14=1)*③기타_가정!$E$268*③기타_가정!$I$41/12*(1+③기타_가정!$E$270)^(MAX(CI16,1)-1)</f>
        <v>96.2247654417904</v>
      </c>
      <c r="CJ70" s="37" t="n">
        <f aca="false">(CJ14=1)*③기타_가정!$E$268*③기타_가정!$I$41/12*(1+③기타_가정!$E$270)^(MAX(CJ16,1)-1)</f>
        <v>96.2247654417904</v>
      </c>
      <c r="CK70" s="37" t="n">
        <f aca="false">(CK14=1)*③기타_가정!$E$268*③기타_가정!$I$41/12*(1+③기타_가정!$E$270)^(MAX(CK16,1)-1)</f>
        <v>98.1492607506262</v>
      </c>
      <c r="CL70" s="37" t="n">
        <f aca="false">(CL14=1)*③기타_가정!$E$268*③기타_가정!$I$41/12*(1+③기타_가정!$E$270)^(MAX(CL16,1)-1)</f>
        <v>98.1492607506262</v>
      </c>
      <c r="CM70" s="37" t="n">
        <f aca="false">(CM14=1)*③기타_가정!$E$268*③기타_가정!$I$41/12*(1+③기타_가정!$E$270)^(MAX(CM16,1)-1)</f>
        <v>98.1492607506262</v>
      </c>
      <c r="CN70" s="37" t="n">
        <f aca="false">(CN14=1)*③기타_가정!$E$268*③기타_가정!$I$41/12*(1+③기타_가정!$E$270)^(MAX(CN16,1)-1)</f>
        <v>98.1492607506262</v>
      </c>
      <c r="CO70" s="37" t="n">
        <f aca="false">(CO14=1)*③기타_가정!$E$268*③기타_가정!$I$41/12*(1+③기타_가정!$E$270)^(MAX(CO16,1)-1)</f>
        <v>98.1492607506262</v>
      </c>
      <c r="CP70" s="37" t="n">
        <f aca="false">(CP14=1)*③기타_가정!$E$268*③기타_가정!$I$41/12*(1+③기타_가정!$E$270)^(MAX(CP16,1)-1)</f>
        <v>98.1492607506262</v>
      </c>
      <c r="CQ70" s="37" t="n">
        <f aca="false">(CQ14=1)*③기타_가정!$E$268*③기타_가정!$I$41/12*(1+③기타_가정!$E$270)^(MAX(CQ16,1)-1)</f>
        <v>98.1492607506262</v>
      </c>
      <c r="CR70" s="37" t="n">
        <f aca="false">(CR14=1)*③기타_가정!$E$268*③기타_가정!$I$41/12*(1+③기타_가정!$E$270)^(MAX(CR16,1)-1)</f>
        <v>98.1492607506262</v>
      </c>
      <c r="CS70" s="37" t="n">
        <f aca="false">(CS14=1)*③기타_가정!$E$268*③기타_가정!$I$41/12*(1+③기타_가정!$E$270)^(MAX(CS16,1)-1)</f>
        <v>98.1492607506262</v>
      </c>
      <c r="CT70" s="37" t="n">
        <f aca="false">(CT14=1)*③기타_가정!$E$268*③기타_가정!$I$41/12*(1+③기타_가정!$E$270)^(MAX(CT16,1)-1)</f>
        <v>98.1492607506262</v>
      </c>
      <c r="CU70" s="37" t="n">
        <f aca="false">(CU14=1)*③기타_가정!$E$268*③기타_가정!$I$41/12*(1+③기타_가정!$E$270)^(MAX(CU16,1)-1)</f>
        <v>98.1492607506262</v>
      </c>
      <c r="CV70" s="37" t="n">
        <f aca="false">(CV14=1)*③기타_가정!$E$268*③기타_가정!$I$41/12*(1+③기타_가정!$E$270)^(MAX(CV16,1)-1)</f>
        <v>98.1492607506262</v>
      </c>
      <c r="CW70" s="37" t="n">
        <f aca="false">(CW14=1)*③기타_가정!$E$268*③기타_가정!$I$41/12*(1+③기타_가정!$E$270)^(MAX(CW16,1)-1)</f>
        <v>100.112245965639</v>
      </c>
      <c r="CX70" s="37" t="n">
        <f aca="false">(CX14=1)*③기타_가정!$E$268*③기타_가정!$I$41/12*(1+③기타_가정!$E$270)^(MAX(CX16,1)-1)</f>
        <v>100.112245965639</v>
      </c>
      <c r="CY70" s="37" t="n">
        <f aca="false">(CY14=1)*③기타_가정!$E$268*③기타_가정!$I$41/12*(1+③기타_가정!$E$270)^(MAX(CY16,1)-1)</f>
        <v>100.112245965639</v>
      </c>
      <c r="CZ70" s="37" t="n">
        <f aca="false">(CZ14=1)*③기타_가정!$E$268*③기타_가정!$I$41/12*(1+③기타_가정!$E$270)^(MAX(CZ16,1)-1)</f>
        <v>100.112245965639</v>
      </c>
      <c r="DA70" s="37" t="n">
        <f aca="false">(DA14=1)*③기타_가정!$E$268*③기타_가정!$I$41/12*(1+③기타_가정!$E$270)^(MAX(DA16,1)-1)</f>
        <v>100.112245965639</v>
      </c>
      <c r="DB70" s="37" t="n">
        <f aca="false">(DB14=1)*③기타_가정!$E$268*③기타_가정!$I$41/12*(1+③기타_가정!$E$270)^(MAX(DB16,1)-1)</f>
        <v>100.112245965639</v>
      </c>
      <c r="DC70" s="37" t="n">
        <f aca="false">(DC14=1)*③기타_가정!$E$268*③기타_가정!$I$41/12*(1+③기타_가정!$E$270)^(MAX(DC16,1)-1)</f>
        <v>100.112245965639</v>
      </c>
      <c r="DD70" s="37" t="n">
        <f aca="false">(DD14=1)*③기타_가정!$E$268*③기타_가정!$I$41/12*(1+③기타_가정!$E$270)^(MAX(DD16,1)-1)</f>
        <v>100.112245965639</v>
      </c>
      <c r="DE70" s="37" t="n">
        <f aca="false">(DE14=1)*③기타_가정!$E$268*③기타_가정!$I$41/12*(1+③기타_가정!$E$270)^(MAX(DE16,1)-1)</f>
        <v>100.112245965639</v>
      </c>
      <c r="DF70" s="37" t="n">
        <f aca="false">(DF14=1)*③기타_가정!$E$268*③기타_가정!$I$41/12*(1+③기타_가정!$E$270)^(MAX(DF16,1)-1)</f>
        <v>100.112245965639</v>
      </c>
      <c r="DG70" s="37" t="n">
        <f aca="false">(DG14=1)*③기타_가정!$E$268*③기타_가정!$I$41/12*(1+③기타_가정!$E$270)^(MAX(DG16,1)-1)</f>
        <v>100.112245965639</v>
      </c>
      <c r="DH70" s="37" t="n">
        <f aca="false">(DH14=1)*③기타_가정!$E$268*③기타_가정!$I$41/12*(1+③기타_가정!$E$270)^(MAX(DH16,1)-1)</f>
        <v>100.112245965639</v>
      </c>
      <c r="DI70" s="37" t="n">
        <f aca="false">(DI14=1)*③기타_가정!$E$268*③기타_가정!$I$41/12*(1+③기타_가정!$E$270)^(MAX(DI16,1)-1)</f>
        <v>102.114490884952</v>
      </c>
      <c r="DJ70" s="37" t="n">
        <f aca="false">(DJ14=1)*③기타_가정!$E$268*③기타_가정!$I$41/12*(1+③기타_가정!$E$270)^(MAX(DJ16,1)-1)</f>
        <v>102.114490884952</v>
      </c>
      <c r="DK70" s="37" t="n">
        <f aca="false">(DK14=1)*③기타_가정!$E$268*③기타_가정!$I$41/12*(1+③기타_가정!$E$270)^(MAX(DK16,1)-1)</f>
        <v>102.114490884952</v>
      </c>
      <c r="DL70" s="37" t="n">
        <f aca="false">(DL14=1)*③기타_가정!$E$268*③기타_가정!$I$41/12*(1+③기타_가정!$E$270)^(MAX(DL16,1)-1)</f>
        <v>102.114490884952</v>
      </c>
      <c r="DM70" s="37" t="n">
        <f aca="false">(DM14=1)*③기타_가정!$E$268*③기타_가정!$I$41/12*(1+③기타_가정!$E$270)^(MAX(DM16,1)-1)</f>
        <v>102.114490884952</v>
      </c>
      <c r="DN70" s="37" t="n">
        <f aca="false">(DN14=1)*③기타_가정!$E$268*③기타_가정!$I$41/12*(1+③기타_가정!$E$270)^(MAX(DN16,1)-1)</f>
        <v>102.114490884952</v>
      </c>
      <c r="DO70" s="37" t="n">
        <f aca="false">(DO14=1)*③기타_가정!$E$268*③기타_가정!$I$41/12*(1+③기타_가정!$E$270)^(MAX(DO16,1)-1)</f>
        <v>102.114490884952</v>
      </c>
      <c r="DP70" s="37" t="n">
        <f aca="false">(DP14=1)*③기타_가정!$E$268*③기타_가정!$I$41/12*(1+③기타_가정!$E$270)^(MAX(DP16,1)-1)</f>
        <v>102.114490884952</v>
      </c>
      <c r="DQ70" s="37" t="n">
        <f aca="false">(DQ14=1)*③기타_가정!$E$268*③기타_가정!$I$41/12*(1+③기타_가정!$E$270)^(MAX(DQ16,1)-1)</f>
        <v>102.114490884952</v>
      </c>
      <c r="DR70" s="37" t="n">
        <f aca="false">(DR14=1)*③기타_가정!$E$268*③기타_가정!$I$41/12*(1+③기타_가정!$E$270)^(MAX(DR16,1)-1)</f>
        <v>102.114490884952</v>
      </c>
      <c r="DS70" s="37" t="n">
        <f aca="false">(DS14=1)*③기타_가정!$E$268*③기타_가정!$I$41/12*(1+③기타_가정!$E$270)^(MAX(DS16,1)-1)</f>
        <v>102.114490884952</v>
      </c>
      <c r="DT70" s="37" t="n">
        <f aca="false">(DT14=1)*③기타_가정!$E$268*③기타_가정!$I$41/12*(1+③기타_가정!$E$270)^(MAX(DT16,1)-1)</f>
        <v>102.114490884952</v>
      </c>
      <c r="DU70" s="37" t="n">
        <f aca="false">(DU14=1)*③기타_가정!$E$268*③기타_가정!$I$41/12*(1+③기타_가정!$E$270)^(MAX(DU16,1)-1)</f>
        <v>0</v>
      </c>
      <c r="DV70" s="37" t="n">
        <f aca="false">(DV14=1)*③기타_가정!$E$268*③기타_가정!$I$41/12*(1+③기타_가정!$E$270)^(MAX(DV16,1)-1)</f>
        <v>0</v>
      </c>
      <c r="DW70" s="37" t="n">
        <f aca="false">(DW14=1)*③기타_가정!$E$268*③기타_가정!$I$41/12*(1+③기타_가정!$E$270)^(MAX(DW16,1)-1)</f>
        <v>0</v>
      </c>
      <c r="DX70" s="37" t="n">
        <f aca="false">(DX14=1)*③기타_가정!$E$268*③기타_가정!$I$41/12*(1+③기타_가정!$E$270)^(MAX(DX16,1)-1)</f>
        <v>0</v>
      </c>
      <c r="DY70" s="37" t="n">
        <f aca="false">(DY14=1)*③기타_가정!$E$268*③기타_가정!$I$41/12*(1+③기타_가정!$E$270)^(MAX(DY16,1)-1)</f>
        <v>0</v>
      </c>
      <c r="DZ70" s="37" t="n">
        <f aca="false">(DZ14=1)*③기타_가정!$E$268*③기타_가정!$I$41/12*(1+③기타_가정!$E$270)^(MAX(DZ16,1)-1)</f>
        <v>0</v>
      </c>
      <c r="EA70" s="37" t="n">
        <f aca="false">(EA14=1)*③기타_가정!$E$268*③기타_가정!$I$41/12*(1+③기타_가정!$E$270)^(MAX(EA16,1)-1)</f>
        <v>0</v>
      </c>
      <c r="EB70" s="37" t="n">
        <f aca="false">(EB14=1)*③기타_가정!$E$268*③기타_가정!$I$41/12*(1+③기타_가정!$E$270)^(MAX(EB16,1)-1)</f>
        <v>0</v>
      </c>
      <c r="EC70" s="37" t="n">
        <f aca="false">(EC14=1)*③기타_가정!$E$268*③기타_가정!$I$41/12*(1+③기타_가정!$E$270)^(MAX(EC16,1)-1)</f>
        <v>0</v>
      </c>
      <c r="ED70" s="37" t="n">
        <f aca="false">(ED14=1)*③기타_가정!$E$268*③기타_가정!$I$41/12*(1+③기타_가정!$E$270)^(MAX(ED16,1)-1)</f>
        <v>0</v>
      </c>
      <c r="EE70" s="37" t="n">
        <f aca="false">(EE14=1)*③기타_가정!$E$268*③기타_가정!$I$41/12*(1+③기타_가정!$E$270)^(MAX(EE16,1)-1)</f>
        <v>0</v>
      </c>
      <c r="EF70" s="37" t="n">
        <f aca="false">(EF14=1)*③기타_가정!$E$268*③기타_가정!$I$41/12*(1+③기타_가정!$E$270)^(MAX(EF16,1)-1)</f>
        <v>0</v>
      </c>
    </row>
    <row r="71" customFormat="false" ht="15" hidden="false" customHeight="false" outlineLevel="0" collapsed="false">
      <c r="A71" s="36" t="s">
        <v>615</v>
      </c>
      <c r="B71" s="278" t="s">
        <v>21</v>
      </c>
      <c r="C71" s="279" t="n">
        <f aca="false">SUM(E71:EF71)</f>
        <v>6585.74126</v>
      </c>
      <c r="E71" s="37" t="n">
        <f aca="false">(E14=1)*0*③기타_가정!$E$269/12*③기타_가정!$D$555</f>
        <v>0</v>
      </c>
      <c r="F71" s="37" t="n">
        <f aca="false">(F14=1)*E86*③기타_가정!$E$269/12*③기타_가정!$D$555</f>
        <v>0</v>
      </c>
      <c r="G71" s="37" t="n">
        <f aca="false">(G14=1)*F86*③기타_가정!$E$269/12*③기타_가정!$D$555</f>
        <v>0</v>
      </c>
      <c r="H71" s="37" t="n">
        <f aca="false">(H14=1)*G86*③기타_가정!$E$269/12*③기타_가정!$D$555</f>
        <v>0</v>
      </c>
      <c r="I71" s="37" t="n">
        <f aca="false">(I14=1)*H86*③기타_가정!$E$269/12*③기타_가정!$D$555</f>
        <v>0</v>
      </c>
      <c r="J71" s="37" t="n">
        <f aca="false">(J14=1)*I86*③기타_가정!$E$269/12*③기타_가정!$D$555</f>
        <v>0</v>
      </c>
      <c r="K71" s="37" t="n">
        <f aca="false">(K14=1)*J86*③기타_가정!$E$269/12*③기타_가정!$D$555</f>
        <v>0</v>
      </c>
      <c r="L71" s="37" t="n">
        <f aca="false">(L14=1)*K86*③기타_가정!$E$269/12*③기타_가정!$D$555</f>
        <v>0</v>
      </c>
      <c r="M71" s="37" t="n">
        <f aca="false">(M14=1)*L86*③기타_가정!$E$269/12*③기타_가정!$D$555</f>
        <v>0</v>
      </c>
      <c r="N71" s="37" t="n">
        <f aca="false">(N14=1)*M86*③기타_가정!$E$269/12*③기타_가정!$D$555</f>
        <v>0</v>
      </c>
      <c r="O71" s="37" t="n">
        <f aca="false">(O14=1)*N86*③기타_가정!$E$269/12*③기타_가정!$D$555</f>
        <v>0</v>
      </c>
      <c r="P71" s="37" t="n">
        <f aca="false">(P14=1)*O86*③기타_가정!$E$269/12*③기타_가정!$D$555</f>
        <v>0</v>
      </c>
      <c r="Q71" s="37" t="n">
        <f aca="false">(Q14=1)*P86*③기타_가정!$E$269/12*③기타_가정!$D$555</f>
        <v>0</v>
      </c>
      <c r="R71" s="37" t="n">
        <f aca="false">(R14=1)*Q86*③기타_가정!$E$269/12*③기타_가정!$D$555</f>
        <v>0</v>
      </c>
      <c r="S71" s="37" t="n">
        <f aca="false">(S14=1)*R86*③기타_가정!$E$269/12*③기타_가정!$D$555</f>
        <v>0</v>
      </c>
      <c r="T71" s="37" t="n">
        <f aca="false">(T14=1)*S86*③기타_가정!$E$269/12*③기타_가정!$D$555</f>
        <v>0</v>
      </c>
      <c r="U71" s="37" t="n">
        <f aca="false">(U14=1)*T86*③기타_가정!$E$269/12*③기타_가정!$D$555</f>
        <v>0</v>
      </c>
      <c r="V71" s="37" t="n">
        <f aca="false">(V14=1)*U86*③기타_가정!$E$269/12*③기타_가정!$D$555</f>
        <v>0</v>
      </c>
      <c r="W71" s="37" t="n">
        <f aca="false">(W14=1)*V86*③기타_가정!$E$269/12*③기타_가정!$D$555</f>
        <v>0</v>
      </c>
      <c r="X71" s="37" t="n">
        <f aca="false">(X14=1)*W86*③기타_가정!$E$269/12*③기타_가정!$D$555</f>
        <v>0</v>
      </c>
      <c r="Y71" s="37" t="n">
        <f aca="false">(Y14=1)*X86*③기타_가정!$E$269/12*③기타_가정!$D$555</f>
        <v>0</v>
      </c>
      <c r="Z71" s="37" t="n">
        <f aca="false">(Z14=1)*Y86*③기타_가정!$E$269/12*③기타_가정!$D$555</f>
        <v>0</v>
      </c>
      <c r="AA71" s="37" t="n">
        <f aca="false">(AA14=1)*Z86*③기타_가정!$E$269/12*③기타_가정!$D$555</f>
        <v>0</v>
      </c>
      <c r="AB71" s="37" t="n">
        <f aca="false">(AB14=1)*AA86*③기타_가정!$E$269/12*③기타_가정!$D$555</f>
        <v>0</v>
      </c>
      <c r="AC71" s="37" t="n">
        <f aca="false">(AC14=1)*AB86*③기타_가정!$E$269/12*③기타_가정!$D$555</f>
        <v>0</v>
      </c>
      <c r="AD71" s="37" t="n">
        <f aca="false">(AD14=1)*AC86*③기타_가정!$E$269/12*③기타_가정!$D$555</f>
        <v>0</v>
      </c>
      <c r="AE71" s="37" t="n">
        <f aca="false">(AE14=1)*AD86*③기타_가정!$E$269/12*③기타_가정!$D$555</f>
        <v>0</v>
      </c>
      <c r="AF71" s="37" t="n">
        <f aca="false">(AF14=1)*AE86*③기타_가정!$E$269/12*③기타_가정!$D$555</f>
        <v>0</v>
      </c>
      <c r="AG71" s="37" t="n">
        <f aca="false">(AG14=1)*AF86*③기타_가정!$E$269/12*③기타_가정!$D$555</f>
        <v>0</v>
      </c>
      <c r="AH71" s="37" t="n">
        <f aca="false">(AH14=1)*AG86*③기타_가정!$E$269/12*③기타_가정!$D$555</f>
        <v>0</v>
      </c>
      <c r="AI71" s="37" t="n">
        <f aca="false">(AI14=1)*AH86*③기타_가정!$E$269/12*③기타_가정!$D$555</f>
        <v>0</v>
      </c>
      <c r="AJ71" s="37" t="n">
        <f aca="false">(AJ14=1)*AI86*③기타_가정!$E$269/12*③기타_가정!$D$555</f>
        <v>0</v>
      </c>
      <c r="AK71" s="37" t="n">
        <f aca="false">(AK14=1)*AJ86*③기타_가정!$E$269/12*③기타_가정!$D$555</f>
        <v>0</v>
      </c>
      <c r="AL71" s="37" t="n">
        <f aca="false">(AL14=1)*AK86*③기타_가정!$E$269/12*③기타_가정!$D$555</f>
        <v>0</v>
      </c>
      <c r="AM71" s="37" t="n">
        <f aca="false">(AM14=1)*AL86*③기타_가정!$E$269/12*③기타_가정!$D$555</f>
        <v>0</v>
      </c>
      <c r="AN71" s="37" t="n">
        <f aca="false">(AN14=1)*AM86*③기타_가정!$E$269/12*③기타_가정!$D$555</f>
        <v>0</v>
      </c>
      <c r="AO71" s="37" t="n">
        <f aca="false">(AO14=1)*AN86*③기타_가정!$E$269/12*③기타_가정!$D$555</f>
        <v>0</v>
      </c>
      <c r="AP71" s="37" t="n">
        <f aca="false">(AP14=1)*AO86*③기타_가정!$E$269/12*③기타_가정!$D$555</f>
        <v>0</v>
      </c>
      <c r="AQ71" s="37" t="n">
        <f aca="false">(AQ14=1)*AP86*③기타_가정!$E$269/12*③기타_가정!$D$555</f>
        <v>0</v>
      </c>
      <c r="AR71" s="37" t="n">
        <f aca="false">(AR14=1)*AQ86*③기타_가정!$E$269/12*③기타_가정!$D$555</f>
        <v>0</v>
      </c>
      <c r="AS71" s="37" t="n">
        <f aca="false">(AS14=1)*AR86*③기타_가정!$E$269/12*③기타_가정!$D$555</f>
        <v>0</v>
      </c>
      <c r="AT71" s="37" t="n">
        <f aca="false">(AT14=1)*AS86*③기타_가정!$E$269/12*③기타_가정!$D$555</f>
        <v>0</v>
      </c>
      <c r="AU71" s="37" t="n">
        <f aca="false">(AU14=1)*AT86*③기타_가정!$E$269/12*③기타_가정!$D$555</f>
        <v>0</v>
      </c>
      <c r="AV71" s="37" t="n">
        <f aca="false">(AV14=1)*AU86*③기타_가정!$E$269/12*③기타_가정!$D$555</f>
        <v>0</v>
      </c>
      <c r="AW71" s="37" t="n">
        <f aca="false">(AW14=1)*AV86*③기타_가정!$E$269/12*③기타_가정!$D$555</f>
        <v>0</v>
      </c>
      <c r="AX71" s="37" t="n">
        <f aca="false">(AX14=1)*AW86*③기타_가정!$E$269/12*③기타_가정!$D$555</f>
        <v>0</v>
      </c>
      <c r="AY71" s="37" t="n">
        <f aca="false">(AY14=1)*AX86*③기타_가정!$E$269/12*③기타_가정!$D$555</f>
        <v>0</v>
      </c>
      <c r="AZ71" s="37" t="n">
        <f aca="false">(AZ14=1)*AY86*③기타_가정!$E$269/12*③기타_가정!$D$555</f>
        <v>0</v>
      </c>
      <c r="BA71" s="37" t="n">
        <f aca="false">(BA14=1)*AZ86*③기타_가정!$E$269/12*③기타_가정!$D$555</f>
        <v>0</v>
      </c>
      <c r="BB71" s="37" t="n">
        <f aca="false">(BB14=1)*BA86*③기타_가정!$E$269/12*③기타_가정!$D$555</f>
        <v>0</v>
      </c>
      <c r="BC71" s="37" t="n">
        <f aca="false">(BC14=1)*BB86*③기타_가정!$E$269/12*③기타_가정!$D$555</f>
        <v>0</v>
      </c>
      <c r="BD71" s="37" t="n">
        <f aca="false">(BD14=1)*BC86*③기타_가정!$E$269/12*③기타_가정!$D$555</f>
        <v>0</v>
      </c>
      <c r="BE71" s="37" t="n">
        <f aca="false">(BE14=1)*BD86*③기타_가정!$E$269/12*③기타_가정!$D$555</f>
        <v>0</v>
      </c>
      <c r="BF71" s="37" t="n">
        <f aca="false">(BF14=1)*BE86*③기타_가정!$E$269/12*③기타_가정!$D$555</f>
        <v>0</v>
      </c>
      <c r="BG71" s="37" t="n">
        <f aca="false">(BG14=1)*BF86*③기타_가정!$E$269/12*③기타_가정!$D$555</f>
        <v>0</v>
      </c>
      <c r="BH71" s="37" t="n">
        <f aca="false">(BH14=1)*BG86*③기타_가정!$E$269/12*③기타_가정!$D$555</f>
        <v>0</v>
      </c>
      <c r="BI71" s="37" t="n">
        <f aca="false">(BI14=1)*BH86*③기타_가정!$E$269/12*③기타_가정!$D$555</f>
        <v>0</v>
      </c>
      <c r="BJ71" s="37" t="n">
        <f aca="false">(BJ14=1)*BI86*③기타_가정!$E$269/12*③기타_가정!$D$555</f>
        <v>0</v>
      </c>
      <c r="BK71" s="37" t="n">
        <f aca="false">(BK14=1)*BJ86*③기타_가정!$E$269/12*③기타_가정!$D$555</f>
        <v>0</v>
      </c>
      <c r="BL71" s="37" t="n">
        <f aca="false">(BL14=1)*BK86*③기타_가정!$E$269/12*③기타_가정!$D$555</f>
        <v>0</v>
      </c>
      <c r="BM71" s="37" t="n">
        <f aca="false">(BM14=1)*BL86*③기타_가정!$E$269/12*③기타_가정!$D$555</f>
        <v>50.75616</v>
      </c>
      <c r="BN71" s="37" t="n">
        <f aca="false">(BN14=1)*BM86*③기타_가정!$E$269/12*③기타_가정!$D$555</f>
        <v>90.9713</v>
      </c>
      <c r="BO71" s="37" t="n">
        <f aca="false">(BO14=1)*BN86*③기타_가정!$E$269/12*③기타_가정!$D$555</f>
        <v>90.9713</v>
      </c>
      <c r="BP71" s="37" t="n">
        <f aca="false">(BP14=1)*BO86*③기타_가정!$E$269/12*③기타_가정!$D$555</f>
        <v>90.9713</v>
      </c>
      <c r="BQ71" s="37" t="n">
        <f aca="false">(BQ14=1)*BP86*③기타_가정!$E$269/12*③기타_가정!$D$555</f>
        <v>90.9713</v>
      </c>
      <c r="BR71" s="37" t="n">
        <f aca="false">(BR14=1)*BQ86*③기타_가정!$E$269/12*③기타_가정!$D$555</f>
        <v>90.9713</v>
      </c>
      <c r="BS71" s="37" t="n">
        <f aca="false">(BS14=1)*BR86*③기타_가정!$E$269/12*③기타_가정!$D$555</f>
        <v>90.9713</v>
      </c>
      <c r="BT71" s="37" t="n">
        <f aca="false">(BT14=1)*BS86*③기타_가정!$E$269/12*③기타_가정!$D$555</f>
        <v>90.9713</v>
      </c>
      <c r="BU71" s="37" t="n">
        <f aca="false">(BU14=1)*BT86*③기타_가정!$E$269/12*③기타_가정!$D$555</f>
        <v>90.9713</v>
      </c>
      <c r="BV71" s="37" t="n">
        <f aca="false">(BV14=1)*BU86*③기타_가정!$E$269/12*③기타_가정!$D$555</f>
        <v>90.9713</v>
      </c>
      <c r="BW71" s="37" t="n">
        <f aca="false">(BW14=1)*BV86*③기타_가정!$E$269/12*③기타_가정!$D$555</f>
        <v>90.9713</v>
      </c>
      <c r="BX71" s="37" t="n">
        <f aca="false">(BX14=1)*BW86*③기타_가정!$E$269/12*③기타_가정!$D$555</f>
        <v>90.9713</v>
      </c>
      <c r="BY71" s="37" t="n">
        <f aca="false">(BY14=1)*BX86*③기타_가정!$E$269/12*③기타_가정!$D$555</f>
        <v>90.9713</v>
      </c>
      <c r="BZ71" s="37" t="n">
        <f aca="false">(BZ14=1)*BY86*③기타_가정!$E$269/12*③기타_가정!$D$555</f>
        <v>112.9485</v>
      </c>
      <c r="CA71" s="37" t="n">
        <f aca="false">(CA14=1)*BZ86*③기타_가정!$E$269/12*③기타_가정!$D$555</f>
        <v>112.9485</v>
      </c>
      <c r="CB71" s="37" t="n">
        <f aca="false">(CB14=1)*CA86*③기타_가정!$E$269/12*③기타_가정!$D$555</f>
        <v>112.9485</v>
      </c>
      <c r="CC71" s="37" t="n">
        <f aca="false">(CC14=1)*CB86*③기타_가정!$E$269/12*③기타_가정!$D$555</f>
        <v>112.9485</v>
      </c>
      <c r="CD71" s="37" t="n">
        <f aca="false">(CD14=1)*CC86*③기타_가정!$E$269/12*③기타_가정!$D$555</f>
        <v>112.9485</v>
      </c>
      <c r="CE71" s="37" t="n">
        <f aca="false">(CE14=1)*CD86*③기타_가정!$E$269/12*③기타_가정!$D$555</f>
        <v>112.9485</v>
      </c>
      <c r="CF71" s="37" t="n">
        <f aca="false">(CF14=1)*CE86*③기타_가정!$E$269/12*③기타_가정!$D$555</f>
        <v>112.9485</v>
      </c>
      <c r="CG71" s="37" t="n">
        <f aca="false">(CG14=1)*CF86*③기타_가정!$E$269/12*③기타_가정!$D$555</f>
        <v>112.9485</v>
      </c>
      <c r="CH71" s="37" t="n">
        <f aca="false">(CH14=1)*CG86*③기타_가정!$E$269/12*③기타_가정!$D$555</f>
        <v>112.9485</v>
      </c>
      <c r="CI71" s="37" t="n">
        <f aca="false">(CI14=1)*CH86*③기타_가정!$E$269/12*③기타_가정!$D$555</f>
        <v>112.9485</v>
      </c>
      <c r="CJ71" s="37" t="n">
        <f aca="false">(CJ14=1)*CI86*③기타_가정!$E$269/12*③기타_가정!$D$555</f>
        <v>112.9485</v>
      </c>
      <c r="CK71" s="37" t="n">
        <f aca="false">(CK14=1)*CJ86*③기타_가정!$E$269/12*③기타_가정!$D$555</f>
        <v>112.9485</v>
      </c>
      <c r="CL71" s="37" t="n">
        <f aca="false">(CL14=1)*CK86*③기타_가정!$E$269/12*③기타_가정!$D$555</f>
        <v>116.7985</v>
      </c>
      <c r="CM71" s="37" t="n">
        <f aca="false">(CM14=1)*CL86*③기타_가정!$E$269/12*③기타_가정!$D$555</f>
        <v>116.7985</v>
      </c>
      <c r="CN71" s="37" t="n">
        <f aca="false">(CN14=1)*CM86*③기타_가정!$E$269/12*③기타_가정!$D$555</f>
        <v>116.7985</v>
      </c>
      <c r="CO71" s="37" t="n">
        <f aca="false">(CO14=1)*CN86*③기타_가정!$E$269/12*③기타_가정!$D$555</f>
        <v>116.7985</v>
      </c>
      <c r="CP71" s="37" t="n">
        <f aca="false">(CP14=1)*CO86*③기타_가정!$E$269/12*③기타_가정!$D$555</f>
        <v>116.7985</v>
      </c>
      <c r="CQ71" s="37" t="n">
        <f aca="false">(CQ14=1)*CP86*③기타_가정!$E$269/12*③기타_가정!$D$555</f>
        <v>116.7985</v>
      </c>
      <c r="CR71" s="37" t="n">
        <f aca="false">(CR14=1)*CQ86*③기타_가정!$E$269/12*③기타_가정!$D$555</f>
        <v>116.7985</v>
      </c>
      <c r="CS71" s="37" t="n">
        <f aca="false">(CS14=1)*CR86*③기타_가정!$E$269/12*③기타_가정!$D$555</f>
        <v>116.7985</v>
      </c>
      <c r="CT71" s="37" t="n">
        <f aca="false">(CT14=1)*CS86*③기타_가정!$E$269/12*③기타_가정!$D$555</f>
        <v>116.7985</v>
      </c>
      <c r="CU71" s="37" t="n">
        <f aca="false">(CU14=1)*CT86*③기타_가정!$E$269/12*③기타_가정!$D$555</f>
        <v>116.7985</v>
      </c>
      <c r="CV71" s="37" t="n">
        <f aca="false">(CV14=1)*CU86*③기타_가정!$E$269/12*③기타_가정!$D$555</f>
        <v>116.7985</v>
      </c>
      <c r="CW71" s="37" t="n">
        <f aca="false">(CW14=1)*CV86*③기타_가정!$E$269/12*③기타_가정!$D$555</f>
        <v>116.7985</v>
      </c>
      <c r="CX71" s="37" t="n">
        <f aca="false">(CX14=1)*CW86*③기타_가정!$E$269/12*③기타_가정!$D$555</f>
        <v>116.7985</v>
      </c>
      <c r="CY71" s="37" t="n">
        <f aca="false">(CY14=1)*CX86*③기타_가정!$E$269/12*③기타_가정!$D$555</f>
        <v>116.7985</v>
      </c>
      <c r="CZ71" s="37" t="n">
        <f aca="false">(CZ14=1)*CY86*③기타_가정!$E$269/12*③기타_가정!$D$555</f>
        <v>116.7985</v>
      </c>
      <c r="DA71" s="37" t="n">
        <f aca="false">(DA14=1)*CZ86*③기타_가정!$E$269/12*③기타_가정!$D$555</f>
        <v>116.7985</v>
      </c>
      <c r="DB71" s="37" t="n">
        <f aca="false">(DB14=1)*DA86*③기타_가정!$E$269/12*③기타_가정!$D$555</f>
        <v>116.7985</v>
      </c>
      <c r="DC71" s="37" t="n">
        <f aca="false">(DC14=1)*DB86*③기타_가정!$E$269/12*③기타_가정!$D$555</f>
        <v>116.7985</v>
      </c>
      <c r="DD71" s="37" t="n">
        <f aca="false">(DD14=1)*DC86*③기타_가정!$E$269/12*③기타_가정!$D$555</f>
        <v>116.7985</v>
      </c>
      <c r="DE71" s="37" t="n">
        <f aca="false">(DE14=1)*DD86*③기타_가정!$E$269/12*③기타_가정!$D$555</f>
        <v>116.7985</v>
      </c>
      <c r="DF71" s="37" t="n">
        <f aca="false">(DF14=1)*DE86*③기타_가정!$E$269/12*③기타_가정!$D$555</f>
        <v>116.7985</v>
      </c>
      <c r="DG71" s="37" t="n">
        <f aca="false">(DG14=1)*DF86*③기타_가정!$E$269/12*③기타_가정!$D$555</f>
        <v>116.7985</v>
      </c>
      <c r="DH71" s="37" t="n">
        <f aca="false">(DH14=1)*DG86*③기타_가정!$E$269/12*③기타_가정!$D$555</f>
        <v>116.7985</v>
      </c>
      <c r="DI71" s="37" t="n">
        <f aca="false">(DI14=1)*DH86*③기타_가정!$E$269/12*③기타_가정!$D$555</f>
        <v>116.7985</v>
      </c>
      <c r="DJ71" s="37" t="n">
        <f aca="false">(DJ14=1)*DI86*③기타_가정!$E$269/12*③기타_가정!$D$555</f>
        <v>116.7985</v>
      </c>
      <c r="DK71" s="37" t="n">
        <f aca="false">(DK14=1)*DJ86*③기타_가정!$E$269/12*③기타_가정!$D$555</f>
        <v>116.7985</v>
      </c>
      <c r="DL71" s="37" t="n">
        <f aca="false">(DL14=1)*DK86*③기타_가정!$E$269/12*③기타_가정!$D$555</f>
        <v>116.7985</v>
      </c>
      <c r="DM71" s="37" t="n">
        <f aca="false">(DM14=1)*DL86*③기타_가정!$E$269/12*③기타_가정!$D$555</f>
        <v>116.7985</v>
      </c>
      <c r="DN71" s="37" t="n">
        <f aca="false">(DN14=1)*DM86*③기타_가정!$E$269/12*③기타_가정!$D$555</f>
        <v>116.7985</v>
      </c>
      <c r="DO71" s="37" t="n">
        <f aca="false">(DO14=1)*DN86*③기타_가정!$E$269/12*③기타_가정!$D$555</f>
        <v>116.7985</v>
      </c>
      <c r="DP71" s="37" t="n">
        <f aca="false">(DP14=1)*DO86*③기타_가정!$E$269/12*③기타_가정!$D$555</f>
        <v>116.7985</v>
      </c>
      <c r="DQ71" s="37" t="n">
        <f aca="false">(DQ14=1)*DP86*③기타_가정!$E$269/12*③기타_가정!$D$555</f>
        <v>116.7985</v>
      </c>
      <c r="DR71" s="37" t="n">
        <f aca="false">(DR14=1)*DQ86*③기타_가정!$E$269/12*③기타_가정!$D$555</f>
        <v>116.7985</v>
      </c>
      <c r="DS71" s="37" t="n">
        <f aca="false">(DS14=1)*DR86*③기타_가정!$E$269/12*③기타_가정!$D$555</f>
        <v>116.7985</v>
      </c>
      <c r="DT71" s="37" t="n">
        <f aca="false">(DT14=1)*DS86*③기타_가정!$E$269/12*③기타_가정!$D$555</f>
        <v>116.7985</v>
      </c>
      <c r="DU71" s="37" t="n">
        <f aca="false">(DU14=1)*DT86*③기타_가정!$E$269/12*③기타_가정!$D$555</f>
        <v>0</v>
      </c>
      <c r="DV71" s="37" t="n">
        <f aca="false">(DV14=1)*DU86*③기타_가정!$E$269/12*③기타_가정!$D$555</f>
        <v>0</v>
      </c>
      <c r="DW71" s="37" t="n">
        <f aca="false">(DW14=1)*DV86*③기타_가정!$E$269/12*③기타_가정!$D$555</f>
        <v>0</v>
      </c>
      <c r="DX71" s="37" t="n">
        <f aca="false">(DX14=1)*DW86*③기타_가정!$E$269/12*③기타_가정!$D$555</f>
        <v>0</v>
      </c>
      <c r="DY71" s="37" t="n">
        <f aca="false">(DY14=1)*DX86*③기타_가정!$E$269/12*③기타_가정!$D$555</f>
        <v>0</v>
      </c>
      <c r="DZ71" s="37" t="n">
        <f aca="false">(DZ14=1)*DY86*③기타_가정!$E$269/12*③기타_가정!$D$555</f>
        <v>0</v>
      </c>
      <c r="EA71" s="37" t="n">
        <f aca="false">(EA14=1)*DZ86*③기타_가정!$E$269/12*③기타_가정!$D$555</f>
        <v>0</v>
      </c>
      <c r="EB71" s="37" t="n">
        <f aca="false">(EB14=1)*EA86*③기타_가정!$E$269/12*③기타_가정!$D$555</f>
        <v>0</v>
      </c>
      <c r="EC71" s="37" t="n">
        <f aca="false">(EC14=1)*EB86*③기타_가정!$E$269/12*③기타_가정!$D$555</f>
        <v>0</v>
      </c>
      <c r="ED71" s="37" t="n">
        <f aca="false">(ED14=1)*EC86*③기타_가정!$E$269/12*③기타_가정!$D$555</f>
        <v>0</v>
      </c>
      <c r="EE71" s="37" t="n">
        <f aca="false">(EE14=1)*ED86*③기타_가정!$E$269/12*③기타_가정!$D$555</f>
        <v>0</v>
      </c>
      <c r="EF71" s="37" t="n">
        <f aca="false">(EF14=1)*EE86*③기타_가정!$E$269/12*③기타_가정!$D$555</f>
        <v>0</v>
      </c>
    </row>
    <row r="72" customFormat="false" ht="15" hidden="false" customHeight="false" outlineLevel="0" collapsed="false">
      <c r="A72" s="36" t="s">
        <v>616</v>
      </c>
      <c r="B72" s="278" t="s">
        <v>21</v>
      </c>
      <c r="C72" s="279" t="n">
        <f aca="false">SUM(E72:EF72)</f>
        <v>6746.25</v>
      </c>
      <c r="E72" s="37" t="n">
        <f aca="false">E17*③기타_가정!$E$426</f>
        <v>0</v>
      </c>
      <c r="F72" s="37" t="n">
        <f aca="false">F17*③기타_가정!$E$426</f>
        <v>0</v>
      </c>
      <c r="G72" s="37" t="n">
        <f aca="false">G17*③기타_가정!$E$426</f>
        <v>0</v>
      </c>
      <c r="H72" s="37" t="n">
        <f aca="false">H17*③기타_가정!$E$426</f>
        <v>0</v>
      </c>
      <c r="I72" s="37" t="n">
        <f aca="false">I17*③기타_가정!$E$426</f>
        <v>0</v>
      </c>
      <c r="J72" s="37" t="n">
        <f aca="false">J17*③기타_가정!$E$426</f>
        <v>0</v>
      </c>
      <c r="K72" s="37" t="n">
        <f aca="false">K17*③기타_가정!$E$426</f>
        <v>0</v>
      </c>
      <c r="L72" s="37" t="n">
        <f aca="false">L17*③기타_가정!$E$426</f>
        <v>0</v>
      </c>
      <c r="M72" s="37" t="n">
        <f aca="false">M17*③기타_가정!$E$426</f>
        <v>0</v>
      </c>
      <c r="N72" s="37" t="n">
        <f aca="false">N17*③기타_가정!$E$426</f>
        <v>0</v>
      </c>
      <c r="O72" s="37" t="n">
        <f aca="false">O17*③기타_가정!$E$426</f>
        <v>0</v>
      </c>
      <c r="P72" s="37" t="n">
        <f aca="false">P17*③기타_가정!$E$426</f>
        <v>0</v>
      </c>
      <c r="Q72" s="37" t="n">
        <f aca="false">Q17*③기타_가정!$E$426</f>
        <v>0</v>
      </c>
      <c r="R72" s="37" t="n">
        <f aca="false">R17*③기타_가정!$E$426</f>
        <v>0</v>
      </c>
      <c r="S72" s="37" t="n">
        <f aca="false">S17*③기타_가정!$E$426</f>
        <v>0</v>
      </c>
      <c r="T72" s="37" t="n">
        <f aca="false">T17*③기타_가정!$E$426</f>
        <v>0</v>
      </c>
      <c r="U72" s="37" t="n">
        <f aca="false">U17*③기타_가정!$E$426</f>
        <v>0</v>
      </c>
      <c r="V72" s="37" t="n">
        <f aca="false">V17*③기타_가정!$E$426</f>
        <v>0</v>
      </c>
      <c r="W72" s="37" t="n">
        <f aca="false">W17*③기타_가정!$E$426</f>
        <v>0</v>
      </c>
      <c r="X72" s="37" t="n">
        <f aca="false">X17*③기타_가정!$E$426</f>
        <v>0</v>
      </c>
      <c r="Y72" s="37" t="n">
        <f aca="false">Y17*③기타_가정!$E$426</f>
        <v>0</v>
      </c>
      <c r="Z72" s="37" t="n">
        <f aca="false">Z17*③기타_가정!$E$426</f>
        <v>0</v>
      </c>
      <c r="AA72" s="37" t="n">
        <f aca="false">AA17*③기타_가정!$E$426</f>
        <v>0</v>
      </c>
      <c r="AB72" s="37" t="n">
        <f aca="false">AB17*③기타_가정!$E$426</f>
        <v>0</v>
      </c>
      <c r="AC72" s="37" t="n">
        <f aca="false">AC17*③기타_가정!$E$426</f>
        <v>0</v>
      </c>
      <c r="AD72" s="37" t="n">
        <f aca="false">AD17*③기타_가정!$E$426</f>
        <v>0</v>
      </c>
      <c r="AE72" s="37" t="n">
        <f aca="false">AE17*③기타_가정!$E$426</f>
        <v>0</v>
      </c>
      <c r="AF72" s="37" t="n">
        <f aca="false">AF17*③기타_가정!$E$426</f>
        <v>0</v>
      </c>
      <c r="AG72" s="37" t="n">
        <f aca="false">AG17*③기타_가정!$E$426</f>
        <v>0</v>
      </c>
      <c r="AH72" s="37" t="n">
        <f aca="false">AH17*③기타_가정!$E$426</f>
        <v>0</v>
      </c>
      <c r="AI72" s="37" t="n">
        <f aca="false">AI17*③기타_가정!$E$426</f>
        <v>0</v>
      </c>
      <c r="AJ72" s="37" t="n">
        <f aca="false">AJ17*③기타_가정!$E$426</f>
        <v>0</v>
      </c>
      <c r="AK72" s="37" t="n">
        <f aca="false">AK17*③기타_가정!$E$426</f>
        <v>0</v>
      </c>
      <c r="AL72" s="37" t="n">
        <f aca="false">AL17*③기타_가정!$E$426</f>
        <v>0</v>
      </c>
      <c r="AM72" s="37" t="n">
        <f aca="false">AM17*③기타_가정!$E$426</f>
        <v>0</v>
      </c>
      <c r="AN72" s="37" t="n">
        <f aca="false">AN17*③기타_가정!$E$426</f>
        <v>0</v>
      </c>
      <c r="AO72" s="37" t="n">
        <f aca="false">AO17*③기타_가정!$E$426</f>
        <v>0</v>
      </c>
      <c r="AP72" s="37" t="n">
        <f aca="false">AP17*③기타_가정!$E$426</f>
        <v>0</v>
      </c>
      <c r="AQ72" s="37" t="n">
        <f aca="false">AQ17*③기타_가정!$E$426</f>
        <v>0</v>
      </c>
      <c r="AR72" s="37" t="n">
        <f aca="false">AR17*③기타_가정!$E$426</f>
        <v>0</v>
      </c>
      <c r="AS72" s="37" t="n">
        <f aca="false">AS17*③기타_가정!$E$426</f>
        <v>0</v>
      </c>
      <c r="AT72" s="37" t="n">
        <f aca="false">AT17*③기타_가정!$E$426</f>
        <v>0</v>
      </c>
      <c r="AU72" s="37" t="n">
        <f aca="false">AU17*③기타_가정!$E$426</f>
        <v>0</v>
      </c>
      <c r="AV72" s="37" t="n">
        <f aca="false">AV17*③기타_가정!$E$426</f>
        <v>0</v>
      </c>
      <c r="AW72" s="37" t="n">
        <f aca="false">AW17*③기타_가정!$E$426</f>
        <v>0</v>
      </c>
      <c r="AX72" s="37" t="n">
        <f aca="false">AX17*③기타_가정!$E$426</f>
        <v>0</v>
      </c>
      <c r="AY72" s="37" t="n">
        <f aca="false">AY17*③기타_가정!$E$426</f>
        <v>0</v>
      </c>
      <c r="AZ72" s="37" t="n">
        <f aca="false">AZ17*③기타_가정!$E$426</f>
        <v>0</v>
      </c>
      <c r="BA72" s="37" t="n">
        <f aca="false">BA17*③기타_가정!$E$426</f>
        <v>0</v>
      </c>
      <c r="BB72" s="37" t="n">
        <f aca="false">BB17*③기타_가정!$E$426</f>
        <v>0</v>
      </c>
      <c r="BC72" s="37" t="n">
        <f aca="false">BC17*③기타_가정!$E$426</f>
        <v>0</v>
      </c>
      <c r="BD72" s="37" t="n">
        <f aca="false">BD17*③기타_가정!$E$426</f>
        <v>0</v>
      </c>
      <c r="BE72" s="37" t="n">
        <f aca="false">BE17*③기타_가정!$E$426</f>
        <v>0</v>
      </c>
      <c r="BF72" s="37" t="n">
        <f aca="false">BF17*③기타_가정!$E$426</f>
        <v>0</v>
      </c>
      <c r="BG72" s="37" t="n">
        <f aca="false">BG17*③기타_가정!$E$426</f>
        <v>0</v>
      </c>
      <c r="BH72" s="37" t="n">
        <f aca="false">BH17*③기타_가정!$E$426</f>
        <v>0</v>
      </c>
      <c r="BI72" s="37" t="n">
        <f aca="false">BI17*③기타_가정!$E$426</f>
        <v>0</v>
      </c>
      <c r="BJ72" s="37" t="n">
        <f aca="false">BJ17*③기타_가정!$E$426</f>
        <v>0</v>
      </c>
      <c r="BK72" s="37" t="n">
        <f aca="false">BK17*③기타_가정!$E$426</f>
        <v>0</v>
      </c>
      <c r="BL72" s="37" t="n">
        <f aca="false">BL17*③기타_가정!$E$426</f>
        <v>0</v>
      </c>
      <c r="BM72" s="37" t="n">
        <f aca="false">BM17*③기타_가정!$E$426</f>
        <v>107.083333333333</v>
      </c>
      <c r="BN72" s="37" t="n">
        <f aca="false">BN17*③기타_가정!$E$426</f>
        <v>107.083333333333</v>
      </c>
      <c r="BO72" s="37" t="n">
        <f aca="false">BO17*③기타_가정!$E$426</f>
        <v>107.083333333333</v>
      </c>
      <c r="BP72" s="37" t="n">
        <f aca="false">BP17*③기타_가정!$E$426</f>
        <v>107.083333333333</v>
      </c>
      <c r="BQ72" s="37" t="n">
        <f aca="false">BQ17*③기타_가정!$E$426</f>
        <v>107.083333333333</v>
      </c>
      <c r="BR72" s="37" t="n">
        <f aca="false">BR17*③기타_가정!$E$426</f>
        <v>107.083333333333</v>
      </c>
      <c r="BS72" s="37" t="n">
        <f aca="false">BS17*③기타_가정!$E$426</f>
        <v>107.083333333333</v>
      </c>
      <c r="BT72" s="37" t="n">
        <f aca="false">BT17*③기타_가정!$E$426</f>
        <v>107.083333333333</v>
      </c>
      <c r="BU72" s="37" t="n">
        <f aca="false">BU17*③기타_가정!$E$426</f>
        <v>107.083333333333</v>
      </c>
      <c r="BV72" s="37" t="n">
        <f aca="false">BV17*③기타_가정!$E$426</f>
        <v>107.083333333333</v>
      </c>
      <c r="BW72" s="37" t="n">
        <f aca="false">BW17*③기타_가정!$E$426</f>
        <v>107.083333333333</v>
      </c>
      <c r="BX72" s="37" t="n">
        <f aca="false">BX17*③기타_가정!$E$426</f>
        <v>107.083333333333</v>
      </c>
      <c r="BY72" s="37" t="n">
        <f aca="false">BY17*③기타_가정!$E$426</f>
        <v>107.083333333333</v>
      </c>
      <c r="BZ72" s="37" t="n">
        <f aca="false">BZ17*③기타_가정!$E$426</f>
        <v>107.083333333333</v>
      </c>
      <c r="CA72" s="37" t="n">
        <f aca="false">CA17*③기타_가정!$E$426</f>
        <v>107.083333333333</v>
      </c>
      <c r="CB72" s="37" t="n">
        <f aca="false">CB17*③기타_가정!$E$426</f>
        <v>107.083333333333</v>
      </c>
      <c r="CC72" s="37" t="n">
        <f aca="false">CC17*③기타_가정!$E$426</f>
        <v>107.083333333333</v>
      </c>
      <c r="CD72" s="37" t="n">
        <f aca="false">CD17*③기타_가정!$E$426</f>
        <v>107.083333333333</v>
      </c>
      <c r="CE72" s="37" t="n">
        <f aca="false">CE17*③기타_가정!$E$426</f>
        <v>107.083333333333</v>
      </c>
      <c r="CF72" s="37" t="n">
        <f aca="false">CF17*③기타_가정!$E$426</f>
        <v>107.083333333333</v>
      </c>
      <c r="CG72" s="37" t="n">
        <f aca="false">CG17*③기타_가정!$E$426</f>
        <v>107.083333333333</v>
      </c>
      <c r="CH72" s="37" t="n">
        <f aca="false">CH17*③기타_가정!$E$426</f>
        <v>107.083333333333</v>
      </c>
      <c r="CI72" s="37" t="n">
        <f aca="false">CI17*③기타_가정!$E$426</f>
        <v>107.083333333333</v>
      </c>
      <c r="CJ72" s="37" t="n">
        <f aca="false">CJ17*③기타_가정!$E$426</f>
        <v>107.083333333333</v>
      </c>
      <c r="CK72" s="37" t="n">
        <f aca="false">CK17*③기타_가정!$E$426</f>
        <v>107.083333333333</v>
      </c>
      <c r="CL72" s="37" t="n">
        <f aca="false">CL17*③기타_가정!$E$426</f>
        <v>107.083333333333</v>
      </c>
      <c r="CM72" s="37" t="n">
        <f aca="false">CM17*③기타_가정!$E$426</f>
        <v>107.083333333333</v>
      </c>
      <c r="CN72" s="37" t="n">
        <f aca="false">CN17*③기타_가정!$E$426</f>
        <v>107.083333333333</v>
      </c>
      <c r="CO72" s="37" t="n">
        <f aca="false">CO17*③기타_가정!$E$426</f>
        <v>107.083333333333</v>
      </c>
      <c r="CP72" s="37" t="n">
        <f aca="false">CP17*③기타_가정!$E$426</f>
        <v>107.083333333333</v>
      </c>
      <c r="CQ72" s="37" t="n">
        <f aca="false">CQ17*③기타_가정!$E$426</f>
        <v>107.083333333333</v>
      </c>
      <c r="CR72" s="37" t="n">
        <f aca="false">CR17*③기타_가정!$E$426</f>
        <v>107.083333333333</v>
      </c>
      <c r="CS72" s="37" t="n">
        <f aca="false">CS17*③기타_가정!$E$426</f>
        <v>107.083333333333</v>
      </c>
      <c r="CT72" s="37" t="n">
        <f aca="false">CT17*③기타_가정!$E$426</f>
        <v>107.083333333333</v>
      </c>
      <c r="CU72" s="37" t="n">
        <f aca="false">CU17*③기타_가정!$E$426</f>
        <v>107.083333333333</v>
      </c>
      <c r="CV72" s="37" t="n">
        <f aca="false">CV17*③기타_가정!$E$426</f>
        <v>107.083333333333</v>
      </c>
      <c r="CW72" s="37" t="n">
        <f aca="false">CW17*③기타_가정!$E$426</f>
        <v>107.083333333333</v>
      </c>
      <c r="CX72" s="37" t="n">
        <f aca="false">CX17*③기타_가정!$E$426</f>
        <v>107.083333333333</v>
      </c>
      <c r="CY72" s="37" t="n">
        <f aca="false">CY17*③기타_가정!$E$426</f>
        <v>107.083333333333</v>
      </c>
      <c r="CZ72" s="37" t="n">
        <f aca="false">CZ17*③기타_가정!$E$426</f>
        <v>107.083333333333</v>
      </c>
      <c r="DA72" s="37" t="n">
        <f aca="false">DA17*③기타_가정!$E$426</f>
        <v>107.083333333333</v>
      </c>
      <c r="DB72" s="37" t="n">
        <f aca="false">DB17*③기타_가정!$E$426</f>
        <v>107.083333333333</v>
      </c>
      <c r="DC72" s="37" t="n">
        <f aca="false">DC17*③기타_가정!$E$426</f>
        <v>107.083333333333</v>
      </c>
      <c r="DD72" s="37" t="n">
        <f aca="false">DD17*③기타_가정!$E$426</f>
        <v>107.083333333333</v>
      </c>
      <c r="DE72" s="37" t="n">
        <f aca="false">DE17*③기타_가정!$E$426</f>
        <v>107.083333333333</v>
      </c>
      <c r="DF72" s="37" t="n">
        <f aca="false">DF17*③기타_가정!$E$426</f>
        <v>107.083333333333</v>
      </c>
      <c r="DG72" s="37" t="n">
        <f aca="false">DG17*③기타_가정!$E$426</f>
        <v>107.083333333333</v>
      </c>
      <c r="DH72" s="37" t="n">
        <f aca="false">DH17*③기타_가정!$E$426</f>
        <v>107.083333333333</v>
      </c>
      <c r="DI72" s="37" t="n">
        <f aca="false">DI17*③기타_가정!$E$426</f>
        <v>107.083333333333</v>
      </c>
      <c r="DJ72" s="37" t="n">
        <f aca="false">DJ17*③기타_가정!$E$426</f>
        <v>107.083333333333</v>
      </c>
      <c r="DK72" s="37" t="n">
        <f aca="false">DK17*③기타_가정!$E$426</f>
        <v>107.083333333333</v>
      </c>
      <c r="DL72" s="37" t="n">
        <f aca="false">DL17*③기타_가정!$E$426</f>
        <v>107.083333333333</v>
      </c>
      <c r="DM72" s="37" t="n">
        <f aca="false">DM17*③기타_가정!$E$426</f>
        <v>107.083333333333</v>
      </c>
      <c r="DN72" s="37" t="n">
        <f aca="false">DN17*③기타_가정!$E$426</f>
        <v>107.083333333333</v>
      </c>
      <c r="DO72" s="37" t="n">
        <f aca="false">DO17*③기타_가정!$E$426</f>
        <v>107.083333333333</v>
      </c>
      <c r="DP72" s="37" t="n">
        <f aca="false">DP17*③기타_가정!$E$426</f>
        <v>107.083333333333</v>
      </c>
      <c r="DQ72" s="37" t="n">
        <f aca="false">DQ17*③기타_가정!$E$426</f>
        <v>107.083333333333</v>
      </c>
      <c r="DR72" s="37" t="n">
        <f aca="false">DR17*③기타_가정!$E$426</f>
        <v>107.083333333333</v>
      </c>
      <c r="DS72" s="37" t="n">
        <f aca="false">DS17*③기타_가정!$E$426</f>
        <v>107.083333333333</v>
      </c>
      <c r="DT72" s="37" t="n">
        <f aca="false">DT17*③기타_가정!$E$426</f>
        <v>107.083333333333</v>
      </c>
      <c r="DU72" s="37" t="n">
        <f aca="false">DU17*③기타_가정!$E$426</f>
        <v>107.083333333333</v>
      </c>
      <c r="DV72" s="37" t="n">
        <f aca="false">DV17*③기타_가정!$E$426</f>
        <v>107.083333333333</v>
      </c>
      <c r="DW72" s="37" t="n">
        <f aca="false">DW17*③기타_가정!$E$426</f>
        <v>107.083333333333</v>
      </c>
      <c r="DX72" s="37" t="n">
        <f aca="false">DX17*③기타_가정!$E$426</f>
        <v>0</v>
      </c>
      <c r="DY72" s="37" t="n">
        <f aca="false">DY17*③기타_가정!$E$426</f>
        <v>0</v>
      </c>
      <c r="DZ72" s="37" t="n">
        <f aca="false">DZ17*③기타_가정!$E$426</f>
        <v>0</v>
      </c>
      <c r="EA72" s="37" t="n">
        <f aca="false">EA17*③기타_가정!$E$426</f>
        <v>0</v>
      </c>
      <c r="EB72" s="37" t="n">
        <f aca="false">EB17*③기타_가정!$E$426</f>
        <v>0</v>
      </c>
      <c r="EC72" s="37" t="n">
        <f aca="false">EC17*③기타_가정!$E$426</f>
        <v>0</v>
      </c>
      <c r="ED72" s="37" t="n">
        <f aca="false">ED17*③기타_가정!$E$426</f>
        <v>0</v>
      </c>
      <c r="EE72" s="37" t="n">
        <f aca="false">EE17*③기타_가정!$E$426</f>
        <v>0</v>
      </c>
      <c r="EF72" s="37" t="n">
        <f aca="false">EF17*③기타_가정!$E$426</f>
        <v>0</v>
      </c>
    </row>
    <row r="73" customFormat="false" ht="15" hidden="false" customHeight="false" outlineLevel="0" collapsed="false">
      <c r="A73" s="36" t="s">
        <v>436</v>
      </c>
      <c r="B73" s="278" t="s">
        <v>21</v>
      </c>
      <c r="C73" s="279" t="n">
        <f aca="false">SUM(E73:EF73)</f>
        <v>8248.61392813103</v>
      </c>
      <c r="E73" s="37" t="n">
        <f aca="false">IF(E6=③기타_가정!$E$22,③기타_가정!$R$420,0)</f>
        <v>0</v>
      </c>
      <c r="F73" s="37" t="n">
        <f aca="false">IF(F6=③기타_가정!$E$22,③기타_가정!$R$420,0)</f>
        <v>0</v>
      </c>
      <c r="G73" s="37" t="n">
        <f aca="false">IF(G6=③기타_가정!$E$22,③기타_가정!$R$420,0)</f>
        <v>0</v>
      </c>
      <c r="H73" s="37" t="n">
        <f aca="false">IF(H6=③기타_가정!$E$22,③기타_가정!$R$420,0)</f>
        <v>0</v>
      </c>
      <c r="I73" s="37" t="n">
        <f aca="false">IF(I6=③기타_가정!$E$22,③기타_가정!$R$420,0)</f>
        <v>0</v>
      </c>
      <c r="J73" s="37" t="n">
        <f aca="false">IF(J6=③기타_가정!$E$22,③기타_가정!$R$420,0)</f>
        <v>0</v>
      </c>
      <c r="K73" s="37" t="n">
        <f aca="false">IF(K6=③기타_가정!$E$22,③기타_가정!$R$420,0)</f>
        <v>0</v>
      </c>
      <c r="L73" s="37" t="n">
        <f aca="false">IF(L6=③기타_가정!$E$22,③기타_가정!$R$420,0)</f>
        <v>0</v>
      </c>
      <c r="M73" s="37" t="n">
        <f aca="false">IF(M6=③기타_가정!$E$22,③기타_가정!$R$420,0)</f>
        <v>0</v>
      </c>
      <c r="N73" s="37" t="n">
        <f aca="false">IF(N6=③기타_가정!$E$22,③기타_가정!$R$420,0)</f>
        <v>0</v>
      </c>
      <c r="O73" s="37" t="n">
        <f aca="false">IF(O6=③기타_가정!$E$22,③기타_가정!$R$420,0)</f>
        <v>0</v>
      </c>
      <c r="P73" s="37" t="n">
        <f aca="false">IF(P6=③기타_가정!$E$22,③기타_가정!$R$420,0)</f>
        <v>0</v>
      </c>
      <c r="Q73" s="37" t="n">
        <f aca="false">IF(Q6=③기타_가정!$E$22,③기타_가정!$R$420,0)</f>
        <v>0</v>
      </c>
      <c r="R73" s="37" t="n">
        <f aca="false">IF(R6=③기타_가정!$E$22,③기타_가정!$R$420,0)</f>
        <v>0</v>
      </c>
      <c r="S73" s="37" t="n">
        <f aca="false">IF(S6=③기타_가정!$E$22,③기타_가정!$R$420,0)</f>
        <v>0</v>
      </c>
      <c r="T73" s="37" t="n">
        <f aca="false">IF(T6=③기타_가정!$E$22,③기타_가정!$R$420,0)</f>
        <v>0</v>
      </c>
      <c r="U73" s="37" t="n">
        <f aca="false">IF(U6=③기타_가정!$E$22,③기타_가정!$R$420,0)</f>
        <v>0</v>
      </c>
      <c r="V73" s="37" t="n">
        <f aca="false">IF(V6=③기타_가정!$E$22,③기타_가정!$R$420,0)</f>
        <v>0</v>
      </c>
      <c r="W73" s="37" t="n">
        <f aca="false">IF(W6=③기타_가정!$E$22,③기타_가정!$R$420,0)</f>
        <v>0</v>
      </c>
      <c r="X73" s="37" t="n">
        <f aca="false">IF(X6=③기타_가정!$E$22,③기타_가정!$R$420,0)</f>
        <v>0</v>
      </c>
      <c r="Y73" s="37" t="n">
        <f aca="false">IF(Y6=③기타_가정!$E$22,③기타_가정!$R$420,0)</f>
        <v>0</v>
      </c>
      <c r="Z73" s="37" t="n">
        <f aca="false">IF(Z6=③기타_가정!$E$22,③기타_가정!$R$420,0)</f>
        <v>0</v>
      </c>
      <c r="AA73" s="37" t="n">
        <f aca="false">IF(AA6=③기타_가정!$E$22,③기타_가정!$R$420,0)</f>
        <v>0</v>
      </c>
      <c r="AB73" s="37" t="n">
        <f aca="false">IF(AB6=③기타_가정!$E$22,③기타_가정!$R$420,0)</f>
        <v>0</v>
      </c>
      <c r="AC73" s="37" t="n">
        <f aca="false">IF(AC6=③기타_가정!$E$22,③기타_가정!$R$420,0)</f>
        <v>0</v>
      </c>
      <c r="AD73" s="37" t="n">
        <f aca="false">IF(AD6=③기타_가정!$E$22,③기타_가정!$R$420,0)</f>
        <v>0</v>
      </c>
      <c r="AE73" s="37" t="n">
        <f aca="false">IF(AE6=③기타_가정!$E$22,③기타_가정!$R$420,0)</f>
        <v>0</v>
      </c>
      <c r="AF73" s="37" t="n">
        <f aca="false">IF(AF6=③기타_가정!$E$22,③기타_가정!$R$420,0)</f>
        <v>0</v>
      </c>
      <c r="AG73" s="37" t="n">
        <f aca="false">IF(AG6=③기타_가정!$E$22,③기타_가정!$R$420,0)</f>
        <v>0</v>
      </c>
      <c r="AH73" s="37" t="n">
        <f aca="false">IF(AH6=③기타_가정!$E$22,③기타_가정!$R$420,0)</f>
        <v>0</v>
      </c>
      <c r="AI73" s="37" t="n">
        <f aca="false">IF(AI6=③기타_가정!$E$22,③기타_가정!$R$420,0)</f>
        <v>0</v>
      </c>
      <c r="AJ73" s="37" t="n">
        <f aca="false">IF(AJ6=③기타_가정!$E$22,③기타_가정!$R$420,0)</f>
        <v>0</v>
      </c>
      <c r="AK73" s="37" t="n">
        <f aca="false">IF(AK6=③기타_가정!$E$22,③기타_가정!$R$420,0)</f>
        <v>0</v>
      </c>
      <c r="AL73" s="37" t="n">
        <f aca="false">IF(AL6=③기타_가정!$E$22,③기타_가정!$R$420,0)</f>
        <v>0</v>
      </c>
      <c r="AM73" s="37" t="n">
        <f aca="false">IF(AM6=③기타_가정!$E$22,③기타_가정!$R$420,0)</f>
        <v>0</v>
      </c>
      <c r="AN73" s="37" t="n">
        <f aca="false">IF(AN6=③기타_가정!$E$22,③기타_가정!$R$420,0)</f>
        <v>0</v>
      </c>
      <c r="AO73" s="37" t="n">
        <f aca="false">IF(AO6=③기타_가정!$E$22,③기타_가정!$R$420,0)</f>
        <v>0</v>
      </c>
      <c r="AP73" s="37" t="n">
        <f aca="false">IF(AP6=③기타_가정!$E$22,③기타_가정!$R$420,0)</f>
        <v>0</v>
      </c>
      <c r="AQ73" s="37" t="n">
        <f aca="false">IF(AQ6=③기타_가정!$E$22,③기타_가정!$R$420,0)</f>
        <v>0</v>
      </c>
      <c r="AR73" s="37" t="n">
        <f aca="false">IF(AR6=③기타_가정!$E$22,③기타_가정!$R$420,0)</f>
        <v>0</v>
      </c>
      <c r="AS73" s="37" t="n">
        <f aca="false">IF(AS6=③기타_가정!$E$22,③기타_가정!$R$420,0)</f>
        <v>0</v>
      </c>
      <c r="AT73" s="37" t="n">
        <f aca="false">IF(AT6=③기타_가정!$E$22,③기타_가정!$R$420,0)</f>
        <v>0</v>
      </c>
      <c r="AU73" s="37" t="n">
        <f aca="false">IF(AU6=③기타_가정!$E$22,③기타_가정!$R$420,0)</f>
        <v>0</v>
      </c>
      <c r="AV73" s="37" t="n">
        <f aca="false">IF(AV6=③기타_가정!$E$22,③기타_가정!$R$420,0)</f>
        <v>0</v>
      </c>
      <c r="AW73" s="37" t="n">
        <f aca="false">IF(AW6=③기타_가정!$E$22,③기타_가정!$R$420,0)</f>
        <v>0</v>
      </c>
      <c r="AX73" s="37" t="n">
        <f aca="false">IF(AX6=③기타_가정!$E$22,③기타_가정!$R$420,0)</f>
        <v>0</v>
      </c>
      <c r="AY73" s="37" t="n">
        <f aca="false">IF(AY6=③기타_가정!$E$22,③기타_가정!$R$420,0)</f>
        <v>0</v>
      </c>
      <c r="AZ73" s="37" t="n">
        <f aca="false">IF(AZ6=③기타_가정!$E$22,③기타_가정!$R$420,0)</f>
        <v>0</v>
      </c>
      <c r="BA73" s="37" t="n">
        <f aca="false">IF(BA6=③기타_가정!$E$22,③기타_가정!$R$420,0)</f>
        <v>0</v>
      </c>
      <c r="BB73" s="37" t="n">
        <f aca="false">IF(BB6=③기타_가정!$E$22,③기타_가정!$R$420,0)</f>
        <v>0</v>
      </c>
      <c r="BC73" s="37" t="n">
        <f aca="false">IF(BC6=③기타_가정!$E$22,③기타_가정!$R$420,0)</f>
        <v>0</v>
      </c>
      <c r="BD73" s="37" t="n">
        <f aca="false">IF(BD6=③기타_가정!$E$22,③기타_가정!$R$420,0)</f>
        <v>0</v>
      </c>
      <c r="BE73" s="37" t="n">
        <f aca="false">IF(BE6=③기타_가정!$E$22,③기타_가정!$R$420,0)</f>
        <v>0</v>
      </c>
      <c r="BF73" s="37" t="n">
        <f aca="false">IF(BF6=③기타_가정!$E$22,③기타_가정!$R$420,0)</f>
        <v>0</v>
      </c>
      <c r="BG73" s="37" t="n">
        <f aca="false">IF(BG6=③기타_가정!$E$22,③기타_가정!$R$420,0)</f>
        <v>0</v>
      </c>
      <c r="BH73" s="37" t="n">
        <f aca="false">IF(BH6=③기타_가정!$E$22,③기타_가정!$R$420,0)</f>
        <v>0</v>
      </c>
      <c r="BI73" s="37" t="n">
        <f aca="false">IF(BI6=③기타_가정!$E$22,③기타_가정!$R$420,0)</f>
        <v>0</v>
      </c>
      <c r="BJ73" s="37" t="n">
        <f aca="false">IF(BJ6=③기타_가정!$E$22,③기타_가정!$R$420,0)</f>
        <v>0</v>
      </c>
      <c r="BK73" s="37" t="n">
        <f aca="false">IF(BK6=③기타_가정!$E$22,③기타_가정!$R$420,0)</f>
        <v>0</v>
      </c>
      <c r="BL73" s="37" t="n">
        <f aca="false">IF(BL6=③기타_가정!$E$22,③기타_가정!$R$420,0)</f>
        <v>0</v>
      </c>
      <c r="BM73" s="37" t="n">
        <f aca="false">IF(BM6=③기타_가정!$E$22,③기타_가정!$R$420,0)</f>
        <v>0</v>
      </c>
      <c r="BN73" s="37" t="n">
        <f aca="false">IF(BN6=③기타_가정!$E$22,③기타_가정!$R$420,0)</f>
        <v>0</v>
      </c>
      <c r="BO73" s="37" t="n">
        <f aca="false">IF(BO6=③기타_가정!$E$22,③기타_가정!$R$420,0)</f>
        <v>0</v>
      </c>
      <c r="BP73" s="37" t="n">
        <f aca="false">IF(BP6=③기타_가정!$E$22,③기타_가정!$R$420,0)</f>
        <v>0</v>
      </c>
      <c r="BQ73" s="37" t="n">
        <f aca="false">IF(BQ6=③기타_가정!$E$22,③기타_가정!$R$420,0)</f>
        <v>0</v>
      </c>
      <c r="BR73" s="37" t="n">
        <f aca="false">IF(BR6=③기타_가정!$E$22,③기타_가정!$R$420,0)</f>
        <v>0</v>
      </c>
      <c r="BS73" s="37" t="n">
        <f aca="false">IF(BS6=③기타_가정!$E$22,③기타_가정!$R$420,0)</f>
        <v>0</v>
      </c>
      <c r="BT73" s="37" t="n">
        <f aca="false">IF(BT6=③기타_가정!$E$22,③기타_가정!$R$420,0)</f>
        <v>0</v>
      </c>
      <c r="BU73" s="37" t="n">
        <f aca="false">IF(BU6=③기타_가정!$E$22,③기타_가정!$R$420,0)</f>
        <v>0</v>
      </c>
      <c r="BV73" s="37" t="n">
        <f aca="false">IF(BV6=③기타_가정!$E$22,③기타_가정!$R$420,0)</f>
        <v>0</v>
      </c>
      <c r="BW73" s="37" t="n">
        <f aca="false">IF(BW6=③기타_가정!$E$22,③기타_가정!$R$420,0)</f>
        <v>0</v>
      </c>
      <c r="BX73" s="37" t="n">
        <f aca="false">IF(BX6=③기타_가정!$E$22,③기타_가정!$R$420,0)</f>
        <v>0</v>
      </c>
      <c r="BY73" s="37" t="n">
        <f aca="false">IF(BY6=③기타_가정!$E$22,③기타_가정!$R$420,0)</f>
        <v>0</v>
      </c>
      <c r="BZ73" s="37" t="n">
        <f aca="false">IF(BZ6=③기타_가정!$E$22,③기타_가정!$R$420,0)</f>
        <v>0</v>
      </c>
      <c r="CA73" s="37" t="n">
        <f aca="false">IF(CA6=③기타_가정!$E$22,③기타_가정!$R$420,0)</f>
        <v>0</v>
      </c>
      <c r="CB73" s="37" t="n">
        <f aca="false">IF(CB6=③기타_가정!$E$22,③기타_가정!$R$420,0)</f>
        <v>0</v>
      </c>
      <c r="CC73" s="37" t="n">
        <f aca="false">IF(CC6=③기타_가정!$E$22,③기타_가정!$R$420,0)</f>
        <v>0</v>
      </c>
      <c r="CD73" s="37" t="n">
        <f aca="false">IF(CD6=③기타_가정!$E$22,③기타_가정!$R$420,0)</f>
        <v>0</v>
      </c>
      <c r="CE73" s="37" t="n">
        <f aca="false">IF(CE6=③기타_가정!$E$22,③기타_가정!$R$420,0)</f>
        <v>0</v>
      </c>
      <c r="CF73" s="37" t="n">
        <f aca="false">IF(CF6=③기타_가정!$E$22,③기타_가정!$R$420,0)</f>
        <v>0</v>
      </c>
      <c r="CG73" s="37" t="n">
        <f aca="false">IF(CG6=③기타_가정!$E$22,③기타_가정!$R$420,0)</f>
        <v>0</v>
      </c>
      <c r="CH73" s="37" t="n">
        <f aca="false">IF(CH6=③기타_가정!$E$22,③기타_가정!$R$420,0)</f>
        <v>0</v>
      </c>
      <c r="CI73" s="37" t="n">
        <f aca="false">IF(CI6=③기타_가정!$E$22,③기타_가정!$R$420,0)</f>
        <v>0</v>
      </c>
      <c r="CJ73" s="37" t="n">
        <f aca="false">IF(CJ6=③기타_가정!$E$22,③기타_가정!$R$420,0)</f>
        <v>0</v>
      </c>
      <c r="CK73" s="37" t="n">
        <f aca="false">IF(CK6=③기타_가정!$E$22,③기타_가정!$R$420,0)</f>
        <v>0</v>
      </c>
      <c r="CL73" s="37" t="n">
        <f aca="false">IF(CL6=③기타_가정!$E$22,③기타_가정!$R$420,0)</f>
        <v>0</v>
      </c>
      <c r="CM73" s="37" t="n">
        <f aca="false">IF(CM6=③기타_가정!$E$22,③기타_가정!$R$420,0)</f>
        <v>0</v>
      </c>
      <c r="CN73" s="37" t="n">
        <f aca="false">IF(CN6=③기타_가정!$E$22,③기타_가정!$R$420,0)</f>
        <v>0</v>
      </c>
      <c r="CO73" s="37" t="n">
        <f aca="false">IF(CO6=③기타_가정!$E$22,③기타_가정!$R$420,0)</f>
        <v>0</v>
      </c>
      <c r="CP73" s="37" t="n">
        <f aca="false">IF(CP6=③기타_가정!$E$22,③기타_가정!$R$420,0)</f>
        <v>0</v>
      </c>
      <c r="CQ73" s="37" t="n">
        <f aca="false">IF(CQ6=③기타_가정!$E$22,③기타_가정!$R$420,0)</f>
        <v>0</v>
      </c>
      <c r="CR73" s="37" t="n">
        <f aca="false">IF(CR6=③기타_가정!$E$22,③기타_가정!$R$420,0)</f>
        <v>0</v>
      </c>
      <c r="CS73" s="37" t="n">
        <f aca="false">IF(CS6=③기타_가정!$E$22,③기타_가정!$R$420,0)</f>
        <v>0</v>
      </c>
      <c r="CT73" s="37" t="n">
        <f aca="false">IF(CT6=③기타_가정!$E$22,③기타_가정!$R$420,0)</f>
        <v>0</v>
      </c>
      <c r="CU73" s="37" t="n">
        <f aca="false">IF(CU6=③기타_가정!$E$22,③기타_가정!$R$420,0)</f>
        <v>0</v>
      </c>
      <c r="CV73" s="37" t="n">
        <f aca="false">IF(CV6=③기타_가정!$E$22,③기타_가정!$R$420,0)</f>
        <v>0</v>
      </c>
      <c r="CW73" s="37" t="n">
        <f aca="false">IF(CW6=③기타_가정!$E$22,③기타_가정!$R$420,0)</f>
        <v>0</v>
      </c>
      <c r="CX73" s="37" t="n">
        <f aca="false">IF(CX6=③기타_가정!$E$22,③기타_가정!$R$420,0)</f>
        <v>0</v>
      </c>
      <c r="CY73" s="37" t="n">
        <f aca="false">IF(CY6=③기타_가정!$E$22,③기타_가정!$R$420,0)</f>
        <v>0</v>
      </c>
      <c r="CZ73" s="37" t="n">
        <f aca="false">IF(CZ6=③기타_가정!$E$22,③기타_가정!$R$420,0)</f>
        <v>0</v>
      </c>
      <c r="DA73" s="37" t="n">
        <f aca="false">IF(DA6=③기타_가정!$E$22,③기타_가정!$R$420,0)</f>
        <v>0</v>
      </c>
      <c r="DB73" s="37" t="n">
        <f aca="false">IF(DB6=③기타_가정!$E$22,③기타_가정!$R$420,0)</f>
        <v>0</v>
      </c>
      <c r="DC73" s="37" t="n">
        <f aca="false">IF(DC6=③기타_가정!$E$22,③기타_가정!$R$420,0)</f>
        <v>0</v>
      </c>
      <c r="DD73" s="37" t="n">
        <f aca="false">IF(DD6=③기타_가정!$E$22,③기타_가정!$R$420,0)</f>
        <v>0</v>
      </c>
      <c r="DE73" s="37" t="n">
        <f aca="false">IF(DE6=③기타_가정!$E$22,③기타_가정!$R$420,0)</f>
        <v>0</v>
      </c>
      <c r="DF73" s="37" t="n">
        <f aca="false">IF(DF6=③기타_가정!$E$22,③기타_가정!$R$420,0)</f>
        <v>0</v>
      </c>
      <c r="DG73" s="37" t="n">
        <f aca="false">IF(DG6=③기타_가정!$E$22,③기타_가정!$R$420,0)</f>
        <v>0</v>
      </c>
      <c r="DH73" s="37" t="n">
        <f aca="false">IF(DH6=③기타_가정!$E$22,③기타_가정!$R$420,0)</f>
        <v>0</v>
      </c>
      <c r="DI73" s="37" t="n">
        <f aca="false">IF(DI6=③기타_가정!$E$22,③기타_가정!$R$420,0)</f>
        <v>0</v>
      </c>
      <c r="DJ73" s="37" t="n">
        <f aca="false">IF(DJ6=③기타_가정!$E$22,③기타_가정!$R$420,0)</f>
        <v>0</v>
      </c>
      <c r="DK73" s="37" t="n">
        <f aca="false">IF(DK6=③기타_가정!$E$22,③기타_가정!$R$420,0)</f>
        <v>0</v>
      </c>
      <c r="DL73" s="37" t="n">
        <f aca="false">IF(DL6=③기타_가정!$E$22,③기타_가정!$R$420,0)</f>
        <v>0</v>
      </c>
      <c r="DM73" s="37" t="n">
        <f aca="false">IF(DM6=③기타_가정!$E$22,③기타_가정!$R$420,0)</f>
        <v>0</v>
      </c>
      <c r="DN73" s="37" t="n">
        <f aca="false">IF(DN6=③기타_가정!$E$22,③기타_가정!$R$420,0)</f>
        <v>0</v>
      </c>
      <c r="DO73" s="37" t="n">
        <f aca="false">IF(DO6=③기타_가정!$E$22,③기타_가정!$R$420,0)</f>
        <v>0</v>
      </c>
      <c r="DP73" s="37" t="n">
        <f aca="false">IF(DP6=③기타_가정!$E$22,③기타_가정!$R$420,0)</f>
        <v>0</v>
      </c>
      <c r="DQ73" s="37" t="n">
        <f aca="false">IF(DQ6=③기타_가정!$E$22,③기타_가정!$R$420,0)</f>
        <v>0</v>
      </c>
      <c r="DR73" s="37" t="n">
        <f aca="false">IF(DR6=③기타_가정!$E$22,③기타_가정!$R$420,0)</f>
        <v>0</v>
      </c>
      <c r="DS73" s="37" t="n">
        <f aca="false">IF(DS6=③기타_가정!$E$22,③기타_가정!$R$420,0)</f>
        <v>0</v>
      </c>
      <c r="DT73" s="37" t="n">
        <f aca="false">IF(DT6=③기타_가정!$E$22,③기타_가정!$R$420,0)</f>
        <v>8248.61392813103</v>
      </c>
      <c r="DU73" s="37" t="n">
        <f aca="false">IF(DU6=③기타_가정!$E$22,③기타_가정!$R$420,0)</f>
        <v>0</v>
      </c>
      <c r="DV73" s="37" t="n">
        <f aca="false">IF(DV6=③기타_가정!$E$22,③기타_가정!$R$420,0)</f>
        <v>0</v>
      </c>
      <c r="DW73" s="37" t="n">
        <f aca="false">IF(DW6=③기타_가정!$E$22,③기타_가정!$R$420,0)</f>
        <v>0</v>
      </c>
      <c r="DX73" s="37" t="n">
        <f aca="false">IF(DX6=③기타_가정!$E$22,③기타_가정!$R$420,0)</f>
        <v>0</v>
      </c>
      <c r="DY73" s="37" t="n">
        <f aca="false">IF(DY6=③기타_가정!$E$22,③기타_가정!$R$420,0)</f>
        <v>0</v>
      </c>
      <c r="DZ73" s="37" t="n">
        <f aca="false">IF(DZ6=③기타_가정!$E$22,③기타_가정!$R$420,0)</f>
        <v>0</v>
      </c>
      <c r="EA73" s="37" t="n">
        <f aca="false">IF(EA6=③기타_가정!$E$22,③기타_가정!$R$420,0)</f>
        <v>0</v>
      </c>
      <c r="EB73" s="37" t="n">
        <f aca="false">IF(EB6=③기타_가정!$E$22,③기타_가정!$R$420,0)</f>
        <v>0</v>
      </c>
      <c r="EC73" s="37" t="n">
        <f aca="false">IF(EC6=③기타_가정!$E$22,③기타_가정!$R$420,0)</f>
        <v>0</v>
      </c>
      <c r="ED73" s="37" t="n">
        <f aca="false">IF(ED6=③기타_가정!$E$22,③기타_가정!$R$420,0)</f>
        <v>0</v>
      </c>
      <c r="EE73" s="37" t="n">
        <f aca="false">IF(EE6=③기타_가정!$E$22,③기타_가정!$R$420,0)</f>
        <v>0</v>
      </c>
      <c r="EF73" s="37" t="n">
        <f aca="false">IF(EF6=③기타_가정!$E$22,③기타_가정!$R$420,0)</f>
        <v>0</v>
      </c>
    </row>
    <row r="74" customFormat="false" ht="15" hidden="false" customHeight="false" outlineLevel="0" collapsed="false">
      <c r="A74" s="280" t="s">
        <v>617</v>
      </c>
      <c r="B74" s="281" t="s">
        <v>21</v>
      </c>
      <c r="C74" s="282" t="n">
        <f aca="false">SUM(E74:EF74)</f>
        <v>43996.6521110283</v>
      </c>
      <c r="D74" s="48"/>
      <c r="E74" s="283" t="n">
        <f aca="false">SUM(E67:E73)</f>
        <v>0</v>
      </c>
      <c r="F74" s="283" t="n">
        <f aca="false">SUM(F67:F73)</f>
        <v>0</v>
      </c>
      <c r="G74" s="283" t="n">
        <f aca="false">SUM(G67:G73)</f>
        <v>0</v>
      </c>
      <c r="H74" s="283" t="n">
        <f aca="false">SUM(H67:H73)</f>
        <v>0</v>
      </c>
      <c r="I74" s="283" t="n">
        <f aca="false">SUM(I67:I73)</f>
        <v>0</v>
      </c>
      <c r="J74" s="283" t="n">
        <f aca="false">SUM(J67:J73)</f>
        <v>0</v>
      </c>
      <c r="K74" s="283" t="n">
        <f aca="false">SUM(K67:K73)</f>
        <v>0</v>
      </c>
      <c r="L74" s="283" t="n">
        <f aca="false">SUM(L67:L73)</f>
        <v>0</v>
      </c>
      <c r="M74" s="283" t="n">
        <f aca="false">SUM(M67:M73)</f>
        <v>0</v>
      </c>
      <c r="N74" s="283" t="n">
        <f aca="false">SUM(N67:N73)</f>
        <v>0</v>
      </c>
      <c r="O74" s="283" t="n">
        <f aca="false">SUM(O67:O73)</f>
        <v>0</v>
      </c>
      <c r="P74" s="283" t="n">
        <f aca="false">SUM(P67:P73)</f>
        <v>0</v>
      </c>
      <c r="Q74" s="283" t="n">
        <f aca="false">SUM(Q67:Q73)</f>
        <v>0</v>
      </c>
      <c r="R74" s="283" t="n">
        <f aca="false">SUM(R67:R73)</f>
        <v>0</v>
      </c>
      <c r="S74" s="283" t="n">
        <f aca="false">SUM(S67:S73)</f>
        <v>0</v>
      </c>
      <c r="T74" s="283" t="n">
        <f aca="false">SUM(T67:T73)</f>
        <v>0</v>
      </c>
      <c r="U74" s="283" t="n">
        <f aca="false">SUM(U67:U73)</f>
        <v>0</v>
      </c>
      <c r="V74" s="283" t="n">
        <f aca="false">SUM(V67:V73)</f>
        <v>0</v>
      </c>
      <c r="W74" s="283" t="n">
        <f aca="false">SUM(W67:W73)</f>
        <v>0</v>
      </c>
      <c r="X74" s="283" t="n">
        <f aca="false">SUM(X67:X73)</f>
        <v>0</v>
      </c>
      <c r="Y74" s="283" t="n">
        <f aca="false">SUM(Y67:Y73)</f>
        <v>0</v>
      </c>
      <c r="Z74" s="283" t="n">
        <f aca="false">SUM(Z67:Z73)</f>
        <v>0</v>
      </c>
      <c r="AA74" s="283" t="n">
        <f aca="false">SUM(AA67:AA73)</f>
        <v>0</v>
      </c>
      <c r="AB74" s="283" t="n">
        <f aca="false">SUM(AB67:AB73)</f>
        <v>0</v>
      </c>
      <c r="AC74" s="283" t="n">
        <f aca="false">SUM(AC67:AC73)</f>
        <v>0</v>
      </c>
      <c r="AD74" s="283" t="n">
        <f aca="false">SUM(AD67:AD73)</f>
        <v>0</v>
      </c>
      <c r="AE74" s="283" t="n">
        <f aca="false">SUM(AE67:AE73)</f>
        <v>0</v>
      </c>
      <c r="AF74" s="283" t="n">
        <f aca="false">SUM(AF67:AF73)</f>
        <v>0</v>
      </c>
      <c r="AG74" s="283" t="n">
        <f aca="false">SUM(AG67:AG73)</f>
        <v>0</v>
      </c>
      <c r="AH74" s="283" t="n">
        <f aca="false">SUM(AH67:AH73)</f>
        <v>0</v>
      </c>
      <c r="AI74" s="283" t="n">
        <f aca="false">SUM(AI67:AI73)</f>
        <v>0</v>
      </c>
      <c r="AJ74" s="283" t="n">
        <f aca="false">SUM(AJ67:AJ73)</f>
        <v>0</v>
      </c>
      <c r="AK74" s="283" t="n">
        <f aca="false">SUM(AK67:AK73)</f>
        <v>0</v>
      </c>
      <c r="AL74" s="283" t="n">
        <f aca="false">SUM(AL67:AL73)</f>
        <v>0</v>
      </c>
      <c r="AM74" s="283" t="n">
        <f aca="false">SUM(AM67:AM73)</f>
        <v>0</v>
      </c>
      <c r="AN74" s="283" t="n">
        <f aca="false">SUM(AN67:AN73)</f>
        <v>0</v>
      </c>
      <c r="AO74" s="283" t="n">
        <f aca="false">SUM(AO67:AO73)</f>
        <v>0</v>
      </c>
      <c r="AP74" s="283" t="n">
        <f aca="false">SUM(AP67:AP73)</f>
        <v>0</v>
      </c>
      <c r="AQ74" s="283" t="n">
        <f aca="false">SUM(AQ67:AQ73)</f>
        <v>0</v>
      </c>
      <c r="AR74" s="283" t="n">
        <f aca="false">SUM(AR67:AR73)</f>
        <v>0</v>
      </c>
      <c r="AS74" s="283" t="n">
        <f aca="false">SUM(AS67:AS73)</f>
        <v>0</v>
      </c>
      <c r="AT74" s="283" t="n">
        <f aca="false">SUM(AT67:AT73)</f>
        <v>0</v>
      </c>
      <c r="AU74" s="283" t="n">
        <f aca="false">SUM(AU67:AU73)</f>
        <v>0</v>
      </c>
      <c r="AV74" s="283" t="n">
        <f aca="false">SUM(AV67:AV73)</f>
        <v>0</v>
      </c>
      <c r="AW74" s="283" t="n">
        <f aca="false">SUM(AW67:AW73)</f>
        <v>0</v>
      </c>
      <c r="AX74" s="283" t="n">
        <f aca="false">SUM(AX67:AX73)</f>
        <v>0</v>
      </c>
      <c r="AY74" s="283" t="n">
        <f aca="false">SUM(AY67:AY73)</f>
        <v>0</v>
      </c>
      <c r="AZ74" s="283" t="n">
        <f aca="false">SUM(AZ67:AZ73)</f>
        <v>0</v>
      </c>
      <c r="BA74" s="283" t="n">
        <f aca="false">SUM(BA67:BA73)</f>
        <v>0</v>
      </c>
      <c r="BB74" s="283" t="n">
        <f aca="false">SUM(BB67:BB73)</f>
        <v>0</v>
      </c>
      <c r="BC74" s="283" t="n">
        <f aca="false">SUM(BC67:BC73)</f>
        <v>0</v>
      </c>
      <c r="BD74" s="283" t="n">
        <f aca="false">SUM(BD67:BD73)</f>
        <v>0</v>
      </c>
      <c r="BE74" s="283" t="n">
        <f aca="false">SUM(BE67:BE73)</f>
        <v>0</v>
      </c>
      <c r="BF74" s="283" t="n">
        <f aca="false">SUM(BF67:BF73)</f>
        <v>0</v>
      </c>
      <c r="BG74" s="283" t="n">
        <f aca="false">SUM(BG67:BG73)</f>
        <v>0</v>
      </c>
      <c r="BH74" s="283" t="n">
        <f aca="false">SUM(BH67:BH73)</f>
        <v>0</v>
      </c>
      <c r="BI74" s="283" t="n">
        <f aca="false">SUM(BI67:BI73)</f>
        <v>0</v>
      </c>
      <c r="BJ74" s="283" t="n">
        <f aca="false">SUM(BJ67:BJ73)</f>
        <v>0</v>
      </c>
      <c r="BK74" s="283" t="n">
        <f aca="false">SUM(BK67:BK73)</f>
        <v>0</v>
      </c>
      <c r="BL74" s="283" t="n">
        <f aca="false">SUM(BL67:BL73)</f>
        <v>0</v>
      </c>
      <c r="BM74" s="283" t="n">
        <f aca="false">SUM(BM67:BM73)</f>
        <v>516.792124905922</v>
      </c>
      <c r="BN74" s="283" t="n">
        <f aca="false">SUM(BN67:BN73)</f>
        <v>557.007264905922</v>
      </c>
      <c r="BO74" s="283" t="n">
        <f aca="false">SUM(BO67:BO73)</f>
        <v>557.007264905922</v>
      </c>
      <c r="BP74" s="283" t="n">
        <f aca="false">SUM(BP67:BP73)</f>
        <v>557.007264905922</v>
      </c>
      <c r="BQ74" s="283" t="n">
        <f aca="false">SUM(BQ67:BQ73)</f>
        <v>557.007264905922</v>
      </c>
      <c r="BR74" s="283" t="n">
        <f aca="false">SUM(BR67:BR73)</f>
        <v>557.007264905922</v>
      </c>
      <c r="BS74" s="283" t="n">
        <f aca="false">SUM(BS67:BS73)</f>
        <v>557.007264905922</v>
      </c>
      <c r="BT74" s="283" t="n">
        <f aca="false">SUM(BT67:BT73)</f>
        <v>557.007264905922</v>
      </c>
      <c r="BU74" s="283" t="n">
        <f aca="false">SUM(BU67:BU73)</f>
        <v>557.007264905922</v>
      </c>
      <c r="BV74" s="283" t="n">
        <f aca="false">SUM(BV67:BV73)</f>
        <v>557.007264905922</v>
      </c>
      <c r="BW74" s="283" t="n">
        <f aca="false">SUM(BW67:BW73)</f>
        <v>557.007264905922</v>
      </c>
      <c r="BX74" s="283" t="n">
        <f aca="false">SUM(BX67:BX73)</f>
        <v>557.007264905922</v>
      </c>
      <c r="BY74" s="283" t="n">
        <f aca="false">SUM(BY67:BY73)</f>
        <v>564.186317537374</v>
      </c>
      <c r="BZ74" s="283" t="n">
        <f aca="false">SUM(BZ67:BZ73)</f>
        <v>586.163517537374</v>
      </c>
      <c r="CA74" s="283" t="n">
        <f aca="false">SUM(CA67:CA73)</f>
        <v>586.163517537374</v>
      </c>
      <c r="CB74" s="283" t="n">
        <f aca="false">SUM(CB67:CB73)</f>
        <v>586.163517537374</v>
      </c>
      <c r="CC74" s="283" t="n">
        <f aca="false">SUM(CC67:CC73)</f>
        <v>586.163517537374</v>
      </c>
      <c r="CD74" s="283" t="n">
        <f aca="false">SUM(CD67:CD73)</f>
        <v>586.163517537374</v>
      </c>
      <c r="CE74" s="283" t="n">
        <f aca="false">SUM(CE67:CE73)</f>
        <v>586.163517537374</v>
      </c>
      <c r="CF74" s="283" t="n">
        <f aca="false">SUM(CF67:CF73)</f>
        <v>586.163517537374</v>
      </c>
      <c r="CG74" s="283" t="n">
        <f aca="false">SUM(CG67:CG73)</f>
        <v>586.163517537374</v>
      </c>
      <c r="CH74" s="283" t="n">
        <f aca="false">SUM(CH67:CH73)</f>
        <v>586.163517537374</v>
      </c>
      <c r="CI74" s="283" t="n">
        <f aca="false">SUM(CI67:CI73)</f>
        <v>586.163517537374</v>
      </c>
      <c r="CJ74" s="283" t="n">
        <f aca="false">SUM(CJ67:CJ73)</f>
        <v>586.163517537374</v>
      </c>
      <c r="CK74" s="283" t="n">
        <f aca="false">SUM(CK67:CK73)</f>
        <v>593.486151221455</v>
      </c>
      <c r="CL74" s="283" t="n">
        <f aca="false">SUM(CL67:CL73)</f>
        <v>597.336151221455</v>
      </c>
      <c r="CM74" s="283" t="n">
        <f aca="false">SUM(CM67:CM73)</f>
        <v>597.336151221455</v>
      </c>
      <c r="CN74" s="283" t="n">
        <f aca="false">SUM(CN67:CN73)</f>
        <v>597.336151221455</v>
      </c>
      <c r="CO74" s="283" t="n">
        <f aca="false">SUM(CO67:CO73)</f>
        <v>597.336151221455</v>
      </c>
      <c r="CP74" s="283" t="n">
        <f aca="false">SUM(CP67:CP73)</f>
        <v>597.336151221455</v>
      </c>
      <c r="CQ74" s="283" t="n">
        <f aca="false">SUM(CQ67:CQ73)</f>
        <v>597.336151221455</v>
      </c>
      <c r="CR74" s="283" t="n">
        <f aca="false">SUM(CR67:CR73)</f>
        <v>597.336151221455</v>
      </c>
      <c r="CS74" s="283" t="n">
        <f aca="false">SUM(CS67:CS73)</f>
        <v>597.336151221455</v>
      </c>
      <c r="CT74" s="283" t="n">
        <f aca="false">SUM(CT67:CT73)</f>
        <v>597.336151221455</v>
      </c>
      <c r="CU74" s="283" t="n">
        <f aca="false">SUM(CU67:CU73)</f>
        <v>597.336151221455</v>
      </c>
      <c r="CV74" s="283" t="n">
        <f aca="false">SUM(CV67:CV73)</f>
        <v>597.336151221455</v>
      </c>
      <c r="CW74" s="283" t="n">
        <f aca="false">SUM(CW67:CW73)</f>
        <v>604.805237579217</v>
      </c>
      <c r="CX74" s="283" t="n">
        <f aca="false">SUM(CX67:CX73)</f>
        <v>604.805237579217</v>
      </c>
      <c r="CY74" s="283" t="n">
        <f aca="false">SUM(CY67:CY73)</f>
        <v>604.805237579217</v>
      </c>
      <c r="CZ74" s="283" t="n">
        <f aca="false">SUM(CZ67:CZ73)</f>
        <v>604.805237579217</v>
      </c>
      <c r="DA74" s="283" t="n">
        <f aca="false">SUM(DA67:DA73)</f>
        <v>604.805237579217</v>
      </c>
      <c r="DB74" s="283" t="n">
        <f aca="false">SUM(DB67:DB73)</f>
        <v>604.805237579217</v>
      </c>
      <c r="DC74" s="283" t="n">
        <f aca="false">SUM(DC67:DC73)</f>
        <v>604.805237579217</v>
      </c>
      <c r="DD74" s="283" t="n">
        <f aca="false">SUM(DD67:DD73)</f>
        <v>604.805237579217</v>
      </c>
      <c r="DE74" s="283" t="n">
        <f aca="false">SUM(DE67:DE73)</f>
        <v>604.805237579217</v>
      </c>
      <c r="DF74" s="283" t="n">
        <f aca="false">SUM(DF67:DF73)</f>
        <v>604.805237579217</v>
      </c>
      <c r="DG74" s="283" t="n">
        <f aca="false">SUM(DG67:DG73)</f>
        <v>604.805237579217</v>
      </c>
      <c r="DH74" s="283" t="n">
        <f aca="false">SUM(DH67:DH73)</f>
        <v>604.805237579217</v>
      </c>
      <c r="DI74" s="283" t="n">
        <f aca="false">SUM(DI67:DI73)</f>
        <v>612.423705664135</v>
      </c>
      <c r="DJ74" s="283" t="n">
        <f aca="false">SUM(DJ67:DJ73)</f>
        <v>612.423705664135</v>
      </c>
      <c r="DK74" s="283" t="n">
        <f aca="false">SUM(DK67:DK73)</f>
        <v>612.423705664135</v>
      </c>
      <c r="DL74" s="283" t="n">
        <f aca="false">SUM(DL67:DL73)</f>
        <v>612.423705664135</v>
      </c>
      <c r="DM74" s="283" t="n">
        <f aca="false">SUM(DM67:DM73)</f>
        <v>612.423705664135</v>
      </c>
      <c r="DN74" s="283" t="n">
        <f aca="false">SUM(DN67:DN73)</f>
        <v>612.423705664135</v>
      </c>
      <c r="DO74" s="283" t="n">
        <f aca="false">SUM(DO67:DO73)</f>
        <v>612.423705664135</v>
      </c>
      <c r="DP74" s="283" t="n">
        <f aca="false">SUM(DP67:DP73)</f>
        <v>612.423705664135</v>
      </c>
      <c r="DQ74" s="283" t="n">
        <f aca="false">SUM(DQ67:DQ73)</f>
        <v>612.423705664135</v>
      </c>
      <c r="DR74" s="283" t="n">
        <f aca="false">SUM(DR67:DR73)</f>
        <v>612.423705664135</v>
      </c>
      <c r="DS74" s="283" t="n">
        <f aca="false">SUM(DS67:DS73)</f>
        <v>612.423705664135</v>
      </c>
      <c r="DT74" s="283" t="n">
        <f aca="false">SUM(DT67:DT73)</f>
        <v>8861.03763379516</v>
      </c>
      <c r="DU74" s="283" t="n">
        <f aca="false">SUM(DU67:DU73)</f>
        <v>107.083333333333</v>
      </c>
      <c r="DV74" s="283" t="n">
        <f aca="false">SUM(DV67:DV73)</f>
        <v>107.083333333333</v>
      </c>
      <c r="DW74" s="283" t="n">
        <f aca="false">SUM(DW67:DW73)</f>
        <v>107.083333333333</v>
      </c>
      <c r="DX74" s="283" t="n">
        <f aca="false">SUM(DX67:DX73)</f>
        <v>0</v>
      </c>
      <c r="DY74" s="283" t="n">
        <f aca="false">SUM(DY67:DY73)</f>
        <v>0</v>
      </c>
      <c r="DZ74" s="283" t="n">
        <f aca="false">SUM(DZ67:DZ73)</f>
        <v>0</v>
      </c>
      <c r="EA74" s="283" t="n">
        <f aca="false">SUM(EA67:EA73)</f>
        <v>0</v>
      </c>
      <c r="EB74" s="283" t="n">
        <f aca="false">SUM(EB67:EB73)</f>
        <v>0</v>
      </c>
      <c r="EC74" s="283" t="n">
        <f aca="false">SUM(EC67:EC73)</f>
        <v>0</v>
      </c>
      <c r="ED74" s="283" t="n">
        <f aca="false">SUM(ED67:ED73)</f>
        <v>0</v>
      </c>
      <c r="EE74" s="283" t="n">
        <f aca="false">SUM(EE67:EE73)</f>
        <v>0</v>
      </c>
      <c r="EF74" s="283" t="n">
        <f aca="false">SUM(EF67:EF73)</f>
        <v>0</v>
      </c>
    </row>
    <row r="75" customFormat="false" ht="15" hidden="false" customHeight="false" outlineLevel="0" collapsed="false">
      <c r="A75" s="280" t="s">
        <v>618</v>
      </c>
      <c r="B75" s="281" t="s">
        <v>21</v>
      </c>
      <c r="C75" s="282" t="n">
        <f aca="false">SUM(E75:EF75)</f>
        <v>239335.113732962</v>
      </c>
      <c r="D75" s="48"/>
      <c r="E75" s="283" t="n">
        <f aca="false">E64-E74</f>
        <v>0</v>
      </c>
      <c r="F75" s="283" t="n">
        <f aca="false">F64-F74</f>
        <v>0</v>
      </c>
      <c r="G75" s="283" t="n">
        <f aca="false">G64-G74</f>
        <v>0</v>
      </c>
      <c r="H75" s="283" t="n">
        <f aca="false">H64-H74</f>
        <v>0</v>
      </c>
      <c r="I75" s="283" t="n">
        <f aca="false">I64-I74</f>
        <v>0</v>
      </c>
      <c r="J75" s="283" t="n">
        <f aca="false">J64-J74</f>
        <v>0</v>
      </c>
      <c r="K75" s="283" t="n">
        <f aca="false">K64-K74</f>
        <v>0</v>
      </c>
      <c r="L75" s="283" t="n">
        <f aca="false">L64-L74</f>
        <v>0</v>
      </c>
      <c r="M75" s="283" t="n">
        <f aca="false">M64-M74</f>
        <v>0</v>
      </c>
      <c r="N75" s="283" t="n">
        <f aca="false">N64-N74</f>
        <v>0</v>
      </c>
      <c r="O75" s="283" t="n">
        <f aca="false">O64-O74</f>
        <v>0</v>
      </c>
      <c r="P75" s="283" t="n">
        <f aca="false">P64-P74</f>
        <v>0</v>
      </c>
      <c r="Q75" s="283" t="n">
        <f aca="false">Q64-Q74</f>
        <v>0</v>
      </c>
      <c r="R75" s="283" t="n">
        <f aca="false">R64-R74</f>
        <v>0</v>
      </c>
      <c r="S75" s="283" t="n">
        <f aca="false">S64-S74</f>
        <v>0</v>
      </c>
      <c r="T75" s="283" t="n">
        <f aca="false">T64-T74</f>
        <v>0</v>
      </c>
      <c r="U75" s="283" t="n">
        <f aca="false">U64-U74</f>
        <v>0</v>
      </c>
      <c r="V75" s="283" t="n">
        <f aca="false">V64-V74</f>
        <v>0</v>
      </c>
      <c r="W75" s="283" t="n">
        <f aca="false">W64-W74</f>
        <v>0</v>
      </c>
      <c r="X75" s="283" t="n">
        <f aca="false">X64-X74</f>
        <v>0</v>
      </c>
      <c r="Y75" s="283" t="n">
        <f aca="false">Y64-Y74</f>
        <v>0</v>
      </c>
      <c r="Z75" s="283" t="n">
        <f aca="false">Z64-Z74</f>
        <v>0</v>
      </c>
      <c r="AA75" s="283" t="n">
        <f aca="false">AA64-AA74</f>
        <v>0</v>
      </c>
      <c r="AB75" s="283" t="n">
        <f aca="false">AB64-AB74</f>
        <v>0</v>
      </c>
      <c r="AC75" s="283" t="n">
        <f aca="false">AC64-AC74</f>
        <v>0</v>
      </c>
      <c r="AD75" s="283" t="n">
        <f aca="false">AD64-AD74</f>
        <v>0</v>
      </c>
      <c r="AE75" s="283" t="n">
        <f aca="false">AE64-AE74</f>
        <v>0</v>
      </c>
      <c r="AF75" s="283" t="n">
        <f aca="false">AF64-AF74</f>
        <v>0</v>
      </c>
      <c r="AG75" s="283" t="n">
        <f aca="false">AG64-AG74</f>
        <v>0</v>
      </c>
      <c r="AH75" s="283" t="n">
        <f aca="false">AH64-AH74</f>
        <v>0</v>
      </c>
      <c r="AI75" s="283" t="n">
        <f aca="false">AI64-AI74</f>
        <v>0</v>
      </c>
      <c r="AJ75" s="283" t="n">
        <f aca="false">AJ64-AJ74</f>
        <v>0</v>
      </c>
      <c r="AK75" s="283" t="n">
        <f aca="false">AK64-AK74</f>
        <v>0</v>
      </c>
      <c r="AL75" s="283" t="n">
        <f aca="false">AL64-AL74</f>
        <v>0</v>
      </c>
      <c r="AM75" s="283" t="n">
        <f aca="false">AM64-AM74</f>
        <v>0</v>
      </c>
      <c r="AN75" s="283" t="n">
        <f aca="false">AN64-AN74</f>
        <v>0</v>
      </c>
      <c r="AO75" s="283" t="n">
        <f aca="false">AO64-AO74</f>
        <v>0</v>
      </c>
      <c r="AP75" s="283" t="n">
        <f aca="false">AP64-AP74</f>
        <v>0</v>
      </c>
      <c r="AQ75" s="283" t="n">
        <f aca="false">AQ64-AQ74</f>
        <v>0</v>
      </c>
      <c r="AR75" s="283" t="n">
        <f aca="false">AR64-AR74</f>
        <v>0</v>
      </c>
      <c r="AS75" s="283" t="n">
        <f aca="false">AS64-AS74</f>
        <v>0</v>
      </c>
      <c r="AT75" s="283" t="n">
        <f aca="false">AT64-AT74</f>
        <v>0</v>
      </c>
      <c r="AU75" s="283" t="n">
        <f aca="false">AU64-AU74</f>
        <v>0</v>
      </c>
      <c r="AV75" s="283" t="n">
        <f aca="false">AV64-AV74</f>
        <v>0</v>
      </c>
      <c r="AW75" s="283" t="n">
        <f aca="false">AW64-AW74</f>
        <v>0</v>
      </c>
      <c r="AX75" s="283" t="n">
        <f aca="false">AX64-AX74</f>
        <v>0</v>
      </c>
      <c r="AY75" s="283" t="n">
        <f aca="false">AY64-AY74</f>
        <v>0</v>
      </c>
      <c r="AZ75" s="283" t="n">
        <f aca="false">AZ64-AZ74</f>
        <v>0</v>
      </c>
      <c r="BA75" s="283" t="n">
        <f aca="false">BA64-BA74</f>
        <v>0</v>
      </c>
      <c r="BB75" s="283" t="n">
        <f aca="false">BB64-BB74</f>
        <v>0</v>
      </c>
      <c r="BC75" s="283" t="n">
        <f aca="false">BC64-BC74</f>
        <v>0</v>
      </c>
      <c r="BD75" s="283" t="n">
        <f aca="false">BD64-BD74</f>
        <v>0</v>
      </c>
      <c r="BE75" s="283" t="n">
        <f aca="false">BE64-BE74</f>
        <v>0</v>
      </c>
      <c r="BF75" s="283" t="n">
        <f aca="false">BF64-BF74</f>
        <v>0</v>
      </c>
      <c r="BG75" s="283" t="n">
        <f aca="false">BG64-BG74</f>
        <v>0</v>
      </c>
      <c r="BH75" s="283" t="n">
        <f aca="false">BH64-BH74</f>
        <v>0</v>
      </c>
      <c r="BI75" s="283" t="n">
        <f aca="false">BI64-BI74</f>
        <v>0</v>
      </c>
      <c r="BJ75" s="283" t="n">
        <f aca="false">BJ64-BJ74</f>
        <v>0</v>
      </c>
      <c r="BK75" s="283" t="n">
        <f aca="false">BK64-BK74</f>
        <v>0</v>
      </c>
      <c r="BL75" s="283" t="n">
        <f aca="false">BL64-BL74</f>
        <v>0</v>
      </c>
      <c r="BM75" s="283" t="n">
        <f aca="false">BM64-BM74</f>
        <v>3407.25500688921</v>
      </c>
      <c r="BN75" s="283" t="n">
        <f aca="false">BN64-BN74</f>
        <v>3284.79819457324</v>
      </c>
      <c r="BO75" s="283" t="n">
        <f aca="false">BO64-BO74</f>
        <v>3367.03986688921</v>
      </c>
      <c r="BP75" s="283" t="n">
        <f aca="false">BP64-BP74</f>
        <v>3284.79819457324</v>
      </c>
      <c r="BQ75" s="283" t="n">
        <f aca="false">BQ64-BQ74</f>
        <v>3367.03986688921</v>
      </c>
      <c r="BR75" s="283" t="n">
        <f aca="false">BR64-BR74</f>
        <v>3367.03986688921</v>
      </c>
      <c r="BS75" s="283" t="n">
        <f aca="false">BS64-BS74</f>
        <v>3284.79819457324</v>
      </c>
      <c r="BT75" s="283" t="n">
        <f aca="false">BT64-BT74</f>
        <v>3367.03986688921</v>
      </c>
      <c r="BU75" s="283" t="n">
        <f aca="false">BU64-BU74</f>
        <v>3284.79819457324</v>
      </c>
      <c r="BV75" s="283" t="n">
        <f aca="false">BV64-BV74</f>
        <v>3367.03986688921</v>
      </c>
      <c r="BW75" s="283" t="n">
        <f aca="false">BW64-BW74</f>
        <v>3367.03986688921</v>
      </c>
      <c r="BX75" s="283" t="n">
        <f aca="false">BX64-BX74</f>
        <v>3202.55652225727</v>
      </c>
      <c r="BY75" s="283" t="n">
        <f aca="false">BY64-BY74</f>
        <v>4276.69350440096</v>
      </c>
      <c r="BZ75" s="283" t="n">
        <f aca="false">BZ64-BZ74</f>
        <v>4157.92418236754</v>
      </c>
      <c r="CA75" s="283" t="n">
        <f aca="false">CA64-CA74</f>
        <v>4254.71630440096</v>
      </c>
      <c r="CB75" s="283" t="n">
        <f aca="false">CB64-CB74</f>
        <v>4157.92418236754</v>
      </c>
      <c r="CC75" s="283" t="n">
        <f aca="false">CC64-CC74</f>
        <v>4254.71630440096</v>
      </c>
      <c r="CD75" s="283" t="n">
        <f aca="false">CD64-CD74</f>
        <v>4254.71630440096</v>
      </c>
      <c r="CE75" s="283" t="n">
        <f aca="false">CE64-CE74</f>
        <v>4157.92418236754</v>
      </c>
      <c r="CF75" s="283" t="n">
        <f aca="false">CF64-CF74</f>
        <v>4254.71630440096</v>
      </c>
      <c r="CG75" s="283" t="n">
        <f aca="false">CG64-CG74</f>
        <v>4157.92418236754</v>
      </c>
      <c r="CH75" s="283" t="n">
        <f aca="false">CH64-CH74</f>
        <v>4254.71630440096</v>
      </c>
      <c r="CI75" s="283" t="n">
        <f aca="false">CI64-CI74</f>
        <v>4254.71630440096</v>
      </c>
      <c r="CJ75" s="283" t="n">
        <f aca="false">CJ64-CJ74</f>
        <v>3964.33993830071</v>
      </c>
      <c r="CK75" s="283" t="n">
        <f aca="false">CK64-CK74</f>
        <v>4344.21126715564</v>
      </c>
      <c r="CL75" s="283" t="n">
        <f aca="false">CL64-CL74</f>
        <v>4241.63330268156</v>
      </c>
      <c r="CM75" s="283" t="n">
        <f aca="false">CM64-CM74</f>
        <v>4340.36126715564</v>
      </c>
      <c r="CN75" s="283" t="n">
        <f aca="false">CN64-CN74</f>
        <v>4241.63330268156</v>
      </c>
      <c r="CO75" s="283" t="n">
        <f aca="false">CO64-CO74</f>
        <v>4340.36126715564</v>
      </c>
      <c r="CP75" s="283" t="n">
        <f aca="false">CP64-CP74</f>
        <v>4340.36126715564</v>
      </c>
      <c r="CQ75" s="283" t="n">
        <f aca="false">CQ64-CQ74</f>
        <v>4241.63330268156</v>
      </c>
      <c r="CR75" s="283" t="n">
        <f aca="false">CR64-CR74</f>
        <v>4340.36126715564</v>
      </c>
      <c r="CS75" s="283" t="n">
        <f aca="false">CS64-CS74</f>
        <v>4241.63330268156</v>
      </c>
      <c r="CT75" s="283" t="n">
        <f aca="false">CT64-CT74</f>
        <v>4340.36126715564</v>
      </c>
      <c r="CU75" s="283" t="n">
        <f aca="false">CU64-CU74</f>
        <v>4340.36126715564</v>
      </c>
      <c r="CV75" s="283" t="n">
        <f aca="false">CV64-CV74</f>
        <v>4044.1773737334</v>
      </c>
      <c r="CW75" s="283" t="n">
        <f aca="false">CW64-CW74</f>
        <v>4431.64612916542</v>
      </c>
      <c r="CX75" s="283" t="n">
        <f aca="false">CX64-CX74</f>
        <v>4330.94360540186</v>
      </c>
      <c r="CY75" s="283" t="n">
        <f aca="false">CY64-CY74</f>
        <v>4431.64612916542</v>
      </c>
      <c r="CZ75" s="283" t="n">
        <f aca="false">CZ64-CZ74</f>
        <v>4330.94360540186</v>
      </c>
      <c r="DA75" s="283" t="n">
        <f aca="false">DA64-DA74</f>
        <v>4431.64612916542</v>
      </c>
      <c r="DB75" s="283" t="n">
        <f aca="false">DB64-DB74</f>
        <v>4431.64612916542</v>
      </c>
      <c r="DC75" s="283" t="n">
        <f aca="false">DC64-DC74</f>
        <v>4330.94360540186</v>
      </c>
      <c r="DD75" s="283" t="n">
        <f aca="false">DD64-DD74</f>
        <v>4431.64612916542</v>
      </c>
      <c r="DE75" s="283" t="n">
        <f aca="false">DE64-DE74</f>
        <v>4330.94360540186</v>
      </c>
      <c r="DF75" s="283" t="n">
        <f aca="false">DF64-DF74</f>
        <v>4431.64612916542</v>
      </c>
      <c r="DG75" s="283" t="n">
        <f aca="false">DG64-DG74</f>
        <v>4431.64612916542</v>
      </c>
      <c r="DH75" s="283" t="n">
        <f aca="false">DH64-DH74</f>
        <v>4129.53855787473</v>
      </c>
      <c r="DI75" s="283" t="n">
        <f aca="false">DI64-DI74</f>
        <v>4524.7566884154</v>
      </c>
      <c r="DJ75" s="283" t="n">
        <f aca="false">DJ64-DJ74</f>
        <v>4422.04011417656</v>
      </c>
      <c r="DK75" s="283" t="n">
        <f aca="false">DK64-DK74</f>
        <v>4524.7566884154</v>
      </c>
      <c r="DL75" s="283" t="n">
        <f aca="false">DL64-DL74</f>
        <v>4422.04011417656</v>
      </c>
      <c r="DM75" s="283" t="n">
        <f aca="false">DM64-DM74</f>
        <v>4524.7566884154</v>
      </c>
      <c r="DN75" s="283" t="n">
        <f aca="false">DN64-DN74</f>
        <v>4524.7566884154</v>
      </c>
      <c r="DO75" s="283" t="n">
        <f aca="false">DO64-DO74</f>
        <v>4422.04011417656</v>
      </c>
      <c r="DP75" s="283" t="n">
        <f aca="false">DP64-DP74</f>
        <v>4524.7566884154</v>
      </c>
      <c r="DQ75" s="283" t="n">
        <f aca="false">DQ64-DQ74</f>
        <v>4422.04011417656</v>
      </c>
      <c r="DR75" s="283" t="n">
        <f aca="false">DR64-DR74</f>
        <v>4524.7566884154</v>
      </c>
      <c r="DS75" s="283" t="n">
        <f aca="false">DS64-DS74</f>
        <v>4524.7566884154</v>
      </c>
      <c r="DT75" s="283" t="n">
        <f aca="false">DT64-DT74</f>
        <v>-3929.2903881933</v>
      </c>
      <c r="DU75" s="283" t="n">
        <f aca="false">DU64-DU74</f>
        <v>-107.083333333333</v>
      </c>
      <c r="DV75" s="283" t="n">
        <f aca="false">DV64-DV74</f>
        <v>-107.083333333333</v>
      </c>
      <c r="DW75" s="283" t="n">
        <f aca="false">DW64-DW74</f>
        <v>-107.083333333333</v>
      </c>
      <c r="DX75" s="283" t="n">
        <f aca="false">DX64-DX74</f>
        <v>0</v>
      </c>
      <c r="DY75" s="283" t="n">
        <f aca="false">DY64-DY74</f>
        <v>0</v>
      </c>
      <c r="DZ75" s="283" t="n">
        <f aca="false">DZ64-DZ74</f>
        <v>0</v>
      </c>
      <c r="EA75" s="283" t="n">
        <f aca="false">EA64-EA74</f>
        <v>0</v>
      </c>
      <c r="EB75" s="283" t="n">
        <f aca="false">EB64-EB74</f>
        <v>0</v>
      </c>
      <c r="EC75" s="283" t="n">
        <f aca="false">EC64-EC74</f>
        <v>0</v>
      </c>
      <c r="ED75" s="283" t="n">
        <f aca="false">ED64-ED74</f>
        <v>0</v>
      </c>
      <c r="EE75" s="283" t="n">
        <f aca="false">EE64-EE74</f>
        <v>0</v>
      </c>
      <c r="EF75" s="283" t="n">
        <f aca="false">EF64-EF74</f>
        <v>0</v>
      </c>
    </row>
    <row r="77" customFormat="false" ht="15" hidden="false" customHeight="false" outlineLevel="0" collapsed="false">
      <c r="A77" s="6" t="s">
        <v>619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</row>
    <row r="78" customFormat="false" ht="15" hidden="false" customHeight="false" outlineLevel="0" collapsed="false">
      <c r="A78" s="36" t="s">
        <v>620</v>
      </c>
      <c r="B78" s="278" t="s">
        <v>21</v>
      </c>
      <c r="C78" s="279" t="n">
        <f aca="false">SUM(E78:EF78)</f>
        <v>0</v>
      </c>
      <c r="E78" s="37" t="n">
        <f aca="false">③기타_가정!$D$38*③기타_가정!$E$98*(③기타_가정!$E$104*SUMIF(③기타_가정!$J$97:$J$101,E6,③기타_가정!$I$97:$I$101)+IF(E15=13,③기타_가정!$E$105-③기타_가정!$E$104,0)+IF(E15=25,③기타_가정!$E$106-③기타_가정!$E$105,0))</f>
        <v>0</v>
      </c>
      <c r="F78" s="37" t="n">
        <f aca="false">③기타_가정!$D$38*③기타_가정!$E$98*(③기타_가정!$E$104*SUMIF(③기타_가정!$J$97:$J$101,F6,③기타_가정!$I$97:$I$101)+IF(F15=13,③기타_가정!$E$105-③기타_가정!$E$104,0)+IF(F15=25,③기타_가정!$E$106-③기타_가정!$E$105,0))</f>
        <v>0</v>
      </c>
      <c r="G78" s="37" t="n">
        <f aca="false">③기타_가정!$D$38*③기타_가정!$E$98*(③기타_가정!$E$104*SUMIF(③기타_가정!$J$97:$J$101,G6,③기타_가정!$I$97:$I$101)+IF(G15=13,③기타_가정!$E$105-③기타_가정!$E$104,0)+IF(G15=25,③기타_가정!$E$106-③기타_가정!$E$105,0))</f>
        <v>0</v>
      </c>
      <c r="H78" s="37" t="n">
        <f aca="false">③기타_가정!$D$38*③기타_가정!$E$98*(③기타_가정!$E$104*SUMIF(③기타_가정!$J$97:$J$101,H6,③기타_가정!$I$97:$I$101)+IF(H15=13,③기타_가정!$E$105-③기타_가정!$E$104,0)+IF(H15=25,③기타_가정!$E$106-③기타_가정!$E$105,0))</f>
        <v>0</v>
      </c>
      <c r="I78" s="37" t="n">
        <f aca="false">③기타_가정!$D$38*③기타_가정!$E$98*(③기타_가정!$E$104*SUMIF(③기타_가정!$J$97:$J$101,I6,③기타_가정!$I$97:$I$101)+IF(I15=13,③기타_가정!$E$105-③기타_가정!$E$104,0)+IF(I15=25,③기타_가정!$E$106-③기타_가정!$E$105,0))</f>
        <v>0</v>
      </c>
      <c r="J78" s="37" t="n">
        <f aca="false">③기타_가정!$D$38*③기타_가정!$E$98*(③기타_가정!$E$104*SUMIF(③기타_가정!$J$97:$J$101,J6,③기타_가정!$I$97:$I$101)+IF(J15=13,③기타_가정!$E$105-③기타_가정!$E$104,0)+IF(J15=25,③기타_가정!$E$106-③기타_가정!$E$105,0))</f>
        <v>0</v>
      </c>
      <c r="K78" s="37" t="n">
        <f aca="false">③기타_가정!$D$38*③기타_가정!$E$98*(③기타_가정!$E$104*SUMIF(③기타_가정!$J$97:$J$101,K6,③기타_가정!$I$97:$I$101)+IF(K15=13,③기타_가정!$E$105-③기타_가정!$E$104,0)+IF(K15=25,③기타_가정!$E$106-③기타_가정!$E$105,0))</f>
        <v>0</v>
      </c>
      <c r="L78" s="37" t="n">
        <f aca="false">③기타_가정!$D$38*③기타_가정!$E$98*(③기타_가정!$E$104*SUMIF(③기타_가정!$J$97:$J$101,L6,③기타_가정!$I$97:$I$101)+IF(L15=13,③기타_가정!$E$105-③기타_가정!$E$104,0)+IF(L15=25,③기타_가정!$E$106-③기타_가정!$E$105,0))</f>
        <v>0</v>
      </c>
      <c r="M78" s="37" t="n">
        <f aca="false">③기타_가정!$D$38*③기타_가정!$E$98*(③기타_가정!$E$104*SUMIF(③기타_가정!$J$97:$J$101,M6,③기타_가정!$I$97:$I$101)+IF(M15=13,③기타_가정!$E$105-③기타_가정!$E$104,0)+IF(M15=25,③기타_가정!$E$106-③기타_가정!$E$105,0))</f>
        <v>0</v>
      </c>
      <c r="N78" s="37" t="n">
        <f aca="false">③기타_가정!$D$38*③기타_가정!$E$98*(③기타_가정!$E$104*SUMIF(③기타_가정!$J$97:$J$101,N6,③기타_가정!$I$97:$I$101)+IF(N15=13,③기타_가정!$E$105-③기타_가정!$E$104,0)+IF(N15=25,③기타_가정!$E$106-③기타_가정!$E$105,0))</f>
        <v>0</v>
      </c>
      <c r="O78" s="37" t="n">
        <f aca="false">③기타_가정!$D$38*③기타_가정!$E$98*(③기타_가정!$E$104*SUMIF(③기타_가정!$J$97:$J$101,O6,③기타_가정!$I$97:$I$101)+IF(O15=13,③기타_가정!$E$105-③기타_가정!$E$104,0)+IF(O15=25,③기타_가정!$E$106-③기타_가정!$E$105,0))</f>
        <v>0</v>
      </c>
      <c r="P78" s="37" t="n">
        <f aca="false">③기타_가정!$D$38*③기타_가정!$E$98*(③기타_가정!$E$104*SUMIF(③기타_가정!$J$97:$J$101,P6,③기타_가정!$I$97:$I$101)+IF(P15=13,③기타_가정!$E$105-③기타_가정!$E$104,0)+IF(P15=25,③기타_가정!$E$106-③기타_가정!$E$105,0))</f>
        <v>0</v>
      </c>
      <c r="Q78" s="37" t="n">
        <f aca="false">③기타_가정!$D$38*③기타_가정!$E$98*(③기타_가정!$E$104*SUMIF(③기타_가정!$J$97:$J$101,Q6,③기타_가정!$I$97:$I$101)+IF(Q15=13,③기타_가정!$E$105-③기타_가정!$E$104,0)+IF(Q15=25,③기타_가정!$E$106-③기타_가정!$E$105,0))</f>
        <v>0</v>
      </c>
      <c r="R78" s="37" t="n">
        <f aca="false">③기타_가정!$D$38*③기타_가정!$E$98*(③기타_가정!$E$104*SUMIF(③기타_가정!$J$97:$J$101,R6,③기타_가정!$I$97:$I$101)+IF(R15=13,③기타_가정!$E$105-③기타_가정!$E$104,0)+IF(R15=25,③기타_가정!$E$106-③기타_가정!$E$105,0))</f>
        <v>0</v>
      </c>
      <c r="S78" s="37" t="n">
        <f aca="false">③기타_가정!$D$38*③기타_가정!$E$98*(③기타_가정!$E$104*SUMIF(③기타_가정!$J$97:$J$101,S6,③기타_가정!$I$97:$I$101)+IF(S15=13,③기타_가정!$E$105-③기타_가정!$E$104,0)+IF(S15=25,③기타_가정!$E$106-③기타_가정!$E$105,0))</f>
        <v>0</v>
      </c>
      <c r="T78" s="37" t="n">
        <f aca="false">③기타_가정!$D$38*③기타_가정!$E$98*(③기타_가정!$E$104*SUMIF(③기타_가정!$J$97:$J$101,T6,③기타_가정!$I$97:$I$101)+IF(T15=13,③기타_가정!$E$105-③기타_가정!$E$104,0)+IF(T15=25,③기타_가정!$E$106-③기타_가정!$E$105,0))</f>
        <v>0</v>
      </c>
      <c r="U78" s="37" t="n">
        <f aca="false">③기타_가정!$D$38*③기타_가정!$E$98*(③기타_가정!$E$104*SUMIF(③기타_가정!$J$97:$J$101,U6,③기타_가정!$I$97:$I$101)+IF(U15=13,③기타_가정!$E$105-③기타_가정!$E$104,0)+IF(U15=25,③기타_가정!$E$106-③기타_가정!$E$105,0))</f>
        <v>0</v>
      </c>
      <c r="V78" s="37" t="n">
        <f aca="false">③기타_가정!$D$38*③기타_가정!$E$98*(③기타_가정!$E$104*SUMIF(③기타_가정!$J$97:$J$101,V6,③기타_가정!$I$97:$I$101)+IF(V15=13,③기타_가정!$E$105-③기타_가정!$E$104,0)+IF(V15=25,③기타_가정!$E$106-③기타_가정!$E$105,0))</f>
        <v>0</v>
      </c>
      <c r="W78" s="37" t="n">
        <f aca="false">③기타_가정!$D$38*③기타_가정!$E$98*(③기타_가정!$E$104*SUMIF(③기타_가정!$J$97:$J$101,W6,③기타_가정!$I$97:$I$101)+IF(W15=13,③기타_가정!$E$105-③기타_가정!$E$104,0)+IF(W15=25,③기타_가정!$E$106-③기타_가정!$E$105,0))</f>
        <v>0</v>
      </c>
      <c r="X78" s="37" t="n">
        <f aca="false">③기타_가정!$D$38*③기타_가정!$E$98*(③기타_가정!$E$104*SUMIF(③기타_가정!$J$97:$J$101,X6,③기타_가정!$I$97:$I$101)+IF(X15=13,③기타_가정!$E$105-③기타_가정!$E$104,0)+IF(X15=25,③기타_가정!$E$106-③기타_가정!$E$105,0))</f>
        <v>0</v>
      </c>
      <c r="Y78" s="37" t="n">
        <f aca="false">③기타_가정!$D$38*③기타_가정!$E$98*(③기타_가정!$E$104*SUMIF(③기타_가정!$J$97:$J$101,Y6,③기타_가정!$I$97:$I$101)+IF(Y15=13,③기타_가정!$E$105-③기타_가정!$E$104,0)+IF(Y15=25,③기타_가정!$E$106-③기타_가정!$E$105,0))</f>
        <v>0</v>
      </c>
      <c r="Z78" s="37" t="n">
        <f aca="false">③기타_가정!$D$38*③기타_가정!$E$98*(③기타_가정!$E$104*SUMIF(③기타_가정!$J$97:$J$101,Z6,③기타_가정!$I$97:$I$101)+IF(Z15=13,③기타_가정!$E$105-③기타_가정!$E$104,0)+IF(Z15=25,③기타_가정!$E$106-③기타_가정!$E$105,0))</f>
        <v>0</v>
      </c>
      <c r="AA78" s="37" t="n">
        <f aca="false">③기타_가정!$D$38*③기타_가정!$E$98*(③기타_가정!$E$104*SUMIF(③기타_가정!$J$97:$J$101,AA6,③기타_가정!$I$97:$I$101)+IF(AA15=13,③기타_가정!$E$105-③기타_가정!$E$104,0)+IF(AA15=25,③기타_가정!$E$106-③기타_가정!$E$105,0))</f>
        <v>0</v>
      </c>
      <c r="AB78" s="37" t="n">
        <f aca="false">③기타_가정!$D$38*③기타_가정!$E$98*(③기타_가정!$E$104*SUMIF(③기타_가정!$J$97:$J$101,AB6,③기타_가정!$I$97:$I$101)+IF(AB15=13,③기타_가정!$E$105-③기타_가정!$E$104,0)+IF(AB15=25,③기타_가정!$E$106-③기타_가정!$E$105,0))</f>
        <v>0</v>
      </c>
      <c r="AC78" s="37" t="n">
        <f aca="false">③기타_가정!$D$38*③기타_가정!$E$98*(③기타_가정!$E$104*SUMIF(③기타_가정!$J$97:$J$101,AC6,③기타_가정!$I$97:$I$101)+IF(AC15=13,③기타_가정!$E$105-③기타_가정!$E$104,0)+IF(AC15=25,③기타_가정!$E$106-③기타_가정!$E$105,0))</f>
        <v>0</v>
      </c>
      <c r="AD78" s="37" t="n">
        <f aca="false">③기타_가정!$D$38*③기타_가정!$E$98*(③기타_가정!$E$104*SUMIF(③기타_가정!$J$97:$J$101,AD6,③기타_가정!$I$97:$I$101)+IF(AD15=13,③기타_가정!$E$105-③기타_가정!$E$104,0)+IF(AD15=25,③기타_가정!$E$106-③기타_가정!$E$105,0))</f>
        <v>0</v>
      </c>
      <c r="AE78" s="37" t="n">
        <f aca="false">③기타_가정!$D$38*③기타_가정!$E$98*(③기타_가정!$E$104*SUMIF(③기타_가정!$J$97:$J$101,AE6,③기타_가정!$I$97:$I$101)+IF(AE15=13,③기타_가정!$E$105-③기타_가정!$E$104,0)+IF(AE15=25,③기타_가정!$E$106-③기타_가정!$E$105,0))</f>
        <v>0</v>
      </c>
      <c r="AF78" s="37" t="n">
        <f aca="false">③기타_가정!$D$38*③기타_가정!$E$98*(③기타_가정!$E$104*SUMIF(③기타_가정!$J$97:$J$101,AF6,③기타_가정!$I$97:$I$101)+IF(AF15=13,③기타_가정!$E$105-③기타_가정!$E$104,0)+IF(AF15=25,③기타_가정!$E$106-③기타_가정!$E$105,0))</f>
        <v>0</v>
      </c>
      <c r="AG78" s="37" t="n">
        <f aca="false">③기타_가정!$D$38*③기타_가정!$E$98*(③기타_가정!$E$104*SUMIF(③기타_가정!$J$97:$J$101,AG6,③기타_가정!$I$97:$I$101)+IF(AG15=13,③기타_가정!$E$105-③기타_가정!$E$104,0)+IF(AG15=25,③기타_가정!$E$106-③기타_가정!$E$105,0))</f>
        <v>0</v>
      </c>
      <c r="AH78" s="37" t="n">
        <f aca="false">③기타_가정!$D$38*③기타_가정!$E$98*(③기타_가정!$E$104*SUMIF(③기타_가정!$J$97:$J$101,AH6,③기타_가정!$I$97:$I$101)+IF(AH15=13,③기타_가정!$E$105-③기타_가정!$E$104,0)+IF(AH15=25,③기타_가정!$E$106-③기타_가정!$E$105,0))</f>
        <v>0</v>
      </c>
      <c r="AI78" s="37" t="n">
        <f aca="false">③기타_가정!$D$38*③기타_가정!$E$98*(③기타_가정!$E$104*SUMIF(③기타_가정!$J$97:$J$101,AI6,③기타_가정!$I$97:$I$101)+IF(AI15=13,③기타_가정!$E$105-③기타_가정!$E$104,0)+IF(AI15=25,③기타_가정!$E$106-③기타_가정!$E$105,0))</f>
        <v>0</v>
      </c>
      <c r="AJ78" s="37" t="n">
        <f aca="false">③기타_가정!$D$38*③기타_가정!$E$98*(③기타_가정!$E$104*SUMIF(③기타_가정!$J$97:$J$101,AJ6,③기타_가정!$I$97:$I$101)+IF(AJ15=13,③기타_가정!$E$105-③기타_가정!$E$104,0)+IF(AJ15=25,③기타_가정!$E$106-③기타_가정!$E$105,0))</f>
        <v>0</v>
      </c>
      <c r="AK78" s="37" t="n">
        <f aca="false">③기타_가정!$D$38*③기타_가정!$E$98*(③기타_가정!$E$104*SUMIF(③기타_가정!$J$97:$J$101,AK6,③기타_가정!$I$97:$I$101)+IF(AK15=13,③기타_가정!$E$105-③기타_가정!$E$104,0)+IF(AK15=25,③기타_가정!$E$106-③기타_가정!$E$105,0))</f>
        <v>0</v>
      </c>
      <c r="AL78" s="37" t="n">
        <f aca="false">③기타_가정!$D$38*③기타_가정!$E$98*(③기타_가정!$E$104*SUMIF(③기타_가정!$J$97:$J$101,AL6,③기타_가정!$I$97:$I$101)+IF(AL15=13,③기타_가정!$E$105-③기타_가정!$E$104,0)+IF(AL15=25,③기타_가정!$E$106-③기타_가정!$E$105,0))</f>
        <v>0</v>
      </c>
      <c r="AM78" s="37" t="n">
        <f aca="false">③기타_가정!$D$38*③기타_가정!$E$98*(③기타_가정!$E$104*SUMIF(③기타_가정!$J$97:$J$101,AM6,③기타_가정!$I$97:$I$101)+IF(AM15=13,③기타_가정!$E$105-③기타_가정!$E$104,0)+IF(AM15=25,③기타_가정!$E$106-③기타_가정!$E$105,0))</f>
        <v>0</v>
      </c>
      <c r="AN78" s="37" t="n">
        <f aca="false">③기타_가정!$D$38*③기타_가정!$E$98*(③기타_가정!$E$104*SUMIF(③기타_가정!$J$97:$J$101,AN6,③기타_가정!$I$97:$I$101)+IF(AN15=13,③기타_가정!$E$105-③기타_가정!$E$104,0)+IF(AN15=25,③기타_가정!$E$106-③기타_가정!$E$105,0))</f>
        <v>0</v>
      </c>
      <c r="AO78" s="37" t="n">
        <f aca="false">③기타_가정!$D$38*③기타_가정!$E$98*(③기타_가정!$E$104*SUMIF(③기타_가정!$J$97:$J$101,AO6,③기타_가정!$I$97:$I$101)+IF(AO15=13,③기타_가정!$E$105-③기타_가정!$E$104,0)+IF(AO15=25,③기타_가정!$E$106-③기타_가정!$E$105,0))</f>
        <v>0</v>
      </c>
      <c r="AP78" s="37" t="n">
        <f aca="false">③기타_가정!$D$38*③기타_가정!$E$98*(③기타_가정!$E$104*SUMIF(③기타_가정!$J$97:$J$101,AP6,③기타_가정!$I$97:$I$101)+IF(AP15=13,③기타_가정!$E$105-③기타_가정!$E$104,0)+IF(AP15=25,③기타_가정!$E$106-③기타_가정!$E$105,0))</f>
        <v>0</v>
      </c>
      <c r="AQ78" s="37" t="n">
        <f aca="false">③기타_가정!$D$38*③기타_가정!$E$98*(③기타_가정!$E$104*SUMIF(③기타_가정!$J$97:$J$101,AQ6,③기타_가정!$I$97:$I$101)+IF(AQ15=13,③기타_가정!$E$105-③기타_가정!$E$104,0)+IF(AQ15=25,③기타_가정!$E$106-③기타_가정!$E$105,0))</f>
        <v>0</v>
      </c>
      <c r="AR78" s="37" t="n">
        <f aca="false">③기타_가정!$D$38*③기타_가정!$E$98*(③기타_가정!$E$104*SUMIF(③기타_가정!$J$97:$J$101,AR6,③기타_가정!$I$97:$I$101)+IF(AR15=13,③기타_가정!$E$105-③기타_가정!$E$104,0)+IF(AR15=25,③기타_가정!$E$106-③기타_가정!$E$105,0))</f>
        <v>0</v>
      </c>
      <c r="AS78" s="37" t="n">
        <f aca="false">③기타_가정!$D$38*③기타_가정!$E$98*(③기타_가정!$E$104*SUMIF(③기타_가정!$J$97:$J$101,AS6,③기타_가정!$I$97:$I$101)+IF(AS15=13,③기타_가정!$E$105-③기타_가정!$E$104,0)+IF(AS15=25,③기타_가정!$E$106-③기타_가정!$E$105,0))</f>
        <v>0</v>
      </c>
      <c r="AT78" s="37" t="n">
        <f aca="false">③기타_가정!$D$38*③기타_가정!$E$98*(③기타_가정!$E$104*SUMIF(③기타_가정!$J$97:$J$101,AT6,③기타_가정!$I$97:$I$101)+IF(AT15=13,③기타_가정!$E$105-③기타_가정!$E$104,0)+IF(AT15=25,③기타_가정!$E$106-③기타_가정!$E$105,0))</f>
        <v>0</v>
      </c>
      <c r="AU78" s="37" t="n">
        <f aca="false">③기타_가정!$D$38*③기타_가정!$E$98*(③기타_가정!$E$104*SUMIF(③기타_가정!$J$97:$J$101,AU6,③기타_가정!$I$97:$I$101)+IF(AU15=13,③기타_가정!$E$105-③기타_가정!$E$104,0)+IF(AU15=25,③기타_가정!$E$106-③기타_가정!$E$105,0))</f>
        <v>0</v>
      </c>
      <c r="AV78" s="37" t="n">
        <f aca="false">③기타_가정!$D$38*③기타_가정!$E$98*(③기타_가정!$E$104*SUMIF(③기타_가정!$J$97:$J$101,AV6,③기타_가정!$I$97:$I$101)+IF(AV15=13,③기타_가정!$E$105-③기타_가정!$E$104,0)+IF(AV15=25,③기타_가정!$E$106-③기타_가정!$E$105,0))</f>
        <v>0</v>
      </c>
      <c r="AW78" s="37" t="n">
        <f aca="false">③기타_가정!$D$38*③기타_가정!$E$98*(③기타_가정!$E$104*SUMIF(③기타_가정!$J$97:$J$101,AW6,③기타_가정!$I$97:$I$101)+IF(AW15=13,③기타_가정!$E$105-③기타_가정!$E$104,0)+IF(AW15=25,③기타_가정!$E$106-③기타_가정!$E$105,0))</f>
        <v>0</v>
      </c>
      <c r="AX78" s="37" t="n">
        <f aca="false">③기타_가정!$D$38*③기타_가정!$E$98*(③기타_가정!$E$104*SUMIF(③기타_가정!$J$97:$J$101,AX6,③기타_가정!$I$97:$I$101)+IF(AX15=13,③기타_가정!$E$105-③기타_가정!$E$104,0)+IF(AX15=25,③기타_가정!$E$106-③기타_가정!$E$105,0))</f>
        <v>0</v>
      </c>
      <c r="AY78" s="37" t="n">
        <f aca="false">③기타_가정!$D$38*③기타_가정!$E$98*(③기타_가정!$E$104*SUMIF(③기타_가정!$J$97:$J$101,AY6,③기타_가정!$I$97:$I$101)+IF(AY15=13,③기타_가정!$E$105-③기타_가정!$E$104,0)+IF(AY15=25,③기타_가정!$E$106-③기타_가정!$E$105,0))</f>
        <v>0</v>
      </c>
      <c r="AZ78" s="37" t="n">
        <f aca="false">③기타_가정!$D$38*③기타_가정!$E$98*(③기타_가정!$E$104*SUMIF(③기타_가정!$J$97:$J$101,AZ6,③기타_가정!$I$97:$I$101)+IF(AZ15=13,③기타_가정!$E$105-③기타_가정!$E$104,0)+IF(AZ15=25,③기타_가정!$E$106-③기타_가정!$E$105,0))</f>
        <v>0</v>
      </c>
      <c r="BA78" s="37" t="n">
        <f aca="false">③기타_가정!$D$38*③기타_가정!$E$98*(③기타_가정!$E$104*SUMIF(③기타_가정!$J$97:$J$101,BA6,③기타_가정!$I$97:$I$101)+IF(BA15=13,③기타_가정!$E$105-③기타_가정!$E$104,0)+IF(BA15=25,③기타_가정!$E$106-③기타_가정!$E$105,0))</f>
        <v>0</v>
      </c>
      <c r="BB78" s="37" t="n">
        <f aca="false">③기타_가정!$D$38*③기타_가정!$E$98*(③기타_가정!$E$104*SUMIF(③기타_가정!$J$97:$J$101,BB6,③기타_가정!$I$97:$I$101)+IF(BB15=13,③기타_가정!$E$105-③기타_가정!$E$104,0)+IF(BB15=25,③기타_가정!$E$106-③기타_가정!$E$105,0))</f>
        <v>0</v>
      </c>
      <c r="BC78" s="37" t="n">
        <f aca="false">③기타_가정!$D$38*③기타_가정!$E$98*(③기타_가정!$E$104*SUMIF(③기타_가정!$J$97:$J$101,BC6,③기타_가정!$I$97:$I$101)+IF(BC15=13,③기타_가정!$E$105-③기타_가정!$E$104,0)+IF(BC15=25,③기타_가정!$E$106-③기타_가정!$E$105,0))</f>
        <v>0</v>
      </c>
      <c r="BD78" s="37" t="n">
        <f aca="false">③기타_가정!$D$38*③기타_가정!$E$98*(③기타_가정!$E$104*SUMIF(③기타_가정!$J$97:$J$101,BD6,③기타_가정!$I$97:$I$101)+IF(BD15=13,③기타_가정!$E$105-③기타_가정!$E$104,0)+IF(BD15=25,③기타_가정!$E$106-③기타_가정!$E$105,0))</f>
        <v>0</v>
      </c>
      <c r="BE78" s="37" t="n">
        <f aca="false">③기타_가정!$D$38*③기타_가정!$E$98*(③기타_가정!$E$104*SUMIF(③기타_가정!$J$97:$J$101,BE6,③기타_가정!$I$97:$I$101)+IF(BE15=13,③기타_가정!$E$105-③기타_가정!$E$104,0)+IF(BE15=25,③기타_가정!$E$106-③기타_가정!$E$105,0))</f>
        <v>0</v>
      </c>
      <c r="BF78" s="37" t="n">
        <f aca="false">③기타_가정!$D$38*③기타_가정!$E$98*(③기타_가정!$E$104*SUMIF(③기타_가정!$J$97:$J$101,BF6,③기타_가정!$I$97:$I$101)+IF(BF15=13,③기타_가정!$E$105-③기타_가정!$E$104,0)+IF(BF15=25,③기타_가정!$E$106-③기타_가정!$E$105,0))</f>
        <v>0</v>
      </c>
      <c r="BG78" s="37" t="n">
        <f aca="false">③기타_가정!$D$38*③기타_가정!$E$98*(③기타_가정!$E$104*SUMIF(③기타_가정!$J$97:$J$101,BG6,③기타_가정!$I$97:$I$101)+IF(BG15=13,③기타_가정!$E$105-③기타_가정!$E$104,0)+IF(BG15=25,③기타_가정!$E$106-③기타_가정!$E$105,0))</f>
        <v>0</v>
      </c>
      <c r="BH78" s="37" t="n">
        <f aca="false">③기타_가정!$D$38*③기타_가정!$E$98*(③기타_가정!$E$104*SUMIF(③기타_가정!$J$97:$J$101,BH6,③기타_가정!$I$97:$I$101)+IF(BH15=13,③기타_가정!$E$105-③기타_가정!$E$104,0)+IF(BH15=25,③기타_가정!$E$106-③기타_가정!$E$105,0))</f>
        <v>0</v>
      </c>
      <c r="BI78" s="37" t="n">
        <f aca="false">③기타_가정!$D$38*③기타_가정!$E$98*(③기타_가정!$E$104*SUMIF(③기타_가정!$J$97:$J$101,BI6,③기타_가정!$I$97:$I$101)+IF(BI15=13,③기타_가정!$E$105-③기타_가정!$E$104,0)+IF(BI15=25,③기타_가정!$E$106-③기타_가정!$E$105,0))</f>
        <v>0</v>
      </c>
      <c r="BJ78" s="37" t="n">
        <f aca="false">③기타_가정!$D$38*③기타_가정!$E$98*(③기타_가정!$E$104*SUMIF(③기타_가정!$J$97:$J$101,BJ6,③기타_가정!$I$97:$I$101)+IF(BJ15=13,③기타_가정!$E$105-③기타_가정!$E$104,0)+IF(BJ15=25,③기타_가정!$E$106-③기타_가정!$E$105,0))</f>
        <v>0</v>
      </c>
      <c r="BK78" s="37" t="n">
        <f aca="false">③기타_가정!$D$38*③기타_가정!$E$98*(③기타_가정!$E$104*SUMIF(③기타_가정!$J$97:$J$101,BK6,③기타_가정!$I$97:$I$101)+IF(BK15=13,③기타_가정!$E$105-③기타_가정!$E$104,0)+IF(BK15=25,③기타_가정!$E$106-③기타_가정!$E$105,0))</f>
        <v>0</v>
      </c>
      <c r="BL78" s="37" t="n">
        <f aca="false">③기타_가정!$D$38*③기타_가정!$E$98*(③기타_가정!$E$104*SUMIF(③기타_가정!$J$97:$J$101,BL6,③기타_가정!$I$97:$I$101)+IF(BL15=13,③기타_가정!$E$105-③기타_가정!$E$104,0)+IF(BL15=25,③기타_가정!$E$106-③기타_가정!$E$105,0))</f>
        <v>0</v>
      </c>
      <c r="BM78" s="37" t="n">
        <f aca="false">③기타_가정!$D$38*③기타_가정!$E$98*(③기타_가정!$E$104*SUMIF(③기타_가정!$J$97:$J$101,BM6,③기타_가정!$I$97:$I$101)+IF(BM15=13,③기타_가정!$E$105-③기타_가정!$E$104,0)+IF(BM15=25,③기타_가정!$E$106-③기타_가정!$E$105,0))</f>
        <v>0</v>
      </c>
      <c r="BN78" s="37" t="n">
        <f aca="false">③기타_가정!$D$38*③기타_가정!$E$98*(③기타_가정!$E$104*SUMIF(③기타_가정!$J$97:$J$101,BN6,③기타_가정!$I$97:$I$101)+IF(BN15=13,③기타_가정!$E$105-③기타_가정!$E$104,0)+IF(BN15=25,③기타_가정!$E$106-③기타_가정!$E$105,0))</f>
        <v>0</v>
      </c>
      <c r="BO78" s="37" t="n">
        <f aca="false">③기타_가정!$D$38*③기타_가정!$E$98*(③기타_가정!$E$104*SUMIF(③기타_가정!$J$97:$J$101,BO6,③기타_가정!$I$97:$I$101)+IF(BO15=13,③기타_가정!$E$105-③기타_가정!$E$104,0)+IF(BO15=25,③기타_가정!$E$106-③기타_가정!$E$105,0))</f>
        <v>0</v>
      </c>
      <c r="BP78" s="37" t="n">
        <f aca="false">③기타_가정!$D$38*③기타_가정!$E$98*(③기타_가정!$E$104*SUMIF(③기타_가정!$J$97:$J$101,BP6,③기타_가정!$I$97:$I$101)+IF(BP15=13,③기타_가정!$E$105-③기타_가정!$E$104,0)+IF(BP15=25,③기타_가정!$E$106-③기타_가정!$E$105,0))</f>
        <v>0</v>
      </c>
      <c r="BQ78" s="37" t="n">
        <f aca="false">③기타_가정!$D$38*③기타_가정!$E$98*(③기타_가정!$E$104*SUMIF(③기타_가정!$J$97:$J$101,BQ6,③기타_가정!$I$97:$I$101)+IF(BQ15=13,③기타_가정!$E$105-③기타_가정!$E$104,0)+IF(BQ15=25,③기타_가정!$E$106-③기타_가정!$E$105,0))</f>
        <v>0</v>
      </c>
      <c r="BR78" s="37" t="n">
        <f aca="false">③기타_가정!$D$38*③기타_가정!$E$98*(③기타_가정!$E$104*SUMIF(③기타_가정!$J$97:$J$101,BR6,③기타_가정!$I$97:$I$101)+IF(BR15=13,③기타_가정!$E$105-③기타_가정!$E$104,0)+IF(BR15=25,③기타_가정!$E$106-③기타_가정!$E$105,0))</f>
        <v>0</v>
      </c>
      <c r="BS78" s="37" t="n">
        <f aca="false">③기타_가정!$D$38*③기타_가정!$E$98*(③기타_가정!$E$104*SUMIF(③기타_가정!$J$97:$J$101,BS6,③기타_가정!$I$97:$I$101)+IF(BS15=13,③기타_가정!$E$105-③기타_가정!$E$104,0)+IF(BS15=25,③기타_가정!$E$106-③기타_가정!$E$105,0))</f>
        <v>0</v>
      </c>
      <c r="BT78" s="37" t="n">
        <f aca="false">③기타_가정!$D$38*③기타_가정!$E$98*(③기타_가정!$E$104*SUMIF(③기타_가정!$J$97:$J$101,BT6,③기타_가정!$I$97:$I$101)+IF(BT15=13,③기타_가정!$E$105-③기타_가정!$E$104,0)+IF(BT15=25,③기타_가정!$E$106-③기타_가정!$E$105,0))</f>
        <v>0</v>
      </c>
      <c r="BU78" s="37" t="n">
        <f aca="false">③기타_가정!$D$38*③기타_가정!$E$98*(③기타_가정!$E$104*SUMIF(③기타_가정!$J$97:$J$101,BU6,③기타_가정!$I$97:$I$101)+IF(BU15=13,③기타_가정!$E$105-③기타_가정!$E$104,0)+IF(BU15=25,③기타_가정!$E$106-③기타_가정!$E$105,0))</f>
        <v>0</v>
      </c>
      <c r="BV78" s="37" t="n">
        <f aca="false">③기타_가정!$D$38*③기타_가정!$E$98*(③기타_가정!$E$104*SUMIF(③기타_가정!$J$97:$J$101,BV6,③기타_가정!$I$97:$I$101)+IF(BV15=13,③기타_가정!$E$105-③기타_가정!$E$104,0)+IF(BV15=25,③기타_가정!$E$106-③기타_가정!$E$105,0))</f>
        <v>0</v>
      </c>
      <c r="BW78" s="37" t="n">
        <f aca="false">③기타_가정!$D$38*③기타_가정!$E$98*(③기타_가정!$E$104*SUMIF(③기타_가정!$J$97:$J$101,BW6,③기타_가정!$I$97:$I$101)+IF(BW15=13,③기타_가정!$E$105-③기타_가정!$E$104,0)+IF(BW15=25,③기타_가정!$E$106-③기타_가정!$E$105,0))</f>
        <v>0</v>
      </c>
      <c r="BX78" s="37" t="n">
        <f aca="false">③기타_가정!$D$38*③기타_가정!$E$98*(③기타_가정!$E$104*SUMIF(③기타_가정!$J$97:$J$101,BX6,③기타_가정!$I$97:$I$101)+IF(BX15=13,③기타_가정!$E$105-③기타_가정!$E$104,0)+IF(BX15=25,③기타_가정!$E$106-③기타_가정!$E$105,0))</f>
        <v>0</v>
      </c>
      <c r="BY78" s="37" t="n">
        <f aca="false">③기타_가정!$D$38*③기타_가정!$E$98*(③기타_가정!$E$104*SUMIF(③기타_가정!$J$97:$J$101,BY6,③기타_가정!$I$97:$I$101)+IF(BY15=13,③기타_가정!$E$105-③기타_가정!$E$104,0)+IF(BY15=25,③기타_가정!$E$106-③기타_가정!$E$105,0))</f>
        <v>0</v>
      </c>
      <c r="BZ78" s="37" t="n">
        <f aca="false">③기타_가정!$D$38*③기타_가정!$E$98*(③기타_가정!$E$104*SUMIF(③기타_가정!$J$97:$J$101,BZ6,③기타_가정!$I$97:$I$101)+IF(BZ15=13,③기타_가정!$E$105-③기타_가정!$E$104,0)+IF(BZ15=25,③기타_가정!$E$106-③기타_가정!$E$105,0))</f>
        <v>0</v>
      </c>
      <c r="CA78" s="37" t="n">
        <f aca="false">③기타_가정!$D$38*③기타_가정!$E$98*(③기타_가정!$E$104*SUMIF(③기타_가정!$J$97:$J$101,CA6,③기타_가정!$I$97:$I$101)+IF(CA15=13,③기타_가정!$E$105-③기타_가정!$E$104,0)+IF(CA15=25,③기타_가정!$E$106-③기타_가정!$E$105,0))</f>
        <v>0</v>
      </c>
      <c r="CB78" s="37" t="n">
        <f aca="false">③기타_가정!$D$38*③기타_가정!$E$98*(③기타_가정!$E$104*SUMIF(③기타_가정!$J$97:$J$101,CB6,③기타_가정!$I$97:$I$101)+IF(CB15=13,③기타_가정!$E$105-③기타_가정!$E$104,0)+IF(CB15=25,③기타_가정!$E$106-③기타_가정!$E$105,0))</f>
        <v>0</v>
      </c>
      <c r="CC78" s="37" t="n">
        <f aca="false">③기타_가정!$D$38*③기타_가정!$E$98*(③기타_가정!$E$104*SUMIF(③기타_가정!$J$97:$J$101,CC6,③기타_가정!$I$97:$I$101)+IF(CC15=13,③기타_가정!$E$105-③기타_가정!$E$104,0)+IF(CC15=25,③기타_가정!$E$106-③기타_가정!$E$105,0))</f>
        <v>0</v>
      </c>
      <c r="CD78" s="37" t="n">
        <f aca="false">③기타_가정!$D$38*③기타_가정!$E$98*(③기타_가정!$E$104*SUMIF(③기타_가정!$J$97:$J$101,CD6,③기타_가정!$I$97:$I$101)+IF(CD15=13,③기타_가정!$E$105-③기타_가정!$E$104,0)+IF(CD15=25,③기타_가정!$E$106-③기타_가정!$E$105,0))</f>
        <v>0</v>
      </c>
      <c r="CE78" s="37" t="n">
        <f aca="false">③기타_가정!$D$38*③기타_가정!$E$98*(③기타_가정!$E$104*SUMIF(③기타_가정!$J$97:$J$101,CE6,③기타_가정!$I$97:$I$101)+IF(CE15=13,③기타_가정!$E$105-③기타_가정!$E$104,0)+IF(CE15=25,③기타_가정!$E$106-③기타_가정!$E$105,0))</f>
        <v>0</v>
      </c>
      <c r="CF78" s="37" t="n">
        <f aca="false">③기타_가정!$D$38*③기타_가정!$E$98*(③기타_가정!$E$104*SUMIF(③기타_가정!$J$97:$J$101,CF6,③기타_가정!$I$97:$I$101)+IF(CF15=13,③기타_가정!$E$105-③기타_가정!$E$104,0)+IF(CF15=25,③기타_가정!$E$106-③기타_가정!$E$105,0))</f>
        <v>0</v>
      </c>
      <c r="CG78" s="37" t="n">
        <f aca="false">③기타_가정!$D$38*③기타_가정!$E$98*(③기타_가정!$E$104*SUMIF(③기타_가정!$J$97:$J$101,CG6,③기타_가정!$I$97:$I$101)+IF(CG15=13,③기타_가정!$E$105-③기타_가정!$E$104,0)+IF(CG15=25,③기타_가정!$E$106-③기타_가정!$E$105,0))</f>
        <v>0</v>
      </c>
      <c r="CH78" s="37" t="n">
        <f aca="false">③기타_가정!$D$38*③기타_가정!$E$98*(③기타_가정!$E$104*SUMIF(③기타_가정!$J$97:$J$101,CH6,③기타_가정!$I$97:$I$101)+IF(CH15=13,③기타_가정!$E$105-③기타_가정!$E$104,0)+IF(CH15=25,③기타_가정!$E$106-③기타_가정!$E$105,0))</f>
        <v>0</v>
      </c>
      <c r="CI78" s="37" t="n">
        <f aca="false">③기타_가정!$D$38*③기타_가정!$E$98*(③기타_가정!$E$104*SUMIF(③기타_가정!$J$97:$J$101,CI6,③기타_가정!$I$97:$I$101)+IF(CI15=13,③기타_가정!$E$105-③기타_가정!$E$104,0)+IF(CI15=25,③기타_가정!$E$106-③기타_가정!$E$105,0))</f>
        <v>0</v>
      </c>
      <c r="CJ78" s="37" t="n">
        <f aca="false">③기타_가정!$D$38*③기타_가정!$E$98*(③기타_가정!$E$104*SUMIF(③기타_가정!$J$97:$J$101,CJ6,③기타_가정!$I$97:$I$101)+IF(CJ15=13,③기타_가정!$E$105-③기타_가정!$E$104,0)+IF(CJ15=25,③기타_가정!$E$106-③기타_가정!$E$105,0))</f>
        <v>0</v>
      </c>
      <c r="CK78" s="37" t="n">
        <f aca="false">③기타_가정!$D$38*③기타_가정!$E$98*(③기타_가정!$E$104*SUMIF(③기타_가정!$J$97:$J$101,CK6,③기타_가정!$I$97:$I$101)+IF(CK15=13,③기타_가정!$E$105-③기타_가정!$E$104,0)+IF(CK15=25,③기타_가정!$E$106-③기타_가정!$E$105,0))</f>
        <v>0</v>
      </c>
      <c r="CL78" s="37" t="n">
        <f aca="false">③기타_가정!$D$38*③기타_가정!$E$98*(③기타_가정!$E$104*SUMIF(③기타_가정!$J$97:$J$101,CL6,③기타_가정!$I$97:$I$101)+IF(CL15=13,③기타_가정!$E$105-③기타_가정!$E$104,0)+IF(CL15=25,③기타_가정!$E$106-③기타_가정!$E$105,0))</f>
        <v>0</v>
      </c>
      <c r="CM78" s="37" t="n">
        <f aca="false">③기타_가정!$D$38*③기타_가정!$E$98*(③기타_가정!$E$104*SUMIF(③기타_가정!$J$97:$J$101,CM6,③기타_가정!$I$97:$I$101)+IF(CM15=13,③기타_가정!$E$105-③기타_가정!$E$104,0)+IF(CM15=25,③기타_가정!$E$106-③기타_가정!$E$105,0))</f>
        <v>0</v>
      </c>
      <c r="CN78" s="37" t="n">
        <f aca="false">③기타_가정!$D$38*③기타_가정!$E$98*(③기타_가정!$E$104*SUMIF(③기타_가정!$J$97:$J$101,CN6,③기타_가정!$I$97:$I$101)+IF(CN15=13,③기타_가정!$E$105-③기타_가정!$E$104,0)+IF(CN15=25,③기타_가정!$E$106-③기타_가정!$E$105,0))</f>
        <v>0</v>
      </c>
      <c r="CO78" s="37" t="n">
        <f aca="false">③기타_가정!$D$38*③기타_가정!$E$98*(③기타_가정!$E$104*SUMIF(③기타_가정!$J$97:$J$101,CO6,③기타_가정!$I$97:$I$101)+IF(CO15=13,③기타_가정!$E$105-③기타_가정!$E$104,0)+IF(CO15=25,③기타_가정!$E$106-③기타_가정!$E$105,0))</f>
        <v>0</v>
      </c>
      <c r="CP78" s="37" t="n">
        <f aca="false">③기타_가정!$D$38*③기타_가정!$E$98*(③기타_가정!$E$104*SUMIF(③기타_가정!$J$97:$J$101,CP6,③기타_가정!$I$97:$I$101)+IF(CP15=13,③기타_가정!$E$105-③기타_가정!$E$104,0)+IF(CP15=25,③기타_가정!$E$106-③기타_가정!$E$105,0))</f>
        <v>0</v>
      </c>
      <c r="CQ78" s="37" t="n">
        <f aca="false">③기타_가정!$D$38*③기타_가정!$E$98*(③기타_가정!$E$104*SUMIF(③기타_가정!$J$97:$J$101,CQ6,③기타_가정!$I$97:$I$101)+IF(CQ15=13,③기타_가정!$E$105-③기타_가정!$E$104,0)+IF(CQ15=25,③기타_가정!$E$106-③기타_가정!$E$105,0))</f>
        <v>0</v>
      </c>
      <c r="CR78" s="37" t="n">
        <f aca="false">③기타_가정!$D$38*③기타_가정!$E$98*(③기타_가정!$E$104*SUMIF(③기타_가정!$J$97:$J$101,CR6,③기타_가정!$I$97:$I$101)+IF(CR15=13,③기타_가정!$E$105-③기타_가정!$E$104,0)+IF(CR15=25,③기타_가정!$E$106-③기타_가정!$E$105,0))</f>
        <v>0</v>
      </c>
      <c r="CS78" s="37" t="n">
        <f aca="false">③기타_가정!$D$38*③기타_가정!$E$98*(③기타_가정!$E$104*SUMIF(③기타_가정!$J$97:$J$101,CS6,③기타_가정!$I$97:$I$101)+IF(CS15=13,③기타_가정!$E$105-③기타_가정!$E$104,0)+IF(CS15=25,③기타_가정!$E$106-③기타_가정!$E$105,0))</f>
        <v>0</v>
      </c>
      <c r="CT78" s="37" t="n">
        <f aca="false">③기타_가정!$D$38*③기타_가정!$E$98*(③기타_가정!$E$104*SUMIF(③기타_가정!$J$97:$J$101,CT6,③기타_가정!$I$97:$I$101)+IF(CT15=13,③기타_가정!$E$105-③기타_가정!$E$104,0)+IF(CT15=25,③기타_가정!$E$106-③기타_가정!$E$105,0))</f>
        <v>0</v>
      </c>
      <c r="CU78" s="37" t="n">
        <f aca="false">③기타_가정!$D$38*③기타_가정!$E$98*(③기타_가정!$E$104*SUMIF(③기타_가정!$J$97:$J$101,CU6,③기타_가정!$I$97:$I$101)+IF(CU15=13,③기타_가정!$E$105-③기타_가정!$E$104,0)+IF(CU15=25,③기타_가정!$E$106-③기타_가정!$E$105,0))</f>
        <v>0</v>
      </c>
      <c r="CV78" s="37" t="n">
        <f aca="false">③기타_가정!$D$38*③기타_가정!$E$98*(③기타_가정!$E$104*SUMIF(③기타_가정!$J$97:$J$101,CV6,③기타_가정!$I$97:$I$101)+IF(CV15=13,③기타_가정!$E$105-③기타_가정!$E$104,0)+IF(CV15=25,③기타_가정!$E$106-③기타_가정!$E$105,0))</f>
        <v>0</v>
      </c>
      <c r="CW78" s="37" t="n">
        <f aca="false">③기타_가정!$D$38*③기타_가정!$E$98*(③기타_가정!$E$104*SUMIF(③기타_가정!$J$97:$J$101,CW6,③기타_가정!$I$97:$I$101)+IF(CW15=13,③기타_가정!$E$105-③기타_가정!$E$104,0)+IF(CW15=25,③기타_가정!$E$106-③기타_가정!$E$105,0))</f>
        <v>0</v>
      </c>
      <c r="CX78" s="37" t="n">
        <f aca="false">③기타_가정!$D$38*③기타_가정!$E$98*(③기타_가정!$E$104*SUMIF(③기타_가정!$J$97:$J$101,CX6,③기타_가정!$I$97:$I$101)+IF(CX15=13,③기타_가정!$E$105-③기타_가정!$E$104,0)+IF(CX15=25,③기타_가정!$E$106-③기타_가정!$E$105,0))</f>
        <v>0</v>
      </c>
      <c r="CY78" s="37" t="n">
        <f aca="false">③기타_가정!$D$38*③기타_가정!$E$98*(③기타_가정!$E$104*SUMIF(③기타_가정!$J$97:$J$101,CY6,③기타_가정!$I$97:$I$101)+IF(CY15=13,③기타_가정!$E$105-③기타_가정!$E$104,0)+IF(CY15=25,③기타_가정!$E$106-③기타_가정!$E$105,0))</f>
        <v>0</v>
      </c>
      <c r="CZ78" s="37" t="n">
        <f aca="false">③기타_가정!$D$38*③기타_가정!$E$98*(③기타_가정!$E$104*SUMIF(③기타_가정!$J$97:$J$101,CZ6,③기타_가정!$I$97:$I$101)+IF(CZ15=13,③기타_가정!$E$105-③기타_가정!$E$104,0)+IF(CZ15=25,③기타_가정!$E$106-③기타_가정!$E$105,0))</f>
        <v>0</v>
      </c>
      <c r="DA78" s="37" t="n">
        <f aca="false">③기타_가정!$D$38*③기타_가정!$E$98*(③기타_가정!$E$104*SUMIF(③기타_가정!$J$97:$J$101,DA6,③기타_가정!$I$97:$I$101)+IF(DA15=13,③기타_가정!$E$105-③기타_가정!$E$104,0)+IF(DA15=25,③기타_가정!$E$106-③기타_가정!$E$105,0))</f>
        <v>0</v>
      </c>
      <c r="DB78" s="37" t="n">
        <f aca="false">③기타_가정!$D$38*③기타_가정!$E$98*(③기타_가정!$E$104*SUMIF(③기타_가정!$J$97:$J$101,DB6,③기타_가정!$I$97:$I$101)+IF(DB15=13,③기타_가정!$E$105-③기타_가정!$E$104,0)+IF(DB15=25,③기타_가정!$E$106-③기타_가정!$E$105,0))</f>
        <v>0</v>
      </c>
      <c r="DC78" s="37" t="n">
        <f aca="false">③기타_가정!$D$38*③기타_가정!$E$98*(③기타_가정!$E$104*SUMIF(③기타_가정!$J$97:$J$101,DC6,③기타_가정!$I$97:$I$101)+IF(DC15=13,③기타_가정!$E$105-③기타_가정!$E$104,0)+IF(DC15=25,③기타_가정!$E$106-③기타_가정!$E$105,0))</f>
        <v>0</v>
      </c>
      <c r="DD78" s="37" t="n">
        <f aca="false">③기타_가정!$D$38*③기타_가정!$E$98*(③기타_가정!$E$104*SUMIF(③기타_가정!$J$97:$J$101,DD6,③기타_가정!$I$97:$I$101)+IF(DD15=13,③기타_가정!$E$105-③기타_가정!$E$104,0)+IF(DD15=25,③기타_가정!$E$106-③기타_가정!$E$105,0))</f>
        <v>0</v>
      </c>
      <c r="DE78" s="37" t="n">
        <f aca="false">③기타_가정!$D$38*③기타_가정!$E$98*(③기타_가정!$E$104*SUMIF(③기타_가정!$J$97:$J$101,DE6,③기타_가정!$I$97:$I$101)+IF(DE15=13,③기타_가정!$E$105-③기타_가정!$E$104,0)+IF(DE15=25,③기타_가정!$E$106-③기타_가정!$E$105,0))</f>
        <v>0</v>
      </c>
      <c r="DF78" s="37" t="n">
        <f aca="false">③기타_가정!$D$38*③기타_가정!$E$98*(③기타_가정!$E$104*SUMIF(③기타_가정!$J$97:$J$101,DF6,③기타_가정!$I$97:$I$101)+IF(DF15=13,③기타_가정!$E$105-③기타_가정!$E$104,0)+IF(DF15=25,③기타_가정!$E$106-③기타_가정!$E$105,0))</f>
        <v>0</v>
      </c>
      <c r="DG78" s="37" t="n">
        <f aca="false">③기타_가정!$D$38*③기타_가정!$E$98*(③기타_가정!$E$104*SUMIF(③기타_가정!$J$97:$J$101,DG6,③기타_가정!$I$97:$I$101)+IF(DG15=13,③기타_가정!$E$105-③기타_가정!$E$104,0)+IF(DG15=25,③기타_가정!$E$106-③기타_가정!$E$105,0))</f>
        <v>0</v>
      </c>
      <c r="DH78" s="37" t="n">
        <f aca="false">③기타_가정!$D$38*③기타_가정!$E$98*(③기타_가정!$E$104*SUMIF(③기타_가정!$J$97:$J$101,DH6,③기타_가정!$I$97:$I$101)+IF(DH15=13,③기타_가정!$E$105-③기타_가정!$E$104,0)+IF(DH15=25,③기타_가정!$E$106-③기타_가정!$E$105,0))</f>
        <v>0</v>
      </c>
      <c r="DI78" s="37" t="n">
        <f aca="false">③기타_가정!$D$38*③기타_가정!$E$98*(③기타_가정!$E$104*SUMIF(③기타_가정!$J$97:$J$101,DI6,③기타_가정!$I$97:$I$101)+IF(DI15=13,③기타_가정!$E$105-③기타_가정!$E$104,0)+IF(DI15=25,③기타_가정!$E$106-③기타_가정!$E$105,0))</f>
        <v>0</v>
      </c>
      <c r="DJ78" s="37" t="n">
        <f aca="false">③기타_가정!$D$38*③기타_가정!$E$98*(③기타_가정!$E$104*SUMIF(③기타_가정!$J$97:$J$101,DJ6,③기타_가정!$I$97:$I$101)+IF(DJ15=13,③기타_가정!$E$105-③기타_가정!$E$104,0)+IF(DJ15=25,③기타_가정!$E$106-③기타_가정!$E$105,0))</f>
        <v>0</v>
      </c>
      <c r="DK78" s="37" t="n">
        <f aca="false">③기타_가정!$D$38*③기타_가정!$E$98*(③기타_가정!$E$104*SUMIF(③기타_가정!$J$97:$J$101,DK6,③기타_가정!$I$97:$I$101)+IF(DK15=13,③기타_가정!$E$105-③기타_가정!$E$104,0)+IF(DK15=25,③기타_가정!$E$106-③기타_가정!$E$105,0))</f>
        <v>0</v>
      </c>
      <c r="DL78" s="37" t="n">
        <f aca="false">③기타_가정!$D$38*③기타_가정!$E$98*(③기타_가정!$E$104*SUMIF(③기타_가정!$J$97:$J$101,DL6,③기타_가정!$I$97:$I$101)+IF(DL15=13,③기타_가정!$E$105-③기타_가정!$E$104,0)+IF(DL15=25,③기타_가정!$E$106-③기타_가정!$E$105,0))</f>
        <v>0</v>
      </c>
      <c r="DM78" s="37" t="n">
        <f aca="false">③기타_가정!$D$38*③기타_가정!$E$98*(③기타_가정!$E$104*SUMIF(③기타_가정!$J$97:$J$101,DM6,③기타_가정!$I$97:$I$101)+IF(DM15=13,③기타_가정!$E$105-③기타_가정!$E$104,0)+IF(DM15=25,③기타_가정!$E$106-③기타_가정!$E$105,0))</f>
        <v>0</v>
      </c>
      <c r="DN78" s="37" t="n">
        <f aca="false">③기타_가정!$D$38*③기타_가정!$E$98*(③기타_가정!$E$104*SUMIF(③기타_가정!$J$97:$J$101,DN6,③기타_가정!$I$97:$I$101)+IF(DN15=13,③기타_가정!$E$105-③기타_가정!$E$104,0)+IF(DN15=25,③기타_가정!$E$106-③기타_가정!$E$105,0))</f>
        <v>0</v>
      </c>
      <c r="DO78" s="37" t="n">
        <f aca="false">③기타_가정!$D$38*③기타_가정!$E$98*(③기타_가정!$E$104*SUMIF(③기타_가정!$J$97:$J$101,DO6,③기타_가정!$I$97:$I$101)+IF(DO15=13,③기타_가정!$E$105-③기타_가정!$E$104,0)+IF(DO15=25,③기타_가정!$E$106-③기타_가정!$E$105,0))</f>
        <v>0</v>
      </c>
      <c r="DP78" s="37" t="n">
        <f aca="false">③기타_가정!$D$38*③기타_가정!$E$98*(③기타_가정!$E$104*SUMIF(③기타_가정!$J$97:$J$101,DP6,③기타_가정!$I$97:$I$101)+IF(DP15=13,③기타_가정!$E$105-③기타_가정!$E$104,0)+IF(DP15=25,③기타_가정!$E$106-③기타_가정!$E$105,0))</f>
        <v>0</v>
      </c>
      <c r="DQ78" s="37" t="n">
        <f aca="false">③기타_가정!$D$38*③기타_가정!$E$98*(③기타_가정!$E$104*SUMIF(③기타_가정!$J$97:$J$101,DQ6,③기타_가정!$I$97:$I$101)+IF(DQ15=13,③기타_가정!$E$105-③기타_가정!$E$104,0)+IF(DQ15=25,③기타_가정!$E$106-③기타_가정!$E$105,0))</f>
        <v>0</v>
      </c>
      <c r="DR78" s="37" t="n">
        <f aca="false">③기타_가정!$D$38*③기타_가정!$E$98*(③기타_가정!$E$104*SUMIF(③기타_가정!$J$97:$J$101,DR6,③기타_가정!$I$97:$I$101)+IF(DR15=13,③기타_가정!$E$105-③기타_가정!$E$104,0)+IF(DR15=25,③기타_가정!$E$106-③기타_가정!$E$105,0))</f>
        <v>0</v>
      </c>
      <c r="DS78" s="37" t="n">
        <f aca="false">③기타_가정!$D$38*③기타_가정!$E$98*(③기타_가정!$E$104*SUMIF(③기타_가정!$J$97:$J$101,DS6,③기타_가정!$I$97:$I$101)+IF(DS15=13,③기타_가정!$E$105-③기타_가정!$E$104,0)+IF(DS15=25,③기타_가정!$E$106-③기타_가정!$E$105,0))</f>
        <v>0</v>
      </c>
      <c r="DT78" s="37" t="n">
        <f aca="false">③기타_가정!$D$38*③기타_가정!$E$98*(③기타_가정!$E$104*SUMIF(③기타_가정!$J$97:$J$101,DT6,③기타_가정!$I$97:$I$101)+IF(DT15=13,③기타_가정!$E$105-③기타_가정!$E$104,0)+IF(DT15=25,③기타_가정!$E$106-③기타_가정!$E$105,0))</f>
        <v>0</v>
      </c>
      <c r="DU78" s="37" t="n">
        <f aca="false">③기타_가정!$D$38*③기타_가정!$E$98*(③기타_가정!$E$104*SUMIF(③기타_가정!$J$97:$J$101,DU6,③기타_가정!$I$97:$I$101)+IF(DU15=13,③기타_가정!$E$105-③기타_가정!$E$104,0)+IF(DU15=25,③기타_가정!$E$106-③기타_가정!$E$105,0))</f>
        <v>0</v>
      </c>
      <c r="DV78" s="37" t="n">
        <f aca="false">③기타_가정!$D$38*③기타_가정!$E$98*(③기타_가정!$E$104*SUMIF(③기타_가정!$J$97:$J$101,DV6,③기타_가정!$I$97:$I$101)+IF(DV15=13,③기타_가정!$E$105-③기타_가정!$E$104,0)+IF(DV15=25,③기타_가정!$E$106-③기타_가정!$E$105,0))</f>
        <v>0</v>
      </c>
      <c r="DW78" s="37" t="n">
        <f aca="false">③기타_가정!$D$38*③기타_가정!$E$98*(③기타_가정!$E$104*SUMIF(③기타_가정!$J$97:$J$101,DW6,③기타_가정!$I$97:$I$101)+IF(DW15=13,③기타_가정!$E$105-③기타_가정!$E$104,0)+IF(DW15=25,③기타_가정!$E$106-③기타_가정!$E$105,0))</f>
        <v>0</v>
      </c>
      <c r="DX78" s="37" t="n">
        <f aca="false">③기타_가정!$D$38*③기타_가정!$E$98*(③기타_가정!$E$104*SUMIF(③기타_가정!$J$97:$J$101,DX6,③기타_가정!$I$97:$I$101)+IF(DX15=13,③기타_가정!$E$105-③기타_가정!$E$104,0)+IF(DX15=25,③기타_가정!$E$106-③기타_가정!$E$105,0))</f>
        <v>0</v>
      </c>
      <c r="DY78" s="37" t="n">
        <f aca="false">③기타_가정!$D$38*③기타_가정!$E$98*(③기타_가정!$E$104*SUMIF(③기타_가정!$J$97:$J$101,DY6,③기타_가정!$I$97:$I$101)+IF(DY15=13,③기타_가정!$E$105-③기타_가정!$E$104,0)+IF(DY15=25,③기타_가정!$E$106-③기타_가정!$E$105,0))</f>
        <v>0</v>
      </c>
      <c r="DZ78" s="37" t="n">
        <f aca="false">③기타_가정!$D$38*③기타_가정!$E$98*(③기타_가정!$E$104*SUMIF(③기타_가정!$J$97:$J$101,DZ6,③기타_가정!$I$97:$I$101)+IF(DZ15=13,③기타_가정!$E$105-③기타_가정!$E$104,0)+IF(DZ15=25,③기타_가정!$E$106-③기타_가정!$E$105,0))</f>
        <v>0</v>
      </c>
      <c r="EA78" s="37" t="n">
        <f aca="false">③기타_가정!$D$38*③기타_가정!$E$98*(③기타_가정!$E$104*SUMIF(③기타_가정!$J$97:$J$101,EA6,③기타_가정!$I$97:$I$101)+IF(EA15=13,③기타_가정!$E$105-③기타_가정!$E$104,0)+IF(EA15=25,③기타_가정!$E$106-③기타_가정!$E$105,0))</f>
        <v>0</v>
      </c>
      <c r="EB78" s="37" t="n">
        <f aca="false">③기타_가정!$D$38*③기타_가정!$E$98*(③기타_가정!$E$104*SUMIF(③기타_가정!$J$97:$J$101,EB6,③기타_가정!$I$97:$I$101)+IF(EB15=13,③기타_가정!$E$105-③기타_가정!$E$104,0)+IF(EB15=25,③기타_가정!$E$106-③기타_가정!$E$105,0))</f>
        <v>0</v>
      </c>
      <c r="EC78" s="37" t="n">
        <f aca="false">③기타_가정!$D$38*③기타_가정!$E$98*(③기타_가정!$E$104*SUMIF(③기타_가정!$J$97:$J$101,EC6,③기타_가정!$I$97:$I$101)+IF(EC15=13,③기타_가정!$E$105-③기타_가정!$E$104,0)+IF(EC15=25,③기타_가정!$E$106-③기타_가정!$E$105,0))</f>
        <v>0</v>
      </c>
      <c r="ED78" s="37" t="n">
        <f aca="false">③기타_가정!$D$38*③기타_가정!$E$98*(③기타_가정!$E$104*SUMIF(③기타_가정!$J$97:$J$101,ED6,③기타_가정!$I$97:$I$101)+IF(ED15=13,③기타_가정!$E$105-③기타_가정!$E$104,0)+IF(ED15=25,③기타_가정!$E$106-③기타_가정!$E$105,0))</f>
        <v>0</v>
      </c>
      <c r="EE78" s="37" t="n">
        <f aca="false">③기타_가정!$D$38*③기타_가정!$E$98*(③기타_가정!$E$104*SUMIF(③기타_가정!$J$97:$J$101,EE6,③기타_가정!$I$97:$I$101)+IF(EE15=13,③기타_가정!$E$105-③기타_가정!$E$104,0)+IF(EE15=25,③기타_가정!$E$106-③기타_가정!$E$105,0))</f>
        <v>0</v>
      </c>
      <c r="EF78" s="37" t="n">
        <f aca="false">③기타_가정!$D$38*③기타_가정!$E$98*(③기타_가정!$E$104*SUMIF(③기타_가정!$J$97:$J$101,EF6,③기타_가정!$I$97:$I$101)+IF(EF15=13,③기타_가정!$E$105-③기타_가정!$E$104,0)+IF(EF15=25,③기타_가정!$E$106-③기타_가정!$E$105,0))</f>
        <v>0</v>
      </c>
    </row>
    <row r="79" customFormat="false" ht="15" hidden="false" customHeight="false" outlineLevel="0" collapsed="false">
      <c r="A79" s="36" t="s">
        <v>621</v>
      </c>
      <c r="B79" s="278" t="s">
        <v>21</v>
      </c>
      <c r="C79" s="279" t="n">
        <f aca="false">SUM(E79:EF79)</f>
        <v>310752</v>
      </c>
      <c r="E79" s="37" t="n">
        <f aca="false">③기타_가정!$E$38*③기타_가정!$E$129*(③기타_가정!$E$133*SUMIF(③기타_가정!$L$124:$L$128,E6,③기타_가정!$K$124:$K$128)+IF(E15=13,③기타_가정!$E$134-③기타_가정!$E$133,0)+IF(E15=25,③기타_가정!$E$135-③기타_가정!$E$134,0))</f>
        <v>0</v>
      </c>
      <c r="F79" s="37" t="n">
        <f aca="false">③기타_가정!$E$38*③기타_가정!$E$129*(③기타_가정!$E$133*SUMIF(③기타_가정!$L$124:$L$128,F6,③기타_가정!$K$124:$K$128)+IF(F15=13,③기타_가정!$E$134-③기타_가정!$E$133,0)+IF(F15=25,③기타_가정!$E$135-③기타_가정!$E$134,0))</f>
        <v>0</v>
      </c>
      <c r="G79" s="37" t="n">
        <f aca="false">③기타_가정!$E$38*③기타_가정!$E$129*(③기타_가정!$E$133*SUMIF(③기타_가정!$L$124:$L$128,G6,③기타_가정!$K$124:$K$128)+IF(G15=13,③기타_가정!$E$134-③기타_가정!$E$133,0)+IF(G15=25,③기타_가정!$E$135-③기타_가정!$E$134,0))</f>
        <v>0</v>
      </c>
      <c r="H79" s="37" t="n">
        <f aca="false">③기타_가정!$E$38*③기타_가정!$E$129*(③기타_가정!$E$133*SUMIF(③기타_가정!$L$124:$L$128,H6,③기타_가정!$K$124:$K$128)+IF(H15=13,③기타_가정!$E$134-③기타_가정!$E$133,0)+IF(H15=25,③기타_가정!$E$135-③기타_가정!$E$134,0))</f>
        <v>0</v>
      </c>
      <c r="I79" s="37" t="n">
        <f aca="false">③기타_가정!$E$38*③기타_가정!$E$129*(③기타_가정!$E$133*SUMIF(③기타_가정!$L$124:$L$128,I6,③기타_가정!$K$124:$K$128)+IF(I15=13,③기타_가정!$E$134-③기타_가정!$E$133,0)+IF(I15=25,③기타_가정!$E$135-③기타_가정!$E$134,0))</f>
        <v>0</v>
      </c>
      <c r="J79" s="37" t="n">
        <f aca="false">③기타_가정!$E$38*③기타_가정!$E$129*(③기타_가정!$E$133*SUMIF(③기타_가정!$L$124:$L$128,J6,③기타_가정!$K$124:$K$128)+IF(J15=13,③기타_가정!$E$134-③기타_가정!$E$133,0)+IF(J15=25,③기타_가정!$E$135-③기타_가정!$E$134,0))</f>
        <v>0</v>
      </c>
      <c r="K79" s="37" t="n">
        <f aca="false">③기타_가정!$E$38*③기타_가정!$E$129*(③기타_가정!$E$133*SUMIF(③기타_가정!$L$124:$L$128,K6,③기타_가정!$K$124:$K$128)+IF(K15=13,③기타_가정!$E$134-③기타_가정!$E$133,0)+IF(K15=25,③기타_가정!$E$135-③기타_가정!$E$134,0))</f>
        <v>0</v>
      </c>
      <c r="L79" s="37" t="n">
        <f aca="false">③기타_가정!$E$38*③기타_가정!$E$129*(③기타_가정!$E$133*SUMIF(③기타_가정!$L$124:$L$128,L6,③기타_가정!$K$124:$K$128)+IF(L15=13,③기타_가정!$E$134-③기타_가정!$E$133,0)+IF(L15=25,③기타_가정!$E$135-③기타_가정!$E$134,0))</f>
        <v>0</v>
      </c>
      <c r="M79" s="37" t="n">
        <f aca="false">③기타_가정!$E$38*③기타_가정!$E$129*(③기타_가정!$E$133*SUMIF(③기타_가정!$L$124:$L$128,M6,③기타_가정!$K$124:$K$128)+IF(M15=13,③기타_가정!$E$134-③기타_가정!$E$133,0)+IF(M15=25,③기타_가정!$E$135-③기타_가정!$E$134,0))</f>
        <v>0</v>
      </c>
      <c r="N79" s="37" t="n">
        <f aca="false">③기타_가정!$E$38*③기타_가정!$E$129*(③기타_가정!$E$133*SUMIF(③기타_가정!$L$124:$L$128,N6,③기타_가정!$K$124:$K$128)+IF(N15=13,③기타_가정!$E$134-③기타_가정!$E$133,0)+IF(N15=25,③기타_가정!$E$135-③기타_가정!$E$134,0))</f>
        <v>0</v>
      </c>
      <c r="O79" s="37" t="n">
        <f aca="false">③기타_가정!$E$38*③기타_가정!$E$129*(③기타_가정!$E$133*SUMIF(③기타_가정!$L$124:$L$128,O6,③기타_가정!$K$124:$K$128)+IF(O15=13,③기타_가정!$E$134-③기타_가정!$E$133,0)+IF(O15=25,③기타_가정!$E$135-③기타_가정!$E$134,0))</f>
        <v>0</v>
      </c>
      <c r="P79" s="37" t="n">
        <f aca="false">③기타_가정!$E$38*③기타_가정!$E$129*(③기타_가정!$E$133*SUMIF(③기타_가정!$L$124:$L$128,P6,③기타_가정!$K$124:$K$128)+IF(P15=13,③기타_가정!$E$134-③기타_가정!$E$133,0)+IF(P15=25,③기타_가정!$E$135-③기타_가정!$E$134,0))</f>
        <v>0</v>
      </c>
      <c r="Q79" s="37" t="n">
        <f aca="false">③기타_가정!$E$38*③기타_가정!$E$129*(③기타_가정!$E$133*SUMIF(③기타_가정!$L$124:$L$128,Q6,③기타_가정!$K$124:$K$128)+IF(Q15=13,③기타_가정!$E$134-③기타_가정!$E$133,0)+IF(Q15=25,③기타_가정!$E$135-③기타_가정!$E$134,0))</f>
        <v>24860.16</v>
      </c>
      <c r="R79" s="37" t="n">
        <f aca="false">③기타_가정!$E$38*③기타_가정!$E$129*(③기타_가정!$E$133*SUMIF(③기타_가정!$L$124:$L$128,R6,③기타_가정!$K$124:$K$128)+IF(R15=13,③기타_가정!$E$134-③기타_가정!$E$133,0)+IF(R15=25,③기타_가정!$E$135-③기타_가정!$E$134,0))</f>
        <v>0</v>
      </c>
      <c r="S79" s="37" t="n">
        <f aca="false">③기타_가정!$E$38*③기타_가정!$E$129*(③기타_가정!$E$133*SUMIF(③기타_가정!$L$124:$L$128,S6,③기타_가정!$K$124:$K$128)+IF(S15=13,③기타_가정!$E$134-③기타_가정!$E$133,0)+IF(S15=25,③기타_가정!$E$135-③기타_가정!$E$134,0))</f>
        <v>0</v>
      </c>
      <c r="T79" s="37" t="n">
        <f aca="false">③기타_가정!$E$38*③기타_가정!$E$129*(③기타_가정!$E$133*SUMIF(③기타_가정!$L$124:$L$128,T6,③기타_가정!$K$124:$K$128)+IF(T15=13,③기타_가정!$E$134-③기타_가정!$E$133,0)+IF(T15=25,③기타_가정!$E$135-③기타_가정!$E$134,0))</f>
        <v>0</v>
      </c>
      <c r="U79" s="37" t="n">
        <f aca="false">③기타_가정!$E$38*③기타_가정!$E$129*(③기타_가정!$E$133*SUMIF(③기타_가정!$L$124:$L$128,U6,③기타_가정!$K$124:$K$128)+IF(U15=13,③기타_가정!$E$134-③기타_가정!$E$133,0)+IF(U15=25,③기타_가정!$E$135-③기타_가정!$E$134,0))</f>
        <v>0</v>
      </c>
      <c r="V79" s="37" t="n">
        <f aca="false">③기타_가정!$E$38*③기타_가정!$E$129*(③기타_가정!$E$133*SUMIF(③기타_가정!$L$124:$L$128,V6,③기타_가정!$K$124:$K$128)+IF(V15=13,③기타_가정!$E$134-③기타_가정!$E$133,0)+IF(V15=25,③기타_가정!$E$135-③기타_가정!$E$134,0))</f>
        <v>0</v>
      </c>
      <c r="W79" s="37" t="n">
        <f aca="false">③기타_가정!$E$38*③기타_가정!$E$129*(③기타_가정!$E$133*SUMIF(③기타_가정!$L$124:$L$128,W6,③기타_가정!$K$124:$K$128)+IF(W15=13,③기타_가정!$E$134-③기타_가정!$E$133,0)+IF(W15=25,③기타_가정!$E$135-③기타_가정!$E$134,0))</f>
        <v>0</v>
      </c>
      <c r="X79" s="37" t="n">
        <f aca="false">③기타_가정!$E$38*③기타_가정!$E$129*(③기타_가정!$E$133*SUMIF(③기타_가정!$L$124:$L$128,X6,③기타_가정!$K$124:$K$128)+IF(X15=13,③기타_가정!$E$134-③기타_가정!$E$133,0)+IF(X15=25,③기타_가정!$E$135-③기타_가정!$E$134,0))</f>
        <v>0</v>
      </c>
      <c r="Y79" s="37" t="n">
        <f aca="false">③기타_가정!$E$38*③기타_가정!$E$129*(③기타_가정!$E$133*SUMIF(③기타_가정!$L$124:$L$128,Y6,③기타_가정!$K$124:$K$128)+IF(Y15=13,③기타_가정!$E$134-③기타_가정!$E$133,0)+IF(Y15=25,③기타_가정!$E$135-③기타_가정!$E$134,0))</f>
        <v>0</v>
      </c>
      <c r="Z79" s="37" t="n">
        <f aca="false">③기타_가정!$E$38*③기타_가정!$E$129*(③기타_가정!$E$133*SUMIF(③기타_가정!$L$124:$L$128,Z6,③기타_가정!$K$124:$K$128)+IF(Z15=13,③기타_가정!$E$134-③기타_가정!$E$133,0)+IF(Z15=25,③기타_가정!$E$135-③기타_가정!$E$134,0))</f>
        <v>0</v>
      </c>
      <c r="AA79" s="37" t="n">
        <f aca="false">③기타_가정!$E$38*③기타_가정!$E$129*(③기타_가정!$E$133*SUMIF(③기타_가정!$L$124:$L$128,AA6,③기타_가정!$K$124:$K$128)+IF(AA15=13,③기타_가정!$E$134-③기타_가정!$E$133,0)+IF(AA15=25,③기타_가정!$E$135-③기타_가정!$E$134,0))</f>
        <v>0</v>
      </c>
      <c r="AB79" s="37" t="n">
        <f aca="false">③기타_가정!$E$38*③기타_가정!$E$129*(③기타_가정!$E$133*SUMIF(③기타_가정!$L$124:$L$128,AB6,③기타_가정!$K$124:$K$128)+IF(AB15=13,③기타_가정!$E$134-③기타_가정!$E$133,0)+IF(AB15=25,③기타_가정!$E$135-③기타_가정!$E$134,0))</f>
        <v>0</v>
      </c>
      <c r="AC79" s="37" t="n">
        <f aca="false">③기타_가정!$E$38*③기타_가정!$E$129*(③기타_가정!$E$133*SUMIF(③기타_가정!$L$124:$L$128,AC6,③기타_가정!$K$124:$K$128)+IF(AC15=13,③기타_가정!$E$134-③기타_가정!$E$133,0)+IF(AC15=25,③기타_가정!$E$135-③기타_가정!$E$134,0))</f>
        <v>49720.32</v>
      </c>
      <c r="AD79" s="37" t="n">
        <f aca="false">③기타_가정!$E$38*③기타_가정!$E$129*(③기타_가정!$E$133*SUMIF(③기타_가정!$L$124:$L$128,AD6,③기타_가정!$K$124:$K$128)+IF(AD15=13,③기타_가정!$E$134-③기타_가정!$E$133,0)+IF(AD15=25,③기타_가정!$E$135-③기타_가정!$E$134,0))</f>
        <v>0</v>
      </c>
      <c r="AE79" s="37" t="n">
        <f aca="false">③기타_가정!$E$38*③기타_가정!$E$129*(③기타_가정!$E$133*SUMIF(③기타_가정!$L$124:$L$128,AE6,③기타_가정!$K$124:$K$128)+IF(AE15=13,③기타_가정!$E$134-③기타_가정!$E$133,0)+IF(AE15=25,③기타_가정!$E$135-③기타_가정!$E$134,0))</f>
        <v>0</v>
      </c>
      <c r="AF79" s="37" t="n">
        <f aca="false">③기타_가정!$E$38*③기타_가정!$E$129*(③기타_가정!$E$133*SUMIF(③기타_가정!$L$124:$L$128,AF6,③기타_가정!$K$124:$K$128)+IF(AF15=13,③기타_가정!$E$134-③기타_가정!$E$133,0)+IF(AF15=25,③기타_가정!$E$135-③기타_가정!$E$134,0))</f>
        <v>0</v>
      </c>
      <c r="AG79" s="37" t="n">
        <f aca="false">③기타_가정!$E$38*③기타_가정!$E$129*(③기타_가정!$E$133*SUMIF(③기타_가정!$L$124:$L$128,AG6,③기타_가정!$K$124:$K$128)+IF(AG15=13,③기타_가정!$E$134-③기타_가정!$E$133,0)+IF(AG15=25,③기타_가정!$E$135-③기타_가정!$E$134,0))</f>
        <v>0</v>
      </c>
      <c r="AH79" s="37" t="n">
        <f aca="false">③기타_가정!$E$38*③기타_가정!$E$129*(③기타_가정!$E$133*SUMIF(③기타_가정!$L$124:$L$128,AH6,③기타_가정!$K$124:$K$128)+IF(AH15=13,③기타_가정!$E$134-③기타_가정!$E$133,0)+IF(AH15=25,③기타_가정!$E$135-③기타_가정!$E$134,0))</f>
        <v>0</v>
      </c>
      <c r="AI79" s="37" t="n">
        <f aca="false">③기타_가정!$E$38*③기타_가정!$E$129*(③기타_가정!$E$133*SUMIF(③기타_가정!$L$124:$L$128,AI6,③기타_가정!$K$124:$K$128)+IF(AI15=13,③기타_가정!$E$134-③기타_가정!$E$133,0)+IF(AI15=25,③기타_가정!$E$135-③기타_가정!$E$134,0))</f>
        <v>0</v>
      </c>
      <c r="AJ79" s="37" t="n">
        <f aca="false">③기타_가정!$E$38*③기타_가정!$E$129*(③기타_가정!$E$133*SUMIF(③기타_가정!$L$124:$L$128,AJ6,③기타_가정!$K$124:$K$128)+IF(AJ15=13,③기타_가정!$E$134-③기타_가정!$E$133,0)+IF(AJ15=25,③기타_가정!$E$135-③기타_가정!$E$134,0))</f>
        <v>0</v>
      </c>
      <c r="AK79" s="37" t="n">
        <f aca="false">③기타_가정!$E$38*③기타_가정!$E$129*(③기타_가정!$E$133*SUMIF(③기타_가정!$L$124:$L$128,AK6,③기타_가정!$K$124:$K$128)+IF(AK15=13,③기타_가정!$E$134-③기타_가정!$E$133,0)+IF(AK15=25,③기타_가정!$E$135-③기타_가정!$E$134,0))</f>
        <v>0</v>
      </c>
      <c r="AL79" s="37" t="n">
        <f aca="false">③기타_가정!$E$38*③기타_가정!$E$129*(③기타_가정!$E$133*SUMIF(③기타_가정!$L$124:$L$128,AL6,③기타_가정!$K$124:$K$128)+IF(AL15=13,③기타_가정!$E$134-③기타_가정!$E$133,0)+IF(AL15=25,③기타_가정!$E$135-③기타_가정!$E$134,0))</f>
        <v>0</v>
      </c>
      <c r="AM79" s="37" t="n">
        <f aca="false">③기타_가정!$E$38*③기타_가정!$E$129*(③기타_가정!$E$133*SUMIF(③기타_가정!$L$124:$L$128,AM6,③기타_가정!$K$124:$K$128)+IF(AM15=13,③기타_가정!$E$134-③기타_가정!$E$133,0)+IF(AM15=25,③기타_가정!$E$135-③기타_가정!$E$134,0))</f>
        <v>0</v>
      </c>
      <c r="AN79" s="37" t="n">
        <f aca="false">③기타_가정!$E$38*③기타_가정!$E$129*(③기타_가정!$E$133*SUMIF(③기타_가정!$L$124:$L$128,AN6,③기타_가정!$K$124:$K$128)+IF(AN15=13,③기타_가정!$E$134-③기타_가정!$E$133,0)+IF(AN15=25,③기타_가정!$E$135-③기타_가정!$E$134,0))</f>
        <v>0</v>
      </c>
      <c r="AO79" s="37" t="n">
        <f aca="false">③기타_가정!$E$38*③기타_가정!$E$129*(③기타_가정!$E$133*SUMIF(③기타_가정!$L$124:$L$128,AO6,③기타_가정!$K$124:$K$128)+IF(AO15=13,③기타_가정!$E$134-③기타_가정!$E$133,0)+IF(AO15=25,③기타_가정!$E$135-③기타_가정!$E$134,0))</f>
        <v>49720.32</v>
      </c>
      <c r="AP79" s="37" t="n">
        <f aca="false">③기타_가정!$E$38*③기타_가정!$E$129*(③기타_가정!$E$133*SUMIF(③기타_가정!$L$124:$L$128,AP6,③기타_가정!$K$124:$K$128)+IF(AP15=13,③기타_가정!$E$134-③기타_가정!$E$133,0)+IF(AP15=25,③기타_가정!$E$135-③기타_가정!$E$134,0))</f>
        <v>0</v>
      </c>
      <c r="AQ79" s="37" t="n">
        <f aca="false">③기타_가정!$E$38*③기타_가정!$E$129*(③기타_가정!$E$133*SUMIF(③기타_가정!$L$124:$L$128,AQ6,③기타_가정!$K$124:$K$128)+IF(AQ15=13,③기타_가정!$E$134-③기타_가정!$E$133,0)+IF(AQ15=25,③기타_가정!$E$135-③기타_가정!$E$134,0))</f>
        <v>0</v>
      </c>
      <c r="AR79" s="37" t="n">
        <f aca="false">③기타_가정!$E$38*③기타_가정!$E$129*(③기타_가정!$E$133*SUMIF(③기타_가정!$L$124:$L$128,AR6,③기타_가정!$K$124:$K$128)+IF(AR15=13,③기타_가정!$E$134-③기타_가정!$E$133,0)+IF(AR15=25,③기타_가정!$E$135-③기타_가정!$E$134,0))</f>
        <v>0</v>
      </c>
      <c r="AS79" s="37" t="n">
        <f aca="false">③기타_가정!$E$38*③기타_가정!$E$129*(③기타_가정!$E$133*SUMIF(③기타_가정!$L$124:$L$128,AS6,③기타_가정!$K$124:$K$128)+IF(AS15=13,③기타_가정!$E$134-③기타_가정!$E$133,0)+IF(AS15=25,③기타_가정!$E$135-③기타_가정!$E$134,0))</f>
        <v>0</v>
      </c>
      <c r="AT79" s="37" t="n">
        <f aca="false">③기타_가정!$E$38*③기타_가정!$E$129*(③기타_가정!$E$133*SUMIF(③기타_가정!$L$124:$L$128,AT6,③기타_가정!$K$124:$K$128)+IF(AT15=13,③기타_가정!$E$134-③기타_가정!$E$133,0)+IF(AT15=25,③기타_가정!$E$135-③기타_가정!$E$134,0))</f>
        <v>0</v>
      </c>
      <c r="AU79" s="37" t="n">
        <f aca="false">③기타_가정!$E$38*③기타_가정!$E$129*(③기타_가정!$E$133*SUMIF(③기타_가정!$L$124:$L$128,AU6,③기타_가정!$K$124:$K$128)+IF(AU15=13,③기타_가정!$E$134-③기타_가정!$E$133,0)+IF(AU15=25,③기타_가정!$E$135-③기타_가정!$E$134,0))</f>
        <v>0</v>
      </c>
      <c r="AV79" s="37" t="n">
        <f aca="false">③기타_가정!$E$38*③기타_가정!$E$129*(③기타_가정!$E$133*SUMIF(③기타_가정!$L$124:$L$128,AV6,③기타_가정!$K$124:$K$128)+IF(AV15=13,③기타_가정!$E$134-③기타_가정!$E$133,0)+IF(AV15=25,③기타_가정!$E$135-③기타_가정!$E$134,0))</f>
        <v>0</v>
      </c>
      <c r="AW79" s="37" t="n">
        <f aca="false">③기타_가정!$E$38*③기타_가정!$E$129*(③기타_가정!$E$133*SUMIF(③기타_가정!$L$124:$L$128,AW6,③기타_가정!$K$124:$K$128)+IF(AW15=13,③기타_가정!$E$134-③기타_가정!$E$133,0)+IF(AW15=25,③기타_가정!$E$135-③기타_가정!$E$134,0))</f>
        <v>0</v>
      </c>
      <c r="AX79" s="37" t="n">
        <f aca="false">③기타_가정!$E$38*③기타_가정!$E$129*(③기타_가정!$E$133*SUMIF(③기타_가정!$L$124:$L$128,AX6,③기타_가정!$K$124:$K$128)+IF(AX15=13,③기타_가정!$E$134-③기타_가정!$E$133,0)+IF(AX15=25,③기타_가정!$E$135-③기타_가정!$E$134,0))</f>
        <v>0</v>
      </c>
      <c r="AY79" s="37" t="n">
        <f aca="false">③기타_가정!$E$38*③기타_가정!$E$129*(③기타_가정!$E$133*SUMIF(③기타_가정!$L$124:$L$128,AY6,③기타_가정!$K$124:$K$128)+IF(AY15=13,③기타_가정!$E$134-③기타_가정!$E$133,0)+IF(AY15=25,③기타_가정!$E$135-③기타_가정!$E$134,0))</f>
        <v>0</v>
      </c>
      <c r="AZ79" s="37" t="n">
        <f aca="false">③기타_가정!$E$38*③기타_가정!$E$129*(③기타_가정!$E$133*SUMIF(③기타_가정!$L$124:$L$128,AZ6,③기타_가정!$K$124:$K$128)+IF(AZ15=13,③기타_가정!$E$134-③기타_가정!$E$133,0)+IF(AZ15=25,③기타_가정!$E$135-③기타_가정!$E$134,0))</f>
        <v>0</v>
      </c>
      <c r="BA79" s="37" t="n">
        <f aca="false">③기타_가정!$E$38*③기타_가정!$E$129*(③기타_가정!$E$133*SUMIF(③기타_가정!$L$124:$L$128,BA6,③기타_가정!$K$124:$K$128)+IF(BA15=13,③기타_가정!$E$134-③기타_가정!$E$133,0)+IF(BA15=25,③기타_가정!$E$135-③기타_가정!$E$134,0))</f>
        <v>49720.32</v>
      </c>
      <c r="BB79" s="37" t="n">
        <f aca="false">③기타_가정!$E$38*③기타_가정!$E$129*(③기타_가정!$E$133*SUMIF(③기타_가정!$L$124:$L$128,BB6,③기타_가정!$K$124:$K$128)+IF(BB15=13,③기타_가정!$E$134-③기타_가정!$E$133,0)+IF(BB15=25,③기타_가정!$E$135-③기타_가정!$E$134,0))</f>
        <v>0</v>
      </c>
      <c r="BC79" s="37" t="n">
        <f aca="false">③기타_가정!$E$38*③기타_가정!$E$129*(③기타_가정!$E$133*SUMIF(③기타_가정!$L$124:$L$128,BC6,③기타_가정!$K$124:$K$128)+IF(BC15=13,③기타_가정!$E$134-③기타_가정!$E$133,0)+IF(BC15=25,③기타_가정!$E$135-③기타_가정!$E$134,0))</f>
        <v>0</v>
      </c>
      <c r="BD79" s="37" t="n">
        <f aca="false">③기타_가정!$E$38*③기타_가정!$E$129*(③기타_가정!$E$133*SUMIF(③기타_가정!$L$124:$L$128,BD6,③기타_가정!$K$124:$K$128)+IF(BD15=13,③기타_가정!$E$134-③기타_가정!$E$133,0)+IF(BD15=25,③기타_가정!$E$135-③기타_가정!$E$134,0))</f>
        <v>0</v>
      </c>
      <c r="BE79" s="37" t="n">
        <f aca="false">③기타_가정!$E$38*③기타_가정!$E$129*(③기타_가정!$E$133*SUMIF(③기타_가정!$L$124:$L$128,BE6,③기타_가정!$K$124:$K$128)+IF(BE15=13,③기타_가정!$E$134-③기타_가정!$E$133,0)+IF(BE15=25,③기타_가정!$E$135-③기타_가정!$E$134,0))</f>
        <v>0</v>
      </c>
      <c r="BF79" s="37" t="n">
        <f aca="false">③기타_가정!$E$38*③기타_가정!$E$129*(③기타_가정!$E$133*SUMIF(③기타_가정!$L$124:$L$128,BF6,③기타_가정!$K$124:$K$128)+IF(BF15=13,③기타_가정!$E$134-③기타_가정!$E$133,0)+IF(BF15=25,③기타_가정!$E$135-③기타_가정!$E$134,0))</f>
        <v>0</v>
      </c>
      <c r="BG79" s="37" t="n">
        <f aca="false">③기타_가정!$E$38*③기타_가정!$E$129*(③기타_가정!$E$133*SUMIF(③기타_가정!$L$124:$L$128,BG6,③기타_가정!$K$124:$K$128)+IF(BG15=13,③기타_가정!$E$134-③기타_가정!$E$133,0)+IF(BG15=25,③기타_가정!$E$135-③기타_가정!$E$134,0))</f>
        <v>0</v>
      </c>
      <c r="BH79" s="37" t="n">
        <f aca="false">③기타_가정!$E$38*③기타_가정!$E$129*(③기타_가정!$E$133*SUMIF(③기타_가정!$L$124:$L$128,BH6,③기타_가정!$K$124:$K$128)+IF(BH15=13,③기타_가정!$E$134-③기타_가정!$E$133,0)+IF(BH15=25,③기타_가정!$E$135-③기타_가정!$E$134,0))</f>
        <v>0</v>
      </c>
      <c r="BI79" s="37" t="n">
        <f aca="false">③기타_가정!$E$38*③기타_가정!$E$129*(③기타_가정!$E$133*SUMIF(③기타_가정!$L$124:$L$128,BI6,③기타_가정!$K$124:$K$128)+IF(BI15=13,③기타_가정!$E$134-③기타_가정!$E$133,0)+IF(BI15=25,③기타_가정!$E$135-③기타_가정!$E$134,0))</f>
        <v>0</v>
      </c>
      <c r="BJ79" s="37" t="n">
        <f aca="false">③기타_가정!$E$38*③기타_가정!$E$129*(③기타_가정!$E$133*SUMIF(③기타_가정!$L$124:$L$128,BJ6,③기타_가정!$K$124:$K$128)+IF(BJ15=13,③기타_가정!$E$134-③기타_가정!$E$133,0)+IF(BJ15=25,③기타_가정!$E$135-③기타_가정!$E$134,0))</f>
        <v>0</v>
      </c>
      <c r="BK79" s="37" t="n">
        <f aca="false">③기타_가정!$E$38*③기타_가정!$E$129*(③기타_가정!$E$133*SUMIF(③기타_가정!$L$124:$L$128,BK6,③기타_가정!$K$124:$K$128)+IF(BK15=13,③기타_가정!$E$134-③기타_가정!$E$133,0)+IF(BK15=25,③기타_가정!$E$135-③기타_가정!$E$134,0))</f>
        <v>0</v>
      </c>
      <c r="BL79" s="37" t="n">
        <f aca="false">③기타_가정!$E$38*③기타_가정!$E$129*(③기타_가정!$E$133*SUMIF(③기타_가정!$L$124:$L$128,BL6,③기타_가정!$K$124:$K$128)+IF(BL15=13,③기타_가정!$E$134-③기타_가정!$E$133,0)+IF(BL15=25,③기타_가정!$E$135-③기타_가정!$E$134,0))</f>
        <v>0</v>
      </c>
      <c r="BM79" s="37" t="n">
        <f aca="false">③기타_가정!$E$38*③기타_가정!$E$129*(③기타_가정!$E$133*SUMIF(③기타_가정!$L$124:$L$128,BM6,③기타_가정!$K$124:$K$128)+IF(BM15=13,③기타_가정!$E$134-③기타_가정!$E$133,0)+IF(BM15=25,③기타_가정!$E$135-③기타_가정!$E$134,0))</f>
        <v>74580.48</v>
      </c>
      <c r="BN79" s="37" t="n">
        <f aca="false">③기타_가정!$E$38*③기타_가정!$E$129*(③기타_가정!$E$133*SUMIF(③기타_가정!$L$124:$L$128,BN6,③기타_가정!$K$124:$K$128)+IF(BN15=13,③기타_가정!$E$134-③기타_가정!$E$133,0)+IF(BN15=25,③기타_가정!$E$135-③기타_가정!$E$134,0))</f>
        <v>0</v>
      </c>
      <c r="BO79" s="37" t="n">
        <f aca="false">③기타_가정!$E$38*③기타_가정!$E$129*(③기타_가정!$E$133*SUMIF(③기타_가정!$L$124:$L$128,BO6,③기타_가정!$K$124:$K$128)+IF(BO15=13,③기타_가정!$E$134-③기타_가정!$E$133,0)+IF(BO15=25,③기타_가정!$E$135-③기타_가정!$E$134,0))</f>
        <v>0</v>
      </c>
      <c r="BP79" s="37" t="n">
        <f aca="false">③기타_가정!$E$38*③기타_가정!$E$129*(③기타_가정!$E$133*SUMIF(③기타_가정!$L$124:$L$128,BP6,③기타_가정!$K$124:$K$128)+IF(BP15=13,③기타_가정!$E$134-③기타_가정!$E$133,0)+IF(BP15=25,③기타_가정!$E$135-③기타_가정!$E$134,0))</f>
        <v>0</v>
      </c>
      <c r="BQ79" s="37" t="n">
        <f aca="false">③기타_가정!$E$38*③기타_가정!$E$129*(③기타_가정!$E$133*SUMIF(③기타_가정!$L$124:$L$128,BQ6,③기타_가정!$K$124:$K$128)+IF(BQ15=13,③기타_가정!$E$134-③기타_가정!$E$133,0)+IF(BQ15=25,③기타_가정!$E$135-③기타_가정!$E$134,0))</f>
        <v>0</v>
      </c>
      <c r="BR79" s="37" t="n">
        <f aca="false">③기타_가정!$E$38*③기타_가정!$E$129*(③기타_가정!$E$133*SUMIF(③기타_가정!$L$124:$L$128,BR6,③기타_가정!$K$124:$K$128)+IF(BR15=13,③기타_가정!$E$134-③기타_가정!$E$133,0)+IF(BR15=25,③기타_가정!$E$135-③기타_가정!$E$134,0))</f>
        <v>0</v>
      </c>
      <c r="BS79" s="37" t="n">
        <f aca="false">③기타_가정!$E$38*③기타_가정!$E$129*(③기타_가정!$E$133*SUMIF(③기타_가정!$L$124:$L$128,BS6,③기타_가정!$K$124:$K$128)+IF(BS15=13,③기타_가정!$E$134-③기타_가정!$E$133,0)+IF(BS15=25,③기타_가정!$E$135-③기타_가정!$E$134,0))</f>
        <v>0</v>
      </c>
      <c r="BT79" s="37" t="n">
        <f aca="false">③기타_가정!$E$38*③기타_가정!$E$129*(③기타_가정!$E$133*SUMIF(③기타_가정!$L$124:$L$128,BT6,③기타_가정!$K$124:$K$128)+IF(BT15=13,③기타_가정!$E$134-③기타_가정!$E$133,0)+IF(BT15=25,③기타_가정!$E$135-③기타_가정!$E$134,0))</f>
        <v>0</v>
      </c>
      <c r="BU79" s="37" t="n">
        <f aca="false">③기타_가정!$E$38*③기타_가정!$E$129*(③기타_가정!$E$133*SUMIF(③기타_가정!$L$124:$L$128,BU6,③기타_가정!$K$124:$K$128)+IF(BU15=13,③기타_가정!$E$134-③기타_가정!$E$133,0)+IF(BU15=25,③기타_가정!$E$135-③기타_가정!$E$134,0))</f>
        <v>0</v>
      </c>
      <c r="BV79" s="37" t="n">
        <f aca="false">③기타_가정!$E$38*③기타_가정!$E$129*(③기타_가정!$E$133*SUMIF(③기타_가정!$L$124:$L$128,BV6,③기타_가정!$K$124:$K$128)+IF(BV15=13,③기타_가정!$E$134-③기타_가정!$E$133,0)+IF(BV15=25,③기타_가정!$E$135-③기타_가정!$E$134,0))</f>
        <v>0</v>
      </c>
      <c r="BW79" s="37" t="n">
        <f aca="false">③기타_가정!$E$38*③기타_가정!$E$129*(③기타_가정!$E$133*SUMIF(③기타_가정!$L$124:$L$128,BW6,③기타_가정!$K$124:$K$128)+IF(BW15=13,③기타_가정!$E$134-③기타_가정!$E$133,0)+IF(BW15=25,③기타_가정!$E$135-③기타_가정!$E$134,0))</f>
        <v>0</v>
      </c>
      <c r="BX79" s="37" t="n">
        <f aca="false">③기타_가정!$E$38*③기타_가정!$E$129*(③기타_가정!$E$133*SUMIF(③기타_가정!$L$124:$L$128,BX6,③기타_가정!$K$124:$K$128)+IF(BX15=13,③기타_가정!$E$134-③기타_가정!$E$133,0)+IF(BX15=25,③기타_가정!$E$135-③기타_가정!$E$134,0))</f>
        <v>0</v>
      </c>
      <c r="BY79" s="37" t="n">
        <f aca="false">③기타_가정!$E$38*③기타_가정!$E$129*(③기타_가정!$E$133*SUMIF(③기타_가정!$L$124:$L$128,BY6,③기타_가정!$K$124:$K$128)+IF(BY15=13,③기타_가정!$E$134-③기타_가정!$E$133,0)+IF(BY15=25,③기타_가정!$E$135-③기타_가정!$E$134,0))</f>
        <v>62150.4</v>
      </c>
      <c r="BZ79" s="37" t="n">
        <f aca="false">③기타_가정!$E$38*③기타_가정!$E$129*(③기타_가정!$E$133*SUMIF(③기타_가정!$L$124:$L$128,BZ6,③기타_가정!$K$124:$K$128)+IF(BZ15=13,③기타_가정!$E$134-③기타_가정!$E$133,0)+IF(BZ15=25,③기타_가정!$E$135-③기타_가정!$E$134,0))</f>
        <v>0</v>
      </c>
      <c r="CA79" s="37" t="n">
        <f aca="false">③기타_가정!$E$38*③기타_가정!$E$129*(③기타_가정!$E$133*SUMIF(③기타_가정!$L$124:$L$128,CA6,③기타_가정!$K$124:$K$128)+IF(CA15=13,③기타_가정!$E$134-③기타_가정!$E$133,0)+IF(CA15=25,③기타_가정!$E$135-③기타_가정!$E$134,0))</f>
        <v>0</v>
      </c>
      <c r="CB79" s="37" t="n">
        <f aca="false">③기타_가정!$E$38*③기타_가정!$E$129*(③기타_가정!$E$133*SUMIF(③기타_가정!$L$124:$L$128,CB6,③기타_가정!$K$124:$K$128)+IF(CB15=13,③기타_가정!$E$134-③기타_가정!$E$133,0)+IF(CB15=25,③기타_가정!$E$135-③기타_가정!$E$134,0))</f>
        <v>0</v>
      </c>
      <c r="CC79" s="37" t="n">
        <f aca="false">③기타_가정!$E$38*③기타_가정!$E$129*(③기타_가정!$E$133*SUMIF(③기타_가정!$L$124:$L$128,CC6,③기타_가정!$K$124:$K$128)+IF(CC15=13,③기타_가정!$E$134-③기타_가정!$E$133,0)+IF(CC15=25,③기타_가정!$E$135-③기타_가정!$E$134,0))</f>
        <v>0</v>
      </c>
      <c r="CD79" s="37" t="n">
        <f aca="false">③기타_가정!$E$38*③기타_가정!$E$129*(③기타_가정!$E$133*SUMIF(③기타_가정!$L$124:$L$128,CD6,③기타_가정!$K$124:$K$128)+IF(CD15=13,③기타_가정!$E$134-③기타_가정!$E$133,0)+IF(CD15=25,③기타_가정!$E$135-③기타_가정!$E$134,0))</f>
        <v>0</v>
      </c>
      <c r="CE79" s="37" t="n">
        <f aca="false">③기타_가정!$E$38*③기타_가정!$E$129*(③기타_가정!$E$133*SUMIF(③기타_가정!$L$124:$L$128,CE6,③기타_가정!$K$124:$K$128)+IF(CE15=13,③기타_가정!$E$134-③기타_가정!$E$133,0)+IF(CE15=25,③기타_가정!$E$135-③기타_가정!$E$134,0))</f>
        <v>0</v>
      </c>
      <c r="CF79" s="37" t="n">
        <f aca="false">③기타_가정!$E$38*③기타_가정!$E$129*(③기타_가정!$E$133*SUMIF(③기타_가정!$L$124:$L$128,CF6,③기타_가정!$K$124:$K$128)+IF(CF15=13,③기타_가정!$E$134-③기타_가정!$E$133,0)+IF(CF15=25,③기타_가정!$E$135-③기타_가정!$E$134,0))</f>
        <v>0</v>
      </c>
      <c r="CG79" s="37" t="n">
        <f aca="false">③기타_가정!$E$38*③기타_가정!$E$129*(③기타_가정!$E$133*SUMIF(③기타_가정!$L$124:$L$128,CG6,③기타_가정!$K$124:$K$128)+IF(CG15=13,③기타_가정!$E$134-③기타_가정!$E$133,0)+IF(CG15=25,③기타_가정!$E$135-③기타_가정!$E$134,0))</f>
        <v>0</v>
      </c>
      <c r="CH79" s="37" t="n">
        <f aca="false">③기타_가정!$E$38*③기타_가정!$E$129*(③기타_가정!$E$133*SUMIF(③기타_가정!$L$124:$L$128,CH6,③기타_가정!$K$124:$K$128)+IF(CH15=13,③기타_가정!$E$134-③기타_가정!$E$133,0)+IF(CH15=25,③기타_가정!$E$135-③기타_가정!$E$134,0))</f>
        <v>0</v>
      </c>
      <c r="CI79" s="37" t="n">
        <f aca="false">③기타_가정!$E$38*③기타_가정!$E$129*(③기타_가정!$E$133*SUMIF(③기타_가정!$L$124:$L$128,CI6,③기타_가정!$K$124:$K$128)+IF(CI15=13,③기타_가정!$E$134-③기타_가정!$E$133,0)+IF(CI15=25,③기타_가정!$E$135-③기타_가정!$E$134,0))</f>
        <v>0</v>
      </c>
      <c r="CJ79" s="37" t="n">
        <f aca="false">③기타_가정!$E$38*③기타_가정!$E$129*(③기타_가정!$E$133*SUMIF(③기타_가정!$L$124:$L$128,CJ6,③기타_가정!$K$124:$K$128)+IF(CJ15=13,③기타_가정!$E$134-③기타_가정!$E$133,0)+IF(CJ15=25,③기타_가정!$E$135-③기타_가정!$E$134,0))</f>
        <v>0</v>
      </c>
      <c r="CK79" s="37" t="n">
        <f aca="false">③기타_가정!$E$38*③기타_가정!$E$129*(③기타_가정!$E$133*SUMIF(③기타_가정!$L$124:$L$128,CK6,③기타_가정!$K$124:$K$128)+IF(CK15=13,③기타_가정!$E$134-③기타_가정!$E$133,0)+IF(CK15=25,③기타_가정!$E$135-③기타_가정!$E$134,0))</f>
        <v>0</v>
      </c>
      <c r="CL79" s="37" t="n">
        <f aca="false">③기타_가정!$E$38*③기타_가정!$E$129*(③기타_가정!$E$133*SUMIF(③기타_가정!$L$124:$L$128,CL6,③기타_가정!$K$124:$K$128)+IF(CL15=13,③기타_가정!$E$134-③기타_가정!$E$133,0)+IF(CL15=25,③기타_가정!$E$135-③기타_가정!$E$134,0))</f>
        <v>0</v>
      </c>
      <c r="CM79" s="37" t="n">
        <f aca="false">③기타_가정!$E$38*③기타_가정!$E$129*(③기타_가정!$E$133*SUMIF(③기타_가정!$L$124:$L$128,CM6,③기타_가정!$K$124:$K$128)+IF(CM15=13,③기타_가정!$E$134-③기타_가정!$E$133,0)+IF(CM15=25,③기타_가정!$E$135-③기타_가정!$E$134,0))</f>
        <v>0</v>
      </c>
      <c r="CN79" s="37" t="n">
        <f aca="false">③기타_가정!$E$38*③기타_가정!$E$129*(③기타_가정!$E$133*SUMIF(③기타_가정!$L$124:$L$128,CN6,③기타_가정!$K$124:$K$128)+IF(CN15=13,③기타_가정!$E$134-③기타_가정!$E$133,0)+IF(CN15=25,③기타_가정!$E$135-③기타_가정!$E$134,0))</f>
        <v>0</v>
      </c>
      <c r="CO79" s="37" t="n">
        <f aca="false">③기타_가정!$E$38*③기타_가정!$E$129*(③기타_가정!$E$133*SUMIF(③기타_가정!$L$124:$L$128,CO6,③기타_가정!$K$124:$K$128)+IF(CO15=13,③기타_가정!$E$134-③기타_가정!$E$133,0)+IF(CO15=25,③기타_가정!$E$135-③기타_가정!$E$134,0))</f>
        <v>0</v>
      </c>
      <c r="CP79" s="37" t="n">
        <f aca="false">③기타_가정!$E$38*③기타_가정!$E$129*(③기타_가정!$E$133*SUMIF(③기타_가정!$L$124:$L$128,CP6,③기타_가정!$K$124:$K$128)+IF(CP15=13,③기타_가정!$E$134-③기타_가정!$E$133,0)+IF(CP15=25,③기타_가정!$E$135-③기타_가정!$E$134,0))</f>
        <v>0</v>
      </c>
      <c r="CQ79" s="37" t="n">
        <f aca="false">③기타_가정!$E$38*③기타_가정!$E$129*(③기타_가정!$E$133*SUMIF(③기타_가정!$L$124:$L$128,CQ6,③기타_가정!$K$124:$K$128)+IF(CQ15=13,③기타_가정!$E$134-③기타_가정!$E$133,0)+IF(CQ15=25,③기타_가정!$E$135-③기타_가정!$E$134,0))</f>
        <v>0</v>
      </c>
      <c r="CR79" s="37" t="n">
        <f aca="false">③기타_가정!$E$38*③기타_가정!$E$129*(③기타_가정!$E$133*SUMIF(③기타_가정!$L$124:$L$128,CR6,③기타_가정!$K$124:$K$128)+IF(CR15=13,③기타_가정!$E$134-③기타_가정!$E$133,0)+IF(CR15=25,③기타_가정!$E$135-③기타_가정!$E$134,0))</f>
        <v>0</v>
      </c>
      <c r="CS79" s="37" t="n">
        <f aca="false">③기타_가정!$E$38*③기타_가정!$E$129*(③기타_가정!$E$133*SUMIF(③기타_가정!$L$124:$L$128,CS6,③기타_가정!$K$124:$K$128)+IF(CS15=13,③기타_가정!$E$134-③기타_가정!$E$133,0)+IF(CS15=25,③기타_가정!$E$135-③기타_가정!$E$134,0))</f>
        <v>0</v>
      </c>
      <c r="CT79" s="37" t="n">
        <f aca="false">③기타_가정!$E$38*③기타_가정!$E$129*(③기타_가정!$E$133*SUMIF(③기타_가정!$L$124:$L$128,CT6,③기타_가정!$K$124:$K$128)+IF(CT15=13,③기타_가정!$E$134-③기타_가정!$E$133,0)+IF(CT15=25,③기타_가정!$E$135-③기타_가정!$E$134,0))</f>
        <v>0</v>
      </c>
      <c r="CU79" s="37" t="n">
        <f aca="false">③기타_가정!$E$38*③기타_가정!$E$129*(③기타_가정!$E$133*SUMIF(③기타_가정!$L$124:$L$128,CU6,③기타_가정!$K$124:$K$128)+IF(CU15=13,③기타_가정!$E$134-③기타_가정!$E$133,0)+IF(CU15=25,③기타_가정!$E$135-③기타_가정!$E$134,0))</f>
        <v>0</v>
      </c>
      <c r="CV79" s="37" t="n">
        <f aca="false">③기타_가정!$E$38*③기타_가정!$E$129*(③기타_가정!$E$133*SUMIF(③기타_가정!$L$124:$L$128,CV6,③기타_가정!$K$124:$K$128)+IF(CV15=13,③기타_가정!$E$134-③기타_가정!$E$133,0)+IF(CV15=25,③기타_가정!$E$135-③기타_가정!$E$134,0))</f>
        <v>0</v>
      </c>
      <c r="CW79" s="37" t="n">
        <f aca="false">③기타_가정!$E$38*③기타_가정!$E$129*(③기타_가정!$E$133*SUMIF(③기타_가정!$L$124:$L$128,CW6,③기타_가정!$K$124:$K$128)+IF(CW15=13,③기타_가정!$E$134-③기타_가정!$E$133,0)+IF(CW15=25,③기타_가정!$E$135-③기타_가정!$E$134,0))</f>
        <v>0</v>
      </c>
      <c r="CX79" s="37" t="n">
        <f aca="false">③기타_가정!$E$38*③기타_가정!$E$129*(③기타_가정!$E$133*SUMIF(③기타_가정!$L$124:$L$128,CX6,③기타_가정!$K$124:$K$128)+IF(CX15=13,③기타_가정!$E$134-③기타_가정!$E$133,0)+IF(CX15=25,③기타_가정!$E$135-③기타_가정!$E$134,0))</f>
        <v>0</v>
      </c>
      <c r="CY79" s="37" t="n">
        <f aca="false">③기타_가정!$E$38*③기타_가정!$E$129*(③기타_가정!$E$133*SUMIF(③기타_가정!$L$124:$L$128,CY6,③기타_가정!$K$124:$K$128)+IF(CY15=13,③기타_가정!$E$134-③기타_가정!$E$133,0)+IF(CY15=25,③기타_가정!$E$135-③기타_가정!$E$134,0))</f>
        <v>0</v>
      </c>
      <c r="CZ79" s="37" t="n">
        <f aca="false">③기타_가정!$E$38*③기타_가정!$E$129*(③기타_가정!$E$133*SUMIF(③기타_가정!$L$124:$L$128,CZ6,③기타_가정!$K$124:$K$128)+IF(CZ15=13,③기타_가정!$E$134-③기타_가정!$E$133,0)+IF(CZ15=25,③기타_가정!$E$135-③기타_가정!$E$134,0))</f>
        <v>0</v>
      </c>
      <c r="DA79" s="37" t="n">
        <f aca="false">③기타_가정!$E$38*③기타_가정!$E$129*(③기타_가정!$E$133*SUMIF(③기타_가정!$L$124:$L$128,DA6,③기타_가정!$K$124:$K$128)+IF(DA15=13,③기타_가정!$E$134-③기타_가정!$E$133,0)+IF(DA15=25,③기타_가정!$E$135-③기타_가정!$E$134,0))</f>
        <v>0</v>
      </c>
      <c r="DB79" s="37" t="n">
        <f aca="false">③기타_가정!$E$38*③기타_가정!$E$129*(③기타_가정!$E$133*SUMIF(③기타_가정!$L$124:$L$128,DB6,③기타_가정!$K$124:$K$128)+IF(DB15=13,③기타_가정!$E$134-③기타_가정!$E$133,0)+IF(DB15=25,③기타_가정!$E$135-③기타_가정!$E$134,0))</f>
        <v>0</v>
      </c>
      <c r="DC79" s="37" t="n">
        <f aca="false">③기타_가정!$E$38*③기타_가정!$E$129*(③기타_가정!$E$133*SUMIF(③기타_가정!$L$124:$L$128,DC6,③기타_가정!$K$124:$K$128)+IF(DC15=13,③기타_가정!$E$134-③기타_가정!$E$133,0)+IF(DC15=25,③기타_가정!$E$135-③기타_가정!$E$134,0))</f>
        <v>0</v>
      </c>
      <c r="DD79" s="37" t="n">
        <f aca="false">③기타_가정!$E$38*③기타_가정!$E$129*(③기타_가정!$E$133*SUMIF(③기타_가정!$L$124:$L$128,DD6,③기타_가정!$K$124:$K$128)+IF(DD15=13,③기타_가정!$E$134-③기타_가정!$E$133,0)+IF(DD15=25,③기타_가정!$E$135-③기타_가정!$E$134,0))</f>
        <v>0</v>
      </c>
      <c r="DE79" s="37" t="n">
        <f aca="false">③기타_가정!$E$38*③기타_가정!$E$129*(③기타_가정!$E$133*SUMIF(③기타_가정!$L$124:$L$128,DE6,③기타_가정!$K$124:$K$128)+IF(DE15=13,③기타_가정!$E$134-③기타_가정!$E$133,0)+IF(DE15=25,③기타_가정!$E$135-③기타_가정!$E$134,0))</f>
        <v>0</v>
      </c>
      <c r="DF79" s="37" t="n">
        <f aca="false">③기타_가정!$E$38*③기타_가정!$E$129*(③기타_가정!$E$133*SUMIF(③기타_가정!$L$124:$L$128,DF6,③기타_가정!$K$124:$K$128)+IF(DF15=13,③기타_가정!$E$134-③기타_가정!$E$133,0)+IF(DF15=25,③기타_가정!$E$135-③기타_가정!$E$134,0))</f>
        <v>0</v>
      </c>
      <c r="DG79" s="37" t="n">
        <f aca="false">③기타_가정!$E$38*③기타_가정!$E$129*(③기타_가정!$E$133*SUMIF(③기타_가정!$L$124:$L$128,DG6,③기타_가정!$K$124:$K$128)+IF(DG15=13,③기타_가정!$E$134-③기타_가정!$E$133,0)+IF(DG15=25,③기타_가정!$E$135-③기타_가정!$E$134,0))</f>
        <v>0</v>
      </c>
      <c r="DH79" s="37" t="n">
        <f aca="false">③기타_가정!$E$38*③기타_가정!$E$129*(③기타_가정!$E$133*SUMIF(③기타_가정!$L$124:$L$128,DH6,③기타_가정!$K$124:$K$128)+IF(DH15=13,③기타_가정!$E$134-③기타_가정!$E$133,0)+IF(DH15=25,③기타_가정!$E$135-③기타_가정!$E$134,0))</f>
        <v>0</v>
      </c>
      <c r="DI79" s="37" t="n">
        <f aca="false">③기타_가정!$E$38*③기타_가정!$E$129*(③기타_가정!$E$133*SUMIF(③기타_가정!$L$124:$L$128,DI6,③기타_가정!$K$124:$K$128)+IF(DI15=13,③기타_가정!$E$134-③기타_가정!$E$133,0)+IF(DI15=25,③기타_가정!$E$135-③기타_가정!$E$134,0))</f>
        <v>0</v>
      </c>
      <c r="DJ79" s="37" t="n">
        <f aca="false">③기타_가정!$E$38*③기타_가정!$E$129*(③기타_가정!$E$133*SUMIF(③기타_가정!$L$124:$L$128,DJ6,③기타_가정!$K$124:$K$128)+IF(DJ15=13,③기타_가정!$E$134-③기타_가정!$E$133,0)+IF(DJ15=25,③기타_가정!$E$135-③기타_가정!$E$134,0))</f>
        <v>0</v>
      </c>
      <c r="DK79" s="37" t="n">
        <f aca="false">③기타_가정!$E$38*③기타_가정!$E$129*(③기타_가정!$E$133*SUMIF(③기타_가정!$L$124:$L$128,DK6,③기타_가정!$K$124:$K$128)+IF(DK15=13,③기타_가정!$E$134-③기타_가정!$E$133,0)+IF(DK15=25,③기타_가정!$E$135-③기타_가정!$E$134,0))</f>
        <v>0</v>
      </c>
      <c r="DL79" s="37" t="n">
        <f aca="false">③기타_가정!$E$38*③기타_가정!$E$129*(③기타_가정!$E$133*SUMIF(③기타_가정!$L$124:$L$128,DL6,③기타_가정!$K$124:$K$128)+IF(DL15=13,③기타_가정!$E$134-③기타_가정!$E$133,0)+IF(DL15=25,③기타_가정!$E$135-③기타_가정!$E$134,0))</f>
        <v>0</v>
      </c>
      <c r="DM79" s="37" t="n">
        <f aca="false">③기타_가정!$E$38*③기타_가정!$E$129*(③기타_가정!$E$133*SUMIF(③기타_가정!$L$124:$L$128,DM6,③기타_가정!$K$124:$K$128)+IF(DM15=13,③기타_가정!$E$134-③기타_가정!$E$133,0)+IF(DM15=25,③기타_가정!$E$135-③기타_가정!$E$134,0))</f>
        <v>0</v>
      </c>
      <c r="DN79" s="37" t="n">
        <f aca="false">③기타_가정!$E$38*③기타_가정!$E$129*(③기타_가정!$E$133*SUMIF(③기타_가정!$L$124:$L$128,DN6,③기타_가정!$K$124:$K$128)+IF(DN15=13,③기타_가정!$E$134-③기타_가정!$E$133,0)+IF(DN15=25,③기타_가정!$E$135-③기타_가정!$E$134,0))</f>
        <v>0</v>
      </c>
      <c r="DO79" s="37" t="n">
        <f aca="false">③기타_가정!$E$38*③기타_가정!$E$129*(③기타_가정!$E$133*SUMIF(③기타_가정!$L$124:$L$128,DO6,③기타_가정!$K$124:$K$128)+IF(DO15=13,③기타_가정!$E$134-③기타_가정!$E$133,0)+IF(DO15=25,③기타_가정!$E$135-③기타_가정!$E$134,0))</f>
        <v>0</v>
      </c>
      <c r="DP79" s="37" t="n">
        <f aca="false">③기타_가정!$E$38*③기타_가정!$E$129*(③기타_가정!$E$133*SUMIF(③기타_가정!$L$124:$L$128,DP6,③기타_가정!$K$124:$K$128)+IF(DP15=13,③기타_가정!$E$134-③기타_가정!$E$133,0)+IF(DP15=25,③기타_가정!$E$135-③기타_가정!$E$134,0))</f>
        <v>0</v>
      </c>
      <c r="DQ79" s="37" t="n">
        <f aca="false">③기타_가정!$E$38*③기타_가정!$E$129*(③기타_가정!$E$133*SUMIF(③기타_가정!$L$124:$L$128,DQ6,③기타_가정!$K$124:$K$128)+IF(DQ15=13,③기타_가정!$E$134-③기타_가정!$E$133,0)+IF(DQ15=25,③기타_가정!$E$135-③기타_가정!$E$134,0))</f>
        <v>0</v>
      </c>
      <c r="DR79" s="37" t="n">
        <f aca="false">③기타_가정!$E$38*③기타_가정!$E$129*(③기타_가정!$E$133*SUMIF(③기타_가정!$L$124:$L$128,DR6,③기타_가정!$K$124:$K$128)+IF(DR15=13,③기타_가정!$E$134-③기타_가정!$E$133,0)+IF(DR15=25,③기타_가정!$E$135-③기타_가정!$E$134,0))</f>
        <v>0</v>
      </c>
      <c r="DS79" s="37" t="n">
        <f aca="false">③기타_가정!$E$38*③기타_가정!$E$129*(③기타_가정!$E$133*SUMIF(③기타_가정!$L$124:$L$128,DS6,③기타_가정!$K$124:$K$128)+IF(DS15=13,③기타_가정!$E$134-③기타_가정!$E$133,0)+IF(DS15=25,③기타_가정!$E$135-③기타_가정!$E$134,0))</f>
        <v>0</v>
      </c>
      <c r="DT79" s="37" t="n">
        <f aca="false">③기타_가정!$E$38*③기타_가정!$E$129*(③기타_가정!$E$133*SUMIF(③기타_가정!$L$124:$L$128,DT6,③기타_가정!$K$124:$K$128)+IF(DT15=13,③기타_가정!$E$134-③기타_가정!$E$133,0)+IF(DT15=25,③기타_가정!$E$135-③기타_가정!$E$134,0))</f>
        <v>0</v>
      </c>
      <c r="DU79" s="37" t="n">
        <f aca="false">③기타_가정!$E$38*③기타_가정!$E$129*(③기타_가정!$E$133*SUMIF(③기타_가정!$L$124:$L$128,DU6,③기타_가정!$K$124:$K$128)+IF(DU15=13,③기타_가정!$E$134-③기타_가정!$E$133,0)+IF(DU15=25,③기타_가정!$E$135-③기타_가정!$E$134,0))</f>
        <v>0</v>
      </c>
      <c r="DV79" s="37" t="n">
        <f aca="false">③기타_가정!$E$38*③기타_가정!$E$129*(③기타_가정!$E$133*SUMIF(③기타_가정!$L$124:$L$128,DV6,③기타_가정!$K$124:$K$128)+IF(DV15=13,③기타_가정!$E$134-③기타_가정!$E$133,0)+IF(DV15=25,③기타_가정!$E$135-③기타_가정!$E$134,0))</f>
        <v>0</v>
      </c>
      <c r="DW79" s="37" t="n">
        <f aca="false">③기타_가정!$E$38*③기타_가정!$E$129*(③기타_가정!$E$133*SUMIF(③기타_가정!$L$124:$L$128,DW6,③기타_가정!$K$124:$K$128)+IF(DW15=13,③기타_가정!$E$134-③기타_가정!$E$133,0)+IF(DW15=25,③기타_가정!$E$135-③기타_가정!$E$134,0))</f>
        <v>0</v>
      </c>
      <c r="DX79" s="37" t="n">
        <f aca="false">③기타_가정!$E$38*③기타_가정!$E$129*(③기타_가정!$E$133*SUMIF(③기타_가정!$L$124:$L$128,DX6,③기타_가정!$K$124:$K$128)+IF(DX15=13,③기타_가정!$E$134-③기타_가정!$E$133,0)+IF(DX15=25,③기타_가정!$E$135-③기타_가정!$E$134,0))</f>
        <v>0</v>
      </c>
      <c r="DY79" s="37" t="n">
        <f aca="false">③기타_가정!$E$38*③기타_가정!$E$129*(③기타_가정!$E$133*SUMIF(③기타_가정!$L$124:$L$128,DY6,③기타_가정!$K$124:$K$128)+IF(DY15=13,③기타_가정!$E$134-③기타_가정!$E$133,0)+IF(DY15=25,③기타_가정!$E$135-③기타_가정!$E$134,0))</f>
        <v>0</v>
      </c>
      <c r="DZ79" s="37" t="n">
        <f aca="false">③기타_가정!$E$38*③기타_가정!$E$129*(③기타_가정!$E$133*SUMIF(③기타_가정!$L$124:$L$128,DZ6,③기타_가정!$K$124:$K$128)+IF(DZ15=13,③기타_가정!$E$134-③기타_가정!$E$133,0)+IF(DZ15=25,③기타_가정!$E$135-③기타_가정!$E$134,0))</f>
        <v>0</v>
      </c>
      <c r="EA79" s="37" t="n">
        <f aca="false">③기타_가정!$E$38*③기타_가정!$E$129*(③기타_가정!$E$133*SUMIF(③기타_가정!$L$124:$L$128,EA6,③기타_가정!$K$124:$K$128)+IF(EA15=13,③기타_가정!$E$134-③기타_가정!$E$133,0)+IF(EA15=25,③기타_가정!$E$135-③기타_가정!$E$134,0))</f>
        <v>0</v>
      </c>
      <c r="EB79" s="37" t="n">
        <f aca="false">③기타_가정!$E$38*③기타_가정!$E$129*(③기타_가정!$E$133*SUMIF(③기타_가정!$L$124:$L$128,EB6,③기타_가정!$K$124:$K$128)+IF(EB15=13,③기타_가정!$E$134-③기타_가정!$E$133,0)+IF(EB15=25,③기타_가정!$E$135-③기타_가정!$E$134,0))</f>
        <v>0</v>
      </c>
      <c r="EC79" s="37" t="n">
        <f aca="false">③기타_가정!$E$38*③기타_가정!$E$129*(③기타_가정!$E$133*SUMIF(③기타_가정!$L$124:$L$128,EC6,③기타_가정!$K$124:$K$128)+IF(EC15=13,③기타_가정!$E$134-③기타_가정!$E$133,0)+IF(EC15=25,③기타_가정!$E$135-③기타_가정!$E$134,0))</f>
        <v>0</v>
      </c>
      <c r="ED79" s="37" t="n">
        <f aca="false">③기타_가정!$E$38*③기타_가정!$E$129*(③기타_가정!$E$133*SUMIF(③기타_가정!$L$124:$L$128,ED6,③기타_가정!$K$124:$K$128)+IF(ED15=13,③기타_가정!$E$134-③기타_가정!$E$133,0)+IF(ED15=25,③기타_가정!$E$135-③기타_가정!$E$134,0))</f>
        <v>0</v>
      </c>
      <c r="EE79" s="37" t="n">
        <f aca="false">③기타_가정!$E$38*③기타_가정!$E$129*(③기타_가정!$E$133*SUMIF(③기타_가정!$L$124:$L$128,EE6,③기타_가정!$K$124:$K$128)+IF(EE15=13,③기타_가정!$E$134-③기타_가정!$E$133,0)+IF(EE15=25,③기타_가정!$E$135-③기타_가정!$E$134,0))</f>
        <v>0</v>
      </c>
      <c r="EF79" s="37" t="n">
        <f aca="false">③기타_가정!$E$38*③기타_가정!$E$129*(③기타_가정!$E$133*SUMIF(③기타_가정!$L$124:$L$128,EF6,③기타_가정!$K$124:$K$128)+IF(EF15=13,③기타_가정!$E$134-③기타_가정!$E$133,0)+IF(EF15=25,③기타_가정!$E$135-③기타_가정!$E$134,0))</f>
        <v>0</v>
      </c>
    </row>
    <row r="80" customFormat="false" ht="15" hidden="false" customHeight="false" outlineLevel="0" collapsed="false">
      <c r="A80" s="36" t="s">
        <v>622</v>
      </c>
      <c r="B80" s="278" t="s">
        <v>21</v>
      </c>
      <c r="C80" s="279" t="n">
        <f aca="false">SUM(E80:EF80)</f>
        <v>66000</v>
      </c>
      <c r="E80" s="37" t="n">
        <f aca="false">③기타_가정!$F$38*③기타_가정!$E$151*(IF(E15=1,③기타_가정!$E$156,0)+IF(E15=13,③기타_가정!$E$157-③기타_가정!$E$156,0)+IF(E15=25,③기타_가정!$E$158-③기타_가정!$E$157,0))</f>
        <v>0</v>
      </c>
      <c r="F80" s="37" t="n">
        <f aca="false">③기타_가정!$F$38*③기타_가정!$E$151*(IF(F15=1,③기타_가정!$E$156,0)+IF(F15=13,③기타_가정!$E$157-③기타_가정!$E$156,0)+IF(F15=25,③기타_가정!$E$158-③기타_가정!$E$157,0))</f>
        <v>0</v>
      </c>
      <c r="G80" s="37" t="n">
        <f aca="false">③기타_가정!$F$38*③기타_가정!$E$151*(IF(G15=1,③기타_가정!$E$156,0)+IF(G15=13,③기타_가정!$E$157-③기타_가정!$E$156,0)+IF(G15=25,③기타_가정!$E$158-③기타_가정!$E$157,0))</f>
        <v>0</v>
      </c>
      <c r="H80" s="37" t="n">
        <f aca="false">③기타_가정!$F$38*③기타_가정!$E$151*(IF(H15=1,③기타_가정!$E$156,0)+IF(H15=13,③기타_가정!$E$157-③기타_가정!$E$156,0)+IF(H15=25,③기타_가정!$E$158-③기타_가정!$E$157,0))</f>
        <v>0</v>
      </c>
      <c r="I80" s="37" t="n">
        <f aca="false">③기타_가정!$F$38*③기타_가정!$E$151*(IF(I15=1,③기타_가정!$E$156,0)+IF(I15=13,③기타_가정!$E$157-③기타_가정!$E$156,0)+IF(I15=25,③기타_가정!$E$158-③기타_가정!$E$157,0))</f>
        <v>0</v>
      </c>
      <c r="J80" s="37" t="n">
        <f aca="false">③기타_가정!$F$38*③기타_가정!$E$151*(IF(J15=1,③기타_가정!$E$156,0)+IF(J15=13,③기타_가정!$E$157-③기타_가정!$E$156,0)+IF(J15=25,③기타_가정!$E$158-③기타_가정!$E$157,0))</f>
        <v>0</v>
      </c>
      <c r="K80" s="37" t="n">
        <f aca="false">③기타_가정!$F$38*③기타_가정!$E$151*(IF(K15=1,③기타_가정!$E$156,0)+IF(K15=13,③기타_가정!$E$157-③기타_가정!$E$156,0)+IF(K15=25,③기타_가정!$E$158-③기타_가정!$E$157,0))</f>
        <v>0</v>
      </c>
      <c r="L80" s="37" t="n">
        <f aca="false">③기타_가정!$F$38*③기타_가정!$E$151*(IF(L15=1,③기타_가정!$E$156,0)+IF(L15=13,③기타_가정!$E$157-③기타_가정!$E$156,0)+IF(L15=25,③기타_가정!$E$158-③기타_가정!$E$157,0))</f>
        <v>0</v>
      </c>
      <c r="M80" s="37" t="n">
        <f aca="false">③기타_가정!$F$38*③기타_가정!$E$151*(IF(M15=1,③기타_가정!$E$156,0)+IF(M15=13,③기타_가정!$E$157-③기타_가정!$E$156,0)+IF(M15=25,③기타_가정!$E$158-③기타_가정!$E$157,0))</f>
        <v>0</v>
      </c>
      <c r="N80" s="37" t="n">
        <f aca="false">③기타_가정!$F$38*③기타_가정!$E$151*(IF(N15=1,③기타_가정!$E$156,0)+IF(N15=13,③기타_가정!$E$157-③기타_가정!$E$156,0)+IF(N15=25,③기타_가정!$E$158-③기타_가정!$E$157,0))</f>
        <v>0</v>
      </c>
      <c r="O80" s="37" t="n">
        <f aca="false">③기타_가정!$F$38*③기타_가정!$E$151*(IF(O15=1,③기타_가정!$E$156,0)+IF(O15=13,③기타_가정!$E$157-③기타_가정!$E$156,0)+IF(O15=25,③기타_가정!$E$158-③기타_가정!$E$157,0))</f>
        <v>0</v>
      </c>
      <c r="P80" s="37" t="n">
        <f aca="false">③기타_가정!$F$38*③기타_가정!$E$151*(IF(P15=1,③기타_가정!$E$156,0)+IF(P15=13,③기타_가정!$E$157-③기타_가정!$E$156,0)+IF(P15=25,③기타_가정!$E$158-③기타_가정!$E$157,0))</f>
        <v>0</v>
      </c>
      <c r="Q80" s="37" t="n">
        <f aca="false">③기타_가정!$F$38*③기타_가정!$E$151*(IF(Q15=1,③기타_가정!$E$156,0)+IF(Q15=13,③기타_가정!$E$157-③기타_가정!$E$156,0)+IF(Q15=25,③기타_가정!$E$158-③기타_가정!$E$157,0))</f>
        <v>0</v>
      </c>
      <c r="R80" s="37" t="n">
        <f aca="false">③기타_가정!$F$38*③기타_가정!$E$151*(IF(R15=1,③기타_가정!$E$156,0)+IF(R15=13,③기타_가정!$E$157-③기타_가정!$E$156,0)+IF(R15=25,③기타_가정!$E$158-③기타_가정!$E$157,0))</f>
        <v>0</v>
      </c>
      <c r="S80" s="37" t="n">
        <f aca="false">③기타_가정!$F$38*③기타_가정!$E$151*(IF(S15=1,③기타_가정!$E$156,0)+IF(S15=13,③기타_가정!$E$157-③기타_가정!$E$156,0)+IF(S15=25,③기타_가정!$E$158-③기타_가정!$E$157,0))</f>
        <v>0</v>
      </c>
      <c r="T80" s="37" t="n">
        <f aca="false">③기타_가정!$F$38*③기타_가정!$E$151*(IF(T15=1,③기타_가정!$E$156,0)+IF(T15=13,③기타_가정!$E$157-③기타_가정!$E$156,0)+IF(T15=25,③기타_가정!$E$158-③기타_가정!$E$157,0))</f>
        <v>0</v>
      </c>
      <c r="U80" s="37" t="n">
        <f aca="false">③기타_가정!$F$38*③기타_가정!$E$151*(IF(U15=1,③기타_가정!$E$156,0)+IF(U15=13,③기타_가정!$E$157-③기타_가정!$E$156,0)+IF(U15=25,③기타_가정!$E$158-③기타_가정!$E$157,0))</f>
        <v>0</v>
      </c>
      <c r="V80" s="37" t="n">
        <f aca="false">③기타_가정!$F$38*③기타_가정!$E$151*(IF(V15=1,③기타_가정!$E$156,0)+IF(V15=13,③기타_가정!$E$157-③기타_가정!$E$156,0)+IF(V15=25,③기타_가정!$E$158-③기타_가정!$E$157,0))</f>
        <v>0</v>
      </c>
      <c r="W80" s="37" t="n">
        <f aca="false">③기타_가정!$F$38*③기타_가정!$E$151*(IF(W15=1,③기타_가정!$E$156,0)+IF(W15=13,③기타_가정!$E$157-③기타_가정!$E$156,0)+IF(W15=25,③기타_가정!$E$158-③기타_가정!$E$157,0))</f>
        <v>0</v>
      </c>
      <c r="X80" s="37" t="n">
        <f aca="false">③기타_가정!$F$38*③기타_가정!$E$151*(IF(X15=1,③기타_가정!$E$156,0)+IF(X15=13,③기타_가정!$E$157-③기타_가정!$E$156,0)+IF(X15=25,③기타_가정!$E$158-③기타_가정!$E$157,0))</f>
        <v>0</v>
      </c>
      <c r="Y80" s="37" t="n">
        <f aca="false">③기타_가정!$F$38*③기타_가정!$E$151*(IF(Y15=1,③기타_가정!$E$156,0)+IF(Y15=13,③기타_가정!$E$157-③기타_가정!$E$156,0)+IF(Y15=25,③기타_가정!$E$158-③기타_가정!$E$157,0))</f>
        <v>0</v>
      </c>
      <c r="Z80" s="37" t="n">
        <f aca="false">③기타_가정!$F$38*③기타_가정!$E$151*(IF(Z15=1,③기타_가정!$E$156,0)+IF(Z15=13,③기타_가정!$E$157-③기타_가정!$E$156,0)+IF(Z15=25,③기타_가정!$E$158-③기타_가정!$E$157,0))</f>
        <v>0</v>
      </c>
      <c r="AA80" s="37" t="n">
        <f aca="false">③기타_가정!$F$38*③기타_가정!$E$151*(IF(AA15=1,③기타_가정!$E$156,0)+IF(AA15=13,③기타_가정!$E$157-③기타_가정!$E$156,0)+IF(AA15=25,③기타_가정!$E$158-③기타_가정!$E$157,0))</f>
        <v>0</v>
      </c>
      <c r="AB80" s="37" t="n">
        <f aca="false">③기타_가정!$F$38*③기타_가정!$E$151*(IF(AB15=1,③기타_가정!$E$156,0)+IF(AB15=13,③기타_가정!$E$157-③기타_가정!$E$156,0)+IF(AB15=25,③기타_가정!$E$158-③기타_가정!$E$157,0))</f>
        <v>0</v>
      </c>
      <c r="AC80" s="37" t="n">
        <f aca="false">③기타_가정!$F$38*③기타_가정!$E$151*(IF(AC15=1,③기타_가정!$E$156,0)+IF(AC15=13,③기타_가정!$E$157-③기타_가정!$E$156,0)+IF(AC15=25,③기타_가정!$E$158-③기타_가정!$E$157,0))</f>
        <v>0</v>
      </c>
      <c r="AD80" s="37" t="n">
        <f aca="false">③기타_가정!$F$38*③기타_가정!$E$151*(IF(AD15=1,③기타_가정!$E$156,0)+IF(AD15=13,③기타_가정!$E$157-③기타_가정!$E$156,0)+IF(AD15=25,③기타_가정!$E$158-③기타_가정!$E$157,0))</f>
        <v>0</v>
      </c>
      <c r="AE80" s="37" t="n">
        <f aca="false">③기타_가정!$F$38*③기타_가정!$E$151*(IF(AE15=1,③기타_가정!$E$156,0)+IF(AE15=13,③기타_가정!$E$157-③기타_가정!$E$156,0)+IF(AE15=25,③기타_가정!$E$158-③기타_가정!$E$157,0))</f>
        <v>0</v>
      </c>
      <c r="AF80" s="37" t="n">
        <f aca="false">③기타_가정!$F$38*③기타_가정!$E$151*(IF(AF15=1,③기타_가정!$E$156,0)+IF(AF15=13,③기타_가정!$E$157-③기타_가정!$E$156,0)+IF(AF15=25,③기타_가정!$E$158-③기타_가정!$E$157,0))</f>
        <v>0</v>
      </c>
      <c r="AG80" s="37" t="n">
        <f aca="false">③기타_가정!$F$38*③기타_가정!$E$151*(IF(AG15=1,③기타_가정!$E$156,0)+IF(AG15=13,③기타_가정!$E$157-③기타_가정!$E$156,0)+IF(AG15=25,③기타_가정!$E$158-③기타_가정!$E$157,0))</f>
        <v>0</v>
      </c>
      <c r="AH80" s="37" t="n">
        <f aca="false">③기타_가정!$F$38*③기타_가정!$E$151*(IF(AH15=1,③기타_가정!$E$156,0)+IF(AH15=13,③기타_가정!$E$157-③기타_가정!$E$156,0)+IF(AH15=25,③기타_가정!$E$158-③기타_가정!$E$157,0))</f>
        <v>0</v>
      </c>
      <c r="AI80" s="37" t="n">
        <f aca="false">③기타_가정!$F$38*③기타_가정!$E$151*(IF(AI15=1,③기타_가정!$E$156,0)+IF(AI15=13,③기타_가정!$E$157-③기타_가정!$E$156,0)+IF(AI15=25,③기타_가정!$E$158-③기타_가정!$E$157,0))</f>
        <v>0</v>
      </c>
      <c r="AJ80" s="37" t="n">
        <f aca="false">③기타_가정!$F$38*③기타_가정!$E$151*(IF(AJ15=1,③기타_가정!$E$156,0)+IF(AJ15=13,③기타_가정!$E$157-③기타_가정!$E$156,0)+IF(AJ15=25,③기타_가정!$E$158-③기타_가정!$E$157,0))</f>
        <v>0</v>
      </c>
      <c r="AK80" s="37" t="n">
        <f aca="false">③기타_가정!$F$38*③기타_가정!$E$151*(IF(AK15=1,③기타_가정!$E$156,0)+IF(AK15=13,③기타_가정!$E$157-③기타_가정!$E$156,0)+IF(AK15=25,③기타_가정!$E$158-③기타_가정!$E$157,0))</f>
        <v>0</v>
      </c>
      <c r="AL80" s="37" t="n">
        <f aca="false">③기타_가정!$F$38*③기타_가정!$E$151*(IF(AL15=1,③기타_가정!$E$156,0)+IF(AL15=13,③기타_가정!$E$157-③기타_가정!$E$156,0)+IF(AL15=25,③기타_가정!$E$158-③기타_가정!$E$157,0))</f>
        <v>0</v>
      </c>
      <c r="AM80" s="37" t="n">
        <f aca="false">③기타_가정!$F$38*③기타_가정!$E$151*(IF(AM15=1,③기타_가정!$E$156,0)+IF(AM15=13,③기타_가정!$E$157-③기타_가정!$E$156,0)+IF(AM15=25,③기타_가정!$E$158-③기타_가정!$E$157,0))</f>
        <v>0</v>
      </c>
      <c r="AN80" s="37" t="n">
        <f aca="false">③기타_가정!$F$38*③기타_가정!$E$151*(IF(AN15=1,③기타_가정!$E$156,0)+IF(AN15=13,③기타_가정!$E$157-③기타_가정!$E$156,0)+IF(AN15=25,③기타_가정!$E$158-③기타_가정!$E$157,0))</f>
        <v>0</v>
      </c>
      <c r="AO80" s="37" t="n">
        <f aca="false">③기타_가정!$F$38*③기타_가정!$E$151*(IF(AO15=1,③기타_가정!$E$156,0)+IF(AO15=13,③기타_가정!$E$157-③기타_가정!$E$156,0)+IF(AO15=25,③기타_가정!$E$158-③기타_가정!$E$157,0))</f>
        <v>0</v>
      </c>
      <c r="AP80" s="37" t="n">
        <f aca="false">③기타_가정!$F$38*③기타_가정!$E$151*(IF(AP15=1,③기타_가정!$E$156,0)+IF(AP15=13,③기타_가정!$E$157-③기타_가정!$E$156,0)+IF(AP15=25,③기타_가정!$E$158-③기타_가정!$E$157,0))</f>
        <v>0</v>
      </c>
      <c r="AQ80" s="37" t="n">
        <f aca="false">③기타_가정!$F$38*③기타_가정!$E$151*(IF(AQ15=1,③기타_가정!$E$156,0)+IF(AQ15=13,③기타_가정!$E$157-③기타_가정!$E$156,0)+IF(AQ15=25,③기타_가정!$E$158-③기타_가정!$E$157,0))</f>
        <v>0</v>
      </c>
      <c r="AR80" s="37" t="n">
        <f aca="false">③기타_가정!$F$38*③기타_가정!$E$151*(IF(AR15=1,③기타_가정!$E$156,0)+IF(AR15=13,③기타_가정!$E$157-③기타_가정!$E$156,0)+IF(AR15=25,③기타_가정!$E$158-③기타_가정!$E$157,0))</f>
        <v>0</v>
      </c>
      <c r="AS80" s="37" t="n">
        <f aca="false">③기타_가정!$F$38*③기타_가정!$E$151*(IF(AS15=1,③기타_가정!$E$156,0)+IF(AS15=13,③기타_가정!$E$157-③기타_가정!$E$156,0)+IF(AS15=25,③기타_가정!$E$158-③기타_가정!$E$157,0))</f>
        <v>0</v>
      </c>
      <c r="AT80" s="37" t="n">
        <f aca="false">③기타_가정!$F$38*③기타_가정!$E$151*(IF(AT15=1,③기타_가정!$E$156,0)+IF(AT15=13,③기타_가정!$E$157-③기타_가정!$E$156,0)+IF(AT15=25,③기타_가정!$E$158-③기타_가정!$E$157,0))</f>
        <v>0</v>
      </c>
      <c r="AU80" s="37" t="n">
        <f aca="false">③기타_가정!$F$38*③기타_가정!$E$151*(IF(AU15=1,③기타_가정!$E$156,0)+IF(AU15=13,③기타_가정!$E$157-③기타_가정!$E$156,0)+IF(AU15=25,③기타_가정!$E$158-③기타_가정!$E$157,0))</f>
        <v>0</v>
      </c>
      <c r="AV80" s="37" t="n">
        <f aca="false">③기타_가정!$F$38*③기타_가정!$E$151*(IF(AV15=1,③기타_가정!$E$156,0)+IF(AV15=13,③기타_가정!$E$157-③기타_가정!$E$156,0)+IF(AV15=25,③기타_가정!$E$158-③기타_가정!$E$157,0))</f>
        <v>0</v>
      </c>
      <c r="AW80" s="37" t="n">
        <f aca="false">③기타_가정!$F$38*③기타_가정!$E$151*(IF(AW15=1,③기타_가정!$E$156,0)+IF(AW15=13,③기타_가정!$E$157-③기타_가정!$E$156,0)+IF(AW15=25,③기타_가정!$E$158-③기타_가정!$E$157,0))</f>
        <v>0</v>
      </c>
      <c r="AX80" s="37" t="n">
        <f aca="false">③기타_가정!$F$38*③기타_가정!$E$151*(IF(AX15=1,③기타_가정!$E$156,0)+IF(AX15=13,③기타_가정!$E$157-③기타_가정!$E$156,0)+IF(AX15=25,③기타_가정!$E$158-③기타_가정!$E$157,0))</f>
        <v>0</v>
      </c>
      <c r="AY80" s="37" t="n">
        <f aca="false">③기타_가정!$F$38*③기타_가정!$E$151*(IF(AY15=1,③기타_가정!$E$156,0)+IF(AY15=13,③기타_가정!$E$157-③기타_가정!$E$156,0)+IF(AY15=25,③기타_가정!$E$158-③기타_가정!$E$157,0))</f>
        <v>0</v>
      </c>
      <c r="AZ80" s="37" t="n">
        <f aca="false">③기타_가정!$F$38*③기타_가정!$E$151*(IF(AZ15=1,③기타_가정!$E$156,0)+IF(AZ15=13,③기타_가정!$E$157-③기타_가정!$E$156,0)+IF(AZ15=25,③기타_가정!$E$158-③기타_가정!$E$157,0))</f>
        <v>0</v>
      </c>
      <c r="BA80" s="37" t="n">
        <f aca="false">③기타_가정!$F$38*③기타_가정!$E$151*(IF(BA15=1,③기타_가정!$E$156,0)+IF(BA15=13,③기타_가정!$E$157-③기타_가정!$E$156,0)+IF(BA15=25,③기타_가정!$E$158-③기타_가정!$E$157,0))</f>
        <v>0</v>
      </c>
      <c r="BB80" s="37" t="n">
        <f aca="false">③기타_가정!$F$38*③기타_가정!$E$151*(IF(BB15=1,③기타_가정!$E$156,0)+IF(BB15=13,③기타_가정!$E$157-③기타_가정!$E$156,0)+IF(BB15=25,③기타_가정!$E$158-③기타_가정!$E$157,0))</f>
        <v>0</v>
      </c>
      <c r="BC80" s="37" t="n">
        <f aca="false">③기타_가정!$F$38*③기타_가정!$E$151*(IF(BC15=1,③기타_가정!$E$156,0)+IF(BC15=13,③기타_가정!$E$157-③기타_가정!$E$156,0)+IF(BC15=25,③기타_가정!$E$158-③기타_가정!$E$157,0))</f>
        <v>0</v>
      </c>
      <c r="BD80" s="37" t="n">
        <f aca="false">③기타_가정!$F$38*③기타_가정!$E$151*(IF(BD15=1,③기타_가정!$E$156,0)+IF(BD15=13,③기타_가정!$E$157-③기타_가정!$E$156,0)+IF(BD15=25,③기타_가정!$E$158-③기타_가정!$E$157,0))</f>
        <v>0</v>
      </c>
      <c r="BE80" s="37" t="n">
        <f aca="false">③기타_가정!$F$38*③기타_가정!$E$151*(IF(BE15=1,③기타_가정!$E$156,0)+IF(BE15=13,③기타_가정!$E$157-③기타_가정!$E$156,0)+IF(BE15=25,③기타_가정!$E$158-③기타_가정!$E$157,0))</f>
        <v>0</v>
      </c>
      <c r="BF80" s="37" t="n">
        <f aca="false">③기타_가정!$F$38*③기타_가정!$E$151*(IF(BF15=1,③기타_가정!$E$156,0)+IF(BF15=13,③기타_가정!$E$157-③기타_가정!$E$156,0)+IF(BF15=25,③기타_가정!$E$158-③기타_가정!$E$157,0))</f>
        <v>0</v>
      </c>
      <c r="BG80" s="37" t="n">
        <f aca="false">③기타_가정!$F$38*③기타_가정!$E$151*(IF(BG15=1,③기타_가정!$E$156,0)+IF(BG15=13,③기타_가정!$E$157-③기타_가정!$E$156,0)+IF(BG15=25,③기타_가정!$E$158-③기타_가정!$E$157,0))</f>
        <v>0</v>
      </c>
      <c r="BH80" s="37" t="n">
        <f aca="false">③기타_가정!$F$38*③기타_가정!$E$151*(IF(BH15=1,③기타_가정!$E$156,0)+IF(BH15=13,③기타_가정!$E$157-③기타_가정!$E$156,0)+IF(BH15=25,③기타_가정!$E$158-③기타_가정!$E$157,0))</f>
        <v>0</v>
      </c>
      <c r="BI80" s="37" t="n">
        <f aca="false">③기타_가정!$F$38*③기타_가정!$E$151*(IF(BI15=1,③기타_가정!$E$156,0)+IF(BI15=13,③기타_가정!$E$157-③기타_가정!$E$156,0)+IF(BI15=25,③기타_가정!$E$158-③기타_가정!$E$157,0))</f>
        <v>0</v>
      </c>
      <c r="BJ80" s="37" t="n">
        <f aca="false">③기타_가정!$F$38*③기타_가정!$E$151*(IF(BJ15=1,③기타_가정!$E$156,0)+IF(BJ15=13,③기타_가정!$E$157-③기타_가정!$E$156,0)+IF(BJ15=25,③기타_가정!$E$158-③기타_가정!$E$157,0))</f>
        <v>0</v>
      </c>
      <c r="BK80" s="37" t="n">
        <f aca="false">③기타_가정!$F$38*③기타_가정!$E$151*(IF(BK15=1,③기타_가정!$E$156,0)+IF(BK15=13,③기타_가정!$E$157-③기타_가정!$E$156,0)+IF(BK15=25,③기타_가정!$E$158-③기타_가정!$E$157,0))</f>
        <v>0</v>
      </c>
      <c r="BL80" s="37" t="n">
        <f aca="false">③기타_가정!$F$38*③기타_가정!$E$151*(IF(BL15=1,③기타_가정!$E$156,0)+IF(BL15=13,③기타_가정!$E$157-③기타_가정!$E$156,0)+IF(BL15=25,③기타_가정!$E$158-③기타_가정!$E$157,0))</f>
        <v>0</v>
      </c>
      <c r="BM80" s="37" t="n">
        <f aca="false">③기타_가정!$F$38*③기타_가정!$E$151*(IF(BM15=1,③기타_가정!$E$156,0)+IF(BM15=13,③기타_가정!$E$157-③기타_가정!$E$156,0)+IF(BM15=25,③기타_가정!$E$158-③기타_가정!$E$157,0))</f>
        <v>39600</v>
      </c>
      <c r="BN80" s="37" t="n">
        <f aca="false">③기타_가정!$F$38*③기타_가정!$E$151*(IF(BN15=1,③기타_가정!$E$156,0)+IF(BN15=13,③기타_가정!$E$157-③기타_가정!$E$156,0)+IF(BN15=25,③기타_가정!$E$158-③기타_가정!$E$157,0))</f>
        <v>0</v>
      </c>
      <c r="BO80" s="37" t="n">
        <f aca="false">③기타_가정!$F$38*③기타_가정!$E$151*(IF(BO15=1,③기타_가정!$E$156,0)+IF(BO15=13,③기타_가정!$E$157-③기타_가정!$E$156,0)+IF(BO15=25,③기타_가정!$E$158-③기타_가정!$E$157,0))</f>
        <v>0</v>
      </c>
      <c r="BP80" s="37" t="n">
        <f aca="false">③기타_가정!$F$38*③기타_가정!$E$151*(IF(BP15=1,③기타_가정!$E$156,0)+IF(BP15=13,③기타_가정!$E$157-③기타_가정!$E$156,0)+IF(BP15=25,③기타_가정!$E$158-③기타_가정!$E$157,0))</f>
        <v>0</v>
      </c>
      <c r="BQ80" s="37" t="n">
        <f aca="false">③기타_가정!$F$38*③기타_가정!$E$151*(IF(BQ15=1,③기타_가정!$E$156,0)+IF(BQ15=13,③기타_가정!$E$157-③기타_가정!$E$156,0)+IF(BQ15=25,③기타_가정!$E$158-③기타_가정!$E$157,0))</f>
        <v>0</v>
      </c>
      <c r="BR80" s="37" t="n">
        <f aca="false">③기타_가정!$F$38*③기타_가정!$E$151*(IF(BR15=1,③기타_가정!$E$156,0)+IF(BR15=13,③기타_가정!$E$157-③기타_가정!$E$156,0)+IF(BR15=25,③기타_가정!$E$158-③기타_가정!$E$157,0))</f>
        <v>0</v>
      </c>
      <c r="BS80" s="37" t="n">
        <f aca="false">③기타_가정!$F$38*③기타_가정!$E$151*(IF(BS15=1,③기타_가정!$E$156,0)+IF(BS15=13,③기타_가정!$E$157-③기타_가정!$E$156,0)+IF(BS15=25,③기타_가정!$E$158-③기타_가정!$E$157,0))</f>
        <v>0</v>
      </c>
      <c r="BT80" s="37" t="n">
        <f aca="false">③기타_가정!$F$38*③기타_가정!$E$151*(IF(BT15=1,③기타_가정!$E$156,0)+IF(BT15=13,③기타_가정!$E$157-③기타_가정!$E$156,0)+IF(BT15=25,③기타_가정!$E$158-③기타_가정!$E$157,0))</f>
        <v>0</v>
      </c>
      <c r="BU80" s="37" t="n">
        <f aca="false">③기타_가정!$F$38*③기타_가정!$E$151*(IF(BU15=1,③기타_가정!$E$156,0)+IF(BU15=13,③기타_가정!$E$157-③기타_가정!$E$156,0)+IF(BU15=25,③기타_가정!$E$158-③기타_가정!$E$157,0))</f>
        <v>0</v>
      </c>
      <c r="BV80" s="37" t="n">
        <f aca="false">③기타_가정!$F$38*③기타_가정!$E$151*(IF(BV15=1,③기타_가정!$E$156,0)+IF(BV15=13,③기타_가정!$E$157-③기타_가정!$E$156,0)+IF(BV15=25,③기타_가정!$E$158-③기타_가정!$E$157,0))</f>
        <v>0</v>
      </c>
      <c r="BW80" s="37" t="n">
        <f aca="false">③기타_가정!$F$38*③기타_가정!$E$151*(IF(BW15=1,③기타_가정!$E$156,0)+IF(BW15=13,③기타_가정!$E$157-③기타_가정!$E$156,0)+IF(BW15=25,③기타_가정!$E$158-③기타_가정!$E$157,0))</f>
        <v>0</v>
      </c>
      <c r="BX80" s="37" t="n">
        <f aca="false">③기타_가정!$F$38*③기타_가정!$E$151*(IF(BX15=1,③기타_가정!$E$156,0)+IF(BX15=13,③기타_가정!$E$157-③기타_가정!$E$156,0)+IF(BX15=25,③기타_가정!$E$158-③기타_가정!$E$157,0))</f>
        <v>0</v>
      </c>
      <c r="BY80" s="37" t="n">
        <f aca="false">③기타_가정!$F$38*③기타_가정!$E$151*(IF(BY15=1,③기타_가정!$E$156,0)+IF(BY15=13,③기타_가정!$E$157-③기타_가정!$E$156,0)+IF(BY15=25,③기타_가정!$E$158-③기타_가정!$E$157,0))</f>
        <v>13200</v>
      </c>
      <c r="BZ80" s="37" t="n">
        <f aca="false">③기타_가정!$F$38*③기타_가정!$E$151*(IF(BZ15=1,③기타_가정!$E$156,0)+IF(BZ15=13,③기타_가정!$E$157-③기타_가정!$E$156,0)+IF(BZ15=25,③기타_가정!$E$158-③기타_가정!$E$157,0))</f>
        <v>0</v>
      </c>
      <c r="CA80" s="37" t="n">
        <f aca="false">③기타_가정!$F$38*③기타_가정!$E$151*(IF(CA15=1,③기타_가정!$E$156,0)+IF(CA15=13,③기타_가정!$E$157-③기타_가정!$E$156,0)+IF(CA15=25,③기타_가정!$E$158-③기타_가정!$E$157,0))</f>
        <v>0</v>
      </c>
      <c r="CB80" s="37" t="n">
        <f aca="false">③기타_가정!$F$38*③기타_가정!$E$151*(IF(CB15=1,③기타_가정!$E$156,0)+IF(CB15=13,③기타_가정!$E$157-③기타_가정!$E$156,0)+IF(CB15=25,③기타_가정!$E$158-③기타_가정!$E$157,0))</f>
        <v>0</v>
      </c>
      <c r="CC80" s="37" t="n">
        <f aca="false">③기타_가정!$F$38*③기타_가정!$E$151*(IF(CC15=1,③기타_가정!$E$156,0)+IF(CC15=13,③기타_가정!$E$157-③기타_가정!$E$156,0)+IF(CC15=25,③기타_가정!$E$158-③기타_가정!$E$157,0))</f>
        <v>0</v>
      </c>
      <c r="CD80" s="37" t="n">
        <f aca="false">③기타_가정!$F$38*③기타_가정!$E$151*(IF(CD15=1,③기타_가정!$E$156,0)+IF(CD15=13,③기타_가정!$E$157-③기타_가정!$E$156,0)+IF(CD15=25,③기타_가정!$E$158-③기타_가정!$E$157,0))</f>
        <v>0</v>
      </c>
      <c r="CE80" s="37" t="n">
        <f aca="false">③기타_가정!$F$38*③기타_가정!$E$151*(IF(CE15=1,③기타_가정!$E$156,0)+IF(CE15=13,③기타_가정!$E$157-③기타_가정!$E$156,0)+IF(CE15=25,③기타_가정!$E$158-③기타_가정!$E$157,0))</f>
        <v>0</v>
      </c>
      <c r="CF80" s="37" t="n">
        <f aca="false">③기타_가정!$F$38*③기타_가정!$E$151*(IF(CF15=1,③기타_가정!$E$156,0)+IF(CF15=13,③기타_가정!$E$157-③기타_가정!$E$156,0)+IF(CF15=25,③기타_가정!$E$158-③기타_가정!$E$157,0))</f>
        <v>0</v>
      </c>
      <c r="CG80" s="37" t="n">
        <f aca="false">③기타_가정!$F$38*③기타_가정!$E$151*(IF(CG15=1,③기타_가정!$E$156,0)+IF(CG15=13,③기타_가정!$E$157-③기타_가정!$E$156,0)+IF(CG15=25,③기타_가정!$E$158-③기타_가정!$E$157,0))</f>
        <v>0</v>
      </c>
      <c r="CH80" s="37" t="n">
        <f aca="false">③기타_가정!$F$38*③기타_가정!$E$151*(IF(CH15=1,③기타_가정!$E$156,0)+IF(CH15=13,③기타_가정!$E$157-③기타_가정!$E$156,0)+IF(CH15=25,③기타_가정!$E$158-③기타_가정!$E$157,0))</f>
        <v>0</v>
      </c>
      <c r="CI80" s="37" t="n">
        <f aca="false">③기타_가정!$F$38*③기타_가정!$E$151*(IF(CI15=1,③기타_가정!$E$156,0)+IF(CI15=13,③기타_가정!$E$157-③기타_가정!$E$156,0)+IF(CI15=25,③기타_가정!$E$158-③기타_가정!$E$157,0))</f>
        <v>0</v>
      </c>
      <c r="CJ80" s="37" t="n">
        <f aca="false">③기타_가정!$F$38*③기타_가정!$E$151*(IF(CJ15=1,③기타_가정!$E$156,0)+IF(CJ15=13,③기타_가정!$E$157-③기타_가정!$E$156,0)+IF(CJ15=25,③기타_가정!$E$158-③기타_가정!$E$157,0))</f>
        <v>0</v>
      </c>
      <c r="CK80" s="37" t="n">
        <f aca="false">③기타_가정!$F$38*③기타_가정!$E$151*(IF(CK15=1,③기타_가정!$E$156,0)+IF(CK15=13,③기타_가정!$E$157-③기타_가정!$E$156,0)+IF(CK15=25,③기타_가정!$E$158-③기타_가정!$E$157,0))</f>
        <v>13200</v>
      </c>
      <c r="CL80" s="37" t="n">
        <f aca="false">③기타_가정!$F$38*③기타_가정!$E$151*(IF(CL15=1,③기타_가정!$E$156,0)+IF(CL15=13,③기타_가정!$E$157-③기타_가정!$E$156,0)+IF(CL15=25,③기타_가정!$E$158-③기타_가정!$E$157,0))</f>
        <v>0</v>
      </c>
      <c r="CM80" s="37" t="n">
        <f aca="false">③기타_가정!$F$38*③기타_가정!$E$151*(IF(CM15=1,③기타_가정!$E$156,0)+IF(CM15=13,③기타_가정!$E$157-③기타_가정!$E$156,0)+IF(CM15=25,③기타_가정!$E$158-③기타_가정!$E$157,0))</f>
        <v>0</v>
      </c>
      <c r="CN80" s="37" t="n">
        <f aca="false">③기타_가정!$F$38*③기타_가정!$E$151*(IF(CN15=1,③기타_가정!$E$156,0)+IF(CN15=13,③기타_가정!$E$157-③기타_가정!$E$156,0)+IF(CN15=25,③기타_가정!$E$158-③기타_가정!$E$157,0))</f>
        <v>0</v>
      </c>
      <c r="CO80" s="37" t="n">
        <f aca="false">③기타_가정!$F$38*③기타_가정!$E$151*(IF(CO15=1,③기타_가정!$E$156,0)+IF(CO15=13,③기타_가정!$E$157-③기타_가정!$E$156,0)+IF(CO15=25,③기타_가정!$E$158-③기타_가정!$E$157,0))</f>
        <v>0</v>
      </c>
      <c r="CP80" s="37" t="n">
        <f aca="false">③기타_가정!$F$38*③기타_가정!$E$151*(IF(CP15=1,③기타_가정!$E$156,0)+IF(CP15=13,③기타_가정!$E$157-③기타_가정!$E$156,0)+IF(CP15=25,③기타_가정!$E$158-③기타_가정!$E$157,0))</f>
        <v>0</v>
      </c>
      <c r="CQ80" s="37" t="n">
        <f aca="false">③기타_가정!$F$38*③기타_가정!$E$151*(IF(CQ15=1,③기타_가정!$E$156,0)+IF(CQ15=13,③기타_가정!$E$157-③기타_가정!$E$156,0)+IF(CQ15=25,③기타_가정!$E$158-③기타_가정!$E$157,0))</f>
        <v>0</v>
      </c>
      <c r="CR80" s="37" t="n">
        <f aca="false">③기타_가정!$F$38*③기타_가정!$E$151*(IF(CR15=1,③기타_가정!$E$156,0)+IF(CR15=13,③기타_가정!$E$157-③기타_가정!$E$156,0)+IF(CR15=25,③기타_가정!$E$158-③기타_가정!$E$157,0))</f>
        <v>0</v>
      </c>
      <c r="CS80" s="37" t="n">
        <f aca="false">③기타_가정!$F$38*③기타_가정!$E$151*(IF(CS15=1,③기타_가정!$E$156,0)+IF(CS15=13,③기타_가정!$E$157-③기타_가정!$E$156,0)+IF(CS15=25,③기타_가정!$E$158-③기타_가정!$E$157,0))</f>
        <v>0</v>
      </c>
      <c r="CT80" s="37" t="n">
        <f aca="false">③기타_가정!$F$38*③기타_가정!$E$151*(IF(CT15=1,③기타_가정!$E$156,0)+IF(CT15=13,③기타_가정!$E$157-③기타_가정!$E$156,0)+IF(CT15=25,③기타_가정!$E$158-③기타_가정!$E$157,0))</f>
        <v>0</v>
      </c>
      <c r="CU80" s="37" t="n">
        <f aca="false">③기타_가정!$F$38*③기타_가정!$E$151*(IF(CU15=1,③기타_가정!$E$156,0)+IF(CU15=13,③기타_가정!$E$157-③기타_가정!$E$156,0)+IF(CU15=25,③기타_가정!$E$158-③기타_가정!$E$157,0))</f>
        <v>0</v>
      </c>
      <c r="CV80" s="37" t="n">
        <f aca="false">③기타_가정!$F$38*③기타_가정!$E$151*(IF(CV15=1,③기타_가정!$E$156,0)+IF(CV15=13,③기타_가정!$E$157-③기타_가정!$E$156,0)+IF(CV15=25,③기타_가정!$E$158-③기타_가정!$E$157,0))</f>
        <v>0</v>
      </c>
      <c r="CW80" s="37" t="n">
        <f aca="false">③기타_가정!$F$38*③기타_가정!$E$151*(IF(CW15=1,③기타_가정!$E$156,0)+IF(CW15=13,③기타_가정!$E$157-③기타_가정!$E$156,0)+IF(CW15=25,③기타_가정!$E$158-③기타_가정!$E$157,0))</f>
        <v>0</v>
      </c>
      <c r="CX80" s="37" t="n">
        <f aca="false">③기타_가정!$F$38*③기타_가정!$E$151*(IF(CX15=1,③기타_가정!$E$156,0)+IF(CX15=13,③기타_가정!$E$157-③기타_가정!$E$156,0)+IF(CX15=25,③기타_가정!$E$158-③기타_가정!$E$157,0))</f>
        <v>0</v>
      </c>
      <c r="CY80" s="37" t="n">
        <f aca="false">③기타_가정!$F$38*③기타_가정!$E$151*(IF(CY15=1,③기타_가정!$E$156,0)+IF(CY15=13,③기타_가정!$E$157-③기타_가정!$E$156,0)+IF(CY15=25,③기타_가정!$E$158-③기타_가정!$E$157,0))</f>
        <v>0</v>
      </c>
      <c r="CZ80" s="37" t="n">
        <f aca="false">③기타_가정!$F$38*③기타_가정!$E$151*(IF(CZ15=1,③기타_가정!$E$156,0)+IF(CZ15=13,③기타_가정!$E$157-③기타_가정!$E$156,0)+IF(CZ15=25,③기타_가정!$E$158-③기타_가정!$E$157,0))</f>
        <v>0</v>
      </c>
      <c r="DA80" s="37" t="n">
        <f aca="false">③기타_가정!$F$38*③기타_가정!$E$151*(IF(DA15=1,③기타_가정!$E$156,0)+IF(DA15=13,③기타_가정!$E$157-③기타_가정!$E$156,0)+IF(DA15=25,③기타_가정!$E$158-③기타_가정!$E$157,0))</f>
        <v>0</v>
      </c>
      <c r="DB80" s="37" t="n">
        <f aca="false">③기타_가정!$F$38*③기타_가정!$E$151*(IF(DB15=1,③기타_가정!$E$156,0)+IF(DB15=13,③기타_가정!$E$157-③기타_가정!$E$156,0)+IF(DB15=25,③기타_가정!$E$158-③기타_가정!$E$157,0))</f>
        <v>0</v>
      </c>
      <c r="DC80" s="37" t="n">
        <f aca="false">③기타_가정!$F$38*③기타_가정!$E$151*(IF(DC15=1,③기타_가정!$E$156,0)+IF(DC15=13,③기타_가정!$E$157-③기타_가정!$E$156,0)+IF(DC15=25,③기타_가정!$E$158-③기타_가정!$E$157,0))</f>
        <v>0</v>
      </c>
      <c r="DD80" s="37" t="n">
        <f aca="false">③기타_가정!$F$38*③기타_가정!$E$151*(IF(DD15=1,③기타_가정!$E$156,0)+IF(DD15=13,③기타_가정!$E$157-③기타_가정!$E$156,0)+IF(DD15=25,③기타_가정!$E$158-③기타_가정!$E$157,0))</f>
        <v>0</v>
      </c>
      <c r="DE80" s="37" t="n">
        <f aca="false">③기타_가정!$F$38*③기타_가정!$E$151*(IF(DE15=1,③기타_가정!$E$156,0)+IF(DE15=13,③기타_가정!$E$157-③기타_가정!$E$156,0)+IF(DE15=25,③기타_가정!$E$158-③기타_가정!$E$157,0))</f>
        <v>0</v>
      </c>
      <c r="DF80" s="37" t="n">
        <f aca="false">③기타_가정!$F$38*③기타_가정!$E$151*(IF(DF15=1,③기타_가정!$E$156,0)+IF(DF15=13,③기타_가정!$E$157-③기타_가정!$E$156,0)+IF(DF15=25,③기타_가정!$E$158-③기타_가정!$E$157,0))</f>
        <v>0</v>
      </c>
      <c r="DG80" s="37" t="n">
        <f aca="false">③기타_가정!$F$38*③기타_가정!$E$151*(IF(DG15=1,③기타_가정!$E$156,0)+IF(DG15=13,③기타_가정!$E$157-③기타_가정!$E$156,0)+IF(DG15=25,③기타_가정!$E$158-③기타_가정!$E$157,0))</f>
        <v>0</v>
      </c>
      <c r="DH80" s="37" t="n">
        <f aca="false">③기타_가정!$F$38*③기타_가정!$E$151*(IF(DH15=1,③기타_가정!$E$156,0)+IF(DH15=13,③기타_가정!$E$157-③기타_가정!$E$156,0)+IF(DH15=25,③기타_가정!$E$158-③기타_가정!$E$157,0))</f>
        <v>0</v>
      </c>
      <c r="DI80" s="37" t="n">
        <f aca="false">③기타_가정!$F$38*③기타_가정!$E$151*(IF(DI15=1,③기타_가정!$E$156,0)+IF(DI15=13,③기타_가정!$E$157-③기타_가정!$E$156,0)+IF(DI15=25,③기타_가정!$E$158-③기타_가정!$E$157,0))</f>
        <v>0</v>
      </c>
      <c r="DJ80" s="37" t="n">
        <f aca="false">③기타_가정!$F$38*③기타_가정!$E$151*(IF(DJ15=1,③기타_가정!$E$156,0)+IF(DJ15=13,③기타_가정!$E$157-③기타_가정!$E$156,0)+IF(DJ15=25,③기타_가정!$E$158-③기타_가정!$E$157,0))</f>
        <v>0</v>
      </c>
      <c r="DK80" s="37" t="n">
        <f aca="false">③기타_가정!$F$38*③기타_가정!$E$151*(IF(DK15=1,③기타_가정!$E$156,0)+IF(DK15=13,③기타_가정!$E$157-③기타_가정!$E$156,0)+IF(DK15=25,③기타_가정!$E$158-③기타_가정!$E$157,0))</f>
        <v>0</v>
      </c>
      <c r="DL80" s="37" t="n">
        <f aca="false">③기타_가정!$F$38*③기타_가정!$E$151*(IF(DL15=1,③기타_가정!$E$156,0)+IF(DL15=13,③기타_가정!$E$157-③기타_가정!$E$156,0)+IF(DL15=25,③기타_가정!$E$158-③기타_가정!$E$157,0))</f>
        <v>0</v>
      </c>
      <c r="DM80" s="37" t="n">
        <f aca="false">③기타_가정!$F$38*③기타_가정!$E$151*(IF(DM15=1,③기타_가정!$E$156,0)+IF(DM15=13,③기타_가정!$E$157-③기타_가정!$E$156,0)+IF(DM15=25,③기타_가정!$E$158-③기타_가정!$E$157,0))</f>
        <v>0</v>
      </c>
      <c r="DN80" s="37" t="n">
        <f aca="false">③기타_가정!$F$38*③기타_가정!$E$151*(IF(DN15=1,③기타_가정!$E$156,0)+IF(DN15=13,③기타_가정!$E$157-③기타_가정!$E$156,0)+IF(DN15=25,③기타_가정!$E$158-③기타_가정!$E$157,0))</f>
        <v>0</v>
      </c>
      <c r="DO80" s="37" t="n">
        <f aca="false">③기타_가정!$F$38*③기타_가정!$E$151*(IF(DO15=1,③기타_가정!$E$156,0)+IF(DO15=13,③기타_가정!$E$157-③기타_가정!$E$156,0)+IF(DO15=25,③기타_가정!$E$158-③기타_가정!$E$157,0))</f>
        <v>0</v>
      </c>
      <c r="DP80" s="37" t="n">
        <f aca="false">③기타_가정!$F$38*③기타_가정!$E$151*(IF(DP15=1,③기타_가정!$E$156,0)+IF(DP15=13,③기타_가정!$E$157-③기타_가정!$E$156,0)+IF(DP15=25,③기타_가정!$E$158-③기타_가정!$E$157,0))</f>
        <v>0</v>
      </c>
      <c r="DQ80" s="37" t="n">
        <f aca="false">③기타_가정!$F$38*③기타_가정!$E$151*(IF(DQ15=1,③기타_가정!$E$156,0)+IF(DQ15=13,③기타_가정!$E$157-③기타_가정!$E$156,0)+IF(DQ15=25,③기타_가정!$E$158-③기타_가정!$E$157,0))</f>
        <v>0</v>
      </c>
      <c r="DR80" s="37" t="n">
        <f aca="false">③기타_가정!$F$38*③기타_가정!$E$151*(IF(DR15=1,③기타_가정!$E$156,0)+IF(DR15=13,③기타_가정!$E$157-③기타_가정!$E$156,0)+IF(DR15=25,③기타_가정!$E$158-③기타_가정!$E$157,0))</f>
        <v>0</v>
      </c>
      <c r="DS80" s="37" t="n">
        <f aca="false">③기타_가정!$F$38*③기타_가정!$E$151*(IF(DS15=1,③기타_가정!$E$156,0)+IF(DS15=13,③기타_가정!$E$157-③기타_가정!$E$156,0)+IF(DS15=25,③기타_가정!$E$158-③기타_가정!$E$157,0))</f>
        <v>0</v>
      </c>
      <c r="DT80" s="37" t="n">
        <f aca="false">③기타_가정!$F$38*③기타_가정!$E$151*(IF(DT15=1,③기타_가정!$E$156,0)+IF(DT15=13,③기타_가정!$E$157-③기타_가정!$E$156,0)+IF(DT15=25,③기타_가정!$E$158-③기타_가정!$E$157,0))</f>
        <v>0</v>
      </c>
      <c r="DU80" s="37" t="n">
        <f aca="false">③기타_가정!$F$38*③기타_가정!$E$151*(IF(DU15=1,③기타_가정!$E$156,0)+IF(DU15=13,③기타_가정!$E$157-③기타_가정!$E$156,0)+IF(DU15=25,③기타_가정!$E$158-③기타_가정!$E$157,0))</f>
        <v>0</v>
      </c>
      <c r="DV80" s="37" t="n">
        <f aca="false">③기타_가정!$F$38*③기타_가정!$E$151*(IF(DV15=1,③기타_가정!$E$156,0)+IF(DV15=13,③기타_가정!$E$157-③기타_가정!$E$156,0)+IF(DV15=25,③기타_가정!$E$158-③기타_가정!$E$157,0))</f>
        <v>0</v>
      </c>
      <c r="DW80" s="37" t="n">
        <f aca="false">③기타_가정!$F$38*③기타_가정!$E$151*(IF(DW15=1,③기타_가정!$E$156,0)+IF(DW15=13,③기타_가정!$E$157-③기타_가정!$E$156,0)+IF(DW15=25,③기타_가정!$E$158-③기타_가정!$E$157,0))</f>
        <v>0</v>
      </c>
      <c r="DX80" s="37" t="n">
        <f aca="false">③기타_가정!$F$38*③기타_가정!$E$151*(IF(DX15=1,③기타_가정!$E$156,0)+IF(DX15=13,③기타_가정!$E$157-③기타_가정!$E$156,0)+IF(DX15=25,③기타_가정!$E$158-③기타_가정!$E$157,0))</f>
        <v>0</v>
      </c>
      <c r="DY80" s="37" t="n">
        <f aca="false">③기타_가정!$F$38*③기타_가정!$E$151*(IF(DY15=1,③기타_가정!$E$156,0)+IF(DY15=13,③기타_가정!$E$157-③기타_가정!$E$156,0)+IF(DY15=25,③기타_가정!$E$158-③기타_가정!$E$157,0))</f>
        <v>0</v>
      </c>
      <c r="DZ80" s="37" t="n">
        <f aca="false">③기타_가정!$F$38*③기타_가정!$E$151*(IF(DZ15=1,③기타_가정!$E$156,0)+IF(DZ15=13,③기타_가정!$E$157-③기타_가정!$E$156,0)+IF(DZ15=25,③기타_가정!$E$158-③기타_가정!$E$157,0))</f>
        <v>0</v>
      </c>
      <c r="EA80" s="37" t="n">
        <f aca="false">③기타_가정!$F$38*③기타_가정!$E$151*(IF(EA15=1,③기타_가정!$E$156,0)+IF(EA15=13,③기타_가정!$E$157-③기타_가정!$E$156,0)+IF(EA15=25,③기타_가정!$E$158-③기타_가정!$E$157,0))</f>
        <v>0</v>
      </c>
      <c r="EB80" s="37" t="n">
        <f aca="false">③기타_가정!$F$38*③기타_가정!$E$151*(IF(EB15=1,③기타_가정!$E$156,0)+IF(EB15=13,③기타_가정!$E$157-③기타_가정!$E$156,0)+IF(EB15=25,③기타_가정!$E$158-③기타_가정!$E$157,0))</f>
        <v>0</v>
      </c>
      <c r="EC80" s="37" t="n">
        <f aca="false">③기타_가정!$F$38*③기타_가정!$E$151*(IF(EC15=1,③기타_가정!$E$156,0)+IF(EC15=13,③기타_가정!$E$157-③기타_가정!$E$156,0)+IF(EC15=25,③기타_가정!$E$158-③기타_가정!$E$157,0))</f>
        <v>0</v>
      </c>
      <c r="ED80" s="37" t="n">
        <f aca="false">③기타_가정!$F$38*③기타_가정!$E$151*(IF(ED15=1,③기타_가정!$E$156,0)+IF(ED15=13,③기타_가정!$E$157-③기타_가정!$E$156,0)+IF(ED15=25,③기타_가정!$E$158-③기타_가정!$E$157,0))</f>
        <v>0</v>
      </c>
      <c r="EE80" s="37" t="n">
        <f aca="false">③기타_가정!$F$38*③기타_가정!$E$151*(IF(EE15=1,③기타_가정!$E$156,0)+IF(EE15=13,③기타_가정!$E$157-③기타_가정!$E$156,0)+IF(EE15=25,③기타_가정!$E$158-③기타_가정!$E$157,0))</f>
        <v>0</v>
      </c>
      <c r="EF80" s="37" t="n">
        <f aca="false">③기타_가정!$F$38*③기타_가정!$E$151*(IF(EF15=1,③기타_가정!$E$156,0)+IF(EF15=13,③기타_가정!$E$157-③기타_가정!$E$156,0)+IF(EF15=25,③기타_가정!$E$158-③기타_가정!$E$157,0))</f>
        <v>0</v>
      </c>
    </row>
    <row r="81" customFormat="false" ht="15" hidden="false" customHeight="false" outlineLevel="0" collapsed="false">
      <c r="A81" s="36" t="s">
        <v>623</v>
      </c>
      <c r="B81" s="278" t="s">
        <v>21</v>
      </c>
      <c r="C81" s="279" t="n">
        <f aca="false">SUM(E81:EF81)</f>
        <v>0</v>
      </c>
      <c r="E81" s="37" t="n">
        <f aca="false">IF(E15=1,③기타_가정!$D$38*③기타_가정!$E$114,0)</f>
        <v>0</v>
      </c>
      <c r="F81" s="37" t="n">
        <f aca="false">IF(F15=1,③기타_가정!$D$38*③기타_가정!$E$114,0)</f>
        <v>0</v>
      </c>
      <c r="G81" s="37" t="n">
        <f aca="false">IF(G15=1,③기타_가정!$D$38*③기타_가정!$E$114,0)</f>
        <v>0</v>
      </c>
      <c r="H81" s="37" t="n">
        <f aca="false">IF(H15=1,③기타_가정!$D$38*③기타_가정!$E$114,0)</f>
        <v>0</v>
      </c>
      <c r="I81" s="37" t="n">
        <f aca="false">IF(I15=1,③기타_가정!$D$38*③기타_가정!$E$114,0)</f>
        <v>0</v>
      </c>
      <c r="J81" s="37" t="n">
        <f aca="false">IF(J15=1,③기타_가정!$D$38*③기타_가정!$E$114,0)</f>
        <v>0</v>
      </c>
      <c r="K81" s="37" t="n">
        <f aca="false">IF(K15=1,③기타_가정!$D$38*③기타_가정!$E$114,0)</f>
        <v>0</v>
      </c>
      <c r="L81" s="37" t="n">
        <f aca="false">IF(L15=1,③기타_가정!$D$38*③기타_가정!$E$114,0)</f>
        <v>0</v>
      </c>
      <c r="M81" s="37" t="n">
        <f aca="false">IF(M15=1,③기타_가정!$D$38*③기타_가정!$E$114,0)</f>
        <v>0</v>
      </c>
      <c r="N81" s="37" t="n">
        <f aca="false">IF(N15=1,③기타_가정!$D$38*③기타_가정!$E$114,0)</f>
        <v>0</v>
      </c>
      <c r="O81" s="37" t="n">
        <f aca="false">IF(O15=1,③기타_가정!$D$38*③기타_가정!$E$114,0)</f>
        <v>0</v>
      </c>
      <c r="P81" s="37" t="n">
        <f aca="false">IF(P15=1,③기타_가정!$D$38*③기타_가정!$E$114,0)</f>
        <v>0</v>
      </c>
      <c r="Q81" s="37" t="n">
        <f aca="false">IF(Q15=1,③기타_가정!$D$38*③기타_가정!$E$114,0)</f>
        <v>0</v>
      </c>
      <c r="R81" s="37" t="n">
        <f aca="false">IF(R15=1,③기타_가정!$D$38*③기타_가정!$E$114,0)</f>
        <v>0</v>
      </c>
      <c r="S81" s="37" t="n">
        <f aca="false">IF(S15=1,③기타_가정!$D$38*③기타_가정!$E$114,0)</f>
        <v>0</v>
      </c>
      <c r="T81" s="37" t="n">
        <f aca="false">IF(T15=1,③기타_가정!$D$38*③기타_가정!$E$114,0)</f>
        <v>0</v>
      </c>
      <c r="U81" s="37" t="n">
        <f aca="false">IF(U15=1,③기타_가정!$D$38*③기타_가정!$E$114,0)</f>
        <v>0</v>
      </c>
      <c r="V81" s="37" t="n">
        <f aca="false">IF(V15=1,③기타_가정!$D$38*③기타_가정!$E$114,0)</f>
        <v>0</v>
      </c>
      <c r="W81" s="37" t="n">
        <f aca="false">IF(W15=1,③기타_가정!$D$38*③기타_가정!$E$114,0)</f>
        <v>0</v>
      </c>
      <c r="X81" s="37" t="n">
        <f aca="false">IF(X15=1,③기타_가정!$D$38*③기타_가정!$E$114,0)</f>
        <v>0</v>
      </c>
      <c r="Y81" s="37" t="n">
        <f aca="false">IF(Y15=1,③기타_가정!$D$38*③기타_가정!$E$114,0)</f>
        <v>0</v>
      </c>
      <c r="Z81" s="37" t="n">
        <f aca="false">IF(Z15=1,③기타_가정!$D$38*③기타_가정!$E$114,0)</f>
        <v>0</v>
      </c>
      <c r="AA81" s="37" t="n">
        <f aca="false">IF(AA15=1,③기타_가정!$D$38*③기타_가정!$E$114,0)</f>
        <v>0</v>
      </c>
      <c r="AB81" s="37" t="n">
        <f aca="false">IF(AB15=1,③기타_가정!$D$38*③기타_가정!$E$114,0)</f>
        <v>0</v>
      </c>
      <c r="AC81" s="37" t="n">
        <f aca="false">IF(AC15=1,③기타_가정!$D$38*③기타_가정!$E$114,0)</f>
        <v>0</v>
      </c>
      <c r="AD81" s="37" t="n">
        <f aca="false">IF(AD15=1,③기타_가정!$D$38*③기타_가정!$E$114,0)</f>
        <v>0</v>
      </c>
      <c r="AE81" s="37" t="n">
        <f aca="false">IF(AE15=1,③기타_가정!$D$38*③기타_가정!$E$114,0)</f>
        <v>0</v>
      </c>
      <c r="AF81" s="37" t="n">
        <f aca="false">IF(AF15=1,③기타_가정!$D$38*③기타_가정!$E$114,0)</f>
        <v>0</v>
      </c>
      <c r="AG81" s="37" t="n">
        <f aca="false">IF(AG15=1,③기타_가정!$D$38*③기타_가정!$E$114,0)</f>
        <v>0</v>
      </c>
      <c r="AH81" s="37" t="n">
        <f aca="false">IF(AH15=1,③기타_가정!$D$38*③기타_가정!$E$114,0)</f>
        <v>0</v>
      </c>
      <c r="AI81" s="37" t="n">
        <f aca="false">IF(AI15=1,③기타_가정!$D$38*③기타_가정!$E$114,0)</f>
        <v>0</v>
      </c>
      <c r="AJ81" s="37" t="n">
        <f aca="false">IF(AJ15=1,③기타_가정!$D$38*③기타_가정!$E$114,0)</f>
        <v>0</v>
      </c>
      <c r="AK81" s="37" t="n">
        <f aca="false">IF(AK15=1,③기타_가정!$D$38*③기타_가정!$E$114,0)</f>
        <v>0</v>
      </c>
      <c r="AL81" s="37" t="n">
        <f aca="false">IF(AL15=1,③기타_가정!$D$38*③기타_가정!$E$114,0)</f>
        <v>0</v>
      </c>
      <c r="AM81" s="37" t="n">
        <f aca="false">IF(AM15=1,③기타_가정!$D$38*③기타_가정!$E$114,0)</f>
        <v>0</v>
      </c>
      <c r="AN81" s="37" t="n">
        <f aca="false">IF(AN15=1,③기타_가정!$D$38*③기타_가정!$E$114,0)</f>
        <v>0</v>
      </c>
      <c r="AO81" s="37" t="n">
        <f aca="false">IF(AO15=1,③기타_가정!$D$38*③기타_가정!$E$114,0)</f>
        <v>0</v>
      </c>
      <c r="AP81" s="37" t="n">
        <f aca="false">IF(AP15=1,③기타_가정!$D$38*③기타_가정!$E$114,0)</f>
        <v>0</v>
      </c>
      <c r="AQ81" s="37" t="n">
        <f aca="false">IF(AQ15=1,③기타_가정!$D$38*③기타_가정!$E$114,0)</f>
        <v>0</v>
      </c>
      <c r="AR81" s="37" t="n">
        <f aca="false">IF(AR15=1,③기타_가정!$D$38*③기타_가정!$E$114,0)</f>
        <v>0</v>
      </c>
      <c r="AS81" s="37" t="n">
        <f aca="false">IF(AS15=1,③기타_가정!$D$38*③기타_가정!$E$114,0)</f>
        <v>0</v>
      </c>
      <c r="AT81" s="37" t="n">
        <f aca="false">IF(AT15=1,③기타_가정!$D$38*③기타_가정!$E$114,0)</f>
        <v>0</v>
      </c>
      <c r="AU81" s="37" t="n">
        <f aca="false">IF(AU15=1,③기타_가정!$D$38*③기타_가정!$E$114,0)</f>
        <v>0</v>
      </c>
      <c r="AV81" s="37" t="n">
        <f aca="false">IF(AV15=1,③기타_가정!$D$38*③기타_가정!$E$114,0)</f>
        <v>0</v>
      </c>
      <c r="AW81" s="37" t="n">
        <f aca="false">IF(AW15=1,③기타_가정!$D$38*③기타_가정!$E$114,0)</f>
        <v>0</v>
      </c>
      <c r="AX81" s="37" t="n">
        <f aca="false">IF(AX15=1,③기타_가정!$D$38*③기타_가정!$E$114,0)</f>
        <v>0</v>
      </c>
      <c r="AY81" s="37" t="n">
        <f aca="false">IF(AY15=1,③기타_가정!$D$38*③기타_가정!$E$114,0)</f>
        <v>0</v>
      </c>
      <c r="AZ81" s="37" t="n">
        <f aca="false">IF(AZ15=1,③기타_가정!$D$38*③기타_가정!$E$114,0)</f>
        <v>0</v>
      </c>
      <c r="BA81" s="37" t="n">
        <f aca="false">IF(BA15=1,③기타_가정!$D$38*③기타_가정!$E$114,0)</f>
        <v>0</v>
      </c>
      <c r="BB81" s="37" t="n">
        <f aca="false">IF(BB15=1,③기타_가정!$D$38*③기타_가정!$E$114,0)</f>
        <v>0</v>
      </c>
      <c r="BC81" s="37" t="n">
        <f aca="false">IF(BC15=1,③기타_가정!$D$38*③기타_가정!$E$114,0)</f>
        <v>0</v>
      </c>
      <c r="BD81" s="37" t="n">
        <f aca="false">IF(BD15=1,③기타_가정!$D$38*③기타_가정!$E$114,0)</f>
        <v>0</v>
      </c>
      <c r="BE81" s="37" t="n">
        <f aca="false">IF(BE15=1,③기타_가정!$D$38*③기타_가정!$E$114,0)</f>
        <v>0</v>
      </c>
      <c r="BF81" s="37" t="n">
        <f aca="false">IF(BF15=1,③기타_가정!$D$38*③기타_가정!$E$114,0)</f>
        <v>0</v>
      </c>
      <c r="BG81" s="37" t="n">
        <f aca="false">IF(BG15=1,③기타_가정!$D$38*③기타_가정!$E$114,0)</f>
        <v>0</v>
      </c>
      <c r="BH81" s="37" t="n">
        <f aca="false">IF(BH15=1,③기타_가정!$D$38*③기타_가정!$E$114,0)</f>
        <v>0</v>
      </c>
      <c r="BI81" s="37" t="n">
        <f aca="false">IF(BI15=1,③기타_가정!$D$38*③기타_가정!$E$114,0)</f>
        <v>0</v>
      </c>
      <c r="BJ81" s="37" t="n">
        <f aca="false">IF(BJ15=1,③기타_가정!$D$38*③기타_가정!$E$114,0)</f>
        <v>0</v>
      </c>
      <c r="BK81" s="37" t="n">
        <f aca="false">IF(BK15=1,③기타_가정!$D$38*③기타_가정!$E$114,0)</f>
        <v>0</v>
      </c>
      <c r="BL81" s="37" t="n">
        <f aca="false">IF(BL15=1,③기타_가정!$D$38*③기타_가정!$E$114,0)</f>
        <v>0</v>
      </c>
      <c r="BM81" s="37" t="n">
        <f aca="false">IF(BM15=1,③기타_가정!$D$38*③기타_가정!$E$114,0)</f>
        <v>0</v>
      </c>
      <c r="BN81" s="37" t="n">
        <f aca="false">IF(BN15=1,③기타_가정!$D$38*③기타_가정!$E$114,0)</f>
        <v>0</v>
      </c>
      <c r="BO81" s="37" t="n">
        <f aca="false">IF(BO15=1,③기타_가정!$D$38*③기타_가정!$E$114,0)</f>
        <v>0</v>
      </c>
      <c r="BP81" s="37" t="n">
        <f aca="false">IF(BP15=1,③기타_가정!$D$38*③기타_가정!$E$114,0)</f>
        <v>0</v>
      </c>
      <c r="BQ81" s="37" t="n">
        <f aca="false">IF(BQ15=1,③기타_가정!$D$38*③기타_가정!$E$114,0)</f>
        <v>0</v>
      </c>
      <c r="BR81" s="37" t="n">
        <f aca="false">IF(BR15=1,③기타_가정!$D$38*③기타_가정!$E$114,0)</f>
        <v>0</v>
      </c>
      <c r="BS81" s="37" t="n">
        <f aca="false">IF(BS15=1,③기타_가정!$D$38*③기타_가정!$E$114,0)</f>
        <v>0</v>
      </c>
      <c r="BT81" s="37" t="n">
        <f aca="false">IF(BT15=1,③기타_가정!$D$38*③기타_가정!$E$114,0)</f>
        <v>0</v>
      </c>
      <c r="BU81" s="37" t="n">
        <f aca="false">IF(BU15=1,③기타_가정!$D$38*③기타_가정!$E$114,0)</f>
        <v>0</v>
      </c>
      <c r="BV81" s="37" t="n">
        <f aca="false">IF(BV15=1,③기타_가정!$D$38*③기타_가정!$E$114,0)</f>
        <v>0</v>
      </c>
      <c r="BW81" s="37" t="n">
        <f aca="false">IF(BW15=1,③기타_가정!$D$38*③기타_가정!$E$114,0)</f>
        <v>0</v>
      </c>
      <c r="BX81" s="37" t="n">
        <f aca="false">IF(BX15=1,③기타_가정!$D$38*③기타_가정!$E$114,0)</f>
        <v>0</v>
      </c>
      <c r="BY81" s="37" t="n">
        <f aca="false">IF(BY15=1,③기타_가정!$D$38*③기타_가정!$E$114,0)</f>
        <v>0</v>
      </c>
      <c r="BZ81" s="37" t="n">
        <f aca="false">IF(BZ15=1,③기타_가정!$D$38*③기타_가정!$E$114,0)</f>
        <v>0</v>
      </c>
      <c r="CA81" s="37" t="n">
        <f aca="false">IF(CA15=1,③기타_가정!$D$38*③기타_가정!$E$114,0)</f>
        <v>0</v>
      </c>
      <c r="CB81" s="37" t="n">
        <f aca="false">IF(CB15=1,③기타_가정!$D$38*③기타_가정!$E$114,0)</f>
        <v>0</v>
      </c>
      <c r="CC81" s="37" t="n">
        <f aca="false">IF(CC15=1,③기타_가정!$D$38*③기타_가정!$E$114,0)</f>
        <v>0</v>
      </c>
      <c r="CD81" s="37" t="n">
        <f aca="false">IF(CD15=1,③기타_가정!$D$38*③기타_가정!$E$114,0)</f>
        <v>0</v>
      </c>
      <c r="CE81" s="37" t="n">
        <f aca="false">IF(CE15=1,③기타_가정!$D$38*③기타_가정!$E$114,0)</f>
        <v>0</v>
      </c>
      <c r="CF81" s="37" t="n">
        <f aca="false">IF(CF15=1,③기타_가정!$D$38*③기타_가정!$E$114,0)</f>
        <v>0</v>
      </c>
      <c r="CG81" s="37" t="n">
        <f aca="false">IF(CG15=1,③기타_가정!$D$38*③기타_가정!$E$114,0)</f>
        <v>0</v>
      </c>
      <c r="CH81" s="37" t="n">
        <f aca="false">IF(CH15=1,③기타_가정!$D$38*③기타_가정!$E$114,0)</f>
        <v>0</v>
      </c>
      <c r="CI81" s="37" t="n">
        <f aca="false">IF(CI15=1,③기타_가정!$D$38*③기타_가정!$E$114,0)</f>
        <v>0</v>
      </c>
      <c r="CJ81" s="37" t="n">
        <f aca="false">IF(CJ15=1,③기타_가정!$D$38*③기타_가정!$E$114,0)</f>
        <v>0</v>
      </c>
      <c r="CK81" s="37" t="n">
        <f aca="false">IF(CK15=1,③기타_가정!$D$38*③기타_가정!$E$114,0)</f>
        <v>0</v>
      </c>
      <c r="CL81" s="37" t="n">
        <f aca="false">IF(CL15=1,③기타_가정!$D$38*③기타_가정!$E$114,0)</f>
        <v>0</v>
      </c>
      <c r="CM81" s="37" t="n">
        <f aca="false">IF(CM15=1,③기타_가정!$D$38*③기타_가정!$E$114,0)</f>
        <v>0</v>
      </c>
      <c r="CN81" s="37" t="n">
        <f aca="false">IF(CN15=1,③기타_가정!$D$38*③기타_가정!$E$114,0)</f>
        <v>0</v>
      </c>
      <c r="CO81" s="37" t="n">
        <f aca="false">IF(CO15=1,③기타_가정!$D$38*③기타_가정!$E$114,0)</f>
        <v>0</v>
      </c>
      <c r="CP81" s="37" t="n">
        <f aca="false">IF(CP15=1,③기타_가정!$D$38*③기타_가정!$E$114,0)</f>
        <v>0</v>
      </c>
      <c r="CQ81" s="37" t="n">
        <f aca="false">IF(CQ15=1,③기타_가정!$D$38*③기타_가정!$E$114,0)</f>
        <v>0</v>
      </c>
      <c r="CR81" s="37" t="n">
        <f aca="false">IF(CR15=1,③기타_가정!$D$38*③기타_가정!$E$114,0)</f>
        <v>0</v>
      </c>
      <c r="CS81" s="37" t="n">
        <f aca="false">IF(CS15=1,③기타_가정!$D$38*③기타_가정!$E$114,0)</f>
        <v>0</v>
      </c>
      <c r="CT81" s="37" t="n">
        <f aca="false">IF(CT15=1,③기타_가정!$D$38*③기타_가정!$E$114,0)</f>
        <v>0</v>
      </c>
      <c r="CU81" s="37" t="n">
        <f aca="false">IF(CU15=1,③기타_가정!$D$38*③기타_가정!$E$114,0)</f>
        <v>0</v>
      </c>
      <c r="CV81" s="37" t="n">
        <f aca="false">IF(CV15=1,③기타_가정!$D$38*③기타_가정!$E$114,0)</f>
        <v>0</v>
      </c>
      <c r="CW81" s="37" t="n">
        <f aca="false">IF(CW15=1,③기타_가정!$D$38*③기타_가정!$E$114,0)</f>
        <v>0</v>
      </c>
      <c r="CX81" s="37" t="n">
        <f aca="false">IF(CX15=1,③기타_가정!$D$38*③기타_가정!$E$114,0)</f>
        <v>0</v>
      </c>
      <c r="CY81" s="37" t="n">
        <f aca="false">IF(CY15=1,③기타_가정!$D$38*③기타_가정!$E$114,0)</f>
        <v>0</v>
      </c>
      <c r="CZ81" s="37" t="n">
        <f aca="false">IF(CZ15=1,③기타_가정!$D$38*③기타_가정!$E$114,0)</f>
        <v>0</v>
      </c>
      <c r="DA81" s="37" t="n">
        <f aca="false">IF(DA15=1,③기타_가정!$D$38*③기타_가정!$E$114,0)</f>
        <v>0</v>
      </c>
      <c r="DB81" s="37" t="n">
        <f aca="false">IF(DB15=1,③기타_가정!$D$38*③기타_가정!$E$114,0)</f>
        <v>0</v>
      </c>
      <c r="DC81" s="37" t="n">
        <f aca="false">IF(DC15=1,③기타_가정!$D$38*③기타_가정!$E$114,0)</f>
        <v>0</v>
      </c>
      <c r="DD81" s="37" t="n">
        <f aca="false">IF(DD15=1,③기타_가정!$D$38*③기타_가정!$E$114,0)</f>
        <v>0</v>
      </c>
      <c r="DE81" s="37" t="n">
        <f aca="false">IF(DE15=1,③기타_가정!$D$38*③기타_가정!$E$114,0)</f>
        <v>0</v>
      </c>
      <c r="DF81" s="37" t="n">
        <f aca="false">IF(DF15=1,③기타_가정!$D$38*③기타_가정!$E$114,0)</f>
        <v>0</v>
      </c>
      <c r="DG81" s="37" t="n">
        <f aca="false">IF(DG15=1,③기타_가정!$D$38*③기타_가정!$E$114,0)</f>
        <v>0</v>
      </c>
      <c r="DH81" s="37" t="n">
        <f aca="false">IF(DH15=1,③기타_가정!$D$38*③기타_가정!$E$114,0)</f>
        <v>0</v>
      </c>
      <c r="DI81" s="37" t="n">
        <f aca="false">IF(DI15=1,③기타_가정!$D$38*③기타_가정!$E$114,0)</f>
        <v>0</v>
      </c>
      <c r="DJ81" s="37" t="n">
        <f aca="false">IF(DJ15=1,③기타_가정!$D$38*③기타_가정!$E$114,0)</f>
        <v>0</v>
      </c>
      <c r="DK81" s="37" t="n">
        <f aca="false">IF(DK15=1,③기타_가정!$D$38*③기타_가정!$E$114,0)</f>
        <v>0</v>
      </c>
      <c r="DL81" s="37" t="n">
        <f aca="false">IF(DL15=1,③기타_가정!$D$38*③기타_가정!$E$114,0)</f>
        <v>0</v>
      </c>
      <c r="DM81" s="37" t="n">
        <f aca="false">IF(DM15=1,③기타_가정!$D$38*③기타_가정!$E$114,0)</f>
        <v>0</v>
      </c>
      <c r="DN81" s="37" t="n">
        <f aca="false">IF(DN15=1,③기타_가정!$D$38*③기타_가정!$E$114,0)</f>
        <v>0</v>
      </c>
      <c r="DO81" s="37" t="n">
        <f aca="false">IF(DO15=1,③기타_가정!$D$38*③기타_가정!$E$114,0)</f>
        <v>0</v>
      </c>
      <c r="DP81" s="37" t="n">
        <f aca="false">IF(DP15=1,③기타_가정!$D$38*③기타_가정!$E$114,0)</f>
        <v>0</v>
      </c>
      <c r="DQ81" s="37" t="n">
        <f aca="false">IF(DQ15=1,③기타_가정!$D$38*③기타_가정!$E$114,0)</f>
        <v>0</v>
      </c>
      <c r="DR81" s="37" t="n">
        <f aca="false">IF(DR15=1,③기타_가정!$D$38*③기타_가정!$E$114,0)</f>
        <v>0</v>
      </c>
      <c r="DS81" s="37" t="n">
        <f aca="false">IF(DS15=1,③기타_가정!$D$38*③기타_가정!$E$114,0)</f>
        <v>0</v>
      </c>
      <c r="DT81" s="37" t="n">
        <f aca="false">IF(DT15=1,③기타_가정!$D$38*③기타_가정!$E$114,0)</f>
        <v>0</v>
      </c>
      <c r="DU81" s="37" t="n">
        <f aca="false">IF(DU15=1,③기타_가정!$D$38*③기타_가정!$E$114,0)</f>
        <v>0</v>
      </c>
      <c r="DV81" s="37" t="n">
        <f aca="false">IF(DV15=1,③기타_가정!$D$38*③기타_가정!$E$114,0)</f>
        <v>0</v>
      </c>
      <c r="DW81" s="37" t="n">
        <f aca="false">IF(DW15=1,③기타_가정!$D$38*③기타_가정!$E$114,0)</f>
        <v>0</v>
      </c>
      <c r="DX81" s="37" t="n">
        <f aca="false">IF(DX15=1,③기타_가정!$D$38*③기타_가정!$E$114,0)</f>
        <v>0</v>
      </c>
      <c r="DY81" s="37" t="n">
        <f aca="false">IF(DY15=1,③기타_가정!$D$38*③기타_가정!$E$114,0)</f>
        <v>0</v>
      </c>
      <c r="DZ81" s="37" t="n">
        <f aca="false">IF(DZ15=1,③기타_가정!$D$38*③기타_가정!$E$114,0)</f>
        <v>0</v>
      </c>
      <c r="EA81" s="37" t="n">
        <f aca="false">IF(EA15=1,③기타_가정!$D$38*③기타_가정!$E$114,0)</f>
        <v>0</v>
      </c>
      <c r="EB81" s="37" t="n">
        <f aca="false">IF(EB15=1,③기타_가정!$D$38*③기타_가정!$E$114,0)</f>
        <v>0</v>
      </c>
      <c r="EC81" s="37" t="n">
        <f aca="false">IF(EC15=1,③기타_가정!$D$38*③기타_가정!$E$114,0)</f>
        <v>0</v>
      </c>
      <c r="ED81" s="37" t="n">
        <f aca="false">IF(ED15=1,③기타_가정!$D$38*③기타_가정!$E$114,0)</f>
        <v>0</v>
      </c>
      <c r="EE81" s="37" t="n">
        <f aca="false">IF(EE15=1,③기타_가정!$D$38*③기타_가정!$E$114,0)</f>
        <v>0</v>
      </c>
      <c r="EF81" s="37" t="n">
        <f aca="false">IF(EF15=1,③기타_가정!$D$38*③기타_가정!$E$114,0)</f>
        <v>0</v>
      </c>
    </row>
    <row r="82" customFormat="false" ht="15" hidden="false" customHeight="false" outlineLevel="0" collapsed="false">
      <c r="A82" s="36" t="s">
        <v>624</v>
      </c>
      <c r="B82" s="278" t="s">
        <v>21</v>
      </c>
      <c r="C82" s="279" t="n">
        <f aca="false">SUM(E82:EF82)</f>
        <v>14400</v>
      </c>
      <c r="E82" s="37" t="n">
        <f aca="false">IF(E15=1,③기타_가정!$G$38*③기타_가정!$E$182,0)</f>
        <v>0</v>
      </c>
      <c r="F82" s="37" t="n">
        <f aca="false">IF(F15=1,③기타_가정!$G$38*③기타_가정!$E$182,0)</f>
        <v>0</v>
      </c>
      <c r="G82" s="37" t="n">
        <f aca="false">IF(G15=1,③기타_가정!$G$38*③기타_가정!$E$182,0)</f>
        <v>0</v>
      </c>
      <c r="H82" s="37" t="n">
        <f aca="false">IF(H15=1,③기타_가정!$G$38*③기타_가정!$E$182,0)</f>
        <v>0</v>
      </c>
      <c r="I82" s="37" t="n">
        <f aca="false">IF(I15=1,③기타_가정!$G$38*③기타_가정!$E$182,0)</f>
        <v>0</v>
      </c>
      <c r="J82" s="37" t="n">
        <f aca="false">IF(J15=1,③기타_가정!$G$38*③기타_가정!$E$182,0)</f>
        <v>0</v>
      </c>
      <c r="K82" s="37" t="n">
        <f aca="false">IF(K15=1,③기타_가정!$G$38*③기타_가정!$E$182,0)</f>
        <v>0</v>
      </c>
      <c r="L82" s="37" t="n">
        <f aca="false">IF(L15=1,③기타_가정!$G$38*③기타_가정!$E$182,0)</f>
        <v>0</v>
      </c>
      <c r="M82" s="37" t="n">
        <f aca="false">IF(M15=1,③기타_가정!$G$38*③기타_가정!$E$182,0)</f>
        <v>0</v>
      </c>
      <c r="N82" s="37" t="n">
        <f aca="false">IF(N15=1,③기타_가정!$G$38*③기타_가정!$E$182,0)</f>
        <v>0</v>
      </c>
      <c r="O82" s="37" t="n">
        <f aca="false">IF(O15=1,③기타_가정!$G$38*③기타_가정!$E$182,0)</f>
        <v>0</v>
      </c>
      <c r="P82" s="37" t="n">
        <f aca="false">IF(P15=1,③기타_가정!$G$38*③기타_가정!$E$182,0)</f>
        <v>0</v>
      </c>
      <c r="Q82" s="37" t="n">
        <f aca="false">IF(Q15=1,③기타_가정!$G$38*③기타_가정!$E$182,0)</f>
        <v>0</v>
      </c>
      <c r="R82" s="37" t="n">
        <f aca="false">IF(R15=1,③기타_가정!$G$38*③기타_가정!$E$182,0)</f>
        <v>0</v>
      </c>
      <c r="S82" s="37" t="n">
        <f aca="false">IF(S15=1,③기타_가정!$G$38*③기타_가정!$E$182,0)</f>
        <v>0</v>
      </c>
      <c r="T82" s="37" t="n">
        <f aca="false">IF(T15=1,③기타_가정!$G$38*③기타_가정!$E$182,0)</f>
        <v>0</v>
      </c>
      <c r="U82" s="37" t="n">
        <f aca="false">IF(U15=1,③기타_가정!$G$38*③기타_가정!$E$182,0)</f>
        <v>0</v>
      </c>
      <c r="V82" s="37" t="n">
        <f aca="false">IF(V15=1,③기타_가정!$G$38*③기타_가정!$E$182,0)</f>
        <v>0</v>
      </c>
      <c r="W82" s="37" t="n">
        <f aca="false">IF(W15=1,③기타_가정!$G$38*③기타_가정!$E$182,0)</f>
        <v>0</v>
      </c>
      <c r="X82" s="37" t="n">
        <f aca="false">IF(X15=1,③기타_가정!$G$38*③기타_가정!$E$182,0)</f>
        <v>0</v>
      </c>
      <c r="Y82" s="37" t="n">
        <f aca="false">IF(Y15=1,③기타_가정!$G$38*③기타_가정!$E$182,0)</f>
        <v>0</v>
      </c>
      <c r="Z82" s="37" t="n">
        <f aca="false">IF(Z15=1,③기타_가정!$G$38*③기타_가정!$E$182,0)</f>
        <v>0</v>
      </c>
      <c r="AA82" s="37" t="n">
        <f aca="false">IF(AA15=1,③기타_가정!$G$38*③기타_가정!$E$182,0)</f>
        <v>0</v>
      </c>
      <c r="AB82" s="37" t="n">
        <f aca="false">IF(AB15=1,③기타_가정!$G$38*③기타_가정!$E$182,0)</f>
        <v>0</v>
      </c>
      <c r="AC82" s="37" t="n">
        <f aca="false">IF(AC15=1,③기타_가정!$G$38*③기타_가정!$E$182,0)</f>
        <v>0</v>
      </c>
      <c r="AD82" s="37" t="n">
        <f aca="false">IF(AD15=1,③기타_가정!$G$38*③기타_가정!$E$182,0)</f>
        <v>0</v>
      </c>
      <c r="AE82" s="37" t="n">
        <f aca="false">IF(AE15=1,③기타_가정!$G$38*③기타_가정!$E$182,0)</f>
        <v>0</v>
      </c>
      <c r="AF82" s="37" t="n">
        <f aca="false">IF(AF15=1,③기타_가정!$G$38*③기타_가정!$E$182,0)</f>
        <v>0</v>
      </c>
      <c r="AG82" s="37" t="n">
        <f aca="false">IF(AG15=1,③기타_가정!$G$38*③기타_가정!$E$182,0)</f>
        <v>0</v>
      </c>
      <c r="AH82" s="37" t="n">
        <f aca="false">IF(AH15=1,③기타_가정!$G$38*③기타_가정!$E$182,0)</f>
        <v>0</v>
      </c>
      <c r="AI82" s="37" t="n">
        <f aca="false">IF(AI15=1,③기타_가정!$G$38*③기타_가정!$E$182,0)</f>
        <v>0</v>
      </c>
      <c r="AJ82" s="37" t="n">
        <f aca="false">IF(AJ15=1,③기타_가정!$G$38*③기타_가정!$E$182,0)</f>
        <v>0</v>
      </c>
      <c r="AK82" s="37" t="n">
        <f aca="false">IF(AK15=1,③기타_가정!$G$38*③기타_가정!$E$182,0)</f>
        <v>0</v>
      </c>
      <c r="AL82" s="37" t="n">
        <f aca="false">IF(AL15=1,③기타_가정!$G$38*③기타_가정!$E$182,0)</f>
        <v>0</v>
      </c>
      <c r="AM82" s="37" t="n">
        <f aca="false">IF(AM15=1,③기타_가정!$G$38*③기타_가정!$E$182,0)</f>
        <v>0</v>
      </c>
      <c r="AN82" s="37" t="n">
        <f aca="false">IF(AN15=1,③기타_가정!$G$38*③기타_가정!$E$182,0)</f>
        <v>0</v>
      </c>
      <c r="AO82" s="37" t="n">
        <f aca="false">IF(AO15=1,③기타_가정!$G$38*③기타_가정!$E$182,0)</f>
        <v>0</v>
      </c>
      <c r="AP82" s="37" t="n">
        <f aca="false">IF(AP15=1,③기타_가정!$G$38*③기타_가정!$E$182,0)</f>
        <v>0</v>
      </c>
      <c r="AQ82" s="37" t="n">
        <f aca="false">IF(AQ15=1,③기타_가정!$G$38*③기타_가정!$E$182,0)</f>
        <v>0</v>
      </c>
      <c r="AR82" s="37" t="n">
        <f aca="false">IF(AR15=1,③기타_가정!$G$38*③기타_가정!$E$182,0)</f>
        <v>0</v>
      </c>
      <c r="AS82" s="37" t="n">
        <f aca="false">IF(AS15=1,③기타_가정!$G$38*③기타_가정!$E$182,0)</f>
        <v>0</v>
      </c>
      <c r="AT82" s="37" t="n">
        <f aca="false">IF(AT15=1,③기타_가정!$G$38*③기타_가정!$E$182,0)</f>
        <v>0</v>
      </c>
      <c r="AU82" s="37" t="n">
        <f aca="false">IF(AU15=1,③기타_가정!$G$38*③기타_가정!$E$182,0)</f>
        <v>0</v>
      </c>
      <c r="AV82" s="37" t="n">
        <f aca="false">IF(AV15=1,③기타_가정!$G$38*③기타_가정!$E$182,0)</f>
        <v>0</v>
      </c>
      <c r="AW82" s="37" t="n">
        <f aca="false">IF(AW15=1,③기타_가정!$G$38*③기타_가정!$E$182,0)</f>
        <v>0</v>
      </c>
      <c r="AX82" s="37" t="n">
        <f aca="false">IF(AX15=1,③기타_가정!$G$38*③기타_가정!$E$182,0)</f>
        <v>0</v>
      </c>
      <c r="AY82" s="37" t="n">
        <f aca="false">IF(AY15=1,③기타_가정!$G$38*③기타_가정!$E$182,0)</f>
        <v>0</v>
      </c>
      <c r="AZ82" s="37" t="n">
        <f aca="false">IF(AZ15=1,③기타_가정!$G$38*③기타_가정!$E$182,0)</f>
        <v>0</v>
      </c>
      <c r="BA82" s="37" t="n">
        <f aca="false">IF(BA15=1,③기타_가정!$G$38*③기타_가정!$E$182,0)</f>
        <v>0</v>
      </c>
      <c r="BB82" s="37" t="n">
        <f aca="false">IF(BB15=1,③기타_가정!$G$38*③기타_가정!$E$182,0)</f>
        <v>0</v>
      </c>
      <c r="BC82" s="37" t="n">
        <f aca="false">IF(BC15=1,③기타_가정!$G$38*③기타_가정!$E$182,0)</f>
        <v>0</v>
      </c>
      <c r="BD82" s="37" t="n">
        <f aca="false">IF(BD15=1,③기타_가정!$G$38*③기타_가정!$E$182,0)</f>
        <v>0</v>
      </c>
      <c r="BE82" s="37" t="n">
        <f aca="false">IF(BE15=1,③기타_가정!$G$38*③기타_가정!$E$182,0)</f>
        <v>0</v>
      </c>
      <c r="BF82" s="37" t="n">
        <f aca="false">IF(BF15=1,③기타_가정!$G$38*③기타_가정!$E$182,0)</f>
        <v>0</v>
      </c>
      <c r="BG82" s="37" t="n">
        <f aca="false">IF(BG15=1,③기타_가정!$G$38*③기타_가정!$E$182,0)</f>
        <v>0</v>
      </c>
      <c r="BH82" s="37" t="n">
        <f aca="false">IF(BH15=1,③기타_가정!$G$38*③기타_가정!$E$182,0)</f>
        <v>0</v>
      </c>
      <c r="BI82" s="37" t="n">
        <f aca="false">IF(BI15=1,③기타_가정!$G$38*③기타_가정!$E$182,0)</f>
        <v>0</v>
      </c>
      <c r="BJ82" s="37" t="n">
        <f aca="false">IF(BJ15=1,③기타_가정!$G$38*③기타_가정!$E$182,0)</f>
        <v>0</v>
      </c>
      <c r="BK82" s="37" t="n">
        <f aca="false">IF(BK15=1,③기타_가정!$G$38*③기타_가정!$E$182,0)</f>
        <v>0</v>
      </c>
      <c r="BL82" s="37" t="n">
        <f aca="false">IF(BL15=1,③기타_가정!$G$38*③기타_가정!$E$182,0)</f>
        <v>0</v>
      </c>
      <c r="BM82" s="37" t="n">
        <f aca="false">IF(BM15=1,③기타_가정!$G$38*③기타_가정!$E$182,0)</f>
        <v>14400</v>
      </c>
      <c r="BN82" s="37" t="n">
        <f aca="false">IF(BN15=1,③기타_가정!$G$38*③기타_가정!$E$182,0)</f>
        <v>0</v>
      </c>
      <c r="BO82" s="37" t="n">
        <f aca="false">IF(BO15=1,③기타_가정!$G$38*③기타_가정!$E$182,0)</f>
        <v>0</v>
      </c>
      <c r="BP82" s="37" t="n">
        <f aca="false">IF(BP15=1,③기타_가정!$G$38*③기타_가정!$E$182,0)</f>
        <v>0</v>
      </c>
      <c r="BQ82" s="37" t="n">
        <f aca="false">IF(BQ15=1,③기타_가정!$G$38*③기타_가정!$E$182,0)</f>
        <v>0</v>
      </c>
      <c r="BR82" s="37" t="n">
        <f aca="false">IF(BR15=1,③기타_가정!$G$38*③기타_가정!$E$182,0)</f>
        <v>0</v>
      </c>
      <c r="BS82" s="37" t="n">
        <f aca="false">IF(BS15=1,③기타_가정!$G$38*③기타_가정!$E$182,0)</f>
        <v>0</v>
      </c>
      <c r="BT82" s="37" t="n">
        <f aca="false">IF(BT15=1,③기타_가정!$G$38*③기타_가정!$E$182,0)</f>
        <v>0</v>
      </c>
      <c r="BU82" s="37" t="n">
        <f aca="false">IF(BU15=1,③기타_가정!$G$38*③기타_가정!$E$182,0)</f>
        <v>0</v>
      </c>
      <c r="BV82" s="37" t="n">
        <f aca="false">IF(BV15=1,③기타_가정!$G$38*③기타_가정!$E$182,0)</f>
        <v>0</v>
      </c>
      <c r="BW82" s="37" t="n">
        <f aca="false">IF(BW15=1,③기타_가정!$G$38*③기타_가정!$E$182,0)</f>
        <v>0</v>
      </c>
      <c r="BX82" s="37" t="n">
        <f aca="false">IF(BX15=1,③기타_가정!$G$38*③기타_가정!$E$182,0)</f>
        <v>0</v>
      </c>
      <c r="BY82" s="37" t="n">
        <f aca="false">IF(BY15=1,③기타_가정!$G$38*③기타_가정!$E$182,0)</f>
        <v>0</v>
      </c>
      <c r="BZ82" s="37" t="n">
        <f aca="false">IF(BZ15=1,③기타_가정!$G$38*③기타_가정!$E$182,0)</f>
        <v>0</v>
      </c>
      <c r="CA82" s="37" t="n">
        <f aca="false">IF(CA15=1,③기타_가정!$G$38*③기타_가정!$E$182,0)</f>
        <v>0</v>
      </c>
      <c r="CB82" s="37" t="n">
        <f aca="false">IF(CB15=1,③기타_가정!$G$38*③기타_가정!$E$182,0)</f>
        <v>0</v>
      </c>
      <c r="CC82" s="37" t="n">
        <f aca="false">IF(CC15=1,③기타_가정!$G$38*③기타_가정!$E$182,0)</f>
        <v>0</v>
      </c>
      <c r="CD82" s="37" t="n">
        <f aca="false">IF(CD15=1,③기타_가정!$G$38*③기타_가정!$E$182,0)</f>
        <v>0</v>
      </c>
      <c r="CE82" s="37" t="n">
        <f aca="false">IF(CE15=1,③기타_가정!$G$38*③기타_가정!$E$182,0)</f>
        <v>0</v>
      </c>
      <c r="CF82" s="37" t="n">
        <f aca="false">IF(CF15=1,③기타_가정!$G$38*③기타_가정!$E$182,0)</f>
        <v>0</v>
      </c>
      <c r="CG82" s="37" t="n">
        <f aca="false">IF(CG15=1,③기타_가정!$G$38*③기타_가정!$E$182,0)</f>
        <v>0</v>
      </c>
      <c r="CH82" s="37" t="n">
        <f aca="false">IF(CH15=1,③기타_가정!$G$38*③기타_가정!$E$182,0)</f>
        <v>0</v>
      </c>
      <c r="CI82" s="37" t="n">
        <f aca="false">IF(CI15=1,③기타_가정!$G$38*③기타_가정!$E$182,0)</f>
        <v>0</v>
      </c>
      <c r="CJ82" s="37" t="n">
        <f aca="false">IF(CJ15=1,③기타_가정!$G$38*③기타_가정!$E$182,0)</f>
        <v>0</v>
      </c>
      <c r="CK82" s="37" t="n">
        <f aca="false">IF(CK15=1,③기타_가정!$G$38*③기타_가정!$E$182,0)</f>
        <v>0</v>
      </c>
      <c r="CL82" s="37" t="n">
        <f aca="false">IF(CL15=1,③기타_가정!$G$38*③기타_가정!$E$182,0)</f>
        <v>0</v>
      </c>
      <c r="CM82" s="37" t="n">
        <f aca="false">IF(CM15=1,③기타_가정!$G$38*③기타_가정!$E$182,0)</f>
        <v>0</v>
      </c>
      <c r="CN82" s="37" t="n">
        <f aca="false">IF(CN15=1,③기타_가정!$G$38*③기타_가정!$E$182,0)</f>
        <v>0</v>
      </c>
      <c r="CO82" s="37" t="n">
        <f aca="false">IF(CO15=1,③기타_가정!$G$38*③기타_가정!$E$182,0)</f>
        <v>0</v>
      </c>
      <c r="CP82" s="37" t="n">
        <f aca="false">IF(CP15=1,③기타_가정!$G$38*③기타_가정!$E$182,0)</f>
        <v>0</v>
      </c>
      <c r="CQ82" s="37" t="n">
        <f aca="false">IF(CQ15=1,③기타_가정!$G$38*③기타_가정!$E$182,0)</f>
        <v>0</v>
      </c>
      <c r="CR82" s="37" t="n">
        <f aca="false">IF(CR15=1,③기타_가정!$G$38*③기타_가정!$E$182,0)</f>
        <v>0</v>
      </c>
      <c r="CS82" s="37" t="n">
        <f aca="false">IF(CS15=1,③기타_가정!$G$38*③기타_가정!$E$182,0)</f>
        <v>0</v>
      </c>
      <c r="CT82" s="37" t="n">
        <f aca="false">IF(CT15=1,③기타_가정!$G$38*③기타_가정!$E$182,0)</f>
        <v>0</v>
      </c>
      <c r="CU82" s="37" t="n">
        <f aca="false">IF(CU15=1,③기타_가정!$G$38*③기타_가정!$E$182,0)</f>
        <v>0</v>
      </c>
      <c r="CV82" s="37" t="n">
        <f aca="false">IF(CV15=1,③기타_가정!$G$38*③기타_가정!$E$182,0)</f>
        <v>0</v>
      </c>
      <c r="CW82" s="37" t="n">
        <f aca="false">IF(CW15=1,③기타_가정!$G$38*③기타_가정!$E$182,0)</f>
        <v>0</v>
      </c>
      <c r="CX82" s="37" t="n">
        <f aca="false">IF(CX15=1,③기타_가정!$G$38*③기타_가정!$E$182,0)</f>
        <v>0</v>
      </c>
      <c r="CY82" s="37" t="n">
        <f aca="false">IF(CY15=1,③기타_가정!$G$38*③기타_가정!$E$182,0)</f>
        <v>0</v>
      </c>
      <c r="CZ82" s="37" t="n">
        <f aca="false">IF(CZ15=1,③기타_가정!$G$38*③기타_가정!$E$182,0)</f>
        <v>0</v>
      </c>
      <c r="DA82" s="37" t="n">
        <f aca="false">IF(DA15=1,③기타_가정!$G$38*③기타_가정!$E$182,0)</f>
        <v>0</v>
      </c>
      <c r="DB82" s="37" t="n">
        <f aca="false">IF(DB15=1,③기타_가정!$G$38*③기타_가정!$E$182,0)</f>
        <v>0</v>
      </c>
      <c r="DC82" s="37" t="n">
        <f aca="false">IF(DC15=1,③기타_가정!$G$38*③기타_가정!$E$182,0)</f>
        <v>0</v>
      </c>
      <c r="DD82" s="37" t="n">
        <f aca="false">IF(DD15=1,③기타_가정!$G$38*③기타_가정!$E$182,0)</f>
        <v>0</v>
      </c>
      <c r="DE82" s="37" t="n">
        <f aca="false">IF(DE15=1,③기타_가정!$G$38*③기타_가정!$E$182,0)</f>
        <v>0</v>
      </c>
      <c r="DF82" s="37" t="n">
        <f aca="false">IF(DF15=1,③기타_가정!$G$38*③기타_가정!$E$182,0)</f>
        <v>0</v>
      </c>
      <c r="DG82" s="37" t="n">
        <f aca="false">IF(DG15=1,③기타_가정!$G$38*③기타_가정!$E$182,0)</f>
        <v>0</v>
      </c>
      <c r="DH82" s="37" t="n">
        <f aca="false">IF(DH15=1,③기타_가정!$G$38*③기타_가정!$E$182,0)</f>
        <v>0</v>
      </c>
      <c r="DI82" s="37" t="n">
        <f aca="false">IF(DI15=1,③기타_가정!$G$38*③기타_가정!$E$182,0)</f>
        <v>0</v>
      </c>
      <c r="DJ82" s="37" t="n">
        <f aca="false">IF(DJ15=1,③기타_가정!$G$38*③기타_가정!$E$182,0)</f>
        <v>0</v>
      </c>
      <c r="DK82" s="37" t="n">
        <f aca="false">IF(DK15=1,③기타_가정!$G$38*③기타_가정!$E$182,0)</f>
        <v>0</v>
      </c>
      <c r="DL82" s="37" t="n">
        <f aca="false">IF(DL15=1,③기타_가정!$G$38*③기타_가정!$E$182,0)</f>
        <v>0</v>
      </c>
      <c r="DM82" s="37" t="n">
        <f aca="false">IF(DM15=1,③기타_가정!$G$38*③기타_가정!$E$182,0)</f>
        <v>0</v>
      </c>
      <c r="DN82" s="37" t="n">
        <f aca="false">IF(DN15=1,③기타_가정!$G$38*③기타_가정!$E$182,0)</f>
        <v>0</v>
      </c>
      <c r="DO82" s="37" t="n">
        <f aca="false">IF(DO15=1,③기타_가정!$G$38*③기타_가정!$E$182,0)</f>
        <v>0</v>
      </c>
      <c r="DP82" s="37" t="n">
        <f aca="false">IF(DP15=1,③기타_가정!$G$38*③기타_가정!$E$182,0)</f>
        <v>0</v>
      </c>
      <c r="DQ82" s="37" t="n">
        <f aca="false">IF(DQ15=1,③기타_가정!$G$38*③기타_가정!$E$182,0)</f>
        <v>0</v>
      </c>
      <c r="DR82" s="37" t="n">
        <f aca="false">IF(DR15=1,③기타_가정!$G$38*③기타_가정!$E$182,0)</f>
        <v>0</v>
      </c>
      <c r="DS82" s="37" t="n">
        <f aca="false">IF(DS15=1,③기타_가정!$G$38*③기타_가정!$E$182,0)</f>
        <v>0</v>
      </c>
      <c r="DT82" s="37" t="n">
        <f aca="false">IF(DT15=1,③기타_가정!$G$38*③기타_가정!$E$182,0)</f>
        <v>0</v>
      </c>
      <c r="DU82" s="37" t="n">
        <f aca="false">IF(DU15=1,③기타_가정!$G$38*③기타_가정!$E$182,0)</f>
        <v>0</v>
      </c>
      <c r="DV82" s="37" t="n">
        <f aca="false">IF(DV15=1,③기타_가정!$G$38*③기타_가정!$E$182,0)</f>
        <v>0</v>
      </c>
      <c r="DW82" s="37" t="n">
        <f aca="false">IF(DW15=1,③기타_가정!$G$38*③기타_가정!$E$182,0)</f>
        <v>0</v>
      </c>
      <c r="DX82" s="37" t="n">
        <f aca="false">IF(DX15=1,③기타_가정!$G$38*③기타_가정!$E$182,0)</f>
        <v>0</v>
      </c>
      <c r="DY82" s="37" t="n">
        <f aca="false">IF(DY15=1,③기타_가정!$G$38*③기타_가정!$E$182,0)</f>
        <v>0</v>
      </c>
      <c r="DZ82" s="37" t="n">
        <f aca="false">IF(DZ15=1,③기타_가정!$G$38*③기타_가정!$E$182,0)</f>
        <v>0</v>
      </c>
      <c r="EA82" s="37" t="n">
        <f aca="false">IF(EA15=1,③기타_가정!$G$38*③기타_가정!$E$182,0)</f>
        <v>0</v>
      </c>
      <c r="EB82" s="37" t="n">
        <f aca="false">IF(EB15=1,③기타_가정!$G$38*③기타_가정!$E$182,0)</f>
        <v>0</v>
      </c>
      <c r="EC82" s="37" t="n">
        <f aca="false">IF(EC15=1,③기타_가정!$G$38*③기타_가정!$E$182,0)</f>
        <v>0</v>
      </c>
      <c r="ED82" s="37" t="n">
        <f aca="false">IF(ED15=1,③기타_가정!$G$38*③기타_가정!$E$182,0)</f>
        <v>0</v>
      </c>
      <c r="EE82" s="37" t="n">
        <f aca="false">IF(EE15=1,③기타_가정!$G$38*③기타_가정!$E$182,0)</f>
        <v>0</v>
      </c>
      <c r="EF82" s="37" t="n">
        <f aca="false">IF(EF15=1,③기타_가정!$G$38*③기타_가정!$E$182,0)</f>
        <v>0</v>
      </c>
    </row>
    <row r="83" customFormat="false" ht="15" hidden="false" customHeight="false" outlineLevel="0" collapsed="false">
      <c r="A83" s="36" t="s">
        <v>625</v>
      </c>
      <c r="B83" s="278" t="s">
        <v>21</v>
      </c>
      <c r="C83" s="279" t="n">
        <f aca="false">SUM(E83:EF83)</f>
        <v>9300</v>
      </c>
      <c r="E83" s="37" t="n">
        <f aca="false">IF(E15=1,③기타_가정!$H$38*(③기타_가정!$E$200+③기타_가정!$E$213+③기타_가정!$E$226+③기타_가정!$E$239+③기타_가정!$E$252),0)</f>
        <v>0</v>
      </c>
      <c r="F83" s="37" t="n">
        <f aca="false">IF(F15=1,③기타_가정!$H$38*(③기타_가정!$E$200+③기타_가정!$E$213+③기타_가정!$E$226+③기타_가정!$E$239+③기타_가정!$E$252),0)</f>
        <v>0</v>
      </c>
      <c r="G83" s="37" t="n">
        <f aca="false">IF(G15=1,③기타_가정!$H$38*(③기타_가정!$E$200+③기타_가정!$E$213+③기타_가정!$E$226+③기타_가정!$E$239+③기타_가정!$E$252),0)</f>
        <v>0</v>
      </c>
      <c r="H83" s="37" t="n">
        <f aca="false">IF(H15=1,③기타_가정!$H$38*(③기타_가정!$E$200+③기타_가정!$E$213+③기타_가정!$E$226+③기타_가정!$E$239+③기타_가정!$E$252),0)</f>
        <v>0</v>
      </c>
      <c r="I83" s="37" t="n">
        <f aca="false">IF(I15=1,③기타_가정!$H$38*(③기타_가정!$E$200+③기타_가정!$E$213+③기타_가정!$E$226+③기타_가정!$E$239+③기타_가정!$E$252),0)</f>
        <v>0</v>
      </c>
      <c r="J83" s="37" t="n">
        <f aca="false">IF(J15=1,③기타_가정!$H$38*(③기타_가정!$E$200+③기타_가정!$E$213+③기타_가정!$E$226+③기타_가정!$E$239+③기타_가정!$E$252),0)</f>
        <v>0</v>
      </c>
      <c r="K83" s="37" t="n">
        <f aca="false">IF(K15=1,③기타_가정!$H$38*(③기타_가정!$E$200+③기타_가정!$E$213+③기타_가정!$E$226+③기타_가정!$E$239+③기타_가정!$E$252),0)</f>
        <v>0</v>
      </c>
      <c r="L83" s="37" t="n">
        <f aca="false">IF(L15=1,③기타_가정!$H$38*(③기타_가정!$E$200+③기타_가정!$E$213+③기타_가정!$E$226+③기타_가정!$E$239+③기타_가정!$E$252),0)</f>
        <v>0</v>
      </c>
      <c r="M83" s="37" t="n">
        <f aca="false">IF(M15=1,③기타_가정!$H$38*(③기타_가정!$E$200+③기타_가정!$E$213+③기타_가정!$E$226+③기타_가정!$E$239+③기타_가정!$E$252),0)</f>
        <v>0</v>
      </c>
      <c r="N83" s="37" t="n">
        <f aca="false">IF(N15=1,③기타_가정!$H$38*(③기타_가정!$E$200+③기타_가정!$E$213+③기타_가정!$E$226+③기타_가정!$E$239+③기타_가정!$E$252),0)</f>
        <v>0</v>
      </c>
      <c r="O83" s="37" t="n">
        <f aca="false">IF(O15=1,③기타_가정!$H$38*(③기타_가정!$E$200+③기타_가정!$E$213+③기타_가정!$E$226+③기타_가정!$E$239+③기타_가정!$E$252),0)</f>
        <v>0</v>
      </c>
      <c r="P83" s="37" t="n">
        <f aca="false">IF(P15=1,③기타_가정!$H$38*(③기타_가정!$E$200+③기타_가정!$E$213+③기타_가정!$E$226+③기타_가정!$E$239+③기타_가정!$E$252),0)</f>
        <v>0</v>
      </c>
      <c r="Q83" s="37" t="n">
        <f aca="false">IF(Q15=1,③기타_가정!$H$38*(③기타_가정!$E$200+③기타_가정!$E$213+③기타_가정!$E$226+③기타_가정!$E$239+③기타_가정!$E$252),0)</f>
        <v>0</v>
      </c>
      <c r="R83" s="37" t="n">
        <f aca="false">IF(R15=1,③기타_가정!$H$38*(③기타_가정!$E$200+③기타_가정!$E$213+③기타_가정!$E$226+③기타_가정!$E$239+③기타_가정!$E$252),0)</f>
        <v>0</v>
      </c>
      <c r="S83" s="37" t="n">
        <f aca="false">IF(S15=1,③기타_가정!$H$38*(③기타_가정!$E$200+③기타_가정!$E$213+③기타_가정!$E$226+③기타_가정!$E$239+③기타_가정!$E$252),0)</f>
        <v>0</v>
      </c>
      <c r="T83" s="37" t="n">
        <f aca="false">IF(T15=1,③기타_가정!$H$38*(③기타_가정!$E$200+③기타_가정!$E$213+③기타_가정!$E$226+③기타_가정!$E$239+③기타_가정!$E$252),0)</f>
        <v>0</v>
      </c>
      <c r="U83" s="37" t="n">
        <f aca="false">IF(U15=1,③기타_가정!$H$38*(③기타_가정!$E$200+③기타_가정!$E$213+③기타_가정!$E$226+③기타_가정!$E$239+③기타_가정!$E$252),0)</f>
        <v>0</v>
      </c>
      <c r="V83" s="37" t="n">
        <f aca="false">IF(V15=1,③기타_가정!$H$38*(③기타_가정!$E$200+③기타_가정!$E$213+③기타_가정!$E$226+③기타_가정!$E$239+③기타_가정!$E$252),0)</f>
        <v>0</v>
      </c>
      <c r="W83" s="37" t="n">
        <f aca="false">IF(W15=1,③기타_가정!$H$38*(③기타_가정!$E$200+③기타_가정!$E$213+③기타_가정!$E$226+③기타_가정!$E$239+③기타_가정!$E$252),0)</f>
        <v>0</v>
      </c>
      <c r="X83" s="37" t="n">
        <f aca="false">IF(X15=1,③기타_가정!$H$38*(③기타_가정!$E$200+③기타_가정!$E$213+③기타_가정!$E$226+③기타_가정!$E$239+③기타_가정!$E$252),0)</f>
        <v>0</v>
      </c>
      <c r="Y83" s="37" t="n">
        <f aca="false">IF(Y15=1,③기타_가정!$H$38*(③기타_가정!$E$200+③기타_가정!$E$213+③기타_가정!$E$226+③기타_가정!$E$239+③기타_가정!$E$252),0)</f>
        <v>0</v>
      </c>
      <c r="Z83" s="37" t="n">
        <f aca="false">IF(Z15=1,③기타_가정!$H$38*(③기타_가정!$E$200+③기타_가정!$E$213+③기타_가정!$E$226+③기타_가정!$E$239+③기타_가정!$E$252),0)</f>
        <v>0</v>
      </c>
      <c r="AA83" s="37" t="n">
        <f aca="false">IF(AA15=1,③기타_가정!$H$38*(③기타_가정!$E$200+③기타_가정!$E$213+③기타_가정!$E$226+③기타_가정!$E$239+③기타_가정!$E$252),0)</f>
        <v>0</v>
      </c>
      <c r="AB83" s="37" t="n">
        <f aca="false">IF(AB15=1,③기타_가정!$H$38*(③기타_가정!$E$200+③기타_가정!$E$213+③기타_가정!$E$226+③기타_가정!$E$239+③기타_가정!$E$252),0)</f>
        <v>0</v>
      </c>
      <c r="AC83" s="37" t="n">
        <f aca="false">IF(AC15=1,③기타_가정!$H$38*(③기타_가정!$E$200+③기타_가정!$E$213+③기타_가정!$E$226+③기타_가정!$E$239+③기타_가정!$E$252),0)</f>
        <v>0</v>
      </c>
      <c r="AD83" s="37" t="n">
        <f aca="false">IF(AD15=1,③기타_가정!$H$38*(③기타_가정!$E$200+③기타_가정!$E$213+③기타_가정!$E$226+③기타_가정!$E$239+③기타_가정!$E$252),0)</f>
        <v>0</v>
      </c>
      <c r="AE83" s="37" t="n">
        <f aca="false">IF(AE15=1,③기타_가정!$H$38*(③기타_가정!$E$200+③기타_가정!$E$213+③기타_가정!$E$226+③기타_가정!$E$239+③기타_가정!$E$252),0)</f>
        <v>0</v>
      </c>
      <c r="AF83" s="37" t="n">
        <f aca="false">IF(AF15=1,③기타_가정!$H$38*(③기타_가정!$E$200+③기타_가정!$E$213+③기타_가정!$E$226+③기타_가정!$E$239+③기타_가정!$E$252),0)</f>
        <v>0</v>
      </c>
      <c r="AG83" s="37" t="n">
        <f aca="false">IF(AG15=1,③기타_가정!$H$38*(③기타_가정!$E$200+③기타_가정!$E$213+③기타_가정!$E$226+③기타_가정!$E$239+③기타_가정!$E$252),0)</f>
        <v>0</v>
      </c>
      <c r="AH83" s="37" t="n">
        <f aca="false">IF(AH15=1,③기타_가정!$H$38*(③기타_가정!$E$200+③기타_가정!$E$213+③기타_가정!$E$226+③기타_가정!$E$239+③기타_가정!$E$252),0)</f>
        <v>0</v>
      </c>
      <c r="AI83" s="37" t="n">
        <f aca="false">IF(AI15=1,③기타_가정!$H$38*(③기타_가정!$E$200+③기타_가정!$E$213+③기타_가정!$E$226+③기타_가정!$E$239+③기타_가정!$E$252),0)</f>
        <v>0</v>
      </c>
      <c r="AJ83" s="37" t="n">
        <f aca="false">IF(AJ15=1,③기타_가정!$H$38*(③기타_가정!$E$200+③기타_가정!$E$213+③기타_가정!$E$226+③기타_가정!$E$239+③기타_가정!$E$252),0)</f>
        <v>0</v>
      </c>
      <c r="AK83" s="37" t="n">
        <f aca="false">IF(AK15=1,③기타_가정!$H$38*(③기타_가정!$E$200+③기타_가정!$E$213+③기타_가정!$E$226+③기타_가정!$E$239+③기타_가정!$E$252),0)</f>
        <v>0</v>
      </c>
      <c r="AL83" s="37" t="n">
        <f aca="false">IF(AL15=1,③기타_가정!$H$38*(③기타_가정!$E$200+③기타_가정!$E$213+③기타_가정!$E$226+③기타_가정!$E$239+③기타_가정!$E$252),0)</f>
        <v>0</v>
      </c>
      <c r="AM83" s="37" t="n">
        <f aca="false">IF(AM15=1,③기타_가정!$H$38*(③기타_가정!$E$200+③기타_가정!$E$213+③기타_가정!$E$226+③기타_가정!$E$239+③기타_가정!$E$252),0)</f>
        <v>0</v>
      </c>
      <c r="AN83" s="37" t="n">
        <f aca="false">IF(AN15=1,③기타_가정!$H$38*(③기타_가정!$E$200+③기타_가정!$E$213+③기타_가정!$E$226+③기타_가정!$E$239+③기타_가정!$E$252),0)</f>
        <v>0</v>
      </c>
      <c r="AO83" s="37" t="n">
        <f aca="false">IF(AO15=1,③기타_가정!$H$38*(③기타_가정!$E$200+③기타_가정!$E$213+③기타_가정!$E$226+③기타_가정!$E$239+③기타_가정!$E$252),0)</f>
        <v>0</v>
      </c>
      <c r="AP83" s="37" t="n">
        <f aca="false">IF(AP15=1,③기타_가정!$H$38*(③기타_가정!$E$200+③기타_가정!$E$213+③기타_가정!$E$226+③기타_가정!$E$239+③기타_가정!$E$252),0)</f>
        <v>0</v>
      </c>
      <c r="AQ83" s="37" t="n">
        <f aca="false">IF(AQ15=1,③기타_가정!$H$38*(③기타_가정!$E$200+③기타_가정!$E$213+③기타_가정!$E$226+③기타_가정!$E$239+③기타_가정!$E$252),0)</f>
        <v>0</v>
      </c>
      <c r="AR83" s="37" t="n">
        <f aca="false">IF(AR15=1,③기타_가정!$H$38*(③기타_가정!$E$200+③기타_가정!$E$213+③기타_가정!$E$226+③기타_가정!$E$239+③기타_가정!$E$252),0)</f>
        <v>0</v>
      </c>
      <c r="AS83" s="37" t="n">
        <f aca="false">IF(AS15=1,③기타_가정!$H$38*(③기타_가정!$E$200+③기타_가정!$E$213+③기타_가정!$E$226+③기타_가정!$E$239+③기타_가정!$E$252),0)</f>
        <v>0</v>
      </c>
      <c r="AT83" s="37" t="n">
        <f aca="false">IF(AT15=1,③기타_가정!$H$38*(③기타_가정!$E$200+③기타_가정!$E$213+③기타_가정!$E$226+③기타_가정!$E$239+③기타_가정!$E$252),0)</f>
        <v>0</v>
      </c>
      <c r="AU83" s="37" t="n">
        <f aca="false">IF(AU15=1,③기타_가정!$H$38*(③기타_가정!$E$200+③기타_가정!$E$213+③기타_가정!$E$226+③기타_가정!$E$239+③기타_가정!$E$252),0)</f>
        <v>0</v>
      </c>
      <c r="AV83" s="37" t="n">
        <f aca="false">IF(AV15=1,③기타_가정!$H$38*(③기타_가정!$E$200+③기타_가정!$E$213+③기타_가정!$E$226+③기타_가정!$E$239+③기타_가정!$E$252),0)</f>
        <v>0</v>
      </c>
      <c r="AW83" s="37" t="n">
        <f aca="false">IF(AW15=1,③기타_가정!$H$38*(③기타_가정!$E$200+③기타_가정!$E$213+③기타_가정!$E$226+③기타_가정!$E$239+③기타_가정!$E$252),0)</f>
        <v>0</v>
      </c>
      <c r="AX83" s="37" t="n">
        <f aca="false">IF(AX15=1,③기타_가정!$H$38*(③기타_가정!$E$200+③기타_가정!$E$213+③기타_가정!$E$226+③기타_가정!$E$239+③기타_가정!$E$252),0)</f>
        <v>0</v>
      </c>
      <c r="AY83" s="37" t="n">
        <f aca="false">IF(AY15=1,③기타_가정!$H$38*(③기타_가정!$E$200+③기타_가정!$E$213+③기타_가정!$E$226+③기타_가정!$E$239+③기타_가정!$E$252),0)</f>
        <v>0</v>
      </c>
      <c r="AZ83" s="37" t="n">
        <f aca="false">IF(AZ15=1,③기타_가정!$H$38*(③기타_가정!$E$200+③기타_가정!$E$213+③기타_가정!$E$226+③기타_가정!$E$239+③기타_가정!$E$252),0)</f>
        <v>0</v>
      </c>
      <c r="BA83" s="37" t="n">
        <f aca="false">IF(BA15=1,③기타_가정!$H$38*(③기타_가정!$E$200+③기타_가정!$E$213+③기타_가정!$E$226+③기타_가정!$E$239+③기타_가정!$E$252),0)</f>
        <v>0</v>
      </c>
      <c r="BB83" s="37" t="n">
        <f aca="false">IF(BB15=1,③기타_가정!$H$38*(③기타_가정!$E$200+③기타_가정!$E$213+③기타_가정!$E$226+③기타_가정!$E$239+③기타_가정!$E$252),0)</f>
        <v>0</v>
      </c>
      <c r="BC83" s="37" t="n">
        <f aca="false">IF(BC15=1,③기타_가정!$H$38*(③기타_가정!$E$200+③기타_가정!$E$213+③기타_가정!$E$226+③기타_가정!$E$239+③기타_가정!$E$252),0)</f>
        <v>0</v>
      </c>
      <c r="BD83" s="37" t="n">
        <f aca="false">IF(BD15=1,③기타_가정!$H$38*(③기타_가정!$E$200+③기타_가정!$E$213+③기타_가정!$E$226+③기타_가정!$E$239+③기타_가정!$E$252),0)</f>
        <v>0</v>
      </c>
      <c r="BE83" s="37" t="n">
        <f aca="false">IF(BE15=1,③기타_가정!$H$38*(③기타_가정!$E$200+③기타_가정!$E$213+③기타_가정!$E$226+③기타_가정!$E$239+③기타_가정!$E$252),0)</f>
        <v>0</v>
      </c>
      <c r="BF83" s="37" t="n">
        <f aca="false">IF(BF15=1,③기타_가정!$H$38*(③기타_가정!$E$200+③기타_가정!$E$213+③기타_가정!$E$226+③기타_가정!$E$239+③기타_가정!$E$252),0)</f>
        <v>0</v>
      </c>
      <c r="BG83" s="37" t="n">
        <f aca="false">IF(BG15=1,③기타_가정!$H$38*(③기타_가정!$E$200+③기타_가정!$E$213+③기타_가정!$E$226+③기타_가정!$E$239+③기타_가정!$E$252),0)</f>
        <v>0</v>
      </c>
      <c r="BH83" s="37" t="n">
        <f aca="false">IF(BH15=1,③기타_가정!$H$38*(③기타_가정!$E$200+③기타_가정!$E$213+③기타_가정!$E$226+③기타_가정!$E$239+③기타_가정!$E$252),0)</f>
        <v>0</v>
      </c>
      <c r="BI83" s="37" t="n">
        <f aca="false">IF(BI15=1,③기타_가정!$H$38*(③기타_가정!$E$200+③기타_가정!$E$213+③기타_가정!$E$226+③기타_가정!$E$239+③기타_가정!$E$252),0)</f>
        <v>0</v>
      </c>
      <c r="BJ83" s="37" t="n">
        <f aca="false">IF(BJ15=1,③기타_가정!$H$38*(③기타_가정!$E$200+③기타_가정!$E$213+③기타_가정!$E$226+③기타_가정!$E$239+③기타_가정!$E$252),0)</f>
        <v>0</v>
      </c>
      <c r="BK83" s="37" t="n">
        <f aca="false">IF(BK15=1,③기타_가정!$H$38*(③기타_가정!$E$200+③기타_가정!$E$213+③기타_가정!$E$226+③기타_가정!$E$239+③기타_가정!$E$252),0)</f>
        <v>0</v>
      </c>
      <c r="BL83" s="37" t="n">
        <f aca="false">IF(BL15=1,③기타_가정!$H$38*(③기타_가정!$E$200+③기타_가정!$E$213+③기타_가정!$E$226+③기타_가정!$E$239+③기타_가정!$E$252),0)</f>
        <v>0</v>
      </c>
      <c r="BM83" s="37" t="n">
        <f aca="false">IF(BM15=1,③기타_가정!$H$38*(③기타_가정!$E$200+③기타_가정!$E$213+③기타_가정!$E$226+③기타_가정!$E$239+③기타_가정!$E$252),0)</f>
        <v>9300</v>
      </c>
      <c r="BN83" s="37" t="n">
        <f aca="false">IF(BN15=1,③기타_가정!$H$38*(③기타_가정!$E$200+③기타_가정!$E$213+③기타_가정!$E$226+③기타_가정!$E$239+③기타_가정!$E$252),0)</f>
        <v>0</v>
      </c>
      <c r="BO83" s="37" t="n">
        <f aca="false">IF(BO15=1,③기타_가정!$H$38*(③기타_가정!$E$200+③기타_가정!$E$213+③기타_가정!$E$226+③기타_가정!$E$239+③기타_가정!$E$252),0)</f>
        <v>0</v>
      </c>
      <c r="BP83" s="37" t="n">
        <f aca="false">IF(BP15=1,③기타_가정!$H$38*(③기타_가정!$E$200+③기타_가정!$E$213+③기타_가정!$E$226+③기타_가정!$E$239+③기타_가정!$E$252),0)</f>
        <v>0</v>
      </c>
      <c r="BQ83" s="37" t="n">
        <f aca="false">IF(BQ15=1,③기타_가정!$H$38*(③기타_가정!$E$200+③기타_가정!$E$213+③기타_가정!$E$226+③기타_가정!$E$239+③기타_가정!$E$252),0)</f>
        <v>0</v>
      </c>
      <c r="BR83" s="37" t="n">
        <f aca="false">IF(BR15=1,③기타_가정!$H$38*(③기타_가정!$E$200+③기타_가정!$E$213+③기타_가정!$E$226+③기타_가정!$E$239+③기타_가정!$E$252),0)</f>
        <v>0</v>
      </c>
      <c r="BS83" s="37" t="n">
        <f aca="false">IF(BS15=1,③기타_가정!$H$38*(③기타_가정!$E$200+③기타_가정!$E$213+③기타_가정!$E$226+③기타_가정!$E$239+③기타_가정!$E$252),0)</f>
        <v>0</v>
      </c>
      <c r="BT83" s="37" t="n">
        <f aca="false">IF(BT15=1,③기타_가정!$H$38*(③기타_가정!$E$200+③기타_가정!$E$213+③기타_가정!$E$226+③기타_가정!$E$239+③기타_가정!$E$252),0)</f>
        <v>0</v>
      </c>
      <c r="BU83" s="37" t="n">
        <f aca="false">IF(BU15=1,③기타_가정!$H$38*(③기타_가정!$E$200+③기타_가정!$E$213+③기타_가정!$E$226+③기타_가정!$E$239+③기타_가정!$E$252),0)</f>
        <v>0</v>
      </c>
      <c r="BV83" s="37" t="n">
        <f aca="false">IF(BV15=1,③기타_가정!$H$38*(③기타_가정!$E$200+③기타_가정!$E$213+③기타_가정!$E$226+③기타_가정!$E$239+③기타_가정!$E$252),0)</f>
        <v>0</v>
      </c>
      <c r="BW83" s="37" t="n">
        <f aca="false">IF(BW15=1,③기타_가정!$H$38*(③기타_가정!$E$200+③기타_가정!$E$213+③기타_가정!$E$226+③기타_가정!$E$239+③기타_가정!$E$252),0)</f>
        <v>0</v>
      </c>
      <c r="BX83" s="37" t="n">
        <f aca="false">IF(BX15=1,③기타_가정!$H$38*(③기타_가정!$E$200+③기타_가정!$E$213+③기타_가정!$E$226+③기타_가정!$E$239+③기타_가정!$E$252),0)</f>
        <v>0</v>
      </c>
      <c r="BY83" s="37" t="n">
        <f aca="false">IF(BY15=1,③기타_가정!$H$38*(③기타_가정!$E$200+③기타_가정!$E$213+③기타_가정!$E$226+③기타_가정!$E$239+③기타_가정!$E$252),0)</f>
        <v>0</v>
      </c>
      <c r="BZ83" s="37" t="n">
        <f aca="false">IF(BZ15=1,③기타_가정!$H$38*(③기타_가정!$E$200+③기타_가정!$E$213+③기타_가정!$E$226+③기타_가정!$E$239+③기타_가정!$E$252),0)</f>
        <v>0</v>
      </c>
      <c r="CA83" s="37" t="n">
        <f aca="false">IF(CA15=1,③기타_가정!$H$38*(③기타_가정!$E$200+③기타_가정!$E$213+③기타_가정!$E$226+③기타_가정!$E$239+③기타_가정!$E$252),0)</f>
        <v>0</v>
      </c>
      <c r="CB83" s="37" t="n">
        <f aca="false">IF(CB15=1,③기타_가정!$H$38*(③기타_가정!$E$200+③기타_가정!$E$213+③기타_가정!$E$226+③기타_가정!$E$239+③기타_가정!$E$252),0)</f>
        <v>0</v>
      </c>
      <c r="CC83" s="37" t="n">
        <f aca="false">IF(CC15=1,③기타_가정!$H$38*(③기타_가정!$E$200+③기타_가정!$E$213+③기타_가정!$E$226+③기타_가정!$E$239+③기타_가정!$E$252),0)</f>
        <v>0</v>
      </c>
      <c r="CD83" s="37" t="n">
        <f aca="false">IF(CD15=1,③기타_가정!$H$38*(③기타_가정!$E$200+③기타_가정!$E$213+③기타_가정!$E$226+③기타_가정!$E$239+③기타_가정!$E$252),0)</f>
        <v>0</v>
      </c>
      <c r="CE83" s="37" t="n">
        <f aca="false">IF(CE15=1,③기타_가정!$H$38*(③기타_가정!$E$200+③기타_가정!$E$213+③기타_가정!$E$226+③기타_가정!$E$239+③기타_가정!$E$252),0)</f>
        <v>0</v>
      </c>
      <c r="CF83" s="37" t="n">
        <f aca="false">IF(CF15=1,③기타_가정!$H$38*(③기타_가정!$E$200+③기타_가정!$E$213+③기타_가정!$E$226+③기타_가정!$E$239+③기타_가정!$E$252),0)</f>
        <v>0</v>
      </c>
      <c r="CG83" s="37" t="n">
        <f aca="false">IF(CG15=1,③기타_가정!$H$38*(③기타_가정!$E$200+③기타_가정!$E$213+③기타_가정!$E$226+③기타_가정!$E$239+③기타_가정!$E$252),0)</f>
        <v>0</v>
      </c>
      <c r="CH83" s="37" t="n">
        <f aca="false">IF(CH15=1,③기타_가정!$H$38*(③기타_가정!$E$200+③기타_가정!$E$213+③기타_가정!$E$226+③기타_가정!$E$239+③기타_가정!$E$252),0)</f>
        <v>0</v>
      </c>
      <c r="CI83" s="37" t="n">
        <f aca="false">IF(CI15=1,③기타_가정!$H$38*(③기타_가정!$E$200+③기타_가정!$E$213+③기타_가정!$E$226+③기타_가정!$E$239+③기타_가정!$E$252),0)</f>
        <v>0</v>
      </c>
      <c r="CJ83" s="37" t="n">
        <f aca="false">IF(CJ15=1,③기타_가정!$H$38*(③기타_가정!$E$200+③기타_가정!$E$213+③기타_가정!$E$226+③기타_가정!$E$239+③기타_가정!$E$252),0)</f>
        <v>0</v>
      </c>
      <c r="CK83" s="37" t="n">
        <f aca="false">IF(CK15=1,③기타_가정!$H$38*(③기타_가정!$E$200+③기타_가정!$E$213+③기타_가정!$E$226+③기타_가정!$E$239+③기타_가정!$E$252),0)</f>
        <v>0</v>
      </c>
      <c r="CL83" s="37" t="n">
        <f aca="false">IF(CL15=1,③기타_가정!$H$38*(③기타_가정!$E$200+③기타_가정!$E$213+③기타_가정!$E$226+③기타_가정!$E$239+③기타_가정!$E$252),0)</f>
        <v>0</v>
      </c>
      <c r="CM83" s="37" t="n">
        <f aca="false">IF(CM15=1,③기타_가정!$H$38*(③기타_가정!$E$200+③기타_가정!$E$213+③기타_가정!$E$226+③기타_가정!$E$239+③기타_가정!$E$252),0)</f>
        <v>0</v>
      </c>
      <c r="CN83" s="37" t="n">
        <f aca="false">IF(CN15=1,③기타_가정!$H$38*(③기타_가정!$E$200+③기타_가정!$E$213+③기타_가정!$E$226+③기타_가정!$E$239+③기타_가정!$E$252),0)</f>
        <v>0</v>
      </c>
      <c r="CO83" s="37" t="n">
        <f aca="false">IF(CO15=1,③기타_가정!$H$38*(③기타_가정!$E$200+③기타_가정!$E$213+③기타_가정!$E$226+③기타_가정!$E$239+③기타_가정!$E$252),0)</f>
        <v>0</v>
      </c>
      <c r="CP83" s="37" t="n">
        <f aca="false">IF(CP15=1,③기타_가정!$H$38*(③기타_가정!$E$200+③기타_가정!$E$213+③기타_가정!$E$226+③기타_가정!$E$239+③기타_가정!$E$252),0)</f>
        <v>0</v>
      </c>
      <c r="CQ83" s="37" t="n">
        <f aca="false">IF(CQ15=1,③기타_가정!$H$38*(③기타_가정!$E$200+③기타_가정!$E$213+③기타_가정!$E$226+③기타_가정!$E$239+③기타_가정!$E$252),0)</f>
        <v>0</v>
      </c>
      <c r="CR83" s="37" t="n">
        <f aca="false">IF(CR15=1,③기타_가정!$H$38*(③기타_가정!$E$200+③기타_가정!$E$213+③기타_가정!$E$226+③기타_가정!$E$239+③기타_가정!$E$252),0)</f>
        <v>0</v>
      </c>
      <c r="CS83" s="37" t="n">
        <f aca="false">IF(CS15=1,③기타_가정!$H$38*(③기타_가정!$E$200+③기타_가정!$E$213+③기타_가정!$E$226+③기타_가정!$E$239+③기타_가정!$E$252),0)</f>
        <v>0</v>
      </c>
      <c r="CT83" s="37" t="n">
        <f aca="false">IF(CT15=1,③기타_가정!$H$38*(③기타_가정!$E$200+③기타_가정!$E$213+③기타_가정!$E$226+③기타_가정!$E$239+③기타_가정!$E$252),0)</f>
        <v>0</v>
      </c>
      <c r="CU83" s="37" t="n">
        <f aca="false">IF(CU15=1,③기타_가정!$H$38*(③기타_가정!$E$200+③기타_가정!$E$213+③기타_가정!$E$226+③기타_가정!$E$239+③기타_가정!$E$252),0)</f>
        <v>0</v>
      </c>
      <c r="CV83" s="37" t="n">
        <f aca="false">IF(CV15=1,③기타_가정!$H$38*(③기타_가정!$E$200+③기타_가정!$E$213+③기타_가정!$E$226+③기타_가정!$E$239+③기타_가정!$E$252),0)</f>
        <v>0</v>
      </c>
      <c r="CW83" s="37" t="n">
        <f aca="false">IF(CW15=1,③기타_가정!$H$38*(③기타_가정!$E$200+③기타_가정!$E$213+③기타_가정!$E$226+③기타_가정!$E$239+③기타_가정!$E$252),0)</f>
        <v>0</v>
      </c>
      <c r="CX83" s="37" t="n">
        <f aca="false">IF(CX15=1,③기타_가정!$H$38*(③기타_가정!$E$200+③기타_가정!$E$213+③기타_가정!$E$226+③기타_가정!$E$239+③기타_가정!$E$252),0)</f>
        <v>0</v>
      </c>
      <c r="CY83" s="37" t="n">
        <f aca="false">IF(CY15=1,③기타_가정!$H$38*(③기타_가정!$E$200+③기타_가정!$E$213+③기타_가정!$E$226+③기타_가정!$E$239+③기타_가정!$E$252),0)</f>
        <v>0</v>
      </c>
      <c r="CZ83" s="37" t="n">
        <f aca="false">IF(CZ15=1,③기타_가정!$H$38*(③기타_가정!$E$200+③기타_가정!$E$213+③기타_가정!$E$226+③기타_가정!$E$239+③기타_가정!$E$252),0)</f>
        <v>0</v>
      </c>
      <c r="DA83" s="37" t="n">
        <f aca="false">IF(DA15=1,③기타_가정!$H$38*(③기타_가정!$E$200+③기타_가정!$E$213+③기타_가정!$E$226+③기타_가정!$E$239+③기타_가정!$E$252),0)</f>
        <v>0</v>
      </c>
      <c r="DB83" s="37" t="n">
        <f aca="false">IF(DB15=1,③기타_가정!$H$38*(③기타_가정!$E$200+③기타_가정!$E$213+③기타_가정!$E$226+③기타_가정!$E$239+③기타_가정!$E$252),0)</f>
        <v>0</v>
      </c>
      <c r="DC83" s="37" t="n">
        <f aca="false">IF(DC15=1,③기타_가정!$H$38*(③기타_가정!$E$200+③기타_가정!$E$213+③기타_가정!$E$226+③기타_가정!$E$239+③기타_가정!$E$252),0)</f>
        <v>0</v>
      </c>
      <c r="DD83" s="37" t="n">
        <f aca="false">IF(DD15=1,③기타_가정!$H$38*(③기타_가정!$E$200+③기타_가정!$E$213+③기타_가정!$E$226+③기타_가정!$E$239+③기타_가정!$E$252),0)</f>
        <v>0</v>
      </c>
      <c r="DE83" s="37" t="n">
        <f aca="false">IF(DE15=1,③기타_가정!$H$38*(③기타_가정!$E$200+③기타_가정!$E$213+③기타_가정!$E$226+③기타_가정!$E$239+③기타_가정!$E$252),0)</f>
        <v>0</v>
      </c>
      <c r="DF83" s="37" t="n">
        <f aca="false">IF(DF15=1,③기타_가정!$H$38*(③기타_가정!$E$200+③기타_가정!$E$213+③기타_가정!$E$226+③기타_가정!$E$239+③기타_가정!$E$252),0)</f>
        <v>0</v>
      </c>
      <c r="DG83" s="37" t="n">
        <f aca="false">IF(DG15=1,③기타_가정!$H$38*(③기타_가정!$E$200+③기타_가정!$E$213+③기타_가정!$E$226+③기타_가정!$E$239+③기타_가정!$E$252),0)</f>
        <v>0</v>
      </c>
      <c r="DH83" s="37" t="n">
        <f aca="false">IF(DH15=1,③기타_가정!$H$38*(③기타_가정!$E$200+③기타_가정!$E$213+③기타_가정!$E$226+③기타_가정!$E$239+③기타_가정!$E$252),0)</f>
        <v>0</v>
      </c>
      <c r="DI83" s="37" t="n">
        <f aca="false">IF(DI15=1,③기타_가정!$H$38*(③기타_가정!$E$200+③기타_가정!$E$213+③기타_가정!$E$226+③기타_가정!$E$239+③기타_가정!$E$252),0)</f>
        <v>0</v>
      </c>
      <c r="DJ83" s="37" t="n">
        <f aca="false">IF(DJ15=1,③기타_가정!$H$38*(③기타_가정!$E$200+③기타_가정!$E$213+③기타_가정!$E$226+③기타_가정!$E$239+③기타_가정!$E$252),0)</f>
        <v>0</v>
      </c>
      <c r="DK83" s="37" t="n">
        <f aca="false">IF(DK15=1,③기타_가정!$H$38*(③기타_가정!$E$200+③기타_가정!$E$213+③기타_가정!$E$226+③기타_가정!$E$239+③기타_가정!$E$252),0)</f>
        <v>0</v>
      </c>
      <c r="DL83" s="37" t="n">
        <f aca="false">IF(DL15=1,③기타_가정!$H$38*(③기타_가정!$E$200+③기타_가정!$E$213+③기타_가정!$E$226+③기타_가정!$E$239+③기타_가정!$E$252),0)</f>
        <v>0</v>
      </c>
      <c r="DM83" s="37" t="n">
        <f aca="false">IF(DM15=1,③기타_가정!$H$38*(③기타_가정!$E$200+③기타_가정!$E$213+③기타_가정!$E$226+③기타_가정!$E$239+③기타_가정!$E$252),0)</f>
        <v>0</v>
      </c>
      <c r="DN83" s="37" t="n">
        <f aca="false">IF(DN15=1,③기타_가정!$H$38*(③기타_가정!$E$200+③기타_가정!$E$213+③기타_가정!$E$226+③기타_가정!$E$239+③기타_가정!$E$252),0)</f>
        <v>0</v>
      </c>
      <c r="DO83" s="37" t="n">
        <f aca="false">IF(DO15=1,③기타_가정!$H$38*(③기타_가정!$E$200+③기타_가정!$E$213+③기타_가정!$E$226+③기타_가정!$E$239+③기타_가정!$E$252),0)</f>
        <v>0</v>
      </c>
      <c r="DP83" s="37" t="n">
        <f aca="false">IF(DP15=1,③기타_가정!$H$38*(③기타_가정!$E$200+③기타_가정!$E$213+③기타_가정!$E$226+③기타_가정!$E$239+③기타_가정!$E$252),0)</f>
        <v>0</v>
      </c>
      <c r="DQ83" s="37" t="n">
        <f aca="false">IF(DQ15=1,③기타_가정!$H$38*(③기타_가정!$E$200+③기타_가정!$E$213+③기타_가정!$E$226+③기타_가정!$E$239+③기타_가정!$E$252),0)</f>
        <v>0</v>
      </c>
      <c r="DR83" s="37" t="n">
        <f aca="false">IF(DR15=1,③기타_가정!$H$38*(③기타_가정!$E$200+③기타_가정!$E$213+③기타_가정!$E$226+③기타_가정!$E$239+③기타_가정!$E$252),0)</f>
        <v>0</v>
      </c>
      <c r="DS83" s="37" t="n">
        <f aca="false">IF(DS15=1,③기타_가정!$H$38*(③기타_가정!$E$200+③기타_가정!$E$213+③기타_가정!$E$226+③기타_가정!$E$239+③기타_가정!$E$252),0)</f>
        <v>0</v>
      </c>
      <c r="DT83" s="37" t="n">
        <f aca="false">IF(DT15=1,③기타_가정!$H$38*(③기타_가정!$E$200+③기타_가정!$E$213+③기타_가정!$E$226+③기타_가정!$E$239+③기타_가정!$E$252),0)</f>
        <v>0</v>
      </c>
      <c r="DU83" s="37" t="n">
        <f aca="false">IF(DU15=1,③기타_가정!$H$38*(③기타_가정!$E$200+③기타_가정!$E$213+③기타_가정!$E$226+③기타_가정!$E$239+③기타_가정!$E$252),0)</f>
        <v>0</v>
      </c>
      <c r="DV83" s="37" t="n">
        <f aca="false">IF(DV15=1,③기타_가정!$H$38*(③기타_가정!$E$200+③기타_가정!$E$213+③기타_가정!$E$226+③기타_가정!$E$239+③기타_가정!$E$252),0)</f>
        <v>0</v>
      </c>
      <c r="DW83" s="37" t="n">
        <f aca="false">IF(DW15=1,③기타_가정!$H$38*(③기타_가정!$E$200+③기타_가정!$E$213+③기타_가정!$E$226+③기타_가정!$E$239+③기타_가정!$E$252),0)</f>
        <v>0</v>
      </c>
      <c r="DX83" s="37" t="n">
        <f aca="false">IF(DX15=1,③기타_가정!$H$38*(③기타_가정!$E$200+③기타_가정!$E$213+③기타_가정!$E$226+③기타_가정!$E$239+③기타_가정!$E$252),0)</f>
        <v>0</v>
      </c>
      <c r="DY83" s="37" t="n">
        <f aca="false">IF(DY15=1,③기타_가정!$H$38*(③기타_가정!$E$200+③기타_가정!$E$213+③기타_가정!$E$226+③기타_가정!$E$239+③기타_가정!$E$252),0)</f>
        <v>0</v>
      </c>
      <c r="DZ83" s="37" t="n">
        <f aca="false">IF(DZ15=1,③기타_가정!$H$38*(③기타_가정!$E$200+③기타_가정!$E$213+③기타_가정!$E$226+③기타_가정!$E$239+③기타_가정!$E$252),0)</f>
        <v>0</v>
      </c>
      <c r="EA83" s="37" t="n">
        <f aca="false">IF(EA15=1,③기타_가정!$H$38*(③기타_가정!$E$200+③기타_가정!$E$213+③기타_가정!$E$226+③기타_가정!$E$239+③기타_가정!$E$252),0)</f>
        <v>0</v>
      </c>
      <c r="EB83" s="37" t="n">
        <f aca="false">IF(EB15=1,③기타_가정!$H$38*(③기타_가정!$E$200+③기타_가정!$E$213+③기타_가정!$E$226+③기타_가정!$E$239+③기타_가정!$E$252),0)</f>
        <v>0</v>
      </c>
      <c r="EC83" s="37" t="n">
        <f aca="false">IF(EC15=1,③기타_가정!$H$38*(③기타_가정!$E$200+③기타_가정!$E$213+③기타_가정!$E$226+③기타_가정!$E$239+③기타_가정!$E$252),0)</f>
        <v>0</v>
      </c>
      <c r="ED83" s="37" t="n">
        <f aca="false">IF(ED15=1,③기타_가정!$H$38*(③기타_가정!$E$200+③기타_가정!$E$213+③기타_가정!$E$226+③기타_가정!$E$239+③기타_가정!$E$252),0)</f>
        <v>0</v>
      </c>
      <c r="EE83" s="37" t="n">
        <f aca="false">IF(EE15=1,③기타_가정!$H$38*(③기타_가정!$E$200+③기타_가정!$E$213+③기타_가정!$E$226+③기타_가정!$E$239+③기타_가정!$E$252),0)</f>
        <v>0</v>
      </c>
      <c r="EF83" s="37" t="n">
        <f aca="false">IF(EF15=1,③기타_가정!$H$38*(③기타_가정!$E$200+③기타_가정!$E$213+③기타_가정!$E$226+③기타_가정!$E$239+③기타_가정!$E$252),0)</f>
        <v>0</v>
      </c>
    </row>
    <row r="84" customFormat="false" ht="15" hidden="false" customHeight="false" outlineLevel="0" collapsed="false">
      <c r="A84" s="280" t="s">
        <v>626</v>
      </c>
      <c r="B84" s="281" t="s">
        <v>21</v>
      </c>
      <c r="C84" s="282" t="n">
        <f aca="false">SUM(E84:EF84)</f>
        <v>400452</v>
      </c>
      <c r="D84" s="48"/>
      <c r="E84" s="283" t="n">
        <f aca="false">SUM(E78:E83)</f>
        <v>0</v>
      </c>
      <c r="F84" s="283" t="n">
        <f aca="false">SUM(F78:F83)</f>
        <v>0</v>
      </c>
      <c r="G84" s="283" t="n">
        <f aca="false">SUM(G78:G83)</f>
        <v>0</v>
      </c>
      <c r="H84" s="283" t="n">
        <f aca="false">SUM(H78:H83)</f>
        <v>0</v>
      </c>
      <c r="I84" s="283" t="n">
        <f aca="false">SUM(I78:I83)</f>
        <v>0</v>
      </c>
      <c r="J84" s="283" t="n">
        <f aca="false">SUM(J78:J83)</f>
        <v>0</v>
      </c>
      <c r="K84" s="283" t="n">
        <f aca="false">SUM(K78:K83)</f>
        <v>0</v>
      </c>
      <c r="L84" s="283" t="n">
        <f aca="false">SUM(L78:L83)</f>
        <v>0</v>
      </c>
      <c r="M84" s="283" t="n">
        <f aca="false">SUM(M78:M83)</f>
        <v>0</v>
      </c>
      <c r="N84" s="283" t="n">
        <f aca="false">SUM(N78:N83)</f>
        <v>0</v>
      </c>
      <c r="O84" s="283" t="n">
        <f aca="false">SUM(O78:O83)</f>
        <v>0</v>
      </c>
      <c r="P84" s="283" t="n">
        <f aca="false">SUM(P78:P83)</f>
        <v>0</v>
      </c>
      <c r="Q84" s="283" t="n">
        <f aca="false">SUM(Q78:Q83)</f>
        <v>24860.16</v>
      </c>
      <c r="R84" s="283" t="n">
        <f aca="false">SUM(R78:R83)</f>
        <v>0</v>
      </c>
      <c r="S84" s="283" t="n">
        <f aca="false">SUM(S78:S83)</f>
        <v>0</v>
      </c>
      <c r="T84" s="283" t="n">
        <f aca="false">SUM(T78:T83)</f>
        <v>0</v>
      </c>
      <c r="U84" s="283" t="n">
        <f aca="false">SUM(U78:U83)</f>
        <v>0</v>
      </c>
      <c r="V84" s="283" t="n">
        <f aca="false">SUM(V78:V83)</f>
        <v>0</v>
      </c>
      <c r="W84" s="283" t="n">
        <f aca="false">SUM(W78:W83)</f>
        <v>0</v>
      </c>
      <c r="X84" s="283" t="n">
        <f aca="false">SUM(X78:X83)</f>
        <v>0</v>
      </c>
      <c r="Y84" s="283" t="n">
        <f aca="false">SUM(Y78:Y83)</f>
        <v>0</v>
      </c>
      <c r="Z84" s="283" t="n">
        <f aca="false">SUM(Z78:Z83)</f>
        <v>0</v>
      </c>
      <c r="AA84" s="283" t="n">
        <f aca="false">SUM(AA78:AA83)</f>
        <v>0</v>
      </c>
      <c r="AB84" s="283" t="n">
        <f aca="false">SUM(AB78:AB83)</f>
        <v>0</v>
      </c>
      <c r="AC84" s="283" t="n">
        <f aca="false">SUM(AC78:AC83)</f>
        <v>49720.32</v>
      </c>
      <c r="AD84" s="283" t="n">
        <f aca="false">SUM(AD78:AD83)</f>
        <v>0</v>
      </c>
      <c r="AE84" s="283" t="n">
        <f aca="false">SUM(AE78:AE83)</f>
        <v>0</v>
      </c>
      <c r="AF84" s="283" t="n">
        <f aca="false">SUM(AF78:AF83)</f>
        <v>0</v>
      </c>
      <c r="AG84" s="283" t="n">
        <f aca="false">SUM(AG78:AG83)</f>
        <v>0</v>
      </c>
      <c r="AH84" s="283" t="n">
        <f aca="false">SUM(AH78:AH83)</f>
        <v>0</v>
      </c>
      <c r="AI84" s="283" t="n">
        <f aca="false">SUM(AI78:AI83)</f>
        <v>0</v>
      </c>
      <c r="AJ84" s="283" t="n">
        <f aca="false">SUM(AJ78:AJ83)</f>
        <v>0</v>
      </c>
      <c r="AK84" s="283" t="n">
        <f aca="false">SUM(AK78:AK83)</f>
        <v>0</v>
      </c>
      <c r="AL84" s="283" t="n">
        <f aca="false">SUM(AL78:AL83)</f>
        <v>0</v>
      </c>
      <c r="AM84" s="283" t="n">
        <f aca="false">SUM(AM78:AM83)</f>
        <v>0</v>
      </c>
      <c r="AN84" s="283" t="n">
        <f aca="false">SUM(AN78:AN83)</f>
        <v>0</v>
      </c>
      <c r="AO84" s="283" t="n">
        <f aca="false">SUM(AO78:AO83)</f>
        <v>49720.32</v>
      </c>
      <c r="AP84" s="283" t="n">
        <f aca="false">SUM(AP78:AP83)</f>
        <v>0</v>
      </c>
      <c r="AQ84" s="283" t="n">
        <f aca="false">SUM(AQ78:AQ83)</f>
        <v>0</v>
      </c>
      <c r="AR84" s="283" t="n">
        <f aca="false">SUM(AR78:AR83)</f>
        <v>0</v>
      </c>
      <c r="AS84" s="283" t="n">
        <f aca="false">SUM(AS78:AS83)</f>
        <v>0</v>
      </c>
      <c r="AT84" s="283" t="n">
        <f aca="false">SUM(AT78:AT83)</f>
        <v>0</v>
      </c>
      <c r="AU84" s="283" t="n">
        <f aca="false">SUM(AU78:AU83)</f>
        <v>0</v>
      </c>
      <c r="AV84" s="283" t="n">
        <f aca="false">SUM(AV78:AV83)</f>
        <v>0</v>
      </c>
      <c r="AW84" s="283" t="n">
        <f aca="false">SUM(AW78:AW83)</f>
        <v>0</v>
      </c>
      <c r="AX84" s="283" t="n">
        <f aca="false">SUM(AX78:AX83)</f>
        <v>0</v>
      </c>
      <c r="AY84" s="283" t="n">
        <f aca="false">SUM(AY78:AY83)</f>
        <v>0</v>
      </c>
      <c r="AZ84" s="283" t="n">
        <f aca="false">SUM(AZ78:AZ83)</f>
        <v>0</v>
      </c>
      <c r="BA84" s="283" t="n">
        <f aca="false">SUM(BA78:BA83)</f>
        <v>49720.32</v>
      </c>
      <c r="BB84" s="283" t="n">
        <f aca="false">SUM(BB78:BB83)</f>
        <v>0</v>
      </c>
      <c r="BC84" s="283" t="n">
        <f aca="false">SUM(BC78:BC83)</f>
        <v>0</v>
      </c>
      <c r="BD84" s="283" t="n">
        <f aca="false">SUM(BD78:BD83)</f>
        <v>0</v>
      </c>
      <c r="BE84" s="283" t="n">
        <f aca="false">SUM(BE78:BE83)</f>
        <v>0</v>
      </c>
      <c r="BF84" s="283" t="n">
        <f aca="false">SUM(BF78:BF83)</f>
        <v>0</v>
      </c>
      <c r="BG84" s="283" t="n">
        <f aca="false">SUM(BG78:BG83)</f>
        <v>0</v>
      </c>
      <c r="BH84" s="283" t="n">
        <f aca="false">SUM(BH78:BH83)</f>
        <v>0</v>
      </c>
      <c r="BI84" s="283" t="n">
        <f aca="false">SUM(BI78:BI83)</f>
        <v>0</v>
      </c>
      <c r="BJ84" s="283" t="n">
        <f aca="false">SUM(BJ78:BJ83)</f>
        <v>0</v>
      </c>
      <c r="BK84" s="283" t="n">
        <f aca="false">SUM(BK78:BK83)</f>
        <v>0</v>
      </c>
      <c r="BL84" s="283" t="n">
        <f aca="false">SUM(BL78:BL83)</f>
        <v>0</v>
      </c>
      <c r="BM84" s="283" t="n">
        <f aca="false">SUM(BM78:BM83)</f>
        <v>137880.48</v>
      </c>
      <c r="BN84" s="283" t="n">
        <f aca="false">SUM(BN78:BN83)</f>
        <v>0</v>
      </c>
      <c r="BO84" s="283" t="n">
        <f aca="false">SUM(BO78:BO83)</f>
        <v>0</v>
      </c>
      <c r="BP84" s="283" t="n">
        <f aca="false">SUM(BP78:BP83)</f>
        <v>0</v>
      </c>
      <c r="BQ84" s="283" t="n">
        <f aca="false">SUM(BQ78:BQ83)</f>
        <v>0</v>
      </c>
      <c r="BR84" s="283" t="n">
        <f aca="false">SUM(BR78:BR83)</f>
        <v>0</v>
      </c>
      <c r="BS84" s="283" t="n">
        <f aca="false">SUM(BS78:BS83)</f>
        <v>0</v>
      </c>
      <c r="BT84" s="283" t="n">
        <f aca="false">SUM(BT78:BT83)</f>
        <v>0</v>
      </c>
      <c r="BU84" s="283" t="n">
        <f aca="false">SUM(BU78:BU83)</f>
        <v>0</v>
      </c>
      <c r="BV84" s="283" t="n">
        <f aca="false">SUM(BV78:BV83)</f>
        <v>0</v>
      </c>
      <c r="BW84" s="283" t="n">
        <f aca="false">SUM(BW78:BW83)</f>
        <v>0</v>
      </c>
      <c r="BX84" s="283" t="n">
        <f aca="false">SUM(BX78:BX83)</f>
        <v>0</v>
      </c>
      <c r="BY84" s="283" t="n">
        <f aca="false">SUM(BY78:BY83)</f>
        <v>75350.4</v>
      </c>
      <c r="BZ84" s="283" t="n">
        <f aca="false">SUM(BZ78:BZ83)</f>
        <v>0</v>
      </c>
      <c r="CA84" s="283" t="n">
        <f aca="false">SUM(CA78:CA83)</f>
        <v>0</v>
      </c>
      <c r="CB84" s="283" t="n">
        <f aca="false">SUM(CB78:CB83)</f>
        <v>0</v>
      </c>
      <c r="CC84" s="283" t="n">
        <f aca="false">SUM(CC78:CC83)</f>
        <v>0</v>
      </c>
      <c r="CD84" s="283" t="n">
        <f aca="false">SUM(CD78:CD83)</f>
        <v>0</v>
      </c>
      <c r="CE84" s="283" t="n">
        <f aca="false">SUM(CE78:CE83)</f>
        <v>0</v>
      </c>
      <c r="CF84" s="283" t="n">
        <f aca="false">SUM(CF78:CF83)</f>
        <v>0</v>
      </c>
      <c r="CG84" s="283" t="n">
        <f aca="false">SUM(CG78:CG83)</f>
        <v>0</v>
      </c>
      <c r="CH84" s="283" t="n">
        <f aca="false">SUM(CH78:CH83)</f>
        <v>0</v>
      </c>
      <c r="CI84" s="283" t="n">
        <f aca="false">SUM(CI78:CI83)</f>
        <v>0</v>
      </c>
      <c r="CJ84" s="283" t="n">
        <f aca="false">SUM(CJ78:CJ83)</f>
        <v>0</v>
      </c>
      <c r="CK84" s="283" t="n">
        <f aca="false">SUM(CK78:CK83)</f>
        <v>13200</v>
      </c>
      <c r="CL84" s="283" t="n">
        <f aca="false">SUM(CL78:CL83)</f>
        <v>0</v>
      </c>
      <c r="CM84" s="283" t="n">
        <f aca="false">SUM(CM78:CM83)</f>
        <v>0</v>
      </c>
      <c r="CN84" s="283" t="n">
        <f aca="false">SUM(CN78:CN83)</f>
        <v>0</v>
      </c>
      <c r="CO84" s="283" t="n">
        <f aca="false">SUM(CO78:CO83)</f>
        <v>0</v>
      </c>
      <c r="CP84" s="283" t="n">
        <f aca="false">SUM(CP78:CP83)</f>
        <v>0</v>
      </c>
      <c r="CQ84" s="283" t="n">
        <f aca="false">SUM(CQ78:CQ83)</f>
        <v>0</v>
      </c>
      <c r="CR84" s="283" t="n">
        <f aca="false">SUM(CR78:CR83)</f>
        <v>0</v>
      </c>
      <c r="CS84" s="283" t="n">
        <f aca="false">SUM(CS78:CS83)</f>
        <v>0</v>
      </c>
      <c r="CT84" s="283" t="n">
        <f aca="false">SUM(CT78:CT83)</f>
        <v>0</v>
      </c>
      <c r="CU84" s="283" t="n">
        <f aca="false">SUM(CU78:CU83)</f>
        <v>0</v>
      </c>
      <c r="CV84" s="283" t="n">
        <f aca="false">SUM(CV78:CV83)</f>
        <v>0</v>
      </c>
      <c r="CW84" s="283" t="n">
        <f aca="false">SUM(CW78:CW83)</f>
        <v>0</v>
      </c>
      <c r="CX84" s="283" t="n">
        <f aca="false">SUM(CX78:CX83)</f>
        <v>0</v>
      </c>
      <c r="CY84" s="283" t="n">
        <f aca="false">SUM(CY78:CY83)</f>
        <v>0</v>
      </c>
      <c r="CZ84" s="283" t="n">
        <f aca="false">SUM(CZ78:CZ83)</f>
        <v>0</v>
      </c>
      <c r="DA84" s="283" t="n">
        <f aca="false">SUM(DA78:DA83)</f>
        <v>0</v>
      </c>
      <c r="DB84" s="283" t="n">
        <f aca="false">SUM(DB78:DB83)</f>
        <v>0</v>
      </c>
      <c r="DC84" s="283" t="n">
        <f aca="false">SUM(DC78:DC83)</f>
        <v>0</v>
      </c>
      <c r="DD84" s="283" t="n">
        <f aca="false">SUM(DD78:DD83)</f>
        <v>0</v>
      </c>
      <c r="DE84" s="283" t="n">
        <f aca="false">SUM(DE78:DE83)</f>
        <v>0</v>
      </c>
      <c r="DF84" s="283" t="n">
        <f aca="false">SUM(DF78:DF83)</f>
        <v>0</v>
      </c>
      <c r="DG84" s="283" t="n">
        <f aca="false">SUM(DG78:DG83)</f>
        <v>0</v>
      </c>
      <c r="DH84" s="283" t="n">
        <f aca="false">SUM(DH78:DH83)</f>
        <v>0</v>
      </c>
      <c r="DI84" s="283" t="n">
        <f aca="false">SUM(DI78:DI83)</f>
        <v>0</v>
      </c>
      <c r="DJ84" s="283" t="n">
        <f aca="false">SUM(DJ78:DJ83)</f>
        <v>0</v>
      </c>
      <c r="DK84" s="283" t="n">
        <f aca="false">SUM(DK78:DK83)</f>
        <v>0</v>
      </c>
      <c r="DL84" s="283" t="n">
        <f aca="false">SUM(DL78:DL83)</f>
        <v>0</v>
      </c>
      <c r="DM84" s="283" t="n">
        <f aca="false">SUM(DM78:DM83)</f>
        <v>0</v>
      </c>
      <c r="DN84" s="283" t="n">
        <f aca="false">SUM(DN78:DN83)</f>
        <v>0</v>
      </c>
      <c r="DO84" s="283" t="n">
        <f aca="false">SUM(DO78:DO83)</f>
        <v>0</v>
      </c>
      <c r="DP84" s="283" t="n">
        <f aca="false">SUM(DP78:DP83)</f>
        <v>0</v>
      </c>
      <c r="DQ84" s="283" t="n">
        <f aca="false">SUM(DQ78:DQ83)</f>
        <v>0</v>
      </c>
      <c r="DR84" s="283" t="n">
        <f aca="false">SUM(DR78:DR83)</f>
        <v>0</v>
      </c>
      <c r="DS84" s="283" t="n">
        <f aca="false">SUM(DS78:DS83)</f>
        <v>0</v>
      </c>
      <c r="DT84" s="283" t="n">
        <f aca="false">SUM(DT78:DT83)</f>
        <v>0</v>
      </c>
      <c r="DU84" s="283" t="n">
        <f aca="false">SUM(DU78:DU83)</f>
        <v>0</v>
      </c>
      <c r="DV84" s="283" t="n">
        <f aca="false">SUM(DV78:DV83)</f>
        <v>0</v>
      </c>
      <c r="DW84" s="283" t="n">
        <f aca="false">SUM(DW78:DW83)</f>
        <v>0</v>
      </c>
      <c r="DX84" s="283" t="n">
        <f aca="false">SUM(DX78:DX83)</f>
        <v>0</v>
      </c>
      <c r="DY84" s="283" t="n">
        <f aca="false">SUM(DY78:DY83)</f>
        <v>0</v>
      </c>
      <c r="DZ84" s="283" t="n">
        <f aca="false">SUM(DZ78:DZ83)</f>
        <v>0</v>
      </c>
      <c r="EA84" s="283" t="n">
        <f aca="false">SUM(EA78:EA83)</f>
        <v>0</v>
      </c>
      <c r="EB84" s="283" t="n">
        <f aca="false">SUM(EB78:EB83)</f>
        <v>0</v>
      </c>
      <c r="EC84" s="283" t="n">
        <f aca="false">SUM(EC78:EC83)</f>
        <v>0</v>
      </c>
      <c r="ED84" s="283" t="n">
        <f aca="false">SUM(ED78:ED83)</f>
        <v>0</v>
      </c>
      <c r="EE84" s="283" t="n">
        <f aca="false">SUM(EE78:EE83)</f>
        <v>0</v>
      </c>
      <c r="EF84" s="283" t="n">
        <f aca="false">SUM(EF78:EF83)</f>
        <v>0</v>
      </c>
    </row>
    <row r="85" customFormat="false" ht="15" hidden="false" customHeight="false" outlineLevel="0" collapsed="false">
      <c r="A85" s="36" t="s">
        <v>627</v>
      </c>
      <c r="B85" s="278" t="s">
        <v>21</v>
      </c>
      <c r="C85" s="279" t="n">
        <f aca="false">SUM(E85:EF85)</f>
        <v>400452</v>
      </c>
      <c r="E85" s="37" t="n">
        <f aca="false">IF(E6=③기타_가정!$E$22,0+E84,0)</f>
        <v>0</v>
      </c>
      <c r="F85" s="37" t="n">
        <f aca="false">IF(F6=③기타_가정!$E$22,E86+F84,0)</f>
        <v>0</v>
      </c>
      <c r="G85" s="37" t="n">
        <f aca="false">IF(G6=③기타_가정!$E$22,F86+G84,0)</f>
        <v>0</v>
      </c>
      <c r="H85" s="37" t="n">
        <f aca="false">IF(H6=③기타_가정!$E$22,G86+H84,0)</f>
        <v>0</v>
      </c>
      <c r="I85" s="37" t="n">
        <f aca="false">IF(I6=③기타_가정!$E$22,H86+I84,0)</f>
        <v>0</v>
      </c>
      <c r="J85" s="37" t="n">
        <f aca="false">IF(J6=③기타_가정!$E$22,I86+J84,0)</f>
        <v>0</v>
      </c>
      <c r="K85" s="37" t="n">
        <f aca="false">IF(K6=③기타_가정!$E$22,J86+K84,0)</f>
        <v>0</v>
      </c>
      <c r="L85" s="37" t="n">
        <f aca="false">IF(L6=③기타_가정!$E$22,K86+L84,0)</f>
        <v>0</v>
      </c>
      <c r="M85" s="37" t="n">
        <f aca="false">IF(M6=③기타_가정!$E$22,L86+M84,0)</f>
        <v>0</v>
      </c>
      <c r="N85" s="37" t="n">
        <f aca="false">IF(N6=③기타_가정!$E$22,M86+N84,0)</f>
        <v>0</v>
      </c>
      <c r="O85" s="37" t="n">
        <f aca="false">IF(O6=③기타_가정!$E$22,N86+O84,0)</f>
        <v>0</v>
      </c>
      <c r="P85" s="37" t="n">
        <f aca="false">IF(P6=③기타_가정!$E$22,O86+P84,0)</f>
        <v>0</v>
      </c>
      <c r="Q85" s="37" t="n">
        <f aca="false">IF(Q6=③기타_가정!$E$22,P86+Q84,0)</f>
        <v>0</v>
      </c>
      <c r="R85" s="37" t="n">
        <f aca="false">IF(R6=③기타_가정!$E$22,Q86+R84,0)</f>
        <v>0</v>
      </c>
      <c r="S85" s="37" t="n">
        <f aca="false">IF(S6=③기타_가정!$E$22,R86+S84,0)</f>
        <v>0</v>
      </c>
      <c r="T85" s="37" t="n">
        <f aca="false">IF(T6=③기타_가정!$E$22,S86+T84,0)</f>
        <v>0</v>
      </c>
      <c r="U85" s="37" t="n">
        <f aca="false">IF(U6=③기타_가정!$E$22,T86+U84,0)</f>
        <v>0</v>
      </c>
      <c r="V85" s="37" t="n">
        <f aca="false">IF(V6=③기타_가정!$E$22,U86+V84,0)</f>
        <v>0</v>
      </c>
      <c r="W85" s="37" t="n">
        <f aca="false">IF(W6=③기타_가정!$E$22,V86+W84,0)</f>
        <v>0</v>
      </c>
      <c r="X85" s="37" t="n">
        <f aca="false">IF(X6=③기타_가정!$E$22,W86+X84,0)</f>
        <v>0</v>
      </c>
      <c r="Y85" s="37" t="n">
        <f aca="false">IF(Y6=③기타_가정!$E$22,X86+Y84,0)</f>
        <v>0</v>
      </c>
      <c r="Z85" s="37" t="n">
        <f aca="false">IF(Z6=③기타_가정!$E$22,Y86+Z84,0)</f>
        <v>0</v>
      </c>
      <c r="AA85" s="37" t="n">
        <f aca="false">IF(AA6=③기타_가정!$E$22,Z86+AA84,0)</f>
        <v>0</v>
      </c>
      <c r="AB85" s="37" t="n">
        <f aca="false">IF(AB6=③기타_가정!$E$22,AA86+AB84,0)</f>
        <v>0</v>
      </c>
      <c r="AC85" s="37" t="n">
        <f aca="false">IF(AC6=③기타_가정!$E$22,AB86+AC84,0)</f>
        <v>0</v>
      </c>
      <c r="AD85" s="37" t="n">
        <f aca="false">IF(AD6=③기타_가정!$E$22,AC86+AD84,0)</f>
        <v>0</v>
      </c>
      <c r="AE85" s="37" t="n">
        <f aca="false">IF(AE6=③기타_가정!$E$22,AD86+AE84,0)</f>
        <v>0</v>
      </c>
      <c r="AF85" s="37" t="n">
        <f aca="false">IF(AF6=③기타_가정!$E$22,AE86+AF84,0)</f>
        <v>0</v>
      </c>
      <c r="AG85" s="37" t="n">
        <f aca="false">IF(AG6=③기타_가정!$E$22,AF86+AG84,0)</f>
        <v>0</v>
      </c>
      <c r="AH85" s="37" t="n">
        <f aca="false">IF(AH6=③기타_가정!$E$22,AG86+AH84,0)</f>
        <v>0</v>
      </c>
      <c r="AI85" s="37" t="n">
        <f aca="false">IF(AI6=③기타_가정!$E$22,AH86+AI84,0)</f>
        <v>0</v>
      </c>
      <c r="AJ85" s="37" t="n">
        <f aca="false">IF(AJ6=③기타_가정!$E$22,AI86+AJ84,0)</f>
        <v>0</v>
      </c>
      <c r="AK85" s="37" t="n">
        <f aca="false">IF(AK6=③기타_가정!$E$22,AJ86+AK84,0)</f>
        <v>0</v>
      </c>
      <c r="AL85" s="37" t="n">
        <f aca="false">IF(AL6=③기타_가정!$E$22,AK86+AL84,0)</f>
        <v>0</v>
      </c>
      <c r="AM85" s="37" t="n">
        <f aca="false">IF(AM6=③기타_가정!$E$22,AL86+AM84,0)</f>
        <v>0</v>
      </c>
      <c r="AN85" s="37" t="n">
        <f aca="false">IF(AN6=③기타_가정!$E$22,AM86+AN84,0)</f>
        <v>0</v>
      </c>
      <c r="AO85" s="37" t="n">
        <f aca="false">IF(AO6=③기타_가정!$E$22,AN86+AO84,0)</f>
        <v>0</v>
      </c>
      <c r="AP85" s="37" t="n">
        <f aca="false">IF(AP6=③기타_가정!$E$22,AO86+AP84,0)</f>
        <v>0</v>
      </c>
      <c r="AQ85" s="37" t="n">
        <f aca="false">IF(AQ6=③기타_가정!$E$22,AP86+AQ84,0)</f>
        <v>0</v>
      </c>
      <c r="AR85" s="37" t="n">
        <f aca="false">IF(AR6=③기타_가정!$E$22,AQ86+AR84,0)</f>
        <v>0</v>
      </c>
      <c r="AS85" s="37" t="n">
        <f aca="false">IF(AS6=③기타_가정!$E$22,AR86+AS84,0)</f>
        <v>0</v>
      </c>
      <c r="AT85" s="37" t="n">
        <f aca="false">IF(AT6=③기타_가정!$E$22,AS86+AT84,0)</f>
        <v>0</v>
      </c>
      <c r="AU85" s="37" t="n">
        <f aca="false">IF(AU6=③기타_가정!$E$22,AT86+AU84,0)</f>
        <v>0</v>
      </c>
      <c r="AV85" s="37" t="n">
        <f aca="false">IF(AV6=③기타_가정!$E$22,AU86+AV84,0)</f>
        <v>0</v>
      </c>
      <c r="AW85" s="37" t="n">
        <f aca="false">IF(AW6=③기타_가정!$E$22,AV86+AW84,0)</f>
        <v>0</v>
      </c>
      <c r="AX85" s="37" t="n">
        <f aca="false">IF(AX6=③기타_가정!$E$22,AW86+AX84,0)</f>
        <v>0</v>
      </c>
      <c r="AY85" s="37" t="n">
        <f aca="false">IF(AY6=③기타_가정!$E$22,AX86+AY84,0)</f>
        <v>0</v>
      </c>
      <c r="AZ85" s="37" t="n">
        <f aca="false">IF(AZ6=③기타_가정!$E$22,AY86+AZ84,0)</f>
        <v>0</v>
      </c>
      <c r="BA85" s="37" t="n">
        <f aca="false">IF(BA6=③기타_가정!$E$22,AZ86+BA84,0)</f>
        <v>0</v>
      </c>
      <c r="BB85" s="37" t="n">
        <f aca="false">IF(BB6=③기타_가정!$E$22,BA86+BB84,0)</f>
        <v>0</v>
      </c>
      <c r="BC85" s="37" t="n">
        <f aca="false">IF(BC6=③기타_가정!$E$22,BB86+BC84,0)</f>
        <v>0</v>
      </c>
      <c r="BD85" s="37" t="n">
        <f aca="false">IF(BD6=③기타_가정!$E$22,BC86+BD84,0)</f>
        <v>0</v>
      </c>
      <c r="BE85" s="37" t="n">
        <f aca="false">IF(BE6=③기타_가정!$E$22,BD86+BE84,0)</f>
        <v>0</v>
      </c>
      <c r="BF85" s="37" t="n">
        <f aca="false">IF(BF6=③기타_가정!$E$22,BE86+BF84,0)</f>
        <v>0</v>
      </c>
      <c r="BG85" s="37" t="n">
        <f aca="false">IF(BG6=③기타_가정!$E$22,BF86+BG84,0)</f>
        <v>0</v>
      </c>
      <c r="BH85" s="37" t="n">
        <f aca="false">IF(BH6=③기타_가정!$E$22,BG86+BH84,0)</f>
        <v>0</v>
      </c>
      <c r="BI85" s="37" t="n">
        <f aca="false">IF(BI6=③기타_가정!$E$22,BH86+BI84,0)</f>
        <v>0</v>
      </c>
      <c r="BJ85" s="37" t="n">
        <f aca="false">IF(BJ6=③기타_가정!$E$22,BI86+BJ84,0)</f>
        <v>0</v>
      </c>
      <c r="BK85" s="37" t="n">
        <f aca="false">IF(BK6=③기타_가정!$E$22,BJ86+BK84,0)</f>
        <v>0</v>
      </c>
      <c r="BL85" s="37" t="n">
        <f aca="false">IF(BL6=③기타_가정!$E$22,BK86+BL84,0)</f>
        <v>0</v>
      </c>
      <c r="BM85" s="37" t="n">
        <f aca="false">IF(BM6=③기타_가정!$E$22,BL86+BM84,0)</f>
        <v>0</v>
      </c>
      <c r="BN85" s="37" t="n">
        <f aca="false">IF(BN6=③기타_가정!$E$22,BM86+BN84,0)</f>
        <v>0</v>
      </c>
      <c r="BO85" s="37" t="n">
        <f aca="false">IF(BO6=③기타_가정!$E$22,BN86+BO84,0)</f>
        <v>0</v>
      </c>
      <c r="BP85" s="37" t="n">
        <f aca="false">IF(BP6=③기타_가정!$E$22,BO86+BP84,0)</f>
        <v>0</v>
      </c>
      <c r="BQ85" s="37" t="n">
        <f aca="false">IF(BQ6=③기타_가정!$E$22,BP86+BQ84,0)</f>
        <v>0</v>
      </c>
      <c r="BR85" s="37" t="n">
        <f aca="false">IF(BR6=③기타_가정!$E$22,BQ86+BR84,0)</f>
        <v>0</v>
      </c>
      <c r="BS85" s="37" t="n">
        <f aca="false">IF(BS6=③기타_가정!$E$22,BR86+BS84,0)</f>
        <v>0</v>
      </c>
      <c r="BT85" s="37" t="n">
        <f aca="false">IF(BT6=③기타_가정!$E$22,BS86+BT84,0)</f>
        <v>0</v>
      </c>
      <c r="BU85" s="37" t="n">
        <f aca="false">IF(BU6=③기타_가정!$E$22,BT86+BU84,0)</f>
        <v>0</v>
      </c>
      <c r="BV85" s="37" t="n">
        <f aca="false">IF(BV6=③기타_가정!$E$22,BU86+BV84,0)</f>
        <v>0</v>
      </c>
      <c r="BW85" s="37" t="n">
        <f aca="false">IF(BW6=③기타_가정!$E$22,BV86+BW84,0)</f>
        <v>0</v>
      </c>
      <c r="BX85" s="37" t="n">
        <f aca="false">IF(BX6=③기타_가정!$E$22,BW86+BX84,0)</f>
        <v>0</v>
      </c>
      <c r="BY85" s="37" t="n">
        <f aca="false">IF(BY6=③기타_가정!$E$22,BX86+BY84,0)</f>
        <v>0</v>
      </c>
      <c r="BZ85" s="37" t="n">
        <f aca="false">IF(BZ6=③기타_가정!$E$22,BY86+BZ84,0)</f>
        <v>0</v>
      </c>
      <c r="CA85" s="37" t="n">
        <f aca="false">IF(CA6=③기타_가정!$E$22,BZ86+CA84,0)</f>
        <v>0</v>
      </c>
      <c r="CB85" s="37" t="n">
        <f aca="false">IF(CB6=③기타_가정!$E$22,CA86+CB84,0)</f>
        <v>0</v>
      </c>
      <c r="CC85" s="37" t="n">
        <f aca="false">IF(CC6=③기타_가정!$E$22,CB86+CC84,0)</f>
        <v>0</v>
      </c>
      <c r="CD85" s="37" t="n">
        <f aca="false">IF(CD6=③기타_가정!$E$22,CC86+CD84,0)</f>
        <v>0</v>
      </c>
      <c r="CE85" s="37" t="n">
        <f aca="false">IF(CE6=③기타_가정!$E$22,CD86+CE84,0)</f>
        <v>0</v>
      </c>
      <c r="CF85" s="37" t="n">
        <f aca="false">IF(CF6=③기타_가정!$E$22,CE86+CF84,0)</f>
        <v>0</v>
      </c>
      <c r="CG85" s="37" t="n">
        <f aca="false">IF(CG6=③기타_가정!$E$22,CF86+CG84,0)</f>
        <v>0</v>
      </c>
      <c r="CH85" s="37" t="n">
        <f aca="false">IF(CH6=③기타_가정!$E$22,CG86+CH84,0)</f>
        <v>0</v>
      </c>
      <c r="CI85" s="37" t="n">
        <f aca="false">IF(CI6=③기타_가정!$E$22,CH86+CI84,0)</f>
        <v>0</v>
      </c>
      <c r="CJ85" s="37" t="n">
        <f aca="false">IF(CJ6=③기타_가정!$E$22,CI86+CJ84,0)</f>
        <v>0</v>
      </c>
      <c r="CK85" s="37" t="n">
        <f aca="false">IF(CK6=③기타_가정!$E$22,CJ86+CK84,0)</f>
        <v>0</v>
      </c>
      <c r="CL85" s="37" t="n">
        <f aca="false">IF(CL6=③기타_가정!$E$22,CK86+CL84,0)</f>
        <v>0</v>
      </c>
      <c r="CM85" s="37" t="n">
        <f aca="false">IF(CM6=③기타_가정!$E$22,CL86+CM84,0)</f>
        <v>0</v>
      </c>
      <c r="CN85" s="37" t="n">
        <f aca="false">IF(CN6=③기타_가정!$E$22,CM86+CN84,0)</f>
        <v>0</v>
      </c>
      <c r="CO85" s="37" t="n">
        <f aca="false">IF(CO6=③기타_가정!$E$22,CN86+CO84,0)</f>
        <v>0</v>
      </c>
      <c r="CP85" s="37" t="n">
        <f aca="false">IF(CP6=③기타_가정!$E$22,CO86+CP84,0)</f>
        <v>0</v>
      </c>
      <c r="CQ85" s="37" t="n">
        <f aca="false">IF(CQ6=③기타_가정!$E$22,CP86+CQ84,0)</f>
        <v>0</v>
      </c>
      <c r="CR85" s="37" t="n">
        <f aca="false">IF(CR6=③기타_가정!$E$22,CQ86+CR84,0)</f>
        <v>0</v>
      </c>
      <c r="CS85" s="37" t="n">
        <f aca="false">IF(CS6=③기타_가정!$E$22,CR86+CS84,0)</f>
        <v>0</v>
      </c>
      <c r="CT85" s="37" t="n">
        <f aca="false">IF(CT6=③기타_가정!$E$22,CS86+CT84,0)</f>
        <v>0</v>
      </c>
      <c r="CU85" s="37" t="n">
        <f aca="false">IF(CU6=③기타_가정!$E$22,CT86+CU84,0)</f>
        <v>0</v>
      </c>
      <c r="CV85" s="37" t="n">
        <f aca="false">IF(CV6=③기타_가정!$E$22,CU86+CV84,0)</f>
        <v>0</v>
      </c>
      <c r="CW85" s="37" t="n">
        <f aca="false">IF(CW6=③기타_가정!$E$22,CV86+CW84,0)</f>
        <v>0</v>
      </c>
      <c r="CX85" s="37" t="n">
        <f aca="false">IF(CX6=③기타_가정!$E$22,CW86+CX84,0)</f>
        <v>0</v>
      </c>
      <c r="CY85" s="37" t="n">
        <f aca="false">IF(CY6=③기타_가정!$E$22,CX86+CY84,0)</f>
        <v>0</v>
      </c>
      <c r="CZ85" s="37" t="n">
        <f aca="false">IF(CZ6=③기타_가정!$E$22,CY86+CZ84,0)</f>
        <v>0</v>
      </c>
      <c r="DA85" s="37" t="n">
        <f aca="false">IF(DA6=③기타_가정!$E$22,CZ86+DA84,0)</f>
        <v>0</v>
      </c>
      <c r="DB85" s="37" t="n">
        <f aca="false">IF(DB6=③기타_가정!$E$22,DA86+DB84,0)</f>
        <v>0</v>
      </c>
      <c r="DC85" s="37" t="n">
        <f aca="false">IF(DC6=③기타_가정!$E$22,DB86+DC84,0)</f>
        <v>0</v>
      </c>
      <c r="DD85" s="37" t="n">
        <f aca="false">IF(DD6=③기타_가정!$E$22,DC86+DD84,0)</f>
        <v>0</v>
      </c>
      <c r="DE85" s="37" t="n">
        <f aca="false">IF(DE6=③기타_가정!$E$22,DD86+DE84,0)</f>
        <v>0</v>
      </c>
      <c r="DF85" s="37" t="n">
        <f aca="false">IF(DF6=③기타_가정!$E$22,DE86+DF84,0)</f>
        <v>0</v>
      </c>
      <c r="DG85" s="37" t="n">
        <f aca="false">IF(DG6=③기타_가정!$E$22,DF86+DG84,0)</f>
        <v>0</v>
      </c>
      <c r="DH85" s="37" t="n">
        <f aca="false">IF(DH6=③기타_가정!$E$22,DG86+DH84,0)</f>
        <v>0</v>
      </c>
      <c r="DI85" s="37" t="n">
        <f aca="false">IF(DI6=③기타_가정!$E$22,DH86+DI84,0)</f>
        <v>0</v>
      </c>
      <c r="DJ85" s="37" t="n">
        <f aca="false">IF(DJ6=③기타_가정!$E$22,DI86+DJ84,0)</f>
        <v>0</v>
      </c>
      <c r="DK85" s="37" t="n">
        <f aca="false">IF(DK6=③기타_가정!$E$22,DJ86+DK84,0)</f>
        <v>0</v>
      </c>
      <c r="DL85" s="37" t="n">
        <f aca="false">IF(DL6=③기타_가정!$E$22,DK86+DL84,0)</f>
        <v>0</v>
      </c>
      <c r="DM85" s="37" t="n">
        <f aca="false">IF(DM6=③기타_가정!$E$22,DL86+DM84,0)</f>
        <v>0</v>
      </c>
      <c r="DN85" s="37" t="n">
        <f aca="false">IF(DN6=③기타_가정!$E$22,DM86+DN84,0)</f>
        <v>0</v>
      </c>
      <c r="DO85" s="37" t="n">
        <f aca="false">IF(DO6=③기타_가정!$E$22,DN86+DO84,0)</f>
        <v>0</v>
      </c>
      <c r="DP85" s="37" t="n">
        <f aca="false">IF(DP6=③기타_가정!$E$22,DO86+DP84,0)</f>
        <v>0</v>
      </c>
      <c r="DQ85" s="37" t="n">
        <f aca="false">IF(DQ6=③기타_가정!$E$22,DP86+DQ84,0)</f>
        <v>0</v>
      </c>
      <c r="DR85" s="37" t="n">
        <f aca="false">IF(DR6=③기타_가정!$E$22,DQ86+DR84,0)</f>
        <v>0</v>
      </c>
      <c r="DS85" s="37" t="n">
        <f aca="false">IF(DS6=③기타_가정!$E$22,DR86+DS84,0)</f>
        <v>0</v>
      </c>
      <c r="DT85" s="37" t="n">
        <f aca="false">IF(DT6=③기타_가정!$E$22,DS86+DT84,0)</f>
        <v>400452</v>
      </c>
      <c r="DU85" s="37" t="n">
        <f aca="false">IF(DU6=③기타_가정!$E$22,DT86+DU84,0)</f>
        <v>0</v>
      </c>
      <c r="DV85" s="37" t="n">
        <f aca="false">IF(DV6=③기타_가정!$E$22,DU86+DV84,0)</f>
        <v>0</v>
      </c>
      <c r="DW85" s="37" t="n">
        <f aca="false">IF(DW6=③기타_가정!$E$22,DV86+DW84,0)</f>
        <v>0</v>
      </c>
      <c r="DX85" s="37" t="n">
        <f aca="false">IF(DX6=③기타_가정!$E$22,DW86+DX84,0)</f>
        <v>0</v>
      </c>
      <c r="DY85" s="37" t="n">
        <f aca="false">IF(DY6=③기타_가정!$E$22,DX86+DY84,0)</f>
        <v>0</v>
      </c>
      <c r="DZ85" s="37" t="n">
        <f aca="false">IF(DZ6=③기타_가정!$E$22,DY86+DZ84,0)</f>
        <v>0</v>
      </c>
      <c r="EA85" s="37" t="n">
        <f aca="false">IF(EA6=③기타_가정!$E$22,DZ86+EA84,0)</f>
        <v>0</v>
      </c>
      <c r="EB85" s="37" t="n">
        <f aca="false">IF(EB6=③기타_가정!$E$22,EA86+EB84,0)</f>
        <v>0</v>
      </c>
      <c r="EC85" s="37" t="n">
        <f aca="false">IF(EC6=③기타_가정!$E$22,EB86+EC84,0)</f>
        <v>0</v>
      </c>
      <c r="ED85" s="37" t="n">
        <f aca="false">IF(ED6=③기타_가정!$E$22,EC86+ED84,0)</f>
        <v>0</v>
      </c>
      <c r="EE85" s="37" t="n">
        <f aca="false">IF(EE6=③기타_가정!$E$22,ED86+EE84,0)</f>
        <v>0</v>
      </c>
      <c r="EF85" s="37" t="n">
        <f aca="false">IF(EF6=③기타_가정!$E$22,EE86+EF84,0)</f>
        <v>0</v>
      </c>
    </row>
    <row r="86" customFormat="false" ht="15" hidden="false" customHeight="false" outlineLevel="0" collapsed="false">
      <c r="A86" s="36" t="s">
        <v>628</v>
      </c>
      <c r="B86" s="278" t="s">
        <v>21</v>
      </c>
      <c r="C86" s="279" t="n">
        <f aca="false">MAX(E86:EF86)</f>
        <v>400452</v>
      </c>
      <c r="E86" s="37" t="n">
        <f aca="false">0+E84-E85</f>
        <v>0</v>
      </c>
      <c r="F86" s="37" t="n">
        <f aca="false">E86+F84-F85</f>
        <v>0</v>
      </c>
      <c r="G86" s="37" t="n">
        <f aca="false">F86+G84-G85</f>
        <v>0</v>
      </c>
      <c r="H86" s="37" t="n">
        <f aca="false">G86+H84-H85</f>
        <v>0</v>
      </c>
      <c r="I86" s="37" t="n">
        <f aca="false">H86+I84-I85</f>
        <v>0</v>
      </c>
      <c r="J86" s="37" t="n">
        <f aca="false">I86+J84-J85</f>
        <v>0</v>
      </c>
      <c r="K86" s="37" t="n">
        <f aca="false">J86+K84-K85</f>
        <v>0</v>
      </c>
      <c r="L86" s="37" t="n">
        <f aca="false">K86+L84-L85</f>
        <v>0</v>
      </c>
      <c r="M86" s="37" t="n">
        <f aca="false">L86+M84-M85</f>
        <v>0</v>
      </c>
      <c r="N86" s="37" t="n">
        <f aca="false">M86+N84-N85</f>
        <v>0</v>
      </c>
      <c r="O86" s="37" t="n">
        <f aca="false">N86+O84-O85</f>
        <v>0</v>
      </c>
      <c r="P86" s="37" t="n">
        <f aca="false">O86+P84-P85</f>
        <v>0</v>
      </c>
      <c r="Q86" s="37" t="n">
        <f aca="false">P86+Q84-Q85</f>
        <v>24860.16</v>
      </c>
      <c r="R86" s="37" t="n">
        <f aca="false">Q86+R84-R85</f>
        <v>24860.16</v>
      </c>
      <c r="S86" s="37" t="n">
        <f aca="false">R86+S84-S85</f>
        <v>24860.16</v>
      </c>
      <c r="T86" s="37" t="n">
        <f aca="false">S86+T84-T85</f>
        <v>24860.16</v>
      </c>
      <c r="U86" s="37" t="n">
        <f aca="false">T86+U84-U85</f>
        <v>24860.16</v>
      </c>
      <c r="V86" s="37" t="n">
        <f aca="false">U86+V84-V85</f>
        <v>24860.16</v>
      </c>
      <c r="W86" s="37" t="n">
        <f aca="false">V86+W84-W85</f>
        <v>24860.16</v>
      </c>
      <c r="X86" s="37" t="n">
        <f aca="false">W86+X84-X85</f>
        <v>24860.16</v>
      </c>
      <c r="Y86" s="37" t="n">
        <f aca="false">X86+Y84-Y85</f>
        <v>24860.16</v>
      </c>
      <c r="Z86" s="37" t="n">
        <f aca="false">Y86+Z84-Z85</f>
        <v>24860.16</v>
      </c>
      <c r="AA86" s="37" t="n">
        <f aca="false">Z86+AA84-AA85</f>
        <v>24860.16</v>
      </c>
      <c r="AB86" s="37" t="n">
        <f aca="false">AA86+AB84-AB85</f>
        <v>24860.16</v>
      </c>
      <c r="AC86" s="37" t="n">
        <f aca="false">AB86+AC84-AC85</f>
        <v>74580.48</v>
      </c>
      <c r="AD86" s="37" t="n">
        <f aca="false">AC86+AD84-AD85</f>
        <v>74580.48</v>
      </c>
      <c r="AE86" s="37" t="n">
        <f aca="false">AD86+AE84-AE85</f>
        <v>74580.48</v>
      </c>
      <c r="AF86" s="37" t="n">
        <f aca="false">AE86+AF84-AF85</f>
        <v>74580.48</v>
      </c>
      <c r="AG86" s="37" t="n">
        <f aca="false">AF86+AG84-AG85</f>
        <v>74580.48</v>
      </c>
      <c r="AH86" s="37" t="n">
        <f aca="false">AG86+AH84-AH85</f>
        <v>74580.48</v>
      </c>
      <c r="AI86" s="37" t="n">
        <f aca="false">AH86+AI84-AI85</f>
        <v>74580.48</v>
      </c>
      <c r="AJ86" s="37" t="n">
        <f aca="false">AI86+AJ84-AJ85</f>
        <v>74580.48</v>
      </c>
      <c r="AK86" s="37" t="n">
        <f aca="false">AJ86+AK84-AK85</f>
        <v>74580.48</v>
      </c>
      <c r="AL86" s="37" t="n">
        <f aca="false">AK86+AL84-AL85</f>
        <v>74580.48</v>
      </c>
      <c r="AM86" s="37" t="n">
        <f aca="false">AL86+AM84-AM85</f>
        <v>74580.48</v>
      </c>
      <c r="AN86" s="37" t="n">
        <f aca="false">AM86+AN84-AN85</f>
        <v>74580.48</v>
      </c>
      <c r="AO86" s="37" t="n">
        <f aca="false">AN86+AO84-AO85</f>
        <v>124300.8</v>
      </c>
      <c r="AP86" s="37" t="n">
        <f aca="false">AO86+AP84-AP85</f>
        <v>124300.8</v>
      </c>
      <c r="AQ86" s="37" t="n">
        <f aca="false">AP86+AQ84-AQ85</f>
        <v>124300.8</v>
      </c>
      <c r="AR86" s="37" t="n">
        <f aca="false">AQ86+AR84-AR85</f>
        <v>124300.8</v>
      </c>
      <c r="AS86" s="37" t="n">
        <f aca="false">AR86+AS84-AS85</f>
        <v>124300.8</v>
      </c>
      <c r="AT86" s="37" t="n">
        <f aca="false">AS86+AT84-AT85</f>
        <v>124300.8</v>
      </c>
      <c r="AU86" s="37" t="n">
        <f aca="false">AT86+AU84-AU85</f>
        <v>124300.8</v>
      </c>
      <c r="AV86" s="37" t="n">
        <f aca="false">AU86+AV84-AV85</f>
        <v>124300.8</v>
      </c>
      <c r="AW86" s="37" t="n">
        <f aca="false">AV86+AW84-AW85</f>
        <v>124300.8</v>
      </c>
      <c r="AX86" s="37" t="n">
        <f aca="false">AW86+AX84-AX85</f>
        <v>124300.8</v>
      </c>
      <c r="AY86" s="37" t="n">
        <f aca="false">AX86+AY84-AY85</f>
        <v>124300.8</v>
      </c>
      <c r="AZ86" s="37" t="n">
        <f aca="false">AY86+AZ84-AZ85</f>
        <v>124300.8</v>
      </c>
      <c r="BA86" s="37" t="n">
        <f aca="false">AZ86+BA84-BA85</f>
        <v>174021.12</v>
      </c>
      <c r="BB86" s="37" t="n">
        <f aca="false">BA86+BB84-BB85</f>
        <v>174021.12</v>
      </c>
      <c r="BC86" s="37" t="n">
        <f aca="false">BB86+BC84-BC85</f>
        <v>174021.12</v>
      </c>
      <c r="BD86" s="37" t="n">
        <f aca="false">BC86+BD84-BD85</f>
        <v>174021.12</v>
      </c>
      <c r="BE86" s="37" t="n">
        <f aca="false">BD86+BE84-BE85</f>
        <v>174021.12</v>
      </c>
      <c r="BF86" s="37" t="n">
        <f aca="false">BE86+BF84-BF85</f>
        <v>174021.12</v>
      </c>
      <c r="BG86" s="37" t="n">
        <f aca="false">BF86+BG84-BG85</f>
        <v>174021.12</v>
      </c>
      <c r="BH86" s="37" t="n">
        <f aca="false">BG86+BH84-BH85</f>
        <v>174021.12</v>
      </c>
      <c r="BI86" s="37" t="n">
        <f aca="false">BH86+BI84-BI85</f>
        <v>174021.12</v>
      </c>
      <c r="BJ86" s="37" t="n">
        <f aca="false">BI86+BJ84-BJ85</f>
        <v>174021.12</v>
      </c>
      <c r="BK86" s="37" t="n">
        <f aca="false">BJ86+BK84-BK85</f>
        <v>174021.12</v>
      </c>
      <c r="BL86" s="37" t="n">
        <f aca="false">BK86+BL84-BL85</f>
        <v>174021.12</v>
      </c>
      <c r="BM86" s="37" t="n">
        <f aca="false">BL86+BM84-BM85</f>
        <v>311901.6</v>
      </c>
      <c r="BN86" s="37" t="n">
        <f aca="false">BM86+BN84-BN85</f>
        <v>311901.6</v>
      </c>
      <c r="BO86" s="37" t="n">
        <f aca="false">BN86+BO84-BO85</f>
        <v>311901.6</v>
      </c>
      <c r="BP86" s="37" t="n">
        <f aca="false">BO86+BP84-BP85</f>
        <v>311901.6</v>
      </c>
      <c r="BQ86" s="37" t="n">
        <f aca="false">BP86+BQ84-BQ85</f>
        <v>311901.6</v>
      </c>
      <c r="BR86" s="37" t="n">
        <f aca="false">BQ86+BR84-BR85</f>
        <v>311901.6</v>
      </c>
      <c r="BS86" s="37" t="n">
        <f aca="false">BR86+BS84-BS85</f>
        <v>311901.6</v>
      </c>
      <c r="BT86" s="37" t="n">
        <f aca="false">BS86+BT84-BT85</f>
        <v>311901.6</v>
      </c>
      <c r="BU86" s="37" t="n">
        <f aca="false">BT86+BU84-BU85</f>
        <v>311901.6</v>
      </c>
      <c r="BV86" s="37" t="n">
        <f aca="false">BU86+BV84-BV85</f>
        <v>311901.6</v>
      </c>
      <c r="BW86" s="37" t="n">
        <f aca="false">BV86+BW84-BW85</f>
        <v>311901.6</v>
      </c>
      <c r="BX86" s="37" t="n">
        <f aca="false">BW86+BX84-BX85</f>
        <v>311901.6</v>
      </c>
      <c r="BY86" s="37" t="n">
        <f aca="false">BX86+BY84-BY85</f>
        <v>387252</v>
      </c>
      <c r="BZ86" s="37" t="n">
        <f aca="false">BY86+BZ84-BZ85</f>
        <v>387252</v>
      </c>
      <c r="CA86" s="37" t="n">
        <f aca="false">BZ86+CA84-CA85</f>
        <v>387252</v>
      </c>
      <c r="CB86" s="37" t="n">
        <f aca="false">CA86+CB84-CB85</f>
        <v>387252</v>
      </c>
      <c r="CC86" s="37" t="n">
        <f aca="false">CB86+CC84-CC85</f>
        <v>387252</v>
      </c>
      <c r="CD86" s="37" t="n">
        <f aca="false">CC86+CD84-CD85</f>
        <v>387252</v>
      </c>
      <c r="CE86" s="37" t="n">
        <f aca="false">CD86+CE84-CE85</f>
        <v>387252</v>
      </c>
      <c r="CF86" s="37" t="n">
        <f aca="false">CE86+CF84-CF85</f>
        <v>387252</v>
      </c>
      <c r="CG86" s="37" t="n">
        <f aca="false">CF86+CG84-CG85</f>
        <v>387252</v>
      </c>
      <c r="CH86" s="37" t="n">
        <f aca="false">CG86+CH84-CH85</f>
        <v>387252</v>
      </c>
      <c r="CI86" s="37" t="n">
        <f aca="false">CH86+CI84-CI85</f>
        <v>387252</v>
      </c>
      <c r="CJ86" s="37" t="n">
        <f aca="false">CI86+CJ84-CJ85</f>
        <v>387252</v>
      </c>
      <c r="CK86" s="37" t="n">
        <f aca="false">CJ86+CK84-CK85</f>
        <v>400452</v>
      </c>
      <c r="CL86" s="37" t="n">
        <f aca="false">CK86+CL84-CL85</f>
        <v>400452</v>
      </c>
      <c r="CM86" s="37" t="n">
        <f aca="false">CL86+CM84-CM85</f>
        <v>400452</v>
      </c>
      <c r="CN86" s="37" t="n">
        <f aca="false">CM86+CN84-CN85</f>
        <v>400452</v>
      </c>
      <c r="CO86" s="37" t="n">
        <f aca="false">CN86+CO84-CO85</f>
        <v>400452</v>
      </c>
      <c r="CP86" s="37" t="n">
        <f aca="false">CO86+CP84-CP85</f>
        <v>400452</v>
      </c>
      <c r="CQ86" s="37" t="n">
        <f aca="false">CP86+CQ84-CQ85</f>
        <v>400452</v>
      </c>
      <c r="CR86" s="37" t="n">
        <f aca="false">CQ86+CR84-CR85</f>
        <v>400452</v>
      </c>
      <c r="CS86" s="37" t="n">
        <f aca="false">CR86+CS84-CS85</f>
        <v>400452</v>
      </c>
      <c r="CT86" s="37" t="n">
        <f aca="false">CS86+CT84-CT85</f>
        <v>400452</v>
      </c>
      <c r="CU86" s="37" t="n">
        <f aca="false">CT86+CU84-CU85</f>
        <v>400452</v>
      </c>
      <c r="CV86" s="37" t="n">
        <f aca="false">CU86+CV84-CV85</f>
        <v>400452</v>
      </c>
      <c r="CW86" s="37" t="n">
        <f aca="false">CV86+CW84-CW85</f>
        <v>400452</v>
      </c>
      <c r="CX86" s="37" t="n">
        <f aca="false">CW86+CX84-CX85</f>
        <v>400452</v>
      </c>
      <c r="CY86" s="37" t="n">
        <f aca="false">CX86+CY84-CY85</f>
        <v>400452</v>
      </c>
      <c r="CZ86" s="37" t="n">
        <f aca="false">CY86+CZ84-CZ85</f>
        <v>400452</v>
      </c>
      <c r="DA86" s="37" t="n">
        <f aca="false">CZ86+DA84-DA85</f>
        <v>400452</v>
      </c>
      <c r="DB86" s="37" t="n">
        <f aca="false">DA86+DB84-DB85</f>
        <v>400452</v>
      </c>
      <c r="DC86" s="37" t="n">
        <f aca="false">DB86+DC84-DC85</f>
        <v>400452</v>
      </c>
      <c r="DD86" s="37" t="n">
        <f aca="false">DC86+DD84-DD85</f>
        <v>400452</v>
      </c>
      <c r="DE86" s="37" t="n">
        <f aca="false">DD86+DE84-DE85</f>
        <v>400452</v>
      </c>
      <c r="DF86" s="37" t="n">
        <f aca="false">DE86+DF84-DF85</f>
        <v>400452</v>
      </c>
      <c r="DG86" s="37" t="n">
        <f aca="false">DF86+DG84-DG85</f>
        <v>400452</v>
      </c>
      <c r="DH86" s="37" t="n">
        <f aca="false">DG86+DH84-DH85</f>
        <v>400452</v>
      </c>
      <c r="DI86" s="37" t="n">
        <f aca="false">DH86+DI84-DI85</f>
        <v>400452</v>
      </c>
      <c r="DJ86" s="37" t="n">
        <f aca="false">DI86+DJ84-DJ85</f>
        <v>400452</v>
      </c>
      <c r="DK86" s="37" t="n">
        <f aca="false">DJ86+DK84-DK85</f>
        <v>400452</v>
      </c>
      <c r="DL86" s="37" t="n">
        <f aca="false">DK86+DL84-DL85</f>
        <v>400452</v>
      </c>
      <c r="DM86" s="37" t="n">
        <f aca="false">DL86+DM84-DM85</f>
        <v>400452</v>
      </c>
      <c r="DN86" s="37" t="n">
        <f aca="false">DM86+DN84-DN85</f>
        <v>400452</v>
      </c>
      <c r="DO86" s="37" t="n">
        <f aca="false">DN86+DO84-DO85</f>
        <v>400452</v>
      </c>
      <c r="DP86" s="37" t="n">
        <f aca="false">DO86+DP84-DP85</f>
        <v>400452</v>
      </c>
      <c r="DQ86" s="37" t="n">
        <f aca="false">DP86+DQ84-DQ85</f>
        <v>400452</v>
      </c>
      <c r="DR86" s="37" t="n">
        <f aca="false">DQ86+DR84-DR85</f>
        <v>400452</v>
      </c>
      <c r="DS86" s="37" t="n">
        <f aca="false">DR86+DS84-DS85</f>
        <v>400452</v>
      </c>
      <c r="DT86" s="37" t="n">
        <f aca="false">DS86+DT84-DT85</f>
        <v>0</v>
      </c>
      <c r="DU86" s="37" t="n">
        <f aca="false">DT86+DU84-DU85</f>
        <v>0</v>
      </c>
      <c r="DV86" s="37" t="n">
        <f aca="false">DU86+DV84-DV85</f>
        <v>0</v>
      </c>
      <c r="DW86" s="37" t="n">
        <f aca="false">DV86+DW84-DW85</f>
        <v>0</v>
      </c>
      <c r="DX86" s="37" t="n">
        <f aca="false">DW86+DX84-DX85</f>
        <v>0</v>
      </c>
      <c r="DY86" s="37" t="n">
        <f aca="false">DX86+DY84-DY85</f>
        <v>0</v>
      </c>
      <c r="DZ86" s="37" t="n">
        <f aca="false">DY86+DZ84-DZ85</f>
        <v>0</v>
      </c>
      <c r="EA86" s="37" t="n">
        <f aca="false">DZ86+EA84-EA85</f>
        <v>0</v>
      </c>
      <c r="EB86" s="37" t="n">
        <f aca="false">EA86+EB84-EB85</f>
        <v>0</v>
      </c>
      <c r="EC86" s="37" t="n">
        <f aca="false">EB86+EC84-EC85</f>
        <v>0</v>
      </c>
      <c r="ED86" s="37" t="n">
        <f aca="false">EC86+ED84-ED85</f>
        <v>0</v>
      </c>
      <c r="EE86" s="37" t="n">
        <f aca="false">ED86+EE84-EE85</f>
        <v>0</v>
      </c>
      <c r="EF86" s="37" t="n">
        <f aca="false">EE86+EF84-EF85</f>
        <v>0</v>
      </c>
    </row>
    <row r="88" customFormat="false" ht="15" hidden="false" customHeight="false" outlineLevel="0" collapsed="false">
      <c r="A88" s="6" t="s">
        <v>629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</row>
    <row r="89" customFormat="false" ht="15" hidden="false" customHeight="false" outlineLevel="0" collapsed="false">
      <c r="A89" s="36" t="s">
        <v>630</v>
      </c>
      <c r="B89" s="278" t="s">
        <v>21</v>
      </c>
      <c r="C89" s="279" t="n">
        <f aca="false">SUM(E89:EF89)</f>
        <v>7906.42330427409</v>
      </c>
      <c r="E89" s="37" t="n">
        <f aca="false">IF(E6=③기타_가정!$E$10,③기타_가정!$R$358*③기타_가정!$D$554,0)</f>
        <v>0</v>
      </c>
      <c r="F89" s="37" t="n">
        <f aca="false">IF(F6=③기타_가정!$E$10,③기타_가정!$R$358*③기타_가정!$D$554,0)</f>
        <v>0</v>
      </c>
      <c r="G89" s="37" t="n">
        <f aca="false">IF(G6=③기타_가정!$E$10,③기타_가정!$R$358*③기타_가정!$D$554,0)</f>
        <v>0</v>
      </c>
      <c r="H89" s="37" t="n">
        <f aca="false">IF(H6=③기타_가정!$E$10,③기타_가정!$R$358*③기타_가정!$D$554,0)</f>
        <v>7906.42330427409</v>
      </c>
      <c r="I89" s="37" t="n">
        <f aca="false">IF(I6=③기타_가정!$E$10,③기타_가정!$R$358*③기타_가정!$D$554,0)</f>
        <v>0</v>
      </c>
      <c r="J89" s="37" t="n">
        <f aca="false">IF(J6=③기타_가정!$E$10,③기타_가정!$R$358*③기타_가정!$D$554,0)</f>
        <v>0</v>
      </c>
      <c r="K89" s="37" t="n">
        <f aca="false">IF(K6=③기타_가정!$E$10,③기타_가정!$R$358*③기타_가정!$D$554,0)</f>
        <v>0</v>
      </c>
      <c r="L89" s="37" t="n">
        <f aca="false">IF(L6=③기타_가정!$E$10,③기타_가정!$R$358*③기타_가정!$D$554,0)</f>
        <v>0</v>
      </c>
      <c r="M89" s="37" t="n">
        <f aca="false">IF(M6=③기타_가정!$E$10,③기타_가정!$R$358*③기타_가정!$D$554,0)</f>
        <v>0</v>
      </c>
      <c r="N89" s="37" t="n">
        <f aca="false">IF(N6=③기타_가정!$E$10,③기타_가정!$R$358*③기타_가정!$D$554,0)</f>
        <v>0</v>
      </c>
      <c r="O89" s="37" t="n">
        <f aca="false">IF(O6=③기타_가정!$E$10,③기타_가정!$R$358*③기타_가정!$D$554,0)</f>
        <v>0</v>
      </c>
      <c r="P89" s="37" t="n">
        <f aca="false">IF(P6=③기타_가정!$E$10,③기타_가정!$R$358*③기타_가정!$D$554,0)</f>
        <v>0</v>
      </c>
      <c r="Q89" s="37" t="n">
        <f aca="false">IF(Q6=③기타_가정!$E$10,③기타_가정!$R$358*③기타_가정!$D$554,0)</f>
        <v>0</v>
      </c>
      <c r="R89" s="37" t="n">
        <f aca="false">IF(R6=③기타_가정!$E$10,③기타_가정!$R$358*③기타_가정!$D$554,0)</f>
        <v>0</v>
      </c>
      <c r="S89" s="37" t="n">
        <f aca="false">IF(S6=③기타_가정!$E$10,③기타_가정!$R$358*③기타_가정!$D$554,0)</f>
        <v>0</v>
      </c>
      <c r="T89" s="37" t="n">
        <f aca="false">IF(T6=③기타_가정!$E$10,③기타_가정!$R$358*③기타_가정!$D$554,0)</f>
        <v>0</v>
      </c>
      <c r="U89" s="37" t="n">
        <f aca="false">IF(U6=③기타_가정!$E$10,③기타_가정!$R$358*③기타_가정!$D$554,0)</f>
        <v>0</v>
      </c>
      <c r="V89" s="37" t="n">
        <f aca="false">IF(V6=③기타_가정!$E$10,③기타_가정!$R$358*③기타_가정!$D$554,0)</f>
        <v>0</v>
      </c>
      <c r="W89" s="37" t="n">
        <f aca="false">IF(W6=③기타_가정!$E$10,③기타_가정!$R$358*③기타_가정!$D$554,0)</f>
        <v>0</v>
      </c>
      <c r="X89" s="37" t="n">
        <f aca="false">IF(X6=③기타_가정!$E$10,③기타_가정!$R$358*③기타_가정!$D$554,0)</f>
        <v>0</v>
      </c>
      <c r="Y89" s="37" t="n">
        <f aca="false">IF(Y6=③기타_가정!$E$10,③기타_가정!$R$358*③기타_가정!$D$554,0)</f>
        <v>0</v>
      </c>
      <c r="Z89" s="37" t="n">
        <f aca="false">IF(Z6=③기타_가정!$E$10,③기타_가정!$R$358*③기타_가정!$D$554,0)</f>
        <v>0</v>
      </c>
      <c r="AA89" s="37" t="n">
        <f aca="false">IF(AA6=③기타_가정!$E$10,③기타_가정!$R$358*③기타_가정!$D$554,0)</f>
        <v>0</v>
      </c>
      <c r="AB89" s="37" t="n">
        <f aca="false">IF(AB6=③기타_가정!$E$10,③기타_가정!$R$358*③기타_가정!$D$554,0)</f>
        <v>0</v>
      </c>
      <c r="AC89" s="37" t="n">
        <f aca="false">IF(AC6=③기타_가정!$E$10,③기타_가정!$R$358*③기타_가정!$D$554,0)</f>
        <v>0</v>
      </c>
      <c r="AD89" s="37" t="n">
        <f aca="false">IF(AD6=③기타_가정!$E$10,③기타_가정!$R$358*③기타_가정!$D$554,0)</f>
        <v>0</v>
      </c>
      <c r="AE89" s="37" t="n">
        <f aca="false">IF(AE6=③기타_가정!$E$10,③기타_가정!$R$358*③기타_가정!$D$554,0)</f>
        <v>0</v>
      </c>
      <c r="AF89" s="37" t="n">
        <f aca="false">IF(AF6=③기타_가정!$E$10,③기타_가정!$R$358*③기타_가정!$D$554,0)</f>
        <v>0</v>
      </c>
      <c r="AG89" s="37" t="n">
        <f aca="false">IF(AG6=③기타_가정!$E$10,③기타_가정!$R$358*③기타_가정!$D$554,0)</f>
        <v>0</v>
      </c>
      <c r="AH89" s="37" t="n">
        <f aca="false">IF(AH6=③기타_가정!$E$10,③기타_가정!$R$358*③기타_가정!$D$554,0)</f>
        <v>0</v>
      </c>
      <c r="AI89" s="37" t="n">
        <f aca="false">IF(AI6=③기타_가정!$E$10,③기타_가정!$R$358*③기타_가정!$D$554,0)</f>
        <v>0</v>
      </c>
      <c r="AJ89" s="37" t="n">
        <f aca="false">IF(AJ6=③기타_가정!$E$10,③기타_가정!$R$358*③기타_가정!$D$554,0)</f>
        <v>0</v>
      </c>
      <c r="AK89" s="37" t="n">
        <f aca="false">IF(AK6=③기타_가정!$E$10,③기타_가정!$R$358*③기타_가정!$D$554,0)</f>
        <v>0</v>
      </c>
      <c r="AL89" s="37" t="n">
        <f aca="false">IF(AL6=③기타_가정!$E$10,③기타_가정!$R$358*③기타_가정!$D$554,0)</f>
        <v>0</v>
      </c>
      <c r="AM89" s="37" t="n">
        <f aca="false">IF(AM6=③기타_가정!$E$10,③기타_가정!$R$358*③기타_가정!$D$554,0)</f>
        <v>0</v>
      </c>
      <c r="AN89" s="37" t="n">
        <f aca="false">IF(AN6=③기타_가정!$E$10,③기타_가정!$R$358*③기타_가정!$D$554,0)</f>
        <v>0</v>
      </c>
      <c r="AO89" s="37" t="n">
        <f aca="false">IF(AO6=③기타_가정!$E$10,③기타_가정!$R$358*③기타_가정!$D$554,0)</f>
        <v>0</v>
      </c>
      <c r="AP89" s="37" t="n">
        <f aca="false">IF(AP6=③기타_가정!$E$10,③기타_가정!$R$358*③기타_가정!$D$554,0)</f>
        <v>0</v>
      </c>
      <c r="AQ89" s="37" t="n">
        <f aca="false">IF(AQ6=③기타_가정!$E$10,③기타_가정!$R$358*③기타_가정!$D$554,0)</f>
        <v>0</v>
      </c>
      <c r="AR89" s="37" t="n">
        <f aca="false">IF(AR6=③기타_가정!$E$10,③기타_가정!$R$358*③기타_가정!$D$554,0)</f>
        <v>0</v>
      </c>
      <c r="AS89" s="37" t="n">
        <f aca="false">IF(AS6=③기타_가정!$E$10,③기타_가정!$R$358*③기타_가정!$D$554,0)</f>
        <v>0</v>
      </c>
      <c r="AT89" s="37" t="n">
        <f aca="false">IF(AT6=③기타_가정!$E$10,③기타_가정!$R$358*③기타_가정!$D$554,0)</f>
        <v>0</v>
      </c>
      <c r="AU89" s="37" t="n">
        <f aca="false">IF(AU6=③기타_가정!$E$10,③기타_가정!$R$358*③기타_가정!$D$554,0)</f>
        <v>0</v>
      </c>
      <c r="AV89" s="37" t="n">
        <f aca="false">IF(AV6=③기타_가정!$E$10,③기타_가정!$R$358*③기타_가정!$D$554,0)</f>
        <v>0</v>
      </c>
      <c r="AW89" s="37" t="n">
        <f aca="false">IF(AW6=③기타_가정!$E$10,③기타_가정!$R$358*③기타_가정!$D$554,0)</f>
        <v>0</v>
      </c>
      <c r="AX89" s="37" t="n">
        <f aca="false">IF(AX6=③기타_가정!$E$10,③기타_가정!$R$358*③기타_가정!$D$554,0)</f>
        <v>0</v>
      </c>
      <c r="AY89" s="37" t="n">
        <f aca="false">IF(AY6=③기타_가정!$E$10,③기타_가정!$R$358*③기타_가정!$D$554,0)</f>
        <v>0</v>
      </c>
      <c r="AZ89" s="37" t="n">
        <f aca="false">IF(AZ6=③기타_가정!$E$10,③기타_가정!$R$358*③기타_가정!$D$554,0)</f>
        <v>0</v>
      </c>
      <c r="BA89" s="37" t="n">
        <f aca="false">IF(BA6=③기타_가정!$E$10,③기타_가정!$R$358*③기타_가정!$D$554,0)</f>
        <v>0</v>
      </c>
      <c r="BB89" s="37" t="n">
        <f aca="false">IF(BB6=③기타_가정!$E$10,③기타_가정!$R$358*③기타_가정!$D$554,0)</f>
        <v>0</v>
      </c>
      <c r="BC89" s="37" t="n">
        <f aca="false">IF(BC6=③기타_가정!$E$10,③기타_가정!$R$358*③기타_가정!$D$554,0)</f>
        <v>0</v>
      </c>
      <c r="BD89" s="37" t="n">
        <f aca="false">IF(BD6=③기타_가정!$E$10,③기타_가정!$R$358*③기타_가정!$D$554,0)</f>
        <v>0</v>
      </c>
      <c r="BE89" s="37" t="n">
        <f aca="false">IF(BE6=③기타_가정!$E$10,③기타_가정!$R$358*③기타_가정!$D$554,0)</f>
        <v>0</v>
      </c>
      <c r="BF89" s="37" t="n">
        <f aca="false">IF(BF6=③기타_가정!$E$10,③기타_가정!$R$358*③기타_가정!$D$554,0)</f>
        <v>0</v>
      </c>
      <c r="BG89" s="37" t="n">
        <f aca="false">IF(BG6=③기타_가정!$E$10,③기타_가정!$R$358*③기타_가정!$D$554,0)</f>
        <v>0</v>
      </c>
      <c r="BH89" s="37" t="n">
        <f aca="false">IF(BH6=③기타_가정!$E$10,③기타_가정!$R$358*③기타_가정!$D$554,0)</f>
        <v>0</v>
      </c>
      <c r="BI89" s="37" t="n">
        <f aca="false">IF(BI6=③기타_가정!$E$10,③기타_가정!$R$358*③기타_가정!$D$554,0)</f>
        <v>0</v>
      </c>
      <c r="BJ89" s="37" t="n">
        <f aca="false">IF(BJ6=③기타_가정!$E$10,③기타_가정!$R$358*③기타_가정!$D$554,0)</f>
        <v>0</v>
      </c>
      <c r="BK89" s="37" t="n">
        <f aca="false">IF(BK6=③기타_가정!$E$10,③기타_가정!$R$358*③기타_가정!$D$554,0)</f>
        <v>0</v>
      </c>
      <c r="BL89" s="37" t="n">
        <f aca="false">IF(BL6=③기타_가정!$E$10,③기타_가정!$R$358*③기타_가정!$D$554,0)</f>
        <v>0</v>
      </c>
      <c r="BM89" s="37" t="n">
        <f aca="false">IF(BM6=③기타_가정!$E$10,③기타_가정!$R$358*③기타_가정!$D$554,0)</f>
        <v>0</v>
      </c>
      <c r="BN89" s="37" t="n">
        <f aca="false">IF(BN6=③기타_가정!$E$10,③기타_가정!$R$358*③기타_가정!$D$554,0)</f>
        <v>0</v>
      </c>
      <c r="BO89" s="37" t="n">
        <f aca="false">IF(BO6=③기타_가정!$E$10,③기타_가정!$R$358*③기타_가정!$D$554,0)</f>
        <v>0</v>
      </c>
      <c r="BP89" s="37" t="n">
        <f aca="false">IF(BP6=③기타_가정!$E$10,③기타_가정!$R$358*③기타_가정!$D$554,0)</f>
        <v>0</v>
      </c>
      <c r="BQ89" s="37" t="n">
        <f aca="false">IF(BQ6=③기타_가정!$E$10,③기타_가정!$R$358*③기타_가정!$D$554,0)</f>
        <v>0</v>
      </c>
      <c r="BR89" s="37" t="n">
        <f aca="false">IF(BR6=③기타_가정!$E$10,③기타_가정!$R$358*③기타_가정!$D$554,0)</f>
        <v>0</v>
      </c>
      <c r="BS89" s="37" t="n">
        <f aca="false">IF(BS6=③기타_가정!$E$10,③기타_가정!$R$358*③기타_가정!$D$554,0)</f>
        <v>0</v>
      </c>
      <c r="BT89" s="37" t="n">
        <f aca="false">IF(BT6=③기타_가정!$E$10,③기타_가정!$R$358*③기타_가정!$D$554,0)</f>
        <v>0</v>
      </c>
      <c r="BU89" s="37" t="n">
        <f aca="false">IF(BU6=③기타_가정!$E$10,③기타_가정!$R$358*③기타_가정!$D$554,0)</f>
        <v>0</v>
      </c>
      <c r="BV89" s="37" t="n">
        <f aca="false">IF(BV6=③기타_가정!$E$10,③기타_가정!$R$358*③기타_가정!$D$554,0)</f>
        <v>0</v>
      </c>
      <c r="BW89" s="37" t="n">
        <f aca="false">IF(BW6=③기타_가정!$E$10,③기타_가정!$R$358*③기타_가정!$D$554,0)</f>
        <v>0</v>
      </c>
      <c r="BX89" s="37" t="n">
        <f aca="false">IF(BX6=③기타_가정!$E$10,③기타_가정!$R$358*③기타_가정!$D$554,0)</f>
        <v>0</v>
      </c>
      <c r="BY89" s="37" t="n">
        <f aca="false">IF(BY6=③기타_가정!$E$10,③기타_가정!$R$358*③기타_가정!$D$554,0)</f>
        <v>0</v>
      </c>
      <c r="BZ89" s="37" t="n">
        <f aca="false">IF(BZ6=③기타_가정!$E$10,③기타_가정!$R$358*③기타_가정!$D$554,0)</f>
        <v>0</v>
      </c>
      <c r="CA89" s="37" t="n">
        <f aca="false">IF(CA6=③기타_가정!$E$10,③기타_가정!$R$358*③기타_가정!$D$554,0)</f>
        <v>0</v>
      </c>
      <c r="CB89" s="37" t="n">
        <f aca="false">IF(CB6=③기타_가정!$E$10,③기타_가정!$R$358*③기타_가정!$D$554,0)</f>
        <v>0</v>
      </c>
      <c r="CC89" s="37" t="n">
        <f aca="false">IF(CC6=③기타_가정!$E$10,③기타_가정!$R$358*③기타_가정!$D$554,0)</f>
        <v>0</v>
      </c>
      <c r="CD89" s="37" t="n">
        <f aca="false">IF(CD6=③기타_가정!$E$10,③기타_가정!$R$358*③기타_가정!$D$554,0)</f>
        <v>0</v>
      </c>
      <c r="CE89" s="37" t="n">
        <f aca="false">IF(CE6=③기타_가정!$E$10,③기타_가정!$R$358*③기타_가정!$D$554,0)</f>
        <v>0</v>
      </c>
      <c r="CF89" s="37" t="n">
        <f aca="false">IF(CF6=③기타_가정!$E$10,③기타_가정!$R$358*③기타_가정!$D$554,0)</f>
        <v>0</v>
      </c>
      <c r="CG89" s="37" t="n">
        <f aca="false">IF(CG6=③기타_가정!$E$10,③기타_가정!$R$358*③기타_가정!$D$554,0)</f>
        <v>0</v>
      </c>
      <c r="CH89" s="37" t="n">
        <f aca="false">IF(CH6=③기타_가정!$E$10,③기타_가정!$R$358*③기타_가정!$D$554,0)</f>
        <v>0</v>
      </c>
      <c r="CI89" s="37" t="n">
        <f aca="false">IF(CI6=③기타_가정!$E$10,③기타_가정!$R$358*③기타_가정!$D$554,0)</f>
        <v>0</v>
      </c>
      <c r="CJ89" s="37" t="n">
        <f aca="false">IF(CJ6=③기타_가정!$E$10,③기타_가정!$R$358*③기타_가정!$D$554,0)</f>
        <v>0</v>
      </c>
      <c r="CK89" s="37" t="n">
        <f aca="false">IF(CK6=③기타_가정!$E$10,③기타_가정!$R$358*③기타_가정!$D$554,0)</f>
        <v>0</v>
      </c>
      <c r="CL89" s="37" t="n">
        <f aca="false">IF(CL6=③기타_가정!$E$10,③기타_가정!$R$358*③기타_가정!$D$554,0)</f>
        <v>0</v>
      </c>
      <c r="CM89" s="37" t="n">
        <f aca="false">IF(CM6=③기타_가정!$E$10,③기타_가정!$R$358*③기타_가정!$D$554,0)</f>
        <v>0</v>
      </c>
      <c r="CN89" s="37" t="n">
        <f aca="false">IF(CN6=③기타_가정!$E$10,③기타_가정!$R$358*③기타_가정!$D$554,0)</f>
        <v>0</v>
      </c>
      <c r="CO89" s="37" t="n">
        <f aca="false">IF(CO6=③기타_가정!$E$10,③기타_가정!$R$358*③기타_가정!$D$554,0)</f>
        <v>0</v>
      </c>
      <c r="CP89" s="37" t="n">
        <f aca="false">IF(CP6=③기타_가정!$E$10,③기타_가정!$R$358*③기타_가정!$D$554,0)</f>
        <v>0</v>
      </c>
      <c r="CQ89" s="37" t="n">
        <f aca="false">IF(CQ6=③기타_가정!$E$10,③기타_가정!$R$358*③기타_가정!$D$554,0)</f>
        <v>0</v>
      </c>
      <c r="CR89" s="37" t="n">
        <f aca="false">IF(CR6=③기타_가정!$E$10,③기타_가정!$R$358*③기타_가정!$D$554,0)</f>
        <v>0</v>
      </c>
      <c r="CS89" s="37" t="n">
        <f aca="false">IF(CS6=③기타_가정!$E$10,③기타_가정!$R$358*③기타_가정!$D$554,0)</f>
        <v>0</v>
      </c>
      <c r="CT89" s="37" t="n">
        <f aca="false">IF(CT6=③기타_가정!$E$10,③기타_가정!$R$358*③기타_가정!$D$554,0)</f>
        <v>0</v>
      </c>
      <c r="CU89" s="37" t="n">
        <f aca="false">IF(CU6=③기타_가정!$E$10,③기타_가정!$R$358*③기타_가정!$D$554,0)</f>
        <v>0</v>
      </c>
      <c r="CV89" s="37" t="n">
        <f aca="false">IF(CV6=③기타_가정!$E$10,③기타_가정!$R$358*③기타_가정!$D$554,0)</f>
        <v>0</v>
      </c>
      <c r="CW89" s="37" t="n">
        <f aca="false">IF(CW6=③기타_가정!$E$10,③기타_가정!$R$358*③기타_가정!$D$554,0)</f>
        <v>0</v>
      </c>
      <c r="CX89" s="37" t="n">
        <f aca="false">IF(CX6=③기타_가정!$E$10,③기타_가정!$R$358*③기타_가정!$D$554,0)</f>
        <v>0</v>
      </c>
      <c r="CY89" s="37" t="n">
        <f aca="false">IF(CY6=③기타_가정!$E$10,③기타_가정!$R$358*③기타_가정!$D$554,0)</f>
        <v>0</v>
      </c>
      <c r="CZ89" s="37" t="n">
        <f aca="false">IF(CZ6=③기타_가정!$E$10,③기타_가정!$R$358*③기타_가정!$D$554,0)</f>
        <v>0</v>
      </c>
      <c r="DA89" s="37" t="n">
        <f aca="false">IF(DA6=③기타_가정!$E$10,③기타_가정!$R$358*③기타_가정!$D$554,0)</f>
        <v>0</v>
      </c>
      <c r="DB89" s="37" t="n">
        <f aca="false">IF(DB6=③기타_가정!$E$10,③기타_가정!$R$358*③기타_가정!$D$554,0)</f>
        <v>0</v>
      </c>
      <c r="DC89" s="37" t="n">
        <f aca="false">IF(DC6=③기타_가정!$E$10,③기타_가정!$R$358*③기타_가정!$D$554,0)</f>
        <v>0</v>
      </c>
      <c r="DD89" s="37" t="n">
        <f aca="false">IF(DD6=③기타_가정!$E$10,③기타_가정!$R$358*③기타_가정!$D$554,0)</f>
        <v>0</v>
      </c>
      <c r="DE89" s="37" t="n">
        <f aca="false">IF(DE6=③기타_가정!$E$10,③기타_가정!$R$358*③기타_가정!$D$554,0)</f>
        <v>0</v>
      </c>
      <c r="DF89" s="37" t="n">
        <f aca="false">IF(DF6=③기타_가정!$E$10,③기타_가정!$R$358*③기타_가정!$D$554,0)</f>
        <v>0</v>
      </c>
      <c r="DG89" s="37" t="n">
        <f aca="false">IF(DG6=③기타_가정!$E$10,③기타_가정!$R$358*③기타_가정!$D$554,0)</f>
        <v>0</v>
      </c>
      <c r="DH89" s="37" t="n">
        <f aca="false">IF(DH6=③기타_가정!$E$10,③기타_가정!$R$358*③기타_가정!$D$554,0)</f>
        <v>0</v>
      </c>
      <c r="DI89" s="37" t="n">
        <f aca="false">IF(DI6=③기타_가정!$E$10,③기타_가정!$R$358*③기타_가정!$D$554,0)</f>
        <v>0</v>
      </c>
      <c r="DJ89" s="37" t="n">
        <f aca="false">IF(DJ6=③기타_가정!$E$10,③기타_가정!$R$358*③기타_가정!$D$554,0)</f>
        <v>0</v>
      </c>
      <c r="DK89" s="37" t="n">
        <f aca="false">IF(DK6=③기타_가정!$E$10,③기타_가정!$R$358*③기타_가정!$D$554,0)</f>
        <v>0</v>
      </c>
      <c r="DL89" s="37" t="n">
        <f aca="false">IF(DL6=③기타_가정!$E$10,③기타_가정!$R$358*③기타_가정!$D$554,0)</f>
        <v>0</v>
      </c>
      <c r="DM89" s="37" t="n">
        <f aca="false">IF(DM6=③기타_가정!$E$10,③기타_가정!$R$358*③기타_가정!$D$554,0)</f>
        <v>0</v>
      </c>
      <c r="DN89" s="37" t="n">
        <f aca="false">IF(DN6=③기타_가정!$E$10,③기타_가정!$R$358*③기타_가정!$D$554,0)</f>
        <v>0</v>
      </c>
      <c r="DO89" s="37" t="n">
        <f aca="false">IF(DO6=③기타_가정!$E$10,③기타_가정!$R$358*③기타_가정!$D$554,0)</f>
        <v>0</v>
      </c>
      <c r="DP89" s="37" t="n">
        <f aca="false">IF(DP6=③기타_가정!$E$10,③기타_가정!$R$358*③기타_가정!$D$554,0)</f>
        <v>0</v>
      </c>
      <c r="DQ89" s="37" t="n">
        <f aca="false">IF(DQ6=③기타_가정!$E$10,③기타_가정!$R$358*③기타_가정!$D$554,0)</f>
        <v>0</v>
      </c>
      <c r="DR89" s="37" t="n">
        <f aca="false">IF(DR6=③기타_가정!$E$10,③기타_가정!$R$358*③기타_가정!$D$554,0)</f>
        <v>0</v>
      </c>
      <c r="DS89" s="37" t="n">
        <f aca="false">IF(DS6=③기타_가정!$E$10,③기타_가정!$R$358*③기타_가정!$D$554,0)</f>
        <v>0</v>
      </c>
      <c r="DT89" s="37" t="n">
        <f aca="false">IF(DT6=③기타_가정!$E$10,③기타_가정!$R$358*③기타_가정!$D$554,0)</f>
        <v>0</v>
      </c>
      <c r="DU89" s="37" t="n">
        <f aca="false">IF(DU6=③기타_가정!$E$10,③기타_가정!$R$358*③기타_가정!$D$554,0)</f>
        <v>0</v>
      </c>
      <c r="DV89" s="37" t="n">
        <f aca="false">IF(DV6=③기타_가정!$E$10,③기타_가정!$R$358*③기타_가정!$D$554,0)</f>
        <v>0</v>
      </c>
      <c r="DW89" s="37" t="n">
        <f aca="false">IF(DW6=③기타_가정!$E$10,③기타_가정!$R$358*③기타_가정!$D$554,0)</f>
        <v>0</v>
      </c>
      <c r="DX89" s="37" t="n">
        <f aca="false">IF(DX6=③기타_가정!$E$10,③기타_가정!$R$358*③기타_가정!$D$554,0)</f>
        <v>0</v>
      </c>
      <c r="DY89" s="37" t="n">
        <f aca="false">IF(DY6=③기타_가정!$E$10,③기타_가정!$R$358*③기타_가정!$D$554,0)</f>
        <v>0</v>
      </c>
      <c r="DZ89" s="37" t="n">
        <f aca="false">IF(DZ6=③기타_가정!$E$10,③기타_가정!$R$358*③기타_가정!$D$554,0)</f>
        <v>0</v>
      </c>
      <c r="EA89" s="37" t="n">
        <f aca="false">IF(EA6=③기타_가정!$E$10,③기타_가정!$R$358*③기타_가정!$D$554,0)</f>
        <v>0</v>
      </c>
      <c r="EB89" s="37" t="n">
        <f aca="false">IF(EB6=③기타_가정!$E$10,③기타_가정!$R$358*③기타_가정!$D$554,0)</f>
        <v>0</v>
      </c>
      <c r="EC89" s="37" t="n">
        <f aca="false">IF(EC6=③기타_가정!$E$10,③기타_가정!$R$358*③기타_가정!$D$554,0)</f>
        <v>0</v>
      </c>
      <c r="ED89" s="37" t="n">
        <f aca="false">IF(ED6=③기타_가정!$E$10,③기타_가정!$R$358*③기타_가정!$D$554,0)</f>
        <v>0</v>
      </c>
      <c r="EE89" s="37" t="n">
        <f aca="false">IF(EE6=③기타_가정!$E$10,③기타_가정!$R$358*③기타_가정!$D$554,0)</f>
        <v>0</v>
      </c>
      <c r="EF89" s="37" t="n">
        <f aca="false">IF(EF6=③기타_가정!$E$10,③기타_가정!$R$358*③기타_가정!$D$554,0)</f>
        <v>0</v>
      </c>
    </row>
    <row r="90" customFormat="false" ht="15" hidden="false" customHeight="false" outlineLevel="0" collapsed="false">
      <c r="A90" s="36" t="s">
        <v>631</v>
      </c>
      <c r="B90" s="278" t="s">
        <v>21</v>
      </c>
      <c r="C90" s="279" t="n">
        <f aca="false">SUM(E90:EF90)</f>
        <v>159077.236881995</v>
      </c>
      <c r="E90" s="37" t="n">
        <f aca="false">IF(E6=③기타_가정!$E$14,③기타_가정!$R$358*(1-③기타_가정!$D$554)+③기타_가정!$R$359+③기타_가정!$R$360+③기타_가정!$R$361,0)</f>
        <v>0</v>
      </c>
      <c r="F90" s="37" t="n">
        <f aca="false">IF(F6=③기타_가정!$E$14,③기타_가정!$R$358*(1-③기타_가정!$D$554)+③기타_가정!$R$359+③기타_가정!$R$360+③기타_가정!$R$361,0)</f>
        <v>0</v>
      </c>
      <c r="G90" s="37" t="n">
        <f aca="false">IF(G6=③기타_가정!$E$14,③기타_가정!$R$358*(1-③기타_가정!$D$554)+③기타_가정!$R$359+③기타_가정!$R$360+③기타_가정!$R$361,0)</f>
        <v>0</v>
      </c>
      <c r="H90" s="37" t="n">
        <f aca="false">IF(H6=③기타_가정!$E$14,③기타_가정!$R$358*(1-③기타_가정!$D$554)+③기타_가정!$R$359+③기타_가정!$R$360+③기타_가정!$R$361,0)</f>
        <v>0</v>
      </c>
      <c r="I90" s="37" t="n">
        <f aca="false">IF(I6=③기타_가정!$E$14,③기타_가정!$R$358*(1-③기타_가정!$D$554)+③기타_가정!$R$359+③기타_가정!$R$360+③기타_가정!$R$361,0)</f>
        <v>0</v>
      </c>
      <c r="J90" s="37" t="n">
        <f aca="false">IF(J6=③기타_가정!$E$14,③기타_가정!$R$358*(1-③기타_가정!$D$554)+③기타_가정!$R$359+③기타_가정!$R$360+③기타_가정!$R$361,0)</f>
        <v>0</v>
      </c>
      <c r="K90" s="37" t="n">
        <f aca="false">IF(K6=③기타_가정!$E$14,③기타_가정!$R$358*(1-③기타_가정!$D$554)+③기타_가정!$R$359+③기타_가정!$R$360+③기타_가정!$R$361,0)</f>
        <v>0</v>
      </c>
      <c r="L90" s="37" t="n">
        <f aca="false">IF(L6=③기타_가정!$E$14,③기타_가정!$R$358*(1-③기타_가정!$D$554)+③기타_가정!$R$359+③기타_가정!$R$360+③기타_가정!$R$361,0)</f>
        <v>0</v>
      </c>
      <c r="M90" s="37" t="n">
        <f aca="false">IF(M6=③기타_가정!$E$14,③기타_가정!$R$358*(1-③기타_가정!$D$554)+③기타_가정!$R$359+③기타_가정!$R$360+③기타_가정!$R$361,0)</f>
        <v>0</v>
      </c>
      <c r="N90" s="37" t="n">
        <f aca="false">IF(N6=③기타_가정!$E$14,③기타_가정!$R$358*(1-③기타_가정!$D$554)+③기타_가정!$R$359+③기타_가정!$R$360+③기타_가정!$R$361,0)</f>
        <v>0</v>
      </c>
      <c r="O90" s="37" t="n">
        <f aca="false">IF(O6=③기타_가정!$E$14,③기타_가정!$R$358*(1-③기타_가정!$D$554)+③기타_가정!$R$359+③기타_가정!$R$360+③기타_가정!$R$361,0)</f>
        <v>0</v>
      </c>
      <c r="P90" s="37" t="n">
        <f aca="false">IF(P6=③기타_가정!$E$14,③기타_가정!$R$358*(1-③기타_가정!$D$554)+③기타_가정!$R$359+③기타_가정!$R$360+③기타_가정!$R$361,0)</f>
        <v>0</v>
      </c>
      <c r="Q90" s="37" t="n">
        <f aca="false">IF(Q6=③기타_가정!$E$14,③기타_가정!$R$358*(1-③기타_가정!$D$554)+③기타_가정!$R$359+③기타_가정!$R$360+③기타_가정!$R$361,0)</f>
        <v>0</v>
      </c>
      <c r="R90" s="37" t="n">
        <f aca="false">IF(R6=③기타_가정!$E$14,③기타_가정!$R$358*(1-③기타_가정!$D$554)+③기타_가정!$R$359+③기타_가정!$R$360+③기타_가정!$R$361,0)</f>
        <v>0</v>
      </c>
      <c r="S90" s="37" t="n">
        <f aca="false">IF(S6=③기타_가정!$E$14,③기타_가정!$R$358*(1-③기타_가정!$D$554)+③기타_가정!$R$359+③기타_가정!$R$360+③기타_가정!$R$361,0)</f>
        <v>0</v>
      </c>
      <c r="T90" s="37" t="n">
        <f aca="false">IF(T6=③기타_가정!$E$14,③기타_가정!$R$358*(1-③기타_가정!$D$554)+③기타_가정!$R$359+③기타_가정!$R$360+③기타_가정!$R$361,0)</f>
        <v>0</v>
      </c>
      <c r="U90" s="37" t="n">
        <f aca="false">IF(U6=③기타_가정!$E$14,③기타_가정!$R$358*(1-③기타_가정!$D$554)+③기타_가정!$R$359+③기타_가정!$R$360+③기타_가정!$R$361,0)</f>
        <v>0</v>
      </c>
      <c r="V90" s="37" t="n">
        <f aca="false">IF(V6=③기타_가정!$E$14,③기타_가정!$R$358*(1-③기타_가정!$D$554)+③기타_가정!$R$359+③기타_가정!$R$360+③기타_가정!$R$361,0)</f>
        <v>0</v>
      </c>
      <c r="W90" s="37" t="n">
        <f aca="false">IF(W6=③기타_가정!$E$14,③기타_가정!$R$358*(1-③기타_가정!$D$554)+③기타_가정!$R$359+③기타_가정!$R$360+③기타_가정!$R$361,0)</f>
        <v>159077.236881995</v>
      </c>
      <c r="X90" s="37" t="n">
        <f aca="false">IF(X6=③기타_가정!$E$14,③기타_가정!$R$358*(1-③기타_가정!$D$554)+③기타_가정!$R$359+③기타_가정!$R$360+③기타_가정!$R$361,0)</f>
        <v>0</v>
      </c>
      <c r="Y90" s="37" t="n">
        <f aca="false">IF(Y6=③기타_가정!$E$14,③기타_가정!$R$358*(1-③기타_가정!$D$554)+③기타_가정!$R$359+③기타_가정!$R$360+③기타_가정!$R$361,0)</f>
        <v>0</v>
      </c>
      <c r="Z90" s="37" t="n">
        <f aca="false">IF(Z6=③기타_가정!$E$14,③기타_가정!$R$358*(1-③기타_가정!$D$554)+③기타_가정!$R$359+③기타_가정!$R$360+③기타_가정!$R$361,0)</f>
        <v>0</v>
      </c>
      <c r="AA90" s="37" t="n">
        <f aca="false">IF(AA6=③기타_가정!$E$14,③기타_가정!$R$358*(1-③기타_가정!$D$554)+③기타_가정!$R$359+③기타_가정!$R$360+③기타_가정!$R$361,0)</f>
        <v>0</v>
      </c>
      <c r="AB90" s="37" t="n">
        <f aca="false">IF(AB6=③기타_가정!$E$14,③기타_가정!$R$358*(1-③기타_가정!$D$554)+③기타_가정!$R$359+③기타_가정!$R$360+③기타_가정!$R$361,0)</f>
        <v>0</v>
      </c>
      <c r="AC90" s="37" t="n">
        <f aca="false">IF(AC6=③기타_가정!$E$14,③기타_가정!$R$358*(1-③기타_가정!$D$554)+③기타_가정!$R$359+③기타_가정!$R$360+③기타_가정!$R$361,0)</f>
        <v>0</v>
      </c>
      <c r="AD90" s="37" t="n">
        <f aca="false">IF(AD6=③기타_가정!$E$14,③기타_가정!$R$358*(1-③기타_가정!$D$554)+③기타_가정!$R$359+③기타_가정!$R$360+③기타_가정!$R$361,0)</f>
        <v>0</v>
      </c>
      <c r="AE90" s="37" t="n">
        <f aca="false">IF(AE6=③기타_가정!$E$14,③기타_가정!$R$358*(1-③기타_가정!$D$554)+③기타_가정!$R$359+③기타_가정!$R$360+③기타_가정!$R$361,0)</f>
        <v>0</v>
      </c>
      <c r="AF90" s="37" t="n">
        <f aca="false">IF(AF6=③기타_가정!$E$14,③기타_가정!$R$358*(1-③기타_가정!$D$554)+③기타_가정!$R$359+③기타_가정!$R$360+③기타_가정!$R$361,0)</f>
        <v>0</v>
      </c>
      <c r="AG90" s="37" t="n">
        <f aca="false">IF(AG6=③기타_가정!$E$14,③기타_가정!$R$358*(1-③기타_가정!$D$554)+③기타_가정!$R$359+③기타_가정!$R$360+③기타_가정!$R$361,0)</f>
        <v>0</v>
      </c>
      <c r="AH90" s="37" t="n">
        <f aca="false">IF(AH6=③기타_가정!$E$14,③기타_가정!$R$358*(1-③기타_가정!$D$554)+③기타_가정!$R$359+③기타_가정!$R$360+③기타_가정!$R$361,0)</f>
        <v>0</v>
      </c>
      <c r="AI90" s="37" t="n">
        <f aca="false">IF(AI6=③기타_가정!$E$14,③기타_가정!$R$358*(1-③기타_가정!$D$554)+③기타_가정!$R$359+③기타_가정!$R$360+③기타_가정!$R$361,0)</f>
        <v>0</v>
      </c>
      <c r="AJ90" s="37" t="n">
        <f aca="false">IF(AJ6=③기타_가정!$E$14,③기타_가정!$R$358*(1-③기타_가정!$D$554)+③기타_가정!$R$359+③기타_가정!$R$360+③기타_가정!$R$361,0)</f>
        <v>0</v>
      </c>
      <c r="AK90" s="37" t="n">
        <f aca="false">IF(AK6=③기타_가정!$E$14,③기타_가정!$R$358*(1-③기타_가정!$D$554)+③기타_가정!$R$359+③기타_가정!$R$360+③기타_가정!$R$361,0)</f>
        <v>0</v>
      </c>
      <c r="AL90" s="37" t="n">
        <f aca="false">IF(AL6=③기타_가정!$E$14,③기타_가정!$R$358*(1-③기타_가정!$D$554)+③기타_가정!$R$359+③기타_가정!$R$360+③기타_가정!$R$361,0)</f>
        <v>0</v>
      </c>
      <c r="AM90" s="37" t="n">
        <f aca="false">IF(AM6=③기타_가정!$E$14,③기타_가정!$R$358*(1-③기타_가정!$D$554)+③기타_가정!$R$359+③기타_가정!$R$360+③기타_가정!$R$361,0)</f>
        <v>0</v>
      </c>
      <c r="AN90" s="37" t="n">
        <f aca="false">IF(AN6=③기타_가정!$E$14,③기타_가정!$R$358*(1-③기타_가정!$D$554)+③기타_가정!$R$359+③기타_가정!$R$360+③기타_가정!$R$361,0)</f>
        <v>0</v>
      </c>
      <c r="AO90" s="37" t="n">
        <f aca="false">IF(AO6=③기타_가정!$E$14,③기타_가정!$R$358*(1-③기타_가정!$D$554)+③기타_가정!$R$359+③기타_가정!$R$360+③기타_가정!$R$361,0)</f>
        <v>0</v>
      </c>
      <c r="AP90" s="37" t="n">
        <f aca="false">IF(AP6=③기타_가정!$E$14,③기타_가정!$R$358*(1-③기타_가정!$D$554)+③기타_가정!$R$359+③기타_가정!$R$360+③기타_가정!$R$361,0)</f>
        <v>0</v>
      </c>
      <c r="AQ90" s="37" t="n">
        <f aca="false">IF(AQ6=③기타_가정!$E$14,③기타_가정!$R$358*(1-③기타_가정!$D$554)+③기타_가정!$R$359+③기타_가정!$R$360+③기타_가정!$R$361,0)</f>
        <v>0</v>
      </c>
      <c r="AR90" s="37" t="n">
        <f aca="false">IF(AR6=③기타_가정!$E$14,③기타_가정!$R$358*(1-③기타_가정!$D$554)+③기타_가정!$R$359+③기타_가정!$R$360+③기타_가정!$R$361,0)</f>
        <v>0</v>
      </c>
      <c r="AS90" s="37" t="n">
        <f aca="false">IF(AS6=③기타_가정!$E$14,③기타_가정!$R$358*(1-③기타_가정!$D$554)+③기타_가정!$R$359+③기타_가정!$R$360+③기타_가정!$R$361,0)</f>
        <v>0</v>
      </c>
      <c r="AT90" s="37" t="n">
        <f aca="false">IF(AT6=③기타_가정!$E$14,③기타_가정!$R$358*(1-③기타_가정!$D$554)+③기타_가정!$R$359+③기타_가정!$R$360+③기타_가정!$R$361,0)</f>
        <v>0</v>
      </c>
      <c r="AU90" s="37" t="n">
        <f aca="false">IF(AU6=③기타_가정!$E$14,③기타_가정!$R$358*(1-③기타_가정!$D$554)+③기타_가정!$R$359+③기타_가정!$R$360+③기타_가정!$R$361,0)</f>
        <v>0</v>
      </c>
      <c r="AV90" s="37" t="n">
        <f aca="false">IF(AV6=③기타_가정!$E$14,③기타_가정!$R$358*(1-③기타_가정!$D$554)+③기타_가정!$R$359+③기타_가정!$R$360+③기타_가정!$R$361,0)</f>
        <v>0</v>
      </c>
      <c r="AW90" s="37" t="n">
        <f aca="false">IF(AW6=③기타_가정!$E$14,③기타_가정!$R$358*(1-③기타_가정!$D$554)+③기타_가정!$R$359+③기타_가정!$R$360+③기타_가정!$R$361,0)</f>
        <v>0</v>
      </c>
      <c r="AX90" s="37" t="n">
        <f aca="false">IF(AX6=③기타_가정!$E$14,③기타_가정!$R$358*(1-③기타_가정!$D$554)+③기타_가정!$R$359+③기타_가정!$R$360+③기타_가정!$R$361,0)</f>
        <v>0</v>
      </c>
      <c r="AY90" s="37" t="n">
        <f aca="false">IF(AY6=③기타_가정!$E$14,③기타_가정!$R$358*(1-③기타_가정!$D$554)+③기타_가정!$R$359+③기타_가정!$R$360+③기타_가정!$R$361,0)</f>
        <v>0</v>
      </c>
      <c r="AZ90" s="37" t="n">
        <f aca="false">IF(AZ6=③기타_가정!$E$14,③기타_가정!$R$358*(1-③기타_가정!$D$554)+③기타_가정!$R$359+③기타_가정!$R$360+③기타_가정!$R$361,0)</f>
        <v>0</v>
      </c>
      <c r="BA90" s="37" t="n">
        <f aca="false">IF(BA6=③기타_가정!$E$14,③기타_가정!$R$358*(1-③기타_가정!$D$554)+③기타_가정!$R$359+③기타_가정!$R$360+③기타_가정!$R$361,0)</f>
        <v>0</v>
      </c>
      <c r="BB90" s="37" t="n">
        <f aca="false">IF(BB6=③기타_가정!$E$14,③기타_가정!$R$358*(1-③기타_가정!$D$554)+③기타_가정!$R$359+③기타_가정!$R$360+③기타_가정!$R$361,0)</f>
        <v>0</v>
      </c>
      <c r="BC90" s="37" t="n">
        <f aca="false">IF(BC6=③기타_가정!$E$14,③기타_가정!$R$358*(1-③기타_가정!$D$554)+③기타_가정!$R$359+③기타_가정!$R$360+③기타_가정!$R$361,0)</f>
        <v>0</v>
      </c>
      <c r="BD90" s="37" t="n">
        <f aca="false">IF(BD6=③기타_가정!$E$14,③기타_가정!$R$358*(1-③기타_가정!$D$554)+③기타_가정!$R$359+③기타_가정!$R$360+③기타_가정!$R$361,0)</f>
        <v>0</v>
      </c>
      <c r="BE90" s="37" t="n">
        <f aca="false">IF(BE6=③기타_가정!$E$14,③기타_가정!$R$358*(1-③기타_가정!$D$554)+③기타_가정!$R$359+③기타_가정!$R$360+③기타_가정!$R$361,0)</f>
        <v>0</v>
      </c>
      <c r="BF90" s="37" t="n">
        <f aca="false">IF(BF6=③기타_가정!$E$14,③기타_가정!$R$358*(1-③기타_가정!$D$554)+③기타_가정!$R$359+③기타_가정!$R$360+③기타_가정!$R$361,0)</f>
        <v>0</v>
      </c>
      <c r="BG90" s="37" t="n">
        <f aca="false">IF(BG6=③기타_가정!$E$14,③기타_가정!$R$358*(1-③기타_가정!$D$554)+③기타_가정!$R$359+③기타_가정!$R$360+③기타_가정!$R$361,0)</f>
        <v>0</v>
      </c>
      <c r="BH90" s="37" t="n">
        <f aca="false">IF(BH6=③기타_가정!$E$14,③기타_가정!$R$358*(1-③기타_가정!$D$554)+③기타_가정!$R$359+③기타_가정!$R$360+③기타_가정!$R$361,0)</f>
        <v>0</v>
      </c>
      <c r="BI90" s="37" t="n">
        <f aca="false">IF(BI6=③기타_가정!$E$14,③기타_가정!$R$358*(1-③기타_가정!$D$554)+③기타_가정!$R$359+③기타_가정!$R$360+③기타_가정!$R$361,0)</f>
        <v>0</v>
      </c>
      <c r="BJ90" s="37" t="n">
        <f aca="false">IF(BJ6=③기타_가정!$E$14,③기타_가정!$R$358*(1-③기타_가정!$D$554)+③기타_가정!$R$359+③기타_가정!$R$360+③기타_가정!$R$361,0)</f>
        <v>0</v>
      </c>
      <c r="BK90" s="37" t="n">
        <f aca="false">IF(BK6=③기타_가정!$E$14,③기타_가정!$R$358*(1-③기타_가정!$D$554)+③기타_가정!$R$359+③기타_가정!$R$360+③기타_가정!$R$361,0)</f>
        <v>0</v>
      </c>
      <c r="BL90" s="37" t="n">
        <f aca="false">IF(BL6=③기타_가정!$E$14,③기타_가정!$R$358*(1-③기타_가정!$D$554)+③기타_가정!$R$359+③기타_가정!$R$360+③기타_가정!$R$361,0)</f>
        <v>0</v>
      </c>
      <c r="BM90" s="37" t="n">
        <f aca="false">IF(BM6=③기타_가정!$E$14,③기타_가정!$R$358*(1-③기타_가정!$D$554)+③기타_가정!$R$359+③기타_가정!$R$360+③기타_가정!$R$361,0)</f>
        <v>0</v>
      </c>
      <c r="BN90" s="37" t="n">
        <f aca="false">IF(BN6=③기타_가정!$E$14,③기타_가정!$R$358*(1-③기타_가정!$D$554)+③기타_가정!$R$359+③기타_가정!$R$360+③기타_가정!$R$361,0)</f>
        <v>0</v>
      </c>
      <c r="BO90" s="37" t="n">
        <f aca="false">IF(BO6=③기타_가정!$E$14,③기타_가정!$R$358*(1-③기타_가정!$D$554)+③기타_가정!$R$359+③기타_가정!$R$360+③기타_가정!$R$361,0)</f>
        <v>0</v>
      </c>
      <c r="BP90" s="37" t="n">
        <f aca="false">IF(BP6=③기타_가정!$E$14,③기타_가정!$R$358*(1-③기타_가정!$D$554)+③기타_가정!$R$359+③기타_가정!$R$360+③기타_가정!$R$361,0)</f>
        <v>0</v>
      </c>
      <c r="BQ90" s="37" t="n">
        <f aca="false">IF(BQ6=③기타_가정!$E$14,③기타_가정!$R$358*(1-③기타_가정!$D$554)+③기타_가정!$R$359+③기타_가정!$R$360+③기타_가정!$R$361,0)</f>
        <v>0</v>
      </c>
      <c r="BR90" s="37" t="n">
        <f aca="false">IF(BR6=③기타_가정!$E$14,③기타_가정!$R$358*(1-③기타_가정!$D$554)+③기타_가정!$R$359+③기타_가정!$R$360+③기타_가정!$R$361,0)</f>
        <v>0</v>
      </c>
      <c r="BS90" s="37" t="n">
        <f aca="false">IF(BS6=③기타_가정!$E$14,③기타_가정!$R$358*(1-③기타_가정!$D$554)+③기타_가정!$R$359+③기타_가정!$R$360+③기타_가정!$R$361,0)</f>
        <v>0</v>
      </c>
      <c r="BT90" s="37" t="n">
        <f aca="false">IF(BT6=③기타_가정!$E$14,③기타_가정!$R$358*(1-③기타_가정!$D$554)+③기타_가정!$R$359+③기타_가정!$R$360+③기타_가정!$R$361,0)</f>
        <v>0</v>
      </c>
      <c r="BU90" s="37" t="n">
        <f aca="false">IF(BU6=③기타_가정!$E$14,③기타_가정!$R$358*(1-③기타_가정!$D$554)+③기타_가정!$R$359+③기타_가정!$R$360+③기타_가정!$R$361,0)</f>
        <v>0</v>
      </c>
      <c r="BV90" s="37" t="n">
        <f aca="false">IF(BV6=③기타_가정!$E$14,③기타_가정!$R$358*(1-③기타_가정!$D$554)+③기타_가정!$R$359+③기타_가정!$R$360+③기타_가정!$R$361,0)</f>
        <v>0</v>
      </c>
      <c r="BW90" s="37" t="n">
        <f aca="false">IF(BW6=③기타_가정!$E$14,③기타_가정!$R$358*(1-③기타_가정!$D$554)+③기타_가정!$R$359+③기타_가정!$R$360+③기타_가정!$R$361,0)</f>
        <v>0</v>
      </c>
      <c r="BX90" s="37" t="n">
        <f aca="false">IF(BX6=③기타_가정!$E$14,③기타_가정!$R$358*(1-③기타_가정!$D$554)+③기타_가정!$R$359+③기타_가정!$R$360+③기타_가정!$R$361,0)</f>
        <v>0</v>
      </c>
      <c r="BY90" s="37" t="n">
        <f aca="false">IF(BY6=③기타_가정!$E$14,③기타_가정!$R$358*(1-③기타_가정!$D$554)+③기타_가정!$R$359+③기타_가정!$R$360+③기타_가정!$R$361,0)</f>
        <v>0</v>
      </c>
      <c r="BZ90" s="37" t="n">
        <f aca="false">IF(BZ6=③기타_가정!$E$14,③기타_가정!$R$358*(1-③기타_가정!$D$554)+③기타_가정!$R$359+③기타_가정!$R$360+③기타_가정!$R$361,0)</f>
        <v>0</v>
      </c>
      <c r="CA90" s="37" t="n">
        <f aca="false">IF(CA6=③기타_가정!$E$14,③기타_가정!$R$358*(1-③기타_가정!$D$554)+③기타_가정!$R$359+③기타_가정!$R$360+③기타_가정!$R$361,0)</f>
        <v>0</v>
      </c>
      <c r="CB90" s="37" t="n">
        <f aca="false">IF(CB6=③기타_가정!$E$14,③기타_가정!$R$358*(1-③기타_가정!$D$554)+③기타_가정!$R$359+③기타_가정!$R$360+③기타_가정!$R$361,0)</f>
        <v>0</v>
      </c>
      <c r="CC90" s="37" t="n">
        <f aca="false">IF(CC6=③기타_가정!$E$14,③기타_가정!$R$358*(1-③기타_가정!$D$554)+③기타_가정!$R$359+③기타_가정!$R$360+③기타_가정!$R$361,0)</f>
        <v>0</v>
      </c>
      <c r="CD90" s="37" t="n">
        <f aca="false">IF(CD6=③기타_가정!$E$14,③기타_가정!$R$358*(1-③기타_가정!$D$554)+③기타_가정!$R$359+③기타_가정!$R$360+③기타_가정!$R$361,0)</f>
        <v>0</v>
      </c>
      <c r="CE90" s="37" t="n">
        <f aca="false">IF(CE6=③기타_가정!$E$14,③기타_가정!$R$358*(1-③기타_가정!$D$554)+③기타_가정!$R$359+③기타_가정!$R$360+③기타_가정!$R$361,0)</f>
        <v>0</v>
      </c>
      <c r="CF90" s="37" t="n">
        <f aca="false">IF(CF6=③기타_가정!$E$14,③기타_가정!$R$358*(1-③기타_가정!$D$554)+③기타_가정!$R$359+③기타_가정!$R$360+③기타_가정!$R$361,0)</f>
        <v>0</v>
      </c>
      <c r="CG90" s="37" t="n">
        <f aca="false">IF(CG6=③기타_가정!$E$14,③기타_가정!$R$358*(1-③기타_가정!$D$554)+③기타_가정!$R$359+③기타_가정!$R$360+③기타_가정!$R$361,0)</f>
        <v>0</v>
      </c>
      <c r="CH90" s="37" t="n">
        <f aca="false">IF(CH6=③기타_가정!$E$14,③기타_가정!$R$358*(1-③기타_가정!$D$554)+③기타_가정!$R$359+③기타_가정!$R$360+③기타_가정!$R$361,0)</f>
        <v>0</v>
      </c>
      <c r="CI90" s="37" t="n">
        <f aca="false">IF(CI6=③기타_가정!$E$14,③기타_가정!$R$358*(1-③기타_가정!$D$554)+③기타_가정!$R$359+③기타_가정!$R$360+③기타_가정!$R$361,0)</f>
        <v>0</v>
      </c>
      <c r="CJ90" s="37" t="n">
        <f aca="false">IF(CJ6=③기타_가정!$E$14,③기타_가정!$R$358*(1-③기타_가정!$D$554)+③기타_가정!$R$359+③기타_가정!$R$360+③기타_가정!$R$361,0)</f>
        <v>0</v>
      </c>
      <c r="CK90" s="37" t="n">
        <f aca="false">IF(CK6=③기타_가정!$E$14,③기타_가정!$R$358*(1-③기타_가정!$D$554)+③기타_가정!$R$359+③기타_가정!$R$360+③기타_가정!$R$361,0)</f>
        <v>0</v>
      </c>
      <c r="CL90" s="37" t="n">
        <f aca="false">IF(CL6=③기타_가정!$E$14,③기타_가정!$R$358*(1-③기타_가정!$D$554)+③기타_가정!$R$359+③기타_가정!$R$360+③기타_가정!$R$361,0)</f>
        <v>0</v>
      </c>
      <c r="CM90" s="37" t="n">
        <f aca="false">IF(CM6=③기타_가정!$E$14,③기타_가정!$R$358*(1-③기타_가정!$D$554)+③기타_가정!$R$359+③기타_가정!$R$360+③기타_가정!$R$361,0)</f>
        <v>0</v>
      </c>
      <c r="CN90" s="37" t="n">
        <f aca="false">IF(CN6=③기타_가정!$E$14,③기타_가정!$R$358*(1-③기타_가정!$D$554)+③기타_가정!$R$359+③기타_가정!$R$360+③기타_가정!$R$361,0)</f>
        <v>0</v>
      </c>
      <c r="CO90" s="37" t="n">
        <f aca="false">IF(CO6=③기타_가정!$E$14,③기타_가정!$R$358*(1-③기타_가정!$D$554)+③기타_가정!$R$359+③기타_가정!$R$360+③기타_가정!$R$361,0)</f>
        <v>0</v>
      </c>
      <c r="CP90" s="37" t="n">
        <f aca="false">IF(CP6=③기타_가정!$E$14,③기타_가정!$R$358*(1-③기타_가정!$D$554)+③기타_가정!$R$359+③기타_가정!$R$360+③기타_가정!$R$361,0)</f>
        <v>0</v>
      </c>
      <c r="CQ90" s="37" t="n">
        <f aca="false">IF(CQ6=③기타_가정!$E$14,③기타_가정!$R$358*(1-③기타_가정!$D$554)+③기타_가정!$R$359+③기타_가정!$R$360+③기타_가정!$R$361,0)</f>
        <v>0</v>
      </c>
      <c r="CR90" s="37" t="n">
        <f aca="false">IF(CR6=③기타_가정!$E$14,③기타_가정!$R$358*(1-③기타_가정!$D$554)+③기타_가정!$R$359+③기타_가정!$R$360+③기타_가정!$R$361,0)</f>
        <v>0</v>
      </c>
      <c r="CS90" s="37" t="n">
        <f aca="false">IF(CS6=③기타_가정!$E$14,③기타_가정!$R$358*(1-③기타_가정!$D$554)+③기타_가정!$R$359+③기타_가정!$R$360+③기타_가정!$R$361,0)</f>
        <v>0</v>
      </c>
      <c r="CT90" s="37" t="n">
        <f aca="false">IF(CT6=③기타_가정!$E$14,③기타_가정!$R$358*(1-③기타_가정!$D$554)+③기타_가정!$R$359+③기타_가정!$R$360+③기타_가정!$R$361,0)</f>
        <v>0</v>
      </c>
      <c r="CU90" s="37" t="n">
        <f aca="false">IF(CU6=③기타_가정!$E$14,③기타_가정!$R$358*(1-③기타_가정!$D$554)+③기타_가정!$R$359+③기타_가정!$R$360+③기타_가정!$R$361,0)</f>
        <v>0</v>
      </c>
      <c r="CV90" s="37" t="n">
        <f aca="false">IF(CV6=③기타_가정!$E$14,③기타_가정!$R$358*(1-③기타_가정!$D$554)+③기타_가정!$R$359+③기타_가정!$R$360+③기타_가정!$R$361,0)</f>
        <v>0</v>
      </c>
      <c r="CW90" s="37" t="n">
        <f aca="false">IF(CW6=③기타_가정!$E$14,③기타_가정!$R$358*(1-③기타_가정!$D$554)+③기타_가정!$R$359+③기타_가정!$R$360+③기타_가정!$R$361,0)</f>
        <v>0</v>
      </c>
      <c r="CX90" s="37" t="n">
        <f aca="false">IF(CX6=③기타_가정!$E$14,③기타_가정!$R$358*(1-③기타_가정!$D$554)+③기타_가정!$R$359+③기타_가정!$R$360+③기타_가정!$R$361,0)</f>
        <v>0</v>
      </c>
      <c r="CY90" s="37" t="n">
        <f aca="false">IF(CY6=③기타_가정!$E$14,③기타_가정!$R$358*(1-③기타_가정!$D$554)+③기타_가정!$R$359+③기타_가정!$R$360+③기타_가정!$R$361,0)</f>
        <v>0</v>
      </c>
      <c r="CZ90" s="37" t="n">
        <f aca="false">IF(CZ6=③기타_가정!$E$14,③기타_가정!$R$358*(1-③기타_가정!$D$554)+③기타_가정!$R$359+③기타_가정!$R$360+③기타_가정!$R$361,0)</f>
        <v>0</v>
      </c>
      <c r="DA90" s="37" t="n">
        <f aca="false">IF(DA6=③기타_가정!$E$14,③기타_가정!$R$358*(1-③기타_가정!$D$554)+③기타_가정!$R$359+③기타_가정!$R$360+③기타_가정!$R$361,0)</f>
        <v>0</v>
      </c>
      <c r="DB90" s="37" t="n">
        <f aca="false">IF(DB6=③기타_가정!$E$14,③기타_가정!$R$358*(1-③기타_가정!$D$554)+③기타_가정!$R$359+③기타_가정!$R$360+③기타_가정!$R$361,0)</f>
        <v>0</v>
      </c>
      <c r="DC90" s="37" t="n">
        <f aca="false">IF(DC6=③기타_가정!$E$14,③기타_가정!$R$358*(1-③기타_가정!$D$554)+③기타_가정!$R$359+③기타_가정!$R$360+③기타_가정!$R$361,0)</f>
        <v>0</v>
      </c>
      <c r="DD90" s="37" t="n">
        <f aca="false">IF(DD6=③기타_가정!$E$14,③기타_가정!$R$358*(1-③기타_가정!$D$554)+③기타_가정!$R$359+③기타_가정!$R$360+③기타_가정!$R$361,0)</f>
        <v>0</v>
      </c>
      <c r="DE90" s="37" t="n">
        <f aca="false">IF(DE6=③기타_가정!$E$14,③기타_가정!$R$358*(1-③기타_가정!$D$554)+③기타_가정!$R$359+③기타_가정!$R$360+③기타_가정!$R$361,0)</f>
        <v>0</v>
      </c>
      <c r="DF90" s="37" t="n">
        <f aca="false">IF(DF6=③기타_가정!$E$14,③기타_가정!$R$358*(1-③기타_가정!$D$554)+③기타_가정!$R$359+③기타_가정!$R$360+③기타_가정!$R$361,0)</f>
        <v>0</v>
      </c>
      <c r="DG90" s="37" t="n">
        <f aca="false">IF(DG6=③기타_가정!$E$14,③기타_가정!$R$358*(1-③기타_가정!$D$554)+③기타_가정!$R$359+③기타_가정!$R$360+③기타_가정!$R$361,0)</f>
        <v>0</v>
      </c>
      <c r="DH90" s="37" t="n">
        <f aca="false">IF(DH6=③기타_가정!$E$14,③기타_가정!$R$358*(1-③기타_가정!$D$554)+③기타_가정!$R$359+③기타_가정!$R$360+③기타_가정!$R$361,0)</f>
        <v>0</v>
      </c>
      <c r="DI90" s="37" t="n">
        <f aca="false">IF(DI6=③기타_가정!$E$14,③기타_가정!$R$358*(1-③기타_가정!$D$554)+③기타_가정!$R$359+③기타_가정!$R$360+③기타_가정!$R$361,0)</f>
        <v>0</v>
      </c>
      <c r="DJ90" s="37" t="n">
        <f aca="false">IF(DJ6=③기타_가정!$E$14,③기타_가정!$R$358*(1-③기타_가정!$D$554)+③기타_가정!$R$359+③기타_가정!$R$360+③기타_가정!$R$361,0)</f>
        <v>0</v>
      </c>
      <c r="DK90" s="37" t="n">
        <f aca="false">IF(DK6=③기타_가정!$E$14,③기타_가정!$R$358*(1-③기타_가정!$D$554)+③기타_가정!$R$359+③기타_가정!$R$360+③기타_가정!$R$361,0)</f>
        <v>0</v>
      </c>
      <c r="DL90" s="37" t="n">
        <f aca="false">IF(DL6=③기타_가정!$E$14,③기타_가정!$R$358*(1-③기타_가정!$D$554)+③기타_가정!$R$359+③기타_가정!$R$360+③기타_가정!$R$361,0)</f>
        <v>0</v>
      </c>
      <c r="DM90" s="37" t="n">
        <f aca="false">IF(DM6=③기타_가정!$E$14,③기타_가정!$R$358*(1-③기타_가정!$D$554)+③기타_가정!$R$359+③기타_가정!$R$360+③기타_가정!$R$361,0)</f>
        <v>0</v>
      </c>
      <c r="DN90" s="37" t="n">
        <f aca="false">IF(DN6=③기타_가정!$E$14,③기타_가정!$R$358*(1-③기타_가정!$D$554)+③기타_가정!$R$359+③기타_가정!$R$360+③기타_가정!$R$361,0)</f>
        <v>0</v>
      </c>
      <c r="DO90" s="37" t="n">
        <f aca="false">IF(DO6=③기타_가정!$E$14,③기타_가정!$R$358*(1-③기타_가정!$D$554)+③기타_가정!$R$359+③기타_가정!$R$360+③기타_가정!$R$361,0)</f>
        <v>0</v>
      </c>
      <c r="DP90" s="37" t="n">
        <f aca="false">IF(DP6=③기타_가정!$E$14,③기타_가정!$R$358*(1-③기타_가정!$D$554)+③기타_가정!$R$359+③기타_가정!$R$360+③기타_가정!$R$361,0)</f>
        <v>0</v>
      </c>
      <c r="DQ90" s="37" t="n">
        <f aca="false">IF(DQ6=③기타_가정!$E$14,③기타_가정!$R$358*(1-③기타_가정!$D$554)+③기타_가정!$R$359+③기타_가정!$R$360+③기타_가정!$R$361,0)</f>
        <v>0</v>
      </c>
      <c r="DR90" s="37" t="n">
        <f aca="false">IF(DR6=③기타_가정!$E$14,③기타_가정!$R$358*(1-③기타_가정!$D$554)+③기타_가정!$R$359+③기타_가정!$R$360+③기타_가정!$R$361,0)</f>
        <v>0</v>
      </c>
      <c r="DS90" s="37" t="n">
        <f aca="false">IF(DS6=③기타_가정!$E$14,③기타_가정!$R$358*(1-③기타_가정!$D$554)+③기타_가정!$R$359+③기타_가정!$R$360+③기타_가정!$R$361,0)</f>
        <v>0</v>
      </c>
      <c r="DT90" s="37" t="n">
        <f aca="false">IF(DT6=③기타_가정!$E$14,③기타_가정!$R$358*(1-③기타_가정!$D$554)+③기타_가정!$R$359+③기타_가정!$R$360+③기타_가정!$R$361,0)</f>
        <v>0</v>
      </c>
      <c r="DU90" s="37" t="n">
        <f aca="false">IF(DU6=③기타_가정!$E$14,③기타_가정!$R$358*(1-③기타_가정!$D$554)+③기타_가정!$R$359+③기타_가정!$R$360+③기타_가정!$R$361,0)</f>
        <v>0</v>
      </c>
      <c r="DV90" s="37" t="n">
        <f aca="false">IF(DV6=③기타_가정!$E$14,③기타_가정!$R$358*(1-③기타_가정!$D$554)+③기타_가정!$R$359+③기타_가정!$R$360+③기타_가정!$R$361,0)</f>
        <v>0</v>
      </c>
      <c r="DW90" s="37" t="n">
        <f aca="false">IF(DW6=③기타_가정!$E$14,③기타_가정!$R$358*(1-③기타_가정!$D$554)+③기타_가정!$R$359+③기타_가정!$R$360+③기타_가정!$R$361,0)</f>
        <v>0</v>
      </c>
      <c r="DX90" s="37" t="n">
        <f aca="false">IF(DX6=③기타_가정!$E$14,③기타_가정!$R$358*(1-③기타_가정!$D$554)+③기타_가정!$R$359+③기타_가정!$R$360+③기타_가정!$R$361,0)</f>
        <v>0</v>
      </c>
      <c r="DY90" s="37" t="n">
        <f aca="false">IF(DY6=③기타_가정!$E$14,③기타_가정!$R$358*(1-③기타_가정!$D$554)+③기타_가정!$R$359+③기타_가정!$R$360+③기타_가정!$R$361,0)</f>
        <v>0</v>
      </c>
      <c r="DZ90" s="37" t="n">
        <f aca="false">IF(DZ6=③기타_가정!$E$14,③기타_가정!$R$358*(1-③기타_가정!$D$554)+③기타_가정!$R$359+③기타_가정!$R$360+③기타_가정!$R$361,0)</f>
        <v>0</v>
      </c>
      <c r="EA90" s="37" t="n">
        <f aca="false">IF(EA6=③기타_가정!$E$14,③기타_가정!$R$358*(1-③기타_가정!$D$554)+③기타_가정!$R$359+③기타_가정!$R$360+③기타_가정!$R$361,0)</f>
        <v>0</v>
      </c>
      <c r="EB90" s="37" t="n">
        <f aca="false">IF(EB6=③기타_가정!$E$14,③기타_가정!$R$358*(1-③기타_가정!$D$554)+③기타_가정!$R$359+③기타_가정!$R$360+③기타_가정!$R$361,0)</f>
        <v>0</v>
      </c>
      <c r="EC90" s="37" t="n">
        <f aca="false">IF(EC6=③기타_가정!$E$14,③기타_가정!$R$358*(1-③기타_가정!$D$554)+③기타_가정!$R$359+③기타_가정!$R$360+③기타_가정!$R$361,0)</f>
        <v>0</v>
      </c>
      <c r="ED90" s="37" t="n">
        <f aca="false">IF(ED6=③기타_가정!$E$14,③기타_가정!$R$358*(1-③기타_가정!$D$554)+③기타_가정!$R$359+③기타_가정!$R$360+③기타_가정!$R$361,0)</f>
        <v>0</v>
      </c>
      <c r="EE90" s="37" t="n">
        <f aca="false">IF(EE6=③기타_가정!$E$14,③기타_가정!$R$358*(1-③기타_가정!$D$554)+③기타_가정!$R$359+③기타_가정!$R$360+③기타_가정!$R$361,0)</f>
        <v>0</v>
      </c>
      <c r="EF90" s="37" t="n">
        <f aca="false">IF(EF6=③기타_가정!$E$14,③기타_가정!$R$358*(1-③기타_가정!$D$554)+③기타_가정!$R$359+③기타_가정!$R$360+③기타_가정!$R$361,0)</f>
        <v>0</v>
      </c>
    </row>
    <row r="91" customFormat="false" ht="15" hidden="false" customHeight="false" outlineLevel="0" collapsed="false">
      <c r="A91" s="36" t="s">
        <v>632</v>
      </c>
      <c r="B91" s="278" t="s">
        <v>21</v>
      </c>
      <c r="C91" s="279" t="n">
        <f aca="false">SUM(E91:EF91)</f>
        <v>3826.70887926866</v>
      </c>
      <c r="E91" s="37" t="n">
        <f aca="false">E11*③기타_가정!$R$362/③기타_가정!$E$15</f>
        <v>0</v>
      </c>
      <c r="F91" s="37" t="n">
        <f aca="false">F11*③기타_가정!$R$362/③기타_가정!$E$15</f>
        <v>0</v>
      </c>
      <c r="G91" s="37" t="n">
        <f aca="false">G11*③기타_가정!$R$362/③기타_가정!$E$15</f>
        <v>0</v>
      </c>
      <c r="H91" s="37" t="n">
        <f aca="false">H11*③기타_가정!$R$362/③기타_가정!$E$15</f>
        <v>0</v>
      </c>
      <c r="I91" s="37" t="n">
        <f aca="false">I11*③기타_가정!$R$362/③기타_가정!$E$15</f>
        <v>0</v>
      </c>
      <c r="J91" s="37" t="n">
        <f aca="false">J11*③기타_가정!$R$362/③기타_가정!$E$15</f>
        <v>0</v>
      </c>
      <c r="K91" s="37" t="n">
        <f aca="false">K11*③기타_가정!$R$362/③기타_가정!$E$15</f>
        <v>0</v>
      </c>
      <c r="L91" s="37" t="n">
        <f aca="false">L11*③기타_가정!$R$362/③기타_가정!$E$15</f>
        <v>0</v>
      </c>
      <c r="M91" s="37" t="n">
        <f aca="false">M11*③기타_가정!$R$362/③기타_가정!$E$15</f>
        <v>0</v>
      </c>
      <c r="N91" s="37" t="n">
        <f aca="false">N11*③기타_가정!$R$362/③기타_가정!$E$15</f>
        <v>0</v>
      </c>
      <c r="O91" s="37" t="n">
        <f aca="false">O11*③기타_가정!$R$362/③기타_가정!$E$15</f>
        <v>0</v>
      </c>
      <c r="P91" s="37" t="n">
        <f aca="false">P11*③기타_가정!$R$362/③기타_가정!$E$15</f>
        <v>0</v>
      </c>
      <c r="Q91" s="37" t="n">
        <f aca="false">Q11*③기타_가정!$R$362/③기타_가정!$E$15</f>
        <v>0</v>
      </c>
      <c r="R91" s="37" t="n">
        <f aca="false">R11*③기타_가정!$R$362/③기타_가정!$E$15</f>
        <v>0</v>
      </c>
      <c r="S91" s="37" t="n">
        <f aca="false">S11*③기타_가정!$R$362/③기타_가정!$E$15</f>
        <v>0</v>
      </c>
      <c r="T91" s="37" t="n">
        <f aca="false">T11*③기타_가정!$R$362/③기타_가정!$E$15</f>
        <v>0</v>
      </c>
      <c r="U91" s="37" t="n">
        <f aca="false">U11*③기타_가정!$R$362/③기타_가정!$E$15</f>
        <v>0</v>
      </c>
      <c r="V91" s="37" t="n">
        <f aca="false">V11*③기타_가정!$R$362/③기타_가정!$E$15</f>
        <v>0</v>
      </c>
      <c r="W91" s="37" t="n">
        <f aca="false">W11*③기타_가정!$R$362/③기타_가정!$E$15</f>
        <v>91.1121161730634</v>
      </c>
      <c r="X91" s="37" t="n">
        <f aca="false">X11*③기타_가정!$R$362/③기타_가정!$E$15</f>
        <v>91.1121161730634</v>
      </c>
      <c r="Y91" s="37" t="n">
        <f aca="false">Y11*③기타_가정!$R$362/③기타_가정!$E$15</f>
        <v>91.1121161730634</v>
      </c>
      <c r="Z91" s="37" t="n">
        <f aca="false">Z11*③기타_가정!$R$362/③기타_가정!$E$15</f>
        <v>91.1121161730634</v>
      </c>
      <c r="AA91" s="37" t="n">
        <f aca="false">AA11*③기타_가정!$R$362/③기타_가정!$E$15</f>
        <v>91.1121161730634</v>
      </c>
      <c r="AB91" s="37" t="n">
        <f aca="false">AB11*③기타_가정!$R$362/③기타_가정!$E$15</f>
        <v>91.1121161730634</v>
      </c>
      <c r="AC91" s="37" t="n">
        <f aca="false">AC11*③기타_가정!$R$362/③기타_가정!$E$15</f>
        <v>91.1121161730634</v>
      </c>
      <c r="AD91" s="37" t="n">
        <f aca="false">AD11*③기타_가정!$R$362/③기타_가정!$E$15</f>
        <v>91.1121161730634</v>
      </c>
      <c r="AE91" s="37" t="n">
        <f aca="false">AE11*③기타_가정!$R$362/③기타_가정!$E$15</f>
        <v>91.1121161730634</v>
      </c>
      <c r="AF91" s="37" t="n">
        <f aca="false">AF11*③기타_가정!$R$362/③기타_가정!$E$15</f>
        <v>91.1121161730634</v>
      </c>
      <c r="AG91" s="37" t="n">
        <f aca="false">AG11*③기타_가정!$R$362/③기타_가정!$E$15</f>
        <v>91.1121161730634</v>
      </c>
      <c r="AH91" s="37" t="n">
        <f aca="false">AH11*③기타_가정!$R$362/③기타_가정!$E$15</f>
        <v>91.1121161730634</v>
      </c>
      <c r="AI91" s="37" t="n">
        <f aca="false">AI11*③기타_가정!$R$362/③기타_가정!$E$15</f>
        <v>91.1121161730634</v>
      </c>
      <c r="AJ91" s="37" t="n">
        <f aca="false">AJ11*③기타_가정!$R$362/③기타_가정!$E$15</f>
        <v>91.1121161730634</v>
      </c>
      <c r="AK91" s="37" t="n">
        <f aca="false">AK11*③기타_가정!$R$362/③기타_가정!$E$15</f>
        <v>91.1121161730634</v>
      </c>
      <c r="AL91" s="37" t="n">
        <f aca="false">AL11*③기타_가정!$R$362/③기타_가정!$E$15</f>
        <v>91.1121161730634</v>
      </c>
      <c r="AM91" s="37" t="n">
        <f aca="false">AM11*③기타_가정!$R$362/③기타_가정!$E$15</f>
        <v>91.1121161730634</v>
      </c>
      <c r="AN91" s="37" t="n">
        <f aca="false">AN11*③기타_가정!$R$362/③기타_가정!$E$15</f>
        <v>91.1121161730634</v>
      </c>
      <c r="AO91" s="37" t="n">
        <f aca="false">AO11*③기타_가정!$R$362/③기타_가정!$E$15</f>
        <v>91.1121161730634</v>
      </c>
      <c r="AP91" s="37" t="n">
        <f aca="false">AP11*③기타_가정!$R$362/③기타_가정!$E$15</f>
        <v>91.1121161730634</v>
      </c>
      <c r="AQ91" s="37" t="n">
        <f aca="false">AQ11*③기타_가정!$R$362/③기타_가정!$E$15</f>
        <v>91.1121161730634</v>
      </c>
      <c r="AR91" s="37" t="n">
        <f aca="false">AR11*③기타_가정!$R$362/③기타_가정!$E$15</f>
        <v>91.1121161730634</v>
      </c>
      <c r="AS91" s="37" t="n">
        <f aca="false">AS11*③기타_가정!$R$362/③기타_가정!$E$15</f>
        <v>91.1121161730634</v>
      </c>
      <c r="AT91" s="37" t="n">
        <f aca="false">AT11*③기타_가정!$R$362/③기타_가정!$E$15</f>
        <v>91.1121161730634</v>
      </c>
      <c r="AU91" s="37" t="n">
        <f aca="false">AU11*③기타_가정!$R$362/③기타_가정!$E$15</f>
        <v>91.1121161730634</v>
      </c>
      <c r="AV91" s="37" t="n">
        <f aca="false">AV11*③기타_가정!$R$362/③기타_가정!$E$15</f>
        <v>91.1121161730634</v>
      </c>
      <c r="AW91" s="37" t="n">
        <f aca="false">AW11*③기타_가정!$R$362/③기타_가정!$E$15</f>
        <v>91.1121161730634</v>
      </c>
      <c r="AX91" s="37" t="n">
        <f aca="false">AX11*③기타_가정!$R$362/③기타_가정!$E$15</f>
        <v>91.1121161730634</v>
      </c>
      <c r="AY91" s="37" t="n">
        <f aca="false">AY11*③기타_가정!$R$362/③기타_가정!$E$15</f>
        <v>91.1121161730634</v>
      </c>
      <c r="AZ91" s="37" t="n">
        <f aca="false">AZ11*③기타_가정!$R$362/③기타_가정!$E$15</f>
        <v>91.1121161730634</v>
      </c>
      <c r="BA91" s="37" t="n">
        <f aca="false">BA11*③기타_가정!$R$362/③기타_가정!$E$15</f>
        <v>91.1121161730634</v>
      </c>
      <c r="BB91" s="37" t="n">
        <f aca="false">BB11*③기타_가정!$R$362/③기타_가정!$E$15</f>
        <v>91.1121161730634</v>
      </c>
      <c r="BC91" s="37" t="n">
        <f aca="false">BC11*③기타_가정!$R$362/③기타_가정!$E$15</f>
        <v>91.1121161730634</v>
      </c>
      <c r="BD91" s="37" t="n">
        <f aca="false">BD11*③기타_가정!$R$362/③기타_가정!$E$15</f>
        <v>91.1121161730634</v>
      </c>
      <c r="BE91" s="37" t="n">
        <f aca="false">BE11*③기타_가정!$R$362/③기타_가정!$E$15</f>
        <v>91.1121161730634</v>
      </c>
      <c r="BF91" s="37" t="n">
        <f aca="false">BF11*③기타_가정!$R$362/③기타_가정!$E$15</f>
        <v>91.1121161730634</v>
      </c>
      <c r="BG91" s="37" t="n">
        <f aca="false">BG11*③기타_가정!$R$362/③기타_가정!$E$15</f>
        <v>91.1121161730634</v>
      </c>
      <c r="BH91" s="37" t="n">
        <f aca="false">BH11*③기타_가정!$R$362/③기타_가정!$E$15</f>
        <v>91.1121161730634</v>
      </c>
      <c r="BI91" s="37" t="n">
        <f aca="false">BI11*③기타_가정!$R$362/③기타_가정!$E$15</f>
        <v>91.1121161730634</v>
      </c>
      <c r="BJ91" s="37" t="n">
        <f aca="false">BJ11*③기타_가정!$R$362/③기타_가정!$E$15</f>
        <v>91.1121161730634</v>
      </c>
      <c r="BK91" s="37" t="n">
        <f aca="false">BK11*③기타_가정!$R$362/③기타_가정!$E$15</f>
        <v>91.1121161730634</v>
      </c>
      <c r="BL91" s="37" t="n">
        <f aca="false">BL11*③기타_가정!$R$362/③기타_가정!$E$15</f>
        <v>91.1121161730634</v>
      </c>
      <c r="BM91" s="37" t="n">
        <f aca="false">BM11*③기타_가정!$R$362/③기타_가정!$E$15</f>
        <v>0</v>
      </c>
      <c r="BN91" s="37" t="n">
        <f aca="false">BN11*③기타_가정!$R$362/③기타_가정!$E$15</f>
        <v>0</v>
      </c>
      <c r="BO91" s="37" t="n">
        <f aca="false">BO11*③기타_가정!$R$362/③기타_가정!$E$15</f>
        <v>0</v>
      </c>
      <c r="BP91" s="37" t="n">
        <f aca="false">BP11*③기타_가정!$R$362/③기타_가정!$E$15</f>
        <v>0</v>
      </c>
      <c r="BQ91" s="37" t="n">
        <f aca="false">BQ11*③기타_가정!$R$362/③기타_가정!$E$15</f>
        <v>0</v>
      </c>
      <c r="BR91" s="37" t="n">
        <f aca="false">BR11*③기타_가정!$R$362/③기타_가정!$E$15</f>
        <v>0</v>
      </c>
      <c r="BS91" s="37" t="n">
        <f aca="false">BS11*③기타_가정!$R$362/③기타_가정!$E$15</f>
        <v>0</v>
      </c>
      <c r="BT91" s="37" t="n">
        <f aca="false">BT11*③기타_가정!$R$362/③기타_가정!$E$15</f>
        <v>0</v>
      </c>
      <c r="BU91" s="37" t="n">
        <f aca="false">BU11*③기타_가정!$R$362/③기타_가정!$E$15</f>
        <v>0</v>
      </c>
      <c r="BV91" s="37" t="n">
        <f aca="false">BV11*③기타_가정!$R$362/③기타_가정!$E$15</f>
        <v>0</v>
      </c>
      <c r="BW91" s="37" t="n">
        <f aca="false">BW11*③기타_가정!$R$362/③기타_가정!$E$15</f>
        <v>0</v>
      </c>
      <c r="BX91" s="37" t="n">
        <f aca="false">BX11*③기타_가정!$R$362/③기타_가정!$E$15</f>
        <v>0</v>
      </c>
      <c r="BY91" s="37" t="n">
        <f aca="false">BY11*③기타_가정!$R$362/③기타_가정!$E$15</f>
        <v>0</v>
      </c>
      <c r="BZ91" s="37" t="n">
        <f aca="false">BZ11*③기타_가정!$R$362/③기타_가정!$E$15</f>
        <v>0</v>
      </c>
      <c r="CA91" s="37" t="n">
        <f aca="false">CA11*③기타_가정!$R$362/③기타_가정!$E$15</f>
        <v>0</v>
      </c>
      <c r="CB91" s="37" t="n">
        <f aca="false">CB11*③기타_가정!$R$362/③기타_가정!$E$15</f>
        <v>0</v>
      </c>
      <c r="CC91" s="37" t="n">
        <f aca="false">CC11*③기타_가정!$R$362/③기타_가정!$E$15</f>
        <v>0</v>
      </c>
      <c r="CD91" s="37" t="n">
        <f aca="false">CD11*③기타_가정!$R$362/③기타_가정!$E$15</f>
        <v>0</v>
      </c>
      <c r="CE91" s="37" t="n">
        <f aca="false">CE11*③기타_가정!$R$362/③기타_가정!$E$15</f>
        <v>0</v>
      </c>
      <c r="CF91" s="37" t="n">
        <f aca="false">CF11*③기타_가정!$R$362/③기타_가정!$E$15</f>
        <v>0</v>
      </c>
      <c r="CG91" s="37" t="n">
        <f aca="false">CG11*③기타_가정!$R$362/③기타_가정!$E$15</f>
        <v>0</v>
      </c>
      <c r="CH91" s="37" t="n">
        <f aca="false">CH11*③기타_가정!$R$362/③기타_가정!$E$15</f>
        <v>0</v>
      </c>
      <c r="CI91" s="37" t="n">
        <f aca="false">CI11*③기타_가정!$R$362/③기타_가정!$E$15</f>
        <v>0</v>
      </c>
      <c r="CJ91" s="37" t="n">
        <f aca="false">CJ11*③기타_가정!$R$362/③기타_가정!$E$15</f>
        <v>0</v>
      </c>
      <c r="CK91" s="37" t="n">
        <f aca="false">CK11*③기타_가정!$R$362/③기타_가정!$E$15</f>
        <v>0</v>
      </c>
      <c r="CL91" s="37" t="n">
        <f aca="false">CL11*③기타_가정!$R$362/③기타_가정!$E$15</f>
        <v>0</v>
      </c>
      <c r="CM91" s="37" t="n">
        <f aca="false">CM11*③기타_가정!$R$362/③기타_가정!$E$15</f>
        <v>0</v>
      </c>
      <c r="CN91" s="37" t="n">
        <f aca="false">CN11*③기타_가정!$R$362/③기타_가정!$E$15</f>
        <v>0</v>
      </c>
      <c r="CO91" s="37" t="n">
        <f aca="false">CO11*③기타_가정!$R$362/③기타_가정!$E$15</f>
        <v>0</v>
      </c>
      <c r="CP91" s="37" t="n">
        <f aca="false">CP11*③기타_가정!$R$362/③기타_가정!$E$15</f>
        <v>0</v>
      </c>
      <c r="CQ91" s="37" t="n">
        <f aca="false">CQ11*③기타_가정!$R$362/③기타_가정!$E$15</f>
        <v>0</v>
      </c>
      <c r="CR91" s="37" t="n">
        <f aca="false">CR11*③기타_가정!$R$362/③기타_가정!$E$15</f>
        <v>0</v>
      </c>
      <c r="CS91" s="37" t="n">
        <f aca="false">CS11*③기타_가정!$R$362/③기타_가정!$E$15</f>
        <v>0</v>
      </c>
      <c r="CT91" s="37" t="n">
        <f aca="false">CT11*③기타_가정!$R$362/③기타_가정!$E$15</f>
        <v>0</v>
      </c>
      <c r="CU91" s="37" t="n">
        <f aca="false">CU11*③기타_가정!$R$362/③기타_가정!$E$15</f>
        <v>0</v>
      </c>
      <c r="CV91" s="37" t="n">
        <f aca="false">CV11*③기타_가정!$R$362/③기타_가정!$E$15</f>
        <v>0</v>
      </c>
      <c r="CW91" s="37" t="n">
        <f aca="false">CW11*③기타_가정!$R$362/③기타_가정!$E$15</f>
        <v>0</v>
      </c>
      <c r="CX91" s="37" t="n">
        <f aca="false">CX11*③기타_가정!$R$362/③기타_가정!$E$15</f>
        <v>0</v>
      </c>
      <c r="CY91" s="37" t="n">
        <f aca="false">CY11*③기타_가정!$R$362/③기타_가정!$E$15</f>
        <v>0</v>
      </c>
      <c r="CZ91" s="37" t="n">
        <f aca="false">CZ11*③기타_가정!$R$362/③기타_가정!$E$15</f>
        <v>0</v>
      </c>
      <c r="DA91" s="37" t="n">
        <f aca="false">DA11*③기타_가정!$R$362/③기타_가정!$E$15</f>
        <v>0</v>
      </c>
      <c r="DB91" s="37" t="n">
        <f aca="false">DB11*③기타_가정!$R$362/③기타_가정!$E$15</f>
        <v>0</v>
      </c>
      <c r="DC91" s="37" t="n">
        <f aca="false">DC11*③기타_가정!$R$362/③기타_가정!$E$15</f>
        <v>0</v>
      </c>
      <c r="DD91" s="37" t="n">
        <f aca="false">DD11*③기타_가정!$R$362/③기타_가정!$E$15</f>
        <v>0</v>
      </c>
      <c r="DE91" s="37" t="n">
        <f aca="false">DE11*③기타_가정!$R$362/③기타_가정!$E$15</f>
        <v>0</v>
      </c>
      <c r="DF91" s="37" t="n">
        <f aca="false">DF11*③기타_가정!$R$362/③기타_가정!$E$15</f>
        <v>0</v>
      </c>
      <c r="DG91" s="37" t="n">
        <f aca="false">DG11*③기타_가정!$R$362/③기타_가정!$E$15</f>
        <v>0</v>
      </c>
      <c r="DH91" s="37" t="n">
        <f aca="false">DH11*③기타_가정!$R$362/③기타_가정!$E$15</f>
        <v>0</v>
      </c>
      <c r="DI91" s="37" t="n">
        <f aca="false">DI11*③기타_가정!$R$362/③기타_가정!$E$15</f>
        <v>0</v>
      </c>
      <c r="DJ91" s="37" t="n">
        <f aca="false">DJ11*③기타_가정!$R$362/③기타_가정!$E$15</f>
        <v>0</v>
      </c>
      <c r="DK91" s="37" t="n">
        <f aca="false">DK11*③기타_가정!$R$362/③기타_가정!$E$15</f>
        <v>0</v>
      </c>
      <c r="DL91" s="37" t="n">
        <f aca="false">DL11*③기타_가정!$R$362/③기타_가정!$E$15</f>
        <v>0</v>
      </c>
      <c r="DM91" s="37" t="n">
        <f aca="false">DM11*③기타_가정!$R$362/③기타_가정!$E$15</f>
        <v>0</v>
      </c>
      <c r="DN91" s="37" t="n">
        <f aca="false">DN11*③기타_가정!$R$362/③기타_가정!$E$15</f>
        <v>0</v>
      </c>
      <c r="DO91" s="37" t="n">
        <f aca="false">DO11*③기타_가정!$R$362/③기타_가정!$E$15</f>
        <v>0</v>
      </c>
      <c r="DP91" s="37" t="n">
        <f aca="false">DP11*③기타_가정!$R$362/③기타_가정!$E$15</f>
        <v>0</v>
      </c>
      <c r="DQ91" s="37" t="n">
        <f aca="false">DQ11*③기타_가정!$R$362/③기타_가정!$E$15</f>
        <v>0</v>
      </c>
      <c r="DR91" s="37" t="n">
        <f aca="false">DR11*③기타_가정!$R$362/③기타_가정!$E$15</f>
        <v>0</v>
      </c>
      <c r="DS91" s="37" t="n">
        <f aca="false">DS11*③기타_가정!$R$362/③기타_가정!$E$15</f>
        <v>0</v>
      </c>
      <c r="DT91" s="37" t="n">
        <f aca="false">DT11*③기타_가정!$R$362/③기타_가정!$E$15</f>
        <v>0</v>
      </c>
      <c r="DU91" s="37" t="n">
        <f aca="false">DU11*③기타_가정!$R$362/③기타_가정!$E$15</f>
        <v>0</v>
      </c>
      <c r="DV91" s="37" t="n">
        <f aca="false">DV11*③기타_가정!$R$362/③기타_가정!$E$15</f>
        <v>0</v>
      </c>
      <c r="DW91" s="37" t="n">
        <f aca="false">DW11*③기타_가정!$R$362/③기타_가정!$E$15</f>
        <v>0</v>
      </c>
      <c r="DX91" s="37" t="n">
        <f aca="false">DX11*③기타_가정!$R$362/③기타_가정!$E$15</f>
        <v>0</v>
      </c>
      <c r="DY91" s="37" t="n">
        <f aca="false">DY11*③기타_가정!$R$362/③기타_가정!$E$15</f>
        <v>0</v>
      </c>
      <c r="DZ91" s="37" t="n">
        <f aca="false">DZ11*③기타_가정!$R$362/③기타_가정!$E$15</f>
        <v>0</v>
      </c>
      <c r="EA91" s="37" t="n">
        <f aca="false">EA11*③기타_가정!$R$362/③기타_가정!$E$15</f>
        <v>0</v>
      </c>
      <c r="EB91" s="37" t="n">
        <f aca="false">EB11*③기타_가정!$R$362/③기타_가정!$E$15</f>
        <v>0</v>
      </c>
      <c r="EC91" s="37" t="n">
        <f aca="false">EC11*③기타_가정!$R$362/③기타_가정!$E$15</f>
        <v>0</v>
      </c>
      <c r="ED91" s="37" t="n">
        <f aca="false">ED11*③기타_가정!$R$362/③기타_가정!$E$15</f>
        <v>0</v>
      </c>
      <c r="EE91" s="37" t="n">
        <f aca="false">EE11*③기타_가정!$R$362/③기타_가정!$E$15</f>
        <v>0</v>
      </c>
      <c r="EF91" s="37" t="n">
        <f aca="false">EF11*③기타_가정!$R$362/③기타_가정!$E$15</f>
        <v>0</v>
      </c>
    </row>
    <row r="92" customFormat="false" ht="15" hidden="false" customHeight="false" outlineLevel="0" collapsed="false">
      <c r="A92" s="36" t="s">
        <v>633</v>
      </c>
      <c r="B92" s="278" t="s">
        <v>21</v>
      </c>
      <c r="C92" s="279" t="n">
        <f aca="false">SUM(E92:EF92)</f>
        <v>380074.455332961</v>
      </c>
      <c r="E92" s="37" t="n">
        <f aca="false">E13*(③기타_가정!$R$367-③기타_가정!$E$433)</f>
        <v>0</v>
      </c>
      <c r="F92" s="37" t="n">
        <f aca="false">F13*(③기타_가정!$R$367-③기타_가정!$E$433)</f>
        <v>0</v>
      </c>
      <c r="G92" s="37" t="n">
        <f aca="false">G13*(③기타_가정!$R$367-③기타_가정!$E$433)</f>
        <v>0</v>
      </c>
      <c r="H92" s="37" t="n">
        <f aca="false">H13*(③기타_가정!$R$367-③기타_가정!$E$433)</f>
        <v>0</v>
      </c>
      <c r="I92" s="37" t="n">
        <f aca="false">I13*(③기타_가정!$R$367-③기타_가정!$E$433)</f>
        <v>0</v>
      </c>
      <c r="J92" s="37" t="n">
        <f aca="false">J13*(③기타_가정!$R$367-③기타_가정!$E$433)</f>
        <v>0</v>
      </c>
      <c r="K92" s="37" t="n">
        <f aca="false">K13*(③기타_가정!$R$367-③기타_가정!$E$433)</f>
        <v>0</v>
      </c>
      <c r="L92" s="37" t="n">
        <f aca="false">L13*(③기타_가정!$R$367-③기타_가정!$E$433)</f>
        <v>0</v>
      </c>
      <c r="M92" s="37" t="n">
        <f aca="false">M13*(③기타_가정!$R$367-③기타_가정!$E$433)</f>
        <v>0</v>
      </c>
      <c r="N92" s="37" t="n">
        <f aca="false">N13*(③기타_가정!$R$367-③기타_가정!$E$433)</f>
        <v>0</v>
      </c>
      <c r="O92" s="37" t="n">
        <f aca="false">O13*(③기타_가정!$R$367-③기타_가정!$E$433)</f>
        <v>0</v>
      </c>
      <c r="P92" s="37" t="n">
        <f aca="false">P13*(③기타_가정!$R$367-③기타_가정!$E$433)</f>
        <v>0</v>
      </c>
      <c r="Q92" s="37" t="n">
        <f aca="false">Q13*(③기타_가정!$R$367-③기타_가정!$E$433)</f>
        <v>0</v>
      </c>
      <c r="R92" s="37" t="n">
        <f aca="false">R13*(③기타_가정!$R$367-③기타_가정!$E$433)</f>
        <v>0</v>
      </c>
      <c r="S92" s="37" t="n">
        <f aca="false">S13*(③기타_가정!$R$367-③기타_가정!$E$433)</f>
        <v>0</v>
      </c>
      <c r="T92" s="37" t="n">
        <f aca="false">T13*(③기타_가정!$R$367-③기타_가정!$E$433)</f>
        <v>0</v>
      </c>
      <c r="U92" s="37" t="n">
        <f aca="false">U13*(③기타_가정!$R$367-③기타_가정!$E$433)</f>
        <v>0</v>
      </c>
      <c r="V92" s="37" t="n">
        <f aca="false">V13*(③기타_가정!$R$367-③기타_가정!$E$433)</f>
        <v>0</v>
      </c>
      <c r="W92" s="37" t="n">
        <f aca="false">W13*(③기타_가정!$R$367-③기타_가정!$E$433)</f>
        <v>531.382631681726</v>
      </c>
      <c r="X92" s="37" t="n">
        <f aca="false">X13*(③기타_가정!$R$367-③기타_가정!$E$433)</f>
        <v>1591.17618782001</v>
      </c>
      <c r="Y92" s="37" t="n">
        <f aca="false">Y13*(③기타_가정!$R$367-③기타_가정!$E$433)</f>
        <v>2642.07124127504</v>
      </c>
      <c r="Z92" s="37" t="n">
        <f aca="false">Z13*(③기타_가정!$R$367-③기타_가정!$E$433)</f>
        <v>3678.19076062535</v>
      </c>
      <c r="AA92" s="37" t="n">
        <f aca="false">AA13*(③기타_가정!$R$367-③기타_가정!$E$433)</f>
        <v>4693.74034522958</v>
      </c>
      <c r="AB92" s="37" t="n">
        <f aca="false">AB13*(③기타_가정!$R$367-③기타_가정!$E$433)</f>
        <v>5683.04062986556</v>
      </c>
      <c r="AC92" s="37" t="n">
        <f aca="false">AC13*(③기타_가정!$R$367-③기타_가정!$E$433)</f>
        <v>6640.55904604414</v>
      </c>
      <c r="AD92" s="37" t="n">
        <f aca="false">AD13*(③기타_가정!$R$367-③기타_가정!$E$433)</f>
        <v>7560.94076237656</v>
      </c>
      <c r="AE92" s="37" t="n">
        <f aca="false">AE13*(③기타_가정!$R$367-③기타_가정!$E$433)</f>
        <v>8439.03863096359</v>
      </c>
      <c r="AF92" s="37" t="n">
        <f aca="false">AF13*(③기타_가정!$R$367-③기타_가정!$E$433)</f>
        <v>9269.94197233454</v>
      </c>
      <c r="AG92" s="37" t="n">
        <f aca="false">AG13*(③기타_가정!$R$367-③기타_가정!$E$433)</f>
        <v>10049.0040379588</v>
      </c>
      <c r="AH92" s="37" t="n">
        <f aca="false">AH13*(③기타_가정!$R$367-③기타_가정!$E$433)</f>
        <v>10771.8679967486</v>
      </c>
      <c r="AI92" s="37" t="n">
        <f aca="false">AI13*(③기타_가정!$R$367-③기타_가정!$E$433)</f>
        <v>11434.4913002254</v>
      </c>
      <c r="AJ92" s="37" t="n">
        <f aca="false">AJ13*(③기타_가정!$R$367-③기타_가정!$E$433)</f>
        <v>12033.1682900913</v>
      </c>
      <c r="AK92" s="37" t="n">
        <f aca="false">AK13*(③기타_가정!$R$367-③기타_가정!$E$433)</f>
        <v>12564.550921773</v>
      </c>
      <c r="AL92" s="37" t="n">
        <f aca="false">AL13*(③기타_가정!$R$367-③기타_가정!$E$433)</f>
        <v>13025.6674880454</v>
      </c>
      <c r="AM92" s="37" t="n">
        <f aca="false">AM13*(③기타_가정!$R$367-③기타_가정!$E$433)</f>
        <v>13413.9392380237</v>
      </c>
      <c r="AN92" s="37" t="n">
        <f aca="false">AN13*(③기타_가정!$R$367-③기타_가정!$E$433)</f>
        <v>13727.1947985841</v>
      </c>
      <c r="AO92" s="37" t="n">
        <f aca="false">AO13*(③기타_가정!$R$367-③기타_가정!$E$433)</f>
        <v>13963.6823175641</v>
      </c>
      <c r="AP92" s="37" t="n">
        <f aca="false">AP13*(③기타_가정!$R$367-③기타_가정!$E$433)</f>
        <v>14122.0792608292</v>
      </c>
      <c r="AQ92" s="37" t="n">
        <f aca="false">AQ13*(③기타_가정!$R$367-③기타_가정!$E$433)</f>
        <v>14201.4998084207</v>
      </c>
      <c r="AR92" s="37" t="n">
        <f aca="false">AR13*(③기타_가정!$R$367-③기타_가정!$E$433)</f>
        <v>14201.4998084207</v>
      </c>
      <c r="AS92" s="37" t="n">
        <f aca="false">AS13*(③기타_가정!$R$367-③기타_가정!$E$433)</f>
        <v>14122.0792608292</v>
      </c>
      <c r="AT92" s="37" t="n">
        <f aca="false">AT13*(③기타_가정!$R$367-③기타_가정!$E$433)</f>
        <v>13963.6823175642</v>
      </c>
      <c r="AU92" s="37" t="n">
        <f aca="false">AU13*(③기타_가정!$R$367-③기타_가정!$E$433)</f>
        <v>13727.1947985842</v>
      </c>
      <c r="AV92" s="37" t="n">
        <f aca="false">AV13*(③기타_가정!$R$367-③기타_가정!$E$433)</f>
        <v>13413.9392380237</v>
      </c>
      <c r="AW92" s="37" t="n">
        <f aca="false">AW13*(③기타_가정!$R$367-③기타_가정!$E$433)</f>
        <v>13025.6674880454</v>
      </c>
      <c r="AX92" s="37" t="n">
        <f aca="false">AX13*(③기타_가정!$R$367-③기타_가정!$E$433)</f>
        <v>12564.550921773</v>
      </c>
      <c r="AY92" s="37" t="n">
        <f aca="false">AY13*(③기타_가정!$R$367-③기타_가정!$E$433)</f>
        <v>12033.1682900914</v>
      </c>
      <c r="AZ92" s="37" t="n">
        <f aca="false">AZ13*(③기타_가정!$R$367-③기타_가정!$E$433)</f>
        <v>11434.4913002254</v>
      </c>
      <c r="BA92" s="37" t="n">
        <f aca="false">BA13*(③기타_가정!$R$367-③기타_가정!$E$433)</f>
        <v>10771.8679967486</v>
      </c>
      <c r="BB92" s="37" t="n">
        <f aca="false">BB13*(③기타_가정!$R$367-③기타_가정!$E$433)</f>
        <v>10049.0040379589</v>
      </c>
      <c r="BC92" s="37" t="n">
        <f aca="false">BC13*(③기타_가정!$R$367-③기타_가정!$E$433)</f>
        <v>9269.94197233454</v>
      </c>
      <c r="BD92" s="37" t="n">
        <f aca="false">BD13*(③기타_가정!$R$367-③기타_가정!$E$433)</f>
        <v>8439.03863096361</v>
      </c>
      <c r="BE92" s="37" t="n">
        <f aca="false">BE13*(③기타_가정!$R$367-③기타_가정!$E$433)</f>
        <v>7560.94076237649</v>
      </c>
      <c r="BF92" s="37" t="n">
        <f aca="false">BF13*(③기타_가정!$R$367-③기타_가정!$E$433)</f>
        <v>6640.55904604416</v>
      </c>
      <c r="BG92" s="37" t="n">
        <f aca="false">BG13*(③기타_가정!$R$367-③기타_가정!$E$433)</f>
        <v>5683.0406298656</v>
      </c>
      <c r="BH92" s="37" t="n">
        <f aca="false">BH13*(③기타_가정!$R$367-③기타_가정!$E$433)</f>
        <v>4693.74034522954</v>
      </c>
      <c r="BI92" s="37" t="n">
        <f aca="false">BI13*(③기타_가정!$R$367-③기타_가정!$E$433)</f>
        <v>3678.19076062537</v>
      </c>
      <c r="BJ92" s="37" t="n">
        <f aca="false">BJ13*(③기타_가정!$R$367-③기타_가정!$E$433)</f>
        <v>2642.07124127504</v>
      </c>
      <c r="BK92" s="37" t="n">
        <f aca="false">BK13*(③기타_가정!$R$367-③기타_가정!$E$433)</f>
        <v>1591.17618782001</v>
      </c>
      <c r="BL92" s="37" t="n">
        <f aca="false">BL13*(③기타_가정!$R$367-③기타_가정!$E$433)</f>
        <v>531.382631681726</v>
      </c>
      <c r="BM92" s="37" t="n">
        <f aca="false">BM13*(③기타_가정!$R$367-③기타_가정!$E$433)</f>
        <v>0</v>
      </c>
      <c r="BN92" s="37" t="n">
        <f aca="false">BN13*(③기타_가정!$R$367-③기타_가정!$E$433)</f>
        <v>0</v>
      </c>
      <c r="BO92" s="37" t="n">
        <f aca="false">BO13*(③기타_가정!$R$367-③기타_가정!$E$433)</f>
        <v>0</v>
      </c>
      <c r="BP92" s="37" t="n">
        <f aca="false">BP13*(③기타_가정!$R$367-③기타_가정!$E$433)</f>
        <v>0</v>
      </c>
      <c r="BQ92" s="37" t="n">
        <f aca="false">BQ13*(③기타_가정!$R$367-③기타_가정!$E$433)</f>
        <v>0</v>
      </c>
      <c r="BR92" s="37" t="n">
        <f aca="false">BR13*(③기타_가정!$R$367-③기타_가정!$E$433)</f>
        <v>0</v>
      </c>
      <c r="BS92" s="37" t="n">
        <f aca="false">BS13*(③기타_가정!$R$367-③기타_가정!$E$433)</f>
        <v>0</v>
      </c>
      <c r="BT92" s="37" t="n">
        <f aca="false">BT13*(③기타_가정!$R$367-③기타_가정!$E$433)</f>
        <v>0</v>
      </c>
      <c r="BU92" s="37" t="n">
        <f aca="false">BU13*(③기타_가정!$R$367-③기타_가정!$E$433)</f>
        <v>0</v>
      </c>
      <c r="BV92" s="37" t="n">
        <f aca="false">BV13*(③기타_가정!$R$367-③기타_가정!$E$433)</f>
        <v>0</v>
      </c>
      <c r="BW92" s="37" t="n">
        <f aca="false">BW13*(③기타_가정!$R$367-③기타_가정!$E$433)</f>
        <v>0</v>
      </c>
      <c r="BX92" s="37" t="n">
        <f aca="false">BX13*(③기타_가정!$R$367-③기타_가정!$E$433)</f>
        <v>0</v>
      </c>
      <c r="BY92" s="37" t="n">
        <f aca="false">BY13*(③기타_가정!$R$367-③기타_가정!$E$433)</f>
        <v>0</v>
      </c>
      <c r="BZ92" s="37" t="n">
        <f aca="false">BZ13*(③기타_가정!$R$367-③기타_가정!$E$433)</f>
        <v>0</v>
      </c>
      <c r="CA92" s="37" t="n">
        <f aca="false">CA13*(③기타_가정!$R$367-③기타_가정!$E$433)</f>
        <v>0</v>
      </c>
      <c r="CB92" s="37" t="n">
        <f aca="false">CB13*(③기타_가정!$R$367-③기타_가정!$E$433)</f>
        <v>0</v>
      </c>
      <c r="CC92" s="37" t="n">
        <f aca="false">CC13*(③기타_가정!$R$367-③기타_가정!$E$433)</f>
        <v>0</v>
      </c>
      <c r="CD92" s="37" t="n">
        <f aca="false">CD13*(③기타_가정!$R$367-③기타_가정!$E$433)</f>
        <v>0</v>
      </c>
      <c r="CE92" s="37" t="n">
        <f aca="false">CE13*(③기타_가정!$R$367-③기타_가정!$E$433)</f>
        <v>0</v>
      </c>
      <c r="CF92" s="37" t="n">
        <f aca="false">CF13*(③기타_가정!$R$367-③기타_가정!$E$433)</f>
        <v>0</v>
      </c>
      <c r="CG92" s="37" t="n">
        <f aca="false">CG13*(③기타_가정!$R$367-③기타_가정!$E$433)</f>
        <v>0</v>
      </c>
      <c r="CH92" s="37" t="n">
        <f aca="false">CH13*(③기타_가정!$R$367-③기타_가정!$E$433)</f>
        <v>0</v>
      </c>
      <c r="CI92" s="37" t="n">
        <f aca="false">CI13*(③기타_가정!$R$367-③기타_가정!$E$433)</f>
        <v>0</v>
      </c>
      <c r="CJ92" s="37" t="n">
        <f aca="false">CJ13*(③기타_가정!$R$367-③기타_가정!$E$433)</f>
        <v>0</v>
      </c>
      <c r="CK92" s="37" t="n">
        <f aca="false">CK13*(③기타_가정!$R$367-③기타_가정!$E$433)</f>
        <v>0</v>
      </c>
      <c r="CL92" s="37" t="n">
        <f aca="false">CL13*(③기타_가정!$R$367-③기타_가정!$E$433)</f>
        <v>0</v>
      </c>
      <c r="CM92" s="37" t="n">
        <f aca="false">CM13*(③기타_가정!$R$367-③기타_가정!$E$433)</f>
        <v>0</v>
      </c>
      <c r="CN92" s="37" t="n">
        <f aca="false">CN13*(③기타_가정!$R$367-③기타_가정!$E$433)</f>
        <v>0</v>
      </c>
      <c r="CO92" s="37" t="n">
        <f aca="false">CO13*(③기타_가정!$R$367-③기타_가정!$E$433)</f>
        <v>0</v>
      </c>
      <c r="CP92" s="37" t="n">
        <f aca="false">CP13*(③기타_가정!$R$367-③기타_가정!$E$433)</f>
        <v>0</v>
      </c>
      <c r="CQ92" s="37" t="n">
        <f aca="false">CQ13*(③기타_가정!$R$367-③기타_가정!$E$433)</f>
        <v>0</v>
      </c>
      <c r="CR92" s="37" t="n">
        <f aca="false">CR13*(③기타_가정!$R$367-③기타_가정!$E$433)</f>
        <v>0</v>
      </c>
      <c r="CS92" s="37" t="n">
        <f aca="false">CS13*(③기타_가정!$R$367-③기타_가정!$E$433)</f>
        <v>0</v>
      </c>
      <c r="CT92" s="37" t="n">
        <f aca="false">CT13*(③기타_가정!$R$367-③기타_가정!$E$433)</f>
        <v>0</v>
      </c>
      <c r="CU92" s="37" t="n">
        <f aca="false">CU13*(③기타_가정!$R$367-③기타_가정!$E$433)</f>
        <v>0</v>
      </c>
      <c r="CV92" s="37" t="n">
        <f aca="false">CV13*(③기타_가정!$R$367-③기타_가정!$E$433)</f>
        <v>0</v>
      </c>
      <c r="CW92" s="37" t="n">
        <f aca="false">CW13*(③기타_가정!$R$367-③기타_가정!$E$433)</f>
        <v>0</v>
      </c>
      <c r="CX92" s="37" t="n">
        <f aca="false">CX13*(③기타_가정!$R$367-③기타_가정!$E$433)</f>
        <v>0</v>
      </c>
      <c r="CY92" s="37" t="n">
        <f aca="false">CY13*(③기타_가정!$R$367-③기타_가정!$E$433)</f>
        <v>0</v>
      </c>
      <c r="CZ92" s="37" t="n">
        <f aca="false">CZ13*(③기타_가정!$R$367-③기타_가정!$E$433)</f>
        <v>0</v>
      </c>
      <c r="DA92" s="37" t="n">
        <f aca="false">DA13*(③기타_가정!$R$367-③기타_가정!$E$433)</f>
        <v>0</v>
      </c>
      <c r="DB92" s="37" t="n">
        <f aca="false">DB13*(③기타_가정!$R$367-③기타_가정!$E$433)</f>
        <v>0</v>
      </c>
      <c r="DC92" s="37" t="n">
        <f aca="false">DC13*(③기타_가정!$R$367-③기타_가정!$E$433)</f>
        <v>0</v>
      </c>
      <c r="DD92" s="37" t="n">
        <f aca="false">DD13*(③기타_가정!$R$367-③기타_가정!$E$433)</f>
        <v>0</v>
      </c>
      <c r="DE92" s="37" t="n">
        <f aca="false">DE13*(③기타_가정!$R$367-③기타_가정!$E$433)</f>
        <v>0</v>
      </c>
      <c r="DF92" s="37" t="n">
        <f aca="false">DF13*(③기타_가정!$R$367-③기타_가정!$E$433)</f>
        <v>0</v>
      </c>
      <c r="DG92" s="37" t="n">
        <f aca="false">DG13*(③기타_가정!$R$367-③기타_가정!$E$433)</f>
        <v>0</v>
      </c>
      <c r="DH92" s="37" t="n">
        <f aca="false">DH13*(③기타_가정!$R$367-③기타_가정!$E$433)</f>
        <v>0</v>
      </c>
      <c r="DI92" s="37" t="n">
        <f aca="false">DI13*(③기타_가정!$R$367-③기타_가정!$E$433)</f>
        <v>0</v>
      </c>
      <c r="DJ92" s="37" t="n">
        <f aca="false">DJ13*(③기타_가정!$R$367-③기타_가정!$E$433)</f>
        <v>0</v>
      </c>
      <c r="DK92" s="37" t="n">
        <f aca="false">DK13*(③기타_가정!$R$367-③기타_가정!$E$433)</f>
        <v>0</v>
      </c>
      <c r="DL92" s="37" t="n">
        <f aca="false">DL13*(③기타_가정!$R$367-③기타_가정!$E$433)</f>
        <v>0</v>
      </c>
      <c r="DM92" s="37" t="n">
        <f aca="false">DM13*(③기타_가정!$R$367-③기타_가정!$E$433)</f>
        <v>0</v>
      </c>
      <c r="DN92" s="37" t="n">
        <f aca="false">DN13*(③기타_가정!$R$367-③기타_가정!$E$433)</f>
        <v>0</v>
      </c>
      <c r="DO92" s="37" t="n">
        <f aca="false">DO13*(③기타_가정!$R$367-③기타_가정!$E$433)</f>
        <v>0</v>
      </c>
      <c r="DP92" s="37" t="n">
        <f aca="false">DP13*(③기타_가정!$R$367-③기타_가정!$E$433)</f>
        <v>0</v>
      </c>
      <c r="DQ92" s="37" t="n">
        <f aca="false">DQ13*(③기타_가정!$R$367-③기타_가정!$E$433)</f>
        <v>0</v>
      </c>
      <c r="DR92" s="37" t="n">
        <f aca="false">DR13*(③기타_가정!$R$367-③기타_가정!$E$433)</f>
        <v>0</v>
      </c>
      <c r="DS92" s="37" t="n">
        <f aca="false">DS13*(③기타_가정!$R$367-③기타_가정!$E$433)</f>
        <v>0</v>
      </c>
      <c r="DT92" s="37" t="n">
        <f aca="false">DT13*(③기타_가정!$R$367-③기타_가정!$E$433)</f>
        <v>0</v>
      </c>
      <c r="DU92" s="37" t="n">
        <f aca="false">DU13*(③기타_가정!$R$367-③기타_가정!$E$433)</f>
        <v>0</v>
      </c>
      <c r="DV92" s="37" t="n">
        <f aca="false">DV13*(③기타_가정!$R$367-③기타_가정!$E$433)</f>
        <v>0</v>
      </c>
      <c r="DW92" s="37" t="n">
        <f aca="false">DW13*(③기타_가정!$R$367-③기타_가정!$E$433)</f>
        <v>0</v>
      </c>
      <c r="DX92" s="37" t="n">
        <f aca="false">DX13*(③기타_가정!$R$367-③기타_가정!$E$433)</f>
        <v>0</v>
      </c>
      <c r="DY92" s="37" t="n">
        <f aca="false">DY13*(③기타_가정!$R$367-③기타_가정!$E$433)</f>
        <v>0</v>
      </c>
      <c r="DZ92" s="37" t="n">
        <f aca="false">DZ13*(③기타_가정!$R$367-③기타_가정!$E$433)</f>
        <v>0</v>
      </c>
      <c r="EA92" s="37" t="n">
        <f aca="false">EA13*(③기타_가정!$R$367-③기타_가정!$E$433)</f>
        <v>0</v>
      </c>
      <c r="EB92" s="37" t="n">
        <f aca="false">EB13*(③기타_가정!$R$367-③기타_가정!$E$433)</f>
        <v>0</v>
      </c>
      <c r="EC92" s="37" t="n">
        <f aca="false">EC13*(③기타_가정!$R$367-③기타_가정!$E$433)</f>
        <v>0</v>
      </c>
      <c r="ED92" s="37" t="n">
        <f aca="false">ED13*(③기타_가정!$R$367-③기타_가정!$E$433)</f>
        <v>0</v>
      </c>
      <c r="EE92" s="37" t="n">
        <f aca="false">EE13*(③기타_가정!$R$367-③기타_가정!$E$433)</f>
        <v>0</v>
      </c>
      <c r="EF92" s="37" t="n">
        <f aca="false">EF13*(③기타_가정!$R$367-③기타_가정!$E$433)</f>
        <v>0</v>
      </c>
    </row>
    <row r="93" customFormat="false" ht="15" hidden="false" customHeight="false" outlineLevel="0" collapsed="false">
      <c r="A93" s="36" t="s">
        <v>634</v>
      </c>
      <c r="B93" s="278" t="s">
        <v>21</v>
      </c>
      <c r="C93" s="279" t="n">
        <f aca="false">SUM(E93:EF93)</f>
        <v>42230.4950369957</v>
      </c>
      <c r="E93" s="37" t="n">
        <f aca="false">IF(E6=③기타_가정!$E$18,③기타_가정!$E$433,0)</f>
        <v>0</v>
      </c>
      <c r="F93" s="37" t="n">
        <f aca="false">IF(F6=③기타_가정!$E$18,③기타_가정!$E$433,0)</f>
        <v>0</v>
      </c>
      <c r="G93" s="37" t="n">
        <f aca="false">IF(G6=③기타_가정!$E$18,③기타_가정!$E$433,0)</f>
        <v>0</v>
      </c>
      <c r="H93" s="37" t="n">
        <f aca="false">IF(H6=③기타_가정!$E$18,③기타_가정!$E$433,0)</f>
        <v>0</v>
      </c>
      <c r="I93" s="37" t="n">
        <f aca="false">IF(I6=③기타_가정!$E$18,③기타_가정!$E$433,0)</f>
        <v>0</v>
      </c>
      <c r="J93" s="37" t="n">
        <f aca="false">IF(J6=③기타_가정!$E$18,③기타_가정!$E$433,0)</f>
        <v>0</v>
      </c>
      <c r="K93" s="37" t="n">
        <f aca="false">IF(K6=③기타_가정!$E$18,③기타_가정!$E$433,0)</f>
        <v>0</v>
      </c>
      <c r="L93" s="37" t="n">
        <f aca="false">IF(L6=③기타_가정!$E$18,③기타_가정!$E$433,0)</f>
        <v>0</v>
      </c>
      <c r="M93" s="37" t="n">
        <f aca="false">IF(M6=③기타_가정!$E$18,③기타_가정!$E$433,0)</f>
        <v>0</v>
      </c>
      <c r="N93" s="37" t="n">
        <f aca="false">IF(N6=③기타_가정!$E$18,③기타_가정!$E$433,0)</f>
        <v>0</v>
      </c>
      <c r="O93" s="37" t="n">
        <f aca="false">IF(O6=③기타_가정!$E$18,③기타_가정!$E$433,0)</f>
        <v>0</v>
      </c>
      <c r="P93" s="37" t="n">
        <f aca="false">IF(P6=③기타_가정!$E$18,③기타_가정!$E$433,0)</f>
        <v>0</v>
      </c>
      <c r="Q93" s="37" t="n">
        <f aca="false">IF(Q6=③기타_가정!$E$18,③기타_가정!$E$433,0)</f>
        <v>0</v>
      </c>
      <c r="R93" s="37" t="n">
        <f aca="false">IF(R6=③기타_가정!$E$18,③기타_가정!$E$433,0)</f>
        <v>0</v>
      </c>
      <c r="S93" s="37" t="n">
        <f aca="false">IF(S6=③기타_가정!$E$18,③기타_가정!$E$433,0)</f>
        <v>0</v>
      </c>
      <c r="T93" s="37" t="n">
        <f aca="false">IF(T6=③기타_가정!$E$18,③기타_가정!$E$433,0)</f>
        <v>0</v>
      </c>
      <c r="U93" s="37" t="n">
        <f aca="false">IF(U6=③기타_가정!$E$18,③기타_가정!$E$433,0)</f>
        <v>0</v>
      </c>
      <c r="V93" s="37" t="n">
        <f aca="false">IF(V6=③기타_가정!$E$18,③기타_가정!$E$433,0)</f>
        <v>0</v>
      </c>
      <c r="W93" s="37" t="n">
        <f aca="false">IF(W6=③기타_가정!$E$18,③기타_가정!$E$433,0)</f>
        <v>0</v>
      </c>
      <c r="X93" s="37" t="n">
        <f aca="false">IF(X6=③기타_가정!$E$18,③기타_가정!$E$433,0)</f>
        <v>0</v>
      </c>
      <c r="Y93" s="37" t="n">
        <f aca="false">IF(Y6=③기타_가정!$E$18,③기타_가정!$E$433,0)</f>
        <v>0</v>
      </c>
      <c r="Z93" s="37" t="n">
        <f aca="false">IF(Z6=③기타_가정!$E$18,③기타_가정!$E$433,0)</f>
        <v>0</v>
      </c>
      <c r="AA93" s="37" t="n">
        <f aca="false">IF(AA6=③기타_가정!$E$18,③기타_가정!$E$433,0)</f>
        <v>0</v>
      </c>
      <c r="AB93" s="37" t="n">
        <f aca="false">IF(AB6=③기타_가정!$E$18,③기타_가정!$E$433,0)</f>
        <v>0</v>
      </c>
      <c r="AC93" s="37" t="n">
        <f aca="false">IF(AC6=③기타_가정!$E$18,③기타_가정!$E$433,0)</f>
        <v>0</v>
      </c>
      <c r="AD93" s="37" t="n">
        <f aca="false">IF(AD6=③기타_가정!$E$18,③기타_가정!$E$433,0)</f>
        <v>0</v>
      </c>
      <c r="AE93" s="37" t="n">
        <f aca="false">IF(AE6=③기타_가정!$E$18,③기타_가정!$E$433,0)</f>
        <v>0</v>
      </c>
      <c r="AF93" s="37" t="n">
        <f aca="false">IF(AF6=③기타_가정!$E$18,③기타_가정!$E$433,0)</f>
        <v>0</v>
      </c>
      <c r="AG93" s="37" t="n">
        <f aca="false">IF(AG6=③기타_가정!$E$18,③기타_가정!$E$433,0)</f>
        <v>0</v>
      </c>
      <c r="AH93" s="37" t="n">
        <f aca="false">IF(AH6=③기타_가정!$E$18,③기타_가정!$E$433,0)</f>
        <v>0</v>
      </c>
      <c r="AI93" s="37" t="n">
        <f aca="false">IF(AI6=③기타_가정!$E$18,③기타_가정!$E$433,0)</f>
        <v>0</v>
      </c>
      <c r="AJ93" s="37" t="n">
        <f aca="false">IF(AJ6=③기타_가정!$E$18,③기타_가정!$E$433,0)</f>
        <v>0</v>
      </c>
      <c r="AK93" s="37" t="n">
        <f aca="false">IF(AK6=③기타_가정!$E$18,③기타_가정!$E$433,0)</f>
        <v>0</v>
      </c>
      <c r="AL93" s="37" t="n">
        <f aca="false">IF(AL6=③기타_가정!$E$18,③기타_가정!$E$433,0)</f>
        <v>0</v>
      </c>
      <c r="AM93" s="37" t="n">
        <f aca="false">IF(AM6=③기타_가정!$E$18,③기타_가정!$E$433,0)</f>
        <v>0</v>
      </c>
      <c r="AN93" s="37" t="n">
        <f aca="false">IF(AN6=③기타_가정!$E$18,③기타_가정!$E$433,0)</f>
        <v>0</v>
      </c>
      <c r="AO93" s="37" t="n">
        <f aca="false">IF(AO6=③기타_가정!$E$18,③기타_가정!$E$433,0)</f>
        <v>0</v>
      </c>
      <c r="AP93" s="37" t="n">
        <f aca="false">IF(AP6=③기타_가정!$E$18,③기타_가정!$E$433,0)</f>
        <v>0</v>
      </c>
      <c r="AQ93" s="37" t="n">
        <f aca="false">IF(AQ6=③기타_가정!$E$18,③기타_가정!$E$433,0)</f>
        <v>0</v>
      </c>
      <c r="AR93" s="37" t="n">
        <f aca="false">IF(AR6=③기타_가정!$E$18,③기타_가정!$E$433,0)</f>
        <v>0</v>
      </c>
      <c r="AS93" s="37" t="n">
        <f aca="false">IF(AS6=③기타_가정!$E$18,③기타_가정!$E$433,0)</f>
        <v>0</v>
      </c>
      <c r="AT93" s="37" t="n">
        <f aca="false">IF(AT6=③기타_가정!$E$18,③기타_가정!$E$433,0)</f>
        <v>0</v>
      </c>
      <c r="AU93" s="37" t="n">
        <f aca="false">IF(AU6=③기타_가정!$E$18,③기타_가정!$E$433,0)</f>
        <v>0</v>
      </c>
      <c r="AV93" s="37" t="n">
        <f aca="false">IF(AV6=③기타_가정!$E$18,③기타_가정!$E$433,0)</f>
        <v>0</v>
      </c>
      <c r="AW93" s="37" t="n">
        <f aca="false">IF(AW6=③기타_가정!$E$18,③기타_가정!$E$433,0)</f>
        <v>0</v>
      </c>
      <c r="AX93" s="37" t="n">
        <f aca="false">IF(AX6=③기타_가정!$E$18,③기타_가정!$E$433,0)</f>
        <v>0</v>
      </c>
      <c r="AY93" s="37" t="n">
        <f aca="false">IF(AY6=③기타_가정!$E$18,③기타_가정!$E$433,0)</f>
        <v>0</v>
      </c>
      <c r="AZ93" s="37" t="n">
        <f aca="false">IF(AZ6=③기타_가정!$E$18,③기타_가정!$E$433,0)</f>
        <v>0</v>
      </c>
      <c r="BA93" s="37" t="n">
        <f aca="false">IF(BA6=③기타_가정!$E$18,③기타_가정!$E$433,0)</f>
        <v>0</v>
      </c>
      <c r="BB93" s="37" t="n">
        <f aca="false">IF(BB6=③기타_가정!$E$18,③기타_가정!$E$433,0)</f>
        <v>0</v>
      </c>
      <c r="BC93" s="37" t="n">
        <f aca="false">IF(BC6=③기타_가정!$E$18,③기타_가정!$E$433,0)</f>
        <v>0</v>
      </c>
      <c r="BD93" s="37" t="n">
        <f aca="false">IF(BD6=③기타_가정!$E$18,③기타_가정!$E$433,0)</f>
        <v>0</v>
      </c>
      <c r="BE93" s="37" t="n">
        <f aca="false">IF(BE6=③기타_가정!$E$18,③기타_가정!$E$433,0)</f>
        <v>0</v>
      </c>
      <c r="BF93" s="37" t="n">
        <f aca="false">IF(BF6=③기타_가정!$E$18,③기타_가정!$E$433,0)</f>
        <v>0</v>
      </c>
      <c r="BG93" s="37" t="n">
        <f aca="false">IF(BG6=③기타_가정!$E$18,③기타_가정!$E$433,0)</f>
        <v>0</v>
      </c>
      <c r="BH93" s="37" t="n">
        <f aca="false">IF(BH6=③기타_가정!$E$18,③기타_가정!$E$433,0)</f>
        <v>0</v>
      </c>
      <c r="BI93" s="37" t="n">
        <f aca="false">IF(BI6=③기타_가정!$E$18,③기타_가정!$E$433,0)</f>
        <v>0</v>
      </c>
      <c r="BJ93" s="37" t="n">
        <f aca="false">IF(BJ6=③기타_가정!$E$18,③기타_가정!$E$433,0)</f>
        <v>0</v>
      </c>
      <c r="BK93" s="37" t="n">
        <f aca="false">IF(BK6=③기타_가정!$E$18,③기타_가정!$E$433,0)</f>
        <v>0</v>
      </c>
      <c r="BL93" s="37" t="n">
        <f aca="false">IF(BL6=③기타_가정!$E$18,③기타_가정!$E$433,0)</f>
        <v>0</v>
      </c>
      <c r="BM93" s="37" t="n">
        <f aca="false">IF(BM6=③기타_가정!$E$18,③기타_가정!$E$433,0)</f>
        <v>42230.4950369957</v>
      </c>
      <c r="BN93" s="37" t="n">
        <f aca="false">IF(BN6=③기타_가정!$E$18,③기타_가정!$E$433,0)</f>
        <v>0</v>
      </c>
      <c r="BO93" s="37" t="n">
        <f aca="false">IF(BO6=③기타_가정!$E$18,③기타_가정!$E$433,0)</f>
        <v>0</v>
      </c>
      <c r="BP93" s="37" t="n">
        <f aca="false">IF(BP6=③기타_가정!$E$18,③기타_가정!$E$433,0)</f>
        <v>0</v>
      </c>
      <c r="BQ93" s="37" t="n">
        <f aca="false">IF(BQ6=③기타_가정!$E$18,③기타_가정!$E$433,0)</f>
        <v>0</v>
      </c>
      <c r="BR93" s="37" t="n">
        <f aca="false">IF(BR6=③기타_가정!$E$18,③기타_가정!$E$433,0)</f>
        <v>0</v>
      </c>
      <c r="BS93" s="37" t="n">
        <f aca="false">IF(BS6=③기타_가정!$E$18,③기타_가정!$E$433,0)</f>
        <v>0</v>
      </c>
      <c r="BT93" s="37" t="n">
        <f aca="false">IF(BT6=③기타_가정!$E$18,③기타_가정!$E$433,0)</f>
        <v>0</v>
      </c>
      <c r="BU93" s="37" t="n">
        <f aca="false">IF(BU6=③기타_가정!$E$18,③기타_가정!$E$433,0)</f>
        <v>0</v>
      </c>
      <c r="BV93" s="37" t="n">
        <f aca="false">IF(BV6=③기타_가정!$E$18,③기타_가정!$E$433,0)</f>
        <v>0</v>
      </c>
      <c r="BW93" s="37" t="n">
        <f aca="false">IF(BW6=③기타_가정!$E$18,③기타_가정!$E$433,0)</f>
        <v>0</v>
      </c>
      <c r="BX93" s="37" t="n">
        <f aca="false">IF(BX6=③기타_가정!$E$18,③기타_가정!$E$433,0)</f>
        <v>0</v>
      </c>
      <c r="BY93" s="37" t="n">
        <f aca="false">IF(BY6=③기타_가정!$E$18,③기타_가정!$E$433,0)</f>
        <v>0</v>
      </c>
      <c r="BZ93" s="37" t="n">
        <f aca="false">IF(BZ6=③기타_가정!$E$18,③기타_가정!$E$433,0)</f>
        <v>0</v>
      </c>
      <c r="CA93" s="37" t="n">
        <f aca="false">IF(CA6=③기타_가정!$E$18,③기타_가정!$E$433,0)</f>
        <v>0</v>
      </c>
      <c r="CB93" s="37" t="n">
        <f aca="false">IF(CB6=③기타_가정!$E$18,③기타_가정!$E$433,0)</f>
        <v>0</v>
      </c>
      <c r="CC93" s="37" t="n">
        <f aca="false">IF(CC6=③기타_가정!$E$18,③기타_가정!$E$433,0)</f>
        <v>0</v>
      </c>
      <c r="CD93" s="37" t="n">
        <f aca="false">IF(CD6=③기타_가정!$E$18,③기타_가정!$E$433,0)</f>
        <v>0</v>
      </c>
      <c r="CE93" s="37" t="n">
        <f aca="false">IF(CE6=③기타_가정!$E$18,③기타_가정!$E$433,0)</f>
        <v>0</v>
      </c>
      <c r="CF93" s="37" t="n">
        <f aca="false">IF(CF6=③기타_가정!$E$18,③기타_가정!$E$433,0)</f>
        <v>0</v>
      </c>
      <c r="CG93" s="37" t="n">
        <f aca="false">IF(CG6=③기타_가정!$E$18,③기타_가정!$E$433,0)</f>
        <v>0</v>
      </c>
      <c r="CH93" s="37" t="n">
        <f aca="false">IF(CH6=③기타_가정!$E$18,③기타_가정!$E$433,0)</f>
        <v>0</v>
      </c>
      <c r="CI93" s="37" t="n">
        <f aca="false">IF(CI6=③기타_가정!$E$18,③기타_가정!$E$433,0)</f>
        <v>0</v>
      </c>
      <c r="CJ93" s="37" t="n">
        <f aca="false">IF(CJ6=③기타_가정!$E$18,③기타_가정!$E$433,0)</f>
        <v>0</v>
      </c>
      <c r="CK93" s="37" t="n">
        <f aca="false">IF(CK6=③기타_가정!$E$18,③기타_가정!$E$433,0)</f>
        <v>0</v>
      </c>
      <c r="CL93" s="37" t="n">
        <f aca="false">IF(CL6=③기타_가정!$E$18,③기타_가정!$E$433,0)</f>
        <v>0</v>
      </c>
      <c r="CM93" s="37" t="n">
        <f aca="false">IF(CM6=③기타_가정!$E$18,③기타_가정!$E$433,0)</f>
        <v>0</v>
      </c>
      <c r="CN93" s="37" t="n">
        <f aca="false">IF(CN6=③기타_가정!$E$18,③기타_가정!$E$433,0)</f>
        <v>0</v>
      </c>
      <c r="CO93" s="37" t="n">
        <f aca="false">IF(CO6=③기타_가정!$E$18,③기타_가정!$E$433,0)</f>
        <v>0</v>
      </c>
      <c r="CP93" s="37" t="n">
        <f aca="false">IF(CP6=③기타_가정!$E$18,③기타_가정!$E$433,0)</f>
        <v>0</v>
      </c>
      <c r="CQ93" s="37" t="n">
        <f aca="false">IF(CQ6=③기타_가정!$E$18,③기타_가정!$E$433,0)</f>
        <v>0</v>
      </c>
      <c r="CR93" s="37" t="n">
        <f aca="false">IF(CR6=③기타_가정!$E$18,③기타_가정!$E$433,0)</f>
        <v>0</v>
      </c>
      <c r="CS93" s="37" t="n">
        <f aca="false">IF(CS6=③기타_가정!$E$18,③기타_가정!$E$433,0)</f>
        <v>0</v>
      </c>
      <c r="CT93" s="37" t="n">
        <f aca="false">IF(CT6=③기타_가정!$E$18,③기타_가정!$E$433,0)</f>
        <v>0</v>
      </c>
      <c r="CU93" s="37" t="n">
        <f aca="false">IF(CU6=③기타_가정!$E$18,③기타_가정!$E$433,0)</f>
        <v>0</v>
      </c>
      <c r="CV93" s="37" t="n">
        <f aca="false">IF(CV6=③기타_가정!$E$18,③기타_가정!$E$433,0)</f>
        <v>0</v>
      </c>
      <c r="CW93" s="37" t="n">
        <f aca="false">IF(CW6=③기타_가정!$E$18,③기타_가정!$E$433,0)</f>
        <v>0</v>
      </c>
      <c r="CX93" s="37" t="n">
        <f aca="false">IF(CX6=③기타_가정!$E$18,③기타_가정!$E$433,0)</f>
        <v>0</v>
      </c>
      <c r="CY93" s="37" t="n">
        <f aca="false">IF(CY6=③기타_가정!$E$18,③기타_가정!$E$433,0)</f>
        <v>0</v>
      </c>
      <c r="CZ93" s="37" t="n">
        <f aca="false">IF(CZ6=③기타_가정!$E$18,③기타_가정!$E$433,0)</f>
        <v>0</v>
      </c>
      <c r="DA93" s="37" t="n">
        <f aca="false">IF(DA6=③기타_가정!$E$18,③기타_가정!$E$433,0)</f>
        <v>0</v>
      </c>
      <c r="DB93" s="37" t="n">
        <f aca="false">IF(DB6=③기타_가정!$E$18,③기타_가정!$E$433,0)</f>
        <v>0</v>
      </c>
      <c r="DC93" s="37" t="n">
        <f aca="false">IF(DC6=③기타_가정!$E$18,③기타_가정!$E$433,0)</f>
        <v>0</v>
      </c>
      <c r="DD93" s="37" t="n">
        <f aca="false">IF(DD6=③기타_가정!$E$18,③기타_가정!$E$433,0)</f>
        <v>0</v>
      </c>
      <c r="DE93" s="37" t="n">
        <f aca="false">IF(DE6=③기타_가정!$E$18,③기타_가정!$E$433,0)</f>
        <v>0</v>
      </c>
      <c r="DF93" s="37" t="n">
        <f aca="false">IF(DF6=③기타_가정!$E$18,③기타_가정!$E$433,0)</f>
        <v>0</v>
      </c>
      <c r="DG93" s="37" t="n">
        <f aca="false">IF(DG6=③기타_가정!$E$18,③기타_가정!$E$433,0)</f>
        <v>0</v>
      </c>
      <c r="DH93" s="37" t="n">
        <f aca="false">IF(DH6=③기타_가정!$E$18,③기타_가정!$E$433,0)</f>
        <v>0</v>
      </c>
      <c r="DI93" s="37" t="n">
        <f aca="false">IF(DI6=③기타_가정!$E$18,③기타_가정!$E$433,0)</f>
        <v>0</v>
      </c>
      <c r="DJ93" s="37" t="n">
        <f aca="false">IF(DJ6=③기타_가정!$E$18,③기타_가정!$E$433,0)</f>
        <v>0</v>
      </c>
      <c r="DK93" s="37" t="n">
        <f aca="false">IF(DK6=③기타_가정!$E$18,③기타_가정!$E$433,0)</f>
        <v>0</v>
      </c>
      <c r="DL93" s="37" t="n">
        <f aca="false">IF(DL6=③기타_가정!$E$18,③기타_가정!$E$433,0)</f>
        <v>0</v>
      </c>
      <c r="DM93" s="37" t="n">
        <f aca="false">IF(DM6=③기타_가정!$E$18,③기타_가정!$E$433,0)</f>
        <v>0</v>
      </c>
      <c r="DN93" s="37" t="n">
        <f aca="false">IF(DN6=③기타_가정!$E$18,③기타_가정!$E$433,0)</f>
        <v>0</v>
      </c>
      <c r="DO93" s="37" t="n">
        <f aca="false">IF(DO6=③기타_가정!$E$18,③기타_가정!$E$433,0)</f>
        <v>0</v>
      </c>
      <c r="DP93" s="37" t="n">
        <f aca="false">IF(DP6=③기타_가정!$E$18,③기타_가정!$E$433,0)</f>
        <v>0</v>
      </c>
      <c r="DQ93" s="37" t="n">
        <f aca="false">IF(DQ6=③기타_가정!$E$18,③기타_가정!$E$433,0)</f>
        <v>0</v>
      </c>
      <c r="DR93" s="37" t="n">
        <f aca="false">IF(DR6=③기타_가정!$E$18,③기타_가정!$E$433,0)</f>
        <v>0</v>
      </c>
      <c r="DS93" s="37" t="n">
        <f aca="false">IF(DS6=③기타_가정!$E$18,③기타_가정!$E$433,0)</f>
        <v>0</v>
      </c>
      <c r="DT93" s="37" t="n">
        <f aca="false">IF(DT6=③기타_가정!$E$18,③기타_가정!$E$433,0)</f>
        <v>0</v>
      </c>
      <c r="DU93" s="37" t="n">
        <f aca="false">IF(DU6=③기타_가정!$E$18,③기타_가정!$E$433,0)</f>
        <v>0</v>
      </c>
      <c r="DV93" s="37" t="n">
        <f aca="false">IF(DV6=③기타_가정!$E$18,③기타_가정!$E$433,0)</f>
        <v>0</v>
      </c>
      <c r="DW93" s="37" t="n">
        <f aca="false">IF(DW6=③기타_가정!$E$18,③기타_가정!$E$433,0)</f>
        <v>0</v>
      </c>
      <c r="DX93" s="37" t="n">
        <f aca="false">IF(DX6=③기타_가정!$E$18,③기타_가정!$E$433,0)</f>
        <v>0</v>
      </c>
      <c r="DY93" s="37" t="n">
        <f aca="false">IF(DY6=③기타_가정!$E$18,③기타_가정!$E$433,0)</f>
        <v>0</v>
      </c>
      <c r="DZ93" s="37" t="n">
        <f aca="false">IF(DZ6=③기타_가정!$E$18,③기타_가정!$E$433,0)</f>
        <v>0</v>
      </c>
      <c r="EA93" s="37" t="n">
        <f aca="false">IF(EA6=③기타_가정!$E$18,③기타_가정!$E$433,0)</f>
        <v>0</v>
      </c>
      <c r="EB93" s="37" t="n">
        <f aca="false">IF(EB6=③기타_가정!$E$18,③기타_가정!$E$433,0)</f>
        <v>0</v>
      </c>
      <c r="EC93" s="37" t="n">
        <f aca="false">IF(EC6=③기타_가정!$E$18,③기타_가정!$E$433,0)</f>
        <v>0</v>
      </c>
      <c r="ED93" s="37" t="n">
        <f aca="false">IF(ED6=③기타_가정!$E$18,③기타_가정!$E$433,0)</f>
        <v>0</v>
      </c>
      <c r="EE93" s="37" t="n">
        <f aca="false">IF(EE6=③기타_가정!$E$18,③기타_가정!$E$433,0)</f>
        <v>0</v>
      </c>
      <c r="EF93" s="37" t="n">
        <f aca="false">IF(EF6=③기타_가정!$E$18,③기타_가정!$E$433,0)</f>
        <v>0</v>
      </c>
    </row>
    <row r="94" customFormat="false" ht="15" hidden="false" customHeight="false" outlineLevel="0" collapsed="false">
      <c r="A94" s="36" t="s">
        <v>635</v>
      </c>
      <c r="B94" s="278" t="s">
        <v>21</v>
      </c>
      <c r="C94" s="279" t="n">
        <f aca="false">SUM(E94:EF94)</f>
        <v>357976.367471295</v>
      </c>
      <c r="E94" s="37" t="n">
        <f aca="false">E13*③기타_가정!$R$381</f>
        <v>0</v>
      </c>
      <c r="F94" s="37" t="n">
        <f aca="false">F13*③기타_가정!$R$381</f>
        <v>0</v>
      </c>
      <c r="G94" s="37" t="n">
        <f aca="false">G13*③기타_가정!$R$381</f>
        <v>0</v>
      </c>
      <c r="H94" s="37" t="n">
        <f aca="false">H13*③기타_가정!$R$381</f>
        <v>0</v>
      </c>
      <c r="I94" s="37" t="n">
        <f aca="false">I13*③기타_가정!$R$381</f>
        <v>0</v>
      </c>
      <c r="J94" s="37" t="n">
        <f aca="false">J13*③기타_가정!$R$381</f>
        <v>0</v>
      </c>
      <c r="K94" s="37" t="n">
        <f aca="false">K13*③기타_가정!$R$381</f>
        <v>0</v>
      </c>
      <c r="L94" s="37" t="n">
        <f aca="false">L13*③기타_가정!$R$381</f>
        <v>0</v>
      </c>
      <c r="M94" s="37" t="n">
        <f aca="false">M13*③기타_가정!$R$381</f>
        <v>0</v>
      </c>
      <c r="N94" s="37" t="n">
        <f aca="false">N13*③기타_가정!$R$381</f>
        <v>0</v>
      </c>
      <c r="O94" s="37" t="n">
        <f aca="false">O13*③기타_가정!$R$381</f>
        <v>0</v>
      </c>
      <c r="P94" s="37" t="n">
        <f aca="false">P13*③기타_가정!$R$381</f>
        <v>0</v>
      </c>
      <c r="Q94" s="37" t="n">
        <f aca="false">Q13*③기타_가정!$R$381</f>
        <v>0</v>
      </c>
      <c r="R94" s="37" t="n">
        <f aca="false">R13*③기타_가정!$R$381</f>
        <v>0</v>
      </c>
      <c r="S94" s="37" t="n">
        <f aca="false">S13*③기타_가정!$R$381</f>
        <v>0</v>
      </c>
      <c r="T94" s="37" t="n">
        <f aca="false">T13*③기타_가정!$R$381</f>
        <v>0</v>
      </c>
      <c r="U94" s="37" t="n">
        <f aca="false">U13*③기타_가정!$R$381</f>
        <v>0</v>
      </c>
      <c r="V94" s="37" t="n">
        <f aca="false">V13*③기타_가정!$R$381</f>
        <v>0</v>
      </c>
      <c r="W94" s="37" t="n">
        <f aca="false">W13*③기타_가정!$R$381</f>
        <v>500.487263897067</v>
      </c>
      <c r="X94" s="37" t="n">
        <f aca="false">X13*③기타_가정!$R$381</f>
        <v>1498.66286389501</v>
      </c>
      <c r="Y94" s="37" t="n">
        <f aca="false">Y13*③기타_가정!$R$381</f>
        <v>2488.45733324397</v>
      </c>
      <c r="Z94" s="37" t="n">
        <f aca="false">Z13*③기타_가정!$R$381</f>
        <v>3464.33533977351</v>
      </c>
      <c r="AA94" s="37" t="n">
        <f aca="false">AA13*③기타_가정!$R$381</f>
        <v>4420.83937781818</v>
      </c>
      <c r="AB94" s="37" t="n">
        <f aca="false">AB13*③기타_가정!$R$381</f>
        <v>5352.62028880326</v>
      </c>
      <c r="AC94" s="37" t="n">
        <f aca="false">AC13*③기타_가정!$R$381</f>
        <v>6254.46717590909</v>
      </c>
      <c r="AD94" s="37" t="n">
        <f aca="false">AD13*③기타_가정!$R$381</f>
        <v>7121.33654551995</v>
      </c>
      <c r="AE94" s="37" t="n">
        <f aca="false">AE13*③기타_가정!$R$381</f>
        <v>7948.38051248611</v>
      </c>
      <c r="AF94" s="37" t="n">
        <f aca="false">AF13*③기타_가정!$R$381</f>
        <v>8730.97391146411</v>
      </c>
      <c r="AG94" s="37" t="n">
        <f aca="false">AG13*③기타_가정!$R$381</f>
        <v>9464.74016271757</v>
      </c>
      <c r="AH94" s="37" t="n">
        <f aca="false">AH13*③기타_가정!$R$381</f>
        <v>10145.5757477263</v>
      </c>
      <c r="AI94" s="37" t="n">
        <f aca="false">AI13*③기타_가정!$R$381</f>
        <v>10769.6731577263</v>
      </c>
      <c r="AJ94" s="37" t="n">
        <f aca="false">AJ13*③기타_가정!$R$381</f>
        <v>11333.5421868434</v>
      </c>
      <c r="AK94" s="37" t="n">
        <f aca="false">AK13*③기타_가정!$R$381</f>
        <v>11834.0294507405</v>
      </c>
      <c r="AL94" s="37" t="n">
        <f aca="false">AL13*③기타_가정!$R$381</f>
        <v>12268.3360216213</v>
      </c>
      <c r="AM94" s="37" t="n">
        <f aca="false">AM13*③기타_가정!$R$381</f>
        <v>12634.0330809703</v>
      </c>
      <c r="AN94" s="37" t="n">
        <f aca="false">AN13*③기타_가정!$R$381</f>
        <v>12929.075502491</v>
      </c>
      <c r="AO94" s="37" t="n">
        <f aca="false">AO13*③기타_가정!$R$381</f>
        <v>13151.8132892823</v>
      </c>
      <c r="AP94" s="37" t="n">
        <f aca="false">AP13*③기타_가정!$R$381</f>
        <v>13301.0008012894</v>
      </c>
      <c r="AQ94" s="37" t="n">
        <f aca="false">AQ13*③기타_가정!$R$381</f>
        <v>13375.8037214291</v>
      </c>
      <c r="AR94" s="37" t="n">
        <f aca="false">AR13*③기타_가정!$R$381</f>
        <v>13375.803721429</v>
      </c>
      <c r="AS94" s="37" t="n">
        <f aca="false">AS13*③기타_가정!$R$381</f>
        <v>13301.0008012894</v>
      </c>
      <c r="AT94" s="37" t="n">
        <f aca="false">AT13*③기타_가정!$R$381</f>
        <v>13151.8132892823</v>
      </c>
      <c r="AU94" s="37" t="n">
        <f aca="false">AU13*③기타_가정!$R$381</f>
        <v>12929.0755024911</v>
      </c>
      <c r="AV94" s="37" t="n">
        <f aca="false">AV13*③기타_가정!$R$381</f>
        <v>12634.0330809703</v>
      </c>
      <c r="AW94" s="37" t="n">
        <f aca="false">AW13*③기타_가정!$R$381</f>
        <v>12268.3360216212</v>
      </c>
      <c r="AX94" s="37" t="n">
        <f aca="false">AX13*③기타_가정!$R$381</f>
        <v>11834.0294507405</v>
      </c>
      <c r="AY94" s="37" t="n">
        <f aca="false">AY13*③기타_가정!$R$381</f>
        <v>11333.5421868435</v>
      </c>
      <c r="AZ94" s="37" t="n">
        <f aca="false">AZ13*③기타_가정!$R$381</f>
        <v>10769.6731577262</v>
      </c>
      <c r="BA94" s="37" t="n">
        <f aca="false">BA13*③기타_가정!$R$381</f>
        <v>10145.5757477262</v>
      </c>
      <c r="BB94" s="37" t="n">
        <f aca="false">BB13*③기타_가정!$R$381</f>
        <v>9464.7401627176</v>
      </c>
      <c r="BC94" s="37" t="n">
        <f aca="false">BC13*③기타_가정!$R$381</f>
        <v>8730.97391146411</v>
      </c>
      <c r="BD94" s="37" t="n">
        <f aca="false">BD13*③기타_가정!$R$381</f>
        <v>7948.38051248613</v>
      </c>
      <c r="BE94" s="37" t="n">
        <f aca="false">BE13*③기타_가정!$R$381</f>
        <v>7121.33654551989</v>
      </c>
      <c r="BF94" s="37" t="n">
        <f aca="false">BF13*③기타_가정!$R$381</f>
        <v>6254.46717590911</v>
      </c>
      <c r="BG94" s="37" t="n">
        <f aca="false">BG13*③기타_가정!$R$381</f>
        <v>5352.6202888033</v>
      </c>
      <c r="BH94" s="37" t="n">
        <f aca="false">BH13*③기타_가정!$R$381</f>
        <v>4420.83937781814</v>
      </c>
      <c r="BI94" s="37" t="n">
        <f aca="false">BI13*③기타_가정!$R$381</f>
        <v>3464.33533977353</v>
      </c>
      <c r="BJ94" s="37" t="n">
        <f aca="false">BJ13*③기타_가정!$R$381</f>
        <v>2488.45733324397</v>
      </c>
      <c r="BK94" s="37" t="n">
        <f aca="false">BK13*③기타_가정!$R$381</f>
        <v>1498.66286389501</v>
      </c>
      <c r="BL94" s="37" t="n">
        <f aca="false">BL13*③기타_가정!$R$381</f>
        <v>500.487263897067</v>
      </c>
      <c r="BM94" s="37" t="n">
        <f aca="false">BM13*③기타_가정!$R$381</f>
        <v>0</v>
      </c>
      <c r="BN94" s="37" t="n">
        <f aca="false">BN13*③기타_가정!$R$381</f>
        <v>0</v>
      </c>
      <c r="BO94" s="37" t="n">
        <f aca="false">BO13*③기타_가정!$R$381</f>
        <v>0</v>
      </c>
      <c r="BP94" s="37" t="n">
        <f aca="false">BP13*③기타_가정!$R$381</f>
        <v>0</v>
      </c>
      <c r="BQ94" s="37" t="n">
        <f aca="false">BQ13*③기타_가정!$R$381</f>
        <v>0</v>
      </c>
      <c r="BR94" s="37" t="n">
        <f aca="false">BR13*③기타_가정!$R$381</f>
        <v>0</v>
      </c>
      <c r="BS94" s="37" t="n">
        <f aca="false">BS13*③기타_가정!$R$381</f>
        <v>0</v>
      </c>
      <c r="BT94" s="37" t="n">
        <f aca="false">BT13*③기타_가정!$R$381</f>
        <v>0</v>
      </c>
      <c r="BU94" s="37" t="n">
        <f aca="false">BU13*③기타_가정!$R$381</f>
        <v>0</v>
      </c>
      <c r="BV94" s="37" t="n">
        <f aca="false">BV13*③기타_가정!$R$381</f>
        <v>0</v>
      </c>
      <c r="BW94" s="37" t="n">
        <f aca="false">BW13*③기타_가정!$R$381</f>
        <v>0</v>
      </c>
      <c r="BX94" s="37" t="n">
        <f aca="false">BX13*③기타_가정!$R$381</f>
        <v>0</v>
      </c>
      <c r="BY94" s="37" t="n">
        <f aca="false">BY13*③기타_가정!$R$381</f>
        <v>0</v>
      </c>
      <c r="BZ94" s="37" t="n">
        <f aca="false">BZ13*③기타_가정!$R$381</f>
        <v>0</v>
      </c>
      <c r="CA94" s="37" t="n">
        <f aca="false">CA13*③기타_가정!$R$381</f>
        <v>0</v>
      </c>
      <c r="CB94" s="37" t="n">
        <f aca="false">CB13*③기타_가정!$R$381</f>
        <v>0</v>
      </c>
      <c r="CC94" s="37" t="n">
        <f aca="false">CC13*③기타_가정!$R$381</f>
        <v>0</v>
      </c>
      <c r="CD94" s="37" t="n">
        <f aca="false">CD13*③기타_가정!$R$381</f>
        <v>0</v>
      </c>
      <c r="CE94" s="37" t="n">
        <f aca="false">CE13*③기타_가정!$R$381</f>
        <v>0</v>
      </c>
      <c r="CF94" s="37" t="n">
        <f aca="false">CF13*③기타_가정!$R$381</f>
        <v>0</v>
      </c>
      <c r="CG94" s="37" t="n">
        <f aca="false">CG13*③기타_가정!$R$381</f>
        <v>0</v>
      </c>
      <c r="CH94" s="37" t="n">
        <f aca="false">CH13*③기타_가정!$R$381</f>
        <v>0</v>
      </c>
      <c r="CI94" s="37" t="n">
        <f aca="false">CI13*③기타_가정!$R$381</f>
        <v>0</v>
      </c>
      <c r="CJ94" s="37" t="n">
        <f aca="false">CJ13*③기타_가정!$R$381</f>
        <v>0</v>
      </c>
      <c r="CK94" s="37" t="n">
        <f aca="false">CK13*③기타_가정!$R$381</f>
        <v>0</v>
      </c>
      <c r="CL94" s="37" t="n">
        <f aca="false">CL13*③기타_가정!$R$381</f>
        <v>0</v>
      </c>
      <c r="CM94" s="37" t="n">
        <f aca="false">CM13*③기타_가정!$R$381</f>
        <v>0</v>
      </c>
      <c r="CN94" s="37" t="n">
        <f aca="false">CN13*③기타_가정!$R$381</f>
        <v>0</v>
      </c>
      <c r="CO94" s="37" t="n">
        <f aca="false">CO13*③기타_가정!$R$381</f>
        <v>0</v>
      </c>
      <c r="CP94" s="37" t="n">
        <f aca="false">CP13*③기타_가정!$R$381</f>
        <v>0</v>
      </c>
      <c r="CQ94" s="37" t="n">
        <f aca="false">CQ13*③기타_가정!$R$381</f>
        <v>0</v>
      </c>
      <c r="CR94" s="37" t="n">
        <f aca="false">CR13*③기타_가정!$R$381</f>
        <v>0</v>
      </c>
      <c r="CS94" s="37" t="n">
        <f aca="false">CS13*③기타_가정!$R$381</f>
        <v>0</v>
      </c>
      <c r="CT94" s="37" t="n">
        <f aca="false">CT13*③기타_가정!$R$381</f>
        <v>0</v>
      </c>
      <c r="CU94" s="37" t="n">
        <f aca="false">CU13*③기타_가정!$R$381</f>
        <v>0</v>
      </c>
      <c r="CV94" s="37" t="n">
        <f aca="false">CV13*③기타_가정!$R$381</f>
        <v>0</v>
      </c>
      <c r="CW94" s="37" t="n">
        <f aca="false">CW13*③기타_가정!$R$381</f>
        <v>0</v>
      </c>
      <c r="CX94" s="37" t="n">
        <f aca="false">CX13*③기타_가정!$R$381</f>
        <v>0</v>
      </c>
      <c r="CY94" s="37" t="n">
        <f aca="false">CY13*③기타_가정!$R$381</f>
        <v>0</v>
      </c>
      <c r="CZ94" s="37" t="n">
        <f aca="false">CZ13*③기타_가정!$R$381</f>
        <v>0</v>
      </c>
      <c r="DA94" s="37" t="n">
        <f aca="false">DA13*③기타_가정!$R$381</f>
        <v>0</v>
      </c>
      <c r="DB94" s="37" t="n">
        <f aca="false">DB13*③기타_가정!$R$381</f>
        <v>0</v>
      </c>
      <c r="DC94" s="37" t="n">
        <f aca="false">DC13*③기타_가정!$R$381</f>
        <v>0</v>
      </c>
      <c r="DD94" s="37" t="n">
        <f aca="false">DD13*③기타_가정!$R$381</f>
        <v>0</v>
      </c>
      <c r="DE94" s="37" t="n">
        <f aca="false">DE13*③기타_가정!$R$381</f>
        <v>0</v>
      </c>
      <c r="DF94" s="37" t="n">
        <f aca="false">DF13*③기타_가정!$R$381</f>
        <v>0</v>
      </c>
      <c r="DG94" s="37" t="n">
        <f aca="false">DG13*③기타_가정!$R$381</f>
        <v>0</v>
      </c>
      <c r="DH94" s="37" t="n">
        <f aca="false">DH13*③기타_가정!$R$381</f>
        <v>0</v>
      </c>
      <c r="DI94" s="37" t="n">
        <f aca="false">DI13*③기타_가정!$R$381</f>
        <v>0</v>
      </c>
      <c r="DJ94" s="37" t="n">
        <f aca="false">DJ13*③기타_가정!$R$381</f>
        <v>0</v>
      </c>
      <c r="DK94" s="37" t="n">
        <f aca="false">DK13*③기타_가정!$R$381</f>
        <v>0</v>
      </c>
      <c r="DL94" s="37" t="n">
        <f aca="false">DL13*③기타_가정!$R$381</f>
        <v>0</v>
      </c>
      <c r="DM94" s="37" t="n">
        <f aca="false">DM13*③기타_가정!$R$381</f>
        <v>0</v>
      </c>
      <c r="DN94" s="37" t="n">
        <f aca="false">DN13*③기타_가정!$R$381</f>
        <v>0</v>
      </c>
      <c r="DO94" s="37" t="n">
        <f aca="false">DO13*③기타_가정!$R$381</f>
        <v>0</v>
      </c>
      <c r="DP94" s="37" t="n">
        <f aca="false">DP13*③기타_가정!$R$381</f>
        <v>0</v>
      </c>
      <c r="DQ94" s="37" t="n">
        <f aca="false">DQ13*③기타_가정!$R$381</f>
        <v>0</v>
      </c>
      <c r="DR94" s="37" t="n">
        <f aca="false">DR13*③기타_가정!$R$381</f>
        <v>0</v>
      </c>
      <c r="DS94" s="37" t="n">
        <f aca="false">DS13*③기타_가정!$R$381</f>
        <v>0</v>
      </c>
      <c r="DT94" s="37" t="n">
        <f aca="false">DT13*③기타_가정!$R$381</f>
        <v>0</v>
      </c>
      <c r="DU94" s="37" t="n">
        <f aca="false">DU13*③기타_가정!$R$381</f>
        <v>0</v>
      </c>
      <c r="DV94" s="37" t="n">
        <f aca="false">DV13*③기타_가정!$R$381</f>
        <v>0</v>
      </c>
      <c r="DW94" s="37" t="n">
        <f aca="false">DW13*③기타_가정!$R$381</f>
        <v>0</v>
      </c>
      <c r="DX94" s="37" t="n">
        <f aca="false">DX13*③기타_가정!$R$381</f>
        <v>0</v>
      </c>
      <c r="DY94" s="37" t="n">
        <f aca="false">DY13*③기타_가정!$R$381</f>
        <v>0</v>
      </c>
      <c r="DZ94" s="37" t="n">
        <f aca="false">DZ13*③기타_가정!$R$381</f>
        <v>0</v>
      </c>
      <c r="EA94" s="37" t="n">
        <f aca="false">EA13*③기타_가정!$R$381</f>
        <v>0</v>
      </c>
      <c r="EB94" s="37" t="n">
        <f aca="false">EB13*③기타_가정!$R$381</f>
        <v>0</v>
      </c>
      <c r="EC94" s="37" t="n">
        <f aca="false">EC13*③기타_가정!$R$381</f>
        <v>0</v>
      </c>
      <c r="ED94" s="37" t="n">
        <f aca="false">ED13*③기타_가정!$R$381</f>
        <v>0</v>
      </c>
      <c r="EE94" s="37" t="n">
        <f aca="false">EE13*③기타_가정!$R$381</f>
        <v>0</v>
      </c>
      <c r="EF94" s="37" t="n">
        <f aca="false">EF13*③기타_가정!$R$381</f>
        <v>0</v>
      </c>
    </row>
    <row r="95" customFormat="false" ht="15" hidden="false" customHeight="false" outlineLevel="0" collapsed="false">
      <c r="A95" s="36" t="s">
        <v>25</v>
      </c>
      <c r="B95" s="278" t="s">
        <v>21</v>
      </c>
      <c r="C95" s="279" t="n">
        <f aca="false">SUM(E95:EF95)</f>
        <v>20000</v>
      </c>
      <c r="E95" s="37" t="n">
        <f aca="false">E11*③기타_가정!$R$386/③기타_가정!$E$15</f>
        <v>0</v>
      </c>
      <c r="F95" s="37" t="n">
        <f aca="false">F11*③기타_가정!$R$386/③기타_가정!$E$15</f>
        <v>0</v>
      </c>
      <c r="G95" s="37" t="n">
        <f aca="false">G11*③기타_가정!$R$386/③기타_가정!$E$15</f>
        <v>0</v>
      </c>
      <c r="H95" s="37" t="n">
        <f aca="false">H11*③기타_가정!$R$386/③기타_가정!$E$15</f>
        <v>0</v>
      </c>
      <c r="I95" s="37" t="n">
        <f aca="false">I11*③기타_가정!$R$386/③기타_가정!$E$15</f>
        <v>0</v>
      </c>
      <c r="J95" s="37" t="n">
        <f aca="false">J11*③기타_가정!$R$386/③기타_가정!$E$15</f>
        <v>0</v>
      </c>
      <c r="K95" s="37" t="n">
        <f aca="false">K11*③기타_가정!$R$386/③기타_가정!$E$15</f>
        <v>0</v>
      </c>
      <c r="L95" s="37" t="n">
        <f aca="false">L11*③기타_가정!$R$386/③기타_가정!$E$15</f>
        <v>0</v>
      </c>
      <c r="M95" s="37" t="n">
        <f aca="false">M11*③기타_가정!$R$386/③기타_가정!$E$15</f>
        <v>0</v>
      </c>
      <c r="N95" s="37" t="n">
        <f aca="false">N11*③기타_가정!$R$386/③기타_가정!$E$15</f>
        <v>0</v>
      </c>
      <c r="O95" s="37" t="n">
        <f aca="false">O11*③기타_가정!$R$386/③기타_가정!$E$15</f>
        <v>0</v>
      </c>
      <c r="P95" s="37" t="n">
        <f aca="false">P11*③기타_가정!$R$386/③기타_가정!$E$15</f>
        <v>0</v>
      </c>
      <c r="Q95" s="37" t="n">
        <f aca="false">Q11*③기타_가정!$R$386/③기타_가정!$E$15</f>
        <v>0</v>
      </c>
      <c r="R95" s="37" t="n">
        <f aca="false">R11*③기타_가정!$R$386/③기타_가정!$E$15</f>
        <v>0</v>
      </c>
      <c r="S95" s="37" t="n">
        <f aca="false">S11*③기타_가정!$R$386/③기타_가정!$E$15</f>
        <v>0</v>
      </c>
      <c r="T95" s="37" t="n">
        <f aca="false">T11*③기타_가정!$R$386/③기타_가정!$E$15</f>
        <v>0</v>
      </c>
      <c r="U95" s="37" t="n">
        <f aca="false">U11*③기타_가정!$R$386/③기타_가정!$E$15</f>
        <v>0</v>
      </c>
      <c r="V95" s="37" t="n">
        <f aca="false">V11*③기타_가정!$R$386/③기타_가정!$E$15</f>
        <v>0</v>
      </c>
      <c r="W95" s="37" t="n">
        <f aca="false">W11*③기타_가정!$R$386/③기타_가정!$E$15</f>
        <v>476.190476190476</v>
      </c>
      <c r="X95" s="37" t="n">
        <f aca="false">X11*③기타_가정!$R$386/③기타_가정!$E$15</f>
        <v>476.190476190476</v>
      </c>
      <c r="Y95" s="37" t="n">
        <f aca="false">Y11*③기타_가정!$R$386/③기타_가정!$E$15</f>
        <v>476.190476190476</v>
      </c>
      <c r="Z95" s="37" t="n">
        <f aca="false">Z11*③기타_가정!$R$386/③기타_가정!$E$15</f>
        <v>476.190476190476</v>
      </c>
      <c r="AA95" s="37" t="n">
        <f aca="false">AA11*③기타_가정!$R$386/③기타_가정!$E$15</f>
        <v>476.190476190476</v>
      </c>
      <c r="AB95" s="37" t="n">
        <f aca="false">AB11*③기타_가정!$R$386/③기타_가정!$E$15</f>
        <v>476.190476190476</v>
      </c>
      <c r="AC95" s="37" t="n">
        <f aca="false">AC11*③기타_가정!$R$386/③기타_가정!$E$15</f>
        <v>476.190476190476</v>
      </c>
      <c r="AD95" s="37" t="n">
        <f aca="false">AD11*③기타_가정!$R$386/③기타_가정!$E$15</f>
        <v>476.190476190476</v>
      </c>
      <c r="AE95" s="37" t="n">
        <f aca="false">AE11*③기타_가정!$R$386/③기타_가정!$E$15</f>
        <v>476.190476190476</v>
      </c>
      <c r="AF95" s="37" t="n">
        <f aca="false">AF11*③기타_가정!$R$386/③기타_가정!$E$15</f>
        <v>476.190476190476</v>
      </c>
      <c r="AG95" s="37" t="n">
        <f aca="false">AG11*③기타_가정!$R$386/③기타_가정!$E$15</f>
        <v>476.190476190476</v>
      </c>
      <c r="AH95" s="37" t="n">
        <f aca="false">AH11*③기타_가정!$R$386/③기타_가정!$E$15</f>
        <v>476.190476190476</v>
      </c>
      <c r="AI95" s="37" t="n">
        <f aca="false">AI11*③기타_가정!$R$386/③기타_가정!$E$15</f>
        <v>476.190476190476</v>
      </c>
      <c r="AJ95" s="37" t="n">
        <f aca="false">AJ11*③기타_가정!$R$386/③기타_가정!$E$15</f>
        <v>476.190476190476</v>
      </c>
      <c r="AK95" s="37" t="n">
        <f aca="false">AK11*③기타_가정!$R$386/③기타_가정!$E$15</f>
        <v>476.190476190476</v>
      </c>
      <c r="AL95" s="37" t="n">
        <f aca="false">AL11*③기타_가정!$R$386/③기타_가정!$E$15</f>
        <v>476.190476190476</v>
      </c>
      <c r="AM95" s="37" t="n">
        <f aca="false">AM11*③기타_가정!$R$386/③기타_가정!$E$15</f>
        <v>476.190476190476</v>
      </c>
      <c r="AN95" s="37" t="n">
        <f aca="false">AN11*③기타_가정!$R$386/③기타_가정!$E$15</f>
        <v>476.190476190476</v>
      </c>
      <c r="AO95" s="37" t="n">
        <f aca="false">AO11*③기타_가정!$R$386/③기타_가정!$E$15</f>
        <v>476.190476190476</v>
      </c>
      <c r="AP95" s="37" t="n">
        <f aca="false">AP11*③기타_가정!$R$386/③기타_가정!$E$15</f>
        <v>476.190476190476</v>
      </c>
      <c r="AQ95" s="37" t="n">
        <f aca="false">AQ11*③기타_가정!$R$386/③기타_가정!$E$15</f>
        <v>476.190476190476</v>
      </c>
      <c r="AR95" s="37" t="n">
        <f aca="false">AR11*③기타_가정!$R$386/③기타_가정!$E$15</f>
        <v>476.190476190476</v>
      </c>
      <c r="AS95" s="37" t="n">
        <f aca="false">AS11*③기타_가정!$R$386/③기타_가정!$E$15</f>
        <v>476.190476190476</v>
      </c>
      <c r="AT95" s="37" t="n">
        <f aca="false">AT11*③기타_가정!$R$386/③기타_가정!$E$15</f>
        <v>476.190476190476</v>
      </c>
      <c r="AU95" s="37" t="n">
        <f aca="false">AU11*③기타_가정!$R$386/③기타_가정!$E$15</f>
        <v>476.190476190476</v>
      </c>
      <c r="AV95" s="37" t="n">
        <f aca="false">AV11*③기타_가정!$R$386/③기타_가정!$E$15</f>
        <v>476.190476190476</v>
      </c>
      <c r="AW95" s="37" t="n">
        <f aca="false">AW11*③기타_가정!$R$386/③기타_가정!$E$15</f>
        <v>476.190476190476</v>
      </c>
      <c r="AX95" s="37" t="n">
        <f aca="false">AX11*③기타_가정!$R$386/③기타_가정!$E$15</f>
        <v>476.190476190476</v>
      </c>
      <c r="AY95" s="37" t="n">
        <f aca="false">AY11*③기타_가정!$R$386/③기타_가정!$E$15</f>
        <v>476.190476190476</v>
      </c>
      <c r="AZ95" s="37" t="n">
        <f aca="false">AZ11*③기타_가정!$R$386/③기타_가정!$E$15</f>
        <v>476.190476190476</v>
      </c>
      <c r="BA95" s="37" t="n">
        <f aca="false">BA11*③기타_가정!$R$386/③기타_가정!$E$15</f>
        <v>476.190476190476</v>
      </c>
      <c r="BB95" s="37" t="n">
        <f aca="false">BB11*③기타_가정!$R$386/③기타_가정!$E$15</f>
        <v>476.190476190476</v>
      </c>
      <c r="BC95" s="37" t="n">
        <f aca="false">BC11*③기타_가정!$R$386/③기타_가정!$E$15</f>
        <v>476.190476190476</v>
      </c>
      <c r="BD95" s="37" t="n">
        <f aca="false">BD11*③기타_가정!$R$386/③기타_가정!$E$15</f>
        <v>476.190476190476</v>
      </c>
      <c r="BE95" s="37" t="n">
        <f aca="false">BE11*③기타_가정!$R$386/③기타_가정!$E$15</f>
        <v>476.190476190476</v>
      </c>
      <c r="BF95" s="37" t="n">
        <f aca="false">BF11*③기타_가정!$R$386/③기타_가정!$E$15</f>
        <v>476.190476190476</v>
      </c>
      <c r="BG95" s="37" t="n">
        <f aca="false">BG11*③기타_가정!$R$386/③기타_가정!$E$15</f>
        <v>476.190476190476</v>
      </c>
      <c r="BH95" s="37" t="n">
        <f aca="false">BH11*③기타_가정!$R$386/③기타_가정!$E$15</f>
        <v>476.190476190476</v>
      </c>
      <c r="BI95" s="37" t="n">
        <f aca="false">BI11*③기타_가정!$R$386/③기타_가정!$E$15</f>
        <v>476.190476190476</v>
      </c>
      <c r="BJ95" s="37" t="n">
        <f aca="false">BJ11*③기타_가정!$R$386/③기타_가정!$E$15</f>
        <v>476.190476190476</v>
      </c>
      <c r="BK95" s="37" t="n">
        <f aca="false">BK11*③기타_가정!$R$386/③기타_가정!$E$15</f>
        <v>476.190476190476</v>
      </c>
      <c r="BL95" s="37" t="n">
        <f aca="false">BL11*③기타_가정!$R$386/③기타_가정!$E$15</f>
        <v>476.190476190476</v>
      </c>
      <c r="BM95" s="37" t="n">
        <f aca="false">BM11*③기타_가정!$R$386/③기타_가정!$E$15</f>
        <v>0</v>
      </c>
      <c r="BN95" s="37" t="n">
        <f aca="false">BN11*③기타_가정!$R$386/③기타_가정!$E$15</f>
        <v>0</v>
      </c>
      <c r="BO95" s="37" t="n">
        <f aca="false">BO11*③기타_가정!$R$386/③기타_가정!$E$15</f>
        <v>0</v>
      </c>
      <c r="BP95" s="37" t="n">
        <f aca="false">BP11*③기타_가정!$R$386/③기타_가정!$E$15</f>
        <v>0</v>
      </c>
      <c r="BQ95" s="37" t="n">
        <f aca="false">BQ11*③기타_가정!$R$386/③기타_가정!$E$15</f>
        <v>0</v>
      </c>
      <c r="BR95" s="37" t="n">
        <f aca="false">BR11*③기타_가정!$R$386/③기타_가정!$E$15</f>
        <v>0</v>
      </c>
      <c r="BS95" s="37" t="n">
        <f aca="false">BS11*③기타_가정!$R$386/③기타_가정!$E$15</f>
        <v>0</v>
      </c>
      <c r="BT95" s="37" t="n">
        <f aca="false">BT11*③기타_가정!$R$386/③기타_가정!$E$15</f>
        <v>0</v>
      </c>
      <c r="BU95" s="37" t="n">
        <f aca="false">BU11*③기타_가정!$R$386/③기타_가정!$E$15</f>
        <v>0</v>
      </c>
      <c r="BV95" s="37" t="n">
        <f aca="false">BV11*③기타_가정!$R$386/③기타_가정!$E$15</f>
        <v>0</v>
      </c>
      <c r="BW95" s="37" t="n">
        <f aca="false">BW11*③기타_가정!$R$386/③기타_가정!$E$15</f>
        <v>0</v>
      </c>
      <c r="BX95" s="37" t="n">
        <f aca="false">BX11*③기타_가정!$R$386/③기타_가정!$E$15</f>
        <v>0</v>
      </c>
      <c r="BY95" s="37" t="n">
        <f aca="false">BY11*③기타_가정!$R$386/③기타_가정!$E$15</f>
        <v>0</v>
      </c>
      <c r="BZ95" s="37" t="n">
        <f aca="false">BZ11*③기타_가정!$R$386/③기타_가정!$E$15</f>
        <v>0</v>
      </c>
      <c r="CA95" s="37" t="n">
        <f aca="false">CA11*③기타_가정!$R$386/③기타_가정!$E$15</f>
        <v>0</v>
      </c>
      <c r="CB95" s="37" t="n">
        <f aca="false">CB11*③기타_가정!$R$386/③기타_가정!$E$15</f>
        <v>0</v>
      </c>
      <c r="CC95" s="37" t="n">
        <f aca="false">CC11*③기타_가정!$R$386/③기타_가정!$E$15</f>
        <v>0</v>
      </c>
      <c r="CD95" s="37" t="n">
        <f aca="false">CD11*③기타_가정!$R$386/③기타_가정!$E$15</f>
        <v>0</v>
      </c>
      <c r="CE95" s="37" t="n">
        <f aca="false">CE11*③기타_가정!$R$386/③기타_가정!$E$15</f>
        <v>0</v>
      </c>
      <c r="CF95" s="37" t="n">
        <f aca="false">CF11*③기타_가정!$R$386/③기타_가정!$E$15</f>
        <v>0</v>
      </c>
      <c r="CG95" s="37" t="n">
        <f aca="false">CG11*③기타_가정!$R$386/③기타_가정!$E$15</f>
        <v>0</v>
      </c>
      <c r="CH95" s="37" t="n">
        <f aca="false">CH11*③기타_가정!$R$386/③기타_가정!$E$15</f>
        <v>0</v>
      </c>
      <c r="CI95" s="37" t="n">
        <f aca="false">CI11*③기타_가정!$R$386/③기타_가정!$E$15</f>
        <v>0</v>
      </c>
      <c r="CJ95" s="37" t="n">
        <f aca="false">CJ11*③기타_가정!$R$386/③기타_가정!$E$15</f>
        <v>0</v>
      </c>
      <c r="CK95" s="37" t="n">
        <f aca="false">CK11*③기타_가정!$R$386/③기타_가정!$E$15</f>
        <v>0</v>
      </c>
      <c r="CL95" s="37" t="n">
        <f aca="false">CL11*③기타_가정!$R$386/③기타_가정!$E$15</f>
        <v>0</v>
      </c>
      <c r="CM95" s="37" t="n">
        <f aca="false">CM11*③기타_가정!$R$386/③기타_가정!$E$15</f>
        <v>0</v>
      </c>
      <c r="CN95" s="37" t="n">
        <f aca="false">CN11*③기타_가정!$R$386/③기타_가정!$E$15</f>
        <v>0</v>
      </c>
      <c r="CO95" s="37" t="n">
        <f aca="false">CO11*③기타_가정!$R$386/③기타_가정!$E$15</f>
        <v>0</v>
      </c>
      <c r="CP95" s="37" t="n">
        <f aca="false">CP11*③기타_가정!$R$386/③기타_가정!$E$15</f>
        <v>0</v>
      </c>
      <c r="CQ95" s="37" t="n">
        <f aca="false">CQ11*③기타_가정!$R$386/③기타_가정!$E$15</f>
        <v>0</v>
      </c>
      <c r="CR95" s="37" t="n">
        <f aca="false">CR11*③기타_가정!$R$386/③기타_가정!$E$15</f>
        <v>0</v>
      </c>
      <c r="CS95" s="37" t="n">
        <f aca="false">CS11*③기타_가정!$R$386/③기타_가정!$E$15</f>
        <v>0</v>
      </c>
      <c r="CT95" s="37" t="n">
        <f aca="false">CT11*③기타_가정!$R$386/③기타_가정!$E$15</f>
        <v>0</v>
      </c>
      <c r="CU95" s="37" t="n">
        <f aca="false">CU11*③기타_가정!$R$386/③기타_가정!$E$15</f>
        <v>0</v>
      </c>
      <c r="CV95" s="37" t="n">
        <f aca="false">CV11*③기타_가정!$R$386/③기타_가정!$E$15</f>
        <v>0</v>
      </c>
      <c r="CW95" s="37" t="n">
        <f aca="false">CW11*③기타_가정!$R$386/③기타_가정!$E$15</f>
        <v>0</v>
      </c>
      <c r="CX95" s="37" t="n">
        <f aca="false">CX11*③기타_가정!$R$386/③기타_가정!$E$15</f>
        <v>0</v>
      </c>
      <c r="CY95" s="37" t="n">
        <f aca="false">CY11*③기타_가정!$R$386/③기타_가정!$E$15</f>
        <v>0</v>
      </c>
      <c r="CZ95" s="37" t="n">
        <f aca="false">CZ11*③기타_가정!$R$386/③기타_가정!$E$15</f>
        <v>0</v>
      </c>
      <c r="DA95" s="37" t="n">
        <f aca="false">DA11*③기타_가정!$R$386/③기타_가정!$E$15</f>
        <v>0</v>
      </c>
      <c r="DB95" s="37" t="n">
        <f aca="false">DB11*③기타_가정!$R$386/③기타_가정!$E$15</f>
        <v>0</v>
      </c>
      <c r="DC95" s="37" t="n">
        <f aca="false">DC11*③기타_가정!$R$386/③기타_가정!$E$15</f>
        <v>0</v>
      </c>
      <c r="DD95" s="37" t="n">
        <f aca="false">DD11*③기타_가정!$R$386/③기타_가정!$E$15</f>
        <v>0</v>
      </c>
      <c r="DE95" s="37" t="n">
        <f aca="false">DE11*③기타_가정!$R$386/③기타_가정!$E$15</f>
        <v>0</v>
      </c>
      <c r="DF95" s="37" t="n">
        <f aca="false">DF11*③기타_가정!$R$386/③기타_가정!$E$15</f>
        <v>0</v>
      </c>
      <c r="DG95" s="37" t="n">
        <f aca="false">DG11*③기타_가정!$R$386/③기타_가정!$E$15</f>
        <v>0</v>
      </c>
      <c r="DH95" s="37" t="n">
        <f aca="false">DH11*③기타_가정!$R$386/③기타_가정!$E$15</f>
        <v>0</v>
      </c>
      <c r="DI95" s="37" t="n">
        <f aca="false">DI11*③기타_가정!$R$386/③기타_가정!$E$15</f>
        <v>0</v>
      </c>
      <c r="DJ95" s="37" t="n">
        <f aca="false">DJ11*③기타_가정!$R$386/③기타_가정!$E$15</f>
        <v>0</v>
      </c>
      <c r="DK95" s="37" t="n">
        <f aca="false">DK11*③기타_가정!$R$386/③기타_가정!$E$15</f>
        <v>0</v>
      </c>
      <c r="DL95" s="37" t="n">
        <f aca="false">DL11*③기타_가정!$R$386/③기타_가정!$E$15</f>
        <v>0</v>
      </c>
      <c r="DM95" s="37" t="n">
        <f aca="false">DM11*③기타_가정!$R$386/③기타_가정!$E$15</f>
        <v>0</v>
      </c>
      <c r="DN95" s="37" t="n">
        <f aca="false">DN11*③기타_가정!$R$386/③기타_가정!$E$15</f>
        <v>0</v>
      </c>
      <c r="DO95" s="37" t="n">
        <f aca="false">DO11*③기타_가정!$R$386/③기타_가정!$E$15</f>
        <v>0</v>
      </c>
      <c r="DP95" s="37" t="n">
        <f aca="false">DP11*③기타_가정!$R$386/③기타_가정!$E$15</f>
        <v>0</v>
      </c>
      <c r="DQ95" s="37" t="n">
        <f aca="false">DQ11*③기타_가정!$R$386/③기타_가정!$E$15</f>
        <v>0</v>
      </c>
      <c r="DR95" s="37" t="n">
        <f aca="false">DR11*③기타_가정!$R$386/③기타_가정!$E$15</f>
        <v>0</v>
      </c>
      <c r="DS95" s="37" t="n">
        <f aca="false">DS11*③기타_가정!$R$386/③기타_가정!$E$15</f>
        <v>0</v>
      </c>
      <c r="DT95" s="37" t="n">
        <f aca="false">DT11*③기타_가정!$R$386/③기타_가정!$E$15</f>
        <v>0</v>
      </c>
      <c r="DU95" s="37" t="n">
        <f aca="false">DU11*③기타_가정!$R$386/③기타_가정!$E$15</f>
        <v>0</v>
      </c>
      <c r="DV95" s="37" t="n">
        <f aca="false">DV11*③기타_가정!$R$386/③기타_가정!$E$15</f>
        <v>0</v>
      </c>
      <c r="DW95" s="37" t="n">
        <f aca="false">DW11*③기타_가정!$R$386/③기타_가정!$E$15</f>
        <v>0</v>
      </c>
      <c r="DX95" s="37" t="n">
        <f aca="false">DX11*③기타_가정!$R$386/③기타_가정!$E$15</f>
        <v>0</v>
      </c>
      <c r="DY95" s="37" t="n">
        <f aca="false">DY11*③기타_가정!$R$386/③기타_가정!$E$15</f>
        <v>0</v>
      </c>
      <c r="DZ95" s="37" t="n">
        <f aca="false">DZ11*③기타_가정!$R$386/③기타_가정!$E$15</f>
        <v>0</v>
      </c>
      <c r="EA95" s="37" t="n">
        <f aca="false">EA11*③기타_가정!$R$386/③기타_가정!$E$15</f>
        <v>0</v>
      </c>
      <c r="EB95" s="37" t="n">
        <f aca="false">EB11*③기타_가정!$R$386/③기타_가정!$E$15</f>
        <v>0</v>
      </c>
      <c r="EC95" s="37" t="n">
        <f aca="false">EC11*③기타_가정!$R$386/③기타_가정!$E$15</f>
        <v>0</v>
      </c>
      <c r="ED95" s="37" t="n">
        <f aca="false">ED11*③기타_가정!$R$386/③기타_가정!$E$15</f>
        <v>0</v>
      </c>
      <c r="EE95" s="37" t="n">
        <f aca="false">EE11*③기타_가정!$R$386/③기타_가정!$E$15</f>
        <v>0</v>
      </c>
      <c r="EF95" s="37" t="n">
        <f aca="false">EF11*③기타_가정!$R$386/③기타_가정!$E$15</f>
        <v>0</v>
      </c>
    </row>
    <row r="96" customFormat="false" ht="15" hidden="false" customHeight="false" outlineLevel="0" collapsed="false">
      <c r="A96" s="36" t="s">
        <v>636</v>
      </c>
      <c r="B96" s="278" t="s">
        <v>21</v>
      </c>
      <c r="C96" s="279" t="n">
        <f aca="false">SUM(E96:EF96)</f>
        <v>23056.2154162386</v>
      </c>
      <c r="E96" s="37" t="n">
        <f aca="false">IF(E6=③기타_가정!$E$16,③기타_가정!$R$389,0)</f>
        <v>0</v>
      </c>
      <c r="F96" s="37" t="n">
        <f aca="false">IF(F6=③기타_가정!$E$16,③기타_가정!$R$389,0)</f>
        <v>0</v>
      </c>
      <c r="G96" s="37" t="n">
        <f aca="false">IF(G6=③기타_가정!$E$16,③기타_가정!$R$389,0)</f>
        <v>0</v>
      </c>
      <c r="H96" s="37" t="n">
        <f aca="false">IF(H6=③기타_가정!$E$16,③기타_가정!$R$389,0)</f>
        <v>0</v>
      </c>
      <c r="I96" s="37" t="n">
        <f aca="false">IF(I6=③기타_가정!$E$16,③기타_가정!$R$389,0)</f>
        <v>0</v>
      </c>
      <c r="J96" s="37" t="n">
        <f aca="false">IF(J6=③기타_가정!$E$16,③기타_가정!$R$389,0)</f>
        <v>0</v>
      </c>
      <c r="K96" s="37" t="n">
        <f aca="false">IF(K6=③기타_가정!$E$16,③기타_가정!$R$389,0)</f>
        <v>0</v>
      </c>
      <c r="L96" s="37" t="n">
        <f aca="false">IF(L6=③기타_가정!$E$16,③기타_가정!$R$389,0)</f>
        <v>0</v>
      </c>
      <c r="M96" s="37" t="n">
        <f aca="false">IF(M6=③기타_가정!$E$16,③기타_가정!$R$389,0)</f>
        <v>0</v>
      </c>
      <c r="N96" s="37" t="n">
        <f aca="false">IF(N6=③기타_가정!$E$16,③기타_가정!$R$389,0)</f>
        <v>0</v>
      </c>
      <c r="O96" s="37" t="n">
        <f aca="false">IF(O6=③기타_가정!$E$16,③기타_가정!$R$389,0)</f>
        <v>0</v>
      </c>
      <c r="P96" s="37" t="n">
        <f aca="false">IF(P6=③기타_가정!$E$16,③기타_가정!$R$389,0)</f>
        <v>0</v>
      </c>
      <c r="Q96" s="37" t="n">
        <f aca="false">IF(Q6=③기타_가정!$E$16,③기타_가정!$R$389,0)</f>
        <v>0</v>
      </c>
      <c r="R96" s="37" t="n">
        <f aca="false">IF(R6=③기타_가정!$E$16,③기타_가정!$R$389,0)</f>
        <v>0</v>
      </c>
      <c r="S96" s="37" t="n">
        <f aca="false">IF(S6=③기타_가정!$E$16,③기타_가정!$R$389,0)</f>
        <v>0</v>
      </c>
      <c r="T96" s="37" t="n">
        <f aca="false">IF(T6=③기타_가정!$E$16,③기타_가정!$R$389,0)</f>
        <v>0</v>
      </c>
      <c r="U96" s="37" t="n">
        <f aca="false">IF(U6=③기타_가정!$E$16,③기타_가정!$R$389,0)</f>
        <v>0</v>
      </c>
      <c r="V96" s="37" t="n">
        <f aca="false">IF(V6=③기타_가정!$E$16,③기타_가정!$R$389,0)</f>
        <v>0</v>
      </c>
      <c r="W96" s="37" t="n">
        <f aca="false">IF(W6=③기타_가정!$E$16,③기타_가정!$R$389,0)</f>
        <v>0</v>
      </c>
      <c r="X96" s="37" t="n">
        <f aca="false">IF(X6=③기타_가정!$E$16,③기타_가정!$R$389,0)</f>
        <v>0</v>
      </c>
      <c r="Y96" s="37" t="n">
        <f aca="false">IF(Y6=③기타_가정!$E$16,③기타_가정!$R$389,0)</f>
        <v>0</v>
      </c>
      <c r="Z96" s="37" t="n">
        <f aca="false">IF(Z6=③기타_가정!$E$16,③기타_가정!$R$389,0)</f>
        <v>0</v>
      </c>
      <c r="AA96" s="37" t="n">
        <f aca="false">IF(AA6=③기타_가정!$E$16,③기타_가정!$R$389,0)</f>
        <v>0</v>
      </c>
      <c r="AB96" s="37" t="n">
        <f aca="false">IF(AB6=③기타_가정!$E$16,③기타_가정!$R$389,0)</f>
        <v>0</v>
      </c>
      <c r="AC96" s="37" t="n">
        <f aca="false">IF(AC6=③기타_가정!$E$16,③기타_가정!$R$389,0)</f>
        <v>0</v>
      </c>
      <c r="AD96" s="37" t="n">
        <f aca="false">IF(AD6=③기타_가정!$E$16,③기타_가정!$R$389,0)</f>
        <v>0</v>
      </c>
      <c r="AE96" s="37" t="n">
        <f aca="false">IF(AE6=③기타_가정!$E$16,③기타_가정!$R$389,0)</f>
        <v>0</v>
      </c>
      <c r="AF96" s="37" t="n">
        <f aca="false">IF(AF6=③기타_가정!$E$16,③기타_가정!$R$389,0)</f>
        <v>0</v>
      </c>
      <c r="AG96" s="37" t="n">
        <f aca="false">IF(AG6=③기타_가정!$E$16,③기타_가정!$R$389,0)</f>
        <v>0</v>
      </c>
      <c r="AH96" s="37" t="n">
        <f aca="false">IF(AH6=③기타_가정!$E$16,③기타_가정!$R$389,0)</f>
        <v>0</v>
      </c>
      <c r="AI96" s="37" t="n">
        <f aca="false">IF(AI6=③기타_가정!$E$16,③기타_가정!$R$389,0)</f>
        <v>0</v>
      </c>
      <c r="AJ96" s="37" t="n">
        <f aca="false">IF(AJ6=③기타_가정!$E$16,③기타_가정!$R$389,0)</f>
        <v>0</v>
      </c>
      <c r="AK96" s="37" t="n">
        <f aca="false">IF(AK6=③기타_가정!$E$16,③기타_가정!$R$389,0)</f>
        <v>0</v>
      </c>
      <c r="AL96" s="37" t="n">
        <f aca="false">IF(AL6=③기타_가정!$E$16,③기타_가정!$R$389,0)</f>
        <v>0</v>
      </c>
      <c r="AM96" s="37" t="n">
        <f aca="false">IF(AM6=③기타_가정!$E$16,③기타_가정!$R$389,0)</f>
        <v>0</v>
      </c>
      <c r="AN96" s="37" t="n">
        <f aca="false">IF(AN6=③기타_가정!$E$16,③기타_가정!$R$389,0)</f>
        <v>0</v>
      </c>
      <c r="AO96" s="37" t="n">
        <f aca="false">IF(AO6=③기타_가정!$E$16,③기타_가정!$R$389,0)</f>
        <v>0</v>
      </c>
      <c r="AP96" s="37" t="n">
        <f aca="false">IF(AP6=③기타_가정!$E$16,③기타_가정!$R$389,0)</f>
        <v>0</v>
      </c>
      <c r="AQ96" s="37" t="n">
        <f aca="false">IF(AQ6=③기타_가정!$E$16,③기타_가정!$R$389,0)</f>
        <v>0</v>
      </c>
      <c r="AR96" s="37" t="n">
        <f aca="false">IF(AR6=③기타_가정!$E$16,③기타_가정!$R$389,0)</f>
        <v>0</v>
      </c>
      <c r="AS96" s="37" t="n">
        <f aca="false">IF(AS6=③기타_가정!$E$16,③기타_가정!$R$389,0)</f>
        <v>0</v>
      </c>
      <c r="AT96" s="37" t="n">
        <f aca="false">IF(AT6=③기타_가정!$E$16,③기타_가정!$R$389,0)</f>
        <v>0</v>
      </c>
      <c r="AU96" s="37" t="n">
        <f aca="false">IF(AU6=③기타_가정!$E$16,③기타_가정!$R$389,0)</f>
        <v>0</v>
      </c>
      <c r="AV96" s="37" t="n">
        <f aca="false">IF(AV6=③기타_가정!$E$16,③기타_가정!$R$389,0)</f>
        <v>0</v>
      </c>
      <c r="AW96" s="37" t="n">
        <f aca="false">IF(AW6=③기타_가정!$E$16,③기타_가정!$R$389,0)</f>
        <v>0</v>
      </c>
      <c r="AX96" s="37" t="n">
        <f aca="false">IF(AX6=③기타_가정!$E$16,③기타_가정!$R$389,0)</f>
        <v>0</v>
      </c>
      <c r="AY96" s="37" t="n">
        <f aca="false">IF(AY6=③기타_가정!$E$16,③기타_가정!$R$389,0)</f>
        <v>0</v>
      </c>
      <c r="AZ96" s="37" t="n">
        <f aca="false">IF(AZ6=③기타_가정!$E$16,③기타_가정!$R$389,0)</f>
        <v>0</v>
      </c>
      <c r="BA96" s="37" t="n">
        <f aca="false">IF(BA6=③기타_가정!$E$16,③기타_가정!$R$389,0)</f>
        <v>0</v>
      </c>
      <c r="BB96" s="37" t="n">
        <f aca="false">IF(BB6=③기타_가정!$E$16,③기타_가정!$R$389,0)</f>
        <v>0</v>
      </c>
      <c r="BC96" s="37" t="n">
        <f aca="false">IF(BC6=③기타_가정!$E$16,③기타_가정!$R$389,0)</f>
        <v>0</v>
      </c>
      <c r="BD96" s="37" t="n">
        <f aca="false">IF(BD6=③기타_가정!$E$16,③기타_가정!$R$389,0)</f>
        <v>0</v>
      </c>
      <c r="BE96" s="37" t="n">
        <f aca="false">IF(BE6=③기타_가정!$E$16,③기타_가정!$R$389,0)</f>
        <v>0</v>
      </c>
      <c r="BF96" s="37" t="n">
        <f aca="false">IF(BF6=③기타_가정!$E$16,③기타_가정!$R$389,0)</f>
        <v>0</v>
      </c>
      <c r="BG96" s="37" t="n">
        <f aca="false">IF(BG6=③기타_가정!$E$16,③기타_가정!$R$389,0)</f>
        <v>0</v>
      </c>
      <c r="BH96" s="37" t="n">
        <f aca="false">IF(BH6=③기타_가정!$E$16,③기타_가정!$R$389,0)</f>
        <v>0</v>
      </c>
      <c r="BI96" s="37" t="n">
        <f aca="false">IF(BI6=③기타_가정!$E$16,③기타_가정!$R$389,0)</f>
        <v>0</v>
      </c>
      <c r="BJ96" s="37" t="n">
        <f aca="false">IF(BJ6=③기타_가정!$E$16,③기타_가정!$R$389,0)</f>
        <v>0</v>
      </c>
      <c r="BK96" s="37" t="n">
        <f aca="false">IF(BK6=③기타_가정!$E$16,③기타_가정!$R$389,0)</f>
        <v>0</v>
      </c>
      <c r="BL96" s="37" t="n">
        <f aca="false">IF(BL6=③기타_가정!$E$16,③기타_가정!$R$389,0)</f>
        <v>23056.2154162386</v>
      </c>
      <c r="BM96" s="37" t="n">
        <f aca="false">IF(BM6=③기타_가정!$E$16,③기타_가정!$R$389,0)</f>
        <v>0</v>
      </c>
      <c r="BN96" s="37" t="n">
        <f aca="false">IF(BN6=③기타_가정!$E$16,③기타_가정!$R$389,0)</f>
        <v>0</v>
      </c>
      <c r="BO96" s="37" t="n">
        <f aca="false">IF(BO6=③기타_가정!$E$16,③기타_가정!$R$389,0)</f>
        <v>0</v>
      </c>
      <c r="BP96" s="37" t="n">
        <f aca="false">IF(BP6=③기타_가정!$E$16,③기타_가정!$R$389,0)</f>
        <v>0</v>
      </c>
      <c r="BQ96" s="37" t="n">
        <f aca="false">IF(BQ6=③기타_가정!$E$16,③기타_가정!$R$389,0)</f>
        <v>0</v>
      </c>
      <c r="BR96" s="37" t="n">
        <f aca="false">IF(BR6=③기타_가정!$E$16,③기타_가정!$R$389,0)</f>
        <v>0</v>
      </c>
      <c r="BS96" s="37" t="n">
        <f aca="false">IF(BS6=③기타_가정!$E$16,③기타_가정!$R$389,0)</f>
        <v>0</v>
      </c>
      <c r="BT96" s="37" t="n">
        <f aca="false">IF(BT6=③기타_가정!$E$16,③기타_가정!$R$389,0)</f>
        <v>0</v>
      </c>
      <c r="BU96" s="37" t="n">
        <f aca="false">IF(BU6=③기타_가정!$E$16,③기타_가정!$R$389,0)</f>
        <v>0</v>
      </c>
      <c r="BV96" s="37" t="n">
        <f aca="false">IF(BV6=③기타_가정!$E$16,③기타_가정!$R$389,0)</f>
        <v>0</v>
      </c>
      <c r="BW96" s="37" t="n">
        <f aca="false">IF(BW6=③기타_가정!$E$16,③기타_가정!$R$389,0)</f>
        <v>0</v>
      </c>
      <c r="BX96" s="37" t="n">
        <f aca="false">IF(BX6=③기타_가정!$E$16,③기타_가정!$R$389,0)</f>
        <v>0</v>
      </c>
      <c r="BY96" s="37" t="n">
        <f aca="false">IF(BY6=③기타_가정!$E$16,③기타_가정!$R$389,0)</f>
        <v>0</v>
      </c>
      <c r="BZ96" s="37" t="n">
        <f aca="false">IF(BZ6=③기타_가정!$E$16,③기타_가정!$R$389,0)</f>
        <v>0</v>
      </c>
      <c r="CA96" s="37" t="n">
        <f aca="false">IF(CA6=③기타_가정!$E$16,③기타_가정!$R$389,0)</f>
        <v>0</v>
      </c>
      <c r="CB96" s="37" t="n">
        <f aca="false">IF(CB6=③기타_가정!$E$16,③기타_가정!$R$389,0)</f>
        <v>0</v>
      </c>
      <c r="CC96" s="37" t="n">
        <f aca="false">IF(CC6=③기타_가정!$E$16,③기타_가정!$R$389,0)</f>
        <v>0</v>
      </c>
      <c r="CD96" s="37" t="n">
        <f aca="false">IF(CD6=③기타_가정!$E$16,③기타_가정!$R$389,0)</f>
        <v>0</v>
      </c>
      <c r="CE96" s="37" t="n">
        <f aca="false">IF(CE6=③기타_가정!$E$16,③기타_가정!$R$389,0)</f>
        <v>0</v>
      </c>
      <c r="CF96" s="37" t="n">
        <f aca="false">IF(CF6=③기타_가정!$E$16,③기타_가정!$R$389,0)</f>
        <v>0</v>
      </c>
      <c r="CG96" s="37" t="n">
        <f aca="false">IF(CG6=③기타_가정!$E$16,③기타_가정!$R$389,0)</f>
        <v>0</v>
      </c>
      <c r="CH96" s="37" t="n">
        <f aca="false">IF(CH6=③기타_가정!$E$16,③기타_가정!$R$389,0)</f>
        <v>0</v>
      </c>
      <c r="CI96" s="37" t="n">
        <f aca="false">IF(CI6=③기타_가정!$E$16,③기타_가정!$R$389,0)</f>
        <v>0</v>
      </c>
      <c r="CJ96" s="37" t="n">
        <f aca="false">IF(CJ6=③기타_가정!$E$16,③기타_가정!$R$389,0)</f>
        <v>0</v>
      </c>
      <c r="CK96" s="37" t="n">
        <f aca="false">IF(CK6=③기타_가정!$E$16,③기타_가정!$R$389,0)</f>
        <v>0</v>
      </c>
      <c r="CL96" s="37" t="n">
        <f aca="false">IF(CL6=③기타_가정!$E$16,③기타_가정!$R$389,0)</f>
        <v>0</v>
      </c>
      <c r="CM96" s="37" t="n">
        <f aca="false">IF(CM6=③기타_가정!$E$16,③기타_가정!$R$389,0)</f>
        <v>0</v>
      </c>
      <c r="CN96" s="37" t="n">
        <f aca="false">IF(CN6=③기타_가정!$E$16,③기타_가정!$R$389,0)</f>
        <v>0</v>
      </c>
      <c r="CO96" s="37" t="n">
        <f aca="false">IF(CO6=③기타_가정!$E$16,③기타_가정!$R$389,0)</f>
        <v>0</v>
      </c>
      <c r="CP96" s="37" t="n">
        <f aca="false">IF(CP6=③기타_가정!$E$16,③기타_가정!$R$389,0)</f>
        <v>0</v>
      </c>
      <c r="CQ96" s="37" t="n">
        <f aca="false">IF(CQ6=③기타_가정!$E$16,③기타_가정!$R$389,0)</f>
        <v>0</v>
      </c>
      <c r="CR96" s="37" t="n">
        <f aca="false">IF(CR6=③기타_가정!$E$16,③기타_가정!$R$389,0)</f>
        <v>0</v>
      </c>
      <c r="CS96" s="37" t="n">
        <f aca="false">IF(CS6=③기타_가정!$E$16,③기타_가정!$R$389,0)</f>
        <v>0</v>
      </c>
      <c r="CT96" s="37" t="n">
        <f aca="false">IF(CT6=③기타_가정!$E$16,③기타_가정!$R$389,0)</f>
        <v>0</v>
      </c>
      <c r="CU96" s="37" t="n">
        <f aca="false">IF(CU6=③기타_가정!$E$16,③기타_가정!$R$389,0)</f>
        <v>0</v>
      </c>
      <c r="CV96" s="37" t="n">
        <f aca="false">IF(CV6=③기타_가정!$E$16,③기타_가정!$R$389,0)</f>
        <v>0</v>
      </c>
      <c r="CW96" s="37" t="n">
        <f aca="false">IF(CW6=③기타_가정!$E$16,③기타_가정!$R$389,0)</f>
        <v>0</v>
      </c>
      <c r="CX96" s="37" t="n">
        <f aca="false">IF(CX6=③기타_가정!$E$16,③기타_가정!$R$389,0)</f>
        <v>0</v>
      </c>
      <c r="CY96" s="37" t="n">
        <f aca="false">IF(CY6=③기타_가정!$E$16,③기타_가정!$R$389,0)</f>
        <v>0</v>
      </c>
      <c r="CZ96" s="37" t="n">
        <f aca="false">IF(CZ6=③기타_가정!$E$16,③기타_가정!$R$389,0)</f>
        <v>0</v>
      </c>
      <c r="DA96" s="37" t="n">
        <f aca="false">IF(DA6=③기타_가정!$E$16,③기타_가정!$R$389,0)</f>
        <v>0</v>
      </c>
      <c r="DB96" s="37" t="n">
        <f aca="false">IF(DB6=③기타_가정!$E$16,③기타_가정!$R$389,0)</f>
        <v>0</v>
      </c>
      <c r="DC96" s="37" t="n">
        <f aca="false">IF(DC6=③기타_가정!$E$16,③기타_가정!$R$389,0)</f>
        <v>0</v>
      </c>
      <c r="DD96" s="37" t="n">
        <f aca="false">IF(DD6=③기타_가정!$E$16,③기타_가정!$R$389,0)</f>
        <v>0</v>
      </c>
      <c r="DE96" s="37" t="n">
        <f aca="false">IF(DE6=③기타_가정!$E$16,③기타_가정!$R$389,0)</f>
        <v>0</v>
      </c>
      <c r="DF96" s="37" t="n">
        <f aca="false">IF(DF6=③기타_가정!$E$16,③기타_가정!$R$389,0)</f>
        <v>0</v>
      </c>
      <c r="DG96" s="37" t="n">
        <f aca="false">IF(DG6=③기타_가정!$E$16,③기타_가정!$R$389,0)</f>
        <v>0</v>
      </c>
      <c r="DH96" s="37" t="n">
        <f aca="false">IF(DH6=③기타_가정!$E$16,③기타_가정!$R$389,0)</f>
        <v>0</v>
      </c>
      <c r="DI96" s="37" t="n">
        <f aca="false">IF(DI6=③기타_가정!$E$16,③기타_가정!$R$389,0)</f>
        <v>0</v>
      </c>
      <c r="DJ96" s="37" t="n">
        <f aca="false">IF(DJ6=③기타_가정!$E$16,③기타_가정!$R$389,0)</f>
        <v>0</v>
      </c>
      <c r="DK96" s="37" t="n">
        <f aca="false">IF(DK6=③기타_가정!$E$16,③기타_가정!$R$389,0)</f>
        <v>0</v>
      </c>
      <c r="DL96" s="37" t="n">
        <f aca="false">IF(DL6=③기타_가정!$E$16,③기타_가정!$R$389,0)</f>
        <v>0</v>
      </c>
      <c r="DM96" s="37" t="n">
        <f aca="false">IF(DM6=③기타_가정!$E$16,③기타_가정!$R$389,0)</f>
        <v>0</v>
      </c>
      <c r="DN96" s="37" t="n">
        <f aca="false">IF(DN6=③기타_가정!$E$16,③기타_가정!$R$389,0)</f>
        <v>0</v>
      </c>
      <c r="DO96" s="37" t="n">
        <f aca="false">IF(DO6=③기타_가정!$E$16,③기타_가정!$R$389,0)</f>
        <v>0</v>
      </c>
      <c r="DP96" s="37" t="n">
        <f aca="false">IF(DP6=③기타_가정!$E$16,③기타_가정!$R$389,0)</f>
        <v>0</v>
      </c>
      <c r="DQ96" s="37" t="n">
        <f aca="false">IF(DQ6=③기타_가정!$E$16,③기타_가정!$R$389,0)</f>
        <v>0</v>
      </c>
      <c r="DR96" s="37" t="n">
        <f aca="false">IF(DR6=③기타_가정!$E$16,③기타_가정!$R$389,0)</f>
        <v>0</v>
      </c>
      <c r="DS96" s="37" t="n">
        <f aca="false">IF(DS6=③기타_가정!$E$16,③기타_가정!$R$389,0)</f>
        <v>0</v>
      </c>
      <c r="DT96" s="37" t="n">
        <f aca="false">IF(DT6=③기타_가정!$E$16,③기타_가정!$R$389,0)</f>
        <v>0</v>
      </c>
      <c r="DU96" s="37" t="n">
        <f aca="false">IF(DU6=③기타_가정!$E$16,③기타_가정!$R$389,0)</f>
        <v>0</v>
      </c>
      <c r="DV96" s="37" t="n">
        <f aca="false">IF(DV6=③기타_가정!$E$16,③기타_가정!$R$389,0)</f>
        <v>0</v>
      </c>
      <c r="DW96" s="37" t="n">
        <f aca="false">IF(DW6=③기타_가정!$E$16,③기타_가정!$R$389,0)</f>
        <v>0</v>
      </c>
      <c r="DX96" s="37" t="n">
        <f aca="false">IF(DX6=③기타_가정!$E$16,③기타_가정!$R$389,0)</f>
        <v>0</v>
      </c>
      <c r="DY96" s="37" t="n">
        <f aca="false">IF(DY6=③기타_가정!$E$16,③기타_가정!$R$389,0)</f>
        <v>0</v>
      </c>
      <c r="DZ96" s="37" t="n">
        <f aca="false">IF(DZ6=③기타_가정!$E$16,③기타_가정!$R$389,0)</f>
        <v>0</v>
      </c>
      <c r="EA96" s="37" t="n">
        <f aca="false">IF(EA6=③기타_가정!$E$16,③기타_가정!$R$389,0)</f>
        <v>0</v>
      </c>
      <c r="EB96" s="37" t="n">
        <f aca="false">IF(EB6=③기타_가정!$E$16,③기타_가정!$R$389,0)</f>
        <v>0</v>
      </c>
      <c r="EC96" s="37" t="n">
        <f aca="false">IF(EC6=③기타_가정!$E$16,③기타_가정!$R$389,0)</f>
        <v>0</v>
      </c>
      <c r="ED96" s="37" t="n">
        <f aca="false">IF(ED6=③기타_가정!$E$16,③기타_가정!$R$389,0)</f>
        <v>0</v>
      </c>
      <c r="EE96" s="37" t="n">
        <f aca="false">IF(EE6=③기타_가정!$E$16,③기타_가정!$R$389,0)</f>
        <v>0</v>
      </c>
      <c r="EF96" s="37" t="n">
        <f aca="false">IF(EF6=③기타_가정!$E$16,③기타_가정!$R$389,0)</f>
        <v>0</v>
      </c>
    </row>
    <row r="97" customFormat="false" ht="15" hidden="false" customHeight="false" outlineLevel="0" collapsed="false">
      <c r="A97" s="36" t="s">
        <v>637</v>
      </c>
      <c r="B97" s="278" t="s">
        <v>21</v>
      </c>
      <c r="C97" s="279" t="n">
        <f aca="false">SUM(E97:EF97)</f>
        <v>1551.006591135</v>
      </c>
      <c r="E97" s="37" t="n">
        <f aca="false">IF(E6=③기타_가정!$E$8,③기타_가정!$R$409+③기타_가정!$R$410+③기타_가정!$R$411,0)</f>
        <v>1551.006591135</v>
      </c>
      <c r="F97" s="37" t="n">
        <f aca="false">IF(F6=③기타_가정!$E$8,③기타_가정!$R$409+③기타_가정!$R$410+③기타_가정!$R$411,0)</f>
        <v>0</v>
      </c>
      <c r="G97" s="37" t="n">
        <f aca="false">IF(G6=③기타_가정!$E$8,③기타_가정!$R$409+③기타_가정!$R$410+③기타_가정!$R$411,0)</f>
        <v>0</v>
      </c>
      <c r="H97" s="37" t="n">
        <f aca="false">IF(H6=③기타_가정!$E$8,③기타_가정!$R$409+③기타_가정!$R$410+③기타_가정!$R$411,0)</f>
        <v>0</v>
      </c>
      <c r="I97" s="37" t="n">
        <f aca="false">IF(I6=③기타_가정!$E$8,③기타_가정!$R$409+③기타_가정!$R$410+③기타_가정!$R$411,0)</f>
        <v>0</v>
      </c>
      <c r="J97" s="37" t="n">
        <f aca="false">IF(J6=③기타_가정!$E$8,③기타_가정!$R$409+③기타_가정!$R$410+③기타_가정!$R$411,0)</f>
        <v>0</v>
      </c>
      <c r="K97" s="37" t="n">
        <f aca="false">IF(K6=③기타_가정!$E$8,③기타_가정!$R$409+③기타_가정!$R$410+③기타_가정!$R$411,0)</f>
        <v>0</v>
      </c>
      <c r="L97" s="37" t="n">
        <f aca="false">IF(L6=③기타_가정!$E$8,③기타_가정!$R$409+③기타_가정!$R$410+③기타_가정!$R$411,0)</f>
        <v>0</v>
      </c>
      <c r="M97" s="37" t="n">
        <f aca="false">IF(M6=③기타_가정!$E$8,③기타_가정!$R$409+③기타_가정!$R$410+③기타_가정!$R$411,0)</f>
        <v>0</v>
      </c>
      <c r="N97" s="37" t="n">
        <f aca="false">IF(N6=③기타_가정!$E$8,③기타_가정!$R$409+③기타_가정!$R$410+③기타_가정!$R$411,0)</f>
        <v>0</v>
      </c>
      <c r="O97" s="37" t="n">
        <f aca="false">IF(O6=③기타_가정!$E$8,③기타_가정!$R$409+③기타_가정!$R$410+③기타_가정!$R$411,0)</f>
        <v>0</v>
      </c>
      <c r="P97" s="37" t="n">
        <f aca="false">IF(P6=③기타_가정!$E$8,③기타_가정!$R$409+③기타_가정!$R$410+③기타_가정!$R$411,0)</f>
        <v>0</v>
      </c>
      <c r="Q97" s="37" t="n">
        <f aca="false">IF(Q6=③기타_가정!$E$8,③기타_가정!$R$409+③기타_가정!$R$410+③기타_가정!$R$411,0)</f>
        <v>0</v>
      </c>
      <c r="R97" s="37" t="n">
        <f aca="false">IF(R6=③기타_가정!$E$8,③기타_가정!$R$409+③기타_가정!$R$410+③기타_가정!$R$411,0)</f>
        <v>0</v>
      </c>
      <c r="S97" s="37" t="n">
        <f aca="false">IF(S6=③기타_가정!$E$8,③기타_가정!$R$409+③기타_가정!$R$410+③기타_가정!$R$411,0)</f>
        <v>0</v>
      </c>
      <c r="T97" s="37" t="n">
        <f aca="false">IF(T6=③기타_가정!$E$8,③기타_가정!$R$409+③기타_가정!$R$410+③기타_가정!$R$411,0)</f>
        <v>0</v>
      </c>
      <c r="U97" s="37" t="n">
        <f aca="false">IF(U6=③기타_가정!$E$8,③기타_가정!$R$409+③기타_가정!$R$410+③기타_가정!$R$411,0)</f>
        <v>0</v>
      </c>
      <c r="V97" s="37" t="n">
        <f aca="false">IF(V6=③기타_가정!$E$8,③기타_가정!$R$409+③기타_가정!$R$410+③기타_가정!$R$411,0)</f>
        <v>0</v>
      </c>
      <c r="W97" s="37" t="n">
        <f aca="false">IF(W6=③기타_가정!$E$8,③기타_가정!$R$409+③기타_가정!$R$410+③기타_가정!$R$411,0)</f>
        <v>0</v>
      </c>
      <c r="X97" s="37" t="n">
        <f aca="false">IF(X6=③기타_가정!$E$8,③기타_가정!$R$409+③기타_가정!$R$410+③기타_가정!$R$411,0)</f>
        <v>0</v>
      </c>
      <c r="Y97" s="37" t="n">
        <f aca="false">IF(Y6=③기타_가정!$E$8,③기타_가정!$R$409+③기타_가정!$R$410+③기타_가정!$R$411,0)</f>
        <v>0</v>
      </c>
      <c r="Z97" s="37" t="n">
        <f aca="false">IF(Z6=③기타_가정!$E$8,③기타_가정!$R$409+③기타_가정!$R$410+③기타_가정!$R$411,0)</f>
        <v>0</v>
      </c>
      <c r="AA97" s="37" t="n">
        <f aca="false">IF(AA6=③기타_가정!$E$8,③기타_가정!$R$409+③기타_가정!$R$410+③기타_가정!$R$411,0)</f>
        <v>0</v>
      </c>
      <c r="AB97" s="37" t="n">
        <f aca="false">IF(AB6=③기타_가정!$E$8,③기타_가정!$R$409+③기타_가정!$R$410+③기타_가정!$R$411,0)</f>
        <v>0</v>
      </c>
      <c r="AC97" s="37" t="n">
        <f aca="false">IF(AC6=③기타_가정!$E$8,③기타_가정!$R$409+③기타_가정!$R$410+③기타_가정!$R$411,0)</f>
        <v>0</v>
      </c>
      <c r="AD97" s="37" t="n">
        <f aca="false">IF(AD6=③기타_가정!$E$8,③기타_가정!$R$409+③기타_가정!$R$410+③기타_가정!$R$411,0)</f>
        <v>0</v>
      </c>
      <c r="AE97" s="37" t="n">
        <f aca="false">IF(AE6=③기타_가정!$E$8,③기타_가정!$R$409+③기타_가정!$R$410+③기타_가정!$R$411,0)</f>
        <v>0</v>
      </c>
      <c r="AF97" s="37" t="n">
        <f aca="false">IF(AF6=③기타_가정!$E$8,③기타_가정!$R$409+③기타_가정!$R$410+③기타_가정!$R$411,0)</f>
        <v>0</v>
      </c>
      <c r="AG97" s="37" t="n">
        <f aca="false">IF(AG6=③기타_가정!$E$8,③기타_가정!$R$409+③기타_가정!$R$410+③기타_가정!$R$411,0)</f>
        <v>0</v>
      </c>
      <c r="AH97" s="37" t="n">
        <f aca="false">IF(AH6=③기타_가정!$E$8,③기타_가정!$R$409+③기타_가정!$R$410+③기타_가정!$R$411,0)</f>
        <v>0</v>
      </c>
      <c r="AI97" s="37" t="n">
        <f aca="false">IF(AI6=③기타_가정!$E$8,③기타_가정!$R$409+③기타_가정!$R$410+③기타_가정!$R$411,0)</f>
        <v>0</v>
      </c>
      <c r="AJ97" s="37" t="n">
        <f aca="false">IF(AJ6=③기타_가정!$E$8,③기타_가정!$R$409+③기타_가정!$R$410+③기타_가정!$R$411,0)</f>
        <v>0</v>
      </c>
      <c r="AK97" s="37" t="n">
        <f aca="false">IF(AK6=③기타_가정!$E$8,③기타_가정!$R$409+③기타_가정!$R$410+③기타_가정!$R$411,0)</f>
        <v>0</v>
      </c>
      <c r="AL97" s="37" t="n">
        <f aca="false">IF(AL6=③기타_가정!$E$8,③기타_가정!$R$409+③기타_가정!$R$410+③기타_가정!$R$411,0)</f>
        <v>0</v>
      </c>
      <c r="AM97" s="37" t="n">
        <f aca="false">IF(AM6=③기타_가정!$E$8,③기타_가정!$R$409+③기타_가정!$R$410+③기타_가정!$R$411,0)</f>
        <v>0</v>
      </c>
      <c r="AN97" s="37" t="n">
        <f aca="false">IF(AN6=③기타_가정!$E$8,③기타_가정!$R$409+③기타_가정!$R$410+③기타_가정!$R$411,0)</f>
        <v>0</v>
      </c>
      <c r="AO97" s="37" t="n">
        <f aca="false">IF(AO6=③기타_가정!$E$8,③기타_가정!$R$409+③기타_가정!$R$410+③기타_가정!$R$411,0)</f>
        <v>0</v>
      </c>
      <c r="AP97" s="37" t="n">
        <f aca="false">IF(AP6=③기타_가정!$E$8,③기타_가정!$R$409+③기타_가정!$R$410+③기타_가정!$R$411,0)</f>
        <v>0</v>
      </c>
      <c r="AQ97" s="37" t="n">
        <f aca="false">IF(AQ6=③기타_가정!$E$8,③기타_가정!$R$409+③기타_가정!$R$410+③기타_가정!$R$411,0)</f>
        <v>0</v>
      </c>
      <c r="AR97" s="37" t="n">
        <f aca="false">IF(AR6=③기타_가정!$E$8,③기타_가정!$R$409+③기타_가정!$R$410+③기타_가정!$R$411,0)</f>
        <v>0</v>
      </c>
      <c r="AS97" s="37" t="n">
        <f aca="false">IF(AS6=③기타_가정!$E$8,③기타_가정!$R$409+③기타_가정!$R$410+③기타_가정!$R$411,0)</f>
        <v>0</v>
      </c>
      <c r="AT97" s="37" t="n">
        <f aca="false">IF(AT6=③기타_가정!$E$8,③기타_가정!$R$409+③기타_가정!$R$410+③기타_가정!$R$411,0)</f>
        <v>0</v>
      </c>
      <c r="AU97" s="37" t="n">
        <f aca="false">IF(AU6=③기타_가정!$E$8,③기타_가정!$R$409+③기타_가정!$R$410+③기타_가정!$R$411,0)</f>
        <v>0</v>
      </c>
      <c r="AV97" s="37" t="n">
        <f aca="false">IF(AV6=③기타_가정!$E$8,③기타_가정!$R$409+③기타_가정!$R$410+③기타_가정!$R$411,0)</f>
        <v>0</v>
      </c>
      <c r="AW97" s="37" t="n">
        <f aca="false">IF(AW6=③기타_가정!$E$8,③기타_가정!$R$409+③기타_가정!$R$410+③기타_가정!$R$411,0)</f>
        <v>0</v>
      </c>
      <c r="AX97" s="37" t="n">
        <f aca="false">IF(AX6=③기타_가정!$E$8,③기타_가정!$R$409+③기타_가정!$R$410+③기타_가정!$R$411,0)</f>
        <v>0</v>
      </c>
      <c r="AY97" s="37" t="n">
        <f aca="false">IF(AY6=③기타_가정!$E$8,③기타_가정!$R$409+③기타_가정!$R$410+③기타_가정!$R$411,0)</f>
        <v>0</v>
      </c>
      <c r="AZ97" s="37" t="n">
        <f aca="false">IF(AZ6=③기타_가정!$E$8,③기타_가정!$R$409+③기타_가정!$R$410+③기타_가정!$R$411,0)</f>
        <v>0</v>
      </c>
      <c r="BA97" s="37" t="n">
        <f aca="false">IF(BA6=③기타_가정!$E$8,③기타_가정!$R$409+③기타_가정!$R$410+③기타_가정!$R$411,0)</f>
        <v>0</v>
      </c>
      <c r="BB97" s="37" t="n">
        <f aca="false">IF(BB6=③기타_가정!$E$8,③기타_가정!$R$409+③기타_가정!$R$410+③기타_가정!$R$411,0)</f>
        <v>0</v>
      </c>
      <c r="BC97" s="37" t="n">
        <f aca="false">IF(BC6=③기타_가정!$E$8,③기타_가정!$R$409+③기타_가정!$R$410+③기타_가정!$R$411,0)</f>
        <v>0</v>
      </c>
      <c r="BD97" s="37" t="n">
        <f aca="false">IF(BD6=③기타_가정!$E$8,③기타_가정!$R$409+③기타_가정!$R$410+③기타_가정!$R$411,0)</f>
        <v>0</v>
      </c>
      <c r="BE97" s="37" t="n">
        <f aca="false">IF(BE6=③기타_가정!$E$8,③기타_가정!$R$409+③기타_가정!$R$410+③기타_가정!$R$411,0)</f>
        <v>0</v>
      </c>
      <c r="BF97" s="37" t="n">
        <f aca="false">IF(BF6=③기타_가정!$E$8,③기타_가정!$R$409+③기타_가정!$R$410+③기타_가정!$R$411,0)</f>
        <v>0</v>
      </c>
      <c r="BG97" s="37" t="n">
        <f aca="false">IF(BG6=③기타_가정!$E$8,③기타_가정!$R$409+③기타_가정!$R$410+③기타_가정!$R$411,0)</f>
        <v>0</v>
      </c>
      <c r="BH97" s="37" t="n">
        <f aca="false">IF(BH6=③기타_가정!$E$8,③기타_가정!$R$409+③기타_가정!$R$410+③기타_가정!$R$411,0)</f>
        <v>0</v>
      </c>
      <c r="BI97" s="37" t="n">
        <f aca="false">IF(BI6=③기타_가정!$E$8,③기타_가정!$R$409+③기타_가정!$R$410+③기타_가정!$R$411,0)</f>
        <v>0</v>
      </c>
      <c r="BJ97" s="37" t="n">
        <f aca="false">IF(BJ6=③기타_가정!$E$8,③기타_가정!$R$409+③기타_가정!$R$410+③기타_가정!$R$411,0)</f>
        <v>0</v>
      </c>
      <c r="BK97" s="37" t="n">
        <f aca="false">IF(BK6=③기타_가정!$E$8,③기타_가정!$R$409+③기타_가정!$R$410+③기타_가정!$R$411,0)</f>
        <v>0</v>
      </c>
      <c r="BL97" s="37" t="n">
        <f aca="false">IF(BL6=③기타_가정!$E$8,③기타_가정!$R$409+③기타_가정!$R$410+③기타_가정!$R$411,0)</f>
        <v>0</v>
      </c>
      <c r="BM97" s="37" t="n">
        <f aca="false">IF(BM6=③기타_가정!$E$8,③기타_가정!$R$409+③기타_가정!$R$410+③기타_가정!$R$411,0)</f>
        <v>0</v>
      </c>
      <c r="BN97" s="37" t="n">
        <f aca="false">IF(BN6=③기타_가정!$E$8,③기타_가정!$R$409+③기타_가정!$R$410+③기타_가정!$R$411,0)</f>
        <v>0</v>
      </c>
      <c r="BO97" s="37" t="n">
        <f aca="false">IF(BO6=③기타_가정!$E$8,③기타_가정!$R$409+③기타_가정!$R$410+③기타_가정!$R$411,0)</f>
        <v>0</v>
      </c>
      <c r="BP97" s="37" t="n">
        <f aca="false">IF(BP6=③기타_가정!$E$8,③기타_가정!$R$409+③기타_가정!$R$410+③기타_가정!$R$411,0)</f>
        <v>0</v>
      </c>
      <c r="BQ97" s="37" t="n">
        <f aca="false">IF(BQ6=③기타_가정!$E$8,③기타_가정!$R$409+③기타_가정!$R$410+③기타_가정!$R$411,0)</f>
        <v>0</v>
      </c>
      <c r="BR97" s="37" t="n">
        <f aca="false">IF(BR6=③기타_가정!$E$8,③기타_가정!$R$409+③기타_가정!$R$410+③기타_가정!$R$411,0)</f>
        <v>0</v>
      </c>
      <c r="BS97" s="37" t="n">
        <f aca="false">IF(BS6=③기타_가정!$E$8,③기타_가정!$R$409+③기타_가정!$R$410+③기타_가정!$R$411,0)</f>
        <v>0</v>
      </c>
      <c r="BT97" s="37" t="n">
        <f aca="false">IF(BT6=③기타_가정!$E$8,③기타_가정!$R$409+③기타_가정!$R$410+③기타_가정!$R$411,0)</f>
        <v>0</v>
      </c>
      <c r="BU97" s="37" t="n">
        <f aca="false">IF(BU6=③기타_가정!$E$8,③기타_가정!$R$409+③기타_가정!$R$410+③기타_가정!$R$411,0)</f>
        <v>0</v>
      </c>
      <c r="BV97" s="37" t="n">
        <f aca="false">IF(BV6=③기타_가정!$E$8,③기타_가정!$R$409+③기타_가정!$R$410+③기타_가정!$R$411,0)</f>
        <v>0</v>
      </c>
      <c r="BW97" s="37" t="n">
        <f aca="false">IF(BW6=③기타_가정!$E$8,③기타_가정!$R$409+③기타_가정!$R$410+③기타_가정!$R$411,0)</f>
        <v>0</v>
      </c>
      <c r="BX97" s="37" t="n">
        <f aca="false">IF(BX6=③기타_가정!$E$8,③기타_가정!$R$409+③기타_가정!$R$410+③기타_가정!$R$411,0)</f>
        <v>0</v>
      </c>
      <c r="BY97" s="37" t="n">
        <f aca="false">IF(BY6=③기타_가정!$E$8,③기타_가정!$R$409+③기타_가정!$R$410+③기타_가정!$R$411,0)</f>
        <v>0</v>
      </c>
      <c r="BZ97" s="37" t="n">
        <f aca="false">IF(BZ6=③기타_가정!$E$8,③기타_가정!$R$409+③기타_가정!$R$410+③기타_가정!$R$411,0)</f>
        <v>0</v>
      </c>
      <c r="CA97" s="37" t="n">
        <f aca="false">IF(CA6=③기타_가정!$E$8,③기타_가정!$R$409+③기타_가정!$R$410+③기타_가정!$R$411,0)</f>
        <v>0</v>
      </c>
      <c r="CB97" s="37" t="n">
        <f aca="false">IF(CB6=③기타_가정!$E$8,③기타_가정!$R$409+③기타_가정!$R$410+③기타_가정!$R$411,0)</f>
        <v>0</v>
      </c>
      <c r="CC97" s="37" t="n">
        <f aca="false">IF(CC6=③기타_가정!$E$8,③기타_가정!$R$409+③기타_가정!$R$410+③기타_가정!$R$411,0)</f>
        <v>0</v>
      </c>
      <c r="CD97" s="37" t="n">
        <f aca="false">IF(CD6=③기타_가정!$E$8,③기타_가정!$R$409+③기타_가정!$R$410+③기타_가정!$R$411,0)</f>
        <v>0</v>
      </c>
      <c r="CE97" s="37" t="n">
        <f aca="false">IF(CE6=③기타_가정!$E$8,③기타_가정!$R$409+③기타_가정!$R$410+③기타_가정!$R$411,0)</f>
        <v>0</v>
      </c>
      <c r="CF97" s="37" t="n">
        <f aca="false">IF(CF6=③기타_가정!$E$8,③기타_가정!$R$409+③기타_가정!$R$410+③기타_가정!$R$411,0)</f>
        <v>0</v>
      </c>
      <c r="CG97" s="37" t="n">
        <f aca="false">IF(CG6=③기타_가정!$E$8,③기타_가정!$R$409+③기타_가정!$R$410+③기타_가정!$R$411,0)</f>
        <v>0</v>
      </c>
      <c r="CH97" s="37" t="n">
        <f aca="false">IF(CH6=③기타_가정!$E$8,③기타_가정!$R$409+③기타_가정!$R$410+③기타_가정!$R$411,0)</f>
        <v>0</v>
      </c>
      <c r="CI97" s="37" t="n">
        <f aca="false">IF(CI6=③기타_가정!$E$8,③기타_가정!$R$409+③기타_가정!$R$410+③기타_가정!$R$411,0)</f>
        <v>0</v>
      </c>
      <c r="CJ97" s="37" t="n">
        <f aca="false">IF(CJ6=③기타_가정!$E$8,③기타_가정!$R$409+③기타_가정!$R$410+③기타_가정!$R$411,0)</f>
        <v>0</v>
      </c>
      <c r="CK97" s="37" t="n">
        <f aca="false">IF(CK6=③기타_가정!$E$8,③기타_가정!$R$409+③기타_가정!$R$410+③기타_가정!$R$411,0)</f>
        <v>0</v>
      </c>
      <c r="CL97" s="37" t="n">
        <f aca="false">IF(CL6=③기타_가정!$E$8,③기타_가정!$R$409+③기타_가정!$R$410+③기타_가정!$R$411,0)</f>
        <v>0</v>
      </c>
      <c r="CM97" s="37" t="n">
        <f aca="false">IF(CM6=③기타_가정!$E$8,③기타_가정!$R$409+③기타_가정!$R$410+③기타_가정!$R$411,0)</f>
        <v>0</v>
      </c>
      <c r="CN97" s="37" t="n">
        <f aca="false">IF(CN6=③기타_가정!$E$8,③기타_가정!$R$409+③기타_가정!$R$410+③기타_가정!$R$411,0)</f>
        <v>0</v>
      </c>
      <c r="CO97" s="37" t="n">
        <f aca="false">IF(CO6=③기타_가정!$E$8,③기타_가정!$R$409+③기타_가정!$R$410+③기타_가정!$R$411,0)</f>
        <v>0</v>
      </c>
      <c r="CP97" s="37" t="n">
        <f aca="false">IF(CP6=③기타_가정!$E$8,③기타_가정!$R$409+③기타_가정!$R$410+③기타_가정!$R$411,0)</f>
        <v>0</v>
      </c>
      <c r="CQ97" s="37" t="n">
        <f aca="false">IF(CQ6=③기타_가정!$E$8,③기타_가정!$R$409+③기타_가정!$R$410+③기타_가정!$R$411,0)</f>
        <v>0</v>
      </c>
      <c r="CR97" s="37" t="n">
        <f aca="false">IF(CR6=③기타_가정!$E$8,③기타_가정!$R$409+③기타_가정!$R$410+③기타_가정!$R$411,0)</f>
        <v>0</v>
      </c>
      <c r="CS97" s="37" t="n">
        <f aca="false">IF(CS6=③기타_가정!$E$8,③기타_가정!$R$409+③기타_가정!$R$410+③기타_가정!$R$411,0)</f>
        <v>0</v>
      </c>
      <c r="CT97" s="37" t="n">
        <f aca="false">IF(CT6=③기타_가정!$E$8,③기타_가정!$R$409+③기타_가정!$R$410+③기타_가정!$R$411,0)</f>
        <v>0</v>
      </c>
      <c r="CU97" s="37" t="n">
        <f aca="false">IF(CU6=③기타_가정!$E$8,③기타_가정!$R$409+③기타_가정!$R$410+③기타_가정!$R$411,0)</f>
        <v>0</v>
      </c>
      <c r="CV97" s="37" t="n">
        <f aca="false">IF(CV6=③기타_가정!$E$8,③기타_가정!$R$409+③기타_가정!$R$410+③기타_가정!$R$411,0)</f>
        <v>0</v>
      </c>
      <c r="CW97" s="37" t="n">
        <f aca="false">IF(CW6=③기타_가정!$E$8,③기타_가정!$R$409+③기타_가정!$R$410+③기타_가정!$R$411,0)</f>
        <v>0</v>
      </c>
      <c r="CX97" s="37" t="n">
        <f aca="false">IF(CX6=③기타_가정!$E$8,③기타_가정!$R$409+③기타_가정!$R$410+③기타_가정!$R$411,0)</f>
        <v>0</v>
      </c>
      <c r="CY97" s="37" t="n">
        <f aca="false">IF(CY6=③기타_가정!$E$8,③기타_가정!$R$409+③기타_가정!$R$410+③기타_가정!$R$411,0)</f>
        <v>0</v>
      </c>
      <c r="CZ97" s="37" t="n">
        <f aca="false">IF(CZ6=③기타_가정!$E$8,③기타_가정!$R$409+③기타_가정!$R$410+③기타_가정!$R$411,0)</f>
        <v>0</v>
      </c>
      <c r="DA97" s="37" t="n">
        <f aca="false">IF(DA6=③기타_가정!$E$8,③기타_가정!$R$409+③기타_가정!$R$410+③기타_가정!$R$411,0)</f>
        <v>0</v>
      </c>
      <c r="DB97" s="37" t="n">
        <f aca="false">IF(DB6=③기타_가정!$E$8,③기타_가정!$R$409+③기타_가정!$R$410+③기타_가정!$R$411,0)</f>
        <v>0</v>
      </c>
      <c r="DC97" s="37" t="n">
        <f aca="false">IF(DC6=③기타_가정!$E$8,③기타_가정!$R$409+③기타_가정!$R$410+③기타_가정!$R$411,0)</f>
        <v>0</v>
      </c>
      <c r="DD97" s="37" t="n">
        <f aca="false">IF(DD6=③기타_가정!$E$8,③기타_가정!$R$409+③기타_가정!$R$410+③기타_가정!$R$411,0)</f>
        <v>0</v>
      </c>
      <c r="DE97" s="37" t="n">
        <f aca="false">IF(DE6=③기타_가정!$E$8,③기타_가정!$R$409+③기타_가정!$R$410+③기타_가정!$R$411,0)</f>
        <v>0</v>
      </c>
      <c r="DF97" s="37" t="n">
        <f aca="false">IF(DF6=③기타_가정!$E$8,③기타_가정!$R$409+③기타_가정!$R$410+③기타_가정!$R$411,0)</f>
        <v>0</v>
      </c>
      <c r="DG97" s="37" t="n">
        <f aca="false">IF(DG6=③기타_가정!$E$8,③기타_가정!$R$409+③기타_가정!$R$410+③기타_가정!$R$411,0)</f>
        <v>0</v>
      </c>
      <c r="DH97" s="37" t="n">
        <f aca="false">IF(DH6=③기타_가정!$E$8,③기타_가정!$R$409+③기타_가정!$R$410+③기타_가정!$R$411,0)</f>
        <v>0</v>
      </c>
      <c r="DI97" s="37" t="n">
        <f aca="false">IF(DI6=③기타_가정!$E$8,③기타_가정!$R$409+③기타_가정!$R$410+③기타_가정!$R$411,0)</f>
        <v>0</v>
      </c>
      <c r="DJ97" s="37" t="n">
        <f aca="false">IF(DJ6=③기타_가정!$E$8,③기타_가정!$R$409+③기타_가정!$R$410+③기타_가정!$R$411,0)</f>
        <v>0</v>
      </c>
      <c r="DK97" s="37" t="n">
        <f aca="false">IF(DK6=③기타_가정!$E$8,③기타_가정!$R$409+③기타_가정!$R$410+③기타_가정!$R$411,0)</f>
        <v>0</v>
      </c>
      <c r="DL97" s="37" t="n">
        <f aca="false">IF(DL6=③기타_가정!$E$8,③기타_가정!$R$409+③기타_가정!$R$410+③기타_가정!$R$411,0)</f>
        <v>0</v>
      </c>
      <c r="DM97" s="37" t="n">
        <f aca="false">IF(DM6=③기타_가정!$E$8,③기타_가정!$R$409+③기타_가정!$R$410+③기타_가정!$R$411,0)</f>
        <v>0</v>
      </c>
      <c r="DN97" s="37" t="n">
        <f aca="false">IF(DN6=③기타_가정!$E$8,③기타_가정!$R$409+③기타_가정!$R$410+③기타_가정!$R$411,0)</f>
        <v>0</v>
      </c>
      <c r="DO97" s="37" t="n">
        <f aca="false">IF(DO6=③기타_가정!$E$8,③기타_가정!$R$409+③기타_가정!$R$410+③기타_가정!$R$411,0)</f>
        <v>0</v>
      </c>
      <c r="DP97" s="37" t="n">
        <f aca="false">IF(DP6=③기타_가정!$E$8,③기타_가정!$R$409+③기타_가정!$R$410+③기타_가정!$R$411,0)</f>
        <v>0</v>
      </c>
      <c r="DQ97" s="37" t="n">
        <f aca="false">IF(DQ6=③기타_가정!$E$8,③기타_가정!$R$409+③기타_가정!$R$410+③기타_가정!$R$411,0)</f>
        <v>0</v>
      </c>
      <c r="DR97" s="37" t="n">
        <f aca="false">IF(DR6=③기타_가정!$E$8,③기타_가정!$R$409+③기타_가정!$R$410+③기타_가정!$R$411,0)</f>
        <v>0</v>
      </c>
      <c r="DS97" s="37" t="n">
        <f aca="false">IF(DS6=③기타_가정!$E$8,③기타_가정!$R$409+③기타_가정!$R$410+③기타_가정!$R$411,0)</f>
        <v>0</v>
      </c>
      <c r="DT97" s="37" t="n">
        <f aca="false">IF(DT6=③기타_가정!$E$8,③기타_가정!$R$409+③기타_가정!$R$410+③기타_가정!$R$411,0)</f>
        <v>0</v>
      </c>
      <c r="DU97" s="37" t="n">
        <f aca="false">IF(DU6=③기타_가정!$E$8,③기타_가정!$R$409+③기타_가정!$R$410+③기타_가정!$R$411,0)</f>
        <v>0</v>
      </c>
      <c r="DV97" s="37" t="n">
        <f aca="false">IF(DV6=③기타_가정!$E$8,③기타_가정!$R$409+③기타_가정!$R$410+③기타_가정!$R$411,0)</f>
        <v>0</v>
      </c>
      <c r="DW97" s="37" t="n">
        <f aca="false">IF(DW6=③기타_가정!$E$8,③기타_가정!$R$409+③기타_가정!$R$410+③기타_가정!$R$411,0)</f>
        <v>0</v>
      </c>
      <c r="DX97" s="37" t="n">
        <f aca="false">IF(DX6=③기타_가정!$E$8,③기타_가정!$R$409+③기타_가정!$R$410+③기타_가정!$R$411,0)</f>
        <v>0</v>
      </c>
      <c r="DY97" s="37" t="n">
        <f aca="false">IF(DY6=③기타_가정!$E$8,③기타_가정!$R$409+③기타_가정!$R$410+③기타_가정!$R$411,0)</f>
        <v>0</v>
      </c>
      <c r="DZ97" s="37" t="n">
        <f aca="false">IF(DZ6=③기타_가정!$E$8,③기타_가정!$R$409+③기타_가정!$R$410+③기타_가정!$R$411,0)</f>
        <v>0</v>
      </c>
      <c r="EA97" s="37" t="n">
        <f aca="false">IF(EA6=③기타_가정!$E$8,③기타_가정!$R$409+③기타_가정!$R$410+③기타_가정!$R$411,0)</f>
        <v>0</v>
      </c>
      <c r="EB97" s="37" t="n">
        <f aca="false">IF(EB6=③기타_가정!$E$8,③기타_가정!$R$409+③기타_가정!$R$410+③기타_가정!$R$411,0)</f>
        <v>0</v>
      </c>
      <c r="EC97" s="37" t="n">
        <f aca="false">IF(EC6=③기타_가정!$E$8,③기타_가정!$R$409+③기타_가정!$R$410+③기타_가정!$R$411,0)</f>
        <v>0</v>
      </c>
      <c r="ED97" s="37" t="n">
        <f aca="false">IF(ED6=③기타_가정!$E$8,③기타_가정!$R$409+③기타_가정!$R$410+③기타_가정!$R$411,0)</f>
        <v>0</v>
      </c>
      <c r="EE97" s="37" t="n">
        <f aca="false">IF(EE6=③기타_가정!$E$8,③기타_가정!$R$409+③기타_가정!$R$410+③기타_가정!$R$411,0)</f>
        <v>0</v>
      </c>
      <c r="EF97" s="37" t="n">
        <f aca="false">IF(EF6=③기타_가정!$E$8,③기타_가정!$R$409+③기타_가정!$R$410+③기타_가정!$R$411,0)</f>
        <v>0</v>
      </c>
    </row>
    <row r="98" customFormat="false" ht="15" hidden="false" customHeight="false" outlineLevel="0" collapsed="false">
      <c r="A98" s="36" t="s">
        <v>638</v>
      </c>
      <c r="B98" s="278" t="s">
        <v>21</v>
      </c>
      <c r="C98" s="279" t="n">
        <f aca="false">SUM(E98:EF98)</f>
        <v>3339.67320372538</v>
      </c>
      <c r="E98" s="37" t="n">
        <f aca="false">IF(E6=③기타_가정!$E$14,③기타_가정!$R$404,0)</f>
        <v>0</v>
      </c>
      <c r="F98" s="37" t="n">
        <f aca="false">IF(F6=③기타_가정!$E$14,③기타_가정!$R$404,0)</f>
        <v>0</v>
      </c>
      <c r="G98" s="37" t="n">
        <f aca="false">IF(G6=③기타_가정!$E$14,③기타_가정!$R$404,0)</f>
        <v>0</v>
      </c>
      <c r="H98" s="37" t="n">
        <f aca="false">IF(H6=③기타_가정!$E$14,③기타_가정!$R$404,0)</f>
        <v>0</v>
      </c>
      <c r="I98" s="37" t="n">
        <f aca="false">IF(I6=③기타_가정!$E$14,③기타_가정!$R$404,0)</f>
        <v>0</v>
      </c>
      <c r="J98" s="37" t="n">
        <f aca="false">IF(J6=③기타_가정!$E$14,③기타_가정!$R$404,0)</f>
        <v>0</v>
      </c>
      <c r="K98" s="37" t="n">
        <f aca="false">IF(K6=③기타_가정!$E$14,③기타_가정!$R$404,0)</f>
        <v>0</v>
      </c>
      <c r="L98" s="37" t="n">
        <f aca="false">IF(L6=③기타_가정!$E$14,③기타_가정!$R$404,0)</f>
        <v>0</v>
      </c>
      <c r="M98" s="37" t="n">
        <f aca="false">IF(M6=③기타_가정!$E$14,③기타_가정!$R$404,0)</f>
        <v>0</v>
      </c>
      <c r="N98" s="37" t="n">
        <f aca="false">IF(N6=③기타_가정!$E$14,③기타_가정!$R$404,0)</f>
        <v>0</v>
      </c>
      <c r="O98" s="37" t="n">
        <f aca="false">IF(O6=③기타_가정!$E$14,③기타_가정!$R$404,0)</f>
        <v>0</v>
      </c>
      <c r="P98" s="37" t="n">
        <f aca="false">IF(P6=③기타_가정!$E$14,③기타_가정!$R$404,0)</f>
        <v>0</v>
      </c>
      <c r="Q98" s="37" t="n">
        <f aca="false">IF(Q6=③기타_가정!$E$14,③기타_가정!$R$404,0)</f>
        <v>0</v>
      </c>
      <c r="R98" s="37" t="n">
        <f aca="false">IF(R6=③기타_가정!$E$14,③기타_가정!$R$404,0)</f>
        <v>0</v>
      </c>
      <c r="S98" s="37" t="n">
        <f aca="false">IF(S6=③기타_가정!$E$14,③기타_가정!$R$404,0)</f>
        <v>0</v>
      </c>
      <c r="T98" s="37" t="n">
        <f aca="false">IF(T6=③기타_가정!$E$14,③기타_가정!$R$404,0)</f>
        <v>0</v>
      </c>
      <c r="U98" s="37" t="n">
        <f aca="false">IF(U6=③기타_가정!$E$14,③기타_가정!$R$404,0)</f>
        <v>0</v>
      </c>
      <c r="V98" s="37" t="n">
        <f aca="false">IF(V6=③기타_가정!$E$14,③기타_가정!$R$404,0)</f>
        <v>0</v>
      </c>
      <c r="W98" s="37" t="n">
        <f aca="false">IF(W6=③기타_가정!$E$14,③기타_가정!$R$404,0)</f>
        <v>3339.67320372538</v>
      </c>
      <c r="X98" s="37" t="n">
        <f aca="false">IF(X6=③기타_가정!$E$14,③기타_가정!$R$404,0)</f>
        <v>0</v>
      </c>
      <c r="Y98" s="37" t="n">
        <f aca="false">IF(Y6=③기타_가정!$E$14,③기타_가정!$R$404,0)</f>
        <v>0</v>
      </c>
      <c r="Z98" s="37" t="n">
        <f aca="false">IF(Z6=③기타_가정!$E$14,③기타_가정!$R$404,0)</f>
        <v>0</v>
      </c>
      <c r="AA98" s="37" t="n">
        <f aca="false">IF(AA6=③기타_가정!$E$14,③기타_가정!$R$404,0)</f>
        <v>0</v>
      </c>
      <c r="AB98" s="37" t="n">
        <f aca="false">IF(AB6=③기타_가정!$E$14,③기타_가정!$R$404,0)</f>
        <v>0</v>
      </c>
      <c r="AC98" s="37" t="n">
        <f aca="false">IF(AC6=③기타_가정!$E$14,③기타_가정!$R$404,0)</f>
        <v>0</v>
      </c>
      <c r="AD98" s="37" t="n">
        <f aca="false">IF(AD6=③기타_가정!$E$14,③기타_가정!$R$404,0)</f>
        <v>0</v>
      </c>
      <c r="AE98" s="37" t="n">
        <f aca="false">IF(AE6=③기타_가정!$E$14,③기타_가정!$R$404,0)</f>
        <v>0</v>
      </c>
      <c r="AF98" s="37" t="n">
        <f aca="false">IF(AF6=③기타_가정!$E$14,③기타_가정!$R$404,0)</f>
        <v>0</v>
      </c>
      <c r="AG98" s="37" t="n">
        <f aca="false">IF(AG6=③기타_가정!$E$14,③기타_가정!$R$404,0)</f>
        <v>0</v>
      </c>
      <c r="AH98" s="37" t="n">
        <f aca="false">IF(AH6=③기타_가정!$E$14,③기타_가정!$R$404,0)</f>
        <v>0</v>
      </c>
      <c r="AI98" s="37" t="n">
        <f aca="false">IF(AI6=③기타_가정!$E$14,③기타_가정!$R$404,0)</f>
        <v>0</v>
      </c>
      <c r="AJ98" s="37" t="n">
        <f aca="false">IF(AJ6=③기타_가정!$E$14,③기타_가정!$R$404,0)</f>
        <v>0</v>
      </c>
      <c r="AK98" s="37" t="n">
        <f aca="false">IF(AK6=③기타_가정!$E$14,③기타_가정!$R$404,0)</f>
        <v>0</v>
      </c>
      <c r="AL98" s="37" t="n">
        <f aca="false">IF(AL6=③기타_가정!$E$14,③기타_가정!$R$404,0)</f>
        <v>0</v>
      </c>
      <c r="AM98" s="37" t="n">
        <f aca="false">IF(AM6=③기타_가정!$E$14,③기타_가정!$R$404,0)</f>
        <v>0</v>
      </c>
      <c r="AN98" s="37" t="n">
        <f aca="false">IF(AN6=③기타_가정!$E$14,③기타_가정!$R$404,0)</f>
        <v>0</v>
      </c>
      <c r="AO98" s="37" t="n">
        <f aca="false">IF(AO6=③기타_가정!$E$14,③기타_가정!$R$404,0)</f>
        <v>0</v>
      </c>
      <c r="AP98" s="37" t="n">
        <f aca="false">IF(AP6=③기타_가정!$E$14,③기타_가정!$R$404,0)</f>
        <v>0</v>
      </c>
      <c r="AQ98" s="37" t="n">
        <f aca="false">IF(AQ6=③기타_가정!$E$14,③기타_가정!$R$404,0)</f>
        <v>0</v>
      </c>
      <c r="AR98" s="37" t="n">
        <f aca="false">IF(AR6=③기타_가정!$E$14,③기타_가정!$R$404,0)</f>
        <v>0</v>
      </c>
      <c r="AS98" s="37" t="n">
        <f aca="false">IF(AS6=③기타_가정!$E$14,③기타_가정!$R$404,0)</f>
        <v>0</v>
      </c>
      <c r="AT98" s="37" t="n">
        <f aca="false">IF(AT6=③기타_가정!$E$14,③기타_가정!$R$404,0)</f>
        <v>0</v>
      </c>
      <c r="AU98" s="37" t="n">
        <f aca="false">IF(AU6=③기타_가정!$E$14,③기타_가정!$R$404,0)</f>
        <v>0</v>
      </c>
      <c r="AV98" s="37" t="n">
        <f aca="false">IF(AV6=③기타_가정!$E$14,③기타_가정!$R$404,0)</f>
        <v>0</v>
      </c>
      <c r="AW98" s="37" t="n">
        <f aca="false">IF(AW6=③기타_가정!$E$14,③기타_가정!$R$404,0)</f>
        <v>0</v>
      </c>
      <c r="AX98" s="37" t="n">
        <f aca="false">IF(AX6=③기타_가정!$E$14,③기타_가정!$R$404,0)</f>
        <v>0</v>
      </c>
      <c r="AY98" s="37" t="n">
        <f aca="false">IF(AY6=③기타_가정!$E$14,③기타_가정!$R$404,0)</f>
        <v>0</v>
      </c>
      <c r="AZ98" s="37" t="n">
        <f aca="false">IF(AZ6=③기타_가정!$E$14,③기타_가정!$R$404,0)</f>
        <v>0</v>
      </c>
      <c r="BA98" s="37" t="n">
        <f aca="false">IF(BA6=③기타_가정!$E$14,③기타_가정!$R$404,0)</f>
        <v>0</v>
      </c>
      <c r="BB98" s="37" t="n">
        <f aca="false">IF(BB6=③기타_가정!$E$14,③기타_가정!$R$404,0)</f>
        <v>0</v>
      </c>
      <c r="BC98" s="37" t="n">
        <f aca="false">IF(BC6=③기타_가정!$E$14,③기타_가정!$R$404,0)</f>
        <v>0</v>
      </c>
      <c r="BD98" s="37" t="n">
        <f aca="false">IF(BD6=③기타_가정!$E$14,③기타_가정!$R$404,0)</f>
        <v>0</v>
      </c>
      <c r="BE98" s="37" t="n">
        <f aca="false">IF(BE6=③기타_가정!$E$14,③기타_가정!$R$404,0)</f>
        <v>0</v>
      </c>
      <c r="BF98" s="37" t="n">
        <f aca="false">IF(BF6=③기타_가정!$E$14,③기타_가정!$R$404,0)</f>
        <v>0</v>
      </c>
      <c r="BG98" s="37" t="n">
        <f aca="false">IF(BG6=③기타_가정!$E$14,③기타_가정!$R$404,0)</f>
        <v>0</v>
      </c>
      <c r="BH98" s="37" t="n">
        <f aca="false">IF(BH6=③기타_가정!$E$14,③기타_가정!$R$404,0)</f>
        <v>0</v>
      </c>
      <c r="BI98" s="37" t="n">
        <f aca="false">IF(BI6=③기타_가정!$E$14,③기타_가정!$R$404,0)</f>
        <v>0</v>
      </c>
      <c r="BJ98" s="37" t="n">
        <f aca="false">IF(BJ6=③기타_가정!$E$14,③기타_가정!$R$404,0)</f>
        <v>0</v>
      </c>
      <c r="BK98" s="37" t="n">
        <f aca="false">IF(BK6=③기타_가정!$E$14,③기타_가정!$R$404,0)</f>
        <v>0</v>
      </c>
      <c r="BL98" s="37" t="n">
        <f aca="false">IF(BL6=③기타_가정!$E$14,③기타_가정!$R$404,0)</f>
        <v>0</v>
      </c>
      <c r="BM98" s="37" t="n">
        <f aca="false">IF(BM6=③기타_가정!$E$14,③기타_가정!$R$404,0)</f>
        <v>0</v>
      </c>
      <c r="BN98" s="37" t="n">
        <f aca="false">IF(BN6=③기타_가정!$E$14,③기타_가정!$R$404,0)</f>
        <v>0</v>
      </c>
      <c r="BO98" s="37" t="n">
        <f aca="false">IF(BO6=③기타_가정!$E$14,③기타_가정!$R$404,0)</f>
        <v>0</v>
      </c>
      <c r="BP98" s="37" t="n">
        <f aca="false">IF(BP6=③기타_가정!$E$14,③기타_가정!$R$404,0)</f>
        <v>0</v>
      </c>
      <c r="BQ98" s="37" t="n">
        <f aca="false">IF(BQ6=③기타_가정!$E$14,③기타_가정!$R$404,0)</f>
        <v>0</v>
      </c>
      <c r="BR98" s="37" t="n">
        <f aca="false">IF(BR6=③기타_가정!$E$14,③기타_가정!$R$404,0)</f>
        <v>0</v>
      </c>
      <c r="BS98" s="37" t="n">
        <f aca="false">IF(BS6=③기타_가정!$E$14,③기타_가정!$R$404,0)</f>
        <v>0</v>
      </c>
      <c r="BT98" s="37" t="n">
        <f aca="false">IF(BT6=③기타_가정!$E$14,③기타_가정!$R$404,0)</f>
        <v>0</v>
      </c>
      <c r="BU98" s="37" t="n">
        <f aca="false">IF(BU6=③기타_가정!$E$14,③기타_가정!$R$404,0)</f>
        <v>0</v>
      </c>
      <c r="BV98" s="37" t="n">
        <f aca="false">IF(BV6=③기타_가정!$E$14,③기타_가정!$R$404,0)</f>
        <v>0</v>
      </c>
      <c r="BW98" s="37" t="n">
        <f aca="false">IF(BW6=③기타_가정!$E$14,③기타_가정!$R$404,0)</f>
        <v>0</v>
      </c>
      <c r="BX98" s="37" t="n">
        <f aca="false">IF(BX6=③기타_가정!$E$14,③기타_가정!$R$404,0)</f>
        <v>0</v>
      </c>
      <c r="BY98" s="37" t="n">
        <f aca="false">IF(BY6=③기타_가정!$E$14,③기타_가정!$R$404,0)</f>
        <v>0</v>
      </c>
      <c r="BZ98" s="37" t="n">
        <f aca="false">IF(BZ6=③기타_가정!$E$14,③기타_가정!$R$404,0)</f>
        <v>0</v>
      </c>
      <c r="CA98" s="37" t="n">
        <f aca="false">IF(CA6=③기타_가정!$E$14,③기타_가정!$R$404,0)</f>
        <v>0</v>
      </c>
      <c r="CB98" s="37" t="n">
        <f aca="false">IF(CB6=③기타_가정!$E$14,③기타_가정!$R$404,0)</f>
        <v>0</v>
      </c>
      <c r="CC98" s="37" t="n">
        <f aca="false">IF(CC6=③기타_가정!$E$14,③기타_가정!$R$404,0)</f>
        <v>0</v>
      </c>
      <c r="CD98" s="37" t="n">
        <f aca="false">IF(CD6=③기타_가정!$E$14,③기타_가정!$R$404,0)</f>
        <v>0</v>
      </c>
      <c r="CE98" s="37" t="n">
        <f aca="false">IF(CE6=③기타_가정!$E$14,③기타_가정!$R$404,0)</f>
        <v>0</v>
      </c>
      <c r="CF98" s="37" t="n">
        <f aca="false">IF(CF6=③기타_가정!$E$14,③기타_가정!$R$404,0)</f>
        <v>0</v>
      </c>
      <c r="CG98" s="37" t="n">
        <f aca="false">IF(CG6=③기타_가정!$E$14,③기타_가정!$R$404,0)</f>
        <v>0</v>
      </c>
      <c r="CH98" s="37" t="n">
        <f aca="false">IF(CH6=③기타_가정!$E$14,③기타_가정!$R$404,0)</f>
        <v>0</v>
      </c>
      <c r="CI98" s="37" t="n">
        <f aca="false">IF(CI6=③기타_가정!$E$14,③기타_가정!$R$404,0)</f>
        <v>0</v>
      </c>
      <c r="CJ98" s="37" t="n">
        <f aca="false">IF(CJ6=③기타_가정!$E$14,③기타_가정!$R$404,0)</f>
        <v>0</v>
      </c>
      <c r="CK98" s="37" t="n">
        <f aca="false">IF(CK6=③기타_가정!$E$14,③기타_가정!$R$404,0)</f>
        <v>0</v>
      </c>
      <c r="CL98" s="37" t="n">
        <f aca="false">IF(CL6=③기타_가정!$E$14,③기타_가정!$R$404,0)</f>
        <v>0</v>
      </c>
      <c r="CM98" s="37" t="n">
        <f aca="false">IF(CM6=③기타_가정!$E$14,③기타_가정!$R$404,0)</f>
        <v>0</v>
      </c>
      <c r="CN98" s="37" t="n">
        <f aca="false">IF(CN6=③기타_가정!$E$14,③기타_가정!$R$404,0)</f>
        <v>0</v>
      </c>
      <c r="CO98" s="37" t="n">
        <f aca="false">IF(CO6=③기타_가정!$E$14,③기타_가정!$R$404,0)</f>
        <v>0</v>
      </c>
      <c r="CP98" s="37" t="n">
        <f aca="false">IF(CP6=③기타_가정!$E$14,③기타_가정!$R$404,0)</f>
        <v>0</v>
      </c>
      <c r="CQ98" s="37" t="n">
        <f aca="false">IF(CQ6=③기타_가정!$E$14,③기타_가정!$R$404,0)</f>
        <v>0</v>
      </c>
      <c r="CR98" s="37" t="n">
        <f aca="false">IF(CR6=③기타_가정!$E$14,③기타_가정!$R$404,0)</f>
        <v>0</v>
      </c>
      <c r="CS98" s="37" t="n">
        <f aca="false">IF(CS6=③기타_가정!$E$14,③기타_가정!$R$404,0)</f>
        <v>0</v>
      </c>
      <c r="CT98" s="37" t="n">
        <f aca="false">IF(CT6=③기타_가정!$E$14,③기타_가정!$R$404,0)</f>
        <v>0</v>
      </c>
      <c r="CU98" s="37" t="n">
        <f aca="false">IF(CU6=③기타_가정!$E$14,③기타_가정!$R$404,0)</f>
        <v>0</v>
      </c>
      <c r="CV98" s="37" t="n">
        <f aca="false">IF(CV6=③기타_가정!$E$14,③기타_가정!$R$404,0)</f>
        <v>0</v>
      </c>
      <c r="CW98" s="37" t="n">
        <f aca="false">IF(CW6=③기타_가정!$E$14,③기타_가정!$R$404,0)</f>
        <v>0</v>
      </c>
      <c r="CX98" s="37" t="n">
        <f aca="false">IF(CX6=③기타_가정!$E$14,③기타_가정!$R$404,0)</f>
        <v>0</v>
      </c>
      <c r="CY98" s="37" t="n">
        <f aca="false">IF(CY6=③기타_가정!$E$14,③기타_가정!$R$404,0)</f>
        <v>0</v>
      </c>
      <c r="CZ98" s="37" t="n">
        <f aca="false">IF(CZ6=③기타_가정!$E$14,③기타_가정!$R$404,0)</f>
        <v>0</v>
      </c>
      <c r="DA98" s="37" t="n">
        <f aca="false">IF(DA6=③기타_가정!$E$14,③기타_가정!$R$404,0)</f>
        <v>0</v>
      </c>
      <c r="DB98" s="37" t="n">
        <f aca="false">IF(DB6=③기타_가정!$E$14,③기타_가정!$R$404,0)</f>
        <v>0</v>
      </c>
      <c r="DC98" s="37" t="n">
        <f aca="false">IF(DC6=③기타_가정!$E$14,③기타_가정!$R$404,0)</f>
        <v>0</v>
      </c>
      <c r="DD98" s="37" t="n">
        <f aca="false">IF(DD6=③기타_가정!$E$14,③기타_가정!$R$404,0)</f>
        <v>0</v>
      </c>
      <c r="DE98" s="37" t="n">
        <f aca="false">IF(DE6=③기타_가정!$E$14,③기타_가정!$R$404,0)</f>
        <v>0</v>
      </c>
      <c r="DF98" s="37" t="n">
        <f aca="false">IF(DF6=③기타_가정!$E$14,③기타_가정!$R$404,0)</f>
        <v>0</v>
      </c>
      <c r="DG98" s="37" t="n">
        <f aca="false">IF(DG6=③기타_가정!$E$14,③기타_가정!$R$404,0)</f>
        <v>0</v>
      </c>
      <c r="DH98" s="37" t="n">
        <f aca="false">IF(DH6=③기타_가정!$E$14,③기타_가정!$R$404,0)</f>
        <v>0</v>
      </c>
      <c r="DI98" s="37" t="n">
        <f aca="false">IF(DI6=③기타_가정!$E$14,③기타_가정!$R$404,0)</f>
        <v>0</v>
      </c>
      <c r="DJ98" s="37" t="n">
        <f aca="false">IF(DJ6=③기타_가정!$E$14,③기타_가정!$R$404,0)</f>
        <v>0</v>
      </c>
      <c r="DK98" s="37" t="n">
        <f aca="false">IF(DK6=③기타_가정!$E$14,③기타_가정!$R$404,0)</f>
        <v>0</v>
      </c>
      <c r="DL98" s="37" t="n">
        <f aca="false">IF(DL6=③기타_가정!$E$14,③기타_가정!$R$404,0)</f>
        <v>0</v>
      </c>
      <c r="DM98" s="37" t="n">
        <f aca="false">IF(DM6=③기타_가정!$E$14,③기타_가정!$R$404,0)</f>
        <v>0</v>
      </c>
      <c r="DN98" s="37" t="n">
        <f aca="false">IF(DN6=③기타_가정!$E$14,③기타_가정!$R$404,0)</f>
        <v>0</v>
      </c>
      <c r="DO98" s="37" t="n">
        <f aca="false">IF(DO6=③기타_가정!$E$14,③기타_가정!$R$404,0)</f>
        <v>0</v>
      </c>
      <c r="DP98" s="37" t="n">
        <f aca="false">IF(DP6=③기타_가정!$E$14,③기타_가정!$R$404,0)</f>
        <v>0</v>
      </c>
      <c r="DQ98" s="37" t="n">
        <f aca="false">IF(DQ6=③기타_가정!$E$14,③기타_가정!$R$404,0)</f>
        <v>0</v>
      </c>
      <c r="DR98" s="37" t="n">
        <f aca="false">IF(DR6=③기타_가정!$E$14,③기타_가정!$R$404,0)</f>
        <v>0</v>
      </c>
      <c r="DS98" s="37" t="n">
        <f aca="false">IF(DS6=③기타_가정!$E$14,③기타_가정!$R$404,0)</f>
        <v>0</v>
      </c>
      <c r="DT98" s="37" t="n">
        <f aca="false">IF(DT6=③기타_가정!$E$14,③기타_가정!$R$404,0)</f>
        <v>0</v>
      </c>
      <c r="DU98" s="37" t="n">
        <f aca="false">IF(DU6=③기타_가정!$E$14,③기타_가정!$R$404,0)</f>
        <v>0</v>
      </c>
      <c r="DV98" s="37" t="n">
        <f aca="false">IF(DV6=③기타_가정!$E$14,③기타_가정!$R$404,0)</f>
        <v>0</v>
      </c>
      <c r="DW98" s="37" t="n">
        <f aca="false">IF(DW6=③기타_가정!$E$14,③기타_가정!$R$404,0)</f>
        <v>0</v>
      </c>
      <c r="DX98" s="37" t="n">
        <f aca="false">IF(DX6=③기타_가정!$E$14,③기타_가정!$R$404,0)</f>
        <v>0</v>
      </c>
      <c r="DY98" s="37" t="n">
        <f aca="false">IF(DY6=③기타_가정!$E$14,③기타_가정!$R$404,0)</f>
        <v>0</v>
      </c>
      <c r="DZ98" s="37" t="n">
        <f aca="false">IF(DZ6=③기타_가정!$E$14,③기타_가정!$R$404,0)</f>
        <v>0</v>
      </c>
      <c r="EA98" s="37" t="n">
        <f aca="false">IF(EA6=③기타_가정!$E$14,③기타_가정!$R$404,0)</f>
        <v>0</v>
      </c>
      <c r="EB98" s="37" t="n">
        <f aca="false">IF(EB6=③기타_가정!$E$14,③기타_가정!$R$404,0)</f>
        <v>0</v>
      </c>
      <c r="EC98" s="37" t="n">
        <f aca="false">IF(EC6=③기타_가정!$E$14,③기타_가정!$R$404,0)</f>
        <v>0</v>
      </c>
      <c r="ED98" s="37" t="n">
        <f aca="false">IF(ED6=③기타_가정!$E$14,③기타_가정!$R$404,0)</f>
        <v>0</v>
      </c>
      <c r="EE98" s="37" t="n">
        <f aca="false">IF(EE6=③기타_가정!$E$14,③기타_가정!$R$404,0)</f>
        <v>0</v>
      </c>
      <c r="EF98" s="37" t="n">
        <f aca="false">IF(EF6=③기타_가정!$E$14,③기타_가정!$R$404,0)</f>
        <v>0</v>
      </c>
    </row>
    <row r="99" customFormat="false" ht="15" hidden="false" customHeight="false" outlineLevel="0" collapsed="false">
      <c r="A99" s="36" t="s">
        <v>639</v>
      </c>
      <c r="B99" s="278" t="s">
        <v>21</v>
      </c>
      <c r="C99" s="279" t="n">
        <f aca="false">SUM(E99:EF99)</f>
        <v>5425</v>
      </c>
      <c r="E99" s="37" t="n">
        <f aca="false">E10*(③기타_가정!$R$403+③기타_가정!$R$405+③기타_가정!$R$406+③기타_가정!$R$407+③기타_가정!$R$408)/(③기타_가정!$E$25*12)</f>
        <v>90.4166666666667</v>
      </c>
      <c r="F99" s="37" t="n">
        <f aca="false">F10*(③기타_가정!$R$403+③기타_가정!$R$405+③기타_가정!$R$406+③기타_가정!$R$407+③기타_가정!$R$408)/(③기타_가정!$E$25*12)</f>
        <v>90.4166666666667</v>
      </c>
      <c r="G99" s="37" t="n">
        <f aca="false">G10*(③기타_가정!$R$403+③기타_가정!$R$405+③기타_가정!$R$406+③기타_가정!$R$407+③기타_가정!$R$408)/(③기타_가정!$E$25*12)</f>
        <v>90.4166666666667</v>
      </c>
      <c r="H99" s="37" t="n">
        <f aca="false">H10*(③기타_가정!$R$403+③기타_가정!$R$405+③기타_가정!$R$406+③기타_가정!$R$407+③기타_가정!$R$408)/(③기타_가정!$E$25*12)</f>
        <v>90.4166666666667</v>
      </c>
      <c r="I99" s="37" t="n">
        <f aca="false">I10*(③기타_가정!$R$403+③기타_가정!$R$405+③기타_가정!$R$406+③기타_가정!$R$407+③기타_가정!$R$408)/(③기타_가정!$E$25*12)</f>
        <v>90.4166666666667</v>
      </c>
      <c r="J99" s="37" t="n">
        <f aca="false">J10*(③기타_가정!$R$403+③기타_가정!$R$405+③기타_가정!$R$406+③기타_가정!$R$407+③기타_가정!$R$408)/(③기타_가정!$E$25*12)</f>
        <v>90.4166666666667</v>
      </c>
      <c r="K99" s="37" t="n">
        <f aca="false">K10*(③기타_가정!$R$403+③기타_가정!$R$405+③기타_가정!$R$406+③기타_가정!$R$407+③기타_가정!$R$408)/(③기타_가정!$E$25*12)</f>
        <v>90.4166666666667</v>
      </c>
      <c r="L99" s="37" t="n">
        <f aca="false">L10*(③기타_가정!$R$403+③기타_가정!$R$405+③기타_가정!$R$406+③기타_가정!$R$407+③기타_가정!$R$408)/(③기타_가정!$E$25*12)</f>
        <v>90.4166666666667</v>
      </c>
      <c r="M99" s="37" t="n">
        <f aca="false">M10*(③기타_가정!$R$403+③기타_가정!$R$405+③기타_가정!$R$406+③기타_가정!$R$407+③기타_가정!$R$408)/(③기타_가정!$E$25*12)</f>
        <v>90.4166666666667</v>
      </c>
      <c r="N99" s="37" t="n">
        <f aca="false">N10*(③기타_가정!$R$403+③기타_가정!$R$405+③기타_가정!$R$406+③기타_가정!$R$407+③기타_가정!$R$408)/(③기타_가정!$E$25*12)</f>
        <v>90.4166666666667</v>
      </c>
      <c r="O99" s="37" t="n">
        <f aca="false">O10*(③기타_가정!$R$403+③기타_가정!$R$405+③기타_가정!$R$406+③기타_가정!$R$407+③기타_가정!$R$408)/(③기타_가정!$E$25*12)</f>
        <v>90.4166666666667</v>
      </c>
      <c r="P99" s="37" t="n">
        <f aca="false">P10*(③기타_가정!$R$403+③기타_가정!$R$405+③기타_가정!$R$406+③기타_가정!$R$407+③기타_가정!$R$408)/(③기타_가정!$E$25*12)</f>
        <v>90.4166666666667</v>
      </c>
      <c r="Q99" s="37" t="n">
        <f aca="false">Q10*(③기타_가정!$R$403+③기타_가정!$R$405+③기타_가정!$R$406+③기타_가정!$R$407+③기타_가정!$R$408)/(③기타_가정!$E$25*12)</f>
        <v>90.4166666666667</v>
      </c>
      <c r="R99" s="37" t="n">
        <f aca="false">R10*(③기타_가정!$R$403+③기타_가정!$R$405+③기타_가정!$R$406+③기타_가정!$R$407+③기타_가정!$R$408)/(③기타_가정!$E$25*12)</f>
        <v>90.4166666666667</v>
      </c>
      <c r="S99" s="37" t="n">
        <f aca="false">S10*(③기타_가정!$R$403+③기타_가정!$R$405+③기타_가정!$R$406+③기타_가정!$R$407+③기타_가정!$R$408)/(③기타_가정!$E$25*12)</f>
        <v>90.4166666666667</v>
      </c>
      <c r="T99" s="37" t="n">
        <f aca="false">T10*(③기타_가정!$R$403+③기타_가정!$R$405+③기타_가정!$R$406+③기타_가정!$R$407+③기타_가정!$R$408)/(③기타_가정!$E$25*12)</f>
        <v>90.4166666666667</v>
      </c>
      <c r="U99" s="37" t="n">
        <f aca="false">U10*(③기타_가정!$R$403+③기타_가정!$R$405+③기타_가정!$R$406+③기타_가정!$R$407+③기타_가정!$R$408)/(③기타_가정!$E$25*12)</f>
        <v>90.4166666666667</v>
      </c>
      <c r="V99" s="37" t="n">
        <f aca="false">V10*(③기타_가정!$R$403+③기타_가정!$R$405+③기타_가정!$R$406+③기타_가정!$R$407+③기타_가정!$R$408)/(③기타_가정!$E$25*12)</f>
        <v>90.4166666666667</v>
      </c>
      <c r="W99" s="37" t="n">
        <f aca="false">W10*(③기타_가정!$R$403+③기타_가정!$R$405+③기타_가정!$R$406+③기타_가정!$R$407+③기타_가정!$R$408)/(③기타_가정!$E$25*12)</f>
        <v>90.4166666666667</v>
      </c>
      <c r="X99" s="37" t="n">
        <f aca="false">X10*(③기타_가정!$R$403+③기타_가정!$R$405+③기타_가정!$R$406+③기타_가정!$R$407+③기타_가정!$R$408)/(③기타_가정!$E$25*12)</f>
        <v>90.4166666666667</v>
      </c>
      <c r="Y99" s="37" t="n">
        <f aca="false">Y10*(③기타_가정!$R$403+③기타_가정!$R$405+③기타_가정!$R$406+③기타_가정!$R$407+③기타_가정!$R$408)/(③기타_가정!$E$25*12)</f>
        <v>90.4166666666667</v>
      </c>
      <c r="Z99" s="37" t="n">
        <f aca="false">Z10*(③기타_가정!$R$403+③기타_가정!$R$405+③기타_가정!$R$406+③기타_가정!$R$407+③기타_가정!$R$408)/(③기타_가정!$E$25*12)</f>
        <v>90.4166666666667</v>
      </c>
      <c r="AA99" s="37" t="n">
        <f aca="false">AA10*(③기타_가정!$R$403+③기타_가정!$R$405+③기타_가정!$R$406+③기타_가정!$R$407+③기타_가정!$R$408)/(③기타_가정!$E$25*12)</f>
        <v>90.4166666666667</v>
      </c>
      <c r="AB99" s="37" t="n">
        <f aca="false">AB10*(③기타_가정!$R$403+③기타_가정!$R$405+③기타_가정!$R$406+③기타_가정!$R$407+③기타_가정!$R$408)/(③기타_가정!$E$25*12)</f>
        <v>90.4166666666667</v>
      </c>
      <c r="AC99" s="37" t="n">
        <f aca="false">AC10*(③기타_가정!$R$403+③기타_가정!$R$405+③기타_가정!$R$406+③기타_가정!$R$407+③기타_가정!$R$408)/(③기타_가정!$E$25*12)</f>
        <v>90.4166666666667</v>
      </c>
      <c r="AD99" s="37" t="n">
        <f aca="false">AD10*(③기타_가정!$R$403+③기타_가정!$R$405+③기타_가정!$R$406+③기타_가정!$R$407+③기타_가정!$R$408)/(③기타_가정!$E$25*12)</f>
        <v>90.4166666666667</v>
      </c>
      <c r="AE99" s="37" t="n">
        <f aca="false">AE10*(③기타_가정!$R$403+③기타_가정!$R$405+③기타_가정!$R$406+③기타_가정!$R$407+③기타_가정!$R$408)/(③기타_가정!$E$25*12)</f>
        <v>90.4166666666667</v>
      </c>
      <c r="AF99" s="37" t="n">
        <f aca="false">AF10*(③기타_가정!$R$403+③기타_가정!$R$405+③기타_가정!$R$406+③기타_가정!$R$407+③기타_가정!$R$408)/(③기타_가정!$E$25*12)</f>
        <v>90.4166666666667</v>
      </c>
      <c r="AG99" s="37" t="n">
        <f aca="false">AG10*(③기타_가정!$R$403+③기타_가정!$R$405+③기타_가정!$R$406+③기타_가정!$R$407+③기타_가정!$R$408)/(③기타_가정!$E$25*12)</f>
        <v>90.4166666666667</v>
      </c>
      <c r="AH99" s="37" t="n">
        <f aca="false">AH10*(③기타_가정!$R$403+③기타_가정!$R$405+③기타_가정!$R$406+③기타_가정!$R$407+③기타_가정!$R$408)/(③기타_가정!$E$25*12)</f>
        <v>90.4166666666667</v>
      </c>
      <c r="AI99" s="37" t="n">
        <f aca="false">AI10*(③기타_가정!$R$403+③기타_가정!$R$405+③기타_가정!$R$406+③기타_가정!$R$407+③기타_가정!$R$408)/(③기타_가정!$E$25*12)</f>
        <v>90.4166666666667</v>
      </c>
      <c r="AJ99" s="37" t="n">
        <f aca="false">AJ10*(③기타_가정!$R$403+③기타_가정!$R$405+③기타_가정!$R$406+③기타_가정!$R$407+③기타_가정!$R$408)/(③기타_가정!$E$25*12)</f>
        <v>90.4166666666667</v>
      </c>
      <c r="AK99" s="37" t="n">
        <f aca="false">AK10*(③기타_가정!$R$403+③기타_가정!$R$405+③기타_가정!$R$406+③기타_가정!$R$407+③기타_가정!$R$408)/(③기타_가정!$E$25*12)</f>
        <v>90.4166666666667</v>
      </c>
      <c r="AL99" s="37" t="n">
        <f aca="false">AL10*(③기타_가정!$R$403+③기타_가정!$R$405+③기타_가정!$R$406+③기타_가정!$R$407+③기타_가정!$R$408)/(③기타_가정!$E$25*12)</f>
        <v>90.4166666666667</v>
      </c>
      <c r="AM99" s="37" t="n">
        <f aca="false">AM10*(③기타_가정!$R$403+③기타_가정!$R$405+③기타_가정!$R$406+③기타_가정!$R$407+③기타_가정!$R$408)/(③기타_가정!$E$25*12)</f>
        <v>90.4166666666667</v>
      </c>
      <c r="AN99" s="37" t="n">
        <f aca="false">AN10*(③기타_가정!$R$403+③기타_가정!$R$405+③기타_가정!$R$406+③기타_가정!$R$407+③기타_가정!$R$408)/(③기타_가정!$E$25*12)</f>
        <v>90.4166666666667</v>
      </c>
      <c r="AO99" s="37" t="n">
        <f aca="false">AO10*(③기타_가정!$R$403+③기타_가정!$R$405+③기타_가정!$R$406+③기타_가정!$R$407+③기타_가정!$R$408)/(③기타_가정!$E$25*12)</f>
        <v>90.4166666666667</v>
      </c>
      <c r="AP99" s="37" t="n">
        <f aca="false">AP10*(③기타_가정!$R$403+③기타_가정!$R$405+③기타_가정!$R$406+③기타_가정!$R$407+③기타_가정!$R$408)/(③기타_가정!$E$25*12)</f>
        <v>90.4166666666667</v>
      </c>
      <c r="AQ99" s="37" t="n">
        <f aca="false">AQ10*(③기타_가정!$R$403+③기타_가정!$R$405+③기타_가정!$R$406+③기타_가정!$R$407+③기타_가정!$R$408)/(③기타_가정!$E$25*12)</f>
        <v>90.4166666666667</v>
      </c>
      <c r="AR99" s="37" t="n">
        <f aca="false">AR10*(③기타_가정!$R$403+③기타_가정!$R$405+③기타_가정!$R$406+③기타_가정!$R$407+③기타_가정!$R$408)/(③기타_가정!$E$25*12)</f>
        <v>90.4166666666667</v>
      </c>
      <c r="AS99" s="37" t="n">
        <f aca="false">AS10*(③기타_가정!$R$403+③기타_가정!$R$405+③기타_가정!$R$406+③기타_가정!$R$407+③기타_가정!$R$408)/(③기타_가정!$E$25*12)</f>
        <v>90.4166666666667</v>
      </c>
      <c r="AT99" s="37" t="n">
        <f aca="false">AT10*(③기타_가정!$R$403+③기타_가정!$R$405+③기타_가정!$R$406+③기타_가정!$R$407+③기타_가정!$R$408)/(③기타_가정!$E$25*12)</f>
        <v>90.4166666666667</v>
      </c>
      <c r="AU99" s="37" t="n">
        <f aca="false">AU10*(③기타_가정!$R$403+③기타_가정!$R$405+③기타_가정!$R$406+③기타_가정!$R$407+③기타_가정!$R$408)/(③기타_가정!$E$25*12)</f>
        <v>90.4166666666667</v>
      </c>
      <c r="AV99" s="37" t="n">
        <f aca="false">AV10*(③기타_가정!$R$403+③기타_가정!$R$405+③기타_가정!$R$406+③기타_가정!$R$407+③기타_가정!$R$408)/(③기타_가정!$E$25*12)</f>
        <v>90.4166666666667</v>
      </c>
      <c r="AW99" s="37" t="n">
        <f aca="false">AW10*(③기타_가정!$R$403+③기타_가정!$R$405+③기타_가정!$R$406+③기타_가정!$R$407+③기타_가정!$R$408)/(③기타_가정!$E$25*12)</f>
        <v>90.4166666666667</v>
      </c>
      <c r="AX99" s="37" t="n">
        <f aca="false">AX10*(③기타_가정!$R$403+③기타_가정!$R$405+③기타_가정!$R$406+③기타_가정!$R$407+③기타_가정!$R$408)/(③기타_가정!$E$25*12)</f>
        <v>90.4166666666667</v>
      </c>
      <c r="AY99" s="37" t="n">
        <f aca="false">AY10*(③기타_가정!$R$403+③기타_가정!$R$405+③기타_가정!$R$406+③기타_가정!$R$407+③기타_가정!$R$408)/(③기타_가정!$E$25*12)</f>
        <v>90.4166666666667</v>
      </c>
      <c r="AZ99" s="37" t="n">
        <f aca="false">AZ10*(③기타_가정!$R$403+③기타_가정!$R$405+③기타_가정!$R$406+③기타_가정!$R$407+③기타_가정!$R$408)/(③기타_가정!$E$25*12)</f>
        <v>90.4166666666667</v>
      </c>
      <c r="BA99" s="37" t="n">
        <f aca="false">BA10*(③기타_가정!$R$403+③기타_가정!$R$405+③기타_가정!$R$406+③기타_가정!$R$407+③기타_가정!$R$408)/(③기타_가정!$E$25*12)</f>
        <v>90.4166666666667</v>
      </c>
      <c r="BB99" s="37" t="n">
        <f aca="false">BB10*(③기타_가정!$R$403+③기타_가정!$R$405+③기타_가정!$R$406+③기타_가정!$R$407+③기타_가정!$R$408)/(③기타_가정!$E$25*12)</f>
        <v>90.4166666666667</v>
      </c>
      <c r="BC99" s="37" t="n">
        <f aca="false">BC10*(③기타_가정!$R$403+③기타_가정!$R$405+③기타_가정!$R$406+③기타_가정!$R$407+③기타_가정!$R$408)/(③기타_가정!$E$25*12)</f>
        <v>90.4166666666667</v>
      </c>
      <c r="BD99" s="37" t="n">
        <f aca="false">BD10*(③기타_가정!$R$403+③기타_가정!$R$405+③기타_가정!$R$406+③기타_가정!$R$407+③기타_가정!$R$408)/(③기타_가정!$E$25*12)</f>
        <v>90.4166666666667</v>
      </c>
      <c r="BE99" s="37" t="n">
        <f aca="false">BE10*(③기타_가정!$R$403+③기타_가정!$R$405+③기타_가정!$R$406+③기타_가정!$R$407+③기타_가정!$R$408)/(③기타_가정!$E$25*12)</f>
        <v>90.4166666666667</v>
      </c>
      <c r="BF99" s="37" t="n">
        <f aca="false">BF10*(③기타_가정!$R$403+③기타_가정!$R$405+③기타_가정!$R$406+③기타_가정!$R$407+③기타_가정!$R$408)/(③기타_가정!$E$25*12)</f>
        <v>90.4166666666667</v>
      </c>
      <c r="BG99" s="37" t="n">
        <f aca="false">BG10*(③기타_가정!$R$403+③기타_가정!$R$405+③기타_가정!$R$406+③기타_가정!$R$407+③기타_가정!$R$408)/(③기타_가정!$E$25*12)</f>
        <v>90.4166666666667</v>
      </c>
      <c r="BH99" s="37" t="n">
        <f aca="false">BH10*(③기타_가정!$R$403+③기타_가정!$R$405+③기타_가정!$R$406+③기타_가정!$R$407+③기타_가정!$R$408)/(③기타_가정!$E$25*12)</f>
        <v>90.4166666666667</v>
      </c>
      <c r="BI99" s="37" t="n">
        <f aca="false">BI10*(③기타_가정!$R$403+③기타_가정!$R$405+③기타_가정!$R$406+③기타_가정!$R$407+③기타_가정!$R$408)/(③기타_가정!$E$25*12)</f>
        <v>90.4166666666667</v>
      </c>
      <c r="BJ99" s="37" t="n">
        <f aca="false">BJ10*(③기타_가정!$R$403+③기타_가정!$R$405+③기타_가정!$R$406+③기타_가정!$R$407+③기타_가정!$R$408)/(③기타_가정!$E$25*12)</f>
        <v>90.4166666666667</v>
      </c>
      <c r="BK99" s="37" t="n">
        <f aca="false">BK10*(③기타_가정!$R$403+③기타_가정!$R$405+③기타_가정!$R$406+③기타_가정!$R$407+③기타_가정!$R$408)/(③기타_가정!$E$25*12)</f>
        <v>90.4166666666667</v>
      </c>
      <c r="BL99" s="37" t="n">
        <f aca="false">BL10*(③기타_가정!$R$403+③기타_가정!$R$405+③기타_가정!$R$406+③기타_가정!$R$407+③기타_가정!$R$408)/(③기타_가정!$E$25*12)</f>
        <v>90.4166666666667</v>
      </c>
      <c r="BM99" s="37" t="n">
        <f aca="false">BM10*(③기타_가정!$R$403+③기타_가정!$R$405+③기타_가정!$R$406+③기타_가정!$R$407+③기타_가정!$R$408)/(③기타_가정!$E$25*12)</f>
        <v>0</v>
      </c>
      <c r="BN99" s="37" t="n">
        <f aca="false">BN10*(③기타_가정!$R$403+③기타_가정!$R$405+③기타_가정!$R$406+③기타_가정!$R$407+③기타_가정!$R$408)/(③기타_가정!$E$25*12)</f>
        <v>0</v>
      </c>
      <c r="BO99" s="37" t="n">
        <f aca="false">BO10*(③기타_가정!$R$403+③기타_가정!$R$405+③기타_가정!$R$406+③기타_가정!$R$407+③기타_가정!$R$408)/(③기타_가정!$E$25*12)</f>
        <v>0</v>
      </c>
      <c r="BP99" s="37" t="n">
        <f aca="false">BP10*(③기타_가정!$R$403+③기타_가정!$R$405+③기타_가정!$R$406+③기타_가정!$R$407+③기타_가정!$R$408)/(③기타_가정!$E$25*12)</f>
        <v>0</v>
      </c>
      <c r="BQ99" s="37" t="n">
        <f aca="false">BQ10*(③기타_가정!$R$403+③기타_가정!$R$405+③기타_가정!$R$406+③기타_가정!$R$407+③기타_가정!$R$408)/(③기타_가정!$E$25*12)</f>
        <v>0</v>
      </c>
      <c r="BR99" s="37" t="n">
        <f aca="false">BR10*(③기타_가정!$R$403+③기타_가정!$R$405+③기타_가정!$R$406+③기타_가정!$R$407+③기타_가정!$R$408)/(③기타_가정!$E$25*12)</f>
        <v>0</v>
      </c>
      <c r="BS99" s="37" t="n">
        <f aca="false">BS10*(③기타_가정!$R$403+③기타_가정!$R$405+③기타_가정!$R$406+③기타_가정!$R$407+③기타_가정!$R$408)/(③기타_가정!$E$25*12)</f>
        <v>0</v>
      </c>
      <c r="BT99" s="37" t="n">
        <f aca="false">BT10*(③기타_가정!$R$403+③기타_가정!$R$405+③기타_가정!$R$406+③기타_가정!$R$407+③기타_가정!$R$408)/(③기타_가정!$E$25*12)</f>
        <v>0</v>
      </c>
      <c r="BU99" s="37" t="n">
        <f aca="false">BU10*(③기타_가정!$R$403+③기타_가정!$R$405+③기타_가정!$R$406+③기타_가정!$R$407+③기타_가정!$R$408)/(③기타_가정!$E$25*12)</f>
        <v>0</v>
      </c>
      <c r="BV99" s="37" t="n">
        <f aca="false">BV10*(③기타_가정!$R$403+③기타_가정!$R$405+③기타_가정!$R$406+③기타_가정!$R$407+③기타_가정!$R$408)/(③기타_가정!$E$25*12)</f>
        <v>0</v>
      </c>
      <c r="BW99" s="37" t="n">
        <f aca="false">BW10*(③기타_가정!$R$403+③기타_가정!$R$405+③기타_가정!$R$406+③기타_가정!$R$407+③기타_가정!$R$408)/(③기타_가정!$E$25*12)</f>
        <v>0</v>
      </c>
      <c r="BX99" s="37" t="n">
        <f aca="false">BX10*(③기타_가정!$R$403+③기타_가정!$R$405+③기타_가정!$R$406+③기타_가정!$R$407+③기타_가정!$R$408)/(③기타_가정!$E$25*12)</f>
        <v>0</v>
      </c>
      <c r="BY99" s="37" t="n">
        <f aca="false">BY10*(③기타_가정!$R$403+③기타_가정!$R$405+③기타_가정!$R$406+③기타_가정!$R$407+③기타_가정!$R$408)/(③기타_가정!$E$25*12)</f>
        <v>0</v>
      </c>
      <c r="BZ99" s="37" t="n">
        <f aca="false">BZ10*(③기타_가정!$R$403+③기타_가정!$R$405+③기타_가정!$R$406+③기타_가정!$R$407+③기타_가정!$R$408)/(③기타_가정!$E$25*12)</f>
        <v>0</v>
      </c>
      <c r="CA99" s="37" t="n">
        <f aca="false">CA10*(③기타_가정!$R$403+③기타_가정!$R$405+③기타_가정!$R$406+③기타_가정!$R$407+③기타_가정!$R$408)/(③기타_가정!$E$25*12)</f>
        <v>0</v>
      </c>
      <c r="CB99" s="37" t="n">
        <f aca="false">CB10*(③기타_가정!$R$403+③기타_가정!$R$405+③기타_가정!$R$406+③기타_가정!$R$407+③기타_가정!$R$408)/(③기타_가정!$E$25*12)</f>
        <v>0</v>
      </c>
      <c r="CC99" s="37" t="n">
        <f aca="false">CC10*(③기타_가정!$R$403+③기타_가정!$R$405+③기타_가정!$R$406+③기타_가정!$R$407+③기타_가정!$R$408)/(③기타_가정!$E$25*12)</f>
        <v>0</v>
      </c>
      <c r="CD99" s="37" t="n">
        <f aca="false">CD10*(③기타_가정!$R$403+③기타_가정!$R$405+③기타_가정!$R$406+③기타_가정!$R$407+③기타_가정!$R$408)/(③기타_가정!$E$25*12)</f>
        <v>0</v>
      </c>
      <c r="CE99" s="37" t="n">
        <f aca="false">CE10*(③기타_가정!$R$403+③기타_가정!$R$405+③기타_가정!$R$406+③기타_가정!$R$407+③기타_가정!$R$408)/(③기타_가정!$E$25*12)</f>
        <v>0</v>
      </c>
      <c r="CF99" s="37" t="n">
        <f aca="false">CF10*(③기타_가정!$R$403+③기타_가정!$R$405+③기타_가정!$R$406+③기타_가정!$R$407+③기타_가정!$R$408)/(③기타_가정!$E$25*12)</f>
        <v>0</v>
      </c>
      <c r="CG99" s="37" t="n">
        <f aca="false">CG10*(③기타_가정!$R$403+③기타_가정!$R$405+③기타_가정!$R$406+③기타_가정!$R$407+③기타_가정!$R$408)/(③기타_가정!$E$25*12)</f>
        <v>0</v>
      </c>
      <c r="CH99" s="37" t="n">
        <f aca="false">CH10*(③기타_가정!$R$403+③기타_가정!$R$405+③기타_가정!$R$406+③기타_가정!$R$407+③기타_가정!$R$408)/(③기타_가정!$E$25*12)</f>
        <v>0</v>
      </c>
      <c r="CI99" s="37" t="n">
        <f aca="false">CI10*(③기타_가정!$R$403+③기타_가정!$R$405+③기타_가정!$R$406+③기타_가정!$R$407+③기타_가정!$R$408)/(③기타_가정!$E$25*12)</f>
        <v>0</v>
      </c>
      <c r="CJ99" s="37" t="n">
        <f aca="false">CJ10*(③기타_가정!$R$403+③기타_가정!$R$405+③기타_가정!$R$406+③기타_가정!$R$407+③기타_가정!$R$408)/(③기타_가정!$E$25*12)</f>
        <v>0</v>
      </c>
      <c r="CK99" s="37" t="n">
        <f aca="false">CK10*(③기타_가정!$R$403+③기타_가정!$R$405+③기타_가정!$R$406+③기타_가정!$R$407+③기타_가정!$R$408)/(③기타_가정!$E$25*12)</f>
        <v>0</v>
      </c>
      <c r="CL99" s="37" t="n">
        <f aca="false">CL10*(③기타_가정!$R$403+③기타_가정!$R$405+③기타_가정!$R$406+③기타_가정!$R$407+③기타_가정!$R$408)/(③기타_가정!$E$25*12)</f>
        <v>0</v>
      </c>
      <c r="CM99" s="37" t="n">
        <f aca="false">CM10*(③기타_가정!$R$403+③기타_가정!$R$405+③기타_가정!$R$406+③기타_가정!$R$407+③기타_가정!$R$408)/(③기타_가정!$E$25*12)</f>
        <v>0</v>
      </c>
      <c r="CN99" s="37" t="n">
        <f aca="false">CN10*(③기타_가정!$R$403+③기타_가정!$R$405+③기타_가정!$R$406+③기타_가정!$R$407+③기타_가정!$R$408)/(③기타_가정!$E$25*12)</f>
        <v>0</v>
      </c>
      <c r="CO99" s="37" t="n">
        <f aca="false">CO10*(③기타_가정!$R$403+③기타_가정!$R$405+③기타_가정!$R$406+③기타_가정!$R$407+③기타_가정!$R$408)/(③기타_가정!$E$25*12)</f>
        <v>0</v>
      </c>
      <c r="CP99" s="37" t="n">
        <f aca="false">CP10*(③기타_가정!$R$403+③기타_가정!$R$405+③기타_가정!$R$406+③기타_가정!$R$407+③기타_가정!$R$408)/(③기타_가정!$E$25*12)</f>
        <v>0</v>
      </c>
      <c r="CQ99" s="37" t="n">
        <f aca="false">CQ10*(③기타_가정!$R$403+③기타_가정!$R$405+③기타_가정!$R$406+③기타_가정!$R$407+③기타_가정!$R$408)/(③기타_가정!$E$25*12)</f>
        <v>0</v>
      </c>
      <c r="CR99" s="37" t="n">
        <f aca="false">CR10*(③기타_가정!$R$403+③기타_가정!$R$405+③기타_가정!$R$406+③기타_가정!$R$407+③기타_가정!$R$408)/(③기타_가정!$E$25*12)</f>
        <v>0</v>
      </c>
      <c r="CS99" s="37" t="n">
        <f aca="false">CS10*(③기타_가정!$R$403+③기타_가정!$R$405+③기타_가정!$R$406+③기타_가정!$R$407+③기타_가정!$R$408)/(③기타_가정!$E$25*12)</f>
        <v>0</v>
      </c>
      <c r="CT99" s="37" t="n">
        <f aca="false">CT10*(③기타_가정!$R$403+③기타_가정!$R$405+③기타_가정!$R$406+③기타_가정!$R$407+③기타_가정!$R$408)/(③기타_가정!$E$25*12)</f>
        <v>0</v>
      </c>
      <c r="CU99" s="37" t="n">
        <f aca="false">CU10*(③기타_가정!$R$403+③기타_가정!$R$405+③기타_가정!$R$406+③기타_가정!$R$407+③기타_가정!$R$408)/(③기타_가정!$E$25*12)</f>
        <v>0</v>
      </c>
      <c r="CV99" s="37" t="n">
        <f aca="false">CV10*(③기타_가정!$R$403+③기타_가정!$R$405+③기타_가정!$R$406+③기타_가정!$R$407+③기타_가정!$R$408)/(③기타_가정!$E$25*12)</f>
        <v>0</v>
      </c>
      <c r="CW99" s="37" t="n">
        <f aca="false">CW10*(③기타_가정!$R$403+③기타_가정!$R$405+③기타_가정!$R$406+③기타_가정!$R$407+③기타_가정!$R$408)/(③기타_가정!$E$25*12)</f>
        <v>0</v>
      </c>
      <c r="CX99" s="37" t="n">
        <f aca="false">CX10*(③기타_가정!$R$403+③기타_가정!$R$405+③기타_가정!$R$406+③기타_가정!$R$407+③기타_가정!$R$408)/(③기타_가정!$E$25*12)</f>
        <v>0</v>
      </c>
      <c r="CY99" s="37" t="n">
        <f aca="false">CY10*(③기타_가정!$R$403+③기타_가정!$R$405+③기타_가정!$R$406+③기타_가정!$R$407+③기타_가정!$R$408)/(③기타_가정!$E$25*12)</f>
        <v>0</v>
      </c>
      <c r="CZ99" s="37" t="n">
        <f aca="false">CZ10*(③기타_가정!$R$403+③기타_가정!$R$405+③기타_가정!$R$406+③기타_가정!$R$407+③기타_가정!$R$408)/(③기타_가정!$E$25*12)</f>
        <v>0</v>
      </c>
      <c r="DA99" s="37" t="n">
        <f aca="false">DA10*(③기타_가정!$R$403+③기타_가정!$R$405+③기타_가정!$R$406+③기타_가정!$R$407+③기타_가정!$R$408)/(③기타_가정!$E$25*12)</f>
        <v>0</v>
      </c>
      <c r="DB99" s="37" t="n">
        <f aca="false">DB10*(③기타_가정!$R$403+③기타_가정!$R$405+③기타_가정!$R$406+③기타_가정!$R$407+③기타_가정!$R$408)/(③기타_가정!$E$25*12)</f>
        <v>0</v>
      </c>
      <c r="DC99" s="37" t="n">
        <f aca="false">DC10*(③기타_가정!$R$403+③기타_가정!$R$405+③기타_가정!$R$406+③기타_가정!$R$407+③기타_가정!$R$408)/(③기타_가정!$E$25*12)</f>
        <v>0</v>
      </c>
      <c r="DD99" s="37" t="n">
        <f aca="false">DD10*(③기타_가정!$R$403+③기타_가정!$R$405+③기타_가정!$R$406+③기타_가정!$R$407+③기타_가정!$R$408)/(③기타_가정!$E$25*12)</f>
        <v>0</v>
      </c>
      <c r="DE99" s="37" t="n">
        <f aca="false">DE10*(③기타_가정!$R$403+③기타_가정!$R$405+③기타_가정!$R$406+③기타_가정!$R$407+③기타_가정!$R$408)/(③기타_가정!$E$25*12)</f>
        <v>0</v>
      </c>
      <c r="DF99" s="37" t="n">
        <f aca="false">DF10*(③기타_가정!$R$403+③기타_가정!$R$405+③기타_가정!$R$406+③기타_가정!$R$407+③기타_가정!$R$408)/(③기타_가정!$E$25*12)</f>
        <v>0</v>
      </c>
      <c r="DG99" s="37" t="n">
        <f aca="false">DG10*(③기타_가정!$R$403+③기타_가정!$R$405+③기타_가정!$R$406+③기타_가정!$R$407+③기타_가정!$R$408)/(③기타_가정!$E$25*12)</f>
        <v>0</v>
      </c>
      <c r="DH99" s="37" t="n">
        <f aca="false">DH10*(③기타_가정!$R$403+③기타_가정!$R$405+③기타_가정!$R$406+③기타_가정!$R$407+③기타_가정!$R$408)/(③기타_가정!$E$25*12)</f>
        <v>0</v>
      </c>
      <c r="DI99" s="37" t="n">
        <f aca="false">DI10*(③기타_가정!$R$403+③기타_가정!$R$405+③기타_가정!$R$406+③기타_가정!$R$407+③기타_가정!$R$408)/(③기타_가정!$E$25*12)</f>
        <v>0</v>
      </c>
      <c r="DJ99" s="37" t="n">
        <f aca="false">DJ10*(③기타_가정!$R$403+③기타_가정!$R$405+③기타_가정!$R$406+③기타_가정!$R$407+③기타_가정!$R$408)/(③기타_가정!$E$25*12)</f>
        <v>0</v>
      </c>
      <c r="DK99" s="37" t="n">
        <f aca="false">DK10*(③기타_가정!$R$403+③기타_가정!$R$405+③기타_가정!$R$406+③기타_가정!$R$407+③기타_가정!$R$408)/(③기타_가정!$E$25*12)</f>
        <v>0</v>
      </c>
      <c r="DL99" s="37" t="n">
        <f aca="false">DL10*(③기타_가정!$R$403+③기타_가정!$R$405+③기타_가정!$R$406+③기타_가정!$R$407+③기타_가정!$R$408)/(③기타_가정!$E$25*12)</f>
        <v>0</v>
      </c>
      <c r="DM99" s="37" t="n">
        <f aca="false">DM10*(③기타_가정!$R$403+③기타_가정!$R$405+③기타_가정!$R$406+③기타_가정!$R$407+③기타_가정!$R$408)/(③기타_가정!$E$25*12)</f>
        <v>0</v>
      </c>
      <c r="DN99" s="37" t="n">
        <f aca="false">DN10*(③기타_가정!$R$403+③기타_가정!$R$405+③기타_가정!$R$406+③기타_가정!$R$407+③기타_가정!$R$408)/(③기타_가정!$E$25*12)</f>
        <v>0</v>
      </c>
      <c r="DO99" s="37" t="n">
        <f aca="false">DO10*(③기타_가정!$R$403+③기타_가정!$R$405+③기타_가정!$R$406+③기타_가정!$R$407+③기타_가정!$R$408)/(③기타_가정!$E$25*12)</f>
        <v>0</v>
      </c>
      <c r="DP99" s="37" t="n">
        <f aca="false">DP10*(③기타_가정!$R$403+③기타_가정!$R$405+③기타_가정!$R$406+③기타_가정!$R$407+③기타_가정!$R$408)/(③기타_가정!$E$25*12)</f>
        <v>0</v>
      </c>
      <c r="DQ99" s="37" t="n">
        <f aca="false">DQ10*(③기타_가정!$R$403+③기타_가정!$R$405+③기타_가정!$R$406+③기타_가정!$R$407+③기타_가정!$R$408)/(③기타_가정!$E$25*12)</f>
        <v>0</v>
      </c>
      <c r="DR99" s="37" t="n">
        <f aca="false">DR10*(③기타_가정!$R$403+③기타_가정!$R$405+③기타_가정!$R$406+③기타_가정!$R$407+③기타_가정!$R$408)/(③기타_가정!$E$25*12)</f>
        <v>0</v>
      </c>
      <c r="DS99" s="37" t="n">
        <f aca="false">DS10*(③기타_가정!$R$403+③기타_가정!$R$405+③기타_가정!$R$406+③기타_가정!$R$407+③기타_가정!$R$408)/(③기타_가정!$E$25*12)</f>
        <v>0</v>
      </c>
      <c r="DT99" s="37" t="n">
        <f aca="false">DT10*(③기타_가정!$R$403+③기타_가정!$R$405+③기타_가정!$R$406+③기타_가정!$R$407+③기타_가정!$R$408)/(③기타_가정!$E$25*12)</f>
        <v>0</v>
      </c>
      <c r="DU99" s="37" t="n">
        <f aca="false">DU10*(③기타_가정!$R$403+③기타_가정!$R$405+③기타_가정!$R$406+③기타_가정!$R$407+③기타_가정!$R$408)/(③기타_가정!$E$25*12)</f>
        <v>0</v>
      </c>
      <c r="DV99" s="37" t="n">
        <f aca="false">DV10*(③기타_가정!$R$403+③기타_가정!$R$405+③기타_가정!$R$406+③기타_가정!$R$407+③기타_가정!$R$408)/(③기타_가정!$E$25*12)</f>
        <v>0</v>
      </c>
      <c r="DW99" s="37" t="n">
        <f aca="false">DW10*(③기타_가정!$R$403+③기타_가정!$R$405+③기타_가정!$R$406+③기타_가정!$R$407+③기타_가정!$R$408)/(③기타_가정!$E$25*12)</f>
        <v>0</v>
      </c>
      <c r="DX99" s="37" t="n">
        <f aca="false">DX10*(③기타_가정!$R$403+③기타_가정!$R$405+③기타_가정!$R$406+③기타_가정!$R$407+③기타_가정!$R$408)/(③기타_가정!$E$25*12)</f>
        <v>0</v>
      </c>
      <c r="DY99" s="37" t="n">
        <f aca="false">DY10*(③기타_가정!$R$403+③기타_가정!$R$405+③기타_가정!$R$406+③기타_가정!$R$407+③기타_가정!$R$408)/(③기타_가정!$E$25*12)</f>
        <v>0</v>
      </c>
      <c r="DZ99" s="37" t="n">
        <f aca="false">DZ10*(③기타_가정!$R$403+③기타_가정!$R$405+③기타_가정!$R$406+③기타_가정!$R$407+③기타_가정!$R$408)/(③기타_가정!$E$25*12)</f>
        <v>0</v>
      </c>
      <c r="EA99" s="37" t="n">
        <f aca="false">EA10*(③기타_가정!$R$403+③기타_가정!$R$405+③기타_가정!$R$406+③기타_가정!$R$407+③기타_가정!$R$408)/(③기타_가정!$E$25*12)</f>
        <v>0</v>
      </c>
      <c r="EB99" s="37" t="n">
        <f aca="false">EB10*(③기타_가정!$R$403+③기타_가정!$R$405+③기타_가정!$R$406+③기타_가정!$R$407+③기타_가정!$R$408)/(③기타_가정!$E$25*12)</f>
        <v>0</v>
      </c>
      <c r="EC99" s="37" t="n">
        <f aca="false">EC10*(③기타_가정!$R$403+③기타_가정!$R$405+③기타_가정!$R$406+③기타_가정!$R$407+③기타_가정!$R$408)/(③기타_가정!$E$25*12)</f>
        <v>0</v>
      </c>
      <c r="ED99" s="37" t="n">
        <f aca="false">ED10*(③기타_가정!$R$403+③기타_가정!$R$405+③기타_가정!$R$406+③기타_가정!$R$407+③기타_가정!$R$408)/(③기타_가정!$E$25*12)</f>
        <v>0</v>
      </c>
      <c r="EE99" s="37" t="n">
        <f aca="false">EE10*(③기타_가정!$R$403+③기타_가정!$R$405+③기타_가정!$R$406+③기타_가정!$R$407+③기타_가정!$R$408)/(③기타_가정!$E$25*12)</f>
        <v>0</v>
      </c>
      <c r="EF99" s="37" t="n">
        <f aca="false">EF10*(③기타_가정!$R$403+③기타_가정!$R$405+③기타_가정!$R$406+③기타_가정!$R$407+③기타_가정!$R$408)/(③기타_가정!$E$25*12)</f>
        <v>0</v>
      </c>
    </row>
    <row r="100" customFormat="false" ht="15" hidden="false" customHeight="false" outlineLevel="0" collapsed="false">
      <c r="A100" s="280" t="s">
        <v>640</v>
      </c>
      <c r="B100" s="281" t="s">
        <v>21</v>
      </c>
      <c r="C100" s="282" t="n">
        <f aca="false">SUM(E100:EF100)</f>
        <v>1004463.58211789</v>
      </c>
      <c r="D100" s="48"/>
      <c r="E100" s="283" t="n">
        <f aca="false">SUM(E89:E99)</f>
        <v>1641.42325780167</v>
      </c>
      <c r="F100" s="283" t="n">
        <f aca="false">SUM(F89:F99)</f>
        <v>90.4166666666667</v>
      </c>
      <c r="G100" s="283" t="n">
        <f aca="false">SUM(G89:G99)</f>
        <v>90.4166666666667</v>
      </c>
      <c r="H100" s="283" t="n">
        <f aca="false">SUM(H89:H99)</f>
        <v>7996.83997094076</v>
      </c>
      <c r="I100" s="283" t="n">
        <f aca="false">SUM(I89:I99)</f>
        <v>90.4166666666667</v>
      </c>
      <c r="J100" s="283" t="n">
        <f aca="false">SUM(J89:J99)</f>
        <v>90.4166666666667</v>
      </c>
      <c r="K100" s="283" t="n">
        <f aca="false">SUM(K89:K99)</f>
        <v>90.4166666666667</v>
      </c>
      <c r="L100" s="283" t="n">
        <f aca="false">SUM(L89:L99)</f>
        <v>90.4166666666667</v>
      </c>
      <c r="M100" s="283" t="n">
        <f aca="false">SUM(M89:M99)</f>
        <v>90.4166666666667</v>
      </c>
      <c r="N100" s="283" t="n">
        <f aca="false">SUM(N89:N99)</f>
        <v>90.4166666666667</v>
      </c>
      <c r="O100" s="283" t="n">
        <f aca="false">SUM(O89:O99)</f>
        <v>90.4166666666667</v>
      </c>
      <c r="P100" s="283" t="n">
        <f aca="false">SUM(P89:P99)</f>
        <v>90.4166666666667</v>
      </c>
      <c r="Q100" s="283" t="n">
        <f aca="false">SUM(Q89:Q99)</f>
        <v>90.4166666666667</v>
      </c>
      <c r="R100" s="283" t="n">
        <f aca="false">SUM(R89:R99)</f>
        <v>90.4166666666667</v>
      </c>
      <c r="S100" s="283" t="n">
        <f aca="false">SUM(S89:S99)</f>
        <v>90.4166666666667</v>
      </c>
      <c r="T100" s="283" t="n">
        <f aca="false">SUM(T89:T99)</f>
        <v>90.4166666666667</v>
      </c>
      <c r="U100" s="283" t="n">
        <f aca="false">SUM(U89:U99)</f>
        <v>90.4166666666667</v>
      </c>
      <c r="V100" s="283" t="n">
        <f aca="false">SUM(V89:V99)</f>
        <v>90.4166666666667</v>
      </c>
      <c r="W100" s="283" t="n">
        <f aca="false">SUM(W89:W99)</f>
        <v>164106.499240329</v>
      </c>
      <c r="X100" s="283" t="n">
        <f aca="false">SUM(X89:X99)</f>
        <v>3747.55831074522</v>
      </c>
      <c r="Y100" s="283" t="n">
        <f aca="false">SUM(Y89:Y99)</f>
        <v>5788.24783354922</v>
      </c>
      <c r="Z100" s="283" t="n">
        <f aca="false">SUM(Z89:Z99)</f>
        <v>7800.24535942907</v>
      </c>
      <c r="AA100" s="283" t="n">
        <f aca="false">SUM(AA89:AA99)</f>
        <v>9772.29898207797</v>
      </c>
      <c r="AB100" s="283" t="n">
        <f aca="false">SUM(AB89:AB99)</f>
        <v>11693.380177699</v>
      </c>
      <c r="AC100" s="283" t="n">
        <f aca="false">SUM(AC89:AC99)</f>
        <v>13552.7454809834</v>
      </c>
      <c r="AD100" s="283" t="n">
        <f aca="false">SUM(AD89:AD99)</f>
        <v>15339.9965669267</v>
      </c>
      <c r="AE100" s="283" t="n">
        <f aca="false">SUM(AE89:AE99)</f>
        <v>17045.1384024799</v>
      </c>
      <c r="AF100" s="283" t="n">
        <f aca="false">SUM(AF89:AF99)</f>
        <v>18658.6351428289</v>
      </c>
      <c r="AG100" s="283" t="n">
        <f aca="false">SUM(AG89:AG99)</f>
        <v>20171.4634597066</v>
      </c>
      <c r="AH100" s="283" t="n">
        <f aca="false">SUM(AH89:AH99)</f>
        <v>21575.1630035051</v>
      </c>
      <c r="AI100" s="283" t="n">
        <f aca="false">SUM(AI89:AI99)</f>
        <v>22861.8837169819</v>
      </c>
      <c r="AJ100" s="283" t="n">
        <f aca="false">SUM(AJ89:AJ99)</f>
        <v>24024.4297359649</v>
      </c>
      <c r="AK100" s="283" t="n">
        <f aca="false">SUM(AK89:AK99)</f>
        <v>25056.2996315438</v>
      </c>
      <c r="AL100" s="283" t="n">
        <f aca="false">SUM(AL89:AL99)</f>
        <v>25951.7227686969</v>
      </c>
      <c r="AM100" s="283" t="n">
        <f aca="false">SUM(AM89:AM99)</f>
        <v>26705.6915780241</v>
      </c>
      <c r="AN100" s="283" t="n">
        <f aca="false">SUM(AN89:AN99)</f>
        <v>27313.9895601054</v>
      </c>
      <c r="AO100" s="283" t="n">
        <f aca="false">SUM(AO89:AO99)</f>
        <v>27773.2148658766</v>
      </c>
      <c r="AP100" s="283" t="n">
        <f aca="false">SUM(AP89:AP99)</f>
        <v>28080.7993211487</v>
      </c>
      <c r="AQ100" s="283" t="n">
        <f aca="false">SUM(AQ89:AQ99)</f>
        <v>28235.02278888</v>
      </c>
      <c r="AR100" s="283" t="n">
        <f aca="false">SUM(AR89:AR99)</f>
        <v>28235.0227888799</v>
      </c>
      <c r="AS100" s="283" t="n">
        <f aca="false">SUM(AS89:AS99)</f>
        <v>28080.7993211487</v>
      </c>
      <c r="AT100" s="283" t="n">
        <f aca="false">SUM(AT89:AT99)</f>
        <v>27773.2148658767</v>
      </c>
      <c r="AU100" s="283" t="n">
        <f aca="false">SUM(AU89:AU99)</f>
        <v>27313.9895601055</v>
      </c>
      <c r="AV100" s="283" t="n">
        <f aca="false">SUM(AV89:AV99)</f>
        <v>26705.6915780241</v>
      </c>
      <c r="AW100" s="283" t="n">
        <f aca="false">SUM(AW89:AW99)</f>
        <v>25951.7227686968</v>
      </c>
      <c r="AX100" s="283" t="n">
        <f aca="false">SUM(AX89:AX99)</f>
        <v>25056.2996315437</v>
      </c>
      <c r="AY100" s="283" t="n">
        <f aca="false">SUM(AY89:AY99)</f>
        <v>24024.4297359651</v>
      </c>
      <c r="AZ100" s="283" t="n">
        <f aca="false">SUM(AZ89:AZ99)</f>
        <v>22861.8837169818</v>
      </c>
      <c r="BA100" s="283" t="n">
        <f aca="false">SUM(BA89:BA99)</f>
        <v>21575.163003505</v>
      </c>
      <c r="BB100" s="283" t="n">
        <f aca="false">SUM(BB89:BB99)</f>
        <v>20171.4634597067</v>
      </c>
      <c r="BC100" s="283" t="n">
        <f aca="false">SUM(BC89:BC99)</f>
        <v>18658.6351428289</v>
      </c>
      <c r="BD100" s="283" t="n">
        <f aca="false">SUM(BD89:BD99)</f>
        <v>17045.1384024799</v>
      </c>
      <c r="BE100" s="283" t="n">
        <f aca="false">SUM(BE89:BE99)</f>
        <v>15339.9965669266</v>
      </c>
      <c r="BF100" s="283" t="n">
        <f aca="false">SUM(BF89:BF99)</f>
        <v>13552.7454809835</v>
      </c>
      <c r="BG100" s="283" t="n">
        <f aca="false">SUM(BG89:BG99)</f>
        <v>11693.3801776991</v>
      </c>
      <c r="BH100" s="283" t="n">
        <f aca="false">SUM(BH89:BH99)</f>
        <v>9772.29898207789</v>
      </c>
      <c r="BI100" s="283" t="n">
        <f aca="false">SUM(BI89:BI99)</f>
        <v>7800.24535942911</v>
      </c>
      <c r="BJ100" s="283" t="n">
        <f aca="false">SUM(BJ89:BJ99)</f>
        <v>5788.24783354922</v>
      </c>
      <c r="BK100" s="283" t="n">
        <f aca="false">SUM(BK89:BK99)</f>
        <v>3747.55831074522</v>
      </c>
      <c r="BL100" s="283" t="n">
        <f aca="false">SUM(BL89:BL99)</f>
        <v>24745.8045708476</v>
      </c>
      <c r="BM100" s="283" t="n">
        <f aca="false">SUM(BM89:BM99)</f>
        <v>42230.4950369957</v>
      </c>
      <c r="BN100" s="283" t="n">
        <f aca="false">SUM(BN89:BN99)</f>
        <v>0</v>
      </c>
      <c r="BO100" s="283" t="n">
        <f aca="false">SUM(BO89:BO99)</f>
        <v>0</v>
      </c>
      <c r="BP100" s="283" t="n">
        <f aca="false">SUM(BP89:BP99)</f>
        <v>0</v>
      </c>
      <c r="BQ100" s="283" t="n">
        <f aca="false">SUM(BQ89:BQ99)</f>
        <v>0</v>
      </c>
      <c r="BR100" s="283" t="n">
        <f aca="false">SUM(BR89:BR99)</f>
        <v>0</v>
      </c>
      <c r="BS100" s="283" t="n">
        <f aca="false">SUM(BS89:BS99)</f>
        <v>0</v>
      </c>
      <c r="BT100" s="283" t="n">
        <f aca="false">SUM(BT89:BT99)</f>
        <v>0</v>
      </c>
      <c r="BU100" s="283" t="n">
        <f aca="false">SUM(BU89:BU99)</f>
        <v>0</v>
      </c>
      <c r="BV100" s="283" t="n">
        <f aca="false">SUM(BV89:BV99)</f>
        <v>0</v>
      </c>
      <c r="BW100" s="283" t="n">
        <f aca="false">SUM(BW89:BW99)</f>
        <v>0</v>
      </c>
      <c r="BX100" s="283" t="n">
        <f aca="false">SUM(BX89:BX99)</f>
        <v>0</v>
      </c>
      <c r="BY100" s="283" t="n">
        <f aca="false">SUM(BY89:BY99)</f>
        <v>0</v>
      </c>
      <c r="BZ100" s="283" t="n">
        <f aca="false">SUM(BZ89:BZ99)</f>
        <v>0</v>
      </c>
      <c r="CA100" s="283" t="n">
        <f aca="false">SUM(CA89:CA99)</f>
        <v>0</v>
      </c>
      <c r="CB100" s="283" t="n">
        <f aca="false">SUM(CB89:CB99)</f>
        <v>0</v>
      </c>
      <c r="CC100" s="283" t="n">
        <f aca="false">SUM(CC89:CC99)</f>
        <v>0</v>
      </c>
      <c r="CD100" s="283" t="n">
        <f aca="false">SUM(CD89:CD99)</f>
        <v>0</v>
      </c>
      <c r="CE100" s="283" t="n">
        <f aca="false">SUM(CE89:CE99)</f>
        <v>0</v>
      </c>
      <c r="CF100" s="283" t="n">
        <f aca="false">SUM(CF89:CF99)</f>
        <v>0</v>
      </c>
      <c r="CG100" s="283" t="n">
        <f aca="false">SUM(CG89:CG99)</f>
        <v>0</v>
      </c>
      <c r="CH100" s="283" t="n">
        <f aca="false">SUM(CH89:CH99)</f>
        <v>0</v>
      </c>
      <c r="CI100" s="283" t="n">
        <f aca="false">SUM(CI89:CI99)</f>
        <v>0</v>
      </c>
      <c r="CJ100" s="283" t="n">
        <f aca="false">SUM(CJ89:CJ99)</f>
        <v>0</v>
      </c>
      <c r="CK100" s="283" t="n">
        <f aca="false">SUM(CK89:CK99)</f>
        <v>0</v>
      </c>
      <c r="CL100" s="283" t="n">
        <f aca="false">SUM(CL89:CL99)</f>
        <v>0</v>
      </c>
      <c r="CM100" s="283" t="n">
        <f aca="false">SUM(CM89:CM99)</f>
        <v>0</v>
      </c>
      <c r="CN100" s="283" t="n">
        <f aca="false">SUM(CN89:CN99)</f>
        <v>0</v>
      </c>
      <c r="CO100" s="283" t="n">
        <f aca="false">SUM(CO89:CO99)</f>
        <v>0</v>
      </c>
      <c r="CP100" s="283" t="n">
        <f aca="false">SUM(CP89:CP99)</f>
        <v>0</v>
      </c>
      <c r="CQ100" s="283" t="n">
        <f aca="false">SUM(CQ89:CQ99)</f>
        <v>0</v>
      </c>
      <c r="CR100" s="283" t="n">
        <f aca="false">SUM(CR89:CR99)</f>
        <v>0</v>
      </c>
      <c r="CS100" s="283" t="n">
        <f aca="false">SUM(CS89:CS99)</f>
        <v>0</v>
      </c>
      <c r="CT100" s="283" t="n">
        <f aca="false">SUM(CT89:CT99)</f>
        <v>0</v>
      </c>
      <c r="CU100" s="283" t="n">
        <f aca="false">SUM(CU89:CU99)</f>
        <v>0</v>
      </c>
      <c r="CV100" s="283" t="n">
        <f aca="false">SUM(CV89:CV99)</f>
        <v>0</v>
      </c>
      <c r="CW100" s="283" t="n">
        <f aca="false">SUM(CW89:CW99)</f>
        <v>0</v>
      </c>
      <c r="CX100" s="283" t="n">
        <f aca="false">SUM(CX89:CX99)</f>
        <v>0</v>
      </c>
      <c r="CY100" s="283" t="n">
        <f aca="false">SUM(CY89:CY99)</f>
        <v>0</v>
      </c>
      <c r="CZ100" s="283" t="n">
        <f aca="false">SUM(CZ89:CZ99)</f>
        <v>0</v>
      </c>
      <c r="DA100" s="283" t="n">
        <f aca="false">SUM(DA89:DA99)</f>
        <v>0</v>
      </c>
      <c r="DB100" s="283" t="n">
        <f aca="false">SUM(DB89:DB99)</f>
        <v>0</v>
      </c>
      <c r="DC100" s="283" t="n">
        <f aca="false">SUM(DC89:DC99)</f>
        <v>0</v>
      </c>
      <c r="DD100" s="283" t="n">
        <f aca="false">SUM(DD89:DD99)</f>
        <v>0</v>
      </c>
      <c r="DE100" s="283" t="n">
        <f aca="false">SUM(DE89:DE99)</f>
        <v>0</v>
      </c>
      <c r="DF100" s="283" t="n">
        <f aca="false">SUM(DF89:DF99)</f>
        <v>0</v>
      </c>
      <c r="DG100" s="283" t="n">
        <f aca="false">SUM(DG89:DG99)</f>
        <v>0</v>
      </c>
      <c r="DH100" s="283" t="n">
        <f aca="false">SUM(DH89:DH99)</f>
        <v>0</v>
      </c>
      <c r="DI100" s="283" t="n">
        <f aca="false">SUM(DI89:DI99)</f>
        <v>0</v>
      </c>
      <c r="DJ100" s="283" t="n">
        <f aca="false">SUM(DJ89:DJ99)</f>
        <v>0</v>
      </c>
      <c r="DK100" s="283" t="n">
        <f aca="false">SUM(DK89:DK99)</f>
        <v>0</v>
      </c>
      <c r="DL100" s="283" t="n">
        <f aca="false">SUM(DL89:DL99)</f>
        <v>0</v>
      </c>
      <c r="DM100" s="283" t="n">
        <f aca="false">SUM(DM89:DM99)</f>
        <v>0</v>
      </c>
      <c r="DN100" s="283" t="n">
        <f aca="false">SUM(DN89:DN99)</f>
        <v>0</v>
      </c>
      <c r="DO100" s="283" t="n">
        <f aca="false">SUM(DO89:DO99)</f>
        <v>0</v>
      </c>
      <c r="DP100" s="283" t="n">
        <f aca="false">SUM(DP89:DP99)</f>
        <v>0</v>
      </c>
      <c r="DQ100" s="283" t="n">
        <f aca="false">SUM(DQ89:DQ99)</f>
        <v>0</v>
      </c>
      <c r="DR100" s="283" t="n">
        <f aca="false">SUM(DR89:DR99)</f>
        <v>0</v>
      </c>
      <c r="DS100" s="283" t="n">
        <f aca="false">SUM(DS89:DS99)</f>
        <v>0</v>
      </c>
      <c r="DT100" s="283" t="n">
        <f aca="false">SUM(DT89:DT99)</f>
        <v>0</v>
      </c>
      <c r="DU100" s="283" t="n">
        <f aca="false">SUM(DU89:DU99)</f>
        <v>0</v>
      </c>
      <c r="DV100" s="283" t="n">
        <f aca="false">SUM(DV89:DV99)</f>
        <v>0</v>
      </c>
      <c r="DW100" s="283" t="n">
        <f aca="false">SUM(DW89:DW99)</f>
        <v>0</v>
      </c>
      <c r="DX100" s="283" t="n">
        <f aca="false">SUM(DX89:DX99)</f>
        <v>0</v>
      </c>
      <c r="DY100" s="283" t="n">
        <f aca="false">SUM(DY89:DY99)</f>
        <v>0</v>
      </c>
      <c r="DZ100" s="283" t="n">
        <f aca="false">SUM(DZ89:DZ99)</f>
        <v>0</v>
      </c>
      <c r="EA100" s="283" t="n">
        <f aca="false">SUM(EA89:EA99)</f>
        <v>0</v>
      </c>
      <c r="EB100" s="283" t="n">
        <f aca="false">SUM(EB89:EB99)</f>
        <v>0</v>
      </c>
      <c r="EC100" s="283" t="n">
        <f aca="false">SUM(EC89:EC99)</f>
        <v>0</v>
      </c>
      <c r="ED100" s="283" t="n">
        <f aca="false">SUM(ED89:ED99)</f>
        <v>0</v>
      </c>
      <c r="EE100" s="283" t="n">
        <f aca="false">SUM(EE89:EE99)</f>
        <v>0</v>
      </c>
      <c r="EF100" s="283" t="n">
        <f aca="false">SUM(EF89:EF99)</f>
        <v>0</v>
      </c>
    </row>
    <row r="102" customFormat="false" ht="15" hidden="false" customHeight="false" outlineLevel="0" collapsed="false">
      <c r="A102" s="34" t="s">
        <v>641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</row>
    <row r="103" customFormat="false" ht="15" hidden="false" customHeight="false" outlineLevel="0" collapsed="false">
      <c r="A103" s="153" t="s">
        <v>642</v>
      </c>
      <c r="B103" s="278" t="s">
        <v>21</v>
      </c>
      <c r="C103" s="279" t="n">
        <f aca="false">SUM(E103:EF103)</f>
        <v>6005.87206438123</v>
      </c>
      <c r="E103" s="37" t="n">
        <f aca="false">IF(E6=③기타_가정!$E$14,③기타_가정!$E$452*③기타_가정!$J$483,0)</f>
        <v>0</v>
      </c>
      <c r="F103" s="37" t="n">
        <f aca="false">IF(F6=③기타_가정!$E$14,③기타_가정!$E$452*③기타_가정!$J$483,0)</f>
        <v>0</v>
      </c>
      <c r="G103" s="37" t="n">
        <f aca="false">IF(G6=③기타_가정!$E$14,③기타_가정!$E$452*③기타_가정!$J$483,0)</f>
        <v>0</v>
      </c>
      <c r="H103" s="37" t="n">
        <f aca="false">IF(H6=③기타_가정!$E$14,③기타_가정!$E$452*③기타_가정!$J$483,0)</f>
        <v>0</v>
      </c>
      <c r="I103" s="37" t="n">
        <f aca="false">IF(I6=③기타_가정!$E$14,③기타_가정!$E$452*③기타_가정!$J$483,0)</f>
        <v>0</v>
      </c>
      <c r="J103" s="37" t="n">
        <f aca="false">IF(J6=③기타_가정!$E$14,③기타_가정!$E$452*③기타_가정!$J$483,0)</f>
        <v>0</v>
      </c>
      <c r="K103" s="37" t="n">
        <f aca="false">IF(K6=③기타_가정!$E$14,③기타_가정!$E$452*③기타_가정!$J$483,0)</f>
        <v>0</v>
      </c>
      <c r="L103" s="37" t="n">
        <f aca="false">IF(L6=③기타_가정!$E$14,③기타_가정!$E$452*③기타_가정!$J$483,0)</f>
        <v>0</v>
      </c>
      <c r="M103" s="37" t="n">
        <f aca="false">IF(M6=③기타_가정!$E$14,③기타_가정!$E$452*③기타_가정!$J$483,0)</f>
        <v>0</v>
      </c>
      <c r="N103" s="37" t="n">
        <f aca="false">IF(N6=③기타_가정!$E$14,③기타_가정!$E$452*③기타_가정!$J$483,0)</f>
        <v>0</v>
      </c>
      <c r="O103" s="37" t="n">
        <f aca="false">IF(O6=③기타_가정!$E$14,③기타_가정!$E$452*③기타_가정!$J$483,0)</f>
        <v>0</v>
      </c>
      <c r="P103" s="37" t="n">
        <f aca="false">IF(P6=③기타_가정!$E$14,③기타_가정!$E$452*③기타_가정!$J$483,0)</f>
        <v>0</v>
      </c>
      <c r="Q103" s="37" t="n">
        <f aca="false">IF(Q6=③기타_가정!$E$14,③기타_가정!$E$452*③기타_가정!$J$483,0)</f>
        <v>0</v>
      </c>
      <c r="R103" s="37" t="n">
        <f aca="false">IF(R6=③기타_가정!$E$14,③기타_가정!$E$452*③기타_가정!$J$483,0)</f>
        <v>0</v>
      </c>
      <c r="S103" s="37" t="n">
        <f aca="false">IF(S6=③기타_가정!$E$14,③기타_가정!$E$452*③기타_가정!$J$483,0)</f>
        <v>0</v>
      </c>
      <c r="T103" s="37" t="n">
        <f aca="false">IF(T6=③기타_가정!$E$14,③기타_가정!$E$452*③기타_가정!$J$483,0)</f>
        <v>0</v>
      </c>
      <c r="U103" s="37" t="n">
        <f aca="false">IF(U6=③기타_가정!$E$14,③기타_가정!$E$452*③기타_가정!$J$483,0)</f>
        <v>0</v>
      </c>
      <c r="V103" s="37" t="n">
        <f aca="false">IF(V6=③기타_가정!$E$14,③기타_가정!$E$452*③기타_가정!$J$483,0)</f>
        <v>0</v>
      </c>
      <c r="W103" s="37" t="n">
        <f aca="false">IF(W6=③기타_가정!$E$14,③기타_가정!$E$452*③기타_가정!$J$483,0)</f>
        <v>6005.87206438123</v>
      </c>
      <c r="X103" s="37" t="n">
        <f aca="false">IF(X6=③기타_가정!$E$14,③기타_가정!$E$452*③기타_가정!$J$483,0)</f>
        <v>0</v>
      </c>
      <c r="Y103" s="37" t="n">
        <f aca="false">IF(Y6=③기타_가정!$E$14,③기타_가정!$E$452*③기타_가정!$J$483,0)</f>
        <v>0</v>
      </c>
      <c r="Z103" s="37" t="n">
        <f aca="false">IF(Z6=③기타_가정!$E$14,③기타_가정!$E$452*③기타_가정!$J$483,0)</f>
        <v>0</v>
      </c>
      <c r="AA103" s="37" t="n">
        <f aca="false">IF(AA6=③기타_가정!$E$14,③기타_가정!$E$452*③기타_가정!$J$483,0)</f>
        <v>0</v>
      </c>
      <c r="AB103" s="37" t="n">
        <f aca="false">IF(AB6=③기타_가정!$E$14,③기타_가정!$E$452*③기타_가정!$J$483,0)</f>
        <v>0</v>
      </c>
      <c r="AC103" s="37" t="n">
        <f aca="false">IF(AC6=③기타_가정!$E$14,③기타_가정!$E$452*③기타_가정!$J$483,0)</f>
        <v>0</v>
      </c>
      <c r="AD103" s="37" t="n">
        <f aca="false">IF(AD6=③기타_가정!$E$14,③기타_가정!$E$452*③기타_가정!$J$483,0)</f>
        <v>0</v>
      </c>
      <c r="AE103" s="37" t="n">
        <f aca="false">IF(AE6=③기타_가정!$E$14,③기타_가정!$E$452*③기타_가정!$J$483,0)</f>
        <v>0</v>
      </c>
      <c r="AF103" s="37" t="n">
        <f aca="false">IF(AF6=③기타_가정!$E$14,③기타_가정!$E$452*③기타_가정!$J$483,0)</f>
        <v>0</v>
      </c>
      <c r="AG103" s="37" t="n">
        <f aca="false">IF(AG6=③기타_가정!$E$14,③기타_가정!$E$452*③기타_가정!$J$483,0)</f>
        <v>0</v>
      </c>
      <c r="AH103" s="37" t="n">
        <f aca="false">IF(AH6=③기타_가정!$E$14,③기타_가정!$E$452*③기타_가정!$J$483,0)</f>
        <v>0</v>
      </c>
      <c r="AI103" s="37" t="n">
        <f aca="false">IF(AI6=③기타_가정!$E$14,③기타_가정!$E$452*③기타_가정!$J$483,0)</f>
        <v>0</v>
      </c>
      <c r="AJ103" s="37" t="n">
        <f aca="false">IF(AJ6=③기타_가정!$E$14,③기타_가정!$E$452*③기타_가정!$J$483,0)</f>
        <v>0</v>
      </c>
      <c r="AK103" s="37" t="n">
        <f aca="false">IF(AK6=③기타_가정!$E$14,③기타_가정!$E$452*③기타_가정!$J$483,0)</f>
        <v>0</v>
      </c>
      <c r="AL103" s="37" t="n">
        <f aca="false">IF(AL6=③기타_가정!$E$14,③기타_가정!$E$452*③기타_가정!$J$483,0)</f>
        <v>0</v>
      </c>
      <c r="AM103" s="37" t="n">
        <f aca="false">IF(AM6=③기타_가정!$E$14,③기타_가정!$E$452*③기타_가정!$J$483,0)</f>
        <v>0</v>
      </c>
      <c r="AN103" s="37" t="n">
        <f aca="false">IF(AN6=③기타_가정!$E$14,③기타_가정!$E$452*③기타_가정!$J$483,0)</f>
        <v>0</v>
      </c>
      <c r="AO103" s="37" t="n">
        <f aca="false">IF(AO6=③기타_가정!$E$14,③기타_가정!$E$452*③기타_가정!$J$483,0)</f>
        <v>0</v>
      </c>
      <c r="AP103" s="37" t="n">
        <f aca="false">IF(AP6=③기타_가정!$E$14,③기타_가정!$E$452*③기타_가정!$J$483,0)</f>
        <v>0</v>
      </c>
      <c r="AQ103" s="37" t="n">
        <f aca="false">IF(AQ6=③기타_가정!$E$14,③기타_가정!$E$452*③기타_가정!$J$483,0)</f>
        <v>0</v>
      </c>
      <c r="AR103" s="37" t="n">
        <f aca="false">IF(AR6=③기타_가정!$E$14,③기타_가정!$E$452*③기타_가정!$J$483,0)</f>
        <v>0</v>
      </c>
      <c r="AS103" s="37" t="n">
        <f aca="false">IF(AS6=③기타_가정!$E$14,③기타_가정!$E$452*③기타_가정!$J$483,0)</f>
        <v>0</v>
      </c>
      <c r="AT103" s="37" t="n">
        <f aca="false">IF(AT6=③기타_가정!$E$14,③기타_가정!$E$452*③기타_가정!$J$483,0)</f>
        <v>0</v>
      </c>
      <c r="AU103" s="37" t="n">
        <f aca="false">IF(AU6=③기타_가정!$E$14,③기타_가정!$E$452*③기타_가정!$J$483,0)</f>
        <v>0</v>
      </c>
      <c r="AV103" s="37" t="n">
        <f aca="false">IF(AV6=③기타_가정!$E$14,③기타_가정!$E$452*③기타_가정!$J$483,0)</f>
        <v>0</v>
      </c>
      <c r="AW103" s="37" t="n">
        <f aca="false">IF(AW6=③기타_가정!$E$14,③기타_가정!$E$452*③기타_가정!$J$483,0)</f>
        <v>0</v>
      </c>
      <c r="AX103" s="37" t="n">
        <f aca="false">IF(AX6=③기타_가정!$E$14,③기타_가정!$E$452*③기타_가정!$J$483,0)</f>
        <v>0</v>
      </c>
      <c r="AY103" s="37" t="n">
        <f aca="false">IF(AY6=③기타_가정!$E$14,③기타_가정!$E$452*③기타_가정!$J$483,0)</f>
        <v>0</v>
      </c>
      <c r="AZ103" s="37" t="n">
        <f aca="false">IF(AZ6=③기타_가정!$E$14,③기타_가정!$E$452*③기타_가정!$J$483,0)</f>
        <v>0</v>
      </c>
      <c r="BA103" s="37" t="n">
        <f aca="false">IF(BA6=③기타_가정!$E$14,③기타_가정!$E$452*③기타_가정!$J$483,0)</f>
        <v>0</v>
      </c>
      <c r="BB103" s="37" t="n">
        <f aca="false">IF(BB6=③기타_가정!$E$14,③기타_가정!$E$452*③기타_가정!$J$483,0)</f>
        <v>0</v>
      </c>
      <c r="BC103" s="37" t="n">
        <f aca="false">IF(BC6=③기타_가정!$E$14,③기타_가정!$E$452*③기타_가정!$J$483,0)</f>
        <v>0</v>
      </c>
      <c r="BD103" s="37" t="n">
        <f aca="false">IF(BD6=③기타_가정!$E$14,③기타_가정!$E$452*③기타_가정!$J$483,0)</f>
        <v>0</v>
      </c>
      <c r="BE103" s="37" t="n">
        <f aca="false">IF(BE6=③기타_가정!$E$14,③기타_가정!$E$452*③기타_가정!$J$483,0)</f>
        <v>0</v>
      </c>
      <c r="BF103" s="37" t="n">
        <f aca="false">IF(BF6=③기타_가정!$E$14,③기타_가정!$E$452*③기타_가정!$J$483,0)</f>
        <v>0</v>
      </c>
      <c r="BG103" s="37" t="n">
        <f aca="false">IF(BG6=③기타_가정!$E$14,③기타_가정!$E$452*③기타_가정!$J$483,0)</f>
        <v>0</v>
      </c>
      <c r="BH103" s="37" t="n">
        <f aca="false">IF(BH6=③기타_가정!$E$14,③기타_가정!$E$452*③기타_가정!$J$483,0)</f>
        <v>0</v>
      </c>
      <c r="BI103" s="37" t="n">
        <f aca="false">IF(BI6=③기타_가정!$E$14,③기타_가정!$E$452*③기타_가정!$J$483,0)</f>
        <v>0</v>
      </c>
      <c r="BJ103" s="37" t="n">
        <f aca="false">IF(BJ6=③기타_가정!$E$14,③기타_가정!$E$452*③기타_가정!$J$483,0)</f>
        <v>0</v>
      </c>
      <c r="BK103" s="37" t="n">
        <f aca="false">IF(BK6=③기타_가정!$E$14,③기타_가정!$E$452*③기타_가정!$J$483,0)</f>
        <v>0</v>
      </c>
      <c r="BL103" s="37" t="n">
        <f aca="false">IF(BL6=③기타_가정!$E$14,③기타_가정!$E$452*③기타_가정!$J$483,0)</f>
        <v>0</v>
      </c>
      <c r="BM103" s="37" t="n">
        <f aca="false">IF(BM6=③기타_가정!$E$14,③기타_가정!$E$452*③기타_가정!$J$483,0)</f>
        <v>0</v>
      </c>
      <c r="BN103" s="37" t="n">
        <f aca="false">IF(BN6=③기타_가정!$E$14,③기타_가정!$E$452*③기타_가정!$J$483,0)</f>
        <v>0</v>
      </c>
      <c r="BO103" s="37" t="n">
        <f aca="false">IF(BO6=③기타_가정!$E$14,③기타_가정!$E$452*③기타_가정!$J$483,0)</f>
        <v>0</v>
      </c>
      <c r="BP103" s="37" t="n">
        <f aca="false">IF(BP6=③기타_가정!$E$14,③기타_가정!$E$452*③기타_가정!$J$483,0)</f>
        <v>0</v>
      </c>
      <c r="BQ103" s="37" t="n">
        <f aca="false">IF(BQ6=③기타_가정!$E$14,③기타_가정!$E$452*③기타_가정!$J$483,0)</f>
        <v>0</v>
      </c>
      <c r="BR103" s="37" t="n">
        <f aca="false">IF(BR6=③기타_가정!$E$14,③기타_가정!$E$452*③기타_가정!$J$483,0)</f>
        <v>0</v>
      </c>
      <c r="BS103" s="37" t="n">
        <f aca="false">IF(BS6=③기타_가정!$E$14,③기타_가정!$E$452*③기타_가정!$J$483,0)</f>
        <v>0</v>
      </c>
      <c r="BT103" s="37" t="n">
        <f aca="false">IF(BT6=③기타_가정!$E$14,③기타_가정!$E$452*③기타_가정!$J$483,0)</f>
        <v>0</v>
      </c>
      <c r="BU103" s="37" t="n">
        <f aca="false">IF(BU6=③기타_가정!$E$14,③기타_가정!$E$452*③기타_가정!$J$483,0)</f>
        <v>0</v>
      </c>
      <c r="BV103" s="37" t="n">
        <f aca="false">IF(BV6=③기타_가정!$E$14,③기타_가정!$E$452*③기타_가정!$J$483,0)</f>
        <v>0</v>
      </c>
      <c r="BW103" s="37" t="n">
        <f aca="false">IF(BW6=③기타_가정!$E$14,③기타_가정!$E$452*③기타_가정!$J$483,0)</f>
        <v>0</v>
      </c>
      <c r="BX103" s="37" t="n">
        <f aca="false">IF(BX6=③기타_가정!$E$14,③기타_가정!$E$452*③기타_가정!$J$483,0)</f>
        <v>0</v>
      </c>
      <c r="BY103" s="37" t="n">
        <f aca="false">IF(BY6=③기타_가정!$E$14,③기타_가정!$E$452*③기타_가정!$J$483,0)</f>
        <v>0</v>
      </c>
      <c r="BZ103" s="37" t="n">
        <f aca="false">IF(BZ6=③기타_가정!$E$14,③기타_가정!$E$452*③기타_가정!$J$483,0)</f>
        <v>0</v>
      </c>
      <c r="CA103" s="37" t="n">
        <f aca="false">IF(CA6=③기타_가정!$E$14,③기타_가정!$E$452*③기타_가정!$J$483,0)</f>
        <v>0</v>
      </c>
      <c r="CB103" s="37" t="n">
        <f aca="false">IF(CB6=③기타_가정!$E$14,③기타_가정!$E$452*③기타_가정!$J$483,0)</f>
        <v>0</v>
      </c>
      <c r="CC103" s="37" t="n">
        <f aca="false">IF(CC6=③기타_가정!$E$14,③기타_가정!$E$452*③기타_가정!$J$483,0)</f>
        <v>0</v>
      </c>
      <c r="CD103" s="37" t="n">
        <f aca="false">IF(CD6=③기타_가정!$E$14,③기타_가정!$E$452*③기타_가정!$J$483,0)</f>
        <v>0</v>
      </c>
      <c r="CE103" s="37" t="n">
        <f aca="false">IF(CE6=③기타_가정!$E$14,③기타_가정!$E$452*③기타_가정!$J$483,0)</f>
        <v>0</v>
      </c>
      <c r="CF103" s="37" t="n">
        <f aca="false">IF(CF6=③기타_가정!$E$14,③기타_가정!$E$452*③기타_가정!$J$483,0)</f>
        <v>0</v>
      </c>
      <c r="CG103" s="37" t="n">
        <f aca="false">IF(CG6=③기타_가정!$E$14,③기타_가정!$E$452*③기타_가정!$J$483,0)</f>
        <v>0</v>
      </c>
      <c r="CH103" s="37" t="n">
        <f aca="false">IF(CH6=③기타_가정!$E$14,③기타_가정!$E$452*③기타_가정!$J$483,0)</f>
        <v>0</v>
      </c>
      <c r="CI103" s="37" t="n">
        <f aca="false">IF(CI6=③기타_가정!$E$14,③기타_가정!$E$452*③기타_가정!$J$483,0)</f>
        <v>0</v>
      </c>
      <c r="CJ103" s="37" t="n">
        <f aca="false">IF(CJ6=③기타_가정!$E$14,③기타_가정!$E$452*③기타_가정!$J$483,0)</f>
        <v>0</v>
      </c>
      <c r="CK103" s="37" t="n">
        <f aca="false">IF(CK6=③기타_가정!$E$14,③기타_가정!$E$452*③기타_가정!$J$483,0)</f>
        <v>0</v>
      </c>
      <c r="CL103" s="37" t="n">
        <f aca="false">IF(CL6=③기타_가정!$E$14,③기타_가정!$E$452*③기타_가정!$J$483,0)</f>
        <v>0</v>
      </c>
      <c r="CM103" s="37" t="n">
        <f aca="false">IF(CM6=③기타_가정!$E$14,③기타_가정!$E$452*③기타_가정!$J$483,0)</f>
        <v>0</v>
      </c>
      <c r="CN103" s="37" t="n">
        <f aca="false">IF(CN6=③기타_가정!$E$14,③기타_가정!$E$452*③기타_가정!$J$483,0)</f>
        <v>0</v>
      </c>
      <c r="CO103" s="37" t="n">
        <f aca="false">IF(CO6=③기타_가정!$E$14,③기타_가정!$E$452*③기타_가정!$J$483,0)</f>
        <v>0</v>
      </c>
      <c r="CP103" s="37" t="n">
        <f aca="false">IF(CP6=③기타_가정!$E$14,③기타_가정!$E$452*③기타_가정!$J$483,0)</f>
        <v>0</v>
      </c>
      <c r="CQ103" s="37" t="n">
        <f aca="false">IF(CQ6=③기타_가정!$E$14,③기타_가정!$E$452*③기타_가정!$J$483,0)</f>
        <v>0</v>
      </c>
      <c r="CR103" s="37" t="n">
        <f aca="false">IF(CR6=③기타_가정!$E$14,③기타_가정!$E$452*③기타_가정!$J$483,0)</f>
        <v>0</v>
      </c>
      <c r="CS103" s="37" t="n">
        <f aca="false">IF(CS6=③기타_가정!$E$14,③기타_가정!$E$452*③기타_가정!$J$483,0)</f>
        <v>0</v>
      </c>
      <c r="CT103" s="37" t="n">
        <f aca="false">IF(CT6=③기타_가정!$E$14,③기타_가정!$E$452*③기타_가정!$J$483,0)</f>
        <v>0</v>
      </c>
      <c r="CU103" s="37" t="n">
        <f aca="false">IF(CU6=③기타_가정!$E$14,③기타_가정!$E$452*③기타_가정!$J$483,0)</f>
        <v>0</v>
      </c>
      <c r="CV103" s="37" t="n">
        <f aca="false">IF(CV6=③기타_가정!$E$14,③기타_가정!$E$452*③기타_가정!$J$483,0)</f>
        <v>0</v>
      </c>
      <c r="CW103" s="37" t="n">
        <f aca="false">IF(CW6=③기타_가정!$E$14,③기타_가정!$E$452*③기타_가정!$J$483,0)</f>
        <v>0</v>
      </c>
      <c r="CX103" s="37" t="n">
        <f aca="false">IF(CX6=③기타_가정!$E$14,③기타_가정!$E$452*③기타_가정!$J$483,0)</f>
        <v>0</v>
      </c>
      <c r="CY103" s="37" t="n">
        <f aca="false">IF(CY6=③기타_가정!$E$14,③기타_가정!$E$452*③기타_가정!$J$483,0)</f>
        <v>0</v>
      </c>
      <c r="CZ103" s="37" t="n">
        <f aca="false">IF(CZ6=③기타_가정!$E$14,③기타_가정!$E$452*③기타_가정!$J$483,0)</f>
        <v>0</v>
      </c>
      <c r="DA103" s="37" t="n">
        <f aca="false">IF(DA6=③기타_가정!$E$14,③기타_가정!$E$452*③기타_가정!$J$483,0)</f>
        <v>0</v>
      </c>
      <c r="DB103" s="37" t="n">
        <f aca="false">IF(DB6=③기타_가정!$E$14,③기타_가정!$E$452*③기타_가정!$J$483,0)</f>
        <v>0</v>
      </c>
      <c r="DC103" s="37" t="n">
        <f aca="false">IF(DC6=③기타_가정!$E$14,③기타_가정!$E$452*③기타_가정!$J$483,0)</f>
        <v>0</v>
      </c>
      <c r="DD103" s="37" t="n">
        <f aca="false">IF(DD6=③기타_가정!$E$14,③기타_가정!$E$452*③기타_가정!$J$483,0)</f>
        <v>0</v>
      </c>
      <c r="DE103" s="37" t="n">
        <f aca="false">IF(DE6=③기타_가정!$E$14,③기타_가정!$E$452*③기타_가정!$J$483,0)</f>
        <v>0</v>
      </c>
      <c r="DF103" s="37" t="n">
        <f aca="false">IF(DF6=③기타_가정!$E$14,③기타_가정!$E$452*③기타_가정!$J$483,0)</f>
        <v>0</v>
      </c>
      <c r="DG103" s="37" t="n">
        <f aca="false">IF(DG6=③기타_가정!$E$14,③기타_가정!$E$452*③기타_가정!$J$483,0)</f>
        <v>0</v>
      </c>
      <c r="DH103" s="37" t="n">
        <f aca="false">IF(DH6=③기타_가정!$E$14,③기타_가정!$E$452*③기타_가정!$J$483,0)</f>
        <v>0</v>
      </c>
      <c r="DI103" s="37" t="n">
        <f aca="false">IF(DI6=③기타_가정!$E$14,③기타_가정!$E$452*③기타_가정!$J$483,0)</f>
        <v>0</v>
      </c>
      <c r="DJ103" s="37" t="n">
        <f aca="false">IF(DJ6=③기타_가정!$E$14,③기타_가정!$E$452*③기타_가정!$J$483,0)</f>
        <v>0</v>
      </c>
      <c r="DK103" s="37" t="n">
        <f aca="false">IF(DK6=③기타_가정!$E$14,③기타_가정!$E$452*③기타_가정!$J$483,0)</f>
        <v>0</v>
      </c>
      <c r="DL103" s="37" t="n">
        <f aca="false">IF(DL6=③기타_가정!$E$14,③기타_가정!$E$452*③기타_가정!$J$483,0)</f>
        <v>0</v>
      </c>
      <c r="DM103" s="37" t="n">
        <f aca="false">IF(DM6=③기타_가정!$E$14,③기타_가정!$E$452*③기타_가정!$J$483,0)</f>
        <v>0</v>
      </c>
      <c r="DN103" s="37" t="n">
        <f aca="false">IF(DN6=③기타_가정!$E$14,③기타_가정!$E$452*③기타_가정!$J$483,0)</f>
        <v>0</v>
      </c>
      <c r="DO103" s="37" t="n">
        <f aca="false">IF(DO6=③기타_가정!$E$14,③기타_가정!$E$452*③기타_가정!$J$483,0)</f>
        <v>0</v>
      </c>
      <c r="DP103" s="37" t="n">
        <f aca="false">IF(DP6=③기타_가정!$E$14,③기타_가정!$E$452*③기타_가정!$J$483,0)</f>
        <v>0</v>
      </c>
      <c r="DQ103" s="37" t="n">
        <f aca="false">IF(DQ6=③기타_가정!$E$14,③기타_가정!$E$452*③기타_가정!$J$483,0)</f>
        <v>0</v>
      </c>
      <c r="DR103" s="37" t="n">
        <f aca="false">IF(DR6=③기타_가정!$E$14,③기타_가정!$E$452*③기타_가정!$J$483,0)</f>
        <v>0</v>
      </c>
      <c r="DS103" s="37" t="n">
        <f aca="false">IF(DS6=③기타_가정!$E$14,③기타_가정!$E$452*③기타_가정!$J$483,0)</f>
        <v>0</v>
      </c>
      <c r="DT103" s="37" t="n">
        <f aca="false">IF(DT6=③기타_가정!$E$14,③기타_가정!$E$452*③기타_가정!$J$483,0)</f>
        <v>0</v>
      </c>
      <c r="DU103" s="37" t="n">
        <f aca="false">IF(DU6=③기타_가정!$E$14,③기타_가정!$E$452*③기타_가정!$J$483,0)</f>
        <v>0</v>
      </c>
      <c r="DV103" s="37" t="n">
        <f aca="false">IF(DV6=③기타_가정!$E$14,③기타_가정!$E$452*③기타_가정!$J$483,0)</f>
        <v>0</v>
      </c>
      <c r="DW103" s="37" t="n">
        <f aca="false">IF(DW6=③기타_가정!$E$14,③기타_가정!$E$452*③기타_가정!$J$483,0)</f>
        <v>0</v>
      </c>
      <c r="DX103" s="37" t="n">
        <f aca="false">IF(DX6=③기타_가정!$E$14,③기타_가정!$E$452*③기타_가정!$J$483,0)</f>
        <v>0</v>
      </c>
      <c r="DY103" s="37" t="n">
        <f aca="false">IF(DY6=③기타_가정!$E$14,③기타_가정!$E$452*③기타_가정!$J$483,0)</f>
        <v>0</v>
      </c>
      <c r="DZ103" s="37" t="n">
        <f aca="false">IF(DZ6=③기타_가정!$E$14,③기타_가정!$E$452*③기타_가정!$J$483,0)</f>
        <v>0</v>
      </c>
      <c r="EA103" s="37" t="n">
        <f aca="false">IF(EA6=③기타_가정!$E$14,③기타_가정!$E$452*③기타_가정!$J$483,0)</f>
        <v>0</v>
      </c>
      <c r="EB103" s="37" t="n">
        <f aca="false">IF(EB6=③기타_가정!$E$14,③기타_가정!$E$452*③기타_가정!$J$483,0)</f>
        <v>0</v>
      </c>
      <c r="EC103" s="37" t="n">
        <f aca="false">IF(EC6=③기타_가정!$E$14,③기타_가정!$E$452*③기타_가정!$J$483,0)</f>
        <v>0</v>
      </c>
      <c r="ED103" s="37" t="n">
        <f aca="false">IF(ED6=③기타_가정!$E$14,③기타_가정!$E$452*③기타_가정!$J$483,0)</f>
        <v>0</v>
      </c>
      <c r="EE103" s="37" t="n">
        <f aca="false">IF(EE6=③기타_가정!$E$14,③기타_가정!$E$452*③기타_가정!$J$483,0)</f>
        <v>0</v>
      </c>
      <c r="EF103" s="37" t="n">
        <f aca="false">IF(EF6=③기타_가정!$E$14,③기타_가정!$E$452*③기타_가정!$J$483,0)</f>
        <v>0</v>
      </c>
    </row>
    <row r="104" customFormat="false" ht="15" hidden="false" customHeight="false" outlineLevel="0" collapsed="false">
      <c r="A104" s="153" t="s">
        <v>643</v>
      </c>
      <c r="B104" s="278" t="s">
        <v>21</v>
      </c>
      <c r="C104" s="279" t="n">
        <f aca="false">SUM(E104:EF104)</f>
        <v>1201.51073498541</v>
      </c>
      <c r="E104" s="37" t="n">
        <f aca="false">IF(E6=③기타_가정!$E$14,③기타_가정!$E$453*③기타_가정!$J$484,0)</f>
        <v>0</v>
      </c>
      <c r="F104" s="37" t="n">
        <f aca="false">IF(F6=③기타_가정!$E$14,③기타_가정!$E$453*③기타_가정!$J$484,0)</f>
        <v>0</v>
      </c>
      <c r="G104" s="37" t="n">
        <f aca="false">IF(G6=③기타_가정!$E$14,③기타_가정!$E$453*③기타_가정!$J$484,0)</f>
        <v>0</v>
      </c>
      <c r="H104" s="37" t="n">
        <f aca="false">IF(H6=③기타_가정!$E$14,③기타_가정!$E$453*③기타_가정!$J$484,0)</f>
        <v>0</v>
      </c>
      <c r="I104" s="37" t="n">
        <f aca="false">IF(I6=③기타_가정!$E$14,③기타_가정!$E$453*③기타_가정!$J$484,0)</f>
        <v>0</v>
      </c>
      <c r="J104" s="37" t="n">
        <f aca="false">IF(J6=③기타_가정!$E$14,③기타_가정!$E$453*③기타_가정!$J$484,0)</f>
        <v>0</v>
      </c>
      <c r="K104" s="37" t="n">
        <f aca="false">IF(K6=③기타_가정!$E$14,③기타_가정!$E$453*③기타_가정!$J$484,0)</f>
        <v>0</v>
      </c>
      <c r="L104" s="37" t="n">
        <f aca="false">IF(L6=③기타_가정!$E$14,③기타_가정!$E$453*③기타_가정!$J$484,0)</f>
        <v>0</v>
      </c>
      <c r="M104" s="37" t="n">
        <f aca="false">IF(M6=③기타_가정!$E$14,③기타_가정!$E$453*③기타_가정!$J$484,0)</f>
        <v>0</v>
      </c>
      <c r="N104" s="37" t="n">
        <f aca="false">IF(N6=③기타_가정!$E$14,③기타_가정!$E$453*③기타_가정!$J$484,0)</f>
        <v>0</v>
      </c>
      <c r="O104" s="37" t="n">
        <f aca="false">IF(O6=③기타_가정!$E$14,③기타_가정!$E$453*③기타_가정!$J$484,0)</f>
        <v>0</v>
      </c>
      <c r="P104" s="37" t="n">
        <f aca="false">IF(P6=③기타_가정!$E$14,③기타_가정!$E$453*③기타_가정!$J$484,0)</f>
        <v>0</v>
      </c>
      <c r="Q104" s="37" t="n">
        <f aca="false">IF(Q6=③기타_가정!$E$14,③기타_가정!$E$453*③기타_가정!$J$484,0)</f>
        <v>0</v>
      </c>
      <c r="R104" s="37" t="n">
        <f aca="false">IF(R6=③기타_가정!$E$14,③기타_가정!$E$453*③기타_가정!$J$484,0)</f>
        <v>0</v>
      </c>
      <c r="S104" s="37" t="n">
        <f aca="false">IF(S6=③기타_가정!$E$14,③기타_가정!$E$453*③기타_가정!$J$484,0)</f>
        <v>0</v>
      </c>
      <c r="T104" s="37" t="n">
        <f aca="false">IF(T6=③기타_가정!$E$14,③기타_가정!$E$453*③기타_가정!$J$484,0)</f>
        <v>0</v>
      </c>
      <c r="U104" s="37" t="n">
        <f aca="false">IF(U6=③기타_가정!$E$14,③기타_가정!$E$453*③기타_가정!$J$484,0)</f>
        <v>0</v>
      </c>
      <c r="V104" s="37" t="n">
        <f aca="false">IF(V6=③기타_가정!$E$14,③기타_가정!$E$453*③기타_가정!$J$484,0)</f>
        <v>0</v>
      </c>
      <c r="W104" s="37" t="n">
        <f aca="false">IF(W6=③기타_가정!$E$14,③기타_가정!$E$453*③기타_가정!$J$484,0)</f>
        <v>1201.51073498541</v>
      </c>
      <c r="X104" s="37" t="n">
        <f aca="false">IF(X6=③기타_가정!$E$14,③기타_가정!$E$453*③기타_가정!$J$484,0)</f>
        <v>0</v>
      </c>
      <c r="Y104" s="37" t="n">
        <f aca="false">IF(Y6=③기타_가정!$E$14,③기타_가정!$E$453*③기타_가정!$J$484,0)</f>
        <v>0</v>
      </c>
      <c r="Z104" s="37" t="n">
        <f aca="false">IF(Z6=③기타_가정!$E$14,③기타_가정!$E$453*③기타_가정!$J$484,0)</f>
        <v>0</v>
      </c>
      <c r="AA104" s="37" t="n">
        <f aca="false">IF(AA6=③기타_가정!$E$14,③기타_가정!$E$453*③기타_가정!$J$484,0)</f>
        <v>0</v>
      </c>
      <c r="AB104" s="37" t="n">
        <f aca="false">IF(AB6=③기타_가정!$E$14,③기타_가정!$E$453*③기타_가정!$J$484,0)</f>
        <v>0</v>
      </c>
      <c r="AC104" s="37" t="n">
        <f aca="false">IF(AC6=③기타_가정!$E$14,③기타_가정!$E$453*③기타_가정!$J$484,0)</f>
        <v>0</v>
      </c>
      <c r="AD104" s="37" t="n">
        <f aca="false">IF(AD6=③기타_가정!$E$14,③기타_가정!$E$453*③기타_가정!$J$484,0)</f>
        <v>0</v>
      </c>
      <c r="AE104" s="37" t="n">
        <f aca="false">IF(AE6=③기타_가정!$E$14,③기타_가정!$E$453*③기타_가정!$J$484,0)</f>
        <v>0</v>
      </c>
      <c r="AF104" s="37" t="n">
        <f aca="false">IF(AF6=③기타_가정!$E$14,③기타_가정!$E$453*③기타_가정!$J$484,0)</f>
        <v>0</v>
      </c>
      <c r="AG104" s="37" t="n">
        <f aca="false">IF(AG6=③기타_가정!$E$14,③기타_가정!$E$453*③기타_가정!$J$484,0)</f>
        <v>0</v>
      </c>
      <c r="AH104" s="37" t="n">
        <f aca="false">IF(AH6=③기타_가정!$E$14,③기타_가정!$E$453*③기타_가정!$J$484,0)</f>
        <v>0</v>
      </c>
      <c r="AI104" s="37" t="n">
        <f aca="false">IF(AI6=③기타_가정!$E$14,③기타_가정!$E$453*③기타_가정!$J$484,0)</f>
        <v>0</v>
      </c>
      <c r="AJ104" s="37" t="n">
        <f aca="false">IF(AJ6=③기타_가정!$E$14,③기타_가정!$E$453*③기타_가정!$J$484,0)</f>
        <v>0</v>
      </c>
      <c r="AK104" s="37" t="n">
        <f aca="false">IF(AK6=③기타_가정!$E$14,③기타_가정!$E$453*③기타_가정!$J$484,0)</f>
        <v>0</v>
      </c>
      <c r="AL104" s="37" t="n">
        <f aca="false">IF(AL6=③기타_가정!$E$14,③기타_가정!$E$453*③기타_가정!$J$484,0)</f>
        <v>0</v>
      </c>
      <c r="AM104" s="37" t="n">
        <f aca="false">IF(AM6=③기타_가정!$E$14,③기타_가정!$E$453*③기타_가정!$J$484,0)</f>
        <v>0</v>
      </c>
      <c r="AN104" s="37" t="n">
        <f aca="false">IF(AN6=③기타_가정!$E$14,③기타_가정!$E$453*③기타_가정!$J$484,0)</f>
        <v>0</v>
      </c>
      <c r="AO104" s="37" t="n">
        <f aca="false">IF(AO6=③기타_가정!$E$14,③기타_가정!$E$453*③기타_가정!$J$484,0)</f>
        <v>0</v>
      </c>
      <c r="AP104" s="37" t="n">
        <f aca="false">IF(AP6=③기타_가정!$E$14,③기타_가정!$E$453*③기타_가정!$J$484,0)</f>
        <v>0</v>
      </c>
      <c r="AQ104" s="37" t="n">
        <f aca="false">IF(AQ6=③기타_가정!$E$14,③기타_가정!$E$453*③기타_가정!$J$484,0)</f>
        <v>0</v>
      </c>
      <c r="AR104" s="37" t="n">
        <f aca="false">IF(AR6=③기타_가정!$E$14,③기타_가정!$E$453*③기타_가정!$J$484,0)</f>
        <v>0</v>
      </c>
      <c r="AS104" s="37" t="n">
        <f aca="false">IF(AS6=③기타_가정!$E$14,③기타_가정!$E$453*③기타_가정!$J$484,0)</f>
        <v>0</v>
      </c>
      <c r="AT104" s="37" t="n">
        <f aca="false">IF(AT6=③기타_가정!$E$14,③기타_가정!$E$453*③기타_가정!$J$484,0)</f>
        <v>0</v>
      </c>
      <c r="AU104" s="37" t="n">
        <f aca="false">IF(AU6=③기타_가정!$E$14,③기타_가정!$E$453*③기타_가정!$J$484,0)</f>
        <v>0</v>
      </c>
      <c r="AV104" s="37" t="n">
        <f aca="false">IF(AV6=③기타_가정!$E$14,③기타_가정!$E$453*③기타_가정!$J$484,0)</f>
        <v>0</v>
      </c>
      <c r="AW104" s="37" t="n">
        <f aca="false">IF(AW6=③기타_가정!$E$14,③기타_가정!$E$453*③기타_가정!$J$484,0)</f>
        <v>0</v>
      </c>
      <c r="AX104" s="37" t="n">
        <f aca="false">IF(AX6=③기타_가정!$E$14,③기타_가정!$E$453*③기타_가정!$J$484,0)</f>
        <v>0</v>
      </c>
      <c r="AY104" s="37" t="n">
        <f aca="false">IF(AY6=③기타_가정!$E$14,③기타_가정!$E$453*③기타_가정!$J$484,0)</f>
        <v>0</v>
      </c>
      <c r="AZ104" s="37" t="n">
        <f aca="false">IF(AZ6=③기타_가정!$E$14,③기타_가정!$E$453*③기타_가정!$J$484,0)</f>
        <v>0</v>
      </c>
      <c r="BA104" s="37" t="n">
        <f aca="false">IF(BA6=③기타_가정!$E$14,③기타_가정!$E$453*③기타_가정!$J$484,0)</f>
        <v>0</v>
      </c>
      <c r="BB104" s="37" t="n">
        <f aca="false">IF(BB6=③기타_가정!$E$14,③기타_가정!$E$453*③기타_가정!$J$484,0)</f>
        <v>0</v>
      </c>
      <c r="BC104" s="37" t="n">
        <f aca="false">IF(BC6=③기타_가정!$E$14,③기타_가정!$E$453*③기타_가정!$J$484,0)</f>
        <v>0</v>
      </c>
      <c r="BD104" s="37" t="n">
        <f aca="false">IF(BD6=③기타_가정!$E$14,③기타_가정!$E$453*③기타_가정!$J$484,0)</f>
        <v>0</v>
      </c>
      <c r="BE104" s="37" t="n">
        <f aca="false">IF(BE6=③기타_가정!$E$14,③기타_가정!$E$453*③기타_가정!$J$484,0)</f>
        <v>0</v>
      </c>
      <c r="BF104" s="37" t="n">
        <f aca="false">IF(BF6=③기타_가정!$E$14,③기타_가정!$E$453*③기타_가정!$J$484,0)</f>
        <v>0</v>
      </c>
      <c r="BG104" s="37" t="n">
        <f aca="false">IF(BG6=③기타_가정!$E$14,③기타_가정!$E$453*③기타_가정!$J$484,0)</f>
        <v>0</v>
      </c>
      <c r="BH104" s="37" t="n">
        <f aca="false">IF(BH6=③기타_가정!$E$14,③기타_가정!$E$453*③기타_가정!$J$484,0)</f>
        <v>0</v>
      </c>
      <c r="BI104" s="37" t="n">
        <f aca="false">IF(BI6=③기타_가정!$E$14,③기타_가정!$E$453*③기타_가정!$J$484,0)</f>
        <v>0</v>
      </c>
      <c r="BJ104" s="37" t="n">
        <f aca="false">IF(BJ6=③기타_가정!$E$14,③기타_가정!$E$453*③기타_가정!$J$484,0)</f>
        <v>0</v>
      </c>
      <c r="BK104" s="37" t="n">
        <f aca="false">IF(BK6=③기타_가정!$E$14,③기타_가정!$E$453*③기타_가정!$J$484,0)</f>
        <v>0</v>
      </c>
      <c r="BL104" s="37" t="n">
        <f aca="false">IF(BL6=③기타_가정!$E$14,③기타_가정!$E$453*③기타_가정!$J$484,0)</f>
        <v>0</v>
      </c>
      <c r="BM104" s="37" t="n">
        <f aca="false">IF(BM6=③기타_가정!$E$14,③기타_가정!$E$453*③기타_가정!$J$484,0)</f>
        <v>0</v>
      </c>
      <c r="BN104" s="37" t="n">
        <f aca="false">IF(BN6=③기타_가정!$E$14,③기타_가정!$E$453*③기타_가정!$J$484,0)</f>
        <v>0</v>
      </c>
      <c r="BO104" s="37" t="n">
        <f aca="false">IF(BO6=③기타_가정!$E$14,③기타_가정!$E$453*③기타_가정!$J$484,0)</f>
        <v>0</v>
      </c>
      <c r="BP104" s="37" t="n">
        <f aca="false">IF(BP6=③기타_가정!$E$14,③기타_가정!$E$453*③기타_가정!$J$484,0)</f>
        <v>0</v>
      </c>
      <c r="BQ104" s="37" t="n">
        <f aca="false">IF(BQ6=③기타_가정!$E$14,③기타_가정!$E$453*③기타_가정!$J$484,0)</f>
        <v>0</v>
      </c>
      <c r="BR104" s="37" t="n">
        <f aca="false">IF(BR6=③기타_가정!$E$14,③기타_가정!$E$453*③기타_가정!$J$484,0)</f>
        <v>0</v>
      </c>
      <c r="BS104" s="37" t="n">
        <f aca="false">IF(BS6=③기타_가정!$E$14,③기타_가정!$E$453*③기타_가정!$J$484,0)</f>
        <v>0</v>
      </c>
      <c r="BT104" s="37" t="n">
        <f aca="false">IF(BT6=③기타_가정!$E$14,③기타_가정!$E$453*③기타_가정!$J$484,0)</f>
        <v>0</v>
      </c>
      <c r="BU104" s="37" t="n">
        <f aca="false">IF(BU6=③기타_가정!$E$14,③기타_가정!$E$453*③기타_가정!$J$484,0)</f>
        <v>0</v>
      </c>
      <c r="BV104" s="37" t="n">
        <f aca="false">IF(BV6=③기타_가정!$E$14,③기타_가정!$E$453*③기타_가정!$J$484,0)</f>
        <v>0</v>
      </c>
      <c r="BW104" s="37" t="n">
        <f aca="false">IF(BW6=③기타_가정!$E$14,③기타_가정!$E$453*③기타_가정!$J$484,0)</f>
        <v>0</v>
      </c>
      <c r="BX104" s="37" t="n">
        <f aca="false">IF(BX6=③기타_가정!$E$14,③기타_가정!$E$453*③기타_가정!$J$484,0)</f>
        <v>0</v>
      </c>
      <c r="BY104" s="37" t="n">
        <f aca="false">IF(BY6=③기타_가정!$E$14,③기타_가정!$E$453*③기타_가정!$J$484,0)</f>
        <v>0</v>
      </c>
      <c r="BZ104" s="37" t="n">
        <f aca="false">IF(BZ6=③기타_가정!$E$14,③기타_가정!$E$453*③기타_가정!$J$484,0)</f>
        <v>0</v>
      </c>
      <c r="CA104" s="37" t="n">
        <f aca="false">IF(CA6=③기타_가정!$E$14,③기타_가정!$E$453*③기타_가정!$J$484,0)</f>
        <v>0</v>
      </c>
      <c r="CB104" s="37" t="n">
        <f aca="false">IF(CB6=③기타_가정!$E$14,③기타_가정!$E$453*③기타_가정!$J$484,0)</f>
        <v>0</v>
      </c>
      <c r="CC104" s="37" t="n">
        <f aca="false">IF(CC6=③기타_가정!$E$14,③기타_가정!$E$453*③기타_가정!$J$484,0)</f>
        <v>0</v>
      </c>
      <c r="CD104" s="37" t="n">
        <f aca="false">IF(CD6=③기타_가정!$E$14,③기타_가정!$E$453*③기타_가정!$J$484,0)</f>
        <v>0</v>
      </c>
      <c r="CE104" s="37" t="n">
        <f aca="false">IF(CE6=③기타_가정!$E$14,③기타_가정!$E$453*③기타_가정!$J$484,0)</f>
        <v>0</v>
      </c>
      <c r="CF104" s="37" t="n">
        <f aca="false">IF(CF6=③기타_가정!$E$14,③기타_가정!$E$453*③기타_가정!$J$484,0)</f>
        <v>0</v>
      </c>
      <c r="CG104" s="37" t="n">
        <f aca="false">IF(CG6=③기타_가정!$E$14,③기타_가정!$E$453*③기타_가정!$J$484,0)</f>
        <v>0</v>
      </c>
      <c r="CH104" s="37" t="n">
        <f aca="false">IF(CH6=③기타_가정!$E$14,③기타_가정!$E$453*③기타_가정!$J$484,0)</f>
        <v>0</v>
      </c>
      <c r="CI104" s="37" t="n">
        <f aca="false">IF(CI6=③기타_가정!$E$14,③기타_가정!$E$453*③기타_가정!$J$484,0)</f>
        <v>0</v>
      </c>
      <c r="CJ104" s="37" t="n">
        <f aca="false">IF(CJ6=③기타_가정!$E$14,③기타_가정!$E$453*③기타_가정!$J$484,0)</f>
        <v>0</v>
      </c>
      <c r="CK104" s="37" t="n">
        <f aca="false">IF(CK6=③기타_가정!$E$14,③기타_가정!$E$453*③기타_가정!$J$484,0)</f>
        <v>0</v>
      </c>
      <c r="CL104" s="37" t="n">
        <f aca="false">IF(CL6=③기타_가정!$E$14,③기타_가정!$E$453*③기타_가정!$J$484,0)</f>
        <v>0</v>
      </c>
      <c r="CM104" s="37" t="n">
        <f aca="false">IF(CM6=③기타_가정!$E$14,③기타_가정!$E$453*③기타_가정!$J$484,0)</f>
        <v>0</v>
      </c>
      <c r="CN104" s="37" t="n">
        <f aca="false">IF(CN6=③기타_가정!$E$14,③기타_가정!$E$453*③기타_가정!$J$484,0)</f>
        <v>0</v>
      </c>
      <c r="CO104" s="37" t="n">
        <f aca="false">IF(CO6=③기타_가정!$E$14,③기타_가정!$E$453*③기타_가정!$J$484,0)</f>
        <v>0</v>
      </c>
      <c r="CP104" s="37" t="n">
        <f aca="false">IF(CP6=③기타_가정!$E$14,③기타_가정!$E$453*③기타_가정!$J$484,0)</f>
        <v>0</v>
      </c>
      <c r="CQ104" s="37" t="n">
        <f aca="false">IF(CQ6=③기타_가정!$E$14,③기타_가정!$E$453*③기타_가정!$J$484,0)</f>
        <v>0</v>
      </c>
      <c r="CR104" s="37" t="n">
        <f aca="false">IF(CR6=③기타_가정!$E$14,③기타_가정!$E$453*③기타_가정!$J$484,0)</f>
        <v>0</v>
      </c>
      <c r="CS104" s="37" t="n">
        <f aca="false">IF(CS6=③기타_가정!$E$14,③기타_가정!$E$453*③기타_가정!$J$484,0)</f>
        <v>0</v>
      </c>
      <c r="CT104" s="37" t="n">
        <f aca="false">IF(CT6=③기타_가정!$E$14,③기타_가정!$E$453*③기타_가정!$J$484,0)</f>
        <v>0</v>
      </c>
      <c r="CU104" s="37" t="n">
        <f aca="false">IF(CU6=③기타_가정!$E$14,③기타_가정!$E$453*③기타_가정!$J$484,0)</f>
        <v>0</v>
      </c>
      <c r="CV104" s="37" t="n">
        <f aca="false">IF(CV6=③기타_가정!$E$14,③기타_가정!$E$453*③기타_가정!$J$484,0)</f>
        <v>0</v>
      </c>
      <c r="CW104" s="37" t="n">
        <f aca="false">IF(CW6=③기타_가정!$E$14,③기타_가정!$E$453*③기타_가정!$J$484,0)</f>
        <v>0</v>
      </c>
      <c r="CX104" s="37" t="n">
        <f aca="false">IF(CX6=③기타_가정!$E$14,③기타_가정!$E$453*③기타_가정!$J$484,0)</f>
        <v>0</v>
      </c>
      <c r="CY104" s="37" t="n">
        <f aca="false">IF(CY6=③기타_가정!$E$14,③기타_가정!$E$453*③기타_가정!$J$484,0)</f>
        <v>0</v>
      </c>
      <c r="CZ104" s="37" t="n">
        <f aca="false">IF(CZ6=③기타_가정!$E$14,③기타_가정!$E$453*③기타_가정!$J$484,0)</f>
        <v>0</v>
      </c>
      <c r="DA104" s="37" t="n">
        <f aca="false">IF(DA6=③기타_가정!$E$14,③기타_가정!$E$453*③기타_가정!$J$484,0)</f>
        <v>0</v>
      </c>
      <c r="DB104" s="37" t="n">
        <f aca="false">IF(DB6=③기타_가정!$E$14,③기타_가정!$E$453*③기타_가정!$J$484,0)</f>
        <v>0</v>
      </c>
      <c r="DC104" s="37" t="n">
        <f aca="false">IF(DC6=③기타_가정!$E$14,③기타_가정!$E$453*③기타_가정!$J$484,0)</f>
        <v>0</v>
      </c>
      <c r="DD104" s="37" t="n">
        <f aca="false">IF(DD6=③기타_가정!$E$14,③기타_가정!$E$453*③기타_가정!$J$484,0)</f>
        <v>0</v>
      </c>
      <c r="DE104" s="37" t="n">
        <f aca="false">IF(DE6=③기타_가정!$E$14,③기타_가정!$E$453*③기타_가정!$J$484,0)</f>
        <v>0</v>
      </c>
      <c r="DF104" s="37" t="n">
        <f aca="false">IF(DF6=③기타_가정!$E$14,③기타_가정!$E$453*③기타_가정!$J$484,0)</f>
        <v>0</v>
      </c>
      <c r="DG104" s="37" t="n">
        <f aca="false">IF(DG6=③기타_가정!$E$14,③기타_가정!$E$453*③기타_가정!$J$484,0)</f>
        <v>0</v>
      </c>
      <c r="DH104" s="37" t="n">
        <f aca="false">IF(DH6=③기타_가정!$E$14,③기타_가정!$E$453*③기타_가정!$J$484,0)</f>
        <v>0</v>
      </c>
      <c r="DI104" s="37" t="n">
        <f aca="false">IF(DI6=③기타_가정!$E$14,③기타_가정!$E$453*③기타_가정!$J$484,0)</f>
        <v>0</v>
      </c>
      <c r="DJ104" s="37" t="n">
        <f aca="false">IF(DJ6=③기타_가정!$E$14,③기타_가정!$E$453*③기타_가정!$J$484,0)</f>
        <v>0</v>
      </c>
      <c r="DK104" s="37" t="n">
        <f aca="false">IF(DK6=③기타_가정!$E$14,③기타_가정!$E$453*③기타_가정!$J$484,0)</f>
        <v>0</v>
      </c>
      <c r="DL104" s="37" t="n">
        <f aca="false">IF(DL6=③기타_가정!$E$14,③기타_가정!$E$453*③기타_가정!$J$484,0)</f>
        <v>0</v>
      </c>
      <c r="DM104" s="37" t="n">
        <f aca="false">IF(DM6=③기타_가정!$E$14,③기타_가정!$E$453*③기타_가정!$J$484,0)</f>
        <v>0</v>
      </c>
      <c r="DN104" s="37" t="n">
        <f aca="false">IF(DN6=③기타_가정!$E$14,③기타_가정!$E$453*③기타_가정!$J$484,0)</f>
        <v>0</v>
      </c>
      <c r="DO104" s="37" t="n">
        <f aca="false">IF(DO6=③기타_가정!$E$14,③기타_가정!$E$453*③기타_가정!$J$484,0)</f>
        <v>0</v>
      </c>
      <c r="DP104" s="37" t="n">
        <f aca="false">IF(DP6=③기타_가정!$E$14,③기타_가정!$E$453*③기타_가정!$J$484,0)</f>
        <v>0</v>
      </c>
      <c r="DQ104" s="37" t="n">
        <f aca="false">IF(DQ6=③기타_가정!$E$14,③기타_가정!$E$453*③기타_가정!$J$484,0)</f>
        <v>0</v>
      </c>
      <c r="DR104" s="37" t="n">
        <f aca="false">IF(DR6=③기타_가정!$E$14,③기타_가정!$E$453*③기타_가정!$J$484,0)</f>
        <v>0</v>
      </c>
      <c r="DS104" s="37" t="n">
        <f aca="false">IF(DS6=③기타_가정!$E$14,③기타_가정!$E$453*③기타_가정!$J$484,0)</f>
        <v>0</v>
      </c>
      <c r="DT104" s="37" t="n">
        <f aca="false">IF(DT6=③기타_가정!$E$14,③기타_가정!$E$453*③기타_가정!$J$484,0)</f>
        <v>0</v>
      </c>
      <c r="DU104" s="37" t="n">
        <f aca="false">IF(DU6=③기타_가정!$E$14,③기타_가정!$E$453*③기타_가정!$J$484,0)</f>
        <v>0</v>
      </c>
      <c r="DV104" s="37" t="n">
        <f aca="false">IF(DV6=③기타_가정!$E$14,③기타_가정!$E$453*③기타_가정!$J$484,0)</f>
        <v>0</v>
      </c>
      <c r="DW104" s="37" t="n">
        <f aca="false">IF(DW6=③기타_가정!$E$14,③기타_가정!$E$453*③기타_가정!$J$484,0)</f>
        <v>0</v>
      </c>
      <c r="DX104" s="37" t="n">
        <f aca="false">IF(DX6=③기타_가정!$E$14,③기타_가정!$E$453*③기타_가정!$J$484,0)</f>
        <v>0</v>
      </c>
      <c r="DY104" s="37" t="n">
        <f aca="false">IF(DY6=③기타_가정!$E$14,③기타_가정!$E$453*③기타_가정!$J$484,0)</f>
        <v>0</v>
      </c>
      <c r="DZ104" s="37" t="n">
        <f aca="false">IF(DZ6=③기타_가정!$E$14,③기타_가정!$E$453*③기타_가정!$J$484,0)</f>
        <v>0</v>
      </c>
      <c r="EA104" s="37" t="n">
        <f aca="false">IF(EA6=③기타_가정!$E$14,③기타_가정!$E$453*③기타_가정!$J$484,0)</f>
        <v>0</v>
      </c>
      <c r="EB104" s="37" t="n">
        <f aca="false">IF(EB6=③기타_가정!$E$14,③기타_가정!$E$453*③기타_가정!$J$484,0)</f>
        <v>0</v>
      </c>
      <c r="EC104" s="37" t="n">
        <f aca="false">IF(EC6=③기타_가정!$E$14,③기타_가정!$E$453*③기타_가정!$J$484,0)</f>
        <v>0</v>
      </c>
      <c r="ED104" s="37" t="n">
        <f aca="false">IF(ED6=③기타_가정!$E$14,③기타_가정!$E$453*③기타_가정!$J$484,0)</f>
        <v>0</v>
      </c>
      <c r="EE104" s="37" t="n">
        <f aca="false">IF(EE6=③기타_가정!$E$14,③기타_가정!$E$453*③기타_가정!$J$484,0)</f>
        <v>0</v>
      </c>
      <c r="EF104" s="37" t="n">
        <f aca="false">IF(EF6=③기타_가정!$E$14,③기타_가정!$E$453*③기타_가정!$J$484,0)</f>
        <v>0</v>
      </c>
    </row>
    <row r="105" customFormat="false" ht="15" hidden="false" customHeight="false" outlineLevel="0" collapsed="false">
      <c r="A105" s="153" t="s">
        <v>644</v>
      </c>
      <c r="B105" s="278" t="s">
        <v>21</v>
      </c>
      <c r="C105" s="279" t="n">
        <f aca="false">SUM(E105:EF105)</f>
        <v>1200.6699297125</v>
      </c>
      <c r="E105" s="37" t="n">
        <f aca="false">IF(E6=③기타_가정!$E$14,③기타_가정!$E$454*③기타_가정!$J$485,0)</f>
        <v>0</v>
      </c>
      <c r="F105" s="37" t="n">
        <f aca="false">IF(F6=③기타_가정!$E$14,③기타_가정!$E$454*③기타_가정!$J$485,0)</f>
        <v>0</v>
      </c>
      <c r="G105" s="37" t="n">
        <f aca="false">IF(G6=③기타_가정!$E$14,③기타_가정!$E$454*③기타_가정!$J$485,0)</f>
        <v>0</v>
      </c>
      <c r="H105" s="37" t="n">
        <f aca="false">IF(H6=③기타_가정!$E$14,③기타_가정!$E$454*③기타_가정!$J$485,0)</f>
        <v>0</v>
      </c>
      <c r="I105" s="37" t="n">
        <f aca="false">IF(I6=③기타_가정!$E$14,③기타_가정!$E$454*③기타_가정!$J$485,0)</f>
        <v>0</v>
      </c>
      <c r="J105" s="37" t="n">
        <f aca="false">IF(J6=③기타_가정!$E$14,③기타_가정!$E$454*③기타_가정!$J$485,0)</f>
        <v>0</v>
      </c>
      <c r="K105" s="37" t="n">
        <f aca="false">IF(K6=③기타_가정!$E$14,③기타_가정!$E$454*③기타_가정!$J$485,0)</f>
        <v>0</v>
      </c>
      <c r="L105" s="37" t="n">
        <f aca="false">IF(L6=③기타_가정!$E$14,③기타_가정!$E$454*③기타_가정!$J$485,0)</f>
        <v>0</v>
      </c>
      <c r="M105" s="37" t="n">
        <f aca="false">IF(M6=③기타_가정!$E$14,③기타_가정!$E$454*③기타_가정!$J$485,0)</f>
        <v>0</v>
      </c>
      <c r="N105" s="37" t="n">
        <f aca="false">IF(N6=③기타_가정!$E$14,③기타_가정!$E$454*③기타_가정!$J$485,0)</f>
        <v>0</v>
      </c>
      <c r="O105" s="37" t="n">
        <f aca="false">IF(O6=③기타_가정!$E$14,③기타_가정!$E$454*③기타_가정!$J$485,0)</f>
        <v>0</v>
      </c>
      <c r="P105" s="37" t="n">
        <f aca="false">IF(P6=③기타_가정!$E$14,③기타_가정!$E$454*③기타_가정!$J$485,0)</f>
        <v>0</v>
      </c>
      <c r="Q105" s="37" t="n">
        <f aca="false">IF(Q6=③기타_가정!$E$14,③기타_가정!$E$454*③기타_가정!$J$485,0)</f>
        <v>0</v>
      </c>
      <c r="R105" s="37" t="n">
        <f aca="false">IF(R6=③기타_가정!$E$14,③기타_가정!$E$454*③기타_가정!$J$485,0)</f>
        <v>0</v>
      </c>
      <c r="S105" s="37" t="n">
        <f aca="false">IF(S6=③기타_가정!$E$14,③기타_가정!$E$454*③기타_가정!$J$485,0)</f>
        <v>0</v>
      </c>
      <c r="T105" s="37" t="n">
        <f aca="false">IF(T6=③기타_가정!$E$14,③기타_가정!$E$454*③기타_가정!$J$485,0)</f>
        <v>0</v>
      </c>
      <c r="U105" s="37" t="n">
        <f aca="false">IF(U6=③기타_가정!$E$14,③기타_가정!$E$454*③기타_가정!$J$485,0)</f>
        <v>0</v>
      </c>
      <c r="V105" s="37" t="n">
        <f aca="false">IF(V6=③기타_가정!$E$14,③기타_가정!$E$454*③기타_가정!$J$485,0)</f>
        <v>0</v>
      </c>
      <c r="W105" s="37" t="n">
        <f aca="false">IF(W6=③기타_가정!$E$14,③기타_가정!$E$454*③기타_가정!$J$485,0)</f>
        <v>1200.6699297125</v>
      </c>
      <c r="X105" s="37" t="n">
        <f aca="false">IF(X6=③기타_가정!$E$14,③기타_가정!$E$454*③기타_가정!$J$485,0)</f>
        <v>0</v>
      </c>
      <c r="Y105" s="37" t="n">
        <f aca="false">IF(Y6=③기타_가정!$E$14,③기타_가정!$E$454*③기타_가정!$J$485,0)</f>
        <v>0</v>
      </c>
      <c r="Z105" s="37" t="n">
        <f aca="false">IF(Z6=③기타_가정!$E$14,③기타_가정!$E$454*③기타_가정!$J$485,0)</f>
        <v>0</v>
      </c>
      <c r="AA105" s="37" t="n">
        <f aca="false">IF(AA6=③기타_가정!$E$14,③기타_가정!$E$454*③기타_가정!$J$485,0)</f>
        <v>0</v>
      </c>
      <c r="AB105" s="37" t="n">
        <f aca="false">IF(AB6=③기타_가정!$E$14,③기타_가정!$E$454*③기타_가정!$J$485,0)</f>
        <v>0</v>
      </c>
      <c r="AC105" s="37" t="n">
        <f aca="false">IF(AC6=③기타_가정!$E$14,③기타_가정!$E$454*③기타_가정!$J$485,0)</f>
        <v>0</v>
      </c>
      <c r="AD105" s="37" t="n">
        <f aca="false">IF(AD6=③기타_가정!$E$14,③기타_가정!$E$454*③기타_가정!$J$485,0)</f>
        <v>0</v>
      </c>
      <c r="AE105" s="37" t="n">
        <f aca="false">IF(AE6=③기타_가정!$E$14,③기타_가정!$E$454*③기타_가정!$J$485,0)</f>
        <v>0</v>
      </c>
      <c r="AF105" s="37" t="n">
        <f aca="false">IF(AF6=③기타_가정!$E$14,③기타_가정!$E$454*③기타_가정!$J$485,0)</f>
        <v>0</v>
      </c>
      <c r="AG105" s="37" t="n">
        <f aca="false">IF(AG6=③기타_가정!$E$14,③기타_가정!$E$454*③기타_가정!$J$485,0)</f>
        <v>0</v>
      </c>
      <c r="AH105" s="37" t="n">
        <f aca="false">IF(AH6=③기타_가정!$E$14,③기타_가정!$E$454*③기타_가정!$J$485,0)</f>
        <v>0</v>
      </c>
      <c r="AI105" s="37" t="n">
        <f aca="false">IF(AI6=③기타_가정!$E$14,③기타_가정!$E$454*③기타_가정!$J$485,0)</f>
        <v>0</v>
      </c>
      <c r="AJ105" s="37" t="n">
        <f aca="false">IF(AJ6=③기타_가정!$E$14,③기타_가정!$E$454*③기타_가정!$J$485,0)</f>
        <v>0</v>
      </c>
      <c r="AK105" s="37" t="n">
        <f aca="false">IF(AK6=③기타_가정!$E$14,③기타_가정!$E$454*③기타_가정!$J$485,0)</f>
        <v>0</v>
      </c>
      <c r="AL105" s="37" t="n">
        <f aca="false">IF(AL6=③기타_가정!$E$14,③기타_가정!$E$454*③기타_가정!$J$485,0)</f>
        <v>0</v>
      </c>
      <c r="AM105" s="37" t="n">
        <f aca="false">IF(AM6=③기타_가정!$E$14,③기타_가정!$E$454*③기타_가정!$J$485,0)</f>
        <v>0</v>
      </c>
      <c r="AN105" s="37" t="n">
        <f aca="false">IF(AN6=③기타_가정!$E$14,③기타_가정!$E$454*③기타_가정!$J$485,0)</f>
        <v>0</v>
      </c>
      <c r="AO105" s="37" t="n">
        <f aca="false">IF(AO6=③기타_가정!$E$14,③기타_가정!$E$454*③기타_가정!$J$485,0)</f>
        <v>0</v>
      </c>
      <c r="AP105" s="37" t="n">
        <f aca="false">IF(AP6=③기타_가정!$E$14,③기타_가정!$E$454*③기타_가정!$J$485,0)</f>
        <v>0</v>
      </c>
      <c r="AQ105" s="37" t="n">
        <f aca="false">IF(AQ6=③기타_가정!$E$14,③기타_가정!$E$454*③기타_가정!$J$485,0)</f>
        <v>0</v>
      </c>
      <c r="AR105" s="37" t="n">
        <f aca="false">IF(AR6=③기타_가정!$E$14,③기타_가정!$E$454*③기타_가정!$J$485,0)</f>
        <v>0</v>
      </c>
      <c r="AS105" s="37" t="n">
        <f aca="false">IF(AS6=③기타_가정!$E$14,③기타_가정!$E$454*③기타_가정!$J$485,0)</f>
        <v>0</v>
      </c>
      <c r="AT105" s="37" t="n">
        <f aca="false">IF(AT6=③기타_가정!$E$14,③기타_가정!$E$454*③기타_가정!$J$485,0)</f>
        <v>0</v>
      </c>
      <c r="AU105" s="37" t="n">
        <f aca="false">IF(AU6=③기타_가정!$E$14,③기타_가정!$E$454*③기타_가정!$J$485,0)</f>
        <v>0</v>
      </c>
      <c r="AV105" s="37" t="n">
        <f aca="false">IF(AV6=③기타_가정!$E$14,③기타_가정!$E$454*③기타_가정!$J$485,0)</f>
        <v>0</v>
      </c>
      <c r="AW105" s="37" t="n">
        <f aca="false">IF(AW6=③기타_가정!$E$14,③기타_가정!$E$454*③기타_가정!$J$485,0)</f>
        <v>0</v>
      </c>
      <c r="AX105" s="37" t="n">
        <f aca="false">IF(AX6=③기타_가정!$E$14,③기타_가정!$E$454*③기타_가정!$J$485,0)</f>
        <v>0</v>
      </c>
      <c r="AY105" s="37" t="n">
        <f aca="false">IF(AY6=③기타_가정!$E$14,③기타_가정!$E$454*③기타_가정!$J$485,0)</f>
        <v>0</v>
      </c>
      <c r="AZ105" s="37" t="n">
        <f aca="false">IF(AZ6=③기타_가정!$E$14,③기타_가정!$E$454*③기타_가정!$J$485,0)</f>
        <v>0</v>
      </c>
      <c r="BA105" s="37" t="n">
        <f aca="false">IF(BA6=③기타_가정!$E$14,③기타_가정!$E$454*③기타_가정!$J$485,0)</f>
        <v>0</v>
      </c>
      <c r="BB105" s="37" t="n">
        <f aca="false">IF(BB6=③기타_가정!$E$14,③기타_가정!$E$454*③기타_가정!$J$485,0)</f>
        <v>0</v>
      </c>
      <c r="BC105" s="37" t="n">
        <f aca="false">IF(BC6=③기타_가정!$E$14,③기타_가정!$E$454*③기타_가정!$J$485,0)</f>
        <v>0</v>
      </c>
      <c r="BD105" s="37" t="n">
        <f aca="false">IF(BD6=③기타_가정!$E$14,③기타_가정!$E$454*③기타_가정!$J$485,0)</f>
        <v>0</v>
      </c>
      <c r="BE105" s="37" t="n">
        <f aca="false">IF(BE6=③기타_가정!$E$14,③기타_가정!$E$454*③기타_가정!$J$485,0)</f>
        <v>0</v>
      </c>
      <c r="BF105" s="37" t="n">
        <f aca="false">IF(BF6=③기타_가정!$E$14,③기타_가정!$E$454*③기타_가정!$J$485,0)</f>
        <v>0</v>
      </c>
      <c r="BG105" s="37" t="n">
        <f aca="false">IF(BG6=③기타_가정!$E$14,③기타_가정!$E$454*③기타_가정!$J$485,0)</f>
        <v>0</v>
      </c>
      <c r="BH105" s="37" t="n">
        <f aca="false">IF(BH6=③기타_가정!$E$14,③기타_가정!$E$454*③기타_가정!$J$485,0)</f>
        <v>0</v>
      </c>
      <c r="BI105" s="37" t="n">
        <f aca="false">IF(BI6=③기타_가정!$E$14,③기타_가정!$E$454*③기타_가정!$J$485,0)</f>
        <v>0</v>
      </c>
      <c r="BJ105" s="37" t="n">
        <f aca="false">IF(BJ6=③기타_가정!$E$14,③기타_가정!$E$454*③기타_가정!$J$485,0)</f>
        <v>0</v>
      </c>
      <c r="BK105" s="37" t="n">
        <f aca="false">IF(BK6=③기타_가정!$E$14,③기타_가정!$E$454*③기타_가정!$J$485,0)</f>
        <v>0</v>
      </c>
      <c r="BL105" s="37" t="n">
        <f aca="false">IF(BL6=③기타_가정!$E$14,③기타_가정!$E$454*③기타_가정!$J$485,0)</f>
        <v>0</v>
      </c>
      <c r="BM105" s="37" t="n">
        <f aca="false">IF(BM6=③기타_가정!$E$14,③기타_가정!$E$454*③기타_가정!$J$485,0)</f>
        <v>0</v>
      </c>
      <c r="BN105" s="37" t="n">
        <f aca="false">IF(BN6=③기타_가정!$E$14,③기타_가정!$E$454*③기타_가정!$J$485,0)</f>
        <v>0</v>
      </c>
      <c r="BO105" s="37" t="n">
        <f aca="false">IF(BO6=③기타_가정!$E$14,③기타_가정!$E$454*③기타_가정!$J$485,0)</f>
        <v>0</v>
      </c>
      <c r="BP105" s="37" t="n">
        <f aca="false">IF(BP6=③기타_가정!$E$14,③기타_가정!$E$454*③기타_가정!$J$485,0)</f>
        <v>0</v>
      </c>
      <c r="BQ105" s="37" t="n">
        <f aca="false">IF(BQ6=③기타_가정!$E$14,③기타_가정!$E$454*③기타_가정!$J$485,0)</f>
        <v>0</v>
      </c>
      <c r="BR105" s="37" t="n">
        <f aca="false">IF(BR6=③기타_가정!$E$14,③기타_가정!$E$454*③기타_가정!$J$485,0)</f>
        <v>0</v>
      </c>
      <c r="BS105" s="37" t="n">
        <f aca="false">IF(BS6=③기타_가정!$E$14,③기타_가정!$E$454*③기타_가정!$J$485,0)</f>
        <v>0</v>
      </c>
      <c r="BT105" s="37" t="n">
        <f aca="false">IF(BT6=③기타_가정!$E$14,③기타_가정!$E$454*③기타_가정!$J$485,0)</f>
        <v>0</v>
      </c>
      <c r="BU105" s="37" t="n">
        <f aca="false">IF(BU6=③기타_가정!$E$14,③기타_가정!$E$454*③기타_가정!$J$485,0)</f>
        <v>0</v>
      </c>
      <c r="BV105" s="37" t="n">
        <f aca="false">IF(BV6=③기타_가정!$E$14,③기타_가정!$E$454*③기타_가정!$J$485,0)</f>
        <v>0</v>
      </c>
      <c r="BW105" s="37" t="n">
        <f aca="false">IF(BW6=③기타_가정!$E$14,③기타_가정!$E$454*③기타_가정!$J$485,0)</f>
        <v>0</v>
      </c>
      <c r="BX105" s="37" t="n">
        <f aca="false">IF(BX6=③기타_가정!$E$14,③기타_가정!$E$454*③기타_가정!$J$485,0)</f>
        <v>0</v>
      </c>
      <c r="BY105" s="37" t="n">
        <f aca="false">IF(BY6=③기타_가정!$E$14,③기타_가정!$E$454*③기타_가정!$J$485,0)</f>
        <v>0</v>
      </c>
      <c r="BZ105" s="37" t="n">
        <f aca="false">IF(BZ6=③기타_가정!$E$14,③기타_가정!$E$454*③기타_가정!$J$485,0)</f>
        <v>0</v>
      </c>
      <c r="CA105" s="37" t="n">
        <f aca="false">IF(CA6=③기타_가정!$E$14,③기타_가정!$E$454*③기타_가정!$J$485,0)</f>
        <v>0</v>
      </c>
      <c r="CB105" s="37" t="n">
        <f aca="false">IF(CB6=③기타_가정!$E$14,③기타_가정!$E$454*③기타_가정!$J$485,0)</f>
        <v>0</v>
      </c>
      <c r="CC105" s="37" t="n">
        <f aca="false">IF(CC6=③기타_가정!$E$14,③기타_가정!$E$454*③기타_가정!$J$485,0)</f>
        <v>0</v>
      </c>
      <c r="CD105" s="37" t="n">
        <f aca="false">IF(CD6=③기타_가정!$E$14,③기타_가정!$E$454*③기타_가정!$J$485,0)</f>
        <v>0</v>
      </c>
      <c r="CE105" s="37" t="n">
        <f aca="false">IF(CE6=③기타_가정!$E$14,③기타_가정!$E$454*③기타_가정!$J$485,0)</f>
        <v>0</v>
      </c>
      <c r="CF105" s="37" t="n">
        <f aca="false">IF(CF6=③기타_가정!$E$14,③기타_가정!$E$454*③기타_가정!$J$485,0)</f>
        <v>0</v>
      </c>
      <c r="CG105" s="37" t="n">
        <f aca="false">IF(CG6=③기타_가정!$E$14,③기타_가정!$E$454*③기타_가정!$J$485,0)</f>
        <v>0</v>
      </c>
      <c r="CH105" s="37" t="n">
        <f aca="false">IF(CH6=③기타_가정!$E$14,③기타_가정!$E$454*③기타_가정!$J$485,0)</f>
        <v>0</v>
      </c>
      <c r="CI105" s="37" t="n">
        <f aca="false">IF(CI6=③기타_가정!$E$14,③기타_가정!$E$454*③기타_가정!$J$485,0)</f>
        <v>0</v>
      </c>
      <c r="CJ105" s="37" t="n">
        <f aca="false">IF(CJ6=③기타_가정!$E$14,③기타_가정!$E$454*③기타_가정!$J$485,0)</f>
        <v>0</v>
      </c>
      <c r="CK105" s="37" t="n">
        <f aca="false">IF(CK6=③기타_가정!$E$14,③기타_가정!$E$454*③기타_가정!$J$485,0)</f>
        <v>0</v>
      </c>
      <c r="CL105" s="37" t="n">
        <f aca="false">IF(CL6=③기타_가정!$E$14,③기타_가정!$E$454*③기타_가정!$J$485,0)</f>
        <v>0</v>
      </c>
      <c r="CM105" s="37" t="n">
        <f aca="false">IF(CM6=③기타_가정!$E$14,③기타_가정!$E$454*③기타_가정!$J$485,0)</f>
        <v>0</v>
      </c>
      <c r="CN105" s="37" t="n">
        <f aca="false">IF(CN6=③기타_가정!$E$14,③기타_가정!$E$454*③기타_가정!$J$485,0)</f>
        <v>0</v>
      </c>
      <c r="CO105" s="37" t="n">
        <f aca="false">IF(CO6=③기타_가정!$E$14,③기타_가정!$E$454*③기타_가정!$J$485,0)</f>
        <v>0</v>
      </c>
      <c r="CP105" s="37" t="n">
        <f aca="false">IF(CP6=③기타_가정!$E$14,③기타_가정!$E$454*③기타_가정!$J$485,0)</f>
        <v>0</v>
      </c>
      <c r="CQ105" s="37" t="n">
        <f aca="false">IF(CQ6=③기타_가정!$E$14,③기타_가정!$E$454*③기타_가정!$J$485,0)</f>
        <v>0</v>
      </c>
      <c r="CR105" s="37" t="n">
        <f aca="false">IF(CR6=③기타_가정!$E$14,③기타_가정!$E$454*③기타_가정!$J$485,0)</f>
        <v>0</v>
      </c>
      <c r="CS105" s="37" t="n">
        <f aca="false">IF(CS6=③기타_가정!$E$14,③기타_가정!$E$454*③기타_가정!$J$485,0)</f>
        <v>0</v>
      </c>
      <c r="CT105" s="37" t="n">
        <f aca="false">IF(CT6=③기타_가정!$E$14,③기타_가정!$E$454*③기타_가정!$J$485,0)</f>
        <v>0</v>
      </c>
      <c r="CU105" s="37" t="n">
        <f aca="false">IF(CU6=③기타_가정!$E$14,③기타_가정!$E$454*③기타_가정!$J$485,0)</f>
        <v>0</v>
      </c>
      <c r="CV105" s="37" t="n">
        <f aca="false">IF(CV6=③기타_가정!$E$14,③기타_가정!$E$454*③기타_가정!$J$485,0)</f>
        <v>0</v>
      </c>
      <c r="CW105" s="37" t="n">
        <f aca="false">IF(CW6=③기타_가정!$E$14,③기타_가정!$E$454*③기타_가정!$J$485,0)</f>
        <v>0</v>
      </c>
      <c r="CX105" s="37" t="n">
        <f aca="false">IF(CX6=③기타_가정!$E$14,③기타_가정!$E$454*③기타_가정!$J$485,0)</f>
        <v>0</v>
      </c>
      <c r="CY105" s="37" t="n">
        <f aca="false">IF(CY6=③기타_가정!$E$14,③기타_가정!$E$454*③기타_가정!$J$485,0)</f>
        <v>0</v>
      </c>
      <c r="CZ105" s="37" t="n">
        <f aca="false">IF(CZ6=③기타_가정!$E$14,③기타_가정!$E$454*③기타_가정!$J$485,0)</f>
        <v>0</v>
      </c>
      <c r="DA105" s="37" t="n">
        <f aca="false">IF(DA6=③기타_가정!$E$14,③기타_가정!$E$454*③기타_가정!$J$485,0)</f>
        <v>0</v>
      </c>
      <c r="DB105" s="37" t="n">
        <f aca="false">IF(DB6=③기타_가정!$E$14,③기타_가정!$E$454*③기타_가정!$J$485,0)</f>
        <v>0</v>
      </c>
      <c r="DC105" s="37" t="n">
        <f aca="false">IF(DC6=③기타_가정!$E$14,③기타_가정!$E$454*③기타_가정!$J$485,0)</f>
        <v>0</v>
      </c>
      <c r="DD105" s="37" t="n">
        <f aca="false">IF(DD6=③기타_가정!$E$14,③기타_가정!$E$454*③기타_가정!$J$485,0)</f>
        <v>0</v>
      </c>
      <c r="DE105" s="37" t="n">
        <f aca="false">IF(DE6=③기타_가정!$E$14,③기타_가정!$E$454*③기타_가정!$J$485,0)</f>
        <v>0</v>
      </c>
      <c r="DF105" s="37" t="n">
        <f aca="false">IF(DF6=③기타_가정!$E$14,③기타_가정!$E$454*③기타_가정!$J$485,0)</f>
        <v>0</v>
      </c>
      <c r="DG105" s="37" t="n">
        <f aca="false">IF(DG6=③기타_가정!$E$14,③기타_가정!$E$454*③기타_가정!$J$485,0)</f>
        <v>0</v>
      </c>
      <c r="DH105" s="37" t="n">
        <f aca="false">IF(DH6=③기타_가정!$E$14,③기타_가정!$E$454*③기타_가정!$J$485,0)</f>
        <v>0</v>
      </c>
      <c r="DI105" s="37" t="n">
        <f aca="false">IF(DI6=③기타_가정!$E$14,③기타_가정!$E$454*③기타_가정!$J$485,0)</f>
        <v>0</v>
      </c>
      <c r="DJ105" s="37" t="n">
        <f aca="false">IF(DJ6=③기타_가정!$E$14,③기타_가정!$E$454*③기타_가정!$J$485,0)</f>
        <v>0</v>
      </c>
      <c r="DK105" s="37" t="n">
        <f aca="false">IF(DK6=③기타_가정!$E$14,③기타_가정!$E$454*③기타_가정!$J$485,0)</f>
        <v>0</v>
      </c>
      <c r="DL105" s="37" t="n">
        <f aca="false">IF(DL6=③기타_가정!$E$14,③기타_가정!$E$454*③기타_가정!$J$485,0)</f>
        <v>0</v>
      </c>
      <c r="DM105" s="37" t="n">
        <f aca="false">IF(DM6=③기타_가정!$E$14,③기타_가정!$E$454*③기타_가정!$J$485,0)</f>
        <v>0</v>
      </c>
      <c r="DN105" s="37" t="n">
        <f aca="false">IF(DN6=③기타_가정!$E$14,③기타_가정!$E$454*③기타_가정!$J$485,0)</f>
        <v>0</v>
      </c>
      <c r="DO105" s="37" t="n">
        <f aca="false">IF(DO6=③기타_가정!$E$14,③기타_가정!$E$454*③기타_가정!$J$485,0)</f>
        <v>0</v>
      </c>
      <c r="DP105" s="37" t="n">
        <f aca="false">IF(DP6=③기타_가정!$E$14,③기타_가정!$E$454*③기타_가정!$J$485,0)</f>
        <v>0</v>
      </c>
      <c r="DQ105" s="37" t="n">
        <f aca="false">IF(DQ6=③기타_가정!$E$14,③기타_가정!$E$454*③기타_가정!$J$485,0)</f>
        <v>0</v>
      </c>
      <c r="DR105" s="37" t="n">
        <f aca="false">IF(DR6=③기타_가정!$E$14,③기타_가정!$E$454*③기타_가정!$J$485,0)</f>
        <v>0</v>
      </c>
      <c r="DS105" s="37" t="n">
        <f aca="false">IF(DS6=③기타_가정!$E$14,③기타_가정!$E$454*③기타_가정!$J$485,0)</f>
        <v>0</v>
      </c>
      <c r="DT105" s="37" t="n">
        <f aca="false">IF(DT6=③기타_가정!$E$14,③기타_가정!$E$454*③기타_가정!$J$485,0)</f>
        <v>0</v>
      </c>
      <c r="DU105" s="37" t="n">
        <f aca="false">IF(DU6=③기타_가정!$E$14,③기타_가정!$E$454*③기타_가정!$J$485,0)</f>
        <v>0</v>
      </c>
      <c r="DV105" s="37" t="n">
        <f aca="false">IF(DV6=③기타_가정!$E$14,③기타_가정!$E$454*③기타_가정!$J$485,0)</f>
        <v>0</v>
      </c>
      <c r="DW105" s="37" t="n">
        <f aca="false">IF(DW6=③기타_가정!$E$14,③기타_가정!$E$454*③기타_가정!$J$485,0)</f>
        <v>0</v>
      </c>
      <c r="DX105" s="37" t="n">
        <f aca="false">IF(DX6=③기타_가정!$E$14,③기타_가정!$E$454*③기타_가정!$J$485,0)</f>
        <v>0</v>
      </c>
      <c r="DY105" s="37" t="n">
        <f aca="false">IF(DY6=③기타_가정!$E$14,③기타_가정!$E$454*③기타_가정!$J$485,0)</f>
        <v>0</v>
      </c>
      <c r="DZ105" s="37" t="n">
        <f aca="false">IF(DZ6=③기타_가정!$E$14,③기타_가정!$E$454*③기타_가정!$J$485,0)</f>
        <v>0</v>
      </c>
      <c r="EA105" s="37" t="n">
        <f aca="false">IF(EA6=③기타_가정!$E$14,③기타_가정!$E$454*③기타_가정!$J$485,0)</f>
        <v>0</v>
      </c>
      <c r="EB105" s="37" t="n">
        <f aca="false">IF(EB6=③기타_가정!$E$14,③기타_가정!$E$454*③기타_가정!$J$485,0)</f>
        <v>0</v>
      </c>
      <c r="EC105" s="37" t="n">
        <f aca="false">IF(EC6=③기타_가정!$E$14,③기타_가정!$E$454*③기타_가정!$J$485,0)</f>
        <v>0</v>
      </c>
      <c r="ED105" s="37" t="n">
        <f aca="false">IF(ED6=③기타_가정!$E$14,③기타_가정!$E$454*③기타_가정!$J$485,0)</f>
        <v>0</v>
      </c>
      <c r="EE105" s="37" t="n">
        <f aca="false">IF(EE6=③기타_가정!$E$14,③기타_가정!$E$454*③기타_가정!$J$485,0)</f>
        <v>0</v>
      </c>
      <c r="EF105" s="37" t="n">
        <f aca="false">IF(EF6=③기타_가정!$E$14,③기타_가정!$E$454*③기타_가정!$J$485,0)</f>
        <v>0</v>
      </c>
    </row>
    <row r="106" customFormat="false" ht="15" hidden="false" customHeight="false" outlineLevel="0" collapsed="false">
      <c r="A106" s="153" t="s">
        <v>645</v>
      </c>
      <c r="B106" s="278" t="s">
        <v>21</v>
      </c>
      <c r="C106" s="279" t="n">
        <f aca="false">SUM(E106:EF106)</f>
        <v>27318.4707331423</v>
      </c>
      <c r="E106" s="37" t="n">
        <f aca="false">0*③기타_가정!$K$483/12</f>
        <v>0</v>
      </c>
      <c r="F106" s="37" t="n">
        <f aca="false">E121*③기타_가정!$K$483/12</f>
        <v>0</v>
      </c>
      <c r="G106" s="37" t="n">
        <f aca="false">F121*③기타_가정!$K$483/12</f>
        <v>0</v>
      </c>
      <c r="H106" s="37" t="n">
        <f aca="false">G121*③기타_가정!$K$483/12</f>
        <v>0</v>
      </c>
      <c r="I106" s="37" t="n">
        <f aca="false">H121*③기타_가정!$K$483/12</f>
        <v>0</v>
      </c>
      <c r="J106" s="37" t="n">
        <f aca="false">I121*③기타_가정!$K$483/12</f>
        <v>0</v>
      </c>
      <c r="K106" s="37" t="n">
        <f aca="false">J121*③기타_가정!$K$483/12</f>
        <v>0</v>
      </c>
      <c r="L106" s="37" t="n">
        <f aca="false">K121*③기타_가정!$K$483/12</f>
        <v>0</v>
      </c>
      <c r="M106" s="37" t="n">
        <f aca="false">L121*③기타_가정!$K$483/12</f>
        <v>0</v>
      </c>
      <c r="N106" s="37" t="n">
        <f aca="false">M121*③기타_가정!$K$483/12</f>
        <v>0</v>
      </c>
      <c r="O106" s="37" t="n">
        <f aca="false">N121*③기타_가정!$K$483/12</f>
        <v>0</v>
      </c>
      <c r="P106" s="37" t="n">
        <f aca="false">O121*③기타_가정!$K$483/12</f>
        <v>0</v>
      </c>
      <c r="Q106" s="37" t="n">
        <f aca="false">P121*③기타_가정!$K$483/12</f>
        <v>0</v>
      </c>
      <c r="R106" s="37" t="n">
        <f aca="false">Q121*③기타_가정!$K$483/12</f>
        <v>0</v>
      </c>
      <c r="S106" s="37" t="n">
        <f aca="false">R121*③기타_가정!$K$483/12</f>
        <v>0</v>
      </c>
      <c r="T106" s="37" t="n">
        <f aca="false">S121*③기타_가정!$K$483/12</f>
        <v>0</v>
      </c>
      <c r="U106" s="37" t="n">
        <f aca="false">T121*③기타_가정!$K$483/12</f>
        <v>0</v>
      </c>
      <c r="V106" s="37" t="n">
        <f aca="false">U121*③기타_가정!$K$483/12</f>
        <v>0</v>
      </c>
      <c r="W106" s="37" t="n">
        <f aca="false">V121*③기타_가정!$K$483/12</f>
        <v>0</v>
      </c>
      <c r="X106" s="37" t="n">
        <f aca="false">W121*③기타_가정!$K$483/12</f>
        <v>0</v>
      </c>
      <c r="Y106" s="37" t="n">
        <f aca="false">X121*③기타_가정!$K$483/12</f>
        <v>0</v>
      </c>
      <c r="Z106" s="37" t="n">
        <f aca="false">Y121*③기타_가정!$K$483/12</f>
        <v>0</v>
      </c>
      <c r="AA106" s="37" t="n">
        <f aca="false">Z121*③기타_가정!$K$483/12</f>
        <v>0</v>
      </c>
      <c r="AB106" s="37" t="n">
        <f aca="false">AA121*③기타_가정!$K$483/12</f>
        <v>0</v>
      </c>
      <c r="AC106" s="37" t="n">
        <f aca="false">AB121*③기타_가정!$K$483/12</f>
        <v>0</v>
      </c>
      <c r="AD106" s="37" t="n">
        <f aca="false">AC121*③기타_가정!$K$483/12</f>
        <v>0</v>
      </c>
      <c r="AE106" s="37" t="n">
        <f aca="false">AD121*③기타_가정!$K$483/12</f>
        <v>0</v>
      </c>
      <c r="AF106" s="37" t="n">
        <f aca="false">AE121*③기타_가정!$K$483/12</f>
        <v>0</v>
      </c>
      <c r="AG106" s="37" t="n">
        <f aca="false">AF121*③기타_가정!$K$483/12</f>
        <v>0</v>
      </c>
      <c r="AH106" s="37" t="n">
        <f aca="false">AG121*③기타_가정!$K$483/12</f>
        <v>0</v>
      </c>
      <c r="AI106" s="37" t="n">
        <f aca="false">AH121*③기타_가정!$K$483/12</f>
        <v>0</v>
      </c>
      <c r="AJ106" s="37" t="n">
        <f aca="false">AI121*③기타_가정!$K$483/12</f>
        <v>0</v>
      </c>
      <c r="AK106" s="37" t="n">
        <f aca="false">AJ121*③기타_가정!$K$483/12</f>
        <v>0</v>
      </c>
      <c r="AL106" s="37" t="n">
        <f aca="false">AK121*③기타_가정!$K$483/12</f>
        <v>0</v>
      </c>
      <c r="AM106" s="37" t="n">
        <f aca="false">AL121*③기타_가정!$K$483/12</f>
        <v>0</v>
      </c>
      <c r="AN106" s="37" t="n">
        <f aca="false">AM121*③기타_가정!$K$483/12</f>
        <v>0</v>
      </c>
      <c r="AO106" s="37" t="n">
        <f aca="false">AN121*③기타_가정!$K$483/12</f>
        <v>0</v>
      </c>
      <c r="AP106" s="37" t="n">
        <f aca="false">AO121*③기타_가정!$K$483/12</f>
        <v>0</v>
      </c>
      <c r="AQ106" s="37" t="n">
        <f aca="false">AP121*③기타_가정!$K$483/12</f>
        <v>0</v>
      </c>
      <c r="AR106" s="37" t="n">
        <f aca="false">AQ121*③기타_가정!$K$483/12</f>
        <v>28.5100248630293</v>
      </c>
      <c r="AS106" s="37" t="n">
        <f aca="false">AR121*③기타_가정!$K$483/12</f>
        <v>191.669475410711</v>
      </c>
      <c r="AT106" s="37" t="n">
        <f aca="false">AS121*③기타_가정!$K$483/12</f>
        <v>354.809346094255</v>
      </c>
      <c r="AU106" s="37" t="n">
        <f aca="false">AT121*③기타_가정!$K$483/12</f>
        <v>517.098833665159</v>
      </c>
      <c r="AV106" s="37" t="n">
        <f aca="false">AU121*③기타_가정!$K$483/12</f>
        <v>677.712298267657</v>
      </c>
      <c r="AW106" s="37" t="n">
        <f aca="false">AV121*③기타_가정!$K$483/12</f>
        <v>835.833882790227</v>
      </c>
      <c r="AX106" s="37" t="n">
        <f aca="false">AW121*③기타_가정!$K$483/12</f>
        <v>990.66207751822</v>
      </c>
      <c r="AY106" s="37" t="n">
        <f aca="false">AX121*③기타_가정!$K$483/12</f>
        <v>1141.41420456027</v>
      </c>
      <c r="AZ106" s="37" t="n">
        <f aca="false">AY121*③기타_가정!$K$483/12</f>
        <v>1287.33079696982</v>
      </c>
      <c r="BA106" s="37" t="n">
        <f aca="false">AZ121*③기타_가정!$K$483/12</f>
        <v>1427.67984807192</v>
      </c>
      <c r="BB106" s="37" t="n">
        <f aca="false">BA121*③기타_가정!$K$483/12</f>
        <v>1427.67984807192</v>
      </c>
      <c r="BC106" s="37" t="n">
        <f aca="false">BB121*③기타_가정!$K$483/12</f>
        <v>1427.67984807192</v>
      </c>
      <c r="BD106" s="37" t="n">
        <f aca="false">BC121*③기타_가정!$K$483/12</f>
        <v>1536.84255605552</v>
      </c>
      <c r="BE106" s="37" t="n">
        <f aca="false">BD121*③기타_가정!$K$483/12</f>
        <v>1646.93179549949</v>
      </c>
      <c r="BF106" s="37" t="n">
        <f aca="false">BE121*③기타_가정!$K$483/12</f>
        <v>1748.33529619811</v>
      </c>
      <c r="BG106" s="37" t="n">
        <f aca="false">BF121*③기타_가정!$K$483/12</f>
        <v>1840.56487101803</v>
      </c>
      <c r="BH106" s="37" t="n">
        <f aca="false">BG121*③기타_가정!$K$483/12</f>
        <v>1923.18403165259</v>
      </c>
      <c r="BI106" s="37" t="n">
        <f aca="false">BH121*③기타_가정!$K$483/12</f>
        <v>1995.81043161404</v>
      </c>
      <c r="BJ106" s="37" t="n">
        <f aca="false">BI121*③기타_가정!$K$483/12</f>
        <v>2058.11800645262</v>
      </c>
      <c r="BK106" s="37" t="n">
        <f aca="false">BJ121*③기타_가정!$K$483/12</f>
        <v>2109.83879923354</v>
      </c>
      <c r="BL106" s="37" t="n">
        <f aca="false">BK121*③기타_가정!$K$483/12</f>
        <v>2150.76446106318</v>
      </c>
      <c r="BM106" s="37" t="n">
        <f aca="false">BL121*③기타_가정!$K$483/12</f>
        <v>0</v>
      </c>
      <c r="BN106" s="37" t="n">
        <f aca="false">BM121*③기타_가정!$K$483/12</f>
        <v>0</v>
      </c>
      <c r="BO106" s="37" t="n">
        <f aca="false">BN121*③기타_가정!$K$483/12</f>
        <v>0</v>
      </c>
      <c r="BP106" s="37" t="n">
        <f aca="false">BO121*③기타_가정!$K$483/12</f>
        <v>0</v>
      </c>
      <c r="BQ106" s="37" t="n">
        <f aca="false">BP121*③기타_가정!$K$483/12</f>
        <v>0</v>
      </c>
      <c r="BR106" s="37" t="n">
        <f aca="false">BQ121*③기타_가정!$K$483/12</f>
        <v>0</v>
      </c>
      <c r="BS106" s="37" t="n">
        <f aca="false">BR121*③기타_가정!$K$483/12</f>
        <v>0</v>
      </c>
      <c r="BT106" s="37" t="n">
        <f aca="false">BS121*③기타_가정!$K$483/12</f>
        <v>0</v>
      </c>
      <c r="BU106" s="37" t="n">
        <f aca="false">BT121*③기타_가정!$K$483/12</f>
        <v>0</v>
      </c>
      <c r="BV106" s="37" t="n">
        <f aca="false">BU121*③기타_가정!$K$483/12</f>
        <v>0</v>
      </c>
      <c r="BW106" s="37" t="n">
        <f aca="false">BV121*③기타_가정!$K$483/12</f>
        <v>0</v>
      </c>
      <c r="BX106" s="37" t="n">
        <f aca="false">BW121*③기타_가정!$K$483/12</f>
        <v>0</v>
      </c>
      <c r="BY106" s="37" t="n">
        <f aca="false">BX121*③기타_가정!$K$483/12</f>
        <v>0</v>
      </c>
      <c r="BZ106" s="37" t="n">
        <f aca="false">BY121*③기타_가정!$K$483/12</f>
        <v>0</v>
      </c>
      <c r="CA106" s="37" t="n">
        <f aca="false">BZ121*③기타_가정!$K$483/12</f>
        <v>0</v>
      </c>
      <c r="CB106" s="37" t="n">
        <f aca="false">CA121*③기타_가정!$K$483/12</f>
        <v>0</v>
      </c>
      <c r="CC106" s="37" t="n">
        <f aca="false">CB121*③기타_가정!$K$483/12</f>
        <v>0</v>
      </c>
      <c r="CD106" s="37" t="n">
        <f aca="false">CC121*③기타_가정!$K$483/12</f>
        <v>0</v>
      </c>
      <c r="CE106" s="37" t="n">
        <f aca="false">CD121*③기타_가정!$K$483/12</f>
        <v>0</v>
      </c>
      <c r="CF106" s="37" t="n">
        <f aca="false">CE121*③기타_가정!$K$483/12</f>
        <v>0</v>
      </c>
      <c r="CG106" s="37" t="n">
        <f aca="false">CF121*③기타_가정!$K$483/12</f>
        <v>0</v>
      </c>
      <c r="CH106" s="37" t="n">
        <f aca="false">CG121*③기타_가정!$K$483/12</f>
        <v>0</v>
      </c>
      <c r="CI106" s="37" t="n">
        <f aca="false">CH121*③기타_가정!$K$483/12</f>
        <v>0</v>
      </c>
      <c r="CJ106" s="37" t="n">
        <f aca="false">CI121*③기타_가정!$K$483/12</f>
        <v>0</v>
      </c>
      <c r="CK106" s="37" t="n">
        <f aca="false">CJ121*③기타_가정!$K$483/12</f>
        <v>0</v>
      </c>
      <c r="CL106" s="37" t="n">
        <f aca="false">CK121*③기타_가정!$K$483/12</f>
        <v>0</v>
      </c>
      <c r="CM106" s="37" t="n">
        <f aca="false">CL121*③기타_가정!$K$483/12</f>
        <v>0</v>
      </c>
      <c r="CN106" s="37" t="n">
        <f aca="false">CM121*③기타_가정!$K$483/12</f>
        <v>0</v>
      </c>
      <c r="CO106" s="37" t="n">
        <f aca="false">CN121*③기타_가정!$K$483/12</f>
        <v>0</v>
      </c>
      <c r="CP106" s="37" t="n">
        <f aca="false">CO121*③기타_가정!$K$483/12</f>
        <v>0</v>
      </c>
      <c r="CQ106" s="37" t="n">
        <f aca="false">CP121*③기타_가정!$K$483/12</f>
        <v>0</v>
      </c>
      <c r="CR106" s="37" t="n">
        <f aca="false">CQ121*③기타_가정!$K$483/12</f>
        <v>0</v>
      </c>
      <c r="CS106" s="37" t="n">
        <f aca="false">CR121*③기타_가정!$K$483/12</f>
        <v>0</v>
      </c>
      <c r="CT106" s="37" t="n">
        <f aca="false">CS121*③기타_가정!$K$483/12</f>
        <v>0</v>
      </c>
      <c r="CU106" s="37" t="n">
        <f aca="false">CT121*③기타_가정!$K$483/12</f>
        <v>0</v>
      </c>
      <c r="CV106" s="37" t="n">
        <f aca="false">CU121*③기타_가정!$K$483/12</f>
        <v>0</v>
      </c>
      <c r="CW106" s="37" t="n">
        <f aca="false">CV121*③기타_가정!$K$483/12</f>
        <v>0</v>
      </c>
      <c r="CX106" s="37" t="n">
        <f aca="false">CW121*③기타_가정!$K$483/12</f>
        <v>0</v>
      </c>
      <c r="CY106" s="37" t="n">
        <f aca="false">CX121*③기타_가정!$K$483/12</f>
        <v>0</v>
      </c>
      <c r="CZ106" s="37" t="n">
        <f aca="false">CY121*③기타_가정!$K$483/12</f>
        <v>0</v>
      </c>
      <c r="DA106" s="37" t="n">
        <f aca="false">CZ121*③기타_가정!$K$483/12</f>
        <v>0</v>
      </c>
      <c r="DB106" s="37" t="n">
        <f aca="false">DA121*③기타_가정!$K$483/12</f>
        <v>0</v>
      </c>
      <c r="DC106" s="37" t="n">
        <f aca="false">DB121*③기타_가정!$K$483/12</f>
        <v>0</v>
      </c>
      <c r="DD106" s="37" t="n">
        <f aca="false">DC121*③기타_가정!$K$483/12</f>
        <v>0</v>
      </c>
      <c r="DE106" s="37" t="n">
        <f aca="false">DD121*③기타_가정!$K$483/12</f>
        <v>0</v>
      </c>
      <c r="DF106" s="37" t="n">
        <f aca="false">DE121*③기타_가정!$K$483/12</f>
        <v>0</v>
      </c>
      <c r="DG106" s="37" t="n">
        <f aca="false">DF121*③기타_가정!$K$483/12</f>
        <v>0</v>
      </c>
      <c r="DH106" s="37" t="n">
        <f aca="false">DG121*③기타_가정!$K$483/12</f>
        <v>0</v>
      </c>
      <c r="DI106" s="37" t="n">
        <f aca="false">DH121*③기타_가정!$K$483/12</f>
        <v>0</v>
      </c>
      <c r="DJ106" s="37" t="n">
        <f aca="false">DI121*③기타_가정!$K$483/12</f>
        <v>0</v>
      </c>
      <c r="DK106" s="37" t="n">
        <f aca="false">DJ121*③기타_가정!$K$483/12</f>
        <v>0</v>
      </c>
      <c r="DL106" s="37" t="n">
        <f aca="false">DK121*③기타_가정!$K$483/12</f>
        <v>0</v>
      </c>
      <c r="DM106" s="37" t="n">
        <f aca="false">DL121*③기타_가정!$K$483/12</f>
        <v>0</v>
      </c>
      <c r="DN106" s="37" t="n">
        <f aca="false">DM121*③기타_가정!$K$483/12</f>
        <v>0</v>
      </c>
      <c r="DO106" s="37" t="n">
        <f aca="false">DN121*③기타_가정!$K$483/12</f>
        <v>0</v>
      </c>
      <c r="DP106" s="37" t="n">
        <f aca="false">DO121*③기타_가정!$K$483/12</f>
        <v>0</v>
      </c>
      <c r="DQ106" s="37" t="n">
        <f aca="false">DP121*③기타_가정!$K$483/12</f>
        <v>0</v>
      </c>
      <c r="DR106" s="37" t="n">
        <f aca="false">DQ121*③기타_가정!$K$483/12</f>
        <v>0</v>
      </c>
      <c r="DS106" s="37" t="n">
        <f aca="false">DR121*③기타_가정!$K$483/12</f>
        <v>0</v>
      </c>
      <c r="DT106" s="37" t="n">
        <f aca="false">DS121*③기타_가정!$K$483/12</f>
        <v>0</v>
      </c>
      <c r="DU106" s="37" t="n">
        <f aca="false">DT121*③기타_가정!$K$483/12</f>
        <v>0</v>
      </c>
      <c r="DV106" s="37" t="n">
        <f aca="false">DU121*③기타_가정!$K$483/12</f>
        <v>0</v>
      </c>
      <c r="DW106" s="37" t="n">
        <f aca="false">DV121*③기타_가정!$K$483/12</f>
        <v>0</v>
      </c>
      <c r="DX106" s="37" t="n">
        <f aca="false">DW121*③기타_가정!$K$483/12</f>
        <v>0</v>
      </c>
      <c r="DY106" s="37" t="n">
        <f aca="false">DX121*③기타_가정!$K$483/12</f>
        <v>0</v>
      </c>
      <c r="DZ106" s="37" t="n">
        <f aca="false">DY121*③기타_가정!$K$483/12</f>
        <v>0</v>
      </c>
      <c r="EA106" s="37" t="n">
        <f aca="false">DZ121*③기타_가정!$K$483/12</f>
        <v>0</v>
      </c>
      <c r="EB106" s="37" t="n">
        <f aca="false">EA121*③기타_가정!$K$483/12</f>
        <v>0</v>
      </c>
      <c r="EC106" s="37" t="n">
        <f aca="false">EB121*③기타_가정!$K$483/12</f>
        <v>0</v>
      </c>
      <c r="ED106" s="37" t="n">
        <f aca="false">EC121*③기타_가정!$K$483/12</f>
        <v>0</v>
      </c>
      <c r="EE106" s="37" t="n">
        <f aca="false">ED121*③기타_가정!$K$483/12</f>
        <v>0</v>
      </c>
      <c r="EF106" s="37" t="n">
        <f aca="false">EE121*③기타_가정!$K$483/12</f>
        <v>0</v>
      </c>
    </row>
    <row r="107" customFormat="false" ht="15" hidden="false" customHeight="false" outlineLevel="0" collapsed="false">
      <c r="A107" s="153" t="s">
        <v>646</v>
      </c>
      <c r="B107" s="278" t="s">
        <v>21</v>
      </c>
      <c r="C107" s="279" t="n">
        <f aca="false">SUM(E107:EF107)</f>
        <v>17514.7854548691</v>
      </c>
      <c r="E107" s="37" t="n">
        <f aca="false">0*③기타_가정!$K$484/12</f>
        <v>0</v>
      </c>
      <c r="F107" s="37" t="n">
        <f aca="false">E122*③기타_가정!$K$484/12</f>
        <v>0</v>
      </c>
      <c r="G107" s="37" t="n">
        <f aca="false">F122*③기타_가정!$K$484/12</f>
        <v>0</v>
      </c>
      <c r="H107" s="37" t="n">
        <f aca="false">G122*③기타_가정!$K$484/12</f>
        <v>0</v>
      </c>
      <c r="I107" s="37" t="n">
        <f aca="false">H122*③기타_가정!$K$484/12</f>
        <v>0</v>
      </c>
      <c r="J107" s="37" t="n">
        <f aca="false">I122*③기타_가정!$K$484/12</f>
        <v>0</v>
      </c>
      <c r="K107" s="37" t="n">
        <f aca="false">J122*③기타_가정!$K$484/12</f>
        <v>0</v>
      </c>
      <c r="L107" s="37" t="n">
        <f aca="false">K122*③기타_가정!$K$484/12</f>
        <v>0</v>
      </c>
      <c r="M107" s="37" t="n">
        <f aca="false">L122*③기타_가정!$K$484/12</f>
        <v>0</v>
      </c>
      <c r="N107" s="37" t="n">
        <f aca="false">M122*③기타_가정!$K$484/12</f>
        <v>0</v>
      </c>
      <c r="O107" s="37" t="n">
        <f aca="false">N122*③기타_가정!$K$484/12</f>
        <v>0</v>
      </c>
      <c r="P107" s="37" t="n">
        <f aca="false">O122*③기타_가정!$K$484/12</f>
        <v>0</v>
      </c>
      <c r="Q107" s="37" t="n">
        <f aca="false">P122*③기타_가정!$K$484/12</f>
        <v>0</v>
      </c>
      <c r="R107" s="37" t="n">
        <f aca="false">Q122*③기타_가정!$K$484/12</f>
        <v>0</v>
      </c>
      <c r="S107" s="37" t="n">
        <f aca="false">R122*③기타_가정!$K$484/12</f>
        <v>0</v>
      </c>
      <c r="T107" s="37" t="n">
        <f aca="false">S122*③기타_가정!$K$484/12</f>
        <v>0</v>
      </c>
      <c r="U107" s="37" t="n">
        <f aca="false">T122*③기타_가정!$K$484/12</f>
        <v>0</v>
      </c>
      <c r="V107" s="37" t="n">
        <f aca="false">U122*③기타_가정!$K$484/12</f>
        <v>0</v>
      </c>
      <c r="W107" s="37" t="n">
        <f aca="false">V122*③기타_가정!$K$484/12</f>
        <v>0</v>
      </c>
      <c r="X107" s="37" t="n">
        <f aca="false">W122*③기타_가정!$K$484/12</f>
        <v>0</v>
      </c>
      <c r="Y107" s="37" t="n">
        <f aca="false">X122*③기타_가정!$K$484/12</f>
        <v>0</v>
      </c>
      <c r="Z107" s="37" t="n">
        <f aca="false">Y122*③기타_가정!$K$484/12</f>
        <v>0</v>
      </c>
      <c r="AA107" s="37" t="n">
        <f aca="false">Z122*③기타_가정!$K$484/12</f>
        <v>0</v>
      </c>
      <c r="AB107" s="37" t="n">
        <f aca="false">AA122*③기타_가정!$K$484/12</f>
        <v>0</v>
      </c>
      <c r="AC107" s="37" t="n">
        <f aca="false">AB122*③기타_가정!$K$484/12</f>
        <v>0</v>
      </c>
      <c r="AD107" s="37" t="n">
        <f aca="false">AC122*③기타_가정!$K$484/12</f>
        <v>0</v>
      </c>
      <c r="AE107" s="37" t="n">
        <f aca="false">AD122*③기타_가정!$K$484/12</f>
        <v>0</v>
      </c>
      <c r="AF107" s="37" t="n">
        <f aca="false">AE122*③기타_가정!$K$484/12</f>
        <v>0</v>
      </c>
      <c r="AG107" s="37" t="n">
        <f aca="false">AF122*③기타_가정!$K$484/12</f>
        <v>0</v>
      </c>
      <c r="AH107" s="37" t="n">
        <f aca="false">AG122*③기타_가정!$K$484/12</f>
        <v>0</v>
      </c>
      <c r="AI107" s="37" t="n">
        <f aca="false">AH122*③기타_가정!$K$484/12</f>
        <v>0</v>
      </c>
      <c r="AJ107" s="37" t="n">
        <f aca="false">AI122*③기타_가정!$K$484/12</f>
        <v>0</v>
      </c>
      <c r="AK107" s="37" t="n">
        <f aca="false">AJ122*③기타_가정!$K$484/12</f>
        <v>0</v>
      </c>
      <c r="AL107" s="37" t="n">
        <f aca="false">AK122*③기타_가정!$K$484/12</f>
        <v>12.3527164601348</v>
      </c>
      <c r="AM107" s="37" t="n">
        <f aca="false">AL122*③기타_가정!$K$484/12</f>
        <v>177.471284495094</v>
      </c>
      <c r="AN107" s="37" t="n">
        <f aca="false">AM122*③기타_가정!$K$484/12</f>
        <v>348.112168005659</v>
      </c>
      <c r="AO107" s="37" t="n">
        <f aca="false">AN122*③기타_가정!$K$484/12</f>
        <v>523.420495913778</v>
      </c>
      <c r="AP107" s="37" t="n">
        <f aca="false">AO122*③기타_가정!$K$484/12</f>
        <v>523.420495913778</v>
      </c>
      <c r="AQ107" s="37" t="n">
        <f aca="false">AP122*③기타_가정!$K$484/12</f>
        <v>580.708654642037</v>
      </c>
      <c r="AR107" s="37" t="n">
        <f aca="false">AQ122*③기타_가정!$K$484/12</f>
        <v>730.919030449457</v>
      </c>
      <c r="AS107" s="37" t="n">
        <f aca="false">AR122*③기타_가정!$K$484/12</f>
        <v>730.919030449457</v>
      </c>
      <c r="AT107" s="37" t="n">
        <f aca="false">AS122*③기타_가정!$K$484/12</f>
        <v>730.919030449457</v>
      </c>
      <c r="AU107" s="37" t="n">
        <f aca="false">AT122*③기타_가정!$K$484/12</f>
        <v>730.919030449457</v>
      </c>
      <c r="AV107" s="37" t="n">
        <f aca="false">AU122*③기타_가정!$K$484/12</f>
        <v>730.919030449457</v>
      </c>
      <c r="AW107" s="37" t="n">
        <f aca="false">AV122*③기타_가정!$K$484/12</f>
        <v>730.919030449457</v>
      </c>
      <c r="AX107" s="37" t="n">
        <f aca="false">AW122*③기타_가정!$K$484/12</f>
        <v>730.919030449457</v>
      </c>
      <c r="AY107" s="37" t="n">
        <f aca="false">AX122*③기타_가정!$K$484/12</f>
        <v>730.919030449457</v>
      </c>
      <c r="AZ107" s="37" t="n">
        <f aca="false">AY122*③기타_가정!$K$484/12</f>
        <v>730.919030449457</v>
      </c>
      <c r="BA107" s="37" t="n">
        <f aca="false">AZ122*③기타_가정!$K$484/12</f>
        <v>730.919030449457</v>
      </c>
      <c r="BB107" s="37" t="n">
        <f aca="false">BA122*③기타_가정!$K$484/12</f>
        <v>730.919030449457</v>
      </c>
      <c r="BC107" s="37" t="n">
        <f aca="false">BB122*③기타_가정!$K$484/12</f>
        <v>730.919030449457</v>
      </c>
      <c r="BD107" s="37" t="n">
        <f aca="false">BC122*③기타_가정!$K$484/12</f>
        <v>730.919030449457</v>
      </c>
      <c r="BE107" s="37" t="n">
        <f aca="false">BD122*③기타_가정!$K$484/12</f>
        <v>730.919030449457</v>
      </c>
      <c r="BF107" s="37" t="n">
        <f aca="false">BE122*③기타_가정!$K$484/12</f>
        <v>730.919030449457</v>
      </c>
      <c r="BG107" s="37" t="n">
        <f aca="false">BF122*③기타_가정!$K$484/12</f>
        <v>730.919030449457</v>
      </c>
      <c r="BH107" s="37" t="n">
        <f aca="false">BG122*③기타_가정!$K$484/12</f>
        <v>730.919030449457</v>
      </c>
      <c r="BI107" s="37" t="n">
        <f aca="false">BH122*③기타_가정!$K$484/12</f>
        <v>730.919030449457</v>
      </c>
      <c r="BJ107" s="37" t="n">
        <f aca="false">BI122*③기타_가정!$K$484/12</f>
        <v>730.919030449457</v>
      </c>
      <c r="BK107" s="37" t="n">
        <f aca="false">BJ122*③기타_가정!$K$484/12</f>
        <v>730.919030449457</v>
      </c>
      <c r="BL107" s="37" t="n">
        <f aca="false">BK122*③기타_가정!$K$484/12</f>
        <v>730.919030449457</v>
      </c>
      <c r="BM107" s="37" t="n">
        <f aca="false">BL122*③기타_가정!$K$484/12</f>
        <v>0</v>
      </c>
      <c r="BN107" s="37" t="n">
        <f aca="false">BM122*③기타_가정!$K$484/12</f>
        <v>0</v>
      </c>
      <c r="BO107" s="37" t="n">
        <f aca="false">BN122*③기타_가정!$K$484/12</f>
        <v>0</v>
      </c>
      <c r="BP107" s="37" t="n">
        <f aca="false">BO122*③기타_가정!$K$484/12</f>
        <v>0</v>
      </c>
      <c r="BQ107" s="37" t="n">
        <f aca="false">BP122*③기타_가정!$K$484/12</f>
        <v>0</v>
      </c>
      <c r="BR107" s="37" t="n">
        <f aca="false">BQ122*③기타_가정!$K$484/12</f>
        <v>0</v>
      </c>
      <c r="BS107" s="37" t="n">
        <f aca="false">BR122*③기타_가정!$K$484/12</f>
        <v>0</v>
      </c>
      <c r="BT107" s="37" t="n">
        <f aca="false">BS122*③기타_가정!$K$484/12</f>
        <v>0</v>
      </c>
      <c r="BU107" s="37" t="n">
        <f aca="false">BT122*③기타_가정!$K$484/12</f>
        <v>0</v>
      </c>
      <c r="BV107" s="37" t="n">
        <f aca="false">BU122*③기타_가정!$K$484/12</f>
        <v>0</v>
      </c>
      <c r="BW107" s="37" t="n">
        <f aca="false">BV122*③기타_가정!$K$484/12</f>
        <v>0</v>
      </c>
      <c r="BX107" s="37" t="n">
        <f aca="false">BW122*③기타_가정!$K$484/12</f>
        <v>0</v>
      </c>
      <c r="BY107" s="37" t="n">
        <f aca="false">BX122*③기타_가정!$K$484/12</f>
        <v>0</v>
      </c>
      <c r="BZ107" s="37" t="n">
        <f aca="false">BY122*③기타_가정!$K$484/12</f>
        <v>0</v>
      </c>
      <c r="CA107" s="37" t="n">
        <f aca="false">BZ122*③기타_가정!$K$484/12</f>
        <v>0</v>
      </c>
      <c r="CB107" s="37" t="n">
        <f aca="false">CA122*③기타_가정!$K$484/12</f>
        <v>0</v>
      </c>
      <c r="CC107" s="37" t="n">
        <f aca="false">CB122*③기타_가정!$K$484/12</f>
        <v>0</v>
      </c>
      <c r="CD107" s="37" t="n">
        <f aca="false">CC122*③기타_가정!$K$484/12</f>
        <v>0</v>
      </c>
      <c r="CE107" s="37" t="n">
        <f aca="false">CD122*③기타_가정!$K$484/12</f>
        <v>0</v>
      </c>
      <c r="CF107" s="37" t="n">
        <f aca="false">CE122*③기타_가정!$K$484/12</f>
        <v>0</v>
      </c>
      <c r="CG107" s="37" t="n">
        <f aca="false">CF122*③기타_가정!$K$484/12</f>
        <v>0</v>
      </c>
      <c r="CH107" s="37" t="n">
        <f aca="false">CG122*③기타_가정!$K$484/12</f>
        <v>0</v>
      </c>
      <c r="CI107" s="37" t="n">
        <f aca="false">CH122*③기타_가정!$K$484/12</f>
        <v>0</v>
      </c>
      <c r="CJ107" s="37" t="n">
        <f aca="false">CI122*③기타_가정!$K$484/12</f>
        <v>0</v>
      </c>
      <c r="CK107" s="37" t="n">
        <f aca="false">CJ122*③기타_가정!$K$484/12</f>
        <v>0</v>
      </c>
      <c r="CL107" s="37" t="n">
        <f aca="false">CK122*③기타_가정!$K$484/12</f>
        <v>0</v>
      </c>
      <c r="CM107" s="37" t="n">
        <f aca="false">CL122*③기타_가정!$K$484/12</f>
        <v>0</v>
      </c>
      <c r="CN107" s="37" t="n">
        <f aca="false">CM122*③기타_가정!$K$484/12</f>
        <v>0</v>
      </c>
      <c r="CO107" s="37" t="n">
        <f aca="false">CN122*③기타_가정!$K$484/12</f>
        <v>0</v>
      </c>
      <c r="CP107" s="37" t="n">
        <f aca="false">CO122*③기타_가정!$K$484/12</f>
        <v>0</v>
      </c>
      <c r="CQ107" s="37" t="n">
        <f aca="false">CP122*③기타_가정!$K$484/12</f>
        <v>0</v>
      </c>
      <c r="CR107" s="37" t="n">
        <f aca="false">CQ122*③기타_가정!$K$484/12</f>
        <v>0</v>
      </c>
      <c r="CS107" s="37" t="n">
        <f aca="false">CR122*③기타_가정!$K$484/12</f>
        <v>0</v>
      </c>
      <c r="CT107" s="37" t="n">
        <f aca="false">CS122*③기타_가정!$K$484/12</f>
        <v>0</v>
      </c>
      <c r="CU107" s="37" t="n">
        <f aca="false">CT122*③기타_가정!$K$484/12</f>
        <v>0</v>
      </c>
      <c r="CV107" s="37" t="n">
        <f aca="false">CU122*③기타_가정!$K$484/12</f>
        <v>0</v>
      </c>
      <c r="CW107" s="37" t="n">
        <f aca="false">CV122*③기타_가정!$K$484/12</f>
        <v>0</v>
      </c>
      <c r="CX107" s="37" t="n">
        <f aca="false">CW122*③기타_가정!$K$484/12</f>
        <v>0</v>
      </c>
      <c r="CY107" s="37" t="n">
        <f aca="false">CX122*③기타_가정!$K$484/12</f>
        <v>0</v>
      </c>
      <c r="CZ107" s="37" t="n">
        <f aca="false">CY122*③기타_가정!$K$484/12</f>
        <v>0</v>
      </c>
      <c r="DA107" s="37" t="n">
        <f aca="false">CZ122*③기타_가정!$K$484/12</f>
        <v>0</v>
      </c>
      <c r="DB107" s="37" t="n">
        <f aca="false">DA122*③기타_가정!$K$484/12</f>
        <v>0</v>
      </c>
      <c r="DC107" s="37" t="n">
        <f aca="false">DB122*③기타_가정!$K$484/12</f>
        <v>0</v>
      </c>
      <c r="DD107" s="37" t="n">
        <f aca="false">DC122*③기타_가정!$K$484/12</f>
        <v>0</v>
      </c>
      <c r="DE107" s="37" t="n">
        <f aca="false">DD122*③기타_가정!$K$484/12</f>
        <v>0</v>
      </c>
      <c r="DF107" s="37" t="n">
        <f aca="false">DE122*③기타_가정!$K$484/12</f>
        <v>0</v>
      </c>
      <c r="DG107" s="37" t="n">
        <f aca="false">DF122*③기타_가정!$K$484/12</f>
        <v>0</v>
      </c>
      <c r="DH107" s="37" t="n">
        <f aca="false">DG122*③기타_가정!$K$484/12</f>
        <v>0</v>
      </c>
      <c r="DI107" s="37" t="n">
        <f aca="false">DH122*③기타_가정!$K$484/12</f>
        <v>0</v>
      </c>
      <c r="DJ107" s="37" t="n">
        <f aca="false">DI122*③기타_가정!$K$484/12</f>
        <v>0</v>
      </c>
      <c r="DK107" s="37" t="n">
        <f aca="false">DJ122*③기타_가정!$K$484/12</f>
        <v>0</v>
      </c>
      <c r="DL107" s="37" t="n">
        <f aca="false">DK122*③기타_가정!$K$484/12</f>
        <v>0</v>
      </c>
      <c r="DM107" s="37" t="n">
        <f aca="false">DL122*③기타_가정!$K$484/12</f>
        <v>0</v>
      </c>
      <c r="DN107" s="37" t="n">
        <f aca="false">DM122*③기타_가정!$K$484/12</f>
        <v>0</v>
      </c>
      <c r="DO107" s="37" t="n">
        <f aca="false">DN122*③기타_가정!$K$484/12</f>
        <v>0</v>
      </c>
      <c r="DP107" s="37" t="n">
        <f aca="false">DO122*③기타_가정!$K$484/12</f>
        <v>0</v>
      </c>
      <c r="DQ107" s="37" t="n">
        <f aca="false">DP122*③기타_가정!$K$484/12</f>
        <v>0</v>
      </c>
      <c r="DR107" s="37" t="n">
        <f aca="false">DQ122*③기타_가정!$K$484/12</f>
        <v>0</v>
      </c>
      <c r="DS107" s="37" t="n">
        <f aca="false">DR122*③기타_가정!$K$484/12</f>
        <v>0</v>
      </c>
      <c r="DT107" s="37" t="n">
        <f aca="false">DS122*③기타_가정!$K$484/12</f>
        <v>0</v>
      </c>
      <c r="DU107" s="37" t="n">
        <f aca="false">DT122*③기타_가정!$K$484/12</f>
        <v>0</v>
      </c>
      <c r="DV107" s="37" t="n">
        <f aca="false">DU122*③기타_가정!$K$484/12</f>
        <v>0</v>
      </c>
      <c r="DW107" s="37" t="n">
        <f aca="false">DV122*③기타_가정!$K$484/12</f>
        <v>0</v>
      </c>
      <c r="DX107" s="37" t="n">
        <f aca="false">DW122*③기타_가정!$K$484/12</f>
        <v>0</v>
      </c>
      <c r="DY107" s="37" t="n">
        <f aca="false">DX122*③기타_가정!$K$484/12</f>
        <v>0</v>
      </c>
      <c r="DZ107" s="37" t="n">
        <f aca="false">DY122*③기타_가정!$K$484/12</f>
        <v>0</v>
      </c>
      <c r="EA107" s="37" t="n">
        <f aca="false">DZ122*③기타_가정!$K$484/12</f>
        <v>0</v>
      </c>
      <c r="EB107" s="37" t="n">
        <f aca="false">EA122*③기타_가정!$K$484/12</f>
        <v>0</v>
      </c>
      <c r="EC107" s="37" t="n">
        <f aca="false">EB122*③기타_가정!$K$484/12</f>
        <v>0</v>
      </c>
      <c r="ED107" s="37" t="n">
        <f aca="false">EC122*③기타_가정!$K$484/12</f>
        <v>0</v>
      </c>
      <c r="EE107" s="37" t="n">
        <f aca="false">ED122*③기타_가정!$K$484/12</f>
        <v>0</v>
      </c>
      <c r="EF107" s="37" t="n">
        <f aca="false">EE122*③기타_가정!$K$484/12</f>
        <v>0</v>
      </c>
    </row>
    <row r="108" customFormat="false" ht="15" hidden="false" customHeight="false" outlineLevel="0" collapsed="false">
      <c r="A108" s="153" t="s">
        <v>647</v>
      </c>
      <c r="B108" s="278" t="s">
        <v>21</v>
      </c>
      <c r="C108" s="279" t="n">
        <f aca="false">SUM(E108:EF108)</f>
        <v>25572.1283647751</v>
      </c>
      <c r="E108" s="37" t="n">
        <f aca="false">0*③기타_가정!$K$485/12</f>
        <v>0</v>
      </c>
      <c r="F108" s="37" t="n">
        <f aca="false">E123*③기타_가정!$K$485/12</f>
        <v>0</v>
      </c>
      <c r="G108" s="37" t="n">
        <f aca="false">F123*③기타_가정!$K$485/12</f>
        <v>0</v>
      </c>
      <c r="H108" s="37" t="n">
        <f aca="false">G123*③기타_가정!$K$485/12</f>
        <v>0</v>
      </c>
      <c r="I108" s="37" t="n">
        <f aca="false">H123*③기타_가정!$K$485/12</f>
        <v>0</v>
      </c>
      <c r="J108" s="37" t="n">
        <f aca="false">I123*③기타_가정!$K$485/12</f>
        <v>0</v>
      </c>
      <c r="K108" s="37" t="n">
        <f aca="false">J123*③기타_가정!$K$485/12</f>
        <v>0</v>
      </c>
      <c r="L108" s="37" t="n">
        <f aca="false">K123*③기타_가정!$K$485/12</f>
        <v>0</v>
      </c>
      <c r="M108" s="37" t="n">
        <f aca="false">L123*③기타_가정!$K$485/12</f>
        <v>0</v>
      </c>
      <c r="N108" s="37" t="n">
        <f aca="false">M123*③기타_가정!$K$485/12</f>
        <v>0</v>
      </c>
      <c r="O108" s="37" t="n">
        <f aca="false">N123*③기타_가정!$K$485/12</f>
        <v>0</v>
      </c>
      <c r="P108" s="37" t="n">
        <f aca="false">O123*③기타_가정!$K$485/12</f>
        <v>0</v>
      </c>
      <c r="Q108" s="37" t="n">
        <f aca="false">P123*③기타_가정!$K$485/12</f>
        <v>0</v>
      </c>
      <c r="R108" s="37" t="n">
        <f aca="false">Q123*③기타_가정!$K$485/12</f>
        <v>0</v>
      </c>
      <c r="S108" s="37" t="n">
        <f aca="false">R123*③기타_가정!$K$485/12</f>
        <v>0</v>
      </c>
      <c r="T108" s="37" t="n">
        <f aca="false">S123*③기타_가정!$K$485/12</f>
        <v>0</v>
      </c>
      <c r="U108" s="37" t="n">
        <f aca="false">T123*③기타_가정!$K$485/12</f>
        <v>0</v>
      </c>
      <c r="V108" s="37" t="n">
        <f aca="false">U123*③기타_가정!$K$485/12</f>
        <v>0</v>
      </c>
      <c r="W108" s="37" t="n">
        <f aca="false">V123*③기타_가정!$K$485/12</f>
        <v>0</v>
      </c>
      <c r="X108" s="37" t="n">
        <f aca="false">W123*③기타_가정!$K$485/12</f>
        <v>0</v>
      </c>
      <c r="Y108" s="37" t="n">
        <f aca="false">X123*③기타_가정!$K$485/12</f>
        <v>0</v>
      </c>
      <c r="Z108" s="37" t="n">
        <f aca="false">Y123*③기타_가정!$K$485/12</f>
        <v>0</v>
      </c>
      <c r="AA108" s="37" t="n">
        <f aca="false">Z123*③기타_가정!$K$485/12</f>
        <v>0</v>
      </c>
      <c r="AB108" s="37" t="n">
        <f aca="false">AA123*③기타_가정!$K$485/12</f>
        <v>0</v>
      </c>
      <c r="AC108" s="37" t="n">
        <f aca="false">AB123*③기타_가정!$K$485/12</f>
        <v>0</v>
      </c>
      <c r="AD108" s="37" t="n">
        <f aca="false">AC123*③기타_가정!$K$485/12</f>
        <v>0</v>
      </c>
      <c r="AE108" s="37" t="n">
        <f aca="false">AD123*③기타_가정!$K$485/12</f>
        <v>0</v>
      </c>
      <c r="AF108" s="37" t="n">
        <f aca="false">AE123*③기타_가정!$K$485/12</f>
        <v>0</v>
      </c>
      <c r="AG108" s="37" t="n">
        <f aca="false">AF123*③기타_가정!$K$485/12</f>
        <v>36.419193879664</v>
      </c>
      <c r="AH108" s="37" t="n">
        <f aca="false">AG123*③기타_가정!$K$485/12</f>
        <v>187.155119231288</v>
      </c>
      <c r="AI108" s="37" t="n">
        <f aca="false">AH123*③기타_가정!$K$485/12</f>
        <v>349.227431387782</v>
      </c>
      <c r="AJ108" s="37" t="n">
        <f aca="false">AI123*③기타_가정!$K$485/12</f>
        <v>521.856695602189</v>
      </c>
      <c r="AK108" s="37" t="n">
        <f aca="false">AJ123*③기타_가정!$K$485/12</f>
        <v>704.205316366621</v>
      </c>
      <c r="AL108" s="37" t="n">
        <f aca="false">AK123*③기타_가정!$K$485/12</f>
        <v>880.491281789167</v>
      </c>
      <c r="AM108" s="37" t="n">
        <f aca="false">AL123*③기타_가정!$K$485/12</f>
        <v>880.491281789167</v>
      </c>
      <c r="AN108" s="37" t="n">
        <f aca="false">AM123*③기타_가정!$K$485/12</f>
        <v>880.491281789167</v>
      </c>
      <c r="AO108" s="37" t="n">
        <f aca="false">AN123*③기타_가정!$K$485/12</f>
        <v>880.491281789167</v>
      </c>
      <c r="AP108" s="37" t="n">
        <f aca="false">AO123*③기타_가정!$K$485/12</f>
        <v>880.491281789167</v>
      </c>
      <c r="AQ108" s="37" t="n">
        <f aca="false">AP123*③기타_가정!$K$485/12</f>
        <v>880.491281789167</v>
      </c>
      <c r="AR108" s="37" t="n">
        <f aca="false">AQ123*③기타_가정!$K$485/12</f>
        <v>880.491281789167</v>
      </c>
      <c r="AS108" s="37" t="n">
        <f aca="false">AR123*③기타_가정!$K$485/12</f>
        <v>880.491281789167</v>
      </c>
      <c r="AT108" s="37" t="n">
        <f aca="false">AS123*③기타_가정!$K$485/12</f>
        <v>880.491281789167</v>
      </c>
      <c r="AU108" s="37" t="n">
        <f aca="false">AT123*③기타_가정!$K$485/12</f>
        <v>880.491281789167</v>
      </c>
      <c r="AV108" s="37" t="n">
        <f aca="false">AU123*③기타_가정!$K$485/12</f>
        <v>880.491281789167</v>
      </c>
      <c r="AW108" s="37" t="n">
        <f aca="false">AV123*③기타_가정!$K$485/12</f>
        <v>880.491281789167</v>
      </c>
      <c r="AX108" s="37" t="n">
        <f aca="false">AW123*③기타_가정!$K$485/12</f>
        <v>880.491281789167</v>
      </c>
      <c r="AY108" s="37" t="n">
        <f aca="false">AX123*③기타_가정!$K$485/12</f>
        <v>880.491281789167</v>
      </c>
      <c r="AZ108" s="37" t="n">
        <f aca="false">AY123*③기타_가정!$K$485/12</f>
        <v>880.491281789167</v>
      </c>
      <c r="BA108" s="37" t="n">
        <f aca="false">AZ123*③기타_가정!$K$485/12</f>
        <v>880.491281789167</v>
      </c>
      <c r="BB108" s="37" t="n">
        <f aca="false">BA123*③기타_가정!$K$485/12</f>
        <v>880.491281789167</v>
      </c>
      <c r="BC108" s="37" t="n">
        <f aca="false">BB123*③기타_가정!$K$485/12</f>
        <v>880.491281789167</v>
      </c>
      <c r="BD108" s="37" t="n">
        <f aca="false">BC123*③기타_가정!$K$485/12</f>
        <v>880.491281789167</v>
      </c>
      <c r="BE108" s="37" t="n">
        <f aca="false">BD123*③기타_가정!$K$485/12</f>
        <v>880.491281789167</v>
      </c>
      <c r="BF108" s="37" t="n">
        <f aca="false">BE123*③기타_가정!$K$485/12</f>
        <v>880.491281789167</v>
      </c>
      <c r="BG108" s="37" t="n">
        <f aca="false">BF123*③기타_가정!$K$485/12</f>
        <v>880.491281789167</v>
      </c>
      <c r="BH108" s="37" t="n">
        <f aca="false">BG123*③기타_가정!$K$485/12</f>
        <v>880.491281789167</v>
      </c>
      <c r="BI108" s="37" t="n">
        <f aca="false">BH123*③기타_가정!$K$485/12</f>
        <v>880.491281789167</v>
      </c>
      <c r="BJ108" s="37" t="n">
        <f aca="false">BI123*③기타_가정!$K$485/12</f>
        <v>880.491281789167</v>
      </c>
      <c r="BK108" s="37" t="n">
        <f aca="false">BJ123*③기타_가정!$K$485/12</f>
        <v>880.491281789167</v>
      </c>
      <c r="BL108" s="37" t="n">
        <f aca="false">BK123*③기타_가정!$K$485/12</f>
        <v>880.491281789167</v>
      </c>
      <c r="BM108" s="37" t="n">
        <f aca="false">BL123*③기타_가정!$K$485/12</f>
        <v>0</v>
      </c>
      <c r="BN108" s="37" t="n">
        <f aca="false">BM123*③기타_가정!$K$485/12</f>
        <v>0</v>
      </c>
      <c r="BO108" s="37" t="n">
        <f aca="false">BN123*③기타_가정!$K$485/12</f>
        <v>0</v>
      </c>
      <c r="BP108" s="37" t="n">
        <f aca="false">BO123*③기타_가정!$K$485/12</f>
        <v>0</v>
      </c>
      <c r="BQ108" s="37" t="n">
        <f aca="false">BP123*③기타_가정!$K$485/12</f>
        <v>0</v>
      </c>
      <c r="BR108" s="37" t="n">
        <f aca="false">BQ123*③기타_가정!$K$485/12</f>
        <v>0</v>
      </c>
      <c r="BS108" s="37" t="n">
        <f aca="false">BR123*③기타_가정!$K$485/12</f>
        <v>0</v>
      </c>
      <c r="BT108" s="37" t="n">
        <f aca="false">BS123*③기타_가정!$K$485/12</f>
        <v>0</v>
      </c>
      <c r="BU108" s="37" t="n">
        <f aca="false">BT123*③기타_가정!$K$485/12</f>
        <v>0</v>
      </c>
      <c r="BV108" s="37" t="n">
        <f aca="false">BU123*③기타_가정!$K$485/12</f>
        <v>0</v>
      </c>
      <c r="BW108" s="37" t="n">
        <f aca="false">BV123*③기타_가정!$K$485/12</f>
        <v>0</v>
      </c>
      <c r="BX108" s="37" t="n">
        <f aca="false">BW123*③기타_가정!$K$485/12</f>
        <v>0</v>
      </c>
      <c r="BY108" s="37" t="n">
        <f aca="false">BX123*③기타_가정!$K$485/12</f>
        <v>0</v>
      </c>
      <c r="BZ108" s="37" t="n">
        <f aca="false">BY123*③기타_가정!$K$485/12</f>
        <v>0</v>
      </c>
      <c r="CA108" s="37" t="n">
        <f aca="false">BZ123*③기타_가정!$K$485/12</f>
        <v>0</v>
      </c>
      <c r="CB108" s="37" t="n">
        <f aca="false">CA123*③기타_가정!$K$485/12</f>
        <v>0</v>
      </c>
      <c r="CC108" s="37" t="n">
        <f aca="false">CB123*③기타_가정!$K$485/12</f>
        <v>0</v>
      </c>
      <c r="CD108" s="37" t="n">
        <f aca="false">CC123*③기타_가정!$K$485/12</f>
        <v>0</v>
      </c>
      <c r="CE108" s="37" t="n">
        <f aca="false">CD123*③기타_가정!$K$485/12</f>
        <v>0</v>
      </c>
      <c r="CF108" s="37" t="n">
        <f aca="false">CE123*③기타_가정!$K$485/12</f>
        <v>0</v>
      </c>
      <c r="CG108" s="37" t="n">
        <f aca="false">CF123*③기타_가정!$K$485/12</f>
        <v>0</v>
      </c>
      <c r="CH108" s="37" t="n">
        <f aca="false">CG123*③기타_가정!$K$485/12</f>
        <v>0</v>
      </c>
      <c r="CI108" s="37" t="n">
        <f aca="false">CH123*③기타_가정!$K$485/12</f>
        <v>0</v>
      </c>
      <c r="CJ108" s="37" t="n">
        <f aca="false">CI123*③기타_가정!$K$485/12</f>
        <v>0</v>
      </c>
      <c r="CK108" s="37" t="n">
        <f aca="false">CJ123*③기타_가정!$K$485/12</f>
        <v>0</v>
      </c>
      <c r="CL108" s="37" t="n">
        <f aca="false">CK123*③기타_가정!$K$485/12</f>
        <v>0</v>
      </c>
      <c r="CM108" s="37" t="n">
        <f aca="false">CL123*③기타_가정!$K$485/12</f>
        <v>0</v>
      </c>
      <c r="CN108" s="37" t="n">
        <f aca="false">CM123*③기타_가정!$K$485/12</f>
        <v>0</v>
      </c>
      <c r="CO108" s="37" t="n">
        <f aca="false">CN123*③기타_가정!$K$485/12</f>
        <v>0</v>
      </c>
      <c r="CP108" s="37" t="n">
        <f aca="false">CO123*③기타_가정!$K$485/12</f>
        <v>0</v>
      </c>
      <c r="CQ108" s="37" t="n">
        <f aca="false">CP123*③기타_가정!$K$485/12</f>
        <v>0</v>
      </c>
      <c r="CR108" s="37" t="n">
        <f aca="false">CQ123*③기타_가정!$K$485/12</f>
        <v>0</v>
      </c>
      <c r="CS108" s="37" t="n">
        <f aca="false">CR123*③기타_가정!$K$485/12</f>
        <v>0</v>
      </c>
      <c r="CT108" s="37" t="n">
        <f aca="false">CS123*③기타_가정!$K$485/12</f>
        <v>0</v>
      </c>
      <c r="CU108" s="37" t="n">
        <f aca="false">CT123*③기타_가정!$K$485/12</f>
        <v>0</v>
      </c>
      <c r="CV108" s="37" t="n">
        <f aca="false">CU123*③기타_가정!$K$485/12</f>
        <v>0</v>
      </c>
      <c r="CW108" s="37" t="n">
        <f aca="false">CV123*③기타_가정!$K$485/12</f>
        <v>0</v>
      </c>
      <c r="CX108" s="37" t="n">
        <f aca="false">CW123*③기타_가정!$K$485/12</f>
        <v>0</v>
      </c>
      <c r="CY108" s="37" t="n">
        <f aca="false">CX123*③기타_가정!$K$485/12</f>
        <v>0</v>
      </c>
      <c r="CZ108" s="37" t="n">
        <f aca="false">CY123*③기타_가정!$K$485/12</f>
        <v>0</v>
      </c>
      <c r="DA108" s="37" t="n">
        <f aca="false">CZ123*③기타_가정!$K$485/12</f>
        <v>0</v>
      </c>
      <c r="DB108" s="37" t="n">
        <f aca="false">DA123*③기타_가정!$K$485/12</f>
        <v>0</v>
      </c>
      <c r="DC108" s="37" t="n">
        <f aca="false">DB123*③기타_가정!$K$485/12</f>
        <v>0</v>
      </c>
      <c r="DD108" s="37" t="n">
        <f aca="false">DC123*③기타_가정!$K$485/12</f>
        <v>0</v>
      </c>
      <c r="DE108" s="37" t="n">
        <f aca="false">DD123*③기타_가정!$K$485/12</f>
        <v>0</v>
      </c>
      <c r="DF108" s="37" t="n">
        <f aca="false">DE123*③기타_가정!$K$485/12</f>
        <v>0</v>
      </c>
      <c r="DG108" s="37" t="n">
        <f aca="false">DF123*③기타_가정!$K$485/12</f>
        <v>0</v>
      </c>
      <c r="DH108" s="37" t="n">
        <f aca="false">DG123*③기타_가정!$K$485/12</f>
        <v>0</v>
      </c>
      <c r="DI108" s="37" t="n">
        <f aca="false">DH123*③기타_가정!$K$485/12</f>
        <v>0</v>
      </c>
      <c r="DJ108" s="37" t="n">
        <f aca="false">DI123*③기타_가정!$K$485/12</f>
        <v>0</v>
      </c>
      <c r="DK108" s="37" t="n">
        <f aca="false">DJ123*③기타_가정!$K$485/12</f>
        <v>0</v>
      </c>
      <c r="DL108" s="37" t="n">
        <f aca="false">DK123*③기타_가정!$K$485/12</f>
        <v>0</v>
      </c>
      <c r="DM108" s="37" t="n">
        <f aca="false">DL123*③기타_가정!$K$485/12</f>
        <v>0</v>
      </c>
      <c r="DN108" s="37" t="n">
        <f aca="false">DM123*③기타_가정!$K$485/12</f>
        <v>0</v>
      </c>
      <c r="DO108" s="37" t="n">
        <f aca="false">DN123*③기타_가정!$K$485/12</f>
        <v>0</v>
      </c>
      <c r="DP108" s="37" t="n">
        <f aca="false">DO123*③기타_가정!$K$485/12</f>
        <v>0</v>
      </c>
      <c r="DQ108" s="37" t="n">
        <f aca="false">DP123*③기타_가정!$K$485/12</f>
        <v>0</v>
      </c>
      <c r="DR108" s="37" t="n">
        <f aca="false">DQ123*③기타_가정!$K$485/12</f>
        <v>0</v>
      </c>
      <c r="DS108" s="37" t="n">
        <f aca="false">DR123*③기타_가정!$K$485/12</f>
        <v>0</v>
      </c>
      <c r="DT108" s="37" t="n">
        <f aca="false">DS123*③기타_가정!$K$485/12</f>
        <v>0</v>
      </c>
      <c r="DU108" s="37" t="n">
        <f aca="false">DT123*③기타_가정!$K$485/12</f>
        <v>0</v>
      </c>
      <c r="DV108" s="37" t="n">
        <f aca="false">DU123*③기타_가정!$K$485/12</f>
        <v>0</v>
      </c>
      <c r="DW108" s="37" t="n">
        <f aca="false">DV123*③기타_가정!$K$485/12</f>
        <v>0</v>
      </c>
      <c r="DX108" s="37" t="n">
        <f aca="false">DW123*③기타_가정!$K$485/12</f>
        <v>0</v>
      </c>
      <c r="DY108" s="37" t="n">
        <f aca="false">DX123*③기타_가정!$K$485/12</f>
        <v>0</v>
      </c>
      <c r="DZ108" s="37" t="n">
        <f aca="false">DY123*③기타_가정!$K$485/12</f>
        <v>0</v>
      </c>
      <c r="EA108" s="37" t="n">
        <f aca="false">DZ123*③기타_가정!$K$485/12</f>
        <v>0</v>
      </c>
      <c r="EB108" s="37" t="n">
        <f aca="false">EA123*③기타_가정!$K$485/12</f>
        <v>0</v>
      </c>
      <c r="EC108" s="37" t="n">
        <f aca="false">EB123*③기타_가정!$K$485/12</f>
        <v>0</v>
      </c>
      <c r="ED108" s="37" t="n">
        <f aca="false">EC123*③기타_가정!$K$485/12</f>
        <v>0</v>
      </c>
      <c r="EE108" s="37" t="n">
        <f aca="false">ED123*③기타_가정!$K$485/12</f>
        <v>0</v>
      </c>
      <c r="EF108" s="37" t="n">
        <f aca="false">EE123*③기타_가정!$K$485/12</f>
        <v>0</v>
      </c>
    </row>
    <row r="109" customFormat="false" ht="15" hidden="false" customHeight="false" outlineLevel="0" collapsed="false">
      <c r="A109" s="153" t="s">
        <v>648</v>
      </c>
      <c r="B109" s="278" t="s">
        <v>21</v>
      </c>
      <c r="C109" s="279" t="n">
        <f aca="false">SUM(E109:EF109)</f>
        <v>8408.85528704083</v>
      </c>
      <c r="E109" s="37" t="n">
        <f aca="false">E11*MAX(0,③기타_가정!$E$452-0)*③기타_가정!$O$483/12</f>
        <v>0</v>
      </c>
      <c r="F109" s="37" t="n">
        <f aca="false">F11*MAX(0,③기타_가정!$E$452-E121)*③기타_가정!$O$483/12</f>
        <v>0</v>
      </c>
      <c r="G109" s="37" t="n">
        <f aca="false">G11*MAX(0,③기타_가정!$E$452-F121)*③기타_가정!$O$483/12</f>
        <v>0</v>
      </c>
      <c r="H109" s="37" t="n">
        <f aca="false">H11*MAX(0,③기타_가정!$E$452-G121)*③기타_가정!$O$483/12</f>
        <v>0</v>
      </c>
      <c r="I109" s="37" t="n">
        <f aca="false">I11*MAX(0,③기타_가정!$E$452-H121)*③기타_가정!$O$483/12</f>
        <v>0</v>
      </c>
      <c r="J109" s="37" t="n">
        <f aca="false">J11*MAX(0,③기타_가정!$E$452-I121)*③기타_가정!$O$483/12</f>
        <v>0</v>
      </c>
      <c r="K109" s="37" t="n">
        <f aca="false">K11*MAX(0,③기타_가정!$E$452-J121)*③기타_가정!$O$483/12</f>
        <v>0</v>
      </c>
      <c r="L109" s="37" t="n">
        <f aca="false">L11*MAX(0,③기타_가정!$E$452-K121)*③기타_가정!$O$483/12</f>
        <v>0</v>
      </c>
      <c r="M109" s="37" t="n">
        <f aca="false">M11*MAX(0,③기타_가정!$E$452-L121)*③기타_가정!$O$483/12</f>
        <v>0</v>
      </c>
      <c r="N109" s="37" t="n">
        <f aca="false">N11*MAX(0,③기타_가정!$E$452-M121)*③기타_가정!$O$483/12</f>
        <v>0</v>
      </c>
      <c r="O109" s="37" t="n">
        <f aca="false">O11*MAX(0,③기타_가정!$E$452-N121)*③기타_가정!$O$483/12</f>
        <v>0</v>
      </c>
      <c r="P109" s="37" t="n">
        <f aca="false">P11*MAX(0,③기타_가정!$E$452-O121)*③기타_가정!$O$483/12</f>
        <v>0</v>
      </c>
      <c r="Q109" s="37" t="n">
        <f aca="false">Q11*MAX(0,③기타_가정!$E$452-P121)*③기타_가정!$O$483/12</f>
        <v>0</v>
      </c>
      <c r="R109" s="37" t="n">
        <f aca="false">R11*MAX(0,③기타_가정!$E$452-Q121)*③기타_가정!$O$483/12</f>
        <v>0</v>
      </c>
      <c r="S109" s="37" t="n">
        <f aca="false">S11*MAX(0,③기타_가정!$E$452-R121)*③기타_가정!$O$483/12</f>
        <v>0</v>
      </c>
      <c r="T109" s="37" t="n">
        <f aca="false">T11*MAX(0,③기타_가정!$E$452-S121)*③기타_가정!$O$483/12</f>
        <v>0</v>
      </c>
      <c r="U109" s="37" t="n">
        <f aca="false">U11*MAX(0,③기타_가정!$E$452-T121)*③기타_가정!$O$483/12</f>
        <v>0</v>
      </c>
      <c r="V109" s="37" t="n">
        <f aca="false">V11*MAX(0,③기타_가정!$E$452-U121)*③기타_가정!$O$483/12</f>
        <v>0</v>
      </c>
      <c r="W109" s="37" t="n">
        <f aca="false">W11*MAX(0,③기타_가정!$E$452-V121)*③기타_가정!$O$483/12</f>
        <v>250.244669349218</v>
      </c>
      <c r="X109" s="37" t="n">
        <f aca="false">X11*MAX(0,③기타_가정!$E$452-W121)*③기타_가정!$O$483/12</f>
        <v>250.244669349218</v>
      </c>
      <c r="Y109" s="37" t="n">
        <f aca="false">Y11*MAX(0,③기타_가정!$E$452-X121)*③기타_가정!$O$483/12</f>
        <v>250.244669349218</v>
      </c>
      <c r="Z109" s="37" t="n">
        <f aca="false">Z11*MAX(0,③기타_가정!$E$452-Y121)*③기타_가정!$O$483/12</f>
        <v>250.244669349218</v>
      </c>
      <c r="AA109" s="37" t="n">
        <f aca="false">AA11*MAX(0,③기타_가정!$E$452-Z121)*③기타_가정!$O$483/12</f>
        <v>250.244669349218</v>
      </c>
      <c r="AB109" s="37" t="n">
        <f aca="false">AB11*MAX(0,③기타_가정!$E$452-AA121)*③기타_가정!$O$483/12</f>
        <v>250.244669349218</v>
      </c>
      <c r="AC109" s="37" t="n">
        <f aca="false">AC11*MAX(0,③기타_가정!$E$452-AB121)*③기타_가정!$O$483/12</f>
        <v>250.244669349218</v>
      </c>
      <c r="AD109" s="37" t="n">
        <f aca="false">AD11*MAX(0,③기타_가정!$E$452-AC121)*③기타_가정!$O$483/12</f>
        <v>250.244669349218</v>
      </c>
      <c r="AE109" s="37" t="n">
        <f aca="false">AE11*MAX(0,③기타_가정!$E$452-AD121)*③기타_가정!$O$483/12</f>
        <v>250.244669349218</v>
      </c>
      <c r="AF109" s="37" t="n">
        <f aca="false">AF11*MAX(0,③기타_가정!$E$452-AE121)*③기타_가정!$O$483/12</f>
        <v>250.244669349218</v>
      </c>
      <c r="AG109" s="37" t="n">
        <f aca="false">AG11*MAX(0,③기타_가정!$E$452-AF121)*③기타_가정!$O$483/12</f>
        <v>250.244669349218</v>
      </c>
      <c r="AH109" s="37" t="n">
        <f aca="false">AH11*MAX(0,③기타_가정!$E$452-AG121)*③기타_가정!$O$483/12</f>
        <v>250.244669349218</v>
      </c>
      <c r="AI109" s="37" t="n">
        <f aca="false">AI11*MAX(0,③기타_가정!$E$452-AH121)*③기타_가정!$O$483/12</f>
        <v>250.244669349218</v>
      </c>
      <c r="AJ109" s="37" t="n">
        <f aca="false">AJ11*MAX(0,③기타_가정!$E$452-AI121)*③기타_가정!$O$483/12</f>
        <v>250.244669349218</v>
      </c>
      <c r="AK109" s="37" t="n">
        <f aca="false">AK11*MAX(0,③기타_가정!$E$452-AJ121)*③기타_가정!$O$483/12</f>
        <v>250.244669349218</v>
      </c>
      <c r="AL109" s="37" t="n">
        <f aca="false">AL11*MAX(0,③기타_가정!$E$452-AK121)*③기타_가정!$O$483/12</f>
        <v>250.244669349218</v>
      </c>
      <c r="AM109" s="37" t="n">
        <f aca="false">AM11*MAX(0,③기타_가정!$E$452-AL121)*③기타_가정!$O$483/12</f>
        <v>250.244669349218</v>
      </c>
      <c r="AN109" s="37" t="n">
        <f aca="false">AN11*MAX(0,③기타_가정!$E$452-AM121)*③기타_가정!$O$483/12</f>
        <v>250.244669349218</v>
      </c>
      <c r="AO109" s="37" t="n">
        <f aca="false">AO11*MAX(0,③기타_가정!$E$452-AN121)*③기타_가정!$O$483/12</f>
        <v>250.244669349218</v>
      </c>
      <c r="AP109" s="37" t="n">
        <f aca="false">AP11*MAX(0,③기타_가정!$E$452-AO121)*③기타_가정!$O$483/12</f>
        <v>250.244669349218</v>
      </c>
      <c r="AQ109" s="37" t="n">
        <f aca="false">AQ11*MAX(0,③기타_가정!$E$452-AP121)*③기타_가정!$O$483/12</f>
        <v>250.244669349218</v>
      </c>
      <c r="AR109" s="37" t="n">
        <f aca="false">AR11*MAX(0,③기타_가정!$E$452-AQ121)*③기타_가정!$O$483/12</f>
        <v>248.0515905136</v>
      </c>
      <c r="AS109" s="37" t="n">
        <f aca="false">AS11*MAX(0,③기타_가정!$E$452-AR121)*③기타_가정!$O$483/12</f>
        <v>235.500863548394</v>
      </c>
      <c r="AT109" s="37" t="n">
        <f aca="false">AT11*MAX(0,③기타_가정!$E$452-AS121)*③기타_가정!$O$483/12</f>
        <v>222.951642726583</v>
      </c>
      <c r="AU109" s="37" t="n">
        <f aca="false">AU11*MAX(0,③기타_가정!$E$452-AT121)*③기타_가정!$O$483/12</f>
        <v>210.46783599036</v>
      </c>
      <c r="AV109" s="37" t="n">
        <f aca="false">AV11*MAX(0,③기타_가정!$E$452-AU121)*③기타_가정!$O$483/12</f>
        <v>198.11295409786</v>
      </c>
      <c r="AW109" s="37" t="n">
        <f aca="false">AW11*MAX(0,③기타_가정!$E$452-AV121)*③기타_가정!$O$483/12</f>
        <v>185.949755288431</v>
      </c>
      <c r="AX109" s="37" t="n">
        <f aca="false">AX11*MAX(0,③기타_가정!$E$452-AW121)*③기타_가정!$O$483/12</f>
        <v>174.039894155509</v>
      </c>
      <c r="AY109" s="37" t="n">
        <f aca="false">AY11*MAX(0,③기타_가정!$E$452-AX121)*③기타_가정!$O$483/12</f>
        <v>162.443576690735</v>
      </c>
      <c r="AZ109" s="37" t="n">
        <f aca="false">AZ11*MAX(0,③기타_가정!$E$452-AY121)*③기타_가정!$O$483/12</f>
        <v>151.219223428463</v>
      </c>
      <c r="BA109" s="37" t="n">
        <f aca="false">BA11*MAX(0,③기타_가정!$E$452-AZ121)*③기타_가정!$O$483/12</f>
        <v>140.423142574455</v>
      </c>
      <c r="BB109" s="37" t="n">
        <f aca="false">BB11*MAX(0,③기타_가정!$E$452-BA121)*③기타_가정!$O$483/12</f>
        <v>140.423142574455</v>
      </c>
      <c r="BC109" s="37" t="n">
        <f aca="false">BC11*MAX(0,③기타_가정!$E$452-BB121)*③기타_가정!$O$483/12</f>
        <v>140.423142574455</v>
      </c>
      <c r="BD109" s="37" t="n">
        <f aca="false">BD11*MAX(0,③기타_가정!$E$452-BC121)*③기타_가정!$O$483/12</f>
        <v>132.026011191101</v>
      </c>
      <c r="BE109" s="37" t="n">
        <f aca="false">BE11*MAX(0,③기타_가정!$E$452-BD121)*③기타_가정!$O$483/12</f>
        <v>123.557608156949</v>
      </c>
      <c r="BF109" s="37" t="n">
        <f aca="false">BF11*MAX(0,③기타_가정!$E$452-BE121)*③기타_가정!$O$483/12</f>
        <v>115.75733887244</v>
      </c>
      <c r="BG109" s="37" t="n">
        <f aca="false">BG11*MAX(0,③기타_가정!$E$452-BF121)*③기타_가정!$O$483/12</f>
        <v>108.662756193985</v>
      </c>
      <c r="BH109" s="37" t="n">
        <f aca="false">BH11*MAX(0,③기타_가정!$E$452-BG121)*③기타_가정!$O$483/12</f>
        <v>102.307436145172</v>
      </c>
      <c r="BI109" s="37" t="n">
        <f aca="false">BI11*MAX(0,③기타_가정!$E$452-BH121)*③기타_가정!$O$483/12</f>
        <v>96.7207899942914</v>
      </c>
      <c r="BJ109" s="37" t="n">
        <f aca="false">BJ11*MAX(0,③기타_가정!$E$452-BI121)*③기타_가정!$O$483/12</f>
        <v>91.9278996220931</v>
      </c>
      <c r="BK109" s="37" t="n">
        <f aca="false">BK11*MAX(0,③기타_가정!$E$452-BJ121)*③기타_가정!$O$483/12</f>
        <v>87.9493771004837</v>
      </c>
      <c r="BL109" s="37" t="n">
        <f aca="false">BL11*MAX(0,③기타_가정!$E$452-BK121)*③기타_가정!$O$483/12</f>
        <v>84.8012492674345</v>
      </c>
      <c r="BM109" s="37" t="n">
        <f aca="false">BM11*MAX(0,③기타_가정!$E$452-BL121)*③기타_가정!$O$483/12</f>
        <v>0</v>
      </c>
      <c r="BN109" s="37" t="n">
        <f aca="false">BN11*MAX(0,③기타_가정!$E$452-BM121)*③기타_가정!$O$483/12</f>
        <v>0</v>
      </c>
      <c r="BO109" s="37" t="n">
        <f aca="false">BO11*MAX(0,③기타_가정!$E$452-BN121)*③기타_가정!$O$483/12</f>
        <v>0</v>
      </c>
      <c r="BP109" s="37" t="n">
        <f aca="false">BP11*MAX(0,③기타_가정!$E$452-BO121)*③기타_가정!$O$483/12</f>
        <v>0</v>
      </c>
      <c r="BQ109" s="37" t="n">
        <f aca="false">BQ11*MAX(0,③기타_가정!$E$452-BP121)*③기타_가정!$O$483/12</f>
        <v>0</v>
      </c>
      <c r="BR109" s="37" t="n">
        <f aca="false">BR11*MAX(0,③기타_가정!$E$452-BQ121)*③기타_가정!$O$483/12</f>
        <v>0</v>
      </c>
      <c r="BS109" s="37" t="n">
        <f aca="false">BS11*MAX(0,③기타_가정!$E$452-BR121)*③기타_가정!$O$483/12</f>
        <v>0</v>
      </c>
      <c r="BT109" s="37" t="n">
        <f aca="false">BT11*MAX(0,③기타_가정!$E$452-BS121)*③기타_가정!$O$483/12</f>
        <v>0</v>
      </c>
      <c r="BU109" s="37" t="n">
        <f aca="false">BU11*MAX(0,③기타_가정!$E$452-BT121)*③기타_가정!$O$483/12</f>
        <v>0</v>
      </c>
      <c r="BV109" s="37" t="n">
        <f aca="false">BV11*MAX(0,③기타_가정!$E$452-BU121)*③기타_가정!$O$483/12</f>
        <v>0</v>
      </c>
      <c r="BW109" s="37" t="n">
        <f aca="false">BW11*MAX(0,③기타_가정!$E$452-BV121)*③기타_가정!$O$483/12</f>
        <v>0</v>
      </c>
      <c r="BX109" s="37" t="n">
        <f aca="false">BX11*MAX(0,③기타_가정!$E$452-BW121)*③기타_가정!$O$483/12</f>
        <v>0</v>
      </c>
      <c r="BY109" s="37" t="n">
        <f aca="false">BY11*MAX(0,③기타_가정!$E$452-BX121)*③기타_가정!$O$483/12</f>
        <v>0</v>
      </c>
      <c r="BZ109" s="37" t="n">
        <f aca="false">BZ11*MAX(0,③기타_가정!$E$452-BY121)*③기타_가정!$O$483/12</f>
        <v>0</v>
      </c>
      <c r="CA109" s="37" t="n">
        <f aca="false">CA11*MAX(0,③기타_가정!$E$452-BZ121)*③기타_가정!$O$483/12</f>
        <v>0</v>
      </c>
      <c r="CB109" s="37" t="n">
        <f aca="false">CB11*MAX(0,③기타_가정!$E$452-CA121)*③기타_가정!$O$483/12</f>
        <v>0</v>
      </c>
      <c r="CC109" s="37" t="n">
        <f aca="false">CC11*MAX(0,③기타_가정!$E$452-CB121)*③기타_가정!$O$483/12</f>
        <v>0</v>
      </c>
      <c r="CD109" s="37" t="n">
        <f aca="false">CD11*MAX(0,③기타_가정!$E$452-CC121)*③기타_가정!$O$483/12</f>
        <v>0</v>
      </c>
      <c r="CE109" s="37" t="n">
        <f aca="false">CE11*MAX(0,③기타_가정!$E$452-CD121)*③기타_가정!$O$483/12</f>
        <v>0</v>
      </c>
      <c r="CF109" s="37" t="n">
        <f aca="false">CF11*MAX(0,③기타_가정!$E$452-CE121)*③기타_가정!$O$483/12</f>
        <v>0</v>
      </c>
      <c r="CG109" s="37" t="n">
        <f aca="false">CG11*MAX(0,③기타_가정!$E$452-CF121)*③기타_가정!$O$483/12</f>
        <v>0</v>
      </c>
      <c r="CH109" s="37" t="n">
        <f aca="false">CH11*MAX(0,③기타_가정!$E$452-CG121)*③기타_가정!$O$483/12</f>
        <v>0</v>
      </c>
      <c r="CI109" s="37" t="n">
        <f aca="false">CI11*MAX(0,③기타_가정!$E$452-CH121)*③기타_가정!$O$483/12</f>
        <v>0</v>
      </c>
      <c r="CJ109" s="37" t="n">
        <f aca="false">CJ11*MAX(0,③기타_가정!$E$452-CI121)*③기타_가정!$O$483/12</f>
        <v>0</v>
      </c>
      <c r="CK109" s="37" t="n">
        <f aca="false">CK11*MAX(0,③기타_가정!$E$452-CJ121)*③기타_가정!$O$483/12</f>
        <v>0</v>
      </c>
      <c r="CL109" s="37" t="n">
        <f aca="false">CL11*MAX(0,③기타_가정!$E$452-CK121)*③기타_가정!$O$483/12</f>
        <v>0</v>
      </c>
      <c r="CM109" s="37" t="n">
        <f aca="false">CM11*MAX(0,③기타_가정!$E$452-CL121)*③기타_가정!$O$483/12</f>
        <v>0</v>
      </c>
      <c r="CN109" s="37" t="n">
        <f aca="false">CN11*MAX(0,③기타_가정!$E$452-CM121)*③기타_가정!$O$483/12</f>
        <v>0</v>
      </c>
      <c r="CO109" s="37" t="n">
        <f aca="false">CO11*MAX(0,③기타_가정!$E$452-CN121)*③기타_가정!$O$483/12</f>
        <v>0</v>
      </c>
      <c r="CP109" s="37" t="n">
        <f aca="false">CP11*MAX(0,③기타_가정!$E$452-CO121)*③기타_가정!$O$483/12</f>
        <v>0</v>
      </c>
      <c r="CQ109" s="37" t="n">
        <f aca="false">CQ11*MAX(0,③기타_가정!$E$452-CP121)*③기타_가정!$O$483/12</f>
        <v>0</v>
      </c>
      <c r="CR109" s="37" t="n">
        <f aca="false">CR11*MAX(0,③기타_가정!$E$452-CQ121)*③기타_가정!$O$483/12</f>
        <v>0</v>
      </c>
      <c r="CS109" s="37" t="n">
        <f aca="false">CS11*MAX(0,③기타_가정!$E$452-CR121)*③기타_가정!$O$483/12</f>
        <v>0</v>
      </c>
      <c r="CT109" s="37" t="n">
        <f aca="false">CT11*MAX(0,③기타_가정!$E$452-CS121)*③기타_가정!$O$483/12</f>
        <v>0</v>
      </c>
      <c r="CU109" s="37" t="n">
        <f aca="false">CU11*MAX(0,③기타_가정!$E$452-CT121)*③기타_가정!$O$483/12</f>
        <v>0</v>
      </c>
      <c r="CV109" s="37" t="n">
        <f aca="false">CV11*MAX(0,③기타_가정!$E$452-CU121)*③기타_가정!$O$483/12</f>
        <v>0</v>
      </c>
      <c r="CW109" s="37" t="n">
        <f aca="false">CW11*MAX(0,③기타_가정!$E$452-CV121)*③기타_가정!$O$483/12</f>
        <v>0</v>
      </c>
      <c r="CX109" s="37" t="n">
        <f aca="false">CX11*MAX(0,③기타_가정!$E$452-CW121)*③기타_가정!$O$483/12</f>
        <v>0</v>
      </c>
      <c r="CY109" s="37" t="n">
        <f aca="false">CY11*MAX(0,③기타_가정!$E$452-CX121)*③기타_가정!$O$483/12</f>
        <v>0</v>
      </c>
      <c r="CZ109" s="37" t="n">
        <f aca="false">CZ11*MAX(0,③기타_가정!$E$452-CY121)*③기타_가정!$O$483/12</f>
        <v>0</v>
      </c>
      <c r="DA109" s="37" t="n">
        <f aca="false">DA11*MAX(0,③기타_가정!$E$452-CZ121)*③기타_가정!$O$483/12</f>
        <v>0</v>
      </c>
      <c r="DB109" s="37" t="n">
        <f aca="false">DB11*MAX(0,③기타_가정!$E$452-DA121)*③기타_가정!$O$483/12</f>
        <v>0</v>
      </c>
      <c r="DC109" s="37" t="n">
        <f aca="false">DC11*MAX(0,③기타_가정!$E$452-DB121)*③기타_가정!$O$483/12</f>
        <v>0</v>
      </c>
      <c r="DD109" s="37" t="n">
        <f aca="false">DD11*MAX(0,③기타_가정!$E$452-DC121)*③기타_가정!$O$483/12</f>
        <v>0</v>
      </c>
      <c r="DE109" s="37" t="n">
        <f aca="false">DE11*MAX(0,③기타_가정!$E$452-DD121)*③기타_가정!$O$483/12</f>
        <v>0</v>
      </c>
      <c r="DF109" s="37" t="n">
        <f aca="false">DF11*MAX(0,③기타_가정!$E$452-DE121)*③기타_가정!$O$483/12</f>
        <v>0</v>
      </c>
      <c r="DG109" s="37" t="n">
        <f aca="false">DG11*MAX(0,③기타_가정!$E$452-DF121)*③기타_가정!$O$483/12</f>
        <v>0</v>
      </c>
      <c r="DH109" s="37" t="n">
        <f aca="false">DH11*MAX(0,③기타_가정!$E$452-DG121)*③기타_가정!$O$483/12</f>
        <v>0</v>
      </c>
      <c r="DI109" s="37" t="n">
        <f aca="false">DI11*MAX(0,③기타_가정!$E$452-DH121)*③기타_가정!$O$483/12</f>
        <v>0</v>
      </c>
      <c r="DJ109" s="37" t="n">
        <f aca="false">DJ11*MAX(0,③기타_가정!$E$452-DI121)*③기타_가정!$O$483/12</f>
        <v>0</v>
      </c>
      <c r="DK109" s="37" t="n">
        <f aca="false">DK11*MAX(0,③기타_가정!$E$452-DJ121)*③기타_가정!$O$483/12</f>
        <v>0</v>
      </c>
      <c r="DL109" s="37" t="n">
        <f aca="false">DL11*MAX(0,③기타_가정!$E$452-DK121)*③기타_가정!$O$483/12</f>
        <v>0</v>
      </c>
      <c r="DM109" s="37" t="n">
        <f aca="false">DM11*MAX(0,③기타_가정!$E$452-DL121)*③기타_가정!$O$483/12</f>
        <v>0</v>
      </c>
      <c r="DN109" s="37" t="n">
        <f aca="false">DN11*MAX(0,③기타_가정!$E$452-DM121)*③기타_가정!$O$483/12</f>
        <v>0</v>
      </c>
      <c r="DO109" s="37" t="n">
        <f aca="false">DO11*MAX(0,③기타_가정!$E$452-DN121)*③기타_가정!$O$483/12</f>
        <v>0</v>
      </c>
      <c r="DP109" s="37" t="n">
        <f aca="false">DP11*MAX(0,③기타_가정!$E$452-DO121)*③기타_가정!$O$483/12</f>
        <v>0</v>
      </c>
      <c r="DQ109" s="37" t="n">
        <f aca="false">DQ11*MAX(0,③기타_가정!$E$452-DP121)*③기타_가정!$O$483/12</f>
        <v>0</v>
      </c>
      <c r="DR109" s="37" t="n">
        <f aca="false">DR11*MAX(0,③기타_가정!$E$452-DQ121)*③기타_가정!$O$483/12</f>
        <v>0</v>
      </c>
      <c r="DS109" s="37" t="n">
        <f aca="false">DS11*MAX(0,③기타_가정!$E$452-DR121)*③기타_가정!$O$483/12</f>
        <v>0</v>
      </c>
      <c r="DT109" s="37" t="n">
        <f aca="false">DT11*MAX(0,③기타_가정!$E$452-DS121)*③기타_가정!$O$483/12</f>
        <v>0</v>
      </c>
      <c r="DU109" s="37" t="n">
        <f aca="false">DU11*MAX(0,③기타_가정!$E$452-DT121)*③기타_가정!$O$483/12</f>
        <v>0</v>
      </c>
      <c r="DV109" s="37" t="n">
        <f aca="false">DV11*MAX(0,③기타_가정!$E$452-DU121)*③기타_가정!$O$483/12</f>
        <v>0</v>
      </c>
      <c r="DW109" s="37" t="n">
        <f aca="false">DW11*MAX(0,③기타_가정!$E$452-DV121)*③기타_가정!$O$483/12</f>
        <v>0</v>
      </c>
      <c r="DX109" s="37" t="n">
        <f aca="false">DX11*MAX(0,③기타_가정!$E$452-DW121)*③기타_가정!$O$483/12</f>
        <v>0</v>
      </c>
      <c r="DY109" s="37" t="n">
        <f aca="false">DY11*MAX(0,③기타_가정!$E$452-DX121)*③기타_가정!$O$483/12</f>
        <v>0</v>
      </c>
      <c r="DZ109" s="37" t="n">
        <f aca="false">DZ11*MAX(0,③기타_가정!$E$452-DY121)*③기타_가정!$O$483/12</f>
        <v>0</v>
      </c>
      <c r="EA109" s="37" t="n">
        <f aca="false">EA11*MAX(0,③기타_가정!$E$452-DZ121)*③기타_가정!$O$483/12</f>
        <v>0</v>
      </c>
      <c r="EB109" s="37" t="n">
        <f aca="false">EB11*MAX(0,③기타_가정!$E$452-EA121)*③기타_가정!$O$483/12</f>
        <v>0</v>
      </c>
      <c r="EC109" s="37" t="n">
        <f aca="false">EC11*MAX(0,③기타_가정!$E$452-EB121)*③기타_가정!$O$483/12</f>
        <v>0</v>
      </c>
      <c r="ED109" s="37" t="n">
        <f aca="false">ED11*MAX(0,③기타_가정!$E$452-EC121)*③기타_가정!$O$483/12</f>
        <v>0</v>
      </c>
      <c r="EE109" s="37" t="n">
        <f aca="false">EE11*MAX(0,③기타_가정!$E$452-ED121)*③기타_가정!$O$483/12</f>
        <v>0</v>
      </c>
      <c r="EF109" s="37" t="n">
        <f aca="false">EF11*MAX(0,③기타_가정!$E$452-EE121)*③기타_가정!$O$483/12</f>
        <v>0</v>
      </c>
    </row>
    <row r="110" customFormat="false" ht="15" hidden="false" customHeight="false" outlineLevel="0" collapsed="false">
      <c r="A110" s="153" t="s">
        <v>649</v>
      </c>
      <c r="B110" s="278" t="s">
        <v>21</v>
      </c>
      <c r="C110" s="279" t="n">
        <f aca="false">SUM(E110:EF110)</f>
        <v>903.000946849871</v>
      </c>
      <c r="E110" s="37" t="n">
        <f aca="false">E11*MAX(0,③기타_가정!$E$453-0)*③기타_가정!$O$484/12</f>
        <v>0</v>
      </c>
      <c r="F110" s="37" t="n">
        <f aca="false">F11*MAX(0,③기타_가정!$E$453-E122)*③기타_가정!$O$484/12</f>
        <v>0</v>
      </c>
      <c r="G110" s="37" t="n">
        <f aca="false">G11*MAX(0,③기타_가정!$E$453-F122)*③기타_가정!$O$484/12</f>
        <v>0</v>
      </c>
      <c r="H110" s="37" t="n">
        <f aca="false">H11*MAX(0,③기타_가정!$E$453-G122)*③기타_가정!$O$484/12</f>
        <v>0</v>
      </c>
      <c r="I110" s="37" t="n">
        <f aca="false">I11*MAX(0,③기타_가정!$E$453-H122)*③기타_가정!$O$484/12</f>
        <v>0</v>
      </c>
      <c r="J110" s="37" t="n">
        <f aca="false">J11*MAX(0,③기타_가정!$E$453-I122)*③기타_가정!$O$484/12</f>
        <v>0</v>
      </c>
      <c r="K110" s="37" t="n">
        <f aca="false">K11*MAX(0,③기타_가정!$E$453-J122)*③기타_가정!$O$484/12</f>
        <v>0</v>
      </c>
      <c r="L110" s="37" t="n">
        <f aca="false">L11*MAX(0,③기타_가정!$E$453-K122)*③기타_가정!$O$484/12</f>
        <v>0</v>
      </c>
      <c r="M110" s="37" t="n">
        <f aca="false">M11*MAX(0,③기타_가정!$E$453-L122)*③기타_가정!$O$484/12</f>
        <v>0</v>
      </c>
      <c r="N110" s="37" t="n">
        <f aca="false">N11*MAX(0,③기타_가정!$E$453-M122)*③기타_가정!$O$484/12</f>
        <v>0</v>
      </c>
      <c r="O110" s="37" t="n">
        <f aca="false">O11*MAX(0,③기타_가정!$E$453-N122)*③기타_가정!$O$484/12</f>
        <v>0</v>
      </c>
      <c r="P110" s="37" t="n">
        <f aca="false">P11*MAX(0,③기타_가정!$E$453-O122)*③기타_가정!$O$484/12</f>
        <v>0</v>
      </c>
      <c r="Q110" s="37" t="n">
        <f aca="false">Q11*MAX(0,③기타_가정!$E$453-P122)*③기타_가정!$O$484/12</f>
        <v>0</v>
      </c>
      <c r="R110" s="37" t="n">
        <f aca="false">R11*MAX(0,③기타_가정!$E$453-Q122)*③기타_가정!$O$484/12</f>
        <v>0</v>
      </c>
      <c r="S110" s="37" t="n">
        <f aca="false">S11*MAX(0,③기타_가정!$E$453-R122)*③기타_가정!$O$484/12</f>
        <v>0</v>
      </c>
      <c r="T110" s="37" t="n">
        <f aca="false">T11*MAX(0,③기타_가정!$E$453-S122)*③기타_가정!$O$484/12</f>
        <v>0</v>
      </c>
      <c r="U110" s="37" t="n">
        <f aca="false">U11*MAX(0,③기타_가정!$E$453-T122)*③기타_가정!$O$484/12</f>
        <v>0</v>
      </c>
      <c r="V110" s="37" t="n">
        <f aca="false">V11*MAX(0,③기타_가정!$E$453-U122)*③기타_가정!$O$484/12</f>
        <v>0</v>
      </c>
      <c r="W110" s="37" t="n">
        <f aca="false">W11*MAX(0,③기타_가정!$E$453-V122)*③기타_가정!$O$484/12</f>
        <v>50.0629472910587</v>
      </c>
      <c r="X110" s="37" t="n">
        <f aca="false">X11*MAX(0,③기타_가정!$E$453-W122)*③기타_가정!$O$484/12</f>
        <v>50.0629472910587</v>
      </c>
      <c r="Y110" s="37" t="n">
        <f aca="false">Y11*MAX(0,③기타_가정!$E$453-X122)*③기타_가정!$O$484/12</f>
        <v>50.0629472910587</v>
      </c>
      <c r="Z110" s="37" t="n">
        <f aca="false">Z11*MAX(0,③기타_가정!$E$453-Y122)*③기타_가정!$O$484/12</f>
        <v>50.0629472910587</v>
      </c>
      <c r="AA110" s="37" t="n">
        <f aca="false">AA11*MAX(0,③기타_가정!$E$453-Z122)*③기타_가정!$O$484/12</f>
        <v>50.0629472910587</v>
      </c>
      <c r="AB110" s="37" t="n">
        <f aca="false">AB11*MAX(0,③기타_가정!$E$453-AA122)*③기타_가정!$O$484/12</f>
        <v>50.0629472910587</v>
      </c>
      <c r="AC110" s="37" t="n">
        <f aca="false">AC11*MAX(0,③기타_가정!$E$453-AB122)*③기타_가정!$O$484/12</f>
        <v>50.0629472910587</v>
      </c>
      <c r="AD110" s="37" t="n">
        <f aca="false">AD11*MAX(0,③기타_가정!$E$453-AC122)*③기타_가정!$O$484/12</f>
        <v>50.0629472910587</v>
      </c>
      <c r="AE110" s="37" t="n">
        <f aca="false">AE11*MAX(0,③기타_가정!$E$453-AD122)*③기타_가정!$O$484/12</f>
        <v>50.0629472910587</v>
      </c>
      <c r="AF110" s="37" t="n">
        <f aca="false">AF11*MAX(0,③기타_가정!$E$453-AE122)*③기타_가정!$O$484/12</f>
        <v>50.0629472910587</v>
      </c>
      <c r="AG110" s="37" t="n">
        <f aca="false">AG11*MAX(0,③기타_가정!$E$453-AF122)*③기타_가정!$O$484/12</f>
        <v>50.0629472910587</v>
      </c>
      <c r="AH110" s="37" t="n">
        <f aca="false">AH11*MAX(0,③기타_가정!$E$453-AG122)*③기타_가정!$O$484/12</f>
        <v>50.0629472910587</v>
      </c>
      <c r="AI110" s="37" t="n">
        <f aca="false">AI11*MAX(0,③기타_가정!$E$453-AH122)*③기타_가정!$O$484/12</f>
        <v>50.0629472910587</v>
      </c>
      <c r="AJ110" s="37" t="n">
        <f aca="false">AJ11*MAX(0,③기타_가정!$E$453-AI122)*③기타_가정!$O$484/12</f>
        <v>50.0629472910587</v>
      </c>
      <c r="AK110" s="37" t="n">
        <f aca="false">AK11*MAX(0,③기타_가정!$E$453-AJ122)*③기타_가정!$O$484/12</f>
        <v>50.0629472910587</v>
      </c>
      <c r="AL110" s="37" t="n">
        <f aca="false">AL11*MAX(0,③기타_가정!$E$453-AK122)*③기타_가정!$O$484/12</f>
        <v>49.2168708211865</v>
      </c>
      <c r="AM110" s="37" t="n">
        <f aca="false">AM11*MAX(0,③기타_가정!$E$453-AL122)*③기타_가정!$O$484/12</f>
        <v>37.9073798598879</v>
      </c>
      <c r="AN110" s="37" t="n">
        <f aca="false">AN11*MAX(0,③기타_가정!$E$453-AM122)*③기타_가정!$O$484/12</f>
        <v>26.2196481125889</v>
      </c>
      <c r="AO110" s="37" t="n">
        <f aca="false">AO11*MAX(0,③기타_가정!$E$453-AN122)*③기타_가정!$O$484/12</f>
        <v>14.2122283928547</v>
      </c>
      <c r="AP110" s="37" t="n">
        <f aca="false">AP11*MAX(0,③기타_가정!$E$453-AO122)*③기타_가정!$O$484/12</f>
        <v>14.2122283928547</v>
      </c>
      <c r="AQ110" s="37" t="n">
        <f aca="false">AQ11*MAX(0,③기타_가정!$E$453-AP122)*③기타_가정!$O$484/12</f>
        <v>10.2883819046178</v>
      </c>
      <c r="AR110" s="37" t="n">
        <f aca="false">AR11*MAX(0,③기타_가정!$E$453-AQ122)*③기타_가정!$O$484/12</f>
        <v>0</v>
      </c>
      <c r="AS110" s="37" t="n">
        <f aca="false">AS11*MAX(0,③기타_가정!$E$453-AR122)*③기타_가정!$O$484/12</f>
        <v>0</v>
      </c>
      <c r="AT110" s="37" t="n">
        <f aca="false">AT11*MAX(0,③기타_가정!$E$453-AS122)*③기타_가정!$O$484/12</f>
        <v>0</v>
      </c>
      <c r="AU110" s="37" t="n">
        <f aca="false">AU11*MAX(0,③기타_가정!$E$453-AT122)*③기타_가정!$O$484/12</f>
        <v>0</v>
      </c>
      <c r="AV110" s="37" t="n">
        <f aca="false">AV11*MAX(0,③기타_가정!$E$453-AU122)*③기타_가정!$O$484/12</f>
        <v>0</v>
      </c>
      <c r="AW110" s="37" t="n">
        <f aca="false">AW11*MAX(0,③기타_가정!$E$453-AV122)*③기타_가정!$O$484/12</f>
        <v>0</v>
      </c>
      <c r="AX110" s="37" t="n">
        <f aca="false">AX11*MAX(0,③기타_가정!$E$453-AW122)*③기타_가정!$O$484/12</f>
        <v>0</v>
      </c>
      <c r="AY110" s="37" t="n">
        <f aca="false">AY11*MAX(0,③기타_가정!$E$453-AX122)*③기타_가정!$O$484/12</f>
        <v>0</v>
      </c>
      <c r="AZ110" s="37" t="n">
        <f aca="false">AZ11*MAX(0,③기타_가정!$E$453-AY122)*③기타_가정!$O$484/12</f>
        <v>0</v>
      </c>
      <c r="BA110" s="37" t="n">
        <f aca="false">BA11*MAX(0,③기타_가정!$E$453-AZ122)*③기타_가정!$O$484/12</f>
        <v>0</v>
      </c>
      <c r="BB110" s="37" t="n">
        <f aca="false">BB11*MAX(0,③기타_가정!$E$453-BA122)*③기타_가정!$O$484/12</f>
        <v>0</v>
      </c>
      <c r="BC110" s="37" t="n">
        <f aca="false">BC11*MAX(0,③기타_가정!$E$453-BB122)*③기타_가정!$O$484/12</f>
        <v>0</v>
      </c>
      <c r="BD110" s="37" t="n">
        <f aca="false">BD11*MAX(0,③기타_가정!$E$453-BC122)*③기타_가정!$O$484/12</f>
        <v>0</v>
      </c>
      <c r="BE110" s="37" t="n">
        <f aca="false">BE11*MAX(0,③기타_가정!$E$453-BD122)*③기타_가정!$O$484/12</f>
        <v>0</v>
      </c>
      <c r="BF110" s="37" t="n">
        <f aca="false">BF11*MAX(0,③기타_가정!$E$453-BE122)*③기타_가정!$O$484/12</f>
        <v>0</v>
      </c>
      <c r="BG110" s="37" t="n">
        <f aca="false">BG11*MAX(0,③기타_가정!$E$453-BF122)*③기타_가정!$O$484/12</f>
        <v>0</v>
      </c>
      <c r="BH110" s="37" t="n">
        <f aca="false">BH11*MAX(0,③기타_가정!$E$453-BG122)*③기타_가정!$O$484/12</f>
        <v>0</v>
      </c>
      <c r="BI110" s="37" t="n">
        <f aca="false">BI11*MAX(0,③기타_가정!$E$453-BH122)*③기타_가정!$O$484/12</f>
        <v>0</v>
      </c>
      <c r="BJ110" s="37" t="n">
        <f aca="false">BJ11*MAX(0,③기타_가정!$E$453-BI122)*③기타_가정!$O$484/12</f>
        <v>0</v>
      </c>
      <c r="BK110" s="37" t="n">
        <f aca="false">BK11*MAX(0,③기타_가정!$E$453-BJ122)*③기타_가정!$O$484/12</f>
        <v>0</v>
      </c>
      <c r="BL110" s="37" t="n">
        <f aca="false">BL11*MAX(0,③기타_가정!$E$453-BK122)*③기타_가정!$O$484/12</f>
        <v>0</v>
      </c>
      <c r="BM110" s="37" t="n">
        <f aca="false">BM11*MAX(0,③기타_가정!$E$453-BL122)*③기타_가정!$O$484/12</f>
        <v>0</v>
      </c>
      <c r="BN110" s="37" t="n">
        <f aca="false">BN11*MAX(0,③기타_가정!$E$453-BM122)*③기타_가정!$O$484/12</f>
        <v>0</v>
      </c>
      <c r="BO110" s="37" t="n">
        <f aca="false">BO11*MAX(0,③기타_가정!$E$453-BN122)*③기타_가정!$O$484/12</f>
        <v>0</v>
      </c>
      <c r="BP110" s="37" t="n">
        <f aca="false">BP11*MAX(0,③기타_가정!$E$453-BO122)*③기타_가정!$O$484/12</f>
        <v>0</v>
      </c>
      <c r="BQ110" s="37" t="n">
        <f aca="false">BQ11*MAX(0,③기타_가정!$E$453-BP122)*③기타_가정!$O$484/12</f>
        <v>0</v>
      </c>
      <c r="BR110" s="37" t="n">
        <f aca="false">BR11*MAX(0,③기타_가정!$E$453-BQ122)*③기타_가정!$O$484/12</f>
        <v>0</v>
      </c>
      <c r="BS110" s="37" t="n">
        <f aca="false">BS11*MAX(0,③기타_가정!$E$453-BR122)*③기타_가정!$O$484/12</f>
        <v>0</v>
      </c>
      <c r="BT110" s="37" t="n">
        <f aca="false">BT11*MAX(0,③기타_가정!$E$453-BS122)*③기타_가정!$O$484/12</f>
        <v>0</v>
      </c>
      <c r="BU110" s="37" t="n">
        <f aca="false">BU11*MAX(0,③기타_가정!$E$453-BT122)*③기타_가정!$O$484/12</f>
        <v>0</v>
      </c>
      <c r="BV110" s="37" t="n">
        <f aca="false">BV11*MAX(0,③기타_가정!$E$453-BU122)*③기타_가정!$O$484/12</f>
        <v>0</v>
      </c>
      <c r="BW110" s="37" t="n">
        <f aca="false">BW11*MAX(0,③기타_가정!$E$453-BV122)*③기타_가정!$O$484/12</f>
        <v>0</v>
      </c>
      <c r="BX110" s="37" t="n">
        <f aca="false">BX11*MAX(0,③기타_가정!$E$453-BW122)*③기타_가정!$O$484/12</f>
        <v>0</v>
      </c>
      <c r="BY110" s="37" t="n">
        <f aca="false">BY11*MAX(0,③기타_가정!$E$453-BX122)*③기타_가정!$O$484/12</f>
        <v>0</v>
      </c>
      <c r="BZ110" s="37" t="n">
        <f aca="false">BZ11*MAX(0,③기타_가정!$E$453-BY122)*③기타_가정!$O$484/12</f>
        <v>0</v>
      </c>
      <c r="CA110" s="37" t="n">
        <f aca="false">CA11*MAX(0,③기타_가정!$E$453-BZ122)*③기타_가정!$O$484/12</f>
        <v>0</v>
      </c>
      <c r="CB110" s="37" t="n">
        <f aca="false">CB11*MAX(0,③기타_가정!$E$453-CA122)*③기타_가정!$O$484/12</f>
        <v>0</v>
      </c>
      <c r="CC110" s="37" t="n">
        <f aca="false">CC11*MAX(0,③기타_가정!$E$453-CB122)*③기타_가정!$O$484/12</f>
        <v>0</v>
      </c>
      <c r="CD110" s="37" t="n">
        <f aca="false">CD11*MAX(0,③기타_가정!$E$453-CC122)*③기타_가정!$O$484/12</f>
        <v>0</v>
      </c>
      <c r="CE110" s="37" t="n">
        <f aca="false">CE11*MAX(0,③기타_가정!$E$453-CD122)*③기타_가정!$O$484/12</f>
        <v>0</v>
      </c>
      <c r="CF110" s="37" t="n">
        <f aca="false">CF11*MAX(0,③기타_가정!$E$453-CE122)*③기타_가정!$O$484/12</f>
        <v>0</v>
      </c>
      <c r="CG110" s="37" t="n">
        <f aca="false">CG11*MAX(0,③기타_가정!$E$453-CF122)*③기타_가정!$O$484/12</f>
        <v>0</v>
      </c>
      <c r="CH110" s="37" t="n">
        <f aca="false">CH11*MAX(0,③기타_가정!$E$453-CG122)*③기타_가정!$O$484/12</f>
        <v>0</v>
      </c>
      <c r="CI110" s="37" t="n">
        <f aca="false">CI11*MAX(0,③기타_가정!$E$453-CH122)*③기타_가정!$O$484/12</f>
        <v>0</v>
      </c>
      <c r="CJ110" s="37" t="n">
        <f aca="false">CJ11*MAX(0,③기타_가정!$E$453-CI122)*③기타_가정!$O$484/12</f>
        <v>0</v>
      </c>
      <c r="CK110" s="37" t="n">
        <f aca="false">CK11*MAX(0,③기타_가정!$E$453-CJ122)*③기타_가정!$O$484/12</f>
        <v>0</v>
      </c>
      <c r="CL110" s="37" t="n">
        <f aca="false">CL11*MAX(0,③기타_가정!$E$453-CK122)*③기타_가정!$O$484/12</f>
        <v>0</v>
      </c>
      <c r="CM110" s="37" t="n">
        <f aca="false">CM11*MAX(0,③기타_가정!$E$453-CL122)*③기타_가정!$O$484/12</f>
        <v>0</v>
      </c>
      <c r="CN110" s="37" t="n">
        <f aca="false">CN11*MAX(0,③기타_가정!$E$453-CM122)*③기타_가정!$O$484/12</f>
        <v>0</v>
      </c>
      <c r="CO110" s="37" t="n">
        <f aca="false">CO11*MAX(0,③기타_가정!$E$453-CN122)*③기타_가정!$O$484/12</f>
        <v>0</v>
      </c>
      <c r="CP110" s="37" t="n">
        <f aca="false">CP11*MAX(0,③기타_가정!$E$453-CO122)*③기타_가정!$O$484/12</f>
        <v>0</v>
      </c>
      <c r="CQ110" s="37" t="n">
        <f aca="false">CQ11*MAX(0,③기타_가정!$E$453-CP122)*③기타_가정!$O$484/12</f>
        <v>0</v>
      </c>
      <c r="CR110" s="37" t="n">
        <f aca="false">CR11*MAX(0,③기타_가정!$E$453-CQ122)*③기타_가정!$O$484/12</f>
        <v>0</v>
      </c>
      <c r="CS110" s="37" t="n">
        <f aca="false">CS11*MAX(0,③기타_가정!$E$453-CR122)*③기타_가정!$O$484/12</f>
        <v>0</v>
      </c>
      <c r="CT110" s="37" t="n">
        <f aca="false">CT11*MAX(0,③기타_가정!$E$453-CS122)*③기타_가정!$O$484/12</f>
        <v>0</v>
      </c>
      <c r="CU110" s="37" t="n">
        <f aca="false">CU11*MAX(0,③기타_가정!$E$453-CT122)*③기타_가정!$O$484/12</f>
        <v>0</v>
      </c>
      <c r="CV110" s="37" t="n">
        <f aca="false">CV11*MAX(0,③기타_가정!$E$453-CU122)*③기타_가정!$O$484/12</f>
        <v>0</v>
      </c>
      <c r="CW110" s="37" t="n">
        <f aca="false">CW11*MAX(0,③기타_가정!$E$453-CV122)*③기타_가정!$O$484/12</f>
        <v>0</v>
      </c>
      <c r="CX110" s="37" t="n">
        <f aca="false">CX11*MAX(0,③기타_가정!$E$453-CW122)*③기타_가정!$O$484/12</f>
        <v>0</v>
      </c>
      <c r="CY110" s="37" t="n">
        <f aca="false">CY11*MAX(0,③기타_가정!$E$453-CX122)*③기타_가정!$O$484/12</f>
        <v>0</v>
      </c>
      <c r="CZ110" s="37" t="n">
        <f aca="false">CZ11*MAX(0,③기타_가정!$E$453-CY122)*③기타_가정!$O$484/12</f>
        <v>0</v>
      </c>
      <c r="DA110" s="37" t="n">
        <f aca="false">DA11*MAX(0,③기타_가정!$E$453-CZ122)*③기타_가정!$O$484/12</f>
        <v>0</v>
      </c>
      <c r="DB110" s="37" t="n">
        <f aca="false">DB11*MAX(0,③기타_가정!$E$453-DA122)*③기타_가정!$O$484/12</f>
        <v>0</v>
      </c>
      <c r="DC110" s="37" t="n">
        <f aca="false">DC11*MAX(0,③기타_가정!$E$453-DB122)*③기타_가정!$O$484/12</f>
        <v>0</v>
      </c>
      <c r="DD110" s="37" t="n">
        <f aca="false">DD11*MAX(0,③기타_가정!$E$453-DC122)*③기타_가정!$O$484/12</f>
        <v>0</v>
      </c>
      <c r="DE110" s="37" t="n">
        <f aca="false">DE11*MAX(0,③기타_가정!$E$453-DD122)*③기타_가정!$O$484/12</f>
        <v>0</v>
      </c>
      <c r="DF110" s="37" t="n">
        <f aca="false">DF11*MAX(0,③기타_가정!$E$453-DE122)*③기타_가정!$O$484/12</f>
        <v>0</v>
      </c>
      <c r="DG110" s="37" t="n">
        <f aca="false">DG11*MAX(0,③기타_가정!$E$453-DF122)*③기타_가정!$O$484/12</f>
        <v>0</v>
      </c>
      <c r="DH110" s="37" t="n">
        <f aca="false">DH11*MAX(0,③기타_가정!$E$453-DG122)*③기타_가정!$O$484/12</f>
        <v>0</v>
      </c>
      <c r="DI110" s="37" t="n">
        <f aca="false">DI11*MAX(0,③기타_가정!$E$453-DH122)*③기타_가정!$O$484/12</f>
        <v>0</v>
      </c>
      <c r="DJ110" s="37" t="n">
        <f aca="false">DJ11*MAX(0,③기타_가정!$E$453-DI122)*③기타_가정!$O$484/12</f>
        <v>0</v>
      </c>
      <c r="DK110" s="37" t="n">
        <f aca="false">DK11*MAX(0,③기타_가정!$E$453-DJ122)*③기타_가정!$O$484/12</f>
        <v>0</v>
      </c>
      <c r="DL110" s="37" t="n">
        <f aca="false">DL11*MAX(0,③기타_가정!$E$453-DK122)*③기타_가정!$O$484/12</f>
        <v>0</v>
      </c>
      <c r="DM110" s="37" t="n">
        <f aca="false">DM11*MAX(0,③기타_가정!$E$453-DL122)*③기타_가정!$O$484/12</f>
        <v>0</v>
      </c>
      <c r="DN110" s="37" t="n">
        <f aca="false">DN11*MAX(0,③기타_가정!$E$453-DM122)*③기타_가정!$O$484/12</f>
        <v>0</v>
      </c>
      <c r="DO110" s="37" t="n">
        <f aca="false">DO11*MAX(0,③기타_가정!$E$453-DN122)*③기타_가정!$O$484/12</f>
        <v>0</v>
      </c>
      <c r="DP110" s="37" t="n">
        <f aca="false">DP11*MAX(0,③기타_가정!$E$453-DO122)*③기타_가정!$O$484/12</f>
        <v>0</v>
      </c>
      <c r="DQ110" s="37" t="n">
        <f aca="false">DQ11*MAX(0,③기타_가정!$E$453-DP122)*③기타_가정!$O$484/12</f>
        <v>0</v>
      </c>
      <c r="DR110" s="37" t="n">
        <f aca="false">DR11*MAX(0,③기타_가정!$E$453-DQ122)*③기타_가정!$O$484/12</f>
        <v>0</v>
      </c>
      <c r="DS110" s="37" t="n">
        <f aca="false">DS11*MAX(0,③기타_가정!$E$453-DR122)*③기타_가정!$O$484/12</f>
        <v>0</v>
      </c>
      <c r="DT110" s="37" t="n">
        <f aca="false">DT11*MAX(0,③기타_가정!$E$453-DS122)*③기타_가정!$O$484/12</f>
        <v>0</v>
      </c>
      <c r="DU110" s="37" t="n">
        <f aca="false">DU11*MAX(0,③기타_가정!$E$453-DT122)*③기타_가정!$O$484/12</f>
        <v>0</v>
      </c>
      <c r="DV110" s="37" t="n">
        <f aca="false">DV11*MAX(0,③기타_가정!$E$453-DU122)*③기타_가정!$O$484/12</f>
        <v>0</v>
      </c>
      <c r="DW110" s="37" t="n">
        <f aca="false">DW11*MAX(0,③기타_가정!$E$453-DV122)*③기타_가정!$O$484/12</f>
        <v>0</v>
      </c>
      <c r="DX110" s="37" t="n">
        <f aca="false">DX11*MAX(0,③기타_가정!$E$453-DW122)*③기타_가정!$O$484/12</f>
        <v>0</v>
      </c>
      <c r="DY110" s="37" t="n">
        <f aca="false">DY11*MAX(0,③기타_가정!$E$453-DX122)*③기타_가정!$O$484/12</f>
        <v>0</v>
      </c>
      <c r="DZ110" s="37" t="n">
        <f aca="false">DZ11*MAX(0,③기타_가정!$E$453-DY122)*③기타_가정!$O$484/12</f>
        <v>0</v>
      </c>
      <c r="EA110" s="37" t="n">
        <f aca="false">EA11*MAX(0,③기타_가정!$E$453-DZ122)*③기타_가정!$O$484/12</f>
        <v>0</v>
      </c>
      <c r="EB110" s="37" t="n">
        <f aca="false">EB11*MAX(0,③기타_가정!$E$453-EA122)*③기타_가정!$O$484/12</f>
        <v>0</v>
      </c>
      <c r="EC110" s="37" t="n">
        <f aca="false">EC11*MAX(0,③기타_가정!$E$453-EB122)*③기타_가정!$O$484/12</f>
        <v>0</v>
      </c>
      <c r="ED110" s="37" t="n">
        <f aca="false">ED11*MAX(0,③기타_가정!$E$453-EC122)*③기타_가정!$O$484/12</f>
        <v>0</v>
      </c>
      <c r="EE110" s="37" t="n">
        <f aca="false">EE11*MAX(0,③기타_가정!$E$453-ED122)*③기타_가정!$O$484/12</f>
        <v>0</v>
      </c>
      <c r="EF110" s="37" t="n">
        <f aca="false">EF11*MAX(0,③기타_가정!$E$453-EE122)*③기타_가정!$O$484/12</f>
        <v>0</v>
      </c>
    </row>
    <row r="111" customFormat="false" ht="15" hidden="false" customHeight="false" outlineLevel="0" collapsed="false">
      <c r="A111" s="153" t="s">
        <v>650</v>
      </c>
      <c r="B111" s="278" t="s">
        <v>21</v>
      </c>
      <c r="C111" s="279" t="n">
        <f aca="false">SUM(E111:EF111)</f>
        <v>648.210538089203</v>
      </c>
      <c r="E111" s="37" t="n">
        <f aca="false">E11*MAX(0,③기타_가정!$E$454-0)*③기타_가정!$O$485/12</f>
        <v>0</v>
      </c>
      <c r="F111" s="37" t="n">
        <f aca="false">F11*MAX(0,③기타_가정!$E$454-E123)*③기타_가정!$O$485/12</f>
        <v>0</v>
      </c>
      <c r="G111" s="37" t="n">
        <f aca="false">G11*MAX(0,③기타_가정!$E$454-F123)*③기타_가정!$O$485/12</f>
        <v>0</v>
      </c>
      <c r="H111" s="37" t="n">
        <f aca="false">H11*MAX(0,③기타_가정!$E$454-G123)*③기타_가정!$O$485/12</f>
        <v>0</v>
      </c>
      <c r="I111" s="37" t="n">
        <f aca="false">I11*MAX(0,③기타_가정!$E$454-H123)*③기타_가정!$O$485/12</f>
        <v>0</v>
      </c>
      <c r="J111" s="37" t="n">
        <f aca="false">J11*MAX(0,③기타_가정!$E$454-I123)*③기타_가정!$O$485/12</f>
        <v>0</v>
      </c>
      <c r="K111" s="37" t="n">
        <f aca="false">K11*MAX(0,③기타_가정!$E$454-J123)*③기타_가정!$O$485/12</f>
        <v>0</v>
      </c>
      <c r="L111" s="37" t="n">
        <f aca="false">L11*MAX(0,③기타_가정!$E$454-K123)*③기타_가정!$O$485/12</f>
        <v>0</v>
      </c>
      <c r="M111" s="37" t="n">
        <f aca="false">M11*MAX(0,③기타_가정!$E$454-L123)*③기타_가정!$O$485/12</f>
        <v>0</v>
      </c>
      <c r="N111" s="37" t="n">
        <f aca="false">N11*MAX(0,③기타_가정!$E$454-M123)*③기타_가정!$O$485/12</f>
        <v>0</v>
      </c>
      <c r="O111" s="37" t="n">
        <f aca="false">O11*MAX(0,③기타_가정!$E$454-N123)*③기타_가정!$O$485/12</f>
        <v>0</v>
      </c>
      <c r="P111" s="37" t="n">
        <f aca="false">P11*MAX(0,③기타_가정!$E$454-O123)*③기타_가정!$O$485/12</f>
        <v>0</v>
      </c>
      <c r="Q111" s="37" t="n">
        <f aca="false">Q11*MAX(0,③기타_가정!$E$454-P123)*③기타_가정!$O$485/12</f>
        <v>0</v>
      </c>
      <c r="R111" s="37" t="n">
        <f aca="false">R11*MAX(0,③기타_가정!$E$454-Q123)*③기타_가정!$O$485/12</f>
        <v>0</v>
      </c>
      <c r="S111" s="37" t="n">
        <f aca="false">S11*MAX(0,③기타_가정!$E$454-R123)*③기타_가정!$O$485/12</f>
        <v>0</v>
      </c>
      <c r="T111" s="37" t="n">
        <f aca="false">T11*MAX(0,③기타_가정!$E$454-S123)*③기타_가정!$O$485/12</f>
        <v>0</v>
      </c>
      <c r="U111" s="37" t="n">
        <f aca="false">U11*MAX(0,③기타_가정!$E$454-T123)*③기타_가정!$O$485/12</f>
        <v>0</v>
      </c>
      <c r="V111" s="37" t="n">
        <f aca="false">V11*MAX(0,③기타_가정!$E$454-U123)*③기타_가정!$O$485/12</f>
        <v>0</v>
      </c>
      <c r="W111" s="37" t="n">
        <f aca="false">W11*MAX(0,③기타_가정!$E$454-V123)*③기타_가정!$O$485/12</f>
        <v>50.0279137380209</v>
      </c>
      <c r="X111" s="37" t="n">
        <f aca="false">X11*MAX(0,③기타_가정!$E$454-W123)*③기타_가정!$O$485/12</f>
        <v>50.0279137380209</v>
      </c>
      <c r="Y111" s="37" t="n">
        <f aca="false">Y11*MAX(0,③기타_가정!$E$454-X123)*③기타_가정!$O$485/12</f>
        <v>50.0279137380209</v>
      </c>
      <c r="Z111" s="37" t="n">
        <f aca="false">Z11*MAX(0,③기타_가정!$E$454-Y123)*③기타_가정!$O$485/12</f>
        <v>50.0279137380209</v>
      </c>
      <c r="AA111" s="37" t="n">
        <f aca="false">AA11*MAX(0,③기타_가정!$E$454-Z123)*③기타_가정!$O$485/12</f>
        <v>50.0279137380209</v>
      </c>
      <c r="AB111" s="37" t="n">
        <f aca="false">AB11*MAX(0,③기타_가정!$E$454-AA123)*③기타_가정!$O$485/12</f>
        <v>50.0279137380209</v>
      </c>
      <c r="AC111" s="37" t="n">
        <f aca="false">AC11*MAX(0,③기타_가정!$E$454-AB123)*③기타_가정!$O$485/12</f>
        <v>50.0279137380209</v>
      </c>
      <c r="AD111" s="37" t="n">
        <f aca="false">AD11*MAX(0,③기타_가정!$E$454-AC123)*③기타_가정!$O$485/12</f>
        <v>50.0279137380209</v>
      </c>
      <c r="AE111" s="37" t="n">
        <f aca="false">AE11*MAX(0,③기타_가정!$E$454-AD123)*③기타_가정!$O$485/12</f>
        <v>50.0279137380209</v>
      </c>
      <c r="AF111" s="37" t="n">
        <f aca="false">AF11*MAX(0,③기타_가정!$E$454-AE123)*③기타_가정!$O$485/12</f>
        <v>50.0279137380209</v>
      </c>
      <c r="AG111" s="37" t="n">
        <f aca="false">AG11*MAX(0,③기타_가정!$E$454-AF123)*③기타_가정!$O$485/12</f>
        <v>47.9586413584945</v>
      </c>
      <c r="AH111" s="37" t="n">
        <f aca="false">AH11*MAX(0,③기타_가정!$E$454-AG123)*③기타_가정!$O$485/12</f>
        <v>39.3941001453341</v>
      </c>
      <c r="AI111" s="37" t="n">
        <f aca="false">AI11*MAX(0,③기타_가정!$E$454-AH123)*③기타_가정!$O$485/12</f>
        <v>30.1854460455332</v>
      </c>
      <c r="AJ111" s="37" t="n">
        <f aca="false">AJ11*MAX(0,③기타_가정!$E$454-AI123)*③기타_가정!$O$485/12</f>
        <v>20.3769651242601</v>
      </c>
      <c r="AK111" s="37" t="n">
        <f aca="false">AK11*MAX(0,③기타_가정!$E$454-AJ123)*③기타_가정!$O$485/12</f>
        <v>10.0162480353719</v>
      </c>
      <c r="AL111" s="37" t="n">
        <f aca="false">AL11*MAX(0,③기타_가정!$E$454-AK123)*③기타_가정!$O$485/12</f>
        <v>0</v>
      </c>
      <c r="AM111" s="37" t="n">
        <f aca="false">AM11*MAX(0,③기타_가정!$E$454-AL123)*③기타_가정!$O$485/12</f>
        <v>0</v>
      </c>
      <c r="AN111" s="37" t="n">
        <f aca="false">AN11*MAX(0,③기타_가정!$E$454-AM123)*③기타_가정!$O$485/12</f>
        <v>0</v>
      </c>
      <c r="AO111" s="37" t="n">
        <f aca="false">AO11*MAX(0,③기타_가정!$E$454-AN123)*③기타_가정!$O$485/12</f>
        <v>0</v>
      </c>
      <c r="AP111" s="37" t="n">
        <f aca="false">AP11*MAX(0,③기타_가정!$E$454-AO123)*③기타_가정!$O$485/12</f>
        <v>0</v>
      </c>
      <c r="AQ111" s="37" t="n">
        <f aca="false">AQ11*MAX(0,③기타_가정!$E$454-AP123)*③기타_가정!$O$485/12</f>
        <v>0</v>
      </c>
      <c r="AR111" s="37" t="n">
        <f aca="false">AR11*MAX(0,③기타_가정!$E$454-AQ123)*③기타_가정!$O$485/12</f>
        <v>0</v>
      </c>
      <c r="AS111" s="37" t="n">
        <f aca="false">AS11*MAX(0,③기타_가정!$E$454-AR123)*③기타_가정!$O$485/12</f>
        <v>0</v>
      </c>
      <c r="AT111" s="37" t="n">
        <f aca="false">AT11*MAX(0,③기타_가정!$E$454-AS123)*③기타_가정!$O$485/12</f>
        <v>0</v>
      </c>
      <c r="AU111" s="37" t="n">
        <f aca="false">AU11*MAX(0,③기타_가정!$E$454-AT123)*③기타_가정!$O$485/12</f>
        <v>0</v>
      </c>
      <c r="AV111" s="37" t="n">
        <f aca="false">AV11*MAX(0,③기타_가정!$E$454-AU123)*③기타_가정!$O$485/12</f>
        <v>0</v>
      </c>
      <c r="AW111" s="37" t="n">
        <f aca="false">AW11*MAX(0,③기타_가정!$E$454-AV123)*③기타_가정!$O$485/12</f>
        <v>0</v>
      </c>
      <c r="AX111" s="37" t="n">
        <f aca="false">AX11*MAX(0,③기타_가정!$E$454-AW123)*③기타_가정!$O$485/12</f>
        <v>0</v>
      </c>
      <c r="AY111" s="37" t="n">
        <f aca="false">AY11*MAX(0,③기타_가정!$E$454-AX123)*③기타_가정!$O$485/12</f>
        <v>0</v>
      </c>
      <c r="AZ111" s="37" t="n">
        <f aca="false">AZ11*MAX(0,③기타_가정!$E$454-AY123)*③기타_가정!$O$485/12</f>
        <v>0</v>
      </c>
      <c r="BA111" s="37" t="n">
        <f aca="false">BA11*MAX(0,③기타_가정!$E$454-AZ123)*③기타_가정!$O$485/12</f>
        <v>0</v>
      </c>
      <c r="BB111" s="37" t="n">
        <f aca="false">BB11*MAX(0,③기타_가정!$E$454-BA123)*③기타_가정!$O$485/12</f>
        <v>0</v>
      </c>
      <c r="BC111" s="37" t="n">
        <f aca="false">BC11*MAX(0,③기타_가정!$E$454-BB123)*③기타_가정!$O$485/12</f>
        <v>0</v>
      </c>
      <c r="BD111" s="37" t="n">
        <f aca="false">BD11*MAX(0,③기타_가정!$E$454-BC123)*③기타_가정!$O$485/12</f>
        <v>0</v>
      </c>
      <c r="BE111" s="37" t="n">
        <f aca="false">BE11*MAX(0,③기타_가정!$E$454-BD123)*③기타_가정!$O$485/12</f>
        <v>0</v>
      </c>
      <c r="BF111" s="37" t="n">
        <f aca="false">BF11*MAX(0,③기타_가정!$E$454-BE123)*③기타_가정!$O$485/12</f>
        <v>0</v>
      </c>
      <c r="BG111" s="37" t="n">
        <f aca="false">BG11*MAX(0,③기타_가정!$E$454-BF123)*③기타_가정!$O$485/12</f>
        <v>0</v>
      </c>
      <c r="BH111" s="37" t="n">
        <f aca="false">BH11*MAX(0,③기타_가정!$E$454-BG123)*③기타_가정!$O$485/12</f>
        <v>0</v>
      </c>
      <c r="BI111" s="37" t="n">
        <f aca="false">BI11*MAX(0,③기타_가정!$E$454-BH123)*③기타_가정!$O$485/12</f>
        <v>0</v>
      </c>
      <c r="BJ111" s="37" t="n">
        <f aca="false">BJ11*MAX(0,③기타_가정!$E$454-BI123)*③기타_가정!$O$485/12</f>
        <v>0</v>
      </c>
      <c r="BK111" s="37" t="n">
        <f aca="false">BK11*MAX(0,③기타_가정!$E$454-BJ123)*③기타_가정!$O$485/12</f>
        <v>0</v>
      </c>
      <c r="BL111" s="37" t="n">
        <f aca="false">BL11*MAX(0,③기타_가정!$E$454-BK123)*③기타_가정!$O$485/12</f>
        <v>0</v>
      </c>
      <c r="BM111" s="37" t="n">
        <f aca="false">BM11*MAX(0,③기타_가정!$E$454-BL123)*③기타_가정!$O$485/12</f>
        <v>0</v>
      </c>
      <c r="BN111" s="37" t="n">
        <f aca="false">BN11*MAX(0,③기타_가정!$E$454-BM123)*③기타_가정!$O$485/12</f>
        <v>0</v>
      </c>
      <c r="BO111" s="37" t="n">
        <f aca="false">BO11*MAX(0,③기타_가정!$E$454-BN123)*③기타_가정!$O$485/12</f>
        <v>0</v>
      </c>
      <c r="BP111" s="37" t="n">
        <f aca="false">BP11*MAX(0,③기타_가정!$E$454-BO123)*③기타_가정!$O$485/12</f>
        <v>0</v>
      </c>
      <c r="BQ111" s="37" t="n">
        <f aca="false">BQ11*MAX(0,③기타_가정!$E$454-BP123)*③기타_가정!$O$485/12</f>
        <v>0</v>
      </c>
      <c r="BR111" s="37" t="n">
        <f aca="false">BR11*MAX(0,③기타_가정!$E$454-BQ123)*③기타_가정!$O$485/12</f>
        <v>0</v>
      </c>
      <c r="BS111" s="37" t="n">
        <f aca="false">BS11*MAX(0,③기타_가정!$E$454-BR123)*③기타_가정!$O$485/12</f>
        <v>0</v>
      </c>
      <c r="BT111" s="37" t="n">
        <f aca="false">BT11*MAX(0,③기타_가정!$E$454-BS123)*③기타_가정!$O$485/12</f>
        <v>0</v>
      </c>
      <c r="BU111" s="37" t="n">
        <f aca="false">BU11*MAX(0,③기타_가정!$E$454-BT123)*③기타_가정!$O$485/12</f>
        <v>0</v>
      </c>
      <c r="BV111" s="37" t="n">
        <f aca="false">BV11*MAX(0,③기타_가정!$E$454-BU123)*③기타_가정!$O$485/12</f>
        <v>0</v>
      </c>
      <c r="BW111" s="37" t="n">
        <f aca="false">BW11*MAX(0,③기타_가정!$E$454-BV123)*③기타_가정!$O$485/12</f>
        <v>0</v>
      </c>
      <c r="BX111" s="37" t="n">
        <f aca="false">BX11*MAX(0,③기타_가정!$E$454-BW123)*③기타_가정!$O$485/12</f>
        <v>0</v>
      </c>
      <c r="BY111" s="37" t="n">
        <f aca="false">BY11*MAX(0,③기타_가정!$E$454-BX123)*③기타_가정!$O$485/12</f>
        <v>0</v>
      </c>
      <c r="BZ111" s="37" t="n">
        <f aca="false">BZ11*MAX(0,③기타_가정!$E$454-BY123)*③기타_가정!$O$485/12</f>
        <v>0</v>
      </c>
      <c r="CA111" s="37" t="n">
        <f aca="false">CA11*MAX(0,③기타_가정!$E$454-BZ123)*③기타_가정!$O$485/12</f>
        <v>0</v>
      </c>
      <c r="CB111" s="37" t="n">
        <f aca="false">CB11*MAX(0,③기타_가정!$E$454-CA123)*③기타_가정!$O$485/12</f>
        <v>0</v>
      </c>
      <c r="CC111" s="37" t="n">
        <f aca="false">CC11*MAX(0,③기타_가정!$E$454-CB123)*③기타_가정!$O$485/12</f>
        <v>0</v>
      </c>
      <c r="CD111" s="37" t="n">
        <f aca="false">CD11*MAX(0,③기타_가정!$E$454-CC123)*③기타_가정!$O$485/12</f>
        <v>0</v>
      </c>
      <c r="CE111" s="37" t="n">
        <f aca="false">CE11*MAX(0,③기타_가정!$E$454-CD123)*③기타_가정!$O$485/12</f>
        <v>0</v>
      </c>
      <c r="CF111" s="37" t="n">
        <f aca="false">CF11*MAX(0,③기타_가정!$E$454-CE123)*③기타_가정!$O$485/12</f>
        <v>0</v>
      </c>
      <c r="CG111" s="37" t="n">
        <f aca="false">CG11*MAX(0,③기타_가정!$E$454-CF123)*③기타_가정!$O$485/12</f>
        <v>0</v>
      </c>
      <c r="CH111" s="37" t="n">
        <f aca="false">CH11*MAX(0,③기타_가정!$E$454-CG123)*③기타_가정!$O$485/12</f>
        <v>0</v>
      </c>
      <c r="CI111" s="37" t="n">
        <f aca="false">CI11*MAX(0,③기타_가정!$E$454-CH123)*③기타_가정!$O$485/12</f>
        <v>0</v>
      </c>
      <c r="CJ111" s="37" t="n">
        <f aca="false">CJ11*MAX(0,③기타_가정!$E$454-CI123)*③기타_가정!$O$485/12</f>
        <v>0</v>
      </c>
      <c r="CK111" s="37" t="n">
        <f aca="false">CK11*MAX(0,③기타_가정!$E$454-CJ123)*③기타_가정!$O$485/12</f>
        <v>0</v>
      </c>
      <c r="CL111" s="37" t="n">
        <f aca="false">CL11*MAX(0,③기타_가정!$E$454-CK123)*③기타_가정!$O$485/12</f>
        <v>0</v>
      </c>
      <c r="CM111" s="37" t="n">
        <f aca="false">CM11*MAX(0,③기타_가정!$E$454-CL123)*③기타_가정!$O$485/12</f>
        <v>0</v>
      </c>
      <c r="CN111" s="37" t="n">
        <f aca="false">CN11*MAX(0,③기타_가정!$E$454-CM123)*③기타_가정!$O$485/12</f>
        <v>0</v>
      </c>
      <c r="CO111" s="37" t="n">
        <f aca="false">CO11*MAX(0,③기타_가정!$E$454-CN123)*③기타_가정!$O$485/12</f>
        <v>0</v>
      </c>
      <c r="CP111" s="37" t="n">
        <f aca="false">CP11*MAX(0,③기타_가정!$E$454-CO123)*③기타_가정!$O$485/12</f>
        <v>0</v>
      </c>
      <c r="CQ111" s="37" t="n">
        <f aca="false">CQ11*MAX(0,③기타_가정!$E$454-CP123)*③기타_가정!$O$485/12</f>
        <v>0</v>
      </c>
      <c r="CR111" s="37" t="n">
        <f aca="false">CR11*MAX(0,③기타_가정!$E$454-CQ123)*③기타_가정!$O$485/12</f>
        <v>0</v>
      </c>
      <c r="CS111" s="37" t="n">
        <f aca="false">CS11*MAX(0,③기타_가정!$E$454-CR123)*③기타_가정!$O$485/12</f>
        <v>0</v>
      </c>
      <c r="CT111" s="37" t="n">
        <f aca="false">CT11*MAX(0,③기타_가정!$E$454-CS123)*③기타_가정!$O$485/12</f>
        <v>0</v>
      </c>
      <c r="CU111" s="37" t="n">
        <f aca="false">CU11*MAX(0,③기타_가정!$E$454-CT123)*③기타_가정!$O$485/12</f>
        <v>0</v>
      </c>
      <c r="CV111" s="37" t="n">
        <f aca="false">CV11*MAX(0,③기타_가정!$E$454-CU123)*③기타_가정!$O$485/12</f>
        <v>0</v>
      </c>
      <c r="CW111" s="37" t="n">
        <f aca="false">CW11*MAX(0,③기타_가정!$E$454-CV123)*③기타_가정!$O$485/12</f>
        <v>0</v>
      </c>
      <c r="CX111" s="37" t="n">
        <f aca="false">CX11*MAX(0,③기타_가정!$E$454-CW123)*③기타_가정!$O$485/12</f>
        <v>0</v>
      </c>
      <c r="CY111" s="37" t="n">
        <f aca="false">CY11*MAX(0,③기타_가정!$E$454-CX123)*③기타_가정!$O$485/12</f>
        <v>0</v>
      </c>
      <c r="CZ111" s="37" t="n">
        <f aca="false">CZ11*MAX(0,③기타_가정!$E$454-CY123)*③기타_가정!$O$485/12</f>
        <v>0</v>
      </c>
      <c r="DA111" s="37" t="n">
        <f aca="false">DA11*MAX(0,③기타_가정!$E$454-CZ123)*③기타_가정!$O$485/12</f>
        <v>0</v>
      </c>
      <c r="DB111" s="37" t="n">
        <f aca="false">DB11*MAX(0,③기타_가정!$E$454-DA123)*③기타_가정!$O$485/12</f>
        <v>0</v>
      </c>
      <c r="DC111" s="37" t="n">
        <f aca="false">DC11*MAX(0,③기타_가정!$E$454-DB123)*③기타_가정!$O$485/12</f>
        <v>0</v>
      </c>
      <c r="DD111" s="37" t="n">
        <f aca="false">DD11*MAX(0,③기타_가정!$E$454-DC123)*③기타_가정!$O$485/12</f>
        <v>0</v>
      </c>
      <c r="DE111" s="37" t="n">
        <f aca="false">DE11*MAX(0,③기타_가정!$E$454-DD123)*③기타_가정!$O$485/12</f>
        <v>0</v>
      </c>
      <c r="DF111" s="37" t="n">
        <f aca="false">DF11*MAX(0,③기타_가정!$E$454-DE123)*③기타_가정!$O$485/12</f>
        <v>0</v>
      </c>
      <c r="DG111" s="37" t="n">
        <f aca="false">DG11*MAX(0,③기타_가정!$E$454-DF123)*③기타_가정!$O$485/12</f>
        <v>0</v>
      </c>
      <c r="DH111" s="37" t="n">
        <f aca="false">DH11*MAX(0,③기타_가정!$E$454-DG123)*③기타_가정!$O$485/12</f>
        <v>0</v>
      </c>
      <c r="DI111" s="37" t="n">
        <f aca="false">DI11*MAX(0,③기타_가정!$E$454-DH123)*③기타_가정!$O$485/12</f>
        <v>0</v>
      </c>
      <c r="DJ111" s="37" t="n">
        <f aca="false">DJ11*MAX(0,③기타_가정!$E$454-DI123)*③기타_가정!$O$485/12</f>
        <v>0</v>
      </c>
      <c r="DK111" s="37" t="n">
        <f aca="false">DK11*MAX(0,③기타_가정!$E$454-DJ123)*③기타_가정!$O$485/12</f>
        <v>0</v>
      </c>
      <c r="DL111" s="37" t="n">
        <f aca="false">DL11*MAX(0,③기타_가정!$E$454-DK123)*③기타_가정!$O$485/12</f>
        <v>0</v>
      </c>
      <c r="DM111" s="37" t="n">
        <f aca="false">DM11*MAX(0,③기타_가정!$E$454-DL123)*③기타_가정!$O$485/12</f>
        <v>0</v>
      </c>
      <c r="DN111" s="37" t="n">
        <f aca="false">DN11*MAX(0,③기타_가정!$E$454-DM123)*③기타_가정!$O$485/12</f>
        <v>0</v>
      </c>
      <c r="DO111" s="37" t="n">
        <f aca="false">DO11*MAX(0,③기타_가정!$E$454-DN123)*③기타_가정!$O$485/12</f>
        <v>0</v>
      </c>
      <c r="DP111" s="37" t="n">
        <f aca="false">DP11*MAX(0,③기타_가정!$E$454-DO123)*③기타_가정!$O$485/12</f>
        <v>0</v>
      </c>
      <c r="DQ111" s="37" t="n">
        <f aca="false">DQ11*MAX(0,③기타_가정!$E$454-DP123)*③기타_가정!$O$485/12</f>
        <v>0</v>
      </c>
      <c r="DR111" s="37" t="n">
        <f aca="false">DR11*MAX(0,③기타_가정!$E$454-DQ123)*③기타_가정!$O$485/12</f>
        <v>0</v>
      </c>
      <c r="DS111" s="37" t="n">
        <f aca="false">DS11*MAX(0,③기타_가정!$E$454-DR123)*③기타_가정!$O$485/12</f>
        <v>0</v>
      </c>
      <c r="DT111" s="37" t="n">
        <f aca="false">DT11*MAX(0,③기타_가정!$E$454-DS123)*③기타_가정!$O$485/12</f>
        <v>0</v>
      </c>
      <c r="DU111" s="37" t="n">
        <f aca="false">DU11*MAX(0,③기타_가정!$E$454-DT123)*③기타_가정!$O$485/12</f>
        <v>0</v>
      </c>
      <c r="DV111" s="37" t="n">
        <f aca="false">DV11*MAX(0,③기타_가정!$E$454-DU123)*③기타_가정!$O$485/12</f>
        <v>0</v>
      </c>
      <c r="DW111" s="37" t="n">
        <f aca="false">DW11*MAX(0,③기타_가정!$E$454-DV123)*③기타_가정!$O$485/12</f>
        <v>0</v>
      </c>
      <c r="DX111" s="37" t="n">
        <f aca="false">DX11*MAX(0,③기타_가정!$E$454-DW123)*③기타_가정!$O$485/12</f>
        <v>0</v>
      </c>
      <c r="DY111" s="37" t="n">
        <f aca="false">DY11*MAX(0,③기타_가정!$E$454-DX123)*③기타_가정!$O$485/12</f>
        <v>0</v>
      </c>
      <c r="DZ111" s="37" t="n">
        <f aca="false">DZ11*MAX(0,③기타_가정!$E$454-DY123)*③기타_가정!$O$485/12</f>
        <v>0</v>
      </c>
      <c r="EA111" s="37" t="n">
        <f aca="false">EA11*MAX(0,③기타_가정!$E$454-DZ123)*③기타_가정!$O$485/12</f>
        <v>0</v>
      </c>
      <c r="EB111" s="37" t="n">
        <f aca="false">EB11*MAX(0,③기타_가정!$E$454-EA123)*③기타_가정!$O$485/12</f>
        <v>0</v>
      </c>
      <c r="EC111" s="37" t="n">
        <f aca="false">EC11*MAX(0,③기타_가정!$E$454-EB123)*③기타_가정!$O$485/12</f>
        <v>0</v>
      </c>
      <c r="ED111" s="37" t="n">
        <f aca="false">ED11*MAX(0,③기타_가정!$E$454-EC123)*③기타_가정!$O$485/12</f>
        <v>0</v>
      </c>
      <c r="EE111" s="37" t="n">
        <f aca="false">EE11*MAX(0,③기타_가정!$E$454-ED123)*③기타_가정!$O$485/12</f>
        <v>0</v>
      </c>
      <c r="EF111" s="37" t="n">
        <f aca="false">EF11*MAX(0,③기타_가정!$E$454-EE123)*③기타_가정!$O$485/12</f>
        <v>0</v>
      </c>
    </row>
    <row r="112" customFormat="false" ht="15" hidden="false" customHeight="false" outlineLevel="0" collapsed="false">
      <c r="A112" s="284" t="s">
        <v>651</v>
      </c>
      <c r="B112" s="281" t="s">
        <v>21</v>
      </c>
      <c r="C112" s="282" t="n">
        <f aca="false">SUM(E112:EF112)</f>
        <v>88773.5040538454</v>
      </c>
      <c r="D112" s="48"/>
      <c r="E112" s="283" t="n">
        <f aca="false">SUM(E103:E111)</f>
        <v>0</v>
      </c>
      <c r="F112" s="283" t="n">
        <f aca="false">SUM(F103:F111)</f>
        <v>0</v>
      </c>
      <c r="G112" s="283" t="n">
        <f aca="false">SUM(G103:G111)</f>
        <v>0</v>
      </c>
      <c r="H112" s="283" t="n">
        <f aca="false">SUM(H103:H111)</f>
        <v>0</v>
      </c>
      <c r="I112" s="283" t="n">
        <f aca="false">SUM(I103:I111)</f>
        <v>0</v>
      </c>
      <c r="J112" s="283" t="n">
        <f aca="false">SUM(J103:J111)</f>
        <v>0</v>
      </c>
      <c r="K112" s="283" t="n">
        <f aca="false">SUM(K103:K111)</f>
        <v>0</v>
      </c>
      <c r="L112" s="283" t="n">
        <f aca="false">SUM(L103:L111)</f>
        <v>0</v>
      </c>
      <c r="M112" s="283" t="n">
        <f aca="false">SUM(M103:M111)</f>
        <v>0</v>
      </c>
      <c r="N112" s="283" t="n">
        <f aca="false">SUM(N103:N111)</f>
        <v>0</v>
      </c>
      <c r="O112" s="283" t="n">
        <f aca="false">SUM(O103:O111)</f>
        <v>0</v>
      </c>
      <c r="P112" s="283" t="n">
        <f aca="false">SUM(P103:P111)</f>
        <v>0</v>
      </c>
      <c r="Q112" s="283" t="n">
        <f aca="false">SUM(Q103:Q111)</f>
        <v>0</v>
      </c>
      <c r="R112" s="283" t="n">
        <f aca="false">SUM(R103:R111)</f>
        <v>0</v>
      </c>
      <c r="S112" s="283" t="n">
        <f aca="false">SUM(S103:S111)</f>
        <v>0</v>
      </c>
      <c r="T112" s="283" t="n">
        <f aca="false">SUM(T103:T111)</f>
        <v>0</v>
      </c>
      <c r="U112" s="283" t="n">
        <f aca="false">SUM(U103:U111)</f>
        <v>0</v>
      </c>
      <c r="V112" s="283" t="n">
        <f aca="false">SUM(V103:V111)</f>
        <v>0</v>
      </c>
      <c r="W112" s="283" t="n">
        <f aca="false">SUM(W103:W111)</f>
        <v>8758.38825945744</v>
      </c>
      <c r="X112" s="283" t="n">
        <f aca="false">SUM(X103:X111)</f>
        <v>350.335530378297</v>
      </c>
      <c r="Y112" s="283" t="n">
        <f aca="false">SUM(Y103:Y111)</f>
        <v>350.335530378297</v>
      </c>
      <c r="Z112" s="283" t="n">
        <f aca="false">SUM(Z103:Z111)</f>
        <v>350.335530378297</v>
      </c>
      <c r="AA112" s="283" t="n">
        <f aca="false">SUM(AA103:AA111)</f>
        <v>350.335530378297</v>
      </c>
      <c r="AB112" s="283" t="n">
        <f aca="false">SUM(AB103:AB111)</f>
        <v>350.335530378297</v>
      </c>
      <c r="AC112" s="283" t="n">
        <f aca="false">SUM(AC103:AC111)</f>
        <v>350.335530378297</v>
      </c>
      <c r="AD112" s="283" t="n">
        <f aca="false">SUM(AD103:AD111)</f>
        <v>350.335530378297</v>
      </c>
      <c r="AE112" s="283" t="n">
        <f aca="false">SUM(AE103:AE111)</f>
        <v>350.335530378297</v>
      </c>
      <c r="AF112" s="283" t="n">
        <f aca="false">SUM(AF103:AF111)</f>
        <v>350.335530378297</v>
      </c>
      <c r="AG112" s="283" t="n">
        <f aca="false">SUM(AG103:AG111)</f>
        <v>384.685451878435</v>
      </c>
      <c r="AH112" s="283" t="n">
        <f aca="false">SUM(AH103:AH111)</f>
        <v>526.856836016898</v>
      </c>
      <c r="AI112" s="283" t="n">
        <f aca="false">SUM(AI103:AI111)</f>
        <v>679.720494073592</v>
      </c>
      <c r="AJ112" s="283" t="n">
        <f aca="false">SUM(AJ103:AJ111)</f>
        <v>842.541277366726</v>
      </c>
      <c r="AK112" s="283" t="n">
        <f aca="false">SUM(AK103:AK111)</f>
        <v>1014.52918104227</v>
      </c>
      <c r="AL112" s="283" t="n">
        <f aca="false">SUM(AL103:AL111)</f>
        <v>1192.30553841971</v>
      </c>
      <c r="AM112" s="283" t="n">
        <f aca="false">SUM(AM103:AM111)</f>
        <v>1346.11461549337</v>
      </c>
      <c r="AN112" s="283" t="n">
        <f aca="false">SUM(AN103:AN111)</f>
        <v>1505.06776725663</v>
      </c>
      <c r="AO112" s="283" t="n">
        <f aca="false">SUM(AO103:AO111)</f>
        <v>1668.36867544502</v>
      </c>
      <c r="AP112" s="283" t="n">
        <f aca="false">SUM(AP103:AP111)</f>
        <v>1668.36867544502</v>
      </c>
      <c r="AQ112" s="283" t="n">
        <f aca="false">SUM(AQ103:AQ111)</f>
        <v>1721.73298768504</v>
      </c>
      <c r="AR112" s="283" t="n">
        <f aca="false">SUM(AR103:AR111)</f>
        <v>1887.97192761525</v>
      </c>
      <c r="AS112" s="283" t="n">
        <f aca="false">SUM(AS103:AS111)</f>
        <v>2038.58065119773</v>
      </c>
      <c r="AT112" s="283" t="n">
        <f aca="false">SUM(AT103:AT111)</f>
        <v>2189.17130105946</v>
      </c>
      <c r="AU112" s="283" t="n">
        <f aca="false">SUM(AU103:AU111)</f>
        <v>2338.97698189414</v>
      </c>
      <c r="AV112" s="283" t="n">
        <f aca="false">SUM(AV103:AV111)</f>
        <v>2487.23556460414</v>
      </c>
      <c r="AW112" s="283" t="n">
        <f aca="false">SUM(AW103:AW111)</f>
        <v>2633.19395031728</v>
      </c>
      <c r="AX112" s="283" t="n">
        <f aca="false">SUM(AX103:AX111)</f>
        <v>2776.11228391235</v>
      </c>
      <c r="AY112" s="283" t="n">
        <f aca="false">SUM(AY103:AY111)</f>
        <v>2915.26809348963</v>
      </c>
      <c r="AZ112" s="283" t="n">
        <f aca="false">SUM(AZ103:AZ111)</f>
        <v>3049.96033263691</v>
      </c>
      <c r="BA112" s="283" t="n">
        <f aca="false">SUM(BA103:BA111)</f>
        <v>3179.513302885</v>
      </c>
      <c r="BB112" s="283" t="n">
        <f aca="false">SUM(BB103:BB111)</f>
        <v>3179.513302885</v>
      </c>
      <c r="BC112" s="283" t="n">
        <f aca="false">SUM(BC103:BC111)</f>
        <v>3179.513302885</v>
      </c>
      <c r="BD112" s="283" t="n">
        <f aca="false">SUM(BD103:BD111)</f>
        <v>3280.27887948524</v>
      </c>
      <c r="BE112" s="283" t="n">
        <f aca="false">SUM(BE103:BE111)</f>
        <v>3381.89971589507</v>
      </c>
      <c r="BF112" s="283" t="n">
        <f aca="false">SUM(BF103:BF111)</f>
        <v>3475.50294730918</v>
      </c>
      <c r="BG112" s="283" t="n">
        <f aca="false">SUM(BG103:BG111)</f>
        <v>3560.63793945064</v>
      </c>
      <c r="BH112" s="283" t="n">
        <f aca="false">SUM(BH103:BH111)</f>
        <v>3636.90178003639</v>
      </c>
      <c r="BI112" s="283" t="n">
        <f aca="false">SUM(BI103:BI111)</f>
        <v>3703.94153384696</v>
      </c>
      <c r="BJ112" s="283" t="n">
        <f aca="false">SUM(BJ103:BJ111)</f>
        <v>3761.45621831334</v>
      </c>
      <c r="BK112" s="283" t="n">
        <f aca="false">SUM(BK103:BK111)</f>
        <v>3809.19848857265</v>
      </c>
      <c r="BL112" s="283" t="n">
        <f aca="false">SUM(BL103:BL111)</f>
        <v>3846.97602256924</v>
      </c>
      <c r="BM112" s="283" t="n">
        <f aca="false">SUM(BM103:BM111)</f>
        <v>0</v>
      </c>
      <c r="BN112" s="283" t="n">
        <f aca="false">SUM(BN103:BN111)</f>
        <v>0</v>
      </c>
      <c r="BO112" s="283" t="n">
        <f aca="false">SUM(BO103:BO111)</f>
        <v>0</v>
      </c>
      <c r="BP112" s="283" t="n">
        <f aca="false">SUM(BP103:BP111)</f>
        <v>0</v>
      </c>
      <c r="BQ112" s="283" t="n">
        <f aca="false">SUM(BQ103:BQ111)</f>
        <v>0</v>
      </c>
      <c r="BR112" s="283" t="n">
        <f aca="false">SUM(BR103:BR111)</f>
        <v>0</v>
      </c>
      <c r="BS112" s="283" t="n">
        <f aca="false">SUM(BS103:BS111)</f>
        <v>0</v>
      </c>
      <c r="BT112" s="283" t="n">
        <f aca="false">SUM(BT103:BT111)</f>
        <v>0</v>
      </c>
      <c r="BU112" s="283" t="n">
        <f aca="false">SUM(BU103:BU111)</f>
        <v>0</v>
      </c>
      <c r="BV112" s="283" t="n">
        <f aca="false">SUM(BV103:BV111)</f>
        <v>0</v>
      </c>
      <c r="BW112" s="283" t="n">
        <f aca="false">SUM(BW103:BW111)</f>
        <v>0</v>
      </c>
      <c r="BX112" s="283" t="n">
        <f aca="false">SUM(BX103:BX111)</f>
        <v>0</v>
      </c>
      <c r="BY112" s="283" t="n">
        <f aca="false">SUM(BY103:BY111)</f>
        <v>0</v>
      </c>
      <c r="BZ112" s="283" t="n">
        <f aca="false">SUM(BZ103:BZ111)</f>
        <v>0</v>
      </c>
      <c r="CA112" s="283" t="n">
        <f aca="false">SUM(CA103:CA111)</f>
        <v>0</v>
      </c>
      <c r="CB112" s="283" t="n">
        <f aca="false">SUM(CB103:CB111)</f>
        <v>0</v>
      </c>
      <c r="CC112" s="283" t="n">
        <f aca="false">SUM(CC103:CC111)</f>
        <v>0</v>
      </c>
      <c r="CD112" s="283" t="n">
        <f aca="false">SUM(CD103:CD111)</f>
        <v>0</v>
      </c>
      <c r="CE112" s="283" t="n">
        <f aca="false">SUM(CE103:CE111)</f>
        <v>0</v>
      </c>
      <c r="CF112" s="283" t="n">
        <f aca="false">SUM(CF103:CF111)</f>
        <v>0</v>
      </c>
      <c r="CG112" s="283" t="n">
        <f aca="false">SUM(CG103:CG111)</f>
        <v>0</v>
      </c>
      <c r="CH112" s="283" t="n">
        <f aca="false">SUM(CH103:CH111)</f>
        <v>0</v>
      </c>
      <c r="CI112" s="283" t="n">
        <f aca="false">SUM(CI103:CI111)</f>
        <v>0</v>
      </c>
      <c r="CJ112" s="283" t="n">
        <f aca="false">SUM(CJ103:CJ111)</f>
        <v>0</v>
      </c>
      <c r="CK112" s="283" t="n">
        <f aca="false">SUM(CK103:CK111)</f>
        <v>0</v>
      </c>
      <c r="CL112" s="283" t="n">
        <f aca="false">SUM(CL103:CL111)</f>
        <v>0</v>
      </c>
      <c r="CM112" s="283" t="n">
        <f aca="false">SUM(CM103:CM111)</f>
        <v>0</v>
      </c>
      <c r="CN112" s="283" t="n">
        <f aca="false">SUM(CN103:CN111)</f>
        <v>0</v>
      </c>
      <c r="CO112" s="283" t="n">
        <f aca="false">SUM(CO103:CO111)</f>
        <v>0</v>
      </c>
      <c r="CP112" s="283" t="n">
        <f aca="false">SUM(CP103:CP111)</f>
        <v>0</v>
      </c>
      <c r="CQ112" s="283" t="n">
        <f aca="false">SUM(CQ103:CQ111)</f>
        <v>0</v>
      </c>
      <c r="CR112" s="283" t="n">
        <f aca="false">SUM(CR103:CR111)</f>
        <v>0</v>
      </c>
      <c r="CS112" s="283" t="n">
        <f aca="false">SUM(CS103:CS111)</f>
        <v>0</v>
      </c>
      <c r="CT112" s="283" t="n">
        <f aca="false">SUM(CT103:CT111)</f>
        <v>0</v>
      </c>
      <c r="CU112" s="283" t="n">
        <f aca="false">SUM(CU103:CU111)</f>
        <v>0</v>
      </c>
      <c r="CV112" s="283" t="n">
        <f aca="false">SUM(CV103:CV111)</f>
        <v>0</v>
      </c>
      <c r="CW112" s="283" t="n">
        <f aca="false">SUM(CW103:CW111)</f>
        <v>0</v>
      </c>
      <c r="CX112" s="283" t="n">
        <f aca="false">SUM(CX103:CX111)</f>
        <v>0</v>
      </c>
      <c r="CY112" s="283" t="n">
        <f aca="false">SUM(CY103:CY111)</f>
        <v>0</v>
      </c>
      <c r="CZ112" s="283" t="n">
        <f aca="false">SUM(CZ103:CZ111)</f>
        <v>0</v>
      </c>
      <c r="DA112" s="283" t="n">
        <f aca="false">SUM(DA103:DA111)</f>
        <v>0</v>
      </c>
      <c r="DB112" s="283" t="n">
        <f aca="false">SUM(DB103:DB111)</f>
        <v>0</v>
      </c>
      <c r="DC112" s="283" t="n">
        <f aca="false">SUM(DC103:DC111)</f>
        <v>0</v>
      </c>
      <c r="DD112" s="283" t="n">
        <f aca="false">SUM(DD103:DD111)</f>
        <v>0</v>
      </c>
      <c r="DE112" s="283" t="n">
        <f aca="false">SUM(DE103:DE111)</f>
        <v>0</v>
      </c>
      <c r="DF112" s="283" t="n">
        <f aca="false">SUM(DF103:DF111)</f>
        <v>0</v>
      </c>
      <c r="DG112" s="283" t="n">
        <f aca="false">SUM(DG103:DG111)</f>
        <v>0</v>
      </c>
      <c r="DH112" s="283" t="n">
        <f aca="false">SUM(DH103:DH111)</f>
        <v>0</v>
      </c>
      <c r="DI112" s="283" t="n">
        <f aca="false">SUM(DI103:DI111)</f>
        <v>0</v>
      </c>
      <c r="DJ112" s="283" t="n">
        <f aca="false">SUM(DJ103:DJ111)</f>
        <v>0</v>
      </c>
      <c r="DK112" s="283" t="n">
        <f aca="false">SUM(DK103:DK111)</f>
        <v>0</v>
      </c>
      <c r="DL112" s="283" t="n">
        <f aca="false">SUM(DL103:DL111)</f>
        <v>0</v>
      </c>
      <c r="DM112" s="283" t="n">
        <f aca="false">SUM(DM103:DM111)</f>
        <v>0</v>
      </c>
      <c r="DN112" s="283" t="n">
        <f aca="false">SUM(DN103:DN111)</f>
        <v>0</v>
      </c>
      <c r="DO112" s="283" t="n">
        <f aca="false">SUM(DO103:DO111)</f>
        <v>0</v>
      </c>
      <c r="DP112" s="283" t="n">
        <f aca="false">SUM(DP103:DP111)</f>
        <v>0</v>
      </c>
      <c r="DQ112" s="283" t="n">
        <f aca="false">SUM(DQ103:DQ111)</f>
        <v>0</v>
      </c>
      <c r="DR112" s="283" t="n">
        <f aca="false">SUM(DR103:DR111)</f>
        <v>0</v>
      </c>
      <c r="DS112" s="283" t="n">
        <f aca="false">SUM(DS103:DS111)</f>
        <v>0</v>
      </c>
      <c r="DT112" s="283" t="n">
        <f aca="false">SUM(DT103:DT111)</f>
        <v>0</v>
      </c>
      <c r="DU112" s="283" t="n">
        <f aca="false">SUM(DU103:DU111)</f>
        <v>0</v>
      </c>
      <c r="DV112" s="283" t="n">
        <f aca="false">SUM(DV103:DV111)</f>
        <v>0</v>
      </c>
      <c r="DW112" s="283" t="n">
        <f aca="false">SUM(DW103:DW111)</f>
        <v>0</v>
      </c>
      <c r="DX112" s="283" t="n">
        <f aca="false">SUM(DX103:DX111)</f>
        <v>0</v>
      </c>
      <c r="DY112" s="283" t="n">
        <f aca="false">SUM(DY103:DY111)</f>
        <v>0</v>
      </c>
      <c r="DZ112" s="283" t="n">
        <f aca="false">SUM(DZ103:DZ111)</f>
        <v>0</v>
      </c>
      <c r="EA112" s="283" t="n">
        <f aca="false">SUM(EA103:EA111)</f>
        <v>0</v>
      </c>
      <c r="EB112" s="283" t="n">
        <f aca="false">SUM(EB103:EB111)</f>
        <v>0</v>
      </c>
      <c r="EC112" s="283" t="n">
        <f aca="false">SUM(EC103:EC111)</f>
        <v>0</v>
      </c>
      <c r="ED112" s="283" t="n">
        <f aca="false">SUM(ED103:ED111)</f>
        <v>0</v>
      </c>
      <c r="EE112" s="283" t="n">
        <f aca="false">SUM(EE103:EE111)</f>
        <v>0</v>
      </c>
      <c r="EF112" s="283" t="n">
        <f aca="false">SUM(EF103:EF111)</f>
        <v>0</v>
      </c>
    </row>
    <row r="113" customFormat="false" ht="15" hidden="false" customHeight="false" outlineLevel="0" collapsed="false">
      <c r="A113" s="153" t="s">
        <v>652</v>
      </c>
      <c r="B113" s="278" t="s">
        <v>21</v>
      </c>
      <c r="C113" s="279" t="n">
        <f aca="false">SUM(E113:EF113)</f>
        <v>120066.99297125</v>
      </c>
      <c r="E113" s="37" t="n">
        <f aca="false">E11*MAX(0,MIN(E153,③기타_가정!$E$454-0))</f>
        <v>0</v>
      </c>
      <c r="F113" s="37" t="n">
        <f aca="false">F11*MAX(0,MIN(F153,③기타_가정!$E$454-E123))</f>
        <v>0</v>
      </c>
      <c r="G113" s="37" t="n">
        <f aca="false">G11*MAX(0,MIN(G153,③기타_가정!$E$454-F123))</f>
        <v>0</v>
      </c>
      <c r="H113" s="37" t="n">
        <f aca="false">H11*MAX(0,MIN(H153,③기타_가정!$E$454-G123))</f>
        <v>0</v>
      </c>
      <c r="I113" s="37" t="n">
        <f aca="false">I11*MAX(0,MIN(I153,③기타_가정!$E$454-H123))</f>
        <v>0</v>
      </c>
      <c r="J113" s="37" t="n">
        <f aca="false">J11*MAX(0,MIN(J153,③기타_가정!$E$454-I123))</f>
        <v>0</v>
      </c>
      <c r="K113" s="37" t="n">
        <f aca="false">K11*MAX(0,MIN(K153,③기타_가정!$E$454-J123))</f>
        <v>0</v>
      </c>
      <c r="L113" s="37" t="n">
        <f aca="false">L11*MAX(0,MIN(L153,③기타_가정!$E$454-K123))</f>
        <v>0</v>
      </c>
      <c r="M113" s="37" t="n">
        <f aca="false">M11*MAX(0,MIN(M153,③기타_가정!$E$454-L123))</f>
        <v>0</v>
      </c>
      <c r="N113" s="37" t="n">
        <f aca="false">N11*MAX(0,MIN(N153,③기타_가정!$E$454-M123))</f>
        <v>0</v>
      </c>
      <c r="O113" s="37" t="n">
        <f aca="false">O11*MAX(0,MIN(O153,③기타_가정!$E$454-N123))</f>
        <v>0</v>
      </c>
      <c r="P113" s="37" t="n">
        <f aca="false">P11*MAX(0,MIN(P153,③기타_가정!$E$454-O123))</f>
        <v>0</v>
      </c>
      <c r="Q113" s="37" t="n">
        <f aca="false">Q11*MAX(0,MIN(Q153,③기타_가정!$E$454-P123))</f>
        <v>0</v>
      </c>
      <c r="R113" s="37" t="n">
        <f aca="false">R11*MAX(0,MIN(R153,③기타_가정!$E$454-Q123))</f>
        <v>0</v>
      </c>
      <c r="S113" s="37" t="n">
        <f aca="false">S11*MAX(0,MIN(S153,③기타_가정!$E$454-R123))</f>
        <v>0</v>
      </c>
      <c r="T113" s="37" t="n">
        <f aca="false">T11*MAX(0,MIN(T153,③기타_가정!$E$454-S123))</f>
        <v>0</v>
      </c>
      <c r="U113" s="37" t="n">
        <f aca="false">U11*MAX(0,MIN(U153,③기타_가정!$E$454-T123))</f>
        <v>0</v>
      </c>
      <c r="V113" s="37" t="n">
        <f aca="false">V11*MAX(0,MIN(V153,③기타_가정!$E$454-U123))</f>
        <v>0</v>
      </c>
      <c r="W113" s="37" t="n">
        <f aca="false">W11*MAX(0,MIN(W153,③기타_가정!$E$454-V123))</f>
        <v>0</v>
      </c>
      <c r="X113" s="37" t="n">
        <f aca="false">X11*MAX(0,MIN(X153,③기타_가정!$E$454-W123))</f>
        <v>0</v>
      </c>
      <c r="Y113" s="37" t="n">
        <f aca="false">Y11*MAX(0,MIN(Y153,③기타_가정!$E$454-X123))</f>
        <v>0</v>
      </c>
      <c r="Z113" s="37" t="n">
        <f aca="false">Z11*MAX(0,MIN(Z153,③기타_가정!$E$454-Y123))</f>
        <v>0</v>
      </c>
      <c r="AA113" s="37" t="n">
        <f aca="false">AA11*MAX(0,MIN(AA153,③기타_가정!$E$454-Z123))</f>
        <v>0</v>
      </c>
      <c r="AB113" s="37" t="n">
        <f aca="false">AB11*MAX(0,MIN(AB153,③기타_가정!$E$454-AA123))</f>
        <v>0</v>
      </c>
      <c r="AC113" s="37" t="n">
        <f aca="false">AC11*MAX(0,MIN(AC153,③기타_가정!$E$454-AB123))</f>
        <v>0</v>
      </c>
      <c r="AD113" s="37" t="n">
        <f aca="false">AD11*MAX(0,MIN(AD153,③기타_가정!$E$454-AC123))</f>
        <v>0</v>
      </c>
      <c r="AE113" s="37" t="n">
        <f aca="false">AE11*MAX(0,MIN(AE153,③기타_가정!$E$454-AD123))</f>
        <v>0</v>
      </c>
      <c r="AF113" s="37" t="n">
        <f aca="false">AF11*MAX(0,MIN(AF153,③기타_가정!$E$454-AE123))</f>
        <v>4966.25371086328</v>
      </c>
      <c r="AG113" s="37" t="n">
        <f aca="false">AG11*MAX(0,MIN(AG153,③기타_가정!$E$454-AF123))</f>
        <v>20554.898911585</v>
      </c>
      <c r="AH113" s="37" t="n">
        <f aca="false">AH11*MAX(0,MIN(AH153,③기타_가정!$E$454-AG123))</f>
        <v>22100.769839522</v>
      </c>
      <c r="AI113" s="37" t="n">
        <f aca="false">AI11*MAX(0,MIN(AI153,③기타_가정!$E$454-AH123))</f>
        <v>23540.3542110555</v>
      </c>
      <c r="AJ113" s="37" t="n">
        <f aca="false">AJ11*MAX(0,MIN(AJ153,③기타_가정!$E$454-AI123))</f>
        <v>24865.7210133316</v>
      </c>
      <c r="AK113" s="37" t="n">
        <f aca="false">AK11*MAX(0,MIN(AK153,③기타_가정!$E$454-AJ123))</f>
        <v>24038.9952848926</v>
      </c>
      <c r="AL113" s="37" t="n">
        <f aca="false">AL11*MAX(0,MIN(AL153,③기타_가정!$E$454-AK123))</f>
        <v>0</v>
      </c>
      <c r="AM113" s="37" t="n">
        <f aca="false">AM11*MAX(0,MIN(AM153,③기타_가정!$E$454-AL123))</f>
        <v>0</v>
      </c>
      <c r="AN113" s="37" t="n">
        <f aca="false">AN11*MAX(0,MIN(AN153,③기타_가정!$E$454-AM123))</f>
        <v>0</v>
      </c>
      <c r="AO113" s="37" t="n">
        <f aca="false">AO11*MAX(0,MIN(AO153,③기타_가정!$E$454-AN123))</f>
        <v>0</v>
      </c>
      <c r="AP113" s="37" t="n">
        <f aca="false">AP11*MAX(0,MIN(AP153,③기타_가정!$E$454-AO123))</f>
        <v>0</v>
      </c>
      <c r="AQ113" s="37" t="n">
        <f aca="false">AQ11*MAX(0,MIN(AQ153,③기타_가정!$E$454-AP123))</f>
        <v>0</v>
      </c>
      <c r="AR113" s="37" t="n">
        <f aca="false">AR11*MAX(0,MIN(AR153,③기타_가정!$E$454-AQ123))</f>
        <v>0</v>
      </c>
      <c r="AS113" s="37" t="n">
        <f aca="false">AS11*MAX(0,MIN(AS153,③기타_가정!$E$454-AR123))</f>
        <v>0</v>
      </c>
      <c r="AT113" s="37" t="n">
        <f aca="false">AT11*MAX(0,MIN(AT153,③기타_가정!$E$454-AS123))</f>
        <v>0</v>
      </c>
      <c r="AU113" s="37" t="n">
        <f aca="false">AU11*MAX(0,MIN(AU153,③기타_가정!$E$454-AT123))</f>
        <v>0</v>
      </c>
      <c r="AV113" s="37" t="n">
        <f aca="false">AV11*MAX(0,MIN(AV153,③기타_가정!$E$454-AU123))</f>
        <v>0</v>
      </c>
      <c r="AW113" s="37" t="n">
        <f aca="false">AW11*MAX(0,MIN(AW153,③기타_가정!$E$454-AV123))</f>
        <v>0</v>
      </c>
      <c r="AX113" s="37" t="n">
        <f aca="false">AX11*MAX(0,MIN(AX153,③기타_가정!$E$454-AW123))</f>
        <v>0</v>
      </c>
      <c r="AY113" s="37" t="n">
        <f aca="false">AY11*MAX(0,MIN(AY153,③기타_가정!$E$454-AX123))</f>
        <v>0</v>
      </c>
      <c r="AZ113" s="37" t="n">
        <f aca="false">AZ11*MAX(0,MIN(AZ153,③기타_가정!$E$454-AY123))</f>
        <v>0</v>
      </c>
      <c r="BA113" s="37" t="n">
        <f aca="false">BA11*MAX(0,MIN(BA153,③기타_가정!$E$454-AZ123))</f>
        <v>0</v>
      </c>
      <c r="BB113" s="37" t="n">
        <f aca="false">BB11*MAX(0,MIN(BB153,③기타_가정!$E$454-BA123))</f>
        <v>0</v>
      </c>
      <c r="BC113" s="37" t="n">
        <f aca="false">BC11*MAX(0,MIN(BC153,③기타_가정!$E$454-BB123))</f>
        <v>0</v>
      </c>
      <c r="BD113" s="37" t="n">
        <f aca="false">BD11*MAX(0,MIN(BD153,③기타_가정!$E$454-BC123))</f>
        <v>0</v>
      </c>
      <c r="BE113" s="37" t="n">
        <f aca="false">BE11*MAX(0,MIN(BE153,③기타_가정!$E$454-BD123))</f>
        <v>0</v>
      </c>
      <c r="BF113" s="37" t="n">
        <f aca="false">BF11*MAX(0,MIN(BF153,③기타_가정!$E$454-BE123))</f>
        <v>0</v>
      </c>
      <c r="BG113" s="37" t="n">
        <f aca="false">BG11*MAX(0,MIN(BG153,③기타_가정!$E$454-BF123))</f>
        <v>0</v>
      </c>
      <c r="BH113" s="37" t="n">
        <f aca="false">BH11*MAX(0,MIN(BH153,③기타_가정!$E$454-BG123))</f>
        <v>0</v>
      </c>
      <c r="BI113" s="37" t="n">
        <f aca="false">BI11*MAX(0,MIN(BI153,③기타_가정!$E$454-BH123))</f>
        <v>0</v>
      </c>
      <c r="BJ113" s="37" t="n">
        <f aca="false">BJ11*MAX(0,MIN(BJ153,③기타_가정!$E$454-BI123))</f>
        <v>0</v>
      </c>
      <c r="BK113" s="37" t="n">
        <f aca="false">BK11*MAX(0,MIN(BK153,③기타_가정!$E$454-BJ123))</f>
        <v>0</v>
      </c>
      <c r="BL113" s="37" t="n">
        <f aca="false">BL11*MAX(0,MIN(BL153,③기타_가정!$E$454-BK123))</f>
        <v>0</v>
      </c>
      <c r="BM113" s="37" t="n">
        <f aca="false">BM11*MAX(0,MIN(BM153,③기타_가정!$E$454-BL123))</f>
        <v>0</v>
      </c>
      <c r="BN113" s="37" t="n">
        <f aca="false">BN11*MAX(0,MIN(BN153,③기타_가정!$E$454-BM123))</f>
        <v>0</v>
      </c>
      <c r="BO113" s="37" t="n">
        <f aca="false">BO11*MAX(0,MIN(BO153,③기타_가정!$E$454-BN123))</f>
        <v>0</v>
      </c>
      <c r="BP113" s="37" t="n">
        <f aca="false">BP11*MAX(0,MIN(BP153,③기타_가정!$E$454-BO123))</f>
        <v>0</v>
      </c>
      <c r="BQ113" s="37" t="n">
        <f aca="false">BQ11*MAX(0,MIN(BQ153,③기타_가정!$E$454-BP123))</f>
        <v>0</v>
      </c>
      <c r="BR113" s="37" t="n">
        <f aca="false">BR11*MAX(0,MIN(BR153,③기타_가정!$E$454-BQ123))</f>
        <v>0</v>
      </c>
      <c r="BS113" s="37" t="n">
        <f aca="false">BS11*MAX(0,MIN(BS153,③기타_가정!$E$454-BR123))</f>
        <v>0</v>
      </c>
      <c r="BT113" s="37" t="n">
        <f aca="false">BT11*MAX(0,MIN(BT153,③기타_가정!$E$454-BS123))</f>
        <v>0</v>
      </c>
      <c r="BU113" s="37" t="n">
        <f aca="false">BU11*MAX(0,MIN(BU153,③기타_가정!$E$454-BT123))</f>
        <v>0</v>
      </c>
      <c r="BV113" s="37" t="n">
        <f aca="false">BV11*MAX(0,MIN(BV153,③기타_가정!$E$454-BU123))</f>
        <v>0</v>
      </c>
      <c r="BW113" s="37" t="n">
        <f aca="false">BW11*MAX(0,MIN(BW153,③기타_가정!$E$454-BV123))</f>
        <v>0</v>
      </c>
      <c r="BX113" s="37" t="n">
        <f aca="false">BX11*MAX(0,MIN(BX153,③기타_가정!$E$454-BW123))</f>
        <v>0</v>
      </c>
      <c r="BY113" s="37" t="n">
        <f aca="false">BY11*MAX(0,MIN(BY153,③기타_가정!$E$454-BX123))</f>
        <v>0</v>
      </c>
      <c r="BZ113" s="37" t="n">
        <f aca="false">BZ11*MAX(0,MIN(BZ153,③기타_가정!$E$454-BY123))</f>
        <v>0</v>
      </c>
      <c r="CA113" s="37" t="n">
        <f aca="false">CA11*MAX(0,MIN(CA153,③기타_가정!$E$454-BZ123))</f>
        <v>0</v>
      </c>
      <c r="CB113" s="37" t="n">
        <f aca="false">CB11*MAX(0,MIN(CB153,③기타_가정!$E$454-CA123))</f>
        <v>0</v>
      </c>
      <c r="CC113" s="37" t="n">
        <f aca="false">CC11*MAX(0,MIN(CC153,③기타_가정!$E$454-CB123))</f>
        <v>0</v>
      </c>
      <c r="CD113" s="37" t="n">
        <f aca="false">CD11*MAX(0,MIN(CD153,③기타_가정!$E$454-CC123))</f>
        <v>0</v>
      </c>
      <c r="CE113" s="37" t="n">
        <f aca="false">CE11*MAX(0,MIN(CE153,③기타_가정!$E$454-CD123))</f>
        <v>0</v>
      </c>
      <c r="CF113" s="37" t="n">
        <f aca="false">CF11*MAX(0,MIN(CF153,③기타_가정!$E$454-CE123))</f>
        <v>0</v>
      </c>
      <c r="CG113" s="37" t="n">
        <f aca="false">CG11*MAX(0,MIN(CG153,③기타_가정!$E$454-CF123))</f>
        <v>0</v>
      </c>
      <c r="CH113" s="37" t="n">
        <f aca="false">CH11*MAX(0,MIN(CH153,③기타_가정!$E$454-CG123))</f>
        <v>0</v>
      </c>
      <c r="CI113" s="37" t="n">
        <f aca="false">CI11*MAX(0,MIN(CI153,③기타_가정!$E$454-CH123))</f>
        <v>0</v>
      </c>
      <c r="CJ113" s="37" t="n">
        <f aca="false">CJ11*MAX(0,MIN(CJ153,③기타_가정!$E$454-CI123))</f>
        <v>0</v>
      </c>
      <c r="CK113" s="37" t="n">
        <f aca="false">CK11*MAX(0,MIN(CK153,③기타_가정!$E$454-CJ123))</f>
        <v>0</v>
      </c>
      <c r="CL113" s="37" t="n">
        <f aca="false">CL11*MAX(0,MIN(CL153,③기타_가정!$E$454-CK123))</f>
        <v>0</v>
      </c>
      <c r="CM113" s="37" t="n">
        <f aca="false">CM11*MAX(0,MIN(CM153,③기타_가정!$E$454-CL123))</f>
        <v>0</v>
      </c>
      <c r="CN113" s="37" t="n">
        <f aca="false">CN11*MAX(0,MIN(CN153,③기타_가정!$E$454-CM123))</f>
        <v>0</v>
      </c>
      <c r="CO113" s="37" t="n">
        <f aca="false">CO11*MAX(0,MIN(CO153,③기타_가정!$E$454-CN123))</f>
        <v>0</v>
      </c>
      <c r="CP113" s="37" t="n">
        <f aca="false">CP11*MAX(0,MIN(CP153,③기타_가정!$E$454-CO123))</f>
        <v>0</v>
      </c>
      <c r="CQ113" s="37" t="n">
        <f aca="false">CQ11*MAX(0,MIN(CQ153,③기타_가정!$E$454-CP123))</f>
        <v>0</v>
      </c>
      <c r="CR113" s="37" t="n">
        <f aca="false">CR11*MAX(0,MIN(CR153,③기타_가정!$E$454-CQ123))</f>
        <v>0</v>
      </c>
      <c r="CS113" s="37" t="n">
        <f aca="false">CS11*MAX(0,MIN(CS153,③기타_가정!$E$454-CR123))</f>
        <v>0</v>
      </c>
      <c r="CT113" s="37" t="n">
        <f aca="false">CT11*MAX(0,MIN(CT153,③기타_가정!$E$454-CS123))</f>
        <v>0</v>
      </c>
      <c r="CU113" s="37" t="n">
        <f aca="false">CU11*MAX(0,MIN(CU153,③기타_가정!$E$454-CT123))</f>
        <v>0</v>
      </c>
      <c r="CV113" s="37" t="n">
        <f aca="false">CV11*MAX(0,MIN(CV153,③기타_가정!$E$454-CU123))</f>
        <v>0</v>
      </c>
      <c r="CW113" s="37" t="n">
        <f aca="false">CW11*MAX(0,MIN(CW153,③기타_가정!$E$454-CV123))</f>
        <v>0</v>
      </c>
      <c r="CX113" s="37" t="n">
        <f aca="false">CX11*MAX(0,MIN(CX153,③기타_가정!$E$454-CW123))</f>
        <v>0</v>
      </c>
      <c r="CY113" s="37" t="n">
        <f aca="false">CY11*MAX(0,MIN(CY153,③기타_가정!$E$454-CX123))</f>
        <v>0</v>
      </c>
      <c r="CZ113" s="37" t="n">
        <f aca="false">CZ11*MAX(0,MIN(CZ153,③기타_가정!$E$454-CY123))</f>
        <v>0</v>
      </c>
      <c r="DA113" s="37" t="n">
        <f aca="false">DA11*MAX(0,MIN(DA153,③기타_가정!$E$454-CZ123))</f>
        <v>0</v>
      </c>
      <c r="DB113" s="37" t="n">
        <f aca="false">DB11*MAX(0,MIN(DB153,③기타_가정!$E$454-DA123))</f>
        <v>0</v>
      </c>
      <c r="DC113" s="37" t="n">
        <f aca="false">DC11*MAX(0,MIN(DC153,③기타_가정!$E$454-DB123))</f>
        <v>0</v>
      </c>
      <c r="DD113" s="37" t="n">
        <f aca="false">DD11*MAX(0,MIN(DD153,③기타_가정!$E$454-DC123))</f>
        <v>0</v>
      </c>
      <c r="DE113" s="37" t="n">
        <f aca="false">DE11*MAX(0,MIN(DE153,③기타_가정!$E$454-DD123))</f>
        <v>0</v>
      </c>
      <c r="DF113" s="37" t="n">
        <f aca="false">DF11*MAX(0,MIN(DF153,③기타_가정!$E$454-DE123))</f>
        <v>0</v>
      </c>
      <c r="DG113" s="37" t="n">
        <f aca="false">DG11*MAX(0,MIN(DG153,③기타_가정!$E$454-DF123))</f>
        <v>0</v>
      </c>
      <c r="DH113" s="37" t="n">
        <f aca="false">DH11*MAX(0,MIN(DH153,③기타_가정!$E$454-DG123))</f>
        <v>0</v>
      </c>
      <c r="DI113" s="37" t="n">
        <f aca="false">DI11*MAX(0,MIN(DI153,③기타_가정!$E$454-DH123))</f>
        <v>0</v>
      </c>
      <c r="DJ113" s="37" t="n">
        <f aca="false">DJ11*MAX(0,MIN(DJ153,③기타_가정!$E$454-DI123))</f>
        <v>0</v>
      </c>
      <c r="DK113" s="37" t="n">
        <f aca="false">DK11*MAX(0,MIN(DK153,③기타_가정!$E$454-DJ123))</f>
        <v>0</v>
      </c>
      <c r="DL113" s="37" t="n">
        <f aca="false">DL11*MAX(0,MIN(DL153,③기타_가정!$E$454-DK123))</f>
        <v>0</v>
      </c>
      <c r="DM113" s="37" t="n">
        <f aca="false">DM11*MAX(0,MIN(DM153,③기타_가정!$E$454-DL123))</f>
        <v>0</v>
      </c>
      <c r="DN113" s="37" t="n">
        <f aca="false">DN11*MAX(0,MIN(DN153,③기타_가정!$E$454-DM123))</f>
        <v>0</v>
      </c>
      <c r="DO113" s="37" t="n">
        <f aca="false">DO11*MAX(0,MIN(DO153,③기타_가정!$E$454-DN123))</f>
        <v>0</v>
      </c>
      <c r="DP113" s="37" t="n">
        <f aca="false">DP11*MAX(0,MIN(DP153,③기타_가정!$E$454-DO123))</f>
        <v>0</v>
      </c>
      <c r="DQ113" s="37" t="n">
        <f aca="false">DQ11*MAX(0,MIN(DQ153,③기타_가정!$E$454-DP123))</f>
        <v>0</v>
      </c>
      <c r="DR113" s="37" t="n">
        <f aca="false">DR11*MAX(0,MIN(DR153,③기타_가정!$E$454-DQ123))</f>
        <v>0</v>
      </c>
      <c r="DS113" s="37" t="n">
        <f aca="false">DS11*MAX(0,MIN(DS153,③기타_가정!$E$454-DR123))</f>
        <v>0</v>
      </c>
      <c r="DT113" s="37" t="n">
        <f aca="false">DT11*MAX(0,MIN(DT153,③기타_가정!$E$454-DS123))</f>
        <v>0</v>
      </c>
      <c r="DU113" s="37" t="n">
        <f aca="false">DU11*MAX(0,MIN(DU153,③기타_가정!$E$454-DT123))</f>
        <v>0</v>
      </c>
      <c r="DV113" s="37" t="n">
        <f aca="false">DV11*MAX(0,MIN(DV153,③기타_가정!$E$454-DU123))</f>
        <v>0</v>
      </c>
      <c r="DW113" s="37" t="n">
        <f aca="false">DW11*MAX(0,MIN(DW153,③기타_가정!$E$454-DV123))</f>
        <v>0</v>
      </c>
      <c r="DX113" s="37" t="n">
        <f aca="false">DX11*MAX(0,MIN(DX153,③기타_가정!$E$454-DW123))</f>
        <v>0</v>
      </c>
      <c r="DY113" s="37" t="n">
        <f aca="false">DY11*MAX(0,MIN(DY153,③기타_가정!$E$454-DX123))</f>
        <v>0</v>
      </c>
      <c r="DZ113" s="37" t="n">
        <f aca="false">DZ11*MAX(0,MIN(DZ153,③기타_가정!$E$454-DY123))</f>
        <v>0</v>
      </c>
      <c r="EA113" s="37" t="n">
        <f aca="false">EA11*MAX(0,MIN(EA153,③기타_가정!$E$454-DZ123))</f>
        <v>0</v>
      </c>
      <c r="EB113" s="37" t="n">
        <f aca="false">EB11*MAX(0,MIN(EB153,③기타_가정!$E$454-EA123))</f>
        <v>0</v>
      </c>
      <c r="EC113" s="37" t="n">
        <f aca="false">EC11*MAX(0,MIN(EC153,③기타_가정!$E$454-EB123))</f>
        <v>0</v>
      </c>
      <c r="ED113" s="37" t="n">
        <f aca="false">ED11*MAX(0,MIN(ED153,③기타_가정!$E$454-EC123))</f>
        <v>0</v>
      </c>
      <c r="EE113" s="37" t="n">
        <f aca="false">EE11*MAX(0,MIN(EE153,③기타_가정!$E$454-ED123))</f>
        <v>0</v>
      </c>
      <c r="EF113" s="37" t="n">
        <f aca="false">EF11*MAX(0,MIN(EF153,③기타_가정!$E$454-EE123))</f>
        <v>0</v>
      </c>
    </row>
    <row r="114" customFormat="false" ht="15" hidden="false" customHeight="false" outlineLevel="0" collapsed="false">
      <c r="A114" s="153" t="s">
        <v>653</v>
      </c>
      <c r="B114" s="278" t="s">
        <v>21</v>
      </c>
      <c r="C114" s="279" t="n">
        <f aca="false">SUM(E114:EF114)</f>
        <v>120151.073498541</v>
      </c>
      <c r="E114" s="37" t="n">
        <f aca="false">E11*MAX(0,MIN(E153-E113,③기타_가정!$E$453-0))</f>
        <v>0</v>
      </c>
      <c r="F114" s="37" t="n">
        <f aca="false">F11*MAX(0,MIN(F153-F113,③기타_가정!$E$453-E122))</f>
        <v>0</v>
      </c>
      <c r="G114" s="37" t="n">
        <f aca="false">G11*MAX(0,MIN(G153-G113,③기타_가정!$E$453-F122))</f>
        <v>0</v>
      </c>
      <c r="H114" s="37" t="n">
        <f aca="false">H11*MAX(0,MIN(H153-H113,③기타_가정!$E$453-G122))</f>
        <v>0</v>
      </c>
      <c r="I114" s="37" t="n">
        <f aca="false">I11*MAX(0,MIN(I153-I113,③기타_가정!$E$453-H122))</f>
        <v>0</v>
      </c>
      <c r="J114" s="37" t="n">
        <f aca="false">J11*MAX(0,MIN(J153-J113,③기타_가정!$E$453-I122))</f>
        <v>0</v>
      </c>
      <c r="K114" s="37" t="n">
        <f aca="false">K11*MAX(0,MIN(K153-K113,③기타_가정!$E$453-J122))</f>
        <v>0</v>
      </c>
      <c r="L114" s="37" t="n">
        <f aca="false">L11*MAX(0,MIN(L153-L113,③기타_가정!$E$453-K122))</f>
        <v>0</v>
      </c>
      <c r="M114" s="37" t="n">
        <f aca="false">M11*MAX(0,MIN(M153-M113,③기타_가정!$E$453-L122))</f>
        <v>0</v>
      </c>
      <c r="N114" s="37" t="n">
        <f aca="false">N11*MAX(0,MIN(N153-N113,③기타_가정!$E$453-M122))</f>
        <v>0</v>
      </c>
      <c r="O114" s="37" t="n">
        <f aca="false">O11*MAX(0,MIN(O153-O113,③기타_가정!$E$453-N122))</f>
        <v>0</v>
      </c>
      <c r="P114" s="37" t="n">
        <f aca="false">P11*MAX(0,MIN(P153-P113,③기타_가정!$E$453-O122))</f>
        <v>0</v>
      </c>
      <c r="Q114" s="37" t="n">
        <f aca="false">Q11*MAX(0,MIN(Q153-Q113,③기타_가정!$E$453-P122))</f>
        <v>0</v>
      </c>
      <c r="R114" s="37" t="n">
        <f aca="false">R11*MAX(0,MIN(R153-R113,③기타_가정!$E$453-Q122))</f>
        <v>0</v>
      </c>
      <c r="S114" s="37" t="n">
        <f aca="false">S11*MAX(0,MIN(S153-S113,③기타_가정!$E$453-R122))</f>
        <v>0</v>
      </c>
      <c r="T114" s="37" t="n">
        <f aca="false">T11*MAX(0,MIN(T153-T113,③기타_가정!$E$453-S122))</f>
        <v>0</v>
      </c>
      <c r="U114" s="37" t="n">
        <f aca="false">U11*MAX(0,MIN(U153-U113,③기타_가정!$E$453-T122))</f>
        <v>0</v>
      </c>
      <c r="V114" s="37" t="n">
        <f aca="false">V11*MAX(0,MIN(V153-V113,③기타_가정!$E$453-U122))</f>
        <v>0</v>
      </c>
      <c r="W114" s="37" t="n">
        <f aca="false">W11*MAX(0,MIN(W153-W113,③기타_가정!$E$453-V122))</f>
        <v>0</v>
      </c>
      <c r="X114" s="37" t="n">
        <f aca="false">X11*MAX(0,MIN(X153-X113,③기타_가정!$E$453-W122))</f>
        <v>0</v>
      </c>
      <c r="Y114" s="37" t="n">
        <f aca="false">Y11*MAX(0,MIN(Y153-Y113,③기타_가정!$E$453-X122))</f>
        <v>0</v>
      </c>
      <c r="Z114" s="37" t="n">
        <f aca="false">Z11*MAX(0,MIN(Z153-Z113,③기타_가정!$E$453-Y122))</f>
        <v>0</v>
      </c>
      <c r="AA114" s="37" t="n">
        <f aca="false">AA11*MAX(0,MIN(AA153-AA113,③기타_가정!$E$453-Z122))</f>
        <v>0</v>
      </c>
      <c r="AB114" s="37" t="n">
        <f aca="false">AB11*MAX(0,MIN(AB153-AB113,③기타_가정!$E$453-AA122))</f>
        <v>0</v>
      </c>
      <c r="AC114" s="37" t="n">
        <f aca="false">AC11*MAX(0,MIN(AC153-AC113,③기타_가정!$E$453-AB122))</f>
        <v>0</v>
      </c>
      <c r="AD114" s="37" t="n">
        <f aca="false">AD11*MAX(0,MIN(AD153-AD113,③기타_가정!$E$453-AC122))</f>
        <v>0</v>
      </c>
      <c r="AE114" s="37" t="n">
        <f aca="false">AE11*MAX(0,MIN(AE153-AE113,③기타_가정!$E$453-AD122))</f>
        <v>0</v>
      </c>
      <c r="AF114" s="37" t="n">
        <f aca="false">AF11*MAX(0,MIN(AF153-AF113,③기타_가정!$E$453-AE122))</f>
        <v>0</v>
      </c>
      <c r="AG114" s="37" t="n">
        <f aca="false">AG11*MAX(0,MIN(AG153-AG113,③기타_가정!$E$453-AF122))</f>
        <v>0</v>
      </c>
      <c r="AH114" s="37" t="n">
        <f aca="false">AH11*MAX(0,MIN(AH153-AH113,③기타_가정!$E$453-AG122))</f>
        <v>0</v>
      </c>
      <c r="AI114" s="37" t="n">
        <f aca="false">AI11*MAX(0,MIN(AI153-AI113,③기타_가정!$E$453-AH122))</f>
        <v>0</v>
      </c>
      <c r="AJ114" s="37" t="n">
        <f aca="false">AJ11*MAX(0,MIN(AJ153-AJ113,③기타_가정!$E$453-AI122))</f>
        <v>0</v>
      </c>
      <c r="AK114" s="37" t="n">
        <f aca="false">AK11*MAX(0,MIN(AK153-AK113,③기타_가정!$E$453-AJ122))</f>
        <v>2030.58352769339</v>
      </c>
      <c r="AL114" s="37" t="n">
        <f aca="false">AL11*MAX(0,MIN(AL153-AL113,③기타_가정!$E$453-AK122))</f>
        <v>27142.7783071166</v>
      </c>
      <c r="AM114" s="37" t="n">
        <f aca="false">AM11*MAX(0,MIN(AM153-AM113,③기타_가정!$E$453-AL122))</f>
        <v>28050.5561935175</v>
      </c>
      <c r="AN114" s="37" t="n">
        <f aca="false">AN11*MAX(0,MIN(AN153-AN113,③기타_가정!$E$453-AM122))</f>
        <v>28817.807327362</v>
      </c>
      <c r="AO114" s="37" t="n">
        <f aca="false">AO11*MAX(0,MIN(AO153-AO113,③기타_가정!$E$453-AN122))</f>
        <v>0</v>
      </c>
      <c r="AP114" s="37" t="n">
        <f aca="false">AP11*MAX(0,MIN(AP153-AP113,③기타_가정!$E$453-AO122))</f>
        <v>9417.23157176867</v>
      </c>
      <c r="AQ114" s="37" t="n">
        <f aca="false">AQ11*MAX(0,MIN(AQ153-AQ113,③기타_가정!$E$453-AP122))</f>
        <v>24692.1165710827</v>
      </c>
      <c r="AR114" s="37" t="n">
        <f aca="false">AR11*MAX(0,MIN(AR153-AR113,③기타_가정!$E$453-AQ122))</f>
        <v>0</v>
      </c>
      <c r="AS114" s="37" t="n">
        <f aca="false">AS11*MAX(0,MIN(AS153-AS113,③기타_가정!$E$453-AR122))</f>
        <v>0</v>
      </c>
      <c r="AT114" s="37" t="n">
        <f aca="false">AT11*MAX(0,MIN(AT153-AT113,③기타_가정!$E$453-AS122))</f>
        <v>0</v>
      </c>
      <c r="AU114" s="37" t="n">
        <f aca="false">AU11*MAX(0,MIN(AU153-AU113,③기타_가정!$E$453-AT122))</f>
        <v>0</v>
      </c>
      <c r="AV114" s="37" t="n">
        <f aca="false">AV11*MAX(0,MIN(AV153-AV113,③기타_가정!$E$453-AU122))</f>
        <v>0</v>
      </c>
      <c r="AW114" s="37" t="n">
        <f aca="false">AW11*MAX(0,MIN(AW153-AW113,③기타_가정!$E$453-AV122))</f>
        <v>0</v>
      </c>
      <c r="AX114" s="37" t="n">
        <f aca="false">AX11*MAX(0,MIN(AX153-AX113,③기타_가정!$E$453-AW122))</f>
        <v>0</v>
      </c>
      <c r="AY114" s="37" t="n">
        <f aca="false">AY11*MAX(0,MIN(AY153-AY113,③기타_가정!$E$453-AX122))</f>
        <v>0</v>
      </c>
      <c r="AZ114" s="37" t="n">
        <f aca="false">AZ11*MAX(0,MIN(AZ153-AZ113,③기타_가정!$E$453-AY122))</f>
        <v>0</v>
      </c>
      <c r="BA114" s="37" t="n">
        <f aca="false">BA11*MAX(0,MIN(BA153-BA113,③기타_가정!$E$453-AZ122))</f>
        <v>0</v>
      </c>
      <c r="BB114" s="37" t="n">
        <f aca="false">BB11*MAX(0,MIN(BB153-BB113,③기타_가정!$E$453-BA122))</f>
        <v>0</v>
      </c>
      <c r="BC114" s="37" t="n">
        <f aca="false">BC11*MAX(0,MIN(BC153-BC113,③기타_가정!$E$453-BB122))</f>
        <v>0</v>
      </c>
      <c r="BD114" s="37" t="n">
        <f aca="false">BD11*MAX(0,MIN(BD153-BD113,③기타_가정!$E$453-BC122))</f>
        <v>0</v>
      </c>
      <c r="BE114" s="37" t="n">
        <f aca="false">BE11*MAX(0,MIN(BE153-BE113,③기타_가정!$E$453-BD122))</f>
        <v>0</v>
      </c>
      <c r="BF114" s="37" t="n">
        <f aca="false">BF11*MAX(0,MIN(BF153-BF113,③기타_가정!$E$453-BE122))</f>
        <v>0</v>
      </c>
      <c r="BG114" s="37" t="n">
        <f aca="false">BG11*MAX(0,MIN(BG153-BG113,③기타_가정!$E$453-BF122))</f>
        <v>0</v>
      </c>
      <c r="BH114" s="37" t="n">
        <f aca="false">BH11*MAX(0,MIN(BH153-BH113,③기타_가정!$E$453-BG122))</f>
        <v>0</v>
      </c>
      <c r="BI114" s="37" t="n">
        <f aca="false">BI11*MAX(0,MIN(BI153-BI113,③기타_가정!$E$453-BH122))</f>
        <v>0</v>
      </c>
      <c r="BJ114" s="37" t="n">
        <f aca="false">BJ11*MAX(0,MIN(BJ153-BJ113,③기타_가정!$E$453-BI122))</f>
        <v>0</v>
      </c>
      <c r="BK114" s="37" t="n">
        <f aca="false">BK11*MAX(0,MIN(BK153-BK113,③기타_가정!$E$453-BJ122))</f>
        <v>0</v>
      </c>
      <c r="BL114" s="37" t="n">
        <f aca="false">BL11*MAX(0,MIN(BL153-BL113,③기타_가정!$E$453-BK122))</f>
        <v>0</v>
      </c>
      <c r="BM114" s="37" t="n">
        <f aca="false">BM11*MAX(0,MIN(BM153-BM113,③기타_가정!$E$453-BL122))</f>
        <v>0</v>
      </c>
      <c r="BN114" s="37" t="n">
        <f aca="false">BN11*MAX(0,MIN(BN153-BN113,③기타_가정!$E$453-BM122))</f>
        <v>0</v>
      </c>
      <c r="BO114" s="37" t="n">
        <f aca="false">BO11*MAX(0,MIN(BO153-BO113,③기타_가정!$E$453-BN122))</f>
        <v>0</v>
      </c>
      <c r="BP114" s="37" t="n">
        <f aca="false">BP11*MAX(0,MIN(BP153-BP113,③기타_가정!$E$453-BO122))</f>
        <v>0</v>
      </c>
      <c r="BQ114" s="37" t="n">
        <f aca="false">BQ11*MAX(0,MIN(BQ153-BQ113,③기타_가정!$E$453-BP122))</f>
        <v>0</v>
      </c>
      <c r="BR114" s="37" t="n">
        <f aca="false">BR11*MAX(0,MIN(BR153-BR113,③기타_가정!$E$453-BQ122))</f>
        <v>0</v>
      </c>
      <c r="BS114" s="37" t="n">
        <f aca="false">BS11*MAX(0,MIN(BS153-BS113,③기타_가정!$E$453-BR122))</f>
        <v>0</v>
      </c>
      <c r="BT114" s="37" t="n">
        <f aca="false">BT11*MAX(0,MIN(BT153-BT113,③기타_가정!$E$453-BS122))</f>
        <v>0</v>
      </c>
      <c r="BU114" s="37" t="n">
        <f aca="false">BU11*MAX(0,MIN(BU153-BU113,③기타_가정!$E$453-BT122))</f>
        <v>0</v>
      </c>
      <c r="BV114" s="37" t="n">
        <f aca="false">BV11*MAX(0,MIN(BV153-BV113,③기타_가정!$E$453-BU122))</f>
        <v>0</v>
      </c>
      <c r="BW114" s="37" t="n">
        <f aca="false">BW11*MAX(0,MIN(BW153-BW113,③기타_가정!$E$453-BV122))</f>
        <v>0</v>
      </c>
      <c r="BX114" s="37" t="n">
        <f aca="false">BX11*MAX(0,MIN(BX153-BX113,③기타_가정!$E$453-BW122))</f>
        <v>0</v>
      </c>
      <c r="BY114" s="37" t="n">
        <f aca="false">BY11*MAX(0,MIN(BY153-BY113,③기타_가정!$E$453-BX122))</f>
        <v>0</v>
      </c>
      <c r="BZ114" s="37" t="n">
        <f aca="false">BZ11*MAX(0,MIN(BZ153-BZ113,③기타_가정!$E$453-BY122))</f>
        <v>0</v>
      </c>
      <c r="CA114" s="37" t="n">
        <f aca="false">CA11*MAX(0,MIN(CA153-CA113,③기타_가정!$E$453-BZ122))</f>
        <v>0</v>
      </c>
      <c r="CB114" s="37" t="n">
        <f aca="false">CB11*MAX(0,MIN(CB153-CB113,③기타_가정!$E$453-CA122))</f>
        <v>0</v>
      </c>
      <c r="CC114" s="37" t="n">
        <f aca="false">CC11*MAX(0,MIN(CC153-CC113,③기타_가정!$E$453-CB122))</f>
        <v>0</v>
      </c>
      <c r="CD114" s="37" t="n">
        <f aca="false">CD11*MAX(0,MIN(CD153-CD113,③기타_가정!$E$453-CC122))</f>
        <v>0</v>
      </c>
      <c r="CE114" s="37" t="n">
        <f aca="false">CE11*MAX(0,MIN(CE153-CE113,③기타_가정!$E$453-CD122))</f>
        <v>0</v>
      </c>
      <c r="CF114" s="37" t="n">
        <f aca="false">CF11*MAX(0,MIN(CF153-CF113,③기타_가정!$E$453-CE122))</f>
        <v>0</v>
      </c>
      <c r="CG114" s="37" t="n">
        <f aca="false">CG11*MAX(0,MIN(CG153-CG113,③기타_가정!$E$453-CF122))</f>
        <v>0</v>
      </c>
      <c r="CH114" s="37" t="n">
        <f aca="false">CH11*MAX(0,MIN(CH153-CH113,③기타_가정!$E$453-CG122))</f>
        <v>0</v>
      </c>
      <c r="CI114" s="37" t="n">
        <f aca="false">CI11*MAX(0,MIN(CI153-CI113,③기타_가정!$E$453-CH122))</f>
        <v>0</v>
      </c>
      <c r="CJ114" s="37" t="n">
        <f aca="false">CJ11*MAX(0,MIN(CJ153-CJ113,③기타_가정!$E$453-CI122))</f>
        <v>0</v>
      </c>
      <c r="CK114" s="37" t="n">
        <f aca="false">CK11*MAX(0,MIN(CK153-CK113,③기타_가정!$E$453-CJ122))</f>
        <v>0</v>
      </c>
      <c r="CL114" s="37" t="n">
        <f aca="false">CL11*MAX(0,MIN(CL153-CL113,③기타_가정!$E$453-CK122))</f>
        <v>0</v>
      </c>
      <c r="CM114" s="37" t="n">
        <f aca="false">CM11*MAX(0,MIN(CM153-CM113,③기타_가정!$E$453-CL122))</f>
        <v>0</v>
      </c>
      <c r="CN114" s="37" t="n">
        <f aca="false">CN11*MAX(0,MIN(CN153-CN113,③기타_가정!$E$453-CM122))</f>
        <v>0</v>
      </c>
      <c r="CO114" s="37" t="n">
        <f aca="false">CO11*MAX(0,MIN(CO153-CO113,③기타_가정!$E$453-CN122))</f>
        <v>0</v>
      </c>
      <c r="CP114" s="37" t="n">
        <f aca="false">CP11*MAX(0,MIN(CP153-CP113,③기타_가정!$E$453-CO122))</f>
        <v>0</v>
      </c>
      <c r="CQ114" s="37" t="n">
        <f aca="false">CQ11*MAX(0,MIN(CQ153-CQ113,③기타_가정!$E$453-CP122))</f>
        <v>0</v>
      </c>
      <c r="CR114" s="37" t="n">
        <f aca="false">CR11*MAX(0,MIN(CR153-CR113,③기타_가정!$E$453-CQ122))</f>
        <v>0</v>
      </c>
      <c r="CS114" s="37" t="n">
        <f aca="false">CS11*MAX(0,MIN(CS153-CS113,③기타_가정!$E$453-CR122))</f>
        <v>0</v>
      </c>
      <c r="CT114" s="37" t="n">
        <f aca="false">CT11*MAX(0,MIN(CT153-CT113,③기타_가정!$E$453-CS122))</f>
        <v>0</v>
      </c>
      <c r="CU114" s="37" t="n">
        <f aca="false">CU11*MAX(0,MIN(CU153-CU113,③기타_가정!$E$453-CT122))</f>
        <v>0</v>
      </c>
      <c r="CV114" s="37" t="n">
        <f aca="false">CV11*MAX(0,MIN(CV153-CV113,③기타_가정!$E$453-CU122))</f>
        <v>0</v>
      </c>
      <c r="CW114" s="37" t="n">
        <f aca="false">CW11*MAX(0,MIN(CW153-CW113,③기타_가정!$E$453-CV122))</f>
        <v>0</v>
      </c>
      <c r="CX114" s="37" t="n">
        <f aca="false">CX11*MAX(0,MIN(CX153-CX113,③기타_가정!$E$453-CW122))</f>
        <v>0</v>
      </c>
      <c r="CY114" s="37" t="n">
        <f aca="false">CY11*MAX(0,MIN(CY153-CY113,③기타_가정!$E$453-CX122))</f>
        <v>0</v>
      </c>
      <c r="CZ114" s="37" t="n">
        <f aca="false">CZ11*MAX(0,MIN(CZ153-CZ113,③기타_가정!$E$453-CY122))</f>
        <v>0</v>
      </c>
      <c r="DA114" s="37" t="n">
        <f aca="false">DA11*MAX(0,MIN(DA153-DA113,③기타_가정!$E$453-CZ122))</f>
        <v>0</v>
      </c>
      <c r="DB114" s="37" t="n">
        <f aca="false">DB11*MAX(0,MIN(DB153-DB113,③기타_가정!$E$453-DA122))</f>
        <v>0</v>
      </c>
      <c r="DC114" s="37" t="n">
        <f aca="false">DC11*MAX(0,MIN(DC153-DC113,③기타_가정!$E$453-DB122))</f>
        <v>0</v>
      </c>
      <c r="DD114" s="37" t="n">
        <f aca="false">DD11*MAX(0,MIN(DD153-DD113,③기타_가정!$E$453-DC122))</f>
        <v>0</v>
      </c>
      <c r="DE114" s="37" t="n">
        <f aca="false">DE11*MAX(0,MIN(DE153-DE113,③기타_가정!$E$453-DD122))</f>
        <v>0</v>
      </c>
      <c r="DF114" s="37" t="n">
        <f aca="false">DF11*MAX(0,MIN(DF153-DF113,③기타_가정!$E$453-DE122))</f>
        <v>0</v>
      </c>
      <c r="DG114" s="37" t="n">
        <f aca="false">DG11*MAX(0,MIN(DG153-DG113,③기타_가정!$E$453-DF122))</f>
        <v>0</v>
      </c>
      <c r="DH114" s="37" t="n">
        <f aca="false">DH11*MAX(0,MIN(DH153-DH113,③기타_가정!$E$453-DG122))</f>
        <v>0</v>
      </c>
      <c r="DI114" s="37" t="n">
        <f aca="false">DI11*MAX(0,MIN(DI153-DI113,③기타_가정!$E$453-DH122))</f>
        <v>0</v>
      </c>
      <c r="DJ114" s="37" t="n">
        <f aca="false">DJ11*MAX(0,MIN(DJ153-DJ113,③기타_가정!$E$453-DI122))</f>
        <v>0</v>
      </c>
      <c r="DK114" s="37" t="n">
        <f aca="false">DK11*MAX(0,MIN(DK153-DK113,③기타_가정!$E$453-DJ122))</f>
        <v>0</v>
      </c>
      <c r="DL114" s="37" t="n">
        <f aca="false">DL11*MAX(0,MIN(DL153-DL113,③기타_가정!$E$453-DK122))</f>
        <v>0</v>
      </c>
      <c r="DM114" s="37" t="n">
        <f aca="false">DM11*MAX(0,MIN(DM153-DM113,③기타_가정!$E$453-DL122))</f>
        <v>0</v>
      </c>
      <c r="DN114" s="37" t="n">
        <f aca="false">DN11*MAX(0,MIN(DN153-DN113,③기타_가정!$E$453-DM122))</f>
        <v>0</v>
      </c>
      <c r="DO114" s="37" t="n">
        <f aca="false">DO11*MAX(0,MIN(DO153-DO113,③기타_가정!$E$453-DN122))</f>
        <v>0</v>
      </c>
      <c r="DP114" s="37" t="n">
        <f aca="false">DP11*MAX(0,MIN(DP153-DP113,③기타_가정!$E$453-DO122))</f>
        <v>0</v>
      </c>
      <c r="DQ114" s="37" t="n">
        <f aca="false">DQ11*MAX(0,MIN(DQ153-DQ113,③기타_가정!$E$453-DP122))</f>
        <v>0</v>
      </c>
      <c r="DR114" s="37" t="n">
        <f aca="false">DR11*MAX(0,MIN(DR153-DR113,③기타_가정!$E$453-DQ122))</f>
        <v>0</v>
      </c>
      <c r="DS114" s="37" t="n">
        <f aca="false">DS11*MAX(0,MIN(DS153-DS113,③기타_가정!$E$453-DR122))</f>
        <v>0</v>
      </c>
      <c r="DT114" s="37" t="n">
        <f aca="false">DT11*MAX(0,MIN(DT153-DT113,③기타_가정!$E$453-DS122))</f>
        <v>0</v>
      </c>
      <c r="DU114" s="37" t="n">
        <f aca="false">DU11*MAX(0,MIN(DU153-DU113,③기타_가정!$E$453-DT122))</f>
        <v>0</v>
      </c>
      <c r="DV114" s="37" t="n">
        <f aca="false">DV11*MAX(0,MIN(DV153-DV113,③기타_가정!$E$453-DU122))</f>
        <v>0</v>
      </c>
      <c r="DW114" s="37" t="n">
        <f aca="false">DW11*MAX(0,MIN(DW153-DW113,③기타_가정!$E$453-DV122))</f>
        <v>0</v>
      </c>
      <c r="DX114" s="37" t="n">
        <f aca="false">DX11*MAX(0,MIN(DX153-DX113,③기타_가정!$E$453-DW122))</f>
        <v>0</v>
      </c>
      <c r="DY114" s="37" t="n">
        <f aca="false">DY11*MAX(0,MIN(DY153-DY113,③기타_가정!$E$453-DX122))</f>
        <v>0</v>
      </c>
      <c r="DZ114" s="37" t="n">
        <f aca="false">DZ11*MAX(0,MIN(DZ153-DZ113,③기타_가정!$E$453-DY122))</f>
        <v>0</v>
      </c>
      <c r="EA114" s="37" t="n">
        <f aca="false">EA11*MAX(0,MIN(EA153-EA113,③기타_가정!$E$453-DZ122))</f>
        <v>0</v>
      </c>
      <c r="EB114" s="37" t="n">
        <f aca="false">EB11*MAX(0,MIN(EB153-EB113,③기타_가정!$E$453-EA122))</f>
        <v>0</v>
      </c>
      <c r="EC114" s="37" t="n">
        <f aca="false">EC11*MAX(0,MIN(EC153-EC113,③기타_가정!$E$453-EB122))</f>
        <v>0</v>
      </c>
      <c r="ED114" s="37" t="n">
        <f aca="false">ED11*MAX(0,MIN(ED153-ED113,③기타_가정!$E$453-EC122))</f>
        <v>0</v>
      </c>
      <c r="EE114" s="37" t="n">
        <f aca="false">EE11*MAX(0,MIN(EE153-EE113,③기타_가정!$E$453-ED122))</f>
        <v>0</v>
      </c>
      <c r="EF114" s="37" t="n">
        <f aca="false">EF11*MAX(0,MIN(EF153-EF113,③기타_가정!$E$453-EE122))</f>
        <v>0</v>
      </c>
    </row>
    <row r="115" customFormat="false" ht="15" hidden="false" customHeight="false" outlineLevel="0" collapsed="false">
      <c r="A115" s="153" t="s">
        <v>654</v>
      </c>
      <c r="B115" s="278" t="s">
        <v>21</v>
      </c>
      <c r="C115" s="279" t="n">
        <f aca="false">SUM(E115:EF115)</f>
        <v>397064.20819628</v>
      </c>
      <c r="E115" s="37" t="n">
        <f aca="false">E11*MAX(0,MIN(E153-E113-E114,③기타_가정!$E$452-0))</f>
        <v>0</v>
      </c>
      <c r="F115" s="37" t="n">
        <f aca="false">F11*MAX(0,MIN(F153-F113-F114,③기타_가정!$E$452-E121))</f>
        <v>0</v>
      </c>
      <c r="G115" s="37" t="n">
        <f aca="false">G11*MAX(0,MIN(G153-G113-G114,③기타_가정!$E$452-F121))</f>
        <v>0</v>
      </c>
      <c r="H115" s="37" t="n">
        <f aca="false">H11*MAX(0,MIN(H153-H113-H114,③기타_가정!$E$452-G121))</f>
        <v>0</v>
      </c>
      <c r="I115" s="37" t="n">
        <f aca="false">I11*MAX(0,MIN(I153-I113-I114,③기타_가정!$E$452-H121))</f>
        <v>0</v>
      </c>
      <c r="J115" s="37" t="n">
        <f aca="false">J11*MAX(0,MIN(J153-J113-J114,③기타_가정!$E$452-I121))</f>
        <v>0</v>
      </c>
      <c r="K115" s="37" t="n">
        <f aca="false">K11*MAX(0,MIN(K153-K113-K114,③기타_가정!$E$452-J121))</f>
        <v>0</v>
      </c>
      <c r="L115" s="37" t="n">
        <f aca="false">L11*MAX(0,MIN(L153-L113-L114,③기타_가정!$E$452-K121))</f>
        <v>0</v>
      </c>
      <c r="M115" s="37" t="n">
        <f aca="false">M11*MAX(0,MIN(M153-M113-M114,③기타_가정!$E$452-L121))</f>
        <v>0</v>
      </c>
      <c r="N115" s="37" t="n">
        <f aca="false">N11*MAX(0,MIN(N153-N113-N114,③기타_가정!$E$452-M121))</f>
        <v>0</v>
      </c>
      <c r="O115" s="37" t="n">
        <f aca="false">O11*MAX(0,MIN(O153-O113-O114,③기타_가정!$E$452-N121))</f>
        <v>0</v>
      </c>
      <c r="P115" s="37" t="n">
        <f aca="false">P11*MAX(0,MIN(P153-P113-P114,③기타_가정!$E$452-O121))</f>
        <v>0</v>
      </c>
      <c r="Q115" s="37" t="n">
        <f aca="false">Q11*MAX(0,MIN(Q153-Q113-Q114,③기타_가정!$E$452-P121))</f>
        <v>0</v>
      </c>
      <c r="R115" s="37" t="n">
        <f aca="false">R11*MAX(0,MIN(R153-R113-R114,③기타_가정!$E$452-Q121))</f>
        <v>0</v>
      </c>
      <c r="S115" s="37" t="n">
        <f aca="false">S11*MAX(0,MIN(S153-S113-S114,③기타_가정!$E$452-R121))</f>
        <v>0</v>
      </c>
      <c r="T115" s="37" t="n">
        <f aca="false">T11*MAX(0,MIN(T153-T113-T114,③기타_가정!$E$452-S121))</f>
        <v>0</v>
      </c>
      <c r="U115" s="37" t="n">
        <f aca="false">U11*MAX(0,MIN(U153-U113-U114,③기타_가정!$E$452-T121))</f>
        <v>0</v>
      </c>
      <c r="V115" s="37" t="n">
        <f aca="false">V11*MAX(0,MIN(V153-V113-V114,③기타_가정!$E$452-U121))</f>
        <v>0</v>
      </c>
      <c r="W115" s="37" t="n">
        <f aca="false">W11*MAX(0,MIN(W153-W113-W114,③기타_가정!$E$452-V121))</f>
        <v>0</v>
      </c>
      <c r="X115" s="37" t="n">
        <f aca="false">X11*MAX(0,MIN(X153-X113-X114,③기타_가정!$E$452-W121))</f>
        <v>0</v>
      </c>
      <c r="Y115" s="37" t="n">
        <f aca="false">Y11*MAX(0,MIN(Y153-Y113-Y114,③기타_가정!$E$452-X121))</f>
        <v>0</v>
      </c>
      <c r="Z115" s="37" t="n">
        <f aca="false">Z11*MAX(0,MIN(Z153-Z113-Z114,③기타_가정!$E$452-Y121))</f>
        <v>0</v>
      </c>
      <c r="AA115" s="37" t="n">
        <f aca="false">AA11*MAX(0,MIN(AA153-AA113-AA114,③기타_가정!$E$452-Z121))</f>
        <v>0</v>
      </c>
      <c r="AB115" s="37" t="n">
        <f aca="false">AB11*MAX(0,MIN(AB153-AB113-AB114,③기타_가정!$E$452-AA121))</f>
        <v>0</v>
      </c>
      <c r="AC115" s="37" t="n">
        <f aca="false">AC11*MAX(0,MIN(AC153-AC113-AC114,③기타_가정!$E$452-AB121))</f>
        <v>0</v>
      </c>
      <c r="AD115" s="37" t="n">
        <f aca="false">AD11*MAX(0,MIN(AD153-AD113-AD114,③기타_가정!$E$452-AC121))</f>
        <v>0</v>
      </c>
      <c r="AE115" s="37" t="n">
        <f aca="false">AE11*MAX(0,MIN(AE153-AE113-AE114,③기타_가정!$E$452-AD121))</f>
        <v>0</v>
      </c>
      <c r="AF115" s="37" t="n">
        <f aca="false">AF11*MAX(0,MIN(AF153-AF113-AF114,③기타_가정!$E$452-AE121))</f>
        <v>0</v>
      </c>
      <c r="AG115" s="37" t="n">
        <f aca="false">AG11*MAX(0,MIN(AG153-AG113-AG114,③기타_가정!$E$452-AF121))</f>
        <v>0</v>
      </c>
      <c r="AH115" s="37" t="n">
        <f aca="false">AH11*MAX(0,MIN(AH153-AH113-AH114,③기타_가정!$E$452-AG121))</f>
        <v>0</v>
      </c>
      <c r="AI115" s="37" t="n">
        <f aca="false">AI11*MAX(0,MIN(AI153-AI113-AI114,③기타_가정!$E$452-AH121))</f>
        <v>0</v>
      </c>
      <c r="AJ115" s="37" t="n">
        <f aca="false">AJ11*MAX(0,MIN(AJ153-AJ113-AJ114,③기타_가정!$E$452-AI121))</f>
        <v>0</v>
      </c>
      <c r="AK115" s="37" t="n">
        <f aca="false">AK11*MAX(0,MIN(AK153-AK113-AK114,③기타_가정!$E$452-AJ121))</f>
        <v>0</v>
      </c>
      <c r="AL115" s="37" t="n">
        <f aca="false">AL11*MAX(0,MIN(AL153-AL113-AL114,③기타_가정!$E$452-AK121))</f>
        <v>0</v>
      </c>
      <c r="AM115" s="37" t="n">
        <f aca="false">AM11*MAX(0,MIN(AM153-AM113-AM114,③기타_가정!$E$452-AL121))</f>
        <v>0</v>
      </c>
      <c r="AN115" s="37" t="n">
        <f aca="false">AN11*MAX(0,MIN(AN153-AN113-AN114,③기타_가정!$E$452-AM121))</f>
        <v>0</v>
      </c>
      <c r="AO115" s="37" t="n">
        <f aca="false">AO11*MAX(0,MIN(AO153-AO113-AO114,③기타_가정!$E$452-AN121))</f>
        <v>0</v>
      </c>
      <c r="AP115" s="37" t="n">
        <f aca="false">AP11*MAX(0,MIN(AP153-AP113-AP114,③기타_가정!$E$452-AO121))</f>
        <v>0</v>
      </c>
      <c r="AQ115" s="37" t="n">
        <f aca="false">AQ11*MAX(0,MIN(AQ153-AQ113-AQ114,③기타_가정!$E$452-AP121))</f>
        <v>5263.38920548233</v>
      </c>
      <c r="AR115" s="37" t="n">
        <f aca="false">AR11*MAX(0,MIN(AR153-AR113-AR114,③기타_가정!$E$452-AQ121))</f>
        <v>30121.7447164951</v>
      </c>
      <c r="AS115" s="37" t="n">
        <f aca="false">AS11*MAX(0,MIN(AS153-AS113-AS114,③기타_가정!$E$452-AR121))</f>
        <v>30118.1299723465</v>
      </c>
      <c r="AT115" s="37" t="n">
        <f aca="false">AT11*MAX(0,MIN(AT153-AT113-AT114,③기타_가정!$E$452-AS121))</f>
        <v>29961.1361669361</v>
      </c>
      <c r="AU115" s="37" t="n">
        <f aca="false">AU11*MAX(0,MIN(AU153-AU113-AU114,③기타_가정!$E$452-AT121))</f>
        <v>29651.7165419996</v>
      </c>
      <c r="AV115" s="37" t="n">
        <f aca="false">AV11*MAX(0,MIN(AV153-AV113-AV114,③기타_가정!$E$452-AU121))</f>
        <v>29191.6771426283</v>
      </c>
      <c r="AW115" s="37" t="n">
        <f aca="false">AW11*MAX(0,MIN(AW153-AW113-AW114,③기타_가정!$E$452-AV121))</f>
        <v>28583.6667190141</v>
      </c>
      <c r="AX115" s="37" t="n">
        <f aca="false">AX11*MAX(0,MIN(AX153-AX113-AX114,③기타_가정!$E$452-AW121))</f>
        <v>27831.161915456</v>
      </c>
      <c r="AY115" s="37" t="n">
        <f aca="false">AY11*MAX(0,MIN(AY153-AY113-AY114,③기타_가정!$E$452-AX121))</f>
        <v>26938.4478294547</v>
      </c>
      <c r="AZ115" s="37" t="n">
        <f aca="false">AZ11*MAX(0,MIN(AZ153-AZ113-AZ114,③기타_가정!$E$452-AY121))</f>
        <v>25910.5940496187</v>
      </c>
      <c r="BA115" s="37" t="n">
        <f aca="false">BA11*MAX(0,MIN(BA153-BA113-BA114,③기타_가정!$E$452-AZ121))</f>
        <v>0</v>
      </c>
      <c r="BB115" s="37" t="n">
        <f aca="false">BB11*MAX(0,MIN(BB153-BB113-BB114,③기타_가정!$E$452-BA121))</f>
        <v>0</v>
      </c>
      <c r="BC115" s="37" t="n">
        <f aca="false">BC11*MAX(0,MIN(BC153-BC113-BC114,③기타_가정!$E$452-BB121))</f>
        <v>20153.1153200484</v>
      </c>
      <c r="BD115" s="37" t="n">
        <f aca="false">BD11*MAX(0,MIN(BD153-BD113-BD114,③기타_가정!$E$452-BC121))</f>
        <v>20324.1672819652</v>
      </c>
      <c r="BE115" s="37" t="n">
        <f aca="false">BE11*MAX(0,MIN(BE153-BE113-BE114,③기타_가정!$E$452-BD121))</f>
        <v>18720.6462828217</v>
      </c>
      <c r="BF115" s="37" t="n">
        <f aca="false">BF11*MAX(0,MIN(BF153-BF113-BF114,③기타_가정!$E$452-BE121))</f>
        <v>17026.9984282927</v>
      </c>
      <c r="BG115" s="37" t="n">
        <f aca="false">BG11*MAX(0,MIN(BG153-BG113-BG114,③기타_가정!$E$452-BF121))</f>
        <v>15252.7681171498</v>
      </c>
      <c r="BH115" s="37" t="n">
        <f aca="false">BH11*MAX(0,MIN(BH153-BH113-BH114,③기타_가정!$E$452-BG121))</f>
        <v>13407.9507621143</v>
      </c>
      <c r="BI115" s="37" t="n">
        <f aca="false">BI11*MAX(0,MIN(BI153-BI113-BI114,③기타_가정!$E$452-BH121))</f>
        <v>11502.9368932761</v>
      </c>
      <c r="BJ115" s="37" t="n">
        <f aca="false">BJ11*MAX(0,MIN(BJ153-BJ113-BJ114,③기타_가정!$E$452-BI121))</f>
        <v>9548.45405186256</v>
      </c>
      <c r="BK115" s="37" t="n">
        <f aca="false">BK11*MAX(0,MIN(BK153-BK113-BK114,③기타_가정!$E$452-BJ121))</f>
        <v>7555.50679931787</v>
      </c>
      <c r="BL115" s="37" t="n">
        <f aca="false">BL11*MAX(0,MIN(BL153-BL113-BL114,③기타_가정!$E$452-BK121))</f>
        <v>0</v>
      </c>
      <c r="BM115" s="37" t="n">
        <f aca="false">BM11*MAX(0,MIN(BM153-BM113-BM114,③기타_가정!$E$452-BL121))</f>
        <v>0</v>
      </c>
      <c r="BN115" s="37" t="n">
        <f aca="false">BN11*MAX(0,MIN(BN153-BN113-BN114,③기타_가정!$E$452-BM121))</f>
        <v>0</v>
      </c>
      <c r="BO115" s="37" t="n">
        <f aca="false">BO11*MAX(0,MIN(BO153-BO113-BO114,③기타_가정!$E$452-BN121))</f>
        <v>0</v>
      </c>
      <c r="BP115" s="37" t="n">
        <f aca="false">BP11*MAX(0,MIN(BP153-BP113-BP114,③기타_가정!$E$452-BO121))</f>
        <v>0</v>
      </c>
      <c r="BQ115" s="37" t="n">
        <f aca="false">BQ11*MAX(0,MIN(BQ153-BQ113-BQ114,③기타_가정!$E$452-BP121))</f>
        <v>0</v>
      </c>
      <c r="BR115" s="37" t="n">
        <f aca="false">BR11*MAX(0,MIN(BR153-BR113-BR114,③기타_가정!$E$452-BQ121))</f>
        <v>0</v>
      </c>
      <c r="BS115" s="37" t="n">
        <f aca="false">BS11*MAX(0,MIN(BS153-BS113-BS114,③기타_가정!$E$452-BR121))</f>
        <v>0</v>
      </c>
      <c r="BT115" s="37" t="n">
        <f aca="false">BT11*MAX(0,MIN(BT153-BT113-BT114,③기타_가정!$E$452-BS121))</f>
        <v>0</v>
      </c>
      <c r="BU115" s="37" t="n">
        <f aca="false">BU11*MAX(0,MIN(BU153-BU113-BU114,③기타_가정!$E$452-BT121))</f>
        <v>0</v>
      </c>
      <c r="BV115" s="37" t="n">
        <f aca="false">BV11*MAX(0,MIN(BV153-BV113-BV114,③기타_가정!$E$452-BU121))</f>
        <v>0</v>
      </c>
      <c r="BW115" s="37" t="n">
        <f aca="false">BW11*MAX(0,MIN(BW153-BW113-BW114,③기타_가정!$E$452-BV121))</f>
        <v>0</v>
      </c>
      <c r="BX115" s="37" t="n">
        <f aca="false">BX11*MAX(0,MIN(BX153-BX113-BX114,③기타_가정!$E$452-BW121))</f>
        <v>0</v>
      </c>
      <c r="BY115" s="37" t="n">
        <f aca="false">BY11*MAX(0,MIN(BY153-BY113-BY114,③기타_가정!$E$452-BX121))</f>
        <v>0</v>
      </c>
      <c r="BZ115" s="37" t="n">
        <f aca="false">BZ11*MAX(0,MIN(BZ153-BZ113-BZ114,③기타_가정!$E$452-BY121))</f>
        <v>0</v>
      </c>
      <c r="CA115" s="37" t="n">
        <f aca="false">CA11*MAX(0,MIN(CA153-CA113-CA114,③기타_가정!$E$452-BZ121))</f>
        <v>0</v>
      </c>
      <c r="CB115" s="37" t="n">
        <f aca="false">CB11*MAX(0,MIN(CB153-CB113-CB114,③기타_가정!$E$452-CA121))</f>
        <v>0</v>
      </c>
      <c r="CC115" s="37" t="n">
        <f aca="false">CC11*MAX(0,MIN(CC153-CC113-CC114,③기타_가정!$E$452-CB121))</f>
        <v>0</v>
      </c>
      <c r="CD115" s="37" t="n">
        <f aca="false">CD11*MAX(0,MIN(CD153-CD113-CD114,③기타_가정!$E$452-CC121))</f>
        <v>0</v>
      </c>
      <c r="CE115" s="37" t="n">
        <f aca="false">CE11*MAX(0,MIN(CE153-CE113-CE114,③기타_가정!$E$452-CD121))</f>
        <v>0</v>
      </c>
      <c r="CF115" s="37" t="n">
        <f aca="false">CF11*MAX(0,MIN(CF153-CF113-CF114,③기타_가정!$E$452-CE121))</f>
        <v>0</v>
      </c>
      <c r="CG115" s="37" t="n">
        <f aca="false">CG11*MAX(0,MIN(CG153-CG113-CG114,③기타_가정!$E$452-CF121))</f>
        <v>0</v>
      </c>
      <c r="CH115" s="37" t="n">
        <f aca="false">CH11*MAX(0,MIN(CH153-CH113-CH114,③기타_가정!$E$452-CG121))</f>
        <v>0</v>
      </c>
      <c r="CI115" s="37" t="n">
        <f aca="false">CI11*MAX(0,MIN(CI153-CI113-CI114,③기타_가정!$E$452-CH121))</f>
        <v>0</v>
      </c>
      <c r="CJ115" s="37" t="n">
        <f aca="false">CJ11*MAX(0,MIN(CJ153-CJ113-CJ114,③기타_가정!$E$452-CI121))</f>
        <v>0</v>
      </c>
      <c r="CK115" s="37" t="n">
        <f aca="false">CK11*MAX(0,MIN(CK153-CK113-CK114,③기타_가정!$E$452-CJ121))</f>
        <v>0</v>
      </c>
      <c r="CL115" s="37" t="n">
        <f aca="false">CL11*MAX(0,MIN(CL153-CL113-CL114,③기타_가정!$E$452-CK121))</f>
        <v>0</v>
      </c>
      <c r="CM115" s="37" t="n">
        <f aca="false">CM11*MAX(0,MIN(CM153-CM113-CM114,③기타_가정!$E$452-CL121))</f>
        <v>0</v>
      </c>
      <c r="CN115" s="37" t="n">
        <f aca="false">CN11*MAX(0,MIN(CN153-CN113-CN114,③기타_가정!$E$452-CM121))</f>
        <v>0</v>
      </c>
      <c r="CO115" s="37" t="n">
        <f aca="false">CO11*MAX(0,MIN(CO153-CO113-CO114,③기타_가정!$E$452-CN121))</f>
        <v>0</v>
      </c>
      <c r="CP115" s="37" t="n">
        <f aca="false">CP11*MAX(0,MIN(CP153-CP113-CP114,③기타_가정!$E$452-CO121))</f>
        <v>0</v>
      </c>
      <c r="CQ115" s="37" t="n">
        <f aca="false">CQ11*MAX(0,MIN(CQ153-CQ113-CQ114,③기타_가정!$E$452-CP121))</f>
        <v>0</v>
      </c>
      <c r="CR115" s="37" t="n">
        <f aca="false">CR11*MAX(0,MIN(CR153-CR113-CR114,③기타_가정!$E$452-CQ121))</f>
        <v>0</v>
      </c>
      <c r="CS115" s="37" t="n">
        <f aca="false">CS11*MAX(0,MIN(CS153-CS113-CS114,③기타_가정!$E$452-CR121))</f>
        <v>0</v>
      </c>
      <c r="CT115" s="37" t="n">
        <f aca="false">CT11*MAX(0,MIN(CT153-CT113-CT114,③기타_가정!$E$452-CS121))</f>
        <v>0</v>
      </c>
      <c r="CU115" s="37" t="n">
        <f aca="false">CU11*MAX(0,MIN(CU153-CU113-CU114,③기타_가정!$E$452-CT121))</f>
        <v>0</v>
      </c>
      <c r="CV115" s="37" t="n">
        <f aca="false">CV11*MAX(0,MIN(CV153-CV113-CV114,③기타_가정!$E$452-CU121))</f>
        <v>0</v>
      </c>
      <c r="CW115" s="37" t="n">
        <f aca="false">CW11*MAX(0,MIN(CW153-CW113-CW114,③기타_가정!$E$452-CV121))</f>
        <v>0</v>
      </c>
      <c r="CX115" s="37" t="n">
        <f aca="false">CX11*MAX(0,MIN(CX153-CX113-CX114,③기타_가정!$E$452-CW121))</f>
        <v>0</v>
      </c>
      <c r="CY115" s="37" t="n">
        <f aca="false">CY11*MAX(0,MIN(CY153-CY113-CY114,③기타_가정!$E$452-CX121))</f>
        <v>0</v>
      </c>
      <c r="CZ115" s="37" t="n">
        <f aca="false">CZ11*MAX(0,MIN(CZ153-CZ113-CZ114,③기타_가정!$E$452-CY121))</f>
        <v>0</v>
      </c>
      <c r="DA115" s="37" t="n">
        <f aca="false">DA11*MAX(0,MIN(DA153-DA113-DA114,③기타_가정!$E$452-CZ121))</f>
        <v>0</v>
      </c>
      <c r="DB115" s="37" t="n">
        <f aca="false">DB11*MAX(0,MIN(DB153-DB113-DB114,③기타_가정!$E$452-DA121))</f>
        <v>0</v>
      </c>
      <c r="DC115" s="37" t="n">
        <f aca="false">DC11*MAX(0,MIN(DC153-DC113-DC114,③기타_가정!$E$452-DB121))</f>
        <v>0</v>
      </c>
      <c r="DD115" s="37" t="n">
        <f aca="false">DD11*MAX(0,MIN(DD153-DD113-DD114,③기타_가정!$E$452-DC121))</f>
        <v>0</v>
      </c>
      <c r="DE115" s="37" t="n">
        <f aca="false">DE11*MAX(0,MIN(DE153-DE113-DE114,③기타_가정!$E$452-DD121))</f>
        <v>0</v>
      </c>
      <c r="DF115" s="37" t="n">
        <f aca="false">DF11*MAX(0,MIN(DF153-DF113-DF114,③기타_가정!$E$452-DE121))</f>
        <v>0</v>
      </c>
      <c r="DG115" s="37" t="n">
        <f aca="false">DG11*MAX(0,MIN(DG153-DG113-DG114,③기타_가정!$E$452-DF121))</f>
        <v>0</v>
      </c>
      <c r="DH115" s="37" t="n">
        <f aca="false">DH11*MAX(0,MIN(DH153-DH113-DH114,③기타_가정!$E$452-DG121))</f>
        <v>0</v>
      </c>
      <c r="DI115" s="37" t="n">
        <f aca="false">DI11*MAX(0,MIN(DI153-DI113-DI114,③기타_가정!$E$452-DH121))</f>
        <v>0</v>
      </c>
      <c r="DJ115" s="37" t="n">
        <f aca="false">DJ11*MAX(0,MIN(DJ153-DJ113-DJ114,③기타_가정!$E$452-DI121))</f>
        <v>0</v>
      </c>
      <c r="DK115" s="37" t="n">
        <f aca="false">DK11*MAX(0,MIN(DK153-DK113-DK114,③기타_가정!$E$452-DJ121))</f>
        <v>0</v>
      </c>
      <c r="DL115" s="37" t="n">
        <f aca="false">DL11*MAX(0,MIN(DL153-DL113-DL114,③기타_가정!$E$452-DK121))</f>
        <v>0</v>
      </c>
      <c r="DM115" s="37" t="n">
        <f aca="false">DM11*MAX(0,MIN(DM153-DM113-DM114,③기타_가정!$E$452-DL121))</f>
        <v>0</v>
      </c>
      <c r="DN115" s="37" t="n">
        <f aca="false">DN11*MAX(0,MIN(DN153-DN113-DN114,③기타_가정!$E$452-DM121))</f>
        <v>0</v>
      </c>
      <c r="DO115" s="37" t="n">
        <f aca="false">DO11*MAX(0,MIN(DO153-DO113-DO114,③기타_가정!$E$452-DN121))</f>
        <v>0</v>
      </c>
      <c r="DP115" s="37" t="n">
        <f aca="false">DP11*MAX(0,MIN(DP153-DP113-DP114,③기타_가정!$E$452-DO121))</f>
        <v>0</v>
      </c>
      <c r="DQ115" s="37" t="n">
        <f aca="false">DQ11*MAX(0,MIN(DQ153-DQ113-DQ114,③기타_가정!$E$452-DP121))</f>
        <v>0</v>
      </c>
      <c r="DR115" s="37" t="n">
        <f aca="false">DR11*MAX(0,MIN(DR153-DR113-DR114,③기타_가정!$E$452-DQ121))</f>
        <v>0</v>
      </c>
      <c r="DS115" s="37" t="n">
        <f aca="false">DS11*MAX(0,MIN(DS153-DS113-DS114,③기타_가정!$E$452-DR121))</f>
        <v>0</v>
      </c>
      <c r="DT115" s="37" t="n">
        <f aca="false">DT11*MAX(0,MIN(DT153-DT113-DT114,③기타_가정!$E$452-DS121))</f>
        <v>0</v>
      </c>
      <c r="DU115" s="37" t="n">
        <f aca="false">DU11*MAX(0,MIN(DU153-DU113-DU114,③기타_가정!$E$452-DT121))</f>
        <v>0</v>
      </c>
      <c r="DV115" s="37" t="n">
        <f aca="false">DV11*MAX(0,MIN(DV153-DV113-DV114,③기타_가정!$E$452-DU121))</f>
        <v>0</v>
      </c>
      <c r="DW115" s="37" t="n">
        <f aca="false">DW11*MAX(0,MIN(DW153-DW113-DW114,③기타_가정!$E$452-DV121))</f>
        <v>0</v>
      </c>
      <c r="DX115" s="37" t="n">
        <f aca="false">DX11*MAX(0,MIN(DX153-DX113-DX114,③기타_가정!$E$452-DW121))</f>
        <v>0</v>
      </c>
      <c r="DY115" s="37" t="n">
        <f aca="false">DY11*MAX(0,MIN(DY153-DY113-DY114,③기타_가정!$E$452-DX121))</f>
        <v>0</v>
      </c>
      <c r="DZ115" s="37" t="n">
        <f aca="false">DZ11*MAX(0,MIN(DZ153-DZ113-DZ114,③기타_가정!$E$452-DY121))</f>
        <v>0</v>
      </c>
      <c r="EA115" s="37" t="n">
        <f aca="false">EA11*MAX(0,MIN(EA153-EA113-EA114,③기타_가정!$E$452-DZ121))</f>
        <v>0</v>
      </c>
      <c r="EB115" s="37" t="n">
        <f aca="false">EB11*MAX(0,MIN(EB153-EB113-EB114,③기타_가정!$E$452-EA121))</f>
        <v>0</v>
      </c>
      <c r="EC115" s="37" t="n">
        <f aca="false">EC11*MAX(0,MIN(EC153-EC113-EC114,③기타_가정!$E$452-EB121))</f>
        <v>0</v>
      </c>
      <c r="ED115" s="37" t="n">
        <f aca="false">ED11*MAX(0,MIN(ED153-ED113-ED114,③기타_가정!$E$452-EC121))</f>
        <v>0</v>
      </c>
      <c r="EE115" s="37" t="n">
        <f aca="false">EE11*MAX(0,MIN(EE153-EE113-EE114,③기타_가정!$E$452-ED121))</f>
        <v>0</v>
      </c>
      <c r="EF115" s="37" t="n">
        <f aca="false">EF11*MAX(0,MIN(EF153-EF113-EF114,③기타_가정!$E$452-EE121))</f>
        <v>0</v>
      </c>
    </row>
    <row r="116" customFormat="false" ht="15" hidden="false" customHeight="false" outlineLevel="0" collapsed="false">
      <c r="A116" s="284" t="s">
        <v>655</v>
      </c>
      <c r="B116" s="281" t="s">
        <v>21</v>
      </c>
      <c r="C116" s="282" t="n">
        <f aca="false">SUM(E116:EF116)</f>
        <v>637282.274666071</v>
      </c>
      <c r="D116" s="48"/>
      <c r="E116" s="283" t="n">
        <f aca="false">E115+E114+E113</f>
        <v>0</v>
      </c>
      <c r="F116" s="283" t="n">
        <f aca="false">F115+F114+F113</f>
        <v>0</v>
      </c>
      <c r="G116" s="283" t="n">
        <f aca="false">G115+G114+G113</f>
        <v>0</v>
      </c>
      <c r="H116" s="283" t="n">
        <f aca="false">H115+H114+H113</f>
        <v>0</v>
      </c>
      <c r="I116" s="283" t="n">
        <f aca="false">I115+I114+I113</f>
        <v>0</v>
      </c>
      <c r="J116" s="283" t="n">
        <f aca="false">J115+J114+J113</f>
        <v>0</v>
      </c>
      <c r="K116" s="283" t="n">
        <f aca="false">K115+K114+K113</f>
        <v>0</v>
      </c>
      <c r="L116" s="283" t="n">
        <f aca="false">L115+L114+L113</f>
        <v>0</v>
      </c>
      <c r="M116" s="283" t="n">
        <f aca="false">M115+M114+M113</f>
        <v>0</v>
      </c>
      <c r="N116" s="283" t="n">
        <f aca="false">N115+N114+N113</f>
        <v>0</v>
      </c>
      <c r="O116" s="283" t="n">
        <f aca="false">O115+O114+O113</f>
        <v>0</v>
      </c>
      <c r="P116" s="283" t="n">
        <f aca="false">P115+P114+P113</f>
        <v>0</v>
      </c>
      <c r="Q116" s="283" t="n">
        <f aca="false">Q115+Q114+Q113</f>
        <v>0</v>
      </c>
      <c r="R116" s="283" t="n">
        <f aca="false">R115+R114+R113</f>
        <v>0</v>
      </c>
      <c r="S116" s="283" t="n">
        <f aca="false">S115+S114+S113</f>
        <v>0</v>
      </c>
      <c r="T116" s="283" t="n">
        <f aca="false">T115+T114+T113</f>
        <v>0</v>
      </c>
      <c r="U116" s="283" t="n">
        <f aca="false">U115+U114+U113</f>
        <v>0</v>
      </c>
      <c r="V116" s="283" t="n">
        <f aca="false">V115+V114+V113</f>
        <v>0</v>
      </c>
      <c r="W116" s="283" t="n">
        <f aca="false">W115+W114+W113</f>
        <v>0</v>
      </c>
      <c r="X116" s="283" t="n">
        <f aca="false">X115+X114+X113</f>
        <v>0</v>
      </c>
      <c r="Y116" s="283" t="n">
        <f aca="false">Y115+Y114+Y113</f>
        <v>0</v>
      </c>
      <c r="Z116" s="283" t="n">
        <f aca="false">Z115+Z114+Z113</f>
        <v>0</v>
      </c>
      <c r="AA116" s="283" t="n">
        <f aca="false">AA115+AA114+AA113</f>
        <v>0</v>
      </c>
      <c r="AB116" s="283" t="n">
        <f aca="false">AB115+AB114+AB113</f>
        <v>0</v>
      </c>
      <c r="AC116" s="283" t="n">
        <f aca="false">AC115+AC114+AC113</f>
        <v>0</v>
      </c>
      <c r="AD116" s="283" t="n">
        <f aca="false">AD115+AD114+AD113</f>
        <v>0</v>
      </c>
      <c r="AE116" s="283" t="n">
        <f aca="false">AE115+AE114+AE113</f>
        <v>0</v>
      </c>
      <c r="AF116" s="283" t="n">
        <f aca="false">AF115+AF114+AF113</f>
        <v>4966.25371086328</v>
      </c>
      <c r="AG116" s="283" t="n">
        <f aca="false">AG115+AG114+AG113</f>
        <v>20554.898911585</v>
      </c>
      <c r="AH116" s="283" t="n">
        <f aca="false">AH115+AH114+AH113</f>
        <v>22100.769839522</v>
      </c>
      <c r="AI116" s="283" t="n">
        <f aca="false">AI115+AI114+AI113</f>
        <v>23540.3542110555</v>
      </c>
      <c r="AJ116" s="283" t="n">
        <f aca="false">AJ115+AJ114+AJ113</f>
        <v>24865.7210133316</v>
      </c>
      <c r="AK116" s="283" t="n">
        <f aca="false">AK115+AK114+AK113</f>
        <v>26069.578812586</v>
      </c>
      <c r="AL116" s="283" t="n">
        <f aca="false">AL115+AL114+AL113</f>
        <v>27142.7783071166</v>
      </c>
      <c r="AM116" s="283" t="n">
        <f aca="false">AM115+AM114+AM113</f>
        <v>28050.5561935175</v>
      </c>
      <c r="AN116" s="283" t="n">
        <f aca="false">AN115+AN114+AN113</f>
        <v>28817.807327362</v>
      </c>
      <c r="AO116" s="283" t="n">
        <f aca="false">AO115+AO114+AO113</f>
        <v>0</v>
      </c>
      <c r="AP116" s="283" t="n">
        <f aca="false">AP115+AP114+AP113</f>
        <v>9417.23157176867</v>
      </c>
      <c r="AQ116" s="283" t="n">
        <f aca="false">AQ115+AQ114+AQ113</f>
        <v>29955.505776565</v>
      </c>
      <c r="AR116" s="283" t="n">
        <f aca="false">AR115+AR114+AR113</f>
        <v>30121.7447164951</v>
      </c>
      <c r="AS116" s="283" t="n">
        <f aca="false">AS115+AS114+AS113</f>
        <v>30118.1299723465</v>
      </c>
      <c r="AT116" s="283" t="n">
        <f aca="false">AT115+AT114+AT113</f>
        <v>29961.1361669361</v>
      </c>
      <c r="AU116" s="283" t="n">
        <f aca="false">AU115+AU114+AU113</f>
        <v>29651.7165419996</v>
      </c>
      <c r="AV116" s="283" t="n">
        <f aca="false">AV115+AV114+AV113</f>
        <v>29191.6771426283</v>
      </c>
      <c r="AW116" s="283" t="n">
        <f aca="false">AW115+AW114+AW113</f>
        <v>28583.6667190141</v>
      </c>
      <c r="AX116" s="283" t="n">
        <f aca="false">AX115+AX114+AX113</f>
        <v>27831.161915456</v>
      </c>
      <c r="AY116" s="283" t="n">
        <f aca="false">AY115+AY114+AY113</f>
        <v>26938.4478294547</v>
      </c>
      <c r="AZ116" s="283" t="n">
        <f aca="false">AZ115+AZ114+AZ113</f>
        <v>25910.5940496187</v>
      </c>
      <c r="BA116" s="283" t="n">
        <f aca="false">BA115+BA114+BA113</f>
        <v>0</v>
      </c>
      <c r="BB116" s="283" t="n">
        <f aca="false">BB115+BB114+BB113</f>
        <v>0</v>
      </c>
      <c r="BC116" s="283" t="n">
        <f aca="false">BC115+BC114+BC113</f>
        <v>20153.1153200484</v>
      </c>
      <c r="BD116" s="283" t="n">
        <f aca="false">BD115+BD114+BD113</f>
        <v>20324.1672819652</v>
      </c>
      <c r="BE116" s="283" t="n">
        <f aca="false">BE115+BE114+BE113</f>
        <v>18720.6462828217</v>
      </c>
      <c r="BF116" s="283" t="n">
        <f aca="false">BF115+BF114+BF113</f>
        <v>17026.9984282927</v>
      </c>
      <c r="BG116" s="283" t="n">
        <f aca="false">BG115+BG114+BG113</f>
        <v>15252.7681171498</v>
      </c>
      <c r="BH116" s="283" t="n">
        <f aca="false">BH115+BH114+BH113</f>
        <v>13407.9507621143</v>
      </c>
      <c r="BI116" s="283" t="n">
        <f aca="false">BI115+BI114+BI113</f>
        <v>11502.9368932761</v>
      </c>
      <c r="BJ116" s="283" t="n">
        <f aca="false">BJ115+BJ114+BJ113</f>
        <v>9548.45405186256</v>
      </c>
      <c r="BK116" s="283" t="n">
        <f aca="false">BK115+BK114+BK113</f>
        <v>7555.50679931787</v>
      </c>
      <c r="BL116" s="283" t="n">
        <f aca="false">BL115+BL114+BL113</f>
        <v>0</v>
      </c>
      <c r="BM116" s="283" t="n">
        <f aca="false">BM115+BM114+BM113</f>
        <v>0</v>
      </c>
      <c r="BN116" s="283" t="n">
        <f aca="false">BN115+BN114+BN113</f>
        <v>0</v>
      </c>
      <c r="BO116" s="283" t="n">
        <f aca="false">BO115+BO114+BO113</f>
        <v>0</v>
      </c>
      <c r="BP116" s="283" t="n">
        <f aca="false">BP115+BP114+BP113</f>
        <v>0</v>
      </c>
      <c r="BQ116" s="283" t="n">
        <f aca="false">BQ115+BQ114+BQ113</f>
        <v>0</v>
      </c>
      <c r="BR116" s="283" t="n">
        <f aca="false">BR115+BR114+BR113</f>
        <v>0</v>
      </c>
      <c r="BS116" s="283" t="n">
        <f aca="false">BS115+BS114+BS113</f>
        <v>0</v>
      </c>
      <c r="BT116" s="283" t="n">
        <f aca="false">BT115+BT114+BT113</f>
        <v>0</v>
      </c>
      <c r="BU116" s="283" t="n">
        <f aca="false">BU115+BU114+BU113</f>
        <v>0</v>
      </c>
      <c r="BV116" s="283" t="n">
        <f aca="false">BV115+BV114+BV113</f>
        <v>0</v>
      </c>
      <c r="BW116" s="283" t="n">
        <f aca="false">BW115+BW114+BW113</f>
        <v>0</v>
      </c>
      <c r="BX116" s="283" t="n">
        <f aca="false">BX115+BX114+BX113</f>
        <v>0</v>
      </c>
      <c r="BY116" s="283" t="n">
        <f aca="false">BY115+BY114+BY113</f>
        <v>0</v>
      </c>
      <c r="BZ116" s="283" t="n">
        <f aca="false">BZ115+BZ114+BZ113</f>
        <v>0</v>
      </c>
      <c r="CA116" s="283" t="n">
        <f aca="false">CA115+CA114+CA113</f>
        <v>0</v>
      </c>
      <c r="CB116" s="283" t="n">
        <f aca="false">CB115+CB114+CB113</f>
        <v>0</v>
      </c>
      <c r="CC116" s="283" t="n">
        <f aca="false">CC115+CC114+CC113</f>
        <v>0</v>
      </c>
      <c r="CD116" s="283" t="n">
        <f aca="false">CD115+CD114+CD113</f>
        <v>0</v>
      </c>
      <c r="CE116" s="283" t="n">
        <f aca="false">CE115+CE114+CE113</f>
        <v>0</v>
      </c>
      <c r="CF116" s="283" t="n">
        <f aca="false">CF115+CF114+CF113</f>
        <v>0</v>
      </c>
      <c r="CG116" s="283" t="n">
        <f aca="false">CG115+CG114+CG113</f>
        <v>0</v>
      </c>
      <c r="CH116" s="283" t="n">
        <f aca="false">CH115+CH114+CH113</f>
        <v>0</v>
      </c>
      <c r="CI116" s="283" t="n">
        <f aca="false">CI115+CI114+CI113</f>
        <v>0</v>
      </c>
      <c r="CJ116" s="283" t="n">
        <f aca="false">CJ115+CJ114+CJ113</f>
        <v>0</v>
      </c>
      <c r="CK116" s="283" t="n">
        <f aca="false">CK115+CK114+CK113</f>
        <v>0</v>
      </c>
      <c r="CL116" s="283" t="n">
        <f aca="false">CL115+CL114+CL113</f>
        <v>0</v>
      </c>
      <c r="CM116" s="283" t="n">
        <f aca="false">CM115+CM114+CM113</f>
        <v>0</v>
      </c>
      <c r="CN116" s="283" t="n">
        <f aca="false">CN115+CN114+CN113</f>
        <v>0</v>
      </c>
      <c r="CO116" s="283" t="n">
        <f aca="false">CO115+CO114+CO113</f>
        <v>0</v>
      </c>
      <c r="CP116" s="283" t="n">
        <f aca="false">CP115+CP114+CP113</f>
        <v>0</v>
      </c>
      <c r="CQ116" s="283" t="n">
        <f aca="false">CQ115+CQ114+CQ113</f>
        <v>0</v>
      </c>
      <c r="CR116" s="283" t="n">
        <f aca="false">CR115+CR114+CR113</f>
        <v>0</v>
      </c>
      <c r="CS116" s="283" t="n">
        <f aca="false">CS115+CS114+CS113</f>
        <v>0</v>
      </c>
      <c r="CT116" s="283" t="n">
        <f aca="false">CT115+CT114+CT113</f>
        <v>0</v>
      </c>
      <c r="CU116" s="283" t="n">
        <f aca="false">CU115+CU114+CU113</f>
        <v>0</v>
      </c>
      <c r="CV116" s="283" t="n">
        <f aca="false">CV115+CV114+CV113</f>
        <v>0</v>
      </c>
      <c r="CW116" s="283" t="n">
        <f aca="false">CW115+CW114+CW113</f>
        <v>0</v>
      </c>
      <c r="CX116" s="283" t="n">
        <f aca="false">CX115+CX114+CX113</f>
        <v>0</v>
      </c>
      <c r="CY116" s="283" t="n">
        <f aca="false">CY115+CY114+CY113</f>
        <v>0</v>
      </c>
      <c r="CZ116" s="283" t="n">
        <f aca="false">CZ115+CZ114+CZ113</f>
        <v>0</v>
      </c>
      <c r="DA116" s="283" t="n">
        <f aca="false">DA115+DA114+DA113</f>
        <v>0</v>
      </c>
      <c r="DB116" s="283" t="n">
        <f aca="false">DB115+DB114+DB113</f>
        <v>0</v>
      </c>
      <c r="DC116" s="283" t="n">
        <f aca="false">DC115+DC114+DC113</f>
        <v>0</v>
      </c>
      <c r="DD116" s="283" t="n">
        <f aca="false">DD115+DD114+DD113</f>
        <v>0</v>
      </c>
      <c r="DE116" s="283" t="n">
        <f aca="false">DE115+DE114+DE113</f>
        <v>0</v>
      </c>
      <c r="DF116" s="283" t="n">
        <f aca="false">DF115+DF114+DF113</f>
        <v>0</v>
      </c>
      <c r="DG116" s="283" t="n">
        <f aca="false">DG115+DG114+DG113</f>
        <v>0</v>
      </c>
      <c r="DH116" s="283" t="n">
        <f aca="false">DH115+DH114+DH113</f>
        <v>0</v>
      </c>
      <c r="DI116" s="283" t="n">
        <f aca="false">DI115+DI114+DI113</f>
        <v>0</v>
      </c>
      <c r="DJ116" s="283" t="n">
        <f aca="false">DJ115+DJ114+DJ113</f>
        <v>0</v>
      </c>
      <c r="DK116" s="283" t="n">
        <f aca="false">DK115+DK114+DK113</f>
        <v>0</v>
      </c>
      <c r="DL116" s="283" t="n">
        <f aca="false">DL115+DL114+DL113</f>
        <v>0</v>
      </c>
      <c r="DM116" s="283" t="n">
        <f aca="false">DM115+DM114+DM113</f>
        <v>0</v>
      </c>
      <c r="DN116" s="283" t="n">
        <f aca="false">DN115+DN114+DN113</f>
        <v>0</v>
      </c>
      <c r="DO116" s="283" t="n">
        <f aca="false">DO115+DO114+DO113</f>
        <v>0</v>
      </c>
      <c r="DP116" s="283" t="n">
        <f aca="false">DP115+DP114+DP113</f>
        <v>0</v>
      </c>
      <c r="DQ116" s="283" t="n">
        <f aca="false">DQ115+DQ114+DQ113</f>
        <v>0</v>
      </c>
      <c r="DR116" s="283" t="n">
        <f aca="false">DR115+DR114+DR113</f>
        <v>0</v>
      </c>
      <c r="DS116" s="283" t="n">
        <f aca="false">DS115+DS114+DS113</f>
        <v>0</v>
      </c>
      <c r="DT116" s="283" t="n">
        <f aca="false">DT115+DT114+DT113</f>
        <v>0</v>
      </c>
      <c r="DU116" s="283" t="n">
        <f aca="false">DU115+DU114+DU113</f>
        <v>0</v>
      </c>
      <c r="DV116" s="283" t="n">
        <f aca="false">DV115+DV114+DV113</f>
        <v>0</v>
      </c>
      <c r="DW116" s="283" t="n">
        <f aca="false">DW115+DW114+DW113</f>
        <v>0</v>
      </c>
      <c r="DX116" s="283" t="n">
        <f aca="false">DX115+DX114+DX113</f>
        <v>0</v>
      </c>
      <c r="DY116" s="283" t="n">
        <f aca="false">DY115+DY114+DY113</f>
        <v>0</v>
      </c>
      <c r="DZ116" s="283" t="n">
        <f aca="false">DZ115+DZ114+DZ113</f>
        <v>0</v>
      </c>
      <c r="EA116" s="283" t="n">
        <f aca="false">EA115+EA114+EA113</f>
        <v>0</v>
      </c>
      <c r="EB116" s="283" t="n">
        <f aca="false">EB115+EB114+EB113</f>
        <v>0</v>
      </c>
      <c r="EC116" s="283" t="n">
        <f aca="false">EC115+EC114+EC113</f>
        <v>0</v>
      </c>
      <c r="ED116" s="283" t="n">
        <f aca="false">ED115+ED114+ED113</f>
        <v>0</v>
      </c>
      <c r="EE116" s="283" t="n">
        <f aca="false">EE115+EE114+EE113</f>
        <v>0</v>
      </c>
      <c r="EF116" s="283" t="n">
        <f aca="false">EF115+EF114+EF113</f>
        <v>0</v>
      </c>
    </row>
    <row r="117" customFormat="false" ht="15" hidden="false" customHeight="false" outlineLevel="0" collapsed="false">
      <c r="A117" s="153" t="s">
        <v>656</v>
      </c>
      <c r="B117" s="278" t="s">
        <v>21</v>
      </c>
      <c r="C117" s="279" t="n">
        <f aca="false">SUM(E117:EF117)</f>
        <v>397064.20819628</v>
      </c>
      <c r="E117" s="37" t="n">
        <f aca="false">IF(E6=③기타_가정!$E$16,0+E115,0)</f>
        <v>0</v>
      </c>
      <c r="F117" s="37" t="n">
        <f aca="false">IF(F6=③기타_가정!$E$16,E121+F115,0)</f>
        <v>0</v>
      </c>
      <c r="G117" s="37" t="n">
        <f aca="false">IF(G6=③기타_가정!$E$16,F121+G115,0)</f>
        <v>0</v>
      </c>
      <c r="H117" s="37" t="n">
        <f aca="false">IF(H6=③기타_가정!$E$16,G121+H115,0)</f>
        <v>0</v>
      </c>
      <c r="I117" s="37" t="n">
        <f aca="false">IF(I6=③기타_가정!$E$16,H121+I115,0)</f>
        <v>0</v>
      </c>
      <c r="J117" s="37" t="n">
        <f aca="false">IF(J6=③기타_가정!$E$16,I121+J115,0)</f>
        <v>0</v>
      </c>
      <c r="K117" s="37" t="n">
        <f aca="false">IF(K6=③기타_가정!$E$16,J121+K115,0)</f>
        <v>0</v>
      </c>
      <c r="L117" s="37" t="n">
        <f aca="false">IF(L6=③기타_가정!$E$16,K121+L115,0)</f>
        <v>0</v>
      </c>
      <c r="M117" s="37" t="n">
        <f aca="false">IF(M6=③기타_가정!$E$16,L121+M115,0)</f>
        <v>0</v>
      </c>
      <c r="N117" s="37" t="n">
        <f aca="false">IF(N6=③기타_가정!$E$16,M121+N115,0)</f>
        <v>0</v>
      </c>
      <c r="O117" s="37" t="n">
        <f aca="false">IF(O6=③기타_가정!$E$16,N121+O115,0)</f>
        <v>0</v>
      </c>
      <c r="P117" s="37" t="n">
        <f aca="false">IF(P6=③기타_가정!$E$16,O121+P115,0)</f>
        <v>0</v>
      </c>
      <c r="Q117" s="37" t="n">
        <f aca="false">IF(Q6=③기타_가정!$E$16,P121+Q115,0)</f>
        <v>0</v>
      </c>
      <c r="R117" s="37" t="n">
        <f aca="false">IF(R6=③기타_가정!$E$16,Q121+R115,0)</f>
        <v>0</v>
      </c>
      <c r="S117" s="37" t="n">
        <f aca="false">IF(S6=③기타_가정!$E$16,R121+S115,0)</f>
        <v>0</v>
      </c>
      <c r="T117" s="37" t="n">
        <f aca="false">IF(T6=③기타_가정!$E$16,S121+T115,0)</f>
        <v>0</v>
      </c>
      <c r="U117" s="37" t="n">
        <f aca="false">IF(U6=③기타_가정!$E$16,T121+U115,0)</f>
        <v>0</v>
      </c>
      <c r="V117" s="37" t="n">
        <f aca="false">IF(V6=③기타_가정!$E$16,U121+V115,0)</f>
        <v>0</v>
      </c>
      <c r="W117" s="37" t="n">
        <f aca="false">IF(W6=③기타_가정!$E$16,V121+W115,0)</f>
        <v>0</v>
      </c>
      <c r="X117" s="37" t="n">
        <f aca="false">IF(X6=③기타_가정!$E$16,W121+X115,0)</f>
        <v>0</v>
      </c>
      <c r="Y117" s="37" t="n">
        <f aca="false">IF(Y6=③기타_가정!$E$16,X121+Y115,0)</f>
        <v>0</v>
      </c>
      <c r="Z117" s="37" t="n">
        <f aca="false">IF(Z6=③기타_가정!$E$16,Y121+Z115,0)</f>
        <v>0</v>
      </c>
      <c r="AA117" s="37" t="n">
        <f aca="false">IF(AA6=③기타_가정!$E$16,Z121+AA115,0)</f>
        <v>0</v>
      </c>
      <c r="AB117" s="37" t="n">
        <f aca="false">IF(AB6=③기타_가정!$E$16,AA121+AB115,0)</f>
        <v>0</v>
      </c>
      <c r="AC117" s="37" t="n">
        <f aca="false">IF(AC6=③기타_가정!$E$16,AB121+AC115,0)</f>
        <v>0</v>
      </c>
      <c r="AD117" s="37" t="n">
        <f aca="false">IF(AD6=③기타_가정!$E$16,AC121+AD115,0)</f>
        <v>0</v>
      </c>
      <c r="AE117" s="37" t="n">
        <f aca="false">IF(AE6=③기타_가정!$E$16,AD121+AE115,0)</f>
        <v>0</v>
      </c>
      <c r="AF117" s="37" t="n">
        <f aca="false">IF(AF6=③기타_가정!$E$16,AE121+AF115,0)</f>
        <v>0</v>
      </c>
      <c r="AG117" s="37" t="n">
        <f aca="false">IF(AG6=③기타_가정!$E$16,AF121+AG115,0)</f>
        <v>0</v>
      </c>
      <c r="AH117" s="37" t="n">
        <f aca="false">IF(AH6=③기타_가정!$E$16,AG121+AH115,0)</f>
        <v>0</v>
      </c>
      <c r="AI117" s="37" t="n">
        <f aca="false">IF(AI6=③기타_가정!$E$16,AH121+AI115,0)</f>
        <v>0</v>
      </c>
      <c r="AJ117" s="37" t="n">
        <f aca="false">IF(AJ6=③기타_가정!$E$16,AI121+AJ115,0)</f>
        <v>0</v>
      </c>
      <c r="AK117" s="37" t="n">
        <f aca="false">IF(AK6=③기타_가정!$E$16,AJ121+AK115,0)</f>
        <v>0</v>
      </c>
      <c r="AL117" s="37" t="n">
        <f aca="false">IF(AL6=③기타_가정!$E$16,AK121+AL115,0)</f>
        <v>0</v>
      </c>
      <c r="AM117" s="37" t="n">
        <f aca="false">IF(AM6=③기타_가정!$E$16,AL121+AM115,0)</f>
        <v>0</v>
      </c>
      <c r="AN117" s="37" t="n">
        <f aca="false">IF(AN6=③기타_가정!$E$16,AM121+AN115,0)</f>
        <v>0</v>
      </c>
      <c r="AO117" s="37" t="n">
        <f aca="false">IF(AO6=③기타_가정!$E$16,AN121+AO115,0)</f>
        <v>0</v>
      </c>
      <c r="AP117" s="37" t="n">
        <f aca="false">IF(AP6=③기타_가정!$E$16,AO121+AP115,0)</f>
        <v>0</v>
      </c>
      <c r="AQ117" s="37" t="n">
        <f aca="false">IF(AQ6=③기타_가정!$E$16,AP121+AQ115,0)</f>
        <v>0</v>
      </c>
      <c r="AR117" s="37" t="n">
        <f aca="false">IF(AR6=③기타_가정!$E$16,AQ121+AR115,0)</f>
        <v>0</v>
      </c>
      <c r="AS117" s="37" t="n">
        <f aca="false">IF(AS6=③기타_가정!$E$16,AR121+AS115,0)</f>
        <v>0</v>
      </c>
      <c r="AT117" s="37" t="n">
        <f aca="false">IF(AT6=③기타_가정!$E$16,AS121+AT115,0)</f>
        <v>0</v>
      </c>
      <c r="AU117" s="37" t="n">
        <f aca="false">IF(AU6=③기타_가정!$E$16,AT121+AU115,0)</f>
        <v>0</v>
      </c>
      <c r="AV117" s="37" t="n">
        <f aca="false">IF(AV6=③기타_가정!$E$16,AU121+AV115,0)</f>
        <v>0</v>
      </c>
      <c r="AW117" s="37" t="n">
        <f aca="false">IF(AW6=③기타_가정!$E$16,AV121+AW115,0)</f>
        <v>0</v>
      </c>
      <c r="AX117" s="37" t="n">
        <f aca="false">IF(AX6=③기타_가정!$E$16,AW121+AX115,0)</f>
        <v>0</v>
      </c>
      <c r="AY117" s="37" t="n">
        <f aca="false">IF(AY6=③기타_가정!$E$16,AX121+AY115,0)</f>
        <v>0</v>
      </c>
      <c r="AZ117" s="37" t="n">
        <f aca="false">IF(AZ6=③기타_가정!$E$16,AY121+AZ115,0)</f>
        <v>0</v>
      </c>
      <c r="BA117" s="37" t="n">
        <f aca="false">IF(BA6=③기타_가정!$E$16,AZ121+BA115,0)</f>
        <v>0</v>
      </c>
      <c r="BB117" s="37" t="n">
        <f aca="false">IF(BB6=③기타_가정!$E$16,BA121+BB115,0)</f>
        <v>0</v>
      </c>
      <c r="BC117" s="37" t="n">
        <f aca="false">IF(BC6=③기타_가정!$E$16,BB121+BC115,0)</f>
        <v>0</v>
      </c>
      <c r="BD117" s="37" t="n">
        <f aca="false">IF(BD6=③기타_가정!$E$16,BC121+BD115,0)</f>
        <v>0</v>
      </c>
      <c r="BE117" s="37" t="n">
        <f aca="false">IF(BE6=③기타_가정!$E$16,BD121+BE115,0)</f>
        <v>0</v>
      </c>
      <c r="BF117" s="37" t="n">
        <f aca="false">IF(BF6=③기타_가정!$E$16,BE121+BF115,0)</f>
        <v>0</v>
      </c>
      <c r="BG117" s="37" t="n">
        <f aca="false">IF(BG6=③기타_가정!$E$16,BF121+BG115,0)</f>
        <v>0</v>
      </c>
      <c r="BH117" s="37" t="n">
        <f aca="false">IF(BH6=③기타_가정!$E$16,BG121+BH115,0)</f>
        <v>0</v>
      </c>
      <c r="BI117" s="37" t="n">
        <f aca="false">IF(BI6=③기타_가정!$E$16,BH121+BI115,0)</f>
        <v>0</v>
      </c>
      <c r="BJ117" s="37" t="n">
        <f aca="false">IF(BJ6=③기타_가정!$E$16,BI121+BJ115,0)</f>
        <v>0</v>
      </c>
      <c r="BK117" s="37" t="n">
        <f aca="false">IF(BK6=③기타_가정!$E$16,BJ121+BK115,0)</f>
        <v>0</v>
      </c>
      <c r="BL117" s="37" t="n">
        <f aca="false">IF(BL6=③기타_가정!$E$16,BK121+BL115,0)</f>
        <v>397064.20819628</v>
      </c>
      <c r="BM117" s="37" t="n">
        <f aca="false">IF(BM6=③기타_가정!$E$16,BL121+BM115,0)</f>
        <v>0</v>
      </c>
      <c r="BN117" s="37" t="n">
        <f aca="false">IF(BN6=③기타_가정!$E$16,BM121+BN115,0)</f>
        <v>0</v>
      </c>
      <c r="BO117" s="37" t="n">
        <f aca="false">IF(BO6=③기타_가정!$E$16,BN121+BO115,0)</f>
        <v>0</v>
      </c>
      <c r="BP117" s="37" t="n">
        <f aca="false">IF(BP6=③기타_가정!$E$16,BO121+BP115,0)</f>
        <v>0</v>
      </c>
      <c r="BQ117" s="37" t="n">
        <f aca="false">IF(BQ6=③기타_가정!$E$16,BP121+BQ115,0)</f>
        <v>0</v>
      </c>
      <c r="BR117" s="37" t="n">
        <f aca="false">IF(BR6=③기타_가정!$E$16,BQ121+BR115,0)</f>
        <v>0</v>
      </c>
      <c r="BS117" s="37" t="n">
        <f aca="false">IF(BS6=③기타_가정!$E$16,BR121+BS115,0)</f>
        <v>0</v>
      </c>
      <c r="BT117" s="37" t="n">
        <f aca="false">IF(BT6=③기타_가정!$E$16,BS121+BT115,0)</f>
        <v>0</v>
      </c>
      <c r="BU117" s="37" t="n">
        <f aca="false">IF(BU6=③기타_가정!$E$16,BT121+BU115,0)</f>
        <v>0</v>
      </c>
      <c r="BV117" s="37" t="n">
        <f aca="false">IF(BV6=③기타_가정!$E$16,BU121+BV115,0)</f>
        <v>0</v>
      </c>
      <c r="BW117" s="37" t="n">
        <f aca="false">IF(BW6=③기타_가정!$E$16,BV121+BW115,0)</f>
        <v>0</v>
      </c>
      <c r="BX117" s="37" t="n">
        <f aca="false">IF(BX6=③기타_가정!$E$16,BW121+BX115,0)</f>
        <v>0</v>
      </c>
      <c r="BY117" s="37" t="n">
        <f aca="false">IF(BY6=③기타_가정!$E$16,BX121+BY115,0)</f>
        <v>0</v>
      </c>
      <c r="BZ117" s="37" t="n">
        <f aca="false">IF(BZ6=③기타_가정!$E$16,BY121+BZ115,0)</f>
        <v>0</v>
      </c>
      <c r="CA117" s="37" t="n">
        <f aca="false">IF(CA6=③기타_가정!$E$16,BZ121+CA115,0)</f>
        <v>0</v>
      </c>
      <c r="CB117" s="37" t="n">
        <f aca="false">IF(CB6=③기타_가정!$E$16,CA121+CB115,0)</f>
        <v>0</v>
      </c>
      <c r="CC117" s="37" t="n">
        <f aca="false">IF(CC6=③기타_가정!$E$16,CB121+CC115,0)</f>
        <v>0</v>
      </c>
      <c r="CD117" s="37" t="n">
        <f aca="false">IF(CD6=③기타_가정!$E$16,CC121+CD115,0)</f>
        <v>0</v>
      </c>
      <c r="CE117" s="37" t="n">
        <f aca="false">IF(CE6=③기타_가정!$E$16,CD121+CE115,0)</f>
        <v>0</v>
      </c>
      <c r="CF117" s="37" t="n">
        <f aca="false">IF(CF6=③기타_가정!$E$16,CE121+CF115,0)</f>
        <v>0</v>
      </c>
      <c r="CG117" s="37" t="n">
        <f aca="false">IF(CG6=③기타_가정!$E$16,CF121+CG115,0)</f>
        <v>0</v>
      </c>
      <c r="CH117" s="37" t="n">
        <f aca="false">IF(CH6=③기타_가정!$E$16,CG121+CH115,0)</f>
        <v>0</v>
      </c>
      <c r="CI117" s="37" t="n">
        <f aca="false">IF(CI6=③기타_가정!$E$16,CH121+CI115,0)</f>
        <v>0</v>
      </c>
      <c r="CJ117" s="37" t="n">
        <f aca="false">IF(CJ6=③기타_가정!$E$16,CI121+CJ115,0)</f>
        <v>0</v>
      </c>
      <c r="CK117" s="37" t="n">
        <f aca="false">IF(CK6=③기타_가정!$E$16,CJ121+CK115,0)</f>
        <v>0</v>
      </c>
      <c r="CL117" s="37" t="n">
        <f aca="false">IF(CL6=③기타_가정!$E$16,CK121+CL115,0)</f>
        <v>0</v>
      </c>
      <c r="CM117" s="37" t="n">
        <f aca="false">IF(CM6=③기타_가정!$E$16,CL121+CM115,0)</f>
        <v>0</v>
      </c>
      <c r="CN117" s="37" t="n">
        <f aca="false">IF(CN6=③기타_가정!$E$16,CM121+CN115,0)</f>
        <v>0</v>
      </c>
      <c r="CO117" s="37" t="n">
        <f aca="false">IF(CO6=③기타_가정!$E$16,CN121+CO115,0)</f>
        <v>0</v>
      </c>
      <c r="CP117" s="37" t="n">
        <f aca="false">IF(CP6=③기타_가정!$E$16,CO121+CP115,0)</f>
        <v>0</v>
      </c>
      <c r="CQ117" s="37" t="n">
        <f aca="false">IF(CQ6=③기타_가정!$E$16,CP121+CQ115,0)</f>
        <v>0</v>
      </c>
      <c r="CR117" s="37" t="n">
        <f aca="false">IF(CR6=③기타_가정!$E$16,CQ121+CR115,0)</f>
        <v>0</v>
      </c>
      <c r="CS117" s="37" t="n">
        <f aca="false">IF(CS6=③기타_가정!$E$16,CR121+CS115,0)</f>
        <v>0</v>
      </c>
      <c r="CT117" s="37" t="n">
        <f aca="false">IF(CT6=③기타_가정!$E$16,CS121+CT115,0)</f>
        <v>0</v>
      </c>
      <c r="CU117" s="37" t="n">
        <f aca="false">IF(CU6=③기타_가정!$E$16,CT121+CU115,0)</f>
        <v>0</v>
      </c>
      <c r="CV117" s="37" t="n">
        <f aca="false">IF(CV6=③기타_가정!$E$16,CU121+CV115,0)</f>
        <v>0</v>
      </c>
      <c r="CW117" s="37" t="n">
        <f aca="false">IF(CW6=③기타_가정!$E$16,CV121+CW115,0)</f>
        <v>0</v>
      </c>
      <c r="CX117" s="37" t="n">
        <f aca="false">IF(CX6=③기타_가정!$E$16,CW121+CX115,0)</f>
        <v>0</v>
      </c>
      <c r="CY117" s="37" t="n">
        <f aca="false">IF(CY6=③기타_가정!$E$16,CX121+CY115,0)</f>
        <v>0</v>
      </c>
      <c r="CZ117" s="37" t="n">
        <f aca="false">IF(CZ6=③기타_가정!$E$16,CY121+CZ115,0)</f>
        <v>0</v>
      </c>
      <c r="DA117" s="37" t="n">
        <f aca="false">IF(DA6=③기타_가정!$E$16,CZ121+DA115,0)</f>
        <v>0</v>
      </c>
      <c r="DB117" s="37" t="n">
        <f aca="false">IF(DB6=③기타_가정!$E$16,DA121+DB115,0)</f>
        <v>0</v>
      </c>
      <c r="DC117" s="37" t="n">
        <f aca="false">IF(DC6=③기타_가정!$E$16,DB121+DC115,0)</f>
        <v>0</v>
      </c>
      <c r="DD117" s="37" t="n">
        <f aca="false">IF(DD6=③기타_가정!$E$16,DC121+DD115,0)</f>
        <v>0</v>
      </c>
      <c r="DE117" s="37" t="n">
        <f aca="false">IF(DE6=③기타_가정!$E$16,DD121+DE115,0)</f>
        <v>0</v>
      </c>
      <c r="DF117" s="37" t="n">
        <f aca="false">IF(DF6=③기타_가정!$E$16,DE121+DF115,0)</f>
        <v>0</v>
      </c>
      <c r="DG117" s="37" t="n">
        <f aca="false">IF(DG6=③기타_가정!$E$16,DF121+DG115,0)</f>
        <v>0</v>
      </c>
      <c r="DH117" s="37" t="n">
        <f aca="false">IF(DH6=③기타_가정!$E$16,DG121+DH115,0)</f>
        <v>0</v>
      </c>
      <c r="DI117" s="37" t="n">
        <f aca="false">IF(DI6=③기타_가정!$E$16,DH121+DI115,0)</f>
        <v>0</v>
      </c>
      <c r="DJ117" s="37" t="n">
        <f aca="false">IF(DJ6=③기타_가정!$E$16,DI121+DJ115,0)</f>
        <v>0</v>
      </c>
      <c r="DK117" s="37" t="n">
        <f aca="false">IF(DK6=③기타_가정!$E$16,DJ121+DK115,0)</f>
        <v>0</v>
      </c>
      <c r="DL117" s="37" t="n">
        <f aca="false">IF(DL6=③기타_가정!$E$16,DK121+DL115,0)</f>
        <v>0</v>
      </c>
      <c r="DM117" s="37" t="n">
        <f aca="false">IF(DM6=③기타_가정!$E$16,DL121+DM115,0)</f>
        <v>0</v>
      </c>
      <c r="DN117" s="37" t="n">
        <f aca="false">IF(DN6=③기타_가정!$E$16,DM121+DN115,0)</f>
        <v>0</v>
      </c>
      <c r="DO117" s="37" t="n">
        <f aca="false">IF(DO6=③기타_가정!$E$16,DN121+DO115,0)</f>
        <v>0</v>
      </c>
      <c r="DP117" s="37" t="n">
        <f aca="false">IF(DP6=③기타_가정!$E$16,DO121+DP115,0)</f>
        <v>0</v>
      </c>
      <c r="DQ117" s="37" t="n">
        <f aca="false">IF(DQ6=③기타_가정!$E$16,DP121+DQ115,0)</f>
        <v>0</v>
      </c>
      <c r="DR117" s="37" t="n">
        <f aca="false">IF(DR6=③기타_가정!$E$16,DQ121+DR115,0)</f>
        <v>0</v>
      </c>
      <c r="DS117" s="37" t="n">
        <f aca="false">IF(DS6=③기타_가정!$E$16,DR121+DS115,0)</f>
        <v>0</v>
      </c>
      <c r="DT117" s="37" t="n">
        <f aca="false">IF(DT6=③기타_가정!$E$16,DS121+DT115,0)</f>
        <v>0</v>
      </c>
      <c r="DU117" s="37" t="n">
        <f aca="false">IF(DU6=③기타_가정!$E$16,DT121+DU115,0)</f>
        <v>0</v>
      </c>
      <c r="DV117" s="37" t="n">
        <f aca="false">IF(DV6=③기타_가정!$E$16,DU121+DV115,0)</f>
        <v>0</v>
      </c>
      <c r="DW117" s="37" t="n">
        <f aca="false">IF(DW6=③기타_가정!$E$16,DV121+DW115,0)</f>
        <v>0</v>
      </c>
      <c r="DX117" s="37" t="n">
        <f aca="false">IF(DX6=③기타_가정!$E$16,DW121+DX115,0)</f>
        <v>0</v>
      </c>
      <c r="DY117" s="37" t="n">
        <f aca="false">IF(DY6=③기타_가정!$E$16,DX121+DY115,0)</f>
        <v>0</v>
      </c>
      <c r="DZ117" s="37" t="n">
        <f aca="false">IF(DZ6=③기타_가정!$E$16,DY121+DZ115,0)</f>
        <v>0</v>
      </c>
      <c r="EA117" s="37" t="n">
        <f aca="false">IF(EA6=③기타_가정!$E$16,DZ121+EA115,0)</f>
        <v>0</v>
      </c>
      <c r="EB117" s="37" t="n">
        <f aca="false">IF(EB6=③기타_가정!$E$16,EA121+EB115,0)</f>
        <v>0</v>
      </c>
      <c r="EC117" s="37" t="n">
        <f aca="false">IF(EC6=③기타_가정!$E$16,EB121+EC115,0)</f>
        <v>0</v>
      </c>
      <c r="ED117" s="37" t="n">
        <f aca="false">IF(ED6=③기타_가정!$E$16,EC121+ED115,0)</f>
        <v>0</v>
      </c>
      <c r="EE117" s="37" t="n">
        <f aca="false">IF(EE6=③기타_가정!$E$16,ED121+EE115,0)</f>
        <v>0</v>
      </c>
      <c r="EF117" s="37" t="n">
        <f aca="false">IF(EF6=③기타_가정!$E$16,EE121+EF115,0)</f>
        <v>0</v>
      </c>
    </row>
    <row r="118" customFormat="false" ht="15" hidden="false" customHeight="false" outlineLevel="0" collapsed="false">
      <c r="A118" s="153" t="s">
        <v>657</v>
      </c>
      <c r="B118" s="278" t="s">
        <v>21</v>
      </c>
      <c r="C118" s="279" t="n">
        <f aca="false">SUM(E118:EF118)</f>
        <v>120151.073498541</v>
      </c>
      <c r="E118" s="37" t="n">
        <f aca="false">IF(E6=③기타_가정!$E$16,0+E114,0)</f>
        <v>0</v>
      </c>
      <c r="F118" s="37" t="n">
        <f aca="false">IF(F6=③기타_가정!$E$16,E122+F114,0)</f>
        <v>0</v>
      </c>
      <c r="G118" s="37" t="n">
        <f aca="false">IF(G6=③기타_가정!$E$16,F122+G114,0)</f>
        <v>0</v>
      </c>
      <c r="H118" s="37" t="n">
        <f aca="false">IF(H6=③기타_가정!$E$16,G122+H114,0)</f>
        <v>0</v>
      </c>
      <c r="I118" s="37" t="n">
        <f aca="false">IF(I6=③기타_가정!$E$16,H122+I114,0)</f>
        <v>0</v>
      </c>
      <c r="J118" s="37" t="n">
        <f aca="false">IF(J6=③기타_가정!$E$16,I122+J114,0)</f>
        <v>0</v>
      </c>
      <c r="K118" s="37" t="n">
        <f aca="false">IF(K6=③기타_가정!$E$16,J122+K114,0)</f>
        <v>0</v>
      </c>
      <c r="L118" s="37" t="n">
        <f aca="false">IF(L6=③기타_가정!$E$16,K122+L114,0)</f>
        <v>0</v>
      </c>
      <c r="M118" s="37" t="n">
        <f aca="false">IF(M6=③기타_가정!$E$16,L122+M114,0)</f>
        <v>0</v>
      </c>
      <c r="N118" s="37" t="n">
        <f aca="false">IF(N6=③기타_가정!$E$16,M122+N114,0)</f>
        <v>0</v>
      </c>
      <c r="O118" s="37" t="n">
        <f aca="false">IF(O6=③기타_가정!$E$16,N122+O114,0)</f>
        <v>0</v>
      </c>
      <c r="P118" s="37" t="n">
        <f aca="false">IF(P6=③기타_가정!$E$16,O122+P114,0)</f>
        <v>0</v>
      </c>
      <c r="Q118" s="37" t="n">
        <f aca="false">IF(Q6=③기타_가정!$E$16,P122+Q114,0)</f>
        <v>0</v>
      </c>
      <c r="R118" s="37" t="n">
        <f aca="false">IF(R6=③기타_가정!$E$16,Q122+R114,0)</f>
        <v>0</v>
      </c>
      <c r="S118" s="37" t="n">
        <f aca="false">IF(S6=③기타_가정!$E$16,R122+S114,0)</f>
        <v>0</v>
      </c>
      <c r="T118" s="37" t="n">
        <f aca="false">IF(T6=③기타_가정!$E$16,S122+T114,0)</f>
        <v>0</v>
      </c>
      <c r="U118" s="37" t="n">
        <f aca="false">IF(U6=③기타_가정!$E$16,T122+U114,0)</f>
        <v>0</v>
      </c>
      <c r="V118" s="37" t="n">
        <f aca="false">IF(V6=③기타_가정!$E$16,U122+V114,0)</f>
        <v>0</v>
      </c>
      <c r="W118" s="37" t="n">
        <f aca="false">IF(W6=③기타_가정!$E$16,V122+W114,0)</f>
        <v>0</v>
      </c>
      <c r="X118" s="37" t="n">
        <f aca="false">IF(X6=③기타_가정!$E$16,W122+X114,0)</f>
        <v>0</v>
      </c>
      <c r="Y118" s="37" t="n">
        <f aca="false">IF(Y6=③기타_가정!$E$16,X122+Y114,0)</f>
        <v>0</v>
      </c>
      <c r="Z118" s="37" t="n">
        <f aca="false">IF(Z6=③기타_가정!$E$16,Y122+Z114,0)</f>
        <v>0</v>
      </c>
      <c r="AA118" s="37" t="n">
        <f aca="false">IF(AA6=③기타_가정!$E$16,Z122+AA114,0)</f>
        <v>0</v>
      </c>
      <c r="AB118" s="37" t="n">
        <f aca="false">IF(AB6=③기타_가정!$E$16,AA122+AB114,0)</f>
        <v>0</v>
      </c>
      <c r="AC118" s="37" t="n">
        <f aca="false">IF(AC6=③기타_가정!$E$16,AB122+AC114,0)</f>
        <v>0</v>
      </c>
      <c r="AD118" s="37" t="n">
        <f aca="false">IF(AD6=③기타_가정!$E$16,AC122+AD114,0)</f>
        <v>0</v>
      </c>
      <c r="AE118" s="37" t="n">
        <f aca="false">IF(AE6=③기타_가정!$E$16,AD122+AE114,0)</f>
        <v>0</v>
      </c>
      <c r="AF118" s="37" t="n">
        <f aca="false">IF(AF6=③기타_가정!$E$16,AE122+AF114,0)</f>
        <v>0</v>
      </c>
      <c r="AG118" s="37" t="n">
        <f aca="false">IF(AG6=③기타_가정!$E$16,AF122+AG114,0)</f>
        <v>0</v>
      </c>
      <c r="AH118" s="37" t="n">
        <f aca="false">IF(AH6=③기타_가정!$E$16,AG122+AH114,0)</f>
        <v>0</v>
      </c>
      <c r="AI118" s="37" t="n">
        <f aca="false">IF(AI6=③기타_가정!$E$16,AH122+AI114,0)</f>
        <v>0</v>
      </c>
      <c r="AJ118" s="37" t="n">
        <f aca="false">IF(AJ6=③기타_가정!$E$16,AI122+AJ114,0)</f>
        <v>0</v>
      </c>
      <c r="AK118" s="37" t="n">
        <f aca="false">IF(AK6=③기타_가정!$E$16,AJ122+AK114,0)</f>
        <v>0</v>
      </c>
      <c r="AL118" s="37" t="n">
        <f aca="false">IF(AL6=③기타_가정!$E$16,AK122+AL114,0)</f>
        <v>0</v>
      </c>
      <c r="AM118" s="37" t="n">
        <f aca="false">IF(AM6=③기타_가정!$E$16,AL122+AM114,0)</f>
        <v>0</v>
      </c>
      <c r="AN118" s="37" t="n">
        <f aca="false">IF(AN6=③기타_가정!$E$16,AM122+AN114,0)</f>
        <v>0</v>
      </c>
      <c r="AO118" s="37" t="n">
        <f aca="false">IF(AO6=③기타_가정!$E$16,AN122+AO114,0)</f>
        <v>0</v>
      </c>
      <c r="AP118" s="37" t="n">
        <f aca="false">IF(AP6=③기타_가정!$E$16,AO122+AP114,0)</f>
        <v>0</v>
      </c>
      <c r="AQ118" s="37" t="n">
        <f aca="false">IF(AQ6=③기타_가정!$E$16,AP122+AQ114,0)</f>
        <v>0</v>
      </c>
      <c r="AR118" s="37" t="n">
        <f aca="false">IF(AR6=③기타_가정!$E$16,AQ122+AR114,0)</f>
        <v>0</v>
      </c>
      <c r="AS118" s="37" t="n">
        <f aca="false">IF(AS6=③기타_가정!$E$16,AR122+AS114,0)</f>
        <v>0</v>
      </c>
      <c r="AT118" s="37" t="n">
        <f aca="false">IF(AT6=③기타_가정!$E$16,AS122+AT114,0)</f>
        <v>0</v>
      </c>
      <c r="AU118" s="37" t="n">
        <f aca="false">IF(AU6=③기타_가정!$E$16,AT122+AU114,0)</f>
        <v>0</v>
      </c>
      <c r="AV118" s="37" t="n">
        <f aca="false">IF(AV6=③기타_가정!$E$16,AU122+AV114,0)</f>
        <v>0</v>
      </c>
      <c r="AW118" s="37" t="n">
        <f aca="false">IF(AW6=③기타_가정!$E$16,AV122+AW114,0)</f>
        <v>0</v>
      </c>
      <c r="AX118" s="37" t="n">
        <f aca="false">IF(AX6=③기타_가정!$E$16,AW122+AX114,0)</f>
        <v>0</v>
      </c>
      <c r="AY118" s="37" t="n">
        <f aca="false">IF(AY6=③기타_가정!$E$16,AX122+AY114,0)</f>
        <v>0</v>
      </c>
      <c r="AZ118" s="37" t="n">
        <f aca="false">IF(AZ6=③기타_가정!$E$16,AY122+AZ114,0)</f>
        <v>0</v>
      </c>
      <c r="BA118" s="37" t="n">
        <f aca="false">IF(BA6=③기타_가정!$E$16,AZ122+BA114,0)</f>
        <v>0</v>
      </c>
      <c r="BB118" s="37" t="n">
        <f aca="false">IF(BB6=③기타_가정!$E$16,BA122+BB114,0)</f>
        <v>0</v>
      </c>
      <c r="BC118" s="37" t="n">
        <f aca="false">IF(BC6=③기타_가정!$E$16,BB122+BC114,0)</f>
        <v>0</v>
      </c>
      <c r="BD118" s="37" t="n">
        <f aca="false">IF(BD6=③기타_가정!$E$16,BC122+BD114,0)</f>
        <v>0</v>
      </c>
      <c r="BE118" s="37" t="n">
        <f aca="false">IF(BE6=③기타_가정!$E$16,BD122+BE114,0)</f>
        <v>0</v>
      </c>
      <c r="BF118" s="37" t="n">
        <f aca="false">IF(BF6=③기타_가정!$E$16,BE122+BF114,0)</f>
        <v>0</v>
      </c>
      <c r="BG118" s="37" t="n">
        <f aca="false">IF(BG6=③기타_가정!$E$16,BF122+BG114,0)</f>
        <v>0</v>
      </c>
      <c r="BH118" s="37" t="n">
        <f aca="false">IF(BH6=③기타_가정!$E$16,BG122+BH114,0)</f>
        <v>0</v>
      </c>
      <c r="BI118" s="37" t="n">
        <f aca="false">IF(BI6=③기타_가정!$E$16,BH122+BI114,0)</f>
        <v>0</v>
      </c>
      <c r="BJ118" s="37" t="n">
        <f aca="false">IF(BJ6=③기타_가정!$E$16,BI122+BJ114,0)</f>
        <v>0</v>
      </c>
      <c r="BK118" s="37" t="n">
        <f aca="false">IF(BK6=③기타_가정!$E$16,BJ122+BK114,0)</f>
        <v>0</v>
      </c>
      <c r="BL118" s="37" t="n">
        <f aca="false">IF(BL6=③기타_가정!$E$16,BK122+BL114,0)</f>
        <v>120151.073498541</v>
      </c>
      <c r="BM118" s="37" t="n">
        <f aca="false">IF(BM6=③기타_가정!$E$16,BL122+BM114,0)</f>
        <v>0</v>
      </c>
      <c r="BN118" s="37" t="n">
        <f aca="false">IF(BN6=③기타_가정!$E$16,BM122+BN114,0)</f>
        <v>0</v>
      </c>
      <c r="BO118" s="37" t="n">
        <f aca="false">IF(BO6=③기타_가정!$E$16,BN122+BO114,0)</f>
        <v>0</v>
      </c>
      <c r="BP118" s="37" t="n">
        <f aca="false">IF(BP6=③기타_가정!$E$16,BO122+BP114,0)</f>
        <v>0</v>
      </c>
      <c r="BQ118" s="37" t="n">
        <f aca="false">IF(BQ6=③기타_가정!$E$16,BP122+BQ114,0)</f>
        <v>0</v>
      </c>
      <c r="BR118" s="37" t="n">
        <f aca="false">IF(BR6=③기타_가정!$E$16,BQ122+BR114,0)</f>
        <v>0</v>
      </c>
      <c r="BS118" s="37" t="n">
        <f aca="false">IF(BS6=③기타_가정!$E$16,BR122+BS114,0)</f>
        <v>0</v>
      </c>
      <c r="BT118" s="37" t="n">
        <f aca="false">IF(BT6=③기타_가정!$E$16,BS122+BT114,0)</f>
        <v>0</v>
      </c>
      <c r="BU118" s="37" t="n">
        <f aca="false">IF(BU6=③기타_가정!$E$16,BT122+BU114,0)</f>
        <v>0</v>
      </c>
      <c r="BV118" s="37" t="n">
        <f aca="false">IF(BV6=③기타_가정!$E$16,BU122+BV114,0)</f>
        <v>0</v>
      </c>
      <c r="BW118" s="37" t="n">
        <f aca="false">IF(BW6=③기타_가정!$E$16,BV122+BW114,0)</f>
        <v>0</v>
      </c>
      <c r="BX118" s="37" t="n">
        <f aca="false">IF(BX6=③기타_가정!$E$16,BW122+BX114,0)</f>
        <v>0</v>
      </c>
      <c r="BY118" s="37" t="n">
        <f aca="false">IF(BY6=③기타_가정!$E$16,BX122+BY114,0)</f>
        <v>0</v>
      </c>
      <c r="BZ118" s="37" t="n">
        <f aca="false">IF(BZ6=③기타_가정!$E$16,BY122+BZ114,0)</f>
        <v>0</v>
      </c>
      <c r="CA118" s="37" t="n">
        <f aca="false">IF(CA6=③기타_가정!$E$16,BZ122+CA114,0)</f>
        <v>0</v>
      </c>
      <c r="CB118" s="37" t="n">
        <f aca="false">IF(CB6=③기타_가정!$E$16,CA122+CB114,0)</f>
        <v>0</v>
      </c>
      <c r="CC118" s="37" t="n">
        <f aca="false">IF(CC6=③기타_가정!$E$16,CB122+CC114,0)</f>
        <v>0</v>
      </c>
      <c r="CD118" s="37" t="n">
        <f aca="false">IF(CD6=③기타_가정!$E$16,CC122+CD114,0)</f>
        <v>0</v>
      </c>
      <c r="CE118" s="37" t="n">
        <f aca="false">IF(CE6=③기타_가정!$E$16,CD122+CE114,0)</f>
        <v>0</v>
      </c>
      <c r="CF118" s="37" t="n">
        <f aca="false">IF(CF6=③기타_가정!$E$16,CE122+CF114,0)</f>
        <v>0</v>
      </c>
      <c r="CG118" s="37" t="n">
        <f aca="false">IF(CG6=③기타_가정!$E$16,CF122+CG114,0)</f>
        <v>0</v>
      </c>
      <c r="CH118" s="37" t="n">
        <f aca="false">IF(CH6=③기타_가정!$E$16,CG122+CH114,0)</f>
        <v>0</v>
      </c>
      <c r="CI118" s="37" t="n">
        <f aca="false">IF(CI6=③기타_가정!$E$16,CH122+CI114,0)</f>
        <v>0</v>
      </c>
      <c r="CJ118" s="37" t="n">
        <f aca="false">IF(CJ6=③기타_가정!$E$16,CI122+CJ114,0)</f>
        <v>0</v>
      </c>
      <c r="CK118" s="37" t="n">
        <f aca="false">IF(CK6=③기타_가정!$E$16,CJ122+CK114,0)</f>
        <v>0</v>
      </c>
      <c r="CL118" s="37" t="n">
        <f aca="false">IF(CL6=③기타_가정!$E$16,CK122+CL114,0)</f>
        <v>0</v>
      </c>
      <c r="CM118" s="37" t="n">
        <f aca="false">IF(CM6=③기타_가정!$E$16,CL122+CM114,0)</f>
        <v>0</v>
      </c>
      <c r="CN118" s="37" t="n">
        <f aca="false">IF(CN6=③기타_가정!$E$16,CM122+CN114,0)</f>
        <v>0</v>
      </c>
      <c r="CO118" s="37" t="n">
        <f aca="false">IF(CO6=③기타_가정!$E$16,CN122+CO114,0)</f>
        <v>0</v>
      </c>
      <c r="CP118" s="37" t="n">
        <f aca="false">IF(CP6=③기타_가정!$E$16,CO122+CP114,0)</f>
        <v>0</v>
      </c>
      <c r="CQ118" s="37" t="n">
        <f aca="false">IF(CQ6=③기타_가정!$E$16,CP122+CQ114,0)</f>
        <v>0</v>
      </c>
      <c r="CR118" s="37" t="n">
        <f aca="false">IF(CR6=③기타_가정!$E$16,CQ122+CR114,0)</f>
        <v>0</v>
      </c>
      <c r="CS118" s="37" t="n">
        <f aca="false">IF(CS6=③기타_가정!$E$16,CR122+CS114,0)</f>
        <v>0</v>
      </c>
      <c r="CT118" s="37" t="n">
        <f aca="false">IF(CT6=③기타_가정!$E$16,CS122+CT114,0)</f>
        <v>0</v>
      </c>
      <c r="CU118" s="37" t="n">
        <f aca="false">IF(CU6=③기타_가정!$E$16,CT122+CU114,0)</f>
        <v>0</v>
      </c>
      <c r="CV118" s="37" t="n">
        <f aca="false">IF(CV6=③기타_가정!$E$16,CU122+CV114,0)</f>
        <v>0</v>
      </c>
      <c r="CW118" s="37" t="n">
        <f aca="false">IF(CW6=③기타_가정!$E$16,CV122+CW114,0)</f>
        <v>0</v>
      </c>
      <c r="CX118" s="37" t="n">
        <f aca="false">IF(CX6=③기타_가정!$E$16,CW122+CX114,0)</f>
        <v>0</v>
      </c>
      <c r="CY118" s="37" t="n">
        <f aca="false">IF(CY6=③기타_가정!$E$16,CX122+CY114,0)</f>
        <v>0</v>
      </c>
      <c r="CZ118" s="37" t="n">
        <f aca="false">IF(CZ6=③기타_가정!$E$16,CY122+CZ114,0)</f>
        <v>0</v>
      </c>
      <c r="DA118" s="37" t="n">
        <f aca="false">IF(DA6=③기타_가정!$E$16,CZ122+DA114,0)</f>
        <v>0</v>
      </c>
      <c r="DB118" s="37" t="n">
        <f aca="false">IF(DB6=③기타_가정!$E$16,DA122+DB114,0)</f>
        <v>0</v>
      </c>
      <c r="DC118" s="37" t="n">
        <f aca="false">IF(DC6=③기타_가정!$E$16,DB122+DC114,0)</f>
        <v>0</v>
      </c>
      <c r="DD118" s="37" t="n">
        <f aca="false">IF(DD6=③기타_가정!$E$16,DC122+DD114,0)</f>
        <v>0</v>
      </c>
      <c r="DE118" s="37" t="n">
        <f aca="false">IF(DE6=③기타_가정!$E$16,DD122+DE114,0)</f>
        <v>0</v>
      </c>
      <c r="DF118" s="37" t="n">
        <f aca="false">IF(DF6=③기타_가정!$E$16,DE122+DF114,0)</f>
        <v>0</v>
      </c>
      <c r="DG118" s="37" t="n">
        <f aca="false">IF(DG6=③기타_가정!$E$16,DF122+DG114,0)</f>
        <v>0</v>
      </c>
      <c r="DH118" s="37" t="n">
        <f aca="false">IF(DH6=③기타_가정!$E$16,DG122+DH114,0)</f>
        <v>0</v>
      </c>
      <c r="DI118" s="37" t="n">
        <f aca="false">IF(DI6=③기타_가정!$E$16,DH122+DI114,0)</f>
        <v>0</v>
      </c>
      <c r="DJ118" s="37" t="n">
        <f aca="false">IF(DJ6=③기타_가정!$E$16,DI122+DJ114,0)</f>
        <v>0</v>
      </c>
      <c r="DK118" s="37" t="n">
        <f aca="false">IF(DK6=③기타_가정!$E$16,DJ122+DK114,0)</f>
        <v>0</v>
      </c>
      <c r="DL118" s="37" t="n">
        <f aca="false">IF(DL6=③기타_가정!$E$16,DK122+DL114,0)</f>
        <v>0</v>
      </c>
      <c r="DM118" s="37" t="n">
        <f aca="false">IF(DM6=③기타_가정!$E$16,DL122+DM114,0)</f>
        <v>0</v>
      </c>
      <c r="DN118" s="37" t="n">
        <f aca="false">IF(DN6=③기타_가정!$E$16,DM122+DN114,0)</f>
        <v>0</v>
      </c>
      <c r="DO118" s="37" t="n">
        <f aca="false">IF(DO6=③기타_가정!$E$16,DN122+DO114,0)</f>
        <v>0</v>
      </c>
      <c r="DP118" s="37" t="n">
        <f aca="false">IF(DP6=③기타_가정!$E$16,DO122+DP114,0)</f>
        <v>0</v>
      </c>
      <c r="DQ118" s="37" t="n">
        <f aca="false">IF(DQ6=③기타_가정!$E$16,DP122+DQ114,0)</f>
        <v>0</v>
      </c>
      <c r="DR118" s="37" t="n">
        <f aca="false">IF(DR6=③기타_가정!$E$16,DQ122+DR114,0)</f>
        <v>0</v>
      </c>
      <c r="DS118" s="37" t="n">
        <f aca="false">IF(DS6=③기타_가정!$E$16,DR122+DS114,0)</f>
        <v>0</v>
      </c>
      <c r="DT118" s="37" t="n">
        <f aca="false">IF(DT6=③기타_가정!$E$16,DS122+DT114,0)</f>
        <v>0</v>
      </c>
      <c r="DU118" s="37" t="n">
        <f aca="false">IF(DU6=③기타_가정!$E$16,DT122+DU114,0)</f>
        <v>0</v>
      </c>
      <c r="DV118" s="37" t="n">
        <f aca="false">IF(DV6=③기타_가정!$E$16,DU122+DV114,0)</f>
        <v>0</v>
      </c>
      <c r="DW118" s="37" t="n">
        <f aca="false">IF(DW6=③기타_가정!$E$16,DV122+DW114,0)</f>
        <v>0</v>
      </c>
      <c r="DX118" s="37" t="n">
        <f aca="false">IF(DX6=③기타_가정!$E$16,DW122+DX114,0)</f>
        <v>0</v>
      </c>
      <c r="DY118" s="37" t="n">
        <f aca="false">IF(DY6=③기타_가정!$E$16,DX122+DY114,0)</f>
        <v>0</v>
      </c>
      <c r="DZ118" s="37" t="n">
        <f aca="false">IF(DZ6=③기타_가정!$E$16,DY122+DZ114,0)</f>
        <v>0</v>
      </c>
      <c r="EA118" s="37" t="n">
        <f aca="false">IF(EA6=③기타_가정!$E$16,DZ122+EA114,0)</f>
        <v>0</v>
      </c>
      <c r="EB118" s="37" t="n">
        <f aca="false">IF(EB6=③기타_가정!$E$16,EA122+EB114,0)</f>
        <v>0</v>
      </c>
      <c r="EC118" s="37" t="n">
        <f aca="false">IF(EC6=③기타_가정!$E$16,EB122+EC114,0)</f>
        <v>0</v>
      </c>
      <c r="ED118" s="37" t="n">
        <f aca="false">IF(ED6=③기타_가정!$E$16,EC122+ED114,0)</f>
        <v>0</v>
      </c>
      <c r="EE118" s="37" t="n">
        <f aca="false">IF(EE6=③기타_가정!$E$16,ED122+EE114,0)</f>
        <v>0</v>
      </c>
      <c r="EF118" s="37" t="n">
        <f aca="false">IF(EF6=③기타_가정!$E$16,EE122+EF114,0)</f>
        <v>0</v>
      </c>
    </row>
    <row r="119" customFormat="false" ht="15" hidden="false" customHeight="false" outlineLevel="0" collapsed="false">
      <c r="A119" s="153" t="s">
        <v>658</v>
      </c>
      <c r="B119" s="278" t="s">
        <v>21</v>
      </c>
      <c r="C119" s="279" t="n">
        <f aca="false">SUM(E119:EF119)</f>
        <v>120066.99297125</v>
      </c>
      <c r="E119" s="37" t="n">
        <f aca="false">IF(E6=③기타_가정!$E$16,0+E113,0)</f>
        <v>0</v>
      </c>
      <c r="F119" s="37" t="n">
        <f aca="false">IF(F6=③기타_가정!$E$16,E123+F113,0)</f>
        <v>0</v>
      </c>
      <c r="G119" s="37" t="n">
        <f aca="false">IF(G6=③기타_가정!$E$16,F123+G113,0)</f>
        <v>0</v>
      </c>
      <c r="H119" s="37" t="n">
        <f aca="false">IF(H6=③기타_가정!$E$16,G123+H113,0)</f>
        <v>0</v>
      </c>
      <c r="I119" s="37" t="n">
        <f aca="false">IF(I6=③기타_가정!$E$16,H123+I113,0)</f>
        <v>0</v>
      </c>
      <c r="J119" s="37" t="n">
        <f aca="false">IF(J6=③기타_가정!$E$16,I123+J113,0)</f>
        <v>0</v>
      </c>
      <c r="K119" s="37" t="n">
        <f aca="false">IF(K6=③기타_가정!$E$16,J123+K113,0)</f>
        <v>0</v>
      </c>
      <c r="L119" s="37" t="n">
        <f aca="false">IF(L6=③기타_가정!$E$16,K123+L113,0)</f>
        <v>0</v>
      </c>
      <c r="M119" s="37" t="n">
        <f aca="false">IF(M6=③기타_가정!$E$16,L123+M113,0)</f>
        <v>0</v>
      </c>
      <c r="N119" s="37" t="n">
        <f aca="false">IF(N6=③기타_가정!$E$16,M123+N113,0)</f>
        <v>0</v>
      </c>
      <c r="O119" s="37" t="n">
        <f aca="false">IF(O6=③기타_가정!$E$16,N123+O113,0)</f>
        <v>0</v>
      </c>
      <c r="P119" s="37" t="n">
        <f aca="false">IF(P6=③기타_가정!$E$16,O123+P113,0)</f>
        <v>0</v>
      </c>
      <c r="Q119" s="37" t="n">
        <f aca="false">IF(Q6=③기타_가정!$E$16,P123+Q113,0)</f>
        <v>0</v>
      </c>
      <c r="R119" s="37" t="n">
        <f aca="false">IF(R6=③기타_가정!$E$16,Q123+R113,0)</f>
        <v>0</v>
      </c>
      <c r="S119" s="37" t="n">
        <f aca="false">IF(S6=③기타_가정!$E$16,R123+S113,0)</f>
        <v>0</v>
      </c>
      <c r="T119" s="37" t="n">
        <f aca="false">IF(T6=③기타_가정!$E$16,S123+T113,0)</f>
        <v>0</v>
      </c>
      <c r="U119" s="37" t="n">
        <f aca="false">IF(U6=③기타_가정!$E$16,T123+U113,0)</f>
        <v>0</v>
      </c>
      <c r="V119" s="37" t="n">
        <f aca="false">IF(V6=③기타_가정!$E$16,U123+V113,0)</f>
        <v>0</v>
      </c>
      <c r="W119" s="37" t="n">
        <f aca="false">IF(W6=③기타_가정!$E$16,V123+W113,0)</f>
        <v>0</v>
      </c>
      <c r="X119" s="37" t="n">
        <f aca="false">IF(X6=③기타_가정!$E$16,W123+X113,0)</f>
        <v>0</v>
      </c>
      <c r="Y119" s="37" t="n">
        <f aca="false">IF(Y6=③기타_가정!$E$16,X123+Y113,0)</f>
        <v>0</v>
      </c>
      <c r="Z119" s="37" t="n">
        <f aca="false">IF(Z6=③기타_가정!$E$16,Y123+Z113,0)</f>
        <v>0</v>
      </c>
      <c r="AA119" s="37" t="n">
        <f aca="false">IF(AA6=③기타_가정!$E$16,Z123+AA113,0)</f>
        <v>0</v>
      </c>
      <c r="AB119" s="37" t="n">
        <f aca="false">IF(AB6=③기타_가정!$E$16,AA123+AB113,0)</f>
        <v>0</v>
      </c>
      <c r="AC119" s="37" t="n">
        <f aca="false">IF(AC6=③기타_가정!$E$16,AB123+AC113,0)</f>
        <v>0</v>
      </c>
      <c r="AD119" s="37" t="n">
        <f aca="false">IF(AD6=③기타_가정!$E$16,AC123+AD113,0)</f>
        <v>0</v>
      </c>
      <c r="AE119" s="37" t="n">
        <f aca="false">IF(AE6=③기타_가정!$E$16,AD123+AE113,0)</f>
        <v>0</v>
      </c>
      <c r="AF119" s="37" t="n">
        <f aca="false">IF(AF6=③기타_가정!$E$16,AE123+AF113,0)</f>
        <v>0</v>
      </c>
      <c r="AG119" s="37" t="n">
        <f aca="false">IF(AG6=③기타_가정!$E$16,AF123+AG113,0)</f>
        <v>0</v>
      </c>
      <c r="AH119" s="37" t="n">
        <f aca="false">IF(AH6=③기타_가정!$E$16,AG123+AH113,0)</f>
        <v>0</v>
      </c>
      <c r="AI119" s="37" t="n">
        <f aca="false">IF(AI6=③기타_가정!$E$16,AH123+AI113,0)</f>
        <v>0</v>
      </c>
      <c r="AJ119" s="37" t="n">
        <f aca="false">IF(AJ6=③기타_가정!$E$16,AI123+AJ113,0)</f>
        <v>0</v>
      </c>
      <c r="AK119" s="37" t="n">
        <f aca="false">IF(AK6=③기타_가정!$E$16,AJ123+AK113,0)</f>
        <v>0</v>
      </c>
      <c r="AL119" s="37" t="n">
        <f aca="false">IF(AL6=③기타_가정!$E$16,AK123+AL113,0)</f>
        <v>0</v>
      </c>
      <c r="AM119" s="37" t="n">
        <f aca="false">IF(AM6=③기타_가정!$E$16,AL123+AM113,0)</f>
        <v>0</v>
      </c>
      <c r="AN119" s="37" t="n">
        <f aca="false">IF(AN6=③기타_가정!$E$16,AM123+AN113,0)</f>
        <v>0</v>
      </c>
      <c r="AO119" s="37" t="n">
        <f aca="false">IF(AO6=③기타_가정!$E$16,AN123+AO113,0)</f>
        <v>0</v>
      </c>
      <c r="AP119" s="37" t="n">
        <f aca="false">IF(AP6=③기타_가정!$E$16,AO123+AP113,0)</f>
        <v>0</v>
      </c>
      <c r="AQ119" s="37" t="n">
        <f aca="false">IF(AQ6=③기타_가정!$E$16,AP123+AQ113,0)</f>
        <v>0</v>
      </c>
      <c r="AR119" s="37" t="n">
        <f aca="false">IF(AR6=③기타_가정!$E$16,AQ123+AR113,0)</f>
        <v>0</v>
      </c>
      <c r="AS119" s="37" t="n">
        <f aca="false">IF(AS6=③기타_가정!$E$16,AR123+AS113,0)</f>
        <v>0</v>
      </c>
      <c r="AT119" s="37" t="n">
        <f aca="false">IF(AT6=③기타_가정!$E$16,AS123+AT113,0)</f>
        <v>0</v>
      </c>
      <c r="AU119" s="37" t="n">
        <f aca="false">IF(AU6=③기타_가정!$E$16,AT123+AU113,0)</f>
        <v>0</v>
      </c>
      <c r="AV119" s="37" t="n">
        <f aca="false">IF(AV6=③기타_가정!$E$16,AU123+AV113,0)</f>
        <v>0</v>
      </c>
      <c r="AW119" s="37" t="n">
        <f aca="false">IF(AW6=③기타_가정!$E$16,AV123+AW113,0)</f>
        <v>0</v>
      </c>
      <c r="AX119" s="37" t="n">
        <f aca="false">IF(AX6=③기타_가정!$E$16,AW123+AX113,0)</f>
        <v>0</v>
      </c>
      <c r="AY119" s="37" t="n">
        <f aca="false">IF(AY6=③기타_가정!$E$16,AX123+AY113,0)</f>
        <v>0</v>
      </c>
      <c r="AZ119" s="37" t="n">
        <f aca="false">IF(AZ6=③기타_가정!$E$16,AY123+AZ113,0)</f>
        <v>0</v>
      </c>
      <c r="BA119" s="37" t="n">
        <f aca="false">IF(BA6=③기타_가정!$E$16,AZ123+BA113,0)</f>
        <v>0</v>
      </c>
      <c r="BB119" s="37" t="n">
        <f aca="false">IF(BB6=③기타_가정!$E$16,BA123+BB113,0)</f>
        <v>0</v>
      </c>
      <c r="BC119" s="37" t="n">
        <f aca="false">IF(BC6=③기타_가정!$E$16,BB123+BC113,0)</f>
        <v>0</v>
      </c>
      <c r="BD119" s="37" t="n">
        <f aca="false">IF(BD6=③기타_가정!$E$16,BC123+BD113,0)</f>
        <v>0</v>
      </c>
      <c r="BE119" s="37" t="n">
        <f aca="false">IF(BE6=③기타_가정!$E$16,BD123+BE113,0)</f>
        <v>0</v>
      </c>
      <c r="BF119" s="37" t="n">
        <f aca="false">IF(BF6=③기타_가정!$E$16,BE123+BF113,0)</f>
        <v>0</v>
      </c>
      <c r="BG119" s="37" t="n">
        <f aca="false">IF(BG6=③기타_가정!$E$16,BF123+BG113,0)</f>
        <v>0</v>
      </c>
      <c r="BH119" s="37" t="n">
        <f aca="false">IF(BH6=③기타_가정!$E$16,BG123+BH113,0)</f>
        <v>0</v>
      </c>
      <c r="BI119" s="37" t="n">
        <f aca="false">IF(BI6=③기타_가정!$E$16,BH123+BI113,0)</f>
        <v>0</v>
      </c>
      <c r="BJ119" s="37" t="n">
        <f aca="false">IF(BJ6=③기타_가정!$E$16,BI123+BJ113,0)</f>
        <v>0</v>
      </c>
      <c r="BK119" s="37" t="n">
        <f aca="false">IF(BK6=③기타_가정!$E$16,BJ123+BK113,0)</f>
        <v>0</v>
      </c>
      <c r="BL119" s="37" t="n">
        <f aca="false">IF(BL6=③기타_가정!$E$16,BK123+BL113,0)</f>
        <v>120066.99297125</v>
      </c>
      <c r="BM119" s="37" t="n">
        <f aca="false">IF(BM6=③기타_가정!$E$16,BL123+BM113,0)</f>
        <v>0</v>
      </c>
      <c r="BN119" s="37" t="n">
        <f aca="false">IF(BN6=③기타_가정!$E$16,BM123+BN113,0)</f>
        <v>0</v>
      </c>
      <c r="BO119" s="37" t="n">
        <f aca="false">IF(BO6=③기타_가정!$E$16,BN123+BO113,0)</f>
        <v>0</v>
      </c>
      <c r="BP119" s="37" t="n">
        <f aca="false">IF(BP6=③기타_가정!$E$16,BO123+BP113,0)</f>
        <v>0</v>
      </c>
      <c r="BQ119" s="37" t="n">
        <f aca="false">IF(BQ6=③기타_가정!$E$16,BP123+BQ113,0)</f>
        <v>0</v>
      </c>
      <c r="BR119" s="37" t="n">
        <f aca="false">IF(BR6=③기타_가정!$E$16,BQ123+BR113,0)</f>
        <v>0</v>
      </c>
      <c r="BS119" s="37" t="n">
        <f aca="false">IF(BS6=③기타_가정!$E$16,BR123+BS113,0)</f>
        <v>0</v>
      </c>
      <c r="BT119" s="37" t="n">
        <f aca="false">IF(BT6=③기타_가정!$E$16,BS123+BT113,0)</f>
        <v>0</v>
      </c>
      <c r="BU119" s="37" t="n">
        <f aca="false">IF(BU6=③기타_가정!$E$16,BT123+BU113,0)</f>
        <v>0</v>
      </c>
      <c r="BV119" s="37" t="n">
        <f aca="false">IF(BV6=③기타_가정!$E$16,BU123+BV113,0)</f>
        <v>0</v>
      </c>
      <c r="BW119" s="37" t="n">
        <f aca="false">IF(BW6=③기타_가정!$E$16,BV123+BW113,0)</f>
        <v>0</v>
      </c>
      <c r="BX119" s="37" t="n">
        <f aca="false">IF(BX6=③기타_가정!$E$16,BW123+BX113,0)</f>
        <v>0</v>
      </c>
      <c r="BY119" s="37" t="n">
        <f aca="false">IF(BY6=③기타_가정!$E$16,BX123+BY113,0)</f>
        <v>0</v>
      </c>
      <c r="BZ119" s="37" t="n">
        <f aca="false">IF(BZ6=③기타_가정!$E$16,BY123+BZ113,0)</f>
        <v>0</v>
      </c>
      <c r="CA119" s="37" t="n">
        <f aca="false">IF(CA6=③기타_가정!$E$16,BZ123+CA113,0)</f>
        <v>0</v>
      </c>
      <c r="CB119" s="37" t="n">
        <f aca="false">IF(CB6=③기타_가정!$E$16,CA123+CB113,0)</f>
        <v>0</v>
      </c>
      <c r="CC119" s="37" t="n">
        <f aca="false">IF(CC6=③기타_가정!$E$16,CB123+CC113,0)</f>
        <v>0</v>
      </c>
      <c r="CD119" s="37" t="n">
        <f aca="false">IF(CD6=③기타_가정!$E$16,CC123+CD113,0)</f>
        <v>0</v>
      </c>
      <c r="CE119" s="37" t="n">
        <f aca="false">IF(CE6=③기타_가정!$E$16,CD123+CE113,0)</f>
        <v>0</v>
      </c>
      <c r="CF119" s="37" t="n">
        <f aca="false">IF(CF6=③기타_가정!$E$16,CE123+CF113,0)</f>
        <v>0</v>
      </c>
      <c r="CG119" s="37" t="n">
        <f aca="false">IF(CG6=③기타_가정!$E$16,CF123+CG113,0)</f>
        <v>0</v>
      </c>
      <c r="CH119" s="37" t="n">
        <f aca="false">IF(CH6=③기타_가정!$E$16,CG123+CH113,0)</f>
        <v>0</v>
      </c>
      <c r="CI119" s="37" t="n">
        <f aca="false">IF(CI6=③기타_가정!$E$16,CH123+CI113,0)</f>
        <v>0</v>
      </c>
      <c r="CJ119" s="37" t="n">
        <f aca="false">IF(CJ6=③기타_가정!$E$16,CI123+CJ113,0)</f>
        <v>0</v>
      </c>
      <c r="CK119" s="37" t="n">
        <f aca="false">IF(CK6=③기타_가정!$E$16,CJ123+CK113,0)</f>
        <v>0</v>
      </c>
      <c r="CL119" s="37" t="n">
        <f aca="false">IF(CL6=③기타_가정!$E$16,CK123+CL113,0)</f>
        <v>0</v>
      </c>
      <c r="CM119" s="37" t="n">
        <f aca="false">IF(CM6=③기타_가정!$E$16,CL123+CM113,0)</f>
        <v>0</v>
      </c>
      <c r="CN119" s="37" t="n">
        <f aca="false">IF(CN6=③기타_가정!$E$16,CM123+CN113,0)</f>
        <v>0</v>
      </c>
      <c r="CO119" s="37" t="n">
        <f aca="false">IF(CO6=③기타_가정!$E$16,CN123+CO113,0)</f>
        <v>0</v>
      </c>
      <c r="CP119" s="37" t="n">
        <f aca="false">IF(CP6=③기타_가정!$E$16,CO123+CP113,0)</f>
        <v>0</v>
      </c>
      <c r="CQ119" s="37" t="n">
        <f aca="false">IF(CQ6=③기타_가정!$E$16,CP123+CQ113,0)</f>
        <v>0</v>
      </c>
      <c r="CR119" s="37" t="n">
        <f aca="false">IF(CR6=③기타_가정!$E$16,CQ123+CR113,0)</f>
        <v>0</v>
      </c>
      <c r="CS119" s="37" t="n">
        <f aca="false">IF(CS6=③기타_가정!$E$16,CR123+CS113,0)</f>
        <v>0</v>
      </c>
      <c r="CT119" s="37" t="n">
        <f aca="false">IF(CT6=③기타_가정!$E$16,CS123+CT113,0)</f>
        <v>0</v>
      </c>
      <c r="CU119" s="37" t="n">
        <f aca="false">IF(CU6=③기타_가정!$E$16,CT123+CU113,0)</f>
        <v>0</v>
      </c>
      <c r="CV119" s="37" t="n">
        <f aca="false">IF(CV6=③기타_가정!$E$16,CU123+CV113,0)</f>
        <v>0</v>
      </c>
      <c r="CW119" s="37" t="n">
        <f aca="false">IF(CW6=③기타_가정!$E$16,CV123+CW113,0)</f>
        <v>0</v>
      </c>
      <c r="CX119" s="37" t="n">
        <f aca="false">IF(CX6=③기타_가정!$E$16,CW123+CX113,0)</f>
        <v>0</v>
      </c>
      <c r="CY119" s="37" t="n">
        <f aca="false">IF(CY6=③기타_가정!$E$16,CX123+CY113,0)</f>
        <v>0</v>
      </c>
      <c r="CZ119" s="37" t="n">
        <f aca="false">IF(CZ6=③기타_가정!$E$16,CY123+CZ113,0)</f>
        <v>0</v>
      </c>
      <c r="DA119" s="37" t="n">
        <f aca="false">IF(DA6=③기타_가정!$E$16,CZ123+DA113,0)</f>
        <v>0</v>
      </c>
      <c r="DB119" s="37" t="n">
        <f aca="false">IF(DB6=③기타_가정!$E$16,DA123+DB113,0)</f>
        <v>0</v>
      </c>
      <c r="DC119" s="37" t="n">
        <f aca="false">IF(DC6=③기타_가정!$E$16,DB123+DC113,0)</f>
        <v>0</v>
      </c>
      <c r="DD119" s="37" t="n">
        <f aca="false">IF(DD6=③기타_가정!$E$16,DC123+DD113,0)</f>
        <v>0</v>
      </c>
      <c r="DE119" s="37" t="n">
        <f aca="false">IF(DE6=③기타_가정!$E$16,DD123+DE113,0)</f>
        <v>0</v>
      </c>
      <c r="DF119" s="37" t="n">
        <f aca="false">IF(DF6=③기타_가정!$E$16,DE123+DF113,0)</f>
        <v>0</v>
      </c>
      <c r="DG119" s="37" t="n">
        <f aca="false">IF(DG6=③기타_가정!$E$16,DF123+DG113,0)</f>
        <v>0</v>
      </c>
      <c r="DH119" s="37" t="n">
        <f aca="false">IF(DH6=③기타_가정!$E$16,DG123+DH113,0)</f>
        <v>0</v>
      </c>
      <c r="DI119" s="37" t="n">
        <f aca="false">IF(DI6=③기타_가정!$E$16,DH123+DI113,0)</f>
        <v>0</v>
      </c>
      <c r="DJ119" s="37" t="n">
        <f aca="false">IF(DJ6=③기타_가정!$E$16,DI123+DJ113,0)</f>
        <v>0</v>
      </c>
      <c r="DK119" s="37" t="n">
        <f aca="false">IF(DK6=③기타_가정!$E$16,DJ123+DK113,0)</f>
        <v>0</v>
      </c>
      <c r="DL119" s="37" t="n">
        <f aca="false">IF(DL6=③기타_가정!$E$16,DK123+DL113,0)</f>
        <v>0</v>
      </c>
      <c r="DM119" s="37" t="n">
        <f aca="false">IF(DM6=③기타_가정!$E$16,DL123+DM113,0)</f>
        <v>0</v>
      </c>
      <c r="DN119" s="37" t="n">
        <f aca="false">IF(DN6=③기타_가정!$E$16,DM123+DN113,0)</f>
        <v>0</v>
      </c>
      <c r="DO119" s="37" t="n">
        <f aca="false">IF(DO6=③기타_가정!$E$16,DN123+DO113,0)</f>
        <v>0</v>
      </c>
      <c r="DP119" s="37" t="n">
        <f aca="false">IF(DP6=③기타_가정!$E$16,DO123+DP113,0)</f>
        <v>0</v>
      </c>
      <c r="DQ119" s="37" t="n">
        <f aca="false">IF(DQ6=③기타_가정!$E$16,DP123+DQ113,0)</f>
        <v>0</v>
      </c>
      <c r="DR119" s="37" t="n">
        <f aca="false">IF(DR6=③기타_가정!$E$16,DQ123+DR113,0)</f>
        <v>0</v>
      </c>
      <c r="DS119" s="37" t="n">
        <f aca="false">IF(DS6=③기타_가정!$E$16,DR123+DS113,0)</f>
        <v>0</v>
      </c>
      <c r="DT119" s="37" t="n">
        <f aca="false">IF(DT6=③기타_가정!$E$16,DS123+DT113,0)</f>
        <v>0</v>
      </c>
      <c r="DU119" s="37" t="n">
        <f aca="false">IF(DU6=③기타_가정!$E$16,DT123+DU113,0)</f>
        <v>0</v>
      </c>
      <c r="DV119" s="37" t="n">
        <f aca="false">IF(DV6=③기타_가정!$E$16,DU123+DV113,0)</f>
        <v>0</v>
      </c>
      <c r="DW119" s="37" t="n">
        <f aca="false">IF(DW6=③기타_가정!$E$16,DV123+DW113,0)</f>
        <v>0</v>
      </c>
      <c r="DX119" s="37" t="n">
        <f aca="false">IF(DX6=③기타_가정!$E$16,DW123+DX113,0)</f>
        <v>0</v>
      </c>
      <c r="DY119" s="37" t="n">
        <f aca="false">IF(DY6=③기타_가정!$E$16,DX123+DY113,0)</f>
        <v>0</v>
      </c>
      <c r="DZ119" s="37" t="n">
        <f aca="false">IF(DZ6=③기타_가정!$E$16,DY123+DZ113,0)</f>
        <v>0</v>
      </c>
      <c r="EA119" s="37" t="n">
        <f aca="false">IF(EA6=③기타_가정!$E$16,DZ123+EA113,0)</f>
        <v>0</v>
      </c>
      <c r="EB119" s="37" t="n">
        <f aca="false">IF(EB6=③기타_가정!$E$16,EA123+EB113,0)</f>
        <v>0</v>
      </c>
      <c r="EC119" s="37" t="n">
        <f aca="false">IF(EC6=③기타_가정!$E$16,EB123+EC113,0)</f>
        <v>0</v>
      </c>
      <c r="ED119" s="37" t="n">
        <f aca="false">IF(ED6=③기타_가정!$E$16,EC123+ED113,0)</f>
        <v>0</v>
      </c>
      <c r="EE119" s="37" t="n">
        <f aca="false">IF(EE6=③기타_가정!$E$16,ED123+EE113,0)</f>
        <v>0</v>
      </c>
      <c r="EF119" s="37" t="n">
        <f aca="false">IF(EF6=③기타_가정!$E$16,EE123+EF113,0)</f>
        <v>0</v>
      </c>
    </row>
    <row r="120" customFormat="false" ht="15" hidden="false" customHeight="false" outlineLevel="0" collapsed="false">
      <c r="A120" s="284" t="s">
        <v>659</v>
      </c>
      <c r="B120" s="281" t="s">
        <v>21</v>
      </c>
      <c r="C120" s="282" t="n">
        <f aca="false">SUM(E120:EF120)</f>
        <v>637282.274666071</v>
      </c>
      <c r="D120" s="48"/>
      <c r="E120" s="283" t="n">
        <f aca="false">E117+E118+E119</f>
        <v>0</v>
      </c>
      <c r="F120" s="283" t="n">
        <f aca="false">F117+F118+F119</f>
        <v>0</v>
      </c>
      <c r="G120" s="283" t="n">
        <f aca="false">G117+G118+G119</f>
        <v>0</v>
      </c>
      <c r="H120" s="283" t="n">
        <f aca="false">H117+H118+H119</f>
        <v>0</v>
      </c>
      <c r="I120" s="283" t="n">
        <f aca="false">I117+I118+I119</f>
        <v>0</v>
      </c>
      <c r="J120" s="283" t="n">
        <f aca="false">J117+J118+J119</f>
        <v>0</v>
      </c>
      <c r="K120" s="283" t="n">
        <f aca="false">K117+K118+K119</f>
        <v>0</v>
      </c>
      <c r="L120" s="283" t="n">
        <f aca="false">L117+L118+L119</f>
        <v>0</v>
      </c>
      <c r="M120" s="283" t="n">
        <f aca="false">M117+M118+M119</f>
        <v>0</v>
      </c>
      <c r="N120" s="283" t="n">
        <f aca="false">N117+N118+N119</f>
        <v>0</v>
      </c>
      <c r="O120" s="283" t="n">
        <f aca="false">O117+O118+O119</f>
        <v>0</v>
      </c>
      <c r="P120" s="283" t="n">
        <f aca="false">P117+P118+P119</f>
        <v>0</v>
      </c>
      <c r="Q120" s="283" t="n">
        <f aca="false">Q117+Q118+Q119</f>
        <v>0</v>
      </c>
      <c r="R120" s="283" t="n">
        <f aca="false">R117+R118+R119</f>
        <v>0</v>
      </c>
      <c r="S120" s="283" t="n">
        <f aca="false">S117+S118+S119</f>
        <v>0</v>
      </c>
      <c r="T120" s="283" t="n">
        <f aca="false">T117+T118+T119</f>
        <v>0</v>
      </c>
      <c r="U120" s="283" t="n">
        <f aca="false">U117+U118+U119</f>
        <v>0</v>
      </c>
      <c r="V120" s="283" t="n">
        <f aca="false">V117+V118+V119</f>
        <v>0</v>
      </c>
      <c r="W120" s="283" t="n">
        <f aca="false">W117+W118+W119</f>
        <v>0</v>
      </c>
      <c r="X120" s="283" t="n">
        <f aca="false">X117+X118+X119</f>
        <v>0</v>
      </c>
      <c r="Y120" s="283" t="n">
        <f aca="false">Y117+Y118+Y119</f>
        <v>0</v>
      </c>
      <c r="Z120" s="283" t="n">
        <f aca="false">Z117+Z118+Z119</f>
        <v>0</v>
      </c>
      <c r="AA120" s="283" t="n">
        <f aca="false">AA117+AA118+AA119</f>
        <v>0</v>
      </c>
      <c r="AB120" s="283" t="n">
        <f aca="false">AB117+AB118+AB119</f>
        <v>0</v>
      </c>
      <c r="AC120" s="283" t="n">
        <f aca="false">AC117+AC118+AC119</f>
        <v>0</v>
      </c>
      <c r="AD120" s="283" t="n">
        <f aca="false">AD117+AD118+AD119</f>
        <v>0</v>
      </c>
      <c r="AE120" s="283" t="n">
        <f aca="false">AE117+AE118+AE119</f>
        <v>0</v>
      </c>
      <c r="AF120" s="283" t="n">
        <f aca="false">AF117+AF118+AF119</f>
        <v>0</v>
      </c>
      <c r="AG120" s="283" t="n">
        <f aca="false">AG117+AG118+AG119</f>
        <v>0</v>
      </c>
      <c r="AH120" s="283" t="n">
        <f aca="false">AH117+AH118+AH119</f>
        <v>0</v>
      </c>
      <c r="AI120" s="283" t="n">
        <f aca="false">AI117+AI118+AI119</f>
        <v>0</v>
      </c>
      <c r="AJ120" s="283" t="n">
        <f aca="false">AJ117+AJ118+AJ119</f>
        <v>0</v>
      </c>
      <c r="AK120" s="283" t="n">
        <f aca="false">AK117+AK118+AK119</f>
        <v>0</v>
      </c>
      <c r="AL120" s="283" t="n">
        <f aca="false">AL117+AL118+AL119</f>
        <v>0</v>
      </c>
      <c r="AM120" s="283" t="n">
        <f aca="false">AM117+AM118+AM119</f>
        <v>0</v>
      </c>
      <c r="AN120" s="283" t="n">
        <f aca="false">AN117+AN118+AN119</f>
        <v>0</v>
      </c>
      <c r="AO120" s="283" t="n">
        <f aca="false">AO117+AO118+AO119</f>
        <v>0</v>
      </c>
      <c r="AP120" s="283" t="n">
        <f aca="false">AP117+AP118+AP119</f>
        <v>0</v>
      </c>
      <c r="AQ120" s="283" t="n">
        <f aca="false">AQ117+AQ118+AQ119</f>
        <v>0</v>
      </c>
      <c r="AR120" s="283" t="n">
        <f aca="false">AR117+AR118+AR119</f>
        <v>0</v>
      </c>
      <c r="AS120" s="283" t="n">
        <f aca="false">AS117+AS118+AS119</f>
        <v>0</v>
      </c>
      <c r="AT120" s="283" t="n">
        <f aca="false">AT117+AT118+AT119</f>
        <v>0</v>
      </c>
      <c r="AU120" s="283" t="n">
        <f aca="false">AU117+AU118+AU119</f>
        <v>0</v>
      </c>
      <c r="AV120" s="283" t="n">
        <f aca="false">AV117+AV118+AV119</f>
        <v>0</v>
      </c>
      <c r="AW120" s="283" t="n">
        <f aca="false">AW117+AW118+AW119</f>
        <v>0</v>
      </c>
      <c r="AX120" s="283" t="n">
        <f aca="false">AX117+AX118+AX119</f>
        <v>0</v>
      </c>
      <c r="AY120" s="283" t="n">
        <f aca="false">AY117+AY118+AY119</f>
        <v>0</v>
      </c>
      <c r="AZ120" s="283" t="n">
        <f aca="false">AZ117+AZ118+AZ119</f>
        <v>0</v>
      </c>
      <c r="BA120" s="283" t="n">
        <f aca="false">BA117+BA118+BA119</f>
        <v>0</v>
      </c>
      <c r="BB120" s="283" t="n">
        <f aca="false">BB117+BB118+BB119</f>
        <v>0</v>
      </c>
      <c r="BC120" s="283" t="n">
        <f aca="false">BC117+BC118+BC119</f>
        <v>0</v>
      </c>
      <c r="BD120" s="283" t="n">
        <f aca="false">BD117+BD118+BD119</f>
        <v>0</v>
      </c>
      <c r="BE120" s="283" t="n">
        <f aca="false">BE117+BE118+BE119</f>
        <v>0</v>
      </c>
      <c r="BF120" s="283" t="n">
        <f aca="false">BF117+BF118+BF119</f>
        <v>0</v>
      </c>
      <c r="BG120" s="283" t="n">
        <f aca="false">BG117+BG118+BG119</f>
        <v>0</v>
      </c>
      <c r="BH120" s="283" t="n">
        <f aca="false">BH117+BH118+BH119</f>
        <v>0</v>
      </c>
      <c r="BI120" s="283" t="n">
        <f aca="false">BI117+BI118+BI119</f>
        <v>0</v>
      </c>
      <c r="BJ120" s="283" t="n">
        <f aca="false">BJ117+BJ118+BJ119</f>
        <v>0</v>
      </c>
      <c r="BK120" s="283" t="n">
        <f aca="false">BK117+BK118+BK119</f>
        <v>0</v>
      </c>
      <c r="BL120" s="283" t="n">
        <f aca="false">BL117+BL118+BL119</f>
        <v>637282.274666071</v>
      </c>
      <c r="BM120" s="283" t="n">
        <f aca="false">BM117+BM118+BM119</f>
        <v>0</v>
      </c>
      <c r="BN120" s="283" t="n">
        <f aca="false">BN117+BN118+BN119</f>
        <v>0</v>
      </c>
      <c r="BO120" s="283" t="n">
        <f aca="false">BO117+BO118+BO119</f>
        <v>0</v>
      </c>
      <c r="BP120" s="283" t="n">
        <f aca="false">BP117+BP118+BP119</f>
        <v>0</v>
      </c>
      <c r="BQ120" s="283" t="n">
        <f aca="false">BQ117+BQ118+BQ119</f>
        <v>0</v>
      </c>
      <c r="BR120" s="283" t="n">
        <f aca="false">BR117+BR118+BR119</f>
        <v>0</v>
      </c>
      <c r="BS120" s="283" t="n">
        <f aca="false">BS117+BS118+BS119</f>
        <v>0</v>
      </c>
      <c r="BT120" s="283" t="n">
        <f aca="false">BT117+BT118+BT119</f>
        <v>0</v>
      </c>
      <c r="BU120" s="283" t="n">
        <f aca="false">BU117+BU118+BU119</f>
        <v>0</v>
      </c>
      <c r="BV120" s="283" t="n">
        <f aca="false">BV117+BV118+BV119</f>
        <v>0</v>
      </c>
      <c r="BW120" s="283" t="n">
        <f aca="false">BW117+BW118+BW119</f>
        <v>0</v>
      </c>
      <c r="BX120" s="283" t="n">
        <f aca="false">BX117+BX118+BX119</f>
        <v>0</v>
      </c>
      <c r="BY120" s="283" t="n">
        <f aca="false">BY117+BY118+BY119</f>
        <v>0</v>
      </c>
      <c r="BZ120" s="283" t="n">
        <f aca="false">BZ117+BZ118+BZ119</f>
        <v>0</v>
      </c>
      <c r="CA120" s="283" t="n">
        <f aca="false">CA117+CA118+CA119</f>
        <v>0</v>
      </c>
      <c r="CB120" s="283" t="n">
        <f aca="false">CB117+CB118+CB119</f>
        <v>0</v>
      </c>
      <c r="CC120" s="283" t="n">
        <f aca="false">CC117+CC118+CC119</f>
        <v>0</v>
      </c>
      <c r="CD120" s="283" t="n">
        <f aca="false">CD117+CD118+CD119</f>
        <v>0</v>
      </c>
      <c r="CE120" s="283" t="n">
        <f aca="false">CE117+CE118+CE119</f>
        <v>0</v>
      </c>
      <c r="CF120" s="283" t="n">
        <f aca="false">CF117+CF118+CF119</f>
        <v>0</v>
      </c>
      <c r="CG120" s="283" t="n">
        <f aca="false">CG117+CG118+CG119</f>
        <v>0</v>
      </c>
      <c r="CH120" s="283" t="n">
        <f aca="false">CH117+CH118+CH119</f>
        <v>0</v>
      </c>
      <c r="CI120" s="283" t="n">
        <f aca="false">CI117+CI118+CI119</f>
        <v>0</v>
      </c>
      <c r="CJ120" s="283" t="n">
        <f aca="false">CJ117+CJ118+CJ119</f>
        <v>0</v>
      </c>
      <c r="CK120" s="283" t="n">
        <f aca="false">CK117+CK118+CK119</f>
        <v>0</v>
      </c>
      <c r="CL120" s="283" t="n">
        <f aca="false">CL117+CL118+CL119</f>
        <v>0</v>
      </c>
      <c r="CM120" s="283" t="n">
        <f aca="false">CM117+CM118+CM119</f>
        <v>0</v>
      </c>
      <c r="CN120" s="283" t="n">
        <f aca="false">CN117+CN118+CN119</f>
        <v>0</v>
      </c>
      <c r="CO120" s="283" t="n">
        <f aca="false">CO117+CO118+CO119</f>
        <v>0</v>
      </c>
      <c r="CP120" s="283" t="n">
        <f aca="false">CP117+CP118+CP119</f>
        <v>0</v>
      </c>
      <c r="CQ120" s="283" t="n">
        <f aca="false">CQ117+CQ118+CQ119</f>
        <v>0</v>
      </c>
      <c r="CR120" s="283" t="n">
        <f aca="false">CR117+CR118+CR119</f>
        <v>0</v>
      </c>
      <c r="CS120" s="283" t="n">
        <f aca="false">CS117+CS118+CS119</f>
        <v>0</v>
      </c>
      <c r="CT120" s="283" t="n">
        <f aca="false">CT117+CT118+CT119</f>
        <v>0</v>
      </c>
      <c r="CU120" s="283" t="n">
        <f aca="false">CU117+CU118+CU119</f>
        <v>0</v>
      </c>
      <c r="CV120" s="283" t="n">
        <f aca="false">CV117+CV118+CV119</f>
        <v>0</v>
      </c>
      <c r="CW120" s="283" t="n">
        <f aca="false">CW117+CW118+CW119</f>
        <v>0</v>
      </c>
      <c r="CX120" s="283" t="n">
        <f aca="false">CX117+CX118+CX119</f>
        <v>0</v>
      </c>
      <c r="CY120" s="283" t="n">
        <f aca="false">CY117+CY118+CY119</f>
        <v>0</v>
      </c>
      <c r="CZ120" s="283" t="n">
        <f aca="false">CZ117+CZ118+CZ119</f>
        <v>0</v>
      </c>
      <c r="DA120" s="283" t="n">
        <f aca="false">DA117+DA118+DA119</f>
        <v>0</v>
      </c>
      <c r="DB120" s="283" t="n">
        <f aca="false">DB117+DB118+DB119</f>
        <v>0</v>
      </c>
      <c r="DC120" s="283" t="n">
        <f aca="false">DC117+DC118+DC119</f>
        <v>0</v>
      </c>
      <c r="DD120" s="283" t="n">
        <f aca="false">DD117+DD118+DD119</f>
        <v>0</v>
      </c>
      <c r="DE120" s="283" t="n">
        <f aca="false">DE117+DE118+DE119</f>
        <v>0</v>
      </c>
      <c r="DF120" s="283" t="n">
        <f aca="false">DF117+DF118+DF119</f>
        <v>0</v>
      </c>
      <c r="DG120" s="283" t="n">
        <f aca="false">DG117+DG118+DG119</f>
        <v>0</v>
      </c>
      <c r="DH120" s="283" t="n">
        <f aca="false">DH117+DH118+DH119</f>
        <v>0</v>
      </c>
      <c r="DI120" s="283" t="n">
        <f aca="false">DI117+DI118+DI119</f>
        <v>0</v>
      </c>
      <c r="DJ120" s="283" t="n">
        <f aca="false">DJ117+DJ118+DJ119</f>
        <v>0</v>
      </c>
      <c r="DK120" s="283" t="n">
        <f aca="false">DK117+DK118+DK119</f>
        <v>0</v>
      </c>
      <c r="DL120" s="283" t="n">
        <f aca="false">DL117+DL118+DL119</f>
        <v>0</v>
      </c>
      <c r="DM120" s="283" t="n">
        <f aca="false">DM117+DM118+DM119</f>
        <v>0</v>
      </c>
      <c r="DN120" s="283" t="n">
        <f aca="false">DN117+DN118+DN119</f>
        <v>0</v>
      </c>
      <c r="DO120" s="283" t="n">
        <f aca="false">DO117+DO118+DO119</f>
        <v>0</v>
      </c>
      <c r="DP120" s="283" t="n">
        <f aca="false">DP117+DP118+DP119</f>
        <v>0</v>
      </c>
      <c r="DQ120" s="283" t="n">
        <f aca="false">DQ117+DQ118+DQ119</f>
        <v>0</v>
      </c>
      <c r="DR120" s="283" t="n">
        <f aca="false">DR117+DR118+DR119</f>
        <v>0</v>
      </c>
      <c r="DS120" s="283" t="n">
        <f aca="false">DS117+DS118+DS119</f>
        <v>0</v>
      </c>
      <c r="DT120" s="283" t="n">
        <f aca="false">DT117+DT118+DT119</f>
        <v>0</v>
      </c>
      <c r="DU120" s="283" t="n">
        <f aca="false">DU117+DU118+DU119</f>
        <v>0</v>
      </c>
      <c r="DV120" s="283" t="n">
        <f aca="false">DV117+DV118+DV119</f>
        <v>0</v>
      </c>
      <c r="DW120" s="283" t="n">
        <f aca="false">DW117+DW118+DW119</f>
        <v>0</v>
      </c>
      <c r="DX120" s="283" t="n">
        <f aca="false">DX117+DX118+DX119</f>
        <v>0</v>
      </c>
      <c r="DY120" s="283" t="n">
        <f aca="false">DY117+DY118+DY119</f>
        <v>0</v>
      </c>
      <c r="DZ120" s="283" t="n">
        <f aca="false">DZ117+DZ118+DZ119</f>
        <v>0</v>
      </c>
      <c r="EA120" s="283" t="n">
        <f aca="false">EA117+EA118+EA119</f>
        <v>0</v>
      </c>
      <c r="EB120" s="283" t="n">
        <f aca="false">EB117+EB118+EB119</f>
        <v>0</v>
      </c>
      <c r="EC120" s="283" t="n">
        <f aca="false">EC117+EC118+EC119</f>
        <v>0</v>
      </c>
      <c r="ED120" s="283" t="n">
        <f aca="false">ED117+ED118+ED119</f>
        <v>0</v>
      </c>
      <c r="EE120" s="283" t="n">
        <f aca="false">EE117+EE118+EE119</f>
        <v>0</v>
      </c>
      <c r="EF120" s="283" t="n">
        <f aca="false">EF117+EF118+EF119</f>
        <v>0</v>
      </c>
    </row>
    <row r="121" customFormat="false" ht="15" hidden="false" customHeight="false" outlineLevel="0" collapsed="false">
      <c r="A121" s="153" t="s">
        <v>660</v>
      </c>
      <c r="B121" s="278" t="s">
        <v>21</v>
      </c>
      <c r="C121" s="279" t="n">
        <f aca="false">MAX(E121:EF121)</f>
        <v>397064.20819628</v>
      </c>
      <c r="E121" s="37" t="n">
        <f aca="false">0+E115-E117</f>
        <v>0</v>
      </c>
      <c r="F121" s="37" t="n">
        <f aca="false">E121+F115-F117</f>
        <v>0</v>
      </c>
      <c r="G121" s="37" t="n">
        <f aca="false">F121+G115-G117</f>
        <v>0</v>
      </c>
      <c r="H121" s="37" t="n">
        <f aca="false">G121+H115-H117</f>
        <v>0</v>
      </c>
      <c r="I121" s="37" t="n">
        <f aca="false">H121+I115-I117</f>
        <v>0</v>
      </c>
      <c r="J121" s="37" t="n">
        <f aca="false">I121+J115-J117</f>
        <v>0</v>
      </c>
      <c r="K121" s="37" t="n">
        <f aca="false">J121+K115-K117</f>
        <v>0</v>
      </c>
      <c r="L121" s="37" t="n">
        <f aca="false">K121+L115-L117</f>
        <v>0</v>
      </c>
      <c r="M121" s="37" t="n">
        <f aca="false">L121+M115-M117</f>
        <v>0</v>
      </c>
      <c r="N121" s="37" t="n">
        <f aca="false">M121+N115-N117</f>
        <v>0</v>
      </c>
      <c r="O121" s="37" t="n">
        <f aca="false">N121+O115-O117</f>
        <v>0</v>
      </c>
      <c r="P121" s="37" t="n">
        <f aca="false">O121+P115-P117</f>
        <v>0</v>
      </c>
      <c r="Q121" s="37" t="n">
        <f aca="false">P121+Q115-Q117</f>
        <v>0</v>
      </c>
      <c r="R121" s="37" t="n">
        <f aca="false">Q121+R115-R117</f>
        <v>0</v>
      </c>
      <c r="S121" s="37" t="n">
        <f aca="false">R121+S115-S117</f>
        <v>0</v>
      </c>
      <c r="T121" s="37" t="n">
        <f aca="false">S121+T115-T117</f>
        <v>0</v>
      </c>
      <c r="U121" s="37" t="n">
        <f aca="false">T121+U115-U117</f>
        <v>0</v>
      </c>
      <c r="V121" s="37" t="n">
        <f aca="false">U121+V115-V117</f>
        <v>0</v>
      </c>
      <c r="W121" s="37" t="n">
        <f aca="false">V121+W115-W117</f>
        <v>0</v>
      </c>
      <c r="X121" s="37" t="n">
        <f aca="false">W121+X115-X117</f>
        <v>0</v>
      </c>
      <c r="Y121" s="37" t="n">
        <f aca="false">X121+Y115-Y117</f>
        <v>0</v>
      </c>
      <c r="Z121" s="37" t="n">
        <f aca="false">Y121+Z115-Z117</f>
        <v>0</v>
      </c>
      <c r="AA121" s="37" t="n">
        <f aca="false">Z121+AA115-AA117</f>
        <v>0</v>
      </c>
      <c r="AB121" s="37" t="n">
        <f aca="false">AA121+AB115-AB117</f>
        <v>0</v>
      </c>
      <c r="AC121" s="37" t="n">
        <f aca="false">AB121+AC115-AC117</f>
        <v>0</v>
      </c>
      <c r="AD121" s="37" t="n">
        <f aca="false">AC121+AD115-AD117</f>
        <v>0</v>
      </c>
      <c r="AE121" s="37" t="n">
        <f aca="false">AD121+AE115-AE117</f>
        <v>0</v>
      </c>
      <c r="AF121" s="37" t="n">
        <f aca="false">AE121+AF115-AF117</f>
        <v>0</v>
      </c>
      <c r="AG121" s="37" t="n">
        <f aca="false">AF121+AG115-AG117</f>
        <v>0</v>
      </c>
      <c r="AH121" s="37" t="n">
        <f aca="false">AG121+AH115-AH117</f>
        <v>0</v>
      </c>
      <c r="AI121" s="37" t="n">
        <f aca="false">AH121+AI115-AI117</f>
        <v>0</v>
      </c>
      <c r="AJ121" s="37" t="n">
        <f aca="false">AI121+AJ115-AJ117</f>
        <v>0</v>
      </c>
      <c r="AK121" s="37" t="n">
        <f aca="false">AJ121+AK115-AK117</f>
        <v>0</v>
      </c>
      <c r="AL121" s="37" t="n">
        <f aca="false">AK121+AL115-AL117</f>
        <v>0</v>
      </c>
      <c r="AM121" s="37" t="n">
        <f aca="false">AL121+AM115-AM117</f>
        <v>0</v>
      </c>
      <c r="AN121" s="37" t="n">
        <f aca="false">AM121+AN115-AN117</f>
        <v>0</v>
      </c>
      <c r="AO121" s="37" t="n">
        <f aca="false">AN121+AO115-AO117</f>
        <v>0</v>
      </c>
      <c r="AP121" s="37" t="n">
        <f aca="false">AO121+AP115-AP117</f>
        <v>0</v>
      </c>
      <c r="AQ121" s="37" t="n">
        <f aca="false">AP121+AQ115-AQ117</f>
        <v>5263.38920548233</v>
      </c>
      <c r="AR121" s="37" t="n">
        <f aca="false">AQ121+AR115-AR117</f>
        <v>35385.1339219775</v>
      </c>
      <c r="AS121" s="37" t="n">
        <f aca="false">AR121+AS115-AS117</f>
        <v>65503.263894324</v>
      </c>
      <c r="AT121" s="37" t="n">
        <f aca="false">AS121+AT115-AT117</f>
        <v>95464.4000612601</v>
      </c>
      <c r="AU121" s="37" t="n">
        <f aca="false">AT121+AU115-AU117</f>
        <v>125116.11660326</v>
      </c>
      <c r="AV121" s="37" t="n">
        <f aca="false">AU121+AV115-AV117</f>
        <v>154307.793745888</v>
      </c>
      <c r="AW121" s="37" t="n">
        <f aca="false">AV121+AW115-AW117</f>
        <v>182891.460464902</v>
      </c>
      <c r="AX121" s="37" t="n">
        <f aca="false">AW121+AX115-AX117</f>
        <v>210722.622380358</v>
      </c>
      <c r="AY121" s="37" t="n">
        <f aca="false">AX121+AY115-AY117</f>
        <v>237661.070209813</v>
      </c>
      <c r="AZ121" s="37" t="n">
        <f aca="false">AY121+AZ115-AZ117</f>
        <v>263571.664259432</v>
      </c>
      <c r="BA121" s="37" t="n">
        <f aca="false">AZ121+BA115-BA117</f>
        <v>263571.664259432</v>
      </c>
      <c r="BB121" s="37" t="n">
        <f aca="false">BA121+BB115-BB117</f>
        <v>263571.664259432</v>
      </c>
      <c r="BC121" s="37" t="n">
        <f aca="false">BB121+BC115-BC117</f>
        <v>283724.77957948</v>
      </c>
      <c r="BD121" s="37" t="n">
        <f aca="false">BC121+BD115-BD117</f>
        <v>304048.946861445</v>
      </c>
      <c r="BE121" s="37" t="n">
        <f aca="false">BD121+BE115-BE117</f>
        <v>322769.593144267</v>
      </c>
      <c r="BF121" s="37" t="n">
        <f aca="false">BE121+BF115-BF117</f>
        <v>339796.591572559</v>
      </c>
      <c r="BG121" s="37" t="n">
        <f aca="false">BF121+BG115-BG117</f>
        <v>355049.359689709</v>
      </c>
      <c r="BH121" s="37" t="n">
        <f aca="false">BG121+BH115-BH117</f>
        <v>368457.310451823</v>
      </c>
      <c r="BI121" s="37" t="n">
        <f aca="false">BH121+BI115-BI117</f>
        <v>379960.2473451</v>
      </c>
      <c r="BJ121" s="37" t="n">
        <f aca="false">BI121+BJ115-BJ117</f>
        <v>389508.701396962</v>
      </c>
      <c r="BK121" s="37" t="n">
        <f aca="false">BJ121+BK115-BK117</f>
        <v>397064.20819628</v>
      </c>
      <c r="BL121" s="37" t="n">
        <f aca="false">BK121+BL115-BL117</f>
        <v>0</v>
      </c>
      <c r="BM121" s="37" t="n">
        <f aca="false">BL121+BM115-BM117</f>
        <v>0</v>
      </c>
      <c r="BN121" s="37" t="n">
        <f aca="false">BM121+BN115-BN117</f>
        <v>0</v>
      </c>
      <c r="BO121" s="37" t="n">
        <f aca="false">BN121+BO115-BO117</f>
        <v>0</v>
      </c>
      <c r="BP121" s="37" t="n">
        <f aca="false">BO121+BP115-BP117</f>
        <v>0</v>
      </c>
      <c r="BQ121" s="37" t="n">
        <f aca="false">BP121+BQ115-BQ117</f>
        <v>0</v>
      </c>
      <c r="BR121" s="37" t="n">
        <f aca="false">BQ121+BR115-BR117</f>
        <v>0</v>
      </c>
      <c r="BS121" s="37" t="n">
        <f aca="false">BR121+BS115-BS117</f>
        <v>0</v>
      </c>
      <c r="BT121" s="37" t="n">
        <f aca="false">BS121+BT115-BT117</f>
        <v>0</v>
      </c>
      <c r="BU121" s="37" t="n">
        <f aca="false">BT121+BU115-BU117</f>
        <v>0</v>
      </c>
      <c r="BV121" s="37" t="n">
        <f aca="false">BU121+BV115-BV117</f>
        <v>0</v>
      </c>
      <c r="BW121" s="37" t="n">
        <f aca="false">BV121+BW115-BW117</f>
        <v>0</v>
      </c>
      <c r="BX121" s="37" t="n">
        <f aca="false">BW121+BX115-BX117</f>
        <v>0</v>
      </c>
      <c r="BY121" s="37" t="n">
        <f aca="false">BX121+BY115-BY117</f>
        <v>0</v>
      </c>
      <c r="BZ121" s="37" t="n">
        <f aca="false">BY121+BZ115-BZ117</f>
        <v>0</v>
      </c>
      <c r="CA121" s="37" t="n">
        <f aca="false">BZ121+CA115-CA117</f>
        <v>0</v>
      </c>
      <c r="CB121" s="37" t="n">
        <f aca="false">CA121+CB115-CB117</f>
        <v>0</v>
      </c>
      <c r="CC121" s="37" t="n">
        <f aca="false">CB121+CC115-CC117</f>
        <v>0</v>
      </c>
      <c r="CD121" s="37" t="n">
        <f aca="false">CC121+CD115-CD117</f>
        <v>0</v>
      </c>
      <c r="CE121" s="37" t="n">
        <f aca="false">CD121+CE115-CE117</f>
        <v>0</v>
      </c>
      <c r="CF121" s="37" t="n">
        <f aca="false">CE121+CF115-CF117</f>
        <v>0</v>
      </c>
      <c r="CG121" s="37" t="n">
        <f aca="false">CF121+CG115-CG117</f>
        <v>0</v>
      </c>
      <c r="CH121" s="37" t="n">
        <f aca="false">CG121+CH115-CH117</f>
        <v>0</v>
      </c>
      <c r="CI121" s="37" t="n">
        <f aca="false">CH121+CI115-CI117</f>
        <v>0</v>
      </c>
      <c r="CJ121" s="37" t="n">
        <f aca="false">CI121+CJ115-CJ117</f>
        <v>0</v>
      </c>
      <c r="CK121" s="37" t="n">
        <f aca="false">CJ121+CK115-CK117</f>
        <v>0</v>
      </c>
      <c r="CL121" s="37" t="n">
        <f aca="false">CK121+CL115-CL117</f>
        <v>0</v>
      </c>
      <c r="CM121" s="37" t="n">
        <f aca="false">CL121+CM115-CM117</f>
        <v>0</v>
      </c>
      <c r="CN121" s="37" t="n">
        <f aca="false">CM121+CN115-CN117</f>
        <v>0</v>
      </c>
      <c r="CO121" s="37" t="n">
        <f aca="false">CN121+CO115-CO117</f>
        <v>0</v>
      </c>
      <c r="CP121" s="37" t="n">
        <f aca="false">CO121+CP115-CP117</f>
        <v>0</v>
      </c>
      <c r="CQ121" s="37" t="n">
        <f aca="false">CP121+CQ115-CQ117</f>
        <v>0</v>
      </c>
      <c r="CR121" s="37" t="n">
        <f aca="false">CQ121+CR115-CR117</f>
        <v>0</v>
      </c>
      <c r="CS121" s="37" t="n">
        <f aca="false">CR121+CS115-CS117</f>
        <v>0</v>
      </c>
      <c r="CT121" s="37" t="n">
        <f aca="false">CS121+CT115-CT117</f>
        <v>0</v>
      </c>
      <c r="CU121" s="37" t="n">
        <f aca="false">CT121+CU115-CU117</f>
        <v>0</v>
      </c>
      <c r="CV121" s="37" t="n">
        <f aca="false">CU121+CV115-CV117</f>
        <v>0</v>
      </c>
      <c r="CW121" s="37" t="n">
        <f aca="false">CV121+CW115-CW117</f>
        <v>0</v>
      </c>
      <c r="CX121" s="37" t="n">
        <f aca="false">CW121+CX115-CX117</f>
        <v>0</v>
      </c>
      <c r="CY121" s="37" t="n">
        <f aca="false">CX121+CY115-CY117</f>
        <v>0</v>
      </c>
      <c r="CZ121" s="37" t="n">
        <f aca="false">CY121+CZ115-CZ117</f>
        <v>0</v>
      </c>
      <c r="DA121" s="37" t="n">
        <f aca="false">CZ121+DA115-DA117</f>
        <v>0</v>
      </c>
      <c r="DB121" s="37" t="n">
        <f aca="false">DA121+DB115-DB117</f>
        <v>0</v>
      </c>
      <c r="DC121" s="37" t="n">
        <f aca="false">DB121+DC115-DC117</f>
        <v>0</v>
      </c>
      <c r="DD121" s="37" t="n">
        <f aca="false">DC121+DD115-DD117</f>
        <v>0</v>
      </c>
      <c r="DE121" s="37" t="n">
        <f aca="false">DD121+DE115-DE117</f>
        <v>0</v>
      </c>
      <c r="DF121" s="37" t="n">
        <f aca="false">DE121+DF115-DF117</f>
        <v>0</v>
      </c>
      <c r="DG121" s="37" t="n">
        <f aca="false">DF121+DG115-DG117</f>
        <v>0</v>
      </c>
      <c r="DH121" s="37" t="n">
        <f aca="false">DG121+DH115-DH117</f>
        <v>0</v>
      </c>
      <c r="DI121" s="37" t="n">
        <f aca="false">DH121+DI115-DI117</f>
        <v>0</v>
      </c>
      <c r="DJ121" s="37" t="n">
        <f aca="false">DI121+DJ115-DJ117</f>
        <v>0</v>
      </c>
      <c r="DK121" s="37" t="n">
        <f aca="false">DJ121+DK115-DK117</f>
        <v>0</v>
      </c>
      <c r="DL121" s="37" t="n">
        <f aca="false">DK121+DL115-DL117</f>
        <v>0</v>
      </c>
      <c r="DM121" s="37" t="n">
        <f aca="false">DL121+DM115-DM117</f>
        <v>0</v>
      </c>
      <c r="DN121" s="37" t="n">
        <f aca="false">DM121+DN115-DN117</f>
        <v>0</v>
      </c>
      <c r="DO121" s="37" t="n">
        <f aca="false">DN121+DO115-DO117</f>
        <v>0</v>
      </c>
      <c r="DP121" s="37" t="n">
        <f aca="false">DO121+DP115-DP117</f>
        <v>0</v>
      </c>
      <c r="DQ121" s="37" t="n">
        <f aca="false">DP121+DQ115-DQ117</f>
        <v>0</v>
      </c>
      <c r="DR121" s="37" t="n">
        <f aca="false">DQ121+DR115-DR117</f>
        <v>0</v>
      </c>
      <c r="DS121" s="37" t="n">
        <f aca="false">DR121+DS115-DS117</f>
        <v>0</v>
      </c>
      <c r="DT121" s="37" t="n">
        <f aca="false">DS121+DT115-DT117</f>
        <v>0</v>
      </c>
      <c r="DU121" s="37" t="n">
        <f aca="false">DT121+DU115-DU117</f>
        <v>0</v>
      </c>
      <c r="DV121" s="37" t="n">
        <f aca="false">DU121+DV115-DV117</f>
        <v>0</v>
      </c>
      <c r="DW121" s="37" t="n">
        <f aca="false">DV121+DW115-DW117</f>
        <v>0</v>
      </c>
      <c r="DX121" s="37" t="n">
        <f aca="false">DW121+DX115-DX117</f>
        <v>0</v>
      </c>
      <c r="DY121" s="37" t="n">
        <f aca="false">DX121+DY115-DY117</f>
        <v>0</v>
      </c>
      <c r="DZ121" s="37" t="n">
        <f aca="false">DY121+DZ115-DZ117</f>
        <v>0</v>
      </c>
      <c r="EA121" s="37" t="n">
        <f aca="false">DZ121+EA115-EA117</f>
        <v>0</v>
      </c>
      <c r="EB121" s="37" t="n">
        <f aca="false">EA121+EB115-EB117</f>
        <v>0</v>
      </c>
      <c r="EC121" s="37" t="n">
        <f aca="false">EB121+EC115-EC117</f>
        <v>0</v>
      </c>
      <c r="ED121" s="37" t="n">
        <f aca="false">EC121+ED115-ED117</f>
        <v>0</v>
      </c>
      <c r="EE121" s="37" t="n">
        <f aca="false">ED121+EE115-EE117</f>
        <v>0</v>
      </c>
      <c r="EF121" s="37" t="n">
        <f aca="false">EE121+EF115-EF117</f>
        <v>0</v>
      </c>
    </row>
    <row r="122" customFormat="false" ht="15" hidden="false" customHeight="false" outlineLevel="0" collapsed="false">
      <c r="A122" s="153" t="s">
        <v>661</v>
      </c>
      <c r="B122" s="278" t="s">
        <v>21</v>
      </c>
      <c r="C122" s="279" t="n">
        <f aca="false">MAX(E122:EF122)</f>
        <v>120151.073498541</v>
      </c>
      <c r="E122" s="37" t="n">
        <f aca="false">0+E114-E118</f>
        <v>0</v>
      </c>
      <c r="F122" s="37" t="n">
        <f aca="false">E122+F114-F118</f>
        <v>0</v>
      </c>
      <c r="G122" s="37" t="n">
        <f aca="false">F122+G114-G118</f>
        <v>0</v>
      </c>
      <c r="H122" s="37" t="n">
        <f aca="false">G122+H114-H118</f>
        <v>0</v>
      </c>
      <c r="I122" s="37" t="n">
        <f aca="false">H122+I114-I118</f>
        <v>0</v>
      </c>
      <c r="J122" s="37" t="n">
        <f aca="false">I122+J114-J118</f>
        <v>0</v>
      </c>
      <c r="K122" s="37" t="n">
        <f aca="false">J122+K114-K118</f>
        <v>0</v>
      </c>
      <c r="L122" s="37" t="n">
        <f aca="false">K122+L114-L118</f>
        <v>0</v>
      </c>
      <c r="M122" s="37" t="n">
        <f aca="false">L122+M114-M118</f>
        <v>0</v>
      </c>
      <c r="N122" s="37" t="n">
        <f aca="false">M122+N114-N118</f>
        <v>0</v>
      </c>
      <c r="O122" s="37" t="n">
        <f aca="false">N122+O114-O118</f>
        <v>0</v>
      </c>
      <c r="P122" s="37" t="n">
        <f aca="false">O122+P114-P118</f>
        <v>0</v>
      </c>
      <c r="Q122" s="37" t="n">
        <f aca="false">P122+Q114-Q118</f>
        <v>0</v>
      </c>
      <c r="R122" s="37" t="n">
        <f aca="false">Q122+R114-R118</f>
        <v>0</v>
      </c>
      <c r="S122" s="37" t="n">
        <f aca="false">R122+S114-S118</f>
        <v>0</v>
      </c>
      <c r="T122" s="37" t="n">
        <f aca="false">S122+T114-T118</f>
        <v>0</v>
      </c>
      <c r="U122" s="37" t="n">
        <f aca="false">T122+U114-U118</f>
        <v>0</v>
      </c>
      <c r="V122" s="37" t="n">
        <f aca="false">U122+V114-V118</f>
        <v>0</v>
      </c>
      <c r="W122" s="37" t="n">
        <f aca="false">V122+W114-W118</f>
        <v>0</v>
      </c>
      <c r="X122" s="37" t="n">
        <f aca="false">W122+X114-X118</f>
        <v>0</v>
      </c>
      <c r="Y122" s="37" t="n">
        <f aca="false">X122+Y114-Y118</f>
        <v>0</v>
      </c>
      <c r="Z122" s="37" t="n">
        <f aca="false">Y122+Z114-Z118</f>
        <v>0</v>
      </c>
      <c r="AA122" s="37" t="n">
        <f aca="false">Z122+AA114-AA118</f>
        <v>0</v>
      </c>
      <c r="AB122" s="37" t="n">
        <f aca="false">AA122+AB114-AB118</f>
        <v>0</v>
      </c>
      <c r="AC122" s="37" t="n">
        <f aca="false">AB122+AC114-AC118</f>
        <v>0</v>
      </c>
      <c r="AD122" s="37" t="n">
        <f aca="false">AC122+AD114-AD118</f>
        <v>0</v>
      </c>
      <c r="AE122" s="37" t="n">
        <f aca="false">AD122+AE114-AE118</f>
        <v>0</v>
      </c>
      <c r="AF122" s="37" t="n">
        <f aca="false">AE122+AF114-AF118</f>
        <v>0</v>
      </c>
      <c r="AG122" s="37" t="n">
        <f aca="false">AF122+AG114-AG118</f>
        <v>0</v>
      </c>
      <c r="AH122" s="37" t="n">
        <f aca="false">AG122+AH114-AH118</f>
        <v>0</v>
      </c>
      <c r="AI122" s="37" t="n">
        <f aca="false">AH122+AI114-AI118</f>
        <v>0</v>
      </c>
      <c r="AJ122" s="37" t="n">
        <f aca="false">AI122+AJ114-AJ118</f>
        <v>0</v>
      </c>
      <c r="AK122" s="37" t="n">
        <f aca="false">AJ122+AK114-AK118</f>
        <v>2030.58352769339</v>
      </c>
      <c r="AL122" s="37" t="n">
        <f aca="false">AK122+AL114-AL118</f>
        <v>29173.36183481</v>
      </c>
      <c r="AM122" s="37" t="n">
        <f aca="false">AL122+AM114-AM118</f>
        <v>57223.9180283275</v>
      </c>
      <c r="AN122" s="37" t="n">
        <f aca="false">AM122+AN114-AN118</f>
        <v>86041.7253556895</v>
      </c>
      <c r="AO122" s="37" t="n">
        <f aca="false">AN122+AO114-AO118</f>
        <v>86041.7253556895</v>
      </c>
      <c r="AP122" s="37" t="n">
        <f aca="false">AO122+AP114-AP118</f>
        <v>95458.9569274582</v>
      </c>
      <c r="AQ122" s="37" t="n">
        <f aca="false">AP122+AQ114-AQ118</f>
        <v>120151.073498541</v>
      </c>
      <c r="AR122" s="37" t="n">
        <f aca="false">AQ122+AR114-AR118</f>
        <v>120151.073498541</v>
      </c>
      <c r="AS122" s="37" t="n">
        <f aca="false">AR122+AS114-AS118</f>
        <v>120151.073498541</v>
      </c>
      <c r="AT122" s="37" t="n">
        <f aca="false">AS122+AT114-AT118</f>
        <v>120151.073498541</v>
      </c>
      <c r="AU122" s="37" t="n">
        <f aca="false">AT122+AU114-AU118</f>
        <v>120151.073498541</v>
      </c>
      <c r="AV122" s="37" t="n">
        <f aca="false">AU122+AV114-AV118</f>
        <v>120151.073498541</v>
      </c>
      <c r="AW122" s="37" t="n">
        <f aca="false">AV122+AW114-AW118</f>
        <v>120151.073498541</v>
      </c>
      <c r="AX122" s="37" t="n">
        <f aca="false">AW122+AX114-AX118</f>
        <v>120151.073498541</v>
      </c>
      <c r="AY122" s="37" t="n">
        <f aca="false">AX122+AY114-AY118</f>
        <v>120151.073498541</v>
      </c>
      <c r="AZ122" s="37" t="n">
        <f aca="false">AY122+AZ114-AZ118</f>
        <v>120151.073498541</v>
      </c>
      <c r="BA122" s="37" t="n">
        <f aca="false">AZ122+BA114-BA118</f>
        <v>120151.073498541</v>
      </c>
      <c r="BB122" s="37" t="n">
        <f aca="false">BA122+BB114-BB118</f>
        <v>120151.073498541</v>
      </c>
      <c r="BC122" s="37" t="n">
        <f aca="false">BB122+BC114-BC118</f>
        <v>120151.073498541</v>
      </c>
      <c r="BD122" s="37" t="n">
        <f aca="false">BC122+BD114-BD118</f>
        <v>120151.073498541</v>
      </c>
      <c r="BE122" s="37" t="n">
        <f aca="false">BD122+BE114-BE118</f>
        <v>120151.073498541</v>
      </c>
      <c r="BF122" s="37" t="n">
        <f aca="false">BE122+BF114-BF118</f>
        <v>120151.073498541</v>
      </c>
      <c r="BG122" s="37" t="n">
        <f aca="false">BF122+BG114-BG118</f>
        <v>120151.073498541</v>
      </c>
      <c r="BH122" s="37" t="n">
        <f aca="false">BG122+BH114-BH118</f>
        <v>120151.073498541</v>
      </c>
      <c r="BI122" s="37" t="n">
        <f aca="false">BH122+BI114-BI118</f>
        <v>120151.073498541</v>
      </c>
      <c r="BJ122" s="37" t="n">
        <f aca="false">BI122+BJ114-BJ118</f>
        <v>120151.073498541</v>
      </c>
      <c r="BK122" s="37" t="n">
        <f aca="false">BJ122+BK114-BK118</f>
        <v>120151.073498541</v>
      </c>
      <c r="BL122" s="37" t="n">
        <f aca="false">BK122+BL114-BL118</f>
        <v>0</v>
      </c>
      <c r="BM122" s="37" t="n">
        <f aca="false">BL122+BM114-BM118</f>
        <v>0</v>
      </c>
      <c r="BN122" s="37" t="n">
        <f aca="false">BM122+BN114-BN118</f>
        <v>0</v>
      </c>
      <c r="BO122" s="37" t="n">
        <f aca="false">BN122+BO114-BO118</f>
        <v>0</v>
      </c>
      <c r="BP122" s="37" t="n">
        <f aca="false">BO122+BP114-BP118</f>
        <v>0</v>
      </c>
      <c r="BQ122" s="37" t="n">
        <f aca="false">BP122+BQ114-BQ118</f>
        <v>0</v>
      </c>
      <c r="BR122" s="37" t="n">
        <f aca="false">BQ122+BR114-BR118</f>
        <v>0</v>
      </c>
      <c r="BS122" s="37" t="n">
        <f aca="false">BR122+BS114-BS118</f>
        <v>0</v>
      </c>
      <c r="BT122" s="37" t="n">
        <f aca="false">BS122+BT114-BT118</f>
        <v>0</v>
      </c>
      <c r="BU122" s="37" t="n">
        <f aca="false">BT122+BU114-BU118</f>
        <v>0</v>
      </c>
      <c r="BV122" s="37" t="n">
        <f aca="false">BU122+BV114-BV118</f>
        <v>0</v>
      </c>
      <c r="BW122" s="37" t="n">
        <f aca="false">BV122+BW114-BW118</f>
        <v>0</v>
      </c>
      <c r="BX122" s="37" t="n">
        <f aca="false">BW122+BX114-BX118</f>
        <v>0</v>
      </c>
      <c r="BY122" s="37" t="n">
        <f aca="false">BX122+BY114-BY118</f>
        <v>0</v>
      </c>
      <c r="BZ122" s="37" t="n">
        <f aca="false">BY122+BZ114-BZ118</f>
        <v>0</v>
      </c>
      <c r="CA122" s="37" t="n">
        <f aca="false">BZ122+CA114-CA118</f>
        <v>0</v>
      </c>
      <c r="CB122" s="37" t="n">
        <f aca="false">CA122+CB114-CB118</f>
        <v>0</v>
      </c>
      <c r="CC122" s="37" t="n">
        <f aca="false">CB122+CC114-CC118</f>
        <v>0</v>
      </c>
      <c r="CD122" s="37" t="n">
        <f aca="false">CC122+CD114-CD118</f>
        <v>0</v>
      </c>
      <c r="CE122" s="37" t="n">
        <f aca="false">CD122+CE114-CE118</f>
        <v>0</v>
      </c>
      <c r="CF122" s="37" t="n">
        <f aca="false">CE122+CF114-CF118</f>
        <v>0</v>
      </c>
      <c r="CG122" s="37" t="n">
        <f aca="false">CF122+CG114-CG118</f>
        <v>0</v>
      </c>
      <c r="CH122" s="37" t="n">
        <f aca="false">CG122+CH114-CH118</f>
        <v>0</v>
      </c>
      <c r="CI122" s="37" t="n">
        <f aca="false">CH122+CI114-CI118</f>
        <v>0</v>
      </c>
      <c r="CJ122" s="37" t="n">
        <f aca="false">CI122+CJ114-CJ118</f>
        <v>0</v>
      </c>
      <c r="CK122" s="37" t="n">
        <f aca="false">CJ122+CK114-CK118</f>
        <v>0</v>
      </c>
      <c r="CL122" s="37" t="n">
        <f aca="false">CK122+CL114-CL118</f>
        <v>0</v>
      </c>
      <c r="CM122" s="37" t="n">
        <f aca="false">CL122+CM114-CM118</f>
        <v>0</v>
      </c>
      <c r="CN122" s="37" t="n">
        <f aca="false">CM122+CN114-CN118</f>
        <v>0</v>
      </c>
      <c r="CO122" s="37" t="n">
        <f aca="false">CN122+CO114-CO118</f>
        <v>0</v>
      </c>
      <c r="CP122" s="37" t="n">
        <f aca="false">CO122+CP114-CP118</f>
        <v>0</v>
      </c>
      <c r="CQ122" s="37" t="n">
        <f aca="false">CP122+CQ114-CQ118</f>
        <v>0</v>
      </c>
      <c r="CR122" s="37" t="n">
        <f aca="false">CQ122+CR114-CR118</f>
        <v>0</v>
      </c>
      <c r="CS122" s="37" t="n">
        <f aca="false">CR122+CS114-CS118</f>
        <v>0</v>
      </c>
      <c r="CT122" s="37" t="n">
        <f aca="false">CS122+CT114-CT118</f>
        <v>0</v>
      </c>
      <c r="CU122" s="37" t="n">
        <f aca="false">CT122+CU114-CU118</f>
        <v>0</v>
      </c>
      <c r="CV122" s="37" t="n">
        <f aca="false">CU122+CV114-CV118</f>
        <v>0</v>
      </c>
      <c r="CW122" s="37" t="n">
        <f aca="false">CV122+CW114-CW118</f>
        <v>0</v>
      </c>
      <c r="CX122" s="37" t="n">
        <f aca="false">CW122+CX114-CX118</f>
        <v>0</v>
      </c>
      <c r="CY122" s="37" t="n">
        <f aca="false">CX122+CY114-CY118</f>
        <v>0</v>
      </c>
      <c r="CZ122" s="37" t="n">
        <f aca="false">CY122+CZ114-CZ118</f>
        <v>0</v>
      </c>
      <c r="DA122" s="37" t="n">
        <f aca="false">CZ122+DA114-DA118</f>
        <v>0</v>
      </c>
      <c r="DB122" s="37" t="n">
        <f aca="false">DA122+DB114-DB118</f>
        <v>0</v>
      </c>
      <c r="DC122" s="37" t="n">
        <f aca="false">DB122+DC114-DC118</f>
        <v>0</v>
      </c>
      <c r="DD122" s="37" t="n">
        <f aca="false">DC122+DD114-DD118</f>
        <v>0</v>
      </c>
      <c r="DE122" s="37" t="n">
        <f aca="false">DD122+DE114-DE118</f>
        <v>0</v>
      </c>
      <c r="DF122" s="37" t="n">
        <f aca="false">DE122+DF114-DF118</f>
        <v>0</v>
      </c>
      <c r="DG122" s="37" t="n">
        <f aca="false">DF122+DG114-DG118</f>
        <v>0</v>
      </c>
      <c r="DH122" s="37" t="n">
        <f aca="false">DG122+DH114-DH118</f>
        <v>0</v>
      </c>
      <c r="DI122" s="37" t="n">
        <f aca="false">DH122+DI114-DI118</f>
        <v>0</v>
      </c>
      <c r="DJ122" s="37" t="n">
        <f aca="false">DI122+DJ114-DJ118</f>
        <v>0</v>
      </c>
      <c r="DK122" s="37" t="n">
        <f aca="false">DJ122+DK114-DK118</f>
        <v>0</v>
      </c>
      <c r="DL122" s="37" t="n">
        <f aca="false">DK122+DL114-DL118</f>
        <v>0</v>
      </c>
      <c r="DM122" s="37" t="n">
        <f aca="false">DL122+DM114-DM118</f>
        <v>0</v>
      </c>
      <c r="DN122" s="37" t="n">
        <f aca="false">DM122+DN114-DN118</f>
        <v>0</v>
      </c>
      <c r="DO122" s="37" t="n">
        <f aca="false">DN122+DO114-DO118</f>
        <v>0</v>
      </c>
      <c r="DP122" s="37" t="n">
        <f aca="false">DO122+DP114-DP118</f>
        <v>0</v>
      </c>
      <c r="DQ122" s="37" t="n">
        <f aca="false">DP122+DQ114-DQ118</f>
        <v>0</v>
      </c>
      <c r="DR122" s="37" t="n">
        <f aca="false">DQ122+DR114-DR118</f>
        <v>0</v>
      </c>
      <c r="DS122" s="37" t="n">
        <f aca="false">DR122+DS114-DS118</f>
        <v>0</v>
      </c>
      <c r="DT122" s="37" t="n">
        <f aca="false">DS122+DT114-DT118</f>
        <v>0</v>
      </c>
      <c r="DU122" s="37" t="n">
        <f aca="false">DT122+DU114-DU118</f>
        <v>0</v>
      </c>
      <c r="DV122" s="37" t="n">
        <f aca="false">DU122+DV114-DV118</f>
        <v>0</v>
      </c>
      <c r="DW122" s="37" t="n">
        <f aca="false">DV122+DW114-DW118</f>
        <v>0</v>
      </c>
      <c r="DX122" s="37" t="n">
        <f aca="false">DW122+DX114-DX118</f>
        <v>0</v>
      </c>
      <c r="DY122" s="37" t="n">
        <f aca="false">DX122+DY114-DY118</f>
        <v>0</v>
      </c>
      <c r="DZ122" s="37" t="n">
        <f aca="false">DY122+DZ114-DZ118</f>
        <v>0</v>
      </c>
      <c r="EA122" s="37" t="n">
        <f aca="false">DZ122+EA114-EA118</f>
        <v>0</v>
      </c>
      <c r="EB122" s="37" t="n">
        <f aca="false">EA122+EB114-EB118</f>
        <v>0</v>
      </c>
      <c r="EC122" s="37" t="n">
        <f aca="false">EB122+EC114-EC118</f>
        <v>0</v>
      </c>
      <c r="ED122" s="37" t="n">
        <f aca="false">EC122+ED114-ED118</f>
        <v>0</v>
      </c>
      <c r="EE122" s="37" t="n">
        <f aca="false">ED122+EE114-EE118</f>
        <v>0</v>
      </c>
      <c r="EF122" s="37" t="n">
        <f aca="false">EE122+EF114-EF118</f>
        <v>0</v>
      </c>
    </row>
    <row r="123" customFormat="false" ht="15" hidden="false" customHeight="false" outlineLevel="0" collapsed="false">
      <c r="A123" s="153" t="s">
        <v>662</v>
      </c>
      <c r="B123" s="278" t="s">
        <v>21</v>
      </c>
      <c r="C123" s="279" t="n">
        <f aca="false">MAX(E123:EF123)</f>
        <v>120066.99297125</v>
      </c>
      <c r="E123" s="37" t="n">
        <f aca="false">0+E113-E119</f>
        <v>0</v>
      </c>
      <c r="F123" s="37" t="n">
        <f aca="false">E123+F113-F119</f>
        <v>0</v>
      </c>
      <c r="G123" s="37" t="n">
        <f aca="false">F123+G113-G119</f>
        <v>0</v>
      </c>
      <c r="H123" s="37" t="n">
        <f aca="false">G123+H113-H119</f>
        <v>0</v>
      </c>
      <c r="I123" s="37" t="n">
        <f aca="false">H123+I113-I119</f>
        <v>0</v>
      </c>
      <c r="J123" s="37" t="n">
        <f aca="false">I123+J113-J119</f>
        <v>0</v>
      </c>
      <c r="K123" s="37" t="n">
        <f aca="false">J123+K113-K119</f>
        <v>0</v>
      </c>
      <c r="L123" s="37" t="n">
        <f aca="false">K123+L113-L119</f>
        <v>0</v>
      </c>
      <c r="M123" s="37" t="n">
        <f aca="false">L123+M113-M119</f>
        <v>0</v>
      </c>
      <c r="N123" s="37" t="n">
        <f aca="false">M123+N113-N119</f>
        <v>0</v>
      </c>
      <c r="O123" s="37" t="n">
        <f aca="false">N123+O113-O119</f>
        <v>0</v>
      </c>
      <c r="P123" s="37" t="n">
        <f aca="false">O123+P113-P119</f>
        <v>0</v>
      </c>
      <c r="Q123" s="37" t="n">
        <f aca="false">P123+Q113-Q119</f>
        <v>0</v>
      </c>
      <c r="R123" s="37" t="n">
        <f aca="false">Q123+R113-R119</f>
        <v>0</v>
      </c>
      <c r="S123" s="37" t="n">
        <f aca="false">R123+S113-S119</f>
        <v>0</v>
      </c>
      <c r="T123" s="37" t="n">
        <f aca="false">S123+T113-T119</f>
        <v>0</v>
      </c>
      <c r="U123" s="37" t="n">
        <f aca="false">T123+U113-U119</f>
        <v>0</v>
      </c>
      <c r="V123" s="37" t="n">
        <f aca="false">U123+V113-V119</f>
        <v>0</v>
      </c>
      <c r="W123" s="37" t="n">
        <f aca="false">V123+W113-W119</f>
        <v>0</v>
      </c>
      <c r="X123" s="37" t="n">
        <f aca="false">W123+X113-X119</f>
        <v>0</v>
      </c>
      <c r="Y123" s="37" t="n">
        <f aca="false">X123+Y113-Y119</f>
        <v>0</v>
      </c>
      <c r="Z123" s="37" t="n">
        <f aca="false">Y123+Z113-Z119</f>
        <v>0</v>
      </c>
      <c r="AA123" s="37" t="n">
        <f aca="false">Z123+AA113-AA119</f>
        <v>0</v>
      </c>
      <c r="AB123" s="37" t="n">
        <f aca="false">AA123+AB113-AB119</f>
        <v>0</v>
      </c>
      <c r="AC123" s="37" t="n">
        <f aca="false">AB123+AC113-AC119</f>
        <v>0</v>
      </c>
      <c r="AD123" s="37" t="n">
        <f aca="false">AC123+AD113-AD119</f>
        <v>0</v>
      </c>
      <c r="AE123" s="37" t="n">
        <f aca="false">AD123+AE113-AE119</f>
        <v>0</v>
      </c>
      <c r="AF123" s="37" t="n">
        <f aca="false">AE123+AF113-AF119</f>
        <v>4966.25371086328</v>
      </c>
      <c r="AG123" s="37" t="n">
        <f aca="false">AF123+AG113-AG119</f>
        <v>25521.1526224483</v>
      </c>
      <c r="AH123" s="37" t="n">
        <f aca="false">AG123+AH113-AH119</f>
        <v>47621.9224619703</v>
      </c>
      <c r="AI123" s="37" t="n">
        <f aca="false">AH123+AI113-AI119</f>
        <v>71162.2766730258</v>
      </c>
      <c r="AJ123" s="37" t="n">
        <f aca="false">AI123+AJ113-AJ119</f>
        <v>96027.9976863574</v>
      </c>
      <c r="AK123" s="37" t="n">
        <f aca="false">AJ123+AK113-AK119</f>
        <v>120066.99297125</v>
      </c>
      <c r="AL123" s="37" t="n">
        <f aca="false">AK123+AL113-AL119</f>
        <v>120066.99297125</v>
      </c>
      <c r="AM123" s="37" t="n">
        <f aca="false">AL123+AM113-AM119</f>
        <v>120066.99297125</v>
      </c>
      <c r="AN123" s="37" t="n">
        <f aca="false">AM123+AN113-AN119</f>
        <v>120066.99297125</v>
      </c>
      <c r="AO123" s="37" t="n">
        <f aca="false">AN123+AO113-AO119</f>
        <v>120066.99297125</v>
      </c>
      <c r="AP123" s="37" t="n">
        <f aca="false">AO123+AP113-AP119</f>
        <v>120066.99297125</v>
      </c>
      <c r="AQ123" s="37" t="n">
        <f aca="false">AP123+AQ113-AQ119</f>
        <v>120066.99297125</v>
      </c>
      <c r="AR123" s="37" t="n">
        <f aca="false">AQ123+AR113-AR119</f>
        <v>120066.99297125</v>
      </c>
      <c r="AS123" s="37" t="n">
        <f aca="false">AR123+AS113-AS119</f>
        <v>120066.99297125</v>
      </c>
      <c r="AT123" s="37" t="n">
        <f aca="false">AS123+AT113-AT119</f>
        <v>120066.99297125</v>
      </c>
      <c r="AU123" s="37" t="n">
        <f aca="false">AT123+AU113-AU119</f>
        <v>120066.99297125</v>
      </c>
      <c r="AV123" s="37" t="n">
        <f aca="false">AU123+AV113-AV119</f>
        <v>120066.99297125</v>
      </c>
      <c r="AW123" s="37" t="n">
        <f aca="false">AV123+AW113-AW119</f>
        <v>120066.99297125</v>
      </c>
      <c r="AX123" s="37" t="n">
        <f aca="false">AW123+AX113-AX119</f>
        <v>120066.99297125</v>
      </c>
      <c r="AY123" s="37" t="n">
        <f aca="false">AX123+AY113-AY119</f>
        <v>120066.99297125</v>
      </c>
      <c r="AZ123" s="37" t="n">
        <f aca="false">AY123+AZ113-AZ119</f>
        <v>120066.99297125</v>
      </c>
      <c r="BA123" s="37" t="n">
        <f aca="false">AZ123+BA113-BA119</f>
        <v>120066.99297125</v>
      </c>
      <c r="BB123" s="37" t="n">
        <f aca="false">BA123+BB113-BB119</f>
        <v>120066.99297125</v>
      </c>
      <c r="BC123" s="37" t="n">
        <f aca="false">BB123+BC113-BC119</f>
        <v>120066.99297125</v>
      </c>
      <c r="BD123" s="37" t="n">
        <f aca="false">BC123+BD113-BD119</f>
        <v>120066.99297125</v>
      </c>
      <c r="BE123" s="37" t="n">
        <f aca="false">BD123+BE113-BE119</f>
        <v>120066.99297125</v>
      </c>
      <c r="BF123" s="37" t="n">
        <f aca="false">BE123+BF113-BF119</f>
        <v>120066.99297125</v>
      </c>
      <c r="BG123" s="37" t="n">
        <f aca="false">BF123+BG113-BG119</f>
        <v>120066.99297125</v>
      </c>
      <c r="BH123" s="37" t="n">
        <f aca="false">BG123+BH113-BH119</f>
        <v>120066.99297125</v>
      </c>
      <c r="BI123" s="37" t="n">
        <f aca="false">BH123+BI113-BI119</f>
        <v>120066.99297125</v>
      </c>
      <c r="BJ123" s="37" t="n">
        <f aca="false">BI123+BJ113-BJ119</f>
        <v>120066.99297125</v>
      </c>
      <c r="BK123" s="37" t="n">
        <f aca="false">BJ123+BK113-BK119</f>
        <v>120066.99297125</v>
      </c>
      <c r="BL123" s="37" t="n">
        <f aca="false">BK123+BL113-BL119</f>
        <v>0</v>
      </c>
      <c r="BM123" s="37" t="n">
        <f aca="false">BL123+BM113-BM119</f>
        <v>0</v>
      </c>
      <c r="BN123" s="37" t="n">
        <f aca="false">BM123+BN113-BN119</f>
        <v>0</v>
      </c>
      <c r="BO123" s="37" t="n">
        <f aca="false">BN123+BO113-BO119</f>
        <v>0</v>
      </c>
      <c r="BP123" s="37" t="n">
        <f aca="false">BO123+BP113-BP119</f>
        <v>0</v>
      </c>
      <c r="BQ123" s="37" t="n">
        <f aca="false">BP123+BQ113-BQ119</f>
        <v>0</v>
      </c>
      <c r="BR123" s="37" t="n">
        <f aca="false">BQ123+BR113-BR119</f>
        <v>0</v>
      </c>
      <c r="BS123" s="37" t="n">
        <f aca="false">BR123+BS113-BS119</f>
        <v>0</v>
      </c>
      <c r="BT123" s="37" t="n">
        <f aca="false">BS123+BT113-BT119</f>
        <v>0</v>
      </c>
      <c r="BU123" s="37" t="n">
        <f aca="false">BT123+BU113-BU119</f>
        <v>0</v>
      </c>
      <c r="BV123" s="37" t="n">
        <f aca="false">BU123+BV113-BV119</f>
        <v>0</v>
      </c>
      <c r="BW123" s="37" t="n">
        <f aca="false">BV123+BW113-BW119</f>
        <v>0</v>
      </c>
      <c r="BX123" s="37" t="n">
        <f aca="false">BW123+BX113-BX119</f>
        <v>0</v>
      </c>
      <c r="BY123" s="37" t="n">
        <f aca="false">BX123+BY113-BY119</f>
        <v>0</v>
      </c>
      <c r="BZ123" s="37" t="n">
        <f aca="false">BY123+BZ113-BZ119</f>
        <v>0</v>
      </c>
      <c r="CA123" s="37" t="n">
        <f aca="false">BZ123+CA113-CA119</f>
        <v>0</v>
      </c>
      <c r="CB123" s="37" t="n">
        <f aca="false">CA123+CB113-CB119</f>
        <v>0</v>
      </c>
      <c r="CC123" s="37" t="n">
        <f aca="false">CB123+CC113-CC119</f>
        <v>0</v>
      </c>
      <c r="CD123" s="37" t="n">
        <f aca="false">CC123+CD113-CD119</f>
        <v>0</v>
      </c>
      <c r="CE123" s="37" t="n">
        <f aca="false">CD123+CE113-CE119</f>
        <v>0</v>
      </c>
      <c r="CF123" s="37" t="n">
        <f aca="false">CE123+CF113-CF119</f>
        <v>0</v>
      </c>
      <c r="CG123" s="37" t="n">
        <f aca="false">CF123+CG113-CG119</f>
        <v>0</v>
      </c>
      <c r="CH123" s="37" t="n">
        <f aca="false">CG123+CH113-CH119</f>
        <v>0</v>
      </c>
      <c r="CI123" s="37" t="n">
        <f aca="false">CH123+CI113-CI119</f>
        <v>0</v>
      </c>
      <c r="CJ123" s="37" t="n">
        <f aca="false">CI123+CJ113-CJ119</f>
        <v>0</v>
      </c>
      <c r="CK123" s="37" t="n">
        <f aca="false">CJ123+CK113-CK119</f>
        <v>0</v>
      </c>
      <c r="CL123" s="37" t="n">
        <f aca="false">CK123+CL113-CL119</f>
        <v>0</v>
      </c>
      <c r="CM123" s="37" t="n">
        <f aca="false">CL123+CM113-CM119</f>
        <v>0</v>
      </c>
      <c r="CN123" s="37" t="n">
        <f aca="false">CM123+CN113-CN119</f>
        <v>0</v>
      </c>
      <c r="CO123" s="37" t="n">
        <f aca="false">CN123+CO113-CO119</f>
        <v>0</v>
      </c>
      <c r="CP123" s="37" t="n">
        <f aca="false">CO123+CP113-CP119</f>
        <v>0</v>
      </c>
      <c r="CQ123" s="37" t="n">
        <f aca="false">CP123+CQ113-CQ119</f>
        <v>0</v>
      </c>
      <c r="CR123" s="37" t="n">
        <f aca="false">CQ123+CR113-CR119</f>
        <v>0</v>
      </c>
      <c r="CS123" s="37" t="n">
        <f aca="false">CR123+CS113-CS119</f>
        <v>0</v>
      </c>
      <c r="CT123" s="37" t="n">
        <f aca="false">CS123+CT113-CT119</f>
        <v>0</v>
      </c>
      <c r="CU123" s="37" t="n">
        <f aca="false">CT123+CU113-CU119</f>
        <v>0</v>
      </c>
      <c r="CV123" s="37" t="n">
        <f aca="false">CU123+CV113-CV119</f>
        <v>0</v>
      </c>
      <c r="CW123" s="37" t="n">
        <f aca="false">CV123+CW113-CW119</f>
        <v>0</v>
      </c>
      <c r="CX123" s="37" t="n">
        <f aca="false">CW123+CX113-CX119</f>
        <v>0</v>
      </c>
      <c r="CY123" s="37" t="n">
        <f aca="false">CX123+CY113-CY119</f>
        <v>0</v>
      </c>
      <c r="CZ123" s="37" t="n">
        <f aca="false">CY123+CZ113-CZ119</f>
        <v>0</v>
      </c>
      <c r="DA123" s="37" t="n">
        <f aca="false">CZ123+DA113-DA119</f>
        <v>0</v>
      </c>
      <c r="DB123" s="37" t="n">
        <f aca="false">DA123+DB113-DB119</f>
        <v>0</v>
      </c>
      <c r="DC123" s="37" t="n">
        <f aca="false">DB123+DC113-DC119</f>
        <v>0</v>
      </c>
      <c r="DD123" s="37" t="n">
        <f aca="false">DC123+DD113-DD119</f>
        <v>0</v>
      </c>
      <c r="DE123" s="37" t="n">
        <f aca="false">DD123+DE113-DE119</f>
        <v>0</v>
      </c>
      <c r="DF123" s="37" t="n">
        <f aca="false">DE123+DF113-DF119</f>
        <v>0</v>
      </c>
      <c r="DG123" s="37" t="n">
        <f aca="false">DF123+DG113-DG119</f>
        <v>0</v>
      </c>
      <c r="DH123" s="37" t="n">
        <f aca="false">DG123+DH113-DH119</f>
        <v>0</v>
      </c>
      <c r="DI123" s="37" t="n">
        <f aca="false">DH123+DI113-DI119</f>
        <v>0</v>
      </c>
      <c r="DJ123" s="37" t="n">
        <f aca="false">DI123+DJ113-DJ119</f>
        <v>0</v>
      </c>
      <c r="DK123" s="37" t="n">
        <f aca="false">DJ123+DK113-DK119</f>
        <v>0</v>
      </c>
      <c r="DL123" s="37" t="n">
        <f aca="false">DK123+DL113-DL119</f>
        <v>0</v>
      </c>
      <c r="DM123" s="37" t="n">
        <f aca="false">DL123+DM113-DM119</f>
        <v>0</v>
      </c>
      <c r="DN123" s="37" t="n">
        <f aca="false">DM123+DN113-DN119</f>
        <v>0</v>
      </c>
      <c r="DO123" s="37" t="n">
        <f aca="false">DN123+DO113-DO119</f>
        <v>0</v>
      </c>
      <c r="DP123" s="37" t="n">
        <f aca="false">DO123+DP113-DP119</f>
        <v>0</v>
      </c>
      <c r="DQ123" s="37" t="n">
        <f aca="false">DP123+DQ113-DQ119</f>
        <v>0</v>
      </c>
      <c r="DR123" s="37" t="n">
        <f aca="false">DQ123+DR113-DR119</f>
        <v>0</v>
      </c>
      <c r="DS123" s="37" t="n">
        <f aca="false">DR123+DS113-DS119</f>
        <v>0</v>
      </c>
      <c r="DT123" s="37" t="n">
        <f aca="false">DS123+DT113-DT119</f>
        <v>0</v>
      </c>
      <c r="DU123" s="37" t="n">
        <f aca="false">DT123+DU113-DU119</f>
        <v>0</v>
      </c>
      <c r="DV123" s="37" t="n">
        <f aca="false">DU123+DV113-DV119</f>
        <v>0</v>
      </c>
      <c r="DW123" s="37" t="n">
        <f aca="false">DV123+DW113-DW119</f>
        <v>0</v>
      </c>
      <c r="DX123" s="37" t="n">
        <f aca="false">DW123+DX113-DX119</f>
        <v>0</v>
      </c>
      <c r="DY123" s="37" t="n">
        <f aca="false">DX123+DY113-DY119</f>
        <v>0</v>
      </c>
      <c r="DZ123" s="37" t="n">
        <f aca="false">DY123+DZ113-DZ119</f>
        <v>0</v>
      </c>
      <c r="EA123" s="37" t="n">
        <f aca="false">DZ123+EA113-EA119</f>
        <v>0</v>
      </c>
      <c r="EB123" s="37" t="n">
        <f aca="false">EA123+EB113-EB119</f>
        <v>0</v>
      </c>
      <c r="EC123" s="37" t="n">
        <f aca="false">EB123+EC113-EC119</f>
        <v>0</v>
      </c>
      <c r="ED123" s="37" t="n">
        <f aca="false">EC123+ED113-ED119</f>
        <v>0</v>
      </c>
      <c r="EE123" s="37" t="n">
        <f aca="false">ED123+EE113-EE119</f>
        <v>0</v>
      </c>
      <c r="EF123" s="37" t="n">
        <f aca="false">EE123+EF113-EF119</f>
        <v>0</v>
      </c>
    </row>
    <row r="124" customFormat="false" ht="15" hidden="false" customHeight="false" outlineLevel="0" collapsed="false">
      <c r="A124" s="284" t="s">
        <v>663</v>
      </c>
      <c r="B124" s="281" t="s">
        <v>21</v>
      </c>
      <c r="C124" s="285" t="n">
        <f aca="false">MAX(E124:EF124)</f>
        <v>637282.274666071</v>
      </c>
      <c r="D124" s="48"/>
      <c r="E124" s="283" t="n">
        <f aca="false">E121+E122+E123</f>
        <v>0</v>
      </c>
      <c r="F124" s="283" t="n">
        <f aca="false">F121+F122+F123</f>
        <v>0</v>
      </c>
      <c r="G124" s="283" t="n">
        <f aca="false">G121+G122+G123</f>
        <v>0</v>
      </c>
      <c r="H124" s="283" t="n">
        <f aca="false">H121+H122+H123</f>
        <v>0</v>
      </c>
      <c r="I124" s="283" t="n">
        <f aca="false">I121+I122+I123</f>
        <v>0</v>
      </c>
      <c r="J124" s="283" t="n">
        <f aca="false">J121+J122+J123</f>
        <v>0</v>
      </c>
      <c r="K124" s="283" t="n">
        <f aca="false">K121+K122+K123</f>
        <v>0</v>
      </c>
      <c r="L124" s="283" t="n">
        <f aca="false">L121+L122+L123</f>
        <v>0</v>
      </c>
      <c r="M124" s="283" t="n">
        <f aca="false">M121+M122+M123</f>
        <v>0</v>
      </c>
      <c r="N124" s="283" t="n">
        <f aca="false">N121+N122+N123</f>
        <v>0</v>
      </c>
      <c r="O124" s="283" t="n">
        <f aca="false">O121+O122+O123</f>
        <v>0</v>
      </c>
      <c r="P124" s="283" t="n">
        <f aca="false">P121+P122+P123</f>
        <v>0</v>
      </c>
      <c r="Q124" s="283" t="n">
        <f aca="false">Q121+Q122+Q123</f>
        <v>0</v>
      </c>
      <c r="R124" s="283" t="n">
        <f aca="false">R121+R122+R123</f>
        <v>0</v>
      </c>
      <c r="S124" s="283" t="n">
        <f aca="false">S121+S122+S123</f>
        <v>0</v>
      </c>
      <c r="T124" s="283" t="n">
        <f aca="false">T121+T122+T123</f>
        <v>0</v>
      </c>
      <c r="U124" s="283" t="n">
        <f aca="false">U121+U122+U123</f>
        <v>0</v>
      </c>
      <c r="V124" s="283" t="n">
        <f aca="false">V121+V122+V123</f>
        <v>0</v>
      </c>
      <c r="W124" s="283" t="n">
        <f aca="false">W121+W122+W123</f>
        <v>0</v>
      </c>
      <c r="X124" s="283" t="n">
        <f aca="false">X121+X122+X123</f>
        <v>0</v>
      </c>
      <c r="Y124" s="283" t="n">
        <f aca="false">Y121+Y122+Y123</f>
        <v>0</v>
      </c>
      <c r="Z124" s="283" t="n">
        <f aca="false">Z121+Z122+Z123</f>
        <v>0</v>
      </c>
      <c r="AA124" s="283" t="n">
        <f aca="false">AA121+AA122+AA123</f>
        <v>0</v>
      </c>
      <c r="AB124" s="283" t="n">
        <f aca="false">AB121+AB122+AB123</f>
        <v>0</v>
      </c>
      <c r="AC124" s="283" t="n">
        <f aca="false">AC121+AC122+AC123</f>
        <v>0</v>
      </c>
      <c r="AD124" s="283" t="n">
        <f aca="false">AD121+AD122+AD123</f>
        <v>0</v>
      </c>
      <c r="AE124" s="283" t="n">
        <f aca="false">AE121+AE122+AE123</f>
        <v>0</v>
      </c>
      <c r="AF124" s="283" t="n">
        <f aca="false">AF121+AF122+AF123</f>
        <v>4966.25371086328</v>
      </c>
      <c r="AG124" s="283" t="n">
        <f aca="false">AG121+AG122+AG123</f>
        <v>25521.1526224483</v>
      </c>
      <c r="AH124" s="283" t="n">
        <f aca="false">AH121+AH122+AH123</f>
        <v>47621.9224619703</v>
      </c>
      <c r="AI124" s="283" t="n">
        <f aca="false">AI121+AI122+AI123</f>
        <v>71162.2766730258</v>
      </c>
      <c r="AJ124" s="283" t="n">
        <f aca="false">AJ121+AJ122+AJ123</f>
        <v>96027.9976863574</v>
      </c>
      <c r="AK124" s="283" t="n">
        <f aca="false">AK121+AK122+AK123</f>
        <v>122097.576498943</v>
      </c>
      <c r="AL124" s="283" t="n">
        <f aca="false">AL121+AL122+AL123</f>
        <v>149240.35480606</v>
      </c>
      <c r="AM124" s="283" t="n">
        <f aca="false">AM121+AM122+AM123</f>
        <v>177290.910999578</v>
      </c>
      <c r="AN124" s="283" t="n">
        <f aca="false">AN121+AN122+AN123</f>
        <v>206108.71832694</v>
      </c>
      <c r="AO124" s="283" t="n">
        <f aca="false">AO121+AO122+AO123</f>
        <v>206108.71832694</v>
      </c>
      <c r="AP124" s="283" t="n">
        <f aca="false">AP121+AP122+AP123</f>
        <v>215525.949898708</v>
      </c>
      <c r="AQ124" s="283" t="n">
        <f aca="false">AQ121+AQ122+AQ123</f>
        <v>245481.455675273</v>
      </c>
      <c r="AR124" s="283" t="n">
        <f aca="false">AR121+AR122+AR123</f>
        <v>275603.200391769</v>
      </c>
      <c r="AS124" s="283" t="n">
        <f aca="false">AS121+AS122+AS123</f>
        <v>305721.330364115</v>
      </c>
      <c r="AT124" s="283" t="n">
        <f aca="false">AT121+AT122+AT123</f>
        <v>335682.466531051</v>
      </c>
      <c r="AU124" s="283" t="n">
        <f aca="false">AU121+AU122+AU123</f>
        <v>365334.183073051</v>
      </c>
      <c r="AV124" s="283" t="n">
        <f aca="false">AV121+AV122+AV123</f>
        <v>394525.860215679</v>
      </c>
      <c r="AW124" s="283" t="n">
        <f aca="false">AW121+AW122+AW123</f>
        <v>423109.526934693</v>
      </c>
      <c r="AX124" s="283" t="n">
        <f aca="false">AX121+AX122+AX123</f>
        <v>450940.688850149</v>
      </c>
      <c r="AY124" s="283" t="n">
        <f aca="false">AY121+AY122+AY123</f>
        <v>477879.136679604</v>
      </c>
      <c r="AZ124" s="283" t="n">
        <f aca="false">AZ121+AZ122+AZ123</f>
        <v>503789.730729223</v>
      </c>
      <c r="BA124" s="283" t="n">
        <f aca="false">BA121+BA122+BA123</f>
        <v>503789.730729223</v>
      </c>
      <c r="BB124" s="283" t="n">
        <f aca="false">BB121+BB122+BB123</f>
        <v>503789.730729223</v>
      </c>
      <c r="BC124" s="283" t="n">
        <f aca="false">BC121+BC122+BC123</f>
        <v>523942.846049271</v>
      </c>
      <c r="BD124" s="283" t="n">
        <f aca="false">BD121+BD122+BD123</f>
        <v>544267.013331236</v>
      </c>
      <c r="BE124" s="283" t="n">
        <f aca="false">BE121+BE122+BE123</f>
        <v>562987.659614058</v>
      </c>
      <c r="BF124" s="283" t="n">
        <f aca="false">BF121+BF122+BF123</f>
        <v>580014.65804235</v>
      </c>
      <c r="BG124" s="283" t="n">
        <f aca="false">BG121+BG122+BG123</f>
        <v>595267.4261595</v>
      </c>
      <c r="BH124" s="283" t="n">
        <f aca="false">BH121+BH122+BH123</f>
        <v>608675.376921614</v>
      </c>
      <c r="BI124" s="283" t="n">
        <f aca="false">BI121+BI122+BI123</f>
        <v>620178.313814891</v>
      </c>
      <c r="BJ124" s="283" t="n">
        <f aca="false">BJ121+BJ122+BJ123</f>
        <v>629726.767866753</v>
      </c>
      <c r="BK124" s="283" t="n">
        <f aca="false">BK121+BK122+BK123</f>
        <v>637282.274666071</v>
      </c>
      <c r="BL124" s="283" t="n">
        <f aca="false">BL121+BL122+BL123</f>
        <v>0</v>
      </c>
      <c r="BM124" s="283" t="n">
        <f aca="false">BM121+BM122+BM123</f>
        <v>0</v>
      </c>
      <c r="BN124" s="283" t="n">
        <f aca="false">BN121+BN122+BN123</f>
        <v>0</v>
      </c>
      <c r="BO124" s="283" t="n">
        <f aca="false">BO121+BO122+BO123</f>
        <v>0</v>
      </c>
      <c r="BP124" s="283" t="n">
        <f aca="false">BP121+BP122+BP123</f>
        <v>0</v>
      </c>
      <c r="BQ124" s="283" t="n">
        <f aca="false">BQ121+BQ122+BQ123</f>
        <v>0</v>
      </c>
      <c r="BR124" s="283" t="n">
        <f aca="false">BR121+BR122+BR123</f>
        <v>0</v>
      </c>
      <c r="BS124" s="283" t="n">
        <f aca="false">BS121+BS122+BS123</f>
        <v>0</v>
      </c>
      <c r="BT124" s="283" t="n">
        <f aca="false">BT121+BT122+BT123</f>
        <v>0</v>
      </c>
      <c r="BU124" s="283" t="n">
        <f aca="false">BU121+BU122+BU123</f>
        <v>0</v>
      </c>
      <c r="BV124" s="283" t="n">
        <f aca="false">BV121+BV122+BV123</f>
        <v>0</v>
      </c>
      <c r="BW124" s="283" t="n">
        <f aca="false">BW121+BW122+BW123</f>
        <v>0</v>
      </c>
      <c r="BX124" s="283" t="n">
        <f aca="false">BX121+BX122+BX123</f>
        <v>0</v>
      </c>
      <c r="BY124" s="283" t="n">
        <f aca="false">BY121+BY122+BY123</f>
        <v>0</v>
      </c>
      <c r="BZ124" s="283" t="n">
        <f aca="false">BZ121+BZ122+BZ123</f>
        <v>0</v>
      </c>
      <c r="CA124" s="283" t="n">
        <f aca="false">CA121+CA122+CA123</f>
        <v>0</v>
      </c>
      <c r="CB124" s="283" t="n">
        <f aca="false">CB121+CB122+CB123</f>
        <v>0</v>
      </c>
      <c r="CC124" s="283" t="n">
        <f aca="false">CC121+CC122+CC123</f>
        <v>0</v>
      </c>
      <c r="CD124" s="283" t="n">
        <f aca="false">CD121+CD122+CD123</f>
        <v>0</v>
      </c>
      <c r="CE124" s="283" t="n">
        <f aca="false">CE121+CE122+CE123</f>
        <v>0</v>
      </c>
      <c r="CF124" s="283" t="n">
        <f aca="false">CF121+CF122+CF123</f>
        <v>0</v>
      </c>
      <c r="CG124" s="283" t="n">
        <f aca="false">CG121+CG122+CG123</f>
        <v>0</v>
      </c>
      <c r="CH124" s="283" t="n">
        <f aca="false">CH121+CH122+CH123</f>
        <v>0</v>
      </c>
      <c r="CI124" s="283" t="n">
        <f aca="false">CI121+CI122+CI123</f>
        <v>0</v>
      </c>
      <c r="CJ124" s="283" t="n">
        <f aca="false">CJ121+CJ122+CJ123</f>
        <v>0</v>
      </c>
      <c r="CK124" s="283" t="n">
        <f aca="false">CK121+CK122+CK123</f>
        <v>0</v>
      </c>
      <c r="CL124" s="283" t="n">
        <f aca="false">CL121+CL122+CL123</f>
        <v>0</v>
      </c>
      <c r="CM124" s="283" t="n">
        <f aca="false">CM121+CM122+CM123</f>
        <v>0</v>
      </c>
      <c r="CN124" s="283" t="n">
        <f aca="false">CN121+CN122+CN123</f>
        <v>0</v>
      </c>
      <c r="CO124" s="283" t="n">
        <f aca="false">CO121+CO122+CO123</f>
        <v>0</v>
      </c>
      <c r="CP124" s="283" t="n">
        <f aca="false">CP121+CP122+CP123</f>
        <v>0</v>
      </c>
      <c r="CQ124" s="283" t="n">
        <f aca="false">CQ121+CQ122+CQ123</f>
        <v>0</v>
      </c>
      <c r="CR124" s="283" t="n">
        <f aca="false">CR121+CR122+CR123</f>
        <v>0</v>
      </c>
      <c r="CS124" s="283" t="n">
        <f aca="false">CS121+CS122+CS123</f>
        <v>0</v>
      </c>
      <c r="CT124" s="283" t="n">
        <f aca="false">CT121+CT122+CT123</f>
        <v>0</v>
      </c>
      <c r="CU124" s="283" t="n">
        <f aca="false">CU121+CU122+CU123</f>
        <v>0</v>
      </c>
      <c r="CV124" s="283" t="n">
        <f aca="false">CV121+CV122+CV123</f>
        <v>0</v>
      </c>
      <c r="CW124" s="283" t="n">
        <f aca="false">CW121+CW122+CW123</f>
        <v>0</v>
      </c>
      <c r="CX124" s="283" t="n">
        <f aca="false">CX121+CX122+CX123</f>
        <v>0</v>
      </c>
      <c r="CY124" s="283" t="n">
        <f aca="false">CY121+CY122+CY123</f>
        <v>0</v>
      </c>
      <c r="CZ124" s="283" t="n">
        <f aca="false">CZ121+CZ122+CZ123</f>
        <v>0</v>
      </c>
      <c r="DA124" s="283" t="n">
        <f aca="false">DA121+DA122+DA123</f>
        <v>0</v>
      </c>
      <c r="DB124" s="283" t="n">
        <f aca="false">DB121+DB122+DB123</f>
        <v>0</v>
      </c>
      <c r="DC124" s="283" t="n">
        <f aca="false">DC121+DC122+DC123</f>
        <v>0</v>
      </c>
      <c r="DD124" s="283" t="n">
        <f aca="false">DD121+DD122+DD123</f>
        <v>0</v>
      </c>
      <c r="DE124" s="283" t="n">
        <f aca="false">DE121+DE122+DE123</f>
        <v>0</v>
      </c>
      <c r="DF124" s="283" t="n">
        <f aca="false">DF121+DF122+DF123</f>
        <v>0</v>
      </c>
      <c r="DG124" s="283" t="n">
        <f aca="false">DG121+DG122+DG123</f>
        <v>0</v>
      </c>
      <c r="DH124" s="283" t="n">
        <f aca="false">DH121+DH122+DH123</f>
        <v>0</v>
      </c>
      <c r="DI124" s="283" t="n">
        <f aca="false">DI121+DI122+DI123</f>
        <v>0</v>
      </c>
      <c r="DJ124" s="283" t="n">
        <f aca="false">DJ121+DJ122+DJ123</f>
        <v>0</v>
      </c>
      <c r="DK124" s="283" t="n">
        <f aca="false">DK121+DK122+DK123</f>
        <v>0</v>
      </c>
      <c r="DL124" s="283" t="n">
        <f aca="false">DL121+DL122+DL123</f>
        <v>0</v>
      </c>
      <c r="DM124" s="283" t="n">
        <f aca="false">DM121+DM122+DM123</f>
        <v>0</v>
      </c>
      <c r="DN124" s="283" t="n">
        <f aca="false">DN121+DN122+DN123</f>
        <v>0</v>
      </c>
      <c r="DO124" s="283" t="n">
        <f aca="false">DO121+DO122+DO123</f>
        <v>0</v>
      </c>
      <c r="DP124" s="283" t="n">
        <f aca="false">DP121+DP122+DP123</f>
        <v>0</v>
      </c>
      <c r="DQ124" s="283" t="n">
        <f aca="false">DQ121+DQ122+DQ123</f>
        <v>0</v>
      </c>
      <c r="DR124" s="283" t="n">
        <f aca="false">DR121+DR122+DR123</f>
        <v>0</v>
      </c>
      <c r="DS124" s="283" t="n">
        <f aca="false">DS121+DS122+DS123</f>
        <v>0</v>
      </c>
      <c r="DT124" s="283" t="n">
        <f aca="false">DT121+DT122+DT123</f>
        <v>0</v>
      </c>
      <c r="DU124" s="283" t="n">
        <f aca="false">DU121+DU122+DU123</f>
        <v>0</v>
      </c>
      <c r="DV124" s="283" t="n">
        <f aca="false">DV121+DV122+DV123</f>
        <v>0</v>
      </c>
      <c r="DW124" s="283" t="n">
        <f aca="false">DW121+DW122+DW123</f>
        <v>0</v>
      </c>
      <c r="DX124" s="283" t="n">
        <f aca="false">DX121+DX122+DX123</f>
        <v>0</v>
      </c>
      <c r="DY124" s="283" t="n">
        <f aca="false">DY121+DY122+DY123</f>
        <v>0</v>
      </c>
      <c r="DZ124" s="283" t="n">
        <f aca="false">DZ121+DZ122+DZ123</f>
        <v>0</v>
      </c>
      <c r="EA124" s="283" t="n">
        <f aca="false">EA121+EA122+EA123</f>
        <v>0</v>
      </c>
      <c r="EB124" s="283" t="n">
        <f aca="false">EB121+EB122+EB123</f>
        <v>0</v>
      </c>
      <c r="EC124" s="283" t="n">
        <f aca="false">EC121+EC122+EC123</f>
        <v>0</v>
      </c>
      <c r="ED124" s="283" t="n">
        <f aca="false">ED121+ED122+ED123</f>
        <v>0</v>
      </c>
      <c r="EE124" s="283" t="n">
        <f aca="false">EE121+EE122+EE123</f>
        <v>0</v>
      </c>
      <c r="EF124" s="283" t="n">
        <f aca="false">EF121+EF122+EF123</f>
        <v>0</v>
      </c>
    </row>
    <row r="126" customFormat="false" ht="15" hidden="false" customHeight="false" outlineLevel="0" collapsed="false">
      <c r="A126" s="6" t="s">
        <v>40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</row>
    <row r="127" customFormat="false" ht="15" hidden="false" customHeight="false" outlineLevel="0" collapsed="false">
      <c r="A127" s="36" t="s">
        <v>664</v>
      </c>
      <c r="B127" s="278" t="s">
        <v>21</v>
      </c>
      <c r="C127" s="279" t="n">
        <f aca="false">SUM(E127:EF127)</f>
        <v>712213.18</v>
      </c>
      <c r="E127" s="37" t="n">
        <f aca="false">IF(E6=③기타_가정!$E$16,③기타_가정!$E$536,0)</f>
        <v>0</v>
      </c>
      <c r="F127" s="37" t="n">
        <f aca="false">IF(F6=③기타_가정!$E$16,③기타_가정!$E$536,0)</f>
        <v>0</v>
      </c>
      <c r="G127" s="37" t="n">
        <f aca="false">IF(G6=③기타_가정!$E$16,③기타_가정!$E$536,0)</f>
        <v>0</v>
      </c>
      <c r="H127" s="37" t="n">
        <f aca="false">IF(H6=③기타_가정!$E$16,③기타_가정!$E$536,0)</f>
        <v>0</v>
      </c>
      <c r="I127" s="37" t="n">
        <f aca="false">IF(I6=③기타_가정!$E$16,③기타_가정!$E$536,0)</f>
        <v>0</v>
      </c>
      <c r="J127" s="37" t="n">
        <f aca="false">IF(J6=③기타_가정!$E$16,③기타_가정!$E$536,0)</f>
        <v>0</v>
      </c>
      <c r="K127" s="37" t="n">
        <f aca="false">IF(K6=③기타_가정!$E$16,③기타_가정!$E$536,0)</f>
        <v>0</v>
      </c>
      <c r="L127" s="37" t="n">
        <f aca="false">IF(L6=③기타_가정!$E$16,③기타_가정!$E$536,0)</f>
        <v>0</v>
      </c>
      <c r="M127" s="37" t="n">
        <f aca="false">IF(M6=③기타_가정!$E$16,③기타_가정!$E$536,0)</f>
        <v>0</v>
      </c>
      <c r="N127" s="37" t="n">
        <f aca="false">IF(N6=③기타_가정!$E$16,③기타_가정!$E$536,0)</f>
        <v>0</v>
      </c>
      <c r="O127" s="37" t="n">
        <f aca="false">IF(O6=③기타_가정!$E$16,③기타_가정!$E$536,0)</f>
        <v>0</v>
      </c>
      <c r="P127" s="37" t="n">
        <f aca="false">IF(P6=③기타_가정!$E$16,③기타_가정!$E$536,0)</f>
        <v>0</v>
      </c>
      <c r="Q127" s="37" t="n">
        <f aca="false">IF(Q6=③기타_가정!$E$16,③기타_가정!$E$536,0)</f>
        <v>0</v>
      </c>
      <c r="R127" s="37" t="n">
        <f aca="false">IF(R6=③기타_가정!$E$16,③기타_가정!$E$536,0)</f>
        <v>0</v>
      </c>
      <c r="S127" s="37" t="n">
        <f aca="false">IF(S6=③기타_가정!$E$16,③기타_가정!$E$536,0)</f>
        <v>0</v>
      </c>
      <c r="T127" s="37" t="n">
        <f aca="false">IF(T6=③기타_가정!$E$16,③기타_가정!$E$536,0)</f>
        <v>0</v>
      </c>
      <c r="U127" s="37" t="n">
        <f aca="false">IF(U6=③기타_가정!$E$16,③기타_가정!$E$536,0)</f>
        <v>0</v>
      </c>
      <c r="V127" s="37" t="n">
        <f aca="false">IF(V6=③기타_가정!$E$16,③기타_가정!$E$536,0)</f>
        <v>0</v>
      </c>
      <c r="W127" s="37" t="n">
        <f aca="false">IF(W6=③기타_가정!$E$16,③기타_가정!$E$536,0)</f>
        <v>0</v>
      </c>
      <c r="X127" s="37" t="n">
        <f aca="false">IF(X6=③기타_가정!$E$16,③기타_가정!$E$536,0)</f>
        <v>0</v>
      </c>
      <c r="Y127" s="37" t="n">
        <f aca="false">IF(Y6=③기타_가정!$E$16,③기타_가정!$E$536,0)</f>
        <v>0</v>
      </c>
      <c r="Z127" s="37" t="n">
        <f aca="false">IF(Z6=③기타_가정!$E$16,③기타_가정!$E$536,0)</f>
        <v>0</v>
      </c>
      <c r="AA127" s="37" t="n">
        <f aca="false">IF(AA6=③기타_가정!$E$16,③기타_가정!$E$536,0)</f>
        <v>0</v>
      </c>
      <c r="AB127" s="37" t="n">
        <f aca="false">IF(AB6=③기타_가정!$E$16,③기타_가정!$E$536,0)</f>
        <v>0</v>
      </c>
      <c r="AC127" s="37" t="n">
        <f aca="false">IF(AC6=③기타_가정!$E$16,③기타_가정!$E$536,0)</f>
        <v>0</v>
      </c>
      <c r="AD127" s="37" t="n">
        <f aca="false">IF(AD6=③기타_가정!$E$16,③기타_가정!$E$536,0)</f>
        <v>0</v>
      </c>
      <c r="AE127" s="37" t="n">
        <f aca="false">IF(AE6=③기타_가정!$E$16,③기타_가정!$E$536,0)</f>
        <v>0</v>
      </c>
      <c r="AF127" s="37" t="n">
        <f aca="false">IF(AF6=③기타_가정!$E$16,③기타_가정!$E$536,0)</f>
        <v>0</v>
      </c>
      <c r="AG127" s="37" t="n">
        <f aca="false">IF(AG6=③기타_가정!$E$16,③기타_가정!$E$536,0)</f>
        <v>0</v>
      </c>
      <c r="AH127" s="37" t="n">
        <f aca="false">IF(AH6=③기타_가정!$E$16,③기타_가정!$E$536,0)</f>
        <v>0</v>
      </c>
      <c r="AI127" s="37" t="n">
        <f aca="false">IF(AI6=③기타_가정!$E$16,③기타_가정!$E$536,0)</f>
        <v>0</v>
      </c>
      <c r="AJ127" s="37" t="n">
        <f aca="false">IF(AJ6=③기타_가정!$E$16,③기타_가정!$E$536,0)</f>
        <v>0</v>
      </c>
      <c r="AK127" s="37" t="n">
        <f aca="false">IF(AK6=③기타_가정!$E$16,③기타_가정!$E$536,0)</f>
        <v>0</v>
      </c>
      <c r="AL127" s="37" t="n">
        <f aca="false">IF(AL6=③기타_가정!$E$16,③기타_가정!$E$536,0)</f>
        <v>0</v>
      </c>
      <c r="AM127" s="37" t="n">
        <f aca="false">IF(AM6=③기타_가정!$E$16,③기타_가정!$E$536,0)</f>
        <v>0</v>
      </c>
      <c r="AN127" s="37" t="n">
        <f aca="false">IF(AN6=③기타_가정!$E$16,③기타_가정!$E$536,0)</f>
        <v>0</v>
      </c>
      <c r="AO127" s="37" t="n">
        <f aca="false">IF(AO6=③기타_가정!$E$16,③기타_가정!$E$536,0)</f>
        <v>0</v>
      </c>
      <c r="AP127" s="37" t="n">
        <f aca="false">IF(AP6=③기타_가정!$E$16,③기타_가정!$E$536,0)</f>
        <v>0</v>
      </c>
      <c r="AQ127" s="37" t="n">
        <f aca="false">IF(AQ6=③기타_가정!$E$16,③기타_가정!$E$536,0)</f>
        <v>0</v>
      </c>
      <c r="AR127" s="37" t="n">
        <f aca="false">IF(AR6=③기타_가정!$E$16,③기타_가정!$E$536,0)</f>
        <v>0</v>
      </c>
      <c r="AS127" s="37" t="n">
        <f aca="false">IF(AS6=③기타_가정!$E$16,③기타_가정!$E$536,0)</f>
        <v>0</v>
      </c>
      <c r="AT127" s="37" t="n">
        <f aca="false">IF(AT6=③기타_가정!$E$16,③기타_가정!$E$536,0)</f>
        <v>0</v>
      </c>
      <c r="AU127" s="37" t="n">
        <f aca="false">IF(AU6=③기타_가정!$E$16,③기타_가정!$E$536,0)</f>
        <v>0</v>
      </c>
      <c r="AV127" s="37" t="n">
        <f aca="false">IF(AV6=③기타_가정!$E$16,③기타_가정!$E$536,0)</f>
        <v>0</v>
      </c>
      <c r="AW127" s="37" t="n">
        <f aca="false">IF(AW6=③기타_가정!$E$16,③기타_가정!$E$536,0)</f>
        <v>0</v>
      </c>
      <c r="AX127" s="37" t="n">
        <f aca="false">IF(AX6=③기타_가정!$E$16,③기타_가정!$E$536,0)</f>
        <v>0</v>
      </c>
      <c r="AY127" s="37" t="n">
        <f aca="false">IF(AY6=③기타_가정!$E$16,③기타_가정!$E$536,0)</f>
        <v>0</v>
      </c>
      <c r="AZ127" s="37" t="n">
        <f aca="false">IF(AZ6=③기타_가정!$E$16,③기타_가정!$E$536,0)</f>
        <v>0</v>
      </c>
      <c r="BA127" s="37" t="n">
        <f aca="false">IF(BA6=③기타_가정!$E$16,③기타_가정!$E$536,0)</f>
        <v>0</v>
      </c>
      <c r="BB127" s="37" t="n">
        <f aca="false">IF(BB6=③기타_가정!$E$16,③기타_가정!$E$536,0)</f>
        <v>0</v>
      </c>
      <c r="BC127" s="37" t="n">
        <f aca="false">IF(BC6=③기타_가정!$E$16,③기타_가정!$E$536,0)</f>
        <v>0</v>
      </c>
      <c r="BD127" s="37" t="n">
        <f aca="false">IF(BD6=③기타_가정!$E$16,③기타_가정!$E$536,0)</f>
        <v>0</v>
      </c>
      <c r="BE127" s="37" t="n">
        <f aca="false">IF(BE6=③기타_가정!$E$16,③기타_가정!$E$536,0)</f>
        <v>0</v>
      </c>
      <c r="BF127" s="37" t="n">
        <f aca="false">IF(BF6=③기타_가정!$E$16,③기타_가정!$E$536,0)</f>
        <v>0</v>
      </c>
      <c r="BG127" s="37" t="n">
        <f aca="false">IF(BG6=③기타_가정!$E$16,③기타_가정!$E$536,0)</f>
        <v>0</v>
      </c>
      <c r="BH127" s="37" t="n">
        <f aca="false">IF(BH6=③기타_가정!$E$16,③기타_가정!$E$536,0)</f>
        <v>0</v>
      </c>
      <c r="BI127" s="37" t="n">
        <f aca="false">IF(BI6=③기타_가정!$E$16,③기타_가정!$E$536,0)</f>
        <v>0</v>
      </c>
      <c r="BJ127" s="37" t="n">
        <f aca="false">IF(BJ6=③기타_가정!$E$16,③기타_가정!$E$536,0)</f>
        <v>0</v>
      </c>
      <c r="BK127" s="37" t="n">
        <f aca="false">IF(BK6=③기타_가정!$E$16,③기타_가정!$E$536,0)</f>
        <v>0</v>
      </c>
      <c r="BL127" s="37" t="n">
        <f aca="false">IF(BL6=③기타_가정!$E$16,③기타_가정!$E$536,0)</f>
        <v>712213.18</v>
      </c>
      <c r="BM127" s="37" t="n">
        <f aca="false">IF(BM6=③기타_가정!$E$16,③기타_가정!$E$536,0)</f>
        <v>0</v>
      </c>
      <c r="BN127" s="37" t="n">
        <f aca="false">IF(BN6=③기타_가정!$E$16,③기타_가정!$E$536,0)</f>
        <v>0</v>
      </c>
      <c r="BO127" s="37" t="n">
        <f aca="false">IF(BO6=③기타_가정!$E$16,③기타_가정!$E$536,0)</f>
        <v>0</v>
      </c>
      <c r="BP127" s="37" t="n">
        <f aca="false">IF(BP6=③기타_가정!$E$16,③기타_가정!$E$536,0)</f>
        <v>0</v>
      </c>
      <c r="BQ127" s="37" t="n">
        <f aca="false">IF(BQ6=③기타_가정!$E$16,③기타_가정!$E$536,0)</f>
        <v>0</v>
      </c>
      <c r="BR127" s="37" t="n">
        <f aca="false">IF(BR6=③기타_가정!$E$16,③기타_가정!$E$536,0)</f>
        <v>0</v>
      </c>
      <c r="BS127" s="37" t="n">
        <f aca="false">IF(BS6=③기타_가정!$E$16,③기타_가정!$E$536,0)</f>
        <v>0</v>
      </c>
      <c r="BT127" s="37" t="n">
        <f aca="false">IF(BT6=③기타_가정!$E$16,③기타_가정!$E$536,0)</f>
        <v>0</v>
      </c>
      <c r="BU127" s="37" t="n">
        <f aca="false">IF(BU6=③기타_가정!$E$16,③기타_가정!$E$536,0)</f>
        <v>0</v>
      </c>
      <c r="BV127" s="37" t="n">
        <f aca="false">IF(BV6=③기타_가정!$E$16,③기타_가정!$E$536,0)</f>
        <v>0</v>
      </c>
      <c r="BW127" s="37" t="n">
        <f aca="false">IF(BW6=③기타_가정!$E$16,③기타_가정!$E$536,0)</f>
        <v>0</v>
      </c>
      <c r="BX127" s="37" t="n">
        <f aca="false">IF(BX6=③기타_가정!$E$16,③기타_가정!$E$536,0)</f>
        <v>0</v>
      </c>
      <c r="BY127" s="37" t="n">
        <f aca="false">IF(BY6=③기타_가정!$E$16,③기타_가정!$E$536,0)</f>
        <v>0</v>
      </c>
      <c r="BZ127" s="37" t="n">
        <f aca="false">IF(BZ6=③기타_가정!$E$16,③기타_가정!$E$536,0)</f>
        <v>0</v>
      </c>
      <c r="CA127" s="37" t="n">
        <f aca="false">IF(CA6=③기타_가정!$E$16,③기타_가정!$E$536,0)</f>
        <v>0</v>
      </c>
      <c r="CB127" s="37" t="n">
        <f aca="false">IF(CB6=③기타_가정!$E$16,③기타_가정!$E$536,0)</f>
        <v>0</v>
      </c>
      <c r="CC127" s="37" t="n">
        <f aca="false">IF(CC6=③기타_가정!$E$16,③기타_가정!$E$536,0)</f>
        <v>0</v>
      </c>
      <c r="CD127" s="37" t="n">
        <f aca="false">IF(CD6=③기타_가정!$E$16,③기타_가정!$E$536,0)</f>
        <v>0</v>
      </c>
      <c r="CE127" s="37" t="n">
        <f aca="false">IF(CE6=③기타_가정!$E$16,③기타_가정!$E$536,0)</f>
        <v>0</v>
      </c>
      <c r="CF127" s="37" t="n">
        <f aca="false">IF(CF6=③기타_가정!$E$16,③기타_가정!$E$536,0)</f>
        <v>0</v>
      </c>
      <c r="CG127" s="37" t="n">
        <f aca="false">IF(CG6=③기타_가정!$E$16,③기타_가정!$E$536,0)</f>
        <v>0</v>
      </c>
      <c r="CH127" s="37" t="n">
        <f aca="false">IF(CH6=③기타_가정!$E$16,③기타_가정!$E$536,0)</f>
        <v>0</v>
      </c>
      <c r="CI127" s="37" t="n">
        <f aca="false">IF(CI6=③기타_가정!$E$16,③기타_가정!$E$536,0)</f>
        <v>0</v>
      </c>
      <c r="CJ127" s="37" t="n">
        <f aca="false">IF(CJ6=③기타_가정!$E$16,③기타_가정!$E$536,0)</f>
        <v>0</v>
      </c>
      <c r="CK127" s="37" t="n">
        <f aca="false">IF(CK6=③기타_가정!$E$16,③기타_가정!$E$536,0)</f>
        <v>0</v>
      </c>
      <c r="CL127" s="37" t="n">
        <f aca="false">IF(CL6=③기타_가정!$E$16,③기타_가정!$E$536,0)</f>
        <v>0</v>
      </c>
      <c r="CM127" s="37" t="n">
        <f aca="false">IF(CM6=③기타_가정!$E$16,③기타_가정!$E$536,0)</f>
        <v>0</v>
      </c>
      <c r="CN127" s="37" t="n">
        <f aca="false">IF(CN6=③기타_가정!$E$16,③기타_가정!$E$536,0)</f>
        <v>0</v>
      </c>
      <c r="CO127" s="37" t="n">
        <f aca="false">IF(CO6=③기타_가정!$E$16,③기타_가정!$E$536,0)</f>
        <v>0</v>
      </c>
      <c r="CP127" s="37" t="n">
        <f aca="false">IF(CP6=③기타_가정!$E$16,③기타_가정!$E$536,0)</f>
        <v>0</v>
      </c>
      <c r="CQ127" s="37" t="n">
        <f aca="false">IF(CQ6=③기타_가정!$E$16,③기타_가정!$E$536,0)</f>
        <v>0</v>
      </c>
      <c r="CR127" s="37" t="n">
        <f aca="false">IF(CR6=③기타_가정!$E$16,③기타_가정!$E$536,0)</f>
        <v>0</v>
      </c>
      <c r="CS127" s="37" t="n">
        <f aca="false">IF(CS6=③기타_가정!$E$16,③기타_가정!$E$536,0)</f>
        <v>0</v>
      </c>
      <c r="CT127" s="37" t="n">
        <f aca="false">IF(CT6=③기타_가정!$E$16,③기타_가정!$E$536,0)</f>
        <v>0</v>
      </c>
      <c r="CU127" s="37" t="n">
        <f aca="false">IF(CU6=③기타_가정!$E$16,③기타_가정!$E$536,0)</f>
        <v>0</v>
      </c>
      <c r="CV127" s="37" t="n">
        <f aca="false">IF(CV6=③기타_가정!$E$16,③기타_가정!$E$536,0)</f>
        <v>0</v>
      </c>
      <c r="CW127" s="37" t="n">
        <f aca="false">IF(CW6=③기타_가정!$E$16,③기타_가정!$E$536,0)</f>
        <v>0</v>
      </c>
      <c r="CX127" s="37" t="n">
        <f aca="false">IF(CX6=③기타_가정!$E$16,③기타_가정!$E$536,0)</f>
        <v>0</v>
      </c>
      <c r="CY127" s="37" t="n">
        <f aca="false">IF(CY6=③기타_가정!$E$16,③기타_가정!$E$536,0)</f>
        <v>0</v>
      </c>
      <c r="CZ127" s="37" t="n">
        <f aca="false">IF(CZ6=③기타_가정!$E$16,③기타_가정!$E$536,0)</f>
        <v>0</v>
      </c>
      <c r="DA127" s="37" t="n">
        <f aca="false">IF(DA6=③기타_가정!$E$16,③기타_가정!$E$536,0)</f>
        <v>0</v>
      </c>
      <c r="DB127" s="37" t="n">
        <f aca="false">IF(DB6=③기타_가정!$E$16,③기타_가정!$E$536,0)</f>
        <v>0</v>
      </c>
      <c r="DC127" s="37" t="n">
        <f aca="false">IF(DC6=③기타_가정!$E$16,③기타_가정!$E$536,0)</f>
        <v>0</v>
      </c>
      <c r="DD127" s="37" t="n">
        <f aca="false">IF(DD6=③기타_가정!$E$16,③기타_가정!$E$536,0)</f>
        <v>0</v>
      </c>
      <c r="DE127" s="37" t="n">
        <f aca="false">IF(DE6=③기타_가정!$E$16,③기타_가정!$E$536,0)</f>
        <v>0</v>
      </c>
      <c r="DF127" s="37" t="n">
        <f aca="false">IF(DF6=③기타_가정!$E$16,③기타_가정!$E$536,0)</f>
        <v>0</v>
      </c>
      <c r="DG127" s="37" t="n">
        <f aca="false">IF(DG6=③기타_가정!$E$16,③기타_가정!$E$536,0)</f>
        <v>0</v>
      </c>
      <c r="DH127" s="37" t="n">
        <f aca="false">IF(DH6=③기타_가정!$E$16,③기타_가정!$E$536,0)</f>
        <v>0</v>
      </c>
      <c r="DI127" s="37" t="n">
        <f aca="false">IF(DI6=③기타_가정!$E$16,③기타_가정!$E$536,0)</f>
        <v>0</v>
      </c>
      <c r="DJ127" s="37" t="n">
        <f aca="false">IF(DJ6=③기타_가정!$E$16,③기타_가정!$E$536,0)</f>
        <v>0</v>
      </c>
      <c r="DK127" s="37" t="n">
        <f aca="false">IF(DK6=③기타_가정!$E$16,③기타_가정!$E$536,0)</f>
        <v>0</v>
      </c>
      <c r="DL127" s="37" t="n">
        <f aca="false">IF(DL6=③기타_가정!$E$16,③기타_가정!$E$536,0)</f>
        <v>0</v>
      </c>
      <c r="DM127" s="37" t="n">
        <f aca="false">IF(DM6=③기타_가정!$E$16,③기타_가정!$E$536,0)</f>
        <v>0</v>
      </c>
      <c r="DN127" s="37" t="n">
        <f aca="false">IF(DN6=③기타_가정!$E$16,③기타_가정!$E$536,0)</f>
        <v>0</v>
      </c>
      <c r="DO127" s="37" t="n">
        <f aca="false">IF(DO6=③기타_가정!$E$16,③기타_가정!$E$536,0)</f>
        <v>0</v>
      </c>
      <c r="DP127" s="37" t="n">
        <f aca="false">IF(DP6=③기타_가정!$E$16,③기타_가정!$E$536,0)</f>
        <v>0</v>
      </c>
      <c r="DQ127" s="37" t="n">
        <f aca="false">IF(DQ6=③기타_가정!$E$16,③기타_가정!$E$536,0)</f>
        <v>0</v>
      </c>
      <c r="DR127" s="37" t="n">
        <f aca="false">IF(DR6=③기타_가정!$E$16,③기타_가정!$E$536,0)</f>
        <v>0</v>
      </c>
      <c r="DS127" s="37" t="n">
        <f aca="false">IF(DS6=③기타_가정!$E$16,③기타_가정!$E$536,0)</f>
        <v>0</v>
      </c>
      <c r="DT127" s="37" t="n">
        <f aca="false">IF(DT6=③기타_가정!$E$16,③기타_가정!$E$536,0)</f>
        <v>0</v>
      </c>
      <c r="DU127" s="37" t="n">
        <f aca="false">IF(DU6=③기타_가정!$E$16,③기타_가정!$E$536,0)</f>
        <v>0</v>
      </c>
      <c r="DV127" s="37" t="n">
        <f aca="false">IF(DV6=③기타_가정!$E$16,③기타_가정!$E$536,0)</f>
        <v>0</v>
      </c>
      <c r="DW127" s="37" t="n">
        <f aca="false">IF(DW6=③기타_가정!$E$16,③기타_가정!$E$536,0)</f>
        <v>0</v>
      </c>
      <c r="DX127" s="37" t="n">
        <f aca="false">IF(DX6=③기타_가정!$E$16,③기타_가정!$E$536,0)</f>
        <v>0</v>
      </c>
      <c r="DY127" s="37" t="n">
        <f aca="false">IF(DY6=③기타_가정!$E$16,③기타_가정!$E$536,0)</f>
        <v>0</v>
      </c>
      <c r="DZ127" s="37" t="n">
        <f aca="false">IF(DZ6=③기타_가정!$E$16,③기타_가정!$E$536,0)</f>
        <v>0</v>
      </c>
      <c r="EA127" s="37" t="n">
        <f aca="false">IF(EA6=③기타_가정!$E$16,③기타_가정!$E$536,0)</f>
        <v>0</v>
      </c>
      <c r="EB127" s="37" t="n">
        <f aca="false">IF(EB6=③기타_가정!$E$16,③기타_가정!$E$536,0)</f>
        <v>0</v>
      </c>
      <c r="EC127" s="37" t="n">
        <f aca="false">IF(EC6=③기타_가정!$E$16,③기타_가정!$E$536,0)</f>
        <v>0</v>
      </c>
      <c r="ED127" s="37" t="n">
        <f aca="false">IF(ED6=③기타_가정!$E$16,③기타_가정!$E$536,0)</f>
        <v>0</v>
      </c>
      <c r="EE127" s="37" t="n">
        <f aca="false">IF(EE6=③기타_가정!$E$16,③기타_가정!$E$536,0)</f>
        <v>0</v>
      </c>
      <c r="EF127" s="37" t="n">
        <f aca="false">IF(EF6=③기타_가정!$E$16,③기타_가정!$E$536,0)</f>
        <v>0</v>
      </c>
    </row>
    <row r="128" customFormat="false" ht="15" hidden="false" customHeight="false" outlineLevel="0" collapsed="false">
      <c r="A128" s="36" t="s">
        <v>665</v>
      </c>
      <c r="B128" s="278" t="s">
        <v>21</v>
      </c>
      <c r="C128" s="279" t="n">
        <f aca="false">SUM(E128:EF128)</f>
        <v>7122.1318</v>
      </c>
      <c r="E128" s="37" t="n">
        <f aca="false">IF(E6=③기타_가정!$E$16,③기타_가정!$E$538,0)</f>
        <v>0</v>
      </c>
      <c r="F128" s="37" t="n">
        <f aca="false">IF(F6=③기타_가정!$E$16,③기타_가정!$E$538,0)</f>
        <v>0</v>
      </c>
      <c r="G128" s="37" t="n">
        <f aca="false">IF(G6=③기타_가정!$E$16,③기타_가정!$E$538,0)</f>
        <v>0</v>
      </c>
      <c r="H128" s="37" t="n">
        <f aca="false">IF(H6=③기타_가정!$E$16,③기타_가정!$E$538,0)</f>
        <v>0</v>
      </c>
      <c r="I128" s="37" t="n">
        <f aca="false">IF(I6=③기타_가정!$E$16,③기타_가정!$E$538,0)</f>
        <v>0</v>
      </c>
      <c r="J128" s="37" t="n">
        <f aca="false">IF(J6=③기타_가정!$E$16,③기타_가정!$E$538,0)</f>
        <v>0</v>
      </c>
      <c r="K128" s="37" t="n">
        <f aca="false">IF(K6=③기타_가정!$E$16,③기타_가정!$E$538,0)</f>
        <v>0</v>
      </c>
      <c r="L128" s="37" t="n">
        <f aca="false">IF(L6=③기타_가정!$E$16,③기타_가정!$E$538,0)</f>
        <v>0</v>
      </c>
      <c r="M128" s="37" t="n">
        <f aca="false">IF(M6=③기타_가정!$E$16,③기타_가정!$E$538,0)</f>
        <v>0</v>
      </c>
      <c r="N128" s="37" t="n">
        <f aca="false">IF(N6=③기타_가정!$E$16,③기타_가정!$E$538,0)</f>
        <v>0</v>
      </c>
      <c r="O128" s="37" t="n">
        <f aca="false">IF(O6=③기타_가정!$E$16,③기타_가정!$E$538,0)</f>
        <v>0</v>
      </c>
      <c r="P128" s="37" t="n">
        <f aca="false">IF(P6=③기타_가정!$E$16,③기타_가정!$E$538,0)</f>
        <v>0</v>
      </c>
      <c r="Q128" s="37" t="n">
        <f aca="false">IF(Q6=③기타_가정!$E$16,③기타_가정!$E$538,0)</f>
        <v>0</v>
      </c>
      <c r="R128" s="37" t="n">
        <f aca="false">IF(R6=③기타_가정!$E$16,③기타_가정!$E$538,0)</f>
        <v>0</v>
      </c>
      <c r="S128" s="37" t="n">
        <f aca="false">IF(S6=③기타_가정!$E$16,③기타_가정!$E$538,0)</f>
        <v>0</v>
      </c>
      <c r="T128" s="37" t="n">
        <f aca="false">IF(T6=③기타_가정!$E$16,③기타_가정!$E$538,0)</f>
        <v>0</v>
      </c>
      <c r="U128" s="37" t="n">
        <f aca="false">IF(U6=③기타_가정!$E$16,③기타_가정!$E$538,0)</f>
        <v>0</v>
      </c>
      <c r="V128" s="37" t="n">
        <f aca="false">IF(V6=③기타_가정!$E$16,③기타_가정!$E$538,0)</f>
        <v>0</v>
      </c>
      <c r="W128" s="37" t="n">
        <f aca="false">IF(W6=③기타_가정!$E$16,③기타_가정!$E$538,0)</f>
        <v>0</v>
      </c>
      <c r="X128" s="37" t="n">
        <f aca="false">IF(X6=③기타_가정!$E$16,③기타_가정!$E$538,0)</f>
        <v>0</v>
      </c>
      <c r="Y128" s="37" t="n">
        <f aca="false">IF(Y6=③기타_가정!$E$16,③기타_가정!$E$538,0)</f>
        <v>0</v>
      </c>
      <c r="Z128" s="37" t="n">
        <f aca="false">IF(Z6=③기타_가정!$E$16,③기타_가정!$E$538,0)</f>
        <v>0</v>
      </c>
      <c r="AA128" s="37" t="n">
        <f aca="false">IF(AA6=③기타_가정!$E$16,③기타_가정!$E$538,0)</f>
        <v>0</v>
      </c>
      <c r="AB128" s="37" t="n">
        <f aca="false">IF(AB6=③기타_가정!$E$16,③기타_가정!$E$538,0)</f>
        <v>0</v>
      </c>
      <c r="AC128" s="37" t="n">
        <f aca="false">IF(AC6=③기타_가정!$E$16,③기타_가정!$E$538,0)</f>
        <v>0</v>
      </c>
      <c r="AD128" s="37" t="n">
        <f aca="false">IF(AD6=③기타_가정!$E$16,③기타_가정!$E$538,0)</f>
        <v>0</v>
      </c>
      <c r="AE128" s="37" t="n">
        <f aca="false">IF(AE6=③기타_가정!$E$16,③기타_가정!$E$538,0)</f>
        <v>0</v>
      </c>
      <c r="AF128" s="37" t="n">
        <f aca="false">IF(AF6=③기타_가정!$E$16,③기타_가정!$E$538,0)</f>
        <v>0</v>
      </c>
      <c r="AG128" s="37" t="n">
        <f aca="false">IF(AG6=③기타_가정!$E$16,③기타_가정!$E$538,0)</f>
        <v>0</v>
      </c>
      <c r="AH128" s="37" t="n">
        <f aca="false">IF(AH6=③기타_가정!$E$16,③기타_가정!$E$538,0)</f>
        <v>0</v>
      </c>
      <c r="AI128" s="37" t="n">
        <f aca="false">IF(AI6=③기타_가정!$E$16,③기타_가정!$E$538,0)</f>
        <v>0</v>
      </c>
      <c r="AJ128" s="37" t="n">
        <f aca="false">IF(AJ6=③기타_가정!$E$16,③기타_가정!$E$538,0)</f>
        <v>0</v>
      </c>
      <c r="AK128" s="37" t="n">
        <f aca="false">IF(AK6=③기타_가정!$E$16,③기타_가정!$E$538,0)</f>
        <v>0</v>
      </c>
      <c r="AL128" s="37" t="n">
        <f aca="false">IF(AL6=③기타_가정!$E$16,③기타_가정!$E$538,0)</f>
        <v>0</v>
      </c>
      <c r="AM128" s="37" t="n">
        <f aca="false">IF(AM6=③기타_가정!$E$16,③기타_가정!$E$538,0)</f>
        <v>0</v>
      </c>
      <c r="AN128" s="37" t="n">
        <f aca="false">IF(AN6=③기타_가정!$E$16,③기타_가정!$E$538,0)</f>
        <v>0</v>
      </c>
      <c r="AO128" s="37" t="n">
        <f aca="false">IF(AO6=③기타_가정!$E$16,③기타_가정!$E$538,0)</f>
        <v>0</v>
      </c>
      <c r="AP128" s="37" t="n">
        <f aca="false">IF(AP6=③기타_가정!$E$16,③기타_가정!$E$538,0)</f>
        <v>0</v>
      </c>
      <c r="AQ128" s="37" t="n">
        <f aca="false">IF(AQ6=③기타_가정!$E$16,③기타_가정!$E$538,0)</f>
        <v>0</v>
      </c>
      <c r="AR128" s="37" t="n">
        <f aca="false">IF(AR6=③기타_가정!$E$16,③기타_가정!$E$538,0)</f>
        <v>0</v>
      </c>
      <c r="AS128" s="37" t="n">
        <f aca="false">IF(AS6=③기타_가정!$E$16,③기타_가정!$E$538,0)</f>
        <v>0</v>
      </c>
      <c r="AT128" s="37" t="n">
        <f aca="false">IF(AT6=③기타_가정!$E$16,③기타_가정!$E$538,0)</f>
        <v>0</v>
      </c>
      <c r="AU128" s="37" t="n">
        <f aca="false">IF(AU6=③기타_가정!$E$16,③기타_가정!$E$538,0)</f>
        <v>0</v>
      </c>
      <c r="AV128" s="37" t="n">
        <f aca="false">IF(AV6=③기타_가정!$E$16,③기타_가정!$E$538,0)</f>
        <v>0</v>
      </c>
      <c r="AW128" s="37" t="n">
        <f aca="false">IF(AW6=③기타_가정!$E$16,③기타_가정!$E$538,0)</f>
        <v>0</v>
      </c>
      <c r="AX128" s="37" t="n">
        <f aca="false">IF(AX6=③기타_가정!$E$16,③기타_가정!$E$538,0)</f>
        <v>0</v>
      </c>
      <c r="AY128" s="37" t="n">
        <f aca="false">IF(AY6=③기타_가정!$E$16,③기타_가정!$E$538,0)</f>
        <v>0</v>
      </c>
      <c r="AZ128" s="37" t="n">
        <f aca="false">IF(AZ6=③기타_가정!$E$16,③기타_가정!$E$538,0)</f>
        <v>0</v>
      </c>
      <c r="BA128" s="37" t="n">
        <f aca="false">IF(BA6=③기타_가정!$E$16,③기타_가정!$E$538,0)</f>
        <v>0</v>
      </c>
      <c r="BB128" s="37" t="n">
        <f aca="false">IF(BB6=③기타_가정!$E$16,③기타_가정!$E$538,0)</f>
        <v>0</v>
      </c>
      <c r="BC128" s="37" t="n">
        <f aca="false">IF(BC6=③기타_가정!$E$16,③기타_가정!$E$538,0)</f>
        <v>0</v>
      </c>
      <c r="BD128" s="37" t="n">
        <f aca="false">IF(BD6=③기타_가정!$E$16,③기타_가정!$E$538,0)</f>
        <v>0</v>
      </c>
      <c r="BE128" s="37" t="n">
        <f aca="false">IF(BE6=③기타_가정!$E$16,③기타_가정!$E$538,0)</f>
        <v>0</v>
      </c>
      <c r="BF128" s="37" t="n">
        <f aca="false">IF(BF6=③기타_가정!$E$16,③기타_가정!$E$538,0)</f>
        <v>0</v>
      </c>
      <c r="BG128" s="37" t="n">
        <f aca="false">IF(BG6=③기타_가정!$E$16,③기타_가정!$E$538,0)</f>
        <v>0</v>
      </c>
      <c r="BH128" s="37" t="n">
        <f aca="false">IF(BH6=③기타_가정!$E$16,③기타_가정!$E$538,0)</f>
        <v>0</v>
      </c>
      <c r="BI128" s="37" t="n">
        <f aca="false">IF(BI6=③기타_가정!$E$16,③기타_가정!$E$538,0)</f>
        <v>0</v>
      </c>
      <c r="BJ128" s="37" t="n">
        <f aca="false">IF(BJ6=③기타_가정!$E$16,③기타_가정!$E$538,0)</f>
        <v>0</v>
      </c>
      <c r="BK128" s="37" t="n">
        <f aca="false">IF(BK6=③기타_가정!$E$16,③기타_가정!$E$538,0)</f>
        <v>0</v>
      </c>
      <c r="BL128" s="37" t="n">
        <f aca="false">IF(BL6=③기타_가정!$E$16,③기타_가정!$E$538,0)</f>
        <v>7122.1318</v>
      </c>
      <c r="BM128" s="37" t="n">
        <f aca="false">IF(BM6=③기타_가정!$E$16,③기타_가정!$E$538,0)</f>
        <v>0</v>
      </c>
      <c r="BN128" s="37" t="n">
        <f aca="false">IF(BN6=③기타_가정!$E$16,③기타_가정!$E$538,0)</f>
        <v>0</v>
      </c>
      <c r="BO128" s="37" t="n">
        <f aca="false">IF(BO6=③기타_가정!$E$16,③기타_가정!$E$538,0)</f>
        <v>0</v>
      </c>
      <c r="BP128" s="37" t="n">
        <f aca="false">IF(BP6=③기타_가정!$E$16,③기타_가정!$E$538,0)</f>
        <v>0</v>
      </c>
      <c r="BQ128" s="37" t="n">
        <f aca="false">IF(BQ6=③기타_가정!$E$16,③기타_가정!$E$538,0)</f>
        <v>0</v>
      </c>
      <c r="BR128" s="37" t="n">
        <f aca="false">IF(BR6=③기타_가정!$E$16,③기타_가정!$E$538,0)</f>
        <v>0</v>
      </c>
      <c r="BS128" s="37" t="n">
        <f aca="false">IF(BS6=③기타_가정!$E$16,③기타_가정!$E$538,0)</f>
        <v>0</v>
      </c>
      <c r="BT128" s="37" t="n">
        <f aca="false">IF(BT6=③기타_가정!$E$16,③기타_가정!$E$538,0)</f>
        <v>0</v>
      </c>
      <c r="BU128" s="37" t="n">
        <f aca="false">IF(BU6=③기타_가정!$E$16,③기타_가정!$E$538,0)</f>
        <v>0</v>
      </c>
      <c r="BV128" s="37" t="n">
        <f aca="false">IF(BV6=③기타_가정!$E$16,③기타_가정!$E$538,0)</f>
        <v>0</v>
      </c>
      <c r="BW128" s="37" t="n">
        <f aca="false">IF(BW6=③기타_가정!$E$16,③기타_가정!$E$538,0)</f>
        <v>0</v>
      </c>
      <c r="BX128" s="37" t="n">
        <f aca="false">IF(BX6=③기타_가정!$E$16,③기타_가정!$E$538,0)</f>
        <v>0</v>
      </c>
      <c r="BY128" s="37" t="n">
        <f aca="false">IF(BY6=③기타_가정!$E$16,③기타_가정!$E$538,0)</f>
        <v>0</v>
      </c>
      <c r="BZ128" s="37" t="n">
        <f aca="false">IF(BZ6=③기타_가정!$E$16,③기타_가정!$E$538,0)</f>
        <v>0</v>
      </c>
      <c r="CA128" s="37" t="n">
        <f aca="false">IF(CA6=③기타_가정!$E$16,③기타_가정!$E$538,0)</f>
        <v>0</v>
      </c>
      <c r="CB128" s="37" t="n">
        <f aca="false">IF(CB6=③기타_가정!$E$16,③기타_가정!$E$538,0)</f>
        <v>0</v>
      </c>
      <c r="CC128" s="37" t="n">
        <f aca="false">IF(CC6=③기타_가정!$E$16,③기타_가정!$E$538,0)</f>
        <v>0</v>
      </c>
      <c r="CD128" s="37" t="n">
        <f aca="false">IF(CD6=③기타_가정!$E$16,③기타_가정!$E$538,0)</f>
        <v>0</v>
      </c>
      <c r="CE128" s="37" t="n">
        <f aca="false">IF(CE6=③기타_가정!$E$16,③기타_가정!$E$538,0)</f>
        <v>0</v>
      </c>
      <c r="CF128" s="37" t="n">
        <f aca="false">IF(CF6=③기타_가정!$E$16,③기타_가정!$E$538,0)</f>
        <v>0</v>
      </c>
      <c r="CG128" s="37" t="n">
        <f aca="false">IF(CG6=③기타_가정!$E$16,③기타_가정!$E$538,0)</f>
        <v>0</v>
      </c>
      <c r="CH128" s="37" t="n">
        <f aca="false">IF(CH6=③기타_가정!$E$16,③기타_가정!$E$538,0)</f>
        <v>0</v>
      </c>
      <c r="CI128" s="37" t="n">
        <f aca="false">IF(CI6=③기타_가정!$E$16,③기타_가정!$E$538,0)</f>
        <v>0</v>
      </c>
      <c r="CJ128" s="37" t="n">
        <f aca="false">IF(CJ6=③기타_가정!$E$16,③기타_가정!$E$538,0)</f>
        <v>0</v>
      </c>
      <c r="CK128" s="37" t="n">
        <f aca="false">IF(CK6=③기타_가정!$E$16,③기타_가정!$E$538,0)</f>
        <v>0</v>
      </c>
      <c r="CL128" s="37" t="n">
        <f aca="false">IF(CL6=③기타_가정!$E$16,③기타_가정!$E$538,0)</f>
        <v>0</v>
      </c>
      <c r="CM128" s="37" t="n">
        <f aca="false">IF(CM6=③기타_가정!$E$16,③기타_가정!$E$538,0)</f>
        <v>0</v>
      </c>
      <c r="CN128" s="37" t="n">
        <f aca="false">IF(CN6=③기타_가정!$E$16,③기타_가정!$E$538,0)</f>
        <v>0</v>
      </c>
      <c r="CO128" s="37" t="n">
        <f aca="false">IF(CO6=③기타_가정!$E$16,③기타_가정!$E$538,0)</f>
        <v>0</v>
      </c>
      <c r="CP128" s="37" t="n">
        <f aca="false">IF(CP6=③기타_가정!$E$16,③기타_가정!$E$538,0)</f>
        <v>0</v>
      </c>
      <c r="CQ128" s="37" t="n">
        <f aca="false">IF(CQ6=③기타_가정!$E$16,③기타_가정!$E$538,0)</f>
        <v>0</v>
      </c>
      <c r="CR128" s="37" t="n">
        <f aca="false">IF(CR6=③기타_가정!$E$16,③기타_가정!$E$538,0)</f>
        <v>0</v>
      </c>
      <c r="CS128" s="37" t="n">
        <f aca="false">IF(CS6=③기타_가정!$E$16,③기타_가정!$E$538,0)</f>
        <v>0</v>
      </c>
      <c r="CT128" s="37" t="n">
        <f aca="false">IF(CT6=③기타_가정!$E$16,③기타_가정!$E$538,0)</f>
        <v>0</v>
      </c>
      <c r="CU128" s="37" t="n">
        <f aca="false">IF(CU6=③기타_가정!$E$16,③기타_가정!$E$538,0)</f>
        <v>0</v>
      </c>
      <c r="CV128" s="37" t="n">
        <f aca="false">IF(CV6=③기타_가정!$E$16,③기타_가정!$E$538,0)</f>
        <v>0</v>
      </c>
      <c r="CW128" s="37" t="n">
        <f aca="false">IF(CW6=③기타_가정!$E$16,③기타_가정!$E$538,0)</f>
        <v>0</v>
      </c>
      <c r="CX128" s="37" t="n">
        <f aca="false">IF(CX6=③기타_가정!$E$16,③기타_가정!$E$538,0)</f>
        <v>0</v>
      </c>
      <c r="CY128" s="37" t="n">
        <f aca="false">IF(CY6=③기타_가정!$E$16,③기타_가정!$E$538,0)</f>
        <v>0</v>
      </c>
      <c r="CZ128" s="37" t="n">
        <f aca="false">IF(CZ6=③기타_가정!$E$16,③기타_가정!$E$538,0)</f>
        <v>0</v>
      </c>
      <c r="DA128" s="37" t="n">
        <f aca="false">IF(DA6=③기타_가정!$E$16,③기타_가정!$E$538,0)</f>
        <v>0</v>
      </c>
      <c r="DB128" s="37" t="n">
        <f aca="false">IF(DB6=③기타_가정!$E$16,③기타_가정!$E$538,0)</f>
        <v>0</v>
      </c>
      <c r="DC128" s="37" t="n">
        <f aca="false">IF(DC6=③기타_가정!$E$16,③기타_가정!$E$538,0)</f>
        <v>0</v>
      </c>
      <c r="DD128" s="37" t="n">
        <f aca="false">IF(DD6=③기타_가정!$E$16,③기타_가정!$E$538,0)</f>
        <v>0</v>
      </c>
      <c r="DE128" s="37" t="n">
        <f aca="false">IF(DE6=③기타_가정!$E$16,③기타_가정!$E$538,0)</f>
        <v>0</v>
      </c>
      <c r="DF128" s="37" t="n">
        <f aca="false">IF(DF6=③기타_가정!$E$16,③기타_가정!$E$538,0)</f>
        <v>0</v>
      </c>
      <c r="DG128" s="37" t="n">
        <f aca="false">IF(DG6=③기타_가정!$E$16,③기타_가정!$E$538,0)</f>
        <v>0</v>
      </c>
      <c r="DH128" s="37" t="n">
        <f aca="false">IF(DH6=③기타_가정!$E$16,③기타_가정!$E$538,0)</f>
        <v>0</v>
      </c>
      <c r="DI128" s="37" t="n">
        <f aca="false">IF(DI6=③기타_가정!$E$16,③기타_가정!$E$538,0)</f>
        <v>0</v>
      </c>
      <c r="DJ128" s="37" t="n">
        <f aca="false">IF(DJ6=③기타_가정!$E$16,③기타_가정!$E$538,0)</f>
        <v>0</v>
      </c>
      <c r="DK128" s="37" t="n">
        <f aca="false">IF(DK6=③기타_가정!$E$16,③기타_가정!$E$538,0)</f>
        <v>0</v>
      </c>
      <c r="DL128" s="37" t="n">
        <f aca="false">IF(DL6=③기타_가정!$E$16,③기타_가정!$E$538,0)</f>
        <v>0</v>
      </c>
      <c r="DM128" s="37" t="n">
        <f aca="false">IF(DM6=③기타_가정!$E$16,③기타_가정!$E$538,0)</f>
        <v>0</v>
      </c>
      <c r="DN128" s="37" t="n">
        <f aca="false">IF(DN6=③기타_가정!$E$16,③기타_가정!$E$538,0)</f>
        <v>0</v>
      </c>
      <c r="DO128" s="37" t="n">
        <f aca="false">IF(DO6=③기타_가정!$E$16,③기타_가정!$E$538,0)</f>
        <v>0</v>
      </c>
      <c r="DP128" s="37" t="n">
        <f aca="false">IF(DP6=③기타_가정!$E$16,③기타_가정!$E$538,0)</f>
        <v>0</v>
      </c>
      <c r="DQ128" s="37" t="n">
        <f aca="false">IF(DQ6=③기타_가정!$E$16,③기타_가정!$E$538,0)</f>
        <v>0</v>
      </c>
      <c r="DR128" s="37" t="n">
        <f aca="false">IF(DR6=③기타_가정!$E$16,③기타_가정!$E$538,0)</f>
        <v>0</v>
      </c>
      <c r="DS128" s="37" t="n">
        <f aca="false">IF(DS6=③기타_가정!$E$16,③기타_가정!$E$538,0)</f>
        <v>0</v>
      </c>
      <c r="DT128" s="37" t="n">
        <f aca="false">IF(DT6=③기타_가정!$E$16,③기타_가정!$E$538,0)</f>
        <v>0</v>
      </c>
      <c r="DU128" s="37" t="n">
        <f aca="false">IF(DU6=③기타_가정!$E$16,③기타_가정!$E$538,0)</f>
        <v>0</v>
      </c>
      <c r="DV128" s="37" t="n">
        <f aca="false">IF(DV6=③기타_가정!$E$16,③기타_가정!$E$538,0)</f>
        <v>0</v>
      </c>
      <c r="DW128" s="37" t="n">
        <f aca="false">IF(DW6=③기타_가정!$E$16,③기타_가정!$E$538,0)</f>
        <v>0</v>
      </c>
      <c r="DX128" s="37" t="n">
        <f aca="false">IF(DX6=③기타_가정!$E$16,③기타_가정!$E$538,0)</f>
        <v>0</v>
      </c>
      <c r="DY128" s="37" t="n">
        <f aca="false">IF(DY6=③기타_가정!$E$16,③기타_가정!$E$538,0)</f>
        <v>0</v>
      </c>
      <c r="DZ128" s="37" t="n">
        <f aca="false">IF(DZ6=③기타_가정!$E$16,③기타_가정!$E$538,0)</f>
        <v>0</v>
      </c>
      <c r="EA128" s="37" t="n">
        <f aca="false">IF(EA6=③기타_가정!$E$16,③기타_가정!$E$538,0)</f>
        <v>0</v>
      </c>
      <c r="EB128" s="37" t="n">
        <f aca="false">IF(EB6=③기타_가정!$E$16,③기타_가정!$E$538,0)</f>
        <v>0</v>
      </c>
      <c r="EC128" s="37" t="n">
        <f aca="false">IF(EC6=③기타_가정!$E$16,③기타_가정!$E$538,0)</f>
        <v>0</v>
      </c>
      <c r="ED128" s="37" t="n">
        <f aca="false">IF(ED6=③기타_가정!$E$16,③기타_가정!$E$538,0)</f>
        <v>0</v>
      </c>
      <c r="EE128" s="37" t="n">
        <f aca="false">IF(EE6=③기타_가정!$E$16,③기타_가정!$E$538,0)</f>
        <v>0</v>
      </c>
      <c r="EF128" s="37" t="n">
        <f aca="false">IF(EF6=③기타_가정!$E$16,③기타_가정!$E$538,0)</f>
        <v>0</v>
      </c>
    </row>
    <row r="129" customFormat="false" ht="15" hidden="false" customHeight="false" outlineLevel="0" collapsed="false">
      <c r="A129" s="36" t="s">
        <v>48</v>
      </c>
      <c r="B129" s="278" t="s">
        <v>21</v>
      </c>
      <c r="C129" s="279" t="n">
        <f aca="false">SUM(E129:EF129)</f>
        <v>186065.693275</v>
      </c>
      <c r="E129" s="37" t="n">
        <f aca="false">IF(AND(E6&gt;③기타_가정!$E$16,E6&lt;=③기타_가정!$E$539),③기타_가정!$E$537/12,0)</f>
        <v>0</v>
      </c>
      <c r="F129" s="37" t="n">
        <f aca="false">IF(AND(F6&gt;③기타_가정!$E$16,F6&lt;=③기타_가정!$E$539),③기타_가정!$E$537/12,0)</f>
        <v>0</v>
      </c>
      <c r="G129" s="37" t="n">
        <f aca="false">IF(AND(G6&gt;③기타_가정!$E$16,G6&lt;=③기타_가정!$E$539),③기타_가정!$E$537/12,0)</f>
        <v>0</v>
      </c>
      <c r="H129" s="37" t="n">
        <f aca="false">IF(AND(H6&gt;③기타_가정!$E$16,H6&lt;=③기타_가정!$E$539),③기타_가정!$E$537/12,0)</f>
        <v>0</v>
      </c>
      <c r="I129" s="37" t="n">
        <f aca="false">IF(AND(I6&gt;③기타_가정!$E$16,I6&lt;=③기타_가정!$E$539),③기타_가정!$E$537/12,0)</f>
        <v>0</v>
      </c>
      <c r="J129" s="37" t="n">
        <f aca="false">IF(AND(J6&gt;③기타_가정!$E$16,J6&lt;=③기타_가정!$E$539),③기타_가정!$E$537/12,0)</f>
        <v>0</v>
      </c>
      <c r="K129" s="37" t="n">
        <f aca="false">IF(AND(K6&gt;③기타_가정!$E$16,K6&lt;=③기타_가정!$E$539),③기타_가정!$E$537/12,0)</f>
        <v>0</v>
      </c>
      <c r="L129" s="37" t="n">
        <f aca="false">IF(AND(L6&gt;③기타_가정!$E$16,L6&lt;=③기타_가정!$E$539),③기타_가정!$E$537/12,0)</f>
        <v>0</v>
      </c>
      <c r="M129" s="37" t="n">
        <f aca="false">IF(AND(M6&gt;③기타_가정!$E$16,M6&lt;=③기타_가정!$E$539),③기타_가정!$E$537/12,0)</f>
        <v>0</v>
      </c>
      <c r="N129" s="37" t="n">
        <f aca="false">IF(AND(N6&gt;③기타_가정!$E$16,N6&lt;=③기타_가정!$E$539),③기타_가정!$E$537/12,0)</f>
        <v>0</v>
      </c>
      <c r="O129" s="37" t="n">
        <f aca="false">IF(AND(O6&gt;③기타_가정!$E$16,O6&lt;=③기타_가정!$E$539),③기타_가정!$E$537/12,0)</f>
        <v>0</v>
      </c>
      <c r="P129" s="37" t="n">
        <f aca="false">IF(AND(P6&gt;③기타_가정!$E$16,P6&lt;=③기타_가정!$E$539),③기타_가정!$E$537/12,0)</f>
        <v>0</v>
      </c>
      <c r="Q129" s="37" t="n">
        <f aca="false">IF(AND(Q6&gt;③기타_가정!$E$16,Q6&lt;=③기타_가정!$E$539),③기타_가정!$E$537/12,0)</f>
        <v>0</v>
      </c>
      <c r="R129" s="37" t="n">
        <f aca="false">IF(AND(R6&gt;③기타_가정!$E$16,R6&lt;=③기타_가정!$E$539),③기타_가정!$E$537/12,0)</f>
        <v>0</v>
      </c>
      <c r="S129" s="37" t="n">
        <f aca="false">IF(AND(S6&gt;③기타_가정!$E$16,S6&lt;=③기타_가정!$E$539),③기타_가정!$E$537/12,0)</f>
        <v>0</v>
      </c>
      <c r="T129" s="37" t="n">
        <f aca="false">IF(AND(T6&gt;③기타_가정!$E$16,T6&lt;=③기타_가정!$E$539),③기타_가정!$E$537/12,0)</f>
        <v>0</v>
      </c>
      <c r="U129" s="37" t="n">
        <f aca="false">IF(AND(U6&gt;③기타_가정!$E$16,U6&lt;=③기타_가정!$E$539),③기타_가정!$E$537/12,0)</f>
        <v>0</v>
      </c>
      <c r="V129" s="37" t="n">
        <f aca="false">IF(AND(V6&gt;③기타_가정!$E$16,V6&lt;=③기타_가정!$E$539),③기타_가정!$E$537/12,0)</f>
        <v>0</v>
      </c>
      <c r="W129" s="37" t="n">
        <f aca="false">IF(AND(W6&gt;③기타_가정!$E$16,W6&lt;=③기타_가정!$E$539),③기타_가정!$E$537/12,0)</f>
        <v>0</v>
      </c>
      <c r="X129" s="37" t="n">
        <f aca="false">IF(AND(X6&gt;③기타_가정!$E$16,X6&lt;=③기타_가정!$E$539),③기타_가정!$E$537/12,0)</f>
        <v>0</v>
      </c>
      <c r="Y129" s="37" t="n">
        <f aca="false">IF(AND(Y6&gt;③기타_가정!$E$16,Y6&lt;=③기타_가정!$E$539),③기타_가정!$E$537/12,0)</f>
        <v>0</v>
      </c>
      <c r="Z129" s="37" t="n">
        <f aca="false">IF(AND(Z6&gt;③기타_가정!$E$16,Z6&lt;=③기타_가정!$E$539),③기타_가정!$E$537/12,0)</f>
        <v>0</v>
      </c>
      <c r="AA129" s="37" t="n">
        <f aca="false">IF(AND(AA6&gt;③기타_가정!$E$16,AA6&lt;=③기타_가정!$E$539),③기타_가정!$E$537/12,0)</f>
        <v>0</v>
      </c>
      <c r="AB129" s="37" t="n">
        <f aca="false">IF(AND(AB6&gt;③기타_가정!$E$16,AB6&lt;=③기타_가정!$E$539),③기타_가정!$E$537/12,0)</f>
        <v>0</v>
      </c>
      <c r="AC129" s="37" t="n">
        <f aca="false">IF(AND(AC6&gt;③기타_가정!$E$16,AC6&lt;=③기타_가정!$E$539),③기타_가정!$E$537/12,0)</f>
        <v>0</v>
      </c>
      <c r="AD129" s="37" t="n">
        <f aca="false">IF(AND(AD6&gt;③기타_가정!$E$16,AD6&lt;=③기타_가정!$E$539),③기타_가정!$E$537/12,0)</f>
        <v>0</v>
      </c>
      <c r="AE129" s="37" t="n">
        <f aca="false">IF(AND(AE6&gt;③기타_가정!$E$16,AE6&lt;=③기타_가정!$E$539),③기타_가정!$E$537/12,0)</f>
        <v>0</v>
      </c>
      <c r="AF129" s="37" t="n">
        <f aca="false">IF(AND(AF6&gt;③기타_가정!$E$16,AF6&lt;=③기타_가정!$E$539),③기타_가정!$E$537/12,0)</f>
        <v>0</v>
      </c>
      <c r="AG129" s="37" t="n">
        <f aca="false">IF(AND(AG6&gt;③기타_가정!$E$16,AG6&lt;=③기타_가정!$E$539),③기타_가정!$E$537/12,0)</f>
        <v>0</v>
      </c>
      <c r="AH129" s="37" t="n">
        <f aca="false">IF(AND(AH6&gt;③기타_가정!$E$16,AH6&lt;=③기타_가정!$E$539),③기타_가정!$E$537/12,0)</f>
        <v>0</v>
      </c>
      <c r="AI129" s="37" t="n">
        <f aca="false">IF(AND(AI6&gt;③기타_가정!$E$16,AI6&lt;=③기타_가정!$E$539),③기타_가정!$E$537/12,0)</f>
        <v>0</v>
      </c>
      <c r="AJ129" s="37" t="n">
        <f aca="false">IF(AND(AJ6&gt;③기타_가정!$E$16,AJ6&lt;=③기타_가정!$E$539),③기타_가정!$E$537/12,0)</f>
        <v>0</v>
      </c>
      <c r="AK129" s="37" t="n">
        <f aca="false">IF(AND(AK6&gt;③기타_가정!$E$16,AK6&lt;=③기타_가정!$E$539),③기타_가정!$E$537/12,0)</f>
        <v>0</v>
      </c>
      <c r="AL129" s="37" t="n">
        <f aca="false">IF(AND(AL6&gt;③기타_가정!$E$16,AL6&lt;=③기타_가정!$E$539),③기타_가정!$E$537/12,0)</f>
        <v>0</v>
      </c>
      <c r="AM129" s="37" t="n">
        <f aca="false">IF(AND(AM6&gt;③기타_가정!$E$16,AM6&lt;=③기타_가정!$E$539),③기타_가정!$E$537/12,0)</f>
        <v>0</v>
      </c>
      <c r="AN129" s="37" t="n">
        <f aca="false">IF(AND(AN6&gt;③기타_가정!$E$16,AN6&lt;=③기타_가정!$E$539),③기타_가정!$E$537/12,0)</f>
        <v>0</v>
      </c>
      <c r="AO129" s="37" t="n">
        <f aca="false">IF(AND(AO6&gt;③기타_가정!$E$16,AO6&lt;=③기타_가정!$E$539),③기타_가정!$E$537/12,0)</f>
        <v>0</v>
      </c>
      <c r="AP129" s="37" t="n">
        <f aca="false">IF(AND(AP6&gt;③기타_가정!$E$16,AP6&lt;=③기타_가정!$E$539),③기타_가정!$E$537/12,0)</f>
        <v>0</v>
      </c>
      <c r="AQ129" s="37" t="n">
        <f aca="false">IF(AND(AQ6&gt;③기타_가정!$E$16,AQ6&lt;=③기타_가정!$E$539),③기타_가정!$E$537/12,0)</f>
        <v>0</v>
      </c>
      <c r="AR129" s="37" t="n">
        <f aca="false">IF(AND(AR6&gt;③기타_가정!$E$16,AR6&lt;=③기타_가정!$E$539),③기타_가정!$E$537/12,0)</f>
        <v>0</v>
      </c>
      <c r="AS129" s="37" t="n">
        <f aca="false">IF(AND(AS6&gt;③기타_가정!$E$16,AS6&lt;=③기타_가정!$E$539),③기타_가정!$E$537/12,0)</f>
        <v>0</v>
      </c>
      <c r="AT129" s="37" t="n">
        <f aca="false">IF(AND(AT6&gt;③기타_가정!$E$16,AT6&lt;=③기타_가정!$E$539),③기타_가정!$E$537/12,0)</f>
        <v>0</v>
      </c>
      <c r="AU129" s="37" t="n">
        <f aca="false">IF(AND(AU6&gt;③기타_가정!$E$16,AU6&lt;=③기타_가정!$E$539),③기타_가정!$E$537/12,0)</f>
        <v>0</v>
      </c>
      <c r="AV129" s="37" t="n">
        <f aca="false">IF(AND(AV6&gt;③기타_가정!$E$16,AV6&lt;=③기타_가정!$E$539),③기타_가정!$E$537/12,0)</f>
        <v>0</v>
      </c>
      <c r="AW129" s="37" t="n">
        <f aca="false">IF(AND(AW6&gt;③기타_가정!$E$16,AW6&lt;=③기타_가정!$E$539),③기타_가정!$E$537/12,0)</f>
        <v>0</v>
      </c>
      <c r="AX129" s="37" t="n">
        <f aca="false">IF(AND(AX6&gt;③기타_가정!$E$16,AX6&lt;=③기타_가정!$E$539),③기타_가정!$E$537/12,0)</f>
        <v>0</v>
      </c>
      <c r="AY129" s="37" t="n">
        <f aca="false">IF(AND(AY6&gt;③기타_가정!$E$16,AY6&lt;=③기타_가정!$E$539),③기타_가정!$E$537/12,0)</f>
        <v>0</v>
      </c>
      <c r="AZ129" s="37" t="n">
        <f aca="false">IF(AND(AZ6&gt;③기타_가정!$E$16,AZ6&lt;=③기타_가정!$E$539),③기타_가정!$E$537/12,0)</f>
        <v>0</v>
      </c>
      <c r="BA129" s="37" t="n">
        <f aca="false">IF(AND(BA6&gt;③기타_가정!$E$16,BA6&lt;=③기타_가정!$E$539),③기타_가정!$E$537/12,0)</f>
        <v>0</v>
      </c>
      <c r="BB129" s="37" t="n">
        <f aca="false">IF(AND(BB6&gt;③기타_가정!$E$16,BB6&lt;=③기타_가정!$E$539),③기타_가정!$E$537/12,0)</f>
        <v>0</v>
      </c>
      <c r="BC129" s="37" t="n">
        <f aca="false">IF(AND(BC6&gt;③기타_가정!$E$16,BC6&lt;=③기타_가정!$E$539),③기타_가정!$E$537/12,0)</f>
        <v>0</v>
      </c>
      <c r="BD129" s="37" t="n">
        <f aca="false">IF(AND(BD6&gt;③기타_가정!$E$16,BD6&lt;=③기타_가정!$E$539),③기타_가정!$E$537/12,0)</f>
        <v>0</v>
      </c>
      <c r="BE129" s="37" t="n">
        <f aca="false">IF(AND(BE6&gt;③기타_가정!$E$16,BE6&lt;=③기타_가정!$E$539),③기타_가정!$E$537/12,0)</f>
        <v>0</v>
      </c>
      <c r="BF129" s="37" t="n">
        <f aca="false">IF(AND(BF6&gt;③기타_가정!$E$16,BF6&lt;=③기타_가정!$E$539),③기타_가정!$E$537/12,0)</f>
        <v>0</v>
      </c>
      <c r="BG129" s="37" t="n">
        <f aca="false">IF(AND(BG6&gt;③기타_가정!$E$16,BG6&lt;=③기타_가정!$E$539),③기타_가정!$E$537/12,0)</f>
        <v>0</v>
      </c>
      <c r="BH129" s="37" t="n">
        <f aca="false">IF(AND(BH6&gt;③기타_가정!$E$16,BH6&lt;=③기타_가정!$E$539),③기타_가정!$E$537/12,0)</f>
        <v>0</v>
      </c>
      <c r="BI129" s="37" t="n">
        <f aca="false">IF(AND(BI6&gt;③기타_가정!$E$16,BI6&lt;=③기타_가정!$E$539),③기타_가정!$E$537/12,0)</f>
        <v>0</v>
      </c>
      <c r="BJ129" s="37" t="n">
        <f aca="false">IF(AND(BJ6&gt;③기타_가정!$E$16,BJ6&lt;=③기타_가정!$E$539),③기타_가정!$E$537/12,0)</f>
        <v>0</v>
      </c>
      <c r="BK129" s="37" t="n">
        <f aca="false">IF(AND(BK6&gt;③기타_가정!$E$16,BK6&lt;=③기타_가정!$E$539),③기타_가정!$E$537/12,0)</f>
        <v>0</v>
      </c>
      <c r="BL129" s="37" t="n">
        <f aca="false">IF(AND(BL6&gt;③기타_가정!$E$16,BL6&lt;=③기타_가정!$E$539),③기타_가정!$E$537/12,0)</f>
        <v>0</v>
      </c>
      <c r="BM129" s="37" t="n">
        <f aca="false">IF(AND(BM6&gt;③기타_가정!$E$16,BM6&lt;=③기타_가정!$E$539),③기타_가정!$E$537/12,0)</f>
        <v>3101.09488791667</v>
      </c>
      <c r="BN129" s="37" t="n">
        <f aca="false">IF(AND(BN6&gt;③기타_가정!$E$16,BN6&lt;=③기타_가정!$E$539),③기타_가정!$E$537/12,0)</f>
        <v>3101.09488791667</v>
      </c>
      <c r="BO129" s="37" t="n">
        <f aca="false">IF(AND(BO6&gt;③기타_가정!$E$16,BO6&lt;=③기타_가정!$E$539),③기타_가정!$E$537/12,0)</f>
        <v>3101.09488791667</v>
      </c>
      <c r="BP129" s="37" t="n">
        <f aca="false">IF(AND(BP6&gt;③기타_가정!$E$16,BP6&lt;=③기타_가정!$E$539),③기타_가정!$E$537/12,0)</f>
        <v>3101.09488791667</v>
      </c>
      <c r="BQ129" s="37" t="n">
        <f aca="false">IF(AND(BQ6&gt;③기타_가정!$E$16,BQ6&lt;=③기타_가정!$E$539),③기타_가정!$E$537/12,0)</f>
        <v>3101.09488791667</v>
      </c>
      <c r="BR129" s="37" t="n">
        <f aca="false">IF(AND(BR6&gt;③기타_가정!$E$16,BR6&lt;=③기타_가정!$E$539),③기타_가정!$E$537/12,0)</f>
        <v>3101.09488791667</v>
      </c>
      <c r="BS129" s="37" t="n">
        <f aca="false">IF(AND(BS6&gt;③기타_가정!$E$16,BS6&lt;=③기타_가정!$E$539),③기타_가정!$E$537/12,0)</f>
        <v>3101.09488791667</v>
      </c>
      <c r="BT129" s="37" t="n">
        <f aca="false">IF(AND(BT6&gt;③기타_가정!$E$16,BT6&lt;=③기타_가정!$E$539),③기타_가정!$E$537/12,0)</f>
        <v>3101.09488791667</v>
      </c>
      <c r="BU129" s="37" t="n">
        <f aca="false">IF(AND(BU6&gt;③기타_가정!$E$16,BU6&lt;=③기타_가정!$E$539),③기타_가정!$E$537/12,0)</f>
        <v>3101.09488791667</v>
      </c>
      <c r="BV129" s="37" t="n">
        <f aca="false">IF(AND(BV6&gt;③기타_가정!$E$16,BV6&lt;=③기타_가정!$E$539),③기타_가정!$E$537/12,0)</f>
        <v>3101.09488791667</v>
      </c>
      <c r="BW129" s="37" t="n">
        <f aca="false">IF(AND(BW6&gt;③기타_가정!$E$16,BW6&lt;=③기타_가정!$E$539),③기타_가정!$E$537/12,0)</f>
        <v>3101.09488791667</v>
      </c>
      <c r="BX129" s="37" t="n">
        <f aca="false">IF(AND(BX6&gt;③기타_가정!$E$16,BX6&lt;=③기타_가정!$E$539),③기타_가정!$E$537/12,0)</f>
        <v>3101.09488791667</v>
      </c>
      <c r="BY129" s="37" t="n">
        <f aca="false">IF(AND(BY6&gt;③기타_가정!$E$16,BY6&lt;=③기타_가정!$E$539),③기타_가정!$E$537/12,0)</f>
        <v>3101.09488791667</v>
      </c>
      <c r="BZ129" s="37" t="n">
        <f aca="false">IF(AND(BZ6&gt;③기타_가정!$E$16,BZ6&lt;=③기타_가정!$E$539),③기타_가정!$E$537/12,0)</f>
        <v>3101.09488791667</v>
      </c>
      <c r="CA129" s="37" t="n">
        <f aca="false">IF(AND(CA6&gt;③기타_가정!$E$16,CA6&lt;=③기타_가정!$E$539),③기타_가정!$E$537/12,0)</f>
        <v>3101.09488791667</v>
      </c>
      <c r="CB129" s="37" t="n">
        <f aca="false">IF(AND(CB6&gt;③기타_가정!$E$16,CB6&lt;=③기타_가정!$E$539),③기타_가정!$E$537/12,0)</f>
        <v>3101.09488791667</v>
      </c>
      <c r="CC129" s="37" t="n">
        <f aca="false">IF(AND(CC6&gt;③기타_가정!$E$16,CC6&lt;=③기타_가정!$E$539),③기타_가정!$E$537/12,0)</f>
        <v>3101.09488791667</v>
      </c>
      <c r="CD129" s="37" t="n">
        <f aca="false">IF(AND(CD6&gt;③기타_가정!$E$16,CD6&lt;=③기타_가정!$E$539),③기타_가정!$E$537/12,0)</f>
        <v>3101.09488791667</v>
      </c>
      <c r="CE129" s="37" t="n">
        <f aca="false">IF(AND(CE6&gt;③기타_가정!$E$16,CE6&lt;=③기타_가정!$E$539),③기타_가정!$E$537/12,0)</f>
        <v>3101.09488791667</v>
      </c>
      <c r="CF129" s="37" t="n">
        <f aca="false">IF(AND(CF6&gt;③기타_가정!$E$16,CF6&lt;=③기타_가정!$E$539),③기타_가정!$E$537/12,0)</f>
        <v>3101.09488791667</v>
      </c>
      <c r="CG129" s="37" t="n">
        <f aca="false">IF(AND(CG6&gt;③기타_가정!$E$16,CG6&lt;=③기타_가정!$E$539),③기타_가정!$E$537/12,0)</f>
        <v>3101.09488791667</v>
      </c>
      <c r="CH129" s="37" t="n">
        <f aca="false">IF(AND(CH6&gt;③기타_가정!$E$16,CH6&lt;=③기타_가정!$E$539),③기타_가정!$E$537/12,0)</f>
        <v>3101.09488791667</v>
      </c>
      <c r="CI129" s="37" t="n">
        <f aca="false">IF(AND(CI6&gt;③기타_가정!$E$16,CI6&lt;=③기타_가정!$E$539),③기타_가정!$E$537/12,0)</f>
        <v>3101.09488791667</v>
      </c>
      <c r="CJ129" s="37" t="n">
        <f aca="false">IF(AND(CJ6&gt;③기타_가정!$E$16,CJ6&lt;=③기타_가정!$E$539),③기타_가정!$E$537/12,0)</f>
        <v>3101.09488791667</v>
      </c>
      <c r="CK129" s="37" t="n">
        <f aca="false">IF(AND(CK6&gt;③기타_가정!$E$16,CK6&lt;=③기타_가정!$E$539),③기타_가정!$E$537/12,0)</f>
        <v>3101.09488791667</v>
      </c>
      <c r="CL129" s="37" t="n">
        <f aca="false">IF(AND(CL6&gt;③기타_가정!$E$16,CL6&lt;=③기타_가정!$E$539),③기타_가정!$E$537/12,0)</f>
        <v>3101.09488791667</v>
      </c>
      <c r="CM129" s="37" t="n">
        <f aca="false">IF(AND(CM6&gt;③기타_가정!$E$16,CM6&lt;=③기타_가정!$E$539),③기타_가정!$E$537/12,0)</f>
        <v>3101.09488791667</v>
      </c>
      <c r="CN129" s="37" t="n">
        <f aca="false">IF(AND(CN6&gt;③기타_가정!$E$16,CN6&lt;=③기타_가정!$E$539),③기타_가정!$E$537/12,0)</f>
        <v>3101.09488791667</v>
      </c>
      <c r="CO129" s="37" t="n">
        <f aca="false">IF(AND(CO6&gt;③기타_가정!$E$16,CO6&lt;=③기타_가정!$E$539),③기타_가정!$E$537/12,0)</f>
        <v>3101.09488791667</v>
      </c>
      <c r="CP129" s="37" t="n">
        <f aca="false">IF(AND(CP6&gt;③기타_가정!$E$16,CP6&lt;=③기타_가정!$E$539),③기타_가정!$E$537/12,0)</f>
        <v>3101.09488791667</v>
      </c>
      <c r="CQ129" s="37" t="n">
        <f aca="false">IF(AND(CQ6&gt;③기타_가정!$E$16,CQ6&lt;=③기타_가정!$E$539),③기타_가정!$E$537/12,0)</f>
        <v>3101.09488791667</v>
      </c>
      <c r="CR129" s="37" t="n">
        <f aca="false">IF(AND(CR6&gt;③기타_가정!$E$16,CR6&lt;=③기타_가정!$E$539),③기타_가정!$E$537/12,0)</f>
        <v>3101.09488791667</v>
      </c>
      <c r="CS129" s="37" t="n">
        <f aca="false">IF(AND(CS6&gt;③기타_가정!$E$16,CS6&lt;=③기타_가정!$E$539),③기타_가정!$E$537/12,0)</f>
        <v>3101.09488791667</v>
      </c>
      <c r="CT129" s="37" t="n">
        <f aca="false">IF(AND(CT6&gt;③기타_가정!$E$16,CT6&lt;=③기타_가정!$E$539),③기타_가정!$E$537/12,0)</f>
        <v>3101.09488791667</v>
      </c>
      <c r="CU129" s="37" t="n">
        <f aca="false">IF(AND(CU6&gt;③기타_가정!$E$16,CU6&lt;=③기타_가정!$E$539),③기타_가정!$E$537/12,0)</f>
        <v>3101.09488791667</v>
      </c>
      <c r="CV129" s="37" t="n">
        <f aca="false">IF(AND(CV6&gt;③기타_가정!$E$16,CV6&lt;=③기타_가정!$E$539),③기타_가정!$E$537/12,0)</f>
        <v>3101.09488791667</v>
      </c>
      <c r="CW129" s="37" t="n">
        <f aca="false">IF(AND(CW6&gt;③기타_가정!$E$16,CW6&lt;=③기타_가정!$E$539),③기타_가정!$E$537/12,0)</f>
        <v>3101.09488791667</v>
      </c>
      <c r="CX129" s="37" t="n">
        <f aca="false">IF(AND(CX6&gt;③기타_가정!$E$16,CX6&lt;=③기타_가정!$E$539),③기타_가정!$E$537/12,0)</f>
        <v>3101.09488791667</v>
      </c>
      <c r="CY129" s="37" t="n">
        <f aca="false">IF(AND(CY6&gt;③기타_가정!$E$16,CY6&lt;=③기타_가정!$E$539),③기타_가정!$E$537/12,0)</f>
        <v>3101.09488791667</v>
      </c>
      <c r="CZ129" s="37" t="n">
        <f aca="false">IF(AND(CZ6&gt;③기타_가정!$E$16,CZ6&lt;=③기타_가정!$E$539),③기타_가정!$E$537/12,0)</f>
        <v>3101.09488791667</v>
      </c>
      <c r="DA129" s="37" t="n">
        <f aca="false">IF(AND(DA6&gt;③기타_가정!$E$16,DA6&lt;=③기타_가정!$E$539),③기타_가정!$E$537/12,0)</f>
        <v>3101.09488791667</v>
      </c>
      <c r="DB129" s="37" t="n">
        <f aca="false">IF(AND(DB6&gt;③기타_가정!$E$16,DB6&lt;=③기타_가정!$E$539),③기타_가정!$E$537/12,0)</f>
        <v>3101.09488791667</v>
      </c>
      <c r="DC129" s="37" t="n">
        <f aca="false">IF(AND(DC6&gt;③기타_가정!$E$16,DC6&lt;=③기타_가정!$E$539),③기타_가정!$E$537/12,0)</f>
        <v>3101.09488791667</v>
      </c>
      <c r="DD129" s="37" t="n">
        <f aca="false">IF(AND(DD6&gt;③기타_가정!$E$16,DD6&lt;=③기타_가정!$E$539),③기타_가정!$E$537/12,0)</f>
        <v>3101.09488791667</v>
      </c>
      <c r="DE129" s="37" t="n">
        <f aca="false">IF(AND(DE6&gt;③기타_가정!$E$16,DE6&lt;=③기타_가정!$E$539),③기타_가정!$E$537/12,0)</f>
        <v>3101.09488791667</v>
      </c>
      <c r="DF129" s="37" t="n">
        <f aca="false">IF(AND(DF6&gt;③기타_가정!$E$16,DF6&lt;=③기타_가정!$E$539),③기타_가정!$E$537/12,0)</f>
        <v>3101.09488791667</v>
      </c>
      <c r="DG129" s="37" t="n">
        <f aca="false">IF(AND(DG6&gt;③기타_가정!$E$16,DG6&lt;=③기타_가정!$E$539),③기타_가정!$E$537/12,0)</f>
        <v>3101.09488791667</v>
      </c>
      <c r="DH129" s="37" t="n">
        <f aca="false">IF(AND(DH6&gt;③기타_가정!$E$16,DH6&lt;=③기타_가정!$E$539),③기타_가정!$E$537/12,0)</f>
        <v>3101.09488791667</v>
      </c>
      <c r="DI129" s="37" t="n">
        <f aca="false">IF(AND(DI6&gt;③기타_가정!$E$16,DI6&lt;=③기타_가정!$E$539),③기타_가정!$E$537/12,0)</f>
        <v>3101.09488791667</v>
      </c>
      <c r="DJ129" s="37" t="n">
        <f aca="false">IF(AND(DJ6&gt;③기타_가정!$E$16,DJ6&lt;=③기타_가정!$E$539),③기타_가정!$E$537/12,0)</f>
        <v>3101.09488791667</v>
      </c>
      <c r="DK129" s="37" t="n">
        <f aca="false">IF(AND(DK6&gt;③기타_가정!$E$16,DK6&lt;=③기타_가정!$E$539),③기타_가정!$E$537/12,0)</f>
        <v>3101.09488791667</v>
      </c>
      <c r="DL129" s="37" t="n">
        <f aca="false">IF(AND(DL6&gt;③기타_가정!$E$16,DL6&lt;=③기타_가정!$E$539),③기타_가정!$E$537/12,0)</f>
        <v>3101.09488791667</v>
      </c>
      <c r="DM129" s="37" t="n">
        <f aca="false">IF(AND(DM6&gt;③기타_가정!$E$16,DM6&lt;=③기타_가정!$E$539),③기타_가정!$E$537/12,0)</f>
        <v>3101.09488791667</v>
      </c>
      <c r="DN129" s="37" t="n">
        <f aca="false">IF(AND(DN6&gt;③기타_가정!$E$16,DN6&lt;=③기타_가정!$E$539),③기타_가정!$E$537/12,0)</f>
        <v>3101.09488791667</v>
      </c>
      <c r="DO129" s="37" t="n">
        <f aca="false">IF(AND(DO6&gt;③기타_가정!$E$16,DO6&lt;=③기타_가정!$E$539),③기타_가정!$E$537/12,0)</f>
        <v>3101.09488791667</v>
      </c>
      <c r="DP129" s="37" t="n">
        <f aca="false">IF(AND(DP6&gt;③기타_가정!$E$16,DP6&lt;=③기타_가정!$E$539),③기타_가정!$E$537/12,0)</f>
        <v>3101.09488791667</v>
      </c>
      <c r="DQ129" s="37" t="n">
        <f aca="false">IF(AND(DQ6&gt;③기타_가정!$E$16,DQ6&lt;=③기타_가정!$E$539),③기타_가정!$E$537/12,0)</f>
        <v>3101.09488791667</v>
      </c>
      <c r="DR129" s="37" t="n">
        <f aca="false">IF(AND(DR6&gt;③기타_가정!$E$16,DR6&lt;=③기타_가정!$E$539),③기타_가정!$E$537/12,0)</f>
        <v>3101.09488791667</v>
      </c>
      <c r="DS129" s="37" t="n">
        <f aca="false">IF(AND(DS6&gt;③기타_가정!$E$16,DS6&lt;=③기타_가정!$E$539),③기타_가정!$E$537/12,0)</f>
        <v>3101.09488791667</v>
      </c>
      <c r="DT129" s="37" t="n">
        <f aca="false">IF(AND(DT6&gt;③기타_가정!$E$16,DT6&lt;=③기타_가정!$E$539),③기타_가정!$E$537/12,0)</f>
        <v>3101.09488791667</v>
      </c>
      <c r="DU129" s="37" t="n">
        <f aca="false">IF(AND(DU6&gt;③기타_가정!$E$16,DU6&lt;=③기타_가정!$E$539),③기타_가정!$E$537/12,0)</f>
        <v>0</v>
      </c>
      <c r="DV129" s="37" t="n">
        <f aca="false">IF(AND(DV6&gt;③기타_가정!$E$16,DV6&lt;=③기타_가정!$E$539),③기타_가정!$E$537/12,0)</f>
        <v>0</v>
      </c>
      <c r="DW129" s="37" t="n">
        <f aca="false">IF(AND(DW6&gt;③기타_가정!$E$16,DW6&lt;=③기타_가정!$E$539),③기타_가정!$E$537/12,0)</f>
        <v>0</v>
      </c>
      <c r="DX129" s="37" t="n">
        <f aca="false">IF(AND(DX6&gt;③기타_가정!$E$16,DX6&lt;=③기타_가정!$E$539),③기타_가정!$E$537/12,0)</f>
        <v>0</v>
      </c>
      <c r="DY129" s="37" t="n">
        <f aca="false">IF(AND(DY6&gt;③기타_가정!$E$16,DY6&lt;=③기타_가정!$E$539),③기타_가정!$E$537/12,0)</f>
        <v>0</v>
      </c>
      <c r="DZ129" s="37" t="n">
        <f aca="false">IF(AND(DZ6&gt;③기타_가정!$E$16,DZ6&lt;=③기타_가정!$E$539),③기타_가정!$E$537/12,0)</f>
        <v>0</v>
      </c>
      <c r="EA129" s="37" t="n">
        <f aca="false">IF(AND(EA6&gt;③기타_가정!$E$16,EA6&lt;=③기타_가정!$E$539),③기타_가정!$E$537/12,0)</f>
        <v>0</v>
      </c>
      <c r="EB129" s="37" t="n">
        <f aca="false">IF(AND(EB6&gt;③기타_가정!$E$16,EB6&lt;=③기타_가정!$E$539),③기타_가정!$E$537/12,0)</f>
        <v>0</v>
      </c>
      <c r="EC129" s="37" t="n">
        <f aca="false">IF(AND(EC6&gt;③기타_가정!$E$16,EC6&lt;=③기타_가정!$E$539),③기타_가정!$E$537/12,0)</f>
        <v>0</v>
      </c>
      <c r="ED129" s="37" t="n">
        <f aca="false">IF(AND(ED6&gt;③기타_가정!$E$16,ED6&lt;=③기타_가정!$E$539),③기타_가정!$E$537/12,0)</f>
        <v>0</v>
      </c>
      <c r="EE129" s="37" t="n">
        <f aca="false">IF(AND(EE6&gt;③기타_가정!$E$16,EE6&lt;=③기타_가정!$E$539),③기타_가정!$E$537/12,0)</f>
        <v>0</v>
      </c>
      <c r="EF129" s="37" t="n">
        <f aca="false">IF(AND(EF6&gt;③기타_가정!$E$16,EF6&lt;=③기타_가정!$E$539),③기타_가정!$E$537/12,0)</f>
        <v>0</v>
      </c>
    </row>
    <row r="130" customFormat="false" ht="15" hidden="false" customHeight="false" outlineLevel="0" collapsed="false">
      <c r="A130" s="36" t="s">
        <v>666</v>
      </c>
      <c r="B130" s="278" t="s">
        <v>21</v>
      </c>
      <c r="C130" s="279" t="n">
        <f aca="false">SUM(E130:EF130)</f>
        <v>712213.18</v>
      </c>
      <c r="E130" s="37" t="n">
        <f aca="false">IF(E6=③기타_가정!$E$539,③기타_가정!$E$536,0)</f>
        <v>0</v>
      </c>
      <c r="F130" s="37" t="n">
        <f aca="false">IF(F6=③기타_가정!$E$539,③기타_가정!$E$536,0)</f>
        <v>0</v>
      </c>
      <c r="G130" s="37" t="n">
        <f aca="false">IF(G6=③기타_가정!$E$539,③기타_가정!$E$536,0)</f>
        <v>0</v>
      </c>
      <c r="H130" s="37" t="n">
        <f aca="false">IF(H6=③기타_가정!$E$539,③기타_가정!$E$536,0)</f>
        <v>0</v>
      </c>
      <c r="I130" s="37" t="n">
        <f aca="false">IF(I6=③기타_가정!$E$539,③기타_가정!$E$536,0)</f>
        <v>0</v>
      </c>
      <c r="J130" s="37" t="n">
        <f aca="false">IF(J6=③기타_가정!$E$539,③기타_가정!$E$536,0)</f>
        <v>0</v>
      </c>
      <c r="K130" s="37" t="n">
        <f aca="false">IF(K6=③기타_가정!$E$539,③기타_가정!$E$536,0)</f>
        <v>0</v>
      </c>
      <c r="L130" s="37" t="n">
        <f aca="false">IF(L6=③기타_가정!$E$539,③기타_가정!$E$536,0)</f>
        <v>0</v>
      </c>
      <c r="M130" s="37" t="n">
        <f aca="false">IF(M6=③기타_가정!$E$539,③기타_가정!$E$536,0)</f>
        <v>0</v>
      </c>
      <c r="N130" s="37" t="n">
        <f aca="false">IF(N6=③기타_가정!$E$539,③기타_가정!$E$536,0)</f>
        <v>0</v>
      </c>
      <c r="O130" s="37" t="n">
        <f aca="false">IF(O6=③기타_가정!$E$539,③기타_가정!$E$536,0)</f>
        <v>0</v>
      </c>
      <c r="P130" s="37" t="n">
        <f aca="false">IF(P6=③기타_가정!$E$539,③기타_가정!$E$536,0)</f>
        <v>0</v>
      </c>
      <c r="Q130" s="37" t="n">
        <f aca="false">IF(Q6=③기타_가정!$E$539,③기타_가정!$E$536,0)</f>
        <v>0</v>
      </c>
      <c r="R130" s="37" t="n">
        <f aca="false">IF(R6=③기타_가정!$E$539,③기타_가정!$E$536,0)</f>
        <v>0</v>
      </c>
      <c r="S130" s="37" t="n">
        <f aca="false">IF(S6=③기타_가정!$E$539,③기타_가정!$E$536,0)</f>
        <v>0</v>
      </c>
      <c r="T130" s="37" t="n">
        <f aca="false">IF(T6=③기타_가정!$E$539,③기타_가정!$E$536,0)</f>
        <v>0</v>
      </c>
      <c r="U130" s="37" t="n">
        <f aca="false">IF(U6=③기타_가정!$E$539,③기타_가정!$E$536,0)</f>
        <v>0</v>
      </c>
      <c r="V130" s="37" t="n">
        <f aca="false">IF(V6=③기타_가정!$E$539,③기타_가정!$E$536,0)</f>
        <v>0</v>
      </c>
      <c r="W130" s="37" t="n">
        <f aca="false">IF(W6=③기타_가정!$E$539,③기타_가정!$E$536,0)</f>
        <v>0</v>
      </c>
      <c r="X130" s="37" t="n">
        <f aca="false">IF(X6=③기타_가정!$E$539,③기타_가정!$E$536,0)</f>
        <v>0</v>
      </c>
      <c r="Y130" s="37" t="n">
        <f aca="false">IF(Y6=③기타_가정!$E$539,③기타_가정!$E$536,0)</f>
        <v>0</v>
      </c>
      <c r="Z130" s="37" t="n">
        <f aca="false">IF(Z6=③기타_가정!$E$539,③기타_가정!$E$536,0)</f>
        <v>0</v>
      </c>
      <c r="AA130" s="37" t="n">
        <f aca="false">IF(AA6=③기타_가정!$E$539,③기타_가정!$E$536,0)</f>
        <v>0</v>
      </c>
      <c r="AB130" s="37" t="n">
        <f aca="false">IF(AB6=③기타_가정!$E$539,③기타_가정!$E$536,0)</f>
        <v>0</v>
      </c>
      <c r="AC130" s="37" t="n">
        <f aca="false">IF(AC6=③기타_가정!$E$539,③기타_가정!$E$536,0)</f>
        <v>0</v>
      </c>
      <c r="AD130" s="37" t="n">
        <f aca="false">IF(AD6=③기타_가정!$E$539,③기타_가정!$E$536,0)</f>
        <v>0</v>
      </c>
      <c r="AE130" s="37" t="n">
        <f aca="false">IF(AE6=③기타_가정!$E$539,③기타_가정!$E$536,0)</f>
        <v>0</v>
      </c>
      <c r="AF130" s="37" t="n">
        <f aca="false">IF(AF6=③기타_가정!$E$539,③기타_가정!$E$536,0)</f>
        <v>0</v>
      </c>
      <c r="AG130" s="37" t="n">
        <f aca="false">IF(AG6=③기타_가정!$E$539,③기타_가정!$E$536,0)</f>
        <v>0</v>
      </c>
      <c r="AH130" s="37" t="n">
        <f aca="false">IF(AH6=③기타_가정!$E$539,③기타_가정!$E$536,0)</f>
        <v>0</v>
      </c>
      <c r="AI130" s="37" t="n">
        <f aca="false">IF(AI6=③기타_가정!$E$539,③기타_가정!$E$536,0)</f>
        <v>0</v>
      </c>
      <c r="AJ130" s="37" t="n">
        <f aca="false">IF(AJ6=③기타_가정!$E$539,③기타_가정!$E$536,0)</f>
        <v>0</v>
      </c>
      <c r="AK130" s="37" t="n">
        <f aca="false">IF(AK6=③기타_가정!$E$539,③기타_가정!$E$536,0)</f>
        <v>0</v>
      </c>
      <c r="AL130" s="37" t="n">
        <f aca="false">IF(AL6=③기타_가정!$E$539,③기타_가정!$E$536,0)</f>
        <v>0</v>
      </c>
      <c r="AM130" s="37" t="n">
        <f aca="false">IF(AM6=③기타_가정!$E$539,③기타_가정!$E$536,0)</f>
        <v>0</v>
      </c>
      <c r="AN130" s="37" t="n">
        <f aca="false">IF(AN6=③기타_가정!$E$539,③기타_가정!$E$536,0)</f>
        <v>0</v>
      </c>
      <c r="AO130" s="37" t="n">
        <f aca="false">IF(AO6=③기타_가정!$E$539,③기타_가정!$E$536,0)</f>
        <v>0</v>
      </c>
      <c r="AP130" s="37" t="n">
        <f aca="false">IF(AP6=③기타_가정!$E$539,③기타_가정!$E$536,0)</f>
        <v>0</v>
      </c>
      <c r="AQ130" s="37" t="n">
        <f aca="false">IF(AQ6=③기타_가정!$E$539,③기타_가정!$E$536,0)</f>
        <v>0</v>
      </c>
      <c r="AR130" s="37" t="n">
        <f aca="false">IF(AR6=③기타_가정!$E$539,③기타_가정!$E$536,0)</f>
        <v>0</v>
      </c>
      <c r="AS130" s="37" t="n">
        <f aca="false">IF(AS6=③기타_가정!$E$539,③기타_가정!$E$536,0)</f>
        <v>0</v>
      </c>
      <c r="AT130" s="37" t="n">
        <f aca="false">IF(AT6=③기타_가정!$E$539,③기타_가정!$E$536,0)</f>
        <v>0</v>
      </c>
      <c r="AU130" s="37" t="n">
        <f aca="false">IF(AU6=③기타_가정!$E$539,③기타_가정!$E$536,0)</f>
        <v>0</v>
      </c>
      <c r="AV130" s="37" t="n">
        <f aca="false">IF(AV6=③기타_가정!$E$539,③기타_가정!$E$536,0)</f>
        <v>0</v>
      </c>
      <c r="AW130" s="37" t="n">
        <f aca="false">IF(AW6=③기타_가정!$E$539,③기타_가정!$E$536,0)</f>
        <v>0</v>
      </c>
      <c r="AX130" s="37" t="n">
        <f aca="false">IF(AX6=③기타_가정!$E$539,③기타_가정!$E$536,0)</f>
        <v>0</v>
      </c>
      <c r="AY130" s="37" t="n">
        <f aca="false">IF(AY6=③기타_가정!$E$539,③기타_가정!$E$536,0)</f>
        <v>0</v>
      </c>
      <c r="AZ130" s="37" t="n">
        <f aca="false">IF(AZ6=③기타_가정!$E$539,③기타_가정!$E$536,0)</f>
        <v>0</v>
      </c>
      <c r="BA130" s="37" t="n">
        <f aca="false">IF(BA6=③기타_가정!$E$539,③기타_가정!$E$536,0)</f>
        <v>0</v>
      </c>
      <c r="BB130" s="37" t="n">
        <f aca="false">IF(BB6=③기타_가정!$E$539,③기타_가정!$E$536,0)</f>
        <v>0</v>
      </c>
      <c r="BC130" s="37" t="n">
        <f aca="false">IF(BC6=③기타_가정!$E$539,③기타_가정!$E$536,0)</f>
        <v>0</v>
      </c>
      <c r="BD130" s="37" t="n">
        <f aca="false">IF(BD6=③기타_가정!$E$539,③기타_가정!$E$536,0)</f>
        <v>0</v>
      </c>
      <c r="BE130" s="37" t="n">
        <f aca="false">IF(BE6=③기타_가정!$E$539,③기타_가정!$E$536,0)</f>
        <v>0</v>
      </c>
      <c r="BF130" s="37" t="n">
        <f aca="false">IF(BF6=③기타_가정!$E$539,③기타_가정!$E$536,0)</f>
        <v>0</v>
      </c>
      <c r="BG130" s="37" t="n">
        <f aca="false">IF(BG6=③기타_가정!$E$539,③기타_가정!$E$536,0)</f>
        <v>0</v>
      </c>
      <c r="BH130" s="37" t="n">
        <f aca="false">IF(BH6=③기타_가정!$E$539,③기타_가정!$E$536,0)</f>
        <v>0</v>
      </c>
      <c r="BI130" s="37" t="n">
        <f aca="false">IF(BI6=③기타_가정!$E$539,③기타_가정!$E$536,0)</f>
        <v>0</v>
      </c>
      <c r="BJ130" s="37" t="n">
        <f aca="false">IF(BJ6=③기타_가정!$E$539,③기타_가정!$E$536,0)</f>
        <v>0</v>
      </c>
      <c r="BK130" s="37" t="n">
        <f aca="false">IF(BK6=③기타_가정!$E$539,③기타_가정!$E$536,0)</f>
        <v>0</v>
      </c>
      <c r="BL130" s="37" t="n">
        <f aca="false">IF(BL6=③기타_가정!$E$539,③기타_가정!$E$536,0)</f>
        <v>0</v>
      </c>
      <c r="BM130" s="37" t="n">
        <f aca="false">IF(BM6=③기타_가정!$E$539,③기타_가정!$E$536,0)</f>
        <v>0</v>
      </c>
      <c r="BN130" s="37" t="n">
        <f aca="false">IF(BN6=③기타_가정!$E$539,③기타_가정!$E$536,0)</f>
        <v>0</v>
      </c>
      <c r="BO130" s="37" t="n">
        <f aca="false">IF(BO6=③기타_가정!$E$539,③기타_가정!$E$536,0)</f>
        <v>0</v>
      </c>
      <c r="BP130" s="37" t="n">
        <f aca="false">IF(BP6=③기타_가정!$E$539,③기타_가정!$E$536,0)</f>
        <v>0</v>
      </c>
      <c r="BQ130" s="37" t="n">
        <f aca="false">IF(BQ6=③기타_가정!$E$539,③기타_가정!$E$536,0)</f>
        <v>0</v>
      </c>
      <c r="BR130" s="37" t="n">
        <f aca="false">IF(BR6=③기타_가정!$E$539,③기타_가정!$E$536,0)</f>
        <v>0</v>
      </c>
      <c r="BS130" s="37" t="n">
        <f aca="false">IF(BS6=③기타_가정!$E$539,③기타_가정!$E$536,0)</f>
        <v>0</v>
      </c>
      <c r="BT130" s="37" t="n">
        <f aca="false">IF(BT6=③기타_가정!$E$539,③기타_가정!$E$536,0)</f>
        <v>0</v>
      </c>
      <c r="BU130" s="37" t="n">
        <f aca="false">IF(BU6=③기타_가정!$E$539,③기타_가정!$E$536,0)</f>
        <v>0</v>
      </c>
      <c r="BV130" s="37" t="n">
        <f aca="false">IF(BV6=③기타_가정!$E$539,③기타_가정!$E$536,0)</f>
        <v>0</v>
      </c>
      <c r="BW130" s="37" t="n">
        <f aca="false">IF(BW6=③기타_가정!$E$539,③기타_가정!$E$536,0)</f>
        <v>0</v>
      </c>
      <c r="BX130" s="37" t="n">
        <f aca="false">IF(BX6=③기타_가정!$E$539,③기타_가정!$E$536,0)</f>
        <v>0</v>
      </c>
      <c r="BY130" s="37" t="n">
        <f aca="false">IF(BY6=③기타_가정!$E$539,③기타_가정!$E$536,0)</f>
        <v>0</v>
      </c>
      <c r="BZ130" s="37" t="n">
        <f aca="false">IF(BZ6=③기타_가정!$E$539,③기타_가정!$E$536,0)</f>
        <v>0</v>
      </c>
      <c r="CA130" s="37" t="n">
        <f aca="false">IF(CA6=③기타_가정!$E$539,③기타_가정!$E$536,0)</f>
        <v>0</v>
      </c>
      <c r="CB130" s="37" t="n">
        <f aca="false">IF(CB6=③기타_가정!$E$539,③기타_가정!$E$536,0)</f>
        <v>0</v>
      </c>
      <c r="CC130" s="37" t="n">
        <f aca="false">IF(CC6=③기타_가정!$E$539,③기타_가정!$E$536,0)</f>
        <v>0</v>
      </c>
      <c r="CD130" s="37" t="n">
        <f aca="false">IF(CD6=③기타_가정!$E$539,③기타_가정!$E$536,0)</f>
        <v>0</v>
      </c>
      <c r="CE130" s="37" t="n">
        <f aca="false">IF(CE6=③기타_가정!$E$539,③기타_가정!$E$536,0)</f>
        <v>0</v>
      </c>
      <c r="CF130" s="37" t="n">
        <f aca="false">IF(CF6=③기타_가정!$E$539,③기타_가정!$E$536,0)</f>
        <v>0</v>
      </c>
      <c r="CG130" s="37" t="n">
        <f aca="false">IF(CG6=③기타_가정!$E$539,③기타_가정!$E$536,0)</f>
        <v>0</v>
      </c>
      <c r="CH130" s="37" t="n">
        <f aca="false">IF(CH6=③기타_가정!$E$539,③기타_가정!$E$536,0)</f>
        <v>0</v>
      </c>
      <c r="CI130" s="37" t="n">
        <f aca="false">IF(CI6=③기타_가정!$E$539,③기타_가정!$E$536,0)</f>
        <v>0</v>
      </c>
      <c r="CJ130" s="37" t="n">
        <f aca="false">IF(CJ6=③기타_가정!$E$539,③기타_가정!$E$536,0)</f>
        <v>0</v>
      </c>
      <c r="CK130" s="37" t="n">
        <f aca="false">IF(CK6=③기타_가정!$E$539,③기타_가정!$E$536,0)</f>
        <v>0</v>
      </c>
      <c r="CL130" s="37" t="n">
        <f aca="false">IF(CL6=③기타_가정!$E$539,③기타_가정!$E$536,0)</f>
        <v>0</v>
      </c>
      <c r="CM130" s="37" t="n">
        <f aca="false">IF(CM6=③기타_가정!$E$539,③기타_가정!$E$536,0)</f>
        <v>0</v>
      </c>
      <c r="CN130" s="37" t="n">
        <f aca="false">IF(CN6=③기타_가정!$E$539,③기타_가정!$E$536,0)</f>
        <v>0</v>
      </c>
      <c r="CO130" s="37" t="n">
        <f aca="false">IF(CO6=③기타_가정!$E$539,③기타_가정!$E$536,0)</f>
        <v>0</v>
      </c>
      <c r="CP130" s="37" t="n">
        <f aca="false">IF(CP6=③기타_가정!$E$539,③기타_가정!$E$536,0)</f>
        <v>0</v>
      </c>
      <c r="CQ130" s="37" t="n">
        <f aca="false">IF(CQ6=③기타_가정!$E$539,③기타_가정!$E$536,0)</f>
        <v>0</v>
      </c>
      <c r="CR130" s="37" t="n">
        <f aca="false">IF(CR6=③기타_가정!$E$539,③기타_가정!$E$536,0)</f>
        <v>0</v>
      </c>
      <c r="CS130" s="37" t="n">
        <f aca="false">IF(CS6=③기타_가정!$E$539,③기타_가정!$E$536,0)</f>
        <v>0</v>
      </c>
      <c r="CT130" s="37" t="n">
        <f aca="false">IF(CT6=③기타_가정!$E$539,③기타_가정!$E$536,0)</f>
        <v>0</v>
      </c>
      <c r="CU130" s="37" t="n">
        <f aca="false">IF(CU6=③기타_가정!$E$539,③기타_가정!$E$536,0)</f>
        <v>0</v>
      </c>
      <c r="CV130" s="37" t="n">
        <f aca="false">IF(CV6=③기타_가정!$E$539,③기타_가정!$E$536,0)</f>
        <v>0</v>
      </c>
      <c r="CW130" s="37" t="n">
        <f aca="false">IF(CW6=③기타_가정!$E$539,③기타_가정!$E$536,0)</f>
        <v>0</v>
      </c>
      <c r="CX130" s="37" t="n">
        <f aca="false">IF(CX6=③기타_가정!$E$539,③기타_가정!$E$536,0)</f>
        <v>0</v>
      </c>
      <c r="CY130" s="37" t="n">
        <f aca="false">IF(CY6=③기타_가정!$E$539,③기타_가정!$E$536,0)</f>
        <v>0</v>
      </c>
      <c r="CZ130" s="37" t="n">
        <f aca="false">IF(CZ6=③기타_가정!$E$539,③기타_가정!$E$536,0)</f>
        <v>0</v>
      </c>
      <c r="DA130" s="37" t="n">
        <f aca="false">IF(DA6=③기타_가정!$E$539,③기타_가정!$E$536,0)</f>
        <v>0</v>
      </c>
      <c r="DB130" s="37" t="n">
        <f aca="false">IF(DB6=③기타_가정!$E$539,③기타_가정!$E$536,0)</f>
        <v>0</v>
      </c>
      <c r="DC130" s="37" t="n">
        <f aca="false">IF(DC6=③기타_가정!$E$539,③기타_가정!$E$536,0)</f>
        <v>0</v>
      </c>
      <c r="DD130" s="37" t="n">
        <f aca="false">IF(DD6=③기타_가정!$E$539,③기타_가정!$E$536,0)</f>
        <v>0</v>
      </c>
      <c r="DE130" s="37" t="n">
        <f aca="false">IF(DE6=③기타_가정!$E$539,③기타_가정!$E$536,0)</f>
        <v>0</v>
      </c>
      <c r="DF130" s="37" t="n">
        <f aca="false">IF(DF6=③기타_가정!$E$539,③기타_가정!$E$536,0)</f>
        <v>0</v>
      </c>
      <c r="DG130" s="37" t="n">
        <f aca="false">IF(DG6=③기타_가정!$E$539,③기타_가정!$E$536,0)</f>
        <v>0</v>
      </c>
      <c r="DH130" s="37" t="n">
        <f aca="false">IF(DH6=③기타_가정!$E$539,③기타_가정!$E$536,0)</f>
        <v>0</v>
      </c>
      <c r="DI130" s="37" t="n">
        <f aca="false">IF(DI6=③기타_가정!$E$539,③기타_가정!$E$536,0)</f>
        <v>0</v>
      </c>
      <c r="DJ130" s="37" t="n">
        <f aca="false">IF(DJ6=③기타_가정!$E$539,③기타_가정!$E$536,0)</f>
        <v>0</v>
      </c>
      <c r="DK130" s="37" t="n">
        <f aca="false">IF(DK6=③기타_가정!$E$539,③기타_가정!$E$536,0)</f>
        <v>0</v>
      </c>
      <c r="DL130" s="37" t="n">
        <f aca="false">IF(DL6=③기타_가정!$E$539,③기타_가정!$E$536,0)</f>
        <v>0</v>
      </c>
      <c r="DM130" s="37" t="n">
        <f aca="false">IF(DM6=③기타_가정!$E$539,③기타_가정!$E$536,0)</f>
        <v>0</v>
      </c>
      <c r="DN130" s="37" t="n">
        <f aca="false">IF(DN6=③기타_가정!$E$539,③기타_가정!$E$536,0)</f>
        <v>0</v>
      </c>
      <c r="DO130" s="37" t="n">
        <f aca="false">IF(DO6=③기타_가정!$E$539,③기타_가정!$E$536,0)</f>
        <v>0</v>
      </c>
      <c r="DP130" s="37" t="n">
        <f aca="false">IF(DP6=③기타_가정!$E$539,③기타_가정!$E$536,0)</f>
        <v>0</v>
      </c>
      <c r="DQ130" s="37" t="n">
        <f aca="false">IF(DQ6=③기타_가정!$E$539,③기타_가정!$E$536,0)</f>
        <v>0</v>
      </c>
      <c r="DR130" s="37" t="n">
        <f aca="false">IF(DR6=③기타_가정!$E$539,③기타_가정!$E$536,0)</f>
        <v>0</v>
      </c>
      <c r="DS130" s="37" t="n">
        <f aca="false">IF(DS6=③기타_가정!$E$539,③기타_가정!$E$536,0)</f>
        <v>0</v>
      </c>
      <c r="DT130" s="37" t="n">
        <f aca="false">IF(DT6=③기타_가정!$E$539,③기타_가정!$E$536,0)</f>
        <v>712213.18</v>
      </c>
      <c r="DU130" s="37" t="n">
        <f aca="false">IF(DU6=③기타_가정!$E$539,③기타_가정!$E$536,0)</f>
        <v>0</v>
      </c>
      <c r="DV130" s="37" t="n">
        <f aca="false">IF(DV6=③기타_가정!$E$539,③기타_가정!$E$536,0)</f>
        <v>0</v>
      </c>
      <c r="DW130" s="37" t="n">
        <f aca="false">IF(DW6=③기타_가정!$E$539,③기타_가정!$E$536,0)</f>
        <v>0</v>
      </c>
      <c r="DX130" s="37" t="n">
        <f aca="false">IF(DX6=③기타_가정!$E$539,③기타_가정!$E$536,0)</f>
        <v>0</v>
      </c>
      <c r="DY130" s="37" t="n">
        <f aca="false">IF(DY6=③기타_가정!$E$539,③기타_가정!$E$536,0)</f>
        <v>0</v>
      </c>
      <c r="DZ130" s="37" t="n">
        <f aca="false">IF(DZ6=③기타_가정!$E$539,③기타_가정!$E$536,0)</f>
        <v>0</v>
      </c>
      <c r="EA130" s="37" t="n">
        <f aca="false">IF(EA6=③기타_가정!$E$539,③기타_가정!$E$536,0)</f>
        <v>0</v>
      </c>
      <c r="EB130" s="37" t="n">
        <f aca="false">IF(EB6=③기타_가정!$E$539,③기타_가정!$E$536,0)</f>
        <v>0</v>
      </c>
      <c r="EC130" s="37" t="n">
        <f aca="false">IF(EC6=③기타_가정!$E$539,③기타_가정!$E$536,0)</f>
        <v>0</v>
      </c>
      <c r="ED130" s="37" t="n">
        <f aca="false">IF(ED6=③기타_가정!$E$539,③기타_가정!$E$536,0)</f>
        <v>0</v>
      </c>
      <c r="EE130" s="37" t="n">
        <f aca="false">IF(EE6=③기타_가정!$E$539,③기타_가정!$E$536,0)</f>
        <v>0</v>
      </c>
      <c r="EF130" s="37" t="n">
        <f aca="false">IF(EF6=③기타_가정!$E$539,③기타_가정!$E$536,0)</f>
        <v>0</v>
      </c>
    </row>
    <row r="131" customFormat="false" ht="15" hidden="false" customHeight="false" outlineLevel="0" collapsed="false">
      <c r="A131" s="36" t="s">
        <v>667</v>
      </c>
      <c r="B131" s="278" t="s">
        <v>21</v>
      </c>
      <c r="C131" s="279" t="n">
        <f aca="false">MAX(E131:EF131)</f>
        <v>712213.18</v>
      </c>
      <c r="E131" s="37" t="n">
        <f aca="false">0+E127-E130</f>
        <v>0</v>
      </c>
      <c r="F131" s="37" t="n">
        <f aca="false">E131+F127-F130</f>
        <v>0</v>
      </c>
      <c r="G131" s="37" t="n">
        <f aca="false">F131+G127-G130</f>
        <v>0</v>
      </c>
      <c r="H131" s="37" t="n">
        <f aca="false">G131+H127-H130</f>
        <v>0</v>
      </c>
      <c r="I131" s="37" t="n">
        <f aca="false">H131+I127-I130</f>
        <v>0</v>
      </c>
      <c r="J131" s="37" t="n">
        <f aca="false">I131+J127-J130</f>
        <v>0</v>
      </c>
      <c r="K131" s="37" t="n">
        <f aca="false">J131+K127-K130</f>
        <v>0</v>
      </c>
      <c r="L131" s="37" t="n">
        <f aca="false">K131+L127-L130</f>
        <v>0</v>
      </c>
      <c r="M131" s="37" t="n">
        <f aca="false">L131+M127-M130</f>
        <v>0</v>
      </c>
      <c r="N131" s="37" t="n">
        <f aca="false">M131+N127-N130</f>
        <v>0</v>
      </c>
      <c r="O131" s="37" t="n">
        <f aca="false">N131+O127-O130</f>
        <v>0</v>
      </c>
      <c r="P131" s="37" t="n">
        <f aca="false">O131+P127-P130</f>
        <v>0</v>
      </c>
      <c r="Q131" s="37" t="n">
        <f aca="false">P131+Q127-Q130</f>
        <v>0</v>
      </c>
      <c r="R131" s="37" t="n">
        <f aca="false">Q131+R127-R130</f>
        <v>0</v>
      </c>
      <c r="S131" s="37" t="n">
        <f aca="false">R131+S127-S130</f>
        <v>0</v>
      </c>
      <c r="T131" s="37" t="n">
        <f aca="false">S131+T127-T130</f>
        <v>0</v>
      </c>
      <c r="U131" s="37" t="n">
        <f aca="false">T131+U127-U130</f>
        <v>0</v>
      </c>
      <c r="V131" s="37" t="n">
        <f aca="false">U131+V127-V130</f>
        <v>0</v>
      </c>
      <c r="W131" s="37" t="n">
        <f aca="false">V131+W127-W130</f>
        <v>0</v>
      </c>
      <c r="X131" s="37" t="n">
        <f aca="false">W131+X127-X130</f>
        <v>0</v>
      </c>
      <c r="Y131" s="37" t="n">
        <f aca="false">X131+Y127-Y130</f>
        <v>0</v>
      </c>
      <c r="Z131" s="37" t="n">
        <f aca="false">Y131+Z127-Z130</f>
        <v>0</v>
      </c>
      <c r="AA131" s="37" t="n">
        <f aca="false">Z131+AA127-AA130</f>
        <v>0</v>
      </c>
      <c r="AB131" s="37" t="n">
        <f aca="false">AA131+AB127-AB130</f>
        <v>0</v>
      </c>
      <c r="AC131" s="37" t="n">
        <f aca="false">AB131+AC127-AC130</f>
        <v>0</v>
      </c>
      <c r="AD131" s="37" t="n">
        <f aca="false">AC131+AD127-AD130</f>
        <v>0</v>
      </c>
      <c r="AE131" s="37" t="n">
        <f aca="false">AD131+AE127-AE130</f>
        <v>0</v>
      </c>
      <c r="AF131" s="37" t="n">
        <f aca="false">AE131+AF127-AF130</f>
        <v>0</v>
      </c>
      <c r="AG131" s="37" t="n">
        <f aca="false">AF131+AG127-AG130</f>
        <v>0</v>
      </c>
      <c r="AH131" s="37" t="n">
        <f aca="false">AG131+AH127-AH130</f>
        <v>0</v>
      </c>
      <c r="AI131" s="37" t="n">
        <f aca="false">AH131+AI127-AI130</f>
        <v>0</v>
      </c>
      <c r="AJ131" s="37" t="n">
        <f aca="false">AI131+AJ127-AJ130</f>
        <v>0</v>
      </c>
      <c r="AK131" s="37" t="n">
        <f aca="false">AJ131+AK127-AK130</f>
        <v>0</v>
      </c>
      <c r="AL131" s="37" t="n">
        <f aca="false">AK131+AL127-AL130</f>
        <v>0</v>
      </c>
      <c r="AM131" s="37" t="n">
        <f aca="false">AL131+AM127-AM130</f>
        <v>0</v>
      </c>
      <c r="AN131" s="37" t="n">
        <f aca="false">AM131+AN127-AN130</f>
        <v>0</v>
      </c>
      <c r="AO131" s="37" t="n">
        <f aca="false">AN131+AO127-AO130</f>
        <v>0</v>
      </c>
      <c r="AP131" s="37" t="n">
        <f aca="false">AO131+AP127-AP130</f>
        <v>0</v>
      </c>
      <c r="AQ131" s="37" t="n">
        <f aca="false">AP131+AQ127-AQ130</f>
        <v>0</v>
      </c>
      <c r="AR131" s="37" t="n">
        <f aca="false">AQ131+AR127-AR130</f>
        <v>0</v>
      </c>
      <c r="AS131" s="37" t="n">
        <f aca="false">AR131+AS127-AS130</f>
        <v>0</v>
      </c>
      <c r="AT131" s="37" t="n">
        <f aca="false">AS131+AT127-AT130</f>
        <v>0</v>
      </c>
      <c r="AU131" s="37" t="n">
        <f aca="false">AT131+AU127-AU130</f>
        <v>0</v>
      </c>
      <c r="AV131" s="37" t="n">
        <f aca="false">AU131+AV127-AV130</f>
        <v>0</v>
      </c>
      <c r="AW131" s="37" t="n">
        <f aca="false">AV131+AW127-AW130</f>
        <v>0</v>
      </c>
      <c r="AX131" s="37" t="n">
        <f aca="false">AW131+AX127-AX130</f>
        <v>0</v>
      </c>
      <c r="AY131" s="37" t="n">
        <f aca="false">AX131+AY127-AY130</f>
        <v>0</v>
      </c>
      <c r="AZ131" s="37" t="n">
        <f aca="false">AY131+AZ127-AZ130</f>
        <v>0</v>
      </c>
      <c r="BA131" s="37" t="n">
        <f aca="false">AZ131+BA127-BA130</f>
        <v>0</v>
      </c>
      <c r="BB131" s="37" t="n">
        <f aca="false">BA131+BB127-BB130</f>
        <v>0</v>
      </c>
      <c r="BC131" s="37" t="n">
        <f aca="false">BB131+BC127-BC130</f>
        <v>0</v>
      </c>
      <c r="BD131" s="37" t="n">
        <f aca="false">BC131+BD127-BD130</f>
        <v>0</v>
      </c>
      <c r="BE131" s="37" t="n">
        <f aca="false">BD131+BE127-BE130</f>
        <v>0</v>
      </c>
      <c r="BF131" s="37" t="n">
        <f aca="false">BE131+BF127-BF130</f>
        <v>0</v>
      </c>
      <c r="BG131" s="37" t="n">
        <f aca="false">BF131+BG127-BG130</f>
        <v>0</v>
      </c>
      <c r="BH131" s="37" t="n">
        <f aca="false">BG131+BH127-BH130</f>
        <v>0</v>
      </c>
      <c r="BI131" s="37" t="n">
        <f aca="false">BH131+BI127-BI130</f>
        <v>0</v>
      </c>
      <c r="BJ131" s="37" t="n">
        <f aca="false">BI131+BJ127-BJ130</f>
        <v>0</v>
      </c>
      <c r="BK131" s="37" t="n">
        <f aca="false">BJ131+BK127-BK130</f>
        <v>0</v>
      </c>
      <c r="BL131" s="37" t="n">
        <f aca="false">BK131+BL127-BL130</f>
        <v>712213.18</v>
      </c>
      <c r="BM131" s="37" t="n">
        <f aca="false">BL131+BM127-BM130</f>
        <v>712213.18</v>
      </c>
      <c r="BN131" s="37" t="n">
        <f aca="false">BM131+BN127-BN130</f>
        <v>712213.18</v>
      </c>
      <c r="BO131" s="37" t="n">
        <f aca="false">BN131+BO127-BO130</f>
        <v>712213.18</v>
      </c>
      <c r="BP131" s="37" t="n">
        <f aca="false">BO131+BP127-BP130</f>
        <v>712213.18</v>
      </c>
      <c r="BQ131" s="37" t="n">
        <f aca="false">BP131+BQ127-BQ130</f>
        <v>712213.18</v>
      </c>
      <c r="BR131" s="37" t="n">
        <f aca="false">BQ131+BR127-BR130</f>
        <v>712213.18</v>
      </c>
      <c r="BS131" s="37" t="n">
        <f aca="false">BR131+BS127-BS130</f>
        <v>712213.18</v>
      </c>
      <c r="BT131" s="37" t="n">
        <f aca="false">BS131+BT127-BT130</f>
        <v>712213.18</v>
      </c>
      <c r="BU131" s="37" t="n">
        <f aca="false">BT131+BU127-BU130</f>
        <v>712213.18</v>
      </c>
      <c r="BV131" s="37" t="n">
        <f aca="false">BU131+BV127-BV130</f>
        <v>712213.18</v>
      </c>
      <c r="BW131" s="37" t="n">
        <f aca="false">BV131+BW127-BW130</f>
        <v>712213.18</v>
      </c>
      <c r="BX131" s="37" t="n">
        <f aca="false">BW131+BX127-BX130</f>
        <v>712213.18</v>
      </c>
      <c r="BY131" s="37" t="n">
        <f aca="false">BX131+BY127-BY130</f>
        <v>712213.18</v>
      </c>
      <c r="BZ131" s="37" t="n">
        <f aca="false">BY131+BZ127-BZ130</f>
        <v>712213.18</v>
      </c>
      <c r="CA131" s="37" t="n">
        <f aca="false">BZ131+CA127-CA130</f>
        <v>712213.18</v>
      </c>
      <c r="CB131" s="37" t="n">
        <f aca="false">CA131+CB127-CB130</f>
        <v>712213.18</v>
      </c>
      <c r="CC131" s="37" t="n">
        <f aca="false">CB131+CC127-CC130</f>
        <v>712213.18</v>
      </c>
      <c r="CD131" s="37" t="n">
        <f aca="false">CC131+CD127-CD130</f>
        <v>712213.18</v>
      </c>
      <c r="CE131" s="37" t="n">
        <f aca="false">CD131+CE127-CE130</f>
        <v>712213.18</v>
      </c>
      <c r="CF131" s="37" t="n">
        <f aca="false">CE131+CF127-CF130</f>
        <v>712213.18</v>
      </c>
      <c r="CG131" s="37" t="n">
        <f aca="false">CF131+CG127-CG130</f>
        <v>712213.18</v>
      </c>
      <c r="CH131" s="37" t="n">
        <f aca="false">CG131+CH127-CH130</f>
        <v>712213.18</v>
      </c>
      <c r="CI131" s="37" t="n">
        <f aca="false">CH131+CI127-CI130</f>
        <v>712213.18</v>
      </c>
      <c r="CJ131" s="37" t="n">
        <f aca="false">CI131+CJ127-CJ130</f>
        <v>712213.18</v>
      </c>
      <c r="CK131" s="37" t="n">
        <f aca="false">CJ131+CK127-CK130</f>
        <v>712213.18</v>
      </c>
      <c r="CL131" s="37" t="n">
        <f aca="false">CK131+CL127-CL130</f>
        <v>712213.18</v>
      </c>
      <c r="CM131" s="37" t="n">
        <f aca="false">CL131+CM127-CM130</f>
        <v>712213.18</v>
      </c>
      <c r="CN131" s="37" t="n">
        <f aca="false">CM131+CN127-CN130</f>
        <v>712213.18</v>
      </c>
      <c r="CO131" s="37" t="n">
        <f aca="false">CN131+CO127-CO130</f>
        <v>712213.18</v>
      </c>
      <c r="CP131" s="37" t="n">
        <f aca="false">CO131+CP127-CP130</f>
        <v>712213.18</v>
      </c>
      <c r="CQ131" s="37" t="n">
        <f aca="false">CP131+CQ127-CQ130</f>
        <v>712213.18</v>
      </c>
      <c r="CR131" s="37" t="n">
        <f aca="false">CQ131+CR127-CR130</f>
        <v>712213.18</v>
      </c>
      <c r="CS131" s="37" t="n">
        <f aca="false">CR131+CS127-CS130</f>
        <v>712213.18</v>
      </c>
      <c r="CT131" s="37" t="n">
        <f aca="false">CS131+CT127-CT130</f>
        <v>712213.18</v>
      </c>
      <c r="CU131" s="37" t="n">
        <f aca="false">CT131+CU127-CU130</f>
        <v>712213.18</v>
      </c>
      <c r="CV131" s="37" t="n">
        <f aca="false">CU131+CV127-CV130</f>
        <v>712213.18</v>
      </c>
      <c r="CW131" s="37" t="n">
        <f aca="false">CV131+CW127-CW130</f>
        <v>712213.18</v>
      </c>
      <c r="CX131" s="37" t="n">
        <f aca="false">CW131+CX127-CX130</f>
        <v>712213.18</v>
      </c>
      <c r="CY131" s="37" t="n">
        <f aca="false">CX131+CY127-CY130</f>
        <v>712213.18</v>
      </c>
      <c r="CZ131" s="37" t="n">
        <f aca="false">CY131+CZ127-CZ130</f>
        <v>712213.18</v>
      </c>
      <c r="DA131" s="37" t="n">
        <f aca="false">CZ131+DA127-DA130</f>
        <v>712213.18</v>
      </c>
      <c r="DB131" s="37" t="n">
        <f aca="false">DA131+DB127-DB130</f>
        <v>712213.18</v>
      </c>
      <c r="DC131" s="37" t="n">
        <f aca="false">DB131+DC127-DC130</f>
        <v>712213.18</v>
      </c>
      <c r="DD131" s="37" t="n">
        <f aca="false">DC131+DD127-DD130</f>
        <v>712213.18</v>
      </c>
      <c r="DE131" s="37" t="n">
        <f aca="false">DD131+DE127-DE130</f>
        <v>712213.18</v>
      </c>
      <c r="DF131" s="37" t="n">
        <f aca="false">DE131+DF127-DF130</f>
        <v>712213.18</v>
      </c>
      <c r="DG131" s="37" t="n">
        <f aca="false">DF131+DG127-DG130</f>
        <v>712213.18</v>
      </c>
      <c r="DH131" s="37" t="n">
        <f aca="false">DG131+DH127-DH130</f>
        <v>712213.18</v>
      </c>
      <c r="DI131" s="37" t="n">
        <f aca="false">DH131+DI127-DI130</f>
        <v>712213.18</v>
      </c>
      <c r="DJ131" s="37" t="n">
        <f aca="false">DI131+DJ127-DJ130</f>
        <v>712213.18</v>
      </c>
      <c r="DK131" s="37" t="n">
        <f aca="false">DJ131+DK127-DK130</f>
        <v>712213.18</v>
      </c>
      <c r="DL131" s="37" t="n">
        <f aca="false">DK131+DL127-DL130</f>
        <v>712213.18</v>
      </c>
      <c r="DM131" s="37" t="n">
        <f aca="false">DL131+DM127-DM130</f>
        <v>712213.18</v>
      </c>
      <c r="DN131" s="37" t="n">
        <f aca="false">DM131+DN127-DN130</f>
        <v>712213.18</v>
      </c>
      <c r="DO131" s="37" t="n">
        <f aca="false">DN131+DO127-DO130</f>
        <v>712213.18</v>
      </c>
      <c r="DP131" s="37" t="n">
        <f aca="false">DO131+DP127-DP130</f>
        <v>712213.18</v>
      </c>
      <c r="DQ131" s="37" t="n">
        <f aca="false">DP131+DQ127-DQ130</f>
        <v>712213.18</v>
      </c>
      <c r="DR131" s="37" t="n">
        <f aca="false">DQ131+DR127-DR130</f>
        <v>712213.18</v>
      </c>
      <c r="DS131" s="37" t="n">
        <f aca="false">DR131+DS127-DS130</f>
        <v>712213.18</v>
      </c>
      <c r="DT131" s="37" t="n">
        <f aca="false">DS131+DT127-DT130</f>
        <v>0</v>
      </c>
      <c r="DU131" s="37" t="n">
        <f aca="false">DT131+DU127-DU130</f>
        <v>0</v>
      </c>
      <c r="DV131" s="37" t="n">
        <f aca="false">DU131+DV127-DV130</f>
        <v>0</v>
      </c>
      <c r="DW131" s="37" t="n">
        <f aca="false">DV131+DW127-DW130</f>
        <v>0</v>
      </c>
      <c r="DX131" s="37" t="n">
        <f aca="false">DW131+DX127-DX130</f>
        <v>0</v>
      </c>
      <c r="DY131" s="37" t="n">
        <f aca="false">DX131+DY127-DY130</f>
        <v>0</v>
      </c>
      <c r="DZ131" s="37" t="n">
        <f aca="false">DY131+DZ127-DZ130</f>
        <v>0</v>
      </c>
      <c r="EA131" s="37" t="n">
        <f aca="false">DZ131+EA127-EA130</f>
        <v>0</v>
      </c>
      <c r="EB131" s="37" t="n">
        <f aca="false">EA131+EB127-EB130</f>
        <v>0</v>
      </c>
      <c r="EC131" s="37" t="n">
        <f aca="false">EB131+EC127-EC130</f>
        <v>0</v>
      </c>
      <c r="ED131" s="37" t="n">
        <f aca="false">EC131+ED127-ED130</f>
        <v>0</v>
      </c>
      <c r="EE131" s="37" t="n">
        <f aca="false">ED131+EE127-EE130</f>
        <v>0</v>
      </c>
      <c r="EF131" s="37" t="n">
        <f aca="false">EE131+EF127-EF130</f>
        <v>0</v>
      </c>
    </row>
    <row r="133" customFormat="false" ht="15" hidden="false" customHeight="false" outlineLevel="0" collapsed="false">
      <c r="A133" s="6" t="s">
        <v>518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</row>
    <row r="134" customFormat="false" ht="15" hidden="false" customHeight="false" outlineLevel="0" collapsed="false">
      <c r="A134" s="36" t="s">
        <v>668</v>
      </c>
      <c r="B134" s="278" t="s">
        <v>21</v>
      </c>
      <c r="C134" s="279" t="n">
        <f aca="false">SUM(E134:EF134)</f>
        <v>0</v>
      </c>
      <c r="E134" s="37" t="n">
        <f aca="false">SUMIF(③기타_가정!$N$543:$N$545,E6,③기타_가정!$E$543:$E$545)</f>
        <v>0</v>
      </c>
      <c r="F134" s="37" t="n">
        <f aca="false">SUMIF(③기타_가정!$N$543:$N$545,F6,③기타_가정!$E$543:$E$545)</f>
        <v>0</v>
      </c>
      <c r="G134" s="37" t="n">
        <f aca="false">SUMIF(③기타_가정!$N$543:$N$545,G6,③기타_가정!$E$543:$E$545)</f>
        <v>0</v>
      </c>
      <c r="H134" s="37" t="n">
        <f aca="false">SUMIF(③기타_가정!$N$543:$N$545,H6,③기타_가정!$E$543:$E$545)</f>
        <v>0</v>
      </c>
      <c r="I134" s="37" t="n">
        <f aca="false">SUMIF(③기타_가정!$N$543:$N$545,I6,③기타_가정!$E$543:$E$545)</f>
        <v>0</v>
      </c>
      <c r="J134" s="37" t="n">
        <f aca="false">SUMIF(③기타_가정!$N$543:$N$545,J6,③기타_가정!$E$543:$E$545)</f>
        <v>0</v>
      </c>
      <c r="K134" s="37" t="n">
        <f aca="false">SUMIF(③기타_가정!$N$543:$N$545,K6,③기타_가정!$E$543:$E$545)</f>
        <v>0</v>
      </c>
      <c r="L134" s="37" t="n">
        <f aca="false">SUMIF(③기타_가정!$N$543:$N$545,L6,③기타_가정!$E$543:$E$545)</f>
        <v>0</v>
      </c>
      <c r="M134" s="37" t="n">
        <f aca="false">SUMIF(③기타_가정!$N$543:$N$545,M6,③기타_가정!$E$543:$E$545)</f>
        <v>0</v>
      </c>
      <c r="N134" s="37" t="n">
        <f aca="false">SUMIF(③기타_가정!$N$543:$N$545,N6,③기타_가정!$E$543:$E$545)</f>
        <v>0</v>
      </c>
      <c r="O134" s="37" t="n">
        <f aca="false">SUMIF(③기타_가정!$N$543:$N$545,O6,③기타_가정!$E$543:$E$545)</f>
        <v>0</v>
      </c>
      <c r="P134" s="37" t="n">
        <f aca="false">SUMIF(③기타_가정!$N$543:$N$545,P6,③기타_가정!$E$543:$E$545)</f>
        <v>0</v>
      </c>
      <c r="Q134" s="37" t="n">
        <f aca="false">SUMIF(③기타_가정!$N$543:$N$545,Q6,③기타_가정!$E$543:$E$545)</f>
        <v>0</v>
      </c>
      <c r="R134" s="37" t="n">
        <f aca="false">SUMIF(③기타_가정!$N$543:$N$545,R6,③기타_가정!$E$543:$E$545)</f>
        <v>0</v>
      </c>
      <c r="S134" s="37" t="n">
        <f aca="false">SUMIF(③기타_가정!$N$543:$N$545,S6,③기타_가정!$E$543:$E$545)</f>
        <v>0</v>
      </c>
      <c r="T134" s="37" t="n">
        <f aca="false">SUMIF(③기타_가정!$N$543:$N$545,T6,③기타_가정!$E$543:$E$545)</f>
        <v>0</v>
      </c>
      <c r="U134" s="37" t="n">
        <f aca="false">SUMIF(③기타_가정!$N$543:$N$545,U6,③기타_가정!$E$543:$E$545)</f>
        <v>0</v>
      </c>
      <c r="V134" s="37" t="n">
        <f aca="false">SUMIF(③기타_가정!$N$543:$N$545,V6,③기타_가정!$E$543:$E$545)</f>
        <v>0</v>
      </c>
      <c r="W134" s="37" t="n">
        <f aca="false">SUMIF(③기타_가정!$N$543:$N$545,W6,③기타_가정!$E$543:$E$545)</f>
        <v>0</v>
      </c>
      <c r="X134" s="37" t="n">
        <f aca="false">SUMIF(③기타_가정!$N$543:$N$545,X6,③기타_가정!$E$543:$E$545)</f>
        <v>0</v>
      </c>
      <c r="Y134" s="37" t="n">
        <f aca="false">SUMIF(③기타_가정!$N$543:$N$545,Y6,③기타_가정!$E$543:$E$545)</f>
        <v>0</v>
      </c>
      <c r="Z134" s="37" t="n">
        <f aca="false">SUMIF(③기타_가정!$N$543:$N$545,Z6,③기타_가정!$E$543:$E$545)</f>
        <v>0</v>
      </c>
      <c r="AA134" s="37" t="n">
        <f aca="false">SUMIF(③기타_가정!$N$543:$N$545,AA6,③기타_가정!$E$543:$E$545)</f>
        <v>0</v>
      </c>
      <c r="AB134" s="37" t="n">
        <f aca="false">SUMIF(③기타_가정!$N$543:$N$545,AB6,③기타_가정!$E$543:$E$545)</f>
        <v>0</v>
      </c>
      <c r="AC134" s="37" t="n">
        <f aca="false">SUMIF(③기타_가정!$N$543:$N$545,AC6,③기타_가정!$E$543:$E$545)</f>
        <v>0</v>
      </c>
      <c r="AD134" s="37" t="n">
        <f aca="false">SUMIF(③기타_가정!$N$543:$N$545,AD6,③기타_가정!$E$543:$E$545)</f>
        <v>0</v>
      </c>
      <c r="AE134" s="37" t="n">
        <f aca="false">SUMIF(③기타_가정!$N$543:$N$545,AE6,③기타_가정!$E$543:$E$545)</f>
        <v>0</v>
      </c>
      <c r="AF134" s="37" t="n">
        <f aca="false">SUMIF(③기타_가정!$N$543:$N$545,AF6,③기타_가정!$E$543:$E$545)</f>
        <v>0</v>
      </c>
      <c r="AG134" s="37" t="n">
        <f aca="false">SUMIF(③기타_가정!$N$543:$N$545,AG6,③기타_가정!$E$543:$E$545)</f>
        <v>0</v>
      </c>
      <c r="AH134" s="37" t="n">
        <f aca="false">SUMIF(③기타_가정!$N$543:$N$545,AH6,③기타_가정!$E$543:$E$545)</f>
        <v>0</v>
      </c>
      <c r="AI134" s="37" t="n">
        <f aca="false">SUMIF(③기타_가정!$N$543:$N$545,AI6,③기타_가정!$E$543:$E$545)</f>
        <v>0</v>
      </c>
      <c r="AJ134" s="37" t="n">
        <f aca="false">SUMIF(③기타_가정!$N$543:$N$545,AJ6,③기타_가정!$E$543:$E$545)</f>
        <v>0</v>
      </c>
      <c r="AK134" s="37" t="n">
        <f aca="false">SUMIF(③기타_가정!$N$543:$N$545,AK6,③기타_가정!$E$543:$E$545)</f>
        <v>0</v>
      </c>
      <c r="AL134" s="37" t="n">
        <f aca="false">SUMIF(③기타_가정!$N$543:$N$545,AL6,③기타_가정!$E$543:$E$545)</f>
        <v>0</v>
      </c>
      <c r="AM134" s="37" t="n">
        <f aca="false">SUMIF(③기타_가정!$N$543:$N$545,AM6,③기타_가정!$E$543:$E$545)</f>
        <v>0</v>
      </c>
      <c r="AN134" s="37" t="n">
        <f aca="false">SUMIF(③기타_가정!$N$543:$N$545,AN6,③기타_가정!$E$543:$E$545)</f>
        <v>0</v>
      </c>
      <c r="AO134" s="37" t="n">
        <f aca="false">SUMIF(③기타_가정!$N$543:$N$545,AO6,③기타_가정!$E$543:$E$545)</f>
        <v>0</v>
      </c>
      <c r="AP134" s="37" t="n">
        <f aca="false">SUMIF(③기타_가정!$N$543:$N$545,AP6,③기타_가정!$E$543:$E$545)</f>
        <v>0</v>
      </c>
      <c r="AQ134" s="37" t="n">
        <f aca="false">SUMIF(③기타_가정!$N$543:$N$545,AQ6,③기타_가정!$E$543:$E$545)</f>
        <v>0</v>
      </c>
      <c r="AR134" s="37" t="n">
        <f aca="false">SUMIF(③기타_가정!$N$543:$N$545,AR6,③기타_가정!$E$543:$E$545)</f>
        <v>0</v>
      </c>
      <c r="AS134" s="37" t="n">
        <f aca="false">SUMIF(③기타_가정!$N$543:$N$545,AS6,③기타_가정!$E$543:$E$545)</f>
        <v>0</v>
      </c>
      <c r="AT134" s="37" t="n">
        <f aca="false">SUMIF(③기타_가정!$N$543:$N$545,AT6,③기타_가정!$E$543:$E$545)</f>
        <v>0</v>
      </c>
      <c r="AU134" s="37" t="n">
        <f aca="false">SUMIF(③기타_가정!$N$543:$N$545,AU6,③기타_가정!$E$543:$E$545)</f>
        <v>0</v>
      </c>
      <c r="AV134" s="37" t="n">
        <f aca="false">SUMIF(③기타_가정!$N$543:$N$545,AV6,③기타_가정!$E$543:$E$545)</f>
        <v>0</v>
      </c>
      <c r="AW134" s="37" t="n">
        <f aca="false">SUMIF(③기타_가정!$N$543:$N$545,AW6,③기타_가정!$E$543:$E$545)</f>
        <v>0</v>
      </c>
      <c r="AX134" s="37" t="n">
        <f aca="false">SUMIF(③기타_가정!$N$543:$N$545,AX6,③기타_가정!$E$543:$E$545)</f>
        <v>0</v>
      </c>
      <c r="AY134" s="37" t="n">
        <f aca="false">SUMIF(③기타_가정!$N$543:$N$545,AY6,③기타_가정!$E$543:$E$545)</f>
        <v>0</v>
      </c>
      <c r="AZ134" s="37" t="n">
        <f aca="false">SUMIF(③기타_가정!$N$543:$N$545,AZ6,③기타_가정!$E$543:$E$545)</f>
        <v>0</v>
      </c>
      <c r="BA134" s="37" t="n">
        <f aca="false">SUMIF(③기타_가정!$N$543:$N$545,BA6,③기타_가정!$E$543:$E$545)</f>
        <v>0</v>
      </c>
      <c r="BB134" s="37" t="n">
        <f aca="false">SUMIF(③기타_가정!$N$543:$N$545,BB6,③기타_가정!$E$543:$E$545)</f>
        <v>0</v>
      </c>
      <c r="BC134" s="37" t="n">
        <f aca="false">SUMIF(③기타_가정!$N$543:$N$545,BC6,③기타_가정!$E$543:$E$545)</f>
        <v>0</v>
      </c>
      <c r="BD134" s="37" t="n">
        <f aca="false">SUMIF(③기타_가정!$N$543:$N$545,BD6,③기타_가정!$E$543:$E$545)</f>
        <v>0</v>
      </c>
      <c r="BE134" s="37" t="n">
        <f aca="false">SUMIF(③기타_가정!$N$543:$N$545,BE6,③기타_가정!$E$543:$E$545)</f>
        <v>0</v>
      </c>
      <c r="BF134" s="37" t="n">
        <f aca="false">SUMIF(③기타_가정!$N$543:$N$545,BF6,③기타_가정!$E$543:$E$545)</f>
        <v>0</v>
      </c>
      <c r="BG134" s="37" t="n">
        <f aca="false">SUMIF(③기타_가정!$N$543:$N$545,BG6,③기타_가정!$E$543:$E$545)</f>
        <v>0</v>
      </c>
      <c r="BH134" s="37" t="n">
        <f aca="false">SUMIF(③기타_가정!$N$543:$N$545,BH6,③기타_가정!$E$543:$E$545)</f>
        <v>0</v>
      </c>
      <c r="BI134" s="37" t="n">
        <f aca="false">SUMIF(③기타_가정!$N$543:$N$545,BI6,③기타_가정!$E$543:$E$545)</f>
        <v>0</v>
      </c>
      <c r="BJ134" s="37" t="n">
        <f aca="false">SUMIF(③기타_가정!$N$543:$N$545,BJ6,③기타_가정!$E$543:$E$545)</f>
        <v>0</v>
      </c>
      <c r="BK134" s="37" t="n">
        <f aca="false">SUMIF(③기타_가정!$N$543:$N$545,BK6,③기타_가정!$E$543:$E$545)</f>
        <v>0</v>
      </c>
      <c r="BL134" s="37" t="n">
        <f aca="false">SUMIF(③기타_가정!$N$543:$N$545,BL6,③기타_가정!$E$543:$E$545)</f>
        <v>0</v>
      </c>
      <c r="BM134" s="37" t="n">
        <f aca="false">SUMIF(③기타_가정!$N$543:$N$545,BM6,③기타_가정!$E$543:$E$545)</f>
        <v>0</v>
      </c>
      <c r="BN134" s="37" t="n">
        <f aca="false">SUMIF(③기타_가정!$N$543:$N$545,BN6,③기타_가정!$E$543:$E$545)</f>
        <v>0</v>
      </c>
      <c r="BO134" s="37" t="n">
        <f aca="false">SUMIF(③기타_가정!$N$543:$N$545,BO6,③기타_가정!$E$543:$E$545)</f>
        <v>0</v>
      </c>
      <c r="BP134" s="37" t="n">
        <f aca="false">SUMIF(③기타_가정!$N$543:$N$545,BP6,③기타_가정!$E$543:$E$545)</f>
        <v>0</v>
      </c>
      <c r="BQ134" s="37" t="n">
        <f aca="false">SUMIF(③기타_가정!$N$543:$N$545,BQ6,③기타_가정!$E$543:$E$545)</f>
        <v>0</v>
      </c>
      <c r="BR134" s="37" t="n">
        <f aca="false">SUMIF(③기타_가정!$N$543:$N$545,BR6,③기타_가정!$E$543:$E$545)</f>
        <v>0</v>
      </c>
      <c r="BS134" s="37" t="n">
        <f aca="false">SUMIF(③기타_가정!$N$543:$N$545,BS6,③기타_가정!$E$543:$E$545)</f>
        <v>0</v>
      </c>
      <c r="BT134" s="37" t="n">
        <f aca="false">SUMIF(③기타_가정!$N$543:$N$545,BT6,③기타_가정!$E$543:$E$545)</f>
        <v>0</v>
      </c>
      <c r="BU134" s="37" t="n">
        <f aca="false">SUMIF(③기타_가정!$N$543:$N$545,BU6,③기타_가정!$E$543:$E$545)</f>
        <v>0</v>
      </c>
      <c r="BV134" s="37" t="n">
        <f aca="false">SUMIF(③기타_가정!$N$543:$N$545,BV6,③기타_가정!$E$543:$E$545)</f>
        <v>0</v>
      </c>
      <c r="BW134" s="37" t="n">
        <f aca="false">SUMIF(③기타_가정!$N$543:$N$545,BW6,③기타_가정!$E$543:$E$545)</f>
        <v>0</v>
      </c>
      <c r="BX134" s="37" t="n">
        <f aca="false">SUMIF(③기타_가정!$N$543:$N$545,BX6,③기타_가정!$E$543:$E$545)</f>
        <v>0</v>
      </c>
      <c r="BY134" s="37" t="n">
        <f aca="false">SUMIF(③기타_가정!$N$543:$N$545,BY6,③기타_가정!$E$543:$E$545)</f>
        <v>0</v>
      </c>
      <c r="BZ134" s="37" t="n">
        <f aca="false">SUMIF(③기타_가정!$N$543:$N$545,BZ6,③기타_가정!$E$543:$E$545)</f>
        <v>0</v>
      </c>
      <c r="CA134" s="37" t="n">
        <f aca="false">SUMIF(③기타_가정!$N$543:$N$545,CA6,③기타_가정!$E$543:$E$545)</f>
        <v>0</v>
      </c>
      <c r="CB134" s="37" t="n">
        <f aca="false">SUMIF(③기타_가정!$N$543:$N$545,CB6,③기타_가정!$E$543:$E$545)</f>
        <v>0</v>
      </c>
      <c r="CC134" s="37" t="n">
        <f aca="false">SUMIF(③기타_가정!$N$543:$N$545,CC6,③기타_가정!$E$543:$E$545)</f>
        <v>0</v>
      </c>
      <c r="CD134" s="37" t="n">
        <f aca="false">SUMIF(③기타_가정!$N$543:$N$545,CD6,③기타_가정!$E$543:$E$545)</f>
        <v>0</v>
      </c>
      <c r="CE134" s="37" t="n">
        <f aca="false">SUMIF(③기타_가정!$N$543:$N$545,CE6,③기타_가정!$E$543:$E$545)</f>
        <v>0</v>
      </c>
      <c r="CF134" s="37" t="n">
        <f aca="false">SUMIF(③기타_가정!$N$543:$N$545,CF6,③기타_가정!$E$543:$E$545)</f>
        <v>0</v>
      </c>
      <c r="CG134" s="37" t="n">
        <f aca="false">SUMIF(③기타_가정!$N$543:$N$545,CG6,③기타_가정!$E$543:$E$545)</f>
        <v>0</v>
      </c>
      <c r="CH134" s="37" t="n">
        <f aca="false">SUMIF(③기타_가정!$N$543:$N$545,CH6,③기타_가정!$E$543:$E$545)</f>
        <v>0</v>
      </c>
      <c r="CI134" s="37" t="n">
        <f aca="false">SUMIF(③기타_가정!$N$543:$N$545,CI6,③기타_가정!$E$543:$E$545)</f>
        <v>0</v>
      </c>
      <c r="CJ134" s="37" t="n">
        <f aca="false">SUMIF(③기타_가정!$N$543:$N$545,CJ6,③기타_가정!$E$543:$E$545)</f>
        <v>0</v>
      </c>
      <c r="CK134" s="37" t="n">
        <f aca="false">SUMIF(③기타_가정!$N$543:$N$545,CK6,③기타_가정!$E$543:$E$545)</f>
        <v>0</v>
      </c>
      <c r="CL134" s="37" t="n">
        <f aca="false">SUMIF(③기타_가정!$N$543:$N$545,CL6,③기타_가정!$E$543:$E$545)</f>
        <v>0</v>
      </c>
      <c r="CM134" s="37" t="n">
        <f aca="false">SUMIF(③기타_가정!$N$543:$N$545,CM6,③기타_가정!$E$543:$E$545)</f>
        <v>0</v>
      </c>
      <c r="CN134" s="37" t="n">
        <f aca="false">SUMIF(③기타_가정!$N$543:$N$545,CN6,③기타_가정!$E$543:$E$545)</f>
        <v>0</v>
      </c>
      <c r="CO134" s="37" t="n">
        <f aca="false">SUMIF(③기타_가정!$N$543:$N$545,CO6,③기타_가정!$E$543:$E$545)</f>
        <v>0</v>
      </c>
      <c r="CP134" s="37" t="n">
        <f aca="false">SUMIF(③기타_가정!$N$543:$N$545,CP6,③기타_가정!$E$543:$E$545)</f>
        <v>0</v>
      </c>
      <c r="CQ134" s="37" t="n">
        <f aca="false">SUMIF(③기타_가정!$N$543:$N$545,CQ6,③기타_가정!$E$543:$E$545)</f>
        <v>0</v>
      </c>
      <c r="CR134" s="37" t="n">
        <f aca="false">SUMIF(③기타_가정!$N$543:$N$545,CR6,③기타_가정!$E$543:$E$545)</f>
        <v>0</v>
      </c>
      <c r="CS134" s="37" t="n">
        <f aca="false">SUMIF(③기타_가정!$N$543:$N$545,CS6,③기타_가정!$E$543:$E$545)</f>
        <v>0</v>
      </c>
      <c r="CT134" s="37" t="n">
        <f aca="false">SUMIF(③기타_가정!$N$543:$N$545,CT6,③기타_가정!$E$543:$E$545)</f>
        <v>0</v>
      </c>
      <c r="CU134" s="37" t="n">
        <f aca="false">SUMIF(③기타_가정!$N$543:$N$545,CU6,③기타_가정!$E$543:$E$545)</f>
        <v>0</v>
      </c>
      <c r="CV134" s="37" t="n">
        <f aca="false">SUMIF(③기타_가정!$N$543:$N$545,CV6,③기타_가정!$E$543:$E$545)</f>
        <v>0</v>
      </c>
      <c r="CW134" s="37" t="n">
        <f aca="false">SUMIF(③기타_가정!$N$543:$N$545,CW6,③기타_가정!$E$543:$E$545)</f>
        <v>0</v>
      </c>
      <c r="CX134" s="37" t="n">
        <f aca="false">SUMIF(③기타_가정!$N$543:$N$545,CX6,③기타_가정!$E$543:$E$545)</f>
        <v>0</v>
      </c>
      <c r="CY134" s="37" t="n">
        <f aca="false">SUMIF(③기타_가정!$N$543:$N$545,CY6,③기타_가정!$E$543:$E$545)</f>
        <v>0</v>
      </c>
      <c r="CZ134" s="37" t="n">
        <f aca="false">SUMIF(③기타_가정!$N$543:$N$545,CZ6,③기타_가정!$E$543:$E$545)</f>
        <v>0</v>
      </c>
      <c r="DA134" s="37" t="n">
        <f aca="false">SUMIF(③기타_가정!$N$543:$N$545,DA6,③기타_가정!$E$543:$E$545)</f>
        <v>0</v>
      </c>
      <c r="DB134" s="37" t="n">
        <f aca="false">SUMIF(③기타_가정!$N$543:$N$545,DB6,③기타_가정!$E$543:$E$545)</f>
        <v>0</v>
      </c>
      <c r="DC134" s="37" t="n">
        <f aca="false">SUMIF(③기타_가정!$N$543:$N$545,DC6,③기타_가정!$E$543:$E$545)</f>
        <v>0</v>
      </c>
      <c r="DD134" s="37" t="n">
        <f aca="false">SUMIF(③기타_가정!$N$543:$N$545,DD6,③기타_가정!$E$543:$E$545)</f>
        <v>0</v>
      </c>
      <c r="DE134" s="37" t="n">
        <f aca="false">SUMIF(③기타_가정!$N$543:$N$545,DE6,③기타_가정!$E$543:$E$545)</f>
        <v>0</v>
      </c>
      <c r="DF134" s="37" t="n">
        <f aca="false">SUMIF(③기타_가정!$N$543:$N$545,DF6,③기타_가정!$E$543:$E$545)</f>
        <v>0</v>
      </c>
      <c r="DG134" s="37" t="n">
        <f aca="false">SUMIF(③기타_가정!$N$543:$N$545,DG6,③기타_가정!$E$543:$E$545)</f>
        <v>0</v>
      </c>
      <c r="DH134" s="37" t="n">
        <f aca="false">SUMIF(③기타_가정!$N$543:$N$545,DH6,③기타_가정!$E$543:$E$545)</f>
        <v>0</v>
      </c>
      <c r="DI134" s="37" t="n">
        <f aca="false">SUMIF(③기타_가정!$N$543:$N$545,DI6,③기타_가정!$E$543:$E$545)</f>
        <v>0</v>
      </c>
      <c r="DJ134" s="37" t="n">
        <f aca="false">SUMIF(③기타_가정!$N$543:$N$545,DJ6,③기타_가정!$E$543:$E$545)</f>
        <v>0</v>
      </c>
      <c r="DK134" s="37" t="n">
        <f aca="false">SUMIF(③기타_가정!$N$543:$N$545,DK6,③기타_가정!$E$543:$E$545)</f>
        <v>0</v>
      </c>
      <c r="DL134" s="37" t="n">
        <f aca="false">SUMIF(③기타_가정!$N$543:$N$545,DL6,③기타_가정!$E$543:$E$545)</f>
        <v>0</v>
      </c>
      <c r="DM134" s="37" t="n">
        <f aca="false">SUMIF(③기타_가정!$N$543:$N$545,DM6,③기타_가정!$E$543:$E$545)</f>
        <v>0</v>
      </c>
      <c r="DN134" s="37" t="n">
        <f aca="false">SUMIF(③기타_가정!$N$543:$N$545,DN6,③기타_가정!$E$543:$E$545)</f>
        <v>0</v>
      </c>
      <c r="DO134" s="37" t="n">
        <f aca="false">SUMIF(③기타_가정!$N$543:$N$545,DO6,③기타_가정!$E$543:$E$545)</f>
        <v>0</v>
      </c>
      <c r="DP134" s="37" t="n">
        <f aca="false">SUMIF(③기타_가정!$N$543:$N$545,DP6,③기타_가정!$E$543:$E$545)</f>
        <v>0</v>
      </c>
      <c r="DQ134" s="37" t="n">
        <f aca="false">SUMIF(③기타_가정!$N$543:$N$545,DQ6,③기타_가정!$E$543:$E$545)</f>
        <v>0</v>
      </c>
      <c r="DR134" s="37" t="n">
        <f aca="false">SUMIF(③기타_가정!$N$543:$N$545,DR6,③기타_가정!$E$543:$E$545)</f>
        <v>0</v>
      </c>
      <c r="DS134" s="37" t="n">
        <f aca="false">SUMIF(③기타_가정!$N$543:$N$545,DS6,③기타_가정!$E$543:$E$545)</f>
        <v>0</v>
      </c>
      <c r="DT134" s="37" t="n">
        <f aca="false">SUMIF(③기타_가정!$N$543:$N$545,DT6,③기타_가정!$E$543:$E$545)</f>
        <v>0</v>
      </c>
      <c r="DU134" s="37" t="n">
        <f aca="false">SUMIF(③기타_가정!$N$543:$N$545,DU6,③기타_가정!$E$543:$E$545)</f>
        <v>0</v>
      </c>
      <c r="DV134" s="37" t="n">
        <f aca="false">SUMIF(③기타_가정!$N$543:$N$545,DV6,③기타_가정!$E$543:$E$545)</f>
        <v>0</v>
      </c>
      <c r="DW134" s="37" t="n">
        <f aca="false">SUMIF(③기타_가정!$N$543:$N$545,DW6,③기타_가정!$E$543:$E$545)</f>
        <v>0</v>
      </c>
      <c r="DX134" s="37" t="n">
        <f aca="false">SUMIF(③기타_가정!$N$543:$N$545,DX6,③기타_가정!$E$543:$E$545)</f>
        <v>0</v>
      </c>
      <c r="DY134" s="37" t="n">
        <f aca="false">SUMIF(③기타_가정!$N$543:$N$545,DY6,③기타_가정!$E$543:$E$545)</f>
        <v>0</v>
      </c>
      <c r="DZ134" s="37" t="n">
        <f aca="false">SUMIF(③기타_가정!$N$543:$N$545,DZ6,③기타_가정!$E$543:$E$545)</f>
        <v>0</v>
      </c>
      <c r="EA134" s="37" t="n">
        <f aca="false">SUMIF(③기타_가정!$N$543:$N$545,EA6,③기타_가정!$E$543:$E$545)</f>
        <v>0</v>
      </c>
      <c r="EB134" s="37" t="n">
        <f aca="false">SUMIF(③기타_가정!$N$543:$N$545,EB6,③기타_가정!$E$543:$E$545)</f>
        <v>0</v>
      </c>
      <c r="EC134" s="37" t="n">
        <f aca="false">SUMIF(③기타_가정!$N$543:$N$545,EC6,③기타_가정!$E$543:$E$545)</f>
        <v>0</v>
      </c>
      <c r="ED134" s="37" t="n">
        <f aca="false">SUMIF(③기타_가정!$N$543:$N$545,ED6,③기타_가정!$E$543:$E$545)</f>
        <v>0</v>
      </c>
      <c r="EE134" s="37" t="n">
        <f aca="false">SUMIF(③기타_가정!$N$543:$N$545,EE6,③기타_가정!$E$543:$E$545)</f>
        <v>0</v>
      </c>
      <c r="EF134" s="37" t="n">
        <f aca="false">SUMIF(③기타_가정!$N$543:$N$545,EF6,③기타_가정!$E$543:$E$545)</f>
        <v>0</v>
      </c>
    </row>
    <row r="135" customFormat="false" ht="15" hidden="false" customHeight="false" outlineLevel="0" collapsed="false">
      <c r="A135" s="36" t="s">
        <v>669</v>
      </c>
      <c r="B135" s="278" t="s">
        <v>21</v>
      </c>
      <c r="C135" s="279" t="n">
        <f aca="false">SUM(E135:EF135)</f>
        <v>0</v>
      </c>
      <c r="E135" s="37" t="n">
        <f aca="false">SUMPRODUCT((③기타_가정!$N$543:$N$545&lt;E6)*(③기타_가정!$O$543:$O$545&gt;=E6)*③기타_가정!$E$543:$E$545*③기타_가정!$K$543:$K$545)/12</f>
        <v>0</v>
      </c>
      <c r="F135" s="37" t="n">
        <f aca="false">SUMPRODUCT((③기타_가정!$N$543:$N$545&lt;F6)*(③기타_가정!$O$543:$O$545&gt;=F6)*③기타_가정!$E$543:$E$545*③기타_가정!$K$543:$K$545)/12</f>
        <v>0</v>
      </c>
      <c r="G135" s="37" t="n">
        <f aca="false">SUMPRODUCT((③기타_가정!$N$543:$N$545&lt;G6)*(③기타_가정!$O$543:$O$545&gt;=G6)*③기타_가정!$E$543:$E$545*③기타_가정!$K$543:$K$545)/12</f>
        <v>0</v>
      </c>
      <c r="H135" s="37" t="n">
        <f aca="false">SUMPRODUCT((③기타_가정!$N$543:$N$545&lt;H6)*(③기타_가정!$O$543:$O$545&gt;=H6)*③기타_가정!$E$543:$E$545*③기타_가정!$K$543:$K$545)/12</f>
        <v>0</v>
      </c>
      <c r="I135" s="37" t="n">
        <f aca="false">SUMPRODUCT((③기타_가정!$N$543:$N$545&lt;I6)*(③기타_가정!$O$543:$O$545&gt;=I6)*③기타_가정!$E$543:$E$545*③기타_가정!$K$543:$K$545)/12</f>
        <v>0</v>
      </c>
      <c r="J135" s="37" t="n">
        <f aca="false">SUMPRODUCT((③기타_가정!$N$543:$N$545&lt;J6)*(③기타_가정!$O$543:$O$545&gt;=J6)*③기타_가정!$E$543:$E$545*③기타_가정!$K$543:$K$545)/12</f>
        <v>0</v>
      </c>
      <c r="K135" s="37" t="n">
        <f aca="false">SUMPRODUCT((③기타_가정!$N$543:$N$545&lt;K6)*(③기타_가정!$O$543:$O$545&gt;=K6)*③기타_가정!$E$543:$E$545*③기타_가정!$K$543:$K$545)/12</f>
        <v>0</v>
      </c>
      <c r="L135" s="37" t="n">
        <f aca="false">SUMPRODUCT((③기타_가정!$N$543:$N$545&lt;L6)*(③기타_가정!$O$543:$O$545&gt;=L6)*③기타_가정!$E$543:$E$545*③기타_가정!$K$543:$K$545)/12</f>
        <v>0</v>
      </c>
      <c r="M135" s="37" t="n">
        <f aca="false">SUMPRODUCT((③기타_가정!$N$543:$N$545&lt;M6)*(③기타_가정!$O$543:$O$545&gt;=M6)*③기타_가정!$E$543:$E$545*③기타_가정!$K$543:$K$545)/12</f>
        <v>0</v>
      </c>
      <c r="N135" s="37" t="n">
        <f aca="false">SUMPRODUCT((③기타_가정!$N$543:$N$545&lt;N6)*(③기타_가정!$O$543:$O$545&gt;=N6)*③기타_가정!$E$543:$E$545*③기타_가정!$K$543:$K$545)/12</f>
        <v>0</v>
      </c>
      <c r="O135" s="37" t="n">
        <f aca="false">SUMPRODUCT((③기타_가정!$N$543:$N$545&lt;O6)*(③기타_가정!$O$543:$O$545&gt;=O6)*③기타_가정!$E$543:$E$545*③기타_가정!$K$543:$K$545)/12</f>
        <v>0</v>
      </c>
      <c r="P135" s="37" t="n">
        <f aca="false">SUMPRODUCT((③기타_가정!$N$543:$N$545&lt;P6)*(③기타_가정!$O$543:$O$545&gt;=P6)*③기타_가정!$E$543:$E$545*③기타_가정!$K$543:$K$545)/12</f>
        <v>0</v>
      </c>
      <c r="Q135" s="37" t="n">
        <f aca="false">SUMPRODUCT((③기타_가정!$N$543:$N$545&lt;Q6)*(③기타_가정!$O$543:$O$545&gt;=Q6)*③기타_가정!$E$543:$E$545*③기타_가정!$K$543:$K$545)/12</f>
        <v>0</v>
      </c>
      <c r="R135" s="37" t="n">
        <f aca="false">SUMPRODUCT((③기타_가정!$N$543:$N$545&lt;R6)*(③기타_가정!$O$543:$O$545&gt;=R6)*③기타_가정!$E$543:$E$545*③기타_가정!$K$543:$K$545)/12</f>
        <v>0</v>
      </c>
      <c r="S135" s="37" t="n">
        <f aca="false">SUMPRODUCT((③기타_가정!$N$543:$N$545&lt;S6)*(③기타_가정!$O$543:$O$545&gt;=S6)*③기타_가정!$E$543:$E$545*③기타_가정!$K$543:$K$545)/12</f>
        <v>0</v>
      </c>
      <c r="T135" s="37" t="n">
        <f aca="false">SUMPRODUCT((③기타_가정!$N$543:$N$545&lt;T6)*(③기타_가정!$O$543:$O$545&gt;=T6)*③기타_가정!$E$543:$E$545*③기타_가정!$K$543:$K$545)/12</f>
        <v>0</v>
      </c>
      <c r="U135" s="37" t="n">
        <f aca="false">SUMPRODUCT((③기타_가정!$N$543:$N$545&lt;U6)*(③기타_가정!$O$543:$O$545&gt;=U6)*③기타_가정!$E$543:$E$545*③기타_가정!$K$543:$K$545)/12</f>
        <v>0</v>
      </c>
      <c r="V135" s="37" t="n">
        <f aca="false">SUMPRODUCT((③기타_가정!$N$543:$N$545&lt;V6)*(③기타_가정!$O$543:$O$545&gt;=V6)*③기타_가정!$E$543:$E$545*③기타_가정!$K$543:$K$545)/12</f>
        <v>0</v>
      </c>
      <c r="W135" s="37" t="n">
        <f aca="false">SUMPRODUCT((③기타_가정!$N$543:$N$545&lt;W6)*(③기타_가정!$O$543:$O$545&gt;=W6)*③기타_가정!$E$543:$E$545*③기타_가정!$K$543:$K$545)/12</f>
        <v>0</v>
      </c>
      <c r="X135" s="37" t="n">
        <f aca="false">SUMPRODUCT((③기타_가정!$N$543:$N$545&lt;X6)*(③기타_가정!$O$543:$O$545&gt;=X6)*③기타_가정!$E$543:$E$545*③기타_가정!$K$543:$K$545)/12</f>
        <v>0</v>
      </c>
      <c r="Y135" s="37" t="n">
        <f aca="false">SUMPRODUCT((③기타_가정!$N$543:$N$545&lt;Y6)*(③기타_가정!$O$543:$O$545&gt;=Y6)*③기타_가정!$E$543:$E$545*③기타_가정!$K$543:$K$545)/12</f>
        <v>0</v>
      </c>
      <c r="Z135" s="37" t="n">
        <f aca="false">SUMPRODUCT((③기타_가정!$N$543:$N$545&lt;Z6)*(③기타_가정!$O$543:$O$545&gt;=Z6)*③기타_가정!$E$543:$E$545*③기타_가정!$K$543:$K$545)/12</f>
        <v>0</v>
      </c>
      <c r="AA135" s="37" t="n">
        <f aca="false">SUMPRODUCT((③기타_가정!$N$543:$N$545&lt;AA6)*(③기타_가정!$O$543:$O$545&gt;=AA6)*③기타_가정!$E$543:$E$545*③기타_가정!$K$543:$K$545)/12</f>
        <v>0</v>
      </c>
      <c r="AB135" s="37" t="n">
        <f aca="false">SUMPRODUCT((③기타_가정!$N$543:$N$545&lt;AB6)*(③기타_가정!$O$543:$O$545&gt;=AB6)*③기타_가정!$E$543:$E$545*③기타_가정!$K$543:$K$545)/12</f>
        <v>0</v>
      </c>
      <c r="AC135" s="37" t="n">
        <f aca="false">SUMPRODUCT((③기타_가정!$N$543:$N$545&lt;AC6)*(③기타_가정!$O$543:$O$545&gt;=AC6)*③기타_가정!$E$543:$E$545*③기타_가정!$K$543:$K$545)/12</f>
        <v>0</v>
      </c>
      <c r="AD135" s="37" t="n">
        <f aca="false">SUMPRODUCT((③기타_가정!$N$543:$N$545&lt;AD6)*(③기타_가정!$O$543:$O$545&gt;=AD6)*③기타_가정!$E$543:$E$545*③기타_가정!$K$543:$K$545)/12</f>
        <v>0</v>
      </c>
      <c r="AE135" s="37" t="n">
        <f aca="false">SUMPRODUCT((③기타_가정!$N$543:$N$545&lt;AE6)*(③기타_가정!$O$543:$O$545&gt;=AE6)*③기타_가정!$E$543:$E$545*③기타_가정!$K$543:$K$545)/12</f>
        <v>0</v>
      </c>
      <c r="AF135" s="37" t="n">
        <f aca="false">SUMPRODUCT((③기타_가정!$N$543:$N$545&lt;AF6)*(③기타_가정!$O$543:$O$545&gt;=AF6)*③기타_가정!$E$543:$E$545*③기타_가정!$K$543:$K$545)/12</f>
        <v>0</v>
      </c>
      <c r="AG135" s="37" t="n">
        <f aca="false">SUMPRODUCT((③기타_가정!$N$543:$N$545&lt;AG6)*(③기타_가정!$O$543:$O$545&gt;=AG6)*③기타_가정!$E$543:$E$545*③기타_가정!$K$543:$K$545)/12</f>
        <v>0</v>
      </c>
      <c r="AH135" s="37" t="n">
        <f aca="false">SUMPRODUCT((③기타_가정!$N$543:$N$545&lt;AH6)*(③기타_가정!$O$543:$O$545&gt;=AH6)*③기타_가정!$E$543:$E$545*③기타_가정!$K$543:$K$545)/12</f>
        <v>0</v>
      </c>
      <c r="AI135" s="37" t="n">
        <f aca="false">SUMPRODUCT((③기타_가정!$N$543:$N$545&lt;AI6)*(③기타_가정!$O$543:$O$545&gt;=AI6)*③기타_가정!$E$543:$E$545*③기타_가정!$K$543:$K$545)/12</f>
        <v>0</v>
      </c>
      <c r="AJ135" s="37" t="n">
        <f aca="false">SUMPRODUCT((③기타_가정!$N$543:$N$545&lt;AJ6)*(③기타_가정!$O$543:$O$545&gt;=AJ6)*③기타_가정!$E$543:$E$545*③기타_가정!$K$543:$K$545)/12</f>
        <v>0</v>
      </c>
      <c r="AK135" s="37" t="n">
        <f aca="false">SUMPRODUCT((③기타_가정!$N$543:$N$545&lt;AK6)*(③기타_가정!$O$543:$O$545&gt;=AK6)*③기타_가정!$E$543:$E$545*③기타_가정!$K$543:$K$545)/12</f>
        <v>0</v>
      </c>
      <c r="AL135" s="37" t="n">
        <f aca="false">SUMPRODUCT((③기타_가정!$N$543:$N$545&lt;AL6)*(③기타_가정!$O$543:$O$545&gt;=AL6)*③기타_가정!$E$543:$E$545*③기타_가정!$K$543:$K$545)/12</f>
        <v>0</v>
      </c>
      <c r="AM135" s="37" t="n">
        <f aca="false">SUMPRODUCT((③기타_가정!$N$543:$N$545&lt;AM6)*(③기타_가정!$O$543:$O$545&gt;=AM6)*③기타_가정!$E$543:$E$545*③기타_가정!$K$543:$K$545)/12</f>
        <v>0</v>
      </c>
      <c r="AN135" s="37" t="n">
        <f aca="false">SUMPRODUCT((③기타_가정!$N$543:$N$545&lt;AN6)*(③기타_가정!$O$543:$O$545&gt;=AN6)*③기타_가정!$E$543:$E$545*③기타_가정!$K$543:$K$545)/12</f>
        <v>0</v>
      </c>
      <c r="AO135" s="37" t="n">
        <f aca="false">SUMPRODUCT((③기타_가정!$N$543:$N$545&lt;AO6)*(③기타_가정!$O$543:$O$545&gt;=AO6)*③기타_가정!$E$543:$E$545*③기타_가정!$K$543:$K$545)/12</f>
        <v>0</v>
      </c>
      <c r="AP135" s="37" t="n">
        <f aca="false">SUMPRODUCT((③기타_가정!$N$543:$N$545&lt;AP6)*(③기타_가정!$O$543:$O$545&gt;=AP6)*③기타_가정!$E$543:$E$545*③기타_가정!$K$543:$K$545)/12</f>
        <v>0</v>
      </c>
      <c r="AQ135" s="37" t="n">
        <f aca="false">SUMPRODUCT((③기타_가정!$N$543:$N$545&lt;AQ6)*(③기타_가정!$O$543:$O$545&gt;=AQ6)*③기타_가정!$E$543:$E$545*③기타_가정!$K$543:$K$545)/12</f>
        <v>0</v>
      </c>
      <c r="AR135" s="37" t="n">
        <f aca="false">SUMPRODUCT((③기타_가정!$N$543:$N$545&lt;AR6)*(③기타_가정!$O$543:$O$545&gt;=AR6)*③기타_가정!$E$543:$E$545*③기타_가정!$K$543:$K$545)/12</f>
        <v>0</v>
      </c>
      <c r="AS135" s="37" t="n">
        <f aca="false">SUMPRODUCT((③기타_가정!$N$543:$N$545&lt;AS6)*(③기타_가정!$O$543:$O$545&gt;=AS6)*③기타_가정!$E$543:$E$545*③기타_가정!$K$543:$K$545)/12</f>
        <v>0</v>
      </c>
      <c r="AT135" s="37" t="n">
        <f aca="false">SUMPRODUCT((③기타_가정!$N$543:$N$545&lt;AT6)*(③기타_가정!$O$543:$O$545&gt;=AT6)*③기타_가정!$E$543:$E$545*③기타_가정!$K$543:$K$545)/12</f>
        <v>0</v>
      </c>
      <c r="AU135" s="37" t="n">
        <f aca="false">SUMPRODUCT((③기타_가정!$N$543:$N$545&lt;AU6)*(③기타_가정!$O$543:$O$545&gt;=AU6)*③기타_가정!$E$543:$E$545*③기타_가정!$K$543:$K$545)/12</f>
        <v>0</v>
      </c>
      <c r="AV135" s="37" t="n">
        <f aca="false">SUMPRODUCT((③기타_가정!$N$543:$N$545&lt;AV6)*(③기타_가정!$O$543:$O$545&gt;=AV6)*③기타_가정!$E$543:$E$545*③기타_가정!$K$543:$K$545)/12</f>
        <v>0</v>
      </c>
      <c r="AW135" s="37" t="n">
        <f aca="false">SUMPRODUCT((③기타_가정!$N$543:$N$545&lt;AW6)*(③기타_가정!$O$543:$O$545&gt;=AW6)*③기타_가정!$E$543:$E$545*③기타_가정!$K$543:$K$545)/12</f>
        <v>0</v>
      </c>
      <c r="AX135" s="37" t="n">
        <f aca="false">SUMPRODUCT((③기타_가정!$N$543:$N$545&lt;AX6)*(③기타_가정!$O$543:$O$545&gt;=AX6)*③기타_가정!$E$543:$E$545*③기타_가정!$K$543:$K$545)/12</f>
        <v>0</v>
      </c>
      <c r="AY135" s="37" t="n">
        <f aca="false">SUMPRODUCT((③기타_가정!$N$543:$N$545&lt;AY6)*(③기타_가정!$O$543:$O$545&gt;=AY6)*③기타_가정!$E$543:$E$545*③기타_가정!$K$543:$K$545)/12</f>
        <v>0</v>
      </c>
      <c r="AZ135" s="37" t="n">
        <f aca="false">SUMPRODUCT((③기타_가정!$N$543:$N$545&lt;AZ6)*(③기타_가정!$O$543:$O$545&gt;=AZ6)*③기타_가정!$E$543:$E$545*③기타_가정!$K$543:$K$545)/12</f>
        <v>0</v>
      </c>
      <c r="BA135" s="37" t="n">
        <f aca="false">SUMPRODUCT((③기타_가정!$N$543:$N$545&lt;BA6)*(③기타_가정!$O$543:$O$545&gt;=BA6)*③기타_가정!$E$543:$E$545*③기타_가정!$K$543:$K$545)/12</f>
        <v>0</v>
      </c>
      <c r="BB135" s="37" t="n">
        <f aca="false">SUMPRODUCT((③기타_가정!$N$543:$N$545&lt;BB6)*(③기타_가정!$O$543:$O$545&gt;=BB6)*③기타_가정!$E$543:$E$545*③기타_가정!$K$543:$K$545)/12</f>
        <v>0</v>
      </c>
      <c r="BC135" s="37" t="n">
        <f aca="false">SUMPRODUCT((③기타_가정!$N$543:$N$545&lt;BC6)*(③기타_가정!$O$543:$O$545&gt;=BC6)*③기타_가정!$E$543:$E$545*③기타_가정!$K$543:$K$545)/12</f>
        <v>0</v>
      </c>
      <c r="BD135" s="37" t="n">
        <f aca="false">SUMPRODUCT((③기타_가정!$N$543:$N$545&lt;BD6)*(③기타_가정!$O$543:$O$545&gt;=BD6)*③기타_가정!$E$543:$E$545*③기타_가정!$K$543:$K$545)/12</f>
        <v>0</v>
      </c>
      <c r="BE135" s="37" t="n">
        <f aca="false">SUMPRODUCT((③기타_가정!$N$543:$N$545&lt;BE6)*(③기타_가정!$O$543:$O$545&gt;=BE6)*③기타_가정!$E$543:$E$545*③기타_가정!$K$543:$K$545)/12</f>
        <v>0</v>
      </c>
      <c r="BF135" s="37" t="n">
        <f aca="false">SUMPRODUCT((③기타_가정!$N$543:$N$545&lt;BF6)*(③기타_가정!$O$543:$O$545&gt;=BF6)*③기타_가정!$E$543:$E$545*③기타_가정!$K$543:$K$545)/12</f>
        <v>0</v>
      </c>
      <c r="BG135" s="37" t="n">
        <f aca="false">SUMPRODUCT((③기타_가정!$N$543:$N$545&lt;BG6)*(③기타_가정!$O$543:$O$545&gt;=BG6)*③기타_가정!$E$543:$E$545*③기타_가정!$K$543:$K$545)/12</f>
        <v>0</v>
      </c>
      <c r="BH135" s="37" t="n">
        <f aca="false">SUMPRODUCT((③기타_가정!$N$543:$N$545&lt;BH6)*(③기타_가정!$O$543:$O$545&gt;=BH6)*③기타_가정!$E$543:$E$545*③기타_가정!$K$543:$K$545)/12</f>
        <v>0</v>
      </c>
      <c r="BI135" s="37" t="n">
        <f aca="false">SUMPRODUCT((③기타_가정!$N$543:$N$545&lt;BI6)*(③기타_가정!$O$543:$O$545&gt;=BI6)*③기타_가정!$E$543:$E$545*③기타_가정!$K$543:$K$545)/12</f>
        <v>0</v>
      </c>
      <c r="BJ135" s="37" t="n">
        <f aca="false">SUMPRODUCT((③기타_가정!$N$543:$N$545&lt;BJ6)*(③기타_가정!$O$543:$O$545&gt;=BJ6)*③기타_가정!$E$543:$E$545*③기타_가정!$K$543:$K$545)/12</f>
        <v>0</v>
      </c>
      <c r="BK135" s="37" t="n">
        <f aca="false">SUMPRODUCT((③기타_가정!$N$543:$N$545&lt;BK6)*(③기타_가정!$O$543:$O$545&gt;=BK6)*③기타_가정!$E$543:$E$545*③기타_가정!$K$543:$K$545)/12</f>
        <v>0</v>
      </c>
      <c r="BL135" s="37" t="n">
        <f aca="false">SUMPRODUCT((③기타_가정!$N$543:$N$545&lt;BL6)*(③기타_가정!$O$543:$O$545&gt;=BL6)*③기타_가정!$E$543:$E$545*③기타_가정!$K$543:$K$545)/12</f>
        <v>0</v>
      </c>
      <c r="BM135" s="37" t="n">
        <f aca="false">SUMPRODUCT((③기타_가정!$N$543:$N$545&lt;BM6)*(③기타_가정!$O$543:$O$545&gt;=BM6)*③기타_가정!$E$543:$E$545*③기타_가정!$K$543:$K$545)/12</f>
        <v>0</v>
      </c>
      <c r="BN135" s="37" t="n">
        <f aca="false">SUMPRODUCT((③기타_가정!$N$543:$N$545&lt;BN6)*(③기타_가정!$O$543:$O$545&gt;=BN6)*③기타_가정!$E$543:$E$545*③기타_가정!$K$543:$K$545)/12</f>
        <v>0</v>
      </c>
      <c r="BO135" s="37" t="n">
        <f aca="false">SUMPRODUCT((③기타_가정!$N$543:$N$545&lt;BO6)*(③기타_가정!$O$543:$O$545&gt;=BO6)*③기타_가정!$E$543:$E$545*③기타_가정!$K$543:$K$545)/12</f>
        <v>0</v>
      </c>
      <c r="BP135" s="37" t="n">
        <f aca="false">SUMPRODUCT((③기타_가정!$N$543:$N$545&lt;BP6)*(③기타_가정!$O$543:$O$545&gt;=BP6)*③기타_가정!$E$543:$E$545*③기타_가정!$K$543:$K$545)/12</f>
        <v>0</v>
      </c>
      <c r="BQ135" s="37" t="n">
        <f aca="false">SUMPRODUCT((③기타_가정!$N$543:$N$545&lt;BQ6)*(③기타_가정!$O$543:$O$545&gt;=BQ6)*③기타_가정!$E$543:$E$545*③기타_가정!$K$543:$K$545)/12</f>
        <v>0</v>
      </c>
      <c r="BR135" s="37" t="n">
        <f aca="false">SUMPRODUCT((③기타_가정!$N$543:$N$545&lt;BR6)*(③기타_가정!$O$543:$O$545&gt;=BR6)*③기타_가정!$E$543:$E$545*③기타_가정!$K$543:$K$545)/12</f>
        <v>0</v>
      </c>
      <c r="BS135" s="37" t="n">
        <f aca="false">SUMPRODUCT((③기타_가정!$N$543:$N$545&lt;BS6)*(③기타_가정!$O$543:$O$545&gt;=BS6)*③기타_가정!$E$543:$E$545*③기타_가정!$K$543:$K$545)/12</f>
        <v>0</v>
      </c>
      <c r="BT135" s="37" t="n">
        <f aca="false">SUMPRODUCT((③기타_가정!$N$543:$N$545&lt;BT6)*(③기타_가정!$O$543:$O$545&gt;=BT6)*③기타_가정!$E$543:$E$545*③기타_가정!$K$543:$K$545)/12</f>
        <v>0</v>
      </c>
      <c r="BU135" s="37" t="n">
        <f aca="false">SUMPRODUCT((③기타_가정!$N$543:$N$545&lt;BU6)*(③기타_가정!$O$543:$O$545&gt;=BU6)*③기타_가정!$E$543:$E$545*③기타_가정!$K$543:$K$545)/12</f>
        <v>0</v>
      </c>
      <c r="BV135" s="37" t="n">
        <f aca="false">SUMPRODUCT((③기타_가정!$N$543:$N$545&lt;BV6)*(③기타_가정!$O$543:$O$545&gt;=BV6)*③기타_가정!$E$543:$E$545*③기타_가정!$K$543:$K$545)/12</f>
        <v>0</v>
      </c>
      <c r="BW135" s="37" t="n">
        <f aca="false">SUMPRODUCT((③기타_가정!$N$543:$N$545&lt;BW6)*(③기타_가정!$O$543:$O$545&gt;=BW6)*③기타_가정!$E$543:$E$545*③기타_가정!$K$543:$K$545)/12</f>
        <v>0</v>
      </c>
      <c r="BX135" s="37" t="n">
        <f aca="false">SUMPRODUCT((③기타_가정!$N$543:$N$545&lt;BX6)*(③기타_가정!$O$543:$O$545&gt;=BX6)*③기타_가정!$E$543:$E$545*③기타_가정!$K$543:$K$545)/12</f>
        <v>0</v>
      </c>
      <c r="BY135" s="37" t="n">
        <f aca="false">SUMPRODUCT((③기타_가정!$N$543:$N$545&lt;BY6)*(③기타_가정!$O$543:$O$545&gt;=BY6)*③기타_가정!$E$543:$E$545*③기타_가정!$K$543:$K$545)/12</f>
        <v>0</v>
      </c>
      <c r="BZ135" s="37" t="n">
        <f aca="false">SUMPRODUCT((③기타_가정!$N$543:$N$545&lt;BZ6)*(③기타_가정!$O$543:$O$545&gt;=BZ6)*③기타_가정!$E$543:$E$545*③기타_가정!$K$543:$K$545)/12</f>
        <v>0</v>
      </c>
      <c r="CA135" s="37" t="n">
        <f aca="false">SUMPRODUCT((③기타_가정!$N$543:$N$545&lt;CA6)*(③기타_가정!$O$543:$O$545&gt;=CA6)*③기타_가정!$E$543:$E$545*③기타_가정!$K$543:$K$545)/12</f>
        <v>0</v>
      </c>
      <c r="CB135" s="37" t="n">
        <f aca="false">SUMPRODUCT((③기타_가정!$N$543:$N$545&lt;CB6)*(③기타_가정!$O$543:$O$545&gt;=CB6)*③기타_가정!$E$543:$E$545*③기타_가정!$K$543:$K$545)/12</f>
        <v>0</v>
      </c>
      <c r="CC135" s="37" t="n">
        <f aca="false">SUMPRODUCT((③기타_가정!$N$543:$N$545&lt;CC6)*(③기타_가정!$O$543:$O$545&gt;=CC6)*③기타_가정!$E$543:$E$545*③기타_가정!$K$543:$K$545)/12</f>
        <v>0</v>
      </c>
      <c r="CD135" s="37" t="n">
        <f aca="false">SUMPRODUCT((③기타_가정!$N$543:$N$545&lt;CD6)*(③기타_가정!$O$543:$O$545&gt;=CD6)*③기타_가정!$E$543:$E$545*③기타_가정!$K$543:$K$545)/12</f>
        <v>0</v>
      </c>
      <c r="CE135" s="37" t="n">
        <f aca="false">SUMPRODUCT((③기타_가정!$N$543:$N$545&lt;CE6)*(③기타_가정!$O$543:$O$545&gt;=CE6)*③기타_가정!$E$543:$E$545*③기타_가정!$K$543:$K$545)/12</f>
        <v>0</v>
      </c>
      <c r="CF135" s="37" t="n">
        <f aca="false">SUMPRODUCT((③기타_가정!$N$543:$N$545&lt;CF6)*(③기타_가정!$O$543:$O$545&gt;=CF6)*③기타_가정!$E$543:$E$545*③기타_가정!$K$543:$K$545)/12</f>
        <v>0</v>
      </c>
      <c r="CG135" s="37" t="n">
        <f aca="false">SUMPRODUCT((③기타_가정!$N$543:$N$545&lt;CG6)*(③기타_가정!$O$543:$O$545&gt;=CG6)*③기타_가정!$E$543:$E$545*③기타_가정!$K$543:$K$545)/12</f>
        <v>0</v>
      </c>
      <c r="CH135" s="37" t="n">
        <f aca="false">SUMPRODUCT((③기타_가정!$N$543:$N$545&lt;CH6)*(③기타_가정!$O$543:$O$545&gt;=CH6)*③기타_가정!$E$543:$E$545*③기타_가정!$K$543:$K$545)/12</f>
        <v>0</v>
      </c>
      <c r="CI135" s="37" t="n">
        <f aca="false">SUMPRODUCT((③기타_가정!$N$543:$N$545&lt;CI6)*(③기타_가정!$O$543:$O$545&gt;=CI6)*③기타_가정!$E$543:$E$545*③기타_가정!$K$543:$K$545)/12</f>
        <v>0</v>
      </c>
      <c r="CJ135" s="37" t="n">
        <f aca="false">SUMPRODUCT((③기타_가정!$N$543:$N$545&lt;CJ6)*(③기타_가정!$O$543:$O$545&gt;=CJ6)*③기타_가정!$E$543:$E$545*③기타_가정!$K$543:$K$545)/12</f>
        <v>0</v>
      </c>
      <c r="CK135" s="37" t="n">
        <f aca="false">SUMPRODUCT((③기타_가정!$N$543:$N$545&lt;CK6)*(③기타_가정!$O$543:$O$545&gt;=CK6)*③기타_가정!$E$543:$E$545*③기타_가정!$K$543:$K$545)/12</f>
        <v>0</v>
      </c>
      <c r="CL135" s="37" t="n">
        <f aca="false">SUMPRODUCT((③기타_가정!$N$543:$N$545&lt;CL6)*(③기타_가정!$O$543:$O$545&gt;=CL6)*③기타_가정!$E$543:$E$545*③기타_가정!$K$543:$K$545)/12</f>
        <v>0</v>
      </c>
      <c r="CM135" s="37" t="n">
        <f aca="false">SUMPRODUCT((③기타_가정!$N$543:$N$545&lt;CM6)*(③기타_가정!$O$543:$O$545&gt;=CM6)*③기타_가정!$E$543:$E$545*③기타_가정!$K$543:$K$545)/12</f>
        <v>0</v>
      </c>
      <c r="CN135" s="37" t="n">
        <f aca="false">SUMPRODUCT((③기타_가정!$N$543:$N$545&lt;CN6)*(③기타_가정!$O$543:$O$545&gt;=CN6)*③기타_가정!$E$543:$E$545*③기타_가정!$K$543:$K$545)/12</f>
        <v>0</v>
      </c>
      <c r="CO135" s="37" t="n">
        <f aca="false">SUMPRODUCT((③기타_가정!$N$543:$N$545&lt;CO6)*(③기타_가정!$O$543:$O$545&gt;=CO6)*③기타_가정!$E$543:$E$545*③기타_가정!$K$543:$K$545)/12</f>
        <v>0</v>
      </c>
      <c r="CP135" s="37" t="n">
        <f aca="false">SUMPRODUCT((③기타_가정!$N$543:$N$545&lt;CP6)*(③기타_가정!$O$543:$O$545&gt;=CP6)*③기타_가정!$E$543:$E$545*③기타_가정!$K$543:$K$545)/12</f>
        <v>0</v>
      </c>
      <c r="CQ135" s="37" t="n">
        <f aca="false">SUMPRODUCT((③기타_가정!$N$543:$N$545&lt;CQ6)*(③기타_가정!$O$543:$O$545&gt;=CQ6)*③기타_가정!$E$543:$E$545*③기타_가정!$K$543:$K$545)/12</f>
        <v>0</v>
      </c>
      <c r="CR135" s="37" t="n">
        <f aca="false">SUMPRODUCT((③기타_가정!$N$543:$N$545&lt;CR6)*(③기타_가정!$O$543:$O$545&gt;=CR6)*③기타_가정!$E$543:$E$545*③기타_가정!$K$543:$K$545)/12</f>
        <v>0</v>
      </c>
      <c r="CS135" s="37" t="n">
        <f aca="false">SUMPRODUCT((③기타_가정!$N$543:$N$545&lt;CS6)*(③기타_가정!$O$543:$O$545&gt;=CS6)*③기타_가정!$E$543:$E$545*③기타_가정!$K$543:$K$545)/12</f>
        <v>0</v>
      </c>
      <c r="CT135" s="37" t="n">
        <f aca="false">SUMPRODUCT((③기타_가정!$N$543:$N$545&lt;CT6)*(③기타_가정!$O$543:$O$545&gt;=CT6)*③기타_가정!$E$543:$E$545*③기타_가정!$K$543:$K$545)/12</f>
        <v>0</v>
      </c>
      <c r="CU135" s="37" t="n">
        <f aca="false">SUMPRODUCT((③기타_가정!$N$543:$N$545&lt;CU6)*(③기타_가정!$O$543:$O$545&gt;=CU6)*③기타_가정!$E$543:$E$545*③기타_가정!$K$543:$K$545)/12</f>
        <v>0</v>
      </c>
      <c r="CV135" s="37" t="n">
        <f aca="false">SUMPRODUCT((③기타_가정!$N$543:$N$545&lt;CV6)*(③기타_가정!$O$543:$O$545&gt;=CV6)*③기타_가정!$E$543:$E$545*③기타_가정!$K$543:$K$545)/12</f>
        <v>0</v>
      </c>
      <c r="CW135" s="37" t="n">
        <f aca="false">SUMPRODUCT((③기타_가정!$N$543:$N$545&lt;CW6)*(③기타_가정!$O$543:$O$545&gt;=CW6)*③기타_가정!$E$543:$E$545*③기타_가정!$K$543:$K$545)/12</f>
        <v>0</v>
      </c>
      <c r="CX135" s="37" t="n">
        <f aca="false">SUMPRODUCT((③기타_가정!$N$543:$N$545&lt;CX6)*(③기타_가정!$O$543:$O$545&gt;=CX6)*③기타_가정!$E$543:$E$545*③기타_가정!$K$543:$K$545)/12</f>
        <v>0</v>
      </c>
      <c r="CY135" s="37" t="n">
        <f aca="false">SUMPRODUCT((③기타_가정!$N$543:$N$545&lt;CY6)*(③기타_가정!$O$543:$O$545&gt;=CY6)*③기타_가정!$E$543:$E$545*③기타_가정!$K$543:$K$545)/12</f>
        <v>0</v>
      </c>
      <c r="CZ135" s="37" t="n">
        <f aca="false">SUMPRODUCT((③기타_가정!$N$543:$N$545&lt;CZ6)*(③기타_가정!$O$543:$O$545&gt;=CZ6)*③기타_가정!$E$543:$E$545*③기타_가정!$K$543:$K$545)/12</f>
        <v>0</v>
      </c>
      <c r="DA135" s="37" t="n">
        <f aca="false">SUMPRODUCT((③기타_가정!$N$543:$N$545&lt;DA6)*(③기타_가정!$O$543:$O$545&gt;=DA6)*③기타_가정!$E$543:$E$545*③기타_가정!$K$543:$K$545)/12</f>
        <v>0</v>
      </c>
      <c r="DB135" s="37" t="n">
        <f aca="false">SUMPRODUCT((③기타_가정!$N$543:$N$545&lt;DB6)*(③기타_가정!$O$543:$O$545&gt;=DB6)*③기타_가정!$E$543:$E$545*③기타_가정!$K$543:$K$545)/12</f>
        <v>0</v>
      </c>
      <c r="DC135" s="37" t="n">
        <f aca="false">SUMPRODUCT((③기타_가정!$N$543:$N$545&lt;DC6)*(③기타_가정!$O$543:$O$545&gt;=DC6)*③기타_가정!$E$543:$E$545*③기타_가정!$K$543:$K$545)/12</f>
        <v>0</v>
      </c>
      <c r="DD135" s="37" t="n">
        <f aca="false">SUMPRODUCT((③기타_가정!$N$543:$N$545&lt;DD6)*(③기타_가정!$O$543:$O$545&gt;=DD6)*③기타_가정!$E$543:$E$545*③기타_가정!$K$543:$K$545)/12</f>
        <v>0</v>
      </c>
      <c r="DE135" s="37" t="n">
        <f aca="false">SUMPRODUCT((③기타_가정!$N$543:$N$545&lt;DE6)*(③기타_가정!$O$543:$O$545&gt;=DE6)*③기타_가정!$E$543:$E$545*③기타_가정!$K$543:$K$545)/12</f>
        <v>0</v>
      </c>
      <c r="DF135" s="37" t="n">
        <f aca="false">SUMPRODUCT((③기타_가정!$N$543:$N$545&lt;DF6)*(③기타_가정!$O$543:$O$545&gt;=DF6)*③기타_가정!$E$543:$E$545*③기타_가정!$K$543:$K$545)/12</f>
        <v>0</v>
      </c>
      <c r="DG135" s="37" t="n">
        <f aca="false">SUMPRODUCT((③기타_가정!$N$543:$N$545&lt;DG6)*(③기타_가정!$O$543:$O$545&gt;=DG6)*③기타_가정!$E$543:$E$545*③기타_가정!$K$543:$K$545)/12</f>
        <v>0</v>
      </c>
      <c r="DH135" s="37" t="n">
        <f aca="false">SUMPRODUCT((③기타_가정!$N$543:$N$545&lt;DH6)*(③기타_가정!$O$543:$O$545&gt;=DH6)*③기타_가정!$E$543:$E$545*③기타_가정!$K$543:$K$545)/12</f>
        <v>0</v>
      </c>
      <c r="DI135" s="37" t="n">
        <f aca="false">SUMPRODUCT((③기타_가정!$N$543:$N$545&lt;DI6)*(③기타_가정!$O$543:$O$545&gt;=DI6)*③기타_가정!$E$543:$E$545*③기타_가정!$K$543:$K$545)/12</f>
        <v>0</v>
      </c>
      <c r="DJ135" s="37" t="n">
        <f aca="false">SUMPRODUCT((③기타_가정!$N$543:$N$545&lt;DJ6)*(③기타_가정!$O$543:$O$545&gt;=DJ6)*③기타_가정!$E$543:$E$545*③기타_가정!$K$543:$K$545)/12</f>
        <v>0</v>
      </c>
      <c r="DK135" s="37" t="n">
        <f aca="false">SUMPRODUCT((③기타_가정!$N$543:$N$545&lt;DK6)*(③기타_가정!$O$543:$O$545&gt;=DK6)*③기타_가정!$E$543:$E$545*③기타_가정!$K$543:$K$545)/12</f>
        <v>0</v>
      </c>
      <c r="DL135" s="37" t="n">
        <f aca="false">SUMPRODUCT((③기타_가정!$N$543:$N$545&lt;DL6)*(③기타_가정!$O$543:$O$545&gt;=DL6)*③기타_가정!$E$543:$E$545*③기타_가정!$K$543:$K$545)/12</f>
        <v>0</v>
      </c>
      <c r="DM135" s="37" t="n">
        <f aca="false">SUMPRODUCT((③기타_가정!$N$543:$N$545&lt;DM6)*(③기타_가정!$O$543:$O$545&gt;=DM6)*③기타_가정!$E$543:$E$545*③기타_가정!$K$543:$K$545)/12</f>
        <v>0</v>
      </c>
      <c r="DN135" s="37" t="n">
        <f aca="false">SUMPRODUCT((③기타_가정!$N$543:$N$545&lt;DN6)*(③기타_가정!$O$543:$O$545&gt;=DN6)*③기타_가정!$E$543:$E$545*③기타_가정!$K$543:$K$545)/12</f>
        <v>0</v>
      </c>
      <c r="DO135" s="37" t="n">
        <f aca="false">SUMPRODUCT((③기타_가정!$N$543:$N$545&lt;DO6)*(③기타_가정!$O$543:$O$545&gt;=DO6)*③기타_가정!$E$543:$E$545*③기타_가정!$K$543:$K$545)/12</f>
        <v>0</v>
      </c>
      <c r="DP135" s="37" t="n">
        <f aca="false">SUMPRODUCT((③기타_가정!$N$543:$N$545&lt;DP6)*(③기타_가정!$O$543:$O$545&gt;=DP6)*③기타_가정!$E$543:$E$545*③기타_가정!$K$543:$K$545)/12</f>
        <v>0</v>
      </c>
      <c r="DQ135" s="37" t="n">
        <f aca="false">SUMPRODUCT((③기타_가정!$N$543:$N$545&lt;DQ6)*(③기타_가정!$O$543:$O$545&gt;=DQ6)*③기타_가정!$E$543:$E$545*③기타_가정!$K$543:$K$545)/12</f>
        <v>0</v>
      </c>
      <c r="DR135" s="37" t="n">
        <f aca="false">SUMPRODUCT((③기타_가정!$N$543:$N$545&lt;DR6)*(③기타_가정!$O$543:$O$545&gt;=DR6)*③기타_가정!$E$543:$E$545*③기타_가정!$K$543:$K$545)/12</f>
        <v>0</v>
      </c>
      <c r="DS135" s="37" t="n">
        <f aca="false">SUMPRODUCT((③기타_가정!$N$543:$N$545&lt;DS6)*(③기타_가정!$O$543:$O$545&gt;=DS6)*③기타_가정!$E$543:$E$545*③기타_가정!$K$543:$K$545)/12</f>
        <v>0</v>
      </c>
      <c r="DT135" s="37" t="n">
        <f aca="false">SUMPRODUCT((③기타_가정!$N$543:$N$545&lt;DT6)*(③기타_가정!$O$543:$O$545&gt;=DT6)*③기타_가정!$E$543:$E$545*③기타_가정!$K$543:$K$545)/12</f>
        <v>0</v>
      </c>
      <c r="DU135" s="37" t="n">
        <f aca="false">SUMPRODUCT((③기타_가정!$N$543:$N$545&lt;DU6)*(③기타_가정!$O$543:$O$545&gt;=DU6)*③기타_가정!$E$543:$E$545*③기타_가정!$K$543:$K$545)/12</f>
        <v>0</v>
      </c>
      <c r="DV135" s="37" t="n">
        <f aca="false">SUMPRODUCT((③기타_가정!$N$543:$N$545&lt;DV6)*(③기타_가정!$O$543:$O$545&gt;=DV6)*③기타_가정!$E$543:$E$545*③기타_가정!$K$543:$K$545)/12</f>
        <v>0</v>
      </c>
      <c r="DW135" s="37" t="n">
        <f aca="false">SUMPRODUCT((③기타_가정!$N$543:$N$545&lt;DW6)*(③기타_가정!$O$543:$O$545&gt;=DW6)*③기타_가정!$E$543:$E$545*③기타_가정!$K$543:$K$545)/12</f>
        <v>0</v>
      </c>
      <c r="DX135" s="37" t="n">
        <f aca="false">SUMPRODUCT((③기타_가정!$N$543:$N$545&lt;DX6)*(③기타_가정!$O$543:$O$545&gt;=DX6)*③기타_가정!$E$543:$E$545*③기타_가정!$K$543:$K$545)/12</f>
        <v>0</v>
      </c>
      <c r="DY135" s="37" t="n">
        <f aca="false">SUMPRODUCT((③기타_가정!$N$543:$N$545&lt;DY6)*(③기타_가정!$O$543:$O$545&gt;=DY6)*③기타_가정!$E$543:$E$545*③기타_가정!$K$543:$K$545)/12</f>
        <v>0</v>
      </c>
      <c r="DZ135" s="37" t="n">
        <f aca="false">SUMPRODUCT((③기타_가정!$N$543:$N$545&lt;DZ6)*(③기타_가정!$O$543:$O$545&gt;=DZ6)*③기타_가정!$E$543:$E$545*③기타_가정!$K$543:$K$545)/12</f>
        <v>0</v>
      </c>
      <c r="EA135" s="37" t="n">
        <f aca="false">SUMPRODUCT((③기타_가정!$N$543:$N$545&lt;EA6)*(③기타_가정!$O$543:$O$545&gt;=EA6)*③기타_가정!$E$543:$E$545*③기타_가정!$K$543:$K$545)/12</f>
        <v>0</v>
      </c>
      <c r="EB135" s="37" t="n">
        <f aca="false">SUMPRODUCT((③기타_가정!$N$543:$N$545&lt;EB6)*(③기타_가정!$O$543:$O$545&gt;=EB6)*③기타_가정!$E$543:$E$545*③기타_가정!$K$543:$K$545)/12</f>
        <v>0</v>
      </c>
      <c r="EC135" s="37" t="n">
        <f aca="false">SUMPRODUCT((③기타_가정!$N$543:$N$545&lt;EC6)*(③기타_가정!$O$543:$O$545&gt;=EC6)*③기타_가정!$E$543:$E$545*③기타_가정!$K$543:$K$545)/12</f>
        <v>0</v>
      </c>
      <c r="ED135" s="37" t="n">
        <f aca="false">SUMPRODUCT((③기타_가정!$N$543:$N$545&lt;ED6)*(③기타_가정!$O$543:$O$545&gt;=ED6)*③기타_가정!$E$543:$E$545*③기타_가정!$K$543:$K$545)/12</f>
        <v>0</v>
      </c>
      <c r="EE135" s="37" t="n">
        <f aca="false">SUMPRODUCT((③기타_가정!$N$543:$N$545&lt;EE6)*(③기타_가정!$O$543:$O$545&gt;=EE6)*③기타_가정!$E$543:$E$545*③기타_가정!$K$543:$K$545)/12</f>
        <v>0</v>
      </c>
      <c r="EF135" s="37" t="n">
        <f aca="false">SUMPRODUCT((③기타_가정!$N$543:$N$545&lt;EF6)*(③기타_가정!$O$543:$O$545&gt;=EF6)*③기타_가정!$E$543:$E$545*③기타_가정!$K$543:$K$545)/12</f>
        <v>0</v>
      </c>
    </row>
    <row r="136" customFormat="false" ht="15" hidden="false" customHeight="false" outlineLevel="0" collapsed="false">
      <c r="A136" s="36" t="s">
        <v>670</v>
      </c>
      <c r="B136" s="278" t="s">
        <v>21</v>
      </c>
      <c r="C136" s="279" t="n">
        <f aca="false">SUM(E136:EF136)</f>
        <v>0</v>
      </c>
      <c r="E136" s="37" t="n">
        <f aca="false">IF(E6=③기타_가정!$E$24,0+E134,MIN(0+E134,SUMIF(③기타_가정!$O$543:$O$545,E6,③기타_가정!$E$543:$E$545)))</f>
        <v>0</v>
      </c>
      <c r="F136" s="37" t="n">
        <f aca="false">IF(F6=③기타_가정!$E$24,E137+F134,MIN(E137+F134,SUMIF(③기타_가정!$O$543:$O$545,F6,③기타_가정!$E$543:$E$545)))</f>
        <v>0</v>
      </c>
      <c r="G136" s="37" t="n">
        <f aca="false">IF(G6=③기타_가정!$E$24,F137+G134,MIN(F137+G134,SUMIF(③기타_가정!$O$543:$O$545,G6,③기타_가정!$E$543:$E$545)))</f>
        <v>0</v>
      </c>
      <c r="H136" s="37" t="n">
        <f aca="false">IF(H6=③기타_가정!$E$24,G137+H134,MIN(G137+H134,SUMIF(③기타_가정!$O$543:$O$545,H6,③기타_가정!$E$543:$E$545)))</f>
        <v>0</v>
      </c>
      <c r="I136" s="37" t="n">
        <f aca="false">IF(I6=③기타_가정!$E$24,H137+I134,MIN(H137+I134,SUMIF(③기타_가정!$O$543:$O$545,I6,③기타_가정!$E$543:$E$545)))</f>
        <v>0</v>
      </c>
      <c r="J136" s="37" t="n">
        <f aca="false">IF(J6=③기타_가정!$E$24,I137+J134,MIN(I137+J134,SUMIF(③기타_가정!$O$543:$O$545,J6,③기타_가정!$E$543:$E$545)))</f>
        <v>0</v>
      </c>
      <c r="K136" s="37" t="n">
        <f aca="false">IF(K6=③기타_가정!$E$24,J137+K134,MIN(J137+K134,SUMIF(③기타_가정!$O$543:$O$545,K6,③기타_가정!$E$543:$E$545)))</f>
        <v>0</v>
      </c>
      <c r="L136" s="37" t="n">
        <f aca="false">IF(L6=③기타_가정!$E$24,K137+L134,MIN(K137+L134,SUMIF(③기타_가정!$O$543:$O$545,L6,③기타_가정!$E$543:$E$545)))</f>
        <v>0</v>
      </c>
      <c r="M136" s="37" t="n">
        <f aca="false">IF(M6=③기타_가정!$E$24,L137+M134,MIN(L137+M134,SUMIF(③기타_가정!$O$543:$O$545,M6,③기타_가정!$E$543:$E$545)))</f>
        <v>0</v>
      </c>
      <c r="N136" s="37" t="n">
        <f aca="false">IF(N6=③기타_가정!$E$24,M137+N134,MIN(M137+N134,SUMIF(③기타_가정!$O$543:$O$545,N6,③기타_가정!$E$543:$E$545)))</f>
        <v>0</v>
      </c>
      <c r="O136" s="37" t="n">
        <f aca="false">IF(O6=③기타_가정!$E$24,N137+O134,MIN(N137+O134,SUMIF(③기타_가정!$O$543:$O$545,O6,③기타_가정!$E$543:$E$545)))</f>
        <v>0</v>
      </c>
      <c r="P136" s="37" t="n">
        <f aca="false">IF(P6=③기타_가정!$E$24,O137+P134,MIN(O137+P134,SUMIF(③기타_가정!$O$543:$O$545,P6,③기타_가정!$E$543:$E$545)))</f>
        <v>0</v>
      </c>
      <c r="Q136" s="37" t="n">
        <f aca="false">IF(Q6=③기타_가정!$E$24,P137+Q134,MIN(P137+Q134,SUMIF(③기타_가정!$O$543:$O$545,Q6,③기타_가정!$E$543:$E$545)))</f>
        <v>0</v>
      </c>
      <c r="R136" s="37" t="n">
        <f aca="false">IF(R6=③기타_가정!$E$24,Q137+R134,MIN(Q137+R134,SUMIF(③기타_가정!$O$543:$O$545,R6,③기타_가정!$E$543:$E$545)))</f>
        <v>0</v>
      </c>
      <c r="S136" s="37" t="n">
        <f aca="false">IF(S6=③기타_가정!$E$24,R137+S134,MIN(R137+S134,SUMIF(③기타_가정!$O$543:$O$545,S6,③기타_가정!$E$543:$E$545)))</f>
        <v>0</v>
      </c>
      <c r="T136" s="37" t="n">
        <f aca="false">IF(T6=③기타_가정!$E$24,S137+T134,MIN(S137+T134,SUMIF(③기타_가정!$O$543:$O$545,T6,③기타_가정!$E$543:$E$545)))</f>
        <v>0</v>
      </c>
      <c r="U136" s="37" t="n">
        <f aca="false">IF(U6=③기타_가정!$E$24,T137+U134,MIN(T137+U134,SUMIF(③기타_가정!$O$543:$O$545,U6,③기타_가정!$E$543:$E$545)))</f>
        <v>0</v>
      </c>
      <c r="V136" s="37" t="n">
        <f aca="false">IF(V6=③기타_가정!$E$24,U137+V134,MIN(U137+V134,SUMIF(③기타_가정!$O$543:$O$545,V6,③기타_가정!$E$543:$E$545)))</f>
        <v>0</v>
      </c>
      <c r="W136" s="37" t="n">
        <f aca="false">IF(W6=③기타_가정!$E$24,V137+W134,MIN(V137+W134,SUMIF(③기타_가정!$O$543:$O$545,W6,③기타_가정!$E$543:$E$545)))</f>
        <v>0</v>
      </c>
      <c r="X136" s="37" t="n">
        <f aca="false">IF(X6=③기타_가정!$E$24,W137+X134,MIN(W137+X134,SUMIF(③기타_가정!$O$543:$O$545,X6,③기타_가정!$E$543:$E$545)))</f>
        <v>0</v>
      </c>
      <c r="Y136" s="37" t="n">
        <f aca="false">IF(Y6=③기타_가정!$E$24,X137+Y134,MIN(X137+Y134,SUMIF(③기타_가정!$O$543:$O$545,Y6,③기타_가정!$E$543:$E$545)))</f>
        <v>0</v>
      </c>
      <c r="Z136" s="37" t="n">
        <f aca="false">IF(Z6=③기타_가정!$E$24,Y137+Z134,MIN(Y137+Z134,SUMIF(③기타_가정!$O$543:$O$545,Z6,③기타_가정!$E$543:$E$545)))</f>
        <v>0</v>
      </c>
      <c r="AA136" s="37" t="n">
        <f aca="false">IF(AA6=③기타_가정!$E$24,Z137+AA134,MIN(Z137+AA134,SUMIF(③기타_가정!$O$543:$O$545,AA6,③기타_가정!$E$543:$E$545)))</f>
        <v>0</v>
      </c>
      <c r="AB136" s="37" t="n">
        <f aca="false">IF(AB6=③기타_가정!$E$24,AA137+AB134,MIN(AA137+AB134,SUMIF(③기타_가정!$O$543:$O$545,AB6,③기타_가정!$E$543:$E$545)))</f>
        <v>0</v>
      </c>
      <c r="AC136" s="37" t="n">
        <f aca="false">IF(AC6=③기타_가정!$E$24,AB137+AC134,MIN(AB137+AC134,SUMIF(③기타_가정!$O$543:$O$545,AC6,③기타_가정!$E$543:$E$545)))</f>
        <v>0</v>
      </c>
      <c r="AD136" s="37" t="n">
        <f aca="false">IF(AD6=③기타_가정!$E$24,AC137+AD134,MIN(AC137+AD134,SUMIF(③기타_가정!$O$543:$O$545,AD6,③기타_가정!$E$543:$E$545)))</f>
        <v>0</v>
      </c>
      <c r="AE136" s="37" t="n">
        <f aca="false">IF(AE6=③기타_가정!$E$24,AD137+AE134,MIN(AD137+AE134,SUMIF(③기타_가정!$O$543:$O$545,AE6,③기타_가정!$E$543:$E$545)))</f>
        <v>0</v>
      </c>
      <c r="AF136" s="37" t="n">
        <f aca="false">IF(AF6=③기타_가정!$E$24,AE137+AF134,MIN(AE137+AF134,SUMIF(③기타_가정!$O$543:$O$545,AF6,③기타_가정!$E$543:$E$545)))</f>
        <v>0</v>
      </c>
      <c r="AG136" s="37" t="n">
        <f aca="false">IF(AG6=③기타_가정!$E$24,AF137+AG134,MIN(AF137+AG134,SUMIF(③기타_가정!$O$543:$O$545,AG6,③기타_가정!$E$543:$E$545)))</f>
        <v>0</v>
      </c>
      <c r="AH136" s="37" t="n">
        <f aca="false">IF(AH6=③기타_가정!$E$24,AG137+AH134,MIN(AG137+AH134,SUMIF(③기타_가정!$O$543:$O$545,AH6,③기타_가정!$E$543:$E$545)))</f>
        <v>0</v>
      </c>
      <c r="AI136" s="37" t="n">
        <f aca="false">IF(AI6=③기타_가정!$E$24,AH137+AI134,MIN(AH137+AI134,SUMIF(③기타_가정!$O$543:$O$545,AI6,③기타_가정!$E$543:$E$545)))</f>
        <v>0</v>
      </c>
      <c r="AJ136" s="37" t="n">
        <f aca="false">IF(AJ6=③기타_가정!$E$24,AI137+AJ134,MIN(AI137+AJ134,SUMIF(③기타_가정!$O$543:$O$545,AJ6,③기타_가정!$E$543:$E$545)))</f>
        <v>0</v>
      </c>
      <c r="AK136" s="37" t="n">
        <f aca="false">IF(AK6=③기타_가정!$E$24,AJ137+AK134,MIN(AJ137+AK134,SUMIF(③기타_가정!$O$543:$O$545,AK6,③기타_가정!$E$543:$E$545)))</f>
        <v>0</v>
      </c>
      <c r="AL136" s="37" t="n">
        <f aca="false">IF(AL6=③기타_가정!$E$24,AK137+AL134,MIN(AK137+AL134,SUMIF(③기타_가정!$O$543:$O$545,AL6,③기타_가정!$E$543:$E$545)))</f>
        <v>0</v>
      </c>
      <c r="AM136" s="37" t="n">
        <f aca="false">IF(AM6=③기타_가정!$E$24,AL137+AM134,MIN(AL137+AM134,SUMIF(③기타_가정!$O$543:$O$545,AM6,③기타_가정!$E$543:$E$545)))</f>
        <v>0</v>
      </c>
      <c r="AN136" s="37" t="n">
        <f aca="false">IF(AN6=③기타_가정!$E$24,AM137+AN134,MIN(AM137+AN134,SUMIF(③기타_가정!$O$543:$O$545,AN6,③기타_가정!$E$543:$E$545)))</f>
        <v>0</v>
      </c>
      <c r="AO136" s="37" t="n">
        <f aca="false">IF(AO6=③기타_가정!$E$24,AN137+AO134,MIN(AN137+AO134,SUMIF(③기타_가정!$O$543:$O$545,AO6,③기타_가정!$E$543:$E$545)))</f>
        <v>0</v>
      </c>
      <c r="AP136" s="37" t="n">
        <f aca="false">IF(AP6=③기타_가정!$E$24,AO137+AP134,MIN(AO137+AP134,SUMIF(③기타_가정!$O$543:$O$545,AP6,③기타_가정!$E$543:$E$545)))</f>
        <v>0</v>
      </c>
      <c r="AQ136" s="37" t="n">
        <f aca="false">IF(AQ6=③기타_가정!$E$24,AP137+AQ134,MIN(AP137+AQ134,SUMIF(③기타_가정!$O$543:$O$545,AQ6,③기타_가정!$E$543:$E$545)))</f>
        <v>0</v>
      </c>
      <c r="AR136" s="37" t="n">
        <f aca="false">IF(AR6=③기타_가정!$E$24,AQ137+AR134,MIN(AQ137+AR134,SUMIF(③기타_가정!$O$543:$O$545,AR6,③기타_가정!$E$543:$E$545)))</f>
        <v>0</v>
      </c>
      <c r="AS136" s="37" t="n">
        <f aca="false">IF(AS6=③기타_가정!$E$24,AR137+AS134,MIN(AR137+AS134,SUMIF(③기타_가정!$O$543:$O$545,AS6,③기타_가정!$E$543:$E$545)))</f>
        <v>0</v>
      </c>
      <c r="AT136" s="37" t="n">
        <f aca="false">IF(AT6=③기타_가정!$E$24,AS137+AT134,MIN(AS137+AT134,SUMIF(③기타_가정!$O$543:$O$545,AT6,③기타_가정!$E$543:$E$545)))</f>
        <v>0</v>
      </c>
      <c r="AU136" s="37" t="n">
        <f aca="false">IF(AU6=③기타_가정!$E$24,AT137+AU134,MIN(AT137+AU134,SUMIF(③기타_가정!$O$543:$O$545,AU6,③기타_가정!$E$543:$E$545)))</f>
        <v>0</v>
      </c>
      <c r="AV136" s="37" t="n">
        <f aca="false">IF(AV6=③기타_가정!$E$24,AU137+AV134,MIN(AU137+AV134,SUMIF(③기타_가정!$O$543:$O$545,AV6,③기타_가정!$E$543:$E$545)))</f>
        <v>0</v>
      </c>
      <c r="AW136" s="37" t="n">
        <f aca="false">IF(AW6=③기타_가정!$E$24,AV137+AW134,MIN(AV137+AW134,SUMIF(③기타_가정!$O$543:$O$545,AW6,③기타_가정!$E$543:$E$545)))</f>
        <v>0</v>
      </c>
      <c r="AX136" s="37" t="n">
        <f aca="false">IF(AX6=③기타_가정!$E$24,AW137+AX134,MIN(AW137+AX134,SUMIF(③기타_가정!$O$543:$O$545,AX6,③기타_가정!$E$543:$E$545)))</f>
        <v>0</v>
      </c>
      <c r="AY136" s="37" t="n">
        <f aca="false">IF(AY6=③기타_가정!$E$24,AX137+AY134,MIN(AX137+AY134,SUMIF(③기타_가정!$O$543:$O$545,AY6,③기타_가정!$E$543:$E$545)))</f>
        <v>0</v>
      </c>
      <c r="AZ136" s="37" t="n">
        <f aca="false">IF(AZ6=③기타_가정!$E$24,AY137+AZ134,MIN(AY137+AZ134,SUMIF(③기타_가정!$O$543:$O$545,AZ6,③기타_가정!$E$543:$E$545)))</f>
        <v>0</v>
      </c>
      <c r="BA136" s="37" t="n">
        <f aca="false">IF(BA6=③기타_가정!$E$24,AZ137+BA134,MIN(AZ137+BA134,SUMIF(③기타_가정!$O$543:$O$545,BA6,③기타_가정!$E$543:$E$545)))</f>
        <v>0</v>
      </c>
      <c r="BB136" s="37" t="n">
        <f aca="false">IF(BB6=③기타_가정!$E$24,BA137+BB134,MIN(BA137+BB134,SUMIF(③기타_가정!$O$543:$O$545,BB6,③기타_가정!$E$543:$E$545)))</f>
        <v>0</v>
      </c>
      <c r="BC136" s="37" t="n">
        <f aca="false">IF(BC6=③기타_가정!$E$24,BB137+BC134,MIN(BB137+BC134,SUMIF(③기타_가정!$O$543:$O$545,BC6,③기타_가정!$E$543:$E$545)))</f>
        <v>0</v>
      </c>
      <c r="BD136" s="37" t="n">
        <f aca="false">IF(BD6=③기타_가정!$E$24,BC137+BD134,MIN(BC137+BD134,SUMIF(③기타_가정!$O$543:$O$545,BD6,③기타_가정!$E$543:$E$545)))</f>
        <v>0</v>
      </c>
      <c r="BE136" s="37" t="n">
        <f aca="false">IF(BE6=③기타_가정!$E$24,BD137+BE134,MIN(BD137+BE134,SUMIF(③기타_가정!$O$543:$O$545,BE6,③기타_가정!$E$543:$E$545)))</f>
        <v>0</v>
      </c>
      <c r="BF136" s="37" t="n">
        <f aca="false">IF(BF6=③기타_가정!$E$24,BE137+BF134,MIN(BE137+BF134,SUMIF(③기타_가정!$O$543:$O$545,BF6,③기타_가정!$E$543:$E$545)))</f>
        <v>0</v>
      </c>
      <c r="BG136" s="37" t="n">
        <f aca="false">IF(BG6=③기타_가정!$E$24,BF137+BG134,MIN(BF137+BG134,SUMIF(③기타_가정!$O$543:$O$545,BG6,③기타_가정!$E$543:$E$545)))</f>
        <v>0</v>
      </c>
      <c r="BH136" s="37" t="n">
        <f aca="false">IF(BH6=③기타_가정!$E$24,BG137+BH134,MIN(BG137+BH134,SUMIF(③기타_가정!$O$543:$O$545,BH6,③기타_가정!$E$543:$E$545)))</f>
        <v>0</v>
      </c>
      <c r="BI136" s="37" t="n">
        <f aca="false">IF(BI6=③기타_가정!$E$24,BH137+BI134,MIN(BH137+BI134,SUMIF(③기타_가정!$O$543:$O$545,BI6,③기타_가정!$E$543:$E$545)))</f>
        <v>0</v>
      </c>
      <c r="BJ136" s="37" t="n">
        <f aca="false">IF(BJ6=③기타_가정!$E$24,BI137+BJ134,MIN(BI137+BJ134,SUMIF(③기타_가정!$O$543:$O$545,BJ6,③기타_가정!$E$543:$E$545)))</f>
        <v>0</v>
      </c>
      <c r="BK136" s="37" t="n">
        <f aca="false">IF(BK6=③기타_가정!$E$24,BJ137+BK134,MIN(BJ137+BK134,SUMIF(③기타_가정!$O$543:$O$545,BK6,③기타_가정!$E$543:$E$545)))</f>
        <v>0</v>
      </c>
      <c r="BL136" s="37" t="n">
        <f aca="false">IF(BL6=③기타_가정!$E$24,BK137+BL134,MIN(BK137+BL134,SUMIF(③기타_가정!$O$543:$O$545,BL6,③기타_가정!$E$543:$E$545)))</f>
        <v>0</v>
      </c>
      <c r="BM136" s="37" t="n">
        <f aca="false">IF(BM6=③기타_가정!$E$24,BL137+BM134,MIN(BL137+BM134,SUMIF(③기타_가정!$O$543:$O$545,BM6,③기타_가정!$E$543:$E$545)))</f>
        <v>0</v>
      </c>
      <c r="BN136" s="37" t="n">
        <f aca="false">IF(BN6=③기타_가정!$E$24,BM137+BN134,MIN(BM137+BN134,SUMIF(③기타_가정!$O$543:$O$545,BN6,③기타_가정!$E$543:$E$545)))</f>
        <v>0</v>
      </c>
      <c r="BO136" s="37" t="n">
        <f aca="false">IF(BO6=③기타_가정!$E$24,BN137+BO134,MIN(BN137+BO134,SUMIF(③기타_가정!$O$543:$O$545,BO6,③기타_가정!$E$543:$E$545)))</f>
        <v>0</v>
      </c>
      <c r="BP136" s="37" t="n">
        <f aca="false">IF(BP6=③기타_가정!$E$24,BO137+BP134,MIN(BO137+BP134,SUMIF(③기타_가정!$O$543:$O$545,BP6,③기타_가정!$E$543:$E$545)))</f>
        <v>0</v>
      </c>
      <c r="BQ136" s="37" t="n">
        <f aca="false">IF(BQ6=③기타_가정!$E$24,BP137+BQ134,MIN(BP137+BQ134,SUMIF(③기타_가정!$O$543:$O$545,BQ6,③기타_가정!$E$543:$E$545)))</f>
        <v>0</v>
      </c>
      <c r="BR136" s="37" t="n">
        <f aca="false">IF(BR6=③기타_가정!$E$24,BQ137+BR134,MIN(BQ137+BR134,SUMIF(③기타_가정!$O$543:$O$545,BR6,③기타_가정!$E$543:$E$545)))</f>
        <v>0</v>
      </c>
      <c r="BS136" s="37" t="n">
        <f aca="false">IF(BS6=③기타_가정!$E$24,BR137+BS134,MIN(BR137+BS134,SUMIF(③기타_가정!$O$543:$O$545,BS6,③기타_가정!$E$543:$E$545)))</f>
        <v>0</v>
      </c>
      <c r="BT136" s="37" t="n">
        <f aca="false">IF(BT6=③기타_가정!$E$24,BS137+BT134,MIN(BS137+BT134,SUMIF(③기타_가정!$O$543:$O$545,BT6,③기타_가정!$E$543:$E$545)))</f>
        <v>0</v>
      </c>
      <c r="BU136" s="37" t="n">
        <f aca="false">IF(BU6=③기타_가정!$E$24,BT137+BU134,MIN(BT137+BU134,SUMIF(③기타_가정!$O$543:$O$545,BU6,③기타_가정!$E$543:$E$545)))</f>
        <v>0</v>
      </c>
      <c r="BV136" s="37" t="n">
        <f aca="false">IF(BV6=③기타_가정!$E$24,BU137+BV134,MIN(BU137+BV134,SUMIF(③기타_가정!$O$543:$O$545,BV6,③기타_가정!$E$543:$E$545)))</f>
        <v>0</v>
      </c>
      <c r="BW136" s="37" t="n">
        <f aca="false">IF(BW6=③기타_가정!$E$24,BV137+BW134,MIN(BV137+BW134,SUMIF(③기타_가정!$O$543:$O$545,BW6,③기타_가정!$E$543:$E$545)))</f>
        <v>0</v>
      </c>
      <c r="BX136" s="37" t="n">
        <f aca="false">IF(BX6=③기타_가정!$E$24,BW137+BX134,MIN(BW137+BX134,SUMIF(③기타_가정!$O$543:$O$545,BX6,③기타_가정!$E$543:$E$545)))</f>
        <v>0</v>
      </c>
      <c r="BY136" s="37" t="n">
        <f aca="false">IF(BY6=③기타_가정!$E$24,BX137+BY134,MIN(BX137+BY134,SUMIF(③기타_가정!$O$543:$O$545,BY6,③기타_가정!$E$543:$E$545)))</f>
        <v>0</v>
      </c>
      <c r="BZ136" s="37" t="n">
        <f aca="false">IF(BZ6=③기타_가정!$E$24,BY137+BZ134,MIN(BY137+BZ134,SUMIF(③기타_가정!$O$543:$O$545,BZ6,③기타_가정!$E$543:$E$545)))</f>
        <v>0</v>
      </c>
      <c r="CA136" s="37" t="n">
        <f aca="false">IF(CA6=③기타_가정!$E$24,BZ137+CA134,MIN(BZ137+CA134,SUMIF(③기타_가정!$O$543:$O$545,CA6,③기타_가정!$E$543:$E$545)))</f>
        <v>0</v>
      </c>
      <c r="CB136" s="37" t="n">
        <f aca="false">IF(CB6=③기타_가정!$E$24,CA137+CB134,MIN(CA137+CB134,SUMIF(③기타_가정!$O$543:$O$545,CB6,③기타_가정!$E$543:$E$545)))</f>
        <v>0</v>
      </c>
      <c r="CC136" s="37" t="n">
        <f aca="false">IF(CC6=③기타_가정!$E$24,CB137+CC134,MIN(CB137+CC134,SUMIF(③기타_가정!$O$543:$O$545,CC6,③기타_가정!$E$543:$E$545)))</f>
        <v>0</v>
      </c>
      <c r="CD136" s="37" t="n">
        <f aca="false">IF(CD6=③기타_가정!$E$24,CC137+CD134,MIN(CC137+CD134,SUMIF(③기타_가정!$O$543:$O$545,CD6,③기타_가정!$E$543:$E$545)))</f>
        <v>0</v>
      </c>
      <c r="CE136" s="37" t="n">
        <f aca="false">IF(CE6=③기타_가정!$E$24,CD137+CE134,MIN(CD137+CE134,SUMIF(③기타_가정!$O$543:$O$545,CE6,③기타_가정!$E$543:$E$545)))</f>
        <v>0</v>
      </c>
      <c r="CF136" s="37" t="n">
        <f aca="false">IF(CF6=③기타_가정!$E$24,CE137+CF134,MIN(CE137+CF134,SUMIF(③기타_가정!$O$543:$O$545,CF6,③기타_가정!$E$543:$E$545)))</f>
        <v>0</v>
      </c>
      <c r="CG136" s="37" t="n">
        <f aca="false">IF(CG6=③기타_가정!$E$24,CF137+CG134,MIN(CF137+CG134,SUMIF(③기타_가정!$O$543:$O$545,CG6,③기타_가정!$E$543:$E$545)))</f>
        <v>0</v>
      </c>
      <c r="CH136" s="37" t="n">
        <f aca="false">IF(CH6=③기타_가정!$E$24,CG137+CH134,MIN(CG137+CH134,SUMIF(③기타_가정!$O$543:$O$545,CH6,③기타_가정!$E$543:$E$545)))</f>
        <v>0</v>
      </c>
      <c r="CI136" s="37" t="n">
        <f aca="false">IF(CI6=③기타_가정!$E$24,CH137+CI134,MIN(CH137+CI134,SUMIF(③기타_가정!$O$543:$O$545,CI6,③기타_가정!$E$543:$E$545)))</f>
        <v>0</v>
      </c>
      <c r="CJ136" s="37" t="n">
        <f aca="false">IF(CJ6=③기타_가정!$E$24,CI137+CJ134,MIN(CI137+CJ134,SUMIF(③기타_가정!$O$543:$O$545,CJ6,③기타_가정!$E$543:$E$545)))</f>
        <v>0</v>
      </c>
      <c r="CK136" s="37" t="n">
        <f aca="false">IF(CK6=③기타_가정!$E$24,CJ137+CK134,MIN(CJ137+CK134,SUMIF(③기타_가정!$O$543:$O$545,CK6,③기타_가정!$E$543:$E$545)))</f>
        <v>0</v>
      </c>
      <c r="CL136" s="37" t="n">
        <f aca="false">IF(CL6=③기타_가정!$E$24,CK137+CL134,MIN(CK137+CL134,SUMIF(③기타_가정!$O$543:$O$545,CL6,③기타_가정!$E$543:$E$545)))</f>
        <v>0</v>
      </c>
      <c r="CM136" s="37" t="n">
        <f aca="false">IF(CM6=③기타_가정!$E$24,CL137+CM134,MIN(CL137+CM134,SUMIF(③기타_가정!$O$543:$O$545,CM6,③기타_가정!$E$543:$E$545)))</f>
        <v>0</v>
      </c>
      <c r="CN136" s="37" t="n">
        <f aca="false">IF(CN6=③기타_가정!$E$24,CM137+CN134,MIN(CM137+CN134,SUMIF(③기타_가정!$O$543:$O$545,CN6,③기타_가정!$E$543:$E$545)))</f>
        <v>0</v>
      </c>
      <c r="CO136" s="37" t="n">
        <f aca="false">IF(CO6=③기타_가정!$E$24,CN137+CO134,MIN(CN137+CO134,SUMIF(③기타_가정!$O$543:$O$545,CO6,③기타_가정!$E$543:$E$545)))</f>
        <v>0</v>
      </c>
      <c r="CP136" s="37" t="n">
        <f aca="false">IF(CP6=③기타_가정!$E$24,CO137+CP134,MIN(CO137+CP134,SUMIF(③기타_가정!$O$543:$O$545,CP6,③기타_가정!$E$543:$E$545)))</f>
        <v>0</v>
      </c>
      <c r="CQ136" s="37" t="n">
        <f aca="false">IF(CQ6=③기타_가정!$E$24,CP137+CQ134,MIN(CP137+CQ134,SUMIF(③기타_가정!$O$543:$O$545,CQ6,③기타_가정!$E$543:$E$545)))</f>
        <v>0</v>
      </c>
      <c r="CR136" s="37" t="n">
        <f aca="false">IF(CR6=③기타_가정!$E$24,CQ137+CR134,MIN(CQ137+CR134,SUMIF(③기타_가정!$O$543:$O$545,CR6,③기타_가정!$E$543:$E$545)))</f>
        <v>0</v>
      </c>
      <c r="CS136" s="37" t="n">
        <f aca="false">IF(CS6=③기타_가정!$E$24,CR137+CS134,MIN(CR137+CS134,SUMIF(③기타_가정!$O$543:$O$545,CS6,③기타_가정!$E$543:$E$545)))</f>
        <v>0</v>
      </c>
      <c r="CT136" s="37" t="n">
        <f aca="false">IF(CT6=③기타_가정!$E$24,CS137+CT134,MIN(CS137+CT134,SUMIF(③기타_가정!$O$543:$O$545,CT6,③기타_가정!$E$543:$E$545)))</f>
        <v>0</v>
      </c>
      <c r="CU136" s="37" t="n">
        <f aca="false">IF(CU6=③기타_가정!$E$24,CT137+CU134,MIN(CT137+CU134,SUMIF(③기타_가정!$O$543:$O$545,CU6,③기타_가정!$E$543:$E$545)))</f>
        <v>0</v>
      </c>
      <c r="CV136" s="37" t="n">
        <f aca="false">IF(CV6=③기타_가정!$E$24,CU137+CV134,MIN(CU137+CV134,SUMIF(③기타_가정!$O$543:$O$545,CV6,③기타_가정!$E$543:$E$545)))</f>
        <v>0</v>
      </c>
      <c r="CW136" s="37" t="n">
        <f aca="false">IF(CW6=③기타_가정!$E$24,CV137+CW134,MIN(CV137+CW134,SUMIF(③기타_가정!$O$543:$O$545,CW6,③기타_가정!$E$543:$E$545)))</f>
        <v>0</v>
      </c>
      <c r="CX136" s="37" t="n">
        <f aca="false">IF(CX6=③기타_가정!$E$24,CW137+CX134,MIN(CW137+CX134,SUMIF(③기타_가정!$O$543:$O$545,CX6,③기타_가정!$E$543:$E$545)))</f>
        <v>0</v>
      </c>
      <c r="CY136" s="37" t="n">
        <f aca="false">IF(CY6=③기타_가정!$E$24,CX137+CY134,MIN(CX137+CY134,SUMIF(③기타_가정!$O$543:$O$545,CY6,③기타_가정!$E$543:$E$545)))</f>
        <v>0</v>
      </c>
      <c r="CZ136" s="37" t="n">
        <f aca="false">IF(CZ6=③기타_가정!$E$24,CY137+CZ134,MIN(CY137+CZ134,SUMIF(③기타_가정!$O$543:$O$545,CZ6,③기타_가정!$E$543:$E$545)))</f>
        <v>0</v>
      </c>
      <c r="DA136" s="37" t="n">
        <f aca="false">IF(DA6=③기타_가정!$E$24,CZ137+DA134,MIN(CZ137+DA134,SUMIF(③기타_가정!$O$543:$O$545,DA6,③기타_가정!$E$543:$E$545)))</f>
        <v>0</v>
      </c>
      <c r="DB136" s="37" t="n">
        <f aca="false">IF(DB6=③기타_가정!$E$24,DA137+DB134,MIN(DA137+DB134,SUMIF(③기타_가정!$O$543:$O$545,DB6,③기타_가정!$E$543:$E$545)))</f>
        <v>0</v>
      </c>
      <c r="DC136" s="37" t="n">
        <f aca="false">IF(DC6=③기타_가정!$E$24,DB137+DC134,MIN(DB137+DC134,SUMIF(③기타_가정!$O$543:$O$545,DC6,③기타_가정!$E$543:$E$545)))</f>
        <v>0</v>
      </c>
      <c r="DD136" s="37" t="n">
        <f aca="false">IF(DD6=③기타_가정!$E$24,DC137+DD134,MIN(DC137+DD134,SUMIF(③기타_가정!$O$543:$O$545,DD6,③기타_가정!$E$543:$E$545)))</f>
        <v>0</v>
      </c>
      <c r="DE136" s="37" t="n">
        <f aca="false">IF(DE6=③기타_가정!$E$24,DD137+DE134,MIN(DD137+DE134,SUMIF(③기타_가정!$O$543:$O$545,DE6,③기타_가정!$E$543:$E$545)))</f>
        <v>0</v>
      </c>
      <c r="DF136" s="37" t="n">
        <f aca="false">IF(DF6=③기타_가정!$E$24,DE137+DF134,MIN(DE137+DF134,SUMIF(③기타_가정!$O$543:$O$545,DF6,③기타_가정!$E$543:$E$545)))</f>
        <v>0</v>
      </c>
      <c r="DG136" s="37" t="n">
        <f aca="false">IF(DG6=③기타_가정!$E$24,DF137+DG134,MIN(DF137+DG134,SUMIF(③기타_가정!$O$543:$O$545,DG6,③기타_가정!$E$543:$E$545)))</f>
        <v>0</v>
      </c>
      <c r="DH136" s="37" t="n">
        <f aca="false">IF(DH6=③기타_가정!$E$24,DG137+DH134,MIN(DG137+DH134,SUMIF(③기타_가정!$O$543:$O$545,DH6,③기타_가정!$E$543:$E$545)))</f>
        <v>0</v>
      </c>
      <c r="DI136" s="37" t="n">
        <f aca="false">IF(DI6=③기타_가정!$E$24,DH137+DI134,MIN(DH137+DI134,SUMIF(③기타_가정!$O$543:$O$545,DI6,③기타_가정!$E$543:$E$545)))</f>
        <v>0</v>
      </c>
      <c r="DJ136" s="37" t="n">
        <f aca="false">IF(DJ6=③기타_가정!$E$24,DI137+DJ134,MIN(DI137+DJ134,SUMIF(③기타_가정!$O$543:$O$545,DJ6,③기타_가정!$E$543:$E$545)))</f>
        <v>0</v>
      </c>
      <c r="DK136" s="37" t="n">
        <f aca="false">IF(DK6=③기타_가정!$E$24,DJ137+DK134,MIN(DJ137+DK134,SUMIF(③기타_가정!$O$543:$O$545,DK6,③기타_가정!$E$543:$E$545)))</f>
        <v>0</v>
      </c>
      <c r="DL136" s="37" t="n">
        <f aca="false">IF(DL6=③기타_가정!$E$24,DK137+DL134,MIN(DK137+DL134,SUMIF(③기타_가정!$O$543:$O$545,DL6,③기타_가정!$E$543:$E$545)))</f>
        <v>0</v>
      </c>
      <c r="DM136" s="37" t="n">
        <f aca="false">IF(DM6=③기타_가정!$E$24,DL137+DM134,MIN(DL137+DM134,SUMIF(③기타_가정!$O$543:$O$545,DM6,③기타_가정!$E$543:$E$545)))</f>
        <v>0</v>
      </c>
      <c r="DN136" s="37" t="n">
        <f aca="false">IF(DN6=③기타_가정!$E$24,DM137+DN134,MIN(DM137+DN134,SUMIF(③기타_가정!$O$543:$O$545,DN6,③기타_가정!$E$543:$E$545)))</f>
        <v>0</v>
      </c>
      <c r="DO136" s="37" t="n">
        <f aca="false">IF(DO6=③기타_가정!$E$24,DN137+DO134,MIN(DN137+DO134,SUMIF(③기타_가정!$O$543:$O$545,DO6,③기타_가정!$E$543:$E$545)))</f>
        <v>0</v>
      </c>
      <c r="DP136" s="37" t="n">
        <f aca="false">IF(DP6=③기타_가정!$E$24,DO137+DP134,MIN(DO137+DP134,SUMIF(③기타_가정!$O$543:$O$545,DP6,③기타_가정!$E$543:$E$545)))</f>
        <v>0</v>
      </c>
      <c r="DQ136" s="37" t="n">
        <f aca="false">IF(DQ6=③기타_가정!$E$24,DP137+DQ134,MIN(DP137+DQ134,SUMIF(③기타_가정!$O$543:$O$545,DQ6,③기타_가정!$E$543:$E$545)))</f>
        <v>0</v>
      </c>
      <c r="DR136" s="37" t="n">
        <f aca="false">IF(DR6=③기타_가정!$E$24,DQ137+DR134,MIN(DQ137+DR134,SUMIF(③기타_가정!$O$543:$O$545,DR6,③기타_가정!$E$543:$E$545)))</f>
        <v>0</v>
      </c>
      <c r="DS136" s="37" t="n">
        <f aca="false">IF(DS6=③기타_가정!$E$24,DR137+DS134,MIN(DR137+DS134,SUMIF(③기타_가정!$O$543:$O$545,DS6,③기타_가정!$E$543:$E$545)))</f>
        <v>0</v>
      </c>
      <c r="DT136" s="37" t="n">
        <f aca="false">IF(DT6=③기타_가정!$E$24,DS137+DT134,MIN(DS137+DT134,SUMIF(③기타_가정!$O$543:$O$545,DT6,③기타_가정!$E$543:$E$545)))</f>
        <v>0</v>
      </c>
      <c r="DU136" s="37" t="n">
        <f aca="false">IF(DU6=③기타_가정!$E$24,DT137+DU134,MIN(DT137+DU134,SUMIF(③기타_가정!$O$543:$O$545,DU6,③기타_가정!$E$543:$E$545)))</f>
        <v>0</v>
      </c>
      <c r="DV136" s="37" t="n">
        <f aca="false">IF(DV6=③기타_가정!$E$24,DU137+DV134,MIN(DU137+DV134,SUMIF(③기타_가정!$O$543:$O$545,DV6,③기타_가정!$E$543:$E$545)))</f>
        <v>0</v>
      </c>
      <c r="DW136" s="37" t="n">
        <f aca="false">IF(DW6=③기타_가정!$E$24,DV137+DW134,MIN(DV137+DW134,SUMIF(③기타_가정!$O$543:$O$545,DW6,③기타_가정!$E$543:$E$545)))</f>
        <v>0</v>
      </c>
      <c r="DX136" s="37" t="n">
        <f aca="false">IF(DX6=③기타_가정!$E$24,DW137+DX134,MIN(DW137+DX134,SUMIF(③기타_가정!$O$543:$O$545,DX6,③기타_가정!$E$543:$E$545)))</f>
        <v>0</v>
      </c>
      <c r="DY136" s="37" t="n">
        <f aca="false">IF(DY6=③기타_가정!$E$24,DX137+DY134,MIN(DX137+DY134,SUMIF(③기타_가정!$O$543:$O$545,DY6,③기타_가정!$E$543:$E$545)))</f>
        <v>0</v>
      </c>
      <c r="DZ136" s="37" t="n">
        <f aca="false">IF(DZ6=③기타_가정!$E$24,DY137+DZ134,MIN(DY137+DZ134,SUMIF(③기타_가정!$O$543:$O$545,DZ6,③기타_가정!$E$543:$E$545)))</f>
        <v>0</v>
      </c>
      <c r="EA136" s="37" t="n">
        <f aca="false">IF(EA6=③기타_가정!$E$24,DZ137+EA134,MIN(DZ137+EA134,SUMIF(③기타_가정!$O$543:$O$545,EA6,③기타_가정!$E$543:$E$545)))</f>
        <v>0</v>
      </c>
      <c r="EB136" s="37" t="n">
        <f aca="false">IF(EB6=③기타_가정!$E$24,EA137+EB134,MIN(EA137+EB134,SUMIF(③기타_가정!$O$543:$O$545,EB6,③기타_가정!$E$543:$E$545)))</f>
        <v>0</v>
      </c>
      <c r="EC136" s="37" t="n">
        <f aca="false">IF(EC6=③기타_가정!$E$24,EB137+EC134,MIN(EB137+EC134,SUMIF(③기타_가정!$O$543:$O$545,EC6,③기타_가정!$E$543:$E$545)))</f>
        <v>0</v>
      </c>
      <c r="ED136" s="37" t="n">
        <f aca="false">IF(ED6=③기타_가정!$E$24,EC137+ED134,MIN(EC137+ED134,SUMIF(③기타_가정!$O$543:$O$545,ED6,③기타_가정!$E$543:$E$545)))</f>
        <v>0</v>
      </c>
      <c r="EE136" s="37" t="n">
        <f aca="false">IF(EE6=③기타_가정!$E$24,ED137+EE134,MIN(ED137+EE134,SUMIF(③기타_가정!$O$543:$O$545,EE6,③기타_가정!$E$543:$E$545)))</f>
        <v>0</v>
      </c>
      <c r="EF136" s="37" t="n">
        <f aca="false">IF(EF6=③기타_가정!$E$24,EE137+EF134,MIN(EE137+EF134,SUMIF(③기타_가정!$O$543:$O$545,EF6,③기타_가정!$E$543:$E$545)))</f>
        <v>0</v>
      </c>
    </row>
    <row r="137" customFormat="false" ht="15" hidden="false" customHeight="false" outlineLevel="0" collapsed="false">
      <c r="A137" s="36" t="s">
        <v>671</v>
      </c>
      <c r="B137" s="278" t="s">
        <v>21</v>
      </c>
      <c r="C137" s="279" t="n">
        <f aca="false">MAX(E137:EF137)</f>
        <v>0</v>
      </c>
      <c r="E137" s="37" t="n">
        <f aca="false">0+E134-E136</f>
        <v>0</v>
      </c>
      <c r="F137" s="37" t="n">
        <f aca="false">E137+F134-F136</f>
        <v>0</v>
      </c>
      <c r="G137" s="37" t="n">
        <f aca="false">F137+G134-G136</f>
        <v>0</v>
      </c>
      <c r="H137" s="37" t="n">
        <f aca="false">G137+H134-H136</f>
        <v>0</v>
      </c>
      <c r="I137" s="37" t="n">
        <f aca="false">H137+I134-I136</f>
        <v>0</v>
      </c>
      <c r="J137" s="37" t="n">
        <f aca="false">I137+J134-J136</f>
        <v>0</v>
      </c>
      <c r="K137" s="37" t="n">
        <f aca="false">J137+K134-K136</f>
        <v>0</v>
      </c>
      <c r="L137" s="37" t="n">
        <f aca="false">K137+L134-L136</f>
        <v>0</v>
      </c>
      <c r="M137" s="37" t="n">
        <f aca="false">L137+M134-M136</f>
        <v>0</v>
      </c>
      <c r="N137" s="37" t="n">
        <f aca="false">M137+N134-N136</f>
        <v>0</v>
      </c>
      <c r="O137" s="37" t="n">
        <f aca="false">N137+O134-O136</f>
        <v>0</v>
      </c>
      <c r="P137" s="37" t="n">
        <f aca="false">O137+P134-P136</f>
        <v>0</v>
      </c>
      <c r="Q137" s="37" t="n">
        <f aca="false">P137+Q134-Q136</f>
        <v>0</v>
      </c>
      <c r="R137" s="37" t="n">
        <f aca="false">Q137+R134-R136</f>
        <v>0</v>
      </c>
      <c r="S137" s="37" t="n">
        <f aca="false">R137+S134-S136</f>
        <v>0</v>
      </c>
      <c r="T137" s="37" t="n">
        <f aca="false">S137+T134-T136</f>
        <v>0</v>
      </c>
      <c r="U137" s="37" t="n">
        <f aca="false">T137+U134-U136</f>
        <v>0</v>
      </c>
      <c r="V137" s="37" t="n">
        <f aca="false">U137+V134-V136</f>
        <v>0</v>
      </c>
      <c r="W137" s="37" t="n">
        <f aca="false">V137+W134-W136</f>
        <v>0</v>
      </c>
      <c r="X137" s="37" t="n">
        <f aca="false">W137+X134-X136</f>
        <v>0</v>
      </c>
      <c r="Y137" s="37" t="n">
        <f aca="false">X137+Y134-Y136</f>
        <v>0</v>
      </c>
      <c r="Z137" s="37" t="n">
        <f aca="false">Y137+Z134-Z136</f>
        <v>0</v>
      </c>
      <c r="AA137" s="37" t="n">
        <f aca="false">Z137+AA134-AA136</f>
        <v>0</v>
      </c>
      <c r="AB137" s="37" t="n">
        <f aca="false">AA137+AB134-AB136</f>
        <v>0</v>
      </c>
      <c r="AC137" s="37" t="n">
        <f aca="false">AB137+AC134-AC136</f>
        <v>0</v>
      </c>
      <c r="AD137" s="37" t="n">
        <f aca="false">AC137+AD134-AD136</f>
        <v>0</v>
      </c>
      <c r="AE137" s="37" t="n">
        <f aca="false">AD137+AE134-AE136</f>
        <v>0</v>
      </c>
      <c r="AF137" s="37" t="n">
        <f aca="false">AE137+AF134-AF136</f>
        <v>0</v>
      </c>
      <c r="AG137" s="37" t="n">
        <f aca="false">AF137+AG134-AG136</f>
        <v>0</v>
      </c>
      <c r="AH137" s="37" t="n">
        <f aca="false">AG137+AH134-AH136</f>
        <v>0</v>
      </c>
      <c r="AI137" s="37" t="n">
        <f aca="false">AH137+AI134-AI136</f>
        <v>0</v>
      </c>
      <c r="AJ137" s="37" t="n">
        <f aca="false">AI137+AJ134-AJ136</f>
        <v>0</v>
      </c>
      <c r="AK137" s="37" t="n">
        <f aca="false">AJ137+AK134-AK136</f>
        <v>0</v>
      </c>
      <c r="AL137" s="37" t="n">
        <f aca="false">AK137+AL134-AL136</f>
        <v>0</v>
      </c>
      <c r="AM137" s="37" t="n">
        <f aca="false">AL137+AM134-AM136</f>
        <v>0</v>
      </c>
      <c r="AN137" s="37" t="n">
        <f aca="false">AM137+AN134-AN136</f>
        <v>0</v>
      </c>
      <c r="AO137" s="37" t="n">
        <f aca="false">AN137+AO134-AO136</f>
        <v>0</v>
      </c>
      <c r="AP137" s="37" t="n">
        <f aca="false">AO137+AP134-AP136</f>
        <v>0</v>
      </c>
      <c r="AQ137" s="37" t="n">
        <f aca="false">AP137+AQ134-AQ136</f>
        <v>0</v>
      </c>
      <c r="AR137" s="37" t="n">
        <f aca="false">AQ137+AR134-AR136</f>
        <v>0</v>
      </c>
      <c r="AS137" s="37" t="n">
        <f aca="false">AR137+AS134-AS136</f>
        <v>0</v>
      </c>
      <c r="AT137" s="37" t="n">
        <f aca="false">AS137+AT134-AT136</f>
        <v>0</v>
      </c>
      <c r="AU137" s="37" t="n">
        <f aca="false">AT137+AU134-AU136</f>
        <v>0</v>
      </c>
      <c r="AV137" s="37" t="n">
        <f aca="false">AU137+AV134-AV136</f>
        <v>0</v>
      </c>
      <c r="AW137" s="37" t="n">
        <f aca="false">AV137+AW134-AW136</f>
        <v>0</v>
      </c>
      <c r="AX137" s="37" t="n">
        <f aca="false">AW137+AX134-AX136</f>
        <v>0</v>
      </c>
      <c r="AY137" s="37" t="n">
        <f aca="false">AX137+AY134-AY136</f>
        <v>0</v>
      </c>
      <c r="AZ137" s="37" t="n">
        <f aca="false">AY137+AZ134-AZ136</f>
        <v>0</v>
      </c>
      <c r="BA137" s="37" t="n">
        <f aca="false">AZ137+BA134-BA136</f>
        <v>0</v>
      </c>
      <c r="BB137" s="37" t="n">
        <f aca="false">BA137+BB134-BB136</f>
        <v>0</v>
      </c>
      <c r="BC137" s="37" t="n">
        <f aca="false">BB137+BC134-BC136</f>
        <v>0</v>
      </c>
      <c r="BD137" s="37" t="n">
        <f aca="false">BC137+BD134-BD136</f>
        <v>0</v>
      </c>
      <c r="BE137" s="37" t="n">
        <f aca="false">BD137+BE134-BE136</f>
        <v>0</v>
      </c>
      <c r="BF137" s="37" t="n">
        <f aca="false">BE137+BF134-BF136</f>
        <v>0</v>
      </c>
      <c r="BG137" s="37" t="n">
        <f aca="false">BF137+BG134-BG136</f>
        <v>0</v>
      </c>
      <c r="BH137" s="37" t="n">
        <f aca="false">BG137+BH134-BH136</f>
        <v>0</v>
      </c>
      <c r="BI137" s="37" t="n">
        <f aca="false">BH137+BI134-BI136</f>
        <v>0</v>
      </c>
      <c r="BJ137" s="37" t="n">
        <f aca="false">BI137+BJ134-BJ136</f>
        <v>0</v>
      </c>
      <c r="BK137" s="37" t="n">
        <f aca="false">BJ137+BK134-BK136</f>
        <v>0</v>
      </c>
      <c r="BL137" s="37" t="n">
        <f aca="false">BK137+BL134-BL136</f>
        <v>0</v>
      </c>
      <c r="BM137" s="37" t="n">
        <f aca="false">BL137+BM134-BM136</f>
        <v>0</v>
      </c>
      <c r="BN137" s="37" t="n">
        <f aca="false">BM137+BN134-BN136</f>
        <v>0</v>
      </c>
      <c r="BO137" s="37" t="n">
        <f aca="false">BN137+BO134-BO136</f>
        <v>0</v>
      </c>
      <c r="BP137" s="37" t="n">
        <f aca="false">BO137+BP134-BP136</f>
        <v>0</v>
      </c>
      <c r="BQ137" s="37" t="n">
        <f aca="false">BP137+BQ134-BQ136</f>
        <v>0</v>
      </c>
      <c r="BR137" s="37" t="n">
        <f aca="false">BQ137+BR134-BR136</f>
        <v>0</v>
      </c>
      <c r="BS137" s="37" t="n">
        <f aca="false">BR137+BS134-BS136</f>
        <v>0</v>
      </c>
      <c r="BT137" s="37" t="n">
        <f aca="false">BS137+BT134-BT136</f>
        <v>0</v>
      </c>
      <c r="BU137" s="37" t="n">
        <f aca="false">BT137+BU134-BU136</f>
        <v>0</v>
      </c>
      <c r="BV137" s="37" t="n">
        <f aca="false">BU137+BV134-BV136</f>
        <v>0</v>
      </c>
      <c r="BW137" s="37" t="n">
        <f aca="false">BV137+BW134-BW136</f>
        <v>0</v>
      </c>
      <c r="BX137" s="37" t="n">
        <f aca="false">BW137+BX134-BX136</f>
        <v>0</v>
      </c>
      <c r="BY137" s="37" t="n">
        <f aca="false">BX137+BY134-BY136</f>
        <v>0</v>
      </c>
      <c r="BZ137" s="37" t="n">
        <f aca="false">BY137+BZ134-BZ136</f>
        <v>0</v>
      </c>
      <c r="CA137" s="37" t="n">
        <f aca="false">BZ137+CA134-CA136</f>
        <v>0</v>
      </c>
      <c r="CB137" s="37" t="n">
        <f aca="false">CA137+CB134-CB136</f>
        <v>0</v>
      </c>
      <c r="CC137" s="37" t="n">
        <f aca="false">CB137+CC134-CC136</f>
        <v>0</v>
      </c>
      <c r="CD137" s="37" t="n">
        <f aca="false">CC137+CD134-CD136</f>
        <v>0</v>
      </c>
      <c r="CE137" s="37" t="n">
        <f aca="false">CD137+CE134-CE136</f>
        <v>0</v>
      </c>
      <c r="CF137" s="37" t="n">
        <f aca="false">CE137+CF134-CF136</f>
        <v>0</v>
      </c>
      <c r="CG137" s="37" t="n">
        <f aca="false">CF137+CG134-CG136</f>
        <v>0</v>
      </c>
      <c r="CH137" s="37" t="n">
        <f aca="false">CG137+CH134-CH136</f>
        <v>0</v>
      </c>
      <c r="CI137" s="37" t="n">
        <f aca="false">CH137+CI134-CI136</f>
        <v>0</v>
      </c>
      <c r="CJ137" s="37" t="n">
        <f aca="false">CI137+CJ134-CJ136</f>
        <v>0</v>
      </c>
      <c r="CK137" s="37" t="n">
        <f aca="false">CJ137+CK134-CK136</f>
        <v>0</v>
      </c>
      <c r="CL137" s="37" t="n">
        <f aca="false">CK137+CL134-CL136</f>
        <v>0</v>
      </c>
      <c r="CM137" s="37" t="n">
        <f aca="false">CL137+CM134-CM136</f>
        <v>0</v>
      </c>
      <c r="CN137" s="37" t="n">
        <f aca="false">CM137+CN134-CN136</f>
        <v>0</v>
      </c>
      <c r="CO137" s="37" t="n">
        <f aca="false">CN137+CO134-CO136</f>
        <v>0</v>
      </c>
      <c r="CP137" s="37" t="n">
        <f aca="false">CO137+CP134-CP136</f>
        <v>0</v>
      </c>
      <c r="CQ137" s="37" t="n">
        <f aca="false">CP137+CQ134-CQ136</f>
        <v>0</v>
      </c>
      <c r="CR137" s="37" t="n">
        <f aca="false">CQ137+CR134-CR136</f>
        <v>0</v>
      </c>
      <c r="CS137" s="37" t="n">
        <f aca="false">CR137+CS134-CS136</f>
        <v>0</v>
      </c>
      <c r="CT137" s="37" t="n">
        <f aca="false">CS137+CT134-CT136</f>
        <v>0</v>
      </c>
      <c r="CU137" s="37" t="n">
        <f aca="false">CT137+CU134-CU136</f>
        <v>0</v>
      </c>
      <c r="CV137" s="37" t="n">
        <f aca="false">CU137+CV134-CV136</f>
        <v>0</v>
      </c>
      <c r="CW137" s="37" t="n">
        <f aca="false">CV137+CW134-CW136</f>
        <v>0</v>
      </c>
      <c r="CX137" s="37" t="n">
        <f aca="false">CW137+CX134-CX136</f>
        <v>0</v>
      </c>
      <c r="CY137" s="37" t="n">
        <f aca="false">CX137+CY134-CY136</f>
        <v>0</v>
      </c>
      <c r="CZ137" s="37" t="n">
        <f aca="false">CY137+CZ134-CZ136</f>
        <v>0</v>
      </c>
      <c r="DA137" s="37" t="n">
        <f aca="false">CZ137+DA134-DA136</f>
        <v>0</v>
      </c>
      <c r="DB137" s="37" t="n">
        <f aca="false">DA137+DB134-DB136</f>
        <v>0</v>
      </c>
      <c r="DC137" s="37" t="n">
        <f aca="false">DB137+DC134-DC136</f>
        <v>0</v>
      </c>
      <c r="DD137" s="37" t="n">
        <f aca="false">DC137+DD134-DD136</f>
        <v>0</v>
      </c>
      <c r="DE137" s="37" t="n">
        <f aca="false">DD137+DE134-DE136</f>
        <v>0</v>
      </c>
      <c r="DF137" s="37" t="n">
        <f aca="false">DE137+DF134-DF136</f>
        <v>0</v>
      </c>
      <c r="DG137" s="37" t="n">
        <f aca="false">DF137+DG134-DG136</f>
        <v>0</v>
      </c>
      <c r="DH137" s="37" t="n">
        <f aca="false">DG137+DH134-DH136</f>
        <v>0</v>
      </c>
      <c r="DI137" s="37" t="n">
        <f aca="false">DH137+DI134-DI136</f>
        <v>0</v>
      </c>
      <c r="DJ137" s="37" t="n">
        <f aca="false">DI137+DJ134-DJ136</f>
        <v>0</v>
      </c>
      <c r="DK137" s="37" t="n">
        <f aca="false">DJ137+DK134-DK136</f>
        <v>0</v>
      </c>
      <c r="DL137" s="37" t="n">
        <f aca="false">DK137+DL134-DL136</f>
        <v>0</v>
      </c>
      <c r="DM137" s="37" t="n">
        <f aca="false">DL137+DM134-DM136</f>
        <v>0</v>
      </c>
      <c r="DN137" s="37" t="n">
        <f aca="false">DM137+DN134-DN136</f>
        <v>0</v>
      </c>
      <c r="DO137" s="37" t="n">
        <f aca="false">DN137+DO134-DO136</f>
        <v>0</v>
      </c>
      <c r="DP137" s="37" t="n">
        <f aca="false">DO137+DP134-DP136</f>
        <v>0</v>
      </c>
      <c r="DQ137" s="37" t="n">
        <f aca="false">DP137+DQ134-DQ136</f>
        <v>0</v>
      </c>
      <c r="DR137" s="37" t="n">
        <f aca="false">DQ137+DR134-DR136</f>
        <v>0</v>
      </c>
      <c r="DS137" s="37" t="n">
        <f aca="false">DR137+DS134-DS136</f>
        <v>0</v>
      </c>
      <c r="DT137" s="37" t="n">
        <f aca="false">DS137+DT134-DT136</f>
        <v>0</v>
      </c>
      <c r="DU137" s="37" t="n">
        <f aca="false">DT137+DU134-DU136</f>
        <v>0</v>
      </c>
      <c r="DV137" s="37" t="n">
        <f aca="false">DU137+DV134-DV136</f>
        <v>0</v>
      </c>
      <c r="DW137" s="37" t="n">
        <f aca="false">DV137+DW134-DW136</f>
        <v>0</v>
      </c>
      <c r="DX137" s="37" t="n">
        <f aca="false">DW137+DX134-DX136</f>
        <v>0</v>
      </c>
      <c r="DY137" s="37" t="n">
        <f aca="false">DX137+DY134-DY136</f>
        <v>0</v>
      </c>
      <c r="DZ137" s="37" t="n">
        <f aca="false">DY137+DZ134-DZ136</f>
        <v>0</v>
      </c>
      <c r="EA137" s="37" t="n">
        <f aca="false">DZ137+EA134-EA136</f>
        <v>0</v>
      </c>
      <c r="EB137" s="37" t="n">
        <f aca="false">EA137+EB134-EB136</f>
        <v>0</v>
      </c>
      <c r="EC137" s="37" t="n">
        <f aca="false">EB137+EC134-EC136</f>
        <v>0</v>
      </c>
      <c r="ED137" s="37" t="n">
        <f aca="false">EC137+ED134-ED136</f>
        <v>0</v>
      </c>
      <c r="EE137" s="37" t="n">
        <f aca="false">ED137+EE134-EE136</f>
        <v>0</v>
      </c>
      <c r="EF137" s="37" t="n">
        <f aca="false">EE137+EF134-EF136</f>
        <v>0</v>
      </c>
    </row>
    <row r="139" customFormat="false" ht="15" hidden="false" customHeight="false" outlineLevel="0" collapsed="false">
      <c r="A139" s="34" t="s">
        <v>672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</row>
    <row r="140" customFormat="false" ht="15" hidden="false" customHeight="false" outlineLevel="0" collapsed="false">
      <c r="A140" s="36" t="s">
        <v>673</v>
      </c>
      <c r="B140" s="278" t="s">
        <v>21</v>
      </c>
      <c r="C140" s="279" t="n">
        <f aca="false">SUM(E140:EF140)</f>
        <v>63060.3954680935</v>
      </c>
      <c r="E140" s="37" t="n">
        <f aca="false">SUMIF(③기타_가정!$I$462:$I$466,E6,③기타_가정!$E$462:$E$466)</f>
        <v>11571.5825683952</v>
      </c>
      <c r="F140" s="37" t="n">
        <f aca="false">SUMIF(③기타_가정!$I$462:$I$466,F6,③기타_가정!$E$462:$E$466)</f>
        <v>0</v>
      </c>
      <c r="G140" s="37" t="n">
        <f aca="false">SUMIF(③기타_가정!$I$462:$I$466,G6,③기타_가정!$E$462:$E$466)</f>
        <v>0</v>
      </c>
      <c r="H140" s="37" t="n">
        <f aca="false">SUMIF(③기타_가정!$I$462:$I$466,H6,③기타_가정!$E$462:$E$466)</f>
        <v>0</v>
      </c>
      <c r="I140" s="37" t="n">
        <f aca="false">SUMIF(③기타_가정!$I$462:$I$466,I6,③기타_가정!$E$462:$E$466)</f>
        <v>0</v>
      </c>
      <c r="J140" s="37" t="n">
        <f aca="false">SUMIF(③기타_가정!$I$462:$I$466,J6,③기타_가정!$E$462:$E$466)</f>
        <v>0</v>
      </c>
      <c r="K140" s="37" t="n">
        <f aca="false">SUMIF(③기타_가정!$I$462:$I$466,K6,③기타_가정!$E$462:$E$466)</f>
        <v>0</v>
      </c>
      <c r="L140" s="37" t="n">
        <f aca="false">SUMIF(③기타_가정!$I$462:$I$466,L6,③기타_가정!$E$462:$E$466)</f>
        <v>0</v>
      </c>
      <c r="M140" s="37" t="n">
        <f aca="false">SUMIF(③기타_가정!$I$462:$I$466,M6,③기타_가정!$E$462:$E$466)</f>
        <v>0</v>
      </c>
      <c r="N140" s="37" t="n">
        <f aca="false">SUMIF(③기타_가정!$I$462:$I$466,N6,③기타_가정!$E$462:$E$466)</f>
        <v>0</v>
      </c>
      <c r="O140" s="37" t="n">
        <f aca="false">SUMIF(③기타_가정!$I$462:$I$466,O6,③기타_가정!$E$462:$E$466)</f>
        <v>0</v>
      </c>
      <c r="P140" s="37" t="n">
        <f aca="false">SUMIF(③기타_가정!$I$462:$I$466,P6,③기타_가정!$E$462:$E$466)</f>
        <v>0</v>
      </c>
      <c r="Q140" s="37" t="n">
        <f aca="false">SUMIF(③기타_가정!$I$462:$I$466,Q6,③기타_가정!$E$462:$E$466)</f>
        <v>0</v>
      </c>
      <c r="R140" s="37" t="n">
        <f aca="false">SUMIF(③기타_가정!$I$462:$I$466,R6,③기타_가정!$E$462:$E$466)</f>
        <v>0</v>
      </c>
      <c r="S140" s="37" t="n">
        <f aca="false">SUMIF(③기타_가정!$I$462:$I$466,S6,③기타_가정!$E$462:$E$466)</f>
        <v>0</v>
      </c>
      <c r="T140" s="37" t="n">
        <f aca="false">SUMIF(③기타_가정!$I$462:$I$466,T6,③기타_가정!$E$462:$E$466)</f>
        <v>0</v>
      </c>
      <c r="U140" s="37" t="n">
        <f aca="false">SUMIF(③기타_가정!$I$462:$I$466,U6,③기타_가정!$E$462:$E$466)</f>
        <v>0</v>
      </c>
      <c r="V140" s="37" t="n">
        <f aca="false">SUMIF(③기타_가정!$I$462:$I$466,V6,③기타_가정!$E$462:$E$466)</f>
        <v>0</v>
      </c>
      <c r="W140" s="37" t="n">
        <f aca="false">SUMIF(③기타_가정!$I$462:$I$466,W6,③기타_가정!$E$462:$E$466)</f>
        <v>51488.8128996984</v>
      </c>
      <c r="X140" s="37" t="n">
        <f aca="false">SUMIF(③기타_가정!$I$462:$I$466,X6,③기타_가정!$E$462:$E$466)</f>
        <v>0</v>
      </c>
      <c r="Y140" s="37" t="n">
        <f aca="false">SUMIF(③기타_가정!$I$462:$I$466,Y6,③기타_가정!$E$462:$E$466)</f>
        <v>0</v>
      </c>
      <c r="Z140" s="37" t="n">
        <f aca="false">SUMIF(③기타_가정!$I$462:$I$466,Z6,③기타_가정!$E$462:$E$466)</f>
        <v>0</v>
      </c>
      <c r="AA140" s="37" t="n">
        <f aca="false">SUMIF(③기타_가정!$I$462:$I$466,AA6,③기타_가정!$E$462:$E$466)</f>
        <v>0</v>
      </c>
      <c r="AB140" s="37" t="n">
        <f aca="false">SUMIF(③기타_가정!$I$462:$I$466,AB6,③기타_가정!$E$462:$E$466)</f>
        <v>0</v>
      </c>
      <c r="AC140" s="37" t="n">
        <f aca="false">SUMIF(③기타_가정!$I$462:$I$466,AC6,③기타_가정!$E$462:$E$466)</f>
        <v>0</v>
      </c>
      <c r="AD140" s="37" t="n">
        <f aca="false">SUMIF(③기타_가정!$I$462:$I$466,AD6,③기타_가정!$E$462:$E$466)</f>
        <v>0</v>
      </c>
      <c r="AE140" s="37" t="n">
        <f aca="false">SUMIF(③기타_가정!$I$462:$I$466,AE6,③기타_가정!$E$462:$E$466)</f>
        <v>0</v>
      </c>
      <c r="AF140" s="37" t="n">
        <f aca="false">SUMIF(③기타_가정!$I$462:$I$466,AF6,③기타_가정!$E$462:$E$466)</f>
        <v>0</v>
      </c>
      <c r="AG140" s="37" t="n">
        <f aca="false">SUMIF(③기타_가정!$I$462:$I$466,AG6,③기타_가정!$E$462:$E$466)</f>
        <v>0</v>
      </c>
      <c r="AH140" s="37" t="n">
        <f aca="false">SUMIF(③기타_가정!$I$462:$I$466,AH6,③기타_가정!$E$462:$E$466)</f>
        <v>0</v>
      </c>
      <c r="AI140" s="37" t="n">
        <f aca="false">SUMIF(③기타_가정!$I$462:$I$466,AI6,③기타_가정!$E$462:$E$466)</f>
        <v>0</v>
      </c>
      <c r="AJ140" s="37" t="n">
        <f aca="false">SUMIF(③기타_가정!$I$462:$I$466,AJ6,③기타_가정!$E$462:$E$466)</f>
        <v>0</v>
      </c>
      <c r="AK140" s="37" t="n">
        <f aca="false">SUMIF(③기타_가정!$I$462:$I$466,AK6,③기타_가정!$E$462:$E$466)</f>
        <v>0</v>
      </c>
      <c r="AL140" s="37" t="n">
        <f aca="false">SUMIF(③기타_가정!$I$462:$I$466,AL6,③기타_가정!$E$462:$E$466)</f>
        <v>0</v>
      </c>
      <c r="AM140" s="37" t="n">
        <f aca="false">SUMIF(③기타_가정!$I$462:$I$466,AM6,③기타_가정!$E$462:$E$466)</f>
        <v>0</v>
      </c>
      <c r="AN140" s="37" t="n">
        <f aca="false">SUMIF(③기타_가정!$I$462:$I$466,AN6,③기타_가정!$E$462:$E$466)</f>
        <v>0</v>
      </c>
      <c r="AO140" s="37" t="n">
        <f aca="false">SUMIF(③기타_가정!$I$462:$I$466,AO6,③기타_가정!$E$462:$E$466)</f>
        <v>0</v>
      </c>
      <c r="AP140" s="37" t="n">
        <f aca="false">SUMIF(③기타_가정!$I$462:$I$466,AP6,③기타_가정!$E$462:$E$466)</f>
        <v>0</v>
      </c>
      <c r="AQ140" s="37" t="n">
        <f aca="false">SUMIF(③기타_가정!$I$462:$I$466,AQ6,③기타_가정!$E$462:$E$466)</f>
        <v>0</v>
      </c>
      <c r="AR140" s="37" t="n">
        <f aca="false">SUMIF(③기타_가정!$I$462:$I$466,AR6,③기타_가정!$E$462:$E$466)</f>
        <v>0</v>
      </c>
      <c r="AS140" s="37" t="n">
        <f aca="false">SUMIF(③기타_가정!$I$462:$I$466,AS6,③기타_가정!$E$462:$E$466)</f>
        <v>0</v>
      </c>
      <c r="AT140" s="37" t="n">
        <f aca="false">SUMIF(③기타_가정!$I$462:$I$466,AT6,③기타_가정!$E$462:$E$466)</f>
        <v>0</v>
      </c>
      <c r="AU140" s="37" t="n">
        <f aca="false">SUMIF(③기타_가정!$I$462:$I$466,AU6,③기타_가정!$E$462:$E$466)</f>
        <v>0</v>
      </c>
      <c r="AV140" s="37" t="n">
        <f aca="false">SUMIF(③기타_가정!$I$462:$I$466,AV6,③기타_가정!$E$462:$E$466)</f>
        <v>0</v>
      </c>
      <c r="AW140" s="37" t="n">
        <f aca="false">SUMIF(③기타_가정!$I$462:$I$466,AW6,③기타_가정!$E$462:$E$466)</f>
        <v>0</v>
      </c>
      <c r="AX140" s="37" t="n">
        <f aca="false">SUMIF(③기타_가정!$I$462:$I$466,AX6,③기타_가정!$E$462:$E$466)</f>
        <v>0</v>
      </c>
      <c r="AY140" s="37" t="n">
        <f aca="false">SUMIF(③기타_가정!$I$462:$I$466,AY6,③기타_가정!$E$462:$E$466)</f>
        <v>0</v>
      </c>
      <c r="AZ140" s="37" t="n">
        <f aca="false">SUMIF(③기타_가정!$I$462:$I$466,AZ6,③기타_가정!$E$462:$E$466)</f>
        <v>0</v>
      </c>
      <c r="BA140" s="37" t="n">
        <f aca="false">SUMIF(③기타_가정!$I$462:$I$466,BA6,③기타_가정!$E$462:$E$466)</f>
        <v>0</v>
      </c>
      <c r="BB140" s="37" t="n">
        <f aca="false">SUMIF(③기타_가정!$I$462:$I$466,BB6,③기타_가정!$E$462:$E$466)</f>
        <v>0</v>
      </c>
      <c r="BC140" s="37" t="n">
        <f aca="false">SUMIF(③기타_가정!$I$462:$I$466,BC6,③기타_가정!$E$462:$E$466)</f>
        <v>0</v>
      </c>
      <c r="BD140" s="37" t="n">
        <f aca="false">SUMIF(③기타_가정!$I$462:$I$466,BD6,③기타_가정!$E$462:$E$466)</f>
        <v>0</v>
      </c>
      <c r="BE140" s="37" t="n">
        <f aca="false">SUMIF(③기타_가정!$I$462:$I$466,BE6,③기타_가정!$E$462:$E$466)</f>
        <v>0</v>
      </c>
      <c r="BF140" s="37" t="n">
        <f aca="false">SUMIF(③기타_가정!$I$462:$I$466,BF6,③기타_가정!$E$462:$E$466)</f>
        <v>0</v>
      </c>
      <c r="BG140" s="37" t="n">
        <f aca="false">SUMIF(③기타_가정!$I$462:$I$466,BG6,③기타_가정!$E$462:$E$466)</f>
        <v>0</v>
      </c>
      <c r="BH140" s="37" t="n">
        <f aca="false">SUMIF(③기타_가정!$I$462:$I$466,BH6,③기타_가정!$E$462:$E$466)</f>
        <v>0</v>
      </c>
      <c r="BI140" s="37" t="n">
        <f aca="false">SUMIF(③기타_가정!$I$462:$I$466,BI6,③기타_가정!$E$462:$E$466)</f>
        <v>0</v>
      </c>
      <c r="BJ140" s="37" t="n">
        <f aca="false">SUMIF(③기타_가정!$I$462:$I$466,BJ6,③기타_가정!$E$462:$E$466)</f>
        <v>0</v>
      </c>
      <c r="BK140" s="37" t="n">
        <f aca="false">SUMIF(③기타_가정!$I$462:$I$466,BK6,③기타_가정!$E$462:$E$466)</f>
        <v>0</v>
      </c>
      <c r="BL140" s="37" t="n">
        <f aca="false">SUMIF(③기타_가정!$I$462:$I$466,BL6,③기타_가정!$E$462:$E$466)</f>
        <v>0</v>
      </c>
      <c r="BM140" s="37" t="n">
        <f aca="false">SUMIF(③기타_가정!$I$462:$I$466,BM6,③기타_가정!$E$462:$E$466)</f>
        <v>0</v>
      </c>
      <c r="BN140" s="37" t="n">
        <f aca="false">SUMIF(③기타_가정!$I$462:$I$466,BN6,③기타_가정!$E$462:$E$466)</f>
        <v>0</v>
      </c>
      <c r="BO140" s="37" t="n">
        <f aca="false">SUMIF(③기타_가정!$I$462:$I$466,BO6,③기타_가정!$E$462:$E$466)</f>
        <v>0</v>
      </c>
      <c r="BP140" s="37" t="n">
        <f aca="false">SUMIF(③기타_가정!$I$462:$I$466,BP6,③기타_가정!$E$462:$E$466)</f>
        <v>0</v>
      </c>
      <c r="BQ140" s="37" t="n">
        <f aca="false">SUMIF(③기타_가정!$I$462:$I$466,BQ6,③기타_가정!$E$462:$E$466)</f>
        <v>0</v>
      </c>
      <c r="BR140" s="37" t="n">
        <f aca="false">SUMIF(③기타_가정!$I$462:$I$466,BR6,③기타_가정!$E$462:$E$466)</f>
        <v>0</v>
      </c>
      <c r="BS140" s="37" t="n">
        <f aca="false">SUMIF(③기타_가정!$I$462:$I$466,BS6,③기타_가정!$E$462:$E$466)</f>
        <v>0</v>
      </c>
      <c r="BT140" s="37" t="n">
        <f aca="false">SUMIF(③기타_가정!$I$462:$I$466,BT6,③기타_가정!$E$462:$E$466)</f>
        <v>0</v>
      </c>
      <c r="BU140" s="37" t="n">
        <f aca="false">SUMIF(③기타_가정!$I$462:$I$466,BU6,③기타_가정!$E$462:$E$466)</f>
        <v>0</v>
      </c>
      <c r="BV140" s="37" t="n">
        <f aca="false">SUMIF(③기타_가정!$I$462:$I$466,BV6,③기타_가정!$E$462:$E$466)</f>
        <v>0</v>
      </c>
      <c r="BW140" s="37" t="n">
        <f aca="false">SUMIF(③기타_가정!$I$462:$I$466,BW6,③기타_가정!$E$462:$E$466)</f>
        <v>0</v>
      </c>
      <c r="BX140" s="37" t="n">
        <f aca="false">SUMIF(③기타_가정!$I$462:$I$466,BX6,③기타_가정!$E$462:$E$466)</f>
        <v>0</v>
      </c>
      <c r="BY140" s="37" t="n">
        <f aca="false">SUMIF(③기타_가정!$I$462:$I$466,BY6,③기타_가정!$E$462:$E$466)</f>
        <v>0</v>
      </c>
      <c r="BZ140" s="37" t="n">
        <f aca="false">SUMIF(③기타_가정!$I$462:$I$466,BZ6,③기타_가정!$E$462:$E$466)</f>
        <v>0</v>
      </c>
      <c r="CA140" s="37" t="n">
        <f aca="false">SUMIF(③기타_가정!$I$462:$I$466,CA6,③기타_가정!$E$462:$E$466)</f>
        <v>0</v>
      </c>
      <c r="CB140" s="37" t="n">
        <f aca="false">SUMIF(③기타_가정!$I$462:$I$466,CB6,③기타_가정!$E$462:$E$466)</f>
        <v>0</v>
      </c>
      <c r="CC140" s="37" t="n">
        <f aca="false">SUMIF(③기타_가정!$I$462:$I$466,CC6,③기타_가정!$E$462:$E$466)</f>
        <v>0</v>
      </c>
      <c r="CD140" s="37" t="n">
        <f aca="false">SUMIF(③기타_가정!$I$462:$I$466,CD6,③기타_가정!$E$462:$E$466)</f>
        <v>0</v>
      </c>
      <c r="CE140" s="37" t="n">
        <f aca="false">SUMIF(③기타_가정!$I$462:$I$466,CE6,③기타_가정!$E$462:$E$466)</f>
        <v>0</v>
      </c>
      <c r="CF140" s="37" t="n">
        <f aca="false">SUMIF(③기타_가정!$I$462:$I$466,CF6,③기타_가정!$E$462:$E$466)</f>
        <v>0</v>
      </c>
      <c r="CG140" s="37" t="n">
        <f aca="false">SUMIF(③기타_가정!$I$462:$I$466,CG6,③기타_가정!$E$462:$E$466)</f>
        <v>0</v>
      </c>
      <c r="CH140" s="37" t="n">
        <f aca="false">SUMIF(③기타_가정!$I$462:$I$466,CH6,③기타_가정!$E$462:$E$466)</f>
        <v>0</v>
      </c>
      <c r="CI140" s="37" t="n">
        <f aca="false">SUMIF(③기타_가정!$I$462:$I$466,CI6,③기타_가정!$E$462:$E$466)</f>
        <v>0</v>
      </c>
      <c r="CJ140" s="37" t="n">
        <f aca="false">SUMIF(③기타_가정!$I$462:$I$466,CJ6,③기타_가정!$E$462:$E$466)</f>
        <v>0</v>
      </c>
      <c r="CK140" s="37" t="n">
        <f aca="false">SUMIF(③기타_가정!$I$462:$I$466,CK6,③기타_가정!$E$462:$E$466)</f>
        <v>0</v>
      </c>
      <c r="CL140" s="37" t="n">
        <f aca="false">SUMIF(③기타_가정!$I$462:$I$466,CL6,③기타_가정!$E$462:$E$466)</f>
        <v>0</v>
      </c>
      <c r="CM140" s="37" t="n">
        <f aca="false">SUMIF(③기타_가정!$I$462:$I$466,CM6,③기타_가정!$E$462:$E$466)</f>
        <v>0</v>
      </c>
      <c r="CN140" s="37" t="n">
        <f aca="false">SUMIF(③기타_가정!$I$462:$I$466,CN6,③기타_가정!$E$462:$E$466)</f>
        <v>0</v>
      </c>
      <c r="CO140" s="37" t="n">
        <f aca="false">SUMIF(③기타_가정!$I$462:$I$466,CO6,③기타_가정!$E$462:$E$466)</f>
        <v>0</v>
      </c>
      <c r="CP140" s="37" t="n">
        <f aca="false">SUMIF(③기타_가정!$I$462:$I$466,CP6,③기타_가정!$E$462:$E$466)</f>
        <v>0</v>
      </c>
      <c r="CQ140" s="37" t="n">
        <f aca="false">SUMIF(③기타_가정!$I$462:$I$466,CQ6,③기타_가정!$E$462:$E$466)</f>
        <v>0</v>
      </c>
      <c r="CR140" s="37" t="n">
        <f aca="false">SUMIF(③기타_가정!$I$462:$I$466,CR6,③기타_가정!$E$462:$E$466)</f>
        <v>0</v>
      </c>
      <c r="CS140" s="37" t="n">
        <f aca="false">SUMIF(③기타_가정!$I$462:$I$466,CS6,③기타_가정!$E$462:$E$466)</f>
        <v>0</v>
      </c>
      <c r="CT140" s="37" t="n">
        <f aca="false">SUMIF(③기타_가정!$I$462:$I$466,CT6,③기타_가정!$E$462:$E$466)</f>
        <v>0</v>
      </c>
      <c r="CU140" s="37" t="n">
        <f aca="false">SUMIF(③기타_가정!$I$462:$I$466,CU6,③기타_가정!$E$462:$E$466)</f>
        <v>0</v>
      </c>
      <c r="CV140" s="37" t="n">
        <f aca="false">SUMIF(③기타_가정!$I$462:$I$466,CV6,③기타_가정!$E$462:$E$466)</f>
        <v>0</v>
      </c>
      <c r="CW140" s="37" t="n">
        <f aca="false">SUMIF(③기타_가정!$I$462:$I$466,CW6,③기타_가정!$E$462:$E$466)</f>
        <v>0</v>
      </c>
      <c r="CX140" s="37" t="n">
        <f aca="false">SUMIF(③기타_가정!$I$462:$I$466,CX6,③기타_가정!$E$462:$E$466)</f>
        <v>0</v>
      </c>
      <c r="CY140" s="37" t="n">
        <f aca="false">SUMIF(③기타_가정!$I$462:$I$466,CY6,③기타_가정!$E$462:$E$466)</f>
        <v>0</v>
      </c>
      <c r="CZ140" s="37" t="n">
        <f aca="false">SUMIF(③기타_가정!$I$462:$I$466,CZ6,③기타_가정!$E$462:$E$466)</f>
        <v>0</v>
      </c>
      <c r="DA140" s="37" t="n">
        <f aca="false">SUMIF(③기타_가정!$I$462:$I$466,DA6,③기타_가정!$E$462:$E$466)</f>
        <v>0</v>
      </c>
      <c r="DB140" s="37" t="n">
        <f aca="false">SUMIF(③기타_가정!$I$462:$I$466,DB6,③기타_가정!$E$462:$E$466)</f>
        <v>0</v>
      </c>
      <c r="DC140" s="37" t="n">
        <f aca="false">SUMIF(③기타_가정!$I$462:$I$466,DC6,③기타_가정!$E$462:$E$466)</f>
        <v>0</v>
      </c>
      <c r="DD140" s="37" t="n">
        <f aca="false">SUMIF(③기타_가정!$I$462:$I$466,DD6,③기타_가정!$E$462:$E$466)</f>
        <v>0</v>
      </c>
      <c r="DE140" s="37" t="n">
        <f aca="false">SUMIF(③기타_가정!$I$462:$I$466,DE6,③기타_가정!$E$462:$E$466)</f>
        <v>0</v>
      </c>
      <c r="DF140" s="37" t="n">
        <f aca="false">SUMIF(③기타_가정!$I$462:$I$466,DF6,③기타_가정!$E$462:$E$466)</f>
        <v>0</v>
      </c>
      <c r="DG140" s="37" t="n">
        <f aca="false">SUMIF(③기타_가정!$I$462:$I$466,DG6,③기타_가정!$E$462:$E$466)</f>
        <v>0</v>
      </c>
      <c r="DH140" s="37" t="n">
        <f aca="false">SUMIF(③기타_가정!$I$462:$I$466,DH6,③기타_가정!$E$462:$E$466)</f>
        <v>0</v>
      </c>
      <c r="DI140" s="37" t="n">
        <f aca="false">SUMIF(③기타_가정!$I$462:$I$466,DI6,③기타_가정!$E$462:$E$466)</f>
        <v>0</v>
      </c>
      <c r="DJ140" s="37" t="n">
        <f aca="false">SUMIF(③기타_가정!$I$462:$I$466,DJ6,③기타_가정!$E$462:$E$466)</f>
        <v>0</v>
      </c>
      <c r="DK140" s="37" t="n">
        <f aca="false">SUMIF(③기타_가정!$I$462:$I$466,DK6,③기타_가정!$E$462:$E$466)</f>
        <v>0</v>
      </c>
      <c r="DL140" s="37" t="n">
        <f aca="false">SUMIF(③기타_가정!$I$462:$I$466,DL6,③기타_가정!$E$462:$E$466)</f>
        <v>0</v>
      </c>
      <c r="DM140" s="37" t="n">
        <f aca="false">SUMIF(③기타_가정!$I$462:$I$466,DM6,③기타_가정!$E$462:$E$466)</f>
        <v>0</v>
      </c>
      <c r="DN140" s="37" t="n">
        <f aca="false">SUMIF(③기타_가정!$I$462:$I$466,DN6,③기타_가정!$E$462:$E$466)</f>
        <v>0</v>
      </c>
      <c r="DO140" s="37" t="n">
        <f aca="false">SUMIF(③기타_가정!$I$462:$I$466,DO6,③기타_가정!$E$462:$E$466)</f>
        <v>0</v>
      </c>
      <c r="DP140" s="37" t="n">
        <f aca="false">SUMIF(③기타_가정!$I$462:$I$466,DP6,③기타_가정!$E$462:$E$466)</f>
        <v>0</v>
      </c>
      <c r="DQ140" s="37" t="n">
        <f aca="false">SUMIF(③기타_가정!$I$462:$I$466,DQ6,③기타_가정!$E$462:$E$466)</f>
        <v>0</v>
      </c>
      <c r="DR140" s="37" t="n">
        <f aca="false">SUMIF(③기타_가정!$I$462:$I$466,DR6,③기타_가정!$E$462:$E$466)</f>
        <v>0</v>
      </c>
      <c r="DS140" s="37" t="n">
        <f aca="false">SUMIF(③기타_가정!$I$462:$I$466,DS6,③기타_가정!$E$462:$E$466)</f>
        <v>0</v>
      </c>
      <c r="DT140" s="37" t="n">
        <f aca="false">SUMIF(③기타_가정!$I$462:$I$466,DT6,③기타_가정!$E$462:$E$466)</f>
        <v>0</v>
      </c>
      <c r="DU140" s="37" t="n">
        <f aca="false">SUMIF(③기타_가정!$I$462:$I$466,DU6,③기타_가정!$E$462:$E$466)</f>
        <v>0</v>
      </c>
      <c r="DV140" s="37" t="n">
        <f aca="false">SUMIF(③기타_가정!$I$462:$I$466,DV6,③기타_가정!$E$462:$E$466)</f>
        <v>0</v>
      </c>
      <c r="DW140" s="37" t="n">
        <f aca="false">SUMIF(③기타_가정!$I$462:$I$466,DW6,③기타_가정!$E$462:$E$466)</f>
        <v>0</v>
      </c>
      <c r="DX140" s="37" t="n">
        <f aca="false">SUMIF(③기타_가정!$I$462:$I$466,DX6,③기타_가정!$E$462:$E$466)</f>
        <v>0</v>
      </c>
      <c r="DY140" s="37" t="n">
        <f aca="false">SUMIF(③기타_가정!$I$462:$I$466,DY6,③기타_가정!$E$462:$E$466)</f>
        <v>0</v>
      </c>
      <c r="DZ140" s="37" t="n">
        <f aca="false">SUMIF(③기타_가정!$I$462:$I$466,DZ6,③기타_가정!$E$462:$E$466)</f>
        <v>0</v>
      </c>
      <c r="EA140" s="37" t="n">
        <f aca="false">SUMIF(③기타_가정!$I$462:$I$466,EA6,③기타_가정!$E$462:$E$466)</f>
        <v>0</v>
      </c>
      <c r="EB140" s="37" t="n">
        <f aca="false">SUMIF(③기타_가정!$I$462:$I$466,EB6,③기타_가정!$E$462:$E$466)</f>
        <v>0</v>
      </c>
      <c r="EC140" s="37" t="n">
        <f aca="false">SUMIF(③기타_가정!$I$462:$I$466,EC6,③기타_가정!$E$462:$E$466)</f>
        <v>0</v>
      </c>
      <c r="ED140" s="37" t="n">
        <f aca="false">SUMIF(③기타_가정!$I$462:$I$466,ED6,③기타_가정!$E$462:$E$466)</f>
        <v>0</v>
      </c>
      <c r="EE140" s="37" t="n">
        <f aca="false">SUMIF(③기타_가정!$I$462:$I$466,EE6,③기타_가정!$E$462:$E$466)</f>
        <v>0</v>
      </c>
      <c r="EF140" s="37" t="n">
        <f aca="false">SUMIF(③기타_가정!$I$462:$I$466,EF6,③기타_가정!$E$462:$E$466)</f>
        <v>0</v>
      </c>
    </row>
    <row r="141" customFormat="false" ht="15" hidden="false" customHeight="false" outlineLevel="0" collapsed="false">
      <c r="A141" s="36" t="s">
        <v>674</v>
      </c>
      <c r="B141" s="278" t="s">
        <v>21</v>
      </c>
      <c r="C141" s="279" t="n">
        <f aca="false">SUM(E141:EF141)</f>
        <v>147140.922758885</v>
      </c>
      <c r="E141" s="37" t="n">
        <f aca="false">SUMIF(③기타_가정!$I$468:$I$472,E6,③기타_가정!$E$468:$E$472)</f>
        <v>0</v>
      </c>
      <c r="F141" s="37" t="n">
        <f aca="false">SUMIF(③기타_가정!$I$468:$I$472,F6,③기타_가정!$E$468:$E$472)</f>
        <v>0</v>
      </c>
      <c r="G141" s="37" t="n">
        <f aca="false">SUMIF(③기타_가정!$I$468:$I$472,G6,③기타_가정!$E$468:$E$472)</f>
        <v>0</v>
      </c>
      <c r="H141" s="37" t="n">
        <f aca="false">SUMIF(③기타_가정!$I$468:$I$472,H6,③기타_가정!$E$468:$E$472)</f>
        <v>0</v>
      </c>
      <c r="I141" s="37" t="n">
        <f aca="false">SUMIF(③기타_가정!$I$468:$I$472,I6,③기타_가정!$E$468:$E$472)</f>
        <v>0</v>
      </c>
      <c r="J141" s="37" t="n">
        <f aca="false">SUMIF(③기타_가정!$I$468:$I$472,J6,③기타_가정!$E$468:$E$472)</f>
        <v>0</v>
      </c>
      <c r="K141" s="37" t="n">
        <f aca="false">SUMIF(③기타_가정!$I$468:$I$472,K6,③기타_가정!$E$468:$E$472)</f>
        <v>0</v>
      </c>
      <c r="L141" s="37" t="n">
        <f aca="false">SUMIF(③기타_가정!$I$468:$I$472,L6,③기타_가정!$E$468:$E$472)</f>
        <v>0</v>
      </c>
      <c r="M141" s="37" t="n">
        <f aca="false">SUMIF(③기타_가정!$I$468:$I$472,M6,③기타_가정!$E$468:$E$472)</f>
        <v>0</v>
      </c>
      <c r="N141" s="37" t="n">
        <f aca="false">SUMIF(③기타_가정!$I$468:$I$472,N6,③기타_가정!$E$468:$E$472)</f>
        <v>0</v>
      </c>
      <c r="O141" s="37" t="n">
        <f aca="false">SUMIF(③기타_가정!$I$468:$I$472,O6,③기타_가정!$E$468:$E$472)</f>
        <v>0</v>
      </c>
      <c r="P141" s="37" t="n">
        <f aca="false">SUMIF(③기타_가정!$I$468:$I$472,P6,③기타_가정!$E$468:$E$472)</f>
        <v>0</v>
      </c>
      <c r="Q141" s="37" t="n">
        <f aca="false">SUMIF(③기타_가정!$I$468:$I$472,Q6,③기타_가정!$E$468:$E$472)</f>
        <v>0</v>
      </c>
      <c r="R141" s="37" t="n">
        <f aca="false">SUMIF(③기타_가정!$I$468:$I$472,R6,③기타_가정!$E$468:$E$472)</f>
        <v>0</v>
      </c>
      <c r="S141" s="37" t="n">
        <f aca="false">SUMIF(③기타_가정!$I$468:$I$472,S6,③기타_가정!$E$468:$E$472)</f>
        <v>0</v>
      </c>
      <c r="T141" s="37" t="n">
        <f aca="false">SUMIF(③기타_가정!$I$468:$I$472,T6,③기타_가정!$E$468:$E$472)</f>
        <v>0</v>
      </c>
      <c r="U141" s="37" t="n">
        <f aca="false">SUMIF(③기타_가정!$I$468:$I$472,U6,③기타_가정!$E$468:$E$472)</f>
        <v>0</v>
      </c>
      <c r="V141" s="37" t="n">
        <f aca="false">SUMIF(③기타_가정!$I$468:$I$472,V6,③기타_가정!$E$468:$E$472)</f>
        <v>0</v>
      </c>
      <c r="W141" s="37" t="n">
        <f aca="false">SUMIF(③기타_가정!$I$468:$I$472,W6,③기타_가정!$E$468:$E$472)</f>
        <v>147140.922758885</v>
      </c>
      <c r="X141" s="37" t="n">
        <f aca="false">SUMIF(③기타_가정!$I$468:$I$472,X6,③기타_가정!$E$468:$E$472)</f>
        <v>0</v>
      </c>
      <c r="Y141" s="37" t="n">
        <f aca="false">SUMIF(③기타_가정!$I$468:$I$472,Y6,③기타_가정!$E$468:$E$472)</f>
        <v>0</v>
      </c>
      <c r="Z141" s="37" t="n">
        <f aca="false">SUMIF(③기타_가정!$I$468:$I$472,Z6,③기타_가정!$E$468:$E$472)</f>
        <v>0</v>
      </c>
      <c r="AA141" s="37" t="n">
        <f aca="false">SUMIF(③기타_가정!$I$468:$I$472,AA6,③기타_가정!$E$468:$E$472)</f>
        <v>0</v>
      </c>
      <c r="AB141" s="37" t="n">
        <f aca="false">SUMIF(③기타_가정!$I$468:$I$472,AB6,③기타_가정!$E$468:$E$472)</f>
        <v>0</v>
      </c>
      <c r="AC141" s="37" t="n">
        <f aca="false">SUMIF(③기타_가정!$I$468:$I$472,AC6,③기타_가정!$E$468:$E$472)</f>
        <v>0</v>
      </c>
      <c r="AD141" s="37" t="n">
        <f aca="false">SUMIF(③기타_가정!$I$468:$I$472,AD6,③기타_가정!$E$468:$E$472)</f>
        <v>0</v>
      </c>
      <c r="AE141" s="37" t="n">
        <f aca="false">SUMIF(③기타_가정!$I$468:$I$472,AE6,③기타_가정!$E$468:$E$472)</f>
        <v>0</v>
      </c>
      <c r="AF141" s="37" t="n">
        <f aca="false">SUMIF(③기타_가정!$I$468:$I$472,AF6,③기타_가정!$E$468:$E$472)</f>
        <v>0</v>
      </c>
      <c r="AG141" s="37" t="n">
        <f aca="false">SUMIF(③기타_가정!$I$468:$I$472,AG6,③기타_가정!$E$468:$E$472)</f>
        <v>0</v>
      </c>
      <c r="AH141" s="37" t="n">
        <f aca="false">SUMIF(③기타_가정!$I$468:$I$472,AH6,③기타_가정!$E$468:$E$472)</f>
        <v>0</v>
      </c>
      <c r="AI141" s="37" t="n">
        <f aca="false">SUMIF(③기타_가정!$I$468:$I$472,AI6,③기타_가정!$E$468:$E$472)</f>
        <v>0</v>
      </c>
      <c r="AJ141" s="37" t="n">
        <f aca="false">SUMIF(③기타_가정!$I$468:$I$472,AJ6,③기타_가정!$E$468:$E$472)</f>
        <v>0</v>
      </c>
      <c r="AK141" s="37" t="n">
        <f aca="false">SUMIF(③기타_가정!$I$468:$I$472,AK6,③기타_가정!$E$468:$E$472)</f>
        <v>0</v>
      </c>
      <c r="AL141" s="37" t="n">
        <f aca="false">SUMIF(③기타_가정!$I$468:$I$472,AL6,③기타_가정!$E$468:$E$472)</f>
        <v>0</v>
      </c>
      <c r="AM141" s="37" t="n">
        <f aca="false">SUMIF(③기타_가정!$I$468:$I$472,AM6,③기타_가정!$E$468:$E$472)</f>
        <v>0</v>
      </c>
      <c r="AN141" s="37" t="n">
        <f aca="false">SUMIF(③기타_가정!$I$468:$I$472,AN6,③기타_가정!$E$468:$E$472)</f>
        <v>0</v>
      </c>
      <c r="AO141" s="37" t="n">
        <f aca="false">SUMIF(③기타_가정!$I$468:$I$472,AO6,③기타_가정!$E$468:$E$472)</f>
        <v>0</v>
      </c>
      <c r="AP141" s="37" t="n">
        <f aca="false">SUMIF(③기타_가정!$I$468:$I$472,AP6,③기타_가정!$E$468:$E$472)</f>
        <v>0</v>
      </c>
      <c r="AQ141" s="37" t="n">
        <f aca="false">SUMIF(③기타_가정!$I$468:$I$472,AQ6,③기타_가정!$E$468:$E$472)</f>
        <v>0</v>
      </c>
      <c r="AR141" s="37" t="n">
        <f aca="false">SUMIF(③기타_가정!$I$468:$I$472,AR6,③기타_가정!$E$468:$E$472)</f>
        <v>0</v>
      </c>
      <c r="AS141" s="37" t="n">
        <f aca="false">SUMIF(③기타_가정!$I$468:$I$472,AS6,③기타_가정!$E$468:$E$472)</f>
        <v>0</v>
      </c>
      <c r="AT141" s="37" t="n">
        <f aca="false">SUMIF(③기타_가정!$I$468:$I$472,AT6,③기타_가정!$E$468:$E$472)</f>
        <v>0</v>
      </c>
      <c r="AU141" s="37" t="n">
        <f aca="false">SUMIF(③기타_가정!$I$468:$I$472,AU6,③기타_가정!$E$468:$E$472)</f>
        <v>0</v>
      </c>
      <c r="AV141" s="37" t="n">
        <f aca="false">SUMIF(③기타_가정!$I$468:$I$472,AV6,③기타_가정!$E$468:$E$472)</f>
        <v>0</v>
      </c>
      <c r="AW141" s="37" t="n">
        <f aca="false">SUMIF(③기타_가정!$I$468:$I$472,AW6,③기타_가정!$E$468:$E$472)</f>
        <v>0</v>
      </c>
      <c r="AX141" s="37" t="n">
        <f aca="false">SUMIF(③기타_가정!$I$468:$I$472,AX6,③기타_가정!$E$468:$E$472)</f>
        <v>0</v>
      </c>
      <c r="AY141" s="37" t="n">
        <f aca="false">SUMIF(③기타_가정!$I$468:$I$472,AY6,③기타_가정!$E$468:$E$472)</f>
        <v>0</v>
      </c>
      <c r="AZ141" s="37" t="n">
        <f aca="false">SUMIF(③기타_가정!$I$468:$I$472,AZ6,③기타_가정!$E$468:$E$472)</f>
        <v>0</v>
      </c>
      <c r="BA141" s="37" t="n">
        <f aca="false">SUMIF(③기타_가정!$I$468:$I$472,BA6,③기타_가정!$E$468:$E$472)</f>
        <v>0</v>
      </c>
      <c r="BB141" s="37" t="n">
        <f aca="false">SUMIF(③기타_가정!$I$468:$I$472,BB6,③기타_가정!$E$468:$E$472)</f>
        <v>0</v>
      </c>
      <c r="BC141" s="37" t="n">
        <f aca="false">SUMIF(③기타_가정!$I$468:$I$472,BC6,③기타_가정!$E$468:$E$472)</f>
        <v>0</v>
      </c>
      <c r="BD141" s="37" t="n">
        <f aca="false">SUMIF(③기타_가정!$I$468:$I$472,BD6,③기타_가정!$E$468:$E$472)</f>
        <v>0</v>
      </c>
      <c r="BE141" s="37" t="n">
        <f aca="false">SUMIF(③기타_가정!$I$468:$I$472,BE6,③기타_가정!$E$468:$E$472)</f>
        <v>0</v>
      </c>
      <c r="BF141" s="37" t="n">
        <f aca="false">SUMIF(③기타_가정!$I$468:$I$472,BF6,③기타_가정!$E$468:$E$472)</f>
        <v>0</v>
      </c>
      <c r="BG141" s="37" t="n">
        <f aca="false">SUMIF(③기타_가정!$I$468:$I$472,BG6,③기타_가정!$E$468:$E$472)</f>
        <v>0</v>
      </c>
      <c r="BH141" s="37" t="n">
        <f aca="false">SUMIF(③기타_가정!$I$468:$I$472,BH6,③기타_가정!$E$468:$E$472)</f>
        <v>0</v>
      </c>
      <c r="BI141" s="37" t="n">
        <f aca="false">SUMIF(③기타_가정!$I$468:$I$472,BI6,③기타_가정!$E$468:$E$472)</f>
        <v>0</v>
      </c>
      <c r="BJ141" s="37" t="n">
        <f aca="false">SUMIF(③기타_가정!$I$468:$I$472,BJ6,③기타_가정!$E$468:$E$472)</f>
        <v>0</v>
      </c>
      <c r="BK141" s="37" t="n">
        <f aca="false">SUMIF(③기타_가정!$I$468:$I$472,BK6,③기타_가정!$E$468:$E$472)</f>
        <v>0</v>
      </c>
      <c r="BL141" s="37" t="n">
        <f aca="false">SUMIF(③기타_가정!$I$468:$I$472,BL6,③기타_가정!$E$468:$E$472)</f>
        <v>0</v>
      </c>
      <c r="BM141" s="37" t="n">
        <f aca="false">SUMIF(③기타_가정!$I$468:$I$472,BM6,③기타_가정!$E$468:$E$472)</f>
        <v>0</v>
      </c>
      <c r="BN141" s="37" t="n">
        <f aca="false">SUMIF(③기타_가정!$I$468:$I$472,BN6,③기타_가정!$E$468:$E$472)</f>
        <v>0</v>
      </c>
      <c r="BO141" s="37" t="n">
        <f aca="false">SUMIF(③기타_가정!$I$468:$I$472,BO6,③기타_가정!$E$468:$E$472)</f>
        <v>0</v>
      </c>
      <c r="BP141" s="37" t="n">
        <f aca="false">SUMIF(③기타_가정!$I$468:$I$472,BP6,③기타_가정!$E$468:$E$472)</f>
        <v>0</v>
      </c>
      <c r="BQ141" s="37" t="n">
        <f aca="false">SUMIF(③기타_가정!$I$468:$I$472,BQ6,③기타_가정!$E$468:$E$472)</f>
        <v>0</v>
      </c>
      <c r="BR141" s="37" t="n">
        <f aca="false">SUMIF(③기타_가정!$I$468:$I$472,BR6,③기타_가정!$E$468:$E$472)</f>
        <v>0</v>
      </c>
      <c r="BS141" s="37" t="n">
        <f aca="false">SUMIF(③기타_가정!$I$468:$I$472,BS6,③기타_가정!$E$468:$E$472)</f>
        <v>0</v>
      </c>
      <c r="BT141" s="37" t="n">
        <f aca="false">SUMIF(③기타_가정!$I$468:$I$472,BT6,③기타_가정!$E$468:$E$472)</f>
        <v>0</v>
      </c>
      <c r="BU141" s="37" t="n">
        <f aca="false">SUMIF(③기타_가정!$I$468:$I$472,BU6,③기타_가정!$E$468:$E$472)</f>
        <v>0</v>
      </c>
      <c r="BV141" s="37" t="n">
        <f aca="false">SUMIF(③기타_가정!$I$468:$I$472,BV6,③기타_가정!$E$468:$E$472)</f>
        <v>0</v>
      </c>
      <c r="BW141" s="37" t="n">
        <f aca="false">SUMIF(③기타_가정!$I$468:$I$472,BW6,③기타_가정!$E$468:$E$472)</f>
        <v>0</v>
      </c>
      <c r="BX141" s="37" t="n">
        <f aca="false">SUMIF(③기타_가정!$I$468:$I$472,BX6,③기타_가정!$E$468:$E$472)</f>
        <v>0</v>
      </c>
      <c r="BY141" s="37" t="n">
        <f aca="false">SUMIF(③기타_가정!$I$468:$I$472,BY6,③기타_가정!$E$468:$E$472)</f>
        <v>0</v>
      </c>
      <c r="BZ141" s="37" t="n">
        <f aca="false">SUMIF(③기타_가정!$I$468:$I$472,BZ6,③기타_가정!$E$468:$E$472)</f>
        <v>0</v>
      </c>
      <c r="CA141" s="37" t="n">
        <f aca="false">SUMIF(③기타_가정!$I$468:$I$472,CA6,③기타_가정!$E$468:$E$472)</f>
        <v>0</v>
      </c>
      <c r="CB141" s="37" t="n">
        <f aca="false">SUMIF(③기타_가정!$I$468:$I$472,CB6,③기타_가정!$E$468:$E$472)</f>
        <v>0</v>
      </c>
      <c r="CC141" s="37" t="n">
        <f aca="false">SUMIF(③기타_가정!$I$468:$I$472,CC6,③기타_가정!$E$468:$E$472)</f>
        <v>0</v>
      </c>
      <c r="CD141" s="37" t="n">
        <f aca="false">SUMIF(③기타_가정!$I$468:$I$472,CD6,③기타_가정!$E$468:$E$472)</f>
        <v>0</v>
      </c>
      <c r="CE141" s="37" t="n">
        <f aca="false">SUMIF(③기타_가정!$I$468:$I$472,CE6,③기타_가정!$E$468:$E$472)</f>
        <v>0</v>
      </c>
      <c r="CF141" s="37" t="n">
        <f aca="false">SUMIF(③기타_가정!$I$468:$I$472,CF6,③기타_가정!$E$468:$E$472)</f>
        <v>0</v>
      </c>
      <c r="CG141" s="37" t="n">
        <f aca="false">SUMIF(③기타_가정!$I$468:$I$472,CG6,③기타_가정!$E$468:$E$472)</f>
        <v>0</v>
      </c>
      <c r="CH141" s="37" t="n">
        <f aca="false">SUMIF(③기타_가정!$I$468:$I$472,CH6,③기타_가정!$E$468:$E$472)</f>
        <v>0</v>
      </c>
      <c r="CI141" s="37" t="n">
        <f aca="false">SUMIF(③기타_가정!$I$468:$I$472,CI6,③기타_가정!$E$468:$E$472)</f>
        <v>0</v>
      </c>
      <c r="CJ141" s="37" t="n">
        <f aca="false">SUMIF(③기타_가정!$I$468:$I$472,CJ6,③기타_가정!$E$468:$E$472)</f>
        <v>0</v>
      </c>
      <c r="CK141" s="37" t="n">
        <f aca="false">SUMIF(③기타_가정!$I$468:$I$472,CK6,③기타_가정!$E$468:$E$472)</f>
        <v>0</v>
      </c>
      <c r="CL141" s="37" t="n">
        <f aca="false">SUMIF(③기타_가정!$I$468:$I$472,CL6,③기타_가정!$E$468:$E$472)</f>
        <v>0</v>
      </c>
      <c r="CM141" s="37" t="n">
        <f aca="false">SUMIF(③기타_가정!$I$468:$I$472,CM6,③기타_가정!$E$468:$E$472)</f>
        <v>0</v>
      </c>
      <c r="CN141" s="37" t="n">
        <f aca="false">SUMIF(③기타_가정!$I$468:$I$472,CN6,③기타_가정!$E$468:$E$472)</f>
        <v>0</v>
      </c>
      <c r="CO141" s="37" t="n">
        <f aca="false">SUMIF(③기타_가정!$I$468:$I$472,CO6,③기타_가정!$E$468:$E$472)</f>
        <v>0</v>
      </c>
      <c r="CP141" s="37" t="n">
        <f aca="false">SUMIF(③기타_가정!$I$468:$I$472,CP6,③기타_가정!$E$468:$E$472)</f>
        <v>0</v>
      </c>
      <c r="CQ141" s="37" t="n">
        <f aca="false">SUMIF(③기타_가정!$I$468:$I$472,CQ6,③기타_가정!$E$468:$E$472)</f>
        <v>0</v>
      </c>
      <c r="CR141" s="37" t="n">
        <f aca="false">SUMIF(③기타_가정!$I$468:$I$472,CR6,③기타_가정!$E$468:$E$472)</f>
        <v>0</v>
      </c>
      <c r="CS141" s="37" t="n">
        <f aca="false">SUMIF(③기타_가정!$I$468:$I$472,CS6,③기타_가정!$E$468:$E$472)</f>
        <v>0</v>
      </c>
      <c r="CT141" s="37" t="n">
        <f aca="false">SUMIF(③기타_가정!$I$468:$I$472,CT6,③기타_가정!$E$468:$E$472)</f>
        <v>0</v>
      </c>
      <c r="CU141" s="37" t="n">
        <f aca="false">SUMIF(③기타_가정!$I$468:$I$472,CU6,③기타_가정!$E$468:$E$472)</f>
        <v>0</v>
      </c>
      <c r="CV141" s="37" t="n">
        <f aca="false">SUMIF(③기타_가정!$I$468:$I$472,CV6,③기타_가정!$E$468:$E$472)</f>
        <v>0</v>
      </c>
      <c r="CW141" s="37" t="n">
        <f aca="false">SUMIF(③기타_가정!$I$468:$I$472,CW6,③기타_가정!$E$468:$E$472)</f>
        <v>0</v>
      </c>
      <c r="CX141" s="37" t="n">
        <f aca="false">SUMIF(③기타_가정!$I$468:$I$472,CX6,③기타_가정!$E$468:$E$472)</f>
        <v>0</v>
      </c>
      <c r="CY141" s="37" t="n">
        <f aca="false">SUMIF(③기타_가정!$I$468:$I$472,CY6,③기타_가정!$E$468:$E$472)</f>
        <v>0</v>
      </c>
      <c r="CZ141" s="37" t="n">
        <f aca="false">SUMIF(③기타_가정!$I$468:$I$472,CZ6,③기타_가정!$E$468:$E$472)</f>
        <v>0</v>
      </c>
      <c r="DA141" s="37" t="n">
        <f aca="false">SUMIF(③기타_가정!$I$468:$I$472,DA6,③기타_가정!$E$468:$E$472)</f>
        <v>0</v>
      </c>
      <c r="DB141" s="37" t="n">
        <f aca="false">SUMIF(③기타_가정!$I$468:$I$472,DB6,③기타_가정!$E$468:$E$472)</f>
        <v>0</v>
      </c>
      <c r="DC141" s="37" t="n">
        <f aca="false">SUMIF(③기타_가정!$I$468:$I$472,DC6,③기타_가정!$E$468:$E$472)</f>
        <v>0</v>
      </c>
      <c r="DD141" s="37" t="n">
        <f aca="false">SUMIF(③기타_가정!$I$468:$I$472,DD6,③기타_가정!$E$468:$E$472)</f>
        <v>0</v>
      </c>
      <c r="DE141" s="37" t="n">
        <f aca="false">SUMIF(③기타_가정!$I$468:$I$472,DE6,③기타_가정!$E$468:$E$472)</f>
        <v>0</v>
      </c>
      <c r="DF141" s="37" t="n">
        <f aca="false">SUMIF(③기타_가정!$I$468:$I$472,DF6,③기타_가정!$E$468:$E$472)</f>
        <v>0</v>
      </c>
      <c r="DG141" s="37" t="n">
        <f aca="false">SUMIF(③기타_가정!$I$468:$I$472,DG6,③기타_가정!$E$468:$E$472)</f>
        <v>0</v>
      </c>
      <c r="DH141" s="37" t="n">
        <f aca="false">SUMIF(③기타_가정!$I$468:$I$472,DH6,③기타_가정!$E$468:$E$472)</f>
        <v>0</v>
      </c>
      <c r="DI141" s="37" t="n">
        <f aca="false">SUMIF(③기타_가정!$I$468:$I$472,DI6,③기타_가정!$E$468:$E$472)</f>
        <v>0</v>
      </c>
      <c r="DJ141" s="37" t="n">
        <f aca="false">SUMIF(③기타_가정!$I$468:$I$472,DJ6,③기타_가정!$E$468:$E$472)</f>
        <v>0</v>
      </c>
      <c r="DK141" s="37" t="n">
        <f aca="false">SUMIF(③기타_가정!$I$468:$I$472,DK6,③기타_가정!$E$468:$E$472)</f>
        <v>0</v>
      </c>
      <c r="DL141" s="37" t="n">
        <f aca="false">SUMIF(③기타_가정!$I$468:$I$472,DL6,③기타_가정!$E$468:$E$472)</f>
        <v>0</v>
      </c>
      <c r="DM141" s="37" t="n">
        <f aca="false">SUMIF(③기타_가정!$I$468:$I$472,DM6,③기타_가정!$E$468:$E$472)</f>
        <v>0</v>
      </c>
      <c r="DN141" s="37" t="n">
        <f aca="false">SUMIF(③기타_가정!$I$468:$I$472,DN6,③기타_가정!$E$468:$E$472)</f>
        <v>0</v>
      </c>
      <c r="DO141" s="37" t="n">
        <f aca="false">SUMIF(③기타_가정!$I$468:$I$472,DO6,③기타_가정!$E$468:$E$472)</f>
        <v>0</v>
      </c>
      <c r="DP141" s="37" t="n">
        <f aca="false">SUMIF(③기타_가정!$I$468:$I$472,DP6,③기타_가정!$E$468:$E$472)</f>
        <v>0</v>
      </c>
      <c r="DQ141" s="37" t="n">
        <f aca="false">SUMIF(③기타_가정!$I$468:$I$472,DQ6,③기타_가정!$E$468:$E$472)</f>
        <v>0</v>
      </c>
      <c r="DR141" s="37" t="n">
        <f aca="false">SUMIF(③기타_가정!$I$468:$I$472,DR6,③기타_가정!$E$468:$E$472)</f>
        <v>0</v>
      </c>
      <c r="DS141" s="37" t="n">
        <f aca="false">SUMIF(③기타_가정!$I$468:$I$472,DS6,③기타_가정!$E$468:$E$472)</f>
        <v>0</v>
      </c>
      <c r="DT141" s="37" t="n">
        <f aca="false">SUMIF(③기타_가정!$I$468:$I$472,DT6,③기타_가정!$E$468:$E$472)</f>
        <v>0</v>
      </c>
      <c r="DU141" s="37" t="n">
        <f aca="false">SUMIF(③기타_가정!$I$468:$I$472,DU6,③기타_가정!$E$468:$E$472)</f>
        <v>0</v>
      </c>
      <c r="DV141" s="37" t="n">
        <f aca="false">SUMIF(③기타_가정!$I$468:$I$472,DV6,③기타_가정!$E$468:$E$472)</f>
        <v>0</v>
      </c>
      <c r="DW141" s="37" t="n">
        <f aca="false">SUMIF(③기타_가정!$I$468:$I$472,DW6,③기타_가정!$E$468:$E$472)</f>
        <v>0</v>
      </c>
      <c r="DX141" s="37" t="n">
        <f aca="false">SUMIF(③기타_가정!$I$468:$I$472,DX6,③기타_가정!$E$468:$E$472)</f>
        <v>0</v>
      </c>
      <c r="DY141" s="37" t="n">
        <f aca="false">SUMIF(③기타_가정!$I$468:$I$472,DY6,③기타_가정!$E$468:$E$472)</f>
        <v>0</v>
      </c>
      <c r="DZ141" s="37" t="n">
        <f aca="false">SUMIF(③기타_가정!$I$468:$I$472,DZ6,③기타_가정!$E$468:$E$472)</f>
        <v>0</v>
      </c>
      <c r="EA141" s="37" t="n">
        <f aca="false">SUMIF(③기타_가정!$I$468:$I$472,EA6,③기타_가정!$E$468:$E$472)</f>
        <v>0</v>
      </c>
      <c r="EB141" s="37" t="n">
        <f aca="false">SUMIF(③기타_가정!$I$468:$I$472,EB6,③기타_가정!$E$468:$E$472)</f>
        <v>0</v>
      </c>
      <c r="EC141" s="37" t="n">
        <f aca="false">SUMIF(③기타_가정!$I$468:$I$472,EC6,③기타_가정!$E$468:$E$472)</f>
        <v>0</v>
      </c>
      <c r="ED141" s="37" t="n">
        <f aca="false">SUMIF(③기타_가정!$I$468:$I$472,ED6,③기타_가정!$E$468:$E$472)</f>
        <v>0</v>
      </c>
      <c r="EE141" s="37" t="n">
        <f aca="false">SUMIF(③기타_가정!$I$468:$I$472,EE6,③기타_가정!$E$468:$E$472)</f>
        <v>0</v>
      </c>
      <c r="EF141" s="37" t="n">
        <f aca="false">SUMIF(③기타_가정!$I$468:$I$472,EF6,③기타_가정!$E$468:$E$472)</f>
        <v>0</v>
      </c>
    </row>
    <row r="142" customFormat="false" ht="15" hidden="false" customHeight="false" outlineLevel="0" collapsed="false">
      <c r="A142" s="284" t="s">
        <v>675</v>
      </c>
      <c r="B142" s="281" t="s">
        <v>21</v>
      </c>
      <c r="C142" s="282" t="n">
        <f aca="false">SUM(E142:EF142)</f>
        <v>210201.318226978</v>
      </c>
      <c r="D142" s="48"/>
      <c r="E142" s="283" t="n">
        <f aca="false">E140+E141</f>
        <v>11571.5825683952</v>
      </c>
      <c r="F142" s="283" t="n">
        <f aca="false">F140+F141</f>
        <v>0</v>
      </c>
      <c r="G142" s="283" t="n">
        <f aca="false">G140+G141</f>
        <v>0</v>
      </c>
      <c r="H142" s="283" t="n">
        <f aca="false">H140+H141</f>
        <v>0</v>
      </c>
      <c r="I142" s="283" t="n">
        <f aca="false">I140+I141</f>
        <v>0</v>
      </c>
      <c r="J142" s="283" t="n">
        <f aca="false">J140+J141</f>
        <v>0</v>
      </c>
      <c r="K142" s="283" t="n">
        <f aca="false">K140+K141</f>
        <v>0</v>
      </c>
      <c r="L142" s="283" t="n">
        <f aca="false">L140+L141</f>
        <v>0</v>
      </c>
      <c r="M142" s="283" t="n">
        <f aca="false">M140+M141</f>
        <v>0</v>
      </c>
      <c r="N142" s="283" t="n">
        <f aca="false">N140+N141</f>
        <v>0</v>
      </c>
      <c r="O142" s="283" t="n">
        <f aca="false">O140+O141</f>
        <v>0</v>
      </c>
      <c r="P142" s="283" t="n">
        <f aca="false">P140+P141</f>
        <v>0</v>
      </c>
      <c r="Q142" s="283" t="n">
        <f aca="false">Q140+Q141</f>
        <v>0</v>
      </c>
      <c r="R142" s="283" t="n">
        <f aca="false">R140+R141</f>
        <v>0</v>
      </c>
      <c r="S142" s="283" t="n">
        <f aca="false">S140+S141</f>
        <v>0</v>
      </c>
      <c r="T142" s="283" t="n">
        <f aca="false">T140+T141</f>
        <v>0</v>
      </c>
      <c r="U142" s="283" t="n">
        <f aca="false">U140+U141</f>
        <v>0</v>
      </c>
      <c r="V142" s="283" t="n">
        <f aca="false">V140+V141</f>
        <v>0</v>
      </c>
      <c r="W142" s="283" t="n">
        <f aca="false">W140+W141</f>
        <v>198629.735658583</v>
      </c>
      <c r="X142" s="283" t="n">
        <f aca="false">X140+X141</f>
        <v>0</v>
      </c>
      <c r="Y142" s="283" t="n">
        <f aca="false">Y140+Y141</f>
        <v>0</v>
      </c>
      <c r="Z142" s="283" t="n">
        <f aca="false">Z140+Z141</f>
        <v>0</v>
      </c>
      <c r="AA142" s="283" t="n">
        <f aca="false">AA140+AA141</f>
        <v>0</v>
      </c>
      <c r="AB142" s="283" t="n">
        <f aca="false">AB140+AB141</f>
        <v>0</v>
      </c>
      <c r="AC142" s="283" t="n">
        <f aca="false">AC140+AC141</f>
        <v>0</v>
      </c>
      <c r="AD142" s="283" t="n">
        <f aca="false">AD140+AD141</f>
        <v>0</v>
      </c>
      <c r="AE142" s="283" t="n">
        <f aca="false">AE140+AE141</f>
        <v>0</v>
      </c>
      <c r="AF142" s="283" t="n">
        <f aca="false">AF140+AF141</f>
        <v>0</v>
      </c>
      <c r="AG142" s="283" t="n">
        <f aca="false">AG140+AG141</f>
        <v>0</v>
      </c>
      <c r="AH142" s="283" t="n">
        <f aca="false">AH140+AH141</f>
        <v>0</v>
      </c>
      <c r="AI142" s="283" t="n">
        <f aca="false">AI140+AI141</f>
        <v>0</v>
      </c>
      <c r="AJ142" s="283" t="n">
        <f aca="false">AJ140+AJ141</f>
        <v>0</v>
      </c>
      <c r="AK142" s="283" t="n">
        <f aca="false">AK140+AK141</f>
        <v>0</v>
      </c>
      <c r="AL142" s="283" t="n">
        <f aca="false">AL140+AL141</f>
        <v>0</v>
      </c>
      <c r="AM142" s="283" t="n">
        <f aca="false">AM140+AM141</f>
        <v>0</v>
      </c>
      <c r="AN142" s="283" t="n">
        <f aca="false">AN140+AN141</f>
        <v>0</v>
      </c>
      <c r="AO142" s="283" t="n">
        <f aca="false">AO140+AO141</f>
        <v>0</v>
      </c>
      <c r="AP142" s="283" t="n">
        <f aca="false">AP140+AP141</f>
        <v>0</v>
      </c>
      <c r="AQ142" s="283" t="n">
        <f aca="false">AQ140+AQ141</f>
        <v>0</v>
      </c>
      <c r="AR142" s="283" t="n">
        <f aca="false">AR140+AR141</f>
        <v>0</v>
      </c>
      <c r="AS142" s="283" t="n">
        <f aca="false">AS140+AS141</f>
        <v>0</v>
      </c>
      <c r="AT142" s="283" t="n">
        <f aca="false">AT140+AT141</f>
        <v>0</v>
      </c>
      <c r="AU142" s="283" t="n">
        <f aca="false">AU140+AU141</f>
        <v>0</v>
      </c>
      <c r="AV142" s="283" t="n">
        <f aca="false">AV140+AV141</f>
        <v>0</v>
      </c>
      <c r="AW142" s="283" t="n">
        <f aca="false">AW140+AW141</f>
        <v>0</v>
      </c>
      <c r="AX142" s="283" t="n">
        <f aca="false">AX140+AX141</f>
        <v>0</v>
      </c>
      <c r="AY142" s="283" t="n">
        <f aca="false">AY140+AY141</f>
        <v>0</v>
      </c>
      <c r="AZ142" s="283" t="n">
        <f aca="false">AZ140+AZ141</f>
        <v>0</v>
      </c>
      <c r="BA142" s="283" t="n">
        <f aca="false">BA140+BA141</f>
        <v>0</v>
      </c>
      <c r="BB142" s="283" t="n">
        <f aca="false">BB140+BB141</f>
        <v>0</v>
      </c>
      <c r="BC142" s="283" t="n">
        <f aca="false">BC140+BC141</f>
        <v>0</v>
      </c>
      <c r="BD142" s="283" t="n">
        <f aca="false">BD140+BD141</f>
        <v>0</v>
      </c>
      <c r="BE142" s="283" t="n">
        <f aca="false">BE140+BE141</f>
        <v>0</v>
      </c>
      <c r="BF142" s="283" t="n">
        <f aca="false">BF140+BF141</f>
        <v>0</v>
      </c>
      <c r="BG142" s="283" t="n">
        <f aca="false">BG140+BG141</f>
        <v>0</v>
      </c>
      <c r="BH142" s="283" t="n">
        <f aca="false">BH140+BH141</f>
        <v>0</v>
      </c>
      <c r="BI142" s="283" t="n">
        <f aca="false">BI140+BI141</f>
        <v>0</v>
      </c>
      <c r="BJ142" s="283" t="n">
        <f aca="false">BJ140+BJ141</f>
        <v>0</v>
      </c>
      <c r="BK142" s="283" t="n">
        <f aca="false">BK140+BK141</f>
        <v>0</v>
      </c>
      <c r="BL142" s="283" t="n">
        <f aca="false">BL140+BL141</f>
        <v>0</v>
      </c>
      <c r="BM142" s="283" t="n">
        <f aca="false">BM140+BM141</f>
        <v>0</v>
      </c>
      <c r="BN142" s="283" t="n">
        <f aca="false">BN140+BN141</f>
        <v>0</v>
      </c>
      <c r="BO142" s="283" t="n">
        <f aca="false">BO140+BO141</f>
        <v>0</v>
      </c>
      <c r="BP142" s="283" t="n">
        <f aca="false">BP140+BP141</f>
        <v>0</v>
      </c>
      <c r="BQ142" s="283" t="n">
        <f aca="false">BQ140+BQ141</f>
        <v>0</v>
      </c>
      <c r="BR142" s="283" t="n">
        <f aca="false">BR140+BR141</f>
        <v>0</v>
      </c>
      <c r="BS142" s="283" t="n">
        <f aca="false">BS140+BS141</f>
        <v>0</v>
      </c>
      <c r="BT142" s="283" t="n">
        <f aca="false">BT140+BT141</f>
        <v>0</v>
      </c>
      <c r="BU142" s="283" t="n">
        <f aca="false">BU140+BU141</f>
        <v>0</v>
      </c>
      <c r="BV142" s="283" t="n">
        <f aca="false">BV140+BV141</f>
        <v>0</v>
      </c>
      <c r="BW142" s="283" t="n">
        <f aca="false">BW140+BW141</f>
        <v>0</v>
      </c>
      <c r="BX142" s="283" t="n">
        <f aca="false">BX140+BX141</f>
        <v>0</v>
      </c>
      <c r="BY142" s="283" t="n">
        <f aca="false">BY140+BY141</f>
        <v>0</v>
      </c>
      <c r="BZ142" s="283" t="n">
        <f aca="false">BZ140+BZ141</f>
        <v>0</v>
      </c>
      <c r="CA142" s="283" t="n">
        <f aca="false">CA140+CA141</f>
        <v>0</v>
      </c>
      <c r="CB142" s="283" t="n">
        <f aca="false">CB140+CB141</f>
        <v>0</v>
      </c>
      <c r="CC142" s="283" t="n">
        <f aca="false">CC140+CC141</f>
        <v>0</v>
      </c>
      <c r="CD142" s="283" t="n">
        <f aca="false">CD140+CD141</f>
        <v>0</v>
      </c>
      <c r="CE142" s="283" t="n">
        <f aca="false">CE140+CE141</f>
        <v>0</v>
      </c>
      <c r="CF142" s="283" t="n">
        <f aca="false">CF140+CF141</f>
        <v>0</v>
      </c>
      <c r="CG142" s="283" t="n">
        <f aca="false">CG140+CG141</f>
        <v>0</v>
      </c>
      <c r="CH142" s="283" t="n">
        <f aca="false">CH140+CH141</f>
        <v>0</v>
      </c>
      <c r="CI142" s="283" t="n">
        <f aca="false">CI140+CI141</f>
        <v>0</v>
      </c>
      <c r="CJ142" s="283" t="n">
        <f aca="false">CJ140+CJ141</f>
        <v>0</v>
      </c>
      <c r="CK142" s="283" t="n">
        <f aca="false">CK140+CK141</f>
        <v>0</v>
      </c>
      <c r="CL142" s="283" t="n">
        <f aca="false">CL140+CL141</f>
        <v>0</v>
      </c>
      <c r="CM142" s="283" t="n">
        <f aca="false">CM140+CM141</f>
        <v>0</v>
      </c>
      <c r="CN142" s="283" t="n">
        <f aca="false">CN140+CN141</f>
        <v>0</v>
      </c>
      <c r="CO142" s="283" t="n">
        <f aca="false">CO140+CO141</f>
        <v>0</v>
      </c>
      <c r="CP142" s="283" t="n">
        <f aca="false">CP140+CP141</f>
        <v>0</v>
      </c>
      <c r="CQ142" s="283" t="n">
        <f aca="false">CQ140+CQ141</f>
        <v>0</v>
      </c>
      <c r="CR142" s="283" t="n">
        <f aca="false">CR140+CR141</f>
        <v>0</v>
      </c>
      <c r="CS142" s="283" t="n">
        <f aca="false">CS140+CS141</f>
        <v>0</v>
      </c>
      <c r="CT142" s="283" t="n">
        <f aca="false">CT140+CT141</f>
        <v>0</v>
      </c>
      <c r="CU142" s="283" t="n">
        <f aca="false">CU140+CU141</f>
        <v>0</v>
      </c>
      <c r="CV142" s="283" t="n">
        <f aca="false">CV140+CV141</f>
        <v>0</v>
      </c>
      <c r="CW142" s="283" t="n">
        <f aca="false">CW140+CW141</f>
        <v>0</v>
      </c>
      <c r="CX142" s="283" t="n">
        <f aca="false">CX140+CX141</f>
        <v>0</v>
      </c>
      <c r="CY142" s="283" t="n">
        <f aca="false">CY140+CY141</f>
        <v>0</v>
      </c>
      <c r="CZ142" s="283" t="n">
        <f aca="false">CZ140+CZ141</f>
        <v>0</v>
      </c>
      <c r="DA142" s="283" t="n">
        <f aca="false">DA140+DA141</f>
        <v>0</v>
      </c>
      <c r="DB142" s="283" t="n">
        <f aca="false">DB140+DB141</f>
        <v>0</v>
      </c>
      <c r="DC142" s="283" t="n">
        <f aca="false">DC140+DC141</f>
        <v>0</v>
      </c>
      <c r="DD142" s="283" t="n">
        <f aca="false">DD140+DD141</f>
        <v>0</v>
      </c>
      <c r="DE142" s="283" t="n">
        <f aca="false">DE140+DE141</f>
        <v>0</v>
      </c>
      <c r="DF142" s="283" t="n">
        <f aca="false">DF140+DF141</f>
        <v>0</v>
      </c>
      <c r="DG142" s="283" t="n">
        <f aca="false">DG140+DG141</f>
        <v>0</v>
      </c>
      <c r="DH142" s="283" t="n">
        <f aca="false">DH140+DH141</f>
        <v>0</v>
      </c>
      <c r="DI142" s="283" t="n">
        <f aca="false">DI140+DI141</f>
        <v>0</v>
      </c>
      <c r="DJ142" s="283" t="n">
        <f aca="false">DJ140+DJ141</f>
        <v>0</v>
      </c>
      <c r="DK142" s="283" t="n">
        <f aca="false">DK140+DK141</f>
        <v>0</v>
      </c>
      <c r="DL142" s="283" t="n">
        <f aca="false">DL140+DL141</f>
        <v>0</v>
      </c>
      <c r="DM142" s="283" t="n">
        <f aca="false">DM140+DM141</f>
        <v>0</v>
      </c>
      <c r="DN142" s="283" t="n">
        <f aca="false">DN140+DN141</f>
        <v>0</v>
      </c>
      <c r="DO142" s="283" t="n">
        <f aca="false">DO140+DO141</f>
        <v>0</v>
      </c>
      <c r="DP142" s="283" t="n">
        <f aca="false">DP140+DP141</f>
        <v>0</v>
      </c>
      <c r="DQ142" s="283" t="n">
        <f aca="false">DQ140+DQ141</f>
        <v>0</v>
      </c>
      <c r="DR142" s="283" t="n">
        <f aca="false">DR140+DR141</f>
        <v>0</v>
      </c>
      <c r="DS142" s="283" t="n">
        <f aca="false">DS140+DS141</f>
        <v>0</v>
      </c>
      <c r="DT142" s="283" t="n">
        <f aca="false">DT140+DT141</f>
        <v>0</v>
      </c>
      <c r="DU142" s="283" t="n">
        <f aca="false">DU140+DU141</f>
        <v>0</v>
      </c>
      <c r="DV142" s="283" t="n">
        <f aca="false">DV140+DV141</f>
        <v>0</v>
      </c>
      <c r="DW142" s="283" t="n">
        <f aca="false">DW140+DW141</f>
        <v>0</v>
      </c>
      <c r="DX142" s="283" t="n">
        <f aca="false">DX140+DX141</f>
        <v>0</v>
      </c>
      <c r="DY142" s="283" t="n">
        <f aca="false">DY140+DY141</f>
        <v>0</v>
      </c>
      <c r="DZ142" s="283" t="n">
        <f aca="false">DZ140+DZ141</f>
        <v>0</v>
      </c>
      <c r="EA142" s="283" t="n">
        <f aca="false">EA140+EA141</f>
        <v>0</v>
      </c>
      <c r="EB142" s="283" t="n">
        <f aca="false">EB140+EB141</f>
        <v>0</v>
      </c>
      <c r="EC142" s="283" t="n">
        <f aca="false">EC140+EC141</f>
        <v>0</v>
      </c>
      <c r="ED142" s="283" t="n">
        <f aca="false">ED140+ED141</f>
        <v>0</v>
      </c>
      <c r="EE142" s="283" t="n">
        <f aca="false">EE140+EE141</f>
        <v>0</v>
      </c>
      <c r="EF142" s="283" t="n">
        <f aca="false">EF140+EF141</f>
        <v>0</v>
      </c>
    </row>
    <row r="144" customFormat="false" ht="15" hidden="false" customHeight="false" outlineLevel="0" collapsed="false">
      <c r="A144" s="6" t="s">
        <v>676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</row>
    <row r="145" customFormat="false" ht="15" hidden="false" customHeight="false" outlineLevel="0" collapsed="false">
      <c r="A145" s="36" t="s">
        <v>677</v>
      </c>
      <c r="B145" s="278" t="s">
        <v>21</v>
      </c>
      <c r="C145" s="279" t="n">
        <f aca="false">SUM(E145:EF145)</f>
        <v>1649722.78562621</v>
      </c>
      <c r="E145" s="37" t="n">
        <f aca="false">IF(E6=③기타_가정!$E$22,③기타_가정!$G$283,0)</f>
        <v>0</v>
      </c>
      <c r="F145" s="37" t="n">
        <f aca="false">IF(F6=③기타_가정!$E$22,③기타_가정!$G$283,0)</f>
        <v>0</v>
      </c>
      <c r="G145" s="37" t="n">
        <f aca="false">IF(G6=③기타_가정!$E$22,③기타_가정!$G$283,0)</f>
        <v>0</v>
      </c>
      <c r="H145" s="37" t="n">
        <f aca="false">IF(H6=③기타_가정!$E$22,③기타_가정!$G$283,0)</f>
        <v>0</v>
      </c>
      <c r="I145" s="37" t="n">
        <f aca="false">IF(I6=③기타_가정!$E$22,③기타_가정!$G$283,0)</f>
        <v>0</v>
      </c>
      <c r="J145" s="37" t="n">
        <f aca="false">IF(J6=③기타_가정!$E$22,③기타_가정!$G$283,0)</f>
        <v>0</v>
      </c>
      <c r="K145" s="37" t="n">
        <f aca="false">IF(K6=③기타_가정!$E$22,③기타_가정!$G$283,0)</f>
        <v>0</v>
      </c>
      <c r="L145" s="37" t="n">
        <f aca="false">IF(L6=③기타_가정!$E$22,③기타_가정!$G$283,0)</f>
        <v>0</v>
      </c>
      <c r="M145" s="37" t="n">
        <f aca="false">IF(M6=③기타_가정!$E$22,③기타_가정!$G$283,0)</f>
        <v>0</v>
      </c>
      <c r="N145" s="37" t="n">
        <f aca="false">IF(N6=③기타_가정!$E$22,③기타_가정!$G$283,0)</f>
        <v>0</v>
      </c>
      <c r="O145" s="37" t="n">
        <f aca="false">IF(O6=③기타_가정!$E$22,③기타_가정!$G$283,0)</f>
        <v>0</v>
      </c>
      <c r="P145" s="37" t="n">
        <f aca="false">IF(P6=③기타_가정!$E$22,③기타_가정!$G$283,0)</f>
        <v>0</v>
      </c>
      <c r="Q145" s="37" t="n">
        <f aca="false">IF(Q6=③기타_가정!$E$22,③기타_가정!$G$283,0)</f>
        <v>0</v>
      </c>
      <c r="R145" s="37" t="n">
        <f aca="false">IF(R6=③기타_가정!$E$22,③기타_가정!$G$283,0)</f>
        <v>0</v>
      </c>
      <c r="S145" s="37" t="n">
        <f aca="false">IF(S6=③기타_가정!$E$22,③기타_가정!$G$283,0)</f>
        <v>0</v>
      </c>
      <c r="T145" s="37" t="n">
        <f aca="false">IF(T6=③기타_가정!$E$22,③기타_가정!$G$283,0)</f>
        <v>0</v>
      </c>
      <c r="U145" s="37" t="n">
        <f aca="false">IF(U6=③기타_가정!$E$22,③기타_가정!$G$283,0)</f>
        <v>0</v>
      </c>
      <c r="V145" s="37" t="n">
        <f aca="false">IF(V6=③기타_가정!$E$22,③기타_가정!$G$283,0)</f>
        <v>0</v>
      </c>
      <c r="W145" s="37" t="n">
        <f aca="false">IF(W6=③기타_가정!$E$22,③기타_가정!$G$283,0)</f>
        <v>0</v>
      </c>
      <c r="X145" s="37" t="n">
        <f aca="false">IF(X6=③기타_가정!$E$22,③기타_가정!$G$283,0)</f>
        <v>0</v>
      </c>
      <c r="Y145" s="37" t="n">
        <f aca="false">IF(Y6=③기타_가정!$E$22,③기타_가정!$G$283,0)</f>
        <v>0</v>
      </c>
      <c r="Z145" s="37" t="n">
        <f aca="false">IF(Z6=③기타_가정!$E$22,③기타_가정!$G$283,0)</f>
        <v>0</v>
      </c>
      <c r="AA145" s="37" t="n">
        <f aca="false">IF(AA6=③기타_가정!$E$22,③기타_가정!$G$283,0)</f>
        <v>0</v>
      </c>
      <c r="AB145" s="37" t="n">
        <f aca="false">IF(AB6=③기타_가정!$E$22,③기타_가정!$G$283,0)</f>
        <v>0</v>
      </c>
      <c r="AC145" s="37" t="n">
        <f aca="false">IF(AC6=③기타_가정!$E$22,③기타_가정!$G$283,0)</f>
        <v>0</v>
      </c>
      <c r="AD145" s="37" t="n">
        <f aca="false">IF(AD6=③기타_가정!$E$22,③기타_가정!$G$283,0)</f>
        <v>0</v>
      </c>
      <c r="AE145" s="37" t="n">
        <f aca="false">IF(AE6=③기타_가정!$E$22,③기타_가정!$G$283,0)</f>
        <v>0</v>
      </c>
      <c r="AF145" s="37" t="n">
        <f aca="false">IF(AF6=③기타_가정!$E$22,③기타_가정!$G$283,0)</f>
        <v>0</v>
      </c>
      <c r="AG145" s="37" t="n">
        <f aca="false">IF(AG6=③기타_가정!$E$22,③기타_가정!$G$283,0)</f>
        <v>0</v>
      </c>
      <c r="AH145" s="37" t="n">
        <f aca="false">IF(AH6=③기타_가정!$E$22,③기타_가정!$G$283,0)</f>
        <v>0</v>
      </c>
      <c r="AI145" s="37" t="n">
        <f aca="false">IF(AI6=③기타_가정!$E$22,③기타_가정!$G$283,0)</f>
        <v>0</v>
      </c>
      <c r="AJ145" s="37" t="n">
        <f aca="false">IF(AJ6=③기타_가정!$E$22,③기타_가정!$G$283,0)</f>
        <v>0</v>
      </c>
      <c r="AK145" s="37" t="n">
        <f aca="false">IF(AK6=③기타_가정!$E$22,③기타_가정!$G$283,0)</f>
        <v>0</v>
      </c>
      <c r="AL145" s="37" t="n">
        <f aca="false">IF(AL6=③기타_가정!$E$22,③기타_가정!$G$283,0)</f>
        <v>0</v>
      </c>
      <c r="AM145" s="37" t="n">
        <f aca="false">IF(AM6=③기타_가정!$E$22,③기타_가정!$G$283,0)</f>
        <v>0</v>
      </c>
      <c r="AN145" s="37" t="n">
        <f aca="false">IF(AN6=③기타_가정!$E$22,③기타_가정!$G$283,0)</f>
        <v>0</v>
      </c>
      <c r="AO145" s="37" t="n">
        <f aca="false">IF(AO6=③기타_가정!$E$22,③기타_가정!$G$283,0)</f>
        <v>0</v>
      </c>
      <c r="AP145" s="37" t="n">
        <f aca="false">IF(AP6=③기타_가정!$E$22,③기타_가정!$G$283,0)</f>
        <v>0</v>
      </c>
      <c r="AQ145" s="37" t="n">
        <f aca="false">IF(AQ6=③기타_가정!$E$22,③기타_가정!$G$283,0)</f>
        <v>0</v>
      </c>
      <c r="AR145" s="37" t="n">
        <f aca="false">IF(AR6=③기타_가정!$E$22,③기타_가정!$G$283,0)</f>
        <v>0</v>
      </c>
      <c r="AS145" s="37" t="n">
        <f aca="false">IF(AS6=③기타_가정!$E$22,③기타_가정!$G$283,0)</f>
        <v>0</v>
      </c>
      <c r="AT145" s="37" t="n">
        <f aca="false">IF(AT6=③기타_가정!$E$22,③기타_가정!$G$283,0)</f>
        <v>0</v>
      </c>
      <c r="AU145" s="37" t="n">
        <f aca="false">IF(AU6=③기타_가정!$E$22,③기타_가정!$G$283,0)</f>
        <v>0</v>
      </c>
      <c r="AV145" s="37" t="n">
        <f aca="false">IF(AV6=③기타_가정!$E$22,③기타_가정!$G$283,0)</f>
        <v>0</v>
      </c>
      <c r="AW145" s="37" t="n">
        <f aca="false">IF(AW6=③기타_가정!$E$22,③기타_가정!$G$283,0)</f>
        <v>0</v>
      </c>
      <c r="AX145" s="37" t="n">
        <f aca="false">IF(AX6=③기타_가정!$E$22,③기타_가정!$G$283,0)</f>
        <v>0</v>
      </c>
      <c r="AY145" s="37" t="n">
        <f aca="false">IF(AY6=③기타_가정!$E$22,③기타_가정!$G$283,0)</f>
        <v>0</v>
      </c>
      <c r="AZ145" s="37" t="n">
        <f aca="false">IF(AZ6=③기타_가정!$E$22,③기타_가정!$G$283,0)</f>
        <v>0</v>
      </c>
      <c r="BA145" s="37" t="n">
        <f aca="false">IF(BA6=③기타_가정!$E$22,③기타_가정!$G$283,0)</f>
        <v>0</v>
      </c>
      <c r="BB145" s="37" t="n">
        <f aca="false">IF(BB6=③기타_가정!$E$22,③기타_가정!$G$283,0)</f>
        <v>0</v>
      </c>
      <c r="BC145" s="37" t="n">
        <f aca="false">IF(BC6=③기타_가정!$E$22,③기타_가정!$G$283,0)</f>
        <v>0</v>
      </c>
      <c r="BD145" s="37" t="n">
        <f aca="false">IF(BD6=③기타_가정!$E$22,③기타_가정!$G$283,0)</f>
        <v>0</v>
      </c>
      <c r="BE145" s="37" t="n">
        <f aca="false">IF(BE6=③기타_가정!$E$22,③기타_가정!$G$283,0)</f>
        <v>0</v>
      </c>
      <c r="BF145" s="37" t="n">
        <f aca="false">IF(BF6=③기타_가정!$E$22,③기타_가정!$G$283,0)</f>
        <v>0</v>
      </c>
      <c r="BG145" s="37" t="n">
        <f aca="false">IF(BG6=③기타_가정!$E$22,③기타_가정!$G$283,0)</f>
        <v>0</v>
      </c>
      <c r="BH145" s="37" t="n">
        <f aca="false">IF(BH6=③기타_가정!$E$22,③기타_가정!$G$283,0)</f>
        <v>0</v>
      </c>
      <c r="BI145" s="37" t="n">
        <f aca="false">IF(BI6=③기타_가정!$E$22,③기타_가정!$G$283,0)</f>
        <v>0</v>
      </c>
      <c r="BJ145" s="37" t="n">
        <f aca="false">IF(BJ6=③기타_가정!$E$22,③기타_가정!$G$283,0)</f>
        <v>0</v>
      </c>
      <c r="BK145" s="37" t="n">
        <f aca="false">IF(BK6=③기타_가정!$E$22,③기타_가정!$G$283,0)</f>
        <v>0</v>
      </c>
      <c r="BL145" s="37" t="n">
        <f aca="false">IF(BL6=③기타_가정!$E$22,③기타_가정!$G$283,0)</f>
        <v>0</v>
      </c>
      <c r="BM145" s="37" t="n">
        <f aca="false">IF(BM6=③기타_가정!$E$22,③기타_가정!$G$283,0)</f>
        <v>0</v>
      </c>
      <c r="BN145" s="37" t="n">
        <f aca="false">IF(BN6=③기타_가정!$E$22,③기타_가정!$G$283,0)</f>
        <v>0</v>
      </c>
      <c r="BO145" s="37" t="n">
        <f aca="false">IF(BO6=③기타_가정!$E$22,③기타_가정!$G$283,0)</f>
        <v>0</v>
      </c>
      <c r="BP145" s="37" t="n">
        <f aca="false">IF(BP6=③기타_가정!$E$22,③기타_가정!$G$283,0)</f>
        <v>0</v>
      </c>
      <c r="BQ145" s="37" t="n">
        <f aca="false">IF(BQ6=③기타_가정!$E$22,③기타_가정!$G$283,0)</f>
        <v>0</v>
      </c>
      <c r="BR145" s="37" t="n">
        <f aca="false">IF(BR6=③기타_가정!$E$22,③기타_가정!$G$283,0)</f>
        <v>0</v>
      </c>
      <c r="BS145" s="37" t="n">
        <f aca="false">IF(BS6=③기타_가정!$E$22,③기타_가정!$G$283,0)</f>
        <v>0</v>
      </c>
      <c r="BT145" s="37" t="n">
        <f aca="false">IF(BT6=③기타_가정!$E$22,③기타_가정!$G$283,0)</f>
        <v>0</v>
      </c>
      <c r="BU145" s="37" t="n">
        <f aca="false">IF(BU6=③기타_가정!$E$22,③기타_가정!$G$283,0)</f>
        <v>0</v>
      </c>
      <c r="BV145" s="37" t="n">
        <f aca="false">IF(BV6=③기타_가정!$E$22,③기타_가정!$G$283,0)</f>
        <v>0</v>
      </c>
      <c r="BW145" s="37" t="n">
        <f aca="false">IF(BW6=③기타_가정!$E$22,③기타_가정!$G$283,0)</f>
        <v>0</v>
      </c>
      <c r="BX145" s="37" t="n">
        <f aca="false">IF(BX6=③기타_가정!$E$22,③기타_가정!$G$283,0)</f>
        <v>0</v>
      </c>
      <c r="BY145" s="37" t="n">
        <f aca="false">IF(BY6=③기타_가정!$E$22,③기타_가정!$G$283,0)</f>
        <v>0</v>
      </c>
      <c r="BZ145" s="37" t="n">
        <f aca="false">IF(BZ6=③기타_가정!$E$22,③기타_가정!$G$283,0)</f>
        <v>0</v>
      </c>
      <c r="CA145" s="37" t="n">
        <f aca="false">IF(CA6=③기타_가정!$E$22,③기타_가정!$G$283,0)</f>
        <v>0</v>
      </c>
      <c r="CB145" s="37" t="n">
        <f aca="false">IF(CB6=③기타_가정!$E$22,③기타_가정!$G$283,0)</f>
        <v>0</v>
      </c>
      <c r="CC145" s="37" t="n">
        <f aca="false">IF(CC6=③기타_가정!$E$22,③기타_가정!$G$283,0)</f>
        <v>0</v>
      </c>
      <c r="CD145" s="37" t="n">
        <f aca="false">IF(CD6=③기타_가정!$E$22,③기타_가정!$G$283,0)</f>
        <v>0</v>
      </c>
      <c r="CE145" s="37" t="n">
        <f aca="false">IF(CE6=③기타_가정!$E$22,③기타_가정!$G$283,0)</f>
        <v>0</v>
      </c>
      <c r="CF145" s="37" t="n">
        <f aca="false">IF(CF6=③기타_가정!$E$22,③기타_가정!$G$283,0)</f>
        <v>0</v>
      </c>
      <c r="CG145" s="37" t="n">
        <f aca="false">IF(CG6=③기타_가정!$E$22,③기타_가정!$G$283,0)</f>
        <v>0</v>
      </c>
      <c r="CH145" s="37" t="n">
        <f aca="false">IF(CH6=③기타_가정!$E$22,③기타_가정!$G$283,0)</f>
        <v>0</v>
      </c>
      <c r="CI145" s="37" t="n">
        <f aca="false">IF(CI6=③기타_가정!$E$22,③기타_가정!$G$283,0)</f>
        <v>0</v>
      </c>
      <c r="CJ145" s="37" t="n">
        <f aca="false">IF(CJ6=③기타_가정!$E$22,③기타_가정!$G$283,0)</f>
        <v>0</v>
      </c>
      <c r="CK145" s="37" t="n">
        <f aca="false">IF(CK6=③기타_가정!$E$22,③기타_가정!$G$283,0)</f>
        <v>0</v>
      </c>
      <c r="CL145" s="37" t="n">
        <f aca="false">IF(CL6=③기타_가정!$E$22,③기타_가정!$G$283,0)</f>
        <v>0</v>
      </c>
      <c r="CM145" s="37" t="n">
        <f aca="false">IF(CM6=③기타_가정!$E$22,③기타_가정!$G$283,0)</f>
        <v>0</v>
      </c>
      <c r="CN145" s="37" t="n">
        <f aca="false">IF(CN6=③기타_가정!$E$22,③기타_가정!$G$283,0)</f>
        <v>0</v>
      </c>
      <c r="CO145" s="37" t="n">
        <f aca="false">IF(CO6=③기타_가정!$E$22,③기타_가정!$G$283,0)</f>
        <v>0</v>
      </c>
      <c r="CP145" s="37" t="n">
        <f aca="false">IF(CP6=③기타_가정!$E$22,③기타_가정!$G$283,0)</f>
        <v>0</v>
      </c>
      <c r="CQ145" s="37" t="n">
        <f aca="false">IF(CQ6=③기타_가정!$E$22,③기타_가정!$G$283,0)</f>
        <v>0</v>
      </c>
      <c r="CR145" s="37" t="n">
        <f aca="false">IF(CR6=③기타_가정!$E$22,③기타_가정!$G$283,0)</f>
        <v>0</v>
      </c>
      <c r="CS145" s="37" t="n">
        <f aca="false">IF(CS6=③기타_가정!$E$22,③기타_가정!$G$283,0)</f>
        <v>0</v>
      </c>
      <c r="CT145" s="37" t="n">
        <f aca="false">IF(CT6=③기타_가정!$E$22,③기타_가정!$G$283,0)</f>
        <v>0</v>
      </c>
      <c r="CU145" s="37" t="n">
        <f aca="false">IF(CU6=③기타_가정!$E$22,③기타_가정!$G$283,0)</f>
        <v>0</v>
      </c>
      <c r="CV145" s="37" t="n">
        <f aca="false">IF(CV6=③기타_가정!$E$22,③기타_가정!$G$283,0)</f>
        <v>0</v>
      </c>
      <c r="CW145" s="37" t="n">
        <f aca="false">IF(CW6=③기타_가정!$E$22,③기타_가정!$G$283,0)</f>
        <v>0</v>
      </c>
      <c r="CX145" s="37" t="n">
        <f aca="false">IF(CX6=③기타_가정!$E$22,③기타_가정!$G$283,0)</f>
        <v>0</v>
      </c>
      <c r="CY145" s="37" t="n">
        <f aca="false">IF(CY6=③기타_가정!$E$22,③기타_가정!$G$283,0)</f>
        <v>0</v>
      </c>
      <c r="CZ145" s="37" t="n">
        <f aca="false">IF(CZ6=③기타_가정!$E$22,③기타_가정!$G$283,0)</f>
        <v>0</v>
      </c>
      <c r="DA145" s="37" t="n">
        <f aca="false">IF(DA6=③기타_가정!$E$22,③기타_가정!$G$283,0)</f>
        <v>0</v>
      </c>
      <c r="DB145" s="37" t="n">
        <f aca="false">IF(DB6=③기타_가정!$E$22,③기타_가정!$G$283,0)</f>
        <v>0</v>
      </c>
      <c r="DC145" s="37" t="n">
        <f aca="false">IF(DC6=③기타_가정!$E$22,③기타_가정!$G$283,0)</f>
        <v>0</v>
      </c>
      <c r="DD145" s="37" t="n">
        <f aca="false">IF(DD6=③기타_가정!$E$22,③기타_가정!$G$283,0)</f>
        <v>0</v>
      </c>
      <c r="DE145" s="37" t="n">
        <f aca="false">IF(DE6=③기타_가정!$E$22,③기타_가정!$G$283,0)</f>
        <v>0</v>
      </c>
      <c r="DF145" s="37" t="n">
        <f aca="false">IF(DF6=③기타_가정!$E$22,③기타_가정!$G$283,0)</f>
        <v>0</v>
      </c>
      <c r="DG145" s="37" t="n">
        <f aca="false">IF(DG6=③기타_가정!$E$22,③기타_가정!$G$283,0)</f>
        <v>0</v>
      </c>
      <c r="DH145" s="37" t="n">
        <f aca="false">IF(DH6=③기타_가정!$E$22,③기타_가정!$G$283,0)</f>
        <v>0</v>
      </c>
      <c r="DI145" s="37" t="n">
        <f aca="false">IF(DI6=③기타_가정!$E$22,③기타_가정!$G$283,0)</f>
        <v>0</v>
      </c>
      <c r="DJ145" s="37" t="n">
        <f aca="false">IF(DJ6=③기타_가정!$E$22,③기타_가정!$G$283,0)</f>
        <v>0</v>
      </c>
      <c r="DK145" s="37" t="n">
        <f aca="false">IF(DK6=③기타_가정!$E$22,③기타_가정!$G$283,0)</f>
        <v>0</v>
      </c>
      <c r="DL145" s="37" t="n">
        <f aca="false">IF(DL6=③기타_가정!$E$22,③기타_가정!$G$283,0)</f>
        <v>0</v>
      </c>
      <c r="DM145" s="37" t="n">
        <f aca="false">IF(DM6=③기타_가정!$E$22,③기타_가정!$G$283,0)</f>
        <v>0</v>
      </c>
      <c r="DN145" s="37" t="n">
        <f aca="false">IF(DN6=③기타_가정!$E$22,③기타_가정!$G$283,0)</f>
        <v>0</v>
      </c>
      <c r="DO145" s="37" t="n">
        <f aca="false">IF(DO6=③기타_가정!$E$22,③기타_가정!$G$283,0)</f>
        <v>0</v>
      </c>
      <c r="DP145" s="37" t="n">
        <f aca="false">IF(DP6=③기타_가정!$E$22,③기타_가정!$G$283,0)</f>
        <v>0</v>
      </c>
      <c r="DQ145" s="37" t="n">
        <f aca="false">IF(DQ6=③기타_가정!$E$22,③기타_가정!$G$283,0)</f>
        <v>0</v>
      </c>
      <c r="DR145" s="37" t="n">
        <f aca="false">IF(DR6=③기타_가정!$E$22,③기타_가정!$G$283,0)</f>
        <v>0</v>
      </c>
      <c r="DS145" s="37" t="n">
        <f aca="false">IF(DS6=③기타_가정!$E$22,③기타_가정!$G$283,0)</f>
        <v>0</v>
      </c>
      <c r="DT145" s="37" t="n">
        <f aca="false">IF(DT6=③기타_가정!$E$22,③기타_가정!$G$283,0)</f>
        <v>1649722.78562621</v>
      </c>
      <c r="DU145" s="37" t="n">
        <f aca="false">IF(DU6=③기타_가정!$E$22,③기타_가정!$G$283,0)</f>
        <v>0</v>
      </c>
      <c r="DV145" s="37" t="n">
        <f aca="false">IF(DV6=③기타_가정!$E$22,③기타_가정!$G$283,0)</f>
        <v>0</v>
      </c>
      <c r="DW145" s="37" t="n">
        <f aca="false">IF(DW6=③기타_가정!$E$22,③기타_가정!$G$283,0)</f>
        <v>0</v>
      </c>
      <c r="DX145" s="37" t="n">
        <f aca="false">IF(DX6=③기타_가정!$E$22,③기타_가정!$G$283,0)</f>
        <v>0</v>
      </c>
      <c r="DY145" s="37" t="n">
        <f aca="false">IF(DY6=③기타_가정!$E$22,③기타_가정!$G$283,0)</f>
        <v>0</v>
      </c>
      <c r="DZ145" s="37" t="n">
        <f aca="false">IF(DZ6=③기타_가정!$E$22,③기타_가정!$G$283,0)</f>
        <v>0</v>
      </c>
      <c r="EA145" s="37" t="n">
        <f aca="false">IF(EA6=③기타_가정!$E$22,③기타_가정!$G$283,0)</f>
        <v>0</v>
      </c>
      <c r="EB145" s="37" t="n">
        <f aca="false">IF(EB6=③기타_가정!$E$22,③기타_가정!$G$283,0)</f>
        <v>0</v>
      </c>
      <c r="EC145" s="37" t="n">
        <f aca="false">IF(EC6=③기타_가정!$E$22,③기타_가정!$G$283,0)</f>
        <v>0</v>
      </c>
      <c r="ED145" s="37" t="n">
        <f aca="false">IF(ED6=③기타_가정!$E$22,③기타_가정!$G$283,0)</f>
        <v>0</v>
      </c>
      <c r="EE145" s="37" t="n">
        <f aca="false">IF(EE6=③기타_가정!$E$22,③기타_가정!$G$283,0)</f>
        <v>0</v>
      </c>
      <c r="EF145" s="37" t="n">
        <f aca="false">IF(EF6=③기타_가정!$E$22,③기타_가정!$G$283,0)</f>
        <v>0</v>
      </c>
    </row>
    <row r="147" customFormat="false" ht="15" hidden="false" customHeight="false" outlineLevel="0" collapsed="false">
      <c r="A147" s="6" t="s">
        <v>678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</row>
    <row r="148" customFormat="false" ht="15" hidden="false" customHeight="false" outlineLevel="0" collapsed="false">
      <c r="A148" s="36" t="s">
        <v>679</v>
      </c>
      <c r="B148" s="278" t="s">
        <v>21</v>
      </c>
      <c r="E148" s="37" t="n">
        <f aca="false">0</f>
        <v>0</v>
      </c>
      <c r="F148" s="37" t="n">
        <f aca="false">E159</f>
        <v>9930.1593105935</v>
      </c>
      <c r="G148" s="37" t="n">
        <f aca="false">F159</f>
        <v>9864.56804220332</v>
      </c>
      <c r="H148" s="37" t="n">
        <f aca="false">G159</f>
        <v>9798.81279564216</v>
      </c>
      <c r="I148" s="37" t="n">
        <f aca="false">H159</f>
        <v>1826.4698566905</v>
      </c>
      <c r="J148" s="37" t="n">
        <f aca="false">I159</f>
        <v>1740.61936466556</v>
      </c>
      <c r="K148" s="37" t="n">
        <f aca="false">J159</f>
        <v>1654.55424641056</v>
      </c>
      <c r="L148" s="37" t="n">
        <f aca="false">K159</f>
        <v>1568.27396535992</v>
      </c>
      <c r="M148" s="37" t="n">
        <f aca="false">L159</f>
        <v>1481.77798360665</v>
      </c>
      <c r="N148" s="37" t="n">
        <f aca="false">M159</f>
        <v>1395.065761899</v>
      </c>
      <c r="O148" s="37" t="n">
        <f aca="false">N159</f>
        <v>1308.13675963708</v>
      </c>
      <c r="P148" s="37" t="n">
        <f aca="false">O159</f>
        <v>1220.99043486951</v>
      </c>
      <c r="Q148" s="37" t="n">
        <f aca="false">P159</f>
        <v>1133.62624429002</v>
      </c>
      <c r="R148" s="37" t="n">
        <f aca="false">Q159</f>
        <v>25906.2036432341</v>
      </c>
      <c r="S148" s="37" t="n">
        <f aca="false">R159</f>
        <v>25880.5524856755</v>
      </c>
      <c r="T148" s="37" t="n">
        <f aca="false">S159</f>
        <v>25854.837200223</v>
      </c>
      <c r="U148" s="37" t="n">
        <f aca="false">T159</f>
        <v>25829.0576265569</v>
      </c>
      <c r="V148" s="37" t="n">
        <f aca="false">U159</f>
        <v>25803.2136039566</v>
      </c>
      <c r="W148" s="37" t="n">
        <f aca="false">V159</f>
        <v>25777.3049712999</v>
      </c>
      <c r="X148" s="37" t="n">
        <f aca="false">W159</f>
        <v>51606.5963925249</v>
      </c>
      <c r="Y148" s="37" t="n">
        <f aca="false">X159</f>
        <v>47637.7190423827</v>
      </c>
      <c r="Z148" s="37" t="n">
        <f aca="false">Y159</f>
        <v>41618.2299760611</v>
      </c>
      <c r="AA148" s="37" t="n">
        <f aca="false">Z159</f>
        <v>33571.6946611939</v>
      </c>
      <c r="AB148" s="37" t="n">
        <f aca="false">AA159</f>
        <v>23532.9893853906</v>
      </c>
      <c r="AC148" s="37" t="n">
        <f aca="false">AB159</f>
        <v>11548.1061507768</v>
      </c>
      <c r="AD148" s="37" t="n">
        <f aca="false">AC159</f>
        <v>47394.215404792</v>
      </c>
      <c r="AE148" s="37" t="n">
        <f aca="false">AD159</f>
        <v>31822.3688459989</v>
      </c>
      <c r="AF148" s="37" t="n">
        <f aca="false">AE159</f>
        <v>14506.4508352557</v>
      </c>
      <c r="AG148" s="37" t="n">
        <f aca="false">AF159</f>
        <v>500</v>
      </c>
      <c r="AH148" s="37" t="n">
        <f aca="false">AG159</f>
        <v>500</v>
      </c>
      <c r="AI148" s="37" t="n">
        <f aca="false">AH159</f>
        <v>500</v>
      </c>
      <c r="AJ148" s="37" t="n">
        <f aca="false">AI159</f>
        <v>500</v>
      </c>
      <c r="AK148" s="37" t="n">
        <f aca="false">AJ159</f>
        <v>500</v>
      </c>
      <c r="AL148" s="37" t="n">
        <f aca="false">AK159</f>
        <v>500</v>
      </c>
      <c r="AM148" s="37" t="n">
        <f aca="false">AL159</f>
        <v>500</v>
      </c>
      <c r="AN148" s="37" t="n">
        <f aca="false">AM159</f>
        <v>500</v>
      </c>
      <c r="AO148" s="37" t="n">
        <f aca="false">AN159</f>
        <v>500</v>
      </c>
      <c r="AP148" s="37" t="n">
        <f aca="false">AO159</f>
        <v>20779.9864586784</v>
      </c>
      <c r="AQ148" s="37" t="n">
        <f aca="false">AP159</f>
        <v>500</v>
      </c>
      <c r="AR148" s="37" t="n">
        <f aca="false">AQ159</f>
        <v>500</v>
      </c>
      <c r="AS148" s="37" t="n">
        <f aca="false">AR159</f>
        <v>500</v>
      </c>
      <c r="AT148" s="37" t="n">
        <f aca="false">AS159</f>
        <v>500</v>
      </c>
      <c r="AU148" s="37" t="n">
        <f aca="false">AT159</f>
        <v>500</v>
      </c>
      <c r="AV148" s="37" t="n">
        <f aca="false">AU159</f>
        <v>500</v>
      </c>
      <c r="AW148" s="37" t="n">
        <f aca="false">AV159</f>
        <v>500</v>
      </c>
      <c r="AX148" s="37" t="n">
        <f aca="false">AW159</f>
        <v>500</v>
      </c>
      <c r="AY148" s="37" t="n">
        <f aca="false">AX159</f>
        <v>500</v>
      </c>
      <c r="AZ148" s="37" t="n">
        <f aca="false">AY159</f>
        <v>500</v>
      </c>
      <c r="BA148" s="37" t="n">
        <f aca="false">AZ159</f>
        <v>500</v>
      </c>
      <c r="BB148" s="37" t="n">
        <f aca="false">BA159</f>
        <v>25466.89369361</v>
      </c>
      <c r="BC148" s="37" t="n">
        <f aca="false">BB159</f>
        <v>2179.58416525233</v>
      </c>
      <c r="BD148" s="37" t="n">
        <f aca="false">BC159</f>
        <v>500</v>
      </c>
      <c r="BE148" s="37" t="n">
        <f aca="false">BD159</f>
        <v>500</v>
      </c>
      <c r="BF148" s="37" t="n">
        <f aca="false">BE159</f>
        <v>500</v>
      </c>
      <c r="BG148" s="37" t="n">
        <f aca="false">BF159</f>
        <v>500</v>
      </c>
      <c r="BH148" s="37" t="n">
        <f aca="false">BG159</f>
        <v>500</v>
      </c>
      <c r="BI148" s="37" t="n">
        <f aca="false">BH159</f>
        <v>500</v>
      </c>
      <c r="BJ148" s="37" t="n">
        <f aca="false">BI159</f>
        <v>500</v>
      </c>
      <c r="BK148" s="37" t="n">
        <f aca="false">BJ159</f>
        <v>500</v>
      </c>
      <c r="BL148" s="37" t="n">
        <f aca="false">BK159</f>
        <v>500</v>
      </c>
      <c r="BM148" s="37" t="n">
        <f aca="false">BL159</f>
        <v>39717.2429405123</v>
      </c>
      <c r="BN148" s="37" t="n">
        <f aca="false">BM159</f>
        <v>133956.880255245</v>
      </c>
      <c r="BO148" s="37" t="n">
        <f aca="false">BN159</f>
        <v>133956.880255245</v>
      </c>
      <c r="BP148" s="37" t="n">
        <f aca="false">BO159</f>
        <v>133956.880255245</v>
      </c>
      <c r="BQ148" s="37" t="n">
        <f aca="false">BP159</f>
        <v>133956.880255245</v>
      </c>
      <c r="BR148" s="37" t="n">
        <f aca="false">BQ159</f>
        <v>133956.880255245</v>
      </c>
      <c r="BS148" s="37" t="n">
        <f aca="false">BR159</f>
        <v>133956.880255245</v>
      </c>
      <c r="BT148" s="37" t="n">
        <f aca="false">BS159</f>
        <v>133956.880255245</v>
      </c>
      <c r="BU148" s="37" t="n">
        <f aca="false">BT159</f>
        <v>133956.880255245</v>
      </c>
      <c r="BV148" s="37" t="n">
        <f aca="false">BU159</f>
        <v>133956.880255245</v>
      </c>
      <c r="BW148" s="37" t="n">
        <f aca="false">BV159</f>
        <v>133956.880255245</v>
      </c>
      <c r="BX148" s="37" t="n">
        <f aca="false">BW159</f>
        <v>133956.880255245</v>
      </c>
      <c r="BY148" s="37" t="n">
        <f aca="false">BX159</f>
        <v>133956.880255245</v>
      </c>
      <c r="BZ148" s="37" t="n">
        <f aca="false">BY159</f>
        <v>209307.280255245</v>
      </c>
      <c r="CA148" s="37" t="n">
        <f aca="false">BZ159</f>
        <v>209307.280255245</v>
      </c>
      <c r="CB148" s="37" t="n">
        <f aca="false">CA159</f>
        <v>209307.280255245</v>
      </c>
      <c r="CC148" s="37" t="n">
        <f aca="false">CB159</f>
        <v>209307.280255245</v>
      </c>
      <c r="CD148" s="37" t="n">
        <f aca="false">CC159</f>
        <v>209307.280255245</v>
      </c>
      <c r="CE148" s="37" t="n">
        <f aca="false">CD159</f>
        <v>209307.280255245</v>
      </c>
      <c r="CF148" s="37" t="n">
        <f aca="false">CE159</f>
        <v>209307.280255245</v>
      </c>
      <c r="CG148" s="37" t="n">
        <f aca="false">CF159</f>
        <v>209307.280255245</v>
      </c>
      <c r="CH148" s="37" t="n">
        <f aca="false">CG159</f>
        <v>209307.280255245</v>
      </c>
      <c r="CI148" s="37" t="n">
        <f aca="false">CH159</f>
        <v>209307.280255245</v>
      </c>
      <c r="CJ148" s="37" t="n">
        <f aca="false">CI159</f>
        <v>209307.280255245</v>
      </c>
      <c r="CK148" s="37" t="n">
        <f aca="false">CJ159</f>
        <v>209307.280255245</v>
      </c>
      <c r="CL148" s="37" t="n">
        <f aca="false">CK159</f>
        <v>222507.280255245</v>
      </c>
      <c r="CM148" s="37" t="n">
        <f aca="false">CL159</f>
        <v>222507.280255245</v>
      </c>
      <c r="CN148" s="37" t="n">
        <f aca="false">CM159</f>
        <v>222507.280255245</v>
      </c>
      <c r="CO148" s="37" t="n">
        <f aca="false">CN159</f>
        <v>222507.280255245</v>
      </c>
      <c r="CP148" s="37" t="n">
        <f aca="false">CO159</f>
        <v>222507.280255245</v>
      </c>
      <c r="CQ148" s="37" t="n">
        <f aca="false">CP159</f>
        <v>222507.280255245</v>
      </c>
      <c r="CR148" s="37" t="n">
        <f aca="false">CQ159</f>
        <v>222507.280255245</v>
      </c>
      <c r="CS148" s="37" t="n">
        <f aca="false">CR159</f>
        <v>222507.280255245</v>
      </c>
      <c r="CT148" s="37" t="n">
        <f aca="false">CS159</f>
        <v>222507.280255245</v>
      </c>
      <c r="CU148" s="37" t="n">
        <f aca="false">CT159</f>
        <v>222507.280255245</v>
      </c>
      <c r="CV148" s="37" t="n">
        <f aca="false">CU159</f>
        <v>222507.280255245</v>
      </c>
      <c r="CW148" s="37" t="n">
        <f aca="false">CV159</f>
        <v>222507.280255245</v>
      </c>
      <c r="CX148" s="37" t="n">
        <f aca="false">CW159</f>
        <v>222507.280255245</v>
      </c>
      <c r="CY148" s="37" t="n">
        <f aca="false">CX159</f>
        <v>222507.280255245</v>
      </c>
      <c r="CZ148" s="37" t="n">
        <f aca="false">CY159</f>
        <v>222507.280255245</v>
      </c>
      <c r="DA148" s="37" t="n">
        <f aca="false">CZ159</f>
        <v>222507.280255245</v>
      </c>
      <c r="DB148" s="37" t="n">
        <f aca="false">DA159</f>
        <v>222507.280255245</v>
      </c>
      <c r="DC148" s="37" t="n">
        <f aca="false">DB159</f>
        <v>222507.280255245</v>
      </c>
      <c r="DD148" s="37" t="n">
        <f aca="false">DC159</f>
        <v>222507.280255245</v>
      </c>
      <c r="DE148" s="37" t="n">
        <f aca="false">DD159</f>
        <v>222507.280255245</v>
      </c>
      <c r="DF148" s="37" t="n">
        <f aca="false">DE159</f>
        <v>222507.280255245</v>
      </c>
      <c r="DG148" s="37" t="n">
        <f aca="false">DF159</f>
        <v>222507.280255245</v>
      </c>
      <c r="DH148" s="37" t="n">
        <f aca="false">DG159</f>
        <v>222507.280255245</v>
      </c>
      <c r="DI148" s="37" t="n">
        <f aca="false">DH159</f>
        <v>222507.280255245</v>
      </c>
      <c r="DJ148" s="37" t="n">
        <f aca="false">DI159</f>
        <v>222507.280255245</v>
      </c>
      <c r="DK148" s="37" t="n">
        <f aca="false">DJ159</f>
        <v>222507.280255245</v>
      </c>
      <c r="DL148" s="37" t="n">
        <f aca="false">DK159</f>
        <v>222507.280255245</v>
      </c>
      <c r="DM148" s="37" t="n">
        <f aca="false">DL159</f>
        <v>222507.280255245</v>
      </c>
      <c r="DN148" s="37" t="n">
        <f aca="false">DM159</f>
        <v>222507.280255245</v>
      </c>
      <c r="DO148" s="37" t="n">
        <f aca="false">DN159</f>
        <v>222507.280255245</v>
      </c>
      <c r="DP148" s="37" t="n">
        <f aca="false">DO159</f>
        <v>222507.280255245</v>
      </c>
      <c r="DQ148" s="37" t="n">
        <f aca="false">DP159</f>
        <v>222507.280255245</v>
      </c>
      <c r="DR148" s="37" t="n">
        <f aca="false">DQ159</f>
        <v>222507.280255245</v>
      </c>
      <c r="DS148" s="37" t="n">
        <f aca="false">DR159</f>
        <v>222507.280255245</v>
      </c>
      <c r="DT148" s="37" t="n">
        <f aca="false">DS159</f>
        <v>222507.280255245</v>
      </c>
      <c r="DU148" s="37" t="n">
        <f aca="false">DT159</f>
        <v>753090.768805978</v>
      </c>
      <c r="DV148" s="37" t="n">
        <f aca="false">DU159</f>
        <v>754866.41239466</v>
      </c>
      <c r="DW148" s="37" t="n">
        <f aca="false">DV159</f>
        <v>756646.495092313</v>
      </c>
      <c r="DX148" s="37" t="n">
        <f aca="false">DW159</f>
        <v>0</v>
      </c>
      <c r="DY148" s="37" t="n">
        <f aca="false">DX159</f>
        <v>0</v>
      </c>
      <c r="DZ148" s="37" t="n">
        <f aca="false">DY159</f>
        <v>0</v>
      </c>
      <c r="EA148" s="37" t="n">
        <f aca="false">DZ159</f>
        <v>0</v>
      </c>
      <c r="EB148" s="37" t="n">
        <f aca="false">EA159</f>
        <v>0</v>
      </c>
      <c r="EC148" s="37" t="n">
        <f aca="false">EB159</f>
        <v>0</v>
      </c>
      <c r="ED148" s="37" t="n">
        <f aca="false">EC159</f>
        <v>0</v>
      </c>
      <c r="EE148" s="37" t="n">
        <f aca="false">ED159</f>
        <v>0</v>
      </c>
      <c r="EF148" s="37" t="n">
        <f aca="false">EE159</f>
        <v>0</v>
      </c>
    </row>
    <row r="149" customFormat="false" ht="15" hidden="false" customHeight="false" outlineLevel="0" collapsed="false">
      <c r="A149" s="36" t="s">
        <v>49</v>
      </c>
      <c r="B149" s="278" t="s">
        <v>21</v>
      </c>
      <c r="C149" s="279" t="n">
        <f aca="false">SUM(E149:EF149)</f>
        <v>36938.4617840041</v>
      </c>
      <c r="E149" s="37" t="n">
        <f aca="false">MAX(0,E148)*③기타_가정!$D$553/12</f>
        <v>0</v>
      </c>
      <c r="F149" s="37" t="n">
        <f aca="false">MAX(0,F148)*③기타_가정!$D$553/12</f>
        <v>24.8253982764838</v>
      </c>
      <c r="G149" s="37" t="n">
        <f aca="false">MAX(0,G148)*③기타_가정!$D$553/12</f>
        <v>24.6614201055083</v>
      </c>
      <c r="H149" s="37" t="n">
        <f aca="false">MAX(0,H148)*③기타_가정!$D$553/12</f>
        <v>24.4970319891054</v>
      </c>
      <c r="I149" s="37" t="n">
        <f aca="false">MAX(0,I148)*③기타_가정!$D$553/12</f>
        <v>4.56617464172626</v>
      </c>
      <c r="J149" s="37" t="n">
        <f aca="false">MAX(0,J148)*③기타_가정!$D$553/12</f>
        <v>4.35154841166391</v>
      </c>
      <c r="K149" s="37" t="n">
        <f aca="false">MAX(0,K148)*③기타_가정!$D$553/12</f>
        <v>4.1363856160264</v>
      </c>
      <c r="L149" s="37" t="n">
        <f aca="false">MAX(0,L148)*③기타_가정!$D$553/12</f>
        <v>3.9206849133998</v>
      </c>
      <c r="M149" s="37" t="n">
        <f aca="false">MAX(0,M148)*③기타_가정!$D$553/12</f>
        <v>3.70444495901664</v>
      </c>
      <c r="N149" s="37" t="n">
        <f aca="false">MAX(0,N148)*③기타_가정!$D$553/12</f>
        <v>3.48766440474751</v>
      </c>
      <c r="O149" s="37" t="n">
        <f aca="false">MAX(0,O148)*③기타_가정!$D$553/12</f>
        <v>3.27034189909271</v>
      </c>
      <c r="P149" s="37" t="n">
        <f aca="false">MAX(0,P148)*③기타_가정!$D$553/12</f>
        <v>3.05247608717378</v>
      </c>
      <c r="Q149" s="37" t="n">
        <f aca="false">MAX(0,Q148)*③기타_가정!$D$553/12</f>
        <v>2.83406561072504</v>
      </c>
      <c r="R149" s="37" t="n">
        <f aca="false">MAX(0,R148)*③기타_가정!$D$553/12</f>
        <v>64.7655091080852</v>
      </c>
      <c r="S149" s="37" t="n">
        <f aca="false">MAX(0,S148)*③기타_가정!$D$553/12</f>
        <v>64.7013812141887</v>
      </c>
      <c r="T149" s="37" t="n">
        <f aca="false">MAX(0,T148)*③기타_가정!$D$553/12</f>
        <v>64.6370930005575</v>
      </c>
      <c r="U149" s="37" t="n">
        <f aca="false">MAX(0,U148)*③기타_가정!$D$553/12</f>
        <v>64.5726440663923</v>
      </c>
      <c r="V149" s="37" t="n">
        <f aca="false">MAX(0,V148)*③기타_가정!$D$553/12</f>
        <v>64.5080340098916</v>
      </c>
      <c r="W149" s="37" t="n">
        <f aca="false">MAX(0,W148)*③기타_가정!$D$553/12</f>
        <v>64.4432624282496</v>
      </c>
      <c r="X149" s="37" t="n">
        <f aca="false">MAX(0,X148)*③기타_가정!$D$553/12</f>
        <v>129.016490981312</v>
      </c>
      <c r="Y149" s="37" t="n">
        <f aca="false">MAX(0,Y148)*③기타_가정!$D$553/12</f>
        <v>119.094297605957</v>
      </c>
      <c r="Z149" s="37" t="n">
        <f aca="false">MAX(0,Z148)*③기타_가정!$D$553/12</f>
        <v>104.045574940153</v>
      </c>
      <c r="AA149" s="37" t="n">
        <f aca="false">MAX(0,AA148)*③기타_가정!$D$553/12</f>
        <v>83.9292366529847</v>
      </c>
      <c r="AB149" s="37" t="n">
        <f aca="false">MAX(0,AB148)*③기타_가정!$D$553/12</f>
        <v>58.8324734634765</v>
      </c>
      <c r="AC149" s="37" t="n">
        <f aca="false">MAX(0,AC148)*③기타_가정!$D$553/12</f>
        <v>28.8702653769419</v>
      </c>
      <c r="AD149" s="37" t="n">
        <f aca="false">MAX(0,AD148)*③기타_가정!$D$553/12</f>
        <v>118.48553851198</v>
      </c>
      <c r="AE149" s="37" t="n">
        <f aca="false">MAX(0,AE148)*③기타_가정!$D$553/12</f>
        <v>79.5559221149974</v>
      </c>
      <c r="AF149" s="37" t="n">
        <f aca="false">MAX(0,AF148)*③기타_가정!$D$553/12</f>
        <v>36.2661270881394</v>
      </c>
      <c r="AG149" s="37" t="n">
        <f aca="false">MAX(0,AG148)*③기타_가정!$D$553/12</f>
        <v>1.25</v>
      </c>
      <c r="AH149" s="37" t="n">
        <f aca="false">MAX(0,AH148)*③기타_가정!$D$553/12</f>
        <v>1.25</v>
      </c>
      <c r="AI149" s="37" t="n">
        <f aca="false">MAX(0,AI148)*③기타_가정!$D$553/12</f>
        <v>1.25</v>
      </c>
      <c r="AJ149" s="37" t="n">
        <f aca="false">MAX(0,AJ148)*③기타_가정!$D$553/12</f>
        <v>1.25</v>
      </c>
      <c r="AK149" s="37" t="n">
        <f aca="false">MAX(0,AK148)*③기타_가정!$D$553/12</f>
        <v>1.25</v>
      </c>
      <c r="AL149" s="37" t="n">
        <f aca="false">MAX(0,AL148)*③기타_가정!$D$553/12</f>
        <v>1.25</v>
      </c>
      <c r="AM149" s="37" t="n">
        <f aca="false">MAX(0,AM148)*③기타_가정!$D$553/12</f>
        <v>1.25</v>
      </c>
      <c r="AN149" s="37" t="n">
        <f aca="false">MAX(0,AN148)*③기타_가정!$D$553/12</f>
        <v>1.25</v>
      </c>
      <c r="AO149" s="37" t="n">
        <f aca="false">MAX(0,AO148)*③기타_가정!$D$553/12</f>
        <v>1.25</v>
      </c>
      <c r="AP149" s="37" t="n">
        <f aca="false">MAX(0,AP148)*③기타_가정!$D$553/12</f>
        <v>51.949966146696</v>
      </c>
      <c r="AQ149" s="37" t="n">
        <f aca="false">MAX(0,AQ148)*③기타_가정!$D$553/12</f>
        <v>1.25</v>
      </c>
      <c r="AR149" s="37" t="n">
        <f aca="false">MAX(0,AR148)*③기타_가정!$D$553/12</f>
        <v>1.25</v>
      </c>
      <c r="AS149" s="37" t="n">
        <f aca="false">MAX(0,AS148)*③기타_가정!$D$553/12</f>
        <v>1.25</v>
      </c>
      <c r="AT149" s="37" t="n">
        <f aca="false">MAX(0,AT148)*③기타_가정!$D$553/12</f>
        <v>1.25</v>
      </c>
      <c r="AU149" s="37" t="n">
        <f aca="false">MAX(0,AU148)*③기타_가정!$D$553/12</f>
        <v>1.25</v>
      </c>
      <c r="AV149" s="37" t="n">
        <f aca="false">MAX(0,AV148)*③기타_가정!$D$553/12</f>
        <v>1.25</v>
      </c>
      <c r="AW149" s="37" t="n">
        <f aca="false">MAX(0,AW148)*③기타_가정!$D$553/12</f>
        <v>1.25</v>
      </c>
      <c r="AX149" s="37" t="n">
        <f aca="false">MAX(0,AX148)*③기타_가정!$D$553/12</f>
        <v>1.25</v>
      </c>
      <c r="AY149" s="37" t="n">
        <f aca="false">MAX(0,AY148)*③기타_가정!$D$553/12</f>
        <v>1.25</v>
      </c>
      <c r="AZ149" s="37" t="n">
        <f aca="false">MAX(0,AZ148)*③기타_가정!$D$553/12</f>
        <v>1.25</v>
      </c>
      <c r="BA149" s="37" t="n">
        <f aca="false">MAX(0,BA148)*③기타_가정!$D$553/12</f>
        <v>1.25</v>
      </c>
      <c r="BB149" s="37" t="n">
        <f aca="false">MAX(0,BB148)*③기타_가정!$D$553/12</f>
        <v>63.667234234025</v>
      </c>
      <c r="BC149" s="37" t="n">
        <f aca="false">MAX(0,BC148)*③기타_가정!$D$553/12</f>
        <v>5.44896041313084</v>
      </c>
      <c r="BD149" s="37" t="n">
        <f aca="false">MAX(0,BD148)*③기타_가정!$D$553/12</f>
        <v>1.25</v>
      </c>
      <c r="BE149" s="37" t="n">
        <f aca="false">MAX(0,BE148)*③기타_가정!$D$553/12</f>
        <v>1.25</v>
      </c>
      <c r="BF149" s="37" t="n">
        <f aca="false">MAX(0,BF148)*③기타_가정!$D$553/12</f>
        <v>1.25</v>
      </c>
      <c r="BG149" s="37" t="n">
        <f aca="false">MAX(0,BG148)*③기타_가정!$D$553/12</f>
        <v>1.25</v>
      </c>
      <c r="BH149" s="37" t="n">
        <f aca="false">MAX(0,BH148)*③기타_가정!$D$553/12</f>
        <v>1.25</v>
      </c>
      <c r="BI149" s="37" t="n">
        <f aca="false">MAX(0,BI148)*③기타_가정!$D$553/12</f>
        <v>1.25</v>
      </c>
      <c r="BJ149" s="37" t="n">
        <f aca="false">MAX(0,BJ148)*③기타_가정!$D$553/12</f>
        <v>1.25</v>
      </c>
      <c r="BK149" s="37" t="n">
        <f aca="false">MAX(0,BK148)*③기타_가정!$D$553/12</f>
        <v>1.25</v>
      </c>
      <c r="BL149" s="37" t="n">
        <f aca="false">MAX(0,BL148)*③기타_가정!$D$553/12</f>
        <v>1.25</v>
      </c>
      <c r="BM149" s="37" t="n">
        <f aca="false">MAX(0,BM148)*③기타_가정!$D$553/12</f>
        <v>99.2931073512806</v>
      </c>
      <c r="BN149" s="37" t="n">
        <f aca="false">MAX(0,BN148)*③기타_가정!$D$553/12</f>
        <v>334.892200638112</v>
      </c>
      <c r="BO149" s="37" t="n">
        <f aca="false">MAX(0,BO148)*③기타_가정!$D$553/12</f>
        <v>334.892200638112</v>
      </c>
      <c r="BP149" s="37" t="n">
        <f aca="false">MAX(0,BP148)*③기타_가정!$D$553/12</f>
        <v>334.892200638112</v>
      </c>
      <c r="BQ149" s="37" t="n">
        <f aca="false">MAX(0,BQ148)*③기타_가정!$D$553/12</f>
        <v>334.892200638112</v>
      </c>
      <c r="BR149" s="37" t="n">
        <f aca="false">MAX(0,BR148)*③기타_가정!$D$553/12</f>
        <v>334.892200638112</v>
      </c>
      <c r="BS149" s="37" t="n">
        <f aca="false">MAX(0,BS148)*③기타_가정!$D$553/12</f>
        <v>334.892200638112</v>
      </c>
      <c r="BT149" s="37" t="n">
        <f aca="false">MAX(0,BT148)*③기타_가정!$D$553/12</f>
        <v>334.892200638112</v>
      </c>
      <c r="BU149" s="37" t="n">
        <f aca="false">MAX(0,BU148)*③기타_가정!$D$553/12</f>
        <v>334.892200638112</v>
      </c>
      <c r="BV149" s="37" t="n">
        <f aca="false">MAX(0,BV148)*③기타_가정!$D$553/12</f>
        <v>334.892200638112</v>
      </c>
      <c r="BW149" s="37" t="n">
        <f aca="false">MAX(0,BW148)*③기타_가정!$D$553/12</f>
        <v>334.892200638112</v>
      </c>
      <c r="BX149" s="37" t="n">
        <f aca="false">MAX(0,BX148)*③기타_가정!$D$553/12</f>
        <v>334.892200638112</v>
      </c>
      <c r="BY149" s="37" t="n">
        <f aca="false">MAX(0,BY148)*③기타_가정!$D$553/12</f>
        <v>334.892200638112</v>
      </c>
      <c r="BZ149" s="37" t="n">
        <f aca="false">MAX(0,BZ148)*③기타_가정!$D$553/12</f>
        <v>523.268200638112</v>
      </c>
      <c r="CA149" s="37" t="n">
        <f aca="false">MAX(0,CA148)*③기타_가정!$D$553/12</f>
        <v>523.268200638112</v>
      </c>
      <c r="CB149" s="37" t="n">
        <f aca="false">MAX(0,CB148)*③기타_가정!$D$553/12</f>
        <v>523.268200638112</v>
      </c>
      <c r="CC149" s="37" t="n">
        <f aca="false">MAX(0,CC148)*③기타_가정!$D$553/12</f>
        <v>523.268200638112</v>
      </c>
      <c r="CD149" s="37" t="n">
        <f aca="false">MAX(0,CD148)*③기타_가정!$D$553/12</f>
        <v>523.268200638112</v>
      </c>
      <c r="CE149" s="37" t="n">
        <f aca="false">MAX(0,CE148)*③기타_가정!$D$553/12</f>
        <v>523.268200638112</v>
      </c>
      <c r="CF149" s="37" t="n">
        <f aca="false">MAX(0,CF148)*③기타_가정!$D$553/12</f>
        <v>523.268200638112</v>
      </c>
      <c r="CG149" s="37" t="n">
        <f aca="false">MAX(0,CG148)*③기타_가정!$D$553/12</f>
        <v>523.268200638112</v>
      </c>
      <c r="CH149" s="37" t="n">
        <f aca="false">MAX(0,CH148)*③기타_가정!$D$553/12</f>
        <v>523.268200638112</v>
      </c>
      <c r="CI149" s="37" t="n">
        <f aca="false">MAX(0,CI148)*③기타_가정!$D$553/12</f>
        <v>523.268200638112</v>
      </c>
      <c r="CJ149" s="37" t="n">
        <f aca="false">MAX(0,CJ148)*③기타_가정!$D$553/12</f>
        <v>523.268200638112</v>
      </c>
      <c r="CK149" s="37" t="n">
        <f aca="false">MAX(0,CK148)*③기타_가정!$D$553/12</f>
        <v>523.268200638112</v>
      </c>
      <c r="CL149" s="37" t="n">
        <f aca="false">MAX(0,CL148)*③기타_가정!$D$553/12</f>
        <v>556.268200638112</v>
      </c>
      <c r="CM149" s="37" t="n">
        <f aca="false">MAX(0,CM148)*③기타_가정!$D$553/12</f>
        <v>556.268200638112</v>
      </c>
      <c r="CN149" s="37" t="n">
        <f aca="false">MAX(0,CN148)*③기타_가정!$D$553/12</f>
        <v>556.268200638112</v>
      </c>
      <c r="CO149" s="37" t="n">
        <f aca="false">MAX(0,CO148)*③기타_가정!$D$553/12</f>
        <v>556.268200638112</v>
      </c>
      <c r="CP149" s="37" t="n">
        <f aca="false">MAX(0,CP148)*③기타_가정!$D$553/12</f>
        <v>556.268200638112</v>
      </c>
      <c r="CQ149" s="37" t="n">
        <f aca="false">MAX(0,CQ148)*③기타_가정!$D$553/12</f>
        <v>556.268200638112</v>
      </c>
      <c r="CR149" s="37" t="n">
        <f aca="false">MAX(0,CR148)*③기타_가정!$D$553/12</f>
        <v>556.268200638112</v>
      </c>
      <c r="CS149" s="37" t="n">
        <f aca="false">MAX(0,CS148)*③기타_가정!$D$553/12</f>
        <v>556.268200638112</v>
      </c>
      <c r="CT149" s="37" t="n">
        <f aca="false">MAX(0,CT148)*③기타_가정!$D$553/12</f>
        <v>556.268200638112</v>
      </c>
      <c r="CU149" s="37" t="n">
        <f aca="false">MAX(0,CU148)*③기타_가정!$D$553/12</f>
        <v>556.268200638112</v>
      </c>
      <c r="CV149" s="37" t="n">
        <f aca="false">MAX(0,CV148)*③기타_가정!$D$553/12</f>
        <v>556.268200638112</v>
      </c>
      <c r="CW149" s="37" t="n">
        <f aca="false">MAX(0,CW148)*③기타_가정!$D$553/12</f>
        <v>556.268200638112</v>
      </c>
      <c r="CX149" s="37" t="n">
        <f aca="false">MAX(0,CX148)*③기타_가정!$D$553/12</f>
        <v>556.268200638112</v>
      </c>
      <c r="CY149" s="37" t="n">
        <f aca="false">MAX(0,CY148)*③기타_가정!$D$553/12</f>
        <v>556.268200638112</v>
      </c>
      <c r="CZ149" s="37" t="n">
        <f aca="false">MAX(0,CZ148)*③기타_가정!$D$553/12</f>
        <v>556.268200638112</v>
      </c>
      <c r="DA149" s="37" t="n">
        <f aca="false">MAX(0,DA148)*③기타_가정!$D$553/12</f>
        <v>556.268200638112</v>
      </c>
      <c r="DB149" s="37" t="n">
        <f aca="false">MAX(0,DB148)*③기타_가정!$D$553/12</f>
        <v>556.268200638112</v>
      </c>
      <c r="DC149" s="37" t="n">
        <f aca="false">MAX(0,DC148)*③기타_가정!$D$553/12</f>
        <v>556.268200638112</v>
      </c>
      <c r="DD149" s="37" t="n">
        <f aca="false">MAX(0,DD148)*③기타_가정!$D$553/12</f>
        <v>556.268200638112</v>
      </c>
      <c r="DE149" s="37" t="n">
        <f aca="false">MAX(0,DE148)*③기타_가정!$D$553/12</f>
        <v>556.268200638112</v>
      </c>
      <c r="DF149" s="37" t="n">
        <f aca="false">MAX(0,DF148)*③기타_가정!$D$553/12</f>
        <v>556.268200638112</v>
      </c>
      <c r="DG149" s="37" t="n">
        <f aca="false">MAX(0,DG148)*③기타_가정!$D$553/12</f>
        <v>556.268200638112</v>
      </c>
      <c r="DH149" s="37" t="n">
        <f aca="false">MAX(0,DH148)*③기타_가정!$D$553/12</f>
        <v>556.268200638112</v>
      </c>
      <c r="DI149" s="37" t="n">
        <f aca="false">MAX(0,DI148)*③기타_가정!$D$553/12</f>
        <v>556.268200638112</v>
      </c>
      <c r="DJ149" s="37" t="n">
        <f aca="false">MAX(0,DJ148)*③기타_가정!$D$553/12</f>
        <v>556.268200638112</v>
      </c>
      <c r="DK149" s="37" t="n">
        <f aca="false">MAX(0,DK148)*③기타_가정!$D$553/12</f>
        <v>556.268200638112</v>
      </c>
      <c r="DL149" s="37" t="n">
        <f aca="false">MAX(0,DL148)*③기타_가정!$D$553/12</f>
        <v>556.268200638112</v>
      </c>
      <c r="DM149" s="37" t="n">
        <f aca="false">MAX(0,DM148)*③기타_가정!$D$553/12</f>
        <v>556.268200638112</v>
      </c>
      <c r="DN149" s="37" t="n">
        <f aca="false">MAX(0,DN148)*③기타_가정!$D$553/12</f>
        <v>556.268200638112</v>
      </c>
      <c r="DO149" s="37" t="n">
        <f aca="false">MAX(0,DO148)*③기타_가정!$D$553/12</f>
        <v>556.268200638112</v>
      </c>
      <c r="DP149" s="37" t="n">
        <f aca="false">MAX(0,DP148)*③기타_가정!$D$553/12</f>
        <v>556.268200638112</v>
      </c>
      <c r="DQ149" s="37" t="n">
        <f aca="false">MAX(0,DQ148)*③기타_가정!$D$553/12</f>
        <v>556.268200638112</v>
      </c>
      <c r="DR149" s="37" t="n">
        <f aca="false">MAX(0,DR148)*③기타_가정!$D$553/12</f>
        <v>556.268200638112</v>
      </c>
      <c r="DS149" s="37" t="n">
        <f aca="false">MAX(0,DS148)*③기타_가정!$D$553/12</f>
        <v>556.268200638112</v>
      </c>
      <c r="DT149" s="37" t="n">
        <f aca="false">MAX(0,DT148)*③기타_가정!$D$553/12</f>
        <v>556.268200638112</v>
      </c>
      <c r="DU149" s="37" t="n">
        <f aca="false">MAX(0,DU148)*③기타_가정!$D$553/12</f>
        <v>1882.72692201494</v>
      </c>
      <c r="DV149" s="37" t="n">
        <f aca="false">MAX(0,DV148)*③기타_가정!$D$553/12</f>
        <v>1887.16603098665</v>
      </c>
      <c r="DW149" s="37" t="n">
        <f aca="false">MAX(0,DW148)*③기타_가정!$D$553/12</f>
        <v>1891.61623773078</v>
      </c>
      <c r="DX149" s="37" t="n">
        <f aca="false">MAX(0,DX148)*③기타_가정!$D$553/12</f>
        <v>0</v>
      </c>
      <c r="DY149" s="37" t="n">
        <f aca="false">MAX(0,DY148)*③기타_가정!$D$553/12</f>
        <v>0</v>
      </c>
      <c r="DZ149" s="37" t="n">
        <f aca="false">MAX(0,DZ148)*③기타_가정!$D$553/12</f>
        <v>0</v>
      </c>
      <c r="EA149" s="37" t="n">
        <f aca="false">MAX(0,EA148)*③기타_가정!$D$553/12</f>
        <v>0</v>
      </c>
      <c r="EB149" s="37" t="n">
        <f aca="false">MAX(0,EB148)*③기타_가정!$D$553/12</f>
        <v>0</v>
      </c>
      <c r="EC149" s="37" t="n">
        <f aca="false">MAX(0,EC148)*③기타_가정!$D$553/12</f>
        <v>0</v>
      </c>
      <c r="ED149" s="37" t="n">
        <f aca="false">MAX(0,ED148)*③기타_가정!$D$553/12</f>
        <v>0</v>
      </c>
      <c r="EE149" s="37" t="n">
        <f aca="false">MAX(0,EE148)*③기타_가정!$D$553/12</f>
        <v>0</v>
      </c>
      <c r="EF149" s="37" t="n">
        <f aca="false">MAX(0,EF148)*③기타_가정!$D$553/12</f>
        <v>0</v>
      </c>
    </row>
    <row r="150" customFormat="false" ht="15" hidden="false" customHeight="false" outlineLevel="0" collapsed="false">
      <c r="A150" s="36" t="s">
        <v>680</v>
      </c>
      <c r="B150" s="278" t="s">
        <v>21</v>
      </c>
      <c r="C150" s="279" t="n">
        <f aca="false">SUM(E150:EF150)</f>
        <v>3911394.99239888</v>
      </c>
      <c r="E150" s="37" t="n">
        <f aca="false">E142+E84+E41+E127+E134+E149+E145</f>
        <v>11571.5825683952</v>
      </c>
      <c r="F150" s="37" t="n">
        <f aca="false">F142+F84+F41+F127+F134+F149+F145</f>
        <v>24.8253982764838</v>
      </c>
      <c r="G150" s="37" t="n">
        <f aca="false">G142+G84+G41+G127+G134+G149+G145</f>
        <v>24.6614201055083</v>
      </c>
      <c r="H150" s="37" t="n">
        <f aca="false">H142+H84+H41+H127+H134+H149+H145</f>
        <v>24.4970319891054</v>
      </c>
      <c r="I150" s="37" t="n">
        <f aca="false">I142+I84+I41+I127+I134+I149+I145</f>
        <v>4.56617464172626</v>
      </c>
      <c r="J150" s="37" t="n">
        <f aca="false">J142+J84+J41+J127+J134+J149+J145</f>
        <v>4.35154841166391</v>
      </c>
      <c r="K150" s="37" t="n">
        <f aca="false">K142+K84+K41+K127+K134+K149+K145</f>
        <v>4.1363856160264</v>
      </c>
      <c r="L150" s="37" t="n">
        <f aca="false">L142+L84+L41+L127+L134+L149+L145</f>
        <v>3.9206849133998</v>
      </c>
      <c r="M150" s="37" t="n">
        <f aca="false">M142+M84+M41+M127+M134+M149+M145</f>
        <v>3.70444495901664</v>
      </c>
      <c r="N150" s="37" t="n">
        <f aca="false">N142+N84+N41+N127+N134+N149+N145</f>
        <v>3.48766440474751</v>
      </c>
      <c r="O150" s="37" t="n">
        <f aca="false">O142+O84+O41+O127+O134+O149+O145</f>
        <v>3.27034189909271</v>
      </c>
      <c r="P150" s="37" t="n">
        <f aca="false">P142+P84+P41+P127+P134+P149+P145</f>
        <v>3.05247608717378</v>
      </c>
      <c r="Q150" s="37" t="n">
        <f aca="false">Q142+Q84+Q41+Q127+Q134+Q149+Q145</f>
        <v>24862.9940656107</v>
      </c>
      <c r="R150" s="37" t="n">
        <f aca="false">R142+R84+R41+R127+R134+R149+R145</f>
        <v>64.7655091080852</v>
      </c>
      <c r="S150" s="37" t="n">
        <f aca="false">S142+S84+S41+S127+S134+S149+S145</f>
        <v>64.7013812141887</v>
      </c>
      <c r="T150" s="37" t="n">
        <f aca="false">T142+T84+T41+T127+T134+T149+T145</f>
        <v>64.6370930005575</v>
      </c>
      <c r="U150" s="37" t="n">
        <f aca="false">U142+U84+U41+U127+U134+U149+U145</f>
        <v>64.5726440663923</v>
      </c>
      <c r="V150" s="37" t="n">
        <f aca="false">V142+V84+V41+V127+V134+V149+V145</f>
        <v>64.5080340098916</v>
      </c>
      <c r="W150" s="37" t="n">
        <f aca="false">W142+W84+W41+W127+W134+W149+W145</f>
        <v>198694.178921012</v>
      </c>
      <c r="X150" s="37" t="n">
        <f aca="false">X142+X84+X41+X127+X134+X149+X145</f>
        <v>129.016490981312</v>
      </c>
      <c r="Y150" s="37" t="n">
        <f aca="false">Y142+Y84+Y41+Y127+Y134+Y149+Y145</f>
        <v>119.094297605957</v>
      </c>
      <c r="Z150" s="37" t="n">
        <f aca="false">Z142+Z84+Z41+Z127+Z134+Z149+Z145</f>
        <v>104.045574940153</v>
      </c>
      <c r="AA150" s="37" t="n">
        <f aca="false">AA142+AA84+AA41+AA127+AA134+AA149+AA145</f>
        <v>83.9292366529847</v>
      </c>
      <c r="AB150" s="37" t="n">
        <f aca="false">AB142+AB84+AB41+AB127+AB134+AB149+AB145</f>
        <v>58.8324734634765</v>
      </c>
      <c r="AC150" s="37" t="n">
        <f aca="false">AC142+AC84+AC41+AC127+AC134+AC149+AC145</f>
        <v>49749.190265377</v>
      </c>
      <c r="AD150" s="37" t="n">
        <f aca="false">AD142+AD84+AD41+AD127+AD134+AD149+AD145</f>
        <v>118.48553851198</v>
      </c>
      <c r="AE150" s="37" t="n">
        <f aca="false">AE142+AE84+AE41+AE127+AE134+AE149+AE145</f>
        <v>79.5559221149974</v>
      </c>
      <c r="AF150" s="37" t="n">
        <f aca="false">AF142+AF84+AF41+AF127+AF134+AF149+AF145</f>
        <v>36.2661270881394</v>
      </c>
      <c r="AG150" s="37" t="n">
        <f aca="false">AG142+AG84+AG41+AG127+AG134+AG149+AG145</f>
        <v>1.25</v>
      </c>
      <c r="AH150" s="37" t="n">
        <f aca="false">AH142+AH84+AH41+AH127+AH134+AH149+AH145</f>
        <v>1.25</v>
      </c>
      <c r="AI150" s="37" t="n">
        <f aca="false">AI142+AI84+AI41+AI127+AI134+AI149+AI145</f>
        <v>1.25</v>
      </c>
      <c r="AJ150" s="37" t="n">
        <f aca="false">AJ142+AJ84+AJ41+AJ127+AJ134+AJ149+AJ145</f>
        <v>1.25</v>
      </c>
      <c r="AK150" s="37" t="n">
        <f aca="false">AK142+AK84+AK41+AK127+AK134+AK149+AK145</f>
        <v>1.25</v>
      </c>
      <c r="AL150" s="37" t="n">
        <f aca="false">AL142+AL84+AL41+AL127+AL134+AL149+AL145</f>
        <v>1.25</v>
      </c>
      <c r="AM150" s="37" t="n">
        <f aca="false">AM142+AM84+AM41+AM127+AM134+AM149+AM145</f>
        <v>1.25</v>
      </c>
      <c r="AN150" s="37" t="n">
        <f aca="false">AN142+AN84+AN41+AN127+AN134+AN149+AN145</f>
        <v>1.25</v>
      </c>
      <c r="AO150" s="37" t="n">
        <f aca="false">AO142+AO84+AO41+AO127+AO134+AO149+AO145</f>
        <v>49721.57</v>
      </c>
      <c r="AP150" s="37" t="n">
        <f aca="false">AP142+AP84+AP41+AP127+AP134+AP149+AP145</f>
        <v>51.949966146696</v>
      </c>
      <c r="AQ150" s="37" t="n">
        <f aca="false">AQ142+AQ84+AQ41+AQ127+AQ134+AQ149+AQ145</f>
        <v>1.25</v>
      </c>
      <c r="AR150" s="37" t="n">
        <f aca="false">AR142+AR84+AR41+AR127+AR134+AR149+AR145</f>
        <v>1.25</v>
      </c>
      <c r="AS150" s="37" t="n">
        <f aca="false">AS142+AS84+AS41+AS127+AS134+AS149+AS145</f>
        <v>1.25</v>
      </c>
      <c r="AT150" s="37" t="n">
        <f aca="false">AT142+AT84+AT41+AT127+AT134+AT149+AT145</f>
        <v>1.25</v>
      </c>
      <c r="AU150" s="37" t="n">
        <f aca="false">AU142+AU84+AU41+AU127+AU134+AU149+AU145</f>
        <v>1.25</v>
      </c>
      <c r="AV150" s="37" t="n">
        <f aca="false">AV142+AV84+AV41+AV127+AV134+AV149+AV145</f>
        <v>1.25</v>
      </c>
      <c r="AW150" s="37" t="n">
        <f aca="false">AW142+AW84+AW41+AW127+AW134+AW149+AW145</f>
        <v>1.25</v>
      </c>
      <c r="AX150" s="37" t="n">
        <f aca="false">AX142+AX84+AX41+AX127+AX134+AX149+AX145</f>
        <v>1.25</v>
      </c>
      <c r="AY150" s="37" t="n">
        <f aca="false">AY142+AY84+AY41+AY127+AY134+AY149+AY145</f>
        <v>1.25</v>
      </c>
      <c r="AZ150" s="37" t="n">
        <f aca="false">AZ142+AZ84+AZ41+AZ127+AZ134+AZ149+AZ145</f>
        <v>1.25</v>
      </c>
      <c r="BA150" s="37" t="n">
        <f aca="false">BA142+BA84+BA41+BA127+BA134+BA149+BA145</f>
        <v>49721.57</v>
      </c>
      <c r="BB150" s="37" t="n">
        <f aca="false">BB142+BB84+BB41+BB127+BB134+BB149+BB145</f>
        <v>63.667234234025</v>
      </c>
      <c r="BC150" s="37" t="n">
        <f aca="false">BC142+BC84+BC41+BC127+BC134+BC149+BC145</f>
        <v>5.44896041313084</v>
      </c>
      <c r="BD150" s="37" t="n">
        <f aca="false">BD142+BD84+BD41+BD127+BD134+BD149+BD145</f>
        <v>1.25</v>
      </c>
      <c r="BE150" s="37" t="n">
        <f aca="false">BE142+BE84+BE41+BE127+BE134+BE149+BE145</f>
        <v>1.25</v>
      </c>
      <c r="BF150" s="37" t="n">
        <f aca="false">BF142+BF84+BF41+BF127+BF134+BF149+BF145</f>
        <v>1.25</v>
      </c>
      <c r="BG150" s="37" t="n">
        <f aca="false">BG142+BG84+BG41+BG127+BG134+BG149+BG145</f>
        <v>1.25</v>
      </c>
      <c r="BH150" s="37" t="n">
        <f aca="false">BH142+BH84+BH41+BH127+BH134+BH149+BH145</f>
        <v>1.25</v>
      </c>
      <c r="BI150" s="37" t="n">
        <f aca="false">BI142+BI84+BI41+BI127+BI134+BI149+BI145</f>
        <v>1.25</v>
      </c>
      <c r="BJ150" s="37" t="n">
        <f aca="false">BJ142+BJ84+BJ41+BJ127+BJ134+BJ149+BJ145</f>
        <v>1.25</v>
      </c>
      <c r="BK150" s="37" t="n">
        <f aca="false">BK142+BK84+BK41+BK127+BK134+BK149+BK145</f>
        <v>1.25</v>
      </c>
      <c r="BL150" s="37" t="n">
        <f aca="false">BL142+BL84+BL41+BL127+BL134+BL149+BL145</f>
        <v>712214.43</v>
      </c>
      <c r="BM150" s="37" t="n">
        <f aca="false">BM142+BM84+BM41+BM127+BM134+BM149+BM145</f>
        <v>151039.146125154</v>
      </c>
      <c r="BN150" s="37" t="n">
        <f aca="false">BN142+BN84+BN41+BN127+BN134+BN149+BN145</f>
        <v>13031.3775762541</v>
      </c>
      <c r="BO150" s="37" t="n">
        <f aca="false">BO142+BO84+BO41+BO127+BO134+BO149+BO145</f>
        <v>13394.2652184413</v>
      </c>
      <c r="BP150" s="37" t="n">
        <f aca="false">BP142+BP84+BP41+BP127+BP134+BP149+BP145</f>
        <v>13031.3775762541</v>
      </c>
      <c r="BQ150" s="37" t="n">
        <f aca="false">BQ142+BQ84+BQ41+BQ127+BQ134+BQ149+BQ145</f>
        <v>13394.2652184413</v>
      </c>
      <c r="BR150" s="37" t="n">
        <f aca="false">BR142+BR84+BR41+BR127+BR134+BR149+BR145</f>
        <v>13394.2652184413</v>
      </c>
      <c r="BS150" s="37" t="n">
        <f aca="false">BS142+BS84+BS41+BS127+BS134+BS149+BS145</f>
        <v>13031.3775762541</v>
      </c>
      <c r="BT150" s="37" t="n">
        <f aca="false">BT142+BT84+BT41+BT127+BT134+BT149+BT145</f>
        <v>13394.2652184413</v>
      </c>
      <c r="BU150" s="37" t="n">
        <f aca="false">BU142+BU84+BU41+BU127+BU134+BU149+BU145</f>
        <v>13031.3775762541</v>
      </c>
      <c r="BV150" s="37" t="n">
        <f aca="false">BV142+BV84+BV41+BV127+BV134+BV149+BV145</f>
        <v>13394.2652184413</v>
      </c>
      <c r="BW150" s="37" t="n">
        <f aca="false">BW142+BW84+BW41+BW127+BW134+BW149+BW145</f>
        <v>13394.2652184413</v>
      </c>
      <c r="BX150" s="37" t="n">
        <f aca="false">BX142+BX84+BX41+BX127+BX134+BX149+BX145</f>
        <v>12668.4899340669</v>
      </c>
      <c r="BY150" s="37" t="n">
        <f aca="false">BY142+BY84+BY41+BY127+BY134+BY149+BY145</f>
        <v>91035.307925828</v>
      </c>
      <c r="BZ150" s="37" t="n">
        <f aca="false">BZ142+BZ84+BZ41+BZ127+BZ134+BZ149+BZ145</f>
        <v>15446.1930854077</v>
      </c>
      <c r="CA150" s="37" t="n">
        <f aca="false">CA142+CA84+CA41+CA127+CA134+CA149+CA145</f>
        <v>15873.283925828</v>
      </c>
      <c r="CB150" s="37" t="n">
        <f aca="false">CB142+CB84+CB41+CB127+CB134+CB149+CB145</f>
        <v>15446.1930854077</v>
      </c>
      <c r="CC150" s="37" t="n">
        <f aca="false">CC142+CC84+CC41+CC127+CC134+CC149+CC145</f>
        <v>15873.283925828</v>
      </c>
      <c r="CD150" s="37" t="n">
        <f aca="false">CD142+CD84+CD41+CD127+CD134+CD149+CD145</f>
        <v>15873.283925828</v>
      </c>
      <c r="CE150" s="37" t="n">
        <f aca="false">CE142+CE84+CE41+CE127+CE134+CE149+CE145</f>
        <v>15446.1930854077</v>
      </c>
      <c r="CF150" s="37" t="n">
        <f aca="false">CF142+CF84+CF41+CF127+CF134+CF149+CF145</f>
        <v>15873.283925828</v>
      </c>
      <c r="CG150" s="37" t="n">
        <f aca="false">CG142+CG84+CG41+CG127+CG134+CG149+CG145</f>
        <v>15446.1930854077</v>
      </c>
      <c r="CH150" s="37" t="n">
        <f aca="false">CH142+CH84+CH41+CH127+CH134+CH149+CH145</f>
        <v>15873.283925828</v>
      </c>
      <c r="CI150" s="37" t="n">
        <f aca="false">CI142+CI84+CI41+CI127+CI134+CI149+CI145</f>
        <v>15873.283925828</v>
      </c>
      <c r="CJ150" s="37" t="n">
        <f aca="false">CJ142+CJ84+CJ41+CJ127+CJ134+CJ149+CJ145</f>
        <v>14592.0114045671</v>
      </c>
      <c r="CK150" s="37" t="n">
        <f aca="false">CK142+CK84+CK41+CK127+CK134+CK149+CK145</f>
        <v>29380.2842403318</v>
      </c>
      <c r="CL150" s="37" t="n">
        <f aca="false">CL142+CL84+CL41+CL127+CL134+CL149+CL145</f>
        <v>15777.6515831031</v>
      </c>
      <c r="CM150" s="37" t="n">
        <f aca="false">CM142+CM84+CM41+CM127+CM134+CM149+CM145</f>
        <v>16213.2842403318</v>
      </c>
      <c r="CN150" s="37" t="n">
        <f aca="false">CN142+CN84+CN41+CN127+CN134+CN149+CN145</f>
        <v>15777.6515831031</v>
      </c>
      <c r="CO150" s="37" t="n">
        <f aca="false">CO142+CO84+CO41+CO127+CO134+CO149+CO145</f>
        <v>16213.2842403318</v>
      </c>
      <c r="CP150" s="37" t="n">
        <f aca="false">CP142+CP84+CP41+CP127+CP134+CP149+CP145</f>
        <v>16213.2842403318</v>
      </c>
      <c r="CQ150" s="37" t="n">
        <f aca="false">CQ142+CQ84+CQ41+CQ127+CQ134+CQ149+CQ145</f>
        <v>15777.6515831031</v>
      </c>
      <c r="CR150" s="37" t="n">
        <f aca="false">CR142+CR84+CR41+CR127+CR134+CR149+CR145</f>
        <v>16213.2842403318</v>
      </c>
      <c r="CS150" s="37" t="n">
        <f aca="false">CS142+CS84+CS41+CS127+CS134+CS149+CS145</f>
        <v>15777.6515831031</v>
      </c>
      <c r="CT150" s="37" t="n">
        <f aca="false">CT142+CT84+CT41+CT127+CT134+CT149+CT145</f>
        <v>16213.2842403318</v>
      </c>
      <c r="CU150" s="37" t="n">
        <f aca="false">CU142+CU84+CU41+CU127+CU134+CU149+CU145</f>
        <v>16213.2842403318</v>
      </c>
      <c r="CV150" s="37" t="n">
        <f aca="false">CV142+CV84+CV41+CV127+CV134+CV149+CV145</f>
        <v>14906.3862686456</v>
      </c>
      <c r="CW150" s="37" t="n">
        <f aca="false">CW142+CW84+CW41+CW127+CW134+CW149+CW145</f>
        <v>16526.4245611257</v>
      </c>
      <c r="CX150" s="37" t="n">
        <f aca="false">CX142+CX84+CX41+CX127+CX134+CX149+CX145</f>
        <v>16082.0792507524</v>
      </c>
      <c r="CY150" s="37" t="n">
        <f aca="false">CY142+CY84+CY41+CY127+CY134+CY149+CY145</f>
        <v>16526.4245611257</v>
      </c>
      <c r="CZ150" s="37" t="n">
        <f aca="false">CZ142+CZ84+CZ41+CZ127+CZ134+CZ149+CZ145</f>
        <v>16082.0792507524</v>
      </c>
      <c r="DA150" s="37" t="n">
        <f aca="false">DA142+DA84+DA41+DA127+DA134+DA149+DA145</f>
        <v>16526.4245611257</v>
      </c>
      <c r="DB150" s="37" t="n">
        <f aca="false">DB142+DB84+DB41+DB127+DB134+DB149+DB145</f>
        <v>16526.4245611257</v>
      </c>
      <c r="DC150" s="37" t="n">
        <f aca="false">DC142+DC84+DC41+DC127+DC134+DC149+DC145</f>
        <v>16082.0792507524</v>
      </c>
      <c r="DD150" s="37" t="n">
        <f aca="false">DD142+DD84+DD41+DD127+DD134+DD149+DD145</f>
        <v>16526.4245611257</v>
      </c>
      <c r="DE150" s="37" t="n">
        <f aca="false">DE142+DE84+DE41+DE127+DE134+DE149+DE145</f>
        <v>16082.0792507524</v>
      </c>
      <c r="DF150" s="37" t="n">
        <f aca="false">DF142+DF84+DF41+DF127+DF134+DF149+DF145</f>
        <v>16526.4245611257</v>
      </c>
      <c r="DG150" s="37" t="n">
        <f aca="false">DG142+DG84+DG41+DG127+DG134+DG149+DG145</f>
        <v>16526.4245611257</v>
      </c>
      <c r="DH150" s="37" t="n">
        <f aca="false">DH142+DH84+DH41+DH127+DH134+DH149+DH145</f>
        <v>15193.3886300058</v>
      </c>
      <c r="DI150" s="37" t="n">
        <f aca="false">DI142+DI84+DI41+DI127+DI134+DI149+DI145</f>
        <v>16845.8276883355</v>
      </c>
      <c r="DJ150" s="37" t="n">
        <f aca="false">DJ142+DJ84+DJ41+DJ127+DJ134+DJ149+DJ145</f>
        <v>16392.5954717547</v>
      </c>
      <c r="DK150" s="37" t="n">
        <f aca="false">DK142+DK84+DK41+DK127+DK134+DK149+DK145</f>
        <v>16845.8276883355</v>
      </c>
      <c r="DL150" s="37" t="n">
        <f aca="false">DL142+DL84+DL41+DL127+DL134+DL149+DL145</f>
        <v>16392.5954717547</v>
      </c>
      <c r="DM150" s="37" t="n">
        <f aca="false">DM142+DM84+DM41+DM127+DM134+DM149+DM145</f>
        <v>16845.8276883355</v>
      </c>
      <c r="DN150" s="37" t="n">
        <f aca="false">DN142+DN84+DN41+DN127+DN134+DN149+DN145</f>
        <v>16845.8276883355</v>
      </c>
      <c r="DO150" s="37" t="n">
        <f aca="false">DO142+DO84+DO41+DO127+DO134+DO149+DO145</f>
        <v>16392.5954717547</v>
      </c>
      <c r="DP150" s="37" t="n">
        <f aca="false">DP142+DP84+DP41+DP127+DP134+DP149+DP145</f>
        <v>16845.8276883355</v>
      </c>
      <c r="DQ150" s="37" t="n">
        <f aca="false">DQ142+DQ84+DQ41+DQ127+DQ134+DQ149+DQ145</f>
        <v>16392.5954717547</v>
      </c>
      <c r="DR150" s="37" t="n">
        <f aca="false">DR142+DR84+DR41+DR127+DR134+DR149+DR145</f>
        <v>16845.8276883355</v>
      </c>
      <c r="DS150" s="37" t="n">
        <f aca="false">DS142+DS84+DS41+DS127+DS134+DS149+DS145</f>
        <v>16845.8276883355</v>
      </c>
      <c r="DT150" s="37" t="n">
        <f aca="false">DT142+DT84+DT41+DT127+DT134+DT149+DT145</f>
        <v>1665662.14888138</v>
      </c>
      <c r="DU150" s="37" t="n">
        <f aca="false">DU142+DU84+DU41+DU127+DU134+DU149+DU145</f>
        <v>1882.72692201494</v>
      </c>
      <c r="DV150" s="37" t="n">
        <f aca="false">DV142+DV84+DV41+DV127+DV134+DV149+DV145</f>
        <v>1887.16603098665</v>
      </c>
      <c r="DW150" s="37" t="n">
        <f aca="false">DW142+DW84+DW41+DW127+DW134+DW149+DW145</f>
        <v>1891.61623773078</v>
      </c>
      <c r="DX150" s="37" t="n">
        <f aca="false">DX142+DX84+DX41+DX127+DX134+DX149+DX145</f>
        <v>0</v>
      </c>
      <c r="DY150" s="37" t="n">
        <f aca="false">DY142+DY84+DY41+DY127+DY134+DY149+DY145</f>
        <v>0</v>
      </c>
      <c r="DZ150" s="37" t="n">
        <f aca="false">DZ142+DZ84+DZ41+DZ127+DZ134+DZ149+DZ145</f>
        <v>0</v>
      </c>
      <c r="EA150" s="37" t="n">
        <f aca="false">EA142+EA84+EA41+EA127+EA134+EA149+EA145</f>
        <v>0</v>
      </c>
      <c r="EB150" s="37" t="n">
        <f aca="false">EB142+EB84+EB41+EB127+EB134+EB149+EB145</f>
        <v>0</v>
      </c>
      <c r="EC150" s="37" t="n">
        <f aca="false">EC142+EC84+EC41+EC127+EC134+EC149+EC145</f>
        <v>0</v>
      </c>
      <c r="ED150" s="37" t="n">
        <f aca="false">ED142+ED84+ED41+ED127+ED134+ED149+ED145</f>
        <v>0</v>
      </c>
      <c r="EE150" s="37" t="n">
        <f aca="false">EE142+EE84+EE41+EE127+EE134+EE149+EE145</f>
        <v>0</v>
      </c>
      <c r="EF150" s="37" t="n">
        <f aca="false">EF142+EF84+EF41+EF127+EF134+EF149+EF145</f>
        <v>0</v>
      </c>
    </row>
    <row r="151" customFormat="false" ht="15" hidden="false" customHeight="false" outlineLevel="0" collapsed="false">
      <c r="A151" s="36" t="s">
        <v>681</v>
      </c>
      <c r="B151" s="278" t="s">
        <v>21</v>
      </c>
      <c r="C151" s="279" t="n">
        <f aca="false">SUM(E151:EF151)</f>
        <v>3061622.22427547</v>
      </c>
      <c r="E151" s="37" t="n">
        <f aca="false">E56+E74+E100+E112+E128+E129+E130+E135+E136+E85</f>
        <v>1641.42325780167</v>
      </c>
      <c r="F151" s="37" t="n">
        <f aca="false">F56+F74+F100+F112+F128+F129+F130+F135+F136+F85</f>
        <v>90.4166666666667</v>
      </c>
      <c r="G151" s="37" t="n">
        <f aca="false">G56+G74+G100+G112+G128+G129+G130+G135+G136+G85</f>
        <v>90.4166666666667</v>
      </c>
      <c r="H151" s="37" t="n">
        <f aca="false">H56+H74+H100+H112+H128+H129+H130+H135+H136+H85</f>
        <v>7996.83997094076</v>
      </c>
      <c r="I151" s="37" t="n">
        <f aca="false">I56+I74+I100+I112+I128+I129+I130+I135+I136+I85</f>
        <v>90.4166666666667</v>
      </c>
      <c r="J151" s="37" t="n">
        <f aca="false">J56+J74+J100+J112+J128+J129+J130+J135+J136+J85</f>
        <v>90.4166666666667</v>
      </c>
      <c r="K151" s="37" t="n">
        <f aca="false">K56+K74+K100+K112+K128+K129+K130+K135+K136+K85</f>
        <v>90.4166666666667</v>
      </c>
      <c r="L151" s="37" t="n">
        <f aca="false">L56+L74+L100+L112+L128+L129+L130+L135+L136+L85</f>
        <v>90.4166666666667</v>
      </c>
      <c r="M151" s="37" t="n">
        <f aca="false">M56+M74+M100+M112+M128+M129+M130+M135+M136+M85</f>
        <v>90.4166666666667</v>
      </c>
      <c r="N151" s="37" t="n">
        <f aca="false">N56+N74+N100+N112+N128+N129+N130+N135+N136+N85</f>
        <v>90.4166666666667</v>
      </c>
      <c r="O151" s="37" t="n">
        <f aca="false">O56+O74+O100+O112+O128+O129+O130+O135+O136+O85</f>
        <v>90.4166666666667</v>
      </c>
      <c r="P151" s="37" t="n">
        <f aca="false">P56+P74+P100+P112+P128+P129+P130+P135+P136+P85</f>
        <v>90.4166666666667</v>
      </c>
      <c r="Q151" s="37" t="n">
        <f aca="false">Q56+Q74+Q100+Q112+Q128+Q129+Q130+Q135+Q136+Q85</f>
        <v>90.4166666666667</v>
      </c>
      <c r="R151" s="37" t="n">
        <f aca="false">R56+R74+R100+R112+R128+R129+R130+R135+R136+R85</f>
        <v>90.4166666666667</v>
      </c>
      <c r="S151" s="37" t="n">
        <f aca="false">S56+S74+S100+S112+S128+S129+S130+S135+S136+S85</f>
        <v>90.4166666666667</v>
      </c>
      <c r="T151" s="37" t="n">
        <f aca="false">T56+T74+T100+T112+T128+T129+T130+T135+T136+T85</f>
        <v>90.4166666666667</v>
      </c>
      <c r="U151" s="37" t="n">
        <f aca="false">U56+U74+U100+U112+U128+U129+U130+U135+U136+U85</f>
        <v>90.4166666666667</v>
      </c>
      <c r="V151" s="37" t="n">
        <f aca="false">V56+V74+V100+V112+V128+V129+V130+V135+V136+V85</f>
        <v>90.4166666666667</v>
      </c>
      <c r="W151" s="37" t="n">
        <f aca="false">W56+W74+W100+W112+W128+W129+W130+W135+W136+W85</f>
        <v>172864.887499787</v>
      </c>
      <c r="X151" s="37" t="n">
        <f aca="false">X56+X74+X100+X112+X128+X129+X130+X135+X136+X85</f>
        <v>4097.89384112352</v>
      </c>
      <c r="Y151" s="37" t="n">
        <f aca="false">Y56+Y74+Y100+Y112+Y128+Y129+Y130+Y135+Y136+Y85</f>
        <v>6138.58336392752</v>
      </c>
      <c r="Z151" s="37" t="n">
        <f aca="false">Z56+Z74+Z100+Z112+Z128+Z129+Z130+Z135+Z136+Z85</f>
        <v>8150.58088980736</v>
      </c>
      <c r="AA151" s="37" t="n">
        <f aca="false">AA56+AA74+AA100+AA112+AA128+AA129+AA130+AA135+AA136+AA85</f>
        <v>10122.6345124563</v>
      </c>
      <c r="AB151" s="37" t="n">
        <f aca="false">AB56+AB74+AB100+AB112+AB128+AB129+AB130+AB135+AB136+AB85</f>
        <v>12043.7157080773</v>
      </c>
      <c r="AC151" s="37" t="n">
        <f aca="false">AC56+AC74+AC100+AC112+AC128+AC129+AC130+AC135+AC136+AC85</f>
        <v>13903.0810113617</v>
      </c>
      <c r="AD151" s="37" t="n">
        <f aca="false">AD56+AD74+AD100+AD112+AD128+AD129+AD130+AD135+AD136+AD85</f>
        <v>15690.332097305</v>
      </c>
      <c r="AE151" s="37" t="n">
        <f aca="false">AE56+AE74+AE100+AE112+AE128+AE129+AE130+AE135+AE136+AE85</f>
        <v>17395.4739328582</v>
      </c>
      <c r="AF151" s="37" t="n">
        <f aca="false">AF56+AF74+AF100+AF112+AF128+AF129+AF130+AF135+AF136+AF85</f>
        <v>19008.9706732072</v>
      </c>
      <c r="AG151" s="37" t="n">
        <f aca="false">AG56+AG74+AG100+AG112+AG128+AG129+AG130+AG135+AG136+AG85</f>
        <v>20556.148911585</v>
      </c>
      <c r="AH151" s="37" t="n">
        <f aca="false">AH56+AH74+AH100+AH112+AH128+AH129+AH130+AH135+AH136+AH85</f>
        <v>22102.019839522</v>
      </c>
      <c r="AI151" s="37" t="n">
        <f aca="false">AI56+AI74+AI100+AI112+AI128+AI129+AI130+AI135+AI136+AI85</f>
        <v>23541.6042110555</v>
      </c>
      <c r="AJ151" s="37" t="n">
        <f aca="false">AJ56+AJ74+AJ100+AJ112+AJ128+AJ129+AJ130+AJ135+AJ136+AJ85</f>
        <v>24866.9710133316</v>
      </c>
      <c r="AK151" s="37" t="n">
        <f aca="false">AK56+AK74+AK100+AK112+AK128+AK129+AK130+AK135+AK136+AK85</f>
        <v>26070.828812586</v>
      </c>
      <c r="AL151" s="37" t="n">
        <f aca="false">AL56+AL74+AL100+AL112+AL128+AL129+AL130+AL135+AL136+AL85</f>
        <v>27144.0283071166</v>
      </c>
      <c r="AM151" s="37" t="n">
        <f aca="false">AM56+AM74+AM100+AM112+AM128+AM129+AM130+AM135+AM136+AM85</f>
        <v>28051.8061935175</v>
      </c>
      <c r="AN151" s="37" t="n">
        <f aca="false">AN56+AN74+AN100+AN112+AN128+AN129+AN130+AN135+AN136+AN85</f>
        <v>28819.057327362</v>
      </c>
      <c r="AO151" s="37" t="n">
        <f aca="false">AO56+AO74+AO100+AO112+AO128+AO129+AO130+AO135+AO136+AO85</f>
        <v>29441.5835413216</v>
      </c>
      <c r="AP151" s="37" t="n">
        <f aca="false">AP56+AP74+AP100+AP112+AP128+AP129+AP130+AP135+AP136+AP85</f>
        <v>29749.1679965938</v>
      </c>
      <c r="AQ151" s="37" t="n">
        <f aca="false">AQ56+AQ74+AQ100+AQ112+AQ128+AQ129+AQ130+AQ135+AQ136+AQ85</f>
        <v>29956.755776565</v>
      </c>
      <c r="AR151" s="37" t="n">
        <f aca="false">AR56+AR74+AR100+AR112+AR128+AR129+AR130+AR135+AR136+AR85</f>
        <v>30122.9947164951</v>
      </c>
      <c r="AS151" s="37" t="n">
        <f aca="false">AS56+AS74+AS100+AS112+AS128+AS129+AS130+AS135+AS136+AS85</f>
        <v>30119.3799723465</v>
      </c>
      <c r="AT151" s="37" t="n">
        <f aca="false">AT56+AT74+AT100+AT112+AT128+AT129+AT130+AT135+AT136+AT85</f>
        <v>29962.3861669361</v>
      </c>
      <c r="AU151" s="37" t="n">
        <f aca="false">AU56+AU74+AU100+AU112+AU128+AU129+AU130+AU135+AU136+AU85</f>
        <v>29652.9665419996</v>
      </c>
      <c r="AV151" s="37" t="n">
        <f aca="false">AV56+AV74+AV100+AV112+AV128+AV129+AV130+AV135+AV136+AV85</f>
        <v>29192.9271426283</v>
      </c>
      <c r="AW151" s="37" t="n">
        <f aca="false">AW56+AW74+AW100+AW112+AW128+AW129+AW130+AW135+AW136+AW85</f>
        <v>28584.9167190141</v>
      </c>
      <c r="AX151" s="37" t="n">
        <f aca="false">AX56+AX74+AX100+AX112+AX128+AX129+AX130+AX135+AX136+AX85</f>
        <v>27832.411915456</v>
      </c>
      <c r="AY151" s="37" t="n">
        <f aca="false">AY56+AY74+AY100+AY112+AY128+AY129+AY130+AY135+AY136+AY85</f>
        <v>26939.6978294547</v>
      </c>
      <c r="AZ151" s="37" t="n">
        <f aca="false">AZ56+AZ74+AZ100+AZ112+AZ128+AZ129+AZ130+AZ135+AZ136+AZ85</f>
        <v>25911.8440496187</v>
      </c>
      <c r="BA151" s="37" t="n">
        <f aca="false">BA56+BA74+BA100+BA112+BA128+BA129+BA130+BA135+BA136+BA85</f>
        <v>24754.67630639</v>
      </c>
      <c r="BB151" s="37" t="n">
        <f aca="false">BB56+BB74+BB100+BB112+BB128+BB129+BB130+BB135+BB136+BB85</f>
        <v>23350.9767625917</v>
      </c>
      <c r="BC151" s="37" t="n">
        <f aca="false">BC56+BC74+BC100+BC112+BC128+BC129+BC130+BC135+BC136+BC85</f>
        <v>21838.1484457139</v>
      </c>
      <c r="BD151" s="37" t="n">
        <f aca="false">BD56+BD74+BD100+BD112+BD128+BD129+BD130+BD135+BD136+BD85</f>
        <v>20325.4172819652</v>
      </c>
      <c r="BE151" s="37" t="n">
        <f aca="false">BE56+BE74+BE100+BE112+BE128+BE129+BE130+BE135+BE136+BE85</f>
        <v>18721.8962828217</v>
      </c>
      <c r="BF151" s="37" t="n">
        <f aca="false">BF56+BF74+BF100+BF112+BF128+BF129+BF130+BF135+BF136+BF85</f>
        <v>17028.2484282927</v>
      </c>
      <c r="BG151" s="37" t="n">
        <f aca="false">BG56+BG74+BG100+BG112+BG128+BG129+BG130+BG135+BG136+BG85</f>
        <v>15254.0181171498</v>
      </c>
      <c r="BH151" s="37" t="n">
        <f aca="false">BH56+BH74+BH100+BH112+BH128+BH129+BH130+BH135+BH136+BH85</f>
        <v>13409.2007621143</v>
      </c>
      <c r="BI151" s="37" t="n">
        <f aca="false">BI56+BI74+BI100+BI112+BI128+BI129+BI130+BI135+BI136+BI85</f>
        <v>11504.1868932761</v>
      </c>
      <c r="BJ151" s="37" t="n">
        <f aca="false">BJ56+BJ74+BJ100+BJ112+BJ128+BJ129+BJ130+BJ135+BJ136+BJ85</f>
        <v>9549.70405186256</v>
      </c>
      <c r="BK151" s="37" t="n">
        <f aca="false">BK56+BK74+BK100+BK112+BK128+BK129+BK130+BK135+BK136+BK85</f>
        <v>7556.75679931787</v>
      </c>
      <c r="BL151" s="37" t="n">
        <f aca="false">BL56+BL74+BL100+BL112+BL128+BL129+BL130+BL135+BL136+BL85</f>
        <v>35714.9123934168</v>
      </c>
      <c r="BM151" s="37" t="n">
        <f aca="false">BM56+BM74+BM100+BM112+BM128+BM129+BM130+BM135+BM136+BM85</f>
        <v>54983.7079358263</v>
      </c>
      <c r="BN151" s="37" t="n">
        <f aca="false">BN56+BN74+BN100+BN112+BN128+BN129+BN130+BN135+BN136+BN85</f>
        <v>12512.7820689594</v>
      </c>
      <c r="BO151" s="37" t="n">
        <f aca="false">BO56+BO74+BO100+BO112+BO128+BO129+BO130+BO135+BO136+BO85</f>
        <v>12793.4280388307</v>
      </c>
      <c r="BP151" s="37" t="n">
        <f aca="false">BP56+BP74+BP100+BP112+BP128+BP129+BP130+BP135+BP136+BP85</f>
        <v>12512.7820689594</v>
      </c>
      <c r="BQ151" s="37" t="n">
        <f aca="false">BQ56+BQ74+BQ100+BQ112+BQ128+BQ129+BQ130+BQ135+BQ136+BQ85</f>
        <v>12793.4280388307</v>
      </c>
      <c r="BR151" s="37" t="n">
        <f aca="false">BR56+BR74+BR100+BR112+BR128+BR129+BR130+BR135+BR136+BR85</f>
        <v>12793.4280388307</v>
      </c>
      <c r="BS151" s="37" t="n">
        <f aca="false">BS56+BS74+BS100+BS112+BS128+BS129+BS130+BS135+BS136+BS85</f>
        <v>12512.7820689594</v>
      </c>
      <c r="BT151" s="37" t="n">
        <f aca="false">BT56+BT74+BT100+BT112+BT128+BT129+BT130+BT135+BT136+BT85</f>
        <v>12793.4280388307</v>
      </c>
      <c r="BU151" s="37" t="n">
        <f aca="false">BU56+BU74+BU100+BU112+BU128+BU129+BU130+BU135+BU136+BU85</f>
        <v>12512.7820689594</v>
      </c>
      <c r="BV151" s="37" t="n">
        <f aca="false">BV56+BV74+BV100+BV112+BV128+BV129+BV130+BV135+BV136+BV85</f>
        <v>12793.4280388307</v>
      </c>
      <c r="BW151" s="37" t="n">
        <f aca="false">BW56+BW74+BW100+BW112+BW128+BW129+BW130+BW135+BW136+BW85</f>
        <v>12793.4280388307</v>
      </c>
      <c r="BX151" s="37" t="n">
        <f aca="false">BX56+BX74+BX100+BX112+BX128+BX129+BX130+BX135+BX136+BX85</f>
        <v>12232.1360990882</v>
      </c>
      <c r="BY151" s="37" t="n">
        <f aca="false">BY56+BY74+BY100+BY112+BY128+BY129+BY130+BY135+BY136+BY85</f>
        <v>14174.4171087056</v>
      </c>
      <c r="BZ151" s="37" t="n">
        <f aca="false">BZ56+BZ74+BZ100+BZ112+BZ128+BZ129+BZ130+BZ135+BZ136+BZ85</f>
        <v>13866.0955903187</v>
      </c>
      <c r="CA151" s="37" t="n">
        <f aca="false">CA56+CA74+CA100+CA112+CA128+CA129+CA130+CA135+CA136+CA85</f>
        <v>14196.3943087056</v>
      </c>
      <c r="CB151" s="37" t="n">
        <f aca="false">CB56+CB74+CB100+CB112+CB128+CB129+CB130+CB135+CB136+CB85</f>
        <v>13866.0955903187</v>
      </c>
      <c r="CC151" s="37" t="n">
        <f aca="false">CC56+CC74+CC100+CC112+CC128+CC129+CC130+CC135+CC136+CC85</f>
        <v>14196.3943087056</v>
      </c>
      <c r="CD151" s="37" t="n">
        <f aca="false">CD56+CD74+CD100+CD112+CD128+CD129+CD130+CD135+CD136+CD85</f>
        <v>14196.3943087056</v>
      </c>
      <c r="CE151" s="37" t="n">
        <f aca="false">CE56+CE74+CE100+CE112+CE128+CE129+CE130+CE135+CE136+CE85</f>
        <v>13866.0955903187</v>
      </c>
      <c r="CF151" s="37" t="n">
        <f aca="false">CF56+CF74+CF100+CF112+CF128+CF129+CF130+CF135+CF136+CF85</f>
        <v>14196.3943087056</v>
      </c>
      <c r="CG151" s="37" t="n">
        <f aca="false">CG56+CG74+CG100+CG112+CG128+CG129+CG130+CG135+CG136+CG85</f>
        <v>13866.0955903187</v>
      </c>
      <c r="CH151" s="37" t="n">
        <f aca="false">CH56+CH74+CH100+CH112+CH128+CH129+CH130+CH135+CH136+CH85</f>
        <v>14196.3943087056</v>
      </c>
      <c r="CI151" s="37" t="n">
        <f aca="false">CI56+CI74+CI100+CI112+CI128+CI129+CI130+CI135+CI136+CI85</f>
        <v>14196.3943087056</v>
      </c>
      <c r="CJ151" s="37" t="n">
        <f aca="false">CJ56+CJ74+CJ100+CJ112+CJ128+CJ129+CJ130+CJ135+CJ136+CJ85</f>
        <v>13205.4981535449</v>
      </c>
      <c r="CK151" s="37" t="n">
        <f aca="false">CK56+CK74+CK100+CK112+CK128+CK129+CK130+CK135+CK136+CK85</f>
        <v>14413.8996604547</v>
      </c>
      <c r="CL151" s="37" t="n">
        <f aca="false">CL56+CL74+CL100+CL112+CL128+CL129+CL130+CL135+CL136+CL85</f>
        <v>14080.8449677001</v>
      </c>
      <c r="CM151" s="37" t="n">
        <f aca="false">CM56+CM74+CM100+CM112+CM128+CM129+CM130+CM135+CM136+CM85</f>
        <v>14417.7496604547</v>
      </c>
      <c r="CN151" s="37" t="n">
        <f aca="false">CN56+CN74+CN100+CN112+CN128+CN129+CN130+CN135+CN136+CN85</f>
        <v>14080.8449677001</v>
      </c>
      <c r="CO151" s="37" t="n">
        <f aca="false">CO56+CO74+CO100+CO112+CO128+CO129+CO130+CO135+CO136+CO85</f>
        <v>14417.7496604547</v>
      </c>
      <c r="CP151" s="37" t="n">
        <f aca="false">CP56+CP74+CP100+CP112+CP128+CP129+CP130+CP135+CP136+CP85</f>
        <v>14417.7496604547</v>
      </c>
      <c r="CQ151" s="37" t="n">
        <f aca="false">CQ56+CQ74+CQ100+CQ112+CQ128+CQ129+CQ130+CQ135+CQ136+CQ85</f>
        <v>14080.8449677001</v>
      </c>
      <c r="CR151" s="37" t="n">
        <f aca="false">CR56+CR74+CR100+CR112+CR128+CR129+CR130+CR135+CR136+CR85</f>
        <v>14417.7496604547</v>
      </c>
      <c r="CS151" s="37" t="n">
        <f aca="false">CS56+CS74+CS100+CS112+CS128+CS129+CS130+CS135+CS136+CS85</f>
        <v>14080.8449677001</v>
      </c>
      <c r="CT151" s="37" t="n">
        <f aca="false">CT56+CT74+CT100+CT112+CT128+CT129+CT130+CT135+CT136+CT85</f>
        <v>14417.7496604547</v>
      </c>
      <c r="CU151" s="37" t="n">
        <f aca="false">CU56+CU74+CU100+CU112+CU128+CU129+CU130+CU135+CU136+CU85</f>
        <v>14417.7496604547</v>
      </c>
      <c r="CV151" s="37" t="n">
        <f aca="false">CV56+CV74+CV100+CV112+CV128+CV129+CV130+CV135+CV136+CV85</f>
        <v>13407.0355821908</v>
      </c>
      <c r="CW151" s="37" t="n">
        <f aca="false">CW56+CW74+CW100+CW112+CW128+CW129+CW130+CW135+CW136+CW85</f>
        <v>14639.6051192388</v>
      </c>
      <c r="CX151" s="37" t="n">
        <f aca="false">CX56+CX74+CX100+CX112+CX128+CX129+CX130+CX135+CX136+CX85</f>
        <v>14295.9623326291</v>
      </c>
      <c r="CY151" s="37" t="n">
        <f aca="false">CY56+CY74+CY100+CY112+CY128+CY129+CY130+CY135+CY136+CY85</f>
        <v>14639.6051192388</v>
      </c>
      <c r="CZ151" s="37" t="n">
        <f aca="false">CZ56+CZ74+CZ100+CZ112+CZ128+CZ129+CZ130+CZ135+CZ136+CZ85</f>
        <v>14295.9623326291</v>
      </c>
      <c r="DA151" s="37" t="n">
        <f aca="false">DA56+DA74+DA100+DA112+DA128+DA129+DA130+DA135+DA136+DA85</f>
        <v>14639.6051192388</v>
      </c>
      <c r="DB151" s="37" t="n">
        <f aca="false">DB56+DB74+DB100+DB112+DB128+DB129+DB130+DB135+DB136+DB85</f>
        <v>14639.6051192388</v>
      </c>
      <c r="DC151" s="37" t="n">
        <f aca="false">DC56+DC74+DC100+DC112+DC128+DC129+DC130+DC135+DC136+DC85</f>
        <v>14295.9623326291</v>
      </c>
      <c r="DD151" s="37" t="n">
        <f aca="false">DD56+DD74+DD100+DD112+DD128+DD129+DD130+DD135+DD136+DD85</f>
        <v>14639.6051192388</v>
      </c>
      <c r="DE151" s="37" t="n">
        <f aca="false">DE56+DE74+DE100+DE112+DE128+DE129+DE130+DE135+DE136+DE85</f>
        <v>14295.9623326291</v>
      </c>
      <c r="DF151" s="37" t="n">
        <f aca="false">DF56+DF74+DF100+DF112+DF128+DF129+DF130+DF135+DF136+DF85</f>
        <v>14639.6051192388</v>
      </c>
      <c r="DG151" s="37" t="n">
        <f aca="false">DG56+DG74+DG100+DG112+DG128+DG129+DG130+DG135+DG136+DG85</f>
        <v>14639.6051192388</v>
      </c>
      <c r="DH151" s="37" t="n">
        <f aca="false">DH56+DH74+DH100+DH112+DH128+DH129+DH130+DH135+DH136+DH85</f>
        <v>13608.6767594096</v>
      </c>
      <c r="DI151" s="37" t="n">
        <f aca="false">DI56+DI74+DI100+DI112+DI128+DI129+DI130+DI135+DI136+DI85</f>
        <v>14865.8976871986</v>
      </c>
      <c r="DJ151" s="37" t="n">
        <f aca="false">DJ56+DJ74+DJ100+DJ112+DJ128+DJ129+DJ130+DJ135+DJ136+DJ85</f>
        <v>14515.3820448567</v>
      </c>
      <c r="DK151" s="37" t="n">
        <f aca="false">DK56+DK74+DK100+DK112+DK128+DK129+DK130+DK135+DK136+DK85</f>
        <v>14865.8976871986</v>
      </c>
      <c r="DL151" s="37" t="n">
        <f aca="false">DL56+DL74+DL100+DL112+DL128+DL129+DL130+DL135+DL136+DL85</f>
        <v>14515.3820448567</v>
      </c>
      <c r="DM151" s="37" t="n">
        <f aca="false">DM56+DM74+DM100+DM112+DM128+DM129+DM130+DM135+DM136+DM85</f>
        <v>14865.8976871986</v>
      </c>
      <c r="DN151" s="37" t="n">
        <f aca="false">DN56+DN74+DN100+DN112+DN128+DN129+DN130+DN135+DN136+DN85</f>
        <v>14865.8976871986</v>
      </c>
      <c r="DO151" s="37" t="n">
        <f aca="false">DO56+DO74+DO100+DO112+DO128+DO129+DO130+DO135+DO136+DO85</f>
        <v>14515.3820448567</v>
      </c>
      <c r="DP151" s="37" t="n">
        <f aca="false">DP56+DP74+DP100+DP112+DP128+DP129+DP130+DP135+DP136+DP85</f>
        <v>14865.8976871986</v>
      </c>
      <c r="DQ151" s="37" t="n">
        <f aca="false">DQ56+DQ74+DQ100+DQ112+DQ128+DQ129+DQ130+DQ135+DQ136+DQ85</f>
        <v>14515.3820448567</v>
      </c>
      <c r="DR151" s="37" t="n">
        <f aca="false">DR56+DR74+DR100+DR112+DR128+DR129+DR130+DR135+DR136+DR85</f>
        <v>14865.8976871986</v>
      </c>
      <c r="DS151" s="37" t="n">
        <f aca="false">DS56+DS74+DS100+DS112+DS128+DS129+DS130+DS135+DS136+DS85</f>
        <v>14865.8976871986</v>
      </c>
      <c r="DT151" s="37" t="n">
        <f aca="false">DT56+DT74+DT100+DT112+DT128+DT129+DT130+DT135+DT136+DT85</f>
        <v>1135078.66033065</v>
      </c>
      <c r="DU151" s="37" t="n">
        <f aca="false">DU56+DU74+DU100+DU112+DU128+DU129+DU130+DU135+DU136+DU85</f>
        <v>107.083333333333</v>
      </c>
      <c r="DV151" s="37" t="n">
        <f aca="false">DV56+DV74+DV100+DV112+DV128+DV129+DV130+DV135+DV136+DV85</f>
        <v>107.083333333333</v>
      </c>
      <c r="DW151" s="37" t="n">
        <f aca="false">DW56+DW74+DW100+DW112+DW128+DW129+DW130+DW135+DW136+DW85</f>
        <v>107.083333333333</v>
      </c>
      <c r="DX151" s="37" t="n">
        <f aca="false">DX56+DX74+DX100+DX112+DX128+DX129+DX130+DX135+DX136+DX85</f>
        <v>0</v>
      </c>
      <c r="DY151" s="37" t="n">
        <f aca="false">DY56+DY74+DY100+DY112+DY128+DY129+DY130+DY135+DY136+DY85</f>
        <v>0</v>
      </c>
      <c r="DZ151" s="37" t="n">
        <f aca="false">DZ56+DZ74+DZ100+DZ112+DZ128+DZ129+DZ130+DZ135+DZ136+DZ85</f>
        <v>0</v>
      </c>
      <c r="EA151" s="37" t="n">
        <f aca="false">EA56+EA74+EA100+EA112+EA128+EA129+EA130+EA135+EA136+EA85</f>
        <v>0</v>
      </c>
      <c r="EB151" s="37" t="n">
        <f aca="false">EB56+EB74+EB100+EB112+EB128+EB129+EB130+EB135+EB136+EB85</f>
        <v>0</v>
      </c>
      <c r="EC151" s="37" t="n">
        <f aca="false">EC56+EC74+EC100+EC112+EC128+EC129+EC130+EC135+EC136+EC85</f>
        <v>0</v>
      </c>
      <c r="ED151" s="37" t="n">
        <f aca="false">ED56+ED74+ED100+ED112+ED128+ED129+ED130+ED135+ED136+ED85</f>
        <v>0</v>
      </c>
      <c r="EE151" s="37" t="n">
        <f aca="false">EE56+EE74+EE100+EE112+EE128+EE129+EE130+EE135+EE136+EE85</f>
        <v>0</v>
      </c>
      <c r="EF151" s="37" t="n">
        <f aca="false">EF56+EF74+EF100+EF112+EF128+EF129+EF130+EF135+EF136+EF85</f>
        <v>0</v>
      </c>
    </row>
    <row r="152" customFormat="false" ht="15" hidden="false" customHeight="false" outlineLevel="0" collapsed="false">
      <c r="A152" s="153" t="s">
        <v>682</v>
      </c>
      <c r="B152" s="278" t="s">
        <v>21</v>
      </c>
      <c r="E152" s="37" t="n">
        <f aca="false">E148+E150-E151</f>
        <v>9930.1593105935</v>
      </c>
      <c r="F152" s="37" t="n">
        <f aca="false">F148+F150-F151</f>
        <v>9864.56804220332</v>
      </c>
      <c r="G152" s="37" t="n">
        <f aca="false">G148+G150-G151</f>
        <v>9798.81279564216</v>
      </c>
      <c r="H152" s="37" t="n">
        <f aca="false">H148+H150-H151</f>
        <v>1826.4698566905</v>
      </c>
      <c r="I152" s="37" t="n">
        <f aca="false">I148+I150-I151</f>
        <v>1740.61936466556</v>
      </c>
      <c r="J152" s="37" t="n">
        <f aca="false">J148+J150-J151</f>
        <v>1654.55424641056</v>
      </c>
      <c r="K152" s="37" t="n">
        <f aca="false">K148+K150-K151</f>
        <v>1568.27396535992</v>
      </c>
      <c r="L152" s="37" t="n">
        <f aca="false">L148+L150-L151</f>
        <v>1481.77798360665</v>
      </c>
      <c r="M152" s="37" t="n">
        <f aca="false">M148+M150-M151</f>
        <v>1395.065761899</v>
      </c>
      <c r="N152" s="37" t="n">
        <f aca="false">N148+N150-N151</f>
        <v>1308.13675963708</v>
      </c>
      <c r="O152" s="37" t="n">
        <f aca="false">O148+O150-O151</f>
        <v>1220.99043486951</v>
      </c>
      <c r="P152" s="37" t="n">
        <f aca="false">P148+P150-P151</f>
        <v>1133.62624429002</v>
      </c>
      <c r="Q152" s="37" t="n">
        <f aca="false">Q148+Q150-Q151</f>
        <v>25906.2036432341</v>
      </c>
      <c r="R152" s="37" t="n">
        <f aca="false">R148+R150-R151</f>
        <v>25880.5524856755</v>
      </c>
      <c r="S152" s="37" t="n">
        <f aca="false">S148+S150-S151</f>
        <v>25854.837200223</v>
      </c>
      <c r="T152" s="37" t="n">
        <f aca="false">T148+T150-T151</f>
        <v>25829.0576265569</v>
      </c>
      <c r="U152" s="37" t="n">
        <f aca="false">U148+U150-U151</f>
        <v>25803.2136039566</v>
      </c>
      <c r="V152" s="37" t="n">
        <f aca="false">V148+V150-V151</f>
        <v>25777.3049712999</v>
      </c>
      <c r="W152" s="37" t="n">
        <f aca="false">W148+W150-W151</f>
        <v>51606.5963925249</v>
      </c>
      <c r="X152" s="37" t="n">
        <f aca="false">X148+X150-X151</f>
        <v>47637.7190423827</v>
      </c>
      <c r="Y152" s="37" t="n">
        <f aca="false">Y148+Y150-Y151</f>
        <v>41618.2299760611</v>
      </c>
      <c r="Z152" s="37" t="n">
        <f aca="false">Z148+Z150-Z151</f>
        <v>33571.6946611939</v>
      </c>
      <c r="AA152" s="37" t="n">
        <f aca="false">AA148+AA150-AA151</f>
        <v>23532.9893853906</v>
      </c>
      <c r="AB152" s="37" t="n">
        <f aca="false">AB148+AB150-AB151</f>
        <v>11548.1061507768</v>
      </c>
      <c r="AC152" s="37" t="n">
        <f aca="false">AC148+AC150-AC151</f>
        <v>47394.215404792</v>
      </c>
      <c r="AD152" s="37" t="n">
        <f aca="false">AD148+AD150-AD151</f>
        <v>31822.3688459989</v>
      </c>
      <c r="AE152" s="37" t="n">
        <f aca="false">AE148+AE150-AE151</f>
        <v>14506.4508352557</v>
      </c>
      <c r="AF152" s="37" t="n">
        <f aca="false">AF148+AF150-AF151</f>
        <v>-4466.25371086328</v>
      </c>
      <c r="AG152" s="37" t="n">
        <f aca="false">AG148+AG150-AG151</f>
        <v>-20054.898911585</v>
      </c>
      <c r="AH152" s="37" t="n">
        <f aca="false">AH148+AH150-AH151</f>
        <v>-21600.769839522</v>
      </c>
      <c r="AI152" s="37" t="n">
        <f aca="false">AI148+AI150-AI151</f>
        <v>-23040.3542110555</v>
      </c>
      <c r="AJ152" s="37" t="n">
        <f aca="false">AJ148+AJ150-AJ151</f>
        <v>-24365.7210133316</v>
      </c>
      <c r="AK152" s="37" t="n">
        <f aca="false">AK148+AK150-AK151</f>
        <v>-25569.578812586</v>
      </c>
      <c r="AL152" s="37" t="n">
        <f aca="false">AL148+AL150-AL151</f>
        <v>-26642.7783071166</v>
      </c>
      <c r="AM152" s="37" t="n">
        <f aca="false">AM148+AM150-AM151</f>
        <v>-27550.5561935175</v>
      </c>
      <c r="AN152" s="37" t="n">
        <f aca="false">AN148+AN150-AN151</f>
        <v>-28317.807327362</v>
      </c>
      <c r="AO152" s="37" t="n">
        <f aca="false">AO148+AO150-AO151</f>
        <v>20779.9864586784</v>
      </c>
      <c r="AP152" s="37" t="n">
        <f aca="false">AP148+AP150-AP151</f>
        <v>-8917.23157176867</v>
      </c>
      <c r="AQ152" s="37" t="n">
        <f aca="false">AQ148+AQ150-AQ151</f>
        <v>-29455.505776565</v>
      </c>
      <c r="AR152" s="37" t="n">
        <f aca="false">AR148+AR150-AR151</f>
        <v>-29621.7447164951</v>
      </c>
      <c r="AS152" s="37" t="n">
        <f aca="false">AS148+AS150-AS151</f>
        <v>-29618.1299723465</v>
      </c>
      <c r="AT152" s="37" t="n">
        <f aca="false">AT148+AT150-AT151</f>
        <v>-29461.1361669361</v>
      </c>
      <c r="AU152" s="37" t="n">
        <f aca="false">AU148+AU150-AU151</f>
        <v>-29151.7165419996</v>
      </c>
      <c r="AV152" s="37" t="n">
        <f aca="false">AV148+AV150-AV151</f>
        <v>-28691.6771426283</v>
      </c>
      <c r="AW152" s="37" t="n">
        <f aca="false">AW148+AW150-AW151</f>
        <v>-28083.6667190141</v>
      </c>
      <c r="AX152" s="37" t="n">
        <f aca="false">AX148+AX150-AX151</f>
        <v>-27331.161915456</v>
      </c>
      <c r="AY152" s="37" t="n">
        <f aca="false">AY148+AY150-AY151</f>
        <v>-26438.4478294547</v>
      </c>
      <c r="AZ152" s="37" t="n">
        <f aca="false">AZ148+AZ150-AZ151</f>
        <v>-25410.5940496187</v>
      </c>
      <c r="BA152" s="37" t="n">
        <f aca="false">BA148+BA150-BA151</f>
        <v>25466.89369361</v>
      </c>
      <c r="BB152" s="37" t="n">
        <f aca="false">BB148+BB150-BB151</f>
        <v>2179.58416525233</v>
      </c>
      <c r="BC152" s="37" t="n">
        <f aca="false">BC148+BC150-BC151</f>
        <v>-19653.1153200484</v>
      </c>
      <c r="BD152" s="37" t="n">
        <f aca="false">BD148+BD150-BD151</f>
        <v>-19824.1672819652</v>
      </c>
      <c r="BE152" s="37" t="n">
        <f aca="false">BE148+BE150-BE151</f>
        <v>-18220.6462828217</v>
      </c>
      <c r="BF152" s="37" t="n">
        <f aca="false">BF148+BF150-BF151</f>
        <v>-16526.9984282927</v>
      </c>
      <c r="BG152" s="37" t="n">
        <f aca="false">BG148+BG150-BG151</f>
        <v>-14752.7681171498</v>
      </c>
      <c r="BH152" s="37" t="n">
        <f aca="false">BH148+BH150-BH151</f>
        <v>-12907.9507621143</v>
      </c>
      <c r="BI152" s="37" t="n">
        <f aca="false">BI148+BI150-BI151</f>
        <v>-11002.9368932761</v>
      </c>
      <c r="BJ152" s="37" t="n">
        <f aca="false">BJ148+BJ150-BJ151</f>
        <v>-9048.45405186256</v>
      </c>
      <c r="BK152" s="37" t="n">
        <f aca="false">BK148+BK150-BK151</f>
        <v>-7055.50679931787</v>
      </c>
      <c r="BL152" s="37" t="n">
        <f aca="false">BL148+BL150-BL151</f>
        <v>676999.517606583</v>
      </c>
      <c r="BM152" s="37" t="n">
        <f aca="false">BM148+BM150-BM151</f>
        <v>135772.68112984</v>
      </c>
      <c r="BN152" s="37" t="n">
        <f aca="false">BN148+BN150-BN151</f>
        <v>134475.475762539</v>
      </c>
      <c r="BO152" s="37" t="n">
        <f aca="false">BO148+BO150-BO151</f>
        <v>134557.717434855</v>
      </c>
      <c r="BP152" s="37" t="n">
        <f aca="false">BP148+BP150-BP151</f>
        <v>134475.475762539</v>
      </c>
      <c r="BQ152" s="37" t="n">
        <f aca="false">BQ148+BQ150-BQ151</f>
        <v>134557.717434855</v>
      </c>
      <c r="BR152" s="37" t="n">
        <f aca="false">BR148+BR150-BR151</f>
        <v>134557.717434855</v>
      </c>
      <c r="BS152" s="37" t="n">
        <f aca="false">BS148+BS150-BS151</f>
        <v>134475.475762539</v>
      </c>
      <c r="BT152" s="37" t="n">
        <f aca="false">BT148+BT150-BT151</f>
        <v>134557.717434855</v>
      </c>
      <c r="BU152" s="37" t="n">
        <f aca="false">BU148+BU150-BU151</f>
        <v>134475.475762539</v>
      </c>
      <c r="BV152" s="37" t="n">
        <f aca="false">BV148+BV150-BV151</f>
        <v>134557.717434855</v>
      </c>
      <c r="BW152" s="37" t="n">
        <f aca="false">BW148+BW150-BW151</f>
        <v>134557.717434855</v>
      </c>
      <c r="BX152" s="37" t="n">
        <f aca="false">BX148+BX150-BX151</f>
        <v>134393.234090223</v>
      </c>
      <c r="BY152" s="37" t="n">
        <f aca="false">BY148+BY150-BY151</f>
        <v>210817.771072367</v>
      </c>
      <c r="BZ152" s="37" t="n">
        <f aca="false">BZ148+BZ150-BZ151</f>
        <v>210887.377750334</v>
      </c>
      <c r="CA152" s="37" t="n">
        <f aca="false">CA148+CA150-CA151</f>
        <v>210984.169872367</v>
      </c>
      <c r="CB152" s="37" t="n">
        <f aca="false">CB148+CB150-CB151</f>
        <v>210887.377750334</v>
      </c>
      <c r="CC152" s="37" t="n">
        <f aca="false">CC148+CC150-CC151</f>
        <v>210984.169872367</v>
      </c>
      <c r="CD152" s="37" t="n">
        <f aca="false">CD148+CD150-CD151</f>
        <v>210984.169872367</v>
      </c>
      <c r="CE152" s="37" t="n">
        <f aca="false">CE148+CE150-CE151</f>
        <v>210887.377750334</v>
      </c>
      <c r="CF152" s="37" t="n">
        <f aca="false">CF148+CF150-CF151</f>
        <v>210984.169872367</v>
      </c>
      <c r="CG152" s="37" t="n">
        <f aca="false">CG148+CG150-CG151</f>
        <v>210887.377750334</v>
      </c>
      <c r="CH152" s="37" t="n">
        <f aca="false">CH148+CH150-CH151</f>
        <v>210984.169872367</v>
      </c>
      <c r="CI152" s="37" t="n">
        <f aca="false">CI148+CI150-CI151</f>
        <v>210984.169872367</v>
      </c>
      <c r="CJ152" s="37" t="n">
        <f aca="false">CJ148+CJ150-CJ151</f>
        <v>210693.793506267</v>
      </c>
      <c r="CK152" s="37" t="n">
        <f aca="false">CK148+CK150-CK151</f>
        <v>224273.664835122</v>
      </c>
      <c r="CL152" s="37" t="n">
        <f aca="false">CL148+CL150-CL151</f>
        <v>224204.086870648</v>
      </c>
      <c r="CM152" s="37" t="n">
        <f aca="false">CM148+CM150-CM151</f>
        <v>224302.814835122</v>
      </c>
      <c r="CN152" s="37" t="n">
        <f aca="false">CN148+CN150-CN151</f>
        <v>224204.086870648</v>
      </c>
      <c r="CO152" s="37" t="n">
        <f aca="false">CO148+CO150-CO151</f>
        <v>224302.814835122</v>
      </c>
      <c r="CP152" s="37" t="n">
        <f aca="false">CP148+CP150-CP151</f>
        <v>224302.814835122</v>
      </c>
      <c r="CQ152" s="37" t="n">
        <f aca="false">CQ148+CQ150-CQ151</f>
        <v>224204.086870648</v>
      </c>
      <c r="CR152" s="37" t="n">
        <f aca="false">CR148+CR150-CR151</f>
        <v>224302.814835122</v>
      </c>
      <c r="CS152" s="37" t="n">
        <f aca="false">CS148+CS150-CS151</f>
        <v>224204.086870648</v>
      </c>
      <c r="CT152" s="37" t="n">
        <f aca="false">CT148+CT150-CT151</f>
        <v>224302.814835122</v>
      </c>
      <c r="CU152" s="37" t="n">
        <f aca="false">CU148+CU150-CU151</f>
        <v>224302.814835122</v>
      </c>
      <c r="CV152" s="37" t="n">
        <f aca="false">CV148+CV150-CV151</f>
        <v>224006.6309417</v>
      </c>
      <c r="CW152" s="37" t="n">
        <f aca="false">CW148+CW150-CW151</f>
        <v>224394.099697132</v>
      </c>
      <c r="CX152" s="37" t="n">
        <f aca="false">CX148+CX150-CX151</f>
        <v>224293.397173368</v>
      </c>
      <c r="CY152" s="37" t="n">
        <f aca="false">CY148+CY150-CY151</f>
        <v>224394.099697132</v>
      </c>
      <c r="CZ152" s="37" t="n">
        <f aca="false">CZ148+CZ150-CZ151</f>
        <v>224293.397173368</v>
      </c>
      <c r="DA152" s="37" t="n">
        <f aca="false">DA148+DA150-DA151</f>
        <v>224394.099697132</v>
      </c>
      <c r="DB152" s="37" t="n">
        <f aca="false">DB148+DB150-DB151</f>
        <v>224394.099697132</v>
      </c>
      <c r="DC152" s="37" t="n">
        <f aca="false">DC148+DC150-DC151</f>
        <v>224293.397173368</v>
      </c>
      <c r="DD152" s="37" t="n">
        <f aca="false">DD148+DD150-DD151</f>
        <v>224394.099697132</v>
      </c>
      <c r="DE152" s="37" t="n">
        <f aca="false">DE148+DE150-DE151</f>
        <v>224293.397173368</v>
      </c>
      <c r="DF152" s="37" t="n">
        <f aca="false">DF148+DF150-DF151</f>
        <v>224394.099697132</v>
      </c>
      <c r="DG152" s="37" t="n">
        <f aca="false">DG148+DG150-DG151</f>
        <v>224394.099697132</v>
      </c>
      <c r="DH152" s="37" t="n">
        <f aca="false">DH148+DH150-DH151</f>
        <v>224091.992125841</v>
      </c>
      <c r="DI152" s="37" t="n">
        <f aca="false">DI148+DI150-DI151</f>
        <v>224487.210256381</v>
      </c>
      <c r="DJ152" s="37" t="n">
        <f aca="false">DJ148+DJ150-DJ151</f>
        <v>224384.493682143</v>
      </c>
      <c r="DK152" s="37" t="n">
        <f aca="false">DK148+DK150-DK151</f>
        <v>224487.210256381</v>
      </c>
      <c r="DL152" s="37" t="n">
        <f aca="false">DL148+DL150-DL151</f>
        <v>224384.493682143</v>
      </c>
      <c r="DM152" s="37" t="n">
        <f aca="false">DM148+DM150-DM151</f>
        <v>224487.210256381</v>
      </c>
      <c r="DN152" s="37" t="n">
        <f aca="false">DN148+DN150-DN151</f>
        <v>224487.210256381</v>
      </c>
      <c r="DO152" s="37" t="n">
        <f aca="false">DO148+DO150-DO151</f>
        <v>224384.493682143</v>
      </c>
      <c r="DP152" s="37" t="n">
        <f aca="false">DP148+DP150-DP151</f>
        <v>224487.210256381</v>
      </c>
      <c r="DQ152" s="37" t="n">
        <f aca="false">DQ148+DQ150-DQ151</f>
        <v>224384.493682143</v>
      </c>
      <c r="DR152" s="37" t="n">
        <f aca="false">DR148+DR150-DR151</f>
        <v>224487.210256381</v>
      </c>
      <c r="DS152" s="37" t="n">
        <f aca="false">DS148+DS150-DS151</f>
        <v>224487.210256381</v>
      </c>
      <c r="DT152" s="37" t="n">
        <f aca="false">DT148+DT150-DT151</f>
        <v>753090.768805978</v>
      </c>
      <c r="DU152" s="37" t="n">
        <f aca="false">DU148+DU150-DU151</f>
        <v>754866.41239466</v>
      </c>
      <c r="DV152" s="37" t="n">
        <f aca="false">DV148+DV150-DV151</f>
        <v>756646.495092313</v>
      </c>
      <c r="DW152" s="37" t="n">
        <f aca="false">DW148+DW150-DW151</f>
        <v>758431.02799671</v>
      </c>
      <c r="DX152" s="37" t="n">
        <f aca="false">DX148+DX150-DX151</f>
        <v>0</v>
      </c>
      <c r="DY152" s="37" t="n">
        <f aca="false">DY148+DY150-DY151</f>
        <v>0</v>
      </c>
      <c r="DZ152" s="37" t="n">
        <f aca="false">DZ148+DZ150-DZ151</f>
        <v>0</v>
      </c>
      <c r="EA152" s="37" t="n">
        <f aca="false">EA148+EA150-EA151</f>
        <v>0</v>
      </c>
      <c r="EB152" s="37" t="n">
        <f aca="false">EB148+EB150-EB151</f>
        <v>0</v>
      </c>
      <c r="EC152" s="37" t="n">
        <f aca="false">EC148+EC150-EC151</f>
        <v>0</v>
      </c>
      <c r="ED152" s="37" t="n">
        <f aca="false">ED148+ED150-ED151</f>
        <v>0</v>
      </c>
      <c r="EE152" s="37" t="n">
        <f aca="false">EE148+EE150-EE151</f>
        <v>0</v>
      </c>
      <c r="EF152" s="37" t="n">
        <f aca="false">EF148+EF150-EF151</f>
        <v>0</v>
      </c>
    </row>
    <row r="153" customFormat="false" ht="15" hidden="false" customHeight="false" outlineLevel="0" collapsed="false">
      <c r="A153" s="153" t="s">
        <v>683</v>
      </c>
      <c r="B153" s="278" t="s">
        <v>21</v>
      </c>
      <c r="C153" s="279" t="n">
        <f aca="false">SUM(E153:EF153)</f>
        <v>637282.274666071</v>
      </c>
      <c r="E153" s="37" t="n">
        <f aca="false">IF(E11=1,MAX(0,③기타_가정!$D$551-E152),0)</f>
        <v>0</v>
      </c>
      <c r="F153" s="37" t="n">
        <f aca="false">IF(F11=1,MAX(0,③기타_가정!$D$551-F152),0)</f>
        <v>0</v>
      </c>
      <c r="G153" s="37" t="n">
        <f aca="false">IF(G11=1,MAX(0,③기타_가정!$D$551-G152),0)</f>
        <v>0</v>
      </c>
      <c r="H153" s="37" t="n">
        <f aca="false">IF(H11=1,MAX(0,③기타_가정!$D$551-H152),0)</f>
        <v>0</v>
      </c>
      <c r="I153" s="37" t="n">
        <f aca="false">IF(I11=1,MAX(0,③기타_가정!$D$551-I152),0)</f>
        <v>0</v>
      </c>
      <c r="J153" s="37" t="n">
        <f aca="false">IF(J11=1,MAX(0,③기타_가정!$D$551-J152),0)</f>
        <v>0</v>
      </c>
      <c r="K153" s="37" t="n">
        <f aca="false">IF(K11=1,MAX(0,③기타_가정!$D$551-K152),0)</f>
        <v>0</v>
      </c>
      <c r="L153" s="37" t="n">
        <f aca="false">IF(L11=1,MAX(0,③기타_가정!$D$551-L152),0)</f>
        <v>0</v>
      </c>
      <c r="M153" s="37" t="n">
        <f aca="false">IF(M11=1,MAX(0,③기타_가정!$D$551-M152),0)</f>
        <v>0</v>
      </c>
      <c r="N153" s="37" t="n">
        <f aca="false">IF(N11=1,MAX(0,③기타_가정!$D$551-N152),0)</f>
        <v>0</v>
      </c>
      <c r="O153" s="37" t="n">
        <f aca="false">IF(O11=1,MAX(0,③기타_가정!$D$551-O152),0)</f>
        <v>0</v>
      </c>
      <c r="P153" s="37" t="n">
        <f aca="false">IF(P11=1,MAX(0,③기타_가정!$D$551-P152),0)</f>
        <v>0</v>
      </c>
      <c r="Q153" s="37" t="n">
        <f aca="false">IF(Q11=1,MAX(0,③기타_가정!$D$551-Q152),0)</f>
        <v>0</v>
      </c>
      <c r="R153" s="37" t="n">
        <f aca="false">IF(R11=1,MAX(0,③기타_가정!$D$551-R152),0)</f>
        <v>0</v>
      </c>
      <c r="S153" s="37" t="n">
        <f aca="false">IF(S11=1,MAX(0,③기타_가정!$D$551-S152),0)</f>
        <v>0</v>
      </c>
      <c r="T153" s="37" t="n">
        <f aca="false">IF(T11=1,MAX(0,③기타_가정!$D$551-T152),0)</f>
        <v>0</v>
      </c>
      <c r="U153" s="37" t="n">
        <f aca="false">IF(U11=1,MAX(0,③기타_가정!$D$551-U152),0)</f>
        <v>0</v>
      </c>
      <c r="V153" s="37" t="n">
        <f aca="false">IF(V11=1,MAX(0,③기타_가정!$D$551-V152),0)</f>
        <v>0</v>
      </c>
      <c r="W153" s="37" t="n">
        <f aca="false">IF(W11=1,MAX(0,③기타_가정!$D$551-W152),0)</f>
        <v>0</v>
      </c>
      <c r="X153" s="37" t="n">
        <f aca="false">IF(X11=1,MAX(0,③기타_가정!$D$551-X152),0)</f>
        <v>0</v>
      </c>
      <c r="Y153" s="37" t="n">
        <f aca="false">IF(Y11=1,MAX(0,③기타_가정!$D$551-Y152),0)</f>
        <v>0</v>
      </c>
      <c r="Z153" s="37" t="n">
        <f aca="false">IF(Z11=1,MAX(0,③기타_가정!$D$551-Z152),0)</f>
        <v>0</v>
      </c>
      <c r="AA153" s="37" t="n">
        <f aca="false">IF(AA11=1,MAX(0,③기타_가정!$D$551-AA152),0)</f>
        <v>0</v>
      </c>
      <c r="AB153" s="37" t="n">
        <f aca="false">IF(AB11=1,MAX(0,③기타_가정!$D$551-AB152),0)</f>
        <v>0</v>
      </c>
      <c r="AC153" s="37" t="n">
        <f aca="false">IF(AC11=1,MAX(0,③기타_가정!$D$551-AC152),0)</f>
        <v>0</v>
      </c>
      <c r="AD153" s="37" t="n">
        <f aca="false">IF(AD11=1,MAX(0,③기타_가정!$D$551-AD152),0)</f>
        <v>0</v>
      </c>
      <c r="AE153" s="37" t="n">
        <f aca="false">IF(AE11=1,MAX(0,③기타_가정!$D$551-AE152),0)</f>
        <v>0</v>
      </c>
      <c r="AF153" s="37" t="n">
        <f aca="false">IF(AF11=1,MAX(0,③기타_가정!$D$551-AF152),0)</f>
        <v>4966.25371086328</v>
      </c>
      <c r="AG153" s="37" t="n">
        <f aca="false">IF(AG11=1,MAX(0,③기타_가정!$D$551-AG152),0)</f>
        <v>20554.898911585</v>
      </c>
      <c r="AH153" s="37" t="n">
        <f aca="false">IF(AH11=1,MAX(0,③기타_가정!$D$551-AH152),0)</f>
        <v>22100.769839522</v>
      </c>
      <c r="AI153" s="37" t="n">
        <f aca="false">IF(AI11=1,MAX(0,③기타_가정!$D$551-AI152),0)</f>
        <v>23540.3542110555</v>
      </c>
      <c r="AJ153" s="37" t="n">
        <f aca="false">IF(AJ11=1,MAX(0,③기타_가정!$D$551-AJ152),0)</f>
        <v>24865.7210133316</v>
      </c>
      <c r="AK153" s="37" t="n">
        <f aca="false">IF(AK11=1,MAX(0,③기타_가정!$D$551-AK152),0)</f>
        <v>26069.578812586</v>
      </c>
      <c r="AL153" s="37" t="n">
        <f aca="false">IF(AL11=1,MAX(0,③기타_가정!$D$551-AL152),0)</f>
        <v>27142.7783071166</v>
      </c>
      <c r="AM153" s="37" t="n">
        <f aca="false">IF(AM11=1,MAX(0,③기타_가정!$D$551-AM152),0)</f>
        <v>28050.5561935175</v>
      </c>
      <c r="AN153" s="37" t="n">
        <f aca="false">IF(AN11=1,MAX(0,③기타_가정!$D$551-AN152),0)</f>
        <v>28817.807327362</v>
      </c>
      <c r="AO153" s="37" t="n">
        <f aca="false">IF(AO11=1,MAX(0,③기타_가정!$D$551-AO152),0)</f>
        <v>0</v>
      </c>
      <c r="AP153" s="37" t="n">
        <f aca="false">IF(AP11=1,MAX(0,③기타_가정!$D$551-AP152),0)</f>
        <v>9417.23157176867</v>
      </c>
      <c r="AQ153" s="37" t="n">
        <f aca="false">IF(AQ11=1,MAX(0,③기타_가정!$D$551-AQ152),0)</f>
        <v>29955.505776565</v>
      </c>
      <c r="AR153" s="37" t="n">
        <f aca="false">IF(AR11=1,MAX(0,③기타_가정!$D$551-AR152),0)</f>
        <v>30121.7447164951</v>
      </c>
      <c r="AS153" s="37" t="n">
        <f aca="false">IF(AS11=1,MAX(0,③기타_가정!$D$551-AS152),0)</f>
        <v>30118.1299723465</v>
      </c>
      <c r="AT153" s="37" t="n">
        <f aca="false">IF(AT11=1,MAX(0,③기타_가정!$D$551-AT152),0)</f>
        <v>29961.1361669361</v>
      </c>
      <c r="AU153" s="37" t="n">
        <f aca="false">IF(AU11=1,MAX(0,③기타_가정!$D$551-AU152),0)</f>
        <v>29651.7165419996</v>
      </c>
      <c r="AV153" s="37" t="n">
        <f aca="false">IF(AV11=1,MAX(0,③기타_가정!$D$551-AV152),0)</f>
        <v>29191.6771426283</v>
      </c>
      <c r="AW153" s="37" t="n">
        <f aca="false">IF(AW11=1,MAX(0,③기타_가정!$D$551-AW152),0)</f>
        <v>28583.6667190141</v>
      </c>
      <c r="AX153" s="37" t="n">
        <f aca="false">IF(AX11=1,MAX(0,③기타_가정!$D$551-AX152),0)</f>
        <v>27831.161915456</v>
      </c>
      <c r="AY153" s="37" t="n">
        <f aca="false">IF(AY11=1,MAX(0,③기타_가정!$D$551-AY152),0)</f>
        <v>26938.4478294547</v>
      </c>
      <c r="AZ153" s="37" t="n">
        <f aca="false">IF(AZ11=1,MAX(0,③기타_가정!$D$551-AZ152),0)</f>
        <v>25910.5940496187</v>
      </c>
      <c r="BA153" s="37" t="n">
        <f aca="false">IF(BA11=1,MAX(0,③기타_가정!$D$551-BA152),0)</f>
        <v>0</v>
      </c>
      <c r="BB153" s="37" t="n">
        <f aca="false">IF(BB11=1,MAX(0,③기타_가정!$D$551-BB152),0)</f>
        <v>0</v>
      </c>
      <c r="BC153" s="37" t="n">
        <f aca="false">IF(BC11=1,MAX(0,③기타_가정!$D$551-BC152),0)</f>
        <v>20153.1153200484</v>
      </c>
      <c r="BD153" s="37" t="n">
        <f aca="false">IF(BD11=1,MAX(0,③기타_가정!$D$551-BD152),0)</f>
        <v>20324.1672819652</v>
      </c>
      <c r="BE153" s="37" t="n">
        <f aca="false">IF(BE11=1,MAX(0,③기타_가정!$D$551-BE152),0)</f>
        <v>18720.6462828217</v>
      </c>
      <c r="BF153" s="37" t="n">
        <f aca="false">IF(BF11=1,MAX(0,③기타_가정!$D$551-BF152),0)</f>
        <v>17026.9984282927</v>
      </c>
      <c r="BG153" s="37" t="n">
        <f aca="false">IF(BG11=1,MAX(0,③기타_가정!$D$551-BG152),0)</f>
        <v>15252.7681171498</v>
      </c>
      <c r="BH153" s="37" t="n">
        <f aca="false">IF(BH11=1,MAX(0,③기타_가정!$D$551-BH152),0)</f>
        <v>13407.9507621143</v>
      </c>
      <c r="BI153" s="37" t="n">
        <f aca="false">IF(BI11=1,MAX(0,③기타_가정!$D$551-BI152),0)</f>
        <v>11502.9368932761</v>
      </c>
      <c r="BJ153" s="37" t="n">
        <f aca="false">IF(BJ11=1,MAX(0,③기타_가정!$D$551-BJ152),0)</f>
        <v>9548.45405186256</v>
      </c>
      <c r="BK153" s="37" t="n">
        <f aca="false">IF(BK11=1,MAX(0,③기타_가정!$D$551-BK152),0)</f>
        <v>7555.50679931787</v>
      </c>
      <c r="BL153" s="37" t="n">
        <f aca="false">IF(BL11=1,MAX(0,③기타_가정!$D$551-BL152),0)</f>
        <v>0</v>
      </c>
      <c r="BM153" s="37" t="n">
        <f aca="false">IF(BM11=1,MAX(0,③기타_가정!$D$551-BM152),0)</f>
        <v>0</v>
      </c>
      <c r="BN153" s="37" t="n">
        <f aca="false">IF(BN11=1,MAX(0,③기타_가정!$D$551-BN152),0)</f>
        <v>0</v>
      </c>
      <c r="BO153" s="37" t="n">
        <f aca="false">IF(BO11=1,MAX(0,③기타_가정!$D$551-BO152),0)</f>
        <v>0</v>
      </c>
      <c r="BP153" s="37" t="n">
        <f aca="false">IF(BP11=1,MAX(0,③기타_가정!$D$551-BP152),0)</f>
        <v>0</v>
      </c>
      <c r="BQ153" s="37" t="n">
        <f aca="false">IF(BQ11=1,MAX(0,③기타_가정!$D$551-BQ152),0)</f>
        <v>0</v>
      </c>
      <c r="BR153" s="37" t="n">
        <f aca="false">IF(BR11=1,MAX(0,③기타_가정!$D$551-BR152),0)</f>
        <v>0</v>
      </c>
      <c r="BS153" s="37" t="n">
        <f aca="false">IF(BS11=1,MAX(0,③기타_가정!$D$551-BS152),0)</f>
        <v>0</v>
      </c>
      <c r="BT153" s="37" t="n">
        <f aca="false">IF(BT11=1,MAX(0,③기타_가정!$D$551-BT152),0)</f>
        <v>0</v>
      </c>
      <c r="BU153" s="37" t="n">
        <f aca="false">IF(BU11=1,MAX(0,③기타_가정!$D$551-BU152),0)</f>
        <v>0</v>
      </c>
      <c r="BV153" s="37" t="n">
        <f aca="false">IF(BV11=1,MAX(0,③기타_가정!$D$551-BV152),0)</f>
        <v>0</v>
      </c>
      <c r="BW153" s="37" t="n">
        <f aca="false">IF(BW11=1,MAX(0,③기타_가정!$D$551-BW152),0)</f>
        <v>0</v>
      </c>
      <c r="BX153" s="37" t="n">
        <f aca="false">IF(BX11=1,MAX(0,③기타_가정!$D$551-BX152),0)</f>
        <v>0</v>
      </c>
      <c r="BY153" s="37" t="n">
        <f aca="false">IF(BY11=1,MAX(0,③기타_가정!$D$551-BY152),0)</f>
        <v>0</v>
      </c>
      <c r="BZ153" s="37" t="n">
        <f aca="false">IF(BZ11=1,MAX(0,③기타_가정!$D$551-BZ152),0)</f>
        <v>0</v>
      </c>
      <c r="CA153" s="37" t="n">
        <f aca="false">IF(CA11=1,MAX(0,③기타_가정!$D$551-CA152),0)</f>
        <v>0</v>
      </c>
      <c r="CB153" s="37" t="n">
        <f aca="false">IF(CB11=1,MAX(0,③기타_가정!$D$551-CB152),0)</f>
        <v>0</v>
      </c>
      <c r="CC153" s="37" t="n">
        <f aca="false">IF(CC11=1,MAX(0,③기타_가정!$D$551-CC152),0)</f>
        <v>0</v>
      </c>
      <c r="CD153" s="37" t="n">
        <f aca="false">IF(CD11=1,MAX(0,③기타_가정!$D$551-CD152),0)</f>
        <v>0</v>
      </c>
      <c r="CE153" s="37" t="n">
        <f aca="false">IF(CE11=1,MAX(0,③기타_가정!$D$551-CE152),0)</f>
        <v>0</v>
      </c>
      <c r="CF153" s="37" t="n">
        <f aca="false">IF(CF11=1,MAX(0,③기타_가정!$D$551-CF152),0)</f>
        <v>0</v>
      </c>
      <c r="CG153" s="37" t="n">
        <f aca="false">IF(CG11=1,MAX(0,③기타_가정!$D$551-CG152),0)</f>
        <v>0</v>
      </c>
      <c r="CH153" s="37" t="n">
        <f aca="false">IF(CH11=1,MAX(0,③기타_가정!$D$551-CH152),0)</f>
        <v>0</v>
      </c>
      <c r="CI153" s="37" t="n">
        <f aca="false">IF(CI11=1,MAX(0,③기타_가정!$D$551-CI152),0)</f>
        <v>0</v>
      </c>
      <c r="CJ153" s="37" t="n">
        <f aca="false">IF(CJ11=1,MAX(0,③기타_가정!$D$551-CJ152),0)</f>
        <v>0</v>
      </c>
      <c r="CK153" s="37" t="n">
        <f aca="false">IF(CK11=1,MAX(0,③기타_가정!$D$551-CK152),0)</f>
        <v>0</v>
      </c>
      <c r="CL153" s="37" t="n">
        <f aca="false">IF(CL11=1,MAX(0,③기타_가정!$D$551-CL152),0)</f>
        <v>0</v>
      </c>
      <c r="CM153" s="37" t="n">
        <f aca="false">IF(CM11=1,MAX(0,③기타_가정!$D$551-CM152),0)</f>
        <v>0</v>
      </c>
      <c r="CN153" s="37" t="n">
        <f aca="false">IF(CN11=1,MAX(0,③기타_가정!$D$551-CN152),0)</f>
        <v>0</v>
      </c>
      <c r="CO153" s="37" t="n">
        <f aca="false">IF(CO11=1,MAX(0,③기타_가정!$D$551-CO152),0)</f>
        <v>0</v>
      </c>
      <c r="CP153" s="37" t="n">
        <f aca="false">IF(CP11=1,MAX(0,③기타_가정!$D$551-CP152),0)</f>
        <v>0</v>
      </c>
      <c r="CQ153" s="37" t="n">
        <f aca="false">IF(CQ11=1,MAX(0,③기타_가정!$D$551-CQ152),0)</f>
        <v>0</v>
      </c>
      <c r="CR153" s="37" t="n">
        <f aca="false">IF(CR11=1,MAX(0,③기타_가정!$D$551-CR152),0)</f>
        <v>0</v>
      </c>
      <c r="CS153" s="37" t="n">
        <f aca="false">IF(CS11=1,MAX(0,③기타_가정!$D$551-CS152),0)</f>
        <v>0</v>
      </c>
      <c r="CT153" s="37" t="n">
        <f aca="false">IF(CT11=1,MAX(0,③기타_가정!$D$551-CT152),0)</f>
        <v>0</v>
      </c>
      <c r="CU153" s="37" t="n">
        <f aca="false">IF(CU11=1,MAX(0,③기타_가정!$D$551-CU152),0)</f>
        <v>0</v>
      </c>
      <c r="CV153" s="37" t="n">
        <f aca="false">IF(CV11=1,MAX(0,③기타_가정!$D$551-CV152),0)</f>
        <v>0</v>
      </c>
      <c r="CW153" s="37" t="n">
        <f aca="false">IF(CW11=1,MAX(0,③기타_가정!$D$551-CW152),0)</f>
        <v>0</v>
      </c>
      <c r="CX153" s="37" t="n">
        <f aca="false">IF(CX11=1,MAX(0,③기타_가정!$D$551-CX152),0)</f>
        <v>0</v>
      </c>
      <c r="CY153" s="37" t="n">
        <f aca="false">IF(CY11=1,MAX(0,③기타_가정!$D$551-CY152),0)</f>
        <v>0</v>
      </c>
      <c r="CZ153" s="37" t="n">
        <f aca="false">IF(CZ11=1,MAX(0,③기타_가정!$D$551-CZ152),0)</f>
        <v>0</v>
      </c>
      <c r="DA153" s="37" t="n">
        <f aca="false">IF(DA11=1,MAX(0,③기타_가정!$D$551-DA152),0)</f>
        <v>0</v>
      </c>
      <c r="DB153" s="37" t="n">
        <f aca="false">IF(DB11=1,MAX(0,③기타_가정!$D$551-DB152),0)</f>
        <v>0</v>
      </c>
      <c r="DC153" s="37" t="n">
        <f aca="false">IF(DC11=1,MAX(0,③기타_가정!$D$551-DC152),0)</f>
        <v>0</v>
      </c>
      <c r="DD153" s="37" t="n">
        <f aca="false">IF(DD11=1,MAX(0,③기타_가정!$D$551-DD152),0)</f>
        <v>0</v>
      </c>
      <c r="DE153" s="37" t="n">
        <f aca="false">IF(DE11=1,MAX(0,③기타_가정!$D$551-DE152),0)</f>
        <v>0</v>
      </c>
      <c r="DF153" s="37" t="n">
        <f aca="false">IF(DF11=1,MAX(0,③기타_가정!$D$551-DF152),0)</f>
        <v>0</v>
      </c>
      <c r="DG153" s="37" t="n">
        <f aca="false">IF(DG11=1,MAX(0,③기타_가정!$D$551-DG152),0)</f>
        <v>0</v>
      </c>
      <c r="DH153" s="37" t="n">
        <f aca="false">IF(DH11=1,MAX(0,③기타_가정!$D$551-DH152),0)</f>
        <v>0</v>
      </c>
      <c r="DI153" s="37" t="n">
        <f aca="false">IF(DI11=1,MAX(0,③기타_가정!$D$551-DI152),0)</f>
        <v>0</v>
      </c>
      <c r="DJ153" s="37" t="n">
        <f aca="false">IF(DJ11=1,MAX(0,③기타_가정!$D$551-DJ152),0)</f>
        <v>0</v>
      </c>
      <c r="DK153" s="37" t="n">
        <f aca="false">IF(DK11=1,MAX(0,③기타_가정!$D$551-DK152),0)</f>
        <v>0</v>
      </c>
      <c r="DL153" s="37" t="n">
        <f aca="false">IF(DL11=1,MAX(0,③기타_가정!$D$551-DL152),0)</f>
        <v>0</v>
      </c>
      <c r="DM153" s="37" t="n">
        <f aca="false">IF(DM11=1,MAX(0,③기타_가정!$D$551-DM152),0)</f>
        <v>0</v>
      </c>
      <c r="DN153" s="37" t="n">
        <f aca="false">IF(DN11=1,MAX(0,③기타_가정!$D$551-DN152),0)</f>
        <v>0</v>
      </c>
      <c r="DO153" s="37" t="n">
        <f aca="false">IF(DO11=1,MAX(0,③기타_가정!$D$551-DO152),0)</f>
        <v>0</v>
      </c>
      <c r="DP153" s="37" t="n">
        <f aca="false">IF(DP11=1,MAX(0,③기타_가정!$D$551-DP152),0)</f>
        <v>0</v>
      </c>
      <c r="DQ153" s="37" t="n">
        <f aca="false">IF(DQ11=1,MAX(0,③기타_가정!$D$551-DQ152),0)</f>
        <v>0</v>
      </c>
      <c r="DR153" s="37" t="n">
        <f aca="false">IF(DR11=1,MAX(0,③기타_가정!$D$551-DR152),0)</f>
        <v>0</v>
      </c>
      <c r="DS153" s="37" t="n">
        <f aca="false">IF(DS11=1,MAX(0,③기타_가정!$D$551-DS152),0)</f>
        <v>0</v>
      </c>
      <c r="DT153" s="37" t="n">
        <f aca="false">IF(DT11=1,MAX(0,③기타_가정!$D$551-DT152),0)</f>
        <v>0</v>
      </c>
      <c r="DU153" s="37" t="n">
        <f aca="false">IF(DU11=1,MAX(0,③기타_가정!$D$551-DU152),0)</f>
        <v>0</v>
      </c>
      <c r="DV153" s="37" t="n">
        <f aca="false">IF(DV11=1,MAX(0,③기타_가정!$D$551-DV152),0)</f>
        <v>0</v>
      </c>
      <c r="DW153" s="37" t="n">
        <f aca="false">IF(DW11=1,MAX(0,③기타_가정!$D$551-DW152),0)</f>
        <v>0</v>
      </c>
      <c r="DX153" s="37" t="n">
        <f aca="false">IF(DX11=1,MAX(0,③기타_가정!$D$551-DX152),0)</f>
        <v>0</v>
      </c>
      <c r="DY153" s="37" t="n">
        <f aca="false">IF(DY11=1,MAX(0,③기타_가정!$D$551-DY152),0)</f>
        <v>0</v>
      </c>
      <c r="DZ153" s="37" t="n">
        <f aca="false">IF(DZ11=1,MAX(0,③기타_가정!$D$551-DZ152),0)</f>
        <v>0</v>
      </c>
      <c r="EA153" s="37" t="n">
        <f aca="false">IF(EA11=1,MAX(0,③기타_가정!$D$551-EA152),0)</f>
        <v>0</v>
      </c>
      <c r="EB153" s="37" t="n">
        <f aca="false">IF(EB11=1,MAX(0,③기타_가정!$D$551-EB152),0)</f>
        <v>0</v>
      </c>
      <c r="EC153" s="37" t="n">
        <f aca="false">IF(EC11=1,MAX(0,③기타_가정!$D$551-EC152),0)</f>
        <v>0</v>
      </c>
      <c r="ED153" s="37" t="n">
        <f aca="false">IF(ED11=1,MAX(0,③기타_가정!$D$551-ED152),0)</f>
        <v>0</v>
      </c>
      <c r="EE153" s="37" t="n">
        <f aca="false">IF(EE11=1,MAX(0,③기타_가정!$D$551-EE152),0)</f>
        <v>0</v>
      </c>
      <c r="EF153" s="37" t="n">
        <f aca="false">IF(EF11=1,MAX(0,③기타_가정!$D$551-EF152),0)</f>
        <v>0</v>
      </c>
    </row>
    <row r="154" customFormat="false" ht="15" hidden="false" customHeight="false" outlineLevel="0" collapsed="false">
      <c r="A154" s="36" t="s">
        <v>684</v>
      </c>
      <c r="B154" s="278" t="s">
        <v>21</v>
      </c>
      <c r="E154" s="37" t="n">
        <f aca="false">E152+E116-E120</f>
        <v>9930.1593105935</v>
      </c>
      <c r="F154" s="37" t="n">
        <f aca="false">F152+F116-F120</f>
        <v>9864.56804220332</v>
      </c>
      <c r="G154" s="37" t="n">
        <f aca="false">G152+G116-G120</f>
        <v>9798.81279564216</v>
      </c>
      <c r="H154" s="37" t="n">
        <f aca="false">H152+H116-H120</f>
        <v>1826.4698566905</v>
      </c>
      <c r="I154" s="37" t="n">
        <f aca="false">I152+I116-I120</f>
        <v>1740.61936466556</v>
      </c>
      <c r="J154" s="37" t="n">
        <f aca="false">J152+J116-J120</f>
        <v>1654.55424641056</v>
      </c>
      <c r="K154" s="37" t="n">
        <f aca="false">K152+K116-K120</f>
        <v>1568.27396535992</v>
      </c>
      <c r="L154" s="37" t="n">
        <f aca="false">L152+L116-L120</f>
        <v>1481.77798360665</v>
      </c>
      <c r="M154" s="37" t="n">
        <f aca="false">M152+M116-M120</f>
        <v>1395.065761899</v>
      </c>
      <c r="N154" s="37" t="n">
        <f aca="false">N152+N116-N120</f>
        <v>1308.13675963708</v>
      </c>
      <c r="O154" s="37" t="n">
        <f aca="false">O152+O116-O120</f>
        <v>1220.99043486951</v>
      </c>
      <c r="P154" s="37" t="n">
        <f aca="false">P152+P116-P120</f>
        <v>1133.62624429002</v>
      </c>
      <c r="Q154" s="37" t="n">
        <f aca="false">Q152+Q116-Q120</f>
        <v>25906.2036432341</v>
      </c>
      <c r="R154" s="37" t="n">
        <f aca="false">R152+R116-R120</f>
        <v>25880.5524856755</v>
      </c>
      <c r="S154" s="37" t="n">
        <f aca="false">S152+S116-S120</f>
        <v>25854.837200223</v>
      </c>
      <c r="T154" s="37" t="n">
        <f aca="false">T152+T116-T120</f>
        <v>25829.0576265569</v>
      </c>
      <c r="U154" s="37" t="n">
        <f aca="false">U152+U116-U120</f>
        <v>25803.2136039566</v>
      </c>
      <c r="V154" s="37" t="n">
        <f aca="false">V152+V116-V120</f>
        <v>25777.3049712999</v>
      </c>
      <c r="W154" s="37" t="n">
        <f aca="false">W152+W116-W120</f>
        <v>51606.5963925249</v>
      </c>
      <c r="X154" s="37" t="n">
        <f aca="false">X152+X116-X120</f>
        <v>47637.7190423827</v>
      </c>
      <c r="Y154" s="37" t="n">
        <f aca="false">Y152+Y116-Y120</f>
        <v>41618.2299760611</v>
      </c>
      <c r="Z154" s="37" t="n">
        <f aca="false">Z152+Z116-Z120</f>
        <v>33571.6946611939</v>
      </c>
      <c r="AA154" s="37" t="n">
        <f aca="false">AA152+AA116-AA120</f>
        <v>23532.9893853906</v>
      </c>
      <c r="AB154" s="37" t="n">
        <f aca="false">AB152+AB116-AB120</f>
        <v>11548.1061507768</v>
      </c>
      <c r="AC154" s="37" t="n">
        <f aca="false">AC152+AC116-AC120</f>
        <v>47394.215404792</v>
      </c>
      <c r="AD154" s="37" t="n">
        <f aca="false">AD152+AD116-AD120</f>
        <v>31822.3688459989</v>
      </c>
      <c r="AE154" s="37" t="n">
        <f aca="false">AE152+AE116-AE120</f>
        <v>14506.4508352557</v>
      </c>
      <c r="AF154" s="37" t="n">
        <f aca="false">AF152+AF116-AF120</f>
        <v>500</v>
      </c>
      <c r="AG154" s="37" t="n">
        <f aca="false">AG152+AG116-AG120</f>
        <v>500</v>
      </c>
      <c r="AH154" s="37" t="n">
        <f aca="false">AH152+AH116-AH120</f>
        <v>500</v>
      </c>
      <c r="AI154" s="37" t="n">
        <f aca="false">AI152+AI116-AI120</f>
        <v>500</v>
      </c>
      <c r="AJ154" s="37" t="n">
        <f aca="false">AJ152+AJ116-AJ120</f>
        <v>500</v>
      </c>
      <c r="AK154" s="37" t="n">
        <f aca="false">AK152+AK116-AK120</f>
        <v>500</v>
      </c>
      <c r="AL154" s="37" t="n">
        <f aca="false">AL152+AL116-AL120</f>
        <v>500</v>
      </c>
      <c r="AM154" s="37" t="n">
        <f aca="false">AM152+AM116-AM120</f>
        <v>500</v>
      </c>
      <c r="AN154" s="37" t="n">
        <f aca="false">AN152+AN116-AN120</f>
        <v>500</v>
      </c>
      <c r="AO154" s="37" t="n">
        <f aca="false">AO152+AO116-AO120</f>
        <v>20779.9864586784</v>
      </c>
      <c r="AP154" s="37" t="n">
        <f aca="false">AP152+AP116-AP120</f>
        <v>500</v>
      </c>
      <c r="AQ154" s="37" t="n">
        <f aca="false">AQ152+AQ116-AQ120</f>
        <v>500</v>
      </c>
      <c r="AR154" s="37" t="n">
        <f aca="false">AR152+AR116-AR120</f>
        <v>500</v>
      </c>
      <c r="AS154" s="37" t="n">
        <f aca="false">AS152+AS116-AS120</f>
        <v>500</v>
      </c>
      <c r="AT154" s="37" t="n">
        <f aca="false">AT152+AT116-AT120</f>
        <v>500</v>
      </c>
      <c r="AU154" s="37" t="n">
        <f aca="false">AU152+AU116-AU120</f>
        <v>500</v>
      </c>
      <c r="AV154" s="37" t="n">
        <f aca="false">AV152+AV116-AV120</f>
        <v>500</v>
      </c>
      <c r="AW154" s="37" t="n">
        <f aca="false">AW152+AW116-AW120</f>
        <v>500</v>
      </c>
      <c r="AX154" s="37" t="n">
        <f aca="false">AX152+AX116-AX120</f>
        <v>500</v>
      </c>
      <c r="AY154" s="37" t="n">
        <f aca="false">AY152+AY116-AY120</f>
        <v>500</v>
      </c>
      <c r="AZ154" s="37" t="n">
        <f aca="false">AZ152+AZ116-AZ120</f>
        <v>500</v>
      </c>
      <c r="BA154" s="37" t="n">
        <f aca="false">BA152+BA116-BA120</f>
        <v>25466.89369361</v>
      </c>
      <c r="BB154" s="37" t="n">
        <f aca="false">BB152+BB116-BB120</f>
        <v>2179.58416525233</v>
      </c>
      <c r="BC154" s="37" t="n">
        <f aca="false">BC152+BC116-BC120</f>
        <v>500</v>
      </c>
      <c r="BD154" s="37" t="n">
        <f aca="false">BD152+BD116-BD120</f>
        <v>500</v>
      </c>
      <c r="BE154" s="37" t="n">
        <f aca="false">BE152+BE116-BE120</f>
        <v>500</v>
      </c>
      <c r="BF154" s="37" t="n">
        <f aca="false">BF152+BF116-BF120</f>
        <v>500</v>
      </c>
      <c r="BG154" s="37" t="n">
        <f aca="false">BG152+BG116-BG120</f>
        <v>500</v>
      </c>
      <c r="BH154" s="37" t="n">
        <f aca="false">BH152+BH116-BH120</f>
        <v>500</v>
      </c>
      <c r="BI154" s="37" t="n">
        <f aca="false">BI152+BI116-BI120</f>
        <v>500</v>
      </c>
      <c r="BJ154" s="37" t="n">
        <f aca="false">BJ152+BJ116-BJ120</f>
        <v>500</v>
      </c>
      <c r="BK154" s="37" t="n">
        <f aca="false">BK152+BK116-BK120</f>
        <v>500</v>
      </c>
      <c r="BL154" s="37" t="n">
        <f aca="false">BL152+BL116-BL120</f>
        <v>39717.2429405123</v>
      </c>
      <c r="BM154" s="37" t="n">
        <f aca="false">BM152+BM116-BM120</f>
        <v>135772.68112984</v>
      </c>
      <c r="BN154" s="37" t="n">
        <f aca="false">BN152+BN116-BN120</f>
        <v>134475.475762539</v>
      </c>
      <c r="BO154" s="37" t="n">
        <f aca="false">BO152+BO116-BO120</f>
        <v>134557.717434855</v>
      </c>
      <c r="BP154" s="37" t="n">
        <f aca="false">BP152+BP116-BP120</f>
        <v>134475.475762539</v>
      </c>
      <c r="BQ154" s="37" t="n">
        <f aca="false">BQ152+BQ116-BQ120</f>
        <v>134557.717434855</v>
      </c>
      <c r="BR154" s="37" t="n">
        <f aca="false">BR152+BR116-BR120</f>
        <v>134557.717434855</v>
      </c>
      <c r="BS154" s="37" t="n">
        <f aca="false">BS152+BS116-BS120</f>
        <v>134475.475762539</v>
      </c>
      <c r="BT154" s="37" t="n">
        <f aca="false">BT152+BT116-BT120</f>
        <v>134557.717434855</v>
      </c>
      <c r="BU154" s="37" t="n">
        <f aca="false">BU152+BU116-BU120</f>
        <v>134475.475762539</v>
      </c>
      <c r="BV154" s="37" t="n">
        <f aca="false">BV152+BV116-BV120</f>
        <v>134557.717434855</v>
      </c>
      <c r="BW154" s="37" t="n">
        <f aca="false">BW152+BW116-BW120</f>
        <v>134557.717434855</v>
      </c>
      <c r="BX154" s="37" t="n">
        <f aca="false">BX152+BX116-BX120</f>
        <v>134393.234090223</v>
      </c>
      <c r="BY154" s="37" t="n">
        <f aca="false">BY152+BY116-BY120</f>
        <v>210817.771072367</v>
      </c>
      <c r="BZ154" s="37" t="n">
        <f aca="false">BZ152+BZ116-BZ120</f>
        <v>210887.377750334</v>
      </c>
      <c r="CA154" s="37" t="n">
        <f aca="false">CA152+CA116-CA120</f>
        <v>210984.169872367</v>
      </c>
      <c r="CB154" s="37" t="n">
        <f aca="false">CB152+CB116-CB120</f>
        <v>210887.377750334</v>
      </c>
      <c r="CC154" s="37" t="n">
        <f aca="false">CC152+CC116-CC120</f>
        <v>210984.169872367</v>
      </c>
      <c r="CD154" s="37" t="n">
        <f aca="false">CD152+CD116-CD120</f>
        <v>210984.169872367</v>
      </c>
      <c r="CE154" s="37" t="n">
        <f aca="false">CE152+CE116-CE120</f>
        <v>210887.377750334</v>
      </c>
      <c r="CF154" s="37" t="n">
        <f aca="false">CF152+CF116-CF120</f>
        <v>210984.169872367</v>
      </c>
      <c r="CG154" s="37" t="n">
        <f aca="false">CG152+CG116-CG120</f>
        <v>210887.377750334</v>
      </c>
      <c r="CH154" s="37" t="n">
        <f aca="false">CH152+CH116-CH120</f>
        <v>210984.169872367</v>
      </c>
      <c r="CI154" s="37" t="n">
        <f aca="false">CI152+CI116-CI120</f>
        <v>210984.169872367</v>
      </c>
      <c r="CJ154" s="37" t="n">
        <f aca="false">CJ152+CJ116-CJ120</f>
        <v>210693.793506267</v>
      </c>
      <c r="CK154" s="37" t="n">
        <f aca="false">CK152+CK116-CK120</f>
        <v>224273.664835122</v>
      </c>
      <c r="CL154" s="37" t="n">
        <f aca="false">CL152+CL116-CL120</f>
        <v>224204.086870648</v>
      </c>
      <c r="CM154" s="37" t="n">
        <f aca="false">CM152+CM116-CM120</f>
        <v>224302.814835122</v>
      </c>
      <c r="CN154" s="37" t="n">
        <f aca="false">CN152+CN116-CN120</f>
        <v>224204.086870648</v>
      </c>
      <c r="CO154" s="37" t="n">
        <f aca="false">CO152+CO116-CO120</f>
        <v>224302.814835122</v>
      </c>
      <c r="CP154" s="37" t="n">
        <f aca="false">CP152+CP116-CP120</f>
        <v>224302.814835122</v>
      </c>
      <c r="CQ154" s="37" t="n">
        <f aca="false">CQ152+CQ116-CQ120</f>
        <v>224204.086870648</v>
      </c>
      <c r="CR154" s="37" t="n">
        <f aca="false">CR152+CR116-CR120</f>
        <v>224302.814835122</v>
      </c>
      <c r="CS154" s="37" t="n">
        <f aca="false">CS152+CS116-CS120</f>
        <v>224204.086870648</v>
      </c>
      <c r="CT154" s="37" t="n">
        <f aca="false">CT152+CT116-CT120</f>
        <v>224302.814835122</v>
      </c>
      <c r="CU154" s="37" t="n">
        <f aca="false">CU152+CU116-CU120</f>
        <v>224302.814835122</v>
      </c>
      <c r="CV154" s="37" t="n">
        <f aca="false">CV152+CV116-CV120</f>
        <v>224006.6309417</v>
      </c>
      <c r="CW154" s="37" t="n">
        <f aca="false">CW152+CW116-CW120</f>
        <v>224394.099697132</v>
      </c>
      <c r="CX154" s="37" t="n">
        <f aca="false">CX152+CX116-CX120</f>
        <v>224293.397173368</v>
      </c>
      <c r="CY154" s="37" t="n">
        <f aca="false">CY152+CY116-CY120</f>
        <v>224394.099697132</v>
      </c>
      <c r="CZ154" s="37" t="n">
        <f aca="false">CZ152+CZ116-CZ120</f>
        <v>224293.397173368</v>
      </c>
      <c r="DA154" s="37" t="n">
        <f aca="false">DA152+DA116-DA120</f>
        <v>224394.099697132</v>
      </c>
      <c r="DB154" s="37" t="n">
        <f aca="false">DB152+DB116-DB120</f>
        <v>224394.099697132</v>
      </c>
      <c r="DC154" s="37" t="n">
        <f aca="false">DC152+DC116-DC120</f>
        <v>224293.397173368</v>
      </c>
      <c r="DD154" s="37" t="n">
        <f aca="false">DD152+DD116-DD120</f>
        <v>224394.099697132</v>
      </c>
      <c r="DE154" s="37" t="n">
        <f aca="false">DE152+DE116-DE120</f>
        <v>224293.397173368</v>
      </c>
      <c r="DF154" s="37" t="n">
        <f aca="false">DF152+DF116-DF120</f>
        <v>224394.099697132</v>
      </c>
      <c r="DG154" s="37" t="n">
        <f aca="false">DG152+DG116-DG120</f>
        <v>224394.099697132</v>
      </c>
      <c r="DH154" s="37" t="n">
        <f aca="false">DH152+DH116-DH120</f>
        <v>224091.992125841</v>
      </c>
      <c r="DI154" s="37" t="n">
        <f aca="false">DI152+DI116-DI120</f>
        <v>224487.210256381</v>
      </c>
      <c r="DJ154" s="37" t="n">
        <f aca="false">DJ152+DJ116-DJ120</f>
        <v>224384.493682143</v>
      </c>
      <c r="DK154" s="37" t="n">
        <f aca="false">DK152+DK116-DK120</f>
        <v>224487.210256381</v>
      </c>
      <c r="DL154" s="37" t="n">
        <f aca="false">DL152+DL116-DL120</f>
        <v>224384.493682143</v>
      </c>
      <c r="DM154" s="37" t="n">
        <f aca="false">DM152+DM116-DM120</f>
        <v>224487.210256381</v>
      </c>
      <c r="DN154" s="37" t="n">
        <f aca="false">DN152+DN116-DN120</f>
        <v>224487.210256381</v>
      </c>
      <c r="DO154" s="37" t="n">
        <f aca="false">DO152+DO116-DO120</f>
        <v>224384.493682143</v>
      </c>
      <c r="DP154" s="37" t="n">
        <f aca="false">DP152+DP116-DP120</f>
        <v>224487.210256381</v>
      </c>
      <c r="DQ154" s="37" t="n">
        <f aca="false">DQ152+DQ116-DQ120</f>
        <v>224384.493682143</v>
      </c>
      <c r="DR154" s="37" t="n">
        <f aca="false">DR152+DR116-DR120</f>
        <v>224487.210256381</v>
      </c>
      <c r="DS154" s="37" t="n">
        <f aca="false">DS152+DS116-DS120</f>
        <v>224487.210256381</v>
      </c>
      <c r="DT154" s="37" t="n">
        <f aca="false">DT152+DT116-DT120</f>
        <v>753090.768805978</v>
      </c>
      <c r="DU154" s="37" t="n">
        <f aca="false">DU152+DU116-DU120</f>
        <v>754866.41239466</v>
      </c>
      <c r="DV154" s="37" t="n">
        <f aca="false">DV152+DV116-DV120</f>
        <v>756646.495092313</v>
      </c>
      <c r="DW154" s="37" t="n">
        <f aca="false">DW152+DW116-DW120</f>
        <v>758431.02799671</v>
      </c>
      <c r="DX154" s="37" t="n">
        <f aca="false">DX152+DX116-DX120</f>
        <v>0</v>
      </c>
      <c r="DY154" s="37" t="n">
        <f aca="false">DY152+DY116-DY120</f>
        <v>0</v>
      </c>
      <c r="DZ154" s="37" t="n">
        <f aca="false">DZ152+DZ116-DZ120</f>
        <v>0</v>
      </c>
      <c r="EA154" s="37" t="n">
        <f aca="false">EA152+EA116-EA120</f>
        <v>0</v>
      </c>
      <c r="EB154" s="37" t="n">
        <f aca="false">EB152+EB116-EB120</f>
        <v>0</v>
      </c>
      <c r="EC154" s="37" t="n">
        <f aca="false">EC152+EC116-EC120</f>
        <v>0</v>
      </c>
      <c r="ED154" s="37" t="n">
        <f aca="false">ED152+ED116-ED120</f>
        <v>0</v>
      </c>
      <c r="EE154" s="37" t="n">
        <f aca="false">EE152+EE116-EE120</f>
        <v>0</v>
      </c>
      <c r="EF154" s="37" t="n">
        <f aca="false">EF152+EF116-EF120</f>
        <v>0</v>
      </c>
    </row>
    <row r="155" customFormat="false" ht="15" hidden="false" customHeight="false" outlineLevel="0" collapsed="false">
      <c r="A155" s="36" t="s">
        <v>685</v>
      </c>
      <c r="B155" s="273"/>
      <c r="E155" s="275" t="n">
        <f aca="false">IF(E6=③기타_가정!$E$24,2,IF(AND(E14=1,E6&lt;③기타_가정!$E$22),1,0))</f>
        <v>0</v>
      </c>
      <c r="F155" s="275" t="n">
        <f aca="false">IF(F6=③기타_가정!$E$24,2,IF(AND(F14=1,F6&lt;③기타_가정!$E$22),1,0))</f>
        <v>0</v>
      </c>
      <c r="G155" s="275" t="n">
        <f aca="false">IF(G6=③기타_가정!$E$24,2,IF(AND(G14=1,G6&lt;③기타_가정!$E$22),1,0))</f>
        <v>0</v>
      </c>
      <c r="H155" s="275" t="n">
        <f aca="false">IF(H6=③기타_가정!$E$24,2,IF(AND(H14=1,H6&lt;③기타_가정!$E$22),1,0))</f>
        <v>0</v>
      </c>
      <c r="I155" s="275" t="n">
        <f aca="false">IF(I6=③기타_가정!$E$24,2,IF(AND(I14=1,I6&lt;③기타_가정!$E$22),1,0))</f>
        <v>0</v>
      </c>
      <c r="J155" s="275" t="n">
        <f aca="false">IF(J6=③기타_가정!$E$24,2,IF(AND(J14=1,J6&lt;③기타_가정!$E$22),1,0))</f>
        <v>0</v>
      </c>
      <c r="K155" s="275" t="n">
        <f aca="false">IF(K6=③기타_가정!$E$24,2,IF(AND(K14=1,K6&lt;③기타_가정!$E$22),1,0))</f>
        <v>0</v>
      </c>
      <c r="L155" s="275" t="n">
        <f aca="false">IF(L6=③기타_가정!$E$24,2,IF(AND(L14=1,L6&lt;③기타_가정!$E$22),1,0))</f>
        <v>0</v>
      </c>
      <c r="M155" s="275" t="n">
        <f aca="false">IF(M6=③기타_가정!$E$24,2,IF(AND(M14=1,M6&lt;③기타_가정!$E$22),1,0))</f>
        <v>0</v>
      </c>
      <c r="N155" s="275" t="n">
        <f aca="false">IF(N6=③기타_가정!$E$24,2,IF(AND(N14=1,N6&lt;③기타_가정!$E$22),1,0))</f>
        <v>0</v>
      </c>
      <c r="O155" s="275" t="n">
        <f aca="false">IF(O6=③기타_가정!$E$24,2,IF(AND(O14=1,O6&lt;③기타_가정!$E$22),1,0))</f>
        <v>0</v>
      </c>
      <c r="P155" s="275" t="n">
        <f aca="false">IF(P6=③기타_가정!$E$24,2,IF(AND(P14=1,P6&lt;③기타_가정!$E$22),1,0))</f>
        <v>0</v>
      </c>
      <c r="Q155" s="275" t="n">
        <f aca="false">IF(Q6=③기타_가정!$E$24,2,IF(AND(Q14=1,Q6&lt;③기타_가정!$E$22),1,0))</f>
        <v>0</v>
      </c>
      <c r="R155" s="275" t="n">
        <f aca="false">IF(R6=③기타_가정!$E$24,2,IF(AND(R14=1,R6&lt;③기타_가정!$E$22),1,0))</f>
        <v>0</v>
      </c>
      <c r="S155" s="275" t="n">
        <f aca="false">IF(S6=③기타_가정!$E$24,2,IF(AND(S14=1,S6&lt;③기타_가정!$E$22),1,0))</f>
        <v>0</v>
      </c>
      <c r="T155" s="275" t="n">
        <f aca="false">IF(T6=③기타_가정!$E$24,2,IF(AND(T14=1,T6&lt;③기타_가정!$E$22),1,0))</f>
        <v>0</v>
      </c>
      <c r="U155" s="275" t="n">
        <f aca="false">IF(U6=③기타_가정!$E$24,2,IF(AND(U14=1,U6&lt;③기타_가정!$E$22),1,0))</f>
        <v>0</v>
      </c>
      <c r="V155" s="275" t="n">
        <f aca="false">IF(V6=③기타_가정!$E$24,2,IF(AND(V14=1,V6&lt;③기타_가정!$E$22),1,0))</f>
        <v>0</v>
      </c>
      <c r="W155" s="275" t="n">
        <f aca="false">IF(W6=③기타_가정!$E$24,2,IF(AND(W14=1,W6&lt;③기타_가정!$E$22),1,0))</f>
        <v>0</v>
      </c>
      <c r="X155" s="275" t="n">
        <f aca="false">IF(X6=③기타_가정!$E$24,2,IF(AND(X14=1,X6&lt;③기타_가정!$E$22),1,0))</f>
        <v>0</v>
      </c>
      <c r="Y155" s="275" t="n">
        <f aca="false">IF(Y6=③기타_가정!$E$24,2,IF(AND(Y14=1,Y6&lt;③기타_가정!$E$22),1,0))</f>
        <v>0</v>
      </c>
      <c r="Z155" s="275" t="n">
        <f aca="false">IF(Z6=③기타_가정!$E$24,2,IF(AND(Z14=1,Z6&lt;③기타_가정!$E$22),1,0))</f>
        <v>0</v>
      </c>
      <c r="AA155" s="275" t="n">
        <f aca="false">IF(AA6=③기타_가정!$E$24,2,IF(AND(AA14=1,AA6&lt;③기타_가정!$E$22),1,0))</f>
        <v>0</v>
      </c>
      <c r="AB155" s="275" t="n">
        <f aca="false">IF(AB6=③기타_가정!$E$24,2,IF(AND(AB14=1,AB6&lt;③기타_가정!$E$22),1,0))</f>
        <v>0</v>
      </c>
      <c r="AC155" s="275" t="n">
        <f aca="false">IF(AC6=③기타_가정!$E$24,2,IF(AND(AC14=1,AC6&lt;③기타_가정!$E$22),1,0))</f>
        <v>0</v>
      </c>
      <c r="AD155" s="275" t="n">
        <f aca="false">IF(AD6=③기타_가정!$E$24,2,IF(AND(AD14=1,AD6&lt;③기타_가정!$E$22),1,0))</f>
        <v>0</v>
      </c>
      <c r="AE155" s="275" t="n">
        <f aca="false">IF(AE6=③기타_가정!$E$24,2,IF(AND(AE14=1,AE6&lt;③기타_가정!$E$22),1,0))</f>
        <v>0</v>
      </c>
      <c r="AF155" s="275" t="n">
        <f aca="false">IF(AF6=③기타_가정!$E$24,2,IF(AND(AF14=1,AF6&lt;③기타_가정!$E$22),1,0))</f>
        <v>0</v>
      </c>
      <c r="AG155" s="275" t="n">
        <f aca="false">IF(AG6=③기타_가정!$E$24,2,IF(AND(AG14=1,AG6&lt;③기타_가정!$E$22),1,0))</f>
        <v>0</v>
      </c>
      <c r="AH155" s="275" t="n">
        <f aca="false">IF(AH6=③기타_가정!$E$24,2,IF(AND(AH14=1,AH6&lt;③기타_가정!$E$22),1,0))</f>
        <v>0</v>
      </c>
      <c r="AI155" s="275" t="n">
        <f aca="false">IF(AI6=③기타_가정!$E$24,2,IF(AND(AI14=1,AI6&lt;③기타_가정!$E$22),1,0))</f>
        <v>0</v>
      </c>
      <c r="AJ155" s="275" t="n">
        <f aca="false">IF(AJ6=③기타_가정!$E$24,2,IF(AND(AJ14=1,AJ6&lt;③기타_가정!$E$22),1,0))</f>
        <v>0</v>
      </c>
      <c r="AK155" s="275" t="n">
        <f aca="false">IF(AK6=③기타_가정!$E$24,2,IF(AND(AK14=1,AK6&lt;③기타_가정!$E$22),1,0))</f>
        <v>0</v>
      </c>
      <c r="AL155" s="275" t="n">
        <f aca="false">IF(AL6=③기타_가정!$E$24,2,IF(AND(AL14=1,AL6&lt;③기타_가정!$E$22),1,0))</f>
        <v>0</v>
      </c>
      <c r="AM155" s="275" t="n">
        <f aca="false">IF(AM6=③기타_가정!$E$24,2,IF(AND(AM14=1,AM6&lt;③기타_가정!$E$22),1,0))</f>
        <v>0</v>
      </c>
      <c r="AN155" s="275" t="n">
        <f aca="false">IF(AN6=③기타_가정!$E$24,2,IF(AND(AN14=1,AN6&lt;③기타_가정!$E$22),1,0))</f>
        <v>0</v>
      </c>
      <c r="AO155" s="275" t="n">
        <f aca="false">IF(AO6=③기타_가정!$E$24,2,IF(AND(AO14=1,AO6&lt;③기타_가정!$E$22),1,0))</f>
        <v>0</v>
      </c>
      <c r="AP155" s="275" t="n">
        <f aca="false">IF(AP6=③기타_가정!$E$24,2,IF(AND(AP14=1,AP6&lt;③기타_가정!$E$22),1,0))</f>
        <v>0</v>
      </c>
      <c r="AQ155" s="275" t="n">
        <f aca="false">IF(AQ6=③기타_가정!$E$24,2,IF(AND(AQ14=1,AQ6&lt;③기타_가정!$E$22),1,0))</f>
        <v>0</v>
      </c>
      <c r="AR155" s="275" t="n">
        <f aca="false">IF(AR6=③기타_가정!$E$24,2,IF(AND(AR14=1,AR6&lt;③기타_가정!$E$22),1,0))</f>
        <v>0</v>
      </c>
      <c r="AS155" s="275" t="n">
        <f aca="false">IF(AS6=③기타_가정!$E$24,2,IF(AND(AS14=1,AS6&lt;③기타_가정!$E$22),1,0))</f>
        <v>0</v>
      </c>
      <c r="AT155" s="275" t="n">
        <f aca="false">IF(AT6=③기타_가정!$E$24,2,IF(AND(AT14=1,AT6&lt;③기타_가정!$E$22),1,0))</f>
        <v>0</v>
      </c>
      <c r="AU155" s="275" t="n">
        <f aca="false">IF(AU6=③기타_가정!$E$24,2,IF(AND(AU14=1,AU6&lt;③기타_가정!$E$22),1,0))</f>
        <v>0</v>
      </c>
      <c r="AV155" s="275" t="n">
        <f aca="false">IF(AV6=③기타_가정!$E$24,2,IF(AND(AV14=1,AV6&lt;③기타_가정!$E$22),1,0))</f>
        <v>0</v>
      </c>
      <c r="AW155" s="275" t="n">
        <f aca="false">IF(AW6=③기타_가정!$E$24,2,IF(AND(AW14=1,AW6&lt;③기타_가정!$E$22),1,0))</f>
        <v>0</v>
      </c>
      <c r="AX155" s="275" t="n">
        <f aca="false">IF(AX6=③기타_가정!$E$24,2,IF(AND(AX14=1,AX6&lt;③기타_가정!$E$22),1,0))</f>
        <v>0</v>
      </c>
      <c r="AY155" s="275" t="n">
        <f aca="false">IF(AY6=③기타_가정!$E$24,2,IF(AND(AY14=1,AY6&lt;③기타_가정!$E$22),1,0))</f>
        <v>0</v>
      </c>
      <c r="AZ155" s="275" t="n">
        <f aca="false">IF(AZ6=③기타_가정!$E$24,2,IF(AND(AZ14=1,AZ6&lt;③기타_가정!$E$22),1,0))</f>
        <v>0</v>
      </c>
      <c r="BA155" s="275" t="n">
        <f aca="false">IF(BA6=③기타_가정!$E$24,2,IF(AND(BA14=1,BA6&lt;③기타_가정!$E$22),1,0))</f>
        <v>0</v>
      </c>
      <c r="BB155" s="275" t="n">
        <f aca="false">IF(BB6=③기타_가정!$E$24,2,IF(AND(BB14=1,BB6&lt;③기타_가정!$E$22),1,0))</f>
        <v>0</v>
      </c>
      <c r="BC155" s="275" t="n">
        <f aca="false">IF(BC6=③기타_가정!$E$24,2,IF(AND(BC14=1,BC6&lt;③기타_가정!$E$22),1,0))</f>
        <v>0</v>
      </c>
      <c r="BD155" s="275" t="n">
        <f aca="false">IF(BD6=③기타_가정!$E$24,2,IF(AND(BD14=1,BD6&lt;③기타_가정!$E$22),1,0))</f>
        <v>0</v>
      </c>
      <c r="BE155" s="275" t="n">
        <f aca="false">IF(BE6=③기타_가정!$E$24,2,IF(AND(BE14=1,BE6&lt;③기타_가정!$E$22),1,0))</f>
        <v>0</v>
      </c>
      <c r="BF155" s="275" t="n">
        <f aca="false">IF(BF6=③기타_가정!$E$24,2,IF(AND(BF14=1,BF6&lt;③기타_가정!$E$22),1,0))</f>
        <v>0</v>
      </c>
      <c r="BG155" s="275" t="n">
        <f aca="false">IF(BG6=③기타_가정!$E$24,2,IF(AND(BG14=1,BG6&lt;③기타_가정!$E$22),1,0))</f>
        <v>0</v>
      </c>
      <c r="BH155" s="275" t="n">
        <f aca="false">IF(BH6=③기타_가정!$E$24,2,IF(AND(BH14=1,BH6&lt;③기타_가정!$E$22),1,0))</f>
        <v>0</v>
      </c>
      <c r="BI155" s="275" t="n">
        <f aca="false">IF(BI6=③기타_가정!$E$24,2,IF(AND(BI14=1,BI6&lt;③기타_가정!$E$22),1,0))</f>
        <v>0</v>
      </c>
      <c r="BJ155" s="275" t="n">
        <f aca="false">IF(BJ6=③기타_가정!$E$24,2,IF(AND(BJ14=1,BJ6&lt;③기타_가정!$E$22),1,0))</f>
        <v>0</v>
      </c>
      <c r="BK155" s="275" t="n">
        <f aca="false">IF(BK6=③기타_가정!$E$24,2,IF(AND(BK14=1,BK6&lt;③기타_가정!$E$22),1,0))</f>
        <v>0</v>
      </c>
      <c r="BL155" s="275" t="n">
        <f aca="false">IF(BL6=③기타_가정!$E$24,2,IF(AND(BL14=1,BL6&lt;③기타_가정!$E$22),1,0))</f>
        <v>0</v>
      </c>
      <c r="BM155" s="275" t="n">
        <f aca="false">IF(BM6=③기타_가정!$E$24,2,IF(AND(BM14=1,BM6&lt;③기타_가정!$E$22),1,0))</f>
        <v>1</v>
      </c>
      <c r="BN155" s="275" t="n">
        <f aca="false">IF(BN6=③기타_가정!$E$24,2,IF(AND(BN14=1,BN6&lt;③기타_가정!$E$22),1,0))</f>
        <v>1</v>
      </c>
      <c r="BO155" s="275" t="n">
        <f aca="false">IF(BO6=③기타_가정!$E$24,2,IF(AND(BO14=1,BO6&lt;③기타_가정!$E$22),1,0))</f>
        <v>1</v>
      </c>
      <c r="BP155" s="275" t="n">
        <f aca="false">IF(BP6=③기타_가정!$E$24,2,IF(AND(BP14=1,BP6&lt;③기타_가정!$E$22),1,0))</f>
        <v>1</v>
      </c>
      <c r="BQ155" s="275" t="n">
        <f aca="false">IF(BQ6=③기타_가정!$E$24,2,IF(AND(BQ14=1,BQ6&lt;③기타_가정!$E$22),1,0))</f>
        <v>1</v>
      </c>
      <c r="BR155" s="275" t="n">
        <f aca="false">IF(BR6=③기타_가정!$E$24,2,IF(AND(BR14=1,BR6&lt;③기타_가정!$E$22),1,0))</f>
        <v>1</v>
      </c>
      <c r="BS155" s="275" t="n">
        <f aca="false">IF(BS6=③기타_가정!$E$24,2,IF(AND(BS14=1,BS6&lt;③기타_가정!$E$22),1,0))</f>
        <v>1</v>
      </c>
      <c r="BT155" s="275" t="n">
        <f aca="false">IF(BT6=③기타_가정!$E$24,2,IF(AND(BT14=1,BT6&lt;③기타_가정!$E$22),1,0))</f>
        <v>1</v>
      </c>
      <c r="BU155" s="275" t="n">
        <f aca="false">IF(BU6=③기타_가정!$E$24,2,IF(AND(BU14=1,BU6&lt;③기타_가정!$E$22),1,0))</f>
        <v>1</v>
      </c>
      <c r="BV155" s="275" t="n">
        <f aca="false">IF(BV6=③기타_가정!$E$24,2,IF(AND(BV14=1,BV6&lt;③기타_가정!$E$22),1,0))</f>
        <v>1</v>
      </c>
      <c r="BW155" s="275" t="n">
        <f aca="false">IF(BW6=③기타_가정!$E$24,2,IF(AND(BW14=1,BW6&lt;③기타_가정!$E$22),1,0))</f>
        <v>1</v>
      </c>
      <c r="BX155" s="275" t="n">
        <f aca="false">IF(BX6=③기타_가정!$E$24,2,IF(AND(BX14=1,BX6&lt;③기타_가정!$E$22),1,0))</f>
        <v>1</v>
      </c>
      <c r="BY155" s="275" t="n">
        <f aca="false">IF(BY6=③기타_가정!$E$24,2,IF(AND(BY14=1,BY6&lt;③기타_가정!$E$22),1,0))</f>
        <v>1</v>
      </c>
      <c r="BZ155" s="275" t="n">
        <f aca="false">IF(BZ6=③기타_가정!$E$24,2,IF(AND(BZ14=1,BZ6&lt;③기타_가정!$E$22),1,0))</f>
        <v>1</v>
      </c>
      <c r="CA155" s="275" t="n">
        <f aca="false">IF(CA6=③기타_가정!$E$24,2,IF(AND(CA14=1,CA6&lt;③기타_가정!$E$22),1,0))</f>
        <v>1</v>
      </c>
      <c r="CB155" s="275" t="n">
        <f aca="false">IF(CB6=③기타_가정!$E$24,2,IF(AND(CB14=1,CB6&lt;③기타_가정!$E$22),1,0))</f>
        <v>1</v>
      </c>
      <c r="CC155" s="275" t="n">
        <f aca="false">IF(CC6=③기타_가정!$E$24,2,IF(AND(CC14=1,CC6&lt;③기타_가정!$E$22),1,0))</f>
        <v>1</v>
      </c>
      <c r="CD155" s="275" t="n">
        <f aca="false">IF(CD6=③기타_가정!$E$24,2,IF(AND(CD14=1,CD6&lt;③기타_가정!$E$22),1,0))</f>
        <v>1</v>
      </c>
      <c r="CE155" s="275" t="n">
        <f aca="false">IF(CE6=③기타_가정!$E$24,2,IF(AND(CE14=1,CE6&lt;③기타_가정!$E$22),1,0))</f>
        <v>1</v>
      </c>
      <c r="CF155" s="275" t="n">
        <f aca="false">IF(CF6=③기타_가정!$E$24,2,IF(AND(CF14=1,CF6&lt;③기타_가정!$E$22),1,0))</f>
        <v>1</v>
      </c>
      <c r="CG155" s="275" t="n">
        <f aca="false">IF(CG6=③기타_가정!$E$24,2,IF(AND(CG14=1,CG6&lt;③기타_가정!$E$22),1,0))</f>
        <v>1</v>
      </c>
      <c r="CH155" s="275" t="n">
        <f aca="false">IF(CH6=③기타_가정!$E$24,2,IF(AND(CH14=1,CH6&lt;③기타_가정!$E$22),1,0))</f>
        <v>1</v>
      </c>
      <c r="CI155" s="275" t="n">
        <f aca="false">IF(CI6=③기타_가정!$E$24,2,IF(AND(CI14=1,CI6&lt;③기타_가정!$E$22),1,0))</f>
        <v>1</v>
      </c>
      <c r="CJ155" s="275" t="n">
        <f aca="false">IF(CJ6=③기타_가정!$E$24,2,IF(AND(CJ14=1,CJ6&lt;③기타_가정!$E$22),1,0))</f>
        <v>1</v>
      </c>
      <c r="CK155" s="275" t="n">
        <f aca="false">IF(CK6=③기타_가정!$E$24,2,IF(AND(CK14=1,CK6&lt;③기타_가정!$E$22),1,0))</f>
        <v>1</v>
      </c>
      <c r="CL155" s="275" t="n">
        <f aca="false">IF(CL6=③기타_가정!$E$24,2,IF(AND(CL14=1,CL6&lt;③기타_가정!$E$22),1,0))</f>
        <v>1</v>
      </c>
      <c r="CM155" s="275" t="n">
        <f aca="false">IF(CM6=③기타_가정!$E$24,2,IF(AND(CM14=1,CM6&lt;③기타_가정!$E$22),1,0))</f>
        <v>1</v>
      </c>
      <c r="CN155" s="275" t="n">
        <f aca="false">IF(CN6=③기타_가정!$E$24,2,IF(AND(CN14=1,CN6&lt;③기타_가정!$E$22),1,0))</f>
        <v>1</v>
      </c>
      <c r="CO155" s="275" t="n">
        <f aca="false">IF(CO6=③기타_가정!$E$24,2,IF(AND(CO14=1,CO6&lt;③기타_가정!$E$22),1,0))</f>
        <v>1</v>
      </c>
      <c r="CP155" s="275" t="n">
        <f aca="false">IF(CP6=③기타_가정!$E$24,2,IF(AND(CP14=1,CP6&lt;③기타_가정!$E$22),1,0))</f>
        <v>1</v>
      </c>
      <c r="CQ155" s="275" t="n">
        <f aca="false">IF(CQ6=③기타_가정!$E$24,2,IF(AND(CQ14=1,CQ6&lt;③기타_가정!$E$22),1,0))</f>
        <v>1</v>
      </c>
      <c r="CR155" s="275" t="n">
        <f aca="false">IF(CR6=③기타_가정!$E$24,2,IF(AND(CR14=1,CR6&lt;③기타_가정!$E$22),1,0))</f>
        <v>1</v>
      </c>
      <c r="CS155" s="275" t="n">
        <f aca="false">IF(CS6=③기타_가정!$E$24,2,IF(AND(CS14=1,CS6&lt;③기타_가정!$E$22),1,0))</f>
        <v>1</v>
      </c>
      <c r="CT155" s="275" t="n">
        <f aca="false">IF(CT6=③기타_가정!$E$24,2,IF(AND(CT14=1,CT6&lt;③기타_가정!$E$22),1,0))</f>
        <v>1</v>
      </c>
      <c r="CU155" s="275" t="n">
        <f aca="false">IF(CU6=③기타_가정!$E$24,2,IF(AND(CU14=1,CU6&lt;③기타_가정!$E$22),1,0))</f>
        <v>1</v>
      </c>
      <c r="CV155" s="275" t="n">
        <f aca="false">IF(CV6=③기타_가정!$E$24,2,IF(AND(CV14=1,CV6&lt;③기타_가정!$E$22),1,0))</f>
        <v>1</v>
      </c>
      <c r="CW155" s="275" t="n">
        <f aca="false">IF(CW6=③기타_가정!$E$24,2,IF(AND(CW14=1,CW6&lt;③기타_가정!$E$22),1,0))</f>
        <v>1</v>
      </c>
      <c r="CX155" s="275" t="n">
        <f aca="false">IF(CX6=③기타_가정!$E$24,2,IF(AND(CX14=1,CX6&lt;③기타_가정!$E$22),1,0))</f>
        <v>1</v>
      </c>
      <c r="CY155" s="275" t="n">
        <f aca="false">IF(CY6=③기타_가정!$E$24,2,IF(AND(CY14=1,CY6&lt;③기타_가정!$E$22),1,0))</f>
        <v>1</v>
      </c>
      <c r="CZ155" s="275" t="n">
        <f aca="false">IF(CZ6=③기타_가정!$E$24,2,IF(AND(CZ14=1,CZ6&lt;③기타_가정!$E$22),1,0))</f>
        <v>1</v>
      </c>
      <c r="DA155" s="275" t="n">
        <f aca="false">IF(DA6=③기타_가정!$E$24,2,IF(AND(DA14=1,DA6&lt;③기타_가정!$E$22),1,0))</f>
        <v>1</v>
      </c>
      <c r="DB155" s="275" t="n">
        <f aca="false">IF(DB6=③기타_가정!$E$24,2,IF(AND(DB14=1,DB6&lt;③기타_가정!$E$22),1,0))</f>
        <v>1</v>
      </c>
      <c r="DC155" s="275" t="n">
        <f aca="false">IF(DC6=③기타_가정!$E$24,2,IF(AND(DC14=1,DC6&lt;③기타_가정!$E$22),1,0))</f>
        <v>1</v>
      </c>
      <c r="DD155" s="275" t="n">
        <f aca="false">IF(DD6=③기타_가정!$E$24,2,IF(AND(DD14=1,DD6&lt;③기타_가정!$E$22),1,0))</f>
        <v>1</v>
      </c>
      <c r="DE155" s="275" t="n">
        <f aca="false">IF(DE6=③기타_가정!$E$24,2,IF(AND(DE14=1,DE6&lt;③기타_가정!$E$22),1,0))</f>
        <v>1</v>
      </c>
      <c r="DF155" s="275" t="n">
        <f aca="false">IF(DF6=③기타_가정!$E$24,2,IF(AND(DF14=1,DF6&lt;③기타_가정!$E$22),1,0))</f>
        <v>1</v>
      </c>
      <c r="DG155" s="275" t="n">
        <f aca="false">IF(DG6=③기타_가정!$E$24,2,IF(AND(DG14=1,DG6&lt;③기타_가정!$E$22),1,0))</f>
        <v>1</v>
      </c>
      <c r="DH155" s="275" t="n">
        <f aca="false">IF(DH6=③기타_가정!$E$24,2,IF(AND(DH14=1,DH6&lt;③기타_가정!$E$22),1,0))</f>
        <v>1</v>
      </c>
      <c r="DI155" s="275" t="n">
        <f aca="false">IF(DI6=③기타_가정!$E$24,2,IF(AND(DI14=1,DI6&lt;③기타_가정!$E$22),1,0))</f>
        <v>1</v>
      </c>
      <c r="DJ155" s="275" t="n">
        <f aca="false">IF(DJ6=③기타_가정!$E$24,2,IF(AND(DJ14=1,DJ6&lt;③기타_가정!$E$22),1,0))</f>
        <v>1</v>
      </c>
      <c r="DK155" s="275" t="n">
        <f aca="false">IF(DK6=③기타_가정!$E$24,2,IF(AND(DK14=1,DK6&lt;③기타_가정!$E$22),1,0))</f>
        <v>1</v>
      </c>
      <c r="DL155" s="275" t="n">
        <f aca="false">IF(DL6=③기타_가정!$E$24,2,IF(AND(DL14=1,DL6&lt;③기타_가정!$E$22),1,0))</f>
        <v>1</v>
      </c>
      <c r="DM155" s="275" t="n">
        <f aca="false">IF(DM6=③기타_가정!$E$24,2,IF(AND(DM14=1,DM6&lt;③기타_가정!$E$22),1,0))</f>
        <v>1</v>
      </c>
      <c r="DN155" s="275" t="n">
        <f aca="false">IF(DN6=③기타_가정!$E$24,2,IF(AND(DN14=1,DN6&lt;③기타_가정!$E$22),1,0))</f>
        <v>1</v>
      </c>
      <c r="DO155" s="275" t="n">
        <f aca="false">IF(DO6=③기타_가정!$E$24,2,IF(AND(DO14=1,DO6&lt;③기타_가정!$E$22),1,0))</f>
        <v>1</v>
      </c>
      <c r="DP155" s="275" t="n">
        <f aca="false">IF(DP6=③기타_가정!$E$24,2,IF(AND(DP14=1,DP6&lt;③기타_가정!$E$22),1,0))</f>
        <v>1</v>
      </c>
      <c r="DQ155" s="275" t="n">
        <f aca="false">IF(DQ6=③기타_가정!$E$24,2,IF(AND(DQ14=1,DQ6&lt;③기타_가정!$E$22),1,0))</f>
        <v>1</v>
      </c>
      <c r="DR155" s="275" t="n">
        <f aca="false">IF(DR6=③기타_가정!$E$24,2,IF(AND(DR14=1,DR6&lt;③기타_가정!$E$22),1,0))</f>
        <v>1</v>
      </c>
      <c r="DS155" s="275" t="n">
        <f aca="false">IF(DS6=③기타_가정!$E$24,2,IF(AND(DS14=1,DS6&lt;③기타_가정!$E$22),1,0))</f>
        <v>1</v>
      </c>
      <c r="DT155" s="275" t="n">
        <f aca="false">IF(DT6=③기타_가정!$E$24,2,IF(AND(DT14=1,DT6&lt;③기타_가정!$E$22),1,0))</f>
        <v>0</v>
      </c>
      <c r="DU155" s="275" t="n">
        <f aca="false">IF(DU6=③기타_가정!$E$24,2,IF(AND(DU14=1,DU6&lt;③기타_가정!$E$22),1,0))</f>
        <v>0</v>
      </c>
      <c r="DV155" s="275" t="n">
        <f aca="false">IF(DV6=③기타_가정!$E$24,2,IF(AND(DV14=1,DV6&lt;③기타_가정!$E$22),1,0))</f>
        <v>0</v>
      </c>
      <c r="DW155" s="275" t="n">
        <f aca="false">IF(DW6=③기타_가정!$E$24,2,IF(AND(DW14=1,DW6&lt;③기타_가정!$E$22),1,0))</f>
        <v>2</v>
      </c>
      <c r="DX155" s="275" t="n">
        <f aca="false">IF(DX6=③기타_가정!$E$24,2,IF(AND(DX14=1,DX6&lt;③기타_가정!$E$22),1,0))</f>
        <v>0</v>
      </c>
      <c r="DY155" s="275" t="n">
        <f aca="false">IF(DY6=③기타_가정!$E$24,2,IF(AND(DY14=1,DY6&lt;③기타_가정!$E$22),1,0))</f>
        <v>0</v>
      </c>
      <c r="DZ155" s="275" t="n">
        <f aca="false">IF(DZ6=③기타_가정!$E$24,2,IF(AND(DZ14=1,DZ6&lt;③기타_가정!$E$22),1,0))</f>
        <v>0</v>
      </c>
      <c r="EA155" s="275" t="n">
        <f aca="false">IF(EA6=③기타_가정!$E$24,2,IF(AND(EA14=1,EA6&lt;③기타_가정!$E$22),1,0))</f>
        <v>0</v>
      </c>
      <c r="EB155" s="275" t="n">
        <f aca="false">IF(EB6=③기타_가정!$E$24,2,IF(AND(EB14=1,EB6&lt;③기타_가정!$E$22),1,0))</f>
        <v>0</v>
      </c>
      <c r="EC155" s="275" t="n">
        <f aca="false">IF(EC6=③기타_가정!$E$24,2,IF(AND(EC14=1,EC6&lt;③기타_가정!$E$22),1,0))</f>
        <v>0</v>
      </c>
      <c r="ED155" s="275" t="n">
        <f aca="false">IF(ED6=③기타_가정!$E$24,2,IF(AND(ED14=1,ED6&lt;③기타_가정!$E$22),1,0))</f>
        <v>0</v>
      </c>
      <c r="EE155" s="275" t="n">
        <f aca="false">IF(EE6=③기타_가정!$E$24,2,IF(AND(EE14=1,EE6&lt;③기타_가정!$E$22),1,0))</f>
        <v>0</v>
      </c>
      <c r="EF155" s="275" t="n">
        <f aca="false">IF(EF6=③기타_가정!$E$24,2,IF(AND(EF14=1,EF6&lt;③기타_가정!$E$22),1,0))</f>
        <v>0</v>
      </c>
    </row>
    <row r="156" customFormat="false" ht="15" hidden="false" customHeight="false" outlineLevel="0" collapsed="false">
      <c r="A156" s="36" t="s">
        <v>686</v>
      </c>
      <c r="B156" s="278" t="s">
        <v>21</v>
      </c>
      <c r="C156" s="279" t="n">
        <f aca="false">SUM(E156:EF156)</f>
        <v>90207.8822419663</v>
      </c>
      <c r="E156" s="37" t="n">
        <f aca="false">E75+E149-E129-E135</f>
        <v>0</v>
      </c>
      <c r="F156" s="37" t="n">
        <f aca="false">F75+F149-F129-F135</f>
        <v>24.8253982764838</v>
      </c>
      <c r="G156" s="37" t="n">
        <f aca="false">G75+G149-G129-G135</f>
        <v>24.6614201055083</v>
      </c>
      <c r="H156" s="37" t="n">
        <f aca="false">H75+H149-H129-H135</f>
        <v>24.4970319891054</v>
      </c>
      <c r="I156" s="37" t="n">
        <f aca="false">I75+I149-I129-I135</f>
        <v>4.56617464172626</v>
      </c>
      <c r="J156" s="37" t="n">
        <f aca="false">J75+J149-J129-J135</f>
        <v>4.35154841166391</v>
      </c>
      <c r="K156" s="37" t="n">
        <f aca="false">K75+K149-K129-K135</f>
        <v>4.1363856160264</v>
      </c>
      <c r="L156" s="37" t="n">
        <f aca="false">L75+L149-L129-L135</f>
        <v>3.9206849133998</v>
      </c>
      <c r="M156" s="37" t="n">
        <f aca="false">M75+M149-M129-M135</f>
        <v>3.70444495901664</v>
      </c>
      <c r="N156" s="37" t="n">
        <f aca="false">N75+N149-N129-N135</f>
        <v>3.48766440474751</v>
      </c>
      <c r="O156" s="37" t="n">
        <f aca="false">O75+O149-O129-O135</f>
        <v>3.27034189909271</v>
      </c>
      <c r="P156" s="37" t="n">
        <f aca="false">P75+P149-P129-P135</f>
        <v>3.05247608717378</v>
      </c>
      <c r="Q156" s="37" t="n">
        <f aca="false">Q75+Q149-Q129-Q135</f>
        <v>2.83406561072504</v>
      </c>
      <c r="R156" s="37" t="n">
        <f aca="false">R75+R149-R129-R135</f>
        <v>64.7655091080852</v>
      </c>
      <c r="S156" s="37" t="n">
        <f aca="false">S75+S149-S129-S135</f>
        <v>64.7013812141887</v>
      </c>
      <c r="T156" s="37" t="n">
        <f aca="false">T75+T149-T129-T135</f>
        <v>64.6370930005575</v>
      </c>
      <c r="U156" s="37" t="n">
        <f aca="false">U75+U149-U129-U135</f>
        <v>64.5726440663923</v>
      </c>
      <c r="V156" s="37" t="n">
        <f aca="false">V75+V149-V129-V135</f>
        <v>64.5080340098916</v>
      </c>
      <c r="W156" s="37" t="n">
        <f aca="false">W75+W149-W129-W135</f>
        <v>64.4432624282496</v>
      </c>
      <c r="X156" s="37" t="n">
        <f aca="false">X75+X149-X129-X135</f>
        <v>129.016490981312</v>
      </c>
      <c r="Y156" s="37" t="n">
        <f aca="false">Y75+Y149-Y129-Y135</f>
        <v>119.094297605957</v>
      </c>
      <c r="Z156" s="37" t="n">
        <f aca="false">Z75+Z149-Z129-Z135</f>
        <v>104.045574940153</v>
      </c>
      <c r="AA156" s="37" t="n">
        <f aca="false">AA75+AA149-AA129-AA135</f>
        <v>83.9292366529847</v>
      </c>
      <c r="AB156" s="37" t="n">
        <f aca="false">AB75+AB149-AB129-AB135</f>
        <v>58.8324734634765</v>
      </c>
      <c r="AC156" s="37" t="n">
        <f aca="false">AC75+AC149-AC129-AC135</f>
        <v>28.8702653769419</v>
      </c>
      <c r="AD156" s="37" t="n">
        <f aca="false">AD75+AD149-AD129-AD135</f>
        <v>118.48553851198</v>
      </c>
      <c r="AE156" s="37" t="n">
        <f aca="false">AE75+AE149-AE129-AE135</f>
        <v>79.5559221149974</v>
      </c>
      <c r="AF156" s="37" t="n">
        <f aca="false">AF75+AF149-AF129-AF135</f>
        <v>36.2661270881394</v>
      </c>
      <c r="AG156" s="37" t="n">
        <f aca="false">AG75+AG149-AG129-AG135</f>
        <v>1.25</v>
      </c>
      <c r="AH156" s="37" t="n">
        <f aca="false">AH75+AH149-AH129-AH135</f>
        <v>1.25</v>
      </c>
      <c r="AI156" s="37" t="n">
        <f aca="false">AI75+AI149-AI129-AI135</f>
        <v>1.25</v>
      </c>
      <c r="AJ156" s="37" t="n">
        <f aca="false">AJ75+AJ149-AJ129-AJ135</f>
        <v>1.25</v>
      </c>
      <c r="AK156" s="37" t="n">
        <f aca="false">AK75+AK149-AK129-AK135</f>
        <v>1.25</v>
      </c>
      <c r="AL156" s="37" t="n">
        <f aca="false">AL75+AL149-AL129-AL135</f>
        <v>1.25</v>
      </c>
      <c r="AM156" s="37" t="n">
        <f aca="false">AM75+AM149-AM129-AM135</f>
        <v>1.25</v>
      </c>
      <c r="AN156" s="37" t="n">
        <f aca="false">AN75+AN149-AN129-AN135</f>
        <v>1.25</v>
      </c>
      <c r="AO156" s="37" t="n">
        <f aca="false">AO75+AO149-AO129-AO135</f>
        <v>1.25</v>
      </c>
      <c r="AP156" s="37" t="n">
        <f aca="false">AP75+AP149-AP129-AP135</f>
        <v>51.949966146696</v>
      </c>
      <c r="AQ156" s="37" t="n">
        <f aca="false">AQ75+AQ149-AQ129-AQ135</f>
        <v>1.25</v>
      </c>
      <c r="AR156" s="37" t="n">
        <f aca="false">AR75+AR149-AR129-AR135</f>
        <v>1.25</v>
      </c>
      <c r="AS156" s="37" t="n">
        <f aca="false">AS75+AS149-AS129-AS135</f>
        <v>1.25</v>
      </c>
      <c r="AT156" s="37" t="n">
        <f aca="false">AT75+AT149-AT129-AT135</f>
        <v>1.25</v>
      </c>
      <c r="AU156" s="37" t="n">
        <f aca="false">AU75+AU149-AU129-AU135</f>
        <v>1.25</v>
      </c>
      <c r="AV156" s="37" t="n">
        <f aca="false">AV75+AV149-AV129-AV135</f>
        <v>1.25</v>
      </c>
      <c r="AW156" s="37" t="n">
        <f aca="false">AW75+AW149-AW129-AW135</f>
        <v>1.25</v>
      </c>
      <c r="AX156" s="37" t="n">
        <f aca="false">AX75+AX149-AX129-AX135</f>
        <v>1.25</v>
      </c>
      <c r="AY156" s="37" t="n">
        <f aca="false">AY75+AY149-AY129-AY135</f>
        <v>1.25</v>
      </c>
      <c r="AZ156" s="37" t="n">
        <f aca="false">AZ75+AZ149-AZ129-AZ135</f>
        <v>1.25</v>
      </c>
      <c r="BA156" s="37" t="n">
        <f aca="false">BA75+BA149-BA129-BA135</f>
        <v>1.25</v>
      </c>
      <c r="BB156" s="37" t="n">
        <f aca="false">BB75+BB149-BB129-BB135</f>
        <v>63.667234234025</v>
      </c>
      <c r="BC156" s="37" t="n">
        <f aca="false">BC75+BC149-BC129-BC135</f>
        <v>5.44896041313084</v>
      </c>
      <c r="BD156" s="37" t="n">
        <f aca="false">BD75+BD149-BD129-BD135</f>
        <v>1.25</v>
      </c>
      <c r="BE156" s="37" t="n">
        <f aca="false">BE75+BE149-BE129-BE135</f>
        <v>1.25</v>
      </c>
      <c r="BF156" s="37" t="n">
        <f aca="false">BF75+BF149-BF129-BF135</f>
        <v>1.25</v>
      </c>
      <c r="BG156" s="37" t="n">
        <f aca="false">BG75+BG149-BG129-BG135</f>
        <v>1.25</v>
      </c>
      <c r="BH156" s="37" t="n">
        <f aca="false">BH75+BH149-BH129-BH135</f>
        <v>1.25</v>
      </c>
      <c r="BI156" s="37" t="n">
        <f aca="false">BI75+BI149-BI129-BI135</f>
        <v>1.25</v>
      </c>
      <c r="BJ156" s="37" t="n">
        <f aca="false">BJ75+BJ149-BJ129-BJ135</f>
        <v>1.25</v>
      </c>
      <c r="BK156" s="37" t="n">
        <f aca="false">BK75+BK149-BK129-BK135</f>
        <v>1.25</v>
      </c>
      <c r="BL156" s="37" t="n">
        <f aca="false">BL75+BL149-BL129-BL135</f>
        <v>1.25</v>
      </c>
      <c r="BM156" s="37" t="n">
        <f aca="false">BM75+BM149-BM129-BM135</f>
        <v>405.453226323824</v>
      </c>
      <c r="BN156" s="37" t="n">
        <f aca="false">BN75+BN149-BN129-BN135</f>
        <v>518.595507294685</v>
      </c>
      <c r="BO156" s="37" t="n">
        <f aca="false">BO75+BO149-BO129-BO135</f>
        <v>600.837179610655</v>
      </c>
      <c r="BP156" s="37" t="n">
        <f aca="false">BP75+BP149-BP129-BP135</f>
        <v>518.595507294684</v>
      </c>
      <c r="BQ156" s="37" t="n">
        <f aca="false">BQ75+BQ149-BQ129-BQ135</f>
        <v>600.837179610655</v>
      </c>
      <c r="BR156" s="37" t="n">
        <f aca="false">BR75+BR149-BR129-BR135</f>
        <v>600.837179610655</v>
      </c>
      <c r="BS156" s="37" t="n">
        <f aca="false">BS75+BS149-BS129-BS135</f>
        <v>518.595507294684</v>
      </c>
      <c r="BT156" s="37" t="n">
        <f aca="false">BT75+BT149-BT129-BT135</f>
        <v>600.837179610655</v>
      </c>
      <c r="BU156" s="37" t="n">
        <f aca="false">BU75+BU149-BU129-BU135</f>
        <v>518.595507294684</v>
      </c>
      <c r="BV156" s="37" t="n">
        <f aca="false">BV75+BV149-BV129-BV135</f>
        <v>600.837179610655</v>
      </c>
      <c r="BW156" s="37" t="n">
        <f aca="false">BW75+BW149-BW129-BW135</f>
        <v>600.837179610655</v>
      </c>
      <c r="BX156" s="37" t="n">
        <f aca="false">BX75+BX149-BX129-BX135</f>
        <v>436.353834978712</v>
      </c>
      <c r="BY156" s="37" t="n">
        <f aca="false">BY75+BY149-BY129-BY135</f>
        <v>1510.4908171224</v>
      </c>
      <c r="BZ156" s="37" t="n">
        <f aca="false">BZ75+BZ149-BZ129-BZ135</f>
        <v>1580.09749508899</v>
      </c>
      <c r="CA156" s="37" t="n">
        <f aca="false">CA75+CA149-CA129-CA135</f>
        <v>1676.8896171224</v>
      </c>
      <c r="CB156" s="37" t="n">
        <f aca="false">CB75+CB149-CB129-CB135</f>
        <v>1580.09749508899</v>
      </c>
      <c r="CC156" s="37" t="n">
        <f aca="false">CC75+CC149-CC129-CC135</f>
        <v>1676.8896171224</v>
      </c>
      <c r="CD156" s="37" t="n">
        <f aca="false">CD75+CD149-CD129-CD135</f>
        <v>1676.8896171224</v>
      </c>
      <c r="CE156" s="37" t="n">
        <f aca="false">CE75+CE149-CE129-CE135</f>
        <v>1580.09749508899</v>
      </c>
      <c r="CF156" s="37" t="n">
        <f aca="false">CF75+CF149-CF129-CF135</f>
        <v>1676.8896171224</v>
      </c>
      <c r="CG156" s="37" t="n">
        <f aca="false">CG75+CG149-CG129-CG135</f>
        <v>1580.09749508899</v>
      </c>
      <c r="CH156" s="37" t="n">
        <f aca="false">CH75+CH149-CH129-CH135</f>
        <v>1676.8896171224</v>
      </c>
      <c r="CI156" s="37" t="n">
        <f aca="false">CI75+CI149-CI129-CI135</f>
        <v>1676.8896171224</v>
      </c>
      <c r="CJ156" s="37" t="n">
        <f aca="false">CJ75+CJ149-CJ129-CJ135</f>
        <v>1386.51325102216</v>
      </c>
      <c r="CK156" s="37" t="n">
        <f aca="false">CK75+CK149-CK129-CK135</f>
        <v>1766.38457987709</v>
      </c>
      <c r="CL156" s="37" t="n">
        <f aca="false">CL75+CL149-CL129-CL135</f>
        <v>1696.80661540301</v>
      </c>
      <c r="CM156" s="37" t="n">
        <f aca="false">CM75+CM149-CM129-CM135</f>
        <v>1795.53457987709</v>
      </c>
      <c r="CN156" s="37" t="n">
        <f aca="false">CN75+CN149-CN129-CN135</f>
        <v>1696.80661540301</v>
      </c>
      <c r="CO156" s="37" t="n">
        <f aca="false">CO75+CO149-CO129-CO135</f>
        <v>1795.53457987709</v>
      </c>
      <c r="CP156" s="37" t="n">
        <f aca="false">CP75+CP149-CP129-CP135</f>
        <v>1795.53457987709</v>
      </c>
      <c r="CQ156" s="37" t="n">
        <f aca="false">CQ75+CQ149-CQ129-CQ135</f>
        <v>1696.80661540301</v>
      </c>
      <c r="CR156" s="37" t="n">
        <f aca="false">CR75+CR149-CR129-CR135</f>
        <v>1795.53457987709</v>
      </c>
      <c r="CS156" s="37" t="n">
        <f aca="false">CS75+CS149-CS129-CS135</f>
        <v>1696.80661540301</v>
      </c>
      <c r="CT156" s="37" t="n">
        <f aca="false">CT75+CT149-CT129-CT135</f>
        <v>1795.53457987709</v>
      </c>
      <c r="CU156" s="37" t="n">
        <f aca="false">CU75+CU149-CU129-CU135</f>
        <v>1795.53457987709</v>
      </c>
      <c r="CV156" s="37" t="n">
        <f aca="false">CV75+CV149-CV129-CV135</f>
        <v>1499.35068645484</v>
      </c>
      <c r="CW156" s="37" t="n">
        <f aca="false">CW75+CW149-CW129-CW135</f>
        <v>1886.81944188687</v>
      </c>
      <c r="CX156" s="37" t="n">
        <f aca="false">CX75+CX149-CX129-CX135</f>
        <v>1786.1169181233</v>
      </c>
      <c r="CY156" s="37" t="n">
        <f aca="false">CY75+CY149-CY129-CY135</f>
        <v>1886.81944188687</v>
      </c>
      <c r="CZ156" s="37" t="n">
        <f aca="false">CZ75+CZ149-CZ129-CZ135</f>
        <v>1786.1169181233</v>
      </c>
      <c r="DA156" s="37" t="n">
        <f aca="false">DA75+DA149-DA129-DA135</f>
        <v>1886.81944188687</v>
      </c>
      <c r="DB156" s="37" t="n">
        <f aca="false">DB75+DB149-DB129-DB135</f>
        <v>1886.81944188687</v>
      </c>
      <c r="DC156" s="37" t="n">
        <f aca="false">DC75+DC149-DC129-DC135</f>
        <v>1786.1169181233</v>
      </c>
      <c r="DD156" s="37" t="n">
        <f aca="false">DD75+DD149-DD129-DD135</f>
        <v>1886.81944188687</v>
      </c>
      <c r="DE156" s="37" t="n">
        <f aca="false">DE75+DE149-DE129-DE135</f>
        <v>1786.1169181233</v>
      </c>
      <c r="DF156" s="37" t="n">
        <f aca="false">DF75+DF149-DF129-DF135</f>
        <v>1886.81944188687</v>
      </c>
      <c r="DG156" s="37" t="n">
        <f aca="false">DG75+DG149-DG129-DG135</f>
        <v>1886.81944188687</v>
      </c>
      <c r="DH156" s="37" t="n">
        <f aca="false">DH75+DH149-DH129-DH135</f>
        <v>1584.71187059618</v>
      </c>
      <c r="DI156" s="37" t="n">
        <f aca="false">DI75+DI149-DI129-DI135</f>
        <v>1979.93000113684</v>
      </c>
      <c r="DJ156" s="37" t="n">
        <f aca="false">DJ75+DJ149-DJ129-DJ135</f>
        <v>1877.21342689801</v>
      </c>
      <c r="DK156" s="37" t="n">
        <f aca="false">DK75+DK149-DK129-DK135</f>
        <v>1979.93000113684</v>
      </c>
      <c r="DL156" s="37" t="n">
        <f aca="false">DL75+DL149-DL129-DL135</f>
        <v>1877.21342689801</v>
      </c>
      <c r="DM156" s="37" t="n">
        <f aca="false">DM75+DM149-DM129-DM135</f>
        <v>1979.93000113684</v>
      </c>
      <c r="DN156" s="37" t="n">
        <f aca="false">DN75+DN149-DN129-DN135</f>
        <v>1979.93000113684</v>
      </c>
      <c r="DO156" s="37" t="n">
        <f aca="false">DO75+DO149-DO129-DO135</f>
        <v>1877.21342689801</v>
      </c>
      <c r="DP156" s="37" t="n">
        <f aca="false">DP75+DP149-DP129-DP135</f>
        <v>1979.93000113684</v>
      </c>
      <c r="DQ156" s="37" t="n">
        <f aca="false">DQ75+DQ149-DQ129-DQ135</f>
        <v>1877.21342689801</v>
      </c>
      <c r="DR156" s="37" t="n">
        <f aca="false">DR75+DR149-DR129-DR135</f>
        <v>1979.93000113684</v>
      </c>
      <c r="DS156" s="37" t="n">
        <f aca="false">DS75+DS149-DS129-DS135</f>
        <v>1979.93000113684</v>
      </c>
      <c r="DT156" s="37" t="n">
        <f aca="false">DT75+DT149-DT129-DT135</f>
        <v>-6474.11707547186</v>
      </c>
      <c r="DU156" s="37" t="n">
        <f aca="false">DU75+DU149-DU129-DU135</f>
        <v>1775.64358868161</v>
      </c>
      <c r="DV156" s="37" t="n">
        <f aca="false">DV75+DV149-DV129-DV135</f>
        <v>1780.08269765332</v>
      </c>
      <c r="DW156" s="37" t="n">
        <f aca="false">DW75+DW149-DW129-DW135</f>
        <v>1784.53290439745</v>
      </c>
      <c r="DX156" s="37" t="n">
        <f aca="false">DX75+DX149-DX129-DX135</f>
        <v>0</v>
      </c>
      <c r="DY156" s="37" t="n">
        <f aca="false">DY75+DY149-DY129-DY135</f>
        <v>0</v>
      </c>
      <c r="DZ156" s="37" t="n">
        <f aca="false">DZ75+DZ149-DZ129-DZ135</f>
        <v>0</v>
      </c>
      <c r="EA156" s="37" t="n">
        <f aca="false">EA75+EA149-EA129-EA135</f>
        <v>0</v>
      </c>
      <c r="EB156" s="37" t="n">
        <f aca="false">EB75+EB149-EB129-EB135</f>
        <v>0</v>
      </c>
      <c r="EC156" s="37" t="n">
        <f aca="false">EC75+EC149-EC129-EC135</f>
        <v>0</v>
      </c>
      <c r="ED156" s="37" t="n">
        <f aca="false">ED75+ED149-ED129-ED135</f>
        <v>0</v>
      </c>
      <c r="EE156" s="37" t="n">
        <f aca="false">EE75+EE149-EE129-EE135</f>
        <v>0</v>
      </c>
      <c r="EF156" s="37" t="n">
        <f aca="false">EF75+EF149-EF129-EF135</f>
        <v>0</v>
      </c>
    </row>
    <row r="157" customFormat="false" ht="15" hidden="false" customHeight="false" outlineLevel="0" collapsed="false">
      <c r="A157" s="36" t="s">
        <v>687</v>
      </c>
      <c r="B157" s="278" t="s">
        <v>21</v>
      </c>
      <c r="E157" s="37" t="n">
        <f aca="false">0+E156-IF(E155=1,E158,0)</f>
        <v>0</v>
      </c>
      <c r="F157" s="37" t="n">
        <f aca="false">E157+F156-IF(F155=1,F158,0)</f>
        <v>24.8253982764838</v>
      </c>
      <c r="G157" s="37" t="n">
        <f aca="false">F157+G156-IF(G155=1,G158,0)</f>
        <v>49.486818381992</v>
      </c>
      <c r="H157" s="37" t="n">
        <f aca="false">G157+H156-IF(H155=1,H158,0)</f>
        <v>73.9838503710974</v>
      </c>
      <c r="I157" s="37" t="n">
        <f aca="false">H157+I156-IF(I155=1,I158,0)</f>
        <v>78.5500250128237</v>
      </c>
      <c r="J157" s="37" t="n">
        <f aca="false">I157+J156-IF(J155=1,J158,0)</f>
        <v>82.9015734244876</v>
      </c>
      <c r="K157" s="37" t="n">
        <f aca="false">J157+K156-IF(K155=1,K158,0)</f>
        <v>87.037959040514</v>
      </c>
      <c r="L157" s="37" t="n">
        <f aca="false">K157+L156-IF(L155=1,L158,0)</f>
        <v>90.9586439539138</v>
      </c>
      <c r="M157" s="37" t="n">
        <f aca="false">L157+M156-IF(M155=1,M158,0)</f>
        <v>94.6630889129305</v>
      </c>
      <c r="N157" s="37" t="n">
        <f aca="false">M157+N156-IF(N155=1,N158,0)</f>
        <v>98.150753317678</v>
      </c>
      <c r="O157" s="37" t="n">
        <f aca="false">N157+O156-IF(O155=1,O158,0)</f>
        <v>101.421095216771</v>
      </c>
      <c r="P157" s="37" t="n">
        <f aca="false">O157+P156-IF(P155=1,P158,0)</f>
        <v>104.473571303944</v>
      </c>
      <c r="Q157" s="37" t="n">
        <f aca="false">P157+Q156-IF(Q155=1,Q158,0)</f>
        <v>107.307636914669</v>
      </c>
      <c r="R157" s="37" t="n">
        <f aca="false">Q157+R156-IF(R155=1,R158,0)</f>
        <v>172.073146022755</v>
      </c>
      <c r="S157" s="37" t="n">
        <f aca="false">R157+S156-IF(S155=1,S158,0)</f>
        <v>236.774527236943</v>
      </c>
      <c r="T157" s="37" t="n">
        <f aca="false">S157+T156-IF(T155=1,T158,0)</f>
        <v>301.411620237501</v>
      </c>
      <c r="U157" s="37" t="n">
        <f aca="false">T157+U156-IF(U155=1,U158,0)</f>
        <v>365.984264303893</v>
      </c>
      <c r="V157" s="37" t="n">
        <f aca="false">U157+V156-IF(V155=1,V158,0)</f>
        <v>430.492298313785</v>
      </c>
      <c r="W157" s="37" t="n">
        <f aca="false">V157+W156-IF(W155=1,W158,0)</f>
        <v>494.935560742034</v>
      </c>
      <c r="X157" s="37" t="n">
        <f aca="false">W157+X156-IF(X155=1,X158,0)</f>
        <v>623.952051723347</v>
      </c>
      <c r="Y157" s="37" t="n">
        <f aca="false">X157+Y156-IF(Y155=1,Y158,0)</f>
        <v>743.046349329303</v>
      </c>
      <c r="Z157" s="37" t="n">
        <f aca="false">Y157+Z156-IF(Z155=1,Z158,0)</f>
        <v>847.091924269456</v>
      </c>
      <c r="AA157" s="37" t="n">
        <f aca="false">Z157+AA156-IF(AA155=1,AA158,0)</f>
        <v>931.021160922441</v>
      </c>
      <c r="AB157" s="37" t="n">
        <f aca="false">AA157+AB156-IF(AB155=1,AB158,0)</f>
        <v>989.853634385917</v>
      </c>
      <c r="AC157" s="37" t="n">
        <f aca="false">AB157+AC156-IF(AC155=1,AC158,0)</f>
        <v>1018.72389976286</v>
      </c>
      <c r="AD157" s="37" t="n">
        <f aca="false">AC157+AD156-IF(AD155=1,AD158,0)</f>
        <v>1137.20943827484</v>
      </c>
      <c r="AE157" s="37" t="n">
        <f aca="false">AD157+AE156-IF(AE155=1,AE158,0)</f>
        <v>1216.76536038984</v>
      </c>
      <c r="AF157" s="37" t="n">
        <f aca="false">AE157+AF156-IF(AF155=1,AF158,0)</f>
        <v>1253.03148747798</v>
      </c>
      <c r="AG157" s="37" t="n">
        <f aca="false">AF157+AG156-IF(AG155=1,AG158,0)</f>
        <v>1254.28148747798</v>
      </c>
      <c r="AH157" s="37" t="n">
        <f aca="false">AG157+AH156-IF(AH155=1,AH158,0)</f>
        <v>1255.53148747798</v>
      </c>
      <c r="AI157" s="37" t="n">
        <f aca="false">AH157+AI156-IF(AI155=1,AI158,0)</f>
        <v>1256.78148747798</v>
      </c>
      <c r="AJ157" s="37" t="n">
        <f aca="false">AI157+AJ156-IF(AJ155=1,AJ158,0)</f>
        <v>1258.03148747798</v>
      </c>
      <c r="AK157" s="37" t="n">
        <f aca="false">AJ157+AK156-IF(AK155=1,AK158,0)</f>
        <v>1259.28148747798</v>
      </c>
      <c r="AL157" s="37" t="n">
        <f aca="false">AK157+AL156-IF(AL155=1,AL158,0)</f>
        <v>1260.53148747798</v>
      </c>
      <c r="AM157" s="37" t="n">
        <f aca="false">AL157+AM156-IF(AM155=1,AM158,0)</f>
        <v>1261.78148747798</v>
      </c>
      <c r="AN157" s="37" t="n">
        <f aca="false">AM157+AN156-IF(AN155=1,AN158,0)</f>
        <v>1263.03148747798</v>
      </c>
      <c r="AO157" s="37" t="n">
        <f aca="false">AN157+AO156-IF(AO155=1,AO158,0)</f>
        <v>1264.28148747798</v>
      </c>
      <c r="AP157" s="37" t="n">
        <f aca="false">AO157+AP156-IF(AP155=1,AP158,0)</f>
        <v>1316.23145362467</v>
      </c>
      <c r="AQ157" s="37" t="n">
        <f aca="false">AP157+AQ156-IF(AQ155=1,AQ158,0)</f>
        <v>1317.48145362467</v>
      </c>
      <c r="AR157" s="37" t="n">
        <f aca="false">AQ157+AR156-IF(AR155=1,AR158,0)</f>
        <v>1318.73145362467</v>
      </c>
      <c r="AS157" s="37" t="n">
        <f aca="false">AR157+AS156-IF(AS155=1,AS158,0)</f>
        <v>1319.98145362467</v>
      </c>
      <c r="AT157" s="37" t="n">
        <f aca="false">AS157+AT156-IF(AT155=1,AT158,0)</f>
        <v>1321.23145362467</v>
      </c>
      <c r="AU157" s="37" t="n">
        <f aca="false">AT157+AU156-IF(AU155=1,AU158,0)</f>
        <v>1322.48145362467</v>
      </c>
      <c r="AV157" s="37" t="n">
        <f aca="false">AU157+AV156-IF(AV155=1,AV158,0)</f>
        <v>1323.73145362467</v>
      </c>
      <c r="AW157" s="37" t="n">
        <f aca="false">AV157+AW156-IF(AW155=1,AW158,0)</f>
        <v>1324.98145362467</v>
      </c>
      <c r="AX157" s="37" t="n">
        <f aca="false">AW157+AX156-IF(AX155=1,AX158,0)</f>
        <v>1326.23145362467</v>
      </c>
      <c r="AY157" s="37" t="n">
        <f aca="false">AX157+AY156-IF(AY155=1,AY158,0)</f>
        <v>1327.48145362467</v>
      </c>
      <c r="AZ157" s="37" t="n">
        <f aca="false">AY157+AZ156-IF(AZ155=1,AZ158,0)</f>
        <v>1328.73145362467</v>
      </c>
      <c r="BA157" s="37" t="n">
        <f aca="false">AZ157+BA156-IF(BA155=1,BA158,0)</f>
        <v>1329.98145362467</v>
      </c>
      <c r="BB157" s="37" t="n">
        <f aca="false">BA157+BB156-IF(BB155=1,BB158,0)</f>
        <v>1393.6486878587</v>
      </c>
      <c r="BC157" s="37" t="n">
        <f aca="false">BB157+BC156-IF(BC155=1,BC158,0)</f>
        <v>1399.09764827183</v>
      </c>
      <c r="BD157" s="37" t="n">
        <f aca="false">BC157+BD156-IF(BD155=1,BD158,0)</f>
        <v>1400.34764827183</v>
      </c>
      <c r="BE157" s="37" t="n">
        <f aca="false">BD157+BE156-IF(BE155=1,BE158,0)</f>
        <v>1401.59764827183</v>
      </c>
      <c r="BF157" s="37" t="n">
        <f aca="false">BE157+BF156-IF(BF155=1,BF158,0)</f>
        <v>1402.84764827183</v>
      </c>
      <c r="BG157" s="37" t="n">
        <f aca="false">BF157+BG156-IF(BG155=1,BG158,0)</f>
        <v>1404.09764827183</v>
      </c>
      <c r="BH157" s="37" t="n">
        <f aca="false">BG157+BH156-IF(BH155=1,BH158,0)</f>
        <v>1405.34764827183</v>
      </c>
      <c r="BI157" s="37" t="n">
        <f aca="false">BH157+BI156-IF(BI155=1,BI158,0)</f>
        <v>1406.59764827183</v>
      </c>
      <c r="BJ157" s="37" t="n">
        <f aca="false">BI157+BJ156-IF(BJ155=1,BJ158,0)</f>
        <v>1407.84764827183</v>
      </c>
      <c r="BK157" s="37" t="n">
        <f aca="false">BJ157+BK156-IF(BK155=1,BK158,0)</f>
        <v>1409.09764827183</v>
      </c>
      <c r="BL157" s="37" t="n">
        <f aca="false">BK157+BL156-IF(BL155=1,BL158,0)</f>
        <v>1410.34764827183</v>
      </c>
      <c r="BM157" s="37" t="n">
        <f aca="false">BL157+BM156-IF(BM155=1,BM158,0)</f>
        <v>0</v>
      </c>
      <c r="BN157" s="37" t="n">
        <f aca="false">BM157+BN156-IF(BN155=1,BN158,0)</f>
        <v>0</v>
      </c>
      <c r="BO157" s="37" t="n">
        <f aca="false">BN157+BO156-IF(BO155=1,BO158,0)</f>
        <v>0</v>
      </c>
      <c r="BP157" s="37" t="n">
        <f aca="false">BO157+BP156-IF(BP155=1,BP158,0)</f>
        <v>0</v>
      </c>
      <c r="BQ157" s="37" t="n">
        <f aca="false">BP157+BQ156-IF(BQ155=1,BQ158,0)</f>
        <v>0</v>
      </c>
      <c r="BR157" s="37" t="n">
        <f aca="false">BQ157+BR156-IF(BR155=1,BR158,0)</f>
        <v>0</v>
      </c>
      <c r="BS157" s="37" t="n">
        <f aca="false">BR157+BS156-IF(BS155=1,BS158,0)</f>
        <v>0</v>
      </c>
      <c r="BT157" s="37" t="n">
        <f aca="false">BS157+BT156-IF(BT155=1,BT158,0)</f>
        <v>0</v>
      </c>
      <c r="BU157" s="37" t="n">
        <f aca="false">BT157+BU156-IF(BU155=1,BU158,0)</f>
        <v>0</v>
      </c>
      <c r="BV157" s="37" t="n">
        <f aca="false">BU157+BV156-IF(BV155=1,BV158,0)</f>
        <v>0</v>
      </c>
      <c r="BW157" s="37" t="n">
        <f aca="false">BV157+BW156-IF(BW155=1,BW158,0)</f>
        <v>0</v>
      </c>
      <c r="BX157" s="37" t="n">
        <f aca="false">BW157+BX156-IF(BX155=1,BX158,0)</f>
        <v>0</v>
      </c>
      <c r="BY157" s="37" t="n">
        <f aca="false">BX157+BY156-IF(BY155=1,BY158,0)</f>
        <v>0</v>
      </c>
      <c r="BZ157" s="37" t="n">
        <f aca="false">BY157+BZ156-IF(BZ155=1,BZ158,0)</f>
        <v>0</v>
      </c>
      <c r="CA157" s="37" t="n">
        <f aca="false">BZ157+CA156-IF(CA155=1,CA158,0)</f>
        <v>0</v>
      </c>
      <c r="CB157" s="37" t="n">
        <f aca="false">CA157+CB156-IF(CB155=1,CB158,0)</f>
        <v>0</v>
      </c>
      <c r="CC157" s="37" t="n">
        <f aca="false">CB157+CC156-IF(CC155=1,CC158,0)</f>
        <v>0</v>
      </c>
      <c r="CD157" s="37" t="n">
        <f aca="false">CC157+CD156-IF(CD155=1,CD158,0)</f>
        <v>0</v>
      </c>
      <c r="CE157" s="37" t="n">
        <f aca="false">CD157+CE156-IF(CE155=1,CE158,0)</f>
        <v>0</v>
      </c>
      <c r="CF157" s="37" t="n">
        <f aca="false">CE157+CF156-IF(CF155=1,CF158,0)</f>
        <v>0</v>
      </c>
      <c r="CG157" s="37" t="n">
        <f aca="false">CF157+CG156-IF(CG155=1,CG158,0)</f>
        <v>0</v>
      </c>
      <c r="CH157" s="37" t="n">
        <f aca="false">CG157+CH156-IF(CH155=1,CH158,0)</f>
        <v>0</v>
      </c>
      <c r="CI157" s="37" t="n">
        <f aca="false">CH157+CI156-IF(CI155=1,CI158,0)</f>
        <v>0</v>
      </c>
      <c r="CJ157" s="37" t="n">
        <f aca="false">CI157+CJ156-IF(CJ155=1,CJ158,0)</f>
        <v>0</v>
      </c>
      <c r="CK157" s="37" t="n">
        <f aca="false">CJ157+CK156-IF(CK155=1,CK158,0)</f>
        <v>0</v>
      </c>
      <c r="CL157" s="37" t="n">
        <f aca="false">CK157+CL156-IF(CL155=1,CL158,0)</f>
        <v>0</v>
      </c>
      <c r="CM157" s="37" t="n">
        <f aca="false">CL157+CM156-IF(CM155=1,CM158,0)</f>
        <v>0</v>
      </c>
      <c r="CN157" s="37" t="n">
        <f aca="false">CM157+CN156-IF(CN155=1,CN158,0)</f>
        <v>0</v>
      </c>
      <c r="CO157" s="37" t="n">
        <f aca="false">CN157+CO156-IF(CO155=1,CO158,0)</f>
        <v>0</v>
      </c>
      <c r="CP157" s="37" t="n">
        <f aca="false">CO157+CP156-IF(CP155=1,CP158,0)</f>
        <v>0</v>
      </c>
      <c r="CQ157" s="37" t="n">
        <f aca="false">CP157+CQ156-IF(CQ155=1,CQ158,0)</f>
        <v>0</v>
      </c>
      <c r="CR157" s="37" t="n">
        <f aca="false">CQ157+CR156-IF(CR155=1,CR158,0)</f>
        <v>0</v>
      </c>
      <c r="CS157" s="37" t="n">
        <f aca="false">CR157+CS156-IF(CS155=1,CS158,0)</f>
        <v>0</v>
      </c>
      <c r="CT157" s="37" t="n">
        <f aca="false">CS157+CT156-IF(CT155=1,CT158,0)</f>
        <v>0</v>
      </c>
      <c r="CU157" s="37" t="n">
        <f aca="false">CT157+CU156-IF(CU155=1,CU158,0)</f>
        <v>0</v>
      </c>
      <c r="CV157" s="37" t="n">
        <f aca="false">CU157+CV156-IF(CV155=1,CV158,0)</f>
        <v>0</v>
      </c>
      <c r="CW157" s="37" t="n">
        <f aca="false">CV157+CW156-IF(CW155=1,CW158,0)</f>
        <v>0</v>
      </c>
      <c r="CX157" s="37" t="n">
        <f aca="false">CW157+CX156-IF(CX155=1,CX158,0)</f>
        <v>0</v>
      </c>
      <c r="CY157" s="37" t="n">
        <f aca="false">CX157+CY156-IF(CY155=1,CY158,0)</f>
        <v>0</v>
      </c>
      <c r="CZ157" s="37" t="n">
        <f aca="false">CY157+CZ156-IF(CZ155=1,CZ158,0)</f>
        <v>0</v>
      </c>
      <c r="DA157" s="37" t="n">
        <f aca="false">CZ157+DA156-IF(DA155=1,DA158,0)</f>
        <v>0</v>
      </c>
      <c r="DB157" s="37" t="n">
        <f aca="false">DA157+DB156-IF(DB155=1,DB158,0)</f>
        <v>0</v>
      </c>
      <c r="DC157" s="37" t="n">
        <f aca="false">DB157+DC156-IF(DC155=1,DC158,0)</f>
        <v>0</v>
      </c>
      <c r="DD157" s="37" t="n">
        <f aca="false">DC157+DD156-IF(DD155=1,DD158,0)</f>
        <v>0</v>
      </c>
      <c r="DE157" s="37" t="n">
        <f aca="false">DD157+DE156-IF(DE155=1,DE158,0)</f>
        <v>0</v>
      </c>
      <c r="DF157" s="37" t="n">
        <f aca="false">DE157+DF156-IF(DF155=1,DF158,0)</f>
        <v>0</v>
      </c>
      <c r="DG157" s="37" t="n">
        <f aca="false">DF157+DG156-IF(DG155=1,DG158,0)</f>
        <v>0</v>
      </c>
      <c r="DH157" s="37" t="n">
        <f aca="false">DG157+DH156-IF(DH155=1,DH158,0)</f>
        <v>0</v>
      </c>
      <c r="DI157" s="37" t="n">
        <f aca="false">DH157+DI156-IF(DI155=1,DI158,0)</f>
        <v>0</v>
      </c>
      <c r="DJ157" s="37" t="n">
        <f aca="false">DI157+DJ156-IF(DJ155=1,DJ158,0)</f>
        <v>0</v>
      </c>
      <c r="DK157" s="37" t="n">
        <f aca="false">DJ157+DK156-IF(DK155=1,DK158,0)</f>
        <v>0</v>
      </c>
      <c r="DL157" s="37" t="n">
        <f aca="false">DK157+DL156-IF(DL155=1,DL158,0)</f>
        <v>0</v>
      </c>
      <c r="DM157" s="37" t="n">
        <f aca="false">DL157+DM156-IF(DM155=1,DM158,0)</f>
        <v>0</v>
      </c>
      <c r="DN157" s="37" t="n">
        <f aca="false">DM157+DN156-IF(DN155=1,DN158,0)</f>
        <v>0</v>
      </c>
      <c r="DO157" s="37" t="n">
        <f aca="false">DN157+DO156-IF(DO155=1,DO158,0)</f>
        <v>0</v>
      </c>
      <c r="DP157" s="37" t="n">
        <f aca="false">DO157+DP156-IF(DP155=1,DP158,0)</f>
        <v>0</v>
      </c>
      <c r="DQ157" s="37" t="n">
        <f aca="false">DP157+DQ156-IF(DQ155=1,DQ158,0)</f>
        <v>0</v>
      </c>
      <c r="DR157" s="37" t="n">
        <f aca="false">DQ157+DR156-IF(DR155=1,DR158,0)</f>
        <v>0</v>
      </c>
      <c r="DS157" s="37" t="n">
        <f aca="false">DR157+DS156-IF(DS155=1,DS158,0)</f>
        <v>0</v>
      </c>
      <c r="DT157" s="37" t="n">
        <f aca="false">DS157+DT156-IF(DT155=1,DT158,0)</f>
        <v>-6474.11707547186</v>
      </c>
      <c r="DU157" s="37" t="n">
        <f aca="false">DT157+DU156-IF(DU155=1,DU158,0)</f>
        <v>-4698.47348679024</v>
      </c>
      <c r="DV157" s="37" t="n">
        <f aca="false">DU157+DV156-IF(DV155=1,DV158,0)</f>
        <v>-2918.39078913693</v>
      </c>
      <c r="DW157" s="37" t="n">
        <f aca="false">DV157+DW156-IF(DW155=1,DW158,0)</f>
        <v>-1133.85788473948</v>
      </c>
      <c r="DX157" s="37" t="n">
        <f aca="false">DW157+DX156-IF(DX155=1,DX158,0)</f>
        <v>-1133.85788473948</v>
      </c>
      <c r="DY157" s="37" t="n">
        <f aca="false">DX157+DY156-IF(DY155=1,DY158,0)</f>
        <v>-1133.85788473948</v>
      </c>
      <c r="DZ157" s="37" t="n">
        <f aca="false">DY157+DZ156-IF(DZ155=1,DZ158,0)</f>
        <v>-1133.85788473948</v>
      </c>
      <c r="EA157" s="37" t="n">
        <f aca="false">DZ157+EA156-IF(EA155=1,EA158,0)</f>
        <v>-1133.85788473948</v>
      </c>
      <c r="EB157" s="37" t="n">
        <f aca="false">EA157+EB156-IF(EB155=1,EB158,0)</f>
        <v>-1133.85788473948</v>
      </c>
      <c r="EC157" s="37" t="n">
        <f aca="false">EB157+EC156-IF(EC155=1,EC158,0)</f>
        <v>-1133.85788473948</v>
      </c>
      <c r="ED157" s="37" t="n">
        <f aca="false">EC157+ED156-IF(ED155=1,ED158,0)</f>
        <v>-1133.85788473948</v>
      </c>
      <c r="EE157" s="37" t="n">
        <f aca="false">ED157+EE156-IF(EE155=1,EE158,0)</f>
        <v>-1133.85788473948</v>
      </c>
      <c r="EF157" s="37" t="n">
        <f aca="false">EE157+EF156-IF(EF155=1,EF158,0)</f>
        <v>-1133.85788473948</v>
      </c>
    </row>
    <row r="158" customFormat="false" ht="15" hidden="false" customHeight="false" outlineLevel="0" collapsed="false">
      <c r="A158" s="280" t="s">
        <v>688</v>
      </c>
      <c r="B158" s="281" t="s">
        <v>21</v>
      </c>
      <c r="C158" s="282" t="n">
        <f aca="false">SUM(E158:EF158)</f>
        <v>849772.768123416</v>
      </c>
      <c r="D158" s="48"/>
      <c r="E158" s="283" t="n">
        <f aca="false">IF(E155=2,MAX(0,E154),IF(E155=1,MAX(0,MIN(E154-③기타_가정!$D$551,0+E156)),0))</f>
        <v>0</v>
      </c>
      <c r="F158" s="283" t="n">
        <f aca="false">IF(F155=2,MAX(0,F154),IF(F155=1,MAX(0,MIN(F154-③기타_가정!$D$551,E157+F156)),0))</f>
        <v>0</v>
      </c>
      <c r="G158" s="283" t="n">
        <f aca="false">IF(G155=2,MAX(0,G154),IF(G155=1,MAX(0,MIN(G154-③기타_가정!$D$551,F157+G156)),0))</f>
        <v>0</v>
      </c>
      <c r="H158" s="283" t="n">
        <f aca="false">IF(H155=2,MAX(0,H154),IF(H155=1,MAX(0,MIN(H154-③기타_가정!$D$551,G157+H156)),0))</f>
        <v>0</v>
      </c>
      <c r="I158" s="283" t="n">
        <f aca="false">IF(I155=2,MAX(0,I154),IF(I155=1,MAX(0,MIN(I154-③기타_가정!$D$551,H157+I156)),0))</f>
        <v>0</v>
      </c>
      <c r="J158" s="283" t="n">
        <f aca="false">IF(J155=2,MAX(0,J154),IF(J155=1,MAX(0,MIN(J154-③기타_가정!$D$551,I157+J156)),0))</f>
        <v>0</v>
      </c>
      <c r="K158" s="283" t="n">
        <f aca="false">IF(K155=2,MAX(0,K154),IF(K155=1,MAX(0,MIN(K154-③기타_가정!$D$551,J157+K156)),0))</f>
        <v>0</v>
      </c>
      <c r="L158" s="283" t="n">
        <f aca="false">IF(L155=2,MAX(0,L154),IF(L155=1,MAX(0,MIN(L154-③기타_가정!$D$551,K157+L156)),0))</f>
        <v>0</v>
      </c>
      <c r="M158" s="283" t="n">
        <f aca="false">IF(M155=2,MAX(0,M154),IF(M155=1,MAX(0,MIN(M154-③기타_가정!$D$551,L157+M156)),0))</f>
        <v>0</v>
      </c>
      <c r="N158" s="283" t="n">
        <f aca="false">IF(N155=2,MAX(0,N154),IF(N155=1,MAX(0,MIN(N154-③기타_가정!$D$551,M157+N156)),0))</f>
        <v>0</v>
      </c>
      <c r="O158" s="283" t="n">
        <f aca="false">IF(O155=2,MAX(0,O154),IF(O155=1,MAX(0,MIN(O154-③기타_가정!$D$551,N157+O156)),0))</f>
        <v>0</v>
      </c>
      <c r="P158" s="283" t="n">
        <f aca="false">IF(P155=2,MAX(0,P154),IF(P155=1,MAX(0,MIN(P154-③기타_가정!$D$551,O157+P156)),0))</f>
        <v>0</v>
      </c>
      <c r="Q158" s="283" t="n">
        <f aca="false">IF(Q155=2,MAX(0,Q154),IF(Q155=1,MAX(0,MIN(Q154-③기타_가정!$D$551,P157+Q156)),0))</f>
        <v>0</v>
      </c>
      <c r="R158" s="283" t="n">
        <f aca="false">IF(R155=2,MAX(0,R154),IF(R155=1,MAX(0,MIN(R154-③기타_가정!$D$551,Q157+R156)),0))</f>
        <v>0</v>
      </c>
      <c r="S158" s="283" t="n">
        <f aca="false">IF(S155=2,MAX(0,S154),IF(S155=1,MAX(0,MIN(S154-③기타_가정!$D$551,R157+S156)),0))</f>
        <v>0</v>
      </c>
      <c r="T158" s="283" t="n">
        <f aca="false">IF(T155=2,MAX(0,T154),IF(T155=1,MAX(0,MIN(T154-③기타_가정!$D$551,S157+T156)),0))</f>
        <v>0</v>
      </c>
      <c r="U158" s="283" t="n">
        <f aca="false">IF(U155=2,MAX(0,U154),IF(U155=1,MAX(0,MIN(U154-③기타_가정!$D$551,T157+U156)),0))</f>
        <v>0</v>
      </c>
      <c r="V158" s="283" t="n">
        <f aca="false">IF(V155=2,MAX(0,V154),IF(V155=1,MAX(0,MIN(V154-③기타_가정!$D$551,U157+V156)),0))</f>
        <v>0</v>
      </c>
      <c r="W158" s="283" t="n">
        <f aca="false">IF(W155=2,MAX(0,W154),IF(W155=1,MAX(0,MIN(W154-③기타_가정!$D$551,V157+W156)),0))</f>
        <v>0</v>
      </c>
      <c r="X158" s="283" t="n">
        <f aca="false">IF(X155=2,MAX(0,X154),IF(X155=1,MAX(0,MIN(X154-③기타_가정!$D$551,W157+X156)),0))</f>
        <v>0</v>
      </c>
      <c r="Y158" s="283" t="n">
        <f aca="false">IF(Y155=2,MAX(0,Y154),IF(Y155=1,MAX(0,MIN(Y154-③기타_가정!$D$551,X157+Y156)),0))</f>
        <v>0</v>
      </c>
      <c r="Z158" s="283" t="n">
        <f aca="false">IF(Z155=2,MAX(0,Z154),IF(Z155=1,MAX(0,MIN(Z154-③기타_가정!$D$551,Y157+Z156)),0))</f>
        <v>0</v>
      </c>
      <c r="AA158" s="283" t="n">
        <f aca="false">IF(AA155=2,MAX(0,AA154),IF(AA155=1,MAX(0,MIN(AA154-③기타_가정!$D$551,Z157+AA156)),0))</f>
        <v>0</v>
      </c>
      <c r="AB158" s="283" t="n">
        <f aca="false">IF(AB155=2,MAX(0,AB154),IF(AB155=1,MAX(0,MIN(AB154-③기타_가정!$D$551,AA157+AB156)),0))</f>
        <v>0</v>
      </c>
      <c r="AC158" s="283" t="n">
        <f aca="false">IF(AC155=2,MAX(0,AC154),IF(AC155=1,MAX(0,MIN(AC154-③기타_가정!$D$551,AB157+AC156)),0))</f>
        <v>0</v>
      </c>
      <c r="AD158" s="283" t="n">
        <f aca="false">IF(AD155=2,MAX(0,AD154),IF(AD155=1,MAX(0,MIN(AD154-③기타_가정!$D$551,AC157+AD156)),0))</f>
        <v>0</v>
      </c>
      <c r="AE158" s="283" t="n">
        <f aca="false">IF(AE155=2,MAX(0,AE154),IF(AE155=1,MAX(0,MIN(AE154-③기타_가정!$D$551,AD157+AE156)),0))</f>
        <v>0</v>
      </c>
      <c r="AF158" s="283" t="n">
        <f aca="false">IF(AF155=2,MAX(0,AF154),IF(AF155=1,MAX(0,MIN(AF154-③기타_가정!$D$551,AE157+AF156)),0))</f>
        <v>0</v>
      </c>
      <c r="AG158" s="283" t="n">
        <f aca="false">IF(AG155=2,MAX(0,AG154),IF(AG155=1,MAX(0,MIN(AG154-③기타_가정!$D$551,AF157+AG156)),0))</f>
        <v>0</v>
      </c>
      <c r="AH158" s="283" t="n">
        <f aca="false">IF(AH155=2,MAX(0,AH154),IF(AH155=1,MAX(0,MIN(AH154-③기타_가정!$D$551,AG157+AH156)),0))</f>
        <v>0</v>
      </c>
      <c r="AI158" s="283" t="n">
        <f aca="false">IF(AI155=2,MAX(0,AI154),IF(AI155=1,MAX(0,MIN(AI154-③기타_가정!$D$551,AH157+AI156)),0))</f>
        <v>0</v>
      </c>
      <c r="AJ158" s="283" t="n">
        <f aca="false">IF(AJ155=2,MAX(0,AJ154),IF(AJ155=1,MAX(0,MIN(AJ154-③기타_가정!$D$551,AI157+AJ156)),0))</f>
        <v>0</v>
      </c>
      <c r="AK158" s="283" t="n">
        <f aca="false">IF(AK155=2,MAX(0,AK154),IF(AK155=1,MAX(0,MIN(AK154-③기타_가정!$D$551,AJ157+AK156)),0))</f>
        <v>0</v>
      </c>
      <c r="AL158" s="283" t="n">
        <f aca="false">IF(AL155=2,MAX(0,AL154),IF(AL155=1,MAX(0,MIN(AL154-③기타_가정!$D$551,AK157+AL156)),0))</f>
        <v>0</v>
      </c>
      <c r="AM158" s="283" t="n">
        <f aca="false">IF(AM155=2,MAX(0,AM154),IF(AM155=1,MAX(0,MIN(AM154-③기타_가정!$D$551,AL157+AM156)),0))</f>
        <v>0</v>
      </c>
      <c r="AN158" s="283" t="n">
        <f aca="false">IF(AN155=2,MAX(0,AN154),IF(AN155=1,MAX(0,MIN(AN154-③기타_가정!$D$551,AM157+AN156)),0))</f>
        <v>0</v>
      </c>
      <c r="AO158" s="283" t="n">
        <f aca="false">IF(AO155=2,MAX(0,AO154),IF(AO155=1,MAX(0,MIN(AO154-③기타_가정!$D$551,AN157+AO156)),0))</f>
        <v>0</v>
      </c>
      <c r="AP158" s="283" t="n">
        <f aca="false">IF(AP155=2,MAX(0,AP154),IF(AP155=1,MAX(0,MIN(AP154-③기타_가정!$D$551,AO157+AP156)),0))</f>
        <v>0</v>
      </c>
      <c r="AQ158" s="283" t="n">
        <f aca="false">IF(AQ155=2,MAX(0,AQ154),IF(AQ155=1,MAX(0,MIN(AQ154-③기타_가정!$D$551,AP157+AQ156)),0))</f>
        <v>0</v>
      </c>
      <c r="AR158" s="283" t="n">
        <f aca="false">IF(AR155=2,MAX(0,AR154),IF(AR155=1,MAX(0,MIN(AR154-③기타_가정!$D$551,AQ157+AR156)),0))</f>
        <v>0</v>
      </c>
      <c r="AS158" s="283" t="n">
        <f aca="false">IF(AS155=2,MAX(0,AS154),IF(AS155=1,MAX(0,MIN(AS154-③기타_가정!$D$551,AR157+AS156)),0))</f>
        <v>0</v>
      </c>
      <c r="AT158" s="283" t="n">
        <f aca="false">IF(AT155=2,MAX(0,AT154),IF(AT155=1,MAX(0,MIN(AT154-③기타_가정!$D$551,AS157+AT156)),0))</f>
        <v>0</v>
      </c>
      <c r="AU158" s="283" t="n">
        <f aca="false">IF(AU155=2,MAX(0,AU154),IF(AU155=1,MAX(0,MIN(AU154-③기타_가정!$D$551,AT157+AU156)),0))</f>
        <v>0</v>
      </c>
      <c r="AV158" s="283" t="n">
        <f aca="false">IF(AV155=2,MAX(0,AV154),IF(AV155=1,MAX(0,MIN(AV154-③기타_가정!$D$551,AU157+AV156)),0))</f>
        <v>0</v>
      </c>
      <c r="AW158" s="283" t="n">
        <f aca="false">IF(AW155=2,MAX(0,AW154),IF(AW155=1,MAX(0,MIN(AW154-③기타_가정!$D$551,AV157+AW156)),0))</f>
        <v>0</v>
      </c>
      <c r="AX158" s="283" t="n">
        <f aca="false">IF(AX155=2,MAX(0,AX154),IF(AX155=1,MAX(0,MIN(AX154-③기타_가정!$D$551,AW157+AX156)),0))</f>
        <v>0</v>
      </c>
      <c r="AY158" s="283" t="n">
        <f aca="false">IF(AY155=2,MAX(0,AY154),IF(AY155=1,MAX(0,MIN(AY154-③기타_가정!$D$551,AX157+AY156)),0))</f>
        <v>0</v>
      </c>
      <c r="AZ158" s="283" t="n">
        <f aca="false">IF(AZ155=2,MAX(0,AZ154),IF(AZ155=1,MAX(0,MIN(AZ154-③기타_가정!$D$551,AY157+AZ156)),0))</f>
        <v>0</v>
      </c>
      <c r="BA158" s="283" t="n">
        <f aca="false">IF(BA155=2,MAX(0,BA154),IF(BA155=1,MAX(0,MIN(BA154-③기타_가정!$D$551,AZ157+BA156)),0))</f>
        <v>0</v>
      </c>
      <c r="BB158" s="283" t="n">
        <f aca="false">IF(BB155=2,MAX(0,BB154),IF(BB155=1,MAX(0,MIN(BB154-③기타_가정!$D$551,BA157+BB156)),0))</f>
        <v>0</v>
      </c>
      <c r="BC158" s="283" t="n">
        <f aca="false">IF(BC155=2,MAX(0,BC154),IF(BC155=1,MAX(0,MIN(BC154-③기타_가정!$D$551,BB157+BC156)),0))</f>
        <v>0</v>
      </c>
      <c r="BD158" s="283" t="n">
        <f aca="false">IF(BD155=2,MAX(0,BD154),IF(BD155=1,MAX(0,MIN(BD154-③기타_가정!$D$551,BC157+BD156)),0))</f>
        <v>0</v>
      </c>
      <c r="BE158" s="283" t="n">
        <f aca="false">IF(BE155=2,MAX(0,BE154),IF(BE155=1,MAX(0,MIN(BE154-③기타_가정!$D$551,BD157+BE156)),0))</f>
        <v>0</v>
      </c>
      <c r="BF158" s="283" t="n">
        <f aca="false">IF(BF155=2,MAX(0,BF154),IF(BF155=1,MAX(0,MIN(BF154-③기타_가정!$D$551,BE157+BF156)),0))</f>
        <v>0</v>
      </c>
      <c r="BG158" s="283" t="n">
        <f aca="false">IF(BG155=2,MAX(0,BG154),IF(BG155=1,MAX(0,MIN(BG154-③기타_가정!$D$551,BF157+BG156)),0))</f>
        <v>0</v>
      </c>
      <c r="BH158" s="283" t="n">
        <f aca="false">IF(BH155=2,MAX(0,BH154),IF(BH155=1,MAX(0,MIN(BH154-③기타_가정!$D$551,BG157+BH156)),0))</f>
        <v>0</v>
      </c>
      <c r="BI158" s="283" t="n">
        <f aca="false">IF(BI155=2,MAX(0,BI154),IF(BI155=1,MAX(0,MIN(BI154-③기타_가정!$D$551,BH157+BI156)),0))</f>
        <v>0</v>
      </c>
      <c r="BJ158" s="283" t="n">
        <f aca="false">IF(BJ155=2,MAX(0,BJ154),IF(BJ155=1,MAX(0,MIN(BJ154-③기타_가정!$D$551,BI157+BJ156)),0))</f>
        <v>0</v>
      </c>
      <c r="BK158" s="283" t="n">
        <f aca="false">IF(BK155=2,MAX(0,BK154),IF(BK155=1,MAX(0,MIN(BK154-③기타_가정!$D$551,BJ157+BK156)),0))</f>
        <v>0</v>
      </c>
      <c r="BL158" s="283" t="n">
        <f aca="false">IF(BL155=2,MAX(0,BL154),IF(BL155=1,MAX(0,MIN(BL154-③기타_가정!$D$551,BK157+BL156)),0))</f>
        <v>0</v>
      </c>
      <c r="BM158" s="283" t="n">
        <f aca="false">IF(BM155=2,MAX(0,BM154),IF(BM155=1,MAX(0,MIN(BM154-③기타_가정!$D$551,BL157+BM156)),0))</f>
        <v>1815.80087459565</v>
      </c>
      <c r="BN158" s="283" t="n">
        <f aca="false">IF(BN155=2,MAX(0,BN154),IF(BN155=1,MAX(0,MIN(BN154-③기타_가정!$D$551,BM157+BN156)),0))</f>
        <v>518.595507294685</v>
      </c>
      <c r="BO158" s="283" t="n">
        <f aca="false">IF(BO155=2,MAX(0,BO154),IF(BO155=1,MAX(0,MIN(BO154-③기타_가정!$D$551,BN157+BO156)),0))</f>
        <v>600.837179610655</v>
      </c>
      <c r="BP158" s="283" t="n">
        <f aca="false">IF(BP155=2,MAX(0,BP154),IF(BP155=1,MAX(0,MIN(BP154-③기타_가정!$D$551,BO157+BP156)),0))</f>
        <v>518.595507294684</v>
      </c>
      <c r="BQ158" s="283" t="n">
        <f aca="false">IF(BQ155=2,MAX(0,BQ154),IF(BQ155=1,MAX(0,MIN(BQ154-③기타_가정!$D$551,BP157+BQ156)),0))</f>
        <v>600.837179610655</v>
      </c>
      <c r="BR158" s="283" t="n">
        <f aca="false">IF(BR155=2,MAX(0,BR154),IF(BR155=1,MAX(0,MIN(BR154-③기타_가정!$D$551,BQ157+BR156)),0))</f>
        <v>600.837179610655</v>
      </c>
      <c r="BS158" s="283" t="n">
        <f aca="false">IF(BS155=2,MAX(0,BS154),IF(BS155=1,MAX(0,MIN(BS154-③기타_가정!$D$551,BR157+BS156)),0))</f>
        <v>518.595507294684</v>
      </c>
      <c r="BT158" s="283" t="n">
        <f aca="false">IF(BT155=2,MAX(0,BT154),IF(BT155=1,MAX(0,MIN(BT154-③기타_가정!$D$551,BS157+BT156)),0))</f>
        <v>600.837179610655</v>
      </c>
      <c r="BU158" s="283" t="n">
        <f aca="false">IF(BU155=2,MAX(0,BU154),IF(BU155=1,MAX(0,MIN(BU154-③기타_가정!$D$551,BT157+BU156)),0))</f>
        <v>518.595507294684</v>
      </c>
      <c r="BV158" s="283" t="n">
        <f aca="false">IF(BV155=2,MAX(0,BV154),IF(BV155=1,MAX(0,MIN(BV154-③기타_가정!$D$551,BU157+BV156)),0))</f>
        <v>600.837179610655</v>
      </c>
      <c r="BW158" s="283" t="n">
        <f aca="false">IF(BW155=2,MAX(0,BW154),IF(BW155=1,MAX(0,MIN(BW154-③기타_가정!$D$551,BV157+BW156)),0))</f>
        <v>600.837179610655</v>
      </c>
      <c r="BX158" s="283" t="n">
        <f aca="false">IF(BX155=2,MAX(0,BX154),IF(BX155=1,MAX(0,MIN(BX154-③기타_가정!$D$551,BW157+BX156)),0))</f>
        <v>436.353834978712</v>
      </c>
      <c r="BY158" s="283" t="n">
        <f aca="false">IF(BY155=2,MAX(0,BY154),IF(BY155=1,MAX(0,MIN(BY154-③기타_가정!$D$551,BX157+BY156)),0))</f>
        <v>1510.4908171224</v>
      </c>
      <c r="BZ158" s="283" t="n">
        <f aca="false">IF(BZ155=2,MAX(0,BZ154),IF(BZ155=1,MAX(0,MIN(BZ154-③기타_가정!$D$551,BY157+BZ156)),0))</f>
        <v>1580.09749508899</v>
      </c>
      <c r="CA158" s="283" t="n">
        <f aca="false">IF(CA155=2,MAX(0,CA154),IF(CA155=1,MAX(0,MIN(CA154-③기타_가정!$D$551,BZ157+CA156)),0))</f>
        <v>1676.8896171224</v>
      </c>
      <c r="CB158" s="283" t="n">
        <f aca="false">IF(CB155=2,MAX(0,CB154),IF(CB155=1,MAX(0,MIN(CB154-③기타_가정!$D$551,CA157+CB156)),0))</f>
        <v>1580.09749508899</v>
      </c>
      <c r="CC158" s="283" t="n">
        <f aca="false">IF(CC155=2,MAX(0,CC154),IF(CC155=1,MAX(0,MIN(CC154-③기타_가정!$D$551,CB157+CC156)),0))</f>
        <v>1676.8896171224</v>
      </c>
      <c r="CD158" s="283" t="n">
        <f aca="false">IF(CD155=2,MAX(0,CD154),IF(CD155=1,MAX(0,MIN(CD154-③기타_가정!$D$551,CC157+CD156)),0))</f>
        <v>1676.8896171224</v>
      </c>
      <c r="CE158" s="283" t="n">
        <f aca="false">IF(CE155=2,MAX(0,CE154),IF(CE155=1,MAX(0,MIN(CE154-③기타_가정!$D$551,CD157+CE156)),0))</f>
        <v>1580.09749508899</v>
      </c>
      <c r="CF158" s="283" t="n">
        <f aca="false">IF(CF155=2,MAX(0,CF154),IF(CF155=1,MAX(0,MIN(CF154-③기타_가정!$D$551,CE157+CF156)),0))</f>
        <v>1676.8896171224</v>
      </c>
      <c r="CG158" s="283" t="n">
        <f aca="false">IF(CG155=2,MAX(0,CG154),IF(CG155=1,MAX(0,MIN(CG154-③기타_가정!$D$551,CF157+CG156)),0))</f>
        <v>1580.09749508899</v>
      </c>
      <c r="CH158" s="283" t="n">
        <f aca="false">IF(CH155=2,MAX(0,CH154),IF(CH155=1,MAX(0,MIN(CH154-③기타_가정!$D$551,CG157+CH156)),0))</f>
        <v>1676.8896171224</v>
      </c>
      <c r="CI158" s="283" t="n">
        <f aca="false">IF(CI155=2,MAX(0,CI154),IF(CI155=1,MAX(0,MIN(CI154-③기타_가정!$D$551,CH157+CI156)),0))</f>
        <v>1676.8896171224</v>
      </c>
      <c r="CJ158" s="283" t="n">
        <f aca="false">IF(CJ155=2,MAX(0,CJ154),IF(CJ155=1,MAX(0,MIN(CJ154-③기타_가정!$D$551,CI157+CJ156)),0))</f>
        <v>1386.51325102216</v>
      </c>
      <c r="CK158" s="283" t="n">
        <f aca="false">IF(CK155=2,MAX(0,CK154),IF(CK155=1,MAX(0,MIN(CK154-③기타_가정!$D$551,CJ157+CK156)),0))</f>
        <v>1766.38457987709</v>
      </c>
      <c r="CL158" s="283" t="n">
        <f aca="false">IF(CL155=2,MAX(0,CL154),IF(CL155=1,MAX(0,MIN(CL154-③기타_가정!$D$551,CK157+CL156)),0))</f>
        <v>1696.80661540301</v>
      </c>
      <c r="CM158" s="283" t="n">
        <f aca="false">IF(CM155=2,MAX(0,CM154),IF(CM155=1,MAX(0,MIN(CM154-③기타_가정!$D$551,CL157+CM156)),0))</f>
        <v>1795.53457987709</v>
      </c>
      <c r="CN158" s="283" t="n">
        <f aca="false">IF(CN155=2,MAX(0,CN154),IF(CN155=1,MAX(0,MIN(CN154-③기타_가정!$D$551,CM157+CN156)),0))</f>
        <v>1696.80661540301</v>
      </c>
      <c r="CO158" s="283" t="n">
        <f aca="false">IF(CO155=2,MAX(0,CO154),IF(CO155=1,MAX(0,MIN(CO154-③기타_가정!$D$551,CN157+CO156)),0))</f>
        <v>1795.53457987709</v>
      </c>
      <c r="CP158" s="283" t="n">
        <f aca="false">IF(CP155=2,MAX(0,CP154),IF(CP155=1,MAX(0,MIN(CP154-③기타_가정!$D$551,CO157+CP156)),0))</f>
        <v>1795.53457987709</v>
      </c>
      <c r="CQ158" s="283" t="n">
        <f aca="false">IF(CQ155=2,MAX(0,CQ154),IF(CQ155=1,MAX(0,MIN(CQ154-③기타_가정!$D$551,CP157+CQ156)),0))</f>
        <v>1696.80661540301</v>
      </c>
      <c r="CR158" s="283" t="n">
        <f aca="false">IF(CR155=2,MAX(0,CR154),IF(CR155=1,MAX(0,MIN(CR154-③기타_가정!$D$551,CQ157+CR156)),0))</f>
        <v>1795.53457987709</v>
      </c>
      <c r="CS158" s="283" t="n">
        <f aca="false">IF(CS155=2,MAX(0,CS154),IF(CS155=1,MAX(0,MIN(CS154-③기타_가정!$D$551,CR157+CS156)),0))</f>
        <v>1696.80661540301</v>
      </c>
      <c r="CT158" s="283" t="n">
        <f aca="false">IF(CT155=2,MAX(0,CT154),IF(CT155=1,MAX(0,MIN(CT154-③기타_가정!$D$551,CS157+CT156)),0))</f>
        <v>1795.53457987709</v>
      </c>
      <c r="CU158" s="283" t="n">
        <f aca="false">IF(CU155=2,MAX(0,CU154),IF(CU155=1,MAX(0,MIN(CU154-③기타_가정!$D$551,CT157+CU156)),0))</f>
        <v>1795.53457987709</v>
      </c>
      <c r="CV158" s="283" t="n">
        <f aca="false">IF(CV155=2,MAX(0,CV154),IF(CV155=1,MAX(0,MIN(CV154-③기타_가정!$D$551,CU157+CV156)),0))</f>
        <v>1499.35068645484</v>
      </c>
      <c r="CW158" s="283" t="n">
        <f aca="false">IF(CW155=2,MAX(0,CW154),IF(CW155=1,MAX(0,MIN(CW154-③기타_가정!$D$551,CV157+CW156)),0))</f>
        <v>1886.81944188687</v>
      </c>
      <c r="CX158" s="283" t="n">
        <f aca="false">IF(CX155=2,MAX(0,CX154),IF(CX155=1,MAX(0,MIN(CX154-③기타_가정!$D$551,CW157+CX156)),0))</f>
        <v>1786.1169181233</v>
      </c>
      <c r="CY158" s="283" t="n">
        <f aca="false">IF(CY155=2,MAX(0,CY154),IF(CY155=1,MAX(0,MIN(CY154-③기타_가정!$D$551,CX157+CY156)),0))</f>
        <v>1886.81944188687</v>
      </c>
      <c r="CZ158" s="283" t="n">
        <f aca="false">IF(CZ155=2,MAX(0,CZ154),IF(CZ155=1,MAX(0,MIN(CZ154-③기타_가정!$D$551,CY157+CZ156)),0))</f>
        <v>1786.1169181233</v>
      </c>
      <c r="DA158" s="283" t="n">
        <f aca="false">IF(DA155=2,MAX(0,DA154),IF(DA155=1,MAX(0,MIN(DA154-③기타_가정!$D$551,CZ157+DA156)),0))</f>
        <v>1886.81944188687</v>
      </c>
      <c r="DB158" s="283" t="n">
        <f aca="false">IF(DB155=2,MAX(0,DB154),IF(DB155=1,MAX(0,MIN(DB154-③기타_가정!$D$551,DA157+DB156)),0))</f>
        <v>1886.81944188687</v>
      </c>
      <c r="DC158" s="283" t="n">
        <f aca="false">IF(DC155=2,MAX(0,DC154),IF(DC155=1,MAX(0,MIN(DC154-③기타_가정!$D$551,DB157+DC156)),0))</f>
        <v>1786.1169181233</v>
      </c>
      <c r="DD158" s="283" t="n">
        <f aca="false">IF(DD155=2,MAX(0,DD154),IF(DD155=1,MAX(0,MIN(DD154-③기타_가정!$D$551,DC157+DD156)),0))</f>
        <v>1886.81944188687</v>
      </c>
      <c r="DE158" s="283" t="n">
        <f aca="false">IF(DE155=2,MAX(0,DE154),IF(DE155=1,MAX(0,MIN(DE154-③기타_가정!$D$551,DD157+DE156)),0))</f>
        <v>1786.1169181233</v>
      </c>
      <c r="DF158" s="283" t="n">
        <f aca="false">IF(DF155=2,MAX(0,DF154),IF(DF155=1,MAX(0,MIN(DF154-③기타_가정!$D$551,DE157+DF156)),0))</f>
        <v>1886.81944188687</v>
      </c>
      <c r="DG158" s="283" t="n">
        <f aca="false">IF(DG155=2,MAX(0,DG154),IF(DG155=1,MAX(0,MIN(DG154-③기타_가정!$D$551,DF157+DG156)),0))</f>
        <v>1886.81944188687</v>
      </c>
      <c r="DH158" s="283" t="n">
        <f aca="false">IF(DH155=2,MAX(0,DH154),IF(DH155=1,MAX(0,MIN(DH154-③기타_가정!$D$551,DG157+DH156)),0))</f>
        <v>1584.71187059618</v>
      </c>
      <c r="DI158" s="283" t="n">
        <f aca="false">IF(DI155=2,MAX(0,DI154),IF(DI155=1,MAX(0,MIN(DI154-③기타_가정!$D$551,DH157+DI156)),0))</f>
        <v>1979.93000113684</v>
      </c>
      <c r="DJ158" s="283" t="n">
        <f aca="false">IF(DJ155=2,MAX(0,DJ154),IF(DJ155=1,MAX(0,MIN(DJ154-③기타_가정!$D$551,DI157+DJ156)),0))</f>
        <v>1877.21342689801</v>
      </c>
      <c r="DK158" s="283" t="n">
        <f aca="false">IF(DK155=2,MAX(0,DK154),IF(DK155=1,MAX(0,MIN(DK154-③기타_가정!$D$551,DJ157+DK156)),0))</f>
        <v>1979.93000113684</v>
      </c>
      <c r="DL158" s="283" t="n">
        <f aca="false">IF(DL155=2,MAX(0,DL154),IF(DL155=1,MAX(0,MIN(DL154-③기타_가정!$D$551,DK157+DL156)),0))</f>
        <v>1877.21342689801</v>
      </c>
      <c r="DM158" s="283" t="n">
        <f aca="false">IF(DM155=2,MAX(0,DM154),IF(DM155=1,MAX(0,MIN(DM154-③기타_가정!$D$551,DL157+DM156)),0))</f>
        <v>1979.93000113684</v>
      </c>
      <c r="DN158" s="283" t="n">
        <f aca="false">IF(DN155=2,MAX(0,DN154),IF(DN155=1,MAX(0,MIN(DN154-③기타_가정!$D$551,DM157+DN156)),0))</f>
        <v>1979.93000113684</v>
      </c>
      <c r="DO158" s="283" t="n">
        <f aca="false">IF(DO155=2,MAX(0,DO154),IF(DO155=1,MAX(0,MIN(DO154-③기타_가정!$D$551,DN157+DO156)),0))</f>
        <v>1877.21342689801</v>
      </c>
      <c r="DP158" s="283" t="n">
        <f aca="false">IF(DP155=2,MAX(0,DP154),IF(DP155=1,MAX(0,MIN(DP154-③기타_가정!$D$551,DO157+DP156)),0))</f>
        <v>1979.93000113684</v>
      </c>
      <c r="DQ158" s="283" t="n">
        <f aca="false">IF(DQ155=2,MAX(0,DQ154),IF(DQ155=1,MAX(0,MIN(DQ154-③기타_가정!$D$551,DP157+DQ156)),0))</f>
        <v>1877.21342689801</v>
      </c>
      <c r="DR158" s="283" t="n">
        <f aca="false">IF(DR155=2,MAX(0,DR154),IF(DR155=1,MAX(0,MIN(DR154-③기타_가정!$D$551,DQ157+DR156)),0))</f>
        <v>1979.93000113684</v>
      </c>
      <c r="DS158" s="283" t="n">
        <f aca="false">IF(DS155=2,MAX(0,DS154),IF(DS155=1,MAX(0,MIN(DS154-③기타_가정!$D$551,DR157+DS156)),0))</f>
        <v>1979.93000113684</v>
      </c>
      <c r="DT158" s="283" t="n">
        <f aca="false">IF(DT155=2,MAX(0,DT154),IF(DT155=1,MAX(0,MIN(DT154-③기타_가정!$D$551,DS157+DT156)),0))</f>
        <v>0</v>
      </c>
      <c r="DU158" s="283" t="n">
        <f aca="false">IF(DU155=2,MAX(0,DU154),IF(DU155=1,MAX(0,MIN(DU154-③기타_가정!$D$551,DT157+DU156)),0))</f>
        <v>0</v>
      </c>
      <c r="DV158" s="283" t="n">
        <f aca="false">IF(DV155=2,MAX(0,DV154),IF(DV155=1,MAX(0,MIN(DV154-③기타_가정!$D$551,DU157+DV156)),0))</f>
        <v>0</v>
      </c>
      <c r="DW158" s="283" t="n">
        <f aca="false">IF(DW155=2,MAX(0,DW154),IF(DW155=1,MAX(0,MIN(DW154-③기타_가정!$D$551,DV157+DW156)),0))</f>
        <v>758431.02799671</v>
      </c>
      <c r="DX158" s="283" t="n">
        <f aca="false">IF(DX155=2,MAX(0,DX154),IF(DX155=1,MAX(0,MIN(DX154-③기타_가정!$D$551,DW157+DX156)),0))</f>
        <v>0</v>
      </c>
      <c r="DY158" s="283" t="n">
        <f aca="false">IF(DY155=2,MAX(0,DY154),IF(DY155=1,MAX(0,MIN(DY154-③기타_가정!$D$551,DX157+DY156)),0))</f>
        <v>0</v>
      </c>
      <c r="DZ158" s="283" t="n">
        <f aca="false">IF(DZ155=2,MAX(0,DZ154),IF(DZ155=1,MAX(0,MIN(DZ154-③기타_가정!$D$551,DY157+DZ156)),0))</f>
        <v>0</v>
      </c>
      <c r="EA158" s="283" t="n">
        <f aca="false">IF(EA155=2,MAX(0,EA154),IF(EA155=1,MAX(0,MIN(EA154-③기타_가정!$D$551,DZ157+EA156)),0))</f>
        <v>0</v>
      </c>
      <c r="EB158" s="283" t="n">
        <f aca="false">IF(EB155=2,MAX(0,EB154),IF(EB155=1,MAX(0,MIN(EB154-③기타_가정!$D$551,EA157+EB156)),0))</f>
        <v>0</v>
      </c>
      <c r="EC158" s="283" t="n">
        <f aca="false">IF(EC155=2,MAX(0,EC154),IF(EC155=1,MAX(0,MIN(EC154-③기타_가정!$D$551,EB157+EC156)),0))</f>
        <v>0</v>
      </c>
      <c r="ED158" s="283" t="n">
        <f aca="false">IF(ED155=2,MAX(0,ED154),IF(ED155=1,MAX(0,MIN(ED154-③기타_가정!$D$551,EC157+ED156)),0))</f>
        <v>0</v>
      </c>
      <c r="EE158" s="283" t="n">
        <f aca="false">IF(EE155=2,MAX(0,EE154),IF(EE155=1,MAX(0,MIN(EE154-③기타_가정!$D$551,ED157+EE156)),0))</f>
        <v>0</v>
      </c>
      <c r="EF158" s="283" t="n">
        <f aca="false">IF(EF155=2,MAX(0,EF154),IF(EF155=1,MAX(0,MIN(EF154-③기타_가정!$D$551,EE157+EF156)),0))</f>
        <v>0</v>
      </c>
    </row>
    <row r="159" customFormat="false" ht="15" hidden="false" customHeight="false" outlineLevel="0" collapsed="false">
      <c r="A159" s="280" t="s">
        <v>689</v>
      </c>
      <c r="B159" s="281" t="s">
        <v>21</v>
      </c>
      <c r="C159" s="282" t="n">
        <f aca="false">SUMIF(E6:EF6,③기타_가정!$E$24,E159:EF159)</f>
        <v>0</v>
      </c>
      <c r="D159" s="48"/>
      <c r="E159" s="283" t="n">
        <f aca="false">E154-E158</f>
        <v>9930.1593105935</v>
      </c>
      <c r="F159" s="283" t="n">
        <f aca="false">F154-F158</f>
        <v>9864.56804220332</v>
      </c>
      <c r="G159" s="283" t="n">
        <f aca="false">G154-G158</f>
        <v>9798.81279564216</v>
      </c>
      <c r="H159" s="283" t="n">
        <f aca="false">H154-H158</f>
        <v>1826.4698566905</v>
      </c>
      <c r="I159" s="283" t="n">
        <f aca="false">I154-I158</f>
        <v>1740.61936466556</v>
      </c>
      <c r="J159" s="283" t="n">
        <f aca="false">J154-J158</f>
        <v>1654.55424641056</v>
      </c>
      <c r="K159" s="283" t="n">
        <f aca="false">K154-K158</f>
        <v>1568.27396535992</v>
      </c>
      <c r="L159" s="283" t="n">
        <f aca="false">L154-L158</f>
        <v>1481.77798360665</v>
      </c>
      <c r="M159" s="283" t="n">
        <f aca="false">M154-M158</f>
        <v>1395.065761899</v>
      </c>
      <c r="N159" s="283" t="n">
        <f aca="false">N154-N158</f>
        <v>1308.13675963708</v>
      </c>
      <c r="O159" s="283" t="n">
        <f aca="false">O154-O158</f>
        <v>1220.99043486951</v>
      </c>
      <c r="P159" s="283" t="n">
        <f aca="false">P154-P158</f>
        <v>1133.62624429002</v>
      </c>
      <c r="Q159" s="283" t="n">
        <f aca="false">Q154-Q158</f>
        <v>25906.2036432341</v>
      </c>
      <c r="R159" s="283" t="n">
        <f aca="false">R154-R158</f>
        <v>25880.5524856755</v>
      </c>
      <c r="S159" s="283" t="n">
        <f aca="false">S154-S158</f>
        <v>25854.837200223</v>
      </c>
      <c r="T159" s="283" t="n">
        <f aca="false">T154-T158</f>
        <v>25829.0576265569</v>
      </c>
      <c r="U159" s="283" t="n">
        <f aca="false">U154-U158</f>
        <v>25803.2136039566</v>
      </c>
      <c r="V159" s="283" t="n">
        <f aca="false">V154-V158</f>
        <v>25777.3049712999</v>
      </c>
      <c r="W159" s="283" t="n">
        <f aca="false">W154-W158</f>
        <v>51606.5963925249</v>
      </c>
      <c r="X159" s="283" t="n">
        <f aca="false">X154-X158</f>
        <v>47637.7190423827</v>
      </c>
      <c r="Y159" s="283" t="n">
        <f aca="false">Y154-Y158</f>
        <v>41618.2299760611</v>
      </c>
      <c r="Z159" s="283" t="n">
        <f aca="false">Z154-Z158</f>
        <v>33571.6946611939</v>
      </c>
      <c r="AA159" s="283" t="n">
        <f aca="false">AA154-AA158</f>
        <v>23532.9893853906</v>
      </c>
      <c r="AB159" s="283" t="n">
        <f aca="false">AB154-AB158</f>
        <v>11548.1061507768</v>
      </c>
      <c r="AC159" s="283" t="n">
        <f aca="false">AC154-AC158</f>
        <v>47394.215404792</v>
      </c>
      <c r="AD159" s="283" t="n">
        <f aca="false">AD154-AD158</f>
        <v>31822.3688459989</v>
      </c>
      <c r="AE159" s="283" t="n">
        <f aca="false">AE154-AE158</f>
        <v>14506.4508352557</v>
      </c>
      <c r="AF159" s="283" t="n">
        <f aca="false">AF154-AF158</f>
        <v>500</v>
      </c>
      <c r="AG159" s="283" t="n">
        <f aca="false">AG154-AG158</f>
        <v>500</v>
      </c>
      <c r="AH159" s="283" t="n">
        <f aca="false">AH154-AH158</f>
        <v>500</v>
      </c>
      <c r="AI159" s="283" t="n">
        <f aca="false">AI154-AI158</f>
        <v>500</v>
      </c>
      <c r="AJ159" s="283" t="n">
        <f aca="false">AJ154-AJ158</f>
        <v>500</v>
      </c>
      <c r="AK159" s="283" t="n">
        <f aca="false">AK154-AK158</f>
        <v>500</v>
      </c>
      <c r="AL159" s="283" t="n">
        <f aca="false">AL154-AL158</f>
        <v>500</v>
      </c>
      <c r="AM159" s="283" t="n">
        <f aca="false">AM154-AM158</f>
        <v>500</v>
      </c>
      <c r="AN159" s="283" t="n">
        <f aca="false">AN154-AN158</f>
        <v>500</v>
      </c>
      <c r="AO159" s="283" t="n">
        <f aca="false">AO154-AO158</f>
        <v>20779.9864586784</v>
      </c>
      <c r="AP159" s="283" t="n">
        <f aca="false">AP154-AP158</f>
        <v>500</v>
      </c>
      <c r="AQ159" s="283" t="n">
        <f aca="false">AQ154-AQ158</f>
        <v>500</v>
      </c>
      <c r="AR159" s="283" t="n">
        <f aca="false">AR154-AR158</f>
        <v>500</v>
      </c>
      <c r="AS159" s="283" t="n">
        <f aca="false">AS154-AS158</f>
        <v>500</v>
      </c>
      <c r="AT159" s="283" t="n">
        <f aca="false">AT154-AT158</f>
        <v>500</v>
      </c>
      <c r="AU159" s="283" t="n">
        <f aca="false">AU154-AU158</f>
        <v>500</v>
      </c>
      <c r="AV159" s="283" t="n">
        <f aca="false">AV154-AV158</f>
        <v>500</v>
      </c>
      <c r="AW159" s="283" t="n">
        <f aca="false">AW154-AW158</f>
        <v>500</v>
      </c>
      <c r="AX159" s="283" t="n">
        <f aca="false">AX154-AX158</f>
        <v>500</v>
      </c>
      <c r="AY159" s="283" t="n">
        <f aca="false">AY154-AY158</f>
        <v>500</v>
      </c>
      <c r="AZ159" s="283" t="n">
        <f aca="false">AZ154-AZ158</f>
        <v>500</v>
      </c>
      <c r="BA159" s="283" t="n">
        <f aca="false">BA154-BA158</f>
        <v>25466.89369361</v>
      </c>
      <c r="BB159" s="283" t="n">
        <f aca="false">BB154-BB158</f>
        <v>2179.58416525233</v>
      </c>
      <c r="BC159" s="283" t="n">
        <f aca="false">BC154-BC158</f>
        <v>500</v>
      </c>
      <c r="BD159" s="283" t="n">
        <f aca="false">BD154-BD158</f>
        <v>500</v>
      </c>
      <c r="BE159" s="283" t="n">
        <f aca="false">BE154-BE158</f>
        <v>500</v>
      </c>
      <c r="BF159" s="283" t="n">
        <f aca="false">BF154-BF158</f>
        <v>500</v>
      </c>
      <c r="BG159" s="283" t="n">
        <f aca="false">BG154-BG158</f>
        <v>500</v>
      </c>
      <c r="BH159" s="283" t="n">
        <f aca="false">BH154-BH158</f>
        <v>500</v>
      </c>
      <c r="BI159" s="283" t="n">
        <f aca="false">BI154-BI158</f>
        <v>500</v>
      </c>
      <c r="BJ159" s="283" t="n">
        <f aca="false">BJ154-BJ158</f>
        <v>500</v>
      </c>
      <c r="BK159" s="283" t="n">
        <f aca="false">BK154-BK158</f>
        <v>500</v>
      </c>
      <c r="BL159" s="283" t="n">
        <f aca="false">BL154-BL158</f>
        <v>39717.2429405123</v>
      </c>
      <c r="BM159" s="283" t="n">
        <f aca="false">BM154-BM158</f>
        <v>133956.880255245</v>
      </c>
      <c r="BN159" s="283" t="n">
        <f aca="false">BN154-BN158</f>
        <v>133956.880255245</v>
      </c>
      <c r="BO159" s="283" t="n">
        <f aca="false">BO154-BO158</f>
        <v>133956.880255245</v>
      </c>
      <c r="BP159" s="283" t="n">
        <f aca="false">BP154-BP158</f>
        <v>133956.880255245</v>
      </c>
      <c r="BQ159" s="283" t="n">
        <f aca="false">BQ154-BQ158</f>
        <v>133956.880255245</v>
      </c>
      <c r="BR159" s="283" t="n">
        <f aca="false">BR154-BR158</f>
        <v>133956.880255245</v>
      </c>
      <c r="BS159" s="283" t="n">
        <f aca="false">BS154-BS158</f>
        <v>133956.880255245</v>
      </c>
      <c r="BT159" s="283" t="n">
        <f aca="false">BT154-BT158</f>
        <v>133956.880255245</v>
      </c>
      <c r="BU159" s="283" t="n">
        <f aca="false">BU154-BU158</f>
        <v>133956.880255245</v>
      </c>
      <c r="BV159" s="283" t="n">
        <f aca="false">BV154-BV158</f>
        <v>133956.880255245</v>
      </c>
      <c r="BW159" s="283" t="n">
        <f aca="false">BW154-BW158</f>
        <v>133956.880255245</v>
      </c>
      <c r="BX159" s="283" t="n">
        <f aca="false">BX154-BX158</f>
        <v>133956.880255245</v>
      </c>
      <c r="BY159" s="283" t="n">
        <f aca="false">BY154-BY158</f>
        <v>209307.280255245</v>
      </c>
      <c r="BZ159" s="283" t="n">
        <f aca="false">BZ154-BZ158</f>
        <v>209307.280255245</v>
      </c>
      <c r="CA159" s="283" t="n">
        <f aca="false">CA154-CA158</f>
        <v>209307.280255245</v>
      </c>
      <c r="CB159" s="283" t="n">
        <f aca="false">CB154-CB158</f>
        <v>209307.280255245</v>
      </c>
      <c r="CC159" s="283" t="n">
        <f aca="false">CC154-CC158</f>
        <v>209307.280255245</v>
      </c>
      <c r="CD159" s="283" t="n">
        <f aca="false">CD154-CD158</f>
        <v>209307.280255245</v>
      </c>
      <c r="CE159" s="283" t="n">
        <f aca="false">CE154-CE158</f>
        <v>209307.280255245</v>
      </c>
      <c r="CF159" s="283" t="n">
        <f aca="false">CF154-CF158</f>
        <v>209307.280255245</v>
      </c>
      <c r="CG159" s="283" t="n">
        <f aca="false">CG154-CG158</f>
        <v>209307.280255245</v>
      </c>
      <c r="CH159" s="283" t="n">
        <f aca="false">CH154-CH158</f>
        <v>209307.280255245</v>
      </c>
      <c r="CI159" s="283" t="n">
        <f aca="false">CI154-CI158</f>
        <v>209307.280255245</v>
      </c>
      <c r="CJ159" s="283" t="n">
        <f aca="false">CJ154-CJ158</f>
        <v>209307.280255245</v>
      </c>
      <c r="CK159" s="283" t="n">
        <f aca="false">CK154-CK158</f>
        <v>222507.280255245</v>
      </c>
      <c r="CL159" s="283" t="n">
        <f aca="false">CL154-CL158</f>
        <v>222507.280255245</v>
      </c>
      <c r="CM159" s="283" t="n">
        <f aca="false">CM154-CM158</f>
        <v>222507.280255245</v>
      </c>
      <c r="CN159" s="283" t="n">
        <f aca="false">CN154-CN158</f>
        <v>222507.280255245</v>
      </c>
      <c r="CO159" s="283" t="n">
        <f aca="false">CO154-CO158</f>
        <v>222507.280255245</v>
      </c>
      <c r="CP159" s="283" t="n">
        <f aca="false">CP154-CP158</f>
        <v>222507.280255245</v>
      </c>
      <c r="CQ159" s="283" t="n">
        <f aca="false">CQ154-CQ158</f>
        <v>222507.280255245</v>
      </c>
      <c r="CR159" s="283" t="n">
        <f aca="false">CR154-CR158</f>
        <v>222507.280255245</v>
      </c>
      <c r="CS159" s="283" t="n">
        <f aca="false">CS154-CS158</f>
        <v>222507.280255245</v>
      </c>
      <c r="CT159" s="283" t="n">
        <f aca="false">CT154-CT158</f>
        <v>222507.280255245</v>
      </c>
      <c r="CU159" s="283" t="n">
        <f aca="false">CU154-CU158</f>
        <v>222507.280255245</v>
      </c>
      <c r="CV159" s="283" t="n">
        <f aca="false">CV154-CV158</f>
        <v>222507.280255245</v>
      </c>
      <c r="CW159" s="283" t="n">
        <f aca="false">CW154-CW158</f>
        <v>222507.280255245</v>
      </c>
      <c r="CX159" s="283" t="n">
        <f aca="false">CX154-CX158</f>
        <v>222507.280255245</v>
      </c>
      <c r="CY159" s="283" t="n">
        <f aca="false">CY154-CY158</f>
        <v>222507.280255245</v>
      </c>
      <c r="CZ159" s="283" t="n">
        <f aca="false">CZ154-CZ158</f>
        <v>222507.280255245</v>
      </c>
      <c r="DA159" s="283" t="n">
        <f aca="false">DA154-DA158</f>
        <v>222507.280255245</v>
      </c>
      <c r="DB159" s="283" t="n">
        <f aca="false">DB154-DB158</f>
        <v>222507.280255245</v>
      </c>
      <c r="DC159" s="283" t="n">
        <f aca="false">DC154-DC158</f>
        <v>222507.280255245</v>
      </c>
      <c r="DD159" s="283" t="n">
        <f aca="false">DD154-DD158</f>
        <v>222507.280255245</v>
      </c>
      <c r="DE159" s="283" t="n">
        <f aca="false">DE154-DE158</f>
        <v>222507.280255245</v>
      </c>
      <c r="DF159" s="283" t="n">
        <f aca="false">DF154-DF158</f>
        <v>222507.280255245</v>
      </c>
      <c r="DG159" s="283" t="n">
        <f aca="false">DG154-DG158</f>
        <v>222507.280255245</v>
      </c>
      <c r="DH159" s="283" t="n">
        <f aca="false">DH154-DH158</f>
        <v>222507.280255245</v>
      </c>
      <c r="DI159" s="283" t="n">
        <f aca="false">DI154-DI158</f>
        <v>222507.280255245</v>
      </c>
      <c r="DJ159" s="283" t="n">
        <f aca="false">DJ154-DJ158</f>
        <v>222507.280255245</v>
      </c>
      <c r="DK159" s="283" t="n">
        <f aca="false">DK154-DK158</f>
        <v>222507.280255245</v>
      </c>
      <c r="DL159" s="283" t="n">
        <f aca="false">DL154-DL158</f>
        <v>222507.280255245</v>
      </c>
      <c r="DM159" s="283" t="n">
        <f aca="false">DM154-DM158</f>
        <v>222507.280255245</v>
      </c>
      <c r="DN159" s="283" t="n">
        <f aca="false">DN154-DN158</f>
        <v>222507.280255245</v>
      </c>
      <c r="DO159" s="283" t="n">
        <f aca="false">DO154-DO158</f>
        <v>222507.280255245</v>
      </c>
      <c r="DP159" s="283" t="n">
        <f aca="false">DP154-DP158</f>
        <v>222507.280255245</v>
      </c>
      <c r="DQ159" s="283" t="n">
        <f aca="false">DQ154-DQ158</f>
        <v>222507.280255245</v>
      </c>
      <c r="DR159" s="283" t="n">
        <f aca="false">DR154-DR158</f>
        <v>222507.280255245</v>
      </c>
      <c r="DS159" s="283" t="n">
        <f aca="false">DS154-DS158</f>
        <v>222507.280255245</v>
      </c>
      <c r="DT159" s="283" t="n">
        <f aca="false">DT154-DT158</f>
        <v>753090.768805978</v>
      </c>
      <c r="DU159" s="283" t="n">
        <f aca="false">DU154-DU158</f>
        <v>754866.41239466</v>
      </c>
      <c r="DV159" s="283" t="n">
        <f aca="false">DV154-DV158</f>
        <v>756646.495092313</v>
      </c>
      <c r="DW159" s="283" t="n">
        <f aca="false">DW154-DW158</f>
        <v>0</v>
      </c>
      <c r="DX159" s="283" t="n">
        <f aca="false">DX154-DX158</f>
        <v>0</v>
      </c>
      <c r="DY159" s="283" t="n">
        <f aca="false">DY154-DY158</f>
        <v>0</v>
      </c>
      <c r="DZ159" s="283" t="n">
        <f aca="false">DZ154-DZ158</f>
        <v>0</v>
      </c>
      <c r="EA159" s="283" t="n">
        <f aca="false">EA154-EA158</f>
        <v>0</v>
      </c>
      <c r="EB159" s="283" t="n">
        <f aca="false">EB154-EB158</f>
        <v>0</v>
      </c>
      <c r="EC159" s="283" t="n">
        <f aca="false">EC154-EC158</f>
        <v>0</v>
      </c>
      <c r="ED159" s="283" t="n">
        <f aca="false">ED154-ED158</f>
        <v>0</v>
      </c>
      <c r="EE159" s="283" t="n">
        <f aca="false">EE154-EE158</f>
        <v>0</v>
      </c>
      <c r="EF159" s="283" t="n">
        <f aca="false">EF154-EF158</f>
        <v>0</v>
      </c>
    </row>
    <row r="161" customFormat="false" ht="15" hidden="false" customHeight="false" outlineLevel="0" collapsed="false">
      <c r="A161" s="6" t="s">
        <v>690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</row>
    <row r="162" customFormat="false" ht="15" hidden="false" customHeight="false" outlineLevel="0" collapsed="false">
      <c r="A162" s="36" t="s">
        <v>691</v>
      </c>
      <c r="B162" s="278" t="s">
        <v>21</v>
      </c>
      <c r="E162" s="37" t="n">
        <f aca="false">0</f>
        <v>0</v>
      </c>
      <c r="F162" s="37" t="n">
        <f aca="false">E162+E141-E166</f>
        <v>0</v>
      </c>
      <c r="G162" s="37" t="n">
        <f aca="false">F162+F141-F166</f>
        <v>0</v>
      </c>
      <c r="H162" s="37" t="n">
        <f aca="false">G162+G141-G166</f>
        <v>0</v>
      </c>
      <c r="I162" s="37" t="n">
        <f aca="false">H162+H141-H166</f>
        <v>0</v>
      </c>
      <c r="J162" s="37" t="n">
        <f aca="false">I162+I141-I166</f>
        <v>0</v>
      </c>
      <c r="K162" s="37" t="n">
        <f aca="false">J162+J141-J166</f>
        <v>0</v>
      </c>
      <c r="L162" s="37" t="n">
        <f aca="false">K162+K141-K166</f>
        <v>0</v>
      </c>
      <c r="M162" s="37" t="n">
        <f aca="false">L162+L141-L166</f>
        <v>0</v>
      </c>
      <c r="N162" s="37" t="n">
        <f aca="false">M162+M141-M166</f>
        <v>0</v>
      </c>
      <c r="O162" s="37" t="n">
        <f aca="false">N162+N141-N166</f>
        <v>0</v>
      </c>
      <c r="P162" s="37" t="n">
        <f aca="false">O162+O141-O166</f>
        <v>0</v>
      </c>
      <c r="Q162" s="37" t="n">
        <f aca="false">P162+P141-P166</f>
        <v>0</v>
      </c>
      <c r="R162" s="37" t="n">
        <f aca="false">Q162+Q141-Q166</f>
        <v>0</v>
      </c>
      <c r="S162" s="37" t="n">
        <f aca="false">R162+R141-R166</f>
        <v>0</v>
      </c>
      <c r="T162" s="37" t="n">
        <f aca="false">S162+S141-S166</f>
        <v>0</v>
      </c>
      <c r="U162" s="37" t="n">
        <f aca="false">T162+T141-T166</f>
        <v>0</v>
      </c>
      <c r="V162" s="37" t="n">
        <f aca="false">U162+U141-U166</f>
        <v>0</v>
      </c>
      <c r="W162" s="37" t="n">
        <f aca="false">V162+V141-V166</f>
        <v>0</v>
      </c>
      <c r="X162" s="37" t="n">
        <f aca="false">W162+W141-W166</f>
        <v>147140.922758885</v>
      </c>
      <c r="Y162" s="37" t="n">
        <f aca="false">X162+X141-X166</f>
        <v>147140.922758885</v>
      </c>
      <c r="Z162" s="37" t="n">
        <f aca="false">Y162+Y141-Y166</f>
        <v>147140.922758885</v>
      </c>
      <c r="AA162" s="37" t="n">
        <f aca="false">Z162+Z141-Z166</f>
        <v>147140.922758885</v>
      </c>
      <c r="AB162" s="37" t="n">
        <f aca="false">AA162+AA141-AA166</f>
        <v>147140.922758885</v>
      </c>
      <c r="AC162" s="37" t="n">
        <f aca="false">AB162+AB141-AB166</f>
        <v>147140.922758885</v>
      </c>
      <c r="AD162" s="37" t="n">
        <f aca="false">AC162+AC141-AC166</f>
        <v>147140.922758885</v>
      </c>
      <c r="AE162" s="37" t="n">
        <f aca="false">AD162+AD141-AD166</f>
        <v>147140.922758885</v>
      </c>
      <c r="AF162" s="37" t="n">
        <f aca="false">AE162+AE141-AE166</f>
        <v>147140.922758885</v>
      </c>
      <c r="AG162" s="37" t="n">
        <f aca="false">AF162+AF141-AF166</f>
        <v>147140.922758885</v>
      </c>
      <c r="AH162" s="37" t="n">
        <f aca="false">AG162+AG141-AG166</f>
        <v>147140.922758885</v>
      </c>
      <c r="AI162" s="37" t="n">
        <f aca="false">AH162+AH141-AH166</f>
        <v>147140.922758885</v>
      </c>
      <c r="AJ162" s="37" t="n">
        <f aca="false">AI162+AI141-AI166</f>
        <v>147140.922758885</v>
      </c>
      <c r="AK162" s="37" t="n">
        <f aca="false">AJ162+AJ141-AJ166</f>
        <v>147140.922758885</v>
      </c>
      <c r="AL162" s="37" t="n">
        <f aca="false">AK162+AK141-AK166</f>
        <v>147140.922758885</v>
      </c>
      <c r="AM162" s="37" t="n">
        <f aca="false">AL162+AL141-AL166</f>
        <v>147140.922758885</v>
      </c>
      <c r="AN162" s="37" t="n">
        <f aca="false">AM162+AM141-AM166</f>
        <v>147140.922758885</v>
      </c>
      <c r="AO162" s="37" t="n">
        <f aca="false">AN162+AN141-AN166</f>
        <v>147140.922758885</v>
      </c>
      <c r="AP162" s="37" t="n">
        <f aca="false">AO162+AO141-AO166</f>
        <v>147140.922758885</v>
      </c>
      <c r="AQ162" s="37" t="n">
        <f aca="false">AP162+AP141-AP166</f>
        <v>147140.922758885</v>
      </c>
      <c r="AR162" s="37" t="n">
        <f aca="false">AQ162+AQ141-AQ166</f>
        <v>147140.922758885</v>
      </c>
      <c r="AS162" s="37" t="n">
        <f aca="false">AR162+AR141-AR166</f>
        <v>147140.922758885</v>
      </c>
      <c r="AT162" s="37" t="n">
        <f aca="false">AS162+AS141-AS166</f>
        <v>147140.922758885</v>
      </c>
      <c r="AU162" s="37" t="n">
        <f aca="false">AT162+AT141-AT166</f>
        <v>147140.922758885</v>
      </c>
      <c r="AV162" s="37" t="n">
        <f aca="false">AU162+AU141-AU166</f>
        <v>147140.922758885</v>
      </c>
      <c r="AW162" s="37" t="n">
        <f aca="false">AV162+AV141-AV166</f>
        <v>147140.922758885</v>
      </c>
      <c r="AX162" s="37" t="n">
        <f aca="false">AW162+AW141-AW166</f>
        <v>147140.922758885</v>
      </c>
      <c r="AY162" s="37" t="n">
        <f aca="false">AX162+AX141-AX166</f>
        <v>147140.922758885</v>
      </c>
      <c r="AZ162" s="37" t="n">
        <f aca="false">AY162+AY141-AY166</f>
        <v>147140.922758885</v>
      </c>
      <c r="BA162" s="37" t="n">
        <f aca="false">AZ162+AZ141-AZ166</f>
        <v>147140.922758885</v>
      </c>
      <c r="BB162" s="37" t="n">
        <f aca="false">BA162+BA141-BA166</f>
        <v>147140.922758885</v>
      </c>
      <c r="BC162" s="37" t="n">
        <f aca="false">BB162+BB141-BB166</f>
        <v>147140.922758885</v>
      </c>
      <c r="BD162" s="37" t="n">
        <f aca="false">BC162+BC141-BC166</f>
        <v>147140.922758885</v>
      </c>
      <c r="BE162" s="37" t="n">
        <f aca="false">BD162+BD141-BD166</f>
        <v>147140.922758885</v>
      </c>
      <c r="BF162" s="37" t="n">
        <f aca="false">BE162+BE141-BE166</f>
        <v>147140.922758885</v>
      </c>
      <c r="BG162" s="37" t="n">
        <f aca="false">BF162+BF141-BF166</f>
        <v>147140.922758885</v>
      </c>
      <c r="BH162" s="37" t="n">
        <f aca="false">BG162+BG141-BG166</f>
        <v>147140.922758885</v>
      </c>
      <c r="BI162" s="37" t="n">
        <f aca="false">BH162+BH141-BH166</f>
        <v>147140.922758885</v>
      </c>
      <c r="BJ162" s="37" t="n">
        <f aca="false">BI162+BI141-BI166</f>
        <v>147140.922758885</v>
      </c>
      <c r="BK162" s="37" t="n">
        <f aca="false">BJ162+BJ141-BJ166</f>
        <v>147140.922758885</v>
      </c>
      <c r="BL162" s="37" t="n">
        <f aca="false">BK162+BK141-BK166</f>
        <v>147140.922758885</v>
      </c>
      <c r="BM162" s="37" t="n">
        <f aca="false">BL162+BL141-BL166</f>
        <v>147140.922758885</v>
      </c>
      <c r="BN162" s="37" t="n">
        <f aca="false">BM162+BM141-BM166</f>
        <v>147140.922758885</v>
      </c>
      <c r="BO162" s="37" t="n">
        <f aca="false">BN162+BN141-BN166</f>
        <v>147140.922758885</v>
      </c>
      <c r="BP162" s="37" t="n">
        <f aca="false">BO162+BO141-BO166</f>
        <v>147140.922758885</v>
      </c>
      <c r="BQ162" s="37" t="n">
        <f aca="false">BP162+BP141-BP166</f>
        <v>147140.922758885</v>
      </c>
      <c r="BR162" s="37" t="n">
        <f aca="false">BQ162+BQ141-BQ166</f>
        <v>147140.922758885</v>
      </c>
      <c r="BS162" s="37" t="n">
        <f aca="false">BR162+BR141-BR166</f>
        <v>147140.922758885</v>
      </c>
      <c r="BT162" s="37" t="n">
        <f aca="false">BS162+BS141-BS166</f>
        <v>147140.922758885</v>
      </c>
      <c r="BU162" s="37" t="n">
        <f aca="false">BT162+BT141-BT166</f>
        <v>147140.922758885</v>
      </c>
      <c r="BV162" s="37" t="n">
        <f aca="false">BU162+BU141-BU166</f>
        <v>147140.922758885</v>
      </c>
      <c r="BW162" s="37" t="n">
        <f aca="false">BV162+BV141-BV166</f>
        <v>147140.922758885</v>
      </c>
      <c r="BX162" s="37" t="n">
        <f aca="false">BW162+BW141-BW166</f>
        <v>147140.922758885</v>
      </c>
      <c r="BY162" s="37" t="n">
        <f aca="false">BX162+BX141-BX166</f>
        <v>147140.922758885</v>
      </c>
      <c r="BZ162" s="37" t="n">
        <f aca="false">BY162+BY141-BY166</f>
        <v>147140.922758885</v>
      </c>
      <c r="CA162" s="37" t="n">
        <f aca="false">BZ162+BZ141-BZ166</f>
        <v>147140.922758885</v>
      </c>
      <c r="CB162" s="37" t="n">
        <f aca="false">CA162+CA141-CA166</f>
        <v>147140.922758885</v>
      </c>
      <c r="CC162" s="37" t="n">
        <f aca="false">CB162+CB141-CB166</f>
        <v>147140.922758885</v>
      </c>
      <c r="CD162" s="37" t="n">
        <f aca="false">CC162+CC141-CC166</f>
        <v>147140.922758885</v>
      </c>
      <c r="CE162" s="37" t="n">
        <f aca="false">CD162+CD141-CD166</f>
        <v>147140.922758885</v>
      </c>
      <c r="CF162" s="37" t="n">
        <f aca="false">CE162+CE141-CE166</f>
        <v>147140.922758885</v>
      </c>
      <c r="CG162" s="37" t="n">
        <f aca="false">CF162+CF141-CF166</f>
        <v>147140.922758885</v>
      </c>
      <c r="CH162" s="37" t="n">
        <f aca="false">CG162+CG141-CG166</f>
        <v>147140.922758885</v>
      </c>
      <c r="CI162" s="37" t="n">
        <f aca="false">CH162+CH141-CH166</f>
        <v>147140.922758885</v>
      </c>
      <c r="CJ162" s="37" t="n">
        <f aca="false">CI162+CI141-CI166</f>
        <v>147140.922758885</v>
      </c>
      <c r="CK162" s="37" t="n">
        <f aca="false">CJ162+CJ141-CJ166</f>
        <v>147140.922758885</v>
      </c>
      <c r="CL162" s="37" t="n">
        <f aca="false">CK162+CK141-CK166</f>
        <v>147140.922758885</v>
      </c>
      <c r="CM162" s="37" t="n">
        <f aca="false">CL162+CL141-CL166</f>
        <v>147140.922758885</v>
      </c>
      <c r="CN162" s="37" t="n">
        <f aca="false">CM162+CM141-CM166</f>
        <v>147140.922758885</v>
      </c>
      <c r="CO162" s="37" t="n">
        <f aca="false">CN162+CN141-CN166</f>
        <v>147140.922758885</v>
      </c>
      <c r="CP162" s="37" t="n">
        <f aca="false">CO162+CO141-CO166</f>
        <v>147140.922758885</v>
      </c>
      <c r="CQ162" s="37" t="n">
        <f aca="false">CP162+CP141-CP166</f>
        <v>147140.922758885</v>
      </c>
      <c r="CR162" s="37" t="n">
        <f aca="false">CQ162+CQ141-CQ166</f>
        <v>147140.922758885</v>
      </c>
      <c r="CS162" s="37" t="n">
        <f aca="false">CR162+CR141-CR166</f>
        <v>147140.922758885</v>
      </c>
      <c r="CT162" s="37" t="n">
        <f aca="false">CS162+CS141-CS166</f>
        <v>147140.922758885</v>
      </c>
      <c r="CU162" s="37" t="n">
        <f aca="false">CT162+CT141-CT166</f>
        <v>147140.922758885</v>
      </c>
      <c r="CV162" s="37" t="n">
        <f aca="false">CU162+CU141-CU166</f>
        <v>147140.922758885</v>
      </c>
      <c r="CW162" s="37" t="n">
        <f aca="false">CV162+CV141-CV166</f>
        <v>147140.922758885</v>
      </c>
      <c r="CX162" s="37" t="n">
        <f aca="false">CW162+CW141-CW166</f>
        <v>147140.922758885</v>
      </c>
      <c r="CY162" s="37" t="n">
        <f aca="false">CX162+CX141-CX166</f>
        <v>147140.922758885</v>
      </c>
      <c r="CZ162" s="37" t="n">
        <f aca="false">CY162+CY141-CY166</f>
        <v>147140.922758885</v>
      </c>
      <c r="DA162" s="37" t="n">
        <f aca="false">CZ162+CZ141-CZ166</f>
        <v>147140.922758885</v>
      </c>
      <c r="DB162" s="37" t="n">
        <f aca="false">DA162+DA141-DA166</f>
        <v>147140.922758885</v>
      </c>
      <c r="DC162" s="37" t="n">
        <f aca="false">DB162+DB141-DB166</f>
        <v>147140.922758885</v>
      </c>
      <c r="DD162" s="37" t="n">
        <f aca="false">DC162+DC141-DC166</f>
        <v>147140.922758885</v>
      </c>
      <c r="DE162" s="37" t="n">
        <f aca="false">DD162+DD141-DD166</f>
        <v>147140.922758885</v>
      </c>
      <c r="DF162" s="37" t="n">
        <f aca="false">DE162+DE141-DE166</f>
        <v>147140.922758885</v>
      </c>
      <c r="DG162" s="37" t="n">
        <f aca="false">DF162+DF141-DF166</f>
        <v>147140.922758885</v>
      </c>
      <c r="DH162" s="37" t="n">
        <f aca="false">DG162+DG141-DG166</f>
        <v>147140.922758885</v>
      </c>
      <c r="DI162" s="37" t="n">
        <f aca="false">DH162+DH141-DH166</f>
        <v>147140.922758885</v>
      </c>
      <c r="DJ162" s="37" t="n">
        <f aca="false">DI162+DI141-DI166</f>
        <v>147140.922758885</v>
      </c>
      <c r="DK162" s="37" t="n">
        <f aca="false">DJ162+DJ141-DJ166</f>
        <v>147140.922758885</v>
      </c>
      <c r="DL162" s="37" t="n">
        <f aca="false">DK162+DK141-DK166</f>
        <v>147140.922758885</v>
      </c>
      <c r="DM162" s="37" t="n">
        <f aca="false">DL162+DL141-DL166</f>
        <v>147140.922758885</v>
      </c>
      <c r="DN162" s="37" t="n">
        <f aca="false">DM162+DM141-DM166</f>
        <v>147140.922758885</v>
      </c>
      <c r="DO162" s="37" t="n">
        <f aca="false">DN162+DN141-DN166</f>
        <v>147140.922758885</v>
      </c>
      <c r="DP162" s="37" t="n">
        <f aca="false">DO162+DO141-DO166</f>
        <v>147140.922758885</v>
      </c>
      <c r="DQ162" s="37" t="n">
        <f aca="false">DP162+DP141-DP166</f>
        <v>147140.922758885</v>
      </c>
      <c r="DR162" s="37" t="n">
        <f aca="false">DQ162+DQ141-DQ166</f>
        <v>147140.922758885</v>
      </c>
      <c r="DS162" s="37" t="n">
        <f aca="false">DR162+DR141-DR166</f>
        <v>147140.922758885</v>
      </c>
      <c r="DT162" s="37" t="n">
        <f aca="false">DS162+DS141-DS166</f>
        <v>147140.922758885</v>
      </c>
      <c r="DU162" s="37" t="n">
        <f aca="false">DT162+DT141-DT166</f>
        <v>147140.922758885</v>
      </c>
      <c r="DV162" s="37" t="n">
        <f aca="false">DU162+DU141-DU166</f>
        <v>147140.922758885</v>
      </c>
      <c r="DW162" s="37" t="n">
        <f aca="false">DV162+DV141-DV166</f>
        <v>147140.922758885</v>
      </c>
      <c r="DX162" s="37" t="n">
        <f aca="false">DW162+DW141-DW166</f>
        <v>0</v>
      </c>
      <c r="DY162" s="37" t="n">
        <f aca="false">DX162+DX141-DX166</f>
        <v>0</v>
      </c>
      <c r="DZ162" s="37" t="n">
        <f aca="false">DY162+DY141-DY166</f>
        <v>0</v>
      </c>
      <c r="EA162" s="37" t="n">
        <f aca="false">DZ162+DZ141-DZ166</f>
        <v>0</v>
      </c>
      <c r="EB162" s="37" t="n">
        <f aca="false">EA162+EA141-EA166</f>
        <v>0</v>
      </c>
      <c r="EC162" s="37" t="n">
        <f aca="false">EB162+EB141-EB166</f>
        <v>0</v>
      </c>
      <c r="ED162" s="37" t="n">
        <f aca="false">EC162+EC141-EC166</f>
        <v>0</v>
      </c>
      <c r="EE162" s="37" t="n">
        <f aca="false">ED162+ED141-ED166</f>
        <v>0</v>
      </c>
      <c r="EF162" s="37" t="n">
        <f aca="false">EE162+EE141-EE166</f>
        <v>0</v>
      </c>
    </row>
    <row r="163" customFormat="false" ht="15" hidden="false" customHeight="false" outlineLevel="0" collapsed="false">
      <c r="A163" s="36" t="s">
        <v>692</v>
      </c>
      <c r="B163" s="278" t="s">
        <v>21</v>
      </c>
      <c r="E163" s="37" t="n">
        <f aca="false">0</f>
        <v>0</v>
      </c>
      <c r="F163" s="37" t="n">
        <f aca="false">E167</f>
        <v>0</v>
      </c>
      <c r="G163" s="37" t="n">
        <f aca="false">F167</f>
        <v>0</v>
      </c>
      <c r="H163" s="37" t="n">
        <f aca="false">G167</f>
        <v>0</v>
      </c>
      <c r="I163" s="37" t="n">
        <f aca="false">H167</f>
        <v>0</v>
      </c>
      <c r="J163" s="37" t="n">
        <f aca="false">I167</f>
        <v>0</v>
      </c>
      <c r="K163" s="37" t="n">
        <f aca="false">J167</f>
        <v>0</v>
      </c>
      <c r="L163" s="37" t="n">
        <f aca="false">K167</f>
        <v>0</v>
      </c>
      <c r="M163" s="37" t="n">
        <f aca="false">L167</f>
        <v>0</v>
      </c>
      <c r="N163" s="37" t="n">
        <f aca="false">M167</f>
        <v>0</v>
      </c>
      <c r="O163" s="37" t="n">
        <f aca="false">N167</f>
        <v>0</v>
      </c>
      <c r="P163" s="37" t="n">
        <f aca="false">O167</f>
        <v>0</v>
      </c>
      <c r="Q163" s="37" t="n">
        <f aca="false">P167</f>
        <v>0</v>
      </c>
      <c r="R163" s="37" t="n">
        <f aca="false">Q167</f>
        <v>0</v>
      </c>
      <c r="S163" s="37" t="n">
        <f aca="false">R167</f>
        <v>0</v>
      </c>
      <c r="T163" s="37" t="n">
        <f aca="false">S167</f>
        <v>0</v>
      </c>
      <c r="U163" s="37" t="n">
        <f aca="false">T167</f>
        <v>0</v>
      </c>
      <c r="V163" s="37" t="n">
        <f aca="false">U167</f>
        <v>0</v>
      </c>
      <c r="W163" s="37" t="n">
        <f aca="false">V167</f>
        <v>0</v>
      </c>
      <c r="X163" s="37" t="n">
        <f aca="false">W167</f>
        <v>0</v>
      </c>
      <c r="Y163" s="37" t="n">
        <f aca="false">X167</f>
        <v>599.470332959938</v>
      </c>
      <c r="Z163" s="37" t="n">
        <f aca="false">Y167</f>
        <v>1201.38298226098</v>
      </c>
      <c r="AA163" s="37" t="n">
        <f aca="false">Z167</f>
        <v>1805.74789820222</v>
      </c>
      <c r="AB163" s="37" t="n">
        <f aca="false">AA167</f>
        <v>2412.5750716215</v>
      </c>
      <c r="AC163" s="37" t="n">
        <f aca="false">AB167</f>
        <v>3021.87453406056</v>
      </c>
      <c r="AD163" s="37" t="n">
        <f aca="false">AC167</f>
        <v>3633.65635793092</v>
      </c>
      <c r="AE163" s="37" t="n">
        <f aca="false">AD167</f>
        <v>4247.93065668031</v>
      </c>
      <c r="AF163" s="37" t="n">
        <f aca="false">AE167</f>
        <v>4864.70758495992</v>
      </c>
      <c r="AG163" s="37" t="n">
        <f aca="false">AF167</f>
        <v>5483.99733879224</v>
      </c>
      <c r="AH163" s="37" t="n">
        <f aca="false">AG167</f>
        <v>6105.81015573961</v>
      </c>
      <c r="AI163" s="37" t="n">
        <f aca="false">AH167</f>
        <v>6730.15631507349</v>
      </c>
      <c r="AJ163" s="37" t="n">
        <f aca="false">AI167</f>
        <v>7357.04613794434</v>
      </c>
      <c r="AK163" s="37" t="n">
        <f aca="false">AJ167</f>
        <v>7986.48998755228</v>
      </c>
      <c r="AL163" s="37" t="n">
        <f aca="false">AK167</f>
        <v>8618.49826931837</v>
      </c>
      <c r="AM163" s="37" t="n">
        <f aca="false">AL167</f>
        <v>9253.08143105667</v>
      </c>
      <c r="AN163" s="37" t="n">
        <f aca="false">AM167</f>
        <v>9890.24996314692</v>
      </c>
      <c r="AO163" s="37" t="n">
        <f aca="false">AN167</f>
        <v>10530.0143987079</v>
      </c>
      <c r="AP163" s="37" t="n">
        <f aca="false">AO167</f>
        <v>11172.3853137718</v>
      </c>
      <c r="AQ163" s="37" t="n">
        <f aca="false">AP167</f>
        <v>11817.3733274587</v>
      </c>
      <c r="AR163" s="37" t="n">
        <f aca="false">AQ167</f>
        <v>12464.9891021523</v>
      </c>
      <c r="AS163" s="37" t="n">
        <f aca="false">AR167</f>
        <v>13115.2433436762</v>
      </c>
      <c r="AT163" s="37" t="n">
        <f aca="false">AS167</f>
        <v>13768.1468014709</v>
      </c>
      <c r="AU163" s="37" t="n">
        <f aca="false">AT167</f>
        <v>14423.7102687715</v>
      </c>
      <c r="AV163" s="37" t="n">
        <f aca="false">AU167</f>
        <v>15081.9445827859</v>
      </c>
      <c r="AW163" s="37" t="n">
        <f aca="false">AV167</f>
        <v>15742.8606248742</v>
      </c>
      <c r="AX163" s="37" t="n">
        <f aca="false">AW167</f>
        <v>16406.4693207286</v>
      </c>
      <c r="AY163" s="37" t="n">
        <f aca="false">AX167</f>
        <v>17072.7816405539</v>
      </c>
      <c r="AZ163" s="37" t="n">
        <f aca="false">AY167</f>
        <v>17741.8085992486</v>
      </c>
      <c r="BA163" s="37" t="n">
        <f aca="false">AZ167</f>
        <v>18413.5612565877</v>
      </c>
      <c r="BB163" s="37" t="n">
        <f aca="false">BA167</f>
        <v>19088.0507174048</v>
      </c>
      <c r="BC163" s="37" t="n">
        <f aca="false">BB167</f>
        <v>19765.288131776</v>
      </c>
      <c r="BD163" s="37" t="n">
        <f aca="false">BC167</f>
        <v>20445.2846952042</v>
      </c>
      <c r="BE163" s="37" t="n">
        <f aca="false">BD167</f>
        <v>21128.0516488044</v>
      </c>
      <c r="BF163" s="37" t="n">
        <f aca="false">BE167</f>
        <v>21813.6002794888</v>
      </c>
      <c r="BG163" s="37" t="n">
        <f aca="false">BF167</f>
        <v>22501.9419201544</v>
      </c>
      <c r="BH163" s="37" t="n">
        <f aca="false">BG167</f>
        <v>23193.0879498696</v>
      </c>
      <c r="BI163" s="37" t="n">
        <f aca="false">BH167</f>
        <v>23887.0497940623</v>
      </c>
      <c r="BJ163" s="37" t="n">
        <f aca="false">BI167</f>
        <v>24583.8389247094</v>
      </c>
      <c r="BK163" s="37" t="n">
        <f aca="false">BJ167</f>
        <v>25283.4668605259</v>
      </c>
      <c r="BL163" s="37" t="n">
        <f aca="false">BK167</f>
        <v>25985.9451671554</v>
      </c>
      <c r="BM163" s="37" t="n">
        <f aca="false">BL167</f>
        <v>26691.2854573614</v>
      </c>
      <c r="BN163" s="37" t="n">
        <f aca="false">BM167</f>
        <v>25583.6985166237</v>
      </c>
      <c r="BO163" s="37" t="n">
        <f aca="false">BN167</f>
        <v>25768.8044968892</v>
      </c>
      <c r="BP163" s="37" t="n">
        <f aca="false">BO167</f>
        <v>25872.4229495155</v>
      </c>
      <c r="BQ163" s="37" t="n">
        <f aca="false">BP167</f>
        <v>26058.7052288599</v>
      </c>
      <c r="BR163" s="37" t="n">
        <f aca="false">BQ167</f>
        <v>26163.5047729532</v>
      </c>
      <c r="BS163" s="37" t="n">
        <f aca="false">BR167</f>
        <v>26268.7312833616</v>
      </c>
      <c r="BT163" s="37" t="n">
        <f aca="false">BS167</f>
        <v>26456.6281719146</v>
      </c>
      <c r="BU163" s="37" t="n">
        <f aca="false">BT167</f>
        <v>26563.0489033343</v>
      </c>
      <c r="BV163" s="37" t="n">
        <f aca="false">BU167</f>
        <v>26752.1448783028</v>
      </c>
      <c r="BW163" s="37" t="n">
        <f aca="false">BV167</f>
        <v>26859.7695813644</v>
      </c>
      <c r="BX163" s="37" t="n">
        <f aca="false">BW167</f>
        <v>26967.8327607884</v>
      </c>
      <c r="BY163" s="37" t="n">
        <f aca="false">BX167</f>
        <v>27240.8195476138</v>
      </c>
      <c r="BZ163" s="37" t="n">
        <f aca="false">BY167</f>
        <v>26440.7815342564</v>
      </c>
      <c r="CA163" s="37" t="n">
        <f aca="false">BZ167</f>
        <v>25567.8773890343</v>
      </c>
      <c r="CB163" s="37" t="n">
        <f aca="false">CA167</f>
        <v>24594.6248022399</v>
      </c>
      <c r="CC163" s="37" t="n">
        <f aca="false">CB167</f>
        <v>23714.1991859676</v>
      </c>
      <c r="CD163" s="37" t="n">
        <f aca="false">CC167</f>
        <v>22733.3944847188</v>
      </c>
      <c r="CE163" s="37" t="n">
        <f aca="false">CD167</f>
        <v>21748.5938637096</v>
      </c>
      <c r="CF163" s="37" t="n">
        <f aca="false">CE167</f>
        <v>20856.5731651016</v>
      </c>
      <c r="CG163" s="37" t="n">
        <f aca="false">CF167</f>
        <v>19864.1261417165</v>
      </c>
      <c r="CH163" s="37" t="n">
        <f aca="false">CG167</f>
        <v>18964.4278883428</v>
      </c>
      <c r="CI163" s="37" t="n">
        <f aca="false">CH167</f>
        <v>17964.2720308835</v>
      </c>
      <c r="CJ163" s="37" t="n">
        <f aca="false">CI167</f>
        <v>16960.041414658</v>
      </c>
      <c r="CK163" s="37" t="n">
        <f aca="false">CJ167</f>
        <v>16242.0958046949</v>
      </c>
      <c r="CL163" s="37" t="n">
        <f aca="false">CK167</f>
        <v>15141.353866592</v>
      </c>
      <c r="CM163" s="37" t="n">
        <f aca="false">CL167</f>
        <v>14105.7053340534</v>
      </c>
      <c r="CN163" s="37" t="n">
        <f aca="false">CM167</f>
        <v>12967.1094767229</v>
      </c>
      <c r="CO163" s="37" t="n">
        <f aca="false">CN167</f>
        <v>11922.6028034041</v>
      </c>
      <c r="CP163" s="37" t="n">
        <f aca="false">CO167</f>
        <v>10775.1127161313</v>
      </c>
      <c r="CQ163" s="37" t="n">
        <f aca="false">CP167</f>
        <v>9622.94761220241</v>
      </c>
      <c r="CR163" s="37" t="n">
        <f aca="false">CQ167</f>
        <v>8564.81640949502</v>
      </c>
      <c r="CS163" s="37" t="n">
        <f aca="false">CR167</f>
        <v>7403.64628481438</v>
      </c>
      <c r="CT163" s="37" t="n">
        <f aca="false">CS167</f>
        <v>6336.47337378599</v>
      </c>
      <c r="CU163" s="37" t="n">
        <f aca="false">CT167</f>
        <v>5166.22470374544</v>
      </c>
      <c r="CV163" s="37" t="n">
        <f aca="false">CU167</f>
        <v>3991.20829576549</v>
      </c>
      <c r="CW163" s="37" t="n">
        <f aca="false">CV167</f>
        <v>3107.58861891386</v>
      </c>
      <c r="CX163" s="37" t="n">
        <f aca="false">CW167</f>
        <v>1832.90021068905</v>
      </c>
      <c r="CY163" s="37" t="n">
        <f aca="false">CX167</f>
        <v>653.721087867103</v>
      </c>
      <c r="CZ163" s="37" t="n">
        <f aca="false">CY167</f>
        <v>0</v>
      </c>
      <c r="DA163" s="37" t="n">
        <f aca="false">CZ167</f>
        <v>0</v>
      </c>
      <c r="DB163" s="37" t="n">
        <f aca="false">DA167</f>
        <v>0</v>
      </c>
      <c r="DC163" s="37" t="n">
        <f aca="false">DB167</f>
        <v>0</v>
      </c>
      <c r="DD163" s="37" t="n">
        <f aca="false">DC167</f>
        <v>0</v>
      </c>
      <c r="DE163" s="37" t="n">
        <f aca="false">DD167</f>
        <v>0</v>
      </c>
      <c r="DF163" s="37" t="n">
        <f aca="false">DE167</f>
        <v>0</v>
      </c>
      <c r="DG163" s="37" t="n">
        <f aca="false">DF167</f>
        <v>0</v>
      </c>
      <c r="DH163" s="37" t="n">
        <f aca="false">DG167</f>
        <v>0</v>
      </c>
      <c r="DI163" s="37" t="n">
        <f aca="false">DH167</f>
        <v>0</v>
      </c>
      <c r="DJ163" s="37" t="n">
        <f aca="false">DI167</f>
        <v>0</v>
      </c>
      <c r="DK163" s="37" t="n">
        <f aca="false">DJ167</f>
        <v>0</v>
      </c>
      <c r="DL163" s="37" t="n">
        <f aca="false">DK167</f>
        <v>0</v>
      </c>
      <c r="DM163" s="37" t="n">
        <f aca="false">DL167</f>
        <v>0</v>
      </c>
      <c r="DN163" s="37" t="n">
        <f aca="false">DM167</f>
        <v>0</v>
      </c>
      <c r="DO163" s="37" t="n">
        <f aca="false">DN167</f>
        <v>0</v>
      </c>
      <c r="DP163" s="37" t="n">
        <f aca="false">DO167</f>
        <v>0</v>
      </c>
      <c r="DQ163" s="37" t="n">
        <f aca="false">DP167</f>
        <v>0</v>
      </c>
      <c r="DR163" s="37" t="n">
        <f aca="false">DQ167</f>
        <v>0</v>
      </c>
      <c r="DS163" s="37" t="n">
        <f aca="false">DR167</f>
        <v>0</v>
      </c>
      <c r="DT163" s="37" t="n">
        <f aca="false">DS167</f>
        <v>0</v>
      </c>
      <c r="DU163" s="37" t="n">
        <f aca="false">DT167</f>
        <v>599.470332959938</v>
      </c>
      <c r="DV163" s="37" t="n">
        <f aca="false">DU167</f>
        <v>1201.38298226098</v>
      </c>
      <c r="DW163" s="37" t="n">
        <f aca="false">DV167</f>
        <v>1805.74789820222</v>
      </c>
      <c r="DX163" s="37" t="n">
        <f aca="false">DW167</f>
        <v>0</v>
      </c>
      <c r="DY163" s="37" t="n">
        <f aca="false">DX167</f>
        <v>0</v>
      </c>
      <c r="DZ163" s="37" t="n">
        <f aca="false">DY167</f>
        <v>0</v>
      </c>
      <c r="EA163" s="37" t="n">
        <f aca="false">DZ167</f>
        <v>0</v>
      </c>
      <c r="EB163" s="37" t="n">
        <f aca="false">EA167</f>
        <v>0</v>
      </c>
      <c r="EC163" s="37" t="n">
        <f aca="false">EB167</f>
        <v>0</v>
      </c>
      <c r="ED163" s="37" t="n">
        <f aca="false">EC167</f>
        <v>0</v>
      </c>
      <c r="EE163" s="37" t="n">
        <f aca="false">ED167</f>
        <v>0</v>
      </c>
      <c r="EF163" s="37" t="n">
        <f aca="false">EE167</f>
        <v>0</v>
      </c>
    </row>
    <row r="164" customFormat="false" ht="15" hidden="false" customHeight="false" outlineLevel="0" collapsed="false">
      <c r="A164" s="36" t="s">
        <v>693</v>
      </c>
      <c r="B164" s="278" t="s">
        <v>21</v>
      </c>
      <c r="C164" s="279" t="n">
        <f aca="false">SUM(E164:EF164)</f>
        <v>67367.2336271479</v>
      </c>
      <c r="E164" s="37" t="n">
        <f aca="false">(E162+E163)*③기타_가정!$E$476</f>
        <v>0</v>
      </c>
      <c r="F164" s="37" t="n">
        <f aca="false">(F162+F163)*③기타_가정!$E$476</f>
        <v>0</v>
      </c>
      <c r="G164" s="37" t="n">
        <f aca="false">(G162+G163)*③기타_가정!$E$476</f>
        <v>0</v>
      </c>
      <c r="H164" s="37" t="n">
        <f aca="false">(H162+H163)*③기타_가정!$E$476</f>
        <v>0</v>
      </c>
      <c r="I164" s="37" t="n">
        <f aca="false">(I162+I163)*③기타_가정!$E$476</f>
        <v>0</v>
      </c>
      <c r="J164" s="37" t="n">
        <f aca="false">(J162+J163)*③기타_가정!$E$476</f>
        <v>0</v>
      </c>
      <c r="K164" s="37" t="n">
        <f aca="false">(K162+K163)*③기타_가정!$E$476</f>
        <v>0</v>
      </c>
      <c r="L164" s="37" t="n">
        <f aca="false">(L162+L163)*③기타_가정!$E$476</f>
        <v>0</v>
      </c>
      <c r="M164" s="37" t="n">
        <f aca="false">(M162+M163)*③기타_가정!$E$476</f>
        <v>0</v>
      </c>
      <c r="N164" s="37" t="n">
        <f aca="false">(N162+N163)*③기타_가정!$E$476</f>
        <v>0</v>
      </c>
      <c r="O164" s="37" t="n">
        <f aca="false">(O162+O163)*③기타_가정!$E$476</f>
        <v>0</v>
      </c>
      <c r="P164" s="37" t="n">
        <f aca="false">(P162+P163)*③기타_가정!$E$476</f>
        <v>0</v>
      </c>
      <c r="Q164" s="37" t="n">
        <f aca="false">(Q162+Q163)*③기타_가정!$E$476</f>
        <v>0</v>
      </c>
      <c r="R164" s="37" t="n">
        <f aca="false">(R162+R163)*③기타_가정!$E$476</f>
        <v>0</v>
      </c>
      <c r="S164" s="37" t="n">
        <f aca="false">(S162+S163)*③기타_가정!$E$476</f>
        <v>0</v>
      </c>
      <c r="T164" s="37" t="n">
        <f aca="false">(T162+T163)*③기타_가정!$E$476</f>
        <v>0</v>
      </c>
      <c r="U164" s="37" t="n">
        <f aca="false">(U162+U163)*③기타_가정!$E$476</f>
        <v>0</v>
      </c>
      <c r="V164" s="37" t="n">
        <f aca="false">(V162+V163)*③기타_가정!$E$476</f>
        <v>0</v>
      </c>
      <c r="W164" s="37" t="n">
        <f aca="false">(W162+W163)*③기타_가정!$E$476</f>
        <v>0</v>
      </c>
      <c r="X164" s="37" t="n">
        <f aca="false">(X162+X163)*③기타_가정!$E$476</f>
        <v>599.470332959938</v>
      </c>
      <c r="Y164" s="37" t="n">
        <f aca="false">(Y162+Y163)*③기타_가정!$E$476</f>
        <v>601.912649301042</v>
      </c>
      <c r="Z164" s="37" t="n">
        <f aca="false">(Z162+Z163)*③기타_가정!$E$476</f>
        <v>604.364915941238</v>
      </c>
      <c r="AA164" s="37" t="n">
        <f aca="false">(AA162+AA163)*③기타_가정!$E$476</f>
        <v>606.827173419277</v>
      </c>
      <c r="AB164" s="37" t="n">
        <f aca="false">(AB162+AB163)*③기타_가정!$E$476</f>
        <v>609.299462439069</v>
      </c>
      <c r="AC164" s="37" t="n">
        <f aca="false">(AC162+AC163)*③기타_가정!$E$476</f>
        <v>611.781823870356</v>
      </c>
      <c r="AD164" s="37" t="n">
        <f aca="false">(AD162+AD163)*③기타_가정!$E$476</f>
        <v>614.27429874939</v>
      </c>
      <c r="AE164" s="37" t="n">
        <f aca="false">(AE162+AE163)*③기타_가정!$E$476</f>
        <v>616.776928279609</v>
      </c>
      <c r="AF164" s="37" t="n">
        <f aca="false">(AF162+AF163)*③기타_가정!$E$476</f>
        <v>619.289753832318</v>
      </c>
      <c r="AG164" s="37" t="n">
        <f aca="false">(AG162+AG163)*③기타_가정!$E$476</f>
        <v>621.812816947376</v>
      </c>
      <c r="AH164" s="37" t="n">
        <f aca="false">(AH162+AH163)*③기타_가정!$E$476</f>
        <v>624.346159333879</v>
      </c>
      <c r="AI164" s="37" t="n">
        <f aca="false">(AI162+AI163)*③기타_가정!$E$476</f>
        <v>626.889822870851</v>
      </c>
      <c r="AJ164" s="37" t="n">
        <f aca="false">(AJ162+AJ163)*③기타_가정!$E$476</f>
        <v>629.443849607936</v>
      </c>
      <c r="AK164" s="37" t="n">
        <f aca="false">(AK162+AK163)*③기타_가정!$E$476</f>
        <v>632.008281766095</v>
      </c>
      <c r="AL164" s="37" t="n">
        <f aca="false">(AL162+AL163)*③기타_가정!$E$476</f>
        <v>634.583161738301</v>
      </c>
      <c r="AM164" s="37" t="n">
        <f aca="false">(AM162+AM163)*③기타_가정!$E$476</f>
        <v>637.168532090241</v>
      </c>
      <c r="AN164" s="37" t="n">
        <f aca="false">(AN162+AN163)*③기타_가정!$E$476</f>
        <v>639.764435561023</v>
      </c>
      <c r="AO164" s="37" t="n">
        <f aca="false">(AO162+AO163)*③기타_가정!$E$476</f>
        <v>642.370915063874</v>
      </c>
      <c r="AP164" s="37" t="n">
        <f aca="false">(AP162+AP163)*③기타_가정!$E$476</f>
        <v>644.98801368686</v>
      </c>
      <c r="AQ164" s="37" t="n">
        <f aca="false">(AQ162+AQ163)*③기타_가정!$E$476</f>
        <v>647.615774693589</v>
      </c>
      <c r="AR164" s="37" t="n">
        <f aca="false">(AR162+AR163)*③기타_가정!$E$476</f>
        <v>650.254241523935</v>
      </c>
      <c r="AS164" s="37" t="n">
        <f aca="false">(AS162+AS163)*③기타_가정!$E$476</f>
        <v>652.903457794745</v>
      </c>
      <c r="AT164" s="37" t="n">
        <f aca="false">(AT162+AT163)*③기타_가정!$E$476</f>
        <v>655.563467300573</v>
      </c>
      <c r="AU164" s="37" t="n">
        <f aca="false">(AU162+AU163)*③기타_가정!$E$476</f>
        <v>658.234314014393</v>
      </c>
      <c r="AV164" s="37" t="n">
        <f aca="false">(AV162+AV163)*③기타_가정!$E$476</f>
        <v>660.916042088333</v>
      </c>
      <c r="AW164" s="37" t="n">
        <f aca="false">(AW162+AW163)*③기타_가정!$E$476</f>
        <v>663.6086958544</v>
      </c>
      <c r="AX164" s="37" t="n">
        <f aca="false">(AX162+AX163)*③기타_가정!$E$476</f>
        <v>666.312319825216</v>
      </c>
      <c r="AY164" s="37" t="n">
        <f aca="false">(AY162+AY163)*③기타_가정!$E$476</f>
        <v>669.026958694754</v>
      </c>
      <c r="AZ164" s="37" t="n">
        <f aca="false">(AZ162+AZ163)*③기타_가정!$E$476</f>
        <v>671.752657339074</v>
      </c>
      <c r="BA164" s="37" t="n">
        <f aca="false">(BA162+BA163)*③기타_가정!$E$476</f>
        <v>674.489460817068</v>
      </c>
      <c r="BB164" s="37" t="n">
        <f aca="false">(BB162+BB163)*③기타_가정!$E$476</f>
        <v>677.237414371203</v>
      </c>
      <c r="BC164" s="37" t="n">
        <f aca="false">(BC162+BC163)*③기타_가정!$E$476</f>
        <v>679.996563428269</v>
      </c>
      <c r="BD164" s="37" t="n">
        <f aca="false">(BD162+BD163)*③기타_가정!$E$476</f>
        <v>682.766953600132</v>
      </c>
      <c r="BE164" s="37" t="n">
        <f aca="false">(BE162+BE163)*③기타_가정!$E$476</f>
        <v>685.548630684483</v>
      </c>
      <c r="BF164" s="37" t="n">
        <f aca="false">(BF162+BF163)*③기타_가정!$E$476</f>
        <v>688.341640665602</v>
      </c>
      <c r="BG164" s="37" t="n">
        <f aca="false">(BG162+BG163)*③기타_가정!$E$476</f>
        <v>691.146029715114</v>
      </c>
      <c r="BH164" s="37" t="n">
        <f aca="false">(BH162+BH163)*③기타_가정!$E$476</f>
        <v>693.96184419275</v>
      </c>
      <c r="BI164" s="37" t="n">
        <f aca="false">(BI162+BI163)*③기타_가정!$E$476</f>
        <v>696.78913064712</v>
      </c>
      <c r="BJ164" s="37" t="n">
        <f aca="false">(BJ162+BJ163)*③기타_가정!$E$476</f>
        <v>699.627935816477</v>
      </c>
      <c r="BK164" s="37" t="n">
        <f aca="false">(BK162+BK163)*③기타_가정!$E$476</f>
        <v>702.478306629492</v>
      </c>
      <c r="BL164" s="37" t="n">
        <f aca="false">(BL162+BL163)*③기타_가정!$E$476</f>
        <v>705.340290206028</v>
      </c>
      <c r="BM164" s="37" t="n">
        <f aca="false">(BM162+BM163)*③기타_가정!$E$476</f>
        <v>708.213933857922</v>
      </c>
      <c r="BN164" s="37" t="n">
        <f aca="false">(BN162+BN163)*③기타_가정!$E$476</f>
        <v>703.701487560204</v>
      </c>
      <c r="BO164" s="37" t="n">
        <f aca="false">(BO162+BO163)*③기타_가정!$E$476</f>
        <v>704.455632236899</v>
      </c>
      <c r="BP164" s="37" t="n">
        <f aca="false">(BP162+BP163)*③기타_가정!$E$476</f>
        <v>704.877786639169</v>
      </c>
      <c r="BQ164" s="37" t="n">
        <f aca="false">(BQ162+BQ163)*③기타_가정!$E$476</f>
        <v>705.636723703918</v>
      </c>
      <c r="BR164" s="37" t="n">
        <f aca="false">(BR162+BR163)*③기타_가정!$E$476</f>
        <v>706.063690019024</v>
      </c>
      <c r="BS164" s="37" t="n">
        <f aca="false">(BS162+BS163)*③기타_가정!$E$476</f>
        <v>706.492395847749</v>
      </c>
      <c r="BT164" s="37" t="n">
        <f aca="false">(BT162+BT163)*③기타_가정!$E$476</f>
        <v>707.257911030277</v>
      </c>
      <c r="BU164" s="37" t="n">
        <f aca="false">(BU162+BU163)*③기타_가정!$E$476</f>
        <v>707.691482263227</v>
      </c>
      <c r="BV164" s="37" t="n">
        <f aca="false">(BV162+BV163)*③기타_가정!$E$476</f>
        <v>708.461882672238</v>
      </c>
      <c r="BW164" s="37" t="n">
        <f aca="false">(BW162+BW163)*③기타_가정!$E$476</f>
        <v>708.90035903469</v>
      </c>
      <c r="BX164" s="37" t="n">
        <f aca="false">(BX162+BX163)*③기타_가정!$E$476</f>
        <v>709.340621804118</v>
      </c>
      <c r="BY164" s="37" t="n">
        <f aca="false">(BY162+BY163)*③기타_가정!$E$476</f>
        <v>710.452803764945</v>
      </c>
      <c r="BZ164" s="37" t="n">
        <f aca="false">(BZ162+BZ163)*③기타_가정!$E$476</f>
        <v>707.193349866903</v>
      </c>
      <c r="CA164" s="37" t="n">
        <f aca="false">(CA162+CA163)*③기타_가정!$E$476</f>
        <v>703.637030328008</v>
      </c>
      <c r="CB164" s="37" t="n">
        <f aca="false">(CB162+CB163)*③기타_가정!$E$476</f>
        <v>699.671878816652</v>
      </c>
      <c r="CC164" s="37" t="n">
        <f aca="false">(CC162+CC163)*③기타_가정!$E$476</f>
        <v>696.084915873663</v>
      </c>
      <c r="CD164" s="37" t="n">
        <f aca="false">(CD162+CD163)*③기타_가정!$E$476</f>
        <v>692.088996113192</v>
      </c>
      <c r="CE164" s="37" t="n">
        <f aca="false">(CE162+CE163)*③기타_가정!$E$476</f>
        <v>688.076796480986</v>
      </c>
      <c r="CF164" s="37" t="n">
        <f aca="false">(CF162+CF163)*③기타_가정!$E$476</f>
        <v>684.442593737281</v>
      </c>
      <c r="CG164" s="37" t="n">
        <f aca="false">(CG162+CG163)*③기타_가정!$E$476</f>
        <v>680.399241715297</v>
      </c>
      <c r="CH164" s="37" t="n">
        <f aca="false">(CH162+CH163)*③기타_가정!$E$476</f>
        <v>676.73375966312</v>
      </c>
      <c r="CI164" s="37" t="n">
        <f aca="false">(CI162+CI163)*③기타_가정!$E$476</f>
        <v>672.65900089689</v>
      </c>
      <c r="CJ164" s="37" t="n">
        <f aca="false">(CJ162+CJ163)*③기타_가정!$E$476</f>
        <v>668.567641059058</v>
      </c>
      <c r="CK164" s="37" t="n">
        <f aca="false">(CK162+CK163)*③기타_가정!$E$476</f>
        <v>665.642641774141</v>
      </c>
      <c r="CL164" s="37" t="n">
        <f aca="false">(CL162+CL163)*③기타_가정!$E$476</f>
        <v>661.158082864457</v>
      </c>
      <c r="CM164" s="37" t="n">
        <f aca="false">(CM162+CM163)*③기타_가정!$E$476</f>
        <v>656.938722546541</v>
      </c>
      <c r="CN164" s="37" t="n">
        <f aca="false">(CN162+CN163)*③기타_가정!$E$476</f>
        <v>652.299942084227</v>
      </c>
      <c r="CO164" s="37" t="n">
        <f aca="false">(CO162+CO163)*③기타_가정!$E$476</f>
        <v>648.04449260428</v>
      </c>
      <c r="CP164" s="37" t="n">
        <f aca="false">(CP162+CP163)*③기타_가정!$E$476</f>
        <v>643.369475948221</v>
      </c>
      <c r="CQ164" s="37" t="n">
        <f aca="false">(CQ162+CQ163)*③기타_가정!$E$476</f>
        <v>638.675412695614</v>
      </c>
      <c r="CR164" s="37" t="n">
        <f aca="false">(CR162+CR163)*③기타_가정!$E$476</f>
        <v>634.364455196444</v>
      </c>
      <c r="CS164" s="37" t="n">
        <f aca="false">(CS162+CS163)*③기타_가정!$E$476</f>
        <v>629.63370437462</v>
      </c>
      <c r="CT164" s="37" t="n">
        <f aca="false">(CT162+CT163)*③기타_가정!$E$476</f>
        <v>625.285909836534</v>
      </c>
      <c r="CU164" s="37" t="n">
        <f aca="false">(CU162+CU163)*③기타_가정!$E$476</f>
        <v>620.518171897139</v>
      </c>
      <c r="CV164" s="37" t="n">
        <f aca="false">(CV162+CV163)*③기타_가정!$E$476</f>
        <v>615.731009603211</v>
      </c>
      <c r="CW164" s="37" t="n">
        <f aca="false">(CW162+CW163)*③기타_가정!$E$476</f>
        <v>612.13103366205</v>
      </c>
      <c r="CX164" s="37" t="n">
        <f aca="false">(CX162+CX163)*③기타_가정!$E$476</f>
        <v>606.937795301361</v>
      </c>
      <c r="CY164" s="37" t="n">
        <f aca="false">(CY162+CY163)*③기타_가정!$E$476</f>
        <v>602.13367359189</v>
      </c>
      <c r="CZ164" s="37" t="n">
        <f aca="false">(CZ162+CZ163)*③기타_가정!$E$476</f>
        <v>599.470332959938</v>
      </c>
      <c r="DA164" s="37" t="n">
        <f aca="false">(DA162+DA163)*③기타_가정!$E$476</f>
        <v>599.470332959938</v>
      </c>
      <c r="DB164" s="37" t="n">
        <f aca="false">(DB162+DB163)*③기타_가정!$E$476</f>
        <v>599.470332959938</v>
      </c>
      <c r="DC164" s="37" t="n">
        <f aca="false">(DC162+DC163)*③기타_가정!$E$476</f>
        <v>599.470332959938</v>
      </c>
      <c r="DD164" s="37" t="n">
        <f aca="false">(DD162+DD163)*③기타_가정!$E$476</f>
        <v>599.470332959938</v>
      </c>
      <c r="DE164" s="37" t="n">
        <f aca="false">(DE162+DE163)*③기타_가정!$E$476</f>
        <v>599.470332959938</v>
      </c>
      <c r="DF164" s="37" t="n">
        <f aca="false">(DF162+DF163)*③기타_가정!$E$476</f>
        <v>599.470332959938</v>
      </c>
      <c r="DG164" s="37" t="n">
        <f aca="false">(DG162+DG163)*③기타_가정!$E$476</f>
        <v>599.470332959938</v>
      </c>
      <c r="DH164" s="37" t="n">
        <f aca="false">(DH162+DH163)*③기타_가정!$E$476</f>
        <v>599.470332959938</v>
      </c>
      <c r="DI164" s="37" t="n">
        <f aca="false">(DI162+DI163)*③기타_가정!$E$476</f>
        <v>599.470332959938</v>
      </c>
      <c r="DJ164" s="37" t="n">
        <f aca="false">(DJ162+DJ163)*③기타_가정!$E$476</f>
        <v>599.470332959938</v>
      </c>
      <c r="DK164" s="37" t="n">
        <f aca="false">(DK162+DK163)*③기타_가정!$E$476</f>
        <v>599.470332959938</v>
      </c>
      <c r="DL164" s="37" t="n">
        <f aca="false">(DL162+DL163)*③기타_가정!$E$476</f>
        <v>599.470332959938</v>
      </c>
      <c r="DM164" s="37" t="n">
        <f aca="false">(DM162+DM163)*③기타_가정!$E$476</f>
        <v>599.470332959938</v>
      </c>
      <c r="DN164" s="37" t="n">
        <f aca="false">(DN162+DN163)*③기타_가정!$E$476</f>
        <v>599.470332959938</v>
      </c>
      <c r="DO164" s="37" t="n">
        <f aca="false">(DO162+DO163)*③기타_가정!$E$476</f>
        <v>599.470332959938</v>
      </c>
      <c r="DP164" s="37" t="n">
        <f aca="false">(DP162+DP163)*③기타_가정!$E$476</f>
        <v>599.470332959938</v>
      </c>
      <c r="DQ164" s="37" t="n">
        <f aca="false">(DQ162+DQ163)*③기타_가정!$E$476</f>
        <v>599.470332959938</v>
      </c>
      <c r="DR164" s="37" t="n">
        <f aca="false">(DR162+DR163)*③기타_가정!$E$476</f>
        <v>599.470332959938</v>
      </c>
      <c r="DS164" s="37" t="n">
        <f aca="false">(DS162+DS163)*③기타_가정!$E$476</f>
        <v>599.470332959938</v>
      </c>
      <c r="DT164" s="37" t="n">
        <f aca="false">(DT162+DT163)*③기타_가정!$E$476</f>
        <v>599.470332959938</v>
      </c>
      <c r="DU164" s="37" t="n">
        <f aca="false">(DU162+DU163)*③기타_가정!$E$476</f>
        <v>601.912649301042</v>
      </c>
      <c r="DV164" s="37" t="n">
        <f aca="false">(DV162+DV163)*③기타_가정!$E$476</f>
        <v>604.364915941238</v>
      </c>
      <c r="DW164" s="37" t="n">
        <f aca="false">(DW162+DW163)*③기타_가정!$E$476</f>
        <v>606.827173419277</v>
      </c>
      <c r="DX164" s="37" t="n">
        <f aca="false">(DX162+DX163)*③기타_가정!$E$476</f>
        <v>0</v>
      </c>
      <c r="DY164" s="37" t="n">
        <f aca="false">(DY162+DY163)*③기타_가정!$E$476</f>
        <v>0</v>
      </c>
      <c r="DZ164" s="37" t="n">
        <f aca="false">(DZ162+DZ163)*③기타_가정!$E$476</f>
        <v>0</v>
      </c>
      <c r="EA164" s="37" t="n">
        <f aca="false">(EA162+EA163)*③기타_가정!$E$476</f>
        <v>0</v>
      </c>
      <c r="EB164" s="37" t="n">
        <f aca="false">(EB162+EB163)*③기타_가정!$E$476</f>
        <v>0</v>
      </c>
      <c r="EC164" s="37" t="n">
        <f aca="false">(EC162+EC163)*③기타_가정!$E$476</f>
        <v>0</v>
      </c>
      <c r="ED164" s="37" t="n">
        <f aca="false">(ED162+ED163)*③기타_가정!$E$476</f>
        <v>0</v>
      </c>
      <c r="EE164" s="37" t="n">
        <f aca="false">(EE162+EE163)*③기타_가정!$E$476</f>
        <v>0</v>
      </c>
      <c r="EF164" s="37" t="n">
        <f aca="false">(EF162+EF163)*③기타_가정!$E$476</f>
        <v>0</v>
      </c>
    </row>
    <row r="165" customFormat="false" ht="15" hidden="false" customHeight="false" outlineLevel="0" collapsed="false">
      <c r="A165" s="36" t="s">
        <v>694</v>
      </c>
      <c r="B165" s="278" t="s">
        <v>21</v>
      </c>
      <c r="C165" s="279" t="n">
        <f aca="false">SUM(E165:EF165)</f>
        <v>67367.2336271478</v>
      </c>
      <c r="E165" s="37" t="n">
        <f aca="false">MIN(E158,E163+E164)</f>
        <v>0</v>
      </c>
      <c r="F165" s="37" t="n">
        <f aca="false">MIN(F158,F163+F164)</f>
        <v>0</v>
      </c>
      <c r="G165" s="37" t="n">
        <f aca="false">MIN(G158,G163+G164)</f>
        <v>0</v>
      </c>
      <c r="H165" s="37" t="n">
        <f aca="false">MIN(H158,H163+H164)</f>
        <v>0</v>
      </c>
      <c r="I165" s="37" t="n">
        <f aca="false">MIN(I158,I163+I164)</f>
        <v>0</v>
      </c>
      <c r="J165" s="37" t="n">
        <f aca="false">MIN(J158,J163+J164)</f>
        <v>0</v>
      </c>
      <c r="K165" s="37" t="n">
        <f aca="false">MIN(K158,K163+K164)</f>
        <v>0</v>
      </c>
      <c r="L165" s="37" t="n">
        <f aca="false">MIN(L158,L163+L164)</f>
        <v>0</v>
      </c>
      <c r="M165" s="37" t="n">
        <f aca="false">MIN(M158,M163+M164)</f>
        <v>0</v>
      </c>
      <c r="N165" s="37" t="n">
        <f aca="false">MIN(N158,N163+N164)</f>
        <v>0</v>
      </c>
      <c r="O165" s="37" t="n">
        <f aca="false">MIN(O158,O163+O164)</f>
        <v>0</v>
      </c>
      <c r="P165" s="37" t="n">
        <f aca="false">MIN(P158,P163+P164)</f>
        <v>0</v>
      </c>
      <c r="Q165" s="37" t="n">
        <f aca="false">MIN(Q158,Q163+Q164)</f>
        <v>0</v>
      </c>
      <c r="R165" s="37" t="n">
        <f aca="false">MIN(R158,R163+R164)</f>
        <v>0</v>
      </c>
      <c r="S165" s="37" t="n">
        <f aca="false">MIN(S158,S163+S164)</f>
        <v>0</v>
      </c>
      <c r="T165" s="37" t="n">
        <f aca="false">MIN(T158,T163+T164)</f>
        <v>0</v>
      </c>
      <c r="U165" s="37" t="n">
        <f aca="false">MIN(U158,U163+U164)</f>
        <v>0</v>
      </c>
      <c r="V165" s="37" t="n">
        <f aca="false">MIN(V158,V163+V164)</f>
        <v>0</v>
      </c>
      <c r="W165" s="37" t="n">
        <f aca="false">MIN(W158,W163+W164)</f>
        <v>0</v>
      </c>
      <c r="X165" s="37" t="n">
        <f aca="false">MIN(X158,X163+X164)</f>
        <v>0</v>
      </c>
      <c r="Y165" s="37" t="n">
        <f aca="false">MIN(Y158,Y163+Y164)</f>
        <v>0</v>
      </c>
      <c r="Z165" s="37" t="n">
        <f aca="false">MIN(Z158,Z163+Z164)</f>
        <v>0</v>
      </c>
      <c r="AA165" s="37" t="n">
        <f aca="false">MIN(AA158,AA163+AA164)</f>
        <v>0</v>
      </c>
      <c r="AB165" s="37" t="n">
        <f aca="false">MIN(AB158,AB163+AB164)</f>
        <v>0</v>
      </c>
      <c r="AC165" s="37" t="n">
        <f aca="false">MIN(AC158,AC163+AC164)</f>
        <v>0</v>
      </c>
      <c r="AD165" s="37" t="n">
        <f aca="false">MIN(AD158,AD163+AD164)</f>
        <v>0</v>
      </c>
      <c r="AE165" s="37" t="n">
        <f aca="false">MIN(AE158,AE163+AE164)</f>
        <v>0</v>
      </c>
      <c r="AF165" s="37" t="n">
        <f aca="false">MIN(AF158,AF163+AF164)</f>
        <v>0</v>
      </c>
      <c r="AG165" s="37" t="n">
        <f aca="false">MIN(AG158,AG163+AG164)</f>
        <v>0</v>
      </c>
      <c r="AH165" s="37" t="n">
        <f aca="false">MIN(AH158,AH163+AH164)</f>
        <v>0</v>
      </c>
      <c r="AI165" s="37" t="n">
        <f aca="false">MIN(AI158,AI163+AI164)</f>
        <v>0</v>
      </c>
      <c r="AJ165" s="37" t="n">
        <f aca="false">MIN(AJ158,AJ163+AJ164)</f>
        <v>0</v>
      </c>
      <c r="AK165" s="37" t="n">
        <f aca="false">MIN(AK158,AK163+AK164)</f>
        <v>0</v>
      </c>
      <c r="AL165" s="37" t="n">
        <f aca="false">MIN(AL158,AL163+AL164)</f>
        <v>0</v>
      </c>
      <c r="AM165" s="37" t="n">
        <f aca="false">MIN(AM158,AM163+AM164)</f>
        <v>0</v>
      </c>
      <c r="AN165" s="37" t="n">
        <f aca="false">MIN(AN158,AN163+AN164)</f>
        <v>0</v>
      </c>
      <c r="AO165" s="37" t="n">
        <f aca="false">MIN(AO158,AO163+AO164)</f>
        <v>0</v>
      </c>
      <c r="AP165" s="37" t="n">
        <f aca="false">MIN(AP158,AP163+AP164)</f>
        <v>0</v>
      </c>
      <c r="AQ165" s="37" t="n">
        <f aca="false">MIN(AQ158,AQ163+AQ164)</f>
        <v>0</v>
      </c>
      <c r="AR165" s="37" t="n">
        <f aca="false">MIN(AR158,AR163+AR164)</f>
        <v>0</v>
      </c>
      <c r="AS165" s="37" t="n">
        <f aca="false">MIN(AS158,AS163+AS164)</f>
        <v>0</v>
      </c>
      <c r="AT165" s="37" t="n">
        <f aca="false">MIN(AT158,AT163+AT164)</f>
        <v>0</v>
      </c>
      <c r="AU165" s="37" t="n">
        <f aca="false">MIN(AU158,AU163+AU164)</f>
        <v>0</v>
      </c>
      <c r="AV165" s="37" t="n">
        <f aca="false">MIN(AV158,AV163+AV164)</f>
        <v>0</v>
      </c>
      <c r="AW165" s="37" t="n">
        <f aca="false">MIN(AW158,AW163+AW164)</f>
        <v>0</v>
      </c>
      <c r="AX165" s="37" t="n">
        <f aca="false">MIN(AX158,AX163+AX164)</f>
        <v>0</v>
      </c>
      <c r="AY165" s="37" t="n">
        <f aca="false">MIN(AY158,AY163+AY164)</f>
        <v>0</v>
      </c>
      <c r="AZ165" s="37" t="n">
        <f aca="false">MIN(AZ158,AZ163+AZ164)</f>
        <v>0</v>
      </c>
      <c r="BA165" s="37" t="n">
        <f aca="false">MIN(BA158,BA163+BA164)</f>
        <v>0</v>
      </c>
      <c r="BB165" s="37" t="n">
        <f aca="false">MIN(BB158,BB163+BB164)</f>
        <v>0</v>
      </c>
      <c r="BC165" s="37" t="n">
        <f aca="false">MIN(BC158,BC163+BC164)</f>
        <v>0</v>
      </c>
      <c r="BD165" s="37" t="n">
        <f aca="false">MIN(BD158,BD163+BD164)</f>
        <v>0</v>
      </c>
      <c r="BE165" s="37" t="n">
        <f aca="false">MIN(BE158,BE163+BE164)</f>
        <v>0</v>
      </c>
      <c r="BF165" s="37" t="n">
        <f aca="false">MIN(BF158,BF163+BF164)</f>
        <v>0</v>
      </c>
      <c r="BG165" s="37" t="n">
        <f aca="false">MIN(BG158,BG163+BG164)</f>
        <v>0</v>
      </c>
      <c r="BH165" s="37" t="n">
        <f aca="false">MIN(BH158,BH163+BH164)</f>
        <v>0</v>
      </c>
      <c r="BI165" s="37" t="n">
        <f aca="false">MIN(BI158,BI163+BI164)</f>
        <v>0</v>
      </c>
      <c r="BJ165" s="37" t="n">
        <f aca="false">MIN(BJ158,BJ163+BJ164)</f>
        <v>0</v>
      </c>
      <c r="BK165" s="37" t="n">
        <f aca="false">MIN(BK158,BK163+BK164)</f>
        <v>0</v>
      </c>
      <c r="BL165" s="37" t="n">
        <f aca="false">MIN(BL158,BL163+BL164)</f>
        <v>0</v>
      </c>
      <c r="BM165" s="37" t="n">
        <f aca="false">MIN(BM158,BM163+BM164)</f>
        <v>1815.80087459565</v>
      </c>
      <c r="BN165" s="37" t="n">
        <f aca="false">MIN(BN158,BN163+BN164)</f>
        <v>518.595507294685</v>
      </c>
      <c r="BO165" s="37" t="n">
        <f aca="false">MIN(BO158,BO163+BO164)</f>
        <v>600.837179610655</v>
      </c>
      <c r="BP165" s="37" t="n">
        <f aca="false">MIN(BP158,BP163+BP164)</f>
        <v>518.595507294684</v>
      </c>
      <c r="BQ165" s="37" t="n">
        <f aca="false">MIN(BQ158,BQ163+BQ164)</f>
        <v>600.837179610655</v>
      </c>
      <c r="BR165" s="37" t="n">
        <f aca="false">MIN(BR158,BR163+BR164)</f>
        <v>600.837179610655</v>
      </c>
      <c r="BS165" s="37" t="n">
        <f aca="false">MIN(BS158,BS163+BS164)</f>
        <v>518.595507294684</v>
      </c>
      <c r="BT165" s="37" t="n">
        <f aca="false">MIN(BT158,BT163+BT164)</f>
        <v>600.837179610655</v>
      </c>
      <c r="BU165" s="37" t="n">
        <f aca="false">MIN(BU158,BU163+BU164)</f>
        <v>518.595507294684</v>
      </c>
      <c r="BV165" s="37" t="n">
        <f aca="false">MIN(BV158,BV163+BV164)</f>
        <v>600.837179610655</v>
      </c>
      <c r="BW165" s="37" t="n">
        <f aca="false">MIN(BW158,BW163+BW164)</f>
        <v>600.837179610655</v>
      </c>
      <c r="BX165" s="37" t="n">
        <f aca="false">MIN(BX158,BX163+BX164)</f>
        <v>436.353834978712</v>
      </c>
      <c r="BY165" s="37" t="n">
        <f aca="false">MIN(BY158,BY163+BY164)</f>
        <v>1510.4908171224</v>
      </c>
      <c r="BZ165" s="37" t="n">
        <f aca="false">MIN(BZ158,BZ163+BZ164)</f>
        <v>1580.09749508899</v>
      </c>
      <c r="CA165" s="37" t="n">
        <f aca="false">MIN(CA158,CA163+CA164)</f>
        <v>1676.8896171224</v>
      </c>
      <c r="CB165" s="37" t="n">
        <f aca="false">MIN(CB158,CB163+CB164)</f>
        <v>1580.09749508899</v>
      </c>
      <c r="CC165" s="37" t="n">
        <f aca="false">MIN(CC158,CC163+CC164)</f>
        <v>1676.8896171224</v>
      </c>
      <c r="CD165" s="37" t="n">
        <f aca="false">MIN(CD158,CD163+CD164)</f>
        <v>1676.8896171224</v>
      </c>
      <c r="CE165" s="37" t="n">
        <f aca="false">MIN(CE158,CE163+CE164)</f>
        <v>1580.09749508899</v>
      </c>
      <c r="CF165" s="37" t="n">
        <f aca="false">MIN(CF158,CF163+CF164)</f>
        <v>1676.8896171224</v>
      </c>
      <c r="CG165" s="37" t="n">
        <f aca="false">MIN(CG158,CG163+CG164)</f>
        <v>1580.09749508899</v>
      </c>
      <c r="CH165" s="37" t="n">
        <f aca="false">MIN(CH158,CH163+CH164)</f>
        <v>1676.8896171224</v>
      </c>
      <c r="CI165" s="37" t="n">
        <f aca="false">MIN(CI158,CI163+CI164)</f>
        <v>1676.8896171224</v>
      </c>
      <c r="CJ165" s="37" t="n">
        <f aca="false">MIN(CJ158,CJ163+CJ164)</f>
        <v>1386.51325102216</v>
      </c>
      <c r="CK165" s="37" t="n">
        <f aca="false">MIN(CK158,CK163+CK164)</f>
        <v>1766.38457987709</v>
      </c>
      <c r="CL165" s="37" t="n">
        <f aca="false">MIN(CL158,CL163+CL164)</f>
        <v>1696.80661540301</v>
      </c>
      <c r="CM165" s="37" t="n">
        <f aca="false">MIN(CM158,CM163+CM164)</f>
        <v>1795.53457987709</v>
      </c>
      <c r="CN165" s="37" t="n">
        <f aca="false">MIN(CN158,CN163+CN164)</f>
        <v>1696.80661540301</v>
      </c>
      <c r="CO165" s="37" t="n">
        <f aca="false">MIN(CO158,CO163+CO164)</f>
        <v>1795.53457987709</v>
      </c>
      <c r="CP165" s="37" t="n">
        <f aca="false">MIN(CP158,CP163+CP164)</f>
        <v>1795.53457987709</v>
      </c>
      <c r="CQ165" s="37" t="n">
        <f aca="false">MIN(CQ158,CQ163+CQ164)</f>
        <v>1696.80661540301</v>
      </c>
      <c r="CR165" s="37" t="n">
        <f aca="false">MIN(CR158,CR163+CR164)</f>
        <v>1795.53457987709</v>
      </c>
      <c r="CS165" s="37" t="n">
        <f aca="false">MIN(CS158,CS163+CS164)</f>
        <v>1696.80661540301</v>
      </c>
      <c r="CT165" s="37" t="n">
        <f aca="false">MIN(CT158,CT163+CT164)</f>
        <v>1795.53457987709</v>
      </c>
      <c r="CU165" s="37" t="n">
        <f aca="false">MIN(CU158,CU163+CU164)</f>
        <v>1795.53457987709</v>
      </c>
      <c r="CV165" s="37" t="n">
        <f aca="false">MIN(CV158,CV163+CV164)</f>
        <v>1499.35068645484</v>
      </c>
      <c r="CW165" s="37" t="n">
        <f aca="false">MIN(CW158,CW163+CW164)</f>
        <v>1886.81944188687</v>
      </c>
      <c r="CX165" s="37" t="n">
        <f aca="false">MIN(CX158,CX163+CX164)</f>
        <v>1786.1169181233</v>
      </c>
      <c r="CY165" s="37" t="n">
        <f aca="false">MIN(CY158,CY163+CY164)</f>
        <v>1255.85476145899</v>
      </c>
      <c r="CZ165" s="37" t="n">
        <f aca="false">MIN(CZ158,CZ163+CZ164)</f>
        <v>599.470332959938</v>
      </c>
      <c r="DA165" s="37" t="n">
        <f aca="false">MIN(DA158,DA163+DA164)</f>
        <v>599.470332959938</v>
      </c>
      <c r="DB165" s="37" t="n">
        <f aca="false">MIN(DB158,DB163+DB164)</f>
        <v>599.470332959938</v>
      </c>
      <c r="DC165" s="37" t="n">
        <f aca="false">MIN(DC158,DC163+DC164)</f>
        <v>599.470332959938</v>
      </c>
      <c r="DD165" s="37" t="n">
        <f aca="false">MIN(DD158,DD163+DD164)</f>
        <v>599.470332959938</v>
      </c>
      <c r="DE165" s="37" t="n">
        <f aca="false">MIN(DE158,DE163+DE164)</f>
        <v>599.470332959938</v>
      </c>
      <c r="DF165" s="37" t="n">
        <f aca="false">MIN(DF158,DF163+DF164)</f>
        <v>599.470332959938</v>
      </c>
      <c r="DG165" s="37" t="n">
        <f aca="false">MIN(DG158,DG163+DG164)</f>
        <v>599.470332959938</v>
      </c>
      <c r="DH165" s="37" t="n">
        <f aca="false">MIN(DH158,DH163+DH164)</f>
        <v>599.470332959938</v>
      </c>
      <c r="DI165" s="37" t="n">
        <f aca="false">MIN(DI158,DI163+DI164)</f>
        <v>599.470332959938</v>
      </c>
      <c r="DJ165" s="37" t="n">
        <f aca="false">MIN(DJ158,DJ163+DJ164)</f>
        <v>599.470332959938</v>
      </c>
      <c r="DK165" s="37" t="n">
        <f aca="false">MIN(DK158,DK163+DK164)</f>
        <v>599.470332959938</v>
      </c>
      <c r="DL165" s="37" t="n">
        <f aca="false">MIN(DL158,DL163+DL164)</f>
        <v>599.470332959938</v>
      </c>
      <c r="DM165" s="37" t="n">
        <f aca="false">MIN(DM158,DM163+DM164)</f>
        <v>599.470332959938</v>
      </c>
      <c r="DN165" s="37" t="n">
        <f aca="false">MIN(DN158,DN163+DN164)</f>
        <v>599.470332959938</v>
      </c>
      <c r="DO165" s="37" t="n">
        <f aca="false">MIN(DO158,DO163+DO164)</f>
        <v>599.470332959938</v>
      </c>
      <c r="DP165" s="37" t="n">
        <f aca="false">MIN(DP158,DP163+DP164)</f>
        <v>599.470332959938</v>
      </c>
      <c r="DQ165" s="37" t="n">
        <f aca="false">MIN(DQ158,DQ163+DQ164)</f>
        <v>599.470332959938</v>
      </c>
      <c r="DR165" s="37" t="n">
        <f aca="false">MIN(DR158,DR163+DR164)</f>
        <v>599.470332959938</v>
      </c>
      <c r="DS165" s="37" t="n">
        <f aca="false">MIN(DS158,DS163+DS164)</f>
        <v>599.470332959938</v>
      </c>
      <c r="DT165" s="37" t="n">
        <f aca="false">MIN(DT158,DT163+DT164)</f>
        <v>0</v>
      </c>
      <c r="DU165" s="37" t="n">
        <f aca="false">MIN(DU158,DU163+DU164)</f>
        <v>0</v>
      </c>
      <c r="DV165" s="37" t="n">
        <f aca="false">MIN(DV158,DV163+DV164)</f>
        <v>0</v>
      </c>
      <c r="DW165" s="37" t="n">
        <f aca="false">MIN(DW158,DW163+DW164)</f>
        <v>2412.5750716215</v>
      </c>
      <c r="DX165" s="37" t="n">
        <f aca="false">MIN(DX158,DX163+DX164)</f>
        <v>0</v>
      </c>
      <c r="DY165" s="37" t="n">
        <f aca="false">MIN(DY158,DY163+DY164)</f>
        <v>0</v>
      </c>
      <c r="DZ165" s="37" t="n">
        <f aca="false">MIN(DZ158,DZ163+DZ164)</f>
        <v>0</v>
      </c>
      <c r="EA165" s="37" t="n">
        <f aca="false">MIN(EA158,EA163+EA164)</f>
        <v>0</v>
      </c>
      <c r="EB165" s="37" t="n">
        <f aca="false">MIN(EB158,EB163+EB164)</f>
        <v>0</v>
      </c>
      <c r="EC165" s="37" t="n">
        <f aca="false">MIN(EC158,EC163+EC164)</f>
        <v>0</v>
      </c>
      <c r="ED165" s="37" t="n">
        <f aca="false">MIN(ED158,ED163+ED164)</f>
        <v>0</v>
      </c>
      <c r="EE165" s="37" t="n">
        <f aca="false">MIN(EE158,EE163+EE164)</f>
        <v>0</v>
      </c>
      <c r="EF165" s="37" t="n">
        <f aca="false">MIN(EF158,EF163+EF164)</f>
        <v>0</v>
      </c>
    </row>
    <row r="166" customFormat="false" ht="15" hidden="false" customHeight="false" outlineLevel="0" collapsed="false">
      <c r="A166" s="36" t="s">
        <v>695</v>
      </c>
      <c r="B166" s="278" t="s">
        <v>21</v>
      </c>
      <c r="C166" s="279" t="n">
        <f aca="false">SUM(E166:EF166)</f>
        <v>147140.922758885</v>
      </c>
      <c r="E166" s="37" t="n">
        <f aca="false">IF(E155=2,MIN(E158-E165,E162+E141),0)</f>
        <v>0</v>
      </c>
      <c r="F166" s="37" t="n">
        <f aca="false">IF(F155=2,MIN(F158-F165,F162+F141),0)</f>
        <v>0</v>
      </c>
      <c r="G166" s="37" t="n">
        <f aca="false">IF(G155=2,MIN(G158-G165,G162+G141),0)</f>
        <v>0</v>
      </c>
      <c r="H166" s="37" t="n">
        <f aca="false">IF(H155=2,MIN(H158-H165,H162+H141),0)</f>
        <v>0</v>
      </c>
      <c r="I166" s="37" t="n">
        <f aca="false">IF(I155=2,MIN(I158-I165,I162+I141),0)</f>
        <v>0</v>
      </c>
      <c r="J166" s="37" t="n">
        <f aca="false">IF(J155=2,MIN(J158-J165,J162+J141),0)</f>
        <v>0</v>
      </c>
      <c r="K166" s="37" t="n">
        <f aca="false">IF(K155=2,MIN(K158-K165,K162+K141),0)</f>
        <v>0</v>
      </c>
      <c r="L166" s="37" t="n">
        <f aca="false">IF(L155=2,MIN(L158-L165,L162+L141),0)</f>
        <v>0</v>
      </c>
      <c r="M166" s="37" t="n">
        <f aca="false">IF(M155=2,MIN(M158-M165,M162+M141),0)</f>
        <v>0</v>
      </c>
      <c r="N166" s="37" t="n">
        <f aca="false">IF(N155=2,MIN(N158-N165,N162+N141),0)</f>
        <v>0</v>
      </c>
      <c r="O166" s="37" t="n">
        <f aca="false">IF(O155=2,MIN(O158-O165,O162+O141),0)</f>
        <v>0</v>
      </c>
      <c r="P166" s="37" t="n">
        <f aca="false">IF(P155=2,MIN(P158-P165,P162+P141),0)</f>
        <v>0</v>
      </c>
      <c r="Q166" s="37" t="n">
        <f aca="false">IF(Q155=2,MIN(Q158-Q165,Q162+Q141),0)</f>
        <v>0</v>
      </c>
      <c r="R166" s="37" t="n">
        <f aca="false">IF(R155=2,MIN(R158-R165,R162+R141),0)</f>
        <v>0</v>
      </c>
      <c r="S166" s="37" t="n">
        <f aca="false">IF(S155=2,MIN(S158-S165,S162+S141),0)</f>
        <v>0</v>
      </c>
      <c r="T166" s="37" t="n">
        <f aca="false">IF(T155=2,MIN(T158-T165,T162+T141),0)</f>
        <v>0</v>
      </c>
      <c r="U166" s="37" t="n">
        <f aca="false">IF(U155=2,MIN(U158-U165,U162+U141),0)</f>
        <v>0</v>
      </c>
      <c r="V166" s="37" t="n">
        <f aca="false">IF(V155=2,MIN(V158-V165,V162+V141),0)</f>
        <v>0</v>
      </c>
      <c r="W166" s="37" t="n">
        <f aca="false">IF(W155=2,MIN(W158-W165,W162+W141),0)</f>
        <v>0</v>
      </c>
      <c r="X166" s="37" t="n">
        <f aca="false">IF(X155=2,MIN(X158-X165,X162+X141),0)</f>
        <v>0</v>
      </c>
      <c r="Y166" s="37" t="n">
        <f aca="false">IF(Y155=2,MIN(Y158-Y165,Y162+Y141),0)</f>
        <v>0</v>
      </c>
      <c r="Z166" s="37" t="n">
        <f aca="false">IF(Z155=2,MIN(Z158-Z165,Z162+Z141),0)</f>
        <v>0</v>
      </c>
      <c r="AA166" s="37" t="n">
        <f aca="false">IF(AA155=2,MIN(AA158-AA165,AA162+AA141),0)</f>
        <v>0</v>
      </c>
      <c r="AB166" s="37" t="n">
        <f aca="false">IF(AB155=2,MIN(AB158-AB165,AB162+AB141),0)</f>
        <v>0</v>
      </c>
      <c r="AC166" s="37" t="n">
        <f aca="false">IF(AC155=2,MIN(AC158-AC165,AC162+AC141),0)</f>
        <v>0</v>
      </c>
      <c r="AD166" s="37" t="n">
        <f aca="false">IF(AD155=2,MIN(AD158-AD165,AD162+AD141),0)</f>
        <v>0</v>
      </c>
      <c r="AE166" s="37" t="n">
        <f aca="false">IF(AE155=2,MIN(AE158-AE165,AE162+AE141),0)</f>
        <v>0</v>
      </c>
      <c r="AF166" s="37" t="n">
        <f aca="false">IF(AF155=2,MIN(AF158-AF165,AF162+AF141),0)</f>
        <v>0</v>
      </c>
      <c r="AG166" s="37" t="n">
        <f aca="false">IF(AG155=2,MIN(AG158-AG165,AG162+AG141),0)</f>
        <v>0</v>
      </c>
      <c r="AH166" s="37" t="n">
        <f aca="false">IF(AH155=2,MIN(AH158-AH165,AH162+AH141),0)</f>
        <v>0</v>
      </c>
      <c r="AI166" s="37" t="n">
        <f aca="false">IF(AI155=2,MIN(AI158-AI165,AI162+AI141),0)</f>
        <v>0</v>
      </c>
      <c r="AJ166" s="37" t="n">
        <f aca="false">IF(AJ155=2,MIN(AJ158-AJ165,AJ162+AJ141),0)</f>
        <v>0</v>
      </c>
      <c r="AK166" s="37" t="n">
        <f aca="false">IF(AK155=2,MIN(AK158-AK165,AK162+AK141),0)</f>
        <v>0</v>
      </c>
      <c r="AL166" s="37" t="n">
        <f aca="false">IF(AL155=2,MIN(AL158-AL165,AL162+AL141),0)</f>
        <v>0</v>
      </c>
      <c r="AM166" s="37" t="n">
        <f aca="false">IF(AM155=2,MIN(AM158-AM165,AM162+AM141),0)</f>
        <v>0</v>
      </c>
      <c r="AN166" s="37" t="n">
        <f aca="false">IF(AN155=2,MIN(AN158-AN165,AN162+AN141),0)</f>
        <v>0</v>
      </c>
      <c r="AO166" s="37" t="n">
        <f aca="false">IF(AO155=2,MIN(AO158-AO165,AO162+AO141),0)</f>
        <v>0</v>
      </c>
      <c r="AP166" s="37" t="n">
        <f aca="false">IF(AP155=2,MIN(AP158-AP165,AP162+AP141),0)</f>
        <v>0</v>
      </c>
      <c r="AQ166" s="37" t="n">
        <f aca="false">IF(AQ155=2,MIN(AQ158-AQ165,AQ162+AQ141),0)</f>
        <v>0</v>
      </c>
      <c r="AR166" s="37" t="n">
        <f aca="false">IF(AR155=2,MIN(AR158-AR165,AR162+AR141),0)</f>
        <v>0</v>
      </c>
      <c r="AS166" s="37" t="n">
        <f aca="false">IF(AS155=2,MIN(AS158-AS165,AS162+AS141),0)</f>
        <v>0</v>
      </c>
      <c r="AT166" s="37" t="n">
        <f aca="false">IF(AT155=2,MIN(AT158-AT165,AT162+AT141),0)</f>
        <v>0</v>
      </c>
      <c r="AU166" s="37" t="n">
        <f aca="false">IF(AU155=2,MIN(AU158-AU165,AU162+AU141),0)</f>
        <v>0</v>
      </c>
      <c r="AV166" s="37" t="n">
        <f aca="false">IF(AV155=2,MIN(AV158-AV165,AV162+AV141),0)</f>
        <v>0</v>
      </c>
      <c r="AW166" s="37" t="n">
        <f aca="false">IF(AW155=2,MIN(AW158-AW165,AW162+AW141),0)</f>
        <v>0</v>
      </c>
      <c r="AX166" s="37" t="n">
        <f aca="false">IF(AX155=2,MIN(AX158-AX165,AX162+AX141),0)</f>
        <v>0</v>
      </c>
      <c r="AY166" s="37" t="n">
        <f aca="false">IF(AY155=2,MIN(AY158-AY165,AY162+AY141),0)</f>
        <v>0</v>
      </c>
      <c r="AZ166" s="37" t="n">
        <f aca="false">IF(AZ155=2,MIN(AZ158-AZ165,AZ162+AZ141),0)</f>
        <v>0</v>
      </c>
      <c r="BA166" s="37" t="n">
        <f aca="false">IF(BA155=2,MIN(BA158-BA165,BA162+BA141),0)</f>
        <v>0</v>
      </c>
      <c r="BB166" s="37" t="n">
        <f aca="false">IF(BB155=2,MIN(BB158-BB165,BB162+BB141),0)</f>
        <v>0</v>
      </c>
      <c r="BC166" s="37" t="n">
        <f aca="false">IF(BC155=2,MIN(BC158-BC165,BC162+BC141),0)</f>
        <v>0</v>
      </c>
      <c r="BD166" s="37" t="n">
        <f aca="false">IF(BD155=2,MIN(BD158-BD165,BD162+BD141),0)</f>
        <v>0</v>
      </c>
      <c r="BE166" s="37" t="n">
        <f aca="false">IF(BE155=2,MIN(BE158-BE165,BE162+BE141),0)</f>
        <v>0</v>
      </c>
      <c r="BF166" s="37" t="n">
        <f aca="false">IF(BF155=2,MIN(BF158-BF165,BF162+BF141),0)</f>
        <v>0</v>
      </c>
      <c r="BG166" s="37" t="n">
        <f aca="false">IF(BG155=2,MIN(BG158-BG165,BG162+BG141),0)</f>
        <v>0</v>
      </c>
      <c r="BH166" s="37" t="n">
        <f aca="false">IF(BH155=2,MIN(BH158-BH165,BH162+BH141),0)</f>
        <v>0</v>
      </c>
      <c r="BI166" s="37" t="n">
        <f aca="false">IF(BI155=2,MIN(BI158-BI165,BI162+BI141),0)</f>
        <v>0</v>
      </c>
      <c r="BJ166" s="37" t="n">
        <f aca="false">IF(BJ155=2,MIN(BJ158-BJ165,BJ162+BJ141),0)</f>
        <v>0</v>
      </c>
      <c r="BK166" s="37" t="n">
        <f aca="false">IF(BK155=2,MIN(BK158-BK165,BK162+BK141),0)</f>
        <v>0</v>
      </c>
      <c r="BL166" s="37" t="n">
        <f aca="false">IF(BL155=2,MIN(BL158-BL165,BL162+BL141),0)</f>
        <v>0</v>
      </c>
      <c r="BM166" s="37" t="n">
        <f aca="false">IF(BM155=2,MIN(BM158-BM165,BM162+BM141),0)</f>
        <v>0</v>
      </c>
      <c r="BN166" s="37" t="n">
        <f aca="false">IF(BN155=2,MIN(BN158-BN165,BN162+BN141),0)</f>
        <v>0</v>
      </c>
      <c r="BO166" s="37" t="n">
        <f aca="false">IF(BO155=2,MIN(BO158-BO165,BO162+BO141),0)</f>
        <v>0</v>
      </c>
      <c r="BP166" s="37" t="n">
        <f aca="false">IF(BP155=2,MIN(BP158-BP165,BP162+BP141),0)</f>
        <v>0</v>
      </c>
      <c r="BQ166" s="37" t="n">
        <f aca="false">IF(BQ155=2,MIN(BQ158-BQ165,BQ162+BQ141),0)</f>
        <v>0</v>
      </c>
      <c r="BR166" s="37" t="n">
        <f aca="false">IF(BR155=2,MIN(BR158-BR165,BR162+BR141),0)</f>
        <v>0</v>
      </c>
      <c r="BS166" s="37" t="n">
        <f aca="false">IF(BS155=2,MIN(BS158-BS165,BS162+BS141),0)</f>
        <v>0</v>
      </c>
      <c r="BT166" s="37" t="n">
        <f aca="false">IF(BT155=2,MIN(BT158-BT165,BT162+BT141),0)</f>
        <v>0</v>
      </c>
      <c r="BU166" s="37" t="n">
        <f aca="false">IF(BU155=2,MIN(BU158-BU165,BU162+BU141),0)</f>
        <v>0</v>
      </c>
      <c r="BV166" s="37" t="n">
        <f aca="false">IF(BV155=2,MIN(BV158-BV165,BV162+BV141),0)</f>
        <v>0</v>
      </c>
      <c r="BW166" s="37" t="n">
        <f aca="false">IF(BW155=2,MIN(BW158-BW165,BW162+BW141),0)</f>
        <v>0</v>
      </c>
      <c r="BX166" s="37" t="n">
        <f aca="false">IF(BX155=2,MIN(BX158-BX165,BX162+BX141),0)</f>
        <v>0</v>
      </c>
      <c r="BY166" s="37" t="n">
        <f aca="false">IF(BY155=2,MIN(BY158-BY165,BY162+BY141),0)</f>
        <v>0</v>
      </c>
      <c r="BZ166" s="37" t="n">
        <f aca="false">IF(BZ155=2,MIN(BZ158-BZ165,BZ162+BZ141),0)</f>
        <v>0</v>
      </c>
      <c r="CA166" s="37" t="n">
        <f aca="false">IF(CA155=2,MIN(CA158-CA165,CA162+CA141),0)</f>
        <v>0</v>
      </c>
      <c r="CB166" s="37" t="n">
        <f aca="false">IF(CB155=2,MIN(CB158-CB165,CB162+CB141),0)</f>
        <v>0</v>
      </c>
      <c r="CC166" s="37" t="n">
        <f aca="false">IF(CC155=2,MIN(CC158-CC165,CC162+CC141),0)</f>
        <v>0</v>
      </c>
      <c r="CD166" s="37" t="n">
        <f aca="false">IF(CD155=2,MIN(CD158-CD165,CD162+CD141),0)</f>
        <v>0</v>
      </c>
      <c r="CE166" s="37" t="n">
        <f aca="false">IF(CE155=2,MIN(CE158-CE165,CE162+CE141),0)</f>
        <v>0</v>
      </c>
      <c r="CF166" s="37" t="n">
        <f aca="false">IF(CF155=2,MIN(CF158-CF165,CF162+CF141),0)</f>
        <v>0</v>
      </c>
      <c r="CG166" s="37" t="n">
        <f aca="false">IF(CG155=2,MIN(CG158-CG165,CG162+CG141),0)</f>
        <v>0</v>
      </c>
      <c r="CH166" s="37" t="n">
        <f aca="false">IF(CH155=2,MIN(CH158-CH165,CH162+CH141),0)</f>
        <v>0</v>
      </c>
      <c r="CI166" s="37" t="n">
        <f aca="false">IF(CI155=2,MIN(CI158-CI165,CI162+CI141),0)</f>
        <v>0</v>
      </c>
      <c r="CJ166" s="37" t="n">
        <f aca="false">IF(CJ155=2,MIN(CJ158-CJ165,CJ162+CJ141),0)</f>
        <v>0</v>
      </c>
      <c r="CK166" s="37" t="n">
        <f aca="false">IF(CK155=2,MIN(CK158-CK165,CK162+CK141),0)</f>
        <v>0</v>
      </c>
      <c r="CL166" s="37" t="n">
        <f aca="false">IF(CL155=2,MIN(CL158-CL165,CL162+CL141),0)</f>
        <v>0</v>
      </c>
      <c r="CM166" s="37" t="n">
        <f aca="false">IF(CM155=2,MIN(CM158-CM165,CM162+CM141),0)</f>
        <v>0</v>
      </c>
      <c r="CN166" s="37" t="n">
        <f aca="false">IF(CN155=2,MIN(CN158-CN165,CN162+CN141),0)</f>
        <v>0</v>
      </c>
      <c r="CO166" s="37" t="n">
        <f aca="false">IF(CO155=2,MIN(CO158-CO165,CO162+CO141),0)</f>
        <v>0</v>
      </c>
      <c r="CP166" s="37" t="n">
        <f aca="false">IF(CP155=2,MIN(CP158-CP165,CP162+CP141),0)</f>
        <v>0</v>
      </c>
      <c r="CQ166" s="37" t="n">
        <f aca="false">IF(CQ155=2,MIN(CQ158-CQ165,CQ162+CQ141),0)</f>
        <v>0</v>
      </c>
      <c r="CR166" s="37" t="n">
        <f aca="false">IF(CR155=2,MIN(CR158-CR165,CR162+CR141),0)</f>
        <v>0</v>
      </c>
      <c r="CS166" s="37" t="n">
        <f aca="false">IF(CS155=2,MIN(CS158-CS165,CS162+CS141),0)</f>
        <v>0</v>
      </c>
      <c r="CT166" s="37" t="n">
        <f aca="false">IF(CT155=2,MIN(CT158-CT165,CT162+CT141),0)</f>
        <v>0</v>
      </c>
      <c r="CU166" s="37" t="n">
        <f aca="false">IF(CU155=2,MIN(CU158-CU165,CU162+CU141),0)</f>
        <v>0</v>
      </c>
      <c r="CV166" s="37" t="n">
        <f aca="false">IF(CV155=2,MIN(CV158-CV165,CV162+CV141),0)</f>
        <v>0</v>
      </c>
      <c r="CW166" s="37" t="n">
        <f aca="false">IF(CW155=2,MIN(CW158-CW165,CW162+CW141),0)</f>
        <v>0</v>
      </c>
      <c r="CX166" s="37" t="n">
        <f aca="false">IF(CX155=2,MIN(CX158-CX165,CX162+CX141),0)</f>
        <v>0</v>
      </c>
      <c r="CY166" s="37" t="n">
        <f aca="false">IF(CY155=2,MIN(CY158-CY165,CY162+CY141),0)</f>
        <v>0</v>
      </c>
      <c r="CZ166" s="37" t="n">
        <f aca="false">IF(CZ155=2,MIN(CZ158-CZ165,CZ162+CZ141),0)</f>
        <v>0</v>
      </c>
      <c r="DA166" s="37" t="n">
        <f aca="false">IF(DA155=2,MIN(DA158-DA165,DA162+DA141),0)</f>
        <v>0</v>
      </c>
      <c r="DB166" s="37" t="n">
        <f aca="false">IF(DB155=2,MIN(DB158-DB165,DB162+DB141),0)</f>
        <v>0</v>
      </c>
      <c r="DC166" s="37" t="n">
        <f aca="false">IF(DC155=2,MIN(DC158-DC165,DC162+DC141),0)</f>
        <v>0</v>
      </c>
      <c r="DD166" s="37" t="n">
        <f aca="false">IF(DD155=2,MIN(DD158-DD165,DD162+DD141),0)</f>
        <v>0</v>
      </c>
      <c r="DE166" s="37" t="n">
        <f aca="false">IF(DE155=2,MIN(DE158-DE165,DE162+DE141),0)</f>
        <v>0</v>
      </c>
      <c r="DF166" s="37" t="n">
        <f aca="false">IF(DF155=2,MIN(DF158-DF165,DF162+DF141),0)</f>
        <v>0</v>
      </c>
      <c r="DG166" s="37" t="n">
        <f aca="false">IF(DG155=2,MIN(DG158-DG165,DG162+DG141),0)</f>
        <v>0</v>
      </c>
      <c r="DH166" s="37" t="n">
        <f aca="false">IF(DH155=2,MIN(DH158-DH165,DH162+DH141),0)</f>
        <v>0</v>
      </c>
      <c r="DI166" s="37" t="n">
        <f aca="false">IF(DI155=2,MIN(DI158-DI165,DI162+DI141),0)</f>
        <v>0</v>
      </c>
      <c r="DJ166" s="37" t="n">
        <f aca="false">IF(DJ155=2,MIN(DJ158-DJ165,DJ162+DJ141),0)</f>
        <v>0</v>
      </c>
      <c r="DK166" s="37" t="n">
        <f aca="false">IF(DK155=2,MIN(DK158-DK165,DK162+DK141),0)</f>
        <v>0</v>
      </c>
      <c r="DL166" s="37" t="n">
        <f aca="false">IF(DL155=2,MIN(DL158-DL165,DL162+DL141),0)</f>
        <v>0</v>
      </c>
      <c r="DM166" s="37" t="n">
        <f aca="false">IF(DM155=2,MIN(DM158-DM165,DM162+DM141),0)</f>
        <v>0</v>
      </c>
      <c r="DN166" s="37" t="n">
        <f aca="false">IF(DN155=2,MIN(DN158-DN165,DN162+DN141),0)</f>
        <v>0</v>
      </c>
      <c r="DO166" s="37" t="n">
        <f aca="false">IF(DO155=2,MIN(DO158-DO165,DO162+DO141),0)</f>
        <v>0</v>
      </c>
      <c r="DP166" s="37" t="n">
        <f aca="false">IF(DP155=2,MIN(DP158-DP165,DP162+DP141),0)</f>
        <v>0</v>
      </c>
      <c r="DQ166" s="37" t="n">
        <f aca="false">IF(DQ155=2,MIN(DQ158-DQ165,DQ162+DQ141),0)</f>
        <v>0</v>
      </c>
      <c r="DR166" s="37" t="n">
        <f aca="false">IF(DR155=2,MIN(DR158-DR165,DR162+DR141),0)</f>
        <v>0</v>
      </c>
      <c r="DS166" s="37" t="n">
        <f aca="false">IF(DS155=2,MIN(DS158-DS165,DS162+DS141),0)</f>
        <v>0</v>
      </c>
      <c r="DT166" s="37" t="n">
        <f aca="false">IF(DT155=2,MIN(DT158-DT165,DT162+DT141),0)</f>
        <v>0</v>
      </c>
      <c r="DU166" s="37" t="n">
        <f aca="false">IF(DU155=2,MIN(DU158-DU165,DU162+DU141),0)</f>
        <v>0</v>
      </c>
      <c r="DV166" s="37" t="n">
        <f aca="false">IF(DV155=2,MIN(DV158-DV165,DV162+DV141),0)</f>
        <v>0</v>
      </c>
      <c r="DW166" s="37" t="n">
        <f aca="false">IF(DW155=2,MIN(DW158-DW165,DW162+DW141),0)</f>
        <v>147140.922758885</v>
      </c>
      <c r="DX166" s="37" t="n">
        <f aca="false">IF(DX155=2,MIN(DX158-DX165,DX162+DX141),0)</f>
        <v>0</v>
      </c>
      <c r="DY166" s="37" t="n">
        <f aca="false">IF(DY155=2,MIN(DY158-DY165,DY162+DY141),0)</f>
        <v>0</v>
      </c>
      <c r="DZ166" s="37" t="n">
        <f aca="false">IF(DZ155=2,MIN(DZ158-DZ165,DZ162+DZ141),0)</f>
        <v>0</v>
      </c>
      <c r="EA166" s="37" t="n">
        <f aca="false">IF(EA155=2,MIN(EA158-EA165,EA162+EA141),0)</f>
        <v>0</v>
      </c>
      <c r="EB166" s="37" t="n">
        <f aca="false">IF(EB155=2,MIN(EB158-EB165,EB162+EB141),0)</f>
        <v>0</v>
      </c>
      <c r="EC166" s="37" t="n">
        <f aca="false">IF(EC155=2,MIN(EC158-EC165,EC162+EC141),0)</f>
        <v>0</v>
      </c>
      <c r="ED166" s="37" t="n">
        <f aca="false">IF(ED155=2,MIN(ED158-ED165,ED162+ED141),0)</f>
        <v>0</v>
      </c>
      <c r="EE166" s="37" t="n">
        <f aca="false">IF(EE155=2,MIN(EE158-EE165,EE162+EE141),0)</f>
        <v>0</v>
      </c>
      <c r="EF166" s="37" t="n">
        <f aca="false">IF(EF155=2,MIN(EF158-EF165,EF162+EF141),0)</f>
        <v>0</v>
      </c>
    </row>
    <row r="167" customFormat="false" ht="15" hidden="false" customHeight="false" outlineLevel="0" collapsed="false">
      <c r="A167" s="36" t="s">
        <v>696</v>
      </c>
      <c r="B167" s="278" t="s">
        <v>21</v>
      </c>
      <c r="E167" s="37" t="n">
        <f aca="false">E163+E164-E165</f>
        <v>0</v>
      </c>
      <c r="F167" s="37" t="n">
        <f aca="false">F163+F164-F165</f>
        <v>0</v>
      </c>
      <c r="G167" s="37" t="n">
        <f aca="false">G163+G164-G165</f>
        <v>0</v>
      </c>
      <c r="H167" s="37" t="n">
        <f aca="false">H163+H164-H165</f>
        <v>0</v>
      </c>
      <c r="I167" s="37" t="n">
        <f aca="false">I163+I164-I165</f>
        <v>0</v>
      </c>
      <c r="J167" s="37" t="n">
        <f aca="false">J163+J164-J165</f>
        <v>0</v>
      </c>
      <c r="K167" s="37" t="n">
        <f aca="false">K163+K164-K165</f>
        <v>0</v>
      </c>
      <c r="L167" s="37" t="n">
        <f aca="false">L163+L164-L165</f>
        <v>0</v>
      </c>
      <c r="M167" s="37" t="n">
        <f aca="false">M163+M164-M165</f>
        <v>0</v>
      </c>
      <c r="N167" s="37" t="n">
        <f aca="false">N163+N164-N165</f>
        <v>0</v>
      </c>
      <c r="O167" s="37" t="n">
        <f aca="false">O163+O164-O165</f>
        <v>0</v>
      </c>
      <c r="P167" s="37" t="n">
        <f aca="false">P163+P164-P165</f>
        <v>0</v>
      </c>
      <c r="Q167" s="37" t="n">
        <f aca="false">Q163+Q164-Q165</f>
        <v>0</v>
      </c>
      <c r="R167" s="37" t="n">
        <f aca="false">R163+R164-R165</f>
        <v>0</v>
      </c>
      <c r="S167" s="37" t="n">
        <f aca="false">S163+S164-S165</f>
        <v>0</v>
      </c>
      <c r="T167" s="37" t="n">
        <f aca="false">T163+T164-T165</f>
        <v>0</v>
      </c>
      <c r="U167" s="37" t="n">
        <f aca="false">U163+U164-U165</f>
        <v>0</v>
      </c>
      <c r="V167" s="37" t="n">
        <f aca="false">V163+V164-V165</f>
        <v>0</v>
      </c>
      <c r="W167" s="37" t="n">
        <f aca="false">W163+W164-W165</f>
        <v>0</v>
      </c>
      <c r="X167" s="37" t="n">
        <f aca="false">X163+X164-X165</f>
        <v>599.470332959938</v>
      </c>
      <c r="Y167" s="37" t="n">
        <f aca="false">Y163+Y164-Y165</f>
        <v>1201.38298226098</v>
      </c>
      <c r="Z167" s="37" t="n">
        <f aca="false">Z163+Z164-Z165</f>
        <v>1805.74789820222</v>
      </c>
      <c r="AA167" s="37" t="n">
        <f aca="false">AA163+AA164-AA165</f>
        <v>2412.5750716215</v>
      </c>
      <c r="AB167" s="37" t="n">
        <f aca="false">AB163+AB164-AB165</f>
        <v>3021.87453406056</v>
      </c>
      <c r="AC167" s="37" t="n">
        <f aca="false">AC163+AC164-AC165</f>
        <v>3633.65635793092</v>
      </c>
      <c r="AD167" s="37" t="n">
        <f aca="false">AD163+AD164-AD165</f>
        <v>4247.93065668031</v>
      </c>
      <c r="AE167" s="37" t="n">
        <f aca="false">AE163+AE164-AE165</f>
        <v>4864.70758495992</v>
      </c>
      <c r="AF167" s="37" t="n">
        <f aca="false">AF163+AF164-AF165</f>
        <v>5483.99733879224</v>
      </c>
      <c r="AG167" s="37" t="n">
        <f aca="false">AG163+AG164-AG165</f>
        <v>6105.81015573961</v>
      </c>
      <c r="AH167" s="37" t="n">
        <f aca="false">AH163+AH164-AH165</f>
        <v>6730.15631507349</v>
      </c>
      <c r="AI167" s="37" t="n">
        <f aca="false">AI163+AI164-AI165</f>
        <v>7357.04613794434</v>
      </c>
      <c r="AJ167" s="37" t="n">
        <f aca="false">AJ163+AJ164-AJ165</f>
        <v>7986.48998755228</v>
      </c>
      <c r="AK167" s="37" t="n">
        <f aca="false">AK163+AK164-AK165</f>
        <v>8618.49826931837</v>
      </c>
      <c r="AL167" s="37" t="n">
        <f aca="false">AL163+AL164-AL165</f>
        <v>9253.08143105667</v>
      </c>
      <c r="AM167" s="37" t="n">
        <f aca="false">AM163+AM164-AM165</f>
        <v>9890.24996314692</v>
      </c>
      <c r="AN167" s="37" t="n">
        <f aca="false">AN163+AN164-AN165</f>
        <v>10530.0143987079</v>
      </c>
      <c r="AO167" s="37" t="n">
        <f aca="false">AO163+AO164-AO165</f>
        <v>11172.3853137718</v>
      </c>
      <c r="AP167" s="37" t="n">
        <f aca="false">AP163+AP164-AP165</f>
        <v>11817.3733274587</v>
      </c>
      <c r="AQ167" s="37" t="n">
        <f aca="false">AQ163+AQ164-AQ165</f>
        <v>12464.9891021523</v>
      </c>
      <c r="AR167" s="37" t="n">
        <f aca="false">AR163+AR164-AR165</f>
        <v>13115.2433436762</v>
      </c>
      <c r="AS167" s="37" t="n">
        <f aca="false">AS163+AS164-AS165</f>
        <v>13768.1468014709</v>
      </c>
      <c r="AT167" s="37" t="n">
        <f aca="false">AT163+AT164-AT165</f>
        <v>14423.7102687715</v>
      </c>
      <c r="AU167" s="37" t="n">
        <f aca="false">AU163+AU164-AU165</f>
        <v>15081.9445827859</v>
      </c>
      <c r="AV167" s="37" t="n">
        <f aca="false">AV163+AV164-AV165</f>
        <v>15742.8606248742</v>
      </c>
      <c r="AW167" s="37" t="n">
        <f aca="false">AW163+AW164-AW165</f>
        <v>16406.4693207286</v>
      </c>
      <c r="AX167" s="37" t="n">
        <f aca="false">AX163+AX164-AX165</f>
        <v>17072.7816405539</v>
      </c>
      <c r="AY167" s="37" t="n">
        <f aca="false">AY163+AY164-AY165</f>
        <v>17741.8085992486</v>
      </c>
      <c r="AZ167" s="37" t="n">
        <f aca="false">AZ163+AZ164-AZ165</f>
        <v>18413.5612565877</v>
      </c>
      <c r="BA167" s="37" t="n">
        <f aca="false">BA163+BA164-BA165</f>
        <v>19088.0507174048</v>
      </c>
      <c r="BB167" s="37" t="n">
        <f aca="false">BB163+BB164-BB165</f>
        <v>19765.288131776</v>
      </c>
      <c r="BC167" s="37" t="n">
        <f aca="false">BC163+BC164-BC165</f>
        <v>20445.2846952042</v>
      </c>
      <c r="BD167" s="37" t="n">
        <f aca="false">BD163+BD164-BD165</f>
        <v>21128.0516488044</v>
      </c>
      <c r="BE167" s="37" t="n">
        <f aca="false">BE163+BE164-BE165</f>
        <v>21813.6002794888</v>
      </c>
      <c r="BF167" s="37" t="n">
        <f aca="false">BF163+BF164-BF165</f>
        <v>22501.9419201544</v>
      </c>
      <c r="BG167" s="37" t="n">
        <f aca="false">BG163+BG164-BG165</f>
        <v>23193.0879498696</v>
      </c>
      <c r="BH167" s="37" t="n">
        <f aca="false">BH163+BH164-BH165</f>
        <v>23887.0497940623</v>
      </c>
      <c r="BI167" s="37" t="n">
        <f aca="false">BI163+BI164-BI165</f>
        <v>24583.8389247094</v>
      </c>
      <c r="BJ167" s="37" t="n">
        <f aca="false">BJ163+BJ164-BJ165</f>
        <v>25283.4668605259</v>
      </c>
      <c r="BK167" s="37" t="n">
        <f aca="false">BK163+BK164-BK165</f>
        <v>25985.9451671554</v>
      </c>
      <c r="BL167" s="37" t="n">
        <f aca="false">BL163+BL164-BL165</f>
        <v>26691.2854573614</v>
      </c>
      <c r="BM167" s="37" t="n">
        <f aca="false">BM163+BM164-BM165</f>
        <v>25583.6985166237</v>
      </c>
      <c r="BN167" s="37" t="n">
        <f aca="false">BN163+BN164-BN165</f>
        <v>25768.8044968892</v>
      </c>
      <c r="BO167" s="37" t="n">
        <f aca="false">BO163+BO164-BO165</f>
        <v>25872.4229495155</v>
      </c>
      <c r="BP167" s="37" t="n">
        <f aca="false">BP163+BP164-BP165</f>
        <v>26058.7052288599</v>
      </c>
      <c r="BQ167" s="37" t="n">
        <f aca="false">BQ163+BQ164-BQ165</f>
        <v>26163.5047729532</v>
      </c>
      <c r="BR167" s="37" t="n">
        <f aca="false">BR163+BR164-BR165</f>
        <v>26268.7312833616</v>
      </c>
      <c r="BS167" s="37" t="n">
        <f aca="false">BS163+BS164-BS165</f>
        <v>26456.6281719146</v>
      </c>
      <c r="BT167" s="37" t="n">
        <f aca="false">BT163+BT164-BT165</f>
        <v>26563.0489033343</v>
      </c>
      <c r="BU167" s="37" t="n">
        <f aca="false">BU163+BU164-BU165</f>
        <v>26752.1448783028</v>
      </c>
      <c r="BV167" s="37" t="n">
        <f aca="false">BV163+BV164-BV165</f>
        <v>26859.7695813644</v>
      </c>
      <c r="BW167" s="37" t="n">
        <f aca="false">BW163+BW164-BW165</f>
        <v>26967.8327607884</v>
      </c>
      <c r="BX167" s="37" t="n">
        <f aca="false">BX163+BX164-BX165</f>
        <v>27240.8195476138</v>
      </c>
      <c r="BY167" s="37" t="n">
        <f aca="false">BY163+BY164-BY165</f>
        <v>26440.7815342564</v>
      </c>
      <c r="BZ167" s="37" t="n">
        <f aca="false">BZ163+BZ164-BZ165</f>
        <v>25567.8773890343</v>
      </c>
      <c r="CA167" s="37" t="n">
        <f aca="false">CA163+CA164-CA165</f>
        <v>24594.6248022399</v>
      </c>
      <c r="CB167" s="37" t="n">
        <f aca="false">CB163+CB164-CB165</f>
        <v>23714.1991859676</v>
      </c>
      <c r="CC167" s="37" t="n">
        <f aca="false">CC163+CC164-CC165</f>
        <v>22733.3944847188</v>
      </c>
      <c r="CD167" s="37" t="n">
        <f aca="false">CD163+CD164-CD165</f>
        <v>21748.5938637096</v>
      </c>
      <c r="CE167" s="37" t="n">
        <f aca="false">CE163+CE164-CE165</f>
        <v>20856.5731651016</v>
      </c>
      <c r="CF167" s="37" t="n">
        <f aca="false">CF163+CF164-CF165</f>
        <v>19864.1261417165</v>
      </c>
      <c r="CG167" s="37" t="n">
        <f aca="false">CG163+CG164-CG165</f>
        <v>18964.4278883428</v>
      </c>
      <c r="CH167" s="37" t="n">
        <f aca="false">CH163+CH164-CH165</f>
        <v>17964.2720308835</v>
      </c>
      <c r="CI167" s="37" t="n">
        <f aca="false">CI163+CI164-CI165</f>
        <v>16960.041414658</v>
      </c>
      <c r="CJ167" s="37" t="n">
        <f aca="false">CJ163+CJ164-CJ165</f>
        <v>16242.0958046949</v>
      </c>
      <c r="CK167" s="37" t="n">
        <f aca="false">CK163+CK164-CK165</f>
        <v>15141.353866592</v>
      </c>
      <c r="CL167" s="37" t="n">
        <f aca="false">CL163+CL164-CL165</f>
        <v>14105.7053340534</v>
      </c>
      <c r="CM167" s="37" t="n">
        <f aca="false">CM163+CM164-CM165</f>
        <v>12967.1094767229</v>
      </c>
      <c r="CN167" s="37" t="n">
        <f aca="false">CN163+CN164-CN165</f>
        <v>11922.6028034041</v>
      </c>
      <c r="CO167" s="37" t="n">
        <f aca="false">CO163+CO164-CO165</f>
        <v>10775.1127161313</v>
      </c>
      <c r="CP167" s="37" t="n">
        <f aca="false">CP163+CP164-CP165</f>
        <v>9622.94761220241</v>
      </c>
      <c r="CQ167" s="37" t="n">
        <f aca="false">CQ163+CQ164-CQ165</f>
        <v>8564.81640949502</v>
      </c>
      <c r="CR167" s="37" t="n">
        <f aca="false">CR163+CR164-CR165</f>
        <v>7403.64628481438</v>
      </c>
      <c r="CS167" s="37" t="n">
        <f aca="false">CS163+CS164-CS165</f>
        <v>6336.47337378599</v>
      </c>
      <c r="CT167" s="37" t="n">
        <f aca="false">CT163+CT164-CT165</f>
        <v>5166.22470374544</v>
      </c>
      <c r="CU167" s="37" t="n">
        <f aca="false">CU163+CU164-CU165</f>
        <v>3991.20829576549</v>
      </c>
      <c r="CV167" s="37" t="n">
        <f aca="false">CV163+CV164-CV165</f>
        <v>3107.58861891386</v>
      </c>
      <c r="CW167" s="37" t="n">
        <f aca="false">CW163+CW164-CW165</f>
        <v>1832.90021068905</v>
      </c>
      <c r="CX167" s="37" t="n">
        <f aca="false">CX163+CX164-CX165</f>
        <v>653.721087867103</v>
      </c>
      <c r="CY167" s="37" t="n">
        <f aca="false">CY163+CY164-CY165</f>
        <v>0</v>
      </c>
      <c r="CZ167" s="37" t="n">
        <f aca="false">CZ163+CZ164-CZ165</f>
        <v>0</v>
      </c>
      <c r="DA167" s="37" t="n">
        <f aca="false">DA163+DA164-DA165</f>
        <v>0</v>
      </c>
      <c r="DB167" s="37" t="n">
        <f aca="false">DB163+DB164-DB165</f>
        <v>0</v>
      </c>
      <c r="DC167" s="37" t="n">
        <f aca="false">DC163+DC164-DC165</f>
        <v>0</v>
      </c>
      <c r="DD167" s="37" t="n">
        <f aca="false">DD163+DD164-DD165</f>
        <v>0</v>
      </c>
      <c r="DE167" s="37" t="n">
        <f aca="false">DE163+DE164-DE165</f>
        <v>0</v>
      </c>
      <c r="DF167" s="37" t="n">
        <f aca="false">DF163+DF164-DF165</f>
        <v>0</v>
      </c>
      <c r="DG167" s="37" t="n">
        <f aca="false">DG163+DG164-DG165</f>
        <v>0</v>
      </c>
      <c r="DH167" s="37" t="n">
        <f aca="false">DH163+DH164-DH165</f>
        <v>0</v>
      </c>
      <c r="DI167" s="37" t="n">
        <f aca="false">DI163+DI164-DI165</f>
        <v>0</v>
      </c>
      <c r="DJ167" s="37" t="n">
        <f aca="false">DJ163+DJ164-DJ165</f>
        <v>0</v>
      </c>
      <c r="DK167" s="37" t="n">
        <f aca="false">DK163+DK164-DK165</f>
        <v>0</v>
      </c>
      <c r="DL167" s="37" t="n">
        <f aca="false">DL163+DL164-DL165</f>
        <v>0</v>
      </c>
      <c r="DM167" s="37" t="n">
        <f aca="false">DM163+DM164-DM165</f>
        <v>0</v>
      </c>
      <c r="DN167" s="37" t="n">
        <f aca="false">DN163+DN164-DN165</f>
        <v>0</v>
      </c>
      <c r="DO167" s="37" t="n">
        <f aca="false">DO163+DO164-DO165</f>
        <v>0</v>
      </c>
      <c r="DP167" s="37" t="n">
        <f aca="false">DP163+DP164-DP165</f>
        <v>0</v>
      </c>
      <c r="DQ167" s="37" t="n">
        <f aca="false">DQ163+DQ164-DQ165</f>
        <v>0</v>
      </c>
      <c r="DR167" s="37" t="n">
        <f aca="false">DR163+DR164-DR165</f>
        <v>0</v>
      </c>
      <c r="DS167" s="37" t="n">
        <f aca="false">DS163+DS164-DS165</f>
        <v>0</v>
      </c>
      <c r="DT167" s="37" t="n">
        <f aca="false">DT163+DT164-DT165</f>
        <v>599.470332959938</v>
      </c>
      <c r="DU167" s="37" t="n">
        <f aca="false">DU163+DU164-DU165</f>
        <v>1201.38298226098</v>
      </c>
      <c r="DV167" s="37" t="n">
        <f aca="false">DV163+DV164-DV165</f>
        <v>1805.74789820222</v>
      </c>
      <c r="DW167" s="37" t="n">
        <f aca="false">DW163+DW164-DW165</f>
        <v>0</v>
      </c>
      <c r="DX167" s="37" t="n">
        <f aca="false">DX163+DX164-DX165</f>
        <v>0</v>
      </c>
      <c r="DY167" s="37" t="n">
        <f aca="false">DY163+DY164-DY165</f>
        <v>0</v>
      </c>
      <c r="DZ167" s="37" t="n">
        <f aca="false">DZ163+DZ164-DZ165</f>
        <v>0</v>
      </c>
      <c r="EA167" s="37" t="n">
        <f aca="false">EA163+EA164-EA165</f>
        <v>0</v>
      </c>
      <c r="EB167" s="37" t="n">
        <f aca="false">EB163+EB164-EB165</f>
        <v>0</v>
      </c>
      <c r="EC167" s="37" t="n">
        <f aca="false">EC163+EC164-EC165</f>
        <v>0</v>
      </c>
      <c r="ED167" s="37" t="n">
        <f aca="false">ED163+ED164-ED165</f>
        <v>0</v>
      </c>
      <c r="EE167" s="37" t="n">
        <f aca="false">EE163+EE164-EE165</f>
        <v>0</v>
      </c>
      <c r="EF167" s="37" t="n">
        <f aca="false">EF163+EF164-EF165</f>
        <v>0</v>
      </c>
    </row>
    <row r="168" customFormat="false" ht="15" hidden="false" customHeight="false" outlineLevel="0" collapsed="false">
      <c r="A168" s="36" t="s">
        <v>697</v>
      </c>
      <c r="B168" s="278" t="s">
        <v>21</v>
      </c>
      <c r="C168" s="279" t="n">
        <f aca="false">SUM(E168:EF168)</f>
        <v>635264.611737383</v>
      </c>
      <c r="E168" s="37" t="n">
        <f aca="false">E158-E165-E166</f>
        <v>0</v>
      </c>
      <c r="F168" s="37" t="n">
        <f aca="false">F158-F165-F166</f>
        <v>0</v>
      </c>
      <c r="G168" s="37" t="n">
        <f aca="false">G158-G165-G166</f>
        <v>0</v>
      </c>
      <c r="H168" s="37" t="n">
        <f aca="false">H158-H165-H166</f>
        <v>0</v>
      </c>
      <c r="I168" s="37" t="n">
        <f aca="false">I158-I165-I166</f>
        <v>0</v>
      </c>
      <c r="J168" s="37" t="n">
        <f aca="false">J158-J165-J166</f>
        <v>0</v>
      </c>
      <c r="K168" s="37" t="n">
        <f aca="false">K158-K165-K166</f>
        <v>0</v>
      </c>
      <c r="L168" s="37" t="n">
        <f aca="false">L158-L165-L166</f>
        <v>0</v>
      </c>
      <c r="M168" s="37" t="n">
        <f aca="false">M158-M165-M166</f>
        <v>0</v>
      </c>
      <c r="N168" s="37" t="n">
        <f aca="false">N158-N165-N166</f>
        <v>0</v>
      </c>
      <c r="O168" s="37" t="n">
        <f aca="false">O158-O165-O166</f>
        <v>0</v>
      </c>
      <c r="P168" s="37" t="n">
        <f aca="false">P158-P165-P166</f>
        <v>0</v>
      </c>
      <c r="Q168" s="37" t="n">
        <f aca="false">Q158-Q165-Q166</f>
        <v>0</v>
      </c>
      <c r="R168" s="37" t="n">
        <f aca="false">R158-R165-R166</f>
        <v>0</v>
      </c>
      <c r="S168" s="37" t="n">
        <f aca="false">S158-S165-S166</f>
        <v>0</v>
      </c>
      <c r="T168" s="37" t="n">
        <f aca="false">T158-T165-T166</f>
        <v>0</v>
      </c>
      <c r="U168" s="37" t="n">
        <f aca="false">U158-U165-U166</f>
        <v>0</v>
      </c>
      <c r="V168" s="37" t="n">
        <f aca="false">V158-V165-V166</f>
        <v>0</v>
      </c>
      <c r="W168" s="37" t="n">
        <f aca="false">W158-W165-W166</f>
        <v>0</v>
      </c>
      <c r="X168" s="37" t="n">
        <f aca="false">X158-X165-X166</f>
        <v>0</v>
      </c>
      <c r="Y168" s="37" t="n">
        <f aca="false">Y158-Y165-Y166</f>
        <v>0</v>
      </c>
      <c r="Z168" s="37" t="n">
        <f aca="false">Z158-Z165-Z166</f>
        <v>0</v>
      </c>
      <c r="AA168" s="37" t="n">
        <f aca="false">AA158-AA165-AA166</f>
        <v>0</v>
      </c>
      <c r="AB168" s="37" t="n">
        <f aca="false">AB158-AB165-AB166</f>
        <v>0</v>
      </c>
      <c r="AC168" s="37" t="n">
        <f aca="false">AC158-AC165-AC166</f>
        <v>0</v>
      </c>
      <c r="AD168" s="37" t="n">
        <f aca="false">AD158-AD165-AD166</f>
        <v>0</v>
      </c>
      <c r="AE168" s="37" t="n">
        <f aca="false">AE158-AE165-AE166</f>
        <v>0</v>
      </c>
      <c r="AF168" s="37" t="n">
        <f aca="false">AF158-AF165-AF166</f>
        <v>0</v>
      </c>
      <c r="AG168" s="37" t="n">
        <f aca="false">AG158-AG165-AG166</f>
        <v>0</v>
      </c>
      <c r="AH168" s="37" t="n">
        <f aca="false">AH158-AH165-AH166</f>
        <v>0</v>
      </c>
      <c r="AI168" s="37" t="n">
        <f aca="false">AI158-AI165-AI166</f>
        <v>0</v>
      </c>
      <c r="AJ168" s="37" t="n">
        <f aca="false">AJ158-AJ165-AJ166</f>
        <v>0</v>
      </c>
      <c r="AK168" s="37" t="n">
        <f aca="false">AK158-AK165-AK166</f>
        <v>0</v>
      </c>
      <c r="AL168" s="37" t="n">
        <f aca="false">AL158-AL165-AL166</f>
        <v>0</v>
      </c>
      <c r="AM168" s="37" t="n">
        <f aca="false">AM158-AM165-AM166</f>
        <v>0</v>
      </c>
      <c r="AN168" s="37" t="n">
        <f aca="false">AN158-AN165-AN166</f>
        <v>0</v>
      </c>
      <c r="AO168" s="37" t="n">
        <f aca="false">AO158-AO165-AO166</f>
        <v>0</v>
      </c>
      <c r="AP168" s="37" t="n">
        <f aca="false">AP158-AP165-AP166</f>
        <v>0</v>
      </c>
      <c r="AQ168" s="37" t="n">
        <f aca="false">AQ158-AQ165-AQ166</f>
        <v>0</v>
      </c>
      <c r="AR168" s="37" t="n">
        <f aca="false">AR158-AR165-AR166</f>
        <v>0</v>
      </c>
      <c r="AS168" s="37" t="n">
        <f aca="false">AS158-AS165-AS166</f>
        <v>0</v>
      </c>
      <c r="AT168" s="37" t="n">
        <f aca="false">AT158-AT165-AT166</f>
        <v>0</v>
      </c>
      <c r="AU168" s="37" t="n">
        <f aca="false">AU158-AU165-AU166</f>
        <v>0</v>
      </c>
      <c r="AV168" s="37" t="n">
        <f aca="false">AV158-AV165-AV166</f>
        <v>0</v>
      </c>
      <c r="AW168" s="37" t="n">
        <f aca="false">AW158-AW165-AW166</f>
        <v>0</v>
      </c>
      <c r="AX168" s="37" t="n">
        <f aca="false">AX158-AX165-AX166</f>
        <v>0</v>
      </c>
      <c r="AY168" s="37" t="n">
        <f aca="false">AY158-AY165-AY166</f>
        <v>0</v>
      </c>
      <c r="AZ168" s="37" t="n">
        <f aca="false">AZ158-AZ165-AZ166</f>
        <v>0</v>
      </c>
      <c r="BA168" s="37" t="n">
        <f aca="false">BA158-BA165-BA166</f>
        <v>0</v>
      </c>
      <c r="BB168" s="37" t="n">
        <f aca="false">BB158-BB165-BB166</f>
        <v>0</v>
      </c>
      <c r="BC168" s="37" t="n">
        <f aca="false">BC158-BC165-BC166</f>
        <v>0</v>
      </c>
      <c r="BD168" s="37" t="n">
        <f aca="false">BD158-BD165-BD166</f>
        <v>0</v>
      </c>
      <c r="BE168" s="37" t="n">
        <f aca="false">BE158-BE165-BE166</f>
        <v>0</v>
      </c>
      <c r="BF168" s="37" t="n">
        <f aca="false">BF158-BF165-BF166</f>
        <v>0</v>
      </c>
      <c r="BG168" s="37" t="n">
        <f aca="false">BG158-BG165-BG166</f>
        <v>0</v>
      </c>
      <c r="BH168" s="37" t="n">
        <f aca="false">BH158-BH165-BH166</f>
        <v>0</v>
      </c>
      <c r="BI168" s="37" t="n">
        <f aca="false">BI158-BI165-BI166</f>
        <v>0</v>
      </c>
      <c r="BJ168" s="37" t="n">
        <f aca="false">BJ158-BJ165-BJ166</f>
        <v>0</v>
      </c>
      <c r="BK168" s="37" t="n">
        <f aca="false">BK158-BK165-BK166</f>
        <v>0</v>
      </c>
      <c r="BL168" s="37" t="n">
        <f aca="false">BL158-BL165-BL166</f>
        <v>0</v>
      </c>
      <c r="BM168" s="37" t="n">
        <f aca="false">BM158-BM165-BM166</f>
        <v>0</v>
      </c>
      <c r="BN168" s="37" t="n">
        <f aca="false">BN158-BN165-BN166</f>
        <v>0</v>
      </c>
      <c r="BO168" s="37" t="n">
        <f aca="false">BO158-BO165-BO166</f>
        <v>0</v>
      </c>
      <c r="BP168" s="37" t="n">
        <f aca="false">BP158-BP165-BP166</f>
        <v>0</v>
      </c>
      <c r="BQ168" s="37" t="n">
        <f aca="false">BQ158-BQ165-BQ166</f>
        <v>0</v>
      </c>
      <c r="BR168" s="37" t="n">
        <f aca="false">BR158-BR165-BR166</f>
        <v>0</v>
      </c>
      <c r="BS168" s="37" t="n">
        <f aca="false">BS158-BS165-BS166</f>
        <v>0</v>
      </c>
      <c r="BT168" s="37" t="n">
        <f aca="false">BT158-BT165-BT166</f>
        <v>0</v>
      </c>
      <c r="BU168" s="37" t="n">
        <f aca="false">BU158-BU165-BU166</f>
        <v>0</v>
      </c>
      <c r="BV168" s="37" t="n">
        <f aca="false">BV158-BV165-BV166</f>
        <v>0</v>
      </c>
      <c r="BW168" s="37" t="n">
        <f aca="false">BW158-BW165-BW166</f>
        <v>0</v>
      </c>
      <c r="BX168" s="37" t="n">
        <f aca="false">BX158-BX165-BX166</f>
        <v>0</v>
      </c>
      <c r="BY168" s="37" t="n">
        <f aca="false">BY158-BY165-BY166</f>
        <v>0</v>
      </c>
      <c r="BZ168" s="37" t="n">
        <f aca="false">BZ158-BZ165-BZ166</f>
        <v>0</v>
      </c>
      <c r="CA168" s="37" t="n">
        <f aca="false">CA158-CA165-CA166</f>
        <v>0</v>
      </c>
      <c r="CB168" s="37" t="n">
        <f aca="false">CB158-CB165-CB166</f>
        <v>0</v>
      </c>
      <c r="CC168" s="37" t="n">
        <f aca="false">CC158-CC165-CC166</f>
        <v>0</v>
      </c>
      <c r="CD168" s="37" t="n">
        <f aca="false">CD158-CD165-CD166</f>
        <v>0</v>
      </c>
      <c r="CE168" s="37" t="n">
        <f aca="false">CE158-CE165-CE166</f>
        <v>0</v>
      </c>
      <c r="CF168" s="37" t="n">
        <f aca="false">CF158-CF165-CF166</f>
        <v>0</v>
      </c>
      <c r="CG168" s="37" t="n">
        <f aca="false">CG158-CG165-CG166</f>
        <v>0</v>
      </c>
      <c r="CH168" s="37" t="n">
        <f aca="false">CH158-CH165-CH166</f>
        <v>0</v>
      </c>
      <c r="CI168" s="37" t="n">
        <f aca="false">CI158-CI165-CI166</f>
        <v>0</v>
      </c>
      <c r="CJ168" s="37" t="n">
        <f aca="false">CJ158-CJ165-CJ166</f>
        <v>0</v>
      </c>
      <c r="CK168" s="37" t="n">
        <f aca="false">CK158-CK165-CK166</f>
        <v>0</v>
      </c>
      <c r="CL168" s="37" t="n">
        <f aca="false">CL158-CL165-CL166</f>
        <v>0</v>
      </c>
      <c r="CM168" s="37" t="n">
        <f aca="false">CM158-CM165-CM166</f>
        <v>0</v>
      </c>
      <c r="CN168" s="37" t="n">
        <f aca="false">CN158-CN165-CN166</f>
        <v>0</v>
      </c>
      <c r="CO168" s="37" t="n">
        <f aca="false">CO158-CO165-CO166</f>
        <v>0</v>
      </c>
      <c r="CP168" s="37" t="n">
        <f aca="false">CP158-CP165-CP166</f>
        <v>0</v>
      </c>
      <c r="CQ168" s="37" t="n">
        <f aca="false">CQ158-CQ165-CQ166</f>
        <v>0</v>
      </c>
      <c r="CR168" s="37" t="n">
        <f aca="false">CR158-CR165-CR166</f>
        <v>0</v>
      </c>
      <c r="CS168" s="37" t="n">
        <f aca="false">CS158-CS165-CS166</f>
        <v>0</v>
      </c>
      <c r="CT168" s="37" t="n">
        <f aca="false">CT158-CT165-CT166</f>
        <v>0</v>
      </c>
      <c r="CU168" s="37" t="n">
        <f aca="false">CU158-CU165-CU166</f>
        <v>0</v>
      </c>
      <c r="CV168" s="37" t="n">
        <f aca="false">CV158-CV165-CV166</f>
        <v>0</v>
      </c>
      <c r="CW168" s="37" t="n">
        <f aca="false">CW158-CW165-CW166</f>
        <v>0</v>
      </c>
      <c r="CX168" s="37" t="n">
        <f aca="false">CX158-CX165-CX166</f>
        <v>0</v>
      </c>
      <c r="CY168" s="37" t="n">
        <f aca="false">CY158-CY165-CY166</f>
        <v>630.964680427874</v>
      </c>
      <c r="CZ168" s="37" t="n">
        <f aca="false">CZ158-CZ165-CZ166</f>
        <v>1186.64658516337</v>
      </c>
      <c r="DA168" s="37" t="n">
        <f aca="false">DA158-DA165-DA166</f>
        <v>1287.34910892693</v>
      </c>
      <c r="DB168" s="37" t="n">
        <f aca="false">DB158-DB165-DB166</f>
        <v>1287.34910892693</v>
      </c>
      <c r="DC168" s="37" t="n">
        <f aca="false">DC158-DC165-DC166</f>
        <v>1186.64658516337</v>
      </c>
      <c r="DD168" s="37" t="n">
        <f aca="false">DD158-DD165-DD166</f>
        <v>1287.34910892693</v>
      </c>
      <c r="DE168" s="37" t="n">
        <f aca="false">DE158-DE165-DE166</f>
        <v>1186.64658516337</v>
      </c>
      <c r="DF168" s="37" t="n">
        <f aca="false">DF158-DF165-DF166</f>
        <v>1287.34910892693</v>
      </c>
      <c r="DG168" s="37" t="n">
        <f aca="false">DG158-DG165-DG166</f>
        <v>1287.34910892693</v>
      </c>
      <c r="DH168" s="37" t="n">
        <f aca="false">DH158-DH165-DH166</f>
        <v>985.241537636239</v>
      </c>
      <c r="DI168" s="37" t="n">
        <f aca="false">DI158-DI165-DI166</f>
        <v>1380.4596681769</v>
      </c>
      <c r="DJ168" s="37" t="n">
        <f aca="false">DJ158-DJ165-DJ166</f>
        <v>1277.74309393807</v>
      </c>
      <c r="DK168" s="37" t="n">
        <f aca="false">DK158-DK165-DK166</f>
        <v>1380.4596681769</v>
      </c>
      <c r="DL168" s="37" t="n">
        <f aca="false">DL158-DL165-DL166</f>
        <v>1277.74309393807</v>
      </c>
      <c r="DM168" s="37" t="n">
        <f aca="false">DM158-DM165-DM166</f>
        <v>1380.4596681769</v>
      </c>
      <c r="DN168" s="37" t="n">
        <f aca="false">DN158-DN165-DN166</f>
        <v>1380.4596681769</v>
      </c>
      <c r="DO168" s="37" t="n">
        <f aca="false">DO158-DO165-DO166</f>
        <v>1277.74309393807</v>
      </c>
      <c r="DP168" s="37" t="n">
        <f aca="false">DP158-DP165-DP166</f>
        <v>1380.4596681769</v>
      </c>
      <c r="DQ168" s="37" t="n">
        <f aca="false">DQ158-DQ165-DQ166</f>
        <v>1277.74309393807</v>
      </c>
      <c r="DR168" s="37" t="n">
        <f aca="false">DR158-DR165-DR166</f>
        <v>1380.4596681769</v>
      </c>
      <c r="DS168" s="37" t="n">
        <f aca="false">DS158-DS165-DS166</f>
        <v>1380.4596681769</v>
      </c>
      <c r="DT168" s="37" t="n">
        <f aca="false">DT158-DT165-DT166</f>
        <v>0</v>
      </c>
      <c r="DU168" s="37" t="n">
        <f aca="false">DU158-DU165-DU166</f>
        <v>0</v>
      </c>
      <c r="DV168" s="37" t="n">
        <f aca="false">DV158-DV165-DV166</f>
        <v>0</v>
      </c>
      <c r="DW168" s="37" t="n">
        <f aca="false">DW158-DW165-DW166</f>
        <v>608877.530166204</v>
      </c>
      <c r="DX168" s="37" t="n">
        <f aca="false">DX158-DX165-DX166</f>
        <v>0</v>
      </c>
      <c r="DY168" s="37" t="n">
        <f aca="false">DY158-DY165-DY166</f>
        <v>0</v>
      </c>
      <c r="DZ168" s="37" t="n">
        <f aca="false">DZ158-DZ165-DZ166</f>
        <v>0</v>
      </c>
      <c r="EA168" s="37" t="n">
        <f aca="false">EA158-EA165-EA166</f>
        <v>0</v>
      </c>
      <c r="EB168" s="37" t="n">
        <f aca="false">EB158-EB165-EB166</f>
        <v>0</v>
      </c>
      <c r="EC168" s="37" t="n">
        <f aca="false">EC158-EC165-EC166</f>
        <v>0</v>
      </c>
      <c r="ED168" s="37" t="n">
        <f aca="false">ED158-ED165-ED166</f>
        <v>0</v>
      </c>
      <c r="EE168" s="37" t="n">
        <f aca="false">EE158-EE165-EE166</f>
        <v>0</v>
      </c>
      <c r="EF168" s="37" t="n">
        <f aca="false">EF158-EF165-EF166</f>
        <v>0</v>
      </c>
    </row>
    <row r="170" customFormat="false" ht="15" hidden="false" customHeight="false" outlineLevel="0" collapsed="false">
      <c r="A170" s="6" t="s">
        <v>698</v>
      </c>
      <c r="B170" s="7"/>
      <c r="C170" s="286" t="s">
        <v>699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</row>
    <row r="171" customFormat="false" ht="15" hidden="false" customHeight="false" outlineLevel="0" collapsed="false">
      <c r="A171" s="36" t="s">
        <v>700</v>
      </c>
      <c r="B171" s="278" t="s">
        <v>21</v>
      </c>
      <c r="C171" s="287" t="n">
        <f aca="false">IFERROR((1+IRR(E171:EF171,0.01))^12-1,IFERROR((1+IRR(E171:EF171,-0.05))^12-1,-1))</f>
        <v>0.295086350863857</v>
      </c>
      <c r="E171" s="37" t="n">
        <f aca="false">-E140+E168</f>
        <v>-11571.5825683952</v>
      </c>
      <c r="F171" s="37" t="n">
        <f aca="false">-F140+F168</f>
        <v>0</v>
      </c>
      <c r="G171" s="37" t="n">
        <f aca="false">-G140+G168</f>
        <v>0</v>
      </c>
      <c r="H171" s="37" t="n">
        <f aca="false">-H140+H168</f>
        <v>0</v>
      </c>
      <c r="I171" s="37" t="n">
        <f aca="false">-I140+I168</f>
        <v>0</v>
      </c>
      <c r="J171" s="37" t="n">
        <f aca="false">-J140+J168</f>
        <v>0</v>
      </c>
      <c r="K171" s="37" t="n">
        <f aca="false">-K140+K168</f>
        <v>0</v>
      </c>
      <c r="L171" s="37" t="n">
        <f aca="false">-L140+L168</f>
        <v>0</v>
      </c>
      <c r="M171" s="37" t="n">
        <f aca="false">-M140+M168</f>
        <v>0</v>
      </c>
      <c r="N171" s="37" t="n">
        <f aca="false">-N140+N168</f>
        <v>0</v>
      </c>
      <c r="O171" s="37" t="n">
        <f aca="false">-O140+O168</f>
        <v>0</v>
      </c>
      <c r="P171" s="37" t="n">
        <f aca="false">-P140+P168</f>
        <v>0</v>
      </c>
      <c r="Q171" s="37" t="n">
        <f aca="false">-Q140+Q168</f>
        <v>0</v>
      </c>
      <c r="R171" s="37" t="n">
        <f aca="false">-R140+R168</f>
        <v>0</v>
      </c>
      <c r="S171" s="37" t="n">
        <f aca="false">-S140+S168</f>
        <v>0</v>
      </c>
      <c r="T171" s="37" t="n">
        <f aca="false">-T140+T168</f>
        <v>0</v>
      </c>
      <c r="U171" s="37" t="n">
        <f aca="false">-U140+U168</f>
        <v>0</v>
      </c>
      <c r="V171" s="37" t="n">
        <f aca="false">-V140+V168</f>
        <v>0</v>
      </c>
      <c r="W171" s="37" t="n">
        <f aca="false">-W140+W168</f>
        <v>-51488.8128996984</v>
      </c>
      <c r="X171" s="37" t="n">
        <f aca="false">-X140+X168</f>
        <v>0</v>
      </c>
      <c r="Y171" s="37" t="n">
        <f aca="false">-Y140+Y168</f>
        <v>0</v>
      </c>
      <c r="Z171" s="37" t="n">
        <f aca="false">-Z140+Z168</f>
        <v>0</v>
      </c>
      <c r="AA171" s="37" t="n">
        <f aca="false">-AA140+AA168</f>
        <v>0</v>
      </c>
      <c r="AB171" s="37" t="n">
        <f aca="false">-AB140+AB168</f>
        <v>0</v>
      </c>
      <c r="AC171" s="37" t="n">
        <f aca="false">-AC140+AC168</f>
        <v>0</v>
      </c>
      <c r="AD171" s="37" t="n">
        <f aca="false">-AD140+AD168</f>
        <v>0</v>
      </c>
      <c r="AE171" s="37" t="n">
        <f aca="false">-AE140+AE168</f>
        <v>0</v>
      </c>
      <c r="AF171" s="37" t="n">
        <f aca="false">-AF140+AF168</f>
        <v>0</v>
      </c>
      <c r="AG171" s="37" t="n">
        <f aca="false">-AG140+AG168</f>
        <v>0</v>
      </c>
      <c r="AH171" s="37" t="n">
        <f aca="false">-AH140+AH168</f>
        <v>0</v>
      </c>
      <c r="AI171" s="37" t="n">
        <f aca="false">-AI140+AI168</f>
        <v>0</v>
      </c>
      <c r="AJ171" s="37" t="n">
        <f aca="false">-AJ140+AJ168</f>
        <v>0</v>
      </c>
      <c r="AK171" s="37" t="n">
        <f aca="false">-AK140+AK168</f>
        <v>0</v>
      </c>
      <c r="AL171" s="37" t="n">
        <f aca="false">-AL140+AL168</f>
        <v>0</v>
      </c>
      <c r="AM171" s="37" t="n">
        <f aca="false">-AM140+AM168</f>
        <v>0</v>
      </c>
      <c r="AN171" s="37" t="n">
        <f aca="false">-AN140+AN168</f>
        <v>0</v>
      </c>
      <c r="AO171" s="37" t="n">
        <f aca="false">-AO140+AO168</f>
        <v>0</v>
      </c>
      <c r="AP171" s="37" t="n">
        <f aca="false">-AP140+AP168</f>
        <v>0</v>
      </c>
      <c r="AQ171" s="37" t="n">
        <f aca="false">-AQ140+AQ168</f>
        <v>0</v>
      </c>
      <c r="AR171" s="37" t="n">
        <f aca="false">-AR140+AR168</f>
        <v>0</v>
      </c>
      <c r="AS171" s="37" t="n">
        <f aca="false">-AS140+AS168</f>
        <v>0</v>
      </c>
      <c r="AT171" s="37" t="n">
        <f aca="false">-AT140+AT168</f>
        <v>0</v>
      </c>
      <c r="AU171" s="37" t="n">
        <f aca="false">-AU140+AU168</f>
        <v>0</v>
      </c>
      <c r="AV171" s="37" t="n">
        <f aca="false">-AV140+AV168</f>
        <v>0</v>
      </c>
      <c r="AW171" s="37" t="n">
        <f aca="false">-AW140+AW168</f>
        <v>0</v>
      </c>
      <c r="AX171" s="37" t="n">
        <f aca="false">-AX140+AX168</f>
        <v>0</v>
      </c>
      <c r="AY171" s="37" t="n">
        <f aca="false">-AY140+AY168</f>
        <v>0</v>
      </c>
      <c r="AZ171" s="37" t="n">
        <f aca="false">-AZ140+AZ168</f>
        <v>0</v>
      </c>
      <c r="BA171" s="37" t="n">
        <f aca="false">-BA140+BA168</f>
        <v>0</v>
      </c>
      <c r="BB171" s="37" t="n">
        <f aca="false">-BB140+BB168</f>
        <v>0</v>
      </c>
      <c r="BC171" s="37" t="n">
        <f aca="false">-BC140+BC168</f>
        <v>0</v>
      </c>
      <c r="BD171" s="37" t="n">
        <f aca="false">-BD140+BD168</f>
        <v>0</v>
      </c>
      <c r="BE171" s="37" t="n">
        <f aca="false">-BE140+BE168</f>
        <v>0</v>
      </c>
      <c r="BF171" s="37" t="n">
        <f aca="false">-BF140+BF168</f>
        <v>0</v>
      </c>
      <c r="BG171" s="37" t="n">
        <f aca="false">-BG140+BG168</f>
        <v>0</v>
      </c>
      <c r="BH171" s="37" t="n">
        <f aca="false">-BH140+BH168</f>
        <v>0</v>
      </c>
      <c r="BI171" s="37" t="n">
        <f aca="false">-BI140+BI168</f>
        <v>0</v>
      </c>
      <c r="BJ171" s="37" t="n">
        <f aca="false">-BJ140+BJ168</f>
        <v>0</v>
      </c>
      <c r="BK171" s="37" t="n">
        <f aca="false">-BK140+BK168</f>
        <v>0</v>
      </c>
      <c r="BL171" s="37" t="n">
        <f aca="false">-BL140+BL168</f>
        <v>0</v>
      </c>
      <c r="BM171" s="37" t="n">
        <f aca="false">-BM140+BM168</f>
        <v>0</v>
      </c>
      <c r="BN171" s="37" t="n">
        <f aca="false">-BN140+BN168</f>
        <v>0</v>
      </c>
      <c r="BO171" s="37" t="n">
        <f aca="false">-BO140+BO168</f>
        <v>0</v>
      </c>
      <c r="BP171" s="37" t="n">
        <f aca="false">-BP140+BP168</f>
        <v>0</v>
      </c>
      <c r="BQ171" s="37" t="n">
        <f aca="false">-BQ140+BQ168</f>
        <v>0</v>
      </c>
      <c r="BR171" s="37" t="n">
        <f aca="false">-BR140+BR168</f>
        <v>0</v>
      </c>
      <c r="BS171" s="37" t="n">
        <f aca="false">-BS140+BS168</f>
        <v>0</v>
      </c>
      <c r="BT171" s="37" t="n">
        <f aca="false">-BT140+BT168</f>
        <v>0</v>
      </c>
      <c r="BU171" s="37" t="n">
        <f aca="false">-BU140+BU168</f>
        <v>0</v>
      </c>
      <c r="BV171" s="37" t="n">
        <f aca="false">-BV140+BV168</f>
        <v>0</v>
      </c>
      <c r="BW171" s="37" t="n">
        <f aca="false">-BW140+BW168</f>
        <v>0</v>
      </c>
      <c r="BX171" s="37" t="n">
        <f aca="false">-BX140+BX168</f>
        <v>0</v>
      </c>
      <c r="BY171" s="37" t="n">
        <f aca="false">-BY140+BY168</f>
        <v>0</v>
      </c>
      <c r="BZ171" s="37" t="n">
        <f aca="false">-BZ140+BZ168</f>
        <v>0</v>
      </c>
      <c r="CA171" s="37" t="n">
        <f aca="false">-CA140+CA168</f>
        <v>0</v>
      </c>
      <c r="CB171" s="37" t="n">
        <f aca="false">-CB140+CB168</f>
        <v>0</v>
      </c>
      <c r="CC171" s="37" t="n">
        <f aca="false">-CC140+CC168</f>
        <v>0</v>
      </c>
      <c r="CD171" s="37" t="n">
        <f aca="false">-CD140+CD168</f>
        <v>0</v>
      </c>
      <c r="CE171" s="37" t="n">
        <f aca="false">-CE140+CE168</f>
        <v>0</v>
      </c>
      <c r="CF171" s="37" t="n">
        <f aca="false">-CF140+CF168</f>
        <v>0</v>
      </c>
      <c r="CG171" s="37" t="n">
        <f aca="false">-CG140+CG168</f>
        <v>0</v>
      </c>
      <c r="CH171" s="37" t="n">
        <f aca="false">-CH140+CH168</f>
        <v>0</v>
      </c>
      <c r="CI171" s="37" t="n">
        <f aca="false">-CI140+CI168</f>
        <v>0</v>
      </c>
      <c r="CJ171" s="37" t="n">
        <f aca="false">-CJ140+CJ168</f>
        <v>0</v>
      </c>
      <c r="CK171" s="37" t="n">
        <f aca="false">-CK140+CK168</f>
        <v>0</v>
      </c>
      <c r="CL171" s="37" t="n">
        <f aca="false">-CL140+CL168</f>
        <v>0</v>
      </c>
      <c r="CM171" s="37" t="n">
        <f aca="false">-CM140+CM168</f>
        <v>0</v>
      </c>
      <c r="CN171" s="37" t="n">
        <f aca="false">-CN140+CN168</f>
        <v>0</v>
      </c>
      <c r="CO171" s="37" t="n">
        <f aca="false">-CO140+CO168</f>
        <v>0</v>
      </c>
      <c r="CP171" s="37" t="n">
        <f aca="false">-CP140+CP168</f>
        <v>0</v>
      </c>
      <c r="CQ171" s="37" t="n">
        <f aca="false">-CQ140+CQ168</f>
        <v>0</v>
      </c>
      <c r="CR171" s="37" t="n">
        <f aca="false">-CR140+CR168</f>
        <v>0</v>
      </c>
      <c r="CS171" s="37" t="n">
        <f aca="false">-CS140+CS168</f>
        <v>0</v>
      </c>
      <c r="CT171" s="37" t="n">
        <f aca="false">-CT140+CT168</f>
        <v>0</v>
      </c>
      <c r="CU171" s="37" t="n">
        <f aca="false">-CU140+CU168</f>
        <v>0</v>
      </c>
      <c r="CV171" s="37" t="n">
        <f aca="false">-CV140+CV168</f>
        <v>0</v>
      </c>
      <c r="CW171" s="37" t="n">
        <f aca="false">-CW140+CW168</f>
        <v>0</v>
      </c>
      <c r="CX171" s="37" t="n">
        <f aca="false">-CX140+CX168</f>
        <v>0</v>
      </c>
      <c r="CY171" s="37" t="n">
        <f aca="false">-CY140+CY168</f>
        <v>630.964680427874</v>
      </c>
      <c r="CZ171" s="37" t="n">
        <f aca="false">-CZ140+CZ168</f>
        <v>1186.64658516337</v>
      </c>
      <c r="DA171" s="37" t="n">
        <f aca="false">-DA140+DA168</f>
        <v>1287.34910892693</v>
      </c>
      <c r="DB171" s="37" t="n">
        <f aca="false">-DB140+DB168</f>
        <v>1287.34910892693</v>
      </c>
      <c r="DC171" s="37" t="n">
        <f aca="false">-DC140+DC168</f>
        <v>1186.64658516337</v>
      </c>
      <c r="DD171" s="37" t="n">
        <f aca="false">-DD140+DD168</f>
        <v>1287.34910892693</v>
      </c>
      <c r="DE171" s="37" t="n">
        <f aca="false">-DE140+DE168</f>
        <v>1186.64658516337</v>
      </c>
      <c r="DF171" s="37" t="n">
        <f aca="false">-DF140+DF168</f>
        <v>1287.34910892693</v>
      </c>
      <c r="DG171" s="37" t="n">
        <f aca="false">-DG140+DG168</f>
        <v>1287.34910892693</v>
      </c>
      <c r="DH171" s="37" t="n">
        <f aca="false">-DH140+DH168</f>
        <v>985.241537636239</v>
      </c>
      <c r="DI171" s="37" t="n">
        <f aca="false">-DI140+DI168</f>
        <v>1380.4596681769</v>
      </c>
      <c r="DJ171" s="37" t="n">
        <f aca="false">-DJ140+DJ168</f>
        <v>1277.74309393807</v>
      </c>
      <c r="DK171" s="37" t="n">
        <f aca="false">-DK140+DK168</f>
        <v>1380.4596681769</v>
      </c>
      <c r="DL171" s="37" t="n">
        <f aca="false">-DL140+DL168</f>
        <v>1277.74309393807</v>
      </c>
      <c r="DM171" s="37" t="n">
        <f aca="false">-DM140+DM168</f>
        <v>1380.4596681769</v>
      </c>
      <c r="DN171" s="37" t="n">
        <f aca="false">-DN140+DN168</f>
        <v>1380.4596681769</v>
      </c>
      <c r="DO171" s="37" t="n">
        <f aca="false">-DO140+DO168</f>
        <v>1277.74309393807</v>
      </c>
      <c r="DP171" s="37" t="n">
        <f aca="false">-DP140+DP168</f>
        <v>1380.4596681769</v>
      </c>
      <c r="DQ171" s="37" t="n">
        <f aca="false">-DQ140+DQ168</f>
        <v>1277.74309393807</v>
      </c>
      <c r="DR171" s="37" t="n">
        <f aca="false">-DR140+DR168</f>
        <v>1380.4596681769</v>
      </c>
      <c r="DS171" s="37" t="n">
        <f aca="false">-DS140+DS168</f>
        <v>1380.4596681769</v>
      </c>
      <c r="DT171" s="37" t="n">
        <f aca="false">-DT140+DT168</f>
        <v>0</v>
      </c>
      <c r="DU171" s="37" t="n">
        <f aca="false">-DU140+DU168</f>
        <v>0</v>
      </c>
      <c r="DV171" s="37" t="n">
        <f aca="false">-DV140+DV168</f>
        <v>0</v>
      </c>
      <c r="DW171" s="37" t="n">
        <f aca="false">-DW140+DW168</f>
        <v>608877.530166204</v>
      </c>
      <c r="DX171" s="37" t="n">
        <f aca="false">-DX140+DX168</f>
        <v>0</v>
      </c>
      <c r="DY171" s="37" t="n">
        <f aca="false">-DY140+DY168</f>
        <v>0</v>
      </c>
      <c r="DZ171" s="37" t="n">
        <f aca="false">-DZ140+DZ168</f>
        <v>0</v>
      </c>
      <c r="EA171" s="37" t="n">
        <f aca="false">-EA140+EA168</f>
        <v>0</v>
      </c>
      <c r="EB171" s="37" t="n">
        <f aca="false">-EB140+EB168</f>
        <v>0</v>
      </c>
      <c r="EC171" s="37" t="n">
        <f aca="false">-EC140+EC168</f>
        <v>0</v>
      </c>
      <c r="ED171" s="37" t="n">
        <f aca="false">-ED140+ED168</f>
        <v>0</v>
      </c>
      <c r="EE171" s="37" t="n">
        <f aca="false">-EE140+EE168</f>
        <v>0</v>
      </c>
      <c r="EF171" s="37" t="n">
        <f aca="false">-EF140+EF168</f>
        <v>0</v>
      </c>
    </row>
    <row r="172" customFormat="false" ht="15" hidden="false" customHeight="false" outlineLevel="0" collapsed="false">
      <c r="A172" s="36" t="s">
        <v>701</v>
      </c>
      <c r="B172" s="278" t="s">
        <v>21</v>
      </c>
      <c r="C172" s="287" t="n">
        <f aca="false">IFERROR((1+IRR(E172:EF172,0.01))^12-1,IFERROR((1+IRR(E172:EF172,-0.05))^12-1,-1))</f>
        <v>0.0499999999984933</v>
      </c>
      <c r="E172" s="37" t="n">
        <f aca="false">-E141+E165+E166</f>
        <v>0</v>
      </c>
      <c r="F172" s="37" t="n">
        <f aca="false">-F141+F165+F166</f>
        <v>0</v>
      </c>
      <c r="G172" s="37" t="n">
        <f aca="false">-G141+G165+G166</f>
        <v>0</v>
      </c>
      <c r="H172" s="37" t="n">
        <f aca="false">-H141+H165+H166</f>
        <v>0</v>
      </c>
      <c r="I172" s="37" t="n">
        <f aca="false">-I141+I165+I166</f>
        <v>0</v>
      </c>
      <c r="J172" s="37" t="n">
        <f aca="false">-J141+J165+J166</f>
        <v>0</v>
      </c>
      <c r="K172" s="37" t="n">
        <f aca="false">-K141+K165+K166</f>
        <v>0</v>
      </c>
      <c r="L172" s="37" t="n">
        <f aca="false">-L141+L165+L166</f>
        <v>0</v>
      </c>
      <c r="M172" s="37" t="n">
        <f aca="false">-M141+M165+M166</f>
        <v>0</v>
      </c>
      <c r="N172" s="37" t="n">
        <f aca="false">-N141+N165+N166</f>
        <v>0</v>
      </c>
      <c r="O172" s="37" t="n">
        <f aca="false">-O141+O165+O166</f>
        <v>0</v>
      </c>
      <c r="P172" s="37" t="n">
        <f aca="false">-P141+P165+P166</f>
        <v>0</v>
      </c>
      <c r="Q172" s="37" t="n">
        <f aca="false">-Q141+Q165+Q166</f>
        <v>0</v>
      </c>
      <c r="R172" s="37" t="n">
        <f aca="false">-R141+R165+R166</f>
        <v>0</v>
      </c>
      <c r="S172" s="37" t="n">
        <f aca="false">-S141+S165+S166</f>
        <v>0</v>
      </c>
      <c r="T172" s="37" t="n">
        <f aca="false">-T141+T165+T166</f>
        <v>0</v>
      </c>
      <c r="U172" s="37" t="n">
        <f aca="false">-U141+U165+U166</f>
        <v>0</v>
      </c>
      <c r="V172" s="37" t="n">
        <f aca="false">-V141+V165+V166</f>
        <v>0</v>
      </c>
      <c r="W172" s="37" t="n">
        <f aca="false">-W141+W165+W166</f>
        <v>-147140.922758885</v>
      </c>
      <c r="X172" s="37" t="n">
        <f aca="false">-X141+X165+X166</f>
        <v>0</v>
      </c>
      <c r="Y172" s="37" t="n">
        <f aca="false">-Y141+Y165+Y166</f>
        <v>0</v>
      </c>
      <c r="Z172" s="37" t="n">
        <f aca="false">-Z141+Z165+Z166</f>
        <v>0</v>
      </c>
      <c r="AA172" s="37" t="n">
        <f aca="false">-AA141+AA165+AA166</f>
        <v>0</v>
      </c>
      <c r="AB172" s="37" t="n">
        <f aca="false">-AB141+AB165+AB166</f>
        <v>0</v>
      </c>
      <c r="AC172" s="37" t="n">
        <f aca="false">-AC141+AC165+AC166</f>
        <v>0</v>
      </c>
      <c r="AD172" s="37" t="n">
        <f aca="false">-AD141+AD165+AD166</f>
        <v>0</v>
      </c>
      <c r="AE172" s="37" t="n">
        <f aca="false">-AE141+AE165+AE166</f>
        <v>0</v>
      </c>
      <c r="AF172" s="37" t="n">
        <f aca="false">-AF141+AF165+AF166</f>
        <v>0</v>
      </c>
      <c r="AG172" s="37" t="n">
        <f aca="false">-AG141+AG165+AG166</f>
        <v>0</v>
      </c>
      <c r="AH172" s="37" t="n">
        <f aca="false">-AH141+AH165+AH166</f>
        <v>0</v>
      </c>
      <c r="AI172" s="37" t="n">
        <f aca="false">-AI141+AI165+AI166</f>
        <v>0</v>
      </c>
      <c r="AJ172" s="37" t="n">
        <f aca="false">-AJ141+AJ165+AJ166</f>
        <v>0</v>
      </c>
      <c r="AK172" s="37" t="n">
        <f aca="false">-AK141+AK165+AK166</f>
        <v>0</v>
      </c>
      <c r="AL172" s="37" t="n">
        <f aca="false">-AL141+AL165+AL166</f>
        <v>0</v>
      </c>
      <c r="AM172" s="37" t="n">
        <f aca="false">-AM141+AM165+AM166</f>
        <v>0</v>
      </c>
      <c r="AN172" s="37" t="n">
        <f aca="false">-AN141+AN165+AN166</f>
        <v>0</v>
      </c>
      <c r="AO172" s="37" t="n">
        <f aca="false">-AO141+AO165+AO166</f>
        <v>0</v>
      </c>
      <c r="AP172" s="37" t="n">
        <f aca="false">-AP141+AP165+AP166</f>
        <v>0</v>
      </c>
      <c r="AQ172" s="37" t="n">
        <f aca="false">-AQ141+AQ165+AQ166</f>
        <v>0</v>
      </c>
      <c r="AR172" s="37" t="n">
        <f aca="false">-AR141+AR165+AR166</f>
        <v>0</v>
      </c>
      <c r="AS172" s="37" t="n">
        <f aca="false">-AS141+AS165+AS166</f>
        <v>0</v>
      </c>
      <c r="AT172" s="37" t="n">
        <f aca="false">-AT141+AT165+AT166</f>
        <v>0</v>
      </c>
      <c r="AU172" s="37" t="n">
        <f aca="false">-AU141+AU165+AU166</f>
        <v>0</v>
      </c>
      <c r="AV172" s="37" t="n">
        <f aca="false">-AV141+AV165+AV166</f>
        <v>0</v>
      </c>
      <c r="AW172" s="37" t="n">
        <f aca="false">-AW141+AW165+AW166</f>
        <v>0</v>
      </c>
      <c r="AX172" s="37" t="n">
        <f aca="false">-AX141+AX165+AX166</f>
        <v>0</v>
      </c>
      <c r="AY172" s="37" t="n">
        <f aca="false">-AY141+AY165+AY166</f>
        <v>0</v>
      </c>
      <c r="AZ172" s="37" t="n">
        <f aca="false">-AZ141+AZ165+AZ166</f>
        <v>0</v>
      </c>
      <c r="BA172" s="37" t="n">
        <f aca="false">-BA141+BA165+BA166</f>
        <v>0</v>
      </c>
      <c r="BB172" s="37" t="n">
        <f aca="false">-BB141+BB165+BB166</f>
        <v>0</v>
      </c>
      <c r="BC172" s="37" t="n">
        <f aca="false">-BC141+BC165+BC166</f>
        <v>0</v>
      </c>
      <c r="BD172" s="37" t="n">
        <f aca="false">-BD141+BD165+BD166</f>
        <v>0</v>
      </c>
      <c r="BE172" s="37" t="n">
        <f aca="false">-BE141+BE165+BE166</f>
        <v>0</v>
      </c>
      <c r="BF172" s="37" t="n">
        <f aca="false">-BF141+BF165+BF166</f>
        <v>0</v>
      </c>
      <c r="BG172" s="37" t="n">
        <f aca="false">-BG141+BG165+BG166</f>
        <v>0</v>
      </c>
      <c r="BH172" s="37" t="n">
        <f aca="false">-BH141+BH165+BH166</f>
        <v>0</v>
      </c>
      <c r="BI172" s="37" t="n">
        <f aca="false">-BI141+BI165+BI166</f>
        <v>0</v>
      </c>
      <c r="BJ172" s="37" t="n">
        <f aca="false">-BJ141+BJ165+BJ166</f>
        <v>0</v>
      </c>
      <c r="BK172" s="37" t="n">
        <f aca="false">-BK141+BK165+BK166</f>
        <v>0</v>
      </c>
      <c r="BL172" s="37" t="n">
        <f aca="false">-BL141+BL165+BL166</f>
        <v>0</v>
      </c>
      <c r="BM172" s="37" t="n">
        <f aca="false">-BM141+BM165+BM166</f>
        <v>1815.80087459565</v>
      </c>
      <c r="BN172" s="37" t="n">
        <f aca="false">-BN141+BN165+BN166</f>
        <v>518.595507294685</v>
      </c>
      <c r="BO172" s="37" t="n">
        <f aca="false">-BO141+BO165+BO166</f>
        <v>600.837179610655</v>
      </c>
      <c r="BP172" s="37" t="n">
        <f aca="false">-BP141+BP165+BP166</f>
        <v>518.595507294684</v>
      </c>
      <c r="BQ172" s="37" t="n">
        <f aca="false">-BQ141+BQ165+BQ166</f>
        <v>600.837179610655</v>
      </c>
      <c r="BR172" s="37" t="n">
        <f aca="false">-BR141+BR165+BR166</f>
        <v>600.837179610655</v>
      </c>
      <c r="BS172" s="37" t="n">
        <f aca="false">-BS141+BS165+BS166</f>
        <v>518.595507294684</v>
      </c>
      <c r="BT172" s="37" t="n">
        <f aca="false">-BT141+BT165+BT166</f>
        <v>600.837179610655</v>
      </c>
      <c r="BU172" s="37" t="n">
        <f aca="false">-BU141+BU165+BU166</f>
        <v>518.595507294684</v>
      </c>
      <c r="BV172" s="37" t="n">
        <f aca="false">-BV141+BV165+BV166</f>
        <v>600.837179610655</v>
      </c>
      <c r="BW172" s="37" t="n">
        <f aca="false">-BW141+BW165+BW166</f>
        <v>600.837179610655</v>
      </c>
      <c r="BX172" s="37" t="n">
        <f aca="false">-BX141+BX165+BX166</f>
        <v>436.353834978712</v>
      </c>
      <c r="BY172" s="37" t="n">
        <f aca="false">-BY141+BY165+BY166</f>
        <v>1510.4908171224</v>
      </c>
      <c r="BZ172" s="37" t="n">
        <f aca="false">-BZ141+BZ165+BZ166</f>
        <v>1580.09749508899</v>
      </c>
      <c r="CA172" s="37" t="n">
        <f aca="false">-CA141+CA165+CA166</f>
        <v>1676.8896171224</v>
      </c>
      <c r="CB172" s="37" t="n">
        <f aca="false">-CB141+CB165+CB166</f>
        <v>1580.09749508899</v>
      </c>
      <c r="CC172" s="37" t="n">
        <f aca="false">-CC141+CC165+CC166</f>
        <v>1676.8896171224</v>
      </c>
      <c r="CD172" s="37" t="n">
        <f aca="false">-CD141+CD165+CD166</f>
        <v>1676.8896171224</v>
      </c>
      <c r="CE172" s="37" t="n">
        <f aca="false">-CE141+CE165+CE166</f>
        <v>1580.09749508899</v>
      </c>
      <c r="CF172" s="37" t="n">
        <f aca="false">-CF141+CF165+CF166</f>
        <v>1676.8896171224</v>
      </c>
      <c r="CG172" s="37" t="n">
        <f aca="false">-CG141+CG165+CG166</f>
        <v>1580.09749508899</v>
      </c>
      <c r="CH172" s="37" t="n">
        <f aca="false">-CH141+CH165+CH166</f>
        <v>1676.8896171224</v>
      </c>
      <c r="CI172" s="37" t="n">
        <f aca="false">-CI141+CI165+CI166</f>
        <v>1676.8896171224</v>
      </c>
      <c r="CJ172" s="37" t="n">
        <f aca="false">-CJ141+CJ165+CJ166</f>
        <v>1386.51325102216</v>
      </c>
      <c r="CK172" s="37" t="n">
        <f aca="false">-CK141+CK165+CK166</f>
        <v>1766.38457987709</v>
      </c>
      <c r="CL172" s="37" t="n">
        <f aca="false">-CL141+CL165+CL166</f>
        <v>1696.80661540301</v>
      </c>
      <c r="CM172" s="37" t="n">
        <f aca="false">-CM141+CM165+CM166</f>
        <v>1795.53457987709</v>
      </c>
      <c r="CN172" s="37" t="n">
        <f aca="false">-CN141+CN165+CN166</f>
        <v>1696.80661540301</v>
      </c>
      <c r="CO172" s="37" t="n">
        <f aca="false">-CO141+CO165+CO166</f>
        <v>1795.53457987709</v>
      </c>
      <c r="CP172" s="37" t="n">
        <f aca="false">-CP141+CP165+CP166</f>
        <v>1795.53457987709</v>
      </c>
      <c r="CQ172" s="37" t="n">
        <f aca="false">-CQ141+CQ165+CQ166</f>
        <v>1696.80661540301</v>
      </c>
      <c r="CR172" s="37" t="n">
        <f aca="false">-CR141+CR165+CR166</f>
        <v>1795.53457987709</v>
      </c>
      <c r="CS172" s="37" t="n">
        <f aca="false">-CS141+CS165+CS166</f>
        <v>1696.80661540301</v>
      </c>
      <c r="CT172" s="37" t="n">
        <f aca="false">-CT141+CT165+CT166</f>
        <v>1795.53457987709</v>
      </c>
      <c r="CU172" s="37" t="n">
        <f aca="false">-CU141+CU165+CU166</f>
        <v>1795.53457987709</v>
      </c>
      <c r="CV172" s="37" t="n">
        <f aca="false">-CV141+CV165+CV166</f>
        <v>1499.35068645484</v>
      </c>
      <c r="CW172" s="37" t="n">
        <f aca="false">-CW141+CW165+CW166</f>
        <v>1886.81944188687</v>
      </c>
      <c r="CX172" s="37" t="n">
        <f aca="false">-CX141+CX165+CX166</f>
        <v>1786.1169181233</v>
      </c>
      <c r="CY172" s="37" t="n">
        <f aca="false">-CY141+CY165+CY166</f>
        <v>1255.85476145899</v>
      </c>
      <c r="CZ172" s="37" t="n">
        <f aca="false">-CZ141+CZ165+CZ166</f>
        <v>599.470332959938</v>
      </c>
      <c r="DA172" s="37" t="n">
        <f aca="false">-DA141+DA165+DA166</f>
        <v>599.470332959938</v>
      </c>
      <c r="DB172" s="37" t="n">
        <f aca="false">-DB141+DB165+DB166</f>
        <v>599.470332959938</v>
      </c>
      <c r="DC172" s="37" t="n">
        <f aca="false">-DC141+DC165+DC166</f>
        <v>599.470332959938</v>
      </c>
      <c r="DD172" s="37" t="n">
        <f aca="false">-DD141+DD165+DD166</f>
        <v>599.470332959938</v>
      </c>
      <c r="DE172" s="37" t="n">
        <f aca="false">-DE141+DE165+DE166</f>
        <v>599.470332959938</v>
      </c>
      <c r="DF172" s="37" t="n">
        <f aca="false">-DF141+DF165+DF166</f>
        <v>599.470332959938</v>
      </c>
      <c r="DG172" s="37" t="n">
        <f aca="false">-DG141+DG165+DG166</f>
        <v>599.470332959938</v>
      </c>
      <c r="DH172" s="37" t="n">
        <f aca="false">-DH141+DH165+DH166</f>
        <v>599.470332959938</v>
      </c>
      <c r="DI172" s="37" t="n">
        <f aca="false">-DI141+DI165+DI166</f>
        <v>599.470332959938</v>
      </c>
      <c r="DJ172" s="37" t="n">
        <f aca="false">-DJ141+DJ165+DJ166</f>
        <v>599.470332959938</v>
      </c>
      <c r="DK172" s="37" t="n">
        <f aca="false">-DK141+DK165+DK166</f>
        <v>599.470332959938</v>
      </c>
      <c r="DL172" s="37" t="n">
        <f aca="false">-DL141+DL165+DL166</f>
        <v>599.470332959938</v>
      </c>
      <c r="DM172" s="37" t="n">
        <f aca="false">-DM141+DM165+DM166</f>
        <v>599.470332959938</v>
      </c>
      <c r="DN172" s="37" t="n">
        <f aca="false">-DN141+DN165+DN166</f>
        <v>599.470332959938</v>
      </c>
      <c r="DO172" s="37" t="n">
        <f aca="false">-DO141+DO165+DO166</f>
        <v>599.470332959938</v>
      </c>
      <c r="DP172" s="37" t="n">
        <f aca="false">-DP141+DP165+DP166</f>
        <v>599.470332959938</v>
      </c>
      <c r="DQ172" s="37" t="n">
        <f aca="false">-DQ141+DQ165+DQ166</f>
        <v>599.470332959938</v>
      </c>
      <c r="DR172" s="37" t="n">
        <f aca="false">-DR141+DR165+DR166</f>
        <v>599.470332959938</v>
      </c>
      <c r="DS172" s="37" t="n">
        <f aca="false">-DS141+DS165+DS166</f>
        <v>599.470332959938</v>
      </c>
      <c r="DT172" s="37" t="n">
        <f aca="false">-DT141+DT165+DT166</f>
        <v>0</v>
      </c>
      <c r="DU172" s="37" t="n">
        <f aca="false">-DU141+DU165+DU166</f>
        <v>0</v>
      </c>
      <c r="DV172" s="37" t="n">
        <f aca="false">-DV141+DV165+DV166</f>
        <v>0</v>
      </c>
      <c r="DW172" s="37" t="n">
        <f aca="false">-DW141+DW165+DW166</f>
        <v>149553.497830506</v>
      </c>
      <c r="DX172" s="37" t="n">
        <f aca="false">-DX141+DX165+DX166</f>
        <v>0</v>
      </c>
      <c r="DY172" s="37" t="n">
        <f aca="false">-DY141+DY165+DY166</f>
        <v>0</v>
      </c>
      <c r="DZ172" s="37" t="n">
        <f aca="false">-DZ141+DZ165+DZ166</f>
        <v>0</v>
      </c>
      <c r="EA172" s="37" t="n">
        <f aca="false">-EA141+EA165+EA166</f>
        <v>0</v>
      </c>
      <c r="EB172" s="37" t="n">
        <f aca="false">-EB141+EB165+EB166</f>
        <v>0</v>
      </c>
      <c r="EC172" s="37" t="n">
        <f aca="false">-EC141+EC165+EC166</f>
        <v>0</v>
      </c>
      <c r="ED172" s="37" t="n">
        <f aca="false">-ED141+ED165+ED166</f>
        <v>0</v>
      </c>
      <c r="EE172" s="37" t="n">
        <f aca="false">-EE141+EE165+EE166</f>
        <v>0</v>
      </c>
      <c r="EF172" s="37" t="n">
        <f aca="false">-EF141+EF165+EF166</f>
        <v>0</v>
      </c>
    </row>
    <row r="173" customFormat="false" ht="15" hidden="false" customHeight="false" outlineLevel="0" collapsed="false">
      <c r="A173" s="280" t="s">
        <v>702</v>
      </c>
      <c r="B173" s="281" t="s">
        <v>21</v>
      </c>
      <c r="C173" s="288" t="n">
        <f aca="false">IFERROR((1+IRR(E173:EF173,0.01))^12-1,IFERROR((1+IRR(E173:EF173,-0.05))^12-1,-1))</f>
        <v>0.180265272460192</v>
      </c>
      <c r="D173" s="48"/>
      <c r="E173" s="283" t="n">
        <f aca="false">E171+E172</f>
        <v>-11571.5825683952</v>
      </c>
      <c r="F173" s="283" t="n">
        <f aca="false">F171+F172</f>
        <v>0</v>
      </c>
      <c r="G173" s="283" t="n">
        <f aca="false">G171+G172</f>
        <v>0</v>
      </c>
      <c r="H173" s="283" t="n">
        <f aca="false">H171+H172</f>
        <v>0</v>
      </c>
      <c r="I173" s="283" t="n">
        <f aca="false">I171+I172</f>
        <v>0</v>
      </c>
      <c r="J173" s="283" t="n">
        <f aca="false">J171+J172</f>
        <v>0</v>
      </c>
      <c r="K173" s="283" t="n">
        <f aca="false">K171+K172</f>
        <v>0</v>
      </c>
      <c r="L173" s="283" t="n">
        <f aca="false">L171+L172</f>
        <v>0</v>
      </c>
      <c r="M173" s="283" t="n">
        <f aca="false">M171+M172</f>
        <v>0</v>
      </c>
      <c r="N173" s="283" t="n">
        <f aca="false">N171+N172</f>
        <v>0</v>
      </c>
      <c r="O173" s="283" t="n">
        <f aca="false">O171+O172</f>
        <v>0</v>
      </c>
      <c r="P173" s="283" t="n">
        <f aca="false">P171+P172</f>
        <v>0</v>
      </c>
      <c r="Q173" s="283" t="n">
        <f aca="false">Q171+Q172</f>
        <v>0</v>
      </c>
      <c r="R173" s="283" t="n">
        <f aca="false">R171+R172</f>
        <v>0</v>
      </c>
      <c r="S173" s="283" t="n">
        <f aca="false">S171+S172</f>
        <v>0</v>
      </c>
      <c r="T173" s="283" t="n">
        <f aca="false">T171+T172</f>
        <v>0</v>
      </c>
      <c r="U173" s="283" t="n">
        <f aca="false">U171+U172</f>
        <v>0</v>
      </c>
      <c r="V173" s="283" t="n">
        <f aca="false">V171+V172</f>
        <v>0</v>
      </c>
      <c r="W173" s="283" t="n">
        <f aca="false">W171+W172</f>
        <v>-198629.735658583</v>
      </c>
      <c r="X173" s="283" t="n">
        <f aca="false">X171+X172</f>
        <v>0</v>
      </c>
      <c r="Y173" s="283" t="n">
        <f aca="false">Y171+Y172</f>
        <v>0</v>
      </c>
      <c r="Z173" s="283" t="n">
        <f aca="false">Z171+Z172</f>
        <v>0</v>
      </c>
      <c r="AA173" s="283" t="n">
        <f aca="false">AA171+AA172</f>
        <v>0</v>
      </c>
      <c r="AB173" s="283" t="n">
        <f aca="false">AB171+AB172</f>
        <v>0</v>
      </c>
      <c r="AC173" s="283" t="n">
        <f aca="false">AC171+AC172</f>
        <v>0</v>
      </c>
      <c r="AD173" s="283" t="n">
        <f aca="false">AD171+AD172</f>
        <v>0</v>
      </c>
      <c r="AE173" s="283" t="n">
        <f aca="false">AE171+AE172</f>
        <v>0</v>
      </c>
      <c r="AF173" s="283" t="n">
        <f aca="false">AF171+AF172</f>
        <v>0</v>
      </c>
      <c r="AG173" s="283" t="n">
        <f aca="false">AG171+AG172</f>
        <v>0</v>
      </c>
      <c r="AH173" s="283" t="n">
        <f aca="false">AH171+AH172</f>
        <v>0</v>
      </c>
      <c r="AI173" s="283" t="n">
        <f aca="false">AI171+AI172</f>
        <v>0</v>
      </c>
      <c r="AJ173" s="283" t="n">
        <f aca="false">AJ171+AJ172</f>
        <v>0</v>
      </c>
      <c r="AK173" s="283" t="n">
        <f aca="false">AK171+AK172</f>
        <v>0</v>
      </c>
      <c r="AL173" s="283" t="n">
        <f aca="false">AL171+AL172</f>
        <v>0</v>
      </c>
      <c r="AM173" s="283" t="n">
        <f aca="false">AM171+AM172</f>
        <v>0</v>
      </c>
      <c r="AN173" s="283" t="n">
        <f aca="false">AN171+AN172</f>
        <v>0</v>
      </c>
      <c r="AO173" s="283" t="n">
        <f aca="false">AO171+AO172</f>
        <v>0</v>
      </c>
      <c r="AP173" s="283" t="n">
        <f aca="false">AP171+AP172</f>
        <v>0</v>
      </c>
      <c r="AQ173" s="283" t="n">
        <f aca="false">AQ171+AQ172</f>
        <v>0</v>
      </c>
      <c r="AR173" s="283" t="n">
        <f aca="false">AR171+AR172</f>
        <v>0</v>
      </c>
      <c r="AS173" s="283" t="n">
        <f aca="false">AS171+AS172</f>
        <v>0</v>
      </c>
      <c r="AT173" s="283" t="n">
        <f aca="false">AT171+AT172</f>
        <v>0</v>
      </c>
      <c r="AU173" s="283" t="n">
        <f aca="false">AU171+AU172</f>
        <v>0</v>
      </c>
      <c r="AV173" s="283" t="n">
        <f aca="false">AV171+AV172</f>
        <v>0</v>
      </c>
      <c r="AW173" s="283" t="n">
        <f aca="false">AW171+AW172</f>
        <v>0</v>
      </c>
      <c r="AX173" s="283" t="n">
        <f aca="false">AX171+AX172</f>
        <v>0</v>
      </c>
      <c r="AY173" s="283" t="n">
        <f aca="false">AY171+AY172</f>
        <v>0</v>
      </c>
      <c r="AZ173" s="283" t="n">
        <f aca="false">AZ171+AZ172</f>
        <v>0</v>
      </c>
      <c r="BA173" s="283" t="n">
        <f aca="false">BA171+BA172</f>
        <v>0</v>
      </c>
      <c r="BB173" s="283" t="n">
        <f aca="false">BB171+BB172</f>
        <v>0</v>
      </c>
      <c r="BC173" s="283" t="n">
        <f aca="false">BC171+BC172</f>
        <v>0</v>
      </c>
      <c r="BD173" s="283" t="n">
        <f aca="false">BD171+BD172</f>
        <v>0</v>
      </c>
      <c r="BE173" s="283" t="n">
        <f aca="false">BE171+BE172</f>
        <v>0</v>
      </c>
      <c r="BF173" s="283" t="n">
        <f aca="false">BF171+BF172</f>
        <v>0</v>
      </c>
      <c r="BG173" s="283" t="n">
        <f aca="false">BG171+BG172</f>
        <v>0</v>
      </c>
      <c r="BH173" s="283" t="n">
        <f aca="false">BH171+BH172</f>
        <v>0</v>
      </c>
      <c r="BI173" s="283" t="n">
        <f aca="false">BI171+BI172</f>
        <v>0</v>
      </c>
      <c r="BJ173" s="283" t="n">
        <f aca="false">BJ171+BJ172</f>
        <v>0</v>
      </c>
      <c r="BK173" s="283" t="n">
        <f aca="false">BK171+BK172</f>
        <v>0</v>
      </c>
      <c r="BL173" s="283" t="n">
        <f aca="false">BL171+BL172</f>
        <v>0</v>
      </c>
      <c r="BM173" s="283" t="n">
        <f aca="false">BM171+BM172</f>
        <v>1815.80087459565</v>
      </c>
      <c r="BN173" s="283" t="n">
        <f aca="false">BN171+BN172</f>
        <v>518.595507294685</v>
      </c>
      <c r="BO173" s="283" t="n">
        <f aca="false">BO171+BO172</f>
        <v>600.837179610655</v>
      </c>
      <c r="BP173" s="283" t="n">
        <f aca="false">BP171+BP172</f>
        <v>518.595507294684</v>
      </c>
      <c r="BQ173" s="283" t="n">
        <f aca="false">BQ171+BQ172</f>
        <v>600.837179610655</v>
      </c>
      <c r="BR173" s="283" t="n">
        <f aca="false">BR171+BR172</f>
        <v>600.837179610655</v>
      </c>
      <c r="BS173" s="283" t="n">
        <f aca="false">BS171+BS172</f>
        <v>518.595507294684</v>
      </c>
      <c r="BT173" s="283" t="n">
        <f aca="false">BT171+BT172</f>
        <v>600.837179610655</v>
      </c>
      <c r="BU173" s="283" t="n">
        <f aca="false">BU171+BU172</f>
        <v>518.595507294684</v>
      </c>
      <c r="BV173" s="283" t="n">
        <f aca="false">BV171+BV172</f>
        <v>600.837179610655</v>
      </c>
      <c r="BW173" s="283" t="n">
        <f aca="false">BW171+BW172</f>
        <v>600.837179610655</v>
      </c>
      <c r="BX173" s="283" t="n">
        <f aca="false">BX171+BX172</f>
        <v>436.353834978712</v>
      </c>
      <c r="BY173" s="283" t="n">
        <f aca="false">BY171+BY172</f>
        <v>1510.4908171224</v>
      </c>
      <c r="BZ173" s="283" t="n">
        <f aca="false">BZ171+BZ172</f>
        <v>1580.09749508899</v>
      </c>
      <c r="CA173" s="283" t="n">
        <f aca="false">CA171+CA172</f>
        <v>1676.8896171224</v>
      </c>
      <c r="CB173" s="283" t="n">
        <f aca="false">CB171+CB172</f>
        <v>1580.09749508899</v>
      </c>
      <c r="CC173" s="283" t="n">
        <f aca="false">CC171+CC172</f>
        <v>1676.8896171224</v>
      </c>
      <c r="CD173" s="283" t="n">
        <f aca="false">CD171+CD172</f>
        <v>1676.8896171224</v>
      </c>
      <c r="CE173" s="283" t="n">
        <f aca="false">CE171+CE172</f>
        <v>1580.09749508899</v>
      </c>
      <c r="CF173" s="283" t="n">
        <f aca="false">CF171+CF172</f>
        <v>1676.8896171224</v>
      </c>
      <c r="CG173" s="283" t="n">
        <f aca="false">CG171+CG172</f>
        <v>1580.09749508899</v>
      </c>
      <c r="CH173" s="283" t="n">
        <f aca="false">CH171+CH172</f>
        <v>1676.8896171224</v>
      </c>
      <c r="CI173" s="283" t="n">
        <f aca="false">CI171+CI172</f>
        <v>1676.8896171224</v>
      </c>
      <c r="CJ173" s="283" t="n">
        <f aca="false">CJ171+CJ172</f>
        <v>1386.51325102216</v>
      </c>
      <c r="CK173" s="283" t="n">
        <f aca="false">CK171+CK172</f>
        <v>1766.38457987709</v>
      </c>
      <c r="CL173" s="283" t="n">
        <f aca="false">CL171+CL172</f>
        <v>1696.80661540301</v>
      </c>
      <c r="CM173" s="283" t="n">
        <f aca="false">CM171+CM172</f>
        <v>1795.53457987709</v>
      </c>
      <c r="CN173" s="283" t="n">
        <f aca="false">CN171+CN172</f>
        <v>1696.80661540301</v>
      </c>
      <c r="CO173" s="283" t="n">
        <f aca="false">CO171+CO172</f>
        <v>1795.53457987709</v>
      </c>
      <c r="CP173" s="283" t="n">
        <f aca="false">CP171+CP172</f>
        <v>1795.53457987709</v>
      </c>
      <c r="CQ173" s="283" t="n">
        <f aca="false">CQ171+CQ172</f>
        <v>1696.80661540301</v>
      </c>
      <c r="CR173" s="283" t="n">
        <f aca="false">CR171+CR172</f>
        <v>1795.53457987709</v>
      </c>
      <c r="CS173" s="283" t="n">
        <f aca="false">CS171+CS172</f>
        <v>1696.80661540301</v>
      </c>
      <c r="CT173" s="283" t="n">
        <f aca="false">CT171+CT172</f>
        <v>1795.53457987709</v>
      </c>
      <c r="CU173" s="283" t="n">
        <f aca="false">CU171+CU172</f>
        <v>1795.53457987709</v>
      </c>
      <c r="CV173" s="283" t="n">
        <f aca="false">CV171+CV172</f>
        <v>1499.35068645484</v>
      </c>
      <c r="CW173" s="283" t="n">
        <f aca="false">CW171+CW172</f>
        <v>1886.81944188687</v>
      </c>
      <c r="CX173" s="283" t="n">
        <f aca="false">CX171+CX172</f>
        <v>1786.1169181233</v>
      </c>
      <c r="CY173" s="283" t="n">
        <f aca="false">CY171+CY172</f>
        <v>1886.81944188687</v>
      </c>
      <c r="CZ173" s="283" t="n">
        <f aca="false">CZ171+CZ172</f>
        <v>1786.1169181233</v>
      </c>
      <c r="DA173" s="283" t="n">
        <f aca="false">DA171+DA172</f>
        <v>1886.81944188687</v>
      </c>
      <c r="DB173" s="283" t="n">
        <f aca="false">DB171+DB172</f>
        <v>1886.81944188687</v>
      </c>
      <c r="DC173" s="283" t="n">
        <f aca="false">DC171+DC172</f>
        <v>1786.1169181233</v>
      </c>
      <c r="DD173" s="283" t="n">
        <f aca="false">DD171+DD172</f>
        <v>1886.81944188687</v>
      </c>
      <c r="DE173" s="283" t="n">
        <f aca="false">DE171+DE172</f>
        <v>1786.1169181233</v>
      </c>
      <c r="DF173" s="283" t="n">
        <f aca="false">DF171+DF172</f>
        <v>1886.81944188687</v>
      </c>
      <c r="DG173" s="283" t="n">
        <f aca="false">DG171+DG172</f>
        <v>1886.81944188687</v>
      </c>
      <c r="DH173" s="283" t="n">
        <f aca="false">DH171+DH172</f>
        <v>1584.71187059618</v>
      </c>
      <c r="DI173" s="283" t="n">
        <f aca="false">DI171+DI172</f>
        <v>1979.93000113684</v>
      </c>
      <c r="DJ173" s="283" t="n">
        <f aca="false">DJ171+DJ172</f>
        <v>1877.21342689801</v>
      </c>
      <c r="DK173" s="283" t="n">
        <f aca="false">DK171+DK172</f>
        <v>1979.93000113684</v>
      </c>
      <c r="DL173" s="283" t="n">
        <f aca="false">DL171+DL172</f>
        <v>1877.21342689801</v>
      </c>
      <c r="DM173" s="283" t="n">
        <f aca="false">DM171+DM172</f>
        <v>1979.93000113684</v>
      </c>
      <c r="DN173" s="283" t="n">
        <f aca="false">DN171+DN172</f>
        <v>1979.93000113684</v>
      </c>
      <c r="DO173" s="283" t="n">
        <f aca="false">DO171+DO172</f>
        <v>1877.21342689801</v>
      </c>
      <c r="DP173" s="283" t="n">
        <f aca="false">DP171+DP172</f>
        <v>1979.93000113684</v>
      </c>
      <c r="DQ173" s="283" t="n">
        <f aca="false">DQ171+DQ172</f>
        <v>1877.21342689801</v>
      </c>
      <c r="DR173" s="283" t="n">
        <f aca="false">DR171+DR172</f>
        <v>1979.93000113684</v>
      </c>
      <c r="DS173" s="283" t="n">
        <f aca="false">DS171+DS172</f>
        <v>1979.93000113684</v>
      </c>
      <c r="DT173" s="283" t="n">
        <f aca="false">DT171+DT172</f>
        <v>0</v>
      </c>
      <c r="DU173" s="283" t="n">
        <f aca="false">DU171+DU172</f>
        <v>0</v>
      </c>
      <c r="DV173" s="283" t="n">
        <f aca="false">DV171+DV172</f>
        <v>0</v>
      </c>
      <c r="DW173" s="283" t="n">
        <f aca="false">DW171+DW172</f>
        <v>758431.02799671</v>
      </c>
      <c r="DX173" s="283" t="n">
        <f aca="false">DX171+DX172</f>
        <v>0</v>
      </c>
      <c r="DY173" s="283" t="n">
        <f aca="false">DY171+DY172</f>
        <v>0</v>
      </c>
      <c r="DZ173" s="283" t="n">
        <f aca="false">DZ171+DZ172</f>
        <v>0</v>
      </c>
      <c r="EA173" s="283" t="n">
        <f aca="false">EA171+EA172</f>
        <v>0</v>
      </c>
      <c r="EB173" s="283" t="n">
        <f aca="false">EB171+EB172</f>
        <v>0</v>
      </c>
      <c r="EC173" s="283" t="n">
        <f aca="false">EC171+EC172</f>
        <v>0</v>
      </c>
      <c r="ED173" s="283" t="n">
        <f aca="false">ED171+ED172</f>
        <v>0</v>
      </c>
      <c r="EE173" s="283" t="n">
        <f aca="false">EE171+EE172</f>
        <v>0</v>
      </c>
      <c r="EF173" s="283" t="n">
        <f aca="false">EF171+EF172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13" min="3" style="0" width="11"/>
  </cols>
  <sheetData>
    <row r="1" customFormat="false" ht="15" hidden="false" customHeight="false" outlineLevel="0" collapsed="false">
      <c r="A1" s="272" t="s">
        <v>703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05" t="s">
        <v>121</v>
      </c>
      <c r="B3" s="68" t="s">
        <v>155</v>
      </c>
      <c r="C3" s="289" t="n">
        <f aca="false">YEAR(③기타_가정!$E$8)</f>
        <v>2026</v>
      </c>
      <c r="D3" s="289" t="n">
        <f aca="false">C3+1</f>
        <v>2027</v>
      </c>
      <c r="E3" s="289" t="n">
        <f aca="false">D3+1</f>
        <v>2028</v>
      </c>
      <c r="F3" s="289" t="n">
        <f aca="false">E3+1</f>
        <v>2029</v>
      </c>
      <c r="G3" s="289" t="n">
        <f aca="false">F3+1</f>
        <v>2030</v>
      </c>
      <c r="H3" s="289" t="n">
        <f aca="false">G3+1</f>
        <v>2031</v>
      </c>
      <c r="I3" s="289" t="n">
        <f aca="false">H3+1</f>
        <v>2032</v>
      </c>
      <c r="J3" s="289" t="n">
        <f aca="false">I3+1</f>
        <v>2033</v>
      </c>
      <c r="K3" s="289" t="n">
        <f aca="false">J3+1</f>
        <v>2034</v>
      </c>
      <c r="L3" s="289" t="n">
        <f aca="false">K3+1</f>
        <v>2035</v>
      </c>
      <c r="M3" s="289" t="n">
        <f aca="false">L3+1</f>
        <v>2036</v>
      </c>
    </row>
    <row r="4" customFormat="false" ht="15" hidden="false" customHeight="false" outlineLevel="0" collapsed="false">
      <c r="A4" s="6" t="s">
        <v>704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Format="false" ht="15" hidden="false" customHeight="false" outlineLevel="0" collapsed="false">
      <c r="A5" s="32" t="s">
        <v>44</v>
      </c>
      <c r="B5" s="290" t="n">
        <f aca="false">SUM(C5:M5)</f>
        <v>901867.246761697</v>
      </c>
      <c r="C5" s="291" t="n">
        <f aca="false">SUMIF(③기타_CF!$E$7:$EF$7,C$3,③기타_CF!$E$41:$EF$41)</f>
        <v>0</v>
      </c>
      <c r="D5" s="291" t="n">
        <f aca="false">SUMIF(③기타_CF!$E$7:$EF$7,D$3,③기타_CF!$E$41:$EF$41)</f>
        <v>0</v>
      </c>
      <c r="E5" s="291" t="n">
        <f aca="false">SUMIF(③기타_CF!$E$7:$EF$7,E$3,③기타_CF!$E$41:$EF$41)</f>
        <v>0</v>
      </c>
      <c r="F5" s="291" t="n">
        <f aca="false">SUMIF(③기타_CF!$E$7:$EF$7,F$3,③기타_CF!$E$41:$EF$41)</f>
        <v>0</v>
      </c>
      <c r="G5" s="291" t="n">
        <f aca="false">SUMIF(③기타_CF!$E$7:$EF$7,G$3,③기타_CF!$E$41:$EF$41)</f>
        <v>0</v>
      </c>
      <c r="H5" s="291" t="n">
        <f aca="false">SUMIF(③기타_CF!$E$7:$EF$7,H$3,③기타_CF!$E$41:$EF$41)</f>
        <v>129142.179609283</v>
      </c>
      <c r="I5" s="291" t="n">
        <f aca="false">SUMIF(③기타_CF!$E$7:$EF$7,I$3,③기타_CF!$E$41:$EF$41)</f>
        <v>177184.76464145</v>
      </c>
      <c r="J5" s="291" t="n">
        <f aca="false">SUMIF(③기타_CF!$E$7:$EF$7,J$3,③기타_CF!$E$41:$EF$41)</f>
        <v>184246.388697141</v>
      </c>
      <c r="K5" s="291" t="n">
        <f aca="false">SUMIF(③기타_CF!$E$7:$EF$7,K$3,③기타_CF!$E$41:$EF$41)</f>
        <v>187931.316471084</v>
      </c>
      <c r="L5" s="291" t="n">
        <f aca="false">SUMIF(③기타_CF!$E$7:$EF$7,L$3,③기타_CF!$E$41:$EF$41)</f>
        <v>191689.942800506</v>
      </c>
      <c r="M5" s="291" t="n">
        <f aca="false">SUMIF(③기타_CF!$E$7:$EF$7,M$3,③기타_CF!$E$41:$EF$41)</f>
        <v>31672.6545422332</v>
      </c>
    </row>
    <row r="6" customFormat="false" ht="15" hidden="false" customHeight="false" outlineLevel="0" collapsed="false">
      <c r="A6" s="32" t="s">
        <v>591</v>
      </c>
      <c r="B6" s="290" t="n">
        <f aca="false">SUM(C6:M6)</f>
        <v>618535.480917707</v>
      </c>
      <c r="C6" s="291" t="n">
        <f aca="false">SUMIF(③기타_CF!$E$7:$EF$7,C$3,③기타_CF!$E$56:$EF$56)</f>
        <v>0</v>
      </c>
      <c r="D6" s="291" t="n">
        <f aca="false">SUMIF(③기타_CF!$E$7:$EF$7,D$3,③기타_CF!$E$56:$EF$56)</f>
        <v>0</v>
      </c>
      <c r="E6" s="291" t="n">
        <f aca="false">SUMIF(③기타_CF!$E$7:$EF$7,E$3,③기타_CF!$E$56:$EF$56)</f>
        <v>0</v>
      </c>
      <c r="F6" s="291" t="n">
        <f aca="false">SUMIF(③기타_CF!$E$7:$EF$7,F$3,③기타_CF!$E$56:$EF$56)</f>
        <v>0</v>
      </c>
      <c r="G6" s="291" t="n">
        <f aca="false">SUMIF(③기타_CF!$E$7:$EF$7,G$3,③기타_CF!$E$56:$EF$56)</f>
        <v>0</v>
      </c>
      <c r="H6" s="291" t="n">
        <f aca="false">SUMIF(③기타_CF!$E$7:$EF$7,H$3,③기타_CF!$E$56:$EF$56)</f>
        <v>90230.6749805958</v>
      </c>
      <c r="I6" s="291" t="n">
        <f aca="false">SUMIF(③기타_CF!$E$7:$EF$7,I$3,③기타_CF!$E$56:$EF$56)</f>
        <v>121479.523991242</v>
      </c>
      <c r="J6" s="291" t="n">
        <f aca="false">SUMIF(③기타_CF!$E$7:$EF$7,J$3,③기타_CF!$E$56:$EF$56)</f>
        <v>125872.94309349</v>
      </c>
      <c r="K6" s="291" t="n">
        <f aca="false">SUMIF(③기타_CF!$E$7:$EF$7,K$3,③기타_CF!$E$56:$EF$56)</f>
        <v>128390.40195536</v>
      </c>
      <c r="L6" s="291" t="n">
        <f aca="false">SUMIF(③기타_CF!$E$7:$EF$7,L$3,③기타_CF!$E$56:$EF$56)</f>
        <v>130958.209994467</v>
      </c>
      <c r="M6" s="291" t="n">
        <f aca="false">SUMIF(③기타_CF!$E$7:$EF$7,M$3,③기타_CF!$E$56:$EF$56)</f>
        <v>21603.7269025518</v>
      </c>
    </row>
    <row r="7" customFormat="false" ht="15" hidden="false" customHeight="false" outlineLevel="0" collapsed="false">
      <c r="A7" s="153" t="s">
        <v>606</v>
      </c>
      <c r="B7" s="290" t="n">
        <f aca="false">SUM(C7:M7)</f>
        <v>0</v>
      </c>
      <c r="C7" s="216" t="n">
        <f aca="false">SUMIF(③기타_CF!$E$7:$EF$7,C$3,③기타_CF!$E$59:$EF$59)</f>
        <v>0</v>
      </c>
      <c r="D7" s="216" t="n">
        <f aca="false">SUMIF(③기타_CF!$E$7:$EF$7,D$3,③기타_CF!$E$59:$EF$59)</f>
        <v>0</v>
      </c>
      <c r="E7" s="216" t="n">
        <f aca="false">SUMIF(③기타_CF!$E$7:$EF$7,E$3,③기타_CF!$E$59:$EF$59)</f>
        <v>0</v>
      </c>
      <c r="F7" s="216" t="n">
        <f aca="false">SUMIF(③기타_CF!$E$7:$EF$7,F$3,③기타_CF!$E$59:$EF$59)</f>
        <v>0</v>
      </c>
      <c r="G7" s="216" t="n">
        <f aca="false">SUMIF(③기타_CF!$E$7:$EF$7,G$3,③기타_CF!$E$59:$EF$59)</f>
        <v>0</v>
      </c>
      <c r="H7" s="216" t="n">
        <f aca="false">SUMIF(③기타_CF!$E$7:$EF$7,H$3,③기타_CF!$E$59:$EF$59)</f>
        <v>0</v>
      </c>
      <c r="I7" s="216" t="n">
        <f aca="false">SUMIF(③기타_CF!$E$7:$EF$7,I$3,③기타_CF!$E$59:$EF$59)</f>
        <v>0</v>
      </c>
      <c r="J7" s="216" t="n">
        <f aca="false">SUMIF(③기타_CF!$E$7:$EF$7,J$3,③기타_CF!$E$59:$EF$59)</f>
        <v>0</v>
      </c>
      <c r="K7" s="216" t="n">
        <f aca="false">SUMIF(③기타_CF!$E$7:$EF$7,K$3,③기타_CF!$E$59:$EF$59)</f>
        <v>0</v>
      </c>
      <c r="L7" s="216" t="n">
        <f aca="false">SUMIF(③기타_CF!$E$7:$EF$7,L$3,③기타_CF!$E$59:$EF$59)</f>
        <v>0</v>
      </c>
      <c r="M7" s="216" t="n">
        <f aca="false">SUMIF(③기타_CF!$E$7:$EF$7,M$3,③기타_CF!$E$59:$EF$59)</f>
        <v>0</v>
      </c>
    </row>
    <row r="8" customFormat="false" ht="15" hidden="false" customHeight="false" outlineLevel="0" collapsed="false">
      <c r="A8" s="153" t="s">
        <v>607</v>
      </c>
      <c r="B8" s="290" t="n">
        <f aca="false">SUM(C8:M8)</f>
        <v>42839.1665090576</v>
      </c>
      <c r="C8" s="216" t="n">
        <f aca="false">SUMIF(③기타_CF!$E$7:$EF$7,C$3,③기타_CF!$E$60:$EF$60)</f>
        <v>0</v>
      </c>
      <c r="D8" s="216" t="n">
        <f aca="false">SUMIF(③기타_CF!$E$7:$EF$7,D$3,③기타_CF!$E$60:$EF$60)</f>
        <v>0</v>
      </c>
      <c r="E8" s="216" t="n">
        <f aca="false">SUMIF(③기타_CF!$E$7:$EF$7,E$3,③기타_CF!$E$60:$EF$60)</f>
        <v>0</v>
      </c>
      <c r="F8" s="216" t="n">
        <f aca="false">SUMIF(③기타_CF!$E$7:$EF$7,F$3,③기타_CF!$E$60:$EF$60)</f>
        <v>0</v>
      </c>
      <c r="G8" s="216" t="n">
        <f aca="false">SUMIF(③기타_CF!$E$7:$EF$7,G$3,③기타_CF!$E$60:$EF$60)</f>
        <v>0</v>
      </c>
      <c r="H8" s="216" t="n">
        <f aca="false">SUMIF(③기타_CF!$E$7:$EF$7,H$3,③기타_CF!$E$60:$EF$60)</f>
        <v>6131.91390068743</v>
      </c>
      <c r="I8" s="216" t="n">
        <f aca="false">SUMIF(③기타_CF!$E$7:$EF$7,I$3,③기타_CF!$E$60:$EF$60)</f>
        <v>8419.12703438276</v>
      </c>
      <c r="J8" s="216" t="n">
        <f aca="false">SUMIF(③기타_CF!$E$7:$EF$7,J$3,③기타_CF!$E$60:$EF$60)</f>
        <v>8752.59956470431</v>
      </c>
      <c r="K8" s="216" t="n">
        <f aca="false">SUMIF(③기타_CF!$E$7:$EF$7,K$3,③기타_CF!$E$60:$EF$60)</f>
        <v>8927.6515559984</v>
      </c>
      <c r="L8" s="216" t="n">
        <f aca="false">SUMIF(③기타_CF!$E$7:$EF$7,L$3,③기타_CF!$E$60:$EF$60)</f>
        <v>9106.20458711836</v>
      </c>
      <c r="M8" s="216" t="n">
        <f aca="false">SUMIF(③기타_CF!$E$7:$EF$7,M$3,③기타_CF!$E$60:$EF$60)</f>
        <v>1501.66986616632</v>
      </c>
    </row>
    <row r="9" customFormat="false" ht="15" hidden="false" customHeight="false" outlineLevel="0" collapsed="false">
      <c r="A9" s="153" t="s">
        <v>608</v>
      </c>
      <c r="B9" s="290" t="n">
        <f aca="false">SUM(C9:M9)</f>
        <v>132976.804478938</v>
      </c>
      <c r="C9" s="216" t="n">
        <f aca="false">SUMIF(③기타_CF!$E$7:$EF$7,C$3,③기타_CF!$E$61:$EF$61)</f>
        <v>0</v>
      </c>
      <c r="D9" s="216" t="n">
        <f aca="false">SUMIF(③기타_CF!$E$7:$EF$7,D$3,③기타_CF!$E$61:$EF$61)</f>
        <v>0</v>
      </c>
      <c r="E9" s="216" t="n">
        <f aca="false">SUMIF(③기타_CF!$E$7:$EF$7,E$3,③기타_CF!$E$61:$EF$61)</f>
        <v>0</v>
      </c>
      <c r="F9" s="216" t="n">
        <f aca="false">SUMIF(③기타_CF!$E$7:$EF$7,F$3,③기타_CF!$E$61:$EF$61)</f>
        <v>0</v>
      </c>
      <c r="G9" s="216" t="n">
        <f aca="false">SUMIF(③기타_CF!$E$7:$EF$7,G$3,③기타_CF!$E$61:$EF$61)</f>
        <v>0</v>
      </c>
      <c r="H9" s="216" t="n">
        <f aca="false">SUMIF(③기타_CF!$E$7:$EF$7,H$3,③기타_CF!$E$61:$EF$61)</f>
        <v>19034.037828</v>
      </c>
      <c r="I9" s="216" t="n">
        <f aca="false">SUMIF(③기타_CF!$E$7:$EF$7,I$3,③기타_CF!$E$61:$EF$61)</f>
        <v>26133.7626468</v>
      </c>
      <c r="J9" s="216" t="n">
        <f aca="false">SUMIF(③기타_CF!$E$7:$EF$7,J$3,③기타_CF!$E$61:$EF$61)</f>
        <v>27168.892764336</v>
      </c>
      <c r="K9" s="216" t="n">
        <f aca="false">SUMIF(③기타_CF!$E$7:$EF$7,K$3,③기타_CF!$E$61:$EF$61)</f>
        <v>27712.2706196227</v>
      </c>
      <c r="L9" s="216" t="n">
        <f aca="false">SUMIF(③기타_CF!$E$7:$EF$7,L$3,③기타_CF!$E$61:$EF$61)</f>
        <v>28266.5160320152</v>
      </c>
      <c r="M9" s="216" t="n">
        <f aca="false">SUMIF(③기타_CF!$E$7:$EF$7,M$3,③기타_CF!$E$61:$EF$61)</f>
        <v>4661.32458816375</v>
      </c>
    </row>
    <row r="10" customFormat="false" ht="15" hidden="false" customHeight="false" outlineLevel="0" collapsed="false">
      <c r="A10" s="153" t="s">
        <v>609</v>
      </c>
      <c r="B10" s="290" t="n">
        <f aca="false">SUM(C10:M10)</f>
        <v>66369.0377920937</v>
      </c>
      <c r="C10" s="216" t="n">
        <f aca="false">SUMIF(③기타_CF!$E$7:$EF$7,C$3,③기타_CF!$E$62:$EF$62)</f>
        <v>0</v>
      </c>
      <c r="D10" s="216" t="n">
        <f aca="false">SUMIF(③기타_CF!$E$7:$EF$7,D$3,③기타_CF!$E$62:$EF$62)</f>
        <v>0</v>
      </c>
      <c r="E10" s="216" t="n">
        <f aca="false">SUMIF(③기타_CF!$E$7:$EF$7,E$3,③기타_CF!$E$62:$EF$62)</f>
        <v>0</v>
      </c>
      <c r="F10" s="216" t="n">
        <f aca="false">SUMIF(③기타_CF!$E$7:$EF$7,F$3,③기타_CF!$E$62:$EF$62)</f>
        <v>0</v>
      </c>
      <c r="G10" s="216" t="n">
        <f aca="false">SUMIF(③기타_CF!$E$7:$EF$7,G$3,③기타_CF!$E$62:$EF$62)</f>
        <v>0</v>
      </c>
      <c r="H10" s="216" t="n">
        <f aca="false">SUMIF(③기타_CF!$E$7:$EF$7,H$3,③기타_CF!$E$62:$EF$62)</f>
        <v>7156.6406</v>
      </c>
      <c r="I10" s="216" t="n">
        <f aca="false">SUMIF(③기타_CF!$E$7:$EF$7,I$3,③기타_CF!$E$62:$EF$62)</f>
        <v>13113.8779630252</v>
      </c>
      <c r="J10" s="216" t="n">
        <f aca="false">SUMIF(③기타_CF!$E$7:$EF$7,J$3,③기타_CF!$E$62:$EF$62)</f>
        <v>14252.7108084907</v>
      </c>
      <c r="K10" s="216" t="n">
        <f aca="false">SUMIF(③기타_CF!$E$7:$EF$7,K$3,③기타_CF!$E$62:$EF$62)</f>
        <v>14537.7650246606</v>
      </c>
      <c r="L10" s="216" t="n">
        <f aca="false">SUMIF(③기타_CF!$E$7:$EF$7,L$3,③기타_CF!$E$62:$EF$62)</f>
        <v>14828.5203251538</v>
      </c>
      <c r="M10" s="216" t="n">
        <f aca="false">SUMIF(③기타_CF!$E$7:$EF$7,M$3,③기타_CF!$E$62:$EF$62)</f>
        <v>2479.52307076342</v>
      </c>
    </row>
    <row r="11" customFormat="false" ht="15" hidden="false" customHeight="false" outlineLevel="0" collapsed="false">
      <c r="A11" s="153" t="s">
        <v>610</v>
      </c>
      <c r="B11" s="290" t="n">
        <f aca="false">SUM(C11:M11)</f>
        <v>41146.7570639016</v>
      </c>
      <c r="C11" s="216" t="n">
        <f aca="false">SUMIF(③기타_CF!$E$7:$EF$7,C$3,③기타_CF!$E$63:$EF$63)</f>
        <v>0</v>
      </c>
      <c r="D11" s="216" t="n">
        <f aca="false">SUMIF(③기타_CF!$E$7:$EF$7,D$3,③기타_CF!$E$63:$EF$63)</f>
        <v>0</v>
      </c>
      <c r="E11" s="216" t="n">
        <f aca="false">SUMIF(③기타_CF!$E$7:$EF$7,E$3,③기타_CF!$E$63:$EF$63)</f>
        <v>0</v>
      </c>
      <c r="F11" s="216" t="n">
        <f aca="false">SUMIF(③기타_CF!$E$7:$EF$7,F$3,③기타_CF!$E$63:$EF$63)</f>
        <v>0</v>
      </c>
      <c r="G11" s="216" t="n">
        <f aca="false">SUMIF(③기타_CF!$E$7:$EF$7,G$3,③기타_CF!$E$63:$EF$63)</f>
        <v>0</v>
      </c>
      <c r="H11" s="216" t="n">
        <f aca="false">SUMIF(③기타_CF!$E$7:$EF$7,H$3,③기타_CF!$E$63:$EF$63)</f>
        <v>6588.9123</v>
      </c>
      <c r="I11" s="216" t="n">
        <f aca="false">SUMIF(③기타_CF!$E$7:$EF$7,I$3,③기타_CF!$E$63:$EF$63)</f>
        <v>8038.473006</v>
      </c>
      <c r="J11" s="216" t="n">
        <f aca="false">SUMIF(③기타_CF!$E$7:$EF$7,J$3,③기타_CF!$E$63:$EF$63)</f>
        <v>8199.24246612</v>
      </c>
      <c r="K11" s="216" t="n">
        <f aca="false">SUMIF(③기타_CF!$E$7:$EF$7,K$3,③기타_CF!$E$63:$EF$63)</f>
        <v>8363.2273154424</v>
      </c>
      <c r="L11" s="216" t="n">
        <f aca="false">SUMIF(③기타_CF!$E$7:$EF$7,L$3,③기타_CF!$E$63:$EF$63)</f>
        <v>8530.49186175125</v>
      </c>
      <c r="M11" s="216" t="n">
        <f aca="false">SUMIF(③기타_CF!$E$7:$EF$7,M$3,③기타_CF!$E$63:$EF$63)</f>
        <v>1426.41011458791</v>
      </c>
    </row>
    <row r="12" customFormat="false" ht="15" hidden="false" customHeight="false" outlineLevel="0" collapsed="false">
      <c r="A12" s="87" t="s">
        <v>45</v>
      </c>
      <c r="B12" s="290" t="n">
        <f aca="false">SUM(C12:M12)</f>
        <v>283331.76584399</v>
      </c>
      <c r="C12" s="291" t="n">
        <f aca="false">SUMIF(③기타_CF!$E$7:$EF$7,C$3,③기타_CF!$E$64:$EF$64)</f>
        <v>0</v>
      </c>
      <c r="D12" s="291" t="n">
        <f aca="false">SUMIF(③기타_CF!$E$7:$EF$7,D$3,③기타_CF!$E$64:$EF$64)</f>
        <v>0</v>
      </c>
      <c r="E12" s="291" t="n">
        <f aca="false">SUMIF(③기타_CF!$E$7:$EF$7,E$3,③기타_CF!$E$64:$EF$64)</f>
        <v>0</v>
      </c>
      <c r="F12" s="291" t="n">
        <f aca="false">SUMIF(③기타_CF!$E$7:$EF$7,F$3,③기타_CF!$E$64:$EF$64)</f>
        <v>0</v>
      </c>
      <c r="G12" s="291" t="n">
        <f aca="false">SUMIF(③기타_CF!$E$7:$EF$7,G$3,③기타_CF!$E$64:$EF$64)</f>
        <v>0</v>
      </c>
      <c r="H12" s="291" t="n">
        <f aca="false">SUMIF(③기타_CF!$E$7:$EF$7,H$3,③기타_CF!$E$64:$EF$64)</f>
        <v>38911.5046286874</v>
      </c>
      <c r="I12" s="291" t="n">
        <f aca="false">SUMIF(③기타_CF!$E$7:$EF$7,I$3,③기타_CF!$E$64:$EF$64)</f>
        <v>55705.240650208</v>
      </c>
      <c r="J12" s="291" t="n">
        <f aca="false">SUMIF(③기타_CF!$E$7:$EF$7,J$3,③기타_CF!$E$64:$EF$64)</f>
        <v>58373.445603651</v>
      </c>
      <c r="K12" s="291" t="n">
        <f aca="false">SUMIF(③기타_CF!$E$7:$EF$7,K$3,③기타_CF!$E$64:$EF$64)</f>
        <v>59540.9145157241</v>
      </c>
      <c r="L12" s="291" t="n">
        <f aca="false">SUMIF(③기타_CF!$E$7:$EF$7,L$3,③기타_CF!$E$64:$EF$64)</f>
        <v>60731.7328060386</v>
      </c>
      <c r="M12" s="291" t="n">
        <f aca="false">SUMIF(③기타_CF!$E$7:$EF$7,M$3,③기타_CF!$E$64:$EF$64)</f>
        <v>10068.9276396814</v>
      </c>
    </row>
    <row r="13" customFormat="false" ht="15" hidden="false" customHeight="false" outlineLevel="0" collapsed="false">
      <c r="A13" s="32" t="s">
        <v>705</v>
      </c>
      <c r="B13" s="290" t="n">
        <f aca="false">SUM(C13:M13)</f>
        <v>43996.6521110283</v>
      </c>
      <c r="C13" s="291" t="n">
        <f aca="false">SUMIF(③기타_CF!$E$7:$EF$7,C$3,③기타_CF!$E$74:$EF$74)</f>
        <v>0</v>
      </c>
      <c r="D13" s="291" t="n">
        <f aca="false">SUMIF(③기타_CF!$E$7:$EF$7,D$3,③기타_CF!$E$74:$EF$74)</f>
        <v>0</v>
      </c>
      <c r="E13" s="291" t="n">
        <f aca="false">SUMIF(③기타_CF!$E$7:$EF$7,E$3,③기타_CF!$E$74:$EF$74)</f>
        <v>0</v>
      </c>
      <c r="F13" s="291" t="n">
        <f aca="false">SUMIF(③기타_CF!$E$7:$EF$7,F$3,③기타_CF!$E$74:$EF$74)</f>
        <v>0</v>
      </c>
      <c r="G13" s="291" t="n">
        <f aca="false">SUMIF(③기타_CF!$E$7:$EF$7,G$3,③기타_CF!$E$74:$EF$74)</f>
        <v>0</v>
      </c>
      <c r="H13" s="291" t="n">
        <f aca="false">SUMIF(③기타_CF!$E$7:$EF$7,H$3,③기타_CF!$E$74:$EF$74)</f>
        <v>5529.85750905922</v>
      </c>
      <c r="I13" s="291" t="n">
        <f aca="false">SUMIF(③기타_CF!$E$7:$EF$7,I$3,③기타_CF!$E$74:$EF$74)</f>
        <v>6953.67250518558</v>
      </c>
      <c r="J13" s="291" t="n">
        <f aca="false">SUMIF(③기타_CF!$E$7:$EF$7,J$3,③기타_CF!$E$74:$EF$74)</f>
        <v>7141.83854728929</v>
      </c>
      <c r="K13" s="291" t="n">
        <f aca="false">SUMIF(③기타_CF!$E$7:$EF$7,K$3,③기타_CF!$E$74:$EF$74)</f>
        <v>7242.72467823508</v>
      </c>
      <c r="L13" s="291" t="n">
        <f aca="false">SUMIF(③기타_CF!$E$7:$EF$7,L$3,③기타_CF!$E$74:$EF$74)</f>
        <v>7333.84753179978</v>
      </c>
      <c r="M13" s="291" t="n">
        <f aca="false">SUMIF(③기타_CF!$E$7:$EF$7,M$3,③기타_CF!$E$74:$EF$74)</f>
        <v>9794.7113394593</v>
      </c>
    </row>
    <row r="14" customFormat="false" ht="15" hidden="false" customHeight="false" outlineLevel="0" collapsed="false">
      <c r="A14" s="32" t="s">
        <v>706</v>
      </c>
      <c r="B14" s="290" t="n">
        <f aca="false">SUM(C14:M14)</f>
        <v>239335.113732962</v>
      </c>
      <c r="C14" s="291" t="n">
        <f aca="false">SUMIF(③기타_CF!$E$7:$EF$7,C$3,③기타_CF!$E$75:$EF$75)</f>
        <v>0</v>
      </c>
      <c r="D14" s="291" t="n">
        <f aca="false">SUMIF(③기타_CF!$E$7:$EF$7,D$3,③기타_CF!$E$75:$EF$75)</f>
        <v>0</v>
      </c>
      <c r="E14" s="291" t="n">
        <f aca="false">SUMIF(③기타_CF!$E$7:$EF$7,E$3,③기타_CF!$E$75:$EF$75)</f>
        <v>0</v>
      </c>
      <c r="F14" s="291" t="n">
        <f aca="false">SUMIF(③기타_CF!$E$7:$EF$7,F$3,③기타_CF!$E$75:$EF$75)</f>
        <v>0</v>
      </c>
      <c r="G14" s="291" t="n">
        <f aca="false">SUMIF(③기타_CF!$E$7:$EF$7,G$3,③기타_CF!$E$75:$EF$75)</f>
        <v>0</v>
      </c>
      <c r="H14" s="291" t="n">
        <f aca="false">SUMIF(③기타_CF!$E$7:$EF$7,H$3,③기타_CF!$E$75:$EF$75)</f>
        <v>33381.6471196282</v>
      </c>
      <c r="I14" s="291" t="n">
        <f aca="false">SUMIF(③기타_CF!$E$7:$EF$7,I$3,③기타_CF!$E$75:$EF$75)</f>
        <v>48751.5681450224</v>
      </c>
      <c r="J14" s="291" t="n">
        <f aca="false">SUMIF(③기타_CF!$E$7:$EF$7,J$3,③기타_CF!$E$75:$EF$75)</f>
        <v>51231.6070563618</v>
      </c>
      <c r="K14" s="291" t="n">
        <f aca="false">SUMIF(③기타_CF!$E$7:$EF$7,K$3,③기타_CF!$E$75:$EF$75)</f>
        <v>52298.189837489</v>
      </c>
      <c r="L14" s="291" t="n">
        <f aca="false">SUMIF(③기타_CF!$E$7:$EF$7,L$3,③기타_CF!$E$75:$EF$75)</f>
        <v>53397.8852742388</v>
      </c>
      <c r="M14" s="291" t="n">
        <f aca="false">SUMIF(③기타_CF!$E$7:$EF$7,M$3,③기타_CF!$E$75:$EF$75)</f>
        <v>274.216300222096</v>
      </c>
    </row>
    <row r="15" customFormat="false" ht="15" hidden="false" customHeight="false" outlineLevel="0" collapsed="false">
      <c r="A15" s="6" t="s">
        <v>707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customFormat="false" ht="15" hidden="false" customHeight="false" outlineLevel="0" collapsed="false">
      <c r="A16" s="32" t="s">
        <v>708</v>
      </c>
      <c r="B16" s="290" t="n">
        <f aca="false">SUM(C16:M16)</f>
        <v>1004463.58211789</v>
      </c>
      <c r="C16" s="291" t="n">
        <f aca="false">SUMIF(③기타_CF!$E$7:$EF$7,C$3,③기타_CF!$E$100:$EF$100)</f>
        <v>10361.5965620758</v>
      </c>
      <c r="D16" s="291" t="n">
        <f aca="false">SUMIF(③기타_CF!$E$7:$EF$7,D$3,③기타_CF!$E$100:$EF$100)</f>
        <v>182165.884077386</v>
      </c>
      <c r="E16" s="291" t="n">
        <f aca="false">SUMIF(③기타_CF!$E$7:$EF$7,E$3,③기타_CF!$E$100:$EF$100)</f>
        <v>225703.157069395</v>
      </c>
      <c r="F16" s="291" t="n">
        <f aca="false">SUMIF(③기타_CF!$E$7:$EF$7,F$3,③기타_CF!$E$100:$EF$100)</f>
        <v>327225.45862831</v>
      </c>
      <c r="G16" s="291" t="n">
        <f aca="false">SUMIF(③기타_CF!$E$7:$EF$7,G$3,③기타_CF!$E$100:$EF$100)</f>
        <v>188283.627862133</v>
      </c>
      <c r="H16" s="291" t="n">
        <f aca="false">SUMIF(③기타_CF!$E$7:$EF$7,H$3,③기타_CF!$E$100:$EF$100)</f>
        <v>70723.8579185884</v>
      </c>
      <c r="I16" s="291" t="n">
        <f aca="false">SUMIF(③기타_CF!$E$7:$EF$7,I$3,③기타_CF!$E$100:$EF$100)</f>
        <v>0</v>
      </c>
      <c r="J16" s="291" t="n">
        <f aca="false">SUMIF(③기타_CF!$E$7:$EF$7,J$3,③기타_CF!$E$100:$EF$100)</f>
        <v>0</v>
      </c>
      <c r="K16" s="291" t="n">
        <f aca="false">SUMIF(③기타_CF!$E$7:$EF$7,K$3,③기타_CF!$E$100:$EF$100)</f>
        <v>0</v>
      </c>
      <c r="L16" s="291" t="n">
        <f aca="false">SUMIF(③기타_CF!$E$7:$EF$7,L$3,③기타_CF!$E$100:$EF$100)</f>
        <v>0</v>
      </c>
      <c r="M16" s="291" t="n">
        <f aca="false">SUMIF(③기타_CF!$E$7:$EF$7,M$3,③기타_CF!$E$100:$EF$100)</f>
        <v>0</v>
      </c>
    </row>
    <row r="17" customFormat="false" ht="15" hidden="false" customHeight="false" outlineLevel="0" collapsed="false">
      <c r="A17" s="87" t="s">
        <v>709</v>
      </c>
      <c r="B17" s="290" t="n">
        <f aca="false">SUM(C17:M17)</f>
        <v>88773.5040538454</v>
      </c>
      <c r="C17" s="291" t="n">
        <f aca="false">SUMIF(③기타_CF!$E$7:$EF$7,C$3,③기타_CF!$E$112:$EF$112)</f>
        <v>0</v>
      </c>
      <c r="D17" s="291" t="n">
        <f aca="false">SUMIF(③기타_CF!$E$7:$EF$7,D$3,③기타_CF!$E$112:$EF$112)</f>
        <v>9809.39485059233</v>
      </c>
      <c r="E17" s="291" t="n">
        <f aca="false">SUMIF(③기타_CF!$E$7:$EF$7,E$3,③기타_CF!$E$112:$EF$112)</f>
        <v>6742.65196106741</v>
      </c>
      <c r="F17" s="291" t="n">
        <f aca="false">SUMIF(③기타_CF!$E$7:$EF$7,F$3,③기타_CF!$E$112:$EF$112)</f>
        <v>24260.8953819254</v>
      </c>
      <c r="G17" s="291" t="n">
        <f aca="false">SUMIF(③기타_CF!$E$7:$EF$7,G$3,③기타_CF!$E$112:$EF$112)</f>
        <v>40304.3873491184</v>
      </c>
      <c r="H17" s="291" t="n">
        <f aca="false">SUMIF(③기타_CF!$E$7:$EF$7,H$3,③기타_CF!$E$112:$EF$112)</f>
        <v>7656.1745111419</v>
      </c>
      <c r="I17" s="291" t="n">
        <f aca="false">SUMIF(③기타_CF!$E$7:$EF$7,I$3,③기타_CF!$E$112:$EF$112)</f>
        <v>0</v>
      </c>
      <c r="J17" s="291" t="n">
        <f aca="false">SUMIF(③기타_CF!$E$7:$EF$7,J$3,③기타_CF!$E$112:$EF$112)</f>
        <v>0</v>
      </c>
      <c r="K17" s="291" t="n">
        <f aca="false">SUMIF(③기타_CF!$E$7:$EF$7,K$3,③기타_CF!$E$112:$EF$112)</f>
        <v>0</v>
      </c>
      <c r="L17" s="291" t="n">
        <f aca="false">SUMIF(③기타_CF!$E$7:$EF$7,L$3,③기타_CF!$E$112:$EF$112)</f>
        <v>0</v>
      </c>
      <c r="M17" s="291" t="n">
        <f aca="false">SUMIF(③기타_CF!$E$7:$EF$7,M$3,③기타_CF!$E$112:$EF$112)</f>
        <v>0</v>
      </c>
    </row>
    <row r="18" customFormat="false" ht="15" hidden="false" customHeight="false" outlineLevel="0" collapsed="false">
      <c r="A18" s="36" t="s">
        <v>48</v>
      </c>
      <c r="B18" s="290" t="n">
        <f aca="false">SUM(C18:M18)</f>
        <v>186065.693275</v>
      </c>
      <c r="C18" s="216" t="n">
        <f aca="false">SUMIF(③기타_CF!$E$7:$EF$7,C$3,③기타_CF!$E$129:$EF$129)</f>
        <v>0</v>
      </c>
      <c r="D18" s="216" t="n">
        <f aca="false">SUMIF(③기타_CF!$E$7:$EF$7,D$3,③기타_CF!$E$129:$EF$129)</f>
        <v>0</v>
      </c>
      <c r="E18" s="216" t="n">
        <f aca="false">SUMIF(③기타_CF!$E$7:$EF$7,E$3,③기타_CF!$E$129:$EF$129)</f>
        <v>0</v>
      </c>
      <c r="F18" s="216" t="n">
        <f aca="false">SUMIF(③기타_CF!$E$7:$EF$7,F$3,③기타_CF!$E$129:$EF$129)</f>
        <v>0</v>
      </c>
      <c r="G18" s="216" t="n">
        <f aca="false">SUMIF(③기타_CF!$E$7:$EF$7,G$3,③기타_CF!$E$129:$EF$129)</f>
        <v>0</v>
      </c>
      <c r="H18" s="216" t="n">
        <f aca="false">SUMIF(③기타_CF!$E$7:$EF$7,H$3,③기타_CF!$E$129:$EF$129)</f>
        <v>31010.9488791667</v>
      </c>
      <c r="I18" s="216" t="n">
        <f aca="false">SUMIF(③기타_CF!$E$7:$EF$7,I$3,③기타_CF!$E$129:$EF$129)</f>
        <v>37213.138655</v>
      </c>
      <c r="J18" s="216" t="n">
        <f aca="false">SUMIF(③기타_CF!$E$7:$EF$7,J$3,③기타_CF!$E$129:$EF$129)</f>
        <v>37213.138655</v>
      </c>
      <c r="K18" s="216" t="n">
        <f aca="false">SUMIF(③기타_CF!$E$7:$EF$7,K$3,③기타_CF!$E$129:$EF$129)</f>
        <v>37213.138655</v>
      </c>
      <c r="L18" s="216" t="n">
        <f aca="false">SUMIF(③기타_CF!$E$7:$EF$7,L$3,③기타_CF!$E$129:$EF$129)</f>
        <v>37213.138655</v>
      </c>
      <c r="M18" s="216" t="n">
        <f aca="false">SUMIF(③기타_CF!$E$7:$EF$7,M$3,③기타_CF!$E$129:$EF$129)</f>
        <v>6202.18977583333</v>
      </c>
    </row>
    <row r="19" customFormat="false" ht="15" hidden="false" customHeight="false" outlineLevel="0" collapsed="false">
      <c r="A19" s="36" t="s">
        <v>665</v>
      </c>
      <c r="B19" s="290" t="n">
        <f aca="false">SUM(C19:M19)</f>
        <v>7122.1318</v>
      </c>
      <c r="C19" s="216" t="n">
        <f aca="false">SUMIF(③기타_CF!$E$7:$EF$7,C$3,③기타_CF!$E$128:$EF$128)</f>
        <v>0</v>
      </c>
      <c r="D19" s="216" t="n">
        <f aca="false">SUMIF(③기타_CF!$E$7:$EF$7,D$3,③기타_CF!$E$128:$EF$128)</f>
        <v>0</v>
      </c>
      <c r="E19" s="216" t="n">
        <f aca="false">SUMIF(③기타_CF!$E$7:$EF$7,E$3,③기타_CF!$E$128:$EF$128)</f>
        <v>0</v>
      </c>
      <c r="F19" s="216" t="n">
        <f aca="false">SUMIF(③기타_CF!$E$7:$EF$7,F$3,③기타_CF!$E$128:$EF$128)</f>
        <v>0</v>
      </c>
      <c r="G19" s="216" t="n">
        <f aca="false">SUMIF(③기타_CF!$E$7:$EF$7,G$3,③기타_CF!$E$128:$EF$128)</f>
        <v>0</v>
      </c>
      <c r="H19" s="216" t="n">
        <f aca="false">SUMIF(③기타_CF!$E$7:$EF$7,H$3,③기타_CF!$E$128:$EF$128)</f>
        <v>7122.1318</v>
      </c>
      <c r="I19" s="216" t="n">
        <f aca="false">SUMIF(③기타_CF!$E$7:$EF$7,I$3,③기타_CF!$E$128:$EF$128)</f>
        <v>0</v>
      </c>
      <c r="J19" s="216" t="n">
        <f aca="false">SUMIF(③기타_CF!$E$7:$EF$7,J$3,③기타_CF!$E$128:$EF$128)</f>
        <v>0</v>
      </c>
      <c r="K19" s="216" t="n">
        <f aca="false">SUMIF(③기타_CF!$E$7:$EF$7,K$3,③기타_CF!$E$128:$EF$128)</f>
        <v>0</v>
      </c>
      <c r="L19" s="216" t="n">
        <f aca="false">SUMIF(③기타_CF!$E$7:$EF$7,L$3,③기타_CF!$E$128:$EF$128)</f>
        <v>0</v>
      </c>
      <c r="M19" s="216" t="n">
        <f aca="false">SUMIF(③기타_CF!$E$7:$EF$7,M$3,③기타_CF!$E$128:$EF$128)</f>
        <v>0</v>
      </c>
    </row>
    <row r="20" customFormat="false" ht="15" hidden="false" customHeight="false" outlineLevel="0" collapsed="false">
      <c r="A20" s="6" t="s">
        <v>710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customFormat="false" ht="15" hidden="false" customHeight="false" outlineLevel="0" collapsed="false">
      <c r="A21" s="87" t="s">
        <v>711</v>
      </c>
      <c r="B21" s="290" t="n">
        <f aca="false">SUM(C21:M21)</f>
        <v>210201.318226978</v>
      </c>
      <c r="C21" s="291" t="n">
        <f aca="false">SUMIF(③기타_CF!$E$7:$EF$7,C$3,③기타_CF!$E$142:$EF$142)</f>
        <v>11571.5825683952</v>
      </c>
      <c r="D21" s="291" t="n">
        <f aca="false">SUMIF(③기타_CF!$E$7:$EF$7,D$3,③기타_CF!$E$142:$EF$142)</f>
        <v>198629.735658583</v>
      </c>
      <c r="E21" s="291" t="n">
        <f aca="false">SUMIF(③기타_CF!$E$7:$EF$7,E$3,③기타_CF!$E$142:$EF$142)</f>
        <v>0</v>
      </c>
      <c r="F21" s="291" t="n">
        <f aca="false">SUMIF(③기타_CF!$E$7:$EF$7,F$3,③기타_CF!$E$142:$EF$142)</f>
        <v>0</v>
      </c>
      <c r="G21" s="291" t="n">
        <f aca="false">SUMIF(③기타_CF!$E$7:$EF$7,G$3,③기타_CF!$E$142:$EF$142)</f>
        <v>0</v>
      </c>
      <c r="H21" s="291" t="n">
        <f aca="false">SUMIF(③기타_CF!$E$7:$EF$7,H$3,③기타_CF!$E$142:$EF$142)</f>
        <v>0</v>
      </c>
      <c r="I21" s="291" t="n">
        <f aca="false">SUMIF(③기타_CF!$E$7:$EF$7,I$3,③기타_CF!$E$142:$EF$142)</f>
        <v>0</v>
      </c>
      <c r="J21" s="291" t="n">
        <f aca="false">SUMIF(③기타_CF!$E$7:$EF$7,J$3,③기타_CF!$E$142:$EF$142)</f>
        <v>0</v>
      </c>
      <c r="K21" s="291" t="n">
        <f aca="false">SUMIF(③기타_CF!$E$7:$EF$7,K$3,③기타_CF!$E$142:$EF$142)</f>
        <v>0</v>
      </c>
      <c r="L21" s="291" t="n">
        <f aca="false">SUMIF(③기타_CF!$E$7:$EF$7,L$3,③기타_CF!$E$142:$EF$142)</f>
        <v>0</v>
      </c>
      <c r="M21" s="291" t="n">
        <f aca="false">SUMIF(③기타_CF!$E$7:$EF$7,M$3,③기타_CF!$E$142:$EF$142)</f>
        <v>0</v>
      </c>
    </row>
    <row r="22" customFormat="false" ht="15" hidden="false" customHeight="false" outlineLevel="0" collapsed="false">
      <c r="A22" s="32" t="s">
        <v>712</v>
      </c>
      <c r="B22" s="290" t="n">
        <f aca="false">SUM(C22:M22)</f>
        <v>400452</v>
      </c>
      <c r="C22" s="291" t="n">
        <f aca="false">SUMIF(③기타_CF!$E$7:$EF$7,C$3,③기타_CF!$E$84:$EF$84)</f>
        <v>0</v>
      </c>
      <c r="D22" s="291" t="n">
        <f aca="false">SUMIF(③기타_CF!$E$7:$EF$7,D$3,③기타_CF!$E$84:$EF$84)</f>
        <v>24860.16</v>
      </c>
      <c r="E22" s="291" t="n">
        <f aca="false">SUMIF(③기타_CF!$E$7:$EF$7,E$3,③기타_CF!$E$84:$EF$84)</f>
        <v>49720.32</v>
      </c>
      <c r="F22" s="291" t="n">
        <f aca="false">SUMIF(③기타_CF!$E$7:$EF$7,F$3,③기타_CF!$E$84:$EF$84)</f>
        <v>49720.32</v>
      </c>
      <c r="G22" s="291" t="n">
        <f aca="false">SUMIF(③기타_CF!$E$7:$EF$7,G$3,③기타_CF!$E$84:$EF$84)</f>
        <v>49720.32</v>
      </c>
      <c r="H22" s="291" t="n">
        <f aca="false">SUMIF(③기타_CF!$E$7:$EF$7,H$3,③기타_CF!$E$84:$EF$84)</f>
        <v>137880.48</v>
      </c>
      <c r="I22" s="291" t="n">
        <f aca="false">SUMIF(③기타_CF!$E$7:$EF$7,I$3,③기타_CF!$E$84:$EF$84)</f>
        <v>75350.4</v>
      </c>
      <c r="J22" s="291" t="n">
        <f aca="false">SUMIF(③기타_CF!$E$7:$EF$7,J$3,③기타_CF!$E$84:$EF$84)</f>
        <v>13200</v>
      </c>
      <c r="K22" s="291" t="n">
        <f aca="false">SUMIF(③기타_CF!$E$7:$EF$7,K$3,③기타_CF!$E$84:$EF$84)</f>
        <v>0</v>
      </c>
      <c r="L22" s="291" t="n">
        <f aca="false">SUMIF(③기타_CF!$E$7:$EF$7,L$3,③기타_CF!$E$84:$EF$84)</f>
        <v>0</v>
      </c>
      <c r="M22" s="291" t="n">
        <f aca="false">SUMIF(③기타_CF!$E$7:$EF$7,M$3,③기타_CF!$E$84:$EF$84)</f>
        <v>0</v>
      </c>
    </row>
    <row r="23" customFormat="false" ht="15" hidden="false" customHeight="false" outlineLevel="0" collapsed="false">
      <c r="A23" s="36" t="s">
        <v>713</v>
      </c>
      <c r="B23" s="290" t="n">
        <f aca="false">SUM(C23:M23)</f>
        <v>400452</v>
      </c>
      <c r="C23" s="216" t="n">
        <f aca="false">SUMIF(③기타_CF!$E$7:$EF$7,C$3,③기타_CF!$E$85:$EF$85)</f>
        <v>0</v>
      </c>
      <c r="D23" s="216" t="n">
        <f aca="false">SUMIF(③기타_CF!$E$7:$EF$7,D$3,③기타_CF!$E$85:$EF$85)</f>
        <v>0</v>
      </c>
      <c r="E23" s="216" t="n">
        <f aca="false">SUMIF(③기타_CF!$E$7:$EF$7,E$3,③기타_CF!$E$85:$EF$85)</f>
        <v>0</v>
      </c>
      <c r="F23" s="216" t="n">
        <f aca="false">SUMIF(③기타_CF!$E$7:$EF$7,F$3,③기타_CF!$E$85:$EF$85)</f>
        <v>0</v>
      </c>
      <c r="G23" s="216" t="n">
        <f aca="false">SUMIF(③기타_CF!$E$7:$EF$7,G$3,③기타_CF!$E$85:$EF$85)</f>
        <v>0</v>
      </c>
      <c r="H23" s="216" t="n">
        <f aca="false">SUMIF(③기타_CF!$E$7:$EF$7,H$3,③기타_CF!$E$85:$EF$85)</f>
        <v>0</v>
      </c>
      <c r="I23" s="216" t="n">
        <f aca="false">SUMIF(③기타_CF!$E$7:$EF$7,I$3,③기타_CF!$E$85:$EF$85)</f>
        <v>0</v>
      </c>
      <c r="J23" s="216" t="n">
        <f aca="false">SUMIF(③기타_CF!$E$7:$EF$7,J$3,③기타_CF!$E$85:$EF$85)</f>
        <v>0</v>
      </c>
      <c r="K23" s="216" t="n">
        <f aca="false">SUMIF(③기타_CF!$E$7:$EF$7,K$3,③기타_CF!$E$85:$EF$85)</f>
        <v>0</v>
      </c>
      <c r="L23" s="216" t="n">
        <f aca="false">SUMIF(③기타_CF!$E$7:$EF$7,L$3,③기타_CF!$E$85:$EF$85)</f>
        <v>0</v>
      </c>
      <c r="M23" s="216" t="n">
        <f aca="false">SUMIF(③기타_CF!$E$7:$EF$7,M$3,③기타_CF!$E$85:$EF$85)</f>
        <v>400452</v>
      </c>
    </row>
    <row r="24" customFormat="false" ht="15" hidden="false" customHeight="false" outlineLevel="0" collapsed="false">
      <c r="A24" s="87" t="s">
        <v>714</v>
      </c>
      <c r="B24" s="290" t="n">
        <f aca="false">SUM(C24:M24)</f>
        <v>637282.274666071</v>
      </c>
      <c r="C24" s="291" t="n">
        <f aca="false">SUMIF(③기타_CF!$E$7:$EF$7,C$3,③기타_CF!$E$116:$EF$116)</f>
        <v>0</v>
      </c>
      <c r="D24" s="291" t="n">
        <f aca="false">SUMIF(③기타_CF!$E$7:$EF$7,D$3,③기타_CF!$E$116:$EF$116)</f>
        <v>0</v>
      </c>
      <c r="E24" s="291" t="n">
        <f aca="false">SUMIF(③기타_CF!$E$7:$EF$7,E$3,③기타_CF!$E$116:$EF$116)</f>
        <v>149240.35480606</v>
      </c>
      <c r="F24" s="291" t="n">
        <f aca="false">SUMIF(③기타_CF!$E$7:$EF$7,F$3,③기타_CF!$E$116:$EF$116)</f>
        <v>301700.334044089</v>
      </c>
      <c r="G24" s="291" t="n">
        <f aca="false">SUMIF(③기타_CF!$E$7:$EF$7,G$3,③기타_CF!$E$116:$EF$116)</f>
        <v>178786.079016604</v>
      </c>
      <c r="H24" s="291" t="n">
        <f aca="false">SUMIF(③기타_CF!$E$7:$EF$7,H$3,③기타_CF!$E$116:$EF$116)</f>
        <v>7555.50679931787</v>
      </c>
      <c r="I24" s="291" t="n">
        <f aca="false">SUMIF(③기타_CF!$E$7:$EF$7,I$3,③기타_CF!$E$116:$EF$116)</f>
        <v>0</v>
      </c>
      <c r="J24" s="291" t="n">
        <f aca="false">SUMIF(③기타_CF!$E$7:$EF$7,J$3,③기타_CF!$E$116:$EF$116)</f>
        <v>0</v>
      </c>
      <c r="K24" s="291" t="n">
        <f aca="false">SUMIF(③기타_CF!$E$7:$EF$7,K$3,③기타_CF!$E$116:$EF$116)</f>
        <v>0</v>
      </c>
      <c r="L24" s="291" t="n">
        <f aca="false">SUMIF(③기타_CF!$E$7:$EF$7,L$3,③기타_CF!$E$116:$EF$116)</f>
        <v>0</v>
      </c>
      <c r="M24" s="291" t="n">
        <f aca="false">SUMIF(③기타_CF!$E$7:$EF$7,M$3,③기타_CF!$E$116:$EF$116)</f>
        <v>0</v>
      </c>
    </row>
    <row r="25" customFormat="false" ht="15" hidden="false" customHeight="false" outlineLevel="0" collapsed="false">
      <c r="A25" s="87" t="s">
        <v>715</v>
      </c>
      <c r="B25" s="290" t="n">
        <f aca="false">SUM(C25:M25)</f>
        <v>637282.274666071</v>
      </c>
      <c r="C25" s="291" t="n">
        <f aca="false">SUMIF(③기타_CF!$E$7:$EF$7,C$3,③기타_CF!$E$120:$EF$120)</f>
        <v>0</v>
      </c>
      <c r="D25" s="291" t="n">
        <f aca="false">SUMIF(③기타_CF!$E$7:$EF$7,D$3,③기타_CF!$E$120:$EF$120)</f>
        <v>0</v>
      </c>
      <c r="E25" s="291" t="n">
        <f aca="false">SUMIF(③기타_CF!$E$7:$EF$7,E$3,③기타_CF!$E$120:$EF$120)</f>
        <v>0</v>
      </c>
      <c r="F25" s="291" t="n">
        <f aca="false">SUMIF(③기타_CF!$E$7:$EF$7,F$3,③기타_CF!$E$120:$EF$120)</f>
        <v>0</v>
      </c>
      <c r="G25" s="291" t="n">
        <f aca="false">SUMIF(③기타_CF!$E$7:$EF$7,G$3,③기타_CF!$E$120:$EF$120)</f>
        <v>0</v>
      </c>
      <c r="H25" s="291" t="n">
        <f aca="false">SUMIF(③기타_CF!$E$7:$EF$7,H$3,③기타_CF!$E$120:$EF$120)</f>
        <v>637282.274666071</v>
      </c>
      <c r="I25" s="291" t="n">
        <f aca="false">SUMIF(③기타_CF!$E$7:$EF$7,I$3,③기타_CF!$E$120:$EF$120)</f>
        <v>0</v>
      </c>
      <c r="J25" s="291" t="n">
        <f aca="false">SUMIF(③기타_CF!$E$7:$EF$7,J$3,③기타_CF!$E$120:$EF$120)</f>
        <v>0</v>
      </c>
      <c r="K25" s="291" t="n">
        <f aca="false">SUMIF(③기타_CF!$E$7:$EF$7,K$3,③기타_CF!$E$120:$EF$120)</f>
        <v>0</v>
      </c>
      <c r="L25" s="291" t="n">
        <f aca="false">SUMIF(③기타_CF!$E$7:$EF$7,L$3,③기타_CF!$E$120:$EF$120)</f>
        <v>0</v>
      </c>
      <c r="M25" s="291" t="n">
        <f aca="false">SUMIF(③기타_CF!$E$7:$EF$7,M$3,③기타_CF!$E$120:$EF$120)</f>
        <v>0</v>
      </c>
    </row>
    <row r="26" customFormat="false" ht="15" hidden="false" customHeight="false" outlineLevel="0" collapsed="false">
      <c r="A26" s="36" t="s">
        <v>664</v>
      </c>
      <c r="B26" s="290" t="n">
        <f aca="false">SUM(C26:M26)</f>
        <v>712213.18</v>
      </c>
      <c r="C26" s="216" t="n">
        <f aca="false">SUMIF(③기타_CF!$E$7:$EF$7,C$3,③기타_CF!$E$127:$EF$127)</f>
        <v>0</v>
      </c>
      <c r="D26" s="216" t="n">
        <f aca="false">SUMIF(③기타_CF!$E$7:$EF$7,D$3,③기타_CF!$E$127:$EF$127)</f>
        <v>0</v>
      </c>
      <c r="E26" s="216" t="n">
        <f aca="false">SUMIF(③기타_CF!$E$7:$EF$7,E$3,③기타_CF!$E$127:$EF$127)</f>
        <v>0</v>
      </c>
      <c r="F26" s="216" t="n">
        <f aca="false">SUMIF(③기타_CF!$E$7:$EF$7,F$3,③기타_CF!$E$127:$EF$127)</f>
        <v>0</v>
      </c>
      <c r="G26" s="216" t="n">
        <f aca="false">SUMIF(③기타_CF!$E$7:$EF$7,G$3,③기타_CF!$E$127:$EF$127)</f>
        <v>0</v>
      </c>
      <c r="H26" s="216" t="n">
        <f aca="false">SUMIF(③기타_CF!$E$7:$EF$7,H$3,③기타_CF!$E$127:$EF$127)</f>
        <v>712213.18</v>
      </c>
      <c r="I26" s="216" t="n">
        <f aca="false">SUMIF(③기타_CF!$E$7:$EF$7,I$3,③기타_CF!$E$127:$EF$127)</f>
        <v>0</v>
      </c>
      <c r="J26" s="216" t="n">
        <f aca="false">SUMIF(③기타_CF!$E$7:$EF$7,J$3,③기타_CF!$E$127:$EF$127)</f>
        <v>0</v>
      </c>
      <c r="K26" s="216" t="n">
        <f aca="false">SUMIF(③기타_CF!$E$7:$EF$7,K$3,③기타_CF!$E$127:$EF$127)</f>
        <v>0</v>
      </c>
      <c r="L26" s="216" t="n">
        <f aca="false">SUMIF(③기타_CF!$E$7:$EF$7,L$3,③기타_CF!$E$127:$EF$127)</f>
        <v>0</v>
      </c>
      <c r="M26" s="216" t="n">
        <f aca="false">SUMIF(③기타_CF!$E$7:$EF$7,M$3,③기타_CF!$E$127:$EF$127)</f>
        <v>0</v>
      </c>
    </row>
    <row r="27" customFormat="false" ht="15" hidden="false" customHeight="false" outlineLevel="0" collapsed="false">
      <c r="A27" s="36" t="s">
        <v>666</v>
      </c>
      <c r="B27" s="290" t="n">
        <f aca="false">SUM(C27:M27)</f>
        <v>712213.18</v>
      </c>
      <c r="C27" s="216" t="n">
        <f aca="false">SUMIF(③기타_CF!$E$7:$EF$7,C$3,③기타_CF!$E$130:$EF$130)</f>
        <v>0</v>
      </c>
      <c r="D27" s="216" t="n">
        <f aca="false">SUMIF(③기타_CF!$E$7:$EF$7,D$3,③기타_CF!$E$130:$EF$130)</f>
        <v>0</v>
      </c>
      <c r="E27" s="216" t="n">
        <f aca="false">SUMIF(③기타_CF!$E$7:$EF$7,E$3,③기타_CF!$E$130:$EF$130)</f>
        <v>0</v>
      </c>
      <c r="F27" s="216" t="n">
        <f aca="false">SUMIF(③기타_CF!$E$7:$EF$7,F$3,③기타_CF!$E$130:$EF$130)</f>
        <v>0</v>
      </c>
      <c r="G27" s="216" t="n">
        <f aca="false">SUMIF(③기타_CF!$E$7:$EF$7,G$3,③기타_CF!$E$130:$EF$130)</f>
        <v>0</v>
      </c>
      <c r="H27" s="216" t="n">
        <f aca="false">SUMIF(③기타_CF!$E$7:$EF$7,H$3,③기타_CF!$E$130:$EF$130)</f>
        <v>0</v>
      </c>
      <c r="I27" s="216" t="n">
        <f aca="false">SUMIF(③기타_CF!$E$7:$EF$7,I$3,③기타_CF!$E$130:$EF$130)</f>
        <v>0</v>
      </c>
      <c r="J27" s="216" t="n">
        <f aca="false">SUMIF(③기타_CF!$E$7:$EF$7,J$3,③기타_CF!$E$130:$EF$130)</f>
        <v>0</v>
      </c>
      <c r="K27" s="216" t="n">
        <f aca="false">SUMIF(③기타_CF!$E$7:$EF$7,K$3,③기타_CF!$E$130:$EF$130)</f>
        <v>0</v>
      </c>
      <c r="L27" s="216" t="n">
        <f aca="false">SUMIF(③기타_CF!$E$7:$EF$7,L$3,③기타_CF!$E$130:$EF$130)</f>
        <v>0</v>
      </c>
      <c r="M27" s="216" t="n">
        <f aca="false">SUMIF(③기타_CF!$E$7:$EF$7,M$3,③기타_CF!$E$130:$EF$130)</f>
        <v>712213.18</v>
      </c>
    </row>
    <row r="28" customFormat="false" ht="15" hidden="false" customHeight="false" outlineLevel="0" collapsed="false">
      <c r="A28" s="36" t="s">
        <v>677</v>
      </c>
      <c r="B28" s="290" t="n">
        <f aca="false">SUM(C28:M28)</f>
        <v>1649722.78562621</v>
      </c>
      <c r="C28" s="216" t="n">
        <f aca="false">SUMIF(③기타_CF!$E$7:$EF$7,C$3,③기타_CF!$E$145:$EF$145)</f>
        <v>0</v>
      </c>
      <c r="D28" s="216" t="n">
        <f aca="false">SUMIF(③기타_CF!$E$7:$EF$7,D$3,③기타_CF!$E$145:$EF$145)</f>
        <v>0</v>
      </c>
      <c r="E28" s="216" t="n">
        <f aca="false">SUMIF(③기타_CF!$E$7:$EF$7,E$3,③기타_CF!$E$145:$EF$145)</f>
        <v>0</v>
      </c>
      <c r="F28" s="216" t="n">
        <f aca="false">SUMIF(③기타_CF!$E$7:$EF$7,F$3,③기타_CF!$E$145:$EF$145)</f>
        <v>0</v>
      </c>
      <c r="G28" s="216" t="n">
        <f aca="false">SUMIF(③기타_CF!$E$7:$EF$7,G$3,③기타_CF!$E$145:$EF$145)</f>
        <v>0</v>
      </c>
      <c r="H28" s="216" t="n">
        <f aca="false">SUMIF(③기타_CF!$E$7:$EF$7,H$3,③기타_CF!$E$145:$EF$145)</f>
        <v>0</v>
      </c>
      <c r="I28" s="216" t="n">
        <f aca="false">SUMIF(③기타_CF!$E$7:$EF$7,I$3,③기타_CF!$E$145:$EF$145)</f>
        <v>0</v>
      </c>
      <c r="J28" s="216" t="n">
        <f aca="false">SUMIF(③기타_CF!$E$7:$EF$7,J$3,③기타_CF!$E$145:$EF$145)</f>
        <v>0</v>
      </c>
      <c r="K28" s="216" t="n">
        <f aca="false">SUMIF(③기타_CF!$E$7:$EF$7,K$3,③기타_CF!$E$145:$EF$145)</f>
        <v>0</v>
      </c>
      <c r="L28" s="216" t="n">
        <f aca="false">SUMIF(③기타_CF!$E$7:$EF$7,L$3,③기타_CF!$E$145:$EF$145)</f>
        <v>0</v>
      </c>
      <c r="M28" s="216" t="n">
        <f aca="false">SUMIF(③기타_CF!$E$7:$EF$7,M$3,③기타_CF!$E$145:$EF$145)</f>
        <v>1649722.78562621</v>
      </c>
    </row>
    <row r="29" customFormat="false" ht="15" hidden="false" customHeight="false" outlineLevel="0" collapsed="false">
      <c r="A29" s="6" t="s">
        <v>716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customFormat="false" ht="15" hidden="false" customHeight="false" outlineLevel="0" collapsed="false">
      <c r="A30" s="36" t="s">
        <v>57</v>
      </c>
      <c r="B30" s="290" t="n">
        <f aca="false">SUM(C30:M30)</f>
        <v>67367.2336271479</v>
      </c>
      <c r="C30" s="216" t="n">
        <f aca="false">SUMIF(③기타_CF!$E$7:$EF$7,C$3,③기타_CF!$E$165:$EF$165)</f>
        <v>0</v>
      </c>
      <c r="D30" s="216" t="n">
        <f aca="false">SUMIF(③기타_CF!$E$7:$EF$7,D$3,③기타_CF!$E$165:$EF$165)</f>
        <v>0</v>
      </c>
      <c r="E30" s="216" t="n">
        <f aca="false">SUMIF(③기타_CF!$E$7:$EF$7,E$3,③기타_CF!$E$165:$EF$165)</f>
        <v>0</v>
      </c>
      <c r="F30" s="216" t="n">
        <f aca="false">SUMIF(③기타_CF!$E$7:$EF$7,F$3,③기타_CF!$E$165:$EF$165)</f>
        <v>0</v>
      </c>
      <c r="G30" s="216" t="n">
        <f aca="false">SUMIF(③기타_CF!$E$7:$EF$7,G$3,③기타_CF!$E$165:$EF$165)</f>
        <v>0</v>
      </c>
      <c r="H30" s="216" t="n">
        <f aca="false">SUMIF(③기타_CF!$E$7:$EF$7,H$3,③기타_CF!$E$165:$EF$165)</f>
        <v>6894.36880182766</v>
      </c>
      <c r="I30" s="216" t="n">
        <f aca="false">SUMIF(③기타_CF!$E$7:$EF$7,I$3,③기타_CF!$E$165:$EF$165)</f>
        <v>17252.5198976797</v>
      </c>
      <c r="J30" s="216" t="n">
        <f aca="false">SUMIF(③기타_CF!$E$7:$EF$7,J$3,③기타_CF!$E$165:$EF$165)</f>
        <v>20594.6868090191</v>
      </c>
      <c r="K30" s="216" t="n">
        <f aca="false">SUMIF(③기타_CF!$E$7:$EF$7,K$3,③기타_CF!$E$165:$EF$165)</f>
        <v>12419.9687185207</v>
      </c>
      <c r="L30" s="216" t="n">
        <f aca="false">SUMIF(③기타_CF!$E$7:$EF$7,L$3,③기타_CF!$E$165:$EF$165)</f>
        <v>7193.64399551926</v>
      </c>
      <c r="M30" s="216" t="n">
        <f aca="false">SUMIF(③기타_CF!$E$7:$EF$7,M$3,③기타_CF!$E$165:$EF$165)</f>
        <v>3012.04540458143</v>
      </c>
    </row>
    <row r="31" customFormat="false" ht="15" hidden="false" customHeight="false" outlineLevel="0" collapsed="false">
      <c r="A31" s="36" t="s">
        <v>58</v>
      </c>
      <c r="B31" s="290" t="n">
        <f aca="false">SUM(C31:M31)</f>
        <v>147140.922758885</v>
      </c>
      <c r="C31" s="216" t="n">
        <f aca="false">SUMIF(③기타_CF!$E$7:$EF$7,C$3,③기타_CF!$E$166:$EF$166)</f>
        <v>0</v>
      </c>
      <c r="D31" s="216" t="n">
        <f aca="false">SUMIF(③기타_CF!$E$7:$EF$7,D$3,③기타_CF!$E$166:$EF$166)</f>
        <v>0</v>
      </c>
      <c r="E31" s="216" t="n">
        <f aca="false">SUMIF(③기타_CF!$E$7:$EF$7,E$3,③기타_CF!$E$166:$EF$166)</f>
        <v>0</v>
      </c>
      <c r="F31" s="216" t="n">
        <f aca="false">SUMIF(③기타_CF!$E$7:$EF$7,F$3,③기타_CF!$E$166:$EF$166)</f>
        <v>0</v>
      </c>
      <c r="G31" s="216" t="n">
        <f aca="false">SUMIF(③기타_CF!$E$7:$EF$7,G$3,③기타_CF!$E$166:$EF$166)</f>
        <v>0</v>
      </c>
      <c r="H31" s="216" t="n">
        <f aca="false">SUMIF(③기타_CF!$E$7:$EF$7,H$3,③기타_CF!$E$166:$EF$166)</f>
        <v>0</v>
      </c>
      <c r="I31" s="216" t="n">
        <f aca="false">SUMIF(③기타_CF!$E$7:$EF$7,I$3,③기타_CF!$E$166:$EF$166)</f>
        <v>0</v>
      </c>
      <c r="J31" s="216" t="n">
        <f aca="false">SUMIF(③기타_CF!$E$7:$EF$7,J$3,③기타_CF!$E$166:$EF$166)</f>
        <v>0</v>
      </c>
      <c r="K31" s="216" t="n">
        <f aca="false">SUMIF(③기타_CF!$E$7:$EF$7,K$3,③기타_CF!$E$166:$EF$166)</f>
        <v>0</v>
      </c>
      <c r="L31" s="216" t="n">
        <f aca="false">SUMIF(③기타_CF!$E$7:$EF$7,L$3,③기타_CF!$E$166:$EF$166)</f>
        <v>0</v>
      </c>
      <c r="M31" s="216" t="n">
        <f aca="false">SUMIF(③기타_CF!$E$7:$EF$7,M$3,③기타_CF!$E$166:$EF$166)</f>
        <v>147140.922758885</v>
      </c>
    </row>
    <row r="32" customFormat="false" ht="15" hidden="false" customHeight="false" outlineLevel="0" collapsed="false">
      <c r="A32" s="36" t="s">
        <v>59</v>
      </c>
      <c r="B32" s="290" t="n">
        <f aca="false">SUM(C32:M32)</f>
        <v>635264.611737383</v>
      </c>
      <c r="C32" s="216" t="n">
        <f aca="false">SUMIF(③기타_CF!$E$7:$EF$7,C$3,③기타_CF!$E$168:$EF$168)</f>
        <v>0</v>
      </c>
      <c r="D32" s="216" t="n">
        <f aca="false">SUMIF(③기타_CF!$E$7:$EF$7,D$3,③기타_CF!$E$168:$EF$168)</f>
        <v>0</v>
      </c>
      <c r="E32" s="216" t="n">
        <f aca="false">SUMIF(③기타_CF!$E$7:$EF$7,E$3,③기타_CF!$E$168:$EF$168)</f>
        <v>0</v>
      </c>
      <c r="F32" s="216" t="n">
        <f aca="false">SUMIF(③기타_CF!$E$7:$EF$7,F$3,③기타_CF!$E$168:$EF$168)</f>
        <v>0</v>
      </c>
      <c r="G32" s="216" t="n">
        <f aca="false">SUMIF(③기타_CF!$E$7:$EF$7,G$3,③기타_CF!$E$168:$EF$168)</f>
        <v>0</v>
      </c>
      <c r="H32" s="216" t="n">
        <f aca="false">SUMIF(③기타_CF!$E$7:$EF$7,H$3,③기타_CF!$E$168:$EF$168)</f>
        <v>0</v>
      </c>
      <c r="I32" s="216" t="n">
        <f aca="false">SUMIF(③기타_CF!$E$7:$EF$7,I$3,③기타_CF!$E$168:$EF$168)</f>
        <v>0</v>
      </c>
      <c r="J32" s="216" t="n">
        <f aca="false">SUMIF(③기타_CF!$E$7:$EF$7,J$3,③기타_CF!$E$168:$EF$168)</f>
        <v>0</v>
      </c>
      <c r="K32" s="216" t="n">
        <f aca="false">SUMIF(③기타_CF!$E$7:$EF$7,K$3,③기타_CF!$E$168:$EF$168)</f>
        <v>9340.30087162569</v>
      </c>
      <c r="L32" s="216" t="n">
        <f aca="false">SUMIF(③기타_CF!$E$7:$EF$7,L$3,③기타_CF!$E$168:$EF$168)</f>
        <v>15666.3210313769</v>
      </c>
      <c r="M32" s="216" t="n">
        <f aca="false">SUMIF(③기타_CF!$E$7:$EF$7,M$3,③기타_CF!$E$168:$EF$168)</f>
        <v>610257.989834381</v>
      </c>
    </row>
    <row r="33" customFormat="false" ht="15" hidden="false" customHeight="false" outlineLevel="0" collapsed="false">
      <c r="A33" s="36" t="s">
        <v>700</v>
      </c>
      <c r="B33" s="290" t="n">
        <f aca="false">SUM(C33:M33)</f>
        <v>572204.21626929</v>
      </c>
      <c r="C33" s="216" t="n">
        <f aca="false">SUMIF(③기타_CF!$E$7:$EF$7,C$3,③기타_CF!$E$171:$EF$171)</f>
        <v>-11571.5825683952</v>
      </c>
      <c r="D33" s="216" t="n">
        <f aca="false">SUMIF(③기타_CF!$E$7:$EF$7,D$3,③기타_CF!$E$171:$EF$171)</f>
        <v>-51488.8128996984</v>
      </c>
      <c r="E33" s="216" t="n">
        <f aca="false">SUMIF(③기타_CF!$E$7:$EF$7,E$3,③기타_CF!$E$171:$EF$171)</f>
        <v>0</v>
      </c>
      <c r="F33" s="216" t="n">
        <f aca="false">SUMIF(③기타_CF!$E$7:$EF$7,F$3,③기타_CF!$E$171:$EF$171)</f>
        <v>0</v>
      </c>
      <c r="G33" s="216" t="n">
        <f aca="false">SUMIF(③기타_CF!$E$7:$EF$7,G$3,③기타_CF!$E$171:$EF$171)</f>
        <v>0</v>
      </c>
      <c r="H33" s="216" t="n">
        <f aca="false">SUMIF(③기타_CF!$E$7:$EF$7,H$3,③기타_CF!$E$171:$EF$171)</f>
        <v>0</v>
      </c>
      <c r="I33" s="216" t="n">
        <f aca="false">SUMIF(③기타_CF!$E$7:$EF$7,I$3,③기타_CF!$E$171:$EF$171)</f>
        <v>0</v>
      </c>
      <c r="J33" s="216" t="n">
        <f aca="false">SUMIF(③기타_CF!$E$7:$EF$7,J$3,③기타_CF!$E$171:$EF$171)</f>
        <v>0</v>
      </c>
      <c r="K33" s="216" t="n">
        <f aca="false">SUMIF(③기타_CF!$E$7:$EF$7,K$3,③기타_CF!$E$171:$EF$171)</f>
        <v>9340.30087162569</v>
      </c>
      <c r="L33" s="216" t="n">
        <f aca="false">SUMIF(③기타_CF!$E$7:$EF$7,L$3,③기타_CF!$E$171:$EF$171)</f>
        <v>15666.3210313769</v>
      </c>
      <c r="M33" s="216" t="n">
        <f aca="false">SUMIF(③기타_CF!$E$7:$EF$7,M$3,③기타_CF!$E$171:$EF$171)</f>
        <v>610257.989834381</v>
      </c>
    </row>
    <row r="34" customFormat="false" ht="15" hidden="false" customHeight="false" outlineLevel="0" collapsed="false">
      <c r="A34" s="36" t="s">
        <v>701</v>
      </c>
      <c r="B34" s="290" t="n">
        <f aca="false">SUM(C34:M34)</f>
        <v>67367.2336271478</v>
      </c>
      <c r="C34" s="216" t="n">
        <f aca="false">SUMIF(③기타_CF!$E$7:$EF$7,C$3,③기타_CF!$E$172:$EF$172)</f>
        <v>0</v>
      </c>
      <c r="D34" s="216" t="n">
        <f aca="false">SUMIF(③기타_CF!$E$7:$EF$7,D$3,③기타_CF!$E$172:$EF$172)</f>
        <v>-147140.922758885</v>
      </c>
      <c r="E34" s="216" t="n">
        <f aca="false">SUMIF(③기타_CF!$E$7:$EF$7,E$3,③기타_CF!$E$172:$EF$172)</f>
        <v>0</v>
      </c>
      <c r="F34" s="216" t="n">
        <f aca="false">SUMIF(③기타_CF!$E$7:$EF$7,F$3,③기타_CF!$E$172:$EF$172)</f>
        <v>0</v>
      </c>
      <c r="G34" s="216" t="n">
        <f aca="false">SUMIF(③기타_CF!$E$7:$EF$7,G$3,③기타_CF!$E$172:$EF$172)</f>
        <v>0</v>
      </c>
      <c r="H34" s="216" t="n">
        <f aca="false">SUMIF(③기타_CF!$E$7:$EF$7,H$3,③기타_CF!$E$172:$EF$172)</f>
        <v>6894.36880182766</v>
      </c>
      <c r="I34" s="216" t="n">
        <f aca="false">SUMIF(③기타_CF!$E$7:$EF$7,I$3,③기타_CF!$E$172:$EF$172)</f>
        <v>17252.5198976797</v>
      </c>
      <c r="J34" s="216" t="n">
        <f aca="false">SUMIF(③기타_CF!$E$7:$EF$7,J$3,③기타_CF!$E$172:$EF$172)</f>
        <v>20594.6868090191</v>
      </c>
      <c r="K34" s="216" t="n">
        <f aca="false">SUMIF(③기타_CF!$E$7:$EF$7,K$3,③기타_CF!$E$172:$EF$172)</f>
        <v>12419.9687185207</v>
      </c>
      <c r="L34" s="216" t="n">
        <f aca="false">SUMIF(③기타_CF!$E$7:$EF$7,L$3,③기타_CF!$E$172:$EF$172)</f>
        <v>7193.64399551926</v>
      </c>
      <c r="M34" s="216" t="n">
        <f aca="false">SUMIF(③기타_CF!$E$7:$EF$7,M$3,③기타_CF!$E$172:$EF$172)</f>
        <v>150152.968163466</v>
      </c>
    </row>
    <row r="35" customFormat="false" ht="15" hidden="false" customHeight="false" outlineLevel="0" collapsed="false">
      <c r="A35" s="32" t="s">
        <v>702</v>
      </c>
      <c r="B35" s="290" t="n">
        <f aca="false">SUM(C35:M35)</f>
        <v>639571.449896438</v>
      </c>
      <c r="C35" s="291" t="n">
        <f aca="false">SUMIF(③기타_CF!$E$7:$EF$7,C$3,③기타_CF!$E$173:$EF$173)</f>
        <v>-11571.5825683952</v>
      </c>
      <c r="D35" s="291" t="n">
        <f aca="false">SUMIF(③기타_CF!$E$7:$EF$7,D$3,③기타_CF!$E$173:$EF$173)</f>
        <v>-198629.735658583</v>
      </c>
      <c r="E35" s="291" t="n">
        <f aca="false">SUMIF(③기타_CF!$E$7:$EF$7,E$3,③기타_CF!$E$173:$EF$173)</f>
        <v>0</v>
      </c>
      <c r="F35" s="291" t="n">
        <f aca="false">SUMIF(③기타_CF!$E$7:$EF$7,F$3,③기타_CF!$E$173:$EF$173)</f>
        <v>0</v>
      </c>
      <c r="G35" s="291" t="n">
        <f aca="false">SUMIF(③기타_CF!$E$7:$EF$7,G$3,③기타_CF!$E$173:$EF$173)</f>
        <v>0</v>
      </c>
      <c r="H35" s="291" t="n">
        <f aca="false">SUMIF(③기타_CF!$E$7:$EF$7,H$3,③기타_CF!$E$173:$EF$173)</f>
        <v>6894.36880182766</v>
      </c>
      <c r="I35" s="291" t="n">
        <f aca="false">SUMIF(③기타_CF!$E$7:$EF$7,I$3,③기타_CF!$E$173:$EF$173)</f>
        <v>17252.5198976797</v>
      </c>
      <c r="J35" s="291" t="n">
        <f aca="false">SUMIF(③기타_CF!$E$7:$EF$7,J$3,③기타_CF!$E$173:$EF$173)</f>
        <v>20594.6868090191</v>
      </c>
      <c r="K35" s="291" t="n">
        <f aca="false">SUMIF(③기타_CF!$E$7:$EF$7,K$3,③기타_CF!$E$173:$EF$173)</f>
        <v>21760.2695901464</v>
      </c>
      <c r="L35" s="291" t="n">
        <f aca="false">SUMIF(③기타_CF!$E$7:$EF$7,L$3,③기타_CF!$E$173:$EF$173)</f>
        <v>22859.9650268961</v>
      </c>
      <c r="M35" s="291" t="n">
        <f aca="false">SUMIF(③기타_CF!$E$7:$EF$7,M$3,③기타_CF!$E$173:$EF$173)</f>
        <v>760410.957997847</v>
      </c>
    </row>
    <row r="36" customFormat="false" ht="15" hidden="false" customHeight="false" outlineLevel="0" collapsed="false">
      <c r="A36" s="32" t="s">
        <v>689</v>
      </c>
      <c r="C36" s="291" t="n">
        <f aca="false">SUMIF(③기타_CF!$E$6:$EF$6,MIN(DATE(C$3,12,31),③기타_가정!$E$24),③기타_CF!$E$159:$EF$159)*(C$3&lt;=YEAR(③기타_가정!$E$24))</f>
        <v>1308.13675963708</v>
      </c>
      <c r="D36" s="291" t="n">
        <f aca="false">SUMIF(③기타_CF!$E$6:$EF$6,MIN(DATE(D$3,12,31),③기타_가정!$E$24),③기타_CF!$E$159:$EF$159)*(D$3&lt;=YEAR(③기타_가정!$E$24))</f>
        <v>33571.6946611939</v>
      </c>
      <c r="E36" s="291" t="n">
        <f aca="false">SUMIF(③기타_CF!$E$6:$EF$6,MIN(DATE(E$3,12,31),③기타_가정!$E$24),③기타_CF!$E$159:$EF$159)*(E$3&lt;=YEAR(③기타_가정!$E$24))</f>
        <v>500</v>
      </c>
      <c r="F36" s="291" t="n">
        <f aca="false">SUMIF(③기타_CF!$E$6:$EF$6,MIN(DATE(F$3,12,31),③기타_가정!$E$24),③기타_CF!$E$159:$EF$159)*(F$3&lt;=YEAR(③기타_가정!$E$24))</f>
        <v>500</v>
      </c>
      <c r="G36" s="291" t="n">
        <f aca="false">SUMIF(③기타_CF!$E$6:$EF$6,MIN(DATE(G$3,12,31),③기타_가정!$E$24),③기타_CF!$E$159:$EF$159)*(G$3&lt;=YEAR(③기타_가정!$E$24))</f>
        <v>500</v>
      </c>
      <c r="H36" s="291" t="n">
        <f aca="false">SUMIF(③기타_CF!$E$6:$EF$6,MIN(DATE(H$3,12,31),③기타_가정!$E$24),③기타_CF!$E$159:$EF$159)*(H$3&lt;=YEAR(③기타_가정!$E$24))</f>
        <v>133956.880255245</v>
      </c>
      <c r="I36" s="291" t="n">
        <f aca="false">SUMIF(③기타_CF!$E$6:$EF$6,MIN(DATE(I$3,12,31),③기타_가정!$E$24),③기타_CF!$E$159:$EF$159)*(I$3&lt;=YEAR(③기타_가정!$E$24))</f>
        <v>209307.280255245</v>
      </c>
      <c r="J36" s="291" t="n">
        <f aca="false">SUMIF(③기타_CF!$E$6:$EF$6,MIN(DATE(J$3,12,31),③기타_가정!$E$24),③기타_CF!$E$159:$EF$159)*(J$3&lt;=YEAR(③기타_가정!$E$24))</f>
        <v>222507.280255245</v>
      </c>
      <c r="K36" s="291" t="n">
        <f aca="false">SUMIF(③기타_CF!$E$6:$EF$6,MIN(DATE(K$3,12,31),③기타_가정!$E$24),③기타_CF!$E$159:$EF$159)*(K$3&lt;=YEAR(③기타_가정!$E$24))</f>
        <v>222507.280255245</v>
      </c>
      <c r="L36" s="291" t="n">
        <f aca="false">SUMIF(③기타_CF!$E$6:$EF$6,MIN(DATE(L$3,12,31),③기타_가정!$E$24),③기타_CF!$E$159:$EF$159)*(L$3&lt;=YEAR(③기타_가정!$E$24))</f>
        <v>222507.280255245</v>
      </c>
      <c r="M36" s="291" t="n">
        <f aca="false">SUMIF(③기타_CF!$E$6:$EF$6,MIN(DATE(M$3,12,31),③기타_가정!$E$24),③기타_CF!$E$159:$EF$159)*(M$3&lt;=YEAR(③기타_가정!$E$24))</f>
        <v>0</v>
      </c>
    </row>
    <row r="38" customFormat="false" ht="15" hidden="false" customHeight="false" outlineLevel="0" collapsed="false">
      <c r="A38" s="87" t="s">
        <v>717</v>
      </c>
      <c r="B38" s="292" t="n">
        <f aca="false">③기타_CF!$C$171</f>
        <v>0.295086350863857</v>
      </c>
    </row>
    <row r="39" customFormat="false" ht="15" hidden="false" customHeight="false" outlineLevel="0" collapsed="false">
      <c r="A39" s="87" t="s">
        <v>718</v>
      </c>
      <c r="B39" s="292" t="n">
        <f aca="false">③기타_CF!$C$172</f>
        <v>0.0499999999984933</v>
      </c>
    </row>
    <row r="40" customFormat="false" ht="15" hidden="false" customHeight="false" outlineLevel="0" collapsed="false">
      <c r="A40" s="87" t="s">
        <v>719</v>
      </c>
      <c r="B40" s="292" t="n">
        <f aca="false">③기타_CF!$C$173</f>
        <v>0.180265272460192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4" hidden="false" customHeight="false" outlineLevel="0" collapsed="false">
      <c r="A1" s="293" t="s">
        <v>724</v>
      </c>
    </row>
    <row r="2" customFormat="false" ht="15" hidden="false" customHeight="false" outlineLevel="0" collapsed="false">
      <c r="A2" s="294"/>
    </row>
    <row r="3" customFormat="false" ht="14.15" hidden="false" customHeight="false" outlineLevel="0" collapsed="false">
      <c r="A3" s="295" t="s">
        <v>725</v>
      </c>
    </row>
    <row r="4" customFormat="false" ht="14.15" hidden="false" customHeight="false" outlineLevel="0" collapsed="false">
      <c r="A4" s="295" t="s">
        <v>726</v>
      </c>
    </row>
    <row r="5" customFormat="false" ht="14.15" hidden="false" customHeight="false" outlineLevel="0" collapsed="false">
      <c r="A5" s="295" t="s">
        <v>727</v>
      </c>
    </row>
    <row r="6" customFormat="false" ht="15" hidden="false" customHeight="false" outlineLevel="0" collapsed="false">
      <c r="A6" s="294"/>
    </row>
    <row r="7" customFormat="false" ht="15" hidden="false" customHeight="false" outlineLevel="0" collapsed="false">
      <c r="A7" s="296" t="s">
        <v>728</v>
      </c>
    </row>
    <row r="8" customFormat="false" ht="15" hidden="false" customHeight="false" outlineLevel="0" collapsed="false">
      <c r="A8" s="296" t="s">
        <v>729</v>
      </c>
    </row>
    <row r="9" customFormat="false" ht="15" hidden="false" customHeight="false" outlineLevel="0" collapsed="false">
      <c r="A9" s="296" t="s">
        <v>730</v>
      </c>
    </row>
    <row r="10" customFormat="false" ht="15" hidden="false" customHeight="false" outlineLevel="0" collapsed="false">
      <c r="A10" s="296" t="s">
        <v>731</v>
      </c>
    </row>
    <row r="11" customFormat="false" ht="15" hidden="false" customHeight="false" outlineLevel="0" collapsed="false">
      <c r="A11" s="296" t="s">
        <v>732</v>
      </c>
    </row>
    <row r="12" customFormat="false" ht="15" hidden="false" customHeight="false" outlineLevel="0" collapsed="false">
      <c r="A12" s="296" t="s">
        <v>733</v>
      </c>
    </row>
    <row r="13" customFormat="false" ht="15" hidden="false" customHeight="false" outlineLevel="0" collapsed="false">
      <c r="A13" s="296" t="s">
        <v>734</v>
      </c>
    </row>
    <row r="14" customFormat="false" ht="15" hidden="false" customHeight="false" outlineLevel="0" collapsed="false">
      <c r="A14" s="296" t="s">
        <v>735</v>
      </c>
    </row>
    <row r="15" customFormat="false" ht="15" hidden="false" customHeight="false" outlineLevel="0" collapsed="false">
      <c r="A15" s="296" t="s">
        <v>736</v>
      </c>
    </row>
    <row r="16" customFormat="false" ht="15" hidden="false" customHeight="false" outlineLevel="0" collapsed="false">
      <c r="A16" s="296" t="s">
        <v>737</v>
      </c>
    </row>
    <row r="17" customFormat="false" ht="15" hidden="false" customHeight="false" outlineLevel="0" collapsed="false">
      <c r="A17" s="296" t="s">
        <v>733</v>
      </c>
    </row>
    <row r="18" customFormat="false" ht="15" hidden="false" customHeight="false" outlineLevel="0" collapsed="false">
      <c r="A18" s="296" t="s">
        <v>735</v>
      </c>
    </row>
    <row r="19" customFormat="false" ht="15" hidden="false" customHeight="false" outlineLevel="0" collapsed="false">
      <c r="A19" s="296" t="s">
        <v>738</v>
      </c>
    </row>
    <row r="20" customFormat="false" ht="15" hidden="false" customHeight="false" outlineLevel="0" collapsed="false">
      <c r="A20" s="296" t="s">
        <v>737</v>
      </c>
    </row>
    <row r="21" customFormat="false" ht="15" hidden="false" customHeight="false" outlineLevel="0" collapsed="false">
      <c r="A21" s="296" t="s">
        <v>739</v>
      </c>
    </row>
    <row r="22" customFormat="false" ht="15" hidden="false" customHeight="false" outlineLevel="0" collapsed="false">
      <c r="A22" s="296" t="s">
        <v>740</v>
      </c>
    </row>
    <row r="23" customFormat="false" ht="15" hidden="false" customHeight="false" outlineLevel="0" collapsed="false">
      <c r="A23" s="296" t="s">
        <v>741</v>
      </c>
    </row>
    <row r="24" customFormat="false" ht="14.15" hidden="false" customHeight="false" outlineLevel="0" collapsed="false">
      <c r="A24" s="296" t="s">
        <v>742</v>
      </c>
    </row>
    <row r="25" customFormat="false" ht="15" hidden="false" customHeight="false" outlineLevel="0" collapsed="false">
      <c r="A25" s="296" t="s">
        <v>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2026-10-14T08:22:47Z</dcterms:created>
  <dc:creator>openpyxl</dc:creator>
  <dc:description/>
  <dc:language>en-US</dc:language>
  <cp:lastModifiedBy/>
  <dcterms:modified xsi:type="dcterms:W3CDTF">2026-10-14T08:23:03Z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